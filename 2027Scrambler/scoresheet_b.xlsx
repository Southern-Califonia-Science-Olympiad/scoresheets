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ing" sheetId="1" state="visible" r:id="rId3"/>
    <sheet name="Constants" sheetId="2" state="visible" r:id="rId4"/>
    <sheet name="Export" sheetId="3" state="visible" r:id="rId5"/>
    <sheet name="Changelog" sheetId="4" state="visible" r:id="rId6"/>
    <sheet name="Vers" sheetId="5" state="visible" r:id="rId7"/>
    <sheet name="Info." sheetId="6" state="visible" r:id="rId8"/>
    <sheet name="Dropdowns" sheetId="7" state="visible" r:id="rId9"/>
    <sheet name="ExportRaw" sheetId="8" state="hidden" r:id="rId10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<sst xmlns="http://schemas.openxmlformats.org/spreadsheetml/2006/main" count="175" uniqueCount="123">
  <si>
    <t xml:space="preserve">Check-In</t>
  </si>
  <si>
    <t xml:space="preserve">Event Time</t>
  </si>
  <si>
    <t xml:space="preserve">16. Disqualify (T/F)</t>
  </si>
  <si>
    <t xml:space="preserve">Check In</t>
  </si>
  <si>
    <t xml:space="preserve">Run 1</t>
  </si>
  <si>
    <t xml:space="preserve">Run 2</t>
  </si>
  <si>
    <t xml:space="preserve">Breakdown</t>
  </si>
  <si>
    <t xml:space="preserve">Rank for this team with row() bump</t>
  </si>
  <si>
    <t xml:space="preserve">Rank for this team with same ranks split</t>
  </si>
  <si>
    <t xml:space="preserve">Team Number of this team</t>
  </si>
  <si>
    <t xml:space="preserve">Name of this schoo</t>
  </si>
  <si>
    <t xml:space="preserve">Name of this team</t>
  </si>
  <si>
    <t xml:space="preserve">Tier for this Team</t>
  </si>
  <si>
    <t xml:space="preserve">Score for this team</t>
  </si>
  <si>
    <t xml:space="preserve">Actual Rank for this team</t>
  </si>
  <si>
    <t xml:space="preserve">Final Rankings</t>
  </si>
  <si>
    <t xml:space="preserve">1. Impounded (T/F)</t>
  </si>
  <si>
    <t xml:space="preserve">2. Participants use proper eyewear (T/F)</t>
  </si>
  <si>
    <t xml:space="preserve">3. Conforms to kit modification requirements (T/F)</t>
  </si>
  <si>
    <t xml:space="preserve">Scored Run</t>
  </si>
  <si>
    <t xml:space="preserve">Final Score</t>
  </si>
  <si>
    <t xml:space="preserve">Distance Score</t>
  </si>
  <si>
    <t xml:space="preserve">Time Score</t>
  </si>
  <si>
    <t xml:space="preserve">Bonus Score</t>
  </si>
  <si>
    <t xml:space="preserve">Penalty Score</t>
  </si>
  <si>
    <t xml:space="preserve">Score</t>
  </si>
  <si>
    <t xml:space="preserve">Tier</t>
  </si>
  <si>
    <t xml:space="preserve">Tiebreaker</t>
  </si>
  <si>
    <t xml:space="preserve">Rank</t>
  </si>
  <si>
    <t xml:space="preserve">Points</t>
  </si>
  <si>
    <t xml:space="preserve">Team #</t>
  </si>
  <si>
    <t xml:space="preserve">School Name</t>
  </si>
  <si>
    <t xml:space="preserve">Team Name</t>
  </si>
  <si>
    <t xml:space="preserve">4. Met all const params (T/F)</t>
  </si>
  <si>
    <t xml:space="preserve">5. Met all comp params (T/F)</t>
  </si>
  <si>
    <t xml:space="preserve">6. Successful / Failed Run</t>
  </si>
  <si>
    <t xml:space="preserve">7. Run Time (s)</t>
  </si>
  <si>
    <t xml:space="preserve">8. Vehicle Distance (cm)</t>
  </si>
  <si>
    <t xml:space="preserve">9. Inside Can Dist (cm)</t>
  </si>
  <si>
    <t xml:space="preserve">10. Met all const params (T/F)</t>
  </si>
  <si>
    <t xml:space="preserve">11. Met all comp params (T/F)</t>
  </si>
  <si>
    <t xml:space="preserve">12. Successful / Failed Run</t>
  </si>
  <si>
    <t xml:space="preserve">13. Run Time (s)</t>
  </si>
  <si>
    <t xml:space="preserve">14. Vehicle Distance (cm)</t>
  </si>
  <si>
    <t xml:space="preserve">15. Inside Can Dist (cm)</t>
  </si>
  <si>
    <t xml:space="preserve">Run 1 Error</t>
  </si>
  <si>
    <t xml:space="preserve">Can Bonus</t>
  </si>
  <si>
    <t xml:space="preserve">Run Penalties</t>
  </si>
  <si>
    <t xml:space="preserve">Run Score</t>
  </si>
  <si>
    <t xml:space="preserve">Run 1 TB1: Vehicle Distance</t>
  </si>
  <si>
    <t xml:space="preserve">Run 1 TB2: Time Score</t>
  </si>
  <si>
    <t xml:space="preserve">Run 2 Error</t>
  </si>
  <si>
    <t xml:space="preserve">Run 2 TB1: Vehicle Distance</t>
  </si>
  <si>
    <t xml:space="preserve">Run 2 TB2: Time Score</t>
  </si>
  <si>
    <t xml:space="preserve">Tiebreaks</t>
  </si>
  <si>
    <t xml:space="preserve">Status</t>
  </si>
  <si>
    <t xml:space="preserve">Scored Run Score</t>
  </si>
  <si>
    <t xml:space="preserve">Final Score Penalties</t>
  </si>
  <si>
    <t xml:space="preserve">Vehicle Dist of scored run (TB1)</t>
  </si>
  <si>
    <t xml:space="preserve">TB1 Rank</t>
  </si>
  <si>
    <t xml:space="preserve">Time Score of scored run (TB2)</t>
  </si>
  <si>
    <t xml:space="preserve">TB2 Rank</t>
  </si>
  <si>
    <t xml:space="preserve">Vehicle Dist of non-scored run (TB3)</t>
  </si>
  <si>
    <t xml:space="preserve">TB3 Rank</t>
  </si>
  <si>
    <t xml:space="preserve">Time Score of non-scored run (TB4)</t>
  </si>
  <si>
    <t xml:space="preserve">TB4 Rank</t>
  </si>
  <si>
    <t xml:space="preserve">Rank w/ TB</t>
  </si>
  <si>
    <t xml:space="preserve">Rank Diff</t>
  </si>
  <si>
    <t xml:space="preserve">Name Desc</t>
  </si>
  <si>
    <t xml:space="preserve">Value</t>
  </si>
  <si>
    <t xml:space="preserve">T</t>
  </si>
  <si>
    <t xml:space="preserve">F</t>
  </si>
  <si>
    <t xml:space="preserve">Successful Run</t>
  </si>
  <si>
    <t xml:space="preserve">Successful</t>
  </si>
  <si>
    <t xml:space="preserve">Failed Run</t>
  </si>
  <si>
    <t xml:space="preserve">Failed</t>
  </si>
  <si>
    <t xml:space="preserve">Competed</t>
  </si>
  <si>
    <t xml:space="preserve">C</t>
  </si>
  <si>
    <t xml:space="preserve">Participated</t>
  </si>
  <si>
    <t xml:space="preserve">P</t>
  </si>
  <si>
    <t xml:space="preserve">No-Show</t>
  </si>
  <si>
    <t xml:space="preserve">NS</t>
  </si>
  <si>
    <t xml:space="preserve">Disqualified</t>
  </si>
  <si>
    <t xml:space="preserve">DQ</t>
  </si>
  <si>
    <t xml:space="preserve">Error</t>
  </si>
  <si>
    <t xml:space="preserve">ERR</t>
  </si>
  <si>
    <t xml:space="preserve">Tier 1</t>
  </si>
  <si>
    <t xml:space="preserve">Competition Violation Penalty (run)</t>
  </si>
  <si>
    <t xml:space="preserve">Construction Violation Penalty (run)</t>
  </si>
  <si>
    <t xml:space="preserve">Non-modification Penalty (run)</t>
  </si>
  <si>
    <t xml:space="preserve">Impound Penalty (final)</t>
  </si>
  <si>
    <t xml:space="preserve">Base Run Score</t>
  </si>
  <si>
    <t xml:space="preserve">Vehicle Distance Score (pt/cm)</t>
  </si>
  <si>
    <t xml:space="preserve">Failed Run Distance Score</t>
  </si>
  <si>
    <t xml:space="preserve">Time Score (pt/s)</t>
  </si>
  <si>
    <t xml:space="preserve">Can Bonus Multiplier (pt/cm)</t>
  </si>
  <si>
    <t xml:space="preserve">Can Bonus Baseline (cm)</t>
  </si>
  <si>
    <t xml:space="preserve">Inside Can Distance Max (cm)</t>
  </si>
  <si>
    <t xml:space="preserve">Date</t>
  </si>
  <si>
    <t xml:space="preserve">Version #</t>
  </si>
  <si>
    <t xml:space="preserve">Change</t>
  </si>
  <si>
    <t xml:space="preserve">0.1.0</t>
  </si>
  <si>
    <t xml:space="preserve">First draft of 2027 scoresheet completed</t>
  </si>
  <si>
    <t xml:space="preserve">Event</t>
  </si>
  <si>
    <t xml:space="preserve">Scrambler</t>
  </si>
  <si>
    <t xml:space="preserve">Last Updated</t>
  </si>
  <si>
    <t xml:space="preserve">Idx of first .</t>
  </si>
  <si>
    <t xml:space="preserve">Idx of second .</t>
  </si>
  <si>
    <t xml:space="preserve">Major Version</t>
  </si>
  <si>
    <t xml:space="preserve">Minor Version</t>
  </si>
  <si>
    <t xml:space="preserve">Minor Patch</t>
  </si>
  <si>
    <t xml:space="preserve">Version</t>
  </si>
  <si>
    <t xml:space="preserve">Division</t>
  </si>
  <si>
    <t xml:space="preserve">B</t>
  </si>
  <si>
    <t xml:space="preserve">Year</t>
  </si>
  <si>
    <t xml:space="preserve">VLook</t>
  </si>
  <si>
    <t xml:space="preserve">Latest Version</t>
  </si>
  <si>
    <t xml:space="preserve">Outdated?</t>
  </si>
  <si>
    <t xml:space="preserve">Compliant</t>
  </si>
  <si>
    <t xml:space="preserve">Complete</t>
  </si>
  <si>
    <t xml:space="preserve">Incomplete</t>
  </si>
  <si>
    <t xml:space="preserve">Non-Compliant</t>
  </si>
  <si>
    <t xml:space="preserve">No Log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</si>
</sst>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"/>
    <numFmt numFmtId="166" formatCode="#,##0.00"/>
    <numFmt numFmtId="167" formatCode="0"/>
    <numFmt numFmtId="168" formatCode="0.00"/>
    <numFmt numFmtId="169" formatCode="#,##0"/>
    <numFmt numFmtId="170" formatCode="m/d/yyyy"/>
    <numFmt numFmtId="171" formatCode="mm/dd/yyyy"/>
  </numFmts>
  <fonts count="1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1"/>
      <name val="Overpass"/>
      <family val="0"/>
      <charset val="1"/>
    </font>
    <font>
      <sz val="11"/>
      <color theme="1"/>
      <name val="Arial"/>
      <family val="0"/>
      <charset val="1"/>
    </font>
    <font>
      <sz val="11"/>
      <color theme="1"/>
      <name val="Overpass"/>
      <family val="0"/>
      <charset val="1"/>
    </font>
    <font>
      <b val="true"/>
      <sz val="20"/>
      <color rgb="FF2280BD"/>
      <name val="Overpass"/>
      <family val="0"/>
      <charset val="1"/>
    </font>
    <font>
      <b val="true"/>
      <sz val="11"/>
      <color theme="1"/>
      <name val="Overpass"/>
      <family val="0"/>
      <charset val="1"/>
    </font>
    <font>
      <b val="true"/>
      <sz val="11"/>
      <name val="Overpass"/>
      <family val="0"/>
      <charset val="1"/>
    </font>
    <font>
      <sz val="11"/>
      <color rgb="FF181A1B"/>
      <name val="Overpass"/>
      <family val="0"/>
      <charset val="1"/>
    </font>
    <font>
      <sz val="13"/>
      <color theme="1"/>
      <name val="Overpass"/>
      <family val="0"/>
      <charset val="1"/>
    </font>
    <font>
      <sz val="11"/>
      <name val="Overpass"/>
      <family val="0"/>
      <charset val="1"/>
    </font>
    <font>
      <sz val="11"/>
      <color rgb="FF000000"/>
      <name val="Overpass"/>
      <family val="0"/>
      <charset val="1"/>
    </font>
    <font>
      <sz val="11"/>
      <color rgb="FF181A1B"/>
      <name val="Arial"/>
      <family val="0"/>
      <charset val="1"/>
    </font>
    <font>
      <b val="true"/>
      <sz val="11"/>
      <color theme="1"/>
      <name val="Inconsolata"/>
      <family val="0"/>
      <charset val="1"/>
    </font>
    <font>
      <sz val="11"/>
      <color theme="1"/>
      <name val="Inconsolata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B5D3E6"/>
        <bgColor rgb="FF99CCFF"/>
      </patternFill>
    </fill>
    <fill>
      <patternFill patternType="solid">
        <fgColor rgb="FFD9D9D9"/>
        <bgColor rgb="FFDEEBF3"/>
      </patternFill>
    </fill>
    <fill>
      <patternFill patternType="solid">
        <fgColor rgb="FFFFB3B3"/>
        <bgColor rgb="FFF4C7C3"/>
      </patternFill>
    </fill>
    <fill>
      <patternFill patternType="solid">
        <fgColor rgb="FFCEEAAE"/>
        <bgColor rgb="FFD9D9D9"/>
      </patternFill>
    </fill>
    <fill>
      <patternFill patternType="solid">
        <fgColor rgb="FFDEEBF3"/>
        <bgColor rgb="FFEBF1DE"/>
      </patternFill>
    </fill>
    <fill>
      <patternFill patternType="solid">
        <fgColor rgb="FFF2F2F2"/>
        <bgColor rgb="FFEBF1DE"/>
      </patternFill>
    </fill>
    <fill>
      <patternFill patternType="solid">
        <fgColor rgb="FFFFE5E5"/>
        <bgColor rgb="FFF2F2F2"/>
      </patternFill>
    </fill>
    <fill>
      <patternFill patternType="solid">
        <fgColor rgb="FFEBF1DE"/>
        <bgColor rgb="FFF2F2F2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8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90" wrapText="false" indent="0" shrinkToFit="false"/>
      <protection locked="true" hidden="false"/>
    </xf>
    <xf numFmtId="164" fontId="5" fillId="2" borderId="10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5" fillId="2" borderId="11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5" fillId="2" borderId="12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5" fontId="10" fillId="0" borderId="14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5" fontId="10" fillId="0" borderId="15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8" fillId="0" borderId="1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1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10" fillId="0" borderId="15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7" fontId="8" fillId="0" borderId="14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8" fontId="8" fillId="0" borderId="15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8" fontId="8" fillId="0" borderId="14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7" fontId="8" fillId="0" borderId="15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9" fontId="8" fillId="0" borderId="15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7" fontId="8" fillId="0" borderId="13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right" vertical="bottom" textRotation="90" wrapText="false" indent="0" shrinkToFit="false"/>
      <protection locked="true" hidden="false"/>
    </xf>
    <xf numFmtId="167" fontId="8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4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13" fillId="0" borderId="15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13" fillId="0" borderId="13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10" fillId="0" borderId="5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5" fontId="10" fillId="0" borderId="0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6" fontId="10" fillId="0" borderId="0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10" fillId="0" borderId="7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11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1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5" fillId="3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3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3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6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6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4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6" fillId="6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6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7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7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5" fillId="7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7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7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5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7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7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8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6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8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8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8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8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8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8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8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6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6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6" fillId="1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1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7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7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6" fillId="7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7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6" fillId="7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6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7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6" fillId="3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6" fillId="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3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color rgb="FF000000"/>
      </font>
      <fill>
        <patternFill>
          <bgColor rgb="FFFFB3B3"/>
        </patternFill>
      </fill>
    </dxf>
    <dxf>
      <fill>
        <patternFill>
          <bgColor rgb="FFF4C7C3"/>
        </patternFill>
      </fill>
    </dxf>
    <dxf>
      <font>
        <b val="1"/>
        <color rgb="FFFFFFFF"/>
      </font>
      <fill>
        <patternFill>
          <bgColor rgb="FFCC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280BD"/>
      <rgbColor rgb="FFD9D9D9"/>
      <rgbColor rgb="FF808080"/>
      <rgbColor rgb="FF9999FF"/>
      <rgbColor rgb="FF993366"/>
      <rgbColor rgb="FFEBF1DE"/>
      <rgbColor rgb="FFDEEBF3"/>
      <rgbColor rgb="FF660066"/>
      <rgbColor rgb="FFFF8080"/>
      <rgbColor rgb="FF0066CC"/>
      <rgbColor rgb="FFB5D3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EEAAE"/>
      <rgbColor rgb="FFFFE5E5"/>
      <rgbColor rgb="FF99CCFF"/>
      <rgbColor rgb="FFFFB3B3"/>
      <rgbColor rgb="FFCC99FF"/>
      <rgbColor rgb="FFF4C7C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81A1B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W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K15" activeCellId="0" sqref="K15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.12"/>
    <col collapsed="false" customWidth="true" hidden="false" outlineLevel="0" max="2" min="2" style="1" width="6.88"/>
    <col collapsed="false" customWidth="true" hidden="false" outlineLevel="0" max="3" min="3" style="1" width="30.75"/>
    <col collapsed="false" customWidth="true" hidden="false" outlineLevel="0" max="4" min="4" style="1" width="15.63"/>
    <col collapsed="false" customWidth="true" hidden="false" outlineLevel="0" max="5" min="5" style="1" width="4.5"/>
    <col collapsed="false" customWidth="true" hidden="false" outlineLevel="0" max="6" min="6" style="1" width="6.68"/>
    <col collapsed="false" customWidth="true" hidden="false" outlineLevel="0" max="7" min="7" style="1" width="9.04"/>
    <col collapsed="false" customWidth="true" hidden="false" outlineLevel="0" max="8" min="8" style="1" width="7.5"/>
    <col collapsed="false" customWidth="true" hidden="false" outlineLevel="0" max="9" min="9" style="1" width="6.68"/>
    <col collapsed="false" customWidth="true" hidden="false" outlineLevel="0" max="10" min="10" style="1" width="14.6"/>
    <col collapsed="false" customWidth="true" hidden="false" outlineLevel="0" max="11" min="11" style="1" width="7.5"/>
    <col collapsed="false" customWidth="true" hidden="false" outlineLevel="0" max="12" min="12" style="1" width="6.53"/>
    <col collapsed="false" customWidth="true" hidden="false" outlineLevel="0" max="13" min="13" style="1" width="7.5"/>
    <col collapsed="false" customWidth="true" hidden="false" outlineLevel="0" max="14" min="14" style="1" width="6.53"/>
    <col collapsed="false" customWidth="true" hidden="false" outlineLevel="0" max="15" min="15" style="1" width="7.65"/>
    <col collapsed="false" customWidth="true" hidden="false" outlineLevel="0" max="16" min="16" style="1" width="13.49"/>
    <col collapsed="false" customWidth="true" hidden="false" outlineLevel="0" max="19" min="17" style="1" width="7.5"/>
    <col collapsed="false" customWidth="true" hidden="false" outlineLevel="0" max="20" min="20" style="1" width="4"/>
    <col collapsed="false" customWidth="true" hidden="true" outlineLevel="0" max="21" min="21" style="1" width="4.63"/>
    <col collapsed="false" customWidth="true" hidden="true" outlineLevel="0" max="22" min="22" style="1" width="9.33"/>
    <col collapsed="false" customWidth="true" hidden="true" outlineLevel="0" max="23" min="23" style="1" width="7.37"/>
    <col collapsed="false" customWidth="true" hidden="true" outlineLevel="0" max="24" min="24" style="1" width="7.23"/>
    <col collapsed="false" customWidth="true" hidden="true" outlineLevel="0" max="25" min="25" style="1" width="8.76"/>
    <col collapsed="false" customWidth="true" hidden="true" outlineLevel="0" max="26" min="26" style="1" width="6.81"/>
    <col collapsed="false" customWidth="true" hidden="true" outlineLevel="0" max="27" min="27" style="1" width="7.78"/>
    <col collapsed="false" customWidth="true" hidden="true" outlineLevel="0" max="28" min="28" style="1" width="6.53"/>
    <col collapsed="false" customWidth="true" hidden="true" outlineLevel="0" max="29" min="29" style="1" width="8.21"/>
    <col collapsed="false" customWidth="true" hidden="true" outlineLevel="0" max="30" min="30" style="1" width="7.93"/>
    <col collapsed="false" customWidth="true" hidden="true" outlineLevel="0" max="31" min="31" style="1" width="8.76"/>
    <col collapsed="false" customWidth="true" hidden="true" outlineLevel="0" max="32" min="32" style="1" width="7.5"/>
    <col collapsed="false" customWidth="true" hidden="true" outlineLevel="0" max="33" min="33" style="1" width="8.06"/>
    <col collapsed="false" customWidth="true" hidden="true" outlineLevel="0" max="34" min="34" style="1" width="8.34"/>
    <col collapsed="false" customWidth="true" hidden="true" outlineLevel="0" max="35" min="35" style="1" width="8.49"/>
    <col collapsed="false" customWidth="true" hidden="true" outlineLevel="0" max="36" min="36" style="1" width="6.68"/>
    <col collapsed="false" customWidth="true" hidden="true" outlineLevel="0" max="37" min="37" style="1" width="10.29"/>
    <col collapsed="false" customWidth="true" hidden="true" outlineLevel="0" max="38" min="38" style="1" width="7.09"/>
    <col collapsed="false" customWidth="true" hidden="true" outlineLevel="0" max="39" min="39" style="1" width="8.06"/>
    <col collapsed="false" customWidth="true" hidden="true" outlineLevel="0" max="41" min="40" style="1" width="8.21"/>
    <col collapsed="false" customWidth="true" hidden="true" outlineLevel="0" max="42" min="42" style="1" width="8.49"/>
    <col collapsed="false" customWidth="true" hidden="true" outlineLevel="0" max="43" min="43" style="1" width="8.21"/>
    <col collapsed="false" customWidth="true" hidden="true" outlineLevel="0" max="44" min="44" style="1" width="11.54"/>
    <col collapsed="false" customWidth="true" hidden="true" outlineLevel="0" max="45" min="45" style="1" width="8.21"/>
    <col collapsed="false" customWidth="true" hidden="true" outlineLevel="0" max="46" min="46" style="1" width="7.5"/>
    <col collapsed="false" customWidth="true" hidden="true" outlineLevel="0" max="47" min="47" style="1" width="5.75"/>
    <col collapsed="false" customWidth="true" hidden="true" outlineLevel="0" max="48" min="48" style="1" width="8.21"/>
    <col collapsed="false" customWidth="true" hidden="true" outlineLevel="0" max="49" min="49" style="1" width="7.5"/>
    <col collapsed="false" customWidth="true" hidden="true" outlineLevel="0" max="50" min="50" style="1" width="8.21"/>
    <col collapsed="false" customWidth="true" hidden="true" outlineLevel="0" max="51" min="51" style="1" width="7.65"/>
    <col collapsed="false" customWidth="true" hidden="true" outlineLevel="0" max="52" min="52" style="1" width="9.04"/>
    <col collapsed="false" customWidth="true" hidden="true" outlineLevel="0" max="53" min="53" style="1" width="13.22"/>
    <col collapsed="false" customWidth="true" hidden="true" outlineLevel="0" max="54" min="54" style="1" width="7.78"/>
    <col collapsed="false" customWidth="true" hidden="true" outlineLevel="0" max="55" min="55" style="1" width="7.23"/>
    <col collapsed="false" customWidth="true" hidden="true" outlineLevel="0" max="56" min="56" style="1" width="7.78"/>
    <col collapsed="false" customWidth="true" hidden="true" outlineLevel="0" max="57" min="57" style="1" width="4.63"/>
    <col collapsed="false" customWidth="true" hidden="true" outlineLevel="0" max="58" min="58" style="1" width="18.64"/>
    <col collapsed="false" customWidth="true" hidden="true" outlineLevel="0" max="59" min="59" style="1" width="23.09"/>
    <col collapsed="false" customWidth="true" hidden="true" outlineLevel="0" max="60" min="60" style="1" width="11.96"/>
    <col collapsed="false" customWidth="true" hidden="true" outlineLevel="0" max="61" min="61" style="1" width="8.38"/>
    <col collapsed="false" customWidth="true" hidden="true" outlineLevel="0" max="62" min="62" style="1" width="31.57"/>
    <col collapsed="false" customWidth="true" hidden="true" outlineLevel="0" max="63" min="63" style="1" width="12"/>
    <col collapsed="false" customWidth="true" hidden="true" outlineLevel="0" max="64" min="64" style="1" width="31.44"/>
    <col collapsed="false" customWidth="true" hidden="true" outlineLevel="0" max="65" min="65" style="1" width="11.39"/>
    <col collapsed="false" customWidth="true" hidden="true" outlineLevel="0" max="66" min="66" style="1" width="37.42"/>
    <col collapsed="false" customWidth="true" hidden="true" outlineLevel="0" max="67" min="67" style="1" width="11.7"/>
    <col collapsed="false" customWidth="true" hidden="true" outlineLevel="0" max="68" min="68" style="1" width="36.17"/>
    <col collapsed="false" customWidth="true" hidden="true" outlineLevel="0" max="69" min="69" style="1" width="11.39"/>
    <col collapsed="false" customWidth="true" hidden="true" outlineLevel="0" max="70" min="70" style="1" width="13.07"/>
    <col collapsed="false" customWidth="true" hidden="true" outlineLevel="0" max="71" min="71" style="1" width="10.85"/>
    <col collapsed="false" customWidth="true" hidden="true" outlineLevel="0" max="73" min="72" style="1" width="4.63"/>
    <col collapsed="false" customWidth="true" hidden="false" outlineLevel="0" max="74" min="74" style="1" width="4"/>
    <col collapsed="false" customWidth="true" hidden="false" outlineLevel="0" max="79" min="75" style="1" width="8.63"/>
    <col collapsed="false" customWidth="true" hidden="true" outlineLevel="0" max="80" min="80" style="1" width="4"/>
    <col collapsed="false" customWidth="true" hidden="false" outlineLevel="0" max="83" min="81" style="1" width="4"/>
    <col collapsed="false" customWidth="true" hidden="false" outlineLevel="0" max="84" min="84" style="1" width="2"/>
    <col collapsed="false" customWidth="true" hidden="true" outlineLevel="0" max="94" min="85" style="1" width="4.63"/>
    <col collapsed="false" customWidth="true" hidden="false" outlineLevel="0" max="95" min="95" style="1" width="4.63"/>
    <col collapsed="false" customWidth="true" hidden="false" outlineLevel="0" max="96" min="96" style="1" width="6.88"/>
    <col collapsed="false" customWidth="true" hidden="false" outlineLevel="0" max="97" min="97" style="1" width="30.75"/>
    <col collapsed="false" customWidth="true" hidden="false" outlineLevel="0" max="98" min="98" style="1" width="15.63"/>
    <col collapsed="false" customWidth="true" hidden="false" outlineLevel="0" max="99" min="99" style="1" width="4.63"/>
    <col collapsed="false" customWidth="true" hidden="false" outlineLevel="0" max="100" min="100" style="1" width="8.63"/>
    <col collapsed="false" customWidth="true" hidden="true" outlineLevel="0" max="101" min="101" style="1" width="6.63"/>
    <col collapsed="false" customWidth="true" hidden="false" outlineLevel="0" max="16384" min="16361" style="1" width="11.5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3"/>
      <c r="G1" s="3"/>
      <c r="H1" s="2"/>
      <c r="I1" s="2"/>
      <c r="J1" s="4"/>
      <c r="K1" s="5"/>
      <c r="L1" s="2"/>
      <c r="M1" s="2"/>
      <c r="N1" s="2"/>
      <c r="O1" s="2"/>
      <c r="P1" s="4"/>
      <c r="Q1" s="5"/>
      <c r="R1" s="5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3"/>
      <c r="AO1" s="6"/>
      <c r="AP1" s="2"/>
      <c r="AQ1" s="2"/>
      <c r="AR1" s="6"/>
      <c r="AS1" s="6"/>
      <c r="AT1" s="6"/>
      <c r="AU1" s="2"/>
      <c r="AV1" s="2"/>
      <c r="AW1" s="3"/>
      <c r="AX1" s="6"/>
      <c r="AY1" s="2"/>
      <c r="AZ1" s="2"/>
      <c r="BA1" s="6"/>
      <c r="BB1" s="6"/>
      <c r="BC1" s="6"/>
      <c r="BD1" s="2"/>
      <c r="BE1" s="2"/>
      <c r="BF1" s="2"/>
      <c r="BG1" s="2"/>
      <c r="BH1" s="2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2"/>
      <c r="BU1" s="2"/>
      <c r="BV1" s="2"/>
      <c r="BW1" s="2"/>
      <c r="BX1" s="2"/>
      <c r="BY1" s="2"/>
      <c r="BZ1" s="2"/>
      <c r="CA1" s="2"/>
      <c r="CB1" s="8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</row>
    <row r="2" customFormat="false" ht="15.75" hidden="false" customHeight="true" outlineLevel="0" collapsed="false">
      <c r="A2" s="9"/>
      <c r="B2" s="10" t="str">
        <f aca="false">'Info.'!B1&amp;" "&amp;'Info.'!B4</f>
        <v>Scrambler B</v>
      </c>
      <c r="C2" s="10"/>
      <c r="D2" s="10"/>
      <c r="E2" s="11"/>
      <c r="F2" s="12" t="s">
        <v>0</v>
      </c>
      <c r="G2" s="12"/>
      <c r="H2" s="13" t="s">
        <v>1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4" t="s">
        <v>2</v>
      </c>
      <c r="U2" s="15"/>
      <c r="V2" s="16"/>
      <c r="W2" s="17" t="s">
        <v>3</v>
      </c>
      <c r="X2" s="17"/>
      <c r="Y2" s="17"/>
      <c r="Z2" s="17" t="s">
        <v>4</v>
      </c>
      <c r="AA2" s="17"/>
      <c r="AB2" s="17"/>
      <c r="AC2" s="17"/>
      <c r="AD2" s="17"/>
      <c r="AE2" s="17"/>
      <c r="AF2" s="17" t="s">
        <v>5</v>
      </c>
      <c r="AG2" s="17"/>
      <c r="AH2" s="17"/>
      <c r="AI2" s="17"/>
      <c r="AJ2" s="17"/>
      <c r="AK2" s="17"/>
      <c r="AL2" s="18"/>
      <c r="AM2" s="16"/>
      <c r="AN2" s="19"/>
      <c r="AO2" s="20"/>
      <c r="AP2" s="16"/>
      <c r="AQ2" s="16"/>
      <c r="AR2" s="20"/>
      <c r="AS2" s="20"/>
      <c r="AT2" s="20"/>
      <c r="AU2" s="16"/>
      <c r="AV2" s="16"/>
      <c r="AW2" s="19"/>
      <c r="AX2" s="20"/>
      <c r="AY2" s="16"/>
      <c r="AZ2" s="16"/>
      <c r="BA2" s="20"/>
      <c r="BB2" s="20"/>
      <c r="BC2" s="20"/>
      <c r="BD2" s="16"/>
      <c r="BE2" s="16"/>
      <c r="BF2" s="16"/>
      <c r="BG2" s="16"/>
      <c r="BH2" s="16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21"/>
      <c r="BU2" s="22"/>
      <c r="BV2" s="22" t="s">
        <v>6</v>
      </c>
      <c r="BW2" s="22"/>
      <c r="BX2" s="22"/>
      <c r="BY2" s="22"/>
      <c r="BZ2" s="22"/>
      <c r="CA2" s="22"/>
      <c r="CB2" s="17"/>
      <c r="CC2" s="17"/>
      <c r="CD2" s="17"/>
      <c r="CE2" s="23"/>
      <c r="CF2" s="24"/>
      <c r="CG2" s="16"/>
      <c r="CH2" s="16"/>
      <c r="CI2" s="25" t="s">
        <v>7</v>
      </c>
      <c r="CJ2" s="26" t="s">
        <v>8</v>
      </c>
      <c r="CK2" s="26" t="s">
        <v>9</v>
      </c>
      <c r="CL2" s="26" t="s">
        <v>10</v>
      </c>
      <c r="CM2" s="26" t="s">
        <v>11</v>
      </c>
      <c r="CN2" s="26" t="s">
        <v>12</v>
      </c>
      <c r="CO2" s="26" t="s">
        <v>13</v>
      </c>
      <c r="CP2" s="27" t="s">
        <v>14</v>
      </c>
      <c r="CQ2" s="28" t="s">
        <v>15</v>
      </c>
      <c r="CR2" s="28"/>
      <c r="CS2" s="28"/>
      <c r="CT2" s="28"/>
      <c r="CU2" s="28"/>
      <c r="CV2" s="28"/>
      <c r="CW2" s="16"/>
    </row>
    <row r="3" customFormat="false" ht="15.85" hidden="false" customHeight="true" outlineLevel="0" collapsed="false">
      <c r="A3" s="9"/>
      <c r="B3" s="10"/>
      <c r="C3" s="10"/>
      <c r="D3" s="10"/>
      <c r="E3" s="29" t="s">
        <v>16</v>
      </c>
      <c r="F3" s="30" t="s">
        <v>17</v>
      </c>
      <c r="G3" s="31" t="s">
        <v>18</v>
      </c>
      <c r="H3" s="32" t="s">
        <v>4</v>
      </c>
      <c r="I3" s="32"/>
      <c r="J3" s="32"/>
      <c r="K3" s="32"/>
      <c r="L3" s="32"/>
      <c r="M3" s="32"/>
      <c r="N3" s="33" t="s">
        <v>5</v>
      </c>
      <c r="O3" s="33"/>
      <c r="P3" s="33"/>
      <c r="Q3" s="33"/>
      <c r="R3" s="33"/>
      <c r="S3" s="33"/>
      <c r="T3" s="14"/>
      <c r="U3" s="15"/>
      <c r="V3" s="34"/>
      <c r="W3" s="35" t="str">
        <f aca="false">E3</f>
        <v>1. Impounded (T/F)</v>
      </c>
      <c r="X3" s="35" t="str">
        <f aca="false">F3</f>
        <v>2. Participants use proper eyewear (T/F)</v>
      </c>
      <c r="Y3" s="35" t="str">
        <f aca="false">G3</f>
        <v>3. Conforms to kit modification requirements (T/F)</v>
      </c>
      <c r="Z3" s="35" t="str">
        <f aca="false">H4</f>
        <v>4. Met all const params (T/F)</v>
      </c>
      <c r="AA3" s="35" t="str">
        <f aca="false">I4</f>
        <v>5. Met all comp params (T/F)</v>
      </c>
      <c r="AB3" s="35" t="str">
        <f aca="false">J4</f>
        <v>6. Successful / Failed Run</v>
      </c>
      <c r="AC3" s="35" t="str">
        <f aca="false">K4</f>
        <v>7. Run Time (s)</v>
      </c>
      <c r="AD3" s="35" t="str">
        <f aca="false">L4</f>
        <v>8. Vehicle Distance (cm)</v>
      </c>
      <c r="AE3" s="35" t="str">
        <f aca="false">M4</f>
        <v>9. Inside Can Dist (cm)</v>
      </c>
      <c r="AF3" s="35" t="str">
        <f aca="false">N4</f>
        <v>10. Met all const params (T/F)</v>
      </c>
      <c r="AG3" s="35" t="str">
        <f aca="false">O4</f>
        <v>11. Met all comp params (T/F)</v>
      </c>
      <c r="AH3" s="35" t="str">
        <f aca="false">P4</f>
        <v>12. Successful / Failed Run</v>
      </c>
      <c r="AI3" s="35" t="str">
        <f aca="false">Q4</f>
        <v>13. Run Time (s)</v>
      </c>
      <c r="AJ3" s="35" t="str">
        <f aca="false">R4</f>
        <v>14. Vehicle Distance (cm)</v>
      </c>
      <c r="AK3" s="35" t="str">
        <f aca="false">S4</f>
        <v>15. Inside Can Dist (cm)</v>
      </c>
      <c r="AL3" s="35" t="str">
        <f aca="false">T2</f>
        <v>16. Disqualify (T/F)</v>
      </c>
      <c r="AM3" s="36" t="s">
        <v>4</v>
      </c>
      <c r="AN3" s="36"/>
      <c r="AO3" s="36"/>
      <c r="AP3" s="36"/>
      <c r="AQ3" s="36"/>
      <c r="AR3" s="36"/>
      <c r="AS3" s="36"/>
      <c r="AT3" s="36"/>
      <c r="AU3" s="37" t="s">
        <v>19</v>
      </c>
      <c r="AV3" s="36" t="s">
        <v>5</v>
      </c>
      <c r="AW3" s="36"/>
      <c r="AX3" s="36"/>
      <c r="AY3" s="36"/>
      <c r="AZ3" s="36"/>
      <c r="BA3" s="36"/>
      <c r="BB3" s="36"/>
      <c r="BC3" s="36"/>
      <c r="BD3" s="16"/>
      <c r="BE3" s="18" t="s">
        <v>20</v>
      </c>
      <c r="BF3" s="18"/>
      <c r="BG3" s="18"/>
      <c r="BH3" s="18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21"/>
      <c r="BU3" s="38"/>
      <c r="BV3" s="39" t="s">
        <v>19</v>
      </c>
      <c r="BW3" s="40" t="s">
        <v>21</v>
      </c>
      <c r="BX3" s="40" t="s">
        <v>22</v>
      </c>
      <c r="BY3" s="40" t="s">
        <v>23</v>
      </c>
      <c r="BZ3" s="40" t="s">
        <v>24</v>
      </c>
      <c r="CA3" s="41" t="s">
        <v>25</v>
      </c>
      <c r="CB3" s="42" t="s">
        <v>26</v>
      </c>
      <c r="CC3" s="43" t="s">
        <v>27</v>
      </c>
      <c r="CD3" s="42" t="s">
        <v>28</v>
      </c>
      <c r="CE3" s="44" t="s">
        <v>29</v>
      </c>
      <c r="CF3" s="45"/>
      <c r="CG3" s="16"/>
      <c r="CH3" s="16"/>
      <c r="CI3" s="25"/>
      <c r="CJ3" s="26"/>
      <c r="CK3" s="26"/>
      <c r="CL3" s="26"/>
      <c r="CM3" s="26"/>
      <c r="CN3" s="26"/>
      <c r="CO3" s="26"/>
      <c r="CP3" s="27"/>
      <c r="CQ3" s="46" t="s">
        <v>28</v>
      </c>
      <c r="CR3" s="47" t="s">
        <v>30</v>
      </c>
      <c r="CS3" s="47" t="s">
        <v>31</v>
      </c>
      <c r="CT3" s="47" t="s">
        <v>32</v>
      </c>
      <c r="CU3" s="47" t="s">
        <v>26</v>
      </c>
      <c r="CV3" s="48" t="s">
        <v>25</v>
      </c>
      <c r="CW3" s="16"/>
    </row>
    <row r="4" customFormat="false" ht="18.65" hidden="false" customHeight="true" outlineLevel="0" collapsed="false">
      <c r="A4" s="9"/>
      <c r="B4" s="49" t="str">
        <f aca="false">"Event Scoresheet - "&amp;'Info.'!B5&amp;IF('Info.'!B8="T","
The scoresheet has been updated; please 
download version v"&amp;'Info.'!B7&amp;" from soinc.org/scoresheets.","")</f>
        <v>Event Scoresheet - 2027</v>
      </c>
      <c r="C4" s="49"/>
      <c r="D4" s="49"/>
      <c r="E4" s="29"/>
      <c r="F4" s="30"/>
      <c r="G4" s="31"/>
      <c r="H4" s="50" t="s">
        <v>33</v>
      </c>
      <c r="I4" s="51" t="s">
        <v>34</v>
      </c>
      <c r="J4" s="51" t="s">
        <v>35</v>
      </c>
      <c r="K4" s="51" t="s">
        <v>36</v>
      </c>
      <c r="L4" s="51" t="s">
        <v>37</v>
      </c>
      <c r="M4" s="52" t="s">
        <v>38</v>
      </c>
      <c r="N4" s="51" t="s">
        <v>39</v>
      </c>
      <c r="O4" s="51" t="s">
        <v>40</v>
      </c>
      <c r="P4" s="51" t="s">
        <v>41</v>
      </c>
      <c r="Q4" s="51" t="s">
        <v>42</v>
      </c>
      <c r="R4" s="51" t="s">
        <v>43</v>
      </c>
      <c r="S4" s="52" t="s">
        <v>44</v>
      </c>
      <c r="T4" s="14"/>
      <c r="U4" s="15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5"/>
      <c r="AG4" s="35"/>
      <c r="AH4" s="35"/>
      <c r="AI4" s="35"/>
      <c r="AJ4" s="35"/>
      <c r="AK4" s="35"/>
      <c r="AL4" s="35"/>
      <c r="AM4" s="53" t="s">
        <v>45</v>
      </c>
      <c r="AN4" s="54" t="s">
        <v>21</v>
      </c>
      <c r="AO4" s="55" t="s">
        <v>22</v>
      </c>
      <c r="AP4" s="37" t="s">
        <v>46</v>
      </c>
      <c r="AQ4" s="37" t="s">
        <v>47</v>
      </c>
      <c r="AR4" s="55" t="s">
        <v>48</v>
      </c>
      <c r="AS4" s="56" t="s">
        <v>49</v>
      </c>
      <c r="AT4" s="57" t="s">
        <v>50</v>
      </c>
      <c r="AU4" s="37"/>
      <c r="AV4" s="53" t="s">
        <v>51</v>
      </c>
      <c r="AW4" s="54" t="s">
        <v>21</v>
      </c>
      <c r="AX4" s="55" t="s">
        <v>22</v>
      </c>
      <c r="AY4" s="37" t="s">
        <v>46</v>
      </c>
      <c r="AZ4" s="37" t="s">
        <v>47</v>
      </c>
      <c r="BA4" s="55" t="s">
        <v>48</v>
      </c>
      <c r="BB4" s="56" t="s">
        <v>52</v>
      </c>
      <c r="BC4" s="57" t="s">
        <v>53</v>
      </c>
      <c r="BD4" s="16"/>
      <c r="BE4" s="16"/>
      <c r="BF4" s="16"/>
      <c r="BG4" s="16"/>
      <c r="BH4" s="16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21"/>
      <c r="BU4" s="38"/>
      <c r="BV4" s="39"/>
      <c r="BW4" s="40"/>
      <c r="BX4" s="40"/>
      <c r="BY4" s="40"/>
      <c r="BZ4" s="40"/>
      <c r="CA4" s="41"/>
      <c r="CB4" s="42"/>
      <c r="CC4" s="42"/>
      <c r="CD4" s="42"/>
      <c r="CE4" s="44"/>
      <c r="CF4" s="45"/>
      <c r="CG4" s="16"/>
      <c r="CH4" s="16"/>
      <c r="CI4" s="25"/>
      <c r="CJ4" s="26"/>
      <c r="CK4" s="26"/>
      <c r="CL4" s="26"/>
      <c r="CM4" s="26"/>
      <c r="CN4" s="26"/>
      <c r="CO4" s="26"/>
      <c r="CP4" s="27"/>
      <c r="CQ4" s="46"/>
      <c r="CR4" s="47"/>
      <c r="CS4" s="47"/>
      <c r="CT4" s="47"/>
      <c r="CU4" s="47"/>
      <c r="CV4" s="48"/>
      <c r="CW4" s="16"/>
    </row>
    <row r="5" customFormat="false" ht="118.5" hidden="true" customHeight="true" outlineLevel="0" collapsed="false">
      <c r="A5" s="9"/>
      <c r="B5" s="58"/>
      <c r="C5" s="58"/>
      <c r="D5" s="58"/>
      <c r="E5" s="29"/>
      <c r="F5" s="30"/>
      <c r="G5" s="31"/>
      <c r="H5" s="50"/>
      <c r="I5" s="51"/>
      <c r="J5" s="51"/>
      <c r="K5" s="51"/>
      <c r="L5" s="51"/>
      <c r="M5" s="52"/>
      <c r="N5" s="51"/>
      <c r="O5" s="51"/>
      <c r="P5" s="51"/>
      <c r="Q5" s="51"/>
      <c r="R5" s="51"/>
      <c r="S5" s="52"/>
      <c r="T5" s="14"/>
      <c r="U5" s="15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5"/>
      <c r="AG5" s="35"/>
      <c r="AH5" s="35"/>
      <c r="AI5" s="35"/>
      <c r="AJ5" s="35"/>
      <c r="AK5" s="35"/>
      <c r="AL5" s="35"/>
      <c r="AM5" s="53"/>
      <c r="AN5" s="54"/>
      <c r="AO5" s="54"/>
      <c r="AP5" s="54"/>
      <c r="AQ5" s="54"/>
      <c r="AR5" s="55"/>
      <c r="AS5" s="56"/>
      <c r="AT5" s="57"/>
      <c r="AU5" s="37"/>
      <c r="AV5" s="53"/>
      <c r="AW5" s="54"/>
      <c r="AX5" s="54"/>
      <c r="AY5" s="54"/>
      <c r="AZ5" s="54"/>
      <c r="BA5" s="55"/>
      <c r="BB5" s="56"/>
      <c r="BC5" s="57"/>
      <c r="BD5" s="16"/>
      <c r="BE5" s="16"/>
      <c r="BF5" s="16"/>
      <c r="BG5" s="16"/>
      <c r="BH5" s="16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21"/>
      <c r="BU5" s="38"/>
      <c r="BV5" s="39"/>
      <c r="BW5" s="40"/>
      <c r="BX5" s="40"/>
      <c r="BY5" s="40"/>
      <c r="BZ5" s="40"/>
      <c r="CA5" s="41"/>
      <c r="CB5" s="42"/>
      <c r="CC5" s="42"/>
      <c r="CD5" s="42"/>
      <c r="CE5" s="44"/>
      <c r="CF5" s="45"/>
      <c r="CG5" s="16"/>
      <c r="CH5" s="16"/>
      <c r="CI5" s="25"/>
      <c r="CJ5" s="26"/>
      <c r="CK5" s="26"/>
      <c r="CL5" s="26"/>
      <c r="CM5" s="26"/>
      <c r="CN5" s="26"/>
      <c r="CO5" s="26"/>
      <c r="CP5" s="27"/>
      <c r="CQ5" s="46"/>
      <c r="CR5" s="47"/>
      <c r="CS5" s="47"/>
      <c r="CT5" s="47"/>
      <c r="CU5" s="47"/>
      <c r="CV5" s="48"/>
      <c r="CW5" s="16"/>
    </row>
    <row r="6" customFormat="false" ht="76.5" hidden="false" customHeight="true" outlineLevel="0" collapsed="false">
      <c r="A6" s="9"/>
      <c r="B6" s="59" t="str">
        <f aca="false">"Last Updated: "&amp;TEXT('Info.'!B2, "mm/dd/yyyy")&amp;" (v"&amp;'Info.'!B3&amp;")
Direct all questions to scoresheets@soinc.org."</f>
        <v>Last Updated: 10/01/2026 (v0.1.0)
Direct all questions to scoresheets@soinc.org.</v>
      </c>
      <c r="C6" s="59"/>
      <c r="D6" s="59"/>
      <c r="E6" s="29"/>
      <c r="F6" s="30"/>
      <c r="G6" s="31"/>
      <c r="H6" s="50"/>
      <c r="I6" s="51"/>
      <c r="J6" s="51"/>
      <c r="K6" s="51"/>
      <c r="L6" s="51"/>
      <c r="M6" s="52"/>
      <c r="N6" s="51"/>
      <c r="O6" s="51"/>
      <c r="P6" s="51"/>
      <c r="Q6" s="51"/>
      <c r="R6" s="51"/>
      <c r="S6" s="52"/>
      <c r="T6" s="14"/>
      <c r="U6" s="15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5"/>
      <c r="AG6" s="35"/>
      <c r="AH6" s="35"/>
      <c r="AI6" s="35"/>
      <c r="AJ6" s="35"/>
      <c r="AK6" s="35"/>
      <c r="AL6" s="35"/>
      <c r="AM6" s="53"/>
      <c r="AN6" s="54"/>
      <c r="AO6" s="54"/>
      <c r="AP6" s="54"/>
      <c r="AQ6" s="54"/>
      <c r="AR6" s="55"/>
      <c r="AS6" s="56"/>
      <c r="AT6" s="57"/>
      <c r="AU6" s="37"/>
      <c r="AV6" s="53"/>
      <c r="AW6" s="54"/>
      <c r="AX6" s="54"/>
      <c r="AY6" s="54"/>
      <c r="AZ6" s="54"/>
      <c r="BA6" s="55"/>
      <c r="BB6" s="56"/>
      <c r="BC6" s="57"/>
      <c r="BD6" s="16"/>
      <c r="BE6" s="60"/>
      <c r="BF6" s="16"/>
      <c r="BG6" s="16"/>
      <c r="BH6" s="16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21"/>
      <c r="BU6" s="38"/>
      <c r="BV6" s="39"/>
      <c r="BW6" s="40"/>
      <c r="BX6" s="40"/>
      <c r="BY6" s="40"/>
      <c r="BZ6" s="40"/>
      <c r="CA6" s="41"/>
      <c r="CB6" s="42"/>
      <c r="CC6" s="42"/>
      <c r="CD6" s="42"/>
      <c r="CE6" s="44"/>
      <c r="CF6" s="45"/>
      <c r="CG6" s="16"/>
      <c r="CH6" s="16"/>
      <c r="CI6" s="25"/>
      <c r="CJ6" s="26"/>
      <c r="CK6" s="26"/>
      <c r="CL6" s="26"/>
      <c r="CM6" s="26"/>
      <c r="CN6" s="26"/>
      <c r="CO6" s="26"/>
      <c r="CP6" s="27"/>
      <c r="CQ6" s="46"/>
      <c r="CR6" s="47"/>
      <c r="CS6" s="47"/>
      <c r="CT6" s="47"/>
      <c r="CU6" s="47"/>
      <c r="CV6" s="48"/>
      <c r="CW6" s="16"/>
    </row>
    <row r="7" customFormat="false" ht="26.1" hidden="false" customHeight="true" outlineLevel="0" collapsed="false">
      <c r="A7" s="61"/>
      <c r="B7" s="59"/>
      <c r="C7" s="59"/>
      <c r="D7" s="59"/>
      <c r="E7" s="29"/>
      <c r="F7" s="30"/>
      <c r="G7" s="31"/>
      <c r="H7" s="50"/>
      <c r="I7" s="51"/>
      <c r="J7" s="51"/>
      <c r="K7" s="51"/>
      <c r="L7" s="51"/>
      <c r="M7" s="52"/>
      <c r="N7" s="51"/>
      <c r="O7" s="51"/>
      <c r="P7" s="51"/>
      <c r="Q7" s="51"/>
      <c r="R7" s="51"/>
      <c r="S7" s="52"/>
      <c r="T7" s="14"/>
      <c r="U7" s="62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5"/>
      <c r="AG7" s="35"/>
      <c r="AH7" s="35"/>
      <c r="AI7" s="35"/>
      <c r="AJ7" s="35"/>
      <c r="AK7" s="35"/>
      <c r="AL7" s="35"/>
      <c r="AM7" s="53"/>
      <c r="AN7" s="54"/>
      <c r="AO7" s="54"/>
      <c r="AP7" s="54"/>
      <c r="AQ7" s="54"/>
      <c r="AR7" s="55"/>
      <c r="AS7" s="56"/>
      <c r="AT7" s="57"/>
      <c r="AU7" s="37"/>
      <c r="AV7" s="53"/>
      <c r="AW7" s="54"/>
      <c r="AX7" s="54"/>
      <c r="AY7" s="54"/>
      <c r="AZ7" s="54"/>
      <c r="BA7" s="55"/>
      <c r="BB7" s="56"/>
      <c r="BC7" s="57"/>
      <c r="BD7" s="63"/>
      <c r="BE7" s="64"/>
      <c r="BF7" s="63"/>
      <c r="BG7" s="63"/>
      <c r="BH7" s="63"/>
      <c r="BI7" s="65"/>
      <c r="BJ7" s="66" t="s">
        <v>54</v>
      </c>
      <c r="BK7" s="66"/>
      <c r="BL7" s="66"/>
      <c r="BM7" s="66"/>
      <c r="BN7" s="66"/>
      <c r="BO7" s="66"/>
      <c r="BP7" s="66"/>
      <c r="BQ7" s="66"/>
      <c r="BR7" s="65"/>
      <c r="BS7" s="65"/>
      <c r="BT7" s="63"/>
      <c r="BU7" s="38"/>
      <c r="BV7" s="39"/>
      <c r="BW7" s="40"/>
      <c r="BX7" s="40"/>
      <c r="BY7" s="40"/>
      <c r="BZ7" s="40"/>
      <c r="CA7" s="41"/>
      <c r="CB7" s="42"/>
      <c r="CC7" s="42"/>
      <c r="CD7" s="42"/>
      <c r="CE7" s="44"/>
      <c r="CF7" s="45"/>
      <c r="CG7" s="63"/>
      <c r="CH7" s="63"/>
      <c r="CI7" s="25"/>
      <c r="CJ7" s="26"/>
      <c r="CK7" s="26"/>
      <c r="CL7" s="26"/>
      <c r="CM7" s="26"/>
      <c r="CN7" s="26"/>
      <c r="CO7" s="26"/>
      <c r="CP7" s="27"/>
      <c r="CQ7" s="46"/>
      <c r="CR7" s="47"/>
      <c r="CS7" s="47"/>
      <c r="CT7" s="47"/>
      <c r="CU7" s="47"/>
      <c r="CV7" s="48"/>
      <c r="CW7" s="63"/>
    </row>
    <row r="8" customFormat="false" ht="15.75" hidden="false" customHeight="false" outlineLevel="0" collapsed="false">
      <c r="A8" s="9"/>
      <c r="B8" s="67" t="s">
        <v>30</v>
      </c>
      <c r="C8" s="68" t="s">
        <v>31</v>
      </c>
      <c r="D8" s="69" t="s">
        <v>32</v>
      </c>
      <c r="E8" s="29"/>
      <c r="F8" s="30"/>
      <c r="G8" s="31"/>
      <c r="H8" s="50"/>
      <c r="I8" s="51"/>
      <c r="J8" s="51"/>
      <c r="K8" s="51"/>
      <c r="L8" s="51"/>
      <c r="M8" s="52"/>
      <c r="N8" s="51"/>
      <c r="O8" s="51"/>
      <c r="P8" s="51"/>
      <c r="Q8" s="51"/>
      <c r="R8" s="51"/>
      <c r="S8" s="52"/>
      <c r="T8" s="14"/>
      <c r="U8" s="70"/>
      <c r="V8" s="34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53"/>
      <c r="AN8" s="54"/>
      <c r="AO8" s="54"/>
      <c r="AP8" s="54"/>
      <c r="AQ8" s="54"/>
      <c r="AR8" s="55"/>
      <c r="AS8" s="56"/>
      <c r="AT8" s="57"/>
      <c r="AU8" s="37"/>
      <c r="AV8" s="53"/>
      <c r="AW8" s="54"/>
      <c r="AX8" s="54"/>
      <c r="AY8" s="54"/>
      <c r="AZ8" s="54"/>
      <c r="BA8" s="55"/>
      <c r="BB8" s="56"/>
      <c r="BC8" s="57"/>
      <c r="BD8" s="60" t="s">
        <v>55</v>
      </c>
      <c r="BE8" s="60" t="s">
        <v>26</v>
      </c>
      <c r="BF8" s="60" t="s">
        <v>56</v>
      </c>
      <c r="BG8" s="60" t="s">
        <v>57</v>
      </c>
      <c r="BH8" s="60" t="s">
        <v>20</v>
      </c>
      <c r="BI8" s="60" t="s">
        <v>28</v>
      </c>
      <c r="BJ8" s="60" t="s">
        <v>58</v>
      </c>
      <c r="BK8" s="60" t="s">
        <v>59</v>
      </c>
      <c r="BL8" s="60" t="s">
        <v>60</v>
      </c>
      <c r="BM8" s="60" t="s">
        <v>61</v>
      </c>
      <c r="BN8" s="60" t="s">
        <v>62</v>
      </c>
      <c r="BO8" s="60" t="s">
        <v>63</v>
      </c>
      <c r="BP8" s="60" t="s">
        <v>64</v>
      </c>
      <c r="BQ8" s="60" t="s">
        <v>65</v>
      </c>
      <c r="BR8" s="60" t="s">
        <v>66</v>
      </c>
      <c r="BS8" s="60" t="s">
        <v>67</v>
      </c>
      <c r="BT8" s="71"/>
      <c r="BU8" s="38"/>
      <c r="BV8" s="39"/>
      <c r="BW8" s="40"/>
      <c r="BX8" s="40"/>
      <c r="BY8" s="40"/>
      <c r="BZ8" s="40"/>
      <c r="CA8" s="41"/>
      <c r="CB8" s="42"/>
      <c r="CC8" s="42"/>
      <c r="CD8" s="42"/>
      <c r="CE8" s="44"/>
      <c r="CF8" s="45"/>
      <c r="CG8" s="16" t="n">
        <f aca="false">SUM($CG$9:$CG$508)</f>
        <v>0</v>
      </c>
      <c r="CH8" s="16"/>
      <c r="CI8" s="25"/>
      <c r="CJ8" s="26"/>
      <c r="CK8" s="26"/>
      <c r="CL8" s="26"/>
      <c r="CM8" s="26"/>
      <c r="CN8" s="26"/>
      <c r="CO8" s="26"/>
      <c r="CP8" s="27"/>
      <c r="CQ8" s="46"/>
      <c r="CR8" s="47"/>
      <c r="CS8" s="47"/>
      <c r="CT8" s="47"/>
      <c r="CU8" s="47"/>
      <c r="CV8" s="48"/>
      <c r="CW8" s="16"/>
    </row>
    <row r="9" customFormat="false" ht="15.75" hidden="false" customHeight="false" outlineLevel="0" collapsed="false">
      <c r="A9" s="9"/>
      <c r="B9" s="72"/>
      <c r="C9" s="73"/>
      <c r="D9" s="74"/>
      <c r="E9" s="75"/>
      <c r="F9" s="76"/>
      <c r="G9" s="77"/>
      <c r="H9" s="78"/>
      <c r="I9" s="79"/>
      <c r="J9" s="80"/>
      <c r="K9" s="81"/>
      <c r="L9" s="82"/>
      <c r="M9" s="83"/>
      <c r="N9" s="79"/>
      <c r="O9" s="79"/>
      <c r="P9" s="80"/>
      <c r="Q9" s="80"/>
      <c r="R9" s="82"/>
      <c r="S9" s="84"/>
      <c r="T9" s="85"/>
      <c r="U9" s="86"/>
      <c r="V9" s="87"/>
      <c r="W9" s="87" t="str">
        <f aca="false">IF(ISBLANK($C9),"",IF(E9=Constants!$B$2,TRUE(),IF(E9=Constants!$B$3,FALSE(),TRUE())))</f>
        <v/>
      </c>
      <c r="X9" s="87" t="str">
        <f aca="false">IF(ISBLANK($C9),"",IF(F9=Constants!$B$2,TRUE(),IF(F9=Constants!$B$3,FALSE(),TRUE())))</f>
        <v/>
      </c>
      <c r="Y9" s="87" t="str">
        <f aca="false">IF(ISBLANK($C9),"",IF(G9=Constants!$B$2,TRUE(),IF(G9=Constants!$B$3,FALSE(),TRUE())))</f>
        <v/>
      </c>
      <c r="Z9" s="87" t="str">
        <f aca="false">IF(ISBLANK($C9),"",IF(H9=Constants!$B$2,TRUE(),IF(H9=Constants!$B$3,FALSE(),TRUE())))</f>
        <v/>
      </c>
      <c r="AA9" s="87" t="str">
        <f aca="false">IF(ISBLANK($C9),"",IF(I9=Constants!$B$2,TRUE(),IF(I9=Constants!$B$3,FALSE(),TRUE())))</f>
        <v/>
      </c>
      <c r="AB9" s="87" t="str">
        <f aca="false">IF(ISBLANK($C9),"",IF(J9=Constants!$B$4,TRUE(),IF(J9=Constants!$B$5,FALSE(),COUNTA(K9:M9)&gt;0)))</f>
        <v/>
      </c>
      <c r="AC9" s="88" t="str">
        <f aca="false">IF(ISBLANK($C9),"",IF(ISNUMBER(K9),IF(K9&gt;=0,K9,""),""))</f>
        <v/>
      </c>
      <c r="AD9" s="89" t="str">
        <f aca="false">IF(ISBLANK($C9),"",IF(ISNUMBER(L9),IF(L9&gt;=0,L9,""),""))</f>
        <v/>
      </c>
      <c r="AE9" s="90" t="str">
        <f aca="false">IF(ISBLANK($C9),"",IF(ISNUMBER(M9),IF(M9&gt;=0,MIN(M9,Constants!$B$22),""),""))</f>
        <v/>
      </c>
      <c r="AF9" s="87" t="str">
        <f aca="false">IF(ISBLANK($C9),"",IF(N9=Constants!$B$2,TRUE(),IF(N9=Constants!$B$3,FALSE(),TRUE())))</f>
        <v/>
      </c>
      <c r="AG9" s="87" t="str">
        <f aca="false">IF(ISBLANK($C9),"",IF(O9=Constants!$B$2,TRUE(),IF(O9=Constants!$B$3,FALSE(),TRUE())))</f>
        <v/>
      </c>
      <c r="AH9" s="87" t="str">
        <f aca="false">IF(ISBLANK($C9),"",IF(P9=Constants!$B$4,TRUE(),IF(P9=Constants!$B$5,FALSE(),COUNTA(Q9:S9)&gt;0)))</f>
        <v/>
      </c>
      <c r="AI9" s="88" t="str">
        <f aca="false">IF(ISBLANK($C9),"",IF(ISNUMBER(Q9),IF(Q9&gt;=0,Q9,""),""))</f>
        <v/>
      </c>
      <c r="AJ9" s="89" t="str">
        <f aca="false">IF(ISBLANK($C9),"",IF(ISNUMBER(R9),IF(R9&gt;=0,R9,""),""))</f>
        <v/>
      </c>
      <c r="AK9" s="87" t="str">
        <f aca="false">IF(ISBLANK($C9),"",IF(ISNUMBER(S9),IF(S9&gt;=0,MIN(S9,Constants!$B$22),""),""))</f>
        <v/>
      </c>
      <c r="AL9" s="87" t="str">
        <f aca="false">IF(ISBLANK($C9),"",IF(T9=Constants!$B$2,TRUE(),IF(T9=Constants!$B$3,FALSE(),FALSE())))</f>
        <v/>
      </c>
      <c r="AM9" s="86" t="str">
        <f aca="false">IF(ISBLANK($C9),"",AND($AB9,OR($AC9="",$AD9="",AND(NOT(ISBLANK($M9)),$AE9=""))))</f>
        <v/>
      </c>
      <c r="AN9" s="89" t="str">
        <f aca="false">IF($BD9&lt;&gt;Constants!$B$6,"",IF($AB9,Constants!$B$17*$AD9,Constants!$B$18))</f>
        <v/>
      </c>
      <c r="AO9" s="91" t="str">
        <f aca="false">IF($BD9&lt;&gt;Constants!$B$6,"",Constants!$B$19*IF($AB9,$AC9,0))</f>
        <v/>
      </c>
      <c r="AP9" s="91" t="str">
        <f aca="false">IF($BD9&lt;&gt;Constants!$B$6,"",IF(AND($AB9,ISNUMBER($AE9)),Constants!$B$20*(Constants!$B$21-$AE9),0))</f>
        <v/>
      </c>
      <c r="AQ9" s="91" t="str">
        <f aca="false">IF($BD9&lt;&gt;Constants!$B$6,"",IF($AA9,0,Constants!$B$12)+IF($Z9,0,Constants!$B$13)+IF($Y9,0,Constants!$B$14))</f>
        <v/>
      </c>
      <c r="AR9" s="92" t="str">
        <f aca="false">IF($BD9&lt;&gt;Constants!$B$6,"",Constants!$B$16+SUM($AN9:$AQ9))</f>
        <v/>
      </c>
      <c r="AS9" s="91" t="str">
        <f aca="false">IF($BD9&lt;&gt;Constants!$B$6,"",IF($AB9,$AD9,""))</f>
        <v/>
      </c>
      <c r="AT9" s="93" t="str">
        <f aca="false">IF($BD9&lt;&gt;Constants!$B$6,"",$AO9)</f>
        <v/>
      </c>
      <c r="AU9" s="87" t="str">
        <f aca="false">IF($BD9&lt;&gt;Constants!$B$6,"",IF(OR($BA9&lt;$AR9,AND($BA9=$AR9,OR(AND(ISNUMBER($BB9),OR(NOT(ISNUMBER($AS9)),$BB9&lt;$AS9)),AND(OR(AND($BB9="",$AS9=""),AND(ISNUMBER($BB9),ISNUMBER($AS9),$BB9=$AS9)),$BC9&lt;$AT9)))),"-&gt;","&lt;-"))</f>
        <v/>
      </c>
      <c r="AV9" s="86" t="str">
        <f aca="false">IF(ISBLANK($C9),"",AND($AH9,OR($AI9="",$AJ9="",AND(NOT(ISBLANK($S9)),$AK9=""))))</f>
        <v/>
      </c>
      <c r="AW9" s="89" t="str">
        <f aca="false">IF($BD9&lt;&gt;Constants!$B$6,"",IF($AH9,Constants!$B$17*$AJ9,Constants!$B$18))</f>
        <v/>
      </c>
      <c r="AX9" s="91" t="str">
        <f aca="false">IF($BD9&lt;&gt;Constants!$B$6,"",Constants!$B$19*IF($AH9,$AI9,0))</f>
        <v/>
      </c>
      <c r="AY9" s="91" t="str">
        <f aca="false">IF($BD9&lt;&gt;Constants!$B$6,"",IF(AND($AH9,ISNUMBER($AK9)),Constants!$B$20*(Constants!$B$21-$AK9),0))</f>
        <v/>
      </c>
      <c r="AZ9" s="91" t="str">
        <f aca="false">IF($BD9&lt;&gt;Constants!$B$6,"",IF($AG9,0,Constants!$B$12)+IF($AF9,0,Constants!$B$13)+IF($Y9,0,Constants!$B$14))</f>
        <v/>
      </c>
      <c r="BA9" s="92" t="str">
        <f aca="false">IF($BD9&lt;&gt;Constants!$B$6,"",Constants!$B$16+SUM($AW9:$AZ9))</f>
        <v/>
      </c>
      <c r="BB9" s="91" t="str">
        <f aca="false">IF($BD9&lt;&gt;Constants!$B$6,"",IF($AH9,$AJ9,""))</f>
        <v/>
      </c>
      <c r="BC9" s="93" t="str">
        <f aca="false">IF($BD9&lt;&gt;Constants!$B$6,"",$AX9)</f>
        <v/>
      </c>
      <c r="BD9" s="87" t="str">
        <f aca="false">IF(ISBLANK($C9),"",IF($AL9,Constants!$B$9,IF(COUNTA($E9:$T9)=0,Constants!$B$8,IF(NOT($X9),Constants!$B$7,IF(OR($AM9,$AV9),Constants!$B$10,Constants!$B$6)))))</f>
        <v/>
      </c>
      <c r="BE9" s="87" t="str">
        <f aca="false">IF(ISBLANK($C9),"",IF($BD9&lt;&gt;Constants!$B$6,$BD9,Constants!$B$11))</f>
        <v/>
      </c>
      <c r="BF9" s="91" t="str">
        <f aca="false">IF($BD9&lt;&gt;Constants!$B$6,"",IF($AU9="-&gt;",$BA9,$AR9))</f>
        <v/>
      </c>
      <c r="BG9" s="91" t="str">
        <f aca="false">IF($BD9&lt;&gt;Constants!$B$6,"",IF($W9,0,Constants!$B$15))</f>
        <v/>
      </c>
      <c r="BH9" s="91" t="str">
        <f aca="false">IF(ISBLANK($C9),"",IF($BD9&lt;&gt;Constants!$B$6,$BD9,SUM($BF9:$BG9)))</f>
        <v/>
      </c>
      <c r="BI9" s="87" t="str">
        <f aca="false">IF(ISBLANK($C9),"",IF($BD9&lt;&gt;Constants!$B$6,$BD9,RANK($BH9,$BH$9:$BH$508,1)))</f>
        <v/>
      </c>
      <c r="BJ9" s="91" t="str">
        <f aca="false">IF($BD9&lt;&gt;Constants!$B$6,"",IF($AU9="-&gt;",$BB9,$AS9))</f>
        <v/>
      </c>
      <c r="BK9" s="87" t="str">
        <f aca="false">IF(ISBLANK($C9),"",IF($BD9&lt;&gt;Constants!$B$6,$BD9,IF(ISNUMBER($BJ9),RANK($BJ9,$BJ$9:$BJ$508,1),COUNT($BJ$9:$BJ$508)+1)))</f>
        <v/>
      </c>
      <c r="BL9" s="91" t="str">
        <f aca="false">IF($BD9&lt;&gt;Constants!$B$6,"",IF($AU9="-&gt;",$BC9,$AT9))</f>
        <v/>
      </c>
      <c r="BM9" s="87" t="str">
        <f aca="false">IF(ISBLANK($C9),"",IF($BD9&lt;&gt;Constants!$B$6,$BD9,IF(ISNUMBER($BL9),RANK($BL9,$BL$9:$BL$508,1),COUNT($BL$9:$BL$508)+1)))</f>
        <v/>
      </c>
      <c r="BN9" s="91" t="str">
        <f aca="false">IF($BD9&lt;&gt;Constants!$B$6,"",IF($AU9="-&gt;",$AS9,$BB9))</f>
        <v/>
      </c>
      <c r="BO9" s="87" t="str">
        <f aca="false">IF(ISBLANK($C9),"",IF($BD9&lt;&gt;Constants!$B$6,$BD9,IF(ISNUMBER($BN9),RANK($BN9,$BN$9:$BN$508,1),COUNT($BN$9:$BN$508)+1)))</f>
        <v/>
      </c>
      <c r="BP9" s="91" t="str">
        <f aca="false">IF($BD9&lt;&gt;Constants!$B$6,"",IF($AU9="-&gt;",$AT9,$BC9))</f>
        <v/>
      </c>
      <c r="BQ9" s="87" t="str">
        <f aca="false">IF(ISBLANK($C9),"",IF($BD9&lt;&gt;Constants!$B$6,$BD9,IF(ISNUMBER($BP9),RANK($BP9,$BP$9:$BP$508,1),COUNT($BP$9:$BP$508)+1)))</f>
        <v/>
      </c>
      <c r="BR9" s="87" t="str">
        <f aca="false">IF(ISBLANK($C9),"",IF($BD9&lt;&gt;Constants!$B$6,$BD9,COUNTIFS($BI$9:$BI$508,"&lt;"&amp;$BI9)+COUNTIFS($BI$9:$BI$508,$BI9,$BK$9:$BK$508,"&lt;"&amp;$BK9)+COUNTIFS($BI$9:$BI$508,$BI9,$BK$9:$BK$508,$BK9,$BM$9:$BM$508,"&lt;"&amp;$BM9)+COUNTIFS($BI$9:$BI$508,$BI9,$BK$9:$BK$508,$BK9,$BM$9:$BM$508,$BM9,$BO$9:$BO$508,"&lt;"&amp;$BO9)+COUNTIFS($BI$9:$BI$508,$BI9,$BK$9:$BK$508,$BK9,$BM$9:$BM$508,$BM9,$BO$9:$BO$508,$BO9,$BQ$9:$BQ$508,"&lt;"&amp;$BQ9)+1))</f>
        <v/>
      </c>
      <c r="BS9" s="87" t="str">
        <f aca="false">IF(ISBLANK($C9),"",IF($BD9&lt;&gt;Constants!$B$6,$BD9,$BI9-$BR9))</f>
        <v/>
      </c>
      <c r="BT9" s="94"/>
      <c r="BU9" s="95"/>
      <c r="BV9" s="95" t="str">
        <f aca="false">IF(ISBLANK($C9),"",IF($BD9&lt;&gt;Constants!$B$6,"",IF($AU9="-&gt;",2,1)))</f>
        <v/>
      </c>
      <c r="BW9" s="96" t="str">
        <f aca="false">IF(ISBLANK($C9),"",IF($BD9&lt;&gt;Constants!$B$6,"",IF($AU9="-&gt;",$AW9,$AN9)))</f>
        <v/>
      </c>
      <c r="BX9" s="96" t="str">
        <f aca="false">IF(ISBLANK($C9),"",IF($BD9&lt;&gt;Constants!$B$6,"",IF($AU9="-&gt;",$AX9,$AO9)))</f>
        <v/>
      </c>
      <c r="BY9" s="96" t="str">
        <f aca="false">IF(ISBLANK($C9),"",IF($BD9&lt;&gt;Constants!$B$6,"",IF($AU9="-&gt;",$AY9,$AP9)))</f>
        <v/>
      </c>
      <c r="BZ9" s="96" t="str">
        <f aca="false">IF(ISBLANK($C9),"",IF($BD9&lt;&gt;Constants!$B$6,"",IF($AU9="-&gt;",$AZ9,$AQ9)+$BG9))</f>
        <v/>
      </c>
      <c r="CA9" s="97" t="str">
        <f aca="false">IF(ISBLANK($C9),"",IF($BD9&lt;&gt;Constants!$B$6,$BD9,$BH9))</f>
        <v/>
      </c>
      <c r="CB9" s="98" t="str">
        <f aca="false">IF(ISBLANK($C9),"",$BE9)</f>
        <v/>
      </c>
      <c r="CC9" s="99" t="str">
        <f aca="false">IF(ISBLANK($C9),"",$BS9)</f>
        <v/>
      </c>
      <c r="CD9" s="99" t="str">
        <f aca="false">IF(ISBLANK($C9),"",$BR9)</f>
        <v/>
      </c>
      <c r="CE9" s="100" t="str">
        <f aca="false">IF(ISBLANK($C9),"",IF($CD9=Constants!$B$9,COUNTA($C$9:$C$508)+2,IF($CD9=Constants!$B$8,COUNTA($C$9:$C$508)+1,IF($CD9=Constants!$B$7,COUNTA($C$9:$C$508),$CD9))))</f>
        <v/>
      </c>
      <c r="CF9" s="9"/>
      <c r="CG9" s="101" t="n">
        <f aca="false">IF(OR(ISNUMBER($CD9),$CD9=Constants!$B$9,$CD9=Constants!$B$7,$CD9=Constants!$B$8),1,0)</f>
        <v>0</v>
      </c>
      <c r="CH9" s="101" t="n">
        <v>1</v>
      </c>
      <c r="CI9" s="101" t="str">
        <f aca="false">IF(ISBLANK($C9),"",IF(ISNUMBER($CE9),$CE9+ROW($B9)/1000,""))</f>
        <v/>
      </c>
      <c r="CJ9" s="101" t="str">
        <f aca="false">IF(ISNUMBER($CI9),RANK($CI9,$CI$9:$CI$508,1),"")</f>
        <v/>
      </c>
      <c r="CK9" s="101" t="str">
        <f aca="false">IF(ISBLANK($C9),"",$B9)</f>
        <v/>
      </c>
      <c r="CL9" s="101" t="str">
        <f aca="false">IF(ISBLANK($C9),"",$C9)</f>
        <v/>
      </c>
      <c r="CM9" s="101" t="str">
        <f aca="false">IF(ISBLANK($C9),"",$D9)</f>
        <v/>
      </c>
      <c r="CN9" s="102" t="str">
        <f aca="false">$CB9</f>
        <v/>
      </c>
      <c r="CO9" s="103" t="str">
        <f aca="false">$CA9</f>
        <v/>
      </c>
      <c r="CP9" s="101" t="str">
        <f aca="false">IF(ISBLANK($C9),"",$CD9)</f>
        <v/>
      </c>
      <c r="CQ9" s="104" t="str">
        <f aca="false">IF($CH9&gt;$CG$8,"",VLOOKUP($CH9,$CJ$9:$CP$508,7,FALSE()))</f>
        <v/>
      </c>
      <c r="CR9" s="105" t="str">
        <f aca="false">IF($CH9&gt;$CG$8,"",VLOOKUP($CH9,$CJ$9:$CP$508,2,FALSE()))</f>
        <v/>
      </c>
      <c r="CS9" s="105" t="str">
        <f aca="false">IF($CH9&gt;$CG$8,"",VLOOKUP($CH9,$CJ$9:$CP$508,3,FALSE()))</f>
        <v/>
      </c>
      <c r="CT9" s="105" t="str">
        <f aca="false">IF($CH9&gt;$CG$8,"",VLOOKUP($CH9,$CJ$9:$CP$508,4,FALSE()))</f>
        <v/>
      </c>
      <c r="CU9" s="105" t="str">
        <f aca="false">IF($CH9&gt;$CG$8,"",VLOOKUP($CH9,$CJ$9:$CP$508,5,FALSE()))</f>
        <v/>
      </c>
      <c r="CV9" s="106" t="str">
        <f aca="false">IF($CH9&gt;$CG$8,"",VLOOKUP($CH9,$CJ$9:$CP$508,6,FALSE()))</f>
        <v/>
      </c>
      <c r="CW9" s="71"/>
    </row>
    <row r="10" customFormat="false" ht="15.75" hidden="false" customHeight="false" outlineLevel="0" collapsed="false">
      <c r="A10" s="9"/>
      <c r="B10" s="107"/>
      <c r="C10" s="108"/>
      <c r="D10" s="74"/>
      <c r="E10" s="75"/>
      <c r="F10" s="109"/>
      <c r="G10" s="110"/>
      <c r="H10" s="78"/>
      <c r="I10" s="79"/>
      <c r="J10" s="80"/>
      <c r="K10" s="81"/>
      <c r="L10" s="82"/>
      <c r="M10" s="83"/>
      <c r="N10" s="79"/>
      <c r="O10" s="79"/>
      <c r="P10" s="80"/>
      <c r="Q10" s="80"/>
      <c r="R10" s="82"/>
      <c r="S10" s="83"/>
      <c r="T10" s="111"/>
      <c r="U10" s="86"/>
      <c r="V10" s="87"/>
      <c r="W10" s="87" t="str">
        <f aca="false">IF(ISBLANK($C10),"",IF(E10=Constants!$B$2,TRUE(),IF(E10=Constants!$B$3,FALSE(),TRUE())))</f>
        <v/>
      </c>
      <c r="X10" s="87" t="str">
        <f aca="false">IF(ISBLANK($C10),"",IF(F10=Constants!$B$2,TRUE(),IF(F10=Constants!$B$3,FALSE(),TRUE())))</f>
        <v/>
      </c>
      <c r="Y10" s="87" t="str">
        <f aca="false">IF(ISBLANK($C10),"",IF(G10=Constants!$B$2,TRUE(),IF(G10=Constants!$B$3,FALSE(),TRUE())))</f>
        <v/>
      </c>
      <c r="Z10" s="87" t="str">
        <f aca="false">IF(ISBLANK($C10),"",IF(H10=Constants!$B$2,TRUE(),IF(H10=Constants!$B$3,FALSE(),TRUE())))</f>
        <v/>
      </c>
      <c r="AA10" s="87" t="str">
        <f aca="false">IF(ISBLANK($C10),"",IF(I10=Constants!$B$2,TRUE(),IF(I10=Constants!$B$3,FALSE(),TRUE())))</f>
        <v/>
      </c>
      <c r="AB10" s="87" t="str">
        <f aca="false">IF(ISBLANK($C10),"",IF(J10=Constants!$B$4,TRUE(),IF(J10=Constants!$B$5,FALSE(),COUNTA(K10:M10)&gt;0)))</f>
        <v/>
      </c>
      <c r="AC10" s="88" t="str">
        <f aca="false">IF(ISBLANK($C10),"",IF(ISNUMBER(K10),IF(K10&gt;=0,K10,""),""))</f>
        <v/>
      </c>
      <c r="AD10" s="89" t="str">
        <f aca="false">IF(ISBLANK($C10),"",IF(ISNUMBER(L10),IF(L10&gt;=0,L10,""),""))</f>
        <v/>
      </c>
      <c r="AE10" s="87" t="str">
        <f aca="false">IF(ISBLANK($C10),"",IF(ISNUMBER(M10),IF(M10&gt;=0,MIN(M10,Constants!$B$22),""),""))</f>
        <v/>
      </c>
      <c r="AF10" s="87" t="str">
        <f aca="false">IF(ISBLANK($C10),"",IF(N10=Constants!$B$2,TRUE(),IF(N10=Constants!$B$3,FALSE(),TRUE())))</f>
        <v/>
      </c>
      <c r="AG10" s="87" t="str">
        <f aca="false">IF(ISBLANK($C10),"",IF(O10=Constants!$B$2,TRUE(),IF(O10=Constants!$B$3,FALSE(),TRUE())))</f>
        <v/>
      </c>
      <c r="AH10" s="87" t="str">
        <f aca="false">IF(ISBLANK($C10),"",IF(P10=Constants!$B$4,TRUE(),IF(P10=Constants!$B$5,FALSE(),COUNTA(Q10:S10)&gt;0)))</f>
        <v/>
      </c>
      <c r="AI10" s="88" t="str">
        <f aca="false">IF(ISBLANK($C10),"",IF(ISNUMBER(Q10),IF(Q10&gt;=0,Q10,""),""))</f>
        <v/>
      </c>
      <c r="AJ10" s="89" t="str">
        <f aca="false">IF(ISBLANK($C10),"",IF(ISNUMBER(R10),IF(R10&gt;=0,R10,""),""))</f>
        <v/>
      </c>
      <c r="AK10" s="87" t="str">
        <f aca="false">IF(ISBLANK($C10),"",IF(ISNUMBER(S10),IF(S10&gt;=0,MIN(S10,Constants!$B$22),""),""))</f>
        <v/>
      </c>
      <c r="AL10" s="87" t="str">
        <f aca="false">IF(ISBLANK($C10),"",IF(T10=Constants!$B$2,TRUE(),IF(T10=Constants!$B$3,FALSE(),FALSE())))</f>
        <v/>
      </c>
      <c r="AM10" s="86" t="str">
        <f aca="false">IF(ISBLANK($C10),"",AND($AB10,OR($AC10="",$AD10="",AND(NOT(ISBLANK($M10)),$AE10=""))))</f>
        <v/>
      </c>
      <c r="AN10" s="89" t="str">
        <f aca="false">IF($BD10&lt;&gt;Constants!$B$6,"",IF($AB10,Constants!$B$17*$AD10,Constants!$B$18))</f>
        <v/>
      </c>
      <c r="AO10" s="91" t="str">
        <f aca="false">IF($BD10&lt;&gt;Constants!$B$6,"",Constants!$B$19*IF($AB10,$AC10,0))</f>
        <v/>
      </c>
      <c r="AP10" s="91" t="str">
        <f aca="false">IF($BD10&lt;&gt;Constants!$B$6,"",IF(AND($AB10,ISNUMBER($AE10)),Constants!$B$20*(Constants!$B$21-$AE10),0))</f>
        <v/>
      </c>
      <c r="AQ10" s="91" t="str">
        <f aca="false">IF($BD10&lt;&gt;Constants!$B$6,"",IF($AA10,0,Constants!$B$12)+IF($Z10,0,Constants!$B$13)+IF($Y10,0,Constants!$B$14))</f>
        <v/>
      </c>
      <c r="AR10" s="92" t="str">
        <f aca="false">IF($BD10&lt;&gt;Constants!$B$6,"",Constants!$B$16+SUM($AN10:$AQ10))</f>
        <v/>
      </c>
      <c r="AS10" s="91" t="str">
        <f aca="false">IF($BD10&lt;&gt;Constants!$B$6,"",IF($AB10,$AD10,""))</f>
        <v/>
      </c>
      <c r="AT10" s="93" t="str">
        <f aca="false">IF($BD10&lt;&gt;Constants!$B$6,"",$AO10)</f>
        <v/>
      </c>
      <c r="AU10" s="87" t="str">
        <f aca="false">IF($BD10&lt;&gt;Constants!$B$6,"",IF(OR($BA10&lt;$AR10,AND($BA10=$AR10,OR(AND(ISNUMBER($BB10),OR(NOT(ISNUMBER($AS10)),$BB10&lt;$AS10)),AND(OR(AND($BB10="",$AS10=""),AND(ISNUMBER($BB10),ISNUMBER($AS10),$BB10=$AS10)),$BC10&lt;$AT10)))),"-&gt;","&lt;-"))</f>
        <v/>
      </c>
      <c r="AV10" s="86" t="str">
        <f aca="false">IF(ISBLANK($C10),"",AND($AH10,OR($AI10="",$AJ10="",AND(NOT(ISBLANK($S10)),$AK10=""))))</f>
        <v/>
      </c>
      <c r="AW10" s="89" t="str">
        <f aca="false">IF($BD10&lt;&gt;Constants!$B$6,"",IF($AH10,Constants!$B$17*$AJ10,Constants!$B$18))</f>
        <v/>
      </c>
      <c r="AX10" s="91" t="str">
        <f aca="false">IF($BD10&lt;&gt;Constants!$B$6,"",Constants!$B$19*IF($AH10,$AI10,0))</f>
        <v/>
      </c>
      <c r="AY10" s="91" t="str">
        <f aca="false">IF($BD10&lt;&gt;Constants!$B$6,"",IF(AND($AH10,ISNUMBER($AK10)),Constants!$B$20*(Constants!$B$21-$AK10),0))</f>
        <v/>
      </c>
      <c r="AZ10" s="91" t="str">
        <f aca="false">IF($BD10&lt;&gt;Constants!$B$6,"",IF($AG10,0,Constants!$B$12)+IF($AF10,0,Constants!$B$13)+IF($Y10,0,Constants!$B$14))</f>
        <v/>
      </c>
      <c r="BA10" s="92" t="str">
        <f aca="false">IF($BD10&lt;&gt;Constants!$B$6,"",Constants!$B$16+SUM($AW10:$AZ10))</f>
        <v/>
      </c>
      <c r="BB10" s="91" t="str">
        <f aca="false">IF($BD10&lt;&gt;Constants!$B$6,"",IF($AH10,$AJ10,""))</f>
        <v/>
      </c>
      <c r="BC10" s="93" t="str">
        <f aca="false">IF($BD10&lt;&gt;Constants!$B$6,"",$AX10)</f>
        <v/>
      </c>
      <c r="BD10" s="87" t="str">
        <f aca="false">IF(ISBLANK($C10),"",IF($AL10,Constants!$B$9,IF(COUNTA($E10:$T10)=0,Constants!$B$8,IF(NOT($X10),Constants!$B$7,IF(OR($AM10,$AV10),Constants!$B$10,Constants!$B$6)))))</f>
        <v/>
      </c>
      <c r="BE10" s="87" t="str">
        <f aca="false">IF(ISBLANK($C10),"",IF($BD10&lt;&gt;Constants!$B$6,$BD10,Constants!$B$11))</f>
        <v/>
      </c>
      <c r="BF10" s="91" t="str">
        <f aca="false">IF($BD10&lt;&gt;Constants!$B$6,"",IF($AU10="-&gt;",$BA10,$AR10))</f>
        <v/>
      </c>
      <c r="BG10" s="91" t="str">
        <f aca="false">IF($BD10&lt;&gt;Constants!$B$6,"",IF($W10,0,Constants!$B$15))</f>
        <v/>
      </c>
      <c r="BH10" s="91" t="str">
        <f aca="false">IF(ISBLANK($C10),"",IF($BD10&lt;&gt;Constants!$B$6,$BD10,SUM($BF10:$BG10)))</f>
        <v/>
      </c>
      <c r="BI10" s="87" t="str">
        <f aca="false">IF(ISBLANK($C10),"",IF($BD10&lt;&gt;Constants!$B$6,$BD10,RANK($BH10,$BH$9:$BH$508,1)))</f>
        <v/>
      </c>
      <c r="BJ10" s="91" t="str">
        <f aca="false">IF($BD10&lt;&gt;Constants!$B$6,"",IF($AU10="-&gt;",$BB10,$AS10))</f>
        <v/>
      </c>
      <c r="BK10" s="87" t="str">
        <f aca="false">IF(ISBLANK($C10),"",IF($BD10&lt;&gt;Constants!$B$6,$BD10,IF(ISNUMBER($BJ10),RANK($BJ10,$BJ$9:$BJ$508,1),COUNT($BJ$9:$BJ$508)+1)))</f>
        <v/>
      </c>
      <c r="BL10" s="91" t="str">
        <f aca="false">IF($BD10&lt;&gt;Constants!$B$6,"",IF($AU10="-&gt;",$BC10,$AT10))</f>
        <v/>
      </c>
      <c r="BM10" s="87" t="str">
        <f aca="false">IF(ISBLANK($C10),"",IF($BD10&lt;&gt;Constants!$B$6,$BD10,IF(ISNUMBER($BL10),RANK($BL10,$BL$9:$BL$508,1),COUNT($BL$9:$BL$508)+1)))</f>
        <v/>
      </c>
      <c r="BN10" s="91" t="str">
        <f aca="false">IF($BD10&lt;&gt;Constants!$B$6,"",IF($AU10="-&gt;",$AS10,$BB10))</f>
        <v/>
      </c>
      <c r="BO10" s="87" t="str">
        <f aca="false">IF(ISBLANK($C10),"",IF($BD10&lt;&gt;Constants!$B$6,$BD10,IF(ISNUMBER($BN10),RANK($BN10,$BN$9:$BN$508,1),COUNT($BN$9:$BN$508)+1)))</f>
        <v/>
      </c>
      <c r="BP10" s="91" t="str">
        <f aca="false">IF($BD10&lt;&gt;Constants!$B$6,"",IF($AU10="-&gt;",$AT10,$BC10))</f>
        <v/>
      </c>
      <c r="BQ10" s="87" t="str">
        <f aca="false">IF(ISBLANK($C10),"",IF($BD10&lt;&gt;Constants!$B$6,$BD10,IF(ISNUMBER($BP10),RANK($BP10,$BP$9:$BP$508,1),COUNT($BP$9:$BP$508)+1)))</f>
        <v/>
      </c>
      <c r="BR10" s="87" t="str">
        <f aca="false">IF(ISBLANK($C10),"",IF($BD10&lt;&gt;Constants!$B$6,$BD10,COUNTIFS($BI$9:$BI$508,"&lt;"&amp;$BI10)+COUNTIFS($BI$9:$BI$508,$BI10,$BK$9:$BK$508,"&lt;"&amp;$BK10)+COUNTIFS($BI$9:$BI$508,$BI10,$BK$9:$BK$508,$BK10,$BM$9:$BM$508,"&lt;"&amp;$BM10)+COUNTIFS($BI$9:$BI$508,$BI10,$BK$9:$BK$508,$BK10,$BM$9:$BM$508,$BM10,$BO$9:$BO$508,"&lt;"&amp;$BO10)+COUNTIFS($BI$9:$BI$508,$BI10,$BK$9:$BK$508,$BK10,$BM$9:$BM$508,$BM10,$BO$9:$BO$508,$BO10,$BQ$9:$BQ$508,"&lt;"&amp;$BQ10)+1))</f>
        <v/>
      </c>
      <c r="BS10" s="87" t="str">
        <f aca="false">IF(ISBLANK($C10),"",IF($BD10&lt;&gt;Constants!$B$6,$BD10,$BI10-$BR10))</f>
        <v/>
      </c>
      <c r="BT10" s="94"/>
      <c r="BU10" s="95"/>
      <c r="BV10" s="95" t="str">
        <f aca="false">IF(ISBLANK($C10),"",IF($BD10&lt;&gt;Constants!$B$6,"",IF($AU10="-&gt;",2,1)))</f>
        <v/>
      </c>
      <c r="BW10" s="96" t="str">
        <f aca="false">IF(ISBLANK($C10),"",IF($BD10&lt;&gt;Constants!$B$6,"",IF($AU10="-&gt;",$AW10,$AN10)))</f>
        <v/>
      </c>
      <c r="BX10" s="96" t="str">
        <f aca="false">IF(ISBLANK($C10),"",IF($BD10&lt;&gt;Constants!$B$6,"",IF($AU10="-&gt;",$AX10,$AO10)))</f>
        <v/>
      </c>
      <c r="BY10" s="96" t="str">
        <f aca="false">IF(ISBLANK($C10),"",IF($BD10&lt;&gt;Constants!$B$6,"",IF($AU10="-&gt;",$AY10,$AP10)))</f>
        <v/>
      </c>
      <c r="BZ10" s="96" t="str">
        <f aca="false">IF(ISBLANK($C10),"",IF($BD10&lt;&gt;Constants!$B$6,"",IF($AU10="-&gt;",$AZ10,$AQ10)+$BG10))</f>
        <v/>
      </c>
      <c r="CA10" s="97" t="str">
        <f aca="false">IF(ISBLANK($C10),"",IF($BD10&lt;&gt;Constants!$B$6,$BD10,$BH10))</f>
        <v/>
      </c>
      <c r="CB10" s="98" t="str">
        <f aca="false">IF(ISBLANK($C10),"",$BE10)</f>
        <v/>
      </c>
      <c r="CC10" s="99" t="str">
        <f aca="false">IF(ISBLANK($C10),"",$BS10)</f>
        <v/>
      </c>
      <c r="CD10" s="99" t="str">
        <f aca="false">IF(ISBLANK($C10),"",$BR10)</f>
        <v/>
      </c>
      <c r="CE10" s="100" t="str">
        <f aca="false">IF(ISBLANK($C10),"",IF($CD10=Constants!$B$9,COUNTA($C$9:$C$508)+2,IF($CD10=Constants!$B$8,COUNTA($C$9:$C$508)+1,IF($CD10=Constants!$B$7,COUNTA($C$9:$C$508),$CD10))))</f>
        <v/>
      </c>
      <c r="CF10" s="9"/>
      <c r="CG10" s="101" t="n">
        <f aca="false">IF(OR(ISNUMBER($CD10),$CD10=Constants!$B$9,$CD10=Constants!$B$7,$CD10=Constants!$B$8),1,0)</f>
        <v>0</v>
      </c>
      <c r="CH10" s="101" t="n">
        <v>2</v>
      </c>
      <c r="CI10" s="101" t="str">
        <f aca="false">IF(ISBLANK($C10),"",IF(ISNUMBER($CE10),$CE10+ROW($B10)/1000,""))</f>
        <v/>
      </c>
      <c r="CJ10" s="101" t="str">
        <f aca="false">IF(ISNUMBER($CI10),RANK($CI10,$CI$9:$CI$508,1),"")</f>
        <v/>
      </c>
      <c r="CK10" s="101" t="str">
        <f aca="false">IF(ISBLANK($C10),"",$B10)</f>
        <v/>
      </c>
      <c r="CL10" s="101" t="str">
        <f aca="false">IF(ISBLANK($C10),"",$C10)</f>
        <v/>
      </c>
      <c r="CM10" s="101" t="str">
        <f aca="false">IF(ISBLANK($C10),"",$D10)</f>
        <v/>
      </c>
      <c r="CN10" s="102" t="str">
        <f aca="false">$CB10</f>
        <v/>
      </c>
      <c r="CO10" s="103" t="str">
        <f aca="false">$CA10</f>
        <v/>
      </c>
      <c r="CP10" s="101" t="str">
        <f aca="false">IF(ISBLANK($C10),"",$CD10)</f>
        <v/>
      </c>
      <c r="CQ10" s="104" t="str">
        <f aca="false">IF($CH10&gt;$CG$8,"",VLOOKUP($CH10,$CJ$9:$CP$508,7,FALSE()))</f>
        <v/>
      </c>
      <c r="CR10" s="105" t="str">
        <f aca="false">IF($CH10&gt;$CG$8,"",VLOOKUP($CH10,$CJ$9:$CP$508,2,FALSE()))</f>
        <v/>
      </c>
      <c r="CS10" s="105" t="str">
        <f aca="false">IF($CH10&gt;$CG$8,"",VLOOKUP($CH10,$CJ$9:$CP$508,3,FALSE()))</f>
        <v/>
      </c>
      <c r="CT10" s="105" t="str">
        <f aca="false">IF($CH10&gt;$CG$8,"",VLOOKUP($CH10,$CJ$9:$CP$508,4,FALSE()))</f>
        <v/>
      </c>
      <c r="CU10" s="105" t="str">
        <f aca="false">IF($CH10&gt;$CG$8,"",VLOOKUP($CH10,$CJ$9:$CP$508,5,FALSE()))</f>
        <v/>
      </c>
      <c r="CV10" s="106" t="str">
        <f aca="false">IF($CH10&gt;$CG$8,"",VLOOKUP($CH10,$CJ$9:$CP$508,6,FALSE()))</f>
        <v/>
      </c>
      <c r="CW10" s="71"/>
    </row>
    <row r="11" customFormat="false" ht="15.75" hidden="false" customHeight="false" outlineLevel="0" collapsed="false">
      <c r="A11" s="9"/>
      <c r="B11" s="107"/>
      <c r="C11" s="108"/>
      <c r="D11" s="74"/>
      <c r="E11" s="75"/>
      <c r="F11" s="109"/>
      <c r="G11" s="110"/>
      <c r="H11" s="78"/>
      <c r="I11" s="79"/>
      <c r="J11" s="80"/>
      <c r="K11" s="81"/>
      <c r="L11" s="82"/>
      <c r="M11" s="83"/>
      <c r="N11" s="79"/>
      <c r="O11" s="79"/>
      <c r="P11" s="80"/>
      <c r="Q11" s="80"/>
      <c r="R11" s="82"/>
      <c r="S11" s="83"/>
      <c r="T11" s="111"/>
      <c r="U11" s="86"/>
      <c r="V11" s="87"/>
      <c r="W11" s="87" t="str">
        <f aca="false">IF(ISBLANK($C11),"",IF(E11=Constants!$B$2,TRUE(),IF(E11=Constants!$B$3,FALSE(),TRUE())))</f>
        <v/>
      </c>
      <c r="X11" s="87" t="str">
        <f aca="false">IF(ISBLANK($C11),"",IF(F11=Constants!$B$2,TRUE(),IF(F11=Constants!$B$3,FALSE(),TRUE())))</f>
        <v/>
      </c>
      <c r="Y11" s="87" t="str">
        <f aca="false">IF(ISBLANK($C11),"",IF(G11=Constants!$B$2,TRUE(),IF(G11=Constants!$B$3,FALSE(),TRUE())))</f>
        <v/>
      </c>
      <c r="Z11" s="87" t="str">
        <f aca="false">IF(ISBLANK($C11),"",IF(H11=Constants!$B$2,TRUE(),IF(H11=Constants!$B$3,FALSE(),TRUE())))</f>
        <v/>
      </c>
      <c r="AA11" s="87" t="str">
        <f aca="false">IF(ISBLANK($C11),"",IF(I11=Constants!$B$2,TRUE(),IF(I11=Constants!$B$3,FALSE(),TRUE())))</f>
        <v/>
      </c>
      <c r="AB11" s="87" t="str">
        <f aca="false">IF(ISBLANK($C11),"",IF(J11=Constants!$B$4,TRUE(),IF(J11=Constants!$B$5,FALSE(),COUNTA(K11:M11)&gt;0)))</f>
        <v/>
      </c>
      <c r="AC11" s="88" t="str">
        <f aca="false">IF(ISBLANK($C11),"",IF(ISNUMBER(K11),IF(K11&gt;=0,K11,""),""))</f>
        <v/>
      </c>
      <c r="AD11" s="89" t="str">
        <f aca="false">IF(ISBLANK($C11),"",IF(ISNUMBER(L11),IF(L11&gt;=0,L11,""),""))</f>
        <v/>
      </c>
      <c r="AE11" s="87" t="str">
        <f aca="false">IF(ISBLANK($C11),"",IF(ISNUMBER(M11),IF(M11&gt;=0,MIN(M11,Constants!$B$22),""),""))</f>
        <v/>
      </c>
      <c r="AF11" s="87" t="str">
        <f aca="false">IF(ISBLANK($C11),"",IF(N11=Constants!$B$2,TRUE(),IF(N11=Constants!$B$3,FALSE(),TRUE())))</f>
        <v/>
      </c>
      <c r="AG11" s="87" t="str">
        <f aca="false">IF(ISBLANK($C11),"",IF(O11=Constants!$B$2,TRUE(),IF(O11=Constants!$B$3,FALSE(),TRUE())))</f>
        <v/>
      </c>
      <c r="AH11" s="87" t="str">
        <f aca="false">IF(ISBLANK($C11),"",IF(P11=Constants!$B$4,TRUE(),IF(P11=Constants!$B$5,FALSE(),COUNTA(Q11:S11)&gt;0)))</f>
        <v/>
      </c>
      <c r="AI11" s="88" t="str">
        <f aca="false">IF(ISBLANK($C11),"",IF(ISNUMBER(Q11),IF(Q11&gt;=0,Q11,""),""))</f>
        <v/>
      </c>
      <c r="AJ11" s="89" t="str">
        <f aca="false">IF(ISBLANK($C11),"",IF(ISNUMBER(R11),IF(R11&gt;=0,R11,""),""))</f>
        <v/>
      </c>
      <c r="AK11" s="87" t="str">
        <f aca="false">IF(ISBLANK($C11),"",IF(ISNUMBER(S11),IF(S11&gt;=0,MIN(S11,Constants!$B$22),""),""))</f>
        <v/>
      </c>
      <c r="AL11" s="87" t="str">
        <f aca="false">IF(ISBLANK($C11),"",IF(T11=Constants!$B$2,TRUE(),IF(T11=Constants!$B$3,FALSE(),FALSE())))</f>
        <v/>
      </c>
      <c r="AM11" s="86" t="str">
        <f aca="false">IF(ISBLANK($C11),"",AND($AB11,OR($AC11="",$AD11="",AND(NOT(ISBLANK($M11)),$AE11=""))))</f>
        <v/>
      </c>
      <c r="AN11" s="89" t="str">
        <f aca="false">IF($BD11&lt;&gt;Constants!$B$6,"",IF($AB11,Constants!$B$17*$AD11,Constants!$B$18))</f>
        <v/>
      </c>
      <c r="AO11" s="91" t="str">
        <f aca="false">IF($BD11&lt;&gt;Constants!$B$6,"",Constants!$B$19*IF($AB11,$AC11,0))</f>
        <v/>
      </c>
      <c r="AP11" s="91" t="str">
        <f aca="false">IF($BD11&lt;&gt;Constants!$B$6,"",IF(AND($AB11,ISNUMBER($AE11)),Constants!$B$20*(Constants!$B$21-$AE11),0))</f>
        <v/>
      </c>
      <c r="AQ11" s="91" t="str">
        <f aca="false">IF($BD11&lt;&gt;Constants!$B$6,"",IF($AA11,0,Constants!$B$12)+IF($Z11,0,Constants!$B$13)+IF($Y11,0,Constants!$B$14))</f>
        <v/>
      </c>
      <c r="AR11" s="92" t="str">
        <f aca="false">IF($BD11&lt;&gt;Constants!$B$6,"",Constants!$B$16+SUM($AN11:$AQ11))</f>
        <v/>
      </c>
      <c r="AS11" s="91" t="str">
        <f aca="false">IF($BD11&lt;&gt;Constants!$B$6,"",IF($AB11,$AD11,""))</f>
        <v/>
      </c>
      <c r="AT11" s="93" t="str">
        <f aca="false">IF($BD11&lt;&gt;Constants!$B$6,"",$AO11)</f>
        <v/>
      </c>
      <c r="AU11" s="87" t="str">
        <f aca="false">IF($BD11&lt;&gt;Constants!$B$6,"",IF(OR($BA11&lt;$AR11,AND($BA11=$AR11,OR(AND(ISNUMBER($BB11),OR(NOT(ISNUMBER($AS11)),$BB11&lt;$AS11)),AND(OR(AND($BB11="",$AS11=""),AND(ISNUMBER($BB11),ISNUMBER($AS11),$BB11=$AS11)),$BC11&lt;$AT11)))),"-&gt;","&lt;-"))</f>
        <v/>
      </c>
      <c r="AV11" s="86" t="str">
        <f aca="false">IF(ISBLANK($C11),"",AND($AH11,OR($AI11="",$AJ11="",AND(NOT(ISBLANK($S11)),$AK11=""))))</f>
        <v/>
      </c>
      <c r="AW11" s="89" t="str">
        <f aca="false">IF($BD11&lt;&gt;Constants!$B$6,"",IF($AH11,Constants!$B$17*$AJ11,Constants!$B$18))</f>
        <v/>
      </c>
      <c r="AX11" s="91" t="str">
        <f aca="false">IF($BD11&lt;&gt;Constants!$B$6,"",Constants!$B$19*IF($AH11,$AI11,0))</f>
        <v/>
      </c>
      <c r="AY11" s="91" t="str">
        <f aca="false">IF($BD11&lt;&gt;Constants!$B$6,"",IF(AND($AH11,ISNUMBER($AK11)),Constants!$B$20*(Constants!$B$21-$AK11),0))</f>
        <v/>
      </c>
      <c r="AZ11" s="91" t="str">
        <f aca="false">IF($BD11&lt;&gt;Constants!$B$6,"",IF($AG11,0,Constants!$B$12)+IF($AF11,0,Constants!$B$13)+IF($Y11,0,Constants!$B$14))</f>
        <v/>
      </c>
      <c r="BA11" s="92" t="str">
        <f aca="false">IF($BD11&lt;&gt;Constants!$B$6,"",Constants!$B$16+SUM($AW11:$AZ11))</f>
        <v/>
      </c>
      <c r="BB11" s="91" t="str">
        <f aca="false">IF($BD11&lt;&gt;Constants!$B$6,"",IF($AH11,$AJ11,""))</f>
        <v/>
      </c>
      <c r="BC11" s="93" t="str">
        <f aca="false">IF($BD11&lt;&gt;Constants!$B$6,"",$AX11)</f>
        <v/>
      </c>
      <c r="BD11" s="87" t="str">
        <f aca="false">IF(ISBLANK($C11),"",IF($AL11,Constants!$B$9,IF(COUNTA($E11:$T11)=0,Constants!$B$8,IF(NOT($X11),Constants!$B$7,IF(OR($AM11,$AV11),Constants!$B$10,Constants!$B$6)))))</f>
        <v/>
      </c>
      <c r="BE11" s="87" t="str">
        <f aca="false">IF(ISBLANK($C11),"",IF($BD11&lt;&gt;Constants!$B$6,$BD11,Constants!$B$11))</f>
        <v/>
      </c>
      <c r="BF11" s="91" t="str">
        <f aca="false">IF($BD11&lt;&gt;Constants!$B$6,"",IF($AU11="-&gt;",$BA11,$AR11))</f>
        <v/>
      </c>
      <c r="BG11" s="91" t="str">
        <f aca="false">IF($BD11&lt;&gt;Constants!$B$6,"",IF($W11,0,Constants!$B$15))</f>
        <v/>
      </c>
      <c r="BH11" s="91" t="str">
        <f aca="false">IF(ISBLANK($C11),"",IF($BD11&lt;&gt;Constants!$B$6,$BD11,SUM($BF11:$BG11)))</f>
        <v/>
      </c>
      <c r="BI11" s="87" t="str">
        <f aca="false">IF(ISBLANK($C11),"",IF($BD11&lt;&gt;Constants!$B$6,$BD11,RANK($BH11,$BH$9:$BH$508,1)))</f>
        <v/>
      </c>
      <c r="BJ11" s="91" t="str">
        <f aca="false">IF($BD11&lt;&gt;Constants!$B$6,"",IF($AU11="-&gt;",$BB11,$AS11))</f>
        <v/>
      </c>
      <c r="BK11" s="87" t="str">
        <f aca="false">IF(ISBLANK($C11),"",IF($BD11&lt;&gt;Constants!$B$6,$BD11,IF(ISNUMBER($BJ11),RANK($BJ11,$BJ$9:$BJ$508,1),COUNT($BJ$9:$BJ$508)+1)))</f>
        <v/>
      </c>
      <c r="BL11" s="91" t="str">
        <f aca="false">IF($BD11&lt;&gt;Constants!$B$6,"",IF($AU11="-&gt;",$BC11,$AT11))</f>
        <v/>
      </c>
      <c r="BM11" s="87" t="str">
        <f aca="false">IF(ISBLANK($C11),"",IF($BD11&lt;&gt;Constants!$B$6,$BD11,IF(ISNUMBER($BL11),RANK($BL11,$BL$9:$BL$508,1),COUNT($BL$9:$BL$508)+1)))</f>
        <v/>
      </c>
      <c r="BN11" s="91" t="str">
        <f aca="false">IF($BD11&lt;&gt;Constants!$B$6,"",IF($AU11="-&gt;",$AS11,$BB11))</f>
        <v/>
      </c>
      <c r="BO11" s="87" t="str">
        <f aca="false">IF(ISBLANK($C11),"",IF($BD11&lt;&gt;Constants!$B$6,$BD11,IF(ISNUMBER($BN11),RANK($BN11,$BN$9:$BN$508,1),COUNT($BN$9:$BN$508)+1)))</f>
        <v/>
      </c>
      <c r="BP11" s="91" t="str">
        <f aca="false">IF($BD11&lt;&gt;Constants!$B$6,"",IF($AU11="-&gt;",$AT11,$BC11))</f>
        <v/>
      </c>
      <c r="BQ11" s="87" t="str">
        <f aca="false">IF(ISBLANK($C11),"",IF($BD11&lt;&gt;Constants!$B$6,$BD11,IF(ISNUMBER($BP11),RANK($BP11,$BP$9:$BP$508,1),COUNT($BP$9:$BP$508)+1)))</f>
        <v/>
      </c>
      <c r="BR11" s="87" t="str">
        <f aca="false">IF(ISBLANK($C11),"",IF($BD11&lt;&gt;Constants!$B$6,$BD11,COUNTIFS($BI$9:$BI$508,"&lt;"&amp;$BI11)+COUNTIFS($BI$9:$BI$508,$BI11,$BK$9:$BK$508,"&lt;"&amp;$BK11)+COUNTIFS($BI$9:$BI$508,$BI11,$BK$9:$BK$508,$BK11,$BM$9:$BM$508,"&lt;"&amp;$BM11)+COUNTIFS($BI$9:$BI$508,$BI11,$BK$9:$BK$508,$BK11,$BM$9:$BM$508,$BM11,$BO$9:$BO$508,"&lt;"&amp;$BO11)+COUNTIFS($BI$9:$BI$508,$BI11,$BK$9:$BK$508,$BK11,$BM$9:$BM$508,$BM11,$BO$9:$BO$508,$BO11,$BQ$9:$BQ$508,"&lt;"&amp;$BQ11)+1))</f>
        <v/>
      </c>
      <c r="BS11" s="87" t="str">
        <f aca="false">IF(ISBLANK($C11),"",IF($BD11&lt;&gt;Constants!$B$6,$BD11,$BI11-$BR11))</f>
        <v/>
      </c>
      <c r="BT11" s="94"/>
      <c r="BU11" s="95"/>
      <c r="BV11" s="95" t="str">
        <f aca="false">IF(ISBLANK($C11),"",IF($BD11&lt;&gt;Constants!$B$6,"",IF($AU11="-&gt;",2,1)))</f>
        <v/>
      </c>
      <c r="BW11" s="96" t="str">
        <f aca="false">IF(ISBLANK($C11),"",IF($BD11&lt;&gt;Constants!$B$6,"",IF($AU11="-&gt;",$AW11,$AN11)))</f>
        <v/>
      </c>
      <c r="BX11" s="96" t="str">
        <f aca="false">IF(ISBLANK($C11),"",IF($BD11&lt;&gt;Constants!$B$6,"",IF($AU11="-&gt;",$AX11,$AO11)))</f>
        <v/>
      </c>
      <c r="BY11" s="96" t="str">
        <f aca="false">IF(ISBLANK($C11),"",IF($BD11&lt;&gt;Constants!$B$6,"",IF($AU11="-&gt;",$AY11,$AP11)))</f>
        <v/>
      </c>
      <c r="BZ11" s="96" t="str">
        <f aca="false">IF(ISBLANK($C11),"",IF($BD11&lt;&gt;Constants!$B$6,"",IF($AU11="-&gt;",$AZ11,$AQ11)+$BG11))</f>
        <v/>
      </c>
      <c r="CA11" s="97" t="str">
        <f aca="false">IF(ISBLANK($C11),"",IF($BD11&lt;&gt;Constants!$B$6,$BD11,$BH11))</f>
        <v/>
      </c>
      <c r="CB11" s="98" t="str">
        <f aca="false">IF(ISBLANK($C11),"",$BE11)</f>
        <v/>
      </c>
      <c r="CC11" s="99" t="str">
        <f aca="false">IF(ISBLANK($C11),"",$BS11)</f>
        <v/>
      </c>
      <c r="CD11" s="99" t="str">
        <f aca="false">IF(ISBLANK($C11),"",$BR11)</f>
        <v/>
      </c>
      <c r="CE11" s="100" t="str">
        <f aca="false">IF(ISBLANK($C11),"",IF($CD11=Constants!$B$9,COUNTA($C$9:$C$508)+2,IF($CD11=Constants!$B$8,COUNTA($C$9:$C$508)+1,IF($CD11=Constants!$B$7,COUNTA($C$9:$C$508),$CD11))))</f>
        <v/>
      </c>
      <c r="CF11" s="9"/>
      <c r="CG11" s="101" t="n">
        <f aca="false">IF(OR(ISNUMBER($CD11),$CD11=Constants!$B$9,$CD11=Constants!$B$7,$CD11=Constants!$B$8),1,0)</f>
        <v>0</v>
      </c>
      <c r="CH11" s="101" t="n">
        <v>3</v>
      </c>
      <c r="CI11" s="101" t="str">
        <f aca="false">IF(ISBLANK($C11),"",IF(ISNUMBER($CE11),$CE11+ROW($B11)/1000,""))</f>
        <v/>
      </c>
      <c r="CJ11" s="101" t="str">
        <f aca="false">IF(ISNUMBER($CI11),RANK($CI11,$CI$9:$CI$508,1),"")</f>
        <v/>
      </c>
      <c r="CK11" s="101" t="str">
        <f aca="false">IF(ISBLANK($C11),"",$B11)</f>
        <v/>
      </c>
      <c r="CL11" s="101" t="str">
        <f aca="false">IF(ISBLANK($C11),"",$C11)</f>
        <v/>
      </c>
      <c r="CM11" s="101" t="str">
        <f aca="false">IF(ISBLANK($C11),"",$D11)</f>
        <v/>
      </c>
      <c r="CN11" s="102" t="str">
        <f aca="false">$CB11</f>
        <v/>
      </c>
      <c r="CO11" s="103" t="str">
        <f aca="false">$CA11</f>
        <v/>
      </c>
      <c r="CP11" s="101" t="str">
        <f aca="false">IF(ISBLANK($C11),"",$CD11)</f>
        <v/>
      </c>
      <c r="CQ11" s="104" t="str">
        <f aca="false">IF($CH11&gt;$CG$8,"",VLOOKUP($CH11,$CJ$9:$CP$508,7,FALSE()))</f>
        <v/>
      </c>
      <c r="CR11" s="105" t="str">
        <f aca="false">IF($CH11&gt;$CG$8,"",VLOOKUP($CH11,$CJ$9:$CP$508,2,FALSE()))</f>
        <v/>
      </c>
      <c r="CS11" s="105" t="str">
        <f aca="false">IF($CH11&gt;$CG$8,"",VLOOKUP($CH11,$CJ$9:$CP$508,3,FALSE()))</f>
        <v/>
      </c>
      <c r="CT11" s="105" t="str">
        <f aca="false">IF($CH11&gt;$CG$8,"",VLOOKUP($CH11,$CJ$9:$CP$508,4,FALSE()))</f>
        <v/>
      </c>
      <c r="CU11" s="105" t="str">
        <f aca="false">IF($CH11&gt;$CG$8,"",VLOOKUP($CH11,$CJ$9:$CP$508,5,FALSE()))</f>
        <v/>
      </c>
      <c r="CV11" s="106" t="str">
        <f aca="false">IF($CH11&gt;$CG$8,"",VLOOKUP($CH11,$CJ$9:$CP$508,6,FALSE()))</f>
        <v/>
      </c>
      <c r="CW11" s="71"/>
    </row>
    <row r="12" customFormat="false" ht="15.75" hidden="false" customHeight="false" outlineLevel="0" collapsed="false">
      <c r="A12" s="9"/>
      <c r="B12" s="112"/>
      <c r="C12" s="113"/>
      <c r="D12" s="114"/>
      <c r="E12" s="115"/>
      <c r="F12" s="116"/>
      <c r="G12" s="117"/>
      <c r="H12" s="118"/>
      <c r="I12" s="119"/>
      <c r="J12" s="120"/>
      <c r="K12" s="121"/>
      <c r="L12" s="122"/>
      <c r="M12" s="123"/>
      <c r="N12" s="119"/>
      <c r="O12" s="119"/>
      <c r="P12" s="120"/>
      <c r="Q12" s="120"/>
      <c r="R12" s="122"/>
      <c r="S12" s="124"/>
      <c r="T12" s="125"/>
      <c r="U12" s="126"/>
      <c r="V12" s="127"/>
      <c r="W12" s="127" t="str">
        <f aca="false">IF(ISBLANK($C12),"",IF(E12=Constants!$B$2,TRUE(),IF(E12=Constants!$B$3,FALSE(),TRUE())))</f>
        <v/>
      </c>
      <c r="X12" s="127" t="str">
        <f aca="false">IF(ISBLANK($C12),"",IF(F12=Constants!$B$2,TRUE(),IF(F12=Constants!$B$3,FALSE(),TRUE())))</f>
        <v/>
      </c>
      <c r="Y12" s="127" t="str">
        <f aca="false">IF(ISBLANK($C12),"",IF(G12=Constants!$B$2,TRUE(),IF(G12=Constants!$B$3,FALSE(),TRUE())))</f>
        <v/>
      </c>
      <c r="Z12" s="127" t="str">
        <f aca="false">IF(ISBLANK($C12),"",IF(H12=Constants!$B$2,TRUE(),IF(H12=Constants!$B$3,FALSE(),TRUE())))</f>
        <v/>
      </c>
      <c r="AA12" s="127" t="str">
        <f aca="false">IF(ISBLANK($C12),"",IF(I12=Constants!$B$2,TRUE(),IF(I12=Constants!$B$3,FALSE(),TRUE())))</f>
        <v/>
      </c>
      <c r="AB12" s="127" t="str">
        <f aca="false">IF(ISBLANK($C12),"",IF(J12=Constants!$B$4,TRUE(),IF(J12=Constants!$B$5,FALSE(),COUNTA(K12:M12)&gt;0)))</f>
        <v/>
      </c>
      <c r="AC12" s="128" t="str">
        <f aca="false">IF(ISBLANK($C12),"",IF(ISNUMBER(K12),IF(K12&gt;=0,K12,""),""))</f>
        <v/>
      </c>
      <c r="AD12" s="129" t="str">
        <f aca="false">IF(ISBLANK($C12),"",IF(ISNUMBER(L12),IF(L12&gt;=0,L12,""),""))</f>
        <v/>
      </c>
      <c r="AE12" s="127" t="str">
        <f aca="false">IF(ISBLANK($C12),"",IF(ISNUMBER(M12),IF(M12&gt;=0,MIN(M12,Constants!$B$22),""),""))</f>
        <v/>
      </c>
      <c r="AF12" s="127" t="str">
        <f aca="false">IF(ISBLANK($C12),"",IF(N12=Constants!$B$2,TRUE(),IF(N12=Constants!$B$3,FALSE(),TRUE())))</f>
        <v/>
      </c>
      <c r="AG12" s="127" t="str">
        <f aca="false">IF(ISBLANK($C12),"",IF(O12=Constants!$B$2,TRUE(),IF(O12=Constants!$B$3,FALSE(),TRUE())))</f>
        <v/>
      </c>
      <c r="AH12" s="127" t="str">
        <f aca="false">IF(ISBLANK($C12),"",IF(P12=Constants!$B$4,TRUE(),IF(P12=Constants!$B$5,FALSE(),COUNTA(Q12:S12)&gt;0)))</f>
        <v/>
      </c>
      <c r="AI12" s="128" t="str">
        <f aca="false">IF(ISBLANK($C12),"",IF(ISNUMBER(Q12),IF(Q12&gt;=0,Q12,""),""))</f>
        <v/>
      </c>
      <c r="AJ12" s="129" t="str">
        <f aca="false">IF(ISBLANK($C12),"",IF(ISNUMBER(R12),IF(R12&gt;=0,R12,""),""))</f>
        <v/>
      </c>
      <c r="AK12" s="127" t="str">
        <f aca="false">IF(ISBLANK($C12),"",IF(ISNUMBER(S12),IF(S12&gt;=0,MIN(S12,Constants!$B$22),""),""))</f>
        <v/>
      </c>
      <c r="AL12" s="127" t="str">
        <f aca="false">IF(ISBLANK($C12),"",IF(T12=Constants!$B$2,TRUE(),IF(T12=Constants!$B$3,FALSE(),FALSE())))</f>
        <v/>
      </c>
      <c r="AM12" s="126" t="str">
        <f aca="false">IF(ISBLANK($C12),"",AND($AB12,OR($AC12="",$AD12="",AND(NOT(ISBLANK($M12)),$AE12=""))))</f>
        <v/>
      </c>
      <c r="AN12" s="129" t="str">
        <f aca="false">IF($BD12&lt;&gt;Constants!$B$6,"",IF($AB12,Constants!$B$17*$AD12,Constants!$B$18))</f>
        <v/>
      </c>
      <c r="AO12" s="130" t="str">
        <f aca="false">IF($BD12&lt;&gt;Constants!$B$6,"",Constants!$B$19*IF($AB12,$AC12,0))</f>
        <v/>
      </c>
      <c r="AP12" s="130" t="str">
        <f aca="false">IF($BD12&lt;&gt;Constants!$B$6,"",IF(AND($AB12,ISNUMBER($AE12)),Constants!$B$20*(Constants!$B$21-$AE12),0))</f>
        <v/>
      </c>
      <c r="AQ12" s="130" t="str">
        <f aca="false">IF($BD12&lt;&gt;Constants!$B$6,"",IF($AA12,0,Constants!$B$12)+IF($Z12,0,Constants!$B$13)+IF($Y12,0,Constants!$B$14))</f>
        <v/>
      </c>
      <c r="AR12" s="131" t="str">
        <f aca="false">IF($BD12&lt;&gt;Constants!$B$6,"",Constants!$B$16+SUM($AN12:$AQ12))</f>
        <v/>
      </c>
      <c r="AS12" s="130" t="str">
        <f aca="false">IF($BD12&lt;&gt;Constants!$B$6,"",IF($AB12,$AD12,""))</f>
        <v/>
      </c>
      <c r="AT12" s="132" t="str">
        <f aca="false">IF($BD12&lt;&gt;Constants!$B$6,"",$AO12)</f>
        <v/>
      </c>
      <c r="AU12" s="127" t="str">
        <f aca="false">IF($BD12&lt;&gt;Constants!$B$6,"",IF(OR($BA12&lt;$AR12,AND($BA12=$AR12,OR(AND(ISNUMBER($BB12),OR(NOT(ISNUMBER($AS12)),$BB12&lt;$AS12)),AND(OR(AND($BB12="",$AS12=""),AND(ISNUMBER($BB12),ISNUMBER($AS12),$BB12=$AS12)),$BC12&lt;$AT12)))),"-&gt;","&lt;-"))</f>
        <v/>
      </c>
      <c r="AV12" s="126" t="str">
        <f aca="false">IF(ISBLANK($C12),"",AND($AH12,OR($AI12="",$AJ12="",AND(NOT(ISBLANK($S12)),$AK12=""))))</f>
        <v/>
      </c>
      <c r="AW12" s="129" t="str">
        <f aca="false">IF($BD12&lt;&gt;Constants!$B$6,"",IF($AH12,Constants!$B$17*$AJ12,Constants!$B$18))</f>
        <v/>
      </c>
      <c r="AX12" s="130" t="str">
        <f aca="false">IF($BD12&lt;&gt;Constants!$B$6,"",Constants!$B$19*IF($AH12,$AI12,0))</f>
        <v/>
      </c>
      <c r="AY12" s="130" t="str">
        <f aca="false">IF($BD12&lt;&gt;Constants!$B$6,"",IF(AND($AH12,ISNUMBER($AK12)),Constants!$B$20*(Constants!$B$21-$AK12),0))</f>
        <v/>
      </c>
      <c r="AZ12" s="130" t="str">
        <f aca="false">IF($BD12&lt;&gt;Constants!$B$6,"",IF($AG12,0,Constants!$B$12)+IF($AF12,0,Constants!$B$13)+IF($Y12,0,Constants!$B$14))</f>
        <v/>
      </c>
      <c r="BA12" s="131" t="str">
        <f aca="false">IF($BD12&lt;&gt;Constants!$B$6,"",Constants!$B$16+SUM($AW12:$AZ12))</f>
        <v/>
      </c>
      <c r="BB12" s="130" t="str">
        <f aca="false">IF($BD12&lt;&gt;Constants!$B$6,"",IF($AH12,$AJ12,""))</f>
        <v/>
      </c>
      <c r="BC12" s="132" t="str">
        <f aca="false">IF($BD12&lt;&gt;Constants!$B$6,"",$AX12)</f>
        <v/>
      </c>
      <c r="BD12" s="127" t="str">
        <f aca="false">IF(ISBLANK($C12),"",IF($AL12,Constants!$B$9,IF(COUNTA($E12:$T12)=0,Constants!$B$8,IF(NOT($X12),Constants!$B$7,IF(OR($AM12,$AV12),Constants!$B$10,Constants!$B$6)))))</f>
        <v/>
      </c>
      <c r="BE12" s="127" t="str">
        <f aca="false">IF(ISBLANK($C12),"",IF($BD12&lt;&gt;Constants!$B$6,$BD12,Constants!$B$11))</f>
        <v/>
      </c>
      <c r="BF12" s="130" t="str">
        <f aca="false">IF($BD12&lt;&gt;Constants!$B$6,"",IF($AU12="-&gt;",$BA12,$AR12))</f>
        <v/>
      </c>
      <c r="BG12" s="130" t="str">
        <f aca="false">IF($BD12&lt;&gt;Constants!$B$6,"",IF($W12,0,Constants!$B$15))</f>
        <v/>
      </c>
      <c r="BH12" s="130" t="str">
        <f aca="false">IF(ISBLANK($C12),"",IF($BD12&lt;&gt;Constants!$B$6,$BD12,SUM($BF12:$BG12)))</f>
        <v/>
      </c>
      <c r="BI12" s="127" t="str">
        <f aca="false">IF(ISBLANK($C12),"",IF($BD12&lt;&gt;Constants!$B$6,$BD12,RANK($BH12,$BH$9:$BH$508,1)))</f>
        <v/>
      </c>
      <c r="BJ12" s="130" t="str">
        <f aca="false">IF($BD12&lt;&gt;Constants!$B$6,"",IF($AU12="-&gt;",$BB12,$AS12))</f>
        <v/>
      </c>
      <c r="BK12" s="127" t="str">
        <f aca="false">IF(ISBLANK($C12),"",IF($BD12&lt;&gt;Constants!$B$6,$BD12,IF(ISNUMBER($BJ12),RANK($BJ12,$BJ$9:$BJ$508,1),COUNT($BJ$9:$BJ$508)+1)))</f>
        <v/>
      </c>
      <c r="BL12" s="130" t="str">
        <f aca="false">IF($BD12&lt;&gt;Constants!$B$6,"",IF($AU12="-&gt;",$BC12,$AT12))</f>
        <v/>
      </c>
      <c r="BM12" s="127" t="str">
        <f aca="false">IF(ISBLANK($C12),"",IF($BD12&lt;&gt;Constants!$B$6,$BD12,IF(ISNUMBER($BL12),RANK($BL12,$BL$9:$BL$508,1),COUNT($BL$9:$BL$508)+1)))</f>
        <v/>
      </c>
      <c r="BN12" s="130" t="str">
        <f aca="false">IF($BD12&lt;&gt;Constants!$B$6,"",IF($AU12="-&gt;",$AS12,$BB12))</f>
        <v/>
      </c>
      <c r="BO12" s="127" t="str">
        <f aca="false">IF(ISBLANK($C12),"",IF($BD12&lt;&gt;Constants!$B$6,$BD12,IF(ISNUMBER($BN12),RANK($BN12,$BN$9:$BN$508,1),COUNT($BN$9:$BN$508)+1)))</f>
        <v/>
      </c>
      <c r="BP12" s="130" t="str">
        <f aca="false">IF($BD12&lt;&gt;Constants!$B$6,"",IF($AU12="-&gt;",$AT12,$BC12))</f>
        <v/>
      </c>
      <c r="BQ12" s="127" t="str">
        <f aca="false">IF(ISBLANK($C12),"",IF($BD12&lt;&gt;Constants!$B$6,$BD12,IF(ISNUMBER($BP12),RANK($BP12,$BP$9:$BP$508,1),COUNT($BP$9:$BP$508)+1)))</f>
        <v/>
      </c>
      <c r="BR12" s="127" t="str">
        <f aca="false">IF(ISBLANK($C12),"",IF($BD12&lt;&gt;Constants!$B$6,$BD12,COUNTIFS($BI$9:$BI$508,"&lt;"&amp;$BI12)+COUNTIFS($BI$9:$BI$508,$BI12,$BK$9:$BK$508,"&lt;"&amp;$BK12)+COUNTIFS($BI$9:$BI$508,$BI12,$BK$9:$BK$508,$BK12,$BM$9:$BM$508,"&lt;"&amp;$BM12)+COUNTIFS($BI$9:$BI$508,$BI12,$BK$9:$BK$508,$BK12,$BM$9:$BM$508,$BM12,$BO$9:$BO$508,"&lt;"&amp;$BO12)+COUNTIFS($BI$9:$BI$508,$BI12,$BK$9:$BK$508,$BK12,$BM$9:$BM$508,$BM12,$BO$9:$BO$508,$BO12,$BQ$9:$BQ$508,"&lt;"&amp;$BQ12)+1))</f>
        <v/>
      </c>
      <c r="BS12" s="127" t="str">
        <f aca="false">IF(ISBLANK($C12),"",IF($BD12&lt;&gt;Constants!$B$6,$BD12,$BI12-$BR12))</f>
        <v/>
      </c>
      <c r="BT12" s="133"/>
      <c r="BU12" s="134"/>
      <c r="BV12" s="134" t="str">
        <f aca="false">IF(ISBLANK($C12),"",IF($BD12&lt;&gt;Constants!$B$6,"",IF($AU12="-&gt;",2,1)))</f>
        <v/>
      </c>
      <c r="BW12" s="135" t="str">
        <f aca="false">IF(ISBLANK($C12),"",IF($BD12&lt;&gt;Constants!$B$6,"",IF($AU12="-&gt;",$AW12,$AN12)))</f>
        <v/>
      </c>
      <c r="BX12" s="135" t="str">
        <f aca="false">IF(ISBLANK($C12),"",IF($BD12&lt;&gt;Constants!$B$6,"",IF($AU12="-&gt;",$AX12,$AO12)))</f>
        <v/>
      </c>
      <c r="BY12" s="135" t="str">
        <f aca="false">IF(ISBLANK($C12),"",IF($BD12&lt;&gt;Constants!$B$6,"",IF($AU12="-&gt;",$AY12,$AP12)))</f>
        <v/>
      </c>
      <c r="BZ12" s="135" t="str">
        <f aca="false">IF(ISBLANK($C12),"",IF($BD12&lt;&gt;Constants!$B$6,"",IF($AU12="-&gt;",$AZ12,$AQ12)+$BG12))</f>
        <v/>
      </c>
      <c r="CA12" s="136" t="str">
        <f aca="false">IF(ISBLANK($C12),"",IF($BD12&lt;&gt;Constants!$B$6,$BD12,$BH12))</f>
        <v/>
      </c>
      <c r="CB12" s="137" t="str">
        <f aca="false">IF(ISBLANK($C12),"",$BE12)</f>
        <v/>
      </c>
      <c r="CC12" s="138" t="str">
        <f aca="false">IF(ISBLANK($C12),"",$BS12)</f>
        <v/>
      </c>
      <c r="CD12" s="138" t="str">
        <f aca="false">IF(ISBLANK($C12),"",$BR12)</f>
        <v/>
      </c>
      <c r="CE12" s="139" t="str">
        <f aca="false">IF(ISBLANK($C12),"",IF($CD12=Constants!$B$9,COUNTA($C$9:$C$508)+2,IF($CD12=Constants!$B$8,COUNTA($C$9:$C$508)+1,IF($CD12=Constants!$B$7,COUNTA($C$9:$C$508),$CD12))))</f>
        <v/>
      </c>
      <c r="CF12" s="9"/>
      <c r="CG12" s="140" t="n">
        <f aca="false">IF(OR(ISNUMBER($CD12),$CD12=Constants!$B$9,$CD12=Constants!$B$7,$CD12=Constants!$B$8),1,0)</f>
        <v>0</v>
      </c>
      <c r="CH12" s="140" t="n">
        <v>4</v>
      </c>
      <c r="CI12" s="140" t="str">
        <f aca="false">IF(ISBLANK($C12),"",IF(ISNUMBER($CE12),$CE12+ROW($B12)/1000,""))</f>
        <v/>
      </c>
      <c r="CJ12" s="140" t="str">
        <f aca="false">IF(ISNUMBER($CI12),RANK($CI12,$CI$9:$CI$508,1),"")</f>
        <v/>
      </c>
      <c r="CK12" s="140" t="str">
        <f aca="false">IF(ISBLANK($C12),"",$B12)</f>
        <v/>
      </c>
      <c r="CL12" s="140" t="str">
        <f aca="false">IF(ISBLANK($C12),"",$C12)</f>
        <v/>
      </c>
      <c r="CM12" s="140" t="str">
        <f aca="false">IF(ISBLANK($C12),"",$D12)</f>
        <v/>
      </c>
      <c r="CN12" s="141" t="str">
        <f aca="false">$CB12</f>
        <v/>
      </c>
      <c r="CO12" s="142" t="str">
        <f aca="false">$CA12</f>
        <v/>
      </c>
      <c r="CP12" s="140" t="str">
        <f aca="false">IF(ISBLANK($C12),"",$CD12)</f>
        <v/>
      </c>
      <c r="CQ12" s="143" t="str">
        <f aca="false">IF($CH12&gt;$CG$8,"",VLOOKUP($CH12,$CJ$9:$CP$508,7,FALSE()))</f>
        <v/>
      </c>
      <c r="CR12" s="144" t="str">
        <f aca="false">IF($CH12&gt;$CG$8,"",VLOOKUP($CH12,$CJ$9:$CP$508,2,FALSE()))</f>
        <v/>
      </c>
      <c r="CS12" s="144" t="str">
        <f aca="false">IF($CH12&gt;$CG$8,"",VLOOKUP($CH12,$CJ$9:$CP$508,3,FALSE()))</f>
        <v/>
      </c>
      <c r="CT12" s="144" t="str">
        <f aca="false">IF($CH12&gt;$CG$8,"",VLOOKUP($CH12,$CJ$9:$CP$508,4,FALSE()))</f>
        <v/>
      </c>
      <c r="CU12" s="144" t="str">
        <f aca="false">IF($CH12&gt;$CG$8,"",VLOOKUP($CH12,$CJ$9:$CP$508,5,FALSE()))</f>
        <v/>
      </c>
      <c r="CV12" s="145" t="str">
        <f aca="false">IF($CH12&gt;$CG$8,"",VLOOKUP($CH12,$CJ$9:$CP$508,6,FALSE()))</f>
        <v/>
      </c>
      <c r="CW12" s="71"/>
    </row>
    <row r="13" customFormat="false" ht="15.75" hidden="false" customHeight="false" outlineLevel="0" collapsed="false">
      <c r="A13" s="9"/>
      <c r="B13" s="112"/>
      <c r="C13" s="146"/>
      <c r="D13" s="114"/>
      <c r="E13" s="115"/>
      <c r="F13" s="147"/>
      <c r="G13" s="148"/>
      <c r="H13" s="118"/>
      <c r="I13" s="119"/>
      <c r="J13" s="120"/>
      <c r="K13" s="121"/>
      <c r="L13" s="122"/>
      <c r="M13" s="123"/>
      <c r="N13" s="119"/>
      <c r="O13" s="119"/>
      <c r="P13" s="120"/>
      <c r="Q13" s="120"/>
      <c r="R13" s="122"/>
      <c r="S13" s="123"/>
      <c r="T13" s="149"/>
      <c r="U13" s="126"/>
      <c r="V13" s="127"/>
      <c r="W13" s="127" t="str">
        <f aca="false">IF(ISBLANK($C13),"",IF(E13=Constants!$B$2,TRUE(),IF(E13=Constants!$B$3,FALSE(),TRUE())))</f>
        <v/>
      </c>
      <c r="X13" s="127" t="str">
        <f aca="false">IF(ISBLANK($C13),"",IF(F13=Constants!$B$2,TRUE(),IF(F13=Constants!$B$3,FALSE(),TRUE())))</f>
        <v/>
      </c>
      <c r="Y13" s="127" t="str">
        <f aca="false">IF(ISBLANK($C13),"",IF(G13=Constants!$B$2,TRUE(),IF(G13=Constants!$B$3,FALSE(),TRUE())))</f>
        <v/>
      </c>
      <c r="Z13" s="127" t="str">
        <f aca="false">IF(ISBLANK($C13),"",IF(H13=Constants!$B$2,TRUE(),IF(H13=Constants!$B$3,FALSE(),TRUE())))</f>
        <v/>
      </c>
      <c r="AA13" s="127" t="str">
        <f aca="false">IF(ISBLANK($C13),"",IF(I13=Constants!$B$2,TRUE(),IF(I13=Constants!$B$3,FALSE(),TRUE())))</f>
        <v/>
      </c>
      <c r="AB13" s="127" t="str">
        <f aca="false">IF(ISBLANK($C13),"",IF(J13=Constants!$B$4,TRUE(),IF(J13=Constants!$B$5,FALSE(),COUNTA(K13:M13)&gt;0)))</f>
        <v/>
      </c>
      <c r="AC13" s="128" t="str">
        <f aca="false">IF(ISBLANK($C13),"",IF(ISNUMBER(K13),IF(K13&gt;=0,K13,""),""))</f>
        <v/>
      </c>
      <c r="AD13" s="129" t="str">
        <f aca="false">IF(ISBLANK($C13),"",IF(ISNUMBER(L13),IF(L13&gt;=0,L13,""),""))</f>
        <v/>
      </c>
      <c r="AE13" s="127" t="str">
        <f aca="false">IF(ISBLANK($C13),"",IF(ISNUMBER(M13),IF(M13&gt;=0,MIN(M13,Constants!$B$22),""),""))</f>
        <v/>
      </c>
      <c r="AF13" s="127" t="str">
        <f aca="false">IF(ISBLANK($C13),"",IF(N13=Constants!$B$2,TRUE(),IF(N13=Constants!$B$3,FALSE(),TRUE())))</f>
        <v/>
      </c>
      <c r="AG13" s="127" t="str">
        <f aca="false">IF(ISBLANK($C13),"",IF(O13=Constants!$B$2,TRUE(),IF(O13=Constants!$B$3,FALSE(),TRUE())))</f>
        <v/>
      </c>
      <c r="AH13" s="127" t="str">
        <f aca="false">IF(ISBLANK($C13),"",IF(P13=Constants!$B$4,TRUE(),IF(P13=Constants!$B$5,FALSE(),COUNTA(Q13:S13)&gt;0)))</f>
        <v/>
      </c>
      <c r="AI13" s="128" t="str">
        <f aca="false">IF(ISBLANK($C13),"",IF(ISNUMBER(Q13),IF(Q13&gt;=0,Q13,""),""))</f>
        <v/>
      </c>
      <c r="AJ13" s="129" t="str">
        <f aca="false">IF(ISBLANK($C13),"",IF(ISNUMBER(R13),IF(R13&gt;=0,R13,""),""))</f>
        <v/>
      </c>
      <c r="AK13" s="127" t="str">
        <f aca="false">IF(ISBLANK($C13),"",IF(ISNUMBER(S13),IF(S13&gt;=0,MIN(S13,Constants!$B$22),""),""))</f>
        <v/>
      </c>
      <c r="AL13" s="127" t="str">
        <f aca="false">IF(ISBLANK($C13),"",IF(T13=Constants!$B$2,TRUE(),IF(T13=Constants!$B$3,FALSE(),FALSE())))</f>
        <v/>
      </c>
      <c r="AM13" s="126" t="str">
        <f aca="false">IF(ISBLANK($C13),"",AND($AB13,OR($AC13="",$AD13="",AND(NOT(ISBLANK($M13)),$AE13=""))))</f>
        <v/>
      </c>
      <c r="AN13" s="129" t="str">
        <f aca="false">IF($BD13&lt;&gt;Constants!$B$6,"",IF($AB13,Constants!$B$17*$AD13,Constants!$B$18))</f>
        <v/>
      </c>
      <c r="AO13" s="130" t="str">
        <f aca="false">IF($BD13&lt;&gt;Constants!$B$6,"",Constants!$B$19*IF($AB13,$AC13,0))</f>
        <v/>
      </c>
      <c r="AP13" s="130" t="str">
        <f aca="false">IF($BD13&lt;&gt;Constants!$B$6,"",IF(AND($AB13,ISNUMBER($AE13)),Constants!$B$20*(Constants!$B$21-$AE13),0))</f>
        <v/>
      </c>
      <c r="AQ13" s="130" t="str">
        <f aca="false">IF($BD13&lt;&gt;Constants!$B$6,"",IF($AA13,0,Constants!$B$12)+IF($Z13,0,Constants!$B$13)+IF($Y13,0,Constants!$B$14))</f>
        <v/>
      </c>
      <c r="AR13" s="131" t="str">
        <f aca="false">IF($BD13&lt;&gt;Constants!$B$6,"",Constants!$B$16+SUM($AN13:$AQ13))</f>
        <v/>
      </c>
      <c r="AS13" s="130" t="str">
        <f aca="false">IF($BD13&lt;&gt;Constants!$B$6,"",IF($AB13,$AD13,""))</f>
        <v/>
      </c>
      <c r="AT13" s="132" t="str">
        <f aca="false">IF($BD13&lt;&gt;Constants!$B$6,"",$AO13)</f>
        <v/>
      </c>
      <c r="AU13" s="127" t="str">
        <f aca="false">IF($BD13&lt;&gt;Constants!$B$6,"",IF(OR($BA13&lt;$AR13,AND($BA13=$AR13,OR(AND(ISNUMBER($BB13),OR(NOT(ISNUMBER($AS13)),$BB13&lt;$AS13)),AND(OR(AND($BB13="",$AS13=""),AND(ISNUMBER($BB13),ISNUMBER($AS13),$BB13=$AS13)),$BC13&lt;$AT13)))),"-&gt;","&lt;-"))</f>
        <v/>
      </c>
      <c r="AV13" s="126" t="str">
        <f aca="false">IF(ISBLANK($C13),"",AND($AH13,OR($AI13="",$AJ13="",AND(NOT(ISBLANK($S13)),$AK13=""))))</f>
        <v/>
      </c>
      <c r="AW13" s="129" t="str">
        <f aca="false">IF($BD13&lt;&gt;Constants!$B$6,"",IF($AH13,Constants!$B$17*$AJ13,Constants!$B$18))</f>
        <v/>
      </c>
      <c r="AX13" s="130" t="str">
        <f aca="false">IF($BD13&lt;&gt;Constants!$B$6,"",Constants!$B$19*IF($AH13,$AI13,0))</f>
        <v/>
      </c>
      <c r="AY13" s="130" t="str">
        <f aca="false">IF($BD13&lt;&gt;Constants!$B$6,"",IF(AND($AH13,ISNUMBER($AK13)),Constants!$B$20*(Constants!$B$21-$AK13),0))</f>
        <v/>
      </c>
      <c r="AZ13" s="130" t="str">
        <f aca="false">IF($BD13&lt;&gt;Constants!$B$6,"",IF($AG13,0,Constants!$B$12)+IF($AF13,0,Constants!$B$13)+IF($Y13,0,Constants!$B$14))</f>
        <v/>
      </c>
      <c r="BA13" s="131" t="str">
        <f aca="false">IF($BD13&lt;&gt;Constants!$B$6,"",Constants!$B$16+SUM($AW13:$AZ13))</f>
        <v/>
      </c>
      <c r="BB13" s="130" t="str">
        <f aca="false">IF($BD13&lt;&gt;Constants!$B$6,"",IF($AH13,$AJ13,""))</f>
        <v/>
      </c>
      <c r="BC13" s="132" t="str">
        <f aca="false">IF($BD13&lt;&gt;Constants!$B$6,"",$AX13)</f>
        <v/>
      </c>
      <c r="BD13" s="127" t="str">
        <f aca="false">IF(ISBLANK($C13),"",IF($AL13,Constants!$B$9,IF(COUNTA($E13:$T13)=0,Constants!$B$8,IF(NOT($X13),Constants!$B$7,IF(OR($AM13,$AV13),Constants!$B$10,Constants!$B$6)))))</f>
        <v/>
      </c>
      <c r="BE13" s="127" t="str">
        <f aca="false">IF(ISBLANK($C13),"",IF($BD13&lt;&gt;Constants!$B$6,$BD13,Constants!$B$11))</f>
        <v/>
      </c>
      <c r="BF13" s="130" t="str">
        <f aca="false">IF($BD13&lt;&gt;Constants!$B$6,"",IF($AU13="-&gt;",$BA13,$AR13))</f>
        <v/>
      </c>
      <c r="BG13" s="130" t="str">
        <f aca="false">IF($BD13&lt;&gt;Constants!$B$6,"",IF($W13,0,Constants!$B$15))</f>
        <v/>
      </c>
      <c r="BH13" s="130" t="str">
        <f aca="false">IF(ISBLANK($C13),"",IF($BD13&lt;&gt;Constants!$B$6,$BD13,SUM($BF13:$BG13)))</f>
        <v/>
      </c>
      <c r="BI13" s="127" t="str">
        <f aca="false">IF(ISBLANK($C13),"",IF($BD13&lt;&gt;Constants!$B$6,$BD13,RANK($BH13,$BH$9:$BH$508,1)))</f>
        <v/>
      </c>
      <c r="BJ13" s="130" t="str">
        <f aca="false">IF($BD13&lt;&gt;Constants!$B$6,"",IF($AU13="-&gt;",$BB13,$AS13))</f>
        <v/>
      </c>
      <c r="BK13" s="127" t="str">
        <f aca="false">IF(ISBLANK($C13),"",IF($BD13&lt;&gt;Constants!$B$6,$BD13,IF(ISNUMBER($BJ13),RANK($BJ13,$BJ$9:$BJ$508,1),COUNT($BJ$9:$BJ$508)+1)))</f>
        <v/>
      </c>
      <c r="BL13" s="130" t="str">
        <f aca="false">IF($BD13&lt;&gt;Constants!$B$6,"",IF($AU13="-&gt;",$BC13,$AT13))</f>
        <v/>
      </c>
      <c r="BM13" s="127" t="str">
        <f aca="false">IF(ISBLANK($C13),"",IF($BD13&lt;&gt;Constants!$B$6,$BD13,IF(ISNUMBER($BL13),RANK($BL13,$BL$9:$BL$508,1),COUNT($BL$9:$BL$508)+1)))</f>
        <v/>
      </c>
      <c r="BN13" s="130" t="str">
        <f aca="false">IF($BD13&lt;&gt;Constants!$B$6,"",IF($AU13="-&gt;",$AS13,$BB13))</f>
        <v/>
      </c>
      <c r="BO13" s="127" t="str">
        <f aca="false">IF(ISBLANK($C13),"",IF($BD13&lt;&gt;Constants!$B$6,$BD13,IF(ISNUMBER($BN13),RANK($BN13,$BN$9:$BN$508,1),COUNT($BN$9:$BN$508)+1)))</f>
        <v/>
      </c>
      <c r="BP13" s="130" t="str">
        <f aca="false">IF($BD13&lt;&gt;Constants!$B$6,"",IF($AU13="-&gt;",$AT13,$BC13))</f>
        <v/>
      </c>
      <c r="BQ13" s="127" t="str">
        <f aca="false">IF(ISBLANK($C13),"",IF($BD13&lt;&gt;Constants!$B$6,$BD13,IF(ISNUMBER($BP13),RANK($BP13,$BP$9:$BP$508,1),COUNT($BP$9:$BP$508)+1)))</f>
        <v/>
      </c>
      <c r="BR13" s="127" t="str">
        <f aca="false">IF(ISBLANK($C13),"",IF($BD13&lt;&gt;Constants!$B$6,$BD13,COUNTIFS($BI$9:$BI$508,"&lt;"&amp;$BI13)+COUNTIFS($BI$9:$BI$508,$BI13,$BK$9:$BK$508,"&lt;"&amp;$BK13)+COUNTIFS($BI$9:$BI$508,$BI13,$BK$9:$BK$508,$BK13,$BM$9:$BM$508,"&lt;"&amp;$BM13)+COUNTIFS($BI$9:$BI$508,$BI13,$BK$9:$BK$508,$BK13,$BM$9:$BM$508,$BM13,$BO$9:$BO$508,"&lt;"&amp;$BO13)+COUNTIFS($BI$9:$BI$508,$BI13,$BK$9:$BK$508,$BK13,$BM$9:$BM$508,$BM13,$BO$9:$BO$508,$BO13,$BQ$9:$BQ$508,"&lt;"&amp;$BQ13)+1))</f>
        <v/>
      </c>
      <c r="BS13" s="127" t="str">
        <f aca="false">IF(ISBLANK($C13),"",IF($BD13&lt;&gt;Constants!$B$6,$BD13,$BI13-$BR13))</f>
        <v/>
      </c>
      <c r="BT13" s="133"/>
      <c r="BU13" s="134"/>
      <c r="BV13" s="134" t="str">
        <f aca="false">IF(ISBLANK($C13),"",IF($BD13&lt;&gt;Constants!$B$6,"",IF($AU13="-&gt;",2,1)))</f>
        <v/>
      </c>
      <c r="BW13" s="135" t="str">
        <f aca="false">IF(ISBLANK($C13),"",IF($BD13&lt;&gt;Constants!$B$6,"",IF($AU13="-&gt;",$AW13,$AN13)))</f>
        <v/>
      </c>
      <c r="BX13" s="135" t="str">
        <f aca="false">IF(ISBLANK($C13),"",IF($BD13&lt;&gt;Constants!$B$6,"",IF($AU13="-&gt;",$AX13,$AO13)))</f>
        <v/>
      </c>
      <c r="BY13" s="135" t="str">
        <f aca="false">IF(ISBLANK($C13),"",IF($BD13&lt;&gt;Constants!$B$6,"",IF($AU13="-&gt;",$AY13,$AP13)))</f>
        <v/>
      </c>
      <c r="BZ13" s="135" t="str">
        <f aca="false">IF(ISBLANK($C13),"",IF($BD13&lt;&gt;Constants!$B$6,"",IF($AU13="-&gt;",$AZ13,$AQ13)+$BG13))</f>
        <v/>
      </c>
      <c r="CA13" s="136" t="str">
        <f aca="false">IF(ISBLANK($C13),"",IF($BD13&lt;&gt;Constants!$B$6,$BD13,$BH13))</f>
        <v/>
      </c>
      <c r="CB13" s="137" t="str">
        <f aca="false">IF(ISBLANK($C13),"",$BE13)</f>
        <v/>
      </c>
      <c r="CC13" s="138" t="str">
        <f aca="false">IF(ISBLANK($C13),"",$BS13)</f>
        <v/>
      </c>
      <c r="CD13" s="138" t="str">
        <f aca="false">IF(ISBLANK($C13),"",$BR13)</f>
        <v/>
      </c>
      <c r="CE13" s="139" t="str">
        <f aca="false">IF(ISBLANK($C13),"",IF($CD13=Constants!$B$9,COUNTA($C$9:$C$508)+2,IF($CD13=Constants!$B$8,COUNTA($C$9:$C$508)+1,IF($CD13=Constants!$B$7,COUNTA($C$9:$C$508),$CD13))))</f>
        <v/>
      </c>
      <c r="CF13" s="9"/>
      <c r="CG13" s="140" t="n">
        <f aca="false">IF(OR(ISNUMBER($CD13),$CD13=Constants!$B$9,$CD13=Constants!$B$7,$CD13=Constants!$B$8),1,0)</f>
        <v>0</v>
      </c>
      <c r="CH13" s="140" t="n">
        <v>5</v>
      </c>
      <c r="CI13" s="140" t="str">
        <f aca="false">IF(ISBLANK($C13),"",IF(ISNUMBER($CE13),$CE13+ROW($B13)/1000,""))</f>
        <v/>
      </c>
      <c r="CJ13" s="140" t="str">
        <f aca="false">IF(ISNUMBER($CI13),RANK($CI13,$CI$9:$CI$508,1),"")</f>
        <v/>
      </c>
      <c r="CK13" s="140" t="str">
        <f aca="false">IF(ISBLANK($C13),"",$B13)</f>
        <v/>
      </c>
      <c r="CL13" s="140" t="str">
        <f aca="false">IF(ISBLANK($C13),"",$C13)</f>
        <v/>
      </c>
      <c r="CM13" s="140" t="str">
        <f aca="false">IF(ISBLANK($C13),"",$D13)</f>
        <v/>
      </c>
      <c r="CN13" s="141" t="str">
        <f aca="false">$CB13</f>
        <v/>
      </c>
      <c r="CO13" s="142" t="str">
        <f aca="false">$CA13</f>
        <v/>
      </c>
      <c r="CP13" s="140" t="str">
        <f aca="false">IF(ISBLANK($C13),"",$CD13)</f>
        <v/>
      </c>
      <c r="CQ13" s="143" t="str">
        <f aca="false">IF($CH13&gt;$CG$8,"",VLOOKUP($CH13,$CJ$9:$CP$508,7,FALSE()))</f>
        <v/>
      </c>
      <c r="CR13" s="144" t="str">
        <f aca="false">IF($CH13&gt;$CG$8,"",VLOOKUP($CH13,$CJ$9:$CP$508,2,FALSE()))</f>
        <v/>
      </c>
      <c r="CS13" s="144" t="str">
        <f aca="false">IF($CH13&gt;$CG$8,"",VLOOKUP($CH13,$CJ$9:$CP$508,3,FALSE()))</f>
        <v/>
      </c>
      <c r="CT13" s="144" t="str">
        <f aca="false">IF($CH13&gt;$CG$8,"",VLOOKUP($CH13,$CJ$9:$CP$508,4,FALSE()))</f>
        <v/>
      </c>
      <c r="CU13" s="144" t="str">
        <f aca="false">IF($CH13&gt;$CG$8,"",VLOOKUP($CH13,$CJ$9:$CP$508,5,FALSE()))</f>
        <v/>
      </c>
      <c r="CV13" s="145" t="str">
        <f aca="false">IF($CH13&gt;$CG$8,"",VLOOKUP($CH13,$CJ$9:$CP$508,6,FALSE()))</f>
        <v/>
      </c>
      <c r="CW13" s="71"/>
    </row>
    <row r="14" customFormat="false" ht="15.65" hidden="false" customHeight="true" outlineLevel="0" collapsed="false">
      <c r="A14" s="9"/>
      <c r="B14" s="112"/>
      <c r="C14" s="146"/>
      <c r="D14" s="114"/>
      <c r="E14" s="115"/>
      <c r="F14" s="147"/>
      <c r="G14" s="148"/>
      <c r="H14" s="118"/>
      <c r="I14" s="119"/>
      <c r="J14" s="120"/>
      <c r="K14" s="121"/>
      <c r="L14" s="122"/>
      <c r="M14" s="123"/>
      <c r="N14" s="119"/>
      <c r="O14" s="119"/>
      <c r="P14" s="120"/>
      <c r="Q14" s="122"/>
      <c r="R14" s="122"/>
      <c r="S14" s="123"/>
      <c r="T14" s="149"/>
      <c r="U14" s="126"/>
      <c r="V14" s="127"/>
      <c r="W14" s="127" t="str">
        <f aca="false">IF(ISBLANK($C14),"",IF(E14=Constants!$B$2,TRUE(),IF(E14=Constants!$B$3,FALSE(),TRUE())))</f>
        <v/>
      </c>
      <c r="X14" s="127" t="str">
        <f aca="false">IF(ISBLANK($C14),"",IF(F14=Constants!$B$2,TRUE(),IF(F14=Constants!$B$3,FALSE(),TRUE())))</f>
        <v/>
      </c>
      <c r="Y14" s="127" t="str">
        <f aca="false">IF(ISBLANK($C14),"",IF(G14=Constants!$B$2,TRUE(),IF(G14=Constants!$B$3,FALSE(),TRUE())))</f>
        <v/>
      </c>
      <c r="Z14" s="127" t="str">
        <f aca="false">IF(ISBLANK($C14),"",IF(H14=Constants!$B$2,TRUE(),IF(H14=Constants!$B$3,FALSE(),TRUE())))</f>
        <v/>
      </c>
      <c r="AA14" s="127" t="str">
        <f aca="false">IF(ISBLANK($C14),"",IF(I14=Constants!$B$2,TRUE(),IF(I14=Constants!$B$3,FALSE(),TRUE())))</f>
        <v/>
      </c>
      <c r="AB14" s="127" t="str">
        <f aca="false">IF(ISBLANK($C14),"",IF(J14=Constants!$B$4,TRUE(),IF(J14=Constants!$B$5,FALSE(),COUNTA(K14:M14)&gt;0)))</f>
        <v/>
      </c>
      <c r="AC14" s="128" t="str">
        <f aca="false">IF(ISBLANK($C14),"",IF(ISNUMBER(K14),IF(K14&gt;=0,K14,""),""))</f>
        <v/>
      </c>
      <c r="AD14" s="129" t="str">
        <f aca="false">IF(ISBLANK($C14),"",IF(ISNUMBER(L14),IF(L14&gt;=0,L14,""),""))</f>
        <v/>
      </c>
      <c r="AE14" s="127" t="str">
        <f aca="false">IF(ISBLANK($C14),"",IF(ISNUMBER(M14),IF(M14&gt;=0,MIN(M14,Constants!$B$22),""),""))</f>
        <v/>
      </c>
      <c r="AF14" s="127" t="str">
        <f aca="false">IF(ISBLANK($C14),"",IF(N14=Constants!$B$2,TRUE(),IF(N14=Constants!$B$3,FALSE(),TRUE())))</f>
        <v/>
      </c>
      <c r="AG14" s="127" t="str">
        <f aca="false">IF(ISBLANK($C14),"",IF(O14=Constants!$B$2,TRUE(),IF(O14=Constants!$B$3,FALSE(),TRUE())))</f>
        <v/>
      </c>
      <c r="AH14" s="127" t="str">
        <f aca="false">IF(ISBLANK($C14),"",IF(P14=Constants!$B$4,TRUE(),IF(P14=Constants!$B$5,FALSE(),COUNTA(Q14:S14)&gt;0)))</f>
        <v/>
      </c>
      <c r="AI14" s="128" t="str">
        <f aca="false">IF(ISBLANK($C14),"",IF(ISNUMBER(Q14),IF(Q14&gt;=0,Q14,""),""))</f>
        <v/>
      </c>
      <c r="AJ14" s="129" t="str">
        <f aca="false">IF(ISBLANK($C14),"",IF(ISNUMBER(R14),IF(R14&gt;=0,R14,""),""))</f>
        <v/>
      </c>
      <c r="AK14" s="127" t="str">
        <f aca="false">IF(ISBLANK($C14),"",IF(ISNUMBER(S14),IF(S14&gt;=0,MIN(S14,Constants!$B$22),""),""))</f>
        <v/>
      </c>
      <c r="AL14" s="127" t="str">
        <f aca="false">IF(ISBLANK($C14),"",IF(T14=Constants!$B$2,TRUE(),IF(T14=Constants!$B$3,FALSE(),FALSE())))</f>
        <v/>
      </c>
      <c r="AM14" s="126" t="str">
        <f aca="false">IF(ISBLANK($C14),"",AND($AB14,OR($AC14="",$AD14="",AND(NOT(ISBLANK($M14)),$AE14=""))))</f>
        <v/>
      </c>
      <c r="AN14" s="129" t="str">
        <f aca="false">IF($BD14&lt;&gt;Constants!$B$6,"",IF($AB14,Constants!$B$17*$AD14,Constants!$B$18))</f>
        <v/>
      </c>
      <c r="AO14" s="130" t="str">
        <f aca="false">IF($BD14&lt;&gt;Constants!$B$6,"",Constants!$B$19*IF($AB14,$AC14,0))</f>
        <v/>
      </c>
      <c r="AP14" s="130" t="str">
        <f aca="false">IF($BD14&lt;&gt;Constants!$B$6,"",IF(AND($AB14,ISNUMBER($AE14)),Constants!$B$20*(Constants!$B$21-$AE14),0))</f>
        <v/>
      </c>
      <c r="AQ14" s="130" t="str">
        <f aca="false">IF($BD14&lt;&gt;Constants!$B$6,"",IF($AA14,0,Constants!$B$12)+IF($Z14,0,Constants!$B$13)+IF($Y14,0,Constants!$B$14))</f>
        <v/>
      </c>
      <c r="AR14" s="131" t="str">
        <f aca="false">IF($BD14&lt;&gt;Constants!$B$6,"",Constants!$B$16+SUM($AN14:$AQ14))</f>
        <v/>
      </c>
      <c r="AS14" s="130" t="str">
        <f aca="false">IF($BD14&lt;&gt;Constants!$B$6,"",IF($AB14,$AD14,""))</f>
        <v/>
      </c>
      <c r="AT14" s="132" t="str">
        <f aca="false">IF($BD14&lt;&gt;Constants!$B$6,"",$AO14)</f>
        <v/>
      </c>
      <c r="AU14" s="127" t="str">
        <f aca="false">IF($BD14&lt;&gt;Constants!$B$6,"",IF(OR($BA14&lt;$AR14,AND($BA14=$AR14,OR(AND(ISNUMBER($BB14),OR(NOT(ISNUMBER($AS14)),$BB14&lt;$AS14)),AND(OR(AND($BB14="",$AS14=""),AND(ISNUMBER($BB14),ISNUMBER($AS14),$BB14=$AS14)),$BC14&lt;$AT14)))),"-&gt;","&lt;-"))</f>
        <v/>
      </c>
      <c r="AV14" s="126" t="str">
        <f aca="false">IF(ISBLANK($C14),"",AND($AH14,OR($AI14="",$AJ14="",AND(NOT(ISBLANK($S14)),$AK14=""))))</f>
        <v/>
      </c>
      <c r="AW14" s="129" t="str">
        <f aca="false">IF($BD14&lt;&gt;Constants!$B$6,"",IF($AH14,Constants!$B$17*$AJ14,Constants!$B$18))</f>
        <v/>
      </c>
      <c r="AX14" s="130" t="str">
        <f aca="false">IF($BD14&lt;&gt;Constants!$B$6,"",Constants!$B$19*IF($AH14,$AI14,0))</f>
        <v/>
      </c>
      <c r="AY14" s="130" t="str">
        <f aca="false">IF($BD14&lt;&gt;Constants!$B$6,"",IF(AND($AH14,ISNUMBER($AK14)),Constants!$B$20*(Constants!$B$21-$AK14),0))</f>
        <v/>
      </c>
      <c r="AZ14" s="130" t="str">
        <f aca="false">IF($BD14&lt;&gt;Constants!$B$6,"",IF($AG14,0,Constants!$B$12)+IF($AF14,0,Constants!$B$13)+IF($Y14,0,Constants!$B$14))</f>
        <v/>
      </c>
      <c r="BA14" s="131" t="str">
        <f aca="false">IF($BD14&lt;&gt;Constants!$B$6,"",Constants!$B$16+SUM($AW14:$AZ14))</f>
        <v/>
      </c>
      <c r="BB14" s="130" t="str">
        <f aca="false">IF($BD14&lt;&gt;Constants!$B$6,"",IF($AH14,$AJ14,""))</f>
        <v/>
      </c>
      <c r="BC14" s="132" t="str">
        <f aca="false">IF($BD14&lt;&gt;Constants!$B$6,"",$AX14)</f>
        <v/>
      </c>
      <c r="BD14" s="127" t="str">
        <f aca="false">IF(ISBLANK($C14),"",IF($AL14,Constants!$B$9,IF(COUNTA($E14:$T14)=0,Constants!$B$8,IF(NOT($X14),Constants!$B$7,IF(OR($AM14,$AV14),Constants!$B$10,Constants!$B$6)))))</f>
        <v/>
      </c>
      <c r="BE14" s="127" t="str">
        <f aca="false">IF(ISBLANK($C14),"",IF($BD14&lt;&gt;Constants!$B$6,$BD14,Constants!$B$11))</f>
        <v/>
      </c>
      <c r="BF14" s="130" t="str">
        <f aca="false">IF($BD14&lt;&gt;Constants!$B$6,"",IF($AU14="-&gt;",$BA14,$AR14))</f>
        <v/>
      </c>
      <c r="BG14" s="130" t="str">
        <f aca="false">IF($BD14&lt;&gt;Constants!$B$6,"",IF($W14,0,Constants!$B$15))</f>
        <v/>
      </c>
      <c r="BH14" s="130" t="str">
        <f aca="false">IF(ISBLANK($C14),"",IF($BD14&lt;&gt;Constants!$B$6,$BD14,SUM($BF14:$BG14)))</f>
        <v/>
      </c>
      <c r="BI14" s="127" t="str">
        <f aca="false">IF(ISBLANK($C14),"",IF($BD14&lt;&gt;Constants!$B$6,$BD14,RANK($BH14,$BH$9:$BH$508,1)))</f>
        <v/>
      </c>
      <c r="BJ14" s="130" t="str">
        <f aca="false">IF($BD14&lt;&gt;Constants!$B$6,"",IF($AU14="-&gt;",$BB14,$AS14))</f>
        <v/>
      </c>
      <c r="BK14" s="127" t="str">
        <f aca="false">IF(ISBLANK($C14),"",IF($BD14&lt;&gt;Constants!$B$6,$BD14,IF(ISNUMBER($BJ14),RANK($BJ14,$BJ$9:$BJ$508,1),COUNT($BJ$9:$BJ$508)+1)))</f>
        <v/>
      </c>
      <c r="BL14" s="130" t="str">
        <f aca="false">IF($BD14&lt;&gt;Constants!$B$6,"",IF($AU14="-&gt;",$BC14,$AT14))</f>
        <v/>
      </c>
      <c r="BM14" s="127" t="str">
        <f aca="false">IF(ISBLANK($C14),"",IF($BD14&lt;&gt;Constants!$B$6,$BD14,IF(ISNUMBER($BL14),RANK($BL14,$BL$9:$BL$508,1),COUNT($BL$9:$BL$508)+1)))</f>
        <v/>
      </c>
      <c r="BN14" s="130" t="str">
        <f aca="false">IF($BD14&lt;&gt;Constants!$B$6,"",IF($AU14="-&gt;",$AS14,$BB14))</f>
        <v/>
      </c>
      <c r="BO14" s="127" t="str">
        <f aca="false">IF(ISBLANK($C14),"",IF($BD14&lt;&gt;Constants!$B$6,$BD14,IF(ISNUMBER($BN14),RANK($BN14,$BN$9:$BN$508,1),COUNT($BN$9:$BN$508)+1)))</f>
        <v/>
      </c>
      <c r="BP14" s="130" t="str">
        <f aca="false">IF($BD14&lt;&gt;Constants!$B$6,"",IF($AU14="-&gt;",$AT14,$BC14))</f>
        <v/>
      </c>
      <c r="BQ14" s="127" t="str">
        <f aca="false">IF(ISBLANK($C14),"",IF($BD14&lt;&gt;Constants!$B$6,$BD14,IF(ISNUMBER($BP14),RANK($BP14,$BP$9:$BP$508,1),COUNT($BP$9:$BP$508)+1)))</f>
        <v/>
      </c>
      <c r="BR14" s="127" t="str">
        <f aca="false">IF(ISBLANK($C14),"",IF($BD14&lt;&gt;Constants!$B$6,$BD14,COUNTIFS($BI$9:$BI$508,"&lt;"&amp;$BI14)+COUNTIFS($BI$9:$BI$508,$BI14,$BK$9:$BK$508,"&lt;"&amp;$BK14)+COUNTIFS($BI$9:$BI$508,$BI14,$BK$9:$BK$508,$BK14,$BM$9:$BM$508,"&lt;"&amp;$BM14)+COUNTIFS($BI$9:$BI$508,$BI14,$BK$9:$BK$508,$BK14,$BM$9:$BM$508,$BM14,$BO$9:$BO$508,"&lt;"&amp;$BO14)+COUNTIFS($BI$9:$BI$508,$BI14,$BK$9:$BK$508,$BK14,$BM$9:$BM$508,$BM14,$BO$9:$BO$508,$BO14,$BQ$9:$BQ$508,"&lt;"&amp;$BQ14)+1))</f>
        <v/>
      </c>
      <c r="BS14" s="127" t="str">
        <f aca="false">IF(ISBLANK($C14),"",IF($BD14&lt;&gt;Constants!$B$6,$BD14,$BI14-$BR14))</f>
        <v/>
      </c>
      <c r="BT14" s="133"/>
      <c r="BU14" s="134"/>
      <c r="BV14" s="134" t="str">
        <f aca="false">IF(ISBLANK($C14),"",IF($BD14&lt;&gt;Constants!$B$6,"",IF($AU14="-&gt;",2,1)))</f>
        <v/>
      </c>
      <c r="BW14" s="135" t="str">
        <f aca="false">IF(ISBLANK($C14),"",IF($BD14&lt;&gt;Constants!$B$6,"",IF($AU14="-&gt;",$AW14,$AN14)))</f>
        <v/>
      </c>
      <c r="BX14" s="135" t="str">
        <f aca="false">IF(ISBLANK($C14),"",IF($BD14&lt;&gt;Constants!$B$6,"",IF($AU14="-&gt;",$AX14,$AO14)))</f>
        <v/>
      </c>
      <c r="BY14" s="135" t="str">
        <f aca="false">IF(ISBLANK($C14),"",IF($BD14&lt;&gt;Constants!$B$6,"",IF($AU14="-&gt;",$AY14,$AP14)))</f>
        <v/>
      </c>
      <c r="BZ14" s="135" t="str">
        <f aca="false">IF(ISBLANK($C14),"",IF($BD14&lt;&gt;Constants!$B$6,"",IF($AU14="-&gt;",$AZ14,$AQ14)+$BG14))</f>
        <v/>
      </c>
      <c r="CA14" s="136" t="str">
        <f aca="false">IF(ISBLANK($C14),"",IF($BD14&lt;&gt;Constants!$B$6,$BD14,$BH14))</f>
        <v/>
      </c>
      <c r="CB14" s="137" t="str">
        <f aca="false">IF(ISBLANK($C14),"",$BE14)</f>
        <v/>
      </c>
      <c r="CC14" s="138" t="str">
        <f aca="false">IF(ISBLANK($C14),"",$BS14)</f>
        <v/>
      </c>
      <c r="CD14" s="138" t="str">
        <f aca="false">IF(ISBLANK($C14),"",$BR14)</f>
        <v/>
      </c>
      <c r="CE14" s="139" t="str">
        <f aca="false">IF(ISBLANK($C14),"",IF($CD14=Constants!$B$9,COUNTA($C$9:$C$508)+2,IF($CD14=Constants!$B$8,COUNTA($C$9:$C$508)+1,IF($CD14=Constants!$B$7,COUNTA($C$9:$C$508),$CD14))))</f>
        <v/>
      </c>
      <c r="CF14" s="9"/>
      <c r="CG14" s="140" t="n">
        <f aca="false">IF(OR(ISNUMBER($CD14),$CD14=Constants!$B$9,$CD14=Constants!$B$7,$CD14=Constants!$B$8),1,0)</f>
        <v>0</v>
      </c>
      <c r="CH14" s="140" t="n">
        <v>6</v>
      </c>
      <c r="CI14" s="140" t="str">
        <f aca="false">IF(ISBLANK($C14),"",IF(ISNUMBER($CE14),$CE14+ROW($B14)/1000,""))</f>
        <v/>
      </c>
      <c r="CJ14" s="140" t="str">
        <f aca="false">IF(ISNUMBER($CI14),RANK($CI14,$CI$9:$CI$508,1),"")</f>
        <v/>
      </c>
      <c r="CK14" s="140" t="str">
        <f aca="false">IF(ISBLANK($C14),"",$B14)</f>
        <v/>
      </c>
      <c r="CL14" s="140" t="str">
        <f aca="false">IF(ISBLANK($C14),"",$C14)</f>
        <v/>
      </c>
      <c r="CM14" s="140" t="str">
        <f aca="false">IF(ISBLANK($C14),"",$D14)</f>
        <v/>
      </c>
      <c r="CN14" s="141" t="str">
        <f aca="false">$CB14</f>
        <v/>
      </c>
      <c r="CO14" s="142" t="str">
        <f aca="false">$CA14</f>
        <v/>
      </c>
      <c r="CP14" s="140" t="str">
        <f aca="false">IF(ISBLANK($C14),"",$CD14)</f>
        <v/>
      </c>
      <c r="CQ14" s="143" t="str">
        <f aca="false">IF($CH14&gt;$CG$8,"",VLOOKUP($CH14,$CJ$9:$CP$508,7,FALSE()))</f>
        <v/>
      </c>
      <c r="CR14" s="144" t="str">
        <f aca="false">IF($CH14&gt;$CG$8,"",VLOOKUP($CH14,$CJ$9:$CP$508,2,FALSE()))</f>
        <v/>
      </c>
      <c r="CS14" s="144" t="str">
        <f aca="false">IF($CH14&gt;$CG$8,"",VLOOKUP($CH14,$CJ$9:$CP$508,3,FALSE()))</f>
        <v/>
      </c>
      <c r="CT14" s="144" t="str">
        <f aca="false">IF($CH14&gt;$CG$8,"",VLOOKUP($CH14,$CJ$9:$CP$508,4,FALSE()))</f>
        <v/>
      </c>
      <c r="CU14" s="144" t="str">
        <f aca="false">IF($CH14&gt;$CG$8,"",VLOOKUP($CH14,$CJ$9:$CP$508,5,FALSE()))</f>
        <v/>
      </c>
      <c r="CV14" s="145" t="str">
        <f aca="false">IF($CH14&gt;$CG$8,"",VLOOKUP($CH14,$CJ$9:$CP$508,6,FALSE()))</f>
        <v/>
      </c>
      <c r="CW14" s="71"/>
    </row>
    <row r="15" customFormat="false" ht="15.75" hidden="false" customHeight="false" outlineLevel="0" collapsed="false">
      <c r="A15" s="9"/>
      <c r="B15" s="107"/>
      <c r="C15" s="108"/>
      <c r="D15" s="74"/>
      <c r="E15" s="75"/>
      <c r="F15" s="109"/>
      <c r="G15" s="110"/>
      <c r="H15" s="78"/>
      <c r="I15" s="79"/>
      <c r="J15" s="80"/>
      <c r="K15" s="81"/>
      <c r="L15" s="82"/>
      <c r="M15" s="83"/>
      <c r="N15" s="79"/>
      <c r="O15" s="79"/>
      <c r="P15" s="80"/>
      <c r="Q15" s="82"/>
      <c r="R15" s="82"/>
      <c r="S15" s="83"/>
      <c r="T15" s="111"/>
      <c r="U15" s="86"/>
      <c r="V15" s="87"/>
      <c r="W15" s="87" t="str">
        <f aca="false">IF(ISBLANK($C15),"",IF(E15=Constants!$B$2,TRUE(),IF(E15=Constants!$B$3,FALSE(),TRUE())))</f>
        <v/>
      </c>
      <c r="X15" s="87" t="str">
        <f aca="false">IF(ISBLANK($C15),"",IF(F15=Constants!$B$2,TRUE(),IF(F15=Constants!$B$3,FALSE(),TRUE())))</f>
        <v/>
      </c>
      <c r="Y15" s="87" t="str">
        <f aca="false">IF(ISBLANK($C15),"",IF(G15=Constants!$B$2,TRUE(),IF(G15=Constants!$B$3,FALSE(),TRUE())))</f>
        <v/>
      </c>
      <c r="Z15" s="87" t="str">
        <f aca="false">IF(ISBLANK($C15),"",IF(H15=Constants!$B$2,TRUE(),IF(H15=Constants!$B$3,FALSE(),TRUE())))</f>
        <v/>
      </c>
      <c r="AA15" s="87" t="str">
        <f aca="false">IF(ISBLANK($C15),"",IF(I15=Constants!$B$2,TRUE(),IF(I15=Constants!$B$3,FALSE(),TRUE())))</f>
        <v/>
      </c>
      <c r="AB15" s="87" t="str">
        <f aca="false">IF(ISBLANK($C15),"",IF(J15=Constants!$B$4,TRUE(),IF(J15=Constants!$B$5,FALSE(),COUNTA(K15:M15)&gt;0)))</f>
        <v/>
      </c>
      <c r="AC15" s="88" t="str">
        <f aca="false">IF(ISBLANK($C15),"",IF(ISNUMBER(K15),IF(K15&gt;=0,K15,""),""))</f>
        <v/>
      </c>
      <c r="AD15" s="89" t="str">
        <f aca="false">IF(ISBLANK($C15),"",IF(ISNUMBER(L15),IF(L15&gt;=0,L15,""),""))</f>
        <v/>
      </c>
      <c r="AE15" s="87" t="str">
        <f aca="false">IF(ISBLANK($C15),"",IF(ISNUMBER(M15),IF(M15&gt;=0,MIN(M15,Constants!$B$22),""),""))</f>
        <v/>
      </c>
      <c r="AF15" s="87" t="str">
        <f aca="false">IF(ISBLANK($C15),"",IF(N15=Constants!$B$2,TRUE(),IF(N15=Constants!$B$3,FALSE(),TRUE())))</f>
        <v/>
      </c>
      <c r="AG15" s="87" t="str">
        <f aca="false">IF(ISBLANK($C15),"",IF(O15=Constants!$B$2,TRUE(),IF(O15=Constants!$B$3,FALSE(),TRUE())))</f>
        <v/>
      </c>
      <c r="AH15" s="87" t="str">
        <f aca="false">IF(ISBLANK($C15),"",IF(P15=Constants!$B$4,TRUE(),IF(P15=Constants!$B$5,FALSE(),COUNTA(Q15:S15)&gt;0)))</f>
        <v/>
      </c>
      <c r="AI15" s="88" t="str">
        <f aca="false">IF(ISBLANK($C15),"",IF(ISNUMBER(Q15),IF(Q15&gt;=0,Q15,""),""))</f>
        <v/>
      </c>
      <c r="AJ15" s="89" t="str">
        <f aca="false">IF(ISBLANK($C15),"",IF(ISNUMBER(R15),IF(R15&gt;=0,R15,""),""))</f>
        <v/>
      </c>
      <c r="AK15" s="87" t="str">
        <f aca="false">IF(ISBLANK($C15),"",IF(ISNUMBER(S15),IF(S15&gt;=0,MIN(S15,Constants!$B$22),""),""))</f>
        <v/>
      </c>
      <c r="AL15" s="87" t="str">
        <f aca="false">IF(ISBLANK($C15),"",IF(T15=Constants!$B$2,TRUE(),IF(T15=Constants!$B$3,FALSE(),FALSE())))</f>
        <v/>
      </c>
      <c r="AM15" s="86" t="str">
        <f aca="false">IF(ISBLANK($C15),"",AND($AB15,OR($AC15="",$AD15="",AND(NOT(ISBLANK($M15)),$AE15=""))))</f>
        <v/>
      </c>
      <c r="AN15" s="89" t="str">
        <f aca="false">IF($BD15&lt;&gt;Constants!$B$6,"",IF($AB15,Constants!$B$17*$AD15,Constants!$B$18))</f>
        <v/>
      </c>
      <c r="AO15" s="91" t="str">
        <f aca="false">IF($BD15&lt;&gt;Constants!$B$6,"",Constants!$B$19*IF($AB15,$AC15,0))</f>
        <v/>
      </c>
      <c r="AP15" s="91" t="str">
        <f aca="false">IF($BD15&lt;&gt;Constants!$B$6,"",IF(AND($AB15,ISNUMBER($AE15)),Constants!$B$20*(Constants!$B$21-$AE15),0))</f>
        <v/>
      </c>
      <c r="AQ15" s="91" t="str">
        <f aca="false">IF($BD15&lt;&gt;Constants!$B$6,"",IF($AA15,0,Constants!$B$12)+IF($Z15,0,Constants!$B$13)+IF($Y15,0,Constants!$B$14))</f>
        <v/>
      </c>
      <c r="AR15" s="92" t="str">
        <f aca="false">IF($BD15&lt;&gt;Constants!$B$6,"",Constants!$B$16+SUM($AN15:$AQ15))</f>
        <v/>
      </c>
      <c r="AS15" s="91" t="str">
        <f aca="false">IF($BD15&lt;&gt;Constants!$B$6,"",IF($AB15,$AD15,""))</f>
        <v/>
      </c>
      <c r="AT15" s="93" t="str">
        <f aca="false">IF($BD15&lt;&gt;Constants!$B$6,"",$AO15)</f>
        <v/>
      </c>
      <c r="AU15" s="87" t="str">
        <f aca="false">IF($BD15&lt;&gt;Constants!$B$6,"",IF(OR($BA15&lt;$AR15,AND($BA15=$AR15,OR(AND(ISNUMBER($BB15),OR(NOT(ISNUMBER($AS15)),$BB15&lt;$AS15)),AND(OR(AND($BB15="",$AS15=""),AND(ISNUMBER($BB15),ISNUMBER($AS15),$BB15=$AS15)),$BC15&lt;$AT15)))),"-&gt;","&lt;-"))</f>
        <v/>
      </c>
      <c r="AV15" s="86" t="str">
        <f aca="false">IF(ISBLANK($C15),"",AND($AH15,OR($AI15="",$AJ15="",AND(NOT(ISBLANK($S15)),$AK15=""))))</f>
        <v/>
      </c>
      <c r="AW15" s="89" t="str">
        <f aca="false">IF($BD15&lt;&gt;Constants!$B$6,"",IF($AH15,Constants!$B$17*$AJ15,Constants!$B$18))</f>
        <v/>
      </c>
      <c r="AX15" s="91" t="str">
        <f aca="false">IF($BD15&lt;&gt;Constants!$B$6,"",Constants!$B$19*IF($AH15,$AI15,0))</f>
        <v/>
      </c>
      <c r="AY15" s="91" t="str">
        <f aca="false">IF($BD15&lt;&gt;Constants!$B$6,"",IF(AND($AH15,ISNUMBER($AK15)),Constants!$B$20*(Constants!$B$21-$AK15),0))</f>
        <v/>
      </c>
      <c r="AZ15" s="91" t="str">
        <f aca="false">IF($BD15&lt;&gt;Constants!$B$6,"",IF($AG15,0,Constants!$B$12)+IF($AF15,0,Constants!$B$13)+IF($Y15,0,Constants!$B$14))</f>
        <v/>
      </c>
      <c r="BA15" s="92" t="str">
        <f aca="false">IF($BD15&lt;&gt;Constants!$B$6,"",Constants!$B$16+SUM($AW15:$AZ15))</f>
        <v/>
      </c>
      <c r="BB15" s="91" t="str">
        <f aca="false">IF($BD15&lt;&gt;Constants!$B$6,"",IF($AH15,$AJ15,""))</f>
        <v/>
      </c>
      <c r="BC15" s="93" t="str">
        <f aca="false">IF($BD15&lt;&gt;Constants!$B$6,"",$AX15)</f>
        <v/>
      </c>
      <c r="BD15" s="87" t="str">
        <f aca="false">IF(ISBLANK($C15),"",IF($AL15,Constants!$B$9,IF(COUNTA($E15:$T15)=0,Constants!$B$8,IF(NOT($X15),Constants!$B$7,IF(OR($AM15,$AV15),Constants!$B$10,Constants!$B$6)))))</f>
        <v/>
      </c>
      <c r="BE15" s="87" t="str">
        <f aca="false">IF(ISBLANK($C15),"",IF($BD15&lt;&gt;Constants!$B$6,$BD15,Constants!$B$11))</f>
        <v/>
      </c>
      <c r="BF15" s="91" t="str">
        <f aca="false">IF($BD15&lt;&gt;Constants!$B$6,"",IF($AU15="-&gt;",$BA15,$AR15))</f>
        <v/>
      </c>
      <c r="BG15" s="91" t="str">
        <f aca="false">IF($BD15&lt;&gt;Constants!$B$6,"",IF($W15,0,Constants!$B$15))</f>
        <v/>
      </c>
      <c r="BH15" s="91" t="str">
        <f aca="false">IF(ISBLANK($C15),"",IF($BD15&lt;&gt;Constants!$B$6,$BD15,SUM($BF15:$BG15)))</f>
        <v/>
      </c>
      <c r="BI15" s="87" t="str">
        <f aca="false">IF(ISBLANK($C15),"",IF($BD15&lt;&gt;Constants!$B$6,$BD15,RANK($BH15,$BH$9:$BH$508,1)))</f>
        <v/>
      </c>
      <c r="BJ15" s="91" t="str">
        <f aca="false">IF($BD15&lt;&gt;Constants!$B$6,"",IF($AU15="-&gt;",$BB15,$AS15))</f>
        <v/>
      </c>
      <c r="BK15" s="87" t="str">
        <f aca="false">IF(ISBLANK($C15),"",IF($BD15&lt;&gt;Constants!$B$6,$BD15,IF(ISNUMBER($BJ15),RANK($BJ15,$BJ$9:$BJ$508,1),COUNT($BJ$9:$BJ$508)+1)))</f>
        <v/>
      </c>
      <c r="BL15" s="91" t="str">
        <f aca="false">IF($BD15&lt;&gt;Constants!$B$6,"",IF($AU15="-&gt;",$BC15,$AT15))</f>
        <v/>
      </c>
      <c r="BM15" s="87" t="str">
        <f aca="false">IF(ISBLANK($C15),"",IF($BD15&lt;&gt;Constants!$B$6,$BD15,IF(ISNUMBER($BL15),RANK($BL15,$BL$9:$BL$508,1),COUNT($BL$9:$BL$508)+1)))</f>
        <v/>
      </c>
      <c r="BN15" s="91" t="str">
        <f aca="false">IF($BD15&lt;&gt;Constants!$B$6,"",IF($AU15="-&gt;",$AS15,$BB15))</f>
        <v/>
      </c>
      <c r="BO15" s="87" t="str">
        <f aca="false">IF(ISBLANK($C15),"",IF($BD15&lt;&gt;Constants!$B$6,$BD15,IF(ISNUMBER($BN15),RANK($BN15,$BN$9:$BN$508,1),COUNT($BN$9:$BN$508)+1)))</f>
        <v/>
      </c>
      <c r="BP15" s="91" t="str">
        <f aca="false">IF($BD15&lt;&gt;Constants!$B$6,"",IF($AU15="-&gt;",$AT15,$BC15))</f>
        <v/>
      </c>
      <c r="BQ15" s="87" t="str">
        <f aca="false">IF(ISBLANK($C15),"",IF($BD15&lt;&gt;Constants!$B$6,$BD15,IF(ISNUMBER($BP15),RANK($BP15,$BP$9:$BP$508,1),COUNT($BP$9:$BP$508)+1)))</f>
        <v/>
      </c>
      <c r="BR15" s="87" t="str">
        <f aca="false">IF(ISBLANK($C15),"",IF($BD15&lt;&gt;Constants!$B$6,$BD15,COUNTIFS($BI$9:$BI$508,"&lt;"&amp;$BI15)+COUNTIFS($BI$9:$BI$508,$BI15,$BK$9:$BK$508,"&lt;"&amp;$BK15)+COUNTIFS($BI$9:$BI$508,$BI15,$BK$9:$BK$508,$BK15,$BM$9:$BM$508,"&lt;"&amp;$BM15)+COUNTIFS($BI$9:$BI$508,$BI15,$BK$9:$BK$508,$BK15,$BM$9:$BM$508,$BM15,$BO$9:$BO$508,"&lt;"&amp;$BO15)+COUNTIFS($BI$9:$BI$508,$BI15,$BK$9:$BK$508,$BK15,$BM$9:$BM$508,$BM15,$BO$9:$BO$508,$BO15,$BQ$9:$BQ$508,"&lt;"&amp;$BQ15)+1))</f>
        <v/>
      </c>
      <c r="BS15" s="87" t="str">
        <f aca="false">IF(ISBLANK($C15),"",IF($BD15&lt;&gt;Constants!$B$6,$BD15,$BI15-$BR15))</f>
        <v/>
      </c>
      <c r="BT15" s="94"/>
      <c r="BU15" s="95"/>
      <c r="BV15" s="95" t="str">
        <f aca="false">IF(ISBLANK($C15),"",IF($BD15&lt;&gt;Constants!$B$6,"",IF($AU15="-&gt;",2,1)))</f>
        <v/>
      </c>
      <c r="BW15" s="96" t="str">
        <f aca="false">IF(ISBLANK($C15),"",IF($BD15&lt;&gt;Constants!$B$6,"",IF($AU15="-&gt;",$AW15,$AN15)))</f>
        <v/>
      </c>
      <c r="BX15" s="96" t="str">
        <f aca="false">IF(ISBLANK($C15),"",IF($BD15&lt;&gt;Constants!$B$6,"",IF($AU15="-&gt;",$AX15,$AO15)))</f>
        <v/>
      </c>
      <c r="BY15" s="96" t="str">
        <f aca="false">IF(ISBLANK($C15),"",IF($BD15&lt;&gt;Constants!$B$6,"",IF($AU15="-&gt;",$AY15,$AP15)))</f>
        <v/>
      </c>
      <c r="BZ15" s="96" t="str">
        <f aca="false">IF(ISBLANK($C15),"",IF($BD15&lt;&gt;Constants!$B$6,"",IF($AU15="-&gt;",$AZ15,$AQ15)+$BG15))</f>
        <v/>
      </c>
      <c r="CA15" s="97" t="str">
        <f aca="false">IF(ISBLANK($C15),"",IF($BD15&lt;&gt;Constants!$B$6,$BD15,$BH15))</f>
        <v/>
      </c>
      <c r="CB15" s="98" t="str">
        <f aca="false">IF(ISBLANK($C15),"",$BE15)</f>
        <v/>
      </c>
      <c r="CC15" s="99" t="str">
        <f aca="false">IF(ISBLANK($C15),"",$BS15)</f>
        <v/>
      </c>
      <c r="CD15" s="99" t="str">
        <f aca="false">IF(ISBLANK($C15),"",$BR15)</f>
        <v/>
      </c>
      <c r="CE15" s="100" t="str">
        <f aca="false">IF(ISBLANK($C15),"",IF($CD15=Constants!$B$9,COUNTA($C$9:$C$508)+2,IF($CD15=Constants!$B$8,COUNTA($C$9:$C$508)+1,IF($CD15=Constants!$B$7,COUNTA($C$9:$C$508),$CD15))))</f>
        <v/>
      </c>
      <c r="CF15" s="9"/>
      <c r="CG15" s="101" t="n">
        <f aca="false">IF(OR(ISNUMBER($CD15),$CD15=Constants!$B$9,$CD15=Constants!$B$7,$CD15=Constants!$B$8),1,0)</f>
        <v>0</v>
      </c>
      <c r="CH15" s="101" t="n">
        <v>7</v>
      </c>
      <c r="CI15" s="101" t="str">
        <f aca="false">IF(ISBLANK($C15),"",IF(ISNUMBER($CE15),$CE15+ROW($B15)/1000,""))</f>
        <v/>
      </c>
      <c r="CJ15" s="101" t="str">
        <f aca="false">IF(ISNUMBER($CI15),RANK($CI15,$CI$9:$CI$508,1),"")</f>
        <v/>
      </c>
      <c r="CK15" s="101" t="str">
        <f aca="false">IF(ISBLANK($C15),"",$B15)</f>
        <v/>
      </c>
      <c r="CL15" s="101" t="str">
        <f aca="false">IF(ISBLANK($C15),"",$C15)</f>
        <v/>
      </c>
      <c r="CM15" s="101" t="str">
        <f aca="false">IF(ISBLANK($C15),"",$D15)</f>
        <v/>
      </c>
      <c r="CN15" s="102" t="str">
        <f aca="false">$CB15</f>
        <v/>
      </c>
      <c r="CO15" s="103" t="str">
        <f aca="false">$CA15</f>
        <v/>
      </c>
      <c r="CP15" s="101" t="str">
        <f aca="false">IF(ISBLANK($C15),"",$CD15)</f>
        <v/>
      </c>
      <c r="CQ15" s="104" t="str">
        <f aca="false">IF($CH15&gt;$CG$8,"",VLOOKUP($CH15,$CJ$9:$CP$508,7,FALSE()))</f>
        <v/>
      </c>
      <c r="CR15" s="105" t="str">
        <f aca="false">IF($CH15&gt;$CG$8,"",VLOOKUP($CH15,$CJ$9:$CP$508,2,FALSE()))</f>
        <v/>
      </c>
      <c r="CS15" s="105" t="str">
        <f aca="false">IF($CH15&gt;$CG$8,"",VLOOKUP($CH15,$CJ$9:$CP$508,3,FALSE()))</f>
        <v/>
      </c>
      <c r="CT15" s="105" t="str">
        <f aca="false">IF($CH15&gt;$CG$8,"",VLOOKUP($CH15,$CJ$9:$CP$508,4,FALSE()))</f>
        <v/>
      </c>
      <c r="CU15" s="105" t="str">
        <f aca="false">IF($CH15&gt;$CG$8,"",VLOOKUP($CH15,$CJ$9:$CP$508,5,FALSE()))</f>
        <v/>
      </c>
      <c r="CV15" s="106" t="str">
        <f aca="false">IF($CH15&gt;$CG$8,"",VLOOKUP($CH15,$CJ$9:$CP$508,6,FALSE()))</f>
        <v/>
      </c>
      <c r="CW15" s="71"/>
    </row>
    <row r="16" customFormat="false" ht="15.75" hidden="false" customHeight="false" outlineLevel="0" collapsed="false">
      <c r="A16" s="9"/>
      <c r="B16" s="107"/>
      <c r="C16" s="108"/>
      <c r="D16" s="74"/>
      <c r="E16" s="75"/>
      <c r="F16" s="109"/>
      <c r="G16" s="110"/>
      <c r="H16" s="78"/>
      <c r="I16" s="79"/>
      <c r="J16" s="80"/>
      <c r="K16" s="81"/>
      <c r="L16" s="82"/>
      <c r="M16" s="83"/>
      <c r="N16" s="79"/>
      <c r="O16" s="79"/>
      <c r="P16" s="80"/>
      <c r="Q16" s="82"/>
      <c r="R16" s="82"/>
      <c r="S16" s="83"/>
      <c r="T16" s="111"/>
      <c r="U16" s="86"/>
      <c r="V16" s="87"/>
      <c r="W16" s="87" t="str">
        <f aca="false">IF(ISBLANK($C16),"",IF(E16=Constants!$B$2,TRUE(),IF(E16=Constants!$B$3,FALSE(),TRUE())))</f>
        <v/>
      </c>
      <c r="X16" s="87" t="str">
        <f aca="false">IF(ISBLANK($C16),"",IF(F16=Constants!$B$2,TRUE(),IF(F16=Constants!$B$3,FALSE(),TRUE())))</f>
        <v/>
      </c>
      <c r="Y16" s="87" t="str">
        <f aca="false">IF(ISBLANK($C16),"",IF(G16=Constants!$B$2,TRUE(),IF(G16=Constants!$B$3,FALSE(),TRUE())))</f>
        <v/>
      </c>
      <c r="Z16" s="87" t="str">
        <f aca="false">IF(ISBLANK($C16),"",IF(H16=Constants!$B$2,TRUE(),IF(H16=Constants!$B$3,FALSE(),TRUE())))</f>
        <v/>
      </c>
      <c r="AA16" s="87" t="str">
        <f aca="false">IF(ISBLANK($C16),"",IF(I16=Constants!$B$2,TRUE(),IF(I16=Constants!$B$3,FALSE(),TRUE())))</f>
        <v/>
      </c>
      <c r="AB16" s="87" t="str">
        <f aca="false">IF(ISBLANK($C16),"",IF(J16=Constants!$B$4,TRUE(),IF(J16=Constants!$B$5,FALSE(),COUNTA(K16:M16)&gt;0)))</f>
        <v/>
      </c>
      <c r="AC16" s="88" t="str">
        <f aca="false">IF(ISBLANK($C16),"",IF(ISNUMBER(K16),IF(K16&gt;=0,K16,""),""))</f>
        <v/>
      </c>
      <c r="AD16" s="89" t="str">
        <f aca="false">IF(ISBLANK($C16),"",IF(ISNUMBER(L16),IF(L16&gt;=0,L16,""),""))</f>
        <v/>
      </c>
      <c r="AE16" s="87" t="str">
        <f aca="false">IF(ISBLANK($C16),"",IF(ISNUMBER(M16),IF(M16&gt;=0,MIN(M16,Constants!$B$22),""),""))</f>
        <v/>
      </c>
      <c r="AF16" s="87" t="str">
        <f aca="false">IF(ISBLANK($C16),"",IF(N16=Constants!$B$2,TRUE(),IF(N16=Constants!$B$3,FALSE(),TRUE())))</f>
        <v/>
      </c>
      <c r="AG16" s="87" t="str">
        <f aca="false">IF(ISBLANK($C16),"",IF(O16=Constants!$B$2,TRUE(),IF(O16=Constants!$B$3,FALSE(),TRUE())))</f>
        <v/>
      </c>
      <c r="AH16" s="87" t="str">
        <f aca="false">IF(ISBLANK($C16),"",IF(P16=Constants!$B$4,TRUE(),IF(P16=Constants!$B$5,FALSE(),COUNTA(Q16:S16)&gt;0)))</f>
        <v/>
      </c>
      <c r="AI16" s="88" t="str">
        <f aca="false">IF(ISBLANK($C16),"",IF(ISNUMBER(Q16),IF(Q16&gt;=0,Q16,""),""))</f>
        <v/>
      </c>
      <c r="AJ16" s="89" t="str">
        <f aca="false">IF(ISBLANK($C16),"",IF(ISNUMBER(R16),IF(R16&gt;=0,R16,""),""))</f>
        <v/>
      </c>
      <c r="AK16" s="87" t="str">
        <f aca="false">IF(ISBLANK($C16),"",IF(ISNUMBER(S16),IF(S16&gt;=0,MIN(S16,Constants!$B$22),""),""))</f>
        <v/>
      </c>
      <c r="AL16" s="87" t="str">
        <f aca="false">IF(ISBLANK($C16),"",IF(T16=Constants!$B$2,TRUE(),IF(T16=Constants!$B$3,FALSE(),FALSE())))</f>
        <v/>
      </c>
      <c r="AM16" s="86" t="str">
        <f aca="false">IF(ISBLANK($C16),"",AND($AB16,OR($AC16="",$AD16="",AND(NOT(ISBLANK($M16)),$AE16=""))))</f>
        <v/>
      </c>
      <c r="AN16" s="89" t="str">
        <f aca="false">IF($BD16&lt;&gt;Constants!$B$6,"",IF($AB16,Constants!$B$17*$AD16,Constants!$B$18))</f>
        <v/>
      </c>
      <c r="AO16" s="91" t="str">
        <f aca="false">IF($BD16&lt;&gt;Constants!$B$6,"",Constants!$B$19*IF($AB16,$AC16,0))</f>
        <v/>
      </c>
      <c r="AP16" s="91" t="str">
        <f aca="false">IF($BD16&lt;&gt;Constants!$B$6,"",IF(AND($AB16,ISNUMBER($AE16)),Constants!$B$20*(Constants!$B$21-$AE16),0))</f>
        <v/>
      </c>
      <c r="AQ16" s="91" t="str">
        <f aca="false">IF($BD16&lt;&gt;Constants!$B$6,"",IF($AA16,0,Constants!$B$12)+IF($Z16,0,Constants!$B$13)+IF($Y16,0,Constants!$B$14))</f>
        <v/>
      </c>
      <c r="AR16" s="92" t="str">
        <f aca="false">IF($BD16&lt;&gt;Constants!$B$6,"",Constants!$B$16+SUM($AN16:$AQ16))</f>
        <v/>
      </c>
      <c r="AS16" s="91" t="str">
        <f aca="false">IF($BD16&lt;&gt;Constants!$B$6,"",IF($AB16,$AD16,""))</f>
        <v/>
      </c>
      <c r="AT16" s="93" t="str">
        <f aca="false">IF($BD16&lt;&gt;Constants!$B$6,"",$AO16)</f>
        <v/>
      </c>
      <c r="AU16" s="87" t="str">
        <f aca="false">IF($BD16&lt;&gt;Constants!$B$6,"",IF(OR($BA16&lt;$AR16,AND($BA16=$AR16,OR(AND(ISNUMBER($BB16),OR(NOT(ISNUMBER($AS16)),$BB16&lt;$AS16)),AND(OR(AND($BB16="",$AS16=""),AND(ISNUMBER($BB16),ISNUMBER($AS16),$BB16=$AS16)),$BC16&lt;$AT16)))),"-&gt;","&lt;-"))</f>
        <v/>
      </c>
      <c r="AV16" s="86" t="str">
        <f aca="false">IF(ISBLANK($C16),"",AND($AH16,OR($AI16="",$AJ16="",AND(NOT(ISBLANK($S16)),$AK16=""))))</f>
        <v/>
      </c>
      <c r="AW16" s="89" t="str">
        <f aca="false">IF($BD16&lt;&gt;Constants!$B$6,"",IF($AH16,Constants!$B$17*$AJ16,Constants!$B$18))</f>
        <v/>
      </c>
      <c r="AX16" s="91" t="str">
        <f aca="false">IF($BD16&lt;&gt;Constants!$B$6,"",Constants!$B$19*IF($AH16,$AI16,0))</f>
        <v/>
      </c>
      <c r="AY16" s="91" t="str">
        <f aca="false">IF($BD16&lt;&gt;Constants!$B$6,"",IF(AND($AH16,ISNUMBER($AK16)),Constants!$B$20*(Constants!$B$21-$AK16),0))</f>
        <v/>
      </c>
      <c r="AZ16" s="91" t="str">
        <f aca="false">IF($BD16&lt;&gt;Constants!$B$6,"",IF($AG16,0,Constants!$B$12)+IF($AF16,0,Constants!$B$13)+IF($Y16,0,Constants!$B$14))</f>
        <v/>
      </c>
      <c r="BA16" s="92" t="str">
        <f aca="false">IF($BD16&lt;&gt;Constants!$B$6,"",Constants!$B$16+SUM($AW16:$AZ16))</f>
        <v/>
      </c>
      <c r="BB16" s="91" t="str">
        <f aca="false">IF($BD16&lt;&gt;Constants!$B$6,"",IF($AH16,$AJ16,""))</f>
        <v/>
      </c>
      <c r="BC16" s="93" t="str">
        <f aca="false">IF($BD16&lt;&gt;Constants!$B$6,"",$AX16)</f>
        <v/>
      </c>
      <c r="BD16" s="87" t="str">
        <f aca="false">IF(ISBLANK($C16),"",IF($AL16,Constants!$B$9,IF(COUNTA($E16:$T16)=0,Constants!$B$8,IF(NOT($X16),Constants!$B$7,IF(OR($AM16,$AV16),Constants!$B$10,Constants!$B$6)))))</f>
        <v/>
      </c>
      <c r="BE16" s="87" t="str">
        <f aca="false">IF(ISBLANK($C16),"",IF($BD16&lt;&gt;Constants!$B$6,$BD16,Constants!$B$11))</f>
        <v/>
      </c>
      <c r="BF16" s="91" t="str">
        <f aca="false">IF($BD16&lt;&gt;Constants!$B$6,"",IF($AU16="-&gt;",$BA16,$AR16))</f>
        <v/>
      </c>
      <c r="BG16" s="91" t="str">
        <f aca="false">IF($BD16&lt;&gt;Constants!$B$6,"",IF($W16,0,Constants!$B$15))</f>
        <v/>
      </c>
      <c r="BH16" s="91" t="str">
        <f aca="false">IF(ISBLANK($C16),"",IF($BD16&lt;&gt;Constants!$B$6,$BD16,SUM($BF16:$BG16)))</f>
        <v/>
      </c>
      <c r="BI16" s="87" t="str">
        <f aca="false">IF(ISBLANK($C16),"",IF($BD16&lt;&gt;Constants!$B$6,$BD16,RANK($BH16,$BH$9:$BH$508,1)))</f>
        <v/>
      </c>
      <c r="BJ16" s="91" t="str">
        <f aca="false">IF($BD16&lt;&gt;Constants!$B$6,"",IF($AU16="-&gt;",$BB16,$AS16))</f>
        <v/>
      </c>
      <c r="BK16" s="87" t="str">
        <f aca="false">IF(ISBLANK($C16),"",IF($BD16&lt;&gt;Constants!$B$6,$BD16,IF(ISNUMBER($BJ16),RANK($BJ16,$BJ$9:$BJ$508,1),COUNT($BJ$9:$BJ$508)+1)))</f>
        <v/>
      </c>
      <c r="BL16" s="91" t="str">
        <f aca="false">IF($BD16&lt;&gt;Constants!$B$6,"",IF($AU16="-&gt;",$BC16,$AT16))</f>
        <v/>
      </c>
      <c r="BM16" s="87" t="str">
        <f aca="false">IF(ISBLANK($C16),"",IF($BD16&lt;&gt;Constants!$B$6,$BD16,IF(ISNUMBER($BL16),RANK($BL16,$BL$9:$BL$508,1),COUNT($BL$9:$BL$508)+1)))</f>
        <v/>
      </c>
      <c r="BN16" s="91" t="str">
        <f aca="false">IF($BD16&lt;&gt;Constants!$B$6,"",IF($AU16="-&gt;",$AS16,$BB16))</f>
        <v/>
      </c>
      <c r="BO16" s="87" t="str">
        <f aca="false">IF(ISBLANK($C16),"",IF($BD16&lt;&gt;Constants!$B$6,$BD16,IF(ISNUMBER($BN16),RANK($BN16,$BN$9:$BN$508,1),COUNT($BN$9:$BN$508)+1)))</f>
        <v/>
      </c>
      <c r="BP16" s="91" t="str">
        <f aca="false">IF($BD16&lt;&gt;Constants!$B$6,"",IF($AU16="-&gt;",$AT16,$BC16))</f>
        <v/>
      </c>
      <c r="BQ16" s="87" t="str">
        <f aca="false">IF(ISBLANK($C16),"",IF($BD16&lt;&gt;Constants!$B$6,$BD16,IF(ISNUMBER($BP16),RANK($BP16,$BP$9:$BP$508,1),COUNT($BP$9:$BP$508)+1)))</f>
        <v/>
      </c>
      <c r="BR16" s="87" t="str">
        <f aca="false">IF(ISBLANK($C16),"",IF($BD16&lt;&gt;Constants!$B$6,$BD16,COUNTIFS($BI$9:$BI$508,"&lt;"&amp;$BI16)+COUNTIFS($BI$9:$BI$508,$BI16,$BK$9:$BK$508,"&lt;"&amp;$BK16)+COUNTIFS($BI$9:$BI$508,$BI16,$BK$9:$BK$508,$BK16,$BM$9:$BM$508,"&lt;"&amp;$BM16)+COUNTIFS($BI$9:$BI$508,$BI16,$BK$9:$BK$508,$BK16,$BM$9:$BM$508,$BM16,$BO$9:$BO$508,"&lt;"&amp;$BO16)+COUNTIFS($BI$9:$BI$508,$BI16,$BK$9:$BK$508,$BK16,$BM$9:$BM$508,$BM16,$BO$9:$BO$508,$BO16,$BQ$9:$BQ$508,"&lt;"&amp;$BQ16)+1))</f>
        <v/>
      </c>
      <c r="BS16" s="87" t="str">
        <f aca="false">IF(ISBLANK($C16),"",IF($BD16&lt;&gt;Constants!$B$6,$BD16,$BI16-$BR16))</f>
        <v/>
      </c>
      <c r="BT16" s="94"/>
      <c r="BU16" s="95"/>
      <c r="BV16" s="95" t="str">
        <f aca="false">IF(ISBLANK($C16),"",IF($BD16&lt;&gt;Constants!$B$6,"",IF($AU16="-&gt;",2,1)))</f>
        <v/>
      </c>
      <c r="BW16" s="96" t="str">
        <f aca="false">IF(ISBLANK($C16),"",IF($BD16&lt;&gt;Constants!$B$6,"",IF($AU16="-&gt;",$AW16,$AN16)))</f>
        <v/>
      </c>
      <c r="BX16" s="96" t="str">
        <f aca="false">IF(ISBLANK($C16),"",IF($BD16&lt;&gt;Constants!$B$6,"",IF($AU16="-&gt;",$AX16,$AO16)))</f>
        <v/>
      </c>
      <c r="BY16" s="96" t="str">
        <f aca="false">IF(ISBLANK($C16),"",IF($BD16&lt;&gt;Constants!$B$6,"",IF($AU16="-&gt;",$AY16,$AP16)))</f>
        <v/>
      </c>
      <c r="BZ16" s="96" t="str">
        <f aca="false">IF(ISBLANK($C16),"",IF($BD16&lt;&gt;Constants!$B$6,"",IF($AU16="-&gt;",$AZ16,$AQ16)+$BG16))</f>
        <v/>
      </c>
      <c r="CA16" s="97" t="str">
        <f aca="false">IF(ISBLANK($C16),"",IF($BD16&lt;&gt;Constants!$B$6,$BD16,$BH16))</f>
        <v/>
      </c>
      <c r="CB16" s="98" t="str">
        <f aca="false">IF(ISBLANK($C16),"",$BE16)</f>
        <v/>
      </c>
      <c r="CC16" s="99" t="str">
        <f aca="false">IF(ISBLANK($C16),"",$BS16)</f>
        <v/>
      </c>
      <c r="CD16" s="99" t="str">
        <f aca="false">IF(ISBLANK($C16),"",$BR16)</f>
        <v/>
      </c>
      <c r="CE16" s="100" t="str">
        <f aca="false">IF(ISBLANK($C16),"",IF($CD16=Constants!$B$9,COUNTA($C$9:$C$508)+2,IF($CD16=Constants!$B$8,COUNTA($C$9:$C$508)+1,IF($CD16=Constants!$B$7,COUNTA($C$9:$C$508),$CD16))))</f>
        <v/>
      </c>
      <c r="CF16" s="9"/>
      <c r="CG16" s="101" t="n">
        <f aca="false">IF(OR(ISNUMBER($CD16),$CD16=Constants!$B$9,$CD16=Constants!$B$7,$CD16=Constants!$B$8),1,0)</f>
        <v>0</v>
      </c>
      <c r="CH16" s="101" t="n">
        <v>8</v>
      </c>
      <c r="CI16" s="101" t="str">
        <f aca="false">IF(ISBLANK($C16),"",IF(ISNUMBER($CE16),$CE16+ROW($B16)/1000,""))</f>
        <v/>
      </c>
      <c r="CJ16" s="101" t="str">
        <f aca="false">IF(ISNUMBER($CI16),RANK($CI16,$CI$9:$CI$508,1),"")</f>
        <v/>
      </c>
      <c r="CK16" s="101" t="str">
        <f aca="false">IF(ISBLANK($C16),"",$B16)</f>
        <v/>
      </c>
      <c r="CL16" s="101" t="str">
        <f aca="false">IF(ISBLANK($C16),"",$C16)</f>
        <v/>
      </c>
      <c r="CM16" s="101" t="str">
        <f aca="false">IF(ISBLANK($C16),"",$D16)</f>
        <v/>
      </c>
      <c r="CN16" s="102" t="str">
        <f aca="false">$CB16</f>
        <v/>
      </c>
      <c r="CO16" s="103" t="str">
        <f aca="false">$CA16</f>
        <v/>
      </c>
      <c r="CP16" s="101" t="str">
        <f aca="false">IF(ISBLANK($C16),"",$CD16)</f>
        <v/>
      </c>
      <c r="CQ16" s="104" t="str">
        <f aca="false">IF($CH16&gt;$CG$8,"",VLOOKUP($CH16,$CJ$9:$CP$508,7,FALSE()))</f>
        <v/>
      </c>
      <c r="CR16" s="105" t="str">
        <f aca="false">IF($CH16&gt;$CG$8,"",VLOOKUP($CH16,$CJ$9:$CP$508,2,FALSE()))</f>
        <v/>
      </c>
      <c r="CS16" s="105" t="str">
        <f aca="false">IF($CH16&gt;$CG$8,"",VLOOKUP($CH16,$CJ$9:$CP$508,3,FALSE()))</f>
        <v/>
      </c>
      <c r="CT16" s="105" t="str">
        <f aca="false">IF($CH16&gt;$CG$8,"",VLOOKUP($CH16,$CJ$9:$CP$508,4,FALSE()))</f>
        <v/>
      </c>
      <c r="CU16" s="105" t="str">
        <f aca="false">IF($CH16&gt;$CG$8,"",VLOOKUP($CH16,$CJ$9:$CP$508,5,FALSE()))</f>
        <v/>
      </c>
      <c r="CV16" s="106" t="str">
        <f aca="false">IF($CH16&gt;$CG$8,"",VLOOKUP($CH16,$CJ$9:$CP$508,6,FALSE()))</f>
        <v/>
      </c>
      <c r="CW16" s="71"/>
    </row>
    <row r="17" customFormat="false" ht="15.75" hidden="false" customHeight="false" outlineLevel="0" collapsed="false">
      <c r="A17" s="9"/>
      <c r="B17" s="107"/>
      <c r="C17" s="108"/>
      <c r="D17" s="74"/>
      <c r="E17" s="75"/>
      <c r="F17" s="109"/>
      <c r="G17" s="110"/>
      <c r="H17" s="78"/>
      <c r="I17" s="79"/>
      <c r="J17" s="80"/>
      <c r="K17" s="81"/>
      <c r="L17" s="82"/>
      <c r="M17" s="83"/>
      <c r="N17" s="79"/>
      <c r="O17" s="79"/>
      <c r="P17" s="80"/>
      <c r="Q17" s="82"/>
      <c r="R17" s="82"/>
      <c r="S17" s="83"/>
      <c r="T17" s="111"/>
      <c r="U17" s="86"/>
      <c r="V17" s="87"/>
      <c r="W17" s="87" t="str">
        <f aca="false">IF(ISBLANK($C17),"",IF(E17=Constants!$B$2,TRUE(),IF(E17=Constants!$B$3,FALSE(),TRUE())))</f>
        <v/>
      </c>
      <c r="X17" s="87" t="str">
        <f aca="false">IF(ISBLANK($C17),"",IF(F17=Constants!$B$2,TRUE(),IF(F17=Constants!$B$3,FALSE(),TRUE())))</f>
        <v/>
      </c>
      <c r="Y17" s="87" t="str">
        <f aca="false">IF(ISBLANK($C17),"",IF(G17=Constants!$B$2,TRUE(),IF(G17=Constants!$B$3,FALSE(),TRUE())))</f>
        <v/>
      </c>
      <c r="Z17" s="87" t="str">
        <f aca="false">IF(ISBLANK($C17),"",IF(H17=Constants!$B$2,TRUE(),IF(H17=Constants!$B$3,FALSE(),TRUE())))</f>
        <v/>
      </c>
      <c r="AA17" s="87" t="str">
        <f aca="false">IF(ISBLANK($C17),"",IF(I17=Constants!$B$2,TRUE(),IF(I17=Constants!$B$3,FALSE(),TRUE())))</f>
        <v/>
      </c>
      <c r="AB17" s="87" t="str">
        <f aca="false">IF(ISBLANK($C17),"",IF(J17=Constants!$B$4,TRUE(),IF(J17=Constants!$B$5,FALSE(),COUNTA(K17:M17)&gt;0)))</f>
        <v/>
      </c>
      <c r="AC17" s="88" t="str">
        <f aca="false">IF(ISBLANK($C17),"",IF(ISNUMBER(K17),IF(K17&gt;=0,K17,""),""))</f>
        <v/>
      </c>
      <c r="AD17" s="89" t="str">
        <f aca="false">IF(ISBLANK($C17),"",IF(ISNUMBER(L17),IF(L17&gt;=0,L17,""),""))</f>
        <v/>
      </c>
      <c r="AE17" s="87" t="str">
        <f aca="false">IF(ISBLANK($C17),"",IF(ISNUMBER(M17),IF(M17&gt;=0,MIN(M17,Constants!$B$22),""),""))</f>
        <v/>
      </c>
      <c r="AF17" s="87" t="str">
        <f aca="false">IF(ISBLANK($C17),"",IF(N17=Constants!$B$2,TRUE(),IF(N17=Constants!$B$3,FALSE(),TRUE())))</f>
        <v/>
      </c>
      <c r="AG17" s="87" t="str">
        <f aca="false">IF(ISBLANK($C17),"",IF(O17=Constants!$B$2,TRUE(),IF(O17=Constants!$B$3,FALSE(),TRUE())))</f>
        <v/>
      </c>
      <c r="AH17" s="87" t="str">
        <f aca="false">IF(ISBLANK($C17),"",IF(P17=Constants!$B$4,TRUE(),IF(P17=Constants!$B$5,FALSE(),COUNTA(Q17:S17)&gt;0)))</f>
        <v/>
      </c>
      <c r="AI17" s="88" t="str">
        <f aca="false">IF(ISBLANK($C17),"",IF(ISNUMBER(Q17),IF(Q17&gt;=0,Q17,""),""))</f>
        <v/>
      </c>
      <c r="AJ17" s="89" t="str">
        <f aca="false">IF(ISBLANK($C17),"",IF(ISNUMBER(R17),IF(R17&gt;=0,R17,""),""))</f>
        <v/>
      </c>
      <c r="AK17" s="87" t="str">
        <f aca="false">IF(ISBLANK($C17),"",IF(ISNUMBER(S17),IF(S17&gt;=0,MIN(S17,Constants!$B$22),""),""))</f>
        <v/>
      </c>
      <c r="AL17" s="87" t="str">
        <f aca="false">IF(ISBLANK($C17),"",IF(T17=Constants!$B$2,TRUE(),IF(T17=Constants!$B$3,FALSE(),FALSE())))</f>
        <v/>
      </c>
      <c r="AM17" s="86" t="str">
        <f aca="false">IF(ISBLANK($C17),"",AND($AB17,OR($AC17="",$AD17="",AND(NOT(ISBLANK($M17)),$AE17=""))))</f>
        <v/>
      </c>
      <c r="AN17" s="89" t="str">
        <f aca="false">IF($BD17&lt;&gt;Constants!$B$6,"",IF($AB17,Constants!$B$17*$AD17,Constants!$B$18))</f>
        <v/>
      </c>
      <c r="AO17" s="91" t="str">
        <f aca="false">IF($BD17&lt;&gt;Constants!$B$6,"",Constants!$B$19*IF($AB17,$AC17,0))</f>
        <v/>
      </c>
      <c r="AP17" s="91" t="str">
        <f aca="false">IF($BD17&lt;&gt;Constants!$B$6,"",IF(AND($AB17,ISNUMBER($AE17)),Constants!$B$20*(Constants!$B$21-$AE17),0))</f>
        <v/>
      </c>
      <c r="AQ17" s="91" t="str">
        <f aca="false">IF($BD17&lt;&gt;Constants!$B$6,"",IF($AA17,0,Constants!$B$12)+IF($Z17,0,Constants!$B$13)+IF($Y17,0,Constants!$B$14))</f>
        <v/>
      </c>
      <c r="AR17" s="92" t="str">
        <f aca="false">IF($BD17&lt;&gt;Constants!$B$6,"",Constants!$B$16+SUM($AN17:$AQ17))</f>
        <v/>
      </c>
      <c r="AS17" s="91" t="str">
        <f aca="false">IF($BD17&lt;&gt;Constants!$B$6,"",IF($AB17,$AD17,""))</f>
        <v/>
      </c>
      <c r="AT17" s="93" t="str">
        <f aca="false">IF($BD17&lt;&gt;Constants!$B$6,"",$AO17)</f>
        <v/>
      </c>
      <c r="AU17" s="87" t="str">
        <f aca="false">IF($BD17&lt;&gt;Constants!$B$6,"",IF(OR($BA17&lt;$AR17,AND($BA17=$AR17,OR(AND(ISNUMBER($BB17),OR(NOT(ISNUMBER($AS17)),$BB17&lt;$AS17)),AND(OR(AND($BB17="",$AS17=""),AND(ISNUMBER($BB17),ISNUMBER($AS17),$BB17=$AS17)),$BC17&lt;$AT17)))),"-&gt;","&lt;-"))</f>
        <v/>
      </c>
      <c r="AV17" s="86" t="str">
        <f aca="false">IF(ISBLANK($C17),"",AND($AH17,OR($AI17="",$AJ17="",AND(NOT(ISBLANK($S17)),$AK17=""))))</f>
        <v/>
      </c>
      <c r="AW17" s="89" t="str">
        <f aca="false">IF($BD17&lt;&gt;Constants!$B$6,"",IF($AH17,Constants!$B$17*$AJ17,Constants!$B$18))</f>
        <v/>
      </c>
      <c r="AX17" s="91" t="str">
        <f aca="false">IF($BD17&lt;&gt;Constants!$B$6,"",Constants!$B$19*IF($AH17,$AI17,0))</f>
        <v/>
      </c>
      <c r="AY17" s="91" t="str">
        <f aca="false">IF($BD17&lt;&gt;Constants!$B$6,"",IF(AND($AH17,ISNUMBER($AK17)),Constants!$B$20*(Constants!$B$21-$AK17),0))</f>
        <v/>
      </c>
      <c r="AZ17" s="91" t="str">
        <f aca="false">IF($BD17&lt;&gt;Constants!$B$6,"",IF($AG17,0,Constants!$B$12)+IF($AF17,0,Constants!$B$13)+IF($Y17,0,Constants!$B$14))</f>
        <v/>
      </c>
      <c r="BA17" s="92" t="str">
        <f aca="false">IF($BD17&lt;&gt;Constants!$B$6,"",Constants!$B$16+SUM($AW17:$AZ17))</f>
        <v/>
      </c>
      <c r="BB17" s="91" t="str">
        <f aca="false">IF($BD17&lt;&gt;Constants!$B$6,"",IF($AH17,$AJ17,""))</f>
        <v/>
      </c>
      <c r="BC17" s="93" t="str">
        <f aca="false">IF($BD17&lt;&gt;Constants!$B$6,"",$AX17)</f>
        <v/>
      </c>
      <c r="BD17" s="87" t="str">
        <f aca="false">IF(ISBLANK($C17),"",IF($AL17,Constants!$B$9,IF(COUNTA($E17:$T17)=0,Constants!$B$8,IF(NOT($X17),Constants!$B$7,IF(OR($AM17,$AV17),Constants!$B$10,Constants!$B$6)))))</f>
        <v/>
      </c>
      <c r="BE17" s="87" t="str">
        <f aca="false">IF(ISBLANK($C17),"",IF($BD17&lt;&gt;Constants!$B$6,$BD17,Constants!$B$11))</f>
        <v/>
      </c>
      <c r="BF17" s="91" t="str">
        <f aca="false">IF($BD17&lt;&gt;Constants!$B$6,"",IF($AU17="-&gt;",$BA17,$AR17))</f>
        <v/>
      </c>
      <c r="BG17" s="91" t="str">
        <f aca="false">IF($BD17&lt;&gt;Constants!$B$6,"",IF($W17,0,Constants!$B$15))</f>
        <v/>
      </c>
      <c r="BH17" s="91" t="str">
        <f aca="false">IF(ISBLANK($C17),"",IF($BD17&lt;&gt;Constants!$B$6,$BD17,SUM($BF17:$BG17)))</f>
        <v/>
      </c>
      <c r="BI17" s="87" t="str">
        <f aca="false">IF(ISBLANK($C17),"",IF($BD17&lt;&gt;Constants!$B$6,$BD17,RANK($BH17,$BH$9:$BH$508,1)))</f>
        <v/>
      </c>
      <c r="BJ17" s="91" t="str">
        <f aca="false">IF($BD17&lt;&gt;Constants!$B$6,"",IF($AU17="-&gt;",$BB17,$AS17))</f>
        <v/>
      </c>
      <c r="BK17" s="87" t="str">
        <f aca="false">IF(ISBLANK($C17),"",IF($BD17&lt;&gt;Constants!$B$6,$BD17,IF(ISNUMBER($BJ17),RANK($BJ17,$BJ$9:$BJ$508,1),COUNT($BJ$9:$BJ$508)+1)))</f>
        <v/>
      </c>
      <c r="BL17" s="91" t="str">
        <f aca="false">IF($BD17&lt;&gt;Constants!$B$6,"",IF($AU17="-&gt;",$BC17,$AT17))</f>
        <v/>
      </c>
      <c r="BM17" s="87" t="str">
        <f aca="false">IF(ISBLANK($C17),"",IF($BD17&lt;&gt;Constants!$B$6,$BD17,IF(ISNUMBER($BL17),RANK($BL17,$BL$9:$BL$508,1),COUNT($BL$9:$BL$508)+1)))</f>
        <v/>
      </c>
      <c r="BN17" s="91" t="str">
        <f aca="false">IF($BD17&lt;&gt;Constants!$B$6,"",IF($AU17="-&gt;",$AS17,$BB17))</f>
        <v/>
      </c>
      <c r="BO17" s="87" t="str">
        <f aca="false">IF(ISBLANK($C17),"",IF($BD17&lt;&gt;Constants!$B$6,$BD17,IF(ISNUMBER($BN17),RANK($BN17,$BN$9:$BN$508,1),COUNT($BN$9:$BN$508)+1)))</f>
        <v/>
      </c>
      <c r="BP17" s="91" t="str">
        <f aca="false">IF($BD17&lt;&gt;Constants!$B$6,"",IF($AU17="-&gt;",$AT17,$BC17))</f>
        <v/>
      </c>
      <c r="BQ17" s="87" t="str">
        <f aca="false">IF(ISBLANK($C17),"",IF($BD17&lt;&gt;Constants!$B$6,$BD17,IF(ISNUMBER($BP17),RANK($BP17,$BP$9:$BP$508,1),COUNT($BP$9:$BP$508)+1)))</f>
        <v/>
      </c>
      <c r="BR17" s="87" t="str">
        <f aca="false">IF(ISBLANK($C17),"",IF($BD17&lt;&gt;Constants!$B$6,$BD17,COUNTIFS($BI$9:$BI$508,"&lt;"&amp;$BI17)+COUNTIFS($BI$9:$BI$508,$BI17,$BK$9:$BK$508,"&lt;"&amp;$BK17)+COUNTIFS($BI$9:$BI$508,$BI17,$BK$9:$BK$508,$BK17,$BM$9:$BM$508,"&lt;"&amp;$BM17)+COUNTIFS($BI$9:$BI$508,$BI17,$BK$9:$BK$508,$BK17,$BM$9:$BM$508,$BM17,$BO$9:$BO$508,"&lt;"&amp;$BO17)+COUNTIFS($BI$9:$BI$508,$BI17,$BK$9:$BK$508,$BK17,$BM$9:$BM$508,$BM17,$BO$9:$BO$508,$BO17,$BQ$9:$BQ$508,"&lt;"&amp;$BQ17)+1))</f>
        <v/>
      </c>
      <c r="BS17" s="87" t="str">
        <f aca="false">IF(ISBLANK($C17),"",IF($BD17&lt;&gt;Constants!$B$6,$BD17,$BI17-$BR17))</f>
        <v/>
      </c>
      <c r="BT17" s="94"/>
      <c r="BU17" s="95"/>
      <c r="BV17" s="95" t="str">
        <f aca="false">IF(ISBLANK($C17),"",IF($BD17&lt;&gt;Constants!$B$6,"",IF($AU17="-&gt;",2,1)))</f>
        <v/>
      </c>
      <c r="BW17" s="96" t="str">
        <f aca="false">IF(ISBLANK($C17),"",IF($BD17&lt;&gt;Constants!$B$6,"",IF($AU17="-&gt;",$AW17,$AN17)))</f>
        <v/>
      </c>
      <c r="BX17" s="96" t="str">
        <f aca="false">IF(ISBLANK($C17),"",IF($BD17&lt;&gt;Constants!$B$6,"",IF($AU17="-&gt;",$AX17,$AO17)))</f>
        <v/>
      </c>
      <c r="BY17" s="96" t="str">
        <f aca="false">IF(ISBLANK($C17),"",IF($BD17&lt;&gt;Constants!$B$6,"",IF($AU17="-&gt;",$AY17,$AP17)))</f>
        <v/>
      </c>
      <c r="BZ17" s="96" t="str">
        <f aca="false">IF(ISBLANK($C17),"",IF($BD17&lt;&gt;Constants!$B$6,"",IF($AU17="-&gt;",$AZ17,$AQ17)+$BG17))</f>
        <v/>
      </c>
      <c r="CA17" s="97" t="str">
        <f aca="false">IF(ISBLANK($C17),"",IF($BD17&lt;&gt;Constants!$B$6,$BD17,$BH17))</f>
        <v/>
      </c>
      <c r="CB17" s="98" t="str">
        <f aca="false">IF(ISBLANK($C17),"",$BE17)</f>
        <v/>
      </c>
      <c r="CC17" s="99" t="str">
        <f aca="false">IF(ISBLANK($C17),"",$BS17)</f>
        <v/>
      </c>
      <c r="CD17" s="99" t="str">
        <f aca="false">IF(ISBLANK($C17),"",$BR17)</f>
        <v/>
      </c>
      <c r="CE17" s="100" t="str">
        <f aca="false">IF(ISBLANK($C17),"",IF($CD17=Constants!$B$9,COUNTA($C$9:$C$508)+2,IF($CD17=Constants!$B$8,COUNTA($C$9:$C$508)+1,IF($CD17=Constants!$B$7,COUNTA($C$9:$C$508),$CD17))))</f>
        <v/>
      </c>
      <c r="CF17" s="9"/>
      <c r="CG17" s="101" t="n">
        <f aca="false">IF(OR(ISNUMBER($CD17),$CD17=Constants!$B$9,$CD17=Constants!$B$7,$CD17=Constants!$B$8),1,0)</f>
        <v>0</v>
      </c>
      <c r="CH17" s="101" t="n">
        <v>9</v>
      </c>
      <c r="CI17" s="101" t="str">
        <f aca="false">IF(ISBLANK($C17),"",IF(ISNUMBER($CE17),$CE17+ROW($B17)/1000,""))</f>
        <v/>
      </c>
      <c r="CJ17" s="101" t="str">
        <f aca="false">IF(ISNUMBER($CI17),RANK($CI17,$CI$9:$CI$508,1),"")</f>
        <v/>
      </c>
      <c r="CK17" s="101" t="str">
        <f aca="false">IF(ISBLANK($C17),"",$B17)</f>
        <v/>
      </c>
      <c r="CL17" s="101" t="str">
        <f aca="false">IF(ISBLANK($C17),"",$C17)</f>
        <v/>
      </c>
      <c r="CM17" s="101" t="str">
        <f aca="false">IF(ISBLANK($C17),"",$D17)</f>
        <v/>
      </c>
      <c r="CN17" s="102" t="str">
        <f aca="false">$CB17</f>
        <v/>
      </c>
      <c r="CO17" s="103" t="str">
        <f aca="false">$CA17</f>
        <v/>
      </c>
      <c r="CP17" s="101" t="str">
        <f aca="false">IF(ISBLANK($C17),"",$CD17)</f>
        <v/>
      </c>
      <c r="CQ17" s="104" t="str">
        <f aca="false">IF($CH17&gt;$CG$8,"",VLOOKUP($CH17,$CJ$9:$CP$508,7,FALSE()))</f>
        <v/>
      </c>
      <c r="CR17" s="105" t="str">
        <f aca="false">IF($CH17&gt;$CG$8,"",VLOOKUP($CH17,$CJ$9:$CP$508,2,FALSE()))</f>
        <v/>
      </c>
      <c r="CS17" s="105" t="str">
        <f aca="false">IF($CH17&gt;$CG$8,"",VLOOKUP($CH17,$CJ$9:$CP$508,3,FALSE()))</f>
        <v/>
      </c>
      <c r="CT17" s="105" t="str">
        <f aca="false">IF($CH17&gt;$CG$8,"",VLOOKUP($CH17,$CJ$9:$CP$508,4,FALSE()))</f>
        <v/>
      </c>
      <c r="CU17" s="105" t="str">
        <f aca="false">IF($CH17&gt;$CG$8,"",VLOOKUP($CH17,$CJ$9:$CP$508,5,FALSE()))</f>
        <v/>
      </c>
      <c r="CV17" s="106" t="str">
        <f aca="false">IF($CH17&gt;$CG$8,"",VLOOKUP($CH17,$CJ$9:$CP$508,6,FALSE()))</f>
        <v/>
      </c>
      <c r="CW17" s="71"/>
    </row>
    <row r="18" customFormat="false" ht="15.75" hidden="false" customHeight="false" outlineLevel="0" collapsed="false">
      <c r="A18" s="9"/>
      <c r="B18" s="150"/>
      <c r="C18" s="151"/>
      <c r="D18" s="152"/>
      <c r="E18" s="153"/>
      <c r="F18" s="154"/>
      <c r="G18" s="155"/>
      <c r="H18" s="156"/>
      <c r="I18" s="157"/>
      <c r="J18" s="120"/>
      <c r="K18" s="121"/>
      <c r="L18" s="122"/>
      <c r="M18" s="158"/>
      <c r="N18" s="157"/>
      <c r="O18" s="157"/>
      <c r="P18" s="120"/>
      <c r="Q18" s="122"/>
      <c r="R18" s="122"/>
      <c r="S18" s="158"/>
      <c r="T18" s="159"/>
      <c r="U18" s="126"/>
      <c r="V18" s="127"/>
      <c r="W18" s="127" t="str">
        <f aca="false">IF(ISBLANK($C18),"",IF(E18=Constants!$B$2,TRUE(),IF(E18=Constants!$B$3,FALSE(),TRUE())))</f>
        <v/>
      </c>
      <c r="X18" s="127" t="str">
        <f aca="false">IF(ISBLANK($C18),"",IF(F18=Constants!$B$2,TRUE(),IF(F18=Constants!$B$3,FALSE(),TRUE())))</f>
        <v/>
      </c>
      <c r="Y18" s="127" t="str">
        <f aca="false">IF(ISBLANK($C18),"",IF(G18=Constants!$B$2,TRUE(),IF(G18=Constants!$B$3,FALSE(),TRUE())))</f>
        <v/>
      </c>
      <c r="Z18" s="127" t="str">
        <f aca="false">IF(ISBLANK($C18),"",IF(H18=Constants!$B$2,TRUE(),IF(H18=Constants!$B$3,FALSE(),TRUE())))</f>
        <v/>
      </c>
      <c r="AA18" s="127" t="str">
        <f aca="false">IF(ISBLANK($C18),"",IF(I18=Constants!$B$2,TRUE(),IF(I18=Constants!$B$3,FALSE(),TRUE())))</f>
        <v/>
      </c>
      <c r="AB18" s="127" t="str">
        <f aca="false">IF(ISBLANK($C18),"",IF(J18=Constants!$B$4,TRUE(),IF(J18=Constants!$B$5,FALSE(),COUNTA(K18:M18)&gt;0)))</f>
        <v/>
      </c>
      <c r="AC18" s="128" t="str">
        <f aca="false">IF(ISBLANK($C18),"",IF(ISNUMBER(K18),IF(K18&gt;=0,K18,""),""))</f>
        <v/>
      </c>
      <c r="AD18" s="129" t="str">
        <f aca="false">IF(ISBLANK($C18),"",IF(ISNUMBER(L18),IF(L18&gt;=0,L18,""),""))</f>
        <v/>
      </c>
      <c r="AE18" s="127" t="str">
        <f aca="false">IF(ISBLANK($C18),"",IF(ISNUMBER(M18),IF(M18&gt;=0,MIN(M18,Constants!$B$22),""),""))</f>
        <v/>
      </c>
      <c r="AF18" s="127" t="str">
        <f aca="false">IF(ISBLANK($C18),"",IF(N18=Constants!$B$2,TRUE(),IF(N18=Constants!$B$3,FALSE(),TRUE())))</f>
        <v/>
      </c>
      <c r="AG18" s="127" t="str">
        <f aca="false">IF(ISBLANK($C18),"",IF(O18=Constants!$B$2,TRUE(),IF(O18=Constants!$B$3,FALSE(),TRUE())))</f>
        <v/>
      </c>
      <c r="AH18" s="127" t="str">
        <f aca="false">IF(ISBLANK($C18),"",IF(P18=Constants!$B$4,TRUE(),IF(P18=Constants!$B$5,FALSE(),COUNTA(Q18:S18)&gt;0)))</f>
        <v/>
      </c>
      <c r="AI18" s="128" t="str">
        <f aca="false">IF(ISBLANK($C18),"",IF(ISNUMBER(Q18),IF(Q18&gt;=0,Q18,""),""))</f>
        <v/>
      </c>
      <c r="AJ18" s="129" t="str">
        <f aca="false">IF(ISBLANK($C18),"",IF(ISNUMBER(R18),IF(R18&gt;=0,R18,""),""))</f>
        <v/>
      </c>
      <c r="AK18" s="127" t="str">
        <f aca="false">IF(ISBLANK($C18),"",IF(ISNUMBER(S18),IF(S18&gt;=0,MIN(S18,Constants!$B$22),""),""))</f>
        <v/>
      </c>
      <c r="AL18" s="127" t="str">
        <f aca="false">IF(ISBLANK($C18),"",IF(T18=Constants!$B$2,TRUE(),IF(T18=Constants!$B$3,FALSE(),FALSE())))</f>
        <v/>
      </c>
      <c r="AM18" s="126" t="str">
        <f aca="false">IF(ISBLANK($C18),"",AND($AB18,OR($AC18="",$AD18="",AND(NOT(ISBLANK($M18)),$AE18=""))))</f>
        <v/>
      </c>
      <c r="AN18" s="129" t="str">
        <f aca="false">IF($BD18&lt;&gt;Constants!$B$6,"",IF($AB18,Constants!$B$17*$AD18,Constants!$B$18))</f>
        <v/>
      </c>
      <c r="AO18" s="130" t="str">
        <f aca="false">IF($BD18&lt;&gt;Constants!$B$6,"",Constants!$B$19*IF($AB18,$AC18,0))</f>
        <v/>
      </c>
      <c r="AP18" s="130" t="str">
        <f aca="false">IF($BD18&lt;&gt;Constants!$B$6,"",IF(AND($AB18,ISNUMBER($AE18)),Constants!$B$20*(Constants!$B$21-$AE18),0))</f>
        <v/>
      </c>
      <c r="AQ18" s="130" t="str">
        <f aca="false">IF($BD18&lt;&gt;Constants!$B$6,"",IF($AA18,0,Constants!$B$12)+IF($Z18,0,Constants!$B$13)+IF($Y18,0,Constants!$B$14))</f>
        <v/>
      </c>
      <c r="AR18" s="131" t="str">
        <f aca="false">IF($BD18&lt;&gt;Constants!$B$6,"",Constants!$B$16+SUM($AN18:$AQ18))</f>
        <v/>
      </c>
      <c r="AS18" s="130" t="str">
        <f aca="false">IF($BD18&lt;&gt;Constants!$B$6,"",IF($AB18,$AD18,""))</f>
        <v/>
      </c>
      <c r="AT18" s="132" t="str">
        <f aca="false">IF($BD18&lt;&gt;Constants!$B$6,"",$AO18)</f>
        <v/>
      </c>
      <c r="AU18" s="127" t="str">
        <f aca="false">IF($BD18&lt;&gt;Constants!$B$6,"",IF(OR($BA18&lt;$AR18,AND($BA18=$AR18,OR(AND(ISNUMBER($BB18),OR(NOT(ISNUMBER($AS18)),$BB18&lt;$AS18)),AND(OR(AND($BB18="",$AS18=""),AND(ISNUMBER($BB18),ISNUMBER($AS18),$BB18=$AS18)),$BC18&lt;$AT18)))),"-&gt;","&lt;-"))</f>
        <v/>
      </c>
      <c r="AV18" s="126" t="str">
        <f aca="false">IF(ISBLANK($C18),"",AND($AH18,OR($AI18="",$AJ18="",AND(NOT(ISBLANK($S18)),$AK18=""))))</f>
        <v/>
      </c>
      <c r="AW18" s="129" t="str">
        <f aca="false">IF($BD18&lt;&gt;Constants!$B$6,"",IF($AH18,Constants!$B$17*$AJ18,Constants!$B$18))</f>
        <v/>
      </c>
      <c r="AX18" s="130" t="str">
        <f aca="false">IF($BD18&lt;&gt;Constants!$B$6,"",Constants!$B$19*IF($AH18,$AI18,0))</f>
        <v/>
      </c>
      <c r="AY18" s="130" t="str">
        <f aca="false">IF($BD18&lt;&gt;Constants!$B$6,"",IF(AND($AH18,ISNUMBER($AK18)),Constants!$B$20*(Constants!$B$21-$AK18),0))</f>
        <v/>
      </c>
      <c r="AZ18" s="130" t="str">
        <f aca="false">IF($BD18&lt;&gt;Constants!$B$6,"",IF($AG18,0,Constants!$B$12)+IF($AF18,0,Constants!$B$13)+IF($Y18,0,Constants!$B$14))</f>
        <v/>
      </c>
      <c r="BA18" s="131" t="str">
        <f aca="false">IF($BD18&lt;&gt;Constants!$B$6,"",Constants!$B$16+SUM($AW18:$AZ18))</f>
        <v/>
      </c>
      <c r="BB18" s="130" t="str">
        <f aca="false">IF($BD18&lt;&gt;Constants!$B$6,"",IF($AH18,$AJ18,""))</f>
        <v/>
      </c>
      <c r="BC18" s="132" t="str">
        <f aca="false">IF($BD18&lt;&gt;Constants!$B$6,"",$AX18)</f>
        <v/>
      </c>
      <c r="BD18" s="127" t="str">
        <f aca="false">IF(ISBLANK($C18),"",IF($AL18,Constants!$B$9,IF(COUNTA($E18:$T18)=0,Constants!$B$8,IF(NOT($X18),Constants!$B$7,IF(OR($AM18,$AV18),Constants!$B$10,Constants!$B$6)))))</f>
        <v/>
      </c>
      <c r="BE18" s="127" t="str">
        <f aca="false">IF(ISBLANK($C18),"",IF($BD18&lt;&gt;Constants!$B$6,$BD18,Constants!$B$11))</f>
        <v/>
      </c>
      <c r="BF18" s="130" t="str">
        <f aca="false">IF($BD18&lt;&gt;Constants!$B$6,"",IF($AU18="-&gt;",$BA18,$AR18))</f>
        <v/>
      </c>
      <c r="BG18" s="130" t="str">
        <f aca="false">IF($BD18&lt;&gt;Constants!$B$6,"",IF($W18,0,Constants!$B$15))</f>
        <v/>
      </c>
      <c r="BH18" s="130" t="str">
        <f aca="false">IF(ISBLANK($C18),"",IF($BD18&lt;&gt;Constants!$B$6,$BD18,SUM($BF18:$BG18)))</f>
        <v/>
      </c>
      <c r="BI18" s="127" t="str">
        <f aca="false">IF(ISBLANK($C18),"",IF($BD18&lt;&gt;Constants!$B$6,$BD18,RANK($BH18,$BH$9:$BH$508,1)))</f>
        <v/>
      </c>
      <c r="BJ18" s="130" t="str">
        <f aca="false">IF($BD18&lt;&gt;Constants!$B$6,"",IF($AU18="-&gt;",$BB18,$AS18))</f>
        <v/>
      </c>
      <c r="BK18" s="127" t="str">
        <f aca="false">IF(ISBLANK($C18),"",IF($BD18&lt;&gt;Constants!$B$6,$BD18,IF(ISNUMBER($BJ18),RANK($BJ18,$BJ$9:$BJ$508,1),COUNT($BJ$9:$BJ$508)+1)))</f>
        <v/>
      </c>
      <c r="BL18" s="130" t="str">
        <f aca="false">IF($BD18&lt;&gt;Constants!$B$6,"",IF($AU18="-&gt;",$BC18,$AT18))</f>
        <v/>
      </c>
      <c r="BM18" s="127" t="str">
        <f aca="false">IF(ISBLANK($C18),"",IF($BD18&lt;&gt;Constants!$B$6,$BD18,IF(ISNUMBER($BL18),RANK($BL18,$BL$9:$BL$508,1),COUNT($BL$9:$BL$508)+1)))</f>
        <v/>
      </c>
      <c r="BN18" s="130" t="str">
        <f aca="false">IF($BD18&lt;&gt;Constants!$B$6,"",IF($AU18="-&gt;",$AS18,$BB18))</f>
        <v/>
      </c>
      <c r="BO18" s="127" t="str">
        <f aca="false">IF(ISBLANK($C18),"",IF($BD18&lt;&gt;Constants!$B$6,$BD18,IF(ISNUMBER($BN18),RANK($BN18,$BN$9:$BN$508,1),COUNT($BN$9:$BN$508)+1)))</f>
        <v/>
      </c>
      <c r="BP18" s="130" t="str">
        <f aca="false">IF($BD18&lt;&gt;Constants!$B$6,"",IF($AU18="-&gt;",$AT18,$BC18))</f>
        <v/>
      </c>
      <c r="BQ18" s="127" t="str">
        <f aca="false">IF(ISBLANK($C18),"",IF($BD18&lt;&gt;Constants!$B$6,$BD18,IF(ISNUMBER($BP18),RANK($BP18,$BP$9:$BP$508,1),COUNT($BP$9:$BP$508)+1)))</f>
        <v/>
      </c>
      <c r="BR18" s="127" t="str">
        <f aca="false">IF(ISBLANK($C18),"",IF($BD18&lt;&gt;Constants!$B$6,$BD18,COUNTIFS($BI$9:$BI$508,"&lt;"&amp;$BI18)+COUNTIFS($BI$9:$BI$508,$BI18,$BK$9:$BK$508,"&lt;"&amp;$BK18)+COUNTIFS($BI$9:$BI$508,$BI18,$BK$9:$BK$508,$BK18,$BM$9:$BM$508,"&lt;"&amp;$BM18)+COUNTIFS($BI$9:$BI$508,$BI18,$BK$9:$BK$508,$BK18,$BM$9:$BM$508,$BM18,$BO$9:$BO$508,"&lt;"&amp;$BO18)+COUNTIFS($BI$9:$BI$508,$BI18,$BK$9:$BK$508,$BK18,$BM$9:$BM$508,$BM18,$BO$9:$BO$508,$BO18,$BQ$9:$BQ$508,"&lt;"&amp;$BQ18)+1))</f>
        <v/>
      </c>
      <c r="BS18" s="127" t="str">
        <f aca="false">IF(ISBLANK($C18),"",IF($BD18&lt;&gt;Constants!$B$6,$BD18,$BI18-$BR18))</f>
        <v/>
      </c>
      <c r="BT18" s="133"/>
      <c r="BU18" s="134"/>
      <c r="BV18" s="134" t="str">
        <f aca="false">IF(ISBLANK($C18),"",IF($BD18&lt;&gt;Constants!$B$6,"",IF($AU18="-&gt;",2,1)))</f>
        <v/>
      </c>
      <c r="BW18" s="135" t="str">
        <f aca="false">IF(ISBLANK($C18),"",IF($BD18&lt;&gt;Constants!$B$6,"",IF($AU18="-&gt;",$AW18,$AN18)))</f>
        <v/>
      </c>
      <c r="BX18" s="135" t="str">
        <f aca="false">IF(ISBLANK($C18),"",IF($BD18&lt;&gt;Constants!$B$6,"",IF($AU18="-&gt;",$AX18,$AO18)))</f>
        <v/>
      </c>
      <c r="BY18" s="135" t="str">
        <f aca="false">IF(ISBLANK($C18),"",IF($BD18&lt;&gt;Constants!$B$6,"",IF($AU18="-&gt;",$AY18,$AP18)))</f>
        <v/>
      </c>
      <c r="BZ18" s="135" t="str">
        <f aca="false">IF(ISBLANK($C18),"",IF($BD18&lt;&gt;Constants!$B$6,"",IF($AU18="-&gt;",$AZ18,$AQ18)+$BG18))</f>
        <v/>
      </c>
      <c r="CA18" s="136" t="str">
        <f aca="false">IF(ISBLANK($C18),"",IF($BD18&lt;&gt;Constants!$B$6,$BD18,$BH18))</f>
        <v/>
      </c>
      <c r="CB18" s="137" t="str">
        <f aca="false">IF(ISBLANK($C18),"",$BE18)</f>
        <v/>
      </c>
      <c r="CC18" s="138" t="str">
        <f aca="false">IF(ISBLANK($C18),"",$BS18)</f>
        <v/>
      </c>
      <c r="CD18" s="138" t="str">
        <f aca="false">IF(ISBLANK($C18),"",$BR18)</f>
        <v/>
      </c>
      <c r="CE18" s="139" t="str">
        <f aca="false">IF(ISBLANK($C18),"",IF($CD18=Constants!$B$9,COUNTA($C$9:$C$508)+2,IF($CD18=Constants!$B$8,COUNTA($C$9:$C$508)+1,IF($CD18=Constants!$B$7,COUNTA($C$9:$C$508),$CD18))))</f>
        <v/>
      </c>
      <c r="CF18" s="9"/>
      <c r="CG18" s="140" t="n">
        <f aca="false">IF(OR(ISNUMBER($CD18),$CD18=Constants!$B$9,$CD18=Constants!$B$7,$CD18=Constants!$B$8),1,0)</f>
        <v>0</v>
      </c>
      <c r="CH18" s="140" t="n">
        <v>10</v>
      </c>
      <c r="CI18" s="140" t="str">
        <f aca="false">IF(ISBLANK($C18),"",IF(ISNUMBER($CE18),$CE18+ROW($B18)/1000,""))</f>
        <v/>
      </c>
      <c r="CJ18" s="140" t="str">
        <f aca="false">IF(ISNUMBER($CI18),RANK($CI18,$CI$9:$CI$508,1),"")</f>
        <v/>
      </c>
      <c r="CK18" s="140" t="str">
        <f aca="false">IF(ISBLANK($C18),"",$B18)</f>
        <v/>
      </c>
      <c r="CL18" s="140" t="str">
        <f aca="false">IF(ISBLANK($C18),"",$C18)</f>
        <v/>
      </c>
      <c r="CM18" s="140" t="str">
        <f aca="false">IF(ISBLANK($C18),"",$D18)</f>
        <v/>
      </c>
      <c r="CN18" s="141" t="str">
        <f aca="false">$CB18</f>
        <v/>
      </c>
      <c r="CO18" s="142" t="str">
        <f aca="false">$CA18</f>
        <v/>
      </c>
      <c r="CP18" s="140" t="str">
        <f aca="false">IF(ISBLANK($C18),"",$CD18)</f>
        <v/>
      </c>
      <c r="CQ18" s="143" t="str">
        <f aca="false">IF($CH18&gt;$CG$8,"",VLOOKUP($CH18,$CJ$9:$CP$508,7,FALSE()))</f>
        <v/>
      </c>
      <c r="CR18" s="144" t="str">
        <f aca="false">IF($CH18&gt;$CG$8,"",VLOOKUP($CH18,$CJ$9:$CP$508,2,FALSE()))</f>
        <v/>
      </c>
      <c r="CS18" s="144" t="str">
        <f aca="false">IF($CH18&gt;$CG$8,"",VLOOKUP($CH18,$CJ$9:$CP$508,3,FALSE()))</f>
        <v/>
      </c>
      <c r="CT18" s="144" t="str">
        <f aca="false">IF($CH18&gt;$CG$8,"",VLOOKUP($CH18,$CJ$9:$CP$508,4,FALSE()))</f>
        <v/>
      </c>
      <c r="CU18" s="144" t="str">
        <f aca="false">IF($CH18&gt;$CG$8,"",VLOOKUP($CH18,$CJ$9:$CP$508,5,FALSE()))</f>
        <v/>
      </c>
      <c r="CV18" s="145" t="str">
        <f aca="false">IF($CH18&gt;$CG$8,"",VLOOKUP($CH18,$CJ$9:$CP$508,6,FALSE()))</f>
        <v/>
      </c>
      <c r="CW18" s="71"/>
    </row>
    <row r="19" customFormat="false" ht="15.75" hidden="false" customHeight="false" outlineLevel="0" collapsed="false">
      <c r="A19" s="9"/>
      <c r="B19" s="150"/>
      <c r="C19" s="151"/>
      <c r="D19" s="152"/>
      <c r="E19" s="153"/>
      <c r="F19" s="154"/>
      <c r="G19" s="155"/>
      <c r="H19" s="156"/>
      <c r="I19" s="157"/>
      <c r="J19" s="120"/>
      <c r="K19" s="121"/>
      <c r="L19" s="122"/>
      <c r="M19" s="158"/>
      <c r="N19" s="157"/>
      <c r="O19" s="157"/>
      <c r="P19" s="120"/>
      <c r="Q19" s="122"/>
      <c r="R19" s="122"/>
      <c r="S19" s="158"/>
      <c r="T19" s="159"/>
      <c r="U19" s="126"/>
      <c r="V19" s="127"/>
      <c r="W19" s="127" t="str">
        <f aca="false">IF(ISBLANK($C19),"",IF(E19=Constants!$B$2,TRUE(),IF(E19=Constants!$B$3,FALSE(),TRUE())))</f>
        <v/>
      </c>
      <c r="X19" s="127" t="str">
        <f aca="false">IF(ISBLANK($C19),"",IF(F19=Constants!$B$2,TRUE(),IF(F19=Constants!$B$3,FALSE(),TRUE())))</f>
        <v/>
      </c>
      <c r="Y19" s="127" t="str">
        <f aca="false">IF(ISBLANK($C19),"",IF(G19=Constants!$B$2,TRUE(),IF(G19=Constants!$B$3,FALSE(),TRUE())))</f>
        <v/>
      </c>
      <c r="Z19" s="127" t="str">
        <f aca="false">IF(ISBLANK($C19),"",IF(H19=Constants!$B$2,TRUE(),IF(H19=Constants!$B$3,FALSE(),TRUE())))</f>
        <v/>
      </c>
      <c r="AA19" s="127" t="str">
        <f aca="false">IF(ISBLANK($C19),"",IF(I19=Constants!$B$2,TRUE(),IF(I19=Constants!$B$3,FALSE(),TRUE())))</f>
        <v/>
      </c>
      <c r="AB19" s="127" t="str">
        <f aca="false">IF(ISBLANK($C19),"",IF(J19=Constants!$B$4,TRUE(),IF(J19=Constants!$B$5,FALSE(),COUNTA(K19:M19)&gt;0)))</f>
        <v/>
      </c>
      <c r="AC19" s="128" t="str">
        <f aca="false">IF(ISBLANK($C19),"",IF(ISNUMBER(K19),IF(K19&gt;=0,K19,""),""))</f>
        <v/>
      </c>
      <c r="AD19" s="129" t="str">
        <f aca="false">IF(ISBLANK($C19),"",IF(ISNUMBER(L19),IF(L19&gt;=0,L19,""),""))</f>
        <v/>
      </c>
      <c r="AE19" s="127" t="str">
        <f aca="false">IF(ISBLANK($C19),"",IF(ISNUMBER(M19),IF(M19&gt;=0,MIN(M19,Constants!$B$22),""),""))</f>
        <v/>
      </c>
      <c r="AF19" s="127" t="str">
        <f aca="false">IF(ISBLANK($C19),"",IF(N19=Constants!$B$2,TRUE(),IF(N19=Constants!$B$3,FALSE(),TRUE())))</f>
        <v/>
      </c>
      <c r="AG19" s="127" t="str">
        <f aca="false">IF(ISBLANK($C19),"",IF(O19=Constants!$B$2,TRUE(),IF(O19=Constants!$B$3,FALSE(),TRUE())))</f>
        <v/>
      </c>
      <c r="AH19" s="127" t="str">
        <f aca="false">IF(ISBLANK($C19),"",IF(P19=Constants!$B$4,TRUE(),IF(P19=Constants!$B$5,FALSE(),COUNTA(Q19:S19)&gt;0)))</f>
        <v/>
      </c>
      <c r="AI19" s="128" t="str">
        <f aca="false">IF(ISBLANK($C19),"",IF(ISNUMBER(Q19),IF(Q19&gt;=0,Q19,""),""))</f>
        <v/>
      </c>
      <c r="AJ19" s="129" t="str">
        <f aca="false">IF(ISBLANK($C19),"",IF(ISNUMBER(R19),IF(R19&gt;=0,R19,""),""))</f>
        <v/>
      </c>
      <c r="AK19" s="127" t="str">
        <f aca="false">IF(ISBLANK($C19),"",IF(ISNUMBER(S19),IF(S19&gt;=0,MIN(S19,Constants!$B$22),""),""))</f>
        <v/>
      </c>
      <c r="AL19" s="127" t="str">
        <f aca="false">IF(ISBLANK($C19),"",IF(T19=Constants!$B$2,TRUE(),IF(T19=Constants!$B$3,FALSE(),FALSE())))</f>
        <v/>
      </c>
      <c r="AM19" s="126" t="str">
        <f aca="false">IF(ISBLANK($C19),"",AND($AB19,OR($AC19="",$AD19="",AND(NOT(ISBLANK($M19)),$AE19=""))))</f>
        <v/>
      </c>
      <c r="AN19" s="129" t="str">
        <f aca="false">IF($BD19&lt;&gt;Constants!$B$6,"",IF($AB19,Constants!$B$17*$AD19,Constants!$B$18))</f>
        <v/>
      </c>
      <c r="AO19" s="130" t="str">
        <f aca="false">IF($BD19&lt;&gt;Constants!$B$6,"",Constants!$B$19*IF($AB19,$AC19,0))</f>
        <v/>
      </c>
      <c r="AP19" s="130" t="str">
        <f aca="false">IF($BD19&lt;&gt;Constants!$B$6,"",IF(AND($AB19,ISNUMBER($AE19)),Constants!$B$20*(Constants!$B$21-$AE19),0))</f>
        <v/>
      </c>
      <c r="AQ19" s="130" t="str">
        <f aca="false">IF($BD19&lt;&gt;Constants!$B$6,"",IF($AA19,0,Constants!$B$12)+IF($Z19,0,Constants!$B$13)+IF($Y19,0,Constants!$B$14))</f>
        <v/>
      </c>
      <c r="AR19" s="131" t="str">
        <f aca="false">IF($BD19&lt;&gt;Constants!$B$6,"",Constants!$B$16+SUM($AN19:$AQ19))</f>
        <v/>
      </c>
      <c r="AS19" s="130" t="str">
        <f aca="false">IF($BD19&lt;&gt;Constants!$B$6,"",IF($AB19,$AD19,""))</f>
        <v/>
      </c>
      <c r="AT19" s="132" t="str">
        <f aca="false">IF($BD19&lt;&gt;Constants!$B$6,"",$AO19)</f>
        <v/>
      </c>
      <c r="AU19" s="127" t="str">
        <f aca="false">IF($BD19&lt;&gt;Constants!$B$6,"",IF(OR($BA19&lt;$AR19,AND($BA19=$AR19,OR(AND(ISNUMBER($BB19),OR(NOT(ISNUMBER($AS19)),$BB19&lt;$AS19)),AND(OR(AND($BB19="",$AS19=""),AND(ISNUMBER($BB19),ISNUMBER($AS19),$BB19=$AS19)),$BC19&lt;$AT19)))),"-&gt;","&lt;-"))</f>
        <v/>
      </c>
      <c r="AV19" s="126" t="str">
        <f aca="false">IF(ISBLANK($C19),"",AND($AH19,OR($AI19="",$AJ19="",AND(NOT(ISBLANK($S19)),$AK19=""))))</f>
        <v/>
      </c>
      <c r="AW19" s="129" t="str">
        <f aca="false">IF($BD19&lt;&gt;Constants!$B$6,"",IF($AH19,Constants!$B$17*$AJ19,Constants!$B$18))</f>
        <v/>
      </c>
      <c r="AX19" s="130" t="str">
        <f aca="false">IF($BD19&lt;&gt;Constants!$B$6,"",Constants!$B$19*IF($AH19,$AI19,0))</f>
        <v/>
      </c>
      <c r="AY19" s="130" t="str">
        <f aca="false">IF($BD19&lt;&gt;Constants!$B$6,"",IF(AND($AH19,ISNUMBER($AK19)),Constants!$B$20*(Constants!$B$21-$AK19),0))</f>
        <v/>
      </c>
      <c r="AZ19" s="130" t="str">
        <f aca="false">IF($BD19&lt;&gt;Constants!$B$6,"",IF($AG19,0,Constants!$B$12)+IF($AF19,0,Constants!$B$13)+IF($Y19,0,Constants!$B$14))</f>
        <v/>
      </c>
      <c r="BA19" s="131" t="str">
        <f aca="false">IF($BD19&lt;&gt;Constants!$B$6,"",Constants!$B$16+SUM($AW19:$AZ19))</f>
        <v/>
      </c>
      <c r="BB19" s="130" t="str">
        <f aca="false">IF($BD19&lt;&gt;Constants!$B$6,"",IF($AH19,$AJ19,""))</f>
        <v/>
      </c>
      <c r="BC19" s="132" t="str">
        <f aca="false">IF($BD19&lt;&gt;Constants!$B$6,"",$AX19)</f>
        <v/>
      </c>
      <c r="BD19" s="127" t="str">
        <f aca="false">IF(ISBLANK($C19),"",IF($AL19,Constants!$B$9,IF(COUNTA($E19:$T19)=0,Constants!$B$8,IF(NOT($X19),Constants!$B$7,IF(OR($AM19,$AV19),Constants!$B$10,Constants!$B$6)))))</f>
        <v/>
      </c>
      <c r="BE19" s="127" t="str">
        <f aca="false">IF(ISBLANK($C19),"",IF($BD19&lt;&gt;Constants!$B$6,$BD19,Constants!$B$11))</f>
        <v/>
      </c>
      <c r="BF19" s="130" t="str">
        <f aca="false">IF($BD19&lt;&gt;Constants!$B$6,"",IF($AU19="-&gt;",$BA19,$AR19))</f>
        <v/>
      </c>
      <c r="BG19" s="130" t="str">
        <f aca="false">IF($BD19&lt;&gt;Constants!$B$6,"",IF($W19,0,Constants!$B$15))</f>
        <v/>
      </c>
      <c r="BH19" s="130" t="str">
        <f aca="false">IF(ISBLANK($C19),"",IF($BD19&lt;&gt;Constants!$B$6,$BD19,SUM($BF19:$BG19)))</f>
        <v/>
      </c>
      <c r="BI19" s="127" t="str">
        <f aca="false">IF(ISBLANK($C19),"",IF($BD19&lt;&gt;Constants!$B$6,$BD19,RANK($BH19,$BH$9:$BH$508,1)))</f>
        <v/>
      </c>
      <c r="BJ19" s="130" t="str">
        <f aca="false">IF($BD19&lt;&gt;Constants!$B$6,"",IF($AU19="-&gt;",$BB19,$AS19))</f>
        <v/>
      </c>
      <c r="BK19" s="127" t="str">
        <f aca="false">IF(ISBLANK($C19),"",IF($BD19&lt;&gt;Constants!$B$6,$BD19,IF(ISNUMBER($BJ19),RANK($BJ19,$BJ$9:$BJ$508,1),COUNT($BJ$9:$BJ$508)+1)))</f>
        <v/>
      </c>
      <c r="BL19" s="130" t="str">
        <f aca="false">IF($BD19&lt;&gt;Constants!$B$6,"",IF($AU19="-&gt;",$BC19,$AT19))</f>
        <v/>
      </c>
      <c r="BM19" s="127" t="str">
        <f aca="false">IF(ISBLANK($C19),"",IF($BD19&lt;&gt;Constants!$B$6,$BD19,IF(ISNUMBER($BL19),RANK($BL19,$BL$9:$BL$508,1),COUNT($BL$9:$BL$508)+1)))</f>
        <v/>
      </c>
      <c r="BN19" s="130" t="str">
        <f aca="false">IF($BD19&lt;&gt;Constants!$B$6,"",IF($AU19="-&gt;",$AS19,$BB19))</f>
        <v/>
      </c>
      <c r="BO19" s="127" t="str">
        <f aca="false">IF(ISBLANK($C19),"",IF($BD19&lt;&gt;Constants!$B$6,$BD19,IF(ISNUMBER($BN19),RANK($BN19,$BN$9:$BN$508,1),COUNT($BN$9:$BN$508)+1)))</f>
        <v/>
      </c>
      <c r="BP19" s="130" t="str">
        <f aca="false">IF($BD19&lt;&gt;Constants!$B$6,"",IF($AU19="-&gt;",$AT19,$BC19))</f>
        <v/>
      </c>
      <c r="BQ19" s="127" t="str">
        <f aca="false">IF(ISBLANK($C19),"",IF($BD19&lt;&gt;Constants!$B$6,$BD19,IF(ISNUMBER($BP19),RANK($BP19,$BP$9:$BP$508,1),COUNT($BP$9:$BP$508)+1)))</f>
        <v/>
      </c>
      <c r="BR19" s="127" t="str">
        <f aca="false">IF(ISBLANK($C19),"",IF($BD19&lt;&gt;Constants!$B$6,$BD19,COUNTIFS($BI$9:$BI$508,"&lt;"&amp;$BI19)+COUNTIFS($BI$9:$BI$508,$BI19,$BK$9:$BK$508,"&lt;"&amp;$BK19)+COUNTIFS($BI$9:$BI$508,$BI19,$BK$9:$BK$508,$BK19,$BM$9:$BM$508,"&lt;"&amp;$BM19)+COUNTIFS($BI$9:$BI$508,$BI19,$BK$9:$BK$508,$BK19,$BM$9:$BM$508,$BM19,$BO$9:$BO$508,"&lt;"&amp;$BO19)+COUNTIFS($BI$9:$BI$508,$BI19,$BK$9:$BK$508,$BK19,$BM$9:$BM$508,$BM19,$BO$9:$BO$508,$BO19,$BQ$9:$BQ$508,"&lt;"&amp;$BQ19)+1))</f>
        <v/>
      </c>
      <c r="BS19" s="127" t="str">
        <f aca="false">IF(ISBLANK($C19),"",IF($BD19&lt;&gt;Constants!$B$6,$BD19,$BI19-$BR19))</f>
        <v/>
      </c>
      <c r="BT19" s="133"/>
      <c r="BU19" s="134"/>
      <c r="BV19" s="134" t="str">
        <f aca="false">IF(ISBLANK($C19),"",IF($BD19&lt;&gt;Constants!$B$6,"",IF($AU19="-&gt;",2,1)))</f>
        <v/>
      </c>
      <c r="BW19" s="135" t="str">
        <f aca="false">IF(ISBLANK($C19),"",IF($BD19&lt;&gt;Constants!$B$6,"",IF($AU19="-&gt;",$AW19,$AN19)))</f>
        <v/>
      </c>
      <c r="BX19" s="135" t="str">
        <f aca="false">IF(ISBLANK($C19),"",IF($BD19&lt;&gt;Constants!$B$6,"",IF($AU19="-&gt;",$AX19,$AO19)))</f>
        <v/>
      </c>
      <c r="BY19" s="135" t="str">
        <f aca="false">IF(ISBLANK($C19),"",IF($BD19&lt;&gt;Constants!$B$6,"",IF($AU19="-&gt;",$AY19,$AP19)))</f>
        <v/>
      </c>
      <c r="BZ19" s="135" t="str">
        <f aca="false">IF(ISBLANK($C19),"",IF($BD19&lt;&gt;Constants!$B$6,"",IF($AU19="-&gt;",$AZ19,$AQ19)+$BG19))</f>
        <v/>
      </c>
      <c r="CA19" s="136" t="str">
        <f aca="false">IF(ISBLANK($C19),"",IF($BD19&lt;&gt;Constants!$B$6,$BD19,$BH19))</f>
        <v/>
      </c>
      <c r="CB19" s="137" t="str">
        <f aca="false">IF(ISBLANK($C19),"",$BE19)</f>
        <v/>
      </c>
      <c r="CC19" s="138" t="str">
        <f aca="false">IF(ISBLANK($C19),"",$BS19)</f>
        <v/>
      </c>
      <c r="CD19" s="138" t="str">
        <f aca="false">IF(ISBLANK($C19),"",$BR19)</f>
        <v/>
      </c>
      <c r="CE19" s="139" t="str">
        <f aca="false">IF(ISBLANK($C19),"",IF($CD19=Constants!$B$9,COUNTA($C$9:$C$508)+2,IF($CD19=Constants!$B$8,COUNTA($C$9:$C$508)+1,IF($CD19=Constants!$B$7,COUNTA($C$9:$C$508),$CD19))))</f>
        <v/>
      </c>
      <c r="CF19" s="9"/>
      <c r="CG19" s="140" t="n">
        <f aca="false">IF(OR(ISNUMBER($CD19),$CD19=Constants!$B$9,$CD19=Constants!$B$7,$CD19=Constants!$B$8),1,0)</f>
        <v>0</v>
      </c>
      <c r="CH19" s="140" t="n">
        <v>11</v>
      </c>
      <c r="CI19" s="140" t="str">
        <f aca="false">IF(ISBLANK($C19),"",IF(ISNUMBER($CE19),$CE19+ROW($B19)/1000,""))</f>
        <v/>
      </c>
      <c r="CJ19" s="140" t="str">
        <f aca="false">IF(ISNUMBER($CI19),RANK($CI19,$CI$9:$CI$508,1),"")</f>
        <v/>
      </c>
      <c r="CK19" s="140" t="str">
        <f aca="false">IF(ISBLANK($C19),"",$B19)</f>
        <v/>
      </c>
      <c r="CL19" s="140" t="str">
        <f aca="false">IF(ISBLANK($C19),"",$C19)</f>
        <v/>
      </c>
      <c r="CM19" s="140" t="str">
        <f aca="false">IF(ISBLANK($C19),"",$D19)</f>
        <v/>
      </c>
      <c r="CN19" s="141" t="str">
        <f aca="false">$CB19</f>
        <v/>
      </c>
      <c r="CO19" s="142" t="str">
        <f aca="false">$CA19</f>
        <v/>
      </c>
      <c r="CP19" s="140" t="str">
        <f aca="false">IF(ISBLANK($C19),"",$CD19)</f>
        <v/>
      </c>
      <c r="CQ19" s="143" t="str">
        <f aca="false">IF($CH19&gt;$CG$8,"",VLOOKUP($CH19,$CJ$9:$CP$508,7,FALSE()))</f>
        <v/>
      </c>
      <c r="CR19" s="144" t="str">
        <f aca="false">IF($CH19&gt;$CG$8,"",VLOOKUP($CH19,$CJ$9:$CP$508,2,FALSE()))</f>
        <v/>
      </c>
      <c r="CS19" s="144" t="str">
        <f aca="false">IF($CH19&gt;$CG$8,"",VLOOKUP($CH19,$CJ$9:$CP$508,3,FALSE()))</f>
        <v/>
      </c>
      <c r="CT19" s="144" t="str">
        <f aca="false">IF($CH19&gt;$CG$8,"",VLOOKUP($CH19,$CJ$9:$CP$508,4,FALSE()))</f>
        <v/>
      </c>
      <c r="CU19" s="144" t="str">
        <f aca="false">IF($CH19&gt;$CG$8,"",VLOOKUP($CH19,$CJ$9:$CP$508,5,FALSE()))</f>
        <v/>
      </c>
      <c r="CV19" s="145" t="str">
        <f aca="false">IF($CH19&gt;$CG$8,"",VLOOKUP($CH19,$CJ$9:$CP$508,6,FALSE()))</f>
        <v/>
      </c>
      <c r="CW19" s="71"/>
    </row>
    <row r="20" customFormat="false" ht="15.75" hidden="false" customHeight="false" outlineLevel="0" collapsed="false">
      <c r="A20" s="9"/>
      <c r="B20" s="150"/>
      <c r="C20" s="151"/>
      <c r="D20" s="152"/>
      <c r="E20" s="153"/>
      <c r="F20" s="154"/>
      <c r="G20" s="155"/>
      <c r="H20" s="156"/>
      <c r="I20" s="157"/>
      <c r="J20" s="120"/>
      <c r="K20" s="121"/>
      <c r="L20" s="122"/>
      <c r="M20" s="158"/>
      <c r="N20" s="157"/>
      <c r="O20" s="157"/>
      <c r="P20" s="120"/>
      <c r="Q20" s="122"/>
      <c r="R20" s="122"/>
      <c r="S20" s="158"/>
      <c r="T20" s="159"/>
      <c r="U20" s="126"/>
      <c r="V20" s="127"/>
      <c r="W20" s="127" t="str">
        <f aca="false">IF(ISBLANK($C20),"",IF(E20=Constants!$B$2,TRUE(),IF(E20=Constants!$B$3,FALSE(),TRUE())))</f>
        <v/>
      </c>
      <c r="X20" s="127" t="str">
        <f aca="false">IF(ISBLANK($C20),"",IF(F20=Constants!$B$2,TRUE(),IF(F20=Constants!$B$3,FALSE(),TRUE())))</f>
        <v/>
      </c>
      <c r="Y20" s="127" t="str">
        <f aca="false">IF(ISBLANK($C20),"",IF(G20=Constants!$B$2,TRUE(),IF(G20=Constants!$B$3,FALSE(),TRUE())))</f>
        <v/>
      </c>
      <c r="Z20" s="127" t="str">
        <f aca="false">IF(ISBLANK($C20),"",IF(H20=Constants!$B$2,TRUE(),IF(H20=Constants!$B$3,FALSE(),TRUE())))</f>
        <v/>
      </c>
      <c r="AA20" s="127" t="str">
        <f aca="false">IF(ISBLANK($C20),"",IF(I20=Constants!$B$2,TRUE(),IF(I20=Constants!$B$3,FALSE(),TRUE())))</f>
        <v/>
      </c>
      <c r="AB20" s="127" t="str">
        <f aca="false">IF(ISBLANK($C20),"",IF(J20=Constants!$B$4,TRUE(),IF(J20=Constants!$B$5,FALSE(),COUNTA(K20:M20)&gt;0)))</f>
        <v/>
      </c>
      <c r="AC20" s="128" t="str">
        <f aca="false">IF(ISBLANK($C20),"",IF(ISNUMBER(K20),IF(K20&gt;=0,K20,""),""))</f>
        <v/>
      </c>
      <c r="AD20" s="129" t="str">
        <f aca="false">IF(ISBLANK($C20),"",IF(ISNUMBER(L20),IF(L20&gt;=0,L20,""),""))</f>
        <v/>
      </c>
      <c r="AE20" s="127" t="str">
        <f aca="false">IF(ISBLANK($C20),"",IF(ISNUMBER(M20),IF(M20&gt;=0,MIN(M20,Constants!$B$22),""),""))</f>
        <v/>
      </c>
      <c r="AF20" s="127" t="str">
        <f aca="false">IF(ISBLANK($C20),"",IF(N20=Constants!$B$2,TRUE(),IF(N20=Constants!$B$3,FALSE(),TRUE())))</f>
        <v/>
      </c>
      <c r="AG20" s="127" t="str">
        <f aca="false">IF(ISBLANK($C20),"",IF(O20=Constants!$B$2,TRUE(),IF(O20=Constants!$B$3,FALSE(),TRUE())))</f>
        <v/>
      </c>
      <c r="AH20" s="127" t="str">
        <f aca="false">IF(ISBLANK($C20),"",IF(P20=Constants!$B$4,TRUE(),IF(P20=Constants!$B$5,FALSE(),COUNTA(Q20:S20)&gt;0)))</f>
        <v/>
      </c>
      <c r="AI20" s="128" t="str">
        <f aca="false">IF(ISBLANK($C20),"",IF(ISNUMBER(Q20),IF(Q20&gt;=0,Q20,""),""))</f>
        <v/>
      </c>
      <c r="AJ20" s="129" t="str">
        <f aca="false">IF(ISBLANK($C20),"",IF(ISNUMBER(R20),IF(R20&gt;=0,R20,""),""))</f>
        <v/>
      </c>
      <c r="AK20" s="127" t="str">
        <f aca="false">IF(ISBLANK($C20),"",IF(ISNUMBER(S20),IF(S20&gt;=0,MIN(S20,Constants!$B$22),""),""))</f>
        <v/>
      </c>
      <c r="AL20" s="127" t="str">
        <f aca="false">IF(ISBLANK($C20),"",IF(T20=Constants!$B$2,TRUE(),IF(T20=Constants!$B$3,FALSE(),FALSE())))</f>
        <v/>
      </c>
      <c r="AM20" s="126" t="str">
        <f aca="false">IF(ISBLANK($C20),"",AND($AB20,OR($AC20="",$AD20="",AND(NOT(ISBLANK($M20)),$AE20=""))))</f>
        <v/>
      </c>
      <c r="AN20" s="129" t="str">
        <f aca="false">IF($BD20&lt;&gt;Constants!$B$6,"",IF($AB20,Constants!$B$17*$AD20,Constants!$B$18))</f>
        <v/>
      </c>
      <c r="AO20" s="130" t="str">
        <f aca="false">IF($BD20&lt;&gt;Constants!$B$6,"",Constants!$B$19*IF($AB20,$AC20,0))</f>
        <v/>
      </c>
      <c r="AP20" s="130" t="str">
        <f aca="false">IF($BD20&lt;&gt;Constants!$B$6,"",IF(AND($AB20,ISNUMBER($AE20)),Constants!$B$20*(Constants!$B$21-$AE20),0))</f>
        <v/>
      </c>
      <c r="AQ20" s="130" t="str">
        <f aca="false">IF($BD20&lt;&gt;Constants!$B$6,"",IF($AA20,0,Constants!$B$12)+IF($Z20,0,Constants!$B$13)+IF($Y20,0,Constants!$B$14))</f>
        <v/>
      </c>
      <c r="AR20" s="131" t="str">
        <f aca="false">IF($BD20&lt;&gt;Constants!$B$6,"",Constants!$B$16+SUM($AN20:$AQ20))</f>
        <v/>
      </c>
      <c r="AS20" s="130" t="str">
        <f aca="false">IF($BD20&lt;&gt;Constants!$B$6,"",IF($AB20,$AD20,""))</f>
        <v/>
      </c>
      <c r="AT20" s="132" t="str">
        <f aca="false">IF($BD20&lt;&gt;Constants!$B$6,"",$AO20)</f>
        <v/>
      </c>
      <c r="AU20" s="127" t="str">
        <f aca="false">IF($BD20&lt;&gt;Constants!$B$6,"",IF(OR($BA20&lt;$AR20,AND($BA20=$AR20,OR(AND(ISNUMBER($BB20),OR(NOT(ISNUMBER($AS20)),$BB20&lt;$AS20)),AND(OR(AND($BB20="",$AS20=""),AND(ISNUMBER($BB20),ISNUMBER($AS20),$BB20=$AS20)),$BC20&lt;$AT20)))),"-&gt;","&lt;-"))</f>
        <v/>
      </c>
      <c r="AV20" s="126" t="str">
        <f aca="false">IF(ISBLANK($C20),"",AND($AH20,OR($AI20="",$AJ20="",AND(NOT(ISBLANK($S20)),$AK20=""))))</f>
        <v/>
      </c>
      <c r="AW20" s="129" t="str">
        <f aca="false">IF($BD20&lt;&gt;Constants!$B$6,"",IF($AH20,Constants!$B$17*$AJ20,Constants!$B$18))</f>
        <v/>
      </c>
      <c r="AX20" s="130" t="str">
        <f aca="false">IF($BD20&lt;&gt;Constants!$B$6,"",Constants!$B$19*IF($AH20,$AI20,0))</f>
        <v/>
      </c>
      <c r="AY20" s="130" t="str">
        <f aca="false">IF($BD20&lt;&gt;Constants!$B$6,"",IF(AND($AH20,ISNUMBER($AK20)),Constants!$B$20*(Constants!$B$21-$AK20),0))</f>
        <v/>
      </c>
      <c r="AZ20" s="130" t="str">
        <f aca="false">IF($BD20&lt;&gt;Constants!$B$6,"",IF($AG20,0,Constants!$B$12)+IF($AF20,0,Constants!$B$13)+IF($Y20,0,Constants!$B$14))</f>
        <v/>
      </c>
      <c r="BA20" s="131" t="str">
        <f aca="false">IF($BD20&lt;&gt;Constants!$B$6,"",Constants!$B$16+SUM($AW20:$AZ20))</f>
        <v/>
      </c>
      <c r="BB20" s="130" t="str">
        <f aca="false">IF($BD20&lt;&gt;Constants!$B$6,"",IF($AH20,$AJ20,""))</f>
        <v/>
      </c>
      <c r="BC20" s="132" t="str">
        <f aca="false">IF($BD20&lt;&gt;Constants!$B$6,"",$AX20)</f>
        <v/>
      </c>
      <c r="BD20" s="127" t="str">
        <f aca="false">IF(ISBLANK($C20),"",IF($AL20,Constants!$B$9,IF(COUNTA($E20:$T20)=0,Constants!$B$8,IF(NOT($X20),Constants!$B$7,IF(OR($AM20,$AV20),Constants!$B$10,Constants!$B$6)))))</f>
        <v/>
      </c>
      <c r="BE20" s="127" t="str">
        <f aca="false">IF(ISBLANK($C20),"",IF($BD20&lt;&gt;Constants!$B$6,$BD20,Constants!$B$11))</f>
        <v/>
      </c>
      <c r="BF20" s="130" t="str">
        <f aca="false">IF($BD20&lt;&gt;Constants!$B$6,"",IF($AU20="-&gt;",$BA20,$AR20))</f>
        <v/>
      </c>
      <c r="BG20" s="130" t="str">
        <f aca="false">IF($BD20&lt;&gt;Constants!$B$6,"",IF($W20,0,Constants!$B$15))</f>
        <v/>
      </c>
      <c r="BH20" s="130" t="str">
        <f aca="false">IF(ISBLANK($C20),"",IF($BD20&lt;&gt;Constants!$B$6,$BD20,SUM($BF20:$BG20)))</f>
        <v/>
      </c>
      <c r="BI20" s="127" t="str">
        <f aca="false">IF(ISBLANK($C20),"",IF($BD20&lt;&gt;Constants!$B$6,$BD20,RANK($BH20,$BH$9:$BH$508,1)))</f>
        <v/>
      </c>
      <c r="BJ20" s="130" t="str">
        <f aca="false">IF($BD20&lt;&gt;Constants!$B$6,"",IF($AU20="-&gt;",$BB20,$AS20))</f>
        <v/>
      </c>
      <c r="BK20" s="127" t="str">
        <f aca="false">IF(ISBLANK($C20),"",IF($BD20&lt;&gt;Constants!$B$6,$BD20,IF(ISNUMBER($BJ20),RANK($BJ20,$BJ$9:$BJ$508,1),COUNT($BJ$9:$BJ$508)+1)))</f>
        <v/>
      </c>
      <c r="BL20" s="130" t="str">
        <f aca="false">IF($BD20&lt;&gt;Constants!$B$6,"",IF($AU20="-&gt;",$BC20,$AT20))</f>
        <v/>
      </c>
      <c r="BM20" s="127" t="str">
        <f aca="false">IF(ISBLANK($C20),"",IF($BD20&lt;&gt;Constants!$B$6,$BD20,IF(ISNUMBER($BL20),RANK($BL20,$BL$9:$BL$508,1),COUNT($BL$9:$BL$508)+1)))</f>
        <v/>
      </c>
      <c r="BN20" s="130" t="str">
        <f aca="false">IF($BD20&lt;&gt;Constants!$B$6,"",IF($AU20="-&gt;",$AS20,$BB20))</f>
        <v/>
      </c>
      <c r="BO20" s="127" t="str">
        <f aca="false">IF(ISBLANK($C20),"",IF($BD20&lt;&gt;Constants!$B$6,$BD20,IF(ISNUMBER($BN20),RANK($BN20,$BN$9:$BN$508,1),COUNT($BN$9:$BN$508)+1)))</f>
        <v/>
      </c>
      <c r="BP20" s="130" t="str">
        <f aca="false">IF($BD20&lt;&gt;Constants!$B$6,"",IF($AU20="-&gt;",$AT20,$BC20))</f>
        <v/>
      </c>
      <c r="BQ20" s="127" t="str">
        <f aca="false">IF(ISBLANK($C20),"",IF($BD20&lt;&gt;Constants!$B$6,$BD20,IF(ISNUMBER($BP20),RANK($BP20,$BP$9:$BP$508,1),COUNT($BP$9:$BP$508)+1)))</f>
        <v/>
      </c>
      <c r="BR20" s="127" t="str">
        <f aca="false">IF(ISBLANK($C20),"",IF($BD20&lt;&gt;Constants!$B$6,$BD20,COUNTIFS($BI$9:$BI$508,"&lt;"&amp;$BI20)+COUNTIFS($BI$9:$BI$508,$BI20,$BK$9:$BK$508,"&lt;"&amp;$BK20)+COUNTIFS($BI$9:$BI$508,$BI20,$BK$9:$BK$508,$BK20,$BM$9:$BM$508,"&lt;"&amp;$BM20)+COUNTIFS($BI$9:$BI$508,$BI20,$BK$9:$BK$508,$BK20,$BM$9:$BM$508,$BM20,$BO$9:$BO$508,"&lt;"&amp;$BO20)+COUNTIFS($BI$9:$BI$508,$BI20,$BK$9:$BK$508,$BK20,$BM$9:$BM$508,$BM20,$BO$9:$BO$508,$BO20,$BQ$9:$BQ$508,"&lt;"&amp;$BQ20)+1))</f>
        <v/>
      </c>
      <c r="BS20" s="127" t="str">
        <f aca="false">IF(ISBLANK($C20),"",IF($BD20&lt;&gt;Constants!$B$6,$BD20,$BI20-$BR20))</f>
        <v/>
      </c>
      <c r="BT20" s="133"/>
      <c r="BU20" s="134"/>
      <c r="BV20" s="134" t="str">
        <f aca="false">IF(ISBLANK($C20),"",IF($BD20&lt;&gt;Constants!$B$6,"",IF($AU20="-&gt;",2,1)))</f>
        <v/>
      </c>
      <c r="BW20" s="135" t="str">
        <f aca="false">IF(ISBLANK($C20),"",IF($BD20&lt;&gt;Constants!$B$6,"",IF($AU20="-&gt;",$AW20,$AN20)))</f>
        <v/>
      </c>
      <c r="BX20" s="135" t="str">
        <f aca="false">IF(ISBLANK($C20),"",IF($BD20&lt;&gt;Constants!$B$6,"",IF($AU20="-&gt;",$AX20,$AO20)))</f>
        <v/>
      </c>
      <c r="BY20" s="135" t="str">
        <f aca="false">IF(ISBLANK($C20),"",IF($BD20&lt;&gt;Constants!$B$6,"",IF($AU20="-&gt;",$AY20,$AP20)))</f>
        <v/>
      </c>
      <c r="BZ20" s="135" t="str">
        <f aca="false">IF(ISBLANK($C20),"",IF($BD20&lt;&gt;Constants!$B$6,"",IF($AU20="-&gt;",$AZ20,$AQ20)+$BG20))</f>
        <v/>
      </c>
      <c r="CA20" s="136" t="str">
        <f aca="false">IF(ISBLANK($C20),"",IF($BD20&lt;&gt;Constants!$B$6,$BD20,$BH20))</f>
        <v/>
      </c>
      <c r="CB20" s="137" t="str">
        <f aca="false">IF(ISBLANK($C20),"",$BE20)</f>
        <v/>
      </c>
      <c r="CC20" s="138" t="str">
        <f aca="false">IF(ISBLANK($C20),"",$BS20)</f>
        <v/>
      </c>
      <c r="CD20" s="138" t="str">
        <f aca="false">IF(ISBLANK($C20),"",$BR20)</f>
        <v/>
      </c>
      <c r="CE20" s="139" t="str">
        <f aca="false">IF(ISBLANK($C20),"",IF($CD20=Constants!$B$9,COUNTA($C$9:$C$508)+2,IF($CD20=Constants!$B$8,COUNTA($C$9:$C$508)+1,IF($CD20=Constants!$B$7,COUNTA($C$9:$C$508),$CD20))))</f>
        <v/>
      </c>
      <c r="CF20" s="9"/>
      <c r="CG20" s="140" t="n">
        <f aca="false">IF(OR(ISNUMBER($CD20),$CD20=Constants!$B$9,$CD20=Constants!$B$7,$CD20=Constants!$B$8),1,0)</f>
        <v>0</v>
      </c>
      <c r="CH20" s="140" t="n">
        <v>12</v>
      </c>
      <c r="CI20" s="140" t="str">
        <f aca="false">IF(ISBLANK($C20),"",IF(ISNUMBER($CE20),$CE20+ROW($B20)/1000,""))</f>
        <v/>
      </c>
      <c r="CJ20" s="140" t="str">
        <f aca="false">IF(ISNUMBER($CI20),RANK($CI20,$CI$9:$CI$508,1),"")</f>
        <v/>
      </c>
      <c r="CK20" s="140" t="str">
        <f aca="false">IF(ISBLANK($C20),"",$B20)</f>
        <v/>
      </c>
      <c r="CL20" s="140" t="str">
        <f aca="false">IF(ISBLANK($C20),"",$C20)</f>
        <v/>
      </c>
      <c r="CM20" s="140" t="str">
        <f aca="false">IF(ISBLANK($C20),"",$D20)</f>
        <v/>
      </c>
      <c r="CN20" s="141" t="str">
        <f aca="false">$CB20</f>
        <v/>
      </c>
      <c r="CO20" s="142" t="str">
        <f aca="false">$CA20</f>
        <v/>
      </c>
      <c r="CP20" s="140" t="str">
        <f aca="false">IF(ISBLANK($C20),"",$CD20)</f>
        <v/>
      </c>
      <c r="CQ20" s="143" t="str">
        <f aca="false">IF($CH20&gt;$CG$8,"",VLOOKUP($CH20,$CJ$9:$CP$508,7,FALSE()))</f>
        <v/>
      </c>
      <c r="CR20" s="144" t="str">
        <f aca="false">IF($CH20&gt;$CG$8,"",VLOOKUP($CH20,$CJ$9:$CP$508,2,FALSE()))</f>
        <v/>
      </c>
      <c r="CS20" s="144" t="str">
        <f aca="false">IF($CH20&gt;$CG$8,"",VLOOKUP($CH20,$CJ$9:$CP$508,3,FALSE()))</f>
        <v/>
      </c>
      <c r="CT20" s="144" t="str">
        <f aca="false">IF($CH20&gt;$CG$8,"",VLOOKUP($CH20,$CJ$9:$CP$508,4,FALSE()))</f>
        <v/>
      </c>
      <c r="CU20" s="144" t="str">
        <f aca="false">IF($CH20&gt;$CG$8,"",VLOOKUP($CH20,$CJ$9:$CP$508,5,FALSE()))</f>
        <v/>
      </c>
      <c r="CV20" s="145" t="str">
        <f aca="false">IF($CH20&gt;$CG$8,"",VLOOKUP($CH20,$CJ$9:$CP$508,6,FALSE()))</f>
        <v/>
      </c>
      <c r="CW20" s="71"/>
    </row>
    <row r="21" customFormat="false" ht="15.75" hidden="false" customHeight="false" outlineLevel="0" collapsed="false">
      <c r="A21" s="9"/>
      <c r="B21" s="72"/>
      <c r="C21" s="73"/>
      <c r="D21" s="160"/>
      <c r="E21" s="161"/>
      <c r="F21" s="162"/>
      <c r="G21" s="163"/>
      <c r="H21" s="164"/>
      <c r="I21" s="165"/>
      <c r="J21" s="80"/>
      <c r="K21" s="81"/>
      <c r="L21" s="82"/>
      <c r="M21" s="166"/>
      <c r="N21" s="165"/>
      <c r="O21" s="165"/>
      <c r="P21" s="80"/>
      <c r="Q21" s="82"/>
      <c r="R21" s="82"/>
      <c r="S21" s="166"/>
      <c r="T21" s="167"/>
      <c r="U21" s="86"/>
      <c r="V21" s="87"/>
      <c r="W21" s="87" t="str">
        <f aca="false">IF(ISBLANK($C21),"",IF(E21=Constants!$B$2,TRUE(),IF(E21=Constants!$B$3,FALSE(),TRUE())))</f>
        <v/>
      </c>
      <c r="X21" s="87" t="str">
        <f aca="false">IF(ISBLANK($C21),"",IF(F21=Constants!$B$2,TRUE(),IF(F21=Constants!$B$3,FALSE(),TRUE())))</f>
        <v/>
      </c>
      <c r="Y21" s="87" t="str">
        <f aca="false">IF(ISBLANK($C21),"",IF(G21=Constants!$B$2,TRUE(),IF(G21=Constants!$B$3,FALSE(),TRUE())))</f>
        <v/>
      </c>
      <c r="Z21" s="87" t="str">
        <f aca="false">IF(ISBLANK($C21),"",IF(H21=Constants!$B$2,TRUE(),IF(H21=Constants!$B$3,FALSE(),TRUE())))</f>
        <v/>
      </c>
      <c r="AA21" s="87" t="str">
        <f aca="false">IF(ISBLANK($C21),"",IF(I21=Constants!$B$2,TRUE(),IF(I21=Constants!$B$3,FALSE(),TRUE())))</f>
        <v/>
      </c>
      <c r="AB21" s="87" t="str">
        <f aca="false">IF(ISBLANK($C21),"",IF(J21=Constants!$B$4,TRUE(),IF(J21=Constants!$B$5,FALSE(),COUNTA(K21:M21)&gt;0)))</f>
        <v/>
      </c>
      <c r="AC21" s="88" t="str">
        <f aca="false">IF(ISBLANK($C21),"",IF(ISNUMBER(K21),IF(K21&gt;=0,K21,""),""))</f>
        <v/>
      </c>
      <c r="AD21" s="89" t="str">
        <f aca="false">IF(ISBLANK($C21),"",IF(ISNUMBER(L21),IF(L21&gt;=0,L21,""),""))</f>
        <v/>
      </c>
      <c r="AE21" s="87" t="str">
        <f aca="false">IF(ISBLANK($C21),"",IF(ISNUMBER(M21),IF(M21&gt;=0,MIN(M21,Constants!$B$22),""),""))</f>
        <v/>
      </c>
      <c r="AF21" s="87" t="str">
        <f aca="false">IF(ISBLANK($C21),"",IF(N21=Constants!$B$2,TRUE(),IF(N21=Constants!$B$3,FALSE(),TRUE())))</f>
        <v/>
      </c>
      <c r="AG21" s="87" t="str">
        <f aca="false">IF(ISBLANK($C21),"",IF(O21=Constants!$B$2,TRUE(),IF(O21=Constants!$B$3,FALSE(),TRUE())))</f>
        <v/>
      </c>
      <c r="AH21" s="87" t="str">
        <f aca="false">IF(ISBLANK($C21),"",IF(P21=Constants!$B$4,TRUE(),IF(P21=Constants!$B$5,FALSE(),COUNTA(Q21:S21)&gt;0)))</f>
        <v/>
      </c>
      <c r="AI21" s="88" t="str">
        <f aca="false">IF(ISBLANK($C21),"",IF(ISNUMBER(Q21),IF(Q21&gt;=0,Q21,""),""))</f>
        <v/>
      </c>
      <c r="AJ21" s="89" t="str">
        <f aca="false">IF(ISBLANK($C21),"",IF(ISNUMBER(R21),IF(R21&gt;=0,R21,""),""))</f>
        <v/>
      </c>
      <c r="AK21" s="87" t="str">
        <f aca="false">IF(ISBLANK($C21),"",IF(ISNUMBER(S21),IF(S21&gt;=0,MIN(S21,Constants!$B$22),""),""))</f>
        <v/>
      </c>
      <c r="AL21" s="87" t="str">
        <f aca="false">IF(ISBLANK($C21),"",IF(T21=Constants!$B$2,TRUE(),IF(T21=Constants!$B$3,FALSE(),FALSE())))</f>
        <v/>
      </c>
      <c r="AM21" s="86" t="str">
        <f aca="false">IF(ISBLANK($C21),"",AND($AB21,OR($AC21="",$AD21="",AND(NOT(ISBLANK($M21)),$AE21=""))))</f>
        <v/>
      </c>
      <c r="AN21" s="89" t="str">
        <f aca="false">IF($BD21&lt;&gt;Constants!$B$6,"",IF($AB21,Constants!$B$17*$AD21,Constants!$B$18))</f>
        <v/>
      </c>
      <c r="AO21" s="91" t="str">
        <f aca="false">IF($BD21&lt;&gt;Constants!$B$6,"",Constants!$B$19*IF($AB21,$AC21,0))</f>
        <v/>
      </c>
      <c r="AP21" s="91" t="str">
        <f aca="false">IF($BD21&lt;&gt;Constants!$B$6,"",IF(AND($AB21,ISNUMBER($AE21)),Constants!$B$20*(Constants!$B$21-$AE21),0))</f>
        <v/>
      </c>
      <c r="AQ21" s="91" t="str">
        <f aca="false">IF($BD21&lt;&gt;Constants!$B$6,"",IF($AA21,0,Constants!$B$12)+IF($Z21,0,Constants!$B$13)+IF($Y21,0,Constants!$B$14))</f>
        <v/>
      </c>
      <c r="AR21" s="92" t="str">
        <f aca="false">IF($BD21&lt;&gt;Constants!$B$6,"",Constants!$B$16+SUM($AN21:$AQ21))</f>
        <v/>
      </c>
      <c r="AS21" s="91" t="str">
        <f aca="false">IF($BD21&lt;&gt;Constants!$B$6,"",IF($AB21,$AD21,""))</f>
        <v/>
      </c>
      <c r="AT21" s="93" t="str">
        <f aca="false">IF($BD21&lt;&gt;Constants!$B$6,"",$AO21)</f>
        <v/>
      </c>
      <c r="AU21" s="87" t="str">
        <f aca="false">IF($BD21&lt;&gt;Constants!$B$6,"",IF(OR($BA21&lt;$AR21,AND($BA21=$AR21,OR(AND(ISNUMBER($BB21),OR(NOT(ISNUMBER($AS21)),$BB21&lt;$AS21)),AND(OR(AND($BB21="",$AS21=""),AND(ISNUMBER($BB21),ISNUMBER($AS21),$BB21=$AS21)),$BC21&lt;$AT21)))),"-&gt;","&lt;-"))</f>
        <v/>
      </c>
      <c r="AV21" s="86" t="str">
        <f aca="false">IF(ISBLANK($C21),"",AND($AH21,OR($AI21="",$AJ21="",AND(NOT(ISBLANK($S21)),$AK21=""))))</f>
        <v/>
      </c>
      <c r="AW21" s="89" t="str">
        <f aca="false">IF($BD21&lt;&gt;Constants!$B$6,"",IF($AH21,Constants!$B$17*$AJ21,Constants!$B$18))</f>
        <v/>
      </c>
      <c r="AX21" s="91" t="str">
        <f aca="false">IF($BD21&lt;&gt;Constants!$B$6,"",Constants!$B$19*IF($AH21,$AI21,0))</f>
        <v/>
      </c>
      <c r="AY21" s="91" t="str">
        <f aca="false">IF($BD21&lt;&gt;Constants!$B$6,"",IF(AND($AH21,ISNUMBER($AK21)),Constants!$B$20*(Constants!$B$21-$AK21),0))</f>
        <v/>
      </c>
      <c r="AZ21" s="91" t="str">
        <f aca="false">IF($BD21&lt;&gt;Constants!$B$6,"",IF($AG21,0,Constants!$B$12)+IF($AF21,0,Constants!$B$13)+IF($Y21,0,Constants!$B$14))</f>
        <v/>
      </c>
      <c r="BA21" s="92" t="str">
        <f aca="false">IF($BD21&lt;&gt;Constants!$B$6,"",Constants!$B$16+SUM($AW21:$AZ21))</f>
        <v/>
      </c>
      <c r="BB21" s="91" t="str">
        <f aca="false">IF($BD21&lt;&gt;Constants!$B$6,"",IF($AH21,$AJ21,""))</f>
        <v/>
      </c>
      <c r="BC21" s="93" t="str">
        <f aca="false">IF($BD21&lt;&gt;Constants!$B$6,"",$AX21)</f>
        <v/>
      </c>
      <c r="BD21" s="87" t="str">
        <f aca="false">IF(ISBLANK($C21),"",IF($AL21,Constants!$B$9,IF(COUNTA($E21:$T21)=0,Constants!$B$8,IF(NOT($X21),Constants!$B$7,IF(OR($AM21,$AV21),Constants!$B$10,Constants!$B$6)))))</f>
        <v/>
      </c>
      <c r="BE21" s="87" t="str">
        <f aca="false">IF(ISBLANK($C21),"",IF($BD21&lt;&gt;Constants!$B$6,$BD21,Constants!$B$11))</f>
        <v/>
      </c>
      <c r="BF21" s="91" t="str">
        <f aca="false">IF($BD21&lt;&gt;Constants!$B$6,"",IF($AU21="-&gt;",$BA21,$AR21))</f>
        <v/>
      </c>
      <c r="BG21" s="91" t="str">
        <f aca="false">IF($BD21&lt;&gt;Constants!$B$6,"",IF($W21,0,Constants!$B$15))</f>
        <v/>
      </c>
      <c r="BH21" s="91" t="str">
        <f aca="false">IF(ISBLANK($C21),"",IF($BD21&lt;&gt;Constants!$B$6,$BD21,SUM($BF21:$BG21)))</f>
        <v/>
      </c>
      <c r="BI21" s="87" t="str">
        <f aca="false">IF(ISBLANK($C21),"",IF($BD21&lt;&gt;Constants!$B$6,$BD21,RANK($BH21,$BH$9:$BH$508,1)))</f>
        <v/>
      </c>
      <c r="BJ21" s="91" t="str">
        <f aca="false">IF($BD21&lt;&gt;Constants!$B$6,"",IF($AU21="-&gt;",$BB21,$AS21))</f>
        <v/>
      </c>
      <c r="BK21" s="87" t="str">
        <f aca="false">IF(ISBLANK($C21),"",IF($BD21&lt;&gt;Constants!$B$6,$BD21,IF(ISNUMBER($BJ21),RANK($BJ21,$BJ$9:$BJ$508,1),COUNT($BJ$9:$BJ$508)+1)))</f>
        <v/>
      </c>
      <c r="BL21" s="91" t="str">
        <f aca="false">IF($BD21&lt;&gt;Constants!$B$6,"",IF($AU21="-&gt;",$BC21,$AT21))</f>
        <v/>
      </c>
      <c r="BM21" s="87" t="str">
        <f aca="false">IF(ISBLANK($C21),"",IF($BD21&lt;&gt;Constants!$B$6,$BD21,IF(ISNUMBER($BL21),RANK($BL21,$BL$9:$BL$508,1),COUNT($BL$9:$BL$508)+1)))</f>
        <v/>
      </c>
      <c r="BN21" s="91" t="str">
        <f aca="false">IF($BD21&lt;&gt;Constants!$B$6,"",IF($AU21="-&gt;",$AS21,$BB21))</f>
        <v/>
      </c>
      <c r="BO21" s="87" t="str">
        <f aca="false">IF(ISBLANK($C21),"",IF($BD21&lt;&gt;Constants!$B$6,$BD21,IF(ISNUMBER($BN21),RANK($BN21,$BN$9:$BN$508,1),COUNT($BN$9:$BN$508)+1)))</f>
        <v/>
      </c>
      <c r="BP21" s="91" t="str">
        <f aca="false">IF($BD21&lt;&gt;Constants!$B$6,"",IF($AU21="-&gt;",$AT21,$BC21))</f>
        <v/>
      </c>
      <c r="BQ21" s="87" t="str">
        <f aca="false">IF(ISBLANK($C21),"",IF($BD21&lt;&gt;Constants!$B$6,$BD21,IF(ISNUMBER($BP21),RANK($BP21,$BP$9:$BP$508,1),COUNT($BP$9:$BP$508)+1)))</f>
        <v/>
      </c>
      <c r="BR21" s="87" t="str">
        <f aca="false">IF(ISBLANK($C21),"",IF($BD21&lt;&gt;Constants!$B$6,$BD21,COUNTIFS($BI$9:$BI$508,"&lt;"&amp;$BI21)+COUNTIFS($BI$9:$BI$508,$BI21,$BK$9:$BK$508,"&lt;"&amp;$BK21)+COUNTIFS($BI$9:$BI$508,$BI21,$BK$9:$BK$508,$BK21,$BM$9:$BM$508,"&lt;"&amp;$BM21)+COUNTIFS($BI$9:$BI$508,$BI21,$BK$9:$BK$508,$BK21,$BM$9:$BM$508,$BM21,$BO$9:$BO$508,"&lt;"&amp;$BO21)+COUNTIFS($BI$9:$BI$508,$BI21,$BK$9:$BK$508,$BK21,$BM$9:$BM$508,$BM21,$BO$9:$BO$508,$BO21,$BQ$9:$BQ$508,"&lt;"&amp;$BQ21)+1))</f>
        <v/>
      </c>
      <c r="BS21" s="87" t="str">
        <f aca="false">IF(ISBLANK($C21),"",IF($BD21&lt;&gt;Constants!$B$6,$BD21,$BI21-$BR21))</f>
        <v/>
      </c>
      <c r="BT21" s="94"/>
      <c r="BU21" s="95"/>
      <c r="BV21" s="95" t="str">
        <f aca="false">IF(ISBLANK($C21),"",IF($BD21&lt;&gt;Constants!$B$6,"",IF($AU21="-&gt;",2,1)))</f>
        <v/>
      </c>
      <c r="BW21" s="96" t="str">
        <f aca="false">IF(ISBLANK($C21),"",IF($BD21&lt;&gt;Constants!$B$6,"",IF($AU21="-&gt;",$AW21,$AN21)))</f>
        <v/>
      </c>
      <c r="BX21" s="96" t="str">
        <f aca="false">IF(ISBLANK($C21),"",IF($BD21&lt;&gt;Constants!$B$6,"",IF($AU21="-&gt;",$AX21,$AO21)))</f>
        <v/>
      </c>
      <c r="BY21" s="96" t="str">
        <f aca="false">IF(ISBLANK($C21),"",IF($BD21&lt;&gt;Constants!$B$6,"",IF($AU21="-&gt;",$AY21,$AP21)))</f>
        <v/>
      </c>
      <c r="BZ21" s="96" t="str">
        <f aca="false">IF(ISBLANK($C21),"",IF($BD21&lt;&gt;Constants!$B$6,"",IF($AU21="-&gt;",$AZ21,$AQ21)+$BG21))</f>
        <v/>
      </c>
      <c r="CA21" s="97" t="str">
        <f aca="false">IF(ISBLANK($C21),"",IF($BD21&lt;&gt;Constants!$B$6,$BD21,$BH21))</f>
        <v/>
      </c>
      <c r="CB21" s="98" t="str">
        <f aca="false">IF(ISBLANK($C21),"",$BE21)</f>
        <v/>
      </c>
      <c r="CC21" s="99" t="str">
        <f aca="false">IF(ISBLANK($C21),"",$BS21)</f>
        <v/>
      </c>
      <c r="CD21" s="99" t="str">
        <f aca="false">IF(ISBLANK($C21),"",$BR21)</f>
        <v/>
      </c>
      <c r="CE21" s="100" t="str">
        <f aca="false">IF(ISBLANK($C21),"",IF($CD21=Constants!$B$9,COUNTA($C$9:$C$508)+2,IF($CD21=Constants!$B$8,COUNTA($C$9:$C$508)+1,IF($CD21=Constants!$B$7,COUNTA($C$9:$C$508),$CD21))))</f>
        <v/>
      </c>
      <c r="CF21" s="9"/>
      <c r="CG21" s="101" t="n">
        <f aca="false">IF(OR(ISNUMBER($CD21),$CD21=Constants!$B$9,$CD21=Constants!$B$7,$CD21=Constants!$B$8),1,0)</f>
        <v>0</v>
      </c>
      <c r="CH21" s="101" t="n">
        <v>13</v>
      </c>
      <c r="CI21" s="101" t="str">
        <f aca="false">IF(ISBLANK($C21),"",IF(ISNUMBER($CE21),$CE21+ROW($B21)/1000,""))</f>
        <v/>
      </c>
      <c r="CJ21" s="101" t="str">
        <f aca="false">IF(ISNUMBER($CI21),RANK($CI21,$CI$9:$CI$508,1),"")</f>
        <v/>
      </c>
      <c r="CK21" s="101" t="str">
        <f aca="false">IF(ISBLANK($C21),"",$B21)</f>
        <v/>
      </c>
      <c r="CL21" s="101" t="str">
        <f aca="false">IF(ISBLANK($C21),"",$C21)</f>
        <v/>
      </c>
      <c r="CM21" s="101" t="str">
        <f aca="false">IF(ISBLANK($C21),"",$D21)</f>
        <v/>
      </c>
      <c r="CN21" s="102" t="str">
        <f aca="false">$CB21</f>
        <v/>
      </c>
      <c r="CO21" s="103" t="str">
        <f aca="false">$CA21</f>
        <v/>
      </c>
      <c r="CP21" s="101" t="str">
        <f aca="false">IF(ISBLANK($C21),"",$CD21)</f>
        <v/>
      </c>
      <c r="CQ21" s="104" t="str">
        <f aca="false">IF($CH21&gt;$CG$8,"",VLOOKUP($CH21,$CJ$9:$CP$508,7,FALSE()))</f>
        <v/>
      </c>
      <c r="CR21" s="105" t="str">
        <f aca="false">IF($CH21&gt;$CG$8,"",VLOOKUP($CH21,$CJ$9:$CP$508,2,FALSE()))</f>
        <v/>
      </c>
      <c r="CS21" s="105" t="str">
        <f aca="false">IF($CH21&gt;$CG$8,"",VLOOKUP($CH21,$CJ$9:$CP$508,3,FALSE()))</f>
        <v/>
      </c>
      <c r="CT21" s="105" t="str">
        <f aca="false">IF($CH21&gt;$CG$8,"",VLOOKUP($CH21,$CJ$9:$CP$508,4,FALSE()))</f>
        <v/>
      </c>
      <c r="CU21" s="105" t="str">
        <f aca="false">IF($CH21&gt;$CG$8,"",VLOOKUP($CH21,$CJ$9:$CP$508,5,FALSE()))</f>
        <v/>
      </c>
      <c r="CV21" s="106" t="str">
        <f aca="false">IF($CH21&gt;$CG$8,"",VLOOKUP($CH21,$CJ$9:$CP$508,6,FALSE()))</f>
        <v/>
      </c>
      <c r="CW21" s="71"/>
    </row>
    <row r="22" customFormat="false" ht="15.75" hidden="false" customHeight="false" outlineLevel="0" collapsed="false">
      <c r="A22" s="9"/>
      <c r="B22" s="72"/>
      <c r="C22" s="73"/>
      <c r="D22" s="160"/>
      <c r="E22" s="161"/>
      <c r="F22" s="162"/>
      <c r="G22" s="163"/>
      <c r="H22" s="164"/>
      <c r="I22" s="165"/>
      <c r="J22" s="80"/>
      <c r="K22" s="81"/>
      <c r="L22" s="82"/>
      <c r="M22" s="166"/>
      <c r="N22" s="165"/>
      <c r="O22" s="165"/>
      <c r="P22" s="80"/>
      <c r="Q22" s="82"/>
      <c r="R22" s="82"/>
      <c r="S22" s="166"/>
      <c r="T22" s="167"/>
      <c r="U22" s="86"/>
      <c r="V22" s="87"/>
      <c r="W22" s="87" t="str">
        <f aca="false">IF(ISBLANK($C22),"",IF(E22=Constants!$B$2,TRUE(),IF(E22=Constants!$B$3,FALSE(),TRUE())))</f>
        <v/>
      </c>
      <c r="X22" s="87" t="str">
        <f aca="false">IF(ISBLANK($C22),"",IF(F22=Constants!$B$2,TRUE(),IF(F22=Constants!$B$3,FALSE(),TRUE())))</f>
        <v/>
      </c>
      <c r="Y22" s="87" t="str">
        <f aca="false">IF(ISBLANK($C22),"",IF(G22=Constants!$B$2,TRUE(),IF(G22=Constants!$B$3,FALSE(),TRUE())))</f>
        <v/>
      </c>
      <c r="Z22" s="87" t="str">
        <f aca="false">IF(ISBLANK($C22),"",IF(H22=Constants!$B$2,TRUE(),IF(H22=Constants!$B$3,FALSE(),TRUE())))</f>
        <v/>
      </c>
      <c r="AA22" s="87" t="str">
        <f aca="false">IF(ISBLANK($C22),"",IF(I22=Constants!$B$2,TRUE(),IF(I22=Constants!$B$3,FALSE(),TRUE())))</f>
        <v/>
      </c>
      <c r="AB22" s="87" t="str">
        <f aca="false">IF(ISBLANK($C22),"",IF(J22=Constants!$B$4,TRUE(),IF(J22=Constants!$B$5,FALSE(),COUNTA(K22:M22)&gt;0)))</f>
        <v/>
      </c>
      <c r="AC22" s="88" t="str">
        <f aca="false">IF(ISBLANK($C22),"",IF(ISNUMBER(K22),IF(K22&gt;=0,K22,""),""))</f>
        <v/>
      </c>
      <c r="AD22" s="89" t="str">
        <f aca="false">IF(ISBLANK($C22),"",IF(ISNUMBER(L22),IF(L22&gt;=0,L22,""),""))</f>
        <v/>
      </c>
      <c r="AE22" s="87" t="str">
        <f aca="false">IF(ISBLANK($C22),"",IF(ISNUMBER(M22),IF(M22&gt;=0,MIN(M22,Constants!$B$22),""),""))</f>
        <v/>
      </c>
      <c r="AF22" s="87" t="str">
        <f aca="false">IF(ISBLANK($C22),"",IF(N22=Constants!$B$2,TRUE(),IF(N22=Constants!$B$3,FALSE(),TRUE())))</f>
        <v/>
      </c>
      <c r="AG22" s="87" t="str">
        <f aca="false">IF(ISBLANK($C22),"",IF(O22=Constants!$B$2,TRUE(),IF(O22=Constants!$B$3,FALSE(),TRUE())))</f>
        <v/>
      </c>
      <c r="AH22" s="87" t="str">
        <f aca="false">IF(ISBLANK($C22),"",IF(P22=Constants!$B$4,TRUE(),IF(P22=Constants!$B$5,FALSE(),COUNTA(Q22:S22)&gt;0)))</f>
        <v/>
      </c>
      <c r="AI22" s="88" t="str">
        <f aca="false">IF(ISBLANK($C22),"",IF(ISNUMBER(Q22),IF(Q22&gt;=0,Q22,""),""))</f>
        <v/>
      </c>
      <c r="AJ22" s="89" t="str">
        <f aca="false">IF(ISBLANK($C22),"",IF(ISNUMBER(R22),IF(R22&gt;=0,R22,""),""))</f>
        <v/>
      </c>
      <c r="AK22" s="87" t="str">
        <f aca="false">IF(ISBLANK($C22),"",IF(ISNUMBER(S22),IF(S22&gt;=0,MIN(S22,Constants!$B$22),""),""))</f>
        <v/>
      </c>
      <c r="AL22" s="87" t="str">
        <f aca="false">IF(ISBLANK($C22),"",IF(T22=Constants!$B$2,TRUE(),IF(T22=Constants!$B$3,FALSE(),FALSE())))</f>
        <v/>
      </c>
      <c r="AM22" s="86" t="str">
        <f aca="false">IF(ISBLANK($C22),"",AND($AB22,OR($AC22="",$AD22="",AND(NOT(ISBLANK($M22)),$AE22=""))))</f>
        <v/>
      </c>
      <c r="AN22" s="89" t="str">
        <f aca="false">IF($BD22&lt;&gt;Constants!$B$6,"",IF($AB22,Constants!$B$17*$AD22,Constants!$B$18))</f>
        <v/>
      </c>
      <c r="AO22" s="91" t="str">
        <f aca="false">IF($BD22&lt;&gt;Constants!$B$6,"",Constants!$B$19*IF($AB22,$AC22,0))</f>
        <v/>
      </c>
      <c r="AP22" s="91" t="str">
        <f aca="false">IF($BD22&lt;&gt;Constants!$B$6,"",IF(AND($AB22,ISNUMBER($AE22)),Constants!$B$20*(Constants!$B$21-$AE22),0))</f>
        <v/>
      </c>
      <c r="AQ22" s="91" t="str">
        <f aca="false">IF($BD22&lt;&gt;Constants!$B$6,"",IF($AA22,0,Constants!$B$12)+IF($Z22,0,Constants!$B$13)+IF($Y22,0,Constants!$B$14))</f>
        <v/>
      </c>
      <c r="AR22" s="92" t="str">
        <f aca="false">IF($BD22&lt;&gt;Constants!$B$6,"",Constants!$B$16+SUM($AN22:$AQ22))</f>
        <v/>
      </c>
      <c r="AS22" s="91" t="str">
        <f aca="false">IF($BD22&lt;&gt;Constants!$B$6,"",IF($AB22,$AD22,""))</f>
        <v/>
      </c>
      <c r="AT22" s="93" t="str">
        <f aca="false">IF($BD22&lt;&gt;Constants!$B$6,"",$AO22)</f>
        <v/>
      </c>
      <c r="AU22" s="87" t="str">
        <f aca="false">IF($BD22&lt;&gt;Constants!$B$6,"",IF(OR($BA22&lt;$AR22,AND($BA22=$AR22,OR(AND(ISNUMBER($BB22),OR(NOT(ISNUMBER($AS22)),$BB22&lt;$AS22)),AND(OR(AND($BB22="",$AS22=""),AND(ISNUMBER($BB22),ISNUMBER($AS22),$BB22=$AS22)),$BC22&lt;$AT22)))),"-&gt;","&lt;-"))</f>
        <v/>
      </c>
      <c r="AV22" s="86" t="str">
        <f aca="false">IF(ISBLANK($C22),"",AND($AH22,OR($AI22="",$AJ22="",AND(NOT(ISBLANK($S22)),$AK22=""))))</f>
        <v/>
      </c>
      <c r="AW22" s="89" t="str">
        <f aca="false">IF($BD22&lt;&gt;Constants!$B$6,"",IF($AH22,Constants!$B$17*$AJ22,Constants!$B$18))</f>
        <v/>
      </c>
      <c r="AX22" s="91" t="str">
        <f aca="false">IF($BD22&lt;&gt;Constants!$B$6,"",Constants!$B$19*IF($AH22,$AI22,0))</f>
        <v/>
      </c>
      <c r="AY22" s="91" t="str">
        <f aca="false">IF($BD22&lt;&gt;Constants!$B$6,"",IF(AND($AH22,ISNUMBER($AK22)),Constants!$B$20*(Constants!$B$21-$AK22),0))</f>
        <v/>
      </c>
      <c r="AZ22" s="91" t="str">
        <f aca="false">IF($BD22&lt;&gt;Constants!$B$6,"",IF($AG22,0,Constants!$B$12)+IF($AF22,0,Constants!$B$13)+IF($Y22,0,Constants!$B$14))</f>
        <v/>
      </c>
      <c r="BA22" s="92" t="str">
        <f aca="false">IF($BD22&lt;&gt;Constants!$B$6,"",Constants!$B$16+SUM($AW22:$AZ22))</f>
        <v/>
      </c>
      <c r="BB22" s="91" t="str">
        <f aca="false">IF($BD22&lt;&gt;Constants!$B$6,"",IF($AH22,$AJ22,""))</f>
        <v/>
      </c>
      <c r="BC22" s="93" t="str">
        <f aca="false">IF($BD22&lt;&gt;Constants!$B$6,"",$AX22)</f>
        <v/>
      </c>
      <c r="BD22" s="87" t="str">
        <f aca="false">IF(ISBLANK($C22),"",IF($AL22,Constants!$B$9,IF(COUNTA($E22:$T22)=0,Constants!$B$8,IF(NOT($X22),Constants!$B$7,IF(OR($AM22,$AV22),Constants!$B$10,Constants!$B$6)))))</f>
        <v/>
      </c>
      <c r="BE22" s="87" t="str">
        <f aca="false">IF(ISBLANK($C22),"",IF($BD22&lt;&gt;Constants!$B$6,$BD22,Constants!$B$11))</f>
        <v/>
      </c>
      <c r="BF22" s="91" t="str">
        <f aca="false">IF($BD22&lt;&gt;Constants!$B$6,"",IF($AU22="-&gt;",$BA22,$AR22))</f>
        <v/>
      </c>
      <c r="BG22" s="91" t="str">
        <f aca="false">IF($BD22&lt;&gt;Constants!$B$6,"",IF($W22,0,Constants!$B$15))</f>
        <v/>
      </c>
      <c r="BH22" s="91" t="str">
        <f aca="false">IF(ISBLANK($C22),"",IF($BD22&lt;&gt;Constants!$B$6,$BD22,SUM($BF22:$BG22)))</f>
        <v/>
      </c>
      <c r="BI22" s="87" t="str">
        <f aca="false">IF(ISBLANK($C22),"",IF($BD22&lt;&gt;Constants!$B$6,$BD22,RANK($BH22,$BH$9:$BH$508,1)))</f>
        <v/>
      </c>
      <c r="BJ22" s="91" t="str">
        <f aca="false">IF($BD22&lt;&gt;Constants!$B$6,"",IF($AU22="-&gt;",$BB22,$AS22))</f>
        <v/>
      </c>
      <c r="BK22" s="87" t="str">
        <f aca="false">IF(ISBLANK($C22),"",IF($BD22&lt;&gt;Constants!$B$6,$BD22,IF(ISNUMBER($BJ22),RANK($BJ22,$BJ$9:$BJ$508,1),COUNT($BJ$9:$BJ$508)+1)))</f>
        <v/>
      </c>
      <c r="BL22" s="91" t="str">
        <f aca="false">IF($BD22&lt;&gt;Constants!$B$6,"",IF($AU22="-&gt;",$BC22,$AT22))</f>
        <v/>
      </c>
      <c r="BM22" s="87" t="str">
        <f aca="false">IF(ISBLANK($C22),"",IF($BD22&lt;&gt;Constants!$B$6,$BD22,IF(ISNUMBER($BL22),RANK($BL22,$BL$9:$BL$508,1),COUNT($BL$9:$BL$508)+1)))</f>
        <v/>
      </c>
      <c r="BN22" s="91" t="str">
        <f aca="false">IF($BD22&lt;&gt;Constants!$B$6,"",IF($AU22="-&gt;",$AS22,$BB22))</f>
        <v/>
      </c>
      <c r="BO22" s="87" t="str">
        <f aca="false">IF(ISBLANK($C22),"",IF($BD22&lt;&gt;Constants!$B$6,$BD22,IF(ISNUMBER($BN22),RANK($BN22,$BN$9:$BN$508,1),COUNT($BN$9:$BN$508)+1)))</f>
        <v/>
      </c>
      <c r="BP22" s="91" t="str">
        <f aca="false">IF($BD22&lt;&gt;Constants!$B$6,"",IF($AU22="-&gt;",$AT22,$BC22))</f>
        <v/>
      </c>
      <c r="BQ22" s="87" t="str">
        <f aca="false">IF(ISBLANK($C22),"",IF($BD22&lt;&gt;Constants!$B$6,$BD22,IF(ISNUMBER($BP22),RANK($BP22,$BP$9:$BP$508,1),COUNT($BP$9:$BP$508)+1)))</f>
        <v/>
      </c>
      <c r="BR22" s="87" t="str">
        <f aca="false">IF(ISBLANK($C22),"",IF($BD22&lt;&gt;Constants!$B$6,$BD22,COUNTIFS($BI$9:$BI$508,"&lt;"&amp;$BI22)+COUNTIFS($BI$9:$BI$508,$BI22,$BK$9:$BK$508,"&lt;"&amp;$BK22)+COUNTIFS($BI$9:$BI$508,$BI22,$BK$9:$BK$508,$BK22,$BM$9:$BM$508,"&lt;"&amp;$BM22)+COUNTIFS($BI$9:$BI$508,$BI22,$BK$9:$BK$508,$BK22,$BM$9:$BM$508,$BM22,$BO$9:$BO$508,"&lt;"&amp;$BO22)+COUNTIFS($BI$9:$BI$508,$BI22,$BK$9:$BK$508,$BK22,$BM$9:$BM$508,$BM22,$BO$9:$BO$508,$BO22,$BQ$9:$BQ$508,"&lt;"&amp;$BQ22)+1))</f>
        <v/>
      </c>
      <c r="BS22" s="87" t="str">
        <f aca="false">IF(ISBLANK($C22),"",IF($BD22&lt;&gt;Constants!$B$6,$BD22,$BI22-$BR22))</f>
        <v/>
      </c>
      <c r="BT22" s="94"/>
      <c r="BU22" s="95"/>
      <c r="BV22" s="95" t="str">
        <f aca="false">IF(ISBLANK($C22),"",IF($BD22&lt;&gt;Constants!$B$6,"",IF($AU22="-&gt;",2,1)))</f>
        <v/>
      </c>
      <c r="BW22" s="96" t="str">
        <f aca="false">IF(ISBLANK($C22),"",IF($BD22&lt;&gt;Constants!$B$6,"",IF($AU22="-&gt;",$AW22,$AN22)))</f>
        <v/>
      </c>
      <c r="BX22" s="96" t="str">
        <f aca="false">IF(ISBLANK($C22),"",IF($BD22&lt;&gt;Constants!$B$6,"",IF($AU22="-&gt;",$AX22,$AO22)))</f>
        <v/>
      </c>
      <c r="BY22" s="96" t="str">
        <f aca="false">IF(ISBLANK($C22),"",IF($BD22&lt;&gt;Constants!$B$6,"",IF($AU22="-&gt;",$AY22,$AP22)))</f>
        <v/>
      </c>
      <c r="BZ22" s="96" t="str">
        <f aca="false">IF(ISBLANK($C22),"",IF($BD22&lt;&gt;Constants!$B$6,"",IF($AU22="-&gt;",$AZ22,$AQ22)+$BG22))</f>
        <v/>
      </c>
      <c r="CA22" s="97" t="str">
        <f aca="false">IF(ISBLANK($C22),"",IF($BD22&lt;&gt;Constants!$B$6,$BD22,$BH22))</f>
        <v/>
      </c>
      <c r="CB22" s="98" t="str">
        <f aca="false">IF(ISBLANK($C22),"",$BE22)</f>
        <v/>
      </c>
      <c r="CC22" s="99" t="str">
        <f aca="false">IF(ISBLANK($C22),"",$BS22)</f>
        <v/>
      </c>
      <c r="CD22" s="99" t="str">
        <f aca="false">IF(ISBLANK($C22),"",$BR22)</f>
        <v/>
      </c>
      <c r="CE22" s="100" t="str">
        <f aca="false">IF(ISBLANK($C22),"",IF($CD22=Constants!$B$9,COUNTA($C$9:$C$508)+2,IF($CD22=Constants!$B$8,COUNTA($C$9:$C$508)+1,IF($CD22=Constants!$B$7,COUNTA($C$9:$C$508),$CD22))))</f>
        <v/>
      </c>
      <c r="CF22" s="9"/>
      <c r="CG22" s="101" t="n">
        <f aca="false">IF(OR(ISNUMBER($CD22),$CD22=Constants!$B$9,$CD22=Constants!$B$7,$CD22=Constants!$B$8),1,0)</f>
        <v>0</v>
      </c>
      <c r="CH22" s="101" t="n">
        <v>14</v>
      </c>
      <c r="CI22" s="101" t="str">
        <f aca="false">IF(ISBLANK($C22),"",IF(ISNUMBER($CE22),$CE22+ROW($B22)/1000,""))</f>
        <v/>
      </c>
      <c r="CJ22" s="101" t="str">
        <f aca="false">IF(ISNUMBER($CI22),RANK($CI22,$CI$9:$CI$508,1),"")</f>
        <v/>
      </c>
      <c r="CK22" s="101" t="str">
        <f aca="false">IF(ISBLANK($C22),"",$B22)</f>
        <v/>
      </c>
      <c r="CL22" s="101" t="str">
        <f aca="false">IF(ISBLANK($C22),"",$C22)</f>
        <v/>
      </c>
      <c r="CM22" s="101" t="str">
        <f aca="false">IF(ISBLANK($C22),"",$D22)</f>
        <v/>
      </c>
      <c r="CN22" s="102" t="str">
        <f aca="false">$CB22</f>
        <v/>
      </c>
      <c r="CO22" s="103" t="str">
        <f aca="false">$CA22</f>
        <v/>
      </c>
      <c r="CP22" s="101" t="str">
        <f aca="false">IF(ISBLANK($C22),"",$CD22)</f>
        <v/>
      </c>
      <c r="CQ22" s="104" t="str">
        <f aca="false">IF($CH22&gt;$CG$8,"",VLOOKUP($CH22,$CJ$9:$CP$508,7,FALSE()))</f>
        <v/>
      </c>
      <c r="CR22" s="105" t="str">
        <f aca="false">IF($CH22&gt;$CG$8,"",VLOOKUP($CH22,$CJ$9:$CP$508,2,FALSE()))</f>
        <v/>
      </c>
      <c r="CS22" s="105" t="str">
        <f aca="false">IF($CH22&gt;$CG$8,"",VLOOKUP($CH22,$CJ$9:$CP$508,3,FALSE()))</f>
        <v/>
      </c>
      <c r="CT22" s="105" t="str">
        <f aca="false">IF($CH22&gt;$CG$8,"",VLOOKUP($CH22,$CJ$9:$CP$508,4,FALSE()))</f>
        <v/>
      </c>
      <c r="CU22" s="105" t="str">
        <f aca="false">IF($CH22&gt;$CG$8,"",VLOOKUP($CH22,$CJ$9:$CP$508,5,FALSE()))</f>
        <v/>
      </c>
      <c r="CV22" s="106" t="str">
        <f aca="false">IF($CH22&gt;$CG$8,"",VLOOKUP($CH22,$CJ$9:$CP$508,6,FALSE()))</f>
        <v/>
      </c>
      <c r="CW22" s="71"/>
    </row>
    <row r="23" customFormat="false" ht="15.75" hidden="false" customHeight="false" outlineLevel="0" collapsed="false">
      <c r="A23" s="9"/>
      <c r="B23" s="72"/>
      <c r="C23" s="73"/>
      <c r="D23" s="160"/>
      <c r="E23" s="161"/>
      <c r="F23" s="162"/>
      <c r="G23" s="163"/>
      <c r="H23" s="164"/>
      <c r="I23" s="165"/>
      <c r="J23" s="80"/>
      <c r="K23" s="81"/>
      <c r="L23" s="82"/>
      <c r="M23" s="166"/>
      <c r="N23" s="165"/>
      <c r="O23" s="165"/>
      <c r="P23" s="80"/>
      <c r="Q23" s="82"/>
      <c r="R23" s="82"/>
      <c r="S23" s="166"/>
      <c r="T23" s="167"/>
      <c r="U23" s="86"/>
      <c r="V23" s="87"/>
      <c r="W23" s="87" t="str">
        <f aca="false">IF(ISBLANK($C23),"",IF(E23=Constants!$B$2,TRUE(),IF(E23=Constants!$B$3,FALSE(),TRUE())))</f>
        <v/>
      </c>
      <c r="X23" s="87" t="str">
        <f aca="false">IF(ISBLANK($C23),"",IF(F23=Constants!$B$2,TRUE(),IF(F23=Constants!$B$3,FALSE(),TRUE())))</f>
        <v/>
      </c>
      <c r="Y23" s="87" t="str">
        <f aca="false">IF(ISBLANK($C23),"",IF(G23=Constants!$B$2,TRUE(),IF(G23=Constants!$B$3,FALSE(),TRUE())))</f>
        <v/>
      </c>
      <c r="Z23" s="87" t="str">
        <f aca="false">IF(ISBLANK($C23),"",IF(H23=Constants!$B$2,TRUE(),IF(H23=Constants!$B$3,FALSE(),TRUE())))</f>
        <v/>
      </c>
      <c r="AA23" s="87" t="str">
        <f aca="false">IF(ISBLANK($C23),"",IF(I23=Constants!$B$2,TRUE(),IF(I23=Constants!$B$3,FALSE(),TRUE())))</f>
        <v/>
      </c>
      <c r="AB23" s="87" t="str">
        <f aca="false">IF(ISBLANK($C23),"",IF(J23=Constants!$B$4,TRUE(),IF(J23=Constants!$B$5,FALSE(),COUNTA(K23:M23)&gt;0)))</f>
        <v/>
      </c>
      <c r="AC23" s="88" t="str">
        <f aca="false">IF(ISBLANK($C23),"",IF(ISNUMBER(K23),IF(K23&gt;=0,K23,""),""))</f>
        <v/>
      </c>
      <c r="AD23" s="89" t="str">
        <f aca="false">IF(ISBLANK($C23),"",IF(ISNUMBER(L23),IF(L23&gt;=0,L23,""),""))</f>
        <v/>
      </c>
      <c r="AE23" s="87" t="str">
        <f aca="false">IF(ISBLANK($C23),"",IF(ISNUMBER(M23),IF(M23&gt;=0,MIN(M23,Constants!$B$22),""),""))</f>
        <v/>
      </c>
      <c r="AF23" s="87" t="str">
        <f aca="false">IF(ISBLANK($C23),"",IF(N23=Constants!$B$2,TRUE(),IF(N23=Constants!$B$3,FALSE(),TRUE())))</f>
        <v/>
      </c>
      <c r="AG23" s="87" t="str">
        <f aca="false">IF(ISBLANK($C23),"",IF(O23=Constants!$B$2,TRUE(),IF(O23=Constants!$B$3,FALSE(),TRUE())))</f>
        <v/>
      </c>
      <c r="AH23" s="87" t="str">
        <f aca="false">IF(ISBLANK($C23),"",IF(P23=Constants!$B$4,TRUE(),IF(P23=Constants!$B$5,FALSE(),COUNTA(Q23:S23)&gt;0)))</f>
        <v/>
      </c>
      <c r="AI23" s="88" t="str">
        <f aca="false">IF(ISBLANK($C23),"",IF(ISNUMBER(Q23),IF(Q23&gt;=0,Q23,""),""))</f>
        <v/>
      </c>
      <c r="AJ23" s="89" t="str">
        <f aca="false">IF(ISBLANK($C23),"",IF(ISNUMBER(R23),IF(R23&gt;=0,R23,""),""))</f>
        <v/>
      </c>
      <c r="AK23" s="87" t="str">
        <f aca="false">IF(ISBLANK($C23),"",IF(ISNUMBER(S23),IF(S23&gt;=0,MIN(S23,Constants!$B$22),""),""))</f>
        <v/>
      </c>
      <c r="AL23" s="87" t="str">
        <f aca="false">IF(ISBLANK($C23),"",IF(T23=Constants!$B$2,TRUE(),IF(T23=Constants!$B$3,FALSE(),FALSE())))</f>
        <v/>
      </c>
      <c r="AM23" s="86" t="str">
        <f aca="false">IF(ISBLANK($C23),"",AND($AB23,OR($AC23="",$AD23="",AND(NOT(ISBLANK($M23)),$AE23=""))))</f>
        <v/>
      </c>
      <c r="AN23" s="89" t="str">
        <f aca="false">IF($BD23&lt;&gt;Constants!$B$6,"",IF($AB23,Constants!$B$17*$AD23,Constants!$B$18))</f>
        <v/>
      </c>
      <c r="AO23" s="91" t="str">
        <f aca="false">IF($BD23&lt;&gt;Constants!$B$6,"",Constants!$B$19*IF($AB23,$AC23,0))</f>
        <v/>
      </c>
      <c r="AP23" s="91" t="str">
        <f aca="false">IF($BD23&lt;&gt;Constants!$B$6,"",IF(AND($AB23,ISNUMBER($AE23)),Constants!$B$20*(Constants!$B$21-$AE23),0))</f>
        <v/>
      </c>
      <c r="AQ23" s="91" t="str">
        <f aca="false">IF($BD23&lt;&gt;Constants!$B$6,"",IF($AA23,0,Constants!$B$12)+IF($Z23,0,Constants!$B$13)+IF($Y23,0,Constants!$B$14))</f>
        <v/>
      </c>
      <c r="AR23" s="92" t="str">
        <f aca="false">IF($BD23&lt;&gt;Constants!$B$6,"",Constants!$B$16+SUM($AN23:$AQ23))</f>
        <v/>
      </c>
      <c r="AS23" s="91" t="str">
        <f aca="false">IF($BD23&lt;&gt;Constants!$B$6,"",IF($AB23,$AD23,""))</f>
        <v/>
      </c>
      <c r="AT23" s="93" t="str">
        <f aca="false">IF($BD23&lt;&gt;Constants!$B$6,"",$AO23)</f>
        <v/>
      </c>
      <c r="AU23" s="87" t="str">
        <f aca="false">IF($BD23&lt;&gt;Constants!$B$6,"",IF(OR($BA23&lt;$AR23,AND($BA23=$AR23,OR(AND(ISNUMBER($BB23),OR(NOT(ISNUMBER($AS23)),$BB23&lt;$AS23)),AND(OR(AND($BB23="",$AS23=""),AND(ISNUMBER($BB23),ISNUMBER($AS23),$BB23=$AS23)),$BC23&lt;$AT23)))),"-&gt;","&lt;-"))</f>
        <v/>
      </c>
      <c r="AV23" s="86" t="str">
        <f aca="false">IF(ISBLANK($C23),"",AND($AH23,OR($AI23="",$AJ23="",AND(NOT(ISBLANK($S23)),$AK23=""))))</f>
        <v/>
      </c>
      <c r="AW23" s="89" t="str">
        <f aca="false">IF($BD23&lt;&gt;Constants!$B$6,"",IF($AH23,Constants!$B$17*$AJ23,Constants!$B$18))</f>
        <v/>
      </c>
      <c r="AX23" s="91" t="str">
        <f aca="false">IF($BD23&lt;&gt;Constants!$B$6,"",Constants!$B$19*IF($AH23,$AI23,0))</f>
        <v/>
      </c>
      <c r="AY23" s="91" t="str">
        <f aca="false">IF($BD23&lt;&gt;Constants!$B$6,"",IF(AND($AH23,ISNUMBER($AK23)),Constants!$B$20*(Constants!$B$21-$AK23),0))</f>
        <v/>
      </c>
      <c r="AZ23" s="91" t="str">
        <f aca="false">IF($BD23&lt;&gt;Constants!$B$6,"",IF($AG23,0,Constants!$B$12)+IF($AF23,0,Constants!$B$13)+IF($Y23,0,Constants!$B$14))</f>
        <v/>
      </c>
      <c r="BA23" s="92" t="str">
        <f aca="false">IF($BD23&lt;&gt;Constants!$B$6,"",Constants!$B$16+SUM($AW23:$AZ23))</f>
        <v/>
      </c>
      <c r="BB23" s="91" t="str">
        <f aca="false">IF($BD23&lt;&gt;Constants!$B$6,"",IF($AH23,$AJ23,""))</f>
        <v/>
      </c>
      <c r="BC23" s="93" t="str">
        <f aca="false">IF($BD23&lt;&gt;Constants!$B$6,"",$AX23)</f>
        <v/>
      </c>
      <c r="BD23" s="87" t="str">
        <f aca="false">IF(ISBLANK($C23),"",IF($AL23,Constants!$B$9,IF(COUNTA($E23:$T23)=0,Constants!$B$8,IF(NOT($X23),Constants!$B$7,IF(OR($AM23,$AV23),Constants!$B$10,Constants!$B$6)))))</f>
        <v/>
      </c>
      <c r="BE23" s="87" t="str">
        <f aca="false">IF(ISBLANK($C23),"",IF($BD23&lt;&gt;Constants!$B$6,$BD23,Constants!$B$11))</f>
        <v/>
      </c>
      <c r="BF23" s="91" t="str">
        <f aca="false">IF($BD23&lt;&gt;Constants!$B$6,"",IF($AU23="-&gt;",$BA23,$AR23))</f>
        <v/>
      </c>
      <c r="BG23" s="91" t="str">
        <f aca="false">IF($BD23&lt;&gt;Constants!$B$6,"",IF($W23,0,Constants!$B$15))</f>
        <v/>
      </c>
      <c r="BH23" s="91" t="str">
        <f aca="false">IF(ISBLANK($C23),"",IF($BD23&lt;&gt;Constants!$B$6,$BD23,SUM($BF23:$BG23)))</f>
        <v/>
      </c>
      <c r="BI23" s="87" t="str">
        <f aca="false">IF(ISBLANK($C23),"",IF($BD23&lt;&gt;Constants!$B$6,$BD23,RANK($BH23,$BH$9:$BH$508,1)))</f>
        <v/>
      </c>
      <c r="BJ23" s="91" t="str">
        <f aca="false">IF($BD23&lt;&gt;Constants!$B$6,"",IF($AU23="-&gt;",$BB23,$AS23))</f>
        <v/>
      </c>
      <c r="BK23" s="87" t="str">
        <f aca="false">IF(ISBLANK($C23),"",IF($BD23&lt;&gt;Constants!$B$6,$BD23,IF(ISNUMBER($BJ23),RANK($BJ23,$BJ$9:$BJ$508,1),COUNT($BJ$9:$BJ$508)+1)))</f>
        <v/>
      </c>
      <c r="BL23" s="91" t="str">
        <f aca="false">IF($BD23&lt;&gt;Constants!$B$6,"",IF($AU23="-&gt;",$BC23,$AT23))</f>
        <v/>
      </c>
      <c r="BM23" s="87" t="str">
        <f aca="false">IF(ISBLANK($C23),"",IF($BD23&lt;&gt;Constants!$B$6,$BD23,IF(ISNUMBER($BL23),RANK($BL23,$BL$9:$BL$508,1),COUNT($BL$9:$BL$508)+1)))</f>
        <v/>
      </c>
      <c r="BN23" s="91" t="str">
        <f aca="false">IF($BD23&lt;&gt;Constants!$B$6,"",IF($AU23="-&gt;",$AS23,$BB23))</f>
        <v/>
      </c>
      <c r="BO23" s="87" t="str">
        <f aca="false">IF(ISBLANK($C23),"",IF($BD23&lt;&gt;Constants!$B$6,$BD23,IF(ISNUMBER($BN23),RANK($BN23,$BN$9:$BN$508,1),COUNT($BN$9:$BN$508)+1)))</f>
        <v/>
      </c>
      <c r="BP23" s="91" t="str">
        <f aca="false">IF($BD23&lt;&gt;Constants!$B$6,"",IF($AU23="-&gt;",$AT23,$BC23))</f>
        <v/>
      </c>
      <c r="BQ23" s="87" t="str">
        <f aca="false">IF(ISBLANK($C23),"",IF($BD23&lt;&gt;Constants!$B$6,$BD23,IF(ISNUMBER($BP23),RANK($BP23,$BP$9:$BP$508,1),COUNT($BP$9:$BP$508)+1)))</f>
        <v/>
      </c>
      <c r="BR23" s="87" t="str">
        <f aca="false">IF(ISBLANK($C23),"",IF($BD23&lt;&gt;Constants!$B$6,$BD23,COUNTIFS($BI$9:$BI$508,"&lt;"&amp;$BI23)+COUNTIFS($BI$9:$BI$508,$BI23,$BK$9:$BK$508,"&lt;"&amp;$BK23)+COUNTIFS($BI$9:$BI$508,$BI23,$BK$9:$BK$508,$BK23,$BM$9:$BM$508,"&lt;"&amp;$BM23)+COUNTIFS($BI$9:$BI$508,$BI23,$BK$9:$BK$508,$BK23,$BM$9:$BM$508,$BM23,$BO$9:$BO$508,"&lt;"&amp;$BO23)+COUNTIFS($BI$9:$BI$508,$BI23,$BK$9:$BK$508,$BK23,$BM$9:$BM$508,$BM23,$BO$9:$BO$508,$BO23,$BQ$9:$BQ$508,"&lt;"&amp;$BQ23)+1))</f>
        <v/>
      </c>
      <c r="BS23" s="87" t="str">
        <f aca="false">IF(ISBLANK($C23),"",IF($BD23&lt;&gt;Constants!$B$6,$BD23,$BI23-$BR23))</f>
        <v/>
      </c>
      <c r="BT23" s="94"/>
      <c r="BU23" s="95"/>
      <c r="BV23" s="95" t="str">
        <f aca="false">IF(ISBLANK($C23),"",IF($BD23&lt;&gt;Constants!$B$6,"",IF($AU23="-&gt;",2,1)))</f>
        <v/>
      </c>
      <c r="BW23" s="96" t="str">
        <f aca="false">IF(ISBLANK($C23),"",IF($BD23&lt;&gt;Constants!$B$6,"",IF($AU23="-&gt;",$AW23,$AN23)))</f>
        <v/>
      </c>
      <c r="BX23" s="96" t="str">
        <f aca="false">IF(ISBLANK($C23),"",IF($BD23&lt;&gt;Constants!$B$6,"",IF($AU23="-&gt;",$AX23,$AO23)))</f>
        <v/>
      </c>
      <c r="BY23" s="96" t="str">
        <f aca="false">IF(ISBLANK($C23),"",IF($BD23&lt;&gt;Constants!$B$6,"",IF($AU23="-&gt;",$AY23,$AP23)))</f>
        <v/>
      </c>
      <c r="BZ23" s="96" t="str">
        <f aca="false">IF(ISBLANK($C23),"",IF($BD23&lt;&gt;Constants!$B$6,"",IF($AU23="-&gt;",$AZ23,$AQ23)+$BG23))</f>
        <v/>
      </c>
      <c r="CA23" s="97" t="str">
        <f aca="false">IF(ISBLANK($C23),"",IF($BD23&lt;&gt;Constants!$B$6,$BD23,$BH23))</f>
        <v/>
      </c>
      <c r="CB23" s="98" t="str">
        <f aca="false">IF(ISBLANK($C23),"",$BE23)</f>
        <v/>
      </c>
      <c r="CC23" s="99" t="str">
        <f aca="false">IF(ISBLANK($C23),"",$BS23)</f>
        <v/>
      </c>
      <c r="CD23" s="99" t="str">
        <f aca="false">IF(ISBLANK($C23),"",$BR23)</f>
        <v/>
      </c>
      <c r="CE23" s="100" t="str">
        <f aca="false">IF(ISBLANK($C23),"",IF($CD23=Constants!$B$9,COUNTA($C$9:$C$508)+2,IF($CD23=Constants!$B$8,COUNTA($C$9:$C$508)+1,IF($CD23=Constants!$B$7,COUNTA($C$9:$C$508),$CD23))))</f>
        <v/>
      </c>
      <c r="CF23" s="9"/>
      <c r="CG23" s="101" t="n">
        <f aca="false">IF(OR(ISNUMBER($CD23),$CD23=Constants!$B$9,$CD23=Constants!$B$7,$CD23=Constants!$B$8),1,0)</f>
        <v>0</v>
      </c>
      <c r="CH23" s="101" t="n">
        <v>15</v>
      </c>
      <c r="CI23" s="101" t="str">
        <f aca="false">IF(ISBLANK($C23),"",IF(ISNUMBER($CE23),$CE23+ROW($B23)/1000,""))</f>
        <v/>
      </c>
      <c r="CJ23" s="101" t="str">
        <f aca="false">IF(ISNUMBER($CI23),RANK($CI23,$CI$9:$CI$508,1),"")</f>
        <v/>
      </c>
      <c r="CK23" s="101" t="str">
        <f aca="false">IF(ISBLANK($C23),"",$B23)</f>
        <v/>
      </c>
      <c r="CL23" s="101" t="str">
        <f aca="false">IF(ISBLANK($C23),"",$C23)</f>
        <v/>
      </c>
      <c r="CM23" s="101" t="str">
        <f aca="false">IF(ISBLANK($C23),"",$D23)</f>
        <v/>
      </c>
      <c r="CN23" s="102" t="str">
        <f aca="false">$CB23</f>
        <v/>
      </c>
      <c r="CO23" s="103" t="str">
        <f aca="false">$CA23</f>
        <v/>
      </c>
      <c r="CP23" s="101" t="str">
        <f aca="false">IF(ISBLANK($C23),"",$CD23)</f>
        <v/>
      </c>
      <c r="CQ23" s="104" t="str">
        <f aca="false">IF($CH23&gt;$CG$8,"",VLOOKUP($CH23,$CJ$9:$CP$508,7,FALSE()))</f>
        <v/>
      </c>
      <c r="CR23" s="105" t="str">
        <f aca="false">IF($CH23&gt;$CG$8,"",VLOOKUP($CH23,$CJ$9:$CP$508,2,FALSE()))</f>
        <v/>
      </c>
      <c r="CS23" s="105" t="str">
        <f aca="false">IF($CH23&gt;$CG$8,"",VLOOKUP($CH23,$CJ$9:$CP$508,3,FALSE()))</f>
        <v/>
      </c>
      <c r="CT23" s="105" t="str">
        <f aca="false">IF($CH23&gt;$CG$8,"",VLOOKUP($CH23,$CJ$9:$CP$508,4,FALSE()))</f>
        <v/>
      </c>
      <c r="CU23" s="105" t="str">
        <f aca="false">IF($CH23&gt;$CG$8,"",VLOOKUP($CH23,$CJ$9:$CP$508,5,FALSE()))</f>
        <v/>
      </c>
      <c r="CV23" s="106" t="str">
        <f aca="false">IF($CH23&gt;$CG$8,"",VLOOKUP($CH23,$CJ$9:$CP$508,6,FALSE()))</f>
        <v/>
      </c>
      <c r="CW23" s="71"/>
    </row>
    <row r="24" customFormat="false" ht="15.75" hidden="false" customHeight="false" outlineLevel="0" collapsed="false">
      <c r="A24" s="9"/>
      <c r="B24" s="150"/>
      <c r="C24" s="151"/>
      <c r="D24" s="152"/>
      <c r="E24" s="153"/>
      <c r="F24" s="154"/>
      <c r="G24" s="155"/>
      <c r="H24" s="156"/>
      <c r="I24" s="157"/>
      <c r="J24" s="120"/>
      <c r="K24" s="121"/>
      <c r="L24" s="122"/>
      <c r="M24" s="158"/>
      <c r="N24" s="157"/>
      <c r="O24" s="157"/>
      <c r="P24" s="120"/>
      <c r="Q24" s="122"/>
      <c r="R24" s="122"/>
      <c r="S24" s="158"/>
      <c r="T24" s="159"/>
      <c r="U24" s="126"/>
      <c r="V24" s="127"/>
      <c r="W24" s="127" t="str">
        <f aca="false">IF(ISBLANK($C24),"",IF(E24=Constants!$B$2,TRUE(),IF(E24=Constants!$B$3,FALSE(),TRUE())))</f>
        <v/>
      </c>
      <c r="X24" s="127" t="str">
        <f aca="false">IF(ISBLANK($C24),"",IF(F24=Constants!$B$2,TRUE(),IF(F24=Constants!$B$3,FALSE(),TRUE())))</f>
        <v/>
      </c>
      <c r="Y24" s="127" t="str">
        <f aca="false">IF(ISBLANK($C24),"",IF(G24=Constants!$B$2,TRUE(),IF(G24=Constants!$B$3,FALSE(),TRUE())))</f>
        <v/>
      </c>
      <c r="Z24" s="127" t="str">
        <f aca="false">IF(ISBLANK($C24),"",IF(H24=Constants!$B$2,TRUE(),IF(H24=Constants!$B$3,FALSE(),TRUE())))</f>
        <v/>
      </c>
      <c r="AA24" s="127" t="str">
        <f aca="false">IF(ISBLANK($C24),"",IF(I24=Constants!$B$2,TRUE(),IF(I24=Constants!$B$3,FALSE(),TRUE())))</f>
        <v/>
      </c>
      <c r="AB24" s="127" t="str">
        <f aca="false">IF(ISBLANK($C24),"",IF(J24=Constants!$B$4,TRUE(),IF(J24=Constants!$B$5,FALSE(),COUNTA(K24:M24)&gt;0)))</f>
        <v/>
      </c>
      <c r="AC24" s="128" t="str">
        <f aca="false">IF(ISBLANK($C24),"",IF(ISNUMBER(K24),IF(K24&gt;=0,K24,""),""))</f>
        <v/>
      </c>
      <c r="AD24" s="129" t="str">
        <f aca="false">IF(ISBLANK($C24),"",IF(ISNUMBER(L24),IF(L24&gt;=0,L24,""),""))</f>
        <v/>
      </c>
      <c r="AE24" s="127" t="str">
        <f aca="false">IF(ISBLANK($C24),"",IF(ISNUMBER(M24),IF(M24&gt;=0,MIN(M24,Constants!$B$22),""),""))</f>
        <v/>
      </c>
      <c r="AF24" s="127" t="str">
        <f aca="false">IF(ISBLANK($C24),"",IF(N24=Constants!$B$2,TRUE(),IF(N24=Constants!$B$3,FALSE(),TRUE())))</f>
        <v/>
      </c>
      <c r="AG24" s="127" t="str">
        <f aca="false">IF(ISBLANK($C24),"",IF(O24=Constants!$B$2,TRUE(),IF(O24=Constants!$B$3,FALSE(),TRUE())))</f>
        <v/>
      </c>
      <c r="AH24" s="127" t="str">
        <f aca="false">IF(ISBLANK($C24),"",IF(P24=Constants!$B$4,TRUE(),IF(P24=Constants!$B$5,FALSE(),COUNTA(Q24:S24)&gt;0)))</f>
        <v/>
      </c>
      <c r="AI24" s="128" t="str">
        <f aca="false">IF(ISBLANK($C24),"",IF(ISNUMBER(Q24),IF(Q24&gt;=0,Q24,""),""))</f>
        <v/>
      </c>
      <c r="AJ24" s="129" t="str">
        <f aca="false">IF(ISBLANK($C24),"",IF(ISNUMBER(R24),IF(R24&gt;=0,R24,""),""))</f>
        <v/>
      </c>
      <c r="AK24" s="127" t="str">
        <f aca="false">IF(ISBLANK($C24),"",IF(ISNUMBER(S24),IF(S24&gt;=0,MIN(S24,Constants!$B$22),""),""))</f>
        <v/>
      </c>
      <c r="AL24" s="127" t="str">
        <f aca="false">IF(ISBLANK($C24),"",IF(T24=Constants!$B$2,TRUE(),IF(T24=Constants!$B$3,FALSE(),FALSE())))</f>
        <v/>
      </c>
      <c r="AM24" s="126" t="str">
        <f aca="false">IF(ISBLANK($C24),"",AND($AB24,OR($AC24="",$AD24="",AND(NOT(ISBLANK($M24)),$AE24=""))))</f>
        <v/>
      </c>
      <c r="AN24" s="129" t="str">
        <f aca="false">IF($BD24&lt;&gt;Constants!$B$6,"",IF($AB24,Constants!$B$17*$AD24,Constants!$B$18))</f>
        <v/>
      </c>
      <c r="AO24" s="130" t="str">
        <f aca="false">IF($BD24&lt;&gt;Constants!$B$6,"",Constants!$B$19*IF($AB24,$AC24,0))</f>
        <v/>
      </c>
      <c r="AP24" s="130" t="str">
        <f aca="false">IF($BD24&lt;&gt;Constants!$B$6,"",IF(AND($AB24,ISNUMBER($AE24)),Constants!$B$20*(Constants!$B$21-$AE24),0))</f>
        <v/>
      </c>
      <c r="AQ24" s="130" t="str">
        <f aca="false">IF($BD24&lt;&gt;Constants!$B$6,"",IF($AA24,0,Constants!$B$12)+IF($Z24,0,Constants!$B$13)+IF($Y24,0,Constants!$B$14))</f>
        <v/>
      </c>
      <c r="AR24" s="131" t="str">
        <f aca="false">IF($BD24&lt;&gt;Constants!$B$6,"",Constants!$B$16+SUM($AN24:$AQ24))</f>
        <v/>
      </c>
      <c r="AS24" s="130" t="str">
        <f aca="false">IF($BD24&lt;&gt;Constants!$B$6,"",IF($AB24,$AD24,""))</f>
        <v/>
      </c>
      <c r="AT24" s="132" t="str">
        <f aca="false">IF($BD24&lt;&gt;Constants!$B$6,"",$AO24)</f>
        <v/>
      </c>
      <c r="AU24" s="127" t="str">
        <f aca="false">IF($BD24&lt;&gt;Constants!$B$6,"",IF(OR($BA24&lt;$AR24,AND($BA24=$AR24,OR(AND(ISNUMBER($BB24),OR(NOT(ISNUMBER($AS24)),$BB24&lt;$AS24)),AND(OR(AND($BB24="",$AS24=""),AND(ISNUMBER($BB24),ISNUMBER($AS24),$BB24=$AS24)),$BC24&lt;$AT24)))),"-&gt;","&lt;-"))</f>
        <v/>
      </c>
      <c r="AV24" s="126" t="str">
        <f aca="false">IF(ISBLANK($C24),"",AND($AH24,OR($AI24="",$AJ24="",AND(NOT(ISBLANK($S24)),$AK24=""))))</f>
        <v/>
      </c>
      <c r="AW24" s="129" t="str">
        <f aca="false">IF($BD24&lt;&gt;Constants!$B$6,"",IF($AH24,Constants!$B$17*$AJ24,Constants!$B$18))</f>
        <v/>
      </c>
      <c r="AX24" s="130" t="str">
        <f aca="false">IF($BD24&lt;&gt;Constants!$B$6,"",Constants!$B$19*IF($AH24,$AI24,0))</f>
        <v/>
      </c>
      <c r="AY24" s="130" t="str">
        <f aca="false">IF($BD24&lt;&gt;Constants!$B$6,"",IF(AND($AH24,ISNUMBER($AK24)),Constants!$B$20*(Constants!$B$21-$AK24),0))</f>
        <v/>
      </c>
      <c r="AZ24" s="130" t="str">
        <f aca="false">IF($BD24&lt;&gt;Constants!$B$6,"",IF($AG24,0,Constants!$B$12)+IF($AF24,0,Constants!$B$13)+IF($Y24,0,Constants!$B$14))</f>
        <v/>
      </c>
      <c r="BA24" s="131" t="str">
        <f aca="false">IF($BD24&lt;&gt;Constants!$B$6,"",Constants!$B$16+SUM($AW24:$AZ24))</f>
        <v/>
      </c>
      <c r="BB24" s="130" t="str">
        <f aca="false">IF($BD24&lt;&gt;Constants!$B$6,"",IF($AH24,$AJ24,""))</f>
        <v/>
      </c>
      <c r="BC24" s="132" t="str">
        <f aca="false">IF($BD24&lt;&gt;Constants!$B$6,"",$AX24)</f>
        <v/>
      </c>
      <c r="BD24" s="127" t="str">
        <f aca="false">IF(ISBLANK($C24),"",IF($AL24,Constants!$B$9,IF(COUNTA($E24:$T24)=0,Constants!$B$8,IF(NOT($X24),Constants!$B$7,IF(OR($AM24,$AV24),Constants!$B$10,Constants!$B$6)))))</f>
        <v/>
      </c>
      <c r="BE24" s="127" t="str">
        <f aca="false">IF(ISBLANK($C24),"",IF($BD24&lt;&gt;Constants!$B$6,$BD24,Constants!$B$11))</f>
        <v/>
      </c>
      <c r="BF24" s="130" t="str">
        <f aca="false">IF($BD24&lt;&gt;Constants!$B$6,"",IF($AU24="-&gt;",$BA24,$AR24))</f>
        <v/>
      </c>
      <c r="BG24" s="130" t="str">
        <f aca="false">IF($BD24&lt;&gt;Constants!$B$6,"",IF($W24,0,Constants!$B$15))</f>
        <v/>
      </c>
      <c r="BH24" s="130" t="str">
        <f aca="false">IF(ISBLANK($C24),"",IF($BD24&lt;&gt;Constants!$B$6,$BD24,SUM($BF24:$BG24)))</f>
        <v/>
      </c>
      <c r="BI24" s="127" t="str">
        <f aca="false">IF(ISBLANK($C24),"",IF($BD24&lt;&gt;Constants!$B$6,$BD24,RANK($BH24,$BH$9:$BH$508,1)))</f>
        <v/>
      </c>
      <c r="BJ24" s="130" t="str">
        <f aca="false">IF($BD24&lt;&gt;Constants!$B$6,"",IF($AU24="-&gt;",$BB24,$AS24))</f>
        <v/>
      </c>
      <c r="BK24" s="127" t="str">
        <f aca="false">IF(ISBLANK($C24),"",IF($BD24&lt;&gt;Constants!$B$6,$BD24,IF(ISNUMBER($BJ24),RANK($BJ24,$BJ$9:$BJ$508,1),COUNT($BJ$9:$BJ$508)+1)))</f>
        <v/>
      </c>
      <c r="BL24" s="130" t="str">
        <f aca="false">IF($BD24&lt;&gt;Constants!$B$6,"",IF($AU24="-&gt;",$BC24,$AT24))</f>
        <v/>
      </c>
      <c r="BM24" s="127" t="str">
        <f aca="false">IF(ISBLANK($C24),"",IF($BD24&lt;&gt;Constants!$B$6,$BD24,IF(ISNUMBER($BL24),RANK($BL24,$BL$9:$BL$508,1),COUNT($BL$9:$BL$508)+1)))</f>
        <v/>
      </c>
      <c r="BN24" s="130" t="str">
        <f aca="false">IF($BD24&lt;&gt;Constants!$B$6,"",IF($AU24="-&gt;",$AS24,$BB24))</f>
        <v/>
      </c>
      <c r="BO24" s="127" t="str">
        <f aca="false">IF(ISBLANK($C24),"",IF($BD24&lt;&gt;Constants!$B$6,$BD24,IF(ISNUMBER($BN24),RANK($BN24,$BN$9:$BN$508,1),COUNT($BN$9:$BN$508)+1)))</f>
        <v/>
      </c>
      <c r="BP24" s="130" t="str">
        <f aca="false">IF($BD24&lt;&gt;Constants!$B$6,"",IF($AU24="-&gt;",$AT24,$BC24))</f>
        <v/>
      </c>
      <c r="BQ24" s="127" t="str">
        <f aca="false">IF(ISBLANK($C24),"",IF($BD24&lt;&gt;Constants!$B$6,$BD24,IF(ISNUMBER($BP24),RANK($BP24,$BP$9:$BP$508,1),COUNT($BP$9:$BP$508)+1)))</f>
        <v/>
      </c>
      <c r="BR24" s="127" t="str">
        <f aca="false">IF(ISBLANK($C24),"",IF($BD24&lt;&gt;Constants!$B$6,$BD24,COUNTIFS($BI$9:$BI$508,"&lt;"&amp;$BI24)+COUNTIFS($BI$9:$BI$508,$BI24,$BK$9:$BK$508,"&lt;"&amp;$BK24)+COUNTIFS($BI$9:$BI$508,$BI24,$BK$9:$BK$508,$BK24,$BM$9:$BM$508,"&lt;"&amp;$BM24)+COUNTIFS($BI$9:$BI$508,$BI24,$BK$9:$BK$508,$BK24,$BM$9:$BM$508,$BM24,$BO$9:$BO$508,"&lt;"&amp;$BO24)+COUNTIFS($BI$9:$BI$508,$BI24,$BK$9:$BK$508,$BK24,$BM$9:$BM$508,$BM24,$BO$9:$BO$508,$BO24,$BQ$9:$BQ$508,"&lt;"&amp;$BQ24)+1))</f>
        <v/>
      </c>
      <c r="BS24" s="127" t="str">
        <f aca="false">IF(ISBLANK($C24),"",IF($BD24&lt;&gt;Constants!$B$6,$BD24,$BI24-$BR24))</f>
        <v/>
      </c>
      <c r="BT24" s="133"/>
      <c r="BU24" s="134"/>
      <c r="BV24" s="134" t="str">
        <f aca="false">IF(ISBLANK($C24),"",IF($BD24&lt;&gt;Constants!$B$6,"",IF($AU24="-&gt;",2,1)))</f>
        <v/>
      </c>
      <c r="BW24" s="135" t="str">
        <f aca="false">IF(ISBLANK($C24),"",IF($BD24&lt;&gt;Constants!$B$6,"",IF($AU24="-&gt;",$AW24,$AN24)))</f>
        <v/>
      </c>
      <c r="BX24" s="135" t="str">
        <f aca="false">IF(ISBLANK($C24),"",IF($BD24&lt;&gt;Constants!$B$6,"",IF($AU24="-&gt;",$AX24,$AO24)))</f>
        <v/>
      </c>
      <c r="BY24" s="135" t="str">
        <f aca="false">IF(ISBLANK($C24),"",IF($BD24&lt;&gt;Constants!$B$6,"",IF($AU24="-&gt;",$AY24,$AP24)))</f>
        <v/>
      </c>
      <c r="BZ24" s="135" t="str">
        <f aca="false">IF(ISBLANK($C24),"",IF($BD24&lt;&gt;Constants!$B$6,"",IF($AU24="-&gt;",$AZ24,$AQ24)+$BG24))</f>
        <v/>
      </c>
      <c r="CA24" s="136" t="str">
        <f aca="false">IF(ISBLANK($C24),"",IF($BD24&lt;&gt;Constants!$B$6,$BD24,$BH24))</f>
        <v/>
      </c>
      <c r="CB24" s="137" t="str">
        <f aca="false">IF(ISBLANK($C24),"",$BE24)</f>
        <v/>
      </c>
      <c r="CC24" s="138" t="str">
        <f aca="false">IF(ISBLANK($C24),"",$BS24)</f>
        <v/>
      </c>
      <c r="CD24" s="138" t="str">
        <f aca="false">IF(ISBLANK($C24),"",$BR24)</f>
        <v/>
      </c>
      <c r="CE24" s="139" t="str">
        <f aca="false">IF(ISBLANK($C24),"",IF($CD24=Constants!$B$9,COUNTA($C$9:$C$508)+2,IF($CD24=Constants!$B$8,COUNTA($C$9:$C$508)+1,IF($CD24=Constants!$B$7,COUNTA($C$9:$C$508),$CD24))))</f>
        <v/>
      </c>
      <c r="CF24" s="9"/>
      <c r="CG24" s="140" t="n">
        <f aca="false">IF(OR(ISNUMBER($CD24),$CD24=Constants!$B$9,$CD24=Constants!$B$7,$CD24=Constants!$B$8),1,0)</f>
        <v>0</v>
      </c>
      <c r="CH24" s="140" t="n">
        <v>16</v>
      </c>
      <c r="CI24" s="140" t="str">
        <f aca="false">IF(ISBLANK($C24),"",IF(ISNUMBER($CE24),$CE24+ROW($B24)/1000,""))</f>
        <v/>
      </c>
      <c r="CJ24" s="140" t="str">
        <f aca="false">IF(ISNUMBER($CI24),RANK($CI24,$CI$9:$CI$508,1),"")</f>
        <v/>
      </c>
      <c r="CK24" s="140" t="str">
        <f aca="false">IF(ISBLANK($C24),"",$B24)</f>
        <v/>
      </c>
      <c r="CL24" s="140" t="str">
        <f aca="false">IF(ISBLANK($C24),"",$C24)</f>
        <v/>
      </c>
      <c r="CM24" s="140" t="str">
        <f aca="false">IF(ISBLANK($C24),"",$D24)</f>
        <v/>
      </c>
      <c r="CN24" s="141" t="str">
        <f aca="false">$CB24</f>
        <v/>
      </c>
      <c r="CO24" s="142" t="str">
        <f aca="false">$CA24</f>
        <v/>
      </c>
      <c r="CP24" s="140" t="str">
        <f aca="false">IF(ISBLANK($C24),"",$CD24)</f>
        <v/>
      </c>
      <c r="CQ24" s="143" t="str">
        <f aca="false">IF($CH24&gt;$CG$8,"",VLOOKUP($CH24,$CJ$9:$CP$508,7,FALSE()))</f>
        <v/>
      </c>
      <c r="CR24" s="144" t="str">
        <f aca="false">IF($CH24&gt;$CG$8,"",VLOOKUP($CH24,$CJ$9:$CP$508,2,FALSE()))</f>
        <v/>
      </c>
      <c r="CS24" s="144" t="str">
        <f aca="false">IF($CH24&gt;$CG$8,"",VLOOKUP($CH24,$CJ$9:$CP$508,3,FALSE()))</f>
        <v/>
      </c>
      <c r="CT24" s="144" t="str">
        <f aca="false">IF($CH24&gt;$CG$8,"",VLOOKUP($CH24,$CJ$9:$CP$508,4,FALSE()))</f>
        <v/>
      </c>
      <c r="CU24" s="144" t="str">
        <f aca="false">IF($CH24&gt;$CG$8,"",VLOOKUP($CH24,$CJ$9:$CP$508,5,FALSE()))</f>
        <v/>
      </c>
      <c r="CV24" s="145" t="str">
        <f aca="false">IF($CH24&gt;$CG$8,"",VLOOKUP($CH24,$CJ$9:$CP$508,6,FALSE()))</f>
        <v/>
      </c>
      <c r="CW24" s="71"/>
    </row>
    <row r="25" customFormat="false" ht="15.75" hidden="false" customHeight="false" outlineLevel="0" collapsed="false">
      <c r="A25" s="9"/>
      <c r="B25" s="150"/>
      <c r="C25" s="151"/>
      <c r="D25" s="152"/>
      <c r="E25" s="153"/>
      <c r="F25" s="154"/>
      <c r="G25" s="155"/>
      <c r="H25" s="156"/>
      <c r="I25" s="157"/>
      <c r="J25" s="120"/>
      <c r="K25" s="121"/>
      <c r="L25" s="122"/>
      <c r="M25" s="158"/>
      <c r="N25" s="157"/>
      <c r="O25" s="157"/>
      <c r="P25" s="120"/>
      <c r="Q25" s="122"/>
      <c r="R25" s="122"/>
      <c r="S25" s="158"/>
      <c r="T25" s="159"/>
      <c r="U25" s="126"/>
      <c r="V25" s="127"/>
      <c r="W25" s="127" t="str">
        <f aca="false">IF(ISBLANK($C25),"",IF(E25=Constants!$B$2,TRUE(),IF(E25=Constants!$B$3,FALSE(),TRUE())))</f>
        <v/>
      </c>
      <c r="X25" s="127" t="str">
        <f aca="false">IF(ISBLANK($C25),"",IF(F25=Constants!$B$2,TRUE(),IF(F25=Constants!$B$3,FALSE(),TRUE())))</f>
        <v/>
      </c>
      <c r="Y25" s="127" t="str">
        <f aca="false">IF(ISBLANK($C25),"",IF(G25=Constants!$B$2,TRUE(),IF(G25=Constants!$B$3,FALSE(),TRUE())))</f>
        <v/>
      </c>
      <c r="Z25" s="127" t="str">
        <f aca="false">IF(ISBLANK($C25),"",IF(H25=Constants!$B$2,TRUE(),IF(H25=Constants!$B$3,FALSE(),TRUE())))</f>
        <v/>
      </c>
      <c r="AA25" s="127" t="str">
        <f aca="false">IF(ISBLANK($C25),"",IF(I25=Constants!$B$2,TRUE(),IF(I25=Constants!$B$3,FALSE(),TRUE())))</f>
        <v/>
      </c>
      <c r="AB25" s="127" t="str">
        <f aca="false">IF(ISBLANK($C25),"",IF(J25=Constants!$B$4,TRUE(),IF(J25=Constants!$B$5,FALSE(),COUNTA(K25:M25)&gt;0)))</f>
        <v/>
      </c>
      <c r="AC25" s="128" t="str">
        <f aca="false">IF(ISBLANK($C25),"",IF(ISNUMBER(K25),IF(K25&gt;=0,K25,""),""))</f>
        <v/>
      </c>
      <c r="AD25" s="129" t="str">
        <f aca="false">IF(ISBLANK($C25),"",IF(ISNUMBER(L25),IF(L25&gt;=0,L25,""),""))</f>
        <v/>
      </c>
      <c r="AE25" s="127" t="str">
        <f aca="false">IF(ISBLANK($C25),"",IF(ISNUMBER(M25),IF(M25&gt;=0,MIN(M25,Constants!$B$22),""),""))</f>
        <v/>
      </c>
      <c r="AF25" s="127" t="str">
        <f aca="false">IF(ISBLANK($C25),"",IF(N25=Constants!$B$2,TRUE(),IF(N25=Constants!$B$3,FALSE(),TRUE())))</f>
        <v/>
      </c>
      <c r="AG25" s="127" t="str">
        <f aca="false">IF(ISBLANK($C25),"",IF(O25=Constants!$B$2,TRUE(),IF(O25=Constants!$B$3,FALSE(),TRUE())))</f>
        <v/>
      </c>
      <c r="AH25" s="127" t="str">
        <f aca="false">IF(ISBLANK($C25),"",IF(P25=Constants!$B$4,TRUE(),IF(P25=Constants!$B$5,FALSE(),COUNTA(Q25:S25)&gt;0)))</f>
        <v/>
      </c>
      <c r="AI25" s="128" t="str">
        <f aca="false">IF(ISBLANK($C25),"",IF(ISNUMBER(Q25),IF(Q25&gt;=0,Q25,""),""))</f>
        <v/>
      </c>
      <c r="AJ25" s="129" t="str">
        <f aca="false">IF(ISBLANK($C25),"",IF(ISNUMBER(R25),IF(R25&gt;=0,R25,""),""))</f>
        <v/>
      </c>
      <c r="AK25" s="127" t="str">
        <f aca="false">IF(ISBLANK($C25),"",IF(ISNUMBER(S25),IF(S25&gt;=0,MIN(S25,Constants!$B$22),""),""))</f>
        <v/>
      </c>
      <c r="AL25" s="127" t="str">
        <f aca="false">IF(ISBLANK($C25),"",IF(T25=Constants!$B$2,TRUE(),IF(T25=Constants!$B$3,FALSE(),FALSE())))</f>
        <v/>
      </c>
      <c r="AM25" s="126" t="str">
        <f aca="false">IF(ISBLANK($C25),"",AND($AB25,OR($AC25="",$AD25="",AND(NOT(ISBLANK($M25)),$AE25=""))))</f>
        <v/>
      </c>
      <c r="AN25" s="129" t="str">
        <f aca="false">IF($BD25&lt;&gt;Constants!$B$6,"",IF($AB25,Constants!$B$17*$AD25,Constants!$B$18))</f>
        <v/>
      </c>
      <c r="AO25" s="130" t="str">
        <f aca="false">IF($BD25&lt;&gt;Constants!$B$6,"",Constants!$B$19*IF($AB25,$AC25,0))</f>
        <v/>
      </c>
      <c r="AP25" s="130" t="str">
        <f aca="false">IF($BD25&lt;&gt;Constants!$B$6,"",IF(AND($AB25,ISNUMBER($AE25)),Constants!$B$20*(Constants!$B$21-$AE25),0))</f>
        <v/>
      </c>
      <c r="AQ25" s="130" t="str">
        <f aca="false">IF($BD25&lt;&gt;Constants!$B$6,"",IF($AA25,0,Constants!$B$12)+IF($Z25,0,Constants!$B$13)+IF($Y25,0,Constants!$B$14))</f>
        <v/>
      </c>
      <c r="AR25" s="131" t="str">
        <f aca="false">IF($BD25&lt;&gt;Constants!$B$6,"",Constants!$B$16+SUM($AN25:$AQ25))</f>
        <v/>
      </c>
      <c r="AS25" s="130" t="str">
        <f aca="false">IF($BD25&lt;&gt;Constants!$B$6,"",IF($AB25,$AD25,""))</f>
        <v/>
      </c>
      <c r="AT25" s="132" t="str">
        <f aca="false">IF($BD25&lt;&gt;Constants!$B$6,"",$AO25)</f>
        <v/>
      </c>
      <c r="AU25" s="127" t="str">
        <f aca="false">IF($BD25&lt;&gt;Constants!$B$6,"",IF(OR($BA25&lt;$AR25,AND($BA25=$AR25,OR(AND(ISNUMBER($BB25),OR(NOT(ISNUMBER($AS25)),$BB25&lt;$AS25)),AND(OR(AND($BB25="",$AS25=""),AND(ISNUMBER($BB25),ISNUMBER($AS25),$BB25=$AS25)),$BC25&lt;$AT25)))),"-&gt;","&lt;-"))</f>
        <v/>
      </c>
      <c r="AV25" s="126" t="str">
        <f aca="false">IF(ISBLANK($C25),"",AND($AH25,OR($AI25="",$AJ25="",AND(NOT(ISBLANK($S25)),$AK25=""))))</f>
        <v/>
      </c>
      <c r="AW25" s="129" t="str">
        <f aca="false">IF($BD25&lt;&gt;Constants!$B$6,"",IF($AH25,Constants!$B$17*$AJ25,Constants!$B$18))</f>
        <v/>
      </c>
      <c r="AX25" s="130" t="str">
        <f aca="false">IF($BD25&lt;&gt;Constants!$B$6,"",Constants!$B$19*IF($AH25,$AI25,0))</f>
        <v/>
      </c>
      <c r="AY25" s="130" t="str">
        <f aca="false">IF($BD25&lt;&gt;Constants!$B$6,"",IF(AND($AH25,ISNUMBER($AK25)),Constants!$B$20*(Constants!$B$21-$AK25),0))</f>
        <v/>
      </c>
      <c r="AZ25" s="130" t="str">
        <f aca="false">IF($BD25&lt;&gt;Constants!$B$6,"",IF($AG25,0,Constants!$B$12)+IF($AF25,0,Constants!$B$13)+IF($Y25,0,Constants!$B$14))</f>
        <v/>
      </c>
      <c r="BA25" s="131" t="str">
        <f aca="false">IF($BD25&lt;&gt;Constants!$B$6,"",Constants!$B$16+SUM($AW25:$AZ25))</f>
        <v/>
      </c>
      <c r="BB25" s="130" t="str">
        <f aca="false">IF($BD25&lt;&gt;Constants!$B$6,"",IF($AH25,$AJ25,""))</f>
        <v/>
      </c>
      <c r="BC25" s="132" t="str">
        <f aca="false">IF($BD25&lt;&gt;Constants!$B$6,"",$AX25)</f>
        <v/>
      </c>
      <c r="BD25" s="127" t="str">
        <f aca="false">IF(ISBLANK($C25),"",IF($AL25,Constants!$B$9,IF(COUNTA($E25:$T25)=0,Constants!$B$8,IF(NOT($X25),Constants!$B$7,IF(OR($AM25,$AV25),Constants!$B$10,Constants!$B$6)))))</f>
        <v/>
      </c>
      <c r="BE25" s="127" t="str">
        <f aca="false">IF(ISBLANK($C25),"",IF($BD25&lt;&gt;Constants!$B$6,$BD25,Constants!$B$11))</f>
        <v/>
      </c>
      <c r="BF25" s="130" t="str">
        <f aca="false">IF($BD25&lt;&gt;Constants!$B$6,"",IF($AU25="-&gt;",$BA25,$AR25))</f>
        <v/>
      </c>
      <c r="BG25" s="130" t="str">
        <f aca="false">IF($BD25&lt;&gt;Constants!$B$6,"",IF($W25,0,Constants!$B$15))</f>
        <v/>
      </c>
      <c r="BH25" s="130" t="str">
        <f aca="false">IF(ISBLANK($C25),"",IF($BD25&lt;&gt;Constants!$B$6,$BD25,SUM($BF25:$BG25)))</f>
        <v/>
      </c>
      <c r="BI25" s="127" t="str">
        <f aca="false">IF(ISBLANK($C25),"",IF($BD25&lt;&gt;Constants!$B$6,$BD25,RANK($BH25,$BH$9:$BH$508,1)))</f>
        <v/>
      </c>
      <c r="BJ25" s="130" t="str">
        <f aca="false">IF($BD25&lt;&gt;Constants!$B$6,"",IF($AU25="-&gt;",$BB25,$AS25))</f>
        <v/>
      </c>
      <c r="BK25" s="127" t="str">
        <f aca="false">IF(ISBLANK($C25),"",IF($BD25&lt;&gt;Constants!$B$6,$BD25,IF(ISNUMBER($BJ25),RANK($BJ25,$BJ$9:$BJ$508,1),COUNT($BJ$9:$BJ$508)+1)))</f>
        <v/>
      </c>
      <c r="BL25" s="130" t="str">
        <f aca="false">IF($BD25&lt;&gt;Constants!$B$6,"",IF($AU25="-&gt;",$BC25,$AT25))</f>
        <v/>
      </c>
      <c r="BM25" s="127" t="str">
        <f aca="false">IF(ISBLANK($C25),"",IF($BD25&lt;&gt;Constants!$B$6,$BD25,IF(ISNUMBER($BL25),RANK($BL25,$BL$9:$BL$508,1),COUNT($BL$9:$BL$508)+1)))</f>
        <v/>
      </c>
      <c r="BN25" s="130" t="str">
        <f aca="false">IF($BD25&lt;&gt;Constants!$B$6,"",IF($AU25="-&gt;",$AS25,$BB25))</f>
        <v/>
      </c>
      <c r="BO25" s="127" t="str">
        <f aca="false">IF(ISBLANK($C25),"",IF($BD25&lt;&gt;Constants!$B$6,$BD25,IF(ISNUMBER($BN25),RANK($BN25,$BN$9:$BN$508,1),COUNT($BN$9:$BN$508)+1)))</f>
        <v/>
      </c>
      <c r="BP25" s="130" t="str">
        <f aca="false">IF($BD25&lt;&gt;Constants!$B$6,"",IF($AU25="-&gt;",$AT25,$BC25))</f>
        <v/>
      </c>
      <c r="BQ25" s="127" t="str">
        <f aca="false">IF(ISBLANK($C25),"",IF($BD25&lt;&gt;Constants!$B$6,$BD25,IF(ISNUMBER($BP25),RANK($BP25,$BP$9:$BP$508,1),COUNT($BP$9:$BP$508)+1)))</f>
        <v/>
      </c>
      <c r="BR25" s="127" t="str">
        <f aca="false">IF(ISBLANK($C25),"",IF($BD25&lt;&gt;Constants!$B$6,$BD25,COUNTIFS($BI$9:$BI$508,"&lt;"&amp;$BI25)+COUNTIFS($BI$9:$BI$508,$BI25,$BK$9:$BK$508,"&lt;"&amp;$BK25)+COUNTIFS($BI$9:$BI$508,$BI25,$BK$9:$BK$508,$BK25,$BM$9:$BM$508,"&lt;"&amp;$BM25)+COUNTIFS($BI$9:$BI$508,$BI25,$BK$9:$BK$508,$BK25,$BM$9:$BM$508,$BM25,$BO$9:$BO$508,"&lt;"&amp;$BO25)+COUNTIFS($BI$9:$BI$508,$BI25,$BK$9:$BK$508,$BK25,$BM$9:$BM$508,$BM25,$BO$9:$BO$508,$BO25,$BQ$9:$BQ$508,"&lt;"&amp;$BQ25)+1))</f>
        <v/>
      </c>
      <c r="BS25" s="127" t="str">
        <f aca="false">IF(ISBLANK($C25),"",IF($BD25&lt;&gt;Constants!$B$6,$BD25,$BI25-$BR25))</f>
        <v/>
      </c>
      <c r="BT25" s="133"/>
      <c r="BU25" s="134"/>
      <c r="BV25" s="134" t="str">
        <f aca="false">IF(ISBLANK($C25),"",IF($BD25&lt;&gt;Constants!$B$6,"",IF($AU25="-&gt;",2,1)))</f>
        <v/>
      </c>
      <c r="BW25" s="135" t="str">
        <f aca="false">IF(ISBLANK($C25),"",IF($BD25&lt;&gt;Constants!$B$6,"",IF($AU25="-&gt;",$AW25,$AN25)))</f>
        <v/>
      </c>
      <c r="BX25" s="135" t="str">
        <f aca="false">IF(ISBLANK($C25),"",IF($BD25&lt;&gt;Constants!$B$6,"",IF($AU25="-&gt;",$AX25,$AO25)))</f>
        <v/>
      </c>
      <c r="BY25" s="135" t="str">
        <f aca="false">IF(ISBLANK($C25),"",IF($BD25&lt;&gt;Constants!$B$6,"",IF($AU25="-&gt;",$AY25,$AP25)))</f>
        <v/>
      </c>
      <c r="BZ25" s="135" t="str">
        <f aca="false">IF(ISBLANK($C25),"",IF($BD25&lt;&gt;Constants!$B$6,"",IF($AU25="-&gt;",$AZ25,$AQ25)+$BG25))</f>
        <v/>
      </c>
      <c r="CA25" s="136" t="str">
        <f aca="false">IF(ISBLANK($C25),"",IF($BD25&lt;&gt;Constants!$B$6,$BD25,$BH25))</f>
        <v/>
      </c>
      <c r="CB25" s="137" t="str">
        <f aca="false">IF(ISBLANK($C25),"",$BE25)</f>
        <v/>
      </c>
      <c r="CC25" s="138" t="str">
        <f aca="false">IF(ISBLANK($C25),"",$BS25)</f>
        <v/>
      </c>
      <c r="CD25" s="138" t="str">
        <f aca="false">IF(ISBLANK($C25),"",$BR25)</f>
        <v/>
      </c>
      <c r="CE25" s="139" t="str">
        <f aca="false">IF(ISBLANK($C25),"",IF($CD25=Constants!$B$9,COUNTA($C$9:$C$508)+2,IF($CD25=Constants!$B$8,COUNTA($C$9:$C$508)+1,IF($CD25=Constants!$B$7,COUNTA($C$9:$C$508),$CD25))))</f>
        <v/>
      </c>
      <c r="CF25" s="9"/>
      <c r="CG25" s="140" t="n">
        <f aca="false">IF(OR(ISNUMBER($CD25),$CD25=Constants!$B$9,$CD25=Constants!$B$7,$CD25=Constants!$B$8),1,0)</f>
        <v>0</v>
      </c>
      <c r="CH25" s="140" t="n">
        <v>17</v>
      </c>
      <c r="CI25" s="140" t="str">
        <f aca="false">IF(ISBLANK($C25),"",IF(ISNUMBER($CE25),$CE25+ROW($B25)/1000,""))</f>
        <v/>
      </c>
      <c r="CJ25" s="140" t="str">
        <f aca="false">IF(ISNUMBER($CI25),RANK($CI25,$CI$9:$CI$508,1),"")</f>
        <v/>
      </c>
      <c r="CK25" s="140" t="str">
        <f aca="false">IF(ISBLANK($C25),"",$B25)</f>
        <v/>
      </c>
      <c r="CL25" s="140" t="str">
        <f aca="false">IF(ISBLANK($C25),"",$C25)</f>
        <v/>
      </c>
      <c r="CM25" s="140" t="str">
        <f aca="false">IF(ISBLANK($C25),"",$D25)</f>
        <v/>
      </c>
      <c r="CN25" s="141" t="str">
        <f aca="false">$CB25</f>
        <v/>
      </c>
      <c r="CO25" s="142" t="str">
        <f aca="false">$CA25</f>
        <v/>
      </c>
      <c r="CP25" s="140" t="str">
        <f aca="false">IF(ISBLANK($C25),"",$CD25)</f>
        <v/>
      </c>
      <c r="CQ25" s="143" t="str">
        <f aca="false">IF($CH25&gt;$CG$8,"",VLOOKUP($CH25,$CJ$9:$CP$508,7,FALSE()))</f>
        <v/>
      </c>
      <c r="CR25" s="144" t="str">
        <f aca="false">IF($CH25&gt;$CG$8,"",VLOOKUP($CH25,$CJ$9:$CP$508,2,FALSE()))</f>
        <v/>
      </c>
      <c r="CS25" s="144" t="str">
        <f aca="false">IF($CH25&gt;$CG$8,"",VLOOKUP($CH25,$CJ$9:$CP$508,3,FALSE()))</f>
        <v/>
      </c>
      <c r="CT25" s="144" t="str">
        <f aca="false">IF($CH25&gt;$CG$8,"",VLOOKUP($CH25,$CJ$9:$CP$508,4,FALSE()))</f>
        <v/>
      </c>
      <c r="CU25" s="144" t="str">
        <f aca="false">IF($CH25&gt;$CG$8,"",VLOOKUP($CH25,$CJ$9:$CP$508,5,FALSE()))</f>
        <v/>
      </c>
      <c r="CV25" s="145" t="str">
        <f aca="false">IF($CH25&gt;$CG$8,"",VLOOKUP($CH25,$CJ$9:$CP$508,6,FALSE()))</f>
        <v/>
      </c>
      <c r="CW25" s="71"/>
    </row>
    <row r="26" customFormat="false" ht="15.75" hidden="false" customHeight="false" outlineLevel="0" collapsed="false">
      <c r="A26" s="9"/>
      <c r="B26" s="150"/>
      <c r="C26" s="151"/>
      <c r="D26" s="152"/>
      <c r="E26" s="153"/>
      <c r="F26" s="154"/>
      <c r="G26" s="155"/>
      <c r="H26" s="156"/>
      <c r="I26" s="157"/>
      <c r="J26" s="120"/>
      <c r="K26" s="121"/>
      <c r="L26" s="122"/>
      <c r="M26" s="158"/>
      <c r="N26" s="157"/>
      <c r="O26" s="157"/>
      <c r="P26" s="120"/>
      <c r="Q26" s="122"/>
      <c r="R26" s="122"/>
      <c r="S26" s="158"/>
      <c r="T26" s="159"/>
      <c r="U26" s="126"/>
      <c r="V26" s="127"/>
      <c r="W26" s="127" t="str">
        <f aca="false">IF(ISBLANK($C26),"",IF(E26=Constants!$B$2,TRUE(),IF(E26=Constants!$B$3,FALSE(),TRUE())))</f>
        <v/>
      </c>
      <c r="X26" s="127" t="str">
        <f aca="false">IF(ISBLANK($C26),"",IF(F26=Constants!$B$2,TRUE(),IF(F26=Constants!$B$3,FALSE(),TRUE())))</f>
        <v/>
      </c>
      <c r="Y26" s="127" t="str">
        <f aca="false">IF(ISBLANK($C26),"",IF(G26=Constants!$B$2,TRUE(),IF(G26=Constants!$B$3,FALSE(),TRUE())))</f>
        <v/>
      </c>
      <c r="Z26" s="127" t="str">
        <f aca="false">IF(ISBLANK($C26),"",IF(H26=Constants!$B$2,TRUE(),IF(H26=Constants!$B$3,FALSE(),TRUE())))</f>
        <v/>
      </c>
      <c r="AA26" s="127" t="str">
        <f aca="false">IF(ISBLANK($C26),"",IF(I26=Constants!$B$2,TRUE(),IF(I26=Constants!$B$3,FALSE(),TRUE())))</f>
        <v/>
      </c>
      <c r="AB26" s="127" t="str">
        <f aca="false">IF(ISBLANK($C26),"",IF(J26=Constants!$B$4,TRUE(),IF(J26=Constants!$B$5,FALSE(),COUNTA(K26:M26)&gt;0)))</f>
        <v/>
      </c>
      <c r="AC26" s="128" t="str">
        <f aca="false">IF(ISBLANK($C26),"",IF(ISNUMBER(K26),IF(K26&gt;=0,K26,""),""))</f>
        <v/>
      </c>
      <c r="AD26" s="129" t="str">
        <f aca="false">IF(ISBLANK($C26),"",IF(ISNUMBER(L26),IF(L26&gt;=0,L26,""),""))</f>
        <v/>
      </c>
      <c r="AE26" s="127" t="str">
        <f aca="false">IF(ISBLANK($C26),"",IF(ISNUMBER(M26),IF(M26&gt;=0,MIN(M26,Constants!$B$22),""),""))</f>
        <v/>
      </c>
      <c r="AF26" s="127" t="str">
        <f aca="false">IF(ISBLANK($C26),"",IF(N26=Constants!$B$2,TRUE(),IF(N26=Constants!$B$3,FALSE(),TRUE())))</f>
        <v/>
      </c>
      <c r="AG26" s="127" t="str">
        <f aca="false">IF(ISBLANK($C26),"",IF(O26=Constants!$B$2,TRUE(),IF(O26=Constants!$B$3,FALSE(),TRUE())))</f>
        <v/>
      </c>
      <c r="AH26" s="127" t="str">
        <f aca="false">IF(ISBLANK($C26),"",IF(P26=Constants!$B$4,TRUE(),IF(P26=Constants!$B$5,FALSE(),COUNTA(Q26:S26)&gt;0)))</f>
        <v/>
      </c>
      <c r="AI26" s="128" t="str">
        <f aca="false">IF(ISBLANK($C26),"",IF(ISNUMBER(Q26),IF(Q26&gt;=0,Q26,""),""))</f>
        <v/>
      </c>
      <c r="AJ26" s="129" t="str">
        <f aca="false">IF(ISBLANK($C26),"",IF(ISNUMBER(R26),IF(R26&gt;=0,R26,""),""))</f>
        <v/>
      </c>
      <c r="AK26" s="127" t="str">
        <f aca="false">IF(ISBLANK($C26),"",IF(ISNUMBER(S26),IF(S26&gt;=0,MIN(S26,Constants!$B$22),""),""))</f>
        <v/>
      </c>
      <c r="AL26" s="127" t="str">
        <f aca="false">IF(ISBLANK($C26),"",IF(T26=Constants!$B$2,TRUE(),IF(T26=Constants!$B$3,FALSE(),FALSE())))</f>
        <v/>
      </c>
      <c r="AM26" s="126" t="str">
        <f aca="false">IF(ISBLANK($C26),"",AND($AB26,OR($AC26="",$AD26="",AND(NOT(ISBLANK($M26)),$AE26=""))))</f>
        <v/>
      </c>
      <c r="AN26" s="129" t="str">
        <f aca="false">IF($BD26&lt;&gt;Constants!$B$6,"",IF($AB26,Constants!$B$17*$AD26,Constants!$B$18))</f>
        <v/>
      </c>
      <c r="AO26" s="130" t="str">
        <f aca="false">IF($BD26&lt;&gt;Constants!$B$6,"",Constants!$B$19*IF($AB26,$AC26,0))</f>
        <v/>
      </c>
      <c r="AP26" s="130" t="str">
        <f aca="false">IF($BD26&lt;&gt;Constants!$B$6,"",IF(AND($AB26,ISNUMBER($AE26)),Constants!$B$20*(Constants!$B$21-$AE26),0))</f>
        <v/>
      </c>
      <c r="AQ26" s="130" t="str">
        <f aca="false">IF($BD26&lt;&gt;Constants!$B$6,"",IF($AA26,0,Constants!$B$12)+IF($Z26,0,Constants!$B$13)+IF($Y26,0,Constants!$B$14))</f>
        <v/>
      </c>
      <c r="AR26" s="131" t="str">
        <f aca="false">IF($BD26&lt;&gt;Constants!$B$6,"",Constants!$B$16+SUM($AN26:$AQ26))</f>
        <v/>
      </c>
      <c r="AS26" s="130" t="str">
        <f aca="false">IF($BD26&lt;&gt;Constants!$B$6,"",IF($AB26,$AD26,""))</f>
        <v/>
      </c>
      <c r="AT26" s="132" t="str">
        <f aca="false">IF($BD26&lt;&gt;Constants!$B$6,"",$AO26)</f>
        <v/>
      </c>
      <c r="AU26" s="127" t="str">
        <f aca="false">IF($BD26&lt;&gt;Constants!$B$6,"",IF(OR($BA26&lt;$AR26,AND($BA26=$AR26,OR(AND(ISNUMBER($BB26),OR(NOT(ISNUMBER($AS26)),$BB26&lt;$AS26)),AND(OR(AND($BB26="",$AS26=""),AND(ISNUMBER($BB26),ISNUMBER($AS26),$BB26=$AS26)),$BC26&lt;$AT26)))),"-&gt;","&lt;-"))</f>
        <v/>
      </c>
      <c r="AV26" s="126" t="str">
        <f aca="false">IF(ISBLANK($C26),"",AND($AH26,OR($AI26="",$AJ26="",AND(NOT(ISBLANK($S26)),$AK26=""))))</f>
        <v/>
      </c>
      <c r="AW26" s="129" t="str">
        <f aca="false">IF($BD26&lt;&gt;Constants!$B$6,"",IF($AH26,Constants!$B$17*$AJ26,Constants!$B$18))</f>
        <v/>
      </c>
      <c r="AX26" s="130" t="str">
        <f aca="false">IF($BD26&lt;&gt;Constants!$B$6,"",Constants!$B$19*IF($AH26,$AI26,0))</f>
        <v/>
      </c>
      <c r="AY26" s="130" t="str">
        <f aca="false">IF($BD26&lt;&gt;Constants!$B$6,"",IF(AND($AH26,ISNUMBER($AK26)),Constants!$B$20*(Constants!$B$21-$AK26),0))</f>
        <v/>
      </c>
      <c r="AZ26" s="130" t="str">
        <f aca="false">IF($BD26&lt;&gt;Constants!$B$6,"",IF($AG26,0,Constants!$B$12)+IF($AF26,0,Constants!$B$13)+IF($Y26,0,Constants!$B$14))</f>
        <v/>
      </c>
      <c r="BA26" s="131" t="str">
        <f aca="false">IF($BD26&lt;&gt;Constants!$B$6,"",Constants!$B$16+SUM($AW26:$AZ26))</f>
        <v/>
      </c>
      <c r="BB26" s="130" t="str">
        <f aca="false">IF($BD26&lt;&gt;Constants!$B$6,"",IF($AH26,$AJ26,""))</f>
        <v/>
      </c>
      <c r="BC26" s="132" t="str">
        <f aca="false">IF($BD26&lt;&gt;Constants!$B$6,"",$AX26)</f>
        <v/>
      </c>
      <c r="BD26" s="127" t="str">
        <f aca="false">IF(ISBLANK($C26),"",IF($AL26,Constants!$B$9,IF(COUNTA($E26:$T26)=0,Constants!$B$8,IF(NOT($X26),Constants!$B$7,IF(OR($AM26,$AV26),Constants!$B$10,Constants!$B$6)))))</f>
        <v/>
      </c>
      <c r="BE26" s="127" t="str">
        <f aca="false">IF(ISBLANK($C26),"",IF($BD26&lt;&gt;Constants!$B$6,$BD26,Constants!$B$11))</f>
        <v/>
      </c>
      <c r="BF26" s="130" t="str">
        <f aca="false">IF($BD26&lt;&gt;Constants!$B$6,"",IF($AU26="-&gt;",$BA26,$AR26))</f>
        <v/>
      </c>
      <c r="BG26" s="130" t="str">
        <f aca="false">IF($BD26&lt;&gt;Constants!$B$6,"",IF($W26,0,Constants!$B$15))</f>
        <v/>
      </c>
      <c r="BH26" s="130" t="str">
        <f aca="false">IF(ISBLANK($C26),"",IF($BD26&lt;&gt;Constants!$B$6,$BD26,SUM($BF26:$BG26)))</f>
        <v/>
      </c>
      <c r="BI26" s="127" t="str">
        <f aca="false">IF(ISBLANK($C26),"",IF($BD26&lt;&gt;Constants!$B$6,$BD26,RANK($BH26,$BH$9:$BH$508,1)))</f>
        <v/>
      </c>
      <c r="BJ26" s="130" t="str">
        <f aca="false">IF($BD26&lt;&gt;Constants!$B$6,"",IF($AU26="-&gt;",$BB26,$AS26))</f>
        <v/>
      </c>
      <c r="BK26" s="127" t="str">
        <f aca="false">IF(ISBLANK($C26),"",IF($BD26&lt;&gt;Constants!$B$6,$BD26,IF(ISNUMBER($BJ26),RANK($BJ26,$BJ$9:$BJ$508,1),COUNT($BJ$9:$BJ$508)+1)))</f>
        <v/>
      </c>
      <c r="BL26" s="130" t="str">
        <f aca="false">IF($BD26&lt;&gt;Constants!$B$6,"",IF($AU26="-&gt;",$BC26,$AT26))</f>
        <v/>
      </c>
      <c r="BM26" s="127" t="str">
        <f aca="false">IF(ISBLANK($C26),"",IF($BD26&lt;&gt;Constants!$B$6,$BD26,IF(ISNUMBER($BL26),RANK($BL26,$BL$9:$BL$508,1),COUNT($BL$9:$BL$508)+1)))</f>
        <v/>
      </c>
      <c r="BN26" s="130" t="str">
        <f aca="false">IF($BD26&lt;&gt;Constants!$B$6,"",IF($AU26="-&gt;",$AS26,$BB26))</f>
        <v/>
      </c>
      <c r="BO26" s="127" t="str">
        <f aca="false">IF(ISBLANK($C26),"",IF($BD26&lt;&gt;Constants!$B$6,$BD26,IF(ISNUMBER($BN26),RANK($BN26,$BN$9:$BN$508,1),COUNT($BN$9:$BN$508)+1)))</f>
        <v/>
      </c>
      <c r="BP26" s="130" t="str">
        <f aca="false">IF($BD26&lt;&gt;Constants!$B$6,"",IF($AU26="-&gt;",$AT26,$BC26))</f>
        <v/>
      </c>
      <c r="BQ26" s="127" t="str">
        <f aca="false">IF(ISBLANK($C26),"",IF($BD26&lt;&gt;Constants!$B$6,$BD26,IF(ISNUMBER($BP26),RANK($BP26,$BP$9:$BP$508,1),COUNT($BP$9:$BP$508)+1)))</f>
        <v/>
      </c>
      <c r="BR26" s="127" t="str">
        <f aca="false">IF(ISBLANK($C26),"",IF($BD26&lt;&gt;Constants!$B$6,$BD26,COUNTIFS($BI$9:$BI$508,"&lt;"&amp;$BI26)+COUNTIFS($BI$9:$BI$508,$BI26,$BK$9:$BK$508,"&lt;"&amp;$BK26)+COUNTIFS($BI$9:$BI$508,$BI26,$BK$9:$BK$508,$BK26,$BM$9:$BM$508,"&lt;"&amp;$BM26)+COUNTIFS($BI$9:$BI$508,$BI26,$BK$9:$BK$508,$BK26,$BM$9:$BM$508,$BM26,$BO$9:$BO$508,"&lt;"&amp;$BO26)+COUNTIFS($BI$9:$BI$508,$BI26,$BK$9:$BK$508,$BK26,$BM$9:$BM$508,$BM26,$BO$9:$BO$508,$BO26,$BQ$9:$BQ$508,"&lt;"&amp;$BQ26)+1))</f>
        <v/>
      </c>
      <c r="BS26" s="127" t="str">
        <f aca="false">IF(ISBLANK($C26),"",IF($BD26&lt;&gt;Constants!$B$6,$BD26,$BI26-$BR26))</f>
        <v/>
      </c>
      <c r="BT26" s="133"/>
      <c r="BU26" s="134"/>
      <c r="BV26" s="134" t="str">
        <f aca="false">IF(ISBLANK($C26),"",IF($BD26&lt;&gt;Constants!$B$6,"",IF($AU26="-&gt;",2,1)))</f>
        <v/>
      </c>
      <c r="BW26" s="135" t="str">
        <f aca="false">IF(ISBLANK($C26),"",IF($BD26&lt;&gt;Constants!$B$6,"",IF($AU26="-&gt;",$AW26,$AN26)))</f>
        <v/>
      </c>
      <c r="BX26" s="135" t="str">
        <f aca="false">IF(ISBLANK($C26),"",IF($BD26&lt;&gt;Constants!$B$6,"",IF($AU26="-&gt;",$AX26,$AO26)))</f>
        <v/>
      </c>
      <c r="BY26" s="135" t="str">
        <f aca="false">IF(ISBLANK($C26),"",IF($BD26&lt;&gt;Constants!$B$6,"",IF($AU26="-&gt;",$AY26,$AP26)))</f>
        <v/>
      </c>
      <c r="BZ26" s="135" t="str">
        <f aca="false">IF(ISBLANK($C26),"",IF($BD26&lt;&gt;Constants!$B$6,"",IF($AU26="-&gt;",$AZ26,$AQ26)+$BG26))</f>
        <v/>
      </c>
      <c r="CA26" s="136" t="str">
        <f aca="false">IF(ISBLANK($C26),"",IF($BD26&lt;&gt;Constants!$B$6,$BD26,$BH26))</f>
        <v/>
      </c>
      <c r="CB26" s="137" t="str">
        <f aca="false">IF(ISBLANK($C26),"",$BE26)</f>
        <v/>
      </c>
      <c r="CC26" s="138" t="str">
        <f aca="false">IF(ISBLANK($C26),"",$BS26)</f>
        <v/>
      </c>
      <c r="CD26" s="138" t="str">
        <f aca="false">IF(ISBLANK($C26),"",$BR26)</f>
        <v/>
      </c>
      <c r="CE26" s="139" t="str">
        <f aca="false">IF(ISBLANK($C26),"",IF($CD26=Constants!$B$9,COUNTA($C$9:$C$508)+2,IF($CD26=Constants!$B$8,COUNTA($C$9:$C$508)+1,IF($CD26=Constants!$B$7,COUNTA($C$9:$C$508),$CD26))))</f>
        <v/>
      </c>
      <c r="CF26" s="9"/>
      <c r="CG26" s="140" t="n">
        <f aca="false">IF(OR(ISNUMBER($CD26),$CD26=Constants!$B$9,$CD26=Constants!$B$7,$CD26=Constants!$B$8),1,0)</f>
        <v>0</v>
      </c>
      <c r="CH26" s="140" t="n">
        <v>18</v>
      </c>
      <c r="CI26" s="140" t="str">
        <f aca="false">IF(ISBLANK($C26),"",IF(ISNUMBER($CE26),$CE26+ROW($B26)/1000,""))</f>
        <v/>
      </c>
      <c r="CJ26" s="140" t="str">
        <f aca="false">IF(ISNUMBER($CI26),RANK($CI26,$CI$9:$CI$508,1),"")</f>
        <v/>
      </c>
      <c r="CK26" s="140" t="str">
        <f aca="false">IF(ISBLANK($C26),"",$B26)</f>
        <v/>
      </c>
      <c r="CL26" s="140" t="str">
        <f aca="false">IF(ISBLANK($C26),"",$C26)</f>
        <v/>
      </c>
      <c r="CM26" s="140" t="str">
        <f aca="false">IF(ISBLANK($C26),"",$D26)</f>
        <v/>
      </c>
      <c r="CN26" s="141" t="str">
        <f aca="false">$CB26</f>
        <v/>
      </c>
      <c r="CO26" s="142" t="str">
        <f aca="false">$CA26</f>
        <v/>
      </c>
      <c r="CP26" s="140" t="str">
        <f aca="false">IF(ISBLANK($C26),"",$CD26)</f>
        <v/>
      </c>
      <c r="CQ26" s="143" t="str">
        <f aca="false">IF($CH26&gt;$CG$8,"",VLOOKUP($CH26,$CJ$9:$CP$508,7,FALSE()))</f>
        <v/>
      </c>
      <c r="CR26" s="144" t="str">
        <f aca="false">IF($CH26&gt;$CG$8,"",VLOOKUP($CH26,$CJ$9:$CP$508,2,FALSE()))</f>
        <v/>
      </c>
      <c r="CS26" s="144" t="str">
        <f aca="false">IF($CH26&gt;$CG$8,"",VLOOKUP($CH26,$CJ$9:$CP$508,3,FALSE()))</f>
        <v/>
      </c>
      <c r="CT26" s="144" t="str">
        <f aca="false">IF($CH26&gt;$CG$8,"",VLOOKUP($CH26,$CJ$9:$CP$508,4,FALSE()))</f>
        <v/>
      </c>
      <c r="CU26" s="144" t="str">
        <f aca="false">IF($CH26&gt;$CG$8,"",VLOOKUP($CH26,$CJ$9:$CP$508,5,FALSE()))</f>
        <v/>
      </c>
      <c r="CV26" s="145" t="str">
        <f aca="false">IF($CH26&gt;$CG$8,"",VLOOKUP($CH26,$CJ$9:$CP$508,6,FALSE()))</f>
        <v/>
      </c>
      <c r="CW26" s="71"/>
    </row>
    <row r="27" customFormat="false" ht="15.75" hidden="false" customHeight="false" outlineLevel="0" collapsed="false">
      <c r="A27" s="9"/>
      <c r="B27" s="72"/>
      <c r="C27" s="73"/>
      <c r="D27" s="160"/>
      <c r="E27" s="161"/>
      <c r="F27" s="162"/>
      <c r="G27" s="163"/>
      <c r="H27" s="164"/>
      <c r="I27" s="165"/>
      <c r="J27" s="80"/>
      <c r="K27" s="81"/>
      <c r="L27" s="82"/>
      <c r="M27" s="166"/>
      <c r="N27" s="165"/>
      <c r="O27" s="165"/>
      <c r="P27" s="80"/>
      <c r="Q27" s="82"/>
      <c r="R27" s="82"/>
      <c r="S27" s="166"/>
      <c r="T27" s="167"/>
      <c r="U27" s="86"/>
      <c r="V27" s="87"/>
      <c r="W27" s="87" t="str">
        <f aca="false">IF(ISBLANK($C27),"",IF(E27=Constants!$B$2,TRUE(),IF(E27=Constants!$B$3,FALSE(),TRUE())))</f>
        <v/>
      </c>
      <c r="X27" s="87" t="str">
        <f aca="false">IF(ISBLANK($C27),"",IF(F27=Constants!$B$2,TRUE(),IF(F27=Constants!$B$3,FALSE(),TRUE())))</f>
        <v/>
      </c>
      <c r="Y27" s="87" t="str">
        <f aca="false">IF(ISBLANK($C27),"",IF(G27=Constants!$B$2,TRUE(),IF(G27=Constants!$B$3,FALSE(),TRUE())))</f>
        <v/>
      </c>
      <c r="Z27" s="87" t="str">
        <f aca="false">IF(ISBLANK($C27),"",IF(H27=Constants!$B$2,TRUE(),IF(H27=Constants!$B$3,FALSE(),TRUE())))</f>
        <v/>
      </c>
      <c r="AA27" s="87" t="str">
        <f aca="false">IF(ISBLANK($C27),"",IF(I27=Constants!$B$2,TRUE(),IF(I27=Constants!$B$3,FALSE(),TRUE())))</f>
        <v/>
      </c>
      <c r="AB27" s="87" t="str">
        <f aca="false">IF(ISBLANK($C27),"",IF(J27=Constants!$B$4,TRUE(),IF(J27=Constants!$B$5,FALSE(),COUNTA(K27:M27)&gt;0)))</f>
        <v/>
      </c>
      <c r="AC27" s="88" t="str">
        <f aca="false">IF(ISBLANK($C27),"",IF(ISNUMBER(K27),IF(K27&gt;=0,K27,""),""))</f>
        <v/>
      </c>
      <c r="AD27" s="89" t="str">
        <f aca="false">IF(ISBLANK($C27),"",IF(ISNUMBER(L27),IF(L27&gt;=0,L27,""),""))</f>
        <v/>
      </c>
      <c r="AE27" s="87" t="str">
        <f aca="false">IF(ISBLANK($C27),"",IF(ISNUMBER(M27),IF(M27&gt;=0,MIN(M27,Constants!$B$22),""),""))</f>
        <v/>
      </c>
      <c r="AF27" s="87" t="str">
        <f aca="false">IF(ISBLANK($C27),"",IF(N27=Constants!$B$2,TRUE(),IF(N27=Constants!$B$3,FALSE(),TRUE())))</f>
        <v/>
      </c>
      <c r="AG27" s="87" t="str">
        <f aca="false">IF(ISBLANK($C27),"",IF(O27=Constants!$B$2,TRUE(),IF(O27=Constants!$B$3,FALSE(),TRUE())))</f>
        <v/>
      </c>
      <c r="AH27" s="87" t="str">
        <f aca="false">IF(ISBLANK($C27),"",IF(P27=Constants!$B$4,TRUE(),IF(P27=Constants!$B$5,FALSE(),COUNTA(Q27:S27)&gt;0)))</f>
        <v/>
      </c>
      <c r="AI27" s="88" t="str">
        <f aca="false">IF(ISBLANK($C27),"",IF(ISNUMBER(Q27),IF(Q27&gt;=0,Q27,""),""))</f>
        <v/>
      </c>
      <c r="AJ27" s="89" t="str">
        <f aca="false">IF(ISBLANK($C27),"",IF(ISNUMBER(R27),IF(R27&gt;=0,R27,""),""))</f>
        <v/>
      </c>
      <c r="AK27" s="87" t="str">
        <f aca="false">IF(ISBLANK($C27),"",IF(ISNUMBER(S27),IF(S27&gt;=0,MIN(S27,Constants!$B$22),""),""))</f>
        <v/>
      </c>
      <c r="AL27" s="87" t="str">
        <f aca="false">IF(ISBLANK($C27),"",IF(T27=Constants!$B$2,TRUE(),IF(T27=Constants!$B$3,FALSE(),FALSE())))</f>
        <v/>
      </c>
      <c r="AM27" s="86" t="str">
        <f aca="false">IF(ISBLANK($C27),"",AND($AB27,OR($AC27="",$AD27="",AND(NOT(ISBLANK($M27)),$AE27=""))))</f>
        <v/>
      </c>
      <c r="AN27" s="89" t="str">
        <f aca="false">IF($BD27&lt;&gt;Constants!$B$6,"",IF($AB27,Constants!$B$17*$AD27,Constants!$B$18))</f>
        <v/>
      </c>
      <c r="AO27" s="91" t="str">
        <f aca="false">IF($BD27&lt;&gt;Constants!$B$6,"",Constants!$B$19*IF($AB27,$AC27,0))</f>
        <v/>
      </c>
      <c r="AP27" s="91" t="str">
        <f aca="false">IF($BD27&lt;&gt;Constants!$B$6,"",IF(AND($AB27,ISNUMBER($AE27)),Constants!$B$20*(Constants!$B$21-$AE27),0))</f>
        <v/>
      </c>
      <c r="AQ27" s="91" t="str">
        <f aca="false">IF($BD27&lt;&gt;Constants!$B$6,"",IF($AA27,0,Constants!$B$12)+IF($Z27,0,Constants!$B$13)+IF($Y27,0,Constants!$B$14))</f>
        <v/>
      </c>
      <c r="AR27" s="92" t="str">
        <f aca="false">IF($BD27&lt;&gt;Constants!$B$6,"",Constants!$B$16+SUM($AN27:$AQ27))</f>
        <v/>
      </c>
      <c r="AS27" s="91" t="str">
        <f aca="false">IF($BD27&lt;&gt;Constants!$B$6,"",IF($AB27,$AD27,""))</f>
        <v/>
      </c>
      <c r="AT27" s="93" t="str">
        <f aca="false">IF($BD27&lt;&gt;Constants!$B$6,"",$AO27)</f>
        <v/>
      </c>
      <c r="AU27" s="87" t="str">
        <f aca="false">IF($BD27&lt;&gt;Constants!$B$6,"",IF(OR($BA27&lt;$AR27,AND($BA27=$AR27,OR(AND(ISNUMBER($BB27),OR(NOT(ISNUMBER($AS27)),$BB27&lt;$AS27)),AND(OR(AND($BB27="",$AS27=""),AND(ISNUMBER($BB27),ISNUMBER($AS27),$BB27=$AS27)),$BC27&lt;$AT27)))),"-&gt;","&lt;-"))</f>
        <v/>
      </c>
      <c r="AV27" s="86" t="str">
        <f aca="false">IF(ISBLANK($C27),"",AND($AH27,OR($AI27="",$AJ27="",AND(NOT(ISBLANK($S27)),$AK27=""))))</f>
        <v/>
      </c>
      <c r="AW27" s="89" t="str">
        <f aca="false">IF($BD27&lt;&gt;Constants!$B$6,"",IF($AH27,Constants!$B$17*$AJ27,Constants!$B$18))</f>
        <v/>
      </c>
      <c r="AX27" s="91" t="str">
        <f aca="false">IF($BD27&lt;&gt;Constants!$B$6,"",Constants!$B$19*IF($AH27,$AI27,0))</f>
        <v/>
      </c>
      <c r="AY27" s="91" t="str">
        <f aca="false">IF($BD27&lt;&gt;Constants!$B$6,"",IF(AND($AH27,ISNUMBER($AK27)),Constants!$B$20*(Constants!$B$21-$AK27),0))</f>
        <v/>
      </c>
      <c r="AZ27" s="91" t="str">
        <f aca="false">IF($BD27&lt;&gt;Constants!$B$6,"",IF($AG27,0,Constants!$B$12)+IF($AF27,0,Constants!$B$13)+IF($Y27,0,Constants!$B$14))</f>
        <v/>
      </c>
      <c r="BA27" s="92" t="str">
        <f aca="false">IF($BD27&lt;&gt;Constants!$B$6,"",Constants!$B$16+SUM($AW27:$AZ27))</f>
        <v/>
      </c>
      <c r="BB27" s="91" t="str">
        <f aca="false">IF($BD27&lt;&gt;Constants!$B$6,"",IF($AH27,$AJ27,""))</f>
        <v/>
      </c>
      <c r="BC27" s="93" t="str">
        <f aca="false">IF($BD27&lt;&gt;Constants!$B$6,"",$AX27)</f>
        <v/>
      </c>
      <c r="BD27" s="87" t="str">
        <f aca="false">IF(ISBLANK($C27),"",IF($AL27,Constants!$B$9,IF(COUNTA($E27:$T27)=0,Constants!$B$8,IF(NOT($X27),Constants!$B$7,IF(OR($AM27,$AV27),Constants!$B$10,Constants!$B$6)))))</f>
        <v/>
      </c>
      <c r="BE27" s="87" t="str">
        <f aca="false">IF(ISBLANK($C27),"",IF($BD27&lt;&gt;Constants!$B$6,$BD27,Constants!$B$11))</f>
        <v/>
      </c>
      <c r="BF27" s="91" t="str">
        <f aca="false">IF($BD27&lt;&gt;Constants!$B$6,"",IF($AU27="-&gt;",$BA27,$AR27))</f>
        <v/>
      </c>
      <c r="BG27" s="91" t="str">
        <f aca="false">IF($BD27&lt;&gt;Constants!$B$6,"",IF($W27,0,Constants!$B$15))</f>
        <v/>
      </c>
      <c r="BH27" s="91" t="str">
        <f aca="false">IF(ISBLANK($C27),"",IF($BD27&lt;&gt;Constants!$B$6,$BD27,SUM($BF27:$BG27)))</f>
        <v/>
      </c>
      <c r="BI27" s="87" t="str">
        <f aca="false">IF(ISBLANK($C27),"",IF($BD27&lt;&gt;Constants!$B$6,$BD27,RANK($BH27,$BH$9:$BH$508,1)))</f>
        <v/>
      </c>
      <c r="BJ27" s="91" t="str">
        <f aca="false">IF($BD27&lt;&gt;Constants!$B$6,"",IF($AU27="-&gt;",$BB27,$AS27))</f>
        <v/>
      </c>
      <c r="BK27" s="87" t="str">
        <f aca="false">IF(ISBLANK($C27),"",IF($BD27&lt;&gt;Constants!$B$6,$BD27,IF(ISNUMBER($BJ27),RANK($BJ27,$BJ$9:$BJ$508,1),COUNT($BJ$9:$BJ$508)+1)))</f>
        <v/>
      </c>
      <c r="BL27" s="91" t="str">
        <f aca="false">IF($BD27&lt;&gt;Constants!$B$6,"",IF($AU27="-&gt;",$BC27,$AT27))</f>
        <v/>
      </c>
      <c r="BM27" s="87" t="str">
        <f aca="false">IF(ISBLANK($C27),"",IF($BD27&lt;&gt;Constants!$B$6,$BD27,IF(ISNUMBER($BL27),RANK($BL27,$BL$9:$BL$508,1),COUNT($BL$9:$BL$508)+1)))</f>
        <v/>
      </c>
      <c r="BN27" s="91" t="str">
        <f aca="false">IF($BD27&lt;&gt;Constants!$B$6,"",IF($AU27="-&gt;",$AS27,$BB27))</f>
        <v/>
      </c>
      <c r="BO27" s="87" t="str">
        <f aca="false">IF(ISBLANK($C27),"",IF($BD27&lt;&gt;Constants!$B$6,$BD27,IF(ISNUMBER($BN27),RANK($BN27,$BN$9:$BN$508,1),COUNT($BN$9:$BN$508)+1)))</f>
        <v/>
      </c>
      <c r="BP27" s="91" t="str">
        <f aca="false">IF($BD27&lt;&gt;Constants!$B$6,"",IF($AU27="-&gt;",$AT27,$BC27))</f>
        <v/>
      </c>
      <c r="BQ27" s="87" t="str">
        <f aca="false">IF(ISBLANK($C27),"",IF($BD27&lt;&gt;Constants!$B$6,$BD27,IF(ISNUMBER($BP27),RANK($BP27,$BP$9:$BP$508,1),COUNT($BP$9:$BP$508)+1)))</f>
        <v/>
      </c>
      <c r="BR27" s="87" t="str">
        <f aca="false">IF(ISBLANK($C27),"",IF($BD27&lt;&gt;Constants!$B$6,$BD27,COUNTIFS($BI$9:$BI$508,"&lt;"&amp;$BI27)+COUNTIFS($BI$9:$BI$508,$BI27,$BK$9:$BK$508,"&lt;"&amp;$BK27)+COUNTIFS($BI$9:$BI$508,$BI27,$BK$9:$BK$508,$BK27,$BM$9:$BM$508,"&lt;"&amp;$BM27)+COUNTIFS($BI$9:$BI$508,$BI27,$BK$9:$BK$508,$BK27,$BM$9:$BM$508,$BM27,$BO$9:$BO$508,"&lt;"&amp;$BO27)+COUNTIFS($BI$9:$BI$508,$BI27,$BK$9:$BK$508,$BK27,$BM$9:$BM$508,$BM27,$BO$9:$BO$508,$BO27,$BQ$9:$BQ$508,"&lt;"&amp;$BQ27)+1))</f>
        <v/>
      </c>
      <c r="BS27" s="87" t="str">
        <f aca="false">IF(ISBLANK($C27),"",IF($BD27&lt;&gt;Constants!$B$6,$BD27,$BI27-$BR27))</f>
        <v/>
      </c>
      <c r="BT27" s="94"/>
      <c r="BU27" s="95"/>
      <c r="BV27" s="95" t="str">
        <f aca="false">IF(ISBLANK($C27),"",IF($BD27&lt;&gt;Constants!$B$6,"",IF($AU27="-&gt;",2,1)))</f>
        <v/>
      </c>
      <c r="BW27" s="96" t="str">
        <f aca="false">IF(ISBLANK($C27),"",IF($BD27&lt;&gt;Constants!$B$6,"",IF($AU27="-&gt;",$AW27,$AN27)))</f>
        <v/>
      </c>
      <c r="BX27" s="96" t="str">
        <f aca="false">IF(ISBLANK($C27),"",IF($BD27&lt;&gt;Constants!$B$6,"",IF($AU27="-&gt;",$AX27,$AO27)))</f>
        <v/>
      </c>
      <c r="BY27" s="96" t="str">
        <f aca="false">IF(ISBLANK($C27),"",IF($BD27&lt;&gt;Constants!$B$6,"",IF($AU27="-&gt;",$AY27,$AP27)))</f>
        <v/>
      </c>
      <c r="BZ27" s="96" t="str">
        <f aca="false">IF(ISBLANK($C27),"",IF($BD27&lt;&gt;Constants!$B$6,"",IF($AU27="-&gt;",$AZ27,$AQ27)+$BG27))</f>
        <v/>
      </c>
      <c r="CA27" s="97" t="str">
        <f aca="false">IF(ISBLANK($C27),"",IF($BD27&lt;&gt;Constants!$B$6,$BD27,$BH27))</f>
        <v/>
      </c>
      <c r="CB27" s="98" t="str">
        <f aca="false">IF(ISBLANK($C27),"",$BE27)</f>
        <v/>
      </c>
      <c r="CC27" s="99" t="str">
        <f aca="false">IF(ISBLANK($C27),"",$BS27)</f>
        <v/>
      </c>
      <c r="CD27" s="99" t="str">
        <f aca="false">IF(ISBLANK($C27),"",$BR27)</f>
        <v/>
      </c>
      <c r="CE27" s="100" t="str">
        <f aca="false">IF(ISBLANK($C27),"",IF($CD27=Constants!$B$9,COUNTA($C$9:$C$508)+2,IF($CD27=Constants!$B$8,COUNTA($C$9:$C$508)+1,IF($CD27=Constants!$B$7,COUNTA($C$9:$C$508),$CD27))))</f>
        <v/>
      </c>
      <c r="CF27" s="9"/>
      <c r="CG27" s="101" t="n">
        <f aca="false">IF(OR(ISNUMBER($CD27),$CD27=Constants!$B$9,$CD27=Constants!$B$7,$CD27=Constants!$B$8),1,0)</f>
        <v>0</v>
      </c>
      <c r="CH27" s="101" t="n">
        <v>19</v>
      </c>
      <c r="CI27" s="101" t="str">
        <f aca="false">IF(ISBLANK($C27),"",IF(ISNUMBER($CE27),$CE27+ROW($B27)/1000,""))</f>
        <v/>
      </c>
      <c r="CJ27" s="101" t="str">
        <f aca="false">IF(ISNUMBER($CI27),RANK($CI27,$CI$9:$CI$508,1),"")</f>
        <v/>
      </c>
      <c r="CK27" s="101" t="str">
        <f aca="false">IF(ISBLANK($C27),"",$B27)</f>
        <v/>
      </c>
      <c r="CL27" s="101" t="str">
        <f aca="false">IF(ISBLANK($C27),"",$C27)</f>
        <v/>
      </c>
      <c r="CM27" s="101" t="str">
        <f aca="false">IF(ISBLANK($C27),"",$D27)</f>
        <v/>
      </c>
      <c r="CN27" s="102" t="str">
        <f aca="false">$CB27</f>
        <v/>
      </c>
      <c r="CO27" s="103" t="str">
        <f aca="false">$CA27</f>
        <v/>
      </c>
      <c r="CP27" s="101" t="str">
        <f aca="false">IF(ISBLANK($C27),"",$CD27)</f>
        <v/>
      </c>
      <c r="CQ27" s="104" t="str">
        <f aca="false">IF($CH27&gt;$CG$8,"",VLOOKUP($CH27,$CJ$9:$CP$508,7,FALSE()))</f>
        <v/>
      </c>
      <c r="CR27" s="105" t="str">
        <f aca="false">IF($CH27&gt;$CG$8,"",VLOOKUP($CH27,$CJ$9:$CP$508,2,FALSE()))</f>
        <v/>
      </c>
      <c r="CS27" s="105" t="str">
        <f aca="false">IF($CH27&gt;$CG$8,"",VLOOKUP($CH27,$CJ$9:$CP$508,3,FALSE()))</f>
        <v/>
      </c>
      <c r="CT27" s="105" t="str">
        <f aca="false">IF($CH27&gt;$CG$8,"",VLOOKUP($CH27,$CJ$9:$CP$508,4,FALSE()))</f>
        <v/>
      </c>
      <c r="CU27" s="105" t="str">
        <f aca="false">IF($CH27&gt;$CG$8,"",VLOOKUP($CH27,$CJ$9:$CP$508,5,FALSE()))</f>
        <v/>
      </c>
      <c r="CV27" s="106" t="str">
        <f aca="false">IF($CH27&gt;$CG$8,"",VLOOKUP($CH27,$CJ$9:$CP$508,6,FALSE()))</f>
        <v/>
      </c>
      <c r="CW27" s="71"/>
    </row>
    <row r="28" customFormat="false" ht="15.75" hidden="false" customHeight="false" outlineLevel="0" collapsed="false">
      <c r="A28" s="9"/>
      <c r="B28" s="72"/>
      <c r="C28" s="73"/>
      <c r="D28" s="160"/>
      <c r="E28" s="161"/>
      <c r="F28" s="162"/>
      <c r="G28" s="163"/>
      <c r="H28" s="164"/>
      <c r="I28" s="165"/>
      <c r="J28" s="80"/>
      <c r="K28" s="81"/>
      <c r="L28" s="82"/>
      <c r="M28" s="166"/>
      <c r="N28" s="165"/>
      <c r="O28" s="165"/>
      <c r="P28" s="80"/>
      <c r="Q28" s="82"/>
      <c r="R28" s="82"/>
      <c r="S28" s="166"/>
      <c r="T28" s="167"/>
      <c r="U28" s="86"/>
      <c r="V28" s="87"/>
      <c r="W28" s="87" t="str">
        <f aca="false">IF(ISBLANK($C28),"",IF(E28=Constants!$B$2,TRUE(),IF(E28=Constants!$B$3,FALSE(),TRUE())))</f>
        <v/>
      </c>
      <c r="X28" s="87" t="str">
        <f aca="false">IF(ISBLANK($C28),"",IF(F28=Constants!$B$2,TRUE(),IF(F28=Constants!$B$3,FALSE(),TRUE())))</f>
        <v/>
      </c>
      <c r="Y28" s="87" t="str">
        <f aca="false">IF(ISBLANK($C28),"",IF(G28=Constants!$B$2,TRUE(),IF(G28=Constants!$B$3,FALSE(),TRUE())))</f>
        <v/>
      </c>
      <c r="Z28" s="87" t="str">
        <f aca="false">IF(ISBLANK($C28),"",IF(H28=Constants!$B$2,TRUE(),IF(H28=Constants!$B$3,FALSE(),TRUE())))</f>
        <v/>
      </c>
      <c r="AA28" s="87" t="str">
        <f aca="false">IF(ISBLANK($C28),"",IF(I28=Constants!$B$2,TRUE(),IF(I28=Constants!$B$3,FALSE(),TRUE())))</f>
        <v/>
      </c>
      <c r="AB28" s="87" t="str">
        <f aca="false">IF(ISBLANK($C28),"",IF(J28=Constants!$B$4,TRUE(),IF(J28=Constants!$B$5,FALSE(),COUNTA(K28:M28)&gt;0)))</f>
        <v/>
      </c>
      <c r="AC28" s="88" t="str">
        <f aca="false">IF(ISBLANK($C28),"",IF(ISNUMBER(K28),IF(K28&gt;=0,K28,""),""))</f>
        <v/>
      </c>
      <c r="AD28" s="89" t="str">
        <f aca="false">IF(ISBLANK($C28),"",IF(ISNUMBER(L28),IF(L28&gt;=0,L28,""),""))</f>
        <v/>
      </c>
      <c r="AE28" s="87" t="str">
        <f aca="false">IF(ISBLANK($C28),"",IF(ISNUMBER(M28),IF(M28&gt;=0,MIN(M28,Constants!$B$22),""),""))</f>
        <v/>
      </c>
      <c r="AF28" s="87" t="str">
        <f aca="false">IF(ISBLANK($C28),"",IF(N28=Constants!$B$2,TRUE(),IF(N28=Constants!$B$3,FALSE(),TRUE())))</f>
        <v/>
      </c>
      <c r="AG28" s="87" t="str">
        <f aca="false">IF(ISBLANK($C28),"",IF(O28=Constants!$B$2,TRUE(),IF(O28=Constants!$B$3,FALSE(),TRUE())))</f>
        <v/>
      </c>
      <c r="AH28" s="87" t="str">
        <f aca="false">IF(ISBLANK($C28),"",IF(P28=Constants!$B$4,TRUE(),IF(P28=Constants!$B$5,FALSE(),COUNTA(Q28:S28)&gt;0)))</f>
        <v/>
      </c>
      <c r="AI28" s="88" t="str">
        <f aca="false">IF(ISBLANK($C28),"",IF(ISNUMBER(Q28),IF(Q28&gt;=0,Q28,""),""))</f>
        <v/>
      </c>
      <c r="AJ28" s="89" t="str">
        <f aca="false">IF(ISBLANK($C28),"",IF(ISNUMBER(R28),IF(R28&gt;=0,R28,""),""))</f>
        <v/>
      </c>
      <c r="AK28" s="87" t="str">
        <f aca="false">IF(ISBLANK($C28),"",IF(ISNUMBER(S28),IF(S28&gt;=0,MIN(S28,Constants!$B$22),""),""))</f>
        <v/>
      </c>
      <c r="AL28" s="87" t="str">
        <f aca="false">IF(ISBLANK($C28),"",IF(T28=Constants!$B$2,TRUE(),IF(T28=Constants!$B$3,FALSE(),FALSE())))</f>
        <v/>
      </c>
      <c r="AM28" s="86" t="str">
        <f aca="false">IF(ISBLANK($C28),"",AND($AB28,OR($AC28="",$AD28="",AND(NOT(ISBLANK($M28)),$AE28=""))))</f>
        <v/>
      </c>
      <c r="AN28" s="89" t="str">
        <f aca="false">IF($BD28&lt;&gt;Constants!$B$6,"",IF($AB28,Constants!$B$17*$AD28,Constants!$B$18))</f>
        <v/>
      </c>
      <c r="AO28" s="91" t="str">
        <f aca="false">IF($BD28&lt;&gt;Constants!$B$6,"",Constants!$B$19*IF($AB28,$AC28,0))</f>
        <v/>
      </c>
      <c r="AP28" s="91" t="str">
        <f aca="false">IF($BD28&lt;&gt;Constants!$B$6,"",IF(AND($AB28,ISNUMBER($AE28)),Constants!$B$20*(Constants!$B$21-$AE28),0))</f>
        <v/>
      </c>
      <c r="AQ28" s="91" t="str">
        <f aca="false">IF($BD28&lt;&gt;Constants!$B$6,"",IF($AA28,0,Constants!$B$12)+IF($Z28,0,Constants!$B$13)+IF($Y28,0,Constants!$B$14))</f>
        <v/>
      </c>
      <c r="AR28" s="92" t="str">
        <f aca="false">IF($BD28&lt;&gt;Constants!$B$6,"",Constants!$B$16+SUM($AN28:$AQ28))</f>
        <v/>
      </c>
      <c r="AS28" s="91" t="str">
        <f aca="false">IF($BD28&lt;&gt;Constants!$B$6,"",IF($AB28,$AD28,""))</f>
        <v/>
      </c>
      <c r="AT28" s="93" t="str">
        <f aca="false">IF($BD28&lt;&gt;Constants!$B$6,"",$AO28)</f>
        <v/>
      </c>
      <c r="AU28" s="87" t="str">
        <f aca="false">IF($BD28&lt;&gt;Constants!$B$6,"",IF(OR($BA28&lt;$AR28,AND($BA28=$AR28,OR(AND(ISNUMBER($BB28),OR(NOT(ISNUMBER($AS28)),$BB28&lt;$AS28)),AND(OR(AND($BB28="",$AS28=""),AND(ISNUMBER($BB28),ISNUMBER($AS28),$BB28=$AS28)),$BC28&lt;$AT28)))),"-&gt;","&lt;-"))</f>
        <v/>
      </c>
      <c r="AV28" s="86" t="str">
        <f aca="false">IF(ISBLANK($C28),"",AND($AH28,OR($AI28="",$AJ28="",AND(NOT(ISBLANK($S28)),$AK28=""))))</f>
        <v/>
      </c>
      <c r="AW28" s="89" t="str">
        <f aca="false">IF($BD28&lt;&gt;Constants!$B$6,"",IF($AH28,Constants!$B$17*$AJ28,Constants!$B$18))</f>
        <v/>
      </c>
      <c r="AX28" s="91" t="str">
        <f aca="false">IF($BD28&lt;&gt;Constants!$B$6,"",Constants!$B$19*IF($AH28,$AI28,0))</f>
        <v/>
      </c>
      <c r="AY28" s="91" t="str">
        <f aca="false">IF($BD28&lt;&gt;Constants!$B$6,"",IF(AND($AH28,ISNUMBER($AK28)),Constants!$B$20*(Constants!$B$21-$AK28),0))</f>
        <v/>
      </c>
      <c r="AZ28" s="91" t="str">
        <f aca="false">IF($BD28&lt;&gt;Constants!$B$6,"",IF($AG28,0,Constants!$B$12)+IF($AF28,0,Constants!$B$13)+IF($Y28,0,Constants!$B$14))</f>
        <v/>
      </c>
      <c r="BA28" s="92" t="str">
        <f aca="false">IF($BD28&lt;&gt;Constants!$B$6,"",Constants!$B$16+SUM($AW28:$AZ28))</f>
        <v/>
      </c>
      <c r="BB28" s="91" t="str">
        <f aca="false">IF($BD28&lt;&gt;Constants!$B$6,"",IF($AH28,$AJ28,""))</f>
        <v/>
      </c>
      <c r="BC28" s="93" t="str">
        <f aca="false">IF($BD28&lt;&gt;Constants!$B$6,"",$AX28)</f>
        <v/>
      </c>
      <c r="BD28" s="87" t="str">
        <f aca="false">IF(ISBLANK($C28),"",IF($AL28,Constants!$B$9,IF(COUNTA($E28:$T28)=0,Constants!$B$8,IF(NOT($X28),Constants!$B$7,IF(OR($AM28,$AV28),Constants!$B$10,Constants!$B$6)))))</f>
        <v/>
      </c>
      <c r="BE28" s="87" t="str">
        <f aca="false">IF(ISBLANK($C28),"",IF($BD28&lt;&gt;Constants!$B$6,$BD28,Constants!$B$11))</f>
        <v/>
      </c>
      <c r="BF28" s="91" t="str">
        <f aca="false">IF($BD28&lt;&gt;Constants!$B$6,"",IF($AU28="-&gt;",$BA28,$AR28))</f>
        <v/>
      </c>
      <c r="BG28" s="91" t="str">
        <f aca="false">IF($BD28&lt;&gt;Constants!$B$6,"",IF($W28,0,Constants!$B$15))</f>
        <v/>
      </c>
      <c r="BH28" s="91" t="str">
        <f aca="false">IF(ISBLANK($C28),"",IF($BD28&lt;&gt;Constants!$B$6,$BD28,SUM($BF28:$BG28)))</f>
        <v/>
      </c>
      <c r="BI28" s="87" t="str">
        <f aca="false">IF(ISBLANK($C28),"",IF($BD28&lt;&gt;Constants!$B$6,$BD28,RANK($BH28,$BH$9:$BH$508,1)))</f>
        <v/>
      </c>
      <c r="BJ28" s="91" t="str">
        <f aca="false">IF($BD28&lt;&gt;Constants!$B$6,"",IF($AU28="-&gt;",$BB28,$AS28))</f>
        <v/>
      </c>
      <c r="BK28" s="87" t="str">
        <f aca="false">IF(ISBLANK($C28),"",IF($BD28&lt;&gt;Constants!$B$6,$BD28,IF(ISNUMBER($BJ28),RANK($BJ28,$BJ$9:$BJ$508,1),COUNT($BJ$9:$BJ$508)+1)))</f>
        <v/>
      </c>
      <c r="BL28" s="91" t="str">
        <f aca="false">IF($BD28&lt;&gt;Constants!$B$6,"",IF($AU28="-&gt;",$BC28,$AT28))</f>
        <v/>
      </c>
      <c r="BM28" s="87" t="str">
        <f aca="false">IF(ISBLANK($C28),"",IF($BD28&lt;&gt;Constants!$B$6,$BD28,IF(ISNUMBER($BL28),RANK($BL28,$BL$9:$BL$508,1),COUNT($BL$9:$BL$508)+1)))</f>
        <v/>
      </c>
      <c r="BN28" s="91" t="str">
        <f aca="false">IF($BD28&lt;&gt;Constants!$B$6,"",IF($AU28="-&gt;",$AS28,$BB28))</f>
        <v/>
      </c>
      <c r="BO28" s="87" t="str">
        <f aca="false">IF(ISBLANK($C28),"",IF($BD28&lt;&gt;Constants!$B$6,$BD28,IF(ISNUMBER($BN28),RANK($BN28,$BN$9:$BN$508,1),COUNT($BN$9:$BN$508)+1)))</f>
        <v/>
      </c>
      <c r="BP28" s="91" t="str">
        <f aca="false">IF($BD28&lt;&gt;Constants!$B$6,"",IF($AU28="-&gt;",$AT28,$BC28))</f>
        <v/>
      </c>
      <c r="BQ28" s="87" t="str">
        <f aca="false">IF(ISBLANK($C28),"",IF($BD28&lt;&gt;Constants!$B$6,$BD28,IF(ISNUMBER($BP28),RANK($BP28,$BP$9:$BP$508,1),COUNT($BP$9:$BP$508)+1)))</f>
        <v/>
      </c>
      <c r="BR28" s="87" t="str">
        <f aca="false">IF(ISBLANK($C28),"",IF($BD28&lt;&gt;Constants!$B$6,$BD28,COUNTIFS($BI$9:$BI$508,"&lt;"&amp;$BI28)+COUNTIFS($BI$9:$BI$508,$BI28,$BK$9:$BK$508,"&lt;"&amp;$BK28)+COUNTIFS($BI$9:$BI$508,$BI28,$BK$9:$BK$508,$BK28,$BM$9:$BM$508,"&lt;"&amp;$BM28)+COUNTIFS($BI$9:$BI$508,$BI28,$BK$9:$BK$508,$BK28,$BM$9:$BM$508,$BM28,$BO$9:$BO$508,"&lt;"&amp;$BO28)+COUNTIFS($BI$9:$BI$508,$BI28,$BK$9:$BK$508,$BK28,$BM$9:$BM$508,$BM28,$BO$9:$BO$508,$BO28,$BQ$9:$BQ$508,"&lt;"&amp;$BQ28)+1))</f>
        <v/>
      </c>
      <c r="BS28" s="87" t="str">
        <f aca="false">IF(ISBLANK($C28),"",IF($BD28&lt;&gt;Constants!$B$6,$BD28,$BI28-$BR28))</f>
        <v/>
      </c>
      <c r="BT28" s="94"/>
      <c r="BU28" s="95"/>
      <c r="BV28" s="95" t="str">
        <f aca="false">IF(ISBLANK($C28),"",IF($BD28&lt;&gt;Constants!$B$6,"",IF($AU28="-&gt;",2,1)))</f>
        <v/>
      </c>
      <c r="BW28" s="96" t="str">
        <f aca="false">IF(ISBLANK($C28),"",IF($BD28&lt;&gt;Constants!$B$6,"",IF($AU28="-&gt;",$AW28,$AN28)))</f>
        <v/>
      </c>
      <c r="BX28" s="96" t="str">
        <f aca="false">IF(ISBLANK($C28),"",IF($BD28&lt;&gt;Constants!$B$6,"",IF($AU28="-&gt;",$AX28,$AO28)))</f>
        <v/>
      </c>
      <c r="BY28" s="96" t="str">
        <f aca="false">IF(ISBLANK($C28),"",IF($BD28&lt;&gt;Constants!$B$6,"",IF($AU28="-&gt;",$AY28,$AP28)))</f>
        <v/>
      </c>
      <c r="BZ28" s="96" t="str">
        <f aca="false">IF(ISBLANK($C28),"",IF($BD28&lt;&gt;Constants!$B$6,"",IF($AU28="-&gt;",$AZ28,$AQ28)+$BG28))</f>
        <v/>
      </c>
      <c r="CA28" s="97" t="str">
        <f aca="false">IF(ISBLANK($C28),"",IF($BD28&lt;&gt;Constants!$B$6,$BD28,$BH28))</f>
        <v/>
      </c>
      <c r="CB28" s="98" t="str">
        <f aca="false">IF(ISBLANK($C28),"",$BE28)</f>
        <v/>
      </c>
      <c r="CC28" s="99" t="str">
        <f aca="false">IF(ISBLANK($C28),"",$BS28)</f>
        <v/>
      </c>
      <c r="CD28" s="99" t="str">
        <f aca="false">IF(ISBLANK($C28),"",$BR28)</f>
        <v/>
      </c>
      <c r="CE28" s="100" t="str">
        <f aca="false">IF(ISBLANK($C28),"",IF($CD28=Constants!$B$9,COUNTA($C$9:$C$508)+2,IF($CD28=Constants!$B$8,COUNTA($C$9:$C$508)+1,IF($CD28=Constants!$B$7,COUNTA($C$9:$C$508),$CD28))))</f>
        <v/>
      </c>
      <c r="CF28" s="9"/>
      <c r="CG28" s="101" t="n">
        <f aca="false">IF(OR(ISNUMBER($CD28),$CD28=Constants!$B$9,$CD28=Constants!$B$7,$CD28=Constants!$B$8),1,0)</f>
        <v>0</v>
      </c>
      <c r="CH28" s="101" t="n">
        <v>20</v>
      </c>
      <c r="CI28" s="101" t="str">
        <f aca="false">IF(ISBLANK($C28),"",IF(ISNUMBER($CE28),$CE28+ROW($B28)/1000,""))</f>
        <v/>
      </c>
      <c r="CJ28" s="101" t="str">
        <f aca="false">IF(ISNUMBER($CI28),RANK($CI28,$CI$9:$CI$508,1),"")</f>
        <v/>
      </c>
      <c r="CK28" s="101" t="str">
        <f aca="false">IF(ISBLANK($C28),"",$B28)</f>
        <v/>
      </c>
      <c r="CL28" s="101" t="str">
        <f aca="false">IF(ISBLANK($C28),"",$C28)</f>
        <v/>
      </c>
      <c r="CM28" s="101" t="str">
        <f aca="false">IF(ISBLANK($C28),"",$D28)</f>
        <v/>
      </c>
      <c r="CN28" s="102" t="str">
        <f aca="false">$CB28</f>
        <v/>
      </c>
      <c r="CO28" s="103" t="str">
        <f aca="false">$CA28</f>
        <v/>
      </c>
      <c r="CP28" s="101" t="str">
        <f aca="false">IF(ISBLANK($C28),"",$CD28)</f>
        <v/>
      </c>
      <c r="CQ28" s="104" t="str">
        <f aca="false">IF($CH28&gt;$CG$8,"",VLOOKUP($CH28,$CJ$9:$CP$508,7,FALSE()))</f>
        <v/>
      </c>
      <c r="CR28" s="105" t="str">
        <f aca="false">IF($CH28&gt;$CG$8,"",VLOOKUP($CH28,$CJ$9:$CP$508,2,FALSE()))</f>
        <v/>
      </c>
      <c r="CS28" s="105" t="str">
        <f aca="false">IF($CH28&gt;$CG$8,"",VLOOKUP($CH28,$CJ$9:$CP$508,3,FALSE()))</f>
        <v/>
      </c>
      <c r="CT28" s="105" t="str">
        <f aca="false">IF($CH28&gt;$CG$8,"",VLOOKUP($CH28,$CJ$9:$CP$508,4,FALSE()))</f>
        <v/>
      </c>
      <c r="CU28" s="105" t="str">
        <f aca="false">IF($CH28&gt;$CG$8,"",VLOOKUP($CH28,$CJ$9:$CP$508,5,FALSE()))</f>
        <v/>
      </c>
      <c r="CV28" s="106" t="str">
        <f aca="false">IF($CH28&gt;$CG$8,"",VLOOKUP($CH28,$CJ$9:$CP$508,6,FALSE()))</f>
        <v/>
      </c>
      <c r="CW28" s="71"/>
    </row>
    <row r="29" customFormat="false" ht="15.75" hidden="false" customHeight="false" outlineLevel="0" collapsed="false">
      <c r="A29" s="9"/>
      <c r="B29" s="72"/>
      <c r="C29" s="73"/>
      <c r="D29" s="160"/>
      <c r="E29" s="161"/>
      <c r="F29" s="162"/>
      <c r="G29" s="163"/>
      <c r="H29" s="164"/>
      <c r="I29" s="165"/>
      <c r="J29" s="80"/>
      <c r="K29" s="81"/>
      <c r="L29" s="82"/>
      <c r="M29" s="166"/>
      <c r="N29" s="165"/>
      <c r="O29" s="165"/>
      <c r="P29" s="80"/>
      <c r="Q29" s="82"/>
      <c r="R29" s="82"/>
      <c r="S29" s="166"/>
      <c r="T29" s="167"/>
      <c r="U29" s="86"/>
      <c r="V29" s="87"/>
      <c r="W29" s="87" t="str">
        <f aca="false">IF(ISBLANK($C29),"",IF(E29=Constants!$B$2,TRUE(),IF(E29=Constants!$B$3,FALSE(),TRUE())))</f>
        <v/>
      </c>
      <c r="X29" s="87" t="str">
        <f aca="false">IF(ISBLANK($C29),"",IF(F29=Constants!$B$2,TRUE(),IF(F29=Constants!$B$3,FALSE(),TRUE())))</f>
        <v/>
      </c>
      <c r="Y29" s="87" t="str">
        <f aca="false">IF(ISBLANK($C29),"",IF(G29=Constants!$B$2,TRUE(),IF(G29=Constants!$B$3,FALSE(),TRUE())))</f>
        <v/>
      </c>
      <c r="Z29" s="87" t="str">
        <f aca="false">IF(ISBLANK($C29),"",IF(H29=Constants!$B$2,TRUE(),IF(H29=Constants!$B$3,FALSE(),TRUE())))</f>
        <v/>
      </c>
      <c r="AA29" s="87" t="str">
        <f aca="false">IF(ISBLANK($C29),"",IF(I29=Constants!$B$2,TRUE(),IF(I29=Constants!$B$3,FALSE(),TRUE())))</f>
        <v/>
      </c>
      <c r="AB29" s="87" t="str">
        <f aca="false">IF(ISBLANK($C29),"",IF(J29=Constants!$B$4,TRUE(),IF(J29=Constants!$B$5,FALSE(),COUNTA(K29:M29)&gt;0)))</f>
        <v/>
      </c>
      <c r="AC29" s="88" t="str">
        <f aca="false">IF(ISBLANK($C29),"",IF(ISNUMBER(K29),IF(K29&gt;=0,K29,""),""))</f>
        <v/>
      </c>
      <c r="AD29" s="89" t="str">
        <f aca="false">IF(ISBLANK($C29),"",IF(ISNUMBER(L29),IF(L29&gt;=0,L29,""),""))</f>
        <v/>
      </c>
      <c r="AE29" s="87" t="str">
        <f aca="false">IF(ISBLANK($C29),"",IF(ISNUMBER(M29),IF(M29&gt;=0,MIN(M29,Constants!$B$22),""),""))</f>
        <v/>
      </c>
      <c r="AF29" s="87" t="str">
        <f aca="false">IF(ISBLANK($C29),"",IF(N29=Constants!$B$2,TRUE(),IF(N29=Constants!$B$3,FALSE(),TRUE())))</f>
        <v/>
      </c>
      <c r="AG29" s="87" t="str">
        <f aca="false">IF(ISBLANK($C29),"",IF(O29=Constants!$B$2,TRUE(),IF(O29=Constants!$B$3,FALSE(),TRUE())))</f>
        <v/>
      </c>
      <c r="AH29" s="87" t="str">
        <f aca="false">IF(ISBLANK($C29),"",IF(P29=Constants!$B$4,TRUE(),IF(P29=Constants!$B$5,FALSE(),COUNTA(Q29:S29)&gt;0)))</f>
        <v/>
      </c>
      <c r="AI29" s="88" t="str">
        <f aca="false">IF(ISBLANK($C29),"",IF(ISNUMBER(Q29),IF(Q29&gt;=0,Q29,""),""))</f>
        <v/>
      </c>
      <c r="AJ29" s="89" t="str">
        <f aca="false">IF(ISBLANK($C29),"",IF(ISNUMBER(R29),IF(R29&gt;=0,R29,""),""))</f>
        <v/>
      </c>
      <c r="AK29" s="87" t="str">
        <f aca="false">IF(ISBLANK($C29),"",IF(ISNUMBER(S29),IF(S29&gt;=0,MIN(S29,Constants!$B$22),""),""))</f>
        <v/>
      </c>
      <c r="AL29" s="87" t="str">
        <f aca="false">IF(ISBLANK($C29),"",IF(T29=Constants!$B$2,TRUE(),IF(T29=Constants!$B$3,FALSE(),FALSE())))</f>
        <v/>
      </c>
      <c r="AM29" s="86" t="str">
        <f aca="false">IF(ISBLANK($C29),"",AND($AB29,OR($AC29="",$AD29="",AND(NOT(ISBLANK($M29)),$AE29=""))))</f>
        <v/>
      </c>
      <c r="AN29" s="89" t="str">
        <f aca="false">IF($BD29&lt;&gt;Constants!$B$6,"",IF($AB29,Constants!$B$17*$AD29,Constants!$B$18))</f>
        <v/>
      </c>
      <c r="AO29" s="91" t="str">
        <f aca="false">IF($BD29&lt;&gt;Constants!$B$6,"",Constants!$B$19*IF($AB29,$AC29,0))</f>
        <v/>
      </c>
      <c r="AP29" s="91" t="str">
        <f aca="false">IF($BD29&lt;&gt;Constants!$B$6,"",IF(AND($AB29,ISNUMBER($AE29)),Constants!$B$20*(Constants!$B$21-$AE29),0))</f>
        <v/>
      </c>
      <c r="AQ29" s="91" t="str">
        <f aca="false">IF($BD29&lt;&gt;Constants!$B$6,"",IF($AA29,0,Constants!$B$12)+IF($Z29,0,Constants!$B$13)+IF($Y29,0,Constants!$B$14))</f>
        <v/>
      </c>
      <c r="AR29" s="92" t="str">
        <f aca="false">IF($BD29&lt;&gt;Constants!$B$6,"",Constants!$B$16+SUM($AN29:$AQ29))</f>
        <v/>
      </c>
      <c r="AS29" s="91" t="str">
        <f aca="false">IF($BD29&lt;&gt;Constants!$B$6,"",IF($AB29,$AD29,""))</f>
        <v/>
      </c>
      <c r="AT29" s="93" t="str">
        <f aca="false">IF($BD29&lt;&gt;Constants!$B$6,"",$AO29)</f>
        <v/>
      </c>
      <c r="AU29" s="87" t="str">
        <f aca="false">IF($BD29&lt;&gt;Constants!$B$6,"",IF(OR($BA29&lt;$AR29,AND($BA29=$AR29,OR(AND(ISNUMBER($BB29),OR(NOT(ISNUMBER($AS29)),$BB29&lt;$AS29)),AND(OR(AND($BB29="",$AS29=""),AND(ISNUMBER($BB29),ISNUMBER($AS29),$BB29=$AS29)),$BC29&lt;$AT29)))),"-&gt;","&lt;-"))</f>
        <v/>
      </c>
      <c r="AV29" s="86" t="str">
        <f aca="false">IF(ISBLANK($C29),"",AND($AH29,OR($AI29="",$AJ29="",AND(NOT(ISBLANK($S29)),$AK29=""))))</f>
        <v/>
      </c>
      <c r="AW29" s="89" t="str">
        <f aca="false">IF($BD29&lt;&gt;Constants!$B$6,"",IF($AH29,Constants!$B$17*$AJ29,Constants!$B$18))</f>
        <v/>
      </c>
      <c r="AX29" s="91" t="str">
        <f aca="false">IF($BD29&lt;&gt;Constants!$B$6,"",Constants!$B$19*IF($AH29,$AI29,0))</f>
        <v/>
      </c>
      <c r="AY29" s="91" t="str">
        <f aca="false">IF($BD29&lt;&gt;Constants!$B$6,"",IF(AND($AH29,ISNUMBER($AK29)),Constants!$B$20*(Constants!$B$21-$AK29),0))</f>
        <v/>
      </c>
      <c r="AZ29" s="91" t="str">
        <f aca="false">IF($BD29&lt;&gt;Constants!$B$6,"",IF($AG29,0,Constants!$B$12)+IF($AF29,0,Constants!$B$13)+IF($Y29,0,Constants!$B$14))</f>
        <v/>
      </c>
      <c r="BA29" s="92" t="str">
        <f aca="false">IF($BD29&lt;&gt;Constants!$B$6,"",Constants!$B$16+SUM($AW29:$AZ29))</f>
        <v/>
      </c>
      <c r="BB29" s="91" t="str">
        <f aca="false">IF($BD29&lt;&gt;Constants!$B$6,"",IF($AH29,$AJ29,""))</f>
        <v/>
      </c>
      <c r="BC29" s="93" t="str">
        <f aca="false">IF($BD29&lt;&gt;Constants!$B$6,"",$AX29)</f>
        <v/>
      </c>
      <c r="BD29" s="87" t="str">
        <f aca="false">IF(ISBLANK($C29),"",IF($AL29,Constants!$B$9,IF(COUNTA($E29:$T29)=0,Constants!$B$8,IF(NOT($X29),Constants!$B$7,IF(OR($AM29,$AV29),Constants!$B$10,Constants!$B$6)))))</f>
        <v/>
      </c>
      <c r="BE29" s="87" t="str">
        <f aca="false">IF(ISBLANK($C29),"",IF($BD29&lt;&gt;Constants!$B$6,$BD29,Constants!$B$11))</f>
        <v/>
      </c>
      <c r="BF29" s="91" t="str">
        <f aca="false">IF($BD29&lt;&gt;Constants!$B$6,"",IF($AU29="-&gt;",$BA29,$AR29))</f>
        <v/>
      </c>
      <c r="BG29" s="91" t="str">
        <f aca="false">IF($BD29&lt;&gt;Constants!$B$6,"",IF($W29,0,Constants!$B$15))</f>
        <v/>
      </c>
      <c r="BH29" s="91" t="str">
        <f aca="false">IF(ISBLANK($C29),"",IF($BD29&lt;&gt;Constants!$B$6,$BD29,SUM($BF29:$BG29)))</f>
        <v/>
      </c>
      <c r="BI29" s="87" t="str">
        <f aca="false">IF(ISBLANK($C29),"",IF($BD29&lt;&gt;Constants!$B$6,$BD29,RANK($BH29,$BH$9:$BH$508,1)))</f>
        <v/>
      </c>
      <c r="BJ29" s="91" t="str">
        <f aca="false">IF($BD29&lt;&gt;Constants!$B$6,"",IF($AU29="-&gt;",$BB29,$AS29))</f>
        <v/>
      </c>
      <c r="BK29" s="87" t="str">
        <f aca="false">IF(ISBLANK($C29),"",IF($BD29&lt;&gt;Constants!$B$6,$BD29,IF(ISNUMBER($BJ29),RANK($BJ29,$BJ$9:$BJ$508,1),COUNT($BJ$9:$BJ$508)+1)))</f>
        <v/>
      </c>
      <c r="BL29" s="91" t="str">
        <f aca="false">IF($BD29&lt;&gt;Constants!$B$6,"",IF($AU29="-&gt;",$BC29,$AT29))</f>
        <v/>
      </c>
      <c r="BM29" s="87" t="str">
        <f aca="false">IF(ISBLANK($C29),"",IF($BD29&lt;&gt;Constants!$B$6,$BD29,IF(ISNUMBER($BL29),RANK($BL29,$BL$9:$BL$508,1),COUNT($BL$9:$BL$508)+1)))</f>
        <v/>
      </c>
      <c r="BN29" s="91" t="str">
        <f aca="false">IF($BD29&lt;&gt;Constants!$B$6,"",IF($AU29="-&gt;",$AS29,$BB29))</f>
        <v/>
      </c>
      <c r="BO29" s="87" t="str">
        <f aca="false">IF(ISBLANK($C29),"",IF($BD29&lt;&gt;Constants!$B$6,$BD29,IF(ISNUMBER($BN29),RANK($BN29,$BN$9:$BN$508,1),COUNT($BN$9:$BN$508)+1)))</f>
        <v/>
      </c>
      <c r="BP29" s="91" t="str">
        <f aca="false">IF($BD29&lt;&gt;Constants!$B$6,"",IF($AU29="-&gt;",$AT29,$BC29))</f>
        <v/>
      </c>
      <c r="BQ29" s="87" t="str">
        <f aca="false">IF(ISBLANK($C29),"",IF($BD29&lt;&gt;Constants!$B$6,$BD29,IF(ISNUMBER($BP29),RANK($BP29,$BP$9:$BP$508,1),COUNT($BP$9:$BP$508)+1)))</f>
        <v/>
      </c>
      <c r="BR29" s="87" t="str">
        <f aca="false">IF(ISBLANK($C29),"",IF($BD29&lt;&gt;Constants!$B$6,$BD29,COUNTIFS($BI$9:$BI$508,"&lt;"&amp;$BI29)+COUNTIFS($BI$9:$BI$508,$BI29,$BK$9:$BK$508,"&lt;"&amp;$BK29)+COUNTIFS($BI$9:$BI$508,$BI29,$BK$9:$BK$508,$BK29,$BM$9:$BM$508,"&lt;"&amp;$BM29)+COUNTIFS($BI$9:$BI$508,$BI29,$BK$9:$BK$508,$BK29,$BM$9:$BM$508,$BM29,$BO$9:$BO$508,"&lt;"&amp;$BO29)+COUNTIFS($BI$9:$BI$508,$BI29,$BK$9:$BK$508,$BK29,$BM$9:$BM$508,$BM29,$BO$9:$BO$508,$BO29,$BQ$9:$BQ$508,"&lt;"&amp;$BQ29)+1))</f>
        <v/>
      </c>
      <c r="BS29" s="87" t="str">
        <f aca="false">IF(ISBLANK($C29),"",IF($BD29&lt;&gt;Constants!$B$6,$BD29,$BI29-$BR29))</f>
        <v/>
      </c>
      <c r="BT29" s="94"/>
      <c r="BU29" s="95"/>
      <c r="BV29" s="95" t="str">
        <f aca="false">IF(ISBLANK($C29),"",IF($BD29&lt;&gt;Constants!$B$6,"",IF($AU29="-&gt;",2,1)))</f>
        <v/>
      </c>
      <c r="BW29" s="96" t="str">
        <f aca="false">IF(ISBLANK($C29),"",IF($BD29&lt;&gt;Constants!$B$6,"",IF($AU29="-&gt;",$AW29,$AN29)))</f>
        <v/>
      </c>
      <c r="BX29" s="96" t="str">
        <f aca="false">IF(ISBLANK($C29),"",IF($BD29&lt;&gt;Constants!$B$6,"",IF($AU29="-&gt;",$AX29,$AO29)))</f>
        <v/>
      </c>
      <c r="BY29" s="96" t="str">
        <f aca="false">IF(ISBLANK($C29),"",IF($BD29&lt;&gt;Constants!$B$6,"",IF($AU29="-&gt;",$AY29,$AP29)))</f>
        <v/>
      </c>
      <c r="BZ29" s="96" t="str">
        <f aca="false">IF(ISBLANK($C29),"",IF($BD29&lt;&gt;Constants!$B$6,"",IF($AU29="-&gt;",$AZ29,$AQ29)+$BG29))</f>
        <v/>
      </c>
      <c r="CA29" s="97" t="str">
        <f aca="false">IF(ISBLANK($C29),"",IF($BD29&lt;&gt;Constants!$B$6,$BD29,$BH29))</f>
        <v/>
      </c>
      <c r="CB29" s="98" t="str">
        <f aca="false">IF(ISBLANK($C29),"",$BE29)</f>
        <v/>
      </c>
      <c r="CC29" s="99" t="str">
        <f aca="false">IF(ISBLANK($C29),"",$BS29)</f>
        <v/>
      </c>
      <c r="CD29" s="99" t="str">
        <f aca="false">IF(ISBLANK($C29),"",$BR29)</f>
        <v/>
      </c>
      <c r="CE29" s="100" t="str">
        <f aca="false">IF(ISBLANK($C29),"",IF($CD29=Constants!$B$9,COUNTA($C$9:$C$508)+2,IF($CD29=Constants!$B$8,COUNTA($C$9:$C$508)+1,IF($CD29=Constants!$B$7,COUNTA($C$9:$C$508),$CD29))))</f>
        <v/>
      </c>
      <c r="CF29" s="9"/>
      <c r="CG29" s="101" t="n">
        <f aca="false">IF(OR(ISNUMBER($CD29),$CD29=Constants!$B$9,$CD29=Constants!$B$7,$CD29=Constants!$B$8),1,0)</f>
        <v>0</v>
      </c>
      <c r="CH29" s="101" t="n">
        <v>21</v>
      </c>
      <c r="CI29" s="101" t="str">
        <f aca="false">IF(ISBLANK($C29),"",IF(ISNUMBER($CE29),$CE29+ROW($B29)/1000,""))</f>
        <v/>
      </c>
      <c r="CJ29" s="101" t="str">
        <f aca="false">IF(ISNUMBER($CI29),RANK($CI29,$CI$9:$CI$508,1),"")</f>
        <v/>
      </c>
      <c r="CK29" s="101" t="str">
        <f aca="false">IF(ISBLANK($C29),"",$B29)</f>
        <v/>
      </c>
      <c r="CL29" s="101" t="str">
        <f aca="false">IF(ISBLANK($C29),"",$C29)</f>
        <v/>
      </c>
      <c r="CM29" s="101" t="str">
        <f aca="false">IF(ISBLANK($C29),"",$D29)</f>
        <v/>
      </c>
      <c r="CN29" s="102" t="str">
        <f aca="false">$CB29</f>
        <v/>
      </c>
      <c r="CO29" s="103" t="str">
        <f aca="false">$CA29</f>
        <v/>
      </c>
      <c r="CP29" s="101" t="str">
        <f aca="false">IF(ISBLANK($C29),"",$CD29)</f>
        <v/>
      </c>
      <c r="CQ29" s="104" t="str">
        <f aca="false">IF($CH29&gt;$CG$8,"",VLOOKUP($CH29,$CJ$9:$CP$508,7,FALSE()))</f>
        <v/>
      </c>
      <c r="CR29" s="105" t="str">
        <f aca="false">IF($CH29&gt;$CG$8,"",VLOOKUP($CH29,$CJ$9:$CP$508,2,FALSE()))</f>
        <v/>
      </c>
      <c r="CS29" s="105" t="str">
        <f aca="false">IF($CH29&gt;$CG$8,"",VLOOKUP($CH29,$CJ$9:$CP$508,3,FALSE()))</f>
        <v/>
      </c>
      <c r="CT29" s="105" t="str">
        <f aca="false">IF($CH29&gt;$CG$8,"",VLOOKUP($CH29,$CJ$9:$CP$508,4,FALSE()))</f>
        <v/>
      </c>
      <c r="CU29" s="105" t="str">
        <f aca="false">IF($CH29&gt;$CG$8,"",VLOOKUP($CH29,$CJ$9:$CP$508,5,FALSE()))</f>
        <v/>
      </c>
      <c r="CV29" s="106" t="str">
        <f aca="false">IF($CH29&gt;$CG$8,"",VLOOKUP($CH29,$CJ$9:$CP$508,6,FALSE()))</f>
        <v/>
      </c>
      <c r="CW29" s="71"/>
    </row>
    <row r="30" customFormat="false" ht="15.75" hidden="false" customHeight="false" outlineLevel="0" collapsed="false">
      <c r="A30" s="9"/>
      <c r="B30" s="150"/>
      <c r="C30" s="151"/>
      <c r="D30" s="152"/>
      <c r="E30" s="153"/>
      <c r="F30" s="154"/>
      <c r="G30" s="155"/>
      <c r="H30" s="156"/>
      <c r="I30" s="157"/>
      <c r="J30" s="120"/>
      <c r="K30" s="121"/>
      <c r="L30" s="122"/>
      <c r="M30" s="158"/>
      <c r="N30" s="157"/>
      <c r="O30" s="157"/>
      <c r="P30" s="120"/>
      <c r="Q30" s="122"/>
      <c r="R30" s="122"/>
      <c r="S30" s="158"/>
      <c r="T30" s="159"/>
      <c r="U30" s="126"/>
      <c r="V30" s="127"/>
      <c r="W30" s="127" t="str">
        <f aca="false">IF(ISBLANK($C30),"",IF(E30=Constants!$B$2,TRUE(),IF(E30=Constants!$B$3,FALSE(),TRUE())))</f>
        <v/>
      </c>
      <c r="X30" s="127" t="str">
        <f aca="false">IF(ISBLANK($C30),"",IF(F30=Constants!$B$2,TRUE(),IF(F30=Constants!$B$3,FALSE(),TRUE())))</f>
        <v/>
      </c>
      <c r="Y30" s="127" t="str">
        <f aca="false">IF(ISBLANK($C30),"",IF(G30=Constants!$B$2,TRUE(),IF(G30=Constants!$B$3,FALSE(),TRUE())))</f>
        <v/>
      </c>
      <c r="Z30" s="127" t="str">
        <f aca="false">IF(ISBLANK($C30),"",IF(H30=Constants!$B$2,TRUE(),IF(H30=Constants!$B$3,FALSE(),TRUE())))</f>
        <v/>
      </c>
      <c r="AA30" s="127" t="str">
        <f aca="false">IF(ISBLANK($C30),"",IF(I30=Constants!$B$2,TRUE(),IF(I30=Constants!$B$3,FALSE(),TRUE())))</f>
        <v/>
      </c>
      <c r="AB30" s="127" t="str">
        <f aca="false">IF(ISBLANK($C30),"",IF(J30=Constants!$B$4,TRUE(),IF(J30=Constants!$B$5,FALSE(),COUNTA(K30:M30)&gt;0)))</f>
        <v/>
      </c>
      <c r="AC30" s="128" t="str">
        <f aca="false">IF(ISBLANK($C30),"",IF(ISNUMBER(K30),IF(K30&gt;=0,K30,""),""))</f>
        <v/>
      </c>
      <c r="AD30" s="129" t="str">
        <f aca="false">IF(ISBLANK($C30),"",IF(ISNUMBER(L30),IF(L30&gt;=0,L30,""),""))</f>
        <v/>
      </c>
      <c r="AE30" s="127" t="str">
        <f aca="false">IF(ISBLANK($C30),"",IF(ISNUMBER(M30),IF(M30&gt;=0,MIN(M30,Constants!$B$22),""),""))</f>
        <v/>
      </c>
      <c r="AF30" s="127" t="str">
        <f aca="false">IF(ISBLANK($C30),"",IF(N30=Constants!$B$2,TRUE(),IF(N30=Constants!$B$3,FALSE(),TRUE())))</f>
        <v/>
      </c>
      <c r="AG30" s="127" t="str">
        <f aca="false">IF(ISBLANK($C30),"",IF(O30=Constants!$B$2,TRUE(),IF(O30=Constants!$B$3,FALSE(),TRUE())))</f>
        <v/>
      </c>
      <c r="AH30" s="127" t="str">
        <f aca="false">IF(ISBLANK($C30),"",IF(P30=Constants!$B$4,TRUE(),IF(P30=Constants!$B$5,FALSE(),COUNTA(Q30:S30)&gt;0)))</f>
        <v/>
      </c>
      <c r="AI30" s="128" t="str">
        <f aca="false">IF(ISBLANK($C30),"",IF(ISNUMBER(Q30),IF(Q30&gt;=0,Q30,""),""))</f>
        <v/>
      </c>
      <c r="AJ30" s="129" t="str">
        <f aca="false">IF(ISBLANK($C30),"",IF(ISNUMBER(R30),IF(R30&gt;=0,R30,""),""))</f>
        <v/>
      </c>
      <c r="AK30" s="127" t="str">
        <f aca="false">IF(ISBLANK($C30),"",IF(ISNUMBER(S30),IF(S30&gt;=0,MIN(S30,Constants!$B$22),""),""))</f>
        <v/>
      </c>
      <c r="AL30" s="127" t="str">
        <f aca="false">IF(ISBLANK($C30),"",IF(T30=Constants!$B$2,TRUE(),IF(T30=Constants!$B$3,FALSE(),FALSE())))</f>
        <v/>
      </c>
      <c r="AM30" s="126" t="str">
        <f aca="false">IF(ISBLANK($C30),"",AND($AB30,OR($AC30="",$AD30="",AND(NOT(ISBLANK($M30)),$AE30=""))))</f>
        <v/>
      </c>
      <c r="AN30" s="129" t="str">
        <f aca="false">IF($BD30&lt;&gt;Constants!$B$6,"",IF($AB30,Constants!$B$17*$AD30,Constants!$B$18))</f>
        <v/>
      </c>
      <c r="AO30" s="130" t="str">
        <f aca="false">IF($BD30&lt;&gt;Constants!$B$6,"",Constants!$B$19*IF($AB30,$AC30,0))</f>
        <v/>
      </c>
      <c r="AP30" s="130" t="str">
        <f aca="false">IF($BD30&lt;&gt;Constants!$B$6,"",IF(AND($AB30,ISNUMBER($AE30)),Constants!$B$20*(Constants!$B$21-$AE30),0))</f>
        <v/>
      </c>
      <c r="AQ30" s="130" t="str">
        <f aca="false">IF($BD30&lt;&gt;Constants!$B$6,"",IF($AA30,0,Constants!$B$12)+IF($Z30,0,Constants!$B$13)+IF($Y30,0,Constants!$B$14))</f>
        <v/>
      </c>
      <c r="AR30" s="131" t="str">
        <f aca="false">IF($BD30&lt;&gt;Constants!$B$6,"",Constants!$B$16+SUM($AN30:$AQ30))</f>
        <v/>
      </c>
      <c r="AS30" s="130" t="str">
        <f aca="false">IF($BD30&lt;&gt;Constants!$B$6,"",IF($AB30,$AD30,""))</f>
        <v/>
      </c>
      <c r="AT30" s="132" t="str">
        <f aca="false">IF($BD30&lt;&gt;Constants!$B$6,"",$AO30)</f>
        <v/>
      </c>
      <c r="AU30" s="127" t="str">
        <f aca="false">IF($BD30&lt;&gt;Constants!$B$6,"",IF(OR($BA30&lt;$AR30,AND($BA30=$AR30,OR(AND(ISNUMBER($BB30),OR(NOT(ISNUMBER($AS30)),$BB30&lt;$AS30)),AND(OR(AND($BB30="",$AS30=""),AND(ISNUMBER($BB30),ISNUMBER($AS30),$BB30=$AS30)),$BC30&lt;$AT30)))),"-&gt;","&lt;-"))</f>
        <v/>
      </c>
      <c r="AV30" s="126" t="str">
        <f aca="false">IF(ISBLANK($C30),"",AND($AH30,OR($AI30="",$AJ30="",AND(NOT(ISBLANK($S30)),$AK30=""))))</f>
        <v/>
      </c>
      <c r="AW30" s="129" t="str">
        <f aca="false">IF($BD30&lt;&gt;Constants!$B$6,"",IF($AH30,Constants!$B$17*$AJ30,Constants!$B$18))</f>
        <v/>
      </c>
      <c r="AX30" s="130" t="str">
        <f aca="false">IF($BD30&lt;&gt;Constants!$B$6,"",Constants!$B$19*IF($AH30,$AI30,0))</f>
        <v/>
      </c>
      <c r="AY30" s="130" t="str">
        <f aca="false">IF($BD30&lt;&gt;Constants!$B$6,"",IF(AND($AH30,ISNUMBER($AK30)),Constants!$B$20*(Constants!$B$21-$AK30),0))</f>
        <v/>
      </c>
      <c r="AZ30" s="130" t="str">
        <f aca="false">IF($BD30&lt;&gt;Constants!$B$6,"",IF($AG30,0,Constants!$B$12)+IF($AF30,0,Constants!$B$13)+IF($Y30,0,Constants!$B$14))</f>
        <v/>
      </c>
      <c r="BA30" s="131" t="str">
        <f aca="false">IF($BD30&lt;&gt;Constants!$B$6,"",Constants!$B$16+SUM($AW30:$AZ30))</f>
        <v/>
      </c>
      <c r="BB30" s="130" t="str">
        <f aca="false">IF($BD30&lt;&gt;Constants!$B$6,"",IF($AH30,$AJ30,""))</f>
        <v/>
      </c>
      <c r="BC30" s="132" t="str">
        <f aca="false">IF($BD30&lt;&gt;Constants!$B$6,"",$AX30)</f>
        <v/>
      </c>
      <c r="BD30" s="127" t="str">
        <f aca="false">IF(ISBLANK($C30),"",IF($AL30,Constants!$B$9,IF(COUNTA($E30:$T30)=0,Constants!$B$8,IF(NOT($X30),Constants!$B$7,IF(OR($AM30,$AV30),Constants!$B$10,Constants!$B$6)))))</f>
        <v/>
      </c>
      <c r="BE30" s="127" t="str">
        <f aca="false">IF(ISBLANK($C30),"",IF($BD30&lt;&gt;Constants!$B$6,$BD30,Constants!$B$11))</f>
        <v/>
      </c>
      <c r="BF30" s="130" t="str">
        <f aca="false">IF($BD30&lt;&gt;Constants!$B$6,"",IF($AU30="-&gt;",$BA30,$AR30))</f>
        <v/>
      </c>
      <c r="BG30" s="130" t="str">
        <f aca="false">IF($BD30&lt;&gt;Constants!$B$6,"",IF($W30,0,Constants!$B$15))</f>
        <v/>
      </c>
      <c r="BH30" s="130" t="str">
        <f aca="false">IF(ISBLANK($C30),"",IF($BD30&lt;&gt;Constants!$B$6,$BD30,SUM($BF30:$BG30)))</f>
        <v/>
      </c>
      <c r="BI30" s="127" t="str">
        <f aca="false">IF(ISBLANK($C30),"",IF($BD30&lt;&gt;Constants!$B$6,$BD30,RANK($BH30,$BH$9:$BH$508,1)))</f>
        <v/>
      </c>
      <c r="BJ30" s="130" t="str">
        <f aca="false">IF($BD30&lt;&gt;Constants!$B$6,"",IF($AU30="-&gt;",$BB30,$AS30))</f>
        <v/>
      </c>
      <c r="BK30" s="127" t="str">
        <f aca="false">IF(ISBLANK($C30),"",IF($BD30&lt;&gt;Constants!$B$6,$BD30,IF(ISNUMBER($BJ30),RANK($BJ30,$BJ$9:$BJ$508,1),COUNT($BJ$9:$BJ$508)+1)))</f>
        <v/>
      </c>
      <c r="BL30" s="130" t="str">
        <f aca="false">IF($BD30&lt;&gt;Constants!$B$6,"",IF($AU30="-&gt;",$BC30,$AT30))</f>
        <v/>
      </c>
      <c r="BM30" s="127" t="str">
        <f aca="false">IF(ISBLANK($C30),"",IF($BD30&lt;&gt;Constants!$B$6,$BD30,IF(ISNUMBER($BL30),RANK($BL30,$BL$9:$BL$508,1),COUNT($BL$9:$BL$508)+1)))</f>
        <v/>
      </c>
      <c r="BN30" s="130" t="str">
        <f aca="false">IF($BD30&lt;&gt;Constants!$B$6,"",IF($AU30="-&gt;",$AS30,$BB30))</f>
        <v/>
      </c>
      <c r="BO30" s="127" t="str">
        <f aca="false">IF(ISBLANK($C30),"",IF($BD30&lt;&gt;Constants!$B$6,$BD30,IF(ISNUMBER($BN30),RANK($BN30,$BN$9:$BN$508,1),COUNT($BN$9:$BN$508)+1)))</f>
        <v/>
      </c>
      <c r="BP30" s="130" t="str">
        <f aca="false">IF($BD30&lt;&gt;Constants!$B$6,"",IF($AU30="-&gt;",$AT30,$BC30))</f>
        <v/>
      </c>
      <c r="BQ30" s="127" t="str">
        <f aca="false">IF(ISBLANK($C30),"",IF($BD30&lt;&gt;Constants!$B$6,$BD30,IF(ISNUMBER($BP30),RANK($BP30,$BP$9:$BP$508,1),COUNT($BP$9:$BP$508)+1)))</f>
        <v/>
      </c>
      <c r="BR30" s="127" t="str">
        <f aca="false">IF(ISBLANK($C30),"",IF($BD30&lt;&gt;Constants!$B$6,$BD30,COUNTIFS($BI$9:$BI$508,"&lt;"&amp;$BI30)+COUNTIFS($BI$9:$BI$508,$BI30,$BK$9:$BK$508,"&lt;"&amp;$BK30)+COUNTIFS($BI$9:$BI$508,$BI30,$BK$9:$BK$508,$BK30,$BM$9:$BM$508,"&lt;"&amp;$BM30)+COUNTIFS($BI$9:$BI$508,$BI30,$BK$9:$BK$508,$BK30,$BM$9:$BM$508,$BM30,$BO$9:$BO$508,"&lt;"&amp;$BO30)+COUNTIFS($BI$9:$BI$508,$BI30,$BK$9:$BK$508,$BK30,$BM$9:$BM$508,$BM30,$BO$9:$BO$508,$BO30,$BQ$9:$BQ$508,"&lt;"&amp;$BQ30)+1))</f>
        <v/>
      </c>
      <c r="BS30" s="127" t="str">
        <f aca="false">IF(ISBLANK($C30),"",IF($BD30&lt;&gt;Constants!$B$6,$BD30,$BI30-$BR30))</f>
        <v/>
      </c>
      <c r="BT30" s="133"/>
      <c r="BU30" s="134"/>
      <c r="BV30" s="134" t="str">
        <f aca="false">IF(ISBLANK($C30),"",IF($BD30&lt;&gt;Constants!$B$6,"",IF($AU30="-&gt;",2,1)))</f>
        <v/>
      </c>
      <c r="BW30" s="135" t="str">
        <f aca="false">IF(ISBLANK($C30),"",IF($BD30&lt;&gt;Constants!$B$6,"",IF($AU30="-&gt;",$AW30,$AN30)))</f>
        <v/>
      </c>
      <c r="BX30" s="135" t="str">
        <f aca="false">IF(ISBLANK($C30),"",IF($BD30&lt;&gt;Constants!$B$6,"",IF($AU30="-&gt;",$AX30,$AO30)))</f>
        <v/>
      </c>
      <c r="BY30" s="135" t="str">
        <f aca="false">IF(ISBLANK($C30),"",IF($BD30&lt;&gt;Constants!$B$6,"",IF($AU30="-&gt;",$AY30,$AP30)))</f>
        <v/>
      </c>
      <c r="BZ30" s="135" t="str">
        <f aca="false">IF(ISBLANK($C30),"",IF($BD30&lt;&gt;Constants!$B$6,"",IF($AU30="-&gt;",$AZ30,$AQ30)+$BG30))</f>
        <v/>
      </c>
      <c r="CA30" s="136" t="str">
        <f aca="false">IF(ISBLANK($C30),"",IF($BD30&lt;&gt;Constants!$B$6,$BD30,$BH30))</f>
        <v/>
      </c>
      <c r="CB30" s="137" t="str">
        <f aca="false">IF(ISBLANK($C30),"",$BE30)</f>
        <v/>
      </c>
      <c r="CC30" s="138" t="str">
        <f aca="false">IF(ISBLANK($C30),"",$BS30)</f>
        <v/>
      </c>
      <c r="CD30" s="138" t="str">
        <f aca="false">IF(ISBLANK($C30),"",$BR30)</f>
        <v/>
      </c>
      <c r="CE30" s="139" t="str">
        <f aca="false">IF(ISBLANK($C30),"",IF($CD30=Constants!$B$9,COUNTA($C$9:$C$508)+2,IF($CD30=Constants!$B$8,COUNTA($C$9:$C$508)+1,IF($CD30=Constants!$B$7,COUNTA($C$9:$C$508),$CD30))))</f>
        <v/>
      </c>
      <c r="CF30" s="9"/>
      <c r="CG30" s="140" t="n">
        <f aca="false">IF(OR(ISNUMBER($CD30),$CD30=Constants!$B$9,$CD30=Constants!$B$7,$CD30=Constants!$B$8),1,0)</f>
        <v>0</v>
      </c>
      <c r="CH30" s="140" t="n">
        <v>22</v>
      </c>
      <c r="CI30" s="140" t="str">
        <f aca="false">IF(ISBLANK($C30),"",IF(ISNUMBER($CE30),$CE30+ROW($B30)/1000,""))</f>
        <v/>
      </c>
      <c r="CJ30" s="140" t="str">
        <f aca="false">IF(ISNUMBER($CI30),RANK($CI30,$CI$9:$CI$508,1),"")</f>
        <v/>
      </c>
      <c r="CK30" s="140" t="str">
        <f aca="false">IF(ISBLANK($C30),"",$B30)</f>
        <v/>
      </c>
      <c r="CL30" s="140" t="str">
        <f aca="false">IF(ISBLANK($C30),"",$C30)</f>
        <v/>
      </c>
      <c r="CM30" s="140" t="str">
        <f aca="false">IF(ISBLANK($C30),"",$D30)</f>
        <v/>
      </c>
      <c r="CN30" s="141" t="str">
        <f aca="false">$CB30</f>
        <v/>
      </c>
      <c r="CO30" s="142" t="str">
        <f aca="false">$CA30</f>
        <v/>
      </c>
      <c r="CP30" s="140" t="str">
        <f aca="false">IF(ISBLANK($C30),"",$CD30)</f>
        <v/>
      </c>
      <c r="CQ30" s="143" t="str">
        <f aca="false">IF($CH30&gt;$CG$8,"",VLOOKUP($CH30,$CJ$9:$CP$508,7,FALSE()))</f>
        <v/>
      </c>
      <c r="CR30" s="144" t="str">
        <f aca="false">IF($CH30&gt;$CG$8,"",VLOOKUP($CH30,$CJ$9:$CP$508,2,FALSE()))</f>
        <v/>
      </c>
      <c r="CS30" s="144" t="str">
        <f aca="false">IF($CH30&gt;$CG$8,"",VLOOKUP($CH30,$CJ$9:$CP$508,3,FALSE()))</f>
        <v/>
      </c>
      <c r="CT30" s="144" t="str">
        <f aca="false">IF($CH30&gt;$CG$8,"",VLOOKUP($CH30,$CJ$9:$CP$508,4,FALSE()))</f>
        <v/>
      </c>
      <c r="CU30" s="144" t="str">
        <f aca="false">IF($CH30&gt;$CG$8,"",VLOOKUP($CH30,$CJ$9:$CP$508,5,FALSE()))</f>
        <v/>
      </c>
      <c r="CV30" s="145" t="str">
        <f aca="false">IF($CH30&gt;$CG$8,"",VLOOKUP($CH30,$CJ$9:$CP$508,6,FALSE()))</f>
        <v/>
      </c>
      <c r="CW30" s="71"/>
    </row>
    <row r="31" customFormat="false" ht="15.75" hidden="false" customHeight="false" outlineLevel="0" collapsed="false">
      <c r="A31" s="9"/>
      <c r="B31" s="150"/>
      <c r="C31" s="151"/>
      <c r="D31" s="152"/>
      <c r="E31" s="153"/>
      <c r="F31" s="154"/>
      <c r="G31" s="155"/>
      <c r="H31" s="156"/>
      <c r="I31" s="157"/>
      <c r="J31" s="120"/>
      <c r="K31" s="121"/>
      <c r="L31" s="122"/>
      <c r="M31" s="158"/>
      <c r="N31" s="157"/>
      <c r="O31" s="157"/>
      <c r="P31" s="120"/>
      <c r="Q31" s="122"/>
      <c r="R31" s="122"/>
      <c r="S31" s="158"/>
      <c r="T31" s="159"/>
      <c r="U31" s="126"/>
      <c r="V31" s="127"/>
      <c r="W31" s="127" t="str">
        <f aca="false">IF(ISBLANK($C31),"",IF(E31=Constants!$B$2,TRUE(),IF(E31=Constants!$B$3,FALSE(),TRUE())))</f>
        <v/>
      </c>
      <c r="X31" s="127" t="str">
        <f aca="false">IF(ISBLANK($C31),"",IF(F31=Constants!$B$2,TRUE(),IF(F31=Constants!$B$3,FALSE(),TRUE())))</f>
        <v/>
      </c>
      <c r="Y31" s="127" t="str">
        <f aca="false">IF(ISBLANK($C31),"",IF(G31=Constants!$B$2,TRUE(),IF(G31=Constants!$B$3,FALSE(),TRUE())))</f>
        <v/>
      </c>
      <c r="Z31" s="127" t="str">
        <f aca="false">IF(ISBLANK($C31),"",IF(H31=Constants!$B$2,TRUE(),IF(H31=Constants!$B$3,FALSE(),TRUE())))</f>
        <v/>
      </c>
      <c r="AA31" s="127" t="str">
        <f aca="false">IF(ISBLANK($C31),"",IF(I31=Constants!$B$2,TRUE(),IF(I31=Constants!$B$3,FALSE(),TRUE())))</f>
        <v/>
      </c>
      <c r="AB31" s="127" t="str">
        <f aca="false">IF(ISBLANK($C31),"",IF(J31=Constants!$B$4,TRUE(),IF(J31=Constants!$B$5,FALSE(),COUNTA(K31:M31)&gt;0)))</f>
        <v/>
      </c>
      <c r="AC31" s="128" t="str">
        <f aca="false">IF(ISBLANK($C31),"",IF(ISNUMBER(K31),IF(K31&gt;=0,K31,""),""))</f>
        <v/>
      </c>
      <c r="AD31" s="129" t="str">
        <f aca="false">IF(ISBLANK($C31),"",IF(ISNUMBER(L31),IF(L31&gt;=0,L31,""),""))</f>
        <v/>
      </c>
      <c r="AE31" s="127" t="str">
        <f aca="false">IF(ISBLANK($C31),"",IF(ISNUMBER(M31),IF(M31&gt;=0,MIN(M31,Constants!$B$22),""),""))</f>
        <v/>
      </c>
      <c r="AF31" s="127" t="str">
        <f aca="false">IF(ISBLANK($C31),"",IF(N31=Constants!$B$2,TRUE(),IF(N31=Constants!$B$3,FALSE(),TRUE())))</f>
        <v/>
      </c>
      <c r="AG31" s="127" t="str">
        <f aca="false">IF(ISBLANK($C31),"",IF(O31=Constants!$B$2,TRUE(),IF(O31=Constants!$B$3,FALSE(),TRUE())))</f>
        <v/>
      </c>
      <c r="AH31" s="127" t="str">
        <f aca="false">IF(ISBLANK($C31),"",IF(P31=Constants!$B$4,TRUE(),IF(P31=Constants!$B$5,FALSE(),COUNTA(Q31:S31)&gt;0)))</f>
        <v/>
      </c>
      <c r="AI31" s="128" t="str">
        <f aca="false">IF(ISBLANK($C31),"",IF(ISNUMBER(Q31),IF(Q31&gt;=0,Q31,""),""))</f>
        <v/>
      </c>
      <c r="AJ31" s="129" t="str">
        <f aca="false">IF(ISBLANK($C31),"",IF(ISNUMBER(R31),IF(R31&gt;=0,R31,""),""))</f>
        <v/>
      </c>
      <c r="AK31" s="127" t="str">
        <f aca="false">IF(ISBLANK($C31),"",IF(ISNUMBER(S31),IF(S31&gt;=0,MIN(S31,Constants!$B$22),""),""))</f>
        <v/>
      </c>
      <c r="AL31" s="127" t="str">
        <f aca="false">IF(ISBLANK($C31),"",IF(T31=Constants!$B$2,TRUE(),IF(T31=Constants!$B$3,FALSE(),FALSE())))</f>
        <v/>
      </c>
      <c r="AM31" s="126" t="str">
        <f aca="false">IF(ISBLANK($C31),"",AND($AB31,OR($AC31="",$AD31="",AND(NOT(ISBLANK($M31)),$AE31=""))))</f>
        <v/>
      </c>
      <c r="AN31" s="129" t="str">
        <f aca="false">IF($BD31&lt;&gt;Constants!$B$6,"",IF($AB31,Constants!$B$17*$AD31,Constants!$B$18))</f>
        <v/>
      </c>
      <c r="AO31" s="130" t="str">
        <f aca="false">IF($BD31&lt;&gt;Constants!$B$6,"",Constants!$B$19*IF($AB31,$AC31,0))</f>
        <v/>
      </c>
      <c r="AP31" s="130" t="str">
        <f aca="false">IF($BD31&lt;&gt;Constants!$B$6,"",IF(AND($AB31,ISNUMBER($AE31)),Constants!$B$20*(Constants!$B$21-$AE31),0))</f>
        <v/>
      </c>
      <c r="AQ31" s="130" t="str">
        <f aca="false">IF($BD31&lt;&gt;Constants!$B$6,"",IF($AA31,0,Constants!$B$12)+IF($Z31,0,Constants!$B$13)+IF($Y31,0,Constants!$B$14))</f>
        <v/>
      </c>
      <c r="AR31" s="131" t="str">
        <f aca="false">IF($BD31&lt;&gt;Constants!$B$6,"",Constants!$B$16+SUM($AN31:$AQ31))</f>
        <v/>
      </c>
      <c r="AS31" s="130" t="str">
        <f aca="false">IF($BD31&lt;&gt;Constants!$B$6,"",IF($AB31,$AD31,""))</f>
        <v/>
      </c>
      <c r="AT31" s="132" t="str">
        <f aca="false">IF($BD31&lt;&gt;Constants!$B$6,"",$AO31)</f>
        <v/>
      </c>
      <c r="AU31" s="127" t="str">
        <f aca="false">IF($BD31&lt;&gt;Constants!$B$6,"",IF(OR($BA31&lt;$AR31,AND($BA31=$AR31,OR(AND(ISNUMBER($BB31),OR(NOT(ISNUMBER($AS31)),$BB31&lt;$AS31)),AND(OR(AND($BB31="",$AS31=""),AND(ISNUMBER($BB31),ISNUMBER($AS31),$BB31=$AS31)),$BC31&lt;$AT31)))),"-&gt;","&lt;-"))</f>
        <v/>
      </c>
      <c r="AV31" s="126" t="str">
        <f aca="false">IF(ISBLANK($C31),"",AND($AH31,OR($AI31="",$AJ31="",AND(NOT(ISBLANK($S31)),$AK31=""))))</f>
        <v/>
      </c>
      <c r="AW31" s="129" t="str">
        <f aca="false">IF($BD31&lt;&gt;Constants!$B$6,"",IF($AH31,Constants!$B$17*$AJ31,Constants!$B$18))</f>
        <v/>
      </c>
      <c r="AX31" s="130" t="str">
        <f aca="false">IF($BD31&lt;&gt;Constants!$B$6,"",Constants!$B$19*IF($AH31,$AI31,0))</f>
        <v/>
      </c>
      <c r="AY31" s="130" t="str">
        <f aca="false">IF($BD31&lt;&gt;Constants!$B$6,"",IF(AND($AH31,ISNUMBER($AK31)),Constants!$B$20*(Constants!$B$21-$AK31),0))</f>
        <v/>
      </c>
      <c r="AZ31" s="130" t="str">
        <f aca="false">IF($BD31&lt;&gt;Constants!$B$6,"",IF($AG31,0,Constants!$B$12)+IF($AF31,0,Constants!$B$13)+IF($Y31,0,Constants!$B$14))</f>
        <v/>
      </c>
      <c r="BA31" s="131" t="str">
        <f aca="false">IF($BD31&lt;&gt;Constants!$B$6,"",Constants!$B$16+SUM($AW31:$AZ31))</f>
        <v/>
      </c>
      <c r="BB31" s="130" t="str">
        <f aca="false">IF($BD31&lt;&gt;Constants!$B$6,"",IF($AH31,$AJ31,""))</f>
        <v/>
      </c>
      <c r="BC31" s="132" t="str">
        <f aca="false">IF($BD31&lt;&gt;Constants!$B$6,"",$AX31)</f>
        <v/>
      </c>
      <c r="BD31" s="127" t="str">
        <f aca="false">IF(ISBLANK($C31),"",IF($AL31,Constants!$B$9,IF(COUNTA($E31:$T31)=0,Constants!$B$8,IF(NOT($X31),Constants!$B$7,IF(OR($AM31,$AV31),Constants!$B$10,Constants!$B$6)))))</f>
        <v/>
      </c>
      <c r="BE31" s="127" t="str">
        <f aca="false">IF(ISBLANK($C31),"",IF($BD31&lt;&gt;Constants!$B$6,$BD31,Constants!$B$11))</f>
        <v/>
      </c>
      <c r="BF31" s="130" t="str">
        <f aca="false">IF($BD31&lt;&gt;Constants!$B$6,"",IF($AU31="-&gt;",$BA31,$AR31))</f>
        <v/>
      </c>
      <c r="BG31" s="130" t="str">
        <f aca="false">IF($BD31&lt;&gt;Constants!$B$6,"",IF($W31,0,Constants!$B$15))</f>
        <v/>
      </c>
      <c r="BH31" s="130" t="str">
        <f aca="false">IF(ISBLANK($C31),"",IF($BD31&lt;&gt;Constants!$B$6,$BD31,SUM($BF31:$BG31)))</f>
        <v/>
      </c>
      <c r="BI31" s="127" t="str">
        <f aca="false">IF(ISBLANK($C31),"",IF($BD31&lt;&gt;Constants!$B$6,$BD31,RANK($BH31,$BH$9:$BH$508,1)))</f>
        <v/>
      </c>
      <c r="BJ31" s="130" t="str">
        <f aca="false">IF($BD31&lt;&gt;Constants!$B$6,"",IF($AU31="-&gt;",$BB31,$AS31))</f>
        <v/>
      </c>
      <c r="BK31" s="127" t="str">
        <f aca="false">IF(ISBLANK($C31),"",IF($BD31&lt;&gt;Constants!$B$6,$BD31,IF(ISNUMBER($BJ31),RANK($BJ31,$BJ$9:$BJ$508,1),COUNT($BJ$9:$BJ$508)+1)))</f>
        <v/>
      </c>
      <c r="BL31" s="130" t="str">
        <f aca="false">IF($BD31&lt;&gt;Constants!$B$6,"",IF($AU31="-&gt;",$BC31,$AT31))</f>
        <v/>
      </c>
      <c r="BM31" s="127" t="str">
        <f aca="false">IF(ISBLANK($C31),"",IF($BD31&lt;&gt;Constants!$B$6,$BD31,IF(ISNUMBER($BL31),RANK($BL31,$BL$9:$BL$508,1),COUNT($BL$9:$BL$508)+1)))</f>
        <v/>
      </c>
      <c r="BN31" s="130" t="str">
        <f aca="false">IF($BD31&lt;&gt;Constants!$B$6,"",IF($AU31="-&gt;",$AS31,$BB31))</f>
        <v/>
      </c>
      <c r="BO31" s="127" t="str">
        <f aca="false">IF(ISBLANK($C31),"",IF($BD31&lt;&gt;Constants!$B$6,$BD31,IF(ISNUMBER($BN31),RANK($BN31,$BN$9:$BN$508,1),COUNT($BN$9:$BN$508)+1)))</f>
        <v/>
      </c>
      <c r="BP31" s="130" t="str">
        <f aca="false">IF($BD31&lt;&gt;Constants!$B$6,"",IF($AU31="-&gt;",$AT31,$BC31))</f>
        <v/>
      </c>
      <c r="BQ31" s="127" t="str">
        <f aca="false">IF(ISBLANK($C31),"",IF($BD31&lt;&gt;Constants!$B$6,$BD31,IF(ISNUMBER($BP31),RANK($BP31,$BP$9:$BP$508,1),COUNT($BP$9:$BP$508)+1)))</f>
        <v/>
      </c>
      <c r="BR31" s="127" t="str">
        <f aca="false">IF(ISBLANK($C31),"",IF($BD31&lt;&gt;Constants!$B$6,$BD31,COUNTIFS($BI$9:$BI$508,"&lt;"&amp;$BI31)+COUNTIFS($BI$9:$BI$508,$BI31,$BK$9:$BK$508,"&lt;"&amp;$BK31)+COUNTIFS($BI$9:$BI$508,$BI31,$BK$9:$BK$508,$BK31,$BM$9:$BM$508,"&lt;"&amp;$BM31)+COUNTIFS($BI$9:$BI$508,$BI31,$BK$9:$BK$508,$BK31,$BM$9:$BM$508,$BM31,$BO$9:$BO$508,"&lt;"&amp;$BO31)+COUNTIFS($BI$9:$BI$508,$BI31,$BK$9:$BK$508,$BK31,$BM$9:$BM$508,$BM31,$BO$9:$BO$508,$BO31,$BQ$9:$BQ$508,"&lt;"&amp;$BQ31)+1))</f>
        <v/>
      </c>
      <c r="BS31" s="127" t="str">
        <f aca="false">IF(ISBLANK($C31),"",IF($BD31&lt;&gt;Constants!$B$6,$BD31,$BI31-$BR31))</f>
        <v/>
      </c>
      <c r="BT31" s="133"/>
      <c r="BU31" s="134"/>
      <c r="BV31" s="134" t="str">
        <f aca="false">IF(ISBLANK($C31),"",IF($BD31&lt;&gt;Constants!$B$6,"",IF($AU31="-&gt;",2,1)))</f>
        <v/>
      </c>
      <c r="BW31" s="135" t="str">
        <f aca="false">IF(ISBLANK($C31),"",IF($BD31&lt;&gt;Constants!$B$6,"",IF($AU31="-&gt;",$AW31,$AN31)))</f>
        <v/>
      </c>
      <c r="BX31" s="135" t="str">
        <f aca="false">IF(ISBLANK($C31),"",IF($BD31&lt;&gt;Constants!$B$6,"",IF($AU31="-&gt;",$AX31,$AO31)))</f>
        <v/>
      </c>
      <c r="BY31" s="135" t="str">
        <f aca="false">IF(ISBLANK($C31),"",IF($BD31&lt;&gt;Constants!$B$6,"",IF($AU31="-&gt;",$AY31,$AP31)))</f>
        <v/>
      </c>
      <c r="BZ31" s="135" t="str">
        <f aca="false">IF(ISBLANK($C31),"",IF($BD31&lt;&gt;Constants!$B$6,"",IF($AU31="-&gt;",$AZ31,$AQ31)+$BG31))</f>
        <v/>
      </c>
      <c r="CA31" s="136" t="str">
        <f aca="false">IF(ISBLANK($C31),"",IF($BD31&lt;&gt;Constants!$B$6,$BD31,$BH31))</f>
        <v/>
      </c>
      <c r="CB31" s="137" t="str">
        <f aca="false">IF(ISBLANK($C31),"",$BE31)</f>
        <v/>
      </c>
      <c r="CC31" s="138" t="str">
        <f aca="false">IF(ISBLANK($C31),"",$BS31)</f>
        <v/>
      </c>
      <c r="CD31" s="138" t="str">
        <f aca="false">IF(ISBLANK($C31),"",$BR31)</f>
        <v/>
      </c>
      <c r="CE31" s="139" t="str">
        <f aca="false">IF(ISBLANK($C31),"",IF($CD31=Constants!$B$9,COUNTA($C$9:$C$508)+2,IF($CD31=Constants!$B$8,COUNTA($C$9:$C$508)+1,IF($CD31=Constants!$B$7,COUNTA($C$9:$C$508),$CD31))))</f>
        <v/>
      </c>
      <c r="CF31" s="9"/>
      <c r="CG31" s="140" t="n">
        <f aca="false">IF(OR(ISNUMBER($CD31),$CD31=Constants!$B$9,$CD31=Constants!$B$7,$CD31=Constants!$B$8),1,0)</f>
        <v>0</v>
      </c>
      <c r="CH31" s="140" t="n">
        <v>23</v>
      </c>
      <c r="CI31" s="140" t="str">
        <f aca="false">IF(ISBLANK($C31),"",IF(ISNUMBER($CE31),$CE31+ROW($B31)/1000,""))</f>
        <v/>
      </c>
      <c r="CJ31" s="140" t="str">
        <f aca="false">IF(ISNUMBER($CI31),RANK($CI31,$CI$9:$CI$508,1),"")</f>
        <v/>
      </c>
      <c r="CK31" s="140" t="str">
        <f aca="false">IF(ISBLANK($C31),"",$B31)</f>
        <v/>
      </c>
      <c r="CL31" s="140" t="str">
        <f aca="false">IF(ISBLANK($C31),"",$C31)</f>
        <v/>
      </c>
      <c r="CM31" s="140" t="str">
        <f aca="false">IF(ISBLANK($C31),"",$D31)</f>
        <v/>
      </c>
      <c r="CN31" s="141" t="str">
        <f aca="false">$CB31</f>
        <v/>
      </c>
      <c r="CO31" s="142" t="str">
        <f aca="false">$CA31</f>
        <v/>
      </c>
      <c r="CP31" s="140" t="str">
        <f aca="false">IF(ISBLANK($C31),"",$CD31)</f>
        <v/>
      </c>
      <c r="CQ31" s="143" t="str">
        <f aca="false">IF($CH31&gt;$CG$8,"",VLOOKUP($CH31,$CJ$9:$CP$508,7,FALSE()))</f>
        <v/>
      </c>
      <c r="CR31" s="144" t="str">
        <f aca="false">IF($CH31&gt;$CG$8,"",VLOOKUP($CH31,$CJ$9:$CP$508,2,FALSE()))</f>
        <v/>
      </c>
      <c r="CS31" s="144" t="str">
        <f aca="false">IF($CH31&gt;$CG$8,"",VLOOKUP($CH31,$CJ$9:$CP$508,3,FALSE()))</f>
        <v/>
      </c>
      <c r="CT31" s="144" t="str">
        <f aca="false">IF($CH31&gt;$CG$8,"",VLOOKUP($CH31,$CJ$9:$CP$508,4,FALSE()))</f>
        <v/>
      </c>
      <c r="CU31" s="144" t="str">
        <f aca="false">IF($CH31&gt;$CG$8,"",VLOOKUP($CH31,$CJ$9:$CP$508,5,FALSE()))</f>
        <v/>
      </c>
      <c r="CV31" s="145" t="str">
        <f aca="false">IF($CH31&gt;$CG$8,"",VLOOKUP($CH31,$CJ$9:$CP$508,6,FALSE()))</f>
        <v/>
      </c>
      <c r="CW31" s="71"/>
    </row>
    <row r="32" customFormat="false" ht="15.75" hidden="false" customHeight="false" outlineLevel="0" collapsed="false">
      <c r="A32" s="9"/>
      <c r="B32" s="150"/>
      <c r="C32" s="151"/>
      <c r="D32" s="152"/>
      <c r="E32" s="153"/>
      <c r="F32" s="154"/>
      <c r="G32" s="155"/>
      <c r="H32" s="156"/>
      <c r="I32" s="157"/>
      <c r="J32" s="120"/>
      <c r="K32" s="121"/>
      <c r="L32" s="122"/>
      <c r="M32" s="158"/>
      <c r="N32" s="157"/>
      <c r="O32" s="157"/>
      <c r="P32" s="120"/>
      <c r="Q32" s="122"/>
      <c r="R32" s="122"/>
      <c r="S32" s="158"/>
      <c r="T32" s="159"/>
      <c r="U32" s="126"/>
      <c r="V32" s="127"/>
      <c r="W32" s="127" t="str">
        <f aca="false">IF(ISBLANK($C32),"",IF(E32=Constants!$B$2,TRUE(),IF(E32=Constants!$B$3,FALSE(),TRUE())))</f>
        <v/>
      </c>
      <c r="X32" s="127" t="str">
        <f aca="false">IF(ISBLANK($C32),"",IF(F32=Constants!$B$2,TRUE(),IF(F32=Constants!$B$3,FALSE(),TRUE())))</f>
        <v/>
      </c>
      <c r="Y32" s="127" t="str">
        <f aca="false">IF(ISBLANK($C32),"",IF(G32=Constants!$B$2,TRUE(),IF(G32=Constants!$B$3,FALSE(),TRUE())))</f>
        <v/>
      </c>
      <c r="Z32" s="127" t="str">
        <f aca="false">IF(ISBLANK($C32),"",IF(H32=Constants!$B$2,TRUE(),IF(H32=Constants!$B$3,FALSE(),TRUE())))</f>
        <v/>
      </c>
      <c r="AA32" s="127" t="str">
        <f aca="false">IF(ISBLANK($C32),"",IF(I32=Constants!$B$2,TRUE(),IF(I32=Constants!$B$3,FALSE(),TRUE())))</f>
        <v/>
      </c>
      <c r="AB32" s="127" t="str">
        <f aca="false">IF(ISBLANK($C32),"",IF(J32=Constants!$B$4,TRUE(),IF(J32=Constants!$B$5,FALSE(),COUNTA(K32:M32)&gt;0)))</f>
        <v/>
      </c>
      <c r="AC32" s="128" t="str">
        <f aca="false">IF(ISBLANK($C32),"",IF(ISNUMBER(K32),IF(K32&gt;=0,K32,""),""))</f>
        <v/>
      </c>
      <c r="AD32" s="129" t="str">
        <f aca="false">IF(ISBLANK($C32),"",IF(ISNUMBER(L32),IF(L32&gt;=0,L32,""),""))</f>
        <v/>
      </c>
      <c r="AE32" s="127" t="str">
        <f aca="false">IF(ISBLANK($C32),"",IF(ISNUMBER(M32),IF(M32&gt;=0,MIN(M32,Constants!$B$22),""),""))</f>
        <v/>
      </c>
      <c r="AF32" s="127" t="str">
        <f aca="false">IF(ISBLANK($C32),"",IF(N32=Constants!$B$2,TRUE(),IF(N32=Constants!$B$3,FALSE(),TRUE())))</f>
        <v/>
      </c>
      <c r="AG32" s="127" t="str">
        <f aca="false">IF(ISBLANK($C32),"",IF(O32=Constants!$B$2,TRUE(),IF(O32=Constants!$B$3,FALSE(),TRUE())))</f>
        <v/>
      </c>
      <c r="AH32" s="127" t="str">
        <f aca="false">IF(ISBLANK($C32),"",IF(P32=Constants!$B$4,TRUE(),IF(P32=Constants!$B$5,FALSE(),COUNTA(Q32:S32)&gt;0)))</f>
        <v/>
      </c>
      <c r="AI32" s="128" t="str">
        <f aca="false">IF(ISBLANK($C32),"",IF(ISNUMBER(Q32),IF(Q32&gt;=0,Q32,""),""))</f>
        <v/>
      </c>
      <c r="AJ32" s="129" t="str">
        <f aca="false">IF(ISBLANK($C32),"",IF(ISNUMBER(R32),IF(R32&gt;=0,R32,""),""))</f>
        <v/>
      </c>
      <c r="AK32" s="127" t="str">
        <f aca="false">IF(ISBLANK($C32),"",IF(ISNUMBER(S32),IF(S32&gt;=0,MIN(S32,Constants!$B$22),""),""))</f>
        <v/>
      </c>
      <c r="AL32" s="127" t="str">
        <f aca="false">IF(ISBLANK($C32),"",IF(T32=Constants!$B$2,TRUE(),IF(T32=Constants!$B$3,FALSE(),FALSE())))</f>
        <v/>
      </c>
      <c r="AM32" s="126" t="str">
        <f aca="false">IF(ISBLANK($C32),"",AND($AB32,OR($AC32="",$AD32="",AND(NOT(ISBLANK($M32)),$AE32=""))))</f>
        <v/>
      </c>
      <c r="AN32" s="129" t="str">
        <f aca="false">IF($BD32&lt;&gt;Constants!$B$6,"",IF($AB32,Constants!$B$17*$AD32,Constants!$B$18))</f>
        <v/>
      </c>
      <c r="AO32" s="130" t="str">
        <f aca="false">IF($BD32&lt;&gt;Constants!$B$6,"",Constants!$B$19*IF($AB32,$AC32,0))</f>
        <v/>
      </c>
      <c r="AP32" s="130" t="str">
        <f aca="false">IF($BD32&lt;&gt;Constants!$B$6,"",IF(AND($AB32,ISNUMBER($AE32)),Constants!$B$20*(Constants!$B$21-$AE32),0))</f>
        <v/>
      </c>
      <c r="AQ32" s="130" t="str">
        <f aca="false">IF($BD32&lt;&gt;Constants!$B$6,"",IF($AA32,0,Constants!$B$12)+IF($Z32,0,Constants!$B$13)+IF($Y32,0,Constants!$B$14))</f>
        <v/>
      </c>
      <c r="AR32" s="131" t="str">
        <f aca="false">IF($BD32&lt;&gt;Constants!$B$6,"",Constants!$B$16+SUM($AN32:$AQ32))</f>
        <v/>
      </c>
      <c r="AS32" s="130" t="str">
        <f aca="false">IF($BD32&lt;&gt;Constants!$B$6,"",IF($AB32,$AD32,""))</f>
        <v/>
      </c>
      <c r="AT32" s="132" t="str">
        <f aca="false">IF($BD32&lt;&gt;Constants!$B$6,"",$AO32)</f>
        <v/>
      </c>
      <c r="AU32" s="127" t="str">
        <f aca="false">IF($BD32&lt;&gt;Constants!$B$6,"",IF(OR($BA32&lt;$AR32,AND($BA32=$AR32,OR(AND(ISNUMBER($BB32),OR(NOT(ISNUMBER($AS32)),$BB32&lt;$AS32)),AND(OR(AND($BB32="",$AS32=""),AND(ISNUMBER($BB32),ISNUMBER($AS32),$BB32=$AS32)),$BC32&lt;$AT32)))),"-&gt;","&lt;-"))</f>
        <v/>
      </c>
      <c r="AV32" s="126" t="str">
        <f aca="false">IF(ISBLANK($C32),"",AND($AH32,OR($AI32="",$AJ32="",AND(NOT(ISBLANK($S32)),$AK32=""))))</f>
        <v/>
      </c>
      <c r="AW32" s="129" t="str">
        <f aca="false">IF($BD32&lt;&gt;Constants!$B$6,"",IF($AH32,Constants!$B$17*$AJ32,Constants!$B$18))</f>
        <v/>
      </c>
      <c r="AX32" s="130" t="str">
        <f aca="false">IF($BD32&lt;&gt;Constants!$B$6,"",Constants!$B$19*IF($AH32,$AI32,0))</f>
        <v/>
      </c>
      <c r="AY32" s="130" t="str">
        <f aca="false">IF($BD32&lt;&gt;Constants!$B$6,"",IF(AND($AH32,ISNUMBER($AK32)),Constants!$B$20*(Constants!$B$21-$AK32),0))</f>
        <v/>
      </c>
      <c r="AZ32" s="130" t="str">
        <f aca="false">IF($BD32&lt;&gt;Constants!$B$6,"",IF($AG32,0,Constants!$B$12)+IF($AF32,0,Constants!$B$13)+IF($Y32,0,Constants!$B$14))</f>
        <v/>
      </c>
      <c r="BA32" s="131" t="str">
        <f aca="false">IF($BD32&lt;&gt;Constants!$B$6,"",Constants!$B$16+SUM($AW32:$AZ32))</f>
        <v/>
      </c>
      <c r="BB32" s="130" t="str">
        <f aca="false">IF($BD32&lt;&gt;Constants!$B$6,"",IF($AH32,$AJ32,""))</f>
        <v/>
      </c>
      <c r="BC32" s="132" t="str">
        <f aca="false">IF($BD32&lt;&gt;Constants!$B$6,"",$AX32)</f>
        <v/>
      </c>
      <c r="BD32" s="127" t="str">
        <f aca="false">IF(ISBLANK($C32),"",IF($AL32,Constants!$B$9,IF(COUNTA($E32:$T32)=0,Constants!$B$8,IF(NOT($X32),Constants!$B$7,IF(OR($AM32,$AV32),Constants!$B$10,Constants!$B$6)))))</f>
        <v/>
      </c>
      <c r="BE32" s="127" t="str">
        <f aca="false">IF(ISBLANK($C32),"",IF($BD32&lt;&gt;Constants!$B$6,$BD32,Constants!$B$11))</f>
        <v/>
      </c>
      <c r="BF32" s="130" t="str">
        <f aca="false">IF($BD32&lt;&gt;Constants!$B$6,"",IF($AU32="-&gt;",$BA32,$AR32))</f>
        <v/>
      </c>
      <c r="BG32" s="130" t="str">
        <f aca="false">IF($BD32&lt;&gt;Constants!$B$6,"",IF($W32,0,Constants!$B$15))</f>
        <v/>
      </c>
      <c r="BH32" s="130" t="str">
        <f aca="false">IF(ISBLANK($C32),"",IF($BD32&lt;&gt;Constants!$B$6,$BD32,SUM($BF32:$BG32)))</f>
        <v/>
      </c>
      <c r="BI32" s="127" t="str">
        <f aca="false">IF(ISBLANK($C32),"",IF($BD32&lt;&gt;Constants!$B$6,$BD32,RANK($BH32,$BH$9:$BH$508,1)))</f>
        <v/>
      </c>
      <c r="BJ32" s="130" t="str">
        <f aca="false">IF($BD32&lt;&gt;Constants!$B$6,"",IF($AU32="-&gt;",$BB32,$AS32))</f>
        <v/>
      </c>
      <c r="BK32" s="127" t="str">
        <f aca="false">IF(ISBLANK($C32),"",IF($BD32&lt;&gt;Constants!$B$6,$BD32,IF(ISNUMBER($BJ32),RANK($BJ32,$BJ$9:$BJ$508,1),COUNT($BJ$9:$BJ$508)+1)))</f>
        <v/>
      </c>
      <c r="BL32" s="130" t="str">
        <f aca="false">IF($BD32&lt;&gt;Constants!$B$6,"",IF($AU32="-&gt;",$BC32,$AT32))</f>
        <v/>
      </c>
      <c r="BM32" s="127" t="str">
        <f aca="false">IF(ISBLANK($C32),"",IF($BD32&lt;&gt;Constants!$B$6,$BD32,IF(ISNUMBER($BL32),RANK($BL32,$BL$9:$BL$508,1),COUNT($BL$9:$BL$508)+1)))</f>
        <v/>
      </c>
      <c r="BN32" s="130" t="str">
        <f aca="false">IF($BD32&lt;&gt;Constants!$B$6,"",IF($AU32="-&gt;",$AS32,$BB32))</f>
        <v/>
      </c>
      <c r="BO32" s="127" t="str">
        <f aca="false">IF(ISBLANK($C32),"",IF($BD32&lt;&gt;Constants!$B$6,$BD32,IF(ISNUMBER($BN32),RANK($BN32,$BN$9:$BN$508,1),COUNT($BN$9:$BN$508)+1)))</f>
        <v/>
      </c>
      <c r="BP32" s="130" t="str">
        <f aca="false">IF($BD32&lt;&gt;Constants!$B$6,"",IF($AU32="-&gt;",$AT32,$BC32))</f>
        <v/>
      </c>
      <c r="BQ32" s="127" t="str">
        <f aca="false">IF(ISBLANK($C32),"",IF($BD32&lt;&gt;Constants!$B$6,$BD32,IF(ISNUMBER($BP32),RANK($BP32,$BP$9:$BP$508,1),COUNT($BP$9:$BP$508)+1)))</f>
        <v/>
      </c>
      <c r="BR32" s="127" t="str">
        <f aca="false">IF(ISBLANK($C32),"",IF($BD32&lt;&gt;Constants!$B$6,$BD32,COUNTIFS($BI$9:$BI$508,"&lt;"&amp;$BI32)+COUNTIFS($BI$9:$BI$508,$BI32,$BK$9:$BK$508,"&lt;"&amp;$BK32)+COUNTIFS($BI$9:$BI$508,$BI32,$BK$9:$BK$508,$BK32,$BM$9:$BM$508,"&lt;"&amp;$BM32)+COUNTIFS($BI$9:$BI$508,$BI32,$BK$9:$BK$508,$BK32,$BM$9:$BM$508,$BM32,$BO$9:$BO$508,"&lt;"&amp;$BO32)+COUNTIFS($BI$9:$BI$508,$BI32,$BK$9:$BK$508,$BK32,$BM$9:$BM$508,$BM32,$BO$9:$BO$508,$BO32,$BQ$9:$BQ$508,"&lt;"&amp;$BQ32)+1))</f>
        <v/>
      </c>
      <c r="BS32" s="127" t="str">
        <f aca="false">IF(ISBLANK($C32),"",IF($BD32&lt;&gt;Constants!$B$6,$BD32,$BI32-$BR32))</f>
        <v/>
      </c>
      <c r="BT32" s="133"/>
      <c r="BU32" s="134"/>
      <c r="BV32" s="134" t="str">
        <f aca="false">IF(ISBLANK($C32),"",IF($BD32&lt;&gt;Constants!$B$6,"",IF($AU32="-&gt;",2,1)))</f>
        <v/>
      </c>
      <c r="BW32" s="135" t="str">
        <f aca="false">IF(ISBLANK($C32),"",IF($BD32&lt;&gt;Constants!$B$6,"",IF($AU32="-&gt;",$AW32,$AN32)))</f>
        <v/>
      </c>
      <c r="BX32" s="135" t="str">
        <f aca="false">IF(ISBLANK($C32),"",IF($BD32&lt;&gt;Constants!$B$6,"",IF($AU32="-&gt;",$AX32,$AO32)))</f>
        <v/>
      </c>
      <c r="BY32" s="135" t="str">
        <f aca="false">IF(ISBLANK($C32),"",IF($BD32&lt;&gt;Constants!$B$6,"",IF($AU32="-&gt;",$AY32,$AP32)))</f>
        <v/>
      </c>
      <c r="BZ32" s="135" t="str">
        <f aca="false">IF(ISBLANK($C32),"",IF($BD32&lt;&gt;Constants!$B$6,"",IF($AU32="-&gt;",$AZ32,$AQ32)+$BG32))</f>
        <v/>
      </c>
      <c r="CA32" s="136" t="str">
        <f aca="false">IF(ISBLANK($C32),"",IF($BD32&lt;&gt;Constants!$B$6,$BD32,$BH32))</f>
        <v/>
      </c>
      <c r="CB32" s="137" t="str">
        <f aca="false">IF(ISBLANK($C32),"",$BE32)</f>
        <v/>
      </c>
      <c r="CC32" s="138" t="str">
        <f aca="false">IF(ISBLANK($C32),"",$BS32)</f>
        <v/>
      </c>
      <c r="CD32" s="138" t="str">
        <f aca="false">IF(ISBLANK($C32),"",$BR32)</f>
        <v/>
      </c>
      <c r="CE32" s="139" t="str">
        <f aca="false">IF(ISBLANK($C32),"",IF($CD32=Constants!$B$9,COUNTA($C$9:$C$508)+2,IF($CD32=Constants!$B$8,COUNTA($C$9:$C$508)+1,IF($CD32=Constants!$B$7,COUNTA($C$9:$C$508),$CD32))))</f>
        <v/>
      </c>
      <c r="CF32" s="9"/>
      <c r="CG32" s="140" t="n">
        <f aca="false">IF(OR(ISNUMBER($CD32),$CD32=Constants!$B$9,$CD32=Constants!$B$7,$CD32=Constants!$B$8),1,0)</f>
        <v>0</v>
      </c>
      <c r="CH32" s="140" t="n">
        <v>24</v>
      </c>
      <c r="CI32" s="140" t="str">
        <f aca="false">IF(ISBLANK($C32),"",IF(ISNUMBER($CE32),$CE32+ROW($B32)/1000,""))</f>
        <v/>
      </c>
      <c r="CJ32" s="140" t="str">
        <f aca="false">IF(ISNUMBER($CI32),RANK($CI32,$CI$9:$CI$508,1),"")</f>
        <v/>
      </c>
      <c r="CK32" s="140" t="str">
        <f aca="false">IF(ISBLANK($C32),"",$B32)</f>
        <v/>
      </c>
      <c r="CL32" s="140" t="str">
        <f aca="false">IF(ISBLANK($C32),"",$C32)</f>
        <v/>
      </c>
      <c r="CM32" s="140" t="str">
        <f aca="false">IF(ISBLANK($C32),"",$D32)</f>
        <v/>
      </c>
      <c r="CN32" s="141" t="str">
        <f aca="false">$CB32</f>
        <v/>
      </c>
      <c r="CO32" s="142" t="str">
        <f aca="false">$CA32</f>
        <v/>
      </c>
      <c r="CP32" s="140" t="str">
        <f aca="false">IF(ISBLANK($C32),"",$CD32)</f>
        <v/>
      </c>
      <c r="CQ32" s="143" t="str">
        <f aca="false">IF($CH32&gt;$CG$8,"",VLOOKUP($CH32,$CJ$9:$CP$508,7,FALSE()))</f>
        <v/>
      </c>
      <c r="CR32" s="144" t="str">
        <f aca="false">IF($CH32&gt;$CG$8,"",VLOOKUP($CH32,$CJ$9:$CP$508,2,FALSE()))</f>
        <v/>
      </c>
      <c r="CS32" s="144" t="str">
        <f aca="false">IF($CH32&gt;$CG$8,"",VLOOKUP($CH32,$CJ$9:$CP$508,3,FALSE()))</f>
        <v/>
      </c>
      <c r="CT32" s="144" t="str">
        <f aca="false">IF($CH32&gt;$CG$8,"",VLOOKUP($CH32,$CJ$9:$CP$508,4,FALSE()))</f>
        <v/>
      </c>
      <c r="CU32" s="144" t="str">
        <f aca="false">IF($CH32&gt;$CG$8,"",VLOOKUP($CH32,$CJ$9:$CP$508,5,FALSE()))</f>
        <v/>
      </c>
      <c r="CV32" s="145" t="str">
        <f aca="false">IF($CH32&gt;$CG$8,"",VLOOKUP($CH32,$CJ$9:$CP$508,6,FALSE()))</f>
        <v/>
      </c>
      <c r="CW32" s="71"/>
    </row>
    <row r="33" customFormat="false" ht="15.75" hidden="false" customHeight="false" outlineLevel="0" collapsed="false">
      <c r="A33" s="9"/>
      <c r="B33" s="72"/>
      <c r="C33" s="73"/>
      <c r="D33" s="160"/>
      <c r="E33" s="161"/>
      <c r="F33" s="162"/>
      <c r="G33" s="163"/>
      <c r="H33" s="164"/>
      <c r="I33" s="165"/>
      <c r="J33" s="80"/>
      <c r="K33" s="81"/>
      <c r="L33" s="82"/>
      <c r="M33" s="166"/>
      <c r="N33" s="165"/>
      <c r="O33" s="165"/>
      <c r="P33" s="80"/>
      <c r="Q33" s="82"/>
      <c r="R33" s="82"/>
      <c r="S33" s="166"/>
      <c r="T33" s="167"/>
      <c r="U33" s="86"/>
      <c r="V33" s="87"/>
      <c r="W33" s="87" t="str">
        <f aca="false">IF(ISBLANK($C33),"",IF(E33=Constants!$B$2,TRUE(),IF(E33=Constants!$B$3,FALSE(),TRUE())))</f>
        <v/>
      </c>
      <c r="X33" s="87" t="str">
        <f aca="false">IF(ISBLANK($C33),"",IF(F33=Constants!$B$2,TRUE(),IF(F33=Constants!$B$3,FALSE(),TRUE())))</f>
        <v/>
      </c>
      <c r="Y33" s="87" t="str">
        <f aca="false">IF(ISBLANK($C33),"",IF(G33=Constants!$B$2,TRUE(),IF(G33=Constants!$B$3,FALSE(),TRUE())))</f>
        <v/>
      </c>
      <c r="Z33" s="87" t="str">
        <f aca="false">IF(ISBLANK($C33),"",IF(H33=Constants!$B$2,TRUE(),IF(H33=Constants!$B$3,FALSE(),TRUE())))</f>
        <v/>
      </c>
      <c r="AA33" s="87" t="str">
        <f aca="false">IF(ISBLANK($C33),"",IF(I33=Constants!$B$2,TRUE(),IF(I33=Constants!$B$3,FALSE(),TRUE())))</f>
        <v/>
      </c>
      <c r="AB33" s="87" t="str">
        <f aca="false">IF(ISBLANK($C33),"",IF(J33=Constants!$B$4,TRUE(),IF(J33=Constants!$B$5,FALSE(),COUNTA(K33:M33)&gt;0)))</f>
        <v/>
      </c>
      <c r="AC33" s="88" t="str">
        <f aca="false">IF(ISBLANK($C33),"",IF(ISNUMBER(K33),IF(K33&gt;=0,K33,""),""))</f>
        <v/>
      </c>
      <c r="AD33" s="89" t="str">
        <f aca="false">IF(ISBLANK($C33),"",IF(ISNUMBER(L33),IF(L33&gt;=0,L33,""),""))</f>
        <v/>
      </c>
      <c r="AE33" s="87" t="str">
        <f aca="false">IF(ISBLANK($C33),"",IF(ISNUMBER(M33),IF(M33&gt;=0,MIN(M33,Constants!$B$22),""),""))</f>
        <v/>
      </c>
      <c r="AF33" s="87" t="str">
        <f aca="false">IF(ISBLANK($C33),"",IF(N33=Constants!$B$2,TRUE(),IF(N33=Constants!$B$3,FALSE(),TRUE())))</f>
        <v/>
      </c>
      <c r="AG33" s="87" t="str">
        <f aca="false">IF(ISBLANK($C33),"",IF(O33=Constants!$B$2,TRUE(),IF(O33=Constants!$B$3,FALSE(),TRUE())))</f>
        <v/>
      </c>
      <c r="AH33" s="87" t="str">
        <f aca="false">IF(ISBLANK($C33),"",IF(P33=Constants!$B$4,TRUE(),IF(P33=Constants!$B$5,FALSE(),COUNTA(Q33:S33)&gt;0)))</f>
        <v/>
      </c>
      <c r="AI33" s="88" t="str">
        <f aca="false">IF(ISBLANK($C33),"",IF(ISNUMBER(Q33),IF(Q33&gt;=0,Q33,""),""))</f>
        <v/>
      </c>
      <c r="AJ33" s="89" t="str">
        <f aca="false">IF(ISBLANK($C33),"",IF(ISNUMBER(R33),IF(R33&gt;=0,R33,""),""))</f>
        <v/>
      </c>
      <c r="AK33" s="87" t="str">
        <f aca="false">IF(ISBLANK($C33),"",IF(ISNUMBER(S33),IF(S33&gt;=0,MIN(S33,Constants!$B$22),""),""))</f>
        <v/>
      </c>
      <c r="AL33" s="87" t="str">
        <f aca="false">IF(ISBLANK($C33),"",IF(T33=Constants!$B$2,TRUE(),IF(T33=Constants!$B$3,FALSE(),FALSE())))</f>
        <v/>
      </c>
      <c r="AM33" s="86" t="str">
        <f aca="false">IF(ISBLANK($C33),"",AND($AB33,OR($AC33="",$AD33="",AND(NOT(ISBLANK($M33)),$AE33=""))))</f>
        <v/>
      </c>
      <c r="AN33" s="89" t="str">
        <f aca="false">IF($BD33&lt;&gt;Constants!$B$6,"",IF($AB33,Constants!$B$17*$AD33,Constants!$B$18))</f>
        <v/>
      </c>
      <c r="AO33" s="91" t="str">
        <f aca="false">IF($BD33&lt;&gt;Constants!$B$6,"",Constants!$B$19*IF($AB33,$AC33,0))</f>
        <v/>
      </c>
      <c r="AP33" s="91" t="str">
        <f aca="false">IF($BD33&lt;&gt;Constants!$B$6,"",IF(AND($AB33,ISNUMBER($AE33)),Constants!$B$20*(Constants!$B$21-$AE33),0))</f>
        <v/>
      </c>
      <c r="AQ33" s="91" t="str">
        <f aca="false">IF($BD33&lt;&gt;Constants!$B$6,"",IF($AA33,0,Constants!$B$12)+IF($Z33,0,Constants!$B$13)+IF($Y33,0,Constants!$B$14))</f>
        <v/>
      </c>
      <c r="AR33" s="92" t="str">
        <f aca="false">IF($BD33&lt;&gt;Constants!$B$6,"",Constants!$B$16+SUM($AN33:$AQ33))</f>
        <v/>
      </c>
      <c r="AS33" s="91" t="str">
        <f aca="false">IF($BD33&lt;&gt;Constants!$B$6,"",IF($AB33,$AD33,""))</f>
        <v/>
      </c>
      <c r="AT33" s="93" t="str">
        <f aca="false">IF($BD33&lt;&gt;Constants!$B$6,"",$AO33)</f>
        <v/>
      </c>
      <c r="AU33" s="87" t="str">
        <f aca="false">IF($BD33&lt;&gt;Constants!$B$6,"",IF(OR($BA33&lt;$AR33,AND($BA33=$AR33,OR(AND(ISNUMBER($BB33),OR(NOT(ISNUMBER($AS33)),$BB33&lt;$AS33)),AND(OR(AND($BB33="",$AS33=""),AND(ISNUMBER($BB33),ISNUMBER($AS33),$BB33=$AS33)),$BC33&lt;$AT33)))),"-&gt;","&lt;-"))</f>
        <v/>
      </c>
      <c r="AV33" s="86" t="str">
        <f aca="false">IF(ISBLANK($C33),"",AND($AH33,OR($AI33="",$AJ33="",AND(NOT(ISBLANK($S33)),$AK33=""))))</f>
        <v/>
      </c>
      <c r="AW33" s="89" t="str">
        <f aca="false">IF($BD33&lt;&gt;Constants!$B$6,"",IF($AH33,Constants!$B$17*$AJ33,Constants!$B$18))</f>
        <v/>
      </c>
      <c r="AX33" s="91" t="str">
        <f aca="false">IF($BD33&lt;&gt;Constants!$B$6,"",Constants!$B$19*IF($AH33,$AI33,0))</f>
        <v/>
      </c>
      <c r="AY33" s="91" t="str">
        <f aca="false">IF($BD33&lt;&gt;Constants!$B$6,"",IF(AND($AH33,ISNUMBER($AK33)),Constants!$B$20*(Constants!$B$21-$AK33),0))</f>
        <v/>
      </c>
      <c r="AZ33" s="91" t="str">
        <f aca="false">IF($BD33&lt;&gt;Constants!$B$6,"",IF($AG33,0,Constants!$B$12)+IF($AF33,0,Constants!$B$13)+IF($Y33,0,Constants!$B$14))</f>
        <v/>
      </c>
      <c r="BA33" s="92" t="str">
        <f aca="false">IF($BD33&lt;&gt;Constants!$B$6,"",Constants!$B$16+SUM($AW33:$AZ33))</f>
        <v/>
      </c>
      <c r="BB33" s="91" t="str">
        <f aca="false">IF($BD33&lt;&gt;Constants!$B$6,"",IF($AH33,$AJ33,""))</f>
        <v/>
      </c>
      <c r="BC33" s="93" t="str">
        <f aca="false">IF($BD33&lt;&gt;Constants!$B$6,"",$AX33)</f>
        <v/>
      </c>
      <c r="BD33" s="87" t="str">
        <f aca="false">IF(ISBLANK($C33),"",IF($AL33,Constants!$B$9,IF(COUNTA($E33:$T33)=0,Constants!$B$8,IF(NOT($X33),Constants!$B$7,IF(OR($AM33,$AV33),Constants!$B$10,Constants!$B$6)))))</f>
        <v/>
      </c>
      <c r="BE33" s="87" t="str">
        <f aca="false">IF(ISBLANK($C33),"",IF($BD33&lt;&gt;Constants!$B$6,$BD33,Constants!$B$11))</f>
        <v/>
      </c>
      <c r="BF33" s="91" t="str">
        <f aca="false">IF($BD33&lt;&gt;Constants!$B$6,"",IF($AU33="-&gt;",$BA33,$AR33))</f>
        <v/>
      </c>
      <c r="BG33" s="91" t="str">
        <f aca="false">IF($BD33&lt;&gt;Constants!$B$6,"",IF($W33,0,Constants!$B$15))</f>
        <v/>
      </c>
      <c r="BH33" s="91" t="str">
        <f aca="false">IF(ISBLANK($C33),"",IF($BD33&lt;&gt;Constants!$B$6,$BD33,SUM($BF33:$BG33)))</f>
        <v/>
      </c>
      <c r="BI33" s="87" t="str">
        <f aca="false">IF(ISBLANK($C33),"",IF($BD33&lt;&gt;Constants!$B$6,$BD33,RANK($BH33,$BH$9:$BH$508,1)))</f>
        <v/>
      </c>
      <c r="BJ33" s="91" t="str">
        <f aca="false">IF($BD33&lt;&gt;Constants!$B$6,"",IF($AU33="-&gt;",$BB33,$AS33))</f>
        <v/>
      </c>
      <c r="BK33" s="87" t="str">
        <f aca="false">IF(ISBLANK($C33),"",IF($BD33&lt;&gt;Constants!$B$6,$BD33,IF(ISNUMBER($BJ33),RANK($BJ33,$BJ$9:$BJ$508,1),COUNT($BJ$9:$BJ$508)+1)))</f>
        <v/>
      </c>
      <c r="BL33" s="91" t="str">
        <f aca="false">IF($BD33&lt;&gt;Constants!$B$6,"",IF($AU33="-&gt;",$BC33,$AT33))</f>
        <v/>
      </c>
      <c r="BM33" s="87" t="str">
        <f aca="false">IF(ISBLANK($C33),"",IF($BD33&lt;&gt;Constants!$B$6,$BD33,IF(ISNUMBER($BL33),RANK($BL33,$BL$9:$BL$508,1),COUNT($BL$9:$BL$508)+1)))</f>
        <v/>
      </c>
      <c r="BN33" s="91" t="str">
        <f aca="false">IF($BD33&lt;&gt;Constants!$B$6,"",IF($AU33="-&gt;",$AS33,$BB33))</f>
        <v/>
      </c>
      <c r="BO33" s="87" t="str">
        <f aca="false">IF(ISBLANK($C33),"",IF($BD33&lt;&gt;Constants!$B$6,$BD33,IF(ISNUMBER($BN33),RANK($BN33,$BN$9:$BN$508,1),COUNT($BN$9:$BN$508)+1)))</f>
        <v/>
      </c>
      <c r="BP33" s="91" t="str">
        <f aca="false">IF($BD33&lt;&gt;Constants!$B$6,"",IF($AU33="-&gt;",$AT33,$BC33))</f>
        <v/>
      </c>
      <c r="BQ33" s="87" t="str">
        <f aca="false">IF(ISBLANK($C33),"",IF($BD33&lt;&gt;Constants!$B$6,$BD33,IF(ISNUMBER($BP33),RANK($BP33,$BP$9:$BP$508,1),COUNT($BP$9:$BP$508)+1)))</f>
        <v/>
      </c>
      <c r="BR33" s="87" t="str">
        <f aca="false">IF(ISBLANK($C33),"",IF($BD33&lt;&gt;Constants!$B$6,$BD33,COUNTIFS($BI$9:$BI$508,"&lt;"&amp;$BI33)+COUNTIFS($BI$9:$BI$508,$BI33,$BK$9:$BK$508,"&lt;"&amp;$BK33)+COUNTIFS($BI$9:$BI$508,$BI33,$BK$9:$BK$508,$BK33,$BM$9:$BM$508,"&lt;"&amp;$BM33)+COUNTIFS($BI$9:$BI$508,$BI33,$BK$9:$BK$508,$BK33,$BM$9:$BM$508,$BM33,$BO$9:$BO$508,"&lt;"&amp;$BO33)+COUNTIFS($BI$9:$BI$508,$BI33,$BK$9:$BK$508,$BK33,$BM$9:$BM$508,$BM33,$BO$9:$BO$508,$BO33,$BQ$9:$BQ$508,"&lt;"&amp;$BQ33)+1))</f>
        <v/>
      </c>
      <c r="BS33" s="87" t="str">
        <f aca="false">IF(ISBLANK($C33),"",IF($BD33&lt;&gt;Constants!$B$6,$BD33,$BI33-$BR33))</f>
        <v/>
      </c>
      <c r="BT33" s="94"/>
      <c r="BU33" s="95"/>
      <c r="BV33" s="95" t="str">
        <f aca="false">IF(ISBLANK($C33),"",IF($BD33&lt;&gt;Constants!$B$6,"",IF($AU33="-&gt;",2,1)))</f>
        <v/>
      </c>
      <c r="BW33" s="96" t="str">
        <f aca="false">IF(ISBLANK($C33),"",IF($BD33&lt;&gt;Constants!$B$6,"",IF($AU33="-&gt;",$AW33,$AN33)))</f>
        <v/>
      </c>
      <c r="BX33" s="96" t="str">
        <f aca="false">IF(ISBLANK($C33),"",IF($BD33&lt;&gt;Constants!$B$6,"",IF($AU33="-&gt;",$AX33,$AO33)))</f>
        <v/>
      </c>
      <c r="BY33" s="96" t="str">
        <f aca="false">IF(ISBLANK($C33),"",IF($BD33&lt;&gt;Constants!$B$6,"",IF($AU33="-&gt;",$AY33,$AP33)))</f>
        <v/>
      </c>
      <c r="BZ33" s="96" t="str">
        <f aca="false">IF(ISBLANK($C33),"",IF($BD33&lt;&gt;Constants!$B$6,"",IF($AU33="-&gt;",$AZ33,$AQ33)+$BG33))</f>
        <v/>
      </c>
      <c r="CA33" s="97" t="str">
        <f aca="false">IF(ISBLANK($C33),"",IF($BD33&lt;&gt;Constants!$B$6,$BD33,$BH33))</f>
        <v/>
      </c>
      <c r="CB33" s="98" t="str">
        <f aca="false">IF(ISBLANK($C33),"",$BE33)</f>
        <v/>
      </c>
      <c r="CC33" s="99" t="str">
        <f aca="false">IF(ISBLANK($C33),"",$BS33)</f>
        <v/>
      </c>
      <c r="CD33" s="99" t="str">
        <f aca="false">IF(ISBLANK($C33),"",$BR33)</f>
        <v/>
      </c>
      <c r="CE33" s="100" t="str">
        <f aca="false">IF(ISBLANK($C33),"",IF($CD33=Constants!$B$9,COUNTA($C$9:$C$508)+2,IF($CD33=Constants!$B$8,COUNTA($C$9:$C$508)+1,IF($CD33=Constants!$B$7,COUNTA($C$9:$C$508),$CD33))))</f>
        <v/>
      </c>
      <c r="CF33" s="9"/>
      <c r="CG33" s="101" t="n">
        <f aca="false">IF(OR(ISNUMBER($CD33),$CD33=Constants!$B$9,$CD33=Constants!$B$7,$CD33=Constants!$B$8),1,0)</f>
        <v>0</v>
      </c>
      <c r="CH33" s="101" t="n">
        <v>25</v>
      </c>
      <c r="CI33" s="101" t="str">
        <f aca="false">IF(ISBLANK($C33),"",IF(ISNUMBER($CE33),$CE33+ROW($B33)/1000,""))</f>
        <v/>
      </c>
      <c r="CJ33" s="101" t="str">
        <f aca="false">IF(ISNUMBER($CI33),RANK($CI33,$CI$9:$CI$508,1),"")</f>
        <v/>
      </c>
      <c r="CK33" s="101" t="str">
        <f aca="false">IF(ISBLANK($C33),"",$B33)</f>
        <v/>
      </c>
      <c r="CL33" s="101" t="str">
        <f aca="false">IF(ISBLANK($C33),"",$C33)</f>
        <v/>
      </c>
      <c r="CM33" s="101" t="str">
        <f aca="false">IF(ISBLANK($C33),"",$D33)</f>
        <v/>
      </c>
      <c r="CN33" s="102" t="str">
        <f aca="false">$CB33</f>
        <v/>
      </c>
      <c r="CO33" s="103" t="str">
        <f aca="false">$CA33</f>
        <v/>
      </c>
      <c r="CP33" s="101" t="str">
        <f aca="false">IF(ISBLANK($C33),"",$CD33)</f>
        <v/>
      </c>
      <c r="CQ33" s="104" t="str">
        <f aca="false">IF($CH33&gt;$CG$8,"",VLOOKUP($CH33,$CJ$9:$CP$508,7,FALSE()))</f>
        <v/>
      </c>
      <c r="CR33" s="105" t="str">
        <f aca="false">IF($CH33&gt;$CG$8,"",VLOOKUP($CH33,$CJ$9:$CP$508,2,FALSE()))</f>
        <v/>
      </c>
      <c r="CS33" s="105" t="str">
        <f aca="false">IF($CH33&gt;$CG$8,"",VLOOKUP($CH33,$CJ$9:$CP$508,3,FALSE()))</f>
        <v/>
      </c>
      <c r="CT33" s="105" t="str">
        <f aca="false">IF($CH33&gt;$CG$8,"",VLOOKUP($CH33,$CJ$9:$CP$508,4,FALSE()))</f>
        <v/>
      </c>
      <c r="CU33" s="105" t="str">
        <f aca="false">IF($CH33&gt;$CG$8,"",VLOOKUP($CH33,$CJ$9:$CP$508,5,FALSE()))</f>
        <v/>
      </c>
      <c r="CV33" s="106" t="str">
        <f aca="false">IF($CH33&gt;$CG$8,"",VLOOKUP($CH33,$CJ$9:$CP$508,6,FALSE()))</f>
        <v/>
      </c>
      <c r="CW33" s="71"/>
    </row>
    <row r="34" customFormat="false" ht="15.75" hidden="false" customHeight="false" outlineLevel="0" collapsed="false">
      <c r="A34" s="9"/>
      <c r="B34" s="72"/>
      <c r="C34" s="73"/>
      <c r="D34" s="160"/>
      <c r="E34" s="161"/>
      <c r="F34" s="162"/>
      <c r="G34" s="163"/>
      <c r="H34" s="164"/>
      <c r="I34" s="165"/>
      <c r="J34" s="80"/>
      <c r="K34" s="81"/>
      <c r="L34" s="82"/>
      <c r="M34" s="166"/>
      <c r="N34" s="165"/>
      <c r="O34" s="165"/>
      <c r="P34" s="80"/>
      <c r="Q34" s="82"/>
      <c r="R34" s="82"/>
      <c r="S34" s="166"/>
      <c r="T34" s="167"/>
      <c r="U34" s="86"/>
      <c r="V34" s="87"/>
      <c r="W34" s="87" t="str">
        <f aca="false">IF(ISBLANK($C34),"",IF(E34=Constants!$B$2,TRUE(),IF(E34=Constants!$B$3,FALSE(),TRUE())))</f>
        <v/>
      </c>
      <c r="X34" s="87" t="str">
        <f aca="false">IF(ISBLANK($C34),"",IF(F34=Constants!$B$2,TRUE(),IF(F34=Constants!$B$3,FALSE(),TRUE())))</f>
        <v/>
      </c>
      <c r="Y34" s="87" t="str">
        <f aca="false">IF(ISBLANK($C34),"",IF(G34=Constants!$B$2,TRUE(),IF(G34=Constants!$B$3,FALSE(),TRUE())))</f>
        <v/>
      </c>
      <c r="Z34" s="87" t="str">
        <f aca="false">IF(ISBLANK($C34),"",IF(H34=Constants!$B$2,TRUE(),IF(H34=Constants!$B$3,FALSE(),TRUE())))</f>
        <v/>
      </c>
      <c r="AA34" s="87" t="str">
        <f aca="false">IF(ISBLANK($C34),"",IF(I34=Constants!$B$2,TRUE(),IF(I34=Constants!$B$3,FALSE(),TRUE())))</f>
        <v/>
      </c>
      <c r="AB34" s="87" t="str">
        <f aca="false">IF(ISBLANK($C34),"",IF(J34=Constants!$B$4,TRUE(),IF(J34=Constants!$B$5,FALSE(),COUNTA(K34:M34)&gt;0)))</f>
        <v/>
      </c>
      <c r="AC34" s="88" t="str">
        <f aca="false">IF(ISBLANK($C34),"",IF(ISNUMBER(K34),IF(K34&gt;=0,K34,""),""))</f>
        <v/>
      </c>
      <c r="AD34" s="89" t="str">
        <f aca="false">IF(ISBLANK($C34),"",IF(ISNUMBER(L34),IF(L34&gt;=0,L34,""),""))</f>
        <v/>
      </c>
      <c r="AE34" s="87" t="str">
        <f aca="false">IF(ISBLANK($C34),"",IF(ISNUMBER(M34),IF(M34&gt;=0,MIN(M34,Constants!$B$22),""),""))</f>
        <v/>
      </c>
      <c r="AF34" s="87" t="str">
        <f aca="false">IF(ISBLANK($C34),"",IF(N34=Constants!$B$2,TRUE(),IF(N34=Constants!$B$3,FALSE(),TRUE())))</f>
        <v/>
      </c>
      <c r="AG34" s="87" t="str">
        <f aca="false">IF(ISBLANK($C34),"",IF(O34=Constants!$B$2,TRUE(),IF(O34=Constants!$B$3,FALSE(),TRUE())))</f>
        <v/>
      </c>
      <c r="AH34" s="87" t="str">
        <f aca="false">IF(ISBLANK($C34),"",IF(P34=Constants!$B$4,TRUE(),IF(P34=Constants!$B$5,FALSE(),COUNTA(Q34:S34)&gt;0)))</f>
        <v/>
      </c>
      <c r="AI34" s="88" t="str">
        <f aca="false">IF(ISBLANK($C34),"",IF(ISNUMBER(Q34),IF(Q34&gt;=0,Q34,""),""))</f>
        <v/>
      </c>
      <c r="AJ34" s="89" t="str">
        <f aca="false">IF(ISBLANK($C34),"",IF(ISNUMBER(R34),IF(R34&gt;=0,R34,""),""))</f>
        <v/>
      </c>
      <c r="AK34" s="87" t="str">
        <f aca="false">IF(ISBLANK($C34),"",IF(ISNUMBER(S34),IF(S34&gt;=0,MIN(S34,Constants!$B$22),""),""))</f>
        <v/>
      </c>
      <c r="AL34" s="87" t="str">
        <f aca="false">IF(ISBLANK($C34),"",IF(T34=Constants!$B$2,TRUE(),IF(T34=Constants!$B$3,FALSE(),FALSE())))</f>
        <v/>
      </c>
      <c r="AM34" s="86" t="str">
        <f aca="false">IF(ISBLANK($C34),"",AND($AB34,OR($AC34="",$AD34="",AND(NOT(ISBLANK($M34)),$AE34=""))))</f>
        <v/>
      </c>
      <c r="AN34" s="89" t="str">
        <f aca="false">IF($BD34&lt;&gt;Constants!$B$6,"",IF($AB34,Constants!$B$17*$AD34,Constants!$B$18))</f>
        <v/>
      </c>
      <c r="AO34" s="91" t="str">
        <f aca="false">IF($BD34&lt;&gt;Constants!$B$6,"",Constants!$B$19*IF($AB34,$AC34,0))</f>
        <v/>
      </c>
      <c r="AP34" s="91" t="str">
        <f aca="false">IF($BD34&lt;&gt;Constants!$B$6,"",IF(AND($AB34,ISNUMBER($AE34)),Constants!$B$20*(Constants!$B$21-$AE34),0))</f>
        <v/>
      </c>
      <c r="AQ34" s="91" t="str">
        <f aca="false">IF($BD34&lt;&gt;Constants!$B$6,"",IF($AA34,0,Constants!$B$12)+IF($Z34,0,Constants!$B$13)+IF($Y34,0,Constants!$B$14))</f>
        <v/>
      </c>
      <c r="AR34" s="92" t="str">
        <f aca="false">IF($BD34&lt;&gt;Constants!$B$6,"",Constants!$B$16+SUM($AN34:$AQ34))</f>
        <v/>
      </c>
      <c r="AS34" s="91" t="str">
        <f aca="false">IF($BD34&lt;&gt;Constants!$B$6,"",IF($AB34,$AD34,""))</f>
        <v/>
      </c>
      <c r="AT34" s="93" t="str">
        <f aca="false">IF($BD34&lt;&gt;Constants!$B$6,"",$AO34)</f>
        <v/>
      </c>
      <c r="AU34" s="87" t="str">
        <f aca="false">IF($BD34&lt;&gt;Constants!$B$6,"",IF(OR($BA34&lt;$AR34,AND($BA34=$AR34,OR(AND(ISNUMBER($BB34),OR(NOT(ISNUMBER($AS34)),$BB34&lt;$AS34)),AND(OR(AND($BB34="",$AS34=""),AND(ISNUMBER($BB34),ISNUMBER($AS34),$BB34=$AS34)),$BC34&lt;$AT34)))),"-&gt;","&lt;-"))</f>
        <v/>
      </c>
      <c r="AV34" s="86" t="str">
        <f aca="false">IF(ISBLANK($C34),"",AND($AH34,OR($AI34="",$AJ34="",AND(NOT(ISBLANK($S34)),$AK34=""))))</f>
        <v/>
      </c>
      <c r="AW34" s="89" t="str">
        <f aca="false">IF($BD34&lt;&gt;Constants!$B$6,"",IF($AH34,Constants!$B$17*$AJ34,Constants!$B$18))</f>
        <v/>
      </c>
      <c r="AX34" s="91" t="str">
        <f aca="false">IF($BD34&lt;&gt;Constants!$B$6,"",Constants!$B$19*IF($AH34,$AI34,0))</f>
        <v/>
      </c>
      <c r="AY34" s="91" t="str">
        <f aca="false">IF($BD34&lt;&gt;Constants!$B$6,"",IF(AND($AH34,ISNUMBER($AK34)),Constants!$B$20*(Constants!$B$21-$AK34),0))</f>
        <v/>
      </c>
      <c r="AZ34" s="91" t="str">
        <f aca="false">IF($BD34&lt;&gt;Constants!$B$6,"",IF($AG34,0,Constants!$B$12)+IF($AF34,0,Constants!$B$13)+IF($Y34,0,Constants!$B$14))</f>
        <v/>
      </c>
      <c r="BA34" s="92" t="str">
        <f aca="false">IF($BD34&lt;&gt;Constants!$B$6,"",Constants!$B$16+SUM($AW34:$AZ34))</f>
        <v/>
      </c>
      <c r="BB34" s="91" t="str">
        <f aca="false">IF($BD34&lt;&gt;Constants!$B$6,"",IF($AH34,$AJ34,""))</f>
        <v/>
      </c>
      <c r="BC34" s="93" t="str">
        <f aca="false">IF($BD34&lt;&gt;Constants!$B$6,"",$AX34)</f>
        <v/>
      </c>
      <c r="BD34" s="87" t="str">
        <f aca="false">IF(ISBLANK($C34),"",IF($AL34,Constants!$B$9,IF(COUNTA($E34:$T34)=0,Constants!$B$8,IF(NOT($X34),Constants!$B$7,IF(OR($AM34,$AV34),Constants!$B$10,Constants!$B$6)))))</f>
        <v/>
      </c>
      <c r="BE34" s="87" t="str">
        <f aca="false">IF(ISBLANK($C34),"",IF($BD34&lt;&gt;Constants!$B$6,$BD34,Constants!$B$11))</f>
        <v/>
      </c>
      <c r="BF34" s="91" t="str">
        <f aca="false">IF($BD34&lt;&gt;Constants!$B$6,"",IF($AU34="-&gt;",$BA34,$AR34))</f>
        <v/>
      </c>
      <c r="BG34" s="91" t="str">
        <f aca="false">IF($BD34&lt;&gt;Constants!$B$6,"",IF($W34,0,Constants!$B$15))</f>
        <v/>
      </c>
      <c r="BH34" s="91" t="str">
        <f aca="false">IF(ISBLANK($C34),"",IF($BD34&lt;&gt;Constants!$B$6,$BD34,SUM($BF34:$BG34)))</f>
        <v/>
      </c>
      <c r="BI34" s="87" t="str">
        <f aca="false">IF(ISBLANK($C34),"",IF($BD34&lt;&gt;Constants!$B$6,$BD34,RANK($BH34,$BH$9:$BH$508,1)))</f>
        <v/>
      </c>
      <c r="BJ34" s="91" t="str">
        <f aca="false">IF($BD34&lt;&gt;Constants!$B$6,"",IF($AU34="-&gt;",$BB34,$AS34))</f>
        <v/>
      </c>
      <c r="BK34" s="87" t="str">
        <f aca="false">IF(ISBLANK($C34),"",IF($BD34&lt;&gt;Constants!$B$6,$BD34,IF(ISNUMBER($BJ34),RANK($BJ34,$BJ$9:$BJ$508,1),COUNT($BJ$9:$BJ$508)+1)))</f>
        <v/>
      </c>
      <c r="BL34" s="91" t="str">
        <f aca="false">IF($BD34&lt;&gt;Constants!$B$6,"",IF($AU34="-&gt;",$BC34,$AT34))</f>
        <v/>
      </c>
      <c r="BM34" s="87" t="str">
        <f aca="false">IF(ISBLANK($C34),"",IF($BD34&lt;&gt;Constants!$B$6,$BD34,IF(ISNUMBER($BL34),RANK($BL34,$BL$9:$BL$508,1),COUNT($BL$9:$BL$508)+1)))</f>
        <v/>
      </c>
      <c r="BN34" s="91" t="str">
        <f aca="false">IF($BD34&lt;&gt;Constants!$B$6,"",IF($AU34="-&gt;",$AS34,$BB34))</f>
        <v/>
      </c>
      <c r="BO34" s="87" t="str">
        <f aca="false">IF(ISBLANK($C34),"",IF($BD34&lt;&gt;Constants!$B$6,$BD34,IF(ISNUMBER($BN34),RANK($BN34,$BN$9:$BN$508,1),COUNT($BN$9:$BN$508)+1)))</f>
        <v/>
      </c>
      <c r="BP34" s="91" t="str">
        <f aca="false">IF($BD34&lt;&gt;Constants!$B$6,"",IF($AU34="-&gt;",$AT34,$BC34))</f>
        <v/>
      </c>
      <c r="BQ34" s="87" t="str">
        <f aca="false">IF(ISBLANK($C34),"",IF($BD34&lt;&gt;Constants!$B$6,$BD34,IF(ISNUMBER($BP34),RANK($BP34,$BP$9:$BP$508,1),COUNT($BP$9:$BP$508)+1)))</f>
        <v/>
      </c>
      <c r="BR34" s="87" t="str">
        <f aca="false">IF(ISBLANK($C34),"",IF($BD34&lt;&gt;Constants!$B$6,$BD34,COUNTIFS($BI$9:$BI$508,"&lt;"&amp;$BI34)+COUNTIFS($BI$9:$BI$508,$BI34,$BK$9:$BK$508,"&lt;"&amp;$BK34)+COUNTIFS($BI$9:$BI$508,$BI34,$BK$9:$BK$508,$BK34,$BM$9:$BM$508,"&lt;"&amp;$BM34)+COUNTIFS($BI$9:$BI$508,$BI34,$BK$9:$BK$508,$BK34,$BM$9:$BM$508,$BM34,$BO$9:$BO$508,"&lt;"&amp;$BO34)+COUNTIFS($BI$9:$BI$508,$BI34,$BK$9:$BK$508,$BK34,$BM$9:$BM$508,$BM34,$BO$9:$BO$508,$BO34,$BQ$9:$BQ$508,"&lt;"&amp;$BQ34)+1))</f>
        <v/>
      </c>
      <c r="BS34" s="87" t="str">
        <f aca="false">IF(ISBLANK($C34),"",IF($BD34&lt;&gt;Constants!$B$6,$BD34,$BI34-$BR34))</f>
        <v/>
      </c>
      <c r="BT34" s="94"/>
      <c r="BU34" s="95"/>
      <c r="BV34" s="95" t="str">
        <f aca="false">IF(ISBLANK($C34),"",IF($BD34&lt;&gt;Constants!$B$6,"",IF($AU34="-&gt;",2,1)))</f>
        <v/>
      </c>
      <c r="BW34" s="96" t="str">
        <f aca="false">IF(ISBLANK($C34),"",IF($BD34&lt;&gt;Constants!$B$6,"",IF($AU34="-&gt;",$AW34,$AN34)))</f>
        <v/>
      </c>
      <c r="BX34" s="96" t="str">
        <f aca="false">IF(ISBLANK($C34),"",IF($BD34&lt;&gt;Constants!$B$6,"",IF($AU34="-&gt;",$AX34,$AO34)))</f>
        <v/>
      </c>
      <c r="BY34" s="96" t="str">
        <f aca="false">IF(ISBLANK($C34),"",IF($BD34&lt;&gt;Constants!$B$6,"",IF($AU34="-&gt;",$AY34,$AP34)))</f>
        <v/>
      </c>
      <c r="BZ34" s="96" t="str">
        <f aca="false">IF(ISBLANK($C34),"",IF($BD34&lt;&gt;Constants!$B$6,"",IF($AU34="-&gt;",$AZ34,$AQ34)+$BG34))</f>
        <v/>
      </c>
      <c r="CA34" s="97" t="str">
        <f aca="false">IF(ISBLANK($C34),"",IF($BD34&lt;&gt;Constants!$B$6,$BD34,$BH34))</f>
        <v/>
      </c>
      <c r="CB34" s="98" t="str">
        <f aca="false">IF(ISBLANK($C34),"",$BE34)</f>
        <v/>
      </c>
      <c r="CC34" s="99" t="str">
        <f aca="false">IF(ISBLANK($C34),"",$BS34)</f>
        <v/>
      </c>
      <c r="CD34" s="99" t="str">
        <f aca="false">IF(ISBLANK($C34),"",$BR34)</f>
        <v/>
      </c>
      <c r="CE34" s="100" t="str">
        <f aca="false">IF(ISBLANK($C34),"",IF($CD34=Constants!$B$9,COUNTA($C$9:$C$508)+2,IF($CD34=Constants!$B$8,COUNTA($C$9:$C$508)+1,IF($CD34=Constants!$B$7,COUNTA($C$9:$C$508),$CD34))))</f>
        <v/>
      </c>
      <c r="CF34" s="9"/>
      <c r="CG34" s="101" t="n">
        <f aca="false">IF(OR(ISNUMBER($CD34),$CD34=Constants!$B$9,$CD34=Constants!$B$7,$CD34=Constants!$B$8),1,0)</f>
        <v>0</v>
      </c>
      <c r="CH34" s="101" t="n">
        <v>26</v>
      </c>
      <c r="CI34" s="101" t="str">
        <f aca="false">IF(ISBLANK($C34),"",IF(ISNUMBER($CE34),$CE34+ROW($B34)/1000,""))</f>
        <v/>
      </c>
      <c r="CJ34" s="101" t="str">
        <f aca="false">IF(ISNUMBER($CI34),RANK($CI34,$CI$9:$CI$508,1),"")</f>
        <v/>
      </c>
      <c r="CK34" s="101" t="str">
        <f aca="false">IF(ISBLANK($C34),"",$B34)</f>
        <v/>
      </c>
      <c r="CL34" s="101" t="str">
        <f aca="false">IF(ISBLANK($C34),"",$C34)</f>
        <v/>
      </c>
      <c r="CM34" s="101" t="str">
        <f aca="false">IF(ISBLANK($C34),"",$D34)</f>
        <v/>
      </c>
      <c r="CN34" s="102" t="str">
        <f aca="false">$CB34</f>
        <v/>
      </c>
      <c r="CO34" s="103" t="str">
        <f aca="false">$CA34</f>
        <v/>
      </c>
      <c r="CP34" s="101" t="str">
        <f aca="false">IF(ISBLANK($C34),"",$CD34)</f>
        <v/>
      </c>
      <c r="CQ34" s="104" t="str">
        <f aca="false">IF($CH34&gt;$CG$8,"",VLOOKUP($CH34,$CJ$9:$CP$508,7,FALSE()))</f>
        <v/>
      </c>
      <c r="CR34" s="105" t="str">
        <f aca="false">IF($CH34&gt;$CG$8,"",VLOOKUP($CH34,$CJ$9:$CP$508,2,FALSE()))</f>
        <v/>
      </c>
      <c r="CS34" s="105" t="str">
        <f aca="false">IF($CH34&gt;$CG$8,"",VLOOKUP($CH34,$CJ$9:$CP$508,3,FALSE()))</f>
        <v/>
      </c>
      <c r="CT34" s="105" t="str">
        <f aca="false">IF($CH34&gt;$CG$8,"",VLOOKUP($CH34,$CJ$9:$CP$508,4,FALSE()))</f>
        <v/>
      </c>
      <c r="CU34" s="105" t="str">
        <f aca="false">IF($CH34&gt;$CG$8,"",VLOOKUP($CH34,$CJ$9:$CP$508,5,FALSE()))</f>
        <v/>
      </c>
      <c r="CV34" s="106" t="str">
        <f aca="false">IF($CH34&gt;$CG$8,"",VLOOKUP($CH34,$CJ$9:$CP$508,6,FALSE()))</f>
        <v/>
      </c>
      <c r="CW34" s="71"/>
    </row>
    <row r="35" customFormat="false" ht="15.75" hidden="false" customHeight="false" outlineLevel="0" collapsed="false">
      <c r="A35" s="9"/>
      <c r="B35" s="72"/>
      <c r="C35" s="73"/>
      <c r="D35" s="160"/>
      <c r="E35" s="161"/>
      <c r="F35" s="162"/>
      <c r="G35" s="163"/>
      <c r="H35" s="164"/>
      <c r="I35" s="165"/>
      <c r="J35" s="80"/>
      <c r="K35" s="81"/>
      <c r="L35" s="82"/>
      <c r="M35" s="166"/>
      <c r="N35" s="165"/>
      <c r="O35" s="165"/>
      <c r="P35" s="80"/>
      <c r="Q35" s="82"/>
      <c r="R35" s="82"/>
      <c r="S35" s="166"/>
      <c r="T35" s="167"/>
      <c r="U35" s="86"/>
      <c r="V35" s="87"/>
      <c r="W35" s="87" t="str">
        <f aca="false">IF(ISBLANK($C35),"",IF(E35=Constants!$B$2,TRUE(),IF(E35=Constants!$B$3,FALSE(),TRUE())))</f>
        <v/>
      </c>
      <c r="X35" s="87" t="str">
        <f aca="false">IF(ISBLANK($C35),"",IF(F35=Constants!$B$2,TRUE(),IF(F35=Constants!$B$3,FALSE(),TRUE())))</f>
        <v/>
      </c>
      <c r="Y35" s="87" t="str">
        <f aca="false">IF(ISBLANK($C35),"",IF(G35=Constants!$B$2,TRUE(),IF(G35=Constants!$B$3,FALSE(),TRUE())))</f>
        <v/>
      </c>
      <c r="Z35" s="87" t="str">
        <f aca="false">IF(ISBLANK($C35),"",IF(H35=Constants!$B$2,TRUE(),IF(H35=Constants!$B$3,FALSE(),TRUE())))</f>
        <v/>
      </c>
      <c r="AA35" s="87" t="str">
        <f aca="false">IF(ISBLANK($C35),"",IF(I35=Constants!$B$2,TRUE(),IF(I35=Constants!$B$3,FALSE(),TRUE())))</f>
        <v/>
      </c>
      <c r="AB35" s="87" t="str">
        <f aca="false">IF(ISBLANK($C35),"",IF(J35=Constants!$B$4,TRUE(),IF(J35=Constants!$B$5,FALSE(),COUNTA(K35:M35)&gt;0)))</f>
        <v/>
      </c>
      <c r="AC35" s="88" t="str">
        <f aca="false">IF(ISBLANK($C35),"",IF(ISNUMBER(K35),IF(K35&gt;=0,K35,""),""))</f>
        <v/>
      </c>
      <c r="AD35" s="89" t="str">
        <f aca="false">IF(ISBLANK($C35),"",IF(ISNUMBER(L35),IF(L35&gt;=0,L35,""),""))</f>
        <v/>
      </c>
      <c r="AE35" s="87" t="str">
        <f aca="false">IF(ISBLANK($C35),"",IF(ISNUMBER(M35),IF(M35&gt;=0,MIN(M35,Constants!$B$22),""),""))</f>
        <v/>
      </c>
      <c r="AF35" s="87" t="str">
        <f aca="false">IF(ISBLANK($C35),"",IF(N35=Constants!$B$2,TRUE(),IF(N35=Constants!$B$3,FALSE(),TRUE())))</f>
        <v/>
      </c>
      <c r="AG35" s="87" t="str">
        <f aca="false">IF(ISBLANK($C35),"",IF(O35=Constants!$B$2,TRUE(),IF(O35=Constants!$B$3,FALSE(),TRUE())))</f>
        <v/>
      </c>
      <c r="AH35" s="87" t="str">
        <f aca="false">IF(ISBLANK($C35),"",IF(P35=Constants!$B$4,TRUE(),IF(P35=Constants!$B$5,FALSE(),COUNTA(Q35:S35)&gt;0)))</f>
        <v/>
      </c>
      <c r="AI35" s="88" t="str">
        <f aca="false">IF(ISBLANK($C35),"",IF(ISNUMBER(Q35),IF(Q35&gt;=0,Q35,""),""))</f>
        <v/>
      </c>
      <c r="AJ35" s="89" t="str">
        <f aca="false">IF(ISBLANK($C35),"",IF(ISNUMBER(R35),IF(R35&gt;=0,R35,""),""))</f>
        <v/>
      </c>
      <c r="AK35" s="87" t="str">
        <f aca="false">IF(ISBLANK($C35),"",IF(ISNUMBER(S35),IF(S35&gt;=0,MIN(S35,Constants!$B$22),""),""))</f>
        <v/>
      </c>
      <c r="AL35" s="87" t="str">
        <f aca="false">IF(ISBLANK($C35),"",IF(T35=Constants!$B$2,TRUE(),IF(T35=Constants!$B$3,FALSE(),FALSE())))</f>
        <v/>
      </c>
      <c r="AM35" s="86" t="str">
        <f aca="false">IF(ISBLANK($C35),"",AND($AB35,OR($AC35="",$AD35="",AND(NOT(ISBLANK($M35)),$AE35=""))))</f>
        <v/>
      </c>
      <c r="AN35" s="89" t="str">
        <f aca="false">IF($BD35&lt;&gt;Constants!$B$6,"",IF($AB35,Constants!$B$17*$AD35,Constants!$B$18))</f>
        <v/>
      </c>
      <c r="AO35" s="91" t="str">
        <f aca="false">IF($BD35&lt;&gt;Constants!$B$6,"",Constants!$B$19*IF($AB35,$AC35,0))</f>
        <v/>
      </c>
      <c r="AP35" s="91" t="str">
        <f aca="false">IF($BD35&lt;&gt;Constants!$B$6,"",IF(AND($AB35,ISNUMBER($AE35)),Constants!$B$20*(Constants!$B$21-$AE35),0))</f>
        <v/>
      </c>
      <c r="AQ35" s="91" t="str">
        <f aca="false">IF($BD35&lt;&gt;Constants!$B$6,"",IF($AA35,0,Constants!$B$12)+IF($Z35,0,Constants!$B$13)+IF($Y35,0,Constants!$B$14))</f>
        <v/>
      </c>
      <c r="AR35" s="92" t="str">
        <f aca="false">IF($BD35&lt;&gt;Constants!$B$6,"",Constants!$B$16+SUM($AN35:$AQ35))</f>
        <v/>
      </c>
      <c r="AS35" s="91" t="str">
        <f aca="false">IF($BD35&lt;&gt;Constants!$B$6,"",IF($AB35,$AD35,""))</f>
        <v/>
      </c>
      <c r="AT35" s="93" t="str">
        <f aca="false">IF($BD35&lt;&gt;Constants!$B$6,"",$AO35)</f>
        <v/>
      </c>
      <c r="AU35" s="87" t="str">
        <f aca="false">IF($BD35&lt;&gt;Constants!$B$6,"",IF(OR($BA35&lt;$AR35,AND($BA35=$AR35,OR(AND(ISNUMBER($BB35),OR(NOT(ISNUMBER($AS35)),$BB35&lt;$AS35)),AND(OR(AND($BB35="",$AS35=""),AND(ISNUMBER($BB35),ISNUMBER($AS35),$BB35=$AS35)),$BC35&lt;$AT35)))),"-&gt;","&lt;-"))</f>
        <v/>
      </c>
      <c r="AV35" s="86" t="str">
        <f aca="false">IF(ISBLANK($C35),"",AND($AH35,OR($AI35="",$AJ35="",AND(NOT(ISBLANK($S35)),$AK35=""))))</f>
        <v/>
      </c>
      <c r="AW35" s="89" t="str">
        <f aca="false">IF($BD35&lt;&gt;Constants!$B$6,"",IF($AH35,Constants!$B$17*$AJ35,Constants!$B$18))</f>
        <v/>
      </c>
      <c r="AX35" s="91" t="str">
        <f aca="false">IF($BD35&lt;&gt;Constants!$B$6,"",Constants!$B$19*IF($AH35,$AI35,0))</f>
        <v/>
      </c>
      <c r="AY35" s="91" t="str">
        <f aca="false">IF($BD35&lt;&gt;Constants!$B$6,"",IF(AND($AH35,ISNUMBER($AK35)),Constants!$B$20*(Constants!$B$21-$AK35),0))</f>
        <v/>
      </c>
      <c r="AZ35" s="91" t="str">
        <f aca="false">IF($BD35&lt;&gt;Constants!$B$6,"",IF($AG35,0,Constants!$B$12)+IF($AF35,0,Constants!$B$13)+IF($Y35,0,Constants!$B$14))</f>
        <v/>
      </c>
      <c r="BA35" s="92" t="str">
        <f aca="false">IF($BD35&lt;&gt;Constants!$B$6,"",Constants!$B$16+SUM($AW35:$AZ35))</f>
        <v/>
      </c>
      <c r="BB35" s="91" t="str">
        <f aca="false">IF($BD35&lt;&gt;Constants!$B$6,"",IF($AH35,$AJ35,""))</f>
        <v/>
      </c>
      <c r="BC35" s="93" t="str">
        <f aca="false">IF($BD35&lt;&gt;Constants!$B$6,"",$AX35)</f>
        <v/>
      </c>
      <c r="BD35" s="87" t="str">
        <f aca="false">IF(ISBLANK($C35),"",IF($AL35,Constants!$B$9,IF(COUNTA($E35:$T35)=0,Constants!$B$8,IF(NOT($X35),Constants!$B$7,IF(OR($AM35,$AV35),Constants!$B$10,Constants!$B$6)))))</f>
        <v/>
      </c>
      <c r="BE35" s="87" t="str">
        <f aca="false">IF(ISBLANK($C35),"",IF($BD35&lt;&gt;Constants!$B$6,$BD35,Constants!$B$11))</f>
        <v/>
      </c>
      <c r="BF35" s="91" t="str">
        <f aca="false">IF($BD35&lt;&gt;Constants!$B$6,"",IF($AU35="-&gt;",$BA35,$AR35))</f>
        <v/>
      </c>
      <c r="BG35" s="91" t="str">
        <f aca="false">IF($BD35&lt;&gt;Constants!$B$6,"",IF($W35,0,Constants!$B$15))</f>
        <v/>
      </c>
      <c r="BH35" s="91" t="str">
        <f aca="false">IF(ISBLANK($C35),"",IF($BD35&lt;&gt;Constants!$B$6,$BD35,SUM($BF35:$BG35)))</f>
        <v/>
      </c>
      <c r="BI35" s="87" t="str">
        <f aca="false">IF(ISBLANK($C35),"",IF($BD35&lt;&gt;Constants!$B$6,$BD35,RANK($BH35,$BH$9:$BH$508,1)))</f>
        <v/>
      </c>
      <c r="BJ35" s="91" t="str">
        <f aca="false">IF($BD35&lt;&gt;Constants!$B$6,"",IF($AU35="-&gt;",$BB35,$AS35))</f>
        <v/>
      </c>
      <c r="BK35" s="87" t="str">
        <f aca="false">IF(ISBLANK($C35),"",IF($BD35&lt;&gt;Constants!$B$6,$BD35,IF(ISNUMBER($BJ35),RANK($BJ35,$BJ$9:$BJ$508,1),COUNT($BJ$9:$BJ$508)+1)))</f>
        <v/>
      </c>
      <c r="BL35" s="91" t="str">
        <f aca="false">IF($BD35&lt;&gt;Constants!$B$6,"",IF($AU35="-&gt;",$BC35,$AT35))</f>
        <v/>
      </c>
      <c r="BM35" s="87" t="str">
        <f aca="false">IF(ISBLANK($C35),"",IF($BD35&lt;&gt;Constants!$B$6,$BD35,IF(ISNUMBER($BL35),RANK($BL35,$BL$9:$BL$508,1),COUNT($BL$9:$BL$508)+1)))</f>
        <v/>
      </c>
      <c r="BN35" s="91" t="str">
        <f aca="false">IF($BD35&lt;&gt;Constants!$B$6,"",IF($AU35="-&gt;",$AS35,$BB35))</f>
        <v/>
      </c>
      <c r="BO35" s="87" t="str">
        <f aca="false">IF(ISBLANK($C35),"",IF($BD35&lt;&gt;Constants!$B$6,$BD35,IF(ISNUMBER($BN35),RANK($BN35,$BN$9:$BN$508,1),COUNT($BN$9:$BN$508)+1)))</f>
        <v/>
      </c>
      <c r="BP35" s="91" t="str">
        <f aca="false">IF($BD35&lt;&gt;Constants!$B$6,"",IF($AU35="-&gt;",$AT35,$BC35))</f>
        <v/>
      </c>
      <c r="BQ35" s="87" t="str">
        <f aca="false">IF(ISBLANK($C35),"",IF($BD35&lt;&gt;Constants!$B$6,$BD35,IF(ISNUMBER($BP35),RANK($BP35,$BP$9:$BP$508,1),COUNT($BP$9:$BP$508)+1)))</f>
        <v/>
      </c>
      <c r="BR35" s="87" t="str">
        <f aca="false">IF(ISBLANK($C35),"",IF($BD35&lt;&gt;Constants!$B$6,$BD35,COUNTIFS($BI$9:$BI$508,"&lt;"&amp;$BI35)+COUNTIFS($BI$9:$BI$508,$BI35,$BK$9:$BK$508,"&lt;"&amp;$BK35)+COUNTIFS($BI$9:$BI$508,$BI35,$BK$9:$BK$508,$BK35,$BM$9:$BM$508,"&lt;"&amp;$BM35)+COUNTIFS($BI$9:$BI$508,$BI35,$BK$9:$BK$508,$BK35,$BM$9:$BM$508,$BM35,$BO$9:$BO$508,"&lt;"&amp;$BO35)+COUNTIFS($BI$9:$BI$508,$BI35,$BK$9:$BK$508,$BK35,$BM$9:$BM$508,$BM35,$BO$9:$BO$508,$BO35,$BQ$9:$BQ$508,"&lt;"&amp;$BQ35)+1))</f>
        <v/>
      </c>
      <c r="BS35" s="87" t="str">
        <f aca="false">IF(ISBLANK($C35),"",IF($BD35&lt;&gt;Constants!$B$6,$BD35,$BI35-$BR35))</f>
        <v/>
      </c>
      <c r="BT35" s="94"/>
      <c r="BU35" s="95"/>
      <c r="BV35" s="95" t="str">
        <f aca="false">IF(ISBLANK($C35),"",IF($BD35&lt;&gt;Constants!$B$6,"",IF($AU35="-&gt;",2,1)))</f>
        <v/>
      </c>
      <c r="BW35" s="96" t="str">
        <f aca="false">IF(ISBLANK($C35),"",IF($BD35&lt;&gt;Constants!$B$6,"",IF($AU35="-&gt;",$AW35,$AN35)))</f>
        <v/>
      </c>
      <c r="BX35" s="96" t="str">
        <f aca="false">IF(ISBLANK($C35),"",IF($BD35&lt;&gt;Constants!$B$6,"",IF($AU35="-&gt;",$AX35,$AO35)))</f>
        <v/>
      </c>
      <c r="BY35" s="96" t="str">
        <f aca="false">IF(ISBLANK($C35),"",IF($BD35&lt;&gt;Constants!$B$6,"",IF($AU35="-&gt;",$AY35,$AP35)))</f>
        <v/>
      </c>
      <c r="BZ35" s="96" t="str">
        <f aca="false">IF(ISBLANK($C35),"",IF($BD35&lt;&gt;Constants!$B$6,"",IF($AU35="-&gt;",$AZ35,$AQ35)+$BG35))</f>
        <v/>
      </c>
      <c r="CA35" s="97" t="str">
        <f aca="false">IF(ISBLANK($C35),"",IF($BD35&lt;&gt;Constants!$B$6,$BD35,$BH35))</f>
        <v/>
      </c>
      <c r="CB35" s="98" t="str">
        <f aca="false">IF(ISBLANK($C35),"",$BE35)</f>
        <v/>
      </c>
      <c r="CC35" s="99" t="str">
        <f aca="false">IF(ISBLANK($C35),"",$BS35)</f>
        <v/>
      </c>
      <c r="CD35" s="99" t="str">
        <f aca="false">IF(ISBLANK($C35),"",$BR35)</f>
        <v/>
      </c>
      <c r="CE35" s="100" t="str">
        <f aca="false">IF(ISBLANK($C35),"",IF($CD35=Constants!$B$9,COUNTA($C$9:$C$508)+2,IF($CD35=Constants!$B$8,COUNTA($C$9:$C$508)+1,IF($CD35=Constants!$B$7,COUNTA($C$9:$C$508),$CD35))))</f>
        <v/>
      </c>
      <c r="CF35" s="9"/>
      <c r="CG35" s="101" t="n">
        <f aca="false">IF(OR(ISNUMBER($CD35),$CD35=Constants!$B$9,$CD35=Constants!$B$7,$CD35=Constants!$B$8),1,0)</f>
        <v>0</v>
      </c>
      <c r="CH35" s="101" t="n">
        <v>27</v>
      </c>
      <c r="CI35" s="101" t="str">
        <f aca="false">IF(ISBLANK($C35),"",IF(ISNUMBER($CE35),$CE35+ROW($B35)/1000,""))</f>
        <v/>
      </c>
      <c r="CJ35" s="101" t="str">
        <f aca="false">IF(ISNUMBER($CI35),RANK($CI35,$CI$9:$CI$508,1),"")</f>
        <v/>
      </c>
      <c r="CK35" s="101" t="str">
        <f aca="false">IF(ISBLANK($C35),"",$B35)</f>
        <v/>
      </c>
      <c r="CL35" s="101" t="str">
        <f aca="false">IF(ISBLANK($C35),"",$C35)</f>
        <v/>
      </c>
      <c r="CM35" s="101" t="str">
        <f aca="false">IF(ISBLANK($C35),"",$D35)</f>
        <v/>
      </c>
      <c r="CN35" s="102" t="str">
        <f aca="false">$CB35</f>
        <v/>
      </c>
      <c r="CO35" s="103" t="str">
        <f aca="false">$CA35</f>
        <v/>
      </c>
      <c r="CP35" s="101" t="str">
        <f aca="false">IF(ISBLANK($C35),"",$CD35)</f>
        <v/>
      </c>
      <c r="CQ35" s="104" t="str">
        <f aca="false">IF($CH35&gt;$CG$8,"",VLOOKUP($CH35,$CJ$9:$CP$508,7,FALSE()))</f>
        <v/>
      </c>
      <c r="CR35" s="105" t="str">
        <f aca="false">IF($CH35&gt;$CG$8,"",VLOOKUP($CH35,$CJ$9:$CP$508,2,FALSE()))</f>
        <v/>
      </c>
      <c r="CS35" s="105" t="str">
        <f aca="false">IF($CH35&gt;$CG$8,"",VLOOKUP($CH35,$CJ$9:$CP$508,3,FALSE()))</f>
        <v/>
      </c>
      <c r="CT35" s="105" t="str">
        <f aca="false">IF($CH35&gt;$CG$8,"",VLOOKUP($CH35,$CJ$9:$CP$508,4,FALSE()))</f>
        <v/>
      </c>
      <c r="CU35" s="105" t="str">
        <f aca="false">IF($CH35&gt;$CG$8,"",VLOOKUP($CH35,$CJ$9:$CP$508,5,FALSE()))</f>
        <v/>
      </c>
      <c r="CV35" s="106" t="str">
        <f aca="false">IF($CH35&gt;$CG$8,"",VLOOKUP($CH35,$CJ$9:$CP$508,6,FALSE()))</f>
        <v/>
      </c>
      <c r="CW35" s="71"/>
    </row>
    <row r="36" customFormat="false" ht="15.75" hidden="false" customHeight="false" outlineLevel="0" collapsed="false">
      <c r="A36" s="9"/>
      <c r="B36" s="150"/>
      <c r="C36" s="151"/>
      <c r="D36" s="152"/>
      <c r="E36" s="153"/>
      <c r="F36" s="154"/>
      <c r="G36" s="155"/>
      <c r="H36" s="156"/>
      <c r="I36" s="157"/>
      <c r="J36" s="120"/>
      <c r="K36" s="121"/>
      <c r="L36" s="122"/>
      <c r="M36" s="158"/>
      <c r="N36" s="157"/>
      <c r="O36" s="157"/>
      <c r="P36" s="120"/>
      <c r="Q36" s="122"/>
      <c r="R36" s="122"/>
      <c r="S36" s="158"/>
      <c r="T36" s="159"/>
      <c r="U36" s="126"/>
      <c r="V36" s="127"/>
      <c r="W36" s="127" t="str">
        <f aca="false">IF(ISBLANK($C36),"",IF(E36=Constants!$B$2,TRUE(),IF(E36=Constants!$B$3,FALSE(),TRUE())))</f>
        <v/>
      </c>
      <c r="X36" s="127" t="str">
        <f aca="false">IF(ISBLANK($C36),"",IF(F36=Constants!$B$2,TRUE(),IF(F36=Constants!$B$3,FALSE(),TRUE())))</f>
        <v/>
      </c>
      <c r="Y36" s="127" t="str">
        <f aca="false">IF(ISBLANK($C36),"",IF(G36=Constants!$B$2,TRUE(),IF(G36=Constants!$B$3,FALSE(),TRUE())))</f>
        <v/>
      </c>
      <c r="Z36" s="127" t="str">
        <f aca="false">IF(ISBLANK($C36),"",IF(H36=Constants!$B$2,TRUE(),IF(H36=Constants!$B$3,FALSE(),TRUE())))</f>
        <v/>
      </c>
      <c r="AA36" s="127" t="str">
        <f aca="false">IF(ISBLANK($C36),"",IF(I36=Constants!$B$2,TRUE(),IF(I36=Constants!$B$3,FALSE(),TRUE())))</f>
        <v/>
      </c>
      <c r="AB36" s="127" t="str">
        <f aca="false">IF(ISBLANK($C36),"",IF(J36=Constants!$B$4,TRUE(),IF(J36=Constants!$B$5,FALSE(),COUNTA(K36:M36)&gt;0)))</f>
        <v/>
      </c>
      <c r="AC36" s="128" t="str">
        <f aca="false">IF(ISBLANK($C36),"",IF(ISNUMBER(K36),IF(K36&gt;=0,K36,""),""))</f>
        <v/>
      </c>
      <c r="AD36" s="129" t="str">
        <f aca="false">IF(ISBLANK($C36),"",IF(ISNUMBER(L36),IF(L36&gt;=0,L36,""),""))</f>
        <v/>
      </c>
      <c r="AE36" s="127" t="str">
        <f aca="false">IF(ISBLANK($C36),"",IF(ISNUMBER(M36),IF(M36&gt;=0,MIN(M36,Constants!$B$22),""),""))</f>
        <v/>
      </c>
      <c r="AF36" s="127" t="str">
        <f aca="false">IF(ISBLANK($C36),"",IF(N36=Constants!$B$2,TRUE(),IF(N36=Constants!$B$3,FALSE(),TRUE())))</f>
        <v/>
      </c>
      <c r="AG36" s="127" t="str">
        <f aca="false">IF(ISBLANK($C36),"",IF(O36=Constants!$B$2,TRUE(),IF(O36=Constants!$B$3,FALSE(),TRUE())))</f>
        <v/>
      </c>
      <c r="AH36" s="127" t="str">
        <f aca="false">IF(ISBLANK($C36),"",IF(P36=Constants!$B$4,TRUE(),IF(P36=Constants!$B$5,FALSE(),COUNTA(Q36:S36)&gt;0)))</f>
        <v/>
      </c>
      <c r="AI36" s="128" t="str">
        <f aca="false">IF(ISBLANK($C36),"",IF(ISNUMBER(Q36),IF(Q36&gt;=0,Q36,""),""))</f>
        <v/>
      </c>
      <c r="AJ36" s="129" t="str">
        <f aca="false">IF(ISBLANK($C36),"",IF(ISNUMBER(R36),IF(R36&gt;=0,R36,""),""))</f>
        <v/>
      </c>
      <c r="AK36" s="127" t="str">
        <f aca="false">IF(ISBLANK($C36),"",IF(ISNUMBER(S36),IF(S36&gt;=0,MIN(S36,Constants!$B$22),""),""))</f>
        <v/>
      </c>
      <c r="AL36" s="127" t="str">
        <f aca="false">IF(ISBLANK($C36),"",IF(T36=Constants!$B$2,TRUE(),IF(T36=Constants!$B$3,FALSE(),FALSE())))</f>
        <v/>
      </c>
      <c r="AM36" s="126" t="str">
        <f aca="false">IF(ISBLANK($C36),"",AND($AB36,OR($AC36="",$AD36="",AND(NOT(ISBLANK($M36)),$AE36=""))))</f>
        <v/>
      </c>
      <c r="AN36" s="129" t="str">
        <f aca="false">IF($BD36&lt;&gt;Constants!$B$6,"",IF($AB36,Constants!$B$17*$AD36,Constants!$B$18))</f>
        <v/>
      </c>
      <c r="AO36" s="130" t="str">
        <f aca="false">IF($BD36&lt;&gt;Constants!$B$6,"",Constants!$B$19*IF($AB36,$AC36,0))</f>
        <v/>
      </c>
      <c r="AP36" s="130" t="str">
        <f aca="false">IF($BD36&lt;&gt;Constants!$B$6,"",IF(AND($AB36,ISNUMBER($AE36)),Constants!$B$20*(Constants!$B$21-$AE36),0))</f>
        <v/>
      </c>
      <c r="AQ36" s="130" t="str">
        <f aca="false">IF($BD36&lt;&gt;Constants!$B$6,"",IF($AA36,0,Constants!$B$12)+IF($Z36,0,Constants!$B$13)+IF($Y36,0,Constants!$B$14))</f>
        <v/>
      </c>
      <c r="AR36" s="131" t="str">
        <f aca="false">IF($BD36&lt;&gt;Constants!$B$6,"",Constants!$B$16+SUM($AN36:$AQ36))</f>
        <v/>
      </c>
      <c r="AS36" s="130" t="str">
        <f aca="false">IF($BD36&lt;&gt;Constants!$B$6,"",IF($AB36,$AD36,""))</f>
        <v/>
      </c>
      <c r="AT36" s="132" t="str">
        <f aca="false">IF($BD36&lt;&gt;Constants!$B$6,"",$AO36)</f>
        <v/>
      </c>
      <c r="AU36" s="127" t="str">
        <f aca="false">IF($BD36&lt;&gt;Constants!$B$6,"",IF(OR($BA36&lt;$AR36,AND($BA36=$AR36,OR(AND(ISNUMBER($BB36),OR(NOT(ISNUMBER($AS36)),$BB36&lt;$AS36)),AND(OR(AND($BB36="",$AS36=""),AND(ISNUMBER($BB36),ISNUMBER($AS36),$BB36=$AS36)),$BC36&lt;$AT36)))),"-&gt;","&lt;-"))</f>
        <v/>
      </c>
      <c r="AV36" s="126" t="str">
        <f aca="false">IF(ISBLANK($C36),"",AND($AH36,OR($AI36="",$AJ36="",AND(NOT(ISBLANK($S36)),$AK36=""))))</f>
        <v/>
      </c>
      <c r="AW36" s="129" t="str">
        <f aca="false">IF($BD36&lt;&gt;Constants!$B$6,"",IF($AH36,Constants!$B$17*$AJ36,Constants!$B$18))</f>
        <v/>
      </c>
      <c r="AX36" s="130" t="str">
        <f aca="false">IF($BD36&lt;&gt;Constants!$B$6,"",Constants!$B$19*IF($AH36,$AI36,0))</f>
        <v/>
      </c>
      <c r="AY36" s="130" t="str">
        <f aca="false">IF($BD36&lt;&gt;Constants!$B$6,"",IF(AND($AH36,ISNUMBER($AK36)),Constants!$B$20*(Constants!$B$21-$AK36),0))</f>
        <v/>
      </c>
      <c r="AZ36" s="130" t="str">
        <f aca="false">IF($BD36&lt;&gt;Constants!$B$6,"",IF($AG36,0,Constants!$B$12)+IF($AF36,0,Constants!$B$13)+IF($Y36,0,Constants!$B$14))</f>
        <v/>
      </c>
      <c r="BA36" s="131" t="str">
        <f aca="false">IF($BD36&lt;&gt;Constants!$B$6,"",Constants!$B$16+SUM($AW36:$AZ36))</f>
        <v/>
      </c>
      <c r="BB36" s="130" t="str">
        <f aca="false">IF($BD36&lt;&gt;Constants!$B$6,"",IF($AH36,$AJ36,""))</f>
        <v/>
      </c>
      <c r="BC36" s="132" t="str">
        <f aca="false">IF($BD36&lt;&gt;Constants!$B$6,"",$AX36)</f>
        <v/>
      </c>
      <c r="BD36" s="127" t="str">
        <f aca="false">IF(ISBLANK($C36),"",IF($AL36,Constants!$B$9,IF(COUNTA($E36:$T36)=0,Constants!$B$8,IF(NOT($X36),Constants!$B$7,IF(OR($AM36,$AV36),Constants!$B$10,Constants!$B$6)))))</f>
        <v/>
      </c>
      <c r="BE36" s="127" t="str">
        <f aca="false">IF(ISBLANK($C36),"",IF($BD36&lt;&gt;Constants!$B$6,$BD36,Constants!$B$11))</f>
        <v/>
      </c>
      <c r="BF36" s="130" t="str">
        <f aca="false">IF($BD36&lt;&gt;Constants!$B$6,"",IF($AU36="-&gt;",$BA36,$AR36))</f>
        <v/>
      </c>
      <c r="BG36" s="130" t="str">
        <f aca="false">IF($BD36&lt;&gt;Constants!$B$6,"",IF($W36,0,Constants!$B$15))</f>
        <v/>
      </c>
      <c r="BH36" s="130" t="str">
        <f aca="false">IF(ISBLANK($C36),"",IF($BD36&lt;&gt;Constants!$B$6,$BD36,SUM($BF36:$BG36)))</f>
        <v/>
      </c>
      <c r="BI36" s="127" t="str">
        <f aca="false">IF(ISBLANK($C36),"",IF($BD36&lt;&gt;Constants!$B$6,$BD36,RANK($BH36,$BH$9:$BH$508,1)))</f>
        <v/>
      </c>
      <c r="BJ36" s="130" t="str">
        <f aca="false">IF($BD36&lt;&gt;Constants!$B$6,"",IF($AU36="-&gt;",$BB36,$AS36))</f>
        <v/>
      </c>
      <c r="BK36" s="127" t="str">
        <f aca="false">IF(ISBLANK($C36),"",IF($BD36&lt;&gt;Constants!$B$6,$BD36,IF(ISNUMBER($BJ36),RANK($BJ36,$BJ$9:$BJ$508,1),COUNT($BJ$9:$BJ$508)+1)))</f>
        <v/>
      </c>
      <c r="BL36" s="130" t="str">
        <f aca="false">IF($BD36&lt;&gt;Constants!$B$6,"",IF($AU36="-&gt;",$BC36,$AT36))</f>
        <v/>
      </c>
      <c r="BM36" s="127" t="str">
        <f aca="false">IF(ISBLANK($C36),"",IF($BD36&lt;&gt;Constants!$B$6,$BD36,IF(ISNUMBER($BL36),RANK($BL36,$BL$9:$BL$508,1),COUNT($BL$9:$BL$508)+1)))</f>
        <v/>
      </c>
      <c r="BN36" s="130" t="str">
        <f aca="false">IF($BD36&lt;&gt;Constants!$B$6,"",IF($AU36="-&gt;",$AS36,$BB36))</f>
        <v/>
      </c>
      <c r="BO36" s="127" t="str">
        <f aca="false">IF(ISBLANK($C36),"",IF($BD36&lt;&gt;Constants!$B$6,$BD36,IF(ISNUMBER($BN36),RANK($BN36,$BN$9:$BN$508,1),COUNT($BN$9:$BN$508)+1)))</f>
        <v/>
      </c>
      <c r="BP36" s="130" t="str">
        <f aca="false">IF($BD36&lt;&gt;Constants!$B$6,"",IF($AU36="-&gt;",$AT36,$BC36))</f>
        <v/>
      </c>
      <c r="BQ36" s="127" t="str">
        <f aca="false">IF(ISBLANK($C36),"",IF($BD36&lt;&gt;Constants!$B$6,$BD36,IF(ISNUMBER($BP36),RANK($BP36,$BP$9:$BP$508,1),COUNT($BP$9:$BP$508)+1)))</f>
        <v/>
      </c>
      <c r="BR36" s="127" t="str">
        <f aca="false">IF(ISBLANK($C36),"",IF($BD36&lt;&gt;Constants!$B$6,$BD36,COUNTIFS($BI$9:$BI$508,"&lt;"&amp;$BI36)+COUNTIFS($BI$9:$BI$508,$BI36,$BK$9:$BK$508,"&lt;"&amp;$BK36)+COUNTIFS($BI$9:$BI$508,$BI36,$BK$9:$BK$508,$BK36,$BM$9:$BM$508,"&lt;"&amp;$BM36)+COUNTIFS($BI$9:$BI$508,$BI36,$BK$9:$BK$508,$BK36,$BM$9:$BM$508,$BM36,$BO$9:$BO$508,"&lt;"&amp;$BO36)+COUNTIFS($BI$9:$BI$508,$BI36,$BK$9:$BK$508,$BK36,$BM$9:$BM$508,$BM36,$BO$9:$BO$508,$BO36,$BQ$9:$BQ$508,"&lt;"&amp;$BQ36)+1))</f>
        <v/>
      </c>
      <c r="BS36" s="127" t="str">
        <f aca="false">IF(ISBLANK($C36),"",IF($BD36&lt;&gt;Constants!$B$6,$BD36,$BI36-$BR36))</f>
        <v/>
      </c>
      <c r="BT36" s="133"/>
      <c r="BU36" s="134"/>
      <c r="BV36" s="134" t="str">
        <f aca="false">IF(ISBLANK($C36),"",IF($BD36&lt;&gt;Constants!$B$6,"",IF($AU36="-&gt;",2,1)))</f>
        <v/>
      </c>
      <c r="BW36" s="135" t="str">
        <f aca="false">IF(ISBLANK($C36),"",IF($BD36&lt;&gt;Constants!$B$6,"",IF($AU36="-&gt;",$AW36,$AN36)))</f>
        <v/>
      </c>
      <c r="BX36" s="135" t="str">
        <f aca="false">IF(ISBLANK($C36),"",IF($BD36&lt;&gt;Constants!$B$6,"",IF($AU36="-&gt;",$AX36,$AO36)))</f>
        <v/>
      </c>
      <c r="BY36" s="135" t="str">
        <f aca="false">IF(ISBLANK($C36),"",IF($BD36&lt;&gt;Constants!$B$6,"",IF($AU36="-&gt;",$AY36,$AP36)))</f>
        <v/>
      </c>
      <c r="BZ36" s="135" t="str">
        <f aca="false">IF(ISBLANK($C36),"",IF($BD36&lt;&gt;Constants!$B$6,"",IF($AU36="-&gt;",$AZ36,$AQ36)+$BG36))</f>
        <v/>
      </c>
      <c r="CA36" s="136" t="str">
        <f aca="false">IF(ISBLANK($C36),"",IF($BD36&lt;&gt;Constants!$B$6,$BD36,$BH36))</f>
        <v/>
      </c>
      <c r="CB36" s="137" t="str">
        <f aca="false">IF(ISBLANK($C36),"",$BE36)</f>
        <v/>
      </c>
      <c r="CC36" s="138" t="str">
        <f aca="false">IF(ISBLANK($C36),"",$BS36)</f>
        <v/>
      </c>
      <c r="CD36" s="138" t="str">
        <f aca="false">IF(ISBLANK($C36),"",$BR36)</f>
        <v/>
      </c>
      <c r="CE36" s="139" t="str">
        <f aca="false">IF(ISBLANK($C36),"",IF($CD36=Constants!$B$9,COUNTA($C$9:$C$508)+2,IF($CD36=Constants!$B$8,COUNTA($C$9:$C$508)+1,IF($CD36=Constants!$B$7,COUNTA($C$9:$C$508),$CD36))))</f>
        <v/>
      </c>
      <c r="CF36" s="9"/>
      <c r="CG36" s="140" t="n">
        <f aca="false">IF(OR(ISNUMBER($CD36),$CD36=Constants!$B$9,$CD36=Constants!$B$7,$CD36=Constants!$B$8),1,0)</f>
        <v>0</v>
      </c>
      <c r="CH36" s="140" t="n">
        <v>28</v>
      </c>
      <c r="CI36" s="140" t="str">
        <f aca="false">IF(ISBLANK($C36),"",IF(ISNUMBER($CE36),$CE36+ROW($B36)/1000,""))</f>
        <v/>
      </c>
      <c r="CJ36" s="140" t="str">
        <f aca="false">IF(ISNUMBER($CI36),RANK($CI36,$CI$9:$CI$508,1),"")</f>
        <v/>
      </c>
      <c r="CK36" s="140" t="str">
        <f aca="false">IF(ISBLANK($C36),"",$B36)</f>
        <v/>
      </c>
      <c r="CL36" s="140" t="str">
        <f aca="false">IF(ISBLANK($C36),"",$C36)</f>
        <v/>
      </c>
      <c r="CM36" s="140" t="str">
        <f aca="false">IF(ISBLANK($C36),"",$D36)</f>
        <v/>
      </c>
      <c r="CN36" s="141" t="str">
        <f aca="false">$CB36</f>
        <v/>
      </c>
      <c r="CO36" s="142" t="str">
        <f aca="false">$CA36</f>
        <v/>
      </c>
      <c r="CP36" s="140" t="str">
        <f aca="false">IF(ISBLANK($C36),"",$CD36)</f>
        <v/>
      </c>
      <c r="CQ36" s="143" t="str">
        <f aca="false">IF($CH36&gt;$CG$8,"",VLOOKUP($CH36,$CJ$9:$CP$508,7,FALSE()))</f>
        <v/>
      </c>
      <c r="CR36" s="144" t="str">
        <f aca="false">IF($CH36&gt;$CG$8,"",VLOOKUP($CH36,$CJ$9:$CP$508,2,FALSE()))</f>
        <v/>
      </c>
      <c r="CS36" s="144" t="str">
        <f aca="false">IF($CH36&gt;$CG$8,"",VLOOKUP($CH36,$CJ$9:$CP$508,3,FALSE()))</f>
        <v/>
      </c>
      <c r="CT36" s="144" t="str">
        <f aca="false">IF($CH36&gt;$CG$8,"",VLOOKUP($CH36,$CJ$9:$CP$508,4,FALSE()))</f>
        <v/>
      </c>
      <c r="CU36" s="144" t="str">
        <f aca="false">IF($CH36&gt;$CG$8,"",VLOOKUP($CH36,$CJ$9:$CP$508,5,FALSE()))</f>
        <v/>
      </c>
      <c r="CV36" s="145" t="str">
        <f aca="false">IF($CH36&gt;$CG$8,"",VLOOKUP($CH36,$CJ$9:$CP$508,6,FALSE()))</f>
        <v/>
      </c>
      <c r="CW36" s="71"/>
    </row>
    <row r="37" customFormat="false" ht="15.75" hidden="false" customHeight="false" outlineLevel="0" collapsed="false">
      <c r="A37" s="9"/>
      <c r="B37" s="150"/>
      <c r="C37" s="151"/>
      <c r="D37" s="152"/>
      <c r="E37" s="153"/>
      <c r="F37" s="154"/>
      <c r="G37" s="155"/>
      <c r="H37" s="156"/>
      <c r="I37" s="157"/>
      <c r="J37" s="120"/>
      <c r="K37" s="121"/>
      <c r="L37" s="122"/>
      <c r="M37" s="158"/>
      <c r="N37" s="157"/>
      <c r="O37" s="157"/>
      <c r="P37" s="120"/>
      <c r="Q37" s="122"/>
      <c r="R37" s="122"/>
      <c r="S37" s="158"/>
      <c r="T37" s="159"/>
      <c r="U37" s="126"/>
      <c r="V37" s="127"/>
      <c r="W37" s="127" t="str">
        <f aca="false">IF(ISBLANK($C37),"",IF(E37=Constants!$B$2,TRUE(),IF(E37=Constants!$B$3,FALSE(),TRUE())))</f>
        <v/>
      </c>
      <c r="X37" s="127" t="str">
        <f aca="false">IF(ISBLANK($C37),"",IF(F37=Constants!$B$2,TRUE(),IF(F37=Constants!$B$3,FALSE(),TRUE())))</f>
        <v/>
      </c>
      <c r="Y37" s="127" t="str">
        <f aca="false">IF(ISBLANK($C37),"",IF(G37=Constants!$B$2,TRUE(),IF(G37=Constants!$B$3,FALSE(),TRUE())))</f>
        <v/>
      </c>
      <c r="Z37" s="127" t="str">
        <f aca="false">IF(ISBLANK($C37),"",IF(H37=Constants!$B$2,TRUE(),IF(H37=Constants!$B$3,FALSE(),TRUE())))</f>
        <v/>
      </c>
      <c r="AA37" s="127" t="str">
        <f aca="false">IF(ISBLANK($C37),"",IF(I37=Constants!$B$2,TRUE(),IF(I37=Constants!$B$3,FALSE(),TRUE())))</f>
        <v/>
      </c>
      <c r="AB37" s="127" t="str">
        <f aca="false">IF(ISBLANK($C37),"",IF(J37=Constants!$B$4,TRUE(),IF(J37=Constants!$B$5,FALSE(),COUNTA(K37:M37)&gt;0)))</f>
        <v/>
      </c>
      <c r="AC37" s="128" t="str">
        <f aca="false">IF(ISBLANK($C37),"",IF(ISNUMBER(K37),IF(K37&gt;=0,K37,""),""))</f>
        <v/>
      </c>
      <c r="AD37" s="129" t="str">
        <f aca="false">IF(ISBLANK($C37),"",IF(ISNUMBER(L37),IF(L37&gt;=0,L37,""),""))</f>
        <v/>
      </c>
      <c r="AE37" s="127" t="str">
        <f aca="false">IF(ISBLANK($C37),"",IF(ISNUMBER(M37),IF(M37&gt;=0,MIN(M37,Constants!$B$22),""),""))</f>
        <v/>
      </c>
      <c r="AF37" s="127" t="str">
        <f aca="false">IF(ISBLANK($C37),"",IF(N37=Constants!$B$2,TRUE(),IF(N37=Constants!$B$3,FALSE(),TRUE())))</f>
        <v/>
      </c>
      <c r="AG37" s="127" t="str">
        <f aca="false">IF(ISBLANK($C37),"",IF(O37=Constants!$B$2,TRUE(),IF(O37=Constants!$B$3,FALSE(),TRUE())))</f>
        <v/>
      </c>
      <c r="AH37" s="127" t="str">
        <f aca="false">IF(ISBLANK($C37),"",IF(P37=Constants!$B$4,TRUE(),IF(P37=Constants!$B$5,FALSE(),COUNTA(Q37:S37)&gt;0)))</f>
        <v/>
      </c>
      <c r="AI37" s="128" t="str">
        <f aca="false">IF(ISBLANK($C37),"",IF(ISNUMBER(Q37),IF(Q37&gt;=0,Q37,""),""))</f>
        <v/>
      </c>
      <c r="AJ37" s="129" t="str">
        <f aca="false">IF(ISBLANK($C37),"",IF(ISNUMBER(R37),IF(R37&gt;=0,R37,""),""))</f>
        <v/>
      </c>
      <c r="AK37" s="127" t="str">
        <f aca="false">IF(ISBLANK($C37),"",IF(ISNUMBER(S37),IF(S37&gt;=0,MIN(S37,Constants!$B$22),""),""))</f>
        <v/>
      </c>
      <c r="AL37" s="127" t="str">
        <f aca="false">IF(ISBLANK($C37),"",IF(T37=Constants!$B$2,TRUE(),IF(T37=Constants!$B$3,FALSE(),FALSE())))</f>
        <v/>
      </c>
      <c r="AM37" s="126" t="str">
        <f aca="false">IF(ISBLANK($C37),"",AND($AB37,OR($AC37="",$AD37="",AND(NOT(ISBLANK($M37)),$AE37=""))))</f>
        <v/>
      </c>
      <c r="AN37" s="129" t="str">
        <f aca="false">IF($BD37&lt;&gt;Constants!$B$6,"",IF($AB37,Constants!$B$17*$AD37,Constants!$B$18))</f>
        <v/>
      </c>
      <c r="AO37" s="130" t="str">
        <f aca="false">IF($BD37&lt;&gt;Constants!$B$6,"",Constants!$B$19*IF($AB37,$AC37,0))</f>
        <v/>
      </c>
      <c r="AP37" s="130" t="str">
        <f aca="false">IF($BD37&lt;&gt;Constants!$B$6,"",IF(AND($AB37,ISNUMBER($AE37)),Constants!$B$20*(Constants!$B$21-$AE37),0))</f>
        <v/>
      </c>
      <c r="AQ37" s="130" t="str">
        <f aca="false">IF($BD37&lt;&gt;Constants!$B$6,"",IF($AA37,0,Constants!$B$12)+IF($Z37,0,Constants!$B$13)+IF($Y37,0,Constants!$B$14))</f>
        <v/>
      </c>
      <c r="AR37" s="131" t="str">
        <f aca="false">IF($BD37&lt;&gt;Constants!$B$6,"",Constants!$B$16+SUM($AN37:$AQ37))</f>
        <v/>
      </c>
      <c r="AS37" s="130" t="str">
        <f aca="false">IF($BD37&lt;&gt;Constants!$B$6,"",IF($AB37,$AD37,""))</f>
        <v/>
      </c>
      <c r="AT37" s="132" t="str">
        <f aca="false">IF($BD37&lt;&gt;Constants!$B$6,"",$AO37)</f>
        <v/>
      </c>
      <c r="AU37" s="127" t="str">
        <f aca="false">IF($BD37&lt;&gt;Constants!$B$6,"",IF(OR($BA37&lt;$AR37,AND($BA37=$AR37,OR(AND(ISNUMBER($BB37),OR(NOT(ISNUMBER($AS37)),$BB37&lt;$AS37)),AND(OR(AND($BB37="",$AS37=""),AND(ISNUMBER($BB37),ISNUMBER($AS37),$BB37=$AS37)),$BC37&lt;$AT37)))),"-&gt;","&lt;-"))</f>
        <v/>
      </c>
      <c r="AV37" s="126" t="str">
        <f aca="false">IF(ISBLANK($C37),"",AND($AH37,OR($AI37="",$AJ37="",AND(NOT(ISBLANK($S37)),$AK37=""))))</f>
        <v/>
      </c>
      <c r="AW37" s="129" t="str">
        <f aca="false">IF($BD37&lt;&gt;Constants!$B$6,"",IF($AH37,Constants!$B$17*$AJ37,Constants!$B$18))</f>
        <v/>
      </c>
      <c r="AX37" s="130" t="str">
        <f aca="false">IF($BD37&lt;&gt;Constants!$B$6,"",Constants!$B$19*IF($AH37,$AI37,0))</f>
        <v/>
      </c>
      <c r="AY37" s="130" t="str">
        <f aca="false">IF($BD37&lt;&gt;Constants!$B$6,"",IF(AND($AH37,ISNUMBER($AK37)),Constants!$B$20*(Constants!$B$21-$AK37),0))</f>
        <v/>
      </c>
      <c r="AZ37" s="130" t="str">
        <f aca="false">IF($BD37&lt;&gt;Constants!$B$6,"",IF($AG37,0,Constants!$B$12)+IF($AF37,0,Constants!$B$13)+IF($Y37,0,Constants!$B$14))</f>
        <v/>
      </c>
      <c r="BA37" s="131" t="str">
        <f aca="false">IF($BD37&lt;&gt;Constants!$B$6,"",Constants!$B$16+SUM($AW37:$AZ37))</f>
        <v/>
      </c>
      <c r="BB37" s="130" t="str">
        <f aca="false">IF($BD37&lt;&gt;Constants!$B$6,"",IF($AH37,$AJ37,""))</f>
        <v/>
      </c>
      <c r="BC37" s="132" t="str">
        <f aca="false">IF($BD37&lt;&gt;Constants!$B$6,"",$AX37)</f>
        <v/>
      </c>
      <c r="BD37" s="127" t="str">
        <f aca="false">IF(ISBLANK($C37),"",IF($AL37,Constants!$B$9,IF(COUNTA($E37:$T37)=0,Constants!$B$8,IF(NOT($X37),Constants!$B$7,IF(OR($AM37,$AV37),Constants!$B$10,Constants!$B$6)))))</f>
        <v/>
      </c>
      <c r="BE37" s="127" t="str">
        <f aca="false">IF(ISBLANK($C37),"",IF($BD37&lt;&gt;Constants!$B$6,$BD37,Constants!$B$11))</f>
        <v/>
      </c>
      <c r="BF37" s="130" t="str">
        <f aca="false">IF($BD37&lt;&gt;Constants!$B$6,"",IF($AU37="-&gt;",$BA37,$AR37))</f>
        <v/>
      </c>
      <c r="BG37" s="130" t="str">
        <f aca="false">IF($BD37&lt;&gt;Constants!$B$6,"",IF($W37,0,Constants!$B$15))</f>
        <v/>
      </c>
      <c r="BH37" s="130" t="str">
        <f aca="false">IF(ISBLANK($C37),"",IF($BD37&lt;&gt;Constants!$B$6,$BD37,SUM($BF37:$BG37)))</f>
        <v/>
      </c>
      <c r="BI37" s="127" t="str">
        <f aca="false">IF(ISBLANK($C37),"",IF($BD37&lt;&gt;Constants!$B$6,$BD37,RANK($BH37,$BH$9:$BH$508,1)))</f>
        <v/>
      </c>
      <c r="BJ37" s="130" t="str">
        <f aca="false">IF($BD37&lt;&gt;Constants!$B$6,"",IF($AU37="-&gt;",$BB37,$AS37))</f>
        <v/>
      </c>
      <c r="BK37" s="127" t="str">
        <f aca="false">IF(ISBLANK($C37),"",IF($BD37&lt;&gt;Constants!$B$6,$BD37,IF(ISNUMBER($BJ37),RANK($BJ37,$BJ$9:$BJ$508,1),COUNT($BJ$9:$BJ$508)+1)))</f>
        <v/>
      </c>
      <c r="BL37" s="130" t="str">
        <f aca="false">IF($BD37&lt;&gt;Constants!$B$6,"",IF($AU37="-&gt;",$BC37,$AT37))</f>
        <v/>
      </c>
      <c r="BM37" s="127" t="str">
        <f aca="false">IF(ISBLANK($C37),"",IF($BD37&lt;&gt;Constants!$B$6,$BD37,IF(ISNUMBER($BL37),RANK($BL37,$BL$9:$BL$508,1),COUNT($BL$9:$BL$508)+1)))</f>
        <v/>
      </c>
      <c r="BN37" s="130" t="str">
        <f aca="false">IF($BD37&lt;&gt;Constants!$B$6,"",IF($AU37="-&gt;",$AS37,$BB37))</f>
        <v/>
      </c>
      <c r="BO37" s="127" t="str">
        <f aca="false">IF(ISBLANK($C37),"",IF($BD37&lt;&gt;Constants!$B$6,$BD37,IF(ISNUMBER($BN37),RANK($BN37,$BN$9:$BN$508,1),COUNT($BN$9:$BN$508)+1)))</f>
        <v/>
      </c>
      <c r="BP37" s="130" t="str">
        <f aca="false">IF($BD37&lt;&gt;Constants!$B$6,"",IF($AU37="-&gt;",$AT37,$BC37))</f>
        <v/>
      </c>
      <c r="BQ37" s="127" t="str">
        <f aca="false">IF(ISBLANK($C37),"",IF($BD37&lt;&gt;Constants!$B$6,$BD37,IF(ISNUMBER($BP37),RANK($BP37,$BP$9:$BP$508,1),COUNT($BP$9:$BP$508)+1)))</f>
        <v/>
      </c>
      <c r="BR37" s="127" t="str">
        <f aca="false">IF(ISBLANK($C37),"",IF($BD37&lt;&gt;Constants!$B$6,$BD37,COUNTIFS($BI$9:$BI$508,"&lt;"&amp;$BI37)+COUNTIFS($BI$9:$BI$508,$BI37,$BK$9:$BK$508,"&lt;"&amp;$BK37)+COUNTIFS($BI$9:$BI$508,$BI37,$BK$9:$BK$508,$BK37,$BM$9:$BM$508,"&lt;"&amp;$BM37)+COUNTIFS($BI$9:$BI$508,$BI37,$BK$9:$BK$508,$BK37,$BM$9:$BM$508,$BM37,$BO$9:$BO$508,"&lt;"&amp;$BO37)+COUNTIFS($BI$9:$BI$508,$BI37,$BK$9:$BK$508,$BK37,$BM$9:$BM$508,$BM37,$BO$9:$BO$508,$BO37,$BQ$9:$BQ$508,"&lt;"&amp;$BQ37)+1))</f>
        <v/>
      </c>
      <c r="BS37" s="127" t="str">
        <f aca="false">IF(ISBLANK($C37),"",IF($BD37&lt;&gt;Constants!$B$6,$BD37,$BI37-$BR37))</f>
        <v/>
      </c>
      <c r="BT37" s="133"/>
      <c r="BU37" s="134"/>
      <c r="BV37" s="134" t="str">
        <f aca="false">IF(ISBLANK($C37),"",IF($BD37&lt;&gt;Constants!$B$6,"",IF($AU37="-&gt;",2,1)))</f>
        <v/>
      </c>
      <c r="BW37" s="135" t="str">
        <f aca="false">IF(ISBLANK($C37),"",IF($BD37&lt;&gt;Constants!$B$6,"",IF($AU37="-&gt;",$AW37,$AN37)))</f>
        <v/>
      </c>
      <c r="BX37" s="135" t="str">
        <f aca="false">IF(ISBLANK($C37),"",IF($BD37&lt;&gt;Constants!$B$6,"",IF($AU37="-&gt;",$AX37,$AO37)))</f>
        <v/>
      </c>
      <c r="BY37" s="135" t="str">
        <f aca="false">IF(ISBLANK($C37),"",IF($BD37&lt;&gt;Constants!$B$6,"",IF($AU37="-&gt;",$AY37,$AP37)))</f>
        <v/>
      </c>
      <c r="BZ37" s="135" t="str">
        <f aca="false">IF(ISBLANK($C37),"",IF($BD37&lt;&gt;Constants!$B$6,"",IF($AU37="-&gt;",$AZ37,$AQ37)+$BG37))</f>
        <v/>
      </c>
      <c r="CA37" s="136" t="str">
        <f aca="false">IF(ISBLANK($C37),"",IF($BD37&lt;&gt;Constants!$B$6,$BD37,$BH37))</f>
        <v/>
      </c>
      <c r="CB37" s="137" t="str">
        <f aca="false">IF(ISBLANK($C37),"",$BE37)</f>
        <v/>
      </c>
      <c r="CC37" s="138" t="str">
        <f aca="false">IF(ISBLANK($C37),"",$BS37)</f>
        <v/>
      </c>
      <c r="CD37" s="138" t="str">
        <f aca="false">IF(ISBLANK($C37),"",$BR37)</f>
        <v/>
      </c>
      <c r="CE37" s="139" t="str">
        <f aca="false">IF(ISBLANK($C37),"",IF($CD37=Constants!$B$9,COUNTA($C$9:$C$508)+2,IF($CD37=Constants!$B$8,COUNTA($C$9:$C$508)+1,IF($CD37=Constants!$B$7,COUNTA($C$9:$C$508),$CD37))))</f>
        <v/>
      </c>
      <c r="CF37" s="9"/>
      <c r="CG37" s="140" t="n">
        <f aca="false">IF(OR(ISNUMBER($CD37),$CD37=Constants!$B$9,$CD37=Constants!$B$7,$CD37=Constants!$B$8),1,0)</f>
        <v>0</v>
      </c>
      <c r="CH37" s="140" t="n">
        <v>29</v>
      </c>
      <c r="CI37" s="140" t="str">
        <f aca="false">IF(ISBLANK($C37),"",IF(ISNUMBER($CE37),$CE37+ROW($B37)/1000,""))</f>
        <v/>
      </c>
      <c r="CJ37" s="140" t="str">
        <f aca="false">IF(ISNUMBER($CI37),RANK($CI37,$CI$9:$CI$508,1),"")</f>
        <v/>
      </c>
      <c r="CK37" s="140" t="str">
        <f aca="false">IF(ISBLANK($C37),"",$B37)</f>
        <v/>
      </c>
      <c r="CL37" s="140" t="str">
        <f aca="false">IF(ISBLANK($C37),"",$C37)</f>
        <v/>
      </c>
      <c r="CM37" s="140" t="str">
        <f aca="false">IF(ISBLANK($C37),"",$D37)</f>
        <v/>
      </c>
      <c r="CN37" s="141" t="str">
        <f aca="false">$CB37</f>
        <v/>
      </c>
      <c r="CO37" s="142" t="str">
        <f aca="false">$CA37</f>
        <v/>
      </c>
      <c r="CP37" s="140" t="str">
        <f aca="false">IF(ISBLANK($C37),"",$CD37)</f>
        <v/>
      </c>
      <c r="CQ37" s="143" t="str">
        <f aca="false">IF($CH37&gt;$CG$8,"",VLOOKUP($CH37,$CJ$9:$CP$508,7,FALSE()))</f>
        <v/>
      </c>
      <c r="CR37" s="144" t="str">
        <f aca="false">IF($CH37&gt;$CG$8,"",VLOOKUP($CH37,$CJ$9:$CP$508,2,FALSE()))</f>
        <v/>
      </c>
      <c r="CS37" s="144" t="str">
        <f aca="false">IF($CH37&gt;$CG$8,"",VLOOKUP($CH37,$CJ$9:$CP$508,3,FALSE()))</f>
        <v/>
      </c>
      <c r="CT37" s="144" t="str">
        <f aca="false">IF($CH37&gt;$CG$8,"",VLOOKUP($CH37,$CJ$9:$CP$508,4,FALSE()))</f>
        <v/>
      </c>
      <c r="CU37" s="144" t="str">
        <f aca="false">IF($CH37&gt;$CG$8,"",VLOOKUP($CH37,$CJ$9:$CP$508,5,FALSE()))</f>
        <v/>
      </c>
      <c r="CV37" s="145" t="str">
        <f aca="false">IF($CH37&gt;$CG$8,"",VLOOKUP($CH37,$CJ$9:$CP$508,6,FALSE()))</f>
        <v/>
      </c>
      <c r="CW37" s="71"/>
    </row>
    <row r="38" customFormat="false" ht="15.75" hidden="false" customHeight="false" outlineLevel="0" collapsed="false">
      <c r="A38" s="9"/>
      <c r="B38" s="150"/>
      <c r="C38" s="151"/>
      <c r="D38" s="152"/>
      <c r="E38" s="153"/>
      <c r="F38" s="154"/>
      <c r="G38" s="155"/>
      <c r="H38" s="156"/>
      <c r="I38" s="157"/>
      <c r="J38" s="120"/>
      <c r="K38" s="121"/>
      <c r="L38" s="122"/>
      <c r="M38" s="158"/>
      <c r="N38" s="157"/>
      <c r="O38" s="157"/>
      <c r="P38" s="120"/>
      <c r="Q38" s="122"/>
      <c r="R38" s="122"/>
      <c r="S38" s="158"/>
      <c r="T38" s="159"/>
      <c r="U38" s="126"/>
      <c r="V38" s="127"/>
      <c r="W38" s="127" t="str">
        <f aca="false">IF(ISBLANK($C38),"",IF(E38=Constants!$B$2,TRUE(),IF(E38=Constants!$B$3,FALSE(),TRUE())))</f>
        <v/>
      </c>
      <c r="X38" s="127" t="str">
        <f aca="false">IF(ISBLANK($C38),"",IF(F38=Constants!$B$2,TRUE(),IF(F38=Constants!$B$3,FALSE(),TRUE())))</f>
        <v/>
      </c>
      <c r="Y38" s="127" t="str">
        <f aca="false">IF(ISBLANK($C38),"",IF(G38=Constants!$B$2,TRUE(),IF(G38=Constants!$B$3,FALSE(),TRUE())))</f>
        <v/>
      </c>
      <c r="Z38" s="127" t="str">
        <f aca="false">IF(ISBLANK($C38),"",IF(H38=Constants!$B$2,TRUE(),IF(H38=Constants!$B$3,FALSE(),TRUE())))</f>
        <v/>
      </c>
      <c r="AA38" s="127" t="str">
        <f aca="false">IF(ISBLANK($C38),"",IF(I38=Constants!$B$2,TRUE(),IF(I38=Constants!$B$3,FALSE(),TRUE())))</f>
        <v/>
      </c>
      <c r="AB38" s="127" t="str">
        <f aca="false">IF(ISBLANK($C38),"",IF(J38=Constants!$B$4,TRUE(),IF(J38=Constants!$B$5,FALSE(),COUNTA(K38:M38)&gt;0)))</f>
        <v/>
      </c>
      <c r="AC38" s="128" t="str">
        <f aca="false">IF(ISBLANK($C38),"",IF(ISNUMBER(K38),IF(K38&gt;=0,K38,""),""))</f>
        <v/>
      </c>
      <c r="AD38" s="129" t="str">
        <f aca="false">IF(ISBLANK($C38),"",IF(ISNUMBER(L38),IF(L38&gt;=0,L38,""),""))</f>
        <v/>
      </c>
      <c r="AE38" s="127" t="str">
        <f aca="false">IF(ISBLANK($C38),"",IF(ISNUMBER(M38),IF(M38&gt;=0,MIN(M38,Constants!$B$22),""),""))</f>
        <v/>
      </c>
      <c r="AF38" s="127" t="str">
        <f aca="false">IF(ISBLANK($C38),"",IF(N38=Constants!$B$2,TRUE(),IF(N38=Constants!$B$3,FALSE(),TRUE())))</f>
        <v/>
      </c>
      <c r="AG38" s="127" t="str">
        <f aca="false">IF(ISBLANK($C38),"",IF(O38=Constants!$B$2,TRUE(),IF(O38=Constants!$B$3,FALSE(),TRUE())))</f>
        <v/>
      </c>
      <c r="AH38" s="127" t="str">
        <f aca="false">IF(ISBLANK($C38),"",IF(P38=Constants!$B$4,TRUE(),IF(P38=Constants!$B$5,FALSE(),COUNTA(Q38:S38)&gt;0)))</f>
        <v/>
      </c>
      <c r="AI38" s="128" t="str">
        <f aca="false">IF(ISBLANK($C38),"",IF(ISNUMBER(Q38),IF(Q38&gt;=0,Q38,""),""))</f>
        <v/>
      </c>
      <c r="AJ38" s="129" t="str">
        <f aca="false">IF(ISBLANK($C38),"",IF(ISNUMBER(R38),IF(R38&gt;=0,R38,""),""))</f>
        <v/>
      </c>
      <c r="AK38" s="127" t="str">
        <f aca="false">IF(ISBLANK($C38),"",IF(ISNUMBER(S38),IF(S38&gt;=0,MIN(S38,Constants!$B$22),""),""))</f>
        <v/>
      </c>
      <c r="AL38" s="127" t="str">
        <f aca="false">IF(ISBLANK($C38),"",IF(T38=Constants!$B$2,TRUE(),IF(T38=Constants!$B$3,FALSE(),FALSE())))</f>
        <v/>
      </c>
      <c r="AM38" s="126" t="str">
        <f aca="false">IF(ISBLANK($C38),"",AND($AB38,OR($AC38="",$AD38="",AND(NOT(ISBLANK($M38)),$AE38=""))))</f>
        <v/>
      </c>
      <c r="AN38" s="129" t="str">
        <f aca="false">IF($BD38&lt;&gt;Constants!$B$6,"",IF($AB38,Constants!$B$17*$AD38,Constants!$B$18))</f>
        <v/>
      </c>
      <c r="AO38" s="130" t="str">
        <f aca="false">IF($BD38&lt;&gt;Constants!$B$6,"",Constants!$B$19*IF($AB38,$AC38,0))</f>
        <v/>
      </c>
      <c r="AP38" s="130" t="str">
        <f aca="false">IF($BD38&lt;&gt;Constants!$B$6,"",IF(AND($AB38,ISNUMBER($AE38)),Constants!$B$20*(Constants!$B$21-$AE38),0))</f>
        <v/>
      </c>
      <c r="AQ38" s="130" t="str">
        <f aca="false">IF($BD38&lt;&gt;Constants!$B$6,"",IF($AA38,0,Constants!$B$12)+IF($Z38,0,Constants!$B$13)+IF($Y38,0,Constants!$B$14))</f>
        <v/>
      </c>
      <c r="AR38" s="131" t="str">
        <f aca="false">IF($BD38&lt;&gt;Constants!$B$6,"",Constants!$B$16+SUM($AN38:$AQ38))</f>
        <v/>
      </c>
      <c r="AS38" s="130" t="str">
        <f aca="false">IF($BD38&lt;&gt;Constants!$B$6,"",IF($AB38,$AD38,""))</f>
        <v/>
      </c>
      <c r="AT38" s="132" t="str">
        <f aca="false">IF($BD38&lt;&gt;Constants!$B$6,"",$AO38)</f>
        <v/>
      </c>
      <c r="AU38" s="127" t="str">
        <f aca="false">IF($BD38&lt;&gt;Constants!$B$6,"",IF(OR($BA38&lt;$AR38,AND($BA38=$AR38,OR(AND(ISNUMBER($BB38),OR(NOT(ISNUMBER($AS38)),$BB38&lt;$AS38)),AND(OR(AND($BB38="",$AS38=""),AND(ISNUMBER($BB38),ISNUMBER($AS38),$BB38=$AS38)),$BC38&lt;$AT38)))),"-&gt;","&lt;-"))</f>
        <v/>
      </c>
      <c r="AV38" s="126" t="str">
        <f aca="false">IF(ISBLANK($C38),"",AND($AH38,OR($AI38="",$AJ38="",AND(NOT(ISBLANK($S38)),$AK38=""))))</f>
        <v/>
      </c>
      <c r="AW38" s="129" t="str">
        <f aca="false">IF($BD38&lt;&gt;Constants!$B$6,"",IF($AH38,Constants!$B$17*$AJ38,Constants!$B$18))</f>
        <v/>
      </c>
      <c r="AX38" s="130" t="str">
        <f aca="false">IF($BD38&lt;&gt;Constants!$B$6,"",Constants!$B$19*IF($AH38,$AI38,0))</f>
        <v/>
      </c>
      <c r="AY38" s="130" t="str">
        <f aca="false">IF($BD38&lt;&gt;Constants!$B$6,"",IF(AND($AH38,ISNUMBER($AK38)),Constants!$B$20*(Constants!$B$21-$AK38),0))</f>
        <v/>
      </c>
      <c r="AZ38" s="130" t="str">
        <f aca="false">IF($BD38&lt;&gt;Constants!$B$6,"",IF($AG38,0,Constants!$B$12)+IF($AF38,0,Constants!$B$13)+IF($Y38,0,Constants!$B$14))</f>
        <v/>
      </c>
      <c r="BA38" s="131" t="str">
        <f aca="false">IF($BD38&lt;&gt;Constants!$B$6,"",Constants!$B$16+SUM($AW38:$AZ38))</f>
        <v/>
      </c>
      <c r="BB38" s="130" t="str">
        <f aca="false">IF($BD38&lt;&gt;Constants!$B$6,"",IF($AH38,$AJ38,""))</f>
        <v/>
      </c>
      <c r="BC38" s="132" t="str">
        <f aca="false">IF($BD38&lt;&gt;Constants!$B$6,"",$AX38)</f>
        <v/>
      </c>
      <c r="BD38" s="127" t="str">
        <f aca="false">IF(ISBLANK($C38),"",IF($AL38,Constants!$B$9,IF(COUNTA($E38:$T38)=0,Constants!$B$8,IF(NOT($X38),Constants!$B$7,IF(OR($AM38,$AV38),Constants!$B$10,Constants!$B$6)))))</f>
        <v/>
      </c>
      <c r="BE38" s="127" t="str">
        <f aca="false">IF(ISBLANK($C38),"",IF($BD38&lt;&gt;Constants!$B$6,$BD38,Constants!$B$11))</f>
        <v/>
      </c>
      <c r="BF38" s="130" t="str">
        <f aca="false">IF($BD38&lt;&gt;Constants!$B$6,"",IF($AU38="-&gt;",$BA38,$AR38))</f>
        <v/>
      </c>
      <c r="BG38" s="130" t="str">
        <f aca="false">IF($BD38&lt;&gt;Constants!$B$6,"",IF($W38,0,Constants!$B$15))</f>
        <v/>
      </c>
      <c r="BH38" s="130" t="str">
        <f aca="false">IF(ISBLANK($C38),"",IF($BD38&lt;&gt;Constants!$B$6,$BD38,SUM($BF38:$BG38)))</f>
        <v/>
      </c>
      <c r="BI38" s="127" t="str">
        <f aca="false">IF(ISBLANK($C38),"",IF($BD38&lt;&gt;Constants!$B$6,$BD38,RANK($BH38,$BH$9:$BH$508,1)))</f>
        <v/>
      </c>
      <c r="BJ38" s="130" t="str">
        <f aca="false">IF($BD38&lt;&gt;Constants!$B$6,"",IF($AU38="-&gt;",$BB38,$AS38))</f>
        <v/>
      </c>
      <c r="BK38" s="127" t="str">
        <f aca="false">IF(ISBLANK($C38),"",IF($BD38&lt;&gt;Constants!$B$6,$BD38,IF(ISNUMBER($BJ38),RANK($BJ38,$BJ$9:$BJ$508,1),COUNT($BJ$9:$BJ$508)+1)))</f>
        <v/>
      </c>
      <c r="BL38" s="130" t="str">
        <f aca="false">IF($BD38&lt;&gt;Constants!$B$6,"",IF($AU38="-&gt;",$BC38,$AT38))</f>
        <v/>
      </c>
      <c r="BM38" s="127" t="str">
        <f aca="false">IF(ISBLANK($C38),"",IF($BD38&lt;&gt;Constants!$B$6,$BD38,IF(ISNUMBER($BL38),RANK($BL38,$BL$9:$BL$508,1),COUNT($BL$9:$BL$508)+1)))</f>
        <v/>
      </c>
      <c r="BN38" s="130" t="str">
        <f aca="false">IF($BD38&lt;&gt;Constants!$B$6,"",IF($AU38="-&gt;",$AS38,$BB38))</f>
        <v/>
      </c>
      <c r="BO38" s="127" t="str">
        <f aca="false">IF(ISBLANK($C38),"",IF($BD38&lt;&gt;Constants!$B$6,$BD38,IF(ISNUMBER($BN38),RANK($BN38,$BN$9:$BN$508,1),COUNT($BN$9:$BN$508)+1)))</f>
        <v/>
      </c>
      <c r="BP38" s="130" t="str">
        <f aca="false">IF($BD38&lt;&gt;Constants!$B$6,"",IF($AU38="-&gt;",$AT38,$BC38))</f>
        <v/>
      </c>
      <c r="BQ38" s="127" t="str">
        <f aca="false">IF(ISBLANK($C38),"",IF($BD38&lt;&gt;Constants!$B$6,$BD38,IF(ISNUMBER($BP38),RANK($BP38,$BP$9:$BP$508,1),COUNT($BP$9:$BP$508)+1)))</f>
        <v/>
      </c>
      <c r="BR38" s="127" t="str">
        <f aca="false">IF(ISBLANK($C38),"",IF($BD38&lt;&gt;Constants!$B$6,$BD38,COUNTIFS($BI$9:$BI$508,"&lt;"&amp;$BI38)+COUNTIFS($BI$9:$BI$508,$BI38,$BK$9:$BK$508,"&lt;"&amp;$BK38)+COUNTIFS($BI$9:$BI$508,$BI38,$BK$9:$BK$508,$BK38,$BM$9:$BM$508,"&lt;"&amp;$BM38)+COUNTIFS($BI$9:$BI$508,$BI38,$BK$9:$BK$508,$BK38,$BM$9:$BM$508,$BM38,$BO$9:$BO$508,"&lt;"&amp;$BO38)+COUNTIFS($BI$9:$BI$508,$BI38,$BK$9:$BK$508,$BK38,$BM$9:$BM$508,$BM38,$BO$9:$BO$508,$BO38,$BQ$9:$BQ$508,"&lt;"&amp;$BQ38)+1))</f>
        <v/>
      </c>
      <c r="BS38" s="127" t="str">
        <f aca="false">IF(ISBLANK($C38),"",IF($BD38&lt;&gt;Constants!$B$6,$BD38,$BI38-$BR38))</f>
        <v/>
      </c>
      <c r="BT38" s="133"/>
      <c r="BU38" s="134"/>
      <c r="BV38" s="134" t="str">
        <f aca="false">IF(ISBLANK($C38),"",IF($BD38&lt;&gt;Constants!$B$6,"",IF($AU38="-&gt;",2,1)))</f>
        <v/>
      </c>
      <c r="BW38" s="135" t="str">
        <f aca="false">IF(ISBLANK($C38),"",IF($BD38&lt;&gt;Constants!$B$6,"",IF($AU38="-&gt;",$AW38,$AN38)))</f>
        <v/>
      </c>
      <c r="BX38" s="135" t="str">
        <f aca="false">IF(ISBLANK($C38),"",IF($BD38&lt;&gt;Constants!$B$6,"",IF($AU38="-&gt;",$AX38,$AO38)))</f>
        <v/>
      </c>
      <c r="BY38" s="135" t="str">
        <f aca="false">IF(ISBLANK($C38),"",IF($BD38&lt;&gt;Constants!$B$6,"",IF($AU38="-&gt;",$AY38,$AP38)))</f>
        <v/>
      </c>
      <c r="BZ38" s="135" t="str">
        <f aca="false">IF(ISBLANK($C38),"",IF($BD38&lt;&gt;Constants!$B$6,"",IF($AU38="-&gt;",$AZ38,$AQ38)+$BG38))</f>
        <v/>
      </c>
      <c r="CA38" s="136" t="str">
        <f aca="false">IF(ISBLANK($C38),"",IF($BD38&lt;&gt;Constants!$B$6,$BD38,$BH38))</f>
        <v/>
      </c>
      <c r="CB38" s="137" t="str">
        <f aca="false">IF(ISBLANK($C38),"",$BE38)</f>
        <v/>
      </c>
      <c r="CC38" s="138" t="str">
        <f aca="false">IF(ISBLANK($C38),"",$BS38)</f>
        <v/>
      </c>
      <c r="CD38" s="138" t="str">
        <f aca="false">IF(ISBLANK($C38),"",$BR38)</f>
        <v/>
      </c>
      <c r="CE38" s="139" t="str">
        <f aca="false">IF(ISBLANK($C38),"",IF($CD38=Constants!$B$9,COUNTA($C$9:$C$508)+2,IF($CD38=Constants!$B$8,COUNTA($C$9:$C$508)+1,IF($CD38=Constants!$B$7,COUNTA($C$9:$C$508),$CD38))))</f>
        <v/>
      </c>
      <c r="CF38" s="9"/>
      <c r="CG38" s="140" t="n">
        <f aca="false">IF(OR(ISNUMBER($CD38),$CD38=Constants!$B$9,$CD38=Constants!$B$7,$CD38=Constants!$B$8),1,0)</f>
        <v>0</v>
      </c>
      <c r="CH38" s="140" t="n">
        <v>30</v>
      </c>
      <c r="CI38" s="140" t="str">
        <f aca="false">IF(ISBLANK($C38),"",IF(ISNUMBER($CE38),$CE38+ROW($B38)/1000,""))</f>
        <v/>
      </c>
      <c r="CJ38" s="140" t="str">
        <f aca="false">IF(ISNUMBER($CI38),RANK($CI38,$CI$9:$CI$508,1),"")</f>
        <v/>
      </c>
      <c r="CK38" s="140" t="str">
        <f aca="false">IF(ISBLANK($C38),"",$B38)</f>
        <v/>
      </c>
      <c r="CL38" s="140" t="str">
        <f aca="false">IF(ISBLANK($C38),"",$C38)</f>
        <v/>
      </c>
      <c r="CM38" s="140" t="str">
        <f aca="false">IF(ISBLANK($C38),"",$D38)</f>
        <v/>
      </c>
      <c r="CN38" s="141" t="str">
        <f aca="false">$CB38</f>
        <v/>
      </c>
      <c r="CO38" s="142" t="str">
        <f aca="false">$CA38</f>
        <v/>
      </c>
      <c r="CP38" s="140" t="str">
        <f aca="false">IF(ISBLANK($C38),"",$CD38)</f>
        <v/>
      </c>
      <c r="CQ38" s="143" t="str">
        <f aca="false">IF($CH38&gt;$CG$8,"",VLOOKUP($CH38,$CJ$9:$CP$508,7,FALSE()))</f>
        <v/>
      </c>
      <c r="CR38" s="144" t="str">
        <f aca="false">IF($CH38&gt;$CG$8,"",VLOOKUP($CH38,$CJ$9:$CP$508,2,FALSE()))</f>
        <v/>
      </c>
      <c r="CS38" s="144" t="str">
        <f aca="false">IF($CH38&gt;$CG$8,"",VLOOKUP($CH38,$CJ$9:$CP$508,3,FALSE()))</f>
        <v/>
      </c>
      <c r="CT38" s="144" t="str">
        <f aca="false">IF($CH38&gt;$CG$8,"",VLOOKUP($CH38,$CJ$9:$CP$508,4,FALSE()))</f>
        <v/>
      </c>
      <c r="CU38" s="144" t="str">
        <f aca="false">IF($CH38&gt;$CG$8,"",VLOOKUP($CH38,$CJ$9:$CP$508,5,FALSE()))</f>
        <v/>
      </c>
      <c r="CV38" s="145" t="str">
        <f aca="false">IF($CH38&gt;$CG$8,"",VLOOKUP($CH38,$CJ$9:$CP$508,6,FALSE()))</f>
        <v/>
      </c>
      <c r="CW38" s="71"/>
    </row>
    <row r="39" customFormat="false" ht="15.75" hidden="false" customHeight="false" outlineLevel="0" collapsed="false">
      <c r="A39" s="9"/>
      <c r="B39" s="72"/>
      <c r="C39" s="73"/>
      <c r="D39" s="160"/>
      <c r="E39" s="161"/>
      <c r="F39" s="162"/>
      <c r="G39" s="163"/>
      <c r="H39" s="164"/>
      <c r="I39" s="165"/>
      <c r="J39" s="80"/>
      <c r="K39" s="81"/>
      <c r="L39" s="82"/>
      <c r="M39" s="166"/>
      <c r="N39" s="165"/>
      <c r="O39" s="165"/>
      <c r="P39" s="80"/>
      <c r="Q39" s="82"/>
      <c r="R39" s="82"/>
      <c r="S39" s="166"/>
      <c r="T39" s="167"/>
      <c r="U39" s="86"/>
      <c r="V39" s="87"/>
      <c r="W39" s="87" t="str">
        <f aca="false">IF(ISBLANK($C39),"",IF(E39=Constants!$B$2,TRUE(),IF(E39=Constants!$B$3,FALSE(),TRUE())))</f>
        <v/>
      </c>
      <c r="X39" s="87" t="str">
        <f aca="false">IF(ISBLANK($C39),"",IF(F39=Constants!$B$2,TRUE(),IF(F39=Constants!$B$3,FALSE(),TRUE())))</f>
        <v/>
      </c>
      <c r="Y39" s="87" t="str">
        <f aca="false">IF(ISBLANK($C39),"",IF(G39=Constants!$B$2,TRUE(),IF(G39=Constants!$B$3,FALSE(),TRUE())))</f>
        <v/>
      </c>
      <c r="Z39" s="87" t="str">
        <f aca="false">IF(ISBLANK($C39),"",IF(H39=Constants!$B$2,TRUE(),IF(H39=Constants!$B$3,FALSE(),TRUE())))</f>
        <v/>
      </c>
      <c r="AA39" s="87" t="str">
        <f aca="false">IF(ISBLANK($C39),"",IF(I39=Constants!$B$2,TRUE(),IF(I39=Constants!$B$3,FALSE(),TRUE())))</f>
        <v/>
      </c>
      <c r="AB39" s="87" t="str">
        <f aca="false">IF(ISBLANK($C39),"",IF(J39=Constants!$B$4,TRUE(),IF(J39=Constants!$B$5,FALSE(),COUNTA(K39:M39)&gt;0)))</f>
        <v/>
      </c>
      <c r="AC39" s="88" t="str">
        <f aca="false">IF(ISBLANK($C39),"",IF(ISNUMBER(K39),IF(K39&gt;=0,K39,""),""))</f>
        <v/>
      </c>
      <c r="AD39" s="89" t="str">
        <f aca="false">IF(ISBLANK($C39),"",IF(ISNUMBER(L39),IF(L39&gt;=0,L39,""),""))</f>
        <v/>
      </c>
      <c r="AE39" s="87" t="str">
        <f aca="false">IF(ISBLANK($C39),"",IF(ISNUMBER(M39),IF(M39&gt;=0,MIN(M39,Constants!$B$22),""),""))</f>
        <v/>
      </c>
      <c r="AF39" s="87" t="str">
        <f aca="false">IF(ISBLANK($C39),"",IF(N39=Constants!$B$2,TRUE(),IF(N39=Constants!$B$3,FALSE(),TRUE())))</f>
        <v/>
      </c>
      <c r="AG39" s="87" t="str">
        <f aca="false">IF(ISBLANK($C39),"",IF(O39=Constants!$B$2,TRUE(),IF(O39=Constants!$B$3,FALSE(),TRUE())))</f>
        <v/>
      </c>
      <c r="AH39" s="87" t="str">
        <f aca="false">IF(ISBLANK($C39),"",IF(P39=Constants!$B$4,TRUE(),IF(P39=Constants!$B$5,FALSE(),COUNTA(Q39:S39)&gt;0)))</f>
        <v/>
      </c>
      <c r="AI39" s="88" t="str">
        <f aca="false">IF(ISBLANK($C39),"",IF(ISNUMBER(Q39),IF(Q39&gt;=0,Q39,""),""))</f>
        <v/>
      </c>
      <c r="AJ39" s="89" t="str">
        <f aca="false">IF(ISBLANK($C39),"",IF(ISNUMBER(R39),IF(R39&gt;=0,R39,""),""))</f>
        <v/>
      </c>
      <c r="AK39" s="87" t="str">
        <f aca="false">IF(ISBLANK($C39),"",IF(ISNUMBER(S39),IF(S39&gt;=0,MIN(S39,Constants!$B$22),""),""))</f>
        <v/>
      </c>
      <c r="AL39" s="87" t="str">
        <f aca="false">IF(ISBLANK($C39),"",IF(T39=Constants!$B$2,TRUE(),IF(T39=Constants!$B$3,FALSE(),FALSE())))</f>
        <v/>
      </c>
      <c r="AM39" s="86" t="str">
        <f aca="false">IF(ISBLANK($C39),"",AND($AB39,OR($AC39="",$AD39="",AND(NOT(ISBLANK($M39)),$AE39=""))))</f>
        <v/>
      </c>
      <c r="AN39" s="89" t="str">
        <f aca="false">IF($BD39&lt;&gt;Constants!$B$6,"",IF($AB39,Constants!$B$17*$AD39,Constants!$B$18))</f>
        <v/>
      </c>
      <c r="AO39" s="91" t="str">
        <f aca="false">IF($BD39&lt;&gt;Constants!$B$6,"",Constants!$B$19*IF($AB39,$AC39,0))</f>
        <v/>
      </c>
      <c r="AP39" s="91" t="str">
        <f aca="false">IF($BD39&lt;&gt;Constants!$B$6,"",IF(AND($AB39,ISNUMBER($AE39)),Constants!$B$20*(Constants!$B$21-$AE39),0))</f>
        <v/>
      </c>
      <c r="AQ39" s="91" t="str">
        <f aca="false">IF($BD39&lt;&gt;Constants!$B$6,"",IF($AA39,0,Constants!$B$12)+IF($Z39,0,Constants!$B$13)+IF($Y39,0,Constants!$B$14))</f>
        <v/>
      </c>
      <c r="AR39" s="92" t="str">
        <f aca="false">IF($BD39&lt;&gt;Constants!$B$6,"",Constants!$B$16+SUM($AN39:$AQ39))</f>
        <v/>
      </c>
      <c r="AS39" s="91" t="str">
        <f aca="false">IF($BD39&lt;&gt;Constants!$B$6,"",IF($AB39,$AD39,""))</f>
        <v/>
      </c>
      <c r="AT39" s="93" t="str">
        <f aca="false">IF($BD39&lt;&gt;Constants!$B$6,"",$AO39)</f>
        <v/>
      </c>
      <c r="AU39" s="87" t="str">
        <f aca="false">IF($BD39&lt;&gt;Constants!$B$6,"",IF(OR($BA39&lt;$AR39,AND($BA39=$AR39,OR(AND(ISNUMBER($BB39),OR(NOT(ISNUMBER($AS39)),$BB39&lt;$AS39)),AND(OR(AND($BB39="",$AS39=""),AND(ISNUMBER($BB39),ISNUMBER($AS39),$BB39=$AS39)),$BC39&lt;$AT39)))),"-&gt;","&lt;-"))</f>
        <v/>
      </c>
      <c r="AV39" s="86" t="str">
        <f aca="false">IF(ISBLANK($C39),"",AND($AH39,OR($AI39="",$AJ39="",AND(NOT(ISBLANK($S39)),$AK39=""))))</f>
        <v/>
      </c>
      <c r="AW39" s="89" t="str">
        <f aca="false">IF($BD39&lt;&gt;Constants!$B$6,"",IF($AH39,Constants!$B$17*$AJ39,Constants!$B$18))</f>
        <v/>
      </c>
      <c r="AX39" s="91" t="str">
        <f aca="false">IF($BD39&lt;&gt;Constants!$B$6,"",Constants!$B$19*IF($AH39,$AI39,0))</f>
        <v/>
      </c>
      <c r="AY39" s="91" t="str">
        <f aca="false">IF($BD39&lt;&gt;Constants!$B$6,"",IF(AND($AH39,ISNUMBER($AK39)),Constants!$B$20*(Constants!$B$21-$AK39),0))</f>
        <v/>
      </c>
      <c r="AZ39" s="91" t="str">
        <f aca="false">IF($BD39&lt;&gt;Constants!$B$6,"",IF($AG39,0,Constants!$B$12)+IF($AF39,0,Constants!$B$13)+IF($Y39,0,Constants!$B$14))</f>
        <v/>
      </c>
      <c r="BA39" s="92" t="str">
        <f aca="false">IF($BD39&lt;&gt;Constants!$B$6,"",Constants!$B$16+SUM($AW39:$AZ39))</f>
        <v/>
      </c>
      <c r="BB39" s="91" t="str">
        <f aca="false">IF($BD39&lt;&gt;Constants!$B$6,"",IF($AH39,$AJ39,""))</f>
        <v/>
      </c>
      <c r="BC39" s="93" t="str">
        <f aca="false">IF($BD39&lt;&gt;Constants!$B$6,"",$AX39)</f>
        <v/>
      </c>
      <c r="BD39" s="87" t="str">
        <f aca="false">IF(ISBLANK($C39),"",IF($AL39,Constants!$B$9,IF(COUNTA($E39:$T39)=0,Constants!$B$8,IF(NOT($X39),Constants!$B$7,IF(OR($AM39,$AV39),Constants!$B$10,Constants!$B$6)))))</f>
        <v/>
      </c>
      <c r="BE39" s="87" t="str">
        <f aca="false">IF(ISBLANK($C39),"",IF($BD39&lt;&gt;Constants!$B$6,$BD39,Constants!$B$11))</f>
        <v/>
      </c>
      <c r="BF39" s="91" t="str">
        <f aca="false">IF($BD39&lt;&gt;Constants!$B$6,"",IF($AU39="-&gt;",$BA39,$AR39))</f>
        <v/>
      </c>
      <c r="BG39" s="91" t="str">
        <f aca="false">IF($BD39&lt;&gt;Constants!$B$6,"",IF($W39,0,Constants!$B$15))</f>
        <v/>
      </c>
      <c r="BH39" s="91" t="str">
        <f aca="false">IF(ISBLANK($C39),"",IF($BD39&lt;&gt;Constants!$B$6,$BD39,SUM($BF39:$BG39)))</f>
        <v/>
      </c>
      <c r="BI39" s="87" t="str">
        <f aca="false">IF(ISBLANK($C39),"",IF($BD39&lt;&gt;Constants!$B$6,$BD39,RANK($BH39,$BH$9:$BH$508,1)))</f>
        <v/>
      </c>
      <c r="BJ39" s="91" t="str">
        <f aca="false">IF($BD39&lt;&gt;Constants!$B$6,"",IF($AU39="-&gt;",$BB39,$AS39))</f>
        <v/>
      </c>
      <c r="BK39" s="87" t="str">
        <f aca="false">IF(ISBLANK($C39),"",IF($BD39&lt;&gt;Constants!$B$6,$BD39,IF(ISNUMBER($BJ39),RANK($BJ39,$BJ$9:$BJ$508,1),COUNT($BJ$9:$BJ$508)+1)))</f>
        <v/>
      </c>
      <c r="BL39" s="91" t="str">
        <f aca="false">IF($BD39&lt;&gt;Constants!$B$6,"",IF($AU39="-&gt;",$BC39,$AT39))</f>
        <v/>
      </c>
      <c r="BM39" s="87" t="str">
        <f aca="false">IF(ISBLANK($C39),"",IF($BD39&lt;&gt;Constants!$B$6,$BD39,IF(ISNUMBER($BL39),RANK($BL39,$BL$9:$BL$508,1),COUNT($BL$9:$BL$508)+1)))</f>
        <v/>
      </c>
      <c r="BN39" s="91" t="str">
        <f aca="false">IF($BD39&lt;&gt;Constants!$B$6,"",IF($AU39="-&gt;",$AS39,$BB39))</f>
        <v/>
      </c>
      <c r="BO39" s="87" t="str">
        <f aca="false">IF(ISBLANK($C39),"",IF($BD39&lt;&gt;Constants!$B$6,$BD39,IF(ISNUMBER($BN39),RANK($BN39,$BN$9:$BN$508,1),COUNT($BN$9:$BN$508)+1)))</f>
        <v/>
      </c>
      <c r="BP39" s="91" t="str">
        <f aca="false">IF($BD39&lt;&gt;Constants!$B$6,"",IF($AU39="-&gt;",$AT39,$BC39))</f>
        <v/>
      </c>
      <c r="BQ39" s="87" t="str">
        <f aca="false">IF(ISBLANK($C39),"",IF($BD39&lt;&gt;Constants!$B$6,$BD39,IF(ISNUMBER($BP39),RANK($BP39,$BP$9:$BP$508,1),COUNT($BP$9:$BP$508)+1)))</f>
        <v/>
      </c>
      <c r="BR39" s="87" t="str">
        <f aca="false">IF(ISBLANK($C39),"",IF($BD39&lt;&gt;Constants!$B$6,$BD39,COUNTIFS($BI$9:$BI$508,"&lt;"&amp;$BI39)+COUNTIFS($BI$9:$BI$508,$BI39,$BK$9:$BK$508,"&lt;"&amp;$BK39)+COUNTIFS($BI$9:$BI$508,$BI39,$BK$9:$BK$508,$BK39,$BM$9:$BM$508,"&lt;"&amp;$BM39)+COUNTIFS($BI$9:$BI$508,$BI39,$BK$9:$BK$508,$BK39,$BM$9:$BM$508,$BM39,$BO$9:$BO$508,"&lt;"&amp;$BO39)+COUNTIFS($BI$9:$BI$508,$BI39,$BK$9:$BK$508,$BK39,$BM$9:$BM$508,$BM39,$BO$9:$BO$508,$BO39,$BQ$9:$BQ$508,"&lt;"&amp;$BQ39)+1))</f>
        <v/>
      </c>
      <c r="BS39" s="87" t="str">
        <f aca="false">IF(ISBLANK($C39),"",IF($BD39&lt;&gt;Constants!$B$6,$BD39,$BI39-$BR39))</f>
        <v/>
      </c>
      <c r="BT39" s="94"/>
      <c r="BU39" s="95"/>
      <c r="BV39" s="95" t="str">
        <f aca="false">IF(ISBLANK($C39),"",IF($BD39&lt;&gt;Constants!$B$6,"",IF($AU39="-&gt;",2,1)))</f>
        <v/>
      </c>
      <c r="BW39" s="96" t="str">
        <f aca="false">IF(ISBLANK($C39),"",IF($BD39&lt;&gt;Constants!$B$6,"",IF($AU39="-&gt;",$AW39,$AN39)))</f>
        <v/>
      </c>
      <c r="BX39" s="96" t="str">
        <f aca="false">IF(ISBLANK($C39),"",IF($BD39&lt;&gt;Constants!$B$6,"",IF($AU39="-&gt;",$AX39,$AO39)))</f>
        <v/>
      </c>
      <c r="BY39" s="96" t="str">
        <f aca="false">IF(ISBLANK($C39),"",IF($BD39&lt;&gt;Constants!$B$6,"",IF($AU39="-&gt;",$AY39,$AP39)))</f>
        <v/>
      </c>
      <c r="BZ39" s="96" t="str">
        <f aca="false">IF(ISBLANK($C39),"",IF($BD39&lt;&gt;Constants!$B$6,"",IF($AU39="-&gt;",$AZ39,$AQ39)+$BG39))</f>
        <v/>
      </c>
      <c r="CA39" s="97" t="str">
        <f aca="false">IF(ISBLANK($C39),"",IF($BD39&lt;&gt;Constants!$B$6,$BD39,$BH39))</f>
        <v/>
      </c>
      <c r="CB39" s="98" t="str">
        <f aca="false">IF(ISBLANK($C39),"",$BE39)</f>
        <v/>
      </c>
      <c r="CC39" s="99" t="str">
        <f aca="false">IF(ISBLANK($C39),"",$BS39)</f>
        <v/>
      </c>
      <c r="CD39" s="99" t="str">
        <f aca="false">IF(ISBLANK($C39),"",$BR39)</f>
        <v/>
      </c>
      <c r="CE39" s="100" t="str">
        <f aca="false">IF(ISBLANK($C39),"",IF($CD39=Constants!$B$9,COUNTA($C$9:$C$508)+2,IF($CD39=Constants!$B$8,COUNTA($C$9:$C$508)+1,IF($CD39=Constants!$B$7,COUNTA($C$9:$C$508),$CD39))))</f>
        <v/>
      </c>
      <c r="CF39" s="9"/>
      <c r="CG39" s="101" t="n">
        <f aca="false">IF(OR(ISNUMBER($CD39),$CD39=Constants!$B$9,$CD39=Constants!$B$7,$CD39=Constants!$B$8),1,0)</f>
        <v>0</v>
      </c>
      <c r="CH39" s="101" t="n">
        <v>31</v>
      </c>
      <c r="CI39" s="101" t="str">
        <f aca="false">IF(ISBLANK($C39),"",IF(ISNUMBER($CE39),$CE39+ROW($B39)/1000,""))</f>
        <v/>
      </c>
      <c r="CJ39" s="101" t="str">
        <f aca="false">IF(ISNUMBER($CI39),RANK($CI39,$CI$9:$CI$508,1),"")</f>
        <v/>
      </c>
      <c r="CK39" s="101" t="str">
        <f aca="false">IF(ISBLANK($C39),"",$B39)</f>
        <v/>
      </c>
      <c r="CL39" s="101" t="str">
        <f aca="false">IF(ISBLANK($C39),"",$C39)</f>
        <v/>
      </c>
      <c r="CM39" s="101" t="str">
        <f aca="false">IF(ISBLANK($C39),"",$D39)</f>
        <v/>
      </c>
      <c r="CN39" s="102" t="str">
        <f aca="false">$CB39</f>
        <v/>
      </c>
      <c r="CO39" s="103" t="str">
        <f aca="false">$CA39</f>
        <v/>
      </c>
      <c r="CP39" s="101" t="str">
        <f aca="false">IF(ISBLANK($C39),"",$CD39)</f>
        <v/>
      </c>
      <c r="CQ39" s="104" t="str">
        <f aca="false">IF($CH39&gt;$CG$8,"",VLOOKUP($CH39,$CJ$9:$CP$508,7,FALSE()))</f>
        <v/>
      </c>
      <c r="CR39" s="105" t="str">
        <f aca="false">IF($CH39&gt;$CG$8,"",VLOOKUP($CH39,$CJ$9:$CP$508,2,FALSE()))</f>
        <v/>
      </c>
      <c r="CS39" s="105" t="str">
        <f aca="false">IF($CH39&gt;$CG$8,"",VLOOKUP($CH39,$CJ$9:$CP$508,3,FALSE()))</f>
        <v/>
      </c>
      <c r="CT39" s="105" t="str">
        <f aca="false">IF($CH39&gt;$CG$8,"",VLOOKUP($CH39,$CJ$9:$CP$508,4,FALSE()))</f>
        <v/>
      </c>
      <c r="CU39" s="105" t="str">
        <f aca="false">IF($CH39&gt;$CG$8,"",VLOOKUP($CH39,$CJ$9:$CP$508,5,FALSE()))</f>
        <v/>
      </c>
      <c r="CV39" s="106" t="str">
        <f aca="false">IF($CH39&gt;$CG$8,"",VLOOKUP($CH39,$CJ$9:$CP$508,6,FALSE()))</f>
        <v/>
      </c>
      <c r="CW39" s="71"/>
    </row>
    <row r="40" customFormat="false" ht="15.75" hidden="false" customHeight="false" outlineLevel="0" collapsed="false">
      <c r="A40" s="9"/>
      <c r="B40" s="72"/>
      <c r="C40" s="73"/>
      <c r="D40" s="160"/>
      <c r="E40" s="168"/>
      <c r="F40" s="162"/>
      <c r="G40" s="163"/>
      <c r="H40" s="169"/>
      <c r="I40" s="167"/>
      <c r="J40" s="80"/>
      <c r="K40" s="81"/>
      <c r="L40" s="82"/>
      <c r="M40" s="166"/>
      <c r="N40" s="167"/>
      <c r="O40" s="167"/>
      <c r="P40" s="80"/>
      <c r="Q40" s="82"/>
      <c r="R40" s="82"/>
      <c r="S40" s="166"/>
      <c r="T40" s="167"/>
      <c r="U40" s="86"/>
      <c r="V40" s="87"/>
      <c r="W40" s="87" t="str">
        <f aca="false">IF(ISBLANK($C40),"",IF(E40=Constants!$B$2,TRUE(),IF(E40=Constants!$B$3,FALSE(),TRUE())))</f>
        <v/>
      </c>
      <c r="X40" s="87" t="str">
        <f aca="false">IF(ISBLANK($C40),"",IF(F40=Constants!$B$2,TRUE(),IF(F40=Constants!$B$3,FALSE(),TRUE())))</f>
        <v/>
      </c>
      <c r="Y40" s="87" t="str">
        <f aca="false">IF(ISBLANK($C40),"",IF(G40=Constants!$B$2,TRUE(),IF(G40=Constants!$B$3,FALSE(),TRUE())))</f>
        <v/>
      </c>
      <c r="Z40" s="87" t="str">
        <f aca="false">IF(ISBLANK($C40),"",IF(H40=Constants!$B$2,TRUE(),IF(H40=Constants!$B$3,FALSE(),TRUE())))</f>
        <v/>
      </c>
      <c r="AA40" s="87" t="str">
        <f aca="false">IF(ISBLANK($C40),"",IF(I40=Constants!$B$2,TRUE(),IF(I40=Constants!$B$3,FALSE(),TRUE())))</f>
        <v/>
      </c>
      <c r="AB40" s="87" t="str">
        <f aca="false">IF(ISBLANK($C40),"",IF(J40=Constants!$B$4,TRUE(),IF(J40=Constants!$B$5,FALSE(),COUNTA(K40:M40)&gt;0)))</f>
        <v/>
      </c>
      <c r="AC40" s="88" t="str">
        <f aca="false">IF(ISBLANK($C40),"",IF(ISNUMBER(K40),IF(K40&gt;=0,K40,""),""))</f>
        <v/>
      </c>
      <c r="AD40" s="89" t="str">
        <f aca="false">IF(ISBLANK($C40),"",IF(ISNUMBER(L40),IF(L40&gt;=0,L40,""),""))</f>
        <v/>
      </c>
      <c r="AE40" s="87" t="str">
        <f aca="false">IF(ISBLANK($C40),"",IF(ISNUMBER(M40),IF(M40&gt;=0,MIN(M40,Constants!$B$22),""),""))</f>
        <v/>
      </c>
      <c r="AF40" s="87" t="str">
        <f aca="false">IF(ISBLANK($C40),"",IF(N40=Constants!$B$2,TRUE(),IF(N40=Constants!$B$3,FALSE(),TRUE())))</f>
        <v/>
      </c>
      <c r="AG40" s="87" t="str">
        <f aca="false">IF(ISBLANK($C40),"",IF(O40=Constants!$B$2,TRUE(),IF(O40=Constants!$B$3,FALSE(),TRUE())))</f>
        <v/>
      </c>
      <c r="AH40" s="87" t="str">
        <f aca="false">IF(ISBLANK($C40),"",IF(P40=Constants!$B$4,TRUE(),IF(P40=Constants!$B$5,FALSE(),COUNTA(Q40:S40)&gt;0)))</f>
        <v/>
      </c>
      <c r="AI40" s="88" t="str">
        <f aca="false">IF(ISBLANK($C40),"",IF(ISNUMBER(Q40),IF(Q40&gt;=0,Q40,""),""))</f>
        <v/>
      </c>
      <c r="AJ40" s="89" t="str">
        <f aca="false">IF(ISBLANK($C40),"",IF(ISNUMBER(R40),IF(R40&gt;=0,R40,""),""))</f>
        <v/>
      </c>
      <c r="AK40" s="87" t="str">
        <f aca="false">IF(ISBLANK($C40),"",IF(ISNUMBER(S40),IF(S40&gt;=0,MIN(S40,Constants!$B$22),""),""))</f>
        <v/>
      </c>
      <c r="AL40" s="87" t="str">
        <f aca="false">IF(ISBLANK($C40),"",IF(T40=Constants!$B$2,TRUE(),IF(T40=Constants!$B$3,FALSE(),FALSE())))</f>
        <v/>
      </c>
      <c r="AM40" s="86" t="str">
        <f aca="false">IF(ISBLANK($C40),"",AND($AB40,OR($AC40="",$AD40="",AND(NOT(ISBLANK($M40)),$AE40=""))))</f>
        <v/>
      </c>
      <c r="AN40" s="89" t="str">
        <f aca="false">IF($BD40&lt;&gt;Constants!$B$6,"",IF($AB40,Constants!$B$17*$AD40,Constants!$B$18))</f>
        <v/>
      </c>
      <c r="AO40" s="91" t="str">
        <f aca="false">IF($BD40&lt;&gt;Constants!$B$6,"",Constants!$B$19*IF($AB40,$AC40,0))</f>
        <v/>
      </c>
      <c r="AP40" s="91" t="str">
        <f aca="false">IF($BD40&lt;&gt;Constants!$B$6,"",IF(AND($AB40,ISNUMBER($AE40)),Constants!$B$20*(Constants!$B$21-$AE40),0))</f>
        <v/>
      </c>
      <c r="AQ40" s="91" t="str">
        <f aca="false">IF($BD40&lt;&gt;Constants!$B$6,"",IF($AA40,0,Constants!$B$12)+IF($Z40,0,Constants!$B$13)+IF($Y40,0,Constants!$B$14))</f>
        <v/>
      </c>
      <c r="AR40" s="92" t="str">
        <f aca="false">IF($BD40&lt;&gt;Constants!$B$6,"",Constants!$B$16+SUM($AN40:$AQ40))</f>
        <v/>
      </c>
      <c r="AS40" s="91" t="str">
        <f aca="false">IF($BD40&lt;&gt;Constants!$B$6,"",IF($AB40,$AD40,""))</f>
        <v/>
      </c>
      <c r="AT40" s="93" t="str">
        <f aca="false">IF($BD40&lt;&gt;Constants!$B$6,"",$AO40)</f>
        <v/>
      </c>
      <c r="AU40" s="87" t="str">
        <f aca="false">IF($BD40&lt;&gt;Constants!$B$6,"",IF(OR($BA40&lt;$AR40,AND($BA40=$AR40,OR(AND(ISNUMBER($BB40),OR(NOT(ISNUMBER($AS40)),$BB40&lt;$AS40)),AND(OR(AND($BB40="",$AS40=""),AND(ISNUMBER($BB40),ISNUMBER($AS40),$BB40=$AS40)),$BC40&lt;$AT40)))),"-&gt;","&lt;-"))</f>
        <v/>
      </c>
      <c r="AV40" s="86" t="str">
        <f aca="false">IF(ISBLANK($C40),"",AND($AH40,OR($AI40="",$AJ40="",AND(NOT(ISBLANK($S40)),$AK40=""))))</f>
        <v/>
      </c>
      <c r="AW40" s="89" t="str">
        <f aca="false">IF($BD40&lt;&gt;Constants!$B$6,"",IF($AH40,Constants!$B$17*$AJ40,Constants!$B$18))</f>
        <v/>
      </c>
      <c r="AX40" s="91" t="str">
        <f aca="false">IF($BD40&lt;&gt;Constants!$B$6,"",Constants!$B$19*IF($AH40,$AI40,0))</f>
        <v/>
      </c>
      <c r="AY40" s="91" t="str">
        <f aca="false">IF($BD40&lt;&gt;Constants!$B$6,"",IF(AND($AH40,ISNUMBER($AK40)),Constants!$B$20*(Constants!$B$21-$AK40),0))</f>
        <v/>
      </c>
      <c r="AZ40" s="91" t="str">
        <f aca="false">IF($BD40&lt;&gt;Constants!$B$6,"",IF($AG40,0,Constants!$B$12)+IF($AF40,0,Constants!$B$13)+IF($Y40,0,Constants!$B$14))</f>
        <v/>
      </c>
      <c r="BA40" s="92" t="str">
        <f aca="false">IF($BD40&lt;&gt;Constants!$B$6,"",Constants!$B$16+SUM($AW40:$AZ40))</f>
        <v/>
      </c>
      <c r="BB40" s="91" t="str">
        <f aca="false">IF($BD40&lt;&gt;Constants!$B$6,"",IF($AH40,$AJ40,""))</f>
        <v/>
      </c>
      <c r="BC40" s="93" t="str">
        <f aca="false">IF($BD40&lt;&gt;Constants!$B$6,"",$AX40)</f>
        <v/>
      </c>
      <c r="BD40" s="87" t="str">
        <f aca="false">IF(ISBLANK($C40),"",IF($AL40,Constants!$B$9,IF(COUNTA($E40:$T40)=0,Constants!$B$8,IF(NOT($X40),Constants!$B$7,IF(OR($AM40,$AV40),Constants!$B$10,Constants!$B$6)))))</f>
        <v/>
      </c>
      <c r="BE40" s="87" t="str">
        <f aca="false">IF(ISBLANK($C40),"",IF($BD40&lt;&gt;Constants!$B$6,$BD40,Constants!$B$11))</f>
        <v/>
      </c>
      <c r="BF40" s="91" t="str">
        <f aca="false">IF($BD40&lt;&gt;Constants!$B$6,"",IF($AU40="-&gt;",$BA40,$AR40))</f>
        <v/>
      </c>
      <c r="BG40" s="91" t="str">
        <f aca="false">IF($BD40&lt;&gt;Constants!$B$6,"",IF($W40,0,Constants!$B$15))</f>
        <v/>
      </c>
      <c r="BH40" s="91" t="str">
        <f aca="false">IF(ISBLANK($C40),"",IF($BD40&lt;&gt;Constants!$B$6,$BD40,SUM($BF40:$BG40)))</f>
        <v/>
      </c>
      <c r="BI40" s="87" t="str">
        <f aca="false">IF(ISBLANK($C40),"",IF($BD40&lt;&gt;Constants!$B$6,$BD40,RANK($BH40,$BH$9:$BH$508,1)))</f>
        <v/>
      </c>
      <c r="BJ40" s="91" t="str">
        <f aca="false">IF($BD40&lt;&gt;Constants!$B$6,"",IF($AU40="-&gt;",$BB40,$AS40))</f>
        <v/>
      </c>
      <c r="BK40" s="87" t="str">
        <f aca="false">IF(ISBLANK($C40),"",IF($BD40&lt;&gt;Constants!$B$6,$BD40,IF(ISNUMBER($BJ40),RANK($BJ40,$BJ$9:$BJ$508,1),COUNT($BJ$9:$BJ$508)+1)))</f>
        <v/>
      </c>
      <c r="BL40" s="91" t="str">
        <f aca="false">IF($BD40&lt;&gt;Constants!$B$6,"",IF($AU40="-&gt;",$BC40,$AT40))</f>
        <v/>
      </c>
      <c r="BM40" s="87" t="str">
        <f aca="false">IF(ISBLANK($C40),"",IF($BD40&lt;&gt;Constants!$B$6,$BD40,IF(ISNUMBER($BL40),RANK($BL40,$BL$9:$BL$508,1),COUNT($BL$9:$BL$508)+1)))</f>
        <v/>
      </c>
      <c r="BN40" s="91" t="str">
        <f aca="false">IF($BD40&lt;&gt;Constants!$B$6,"",IF($AU40="-&gt;",$AS40,$BB40))</f>
        <v/>
      </c>
      <c r="BO40" s="87" t="str">
        <f aca="false">IF(ISBLANK($C40),"",IF($BD40&lt;&gt;Constants!$B$6,$BD40,IF(ISNUMBER($BN40),RANK($BN40,$BN$9:$BN$508,1),COUNT($BN$9:$BN$508)+1)))</f>
        <v/>
      </c>
      <c r="BP40" s="91" t="str">
        <f aca="false">IF($BD40&lt;&gt;Constants!$B$6,"",IF($AU40="-&gt;",$AT40,$BC40))</f>
        <v/>
      </c>
      <c r="BQ40" s="87" t="str">
        <f aca="false">IF(ISBLANK($C40),"",IF($BD40&lt;&gt;Constants!$B$6,$BD40,IF(ISNUMBER($BP40),RANK($BP40,$BP$9:$BP$508,1),COUNT($BP$9:$BP$508)+1)))</f>
        <v/>
      </c>
      <c r="BR40" s="87" t="str">
        <f aca="false">IF(ISBLANK($C40),"",IF($BD40&lt;&gt;Constants!$B$6,$BD40,COUNTIFS($BI$9:$BI$508,"&lt;"&amp;$BI40)+COUNTIFS($BI$9:$BI$508,$BI40,$BK$9:$BK$508,"&lt;"&amp;$BK40)+COUNTIFS($BI$9:$BI$508,$BI40,$BK$9:$BK$508,$BK40,$BM$9:$BM$508,"&lt;"&amp;$BM40)+COUNTIFS($BI$9:$BI$508,$BI40,$BK$9:$BK$508,$BK40,$BM$9:$BM$508,$BM40,$BO$9:$BO$508,"&lt;"&amp;$BO40)+COUNTIFS($BI$9:$BI$508,$BI40,$BK$9:$BK$508,$BK40,$BM$9:$BM$508,$BM40,$BO$9:$BO$508,$BO40,$BQ$9:$BQ$508,"&lt;"&amp;$BQ40)+1))</f>
        <v/>
      </c>
      <c r="BS40" s="87" t="str">
        <f aca="false">IF(ISBLANK($C40),"",IF($BD40&lt;&gt;Constants!$B$6,$BD40,$BI40-$BR40))</f>
        <v/>
      </c>
      <c r="BT40" s="94"/>
      <c r="BU40" s="95"/>
      <c r="BV40" s="95" t="str">
        <f aca="false">IF(ISBLANK($C40),"",IF($BD40&lt;&gt;Constants!$B$6,"",IF($AU40="-&gt;",2,1)))</f>
        <v/>
      </c>
      <c r="BW40" s="96" t="str">
        <f aca="false">IF(ISBLANK($C40),"",IF($BD40&lt;&gt;Constants!$B$6,"",IF($AU40="-&gt;",$AW40,$AN40)))</f>
        <v/>
      </c>
      <c r="BX40" s="96" t="str">
        <f aca="false">IF(ISBLANK($C40),"",IF($BD40&lt;&gt;Constants!$B$6,"",IF($AU40="-&gt;",$AX40,$AO40)))</f>
        <v/>
      </c>
      <c r="BY40" s="96" t="str">
        <f aca="false">IF(ISBLANK($C40),"",IF($BD40&lt;&gt;Constants!$B$6,"",IF($AU40="-&gt;",$AY40,$AP40)))</f>
        <v/>
      </c>
      <c r="BZ40" s="96" t="str">
        <f aca="false">IF(ISBLANK($C40),"",IF($BD40&lt;&gt;Constants!$B$6,"",IF($AU40="-&gt;",$AZ40,$AQ40)+$BG40))</f>
        <v/>
      </c>
      <c r="CA40" s="97" t="str">
        <f aca="false">IF(ISBLANK($C40),"",IF($BD40&lt;&gt;Constants!$B$6,$BD40,$BH40))</f>
        <v/>
      </c>
      <c r="CB40" s="98" t="str">
        <f aca="false">IF(ISBLANK($C40),"",$BE40)</f>
        <v/>
      </c>
      <c r="CC40" s="99" t="str">
        <f aca="false">IF(ISBLANK($C40),"",$BS40)</f>
        <v/>
      </c>
      <c r="CD40" s="99" t="str">
        <f aca="false">IF(ISBLANK($C40),"",$BR40)</f>
        <v/>
      </c>
      <c r="CE40" s="100" t="str">
        <f aca="false">IF(ISBLANK($C40),"",IF($CD40=Constants!$B$9,COUNTA($C$9:$C$508)+2,IF($CD40=Constants!$B$8,COUNTA($C$9:$C$508)+1,IF($CD40=Constants!$B$7,COUNTA($C$9:$C$508),$CD40))))</f>
        <v/>
      </c>
      <c r="CF40" s="9"/>
      <c r="CG40" s="101" t="n">
        <f aca="false">IF(OR(ISNUMBER($CD40),$CD40=Constants!$B$9,$CD40=Constants!$B$7,$CD40=Constants!$B$8),1,0)</f>
        <v>0</v>
      </c>
      <c r="CH40" s="101" t="n">
        <v>32</v>
      </c>
      <c r="CI40" s="101" t="str">
        <f aca="false">IF(ISBLANK($C40),"",IF(ISNUMBER($CE40),$CE40+ROW($B40)/1000,""))</f>
        <v/>
      </c>
      <c r="CJ40" s="101" t="str">
        <f aca="false">IF(ISNUMBER($CI40),RANK($CI40,$CI$9:$CI$508,1),"")</f>
        <v/>
      </c>
      <c r="CK40" s="101" t="str">
        <f aca="false">IF(ISBLANK($C40),"",$B40)</f>
        <v/>
      </c>
      <c r="CL40" s="101" t="str">
        <f aca="false">IF(ISBLANK($C40),"",$C40)</f>
        <v/>
      </c>
      <c r="CM40" s="101" t="str">
        <f aca="false">IF(ISBLANK($C40),"",$D40)</f>
        <v/>
      </c>
      <c r="CN40" s="102" t="str">
        <f aca="false">$CB40</f>
        <v/>
      </c>
      <c r="CO40" s="103" t="str">
        <f aca="false">$CA40</f>
        <v/>
      </c>
      <c r="CP40" s="101" t="str">
        <f aca="false">IF(ISBLANK($C40),"",$CD40)</f>
        <v/>
      </c>
      <c r="CQ40" s="104" t="str">
        <f aca="false">IF($CH40&gt;$CG$8,"",VLOOKUP($CH40,$CJ$9:$CP$508,7,FALSE()))</f>
        <v/>
      </c>
      <c r="CR40" s="105" t="str">
        <f aca="false">IF($CH40&gt;$CG$8,"",VLOOKUP($CH40,$CJ$9:$CP$508,2,FALSE()))</f>
        <v/>
      </c>
      <c r="CS40" s="105" t="str">
        <f aca="false">IF($CH40&gt;$CG$8,"",VLOOKUP($CH40,$CJ$9:$CP$508,3,FALSE()))</f>
        <v/>
      </c>
      <c r="CT40" s="105" t="str">
        <f aca="false">IF($CH40&gt;$CG$8,"",VLOOKUP($CH40,$CJ$9:$CP$508,4,FALSE()))</f>
        <v/>
      </c>
      <c r="CU40" s="105" t="str">
        <f aca="false">IF($CH40&gt;$CG$8,"",VLOOKUP($CH40,$CJ$9:$CP$508,5,FALSE()))</f>
        <v/>
      </c>
      <c r="CV40" s="106" t="str">
        <f aca="false">IF($CH40&gt;$CG$8,"",VLOOKUP($CH40,$CJ$9:$CP$508,6,FALSE()))</f>
        <v/>
      </c>
      <c r="CW40" s="71"/>
    </row>
    <row r="41" customFormat="false" ht="15.75" hidden="false" customHeight="false" outlineLevel="0" collapsed="false">
      <c r="A41" s="9"/>
      <c r="B41" s="72"/>
      <c r="C41" s="73"/>
      <c r="D41" s="160"/>
      <c r="E41" s="168"/>
      <c r="F41" s="162"/>
      <c r="G41" s="163"/>
      <c r="H41" s="169"/>
      <c r="I41" s="167"/>
      <c r="J41" s="80"/>
      <c r="K41" s="81"/>
      <c r="L41" s="82"/>
      <c r="M41" s="166"/>
      <c r="N41" s="167"/>
      <c r="O41" s="167"/>
      <c r="P41" s="80"/>
      <c r="Q41" s="82"/>
      <c r="R41" s="82"/>
      <c r="S41" s="166"/>
      <c r="T41" s="167"/>
      <c r="U41" s="86"/>
      <c r="V41" s="87"/>
      <c r="W41" s="87" t="str">
        <f aca="false">IF(ISBLANK($C41),"",IF(E41=Constants!$B$2,TRUE(),IF(E41=Constants!$B$3,FALSE(),TRUE())))</f>
        <v/>
      </c>
      <c r="X41" s="87" t="str">
        <f aca="false">IF(ISBLANK($C41),"",IF(F41=Constants!$B$2,TRUE(),IF(F41=Constants!$B$3,FALSE(),TRUE())))</f>
        <v/>
      </c>
      <c r="Y41" s="87" t="str">
        <f aca="false">IF(ISBLANK($C41),"",IF(G41=Constants!$B$2,TRUE(),IF(G41=Constants!$B$3,FALSE(),TRUE())))</f>
        <v/>
      </c>
      <c r="Z41" s="87" t="str">
        <f aca="false">IF(ISBLANK($C41),"",IF(H41=Constants!$B$2,TRUE(),IF(H41=Constants!$B$3,FALSE(),TRUE())))</f>
        <v/>
      </c>
      <c r="AA41" s="87" t="str">
        <f aca="false">IF(ISBLANK($C41),"",IF(I41=Constants!$B$2,TRUE(),IF(I41=Constants!$B$3,FALSE(),TRUE())))</f>
        <v/>
      </c>
      <c r="AB41" s="87" t="str">
        <f aca="false">IF(ISBLANK($C41),"",IF(J41=Constants!$B$4,TRUE(),IF(J41=Constants!$B$5,FALSE(),COUNTA(K41:M41)&gt;0)))</f>
        <v/>
      </c>
      <c r="AC41" s="88" t="str">
        <f aca="false">IF(ISBLANK($C41),"",IF(ISNUMBER(K41),IF(K41&gt;=0,K41,""),""))</f>
        <v/>
      </c>
      <c r="AD41" s="89" t="str">
        <f aca="false">IF(ISBLANK($C41),"",IF(ISNUMBER(L41),IF(L41&gt;=0,L41,""),""))</f>
        <v/>
      </c>
      <c r="AE41" s="87" t="str">
        <f aca="false">IF(ISBLANK($C41),"",IF(ISNUMBER(M41),IF(M41&gt;=0,MIN(M41,Constants!$B$22),""),""))</f>
        <v/>
      </c>
      <c r="AF41" s="87" t="str">
        <f aca="false">IF(ISBLANK($C41),"",IF(N41=Constants!$B$2,TRUE(),IF(N41=Constants!$B$3,FALSE(),TRUE())))</f>
        <v/>
      </c>
      <c r="AG41" s="87" t="str">
        <f aca="false">IF(ISBLANK($C41),"",IF(O41=Constants!$B$2,TRUE(),IF(O41=Constants!$B$3,FALSE(),TRUE())))</f>
        <v/>
      </c>
      <c r="AH41" s="87" t="str">
        <f aca="false">IF(ISBLANK($C41),"",IF(P41=Constants!$B$4,TRUE(),IF(P41=Constants!$B$5,FALSE(),COUNTA(Q41:S41)&gt;0)))</f>
        <v/>
      </c>
      <c r="AI41" s="88" t="str">
        <f aca="false">IF(ISBLANK($C41),"",IF(ISNUMBER(Q41),IF(Q41&gt;=0,Q41,""),""))</f>
        <v/>
      </c>
      <c r="AJ41" s="89" t="str">
        <f aca="false">IF(ISBLANK($C41),"",IF(ISNUMBER(R41),IF(R41&gt;=0,R41,""),""))</f>
        <v/>
      </c>
      <c r="AK41" s="87" t="str">
        <f aca="false">IF(ISBLANK($C41),"",IF(ISNUMBER(S41),IF(S41&gt;=0,MIN(S41,Constants!$B$22),""),""))</f>
        <v/>
      </c>
      <c r="AL41" s="87" t="str">
        <f aca="false">IF(ISBLANK($C41),"",IF(T41=Constants!$B$2,TRUE(),IF(T41=Constants!$B$3,FALSE(),FALSE())))</f>
        <v/>
      </c>
      <c r="AM41" s="86" t="str">
        <f aca="false">IF(ISBLANK($C41),"",AND($AB41,OR($AC41="",$AD41="",AND(NOT(ISBLANK($M41)),$AE41=""))))</f>
        <v/>
      </c>
      <c r="AN41" s="89" t="str">
        <f aca="false">IF($BD41&lt;&gt;Constants!$B$6,"",IF($AB41,Constants!$B$17*$AD41,Constants!$B$18))</f>
        <v/>
      </c>
      <c r="AO41" s="91" t="str">
        <f aca="false">IF($BD41&lt;&gt;Constants!$B$6,"",Constants!$B$19*IF($AB41,$AC41,0))</f>
        <v/>
      </c>
      <c r="AP41" s="91" t="str">
        <f aca="false">IF($BD41&lt;&gt;Constants!$B$6,"",IF(AND($AB41,ISNUMBER($AE41)),Constants!$B$20*(Constants!$B$21-$AE41),0))</f>
        <v/>
      </c>
      <c r="AQ41" s="91" t="str">
        <f aca="false">IF($BD41&lt;&gt;Constants!$B$6,"",IF($AA41,0,Constants!$B$12)+IF($Z41,0,Constants!$B$13)+IF($Y41,0,Constants!$B$14))</f>
        <v/>
      </c>
      <c r="AR41" s="92" t="str">
        <f aca="false">IF($BD41&lt;&gt;Constants!$B$6,"",Constants!$B$16+SUM($AN41:$AQ41))</f>
        <v/>
      </c>
      <c r="AS41" s="91" t="str">
        <f aca="false">IF($BD41&lt;&gt;Constants!$B$6,"",IF($AB41,$AD41,""))</f>
        <v/>
      </c>
      <c r="AT41" s="93" t="str">
        <f aca="false">IF($BD41&lt;&gt;Constants!$B$6,"",$AO41)</f>
        <v/>
      </c>
      <c r="AU41" s="87" t="str">
        <f aca="false">IF($BD41&lt;&gt;Constants!$B$6,"",IF(OR($BA41&lt;$AR41,AND($BA41=$AR41,OR(AND(ISNUMBER($BB41),OR(NOT(ISNUMBER($AS41)),$BB41&lt;$AS41)),AND(OR(AND($BB41="",$AS41=""),AND(ISNUMBER($BB41),ISNUMBER($AS41),$BB41=$AS41)),$BC41&lt;$AT41)))),"-&gt;","&lt;-"))</f>
        <v/>
      </c>
      <c r="AV41" s="86" t="str">
        <f aca="false">IF(ISBLANK($C41),"",AND($AH41,OR($AI41="",$AJ41="",AND(NOT(ISBLANK($S41)),$AK41=""))))</f>
        <v/>
      </c>
      <c r="AW41" s="89" t="str">
        <f aca="false">IF($BD41&lt;&gt;Constants!$B$6,"",IF($AH41,Constants!$B$17*$AJ41,Constants!$B$18))</f>
        <v/>
      </c>
      <c r="AX41" s="91" t="str">
        <f aca="false">IF($BD41&lt;&gt;Constants!$B$6,"",Constants!$B$19*IF($AH41,$AI41,0))</f>
        <v/>
      </c>
      <c r="AY41" s="91" t="str">
        <f aca="false">IF($BD41&lt;&gt;Constants!$B$6,"",IF(AND($AH41,ISNUMBER($AK41)),Constants!$B$20*(Constants!$B$21-$AK41),0))</f>
        <v/>
      </c>
      <c r="AZ41" s="91" t="str">
        <f aca="false">IF($BD41&lt;&gt;Constants!$B$6,"",IF($AG41,0,Constants!$B$12)+IF($AF41,0,Constants!$B$13)+IF($Y41,0,Constants!$B$14))</f>
        <v/>
      </c>
      <c r="BA41" s="92" t="str">
        <f aca="false">IF($BD41&lt;&gt;Constants!$B$6,"",Constants!$B$16+SUM($AW41:$AZ41))</f>
        <v/>
      </c>
      <c r="BB41" s="91" t="str">
        <f aca="false">IF($BD41&lt;&gt;Constants!$B$6,"",IF($AH41,$AJ41,""))</f>
        <v/>
      </c>
      <c r="BC41" s="93" t="str">
        <f aca="false">IF($BD41&lt;&gt;Constants!$B$6,"",$AX41)</f>
        <v/>
      </c>
      <c r="BD41" s="87" t="str">
        <f aca="false">IF(ISBLANK($C41),"",IF($AL41,Constants!$B$9,IF(COUNTA($E41:$T41)=0,Constants!$B$8,IF(NOT($X41),Constants!$B$7,IF(OR($AM41,$AV41),Constants!$B$10,Constants!$B$6)))))</f>
        <v/>
      </c>
      <c r="BE41" s="87" t="str">
        <f aca="false">IF(ISBLANK($C41),"",IF($BD41&lt;&gt;Constants!$B$6,$BD41,Constants!$B$11))</f>
        <v/>
      </c>
      <c r="BF41" s="91" t="str">
        <f aca="false">IF($BD41&lt;&gt;Constants!$B$6,"",IF($AU41="-&gt;",$BA41,$AR41))</f>
        <v/>
      </c>
      <c r="BG41" s="91" t="str">
        <f aca="false">IF($BD41&lt;&gt;Constants!$B$6,"",IF($W41,0,Constants!$B$15))</f>
        <v/>
      </c>
      <c r="BH41" s="91" t="str">
        <f aca="false">IF(ISBLANK($C41),"",IF($BD41&lt;&gt;Constants!$B$6,$BD41,SUM($BF41:$BG41)))</f>
        <v/>
      </c>
      <c r="BI41" s="87" t="str">
        <f aca="false">IF(ISBLANK($C41),"",IF($BD41&lt;&gt;Constants!$B$6,$BD41,RANK($BH41,$BH$9:$BH$508,1)))</f>
        <v/>
      </c>
      <c r="BJ41" s="91" t="str">
        <f aca="false">IF($BD41&lt;&gt;Constants!$B$6,"",IF($AU41="-&gt;",$BB41,$AS41))</f>
        <v/>
      </c>
      <c r="BK41" s="87" t="str">
        <f aca="false">IF(ISBLANK($C41),"",IF($BD41&lt;&gt;Constants!$B$6,$BD41,IF(ISNUMBER($BJ41),RANK($BJ41,$BJ$9:$BJ$508,1),COUNT($BJ$9:$BJ$508)+1)))</f>
        <v/>
      </c>
      <c r="BL41" s="91" t="str">
        <f aca="false">IF($BD41&lt;&gt;Constants!$B$6,"",IF($AU41="-&gt;",$BC41,$AT41))</f>
        <v/>
      </c>
      <c r="BM41" s="87" t="str">
        <f aca="false">IF(ISBLANK($C41),"",IF($BD41&lt;&gt;Constants!$B$6,$BD41,IF(ISNUMBER($BL41),RANK($BL41,$BL$9:$BL$508,1),COUNT($BL$9:$BL$508)+1)))</f>
        <v/>
      </c>
      <c r="BN41" s="91" t="str">
        <f aca="false">IF($BD41&lt;&gt;Constants!$B$6,"",IF($AU41="-&gt;",$AS41,$BB41))</f>
        <v/>
      </c>
      <c r="BO41" s="87" t="str">
        <f aca="false">IF(ISBLANK($C41),"",IF($BD41&lt;&gt;Constants!$B$6,$BD41,IF(ISNUMBER($BN41),RANK($BN41,$BN$9:$BN$508,1),COUNT($BN$9:$BN$508)+1)))</f>
        <v/>
      </c>
      <c r="BP41" s="91" t="str">
        <f aca="false">IF($BD41&lt;&gt;Constants!$B$6,"",IF($AU41="-&gt;",$AT41,$BC41))</f>
        <v/>
      </c>
      <c r="BQ41" s="87" t="str">
        <f aca="false">IF(ISBLANK($C41),"",IF($BD41&lt;&gt;Constants!$B$6,$BD41,IF(ISNUMBER($BP41),RANK($BP41,$BP$9:$BP$508,1),COUNT($BP$9:$BP$508)+1)))</f>
        <v/>
      </c>
      <c r="BR41" s="87" t="str">
        <f aca="false">IF(ISBLANK($C41),"",IF($BD41&lt;&gt;Constants!$B$6,$BD41,COUNTIFS($BI$9:$BI$508,"&lt;"&amp;$BI41)+COUNTIFS($BI$9:$BI$508,$BI41,$BK$9:$BK$508,"&lt;"&amp;$BK41)+COUNTIFS($BI$9:$BI$508,$BI41,$BK$9:$BK$508,$BK41,$BM$9:$BM$508,"&lt;"&amp;$BM41)+COUNTIFS($BI$9:$BI$508,$BI41,$BK$9:$BK$508,$BK41,$BM$9:$BM$508,$BM41,$BO$9:$BO$508,"&lt;"&amp;$BO41)+COUNTIFS($BI$9:$BI$508,$BI41,$BK$9:$BK$508,$BK41,$BM$9:$BM$508,$BM41,$BO$9:$BO$508,$BO41,$BQ$9:$BQ$508,"&lt;"&amp;$BQ41)+1))</f>
        <v/>
      </c>
      <c r="BS41" s="87" t="str">
        <f aca="false">IF(ISBLANK($C41),"",IF($BD41&lt;&gt;Constants!$B$6,$BD41,$BI41-$BR41))</f>
        <v/>
      </c>
      <c r="BT41" s="94"/>
      <c r="BU41" s="95"/>
      <c r="BV41" s="95" t="str">
        <f aca="false">IF(ISBLANK($C41),"",IF($BD41&lt;&gt;Constants!$B$6,"",IF($AU41="-&gt;",2,1)))</f>
        <v/>
      </c>
      <c r="BW41" s="96" t="str">
        <f aca="false">IF(ISBLANK($C41),"",IF($BD41&lt;&gt;Constants!$B$6,"",IF($AU41="-&gt;",$AW41,$AN41)))</f>
        <v/>
      </c>
      <c r="BX41" s="96" t="str">
        <f aca="false">IF(ISBLANK($C41),"",IF($BD41&lt;&gt;Constants!$B$6,"",IF($AU41="-&gt;",$AX41,$AO41)))</f>
        <v/>
      </c>
      <c r="BY41" s="96" t="str">
        <f aca="false">IF(ISBLANK($C41),"",IF($BD41&lt;&gt;Constants!$B$6,"",IF($AU41="-&gt;",$AY41,$AP41)))</f>
        <v/>
      </c>
      <c r="BZ41" s="96" t="str">
        <f aca="false">IF(ISBLANK($C41),"",IF($BD41&lt;&gt;Constants!$B$6,"",IF($AU41="-&gt;",$AZ41,$AQ41)+$BG41))</f>
        <v/>
      </c>
      <c r="CA41" s="97" t="str">
        <f aca="false">IF(ISBLANK($C41),"",IF($BD41&lt;&gt;Constants!$B$6,$BD41,$BH41))</f>
        <v/>
      </c>
      <c r="CB41" s="98" t="str">
        <f aca="false">IF(ISBLANK($C41),"",$BE41)</f>
        <v/>
      </c>
      <c r="CC41" s="99" t="str">
        <f aca="false">IF(ISBLANK($C41),"",$BS41)</f>
        <v/>
      </c>
      <c r="CD41" s="99" t="str">
        <f aca="false">IF(ISBLANK($C41),"",$BR41)</f>
        <v/>
      </c>
      <c r="CE41" s="100" t="str">
        <f aca="false">IF(ISBLANK($C41),"",IF($CD41=Constants!$B$9,COUNTA($C$9:$C$508)+2,IF($CD41=Constants!$B$8,COUNTA($C$9:$C$508)+1,IF($CD41=Constants!$B$7,COUNTA($C$9:$C$508),$CD41))))</f>
        <v/>
      </c>
      <c r="CF41" s="9"/>
      <c r="CG41" s="101" t="n">
        <f aca="false">IF(OR(ISNUMBER($CD41),$CD41=Constants!$B$9,$CD41=Constants!$B$7,$CD41=Constants!$B$8),1,0)</f>
        <v>0</v>
      </c>
      <c r="CH41" s="101" t="n">
        <v>33</v>
      </c>
      <c r="CI41" s="101" t="str">
        <f aca="false">IF(ISBLANK($C41),"",IF(ISNUMBER($CE41),$CE41+ROW($B41)/1000,""))</f>
        <v/>
      </c>
      <c r="CJ41" s="101" t="str">
        <f aca="false">IF(ISNUMBER($CI41),RANK($CI41,$CI$9:$CI$508,1),"")</f>
        <v/>
      </c>
      <c r="CK41" s="101" t="str">
        <f aca="false">IF(ISBLANK($C41),"",$B41)</f>
        <v/>
      </c>
      <c r="CL41" s="101" t="str">
        <f aca="false">IF(ISBLANK($C41),"",$C41)</f>
        <v/>
      </c>
      <c r="CM41" s="101" t="str">
        <f aca="false">IF(ISBLANK($C41),"",$D41)</f>
        <v/>
      </c>
      <c r="CN41" s="102" t="str">
        <f aca="false">$CB41</f>
        <v/>
      </c>
      <c r="CO41" s="103" t="str">
        <f aca="false">$CA41</f>
        <v/>
      </c>
      <c r="CP41" s="101" t="str">
        <f aca="false">IF(ISBLANK($C41),"",$CD41)</f>
        <v/>
      </c>
      <c r="CQ41" s="104" t="str">
        <f aca="false">IF($CH41&gt;$CG$8,"",VLOOKUP($CH41,$CJ$9:$CP$508,7,FALSE()))</f>
        <v/>
      </c>
      <c r="CR41" s="105" t="str">
        <f aca="false">IF($CH41&gt;$CG$8,"",VLOOKUP($CH41,$CJ$9:$CP$508,2,FALSE()))</f>
        <v/>
      </c>
      <c r="CS41" s="105" t="str">
        <f aca="false">IF($CH41&gt;$CG$8,"",VLOOKUP($CH41,$CJ$9:$CP$508,3,FALSE()))</f>
        <v/>
      </c>
      <c r="CT41" s="105" t="str">
        <f aca="false">IF($CH41&gt;$CG$8,"",VLOOKUP($CH41,$CJ$9:$CP$508,4,FALSE()))</f>
        <v/>
      </c>
      <c r="CU41" s="105" t="str">
        <f aca="false">IF($CH41&gt;$CG$8,"",VLOOKUP($CH41,$CJ$9:$CP$508,5,FALSE()))</f>
        <v/>
      </c>
      <c r="CV41" s="106" t="str">
        <f aca="false">IF($CH41&gt;$CG$8,"",VLOOKUP($CH41,$CJ$9:$CP$508,6,FALSE()))</f>
        <v/>
      </c>
      <c r="CW41" s="71"/>
    </row>
    <row r="42" customFormat="false" ht="15.75" hidden="false" customHeight="false" outlineLevel="0" collapsed="false">
      <c r="A42" s="9"/>
      <c r="B42" s="150"/>
      <c r="C42" s="151"/>
      <c r="D42" s="152"/>
      <c r="E42" s="170"/>
      <c r="F42" s="154"/>
      <c r="G42" s="155"/>
      <c r="H42" s="171"/>
      <c r="I42" s="159"/>
      <c r="J42" s="120"/>
      <c r="K42" s="121"/>
      <c r="L42" s="122"/>
      <c r="M42" s="158"/>
      <c r="N42" s="159"/>
      <c r="O42" s="159"/>
      <c r="P42" s="120"/>
      <c r="Q42" s="122"/>
      <c r="R42" s="122"/>
      <c r="S42" s="158"/>
      <c r="T42" s="159"/>
      <c r="U42" s="126"/>
      <c r="V42" s="127"/>
      <c r="W42" s="127" t="str">
        <f aca="false">IF(ISBLANK($C42),"",IF(E42=Constants!$B$2,TRUE(),IF(E42=Constants!$B$3,FALSE(),TRUE())))</f>
        <v/>
      </c>
      <c r="X42" s="127" t="str">
        <f aca="false">IF(ISBLANK($C42),"",IF(F42=Constants!$B$2,TRUE(),IF(F42=Constants!$B$3,FALSE(),TRUE())))</f>
        <v/>
      </c>
      <c r="Y42" s="127" t="str">
        <f aca="false">IF(ISBLANK($C42),"",IF(G42=Constants!$B$2,TRUE(),IF(G42=Constants!$B$3,FALSE(),TRUE())))</f>
        <v/>
      </c>
      <c r="Z42" s="127" t="str">
        <f aca="false">IF(ISBLANK($C42),"",IF(H42=Constants!$B$2,TRUE(),IF(H42=Constants!$B$3,FALSE(),TRUE())))</f>
        <v/>
      </c>
      <c r="AA42" s="127" t="str">
        <f aca="false">IF(ISBLANK($C42),"",IF(I42=Constants!$B$2,TRUE(),IF(I42=Constants!$B$3,FALSE(),TRUE())))</f>
        <v/>
      </c>
      <c r="AB42" s="127" t="str">
        <f aca="false">IF(ISBLANK($C42),"",IF(J42=Constants!$B$4,TRUE(),IF(J42=Constants!$B$5,FALSE(),COUNTA(K42:M42)&gt;0)))</f>
        <v/>
      </c>
      <c r="AC42" s="128" t="str">
        <f aca="false">IF(ISBLANK($C42),"",IF(ISNUMBER(K42),IF(K42&gt;=0,K42,""),""))</f>
        <v/>
      </c>
      <c r="AD42" s="129" t="str">
        <f aca="false">IF(ISBLANK($C42),"",IF(ISNUMBER(L42),IF(L42&gt;=0,L42,""),""))</f>
        <v/>
      </c>
      <c r="AE42" s="127" t="str">
        <f aca="false">IF(ISBLANK($C42),"",IF(ISNUMBER(M42),IF(M42&gt;=0,MIN(M42,Constants!$B$22),""),""))</f>
        <v/>
      </c>
      <c r="AF42" s="127" t="str">
        <f aca="false">IF(ISBLANK($C42),"",IF(N42=Constants!$B$2,TRUE(),IF(N42=Constants!$B$3,FALSE(),TRUE())))</f>
        <v/>
      </c>
      <c r="AG42" s="127" t="str">
        <f aca="false">IF(ISBLANK($C42),"",IF(O42=Constants!$B$2,TRUE(),IF(O42=Constants!$B$3,FALSE(),TRUE())))</f>
        <v/>
      </c>
      <c r="AH42" s="127" t="str">
        <f aca="false">IF(ISBLANK($C42),"",IF(P42=Constants!$B$4,TRUE(),IF(P42=Constants!$B$5,FALSE(),COUNTA(Q42:S42)&gt;0)))</f>
        <v/>
      </c>
      <c r="AI42" s="128" t="str">
        <f aca="false">IF(ISBLANK($C42),"",IF(ISNUMBER(Q42),IF(Q42&gt;=0,Q42,""),""))</f>
        <v/>
      </c>
      <c r="AJ42" s="129" t="str">
        <f aca="false">IF(ISBLANK($C42),"",IF(ISNUMBER(R42),IF(R42&gt;=0,R42,""),""))</f>
        <v/>
      </c>
      <c r="AK42" s="127" t="str">
        <f aca="false">IF(ISBLANK($C42),"",IF(ISNUMBER(S42),IF(S42&gt;=0,MIN(S42,Constants!$B$22),""),""))</f>
        <v/>
      </c>
      <c r="AL42" s="127" t="str">
        <f aca="false">IF(ISBLANK($C42),"",IF(T42=Constants!$B$2,TRUE(),IF(T42=Constants!$B$3,FALSE(),FALSE())))</f>
        <v/>
      </c>
      <c r="AM42" s="126" t="str">
        <f aca="false">IF(ISBLANK($C42),"",AND($AB42,OR($AC42="",$AD42="",AND(NOT(ISBLANK($M42)),$AE42=""))))</f>
        <v/>
      </c>
      <c r="AN42" s="129" t="str">
        <f aca="false">IF($BD42&lt;&gt;Constants!$B$6,"",IF($AB42,Constants!$B$17*$AD42,Constants!$B$18))</f>
        <v/>
      </c>
      <c r="AO42" s="130" t="str">
        <f aca="false">IF($BD42&lt;&gt;Constants!$B$6,"",Constants!$B$19*IF($AB42,$AC42,0))</f>
        <v/>
      </c>
      <c r="AP42" s="130" t="str">
        <f aca="false">IF($BD42&lt;&gt;Constants!$B$6,"",IF(AND($AB42,ISNUMBER($AE42)),Constants!$B$20*(Constants!$B$21-$AE42),0))</f>
        <v/>
      </c>
      <c r="AQ42" s="130" t="str">
        <f aca="false">IF($BD42&lt;&gt;Constants!$B$6,"",IF($AA42,0,Constants!$B$12)+IF($Z42,0,Constants!$B$13)+IF($Y42,0,Constants!$B$14))</f>
        <v/>
      </c>
      <c r="AR42" s="131" t="str">
        <f aca="false">IF($BD42&lt;&gt;Constants!$B$6,"",Constants!$B$16+SUM($AN42:$AQ42))</f>
        <v/>
      </c>
      <c r="AS42" s="130" t="str">
        <f aca="false">IF($BD42&lt;&gt;Constants!$B$6,"",IF($AB42,$AD42,""))</f>
        <v/>
      </c>
      <c r="AT42" s="132" t="str">
        <f aca="false">IF($BD42&lt;&gt;Constants!$B$6,"",$AO42)</f>
        <v/>
      </c>
      <c r="AU42" s="127" t="str">
        <f aca="false">IF($BD42&lt;&gt;Constants!$B$6,"",IF(OR($BA42&lt;$AR42,AND($BA42=$AR42,OR(AND(ISNUMBER($BB42),OR(NOT(ISNUMBER($AS42)),$BB42&lt;$AS42)),AND(OR(AND($BB42="",$AS42=""),AND(ISNUMBER($BB42),ISNUMBER($AS42),$BB42=$AS42)),$BC42&lt;$AT42)))),"-&gt;","&lt;-"))</f>
        <v/>
      </c>
      <c r="AV42" s="126" t="str">
        <f aca="false">IF(ISBLANK($C42),"",AND($AH42,OR($AI42="",$AJ42="",AND(NOT(ISBLANK($S42)),$AK42=""))))</f>
        <v/>
      </c>
      <c r="AW42" s="129" t="str">
        <f aca="false">IF($BD42&lt;&gt;Constants!$B$6,"",IF($AH42,Constants!$B$17*$AJ42,Constants!$B$18))</f>
        <v/>
      </c>
      <c r="AX42" s="130" t="str">
        <f aca="false">IF($BD42&lt;&gt;Constants!$B$6,"",Constants!$B$19*IF($AH42,$AI42,0))</f>
        <v/>
      </c>
      <c r="AY42" s="130" t="str">
        <f aca="false">IF($BD42&lt;&gt;Constants!$B$6,"",IF(AND($AH42,ISNUMBER($AK42)),Constants!$B$20*(Constants!$B$21-$AK42),0))</f>
        <v/>
      </c>
      <c r="AZ42" s="130" t="str">
        <f aca="false">IF($BD42&lt;&gt;Constants!$B$6,"",IF($AG42,0,Constants!$B$12)+IF($AF42,0,Constants!$B$13)+IF($Y42,0,Constants!$B$14))</f>
        <v/>
      </c>
      <c r="BA42" s="131" t="str">
        <f aca="false">IF($BD42&lt;&gt;Constants!$B$6,"",Constants!$B$16+SUM($AW42:$AZ42))</f>
        <v/>
      </c>
      <c r="BB42" s="130" t="str">
        <f aca="false">IF($BD42&lt;&gt;Constants!$B$6,"",IF($AH42,$AJ42,""))</f>
        <v/>
      </c>
      <c r="BC42" s="132" t="str">
        <f aca="false">IF($BD42&lt;&gt;Constants!$B$6,"",$AX42)</f>
        <v/>
      </c>
      <c r="BD42" s="127" t="str">
        <f aca="false">IF(ISBLANK($C42),"",IF($AL42,Constants!$B$9,IF(COUNTA($E42:$T42)=0,Constants!$B$8,IF(NOT($X42),Constants!$B$7,IF(OR($AM42,$AV42),Constants!$B$10,Constants!$B$6)))))</f>
        <v/>
      </c>
      <c r="BE42" s="127" t="str">
        <f aca="false">IF(ISBLANK($C42),"",IF($BD42&lt;&gt;Constants!$B$6,$BD42,Constants!$B$11))</f>
        <v/>
      </c>
      <c r="BF42" s="130" t="str">
        <f aca="false">IF($BD42&lt;&gt;Constants!$B$6,"",IF($AU42="-&gt;",$BA42,$AR42))</f>
        <v/>
      </c>
      <c r="BG42" s="130" t="str">
        <f aca="false">IF($BD42&lt;&gt;Constants!$B$6,"",IF($W42,0,Constants!$B$15))</f>
        <v/>
      </c>
      <c r="BH42" s="130" t="str">
        <f aca="false">IF(ISBLANK($C42),"",IF($BD42&lt;&gt;Constants!$B$6,$BD42,SUM($BF42:$BG42)))</f>
        <v/>
      </c>
      <c r="BI42" s="127" t="str">
        <f aca="false">IF(ISBLANK($C42),"",IF($BD42&lt;&gt;Constants!$B$6,$BD42,RANK($BH42,$BH$9:$BH$508,1)))</f>
        <v/>
      </c>
      <c r="BJ42" s="130" t="str">
        <f aca="false">IF($BD42&lt;&gt;Constants!$B$6,"",IF($AU42="-&gt;",$BB42,$AS42))</f>
        <v/>
      </c>
      <c r="BK42" s="127" t="str">
        <f aca="false">IF(ISBLANK($C42),"",IF($BD42&lt;&gt;Constants!$B$6,$BD42,IF(ISNUMBER($BJ42),RANK($BJ42,$BJ$9:$BJ$508,1),COUNT($BJ$9:$BJ$508)+1)))</f>
        <v/>
      </c>
      <c r="BL42" s="130" t="str">
        <f aca="false">IF($BD42&lt;&gt;Constants!$B$6,"",IF($AU42="-&gt;",$BC42,$AT42))</f>
        <v/>
      </c>
      <c r="BM42" s="127" t="str">
        <f aca="false">IF(ISBLANK($C42),"",IF($BD42&lt;&gt;Constants!$B$6,$BD42,IF(ISNUMBER($BL42),RANK($BL42,$BL$9:$BL$508,1),COUNT($BL$9:$BL$508)+1)))</f>
        <v/>
      </c>
      <c r="BN42" s="130" t="str">
        <f aca="false">IF($BD42&lt;&gt;Constants!$B$6,"",IF($AU42="-&gt;",$AS42,$BB42))</f>
        <v/>
      </c>
      <c r="BO42" s="127" t="str">
        <f aca="false">IF(ISBLANK($C42),"",IF($BD42&lt;&gt;Constants!$B$6,$BD42,IF(ISNUMBER($BN42),RANK($BN42,$BN$9:$BN$508,1),COUNT($BN$9:$BN$508)+1)))</f>
        <v/>
      </c>
      <c r="BP42" s="130" t="str">
        <f aca="false">IF($BD42&lt;&gt;Constants!$B$6,"",IF($AU42="-&gt;",$AT42,$BC42))</f>
        <v/>
      </c>
      <c r="BQ42" s="127" t="str">
        <f aca="false">IF(ISBLANK($C42),"",IF($BD42&lt;&gt;Constants!$B$6,$BD42,IF(ISNUMBER($BP42),RANK($BP42,$BP$9:$BP$508,1),COUNT($BP$9:$BP$508)+1)))</f>
        <v/>
      </c>
      <c r="BR42" s="127" t="str">
        <f aca="false">IF(ISBLANK($C42),"",IF($BD42&lt;&gt;Constants!$B$6,$BD42,COUNTIFS($BI$9:$BI$508,"&lt;"&amp;$BI42)+COUNTIFS($BI$9:$BI$508,$BI42,$BK$9:$BK$508,"&lt;"&amp;$BK42)+COUNTIFS($BI$9:$BI$508,$BI42,$BK$9:$BK$508,$BK42,$BM$9:$BM$508,"&lt;"&amp;$BM42)+COUNTIFS($BI$9:$BI$508,$BI42,$BK$9:$BK$508,$BK42,$BM$9:$BM$508,$BM42,$BO$9:$BO$508,"&lt;"&amp;$BO42)+COUNTIFS($BI$9:$BI$508,$BI42,$BK$9:$BK$508,$BK42,$BM$9:$BM$508,$BM42,$BO$9:$BO$508,$BO42,$BQ$9:$BQ$508,"&lt;"&amp;$BQ42)+1))</f>
        <v/>
      </c>
      <c r="BS42" s="127" t="str">
        <f aca="false">IF(ISBLANK($C42),"",IF($BD42&lt;&gt;Constants!$B$6,$BD42,$BI42-$BR42))</f>
        <v/>
      </c>
      <c r="BT42" s="133"/>
      <c r="BU42" s="134"/>
      <c r="BV42" s="134" t="str">
        <f aca="false">IF(ISBLANK($C42),"",IF($BD42&lt;&gt;Constants!$B$6,"",IF($AU42="-&gt;",2,1)))</f>
        <v/>
      </c>
      <c r="BW42" s="135" t="str">
        <f aca="false">IF(ISBLANK($C42),"",IF($BD42&lt;&gt;Constants!$B$6,"",IF($AU42="-&gt;",$AW42,$AN42)))</f>
        <v/>
      </c>
      <c r="BX42" s="135" t="str">
        <f aca="false">IF(ISBLANK($C42),"",IF($BD42&lt;&gt;Constants!$B$6,"",IF($AU42="-&gt;",$AX42,$AO42)))</f>
        <v/>
      </c>
      <c r="BY42" s="135" t="str">
        <f aca="false">IF(ISBLANK($C42),"",IF($BD42&lt;&gt;Constants!$B$6,"",IF($AU42="-&gt;",$AY42,$AP42)))</f>
        <v/>
      </c>
      <c r="BZ42" s="135" t="str">
        <f aca="false">IF(ISBLANK($C42),"",IF($BD42&lt;&gt;Constants!$B$6,"",IF($AU42="-&gt;",$AZ42,$AQ42)+$BG42))</f>
        <v/>
      </c>
      <c r="CA42" s="136" t="str">
        <f aca="false">IF(ISBLANK($C42),"",IF($BD42&lt;&gt;Constants!$B$6,$BD42,$BH42))</f>
        <v/>
      </c>
      <c r="CB42" s="137" t="str">
        <f aca="false">IF(ISBLANK($C42),"",$BE42)</f>
        <v/>
      </c>
      <c r="CC42" s="138" t="str">
        <f aca="false">IF(ISBLANK($C42),"",$BS42)</f>
        <v/>
      </c>
      <c r="CD42" s="138" t="str">
        <f aca="false">IF(ISBLANK($C42),"",$BR42)</f>
        <v/>
      </c>
      <c r="CE42" s="139" t="str">
        <f aca="false">IF(ISBLANK($C42),"",IF($CD42=Constants!$B$9,COUNTA($C$9:$C$508)+2,IF($CD42=Constants!$B$8,COUNTA($C$9:$C$508)+1,IF($CD42=Constants!$B$7,COUNTA($C$9:$C$508),$CD42))))</f>
        <v/>
      </c>
      <c r="CF42" s="9"/>
      <c r="CG42" s="140" t="n">
        <f aca="false">IF(OR(ISNUMBER($CD42),$CD42=Constants!$B$9,$CD42=Constants!$B$7,$CD42=Constants!$B$8),1,0)</f>
        <v>0</v>
      </c>
      <c r="CH42" s="140" t="n">
        <v>34</v>
      </c>
      <c r="CI42" s="140" t="str">
        <f aca="false">IF(ISBLANK($C42),"",IF(ISNUMBER($CE42),$CE42+ROW($B42)/1000,""))</f>
        <v/>
      </c>
      <c r="CJ42" s="140" t="str">
        <f aca="false">IF(ISNUMBER($CI42),RANK($CI42,$CI$9:$CI$508,1),"")</f>
        <v/>
      </c>
      <c r="CK42" s="140" t="str">
        <f aca="false">IF(ISBLANK($C42),"",$B42)</f>
        <v/>
      </c>
      <c r="CL42" s="140" t="str">
        <f aca="false">IF(ISBLANK($C42),"",$C42)</f>
        <v/>
      </c>
      <c r="CM42" s="140" t="str">
        <f aca="false">IF(ISBLANK($C42),"",$D42)</f>
        <v/>
      </c>
      <c r="CN42" s="141" t="str">
        <f aca="false">$CB42</f>
        <v/>
      </c>
      <c r="CO42" s="142" t="str">
        <f aca="false">$CA42</f>
        <v/>
      </c>
      <c r="CP42" s="140" t="str">
        <f aca="false">IF(ISBLANK($C42),"",$CD42)</f>
        <v/>
      </c>
      <c r="CQ42" s="143" t="str">
        <f aca="false">IF($CH42&gt;$CG$8,"",VLOOKUP($CH42,$CJ$9:$CP$508,7,FALSE()))</f>
        <v/>
      </c>
      <c r="CR42" s="144" t="str">
        <f aca="false">IF($CH42&gt;$CG$8,"",VLOOKUP($CH42,$CJ$9:$CP$508,2,FALSE()))</f>
        <v/>
      </c>
      <c r="CS42" s="144" t="str">
        <f aca="false">IF($CH42&gt;$CG$8,"",VLOOKUP($CH42,$CJ$9:$CP$508,3,FALSE()))</f>
        <v/>
      </c>
      <c r="CT42" s="144" t="str">
        <f aca="false">IF($CH42&gt;$CG$8,"",VLOOKUP($CH42,$CJ$9:$CP$508,4,FALSE()))</f>
        <v/>
      </c>
      <c r="CU42" s="144" t="str">
        <f aca="false">IF($CH42&gt;$CG$8,"",VLOOKUP($CH42,$CJ$9:$CP$508,5,FALSE()))</f>
        <v/>
      </c>
      <c r="CV42" s="145" t="str">
        <f aca="false">IF($CH42&gt;$CG$8,"",VLOOKUP($CH42,$CJ$9:$CP$508,6,FALSE()))</f>
        <v/>
      </c>
      <c r="CW42" s="71"/>
    </row>
    <row r="43" customFormat="false" ht="15.75" hidden="false" customHeight="false" outlineLevel="0" collapsed="false">
      <c r="A43" s="9"/>
      <c r="B43" s="150"/>
      <c r="C43" s="151"/>
      <c r="D43" s="152"/>
      <c r="E43" s="170"/>
      <c r="F43" s="154"/>
      <c r="G43" s="155"/>
      <c r="H43" s="171"/>
      <c r="I43" s="159"/>
      <c r="J43" s="120"/>
      <c r="K43" s="121"/>
      <c r="L43" s="122"/>
      <c r="M43" s="158"/>
      <c r="N43" s="159"/>
      <c r="O43" s="159"/>
      <c r="P43" s="120"/>
      <c r="Q43" s="122"/>
      <c r="R43" s="122"/>
      <c r="S43" s="158"/>
      <c r="T43" s="159"/>
      <c r="U43" s="126"/>
      <c r="V43" s="127"/>
      <c r="W43" s="127" t="str">
        <f aca="false">IF(ISBLANK($C43),"",IF(E43=Constants!$B$2,TRUE(),IF(E43=Constants!$B$3,FALSE(),TRUE())))</f>
        <v/>
      </c>
      <c r="X43" s="127" t="str">
        <f aca="false">IF(ISBLANK($C43),"",IF(F43=Constants!$B$2,TRUE(),IF(F43=Constants!$B$3,FALSE(),TRUE())))</f>
        <v/>
      </c>
      <c r="Y43" s="127" t="str">
        <f aca="false">IF(ISBLANK($C43),"",IF(G43=Constants!$B$2,TRUE(),IF(G43=Constants!$B$3,FALSE(),TRUE())))</f>
        <v/>
      </c>
      <c r="Z43" s="127" t="str">
        <f aca="false">IF(ISBLANK($C43),"",IF(H43=Constants!$B$2,TRUE(),IF(H43=Constants!$B$3,FALSE(),TRUE())))</f>
        <v/>
      </c>
      <c r="AA43" s="127" t="str">
        <f aca="false">IF(ISBLANK($C43),"",IF(I43=Constants!$B$2,TRUE(),IF(I43=Constants!$B$3,FALSE(),TRUE())))</f>
        <v/>
      </c>
      <c r="AB43" s="127" t="str">
        <f aca="false">IF(ISBLANK($C43),"",IF(J43=Constants!$B$4,TRUE(),IF(J43=Constants!$B$5,FALSE(),COUNTA(K43:M43)&gt;0)))</f>
        <v/>
      </c>
      <c r="AC43" s="128" t="str">
        <f aca="false">IF(ISBLANK($C43),"",IF(ISNUMBER(K43),IF(K43&gt;=0,K43,""),""))</f>
        <v/>
      </c>
      <c r="AD43" s="129" t="str">
        <f aca="false">IF(ISBLANK($C43),"",IF(ISNUMBER(L43),IF(L43&gt;=0,L43,""),""))</f>
        <v/>
      </c>
      <c r="AE43" s="127" t="str">
        <f aca="false">IF(ISBLANK($C43),"",IF(ISNUMBER(M43),IF(M43&gt;=0,MIN(M43,Constants!$B$22),""),""))</f>
        <v/>
      </c>
      <c r="AF43" s="127" t="str">
        <f aca="false">IF(ISBLANK($C43),"",IF(N43=Constants!$B$2,TRUE(),IF(N43=Constants!$B$3,FALSE(),TRUE())))</f>
        <v/>
      </c>
      <c r="AG43" s="127" t="str">
        <f aca="false">IF(ISBLANK($C43),"",IF(O43=Constants!$B$2,TRUE(),IF(O43=Constants!$B$3,FALSE(),TRUE())))</f>
        <v/>
      </c>
      <c r="AH43" s="127" t="str">
        <f aca="false">IF(ISBLANK($C43),"",IF(P43=Constants!$B$4,TRUE(),IF(P43=Constants!$B$5,FALSE(),COUNTA(Q43:S43)&gt;0)))</f>
        <v/>
      </c>
      <c r="AI43" s="128" t="str">
        <f aca="false">IF(ISBLANK($C43),"",IF(ISNUMBER(Q43),IF(Q43&gt;=0,Q43,""),""))</f>
        <v/>
      </c>
      <c r="AJ43" s="129" t="str">
        <f aca="false">IF(ISBLANK($C43),"",IF(ISNUMBER(R43),IF(R43&gt;=0,R43,""),""))</f>
        <v/>
      </c>
      <c r="AK43" s="127" t="str">
        <f aca="false">IF(ISBLANK($C43),"",IF(ISNUMBER(S43),IF(S43&gt;=0,MIN(S43,Constants!$B$22),""),""))</f>
        <v/>
      </c>
      <c r="AL43" s="127" t="str">
        <f aca="false">IF(ISBLANK($C43),"",IF(T43=Constants!$B$2,TRUE(),IF(T43=Constants!$B$3,FALSE(),FALSE())))</f>
        <v/>
      </c>
      <c r="AM43" s="126" t="str">
        <f aca="false">IF(ISBLANK($C43),"",AND($AB43,OR($AC43="",$AD43="",AND(NOT(ISBLANK($M43)),$AE43=""))))</f>
        <v/>
      </c>
      <c r="AN43" s="129" t="str">
        <f aca="false">IF($BD43&lt;&gt;Constants!$B$6,"",IF($AB43,Constants!$B$17*$AD43,Constants!$B$18))</f>
        <v/>
      </c>
      <c r="AO43" s="130" t="str">
        <f aca="false">IF($BD43&lt;&gt;Constants!$B$6,"",Constants!$B$19*IF($AB43,$AC43,0))</f>
        <v/>
      </c>
      <c r="AP43" s="130" t="str">
        <f aca="false">IF($BD43&lt;&gt;Constants!$B$6,"",IF(AND($AB43,ISNUMBER($AE43)),Constants!$B$20*(Constants!$B$21-$AE43),0))</f>
        <v/>
      </c>
      <c r="AQ43" s="130" t="str">
        <f aca="false">IF($BD43&lt;&gt;Constants!$B$6,"",IF($AA43,0,Constants!$B$12)+IF($Z43,0,Constants!$B$13)+IF($Y43,0,Constants!$B$14))</f>
        <v/>
      </c>
      <c r="AR43" s="131" t="str">
        <f aca="false">IF($BD43&lt;&gt;Constants!$B$6,"",Constants!$B$16+SUM($AN43:$AQ43))</f>
        <v/>
      </c>
      <c r="AS43" s="130" t="str">
        <f aca="false">IF($BD43&lt;&gt;Constants!$B$6,"",IF($AB43,$AD43,""))</f>
        <v/>
      </c>
      <c r="AT43" s="132" t="str">
        <f aca="false">IF($BD43&lt;&gt;Constants!$B$6,"",$AO43)</f>
        <v/>
      </c>
      <c r="AU43" s="127" t="str">
        <f aca="false">IF($BD43&lt;&gt;Constants!$B$6,"",IF(OR($BA43&lt;$AR43,AND($BA43=$AR43,OR(AND(ISNUMBER($BB43),OR(NOT(ISNUMBER($AS43)),$BB43&lt;$AS43)),AND(OR(AND($BB43="",$AS43=""),AND(ISNUMBER($BB43),ISNUMBER($AS43),$BB43=$AS43)),$BC43&lt;$AT43)))),"-&gt;","&lt;-"))</f>
        <v/>
      </c>
      <c r="AV43" s="126" t="str">
        <f aca="false">IF(ISBLANK($C43),"",AND($AH43,OR($AI43="",$AJ43="",AND(NOT(ISBLANK($S43)),$AK43=""))))</f>
        <v/>
      </c>
      <c r="AW43" s="129" t="str">
        <f aca="false">IF($BD43&lt;&gt;Constants!$B$6,"",IF($AH43,Constants!$B$17*$AJ43,Constants!$B$18))</f>
        <v/>
      </c>
      <c r="AX43" s="130" t="str">
        <f aca="false">IF($BD43&lt;&gt;Constants!$B$6,"",Constants!$B$19*IF($AH43,$AI43,0))</f>
        <v/>
      </c>
      <c r="AY43" s="130" t="str">
        <f aca="false">IF($BD43&lt;&gt;Constants!$B$6,"",IF(AND($AH43,ISNUMBER($AK43)),Constants!$B$20*(Constants!$B$21-$AK43),0))</f>
        <v/>
      </c>
      <c r="AZ43" s="130" t="str">
        <f aca="false">IF($BD43&lt;&gt;Constants!$B$6,"",IF($AG43,0,Constants!$B$12)+IF($AF43,0,Constants!$B$13)+IF($Y43,0,Constants!$B$14))</f>
        <v/>
      </c>
      <c r="BA43" s="131" t="str">
        <f aca="false">IF($BD43&lt;&gt;Constants!$B$6,"",Constants!$B$16+SUM($AW43:$AZ43))</f>
        <v/>
      </c>
      <c r="BB43" s="130" t="str">
        <f aca="false">IF($BD43&lt;&gt;Constants!$B$6,"",IF($AH43,$AJ43,""))</f>
        <v/>
      </c>
      <c r="BC43" s="132" t="str">
        <f aca="false">IF($BD43&lt;&gt;Constants!$B$6,"",$AX43)</f>
        <v/>
      </c>
      <c r="BD43" s="127" t="str">
        <f aca="false">IF(ISBLANK($C43),"",IF($AL43,Constants!$B$9,IF(COUNTA($E43:$T43)=0,Constants!$B$8,IF(NOT($X43),Constants!$B$7,IF(OR($AM43,$AV43),Constants!$B$10,Constants!$B$6)))))</f>
        <v/>
      </c>
      <c r="BE43" s="127" t="str">
        <f aca="false">IF(ISBLANK($C43),"",IF($BD43&lt;&gt;Constants!$B$6,$BD43,Constants!$B$11))</f>
        <v/>
      </c>
      <c r="BF43" s="130" t="str">
        <f aca="false">IF($BD43&lt;&gt;Constants!$B$6,"",IF($AU43="-&gt;",$BA43,$AR43))</f>
        <v/>
      </c>
      <c r="BG43" s="130" t="str">
        <f aca="false">IF($BD43&lt;&gt;Constants!$B$6,"",IF($W43,0,Constants!$B$15))</f>
        <v/>
      </c>
      <c r="BH43" s="130" t="str">
        <f aca="false">IF(ISBLANK($C43),"",IF($BD43&lt;&gt;Constants!$B$6,$BD43,SUM($BF43:$BG43)))</f>
        <v/>
      </c>
      <c r="BI43" s="127" t="str">
        <f aca="false">IF(ISBLANK($C43),"",IF($BD43&lt;&gt;Constants!$B$6,$BD43,RANK($BH43,$BH$9:$BH$508,1)))</f>
        <v/>
      </c>
      <c r="BJ43" s="130" t="str">
        <f aca="false">IF($BD43&lt;&gt;Constants!$B$6,"",IF($AU43="-&gt;",$BB43,$AS43))</f>
        <v/>
      </c>
      <c r="BK43" s="127" t="str">
        <f aca="false">IF(ISBLANK($C43),"",IF($BD43&lt;&gt;Constants!$B$6,$BD43,IF(ISNUMBER($BJ43),RANK($BJ43,$BJ$9:$BJ$508,1),COUNT($BJ$9:$BJ$508)+1)))</f>
        <v/>
      </c>
      <c r="BL43" s="130" t="str">
        <f aca="false">IF($BD43&lt;&gt;Constants!$B$6,"",IF($AU43="-&gt;",$BC43,$AT43))</f>
        <v/>
      </c>
      <c r="BM43" s="127" t="str">
        <f aca="false">IF(ISBLANK($C43),"",IF($BD43&lt;&gt;Constants!$B$6,$BD43,IF(ISNUMBER($BL43),RANK($BL43,$BL$9:$BL$508,1),COUNT($BL$9:$BL$508)+1)))</f>
        <v/>
      </c>
      <c r="BN43" s="130" t="str">
        <f aca="false">IF($BD43&lt;&gt;Constants!$B$6,"",IF($AU43="-&gt;",$AS43,$BB43))</f>
        <v/>
      </c>
      <c r="BO43" s="127" t="str">
        <f aca="false">IF(ISBLANK($C43),"",IF($BD43&lt;&gt;Constants!$B$6,$BD43,IF(ISNUMBER($BN43),RANK($BN43,$BN$9:$BN$508,1),COUNT($BN$9:$BN$508)+1)))</f>
        <v/>
      </c>
      <c r="BP43" s="130" t="str">
        <f aca="false">IF($BD43&lt;&gt;Constants!$B$6,"",IF($AU43="-&gt;",$AT43,$BC43))</f>
        <v/>
      </c>
      <c r="BQ43" s="127" t="str">
        <f aca="false">IF(ISBLANK($C43),"",IF($BD43&lt;&gt;Constants!$B$6,$BD43,IF(ISNUMBER($BP43),RANK($BP43,$BP$9:$BP$508,1),COUNT($BP$9:$BP$508)+1)))</f>
        <v/>
      </c>
      <c r="BR43" s="127" t="str">
        <f aca="false">IF(ISBLANK($C43),"",IF($BD43&lt;&gt;Constants!$B$6,$BD43,COUNTIFS($BI$9:$BI$508,"&lt;"&amp;$BI43)+COUNTIFS($BI$9:$BI$508,$BI43,$BK$9:$BK$508,"&lt;"&amp;$BK43)+COUNTIFS($BI$9:$BI$508,$BI43,$BK$9:$BK$508,$BK43,$BM$9:$BM$508,"&lt;"&amp;$BM43)+COUNTIFS($BI$9:$BI$508,$BI43,$BK$9:$BK$508,$BK43,$BM$9:$BM$508,$BM43,$BO$9:$BO$508,"&lt;"&amp;$BO43)+COUNTIFS($BI$9:$BI$508,$BI43,$BK$9:$BK$508,$BK43,$BM$9:$BM$508,$BM43,$BO$9:$BO$508,$BO43,$BQ$9:$BQ$508,"&lt;"&amp;$BQ43)+1))</f>
        <v/>
      </c>
      <c r="BS43" s="127" t="str">
        <f aca="false">IF(ISBLANK($C43),"",IF($BD43&lt;&gt;Constants!$B$6,$BD43,$BI43-$BR43))</f>
        <v/>
      </c>
      <c r="BT43" s="133"/>
      <c r="BU43" s="134"/>
      <c r="BV43" s="134" t="str">
        <f aca="false">IF(ISBLANK($C43),"",IF($BD43&lt;&gt;Constants!$B$6,"",IF($AU43="-&gt;",2,1)))</f>
        <v/>
      </c>
      <c r="BW43" s="135" t="str">
        <f aca="false">IF(ISBLANK($C43),"",IF($BD43&lt;&gt;Constants!$B$6,"",IF($AU43="-&gt;",$AW43,$AN43)))</f>
        <v/>
      </c>
      <c r="BX43" s="135" t="str">
        <f aca="false">IF(ISBLANK($C43),"",IF($BD43&lt;&gt;Constants!$B$6,"",IF($AU43="-&gt;",$AX43,$AO43)))</f>
        <v/>
      </c>
      <c r="BY43" s="135" t="str">
        <f aca="false">IF(ISBLANK($C43),"",IF($BD43&lt;&gt;Constants!$B$6,"",IF($AU43="-&gt;",$AY43,$AP43)))</f>
        <v/>
      </c>
      <c r="BZ43" s="135" t="str">
        <f aca="false">IF(ISBLANK($C43),"",IF($BD43&lt;&gt;Constants!$B$6,"",IF($AU43="-&gt;",$AZ43,$AQ43)+$BG43))</f>
        <v/>
      </c>
      <c r="CA43" s="136" t="str">
        <f aca="false">IF(ISBLANK($C43),"",IF($BD43&lt;&gt;Constants!$B$6,$BD43,$BH43))</f>
        <v/>
      </c>
      <c r="CB43" s="137" t="str">
        <f aca="false">IF(ISBLANK($C43),"",$BE43)</f>
        <v/>
      </c>
      <c r="CC43" s="138" t="str">
        <f aca="false">IF(ISBLANK($C43),"",$BS43)</f>
        <v/>
      </c>
      <c r="CD43" s="138" t="str">
        <f aca="false">IF(ISBLANK($C43),"",$BR43)</f>
        <v/>
      </c>
      <c r="CE43" s="139" t="str">
        <f aca="false">IF(ISBLANK($C43),"",IF($CD43=Constants!$B$9,COUNTA($C$9:$C$508)+2,IF($CD43=Constants!$B$8,COUNTA($C$9:$C$508)+1,IF($CD43=Constants!$B$7,COUNTA($C$9:$C$508),$CD43))))</f>
        <v/>
      </c>
      <c r="CF43" s="9"/>
      <c r="CG43" s="140" t="n">
        <f aca="false">IF(OR(ISNUMBER($CD43),$CD43=Constants!$B$9,$CD43=Constants!$B$7,$CD43=Constants!$B$8),1,0)</f>
        <v>0</v>
      </c>
      <c r="CH43" s="140" t="n">
        <v>35</v>
      </c>
      <c r="CI43" s="140" t="str">
        <f aca="false">IF(ISBLANK($C43),"",IF(ISNUMBER($CE43),$CE43+ROW($B43)/1000,""))</f>
        <v/>
      </c>
      <c r="CJ43" s="140" t="str">
        <f aca="false">IF(ISNUMBER($CI43),RANK($CI43,$CI$9:$CI$508,1),"")</f>
        <v/>
      </c>
      <c r="CK43" s="140" t="str">
        <f aca="false">IF(ISBLANK($C43),"",$B43)</f>
        <v/>
      </c>
      <c r="CL43" s="140" t="str">
        <f aca="false">IF(ISBLANK($C43),"",$C43)</f>
        <v/>
      </c>
      <c r="CM43" s="140" t="str">
        <f aca="false">IF(ISBLANK($C43),"",$D43)</f>
        <v/>
      </c>
      <c r="CN43" s="141" t="str">
        <f aca="false">$CB43</f>
        <v/>
      </c>
      <c r="CO43" s="142" t="str">
        <f aca="false">$CA43</f>
        <v/>
      </c>
      <c r="CP43" s="140" t="str">
        <f aca="false">IF(ISBLANK($C43),"",$CD43)</f>
        <v/>
      </c>
      <c r="CQ43" s="143" t="str">
        <f aca="false">IF($CH43&gt;$CG$8,"",VLOOKUP($CH43,$CJ$9:$CP$508,7,FALSE()))</f>
        <v/>
      </c>
      <c r="CR43" s="144" t="str">
        <f aca="false">IF($CH43&gt;$CG$8,"",VLOOKUP($CH43,$CJ$9:$CP$508,2,FALSE()))</f>
        <v/>
      </c>
      <c r="CS43" s="144" t="str">
        <f aca="false">IF($CH43&gt;$CG$8,"",VLOOKUP($CH43,$CJ$9:$CP$508,3,FALSE()))</f>
        <v/>
      </c>
      <c r="CT43" s="144" t="str">
        <f aca="false">IF($CH43&gt;$CG$8,"",VLOOKUP($CH43,$CJ$9:$CP$508,4,FALSE()))</f>
        <v/>
      </c>
      <c r="CU43" s="144" t="str">
        <f aca="false">IF($CH43&gt;$CG$8,"",VLOOKUP($CH43,$CJ$9:$CP$508,5,FALSE()))</f>
        <v/>
      </c>
      <c r="CV43" s="145" t="str">
        <f aca="false">IF($CH43&gt;$CG$8,"",VLOOKUP($CH43,$CJ$9:$CP$508,6,FALSE()))</f>
        <v/>
      </c>
      <c r="CW43" s="71"/>
    </row>
    <row r="44" customFormat="false" ht="15.75" hidden="false" customHeight="false" outlineLevel="0" collapsed="false">
      <c r="A44" s="9"/>
      <c r="B44" s="150"/>
      <c r="C44" s="151"/>
      <c r="D44" s="152"/>
      <c r="E44" s="170"/>
      <c r="F44" s="154"/>
      <c r="G44" s="155"/>
      <c r="H44" s="171"/>
      <c r="I44" s="159"/>
      <c r="J44" s="120"/>
      <c r="K44" s="121"/>
      <c r="L44" s="122"/>
      <c r="M44" s="158"/>
      <c r="N44" s="159"/>
      <c r="O44" s="159"/>
      <c r="P44" s="120"/>
      <c r="Q44" s="122"/>
      <c r="R44" s="122"/>
      <c r="S44" s="158"/>
      <c r="T44" s="159"/>
      <c r="U44" s="126"/>
      <c r="V44" s="127"/>
      <c r="W44" s="127" t="str">
        <f aca="false">IF(ISBLANK($C44),"",IF(E44=Constants!$B$2,TRUE(),IF(E44=Constants!$B$3,FALSE(),TRUE())))</f>
        <v/>
      </c>
      <c r="X44" s="127" t="str">
        <f aca="false">IF(ISBLANK($C44),"",IF(F44=Constants!$B$2,TRUE(),IF(F44=Constants!$B$3,FALSE(),TRUE())))</f>
        <v/>
      </c>
      <c r="Y44" s="127" t="str">
        <f aca="false">IF(ISBLANK($C44),"",IF(G44=Constants!$B$2,TRUE(),IF(G44=Constants!$B$3,FALSE(),TRUE())))</f>
        <v/>
      </c>
      <c r="Z44" s="127" t="str">
        <f aca="false">IF(ISBLANK($C44),"",IF(H44=Constants!$B$2,TRUE(),IF(H44=Constants!$B$3,FALSE(),TRUE())))</f>
        <v/>
      </c>
      <c r="AA44" s="127" t="str">
        <f aca="false">IF(ISBLANK($C44),"",IF(I44=Constants!$B$2,TRUE(),IF(I44=Constants!$B$3,FALSE(),TRUE())))</f>
        <v/>
      </c>
      <c r="AB44" s="127" t="str">
        <f aca="false">IF(ISBLANK($C44),"",IF(J44=Constants!$B$4,TRUE(),IF(J44=Constants!$B$5,FALSE(),COUNTA(K44:M44)&gt;0)))</f>
        <v/>
      </c>
      <c r="AC44" s="128" t="str">
        <f aca="false">IF(ISBLANK($C44),"",IF(ISNUMBER(K44),IF(K44&gt;=0,K44,""),""))</f>
        <v/>
      </c>
      <c r="AD44" s="129" t="str">
        <f aca="false">IF(ISBLANK($C44),"",IF(ISNUMBER(L44),IF(L44&gt;=0,L44,""),""))</f>
        <v/>
      </c>
      <c r="AE44" s="127" t="str">
        <f aca="false">IF(ISBLANK($C44),"",IF(ISNUMBER(M44),IF(M44&gt;=0,MIN(M44,Constants!$B$22),""),""))</f>
        <v/>
      </c>
      <c r="AF44" s="127" t="str">
        <f aca="false">IF(ISBLANK($C44),"",IF(N44=Constants!$B$2,TRUE(),IF(N44=Constants!$B$3,FALSE(),TRUE())))</f>
        <v/>
      </c>
      <c r="AG44" s="127" t="str">
        <f aca="false">IF(ISBLANK($C44),"",IF(O44=Constants!$B$2,TRUE(),IF(O44=Constants!$B$3,FALSE(),TRUE())))</f>
        <v/>
      </c>
      <c r="AH44" s="127" t="str">
        <f aca="false">IF(ISBLANK($C44),"",IF(P44=Constants!$B$4,TRUE(),IF(P44=Constants!$B$5,FALSE(),COUNTA(Q44:S44)&gt;0)))</f>
        <v/>
      </c>
      <c r="AI44" s="128" t="str">
        <f aca="false">IF(ISBLANK($C44),"",IF(ISNUMBER(Q44),IF(Q44&gt;=0,Q44,""),""))</f>
        <v/>
      </c>
      <c r="AJ44" s="129" t="str">
        <f aca="false">IF(ISBLANK($C44),"",IF(ISNUMBER(R44),IF(R44&gt;=0,R44,""),""))</f>
        <v/>
      </c>
      <c r="AK44" s="127" t="str">
        <f aca="false">IF(ISBLANK($C44),"",IF(ISNUMBER(S44),IF(S44&gt;=0,MIN(S44,Constants!$B$22),""),""))</f>
        <v/>
      </c>
      <c r="AL44" s="127" t="str">
        <f aca="false">IF(ISBLANK($C44),"",IF(T44=Constants!$B$2,TRUE(),IF(T44=Constants!$B$3,FALSE(),FALSE())))</f>
        <v/>
      </c>
      <c r="AM44" s="126" t="str">
        <f aca="false">IF(ISBLANK($C44),"",AND($AB44,OR($AC44="",$AD44="",AND(NOT(ISBLANK($M44)),$AE44=""))))</f>
        <v/>
      </c>
      <c r="AN44" s="129" t="str">
        <f aca="false">IF($BD44&lt;&gt;Constants!$B$6,"",IF($AB44,Constants!$B$17*$AD44,Constants!$B$18))</f>
        <v/>
      </c>
      <c r="AO44" s="130" t="str">
        <f aca="false">IF($BD44&lt;&gt;Constants!$B$6,"",Constants!$B$19*IF($AB44,$AC44,0))</f>
        <v/>
      </c>
      <c r="AP44" s="130" t="str">
        <f aca="false">IF($BD44&lt;&gt;Constants!$B$6,"",IF(AND($AB44,ISNUMBER($AE44)),Constants!$B$20*(Constants!$B$21-$AE44),0))</f>
        <v/>
      </c>
      <c r="AQ44" s="130" t="str">
        <f aca="false">IF($BD44&lt;&gt;Constants!$B$6,"",IF($AA44,0,Constants!$B$12)+IF($Z44,0,Constants!$B$13)+IF($Y44,0,Constants!$B$14))</f>
        <v/>
      </c>
      <c r="AR44" s="131" t="str">
        <f aca="false">IF($BD44&lt;&gt;Constants!$B$6,"",Constants!$B$16+SUM($AN44:$AQ44))</f>
        <v/>
      </c>
      <c r="AS44" s="130" t="str">
        <f aca="false">IF($BD44&lt;&gt;Constants!$B$6,"",IF($AB44,$AD44,""))</f>
        <v/>
      </c>
      <c r="AT44" s="132" t="str">
        <f aca="false">IF($BD44&lt;&gt;Constants!$B$6,"",$AO44)</f>
        <v/>
      </c>
      <c r="AU44" s="127" t="str">
        <f aca="false">IF($BD44&lt;&gt;Constants!$B$6,"",IF(OR($BA44&lt;$AR44,AND($BA44=$AR44,OR(AND(ISNUMBER($BB44),OR(NOT(ISNUMBER($AS44)),$BB44&lt;$AS44)),AND(OR(AND($BB44="",$AS44=""),AND(ISNUMBER($BB44),ISNUMBER($AS44),$BB44=$AS44)),$BC44&lt;$AT44)))),"-&gt;","&lt;-"))</f>
        <v/>
      </c>
      <c r="AV44" s="126" t="str">
        <f aca="false">IF(ISBLANK($C44),"",AND($AH44,OR($AI44="",$AJ44="",AND(NOT(ISBLANK($S44)),$AK44=""))))</f>
        <v/>
      </c>
      <c r="AW44" s="129" t="str">
        <f aca="false">IF($BD44&lt;&gt;Constants!$B$6,"",IF($AH44,Constants!$B$17*$AJ44,Constants!$B$18))</f>
        <v/>
      </c>
      <c r="AX44" s="130" t="str">
        <f aca="false">IF($BD44&lt;&gt;Constants!$B$6,"",Constants!$B$19*IF($AH44,$AI44,0))</f>
        <v/>
      </c>
      <c r="AY44" s="130" t="str">
        <f aca="false">IF($BD44&lt;&gt;Constants!$B$6,"",IF(AND($AH44,ISNUMBER($AK44)),Constants!$B$20*(Constants!$B$21-$AK44),0))</f>
        <v/>
      </c>
      <c r="AZ44" s="130" t="str">
        <f aca="false">IF($BD44&lt;&gt;Constants!$B$6,"",IF($AG44,0,Constants!$B$12)+IF($AF44,0,Constants!$B$13)+IF($Y44,0,Constants!$B$14))</f>
        <v/>
      </c>
      <c r="BA44" s="131" t="str">
        <f aca="false">IF($BD44&lt;&gt;Constants!$B$6,"",Constants!$B$16+SUM($AW44:$AZ44))</f>
        <v/>
      </c>
      <c r="BB44" s="130" t="str">
        <f aca="false">IF($BD44&lt;&gt;Constants!$B$6,"",IF($AH44,$AJ44,""))</f>
        <v/>
      </c>
      <c r="BC44" s="132" t="str">
        <f aca="false">IF($BD44&lt;&gt;Constants!$B$6,"",$AX44)</f>
        <v/>
      </c>
      <c r="BD44" s="127" t="str">
        <f aca="false">IF(ISBLANK($C44),"",IF($AL44,Constants!$B$9,IF(COUNTA($E44:$T44)=0,Constants!$B$8,IF(NOT($X44),Constants!$B$7,IF(OR($AM44,$AV44),Constants!$B$10,Constants!$B$6)))))</f>
        <v/>
      </c>
      <c r="BE44" s="127" t="str">
        <f aca="false">IF(ISBLANK($C44),"",IF($BD44&lt;&gt;Constants!$B$6,$BD44,Constants!$B$11))</f>
        <v/>
      </c>
      <c r="BF44" s="130" t="str">
        <f aca="false">IF($BD44&lt;&gt;Constants!$B$6,"",IF($AU44="-&gt;",$BA44,$AR44))</f>
        <v/>
      </c>
      <c r="BG44" s="130" t="str">
        <f aca="false">IF($BD44&lt;&gt;Constants!$B$6,"",IF($W44,0,Constants!$B$15))</f>
        <v/>
      </c>
      <c r="BH44" s="130" t="str">
        <f aca="false">IF(ISBLANK($C44),"",IF($BD44&lt;&gt;Constants!$B$6,$BD44,SUM($BF44:$BG44)))</f>
        <v/>
      </c>
      <c r="BI44" s="127" t="str">
        <f aca="false">IF(ISBLANK($C44),"",IF($BD44&lt;&gt;Constants!$B$6,$BD44,RANK($BH44,$BH$9:$BH$508,1)))</f>
        <v/>
      </c>
      <c r="BJ44" s="130" t="str">
        <f aca="false">IF($BD44&lt;&gt;Constants!$B$6,"",IF($AU44="-&gt;",$BB44,$AS44))</f>
        <v/>
      </c>
      <c r="BK44" s="127" t="str">
        <f aca="false">IF(ISBLANK($C44),"",IF($BD44&lt;&gt;Constants!$B$6,$BD44,IF(ISNUMBER($BJ44),RANK($BJ44,$BJ$9:$BJ$508,1),COUNT($BJ$9:$BJ$508)+1)))</f>
        <v/>
      </c>
      <c r="BL44" s="130" t="str">
        <f aca="false">IF($BD44&lt;&gt;Constants!$B$6,"",IF($AU44="-&gt;",$BC44,$AT44))</f>
        <v/>
      </c>
      <c r="BM44" s="127" t="str">
        <f aca="false">IF(ISBLANK($C44),"",IF($BD44&lt;&gt;Constants!$B$6,$BD44,IF(ISNUMBER($BL44),RANK($BL44,$BL$9:$BL$508,1),COUNT($BL$9:$BL$508)+1)))</f>
        <v/>
      </c>
      <c r="BN44" s="130" t="str">
        <f aca="false">IF($BD44&lt;&gt;Constants!$B$6,"",IF($AU44="-&gt;",$AS44,$BB44))</f>
        <v/>
      </c>
      <c r="BO44" s="127" t="str">
        <f aca="false">IF(ISBLANK($C44),"",IF($BD44&lt;&gt;Constants!$B$6,$BD44,IF(ISNUMBER($BN44),RANK($BN44,$BN$9:$BN$508,1),COUNT($BN$9:$BN$508)+1)))</f>
        <v/>
      </c>
      <c r="BP44" s="130" t="str">
        <f aca="false">IF($BD44&lt;&gt;Constants!$B$6,"",IF($AU44="-&gt;",$AT44,$BC44))</f>
        <v/>
      </c>
      <c r="BQ44" s="127" t="str">
        <f aca="false">IF(ISBLANK($C44),"",IF($BD44&lt;&gt;Constants!$B$6,$BD44,IF(ISNUMBER($BP44),RANK($BP44,$BP$9:$BP$508,1),COUNT($BP$9:$BP$508)+1)))</f>
        <v/>
      </c>
      <c r="BR44" s="127" t="str">
        <f aca="false">IF(ISBLANK($C44),"",IF($BD44&lt;&gt;Constants!$B$6,$BD44,COUNTIFS($BI$9:$BI$508,"&lt;"&amp;$BI44)+COUNTIFS($BI$9:$BI$508,$BI44,$BK$9:$BK$508,"&lt;"&amp;$BK44)+COUNTIFS($BI$9:$BI$508,$BI44,$BK$9:$BK$508,$BK44,$BM$9:$BM$508,"&lt;"&amp;$BM44)+COUNTIFS($BI$9:$BI$508,$BI44,$BK$9:$BK$508,$BK44,$BM$9:$BM$508,$BM44,$BO$9:$BO$508,"&lt;"&amp;$BO44)+COUNTIFS($BI$9:$BI$508,$BI44,$BK$9:$BK$508,$BK44,$BM$9:$BM$508,$BM44,$BO$9:$BO$508,$BO44,$BQ$9:$BQ$508,"&lt;"&amp;$BQ44)+1))</f>
        <v/>
      </c>
      <c r="BS44" s="127" t="str">
        <f aca="false">IF(ISBLANK($C44),"",IF($BD44&lt;&gt;Constants!$B$6,$BD44,$BI44-$BR44))</f>
        <v/>
      </c>
      <c r="BT44" s="133"/>
      <c r="BU44" s="134"/>
      <c r="BV44" s="134" t="str">
        <f aca="false">IF(ISBLANK($C44),"",IF($BD44&lt;&gt;Constants!$B$6,"",IF($AU44="-&gt;",2,1)))</f>
        <v/>
      </c>
      <c r="BW44" s="135" t="str">
        <f aca="false">IF(ISBLANK($C44),"",IF($BD44&lt;&gt;Constants!$B$6,"",IF($AU44="-&gt;",$AW44,$AN44)))</f>
        <v/>
      </c>
      <c r="BX44" s="135" t="str">
        <f aca="false">IF(ISBLANK($C44),"",IF($BD44&lt;&gt;Constants!$B$6,"",IF($AU44="-&gt;",$AX44,$AO44)))</f>
        <v/>
      </c>
      <c r="BY44" s="135" t="str">
        <f aca="false">IF(ISBLANK($C44),"",IF($BD44&lt;&gt;Constants!$B$6,"",IF($AU44="-&gt;",$AY44,$AP44)))</f>
        <v/>
      </c>
      <c r="BZ44" s="135" t="str">
        <f aca="false">IF(ISBLANK($C44),"",IF($BD44&lt;&gt;Constants!$B$6,"",IF($AU44="-&gt;",$AZ44,$AQ44)+$BG44))</f>
        <v/>
      </c>
      <c r="CA44" s="136" t="str">
        <f aca="false">IF(ISBLANK($C44),"",IF($BD44&lt;&gt;Constants!$B$6,$BD44,$BH44))</f>
        <v/>
      </c>
      <c r="CB44" s="137" t="str">
        <f aca="false">IF(ISBLANK($C44),"",$BE44)</f>
        <v/>
      </c>
      <c r="CC44" s="138" t="str">
        <f aca="false">IF(ISBLANK($C44),"",$BS44)</f>
        <v/>
      </c>
      <c r="CD44" s="138" t="str">
        <f aca="false">IF(ISBLANK($C44),"",$BR44)</f>
        <v/>
      </c>
      <c r="CE44" s="139" t="str">
        <f aca="false">IF(ISBLANK($C44),"",IF($CD44=Constants!$B$9,COUNTA($C$9:$C$508)+2,IF($CD44=Constants!$B$8,COUNTA($C$9:$C$508)+1,IF($CD44=Constants!$B$7,COUNTA($C$9:$C$508),$CD44))))</f>
        <v/>
      </c>
      <c r="CF44" s="9"/>
      <c r="CG44" s="140" t="n">
        <f aca="false">IF(OR(ISNUMBER($CD44),$CD44=Constants!$B$9,$CD44=Constants!$B$7,$CD44=Constants!$B$8),1,0)</f>
        <v>0</v>
      </c>
      <c r="CH44" s="140" t="n">
        <v>36</v>
      </c>
      <c r="CI44" s="140" t="str">
        <f aca="false">IF(ISBLANK($C44),"",IF(ISNUMBER($CE44),$CE44+ROW($B44)/1000,""))</f>
        <v/>
      </c>
      <c r="CJ44" s="140" t="str">
        <f aca="false">IF(ISNUMBER($CI44),RANK($CI44,$CI$9:$CI$508,1),"")</f>
        <v/>
      </c>
      <c r="CK44" s="140" t="str">
        <f aca="false">IF(ISBLANK($C44),"",$B44)</f>
        <v/>
      </c>
      <c r="CL44" s="140" t="str">
        <f aca="false">IF(ISBLANK($C44),"",$C44)</f>
        <v/>
      </c>
      <c r="CM44" s="140" t="str">
        <f aca="false">IF(ISBLANK($C44),"",$D44)</f>
        <v/>
      </c>
      <c r="CN44" s="141" t="str">
        <f aca="false">$CB44</f>
        <v/>
      </c>
      <c r="CO44" s="142" t="str">
        <f aca="false">$CA44</f>
        <v/>
      </c>
      <c r="CP44" s="140" t="str">
        <f aca="false">IF(ISBLANK($C44),"",$CD44)</f>
        <v/>
      </c>
      <c r="CQ44" s="143" t="str">
        <f aca="false">IF($CH44&gt;$CG$8,"",VLOOKUP($CH44,$CJ$9:$CP$508,7,FALSE()))</f>
        <v/>
      </c>
      <c r="CR44" s="144" t="str">
        <f aca="false">IF($CH44&gt;$CG$8,"",VLOOKUP($CH44,$CJ$9:$CP$508,2,FALSE()))</f>
        <v/>
      </c>
      <c r="CS44" s="144" t="str">
        <f aca="false">IF($CH44&gt;$CG$8,"",VLOOKUP($CH44,$CJ$9:$CP$508,3,FALSE()))</f>
        <v/>
      </c>
      <c r="CT44" s="144" t="str">
        <f aca="false">IF($CH44&gt;$CG$8,"",VLOOKUP($CH44,$CJ$9:$CP$508,4,FALSE()))</f>
        <v/>
      </c>
      <c r="CU44" s="144" t="str">
        <f aca="false">IF($CH44&gt;$CG$8,"",VLOOKUP($CH44,$CJ$9:$CP$508,5,FALSE()))</f>
        <v/>
      </c>
      <c r="CV44" s="145" t="str">
        <f aca="false">IF($CH44&gt;$CG$8,"",VLOOKUP($CH44,$CJ$9:$CP$508,6,FALSE()))</f>
        <v/>
      </c>
      <c r="CW44" s="71"/>
    </row>
    <row r="45" customFormat="false" ht="15.75" hidden="false" customHeight="false" outlineLevel="0" collapsed="false">
      <c r="A45" s="9"/>
      <c r="B45" s="72"/>
      <c r="C45" s="73"/>
      <c r="D45" s="160"/>
      <c r="E45" s="168"/>
      <c r="F45" s="162"/>
      <c r="G45" s="163"/>
      <c r="H45" s="169"/>
      <c r="I45" s="167"/>
      <c r="J45" s="80"/>
      <c r="K45" s="81"/>
      <c r="L45" s="82"/>
      <c r="M45" s="166"/>
      <c r="N45" s="167"/>
      <c r="O45" s="167"/>
      <c r="P45" s="80"/>
      <c r="Q45" s="82"/>
      <c r="R45" s="82"/>
      <c r="S45" s="166"/>
      <c r="T45" s="167"/>
      <c r="U45" s="86"/>
      <c r="V45" s="87"/>
      <c r="W45" s="87" t="str">
        <f aca="false">IF(ISBLANK($C45),"",IF(E45=Constants!$B$2,TRUE(),IF(E45=Constants!$B$3,FALSE(),TRUE())))</f>
        <v/>
      </c>
      <c r="X45" s="87" t="str">
        <f aca="false">IF(ISBLANK($C45),"",IF(F45=Constants!$B$2,TRUE(),IF(F45=Constants!$B$3,FALSE(),TRUE())))</f>
        <v/>
      </c>
      <c r="Y45" s="87" t="str">
        <f aca="false">IF(ISBLANK($C45),"",IF(G45=Constants!$B$2,TRUE(),IF(G45=Constants!$B$3,FALSE(),TRUE())))</f>
        <v/>
      </c>
      <c r="Z45" s="87" t="str">
        <f aca="false">IF(ISBLANK($C45),"",IF(H45=Constants!$B$2,TRUE(),IF(H45=Constants!$B$3,FALSE(),TRUE())))</f>
        <v/>
      </c>
      <c r="AA45" s="87" t="str">
        <f aca="false">IF(ISBLANK($C45),"",IF(I45=Constants!$B$2,TRUE(),IF(I45=Constants!$B$3,FALSE(),TRUE())))</f>
        <v/>
      </c>
      <c r="AB45" s="87" t="str">
        <f aca="false">IF(ISBLANK($C45),"",IF(J45=Constants!$B$4,TRUE(),IF(J45=Constants!$B$5,FALSE(),COUNTA(K45:M45)&gt;0)))</f>
        <v/>
      </c>
      <c r="AC45" s="88" t="str">
        <f aca="false">IF(ISBLANK($C45),"",IF(ISNUMBER(K45),IF(K45&gt;=0,K45,""),""))</f>
        <v/>
      </c>
      <c r="AD45" s="89" t="str">
        <f aca="false">IF(ISBLANK($C45),"",IF(ISNUMBER(L45),IF(L45&gt;=0,L45,""),""))</f>
        <v/>
      </c>
      <c r="AE45" s="87" t="str">
        <f aca="false">IF(ISBLANK($C45),"",IF(ISNUMBER(M45),IF(M45&gt;=0,MIN(M45,Constants!$B$22),""),""))</f>
        <v/>
      </c>
      <c r="AF45" s="87" t="str">
        <f aca="false">IF(ISBLANK($C45),"",IF(N45=Constants!$B$2,TRUE(),IF(N45=Constants!$B$3,FALSE(),TRUE())))</f>
        <v/>
      </c>
      <c r="AG45" s="87" t="str">
        <f aca="false">IF(ISBLANK($C45),"",IF(O45=Constants!$B$2,TRUE(),IF(O45=Constants!$B$3,FALSE(),TRUE())))</f>
        <v/>
      </c>
      <c r="AH45" s="87" t="str">
        <f aca="false">IF(ISBLANK($C45),"",IF(P45=Constants!$B$4,TRUE(),IF(P45=Constants!$B$5,FALSE(),COUNTA(Q45:S45)&gt;0)))</f>
        <v/>
      </c>
      <c r="AI45" s="88" t="str">
        <f aca="false">IF(ISBLANK($C45),"",IF(ISNUMBER(Q45),IF(Q45&gt;=0,Q45,""),""))</f>
        <v/>
      </c>
      <c r="AJ45" s="89" t="str">
        <f aca="false">IF(ISBLANK($C45),"",IF(ISNUMBER(R45),IF(R45&gt;=0,R45,""),""))</f>
        <v/>
      </c>
      <c r="AK45" s="87" t="str">
        <f aca="false">IF(ISBLANK($C45),"",IF(ISNUMBER(S45),IF(S45&gt;=0,MIN(S45,Constants!$B$22),""),""))</f>
        <v/>
      </c>
      <c r="AL45" s="87" t="str">
        <f aca="false">IF(ISBLANK($C45),"",IF(T45=Constants!$B$2,TRUE(),IF(T45=Constants!$B$3,FALSE(),FALSE())))</f>
        <v/>
      </c>
      <c r="AM45" s="86" t="str">
        <f aca="false">IF(ISBLANK($C45),"",AND($AB45,OR($AC45="",$AD45="",AND(NOT(ISBLANK($M45)),$AE45=""))))</f>
        <v/>
      </c>
      <c r="AN45" s="89" t="str">
        <f aca="false">IF($BD45&lt;&gt;Constants!$B$6,"",IF($AB45,Constants!$B$17*$AD45,Constants!$B$18))</f>
        <v/>
      </c>
      <c r="AO45" s="91" t="str">
        <f aca="false">IF($BD45&lt;&gt;Constants!$B$6,"",Constants!$B$19*IF($AB45,$AC45,0))</f>
        <v/>
      </c>
      <c r="AP45" s="91" t="str">
        <f aca="false">IF($BD45&lt;&gt;Constants!$B$6,"",IF(AND($AB45,ISNUMBER($AE45)),Constants!$B$20*(Constants!$B$21-$AE45),0))</f>
        <v/>
      </c>
      <c r="AQ45" s="91" t="str">
        <f aca="false">IF($BD45&lt;&gt;Constants!$B$6,"",IF($AA45,0,Constants!$B$12)+IF($Z45,0,Constants!$B$13)+IF($Y45,0,Constants!$B$14))</f>
        <v/>
      </c>
      <c r="AR45" s="92" t="str">
        <f aca="false">IF($BD45&lt;&gt;Constants!$B$6,"",Constants!$B$16+SUM($AN45:$AQ45))</f>
        <v/>
      </c>
      <c r="AS45" s="91" t="str">
        <f aca="false">IF($BD45&lt;&gt;Constants!$B$6,"",IF($AB45,$AD45,""))</f>
        <v/>
      </c>
      <c r="AT45" s="93" t="str">
        <f aca="false">IF($BD45&lt;&gt;Constants!$B$6,"",$AO45)</f>
        <v/>
      </c>
      <c r="AU45" s="87" t="str">
        <f aca="false">IF($BD45&lt;&gt;Constants!$B$6,"",IF(OR($BA45&lt;$AR45,AND($BA45=$AR45,OR(AND(ISNUMBER($BB45),OR(NOT(ISNUMBER($AS45)),$BB45&lt;$AS45)),AND(OR(AND($BB45="",$AS45=""),AND(ISNUMBER($BB45),ISNUMBER($AS45),$BB45=$AS45)),$BC45&lt;$AT45)))),"-&gt;","&lt;-"))</f>
        <v/>
      </c>
      <c r="AV45" s="86" t="str">
        <f aca="false">IF(ISBLANK($C45),"",AND($AH45,OR($AI45="",$AJ45="",AND(NOT(ISBLANK($S45)),$AK45=""))))</f>
        <v/>
      </c>
      <c r="AW45" s="89" t="str">
        <f aca="false">IF($BD45&lt;&gt;Constants!$B$6,"",IF($AH45,Constants!$B$17*$AJ45,Constants!$B$18))</f>
        <v/>
      </c>
      <c r="AX45" s="91" t="str">
        <f aca="false">IF($BD45&lt;&gt;Constants!$B$6,"",Constants!$B$19*IF($AH45,$AI45,0))</f>
        <v/>
      </c>
      <c r="AY45" s="91" t="str">
        <f aca="false">IF($BD45&lt;&gt;Constants!$B$6,"",IF(AND($AH45,ISNUMBER($AK45)),Constants!$B$20*(Constants!$B$21-$AK45),0))</f>
        <v/>
      </c>
      <c r="AZ45" s="91" t="str">
        <f aca="false">IF($BD45&lt;&gt;Constants!$B$6,"",IF($AG45,0,Constants!$B$12)+IF($AF45,0,Constants!$B$13)+IF($Y45,0,Constants!$B$14))</f>
        <v/>
      </c>
      <c r="BA45" s="92" t="str">
        <f aca="false">IF($BD45&lt;&gt;Constants!$B$6,"",Constants!$B$16+SUM($AW45:$AZ45))</f>
        <v/>
      </c>
      <c r="BB45" s="91" t="str">
        <f aca="false">IF($BD45&lt;&gt;Constants!$B$6,"",IF($AH45,$AJ45,""))</f>
        <v/>
      </c>
      <c r="BC45" s="93" t="str">
        <f aca="false">IF($BD45&lt;&gt;Constants!$B$6,"",$AX45)</f>
        <v/>
      </c>
      <c r="BD45" s="87" t="str">
        <f aca="false">IF(ISBLANK($C45),"",IF($AL45,Constants!$B$9,IF(COUNTA($E45:$T45)=0,Constants!$B$8,IF(NOT($X45),Constants!$B$7,IF(OR($AM45,$AV45),Constants!$B$10,Constants!$B$6)))))</f>
        <v/>
      </c>
      <c r="BE45" s="87" t="str">
        <f aca="false">IF(ISBLANK($C45),"",IF($BD45&lt;&gt;Constants!$B$6,$BD45,Constants!$B$11))</f>
        <v/>
      </c>
      <c r="BF45" s="91" t="str">
        <f aca="false">IF($BD45&lt;&gt;Constants!$B$6,"",IF($AU45="-&gt;",$BA45,$AR45))</f>
        <v/>
      </c>
      <c r="BG45" s="91" t="str">
        <f aca="false">IF($BD45&lt;&gt;Constants!$B$6,"",IF($W45,0,Constants!$B$15))</f>
        <v/>
      </c>
      <c r="BH45" s="91" t="str">
        <f aca="false">IF(ISBLANK($C45),"",IF($BD45&lt;&gt;Constants!$B$6,$BD45,SUM($BF45:$BG45)))</f>
        <v/>
      </c>
      <c r="BI45" s="87" t="str">
        <f aca="false">IF(ISBLANK($C45),"",IF($BD45&lt;&gt;Constants!$B$6,$BD45,RANK($BH45,$BH$9:$BH$508,1)))</f>
        <v/>
      </c>
      <c r="BJ45" s="91" t="str">
        <f aca="false">IF($BD45&lt;&gt;Constants!$B$6,"",IF($AU45="-&gt;",$BB45,$AS45))</f>
        <v/>
      </c>
      <c r="BK45" s="87" t="str">
        <f aca="false">IF(ISBLANK($C45),"",IF($BD45&lt;&gt;Constants!$B$6,$BD45,IF(ISNUMBER($BJ45),RANK($BJ45,$BJ$9:$BJ$508,1),COUNT($BJ$9:$BJ$508)+1)))</f>
        <v/>
      </c>
      <c r="BL45" s="91" t="str">
        <f aca="false">IF($BD45&lt;&gt;Constants!$B$6,"",IF($AU45="-&gt;",$BC45,$AT45))</f>
        <v/>
      </c>
      <c r="BM45" s="87" t="str">
        <f aca="false">IF(ISBLANK($C45),"",IF($BD45&lt;&gt;Constants!$B$6,$BD45,IF(ISNUMBER($BL45),RANK($BL45,$BL$9:$BL$508,1),COUNT($BL$9:$BL$508)+1)))</f>
        <v/>
      </c>
      <c r="BN45" s="91" t="str">
        <f aca="false">IF($BD45&lt;&gt;Constants!$B$6,"",IF($AU45="-&gt;",$AS45,$BB45))</f>
        <v/>
      </c>
      <c r="BO45" s="87" t="str">
        <f aca="false">IF(ISBLANK($C45),"",IF($BD45&lt;&gt;Constants!$B$6,$BD45,IF(ISNUMBER($BN45),RANK($BN45,$BN$9:$BN$508,1),COUNT($BN$9:$BN$508)+1)))</f>
        <v/>
      </c>
      <c r="BP45" s="91" t="str">
        <f aca="false">IF($BD45&lt;&gt;Constants!$B$6,"",IF($AU45="-&gt;",$AT45,$BC45))</f>
        <v/>
      </c>
      <c r="BQ45" s="87" t="str">
        <f aca="false">IF(ISBLANK($C45),"",IF($BD45&lt;&gt;Constants!$B$6,$BD45,IF(ISNUMBER($BP45),RANK($BP45,$BP$9:$BP$508,1),COUNT($BP$9:$BP$508)+1)))</f>
        <v/>
      </c>
      <c r="BR45" s="87" t="str">
        <f aca="false">IF(ISBLANK($C45),"",IF($BD45&lt;&gt;Constants!$B$6,$BD45,COUNTIFS($BI$9:$BI$508,"&lt;"&amp;$BI45)+COUNTIFS($BI$9:$BI$508,$BI45,$BK$9:$BK$508,"&lt;"&amp;$BK45)+COUNTIFS($BI$9:$BI$508,$BI45,$BK$9:$BK$508,$BK45,$BM$9:$BM$508,"&lt;"&amp;$BM45)+COUNTIFS($BI$9:$BI$508,$BI45,$BK$9:$BK$508,$BK45,$BM$9:$BM$508,$BM45,$BO$9:$BO$508,"&lt;"&amp;$BO45)+COUNTIFS($BI$9:$BI$508,$BI45,$BK$9:$BK$508,$BK45,$BM$9:$BM$508,$BM45,$BO$9:$BO$508,$BO45,$BQ$9:$BQ$508,"&lt;"&amp;$BQ45)+1))</f>
        <v/>
      </c>
      <c r="BS45" s="87" t="str">
        <f aca="false">IF(ISBLANK($C45),"",IF($BD45&lt;&gt;Constants!$B$6,$BD45,$BI45-$BR45))</f>
        <v/>
      </c>
      <c r="BT45" s="94"/>
      <c r="BU45" s="95"/>
      <c r="BV45" s="95" t="str">
        <f aca="false">IF(ISBLANK($C45),"",IF($BD45&lt;&gt;Constants!$B$6,"",IF($AU45="-&gt;",2,1)))</f>
        <v/>
      </c>
      <c r="BW45" s="96" t="str">
        <f aca="false">IF(ISBLANK($C45),"",IF($BD45&lt;&gt;Constants!$B$6,"",IF($AU45="-&gt;",$AW45,$AN45)))</f>
        <v/>
      </c>
      <c r="BX45" s="96" t="str">
        <f aca="false">IF(ISBLANK($C45),"",IF($BD45&lt;&gt;Constants!$B$6,"",IF($AU45="-&gt;",$AX45,$AO45)))</f>
        <v/>
      </c>
      <c r="BY45" s="96" t="str">
        <f aca="false">IF(ISBLANK($C45),"",IF($BD45&lt;&gt;Constants!$B$6,"",IF($AU45="-&gt;",$AY45,$AP45)))</f>
        <v/>
      </c>
      <c r="BZ45" s="96" t="str">
        <f aca="false">IF(ISBLANK($C45),"",IF($BD45&lt;&gt;Constants!$B$6,"",IF($AU45="-&gt;",$AZ45,$AQ45)+$BG45))</f>
        <v/>
      </c>
      <c r="CA45" s="97" t="str">
        <f aca="false">IF(ISBLANK($C45),"",IF($BD45&lt;&gt;Constants!$B$6,$BD45,$BH45))</f>
        <v/>
      </c>
      <c r="CB45" s="98" t="str">
        <f aca="false">IF(ISBLANK($C45),"",$BE45)</f>
        <v/>
      </c>
      <c r="CC45" s="99" t="str">
        <f aca="false">IF(ISBLANK($C45),"",$BS45)</f>
        <v/>
      </c>
      <c r="CD45" s="99" t="str">
        <f aca="false">IF(ISBLANK($C45),"",$BR45)</f>
        <v/>
      </c>
      <c r="CE45" s="100" t="str">
        <f aca="false">IF(ISBLANK($C45),"",IF($CD45=Constants!$B$9,COUNTA($C$9:$C$508)+2,IF($CD45=Constants!$B$8,COUNTA($C$9:$C$508)+1,IF($CD45=Constants!$B$7,COUNTA($C$9:$C$508),$CD45))))</f>
        <v/>
      </c>
      <c r="CF45" s="9"/>
      <c r="CG45" s="101" t="n">
        <f aca="false">IF(OR(ISNUMBER($CD45),$CD45=Constants!$B$9,$CD45=Constants!$B$7,$CD45=Constants!$B$8),1,0)</f>
        <v>0</v>
      </c>
      <c r="CH45" s="101" t="n">
        <v>37</v>
      </c>
      <c r="CI45" s="101" t="str">
        <f aca="false">IF(ISBLANK($C45),"",IF(ISNUMBER($CE45),$CE45+ROW($B45)/1000,""))</f>
        <v/>
      </c>
      <c r="CJ45" s="101" t="str">
        <f aca="false">IF(ISNUMBER($CI45),RANK($CI45,$CI$9:$CI$508,1),"")</f>
        <v/>
      </c>
      <c r="CK45" s="101" t="str">
        <f aca="false">IF(ISBLANK($C45),"",$B45)</f>
        <v/>
      </c>
      <c r="CL45" s="101" t="str">
        <f aca="false">IF(ISBLANK($C45),"",$C45)</f>
        <v/>
      </c>
      <c r="CM45" s="101" t="str">
        <f aca="false">IF(ISBLANK($C45),"",$D45)</f>
        <v/>
      </c>
      <c r="CN45" s="102" t="str">
        <f aca="false">$CB45</f>
        <v/>
      </c>
      <c r="CO45" s="103" t="str">
        <f aca="false">$CA45</f>
        <v/>
      </c>
      <c r="CP45" s="101" t="str">
        <f aca="false">IF(ISBLANK($C45),"",$CD45)</f>
        <v/>
      </c>
      <c r="CQ45" s="104" t="str">
        <f aca="false">IF($CH45&gt;$CG$8,"",VLOOKUP($CH45,$CJ$9:$CP$508,7,FALSE()))</f>
        <v/>
      </c>
      <c r="CR45" s="105" t="str">
        <f aca="false">IF($CH45&gt;$CG$8,"",VLOOKUP($CH45,$CJ$9:$CP$508,2,FALSE()))</f>
        <v/>
      </c>
      <c r="CS45" s="105" t="str">
        <f aca="false">IF($CH45&gt;$CG$8,"",VLOOKUP($CH45,$CJ$9:$CP$508,3,FALSE()))</f>
        <v/>
      </c>
      <c r="CT45" s="105" t="str">
        <f aca="false">IF($CH45&gt;$CG$8,"",VLOOKUP($CH45,$CJ$9:$CP$508,4,FALSE()))</f>
        <v/>
      </c>
      <c r="CU45" s="105" t="str">
        <f aca="false">IF($CH45&gt;$CG$8,"",VLOOKUP($CH45,$CJ$9:$CP$508,5,FALSE()))</f>
        <v/>
      </c>
      <c r="CV45" s="106" t="str">
        <f aca="false">IF($CH45&gt;$CG$8,"",VLOOKUP($CH45,$CJ$9:$CP$508,6,FALSE()))</f>
        <v/>
      </c>
      <c r="CW45" s="71"/>
    </row>
    <row r="46" customFormat="false" ht="15.75" hidden="false" customHeight="false" outlineLevel="0" collapsed="false">
      <c r="A46" s="9"/>
      <c r="B46" s="72"/>
      <c r="C46" s="73"/>
      <c r="D46" s="160"/>
      <c r="E46" s="168"/>
      <c r="F46" s="162"/>
      <c r="G46" s="163"/>
      <c r="H46" s="169"/>
      <c r="I46" s="167"/>
      <c r="J46" s="80"/>
      <c r="K46" s="81"/>
      <c r="L46" s="82"/>
      <c r="M46" s="166"/>
      <c r="N46" s="167"/>
      <c r="O46" s="167"/>
      <c r="P46" s="80"/>
      <c r="Q46" s="82"/>
      <c r="R46" s="82"/>
      <c r="S46" s="166"/>
      <c r="T46" s="167"/>
      <c r="U46" s="86"/>
      <c r="V46" s="87"/>
      <c r="W46" s="87" t="str">
        <f aca="false">IF(ISBLANK($C46),"",IF(E46=Constants!$B$2,TRUE(),IF(E46=Constants!$B$3,FALSE(),TRUE())))</f>
        <v/>
      </c>
      <c r="X46" s="87" t="str">
        <f aca="false">IF(ISBLANK($C46),"",IF(F46=Constants!$B$2,TRUE(),IF(F46=Constants!$B$3,FALSE(),TRUE())))</f>
        <v/>
      </c>
      <c r="Y46" s="87" t="str">
        <f aca="false">IF(ISBLANK($C46),"",IF(G46=Constants!$B$2,TRUE(),IF(G46=Constants!$B$3,FALSE(),TRUE())))</f>
        <v/>
      </c>
      <c r="Z46" s="87" t="str">
        <f aca="false">IF(ISBLANK($C46),"",IF(H46=Constants!$B$2,TRUE(),IF(H46=Constants!$B$3,FALSE(),TRUE())))</f>
        <v/>
      </c>
      <c r="AA46" s="87" t="str">
        <f aca="false">IF(ISBLANK($C46),"",IF(I46=Constants!$B$2,TRUE(),IF(I46=Constants!$B$3,FALSE(),TRUE())))</f>
        <v/>
      </c>
      <c r="AB46" s="87" t="str">
        <f aca="false">IF(ISBLANK($C46),"",IF(J46=Constants!$B$4,TRUE(),IF(J46=Constants!$B$5,FALSE(),COUNTA(K46:M46)&gt;0)))</f>
        <v/>
      </c>
      <c r="AC46" s="88" t="str">
        <f aca="false">IF(ISBLANK($C46),"",IF(ISNUMBER(K46),IF(K46&gt;=0,K46,""),""))</f>
        <v/>
      </c>
      <c r="AD46" s="89" t="str">
        <f aca="false">IF(ISBLANK($C46),"",IF(ISNUMBER(L46),IF(L46&gt;=0,L46,""),""))</f>
        <v/>
      </c>
      <c r="AE46" s="87" t="str">
        <f aca="false">IF(ISBLANK($C46),"",IF(ISNUMBER(M46),IF(M46&gt;=0,MIN(M46,Constants!$B$22),""),""))</f>
        <v/>
      </c>
      <c r="AF46" s="87" t="str">
        <f aca="false">IF(ISBLANK($C46),"",IF(N46=Constants!$B$2,TRUE(),IF(N46=Constants!$B$3,FALSE(),TRUE())))</f>
        <v/>
      </c>
      <c r="AG46" s="87" t="str">
        <f aca="false">IF(ISBLANK($C46),"",IF(O46=Constants!$B$2,TRUE(),IF(O46=Constants!$B$3,FALSE(),TRUE())))</f>
        <v/>
      </c>
      <c r="AH46" s="87" t="str">
        <f aca="false">IF(ISBLANK($C46),"",IF(P46=Constants!$B$4,TRUE(),IF(P46=Constants!$B$5,FALSE(),COUNTA(Q46:S46)&gt;0)))</f>
        <v/>
      </c>
      <c r="AI46" s="88" t="str">
        <f aca="false">IF(ISBLANK($C46),"",IF(ISNUMBER(Q46),IF(Q46&gt;=0,Q46,""),""))</f>
        <v/>
      </c>
      <c r="AJ46" s="89" t="str">
        <f aca="false">IF(ISBLANK($C46),"",IF(ISNUMBER(R46),IF(R46&gt;=0,R46,""),""))</f>
        <v/>
      </c>
      <c r="AK46" s="87" t="str">
        <f aca="false">IF(ISBLANK($C46),"",IF(ISNUMBER(S46),IF(S46&gt;=0,MIN(S46,Constants!$B$22),""),""))</f>
        <v/>
      </c>
      <c r="AL46" s="87" t="str">
        <f aca="false">IF(ISBLANK($C46),"",IF(T46=Constants!$B$2,TRUE(),IF(T46=Constants!$B$3,FALSE(),FALSE())))</f>
        <v/>
      </c>
      <c r="AM46" s="86" t="str">
        <f aca="false">IF(ISBLANK($C46),"",AND($AB46,OR($AC46="",$AD46="",AND(NOT(ISBLANK($M46)),$AE46=""))))</f>
        <v/>
      </c>
      <c r="AN46" s="89" t="str">
        <f aca="false">IF($BD46&lt;&gt;Constants!$B$6,"",IF($AB46,Constants!$B$17*$AD46,Constants!$B$18))</f>
        <v/>
      </c>
      <c r="AO46" s="91" t="str">
        <f aca="false">IF($BD46&lt;&gt;Constants!$B$6,"",Constants!$B$19*IF($AB46,$AC46,0))</f>
        <v/>
      </c>
      <c r="AP46" s="91" t="str">
        <f aca="false">IF($BD46&lt;&gt;Constants!$B$6,"",IF(AND($AB46,ISNUMBER($AE46)),Constants!$B$20*(Constants!$B$21-$AE46),0))</f>
        <v/>
      </c>
      <c r="AQ46" s="91" t="str">
        <f aca="false">IF($BD46&lt;&gt;Constants!$B$6,"",IF($AA46,0,Constants!$B$12)+IF($Z46,0,Constants!$B$13)+IF($Y46,0,Constants!$B$14))</f>
        <v/>
      </c>
      <c r="AR46" s="92" t="str">
        <f aca="false">IF($BD46&lt;&gt;Constants!$B$6,"",Constants!$B$16+SUM($AN46:$AQ46))</f>
        <v/>
      </c>
      <c r="AS46" s="91" t="str">
        <f aca="false">IF($BD46&lt;&gt;Constants!$B$6,"",IF($AB46,$AD46,""))</f>
        <v/>
      </c>
      <c r="AT46" s="93" t="str">
        <f aca="false">IF($BD46&lt;&gt;Constants!$B$6,"",$AO46)</f>
        <v/>
      </c>
      <c r="AU46" s="87" t="str">
        <f aca="false">IF($BD46&lt;&gt;Constants!$B$6,"",IF(OR($BA46&lt;$AR46,AND($BA46=$AR46,OR(AND(ISNUMBER($BB46),OR(NOT(ISNUMBER($AS46)),$BB46&lt;$AS46)),AND(OR(AND($BB46="",$AS46=""),AND(ISNUMBER($BB46),ISNUMBER($AS46),$BB46=$AS46)),$BC46&lt;$AT46)))),"-&gt;","&lt;-"))</f>
        <v/>
      </c>
      <c r="AV46" s="86" t="str">
        <f aca="false">IF(ISBLANK($C46),"",AND($AH46,OR($AI46="",$AJ46="",AND(NOT(ISBLANK($S46)),$AK46=""))))</f>
        <v/>
      </c>
      <c r="AW46" s="89" t="str">
        <f aca="false">IF($BD46&lt;&gt;Constants!$B$6,"",IF($AH46,Constants!$B$17*$AJ46,Constants!$B$18))</f>
        <v/>
      </c>
      <c r="AX46" s="91" t="str">
        <f aca="false">IF($BD46&lt;&gt;Constants!$B$6,"",Constants!$B$19*IF($AH46,$AI46,0))</f>
        <v/>
      </c>
      <c r="AY46" s="91" t="str">
        <f aca="false">IF($BD46&lt;&gt;Constants!$B$6,"",IF(AND($AH46,ISNUMBER($AK46)),Constants!$B$20*(Constants!$B$21-$AK46),0))</f>
        <v/>
      </c>
      <c r="AZ46" s="91" t="str">
        <f aca="false">IF($BD46&lt;&gt;Constants!$B$6,"",IF($AG46,0,Constants!$B$12)+IF($AF46,0,Constants!$B$13)+IF($Y46,0,Constants!$B$14))</f>
        <v/>
      </c>
      <c r="BA46" s="92" t="str">
        <f aca="false">IF($BD46&lt;&gt;Constants!$B$6,"",Constants!$B$16+SUM($AW46:$AZ46))</f>
        <v/>
      </c>
      <c r="BB46" s="91" t="str">
        <f aca="false">IF($BD46&lt;&gt;Constants!$B$6,"",IF($AH46,$AJ46,""))</f>
        <v/>
      </c>
      <c r="BC46" s="93" t="str">
        <f aca="false">IF($BD46&lt;&gt;Constants!$B$6,"",$AX46)</f>
        <v/>
      </c>
      <c r="BD46" s="87" t="str">
        <f aca="false">IF(ISBLANK($C46),"",IF($AL46,Constants!$B$9,IF(COUNTA($E46:$T46)=0,Constants!$B$8,IF(NOT($X46),Constants!$B$7,IF(OR($AM46,$AV46),Constants!$B$10,Constants!$B$6)))))</f>
        <v/>
      </c>
      <c r="BE46" s="87" t="str">
        <f aca="false">IF(ISBLANK($C46),"",IF($BD46&lt;&gt;Constants!$B$6,$BD46,Constants!$B$11))</f>
        <v/>
      </c>
      <c r="BF46" s="91" t="str">
        <f aca="false">IF($BD46&lt;&gt;Constants!$B$6,"",IF($AU46="-&gt;",$BA46,$AR46))</f>
        <v/>
      </c>
      <c r="BG46" s="91" t="str">
        <f aca="false">IF($BD46&lt;&gt;Constants!$B$6,"",IF($W46,0,Constants!$B$15))</f>
        <v/>
      </c>
      <c r="BH46" s="91" t="str">
        <f aca="false">IF(ISBLANK($C46),"",IF($BD46&lt;&gt;Constants!$B$6,$BD46,SUM($BF46:$BG46)))</f>
        <v/>
      </c>
      <c r="BI46" s="87" t="str">
        <f aca="false">IF(ISBLANK($C46),"",IF($BD46&lt;&gt;Constants!$B$6,$BD46,RANK($BH46,$BH$9:$BH$508,1)))</f>
        <v/>
      </c>
      <c r="BJ46" s="91" t="str">
        <f aca="false">IF($BD46&lt;&gt;Constants!$B$6,"",IF($AU46="-&gt;",$BB46,$AS46))</f>
        <v/>
      </c>
      <c r="BK46" s="87" t="str">
        <f aca="false">IF(ISBLANK($C46),"",IF($BD46&lt;&gt;Constants!$B$6,$BD46,IF(ISNUMBER($BJ46),RANK($BJ46,$BJ$9:$BJ$508,1),COUNT($BJ$9:$BJ$508)+1)))</f>
        <v/>
      </c>
      <c r="BL46" s="91" t="str">
        <f aca="false">IF($BD46&lt;&gt;Constants!$B$6,"",IF($AU46="-&gt;",$BC46,$AT46))</f>
        <v/>
      </c>
      <c r="BM46" s="87" t="str">
        <f aca="false">IF(ISBLANK($C46),"",IF($BD46&lt;&gt;Constants!$B$6,$BD46,IF(ISNUMBER($BL46),RANK($BL46,$BL$9:$BL$508,1),COUNT($BL$9:$BL$508)+1)))</f>
        <v/>
      </c>
      <c r="BN46" s="91" t="str">
        <f aca="false">IF($BD46&lt;&gt;Constants!$B$6,"",IF($AU46="-&gt;",$AS46,$BB46))</f>
        <v/>
      </c>
      <c r="BO46" s="87" t="str">
        <f aca="false">IF(ISBLANK($C46),"",IF($BD46&lt;&gt;Constants!$B$6,$BD46,IF(ISNUMBER($BN46),RANK($BN46,$BN$9:$BN$508,1),COUNT($BN$9:$BN$508)+1)))</f>
        <v/>
      </c>
      <c r="BP46" s="91" t="str">
        <f aca="false">IF($BD46&lt;&gt;Constants!$B$6,"",IF($AU46="-&gt;",$AT46,$BC46))</f>
        <v/>
      </c>
      <c r="BQ46" s="87" t="str">
        <f aca="false">IF(ISBLANK($C46),"",IF($BD46&lt;&gt;Constants!$B$6,$BD46,IF(ISNUMBER($BP46),RANK($BP46,$BP$9:$BP$508,1),COUNT($BP$9:$BP$508)+1)))</f>
        <v/>
      </c>
      <c r="BR46" s="87" t="str">
        <f aca="false">IF(ISBLANK($C46),"",IF($BD46&lt;&gt;Constants!$B$6,$BD46,COUNTIFS($BI$9:$BI$508,"&lt;"&amp;$BI46)+COUNTIFS($BI$9:$BI$508,$BI46,$BK$9:$BK$508,"&lt;"&amp;$BK46)+COUNTIFS($BI$9:$BI$508,$BI46,$BK$9:$BK$508,$BK46,$BM$9:$BM$508,"&lt;"&amp;$BM46)+COUNTIFS($BI$9:$BI$508,$BI46,$BK$9:$BK$508,$BK46,$BM$9:$BM$508,$BM46,$BO$9:$BO$508,"&lt;"&amp;$BO46)+COUNTIFS($BI$9:$BI$508,$BI46,$BK$9:$BK$508,$BK46,$BM$9:$BM$508,$BM46,$BO$9:$BO$508,$BO46,$BQ$9:$BQ$508,"&lt;"&amp;$BQ46)+1))</f>
        <v/>
      </c>
      <c r="BS46" s="87" t="str">
        <f aca="false">IF(ISBLANK($C46),"",IF($BD46&lt;&gt;Constants!$B$6,$BD46,$BI46-$BR46))</f>
        <v/>
      </c>
      <c r="BT46" s="94"/>
      <c r="BU46" s="95"/>
      <c r="BV46" s="95" t="str">
        <f aca="false">IF(ISBLANK($C46),"",IF($BD46&lt;&gt;Constants!$B$6,"",IF($AU46="-&gt;",2,1)))</f>
        <v/>
      </c>
      <c r="BW46" s="96" t="str">
        <f aca="false">IF(ISBLANK($C46),"",IF($BD46&lt;&gt;Constants!$B$6,"",IF($AU46="-&gt;",$AW46,$AN46)))</f>
        <v/>
      </c>
      <c r="BX46" s="96" t="str">
        <f aca="false">IF(ISBLANK($C46),"",IF($BD46&lt;&gt;Constants!$B$6,"",IF($AU46="-&gt;",$AX46,$AO46)))</f>
        <v/>
      </c>
      <c r="BY46" s="96" t="str">
        <f aca="false">IF(ISBLANK($C46),"",IF($BD46&lt;&gt;Constants!$B$6,"",IF($AU46="-&gt;",$AY46,$AP46)))</f>
        <v/>
      </c>
      <c r="BZ46" s="96" t="str">
        <f aca="false">IF(ISBLANK($C46),"",IF($BD46&lt;&gt;Constants!$B$6,"",IF($AU46="-&gt;",$AZ46,$AQ46)+$BG46))</f>
        <v/>
      </c>
      <c r="CA46" s="97" t="str">
        <f aca="false">IF(ISBLANK($C46),"",IF($BD46&lt;&gt;Constants!$B$6,$BD46,$BH46))</f>
        <v/>
      </c>
      <c r="CB46" s="98" t="str">
        <f aca="false">IF(ISBLANK($C46),"",$BE46)</f>
        <v/>
      </c>
      <c r="CC46" s="99" t="str">
        <f aca="false">IF(ISBLANK($C46),"",$BS46)</f>
        <v/>
      </c>
      <c r="CD46" s="99" t="str">
        <f aca="false">IF(ISBLANK($C46),"",$BR46)</f>
        <v/>
      </c>
      <c r="CE46" s="100" t="str">
        <f aca="false">IF(ISBLANK($C46),"",IF($CD46=Constants!$B$9,COUNTA($C$9:$C$508)+2,IF($CD46=Constants!$B$8,COUNTA($C$9:$C$508)+1,IF($CD46=Constants!$B$7,COUNTA($C$9:$C$508),$CD46))))</f>
        <v/>
      </c>
      <c r="CF46" s="9"/>
      <c r="CG46" s="101" t="n">
        <f aca="false">IF(OR(ISNUMBER($CD46),$CD46=Constants!$B$9,$CD46=Constants!$B$7,$CD46=Constants!$B$8),1,0)</f>
        <v>0</v>
      </c>
      <c r="CH46" s="101" t="n">
        <v>38</v>
      </c>
      <c r="CI46" s="101" t="str">
        <f aca="false">IF(ISBLANK($C46),"",IF(ISNUMBER($CE46),$CE46+ROW($B46)/1000,""))</f>
        <v/>
      </c>
      <c r="CJ46" s="101" t="str">
        <f aca="false">IF(ISNUMBER($CI46),RANK($CI46,$CI$9:$CI$508,1),"")</f>
        <v/>
      </c>
      <c r="CK46" s="101" t="str">
        <f aca="false">IF(ISBLANK($C46),"",$B46)</f>
        <v/>
      </c>
      <c r="CL46" s="101" t="str">
        <f aca="false">IF(ISBLANK($C46),"",$C46)</f>
        <v/>
      </c>
      <c r="CM46" s="101" t="str">
        <f aca="false">IF(ISBLANK($C46),"",$D46)</f>
        <v/>
      </c>
      <c r="CN46" s="102" t="str">
        <f aca="false">$CB46</f>
        <v/>
      </c>
      <c r="CO46" s="103" t="str">
        <f aca="false">$CA46</f>
        <v/>
      </c>
      <c r="CP46" s="101" t="str">
        <f aca="false">IF(ISBLANK($C46),"",$CD46)</f>
        <v/>
      </c>
      <c r="CQ46" s="104" t="str">
        <f aca="false">IF($CH46&gt;$CG$8,"",VLOOKUP($CH46,$CJ$9:$CP$508,7,FALSE()))</f>
        <v/>
      </c>
      <c r="CR46" s="105" t="str">
        <f aca="false">IF($CH46&gt;$CG$8,"",VLOOKUP($CH46,$CJ$9:$CP$508,2,FALSE()))</f>
        <v/>
      </c>
      <c r="CS46" s="105" t="str">
        <f aca="false">IF($CH46&gt;$CG$8,"",VLOOKUP($CH46,$CJ$9:$CP$508,3,FALSE()))</f>
        <v/>
      </c>
      <c r="CT46" s="105" t="str">
        <f aca="false">IF($CH46&gt;$CG$8,"",VLOOKUP($CH46,$CJ$9:$CP$508,4,FALSE()))</f>
        <v/>
      </c>
      <c r="CU46" s="105" t="str">
        <f aca="false">IF($CH46&gt;$CG$8,"",VLOOKUP($CH46,$CJ$9:$CP$508,5,FALSE()))</f>
        <v/>
      </c>
      <c r="CV46" s="106" t="str">
        <f aca="false">IF($CH46&gt;$CG$8,"",VLOOKUP($CH46,$CJ$9:$CP$508,6,FALSE()))</f>
        <v/>
      </c>
      <c r="CW46" s="71"/>
    </row>
    <row r="47" customFormat="false" ht="15.75" hidden="false" customHeight="false" outlineLevel="0" collapsed="false">
      <c r="A47" s="9"/>
      <c r="B47" s="72"/>
      <c r="C47" s="73"/>
      <c r="D47" s="160"/>
      <c r="E47" s="168"/>
      <c r="F47" s="162"/>
      <c r="G47" s="163"/>
      <c r="H47" s="169"/>
      <c r="I47" s="167"/>
      <c r="J47" s="80"/>
      <c r="K47" s="81"/>
      <c r="L47" s="82"/>
      <c r="M47" s="166"/>
      <c r="N47" s="167"/>
      <c r="O47" s="167"/>
      <c r="P47" s="80"/>
      <c r="Q47" s="82"/>
      <c r="R47" s="82"/>
      <c r="S47" s="166"/>
      <c r="T47" s="167"/>
      <c r="U47" s="86"/>
      <c r="V47" s="87"/>
      <c r="W47" s="87" t="str">
        <f aca="false">IF(ISBLANK($C47),"",IF(E47=Constants!$B$2,TRUE(),IF(E47=Constants!$B$3,FALSE(),TRUE())))</f>
        <v/>
      </c>
      <c r="X47" s="87" t="str">
        <f aca="false">IF(ISBLANK($C47),"",IF(F47=Constants!$B$2,TRUE(),IF(F47=Constants!$B$3,FALSE(),TRUE())))</f>
        <v/>
      </c>
      <c r="Y47" s="87" t="str">
        <f aca="false">IF(ISBLANK($C47),"",IF(G47=Constants!$B$2,TRUE(),IF(G47=Constants!$B$3,FALSE(),TRUE())))</f>
        <v/>
      </c>
      <c r="Z47" s="87" t="str">
        <f aca="false">IF(ISBLANK($C47),"",IF(H47=Constants!$B$2,TRUE(),IF(H47=Constants!$B$3,FALSE(),TRUE())))</f>
        <v/>
      </c>
      <c r="AA47" s="87" t="str">
        <f aca="false">IF(ISBLANK($C47),"",IF(I47=Constants!$B$2,TRUE(),IF(I47=Constants!$B$3,FALSE(),TRUE())))</f>
        <v/>
      </c>
      <c r="AB47" s="87" t="str">
        <f aca="false">IF(ISBLANK($C47),"",IF(J47=Constants!$B$4,TRUE(),IF(J47=Constants!$B$5,FALSE(),COUNTA(K47:M47)&gt;0)))</f>
        <v/>
      </c>
      <c r="AC47" s="88" t="str">
        <f aca="false">IF(ISBLANK($C47),"",IF(ISNUMBER(K47),IF(K47&gt;=0,K47,""),""))</f>
        <v/>
      </c>
      <c r="AD47" s="89" t="str">
        <f aca="false">IF(ISBLANK($C47),"",IF(ISNUMBER(L47),IF(L47&gt;=0,L47,""),""))</f>
        <v/>
      </c>
      <c r="AE47" s="87" t="str">
        <f aca="false">IF(ISBLANK($C47),"",IF(ISNUMBER(M47),IF(M47&gt;=0,MIN(M47,Constants!$B$22),""),""))</f>
        <v/>
      </c>
      <c r="AF47" s="87" t="str">
        <f aca="false">IF(ISBLANK($C47),"",IF(N47=Constants!$B$2,TRUE(),IF(N47=Constants!$B$3,FALSE(),TRUE())))</f>
        <v/>
      </c>
      <c r="AG47" s="87" t="str">
        <f aca="false">IF(ISBLANK($C47),"",IF(O47=Constants!$B$2,TRUE(),IF(O47=Constants!$B$3,FALSE(),TRUE())))</f>
        <v/>
      </c>
      <c r="AH47" s="87" t="str">
        <f aca="false">IF(ISBLANK($C47),"",IF(P47=Constants!$B$4,TRUE(),IF(P47=Constants!$B$5,FALSE(),COUNTA(Q47:S47)&gt;0)))</f>
        <v/>
      </c>
      <c r="AI47" s="88" t="str">
        <f aca="false">IF(ISBLANK($C47),"",IF(ISNUMBER(Q47),IF(Q47&gt;=0,Q47,""),""))</f>
        <v/>
      </c>
      <c r="AJ47" s="89" t="str">
        <f aca="false">IF(ISBLANK($C47),"",IF(ISNUMBER(R47),IF(R47&gt;=0,R47,""),""))</f>
        <v/>
      </c>
      <c r="AK47" s="87" t="str">
        <f aca="false">IF(ISBLANK($C47),"",IF(ISNUMBER(S47),IF(S47&gt;=0,MIN(S47,Constants!$B$22),""),""))</f>
        <v/>
      </c>
      <c r="AL47" s="87" t="str">
        <f aca="false">IF(ISBLANK($C47),"",IF(T47=Constants!$B$2,TRUE(),IF(T47=Constants!$B$3,FALSE(),FALSE())))</f>
        <v/>
      </c>
      <c r="AM47" s="86" t="str">
        <f aca="false">IF(ISBLANK($C47),"",AND($AB47,OR($AC47="",$AD47="",AND(NOT(ISBLANK($M47)),$AE47=""))))</f>
        <v/>
      </c>
      <c r="AN47" s="89" t="str">
        <f aca="false">IF($BD47&lt;&gt;Constants!$B$6,"",IF($AB47,Constants!$B$17*$AD47,Constants!$B$18))</f>
        <v/>
      </c>
      <c r="AO47" s="91" t="str">
        <f aca="false">IF($BD47&lt;&gt;Constants!$B$6,"",Constants!$B$19*IF($AB47,$AC47,0))</f>
        <v/>
      </c>
      <c r="AP47" s="91" t="str">
        <f aca="false">IF($BD47&lt;&gt;Constants!$B$6,"",IF(AND($AB47,ISNUMBER($AE47)),Constants!$B$20*(Constants!$B$21-$AE47),0))</f>
        <v/>
      </c>
      <c r="AQ47" s="91" t="str">
        <f aca="false">IF($BD47&lt;&gt;Constants!$B$6,"",IF($AA47,0,Constants!$B$12)+IF($Z47,0,Constants!$B$13)+IF($Y47,0,Constants!$B$14))</f>
        <v/>
      </c>
      <c r="AR47" s="92" t="str">
        <f aca="false">IF($BD47&lt;&gt;Constants!$B$6,"",Constants!$B$16+SUM($AN47:$AQ47))</f>
        <v/>
      </c>
      <c r="AS47" s="91" t="str">
        <f aca="false">IF($BD47&lt;&gt;Constants!$B$6,"",IF($AB47,$AD47,""))</f>
        <v/>
      </c>
      <c r="AT47" s="93" t="str">
        <f aca="false">IF($BD47&lt;&gt;Constants!$B$6,"",$AO47)</f>
        <v/>
      </c>
      <c r="AU47" s="87" t="str">
        <f aca="false">IF($BD47&lt;&gt;Constants!$B$6,"",IF(OR($BA47&lt;$AR47,AND($BA47=$AR47,OR(AND(ISNUMBER($BB47),OR(NOT(ISNUMBER($AS47)),$BB47&lt;$AS47)),AND(OR(AND($BB47="",$AS47=""),AND(ISNUMBER($BB47),ISNUMBER($AS47),$BB47=$AS47)),$BC47&lt;$AT47)))),"-&gt;","&lt;-"))</f>
        <v/>
      </c>
      <c r="AV47" s="86" t="str">
        <f aca="false">IF(ISBLANK($C47),"",AND($AH47,OR($AI47="",$AJ47="",AND(NOT(ISBLANK($S47)),$AK47=""))))</f>
        <v/>
      </c>
      <c r="AW47" s="89" t="str">
        <f aca="false">IF($BD47&lt;&gt;Constants!$B$6,"",IF($AH47,Constants!$B$17*$AJ47,Constants!$B$18))</f>
        <v/>
      </c>
      <c r="AX47" s="91" t="str">
        <f aca="false">IF($BD47&lt;&gt;Constants!$B$6,"",Constants!$B$19*IF($AH47,$AI47,0))</f>
        <v/>
      </c>
      <c r="AY47" s="91" t="str">
        <f aca="false">IF($BD47&lt;&gt;Constants!$B$6,"",IF(AND($AH47,ISNUMBER($AK47)),Constants!$B$20*(Constants!$B$21-$AK47),0))</f>
        <v/>
      </c>
      <c r="AZ47" s="91" t="str">
        <f aca="false">IF($BD47&lt;&gt;Constants!$B$6,"",IF($AG47,0,Constants!$B$12)+IF($AF47,0,Constants!$B$13)+IF($Y47,0,Constants!$B$14))</f>
        <v/>
      </c>
      <c r="BA47" s="92" t="str">
        <f aca="false">IF($BD47&lt;&gt;Constants!$B$6,"",Constants!$B$16+SUM($AW47:$AZ47))</f>
        <v/>
      </c>
      <c r="BB47" s="91" t="str">
        <f aca="false">IF($BD47&lt;&gt;Constants!$B$6,"",IF($AH47,$AJ47,""))</f>
        <v/>
      </c>
      <c r="BC47" s="93" t="str">
        <f aca="false">IF($BD47&lt;&gt;Constants!$B$6,"",$AX47)</f>
        <v/>
      </c>
      <c r="BD47" s="87" t="str">
        <f aca="false">IF(ISBLANK($C47),"",IF($AL47,Constants!$B$9,IF(COUNTA($E47:$T47)=0,Constants!$B$8,IF(NOT($X47),Constants!$B$7,IF(OR($AM47,$AV47),Constants!$B$10,Constants!$B$6)))))</f>
        <v/>
      </c>
      <c r="BE47" s="87" t="str">
        <f aca="false">IF(ISBLANK($C47),"",IF($BD47&lt;&gt;Constants!$B$6,$BD47,Constants!$B$11))</f>
        <v/>
      </c>
      <c r="BF47" s="91" t="str">
        <f aca="false">IF($BD47&lt;&gt;Constants!$B$6,"",IF($AU47="-&gt;",$BA47,$AR47))</f>
        <v/>
      </c>
      <c r="BG47" s="91" t="str">
        <f aca="false">IF($BD47&lt;&gt;Constants!$B$6,"",IF($W47,0,Constants!$B$15))</f>
        <v/>
      </c>
      <c r="BH47" s="91" t="str">
        <f aca="false">IF(ISBLANK($C47),"",IF($BD47&lt;&gt;Constants!$B$6,$BD47,SUM($BF47:$BG47)))</f>
        <v/>
      </c>
      <c r="BI47" s="87" t="str">
        <f aca="false">IF(ISBLANK($C47),"",IF($BD47&lt;&gt;Constants!$B$6,$BD47,RANK($BH47,$BH$9:$BH$508,1)))</f>
        <v/>
      </c>
      <c r="BJ47" s="91" t="str">
        <f aca="false">IF($BD47&lt;&gt;Constants!$B$6,"",IF($AU47="-&gt;",$BB47,$AS47))</f>
        <v/>
      </c>
      <c r="BK47" s="87" t="str">
        <f aca="false">IF(ISBLANK($C47),"",IF($BD47&lt;&gt;Constants!$B$6,$BD47,IF(ISNUMBER($BJ47),RANK($BJ47,$BJ$9:$BJ$508,1),COUNT($BJ$9:$BJ$508)+1)))</f>
        <v/>
      </c>
      <c r="BL47" s="91" t="str">
        <f aca="false">IF($BD47&lt;&gt;Constants!$B$6,"",IF($AU47="-&gt;",$BC47,$AT47))</f>
        <v/>
      </c>
      <c r="BM47" s="87" t="str">
        <f aca="false">IF(ISBLANK($C47),"",IF($BD47&lt;&gt;Constants!$B$6,$BD47,IF(ISNUMBER($BL47),RANK($BL47,$BL$9:$BL$508,1),COUNT($BL$9:$BL$508)+1)))</f>
        <v/>
      </c>
      <c r="BN47" s="91" t="str">
        <f aca="false">IF($BD47&lt;&gt;Constants!$B$6,"",IF($AU47="-&gt;",$AS47,$BB47))</f>
        <v/>
      </c>
      <c r="BO47" s="87" t="str">
        <f aca="false">IF(ISBLANK($C47),"",IF($BD47&lt;&gt;Constants!$B$6,$BD47,IF(ISNUMBER($BN47),RANK($BN47,$BN$9:$BN$508,1),COUNT($BN$9:$BN$508)+1)))</f>
        <v/>
      </c>
      <c r="BP47" s="91" t="str">
        <f aca="false">IF($BD47&lt;&gt;Constants!$B$6,"",IF($AU47="-&gt;",$AT47,$BC47))</f>
        <v/>
      </c>
      <c r="BQ47" s="87" t="str">
        <f aca="false">IF(ISBLANK($C47),"",IF($BD47&lt;&gt;Constants!$B$6,$BD47,IF(ISNUMBER($BP47),RANK($BP47,$BP$9:$BP$508,1),COUNT($BP$9:$BP$508)+1)))</f>
        <v/>
      </c>
      <c r="BR47" s="87" t="str">
        <f aca="false">IF(ISBLANK($C47),"",IF($BD47&lt;&gt;Constants!$B$6,$BD47,COUNTIFS($BI$9:$BI$508,"&lt;"&amp;$BI47)+COUNTIFS($BI$9:$BI$508,$BI47,$BK$9:$BK$508,"&lt;"&amp;$BK47)+COUNTIFS($BI$9:$BI$508,$BI47,$BK$9:$BK$508,$BK47,$BM$9:$BM$508,"&lt;"&amp;$BM47)+COUNTIFS($BI$9:$BI$508,$BI47,$BK$9:$BK$508,$BK47,$BM$9:$BM$508,$BM47,$BO$9:$BO$508,"&lt;"&amp;$BO47)+COUNTIFS($BI$9:$BI$508,$BI47,$BK$9:$BK$508,$BK47,$BM$9:$BM$508,$BM47,$BO$9:$BO$508,$BO47,$BQ$9:$BQ$508,"&lt;"&amp;$BQ47)+1))</f>
        <v/>
      </c>
      <c r="BS47" s="87" t="str">
        <f aca="false">IF(ISBLANK($C47),"",IF($BD47&lt;&gt;Constants!$B$6,$BD47,$BI47-$BR47))</f>
        <v/>
      </c>
      <c r="BT47" s="94"/>
      <c r="BU47" s="95"/>
      <c r="BV47" s="95" t="str">
        <f aca="false">IF(ISBLANK($C47),"",IF($BD47&lt;&gt;Constants!$B$6,"",IF($AU47="-&gt;",2,1)))</f>
        <v/>
      </c>
      <c r="BW47" s="96" t="str">
        <f aca="false">IF(ISBLANK($C47),"",IF($BD47&lt;&gt;Constants!$B$6,"",IF($AU47="-&gt;",$AW47,$AN47)))</f>
        <v/>
      </c>
      <c r="BX47" s="96" t="str">
        <f aca="false">IF(ISBLANK($C47),"",IF($BD47&lt;&gt;Constants!$B$6,"",IF($AU47="-&gt;",$AX47,$AO47)))</f>
        <v/>
      </c>
      <c r="BY47" s="96" t="str">
        <f aca="false">IF(ISBLANK($C47),"",IF($BD47&lt;&gt;Constants!$B$6,"",IF($AU47="-&gt;",$AY47,$AP47)))</f>
        <v/>
      </c>
      <c r="BZ47" s="96" t="str">
        <f aca="false">IF(ISBLANK($C47),"",IF($BD47&lt;&gt;Constants!$B$6,"",IF($AU47="-&gt;",$AZ47,$AQ47)+$BG47))</f>
        <v/>
      </c>
      <c r="CA47" s="97" t="str">
        <f aca="false">IF(ISBLANK($C47),"",IF($BD47&lt;&gt;Constants!$B$6,$BD47,$BH47))</f>
        <v/>
      </c>
      <c r="CB47" s="98" t="str">
        <f aca="false">IF(ISBLANK($C47),"",$BE47)</f>
        <v/>
      </c>
      <c r="CC47" s="99" t="str">
        <f aca="false">IF(ISBLANK($C47),"",$BS47)</f>
        <v/>
      </c>
      <c r="CD47" s="99" t="str">
        <f aca="false">IF(ISBLANK($C47),"",$BR47)</f>
        <v/>
      </c>
      <c r="CE47" s="100" t="str">
        <f aca="false">IF(ISBLANK($C47),"",IF($CD47=Constants!$B$9,COUNTA($C$9:$C$508)+2,IF($CD47=Constants!$B$8,COUNTA($C$9:$C$508)+1,IF($CD47=Constants!$B$7,COUNTA($C$9:$C$508),$CD47))))</f>
        <v/>
      </c>
      <c r="CF47" s="9"/>
      <c r="CG47" s="101" t="n">
        <f aca="false">IF(OR(ISNUMBER($CD47),$CD47=Constants!$B$9,$CD47=Constants!$B$7,$CD47=Constants!$B$8),1,0)</f>
        <v>0</v>
      </c>
      <c r="CH47" s="101" t="n">
        <v>39</v>
      </c>
      <c r="CI47" s="101" t="str">
        <f aca="false">IF(ISBLANK($C47),"",IF(ISNUMBER($CE47),$CE47+ROW($B47)/1000,""))</f>
        <v/>
      </c>
      <c r="CJ47" s="101" t="str">
        <f aca="false">IF(ISNUMBER($CI47),RANK($CI47,$CI$9:$CI$508,1),"")</f>
        <v/>
      </c>
      <c r="CK47" s="101" t="str">
        <f aca="false">IF(ISBLANK($C47),"",$B47)</f>
        <v/>
      </c>
      <c r="CL47" s="101" t="str">
        <f aca="false">IF(ISBLANK($C47),"",$C47)</f>
        <v/>
      </c>
      <c r="CM47" s="101" t="str">
        <f aca="false">IF(ISBLANK($C47),"",$D47)</f>
        <v/>
      </c>
      <c r="CN47" s="102" t="str">
        <f aca="false">$CB47</f>
        <v/>
      </c>
      <c r="CO47" s="103" t="str">
        <f aca="false">$CA47</f>
        <v/>
      </c>
      <c r="CP47" s="101" t="str">
        <f aca="false">IF(ISBLANK($C47),"",$CD47)</f>
        <v/>
      </c>
      <c r="CQ47" s="104" t="str">
        <f aca="false">IF($CH47&gt;$CG$8,"",VLOOKUP($CH47,$CJ$9:$CP$508,7,FALSE()))</f>
        <v/>
      </c>
      <c r="CR47" s="105" t="str">
        <f aca="false">IF($CH47&gt;$CG$8,"",VLOOKUP($CH47,$CJ$9:$CP$508,2,FALSE()))</f>
        <v/>
      </c>
      <c r="CS47" s="105" t="str">
        <f aca="false">IF($CH47&gt;$CG$8,"",VLOOKUP($CH47,$CJ$9:$CP$508,3,FALSE()))</f>
        <v/>
      </c>
      <c r="CT47" s="105" t="str">
        <f aca="false">IF($CH47&gt;$CG$8,"",VLOOKUP($CH47,$CJ$9:$CP$508,4,FALSE()))</f>
        <v/>
      </c>
      <c r="CU47" s="105" t="str">
        <f aca="false">IF($CH47&gt;$CG$8,"",VLOOKUP($CH47,$CJ$9:$CP$508,5,FALSE()))</f>
        <v/>
      </c>
      <c r="CV47" s="106" t="str">
        <f aca="false">IF($CH47&gt;$CG$8,"",VLOOKUP($CH47,$CJ$9:$CP$508,6,FALSE()))</f>
        <v/>
      </c>
      <c r="CW47" s="71"/>
    </row>
    <row r="48" customFormat="false" ht="15.75" hidden="false" customHeight="false" outlineLevel="0" collapsed="false">
      <c r="A48" s="9"/>
      <c r="B48" s="150"/>
      <c r="C48" s="151"/>
      <c r="D48" s="152"/>
      <c r="E48" s="170"/>
      <c r="F48" s="154"/>
      <c r="G48" s="155"/>
      <c r="H48" s="171"/>
      <c r="I48" s="159"/>
      <c r="J48" s="120"/>
      <c r="K48" s="121"/>
      <c r="L48" s="122"/>
      <c r="M48" s="158"/>
      <c r="N48" s="159"/>
      <c r="O48" s="159"/>
      <c r="P48" s="120"/>
      <c r="Q48" s="122"/>
      <c r="R48" s="122"/>
      <c r="S48" s="158"/>
      <c r="T48" s="159"/>
      <c r="U48" s="126"/>
      <c r="V48" s="127"/>
      <c r="W48" s="127" t="str">
        <f aca="false">IF(ISBLANK($C48),"",IF(E48=Constants!$B$2,TRUE(),IF(E48=Constants!$B$3,FALSE(),TRUE())))</f>
        <v/>
      </c>
      <c r="X48" s="127" t="str">
        <f aca="false">IF(ISBLANK($C48),"",IF(F48=Constants!$B$2,TRUE(),IF(F48=Constants!$B$3,FALSE(),TRUE())))</f>
        <v/>
      </c>
      <c r="Y48" s="127" t="str">
        <f aca="false">IF(ISBLANK($C48),"",IF(G48=Constants!$B$2,TRUE(),IF(G48=Constants!$B$3,FALSE(),TRUE())))</f>
        <v/>
      </c>
      <c r="Z48" s="127" t="str">
        <f aca="false">IF(ISBLANK($C48),"",IF(H48=Constants!$B$2,TRUE(),IF(H48=Constants!$B$3,FALSE(),TRUE())))</f>
        <v/>
      </c>
      <c r="AA48" s="127" t="str">
        <f aca="false">IF(ISBLANK($C48),"",IF(I48=Constants!$B$2,TRUE(),IF(I48=Constants!$B$3,FALSE(),TRUE())))</f>
        <v/>
      </c>
      <c r="AB48" s="127" t="str">
        <f aca="false">IF(ISBLANK($C48),"",IF(J48=Constants!$B$4,TRUE(),IF(J48=Constants!$B$5,FALSE(),COUNTA(K48:M48)&gt;0)))</f>
        <v/>
      </c>
      <c r="AC48" s="128" t="str">
        <f aca="false">IF(ISBLANK($C48),"",IF(ISNUMBER(K48),IF(K48&gt;=0,K48,""),""))</f>
        <v/>
      </c>
      <c r="AD48" s="129" t="str">
        <f aca="false">IF(ISBLANK($C48),"",IF(ISNUMBER(L48),IF(L48&gt;=0,L48,""),""))</f>
        <v/>
      </c>
      <c r="AE48" s="127" t="str">
        <f aca="false">IF(ISBLANK($C48),"",IF(ISNUMBER(M48),IF(M48&gt;=0,MIN(M48,Constants!$B$22),""),""))</f>
        <v/>
      </c>
      <c r="AF48" s="127" t="str">
        <f aca="false">IF(ISBLANK($C48),"",IF(N48=Constants!$B$2,TRUE(),IF(N48=Constants!$B$3,FALSE(),TRUE())))</f>
        <v/>
      </c>
      <c r="AG48" s="127" t="str">
        <f aca="false">IF(ISBLANK($C48),"",IF(O48=Constants!$B$2,TRUE(),IF(O48=Constants!$B$3,FALSE(),TRUE())))</f>
        <v/>
      </c>
      <c r="AH48" s="127" t="str">
        <f aca="false">IF(ISBLANK($C48),"",IF(P48=Constants!$B$4,TRUE(),IF(P48=Constants!$B$5,FALSE(),COUNTA(Q48:S48)&gt;0)))</f>
        <v/>
      </c>
      <c r="AI48" s="128" t="str">
        <f aca="false">IF(ISBLANK($C48),"",IF(ISNUMBER(Q48),IF(Q48&gt;=0,Q48,""),""))</f>
        <v/>
      </c>
      <c r="AJ48" s="129" t="str">
        <f aca="false">IF(ISBLANK($C48),"",IF(ISNUMBER(R48),IF(R48&gt;=0,R48,""),""))</f>
        <v/>
      </c>
      <c r="AK48" s="127" t="str">
        <f aca="false">IF(ISBLANK($C48),"",IF(ISNUMBER(S48),IF(S48&gt;=0,MIN(S48,Constants!$B$22),""),""))</f>
        <v/>
      </c>
      <c r="AL48" s="127" t="str">
        <f aca="false">IF(ISBLANK($C48),"",IF(T48=Constants!$B$2,TRUE(),IF(T48=Constants!$B$3,FALSE(),FALSE())))</f>
        <v/>
      </c>
      <c r="AM48" s="126" t="str">
        <f aca="false">IF(ISBLANK($C48),"",AND($AB48,OR($AC48="",$AD48="",AND(NOT(ISBLANK($M48)),$AE48=""))))</f>
        <v/>
      </c>
      <c r="AN48" s="129" t="str">
        <f aca="false">IF($BD48&lt;&gt;Constants!$B$6,"",IF($AB48,Constants!$B$17*$AD48,Constants!$B$18))</f>
        <v/>
      </c>
      <c r="AO48" s="130" t="str">
        <f aca="false">IF($BD48&lt;&gt;Constants!$B$6,"",Constants!$B$19*IF($AB48,$AC48,0))</f>
        <v/>
      </c>
      <c r="AP48" s="130" t="str">
        <f aca="false">IF($BD48&lt;&gt;Constants!$B$6,"",IF(AND($AB48,ISNUMBER($AE48)),Constants!$B$20*(Constants!$B$21-$AE48),0))</f>
        <v/>
      </c>
      <c r="AQ48" s="130" t="str">
        <f aca="false">IF($BD48&lt;&gt;Constants!$B$6,"",IF($AA48,0,Constants!$B$12)+IF($Z48,0,Constants!$B$13)+IF($Y48,0,Constants!$B$14))</f>
        <v/>
      </c>
      <c r="AR48" s="131" t="str">
        <f aca="false">IF($BD48&lt;&gt;Constants!$B$6,"",Constants!$B$16+SUM($AN48:$AQ48))</f>
        <v/>
      </c>
      <c r="AS48" s="130" t="str">
        <f aca="false">IF($BD48&lt;&gt;Constants!$B$6,"",IF($AB48,$AD48,""))</f>
        <v/>
      </c>
      <c r="AT48" s="132" t="str">
        <f aca="false">IF($BD48&lt;&gt;Constants!$B$6,"",$AO48)</f>
        <v/>
      </c>
      <c r="AU48" s="127" t="str">
        <f aca="false">IF($BD48&lt;&gt;Constants!$B$6,"",IF(OR($BA48&lt;$AR48,AND($BA48=$AR48,OR(AND(ISNUMBER($BB48),OR(NOT(ISNUMBER($AS48)),$BB48&lt;$AS48)),AND(OR(AND($BB48="",$AS48=""),AND(ISNUMBER($BB48),ISNUMBER($AS48),$BB48=$AS48)),$BC48&lt;$AT48)))),"-&gt;","&lt;-"))</f>
        <v/>
      </c>
      <c r="AV48" s="126" t="str">
        <f aca="false">IF(ISBLANK($C48),"",AND($AH48,OR($AI48="",$AJ48="",AND(NOT(ISBLANK($S48)),$AK48=""))))</f>
        <v/>
      </c>
      <c r="AW48" s="129" t="str">
        <f aca="false">IF($BD48&lt;&gt;Constants!$B$6,"",IF($AH48,Constants!$B$17*$AJ48,Constants!$B$18))</f>
        <v/>
      </c>
      <c r="AX48" s="130" t="str">
        <f aca="false">IF($BD48&lt;&gt;Constants!$B$6,"",Constants!$B$19*IF($AH48,$AI48,0))</f>
        <v/>
      </c>
      <c r="AY48" s="130" t="str">
        <f aca="false">IF($BD48&lt;&gt;Constants!$B$6,"",IF(AND($AH48,ISNUMBER($AK48)),Constants!$B$20*(Constants!$B$21-$AK48),0))</f>
        <v/>
      </c>
      <c r="AZ48" s="130" t="str">
        <f aca="false">IF($BD48&lt;&gt;Constants!$B$6,"",IF($AG48,0,Constants!$B$12)+IF($AF48,0,Constants!$B$13)+IF($Y48,0,Constants!$B$14))</f>
        <v/>
      </c>
      <c r="BA48" s="131" t="str">
        <f aca="false">IF($BD48&lt;&gt;Constants!$B$6,"",Constants!$B$16+SUM($AW48:$AZ48))</f>
        <v/>
      </c>
      <c r="BB48" s="130" t="str">
        <f aca="false">IF($BD48&lt;&gt;Constants!$B$6,"",IF($AH48,$AJ48,""))</f>
        <v/>
      </c>
      <c r="BC48" s="132" t="str">
        <f aca="false">IF($BD48&lt;&gt;Constants!$B$6,"",$AX48)</f>
        <v/>
      </c>
      <c r="BD48" s="127" t="str">
        <f aca="false">IF(ISBLANK($C48),"",IF($AL48,Constants!$B$9,IF(COUNTA($E48:$T48)=0,Constants!$B$8,IF(NOT($X48),Constants!$B$7,IF(OR($AM48,$AV48),Constants!$B$10,Constants!$B$6)))))</f>
        <v/>
      </c>
      <c r="BE48" s="127" t="str">
        <f aca="false">IF(ISBLANK($C48),"",IF($BD48&lt;&gt;Constants!$B$6,$BD48,Constants!$B$11))</f>
        <v/>
      </c>
      <c r="BF48" s="130" t="str">
        <f aca="false">IF($BD48&lt;&gt;Constants!$B$6,"",IF($AU48="-&gt;",$BA48,$AR48))</f>
        <v/>
      </c>
      <c r="BG48" s="130" t="str">
        <f aca="false">IF($BD48&lt;&gt;Constants!$B$6,"",IF($W48,0,Constants!$B$15))</f>
        <v/>
      </c>
      <c r="BH48" s="130" t="str">
        <f aca="false">IF(ISBLANK($C48),"",IF($BD48&lt;&gt;Constants!$B$6,$BD48,SUM($BF48:$BG48)))</f>
        <v/>
      </c>
      <c r="BI48" s="127" t="str">
        <f aca="false">IF(ISBLANK($C48),"",IF($BD48&lt;&gt;Constants!$B$6,$BD48,RANK($BH48,$BH$9:$BH$508,1)))</f>
        <v/>
      </c>
      <c r="BJ48" s="130" t="str">
        <f aca="false">IF($BD48&lt;&gt;Constants!$B$6,"",IF($AU48="-&gt;",$BB48,$AS48))</f>
        <v/>
      </c>
      <c r="BK48" s="127" t="str">
        <f aca="false">IF(ISBLANK($C48),"",IF($BD48&lt;&gt;Constants!$B$6,$BD48,IF(ISNUMBER($BJ48),RANK($BJ48,$BJ$9:$BJ$508,1),COUNT($BJ$9:$BJ$508)+1)))</f>
        <v/>
      </c>
      <c r="BL48" s="130" t="str">
        <f aca="false">IF($BD48&lt;&gt;Constants!$B$6,"",IF($AU48="-&gt;",$BC48,$AT48))</f>
        <v/>
      </c>
      <c r="BM48" s="127" t="str">
        <f aca="false">IF(ISBLANK($C48),"",IF($BD48&lt;&gt;Constants!$B$6,$BD48,IF(ISNUMBER($BL48),RANK($BL48,$BL$9:$BL$508,1),COUNT($BL$9:$BL$508)+1)))</f>
        <v/>
      </c>
      <c r="BN48" s="130" t="str">
        <f aca="false">IF($BD48&lt;&gt;Constants!$B$6,"",IF($AU48="-&gt;",$AS48,$BB48))</f>
        <v/>
      </c>
      <c r="BO48" s="127" t="str">
        <f aca="false">IF(ISBLANK($C48),"",IF($BD48&lt;&gt;Constants!$B$6,$BD48,IF(ISNUMBER($BN48),RANK($BN48,$BN$9:$BN$508,1),COUNT($BN$9:$BN$508)+1)))</f>
        <v/>
      </c>
      <c r="BP48" s="130" t="str">
        <f aca="false">IF($BD48&lt;&gt;Constants!$B$6,"",IF($AU48="-&gt;",$AT48,$BC48))</f>
        <v/>
      </c>
      <c r="BQ48" s="127" t="str">
        <f aca="false">IF(ISBLANK($C48),"",IF($BD48&lt;&gt;Constants!$B$6,$BD48,IF(ISNUMBER($BP48),RANK($BP48,$BP$9:$BP$508,1),COUNT($BP$9:$BP$508)+1)))</f>
        <v/>
      </c>
      <c r="BR48" s="127" t="str">
        <f aca="false">IF(ISBLANK($C48),"",IF($BD48&lt;&gt;Constants!$B$6,$BD48,COUNTIFS($BI$9:$BI$508,"&lt;"&amp;$BI48)+COUNTIFS($BI$9:$BI$508,$BI48,$BK$9:$BK$508,"&lt;"&amp;$BK48)+COUNTIFS($BI$9:$BI$508,$BI48,$BK$9:$BK$508,$BK48,$BM$9:$BM$508,"&lt;"&amp;$BM48)+COUNTIFS($BI$9:$BI$508,$BI48,$BK$9:$BK$508,$BK48,$BM$9:$BM$508,$BM48,$BO$9:$BO$508,"&lt;"&amp;$BO48)+COUNTIFS($BI$9:$BI$508,$BI48,$BK$9:$BK$508,$BK48,$BM$9:$BM$508,$BM48,$BO$9:$BO$508,$BO48,$BQ$9:$BQ$508,"&lt;"&amp;$BQ48)+1))</f>
        <v/>
      </c>
      <c r="BS48" s="127" t="str">
        <f aca="false">IF(ISBLANK($C48),"",IF($BD48&lt;&gt;Constants!$B$6,$BD48,$BI48-$BR48))</f>
        <v/>
      </c>
      <c r="BT48" s="133"/>
      <c r="BU48" s="134"/>
      <c r="BV48" s="134" t="str">
        <f aca="false">IF(ISBLANK($C48),"",IF($BD48&lt;&gt;Constants!$B$6,"",IF($AU48="-&gt;",2,1)))</f>
        <v/>
      </c>
      <c r="BW48" s="135" t="str">
        <f aca="false">IF(ISBLANK($C48),"",IF($BD48&lt;&gt;Constants!$B$6,"",IF($AU48="-&gt;",$AW48,$AN48)))</f>
        <v/>
      </c>
      <c r="BX48" s="135" t="str">
        <f aca="false">IF(ISBLANK($C48),"",IF($BD48&lt;&gt;Constants!$B$6,"",IF($AU48="-&gt;",$AX48,$AO48)))</f>
        <v/>
      </c>
      <c r="BY48" s="135" t="str">
        <f aca="false">IF(ISBLANK($C48),"",IF($BD48&lt;&gt;Constants!$B$6,"",IF($AU48="-&gt;",$AY48,$AP48)))</f>
        <v/>
      </c>
      <c r="BZ48" s="135" t="str">
        <f aca="false">IF(ISBLANK($C48),"",IF($BD48&lt;&gt;Constants!$B$6,"",IF($AU48="-&gt;",$AZ48,$AQ48)+$BG48))</f>
        <v/>
      </c>
      <c r="CA48" s="136" t="str">
        <f aca="false">IF(ISBLANK($C48),"",IF($BD48&lt;&gt;Constants!$B$6,$BD48,$BH48))</f>
        <v/>
      </c>
      <c r="CB48" s="137" t="str">
        <f aca="false">IF(ISBLANK($C48),"",$BE48)</f>
        <v/>
      </c>
      <c r="CC48" s="138" t="str">
        <f aca="false">IF(ISBLANK($C48),"",$BS48)</f>
        <v/>
      </c>
      <c r="CD48" s="138" t="str">
        <f aca="false">IF(ISBLANK($C48),"",$BR48)</f>
        <v/>
      </c>
      <c r="CE48" s="139" t="str">
        <f aca="false">IF(ISBLANK($C48),"",IF($CD48=Constants!$B$9,COUNTA($C$9:$C$508)+2,IF($CD48=Constants!$B$8,COUNTA($C$9:$C$508)+1,IF($CD48=Constants!$B$7,COUNTA($C$9:$C$508),$CD48))))</f>
        <v/>
      </c>
      <c r="CF48" s="9"/>
      <c r="CG48" s="140" t="n">
        <f aca="false">IF(OR(ISNUMBER($CD48),$CD48=Constants!$B$9,$CD48=Constants!$B$7,$CD48=Constants!$B$8),1,0)</f>
        <v>0</v>
      </c>
      <c r="CH48" s="140" t="n">
        <v>40</v>
      </c>
      <c r="CI48" s="140" t="str">
        <f aca="false">IF(ISBLANK($C48),"",IF(ISNUMBER($CE48),$CE48+ROW($B48)/1000,""))</f>
        <v/>
      </c>
      <c r="CJ48" s="140" t="str">
        <f aca="false">IF(ISNUMBER($CI48),RANK($CI48,$CI$9:$CI$508,1),"")</f>
        <v/>
      </c>
      <c r="CK48" s="140" t="str">
        <f aca="false">IF(ISBLANK($C48),"",$B48)</f>
        <v/>
      </c>
      <c r="CL48" s="140" t="str">
        <f aca="false">IF(ISBLANK($C48),"",$C48)</f>
        <v/>
      </c>
      <c r="CM48" s="140" t="str">
        <f aca="false">IF(ISBLANK($C48),"",$D48)</f>
        <v/>
      </c>
      <c r="CN48" s="141" t="str">
        <f aca="false">$CB48</f>
        <v/>
      </c>
      <c r="CO48" s="142" t="str">
        <f aca="false">$CA48</f>
        <v/>
      </c>
      <c r="CP48" s="140" t="str">
        <f aca="false">IF(ISBLANK($C48),"",$CD48)</f>
        <v/>
      </c>
      <c r="CQ48" s="143" t="str">
        <f aca="false">IF($CH48&gt;$CG$8,"",VLOOKUP($CH48,$CJ$9:$CP$508,7,FALSE()))</f>
        <v/>
      </c>
      <c r="CR48" s="144" t="str">
        <f aca="false">IF($CH48&gt;$CG$8,"",VLOOKUP($CH48,$CJ$9:$CP$508,2,FALSE()))</f>
        <v/>
      </c>
      <c r="CS48" s="144" t="str">
        <f aca="false">IF($CH48&gt;$CG$8,"",VLOOKUP($CH48,$CJ$9:$CP$508,3,FALSE()))</f>
        <v/>
      </c>
      <c r="CT48" s="144" t="str">
        <f aca="false">IF($CH48&gt;$CG$8,"",VLOOKUP($CH48,$CJ$9:$CP$508,4,FALSE()))</f>
        <v/>
      </c>
      <c r="CU48" s="144" t="str">
        <f aca="false">IF($CH48&gt;$CG$8,"",VLOOKUP($CH48,$CJ$9:$CP$508,5,FALSE()))</f>
        <v/>
      </c>
      <c r="CV48" s="145" t="str">
        <f aca="false">IF($CH48&gt;$CG$8,"",VLOOKUP($CH48,$CJ$9:$CP$508,6,FALSE()))</f>
        <v/>
      </c>
      <c r="CW48" s="71"/>
    </row>
    <row r="49" customFormat="false" ht="15.75" hidden="false" customHeight="false" outlineLevel="0" collapsed="false">
      <c r="A49" s="9"/>
      <c r="B49" s="150"/>
      <c r="C49" s="151"/>
      <c r="D49" s="152"/>
      <c r="E49" s="170"/>
      <c r="F49" s="154"/>
      <c r="G49" s="155"/>
      <c r="H49" s="171"/>
      <c r="I49" s="159"/>
      <c r="J49" s="120"/>
      <c r="K49" s="121"/>
      <c r="L49" s="122"/>
      <c r="M49" s="158"/>
      <c r="N49" s="159"/>
      <c r="O49" s="159"/>
      <c r="P49" s="120"/>
      <c r="Q49" s="122"/>
      <c r="R49" s="122"/>
      <c r="S49" s="158"/>
      <c r="T49" s="159"/>
      <c r="U49" s="126"/>
      <c r="V49" s="127"/>
      <c r="W49" s="127" t="str">
        <f aca="false">IF(ISBLANK($C49),"",IF(E49=Constants!$B$2,TRUE(),IF(E49=Constants!$B$3,FALSE(),TRUE())))</f>
        <v/>
      </c>
      <c r="X49" s="127" t="str">
        <f aca="false">IF(ISBLANK($C49),"",IF(F49=Constants!$B$2,TRUE(),IF(F49=Constants!$B$3,FALSE(),TRUE())))</f>
        <v/>
      </c>
      <c r="Y49" s="127" t="str">
        <f aca="false">IF(ISBLANK($C49),"",IF(G49=Constants!$B$2,TRUE(),IF(G49=Constants!$B$3,FALSE(),TRUE())))</f>
        <v/>
      </c>
      <c r="Z49" s="127" t="str">
        <f aca="false">IF(ISBLANK($C49),"",IF(H49=Constants!$B$2,TRUE(),IF(H49=Constants!$B$3,FALSE(),TRUE())))</f>
        <v/>
      </c>
      <c r="AA49" s="127" t="str">
        <f aca="false">IF(ISBLANK($C49),"",IF(I49=Constants!$B$2,TRUE(),IF(I49=Constants!$B$3,FALSE(),TRUE())))</f>
        <v/>
      </c>
      <c r="AB49" s="127" t="str">
        <f aca="false">IF(ISBLANK($C49),"",IF(J49=Constants!$B$4,TRUE(),IF(J49=Constants!$B$5,FALSE(),COUNTA(K49:M49)&gt;0)))</f>
        <v/>
      </c>
      <c r="AC49" s="128" t="str">
        <f aca="false">IF(ISBLANK($C49),"",IF(ISNUMBER(K49),IF(K49&gt;=0,K49,""),""))</f>
        <v/>
      </c>
      <c r="AD49" s="129" t="str">
        <f aca="false">IF(ISBLANK($C49),"",IF(ISNUMBER(L49),IF(L49&gt;=0,L49,""),""))</f>
        <v/>
      </c>
      <c r="AE49" s="127" t="str">
        <f aca="false">IF(ISBLANK($C49),"",IF(ISNUMBER(M49),IF(M49&gt;=0,MIN(M49,Constants!$B$22),""),""))</f>
        <v/>
      </c>
      <c r="AF49" s="127" t="str">
        <f aca="false">IF(ISBLANK($C49),"",IF(N49=Constants!$B$2,TRUE(),IF(N49=Constants!$B$3,FALSE(),TRUE())))</f>
        <v/>
      </c>
      <c r="AG49" s="127" t="str">
        <f aca="false">IF(ISBLANK($C49),"",IF(O49=Constants!$B$2,TRUE(),IF(O49=Constants!$B$3,FALSE(),TRUE())))</f>
        <v/>
      </c>
      <c r="AH49" s="127" t="str">
        <f aca="false">IF(ISBLANK($C49),"",IF(P49=Constants!$B$4,TRUE(),IF(P49=Constants!$B$5,FALSE(),COUNTA(Q49:S49)&gt;0)))</f>
        <v/>
      </c>
      <c r="AI49" s="128" t="str">
        <f aca="false">IF(ISBLANK($C49),"",IF(ISNUMBER(Q49),IF(Q49&gt;=0,Q49,""),""))</f>
        <v/>
      </c>
      <c r="AJ49" s="129" t="str">
        <f aca="false">IF(ISBLANK($C49),"",IF(ISNUMBER(R49),IF(R49&gt;=0,R49,""),""))</f>
        <v/>
      </c>
      <c r="AK49" s="127" t="str">
        <f aca="false">IF(ISBLANK($C49),"",IF(ISNUMBER(S49),IF(S49&gt;=0,MIN(S49,Constants!$B$22),""),""))</f>
        <v/>
      </c>
      <c r="AL49" s="127" t="str">
        <f aca="false">IF(ISBLANK($C49),"",IF(T49=Constants!$B$2,TRUE(),IF(T49=Constants!$B$3,FALSE(),FALSE())))</f>
        <v/>
      </c>
      <c r="AM49" s="126" t="str">
        <f aca="false">IF(ISBLANK($C49),"",AND($AB49,OR($AC49="",$AD49="",AND(NOT(ISBLANK($M49)),$AE49=""))))</f>
        <v/>
      </c>
      <c r="AN49" s="129" t="str">
        <f aca="false">IF($BD49&lt;&gt;Constants!$B$6,"",IF($AB49,Constants!$B$17*$AD49,Constants!$B$18))</f>
        <v/>
      </c>
      <c r="AO49" s="130" t="str">
        <f aca="false">IF($BD49&lt;&gt;Constants!$B$6,"",Constants!$B$19*IF($AB49,$AC49,0))</f>
        <v/>
      </c>
      <c r="AP49" s="130" t="str">
        <f aca="false">IF($BD49&lt;&gt;Constants!$B$6,"",IF(AND($AB49,ISNUMBER($AE49)),Constants!$B$20*(Constants!$B$21-$AE49),0))</f>
        <v/>
      </c>
      <c r="AQ49" s="130" t="str">
        <f aca="false">IF($BD49&lt;&gt;Constants!$B$6,"",IF($AA49,0,Constants!$B$12)+IF($Z49,0,Constants!$B$13)+IF($Y49,0,Constants!$B$14))</f>
        <v/>
      </c>
      <c r="AR49" s="131" t="str">
        <f aca="false">IF($BD49&lt;&gt;Constants!$B$6,"",Constants!$B$16+SUM($AN49:$AQ49))</f>
        <v/>
      </c>
      <c r="AS49" s="130" t="str">
        <f aca="false">IF($BD49&lt;&gt;Constants!$B$6,"",IF($AB49,$AD49,""))</f>
        <v/>
      </c>
      <c r="AT49" s="132" t="str">
        <f aca="false">IF($BD49&lt;&gt;Constants!$B$6,"",$AO49)</f>
        <v/>
      </c>
      <c r="AU49" s="127" t="str">
        <f aca="false">IF($BD49&lt;&gt;Constants!$B$6,"",IF(OR($BA49&lt;$AR49,AND($BA49=$AR49,OR(AND(ISNUMBER($BB49),OR(NOT(ISNUMBER($AS49)),$BB49&lt;$AS49)),AND(OR(AND($BB49="",$AS49=""),AND(ISNUMBER($BB49),ISNUMBER($AS49),$BB49=$AS49)),$BC49&lt;$AT49)))),"-&gt;","&lt;-"))</f>
        <v/>
      </c>
      <c r="AV49" s="126" t="str">
        <f aca="false">IF(ISBLANK($C49),"",AND($AH49,OR($AI49="",$AJ49="",AND(NOT(ISBLANK($S49)),$AK49=""))))</f>
        <v/>
      </c>
      <c r="AW49" s="129" t="str">
        <f aca="false">IF($BD49&lt;&gt;Constants!$B$6,"",IF($AH49,Constants!$B$17*$AJ49,Constants!$B$18))</f>
        <v/>
      </c>
      <c r="AX49" s="130" t="str">
        <f aca="false">IF($BD49&lt;&gt;Constants!$B$6,"",Constants!$B$19*IF($AH49,$AI49,0))</f>
        <v/>
      </c>
      <c r="AY49" s="130" t="str">
        <f aca="false">IF($BD49&lt;&gt;Constants!$B$6,"",IF(AND($AH49,ISNUMBER($AK49)),Constants!$B$20*(Constants!$B$21-$AK49),0))</f>
        <v/>
      </c>
      <c r="AZ49" s="130" t="str">
        <f aca="false">IF($BD49&lt;&gt;Constants!$B$6,"",IF($AG49,0,Constants!$B$12)+IF($AF49,0,Constants!$B$13)+IF($Y49,0,Constants!$B$14))</f>
        <v/>
      </c>
      <c r="BA49" s="131" t="str">
        <f aca="false">IF($BD49&lt;&gt;Constants!$B$6,"",Constants!$B$16+SUM($AW49:$AZ49))</f>
        <v/>
      </c>
      <c r="BB49" s="130" t="str">
        <f aca="false">IF($BD49&lt;&gt;Constants!$B$6,"",IF($AH49,$AJ49,""))</f>
        <v/>
      </c>
      <c r="BC49" s="132" t="str">
        <f aca="false">IF($BD49&lt;&gt;Constants!$B$6,"",$AX49)</f>
        <v/>
      </c>
      <c r="BD49" s="127" t="str">
        <f aca="false">IF(ISBLANK($C49),"",IF($AL49,Constants!$B$9,IF(COUNTA($E49:$T49)=0,Constants!$B$8,IF(NOT($X49),Constants!$B$7,IF(OR($AM49,$AV49),Constants!$B$10,Constants!$B$6)))))</f>
        <v/>
      </c>
      <c r="BE49" s="127" t="str">
        <f aca="false">IF(ISBLANK($C49),"",IF($BD49&lt;&gt;Constants!$B$6,$BD49,Constants!$B$11))</f>
        <v/>
      </c>
      <c r="BF49" s="130" t="str">
        <f aca="false">IF($BD49&lt;&gt;Constants!$B$6,"",IF($AU49="-&gt;",$BA49,$AR49))</f>
        <v/>
      </c>
      <c r="BG49" s="130" t="str">
        <f aca="false">IF($BD49&lt;&gt;Constants!$B$6,"",IF($W49,0,Constants!$B$15))</f>
        <v/>
      </c>
      <c r="BH49" s="130" t="str">
        <f aca="false">IF(ISBLANK($C49),"",IF($BD49&lt;&gt;Constants!$B$6,$BD49,SUM($BF49:$BG49)))</f>
        <v/>
      </c>
      <c r="BI49" s="127" t="str">
        <f aca="false">IF(ISBLANK($C49),"",IF($BD49&lt;&gt;Constants!$B$6,$BD49,RANK($BH49,$BH$9:$BH$508,1)))</f>
        <v/>
      </c>
      <c r="BJ49" s="130" t="str">
        <f aca="false">IF($BD49&lt;&gt;Constants!$B$6,"",IF($AU49="-&gt;",$BB49,$AS49))</f>
        <v/>
      </c>
      <c r="BK49" s="127" t="str">
        <f aca="false">IF(ISBLANK($C49),"",IF($BD49&lt;&gt;Constants!$B$6,$BD49,IF(ISNUMBER($BJ49),RANK($BJ49,$BJ$9:$BJ$508,1),COUNT($BJ$9:$BJ$508)+1)))</f>
        <v/>
      </c>
      <c r="BL49" s="130" t="str">
        <f aca="false">IF($BD49&lt;&gt;Constants!$B$6,"",IF($AU49="-&gt;",$BC49,$AT49))</f>
        <v/>
      </c>
      <c r="BM49" s="127" t="str">
        <f aca="false">IF(ISBLANK($C49),"",IF($BD49&lt;&gt;Constants!$B$6,$BD49,IF(ISNUMBER($BL49),RANK($BL49,$BL$9:$BL$508,1),COUNT($BL$9:$BL$508)+1)))</f>
        <v/>
      </c>
      <c r="BN49" s="130" t="str">
        <f aca="false">IF($BD49&lt;&gt;Constants!$B$6,"",IF($AU49="-&gt;",$AS49,$BB49))</f>
        <v/>
      </c>
      <c r="BO49" s="127" t="str">
        <f aca="false">IF(ISBLANK($C49),"",IF($BD49&lt;&gt;Constants!$B$6,$BD49,IF(ISNUMBER($BN49),RANK($BN49,$BN$9:$BN$508,1),COUNT($BN$9:$BN$508)+1)))</f>
        <v/>
      </c>
      <c r="BP49" s="130" t="str">
        <f aca="false">IF($BD49&lt;&gt;Constants!$B$6,"",IF($AU49="-&gt;",$AT49,$BC49))</f>
        <v/>
      </c>
      <c r="BQ49" s="127" t="str">
        <f aca="false">IF(ISBLANK($C49),"",IF($BD49&lt;&gt;Constants!$B$6,$BD49,IF(ISNUMBER($BP49),RANK($BP49,$BP$9:$BP$508,1),COUNT($BP$9:$BP$508)+1)))</f>
        <v/>
      </c>
      <c r="BR49" s="127" t="str">
        <f aca="false">IF(ISBLANK($C49),"",IF($BD49&lt;&gt;Constants!$B$6,$BD49,COUNTIFS($BI$9:$BI$508,"&lt;"&amp;$BI49)+COUNTIFS($BI$9:$BI$508,$BI49,$BK$9:$BK$508,"&lt;"&amp;$BK49)+COUNTIFS($BI$9:$BI$508,$BI49,$BK$9:$BK$508,$BK49,$BM$9:$BM$508,"&lt;"&amp;$BM49)+COUNTIFS($BI$9:$BI$508,$BI49,$BK$9:$BK$508,$BK49,$BM$9:$BM$508,$BM49,$BO$9:$BO$508,"&lt;"&amp;$BO49)+COUNTIFS($BI$9:$BI$508,$BI49,$BK$9:$BK$508,$BK49,$BM$9:$BM$508,$BM49,$BO$9:$BO$508,$BO49,$BQ$9:$BQ$508,"&lt;"&amp;$BQ49)+1))</f>
        <v/>
      </c>
      <c r="BS49" s="127" t="str">
        <f aca="false">IF(ISBLANK($C49),"",IF($BD49&lt;&gt;Constants!$B$6,$BD49,$BI49-$BR49))</f>
        <v/>
      </c>
      <c r="BT49" s="133"/>
      <c r="BU49" s="134"/>
      <c r="BV49" s="134" t="str">
        <f aca="false">IF(ISBLANK($C49),"",IF($BD49&lt;&gt;Constants!$B$6,"",IF($AU49="-&gt;",2,1)))</f>
        <v/>
      </c>
      <c r="BW49" s="135" t="str">
        <f aca="false">IF(ISBLANK($C49),"",IF($BD49&lt;&gt;Constants!$B$6,"",IF($AU49="-&gt;",$AW49,$AN49)))</f>
        <v/>
      </c>
      <c r="BX49" s="135" t="str">
        <f aca="false">IF(ISBLANK($C49),"",IF($BD49&lt;&gt;Constants!$B$6,"",IF($AU49="-&gt;",$AX49,$AO49)))</f>
        <v/>
      </c>
      <c r="BY49" s="135" t="str">
        <f aca="false">IF(ISBLANK($C49),"",IF($BD49&lt;&gt;Constants!$B$6,"",IF($AU49="-&gt;",$AY49,$AP49)))</f>
        <v/>
      </c>
      <c r="BZ49" s="135" t="str">
        <f aca="false">IF(ISBLANK($C49),"",IF($BD49&lt;&gt;Constants!$B$6,"",IF($AU49="-&gt;",$AZ49,$AQ49)+$BG49))</f>
        <v/>
      </c>
      <c r="CA49" s="136" t="str">
        <f aca="false">IF(ISBLANK($C49),"",IF($BD49&lt;&gt;Constants!$B$6,$BD49,$BH49))</f>
        <v/>
      </c>
      <c r="CB49" s="137" t="str">
        <f aca="false">IF(ISBLANK($C49),"",$BE49)</f>
        <v/>
      </c>
      <c r="CC49" s="138" t="str">
        <f aca="false">IF(ISBLANK($C49),"",$BS49)</f>
        <v/>
      </c>
      <c r="CD49" s="138" t="str">
        <f aca="false">IF(ISBLANK($C49),"",$BR49)</f>
        <v/>
      </c>
      <c r="CE49" s="139" t="str">
        <f aca="false">IF(ISBLANK($C49),"",IF($CD49=Constants!$B$9,COUNTA($C$9:$C$508)+2,IF($CD49=Constants!$B$8,COUNTA($C$9:$C$508)+1,IF($CD49=Constants!$B$7,COUNTA($C$9:$C$508),$CD49))))</f>
        <v/>
      </c>
      <c r="CF49" s="9"/>
      <c r="CG49" s="140" t="n">
        <f aca="false">IF(OR(ISNUMBER($CD49),$CD49=Constants!$B$9,$CD49=Constants!$B$7,$CD49=Constants!$B$8),1,0)</f>
        <v>0</v>
      </c>
      <c r="CH49" s="140" t="n">
        <v>41</v>
      </c>
      <c r="CI49" s="140" t="str">
        <f aca="false">IF(ISBLANK($C49),"",IF(ISNUMBER($CE49),$CE49+ROW($B49)/1000,""))</f>
        <v/>
      </c>
      <c r="CJ49" s="140" t="str">
        <f aca="false">IF(ISNUMBER($CI49),RANK($CI49,$CI$9:$CI$508,1),"")</f>
        <v/>
      </c>
      <c r="CK49" s="140" t="str">
        <f aca="false">IF(ISBLANK($C49),"",$B49)</f>
        <v/>
      </c>
      <c r="CL49" s="140" t="str">
        <f aca="false">IF(ISBLANK($C49),"",$C49)</f>
        <v/>
      </c>
      <c r="CM49" s="140" t="str">
        <f aca="false">IF(ISBLANK($C49),"",$D49)</f>
        <v/>
      </c>
      <c r="CN49" s="141" t="str">
        <f aca="false">$CB49</f>
        <v/>
      </c>
      <c r="CO49" s="142" t="str">
        <f aca="false">$CA49</f>
        <v/>
      </c>
      <c r="CP49" s="140" t="str">
        <f aca="false">IF(ISBLANK($C49),"",$CD49)</f>
        <v/>
      </c>
      <c r="CQ49" s="143" t="str">
        <f aca="false">IF($CH49&gt;$CG$8,"",VLOOKUP($CH49,$CJ$9:$CP$508,7,FALSE()))</f>
        <v/>
      </c>
      <c r="CR49" s="144" t="str">
        <f aca="false">IF($CH49&gt;$CG$8,"",VLOOKUP($CH49,$CJ$9:$CP$508,2,FALSE()))</f>
        <v/>
      </c>
      <c r="CS49" s="144" t="str">
        <f aca="false">IF($CH49&gt;$CG$8,"",VLOOKUP($CH49,$CJ$9:$CP$508,3,FALSE()))</f>
        <v/>
      </c>
      <c r="CT49" s="144" t="str">
        <f aca="false">IF($CH49&gt;$CG$8,"",VLOOKUP($CH49,$CJ$9:$CP$508,4,FALSE()))</f>
        <v/>
      </c>
      <c r="CU49" s="144" t="str">
        <f aca="false">IF($CH49&gt;$CG$8,"",VLOOKUP($CH49,$CJ$9:$CP$508,5,FALSE()))</f>
        <v/>
      </c>
      <c r="CV49" s="145" t="str">
        <f aca="false">IF($CH49&gt;$CG$8,"",VLOOKUP($CH49,$CJ$9:$CP$508,6,FALSE()))</f>
        <v/>
      </c>
      <c r="CW49" s="71"/>
    </row>
    <row r="50" customFormat="false" ht="15.75" hidden="false" customHeight="false" outlineLevel="0" collapsed="false">
      <c r="A50" s="9"/>
      <c r="B50" s="150"/>
      <c r="C50" s="151"/>
      <c r="D50" s="152"/>
      <c r="E50" s="170"/>
      <c r="F50" s="154"/>
      <c r="G50" s="155"/>
      <c r="H50" s="171"/>
      <c r="I50" s="159"/>
      <c r="J50" s="120"/>
      <c r="K50" s="121"/>
      <c r="L50" s="122"/>
      <c r="M50" s="158"/>
      <c r="N50" s="159"/>
      <c r="O50" s="159"/>
      <c r="P50" s="120"/>
      <c r="Q50" s="122"/>
      <c r="R50" s="122"/>
      <c r="S50" s="158"/>
      <c r="T50" s="159"/>
      <c r="U50" s="126"/>
      <c r="V50" s="127"/>
      <c r="W50" s="127" t="str">
        <f aca="false">IF(ISBLANK($C50),"",IF(E50=Constants!$B$2,TRUE(),IF(E50=Constants!$B$3,FALSE(),TRUE())))</f>
        <v/>
      </c>
      <c r="X50" s="127" t="str">
        <f aca="false">IF(ISBLANK($C50),"",IF(F50=Constants!$B$2,TRUE(),IF(F50=Constants!$B$3,FALSE(),TRUE())))</f>
        <v/>
      </c>
      <c r="Y50" s="127" t="str">
        <f aca="false">IF(ISBLANK($C50),"",IF(G50=Constants!$B$2,TRUE(),IF(G50=Constants!$B$3,FALSE(),TRUE())))</f>
        <v/>
      </c>
      <c r="Z50" s="127" t="str">
        <f aca="false">IF(ISBLANK($C50),"",IF(H50=Constants!$B$2,TRUE(),IF(H50=Constants!$B$3,FALSE(),TRUE())))</f>
        <v/>
      </c>
      <c r="AA50" s="127" t="str">
        <f aca="false">IF(ISBLANK($C50),"",IF(I50=Constants!$B$2,TRUE(),IF(I50=Constants!$B$3,FALSE(),TRUE())))</f>
        <v/>
      </c>
      <c r="AB50" s="127" t="str">
        <f aca="false">IF(ISBLANK($C50),"",IF(J50=Constants!$B$4,TRUE(),IF(J50=Constants!$B$5,FALSE(),COUNTA(K50:M50)&gt;0)))</f>
        <v/>
      </c>
      <c r="AC50" s="128" t="str">
        <f aca="false">IF(ISBLANK($C50),"",IF(ISNUMBER(K50),IF(K50&gt;=0,K50,""),""))</f>
        <v/>
      </c>
      <c r="AD50" s="129" t="str">
        <f aca="false">IF(ISBLANK($C50),"",IF(ISNUMBER(L50),IF(L50&gt;=0,L50,""),""))</f>
        <v/>
      </c>
      <c r="AE50" s="127" t="str">
        <f aca="false">IF(ISBLANK($C50),"",IF(ISNUMBER(M50),IF(M50&gt;=0,MIN(M50,Constants!$B$22),""),""))</f>
        <v/>
      </c>
      <c r="AF50" s="127" t="str">
        <f aca="false">IF(ISBLANK($C50),"",IF(N50=Constants!$B$2,TRUE(),IF(N50=Constants!$B$3,FALSE(),TRUE())))</f>
        <v/>
      </c>
      <c r="AG50" s="127" t="str">
        <f aca="false">IF(ISBLANK($C50),"",IF(O50=Constants!$B$2,TRUE(),IF(O50=Constants!$B$3,FALSE(),TRUE())))</f>
        <v/>
      </c>
      <c r="AH50" s="127" t="str">
        <f aca="false">IF(ISBLANK($C50),"",IF(P50=Constants!$B$4,TRUE(),IF(P50=Constants!$B$5,FALSE(),COUNTA(Q50:S50)&gt;0)))</f>
        <v/>
      </c>
      <c r="AI50" s="128" t="str">
        <f aca="false">IF(ISBLANK($C50),"",IF(ISNUMBER(Q50),IF(Q50&gt;=0,Q50,""),""))</f>
        <v/>
      </c>
      <c r="AJ50" s="129" t="str">
        <f aca="false">IF(ISBLANK($C50),"",IF(ISNUMBER(R50),IF(R50&gt;=0,R50,""),""))</f>
        <v/>
      </c>
      <c r="AK50" s="127" t="str">
        <f aca="false">IF(ISBLANK($C50),"",IF(ISNUMBER(S50),IF(S50&gt;=0,MIN(S50,Constants!$B$22),""),""))</f>
        <v/>
      </c>
      <c r="AL50" s="127" t="str">
        <f aca="false">IF(ISBLANK($C50),"",IF(T50=Constants!$B$2,TRUE(),IF(T50=Constants!$B$3,FALSE(),FALSE())))</f>
        <v/>
      </c>
      <c r="AM50" s="126" t="str">
        <f aca="false">IF(ISBLANK($C50),"",AND($AB50,OR($AC50="",$AD50="",AND(NOT(ISBLANK($M50)),$AE50=""))))</f>
        <v/>
      </c>
      <c r="AN50" s="129" t="str">
        <f aca="false">IF($BD50&lt;&gt;Constants!$B$6,"",IF($AB50,Constants!$B$17*$AD50,Constants!$B$18))</f>
        <v/>
      </c>
      <c r="AO50" s="130" t="str">
        <f aca="false">IF($BD50&lt;&gt;Constants!$B$6,"",Constants!$B$19*IF($AB50,$AC50,0))</f>
        <v/>
      </c>
      <c r="AP50" s="130" t="str">
        <f aca="false">IF($BD50&lt;&gt;Constants!$B$6,"",IF(AND($AB50,ISNUMBER($AE50)),Constants!$B$20*(Constants!$B$21-$AE50),0))</f>
        <v/>
      </c>
      <c r="AQ50" s="130" t="str">
        <f aca="false">IF($BD50&lt;&gt;Constants!$B$6,"",IF($AA50,0,Constants!$B$12)+IF($Z50,0,Constants!$B$13)+IF($Y50,0,Constants!$B$14))</f>
        <v/>
      </c>
      <c r="AR50" s="131" t="str">
        <f aca="false">IF($BD50&lt;&gt;Constants!$B$6,"",Constants!$B$16+SUM($AN50:$AQ50))</f>
        <v/>
      </c>
      <c r="AS50" s="130" t="str">
        <f aca="false">IF($BD50&lt;&gt;Constants!$B$6,"",IF($AB50,$AD50,""))</f>
        <v/>
      </c>
      <c r="AT50" s="132" t="str">
        <f aca="false">IF($BD50&lt;&gt;Constants!$B$6,"",$AO50)</f>
        <v/>
      </c>
      <c r="AU50" s="127" t="str">
        <f aca="false">IF($BD50&lt;&gt;Constants!$B$6,"",IF(OR($BA50&lt;$AR50,AND($BA50=$AR50,OR(AND(ISNUMBER($BB50),OR(NOT(ISNUMBER($AS50)),$BB50&lt;$AS50)),AND(OR(AND($BB50="",$AS50=""),AND(ISNUMBER($BB50),ISNUMBER($AS50),$BB50=$AS50)),$BC50&lt;$AT50)))),"-&gt;","&lt;-"))</f>
        <v/>
      </c>
      <c r="AV50" s="126" t="str">
        <f aca="false">IF(ISBLANK($C50),"",AND($AH50,OR($AI50="",$AJ50="",AND(NOT(ISBLANK($S50)),$AK50=""))))</f>
        <v/>
      </c>
      <c r="AW50" s="129" t="str">
        <f aca="false">IF($BD50&lt;&gt;Constants!$B$6,"",IF($AH50,Constants!$B$17*$AJ50,Constants!$B$18))</f>
        <v/>
      </c>
      <c r="AX50" s="130" t="str">
        <f aca="false">IF($BD50&lt;&gt;Constants!$B$6,"",Constants!$B$19*IF($AH50,$AI50,0))</f>
        <v/>
      </c>
      <c r="AY50" s="130" t="str">
        <f aca="false">IF($BD50&lt;&gt;Constants!$B$6,"",IF(AND($AH50,ISNUMBER($AK50)),Constants!$B$20*(Constants!$B$21-$AK50),0))</f>
        <v/>
      </c>
      <c r="AZ50" s="130" t="str">
        <f aca="false">IF($BD50&lt;&gt;Constants!$B$6,"",IF($AG50,0,Constants!$B$12)+IF($AF50,0,Constants!$B$13)+IF($Y50,0,Constants!$B$14))</f>
        <v/>
      </c>
      <c r="BA50" s="131" t="str">
        <f aca="false">IF($BD50&lt;&gt;Constants!$B$6,"",Constants!$B$16+SUM($AW50:$AZ50))</f>
        <v/>
      </c>
      <c r="BB50" s="130" t="str">
        <f aca="false">IF($BD50&lt;&gt;Constants!$B$6,"",IF($AH50,$AJ50,""))</f>
        <v/>
      </c>
      <c r="BC50" s="132" t="str">
        <f aca="false">IF($BD50&lt;&gt;Constants!$B$6,"",$AX50)</f>
        <v/>
      </c>
      <c r="BD50" s="127" t="str">
        <f aca="false">IF(ISBLANK($C50),"",IF($AL50,Constants!$B$9,IF(COUNTA($E50:$T50)=0,Constants!$B$8,IF(NOT($X50),Constants!$B$7,IF(OR($AM50,$AV50),Constants!$B$10,Constants!$B$6)))))</f>
        <v/>
      </c>
      <c r="BE50" s="127" t="str">
        <f aca="false">IF(ISBLANK($C50),"",IF($BD50&lt;&gt;Constants!$B$6,$BD50,Constants!$B$11))</f>
        <v/>
      </c>
      <c r="BF50" s="130" t="str">
        <f aca="false">IF($BD50&lt;&gt;Constants!$B$6,"",IF($AU50="-&gt;",$BA50,$AR50))</f>
        <v/>
      </c>
      <c r="BG50" s="130" t="str">
        <f aca="false">IF($BD50&lt;&gt;Constants!$B$6,"",IF($W50,0,Constants!$B$15))</f>
        <v/>
      </c>
      <c r="BH50" s="130" t="str">
        <f aca="false">IF(ISBLANK($C50),"",IF($BD50&lt;&gt;Constants!$B$6,$BD50,SUM($BF50:$BG50)))</f>
        <v/>
      </c>
      <c r="BI50" s="127" t="str">
        <f aca="false">IF(ISBLANK($C50),"",IF($BD50&lt;&gt;Constants!$B$6,$BD50,RANK($BH50,$BH$9:$BH$508,1)))</f>
        <v/>
      </c>
      <c r="BJ50" s="130" t="str">
        <f aca="false">IF($BD50&lt;&gt;Constants!$B$6,"",IF($AU50="-&gt;",$BB50,$AS50))</f>
        <v/>
      </c>
      <c r="BK50" s="127" t="str">
        <f aca="false">IF(ISBLANK($C50),"",IF($BD50&lt;&gt;Constants!$B$6,$BD50,IF(ISNUMBER($BJ50),RANK($BJ50,$BJ$9:$BJ$508,1),COUNT($BJ$9:$BJ$508)+1)))</f>
        <v/>
      </c>
      <c r="BL50" s="130" t="str">
        <f aca="false">IF($BD50&lt;&gt;Constants!$B$6,"",IF($AU50="-&gt;",$BC50,$AT50))</f>
        <v/>
      </c>
      <c r="BM50" s="127" t="str">
        <f aca="false">IF(ISBLANK($C50),"",IF($BD50&lt;&gt;Constants!$B$6,$BD50,IF(ISNUMBER($BL50),RANK($BL50,$BL$9:$BL$508,1),COUNT($BL$9:$BL$508)+1)))</f>
        <v/>
      </c>
      <c r="BN50" s="130" t="str">
        <f aca="false">IF($BD50&lt;&gt;Constants!$B$6,"",IF($AU50="-&gt;",$AS50,$BB50))</f>
        <v/>
      </c>
      <c r="BO50" s="127" t="str">
        <f aca="false">IF(ISBLANK($C50),"",IF($BD50&lt;&gt;Constants!$B$6,$BD50,IF(ISNUMBER($BN50),RANK($BN50,$BN$9:$BN$508,1),COUNT($BN$9:$BN$508)+1)))</f>
        <v/>
      </c>
      <c r="BP50" s="130" t="str">
        <f aca="false">IF($BD50&lt;&gt;Constants!$B$6,"",IF($AU50="-&gt;",$AT50,$BC50))</f>
        <v/>
      </c>
      <c r="BQ50" s="127" t="str">
        <f aca="false">IF(ISBLANK($C50),"",IF($BD50&lt;&gt;Constants!$B$6,$BD50,IF(ISNUMBER($BP50),RANK($BP50,$BP$9:$BP$508,1),COUNT($BP$9:$BP$508)+1)))</f>
        <v/>
      </c>
      <c r="BR50" s="127" t="str">
        <f aca="false">IF(ISBLANK($C50),"",IF($BD50&lt;&gt;Constants!$B$6,$BD50,COUNTIFS($BI$9:$BI$508,"&lt;"&amp;$BI50)+COUNTIFS($BI$9:$BI$508,$BI50,$BK$9:$BK$508,"&lt;"&amp;$BK50)+COUNTIFS($BI$9:$BI$508,$BI50,$BK$9:$BK$508,$BK50,$BM$9:$BM$508,"&lt;"&amp;$BM50)+COUNTIFS($BI$9:$BI$508,$BI50,$BK$9:$BK$508,$BK50,$BM$9:$BM$508,$BM50,$BO$9:$BO$508,"&lt;"&amp;$BO50)+COUNTIFS($BI$9:$BI$508,$BI50,$BK$9:$BK$508,$BK50,$BM$9:$BM$508,$BM50,$BO$9:$BO$508,$BO50,$BQ$9:$BQ$508,"&lt;"&amp;$BQ50)+1))</f>
        <v/>
      </c>
      <c r="BS50" s="127" t="str">
        <f aca="false">IF(ISBLANK($C50),"",IF($BD50&lt;&gt;Constants!$B$6,$BD50,$BI50-$BR50))</f>
        <v/>
      </c>
      <c r="BT50" s="133"/>
      <c r="BU50" s="134"/>
      <c r="BV50" s="134" t="str">
        <f aca="false">IF(ISBLANK($C50),"",IF($BD50&lt;&gt;Constants!$B$6,"",IF($AU50="-&gt;",2,1)))</f>
        <v/>
      </c>
      <c r="BW50" s="135" t="str">
        <f aca="false">IF(ISBLANK($C50),"",IF($BD50&lt;&gt;Constants!$B$6,"",IF($AU50="-&gt;",$AW50,$AN50)))</f>
        <v/>
      </c>
      <c r="BX50" s="135" t="str">
        <f aca="false">IF(ISBLANK($C50),"",IF($BD50&lt;&gt;Constants!$B$6,"",IF($AU50="-&gt;",$AX50,$AO50)))</f>
        <v/>
      </c>
      <c r="BY50" s="135" t="str">
        <f aca="false">IF(ISBLANK($C50),"",IF($BD50&lt;&gt;Constants!$B$6,"",IF($AU50="-&gt;",$AY50,$AP50)))</f>
        <v/>
      </c>
      <c r="BZ50" s="135" t="str">
        <f aca="false">IF(ISBLANK($C50),"",IF($BD50&lt;&gt;Constants!$B$6,"",IF($AU50="-&gt;",$AZ50,$AQ50)+$BG50))</f>
        <v/>
      </c>
      <c r="CA50" s="136" t="str">
        <f aca="false">IF(ISBLANK($C50),"",IF($BD50&lt;&gt;Constants!$B$6,$BD50,$BH50))</f>
        <v/>
      </c>
      <c r="CB50" s="137" t="str">
        <f aca="false">IF(ISBLANK($C50),"",$BE50)</f>
        <v/>
      </c>
      <c r="CC50" s="138" t="str">
        <f aca="false">IF(ISBLANK($C50),"",$BS50)</f>
        <v/>
      </c>
      <c r="CD50" s="138" t="str">
        <f aca="false">IF(ISBLANK($C50),"",$BR50)</f>
        <v/>
      </c>
      <c r="CE50" s="139" t="str">
        <f aca="false">IF(ISBLANK($C50),"",IF($CD50=Constants!$B$9,COUNTA($C$9:$C$508)+2,IF($CD50=Constants!$B$8,COUNTA($C$9:$C$508)+1,IF($CD50=Constants!$B$7,COUNTA($C$9:$C$508),$CD50))))</f>
        <v/>
      </c>
      <c r="CF50" s="9"/>
      <c r="CG50" s="140" t="n">
        <f aca="false">IF(OR(ISNUMBER($CD50),$CD50=Constants!$B$9,$CD50=Constants!$B$7,$CD50=Constants!$B$8),1,0)</f>
        <v>0</v>
      </c>
      <c r="CH50" s="140" t="n">
        <v>42</v>
      </c>
      <c r="CI50" s="140" t="str">
        <f aca="false">IF(ISBLANK($C50),"",IF(ISNUMBER($CE50),$CE50+ROW($B50)/1000,""))</f>
        <v/>
      </c>
      <c r="CJ50" s="140" t="str">
        <f aca="false">IF(ISNUMBER($CI50),RANK($CI50,$CI$9:$CI$508,1),"")</f>
        <v/>
      </c>
      <c r="CK50" s="140" t="str">
        <f aca="false">IF(ISBLANK($C50),"",$B50)</f>
        <v/>
      </c>
      <c r="CL50" s="140" t="str">
        <f aca="false">IF(ISBLANK($C50),"",$C50)</f>
        <v/>
      </c>
      <c r="CM50" s="140" t="str">
        <f aca="false">IF(ISBLANK($C50),"",$D50)</f>
        <v/>
      </c>
      <c r="CN50" s="141" t="str">
        <f aca="false">$CB50</f>
        <v/>
      </c>
      <c r="CO50" s="142" t="str">
        <f aca="false">$CA50</f>
        <v/>
      </c>
      <c r="CP50" s="140" t="str">
        <f aca="false">IF(ISBLANK($C50),"",$CD50)</f>
        <v/>
      </c>
      <c r="CQ50" s="143" t="str">
        <f aca="false">IF($CH50&gt;$CG$8,"",VLOOKUP($CH50,$CJ$9:$CP$508,7,FALSE()))</f>
        <v/>
      </c>
      <c r="CR50" s="144" t="str">
        <f aca="false">IF($CH50&gt;$CG$8,"",VLOOKUP($CH50,$CJ$9:$CP$508,2,FALSE()))</f>
        <v/>
      </c>
      <c r="CS50" s="144" t="str">
        <f aca="false">IF($CH50&gt;$CG$8,"",VLOOKUP($CH50,$CJ$9:$CP$508,3,FALSE()))</f>
        <v/>
      </c>
      <c r="CT50" s="144" t="str">
        <f aca="false">IF($CH50&gt;$CG$8,"",VLOOKUP($CH50,$CJ$9:$CP$508,4,FALSE()))</f>
        <v/>
      </c>
      <c r="CU50" s="144" t="str">
        <f aca="false">IF($CH50&gt;$CG$8,"",VLOOKUP($CH50,$CJ$9:$CP$508,5,FALSE()))</f>
        <v/>
      </c>
      <c r="CV50" s="145" t="str">
        <f aca="false">IF($CH50&gt;$CG$8,"",VLOOKUP($CH50,$CJ$9:$CP$508,6,FALSE()))</f>
        <v/>
      </c>
      <c r="CW50" s="71"/>
    </row>
    <row r="51" customFormat="false" ht="15.75" hidden="false" customHeight="false" outlineLevel="0" collapsed="false">
      <c r="A51" s="9"/>
      <c r="B51" s="72"/>
      <c r="C51" s="73"/>
      <c r="D51" s="160"/>
      <c r="E51" s="168"/>
      <c r="F51" s="162"/>
      <c r="G51" s="163"/>
      <c r="H51" s="169"/>
      <c r="I51" s="167"/>
      <c r="J51" s="80"/>
      <c r="K51" s="81"/>
      <c r="L51" s="82"/>
      <c r="M51" s="166"/>
      <c r="N51" s="167"/>
      <c r="O51" s="167"/>
      <c r="P51" s="80"/>
      <c r="Q51" s="82"/>
      <c r="R51" s="82"/>
      <c r="S51" s="166"/>
      <c r="T51" s="167"/>
      <c r="U51" s="86"/>
      <c r="V51" s="87"/>
      <c r="W51" s="87" t="str">
        <f aca="false">IF(ISBLANK($C51),"",IF(E51=Constants!$B$2,TRUE(),IF(E51=Constants!$B$3,FALSE(),TRUE())))</f>
        <v/>
      </c>
      <c r="X51" s="87" t="str">
        <f aca="false">IF(ISBLANK($C51),"",IF(F51=Constants!$B$2,TRUE(),IF(F51=Constants!$B$3,FALSE(),TRUE())))</f>
        <v/>
      </c>
      <c r="Y51" s="87" t="str">
        <f aca="false">IF(ISBLANK($C51),"",IF(G51=Constants!$B$2,TRUE(),IF(G51=Constants!$B$3,FALSE(),TRUE())))</f>
        <v/>
      </c>
      <c r="Z51" s="87" t="str">
        <f aca="false">IF(ISBLANK($C51),"",IF(H51=Constants!$B$2,TRUE(),IF(H51=Constants!$B$3,FALSE(),TRUE())))</f>
        <v/>
      </c>
      <c r="AA51" s="87" t="str">
        <f aca="false">IF(ISBLANK($C51),"",IF(I51=Constants!$B$2,TRUE(),IF(I51=Constants!$B$3,FALSE(),TRUE())))</f>
        <v/>
      </c>
      <c r="AB51" s="87" t="str">
        <f aca="false">IF(ISBLANK($C51),"",IF(J51=Constants!$B$4,TRUE(),IF(J51=Constants!$B$5,FALSE(),COUNTA(K51:M51)&gt;0)))</f>
        <v/>
      </c>
      <c r="AC51" s="88" t="str">
        <f aca="false">IF(ISBLANK($C51),"",IF(ISNUMBER(K51),IF(K51&gt;=0,K51,""),""))</f>
        <v/>
      </c>
      <c r="AD51" s="89" t="str">
        <f aca="false">IF(ISBLANK($C51),"",IF(ISNUMBER(L51),IF(L51&gt;=0,L51,""),""))</f>
        <v/>
      </c>
      <c r="AE51" s="87" t="str">
        <f aca="false">IF(ISBLANK($C51),"",IF(ISNUMBER(M51),IF(M51&gt;=0,MIN(M51,Constants!$B$22),""),""))</f>
        <v/>
      </c>
      <c r="AF51" s="87" t="str">
        <f aca="false">IF(ISBLANK($C51),"",IF(N51=Constants!$B$2,TRUE(),IF(N51=Constants!$B$3,FALSE(),TRUE())))</f>
        <v/>
      </c>
      <c r="AG51" s="87" t="str">
        <f aca="false">IF(ISBLANK($C51),"",IF(O51=Constants!$B$2,TRUE(),IF(O51=Constants!$B$3,FALSE(),TRUE())))</f>
        <v/>
      </c>
      <c r="AH51" s="87" t="str">
        <f aca="false">IF(ISBLANK($C51),"",IF(P51=Constants!$B$4,TRUE(),IF(P51=Constants!$B$5,FALSE(),COUNTA(Q51:S51)&gt;0)))</f>
        <v/>
      </c>
      <c r="AI51" s="88" t="str">
        <f aca="false">IF(ISBLANK($C51),"",IF(ISNUMBER(Q51),IF(Q51&gt;=0,Q51,""),""))</f>
        <v/>
      </c>
      <c r="AJ51" s="89" t="str">
        <f aca="false">IF(ISBLANK($C51),"",IF(ISNUMBER(R51),IF(R51&gt;=0,R51,""),""))</f>
        <v/>
      </c>
      <c r="AK51" s="87" t="str">
        <f aca="false">IF(ISBLANK($C51),"",IF(ISNUMBER(S51),IF(S51&gt;=0,MIN(S51,Constants!$B$22),""),""))</f>
        <v/>
      </c>
      <c r="AL51" s="87" t="str">
        <f aca="false">IF(ISBLANK($C51),"",IF(T51=Constants!$B$2,TRUE(),IF(T51=Constants!$B$3,FALSE(),FALSE())))</f>
        <v/>
      </c>
      <c r="AM51" s="86" t="str">
        <f aca="false">IF(ISBLANK($C51),"",AND($AB51,OR($AC51="",$AD51="",AND(NOT(ISBLANK($M51)),$AE51=""))))</f>
        <v/>
      </c>
      <c r="AN51" s="89" t="str">
        <f aca="false">IF($BD51&lt;&gt;Constants!$B$6,"",IF($AB51,Constants!$B$17*$AD51,Constants!$B$18))</f>
        <v/>
      </c>
      <c r="AO51" s="91" t="str">
        <f aca="false">IF($BD51&lt;&gt;Constants!$B$6,"",Constants!$B$19*IF($AB51,$AC51,0))</f>
        <v/>
      </c>
      <c r="AP51" s="91" t="str">
        <f aca="false">IF($BD51&lt;&gt;Constants!$B$6,"",IF(AND($AB51,ISNUMBER($AE51)),Constants!$B$20*(Constants!$B$21-$AE51),0))</f>
        <v/>
      </c>
      <c r="AQ51" s="91" t="str">
        <f aca="false">IF($BD51&lt;&gt;Constants!$B$6,"",IF($AA51,0,Constants!$B$12)+IF($Z51,0,Constants!$B$13)+IF($Y51,0,Constants!$B$14))</f>
        <v/>
      </c>
      <c r="AR51" s="92" t="str">
        <f aca="false">IF($BD51&lt;&gt;Constants!$B$6,"",Constants!$B$16+SUM($AN51:$AQ51))</f>
        <v/>
      </c>
      <c r="AS51" s="91" t="str">
        <f aca="false">IF($BD51&lt;&gt;Constants!$B$6,"",IF($AB51,$AD51,""))</f>
        <v/>
      </c>
      <c r="AT51" s="93" t="str">
        <f aca="false">IF($BD51&lt;&gt;Constants!$B$6,"",$AO51)</f>
        <v/>
      </c>
      <c r="AU51" s="87" t="str">
        <f aca="false">IF($BD51&lt;&gt;Constants!$B$6,"",IF(OR($BA51&lt;$AR51,AND($BA51=$AR51,OR(AND(ISNUMBER($BB51),OR(NOT(ISNUMBER($AS51)),$BB51&lt;$AS51)),AND(OR(AND($BB51="",$AS51=""),AND(ISNUMBER($BB51),ISNUMBER($AS51),$BB51=$AS51)),$BC51&lt;$AT51)))),"-&gt;","&lt;-"))</f>
        <v/>
      </c>
      <c r="AV51" s="86" t="str">
        <f aca="false">IF(ISBLANK($C51),"",AND($AH51,OR($AI51="",$AJ51="",AND(NOT(ISBLANK($S51)),$AK51=""))))</f>
        <v/>
      </c>
      <c r="AW51" s="89" t="str">
        <f aca="false">IF($BD51&lt;&gt;Constants!$B$6,"",IF($AH51,Constants!$B$17*$AJ51,Constants!$B$18))</f>
        <v/>
      </c>
      <c r="AX51" s="91" t="str">
        <f aca="false">IF($BD51&lt;&gt;Constants!$B$6,"",Constants!$B$19*IF($AH51,$AI51,0))</f>
        <v/>
      </c>
      <c r="AY51" s="91" t="str">
        <f aca="false">IF($BD51&lt;&gt;Constants!$B$6,"",IF(AND($AH51,ISNUMBER($AK51)),Constants!$B$20*(Constants!$B$21-$AK51),0))</f>
        <v/>
      </c>
      <c r="AZ51" s="91" t="str">
        <f aca="false">IF($BD51&lt;&gt;Constants!$B$6,"",IF($AG51,0,Constants!$B$12)+IF($AF51,0,Constants!$B$13)+IF($Y51,0,Constants!$B$14))</f>
        <v/>
      </c>
      <c r="BA51" s="92" t="str">
        <f aca="false">IF($BD51&lt;&gt;Constants!$B$6,"",Constants!$B$16+SUM($AW51:$AZ51))</f>
        <v/>
      </c>
      <c r="BB51" s="91" t="str">
        <f aca="false">IF($BD51&lt;&gt;Constants!$B$6,"",IF($AH51,$AJ51,""))</f>
        <v/>
      </c>
      <c r="BC51" s="93" t="str">
        <f aca="false">IF($BD51&lt;&gt;Constants!$B$6,"",$AX51)</f>
        <v/>
      </c>
      <c r="BD51" s="87" t="str">
        <f aca="false">IF(ISBLANK($C51),"",IF($AL51,Constants!$B$9,IF(COUNTA($E51:$T51)=0,Constants!$B$8,IF(NOT($X51),Constants!$B$7,IF(OR($AM51,$AV51),Constants!$B$10,Constants!$B$6)))))</f>
        <v/>
      </c>
      <c r="BE51" s="87" t="str">
        <f aca="false">IF(ISBLANK($C51),"",IF($BD51&lt;&gt;Constants!$B$6,$BD51,Constants!$B$11))</f>
        <v/>
      </c>
      <c r="BF51" s="91" t="str">
        <f aca="false">IF($BD51&lt;&gt;Constants!$B$6,"",IF($AU51="-&gt;",$BA51,$AR51))</f>
        <v/>
      </c>
      <c r="BG51" s="91" t="str">
        <f aca="false">IF($BD51&lt;&gt;Constants!$B$6,"",IF($W51,0,Constants!$B$15))</f>
        <v/>
      </c>
      <c r="BH51" s="91" t="str">
        <f aca="false">IF(ISBLANK($C51),"",IF($BD51&lt;&gt;Constants!$B$6,$BD51,SUM($BF51:$BG51)))</f>
        <v/>
      </c>
      <c r="BI51" s="87" t="str">
        <f aca="false">IF(ISBLANK($C51),"",IF($BD51&lt;&gt;Constants!$B$6,$BD51,RANK($BH51,$BH$9:$BH$508,1)))</f>
        <v/>
      </c>
      <c r="BJ51" s="91" t="str">
        <f aca="false">IF($BD51&lt;&gt;Constants!$B$6,"",IF($AU51="-&gt;",$BB51,$AS51))</f>
        <v/>
      </c>
      <c r="BK51" s="87" t="str">
        <f aca="false">IF(ISBLANK($C51),"",IF($BD51&lt;&gt;Constants!$B$6,$BD51,IF(ISNUMBER($BJ51),RANK($BJ51,$BJ$9:$BJ$508,1),COUNT($BJ$9:$BJ$508)+1)))</f>
        <v/>
      </c>
      <c r="BL51" s="91" t="str">
        <f aca="false">IF($BD51&lt;&gt;Constants!$B$6,"",IF($AU51="-&gt;",$BC51,$AT51))</f>
        <v/>
      </c>
      <c r="BM51" s="87" t="str">
        <f aca="false">IF(ISBLANK($C51),"",IF($BD51&lt;&gt;Constants!$B$6,$BD51,IF(ISNUMBER($BL51),RANK($BL51,$BL$9:$BL$508,1),COUNT($BL$9:$BL$508)+1)))</f>
        <v/>
      </c>
      <c r="BN51" s="91" t="str">
        <f aca="false">IF($BD51&lt;&gt;Constants!$B$6,"",IF($AU51="-&gt;",$AS51,$BB51))</f>
        <v/>
      </c>
      <c r="BO51" s="87" t="str">
        <f aca="false">IF(ISBLANK($C51),"",IF($BD51&lt;&gt;Constants!$B$6,$BD51,IF(ISNUMBER($BN51),RANK($BN51,$BN$9:$BN$508,1),COUNT($BN$9:$BN$508)+1)))</f>
        <v/>
      </c>
      <c r="BP51" s="91" t="str">
        <f aca="false">IF($BD51&lt;&gt;Constants!$B$6,"",IF($AU51="-&gt;",$AT51,$BC51))</f>
        <v/>
      </c>
      <c r="BQ51" s="87" t="str">
        <f aca="false">IF(ISBLANK($C51),"",IF($BD51&lt;&gt;Constants!$B$6,$BD51,IF(ISNUMBER($BP51),RANK($BP51,$BP$9:$BP$508,1),COUNT($BP$9:$BP$508)+1)))</f>
        <v/>
      </c>
      <c r="BR51" s="87" t="str">
        <f aca="false">IF(ISBLANK($C51),"",IF($BD51&lt;&gt;Constants!$B$6,$BD51,COUNTIFS($BI$9:$BI$508,"&lt;"&amp;$BI51)+COUNTIFS($BI$9:$BI$508,$BI51,$BK$9:$BK$508,"&lt;"&amp;$BK51)+COUNTIFS($BI$9:$BI$508,$BI51,$BK$9:$BK$508,$BK51,$BM$9:$BM$508,"&lt;"&amp;$BM51)+COUNTIFS($BI$9:$BI$508,$BI51,$BK$9:$BK$508,$BK51,$BM$9:$BM$508,$BM51,$BO$9:$BO$508,"&lt;"&amp;$BO51)+COUNTIFS($BI$9:$BI$508,$BI51,$BK$9:$BK$508,$BK51,$BM$9:$BM$508,$BM51,$BO$9:$BO$508,$BO51,$BQ$9:$BQ$508,"&lt;"&amp;$BQ51)+1))</f>
        <v/>
      </c>
      <c r="BS51" s="87" t="str">
        <f aca="false">IF(ISBLANK($C51),"",IF($BD51&lt;&gt;Constants!$B$6,$BD51,$BI51-$BR51))</f>
        <v/>
      </c>
      <c r="BT51" s="94"/>
      <c r="BU51" s="95"/>
      <c r="BV51" s="95" t="str">
        <f aca="false">IF(ISBLANK($C51),"",IF($BD51&lt;&gt;Constants!$B$6,"",IF($AU51="-&gt;",2,1)))</f>
        <v/>
      </c>
      <c r="BW51" s="96" t="str">
        <f aca="false">IF(ISBLANK($C51),"",IF($BD51&lt;&gt;Constants!$B$6,"",IF($AU51="-&gt;",$AW51,$AN51)))</f>
        <v/>
      </c>
      <c r="BX51" s="96" t="str">
        <f aca="false">IF(ISBLANK($C51),"",IF($BD51&lt;&gt;Constants!$B$6,"",IF($AU51="-&gt;",$AX51,$AO51)))</f>
        <v/>
      </c>
      <c r="BY51" s="96" t="str">
        <f aca="false">IF(ISBLANK($C51),"",IF($BD51&lt;&gt;Constants!$B$6,"",IF($AU51="-&gt;",$AY51,$AP51)))</f>
        <v/>
      </c>
      <c r="BZ51" s="96" t="str">
        <f aca="false">IF(ISBLANK($C51),"",IF($BD51&lt;&gt;Constants!$B$6,"",IF($AU51="-&gt;",$AZ51,$AQ51)+$BG51))</f>
        <v/>
      </c>
      <c r="CA51" s="97" t="str">
        <f aca="false">IF(ISBLANK($C51),"",IF($BD51&lt;&gt;Constants!$B$6,$BD51,$BH51))</f>
        <v/>
      </c>
      <c r="CB51" s="98" t="str">
        <f aca="false">IF(ISBLANK($C51),"",$BE51)</f>
        <v/>
      </c>
      <c r="CC51" s="99" t="str">
        <f aca="false">IF(ISBLANK($C51),"",$BS51)</f>
        <v/>
      </c>
      <c r="CD51" s="99" t="str">
        <f aca="false">IF(ISBLANK($C51),"",$BR51)</f>
        <v/>
      </c>
      <c r="CE51" s="100" t="str">
        <f aca="false">IF(ISBLANK($C51),"",IF($CD51=Constants!$B$9,COUNTA($C$9:$C$508)+2,IF($CD51=Constants!$B$8,COUNTA($C$9:$C$508)+1,IF($CD51=Constants!$B$7,COUNTA($C$9:$C$508),$CD51))))</f>
        <v/>
      </c>
      <c r="CF51" s="9"/>
      <c r="CG51" s="101" t="n">
        <f aca="false">IF(OR(ISNUMBER($CD51),$CD51=Constants!$B$9,$CD51=Constants!$B$7,$CD51=Constants!$B$8),1,0)</f>
        <v>0</v>
      </c>
      <c r="CH51" s="101" t="n">
        <v>43</v>
      </c>
      <c r="CI51" s="101" t="str">
        <f aca="false">IF(ISBLANK($C51),"",IF(ISNUMBER($CE51),$CE51+ROW($B51)/1000,""))</f>
        <v/>
      </c>
      <c r="CJ51" s="101" t="str">
        <f aca="false">IF(ISNUMBER($CI51),RANK($CI51,$CI$9:$CI$508,1),"")</f>
        <v/>
      </c>
      <c r="CK51" s="101" t="str">
        <f aca="false">IF(ISBLANK($C51),"",$B51)</f>
        <v/>
      </c>
      <c r="CL51" s="101" t="str">
        <f aca="false">IF(ISBLANK($C51),"",$C51)</f>
        <v/>
      </c>
      <c r="CM51" s="101" t="str">
        <f aca="false">IF(ISBLANK($C51),"",$D51)</f>
        <v/>
      </c>
      <c r="CN51" s="102" t="str">
        <f aca="false">$CB51</f>
        <v/>
      </c>
      <c r="CO51" s="103" t="str">
        <f aca="false">$CA51</f>
        <v/>
      </c>
      <c r="CP51" s="101" t="str">
        <f aca="false">IF(ISBLANK($C51),"",$CD51)</f>
        <v/>
      </c>
      <c r="CQ51" s="104" t="str">
        <f aca="false">IF($CH51&gt;$CG$8,"",VLOOKUP($CH51,$CJ$9:$CP$508,7,FALSE()))</f>
        <v/>
      </c>
      <c r="CR51" s="105" t="str">
        <f aca="false">IF($CH51&gt;$CG$8,"",VLOOKUP($CH51,$CJ$9:$CP$508,2,FALSE()))</f>
        <v/>
      </c>
      <c r="CS51" s="105" t="str">
        <f aca="false">IF($CH51&gt;$CG$8,"",VLOOKUP($CH51,$CJ$9:$CP$508,3,FALSE()))</f>
        <v/>
      </c>
      <c r="CT51" s="105" t="str">
        <f aca="false">IF($CH51&gt;$CG$8,"",VLOOKUP($CH51,$CJ$9:$CP$508,4,FALSE()))</f>
        <v/>
      </c>
      <c r="CU51" s="105" t="str">
        <f aca="false">IF($CH51&gt;$CG$8,"",VLOOKUP($CH51,$CJ$9:$CP$508,5,FALSE()))</f>
        <v/>
      </c>
      <c r="CV51" s="106" t="str">
        <f aca="false">IF($CH51&gt;$CG$8,"",VLOOKUP($CH51,$CJ$9:$CP$508,6,FALSE()))</f>
        <v/>
      </c>
      <c r="CW51" s="71"/>
    </row>
    <row r="52" customFormat="false" ht="15.75" hidden="false" customHeight="false" outlineLevel="0" collapsed="false">
      <c r="A52" s="9"/>
      <c r="B52" s="72"/>
      <c r="C52" s="73"/>
      <c r="D52" s="160"/>
      <c r="E52" s="168"/>
      <c r="F52" s="162"/>
      <c r="G52" s="163"/>
      <c r="H52" s="169"/>
      <c r="I52" s="167"/>
      <c r="J52" s="80"/>
      <c r="K52" s="81"/>
      <c r="L52" s="82"/>
      <c r="M52" s="166"/>
      <c r="N52" s="167"/>
      <c r="O52" s="167"/>
      <c r="P52" s="80"/>
      <c r="Q52" s="82"/>
      <c r="R52" s="82"/>
      <c r="S52" s="166"/>
      <c r="T52" s="167"/>
      <c r="U52" s="86"/>
      <c r="V52" s="87"/>
      <c r="W52" s="87" t="str">
        <f aca="false">IF(ISBLANK($C52),"",IF(E52=Constants!$B$2,TRUE(),IF(E52=Constants!$B$3,FALSE(),TRUE())))</f>
        <v/>
      </c>
      <c r="X52" s="87" t="str">
        <f aca="false">IF(ISBLANK($C52),"",IF(F52=Constants!$B$2,TRUE(),IF(F52=Constants!$B$3,FALSE(),TRUE())))</f>
        <v/>
      </c>
      <c r="Y52" s="87" t="str">
        <f aca="false">IF(ISBLANK($C52),"",IF(G52=Constants!$B$2,TRUE(),IF(G52=Constants!$B$3,FALSE(),TRUE())))</f>
        <v/>
      </c>
      <c r="Z52" s="87" t="str">
        <f aca="false">IF(ISBLANK($C52),"",IF(H52=Constants!$B$2,TRUE(),IF(H52=Constants!$B$3,FALSE(),TRUE())))</f>
        <v/>
      </c>
      <c r="AA52" s="87" t="str">
        <f aca="false">IF(ISBLANK($C52),"",IF(I52=Constants!$B$2,TRUE(),IF(I52=Constants!$B$3,FALSE(),TRUE())))</f>
        <v/>
      </c>
      <c r="AB52" s="87" t="str">
        <f aca="false">IF(ISBLANK($C52),"",IF(J52=Constants!$B$4,TRUE(),IF(J52=Constants!$B$5,FALSE(),COUNTA(K52:M52)&gt;0)))</f>
        <v/>
      </c>
      <c r="AC52" s="88" t="str">
        <f aca="false">IF(ISBLANK($C52),"",IF(ISNUMBER(K52),IF(K52&gt;=0,K52,""),""))</f>
        <v/>
      </c>
      <c r="AD52" s="89" t="str">
        <f aca="false">IF(ISBLANK($C52),"",IF(ISNUMBER(L52),IF(L52&gt;=0,L52,""),""))</f>
        <v/>
      </c>
      <c r="AE52" s="87" t="str">
        <f aca="false">IF(ISBLANK($C52),"",IF(ISNUMBER(M52),IF(M52&gt;=0,MIN(M52,Constants!$B$22),""),""))</f>
        <v/>
      </c>
      <c r="AF52" s="87" t="str">
        <f aca="false">IF(ISBLANK($C52),"",IF(N52=Constants!$B$2,TRUE(),IF(N52=Constants!$B$3,FALSE(),TRUE())))</f>
        <v/>
      </c>
      <c r="AG52" s="87" t="str">
        <f aca="false">IF(ISBLANK($C52),"",IF(O52=Constants!$B$2,TRUE(),IF(O52=Constants!$B$3,FALSE(),TRUE())))</f>
        <v/>
      </c>
      <c r="AH52" s="87" t="str">
        <f aca="false">IF(ISBLANK($C52),"",IF(P52=Constants!$B$4,TRUE(),IF(P52=Constants!$B$5,FALSE(),COUNTA(Q52:S52)&gt;0)))</f>
        <v/>
      </c>
      <c r="AI52" s="88" t="str">
        <f aca="false">IF(ISBLANK($C52),"",IF(ISNUMBER(Q52),IF(Q52&gt;=0,Q52,""),""))</f>
        <v/>
      </c>
      <c r="AJ52" s="89" t="str">
        <f aca="false">IF(ISBLANK($C52),"",IF(ISNUMBER(R52),IF(R52&gt;=0,R52,""),""))</f>
        <v/>
      </c>
      <c r="AK52" s="87" t="str">
        <f aca="false">IF(ISBLANK($C52),"",IF(ISNUMBER(S52),IF(S52&gt;=0,MIN(S52,Constants!$B$22),""),""))</f>
        <v/>
      </c>
      <c r="AL52" s="87" t="str">
        <f aca="false">IF(ISBLANK($C52),"",IF(T52=Constants!$B$2,TRUE(),IF(T52=Constants!$B$3,FALSE(),FALSE())))</f>
        <v/>
      </c>
      <c r="AM52" s="86" t="str">
        <f aca="false">IF(ISBLANK($C52),"",AND($AB52,OR($AC52="",$AD52="",AND(NOT(ISBLANK($M52)),$AE52=""))))</f>
        <v/>
      </c>
      <c r="AN52" s="89" t="str">
        <f aca="false">IF($BD52&lt;&gt;Constants!$B$6,"",IF($AB52,Constants!$B$17*$AD52,Constants!$B$18))</f>
        <v/>
      </c>
      <c r="AO52" s="91" t="str">
        <f aca="false">IF($BD52&lt;&gt;Constants!$B$6,"",Constants!$B$19*IF($AB52,$AC52,0))</f>
        <v/>
      </c>
      <c r="AP52" s="91" t="str">
        <f aca="false">IF($BD52&lt;&gt;Constants!$B$6,"",IF(AND($AB52,ISNUMBER($AE52)),Constants!$B$20*(Constants!$B$21-$AE52),0))</f>
        <v/>
      </c>
      <c r="AQ52" s="91" t="str">
        <f aca="false">IF($BD52&lt;&gt;Constants!$B$6,"",IF($AA52,0,Constants!$B$12)+IF($Z52,0,Constants!$B$13)+IF($Y52,0,Constants!$B$14))</f>
        <v/>
      </c>
      <c r="AR52" s="92" t="str">
        <f aca="false">IF($BD52&lt;&gt;Constants!$B$6,"",Constants!$B$16+SUM($AN52:$AQ52))</f>
        <v/>
      </c>
      <c r="AS52" s="91" t="str">
        <f aca="false">IF($BD52&lt;&gt;Constants!$B$6,"",IF($AB52,$AD52,""))</f>
        <v/>
      </c>
      <c r="AT52" s="93" t="str">
        <f aca="false">IF($BD52&lt;&gt;Constants!$B$6,"",$AO52)</f>
        <v/>
      </c>
      <c r="AU52" s="87" t="str">
        <f aca="false">IF($BD52&lt;&gt;Constants!$B$6,"",IF(OR($BA52&lt;$AR52,AND($BA52=$AR52,OR(AND(ISNUMBER($BB52),OR(NOT(ISNUMBER($AS52)),$BB52&lt;$AS52)),AND(OR(AND($BB52="",$AS52=""),AND(ISNUMBER($BB52),ISNUMBER($AS52),$BB52=$AS52)),$BC52&lt;$AT52)))),"-&gt;","&lt;-"))</f>
        <v/>
      </c>
      <c r="AV52" s="86" t="str">
        <f aca="false">IF(ISBLANK($C52),"",AND($AH52,OR($AI52="",$AJ52="",AND(NOT(ISBLANK($S52)),$AK52=""))))</f>
        <v/>
      </c>
      <c r="AW52" s="89" t="str">
        <f aca="false">IF($BD52&lt;&gt;Constants!$B$6,"",IF($AH52,Constants!$B$17*$AJ52,Constants!$B$18))</f>
        <v/>
      </c>
      <c r="AX52" s="91" t="str">
        <f aca="false">IF($BD52&lt;&gt;Constants!$B$6,"",Constants!$B$19*IF($AH52,$AI52,0))</f>
        <v/>
      </c>
      <c r="AY52" s="91" t="str">
        <f aca="false">IF($BD52&lt;&gt;Constants!$B$6,"",IF(AND($AH52,ISNUMBER($AK52)),Constants!$B$20*(Constants!$B$21-$AK52),0))</f>
        <v/>
      </c>
      <c r="AZ52" s="91" t="str">
        <f aca="false">IF($BD52&lt;&gt;Constants!$B$6,"",IF($AG52,0,Constants!$B$12)+IF($AF52,0,Constants!$B$13)+IF($Y52,0,Constants!$B$14))</f>
        <v/>
      </c>
      <c r="BA52" s="92" t="str">
        <f aca="false">IF($BD52&lt;&gt;Constants!$B$6,"",Constants!$B$16+SUM($AW52:$AZ52))</f>
        <v/>
      </c>
      <c r="BB52" s="91" t="str">
        <f aca="false">IF($BD52&lt;&gt;Constants!$B$6,"",IF($AH52,$AJ52,""))</f>
        <v/>
      </c>
      <c r="BC52" s="93" t="str">
        <f aca="false">IF($BD52&lt;&gt;Constants!$B$6,"",$AX52)</f>
        <v/>
      </c>
      <c r="BD52" s="87" t="str">
        <f aca="false">IF(ISBLANK($C52),"",IF($AL52,Constants!$B$9,IF(COUNTA($E52:$T52)=0,Constants!$B$8,IF(NOT($X52),Constants!$B$7,IF(OR($AM52,$AV52),Constants!$B$10,Constants!$B$6)))))</f>
        <v/>
      </c>
      <c r="BE52" s="87" t="str">
        <f aca="false">IF(ISBLANK($C52),"",IF($BD52&lt;&gt;Constants!$B$6,$BD52,Constants!$B$11))</f>
        <v/>
      </c>
      <c r="BF52" s="91" t="str">
        <f aca="false">IF($BD52&lt;&gt;Constants!$B$6,"",IF($AU52="-&gt;",$BA52,$AR52))</f>
        <v/>
      </c>
      <c r="BG52" s="91" t="str">
        <f aca="false">IF($BD52&lt;&gt;Constants!$B$6,"",IF($W52,0,Constants!$B$15))</f>
        <v/>
      </c>
      <c r="BH52" s="91" t="str">
        <f aca="false">IF(ISBLANK($C52),"",IF($BD52&lt;&gt;Constants!$B$6,$BD52,SUM($BF52:$BG52)))</f>
        <v/>
      </c>
      <c r="BI52" s="87" t="str">
        <f aca="false">IF(ISBLANK($C52),"",IF($BD52&lt;&gt;Constants!$B$6,$BD52,RANK($BH52,$BH$9:$BH$508,1)))</f>
        <v/>
      </c>
      <c r="BJ52" s="91" t="str">
        <f aca="false">IF($BD52&lt;&gt;Constants!$B$6,"",IF($AU52="-&gt;",$BB52,$AS52))</f>
        <v/>
      </c>
      <c r="BK52" s="87" t="str">
        <f aca="false">IF(ISBLANK($C52),"",IF($BD52&lt;&gt;Constants!$B$6,$BD52,IF(ISNUMBER($BJ52),RANK($BJ52,$BJ$9:$BJ$508,1),COUNT($BJ$9:$BJ$508)+1)))</f>
        <v/>
      </c>
      <c r="BL52" s="91" t="str">
        <f aca="false">IF($BD52&lt;&gt;Constants!$B$6,"",IF($AU52="-&gt;",$BC52,$AT52))</f>
        <v/>
      </c>
      <c r="BM52" s="87" t="str">
        <f aca="false">IF(ISBLANK($C52),"",IF($BD52&lt;&gt;Constants!$B$6,$BD52,IF(ISNUMBER($BL52),RANK($BL52,$BL$9:$BL$508,1),COUNT($BL$9:$BL$508)+1)))</f>
        <v/>
      </c>
      <c r="BN52" s="91" t="str">
        <f aca="false">IF($BD52&lt;&gt;Constants!$B$6,"",IF($AU52="-&gt;",$AS52,$BB52))</f>
        <v/>
      </c>
      <c r="BO52" s="87" t="str">
        <f aca="false">IF(ISBLANK($C52),"",IF($BD52&lt;&gt;Constants!$B$6,$BD52,IF(ISNUMBER($BN52),RANK($BN52,$BN$9:$BN$508,1),COUNT($BN$9:$BN$508)+1)))</f>
        <v/>
      </c>
      <c r="BP52" s="91" t="str">
        <f aca="false">IF($BD52&lt;&gt;Constants!$B$6,"",IF($AU52="-&gt;",$AT52,$BC52))</f>
        <v/>
      </c>
      <c r="BQ52" s="87" t="str">
        <f aca="false">IF(ISBLANK($C52),"",IF($BD52&lt;&gt;Constants!$B$6,$BD52,IF(ISNUMBER($BP52),RANK($BP52,$BP$9:$BP$508,1),COUNT($BP$9:$BP$508)+1)))</f>
        <v/>
      </c>
      <c r="BR52" s="87" t="str">
        <f aca="false">IF(ISBLANK($C52),"",IF($BD52&lt;&gt;Constants!$B$6,$BD52,COUNTIFS($BI$9:$BI$508,"&lt;"&amp;$BI52)+COUNTIFS($BI$9:$BI$508,$BI52,$BK$9:$BK$508,"&lt;"&amp;$BK52)+COUNTIFS($BI$9:$BI$508,$BI52,$BK$9:$BK$508,$BK52,$BM$9:$BM$508,"&lt;"&amp;$BM52)+COUNTIFS($BI$9:$BI$508,$BI52,$BK$9:$BK$508,$BK52,$BM$9:$BM$508,$BM52,$BO$9:$BO$508,"&lt;"&amp;$BO52)+COUNTIFS($BI$9:$BI$508,$BI52,$BK$9:$BK$508,$BK52,$BM$9:$BM$508,$BM52,$BO$9:$BO$508,$BO52,$BQ$9:$BQ$508,"&lt;"&amp;$BQ52)+1))</f>
        <v/>
      </c>
      <c r="BS52" s="87" t="str">
        <f aca="false">IF(ISBLANK($C52),"",IF($BD52&lt;&gt;Constants!$B$6,$BD52,$BI52-$BR52))</f>
        <v/>
      </c>
      <c r="BT52" s="94"/>
      <c r="BU52" s="95"/>
      <c r="BV52" s="95" t="str">
        <f aca="false">IF(ISBLANK($C52),"",IF($BD52&lt;&gt;Constants!$B$6,"",IF($AU52="-&gt;",2,1)))</f>
        <v/>
      </c>
      <c r="BW52" s="96" t="str">
        <f aca="false">IF(ISBLANK($C52),"",IF($BD52&lt;&gt;Constants!$B$6,"",IF($AU52="-&gt;",$AW52,$AN52)))</f>
        <v/>
      </c>
      <c r="BX52" s="96" t="str">
        <f aca="false">IF(ISBLANK($C52),"",IF($BD52&lt;&gt;Constants!$B$6,"",IF($AU52="-&gt;",$AX52,$AO52)))</f>
        <v/>
      </c>
      <c r="BY52" s="96" t="str">
        <f aca="false">IF(ISBLANK($C52),"",IF($BD52&lt;&gt;Constants!$B$6,"",IF($AU52="-&gt;",$AY52,$AP52)))</f>
        <v/>
      </c>
      <c r="BZ52" s="96" t="str">
        <f aca="false">IF(ISBLANK($C52),"",IF($BD52&lt;&gt;Constants!$B$6,"",IF($AU52="-&gt;",$AZ52,$AQ52)+$BG52))</f>
        <v/>
      </c>
      <c r="CA52" s="97" t="str">
        <f aca="false">IF(ISBLANK($C52),"",IF($BD52&lt;&gt;Constants!$B$6,$BD52,$BH52))</f>
        <v/>
      </c>
      <c r="CB52" s="98" t="str">
        <f aca="false">IF(ISBLANK($C52),"",$BE52)</f>
        <v/>
      </c>
      <c r="CC52" s="99" t="str">
        <f aca="false">IF(ISBLANK($C52),"",$BS52)</f>
        <v/>
      </c>
      <c r="CD52" s="99" t="str">
        <f aca="false">IF(ISBLANK($C52),"",$BR52)</f>
        <v/>
      </c>
      <c r="CE52" s="100" t="str">
        <f aca="false">IF(ISBLANK($C52),"",IF($CD52=Constants!$B$9,COUNTA($C$9:$C$508)+2,IF($CD52=Constants!$B$8,COUNTA($C$9:$C$508)+1,IF($CD52=Constants!$B$7,COUNTA($C$9:$C$508),$CD52))))</f>
        <v/>
      </c>
      <c r="CF52" s="9"/>
      <c r="CG52" s="101" t="n">
        <f aca="false">IF(OR(ISNUMBER($CD52),$CD52=Constants!$B$9,$CD52=Constants!$B$7,$CD52=Constants!$B$8),1,0)</f>
        <v>0</v>
      </c>
      <c r="CH52" s="101" t="n">
        <v>44</v>
      </c>
      <c r="CI52" s="101" t="str">
        <f aca="false">IF(ISBLANK($C52),"",IF(ISNUMBER($CE52),$CE52+ROW($B52)/1000,""))</f>
        <v/>
      </c>
      <c r="CJ52" s="101" t="str">
        <f aca="false">IF(ISNUMBER($CI52),RANK($CI52,$CI$9:$CI$508,1),"")</f>
        <v/>
      </c>
      <c r="CK52" s="101" t="str">
        <f aca="false">IF(ISBLANK($C52),"",$B52)</f>
        <v/>
      </c>
      <c r="CL52" s="101" t="str">
        <f aca="false">IF(ISBLANK($C52),"",$C52)</f>
        <v/>
      </c>
      <c r="CM52" s="101" t="str">
        <f aca="false">IF(ISBLANK($C52),"",$D52)</f>
        <v/>
      </c>
      <c r="CN52" s="102" t="str">
        <f aca="false">$CB52</f>
        <v/>
      </c>
      <c r="CO52" s="103" t="str">
        <f aca="false">$CA52</f>
        <v/>
      </c>
      <c r="CP52" s="101" t="str">
        <f aca="false">IF(ISBLANK($C52),"",$CD52)</f>
        <v/>
      </c>
      <c r="CQ52" s="104" t="str">
        <f aca="false">IF($CH52&gt;$CG$8,"",VLOOKUP($CH52,$CJ$9:$CP$508,7,FALSE()))</f>
        <v/>
      </c>
      <c r="CR52" s="105" t="str">
        <f aca="false">IF($CH52&gt;$CG$8,"",VLOOKUP($CH52,$CJ$9:$CP$508,2,FALSE()))</f>
        <v/>
      </c>
      <c r="CS52" s="105" t="str">
        <f aca="false">IF($CH52&gt;$CG$8,"",VLOOKUP($CH52,$CJ$9:$CP$508,3,FALSE()))</f>
        <v/>
      </c>
      <c r="CT52" s="105" t="str">
        <f aca="false">IF($CH52&gt;$CG$8,"",VLOOKUP($CH52,$CJ$9:$CP$508,4,FALSE()))</f>
        <v/>
      </c>
      <c r="CU52" s="105" t="str">
        <f aca="false">IF($CH52&gt;$CG$8,"",VLOOKUP($CH52,$CJ$9:$CP$508,5,FALSE()))</f>
        <v/>
      </c>
      <c r="CV52" s="106" t="str">
        <f aca="false">IF($CH52&gt;$CG$8,"",VLOOKUP($CH52,$CJ$9:$CP$508,6,FALSE()))</f>
        <v/>
      </c>
      <c r="CW52" s="71"/>
    </row>
    <row r="53" customFormat="false" ht="15.75" hidden="false" customHeight="false" outlineLevel="0" collapsed="false">
      <c r="A53" s="9"/>
      <c r="B53" s="72"/>
      <c r="C53" s="73"/>
      <c r="D53" s="160"/>
      <c r="E53" s="168"/>
      <c r="F53" s="162"/>
      <c r="G53" s="163"/>
      <c r="H53" s="169"/>
      <c r="I53" s="167"/>
      <c r="J53" s="80"/>
      <c r="K53" s="81"/>
      <c r="L53" s="82"/>
      <c r="M53" s="166"/>
      <c r="N53" s="167"/>
      <c r="O53" s="167"/>
      <c r="P53" s="80"/>
      <c r="Q53" s="82"/>
      <c r="R53" s="82"/>
      <c r="S53" s="166"/>
      <c r="T53" s="167"/>
      <c r="U53" s="86"/>
      <c r="V53" s="87"/>
      <c r="W53" s="87" t="str">
        <f aca="false">IF(ISBLANK($C53),"",IF(E53=Constants!$B$2,TRUE(),IF(E53=Constants!$B$3,FALSE(),TRUE())))</f>
        <v/>
      </c>
      <c r="X53" s="87" t="str">
        <f aca="false">IF(ISBLANK($C53),"",IF(F53=Constants!$B$2,TRUE(),IF(F53=Constants!$B$3,FALSE(),TRUE())))</f>
        <v/>
      </c>
      <c r="Y53" s="87" t="str">
        <f aca="false">IF(ISBLANK($C53),"",IF(G53=Constants!$B$2,TRUE(),IF(G53=Constants!$B$3,FALSE(),TRUE())))</f>
        <v/>
      </c>
      <c r="Z53" s="87" t="str">
        <f aca="false">IF(ISBLANK($C53),"",IF(H53=Constants!$B$2,TRUE(),IF(H53=Constants!$B$3,FALSE(),TRUE())))</f>
        <v/>
      </c>
      <c r="AA53" s="87" t="str">
        <f aca="false">IF(ISBLANK($C53),"",IF(I53=Constants!$B$2,TRUE(),IF(I53=Constants!$B$3,FALSE(),TRUE())))</f>
        <v/>
      </c>
      <c r="AB53" s="87" t="str">
        <f aca="false">IF(ISBLANK($C53),"",IF(J53=Constants!$B$4,TRUE(),IF(J53=Constants!$B$5,FALSE(),COUNTA(K53:M53)&gt;0)))</f>
        <v/>
      </c>
      <c r="AC53" s="88" t="str">
        <f aca="false">IF(ISBLANK($C53),"",IF(ISNUMBER(K53),IF(K53&gt;=0,K53,""),""))</f>
        <v/>
      </c>
      <c r="AD53" s="89" t="str">
        <f aca="false">IF(ISBLANK($C53),"",IF(ISNUMBER(L53),IF(L53&gt;=0,L53,""),""))</f>
        <v/>
      </c>
      <c r="AE53" s="87" t="str">
        <f aca="false">IF(ISBLANK($C53),"",IF(ISNUMBER(M53),IF(M53&gt;=0,MIN(M53,Constants!$B$22),""),""))</f>
        <v/>
      </c>
      <c r="AF53" s="87" t="str">
        <f aca="false">IF(ISBLANK($C53),"",IF(N53=Constants!$B$2,TRUE(),IF(N53=Constants!$B$3,FALSE(),TRUE())))</f>
        <v/>
      </c>
      <c r="AG53" s="87" t="str">
        <f aca="false">IF(ISBLANK($C53),"",IF(O53=Constants!$B$2,TRUE(),IF(O53=Constants!$B$3,FALSE(),TRUE())))</f>
        <v/>
      </c>
      <c r="AH53" s="87" t="str">
        <f aca="false">IF(ISBLANK($C53),"",IF(P53=Constants!$B$4,TRUE(),IF(P53=Constants!$B$5,FALSE(),COUNTA(Q53:S53)&gt;0)))</f>
        <v/>
      </c>
      <c r="AI53" s="88" t="str">
        <f aca="false">IF(ISBLANK($C53),"",IF(ISNUMBER(Q53),IF(Q53&gt;=0,Q53,""),""))</f>
        <v/>
      </c>
      <c r="AJ53" s="89" t="str">
        <f aca="false">IF(ISBLANK($C53),"",IF(ISNUMBER(R53),IF(R53&gt;=0,R53,""),""))</f>
        <v/>
      </c>
      <c r="AK53" s="87" t="str">
        <f aca="false">IF(ISBLANK($C53),"",IF(ISNUMBER(S53),IF(S53&gt;=0,MIN(S53,Constants!$B$22),""),""))</f>
        <v/>
      </c>
      <c r="AL53" s="87" t="str">
        <f aca="false">IF(ISBLANK($C53),"",IF(T53=Constants!$B$2,TRUE(),IF(T53=Constants!$B$3,FALSE(),FALSE())))</f>
        <v/>
      </c>
      <c r="AM53" s="86" t="str">
        <f aca="false">IF(ISBLANK($C53),"",AND($AB53,OR($AC53="",$AD53="",AND(NOT(ISBLANK($M53)),$AE53=""))))</f>
        <v/>
      </c>
      <c r="AN53" s="89" t="str">
        <f aca="false">IF($BD53&lt;&gt;Constants!$B$6,"",IF($AB53,Constants!$B$17*$AD53,Constants!$B$18))</f>
        <v/>
      </c>
      <c r="AO53" s="91" t="str">
        <f aca="false">IF($BD53&lt;&gt;Constants!$B$6,"",Constants!$B$19*IF($AB53,$AC53,0))</f>
        <v/>
      </c>
      <c r="AP53" s="91" t="str">
        <f aca="false">IF($BD53&lt;&gt;Constants!$B$6,"",IF(AND($AB53,ISNUMBER($AE53)),Constants!$B$20*(Constants!$B$21-$AE53),0))</f>
        <v/>
      </c>
      <c r="AQ53" s="91" t="str">
        <f aca="false">IF($BD53&lt;&gt;Constants!$B$6,"",IF($AA53,0,Constants!$B$12)+IF($Z53,0,Constants!$B$13)+IF($Y53,0,Constants!$B$14))</f>
        <v/>
      </c>
      <c r="AR53" s="92" t="str">
        <f aca="false">IF($BD53&lt;&gt;Constants!$B$6,"",Constants!$B$16+SUM($AN53:$AQ53))</f>
        <v/>
      </c>
      <c r="AS53" s="91" t="str">
        <f aca="false">IF($BD53&lt;&gt;Constants!$B$6,"",IF($AB53,$AD53,""))</f>
        <v/>
      </c>
      <c r="AT53" s="93" t="str">
        <f aca="false">IF($BD53&lt;&gt;Constants!$B$6,"",$AO53)</f>
        <v/>
      </c>
      <c r="AU53" s="87" t="str">
        <f aca="false">IF($BD53&lt;&gt;Constants!$B$6,"",IF(OR($BA53&lt;$AR53,AND($BA53=$AR53,OR(AND(ISNUMBER($BB53),OR(NOT(ISNUMBER($AS53)),$BB53&lt;$AS53)),AND(OR(AND($BB53="",$AS53=""),AND(ISNUMBER($BB53),ISNUMBER($AS53),$BB53=$AS53)),$BC53&lt;$AT53)))),"-&gt;","&lt;-"))</f>
        <v/>
      </c>
      <c r="AV53" s="86" t="str">
        <f aca="false">IF(ISBLANK($C53),"",AND($AH53,OR($AI53="",$AJ53="",AND(NOT(ISBLANK($S53)),$AK53=""))))</f>
        <v/>
      </c>
      <c r="AW53" s="89" t="str">
        <f aca="false">IF($BD53&lt;&gt;Constants!$B$6,"",IF($AH53,Constants!$B$17*$AJ53,Constants!$B$18))</f>
        <v/>
      </c>
      <c r="AX53" s="91" t="str">
        <f aca="false">IF($BD53&lt;&gt;Constants!$B$6,"",Constants!$B$19*IF($AH53,$AI53,0))</f>
        <v/>
      </c>
      <c r="AY53" s="91" t="str">
        <f aca="false">IF($BD53&lt;&gt;Constants!$B$6,"",IF(AND($AH53,ISNUMBER($AK53)),Constants!$B$20*(Constants!$B$21-$AK53),0))</f>
        <v/>
      </c>
      <c r="AZ53" s="91" t="str">
        <f aca="false">IF($BD53&lt;&gt;Constants!$B$6,"",IF($AG53,0,Constants!$B$12)+IF($AF53,0,Constants!$B$13)+IF($Y53,0,Constants!$B$14))</f>
        <v/>
      </c>
      <c r="BA53" s="92" t="str">
        <f aca="false">IF($BD53&lt;&gt;Constants!$B$6,"",Constants!$B$16+SUM($AW53:$AZ53))</f>
        <v/>
      </c>
      <c r="BB53" s="91" t="str">
        <f aca="false">IF($BD53&lt;&gt;Constants!$B$6,"",IF($AH53,$AJ53,""))</f>
        <v/>
      </c>
      <c r="BC53" s="93" t="str">
        <f aca="false">IF($BD53&lt;&gt;Constants!$B$6,"",$AX53)</f>
        <v/>
      </c>
      <c r="BD53" s="87" t="str">
        <f aca="false">IF(ISBLANK($C53),"",IF($AL53,Constants!$B$9,IF(COUNTA($E53:$T53)=0,Constants!$B$8,IF(NOT($X53),Constants!$B$7,IF(OR($AM53,$AV53),Constants!$B$10,Constants!$B$6)))))</f>
        <v/>
      </c>
      <c r="BE53" s="87" t="str">
        <f aca="false">IF(ISBLANK($C53),"",IF($BD53&lt;&gt;Constants!$B$6,$BD53,Constants!$B$11))</f>
        <v/>
      </c>
      <c r="BF53" s="91" t="str">
        <f aca="false">IF($BD53&lt;&gt;Constants!$B$6,"",IF($AU53="-&gt;",$BA53,$AR53))</f>
        <v/>
      </c>
      <c r="BG53" s="91" t="str">
        <f aca="false">IF($BD53&lt;&gt;Constants!$B$6,"",IF($W53,0,Constants!$B$15))</f>
        <v/>
      </c>
      <c r="BH53" s="91" t="str">
        <f aca="false">IF(ISBLANK($C53),"",IF($BD53&lt;&gt;Constants!$B$6,$BD53,SUM($BF53:$BG53)))</f>
        <v/>
      </c>
      <c r="BI53" s="87" t="str">
        <f aca="false">IF(ISBLANK($C53),"",IF($BD53&lt;&gt;Constants!$B$6,$BD53,RANK($BH53,$BH$9:$BH$508,1)))</f>
        <v/>
      </c>
      <c r="BJ53" s="91" t="str">
        <f aca="false">IF($BD53&lt;&gt;Constants!$B$6,"",IF($AU53="-&gt;",$BB53,$AS53))</f>
        <v/>
      </c>
      <c r="BK53" s="87" t="str">
        <f aca="false">IF(ISBLANK($C53),"",IF($BD53&lt;&gt;Constants!$B$6,$BD53,IF(ISNUMBER($BJ53),RANK($BJ53,$BJ$9:$BJ$508,1),COUNT($BJ$9:$BJ$508)+1)))</f>
        <v/>
      </c>
      <c r="BL53" s="91" t="str">
        <f aca="false">IF($BD53&lt;&gt;Constants!$B$6,"",IF($AU53="-&gt;",$BC53,$AT53))</f>
        <v/>
      </c>
      <c r="BM53" s="87" t="str">
        <f aca="false">IF(ISBLANK($C53),"",IF($BD53&lt;&gt;Constants!$B$6,$BD53,IF(ISNUMBER($BL53),RANK($BL53,$BL$9:$BL$508,1),COUNT($BL$9:$BL$508)+1)))</f>
        <v/>
      </c>
      <c r="BN53" s="91" t="str">
        <f aca="false">IF($BD53&lt;&gt;Constants!$B$6,"",IF($AU53="-&gt;",$AS53,$BB53))</f>
        <v/>
      </c>
      <c r="BO53" s="87" t="str">
        <f aca="false">IF(ISBLANK($C53),"",IF($BD53&lt;&gt;Constants!$B$6,$BD53,IF(ISNUMBER($BN53),RANK($BN53,$BN$9:$BN$508,1),COUNT($BN$9:$BN$508)+1)))</f>
        <v/>
      </c>
      <c r="BP53" s="91" t="str">
        <f aca="false">IF($BD53&lt;&gt;Constants!$B$6,"",IF($AU53="-&gt;",$AT53,$BC53))</f>
        <v/>
      </c>
      <c r="BQ53" s="87" t="str">
        <f aca="false">IF(ISBLANK($C53),"",IF($BD53&lt;&gt;Constants!$B$6,$BD53,IF(ISNUMBER($BP53),RANK($BP53,$BP$9:$BP$508,1),COUNT($BP$9:$BP$508)+1)))</f>
        <v/>
      </c>
      <c r="BR53" s="87" t="str">
        <f aca="false">IF(ISBLANK($C53),"",IF($BD53&lt;&gt;Constants!$B$6,$BD53,COUNTIFS($BI$9:$BI$508,"&lt;"&amp;$BI53)+COUNTIFS($BI$9:$BI$508,$BI53,$BK$9:$BK$508,"&lt;"&amp;$BK53)+COUNTIFS($BI$9:$BI$508,$BI53,$BK$9:$BK$508,$BK53,$BM$9:$BM$508,"&lt;"&amp;$BM53)+COUNTIFS($BI$9:$BI$508,$BI53,$BK$9:$BK$508,$BK53,$BM$9:$BM$508,$BM53,$BO$9:$BO$508,"&lt;"&amp;$BO53)+COUNTIFS($BI$9:$BI$508,$BI53,$BK$9:$BK$508,$BK53,$BM$9:$BM$508,$BM53,$BO$9:$BO$508,$BO53,$BQ$9:$BQ$508,"&lt;"&amp;$BQ53)+1))</f>
        <v/>
      </c>
      <c r="BS53" s="87" t="str">
        <f aca="false">IF(ISBLANK($C53),"",IF($BD53&lt;&gt;Constants!$B$6,$BD53,$BI53-$BR53))</f>
        <v/>
      </c>
      <c r="BT53" s="94"/>
      <c r="BU53" s="95"/>
      <c r="BV53" s="95" t="str">
        <f aca="false">IF(ISBLANK($C53),"",IF($BD53&lt;&gt;Constants!$B$6,"",IF($AU53="-&gt;",2,1)))</f>
        <v/>
      </c>
      <c r="BW53" s="96" t="str">
        <f aca="false">IF(ISBLANK($C53),"",IF($BD53&lt;&gt;Constants!$B$6,"",IF($AU53="-&gt;",$AW53,$AN53)))</f>
        <v/>
      </c>
      <c r="BX53" s="96" t="str">
        <f aca="false">IF(ISBLANK($C53),"",IF($BD53&lt;&gt;Constants!$B$6,"",IF($AU53="-&gt;",$AX53,$AO53)))</f>
        <v/>
      </c>
      <c r="BY53" s="96" t="str">
        <f aca="false">IF(ISBLANK($C53),"",IF($BD53&lt;&gt;Constants!$B$6,"",IF($AU53="-&gt;",$AY53,$AP53)))</f>
        <v/>
      </c>
      <c r="BZ53" s="96" t="str">
        <f aca="false">IF(ISBLANK($C53),"",IF($BD53&lt;&gt;Constants!$B$6,"",IF($AU53="-&gt;",$AZ53,$AQ53)+$BG53))</f>
        <v/>
      </c>
      <c r="CA53" s="97" t="str">
        <f aca="false">IF(ISBLANK($C53),"",IF($BD53&lt;&gt;Constants!$B$6,$BD53,$BH53))</f>
        <v/>
      </c>
      <c r="CB53" s="98" t="str">
        <f aca="false">IF(ISBLANK($C53),"",$BE53)</f>
        <v/>
      </c>
      <c r="CC53" s="99" t="str">
        <f aca="false">IF(ISBLANK($C53),"",$BS53)</f>
        <v/>
      </c>
      <c r="CD53" s="99" t="str">
        <f aca="false">IF(ISBLANK($C53),"",$BR53)</f>
        <v/>
      </c>
      <c r="CE53" s="100" t="str">
        <f aca="false">IF(ISBLANK($C53),"",IF($CD53=Constants!$B$9,COUNTA($C$9:$C$508)+2,IF($CD53=Constants!$B$8,COUNTA($C$9:$C$508)+1,IF($CD53=Constants!$B$7,COUNTA($C$9:$C$508),$CD53))))</f>
        <v/>
      </c>
      <c r="CF53" s="9"/>
      <c r="CG53" s="101" t="n">
        <f aca="false">IF(OR(ISNUMBER($CD53),$CD53=Constants!$B$9,$CD53=Constants!$B$7,$CD53=Constants!$B$8),1,0)</f>
        <v>0</v>
      </c>
      <c r="CH53" s="101" t="n">
        <v>45</v>
      </c>
      <c r="CI53" s="101" t="str">
        <f aca="false">IF(ISBLANK($C53),"",IF(ISNUMBER($CE53),$CE53+ROW($B53)/1000,""))</f>
        <v/>
      </c>
      <c r="CJ53" s="101" t="str">
        <f aca="false">IF(ISNUMBER($CI53),RANK($CI53,$CI$9:$CI$508,1),"")</f>
        <v/>
      </c>
      <c r="CK53" s="101" t="str">
        <f aca="false">IF(ISBLANK($C53),"",$B53)</f>
        <v/>
      </c>
      <c r="CL53" s="101" t="str">
        <f aca="false">IF(ISBLANK($C53),"",$C53)</f>
        <v/>
      </c>
      <c r="CM53" s="101" t="str">
        <f aca="false">IF(ISBLANK($C53),"",$D53)</f>
        <v/>
      </c>
      <c r="CN53" s="102" t="str">
        <f aca="false">$CB53</f>
        <v/>
      </c>
      <c r="CO53" s="103" t="str">
        <f aca="false">$CA53</f>
        <v/>
      </c>
      <c r="CP53" s="101" t="str">
        <f aca="false">IF(ISBLANK($C53),"",$CD53)</f>
        <v/>
      </c>
      <c r="CQ53" s="104" t="str">
        <f aca="false">IF($CH53&gt;$CG$8,"",VLOOKUP($CH53,$CJ$9:$CP$508,7,FALSE()))</f>
        <v/>
      </c>
      <c r="CR53" s="105" t="str">
        <f aca="false">IF($CH53&gt;$CG$8,"",VLOOKUP($CH53,$CJ$9:$CP$508,2,FALSE()))</f>
        <v/>
      </c>
      <c r="CS53" s="105" t="str">
        <f aca="false">IF($CH53&gt;$CG$8,"",VLOOKUP($CH53,$CJ$9:$CP$508,3,FALSE()))</f>
        <v/>
      </c>
      <c r="CT53" s="105" t="str">
        <f aca="false">IF($CH53&gt;$CG$8,"",VLOOKUP($CH53,$CJ$9:$CP$508,4,FALSE()))</f>
        <v/>
      </c>
      <c r="CU53" s="105" t="str">
        <f aca="false">IF($CH53&gt;$CG$8,"",VLOOKUP($CH53,$CJ$9:$CP$508,5,FALSE()))</f>
        <v/>
      </c>
      <c r="CV53" s="106" t="str">
        <f aca="false">IF($CH53&gt;$CG$8,"",VLOOKUP($CH53,$CJ$9:$CP$508,6,FALSE()))</f>
        <v/>
      </c>
      <c r="CW53" s="71"/>
    </row>
    <row r="54" customFormat="false" ht="15.75" hidden="false" customHeight="false" outlineLevel="0" collapsed="false">
      <c r="A54" s="9"/>
      <c r="B54" s="150"/>
      <c r="C54" s="151"/>
      <c r="D54" s="152"/>
      <c r="E54" s="170"/>
      <c r="F54" s="154"/>
      <c r="G54" s="155"/>
      <c r="H54" s="171"/>
      <c r="I54" s="159"/>
      <c r="J54" s="120"/>
      <c r="K54" s="121"/>
      <c r="L54" s="122"/>
      <c r="M54" s="158"/>
      <c r="N54" s="159"/>
      <c r="O54" s="159"/>
      <c r="P54" s="120"/>
      <c r="Q54" s="122"/>
      <c r="R54" s="122"/>
      <c r="S54" s="158"/>
      <c r="T54" s="159"/>
      <c r="U54" s="126"/>
      <c r="V54" s="127"/>
      <c r="W54" s="127" t="str">
        <f aca="false">IF(ISBLANK($C54),"",IF(E54=Constants!$B$2,TRUE(),IF(E54=Constants!$B$3,FALSE(),TRUE())))</f>
        <v/>
      </c>
      <c r="X54" s="127" t="str">
        <f aca="false">IF(ISBLANK($C54),"",IF(F54=Constants!$B$2,TRUE(),IF(F54=Constants!$B$3,FALSE(),TRUE())))</f>
        <v/>
      </c>
      <c r="Y54" s="127" t="str">
        <f aca="false">IF(ISBLANK($C54),"",IF(G54=Constants!$B$2,TRUE(),IF(G54=Constants!$B$3,FALSE(),TRUE())))</f>
        <v/>
      </c>
      <c r="Z54" s="127" t="str">
        <f aca="false">IF(ISBLANK($C54),"",IF(H54=Constants!$B$2,TRUE(),IF(H54=Constants!$B$3,FALSE(),TRUE())))</f>
        <v/>
      </c>
      <c r="AA54" s="127" t="str">
        <f aca="false">IF(ISBLANK($C54),"",IF(I54=Constants!$B$2,TRUE(),IF(I54=Constants!$B$3,FALSE(),TRUE())))</f>
        <v/>
      </c>
      <c r="AB54" s="127" t="str">
        <f aca="false">IF(ISBLANK($C54),"",IF(J54=Constants!$B$4,TRUE(),IF(J54=Constants!$B$5,FALSE(),COUNTA(K54:M54)&gt;0)))</f>
        <v/>
      </c>
      <c r="AC54" s="128" t="str">
        <f aca="false">IF(ISBLANK($C54),"",IF(ISNUMBER(K54),IF(K54&gt;=0,K54,""),""))</f>
        <v/>
      </c>
      <c r="AD54" s="129" t="str">
        <f aca="false">IF(ISBLANK($C54),"",IF(ISNUMBER(L54),IF(L54&gt;=0,L54,""),""))</f>
        <v/>
      </c>
      <c r="AE54" s="127" t="str">
        <f aca="false">IF(ISBLANK($C54),"",IF(ISNUMBER(M54),IF(M54&gt;=0,MIN(M54,Constants!$B$22),""),""))</f>
        <v/>
      </c>
      <c r="AF54" s="127" t="str">
        <f aca="false">IF(ISBLANK($C54),"",IF(N54=Constants!$B$2,TRUE(),IF(N54=Constants!$B$3,FALSE(),TRUE())))</f>
        <v/>
      </c>
      <c r="AG54" s="127" t="str">
        <f aca="false">IF(ISBLANK($C54),"",IF(O54=Constants!$B$2,TRUE(),IF(O54=Constants!$B$3,FALSE(),TRUE())))</f>
        <v/>
      </c>
      <c r="AH54" s="127" t="str">
        <f aca="false">IF(ISBLANK($C54),"",IF(P54=Constants!$B$4,TRUE(),IF(P54=Constants!$B$5,FALSE(),COUNTA(Q54:S54)&gt;0)))</f>
        <v/>
      </c>
      <c r="AI54" s="128" t="str">
        <f aca="false">IF(ISBLANK($C54),"",IF(ISNUMBER(Q54),IF(Q54&gt;=0,Q54,""),""))</f>
        <v/>
      </c>
      <c r="AJ54" s="129" t="str">
        <f aca="false">IF(ISBLANK($C54),"",IF(ISNUMBER(R54),IF(R54&gt;=0,R54,""),""))</f>
        <v/>
      </c>
      <c r="AK54" s="127" t="str">
        <f aca="false">IF(ISBLANK($C54),"",IF(ISNUMBER(S54),IF(S54&gt;=0,MIN(S54,Constants!$B$22),""),""))</f>
        <v/>
      </c>
      <c r="AL54" s="127" t="str">
        <f aca="false">IF(ISBLANK($C54),"",IF(T54=Constants!$B$2,TRUE(),IF(T54=Constants!$B$3,FALSE(),FALSE())))</f>
        <v/>
      </c>
      <c r="AM54" s="126" t="str">
        <f aca="false">IF(ISBLANK($C54),"",AND($AB54,OR($AC54="",$AD54="",AND(NOT(ISBLANK($M54)),$AE54=""))))</f>
        <v/>
      </c>
      <c r="AN54" s="129" t="str">
        <f aca="false">IF($BD54&lt;&gt;Constants!$B$6,"",IF($AB54,Constants!$B$17*$AD54,Constants!$B$18))</f>
        <v/>
      </c>
      <c r="AO54" s="130" t="str">
        <f aca="false">IF($BD54&lt;&gt;Constants!$B$6,"",Constants!$B$19*IF($AB54,$AC54,0))</f>
        <v/>
      </c>
      <c r="AP54" s="130" t="str">
        <f aca="false">IF($BD54&lt;&gt;Constants!$B$6,"",IF(AND($AB54,ISNUMBER($AE54)),Constants!$B$20*(Constants!$B$21-$AE54),0))</f>
        <v/>
      </c>
      <c r="AQ54" s="130" t="str">
        <f aca="false">IF($BD54&lt;&gt;Constants!$B$6,"",IF($AA54,0,Constants!$B$12)+IF($Z54,0,Constants!$B$13)+IF($Y54,0,Constants!$B$14))</f>
        <v/>
      </c>
      <c r="AR54" s="131" t="str">
        <f aca="false">IF($BD54&lt;&gt;Constants!$B$6,"",Constants!$B$16+SUM($AN54:$AQ54))</f>
        <v/>
      </c>
      <c r="AS54" s="130" t="str">
        <f aca="false">IF($BD54&lt;&gt;Constants!$B$6,"",IF($AB54,$AD54,""))</f>
        <v/>
      </c>
      <c r="AT54" s="132" t="str">
        <f aca="false">IF($BD54&lt;&gt;Constants!$B$6,"",$AO54)</f>
        <v/>
      </c>
      <c r="AU54" s="127" t="str">
        <f aca="false">IF($BD54&lt;&gt;Constants!$B$6,"",IF(OR($BA54&lt;$AR54,AND($BA54=$AR54,OR(AND(ISNUMBER($BB54),OR(NOT(ISNUMBER($AS54)),$BB54&lt;$AS54)),AND(OR(AND($BB54="",$AS54=""),AND(ISNUMBER($BB54),ISNUMBER($AS54),$BB54=$AS54)),$BC54&lt;$AT54)))),"-&gt;","&lt;-"))</f>
        <v/>
      </c>
      <c r="AV54" s="126" t="str">
        <f aca="false">IF(ISBLANK($C54),"",AND($AH54,OR($AI54="",$AJ54="",AND(NOT(ISBLANK($S54)),$AK54=""))))</f>
        <v/>
      </c>
      <c r="AW54" s="129" t="str">
        <f aca="false">IF($BD54&lt;&gt;Constants!$B$6,"",IF($AH54,Constants!$B$17*$AJ54,Constants!$B$18))</f>
        <v/>
      </c>
      <c r="AX54" s="130" t="str">
        <f aca="false">IF($BD54&lt;&gt;Constants!$B$6,"",Constants!$B$19*IF($AH54,$AI54,0))</f>
        <v/>
      </c>
      <c r="AY54" s="130" t="str">
        <f aca="false">IF($BD54&lt;&gt;Constants!$B$6,"",IF(AND($AH54,ISNUMBER($AK54)),Constants!$B$20*(Constants!$B$21-$AK54),0))</f>
        <v/>
      </c>
      <c r="AZ54" s="130" t="str">
        <f aca="false">IF($BD54&lt;&gt;Constants!$B$6,"",IF($AG54,0,Constants!$B$12)+IF($AF54,0,Constants!$B$13)+IF($Y54,0,Constants!$B$14))</f>
        <v/>
      </c>
      <c r="BA54" s="131" t="str">
        <f aca="false">IF($BD54&lt;&gt;Constants!$B$6,"",Constants!$B$16+SUM($AW54:$AZ54))</f>
        <v/>
      </c>
      <c r="BB54" s="130" t="str">
        <f aca="false">IF($BD54&lt;&gt;Constants!$B$6,"",IF($AH54,$AJ54,""))</f>
        <v/>
      </c>
      <c r="BC54" s="132" t="str">
        <f aca="false">IF($BD54&lt;&gt;Constants!$B$6,"",$AX54)</f>
        <v/>
      </c>
      <c r="BD54" s="127" t="str">
        <f aca="false">IF(ISBLANK($C54),"",IF($AL54,Constants!$B$9,IF(COUNTA($E54:$T54)=0,Constants!$B$8,IF(NOT($X54),Constants!$B$7,IF(OR($AM54,$AV54),Constants!$B$10,Constants!$B$6)))))</f>
        <v/>
      </c>
      <c r="BE54" s="127" t="str">
        <f aca="false">IF(ISBLANK($C54),"",IF($BD54&lt;&gt;Constants!$B$6,$BD54,Constants!$B$11))</f>
        <v/>
      </c>
      <c r="BF54" s="130" t="str">
        <f aca="false">IF($BD54&lt;&gt;Constants!$B$6,"",IF($AU54="-&gt;",$BA54,$AR54))</f>
        <v/>
      </c>
      <c r="BG54" s="130" t="str">
        <f aca="false">IF($BD54&lt;&gt;Constants!$B$6,"",IF($W54,0,Constants!$B$15))</f>
        <v/>
      </c>
      <c r="BH54" s="130" t="str">
        <f aca="false">IF(ISBLANK($C54),"",IF($BD54&lt;&gt;Constants!$B$6,$BD54,SUM($BF54:$BG54)))</f>
        <v/>
      </c>
      <c r="BI54" s="127" t="str">
        <f aca="false">IF(ISBLANK($C54),"",IF($BD54&lt;&gt;Constants!$B$6,$BD54,RANK($BH54,$BH$9:$BH$508,1)))</f>
        <v/>
      </c>
      <c r="BJ54" s="130" t="str">
        <f aca="false">IF($BD54&lt;&gt;Constants!$B$6,"",IF($AU54="-&gt;",$BB54,$AS54))</f>
        <v/>
      </c>
      <c r="BK54" s="127" t="str">
        <f aca="false">IF(ISBLANK($C54),"",IF($BD54&lt;&gt;Constants!$B$6,$BD54,IF(ISNUMBER($BJ54),RANK($BJ54,$BJ$9:$BJ$508,1),COUNT($BJ$9:$BJ$508)+1)))</f>
        <v/>
      </c>
      <c r="BL54" s="130" t="str">
        <f aca="false">IF($BD54&lt;&gt;Constants!$B$6,"",IF($AU54="-&gt;",$BC54,$AT54))</f>
        <v/>
      </c>
      <c r="BM54" s="127" t="str">
        <f aca="false">IF(ISBLANK($C54),"",IF($BD54&lt;&gt;Constants!$B$6,$BD54,IF(ISNUMBER($BL54),RANK($BL54,$BL$9:$BL$508,1),COUNT($BL$9:$BL$508)+1)))</f>
        <v/>
      </c>
      <c r="BN54" s="130" t="str">
        <f aca="false">IF($BD54&lt;&gt;Constants!$B$6,"",IF($AU54="-&gt;",$AS54,$BB54))</f>
        <v/>
      </c>
      <c r="BO54" s="127" t="str">
        <f aca="false">IF(ISBLANK($C54),"",IF($BD54&lt;&gt;Constants!$B$6,$BD54,IF(ISNUMBER($BN54),RANK($BN54,$BN$9:$BN$508,1),COUNT($BN$9:$BN$508)+1)))</f>
        <v/>
      </c>
      <c r="BP54" s="130" t="str">
        <f aca="false">IF($BD54&lt;&gt;Constants!$B$6,"",IF($AU54="-&gt;",$AT54,$BC54))</f>
        <v/>
      </c>
      <c r="BQ54" s="127" t="str">
        <f aca="false">IF(ISBLANK($C54),"",IF($BD54&lt;&gt;Constants!$B$6,$BD54,IF(ISNUMBER($BP54),RANK($BP54,$BP$9:$BP$508,1),COUNT($BP$9:$BP$508)+1)))</f>
        <v/>
      </c>
      <c r="BR54" s="127" t="str">
        <f aca="false">IF(ISBLANK($C54),"",IF($BD54&lt;&gt;Constants!$B$6,$BD54,COUNTIFS($BI$9:$BI$508,"&lt;"&amp;$BI54)+COUNTIFS($BI$9:$BI$508,$BI54,$BK$9:$BK$508,"&lt;"&amp;$BK54)+COUNTIFS($BI$9:$BI$508,$BI54,$BK$9:$BK$508,$BK54,$BM$9:$BM$508,"&lt;"&amp;$BM54)+COUNTIFS($BI$9:$BI$508,$BI54,$BK$9:$BK$508,$BK54,$BM$9:$BM$508,$BM54,$BO$9:$BO$508,"&lt;"&amp;$BO54)+COUNTIFS($BI$9:$BI$508,$BI54,$BK$9:$BK$508,$BK54,$BM$9:$BM$508,$BM54,$BO$9:$BO$508,$BO54,$BQ$9:$BQ$508,"&lt;"&amp;$BQ54)+1))</f>
        <v/>
      </c>
      <c r="BS54" s="127" t="str">
        <f aca="false">IF(ISBLANK($C54),"",IF($BD54&lt;&gt;Constants!$B$6,$BD54,$BI54-$BR54))</f>
        <v/>
      </c>
      <c r="BT54" s="133"/>
      <c r="BU54" s="134"/>
      <c r="BV54" s="134" t="str">
        <f aca="false">IF(ISBLANK($C54),"",IF($BD54&lt;&gt;Constants!$B$6,"",IF($AU54="-&gt;",2,1)))</f>
        <v/>
      </c>
      <c r="BW54" s="135" t="str">
        <f aca="false">IF(ISBLANK($C54),"",IF($BD54&lt;&gt;Constants!$B$6,"",IF($AU54="-&gt;",$AW54,$AN54)))</f>
        <v/>
      </c>
      <c r="BX54" s="135" t="str">
        <f aca="false">IF(ISBLANK($C54),"",IF($BD54&lt;&gt;Constants!$B$6,"",IF($AU54="-&gt;",$AX54,$AO54)))</f>
        <v/>
      </c>
      <c r="BY54" s="135" t="str">
        <f aca="false">IF(ISBLANK($C54),"",IF($BD54&lt;&gt;Constants!$B$6,"",IF($AU54="-&gt;",$AY54,$AP54)))</f>
        <v/>
      </c>
      <c r="BZ54" s="135" t="str">
        <f aca="false">IF(ISBLANK($C54),"",IF($BD54&lt;&gt;Constants!$B$6,"",IF($AU54="-&gt;",$AZ54,$AQ54)+$BG54))</f>
        <v/>
      </c>
      <c r="CA54" s="136" t="str">
        <f aca="false">IF(ISBLANK($C54),"",IF($BD54&lt;&gt;Constants!$B$6,$BD54,$BH54))</f>
        <v/>
      </c>
      <c r="CB54" s="137" t="str">
        <f aca="false">IF(ISBLANK($C54),"",$BE54)</f>
        <v/>
      </c>
      <c r="CC54" s="138" t="str">
        <f aca="false">IF(ISBLANK($C54),"",$BS54)</f>
        <v/>
      </c>
      <c r="CD54" s="138" t="str">
        <f aca="false">IF(ISBLANK($C54),"",$BR54)</f>
        <v/>
      </c>
      <c r="CE54" s="139" t="str">
        <f aca="false">IF(ISBLANK($C54),"",IF($CD54=Constants!$B$9,COUNTA($C$9:$C$508)+2,IF($CD54=Constants!$B$8,COUNTA($C$9:$C$508)+1,IF($CD54=Constants!$B$7,COUNTA($C$9:$C$508),$CD54))))</f>
        <v/>
      </c>
      <c r="CF54" s="9"/>
      <c r="CG54" s="140" t="n">
        <f aca="false">IF(OR(ISNUMBER($CD54),$CD54=Constants!$B$9,$CD54=Constants!$B$7,$CD54=Constants!$B$8),1,0)</f>
        <v>0</v>
      </c>
      <c r="CH54" s="140" t="n">
        <v>46</v>
      </c>
      <c r="CI54" s="140" t="str">
        <f aca="false">IF(ISBLANK($C54),"",IF(ISNUMBER($CE54),$CE54+ROW($B54)/1000,""))</f>
        <v/>
      </c>
      <c r="CJ54" s="140" t="str">
        <f aca="false">IF(ISNUMBER($CI54),RANK($CI54,$CI$9:$CI$508,1),"")</f>
        <v/>
      </c>
      <c r="CK54" s="140" t="str">
        <f aca="false">IF(ISBLANK($C54),"",$B54)</f>
        <v/>
      </c>
      <c r="CL54" s="140" t="str">
        <f aca="false">IF(ISBLANK($C54),"",$C54)</f>
        <v/>
      </c>
      <c r="CM54" s="140" t="str">
        <f aca="false">IF(ISBLANK($C54),"",$D54)</f>
        <v/>
      </c>
      <c r="CN54" s="141" t="str">
        <f aca="false">$CB54</f>
        <v/>
      </c>
      <c r="CO54" s="142" t="str">
        <f aca="false">$CA54</f>
        <v/>
      </c>
      <c r="CP54" s="140" t="str">
        <f aca="false">IF(ISBLANK($C54),"",$CD54)</f>
        <v/>
      </c>
      <c r="CQ54" s="143" t="str">
        <f aca="false">IF($CH54&gt;$CG$8,"",VLOOKUP($CH54,$CJ$9:$CP$508,7,FALSE()))</f>
        <v/>
      </c>
      <c r="CR54" s="144" t="str">
        <f aca="false">IF($CH54&gt;$CG$8,"",VLOOKUP($CH54,$CJ$9:$CP$508,2,FALSE()))</f>
        <v/>
      </c>
      <c r="CS54" s="144" t="str">
        <f aca="false">IF($CH54&gt;$CG$8,"",VLOOKUP($CH54,$CJ$9:$CP$508,3,FALSE()))</f>
        <v/>
      </c>
      <c r="CT54" s="144" t="str">
        <f aca="false">IF($CH54&gt;$CG$8,"",VLOOKUP($CH54,$CJ$9:$CP$508,4,FALSE()))</f>
        <v/>
      </c>
      <c r="CU54" s="144" t="str">
        <f aca="false">IF($CH54&gt;$CG$8,"",VLOOKUP($CH54,$CJ$9:$CP$508,5,FALSE()))</f>
        <v/>
      </c>
      <c r="CV54" s="145" t="str">
        <f aca="false">IF($CH54&gt;$CG$8,"",VLOOKUP($CH54,$CJ$9:$CP$508,6,FALSE()))</f>
        <v/>
      </c>
      <c r="CW54" s="71"/>
    </row>
    <row r="55" customFormat="false" ht="15.75" hidden="false" customHeight="false" outlineLevel="0" collapsed="false">
      <c r="A55" s="9"/>
      <c r="B55" s="150"/>
      <c r="C55" s="151"/>
      <c r="D55" s="152"/>
      <c r="E55" s="170"/>
      <c r="F55" s="154"/>
      <c r="G55" s="155"/>
      <c r="H55" s="171"/>
      <c r="I55" s="159"/>
      <c r="J55" s="120"/>
      <c r="K55" s="121"/>
      <c r="L55" s="122"/>
      <c r="M55" s="158"/>
      <c r="N55" s="159"/>
      <c r="O55" s="159"/>
      <c r="P55" s="120"/>
      <c r="Q55" s="122"/>
      <c r="R55" s="122"/>
      <c r="S55" s="158"/>
      <c r="T55" s="159"/>
      <c r="U55" s="126"/>
      <c r="V55" s="127"/>
      <c r="W55" s="127" t="str">
        <f aca="false">IF(ISBLANK($C55),"",IF(E55=Constants!$B$2,TRUE(),IF(E55=Constants!$B$3,FALSE(),TRUE())))</f>
        <v/>
      </c>
      <c r="X55" s="127" t="str">
        <f aca="false">IF(ISBLANK($C55),"",IF(F55=Constants!$B$2,TRUE(),IF(F55=Constants!$B$3,FALSE(),TRUE())))</f>
        <v/>
      </c>
      <c r="Y55" s="127" t="str">
        <f aca="false">IF(ISBLANK($C55),"",IF(G55=Constants!$B$2,TRUE(),IF(G55=Constants!$B$3,FALSE(),TRUE())))</f>
        <v/>
      </c>
      <c r="Z55" s="127" t="str">
        <f aca="false">IF(ISBLANK($C55),"",IF(H55=Constants!$B$2,TRUE(),IF(H55=Constants!$B$3,FALSE(),TRUE())))</f>
        <v/>
      </c>
      <c r="AA55" s="127" t="str">
        <f aca="false">IF(ISBLANK($C55),"",IF(I55=Constants!$B$2,TRUE(),IF(I55=Constants!$B$3,FALSE(),TRUE())))</f>
        <v/>
      </c>
      <c r="AB55" s="127" t="str">
        <f aca="false">IF(ISBLANK($C55),"",IF(J55=Constants!$B$4,TRUE(),IF(J55=Constants!$B$5,FALSE(),COUNTA(K55:M55)&gt;0)))</f>
        <v/>
      </c>
      <c r="AC55" s="128" t="str">
        <f aca="false">IF(ISBLANK($C55),"",IF(ISNUMBER(K55),IF(K55&gt;=0,K55,""),""))</f>
        <v/>
      </c>
      <c r="AD55" s="129" t="str">
        <f aca="false">IF(ISBLANK($C55),"",IF(ISNUMBER(L55),IF(L55&gt;=0,L55,""),""))</f>
        <v/>
      </c>
      <c r="AE55" s="127" t="str">
        <f aca="false">IF(ISBLANK($C55),"",IF(ISNUMBER(M55),IF(M55&gt;=0,MIN(M55,Constants!$B$22),""),""))</f>
        <v/>
      </c>
      <c r="AF55" s="127" t="str">
        <f aca="false">IF(ISBLANK($C55),"",IF(N55=Constants!$B$2,TRUE(),IF(N55=Constants!$B$3,FALSE(),TRUE())))</f>
        <v/>
      </c>
      <c r="AG55" s="127" t="str">
        <f aca="false">IF(ISBLANK($C55),"",IF(O55=Constants!$B$2,TRUE(),IF(O55=Constants!$B$3,FALSE(),TRUE())))</f>
        <v/>
      </c>
      <c r="AH55" s="127" t="str">
        <f aca="false">IF(ISBLANK($C55),"",IF(P55=Constants!$B$4,TRUE(),IF(P55=Constants!$B$5,FALSE(),COUNTA(Q55:S55)&gt;0)))</f>
        <v/>
      </c>
      <c r="AI55" s="128" t="str">
        <f aca="false">IF(ISBLANK($C55),"",IF(ISNUMBER(Q55),IF(Q55&gt;=0,Q55,""),""))</f>
        <v/>
      </c>
      <c r="AJ55" s="129" t="str">
        <f aca="false">IF(ISBLANK($C55),"",IF(ISNUMBER(R55),IF(R55&gt;=0,R55,""),""))</f>
        <v/>
      </c>
      <c r="AK55" s="127" t="str">
        <f aca="false">IF(ISBLANK($C55),"",IF(ISNUMBER(S55),IF(S55&gt;=0,MIN(S55,Constants!$B$22),""),""))</f>
        <v/>
      </c>
      <c r="AL55" s="127" t="str">
        <f aca="false">IF(ISBLANK($C55),"",IF(T55=Constants!$B$2,TRUE(),IF(T55=Constants!$B$3,FALSE(),FALSE())))</f>
        <v/>
      </c>
      <c r="AM55" s="126" t="str">
        <f aca="false">IF(ISBLANK($C55),"",AND($AB55,OR($AC55="",$AD55="",AND(NOT(ISBLANK($M55)),$AE55=""))))</f>
        <v/>
      </c>
      <c r="AN55" s="129" t="str">
        <f aca="false">IF($BD55&lt;&gt;Constants!$B$6,"",IF($AB55,Constants!$B$17*$AD55,Constants!$B$18))</f>
        <v/>
      </c>
      <c r="AO55" s="130" t="str">
        <f aca="false">IF($BD55&lt;&gt;Constants!$B$6,"",Constants!$B$19*IF($AB55,$AC55,0))</f>
        <v/>
      </c>
      <c r="AP55" s="130" t="str">
        <f aca="false">IF($BD55&lt;&gt;Constants!$B$6,"",IF(AND($AB55,ISNUMBER($AE55)),Constants!$B$20*(Constants!$B$21-$AE55),0))</f>
        <v/>
      </c>
      <c r="AQ55" s="130" t="str">
        <f aca="false">IF($BD55&lt;&gt;Constants!$B$6,"",IF($AA55,0,Constants!$B$12)+IF($Z55,0,Constants!$B$13)+IF($Y55,0,Constants!$B$14))</f>
        <v/>
      </c>
      <c r="AR55" s="131" t="str">
        <f aca="false">IF($BD55&lt;&gt;Constants!$B$6,"",Constants!$B$16+SUM($AN55:$AQ55))</f>
        <v/>
      </c>
      <c r="AS55" s="130" t="str">
        <f aca="false">IF($BD55&lt;&gt;Constants!$B$6,"",IF($AB55,$AD55,""))</f>
        <v/>
      </c>
      <c r="AT55" s="132" t="str">
        <f aca="false">IF($BD55&lt;&gt;Constants!$B$6,"",$AO55)</f>
        <v/>
      </c>
      <c r="AU55" s="127" t="str">
        <f aca="false">IF($BD55&lt;&gt;Constants!$B$6,"",IF(OR($BA55&lt;$AR55,AND($BA55=$AR55,OR(AND(ISNUMBER($BB55),OR(NOT(ISNUMBER($AS55)),$BB55&lt;$AS55)),AND(OR(AND($BB55="",$AS55=""),AND(ISNUMBER($BB55),ISNUMBER($AS55),$BB55=$AS55)),$BC55&lt;$AT55)))),"-&gt;","&lt;-"))</f>
        <v/>
      </c>
      <c r="AV55" s="126" t="str">
        <f aca="false">IF(ISBLANK($C55),"",AND($AH55,OR($AI55="",$AJ55="",AND(NOT(ISBLANK($S55)),$AK55=""))))</f>
        <v/>
      </c>
      <c r="AW55" s="129" t="str">
        <f aca="false">IF($BD55&lt;&gt;Constants!$B$6,"",IF($AH55,Constants!$B$17*$AJ55,Constants!$B$18))</f>
        <v/>
      </c>
      <c r="AX55" s="130" t="str">
        <f aca="false">IF($BD55&lt;&gt;Constants!$B$6,"",Constants!$B$19*IF($AH55,$AI55,0))</f>
        <v/>
      </c>
      <c r="AY55" s="130" t="str">
        <f aca="false">IF($BD55&lt;&gt;Constants!$B$6,"",IF(AND($AH55,ISNUMBER($AK55)),Constants!$B$20*(Constants!$B$21-$AK55),0))</f>
        <v/>
      </c>
      <c r="AZ55" s="130" t="str">
        <f aca="false">IF($BD55&lt;&gt;Constants!$B$6,"",IF($AG55,0,Constants!$B$12)+IF($AF55,0,Constants!$B$13)+IF($Y55,0,Constants!$B$14))</f>
        <v/>
      </c>
      <c r="BA55" s="131" t="str">
        <f aca="false">IF($BD55&lt;&gt;Constants!$B$6,"",Constants!$B$16+SUM($AW55:$AZ55))</f>
        <v/>
      </c>
      <c r="BB55" s="130" t="str">
        <f aca="false">IF($BD55&lt;&gt;Constants!$B$6,"",IF($AH55,$AJ55,""))</f>
        <v/>
      </c>
      <c r="BC55" s="132" t="str">
        <f aca="false">IF($BD55&lt;&gt;Constants!$B$6,"",$AX55)</f>
        <v/>
      </c>
      <c r="BD55" s="127" t="str">
        <f aca="false">IF(ISBLANK($C55),"",IF($AL55,Constants!$B$9,IF(COUNTA($E55:$T55)=0,Constants!$B$8,IF(NOT($X55),Constants!$B$7,IF(OR($AM55,$AV55),Constants!$B$10,Constants!$B$6)))))</f>
        <v/>
      </c>
      <c r="BE55" s="127" t="str">
        <f aca="false">IF(ISBLANK($C55),"",IF($BD55&lt;&gt;Constants!$B$6,$BD55,Constants!$B$11))</f>
        <v/>
      </c>
      <c r="BF55" s="130" t="str">
        <f aca="false">IF($BD55&lt;&gt;Constants!$B$6,"",IF($AU55="-&gt;",$BA55,$AR55))</f>
        <v/>
      </c>
      <c r="BG55" s="130" t="str">
        <f aca="false">IF($BD55&lt;&gt;Constants!$B$6,"",IF($W55,0,Constants!$B$15))</f>
        <v/>
      </c>
      <c r="BH55" s="130" t="str">
        <f aca="false">IF(ISBLANK($C55),"",IF($BD55&lt;&gt;Constants!$B$6,$BD55,SUM($BF55:$BG55)))</f>
        <v/>
      </c>
      <c r="BI55" s="127" t="str">
        <f aca="false">IF(ISBLANK($C55),"",IF($BD55&lt;&gt;Constants!$B$6,$BD55,RANK($BH55,$BH$9:$BH$508,1)))</f>
        <v/>
      </c>
      <c r="BJ55" s="130" t="str">
        <f aca="false">IF($BD55&lt;&gt;Constants!$B$6,"",IF($AU55="-&gt;",$BB55,$AS55))</f>
        <v/>
      </c>
      <c r="BK55" s="127" t="str">
        <f aca="false">IF(ISBLANK($C55),"",IF($BD55&lt;&gt;Constants!$B$6,$BD55,IF(ISNUMBER($BJ55),RANK($BJ55,$BJ$9:$BJ$508,1),COUNT($BJ$9:$BJ$508)+1)))</f>
        <v/>
      </c>
      <c r="BL55" s="130" t="str">
        <f aca="false">IF($BD55&lt;&gt;Constants!$B$6,"",IF($AU55="-&gt;",$BC55,$AT55))</f>
        <v/>
      </c>
      <c r="BM55" s="127" t="str">
        <f aca="false">IF(ISBLANK($C55),"",IF($BD55&lt;&gt;Constants!$B$6,$BD55,IF(ISNUMBER($BL55),RANK($BL55,$BL$9:$BL$508,1),COUNT($BL$9:$BL$508)+1)))</f>
        <v/>
      </c>
      <c r="BN55" s="130" t="str">
        <f aca="false">IF($BD55&lt;&gt;Constants!$B$6,"",IF($AU55="-&gt;",$AS55,$BB55))</f>
        <v/>
      </c>
      <c r="BO55" s="127" t="str">
        <f aca="false">IF(ISBLANK($C55),"",IF($BD55&lt;&gt;Constants!$B$6,$BD55,IF(ISNUMBER($BN55),RANK($BN55,$BN$9:$BN$508,1),COUNT($BN$9:$BN$508)+1)))</f>
        <v/>
      </c>
      <c r="BP55" s="130" t="str">
        <f aca="false">IF($BD55&lt;&gt;Constants!$B$6,"",IF($AU55="-&gt;",$AT55,$BC55))</f>
        <v/>
      </c>
      <c r="BQ55" s="127" t="str">
        <f aca="false">IF(ISBLANK($C55),"",IF($BD55&lt;&gt;Constants!$B$6,$BD55,IF(ISNUMBER($BP55),RANK($BP55,$BP$9:$BP$508,1),COUNT($BP$9:$BP$508)+1)))</f>
        <v/>
      </c>
      <c r="BR55" s="127" t="str">
        <f aca="false">IF(ISBLANK($C55),"",IF($BD55&lt;&gt;Constants!$B$6,$BD55,COUNTIFS($BI$9:$BI$508,"&lt;"&amp;$BI55)+COUNTIFS($BI$9:$BI$508,$BI55,$BK$9:$BK$508,"&lt;"&amp;$BK55)+COUNTIFS($BI$9:$BI$508,$BI55,$BK$9:$BK$508,$BK55,$BM$9:$BM$508,"&lt;"&amp;$BM55)+COUNTIFS($BI$9:$BI$508,$BI55,$BK$9:$BK$508,$BK55,$BM$9:$BM$508,$BM55,$BO$9:$BO$508,"&lt;"&amp;$BO55)+COUNTIFS($BI$9:$BI$508,$BI55,$BK$9:$BK$508,$BK55,$BM$9:$BM$508,$BM55,$BO$9:$BO$508,$BO55,$BQ$9:$BQ$508,"&lt;"&amp;$BQ55)+1))</f>
        <v/>
      </c>
      <c r="BS55" s="127" t="str">
        <f aca="false">IF(ISBLANK($C55),"",IF($BD55&lt;&gt;Constants!$B$6,$BD55,$BI55-$BR55))</f>
        <v/>
      </c>
      <c r="BT55" s="133"/>
      <c r="BU55" s="134"/>
      <c r="BV55" s="134" t="str">
        <f aca="false">IF(ISBLANK($C55),"",IF($BD55&lt;&gt;Constants!$B$6,"",IF($AU55="-&gt;",2,1)))</f>
        <v/>
      </c>
      <c r="BW55" s="135" t="str">
        <f aca="false">IF(ISBLANK($C55),"",IF($BD55&lt;&gt;Constants!$B$6,"",IF($AU55="-&gt;",$AW55,$AN55)))</f>
        <v/>
      </c>
      <c r="BX55" s="135" t="str">
        <f aca="false">IF(ISBLANK($C55),"",IF($BD55&lt;&gt;Constants!$B$6,"",IF($AU55="-&gt;",$AX55,$AO55)))</f>
        <v/>
      </c>
      <c r="BY55" s="135" t="str">
        <f aca="false">IF(ISBLANK($C55),"",IF($BD55&lt;&gt;Constants!$B$6,"",IF($AU55="-&gt;",$AY55,$AP55)))</f>
        <v/>
      </c>
      <c r="BZ55" s="135" t="str">
        <f aca="false">IF(ISBLANK($C55),"",IF($BD55&lt;&gt;Constants!$B$6,"",IF($AU55="-&gt;",$AZ55,$AQ55)+$BG55))</f>
        <v/>
      </c>
      <c r="CA55" s="136" t="str">
        <f aca="false">IF(ISBLANK($C55),"",IF($BD55&lt;&gt;Constants!$B$6,$BD55,$BH55))</f>
        <v/>
      </c>
      <c r="CB55" s="137" t="str">
        <f aca="false">IF(ISBLANK($C55),"",$BE55)</f>
        <v/>
      </c>
      <c r="CC55" s="138" t="str">
        <f aca="false">IF(ISBLANK($C55),"",$BS55)</f>
        <v/>
      </c>
      <c r="CD55" s="138" t="str">
        <f aca="false">IF(ISBLANK($C55),"",$BR55)</f>
        <v/>
      </c>
      <c r="CE55" s="139" t="str">
        <f aca="false">IF(ISBLANK($C55),"",IF($CD55=Constants!$B$9,COUNTA($C$9:$C$508)+2,IF($CD55=Constants!$B$8,COUNTA($C$9:$C$508)+1,IF($CD55=Constants!$B$7,COUNTA($C$9:$C$508),$CD55))))</f>
        <v/>
      </c>
      <c r="CF55" s="9"/>
      <c r="CG55" s="140" t="n">
        <f aca="false">IF(OR(ISNUMBER($CD55),$CD55=Constants!$B$9,$CD55=Constants!$B$7,$CD55=Constants!$B$8),1,0)</f>
        <v>0</v>
      </c>
      <c r="CH55" s="140" t="n">
        <v>47</v>
      </c>
      <c r="CI55" s="140" t="str">
        <f aca="false">IF(ISBLANK($C55),"",IF(ISNUMBER($CE55),$CE55+ROW($B55)/1000,""))</f>
        <v/>
      </c>
      <c r="CJ55" s="140" t="str">
        <f aca="false">IF(ISNUMBER($CI55),RANK($CI55,$CI$9:$CI$508,1),"")</f>
        <v/>
      </c>
      <c r="CK55" s="140" t="str">
        <f aca="false">IF(ISBLANK($C55),"",$B55)</f>
        <v/>
      </c>
      <c r="CL55" s="140" t="str">
        <f aca="false">IF(ISBLANK($C55),"",$C55)</f>
        <v/>
      </c>
      <c r="CM55" s="140" t="str">
        <f aca="false">IF(ISBLANK($C55),"",$D55)</f>
        <v/>
      </c>
      <c r="CN55" s="141" t="str">
        <f aca="false">$CB55</f>
        <v/>
      </c>
      <c r="CO55" s="142" t="str">
        <f aca="false">$CA55</f>
        <v/>
      </c>
      <c r="CP55" s="140" t="str">
        <f aca="false">IF(ISBLANK($C55),"",$CD55)</f>
        <v/>
      </c>
      <c r="CQ55" s="143" t="str">
        <f aca="false">IF($CH55&gt;$CG$8,"",VLOOKUP($CH55,$CJ$9:$CP$508,7,FALSE()))</f>
        <v/>
      </c>
      <c r="CR55" s="144" t="str">
        <f aca="false">IF($CH55&gt;$CG$8,"",VLOOKUP($CH55,$CJ$9:$CP$508,2,FALSE()))</f>
        <v/>
      </c>
      <c r="CS55" s="144" t="str">
        <f aca="false">IF($CH55&gt;$CG$8,"",VLOOKUP($CH55,$CJ$9:$CP$508,3,FALSE()))</f>
        <v/>
      </c>
      <c r="CT55" s="144" t="str">
        <f aca="false">IF($CH55&gt;$CG$8,"",VLOOKUP($CH55,$CJ$9:$CP$508,4,FALSE()))</f>
        <v/>
      </c>
      <c r="CU55" s="144" t="str">
        <f aca="false">IF($CH55&gt;$CG$8,"",VLOOKUP($CH55,$CJ$9:$CP$508,5,FALSE()))</f>
        <v/>
      </c>
      <c r="CV55" s="145" t="str">
        <f aca="false">IF($CH55&gt;$CG$8,"",VLOOKUP($CH55,$CJ$9:$CP$508,6,FALSE()))</f>
        <v/>
      </c>
      <c r="CW55" s="71"/>
    </row>
    <row r="56" customFormat="false" ht="15.75" hidden="false" customHeight="false" outlineLevel="0" collapsed="false">
      <c r="A56" s="9"/>
      <c r="B56" s="150"/>
      <c r="C56" s="151"/>
      <c r="D56" s="152"/>
      <c r="E56" s="170"/>
      <c r="F56" s="154"/>
      <c r="G56" s="155"/>
      <c r="H56" s="171"/>
      <c r="I56" s="159"/>
      <c r="J56" s="120"/>
      <c r="K56" s="121"/>
      <c r="L56" s="122"/>
      <c r="M56" s="158"/>
      <c r="N56" s="159"/>
      <c r="O56" s="159"/>
      <c r="P56" s="120"/>
      <c r="Q56" s="122"/>
      <c r="R56" s="122"/>
      <c r="S56" s="158"/>
      <c r="T56" s="159"/>
      <c r="U56" s="126"/>
      <c r="V56" s="127"/>
      <c r="W56" s="127" t="str">
        <f aca="false">IF(ISBLANK($C56),"",IF(E56=Constants!$B$2,TRUE(),IF(E56=Constants!$B$3,FALSE(),TRUE())))</f>
        <v/>
      </c>
      <c r="X56" s="127" t="str">
        <f aca="false">IF(ISBLANK($C56),"",IF(F56=Constants!$B$2,TRUE(),IF(F56=Constants!$B$3,FALSE(),TRUE())))</f>
        <v/>
      </c>
      <c r="Y56" s="127" t="str">
        <f aca="false">IF(ISBLANK($C56),"",IF(G56=Constants!$B$2,TRUE(),IF(G56=Constants!$B$3,FALSE(),TRUE())))</f>
        <v/>
      </c>
      <c r="Z56" s="127" t="str">
        <f aca="false">IF(ISBLANK($C56),"",IF(H56=Constants!$B$2,TRUE(),IF(H56=Constants!$B$3,FALSE(),TRUE())))</f>
        <v/>
      </c>
      <c r="AA56" s="127" t="str">
        <f aca="false">IF(ISBLANK($C56),"",IF(I56=Constants!$B$2,TRUE(),IF(I56=Constants!$B$3,FALSE(),TRUE())))</f>
        <v/>
      </c>
      <c r="AB56" s="127" t="str">
        <f aca="false">IF(ISBLANK($C56),"",IF(J56=Constants!$B$4,TRUE(),IF(J56=Constants!$B$5,FALSE(),COUNTA(K56:M56)&gt;0)))</f>
        <v/>
      </c>
      <c r="AC56" s="128" t="str">
        <f aca="false">IF(ISBLANK($C56),"",IF(ISNUMBER(K56),IF(K56&gt;=0,K56,""),""))</f>
        <v/>
      </c>
      <c r="AD56" s="129" t="str">
        <f aca="false">IF(ISBLANK($C56),"",IF(ISNUMBER(L56),IF(L56&gt;=0,L56,""),""))</f>
        <v/>
      </c>
      <c r="AE56" s="127" t="str">
        <f aca="false">IF(ISBLANK($C56),"",IF(ISNUMBER(M56),IF(M56&gt;=0,MIN(M56,Constants!$B$22),""),""))</f>
        <v/>
      </c>
      <c r="AF56" s="127" t="str">
        <f aca="false">IF(ISBLANK($C56),"",IF(N56=Constants!$B$2,TRUE(),IF(N56=Constants!$B$3,FALSE(),TRUE())))</f>
        <v/>
      </c>
      <c r="AG56" s="127" t="str">
        <f aca="false">IF(ISBLANK($C56),"",IF(O56=Constants!$B$2,TRUE(),IF(O56=Constants!$B$3,FALSE(),TRUE())))</f>
        <v/>
      </c>
      <c r="AH56" s="127" t="str">
        <f aca="false">IF(ISBLANK($C56),"",IF(P56=Constants!$B$4,TRUE(),IF(P56=Constants!$B$5,FALSE(),COUNTA(Q56:S56)&gt;0)))</f>
        <v/>
      </c>
      <c r="AI56" s="128" t="str">
        <f aca="false">IF(ISBLANK($C56),"",IF(ISNUMBER(Q56),IF(Q56&gt;=0,Q56,""),""))</f>
        <v/>
      </c>
      <c r="AJ56" s="129" t="str">
        <f aca="false">IF(ISBLANK($C56),"",IF(ISNUMBER(R56),IF(R56&gt;=0,R56,""),""))</f>
        <v/>
      </c>
      <c r="AK56" s="127" t="str">
        <f aca="false">IF(ISBLANK($C56),"",IF(ISNUMBER(S56),IF(S56&gt;=0,MIN(S56,Constants!$B$22),""),""))</f>
        <v/>
      </c>
      <c r="AL56" s="127" t="str">
        <f aca="false">IF(ISBLANK($C56),"",IF(T56=Constants!$B$2,TRUE(),IF(T56=Constants!$B$3,FALSE(),FALSE())))</f>
        <v/>
      </c>
      <c r="AM56" s="126" t="str">
        <f aca="false">IF(ISBLANK($C56),"",AND($AB56,OR($AC56="",$AD56="",AND(NOT(ISBLANK($M56)),$AE56=""))))</f>
        <v/>
      </c>
      <c r="AN56" s="129" t="str">
        <f aca="false">IF($BD56&lt;&gt;Constants!$B$6,"",IF($AB56,Constants!$B$17*$AD56,Constants!$B$18))</f>
        <v/>
      </c>
      <c r="AO56" s="130" t="str">
        <f aca="false">IF($BD56&lt;&gt;Constants!$B$6,"",Constants!$B$19*IF($AB56,$AC56,0))</f>
        <v/>
      </c>
      <c r="AP56" s="130" t="str">
        <f aca="false">IF($BD56&lt;&gt;Constants!$B$6,"",IF(AND($AB56,ISNUMBER($AE56)),Constants!$B$20*(Constants!$B$21-$AE56),0))</f>
        <v/>
      </c>
      <c r="AQ56" s="130" t="str">
        <f aca="false">IF($BD56&lt;&gt;Constants!$B$6,"",IF($AA56,0,Constants!$B$12)+IF($Z56,0,Constants!$B$13)+IF($Y56,0,Constants!$B$14))</f>
        <v/>
      </c>
      <c r="AR56" s="131" t="str">
        <f aca="false">IF($BD56&lt;&gt;Constants!$B$6,"",Constants!$B$16+SUM($AN56:$AQ56))</f>
        <v/>
      </c>
      <c r="AS56" s="130" t="str">
        <f aca="false">IF($BD56&lt;&gt;Constants!$B$6,"",IF($AB56,$AD56,""))</f>
        <v/>
      </c>
      <c r="AT56" s="132" t="str">
        <f aca="false">IF($BD56&lt;&gt;Constants!$B$6,"",$AO56)</f>
        <v/>
      </c>
      <c r="AU56" s="127" t="str">
        <f aca="false">IF($BD56&lt;&gt;Constants!$B$6,"",IF(OR($BA56&lt;$AR56,AND($BA56=$AR56,OR(AND(ISNUMBER($BB56),OR(NOT(ISNUMBER($AS56)),$BB56&lt;$AS56)),AND(OR(AND($BB56="",$AS56=""),AND(ISNUMBER($BB56),ISNUMBER($AS56),$BB56=$AS56)),$BC56&lt;$AT56)))),"-&gt;","&lt;-"))</f>
        <v/>
      </c>
      <c r="AV56" s="126" t="str">
        <f aca="false">IF(ISBLANK($C56),"",AND($AH56,OR($AI56="",$AJ56="",AND(NOT(ISBLANK($S56)),$AK56=""))))</f>
        <v/>
      </c>
      <c r="AW56" s="129" t="str">
        <f aca="false">IF($BD56&lt;&gt;Constants!$B$6,"",IF($AH56,Constants!$B$17*$AJ56,Constants!$B$18))</f>
        <v/>
      </c>
      <c r="AX56" s="130" t="str">
        <f aca="false">IF($BD56&lt;&gt;Constants!$B$6,"",Constants!$B$19*IF($AH56,$AI56,0))</f>
        <v/>
      </c>
      <c r="AY56" s="130" t="str">
        <f aca="false">IF($BD56&lt;&gt;Constants!$B$6,"",IF(AND($AH56,ISNUMBER($AK56)),Constants!$B$20*(Constants!$B$21-$AK56),0))</f>
        <v/>
      </c>
      <c r="AZ56" s="130" t="str">
        <f aca="false">IF($BD56&lt;&gt;Constants!$B$6,"",IF($AG56,0,Constants!$B$12)+IF($AF56,0,Constants!$B$13)+IF($Y56,0,Constants!$B$14))</f>
        <v/>
      </c>
      <c r="BA56" s="131" t="str">
        <f aca="false">IF($BD56&lt;&gt;Constants!$B$6,"",Constants!$B$16+SUM($AW56:$AZ56))</f>
        <v/>
      </c>
      <c r="BB56" s="130" t="str">
        <f aca="false">IF($BD56&lt;&gt;Constants!$B$6,"",IF($AH56,$AJ56,""))</f>
        <v/>
      </c>
      <c r="BC56" s="132" t="str">
        <f aca="false">IF($BD56&lt;&gt;Constants!$B$6,"",$AX56)</f>
        <v/>
      </c>
      <c r="BD56" s="127" t="str">
        <f aca="false">IF(ISBLANK($C56),"",IF($AL56,Constants!$B$9,IF(COUNTA($E56:$T56)=0,Constants!$B$8,IF(NOT($X56),Constants!$B$7,IF(OR($AM56,$AV56),Constants!$B$10,Constants!$B$6)))))</f>
        <v/>
      </c>
      <c r="BE56" s="127" t="str">
        <f aca="false">IF(ISBLANK($C56),"",IF($BD56&lt;&gt;Constants!$B$6,$BD56,Constants!$B$11))</f>
        <v/>
      </c>
      <c r="BF56" s="130" t="str">
        <f aca="false">IF($BD56&lt;&gt;Constants!$B$6,"",IF($AU56="-&gt;",$BA56,$AR56))</f>
        <v/>
      </c>
      <c r="BG56" s="130" t="str">
        <f aca="false">IF($BD56&lt;&gt;Constants!$B$6,"",IF($W56,0,Constants!$B$15))</f>
        <v/>
      </c>
      <c r="BH56" s="130" t="str">
        <f aca="false">IF(ISBLANK($C56),"",IF($BD56&lt;&gt;Constants!$B$6,$BD56,SUM($BF56:$BG56)))</f>
        <v/>
      </c>
      <c r="BI56" s="127" t="str">
        <f aca="false">IF(ISBLANK($C56),"",IF($BD56&lt;&gt;Constants!$B$6,$BD56,RANK($BH56,$BH$9:$BH$508,1)))</f>
        <v/>
      </c>
      <c r="BJ56" s="130" t="str">
        <f aca="false">IF($BD56&lt;&gt;Constants!$B$6,"",IF($AU56="-&gt;",$BB56,$AS56))</f>
        <v/>
      </c>
      <c r="BK56" s="127" t="str">
        <f aca="false">IF(ISBLANK($C56),"",IF($BD56&lt;&gt;Constants!$B$6,$BD56,IF(ISNUMBER($BJ56),RANK($BJ56,$BJ$9:$BJ$508,1),COUNT($BJ$9:$BJ$508)+1)))</f>
        <v/>
      </c>
      <c r="BL56" s="130" t="str">
        <f aca="false">IF($BD56&lt;&gt;Constants!$B$6,"",IF($AU56="-&gt;",$BC56,$AT56))</f>
        <v/>
      </c>
      <c r="BM56" s="127" t="str">
        <f aca="false">IF(ISBLANK($C56),"",IF($BD56&lt;&gt;Constants!$B$6,$BD56,IF(ISNUMBER($BL56),RANK($BL56,$BL$9:$BL$508,1),COUNT($BL$9:$BL$508)+1)))</f>
        <v/>
      </c>
      <c r="BN56" s="130" t="str">
        <f aca="false">IF($BD56&lt;&gt;Constants!$B$6,"",IF($AU56="-&gt;",$AS56,$BB56))</f>
        <v/>
      </c>
      <c r="BO56" s="127" t="str">
        <f aca="false">IF(ISBLANK($C56),"",IF($BD56&lt;&gt;Constants!$B$6,$BD56,IF(ISNUMBER($BN56),RANK($BN56,$BN$9:$BN$508,1),COUNT($BN$9:$BN$508)+1)))</f>
        <v/>
      </c>
      <c r="BP56" s="130" t="str">
        <f aca="false">IF($BD56&lt;&gt;Constants!$B$6,"",IF($AU56="-&gt;",$AT56,$BC56))</f>
        <v/>
      </c>
      <c r="BQ56" s="127" t="str">
        <f aca="false">IF(ISBLANK($C56),"",IF($BD56&lt;&gt;Constants!$B$6,$BD56,IF(ISNUMBER($BP56),RANK($BP56,$BP$9:$BP$508,1),COUNT($BP$9:$BP$508)+1)))</f>
        <v/>
      </c>
      <c r="BR56" s="127" t="str">
        <f aca="false">IF(ISBLANK($C56),"",IF($BD56&lt;&gt;Constants!$B$6,$BD56,COUNTIFS($BI$9:$BI$508,"&lt;"&amp;$BI56)+COUNTIFS($BI$9:$BI$508,$BI56,$BK$9:$BK$508,"&lt;"&amp;$BK56)+COUNTIFS($BI$9:$BI$508,$BI56,$BK$9:$BK$508,$BK56,$BM$9:$BM$508,"&lt;"&amp;$BM56)+COUNTIFS($BI$9:$BI$508,$BI56,$BK$9:$BK$508,$BK56,$BM$9:$BM$508,$BM56,$BO$9:$BO$508,"&lt;"&amp;$BO56)+COUNTIFS($BI$9:$BI$508,$BI56,$BK$9:$BK$508,$BK56,$BM$9:$BM$508,$BM56,$BO$9:$BO$508,$BO56,$BQ$9:$BQ$508,"&lt;"&amp;$BQ56)+1))</f>
        <v/>
      </c>
      <c r="BS56" s="127" t="str">
        <f aca="false">IF(ISBLANK($C56),"",IF($BD56&lt;&gt;Constants!$B$6,$BD56,$BI56-$BR56))</f>
        <v/>
      </c>
      <c r="BT56" s="133"/>
      <c r="BU56" s="134"/>
      <c r="BV56" s="134" t="str">
        <f aca="false">IF(ISBLANK($C56),"",IF($BD56&lt;&gt;Constants!$B$6,"",IF($AU56="-&gt;",2,1)))</f>
        <v/>
      </c>
      <c r="BW56" s="135" t="str">
        <f aca="false">IF(ISBLANK($C56),"",IF($BD56&lt;&gt;Constants!$B$6,"",IF($AU56="-&gt;",$AW56,$AN56)))</f>
        <v/>
      </c>
      <c r="BX56" s="135" t="str">
        <f aca="false">IF(ISBLANK($C56),"",IF($BD56&lt;&gt;Constants!$B$6,"",IF($AU56="-&gt;",$AX56,$AO56)))</f>
        <v/>
      </c>
      <c r="BY56" s="135" t="str">
        <f aca="false">IF(ISBLANK($C56),"",IF($BD56&lt;&gt;Constants!$B$6,"",IF($AU56="-&gt;",$AY56,$AP56)))</f>
        <v/>
      </c>
      <c r="BZ56" s="135" t="str">
        <f aca="false">IF(ISBLANK($C56),"",IF($BD56&lt;&gt;Constants!$B$6,"",IF($AU56="-&gt;",$AZ56,$AQ56)+$BG56))</f>
        <v/>
      </c>
      <c r="CA56" s="136" t="str">
        <f aca="false">IF(ISBLANK($C56),"",IF($BD56&lt;&gt;Constants!$B$6,$BD56,$BH56))</f>
        <v/>
      </c>
      <c r="CB56" s="137" t="str">
        <f aca="false">IF(ISBLANK($C56),"",$BE56)</f>
        <v/>
      </c>
      <c r="CC56" s="138" t="str">
        <f aca="false">IF(ISBLANK($C56),"",$BS56)</f>
        <v/>
      </c>
      <c r="CD56" s="138" t="str">
        <f aca="false">IF(ISBLANK($C56),"",$BR56)</f>
        <v/>
      </c>
      <c r="CE56" s="139" t="str">
        <f aca="false">IF(ISBLANK($C56),"",IF($CD56=Constants!$B$9,COUNTA($C$9:$C$508)+2,IF($CD56=Constants!$B$8,COUNTA($C$9:$C$508)+1,IF($CD56=Constants!$B$7,COUNTA($C$9:$C$508),$CD56))))</f>
        <v/>
      </c>
      <c r="CF56" s="9"/>
      <c r="CG56" s="140" t="n">
        <f aca="false">IF(OR(ISNUMBER($CD56),$CD56=Constants!$B$9,$CD56=Constants!$B$7,$CD56=Constants!$B$8),1,0)</f>
        <v>0</v>
      </c>
      <c r="CH56" s="140" t="n">
        <v>48</v>
      </c>
      <c r="CI56" s="140" t="str">
        <f aca="false">IF(ISBLANK($C56),"",IF(ISNUMBER($CE56),$CE56+ROW($B56)/1000,""))</f>
        <v/>
      </c>
      <c r="CJ56" s="140" t="str">
        <f aca="false">IF(ISNUMBER($CI56),RANK($CI56,$CI$9:$CI$508,1),"")</f>
        <v/>
      </c>
      <c r="CK56" s="140" t="str">
        <f aca="false">IF(ISBLANK($C56),"",$B56)</f>
        <v/>
      </c>
      <c r="CL56" s="140" t="str">
        <f aca="false">IF(ISBLANK($C56),"",$C56)</f>
        <v/>
      </c>
      <c r="CM56" s="140" t="str">
        <f aca="false">IF(ISBLANK($C56),"",$D56)</f>
        <v/>
      </c>
      <c r="CN56" s="141" t="str">
        <f aca="false">$CB56</f>
        <v/>
      </c>
      <c r="CO56" s="142" t="str">
        <f aca="false">$CA56</f>
        <v/>
      </c>
      <c r="CP56" s="140" t="str">
        <f aca="false">IF(ISBLANK($C56),"",$CD56)</f>
        <v/>
      </c>
      <c r="CQ56" s="143" t="str">
        <f aca="false">IF($CH56&gt;$CG$8,"",VLOOKUP($CH56,$CJ$9:$CP$508,7,FALSE()))</f>
        <v/>
      </c>
      <c r="CR56" s="144" t="str">
        <f aca="false">IF($CH56&gt;$CG$8,"",VLOOKUP($CH56,$CJ$9:$CP$508,2,FALSE()))</f>
        <v/>
      </c>
      <c r="CS56" s="144" t="str">
        <f aca="false">IF($CH56&gt;$CG$8,"",VLOOKUP($CH56,$CJ$9:$CP$508,3,FALSE()))</f>
        <v/>
      </c>
      <c r="CT56" s="144" t="str">
        <f aca="false">IF($CH56&gt;$CG$8,"",VLOOKUP($CH56,$CJ$9:$CP$508,4,FALSE()))</f>
        <v/>
      </c>
      <c r="CU56" s="144" t="str">
        <f aca="false">IF($CH56&gt;$CG$8,"",VLOOKUP($CH56,$CJ$9:$CP$508,5,FALSE()))</f>
        <v/>
      </c>
      <c r="CV56" s="145" t="str">
        <f aca="false">IF($CH56&gt;$CG$8,"",VLOOKUP($CH56,$CJ$9:$CP$508,6,FALSE()))</f>
        <v/>
      </c>
      <c r="CW56" s="71"/>
    </row>
    <row r="57" customFormat="false" ht="15.75" hidden="false" customHeight="false" outlineLevel="0" collapsed="false">
      <c r="A57" s="9"/>
      <c r="B57" s="72"/>
      <c r="C57" s="73"/>
      <c r="D57" s="160"/>
      <c r="E57" s="168"/>
      <c r="F57" s="162"/>
      <c r="G57" s="163"/>
      <c r="H57" s="169"/>
      <c r="I57" s="167"/>
      <c r="J57" s="80"/>
      <c r="K57" s="81"/>
      <c r="L57" s="82"/>
      <c r="M57" s="166"/>
      <c r="N57" s="167"/>
      <c r="O57" s="167"/>
      <c r="P57" s="80"/>
      <c r="Q57" s="82"/>
      <c r="R57" s="82"/>
      <c r="S57" s="166"/>
      <c r="T57" s="167"/>
      <c r="U57" s="86"/>
      <c r="V57" s="87"/>
      <c r="W57" s="87" t="str">
        <f aca="false">IF(ISBLANK($C57),"",IF(E57=Constants!$B$2,TRUE(),IF(E57=Constants!$B$3,FALSE(),TRUE())))</f>
        <v/>
      </c>
      <c r="X57" s="87" t="str">
        <f aca="false">IF(ISBLANK($C57),"",IF(F57=Constants!$B$2,TRUE(),IF(F57=Constants!$B$3,FALSE(),TRUE())))</f>
        <v/>
      </c>
      <c r="Y57" s="87" t="str">
        <f aca="false">IF(ISBLANK($C57),"",IF(G57=Constants!$B$2,TRUE(),IF(G57=Constants!$B$3,FALSE(),TRUE())))</f>
        <v/>
      </c>
      <c r="Z57" s="87" t="str">
        <f aca="false">IF(ISBLANK($C57),"",IF(H57=Constants!$B$2,TRUE(),IF(H57=Constants!$B$3,FALSE(),TRUE())))</f>
        <v/>
      </c>
      <c r="AA57" s="87" t="str">
        <f aca="false">IF(ISBLANK($C57),"",IF(I57=Constants!$B$2,TRUE(),IF(I57=Constants!$B$3,FALSE(),TRUE())))</f>
        <v/>
      </c>
      <c r="AB57" s="87" t="str">
        <f aca="false">IF(ISBLANK($C57),"",IF(J57=Constants!$B$4,TRUE(),IF(J57=Constants!$B$5,FALSE(),COUNTA(K57:M57)&gt;0)))</f>
        <v/>
      </c>
      <c r="AC57" s="88" t="str">
        <f aca="false">IF(ISBLANK($C57),"",IF(ISNUMBER(K57),IF(K57&gt;=0,K57,""),""))</f>
        <v/>
      </c>
      <c r="AD57" s="89" t="str">
        <f aca="false">IF(ISBLANK($C57),"",IF(ISNUMBER(L57),IF(L57&gt;=0,L57,""),""))</f>
        <v/>
      </c>
      <c r="AE57" s="87" t="str">
        <f aca="false">IF(ISBLANK($C57),"",IF(ISNUMBER(M57),IF(M57&gt;=0,MIN(M57,Constants!$B$22),""),""))</f>
        <v/>
      </c>
      <c r="AF57" s="87" t="str">
        <f aca="false">IF(ISBLANK($C57),"",IF(N57=Constants!$B$2,TRUE(),IF(N57=Constants!$B$3,FALSE(),TRUE())))</f>
        <v/>
      </c>
      <c r="AG57" s="87" t="str">
        <f aca="false">IF(ISBLANK($C57),"",IF(O57=Constants!$B$2,TRUE(),IF(O57=Constants!$B$3,FALSE(),TRUE())))</f>
        <v/>
      </c>
      <c r="AH57" s="87" t="str">
        <f aca="false">IF(ISBLANK($C57),"",IF(P57=Constants!$B$4,TRUE(),IF(P57=Constants!$B$5,FALSE(),COUNTA(Q57:S57)&gt;0)))</f>
        <v/>
      </c>
      <c r="AI57" s="88" t="str">
        <f aca="false">IF(ISBLANK($C57),"",IF(ISNUMBER(Q57),IF(Q57&gt;=0,Q57,""),""))</f>
        <v/>
      </c>
      <c r="AJ57" s="89" t="str">
        <f aca="false">IF(ISBLANK($C57),"",IF(ISNUMBER(R57),IF(R57&gt;=0,R57,""),""))</f>
        <v/>
      </c>
      <c r="AK57" s="87" t="str">
        <f aca="false">IF(ISBLANK($C57),"",IF(ISNUMBER(S57),IF(S57&gt;=0,MIN(S57,Constants!$B$22),""),""))</f>
        <v/>
      </c>
      <c r="AL57" s="87" t="str">
        <f aca="false">IF(ISBLANK($C57),"",IF(T57=Constants!$B$2,TRUE(),IF(T57=Constants!$B$3,FALSE(),FALSE())))</f>
        <v/>
      </c>
      <c r="AM57" s="86" t="str">
        <f aca="false">IF(ISBLANK($C57),"",AND($AB57,OR($AC57="",$AD57="",AND(NOT(ISBLANK($M57)),$AE57=""))))</f>
        <v/>
      </c>
      <c r="AN57" s="89" t="str">
        <f aca="false">IF($BD57&lt;&gt;Constants!$B$6,"",IF($AB57,Constants!$B$17*$AD57,Constants!$B$18))</f>
        <v/>
      </c>
      <c r="AO57" s="91" t="str">
        <f aca="false">IF($BD57&lt;&gt;Constants!$B$6,"",Constants!$B$19*IF($AB57,$AC57,0))</f>
        <v/>
      </c>
      <c r="AP57" s="91" t="str">
        <f aca="false">IF($BD57&lt;&gt;Constants!$B$6,"",IF(AND($AB57,ISNUMBER($AE57)),Constants!$B$20*(Constants!$B$21-$AE57),0))</f>
        <v/>
      </c>
      <c r="AQ57" s="91" t="str">
        <f aca="false">IF($BD57&lt;&gt;Constants!$B$6,"",IF($AA57,0,Constants!$B$12)+IF($Z57,0,Constants!$B$13)+IF($Y57,0,Constants!$B$14))</f>
        <v/>
      </c>
      <c r="AR57" s="92" t="str">
        <f aca="false">IF($BD57&lt;&gt;Constants!$B$6,"",Constants!$B$16+SUM($AN57:$AQ57))</f>
        <v/>
      </c>
      <c r="AS57" s="91" t="str">
        <f aca="false">IF($BD57&lt;&gt;Constants!$B$6,"",IF($AB57,$AD57,""))</f>
        <v/>
      </c>
      <c r="AT57" s="93" t="str">
        <f aca="false">IF($BD57&lt;&gt;Constants!$B$6,"",$AO57)</f>
        <v/>
      </c>
      <c r="AU57" s="87" t="str">
        <f aca="false">IF($BD57&lt;&gt;Constants!$B$6,"",IF(OR($BA57&lt;$AR57,AND($BA57=$AR57,OR(AND(ISNUMBER($BB57),OR(NOT(ISNUMBER($AS57)),$BB57&lt;$AS57)),AND(OR(AND($BB57="",$AS57=""),AND(ISNUMBER($BB57),ISNUMBER($AS57),$BB57=$AS57)),$BC57&lt;$AT57)))),"-&gt;","&lt;-"))</f>
        <v/>
      </c>
      <c r="AV57" s="86" t="str">
        <f aca="false">IF(ISBLANK($C57),"",AND($AH57,OR($AI57="",$AJ57="",AND(NOT(ISBLANK($S57)),$AK57=""))))</f>
        <v/>
      </c>
      <c r="AW57" s="89" t="str">
        <f aca="false">IF($BD57&lt;&gt;Constants!$B$6,"",IF($AH57,Constants!$B$17*$AJ57,Constants!$B$18))</f>
        <v/>
      </c>
      <c r="AX57" s="91" t="str">
        <f aca="false">IF($BD57&lt;&gt;Constants!$B$6,"",Constants!$B$19*IF($AH57,$AI57,0))</f>
        <v/>
      </c>
      <c r="AY57" s="91" t="str">
        <f aca="false">IF($BD57&lt;&gt;Constants!$B$6,"",IF(AND($AH57,ISNUMBER($AK57)),Constants!$B$20*(Constants!$B$21-$AK57),0))</f>
        <v/>
      </c>
      <c r="AZ57" s="91" t="str">
        <f aca="false">IF($BD57&lt;&gt;Constants!$B$6,"",IF($AG57,0,Constants!$B$12)+IF($AF57,0,Constants!$B$13)+IF($Y57,0,Constants!$B$14))</f>
        <v/>
      </c>
      <c r="BA57" s="92" t="str">
        <f aca="false">IF($BD57&lt;&gt;Constants!$B$6,"",Constants!$B$16+SUM($AW57:$AZ57))</f>
        <v/>
      </c>
      <c r="BB57" s="91" t="str">
        <f aca="false">IF($BD57&lt;&gt;Constants!$B$6,"",IF($AH57,$AJ57,""))</f>
        <v/>
      </c>
      <c r="BC57" s="93" t="str">
        <f aca="false">IF($BD57&lt;&gt;Constants!$B$6,"",$AX57)</f>
        <v/>
      </c>
      <c r="BD57" s="87" t="str">
        <f aca="false">IF(ISBLANK($C57),"",IF($AL57,Constants!$B$9,IF(COUNTA($E57:$T57)=0,Constants!$B$8,IF(NOT($X57),Constants!$B$7,IF(OR($AM57,$AV57),Constants!$B$10,Constants!$B$6)))))</f>
        <v/>
      </c>
      <c r="BE57" s="87" t="str">
        <f aca="false">IF(ISBLANK($C57),"",IF($BD57&lt;&gt;Constants!$B$6,$BD57,Constants!$B$11))</f>
        <v/>
      </c>
      <c r="BF57" s="91" t="str">
        <f aca="false">IF($BD57&lt;&gt;Constants!$B$6,"",IF($AU57="-&gt;",$BA57,$AR57))</f>
        <v/>
      </c>
      <c r="BG57" s="91" t="str">
        <f aca="false">IF($BD57&lt;&gt;Constants!$B$6,"",IF($W57,0,Constants!$B$15))</f>
        <v/>
      </c>
      <c r="BH57" s="91" t="str">
        <f aca="false">IF(ISBLANK($C57),"",IF($BD57&lt;&gt;Constants!$B$6,$BD57,SUM($BF57:$BG57)))</f>
        <v/>
      </c>
      <c r="BI57" s="87" t="str">
        <f aca="false">IF(ISBLANK($C57),"",IF($BD57&lt;&gt;Constants!$B$6,$BD57,RANK($BH57,$BH$9:$BH$508,1)))</f>
        <v/>
      </c>
      <c r="BJ57" s="91" t="str">
        <f aca="false">IF($BD57&lt;&gt;Constants!$B$6,"",IF($AU57="-&gt;",$BB57,$AS57))</f>
        <v/>
      </c>
      <c r="BK57" s="87" t="str">
        <f aca="false">IF(ISBLANK($C57),"",IF($BD57&lt;&gt;Constants!$B$6,$BD57,IF(ISNUMBER($BJ57),RANK($BJ57,$BJ$9:$BJ$508,1),COUNT($BJ$9:$BJ$508)+1)))</f>
        <v/>
      </c>
      <c r="BL57" s="91" t="str">
        <f aca="false">IF($BD57&lt;&gt;Constants!$B$6,"",IF($AU57="-&gt;",$BC57,$AT57))</f>
        <v/>
      </c>
      <c r="BM57" s="87" t="str">
        <f aca="false">IF(ISBLANK($C57),"",IF($BD57&lt;&gt;Constants!$B$6,$BD57,IF(ISNUMBER($BL57),RANK($BL57,$BL$9:$BL$508,1),COUNT($BL$9:$BL$508)+1)))</f>
        <v/>
      </c>
      <c r="BN57" s="91" t="str">
        <f aca="false">IF($BD57&lt;&gt;Constants!$B$6,"",IF($AU57="-&gt;",$AS57,$BB57))</f>
        <v/>
      </c>
      <c r="BO57" s="87" t="str">
        <f aca="false">IF(ISBLANK($C57),"",IF($BD57&lt;&gt;Constants!$B$6,$BD57,IF(ISNUMBER($BN57),RANK($BN57,$BN$9:$BN$508,1),COUNT($BN$9:$BN$508)+1)))</f>
        <v/>
      </c>
      <c r="BP57" s="91" t="str">
        <f aca="false">IF($BD57&lt;&gt;Constants!$B$6,"",IF($AU57="-&gt;",$AT57,$BC57))</f>
        <v/>
      </c>
      <c r="BQ57" s="87" t="str">
        <f aca="false">IF(ISBLANK($C57),"",IF($BD57&lt;&gt;Constants!$B$6,$BD57,IF(ISNUMBER($BP57),RANK($BP57,$BP$9:$BP$508,1),COUNT($BP$9:$BP$508)+1)))</f>
        <v/>
      </c>
      <c r="BR57" s="87" t="str">
        <f aca="false">IF(ISBLANK($C57),"",IF($BD57&lt;&gt;Constants!$B$6,$BD57,COUNTIFS($BI$9:$BI$508,"&lt;"&amp;$BI57)+COUNTIFS($BI$9:$BI$508,$BI57,$BK$9:$BK$508,"&lt;"&amp;$BK57)+COUNTIFS($BI$9:$BI$508,$BI57,$BK$9:$BK$508,$BK57,$BM$9:$BM$508,"&lt;"&amp;$BM57)+COUNTIFS($BI$9:$BI$508,$BI57,$BK$9:$BK$508,$BK57,$BM$9:$BM$508,$BM57,$BO$9:$BO$508,"&lt;"&amp;$BO57)+COUNTIFS($BI$9:$BI$508,$BI57,$BK$9:$BK$508,$BK57,$BM$9:$BM$508,$BM57,$BO$9:$BO$508,$BO57,$BQ$9:$BQ$508,"&lt;"&amp;$BQ57)+1))</f>
        <v/>
      </c>
      <c r="BS57" s="87" t="str">
        <f aca="false">IF(ISBLANK($C57),"",IF($BD57&lt;&gt;Constants!$B$6,$BD57,$BI57-$BR57))</f>
        <v/>
      </c>
      <c r="BT57" s="94"/>
      <c r="BU57" s="95"/>
      <c r="BV57" s="95" t="str">
        <f aca="false">IF(ISBLANK($C57),"",IF($BD57&lt;&gt;Constants!$B$6,"",IF($AU57="-&gt;",2,1)))</f>
        <v/>
      </c>
      <c r="BW57" s="96" t="str">
        <f aca="false">IF(ISBLANK($C57),"",IF($BD57&lt;&gt;Constants!$B$6,"",IF($AU57="-&gt;",$AW57,$AN57)))</f>
        <v/>
      </c>
      <c r="BX57" s="96" t="str">
        <f aca="false">IF(ISBLANK($C57),"",IF($BD57&lt;&gt;Constants!$B$6,"",IF($AU57="-&gt;",$AX57,$AO57)))</f>
        <v/>
      </c>
      <c r="BY57" s="96" t="str">
        <f aca="false">IF(ISBLANK($C57),"",IF($BD57&lt;&gt;Constants!$B$6,"",IF($AU57="-&gt;",$AY57,$AP57)))</f>
        <v/>
      </c>
      <c r="BZ57" s="96" t="str">
        <f aca="false">IF(ISBLANK($C57),"",IF($BD57&lt;&gt;Constants!$B$6,"",IF($AU57="-&gt;",$AZ57,$AQ57)+$BG57))</f>
        <v/>
      </c>
      <c r="CA57" s="97" t="str">
        <f aca="false">IF(ISBLANK($C57),"",IF($BD57&lt;&gt;Constants!$B$6,$BD57,$BH57))</f>
        <v/>
      </c>
      <c r="CB57" s="98" t="str">
        <f aca="false">IF(ISBLANK($C57),"",$BE57)</f>
        <v/>
      </c>
      <c r="CC57" s="99" t="str">
        <f aca="false">IF(ISBLANK($C57),"",$BS57)</f>
        <v/>
      </c>
      <c r="CD57" s="99" t="str">
        <f aca="false">IF(ISBLANK($C57),"",$BR57)</f>
        <v/>
      </c>
      <c r="CE57" s="100" t="str">
        <f aca="false">IF(ISBLANK($C57),"",IF($CD57=Constants!$B$9,COUNTA($C$9:$C$508)+2,IF($CD57=Constants!$B$8,COUNTA($C$9:$C$508)+1,IF($CD57=Constants!$B$7,COUNTA($C$9:$C$508),$CD57))))</f>
        <v/>
      </c>
      <c r="CF57" s="9"/>
      <c r="CG57" s="101" t="n">
        <f aca="false">IF(OR(ISNUMBER($CD57),$CD57=Constants!$B$9,$CD57=Constants!$B$7,$CD57=Constants!$B$8),1,0)</f>
        <v>0</v>
      </c>
      <c r="CH57" s="101" t="n">
        <v>49</v>
      </c>
      <c r="CI57" s="101" t="str">
        <f aca="false">IF(ISBLANK($C57),"",IF(ISNUMBER($CE57),$CE57+ROW($B57)/1000,""))</f>
        <v/>
      </c>
      <c r="CJ57" s="101" t="str">
        <f aca="false">IF(ISNUMBER($CI57),RANK($CI57,$CI$9:$CI$508,1),"")</f>
        <v/>
      </c>
      <c r="CK57" s="101" t="str">
        <f aca="false">IF(ISBLANK($C57),"",$B57)</f>
        <v/>
      </c>
      <c r="CL57" s="101" t="str">
        <f aca="false">IF(ISBLANK($C57),"",$C57)</f>
        <v/>
      </c>
      <c r="CM57" s="101" t="str">
        <f aca="false">IF(ISBLANK($C57),"",$D57)</f>
        <v/>
      </c>
      <c r="CN57" s="102" t="str">
        <f aca="false">$CB57</f>
        <v/>
      </c>
      <c r="CO57" s="103" t="str">
        <f aca="false">$CA57</f>
        <v/>
      </c>
      <c r="CP57" s="101" t="str">
        <f aca="false">IF(ISBLANK($C57),"",$CD57)</f>
        <v/>
      </c>
      <c r="CQ57" s="104" t="str">
        <f aca="false">IF($CH57&gt;$CG$8,"",VLOOKUP($CH57,$CJ$9:$CP$508,7,FALSE()))</f>
        <v/>
      </c>
      <c r="CR57" s="105" t="str">
        <f aca="false">IF($CH57&gt;$CG$8,"",VLOOKUP($CH57,$CJ$9:$CP$508,2,FALSE()))</f>
        <v/>
      </c>
      <c r="CS57" s="105" t="str">
        <f aca="false">IF($CH57&gt;$CG$8,"",VLOOKUP($CH57,$CJ$9:$CP$508,3,FALSE()))</f>
        <v/>
      </c>
      <c r="CT57" s="105" t="str">
        <f aca="false">IF($CH57&gt;$CG$8,"",VLOOKUP($CH57,$CJ$9:$CP$508,4,FALSE()))</f>
        <v/>
      </c>
      <c r="CU57" s="105" t="str">
        <f aca="false">IF($CH57&gt;$CG$8,"",VLOOKUP($CH57,$CJ$9:$CP$508,5,FALSE()))</f>
        <v/>
      </c>
      <c r="CV57" s="106" t="str">
        <f aca="false">IF($CH57&gt;$CG$8,"",VLOOKUP($CH57,$CJ$9:$CP$508,6,FALSE()))</f>
        <v/>
      </c>
      <c r="CW57" s="71"/>
    </row>
    <row r="58" customFormat="false" ht="15.75" hidden="false" customHeight="false" outlineLevel="0" collapsed="false">
      <c r="A58" s="9"/>
      <c r="B58" s="72"/>
      <c r="C58" s="73"/>
      <c r="D58" s="160"/>
      <c r="E58" s="168"/>
      <c r="F58" s="162"/>
      <c r="G58" s="163"/>
      <c r="H58" s="169"/>
      <c r="I58" s="167"/>
      <c r="J58" s="80"/>
      <c r="K58" s="81"/>
      <c r="L58" s="82"/>
      <c r="M58" s="166"/>
      <c r="N58" s="167"/>
      <c r="O58" s="167"/>
      <c r="P58" s="80"/>
      <c r="Q58" s="82"/>
      <c r="R58" s="82"/>
      <c r="S58" s="166"/>
      <c r="T58" s="167"/>
      <c r="U58" s="86"/>
      <c r="V58" s="87"/>
      <c r="W58" s="87" t="str">
        <f aca="false">IF(ISBLANK($C58),"",IF(E58=Constants!$B$2,TRUE(),IF(E58=Constants!$B$3,FALSE(),TRUE())))</f>
        <v/>
      </c>
      <c r="X58" s="87" t="str">
        <f aca="false">IF(ISBLANK($C58),"",IF(F58=Constants!$B$2,TRUE(),IF(F58=Constants!$B$3,FALSE(),TRUE())))</f>
        <v/>
      </c>
      <c r="Y58" s="87" t="str">
        <f aca="false">IF(ISBLANK($C58),"",IF(G58=Constants!$B$2,TRUE(),IF(G58=Constants!$B$3,FALSE(),TRUE())))</f>
        <v/>
      </c>
      <c r="Z58" s="87" t="str">
        <f aca="false">IF(ISBLANK($C58),"",IF(H58=Constants!$B$2,TRUE(),IF(H58=Constants!$B$3,FALSE(),TRUE())))</f>
        <v/>
      </c>
      <c r="AA58" s="87" t="str">
        <f aca="false">IF(ISBLANK($C58),"",IF(I58=Constants!$B$2,TRUE(),IF(I58=Constants!$B$3,FALSE(),TRUE())))</f>
        <v/>
      </c>
      <c r="AB58" s="87" t="str">
        <f aca="false">IF(ISBLANK($C58),"",IF(J58=Constants!$B$4,TRUE(),IF(J58=Constants!$B$5,FALSE(),COUNTA(K58:M58)&gt;0)))</f>
        <v/>
      </c>
      <c r="AC58" s="88" t="str">
        <f aca="false">IF(ISBLANK($C58),"",IF(ISNUMBER(K58),IF(K58&gt;=0,K58,""),""))</f>
        <v/>
      </c>
      <c r="AD58" s="89" t="str">
        <f aca="false">IF(ISBLANK($C58),"",IF(ISNUMBER(L58),IF(L58&gt;=0,L58,""),""))</f>
        <v/>
      </c>
      <c r="AE58" s="87" t="str">
        <f aca="false">IF(ISBLANK($C58),"",IF(ISNUMBER(M58),IF(M58&gt;=0,MIN(M58,Constants!$B$22),""),""))</f>
        <v/>
      </c>
      <c r="AF58" s="87" t="str">
        <f aca="false">IF(ISBLANK($C58),"",IF(N58=Constants!$B$2,TRUE(),IF(N58=Constants!$B$3,FALSE(),TRUE())))</f>
        <v/>
      </c>
      <c r="AG58" s="87" t="str">
        <f aca="false">IF(ISBLANK($C58),"",IF(O58=Constants!$B$2,TRUE(),IF(O58=Constants!$B$3,FALSE(),TRUE())))</f>
        <v/>
      </c>
      <c r="AH58" s="87" t="str">
        <f aca="false">IF(ISBLANK($C58),"",IF(P58=Constants!$B$4,TRUE(),IF(P58=Constants!$B$5,FALSE(),COUNTA(Q58:S58)&gt;0)))</f>
        <v/>
      </c>
      <c r="AI58" s="88" t="str">
        <f aca="false">IF(ISBLANK($C58),"",IF(ISNUMBER(Q58),IF(Q58&gt;=0,Q58,""),""))</f>
        <v/>
      </c>
      <c r="AJ58" s="89" t="str">
        <f aca="false">IF(ISBLANK($C58),"",IF(ISNUMBER(R58),IF(R58&gt;=0,R58,""),""))</f>
        <v/>
      </c>
      <c r="AK58" s="87" t="str">
        <f aca="false">IF(ISBLANK($C58),"",IF(ISNUMBER(S58),IF(S58&gt;=0,MIN(S58,Constants!$B$22),""),""))</f>
        <v/>
      </c>
      <c r="AL58" s="87" t="str">
        <f aca="false">IF(ISBLANK($C58),"",IF(T58=Constants!$B$2,TRUE(),IF(T58=Constants!$B$3,FALSE(),FALSE())))</f>
        <v/>
      </c>
      <c r="AM58" s="86" t="str">
        <f aca="false">IF(ISBLANK($C58),"",AND($AB58,OR($AC58="",$AD58="",AND(NOT(ISBLANK($M58)),$AE58=""))))</f>
        <v/>
      </c>
      <c r="AN58" s="89" t="str">
        <f aca="false">IF($BD58&lt;&gt;Constants!$B$6,"",IF($AB58,Constants!$B$17*$AD58,Constants!$B$18))</f>
        <v/>
      </c>
      <c r="AO58" s="91" t="str">
        <f aca="false">IF($BD58&lt;&gt;Constants!$B$6,"",Constants!$B$19*IF($AB58,$AC58,0))</f>
        <v/>
      </c>
      <c r="AP58" s="91" t="str">
        <f aca="false">IF($BD58&lt;&gt;Constants!$B$6,"",IF(AND($AB58,ISNUMBER($AE58)),Constants!$B$20*(Constants!$B$21-$AE58),0))</f>
        <v/>
      </c>
      <c r="AQ58" s="91" t="str">
        <f aca="false">IF($BD58&lt;&gt;Constants!$B$6,"",IF($AA58,0,Constants!$B$12)+IF($Z58,0,Constants!$B$13)+IF($Y58,0,Constants!$B$14))</f>
        <v/>
      </c>
      <c r="AR58" s="92" t="str">
        <f aca="false">IF($BD58&lt;&gt;Constants!$B$6,"",Constants!$B$16+SUM($AN58:$AQ58))</f>
        <v/>
      </c>
      <c r="AS58" s="91" t="str">
        <f aca="false">IF($BD58&lt;&gt;Constants!$B$6,"",IF($AB58,$AD58,""))</f>
        <v/>
      </c>
      <c r="AT58" s="93" t="str">
        <f aca="false">IF($BD58&lt;&gt;Constants!$B$6,"",$AO58)</f>
        <v/>
      </c>
      <c r="AU58" s="87" t="str">
        <f aca="false">IF($BD58&lt;&gt;Constants!$B$6,"",IF(OR($BA58&lt;$AR58,AND($BA58=$AR58,OR(AND(ISNUMBER($BB58),OR(NOT(ISNUMBER($AS58)),$BB58&lt;$AS58)),AND(OR(AND($BB58="",$AS58=""),AND(ISNUMBER($BB58),ISNUMBER($AS58),$BB58=$AS58)),$BC58&lt;$AT58)))),"-&gt;","&lt;-"))</f>
        <v/>
      </c>
      <c r="AV58" s="86" t="str">
        <f aca="false">IF(ISBLANK($C58),"",AND($AH58,OR($AI58="",$AJ58="",AND(NOT(ISBLANK($S58)),$AK58=""))))</f>
        <v/>
      </c>
      <c r="AW58" s="89" t="str">
        <f aca="false">IF($BD58&lt;&gt;Constants!$B$6,"",IF($AH58,Constants!$B$17*$AJ58,Constants!$B$18))</f>
        <v/>
      </c>
      <c r="AX58" s="91" t="str">
        <f aca="false">IF($BD58&lt;&gt;Constants!$B$6,"",Constants!$B$19*IF($AH58,$AI58,0))</f>
        <v/>
      </c>
      <c r="AY58" s="91" t="str">
        <f aca="false">IF($BD58&lt;&gt;Constants!$B$6,"",IF(AND($AH58,ISNUMBER($AK58)),Constants!$B$20*(Constants!$B$21-$AK58),0))</f>
        <v/>
      </c>
      <c r="AZ58" s="91" t="str">
        <f aca="false">IF($BD58&lt;&gt;Constants!$B$6,"",IF($AG58,0,Constants!$B$12)+IF($AF58,0,Constants!$B$13)+IF($Y58,0,Constants!$B$14))</f>
        <v/>
      </c>
      <c r="BA58" s="92" t="str">
        <f aca="false">IF($BD58&lt;&gt;Constants!$B$6,"",Constants!$B$16+SUM($AW58:$AZ58))</f>
        <v/>
      </c>
      <c r="BB58" s="91" t="str">
        <f aca="false">IF($BD58&lt;&gt;Constants!$B$6,"",IF($AH58,$AJ58,""))</f>
        <v/>
      </c>
      <c r="BC58" s="93" t="str">
        <f aca="false">IF($BD58&lt;&gt;Constants!$B$6,"",$AX58)</f>
        <v/>
      </c>
      <c r="BD58" s="87" t="str">
        <f aca="false">IF(ISBLANK($C58),"",IF($AL58,Constants!$B$9,IF(COUNTA($E58:$T58)=0,Constants!$B$8,IF(NOT($X58),Constants!$B$7,IF(OR($AM58,$AV58),Constants!$B$10,Constants!$B$6)))))</f>
        <v/>
      </c>
      <c r="BE58" s="87" t="str">
        <f aca="false">IF(ISBLANK($C58),"",IF($BD58&lt;&gt;Constants!$B$6,$BD58,Constants!$B$11))</f>
        <v/>
      </c>
      <c r="BF58" s="91" t="str">
        <f aca="false">IF($BD58&lt;&gt;Constants!$B$6,"",IF($AU58="-&gt;",$BA58,$AR58))</f>
        <v/>
      </c>
      <c r="BG58" s="91" t="str">
        <f aca="false">IF($BD58&lt;&gt;Constants!$B$6,"",IF($W58,0,Constants!$B$15))</f>
        <v/>
      </c>
      <c r="BH58" s="91" t="str">
        <f aca="false">IF(ISBLANK($C58),"",IF($BD58&lt;&gt;Constants!$B$6,$BD58,SUM($BF58:$BG58)))</f>
        <v/>
      </c>
      <c r="BI58" s="87" t="str">
        <f aca="false">IF(ISBLANK($C58),"",IF($BD58&lt;&gt;Constants!$B$6,$BD58,RANK($BH58,$BH$9:$BH$508,1)))</f>
        <v/>
      </c>
      <c r="BJ58" s="91" t="str">
        <f aca="false">IF($BD58&lt;&gt;Constants!$B$6,"",IF($AU58="-&gt;",$BB58,$AS58))</f>
        <v/>
      </c>
      <c r="BK58" s="87" t="str">
        <f aca="false">IF(ISBLANK($C58),"",IF($BD58&lt;&gt;Constants!$B$6,$BD58,IF(ISNUMBER($BJ58),RANK($BJ58,$BJ$9:$BJ$508,1),COUNT($BJ$9:$BJ$508)+1)))</f>
        <v/>
      </c>
      <c r="BL58" s="91" t="str">
        <f aca="false">IF($BD58&lt;&gt;Constants!$B$6,"",IF($AU58="-&gt;",$BC58,$AT58))</f>
        <v/>
      </c>
      <c r="BM58" s="87" t="str">
        <f aca="false">IF(ISBLANK($C58),"",IF($BD58&lt;&gt;Constants!$B$6,$BD58,IF(ISNUMBER($BL58),RANK($BL58,$BL$9:$BL$508,1),COUNT($BL$9:$BL$508)+1)))</f>
        <v/>
      </c>
      <c r="BN58" s="91" t="str">
        <f aca="false">IF($BD58&lt;&gt;Constants!$B$6,"",IF($AU58="-&gt;",$AS58,$BB58))</f>
        <v/>
      </c>
      <c r="BO58" s="87" t="str">
        <f aca="false">IF(ISBLANK($C58),"",IF($BD58&lt;&gt;Constants!$B$6,$BD58,IF(ISNUMBER($BN58),RANK($BN58,$BN$9:$BN$508,1),COUNT($BN$9:$BN$508)+1)))</f>
        <v/>
      </c>
      <c r="BP58" s="91" t="str">
        <f aca="false">IF($BD58&lt;&gt;Constants!$B$6,"",IF($AU58="-&gt;",$AT58,$BC58))</f>
        <v/>
      </c>
      <c r="BQ58" s="87" t="str">
        <f aca="false">IF(ISBLANK($C58),"",IF($BD58&lt;&gt;Constants!$B$6,$BD58,IF(ISNUMBER($BP58),RANK($BP58,$BP$9:$BP$508,1),COUNT($BP$9:$BP$508)+1)))</f>
        <v/>
      </c>
      <c r="BR58" s="87" t="str">
        <f aca="false">IF(ISBLANK($C58),"",IF($BD58&lt;&gt;Constants!$B$6,$BD58,COUNTIFS($BI$9:$BI$508,"&lt;"&amp;$BI58)+COUNTIFS($BI$9:$BI$508,$BI58,$BK$9:$BK$508,"&lt;"&amp;$BK58)+COUNTIFS($BI$9:$BI$508,$BI58,$BK$9:$BK$508,$BK58,$BM$9:$BM$508,"&lt;"&amp;$BM58)+COUNTIFS($BI$9:$BI$508,$BI58,$BK$9:$BK$508,$BK58,$BM$9:$BM$508,$BM58,$BO$9:$BO$508,"&lt;"&amp;$BO58)+COUNTIFS($BI$9:$BI$508,$BI58,$BK$9:$BK$508,$BK58,$BM$9:$BM$508,$BM58,$BO$9:$BO$508,$BO58,$BQ$9:$BQ$508,"&lt;"&amp;$BQ58)+1))</f>
        <v/>
      </c>
      <c r="BS58" s="87" t="str">
        <f aca="false">IF(ISBLANK($C58),"",IF($BD58&lt;&gt;Constants!$B$6,$BD58,$BI58-$BR58))</f>
        <v/>
      </c>
      <c r="BT58" s="94"/>
      <c r="BU58" s="95"/>
      <c r="BV58" s="95" t="str">
        <f aca="false">IF(ISBLANK($C58),"",IF($BD58&lt;&gt;Constants!$B$6,"",IF($AU58="-&gt;",2,1)))</f>
        <v/>
      </c>
      <c r="BW58" s="96" t="str">
        <f aca="false">IF(ISBLANK($C58),"",IF($BD58&lt;&gt;Constants!$B$6,"",IF($AU58="-&gt;",$AW58,$AN58)))</f>
        <v/>
      </c>
      <c r="BX58" s="96" t="str">
        <f aca="false">IF(ISBLANK($C58),"",IF($BD58&lt;&gt;Constants!$B$6,"",IF($AU58="-&gt;",$AX58,$AO58)))</f>
        <v/>
      </c>
      <c r="BY58" s="96" t="str">
        <f aca="false">IF(ISBLANK($C58),"",IF($BD58&lt;&gt;Constants!$B$6,"",IF($AU58="-&gt;",$AY58,$AP58)))</f>
        <v/>
      </c>
      <c r="BZ58" s="96" t="str">
        <f aca="false">IF(ISBLANK($C58),"",IF($BD58&lt;&gt;Constants!$B$6,"",IF($AU58="-&gt;",$AZ58,$AQ58)+$BG58))</f>
        <v/>
      </c>
      <c r="CA58" s="97" t="str">
        <f aca="false">IF(ISBLANK($C58),"",IF($BD58&lt;&gt;Constants!$B$6,$BD58,$BH58))</f>
        <v/>
      </c>
      <c r="CB58" s="98" t="str">
        <f aca="false">IF(ISBLANK($C58),"",$BE58)</f>
        <v/>
      </c>
      <c r="CC58" s="99" t="str">
        <f aca="false">IF(ISBLANK($C58),"",$BS58)</f>
        <v/>
      </c>
      <c r="CD58" s="99" t="str">
        <f aca="false">IF(ISBLANK($C58),"",$BR58)</f>
        <v/>
      </c>
      <c r="CE58" s="100" t="str">
        <f aca="false">IF(ISBLANK($C58),"",IF($CD58=Constants!$B$9,COUNTA($C$9:$C$508)+2,IF($CD58=Constants!$B$8,COUNTA($C$9:$C$508)+1,IF($CD58=Constants!$B$7,COUNTA($C$9:$C$508),$CD58))))</f>
        <v/>
      </c>
      <c r="CF58" s="9"/>
      <c r="CG58" s="101" t="n">
        <f aca="false">IF(OR(ISNUMBER($CD58),$CD58=Constants!$B$9,$CD58=Constants!$B$7,$CD58=Constants!$B$8),1,0)</f>
        <v>0</v>
      </c>
      <c r="CH58" s="101" t="n">
        <v>50</v>
      </c>
      <c r="CI58" s="101" t="str">
        <f aca="false">IF(ISBLANK($C58),"",IF(ISNUMBER($CE58),$CE58+ROW($B58)/1000,""))</f>
        <v/>
      </c>
      <c r="CJ58" s="101" t="str">
        <f aca="false">IF(ISNUMBER($CI58),RANK($CI58,$CI$9:$CI$508,1),"")</f>
        <v/>
      </c>
      <c r="CK58" s="101" t="str">
        <f aca="false">IF(ISBLANK($C58),"",$B58)</f>
        <v/>
      </c>
      <c r="CL58" s="101" t="str">
        <f aca="false">IF(ISBLANK($C58),"",$C58)</f>
        <v/>
      </c>
      <c r="CM58" s="101" t="str">
        <f aca="false">IF(ISBLANK($C58),"",$D58)</f>
        <v/>
      </c>
      <c r="CN58" s="102" t="str">
        <f aca="false">$CB58</f>
        <v/>
      </c>
      <c r="CO58" s="103" t="str">
        <f aca="false">$CA58</f>
        <v/>
      </c>
      <c r="CP58" s="101" t="str">
        <f aca="false">IF(ISBLANK($C58),"",$CD58)</f>
        <v/>
      </c>
      <c r="CQ58" s="104" t="str">
        <f aca="false">IF($CH58&gt;$CG$8,"",VLOOKUP($CH58,$CJ$9:$CP$508,7,FALSE()))</f>
        <v/>
      </c>
      <c r="CR58" s="105" t="str">
        <f aca="false">IF($CH58&gt;$CG$8,"",VLOOKUP($CH58,$CJ$9:$CP$508,2,FALSE()))</f>
        <v/>
      </c>
      <c r="CS58" s="105" t="str">
        <f aca="false">IF($CH58&gt;$CG$8,"",VLOOKUP($CH58,$CJ$9:$CP$508,3,FALSE()))</f>
        <v/>
      </c>
      <c r="CT58" s="105" t="str">
        <f aca="false">IF($CH58&gt;$CG$8,"",VLOOKUP($CH58,$CJ$9:$CP$508,4,FALSE()))</f>
        <v/>
      </c>
      <c r="CU58" s="105" t="str">
        <f aca="false">IF($CH58&gt;$CG$8,"",VLOOKUP($CH58,$CJ$9:$CP$508,5,FALSE()))</f>
        <v/>
      </c>
      <c r="CV58" s="106" t="str">
        <f aca="false">IF($CH58&gt;$CG$8,"",VLOOKUP($CH58,$CJ$9:$CP$508,6,FALSE()))</f>
        <v/>
      </c>
      <c r="CW58" s="71"/>
    </row>
    <row r="59" customFormat="false" ht="15.75" hidden="false" customHeight="false" outlineLevel="0" collapsed="false">
      <c r="A59" s="9"/>
      <c r="B59" s="72"/>
      <c r="C59" s="73"/>
      <c r="D59" s="160"/>
      <c r="E59" s="168"/>
      <c r="F59" s="162"/>
      <c r="G59" s="163"/>
      <c r="H59" s="169"/>
      <c r="I59" s="167"/>
      <c r="J59" s="80"/>
      <c r="K59" s="81"/>
      <c r="L59" s="82"/>
      <c r="M59" s="166"/>
      <c r="N59" s="167"/>
      <c r="O59" s="167"/>
      <c r="P59" s="80"/>
      <c r="Q59" s="82"/>
      <c r="R59" s="82"/>
      <c r="S59" s="166"/>
      <c r="T59" s="167"/>
      <c r="U59" s="86"/>
      <c r="V59" s="87"/>
      <c r="W59" s="87" t="str">
        <f aca="false">IF(ISBLANK($C59),"",IF(E59=Constants!$B$2,TRUE(),IF(E59=Constants!$B$3,FALSE(),TRUE())))</f>
        <v/>
      </c>
      <c r="X59" s="87" t="str">
        <f aca="false">IF(ISBLANK($C59),"",IF(F59=Constants!$B$2,TRUE(),IF(F59=Constants!$B$3,FALSE(),TRUE())))</f>
        <v/>
      </c>
      <c r="Y59" s="87" t="str">
        <f aca="false">IF(ISBLANK($C59),"",IF(G59=Constants!$B$2,TRUE(),IF(G59=Constants!$B$3,FALSE(),TRUE())))</f>
        <v/>
      </c>
      <c r="Z59" s="87" t="str">
        <f aca="false">IF(ISBLANK($C59),"",IF(H59=Constants!$B$2,TRUE(),IF(H59=Constants!$B$3,FALSE(),TRUE())))</f>
        <v/>
      </c>
      <c r="AA59" s="87" t="str">
        <f aca="false">IF(ISBLANK($C59),"",IF(I59=Constants!$B$2,TRUE(),IF(I59=Constants!$B$3,FALSE(),TRUE())))</f>
        <v/>
      </c>
      <c r="AB59" s="87" t="str">
        <f aca="false">IF(ISBLANK($C59),"",IF(J59=Constants!$B$4,TRUE(),IF(J59=Constants!$B$5,FALSE(),COUNTA(K59:M59)&gt;0)))</f>
        <v/>
      </c>
      <c r="AC59" s="88" t="str">
        <f aca="false">IF(ISBLANK($C59),"",IF(ISNUMBER(K59),IF(K59&gt;=0,K59,""),""))</f>
        <v/>
      </c>
      <c r="AD59" s="89" t="str">
        <f aca="false">IF(ISBLANK($C59),"",IF(ISNUMBER(L59),IF(L59&gt;=0,L59,""),""))</f>
        <v/>
      </c>
      <c r="AE59" s="87" t="str">
        <f aca="false">IF(ISBLANK($C59),"",IF(ISNUMBER(M59),IF(M59&gt;=0,MIN(M59,Constants!$B$22),""),""))</f>
        <v/>
      </c>
      <c r="AF59" s="87" t="str">
        <f aca="false">IF(ISBLANK($C59),"",IF(N59=Constants!$B$2,TRUE(),IF(N59=Constants!$B$3,FALSE(),TRUE())))</f>
        <v/>
      </c>
      <c r="AG59" s="87" t="str">
        <f aca="false">IF(ISBLANK($C59),"",IF(O59=Constants!$B$2,TRUE(),IF(O59=Constants!$B$3,FALSE(),TRUE())))</f>
        <v/>
      </c>
      <c r="AH59" s="87" t="str">
        <f aca="false">IF(ISBLANK($C59),"",IF(P59=Constants!$B$4,TRUE(),IF(P59=Constants!$B$5,FALSE(),COUNTA(Q59:S59)&gt;0)))</f>
        <v/>
      </c>
      <c r="AI59" s="88" t="str">
        <f aca="false">IF(ISBLANK($C59),"",IF(ISNUMBER(Q59),IF(Q59&gt;=0,Q59,""),""))</f>
        <v/>
      </c>
      <c r="AJ59" s="89" t="str">
        <f aca="false">IF(ISBLANK($C59),"",IF(ISNUMBER(R59),IF(R59&gt;=0,R59,""),""))</f>
        <v/>
      </c>
      <c r="AK59" s="87" t="str">
        <f aca="false">IF(ISBLANK($C59),"",IF(ISNUMBER(S59),IF(S59&gt;=0,MIN(S59,Constants!$B$22),""),""))</f>
        <v/>
      </c>
      <c r="AL59" s="87" t="str">
        <f aca="false">IF(ISBLANK($C59),"",IF(T59=Constants!$B$2,TRUE(),IF(T59=Constants!$B$3,FALSE(),FALSE())))</f>
        <v/>
      </c>
      <c r="AM59" s="86" t="str">
        <f aca="false">IF(ISBLANK($C59),"",AND($AB59,OR($AC59="",$AD59="",AND(NOT(ISBLANK($M59)),$AE59=""))))</f>
        <v/>
      </c>
      <c r="AN59" s="89" t="str">
        <f aca="false">IF($BD59&lt;&gt;Constants!$B$6,"",IF($AB59,Constants!$B$17*$AD59,Constants!$B$18))</f>
        <v/>
      </c>
      <c r="AO59" s="91" t="str">
        <f aca="false">IF($BD59&lt;&gt;Constants!$B$6,"",Constants!$B$19*IF($AB59,$AC59,0))</f>
        <v/>
      </c>
      <c r="AP59" s="91" t="str">
        <f aca="false">IF($BD59&lt;&gt;Constants!$B$6,"",IF(AND($AB59,ISNUMBER($AE59)),Constants!$B$20*(Constants!$B$21-$AE59),0))</f>
        <v/>
      </c>
      <c r="AQ59" s="91" t="str">
        <f aca="false">IF($BD59&lt;&gt;Constants!$B$6,"",IF($AA59,0,Constants!$B$12)+IF($Z59,0,Constants!$B$13)+IF($Y59,0,Constants!$B$14))</f>
        <v/>
      </c>
      <c r="AR59" s="92" t="str">
        <f aca="false">IF($BD59&lt;&gt;Constants!$B$6,"",Constants!$B$16+SUM($AN59:$AQ59))</f>
        <v/>
      </c>
      <c r="AS59" s="91" t="str">
        <f aca="false">IF($BD59&lt;&gt;Constants!$B$6,"",IF($AB59,$AD59,""))</f>
        <v/>
      </c>
      <c r="AT59" s="93" t="str">
        <f aca="false">IF($BD59&lt;&gt;Constants!$B$6,"",$AO59)</f>
        <v/>
      </c>
      <c r="AU59" s="87" t="str">
        <f aca="false">IF($BD59&lt;&gt;Constants!$B$6,"",IF(OR($BA59&lt;$AR59,AND($BA59=$AR59,OR(AND(ISNUMBER($BB59),OR(NOT(ISNUMBER($AS59)),$BB59&lt;$AS59)),AND(OR(AND($BB59="",$AS59=""),AND(ISNUMBER($BB59),ISNUMBER($AS59),$BB59=$AS59)),$BC59&lt;$AT59)))),"-&gt;","&lt;-"))</f>
        <v/>
      </c>
      <c r="AV59" s="86" t="str">
        <f aca="false">IF(ISBLANK($C59),"",AND($AH59,OR($AI59="",$AJ59="",AND(NOT(ISBLANK($S59)),$AK59=""))))</f>
        <v/>
      </c>
      <c r="AW59" s="89" t="str">
        <f aca="false">IF($BD59&lt;&gt;Constants!$B$6,"",IF($AH59,Constants!$B$17*$AJ59,Constants!$B$18))</f>
        <v/>
      </c>
      <c r="AX59" s="91" t="str">
        <f aca="false">IF($BD59&lt;&gt;Constants!$B$6,"",Constants!$B$19*IF($AH59,$AI59,0))</f>
        <v/>
      </c>
      <c r="AY59" s="91" t="str">
        <f aca="false">IF($BD59&lt;&gt;Constants!$B$6,"",IF(AND($AH59,ISNUMBER($AK59)),Constants!$B$20*(Constants!$B$21-$AK59),0))</f>
        <v/>
      </c>
      <c r="AZ59" s="91" t="str">
        <f aca="false">IF($BD59&lt;&gt;Constants!$B$6,"",IF($AG59,0,Constants!$B$12)+IF($AF59,0,Constants!$B$13)+IF($Y59,0,Constants!$B$14))</f>
        <v/>
      </c>
      <c r="BA59" s="92" t="str">
        <f aca="false">IF($BD59&lt;&gt;Constants!$B$6,"",Constants!$B$16+SUM($AW59:$AZ59))</f>
        <v/>
      </c>
      <c r="BB59" s="91" t="str">
        <f aca="false">IF($BD59&lt;&gt;Constants!$B$6,"",IF($AH59,$AJ59,""))</f>
        <v/>
      </c>
      <c r="BC59" s="93" t="str">
        <f aca="false">IF($BD59&lt;&gt;Constants!$B$6,"",$AX59)</f>
        <v/>
      </c>
      <c r="BD59" s="87" t="str">
        <f aca="false">IF(ISBLANK($C59),"",IF($AL59,Constants!$B$9,IF(COUNTA($E59:$T59)=0,Constants!$B$8,IF(NOT($X59),Constants!$B$7,IF(OR($AM59,$AV59),Constants!$B$10,Constants!$B$6)))))</f>
        <v/>
      </c>
      <c r="BE59" s="87" t="str">
        <f aca="false">IF(ISBLANK($C59),"",IF($BD59&lt;&gt;Constants!$B$6,$BD59,Constants!$B$11))</f>
        <v/>
      </c>
      <c r="BF59" s="91" t="str">
        <f aca="false">IF($BD59&lt;&gt;Constants!$B$6,"",IF($AU59="-&gt;",$BA59,$AR59))</f>
        <v/>
      </c>
      <c r="BG59" s="91" t="str">
        <f aca="false">IF($BD59&lt;&gt;Constants!$B$6,"",IF($W59,0,Constants!$B$15))</f>
        <v/>
      </c>
      <c r="BH59" s="91" t="str">
        <f aca="false">IF(ISBLANK($C59),"",IF($BD59&lt;&gt;Constants!$B$6,$BD59,SUM($BF59:$BG59)))</f>
        <v/>
      </c>
      <c r="BI59" s="87" t="str">
        <f aca="false">IF(ISBLANK($C59),"",IF($BD59&lt;&gt;Constants!$B$6,$BD59,RANK($BH59,$BH$9:$BH$508,1)))</f>
        <v/>
      </c>
      <c r="BJ59" s="91" t="str">
        <f aca="false">IF($BD59&lt;&gt;Constants!$B$6,"",IF($AU59="-&gt;",$BB59,$AS59))</f>
        <v/>
      </c>
      <c r="BK59" s="87" t="str">
        <f aca="false">IF(ISBLANK($C59),"",IF($BD59&lt;&gt;Constants!$B$6,$BD59,IF(ISNUMBER($BJ59),RANK($BJ59,$BJ$9:$BJ$508,1),COUNT($BJ$9:$BJ$508)+1)))</f>
        <v/>
      </c>
      <c r="BL59" s="91" t="str">
        <f aca="false">IF($BD59&lt;&gt;Constants!$B$6,"",IF($AU59="-&gt;",$BC59,$AT59))</f>
        <v/>
      </c>
      <c r="BM59" s="87" t="str">
        <f aca="false">IF(ISBLANK($C59),"",IF($BD59&lt;&gt;Constants!$B$6,$BD59,IF(ISNUMBER($BL59),RANK($BL59,$BL$9:$BL$508,1),COUNT($BL$9:$BL$508)+1)))</f>
        <v/>
      </c>
      <c r="BN59" s="91" t="str">
        <f aca="false">IF($BD59&lt;&gt;Constants!$B$6,"",IF($AU59="-&gt;",$AS59,$BB59))</f>
        <v/>
      </c>
      <c r="BO59" s="87" t="str">
        <f aca="false">IF(ISBLANK($C59),"",IF($BD59&lt;&gt;Constants!$B$6,$BD59,IF(ISNUMBER($BN59),RANK($BN59,$BN$9:$BN$508,1),COUNT($BN$9:$BN$508)+1)))</f>
        <v/>
      </c>
      <c r="BP59" s="91" t="str">
        <f aca="false">IF($BD59&lt;&gt;Constants!$B$6,"",IF($AU59="-&gt;",$AT59,$BC59))</f>
        <v/>
      </c>
      <c r="BQ59" s="87" t="str">
        <f aca="false">IF(ISBLANK($C59),"",IF($BD59&lt;&gt;Constants!$B$6,$BD59,IF(ISNUMBER($BP59),RANK($BP59,$BP$9:$BP$508,1),COUNT($BP$9:$BP$508)+1)))</f>
        <v/>
      </c>
      <c r="BR59" s="87" t="str">
        <f aca="false">IF(ISBLANK($C59),"",IF($BD59&lt;&gt;Constants!$B$6,$BD59,COUNTIFS($BI$9:$BI$508,"&lt;"&amp;$BI59)+COUNTIFS($BI$9:$BI$508,$BI59,$BK$9:$BK$508,"&lt;"&amp;$BK59)+COUNTIFS($BI$9:$BI$508,$BI59,$BK$9:$BK$508,$BK59,$BM$9:$BM$508,"&lt;"&amp;$BM59)+COUNTIFS($BI$9:$BI$508,$BI59,$BK$9:$BK$508,$BK59,$BM$9:$BM$508,$BM59,$BO$9:$BO$508,"&lt;"&amp;$BO59)+COUNTIFS($BI$9:$BI$508,$BI59,$BK$9:$BK$508,$BK59,$BM$9:$BM$508,$BM59,$BO$9:$BO$508,$BO59,$BQ$9:$BQ$508,"&lt;"&amp;$BQ59)+1))</f>
        <v/>
      </c>
      <c r="BS59" s="87" t="str">
        <f aca="false">IF(ISBLANK($C59),"",IF($BD59&lt;&gt;Constants!$B$6,$BD59,$BI59-$BR59))</f>
        <v/>
      </c>
      <c r="BT59" s="94"/>
      <c r="BU59" s="95"/>
      <c r="BV59" s="95" t="str">
        <f aca="false">IF(ISBLANK($C59),"",IF($BD59&lt;&gt;Constants!$B$6,"",IF($AU59="-&gt;",2,1)))</f>
        <v/>
      </c>
      <c r="BW59" s="96" t="str">
        <f aca="false">IF(ISBLANK($C59),"",IF($BD59&lt;&gt;Constants!$B$6,"",IF($AU59="-&gt;",$AW59,$AN59)))</f>
        <v/>
      </c>
      <c r="BX59" s="96" t="str">
        <f aca="false">IF(ISBLANK($C59),"",IF($BD59&lt;&gt;Constants!$B$6,"",IF($AU59="-&gt;",$AX59,$AO59)))</f>
        <v/>
      </c>
      <c r="BY59" s="96" t="str">
        <f aca="false">IF(ISBLANK($C59),"",IF($BD59&lt;&gt;Constants!$B$6,"",IF($AU59="-&gt;",$AY59,$AP59)))</f>
        <v/>
      </c>
      <c r="BZ59" s="96" t="str">
        <f aca="false">IF(ISBLANK($C59),"",IF($BD59&lt;&gt;Constants!$B$6,"",IF($AU59="-&gt;",$AZ59,$AQ59)+$BG59))</f>
        <v/>
      </c>
      <c r="CA59" s="97" t="str">
        <f aca="false">IF(ISBLANK($C59),"",IF($BD59&lt;&gt;Constants!$B$6,$BD59,$BH59))</f>
        <v/>
      </c>
      <c r="CB59" s="98" t="str">
        <f aca="false">IF(ISBLANK($C59),"",$BE59)</f>
        <v/>
      </c>
      <c r="CC59" s="99" t="str">
        <f aca="false">IF(ISBLANK($C59),"",$BS59)</f>
        <v/>
      </c>
      <c r="CD59" s="99" t="str">
        <f aca="false">IF(ISBLANK($C59),"",$BR59)</f>
        <v/>
      </c>
      <c r="CE59" s="100" t="str">
        <f aca="false">IF(ISBLANK($C59),"",IF($CD59=Constants!$B$9,COUNTA($C$9:$C$508)+2,IF($CD59=Constants!$B$8,COUNTA($C$9:$C$508)+1,IF($CD59=Constants!$B$7,COUNTA($C$9:$C$508),$CD59))))</f>
        <v/>
      </c>
      <c r="CF59" s="9"/>
      <c r="CG59" s="101" t="n">
        <f aca="false">IF(OR(ISNUMBER($CD59),$CD59=Constants!$B$9,$CD59=Constants!$B$7,$CD59=Constants!$B$8),1,0)</f>
        <v>0</v>
      </c>
      <c r="CH59" s="101" t="n">
        <v>51</v>
      </c>
      <c r="CI59" s="101" t="str">
        <f aca="false">IF(ISBLANK($C59),"",IF(ISNUMBER($CE59),$CE59+ROW($B59)/1000,""))</f>
        <v/>
      </c>
      <c r="CJ59" s="101" t="str">
        <f aca="false">IF(ISNUMBER($CI59),RANK($CI59,$CI$9:$CI$508,1),"")</f>
        <v/>
      </c>
      <c r="CK59" s="101" t="str">
        <f aca="false">IF(ISBLANK($C59),"",$B59)</f>
        <v/>
      </c>
      <c r="CL59" s="101" t="str">
        <f aca="false">IF(ISBLANK($C59),"",$C59)</f>
        <v/>
      </c>
      <c r="CM59" s="101" t="str">
        <f aca="false">IF(ISBLANK($C59),"",$D59)</f>
        <v/>
      </c>
      <c r="CN59" s="102" t="str">
        <f aca="false">$CB59</f>
        <v/>
      </c>
      <c r="CO59" s="103" t="str">
        <f aca="false">$CA59</f>
        <v/>
      </c>
      <c r="CP59" s="101" t="str">
        <f aca="false">IF(ISBLANK($C59),"",$CD59)</f>
        <v/>
      </c>
      <c r="CQ59" s="104" t="str">
        <f aca="false">IF($CH59&gt;$CG$8,"",VLOOKUP($CH59,$CJ$9:$CP$508,7,FALSE()))</f>
        <v/>
      </c>
      <c r="CR59" s="105" t="str">
        <f aca="false">IF($CH59&gt;$CG$8,"",VLOOKUP($CH59,$CJ$9:$CP$508,2,FALSE()))</f>
        <v/>
      </c>
      <c r="CS59" s="105" t="str">
        <f aca="false">IF($CH59&gt;$CG$8,"",VLOOKUP($CH59,$CJ$9:$CP$508,3,FALSE()))</f>
        <v/>
      </c>
      <c r="CT59" s="105" t="str">
        <f aca="false">IF($CH59&gt;$CG$8,"",VLOOKUP($CH59,$CJ$9:$CP$508,4,FALSE()))</f>
        <v/>
      </c>
      <c r="CU59" s="105" t="str">
        <f aca="false">IF($CH59&gt;$CG$8,"",VLOOKUP($CH59,$CJ$9:$CP$508,5,FALSE()))</f>
        <v/>
      </c>
      <c r="CV59" s="106" t="str">
        <f aca="false">IF($CH59&gt;$CG$8,"",VLOOKUP($CH59,$CJ$9:$CP$508,6,FALSE()))</f>
        <v/>
      </c>
      <c r="CW59" s="71"/>
    </row>
    <row r="60" customFormat="false" ht="15.75" hidden="false" customHeight="false" outlineLevel="0" collapsed="false">
      <c r="A60" s="9"/>
      <c r="B60" s="150"/>
      <c r="C60" s="151"/>
      <c r="D60" s="152"/>
      <c r="E60" s="170"/>
      <c r="F60" s="154"/>
      <c r="G60" s="155"/>
      <c r="H60" s="171"/>
      <c r="I60" s="159"/>
      <c r="J60" s="120"/>
      <c r="K60" s="121"/>
      <c r="L60" s="122"/>
      <c r="M60" s="158"/>
      <c r="N60" s="159"/>
      <c r="O60" s="159"/>
      <c r="P60" s="120"/>
      <c r="Q60" s="122"/>
      <c r="R60" s="122"/>
      <c r="S60" s="158"/>
      <c r="T60" s="159"/>
      <c r="U60" s="126"/>
      <c r="V60" s="127"/>
      <c r="W60" s="127" t="str">
        <f aca="false">IF(ISBLANK($C60),"",IF(E60=Constants!$B$2,TRUE(),IF(E60=Constants!$B$3,FALSE(),TRUE())))</f>
        <v/>
      </c>
      <c r="X60" s="127" t="str">
        <f aca="false">IF(ISBLANK($C60),"",IF(F60=Constants!$B$2,TRUE(),IF(F60=Constants!$B$3,FALSE(),TRUE())))</f>
        <v/>
      </c>
      <c r="Y60" s="127" t="str">
        <f aca="false">IF(ISBLANK($C60),"",IF(G60=Constants!$B$2,TRUE(),IF(G60=Constants!$B$3,FALSE(),TRUE())))</f>
        <v/>
      </c>
      <c r="Z60" s="127" t="str">
        <f aca="false">IF(ISBLANK($C60),"",IF(H60=Constants!$B$2,TRUE(),IF(H60=Constants!$B$3,FALSE(),TRUE())))</f>
        <v/>
      </c>
      <c r="AA60" s="127" t="str">
        <f aca="false">IF(ISBLANK($C60),"",IF(I60=Constants!$B$2,TRUE(),IF(I60=Constants!$B$3,FALSE(),TRUE())))</f>
        <v/>
      </c>
      <c r="AB60" s="127" t="str">
        <f aca="false">IF(ISBLANK($C60),"",IF(J60=Constants!$B$4,TRUE(),IF(J60=Constants!$B$5,FALSE(),COUNTA(K60:M60)&gt;0)))</f>
        <v/>
      </c>
      <c r="AC60" s="128" t="str">
        <f aca="false">IF(ISBLANK($C60),"",IF(ISNUMBER(K60),IF(K60&gt;=0,K60,""),""))</f>
        <v/>
      </c>
      <c r="AD60" s="129" t="str">
        <f aca="false">IF(ISBLANK($C60),"",IF(ISNUMBER(L60),IF(L60&gt;=0,L60,""),""))</f>
        <v/>
      </c>
      <c r="AE60" s="127" t="str">
        <f aca="false">IF(ISBLANK($C60),"",IF(ISNUMBER(M60),IF(M60&gt;=0,MIN(M60,Constants!$B$22),""),""))</f>
        <v/>
      </c>
      <c r="AF60" s="127" t="str">
        <f aca="false">IF(ISBLANK($C60),"",IF(N60=Constants!$B$2,TRUE(),IF(N60=Constants!$B$3,FALSE(),TRUE())))</f>
        <v/>
      </c>
      <c r="AG60" s="127" t="str">
        <f aca="false">IF(ISBLANK($C60),"",IF(O60=Constants!$B$2,TRUE(),IF(O60=Constants!$B$3,FALSE(),TRUE())))</f>
        <v/>
      </c>
      <c r="AH60" s="127" t="str">
        <f aca="false">IF(ISBLANK($C60),"",IF(P60=Constants!$B$4,TRUE(),IF(P60=Constants!$B$5,FALSE(),COUNTA(Q60:S60)&gt;0)))</f>
        <v/>
      </c>
      <c r="AI60" s="128" t="str">
        <f aca="false">IF(ISBLANK($C60),"",IF(ISNUMBER(Q60),IF(Q60&gt;=0,Q60,""),""))</f>
        <v/>
      </c>
      <c r="AJ60" s="129" t="str">
        <f aca="false">IF(ISBLANK($C60),"",IF(ISNUMBER(R60),IF(R60&gt;=0,R60,""),""))</f>
        <v/>
      </c>
      <c r="AK60" s="127" t="str">
        <f aca="false">IF(ISBLANK($C60),"",IF(ISNUMBER(S60),IF(S60&gt;=0,MIN(S60,Constants!$B$22),""),""))</f>
        <v/>
      </c>
      <c r="AL60" s="127" t="str">
        <f aca="false">IF(ISBLANK($C60),"",IF(T60=Constants!$B$2,TRUE(),IF(T60=Constants!$B$3,FALSE(),FALSE())))</f>
        <v/>
      </c>
      <c r="AM60" s="126" t="str">
        <f aca="false">IF(ISBLANK($C60),"",AND($AB60,OR($AC60="",$AD60="",AND(NOT(ISBLANK($M60)),$AE60=""))))</f>
        <v/>
      </c>
      <c r="AN60" s="129" t="str">
        <f aca="false">IF($BD60&lt;&gt;Constants!$B$6,"",IF($AB60,Constants!$B$17*$AD60,Constants!$B$18))</f>
        <v/>
      </c>
      <c r="AO60" s="130" t="str">
        <f aca="false">IF($BD60&lt;&gt;Constants!$B$6,"",Constants!$B$19*IF($AB60,$AC60,0))</f>
        <v/>
      </c>
      <c r="AP60" s="130" t="str">
        <f aca="false">IF($BD60&lt;&gt;Constants!$B$6,"",IF(AND($AB60,ISNUMBER($AE60)),Constants!$B$20*(Constants!$B$21-$AE60),0))</f>
        <v/>
      </c>
      <c r="AQ60" s="130" t="str">
        <f aca="false">IF($BD60&lt;&gt;Constants!$B$6,"",IF($AA60,0,Constants!$B$12)+IF($Z60,0,Constants!$B$13)+IF($Y60,0,Constants!$B$14))</f>
        <v/>
      </c>
      <c r="AR60" s="131" t="str">
        <f aca="false">IF($BD60&lt;&gt;Constants!$B$6,"",Constants!$B$16+SUM($AN60:$AQ60))</f>
        <v/>
      </c>
      <c r="AS60" s="130" t="str">
        <f aca="false">IF($BD60&lt;&gt;Constants!$B$6,"",IF($AB60,$AD60,""))</f>
        <v/>
      </c>
      <c r="AT60" s="132" t="str">
        <f aca="false">IF($BD60&lt;&gt;Constants!$B$6,"",$AO60)</f>
        <v/>
      </c>
      <c r="AU60" s="127" t="str">
        <f aca="false">IF($BD60&lt;&gt;Constants!$B$6,"",IF(OR($BA60&lt;$AR60,AND($BA60=$AR60,OR(AND(ISNUMBER($BB60),OR(NOT(ISNUMBER($AS60)),$BB60&lt;$AS60)),AND(OR(AND($BB60="",$AS60=""),AND(ISNUMBER($BB60),ISNUMBER($AS60),$BB60=$AS60)),$BC60&lt;$AT60)))),"-&gt;","&lt;-"))</f>
        <v/>
      </c>
      <c r="AV60" s="126" t="str">
        <f aca="false">IF(ISBLANK($C60),"",AND($AH60,OR($AI60="",$AJ60="",AND(NOT(ISBLANK($S60)),$AK60=""))))</f>
        <v/>
      </c>
      <c r="AW60" s="129" t="str">
        <f aca="false">IF($BD60&lt;&gt;Constants!$B$6,"",IF($AH60,Constants!$B$17*$AJ60,Constants!$B$18))</f>
        <v/>
      </c>
      <c r="AX60" s="130" t="str">
        <f aca="false">IF($BD60&lt;&gt;Constants!$B$6,"",Constants!$B$19*IF($AH60,$AI60,0))</f>
        <v/>
      </c>
      <c r="AY60" s="130" t="str">
        <f aca="false">IF($BD60&lt;&gt;Constants!$B$6,"",IF(AND($AH60,ISNUMBER($AK60)),Constants!$B$20*(Constants!$B$21-$AK60),0))</f>
        <v/>
      </c>
      <c r="AZ60" s="130" t="str">
        <f aca="false">IF($BD60&lt;&gt;Constants!$B$6,"",IF($AG60,0,Constants!$B$12)+IF($AF60,0,Constants!$B$13)+IF($Y60,0,Constants!$B$14))</f>
        <v/>
      </c>
      <c r="BA60" s="131" t="str">
        <f aca="false">IF($BD60&lt;&gt;Constants!$B$6,"",Constants!$B$16+SUM($AW60:$AZ60))</f>
        <v/>
      </c>
      <c r="BB60" s="130" t="str">
        <f aca="false">IF($BD60&lt;&gt;Constants!$B$6,"",IF($AH60,$AJ60,""))</f>
        <v/>
      </c>
      <c r="BC60" s="132" t="str">
        <f aca="false">IF($BD60&lt;&gt;Constants!$B$6,"",$AX60)</f>
        <v/>
      </c>
      <c r="BD60" s="127" t="str">
        <f aca="false">IF(ISBLANK($C60),"",IF($AL60,Constants!$B$9,IF(COUNTA($E60:$T60)=0,Constants!$B$8,IF(NOT($X60),Constants!$B$7,IF(OR($AM60,$AV60),Constants!$B$10,Constants!$B$6)))))</f>
        <v/>
      </c>
      <c r="BE60" s="127" t="str">
        <f aca="false">IF(ISBLANK($C60),"",IF($BD60&lt;&gt;Constants!$B$6,$BD60,Constants!$B$11))</f>
        <v/>
      </c>
      <c r="BF60" s="130" t="str">
        <f aca="false">IF($BD60&lt;&gt;Constants!$B$6,"",IF($AU60="-&gt;",$BA60,$AR60))</f>
        <v/>
      </c>
      <c r="BG60" s="130" t="str">
        <f aca="false">IF($BD60&lt;&gt;Constants!$B$6,"",IF($W60,0,Constants!$B$15))</f>
        <v/>
      </c>
      <c r="BH60" s="130" t="str">
        <f aca="false">IF(ISBLANK($C60),"",IF($BD60&lt;&gt;Constants!$B$6,$BD60,SUM($BF60:$BG60)))</f>
        <v/>
      </c>
      <c r="BI60" s="127" t="str">
        <f aca="false">IF(ISBLANK($C60),"",IF($BD60&lt;&gt;Constants!$B$6,$BD60,RANK($BH60,$BH$9:$BH$508,1)))</f>
        <v/>
      </c>
      <c r="BJ60" s="130" t="str">
        <f aca="false">IF($BD60&lt;&gt;Constants!$B$6,"",IF($AU60="-&gt;",$BB60,$AS60))</f>
        <v/>
      </c>
      <c r="BK60" s="127" t="str">
        <f aca="false">IF(ISBLANK($C60),"",IF($BD60&lt;&gt;Constants!$B$6,$BD60,IF(ISNUMBER($BJ60),RANK($BJ60,$BJ$9:$BJ$508,1),COUNT($BJ$9:$BJ$508)+1)))</f>
        <v/>
      </c>
      <c r="BL60" s="130" t="str">
        <f aca="false">IF($BD60&lt;&gt;Constants!$B$6,"",IF($AU60="-&gt;",$BC60,$AT60))</f>
        <v/>
      </c>
      <c r="BM60" s="127" t="str">
        <f aca="false">IF(ISBLANK($C60),"",IF($BD60&lt;&gt;Constants!$B$6,$BD60,IF(ISNUMBER($BL60),RANK($BL60,$BL$9:$BL$508,1),COUNT($BL$9:$BL$508)+1)))</f>
        <v/>
      </c>
      <c r="BN60" s="130" t="str">
        <f aca="false">IF($BD60&lt;&gt;Constants!$B$6,"",IF($AU60="-&gt;",$AS60,$BB60))</f>
        <v/>
      </c>
      <c r="BO60" s="127" t="str">
        <f aca="false">IF(ISBLANK($C60),"",IF($BD60&lt;&gt;Constants!$B$6,$BD60,IF(ISNUMBER($BN60),RANK($BN60,$BN$9:$BN$508,1),COUNT($BN$9:$BN$508)+1)))</f>
        <v/>
      </c>
      <c r="BP60" s="130" t="str">
        <f aca="false">IF($BD60&lt;&gt;Constants!$B$6,"",IF($AU60="-&gt;",$AT60,$BC60))</f>
        <v/>
      </c>
      <c r="BQ60" s="127" t="str">
        <f aca="false">IF(ISBLANK($C60),"",IF($BD60&lt;&gt;Constants!$B$6,$BD60,IF(ISNUMBER($BP60),RANK($BP60,$BP$9:$BP$508,1),COUNT($BP$9:$BP$508)+1)))</f>
        <v/>
      </c>
      <c r="BR60" s="127" t="str">
        <f aca="false">IF(ISBLANK($C60),"",IF($BD60&lt;&gt;Constants!$B$6,$BD60,COUNTIFS($BI$9:$BI$508,"&lt;"&amp;$BI60)+COUNTIFS($BI$9:$BI$508,$BI60,$BK$9:$BK$508,"&lt;"&amp;$BK60)+COUNTIFS($BI$9:$BI$508,$BI60,$BK$9:$BK$508,$BK60,$BM$9:$BM$508,"&lt;"&amp;$BM60)+COUNTIFS($BI$9:$BI$508,$BI60,$BK$9:$BK$508,$BK60,$BM$9:$BM$508,$BM60,$BO$9:$BO$508,"&lt;"&amp;$BO60)+COUNTIFS($BI$9:$BI$508,$BI60,$BK$9:$BK$508,$BK60,$BM$9:$BM$508,$BM60,$BO$9:$BO$508,$BO60,$BQ$9:$BQ$508,"&lt;"&amp;$BQ60)+1))</f>
        <v/>
      </c>
      <c r="BS60" s="127" t="str">
        <f aca="false">IF(ISBLANK($C60),"",IF($BD60&lt;&gt;Constants!$B$6,$BD60,$BI60-$BR60))</f>
        <v/>
      </c>
      <c r="BT60" s="133"/>
      <c r="BU60" s="134"/>
      <c r="BV60" s="134" t="str">
        <f aca="false">IF(ISBLANK($C60),"",IF($BD60&lt;&gt;Constants!$B$6,"",IF($AU60="-&gt;",2,1)))</f>
        <v/>
      </c>
      <c r="BW60" s="135" t="str">
        <f aca="false">IF(ISBLANK($C60),"",IF($BD60&lt;&gt;Constants!$B$6,"",IF($AU60="-&gt;",$AW60,$AN60)))</f>
        <v/>
      </c>
      <c r="BX60" s="135" t="str">
        <f aca="false">IF(ISBLANK($C60),"",IF($BD60&lt;&gt;Constants!$B$6,"",IF($AU60="-&gt;",$AX60,$AO60)))</f>
        <v/>
      </c>
      <c r="BY60" s="135" t="str">
        <f aca="false">IF(ISBLANK($C60),"",IF($BD60&lt;&gt;Constants!$B$6,"",IF($AU60="-&gt;",$AY60,$AP60)))</f>
        <v/>
      </c>
      <c r="BZ60" s="135" t="str">
        <f aca="false">IF(ISBLANK($C60),"",IF($BD60&lt;&gt;Constants!$B$6,"",IF($AU60="-&gt;",$AZ60,$AQ60)+$BG60))</f>
        <v/>
      </c>
      <c r="CA60" s="136" t="str">
        <f aca="false">IF(ISBLANK($C60),"",IF($BD60&lt;&gt;Constants!$B$6,$BD60,$BH60))</f>
        <v/>
      </c>
      <c r="CB60" s="137" t="str">
        <f aca="false">IF(ISBLANK($C60),"",$BE60)</f>
        <v/>
      </c>
      <c r="CC60" s="138" t="str">
        <f aca="false">IF(ISBLANK($C60),"",$BS60)</f>
        <v/>
      </c>
      <c r="CD60" s="138" t="str">
        <f aca="false">IF(ISBLANK($C60),"",$BR60)</f>
        <v/>
      </c>
      <c r="CE60" s="139" t="str">
        <f aca="false">IF(ISBLANK($C60),"",IF($CD60=Constants!$B$9,COUNTA($C$9:$C$508)+2,IF($CD60=Constants!$B$8,COUNTA($C$9:$C$508)+1,IF($CD60=Constants!$B$7,COUNTA($C$9:$C$508),$CD60))))</f>
        <v/>
      </c>
      <c r="CF60" s="9"/>
      <c r="CG60" s="140" t="n">
        <f aca="false">IF(OR(ISNUMBER($CD60),$CD60=Constants!$B$9,$CD60=Constants!$B$7,$CD60=Constants!$B$8),1,0)</f>
        <v>0</v>
      </c>
      <c r="CH60" s="140" t="n">
        <v>52</v>
      </c>
      <c r="CI60" s="140" t="str">
        <f aca="false">IF(ISBLANK($C60),"",IF(ISNUMBER($CE60),$CE60+ROW($B60)/1000,""))</f>
        <v/>
      </c>
      <c r="CJ60" s="140" t="str">
        <f aca="false">IF(ISNUMBER($CI60),RANK($CI60,$CI$9:$CI$508,1),"")</f>
        <v/>
      </c>
      <c r="CK60" s="140" t="str">
        <f aca="false">IF(ISBLANK($C60),"",$B60)</f>
        <v/>
      </c>
      <c r="CL60" s="140" t="str">
        <f aca="false">IF(ISBLANK($C60),"",$C60)</f>
        <v/>
      </c>
      <c r="CM60" s="140" t="str">
        <f aca="false">IF(ISBLANK($C60),"",$D60)</f>
        <v/>
      </c>
      <c r="CN60" s="141" t="str">
        <f aca="false">$CB60</f>
        <v/>
      </c>
      <c r="CO60" s="142" t="str">
        <f aca="false">$CA60</f>
        <v/>
      </c>
      <c r="CP60" s="140" t="str">
        <f aca="false">IF(ISBLANK($C60),"",$CD60)</f>
        <v/>
      </c>
      <c r="CQ60" s="143" t="str">
        <f aca="false">IF($CH60&gt;$CG$8,"",VLOOKUP($CH60,$CJ$9:$CP$508,7,FALSE()))</f>
        <v/>
      </c>
      <c r="CR60" s="144" t="str">
        <f aca="false">IF($CH60&gt;$CG$8,"",VLOOKUP($CH60,$CJ$9:$CP$508,2,FALSE()))</f>
        <v/>
      </c>
      <c r="CS60" s="144" t="str">
        <f aca="false">IF($CH60&gt;$CG$8,"",VLOOKUP($CH60,$CJ$9:$CP$508,3,FALSE()))</f>
        <v/>
      </c>
      <c r="CT60" s="144" t="str">
        <f aca="false">IF($CH60&gt;$CG$8,"",VLOOKUP($CH60,$CJ$9:$CP$508,4,FALSE()))</f>
        <v/>
      </c>
      <c r="CU60" s="144" t="str">
        <f aca="false">IF($CH60&gt;$CG$8,"",VLOOKUP($CH60,$CJ$9:$CP$508,5,FALSE()))</f>
        <v/>
      </c>
      <c r="CV60" s="145" t="str">
        <f aca="false">IF($CH60&gt;$CG$8,"",VLOOKUP($CH60,$CJ$9:$CP$508,6,FALSE()))</f>
        <v/>
      </c>
      <c r="CW60" s="71"/>
    </row>
    <row r="61" customFormat="false" ht="15.75" hidden="false" customHeight="false" outlineLevel="0" collapsed="false">
      <c r="A61" s="9"/>
      <c r="B61" s="150"/>
      <c r="C61" s="151"/>
      <c r="D61" s="152"/>
      <c r="E61" s="170"/>
      <c r="F61" s="154"/>
      <c r="G61" s="155"/>
      <c r="H61" s="171"/>
      <c r="I61" s="159"/>
      <c r="J61" s="120"/>
      <c r="K61" s="121"/>
      <c r="L61" s="122"/>
      <c r="M61" s="158"/>
      <c r="N61" s="159"/>
      <c r="O61" s="159"/>
      <c r="P61" s="120"/>
      <c r="Q61" s="122"/>
      <c r="R61" s="122"/>
      <c r="S61" s="158"/>
      <c r="T61" s="159"/>
      <c r="U61" s="126"/>
      <c r="V61" s="127"/>
      <c r="W61" s="127" t="str">
        <f aca="false">IF(ISBLANK($C61),"",IF(E61=Constants!$B$2,TRUE(),IF(E61=Constants!$B$3,FALSE(),TRUE())))</f>
        <v/>
      </c>
      <c r="X61" s="127" t="str">
        <f aca="false">IF(ISBLANK($C61),"",IF(F61=Constants!$B$2,TRUE(),IF(F61=Constants!$B$3,FALSE(),TRUE())))</f>
        <v/>
      </c>
      <c r="Y61" s="127" t="str">
        <f aca="false">IF(ISBLANK($C61),"",IF(G61=Constants!$B$2,TRUE(),IF(G61=Constants!$B$3,FALSE(),TRUE())))</f>
        <v/>
      </c>
      <c r="Z61" s="127" t="str">
        <f aca="false">IF(ISBLANK($C61),"",IF(H61=Constants!$B$2,TRUE(),IF(H61=Constants!$B$3,FALSE(),TRUE())))</f>
        <v/>
      </c>
      <c r="AA61" s="127" t="str">
        <f aca="false">IF(ISBLANK($C61),"",IF(I61=Constants!$B$2,TRUE(),IF(I61=Constants!$B$3,FALSE(),TRUE())))</f>
        <v/>
      </c>
      <c r="AB61" s="127" t="str">
        <f aca="false">IF(ISBLANK($C61),"",IF(J61=Constants!$B$4,TRUE(),IF(J61=Constants!$B$5,FALSE(),COUNTA(K61:M61)&gt;0)))</f>
        <v/>
      </c>
      <c r="AC61" s="128" t="str">
        <f aca="false">IF(ISBLANK($C61),"",IF(ISNUMBER(K61),IF(K61&gt;=0,K61,""),""))</f>
        <v/>
      </c>
      <c r="AD61" s="129" t="str">
        <f aca="false">IF(ISBLANK($C61),"",IF(ISNUMBER(L61),IF(L61&gt;=0,L61,""),""))</f>
        <v/>
      </c>
      <c r="AE61" s="127" t="str">
        <f aca="false">IF(ISBLANK($C61),"",IF(ISNUMBER(M61),IF(M61&gt;=0,MIN(M61,Constants!$B$22),""),""))</f>
        <v/>
      </c>
      <c r="AF61" s="127" t="str">
        <f aca="false">IF(ISBLANK($C61),"",IF(N61=Constants!$B$2,TRUE(),IF(N61=Constants!$B$3,FALSE(),TRUE())))</f>
        <v/>
      </c>
      <c r="AG61" s="127" t="str">
        <f aca="false">IF(ISBLANK($C61),"",IF(O61=Constants!$B$2,TRUE(),IF(O61=Constants!$B$3,FALSE(),TRUE())))</f>
        <v/>
      </c>
      <c r="AH61" s="127" t="str">
        <f aca="false">IF(ISBLANK($C61),"",IF(P61=Constants!$B$4,TRUE(),IF(P61=Constants!$B$5,FALSE(),COUNTA(Q61:S61)&gt;0)))</f>
        <v/>
      </c>
      <c r="AI61" s="128" t="str">
        <f aca="false">IF(ISBLANK($C61),"",IF(ISNUMBER(Q61),IF(Q61&gt;=0,Q61,""),""))</f>
        <v/>
      </c>
      <c r="AJ61" s="129" t="str">
        <f aca="false">IF(ISBLANK($C61),"",IF(ISNUMBER(R61),IF(R61&gt;=0,R61,""),""))</f>
        <v/>
      </c>
      <c r="AK61" s="127" t="str">
        <f aca="false">IF(ISBLANK($C61),"",IF(ISNUMBER(S61),IF(S61&gt;=0,MIN(S61,Constants!$B$22),""),""))</f>
        <v/>
      </c>
      <c r="AL61" s="127" t="str">
        <f aca="false">IF(ISBLANK($C61),"",IF(T61=Constants!$B$2,TRUE(),IF(T61=Constants!$B$3,FALSE(),FALSE())))</f>
        <v/>
      </c>
      <c r="AM61" s="126" t="str">
        <f aca="false">IF(ISBLANK($C61),"",AND($AB61,OR($AC61="",$AD61="",AND(NOT(ISBLANK($M61)),$AE61=""))))</f>
        <v/>
      </c>
      <c r="AN61" s="129" t="str">
        <f aca="false">IF($BD61&lt;&gt;Constants!$B$6,"",IF($AB61,Constants!$B$17*$AD61,Constants!$B$18))</f>
        <v/>
      </c>
      <c r="AO61" s="130" t="str">
        <f aca="false">IF($BD61&lt;&gt;Constants!$B$6,"",Constants!$B$19*IF($AB61,$AC61,0))</f>
        <v/>
      </c>
      <c r="AP61" s="130" t="str">
        <f aca="false">IF($BD61&lt;&gt;Constants!$B$6,"",IF(AND($AB61,ISNUMBER($AE61)),Constants!$B$20*(Constants!$B$21-$AE61),0))</f>
        <v/>
      </c>
      <c r="AQ61" s="130" t="str">
        <f aca="false">IF($BD61&lt;&gt;Constants!$B$6,"",IF($AA61,0,Constants!$B$12)+IF($Z61,0,Constants!$B$13)+IF($Y61,0,Constants!$B$14))</f>
        <v/>
      </c>
      <c r="AR61" s="131" t="str">
        <f aca="false">IF($BD61&lt;&gt;Constants!$B$6,"",Constants!$B$16+SUM($AN61:$AQ61))</f>
        <v/>
      </c>
      <c r="AS61" s="130" t="str">
        <f aca="false">IF($BD61&lt;&gt;Constants!$B$6,"",IF($AB61,$AD61,""))</f>
        <v/>
      </c>
      <c r="AT61" s="132" t="str">
        <f aca="false">IF($BD61&lt;&gt;Constants!$B$6,"",$AO61)</f>
        <v/>
      </c>
      <c r="AU61" s="127" t="str">
        <f aca="false">IF($BD61&lt;&gt;Constants!$B$6,"",IF(OR($BA61&lt;$AR61,AND($BA61=$AR61,OR(AND(ISNUMBER($BB61),OR(NOT(ISNUMBER($AS61)),$BB61&lt;$AS61)),AND(OR(AND($BB61="",$AS61=""),AND(ISNUMBER($BB61),ISNUMBER($AS61),$BB61=$AS61)),$BC61&lt;$AT61)))),"-&gt;","&lt;-"))</f>
        <v/>
      </c>
      <c r="AV61" s="126" t="str">
        <f aca="false">IF(ISBLANK($C61),"",AND($AH61,OR($AI61="",$AJ61="",AND(NOT(ISBLANK($S61)),$AK61=""))))</f>
        <v/>
      </c>
      <c r="AW61" s="129" t="str">
        <f aca="false">IF($BD61&lt;&gt;Constants!$B$6,"",IF($AH61,Constants!$B$17*$AJ61,Constants!$B$18))</f>
        <v/>
      </c>
      <c r="AX61" s="130" t="str">
        <f aca="false">IF($BD61&lt;&gt;Constants!$B$6,"",Constants!$B$19*IF($AH61,$AI61,0))</f>
        <v/>
      </c>
      <c r="AY61" s="130" t="str">
        <f aca="false">IF($BD61&lt;&gt;Constants!$B$6,"",IF(AND($AH61,ISNUMBER($AK61)),Constants!$B$20*(Constants!$B$21-$AK61),0))</f>
        <v/>
      </c>
      <c r="AZ61" s="130" t="str">
        <f aca="false">IF($BD61&lt;&gt;Constants!$B$6,"",IF($AG61,0,Constants!$B$12)+IF($AF61,0,Constants!$B$13)+IF($Y61,0,Constants!$B$14))</f>
        <v/>
      </c>
      <c r="BA61" s="131" t="str">
        <f aca="false">IF($BD61&lt;&gt;Constants!$B$6,"",Constants!$B$16+SUM($AW61:$AZ61))</f>
        <v/>
      </c>
      <c r="BB61" s="130" t="str">
        <f aca="false">IF($BD61&lt;&gt;Constants!$B$6,"",IF($AH61,$AJ61,""))</f>
        <v/>
      </c>
      <c r="BC61" s="132" t="str">
        <f aca="false">IF($BD61&lt;&gt;Constants!$B$6,"",$AX61)</f>
        <v/>
      </c>
      <c r="BD61" s="127" t="str">
        <f aca="false">IF(ISBLANK($C61),"",IF($AL61,Constants!$B$9,IF(COUNTA($E61:$T61)=0,Constants!$B$8,IF(NOT($X61),Constants!$B$7,IF(OR($AM61,$AV61),Constants!$B$10,Constants!$B$6)))))</f>
        <v/>
      </c>
      <c r="BE61" s="127" t="str">
        <f aca="false">IF(ISBLANK($C61),"",IF($BD61&lt;&gt;Constants!$B$6,$BD61,Constants!$B$11))</f>
        <v/>
      </c>
      <c r="BF61" s="130" t="str">
        <f aca="false">IF($BD61&lt;&gt;Constants!$B$6,"",IF($AU61="-&gt;",$BA61,$AR61))</f>
        <v/>
      </c>
      <c r="BG61" s="130" t="str">
        <f aca="false">IF($BD61&lt;&gt;Constants!$B$6,"",IF($W61,0,Constants!$B$15))</f>
        <v/>
      </c>
      <c r="BH61" s="130" t="str">
        <f aca="false">IF(ISBLANK($C61),"",IF($BD61&lt;&gt;Constants!$B$6,$BD61,SUM($BF61:$BG61)))</f>
        <v/>
      </c>
      <c r="BI61" s="127" t="str">
        <f aca="false">IF(ISBLANK($C61),"",IF($BD61&lt;&gt;Constants!$B$6,$BD61,RANK($BH61,$BH$9:$BH$508,1)))</f>
        <v/>
      </c>
      <c r="BJ61" s="130" t="str">
        <f aca="false">IF($BD61&lt;&gt;Constants!$B$6,"",IF($AU61="-&gt;",$BB61,$AS61))</f>
        <v/>
      </c>
      <c r="BK61" s="127" t="str">
        <f aca="false">IF(ISBLANK($C61),"",IF($BD61&lt;&gt;Constants!$B$6,$BD61,IF(ISNUMBER($BJ61),RANK($BJ61,$BJ$9:$BJ$508,1),COUNT($BJ$9:$BJ$508)+1)))</f>
        <v/>
      </c>
      <c r="BL61" s="130" t="str">
        <f aca="false">IF($BD61&lt;&gt;Constants!$B$6,"",IF($AU61="-&gt;",$BC61,$AT61))</f>
        <v/>
      </c>
      <c r="BM61" s="127" t="str">
        <f aca="false">IF(ISBLANK($C61),"",IF($BD61&lt;&gt;Constants!$B$6,$BD61,IF(ISNUMBER($BL61),RANK($BL61,$BL$9:$BL$508,1),COUNT($BL$9:$BL$508)+1)))</f>
        <v/>
      </c>
      <c r="BN61" s="130" t="str">
        <f aca="false">IF($BD61&lt;&gt;Constants!$B$6,"",IF($AU61="-&gt;",$AS61,$BB61))</f>
        <v/>
      </c>
      <c r="BO61" s="127" t="str">
        <f aca="false">IF(ISBLANK($C61),"",IF($BD61&lt;&gt;Constants!$B$6,$BD61,IF(ISNUMBER($BN61),RANK($BN61,$BN$9:$BN$508,1),COUNT($BN$9:$BN$508)+1)))</f>
        <v/>
      </c>
      <c r="BP61" s="130" t="str">
        <f aca="false">IF($BD61&lt;&gt;Constants!$B$6,"",IF($AU61="-&gt;",$AT61,$BC61))</f>
        <v/>
      </c>
      <c r="BQ61" s="127" t="str">
        <f aca="false">IF(ISBLANK($C61),"",IF($BD61&lt;&gt;Constants!$B$6,$BD61,IF(ISNUMBER($BP61),RANK($BP61,$BP$9:$BP$508,1),COUNT($BP$9:$BP$508)+1)))</f>
        <v/>
      </c>
      <c r="BR61" s="127" t="str">
        <f aca="false">IF(ISBLANK($C61),"",IF($BD61&lt;&gt;Constants!$B$6,$BD61,COUNTIFS($BI$9:$BI$508,"&lt;"&amp;$BI61)+COUNTIFS($BI$9:$BI$508,$BI61,$BK$9:$BK$508,"&lt;"&amp;$BK61)+COUNTIFS($BI$9:$BI$508,$BI61,$BK$9:$BK$508,$BK61,$BM$9:$BM$508,"&lt;"&amp;$BM61)+COUNTIFS($BI$9:$BI$508,$BI61,$BK$9:$BK$508,$BK61,$BM$9:$BM$508,$BM61,$BO$9:$BO$508,"&lt;"&amp;$BO61)+COUNTIFS($BI$9:$BI$508,$BI61,$BK$9:$BK$508,$BK61,$BM$9:$BM$508,$BM61,$BO$9:$BO$508,$BO61,$BQ$9:$BQ$508,"&lt;"&amp;$BQ61)+1))</f>
        <v/>
      </c>
      <c r="BS61" s="127" t="str">
        <f aca="false">IF(ISBLANK($C61),"",IF($BD61&lt;&gt;Constants!$B$6,$BD61,$BI61-$BR61))</f>
        <v/>
      </c>
      <c r="BT61" s="133"/>
      <c r="BU61" s="134"/>
      <c r="BV61" s="134" t="str">
        <f aca="false">IF(ISBLANK($C61),"",IF($BD61&lt;&gt;Constants!$B$6,"",IF($AU61="-&gt;",2,1)))</f>
        <v/>
      </c>
      <c r="BW61" s="135" t="str">
        <f aca="false">IF(ISBLANK($C61),"",IF($BD61&lt;&gt;Constants!$B$6,"",IF($AU61="-&gt;",$AW61,$AN61)))</f>
        <v/>
      </c>
      <c r="BX61" s="135" t="str">
        <f aca="false">IF(ISBLANK($C61),"",IF($BD61&lt;&gt;Constants!$B$6,"",IF($AU61="-&gt;",$AX61,$AO61)))</f>
        <v/>
      </c>
      <c r="BY61" s="135" t="str">
        <f aca="false">IF(ISBLANK($C61),"",IF($BD61&lt;&gt;Constants!$B$6,"",IF($AU61="-&gt;",$AY61,$AP61)))</f>
        <v/>
      </c>
      <c r="BZ61" s="135" t="str">
        <f aca="false">IF(ISBLANK($C61),"",IF($BD61&lt;&gt;Constants!$B$6,"",IF($AU61="-&gt;",$AZ61,$AQ61)+$BG61))</f>
        <v/>
      </c>
      <c r="CA61" s="136" t="str">
        <f aca="false">IF(ISBLANK($C61),"",IF($BD61&lt;&gt;Constants!$B$6,$BD61,$BH61))</f>
        <v/>
      </c>
      <c r="CB61" s="137" t="str">
        <f aca="false">IF(ISBLANK($C61),"",$BE61)</f>
        <v/>
      </c>
      <c r="CC61" s="138" t="str">
        <f aca="false">IF(ISBLANK($C61),"",$BS61)</f>
        <v/>
      </c>
      <c r="CD61" s="138" t="str">
        <f aca="false">IF(ISBLANK($C61),"",$BR61)</f>
        <v/>
      </c>
      <c r="CE61" s="139" t="str">
        <f aca="false">IF(ISBLANK($C61),"",IF($CD61=Constants!$B$9,COUNTA($C$9:$C$508)+2,IF($CD61=Constants!$B$8,COUNTA($C$9:$C$508)+1,IF($CD61=Constants!$B$7,COUNTA($C$9:$C$508),$CD61))))</f>
        <v/>
      </c>
      <c r="CF61" s="9"/>
      <c r="CG61" s="140" t="n">
        <f aca="false">IF(OR(ISNUMBER($CD61),$CD61=Constants!$B$9,$CD61=Constants!$B$7,$CD61=Constants!$B$8),1,0)</f>
        <v>0</v>
      </c>
      <c r="CH61" s="140" t="n">
        <v>53</v>
      </c>
      <c r="CI61" s="140" t="str">
        <f aca="false">IF(ISBLANK($C61),"",IF(ISNUMBER($CE61),$CE61+ROW($B61)/1000,""))</f>
        <v/>
      </c>
      <c r="CJ61" s="140" t="str">
        <f aca="false">IF(ISNUMBER($CI61),RANK($CI61,$CI$9:$CI$508,1),"")</f>
        <v/>
      </c>
      <c r="CK61" s="140" t="str">
        <f aca="false">IF(ISBLANK($C61),"",$B61)</f>
        <v/>
      </c>
      <c r="CL61" s="140" t="str">
        <f aca="false">IF(ISBLANK($C61),"",$C61)</f>
        <v/>
      </c>
      <c r="CM61" s="140" t="str">
        <f aca="false">IF(ISBLANK($C61),"",$D61)</f>
        <v/>
      </c>
      <c r="CN61" s="141" t="str">
        <f aca="false">$CB61</f>
        <v/>
      </c>
      <c r="CO61" s="142" t="str">
        <f aca="false">$CA61</f>
        <v/>
      </c>
      <c r="CP61" s="140" t="str">
        <f aca="false">IF(ISBLANK($C61),"",$CD61)</f>
        <v/>
      </c>
      <c r="CQ61" s="143" t="str">
        <f aca="false">IF($CH61&gt;$CG$8,"",VLOOKUP($CH61,$CJ$9:$CP$508,7,FALSE()))</f>
        <v/>
      </c>
      <c r="CR61" s="144" t="str">
        <f aca="false">IF($CH61&gt;$CG$8,"",VLOOKUP($CH61,$CJ$9:$CP$508,2,FALSE()))</f>
        <v/>
      </c>
      <c r="CS61" s="144" t="str">
        <f aca="false">IF($CH61&gt;$CG$8,"",VLOOKUP($CH61,$CJ$9:$CP$508,3,FALSE()))</f>
        <v/>
      </c>
      <c r="CT61" s="144" t="str">
        <f aca="false">IF($CH61&gt;$CG$8,"",VLOOKUP($CH61,$CJ$9:$CP$508,4,FALSE()))</f>
        <v/>
      </c>
      <c r="CU61" s="144" t="str">
        <f aca="false">IF($CH61&gt;$CG$8,"",VLOOKUP($CH61,$CJ$9:$CP$508,5,FALSE()))</f>
        <v/>
      </c>
      <c r="CV61" s="145" t="str">
        <f aca="false">IF($CH61&gt;$CG$8,"",VLOOKUP($CH61,$CJ$9:$CP$508,6,FALSE()))</f>
        <v/>
      </c>
      <c r="CW61" s="71"/>
    </row>
    <row r="62" customFormat="false" ht="15.75" hidden="false" customHeight="false" outlineLevel="0" collapsed="false">
      <c r="A62" s="9"/>
      <c r="B62" s="150"/>
      <c r="C62" s="151"/>
      <c r="D62" s="152"/>
      <c r="E62" s="170"/>
      <c r="F62" s="154"/>
      <c r="G62" s="155"/>
      <c r="H62" s="171"/>
      <c r="I62" s="159"/>
      <c r="J62" s="120"/>
      <c r="K62" s="121"/>
      <c r="L62" s="122"/>
      <c r="M62" s="158"/>
      <c r="N62" s="159"/>
      <c r="O62" s="159"/>
      <c r="P62" s="120"/>
      <c r="Q62" s="122"/>
      <c r="R62" s="122"/>
      <c r="S62" s="158"/>
      <c r="T62" s="159"/>
      <c r="U62" s="126"/>
      <c r="V62" s="127"/>
      <c r="W62" s="127" t="str">
        <f aca="false">IF(ISBLANK($C62),"",IF(E62=Constants!$B$2,TRUE(),IF(E62=Constants!$B$3,FALSE(),TRUE())))</f>
        <v/>
      </c>
      <c r="X62" s="127" t="str">
        <f aca="false">IF(ISBLANK($C62),"",IF(F62=Constants!$B$2,TRUE(),IF(F62=Constants!$B$3,FALSE(),TRUE())))</f>
        <v/>
      </c>
      <c r="Y62" s="127" t="str">
        <f aca="false">IF(ISBLANK($C62),"",IF(G62=Constants!$B$2,TRUE(),IF(G62=Constants!$B$3,FALSE(),TRUE())))</f>
        <v/>
      </c>
      <c r="Z62" s="127" t="str">
        <f aca="false">IF(ISBLANK($C62),"",IF(H62=Constants!$B$2,TRUE(),IF(H62=Constants!$B$3,FALSE(),TRUE())))</f>
        <v/>
      </c>
      <c r="AA62" s="127" t="str">
        <f aca="false">IF(ISBLANK($C62),"",IF(I62=Constants!$B$2,TRUE(),IF(I62=Constants!$B$3,FALSE(),TRUE())))</f>
        <v/>
      </c>
      <c r="AB62" s="127" t="str">
        <f aca="false">IF(ISBLANK($C62),"",IF(J62=Constants!$B$4,TRUE(),IF(J62=Constants!$B$5,FALSE(),COUNTA(K62:M62)&gt;0)))</f>
        <v/>
      </c>
      <c r="AC62" s="128" t="str">
        <f aca="false">IF(ISBLANK($C62),"",IF(ISNUMBER(K62),IF(K62&gt;=0,K62,""),""))</f>
        <v/>
      </c>
      <c r="AD62" s="129" t="str">
        <f aca="false">IF(ISBLANK($C62),"",IF(ISNUMBER(L62),IF(L62&gt;=0,L62,""),""))</f>
        <v/>
      </c>
      <c r="AE62" s="127" t="str">
        <f aca="false">IF(ISBLANK($C62),"",IF(ISNUMBER(M62),IF(M62&gt;=0,MIN(M62,Constants!$B$22),""),""))</f>
        <v/>
      </c>
      <c r="AF62" s="127" t="str">
        <f aca="false">IF(ISBLANK($C62),"",IF(N62=Constants!$B$2,TRUE(),IF(N62=Constants!$B$3,FALSE(),TRUE())))</f>
        <v/>
      </c>
      <c r="AG62" s="127" t="str">
        <f aca="false">IF(ISBLANK($C62),"",IF(O62=Constants!$B$2,TRUE(),IF(O62=Constants!$B$3,FALSE(),TRUE())))</f>
        <v/>
      </c>
      <c r="AH62" s="127" t="str">
        <f aca="false">IF(ISBLANK($C62),"",IF(P62=Constants!$B$4,TRUE(),IF(P62=Constants!$B$5,FALSE(),COUNTA(Q62:S62)&gt;0)))</f>
        <v/>
      </c>
      <c r="AI62" s="128" t="str">
        <f aca="false">IF(ISBLANK($C62),"",IF(ISNUMBER(Q62),IF(Q62&gt;=0,Q62,""),""))</f>
        <v/>
      </c>
      <c r="AJ62" s="129" t="str">
        <f aca="false">IF(ISBLANK($C62),"",IF(ISNUMBER(R62),IF(R62&gt;=0,R62,""),""))</f>
        <v/>
      </c>
      <c r="AK62" s="127" t="str">
        <f aca="false">IF(ISBLANK($C62),"",IF(ISNUMBER(S62),IF(S62&gt;=0,MIN(S62,Constants!$B$22),""),""))</f>
        <v/>
      </c>
      <c r="AL62" s="127" t="str">
        <f aca="false">IF(ISBLANK($C62),"",IF(T62=Constants!$B$2,TRUE(),IF(T62=Constants!$B$3,FALSE(),FALSE())))</f>
        <v/>
      </c>
      <c r="AM62" s="126" t="str">
        <f aca="false">IF(ISBLANK($C62),"",AND($AB62,OR($AC62="",$AD62="",AND(NOT(ISBLANK($M62)),$AE62=""))))</f>
        <v/>
      </c>
      <c r="AN62" s="129" t="str">
        <f aca="false">IF($BD62&lt;&gt;Constants!$B$6,"",IF($AB62,Constants!$B$17*$AD62,Constants!$B$18))</f>
        <v/>
      </c>
      <c r="AO62" s="130" t="str">
        <f aca="false">IF($BD62&lt;&gt;Constants!$B$6,"",Constants!$B$19*IF($AB62,$AC62,0))</f>
        <v/>
      </c>
      <c r="AP62" s="130" t="str">
        <f aca="false">IF($BD62&lt;&gt;Constants!$B$6,"",IF(AND($AB62,ISNUMBER($AE62)),Constants!$B$20*(Constants!$B$21-$AE62),0))</f>
        <v/>
      </c>
      <c r="AQ62" s="130" t="str">
        <f aca="false">IF($BD62&lt;&gt;Constants!$B$6,"",IF($AA62,0,Constants!$B$12)+IF($Z62,0,Constants!$B$13)+IF($Y62,0,Constants!$B$14))</f>
        <v/>
      </c>
      <c r="AR62" s="131" t="str">
        <f aca="false">IF($BD62&lt;&gt;Constants!$B$6,"",Constants!$B$16+SUM($AN62:$AQ62))</f>
        <v/>
      </c>
      <c r="AS62" s="130" t="str">
        <f aca="false">IF($BD62&lt;&gt;Constants!$B$6,"",IF($AB62,$AD62,""))</f>
        <v/>
      </c>
      <c r="AT62" s="132" t="str">
        <f aca="false">IF($BD62&lt;&gt;Constants!$B$6,"",$AO62)</f>
        <v/>
      </c>
      <c r="AU62" s="127" t="str">
        <f aca="false">IF($BD62&lt;&gt;Constants!$B$6,"",IF(OR($BA62&lt;$AR62,AND($BA62=$AR62,OR(AND(ISNUMBER($BB62),OR(NOT(ISNUMBER($AS62)),$BB62&lt;$AS62)),AND(OR(AND($BB62="",$AS62=""),AND(ISNUMBER($BB62),ISNUMBER($AS62),$BB62=$AS62)),$BC62&lt;$AT62)))),"-&gt;","&lt;-"))</f>
        <v/>
      </c>
      <c r="AV62" s="126" t="str">
        <f aca="false">IF(ISBLANK($C62),"",AND($AH62,OR($AI62="",$AJ62="",AND(NOT(ISBLANK($S62)),$AK62=""))))</f>
        <v/>
      </c>
      <c r="AW62" s="129" t="str">
        <f aca="false">IF($BD62&lt;&gt;Constants!$B$6,"",IF($AH62,Constants!$B$17*$AJ62,Constants!$B$18))</f>
        <v/>
      </c>
      <c r="AX62" s="130" t="str">
        <f aca="false">IF($BD62&lt;&gt;Constants!$B$6,"",Constants!$B$19*IF($AH62,$AI62,0))</f>
        <v/>
      </c>
      <c r="AY62" s="130" t="str">
        <f aca="false">IF($BD62&lt;&gt;Constants!$B$6,"",IF(AND($AH62,ISNUMBER($AK62)),Constants!$B$20*(Constants!$B$21-$AK62),0))</f>
        <v/>
      </c>
      <c r="AZ62" s="130" t="str">
        <f aca="false">IF($BD62&lt;&gt;Constants!$B$6,"",IF($AG62,0,Constants!$B$12)+IF($AF62,0,Constants!$B$13)+IF($Y62,0,Constants!$B$14))</f>
        <v/>
      </c>
      <c r="BA62" s="131" t="str">
        <f aca="false">IF($BD62&lt;&gt;Constants!$B$6,"",Constants!$B$16+SUM($AW62:$AZ62))</f>
        <v/>
      </c>
      <c r="BB62" s="130" t="str">
        <f aca="false">IF($BD62&lt;&gt;Constants!$B$6,"",IF($AH62,$AJ62,""))</f>
        <v/>
      </c>
      <c r="BC62" s="132" t="str">
        <f aca="false">IF($BD62&lt;&gt;Constants!$B$6,"",$AX62)</f>
        <v/>
      </c>
      <c r="BD62" s="127" t="str">
        <f aca="false">IF(ISBLANK($C62),"",IF($AL62,Constants!$B$9,IF(COUNTA($E62:$T62)=0,Constants!$B$8,IF(NOT($X62),Constants!$B$7,IF(OR($AM62,$AV62),Constants!$B$10,Constants!$B$6)))))</f>
        <v/>
      </c>
      <c r="BE62" s="127" t="str">
        <f aca="false">IF(ISBLANK($C62),"",IF($BD62&lt;&gt;Constants!$B$6,$BD62,Constants!$B$11))</f>
        <v/>
      </c>
      <c r="BF62" s="130" t="str">
        <f aca="false">IF($BD62&lt;&gt;Constants!$B$6,"",IF($AU62="-&gt;",$BA62,$AR62))</f>
        <v/>
      </c>
      <c r="BG62" s="130" t="str">
        <f aca="false">IF($BD62&lt;&gt;Constants!$B$6,"",IF($W62,0,Constants!$B$15))</f>
        <v/>
      </c>
      <c r="BH62" s="130" t="str">
        <f aca="false">IF(ISBLANK($C62),"",IF($BD62&lt;&gt;Constants!$B$6,$BD62,SUM($BF62:$BG62)))</f>
        <v/>
      </c>
      <c r="BI62" s="127" t="str">
        <f aca="false">IF(ISBLANK($C62),"",IF($BD62&lt;&gt;Constants!$B$6,$BD62,RANK($BH62,$BH$9:$BH$508,1)))</f>
        <v/>
      </c>
      <c r="BJ62" s="130" t="str">
        <f aca="false">IF($BD62&lt;&gt;Constants!$B$6,"",IF($AU62="-&gt;",$BB62,$AS62))</f>
        <v/>
      </c>
      <c r="BK62" s="127" t="str">
        <f aca="false">IF(ISBLANK($C62),"",IF($BD62&lt;&gt;Constants!$B$6,$BD62,IF(ISNUMBER($BJ62),RANK($BJ62,$BJ$9:$BJ$508,1),COUNT($BJ$9:$BJ$508)+1)))</f>
        <v/>
      </c>
      <c r="BL62" s="130" t="str">
        <f aca="false">IF($BD62&lt;&gt;Constants!$B$6,"",IF($AU62="-&gt;",$BC62,$AT62))</f>
        <v/>
      </c>
      <c r="BM62" s="127" t="str">
        <f aca="false">IF(ISBLANK($C62),"",IF($BD62&lt;&gt;Constants!$B$6,$BD62,IF(ISNUMBER($BL62),RANK($BL62,$BL$9:$BL$508,1),COUNT($BL$9:$BL$508)+1)))</f>
        <v/>
      </c>
      <c r="BN62" s="130" t="str">
        <f aca="false">IF($BD62&lt;&gt;Constants!$B$6,"",IF($AU62="-&gt;",$AS62,$BB62))</f>
        <v/>
      </c>
      <c r="BO62" s="127" t="str">
        <f aca="false">IF(ISBLANK($C62),"",IF($BD62&lt;&gt;Constants!$B$6,$BD62,IF(ISNUMBER($BN62),RANK($BN62,$BN$9:$BN$508,1),COUNT($BN$9:$BN$508)+1)))</f>
        <v/>
      </c>
      <c r="BP62" s="130" t="str">
        <f aca="false">IF($BD62&lt;&gt;Constants!$B$6,"",IF($AU62="-&gt;",$AT62,$BC62))</f>
        <v/>
      </c>
      <c r="BQ62" s="127" t="str">
        <f aca="false">IF(ISBLANK($C62),"",IF($BD62&lt;&gt;Constants!$B$6,$BD62,IF(ISNUMBER($BP62),RANK($BP62,$BP$9:$BP$508,1),COUNT($BP$9:$BP$508)+1)))</f>
        <v/>
      </c>
      <c r="BR62" s="127" t="str">
        <f aca="false">IF(ISBLANK($C62),"",IF($BD62&lt;&gt;Constants!$B$6,$BD62,COUNTIFS($BI$9:$BI$508,"&lt;"&amp;$BI62)+COUNTIFS($BI$9:$BI$508,$BI62,$BK$9:$BK$508,"&lt;"&amp;$BK62)+COUNTIFS($BI$9:$BI$508,$BI62,$BK$9:$BK$508,$BK62,$BM$9:$BM$508,"&lt;"&amp;$BM62)+COUNTIFS($BI$9:$BI$508,$BI62,$BK$9:$BK$508,$BK62,$BM$9:$BM$508,$BM62,$BO$9:$BO$508,"&lt;"&amp;$BO62)+COUNTIFS($BI$9:$BI$508,$BI62,$BK$9:$BK$508,$BK62,$BM$9:$BM$508,$BM62,$BO$9:$BO$508,$BO62,$BQ$9:$BQ$508,"&lt;"&amp;$BQ62)+1))</f>
        <v/>
      </c>
      <c r="BS62" s="127" t="str">
        <f aca="false">IF(ISBLANK($C62),"",IF($BD62&lt;&gt;Constants!$B$6,$BD62,$BI62-$BR62))</f>
        <v/>
      </c>
      <c r="BT62" s="133"/>
      <c r="BU62" s="134"/>
      <c r="BV62" s="134" t="str">
        <f aca="false">IF(ISBLANK($C62),"",IF($BD62&lt;&gt;Constants!$B$6,"",IF($AU62="-&gt;",2,1)))</f>
        <v/>
      </c>
      <c r="BW62" s="135" t="str">
        <f aca="false">IF(ISBLANK($C62),"",IF($BD62&lt;&gt;Constants!$B$6,"",IF($AU62="-&gt;",$AW62,$AN62)))</f>
        <v/>
      </c>
      <c r="BX62" s="135" t="str">
        <f aca="false">IF(ISBLANK($C62),"",IF($BD62&lt;&gt;Constants!$B$6,"",IF($AU62="-&gt;",$AX62,$AO62)))</f>
        <v/>
      </c>
      <c r="BY62" s="135" t="str">
        <f aca="false">IF(ISBLANK($C62),"",IF($BD62&lt;&gt;Constants!$B$6,"",IF($AU62="-&gt;",$AY62,$AP62)))</f>
        <v/>
      </c>
      <c r="BZ62" s="135" t="str">
        <f aca="false">IF(ISBLANK($C62),"",IF($BD62&lt;&gt;Constants!$B$6,"",IF($AU62="-&gt;",$AZ62,$AQ62)+$BG62))</f>
        <v/>
      </c>
      <c r="CA62" s="136" t="str">
        <f aca="false">IF(ISBLANK($C62),"",IF($BD62&lt;&gt;Constants!$B$6,$BD62,$BH62))</f>
        <v/>
      </c>
      <c r="CB62" s="137" t="str">
        <f aca="false">IF(ISBLANK($C62),"",$BE62)</f>
        <v/>
      </c>
      <c r="CC62" s="138" t="str">
        <f aca="false">IF(ISBLANK($C62),"",$BS62)</f>
        <v/>
      </c>
      <c r="CD62" s="138" t="str">
        <f aca="false">IF(ISBLANK($C62),"",$BR62)</f>
        <v/>
      </c>
      <c r="CE62" s="139" t="str">
        <f aca="false">IF(ISBLANK($C62),"",IF($CD62=Constants!$B$9,COUNTA($C$9:$C$508)+2,IF($CD62=Constants!$B$8,COUNTA($C$9:$C$508)+1,IF($CD62=Constants!$B$7,COUNTA($C$9:$C$508),$CD62))))</f>
        <v/>
      </c>
      <c r="CF62" s="9"/>
      <c r="CG62" s="140" t="n">
        <f aca="false">IF(OR(ISNUMBER($CD62),$CD62=Constants!$B$9,$CD62=Constants!$B$7,$CD62=Constants!$B$8),1,0)</f>
        <v>0</v>
      </c>
      <c r="CH62" s="140" t="n">
        <v>54</v>
      </c>
      <c r="CI62" s="140" t="str">
        <f aca="false">IF(ISBLANK($C62),"",IF(ISNUMBER($CE62),$CE62+ROW($B62)/1000,""))</f>
        <v/>
      </c>
      <c r="CJ62" s="140" t="str">
        <f aca="false">IF(ISNUMBER($CI62),RANK($CI62,$CI$9:$CI$508,1),"")</f>
        <v/>
      </c>
      <c r="CK62" s="140" t="str">
        <f aca="false">IF(ISBLANK($C62),"",$B62)</f>
        <v/>
      </c>
      <c r="CL62" s="140" t="str">
        <f aca="false">IF(ISBLANK($C62),"",$C62)</f>
        <v/>
      </c>
      <c r="CM62" s="140" t="str">
        <f aca="false">IF(ISBLANK($C62),"",$D62)</f>
        <v/>
      </c>
      <c r="CN62" s="141" t="str">
        <f aca="false">$CB62</f>
        <v/>
      </c>
      <c r="CO62" s="142" t="str">
        <f aca="false">$CA62</f>
        <v/>
      </c>
      <c r="CP62" s="140" t="str">
        <f aca="false">IF(ISBLANK($C62),"",$CD62)</f>
        <v/>
      </c>
      <c r="CQ62" s="143" t="str">
        <f aca="false">IF($CH62&gt;$CG$8,"",VLOOKUP($CH62,$CJ$9:$CP$508,7,FALSE()))</f>
        <v/>
      </c>
      <c r="CR62" s="144" t="str">
        <f aca="false">IF($CH62&gt;$CG$8,"",VLOOKUP($CH62,$CJ$9:$CP$508,2,FALSE()))</f>
        <v/>
      </c>
      <c r="CS62" s="144" t="str">
        <f aca="false">IF($CH62&gt;$CG$8,"",VLOOKUP($CH62,$CJ$9:$CP$508,3,FALSE()))</f>
        <v/>
      </c>
      <c r="CT62" s="144" t="str">
        <f aca="false">IF($CH62&gt;$CG$8,"",VLOOKUP($CH62,$CJ$9:$CP$508,4,FALSE()))</f>
        <v/>
      </c>
      <c r="CU62" s="144" t="str">
        <f aca="false">IF($CH62&gt;$CG$8,"",VLOOKUP($CH62,$CJ$9:$CP$508,5,FALSE()))</f>
        <v/>
      </c>
      <c r="CV62" s="145" t="str">
        <f aca="false">IF($CH62&gt;$CG$8,"",VLOOKUP($CH62,$CJ$9:$CP$508,6,FALSE()))</f>
        <v/>
      </c>
      <c r="CW62" s="71"/>
    </row>
    <row r="63" customFormat="false" ht="15.75" hidden="false" customHeight="false" outlineLevel="0" collapsed="false">
      <c r="A63" s="9"/>
      <c r="B63" s="72"/>
      <c r="C63" s="73"/>
      <c r="D63" s="160"/>
      <c r="E63" s="168"/>
      <c r="F63" s="162"/>
      <c r="G63" s="163"/>
      <c r="H63" s="169"/>
      <c r="I63" s="167"/>
      <c r="J63" s="80"/>
      <c r="K63" s="81"/>
      <c r="L63" s="82"/>
      <c r="M63" s="166"/>
      <c r="N63" s="167"/>
      <c r="O63" s="167"/>
      <c r="P63" s="80"/>
      <c r="Q63" s="82"/>
      <c r="R63" s="82"/>
      <c r="S63" s="166"/>
      <c r="T63" s="167"/>
      <c r="U63" s="86"/>
      <c r="V63" s="87"/>
      <c r="W63" s="87" t="str">
        <f aca="false">IF(ISBLANK($C63),"",IF(E63=Constants!$B$2,TRUE(),IF(E63=Constants!$B$3,FALSE(),TRUE())))</f>
        <v/>
      </c>
      <c r="X63" s="87" t="str">
        <f aca="false">IF(ISBLANK($C63),"",IF(F63=Constants!$B$2,TRUE(),IF(F63=Constants!$B$3,FALSE(),TRUE())))</f>
        <v/>
      </c>
      <c r="Y63" s="87" t="str">
        <f aca="false">IF(ISBLANK($C63),"",IF(G63=Constants!$B$2,TRUE(),IF(G63=Constants!$B$3,FALSE(),TRUE())))</f>
        <v/>
      </c>
      <c r="Z63" s="87" t="str">
        <f aca="false">IF(ISBLANK($C63),"",IF(H63=Constants!$B$2,TRUE(),IF(H63=Constants!$B$3,FALSE(),TRUE())))</f>
        <v/>
      </c>
      <c r="AA63" s="87" t="str">
        <f aca="false">IF(ISBLANK($C63),"",IF(I63=Constants!$B$2,TRUE(),IF(I63=Constants!$B$3,FALSE(),TRUE())))</f>
        <v/>
      </c>
      <c r="AB63" s="87" t="str">
        <f aca="false">IF(ISBLANK($C63),"",IF(J63=Constants!$B$4,TRUE(),IF(J63=Constants!$B$5,FALSE(),COUNTA(K63:M63)&gt;0)))</f>
        <v/>
      </c>
      <c r="AC63" s="88" t="str">
        <f aca="false">IF(ISBLANK($C63),"",IF(ISNUMBER(K63),IF(K63&gt;=0,K63,""),""))</f>
        <v/>
      </c>
      <c r="AD63" s="89" t="str">
        <f aca="false">IF(ISBLANK($C63),"",IF(ISNUMBER(L63),IF(L63&gt;=0,L63,""),""))</f>
        <v/>
      </c>
      <c r="AE63" s="87" t="str">
        <f aca="false">IF(ISBLANK($C63),"",IF(ISNUMBER(M63),IF(M63&gt;=0,MIN(M63,Constants!$B$22),""),""))</f>
        <v/>
      </c>
      <c r="AF63" s="87" t="str">
        <f aca="false">IF(ISBLANK($C63),"",IF(N63=Constants!$B$2,TRUE(),IF(N63=Constants!$B$3,FALSE(),TRUE())))</f>
        <v/>
      </c>
      <c r="AG63" s="87" t="str">
        <f aca="false">IF(ISBLANK($C63),"",IF(O63=Constants!$B$2,TRUE(),IF(O63=Constants!$B$3,FALSE(),TRUE())))</f>
        <v/>
      </c>
      <c r="AH63" s="87" t="str">
        <f aca="false">IF(ISBLANK($C63),"",IF(P63=Constants!$B$4,TRUE(),IF(P63=Constants!$B$5,FALSE(),COUNTA(Q63:S63)&gt;0)))</f>
        <v/>
      </c>
      <c r="AI63" s="88" t="str">
        <f aca="false">IF(ISBLANK($C63),"",IF(ISNUMBER(Q63),IF(Q63&gt;=0,Q63,""),""))</f>
        <v/>
      </c>
      <c r="AJ63" s="89" t="str">
        <f aca="false">IF(ISBLANK($C63),"",IF(ISNUMBER(R63),IF(R63&gt;=0,R63,""),""))</f>
        <v/>
      </c>
      <c r="AK63" s="87" t="str">
        <f aca="false">IF(ISBLANK($C63),"",IF(ISNUMBER(S63),IF(S63&gt;=0,MIN(S63,Constants!$B$22),""),""))</f>
        <v/>
      </c>
      <c r="AL63" s="87" t="str">
        <f aca="false">IF(ISBLANK($C63),"",IF(T63=Constants!$B$2,TRUE(),IF(T63=Constants!$B$3,FALSE(),FALSE())))</f>
        <v/>
      </c>
      <c r="AM63" s="86" t="str">
        <f aca="false">IF(ISBLANK($C63),"",AND($AB63,OR($AC63="",$AD63="",AND(NOT(ISBLANK($M63)),$AE63=""))))</f>
        <v/>
      </c>
      <c r="AN63" s="89" t="str">
        <f aca="false">IF($BD63&lt;&gt;Constants!$B$6,"",IF($AB63,Constants!$B$17*$AD63,Constants!$B$18))</f>
        <v/>
      </c>
      <c r="AO63" s="91" t="str">
        <f aca="false">IF($BD63&lt;&gt;Constants!$B$6,"",Constants!$B$19*IF($AB63,$AC63,0))</f>
        <v/>
      </c>
      <c r="AP63" s="91" t="str">
        <f aca="false">IF($BD63&lt;&gt;Constants!$B$6,"",IF(AND($AB63,ISNUMBER($AE63)),Constants!$B$20*(Constants!$B$21-$AE63),0))</f>
        <v/>
      </c>
      <c r="AQ63" s="91" t="str">
        <f aca="false">IF($BD63&lt;&gt;Constants!$B$6,"",IF($AA63,0,Constants!$B$12)+IF($Z63,0,Constants!$B$13)+IF($Y63,0,Constants!$B$14))</f>
        <v/>
      </c>
      <c r="AR63" s="92" t="str">
        <f aca="false">IF($BD63&lt;&gt;Constants!$B$6,"",Constants!$B$16+SUM($AN63:$AQ63))</f>
        <v/>
      </c>
      <c r="AS63" s="91" t="str">
        <f aca="false">IF($BD63&lt;&gt;Constants!$B$6,"",IF($AB63,$AD63,""))</f>
        <v/>
      </c>
      <c r="AT63" s="93" t="str">
        <f aca="false">IF($BD63&lt;&gt;Constants!$B$6,"",$AO63)</f>
        <v/>
      </c>
      <c r="AU63" s="87" t="str">
        <f aca="false">IF($BD63&lt;&gt;Constants!$B$6,"",IF(OR($BA63&lt;$AR63,AND($BA63=$AR63,OR(AND(ISNUMBER($BB63),OR(NOT(ISNUMBER($AS63)),$BB63&lt;$AS63)),AND(OR(AND($BB63="",$AS63=""),AND(ISNUMBER($BB63),ISNUMBER($AS63),$BB63=$AS63)),$BC63&lt;$AT63)))),"-&gt;","&lt;-"))</f>
        <v/>
      </c>
      <c r="AV63" s="86" t="str">
        <f aca="false">IF(ISBLANK($C63),"",AND($AH63,OR($AI63="",$AJ63="",AND(NOT(ISBLANK($S63)),$AK63=""))))</f>
        <v/>
      </c>
      <c r="AW63" s="89" t="str">
        <f aca="false">IF($BD63&lt;&gt;Constants!$B$6,"",IF($AH63,Constants!$B$17*$AJ63,Constants!$B$18))</f>
        <v/>
      </c>
      <c r="AX63" s="91" t="str">
        <f aca="false">IF($BD63&lt;&gt;Constants!$B$6,"",Constants!$B$19*IF($AH63,$AI63,0))</f>
        <v/>
      </c>
      <c r="AY63" s="91" t="str">
        <f aca="false">IF($BD63&lt;&gt;Constants!$B$6,"",IF(AND($AH63,ISNUMBER($AK63)),Constants!$B$20*(Constants!$B$21-$AK63),0))</f>
        <v/>
      </c>
      <c r="AZ63" s="91" t="str">
        <f aca="false">IF($BD63&lt;&gt;Constants!$B$6,"",IF($AG63,0,Constants!$B$12)+IF($AF63,0,Constants!$B$13)+IF($Y63,0,Constants!$B$14))</f>
        <v/>
      </c>
      <c r="BA63" s="92" t="str">
        <f aca="false">IF($BD63&lt;&gt;Constants!$B$6,"",Constants!$B$16+SUM($AW63:$AZ63))</f>
        <v/>
      </c>
      <c r="BB63" s="91" t="str">
        <f aca="false">IF($BD63&lt;&gt;Constants!$B$6,"",IF($AH63,$AJ63,""))</f>
        <v/>
      </c>
      <c r="BC63" s="93" t="str">
        <f aca="false">IF($BD63&lt;&gt;Constants!$B$6,"",$AX63)</f>
        <v/>
      </c>
      <c r="BD63" s="87" t="str">
        <f aca="false">IF(ISBLANK($C63),"",IF($AL63,Constants!$B$9,IF(COUNTA($E63:$T63)=0,Constants!$B$8,IF(NOT($X63),Constants!$B$7,IF(OR($AM63,$AV63),Constants!$B$10,Constants!$B$6)))))</f>
        <v/>
      </c>
      <c r="BE63" s="87" t="str">
        <f aca="false">IF(ISBLANK($C63),"",IF($BD63&lt;&gt;Constants!$B$6,$BD63,Constants!$B$11))</f>
        <v/>
      </c>
      <c r="BF63" s="91" t="str">
        <f aca="false">IF($BD63&lt;&gt;Constants!$B$6,"",IF($AU63="-&gt;",$BA63,$AR63))</f>
        <v/>
      </c>
      <c r="BG63" s="91" t="str">
        <f aca="false">IF($BD63&lt;&gt;Constants!$B$6,"",IF($W63,0,Constants!$B$15))</f>
        <v/>
      </c>
      <c r="BH63" s="91" t="str">
        <f aca="false">IF(ISBLANK($C63),"",IF($BD63&lt;&gt;Constants!$B$6,$BD63,SUM($BF63:$BG63)))</f>
        <v/>
      </c>
      <c r="BI63" s="87" t="str">
        <f aca="false">IF(ISBLANK($C63),"",IF($BD63&lt;&gt;Constants!$B$6,$BD63,RANK($BH63,$BH$9:$BH$508,1)))</f>
        <v/>
      </c>
      <c r="BJ63" s="91" t="str">
        <f aca="false">IF($BD63&lt;&gt;Constants!$B$6,"",IF($AU63="-&gt;",$BB63,$AS63))</f>
        <v/>
      </c>
      <c r="BK63" s="87" t="str">
        <f aca="false">IF(ISBLANK($C63),"",IF($BD63&lt;&gt;Constants!$B$6,$BD63,IF(ISNUMBER($BJ63),RANK($BJ63,$BJ$9:$BJ$508,1),COUNT($BJ$9:$BJ$508)+1)))</f>
        <v/>
      </c>
      <c r="BL63" s="91" t="str">
        <f aca="false">IF($BD63&lt;&gt;Constants!$B$6,"",IF($AU63="-&gt;",$BC63,$AT63))</f>
        <v/>
      </c>
      <c r="BM63" s="87" t="str">
        <f aca="false">IF(ISBLANK($C63),"",IF($BD63&lt;&gt;Constants!$B$6,$BD63,IF(ISNUMBER($BL63),RANK($BL63,$BL$9:$BL$508,1),COUNT($BL$9:$BL$508)+1)))</f>
        <v/>
      </c>
      <c r="BN63" s="91" t="str">
        <f aca="false">IF($BD63&lt;&gt;Constants!$B$6,"",IF($AU63="-&gt;",$AS63,$BB63))</f>
        <v/>
      </c>
      <c r="BO63" s="87" t="str">
        <f aca="false">IF(ISBLANK($C63),"",IF($BD63&lt;&gt;Constants!$B$6,$BD63,IF(ISNUMBER($BN63),RANK($BN63,$BN$9:$BN$508,1),COUNT($BN$9:$BN$508)+1)))</f>
        <v/>
      </c>
      <c r="BP63" s="91" t="str">
        <f aca="false">IF($BD63&lt;&gt;Constants!$B$6,"",IF($AU63="-&gt;",$AT63,$BC63))</f>
        <v/>
      </c>
      <c r="BQ63" s="87" t="str">
        <f aca="false">IF(ISBLANK($C63),"",IF($BD63&lt;&gt;Constants!$B$6,$BD63,IF(ISNUMBER($BP63),RANK($BP63,$BP$9:$BP$508,1),COUNT($BP$9:$BP$508)+1)))</f>
        <v/>
      </c>
      <c r="BR63" s="87" t="str">
        <f aca="false">IF(ISBLANK($C63),"",IF($BD63&lt;&gt;Constants!$B$6,$BD63,COUNTIFS($BI$9:$BI$508,"&lt;"&amp;$BI63)+COUNTIFS($BI$9:$BI$508,$BI63,$BK$9:$BK$508,"&lt;"&amp;$BK63)+COUNTIFS($BI$9:$BI$508,$BI63,$BK$9:$BK$508,$BK63,$BM$9:$BM$508,"&lt;"&amp;$BM63)+COUNTIFS($BI$9:$BI$508,$BI63,$BK$9:$BK$508,$BK63,$BM$9:$BM$508,$BM63,$BO$9:$BO$508,"&lt;"&amp;$BO63)+COUNTIFS($BI$9:$BI$508,$BI63,$BK$9:$BK$508,$BK63,$BM$9:$BM$508,$BM63,$BO$9:$BO$508,$BO63,$BQ$9:$BQ$508,"&lt;"&amp;$BQ63)+1))</f>
        <v/>
      </c>
      <c r="BS63" s="87" t="str">
        <f aca="false">IF(ISBLANK($C63),"",IF($BD63&lt;&gt;Constants!$B$6,$BD63,$BI63-$BR63))</f>
        <v/>
      </c>
      <c r="BT63" s="94"/>
      <c r="BU63" s="95"/>
      <c r="BV63" s="95" t="str">
        <f aca="false">IF(ISBLANK($C63),"",IF($BD63&lt;&gt;Constants!$B$6,"",IF($AU63="-&gt;",2,1)))</f>
        <v/>
      </c>
      <c r="BW63" s="96" t="str">
        <f aca="false">IF(ISBLANK($C63),"",IF($BD63&lt;&gt;Constants!$B$6,"",IF($AU63="-&gt;",$AW63,$AN63)))</f>
        <v/>
      </c>
      <c r="BX63" s="96" t="str">
        <f aca="false">IF(ISBLANK($C63),"",IF($BD63&lt;&gt;Constants!$B$6,"",IF($AU63="-&gt;",$AX63,$AO63)))</f>
        <v/>
      </c>
      <c r="BY63" s="96" t="str">
        <f aca="false">IF(ISBLANK($C63),"",IF($BD63&lt;&gt;Constants!$B$6,"",IF($AU63="-&gt;",$AY63,$AP63)))</f>
        <v/>
      </c>
      <c r="BZ63" s="96" t="str">
        <f aca="false">IF(ISBLANK($C63),"",IF($BD63&lt;&gt;Constants!$B$6,"",IF($AU63="-&gt;",$AZ63,$AQ63)+$BG63))</f>
        <v/>
      </c>
      <c r="CA63" s="97" t="str">
        <f aca="false">IF(ISBLANK($C63),"",IF($BD63&lt;&gt;Constants!$B$6,$BD63,$BH63))</f>
        <v/>
      </c>
      <c r="CB63" s="98" t="str">
        <f aca="false">IF(ISBLANK($C63),"",$BE63)</f>
        <v/>
      </c>
      <c r="CC63" s="99" t="str">
        <f aca="false">IF(ISBLANK($C63),"",$BS63)</f>
        <v/>
      </c>
      <c r="CD63" s="99" t="str">
        <f aca="false">IF(ISBLANK($C63),"",$BR63)</f>
        <v/>
      </c>
      <c r="CE63" s="100" t="str">
        <f aca="false">IF(ISBLANK($C63),"",IF($CD63=Constants!$B$9,COUNTA($C$9:$C$508)+2,IF($CD63=Constants!$B$8,COUNTA($C$9:$C$508)+1,IF($CD63=Constants!$B$7,COUNTA($C$9:$C$508),$CD63))))</f>
        <v/>
      </c>
      <c r="CF63" s="9"/>
      <c r="CG63" s="101" t="n">
        <f aca="false">IF(OR(ISNUMBER($CD63),$CD63=Constants!$B$9,$CD63=Constants!$B$7,$CD63=Constants!$B$8),1,0)</f>
        <v>0</v>
      </c>
      <c r="CH63" s="101" t="n">
        <v>55</v>
      </c>
      <c r="CI63" s="101" t="str">
        <f aca="false">IF(ISBLANK($C63),"",IF(ISNUMBER($CE63),$CE63+ROW($B63)/1000,""))</f>
        <v/>
      </c>
      <c r="CJ63" s="101" t="str">
        <f aca="false">IF(ISNUMBER($CI63),RANK($CI63,$CI$9:$CI$508,1),"")</f>
        <v/>
      </c>
      <c r="CK63" s="101" t="str">
        <f aca="false">IF(ISBLANK($C63),"",$B63)</f>
        <v/>
      </c>
      <c r="CL63" s="101" t="str">
        <f aca="false">IF(ISBLANK($C63),"",$C63)</f>
        <v/>
      </c>
      <c r="CM63" s="101" t="str">
        <f aca="false">IF(ISBLANK($C63),"",$D63)</f>
        <v/>
      </c>
      <c r="CN63" s="102" t="str">
        <f aca="false">$CB63</f>
        <v/>
      </c>
      <c r="CO63" s="103" t="str">
        <f aca="false">$CA63</f>
        <v/>
      </c>
      <c r="CP63" s="101" t="str">
        <f aca="false">IF(ISBLANK($C63),"",$CD63)</f>
        <v/>
      </c>
      <c r="CQ63" s="104" t="str">
        <f aca="false">IF($CH63&gt;$CG$8,"",VLOOKUP($CH63,$CJ$9:$CP$508,7,FALSE()))</f>
        <v/>
      </c>
      <c r="CR63" s="105" t="str">
        <f aca="false">IF($CH63&gt;$CG$8,"",VLOOKUP($CH63,$CJ$9:$CP$508,2,FALSE()))</f>
        <v/>
      </c>
      <c r="CS63" s="105" t="str">
        <f aca="false">IF($CH63&gt;$CG$8,"",VLOOKUP($CH63,$CJ$9:$CP$508,3,FALSE()))</f>
        <v/>
      </c>
      <c r="CT63" s="105" t="str">
        <f aca="false">IF($CH63&gt;$CG$8,"",VLOOKUP($CH63,$CJ$9:$CP$508,4,FALSE()))</f>
        <v/>
      </c>
      <c r="CU63" s="105" t="str">
        <f aca="false">IF($CH63&gt;$CG$8,"",VLOOKUP($CH63,$CJ$9:$CP$508,5,FALSE()))</f>
        <v/>
      </c>
      <c r="CV63" s="106" t="str">
        <f aca="false">IF($CH63&gt;$CG$8,"",VLOOKUP($CH63,$CJ$9:$CP$508,6,FALSE()))</f>
        <v/>
      </c>
      <c r="CW63" s="71"/>
    </row>
    <row r="64" customFormat="false" ht="15.75" hidden="false" customHeight="false" outlineLevel="0" collapsed="false">
      <c r="A64" s="9"/>
      <c r="B64" s="72"/>
      <c r="C64" s="73"/>
      <c r="D64" s="160"/>
      <c r="E64" s="168"/>
      <c r="F64" s="162"/>
      <c r="G64" s="163"/>
      <c r="H64" s="169"/>
      <c r="I64" s="167"/>
      <c r="J64" s="80"/>
      <c r="K64" s="81"/>
      <c r="L64" s="82"/>
      <c r="M64" s="166"/>
      <c r="N64" s="167"/>
      <c r="O64" s="167"/>
      <c r="P64" s="80"/>
      <c r="Q64" s="82"/>
      <c r="R64" s="82"/>
      <c r="S64" s="166"/>
      <c r="T64" s="167"/>
      <c r="U64" s="86"/>
      <c r="V64" s="87"/>
      <c r="W64" s="87" t="str">
        <f aca="false">IF(ISBLANK($C64),"",IF(E64=Constants!$B$2,TRUE(),IF(E64=Constants!$B$3,FALSE(),TRUE())))</f>
        <v/>
      </c>
      <c r="X64" s="87" t="str">
        <f aca="false">IF(ISBLANK($C64),"",IF(F64=Constants!$B$2,TRUE(),IF(F64=Constants!$B$3,FALSE(),TRUE())))</f>
        <v/>
      </c>
      <c r="Y64" s="87" t="str">
        <f aca="false">IF(ISBLANK($C64),"",IF(G64=Constants!$B$2,TRUE(),IF(G64=Constants!$B$3,FALSE(),TRUE())))</f>
        <v/>
      </c>
      <c r="Z64" s="87" t="str">
        <f aca="false">IF(ISBLANK($C64),"",IF(H64=Constants!$B$2,TRUE(),IF(H64=Constants!$B$3,FALSE(),TRUE())))</f>
        <v/>
      </c>
      <c r="AA64" s="87" t="str">
        <f aca="false">IF(ISBLANK($C64),"",IF(I64=Constants!$B$2,TRUE(),IF(I64=Constants!$B$3,FALSE(),TRUE())))</f>
        <v/>
      </c>
      <c r="AB64" s="87" t="str">
        <f aca="false">IF(ISBLANK($C64),"",IF(J64=Constants!$B$4,TRUE(),IF(J64=Constants!$B$5,FALSE(),COUNTA(K64:M64)&gt;0)))</f>
        <v/>
      </c>
      <c r="AC64" s="88" t="str">
        <f aca="false">IF(ISBLANK($C64),"",IF(ISNUMBER(K64),IF(K64&gt;=0,K64,""),""))</f>
        <v/>
      </c>
      <c r="AD64" s="89" t="str">
        <f aca="false">IF(ISBLANK($C64),"",IF(ISNUMBER(L64),IF(L64&gt;=0,L64,""),""))</f>
        <v/>
      </c>
      <c r="AE64" s="87" t="str">
        <f aca="false">IF(ISBLANK($C64),"",IF(ISNUMBER(M64),IF(M64&gt;=0,MIN(M64,Constants!$B$22),""),""))</f>
        <v/>
      </c>
      <c r="AF64" s="87" t="str">
        <f aca="false">IF(ISBLANK($C64),"",IF(N64=Constants!$B$2,TRUE(),IF(N64=Constants!$B$3,FALSE(),TRUE())))</f>
        <v/>
      </c>
      <c r="AG64" s="87" t="str">
        <f aca="false">IF(ISBLANK($C64),"",IF(O64=Constants!$B$2,TRUE(),IF(O64=Constants!$B$3,FALSE(),TRUE())))</f>
        <v/>
      </c>
      <c r="AH64" s="87" t="str">
        <f aca="false">IF(ISBLANK($C64),"",IF(P64=Constants!$B$4,TRUE(),IF(P64=Constants!$B$5,FALSE(),COUNTA(Q64:S64)&gt;0)))</f>
        <v/>
      </c>
      <c r="AI64" s="88" t="str">
        <f aca="false">IF(ISBLANK($C64),"",IF(ISNUMBER(Q64),IF(Q64&gt;=0,Q64,""),""))</f>
        <v/>
      </c>
      <c r="AJ64" s="89" t="str">
        <f aca="false">IF(ISBLANK($C64),"",IF(ISNUMBER(R64),IF(R64&gt;=0,R64,""),""))</f>
        <v/>
      </c>
      <c r="AK64" s="87" t="str">
        <f aca="false">IF(ISBLANK($C64),"",IF(ISNUMBER(S64),IF(S64&gt;=0,MIN(S64,Constants!$B$22),""),""))</f>
        <v/>
      </c>
      <c r="AL64" s="87" t="str">
        <f aca="false">IF(ISBLANK($C64),"",IF(T64=Constants!$B$2,TRUE(),IF(T64=Constants!$B$3,FALSE(),FALSE())))</f>
        <v/>
      </c>
      <c r="AM64" s="86" t="str">
        <f aca="false">IF(ISBLANK($C64),"",AND($AB64,OR($AC64="",$AD64="",AND(NOT(ISBLANK($M64)),$AE64=""))))</f>
        <v/>
      </c>
      <c r="AN64" s="89" t="str">
        <f aca="false">IF($BD64&lt;&gt;Constants!$B$6,"",IF($AB64,Constants!$B$17*$AD64,Constants!$B$18))</f>
        <v/>
      </c>
      <c r="AO64" s="91" t="str">
        <f aca="false">IF($BD64&lt;&gt;Constants!$B$6,"",Constants!$B$19*IF($AB64,$AC64,0))</f>
        <v/>
      </c>
      <c r="AP64" s="91" t="str">
        <f aca="false">IF($BD64&lt;&gt;Constants!$B$6,"",IF(AND($AB64,ISNUMBER($AE64)),Constants!$B$20*(Constants!$B$21-$AE64),0))</f>
        <v/>
      </c>
      <c r="AQ64" s="91" t="str">
        <f aca="false">IF($BD64&lt;&gt;Constants!$B$6,"",IF($AA64,0,Constants!$B$12)+IF($Z64,0,Constants!$B$13)+IF($Y64,0,Constants!$B$14))</f>
        <v/>
      </c>
      <c r="AR64" s="92" t="str">
        <f aca="false">IF($BD64&lt;&gt;Constants!$B$6,"",Constants!$B$16+SUM($AN64:$AQ64))</f>
        <v/>
      </c>
      <c r="AS64" s="91" t="str">
        <f aca="false">IF($BD64&lt;&gt;Constants!$B$6,"",IF($AB64,$AD64,""))</f>
        <v/>
      </c>
      <c r="AT64" s="93" t="str">
        <f aca="false">IF($BD64&lt;&gt;Constants!$B$6,"",$AO64)</f>
        <v/>
      </c>
      <c r="AU64" s="87" t="str">
        <f aca="false">IF($BD64&lt;&gt;Constants!$B$6,"",IF(OR($BA64&lt;$AR64,AND($BA64=$AR64,OR(AND(ISNUMBER($BB64),OR(NOT(ISNUMBER($AS64)),$BB64&lt;$AS64)),AND(OR(AND($BB64="",$AS64=""),AND(ISNUMBER($BB64),ISNUMBER($AS64),$BB64=$AS64)),$BC64&lt;$AT64)))),"-&gt;","&lt;-"))</f>
        <v/>
      </c>
      <c r="AV64" s="86" t="str">
        <f aca="false">IF(ISBLANK($C64),"",AND($AH64,OR($AI64="",$AJ64="",AND(NOT(ISBLANK($S64)),$AK64=""))))</f>
        <v/>
      </c>
      <c r="AW64" s="89" t="str">
        <f aca="false">IF($BD64&lt;&gt;Constants!$B$6,"",IF($AH64,Constants!$B$17*$AJ64,Constants!$B$18))</f>
        <v/>
      </c>
      <c r="AX64" s="91" t="str">
        <f aca="false">IF($BD64&lt;&gt;Constants!$B$6,"",Constants!$B$19*IF($AH64,$AI64,0))</f>
        <v/>
      </c>
      <c r="AY64" s="91" t="str">
        <f aca="false">IF($BD64&lt;&gt;Constants!$B$6,"",IF(AND($AH64,ISNUMBER($AK64)),Constants!$B$20*(Constants!$B$21-$AK64),0))</f>
        <v/>
      </c>
      <c r="AZ64" s="91" t="str">
        <f aca="false">IF($BD64&lt;&gt;Constants!$B$6,"",IF($AG64,0,Constants!$B$12)+IF($AF64,0,Constants!$B$13)+IF($Y64,0,Constants!$B$14))</f>
        <v/>
      </c>
      <c r="BA64" s="92" t="str">
        <f aca="false">IF($BD64&lt;&gt;Constants!$B$6,"",Constants!$B$16+SUM($AW64:$AZ64))</f>
        <v/>
      </c>
      <c r="BB64" s="91" t="str">
        <f aca="false">IF($BD64&lt;&gt;Constants!$B$6,"",IF($AH64,$AJ64,""))</f>
        <v/>
      </c>
      <c r="BC64" s="93" t="str">
        <f aca="false">IF($BD64&lt;&gt;Constants!$B$6,"",$AX64)</f>
        <v/>
      </c>
      <c r="BD64" s="87" t="str">
        <f aca="false">IF(ISBLANK($C64),"",IF($AL64,Constants!$B$9,IF(COUNTA($E64:$T64)=0,Constants!$B$8,IF(NOT($X64),Constants!$B$7,IF(OR($AM64,$AV64),Constants!$B$10,Constants!$B$6)))))</f>
        <v/>
      </c>
      <c r="BE64" s="87" t="str">
        <f aca="false">IF(ISBLANK($C64),"",IF($BD64&lt;&gt;Constants!$B$6,$BD64,Constants!$B$11))</f>
        <v/>
      </c>
      <c r="BF64" s="91" t="str">
        <f aca="false">IF($BD64&lt;&gt;Constants!$B$6,"",IF($AU64="-&gt;",$BA64,$AR64))</f>
        <v/>
      </c>
      <c r="BG64" s="91" t="str">
        <f aca="false">IF($BD64&lt;&gt;Constants!$B$6,"",IF($W64,0,Constants!$B$15))</f>
        <v/>
      </c>
      <c r="BH64" s="91" t="str">
        <f aca="false">IF(ISBLANK($C64),"",IF($BD64&lt;&gt;Constants!$B$6,$BD64,SUM($BF64:$BG64)))</f>
        <v/>
      </c>
      <c r="BI64" s="87" t="str">
        <f aca="false">IF(ISBLANK($C64),"",IF($BD64&lt;&gt;Constants!$B$6,$BD64,RANK($BH64,$BH$9:$BH$508,1)))</f>
        <v/>
      </c>
      <c r="BJ64" s="91" t="str">
        <f aca="false">IF($BD64&lt;&gt;Constants!$B$6,"",IF($AU64="-&gt;",$BB64,$AS64))</f>
        <v/>
      </c>
      <c r="BK64" s="87" t="str">
        <f aca="false">IF(ISBLANK($C64),"",IF($BD64&lt;&gt;Constants!$B$6,$BD64,IF(ISNUMBER($BJ64),RANK($BJ64,$BJ$9:$BJ$508,1),COUNT($BJ$9:$BJ$508)+1)))</f>
        <v/>
      </c>
      <c r="BL64" s="91" t="str">
        <f aca="false">IF($BD64&lt;&gt;Constants!$B$6,"",IF($AU64="-&gt;",$BC64,$AT64))</f>
        <v/>
      </c>
      <c r="BM64" s="87" t="str">
        <f aca="false">IF(ISBLANK($C64),"",IF($BD64&lt;&gt;Constants!$B$6,$BD64,IF(ISNUMBER($BL64),RANK($BL64,$BL$9:$BL$508,1),COUNT($BL$9:$BL$508)+1)))</f>
        <v/>
      </c>
      <c r="BN64" s="91" t="str">
        <f aca="false">IF($BD64&lt;&gt;Constants!$B$6,"",IF($AU64="-&gt;",$AS64,$BB64))</f>
        <v/>
      </c>
      <c r="BO64" s="87" t="str">
        <f aca="false">IF(ISBLANK($C64),"",IF($BD64&lt;&gt;Constants!$B$6,$BD64,IF(ISNUMBER($BN64),RANK($BN64,$BN$9:$BN$508,1),COUNT($BN$9:$BN$508)+1)))</f>
        <v/>
      </c>
      <c r="BP64" s="91" t="str">
        <f aca="false">IF($BD64&lt;&gt;Constants!$B$6,"",IF($AU64="-&gt;",$AT64,$BC64))</f>
        <v/>
      </c>
      <c r="BQ64" s="87" t="str">
        <f aca="false">IF(ISBLANK($C64),"",IF($BD64&lt;&gt;Constants!$B$6,$BD64,IF(ISNUMBER($BP64),RANK($BP64,$BP$9:$BP$508,1),COUNT($BP$9:$BP$508)+1)))</f>
        <v/>
      </c>
      <c r="BR64" s="87" t="str">
        <f aca="false">IF(ISBLANK($C64),"",IF($BD64&lt;&gt;Constants!$B$6,$BD64,COUNTIFS($BI$9:$BI$508,"&lt;"&amp;$BI64)+COUNTIFS($BI$9:$BI$508,$BI64,$BK$9:$BK$508,"&lt;"&amp;$BK64)+COUNTIFS($BI$9:$BI$508,$BI64,$BK$9:$BK$508,$BK64,$BM$9:$BM$508,"&lt;"&amp;$BM64)+COUNTIFS($BI$9:$BI$508,$BI64,$BK$9:$BK$508,$BK64,$BM$9:$BM$508,$BM64,$BO$9:$BO$508,"&lt;"&amp;$BO64)+COUNTIFS($BI$9:$BI$508,$BI64,$BK$9:$BK$508,$BK64,$BM$9:$BM$508,$BM64,$BO$9:$BO$508,$BO64,$BQ$9:$BQ$508,"&lt;"&amp;$BQ64)+1))</f>
        <v/>
      </c>
      <c r="BS64" s="87" t="str">
        <f aca="false">IF(ISBLANK($C64),"",IF($BD64&lt;&gt;Constants!$B$6,$BD64,$BI64-$BR64))</f>
        <v/>
      </c>
      <c r="BT64" s="94"/>
      <c r="BU64" s="95"/>
      <c r="BV64" s="95" t="str">
        <f aca="false">IF(ISBLANK($C64),"",IF($BD64&lt;&gt;Constants!$B$6,"",IF($AU64="-&gt;",2,1)))</f>
        <v/>
      </c>
      <c r="BW64" s="96" t="str">
        <f aca="false">IF(ISBLANK($C64),"",IF($BD64&lt;&gt;Constants!$B$6,"",IF($AU64="-&gt;",$AW64,$AN64)))</f>
        <v/>
      </c>
      <c r="BX64" s="96" t="str">
        <f aca="false">IF(ISBLANK($C64),"",IF($BD64&lt;&gt;Constants!$B$6,"",IF($AU64="-&gt;",$AX64,$AO64)))</f>
        <v/>
      </c>
      <c r="BY64" s="96" t="str">
        <f aca="false">IF(ISBLANK($C64),"",IF($BD64&lt;&gt;Constants!$B$6,"",IF($AU64="-&gt;",$AY64,$AP64)))</f>
        <v/>
      </c>
      <c r="BZ64" s="96" t="str">
        <f aca="false">IF(ISBLANK($C64),"",IF($BD64&lt;&gt;Constants!$B$6,"",IF($AU64="-&gt;",$AZ64,$AQ64)+$BG64))</f>
        <v/>
      </c>
      <c r="CA64" s="97" t="str">
        <f aca="false">IF(ISBLANK($C64),"",IF($BD64&lt;&gt;Constants!$B$6,$BD64,$BH64))</f>
        <v/>
      </c>
      <c r="CB64" s="98" t="str">
        <f aca="false">IF(ISBLANK($C64),"",$BE64)</f>
        <v/>
      </c>
      <c r="CC64" s="99" t="str">
        <f aca="false">IF(ISBLANK($C64),"",$BS64)</f>
        <v/>
      </c>
      <c r="CD64" s="99" t="str">
        <f aca="false">IF(ISBLANK($C64),"",$BR64)</f>
        <v/>
      </c>
      <c r="CE64" s="100" t="str">
        <f aca="false">IF(ISBLANK($C64),"",IF($CD64=Constants!$B$9,COUNTA($C$9:$C$508)+2,IF($CD64=Constants!$B$8,COUNTA($C$9:$C$508)+1,IF($CD64=Constants!$B$7,COUNTA($C$9:$C$508),$CD64))))</f>
        <v/>
      </c>
      <c r="CF64" s="9"/>
      <c r="CG64" s="101" t="n">
        <f aca="false">IF(OR(ISNUMBER($CD64),$CD64=Constants!$B$9,$CD64=Constants!$B$7,$CD64=Constants!$B$8),1,0)</f>
        <v>0</v>
      </c>
      <c r="CH64" s="101" t="n">
        <v>56</v>
      </c>
      <c r="CI64" s="101" t="str">
        <f aca="false">IF(ISBLANK($C64),"",IF(ISNUMBER($CE64),$CE64+ROW($B64)/1000,""))</f>
        <v/>
      </c>
      <c r="CJ64" s="101" t="str">
        <f aca="false">IF(ISNUMBER($CI64),RANK($CI64,$CI$9:$CI$508,1),"")</f>
        <v/>
      </c>
      <c r="CK64" s="101" t="str">
        <f aca="false">IF(ISBLANK($C64),"",$B64)</f>
        <v/>
      </c>
      <c r="CL64" s="101" t="str">
        <f aca="false">IF(ISBLANK($C64),"",$C64)</f>
        <v/>
      </c>
      <c r="CM64" s="101" t="str">
        <f aca="false">IF(ISBLANK($C64),"",$D64)</f>
        <v/>
      </c>
      <c r="CN64" s="102" t="str">
        <f aca="false">$CB64</f>
        <v/>
      </c>
      <c r="CO64" s="103" t="str">
        <f aca="false">$CA64</f>
        <v/>
      </c>
      <c r="CP64" s="101" t="str">
        <f aca="false">IF(ISBLANK($C64),"",$CD64)</f>
        <v/>
      </c>
      <c r="CQ64" s="104" t="str">
        <f aca="false">IF($CH64&gt;$CG$8,"",VLOOKUP($CH64,$CJ$9:$CP$508,7,FALSE()))</f>
        <v/>
      </c>
      <c r="CR64" s="105" t="str">
        <f aca="false">IF($CH64&gt;$CG$8,"",VLOOKUP($CH64,$CJ$9:$CP$508,2,FALSE()))</f>
        <v/>
      </c>
      <c r="CS64" s="105" t="str">
        <f aca="false">IF($CH64&gt;$CG$8,"",VLOOKUP($CH64,$CJ$9:$CP$508,3,FALSE()))</f>
        <v/>
      </c>
      <c r="CT64" s="105" t="str">
        <f aca="false">IF($CH64&gt;$CG$8,"",VLOOKUP($CH64,$CJ$9:$CP$508,4,FALSE()))</f>
        <v/>
      </c>
      <c r="CU64" s="105" t="str">
        <f aca="false">IF($CH64&gt;$CG$8,"",VLOOKUP($CH64,$CJ$9:$CP$508,5,FALSE()))</f>
        <v/>
      </c>
      <c r="CV64" s="106" t="str">
        <f aca="false">IF($CH64&gt;$CG$8,"",VLOOKUP($CH64,$CJ$9:$CP$508,6,FALSE()))</f>
        <v/>
      </c>
      <c r="CW64" s="71"/>
    </row>
    <row r="65" customFormat="false" ht="15.75" hidden="false" customHeight="false" outlineLevel="0" collapsed="false">
      <c r="A65" s="9"/>
      <c r="B65" s="72"/>
      <c r="C65" s="73"/>
      <c r="D65" s="160"/>
      <c r="E65" s="168"/>
      <c r="F65" s="162"/>
      <c r="G65" s="163"/>
      <c r="H65" s="169"/>
      <c r="I65" s="167"/>
      <c r="J65" s="80"/>
      <c r="K65" s="81"/>
      <c r="L65" s="82"/>
      <c r="M65" s="166"/>
      <c r="N65" s="167"/>
      <c r="O65" s="167"/>
      <c r="P65" s="80"/>
      <c r="Q65" s="82"/>
      <c r="R65" s="82"/>
      <c r="S65" s="166"/>
      <c r="T65" s="167"/>
      <c r="U65" s="86"/>
      <c r="V65" s="87"/>
      <c r="W65" s="87" t="str">
        <f aca="false">IF(ISBLANK($C65),"",IF(E65=Constants!$B$2,TRUE(),IF(E65=Constants!$B$3,FALSE(),TRUE())))</f>
        <v/>
      </c>
      <c r="X65" s="87" t="str">
        <f aca="false">IF(ISBLANK($C65),"",IF(F65=Constants!$B$2,TRUE(),IF(F65=Constants!$B$3,FALSE(),TRUE())))</f>
        <v/>
      </c>
      <c r="Y65" s="87" t="str">
        <f aca="false">IF(ISBLANK($C65),"",IF(G65=Constants!$B$2,TRUE(),IF(G65=Constants!$B$3,FALSE(),TRUE())))</f>
        <v/>
      </c>
      <c r="Z65" s="87" t="str">
        <f aca="false">IF(ISBLANK($C65),"",IF(H65=Constants!$B$2,TRUE(),IF(H65=Constants!$B$3,FALSE(),TRUE())))</f>
        <v/>
      </c>
      <c r="AA65" s="87" t="str">
        <f aca="false">IF(ISBLANK($C65),"",IF(I65=Constants!$B$2,TRUE(),IF(I65=Constants!$B$3,FALSE(),TRUE())))</f>
        <v/>
      </c>
      <c r="AB65" s="87" t="str">
        <f aca="false">IF(ISBLANK($C65),"",IF(J65=Constants!$B$4,TRUE(),IF(J65=Constants!$B$5,FALSE(),COUNTA(K65:M65)&gt;0)))</f>
        <v/>
      </c>
      <c r="AC65" s="88" t="str">
        <f aca="false">IF(ISBLANK($C65),"",IF(ISNUMBER(K65),IF(K65&gt;=0,K65,""),""))</f>
        <v/>
      </c>
      <c r="AD65" s="89" t="str">
        <f aca="false">IF(ISBLANK($C65),"",IF(ISNUMBER(L65),IF(L65&gt;=0,L65,""),""))</f>
        <v/>
      </c>
      <c r="AE65" s="87" t="str">
        <f aca="false">IF(ISBLANK($C65),"",IF(ISNUMBER(M65),IF(M65&gt;=0,MIN(M65,Constants!$B$22),""),""))</f>
        <v/>
      </c>
      <c r="AF65" s="87" t="str">
        <f aca="false">IF(ISBLANK($C65),"",IF(N65=Constants!$B$2,TRUE(),IF(N65=Constants!$B$3,FALSE(),TRUE())))</f>
        <v/>
      </c>
      <c r="AG65" s="87" t="str">
        <f aca="false">IF(ISBLANK($C65),"",IF(O65=Constants!$B$2,TRUE(),IF(O65=Constants!$B$3,FALSE(),TRUE())))</f>
        <v/>
      </c>
      <c r="AH65" s="87" t="str">
        <f aca="false">IF(ISBLANK($C65),"",IF(P65=Constants!$B$4,TRUE(),IF(P65=Constants!$B$5,FALSE(),COUNTA(Q65:S65)&gt;0)))</f>
        <v/>
      </c>
      <c r="AI65" s="88" t="str">
        <f aca="false">IF(ISBLANK($C65),"",IF(ISNUMBER(Q65),IF(Q65&gt;=0,Q65,""),""))</f>
        <v/>
      </c>
      <c r="AJ65" s="89" t="str">
        <f aca="false">IF(ISBLANK($C65),"",IF(ISNUMBER(R65),IF(R65&gt;=0,R65,""),""))</f>
        <v/>
      </c>
      <c r="AK65" s="87" t="str">
        <f aca="false">IF(ISBLANK($C65),"",IF(ISNUMBER(S65),IF(S65&gt;=0,MIN(S65,Constants!$B$22),""),""))</f>
        <v/>
      </c>
      <c r="AL65" s="87" t="str">
        <f aca="false">IF(ISBLANK($C65),"",IF(T65=Constants!$B$2,TRUE(),IF(T65=Constants!$B$3,FALSE(),FALSE())))</f>
        <v/>
      </c>
      <c r="AM65" s="86" t="str">
        <f aca="false">IF(ISBLANK($C65),"",AND($AB65,OR($AC65="",$AD65="",AND(NOT(ISBLANK($M65)),$AE65=""))))</f>
        <v/>
      </c>
      <c r="AN65" s="89" t="str">
        <f aca="false">IF($BD65&lt;&gt;Constants!$B$6,"",IF($AB65,Constants!$B$17*$AD65,Constants!$B$18))</f>
        <v/>
      </c>
      <c r="AO65" s="91" t="str">
        <f aca="false">IF($BD65&lt;&gt;Constants!$B$6,"",Constants!$B$19*IF($AB65,$AC65,0))</f>
        <v/>
      </c>
      <c r="AP65" s="91" t="str">
        <f aca="false">IF($BD65&lt;&gt;Constants!$B$6,"",IF(AND($AB65,ISNUMBER($AE65)),Constants!$B$20*(Constants!$B$21-$AE65),0))</f>
        <v/>
      </c>
      <c r="AQ65" s="91" t="str">
        <f aca="false">IF($BD65&lt;&gt;Constants!$B$6,"",IF($AA65,0,Constants!$B$12)+IF($Z65,0,Constants!$B$13)+IF($Y65,0,Constants!$B$14))</f>
        <v/>
      </c>
      <c r="AR65" s="92" t="str">
        <f aca="false">IF($BD65&lt;&gt;Constants!$B$6,"",Constants!$B$16+SUM($AN65:$AQ65))</f>
        <v/>
      </c>
      <c r="AS65" s="91" t="str">
        <f aca="false">IF($BD65&lt;&gt;Constants!$B$6,"",IF($AB65,$AD65,""))</f>
        <v/>
      </c>
      <c r="AT65" s="93" t="str">
        <f aca="false">IF($BD65&lt;&gt;Constants!$B$6,"",$AO65)</f>
        <v/>
      </c>
      <c r="AU65" s="87" t="str">
        <f aca="false">IF($BD65&lt;&gt;Constants!$B$6,"",IF(OR($BA65&lt;$AR65,AND($BA65=$AR65,OR(AND(ISNUMBER($BB65),OR(NOT(ISNUMBER($AS65)),$BB65&lt;$AS65)),AND(OR(AND($BB65="",$AS65=""),AND(ISNUMBER($BB65),ISNUMBER($AS65),$BB65=$AS65)),$BC65&lt;$AT65)))),"-&gt;","&lt;-"))</f>
        <v/>
      </c>
      <c r="AV65" s="86" t="str">
        <f aca="false">IF(ISBLANK($C65),"",AND($AH65,OR($AI65="",$AJ65="",AND(NOT(ISBLANK($S65)),$AK65=""))))</f>
        <v/>
      </c>
      <c r="AW65" s="89" t="str">
        <f aca="false">IF($BD65&lt;&gt;Constants!$B$6,"",IF($AH65,Constants!$B$17*$AJ65,Constants!$B$18))</f>
        <v/>
      </c>
      <c r="AX65" s="91" t="str">
        <f aca="false">IF($BD65&lt;&gt;Constants!$B$6,"",Constants!$B$19*IF($AH65,$AI65,0))</f>
        <v/>
      </c>
      <c r="AY65" s="91" t="str">
        <f aca="false">IF($BD65&lt;&gt;Constants!$B$6,"",IF(AND($AH65,ISNUMBER($AK65)),Constants!$B$20*(Constants!$B$21-$AK65),0))</f>
        <v/>
      </c>
      <c r="AZ65" s="91" t="str">
        <f aca="false">IF($BD65&lt;&gt;Constants!$B$6,"",IF($AG65,0,Constants!$B$12)+IF($AF65,0,Constants!$B$13)+IF($Y65,0,Constants!$B$14))</f>
        <v/>
      </c>
      <c r="BA65" s="92" t="str">
        <f aca="false">IF($BD65&lt;&gt;Constants!$B$6,"",Constants!$B$16+SUM($AW65:$AZ65))</f>
        <v/>
      </c>
      <c r="BB65" s="91" t="str">
        <f aca="false">IF($BD65&lt;&gt;Constants!$B$6,"",IF($AH65,$AJ65,""))</f>
        <v/>
      </c>
      <c r="BC65" s="93" t="str">
        <f aca="false">IF($BD65&lt;&gt;Constants!$B$6,"",$AX65)</f>
        <v/>
      </c>
      <c r="BD65" s="87" t="str">
        <f aca="false">IF(ISBLANK($C65),"",IF($AL65,Constants!$B$9,IF(COUNTA($E65:$T65)=0,Constants!$B$8,IF(NOT($X65),Constants!$B$7,IF(OR($AM65,$AV65),Constants!$B$10,Constants!$B$6)))))</f>
        <v/>
      </c>
      <c r="BE65" s="87" t="str">
        <f aca="false">IF(ISBLANK($C65),"",IF($BD65&lt;&gt;Constants!$B$6,$BD65,Constants!$B$11))</f>
        <v/>
      </c>
      <c r="BF65" s="91" t="str">
        <f aca="false">IF($BD65&lt;&gt;Constants!$B$6,"",IF($AU65="-&gt;",$BA65,$AR65))</f>
        <v/>
      </c>
      <c r="BG65" s="91" t="str">
        <f aca="false">IF($BD65&lt;&gt;Constants!$B$6,"",IF($W65,0,Constants!$B$15))</f>
        <v/>
      </c>
      <c r="BH65" s="91" t="str">
        <f aca="false">IF(ISBLANK($C65),"",IF($BD65&lt;&gt;Constants!$B$6,$BD65,SUM($BF65:$BG65)))</f>
        <v/>
      </c>
      <c r="BI65" s="87" t="str">
        <f aca="false">IF(ISBLANK($C65),"",IF($BD65&lt;&gt;Constants!$B$6,$BD65,RANK($BH65,$BH$9:$BH$508,1)))</f>
        <v/>
      </c>
      <c r="BJ65" s="91" t="str">
        <f aca="false">IF($BD65&lt;&gt;Constants!$B$6,"",IF($AU65="-&gt;",$BB65,$AS65))</f>
        <v/>
      </c>
      <c r="BK65" s="87" t="str">
        <f aca="false">IF(ISBLANK($C65),"",IF($BD65&lt;&gt;Constants!$B$6,$BD65,IF(ISNUMBER($BJ65),RANK($BJ65,$BJ$9:$BJ$508,1),COUNT($BJ$9:$BJ$508)+1)))</f>
        <v/>
      </c>
      <c r="BL65" s="91" t="str">
        <f aca="false">IF($BD65&lt;&gt;Constants!$B$6,"",IF($AU65="-&gt;",$BC65,$AT65))</f>
        <v/>
      </c>
      <c r="BM65" s="87" t="str">
        <f aca="false">IF(ISBLANK($C65),"",IF($BD65&lt;&gt;Constants!$B$6,$BD65,IF(ISNUMBER($BL65),RANK($BL65,$BL$9:$BL$508,1),COUNT($BL$9:$BL$508)+1)))</f>
        <v/>
      </c>
      <c r="BN65" s="91" t="str">
        <f aca="false">IF($BD65&lt;&gt;Constants!$B$6,"",IF($AU65="-&gt;",$AS65,$BB65))</f>
        <v/>
      </c>
      <c r="BO65" s="87" t="str">
        <f aca="false">IF(ISBLANK($C65),"",IF($BD65&lt;&gt;Constants!$B$6,$BD65,IF(ISNUMBER($BN65),RANK($BN65,$BN$9:$BN$508,1),COUNT($BN$9:$BN$508)+1)))</f>
        <v/>
      </c>
      <c r="BP65" s="91" t="str">
        <f aca="false">IF($BD65&lt;&gt;Constants!$B$6,"",IF($AU65="-&gt;",$AT65,$BC65))</f>
        <v/>
      </c>
      <c r="BQ65" s="87" t="str">
        <f aca="false">IF(ISBLANK($C65),"",IF($BD65&lt;&gt;Constants!$B$6,$BD65,IF(ISNUMBER($BP65),RANK($BP65,$BP$9:$BP$508,1),COUNT($BP$9:$BP$508)+1)))</f>
        <v/>
      </c>
      <c r="BR65" s="87" t="str">
        <f aca="false">IF(ISBLANK($C65),"",IF($BD65&lt;&gt;Constants!$B$6,$BD65,COUNTIFS($BI$9:$BI$508,"&lt;"&amp;$BI65)+COUNTIFS($BI$9:$BI$508,$BI65,$BK$9:$BK$508,"&lt;"&amp;$BK65)+COUNTIFS($BI$9:$BI$508,$BI65,$BK$9:$BK$508,$BK65,$BM$9:$BM$508,"&lt;"&amp;$BM65)+COUNTIFS($BI$9:$BI$508,$BI65,$BK$9:$BK$508,$BK65,$BM$9:$BM$508,$BM65,$BO$9:$BO$508,"&lt;"&amp;$BO65)+COUNTIFS($BI$9:$BI$508,$BI65,$BK$9:$BK$508,$BK65,$BM$9:$BM$508,$BM65,$BO$9:$BO$508,$BO65,$BQ$9:$BQ$508,"&lt;"&amp;$BQ65)+1))</f>
        <v/>
      </c>
      <c r="BS65" s="87" t="str">
        <f aca="false">IF(ISBLANK($C65),"",IF($BD65&lt;&gt;Constants!$B$6,$BD65,$BI65-$BR65))</f>
        <v/>
      </c>
      <c r="BT65" s="94"/>
      <c r="BU65" s="95"/>
      <c r="BV65" s="95" t="str">
        <f aca="false">IF(ISBLANK($C65),"",IF($BD65&lt;&gt;Constants!$B$6,"",IF($AU65="-&gt;",2,1)))</f>
        <v/>
      </c>
      <c r="BW65" s="96" t="str">
        <f aca="false">IF(ISBLANK($C65),"",IF($BD65&lt;&gt;Constants!$B$6,"",IF($AU65="-&gt;",$AW65,$AN65)))</f>
        <v/>
      </c>
      <c r="BX65" s="96" t="str">
        <f aca="false">IF(ISBLANK($C65),"",IF($BD65&lt;&gt;Constants!$B$6,"",IF($AU65="-&gt;",$AX65,$AO65)))</f>
        <v/>
      </c>
      <c r="BY65" s="96" t="str">
        <f aca="false">IF(ISBLANK($C65),"",IF($BD65&lt;&gt;Constants!$B$6,"",IF($AU65="-&gt;",$AY65,$AP65)))</f>
        <v/>
      </c>
      <c r="BZ65" s="96" t="str">
        <f aca="false">IF(ISBLANK($C65),"",IF($BD65&lt;&gt;Constants!$B$6,"",IF($AU65="-&gt;",$AZ65,$AQ65)+$BG65))</f>
        <v/>
      </c>
      <c r="CA65" s="97" t="str">
        <f aca="false">IF(ISBLANK($C65),"",IF($BD65&lt;&gt;Constants!$B$6,$BD65,$BH65))</f>
        <v/>
      </c>
      <c r="CB65" s="98" t="str">
        <f aca="false">IF(ISBLANK($C65),"",$BE65)</f>
        <v/>
      </c>
      <c r="CC65" s="99" t="str">
        <f aca="false">IF(ISBLANK($C65),"",$BS65)</f>
        <v/>
      </c>
      <c r="CD65" s="99" t="str">
        <f aca="false">IF(ISBLANK($C65),"",$BR65)</f>
        <v/>
      </c>
      <c r="CE65" s="100" t="str">
        <f aca="false">IF(ISBLANK($C65),"",IF($CD65=Constants!$B$9,COUNTA($C$9:$C$508)+2,IF($CD65=Constants!$B$8,COUNTA($C$9:$C$508)+1,IF($CD65=Constants!$B$7,COUNTA($C$9:$C$508),$CD65))))</f>
        <v/>
      </c>
      <c r="CF65" s="9"/>
      <c r="CG65" s="101" t="n">
        <f aca="false">IF(OR(ISNUMBER($CD65),$CD65=Constants!$B$9,$CD65=Constants!$B$7,$CD65=Constants!$B$8),1,0)</f>
        <v>0</v>
      </c>
      <c r="CH65" s="101" t="n">
        <v>57</v>
      </c>
      <c r="CI65" s="101" t="str">
        <f aca="false">IF(ISBLANK($C65),"",IF(ISNUMBER($CE65),$CE65+ROW($B65)/1000,""))</f>
        <v/>
      </c>
      <c r="CJ65" s="101" t="str">
        <f aca="false">IF(ISNUMBER($CI65),RANK($CI65,$CI$9:$CI$508,1),"")</f>
        <v/>
      </c>
      <c r="CK65" s="101" t="str">
        <f aca="false">IF(ISBLANK($C65),"",$B65)</f>
        <v/>
      </c>
      <c r="CL65" s="101" t="str">
        <f aca="false">IF(ISBLANK($C65),"",$C65)</f>
        <v/>
      </c>
      <c r="CM65" s="101" t="str">
        <f aca="false">IF(ISBLANK($C65),"",$D65)</f>
        <v/>
      </c>
      <c r="CN65" s="102" t="str">
        <f aca="false">$CB65</f>
        <v/>
      </c>
      <c r="CO65" s="103" t="str">
        <f aca="false">$CA65</f>
        <v/>
      </c>
      <c r="CP65" s="101" t="str">
        <f aca="false">IF(ISBLANK($C65),"",$CD65)</f>
        <v/>
      </c>
      <c r="CQ65" s="104" t="str">
        <f aca="false">IF($CH65&gt;$CG$8,"",VLOOKUP($CH65,$CJ$9:$CP$508,7,FALSE()))</f>
        <v/>
      </c>
      <c r="CR65" s="105" t="str">
        <f aca="false">IF($CH65&gt;$CG$8,"",VLOOKUP($CH65,$CJ$9:$CP$508,2,FALSE()))</f>
        <v/>
      </c>
      <c r="CS65" s="105" t="str">
        <f aca="false">IF($CH65&gt;$CG$8,"",VLOOKUP($CH65,$CJ$9:$CP$508,3,FALSE()))</f>
        <v/>
      </c>
      <c r="CT65" s="105" t="str">
        <f aca="false">IF($CH65&gt;$CG$8,"",VLOOKUP($CH65,$CJ$9:$CP$508,4,FALSE()))</f>
        <v/>
      </c>
      <c r="CU65" s="105" t="str">
        <f aca="false">IF($CH65&gt;$CG$8,"",VLOOKUP($CH65,$CJ$9:$CP$508,5,FALSE()))</f>
        <v/>
      </c>
      <c r="CV65" s="106" t="str">
        <f aca="false">IF($CH65&gt;$CG$8,"",VLOOKUP($CH65,$CJ$9:$CP$508,6,FALSE()))</f>
        <v/>
      </c>
      <c r="CW65" s="71"/>
    </row>
    <row r="66" customFormat="false" ht="15.75" hidden="false" customHeight="false" outlineLevel="0" collapsed="false">
      <c r="A66" s="9"/>
      <c r="B66" s="150"/>
      <c r="C66" s="151"/>
      <c r="D66" s="152"/>
      <c r="E66" s="170"/>
      <c r="F66" s="154"/>
      <c r="G66" s="155"/>
      <c r="H66" s="171"/>
      <c r="I66" s="159"/>
      <c r="J66" s="120"/>
      <c r="K66" s="121"/>
      <c r="L66" s="122"/>
      <c r="M66" s="158"/>
      <c r="N66" s="159"/>
      <c r="O66" s="159"/>
      <c r="P66" s="120"/>
      <c r="Q66" s="122"/>
      <c r="R66" s="122"/>
      <c r="S66" s="158"/>
      <c r="T66" s="159"/>
      <c r="U66" s="126"/>
      <c r="V66" s="127"/>
      <c r="W66" s="127" t="str">
        <f aca="false">IF(ISBLANK($C66),"",IF(E66=Constants!$B$2,TRUE(),IF(E66=Constants!$B$3,FALSE(),TRUE())))</f>
        <v/>
      </c>
      <c r="X66" s="127" t="str">
        <f aca="false">IF(ISBLANK($C66),"",IF(F66=Constants!$B$2,TRUE(),IF(F66=Constants!$B$3,FALSE(),TRUE())))</f>
        <v/>
      </c>
      <c r="Y66" s="127" t="str">
        <f aca="false">IF(ISBLANK($C66),"",IF(G66=Constants!$B$2,TRUE(),IF(G66=Constants!$B$3,FALSE(),TRUE())))</f>
        <v/>
      </c>
      <c r="Z66" s="127" t="str">
        <f aca="false">IF(ISBLANK($C66),"",IF(H66=Constants!$B$2,TRUE(),IF(H66=Constants!$B$3,FALSE(),TRUE())))</f>
        <v/>
      </c>
      <c r="AA66" s="127" t="str">
        <f aca="false">IF(ISBLANK($C66),"",IF(I66=Constants!$B$2,TRUE(),IF(I66=Constants!$B$3,FALSE(),TRUE())))</f>
        <v/>
      </c>
      <c r="AB66" s="127" t="str">
        <f aca="false">IF(ISBLANK($C66),"",IF(J66=Constants!$B$4,TRUE(),IF(J66=Constants!$B$5,FALSE(),COUNTA(K66:M66)&gt;0)))</f>
        <v/>
      </c>
      <c r="AC66" s="128" t="str">
        <f aca="false">IF(ISBLANK($C66),"",IF(ISNUMBER(K66),IF(K66&gt;=0,K66,""),""))</f>
        <v/>
      </c>
      <c r="AD66" s="129" t="str">
        <f aca="false">IF(ISBLANK($C66),"",IF(ISNUMBER(L66),IF(L66&gt;=0,L66,""),""))</f>
        <v/>
      </c>
      <c r="AE66" s="127" t="str">
        <f aca="false">IF(ISBLANK($C66),"",IF(ISNUMBER(M66),IF(M66&gt;=0,MIN(M66,Constants!$B$22),""),""))</f>
        <v/>
      </c>
      <c r="AF66" s="127" t="str">
        <f aca="false">IF(ISBLANK($C66),"",IF(N66=Constants!$B$2,TRUE(),IF(N66=Constants!$B$3,FALSE(),TRUE())))</f>
        <v/>
      </c>
      <c r="AG66" s="127" t="str">
        <f aca="false">IF(ISBLANK($C66),"",IF(O66=Constants!$B$2,TRUE(),IF(O66=Constants!$B$3,FALSE(),TRUE())))</f>
        <v/>
      </c>
      <c r="AH66" s="127" t="str">
        <f aca="false">IF(ISBLANK($C66),"",IF(P66=Constants!$B$4,TRUE(),IF(P66=Constants!$B$5,FALSE(),COUNTA(Q66:S66)&gt;0)))</f>
        <v/>
      </c>
      <c r="AI66" s="128" t="str">
        <f aca="false">IF(ISBLANK($C66),"",IF(ISNUMBER(Q66),IF(Q66&gt;=0,Q66,""),""))</f>
        <v/>
      </c>
      <c r="AJ66" s="129" t="str">
        <f aca="false">IF(ISBLANK($C66),"",IF(ISNUMBER(R66),IF(R66&gt;=0,R66,""),""))</f>
        <v/>
      </c>
      <c r="AK66" s="127" t="str">
        <f aca="false">IF(ISBLANK($C66),"",IF(ISNUMBER(S66),IF(S66&gt;=0,MIN(S66,Constants!$B$22),""),""))</f>
        <v/>
      </c>
      <c r="AL66" s="127" t="str">
        <f aca="false">IF(ISBLANK($C66),"",IF(T66=Constants!$B$2,TRUE(),IF(T66=Constants!$B$3,FALSE(),FALSE())))</f>
        <v/>
      </c>
      <c r="AM66" s="126" t="str">
        <f aca="false">IF(ISBLANK($C66),"",AND($AB66,OR($AC66="",$AD66="",AND(NOT(ISBLANK($M66)),$AE66=""))))</f>
        <v/>
      </c>
      <c r="AN66" s="129" t="str">
        <f aca="false">IF($BD66&lt;&gt;Constants!$B$6,"",IF($AB66,Constants!$B$17*$AD66,Constants!$B$18))</f>
        <v/>
      </c>
      <c r="AO66" s="130" t="str">
        <f aca="false">IF($BD66&lt;&gt;Constants!$B$6,"",Constants!$B$19*IF($AB66,$AC66,0))</f>
        <v/>
      </c>
      <c r="AP66" s="130" t="str">
        <f aca="false">IF($BD66&lt;&gt;Constants!$B$6,"",IF(AND($AB66,ISNUMBER($AE66)),Constants!$B$20*(Constants!$B$21-$AE66),0))</f>
        <v/>
      </c>
      <c r="AQ66" s="130" t="str">
        <f aca="false">IF($BD66&lt;&gt;Constants!$B$6,"",IF($AA66,0,Constants!$B$12)+IF($Z66,0,Constants!$B$13)+IF($Y66,0,Constants!$B$14))</f>
        <v/>
      </c>
      <c r="AR66" s="131" t="str">
        <f aca="false">IF($BD66&lt;&gt;Constants!$B$6,"",Constants!$B$16+SUM($AN66:$AQ66))</f>
        <v/>
      </c>
      <c r="AS66" s="130" t="str">
        <f aca="false">IF($BD66&lt;&gt;Constants!$B$6,"",IF($AB66,$AD66,""))</f>
        <v/>
      </c>
      <c r="AT66" s="132" t="str">
        <f aca="false">IF($BD66&lt;&gt;Constants!$B$6,"",$AO66)</f>
        <v/>
      </c>
      <c r="AU66" s="127" t="str">
        <f aca="false">IF($BD66&lt;&gt;Constants!$B$6,"",IF(OR($BA66&lt;$AR66,AND($BA66=$AR66,OR(AND(ISNUMBER($BB66),OR(NOT(ISNUMBER($AS66)),$BB66&lt;$AS66)),AND(OR(AND($BB66="",$AS66=""),AND(ISNUMBER($BB66),ISNUMBER($AS66),$BB66=$AS66)),$BC66&lt;$AT66)))),"-&gt;","&lt;-"))</f>
        <v/>
      </c>
      <c r="AV66" s="126" t="str">
        <f aca="false">IF(ISBLANK($C66),"",AND($AH66,OR($AI66="",$AJ66="",AND(NOT(ISBLANK($S66)),$AK66=""))))</f>
        <v/>
      </c>
      <c r="AW66" s="129" t="str">
        <f aca="false">IF($BD66&lt;&gt;Constants!$B$6,"",IF($AH66,Constants!$B$17*$AJ66,Constants!$B$18))</f>
        <v/>
      </c>
      <c r="AX66" s="130" t="str">
        <f aca="false">IF($BD66&lt;&gt;Constants!$B$6,"",Constants!$B$19*IF($AH66,$AI66,0))</f>
        <v/>
      </c>
      <c r="AY66" s="130" t="str">
        <f aca="false">IF($BD66&lt;&gt;Constants!$B$6,"",IF(AND($AH66,ISNUMBER($AK66)),Constants!$B$20*(Constants!$B$21-$AK66),0))</f>
        <v/>
      </c>
      <c r="AZ66" s="130" t="str">
        <f aca="false">IF($BD66&lt;&gt;Constants!$B$6,"",IF($AG66,0,Constants!$B$12)+IF($AF66,0,Constants!$B$13)+IF($Y66,0,Constants!$B$14))</f>
        <v/>
      </c>
      <c r="BA66" s="131" t="str">
        <f aca="false">IF($BD66&lt;&gt;Constants!$B$6,"",Constants!$B$16+SUM($AW66:$AZ66))</f>
        <v/>
      </c>
      <c r="BB66" s="130" t="str">
        <f aca="false">IF($BD66&lt;&gt;Constants!$B$6,"",IF($AH66,$AJ66,""))</f>
        <v/>
      </c>
      <c r="BC66" s="132" t="str">
        <f aca="false">IF($BD66&lt;&gt;Constants!$B$6,"",$AX66)</f>
        <v/>
      </c>
      <c r="BD66" s="127" t="str">
        <f aca="false">IF(ISBLANK($C66),"",IF($AL66,Constants!$B$9,IF(COUNTA($E66:$T66)=0,Constants!$B$8,IF(NOT($X66),Constants!$B$7,IF(OR($AM66,$AV66),Constants!$B$10,Constants!$B$6)))))</f>
        <v/>
      </c>
      <c r="BE66" s="127" t="str">
        <f aca="false">IF(ISBLANK($C66),"",IF($BD66&lt;&gt;Constants!$B$6,$BD66,Constants!$B$11))</f>
        <v/>
      </c>
      <c r="BF66" s="130" t="str">
        <f aca="false">IF($BD66&lt;&gt;Constants!$B$6,"",IF($AU66="-&gt;",$BA66,$AR66))</f>
        <v/>
      </c>
      <c r="BG66" s="130" t="str">
        <f aca="false">IF($BD66&lt;&gt;Constants!$B$6,"",IF($W66,0,Constants!$B$15))</f>
        <v/>
      </c>
      <c r="BH66" s="130" t="str">
        <f aca="false">IF(ISBLANK($C66),"",IF($BD66&lt;&gt;Constants!$B$6,$BD66,SUM($BF66:$BG66)))</f>
        <v/>
      </c>
      <c r="BI66" s="127" t="str">
        <f aca="false">IF(ISBLANK($C66),"",IF($BD66&lt;&gt;Constants!$B$6,$BD66,RANK($BH66,$BH$9:$BH$508,1)))</f>
        <v/>
      </c>
      <c r="BJ66" s="130" t="str">
        <f aca="false">IF($BD66&lt;&gt;Constants!$B$6,"",IF($AU66="-&gt;",$BB66,$AS66))</f>
        <v/>
      </c>
      <c r="BK66" s="127" t="str">
        <f aca="false">IF(ISBLANK($C66),"",IF($BD66&lt;&gt;Constants!$B$6,$BD66,IF(ISNUMBER($BJ66),RANK($BJ66,$BJ$9:$BJ$508,1),COUNT($BJ$9:$BJ$508)+1)))</f>
        <v/>
      </c>
      <c r="BL66" s="130" t="str">
        <f aca="false">IF($BD66&lt;&gt;Constants!$B$6,"",IF($AU66="-&gt;",$BC66,$AT66))</f>
        <v/>
      </c>
      <c r="BM66" s="127" t="str">
        <f aca="false">IF(ISBLANK($C66),"",IF($BD66&lt;&gt;Constants!$B$6,$BD66,IF(ISNUMBER($BL66),RANK($BL66,$BL$9:$BL$508,1),COUNT($BL$9:$BL$508)+1)))</f>
        <v/>
      </c>
      <c r="BN66" s="130" t="str">
        <f aca="false">IF($BD66&lt;&gt;Constants!$B$6,"",IF($AU66="-&gt;",$AS66,$BB66))</f>
        <v/>
      </c>
      <c r="BO66" s="127" t="str">
        <f aca="false">IF(ISBLANK($C66),"",IF($BD66&lt;&gt;Constants!$B$6,$BD66,IF(ISNUMBER($BN66),RANK($BN66,$BN$9:$BN$508,1),COUNT($BN$9:$BN$508)+1)))</f>
        <v/>
      </c>
      <c r="BP66" s="130" t="str">
        <f aca="false">IF($BD66&lt;&gt;Constants!$B$6,"",IF($AU66="-&gt;",$AT66,$BC66))</f>
        <v/>
      </c>
      <c r="BQ66" s="127" t="str">
        <f aca="false">IF(ISBLANK($C66),"",IF($BD66&lt;&gt;Constants!$B$6,$BD66,IF(ISNUMBER($BP66),RANK($BP66,$BP$9:$BP$508,1),COUNT($BP$9:$BP$508)+1)))</f>
        <v/>
      </c>
      <c r="BR66" s="127" t="str">
        <f aca="false">IF(ISBLANK($C66),"",IF($BD66&lt;&gt;Constants!$B$6,$BD66,COUNTIFS($BI$9:$BI$508,"&lt;"&amp;$BI66)+COUNTIFS($BI$9:$BI$508,$BI66,$BK$9:$BK$508,"&lt;"&amp;$BK66)+COUNTIFS($BI$9:$BI$508,$BI66,$BK$9:$BK$508,$BK66,$BM$9:$BM$508,"&lt;"&amp;$BM66)+COUNTIFS($BI$9:$BI$508,$BI66,$BK$9:$BK$508,$BK66,$BM$9:$BM$508,$BM66,$BO$9:$BO$508,"&lt;"&amp;$BO66)+COUNTIFS($BI$9:$BI$508,$BI66,$BK$9:$BK$508,$BK66,$BM$9:$BM$508,$BM66,$BO$9:$BO$508,$BO66,$BQ$9:$BQ$508,"&lt;"&amp;$BQ66)+1))</f>
        <v/>
      </c>
      <c r="BS66" s="127" t="str">
        <f aca="false">IF(ISBLANK($C66),"",IF($BD66&lt;&gt;Constants!$B$6,$BD66,$BI66-$BR66))</f>
        <v/>
      </c>
      <c r="BT66" s="133"/>
      <c r="BU66" s="134"/>
      <c r="BV66" s="134" t="str">
        <f aca="false">IF(ISBLANK($C66),"",IF($BD66&lt;&gt;Constants!$B$6,"",IF($AU66="-&gt;",2,1)))</f>
        <v/>
      </c>
      <c r="BW66" s="135" t="str">
        <f aca="false">IF(ISBLANK($C66),"",IF($BD66&lt;&gt;Constants!$B$6,"",IF($AU66="-&gt;",$AW66,$AN66)))</f>
        <v/>
      </c>
      <c r="BX66" s="135" t="str">
        <f aca="false">IF(ISBLANK($C66),"",IF($BD66&lt;&gt;Constants!$B$6,"",IF($AU66="-&gt;",$AX66,$AO66)))</f>
        <v/>
      </c>
      <c r="BY66" s="135" t="str">
        <f aca="false">IF(ISBLANK($C66),"",IF($BD66&lt;&gt;Constants!$B$6,"",IF($AU66="-&gt;",$AY66,$AP66)))</f>
        <v/>
      </c>
      <c r="BZ66" s="135" t="str">
        <f aca="false">IF(ISBLANK($C66),"",IF($BD66&lt;&gt;Constants!$B$6,"",IF($AU66="-&gt;",$AZ66,$AQ66)+$BG66))</f>
        <v/>
      </c>
      <c r="CA66" s="136" t="str">
        <f aca="false">IF(ISBLANK($C66),"",IF($BD66&lt;&gt;Constants!$B$6,$BD66,$BH66))</f>
        <v/>
      </c>
      <c r="CB66" s="137" t="str">
        <f aca="false">IF(ISBLANK($C66),"",$BE66)</f>
        <v/>
      </c>
      <c r="CC66" s="138" t="str">
        <f aca="false">IF(ISBLANK($C66),"",$BS66)</f>
        <v/>
      </c>
      <c r="CD66" s="138" t="str">
        <f aca="false">IF(ISBLANK($C66),"",$BR66)</f>
        <v/>
      </c>
      <c r="CE66" s="139" t="str">
        <f aca="false">IF(ISBLANK($C66),"",IF($CD66=Constants!$B$9,COUNTA($C$9:$C$508)+2,IF($CD66=Constants!$B$8,COUNTA($C$9:$C$508)+1,IF($CD66=Constants!$B$7,COUNTA($C$9:$C$508),$CD66))))</f>
        <v/>
      </c>
      <c r="CF66" s="9"/>
      <c r="CG66" s="140" t="n">
        <f aca="false">IF(OR(ISNUMBER($CD66),$CD66=Constants!$B$9,$CD66=Constants!$B$7,$CD66=Constants!$B$8),1,0)</f>
        <v>0</v>
      </c>
      <c r="CH66" s="140" t="n">
        <v>58</v>
      </c>
      <c r="CI66" s="140" t="str">
        <f aca="false">IF(ISBLANK($C66),"",IF(ISNUMBER($CE66),$CE66+ROW($B66)/1000,""))</f>
        <v/>
      </c>
      <c r="CJ66" s="140" t="str">
        <f aca="false">IF(ISNUMBER($CI66),RANK($CI66,$CI$9:$CI$508,1),"")</f>
        <v/>
      </c>
      <c r="CK66" s="140" t="str">
        <f aca="false">IF(ISBLANK($C66),"",$B66)</f>
        <v/>
      </c>
      <c r="CL66" s="140" t="str">
        <f aca="false">IF(ISBLANK($C66),"",$C66)</f>
        <v/>
      </c>
      <c r="CM66" s="140" t="str">
        <f aca="false">IF(ISBLANK($C66),"",$D66)</f>
        <v/>
      </c>
      <c r="CN66" s="141" t="str">
        <f aca="false">$CB66</f>
        <v/>
      </c>
      <c r="CO66" s="142" t="str">
        <f aca="false">$CA66</f>
        <v/>
      </c>
      <c r="CP66" s="140" t="str">
        <f aca="false">IF(ISBLANK($C66),"",$CD66)</f>
        <v/>
      </c>
      <c r="CQ66" s="143" t="str">
        <f aca="false">IF($CH66&gt;$CG$8,"",VLOOKUP($CH66,$CJ$9:$CP$508,7,FALSE()))</f>
        <v/>
      </c>
      <c r="CR66" s="144" t="str">
        <f aca="false">IF($CH66&gt;$CG$8,"",VLOOKUP($CH66,$CJ$9:$CP$508,2,FALSE()))</f>
        <v/>
      </c>
      <c r="CS66" s="144" t="str">
        <f aca="false">IF($CH66&gt;$CG$8,"",VLOOKUP($CH66,$CJ$9:$CP$508,3,FALSE()))</f>
        <v/>
      </c>
      <c r="CT66" s="144" t="str">
        <f aca="false">IF($CH66&gt;$CG$8,"",VLOOKUP($CH66,$CJ$9:$CP$508,4,FALSE()))</f>
        <v/>
      </c>
      <c r="CU66" s="144" t="str">
        <f aca="false">IF($CH66&gt;$CG$8,"",VLOOKUP($CH66,$CJ$9:$CP$508,5,FALSE()))</f>
        <v/>
      </c>
      <c r="CV66" s="145" t="str">
        <f aca="false">IF($CH66&gt;$CG$8,"",VLOOKUP($CH66,$CJ$9:$CP$508,6,FALSE()))</f>
        <v/>
      </c>
      <c r="CW66" s="71"/>
    </row>
    <row r="67" customFormat="false" ht="15.75" hidden="false" customHeight="false" outlineLevel="0" collapsed="false">
      <c r="A67" s="9"/>
      <c r="B67" s="150"/>
      <c r="C67" s="151"/>
      <c r="D67" s="152"/>
      <c r="E67" s="170"/>
      <c r="F67" s="154"/>
      <c r="G67" s="155"/>
      <c r="H67" s="171"/>
      <c r="I67" s="159"/>
      <c r="J67" s="120"/>
      <c r="K67" s="121"/>
      <c r="L67" s="122"/>
      <c r="M67" s="158"/>
      <c r="N67" s="159"/>
      <c r="O67" s="159"/>
      <c r="P67" s="120"/>
      <c r="Q67" s="122"/>
      <c r="R67" s="122"/>
      <c r="S67" s="158"/>
      <c r="T67" s="159"/>
      <c r="U67" s="126"/>
      <c r="V67" s="127"/>
      <c r="W67" s="127" t="str">
        <f aca="false">IF(ISBLANK($C67),"",IF(E67=Constants!$B$2,TRUE(),IF(E67=Constants!$B$3,FALSE(),TRUE())))</f>
        <v/>
      </c>
      <c r="X67" s="127" t="str">
        <f aca="false">IF(ISBLANK($C67),"",IF(F67=Constants!$B$2,TRUE(),IF(F67=Constants!$B$3,FALSE(),TRUE())))</f>
        <v/>
      </c>
      <c r="Y67" s="127" t="str">
        <f aca="false">IF(ISBLANK($C67),"",IF(G67=Constants!$B$2,TRUE(),IF(G67=Constants!$B$3,FALSE(),TRUE())))</f>
        <v/>
      </c>
      <c r="Z67" s="127" t="str">
        <f aca="false">IF(ISBLANK($C67),"",IF(H67=Constants!$B$2,TRUE(),IF(H67=Constants!$B$3,FALSE(),TRUE())))</f>
        <v/>
      </c>
      <c r="AA67" s="127" t="str">
        <f aca="false">IF(ISBLANK($C67),"",IF(I67=Constants!$B$2,TRUE(),IF(I67=Constants!$B$3,FALSE(),TRUE())))</f>
        <v/>
      </c>
      <c r="AB67" s="127" t="str">
        <f aca="false">IF(ISBLANK($C67),"",IF(J67=Constants!$B$4,TRUE(),IF(J67=Constants!$B$5,FALSE(),COUNTA(K67:M67)&gt;0)))</f>
        <v/>
      </c>
      <c r="AC67" s="128" t="str">
        <f aca="false">IF(ISBLANK($C67),"",IF(ISNUMBER(K67),IF(K67&gt;=0,K67,""),""))</f>
        <v/>
      </c>
      <c r="AD67" s="129" t="str">
        <f aca="false">IF(ISBLANK($C67),"",IF(ISNUMBER(L67),IF(L67&gt;=0,L67,""),""))</f>
        <v/>
      </c>
      <c r="AE67" s="127" t="str">
        <f aca="false">IF(ISBLANK($C67),"",IF(ISNUMBER(M67),IF(M67&gt;=0,MIN(M67,Constants!$B$22),""),""))</f>
        <v/>
      </c>
      <c r="AF67" s="127" t="str">
        <f aca="false">IF(ISBLANK($C67),"",IF(N67=Constants!$B$2,TRUE(),IF(N67=Constants!$B$3,FALSE(),TRUE())))</f>
        <v/>
      </c>
      <c r="AG67" s="127" t="str">
        <f aca="false">IF(ISBLANK($C67),"",IF(O67=Constants!$B$2,TRUE(),IF(O67=Constants!$B$3,FALSE(),TRUE())))</f>
        <v/>
      </c>
      <c r="AH67" s="127" t="str">
        <f aca="false">IF(ISBLANK($C67),"",IF(P67=Constants!$B$4,TRUE(),IF(P67=Constants!$B$5,FALSE(),COUNTA(Q67:S67)&gt;0)))</f>
        <v/>
      </c>
      <c r="AI67" s="128" t="str">
        <f aca="false">IF(ISBLANK($C67),"",IF(ISNUMBER(Q67),IF(Q67&gt;=0,Q67,""),""))</f>
        <v/>
      </c>
      <c r="AJ67" s="129" t="str">
        <f aca="false">IF(ISBLANK($C67),"",IF(ISNUMBER(R67),IF(R67&gt;=0,R67,""),""))</f>
        <v/>
      </c>
      <c r="AK67" s="127" t="str">
        <f aca="false">IF(ISBLANK($C67),"",IF(ISNUMBER(S67),IF(S67&gt;=0,MIN(S67,Constants!$B$22),""),""))</f>
        <v/>
      </c>
      <c r="AL67" s="127" t="str">
        <f aca="false">IF(ISBLANK($C67),"",IF(T67=Constants!$B$2,TRUE(),IF(T67=Constants!$B$3,FALSE(),FALSE())))</f>
        <v/>
      </c>
      <c r="AM67" s="126" t="str">
        <f aca="false">IF(ISBLANK($C67),"",AND($AB67,OR($AC67="",$AD67="",AND(NOT(ISBLANK($M67)),$AE67=""))))</f>
        <v/>
      </c>
      <c r="AN67" s="129" t="str">
        <f aca="false">IF($BD67&lt;&gt;Constants!$B$6,"",IF($AB67,Constants!$B$17*$AD67,Constants!$B$18))</f>
        <v/>
      </c>
      <c r="AO67" s="130" t="str">
        <f aca="false">IF($BD67&lt;&gt;Constants!$B$6,"",Constants!$B$19*IF($AB67,$AC67,0))</f>
        <v/>
      </c>
      <c r="AP67" s="130" t="str">
        <f aca="false">IF($BD67&lt;&gt;Constants!$B$6,"",IF(AND($AB67,ISNUMBER($AE67)),Constants!$B$20*(Constants!$B$21-$AE67),0))</f>
        <v/>
      </c>
      <c r="AQ67" s="130" t="str">
        <f aca="false">IF($BD67&lt;&gt;Constants!$B$6,"",IF($AA67,0,Constants!$B$12)+IF($Z67,0,Constants!$B$13)+IF($Y67,0,Constants!$B$14))</f>
        <v/>
      </c>
      <c r="AR67" s="131" t="str">
        <f aca="false">IF($BD67&lt;&gt;Constants!$B$6,"",Constants!$B$16+SUM($AN67:$AQ67))</f>
        <v/>
      </c>
      <c r="AS67" s="130" t="str">
        <f aca="false">IF($BD67&lt;&gt;Constants!$B$6,"",IF($AB67,$AD67,""))</f>
        <v/>
      </c>
      <c r="AT67" s="132" t="str">
        <f aca="false">IF($BD67&lt;&gt;Constants!$B$6,"",$AO67)</f>
        <v/>
      </c>
      <c r="AU67" s="127" t="str">
        <f aca="false">IF($BD67&lt;&gt;Constants!$B$6,"",IF(OR($BA67&lt;$AR67,AND($BA67=$AR67,OR(AND(ISNUMBER($BB67),OR(NOT(ISNUMBER($AS67)),$BB67&lt;$AS67)),AND(OR(AND($BB67="",$AS67=""),AND(ISNUMBER($BB67),ISNUMBER($AS67),$BB67=$AS67)),$BC67&lt;$AT67)))),"-&gt;","&lt;-"))</f>
        <v/>
      </c>
      <c r="AV67" s="126" t="str">
        <f aca="false">IF(ISBLANK($C67),"",AND($AH67,OR($AI67="",$AJ67="",AND(NOT(ISBLANK($S67)),$AK67=""))))</f>
        <v/>
      </c>
      <c r="AW67" s="129" t="str">
        <f aca="false">IF($BD67&lt;&gt;Constants!$B$6,"",IF($AH67,Constants!$B$17*$AJ67,Constants!$B$18))</f>
        <v/>
      </c>
      <c r="AX67" s="130" t="str">
        <f aca="false">IF($BD67&lt;&gt;Constants!$B$6,"",Constants!$B$19*IF($AH67,$AI67,0))</f>
        <v/>
      </c>
      <c r="AY67" s="130" t="str">
        <f aca="false">IF($BD67&lt;&gt;Constants!$B$6,"",IF(AND($AH67,ISNUMBER($AK67)),Constants!$B$20*(Constants!$B$21-$AK67),0))</f>
        <v/>
      </c>
      <c r="AZ67" s="130" t="str">
        <f aca="false">IF($BD67&lt;&gt;Constants!$B$6,"",IF($AG67,0,Constants!$B$12)+IF($AF67,0,Constants!$B$13)+IF($Y67,0,Constants!$B$14))</f>
        <v/>
      </c>
      <c r="BA67" s="131" t="str">
        <f aca="false">IF($BD67&lt;&gt;Constants!$B$6,"",Constants!$B$16+SUM($AW67:$AZ67))</f>
        <v/>
      </c>
      <c r="BB67" s="130" t="str">
        <f aca="false">IF($BD67&lt;&gt;Constants!$B$6,"",IF($AH67,$AJ67,""))</f>
        <v/>
      </c>
      <c r="BC67" s="132" t="str">
        <f aca="false">IF($BD67&lt;&gt;Constants!$B$6,"",$AX67)</f>
        <v/>
      </c>
      <c r="BD67" s="127" t="str">
        <f aca="false">IF(ISBLANK($C67),"",IF($AL67,Constants!$B$9,IF(COUNTA($E67:$T67)=0,Constants!$B$8,IF(NOT($X67),Constants!$B$7,IF(OR($AM67,$AV67),Constants!$B$10,Constants!$B$6)))))</f>
        <v/>
      </c>
      <c r="BE67" s="127" t="str">
        <f aca="false">IF(ISBLANK($C67),"",IF($BD67&lt;&gt;Constants!$B$6,$BD67,Constants!$B$11))</f>
        <v/>
      </c>
      <c r="BF67" s="130" t="str">
        <f aca="false">IF($BD67&lt;&gt;Constants!$B$6,"",IF($AU67="-&gt;",$BA67,$AR67))</f>
        <v/>
      </c>
      <c r="BG67" s="130" t="str">
        <f aca="false">IF($BD67&lt;&gt;Constants!$B$6,"",IF($W67,0,Constants!$B$15))</f>
        <v/>
      </c>
      <c r="BH67" s="130" t="str">
        <f aca="false">IF(ISBLANK($C67),"",IF($BD67&lt;&gt;Constants!$B$6,$BD67,SUM($BF67:$BG67)))</f>
        <v/>
      </c>
      <c r="BI67" s="127" t="str">
        <f aca="false">IF(ISBLANK($C67),"",IF($BD67&lt;&gt;Constants!$B$6,$BD67,RANK($BH67,$BH$9:$BH$508,1)))</f>
        <v/>
      </c>
      <c r="BJ67" s="130" t="str">
        <f aca="false">IF($BD67&lt;&gt;Constants!$B$6,"",IF($AU67="-&gt;",$BB67,$AS67))</f>
        <v/>
      </c>
      <c r="BK67" s="127" t="str">
        <f aca="false">IF(ISBLANK($C67),"",IF($BD67&lt;&gt;Constants!$B$6,$BD67,IF(ISNUMBER($BJ67),RANK($BJ67,$BJ$9:$BJ$508,1),COUNT($BJ$9:$BJ$508)+1)))</f>
        <v/>
      </c>
      <c r="BL67" s="130" t="str">
        <f aca="false">IF($BD67&lt;&gt;Constants!$B$6,"",IF($AU67="-&gt;",$BC67,$AT67))</f>
        <v/>
      </c>
      <c r="BM67" s="127" t="str">
        <f aca="false">IF(ISBLANK($C67),"",IF($BD67&lt;&gt;Constants!$B$6,$BD67,IF(ISNUMBER($BL67),RANK($BL67,$BL$9:$BL$508,1),COUNT($BL$9:$BL$508)+1)))</f>
        <v/>
      </c>
      <c r="BN67" s="130" t="str">
        <f aca="false">IF($BD67&lt;&gt;Constants!$B$6,"",IF($AU67="-&gt;",$AS67,$BB67))</f>
        <v/>
      </c>
      <c r="BO67" s="127" t="str">
        <f aca="false">IF(ISBLANK($C67),"",IF($BD67&lt;&gt;Constants!$B$6,$BD67,IF(ISNUMBER($BN67),RANK($BN67,$BN$9:$BN$508,1),COUNT($BN$9:$BN$508)+1)))</f>
        <v/>
      </c>
      <c r="BP67" s="130" t="str">
        <f aca="false">IF($BD67&lt;&gt;Constants!$B$6,"",IF($AU67="-&gt;",$AT67,$BC67))</f>
        <v/>
      </c>
      <c r="BQ67" s="127" t="str">
        <f aca="false">IF(ISBLANK($C67),"",IF($BD67&lt;&gt;Constants!$B$6,$BD67,IF(ISNUMBER($BP67),RANK($BP67,$BP$9:$BP$508,1),COUNT($BP$9:$BP$508)+1)))</f>
        <v/>
      </c>
      <c r="BR67" s="127" t="str">
        <f aca="false">IF(ISBLANK($C67),"",IF($BD67&lt;&gt;Constants!$B$6,$BD67,COUNTIFS($BI$9:$BI$508,"&lt;"&amp;$BI67)+COUNTIFS($BI$9:$BI$508,$BI67,$BK$9:$BK$508,"&lt;"&amp;$BK67)+COUNTIFS($BI$9:$BI$508,$BI67,$BK$9:$BK$508,$BK67,$BM$9:$BM$508,"&lt;"&amp;$BM67)+COUNTIFS($BI$9:$BI$508,$BI67,$BK$9:$BK$508,$BK67,$BM$9:$BM$508,$BM67,$BO$9:$BO$508,"&lt;"&amp;$BO67)+COUNTIFS($BI$9:$BI$508,$BI67,$BK$9:$BK$508,$BK67,$BM$9:$BM$508,$BM67,$BO$9:$BO$508,$BO67,$BQ$9:$BQ$508,"&lt;"&amp;$BQ67)+1))</f>
        <v/>
      </c>
      <c r="BS67" s="127" t="str">
        <f aca="false">IF(ISBLANK($C67),"",IF($BD67&lt;&gt;Constants!$B$6,$BD67,$BI67-$BR67))</f>
        <v/>
      </c>
      <c r="BT67" s="133"/>
      <c r="BU67" s="134"/>
      <c r="BV67" s="134" t="str">
        <f aca="false">IF(ISBLANK($C67),"",IF($BD67&lt;&gt;Constants!$B$6,"",IF($AU67="-&gt;",2,1)))</f>
        <v/>
      </c>
      <c r="BW67" s="135" t="str">
        <f aca="false">IF(ISBLANK($C67),"",IF($BD67&lt;&gt;Constants!$B$6,"",IF($AU67="-&gt;",$AW67,$AN67)))</f>
        <v/>
      </c>
      <c r="BX67" s="135" t="str">
        <f aca="false">IF(ISBLANK($C67),"",IF($BD67&lt;&gt;Constants!$B$6,"",IF($AU67="-&gt;",$AX67,$AO67)))</f>
        <v/>
      </c>
      <c r="BY67" s="135" t="str">
        <f aca="false">IF(ISBLANK($C67),"",IF($BD67&lt;&gt;Constants!$B$6,"",IF($AU67="-&gt;",$AY67,$AP67)))</f>
        <v/>
      </c>
      <c r="BZ67" s="135" t="str">
        <f aca="false">IF(ISBLANK($C67),"",IF($BD67&lt;&gt;Constants!$B$6,"",IF($AU67="-&gt;",$AZ67,$AQ67)+$BG67))</f>
        <v/>
      </c>
      <c r="CA67" s="136" t="str">
        <f aca="false">IF(ISBLANK($C67),"",IF($BD67&lt;&gt;Constants!$B$6,$BD67,$BH67))</f>
        <v/>
      </c>
      <c r="CB67" s="137" t="str">
        <f aca="false">IF(ISBLANK($C67),"",$BE67)</f>
        <v/>
      </c>
      <c r="CC67" s="138" t="str">
        <f aca="false">IF(ISBLANK($C67),"",$BS67)</f>
        <v/>
      </c>
      <c r="CD67" s="138" t="str">
        <f aca="false">IF(ISBLANK($C67),"",$BR67)</f>
        <v/>
      </c>
      <c r="CE67" s="139" t="str">
        <f aca="false">IF(ISBLANK($C67),"",IF($CD67=Constants!$B$9,COUNTA($C$9:$C$508)+2,IF($CD67=Constants!$B$8,COUNTA($C$9:$C$508)+1,IF($CD67=Constants!$B$7,COUNTA($C$9:$C$508),$CD67))))</f>
        <v/>
      </c>
      <c r="CF67" s="9"/>
      <c r="CG67" s="140" t="n">
        <f aca="false">IF(OR(ISNUMBER($CD67),$CD67=Constants!$B$9,$CD67=Constants!$B$7,$CD67=Constants!$B$8),1,0)</f>
        <v>0</v>
      </c>
      <c r="CH67" s="140" t="n">
        <v>59</v>
      </c>
      <c r="CI67" s="140" t="str">
        <f aca="false">IF(ISBLANK($C67),"",IF(ISNUMBER($CE67),$CE67+ROW($B67)/1000,""))</f>
        <v/>
      </c>
      <c r="CJ67" s="140" t="str">
        <f aca="false">IF(ISNUMBER($CI67),RANK($CI67,$CI$9:$CI$508,1),"")</f>
        <v/>
      </c>
      <c r="CK67" s="140" t="str">
        <f aca="false">IF(ISBLANK($C67),"",$B67)</f>
        <v/>
      </c>
      <c r="CL67" s="140" t="str">
        <f aca="false">IF(ISBLANK($C67),"",$C67)</f>
        <v/>
      </c>
      <c r="CM67" s="140" t="str">
        <f aca="false">IF(ISBLANK($C67),"",$D67)</f>
        <v/>
      </c>
      <c r="CN67" s="141" t="str">
        <f aca="false">$CB67</f>
        <v/>
      </c>
      <c r="CO67" s="142" t="str">
        <f aca="false">$CA67</f>
        <v/>
      </c>
      <c r="CP67" s="140" t="str">
        <f aca="false">IF(ISBLANK($C67),"",$CD67)</f>
        <v/>
      </c>
      <c r="CQ67" s="143" t="str">
        <f aca="false">IF($CH67&gt;$CG$8,"",VLOOKUP($CH67,$CJ$9:$CP$508,7,FALSE()))</f>
        <v/>
      </c>
      <c r="CR67" s="144" t="str">
        <f aca="false">IF($CH67&gt;$CG$8,"",VLOOKUP($CH67,$CJ$9:$CP$508,2,FALSE()))</f>
        <v/>
      </c>
      <c r="CS67" s="144" t="str">
        <f aca="false">IF($CH67&gt;$CG$8,"",VLOOKUP($CH67,$CJ$9:$CP$508,3,FALSE()))</f>
        <v/>
      </c>
      <c r="CT67" s="144" t="str">
        <f aca="false">IF($CH67&gt;$CG$8,"",VLOOKUP($CH67,$CJ$9:$CP$508,4,FALSE()))</f>
        <v/>
      </c>
      <c r="CU67" s="144" t="str">
        <f aca="false">IF($CH67&gt;$CG$8,"",VLOOKUP($CH67,$CJ$9:$CP$508,5,FALSE()))</f>
        <v/>
      </c>
      <c r="CV67" s="145" t="str">
        <f aca="false">IF($CH67&gt;$CG$8,"",VLOOKUP($CH67,$CJ$9:$CP$508,6,FALSE()))</f>
        <v/>
      </c>
      <c r="CW67" s="71"/>
    </row>
    <row r="68" customFormat="false" ht="15.75" hidden="false" customHeight="false" outlineLevel="0" collapsed="false">
      <c r="A68" s="9"/>
      <c r="B68" s="150"/>
      <c r="C68" s="151"/>
      <c r="D68" s="152"/>
      <c r="E68" s="170"/>
      <c r="F68" s="154"/>
      <c r="G68" s="155"/>
      <c r="H68" s="171"/>
      <c r="I68" s="159"/>
      <c r="J68" s="120"/>
      <c r="K68" s="121"/>
      <c r="L68" s="122"/>
      <c r="M68" s="158"/>
      <c r="N68" s="159"/>
      <c r="O68" s="159"/>
      <c r="P68" s="120"/>
      <c r="Q68" s="122"/>
      <c r="R68" s="122"/>
      <c r="S68" s="158"/>
      <c r="T68" s="159"/>
      <c r="U68" s="126"/>
      <c r="V68" s="127"/>
      <c r="W68" s="127" t="str">
        <f aca="false">IF(ISBLANK($C68),"",IF(E68=Constants!$B$2,TRUE(),IF(E68=Constants!$B$3,FALSE(),TRUE())))</f>
        <v/>
      </c>
      <c r="X68" s="127" t="str">
        <f aca="false">IF(ISBLANK($C68),"",IF(F68=Constants!$B$2,TRUE(),IF(F68=Constants!$B$3,FALSE(),TRUE())))</f>
        <v/>
      </c>
      <c r="Y68" s="127" t="str">
        <f aca="false">IF(ISBLANK($C68),"",IF(G68=Constants!$B$2,TRUE(),IF(G68=Constants!$B$3,FALSE(),TRUE())))</f>
        <v/>
      </c>
      <c r="Z68" s="127" t="str">
        <f aca="false">IF(ISBLANK($C68),"",IF(H68=Constants!$B$2,TRUE(),IF(H68=Constants!$B$3,FALSE(),TRUE())))</f>
        <v/>
      </c>
      <c r="AA68" s="127" t="str">
        <f aca="false">IF(ISBLANK($C68),"",IF(I68=Constants!$B$2,TRUE(),IF(I68=Constants!$B$3,FALSE(),TRUE())))</f>
        <v/>
      </c>
      <c r="AB68" s="127" t="str">
        <f aca="false">IF(ISBLANK($C68),"",IF(J68=Constants!$B$4,TRUE(),IF(J68=Constants!$B$5,FALSE(),COUNTA(K68:M68)&gt;0)))</f>
        <v/>
      </c>
      <c r="AC68" s="128" t="str">
        <f aca="false">IF(ISBLANK($C68),"",IF(ISNUMBER(K68),IF(K68&gt;=0,K68,""),""))</f>
        <v/>
      </c>
      <c r="AD68" s="129" t="str">
        <f aca="false">IF(ISBLANK($C68),"",IF(ISNUMBER(L68),IF(L68&gt;=0,L68,""),""))</f>
        <v/>
      </c>
      <c r="AE68" s="127" t="str">
        <f aca="false">IF(ISBLANK($C68),"",IF(ISNUMBER(M68),IF(M68&gt;=0,MIN(M68,Constants!$B$22),""),""))</f>
        <v/>
      </c>
      <c r="AF68" s="127" t="str">
        <f aca="false">IF(ISBLANK($C68),"",IF(N68=Constants!$B$2,TRUE(),IF(N68=Constants!$B$3,FALSE(),TRUE())))</f>
        <v/>
      </c>
      <c r="AG68" s="127" t="str">
        <f aca="false">IF(ISBLANK($C68),"",IF(O68=Constants!$B$2,TRUE(),IF(O68=Constants!$B$3,FALSE(),TRUE())))</f>
        <v/>
      </c>
      <c r="AH68" s="127" t="str">
        <f aca="false">IF(ISBLANK($C68),"",IF(P68=Constants!$B$4,TRUE(),IF(P68=Constants!$B$5,FALSE(),COUNTA(Q68:S68)&gt;0)))</f>
        <v/>
      </c>
      <c r="AI68" s="128" t="str">
        <f aca="false">IF(ISBLANK($C68),"",IF(ISNUMBER(Q68),IF(Q68&gt;=0,Q68,""),""))</f>
        <v/>
      </c>
      <c r="AJ68" s="129" t="str">
        <f aca="false">IF(ISBLANK($C68),"",IF(ISNUMBER(R68),IF(R68&gt;=0,R68,""),""))</f>
        <v/>
      </c>
      <c r="AK68" s="127" t="str">
        <f aca="false">IF(ISBLANK($C68),"",IF(ISNUMBER(S68),IF(S68&gt;=0,MIN(S68,Constants!$B$22),""),""))</f>
        <v/>
      </c>
      <c r="AL68" s="127" t="str">
        <f aca="false">IF(ISBLANK($C68),"",IF(T68=Constants!$B$2,TRUE(),IF(T68=Constants!$B$3,FALSE(),FALSE())))</f>
        <v/>
      </c>
      <c r="AM68" s="126" t="str">
        <f aca="false">IF(ISBLANK($C68),"",AND($AB68,OR($AC68="",$AD68="",AND(NOT(ISBLANK($M68)),$AE68=""))))</f>
        <v/>
      </c>
      <c r="AN68" s="129" t="str">
        <f aca="false">IF($BD68&lt;&gt;Constants!$B$6,"",IF($AB68,Constants!$B$17*$AD68,Constants!$B$18))</f>
        <v/>
      </c>
      <c r="AO68" s="130" t="str">
        <f aca="false">IF($BD68&lt;&gt;Constants!$B$6,"",Constants!$B$19*IF($AB68,$AC68,0))</f>
        <v/>
      </c>
      <c r="AP68" s="130" t="str">
        <f aca="false">IF($BD68&lt;&gt;Constants!$B$6,"",IF(AND($AB68,ISNUMBER($AE68)),Constants!$B$20*(Constants!$B$21-$AE68),0))</f>
        <v/>
      </c>
      <c r="AQ68" s="130" t="str">
        <f aca="false">IF($BD68&lt;&gt;Constants!$B$6,"",IF($AA68,0,Constants!$B$12)+IF($Z68,0,Constants!$B$13)+IF($Y68,0,Constants!$B$14))</f>
        <v/>
      </c>
      <c r="AR68" s="131" t="str">
        <f aca="false">IF($BD68&lt;&gt;Constants!$B$6,"",Constants!$B$16+SUM($AN68:$AQ68))</f>
        <v/>
      </c>
      <c r="AS68" s="130" t="str">
        <f aca="false">IF($BD68&lt;&gt;Constants!$B$6,"",IF($AB68,$AD68,""))</f>
        <v/>
      </c>
      <c r="AT68" s="132" t="str">
        <f aca="false">IF($BD68&lt;&gt;Constants!$B$6,"",$AO68)</f>
        <v/>
      </c>
      <c r="AU68" s="127" t="str">
        <f aca="false">IF($BD68&lt;&gt;Constants!$B$6,"",IF(OR($BA68&lt;$AR68,AND($BA68=$AR68,OR(AND(ISNUMBER($BB68),OR(NOT(ISNUMBER($AS68)),$BB68&lt;$AS68)),AND(OR(AND($BB68="",$AS68=""),AND(ISNUMBER($BB68),ISNUMBER($AS68),$BB68=$AS68)),$BC68&lt;$AT68)))),"-&gt;","&lt;-"))</f>
        <v/>
      </c>
      <c r="AV68" s="126" t="str">
        <f aca="false">IF(ISBLANK($C68),"",AND($AH68,OR($AI68="",$AJ68="",AND(NOT(ISBLANK($S68)),$AK68=""))))</f>
        <v/>
      </c>
      <c r="AW68" s="129" t="str">
        <f aca="false">IF($BD68&lt;&gt;Constants!$B$6,"",IF($AH68,Constants!$B$17*$AJ68,Constants!$B$18))</f>
        <v/>
      </c>
      <c r="AX68" s="130" t="str">
        <f aca="false">IF($BD68&lt;&gt;Constants!$B$6,"",Constants!$B$19*IF($AH68,$AI68,0))</f>
        <v/>
      </c>
      <c r="AY68" s="130" t="str">
        <f aca="false">IF($BD68&lt;&gt;Constants!$B$6,"",IF(AND($AH68,ISNUMBER($AK68)),Constants!$B$20*(Constants!$B$21-$AK68),0))</f>
        <v/>
      </c>
      <c r="AZ68" s="130" t="str">
        <f aca="false">IF($BD68&lt;&gt;Constants!$B$6,"",IF($AG68,0,Constants!$B$12)+IF($AF68,0,Constants!$B$13)+IF($Y68,0,Constants!$B$14))</f>
        <v/>
      </c>
      <c r="BA68" s="131" t="str">
        <f aca="false">IF($BD68&lt;&gt;Constants!$B$6,"",Constants!$B$16+SUM($AW68:$AZ68))</f>
        <v/>
      </c>
      <c r="BB68" s="130" t="str">
        <f aca="false">IF($BD68&lt;&gt;Constants!$B$6,"",IF($AH68,$AJ68,""))</f>
        <v/>
      </c>
      <c r="BC68" s="132" t="str">
        <f aca="false">IF($BD68&lt;&gt;Constants!$B$6,"",$AX68)</f>
        <v/>
      </c>
      <c r="BD68" s="127" t="str">
        <f aca="false">IF(ISBLANK($C68),"",IF($AL68,Constants!$B$9,IF(COUNTA($E68:$T68)=0,Constants!$B$8,IF(NOT($X68),Constants!$B$7,IF(OR($AM68,$AV68),Constants!$B$10,Constants!$B$6)))))</f>
        <v/>
      </c>
      <c r="BE68" s="127" t="str">
        <f aca="false">IF(ISBLANK($C68),"",IF($BD68&lt;&gt;Constants!$B$6,$BD68,Constants!$B$11))</f>
        <v/>
      </c>
      <c r="BF68" s="130" t="str">
        <f aca="false">IF($BD68&lt;&gt;Constants!$B$6,"",IF($AU68="-&gt;",$BA68,$AR68))</f>
        <v/>
      </c>
      <c r="BG68" s="130" t="str">
        <f aca="false">IF($BD68&lt;&gt;Constants!$B$6,"",IF($W68,0,Constants!$B$15))</f>
        <v/>
      </c>
      <c r="BH68" s="130" t="str">
        <f aca="false">IF(ISBLANK($C68),"",IF($BD68&lt;&gt;Constants!$B$6,$BD68,SUM($BF68:$BG68)))</f>
        <v/>
      </c>
      <c r="BI68" s="127" t="str">
        <f aca="false">IF(ISBLANK($C68),"",IF($BD68&lt;&gt;Constants!$B$6,$BD68,RANK($BH68,$BH$9:$BH$508,1)))</f>
        <v/>
      </c>
      <c r="BJ68" s="130" t="str">
        <f aca="false">IF($BD68&lt;&gt;Constants!$B$6,"",IF($AU68="-&gt;",$BB68,$AS68))</f>
        <v/>
      </c>
      <c r="BK68" s="127" t="str">
        <f aca="false">IF(ISBLANK($C68),"",IF($BD68&lt;&gt;Constants!$B$6,$BD68,IF(ISNUMBER($BJ68),RANK($BJ68,$BJ$9:$BJ$508,1),COUNT($BJ$9:$BJ$508)+1)))</f>
        <v/>
      </c>
      <c r="BL68" s="130" t="str">
        <f aca="false">IF($BD68&lt;&gt;Constants!$B$6,"",IF($AU68="-&gt;",$BC68,$AT68))</f>
        <v/>
      </c>
      <c r="BM68" s="127" t="str">
        <f aca="false">IF(ISBLANK($C68),"",IF($BD68&lt;&gt;Constants!$B$6,$BD68,IF(ISNUMBER($BL68),RANK($BL68,$BL$9:$BL$508,1),COUNT($BL$9:$BL$508)+1)))</f>
        <v/>
      </c>
      <c r="BN68" s="130" t="str">
        <f aca="false">IF($BD68&lt;&gt;Constants!$B$6,"",IF($AU68="-&gt;",$AS68,$BB68))</f>
        <v/>
      </c>
      <c r="BO68" s="127" t="str">
        <f aca="false">IF(ISBLANK($C68),"",IF($BD68&lt;&gt;Constants!$B$6,$BD68,IF(ISNUMBER($BN68),RANK($BN68,$BN$9:$BN$508,1),COUNT($BN$9:$BN$508)+1)))</f>
        <v/>
      </c>
      <c r="BP68" s="130" t="str">
        <f aca="false">IF($BD68&lt;&gt;Constants!$B$6,"",IF($AU68="-&gt;",$AT68,$BC68))</f>
        <v/>
      </c>
      <c r="BQ68" s="127" t="str">
        <f aca="false">IF(ISBLANK($C68),"",IF($BD68&lt;&gt;Constants!$B$6,$BD68,IF(ISNUMBER($BP68),RANK($BP68,$BP$9:$BP$508,1),COUNT($BP$9:$BP$508)+1)))</f>
        <v/>
      </c>
      <c r="BR68" s="127" t="str">
        <f aca="false">IF(ISBLANK($C68),"",IF($BD68&lt;&gt;Constants!$B$6,$BD68,COUNTIFS($BI$9:$BI$508,"&lt;"&amp;$BI68)+COUNTIFS($BI$9:$BI$508,$BI68,$BK$9:$BK$508,"&lt;"&amp;$BK68)+COUNTIFS($BI$9:$BI$508,$BI68,$BK$9:$BK$508,$BK68,$BM$9:$BM$508,"&lt;"&amp;$BM68)+COUNTIFS($BI$9:$BI$508,$BI68,$BK$9:$BK$508,$BK68,$BM$9:$BM$508,$BM68,$BO$9:$BO$508,"&lt;"&amp;$BO68)+COUNTIFS($BI$9:$BI$508,$BI68,$BK$9:$BK$508,$BK68,$BM$9:$BM$508,$BM68,$BO$9:$BO$508,$BO68,$BQ$9:$BQ$508,"&lt;"&amp;$BQ68)+1))</f>
        <v/>
      </c>
      <c r="BS68" s="127" t="str">
        <f aca="false">IF(ISBLANK($C68),"",IF($BD68&lt;&gt;Constants!$B$6,$BD68,$BI68-$BR68))</f>
        <v/>
      </c>
      <c r="BT68" s="133"/>
      <c r="BU68" s="134"/>
      <c r="BV68" s="134" t="str">
        <f aca="false">IF(ISBLANK($C68),"",IF($BD68&lt;&gt;Constants!$B$6,"",IF($AU68="-&gt;",2,1)))</f>
        <v/>
      </c>
      <c r="BW68" s="135" t="str">
        <f aca="false">IF(ISBLANK($C68),"",IF($BD68&lt;&gt;Constants!$B$6,"",IF($AU68="-&gt;",$AW68,$AN68)))</f>
        <v/>
      </c>
      <c r="BX68" s="135" t="str">
        <f aca="false">IF(ISBLANK($C68),"",IF($BD68&lt;&gt;Constants!$B$6,"",IF($AU68="-&gt;",$AX68,$AO68)))</f>
        <v/>
      </c>
      <c r="BY68" s="135" t="str">
        <f aca="false">IF(ISBLANK($C68),"",IF($BD68&lt;&gt;Constants!$B$6,"",IF($AU68="-&gt;",$AY68,$AP68)))</f>
        <v/>
      </c>
      <c r="BZ68" s="135" t="str">
        <f aca="false">IF(ISBLANK($C68),"",IF($BD68&lt;&gt;Constants!$B$6,"",IF($AU68="-&gt;",$AZ68,$AQ68)+$BG68))</f>
        <v/>
      </c>
      <c r="CA68" s="136" t="str">
        <f aca="false">IF(ISBLANK($C68),"",IF($BD68&lt;&gt;Constants!$B$6,$BD68,$BH68))</f>
        <v/>
      </c>
      <c r="CB68" s="137" t="str">
        <f aca="false">IF(ISBLANK($C68),"",$BE68)</f>
        <v/>
      </c>
      <c r="CC68" s="138" t="str">
        <f aca="false">IF(ISBLANK($C68),"",$BS68)</f>
        <v/>
      </c>
      <c r="CD68" s="138" t="str">
        <f aca="false">IF(ISBLANK($C68),"",$BR68)</f>
        <v/>
      </c>
      <c r="CE68" s="139" t="str">
        <f aca="false">IF(ISBLANK($C68),"",IF($CD68=Constants!$B$9,COUNTA($C$9:$C$508)+2,IF($CD68=Constants!$B$8,COUNTA($C$9:$C$508)+1,IF($CD68=Constants!$B$7,COUNTA($C$9:$C$508),$CD68))))</f>
        <v/>
      </c>
      <c r="CF68" s="9"/>
      <c r="CG68" s="140" t="n">
        <f aca="false">IF(OR(ISNUMBER($CD68),$CD68=Constants!$B$9,$CD68=Constants!$B$7,$CD68=Constants!$B$8),1,0)</f>
        <v>0</v>
      </c>
      <c r="CH68" s="140" t="n">
        <v>60</v>
      </c>
      <c r="CI68" s="140" t="str">
        <f aca="false">IF(ISBLANK($C68),"",IF(ISNUMBER($CE68),$CE68+ROW($B68)/1000,""))</f>
        <v/>
      </c>
      <c r="CJ68" s="140" t="str">
        <f aca="false">IF(ISNUMBER($CI68),RANK($CI68,$CI$9:$CI$508,1),"")</f>
        <v/>
      </c>
      <c r="CK68" s="140" t="str">
        <f aca="false">IF(ISBLANK($C68),"",$B68)</f>
        <v/>
      </c>
      <c r="CL68" s="140" t="str">
        <f aca="false">IF(ISBLANK($C68),"",$C68)</f>
        <v/>
      </c>
      <c r="CM68" s="140" t="str">
        <f aca="false">IF(ISBLANK($C68),"",$D68)</f>
        <v/>
      </c>
      <c r="CN68" s="141" t="str">
        <f aca="false">$CB68</f>
        <v/>
      </c>
      <c r="CO68" s="142" t="str">
        <f aca="false">$CA68</f>
        <v/>
      </c>
      <c r="CP68" s="140" t="str">
        <f aca="false">IF(ISBLANK($C68),"",$CD68)</f>
        <v/>
      </c>
      <c r="CQ68" s="143" t="str">
        <f aca="false">IF($CH68&gt;$CG$8,"",VLOOKUP($CH68,$CJ$9:$CP$508,7,FALSE()))</f>
        <v/>
      </c>
      <c r="CR68" s="144" t="str">
        <f aca="false">IF($CH68&gt;$CG$8,"",VLOOKUP($CH68,$CJ$9:$CP$508,2,FALSE()))</f>
        <v/>
      </c>
      <c r="CS68" s="144" t="str">
        <f aca="false">IF($CH68&gt;$CG$8,"",VLOOKUP($CH68,$CJ$9:$CP$508,3,FALSE()))</f>
        <v/>
      </c>
      <c r="CT68" s="144" t="str">
        <f aca="false">IF($CH68&gt;$CG$8,"",VLOOKUP($CH68,$CJ$9:$CP$508,4,FALSE()))</f>
        <v/>
      </c>
      <c r="CU68" s="144" t="str">
        <f aca="false">IF($CH68&gt;$CG$8,"",VLOOKUP($CH68,$CJ$9:$CP$508,5,FALSE()))</f>
        <v/>
      </c>
      <c r="CV68" s="145" t="str">
        <f aca="false">IF($CH68&gt;$CG$8,"",VLOOKUP($CH68,$CJ$9:$CP$508,6,FALSE()))</f>
        <v/>
      </c>
      <c r="CW68" s="71"/>
    </row>
    <row r="69" customFormat="false" ht="15.75" hidden="false" customHeight="false" outlineLevel="0" collapsed="false">
      <c r="A69" s="9"/>
      <c r="B69" s="72"/>
      <c r="C69" s="73"/>
      <c r="D69" s="160"/>
      <c r="E69" s="168"/>
      <c r="F69" s="162"/>
      <c r="G69" s="163"/>
      <c r="H69" s="169"/>
      <c r="I69" s="167"/>
      <c r="J69" s="80"/>
      <c r="K69" s="81"/>
      <c r="L69" s="82"/>
      <c r="M69" s="166"/>
      <c r="N69" s="167"/>
      <c r="O69" s="167"/>
      <c r="P69" s="80"/>
      <c r="Q69" s="82"/>
      <c r="R69" s="82"/>
      <c r="S69" s="166"/>
      <c r="T69" s="167"/>
      <c r="U69" s="86"/>
      <c r="V69" s="87"/>
      <c r="W69" s="87" t="str">
        <f aca="false">IF(ISBLANK($C69),"",IF(E69=Constants!$B$2,TRUE(),IF(E69=Constants!$B$3,FALSE(),TRUE())))</f>
        <v/>
      </c>
      <c r="X69" s="87" t="str">
        <f aca="false">IF(ISBLANK($C69),"",IF(F69=Constants!$B$2,TRUE(),IF(F69=Constants!$B$3,FALSE(),TRUE())))</f>
        <v/>
      </c>
      <c r="Y69" s="87" t="str">
        <f aca="false">IF(ISBLANK($C69),"",IF(G69=Constants!$B$2,TRUE(),IF(G69=Constants!$B$3,FALSE(),TRUE())))</f>
        <v/>
      </c>
      <c r="Z69" s="87" t="str">
        <f aca="false">IF(ISBLANK($C69),"",IF(H69=Constants!$B$2,TRUE(),IF(H69=Constants!$B$3,FALSE(),TRUE())))</f>
        <v/>
      </c>
      <c r="AA69" s="87" t="str">
        <f aca="false">IF(ISBLANK($C69),"",IF(I69=Constants!$B$2,TRUE(),IF(I69=Constants!$B$3,FALSE(),TRUE())))</f>
        <v/>
      </c>
      <c r="AB69" s="87" t="str">
        <f aca="false">IF(ISBLANK($C69),"",IF(J69=Constants!$B$4,TRUE(),IF(J69=Constants!$B$5,FALSE(),COUNTA(K69:M69)&gt;0)))</f>
        <v/>
      </c>
      <c r="AC69" s="88" t="str">
        <f aca="false">IF(ISBLANK($C69),"",IF(ISNUMBER(K69),IF(K69&gt;=0,K69,""),""))</f>
        <v/>
      </c>
      <c r="AD69" s="89" t="str">
        <f aca="false">IF(ISBLANK($C69),"",IF(ISNUMBER(L69),IF(L69&gt;=0,L69,""),""))</f>
        <v/>
      </c>
      <c r="AE69" s="87" t="str">
        <f aca="false">IF(ISBLANK($C69),"",IF(ISNUMBER(M69),IF(M69&gt;=0,MIN(M69,Constants!$B$22),""),""))</f>
        <v/>
      </c>
      <c r="AF69" s="87" t="str">
        <f aca="false">IF(ISBLANK($C69),"",IF(N69=Constants!$B$2,TRUE(),IF(N69=Constants!$B$3,FALSE(),TRUE())))</f>
        <v/>
      </c>
      <c r="AG69" s="87" t="str">
        <f aca="false">IF(ISBLANK($C69),"",IF(O69=Constants!$B$2,TRUE(),IF(O69=Constants!$B$3,FALSE(),TRUE())))</f>
        <v/>
      </c>
      <c r="AH69" s="87" t="str">
        <f aca="false">IF(ISBLANK($C69),"",IF(P69=Constants!$B$4,TRUE(),IF(P69=Constants!$B$5,FALSE(),COUNTA(Q69:S69)&gt;0)))</f>
        <v/>
      </c>
      <c r="AI69" s="88" t="str">
        <f aca="false">IF(ISBLANK($C69),"",IF(ISNUMBER(Q69),IF(Q69&gt;=0,Q69,""),""))</f>
        <v/>
      </c>
      <c r="AJ69" s="89" t="str">
        <f aca="false">IF(ISBLANK($C69),"",IF(ISNUMBER(R69),IF(R69&gt;=0,R69,""),""))</f>
        <v/>
      </c>
      <c r="AK69" s="87" t="str">
        <f aca="false">IF(ISBLANK($C69),"",IF(ISNUMBER(S69),IF(S69&gt;=0,MIN(S69,Constants!$B$22),""),""))</f>
        <v/>
      </c>
      <c r="AL69" s="87" t="str">
        <f aca="false">IF(ISBLANK($C69),"",IF(T69=Constants!$B$2,TRUE(),IF(T69=Constants!$B$3,FALSE(),FALSE())))</f>
        <v/>
      </c>
      <c r="AM69" s="86" t="str">
        <f aca="false">IF(ISBLANK($C69),"",AND($AB69,OR($AC69="",$AD69="",AND(NOT(ISBLANK($M69)),$AE69=""))))</f>
        <v/>
      </c>
      <c r="AN69" s="89" t="str">
        <f aca="false">IF($BD69&lt;&gt;Constants!$B$6,"",IF($AB69,Constants!$B$17*$AD69,Constants!$B$18))</f>
        <v/>
      </c>
      <c r="AO69" s="91" t="str">
        <f aca="false">IF($BD69&lt;&gt;Constants!$B$6,"",Constants!$B$19*IF($AB69,$AC69,0))</f>
        <v/>
      </c>
      <c r="AP69" s="91" t="str">
        <f aca="false">IF($BD69&lt;&gt;Constants!$B$6,"",IF(AND($AB69,ISNUMBER($AE69)),Constants!$B$20*(Constants!$B$21-$AE69),0))</f>
        <v/>
      </c>
      <c r="AQ69" s="91" t="str">
        <f aca="false">IF($BD69&lt;&gt;Constants!$B$6,"",IF($AA69,0,Constants!$B$12)+IF($Z69,0,Constants!$B$13)+IF($Y69,0,Constants!$B$14))</f>
        <v/>
      </c>
      <c r="AR69" s="92" t="str">
        <f aca="false">IF($BD69&lt;&gt;Constants!$B$6,"",Constants!$B$16+SUM($AN69:$AQ69))</f>
        <v/>
      </c>
      <c r="AS69" s="91" t="str">
        <f aca="false">IF($BD69&lt;&gt;Constants!$B$6,"",IF($AB69,$AD69,""))</f>
        <v/>
      </c>
      <c r="AT69" s="93" t="str">
        <f aca="false">IF($BD69&lt;&gt;Constants!$B$6,"",$AO69)</f>
        <v/>
      </c>
      <c r="AU69" s="87" t="str">
        <f aca="false">IF($BD69&lt;&gt;Constants!$B$6,"",IF(OR($BA69&lt;$AR69,AND($BA69=$AR69,OR(AND(ISNUMBER($BB69),OR(NOT(ISNUMBER($AS69)),$BB69&lt;$AS69)),AND(OR(AND($BB69="",$AS69=""),AND(ISNUMBER($BB69),ISNUMBER($AS69),$BB69=$AS69)),$BC69&lt;$AT69)))),"-&gt;","&lt;-"))</f>
        <v/>
      </c>
      <c r="AV69" s="86" t="str">
        <f aca="false">IF(ISBLANK($C69),"",AND($AH69,OR($AI69="",$AJ69="",AND(NOT(ISBLANK($S69)),$AK69=""))))</f>
        <v/>
      </c>
      <c r="AW69" s="89" t="str">
        <f aca="false">IF($BD69&lt;&gt;Constants!$B$6,"",IF($AH69,Constants!$B$17*$AJ69,Constants!$B$18))</f>
        <v/>
      </c>
      <c r="AX69" s="91" t="str">
        <f aca="false">IF($BD69&lt;&gt;Constants!$B$6,"",Constants!$B$19*IF($AH69,$AI69,0))</f>
        <v/>
      </c>
      <c r="AY69" s="91" t="str">
        <f aca="false">IF($BD69&lt;&gt;Constants!$B$6,"",IF(AND($AH69,ISNUMBER($AK69)),Constants!$B$20*(Constants!$B$21-$AK69),0))</f>
        <v/>
      </c>
      <c r="AZ69" s="91" t="str">
        <f aca="false">IF($BD69&lt;&gt;Constants!$B$6,"",IF($AG69,0,Constants!$B$12)+IF($AF69,0,Constants!$B$13)+IF($Y69,0,Constants!$B$14))</f>
        <v/>
      </c>
      <c r="BA69" s="92" t="str">
        <f aca="false">IF($BD69&lt;&gt;Constants!$B$6,"",Constants!$B$16+SUM($AW69:$AZ69))</f>
        <v/>
      </c>
      <c r="BB69" s="91" t="str">
        <f aca="false">IF($BD69&lt;&gt;Constants!$B$6,"",IF($AH69,$AJ69,""))</f>
        <v/>
      </c>
      <c r="BC69" s="93" t="str">
        <f aca="false">IF($BD69&lt;&gt;Constants!$B$6,"",$AX69)</f>
        <v/>
      </c>
      <c r="BD69" s="87" t="str">
        <f aca="false">IF(ISBLANK($C69),"",IF($AL69,Constants!$B$9,IF(COUNTA($E69:$T69)=0,Constants!$B$8,IF(NOT($X69),Constants!$B$7,IF(OR($AM69,$AV69),Constants!$B$10,Constants!$B$6)))))</f>
        <v/>
      </c>
      <c r="BE69" s="87" t="str">
        <f aca="false">IF(ISBLANK($C69),"",IF($BD69&lt;&gt;Constants!$B$6,$BD69,Constants!$B$11))</f>
        <v/>
      </c>
      <c r="BF69" s="91" t="str">
        <f aca="false">IF($BD69&lt;&gt;Constants!$B$6,"",IF($AU69="-&gt;",$BA69,$AR69))</f>
        <v/>
      </c>
      <c r="BG69" s="91" t="str">
        <f aca="false">IF($BD69&lt;&gt;Constants!$B$6,"",IF($W69,0,Constants!$B$15))</f>
        <v/>
      </c>
      <c r="BH69" s="91" t="str">
        <f aca="false">IF(ISBLANK($C69),"",IF($BD69&lt;&gt;Constants!$B$6,$BD69,SUM($BF69:$BG69)))</f>
        <v/>
      </c>
      <c r="BI69" s="87" t="str">
        <f aca="false">IF(ISBLANK($C69),"",IF($BD69&lt;&gt;Constants!$B$6,$BD69,RANK($BH69,$BH$9:$BH$508,1)))</f>
        <v/>
      </c>
      <c r="BJ69" s="91" t="str">
        <f aca="false">IF($BD69&lt;&gt;Constants!$B$6,"",IF($AU69="-&gt;",$BB69,$AS69))</f>
        <v/>
      </c>
      <c r="BK69" s="87" t="str">
        <f aca="false">IF(ISBLANK($C69),"",IF($BD69&lt;&gt;Constants!$B$6,$BD69,IF(ISNUMBER($BJ69),RANK($BJ69,$BJ$9:$BJ$508,1),COUNT($BJ$9:$BJ$508)+1)))</f>
        <v/>
      </c>
      <c r="BL69" s="91" t="str">
        <f aca="false">IF($BD69&lt;&gt;Constants!$B$6,"",IF($AU69="-&gt;",$BC69,$AT69))</f>
        <v/>
      </c>
      <c r="BM69" s="87" t="str">
        <f aca="false">IF(ISBLANK($C69),"",IF($BD69&lt;&gt;Constants!$B$6,$BD69,IF(ISNUMBER($BL69),RANK($BL69,$BL$9:$BL$508,1),COUNT($BL$9:$BL$508)+1)))</f>
        <v/>
      </c>
      <c r="BN69" s="91" t="str">
        <f aca="false">IF($BD69&lt;&gt;Constants!$B$6,"",IF($AU69="-&gt;",$AS69,$BB69))</f>
        <v/>
      </c>
      <c r="BO69" s="87" t="str">
        <f aca="false">IF(ISBLANK($C69),"",IF($BD69&lt;&gt;Constants!$B$6,$BD69,IF(ISNUMBER($BN69),RANK($BN69,$BN$9:$BN$508,1),COUNT($BN$9:$BN$508)+1)))</f>
        <v/>
      </c>
      <c r="BP69" s="91" t="str">
        <f aca="false">IF($BD69&lt;&gt;Constants!$B$6,"",IF($AU69="-&gt;",$AT69,$BC69))</f>
        <v/>
      </c>
      <c r="BQ69" s="87" t="str">
        <f aca="false">IF(ISBLANK($C69),"",IF($BD69&lt;&gt;Constants!$B$6,$BD69,IF(ISNUMBER($BP69),RANK($BP69,$BP$9:$BP$508,1),COUNT($BP$9:$BP$508)+1)))</f>
        <v/>
      </c>
      <c r="BR69" s="87" t="str">
        <f aca="false">IF(ISBLANK($C69),"",IF($BD69&lt;&gt;Constants!$B$6,$BD69,COUNTIFS($BI$9:$BI$508,"&lt;"&amp;$BI69)+COUNTIFS($BI$9:$BI$508,$BI69,$BK$9:$BK$508,"&lt;"&amp;$BK69)+COUNTIFS($BI$9:$BI$508,$BI69,$BK$9:$BK$508,$BK69,$BM$9:$BM$508,"&lt;"&amp;$BM69)+COUNTIFS($BI$9:$BI$508,$BI69,$BK$9:$BK$508,$BK69,$BM$9:$BM$508,$BM69,$BO$9:$BO$508,"&lt;"&amp;$BO69)+COUNTIFS($BI$9:$BI$508,$BI69,$BK$9:$BK$508,$BK69,$BM$9:$BM$508,$BM69,$BO$9:$BO$508,$BO69,$BQ$9:$BQ$508,"&lt;"&amp;$BQ69)+1))</f>
        <v/>
      </c>
      <c r="BS69" s="87" t="str">
        <f aca="false">IF(ISBLANK($C69),"",IF($BD69&lt;&gt;Constants!$B$6,$BD69,$BI69-$BR69))</f>
        <v/>
      </c>
      <c r="BT69" s="94"/>
      <c r="BU69" s="95"/>
      <c r="BV69" s="95" t="str">
        <f aca="false">IF(ISBLANK($C69),"",IF($BD69&lt;&gt;Constants!$B$6,"",IF($AU69="-&gt;",2,1)))</f>
        <v/>
      </c>
      <c r="BW69" s="96" t="str">
        <f aca="false">IF(ISBLANK($C69),"",IF($BD69&lt;&gt;Constants!$B$6,"",IF($AU69="-&gt;",$AW69,$AN69)))</f>
        <v/>
      </c>
      <c r="BX69" s="96" t="str">
        <f aca="false">IF(ISBLANK($C69),"",IF($BD69&lt;&gt;Constants!$B$6,"",IF($AU69="-&gt;",$AX69,$AO69)))</f>
        <v/>
      </c>
      <c r="BY69" s="96" t="str">
        <f aca="false">IF(ISBLANK($C69),"",IF($BD69&lt;&gt;Constants!$B$6,"",IF($AU69="-&gt;",$AY69,$AP69)))</f>
        <v/>
      </c>
      <c r="BZ69" s="96" t="str">
        <f aca="false">IF(ISBLANK($C69),"",IF($BD69&lt;&gt;Constants!$B$6,"",IF($AU69="-&gt;",$AZ69,$AQ69)+$BG69))</f>
        <v/>
      </c>
      <c r="CA69" s="97" t="str">
        <f aca="false">IF(ISBLANK($C69),"",IF($BD69&lt;&gt;Constants!$B$6,$BD69,$BH69))</f>
        <v/>
      </c>
      <c r="CB69" s="98" t="str">
        <f aca="false">IF(ISBLANK($C69),"",$BE69)</f>
        <v/>
      </c>
      <c r="CC69" s="99" t="str">
        <f aca="false">IF(ISBLANK($C69),"",$BS69)</f>
        <v/>
      </c>
      <c r="CD69" s="99" t="str">
        <f aca="false">IF(ISBLANK($C69),"",$BR69)</f>
        <v/>
      </c>
      <c r="CE69" s="100" t="str">
        <f aca="false">IF(ISBLANK($C69),"",IF($CD69=Constants!$B$9,COUNTA($C$9:$C$508)+2,IF($CD69=Constants!$B$8,COUNTA($C$9:$C$508)+1,IF($CD69=Constants!$B$7,COUNTA($C$9:$C$508),$CD69))))</f>
        <v/>
      </c>
      <c r="CF69" s="9"/>
      <c r="CG69" s="101" t="n">
        <f aca="false">IF(OR(ISNUMBER($CD69),$CD69=Constants!$B$9,$CD69=Constants!$B$7,$CD69=Constants!$B$8),1,0)</f>
        <v>0</v>
      </c>
      <c r="CH69" s="101" t="n">
        <v>61</v>
      </c>
      <c r="CI69" s="101" t="str">
        <f aca="false">IF(ISBLANK($C69),"",IF(ISNUMBER($CE69),$CE69+ROW($B69)/1000,""))</f>
        <v/>
      </c>
      <c r="CJ69" s="101" t="str">
        <f aca="false">IF(ISNUMBER($CI69),RANK($CI69,$CI$9:$CI$508,1),"")</f>
        <v/>
      </c>
      <c r="CK69" s="101" t="str">
        <f aca="false">IF(ISBLANK($C69),"",$B69)</f>
        <v/>
      </c>
      <c r="CL69" s="101" t="str">
        <f aca="false">IF(ISBLANK($C69),"",$C69)</f>
        <v/>
      </c>
      <c r="CM69" s="101" t="str">
        <f aca="false">IF(ISBLANK($C69),"",$D69)</f>
        <v/>
      </c>
      <c r="CN69" s="102" t="str">
        <f aca="false">$CB69</f>
        <v/>
      </c>
      <c r="CO69" s="103" t="str">
        <f aca="false">$CA69</f>
        <v/>
      </c>
      <c r="CP69" s="101" t="str">
        <f aca="false">IF(ISBLANK($C69),"",$CD69)</f>
        <v/>
      </c>
      <c r="CQ69" s="104" t="str">
        <f aca="false">IF($CH69&gt;$CG$8,"",VLOOKUP($CH69,$CJ$9:$CP$508,7,FALSE()))</f>
        <v/>
      </c>
      <c r="CR69" s="105" t="str">
        <f aca="false">IF($CH69&gt;$CG$8,"",VLOOKUP($CH69,$CJ$9:$CP$508,2,FALSE()))</f>
        <v/>
      </c>
      <c r="CS69" s="105" t="str">
        <f aca="false">IF($CH69&gt;$CG$8,"",VLOOKUP($CH69,$CJ$9:$CP$508,3,FALSE()))</f>
        <v/>
      </c>
      <c r="CT69" s="105" t="str">
        <f aca="false">IF($CH69&gt;$CG$8,"",VLOOKUP($CH69,$CJ$9:$CP$508,4,FALSE()))</f>
        <v/>
      </c>
      <c r="CU69" s="105" t="str">
        <f aca="false">IF($CH69&gt;$CG$8,"",VLOOKUP($CH69,$CJ$9:$CP$508,5,FALSE()))</f>
        <v/>
      </c>
      <c r="CV69" s="106" t="str">
        <f aca="false">IF($CH69&gt;$CG$8,"",VLOOKUP($CH69,$CJ$9:$CP$508,6,FALSE()))</f>
        <v/>
      </c>
      <c r="CW69" s="71"/>
    </row>
    <row r="70" customFormat="false" ht="15.75" hidden="false" customHeight="false" outlineLevel="0" collapsed="false">
      <c r="A70" s="9"/>
      <c r="B70" s="72"/>
      <c r="C70" s="73"/>
      <c r="D70" s="160"/>
      <c r="E70" s="168"/>
      <c r="F70" s="162"/>
      <c r="G70" s="163"/>
      <c r="H70" s="169"/>
      <c r="I70" s="167"/>
      <c r="J70" s="80"/>
      <c r="K70" s="81"/>
      <c r="L70" s="82"/>
      <c r="M70" s="166"/>
      <c r="N70" s="167"/>
      <c r="O70" s="167"/>
      <c r="P70" s="80"/>
      <c r="Q70" s="82"/>
      <c r="R70" s="82"/>
      <c r="S70" s="166"/>
      <c r="T70" s="167"/>
      <c r="U70" s="86"/>
      <c r="V70" s="87"/>
      <c r="W70" s="87" t="str">
        <f aca="false">IF(ISBLANK($C70),"",IF(E70=Constants!$B$2,TRUE(),IF(E70=Constants!$B$3,FALSE(),TRUE())))</f>
        <v/>
      </c>
      <c r="X70" s="87" t="str">
        <f aca="false">IF(ISBLANK($C70),"",IF(F70=Constants!$B$2,TRUE(),IF(F70=Constants!$B$3,FALSE(),TRUE())))</f>
        <v/>
      </c>
      <c r="Y70" s="87" t="str">
        <f aca="false">IF(ISBLANK($C70),"",IF(G70=Constants!$B$2,TRUE(),IF(G70=Constants!$B$3,FALSE(),TRUE())))</f>
        <v/>
      </c>
      <c r="Z70" s="87" t="str">
        <f aca="false">IF(ISBLANK($C70),"",IF(H70=Constants!$B$2,TRUE(),IF(H70=Constants!$B$3,FALSE(),TRUE())))</f>
        <v/>
      </c>
      <c r="AA70" s="87" t="str">
        <f aca="false">IF(ISBLANK($C70),"",IF(I70=Constants!$B$2,TRUE(),IF(I70=Constants!$B$3,FALSE(),TRUE())))</f>
        <v/>
      </c>
      <c r="AB70" s="87" t="str">
        <f aca="false">IF(ISBLANK($C70),"",IF(J70=Constants!$B$4,TRUE(),IF(J70=Constants!$B$5,FALSE(),COUNTA(K70:M70)&gt;0)))</f>
        <v/>
      </c>
      <c r="AC70" s="88" t="str">
        <f aca="false">IF(ISBLANK($C70),"",IF(ISNUMBER(K70),IF(K70&gt;=0,K70,""),""))</f>
        <v/>
      </c>
      <c r="AD70" s="89" t="str">
        <f aca="false">IF(ISBLANK($C70),"",IF(ISNUMBER(L70),IF(L70&gt;=0,L70,""),""))</f>
        <v/>
      </c>
      <c r="AE70" s="87" t="str">
        <f aca="false">IF(ISBLANK($C70),"",IF(ISNUMBER(M70),IF(M70&gt;=0,MIN(M70,Constants!$B$22),""),""))</f>
        <v/>
      </c>
      <c r="AF70" s="87" t="str">
        <f aca="false">IF(ISBLANK($C70),"",IF(N70=Constants!$B$2,TRUE(),IF(N70=Constants!$B$3,FALSE(),TRUE())))</f>
        <v/>
      </c>
      <c r="AG70" s="87" t="str">
        <f aca="false">IF(ISBLANK($C70),"",IF(O70=Constants!$B$2,TRUE(),IF(O70=Constants!$B$3,FALSE(),TRUE())))</f>
        <v/>
      </c>
      <c r="AH70" s="87" t="str">
        <f aca="false">IF(ISBLANK($C70),"",IF(P70=Constants!$B$4,TRUE(),IF(P70=Constants!$B$5,FALSE(),COUNTA(Q70:S70)&gt;0)))</f>
        <v/>
      </c>
      <c r="AI70" s="88" t="str">
        <f aca="false">IF(ISBLANK($C70),"",IF(ISNUMBER(Q70),IF(Q70&gt;=0,Q70,""),""))</f>
        <v/>
      </c>
      <c r="AJ70" s="89" t="str">
        <f aca="false">IF(ISBLANK($C70),"",IF(ISNUMBER(R70),IF(R70&gt;=0,R70,""),""))</f>
        <v/>
      </c>
      <c r="AK70" s="87" t="str">
        <f aca="false">IF(ISBLANK($C70),"",IF(ISNUMBER(S70),IF(S70&gt;=0,MIN(S70,Constants!$B$22),""),""))</f>
        <v/>
      </c>
      <c r="AL70" s="87" t="str">
        <f aca="false">IF(ISBLANK($C70),"",IF(T70=Constants!$B$2,TRUE(),IF(T70=Constants!$B$3,FALSE(),FALSE())))</f>
        <v/>
      </c>
      <c r="AM70" s="86" t="str">
        <f aca="false">IF(ISBLANK($C70),"",AND($AB70,OR($AC70="",$AD70="",AND(NOT(ISBLANK($M70)),$AE70=""))))</f>
        <v/>
      </c>
      <c r="AN70" s="89" t="str">
        <f aca="false">IF($BD70&lt;&gt;Constants!$B$6,"",IF($AB70,Constants!$B$17*$AD70,Constants!$B$18))</f>
        <v/>
      </c>
      <c r="AO70" s="91" t="str">
        <f aca="false">IF($BD70&lt;&gt;Constants!$B$6,"",Constants!$B$19*IF($AB70,$AC70,0))</f>
        <v/>
      </c>
      <c r="AP70" s="91" t="str">
        <f aca="false">IF($BD70&lt;&gt;Constants!$B$6,"",IF(AND($AB70,ISNUMBER($AE70)),Constants!$B$20*(Constants!$B$21-$AE70),0))</f>
        <v/>
      </c>
      <c r="AQ70" s="91" t="str">
        <f aca="false">IF($BD70&lt;&gt;Constants!$B$6,"",IF($AA70,0,Constants!$B$12)+IF($Z70,0,Constants!$B$13)+IF($Y70,0,Constants!$B$14))</f>
        <v/>
      </c>
      <c r="AR70" s="92" t="str">
        <f aca="false">IF($BD70&lt;&gt;Constants!$B$6,"",Constants!$B$16+SUM($AN70:$AQ70))</f>
        <v/>
      </c>
      <c r="AS70" s="91" t="str">
        <f aca="false">IF($BD70&lt;&gt;Constants!$B$6,"",IF($AB70,$AD70,""))</f>
        <v/>
      </c>
      <c r="AT70" s="93" t="str">
        <f aca="false">IF($BD70&lt;&gt;Constants!$B$6,"",$AO70)</f>
        <v/>
      </c>
      <c r="AU70" s="87" t="str">
        <f aca="false">IF($BD70&lt;&gt;Constants!$B$6,"",IF(OR($BA70&lt;$AR70,AND($BA70=$AR70,OR(AND(ISNUMBER($BB70),OR(NOT(ISNUMBER($AS70)),$BB70&lt;$AS70)),AND(OR(AND($BB70="",$AS70=""),AND(ISNUMBER($BB70),ISNUMBER($AS70),$BB70=$AS70)),$BC70&lt;$AT70)))),"-&gt;","&lt;-"))</f>
        <v/>
      </c>
      <c r="AV70" s="86" t="str">
        <f aca="false">IF(ISBLANK($C70),"",AND($AH70,OR($AI70="",$AJ70="",AND(NOT(ISBLANK($S70)),$AK70=""))))</f>
        <v/>
      </c>
      <c r="AW70" s="89" t="str">
        <f aca="false">IF($BD70&lt;&gt;Constants!$B$6,"",IF($AH70,Constants!$B$17*$AJ70,Constants!$B$18))</f>
        <v/>
      </c>
      <c r="AX70" s="91" t="str">
        <f aca="false">IF($BD70&lt;&gt;Constants!$B$6,"",Constants!$B$19*IF($AH70,$AI70,0))</f>
        <v/>
      </c>
      <c r="AY70" s="91" t="str">
        <f aca="false">IF($BD70&lt;&gt;Constants!$B$6,"",IF(AND($AH70,ISNUMBER($AK70)),Constants!$B$20*(Constants!$B$21-$AK70),0))</f>
        <v/>
      </c>
      <c r="AZ70" s="91" t="str">
        <f aca="false">IF($BD70&lt;&gt;Constants!$B$6,"",IF($AG70,0,Constants!$B$12)+IF($AF70,0,Constants!$B$13)+IF($Y70,0,Constants!$B$14))</f>
        <v/>
      </c>
      <c r="BA70" s="92" t="str">
        <f aca="false">IF($BD70&lt;&gt;Constants!$B$6,"",Constants!$B$16+SUM($AW70:$AZ70))</f>
        <v/>
      </c>
      <c r="BB70" s="91" t="str">
        <f aca="false">IF($BD70&lt;&gt;Constants!$B$6,"",IF($AH70,$AJ70,""))</f>
        <v/>
      </c>
      <c r="BC70" s="93" t="str">
        <f aca="false">IF($BD70&lt;&gt;Constants!$B$6,"",$AX70)</f>
        <v/>
      </c>
      <c r="BD70" s="87" t="str">
        <f aca="false">IF(ISBLANK($C70),"",IF($AL70,Constants!$B$9,IF(COUNTA($E70:$T70)=0,Constants!$B$8,IF(NOT($X70),Constants!$B$7,IF(OR($AM70,$AV70),Constants!$B$10,Constants!$B$6)))))</f>
        <v/>
      </c>
      <c r="BE70" s="87" t="str">
        <f aca="false">IF(ISBLANK($C70),"",IF($BD70&lt;&gt;Constants!$B$6,$BD70,Constants!$B$11))</f>
        <v/>
      </c>
      <c r="BF70" s="91" t="str">
        <f aca="false">IF($BD70&lt;&gt;Constants!$B$6,"",IF($AU70="-&gt;",$BA70,$AR70))</f>
        <v/>
      </c>
      <c r="BG70" s="91" t="str">
        <f aca="false">IF($BD70&lt;&gt;Constants!$B$6,"",IF($W70,0,Constants!$B$15))</f>
        <v/>
      </c>
      <c r="BH70" s="91" t="str">
        <f aca="false">IF(ISBLANK($C70),"",IF($BD70&lt;&gt;Constants!$B$6,$BD70,SUM($BF70:$BG70)))</f>
        <v/>
      </c>
      <c r="BI70" s="87" t="str">
        <f aca="false">IF(ISBLANK($C70),"",IF($BD70&lt;&gt;Constants!$B$6,$BD70,RANK($BH70,$BH$9:$BH$508,1)))</f>
        <v/>
      </c>
      <c r="BJ70" s="91" t="str">
        <f aca="false">IF($BD70&lt;&gt;Constants!$B$6,"",IF($AU70="-&gt;",$BB70,$AS70))</f>
        <v/>
      </c>
      <c r="BK70" s="87" t="str">
        <f aca="false">IF(ISBLANK($C70),"",IF($BD70&lt;&gt;Constants!$B$6,$BD70,IF(ISNUMBER($BJ70),RANK($BJ70,$BJ$9:$BJ$508,1),COUNT($BJ$9:$BJ$508)+1)))</f>
        <v/>
      </c>
      <c r="BL70" s="91" t="str">
        <f aca="false">IF($BD70&lt;&gt;Constants!$B$6,"",IF($AU70="-&gt;",$BC70,$AT70))</f>
        <v/>
      </c>
      <c r="BM70" s="87" t="str">
        <f aca="false">IF(ISBLANK($C70),"",IF($BD70&lt;&gt;Constants!$B$6,$BD70,IF(ISNUMBER($BL70),RANK($BL70,$BL$9:$BL$508,1),COUNT($BL$9:$BL$508)+1)))</f>
        <v/>
      </c>
      <c r="BN70" s="91" t="str">
        <f aca="false">IF($BD70&lt;&gt;Constants!$B$6,"",IF($AU70="-&gt;",$AS70,$BB70))</f>
        <v/>
      </c>
      <c r="BO70" s="87" t="str">
        <f aca="false">IF(ISBLANK($C70),"",IF($BD70&lt;&gt;Constants!$B$6,$BD70,IF(ISNUMBER($BN70),RANK($BN70,$BN$9:$BN$508,1),COUNT($BN$9:$BN$508)+1)))</f>
        <v/>
      </c>
      <c r="BP70" s="91" t="str">
        <f aca="false">IF($BD70&lt;&gt;Constants!$B$6,"",IF($AU70="-&gt;",$AT70,$BC70))</f>
        <v/>
      </c>
      <c r="BQ70" s="87" t="str">
        <f aca="false">IF(ISBLANK($C70),"",IF($BD70&lt;&gt;Constants!$B$6,$BD70,IF(ISNUMBER($BP70),RANK($BP70,$BP$9:$BP$508,1),COUNT($BP$9:$BP$508)+1)))</f>
        <v/>
      </c>
      <c r="BR70" s="87" t="str">
        <f aca="false">IF(ISBLANK($C70),"",IF($BD70&lt;&gt;Constants!$B$6,$BD70,COUNTIFS($BI$9:$BI$508,"&lt;"&amp;$BI70)+COUNTIFS($BI$9:$BI$508,$BI70,$BK$9:$BK$508,"&lt;"&amp;$BK70)+COUNTIFS($BI$9:$BI$508,$BI70,$BK$9:$BK$508,$BK70,$BM$9:$BM$508,"&lt;"&amp;$BM70)+COUNTIFS($BI$9:$BI$508,$BI70,$BK$9:$BK$508,$BK70,$BM$9:$BM$508,$BM70,$BO$9:$BO$508,"&lt;"&amp;$BO70)+COUNTIFS($BI$9:$BI$508,$BI70,$BK$9:$BK$508,$BK70,$BM$9:$BM$508,$BM70,$BO$9:$BO$508,$BO70,$BQ$9:$BQ$508,"&lt;"&amp;$BQ70)+1))</f>
        <v/>
      </c>
      <c r="BS70" s="87" t="str">
        <f aca="false">IF(ISBLANK($C70),"",IF($BD70&lt;&gt;Constants!$B$6,$BD70,$BI70-$BR70))</f>
        <v/>
      </c>
      <c r="BT70" s="94"/>
      <c r="BU70" s="95"/>
      <c r="BV70" s="95" t="str">
        <f aca="false">IF(ISBLANK($C70),"",IF($BD70&lt;&gt;Constants!$B$6,"",IF($AU70="-&gt;",2,1)))</f>
        <v/>
      </c>
      <c r="BW70" s="96" t="str">
        <f aca="false">IF(ISBLANK($C70),"",IF($BD70&lt;&gt;Constants!$B$6,"",IF($AU70="-&gt;",$AW70,$AN70)))</f>
        <v/>
      </c>
      <c r="BX70" s="96" t="str">
        <f aca="false">IF(ISBLANK($C70),"",IF($BD70&lt;&gt;Constants!$B$6,"",IF($AU70="-&gt;",$AX70,$AO70)))</f>
        <v/>
      </c>
      <c r="BY70" s="96" t="str">
        <f aca="false">IF(ISBLANK($C70),"",IF($BD70&lt;&gt;Constants!$B$6,"",IF($AU70="-&gt;",$AY70,$AP70)))</f>
        <v/>
      </c>
      <c r="BZ70" s="96" t="str">
        <f aca="false">IF(ISBLANK($C70),"",IF($BD70&lt;&gt;Constants!$B$6,"",IF($AU70="-&gt;",$AZ70,$AQ70)+$BG70))</f>
        <v/>
      </c>
      <c r="CA70" s="97" t="str">
        <f aca="false">IF(ISBLANK($C70),"",IF($BD70&lt;&gt;Constants!$B$6,$BD70,$BH70))</f>
        <v/>
      </c>
      <c r="CB70" s="98" t="str">
        <f aca="false">IF(ISBLANK($C70),"",$BE70)</f>
        <v/>
      </c>
      <c r="CC70" s="99" t="str">
        <f aca="false">IF(ISBLANK($C70),"",$BS70)</f>
        <v/>
      </c>
      <c r="CD70" s="99" t="str">
        <f aca="false">IF(ISBLANK($C70),"",$BR70)</f>
        <v/>
      </c>
      <c r="CE70" s="100" t="str">
        <f aca="false">IF(ISBLANK($C70),"",IF($CD70=Constants!$B$9,COUNTA($C$9:$C$508)+2,IF($CD70=Constants!$B$8,COUNTA($C$9:$C$508)+1,IF($CD70=Constants!$B$7,COUNTA($C$9:$C$508),$CD70))))</f>
        <v/>
      </c>
      <c r="CF70" s="9"/>
      <c r="CG70" s="101" t="n">
        <f aca="false">IF(OR(ISNUMBER($CD70),$CD70=Constants!$B$9,$CD70=Constants!$B$7,$CD70=Constants!$B$8),1,0)</f>
        <v>0</v>
      </c>
      <c r="CH70" s="101" t="n">
        <v>62</v>
      </c>
      <c r="CI70" s="101" t="str">
        <f aca="false">IF(ISBLANK($C70),"",IF(ISNUMBER($CE70),$CE70+ROW($B70)/1000,""))</f>
        <v/>
      </c>
      <c r="CJ70" s="101" t="str">
        <f aca="false">IF(ISNUMBER($CI70),RANK($CI70,$CI$9:$CI$508,1),"")</f>
        <v/>
      </c>
      <c r="CK70" s="101" t="str">
        <f aca="false">IF(ISBLANK($C70),"",$B70)</f>
        <v/>
      </c>
      <c r="CL70" s="101" t="str">
        <f aca="false">IF(ISBLANK($C70),"",$C70)</f>
        <v/>
      </c>
      <c r="CM70" s="101" t="str">
        <f aca="false">IF(ISBLANK($C70),"",$D70)</f>
        <v/>
      </c>
      <c r="CN70" s="102" t="str">
        <f aca="false">$CB70</f>
        <v/>
      </c>
      <c r="CO70" s="103" t="str">
        <f aca="false">$CA70</f>
        <v/>
      </c>
      <c r="CP70" s="101" t="str">
        <f aca="false">IF(ISBLANK($C70),"",$CD70)</f>
        <v/>
      </c>
      <c r="CQ70" s="104" t="str">
        <f aca="false">IF($CH70&gt;$CG$8,"",VLOOKUP($CH70,$CJ$9:$CP$508,7,FALSE()))</f>
        <v/>
      </c>
      <c r="CR70" s="105" t="str">
        <f aca="false">IF($CH70&gt;$CG$8,"",VLOOKUP($CH70,$CJ$9:$CP$508,2,FALSE()))</f>
        <v/>
      </c>
      <c r="CS70" s="105" t="str">
        <f aca="false">IF($CH70&gt;$CG$8,"",VLOOKUP($CH70,$CJ$9:$CP$508,3,FALSE()))</f>
        <v/>
      </c>
      <c r="CT70" s="105" t="str">
        <f aca="false">IF($CH70&gt;$CG$8,"",VLOOKUP($CH70,$CJ$9:$CP$508,4,FALSE()))</f>
        <v/>
      </c>
      <c r="CU70" s="105" t="str">
        <f aca="false">IF($CH70&gt;$CG$8,"",VLOOKUP($CH70,$CJ$9:$CP$508,5,FALSE()))</f>
        <v/>
      </c>
      <c r="CV70" s="106" t="str">
        <f aca="false">IF($CH70&gt;$CG$8,"",VLOOKUP($CH70,$CJ$9:$CP$508,6,FALSE()))</f>
        <v/>
      </c>
      <c r="CW70" s="71"/>
    </row>
    <row r="71" customFormat="false" ht="15.75" hidden="false" customHeight="false" outlineLevel="0" collapsed="false">
      <c r="A71" s="9"/>
      <c r="B71" s="72"/>
      <c r="C71" s="73"/>
      <c r="D71" s="160"/>
      <c r="E71" s="168"/>
      <c r="F71" s="162"/>
      <c r="G71" s="163"/>
      <c r="H71" s="169"/>
      <c r="I71" s="167"/>
      <c r="J71" s="80"/>
      <c r="K71" s="81"/>
      <c r="L71" s="82"/>
      <c r="M71" s="166"/>
      <c r="N71" s="167"/>
      <c r="O71" s="167"/>
      <c r="P71" s="80"/>
      <c r="Q71" s="82"/>
      <c r="R71" s="82"/>
      <c r="S71" s="166"/>
      <c r="T71" s="167"/>
      <c r="U71" s="86"/>
      <c r="V71" s="87"/>
      <c r="W71" s="87" t="str">
        <f aca="false">IF(ISBLANK($C71),"",IF(E71=Constants!$B$2,TRUE(),IF(E71=Constants!$B$3,FALSE(),TRUE())))</f>
        <v/>
      </c>
      <c r="X71" s="87" t="str">
        <f aca="false">IF(ISBLANK($C71),"",IF(F71=Constants!$B$2,TRUE(),IF(F71=Constants!$B$3,FALSE(),TRUE())))</f>
        <v/>
      </c>
      <c r="Y71" s="87" t="str">
        <f aca="false">IF(ISBLANK($C71),"",IF(G71=Constants!$B$2,TRUE(),IF(G71=Constants!$B$3,FALSE(),TRUE())))</f>
        <v/>
      </c>
      <c r="Z71" s="87" t="str">
        <f aca="false">IF(ISBLANK($C71),"",IF(H71=Constants!$B$2,TRUE(),IF(H71=Constants!$B$3,FALSE(),TRUE())))</f>
        <v/>
      </c>
      <c r="AA71" s="87" t="str">
        <f aca="false">IF(ISBLANK($C71),"",IF(I71=Constants!$B$2,TRUE(),IF(I71=Constants!$B$3,FALSE(),TRUE())))</f>
        <v/>
      </c>
      <c r="AB71" s="87" t="str">
        <f aca="false">IF(ISBLANK($C71),"",IF(J71=Constants!$B$4,TRUE(),IF(J71=Constants!$B$5,FALSE(),COUNTA(K71:M71)&gt;0)))</f>
        <v/>
      </c>
      <c r="AC71" s="88" t="str">
        <f aca="false">IF(ISBLANK($C71),"",IF(ISNUMBER(K71),IF(K71&gt;=0,K71,""),""))</f>
        <v/>
      </c>
      <c r="AD71" s="89" t="str">
        <f aca="false">IF(ISBLANK($C71),"",IF(ISNUMBER(L71),IF(L71&gt;=0,L71,""),""))</f>
        <v/>
      </c>
      <c r="AE71" s="87" t="str">
        <f aca="false">IF(ISBLANK($C71),"",IF(ISNUMBER(M71),IF(M71&gt;=0,MIN(M71,Constants!$B$22),""),""))</f>
        <v/>
      </c>
      <c r="AF71" s="87" t="str">
        <f aca="false">IF(ISBLANK($C71),"",IF(N71=Constants!$B$2,TRUE(),IF(N71=Constants!$B$3,FALSE(),TRUE())))</f>
        <v/>
      </c>
      <c r="AG71" s="87" t="str">
        <f aca="false">IF(ISBLANK($C71),"",IF(O71=Constants!$B$2,TRUE(),IF(O71=Constants!$B$3,FALSE(),TRUE())))</f>
        <v/>
      </c>
      <c r="AH71" s="87" t="str">
        <f aca="false">IF(ISBLANK($C71),"",IF(P71=Constants!$B$4,TRUE(),IF(P71=Constants!$B$5,FALSE(),COUNTA(Q71:S71)&gt;0)))</f>
        <v/>
      </c>
      <c r="AI71" s="88" t="str">
        <f aca="false">IF(ISBLANK($C71),"",IF(ISNUMBER(Q71),IF(Q71&gt;=0,Q71,""),""))</f>
        <v/>
      </c>
      <c r="AJ71" s="89" t="str">
        <f aca="false">IF(ISBLANK($C71),"",IF(ISNUMBER(R71),IF(R71&gt;=0,R71,""),""))</f>
        <v/>
      </c>
      <c r="AK71" s="87" t="str">
        <f aca="false">IF(ISBLANK($C71),"",IF(ISNUMBER(S71),IF(S71&gt;=0,MIN(S71,Constants!$B$22),""),""))</f>
        <v/>
      </c>
      <c r="AL71" s="87" t="str">
        <f aca="false">IF(ISBLANK($C71),"",IF(T71=Constants!$B$2,TRUE(),IF(T71=Constants!$B$3,FALSE(),FALSE())))</f>
        <v/>
      </c>
      <c r="AM71" s="86" t="str">
        <f aca="false">IF(ISBLANK($C71),"",AND($AB71,OR($AC71="",$AD71="",AND(NOT(ISBLANK($M71)),$AE71=""))))</f>
        <v/>
      </c>
      <c r="AN71" s="89" t="str">
        <f aca="false">IF($BD71&lt;&gt;Constants!$B$6,"",IF($AB71,Constants!$B$17*$AD71,Constants!$B$18))</f>
        <v/>
      </c>
      <c r="AO71" s="91" t="str">
        <f aca="false">IF($BD71&lt;&gt;Constants!$B$6,"",Constants!$B$19*IF($AB71,$AC71,0))</f>
        <v/>
      </c>
      <c r="AP71" s="91" t="str">
        <f aca="false">IF($BD71&lt;&gt;Constants!$B$6,"",IF(AND($AB71,ISNUMBER($AE71)),Constants!$B$20*(Constants!$B$21-$AE71),0))</f>
        <v/>
      </c>
      <c r="AQ71" s="91" t="str">
        <f aca="false">IF($BD71&lt;&gt;Constants!$B$6,"",IF($AA71,0,Constants!$B$12)+IF($Z71,0,Constants!$B$13)+IF($Y71,0,Constants!$B$14))</f>
        <v/>
      </c>
      <c r="AR71" s="92" t="str">
        <f aca="false">IF($BD71&lt;&gt;Constants!$B$6,"",Constants!$B$16+SUM($AN71:$AQ71))</f>
        <v/>
      </c>
      <c r="AS71" s="91" t="str">
        <f aca="false">IF($BD71&lt;&gt;Constants!$B$6,"",IF($AB71,$AD71,""))</f>
        <v/>
      </c>
      <c r="AT71" s="93" t="str">
        <f aca="false">IF($BD71&lt;&gt;Constants!$B$6,"",$AO71)</f>
        <v/>
      </c>
      <c r="AU71" s="87" t="str">
        <f aca="false">IF($BD71&lt;&gt;Constants!$B$6,"",IF(OR($BA71&lt;$AR71,AND($BA71=$AR71,OR(AND(ISNUMBER($BB71),OR(NOT(ISNUMBER($AS71)),$BB71&lt;$AS71)),AND(OR(AND($BB71="",$AS71=""),AND(ISNUMBER($BB71),ISNUMBER($AS71),$BB71=$AS71)),$BC71&lt;$AT71)))),"-&gt;","&lt;-"))</f>
        <v/>
      </c>
      <c r="AV71" s="86" t="str">
        <f aca="false">IF(ISBLANK($C71),"",AND($AH71,OR($AI71="",$AJ71="",AND(NOT(ISBLANK($S71)),$AK71=""))))</f>
        <v/>
      </c>
      <c r="AW71" s="89" t="str">
        <f aca="false">IF($BD71&lt;&gt;Constants!$B$6,"",IF($AH71,Constants!$B$17*$AJ71,Constants!$B$18))</f>
        <v/>
      </c>
      <c r="AX71" s="91" t="str">
        <f aca="false">IF($BD71&lt;&gt;Constants!$B$6,"",Constants!$B$19*IF($AH71,$AI71,0))</f>
        <v/>
      </c>
      <c r="AY71" s="91" t="str">
        <f aca="false">IF($BD71&lt;&gt;Constants!$B$6,"",IF(AND($AH71,ISNUMBER($AK71)),Constants!$B$20*(Constants!$B$21-$AK71),0))</f>
        <v/>
      </c>
      <c r="AZ71" s="91" t="str">
        <f aca="false">IF($BD71&lt;&gt;Constants!$B$6,"",IF($AG71,0,Constants!$B$12)+IF($AF71,0,Constants!$B$13)+IF($Y71,0,Constants!$B$14))</f>
        <v/>
      </c>
      <c r="BA71" s="92" t="str">
        <f aca="false">IF($BD71&lt;&gt;Constants!$B$6,"",Constants!$B$16+SUM($AW71:$AZ71))</f>
        <v/>
      </c>
      <c r="BB71" s="91" t="str">
        <f aca="false">IF($BD71&lt;&gt;Constants!$B$6,"",IF($AH71,$AJ71,""))</f>
        <v/>
      </c>
      <c r="BC71" s="93" t="str">
        <f aca="false">IF($BD71&lt;&gt;Constants!$B$6,"",$AX71)</f>
        <v/>
      </c>
      <c r="BD71" s="87" t="str">
        <f aca="false">IF(ISBLANK($C71),"",IF($AL71,Constants!$B$9,IF(COUNTA($E71:$T71)=0,Constants!$B$8,IF(NOT($X71),Constants!$B$7,IF(OR($AM71,$AV71),Constants!$B$10,Constants!$B$6)))))</f>
        <v/>
      </c>
      <c r="BE71" s="87" t="str">
        <f aca="false">IF(ISBLANK($C71),"",IF($BD71&lt;&gt;Constants!$B$6,$BD71,Constants!$B$11))</f>
        <v/>
      </c>
      <c r="BF71" s="91" t="str">
        <f aca="false">IF($BD71&lt;&gt;Constants!$B$6,"",IF($AU71="-&gt;",$BA71,$AR71))</f>
        <v/>
      </c>
      <c r="BG71" s="91" t="str">
        <f aca="false">IF($BD71&lt;&gt;Constants!$B$6,"",IF($W71,0,Constants!$B$15))</f>
        <v/>
      </c>
      <c r="BH71" s="91" t="str">
        <f aca="false">IF(ISBLANK($C71),"",IF($BD71&lt;&gt;Constants!$B$6,$BD71,SUM($BF71:$BG71)))</f>
        <v/>
      </c>
      <c r="BI71" s="87" t="str">
        <f aca="false">IF(ISBLANK($C71),"",IF($BD71&lt;&gt;Constants!$B$6,$BD71,RANK($BH71,$BH$9:$BH$508,1)))</f>
        <v/>
      </c>
      <c r="BJ71" s="91" t="str">
        <f aca="false">IF($BD71&lt;&gt;Constants!$B$6,"",IF($AU71="-&gt;",$BB71,$AS71))</f>
        <v/>
      </c>
      <c r="BK71" s="87" t="str">
        <f aca="false">IF(ISBLANK($C71),"",IF($BD71&lt;&gt;Constants!$B$6,$BD71,IF(ISNUMBER($BJ71),RANK($BJ71,$BJ$9:$BJ$508,1),COUNT($BJ$9:$BJ$508)+1)))</f>
        <v/>
      </c>
      <c r="BL71" s="91" t="str">
        <f aca="false">IF($BD71&lt;&gt;Constants!$B$6,"",IF($AU71="-&gt;",$BC71,$AT71))</f>
        <v/>
      </c>
      <c r="BM71" s="87" t="str">
        <f aca="false">IF(ISBLANK($C71),"",IF($BD71&lt;&gt;Constants!$B$6,$BD71,IF(ISNUMBER($BL71),RANK($BL71,$BL$9:$BL$508,1),COUNT($BL$9:$BL$508)+1)))</f>
        <v/>
      </c>
      <c r="BN71" s="91" t="str">
        <f aca="false">IF($BD71&lt;&gt;Constants!$B$6,"",IF($AU71="-&gt;",$AS71,$BB71))</f>
        <v/>
      </c>
      <c r="BO71" s="87" t="str">
        <f aca="false">IF(ISBLANK($C71),"",IF($BD71&lt;&gt;Constants!$B$6,$BD71,IF(ISNUMBER($BN71),RANK($BN71,$BN$9:$BN$508,1),COUNT($BN$9:$BN$508)+1)))</f>
        <v/>
      </c>
      <c r="BP71" s="91" t="str">
        <f aca="false">IF($BD71&lt;&gt;Constants!$B$6,"",IF($AU71="-&gt;",$AT71,$BC71))</f>
        <v/>
      </c>
      <c r="BQ71" s="87" t="str">
        <f aca="false">IF(ISBLANK($C71),"",IF($BD71&lt;&gt;Constants!$B$6,$BD71,IF(ISNUMBER($BP71),RANK($BP71,$BP$9:$BP$508,1),COUNT($BP$9:$BP$508)+1)))</f>
        <v/>
      </c>
      <c r="BR71" s="87" t="str">
        <f aca="false">IF(ISBLANK($C71),"",IF($BD71&lt;&gt;Constants!$B$6,$BD71,COUNTIFS($BI$9:$BI$508,"&lt;"&amp;$BI71)+COUNTIFS($BI$9:$BI$508,$BI71,$BK$9:$BK$508,"&lt;"&amp;$BK71)+COUNTIFS($BI$9:$BI$508,$BI71,$BK$9:$BK$508,$BK71,$BM$9:$BM$508,"&lt;"&amp;$BM71)+COUNTIFS($BI$9:$BI$508,$BI71,$BK$9:$BK$508,$BK71,$BM$9:$BM$508,$BM71,$BO$9:$BO$508,"&lt;"&amp;$BO71)+COUNTIFS($BI$9:$BI$508,$BI71,$BK$9:$BK$508,$BK71,$BM$9:$BM$508,$BM71,$BO$9:$BO$508,$BO71,$BQ$9:$BQ$508,"&lt;"&amp;$BQ71)+1))</f>
        <v/>
      </c>
      <c r="BS71" s="87" t="str">
        <f aca="false">IF(ISBLANK($C71),"",IF($BD71&lt;&gt;Constants!$B$6,$BD71,$BI71-$BR71))</f>
        <v/>
      </c>
      <c r="BT71" s="94"/>
      <c r="BU71" s="95"/>
      <c r="BV71" s="95" t="str">
        <f aca="false">IF(ISBLANK($C71),"",IF($BD71&lt;&gt;Constants!$B$6,"",IF($AU71="-&gt;",2,1)))</f>
        <v/>
      </c>
      <c r="BW71" s="96" t="str">
        <f aca="false">IF(ISBLANK($C71),"",IF($BD71&lt;&gt;Constants!$B$6,"",IF($AU71="-&gt;",$AW71,$AN71)))</f>
        <v/>
      </c>
      <c r="BX71" s="96" t="str">
        <f aca="false">IF(ISBLANK($C71),"",IF($BD71&lt;&gt;Constants!$B$6,"",IF($AU71="-&gt;",$AX71,$AO71)))</f>
        <v/>
      </c>
      <c r="BY71" s="96" t="str">
        <f aca="false">IF(ISBLANK($C71),"",IF($BD71&lt;&gt;Constants!$B$6,"",IF($AU71="-&gt;",$AY71,$AP71)))</f>
        <v/>
      </c>
      <c r="BZ71" s="96" t="str">
        <f aca="false">IF(ISBLANK($C71),"",IF($BD71&lt;&gt;Constants!$B$6,"",IF($AU71="-&gt;",$AZ71,$AQ71)+$BG71))</f>
        <v/>
      </c>
      <c r="CA71" s="97" t="str">
        <f aca="false">IF(ISBLANK($C71),"",IF($BD71&lt;&gt;Constants!$B$6,$BD71,$BH71))</f>
        <v/>
      </c>
      <c r="CB71" s="98" t="str">
        <f aca="false">IF(ISBLANK($C71),"",$BE71)</f>
        <v/>
      </c>
      <c r="CC71" s="99" t="str">
        <f aca="false">IF(ISBLANK($C71),"",$BS71)</f>
        <v/>
      </c>
      <c r="CD71" s="99" t="str">
        <f aca="false">IF(ISBLANK($C71),"",$BR71)</f>
        <v/>
      </c>
      <c r="CE71" s="100" t="str">
        <f aca="false">IF(ISBLANK($C71),"",IF($CD71=Constants!$B$9,COUNTA($C$9:$C$508)+2,IF($CD71=Constants!$B$8,COUNTA($C$9:$C$508)+1,IF($CD71=Constants!$B$7,COUNTA($C$9:$C$508),$CD71))))</f>
        <v/>
      </c>
      <c r="CF71" s="9"/>
      <c r="CG71" s="101" t="n">
        <f aca="false">IF(OR(ISNUMBER($CD71),$CD71=Constants!$B$9,$CD71=Constants!$B$7,$CD71=Constants!$B$8),1,0)</f>
        <v>0</v>
      </c>
      <c r="CH71" s="101" t="n">
        <v>63</v>
      </c>
      <c r="CI71" s="101" t="str">
        <f aca="false">IF(ISBLANK($C71),"",IF(ISNUMBER($CE71),$CE71+ROW($B71)/1000,""))</f>
        <v/>
      </c>
      <c r="CJ71" s="101" t="str">
        <f aca="false">IF(ISNUMBER($CI71),RANK($CI71,$CI$9:$CI$508,1),"")</f>
        <v/>
      </c>
      <c r="CK71" s="101" t="str">
        <f aca="false">IF(ISBLANK($C71),"",$B71)</f>
        <v/>
      </c>
      <c r="CL71" s="101" t="str">
        <f aca="false">IF(ISBLANK($C71),"",$C71)</f>
        <v/>
      </c>
      <c r="CM71" s="101" t="str">
        <f aca="false">IF(ISBLANK($C71),"",$D71)</f>
        <v/>
      </c>
      <c r="CN71" s="102" t="str">
        <f aca="false">$CB71</f>
        <v/>
      </c>
      <c r="CO71" s="103" t="str">
        <f aca="false">$CA71</f>
        <v/>
      </c>
      <c r="CP71" s="101" t="str">
        <f aca="false">IF(ISBLANK($C71),"",$CD71)</f>
        <v/>
      </c>
      <c r="CQ71" s="104" t="str">
        <f aca="false">IF($CH71&gt;$CG$8,"",VLOOKUP($CH71,$CJ$9:$CP$508,7,FALSE()))</f>
        <v/>
      </c>
      <c r="CR71" s="105" t="str">
        <f aca="false">IF($CH71&gt;$CG$8,"",VLOOKUP($CH71,$CJ$9:$CP$508,2,FALSE()))</f>
        <v/>
      </c>
      <c r="CS71" s="105" t="str">
        <f aca="false">IF($CH71&gt;$CG$8,"",VLOOKUP($CH71,$CJ$9:$CP$508,3,FALSE()))</f>
        <v/>
      </c>
      <c r="CT71" s="105" t="str">
        <f aca="false">IF($CH71&gt;$CG$8,"",VLOOKUP($CH71,$CJ$9:$CP$508,4,FALSE()))</f>
        <v/>
      </c>
      <c r="CU71" s="105" t="str">
        <f aca="false">IF($CH71&gt;$CG$8,"",VLOOKUP($CH71,$CJ$9:$CP$508,5,FALSE()))</f>
        <v/>
      </c>
      <c r="CV71" s="106" t="str">
        <f aca="false">IF($CH71&gt;$CG$8,"",VLOOKUP($CH71,$CJ$9:$CP$508,6,FALSE()))</f>
        <v/>
      </c>
      <c r="CW71" s="71"/>
    </row>
    <row r="72" customFormat="false" ht="15.75" hidden="false" customHeight="false" outlineLevel="0" collapsed="false">
      <c r="A72" s="9"/>
      <c r="B72" s="150"/>
      <c r="C72" s="151"/>
      <c r="D72" s="152"/>
      <c r="E72" s="170"/>
      <c r="F72" s="154"/>
      <c r="G72" s="155"/>
      <c r="H72" s="171"/>
      <c r="I72" s="159"/>
      <c r="J72" s="120"/>
      <c r="K72" s="121"/>
      <c r="L72" s="122"/>
      <c r="M72" s="158"/>
      <c r="N72" s="159"/>
      <c r="O72" s="159"/>
      <c r="P72" s="120"/>
      <c r="Q72" s="122"/>
      <c r="R72" s="122"/>
      <c r="S72" s="158"/>
      <c r="T72" s="159"/>
      <c r="U72" s="126"/>
      <c r="V72" s="127"/>
      <c r="W72" s="127" t="str">
        <f aca="false">IF(ISBLANK($C72),"",IF(E72=Constants!$B$2,TRUE(),IF(E72=Constants!$B$3,FALSE(),TRUE())))</f>
        <v/>
      </c>
      <c r="X72" s="127" t="str">
        <f aca="false">IF(ISBLANK($C72),"",IF(F72=Constants!$B$2,TRUE(),IF(F72=Constants!$B$3,FALSE(),TRUE())))</f>
        <v/>
      </c>
      <c r="Y72" s="127" t="str">
        <f aca="false">IF(ISBLANK($C72),"",IF(G72=Constants!$B$2,TRUE(),IF(G72=Constants!$B$3,FALSE(),TRUE())))</f>
        <v/>
      </c>
      <c r="Z72" s="127" t="str">
        <f aca="false">IF(ISBLANK($C72),"",IF(H72=Constants!$B$2,TRUE(),IF(H72=Constants!$B$3,FALSE(),TRUE())))</f>
        <v/>
      </c>
      <c r="AA72" s="127" t="str">
        <f aca="false">IF(ISBLANK($C72),"",IF(I72=Constants!$B$2,TRUE(),IF(I72=Constants!$B$3,FALSE(),TRUE())))</f>
        <v/>
      </c>
      <c r="AB72" s="127" t="str">
        <f aca="false">IF(ISBLANK($C72),"",IF(J72=Constants!$B$4,TRUE(),IF(J72=Constants!$B$5,FALSE(),COUNTA(K72:M72)&gt;0)))</f>
        <v/>
      </c>
      <c r="AC72" s="128" t="str">
        <f aca="false">IF(ISBLANK($C72),"",IF(ISNUMBER(K72),IF(K72&gt;=0,K72,""),""))</f>
        <v/>
      </c>
      <c r="AD72" s="129" t="str">
        <f aca="false">IF(ISBLANK($C72),"",IF(ISNUMBER(L72),IF(L72&gt;=0,L72,""),""))</f>
        <v/>
      </c>
      <c r="AE72" s="127" t="str">
        <f aca="false">IF(ISBLANK($C72),"",IF(ISNUMBER(M72),IF(M72&gt;=0,MIN(M72,Constants!$B$22),""),""))</f>
        <v/>
      </c>
      <c r="AF72" s="127" t="str">
        <f aca="false">IF(ISBLANK($C72),"",IF(N72=Constants!$B$2,TRUE(),IF(N72=Constants!$B$3,FALSE(),TRUE())))</f>
        <v/>
      </c>
      <c r="AG72" s="127" t="str">
        <f aca="false">IF(ISBLANK($C72),"",IF(O72=Constants!$B$2,TRUE(),IF(O72=Constants!$B$3,FALSE(),TRUE())))</f>
        <v/>
      </c>
      <c r="AH72" s="127" t="str">
        <f aca="false">IF(ISBLANK($C72),"",IF(P72=Constants!$B$4,TRUE(),IF(P72=Constants!$B$5,FALSE(),COUNTA(Q72:S72)&gt;0)))</f>
        <v/>
      </c>
      <c r="AI72" s="128" t="str">
        <f aca="false">IF(ISBLANK($C72),"",IF(ISNUMBER(Q72),IF(Q72&gt;=0,Q72,""),""))</f>
        <v/>
      </c>
      <c r="AJ72" s="129" t="str">
        <f aca="false">IF(ISBLANK($C72),"",IF(ISNUMBER(R72),IF(R72&gt;=0,R72,""),""))</f>
        <v/>
      </c>
      <c r="AK72" s="127" t="str">
        <f aca="false">IF(ISBLANK($C72),"",IF(ISNUMBER(S72),IF(S72&gt;=0,MIN(S72,Constants!$B$22),""),""))</f>
        <v/>
      </c>
      <c r="AL72" s="127" t="str">
        <f aca="false">IF(ISBLANK($C72),"",IF(T72=Constants!$B$2,TRUE(),IF(T72=Constants!$B$3,FALSE(),FALSE())))</f>
        <v/>
      </c>
      <c r="AM72" s="126" t="str">
        <f aca="false">IF(ISBLANK($C72),"",AND($AB72,OR($AC72="",$AD72="",AND(NOT(ISBLANK($M72)),$AE72=""))))</f>
        <v/>
      </c>
      <c r="AN72" s="129" t="str">
        <f aca="false">IF($BD72&lt;&gt;Constants!$B$6,"",IF($AB72,Constants!$B$17*$AD72,Constants!$B$18))</f>
        <v/>
      </c>
      <c r="AO72" s="130" t="str">
        <f aca="false">IF($BD72&lt;&gt;Constants!$B$6,"",Constants!$B$19*IF($AB72,$AC72,0))</f>
        <v/>
      </c>
      <c r="AP72" s="130" t="str">
        <f aca="false">IF($BD72&lt;&gt;Constants!$B$6,"",IF(AND($AB72,ISNUMBER($AE72)),Constants!$B$20*(Constants!$B$21-$AE72),0))</f>
        <v/>
      </c>
      <c r="AQ72" s="130" t="str">
        <f aca="false">IF($BD72&lt;&gt;Constants!$B$6,"",IF($AA72,0,Constants!$B$12)+IF($Z72,0,Constants!$B$13)+IF($Y72,0,Constants!$B$14))</f>
        <v/>
      </c>
      <c r="AR72" s="131" t="str">
        <f aca="false">IF($BD72&lt;&gt;Constants!$B$6,"",Constants!$B$16+SUM($AN72:$AQ72))</f>
        <v/>
      </c>
      <c r="AS72" s="130" t="str">
        <f aca="false">IF($BD72&lt;&gt;Constants!$B$6,"",IF($AB72,$AD72,""))</f>
        <v/>
      </c>
      <c r="AT72" s="132" t="str">
        <f aca="false">IF($BD72&lt;&gt;Constants!$B$6,"",$AO72)</f>
        <v/>
      </c>
      <c r="AU72" s="127" t="str">
        <f aca="false">IF($BD72&lt;&gt;Constants!$B$6,"",IF(OR($BA72&lt;$AR72,AND($BA72=$AR72,OR(AND(ISNUMBER($BB72),OR(NOT(ISNUMBER($AS72)),$BB72&lt;$AS72)),AND(OR(AND($BB72="",$AS72=""),AND(ISNUMBER($BB72),ISNUMBER($AS72),$BB72=$AS72)),$BC72&lt;$AT72)))),"-&gt;","&lt;-"))</f>
        <v/>
      </c>
      <c r="AV72" s="126" t="str">
        <f aca="false">IF(ISBLANK($C72),"",AND($AH72,OR($AI72="",$AJ72="",AND(NOT(ISBLANK($S72)),$AK72=""))))</f>
        <v/>
      </c>
      <c r="AW72" s="129" t="str">
        <f aca="false">IF($BD72&lt;&gt;Constants!$B$6,"",IF($AH72,Constants!$B$17*$AJ72,Constants!$B$18))</f>
        <v/>
      </c>
      <c r="AX72" s="130" t="str">
        <f aca="false">IF($BD72&lt;&gt;Constants!$B$6,"",Constants!$B$19*IF($AH72,$AI72,0))</f>
        <v/>
      </c>
      <c r="AY72" s="130" t="str">
        <f aca="false">IF($BD72&lt;&gt;Constants!$B$6,"",IF(AND($AH72,ISNUMBER($AK72)),Constants!$B$20*(Constants!$B$21-$AK72),0))</f>
        <v/>
      </c>
      <c r="AZ72" s="130" t="str">
        <f aca="false">IF($BD72&lt;&gt;Constants!$B$6,"",IF($AG72,0,Constants!$B$12)+IF($AF72,0,Constants!$B$13)+IF($Y72,0,Constants!$B$14))</f>
        <v/>
      </c>
      <c r="BA72" s="131" t="str">
        <f aca="false">IF($BD72&lt;&gt;Constants!$B$6,"",Constants!$B$16+SUM($AW72:$AZ72))</f>
        <v/>
      </c>
      <c r="BB72" s="130" t="str">
        <f aca="false">IF($BD72&lt;&gt;Constants!$B$6,"",IF($AH72,$AJ72,""))</f>
        <v/>
      </c>
      <c r="BC72" s="132" t="str">
        <f aca="false">IF($BD72&lt;&gt;Constants!$B$6,"",$AX72)</f>
        <v/>
      </c>
      <c r="BD72" s="127" t="str">
        <f aca="false">IF(ISBLANK($C72),"",IF($AL72,Constants!$B$9,IF(COUNTA($E72:$T72)=0,Constants!$B$8,IF(NOT($X72),Constants!$B$7,IF(OR($AM72,$AV72),Constants!$B$10,Constants!$B$6)))))</f>
        <v/>
      </c>
      <c r="BE72" s="127" t="str">
        <f aca="false">IF(ISBLANK($C72),"",IF($BD72&lt;&gt;Constants!$B$6,$BD72,Constants!$B$11))</f>
        <v/>
      </c>
      <c r="BF72" s="130" t="str">
        <f aca="false">IF($BD72&lt;&gt;Constants!$B$6,"",IF($AU72="-&gt;",$BA72,$AR72))</f>
        <v/>
      </c>
      <c r="BG72" s="130" t="str">
        <f aca="false">IF($BD72&lt;&gt;Constants!$B$6,"",IF($W72,0,Constants!$B$15))</f>
        <v/>
      </c>
      <c r="BH72" s="130" t="str">
        <f aca="false">IF(ISBLANK($C72),"",IF($BD72&lt;&gt;Constants!$B$6,$BD72,SUM($BF72:$BG72)))</f>
        <v/>
      </c>
      <c r="BI72" s="127" t="str">
        <f aca="false">IF(ISBLANK($C72),"",IF($BD72&lt;&gt;Constants!$B$6,$BD72,RANK($BH72,$BH$9:$BH$508,1)))</f>
        <v/>
      </c>
      <c r="BJ72" s="130" t="str">
        <f aca="false">IF($BD72&lt;&gt;Constants!$B$6,"",IF($AU72="-&gt;",$BB72,$AS72))</f>
        <v/>
      </c>
      <c r="BK72" s="127" t="str">
        <f aca="false">IF(ISBLANK($C72),"",IF($BD72&lt;&gt;Constants!$B$6,$BD72,IF(ISNUMBER($BJ72),RANK($BJ72,$BJ$9:$BJ$508,1),COUNT($BJ$9:$BJ$508)+1)))</f>
        <v/>
      </c>
      <c r="BL72" s="130" t="str">
        <f aca="false">IF($BD72&lt;&gt;Constants!$B$6,"",IF($AU72="-&gt;",$BC72,$AT72))</f>
        <v/>
      </c>
      <c r="BM72" s="127" t="str">
        <f aca="false">IF(ISBLANK($C72),"",IF($BD72&lt;&gt;Constants!$B$6,$BD72,IF(ISNUMBER($BL72),RANK($BL72,$BL$9:$BL$508,1),COUNT($BL$9:$BL$508)+1)))</f>
        <v/>
      </c>
      <c r="BN72" s="130" t="str">
        <f aca="false">IF($BD72&lt;&gt;Constants!$B$6,"",IF($AU72="-&gt;",$AS72,$BB72))</f>
        <v/>
      </c>
      <c r="BO72" s="127" t="str">
        <f aca="false">IF(ISBLANK($C72),"",IF($BD72&lt;&gt;Constants!$B$6,$BD72,IF(ISNUMBER($BN72),RANK($BN72,$BN$9:$BN$508,1),COUNT($BN$9:$BN$508)+1)))</f>
        <v/>
      </c>
      <c r="BP72" s="130" t="str">
        <f aca="false">IF($BD72&lt;&gt;Constants!$B$6,"",IF($AU72="-&gt;",$AT72,$BC72))</f>
        <v/>
      </c>
      <c r="BQ72" s="127" t="str">
        <f aca="false">IF(ISBLANK($C72),"",IF($BD72&lt;&gt;Constants!$B$6,$BD72,IF(ISNUMBER($BP72),RANK($BP72,$BP$9:$BP$508,1),COUNT($BP$9:$BP$508)+1)))</f>
        <v/>
      </c>
      <c r="BR72" s="127" t="str">
        <f aca="false">IF(ISBLANK($C72),"",IF($BD72&lt;&gt;Constants!$B$6,$BD72,COUNTIFS($BI$9:$BI$508,"&lt;"&amp;$BI72)+COUNTIFS($BI$9:$BI$508,$BI72,$BK$9:$BK$508,"&lt;"&amp;$BK72)+COUNTIFS($BI$9:$BI$508,$BI72,$BK$9:$BK$508,$BK72,$BM$9:$BM$508,"&lt;"&amp;$BM72)+COUNTIFS($BI$9:$BI$508,$BI72,$BK$9:$BK$508,$BK72,$BM$9:$BM$508,$BM72,$BO$9:$BO$508,"&lt;"&amp;$BO72)+COUNTIFS($BI$9:$BI$508,$BI72,$BK$9:$BK$508,$BK72,$BM$9:$BM$508,$BM72,$BO$9:$BO$508,$BO72,$BQ$9:$BQ$508,"&lt;"&amp;$BQ72)+1))</f>
        <v/>
      </c>
      <c r="BS72" s="127" t="str">
        <f aca="false">IF(ISBLANK($C72),"",IF($BD72&lt;&gt;Constants!$B$6,$BD72,$BI72-$BR72))</f>
        <v/>
      </c>
      <c r="BT72" s="133"/>
      <c r="BU72" s="134"/>
      <c r="BV72" s="134" t="str">
        <f aca="false">IF(ISBLANK($C72),"",IF($BD72&lt;&gt;Constants!$B$6,"",IF($AU72="-&gt;",2,1)))</f>
        <v/>
      </c>
      <c r="BW72" s="135" t="str">
        <f aca="false">IF(ISBLANK($C72),"",IF($BD72&lt;&gt;Constants!$B$6,"",IF($AU72="-&gt;",$AW72,$AN72)))</f>
        <v/>
      </c>
      <c r="BX72" s="135" t="str">
        <f aca="false">IF(ISBLANK($C72),"",IF($BD72&lt;&gt;Constants!$B$6,"",IF($AU72="-&gt;",$AX72,$AO72)))</f>
        <v/>
      </c>
      <c r="BY72" s="135" t="str">
        <f aca="false">IF(ISBLANK($C72),"",IF($BD72&lt;&gt;Constants!$B$6,"",IF($AU72="-&gt;",$AY72,$AP72)))</f>
        <v/>
      </c>
      <c r="BZ72" s="135" t="str">
        <f aca="false">IF(ISBLANK($C72),"",IF($BD72&lt;&gt;Constants!$B$6,"",IF($AU72="-&gt;",$AZ72,$AQ72)+$BG72))</f>
        <v/>
      </c>
      <c r="CA72" s="136" t="str">
        <f aca="false">IF(ISBLANK($C72),"",IF($BD72&lt;&gt;Constants!$B$6,$BD72,$BH72))</f>
        <v/>
      </c>
      <c r="CB72" s="137" t="str">
        <f aca="false">IF(ISBLANK($C72),"",$BE72)</f>
        <v/>
      </c>
      <c r="CC72" s="138" t="str">
        <f aca="false">IF(ISBLANK($C72),"",$BS72)</f>
        <v/>
      </c>
      <c r="CD72" s="138" t="str">
        <f aca="false">IF(ISBLANK($C72),"",$BR72)</f>
        <v/>
      </c>
      <c r="CE72" s="139" t="str">
        <f aca="false">IF(ISBLANK($C72),"",IF($CD72=Constants!$B$9,COUNTA($C$9:$C$508)+2,IF($CD72=Constants!$B$8,COUNTA($C$9:$C$508)+1,IF($CD72=Constants!$B$7,COUNTA($C$9:$C$508),$CD72))))</f>
        <v/>
      </c>
      <c r="CF72" s="9"/>
      <c r="CG72" s="140" t="n">
        <f aca="false">IF(OR(ISNUMBER($CD72),$CD72=Constants!$B$9,$CD72=Constants!$B$7,$CD72=Constants!$B$8),1,0)</f>
        <v>0</v>
      </c>
      <c r="CH72" s="140" t="n">
        <v>64</v>
      </c>
      <c r="CI72" s="140" t="str">
        <f aca="false">IF(ISBLANK($C72),"",IF(ISNUMBER($CE72),$CE72+ROW($B72)/1000,""))</f>
        <v/>
      </c>
      <c r="CJ72" s="140" t="str">
        <f aca="false">IF(ISNUMBER($CI72),RANK($CI72,$CI$9:$CI$508,1),"")</f>
        <v/>
      </c>
      <c r="CK72" s="140" t="str">
        <f aca="false">IF(ISBLANK($C72),"",$B72)</f>
        <v/>
      </c>
      <c r="CL72" s="140" t="str">
        <f aca="false">IF(ISBLANK($C72),"",$C72)</f>
        <v/>
      </c>
      <c r="CM72" s="140" t="str">
        <f aca="false">IF(ISBLANK($C72),"",$D72)</f>
        <v/>
      </c>
      <c r="CN72" s="141" t="str">
        <f aca="false">$CB72</f>
        <v/>
      </c>
      <c r="CO72" s="142" t="str">
        <f aca="false">$CA72</f>
        <v/>
      </c>
      <c r="CP72" s="140" t="str">
        <f aca="false">IF(ISBLANK($C72),"",$CD72)</f>
        <v/>
      </c>
      <c r="CQ72" s="143" t="str">
        <f aca="false">IF($CH72&gt;$CG$8,"",VLOOKUP($CH72,$CJ$9:$CP$508,7,FALSE()))</f>
        <v/>
      </c>
      <c r="CR72" s="144" t="str">
        <f aca="false">IF($CH72&gt;$CG$8,"",VLOOKUP($CH72,$CJ$9:$CP$508,2,FALSE()))</f>
        <v/>
      </c>
      <c r="CS72" s="144" t="str">
        <f aca="false">IF($CH72&gt;$CG$8,"",VLOOKUP($CH72,$CJ$9:$CP$508,3,FALSE()))</f>
        <v/>
      </c>
      <c r="CT72" s="144" t="str">
        <f aca="false">IF($CH72&gt;$CG$8,"",VLOOKUP($CH72,$CJ$9:$CP$508,4,FALSE()))</f>
        <v/>
      </c>
      <c r="CU72" s="144" t="str">
        <f aca="false">IF($CH72&gt;$CG$8,"",VLOOKUP($CH72,$CJ$9:$CP$508,5,FALSE()))</f>
        <v/>
      </c>
      <c r="CV72" s="145" t="str">
        <f aca="false">IF($CH72&gt;$CG$8,"",VLOOKUP($CH72,$CJ$9:$CP$508,6,FALSE()))</f>
        <v/>
      </c>
      <c r="CW72" s="71"/>
    </row>
    <row r="73" customFormat="false" ht="15.75" hidden="false" customHeight="false" outlineLevel="0" collapsed="false">
      <c r="A73" s="9"/>
      <c r="B73" s="150"/>
      <c r="C73" s="151"/>
      <c r="D73" s="152"/>
      <c r="E73" s="170"/>
      <c r="F73" s="154"/>
      <c r="G73" s="155"/>
      <c r="H73" s="171"/>
      <c r="I73" s="159"/>
      <c r="J73" s="120"/>
      <c r="K73" s="121"/>
      <c r="L73" s="122"/>
      <c r="M73" s="158"/>
      <c r="N73" s="159"/>
      <c r="O73" s="159"/>
      <c r="P73" s="120"/>
      <c r="Q73" s="122"/>
      <c r="R73" s="122"/>
      <c r="S73" s="158"/>
      <c r="T73" s="159"/>
      <c r="U73" s="126"/>
      <c r="V73" s="127"/>
      <c r="W73" s="127" t="str">
        <f aca="false">IF(ISBLANK($C73),"",IF(E73=Constants!$B$2,TRUE(),IF(E73=Constants!$B$3,FALSE(),TRUE())))</f>
        <v/>
      </c>
      <c r="X73" s="127" t="str">
        <f aca="false">IF(ISBLANK($C73),"",IF(F73=Constants!$B$2,TRUE(),IF(F73=Constants!$B$3,FALSE(),TRUE())))</f>
        <v/>
      </c>
      <c r="Y73" s="127" t="str">
        <f aca="false">IF(ISBLANK($C73),"",IF(G73=Constants!$B$2,TRUE(),IF(G73=Constants!$B$3,FALSE(),TRUE())))</f>
        <v/>
      </c>
      <c r="Z73" s="127" t="str">
        <f aca="false">IF(ISBLANK($C73),"",IF(H73=Constants!$B$2,TRUE(),IF(H73=Constants!$B$3,FALSE(),TRUE())))</f>
        <v/>
      </c>
      <c r="AA73" s="127" t="str">
        <f aca="false">IF(ISBLANK($C73),"",IF(I73=Constants!$B$2,TRUE(),IF(I73=Constants!$B$3,FALSE(),TRUE())))</f>
        <v/>
      </c>
      <c r="AB73" s="127" t="str">
        <f aca="false">IF(ISBLANK($C73),"",IF(J73=Constants!$B$4,TRUE(),IF(J73=Constants!$B$5,FALSE(),COUNTA(K73:M73)&gt;0)))</f>
        <v/>
      </c>
      <c r="AC73" s="128" t="str">
        <f aca="false">IF(ISBLANK($C73),"",IF(ISNUMBER(K73),IF(K73&gt;=0,K73,""),""))</f>
        <v/>
      </c>
      <c r="AD73" s="129" t="str">
        <f aca="false">IF(ISBLANK($C73),"",IF(ISNUMBER(L73),IF(L73&gt;=0,L73,""),""))</f>
        <v/>
      </c>
      <c r="AE73" s="127" t="str">
        <f aca="false">IF(ISBLANK($C73),"",IF(ISNUMBER(M73),IF(M73&gt;=0,MIN(M73,Constants!$B$22),""),""))</f>
        <v/>
      </c>
      <c r="AF73" s="127" t="str">
        <f aca="false">IF(ISBLANK($C73),"",IF(N73=Constants!$B$2,TRUE(),IF(N73=Constants!$B$3,FALSE(),TRUE())))</f>
        <v/>
      </c>
      <c r="AG73" s="127" t="str">
        <f aca="false">IF(ISBLANK($C73),"",IF(O73=Constants!$B$2,TRUE(),IF(O73=Constants!$B$3,FALSE(),TRUE())))</f>
        <v/>
      </c>
      <c r="AH73" s="127" t="str">
        <f aca="false">IF(ISBLANK($C73),"",IF(P73=Constants!$B$4,TRUE(),IF(P73=Constants!$B$5,FALSE(),COUNTA(Q73:S73)&gt;0)))</f>
        <v/>
      </c>
      <c r="AI73" s="128" t="str">
        <f aca="false">IF(ISBLANK($C73),"",IF(ISNUMBER(Q73),IF(Q73&gt;=0,Q73,""),""))</f>
        <v/>
      </c>
      <c r="AJ73" s="129" t="str">
        <f aca="false">IF(ISBLANK($C73),"",IF(ISNUMBER(R73),IF(R73&gt;=0,R73,""),""))</f>
        <v/>
      </c>
      <c r="AK73" s="127" t="str">
        <f aca="false">IF(ISBLANK($C73),"",IF(ISNUMBER(S73),IF(S73&gt;=0,MIN(S73,Constants!$B$22),""),""))</f>
        <v/>
      </c>
      <c r="AL73" s="127" t="str">
        <f aca="false">IF(ISBLANK($C73),"",IF(T73=Constants!$B$2,TRUE(),IF(T73=Constants!$B$3,FALSE(),FALSE())))</f>
        <v/>
      </c>
      <c r="AM73" s="126" t="str">
        <f aca="false">IF(ISBLANK($C73),"",AND($AB73,OR($AC73="",$AD73="",AND(NOT(ISBLANK($M73)),$AE73=""))))</f>
        <v/>
      </c>
      <c r="AN73" s="129" t="str">
        <f aca="false">IF($BD73&lt;&gt;Constants!$B$6,"",IF($AB73,Constants!$B$17*$AD73,Constants!$B$18))</f>
        <v/>
      </c>
      <c r="AO73" s="130" t="str">
        <f aca="false">IF($BD73&lt;&gt;Constants!$B$6,"",Constants!$B$19*IF($AB73,$AC73,0))</f>
        <v/>
      </c>
      <c r="AP73" s="130" t="str">
        <f aca="false">IF($BD73&lt;&gt;Constants!$B$6,"",IF(AND($AB73,ISNUMBER($AE73)),Constants!$B$20*(Constants!$B$21-$AE73),0))</f>
        <v/>
      </c>
      <c r="AQ73" s="130" t="str">
        <f aca="false">IF($BD73&lt;&gt;Constants!$B$6,"",IF($AA73,0,Constants!$B$12)+IF($Z73,0,Constants!$B$13)+IF($Y73,0,Constants!$B$14))</f>
        <v/>
      </c>
      <c r="AR73" s="131" t="str">
        <f aca="false">IF($BD73&lt;&gt;Constants!$B$6,"",Constants!$B$16+SUM($AN73:$AQ73))</f>
        <v/>
      </c>
      <c r="AS73" s="130" t="str">
        <f aca="false">IF($BD73&lt;&gt;Constants!$B$6,"",IF($AB73,$AD73,""))</f>
        <v/>
      </c>
      <c r="AT73" s="132" t="str">
        <f aca="false">IF($BD73&lt;&gt;Constants!$B$6,"",$AO73)</f>
        <v/>
      </c>
      <c r="AU73" s="127" t="str">
        <f aca="false">IF($BD73&lt;&gt;Constants!$B$6,"",IF(OR($BA73&lt;$AR73,AND($BA73=$AR73,OR(AND(ISNUMBER($BB73),OR(NOT(ISNUMBER($AS73)),$BB73&lt;$AS73)),AND(OR(AND($BB73="",$AS73=""),AND(ISNUMBER($BB73),ISNUMBER($AS73),$BB73=$AS73)),$BC73&lt;$AT73)))),"-&gt;","&lt;-"))</f>
        <v/>
      </c>
      <c r="AV73" s="126" t="str">
        <f aca="false">IF(ISBLANK($C73),"",AND($AH73,OR($AI73="",$AJ73="",AND(NOT(ISBLANK($S73)),$AK73=""))))</f>
        <v/>
      </c>
      <c r="AW73" s="129" t="str">
        <f aca="false">IF($BD73&lt;&gt;Constants!$B$6,"",IF($AH73,Constants!$B$17*$AJ73,Constants!$B$18))</f>
        <v/>
      </c>
      <c r="AX73" s="130" t="str">
        <f aca="false">IF($BD73&lt;&gt;Constants!$B$6,"",Constants!$B$19*IF($AH73,$AI73,0))</f>
        <v/>
      </c>
      <c r="AY73" s="130" t="str">
        <f aca="false">IF($BD73&lt;&gt;Constants!$B$6,"",IF(AND($AH73,ISNUMBER($AK73)),Constants!$B$20*(Constants!$B$21-$AK73),0))</f>
        <v/>
      </c>
      <c r="AZ73" s="130" t="str">
        <f aca="false">IF($BD73&lt;&gt;Constants!$B$6,"",IF($AG73,0,Constants!$B$12)+IF($AF73,0,Constants!$B$13)+IF($Y73,0,Constants!$B$14))</f>
        <v/>
      </c>
      <c r="BA73" s="131" t="str">
        <f aca="false">IF($BD73&lt;&gt;Constants!$B$6,"",Constants!$B$16+SUM($AW73:$AZ73))</f>
        <v/>
      </c>
      <c r="BB73" s="130" t="str">
        <f aca="false">IF($BD73&lt;&gt;Constants!$B$6,"",IF($AH73,$AJ73,""))</f>
        <v/>
      </c>
      <c r="BC73" s="132" t="str">
        <f aca="false">IF($BD73&lt;&gt;Constants!$B$6,"",$AX73)</f>
        <v/>
      </c>
      <c r="BD73" s="127" t="str">
        <f aca="false">IF(ISBLANK($C73),"",IF($AL73,Constants!$B$9,IF(COUNTA($E73:$T73)=0,Constants!$B$8,IF(NOT($X73),Constants!$B$7,IF(OR($AM73,$AV73),Constants!$B$10,Constants!$B$6)))))</f>
        <v/>
      </c>
      <c r="BE73" s="127" t="str">
        <f aca="false">IF(ISBLANK($C73),"",IF($BD73&lt;&gt;Constants!$B$6,$BD73,Constants!$B$11))</f>
        <v/>
      </c>
      <c r="BF73" s="130" t="str">
        <f aca="false">IF($BD73&lt;&gt;Constants!$B$6,"",IF($AU73="-&gt;",$BA73,$AR73))</f>
        <v/>
      </c>
      <c r="BG73" s="130" t="str">
        <f aca="false">IF($BD73&lt;&gt;Constants!$B$6,"",IF($W73,0,Constants!$B$15))</f>
        <v/>
      </c>
      <c r="BH73" s="130" t="str">
        <f aca="false">IF(ISBLANK($C73),"",IF($BD73&lt;&gt;Constants!$B$6,$BD73,SUM($BF73:$BG73)))</f>
        <v/>
      </c>
      <c r="BI73" s="127" t="str">
        <f aca="false">IF(ISBLANK($C73),"",IF($BD73&lt;&gt;Constants!$B$6,$BD73,RANK($BH73,$BH$9:$BH$508,1)))</f>
        <v/>
      </c>
      <c r="BJ73" s="130" t="str">
        <f aca="false">IF($BD73&lt;&gt;Constants!$B$6,"",IF($AU73="-&gt;",$BB73,$AS73))</f>
        <v/>
      </c>
      <c r="BK73" s="127" t="str">
        <f aca="false">IF(ISBLANK($C73),"",IF($BD73&lt;&gt;Constants!$B$6,$BD73,IF(ISNUMBER($BJ73),RANK($BJ73,$BJ$9:$BJ$508,1),COUNT($BJ$9:$BJ$508)+1)))</f>
        <v/>
      </c>
      <c r="BL73" s="130" t="str">
        <f aca="false">IF($BD73&lt;&gt;Constants!$B$6,"",IF($AU73="-&gt;",$BC73,$AT73))</f>
        <v/>
      </c>
      <c r="BM73" s="127" t="str">
        <f aca="false">IF(ISBLANK($C73),"",IF($BD73&lt;&gt;Constants!$B$6,$BD73,IF(ISNUMBER($BL73),RANK($BL73,$BL$9:$BL$508,1),COUNT($BL$9:$BL$508)+1)))</f>
        <v/>
      </c>
      <c r="BN73" s="130" t="str">
        <f aca="false">IF($BD73&lt;&gt;Constants!$B$6,"",IF($AU73="-&gt;",$AS73,$BB73))</f>
        <v/>
      </c>
      <c r="BO73" s="127" t="str">
        <f aca="false">IF(ISBLANK($C73),"",IF($BD73&lt;&gt;Constants!$B$6,$BD73,IF(ISNUMBER($BN73),RANK($BN73,$BN$9:$BN$508,1),COUNT($BN$9:$BN$508)+1)))</f>
        <v/>
      </c>
      <c r="BP73" s="130" t="str">
        <f aca="false">IF($BD73&lt;&gt;Constants!$B$6,"",IF($AU73="-&gt;",$AT73,$BC73))</f>
        <v/>
      </c>
      <c r="BQ73" s="127" t="str">
        <f aca="false">IF(ISBLANK($C73),"",IF($BD73&lt;&gt;Constants!$B$6,$BD73,IF(ISNUMBER($BP73),RANK($BP73,$BP$9:$BP$508,1),COUNT($BP$9:$BP$508)+1)))</f>
        <v/>
      </c>
      <c r="BR73" s="127" t="str">
        <f aca="false">IF(ISBLANK($C73),"",IF($BD73&lt;&gt;Constants!$B$6,$BD73,COUNTIFS($BI$9:$BI$508,"&lt;"&amp;$BI73)+COUNTIFS($BI$9:$BI$508,$BI73,$BK$9:$BK$508,"&lt;"&amp;$BK73)+COUNTIFS($BI$9:$BI$508,$BI73,$BK$9:$BK$508,$BK73,$BM$9:$BM$508,"&lt;"&amp;$BM73)+COUNTIFS($BI$9:$BI$508,$BI73,$BK$9:$BK$508,$BK73,$BM$9:$BM$508,$BM73,$BO$9:$BO$508,"&lt;"&amp;$BO73)+COUNTIFS($BI$9:$BI$508,$BI73,$BK$9:$BK$508,$BK73,$BM$9:$BM$508,$BM73,$BO$9:$BO$508,$BO73,$BQ$9:$BQ$508,"&lt;"&amp;$BQ73)+1))</f>
        <v/>
      </c>
      <c r="BS73" s="127" t="str">
        <f aca="false">IF(ISBLANK($C73),"",IF($BD73&lt;&gt;Constants!$B$6,$BD73,$BI73-$BR73))</f>
        <v/>
      </c>
      <c r="BT73" s="133"/>
      <c r="BU73" s="134"/>
      <c r="BV73" s="134" t="str">
        <f aca="false">IF(ISBLANK($C73),"",IF($BD73&lt;&gt;Constants!$B$6,"",IF($AU73="-&gt;",2,1)))</f>
        <v/>
      </c>
      <c r="BW73" s="135" t="str">
        <f aca="false">IF(ISBLANK($C73),"",IF($BD73&lt;&gt;Constants!$B$6,"",IF($AU73="-&gt;",$AW73,$AN73)))</f>
        <v/>
      </c>
      <c r="BX73" s="135" t="str">
        <f aca="false">IF(ISBLANK($C73),"",IF($BD73&lt;&gt;Constants!$B$6,"",IF($AU73="-&gt;",$AX73,$AO73)))</f>
        <v/>
      </c>
      <c r="BY73" s="135" t="str">
        <f aca="false">IF(ISBLANK($C73),"",IF($BD73&lt;&gt;Constants!$B$6,"",IF($AU73="-&gt;",$AY73,$AP73)))</f>
        <v/>
      </c>
      <c r="BZ73" s="135" t="str">
        <f aca="false">IF(ISBLANK($C73),"",IF($BD73&lt;&gt;Constants!$B$6,"",IF($AU73="-&gt;",$AZ73,$AQ73)+$BG73))</f>
        <v/>
      </c>
      <c r="CA73" s="136" t="str">
        <f aca="false">IF(ISBLANK($C73),"",IF($BD73&lt;&gt;Constants!$B$6,$BD73,$BH73))</f>
        <v/>
      </c>
      <c r="CB73" s="137" t="str">
        <f aca="false">IF(ISBLANK($C73),"",$BE73)</f>
        <v/>
      </c>
      <c r="CC73" s="138" t="str">
        <f aca="false">IF(ISBLANK($C73),"",$BS73)</f>
        <v/>
      </c>
      <c r="CD73" s="138" t="str">
        <f aca="false">IF(ISBLANK($C73),"",$BR73)</f>
        <v/>
      </c>
      <c r="CE73" s="139" t="str">
        <f aca="false">IF(ISBLANK($C73),"",IF($CD73=Constants!$B$9,COUNTA($C$9:$C$508)+2,IF($CD73=Constants!$B$8,COUNTA($C$9:$C$508)+1,IF($CD73=Constants!$B$7,COUNTA($C$9:$C$508),$CD73))))</f>
        <v/>
      </c>
      <c r="CF73" s="9"/>
      <c r="CG73" s="140" t="n">
        <f aca="false">IF(OR(ISNUMBER($CD73),$CD73=Constants!$B$9,$CD73=Constants!$B$7,$CD73=Constants!$B$8),1,0)</f>
        <v>0</v>
      </c>
      <c r="CH73" s="140" t="n">
        <v>65</v>
      </c>
      <c r="CI73" s="140" t="str">
        <f aca="false">IF(ISBLANK($C73),"",IF(ISNUMBER($CE73),$CE73+ROW($B73)/1000,""))</f>
        <v/>
      </c>
      <c r="CJ73" s="140" t="str">
        <f aca="false">IF(ISNUMBER($CI73),RANK($CI73,$CI$9:$CI$508,1),"")</f>
        <v/>
      </c>
      <c r="CK73" s="140" t="str">
        <f aca="false">IF(ISBLANK($C73),"",$B73)</f>
        <v/>
      </c>
      <c r="CL73" s="140" t="str">
        <f aca="false">IF(ISBLANK($C73),"",$C73)</f>
        <v/>
      </c>
      <c r="CM73" s="140" t="str">
        <f aca="false">IF(ISBLANK($C73),"",$D73)</f>
        <v/>
      </c>
      <c r="CN73" s="141" t="str">
        <f aca="false">$CB73</f>
        <v/>
      </c>
      <c r="CO73" s="142" t="str">
        <f aca="false">$CA73</f>
        <v/>
      </c>
      <c r="CP73" s="140" t="str">
        <f aca="false">IF(ISBLANK($C73),"",$CD73)</f>
        <v/>
      </c>
      <c r="CQ73" s="143" t="str">
        <f aca="false">IF($CH73&gt;$CG$8,"",VLOOKUP($CH73,$CJ$9:$CP$508,7,FALSE()))</f>
        <v/>
      </c>
      <c r="CR73" s="144" t="str">
        <f aca="false">IF($CH73&gt;$CG$8,"",VLOOKUP($CH73,$CJ$9:$CP$508,2,FALSE()))</f>
        <v/>
      </c>
      <c r="CS73" s="144" t="str">
        <f aca="false">IF($CH73&gt;$CG$8,"",VLOOKUP($CH73,$CJ$9:$CP$508,3,FALSE()))</f>
        <v/>
      </c>
      <c r="CT73" s="144" t="str">
        <f aca="false">IF($CH73&gt;$CG$8,"",VLOOKUP($CH73,$CJ$9:$CP$508,4,FALSE()))</f>
        <v/>
      </c>
      <c r="CU73" s="144" t="str">
        <f aca="false">IF($CH73&gt;$CG$8,"",VLOOKUP($CH73,$CJ$9:$CP$508,5,FALSE()))</f>
        <v/>
      </c>
      <c r="CV73" s="145" t="str">
        <f aca="false">IF($CH73&gt;$CG$8,"",VLOOKUP($CH73,$CJ$9:$CP$508,6,FALSE()))</f>
        <v/>
      </c>
      <c r="CW73" s="71"/>
    </row>
    <row r="74" customFormat="false" ht="15.75" hidden="false" customHeight="false" outlineLevel="0" collapsed="false">
      <c r="A74" s="9"/>
      <c r="B74" s="150"/>
      <c r="C74" s="151"/>
      <c r="D74" s="152"/>
      <c r="E74" s="170"/>
      <c r="F74" s="154"/>
      <c r="G74" s="155"/>
      <c r="H74" s="171"/>
      <c r="I74" s="159"/>
      <c r="J74" s="120"/>
      <c r="K74" s="121"/>
      <c r="L74" s="122"/>
      <c r="M74" s="158"/>
      <c r="N74" s="159"/>
      <c r="O74" s="159"/>
      <c r="P74" s="120"/>
      <c r="Q74" s="122"/>
      <c r="R74" s="122"/>
      <c r="S74" s="158"/>
      <c r="T74" s="159"/>
      <c r="U74" s="126"/>
      <c r="V74" s="127"/>
      <c r="W74" s="127" t="str">
        <f aca="false">IF(ISBLANK($C74),"",IF(E74=Constants!$B$2,TRUE(),IF(E74=Constants!$B$3,FALSE(),TRUE())))</f>
        <v/>
      </c>
      <c r="X74" s="127" t="str">
        <f aca="false">IF(ISBLANK($C74),"",IF(F74=Constants!$B$2,TRUE(),IF(F74=Constants!$B$3,FALSE(),TRUE())))</f>
        <v/>
      </c>
      <c r="Y74" s="127" t="str">
        <f aca="false">IF(ISBLANK($C74),"",IF(G74=Constants!$B$2,TRUE(),IF(G74=Constants!$B$3,FALSE(),TRUE())))</f>
        <v/>
      </c>
      <c r="Z74" s="127" t="str">
        <f aca="false">IF(ISBLANK($C74),"",IF(H74=Constants!$B$2,TRUE(),IF(H74=Constants!$B$3,FALSE(),TRUE())))</f>
        <v/>
      </c>
      <c r="AA74" s="127" t="str">
        <f aca="false">IF(ISBLANK($C74),"",IF(I74=Constants!$B$2,TRUE(),IF(I74=Constants!$B$3,FALSE(),TRUE())))</f>
        <v/>
      </c>
      <c r="AB74" s="127" t="str">
        <f aca="false">IF(ISBLANK($C74),"",IF(J74=Constants!$B$4,TRUE(),IF(J74=Constants!$B$5,FALSE(),COUNTA(K74:M74)&gt;0)))</f>
        <v/>
      </c>
      <c r="AC74" s="128" t="str">
        <f aca="false">IF(ISBLANK($C74),"",IF(ISNUMBER(K74),IF(K74&gt;=0,K74,""),""))</f>
        <v/>
      </c>
      <c r="AD74" s="129" t="str">
        <f aca="false">IF(ISBLANK($C74),"",IF(ISNUMBER(L74),IF(L74&gt;=0,L74,""),""))</f>
        <v/>
      </c>
      <c r="AE74" s="127" t="str">
        <f aca="false">IF(ISBLANK($C74),"",IF(ISNUMBER(M74),IF(M74&gt;=0,MIN(M74,Constants!$B$22),""),""))</f>
        <v/>
      </c>
      <c r="AF74" s="127" t="str">
        <f aca="false">IF(ISBLANK($C74),"",IF(N74=Constants!$B$2,TRUE(),IF(N74=Constants!$B$3,FALSE(),TRUE())))</f>
        <v/>
      </c>
      <c r="AG74" s="127" t="str">
        <f aca="false">IF(ISBLANK($C74),"",IF(O74=Constants!$B$2,TRUE(),IF(O74=Constants!$B$3,FALSE(),TRUE())))</f>
        <v/>
      </c>
      <c r="AH74" s="127" t="str">
        <f aca="false">IF(ISBLANK($C74),"",IF(P74=Constants!$B$4,TRUE(),IF(P74=Constants!$B$5,FALSE(),COUNTA(Q74:S74)&gt;0)))</f>
        <v/>
      </c>
      <c r="AI74" s="128" t="str">
        <f aca="false">IF(ISBLANK($C74),"",IF(ISNUMBER(Q74),IF(Q74&gt;=0,Q74,""),""))</f>
        <v/>
      </c>
      <c r="AJ74" s="129" t="str">
        <f aca="false">IF(ISBLANK($C74),"",IF(ISNUMBER(R74),IF(R74&gt;=0,R74,""),""))</f>
        <v/>
      </c>
      <c r="AK74" s="127" t="str">
        <f aca="false">IF(ISBLANK($C74),"",IF(ISNUMBER(S74),IF(S74&gt;=0,MIN(S74,Constants!$B$22),""),""))</f>
        <v/>
      </c>
      <c r="AL74" s="127" t="str">
        <f aca="false">IF(ISBLANK($C74),"",IF(T74=Constants!$B$2,TRUE(),IF(T74=Constants!$B$3,FALSE(),FALSE())))</f>
        <v/>
      </c>
      <c r="AM74" s="126" t="str">
        <f aca="false">IF(ISBLANK($C74),"",AND($AB74,OR($AC74="",$AD74="",AND(NOT(ISBLANK($M74)),$AE74=""))))</f>
        <v/>
      </c>
      <c r="AN74" s="129" t="str">
        <f aca="false">IF($BD74&lt;&gt;Constants!$B$6,"",IF($AB74,Constants!$B$17*$AD74,Constants!$B$18))</f>
        <v/>
      </c>
      <c r="AO74" s="130" t="str">
        <f aca="false">IF($BD74&lt;&gt;Constants!$B$6,"",Constants!$B$19*IF($AB74,$AC74,0))</f>
        <v/>
      </c>
      <c r="AP74" s="130" t="str">
        <f aca="false">IF($BD74&lt;&gt;Constants!$B$6,"",IF(AND($AB74,ISNUMBER($AE74)),Constants!$B$20*(Constants!$B$21-$AE74),0))</f>
        <v/>
      </c>
      <c r="AQ74" s="130" t="str">
        <f aca="false">IF($BD74&lt;&gt;Constants!$B$6,"",IF($AA74,0,Constants!$B$12)+IF($Z74,0,Constants!$B$13)+IF($Y74,0,Constants!$B$14))</f>
        <v/>
      </c>
      <c r="AR74" s="131" t="str">
        <f aca="false">IF($BD74&lt;&gt;Constants!$B$6,"",Constants!$B$16+SUM($AN74:$AQ74))</f>
        <v/>
      </c>
      <c r="AS74" s="130" t="str">
        <f aca="false">IF($BD74&lt;&gt;Constants!$B$6,"",IF($AB74,$AD74,""))</f>
        <v/>
      </c>
      <c r="AT74" s="132" t="str">
        <f aca="false">IF($BD74&lt;&gt;Constants!$B$6,"",$AO74)</f>
        <v/>
      </c>
      <c r="AU74" s="127" t="str">
        <f aca="false">IF($BD74&lt;&gt;Constants!$B$6,"",IF(OR($BA74&lt;$AR74,AND($BA74=$AR74,OR(AND(ISNUMBER($BB74),OR(NOT(ISNUMBER($AS74)),$BB74&lt;$AS74)),AND(OR(AND($BB74="",$AS74=""),AND(ISNUMBER($BB74),ISNUMBER($AS74),$BB74=$AS74)),$BC74&lt;$AT74)))),"-&gt;","&lt;-"))</f>
        <v/>
      </c>
      <c r="AV74" s="126" t="str">
        <f aca="false">IF(ISBLANK($C74),"",AND($AH74,OR($AI74="",$AJ74="",AND(NOT(ISBLANK($S74)),$AK74=""))))</f>
        <v/>
      </c>
      <c r="AW74" s="129" t="str">
        <f aca="false">IF($BD74&lt;&gt;Constants!$B$6,"",IF($AH74,Constants!$B$17*$AJ74,Constants!$B$18))</f>
        <v/>
      </c>
      <c r="AX74" s="130" t="str">
        <f aca="false">IF($BD74&lt;&gt;Constants!$B$6,"",Constants!$B$19*IF($AH74,$AI74,0))</f>
        <v/>
      </c>
      <c r="AY74" s="130" t="str">
        <f aca="false">IF($BD74&lt;&gt;Constants!$B$6,"",IF(AND($AH74,ISNUMBER($AK74)),Constants!$B$20*(Constants!$B$21-$AK74),0))</f>
        <v/>
      </c>
      <c r="AZ74" s="130" t="str">
        <f aca="false">IF($BD74&lt;&gt;Constants!$B$6,"",IF($AG74,0,Constants!$B$12)+IF($AF74,0,Constants!$B$13)+IF($Y74,0,Constants!$B$14))</f>
        <v/>
      </c>
      <c r="BA74" s="131" t="str">
        <f aca="false">IF($BD74&lt;&gt;Constants!$B$6,"",Constants!$B$16+SUM($AW74:$AZ74))</f>
        <v/>
      </c>
      <c r="BB74" s="130" t="str">
        <f aca="false">IF($BD74&lt;&gt;Constants!$B$6,"",IF($AH74,$AJ74,""))</f>
        <v/>
      </c>
      <c r="BC74" s="132" t="str">
        <f aca="false">IF($BD74&lt;&gt;Constants!$B$6,"",$AX74)</f>
        <v/>
      </c>
      <c r="BD74" s="127" t="str">
        <f aca="false">IF(ISBLANK($C74),"",IF($AL74,Constants!$B$9,IF(COUNTA($E74:$T74)=0,Constants!$B$8,IF(NOT($X74),Constants!$B$7,IF(OR($AM74,$AV74),Constants!$B$10,Constants!$B$6)))))</f>
        <v/>
      </c>
      <c r="BE74" s="127" t="str">
        <f aca="false">IF(ISBLANK($C74),"",IF($BD74&lt;&gt;Constants!$B$6,$BD74,Constants!$B$11))</f>
        <v/>
      </c>
      <c r="BF74" s="130" t="str">
        <f aca="false">IF($BD74&lt;&gt;Constants!$B$6,"",IF($AU74="-&gt;",$BA74,$AR74))</f>
        <v/>
      </c>
      <c r="BG74" s="130" t="str">
        <f aca="false">IF($BD74&lt;&gt;Constants!$B$6,"",IF($W74,0,Constants!$B$15))</f>
        <v/>
      </c>
      <c r="BH74" s="130" t="str">
        <f aca="false">IF(ISBLANK($C74),"",IF($BD74&lt;&gt;Constants!$B$6,$BD74,SUM($BF74:$BG74)))</f>
        <v/>
      </c>
      <c r="BI74" s="127" t="str">
        <f aca="false">IF(ISBLANK($C74),"",IF($BD74&lt;&gt;Constants!$B$6,$BD74,RANK($BH74,$BH$9:$BH$508,1)))</f>
        <v/>
      </c>
      <c r="BJ74" s="130" t="str">
        <f aca="false">IF($BD74&lt;&gt;Constants!$B$6,"",IF($AU74="-&gt;",$BB74,$AS74))</f>
        <v/>
      </c>
      <c r="BK74" s="127" t="str">
        <f aca="false">IF(ISBLANK($C74),"",IF($BD74&lt;&gt;Constants!$B$6,$BD74,IF(ISNUMBER($BJ74),RANK($BJ74,$BJ$9:$BJ$508,1),COUNT($BJ$9:$BJ$508)+1)))</f>
        <v/>
      </c>
      <c r="BL74" s="130" t="str">
        <f aca="false">IF($BD74&lt;&gt;Constants!$B$6,"",IF($AU74="-&gt;",$BC74,$AT74))</f>
        <v/>
      </c>
      <c r="BM74" s="127" t="str">
        <f aca="false">IF(ISBLANK($C74),"",IF($BD74&lt;&gt;Constants!$B$6,$BD74,IF(ISNUMBER($BL74),RANK($BL74,$BL$9:$BL$508,1),COUNT($BL$9:$BL$508)+1)))</f>
        <v/>
      </c>
      <c r="BN74" s="130" t="str">
        <f aca="false">IF($BD74&lt;&gt;Constants!$B$6,"",IF($AU74="-&gt;",$AS74,$BB74))</f>
        <v/>
      </c>
      <c r="BO74" s="127" t="str">
        <f aca="false">IF(ISBLANK($C74),"",IF($BD74&lt;&gt;Constants!$B$6,$BD74,IF(ISNUMBER($BN74),RANK($BN74,$BN$9:$BN$508,1),COUNT($BN$9:$BN$508)+1)))</f>
        <v/>
      </c>
      <c r="BP74" s="130" t="str">
        <f aca="false">IF($BD74&lt;&gt;Constants!$B$6,"",IF($AU74="-&gt;",$AT74,$BC74))</f>
        <v/>
      </c>
      <c r="BQ74" s="127" t="str">
        <f aca="false">IF(ISBLANK($C74),"",IF($BD74&lt;&gt;Constants!$B$6,$BD74,IF(ISNUMBER($BP74),RANK($BP74,$BP$9:$BP$508,1),COUNT($BP$9:$BP$508)+1)))</f>
        <v/>
      </c>
      <c r="BR74" s="127" t="str">
        <f aca="false">IF(ISBLANK($C74),"",IF($BD74&lt;&gt;Constants!$B$6,$BD74,COUNTIFS($BI$9:$BI$508,"&lt;"&amp;$BI74)+COUNTIFS($BI$9:$BI$508,$BI74,$BK$9:$BK$508,"&lt;"&amp;$BK74)+COUNTIFS($BI$9:$BI$508,$BI74,$BK$9:$BK$508,$BK74,$BM$9:$BM$508,"&lt;"&amp;$BM74)+COUNTIFS($BI$9:$BI$508,$BI74,$BK$9:$BK$508,$BK74,$BM$9:$BM$508,$BM74,$BO$9:$BO$508,"&lt;"&amp;$BO74)+COUNTIFS($BI$9:$BI$508,$BI74,$BK$9:$BK$508,$BK74,$BM$9:$BM$508,$BM74,$BO$9:$BO$508,$BO74,$BQ$9:$BQ$508,"&lt;"&amp;$BQ74)+1))</f>
        <v/>
      </c>
      <c r="BS74" s="127" t="str">
        <f aca="false">IF(ISBLANK($C74),"",IF($BD74&lt;&gt;Constants!$B$6,$BD74,$BI74-$BR74))</f>
        <v/>
      </c>
      <c r="BT74" s="133"/>
      <c r="BU74" s="134"/>
      <c r="BV74" s="134" t="str">
        <f aca="false">IF(ISBLANK($C74),"",IF($BD74&lt;&gt;Constants!$B$6,"",IF($AU74="-&gt;",2,1)))</f>
        <v/>
      </c>
      <c r="BW74" s="135" t="str">
        <f aca="false">IF(ISBLANK($C74),"",IF($BD74&lt;&gt;Constants!$B$6,"",IF($AU74="-&gt;",$AW74,$AN74)))</f>
        <v/>
      </c>
      <c r="BX74" s="135" t="str">
        <f aca="false">IF(ISBLANK($C74),"",IF($BD74&lt;&gt;Constants!$B$6,"",IF($AU74="-&gt;",$AX74,$AO74)))</f>
        <v/>
      </c>
      <c r="BY74" s="135" t="str">
        <f aca="false">IF(ISBLANK($C74),"",IF($BD74&lt;&gt;Constants!$B$6,"",IF($AU74="-&gt;",$AY74,$AP74)))</f>
        <v/>
      </c>
      <c r="BZ74" s="135" t="str">
        <f aca="false">IF(ISBLANK($C74),"",IF($BD74&lt;&gt;Constants!$B$6,"",IF($AU74="-&gt;",$AZ74,$AQ74)+$BG74))</f>
        <v/>
      </c>
      <c r="CA74" s="136" t="str">
        <f aca="false">IF(ISBLANK($C74),"",IF($BD74&lt;&gt;Constants!$B$6,$BD74,$BH74))</f>
        <v/>
      </c>
      <c r="CB74" s="137" t="str">
        <f aca="false">IF(ISBLANK($C74),"",$BE74)</f>
        <v/>
      </c>
      <c r="CC74" s="138" t="str">
        <f aca="false">IF(ISBLANK($C74),"",$BS74)</f>
        <v/>
      </c>
      <c r="CD74" s="138" t="str">
        <f aca="false">IF(ISBLANK($C74),"",$BR74)</f>
        <v/>
      </c>
      <c r="CE74" s="139" t="str">
        <f aca="false">IF(ISBLANK($C74),"",IF($CD74=Constants!$B$9,COUNTA($C$9:$C$508)+2,IF($CD74=Constants!$B$8,COUNTA($C$9:$C$508)+1,IF($CD74=Constants!$B$7,COUNTA($C$9:$C$508),$CD74))))</f>
        <v/>
      </c>
      <c r="CF74" s="9"/>
      <c r="CG74" s="140" t="n">
        <f aca="false">IF(OR(ISNUMBER($CD74),$CD74=Constants!$B$9,$CD74=Constants!$B$7,$CD74=Constants!$B$8),1,0)</f>
        <v>0</v>
      </c>
      <c r="CH74" s="140" t="n">
        <v>66</v>
      </c>
      <c r="CI74" s="140" t="str">
        <f aca="false">IF(ISBLANK($C74),"",IF(ISNUMBER($CE74),$CE74+ROW($B74)/1000,""))</f>
        <v/>
      </c>
      <c r="CJ74" s="140" t="str">
        <f aca="false">IF(ISNUMBER($CI74),RANK($CI74,$CI$9:$CI$508,1),"")</f>
        <v/>
      </c>
      <c r="CK74" s="140" t="str">
        <f aca="false">IF(ISBLANK($C74),"",$B74)</f>
        <v/>
      </c>
      <c r="CL74" s="140" t="str">
        <f aca="false">IF(ISBLANK($C74),"",$C74)</f>
        <v/>
      </c>
      <c r="CM74" s="140" t="str">
        <f aca="false">IF(ISBLANK($C74),"",$D74)</f>
        <v/>
      </c>
      <c r="CN74" s="141" t="str">
        <f aca="false">$CB74</f>
        <v/>
      </c>
      <c r="CO74" s="142" t="str">
        <f aca="false">$CA74</f>
        <v/>
      </c>
      <c r="CP74" s="140" t="str">
        <f aca="false">IF(ISBLANK($C74),"",$CD74)</f>
        <v/>
      </c>
      <c r="CQ74" s="143" t="str">
        <f aca="false">IF($CH74&gt;$CG$8,"",VLOOKUP($CH74,$CJ$9:$CP$508,7,FALSE()))</f>
        <v/>
      </c>
      <c r="CR74" s="144" t="str">
        <f aca="false">IF($CH74&gt;$CG$8,"",VLOOKUP($CH74,$CJ$9:$CP$508,2,FALSE()))</f>
        <v/>
      </c>
      <c r="CS74" s="144" t="str">
        <f aca="false">IF($CH74&gt;$CG$8,"",VLOOKUP($CH74,$CJ$9:$CP$508,3,FALSE()))</f>
        <v/>
      </c>
      <c r="CT74" s="144" t="str">
        <f aca="false">IF($CH74&gt;$CG$8,"",VLOOKUP($CH74,$CJ$9:$CP$508,4,FALSE()))</f>
        <v/>
      </c>
      <c r="CU74" s="144" t="str">
        <f aca="false">IF($CH74&gt;$CG$8,"",VLOOKUP($CH74,$CJ$9:$CP$508,5,FALSE()))</f>
        <v/>
      </c>
      <c r="CV74" s="145" t="str">
        <f aca="false">IF($CH74&gt;$CG$8,"",VLOOKUP($CH74,$CJ$9:$CP$508,6,FALSE()))</f>
        <v/>
      </c>
      <c r="CW74" s="71"/>
    </row>
    <row r="75" customFormat="false" ht="15.75" hidden="false" customHeight="false" outlineLevel="0" collapsed="false">
      <c r="A75" s="9"/>
      <c r="B75" s="72"/>
      <c r="C75" s="73"/>
      <c r="D75" s="160"/>
      <c r="E75" s="168"/>
      <c r="F75" s="162"/>
      <c r="G75" s="163"/>
      <c r="H75" s="169"/>
      <c r="I75" s="167"/>
      <c r="J75" s="80"/>
      <c r="K75" s="81"/>
      <c r="L75" s="82"/>
      <c r="M75" s="166"/>
      <c r="N75" s="167"/>
      <c r="O75" s="167"/>
      <c r="P75" s="80"/>
      <c r="Q75" s="82"/>
      <c r="R75" s="82"/>
      <c r="S75" s="166"/>
      <c r="T75" s="167"/>
      <c r="U75" s="86"/>
      <c r="V75" s="87"/>
      <c r="W75" s="87" t="str">
        <f aca="false">IF(ISBLANK($C75),"",IF(E75=Constants!$B$2,TRUE(),IF(E75=Constants!$B$3,FALSE(),TRUE())))</f>
        <v/>
      </c>
      <c r="X75" s="87" t="str">
        <f aca="false">IF(ISBLANK($C75),"",IF(F75=Constants!$B$2,TRUE(),IF(F75=Constants!$B$3,FALSE(),TRUE())))</f>
        <v/>
      </c>
      <c r="Y75" s="87" t="str">
        <f aca="false">IF(ISBLANK($C75),"",IF(G75=Constants!$B$2,TRUE(),IF(G75=Constants!$B$3,FALSE(),TRUE())))</f>
        <v/>
      </c>
      <c r="Z75" s="87" t="str">
        <f aca="false">IF(ISBLANK($C75),"",IF(H75=Constants!$B$2,TRUE(),IF(H75=Constants!$B$3,FALSE(),TRUE())))</f>
        <v/>
      </c>
      <c r="AA75" s="87" t="str">
        <f aca="false">IF(ISBLANK($C75),"",IF(I75=Constants!$B$2,TRUE(),IF(I75=Constants!$B$3,FALSE(),TRUE())))</f>
        <v/>
      </c>
      <c r="AB75" s="87" t="str">
        <f aca="false">IF(ISBLANK($C75),"",IF(J75=Constants!$B$4,TRUE(),IF(J75=Constants!$B$5,FALSE(),COUNTA(K75:M75)&gt;0)))</f>
        <v/>
      </c>
      <c r="AC75" s="88" t="str">
        <f aca="false">IF(ISBLANK($C75),"",IF(ISNUMBER(K75),IF(K75&gt;=0,K75,""),""))</f>
        <v/>
      </c>
      <c r="AD75" s="89" t="str">
        <f aca="false">IF(ISBLANK($C75),"",IF(ISNUMBER(L75),IF(L75&gt;=0,L75,""),""))</f>
        <v/>
      </c>
      <c r="AE75" s="87" t="str">
        <f aca="false">IF(ISBLANK($C75),"",IF(ISNUMBER(M75),IF(M75&gt;=0,MIN(M75,Constants!$B$22),""),""))</f>
        <v/>
      </c>
      <c r="AF75" s="87" t="str">
        <f aca="false">IF(ISBLANK($C75),"",IF(N75=Constants!$B$2,TRUE(),IF(N75=Constants!$B$3,FALSE(),TRUE())))</f>
        <v/>
      </c>
      <c r="AG75" s="87" t="str">
        <f aca="false">IF(ISBLANK($C75),"",IF(O75=Constants!$B$2,TRUE(),IF(O75=Constants!$B$3,FALSE(),TRUE())))</f>
        <v/>
      </c>
      <c r="AH75" s="87" t="str">
        <f aca="false">IF(ISBLANK($C75),"",IF(P75=Constants!$B$4,TRUE(),IF(P75=Constants!$B$5,FALSE(),COUNTA(Q75:S75)&gt;0)))</f>
        <v/>
      </c>
      <c r="AI75" s="88" t="str">
        <f aca="false">IF(ISBLANK($C75),"",IF(ISNUMBER(Q75),IF(Q75&gt;=0,Q75,""),""))</f>
        <v/>
      </c>
      <c r="AJ75" s="89" t="str">
        <f aca="false">IF(ISBLANK($C75),"",IF(ISNUMBER(R75),IF(R75&gt;=0,R75,""),""))</f>
        <v/>
      </c>
      <c r="AK75" s="87" t="str">
        <f aca="false">IF(ISBLANK($C75),"",IF(ISNUMBER(S75),IF(S75&gt;=0,MIN(S75,Constants!$B$22),""),""))</f>
        <v/>
      </c>
      <c r="AL75" s="87" t="str">
        <f aca="false">IF(ISBLANK($C75),"",IF(T75=Constants!$B$2,TRUE(),IF(T75=Constants!$B$3,FALSE(),FALSE())))</f>
        <v/>
      </c>
      <c r="AM75" s="86" t="str">
        <f aca="false">IF(ISBLANK($C75),"",AND($AB75,OR($AC75="",$AD75="",AND(NOT(ISBLANK($M75)),$AE75=""))))</f>
        <v/>
      </c>
      <c r="AN75" s="89" t="str">
        <f aca="false">IF($BD75&lt;&gt;Constants!$B$6,"",IF($AB75,Constants!$B$17*$AD75,Constants!$B$18))</f>
        <v/>
      </c>
      <c r="AO75" s="91" t="str">
        <f aca="false">IF($BD75&lt;&gt;Constants!$B$6,"",Constants!$B$19*IF($AB75,$AC75,0))</f>
        <v/>
      </c>
      <c r="AP75" s="91" t="str">
        <f aca="false">IF($BD75&lt;&gt;Constants!$B$6,"",IF(AND($AB75,ISNUMBER($AE75)),Constants!$B$20*(Constants!$B$21-$AE75),0))</f>
        <v/>
      </c>
      <c r="AQ75" s="91" t="str">
        <f aca="false">IF($BD75&lt;&gt;Constants!$B$6,"",IF($AA75,0,Constants!$B$12)+IF($Z75,0,Constants!$B$13)+IF($Y75,0,Constants!$B$14))</f>
        <v/>
      </c>
      <c r="AR75" s="92" t="str">
        <f aca="false">IF($BD75&lt;&gt;Constants!$B$6,"",Constants!$B$16+SUM($AN75:$AQ75))</f>
        <v/>
      </c>
      <c r="AS75" s="91" t="str">
        <f aca="false">IF($BD75&lt;&gt;Constants!$B$6,"",IF($AB75,$AD75,""))</f>
        <v/>
      </c>
      <c r="AT75" s="93" t="str">
        <f aca="false">IF($BD75&lt;&gt;Constants!$B$6,"",$AO75)</f>
        <v/>
      </c>
      <c r="AU75" s="87" t="str">
        <f aca="false">IF($BD75&lt;&gt;Constants!$B$6,"",IF(OR($BA75&lt;$AR75,AND($BA75=$AR75,OR(AND(ISNUMBER($BB75),OR(NOT(ISNUMBER($AS75)),$BB75&lt;$AS75)),AND(OR(AND($BB75="",$AS75=""),AND(ISNUMBER($BB75),ISNUMBER($AS75),$BB75=$AS75)),$BC75&lt;$AT75)))),"-&gt;","&lt;-"))</f>
        <v/>
      </c>
      <c r="AV75" s="86" t="str">
        <f aca="false">IF(ISBLANK($C75),"",AND($AH75,OR($AI75="",$AJ75="",AND(NOT(ISBLANK($S75)),$AK75=""))))</f>
        <v/>
      </c>
      <c r="AW75" s="89" t="str">
        <f aca="false">IF($BD75&lt;&gt;Constants!$B$6,"",IF($AH75,Constants!$B$17*$AJ75,Constants!$B$18))</f>
        <v/>
      </c>
      <c r="AX75" s="91" t="str">
        <f aca="false">IF($BD75&lt;&gt;Constants!$B$6,"",Constants!$B$19*IF($AH75,$AI75,0))</f>
        <v/>
      </c>
      <c r="AY75" s="91" t="str">
        <f aca="false">IF($BD75&lt;&gt;Constants!$B$6,"",IF(AND($AH75,ISNUMBER($AK75)),Constants!$B$20*(Constants!$B$21-$AK75),0))</f>
        <v/>
      </c>
      <c r="AZ75" s="91" t="str">
        <f aca="false">IF($BD75&lt;&gt;Constants!$B$6,"",IF($AG75,0,Constants!$B$12)+IF($AF75,0,Constants!$B$13)+IF($Y75,0,Constants!$B$14))</f>
        <v/>
      </c>
      <c r="BA75" s="92" t="str">
        <f aca="false">IF($BD75&lt;&gt;Constants!$B$6,"",Constants!$B$16+SUM($AW75:$AZ75))</f>
        <v/>
      </c>
      <c r="BB75" s="91" t="str">
        <f aca="false">IF($BD75&lt;&gt;Constants!$B$6,"",IF($AH75,$AJ75,""))</f>
        <v/>
      </c>
      <c r="BC75" s="93" t="str">
        <f aca="false">IF($BD75&lt;&gt;Constants!$B$6,"",$AX75)</f>
        <v/>
      </c>
      <c r="BD75" s="87" t="str">
        <f aca="false">IF(ISBLANK($C75),"",IF($AL75,Constants!$B$9,IF(COUNTA($E75:$T75)=0,Constants!$B$8,IF(NOT($X75),Constants!$B$7,IF(OR($AM75,$AV75),Constants!$B$10,Constants!$B$6)))))</f>
        <v/>
      </c>
      <c r="BE75" s="87" t="str">
        <f aca="false">IF(ISBLANK($C75),"",IF($BD75&lt;&gt;Constants!$B$6,$BD75,Constants!$B$11))</f>
        <v/>
      </c>
      <c r="BF75" s="91" t="str">
        <f aca="false">IF($BD75&lt;&gt;Constants!$B$6,"",IF($AU75="-&gt;",$BA75,$AR75))</f>
        <v/>
      </c>
      <c r="BG75" s="91" t="str">
        <f aca="false">IF($BD75&lt;&gt;Constants!$B$6,"",IF($W75,0,Constants!$B$15))</f>
        <v/>
      </c>
      <c r="BH75" s="91" t="str">
        <f aca="false">IF(ISBLANK($C75),"",IF($BD75&lt;&gt;Constants!$B$6,$BD75,SUM($BF75:$BG75)))</f>
        <v/>
      </c>
      <c r="BI75" s="87" t="str">
        <f aca="false">IF(ISBLANK($C75),"",IF($BD75&lt;&gt;Constants!$B$6,$BD75,RANK($BH75,$BH$9:$BH$508,1)))</f>
        <v/>
      </c>
      <c r="BJ75" s="91" t="str">
        <f aca="false">IF($BD75&lt;&gt;Constants!$B$6,"",IF($AU75="-&gt;",$BB75,$AS75))</f>
        <v/>
      </c>
      <c r="BK75" s="87" t="str">
        <f aca="false">IF(ISBLANK($C75),"",IF($BD75&lt;&gt;Constants!$B$6,$BD75,IF(ISNUMBER($BJ75),RANK($BJ75,$BJ$9:$BJ$508,1),COUNT($BJ$9:$BJ$508)+1)))</f>
        <v/>
      </c>
      <c r="BL75" s="91" t="str">
        <f aca="false">IF($BD75&lt;&gt;Constants!$B$6,"",IF($AU75="-&gt;",$BC75,$AT75))</f>
        <v/>
      </c>
      <c r="BM75" s="87" t="str">
        <f aca="false">IF(ISBLANK($C75),"",IF($BD75&lt;&gt;Constants!$B$6,$BD75,IF(ISNUMBER($BL75),RANK($BL75,$BL$9:$BL$508,1),COUNT($BL$9:$BL$508)+1)))</f>
        <v/>
      </c>
      <c r="BN75" s="91" t="str">
        <f aca="false">IF($BD75&lt;&gt;Constants!$B$6,"",IF($AU75="-&gt;",$AS75,$BB75))</f>
        <v/>
      </c>
      <c r="BO75" s="87" t="str">
        <f aca="false">IF(ISBLANK($C75),"",IF($BD75&lt;&gt;Constants!$B$6,$BD75,IF(ISNUMBER($BN75),RANK($BN75,$BN$9:$BN$508,1),COUNT($BN$9:$BN$508)+1)))</f>
        <v/>
      </c>
      <c r="BP75" s="91" t="str">
        <f aca="false">IF($BD75&lt;&gt;Constants!$B$6,"",IF($AU75="-&gt;",$AT75,$BC75))</f>
        <v/>
      </c>
      <c r="BQ75" s="87" t="str">
        <f aca="false">IF(ISBLANK($C75),"",IF($BD75&lt;&gt;Constants!$B$6,$BD75,IF(ISNUMBER($BP75),RANK($BP75,$BP$9:$BP$508,1),COUNT($BP$9:$BP$508)+1)))</f>
        <v/>
      </c>
      <c r="BR75" s="87" t="str">
        <f aca="false">IF(ISBLANK($C75),"",IF($BD75&lt;&gt;Constants!$B$6,$BD75,COUNTIFS($BI$9:$BI$508,"&lt;"&amp;$BI75)+COUNTIFS($BI$9:$BI$508,$BI75,$BK$9:$BK$508,"&lt;"&amp;$BK75)+COUNTIFS($BI$9:$BI$508,$BI75,$BK$9:$BK$508,$BK75,$BM$9:$BM$508,"&lt;"&amp;$BM75)+COUNTIFS($BI$9:$BI$508,$BI75,$BK$9:$BK$508,$BK75,$BM$9:$BM$508,$BM75,$BO$9:$BO$508,"&lt;"&amp;$BO75)+COUNTIFS($BI$9:$BI$508,$BI75,$BK$9:$BK$508,$BK75,$BM$9:$BM$508,$BM75,$BO$9:$BO$508,$BO75,$BQ$9:$BQ$508,"&lt;"&amp;$BQ75)+1))</f>
        <v/>
      </c>
      <c r="BS75" s="87" t="str">
        <f aca="false">IF(ISBLANK($C75),"",IF($BD75&lt;&gt;Constants!$B$6,$BD75,$BI75-$BR75))</f>
        <v/>
      </c>
      <c r="BT75" s="94"/>
      <c r="BU75" s="95"/>
      <c r="BV75" s="95" t="str">
        <f aca="false">IF(ISBLANK($C75),"",IF($BD75&lt;&gt;Constants!$B$6,"",IF($AU75="-&gt;",2,1)))</f>
        <v/>
      </c>
      <c r="BW75" s="96" t="str">
        <f aca="false">IF(ISBLANK($C75),"",IF($BD75&lt;&gt;Constants!$B$6,"",IF($AU75="-&gt;",$AW75,$AN75)))</f>
        <v/>
      </c>
      <c r="BX75" s="96" t="str">
        <f aca="false">IF(ISBLANK($C75),"",IF($BD75&lt;&gt;Constants!$B$6,"",IF($AU75="-&gt;",$AX75,$AO75)))</f>
        <v/>
      </c>
      <c r="BY75" s="96" t="str">
        <f aca="false">IF(ISBLANK($C75),"",IF($BD75&lt;&gt;Constants!$B$6,"",IF($AU75="-&gt;",$AY75,$AP75)))</f>
        <v/>
      </c>
      <c r="BZ75" s="96" t="str">
        <f aca="false">IF(ISBLANK($C75),"",IF($BD75&lt;&gt;Constants!$B$6,"",IF($AU75="-&gt;",$AZ75,$AQ75)+$BG75))</f>
        <v/>
      </c>
      <c r="CA75" s="97" t="str">
        <f aca="false">IF(ISBLANK($C75),"",IF($BD75&lt;&gt;Constants!$B$6,$BD75,$BH75))</f>
        <v/>
      </c>
      <c r="CB75" s="98" t="str">
        <f aca="false">IF(ISBLANK($C75),"",$BE75)</f>
        <v/>
      </c>
      <c r="CC75" s="99" t="str">
        <f aca="false">IF(ISBLANK($C75),"",$BS75)</f>
        <v/>
      </c>
      <c r="CD75" s="99" t="str">
        <f aca="false">IF(ISBLANK($C75),"",$BR75)</f>
        <v/>
      </c>
      <c r="CE75" s="100" t="str">
        <f aca="false">IF(ISBLANK($C75),"",IF($CD75=Constants!$B$9,COUNTA($C$9:$C$508)+2,IF($CD75=Constants!$B$8,COUNTA($C$9:$C$508)+1,IF($CD75=Constants!$B$7,COUNTA($C$9:$C$508),$CD75))))</f>
        <v/>
      </c>
      <c r="CF75" s="9"/>
      <c r="CG75" s="101" t="n">
        <f aca="false">IF(OR(ISNUMBER($CD75),$CD75=Constants!$B$9,$CD75=Constants!$B$7,$CD75=Constants!$B$8),1,0)</f>
        <v>0</v>
      </c>
      <c r="CH75" s="101" t="n">
        <v>67</v>
      </c>
      <c r="CI75" s="101" t="str">
        <f aca="false">IF(ISBLANK($C75),"",IF(ISNUMBER($CE75),$CE75+ROW($B75)/1000,""))</f>
        <v/>
      </c>
      <c r="CJ75" s="101" t="str">
        <f aca="false">IF(ISNUMBER($CI75),RANK($CI75,$CI$9:$CI$508,1),"")</f>
        <v/>
      </c>
      <c r="CK75" s="101" t="str">
        <f aca="false">IF(ISBLANK($C75),"",$B75)</f>
        <v/>
      </c>
      <c r="CL75" s="101" t="str">
        <f aca="false">IF(ISBLANK($C75),"",$C75)</f>
        <v/>
      </c>
      <c r="CM75" s="101" t="str">
        <f aca="false">IF(ISBLANK($C75),"",$D75)</f>
        <v/>
      </c>
      <c r="CN75" s="102" t="str">
        <f aca="false">$CB75</f>
        <v/>
      </c>
      <c r="CO75" s="103" t="str">
        <f aca="false">$CA75</f>
        <v/>
      </c>
      <c r="CP75" s="101" t="str">
        <f aca="false">IF(ISBLANK($C75),"",$CD75)</f>
        <v/>
      </c>
      <c r="CQ75" s="104" t="str">
        <f aca="false">IF($CH75&gt;$CG$8,"",VLOOKUP($CH75,$CJ$9:$CP$508,7,FALSE()))</f>
        <v/>
      </c>
      <c r="CR75" s="105" t="str">
        <f aca="false">IF($CH75&gt;$CG$8,"",VLOOKUP($CH75,$CJ$9:$CP$508,2,FALSE()))</f>
        <v/>
      </c>
      <c r="CS75" s="105" t="str">
        <f aca="false">IF($CH75&gt;$CG$8,"",VLOOKUP($CH75,$CJ$9:$CP$508,3,FALSE()))</f>
        <v/>
      </c>
      <c r="CT75" s="105" t="str">
        <f aca="false">IF($CH75&gt;$CG$8,"",VLOOKUP($CH75,$CJ$9:$CP$508,4,FALSE()))</f>
        <v/>
      </c>
      <c r="CU75" s="105" t="str">
        <f aca="false">IF($CH75&gt;$CG$8,"",VLOOKUP($CH75,$CJ$9:$CP$508,5,FALSE()))</f>
        <v/>
      </c>
      <c r="CV75" s="106" t="str">
        <f aca="false">IF($CH75&gt;$CG$8,"",VLOOKUP($CH75,$CJ$9:$CP$508,6,FALSE()))</f>
        <v/>
      </c>
      <c r="CW75" s="71"/>
    </row>
    <row r="76" customFormat="false" ht="15.75" hidden="false" customHeight="false" outlineLevel="0" collapsed="false">
      <c r="A76" s="9"/>
      <c r="B76" s="72"/>
      <c r="C76" s="73"/>
      <c r="D76" s="160"/>
      <c r="E76" s="168"/>
      <c r="F76" s="162"/>
      <c r="G76" s="163"/>
      <c r="H76" s="169"/>
      <c r="I76" s="167"/>
      <c r="J76" s="80"/>
      <c r="K76" s="81"/>
      <c r="L76" s="82"/>
      <c r="M76" s="166"/>
      <c r="N76" s="167"/>
      <c r="O76" s="167"/>
      <c r="P76" s="80"/>
      <c r="Q76" s="82"/>
      <c r="R76" s="82"/>
      <c r="S76" s="166"/>
      <c r="T76" s="167"/>
      <c r="U76" s="86"/>
      <c r="V76" s="87"/>
      <c r="W76" s="87" t="str">
        <f aca="false">IF(ISBLANK($C76),"",IF(E76=Constants!$B$2,TRUE(),IF(E76=Constants!$B$3,FALSE(),TRUE())))</f>
        <v/>
      </c>
      <c r="X76" s="87" t="str">
        <f aca="false">IF(ISBLANK($C76),"",IF(F76=Constants!$B$2,TRUE(),IF(F76=Constants!$B$3,FALSE(),TRUE())))</f>
        <v/>
      </c>
      <c r="Y76" s="87" t="str">
        <f aca="false">IF(ISBLANK($C76),"",IF(G76=Constants!$B$2,TRUE(),IF(G76=Constants!$B$3,FALSE(),TRUE())))</f>
        <v/>
      </c>
      <c r="Z76" s="87" t="str">
        <f aca="false">IF(ISBLANK($C76),"",IF(H76=Constants!$B$2,TRUE(),IF(H76=Constants!$B$3,FALSE(),TRUE())))</f>
        <v/>
      </c>
      <c r="AA76" s="87" t="str">
        <f aca="false">IF(ISBLANK($C76),"",IF(I76=Constants!$B$2,TRUE(),IF(I76=Constants!$B$3,FALSE(),TRUE())))</f>
        <v/>
      </c>
      <c r="AB76" s="87" t="str">
        <f aca="false">IF(ISBLANK($C76),"",IF(J76=Constants!$B$4,TRUE(),IF(J76=Constants!$B$5,FALSE(),COUNTA(K76:M76)&gt;0)))</f>
        <v/>
      </c>
      <c r="AC76" s="88" t="str">
        <f aca="false">IF(ISBLANK($C76),"",IF(ISNUMBER(K76),IF(K76&gt;=0,K76,""),""))</f>
        <v/>
      </c>
      <c r="AD76" s="89" t="str">
        <f aca="false">IF(ISBLANK($C76),"",IF(ISNUMBER(L76),IF(L76&gt;=0,L76,""),""))</f>
        <v/>
      </c>
      <c r="AE76" s="87" t="str">
        <f aca="false">IF(ISBLANK($C76),"",IF(ISNUMBER(M76),IF(M76&gt;=0,MIN(M76,Constants!$B$22),""),""))</f>
        <v/>
      </c>
      <c r="AF76" s="87" t="str">
        <f aca="false">IF(ISBLANK($C76),"",IF(N76=Constants!$B$2,TRUE(),IF(N76=Constants!$B$3,FALSE(),TRUE())))</f>
        <v/>
      </c>
      <c r="AG76" s="87" t="str">
        <f aca="false">IF(ISBLANK($C76),"",IF(O76=Constants!$B$2,TRUE(),IF(O76=Constants!$B$3,FALSE(),TRUE())))</f>
        <v/>
      </c>
      <c r="AH76" s="87" t="str">
        <f aca="false">IF(ISBLANK($C76),"",IF(P76=Constants!$B$4,TRUE(),IF(P76=Constants!$B$5,FALSE(),COUNTA(Q76:S76)&gt;0)))</f>
        <v/>
      </c>
      <c r="AI76" s="88" t="str">
        <f aca="false">IF(ISBLANK($C76),"",IF(ISNUMBER(Q76),IF(Q76&gt;=0,Q76,""),""))</f>
        <v/>
      </c>
      <c r="AJ76" s="89" t="str">
        <f aca="false">IF(ISBLANK($C76),"",IF(ISNUMBER(R76),IF(R76&gt;=0,R76,""),""))</f>
        <v/>
      </c>
      <c r="AK76" s="87" t="str">
        <f aca="false">IF(ISBLANK($C76),"",IF(ISNUMBER(S76),IF(S76&gt;=0,MIN(S76,Constants!$B$22),""),""))</f>
        <v/>
      </c>
      <c r="AL76" s="87" t="str">
        <f aca="false">IF(ISBLANK($C76),"",IF(T76=Constants!$B$2,TRUE(),IF(T76=Constants!$B$3,FALSE(),FALSE())))</f>
        <v/>
      </c>
      <c r="AM76" s="86" t="str">
        <f aca="false">IF(ISBLANK($C76),"",AND($AB76,OR($AC76="",$AD76="",AND(NOT(ISBLANK($M76)),$AE76=""))))</f>
        <v/>
      </c>
      <c r="AN76" s="89" t="str">
        <f aca="false">IF($BD76&lt;&gt;Constants!$B$6,"",IF($AB76,Constants!$B$17*$AD76,Constants!$B$18))</f>
        <v/>
      </c>
      <c r="AO76" s="91" t="str">
        <f aca="false">IF($BD76&lt;&gt;Constants!$B$6,"",Constants!$B$19*IF($AB76,$AC76,0))</f>
        <v/>
      </c>
      <c r="AP76" s="91" t="str">
        <f aca="false">IF($BD76&lt;&gt;Constants!$B$6,"",IF(AND($AB76,ISNUMBER($AE76)),Constants!$B$20*(Constants!$B$21-$AE76),0))</f>
        <v/>
      </c>
      <c r="AQ76" s="91" t="str">
        <f aca="false">IF($BD76&lt;&gt;Constants!$B$6,"",IF($AA76,0,Constants!$B$12)+IF($Z76,0,Constants!$B$13)+IF($Y76,0,Constants!$B$14))</f>
        <v/>
      </c>
      <c r="AR76" s="92" t="str">
        <f aca="false">IF($BD76&lt;&gt;Constants!$B$6,"",Constants!$B$16+SUM($AN76:$AQ76))</f>
        <v/>
      </c>
      <c r="AS76" s="91" t="str">
        <f aca="false">IF($BD76&lt;&gt;Constants!$B$6,"",IF($AB76,$AD76,""))</f>
        <v/>
      </c>
      <c r="AT76" s="93" t="str">
        <f aca="false">IF($BD76&lt;&gt;Constants!$B$6,"",$AO76)</f>
        <v/>
      </c>
      <c r="AU76" s="87" t="str">
        <f aca="false">IF($BD76&lt;&gt;Constants!$B$6,"",IF(OR($BA76&lt;$AR76,AND($BA76=$AR76,OR(AND(ISNUMBER($BB76),OR(NOT(ISNUMBER($AS76)),$BB76&lt;$AS76)),AND(OR(AND($BB76="",$AS76=""),AND(ISNUMBER($BB76),ISNUMBER($AS76),$BB76=$AS76)),$BC76&lt;$AT76)))),"-&gt;","&lt;-"))</f>
        <v/>
      </c>
      <c r="AV76" s="86" t="str">
        <f aca="false">IF(ISBLANK($C76),"",AND($AH76,OR($AI76="",$AJ76="",AND(NOT(ISBLANK($S76)),$AK76=""))))</f>
        <v/>
      </c>
      <c r="AW76" s="89" t="str">
        <f aca="false">IF($BD76&lt;&gt;Constants!$B$6,"",IF($AH76,Constants!$B$17*$AJ76,Constants!$B$18))</f>
        <v/>
      </c>
      <c r="AX76" s="91" t="str">
        <f aca="false">IF($BD76&lt;&gt;Constants!$B$6,"",Constants!$B$19*IF($AH76,$AI76,0))</f>
        <v/>
      </c>
      <c r="AY76" s="91" t="str">
        <f aca="false">IF($BD76&lt;&gt;Constants!$B$6,"",IF(AND($AH76,ISNUMBER($AK76)),Constants!$B$20*(Constants!$B$21-$AK76),0))</f>
        <v/>
      </c>
      <c r="AZ76" s="91" t="str">
        <f aca="false">IF($BD76&lt;&gt;Constants!$B$6,"",IF($AG76,0,Constants!$B$12)+IF($AF76,0,Constants!$B$13)+IF($Y76,0,Constants!$B$14))</f>
        <v/>
      </c>
      <c r="BA76" s="92" t="str">
        <f aca="false">IF($BD76&lt;&gt;Constants!$B$6,"",Constants!$B$16+SUM($AW76:$AZ76))</f>
        <v/>
      </c>
      <c r="BB76" s="91" t="str">
        <f aca="false">IF($BD76&lt;&gt;Constants!$B$6,"",IF($AH76,$AJ76,""))</f>
        <v/>
      </c>
      <c r="BC76" s="93" t="str">
        <f aca="false">IF($BD76&lt;&gt;Constants!$B$6,"",$AX76)</f>
        <v/>
      </c>
      <c r="BD76" s="87" t="str">
        <f aca="false">IF(ISBLANK($C76),"",IF($AL76,Constants!$B$9,IF(COUNTA($E76:$T76)=0,Constants!$B$8,IF(NOT($X76),Constants!$B$7,IF(OR($AM76,$AV76),Constants!$B$10,Constants!$B$6)))))</f>
        <v/>
      </c>
      <c r="BE76" s="87" t="str">
        <f aca="false">IF(ISBLANK($C76),"",IF($BD76&lt;&gt;Constants!$B$6,$BD76,Constants!$B$11))</f>
        <v/>
      </c>
      <c r="BF76" s="91" t="str">
        <f aca="false">IF($BD76&lt;&gt;Constants!$B$6,"",IF($AU76="-&gt;",$BA76,$AR76))</f>
        <v/>
      </c>
      <c r="BG76" s="91" t="str">
        <f aca="false">IF($BD76&lt;&gt;Constants!$B$6,"",IF($W76,0,Constants!$B$15))</f>
        <v/>
      </c>
      <c r="BH76" s="91" t="str">
        <f aca="false">IF(ISBLANK($C76),"",IF($BD76&lt;&gt;Constants!$B$6,$BD76,SUM($BF76:$BG76)))</f>
        <v/>
      </c>
      <c r="BI76" s="87" t="str">
        <f aca="false">IF(ISBLANK($C76),"",IF($BD76&lt;&gt;Constants!$B$6,$BD76,RANK($BH76,$BH$9:$BH$508,1)))</f>
        <v/>
      </c>
      <c r="BJ76" s="91" t="str">
        <f aca="false">IF($BD76&lt;&gt;Constants!$B$6,"",IF($AU76="-&gt;",$BB76,$AS76))</f>
        <v/>
      </c>
      <c r="BK76" s="87" t="str">
        <f aca="false">IF(ISBLANK($C76),"",IF($BD76&lt;&gt;Constants!$B$6,$BD76,IF(ISNUMBER($BJ76),RANK($BJ76,$BJ$9:$BJ$508,1),COUNT($BJ$9:$BJ$508)+1)))</f>
        <v/>
      </c>
      <c r="BL76" s="91" t="str">
        <f aca="false">IF($BD76&lt;&gt;Constants!$B$6,"",IF($AU76="-&gt;",$BC76,$AT76))</f>
        <v/>
      </c>
      <c r="BM76" s="87" t="str">
        <f aca="false">IF(ISBLANK($C76),"",IF($BD76&lt;&gt;Constants!$B$6,$BD76,IF(ISNUMBER($BL76),RANK($BL76,$BL$9:$BL$508,1),COUNT($BL$9:$BL$508)+1)))</f>
        <v/>
      </c>
      <c r="BN76" s="91" t="str">
        <f aca="false">IF($BD76&lt;&gt;Constants!$B$6,"",IF($AU76="-&gt;",$AS76,$BB76))</f>
        <v/>
      </c>
      <c r="BO76" s="87" t="str">
        <f aca="false">IF(ISBLANK($C76),"",IF($BD76&lt;&gt;Constants!$B$6,$BD76,IF(ISNUMBER($BN76),RANK($BN76,$BN$9:$BN$508,1),COUNT($BN$9:$BN$508)+1)))</f>
        <v/>
      </c>
      <c r="BP76" s="91" t="str">
        <f aca="false">IF($BD76&lt;&gt;Constants!$B$6,"",IF($AU76="-&gt;",$AT76,$BC76))</f>
        <v/>
      </c>
      <c r="BQ76" s="87" t="str">
        <f aca="false">IF(ISBLANK($C76),"",IF($BD76&lt;&gt;Constants!$B$6,$BD76,IF(ISNUMBER($BP76),RANK($BP76,$BP$9:$BP$508,1),COUNT($BP$9:$BP$508)+1)))</f>
        <v/>
      </c>
      <c r="BR76" s="87" t="str">
        <f aca="false">IF(ISBLANK($C76),"",IF($BD76&lt;&gt;Constants!$B$6,$BD76,COUNTIFS($BI$9:$BI$508,"&lt;"&amp;$BI76)+COUNTIFS($BI$9:$BI$508,$BI76,$BK$9:$BK$508,"&lt;"&amp;$BK76)+COUNTIFS($BI$9:$BI$508,$BI76,$BK$9:$BK$508,$BK76,$BM$9:$BM$508,"&lt;"&amp;$BM76)+COUNTIFS($BI$9:$BI$508,$BI76,$BK$9:$BK$508,$BK76,$BM$9:$BM$508,$BM76,$BO$9:$BO$508,"&lt;"&amp;$BO76)+COUNTIFS($BI$9:$BI$508,$BI76,$BK$9:$BK$508,$BK76,$BM$9:$BM$508,$BM76,$BO$9:$BO$508,$BO76,$BQ$9:$BQ$508,"&lt;"&amp;$BQ76)+1))</f>
        <v/>
      </c>
      <c r="BS76" s="87" t="str">
        <f aca="false">IF(ISBLANK($C76),"",IF($BD76&lt;&gt;Constants!$B$6,$BD76,$BI76-$BR76))</f>
        <v/>
      </c>
      <c r="BT76" s="94"/>
      <c r="BU76" s="95"/>
      <c r="BV76" s="95" t="str">
        <f aca="false">IF(ISBLANK($C76),"",IF($BD76&lt;&gt;Constants!$B$6,"",IF($AU76="-&gt;",2,1)))</f>
        <v/>
      </c>
      <c r="BW76" s="96" t="str">
        <f aca="false">IF(ISBLANK($C76),"",IF($BD76&lt;&gt;Constants!$B$6,"",IF($AU76="-&gt;",$AW76,$AN76)))</f>
        <v/>
      </c>
      <c r="BX76" s="96" t="str">
        <f aca="false">IF(ISBLANK($C76),"",IF($BD76&lt;&gt;Constants!$B$6,"",IF($AU76="-&gt;",$AX76,$AO76)))</f>
        <v/>
      </c>
      <c r="BY76" s="96" t="str">
        <f aca="false">IF(ISBLANK($C76),"",IF($BD76&lt;&gt;Constants!$B$6,"",IF($AU76="-&gt;",$AY76,$AP76)))</f>
        <v/>
      </c>
      <c r="BZ76" s="96" t="str">
        <f aca="false">IF(ISBLANK($C76),"",IF($BD76&lt;&gt;Constants!$B$6,"",IF($AU76="-&gt;",$AZ76,$AQ76)+$BG76))</f>
        <v/>
      </c>
      <c r="CA76" s="97" t="str">
        <f aca="false">IF(ISBLANK($C76),"",IF($BD76&lt;&gt;Constants!$B$6,$BD76,$BH76))</f>
        <v/>
      </c>
      <c r="CB76" s="98" t="str">
        <f aca="false">IF(ISBLANK($C76),"",$BE76)</f>
        <v/>
      </c>
      <c r="CC76" s="99" t="str">
        <f aca="false">IF(ISBLANK($C76),"",$BS76)</f>
        <v/>
      </c>
      <c r="CD76" s="99" t="str">
        <f aca="false">IF(ISBLANK($C76),"",$BR76)</f>
        <v/>
      </c>
      <c r="CE76" s="100" t="str">
        <f aca="false">IF(ISBLANK($C76),"",IF($CD76=Constants!$B$9,COUNTA($C$9:$C$508)+2,IF($CD76=Constants!$B$8,COUNTA($C$9:$C$508)+1,IF($CD76=Constants!$B$7,COUNTA($C$9:$C$508),$CD76))))</f>
        <v/>
      </c>
      <c r="CF76" s="9"/>
      <c r="CG76" s="101" t="n">
        <f aca="false">IF(OR(ISNUMBER($CD76),$CD76=Constants!$B$9,$CD76=Constants!$B$7,$CD76=Constants!$B$8),1,0)</f>
        <v>0</v>
      </c>
      <c r="CH76" s="101" t="n">
        <v>68</v>
      </c>
      <c r="CI76" s="101" t="str">
        <f aca="false">IF(ISBLANK($C76),"",IF(ISNUMBER($CE76),$CE76+ROW($B76)/1000,""))</f>
        <v/>
      </c>
      <c r="CJ76" s="101" t="str">
        <f aca="false">IF(ISNUMBER($CI76),RANK($CI76,$CI$9:$CI$508,1),"")</f>
        <v/>
      </c>
      <c r="CK76" s="101" t="str">
        <f aca="false">IF(ISBLANK($C76),"",$B76)</f>
        <v/>
      </c>
      <c r="CL76" s="101" t="str">
        <f aca="false">IF(ISBLANK($C76),"",$C76)</f>
        <v/>
      </c>
      <c r="CM76" s="101" t="str">
        <f aca="false">IF(ISBLANK($C76),"",$D76)</f>
        <v/>
      </c>
      <c r="CN76" s="102" t="str">
        <f aca="false">$CB76</f>
        <v/>
      </c>
      <c r="CO76" s="103" t="str">
        <f aca="false">$CA76</f>
        <v/>
      </c>
      <c r="CP76" s="101" t="str">
        <f aca="false">IF(ISBLANK($C76),"",$CD76)</f>
        <v/>
      </c>
      <c r="CQ76" s="104" t="str">
        <f aca="false">IF($CH76&gt;$CG$8,"",VLOOKUP($CH76,$CJ$9:$CP$508,7,FALSE()))</f>
        <v/>
      </c>
      <c r="CR76" s="105" t="str">
        <f aca="false">IF($CH76&gt;$CG$8,"",VLOOKUP($CH76,$CJ$9:$CP$508,2,FALSE()))</f>
        <v/>
      </c>
      <c r="CS76" s="105" t="str">
        <f aca="false">IF($CH76&gt;$CG$8,"",VLOOKUP($CH76,$CJ$9:$CP$508,3,FALSE()))</f>
        <v/>
      </c>
      <c r="CT76" s="105" t="str">
        <f aca="false">IF($CH76&gt;$CG$8,"",VLOOKUP($CH76,$CJ$9:$CP$508,4,FALSE()))</f>
        <v/>
      </c>
      <c r="CU76" s="105" t="str">
        <f aca="false">IF($CH76&gt;$CG$8,"",VLOOKUP($CH76,$CJ$9:$CP$508,5,FALSE()))</f>
        <v/>
      </c>
      <c r="CV76" s="106" t="str">
        <f aca="false">IF($CH76&gt;$CG$8,"",VLOOKUP($CH76,$CJ$9:$CP$508,6,FALSE()))</f>
        <v/>
      </c>
      <c r="CW76" s="71"/>
    </row>
    <row r="77" customFormat="false" ht="15.75" hidden="false" customHeight="false" outlineLevel="0" collapsed="false">
      <c r="A77" s="9"/>
      <c r="B77" s="72"/>
      <c r="C77" s="73"/>
      <c r="D77" s="160"/>
      <c r="E77" s="168"/>
      <c r="F77" s="162"/>
      <c r="G77" s="163"/>
      <c r="H77" s="169"/>
      <c r="I77" s="167"/>
      <c r="J77" s="80"/>
      <c r="K77" s="81"/>
      <c r="L77" s="82"/>
      <c r="M77" s="166"/>
      <c r="N77" s="167"/>
      <c r="O77" s="167"/>
      <c r="P77" s="80"/>
      <c r="Q77" s="82"/>
      <c r="R77" s="82"/>
      <c r="S77" s="166"/>
      <c r="T77" s="167"/>
      <c r="U77" s="86"/>
      <c r="V77" s="87"/>
      <c r="W77" s="87" t="str">
        <f aca="false">IF(ISBLANK($C77),"",IF(E77=Constants!$B$2,TRUE(),IF(E77=Constants!$B$3,FALSE(),TRUE())))</f>
        <v/>
      </c>
      <c r="X77" s="87" t="str">
        <f aca="false">IF(ISBLANK($C77),"",IF(F77=Constants!$B$2,TRUE(),IF(F77=Constants!$B$3,FALSE(),TRUE())))</f>
        <v/>
      </c>
      <c r="Y77" s="87" t="str">
        <f aca="false">IF(ISBLANK($C77),"",IF(G77=Constants!$B$2,TRUE(),IF(G77=Constants!$B$3,FALSE(),TRUE())))</f>
        <v/>
      </c>
      <c r="Z77" s="87" t="str">
        <f aca="false">IF(ISBLANK($C77),"",IF(H77=Constants!$B$2,TRUE(),IF(H77=Constants!$B$3,FALSE(),TRUE())))</f>
        <v/>
      </c>
      <c r="AA77" s="87" t="str">
        <f aca="false">IF(ISBLANK($C77),"",IF(I77=Constants!$B$2,TRUE(),IF(I77=Constants!$B$3,FALSE(),TRUE())))</f>
        <v/>
      </c>
      <c r="AB77" s="87" t="str">
        <f aca="false">IF(ISBLANK($C77),"",IF(J77=Constants!$B$4,TRUE(),IF(J77=Constants!$B$5,FALSE(),COUNTA(K77:M77)&gt;0)))</f>
        <v/>
      </c>
      <c r="AC77" s="88" t="str">
        <f aca="false">IF(ISBLANK($C77),"",IF(ISNUMBER(K77),IF(K77&gt;=0,K77,""),""))</f>
        <v/>
      </c>
      <c r="AD77" s="89" t="str">
        <f aca="false">IF(ISBLANK($C77),"",IF(ISNUMBER(L77),IF(L77&gt;=0,L77,""),""))</f>
        <v/>
      </c>
      <c r="AE77" s="87" t="str">
        <f aca="false">IF(ISBLANK($C77),"",IF(ISNUMBER(M77),IF(M77&gt;=0,MIN(M77,Constants!$B$22),""),""))</f>
        <v/>
      </c>
      <c r="AF77" s="87" t="str">
        <f aca="false">IF(ISBLANK($C77),"",IF(N77=Constants!$B$2,TRUE(),IF(N77=Constants!$B$3,FALSE(),TRUE())))</f>
        <v/>
      </c>
      <c r="AG77" s="87" t="str">
        <f aca="false">IF(ISBLANK($C77),"",IF(O77=Constants!$B$2,TRUE(),IF(O77=Constants!$B$3,FALSE(),TRUE())))</f>
        <v/>
      </c>
      <c r="AH77" s="87" t="str">
        <f aca="false">IF(ISBLANK($C77),"",IF(P77=Constants!$B$4,TRUE(),IF(P77=Constants!$B$5,FALSE(),COUNTA(Q77:S77)&gt;0)))</f>
        <v/>
      </c>
      <c r="AI77" s="88" t="str">
        <f aca="false">IF(ISBLANK($C77),"",IF(ISNUMBER(Q77),IF(Q77&gt;=0,Q77,""),""))</f>
        <v/>
      </c>
      <c r="AJ77" s="89" t="str">
        <f aca="false">IF(ISBLANK($C77),"",IF(ISNUMBER(R77),IF(R77&gt;=0,R77,""),""))</f>
        <v/>
      </c>
      <c r="AK77" s="87" t="str">
        <f aca="false">IF(ISBLANK($C77),"",IF(ISNUMBER(S77),IF(S77&gt;=0,MIN(S77,Constants!$B$22),""),""))</f>
        <v/>
      </c>
      <c r="AL77" s="87" t="str">
        <f aca="false">IF(ISBLANK($C77),"",IF(T77=Constants!$B$2,TRUE(),IF(T77=Constants!$B$3,FALSE(),FALSE())))</f>
        <v/>
      </c>
      <c r="AM77" s="86" t="str">
        <f aca="false">IF(ISBLANK($C77),"",AND($AB77,OR($AC77="",$AD77="",AND(NOT(ISBLANK($M77)),$AE77=""))))</f>
        <v/>
      </c>
      <c r="AN77" s="89" t="str">
        <f aca="false">IF($BD77&lt;&gt;Constants!$B$6,"",IF($AB77,Constants!$B$17*$AD77,Constants!$B$18))</f>
        <v/>
      </c>
      <c r="AO77" s="91" t="str">
        <f aca="false">IF($BD77&lt;&gt;Constants!$B$6,"",Constants!$B$19*IF($AB77,$AC77,0))</f>
        <v/>
      </c>
      <c r="AP77" s="91" t="str">
        <f aca="false">IF($BD77&lt;&gt;Constants!$B$6,"",IF(AND($AB77,ISNUMBER($AE77)),Constants!$B$20*(Constants!$B$21-$AE77),0))</f>
        <v/>
      </c>
      <c r="AQ77" s="91" t="str">
        <f aca="false">IF($BD77&lt;&gt;Constants!$B$6,"",IF($AA77,0,Constants!$B$12)+IF($Z77,0,Constants!$B$13)+IF($Y77,0,Constants!$B$14))</f>
        <v/>
      </c>
      <c r="AR77" s="92" t="str">
        <f aca="false">IF($BD77&lt;&gt;Constants!$B$6,"",Constants!$B$16+SUM($AN77:$AQ77))</f>
        <v/>
      </c>
      <c r="AS77" s="91" t="str">
        <f aca="false">IF($BD77&lt;&gt;Constants!$B$6,"",IF($AB77,$AD77,""))</f>
        <v/>
      </c>
      <c r="AT77" s="93" t="str">
        <f aca="false">IF($BD77&lt;&gt;Constants!$B$6,"",$AO77)</f>
        <v/>
      </c>
      <c r="AU77" s="87" t="str">
        <f aca="false">IF($BD77&lt;&gt;Constants!$B$6,"",IF(OR($BA77&lt;$AR77,AND($BA77=$AR77,OR(AND(ISNUMBER($BB77),OR(NOT(ISNUMBER($AS77)),$BB77&lt;$AS77)),AND(OR(AND($BB77="",$AS77=""),AND(ISNUMBER($BB77),ISNUMBER($AS77),$BB77=$AS77)),$BC77&lt;$AT77)))),"-&gt;","&lt;-"))</f>
        <v/>
      </c>
      <c r="AV77" s="86" t="str">
        <f aca="false">IF(ISBLANK($C77),"",AND($AH77,OR($AI77="",$AJ77="",AND(NOT(ISBLANK($S77)),$AK77=""))))</f>
        <v/>
      </c>
      <c r="AW77" s="89" t="str">
        <f aca="false">IF($BD77&lt;&gt;Constants!$B$6,"",IF($AH77,Constants!$B$17*$AJ77,Constants!$B$18))</f>
        <v/>
      </c>
      <c r="AX77" s="91" t="str">
        <f aca="false">IF($BD77&lt;&gt;Constants!$B$6,"",Constants!$B$19*IF($AH77,$AI77,0))</f>
        <v/>
      </c>
      <c r="AY77" s="91" t="str">
        <f aca="false">IF($BD77&lt;&gt;Constants!$B$6,"",IF(AND($AH77,ISNUMBER($AK77)),Constants!$B$20*(Constants!$B$21-$AK77),0))</f>
        <v/>
      </c>
      <c r="AZ77" s="91" t="str">
        <f aca="false">IF($BD77&lt;&gt;Constants!$B$6,"",IF($AG77,0,Constants!$B$12)+IF($AF77,0,Constants!$B$13)+IF($Y77,0,Constants!$B$14))</f>
        <v/>
      </c>
      <c r="BA77" s="92" t="str">
        <f aca="false">IF($BD77&lt;&gt;Constants!$B$6,"",Constants!$B$16+SUM($AW77:$AZ77))</f>
        <v/>
      </c>
      <c r="BB77" s="91" t="str">
        <f aca="false">IF($BD77&lt;&gt;Constants!$B$6,"",IF($AH77,$AJ77,""))</f>
        <v/>
      </c>
      <c r="BC77" s="93" t="str">
        <f aca="false">IF($BD77&lt;&gt;Constants!$B$6,"",$AX77)</f>
        <v/>
      </c>
      <c r="BD77" s="87" t="str">
        <f aca="false">IF(ISBLANK($C77),"",IF($AL77,Constants!$B$9,IF(COUNTA($E77:$T77)=0,Constants!$B$8,IF(NOT($X77),Constants!$B$7,IF(OR($AM77,$AV77),Constants!$B$10,Constants!$B$6)))))</f>
        <v/>
      </c>
      <c r="BE77" s="87" t="str">
        <f aca="false">IF(ISBLANK($C77),"",IF($BD77&lt;&gt;Constants!$B$6,$BD77,Constants!$B$11))</f>
        <v/>
      </c>
      <c r="BF77" s="91" t="str">
        <f aca="false">IF($BD77&lt;&gt;Constants!$B$6,"",IF($AU77="-&gt;",$BA77,$AR77))</f>
        <v/>
      </c>
      <c r="BG77" s="91" t="str">
        <f aca="false">IF($BD77&lt;&gt;Constants!$B$6,"",IF($W77,0,Constants!$B$15))</f>
        <v/>
      </c>
      <c r="BH77" s="91" t="str">
        <f aca="false">IF(ISBLANK($C77),"",IF($BD77&lt;&gt;Constants!$B$6,$BD77,SUM($BF77:$BG77)))</f>
        <v/>
      </c>
      <c r="BI77" s="87" t="str">
        <f aca="false">IF(ISBLANK($C77),"",IF($BD77&lt;&gt;Constants!$B$6,$BD77,RANK($BH77,$BH$9:$BH$508,1)))</f>
        <v/>
      </c>
      <c r="BJ77" s="91" t="str">
        <f aca="false">IF($BD77&lt;&gt;Constants!$B$6,"",IF($AU77="-&gt;",$BB77,$AS77))</f>
        <v/>
      </c>
      <c r="BK77" s="87" t="str">
        <f aca="false">IF(ISBLANK($C77),"",IF($BD77&lt;&gt;Constants!$B$6,$BD77,IF(ISNUMBER($BJ77),RANK($BJ77,$BJ$9:$BJ$508,1),COUNT($BJ$9:$BJ$508)+1)))</f>
        <v/>
      </c>
      <c r="BL77" s="91" t="str">
        <f aca="false">IF($BD77&lt;&gt;Constants!$B$6,"",IF($AU77="-&gt;",$BC77,$AT77))</f>
        <v/>
      </c>
      <c r="BM77" s="87" t="str">
        <f aca="false">IF(ISBLANK($C77),"",IF($BD77&lt;&gt;Constants!$B$6,$BD77,IF(ISNUMBER($BL77),RANK($BL77,$BL$9:$BL$508,1),COUNT($BL$9:$BL$508)+1)))</f>
        <v/>
      </c>
      <c r="BN77" s="91" t="str">
        <f aca="false">IF($BD77&lt;&gt;Constants!$B$6,"",IF($AU77="-&gt;",$AS77,$BB77))</f>
        <v/>
      </c>
      <c r="BO77" s="87" t="str">
        <f aca="false">IF(ISBLANK($C77),"",IF($BD77&lt;&gt;Constants!$B$6,$BD77,IF(ISNUMBER($BN77),RANK($BN77,$BN$9:$BN$508,1),COUNT($BN$9:$BN$508)+1)))</f>
        <v/>
      </c>
      <c r="BP77" s="91" t="str">
        <f aca="false">IF($BD77&lt;&gt;Constants!$B$6,"",IF($AU77="-&gt;",$AT77,$BC77))</f>
        <v/>
      </c>
      <c r="BQ77" s="87" t="str">
        <f aca="false">IF(ISBLANK($C77),"",IF($BD77&lt;&gt;Constants!$B$6,$BD77,IF(ISNUMBER($BP77),RANK($BP77,$BP$9:$BP$508,1),COUNT($BP$9:$BP$508)+1)))</f>
        <v/>
      </c>
      <c r="BR77" s="87" t="str">
        <f aca="false">IF(ISBLANK($C77),"",IF($BD77&lt;&gt;Constants!$B$6,$BD77,COUNTIFS($BI$9:$BI$508,"&lt;"&amp;$BI77)+COUNTIFS($BI$9:$BI$508,$BI77,$BK$9:$BK$508,"&lt;"&amp;$BK77)+COUNTIFS($BI$9:$BI$508,$BI77,$BK$9:$BK$508,$BK77,$BM$9:$BM$508,"&lt;"&amp;$BM77)+COUNTIFS($BI$9:$BI$508,$BI77,$BK$9:$BK$508,$BK77,$BM$9:$BM$508,$BM77,$BO$9:$BO$508,"&lt;"&amp;$BO77)+COUNTIFS($BI$9:$BI$508,$BI77,$BK$9:$BK$508,$BK77,$BM$9:$BM$508,$BM77,$BO$9:$BO$508,$BO77,$BQ$9:$BQ$508,"&lt;"&amp;$BQ77)+1))</f>
        <v/>
      </c>
      <c r="BS77" s="87" t="str">
        <f aca="false">IF(ISBLANK($C77),"",IF($BD77&lt;&gt;Constants!$B$6,$BD77,$BI77-$BR77))</f>
        <v/>
      </c>
      <c r="BT77" s="94"/>
      <c r="BU77" s="95"/>
      <c r="BV77" s="95" t="str">
        <f aca="false">IF(ISBLANK($C77),"",IF($BD77&lt;&gt;Constants!$B$6,"",IF($AU77="-&gt;",2,1)))</f>
        <v/>
      </c>
      <c r="BW77" s="96" t="str">
        <f aca="false">IF(ISBLANK($C77),"",IF($BD77&lt;&gt;Constants!$B$6,"",IF($AU77="-&gt;",$AW77,$AN77)))</f>
        <v/>
      </c>
      <c r="BX77" s="96" t="str">
        <f aca="false">IF(ISBLANK($C77),"",IF($BD77&lt;&gt;Constants!$B$6,"",IF($AU77="-&gt;",$AX77,$AO77)))</f>
        <v/>
      </c>
      <c r="BY77" s="96" t="str">
        <f aca="false">IF(ISBLANK($C77),"",IF($BD77&lt;&gt;Constants!$B$6,"",IF($AU77="-&gt;",$AY77,$AP77)))</f>
        <v/>
      </c>
      <c r="BZ77" s="96" t="str">
        <f aca="false">IF(ISBLANK($C77),"",IF($BD77&lt;&gt;Constants!$B$6,"",IF($AU77="-&gt;",$AZ77,$AQ77)+$BG77))</f>
        <v/>
      </c>
      <c r="CA77" s="97" t="str">
        <f aca="false">IF(ISBLANK($C77),"",IF($BD77&lt;&gt;Constants!$B$6,$BD77,$BH77))</f>
        <v/>
      </c>
      <c r="CB77" s="98" t="str">
        <f aca="false">IF(ISBLANK($C77),"",$BE77)</f>
        <v/>
      </c>
      <c r="CC77" s="99" t="str">
        <f aca="false">IF(ISBLANK($C77),"",$BS77)</f>
        <v/>
      </c>
      <c r="CD77" s="99" t="str">
        <f aca="false">IF(ISBLANK($C77),"",$BR77)</f>
        <v/>
      </c>
      <c r="CE77" s="100" t="str">
        <f aca="false">IF(ISBLANK($C77),"",IF($CD77=Constants!$B$9,COUNTA($C$9:$C$508)+2,IF($CD77=Constants!$B$8,COUNTA($C$9:$C$508)+1,IF($CD77=Constants!$B$7,COUNTA($C$9:$C$508),$CD77))))</f>
        <v/>
      </c>
      <c r="CF77" s="9"/>
      <c r="CG77" s="101" t="n">
        <f aca="false">IF(OR(ISNUMBER($CD77),$CD77=Constants!$B$9,$CD77=Constants!$B$7,$CD77=Constants!$B$8),1,0)</f>
        <v>0</v>
      </c>
      <c r="CH77" s="101" t="n">
        <v>69</v>
      </c>
      <c r="CI77" s="101" t="str">
        <f aca="false">IF(ISBLANK($C77),"",IF(ISNUMBER($CE77),$CE77+ROW($B77)/1000,""))</f>
        <v/>
      </c>
      <c r="CJ77" s="101" t="str">
        <f aca="false">IF(ISNUMBER($CI77),RANK($CI77,$CI$9:$CI$508,1),"")</f>
        <v/>
      </c>
      <c r="CK77" s="101" t="str">
        <f aca="false">IF(ISBLANK($C77),"",$B77)</f>
        <v/>
      </c>
      <c r="CL77" s="101" t="str">
        <f aca="false">IF(ISBLANK($C77),"",$C77)</f>
        <v/>
      </c>
      <c r="CM77" s="101" t="str">
        <f aca="false">IF(ISBLANK($C77),"",$D77)</f>
        <v/>
      </c>
      <c r="CN77" s="102" t="str">
        <f aca="false">$CB77</f>
        <v/>
      </c>
      <c r="CO77" s="103" t="str">
        <f aca="false">$CA77</f>
        <v/>
      </c>
      <c r="CP77" s="101" t="str">
        <f aca="false">IF(ISBLANK($C77),"",$CD77)</f>
        <v/>
      </c>
      <c r="CQ77" s="104" t="str">
        <f aca="false">IF($CH77&gt;$CG$8,"",VLOOKUP($CH77,$CJ$9:$CP$508,7,FALSE()))</f>
        <v/>
      </c>
      <c r="CR77" s="105" t="str">
        <f aca="false">IF($CH77&gt;$CG$8,"",VLOOKUP($CH77,$CJ$9:$CP$508,2,FALSE()))</f>
        <v/>
      </c>
      <c r="CS77" s="105" t="str">
        <f aca="false">IF($CH77&gt;$CG$8,"",VLOOKUP($CH77,$CJ$9:$CP$508,3,FALSE()))</f>
        <v/>
      </c>
      <c r="CT77" s="105" t="str">
        <f aca="false">IF($CH77&gt;$CG$8,"",VLOOKUP($CH77,$CJ$9:$CP$508,4,FALSE()))</f>
        <v/>
      </c>
      <c r="CU77" s="105" t="str">
        <f aca="false">IF($CH77&gt;$CG$8,"",VLOOKUP($CH77,$CJ$9:$CP$508,5,FALSE()))</f>
        <v/>
      </c>
      <c r="CV77" s="106" t="str">
        <f aca="false">IF($CH77&gt;$CG$8,"",VLOOKUP($CH77,$CJ$9:$CP$508,6,FALSE()))</f>
        <v/>
      </c>
      <c r="CW77" s="71"/>
    </row>
    <row r="78" customFormat="false" ht="15.75" hidden="false" customHeight="false" outlineLevel="0" collapsed="false">
      <c r="A78" s="9"/>
      <c r="B78" s="150"/>
      <c r="C78" s="151"/>
      <c r="D78" s="152"/>
      <c r="E78" s="170"/>
      <c r="F78" s="154"/>
      <c r="G78" s="155"/>
      <c r="H78" s="171"/>
      <c r="I78" s="159"/>
      <c r="J78" s="120"/>
      <c r="K78" s="121"/>
      <c r="L78" s="122"/>
      <c r="M78" s="158"/>
      <c r="N78" s="159"/>
      <c r="O78" s="159"/>
      <c r="P78" s="120"/>
      <c r="Q78" s="122"/>
      <c r="R78" s="122"/>
      <c r="S78" s="158"/>
      <c r="T78" s="159"/>
      <c r="U78" s="126"/>
      <c r="V78" s="127"/>
      <c r="W78" s="127" t="str">
        <f aca="false">IF(ISBLANK($C78),"",IF(E78=Constants!$B$2,TRUE(),IF(E78=Constants!$B$3,FALSE(),TRUE())))</f>
        <v/>
      </c>
      <c r="X78" s="127" t="str">
        <f aca="false">IF(ISBLANK($C78),"",IF(F78=Constants!$B$2,TRUE(),IF(F78=Constants!$B$3,FALSE(),TRUE())))</f>
        <v/>
      </c>
      <c r="Y78" s="127" t="str">
        <f aca="false">IF(ISBLANK($C78),"",IF(G78=Constants!$B$2,TRUE(),IF(G78=Constants!$B$3,FALSE(),TRUE())))</f>
        <v/>
      </c>
      <c r="Z78" s="127" t="str">
        <f aca="false">IF(ISBLANK($C78),"",IF(H78=Constants!$B$2,TRUE(),IF(H78=Constants!$B$3,FALSE(),TRUE())))</f>
        <v/>
      </c>
      <c r="AA78" s="127" t="str">
        <f aca="false">IF(ISBLANK($C78),"",IF(I78=Constants!$B$2,TRUE(),IF(I78=Constants!$B$3,FALSE(),TRUE())))</f>
        <v/>
      </c>
      <c r="AB78" s="127" t="str">
        <f aca="false">IF(ISBLANK($C78),"",IF(J78=Constants!$B$4,TRUE(),IF(J78=Constants!$B$5,FALSE(),COUNTA(K78:M78)&gt;0)))</f>
        <v/>
      </c>
      <c r="AC78" s="128" t="str">
        <f aca="false">IF(ISBLANK($C78),"",IF(ISNUMBER(K78),IF(K78&gt;=0,K78,""),""))</f>
        <v/>
      </c>
      <c r="AD78" s="129" t="str">
        <f aca="false">IF(ISBLANK($C78),"",IF(ISNUMBER(L78),IF(L78&gt;=0,L78,""),""))</f>
        <v/>
      </c>
      <c r="AE78" s="127" t="str">
        <f aca="false">IF(ISBLANK($C78),"",IF(ISNUMBER(M78),IF(M78&gt;=0,MIN(M78,Constants!$B$22),""),""))</f>
        <v/>
      </c>
      <c r="AF78" s="127" t="str">
        <f aca="false">IF(ISBLANK($C78),"",IF(N78=Constants!$B$2,TRUE(),IF(N78=Constants!$B$3,FALSE(),TRUE())))</f>
        <v/>
      </c>
      <c r="AG78" s="127" t="str">
        <f aca="false">IF(ISBLANK($C78),"",IF(O78=Constants!$B$2,TRUE(),IF(O78=Constants!$B$3,FALSE(),TRUE())))</f>
        <v/>
      </c>
      <c r="AH78" s="127" t="str">
        <f aca="false">IF(ISBLANK($C78),"",IF(P78=Constants!$B$4,TRUE(),IF(P78=Constants!$B$5,FALSE(),COUNTA(Q78:S78)&gt;0)))</f>
        <v/>
      </c>
      <c r="AI78" s="128" t="str">
        <f aca="false">IF(ISBLANK($C78),"",IF(ISNUMBER(Q78),IF(Q78&gt;=0,Q78,""),""))</f>
        <v/>
      </c>
      <c r="AJ78" s="129" t="str">
        <f aca="false">IF(ISBLANK($C78),"",IF(ISNUMBER(R78),IF(R78&gt;=0,R78,""),""))</f>
        <v/>
      </c>
      <c r="AK78" s="127" t="str">
        <f aca="false">IF(ISBLANK($C78),"",IF(ISNUMBER(S78),IF(S78&gt;=0,MIN(S78,Constants!$B$22),""),""))</f>
        <v/>
      </c>
      <c r="AL78" s="127" t="str">
        <f aca="false">IF(ISBLANK($C78),"",IF(T78=Constants!$B$2,TRUE(),IF(T78=Constants!$B$3,FALSE(),FALSE())))</f>
        <v/>
      </c>
      <c r="AM78" s="126" t="str">
        <f aca="false">IF(ISBLANK($C78),"",AND($AB78,OR($AC78="",$AD78="",AND(NOT(ISBLANK($M78)),$AE78=""))))</f>
        <v/>
      </c>
      <c r="AN78" s="129" t="str">
        <f aca="false">IF($BD78&lt;&gt;Constants!$B$6,"",IF($AB78,Constants!$B$17*$AD78,Constants!$B$18))</f>
        <v/>
      </c>
      <c r="AO78" s="130" t="str">
        <f aca="false">IF($BD78&lt;&gt;Constants!$B$6,"",Constants!$B$19*IF($AB78,$AC78,0))</f>
        <v/>
      </c>
      <c r="AP78" s="130" t="str">
        <f aca="false">IF($BD78&lt;&gt;Constants!$B$6,"",IF(AND($AB78,ISNUMBER($AE78)),Constants!$B$20*(Constants!$B$21-$AE78),0))</f>
        <v/>
      </c>
      <c r="AQ78" s="130" t="str">
        <f aca="false">IF($BD78&lt;&gt;Constants!$B$6,"",IF($AA78,0,Constants!$B$12)+IF($Z78,0,Constants!$B$13)+IF($Y78,0,Constants!$B$14))</f>
        <v/>
      </c>
      <c r="AR78" s="131" t="str">
        <f aca="false">IF($BD78&lt;&gt;Constants!$B$6,"",Constants!$B$16+SUM($AN78:$AQ78))</f>
        <v/>
      </c>
      <c r="AS78" s="130" t="str">
        <f aca="false">IF($BD78&lt;&gt;Constants!$B$6,"",IF($AB78,$AD78,""))</f>
        <v/>
      </c>
      <c r="AT78" s="132" t="str">
        <f aca="false">IF($BD78&lt;&gt;Constants!$B$6,"",$AO78)</f>
        <v/>
      </c>
      <c r="AU78" s="127" t="str">
        <f aca="false">IF($BD78&lt;&gt;Constants!$B$6,"",IF(OR($BA78&lt;$AR78,AND($BA78=$AR78,OR(AND(ISNUMBER($BB78),OR(NOT(ISNUMBER($AS78)),$BB78&lt;$AS78)),AND(OR(AND($BB78="",$AS78=""),AND(ISNUMBER($BB78),ISNUMBER($AS78),$BB78=$AS78)),$BC78&lt;$AT78)))),"-&gt;","&lt;-"))</f>
        <v/>
      </c>
      <c r="AV78" s="126" t="str">
        <f aca="false">IF(ISBLANK($C78),"",AND($AH78,OR($AI78="",$AJ78="",AND(NOT(ISBLANK($S78)),$AK78=""))))</f>
        <v/>
      </c>
      <c r="AW78" s="129" t="str">
        <f aca="false">IF($BD78&lt;&gt;Constants!$B$6,"",IF($AH78,Constants!$B$17*$AJ78,Constants!$B$18))</f>
        <v/>
      </c>
      <c r="AX78" s="130" t="str">
        <f aca="false">IF($BD78&lt;&gt;Constants!$B$6,"",Constants!$B$19*IF($AH78,$AI78,0))</f>
        <v/>
      </c>
      <c r="AY78" s="130" t="str">
        <f aca="false">IF($BD78&lt;&gt;Constants!$B$6,"",IF(AND($AH78,ISNUMBER($AK78)),Constants!$B$20*(Constants!$B$21-$AK78),0))</f>
        <v/>
      </c>
      <c r="AZ78" s="130" t="str">
        <f aca="false">IF($BD78&lt;&gt;Constants!$B$6,"",IF($AG78,0,Constants!$B$12)+IF($AF78,0,Constants!$B$13)+IF($Y78,0,Constants!$B$14))</f>
        <v/>
      </c>
      <c r="BA78" s="131" t="str">
        <f aca="false">IF($BD78&lt;&gt;Constants!$B$6,"",Constants!$B$16+SUM($AW78:$AZ78))</f>
        <v/>
      </c>
      <c r="BB78" s="130" t="str">
        <f aca="false">IF($BD78&lt;&gt;Constants!$B$6,"",IF($AH78,$AJ78,""))</f>
        <v/>
      </c>
      <c r="BC78" s="132" t="str">
        <f aca="false">IF($BD78&lt;&gt;Constants!$B$6,"",$AX78)</f>
        <v/>
      </c>
      <c r="BD78" s="127" t="str">
        <f aca="false">IF(ISBLANK($C78),"",IF($AL78,Constants!$B$9,IF(COUNTA($E78:$T78)=0,Constants!$B$8,IF(NOT($X78),Constants!$B$7,IF(OR($AM78,$AV78),Constants!$B$10,Constants!$B$6)))))</f>
        <v/>
      </c>
      <c r="BE78" s="127" t="str">
        <f aca="false">IF(ISBLANK($C78),"",IF($BD78&lt;&gt;Constants!$B$6,$BD78,Constants!$B$11))</f>
        <v/>
      </c>
      <c r="BF78" s="130" t="str">
        <f aca="false">IF($BD78&lt;&gt;Constants!$B$6,"",IF($AU78="-&gt;",$BA78,$AR78))</f>
        <v/>
      </c>
      <c r="BG78" s="130" t="str">
        <f aca="false">IF($BD78&lt;&gt;Constants!$B$6,"",IF($W78,0,Constants!$B$15))</f>
        <v/>
      </c>
      <c r="BH78" s="130" t="str">
        <f aca="false">IF(ISBLANK($C78),"",IF($BD78&lt;&gt;Constants!$B$6,$BD78,SUM($BF78:$BG78)))</f>
        <v/>
      </c>
      <c r="BI78" s="127" t="str">
        <f aca="false">IF(ISBLANK($C78),"",IF($BD78&lt;&gt;Constants!$B$6,$BD78,RANK($BH78,$BH$9:$BH$508,1)))</f>
        <v/>
      </c>
      <c r="BJ78" s="130" t="str">
        <f aca="false">IF($BD78&lt;&gt;Constants!$B$6,"",IF($AU78="-&gt;",$BB78,$AS78))</f>
        <v/>
      </c>
      <c r="BK78" s="127" t="str">
        <f aca="false">IF(ISBLANK($C78),"",IF($BD78&lt;&gt;Constants!$B$6,$BD78,IF(ISNUMBER($BJ78),RANK($BJ78,$BJ$9:$BJ$508,1),COUNT($BJ$9:$BJ$508)+1)))</f>
        <v/>
      </c>
      <c r="BL78" s="130" t="str">
        <f aca="false">IF($BD78&lt;&gt;Constants!$B$6,"",IF($AU78="-&gt;",$BC78,$AT78))</f>
        <v/>
      </c>
      <c r="BM78" s="127" t="str">
        <f aca="false">IF(ISBLANK($C78),"",IF($BD78&lt;&gt;Constants!$B$6,$BD78,IF(ISNUMBER($BL78),RANK($BL78,$BL$9:$BL$508,1),COUNT($BL$9:$BL$508)+1)))</f>
        <v/>
      </c>
      <c r="BN78" s="130" t="str">
        <f aca="false">IF($BD78&lt;&gt;Constants!$B$6,"",IF($AU78="-&gt;",$AS78,$BB78))</f>
        <v/>
      </c>
      <c r="BO78" s="127" t="str">
        <f aca="false">IF(ISBLANK($C78),"",IF($BD78&lt;&gt;Constants!$B$6,$BD78,IF(ISNUMBER($BN78),RANK($BN78,$BN$9:$BN$508,1),COUNT($BN$9:$BN$508)+1)))</f>
        <v/>
      </c>
      <c r="BP78" s="130" t="str">
        <f aca="false">IF($BD78&lt;&gt;Constants!$B$6,"",IF($AU78="-&gt;",$AT78,$BC78))</f>
        <v/>
      </c>
      <c r="BQ78" s="127" t="str">
        <f aca="false">IF(ISBLANK($C78),"",IF($BD78&lt;&gt;Constants!$B$6,$BD78,IF(ISNUMBER($BP78),RANK($BP78,$BP$9:$BP$508,1),COUNT($BP$9:$BP$508)+1)))</f>
        <v/>
      </c>
      <c r="BR78" s="127" t="str">
        <f aca="false">IF(ISBLANK($C78),"",IF($BD78&lt;&gt;Constants!$B$6,$BD78,COUNTIFS($BI$9:$BI$508,"&lt;"&amp;$BI78)+COUNTIFS($BI$9:$BI$508,$BI78,$BK$9:$BK$508,"&lt;"&amp;$BK78)+COUNTIFS($BI$9:$BI$508,$BI78,$BK$9:$BK$508,$BK78,$BM$9:$BM$508,"&lt;"&amp;$BM78)+COUNTIFS($BI$9:$BI$508,$BI78,$BK$9:$BK$508,$BK78,$BM$9:$BM$508,$BM78,$BO$9:$BO$508,"&lt;"&amp;$BO78)+COUNTIFS($BI$9:$BI$508,$BI78,$BK$9:$BK$508,$BK78,$BM$9:$BM$508,$BM78,$BO$9:$BO$508,$BO78,$BQ$9:$BQ$508,"&lt;"&amp;$BQ78)+1))</f>
        <v/>
      </c>
      <c r="BS78" s="127" t="str">
        <f aca="false">IF(ISBLANK($C78),"",IF($BD78&lt;&gt;Constants!$B$6,$BD78,$BI78-$BR78))</f>
        <v/>
      </c>
      <c r="BT78" s="133"/>
      <c r="BU78" s="134"/>
      <c r="BV78" s="134" t="str">
        <f aca="false">IF(ISBLANK($C78),"",IF($BD78&lt;&gt;Constants!$B$6,"",IF($AU78="-&gt;",2,1)))</f>
        <v/>
      </c>
      <c r="BW78" s="135" t="str">
        <f aca="false">IF(ISBLANK($C78),"",IF($BD78&lt;&gt;Constants!$B$6,"",IF($AU78="-&gt;",$AW78,$AN78)))</f>
        <v/>
      </c>
      <c r="BX78" s="135" t="str">
        <f aca="false">IF(ISBLANK($C78),"",IF($BD78&lt;&gt;Constants!$B$6,"",IF($AU78="-&gt;",$AX78,$AO78)))</f>
        <v/>
      </c>
      <c r="BY78" s="135" t="str">
        <f aca="false">IF(ISBLANK($C78),"",IF($BD78&lt;&gt;Constants!$B$6,"",IF($AU78="-&gt;",$AY78,$AP78)))</f>
        <v/>
      </c>
      <c r="BZ78" s="135" t="str">
        <f aca="false">IF(ISBLANK($C78),"",IF($BD78&lt;&gt;Constants!$B$6,"",IF($AU78="-&gt;",$AZ78,$AQ78)+$BG78))</f>
        <v/>
      </c>
      <c r="CA78" s="136" t="str">
        <f aca="false">IF(ISBLANK($C78),"",IF($BD78&lt;&gt;Constants!$B$6,$BD78,$BH78))</f>
        <v/>
      </c>
      <c r="CB78" s="137" t="str">
        <f aca="false">IF(ISBLANK($C78),"",$BE78)</f>
        <v/>
      </c>
      <c r="CC78" s="138" t="str">
        <f aca="false">IF(ISBLANK($C78),"",$BS78)</f>
        <v/>
      </c>
      <c r="CD78" s="138" t="str">
        <f aca="false">IF(ISBLANK($C78),"",$BR78)</f>
        <v/>
      </c>
      <c r="CE78" s="139" t="str">
        <f aca="false">IF(ISBLANK($C78),"",IF($CD78=Constants!$B$9,COUNTA($C$9:$C$508)+2,IF($CD78=Constants!$B$8,COUNTA($C$9:$C$508)+1,IF($CD78=Constants!$B$7,COUNTA($C$9:$C$508),$CD78))))</f>
        <v/>
      </c>
      <c r="CF78" s="9"/>
      <c r="CG78" s="140" t="n">
        <f aca="false">IF(OR(ISNUMBER($CD78),$CD78=Constants!$B$9,$CD78=Constants!$B$7,$CD78=Constants!$B$8),1,0)</f>
        <v>0</v>
      </c>
      <c r="CH78" s="140" t="n">
        <v>70</v>
      </c>
      <c r="CI78" s="140" t="str">
        <f aca="false">IF(ISBLANK($C78),"",IF(ISNUMBER($CE78),$CE78+ROW($B78)/1000,""))</f>
        <v/>
      </c>
      <c r="CJ78" s="140" t="str">
        <f aca="false">IF(ISNUMBER($CI78),RANK($CI78,$CI$9:$CI$508,1),"")</f>
        <v/>
      </c>
      <c r="CK78" s="140" t="str">
        <f aca="false">IF(ISBLANK($C78),"",$B78)</f>
        <v/>
      </c>
      <c r="CL78" s="140" t="str">
        <f aca="false">IF(ISBLANK($C78),"",$C78)</f>
        <v/>
      </c>
      <c r="CM78" s="140" t="str">
        <f aca="false">IF(ISBLANK($C78),"",$D78)</f>
        <v/>
      </c>
      <c r="CN78" s="141" t="str">
        <f aca="false">$CB78</f>
        <v/>
      </c>
      <c r="CO78" s="142" t="str">
        <f aca="false">$CA78</f>
        <v/>
      </c>
      <c r="CP78" s="140" t="str">
        <f aca="false">IF(ISBLANK($C78),"",$CD78)</f>
        <v/>
      </c>
      <c r="CQ78" s="143" t="str">
        <f aca="false">IF($CH78&gt;$CG$8,"",VLOOKUP($CH78,$CJ$9:$CP$508,7,FALSE()))</f>
        <v/>
      </c>
      <c r="CR78" s="144" t="str">
        <f aca="false">IF($CH78&gt;$CG$8,"",VLOOKUP($CH78,$CJ$9:$CP$508,2,FALSE()))</f>
        <v/>
      </c>
      <c r="CS78" s="144" t="str">
        <f aca="false">IF($CH78&gt;$CG$8,"",VLOOKUP($CH78,$CJ$9:$CP$508,3,FALSE()))</f>
        <v/>
      </c>
      <c r="CT78" s="144" t="str">
        <f aca="false">IF($CH78&gt;$CG$8,"",VLOOKUP($CH78,$CJ$9:$CP$508,4,FALSE()))</f>
        <v/>
      </c>
      <c r="CU78" s="144" t="str">
        <f aca="false">IF($CH78&gt;$CG$8,"",VLOOKUP($CH78,$CJ$9:$CP$508,5,FALSE()))</f>
        <v/>
      </c>
      <c r="CV78" s="145" t="str">
        <f aca="false">IF($CH78&gt;$CG$8,"",VLOOKUP($CH78,$CJ$9:$CP$508,6,FALSE()))</f>
        <v/>
      </c>
      <c r="CW78" s="71"/>
    </row>
    <row r="79" customFormat="false" ht="15.75" hidden="false" customHeight="false" outlineLevel="0" collapsed="false">
      <c r="A79" s="9"/>
      <c r="B79" s="150"/>
      <c r="C79" s="151"/>
      <c r="D79" s="152"/>
      <c r="E79" s="170"/>
      <c r="F79" s="154"/>
      <c r="G79" s="155"/>
      <c r="H79" s="171"/>
      <c r="I79" s="159"/>
      <c r="J79" s="120"/>
      <c r="K79" s="121"/>
      <c r="L79" s="122"/>
      <c r="M79" s="158"/>
      <c r="N79" s="159"/>
      <c r="O79" s="159"/>
      <c r="P79" s="120"/>
      <c r="Q79" s="122"/>
      <c r="R79" s="122"/>
      <c r="S79" s="158"/>
      <c r="T79" s="159"/>
      <c r="U79" s="126"/>
      <c r="V79" s="127"/>
      <c r="W79" s="127" t="str">
        <f aca="false">IF(ISBLANK($C79),"",IF(E79=Constants!$B$2,TRUE(),IF(E79=Constants!$B$3,FALSE(),TRUE())))</f>
        <v/>
      </c>
      <c r="X79" s="127" t="str">
        <f aca="false">IF(ISBLANK($C79),"",IF(F79=Constants!$B$2,TRUE(),IF(F79=Constants!$B$3,FALSE(),TRUE())))</f>
        <v/>
      </c>
      <c r="Y79" s="127" t="str">
        <f aca="false">IF(ISBLANK($C79),"",IF(G79=Constants!$B$2,TRUE(),IF(G79=Constants!$B$3,FALSE(),TRUE())))</f>
        <v/>
      </c>
      <c r="Z79" s="127" t="str">
        <f aca="false">IF(ISBLANK($C79),"",IF(H79=Constants!$B$2,TRUE(),IF(H79=Constants!$B$3,FALSE(),TRUE())))</f>
        <v/>
      </c>
      <c r="AA79" s="127" t="str">
        <f aca="false">IF(ISBLANK($C79),"",IF(I79=Constants!$B$2,TRUE(),IF(I79=Constants!$B$3,FALSE(),TRUE())))</f>
        <v/>
      </c>
      <c r="AB79" s="127" t="str">
        <f aca="false">IF(ISBLANK($C79),"",IF(J79=Constants!$B$4,TRUE(),IF(J79=Constants!$B$5,FALSE(),COUNTA(K79:M79)&gt;0)))</f>
        <v/>
      </c>
      <c r="AC79" s="128" t="str">
        <f aca="false">IF(ISBLANK($C79),"",IF(ISNUMBER(K79),IF(K79&gt;=0,K79,""),""))</f>
        <v/>
      </c>
      <c r="AD79" s="129" t="str">
        <f aca="false">IF(ISBLANK($C79),"",IF(ISNUMBER(L79),IF(L79&gt;=0,L79,""),""))</f>
        <v/>
      </c>
      <c r="AE79" s="127" t="str">
        <f aca="false">IF(ISBLANK($C79),"",IF(ISNUMBER(M79),IF(M79&gt;=0,MIN(M79,Constants!$B$22),""),""))</f>
        <v/>
      </c>
      <c r="AF79" s="127" t="str">
        <f aca="false">IF(ISBLANK($C79),"",IF(N79=Constants!$B$2,TRUE(),IF(N79=Constants!$B$3,FALSE(),TRUE())))</f>
        <v/>
      </c>
      <c r="AG79" s="127" t="str">
        <f aca="false">IF(ISBLANK($C79),"",IF(O79=Constants!$B$2,TRUE(),IF(O79=Constants!$B$3,FALSE(),TRUE())))</f>
        <v/>
      </c>
      <c r="AH79" s="127" t="str">
        <f aca="false">IF(ISBLANK($C79),"",IF(P79=Constants!$B$4,TRUE(),IF(P79=Constants!$B$5,FALSE(),COUNTA(Q79:S79)&gt;0)))</f>
        <v/>
      </c>
      <c r="AI79" s="128" t="str">
        <f aca="false">IF(ISBLANK($C79),"",IF(ISNUMBER(Q79),IF(Q79&gt;=0,Q79,""),""))</f>
        <v/>
      </c>
      <c r="AJ79" s="129" t="str">
        <f aca="false">IF(ISBLANK($C79),"",IF(ISNUMBER(R79),IF(R79&gt;=0,R79,""),""))</f>
        <v/>
      </c>
      <c r="AK79" s="127" t="str">
        <f aca="false">IF(ISBLANK($C79),"",IF(ISNUMBER(S79),IF(S79&gt;=0,MIN(S79,Constants!$B$22),""),""))</f>
        <v/>
      </c>
      <c r="AL79" s="127" t="str">
        <f aca="false">IF(ISBLANK($C79),"",IF(T79=Constants!$B$2,TRUE(),IF(T79=Constants!$B$3,FALSE(),FALSE())))</f>
        <v/>
      </c>
      <c r="AM79" s="126" t="str">
        <f aca="false">IF(ISBLANK($C79),"",AND($AB79,OR($AC79="",$AD79="",AND(NOT(ISBLANK($M79)),$AE79=""))))</f>
        <v/>
      </c>
      <c r="AN79" s="129" t="str">
        <f aca="false">IF($BD79&lt;&gt;Constants!$B$6,"",IF($AB79,Constants!$B$17*$AD79,Constants!$B$18))</f>
        <v/>
      </c>
      <c r="AO79" s="130" t="str">
        <f aca="false">IF($BD79&lt;&gt;Constants!$B$6,"",Constants!$B$19*IF($AB79,$AC79,0))</f>
        <v/>
      </c>
      <c r="AP79" s="130" t="str">
        <f aca="false">IF($BD79&lt;&gt;Constants!$B$6,"",IF(AND($AB79,ISNUMBER($AE79)),Constants!$B$20*(Constants!$B$21-$AE79),0))</f>
        <v/>
      </c>
      <c r="AQ79" s="130" t="str">
        <f aca="false">IF($BD79&lt;&gt;Constants!$B$6,"",IF($AA79,0,Constants!$B$12)+IF($Z79,0,Constants!$B$13)+IF($Y79,0,Constants!$B$14))</f>
        <v/>
      </c>
      <c r="AR79" s="131" t="str">
        <f aca="false">IF($BD79&lt;&gt;Constants!$B$6,"",Constants!$B$16+SUM($AN79:$AQ79))</f>
        <v/>
      </c>
      <c r="AS79" s="130" t="str">
        <f aca="false">IF($BD79&lt;&gt;Constants!$B$6,"",IF($AB79,$AD79,""))</f>
        <v/>
      </c>
      <c r="AT79" s="132" t="str">
        <f aca="false">IF($BD79&lt;&gt;Constants!$B$6,"",$AO79)</f>
        <v/>
      </c>
      <c r="AU79" s="127" t="str">
        <f aca="false">IF($BD79&lt;&gt;Constants!$B$6,"",IF(OR($BA79&lt;$AR79,AND($BA79=$AR79,OR(AND(ISNUMBER($BB79),OR(NOT(ISNUMBER($AS79)),$BB79&lt;$AS79)),AND(OR(AND($BB79="",$AS79=""),AND(ISNUMBER($BB79),ISNUMBER($AS79),$BB79=$AS79)),$BC79&lt;$AT79)))),"-&gt;","&lt;-"))</f>
        <v/>
      </c>
      <c r="AV79" s="126" t="str">
        <f aca="false">IF(ISBLANK($C79),"",AND($AH79,OR($AI79="",$AJ79="",AND(NOT(ISBLANK($S79)),$AK79=""))))</f>
        <v/>
      </c>
      <c r="AW79" s="129" t="str">
        <f aca="false">IF($BD79&lt;&gt;Constants!$B$6,"",IF($AH79,Constants!$B$17*$AJ79,Constants!$B$18))</f>
        <v/>
      </c>
      <c r="AX79" s="130" t="str">
        <f aca="false">IF($BD79&lt;&gt;Constants!$B$6,"",Constants!$B$19*IF($AH79,$AI79,0))</f>
        <v/>
      </c>
      <c r="AY79" s="130" t="str">
        <f aca="false">IF($BD79&lt;&gt;Constants!$B$6,"",IF(AND($AH79,ISNUMBER($AK79)),Constants!$B$20*(Constants!$B$21-$AK79),0))</f>
        <v/>
      </c>
      <c r="AZ79" s="130" t="str">
        <f aca="false">IF($BD79&lt;&gt;Constants!$B$6,"",IF($AG79,0,Constants!$B$12)+IF($AF79,0,Constants!$B$13)+IF($Y79,0,Constants!$B$14))</f>
        <v/>
      </c>
      <c r="BA79" s="131" t="str">
        <f aca="false">IF($BD79&lt;&gt;Constants!$B$6,"",Constants!$B$16+SUM($AW79:$AZ79))</f>
        <v/>
      </c>
      <c r="BB79" s="130" t="str">
        <f aca="false">IF($BD79&lt;&gt;Constants!$B$6,"",IF($AH79,$AJ79,""))</f>
        <v/>
      </c>
      <c r="BC79" s="132" t="str">
        <f aca="false">IF($BD79&lt;&gt;Constants!$B$6,"",$AX79)</f>
        <v/>
      </c>
      <c r="BD79" s="127" t="str">
        <f aca="false">IF(ISBLANK($C79),"",IF($AL79,Constants!$B$9,IF(COUNTA($E79:$T79)=0,Constants!$B$8,IF(NOT($X79),Constants!$B$7,IF(OR($AM79,$AV79),Constants!$B$10,Constants!$B$6)))))</f>
        <v/>
      </c>
      <c r="BE79" s="127" t="str">
        <f aca="false">IF(ISBLANK($C79),"",IF($BD79&lt;&gt;Constants!$B$6,$BD79,Constants!$B$11))</f>
        <v/>
      </c>
      <c r="BF79" s="130" t="str">
        <f aca="false">IF($BD79&lt;&gt;Constants!$B$6,"",IF($AU79="-&gt;",$BA79,$AR79))</f>
        <v/>
      </c>
      <c r="BG79" s="130" t="str">
        <f aca="false">IF($BD79&lt;&gt;Constants!$B$6,"",IF($W79,0,Constants!$B$15))</f>
        <v/>
      </c>
      <c r="BH79" s="130" t="str">
        <f aca="false">IF(ISBLANK($C79),"",IF($BD79&lt;&gt;Constants!$B$6,$BD79,SUM($BF79:$BG79)))</f>
        <v/>
      </c>
      <c r="BI79" s="127" t="str">
        <f aca="false">IF(ISBLANK($C79),"",IF($BD79&lt;&gt;Constants!$B$6,$BD79,RANK($BH79,$BH$9:$BH$508,1)))</f>
        <v/>
      </c>
      <c r="BJ79" s="130" t="str">
        <f aca="false">IF($BD79&lt;&gt;Constants!$B$6,"",IF($AU79="-&gt;",$BB79,$AS79))</f>
        <v/>
      </c>
      <c r="BK79" s="127" t="str">
        <f aca="false">IF(ISBLANK($C79),"",IF($BD79&lt;&gt;Constants!$B$6,$BD79,IF(ISNUMBER($BJ79),RANK($BJ79,$BJ$9:$BJ$508,1),COUNT($BJ$9:$BJ$508)+1)))</f>
        <v/>
      </c>
      <c r="BL79" s="130" t="str">
        <f aca="false">IF($BD79&lt;&gt;Constants!$B$6,"",IF($AU79="-&gt;",$BC79,$AT79))</f>
        <v/>
      </c>
      <c r="BM79" s="127" t="str">
        <f aca="false">IF(ISBLANK($C79),"",IF($BD79&lt;&gt;Constants!$B$6,$BD79,IF(ISNUMBER($BL79),RANK($BL79,$BL$9:$BL$508,1),COUNT($BL$9:$BL$508)+1)))</f>
        <v/>
      </c>
      <c r="BN79" s="130" t="str">
        <f aca="false">IF($BD79&lt;&gt;Constants!$B$6,"",IF($AU79="-&gt;",$AS79,$BB79))</f>
        <v/>
      </c>
      <c r="BO79" s="127" t="str">
        <f aca="false">IF(ISBLANK($C79),"",IF($BD79&lt;&gt;Constants!$B$6,$BD79,IF(ISNUMBER($BN79),RANK($BN79,$BN$9:$BN$508,1),COUNT($BN$9:$BN$508)+1)))</f>
        <v/>
      </c>
      <c r="BP79" s="130" t="str">
        <f aca="false">IF($BD79&lt;&gt;Constants!$B$6,"",IF($AU79="-&gt;",$AT79,$BC79))</f>
        <v/>
      </c>
      <c r="BQ79" s="127" t="str">
        <f aca="false">IF(ISBLANK($C79),"",IF($BD79&lt;&gt;Constants!$B$6,$BD79,IF(ISNUMBER($BP79),RANK($BP79,$BP$9:$BP$508,1),COUNT($BP$9:$BP$508)+1)))</f>
        <v/>
      </c>
      <c r="BR79" s="127" t="str">
        <f aca="false">IF(ISBLANK($C79),"",IF($BD79&lt;&gt;Constants!$B$6,$BD79,COUNTIFS($BI$9:$BI$508,"&lt;"&amp;$BI79)+COUNTIFS($BI$9:$BI$508,$BI79,$BK$9:$BK$508,"&lt;"&amp;$BK79)+COUNTIFS($BI$9:$BI$508,$BI79,$BK$9:$BK$508,$BK79,$BM$9:$BM$508,"&lt;"&amp;$BM79)+COUNTIFS($BI$9:$BI$508,$BI79,$BK$9:$BK$508,$BK79,$BM$9:$BM$508,$BM79,$BO$9:$BO$508,"&lt;"&amp;$BO79)+COUNTIFS($BI$9:$BI$508,$BI79,$BK$9:$BK$508,$BK79,$BM$9:$BM$508,$BM79,$BO$9:$BO$508,$BO79,$BQ$9:$BQ$508,"&lt;"&amp;$BQ79)+1))</f>
        <v/>
      </c>
      <c r="BS79" s="127" t="str">
        <f aca="false">IF(ISBLANK($C79),"",IF($BD79&lt;&gt;Constants!$B$6,$BD79,$BI79-$BR79))</f>
        <v/>
      </c>
      <c r="BT79" s="133"/>
      <c r="BU79" s="134"/>
      <c r="BV79" s="134" t="str">
        <f aca="false">IF(ISBLANK($C79),"",IF($BD79&lt;&gt;Constants!$B$6,"",IF($AU79="-&gt;",2,1)))</f>
        <v/>
      </c>
      <c r="BW79" s="135" t="str">
        <f aca="false">IF(ISBLANK($C79),"",IF($BD79&lt;&gt;Constants!$B$6,"",IF($AU79="-&gt;",$AW79,$AN79)))</f>
        <v/>
      </c>
      <c r="BX79" s="135" t="str">
        <f aca="false">IF(ISBLANK($C79),"",IF($BD79&lt;&gt;Constants!$B$6,"",IF($AU79="-&gt;",$AX79,$AO79)))</f>
        <v/>
      </c>
      <c r="BY79" s="135" t="str">
        <f aca="false">IF(ISBLANK($C79),"",IF($BD79&lt;&gt;Constants!$B$6,"",IF($AU79="-&gt;",$AY79,$AP79)))</f>
        <v/>
      </c>
      <c r="BZ79" s="135" t="str">
        <f aca="false">IF(ISBLANK($C79),"",IF($BD79&lt;&gt;Constants!$B$6,"",IF($AU79="-&gt;",$AZ79,$AQ79)+$BG79))</f>
        <v/>
      </c>
      <c r="CA79" s="136" t="str">
        <f aca="false">IF(ISBLANK($C79),"",IF($BD79&lt;&gt;Constants!$B$6,$BD79,$BH79))</f>
        <v/>
      </c>
      <c r="CB79" s="137" t="str">
        <f aca="false">IF(ISBLANK($C79),"",$BE79)</f>
        <v/>
      </c>
      <c r="CC79" s="138" t="str">
        <f aca="false">IF(ISBLANK($C79),"",$BS79)</f>
        <v/>
      </c>
      <c r="CD79" s="138" t="str">
        <f aca="false">IF(ISBLANK($C79),"",$BR79)</f>
        <v/>
      </c>
      <c r="CE79" s="139" t="str">
        <f aca="false">IF(ISBLANK($C79),"",IF($CD79=Constants!$B$9,COUNTA($C$9:$C$508)+2,IF($CD79=Constants!$B$8,COUNTA($C$9:$C$508)+1,IF($CD79=Constants!$B$7,COUNTA($C$9:$C$508),$CD79))))</f>
        <v/>
      </c>
      <c r="CF79" s="9"/>
      <c r="CG79" s="140" t="n">
        <f aca="false">IF(OR(ISNUMBER($CD79),$CD79=Constants!$B$9,$CD79=Constants!$B$7,$CD79=Constants!$B$8),1,0)</f>
        <v>0</v>
      </c>
      <c r="CH79" s="140" t="n">
        <v>71</v>
      </c>
      <c r="CI79" s="140" t="str">
        <f aca="false">IF(ISBLANK($C79),"",IF(ISNUMBER($CE79),$CE79+ROW($B79)/1000,""))</f>
        <v/>
      </c>
      <c r="CJ79" s="140" t="str">
        <f aca="false">IF(ISNUMBER($CI79),RANK($CI79,$CI$9:$CI$508,1),"")</f>
        <v/>
      </c>
      <c r="CK79" s="140" t="str">
        <f aca="false">IF(ISBLANK($C79),"",$B79)</f>
        <v/>
      </c>
      <c r="CL79" s="140" t="str">
        <f aca="false">IF(ISBLANK($C79),"",$C79)</f>
        <v/>
      </c>
      <c r="CM79" s="140" t="str">
        <f aca="false">IF(ISBLANK($C79),"",$D79)</f>
        <v/>
      </c>
      <c r="CN79" s="141" t="str">
        <f aca="false">$CB79</f>
        <v/>
      </c>
      <c r="CO79" s="142" t="str">
        <f aca="false">$CA79</f>
        <v/>
      </c>
      <c r="CP79" s="140" t="str">
        <f aca="false">IF(ISBLANK($C79),"",$CD79)</f>
        <v/>
      </c>
      <c r="CQ79" s="143" t="str">
        <f aca="false">IF($CH79&gt;$CG$8,"",VLOOKUP($CH79,$CJ$9:$CP$508,7,FALSE()))</f>
        <v/>
      </c>
      <c r="CR79" s="144" t="str">
        <f aca="false">IF($CH79&gt;$CG$8,"",VLOOKUP($CH79,$CJ$9:$CP$508,2,FALSE()))</f>
        <v/>
      </c>
      <c r="CS79" s="144" t="str">
        <f aca="false">IF($CH79&gt;$CG$8,"",VLOOKUP($CH79,$CJ$9:$CP$508,3,FALSE()))</f>
        <v/>
      </c>
      <c r="CT79" s="144" t="str">
        <f aca="false">IF($CH79&gt;$CG$8,"",VLOOKUP($CH79,$CJ$9:$CP$508,4,FALSE()))</f>
        <v/>
      </c>
      <c r="CU79" s="144" t="str">
        <f aca="false">IF($CH79&gt;$CG$8,"",VLOOKUP($CH79,$CJ$9:$CP$508,5,FALSE()))</f>
        <v/>
      </c>
      <c r="CV79" s="145" t="str">
        <f aca="false">IF($CH79&gt;$CG$8,"",VLOOKUP($CH79,$CJ$9:$CP$508,6,FALSE()))</f>
        <v/>
      </c>
      <c r="CW79" s="71"/>
    </row>
    <row r="80" customFormat="false" ht="15.75" hidden="false" customHeight="false" outlineLevel="0" collapsed="false">
      <c r="A80" s="9"/>
      <c r="B80" s="150"/>
      <c r="C80" s="151"/>
      <c r="D80" s="152"/>
      <c r="E80" s="170"/>
      <c r="F80" s="154"/>
      <c r="G80" s="155"/>
      <c r="H80" s="171"/>
      <c r="I80" s="159"/>
      <c r="J80" s="120"/>
      <c r="K80" s="121"/>
      <c r="L80" s="122"/>
      <c r="M80" s="158"/>
      <c r="N80" s="159"/>
      <c r="O80" s="159"/>
      <c r="P80" s="120"/>
      <c r="Q80" s="122"/>
      <c r="R80" s="122"/>
      <c r="S80" s="158"/>
      <c r="T80" s="159"/>
      <c r="U80" s="126"/>
      <c r="V80" s="127"/>
      <c r="W80" s="127" t="str">
        <f aca="false">IF(ISBLANK($C80),"",IF(E80=Constants!$B$2,TRUE(),IF(E80=Constants!$B$3,FALSE(),TRUE())))</f>
        <v/>
      </c>
      <c r="X80" s="127" t="str">
        <f aca="false">IF(ISBLANK($C80),"",IF(F80=Constants!$B$2,TRUE(),IF(F80=Constants!$B$3,FALSE(),TRUE())))</f>
        <v/>
      </c>
      <c r="Y80" s="127" t="str">
        <f aca="false">IF(ISBLANK($C80),"",IF(G80=Constants!$B$2,TRUE(),IF(G80=Constants!$B$3,FALSE(),TRUE())))</f>
        <v/>
      </c>
      <c r="Z80" s="127" t="str">
        <f aca="false">IF(ISBLANK($C80),"",IF(H80=Constants!$B$2,TRUE(),IF(H80=Constants!$B$3,FALSE(),TRUE())))</f>
        <v/>
      </c>
      <c r="AA80" s="127" t="str">
        <f aca="false">IF(ISBLANK($C80),"",IF(I80=Constants!$B$2,TRUE(),IF(I80=Constants!$B$3,FALSE(),TRUE())))</f>
        <v/>
      </c>
      <c r="AB80" s="127" t="str">
        <f aca="false">IF(ISBLANK($C80),"",IF(J80=Constants!$B$4,TRUE(),IF(J80=Constants!$B$5,FALSE(),COUNTA(K80:M80)&gt;0)))</f>
        <v/>
      </c>
      <c r="AC80" s="128" t="str">
        <f aca="false">IF(ISBLANK($C80),"",IF(ISNUMBER(K80),IF(K80&gt;=0,K80,""),""))</f>
        <v/>
      </c>
      <c r="AD80" s="129" t="str">
        <f aca="false">IF(ISBLANK($C80),"",IF(ISNUMBER(L80),IF(L80&gt;=0,L80,""),""))</f>
        <v/>
      </c>
      <c r="AE80" s="127" t="str">
        <f aca="false">IF(ISBLANK($C80),"",IF(ISNUMBER(M80),IF(M80&gt;=0,MIN(M80,Constants!$B$22),""),""))</f>
        <v/>
      </c>
      <c r="AF80" s="127" t="str">
        <f aca="false">IF(ISBLANK($C80),"",IF(N80=Constants!$B$2,TRUE(),IF(N80=Constants!$B$3,FALSE(),TRUE())))</f>
        <v/>
      </c>
      <c r="AG80" s="127" t="str">
        <f aca="false">IF(ISBLANK($C80),"",IF(O80=Constants!$B$2,TRUE(),IF(O80=Constants!$B$3,FALSE(),TRUE())))</f>
        <v/>
      </c>
      <c r="AH80" s="127" t="str">
        <f aca="false">IF(ISBLANK($C80),"",IF(P80=Constants!$B$4,TRUE(),IF(P80=Constants!$B$5,FALSE(),COUNTA(Q80:S80)&gt;0)))</f>
        <v/>
      </c>
      <c r="AI80" s="128" t="str">
        <f aca="false">IF(ISBLANK($C80),"",IF(ISNUMBER(Q80),IF(Q80&gt;=0,Q80,""),""))</f>
        <v/>
      </c>
      <c r="AJ80" s="129" t="str">
        <f aca="false">IF(ISBLANK($C80),"",IF(ISNUMBER(R80),IF(R80&gt;=0,R80,""),""))</f>
        <v/>
      </c>
      <c r="AK80" s="127" t="str">
        <f aca="false">IF(ISBLANK($C80),"",IF(ISNUMBER(S80),IF(S80&gt;=0,MIN(S80,Constants!$B$22),""),""))</f>
        <v/>
      </c>
      <c r="AL80" s="127" t="str">
        <f aca="false">IF(ISBLANK($C80),"",IF(T80=Constants!$B$2,TRUE(),IF(T80=Constants!$B$3,FALSE(),FALSE())))</f>
        <v/>
      </c>
      <c r="AM80" s="126" t="str">
        <f aca="false">IF(ISBLANK($C80),"",AND($AB80,OR($AC80="",$AD80="",AND(NOT(ISBLANK($M80)),$AE80=""))))</f>
        <v/>
      </c>
      <c r="AN80" s="129" t="str">
        <f aca="false">IF($BD80&lt;&gt;Constants!$B$6,"",IF($AB80,Constants!$B$17*$AD80,Constants!$B$18))</f>
        <v/>
      </c>
      <c r="AO80" s="130" t="str">
        <f aca="false">IF($BD80&lt;&gt;Constants!$B$6,"",Constants!$B$19*IF($AB80,$AC80,0))</f>
        <v/>
      </c>
      <c r="AP80" s="130" t="str">
        <f aca="false">IF($BD80&lt;&gt;Constants!$B$6,"",IF(AND($AB80,ISNUMBER($AE80)),Constants!$B$20*(Constants!$B$21-$AE80),0))</f>
        <v/>
      </c>
      <c r="AQ80" s="130" t="str">
        <f aca="false">IF($BD80&lt;&gt;Constants!$B$6,"",IF($AA80,0,Constants!$B$12)+IF($Z80,0,Constants!$B$13)+IF($Y80,0,Constants!$B$14))</f>
        <v/>
      </c>
      <c r="AR80" s="131" t="str">
        <f aca="false">IF($BD80&lt;&gt;Constants!$B$6,"",Constants!$B$16+SUM($AN80:$AQ80))</f>
        <v/>
      </c>
      <c r="AS80" s="130" t="str">
        <f aca="false">IF($BD80&lt;&gt;Constants!$B$6,"",IF($AB80,$AD80,""))</f>
        <v/>
      </c>
      <c r="AT80" s="132" t="str">
        <f aca="false">IF($BD80&lt;&gt;Constants!$B$6,"",$AO80)</f>
        <v/>
      </c>
      <c r="AU80" s="127" t="str">
        <f aca="false">IF($BD80&lt;&gt;Constants!$B$6,"",IF(OR($BA80&lt;$AR80,AND($BA80=$AR80,OR(AND(ISNUMBER($BB80),OR(NOT(ISNUMBER($AS80)),$BB80&lt;$AS80)),AND(OR(AND($BB80="",$AS80=""),AND(ISNUMBER($BB80),ISNUMBER($AS80),$BB80=$AS80)),$BC80&lt;$AT80)))),"-&gt;","&lt;-"))</f>
        <v/>
      </c>
      <c r="AV80" s="126" t="str">
        <f aca="false">IF(ISBLANK($C80),"",AND($AH80,OR($AI80="",$AJ80="",AND(NOT(ISBLANK($S80)),$AK80=""))))</f>
        <v/>
      </c>
      <c r="AW80" s="129" t="str">
        <f aca="false">IF($BD80&lt;&gt;Constants!$B$6,"",IF($AH80,Constants!$B$17*$AJ80,Constants!$B$18))</f>
        <v/>
      </c>
      <c r="AX80" s="130" t="str">
        <f aca="false">IF($BD80&lt;&gt;Constants!$B$6,"",Constants!$B$19*IF($AH80,$AI80,0))</f>
        <v/>
      </c>
      <c r="AY80" s="130" t="str">
        <f aca="false">IF($BD80&lt;&gt;Constants!$B$6,"",IF(AND($AH80,ISNUMBER($AK80)),Constants!$B$20*(Constants!$B$21-$AK80),0))</f>
        <v/>
      </c>
      <c r="AZ80" s="130" t="str">
        <f aca="false">IF($BD80&lt;&gt;Constants!$B$6,"",IF($AG80,0,Constants!$B$12)+IF($AF80,0,Constants!$B$13)+IF($Y80,0,Constants!$B$14))</f>
        <v/>
      </c>
      <c r="BA80" s="131" t="str">
        <f aca="false">IF($BD80&lt;&gt;Constants!$B$6,"",Constants!$B$16+SUM($AW80:$AZ80))</f>
        <v/>
      </c>
      <c r="BB80" s="130" t="str">
        <f aca="false">IF($BD80&lt;&gt;Constants!$B$6,"",IF($AH80,$AJ80,""))</f>
        <v/>
      </c>
      <c r="BC80" s="132" t="str">
        <f aca="false">IF($BD80&lt;&gt;Constants!$B$6,"",$AX80)</f>
        <v/>
      </c>
      <c r="BD80" s="127" t="str">
        <f aca="false">IF(ISBLANK($C80),"",IF($AL80,Constants!$B$9,IF(COUNTA($E80:$T80)=0,Constants!$B$8,IF(NOT($X80),Constants!$B$7,IF(OR($AM80,$AV80),Constants!$B$10,Constants!$B$6)))))</f>
        <v/>
      </c>
      <c r="BE80" s="127" t="str">
        <f aca="false">IF(ISBLANK($C80),"",IF($BD80&lt;&gt;Constants!$B$6,$BD80,Constants!$B$11))</f>
        <v/>
      </c>
      <c r="BF80" s="130" t="str">
        <f aca="false">IF($BD80&lt;&gt;Constants!$B$6,"",IF($AU80="-&gt;",$BA80,$AR80))</f>
        <v/>
      </c>
      <c r="BG80" s="130" t="str">
        <f aca="false">IF($BD80&lt;&gt;Constants!$B$6,"",IF($W80,0,Constants!$B$15))</f>
        <v/>
      </c>
      <c r="BH80" s="130" t="str">
        <f aca="false">IF(ISBLANK($C80),"",IF($BD80&lt;&gt;Constants!$B$6,$BD80,SUM($BF80:$BG80)))</f>
        <v/>
      </c>
      <c r="BI80" s="127" t="str">
        <f aca="false">IF(ISBLANK($C80),"",IF($BD80&lt;&gt;Constants!$B$6,$BD80,RANK($BH80,$BH$9:$BH$508,1)))</f>
        <v/>
      </c>
      <c r="BJ80" s="130" t="str">
        <f aca="false">IF($BD80&lt;&gt;Constants!$B$6,"",IF($AU80="-&gt;",$BB80,$AS80))</f>
        <v/>
      </c>
      <c r="BK80" s="127" t="str">
        <f aca="false">IF(ISBLANK($C80),"",IF($BD80&lt;&gt;Constants!$B$6,$BD80,IF(ISNUMBER($BJ80),RANK($BJ80,$BJ$9:$BJ$508,1),COUNT($BJ$9:$BJ$508)+1)))</f>
        <v/>
      </c>
      <c r="BL80" s="130" t="str">
        <f aca="false">IF($BD80&lt;&gt;Constants!$B$6,"",IF($AU80="-&gt;",$BC80,$AT80))</f>
        <v/>
      </c>
      <c r="BM80" s="127" t="str">
        <f aca="false">IF(ISBLANK($C80),"",IF($BD80&lt;&gt;Constants!$B$6,$BD80,IF(ISNUMBER($BL80),RANK($BL80,$BL$9:$BL$508,1),COUNT($BL$9:$BL$508)+1)))</f>
        <v/>
      </c>
      <c r="BN80" s="130" t="str">
        <f aca="false">IF($BD80&lt;&gt;Constants!$B$6,"",IF($AU80="-&gt;",$AS80,$BB80))</f>
        <v/>
      </c>
      <c r="BO80" s="127" t="str">
        <f aca="false">IF(ISBLANK($C80),"",IF($BD80&lt;&gt;Constants!$B$6,$BD80,IF(ISNUMBER($BN80),RANK($BN80,$BN$9:$BN$508,1),COUNT($BN$9:$BN$508)+1)))</f>
        <v/>
      </c>
      <c r="BP80" s="130" t="str">
        <f aca="false">IF($BD80&lt;&gt;Constants!$B$6,"",IF($AU80="-&gt;",$AT80,$BC80))</f>
        <v/>
      </c>
      <c r="BQ80" s="127" t="str">
        <f aca="false">IF(ISBLANK($C80),"",IF($BD80&lt;&gt;Constants!$B$6,$BD80,IF(ISNUMBER($BP80),RANK($BP80,$BP$9:$BP$508,1),COUNT($BP$9:$BP$508)+1)))</f>
        <v/>
      </c>
      <c r="BR80" s="127" t="str">
        <f aca="false">IF(ISBLANK($C80),"",IF($BD80&lt;&gt;Constants!$B$6,$BD80,COUNTIFS($BI$9:$BI$508,"&lt;"&amp;$BI80)+COUNTIFS($BI$9:$BI$508,$BI80,$BK$9:$BK$508,"&lt;"&amp;$BK80)+COUNTIFS($BI$9:$BI$508,$BI80,$BK$9:$BK$508,$BK80,$BM$9:$BM$508,"&lt;"&amp;$BM80)+COUNTIFS($BI$9:$BI$508,$BI80,$BK$9:$BK$508,$BK80,$BM$9:$BM$508,$BM80,$BO$9:$BO$508,"&lt;"&amp;$BO80)+COUNTIFS($BI$9:$BI$508,$BI80,$BK$9:$BK$508,$BK80,$BM$9:$BM$508,$BM80,$BO$9:$BO$508,$BO80,$BQ$9:$BQ$508,"&lt;"&amp;$BQ80)+1))</f>
        <v/>
      </c>
      <c r="BS80" s="127" t="str">
        <f aca="false">IF(ISBLANK($C80),"",IF($BD80&lt;&gt;Constants!$B$6,$BD80,$BI80-$BR80))</f>
        <v/>
      </c>
      <c r="BT80" s="133"/>
      <c r="BU80" s="134"/>
      <c r="BV80" s="134" t="str">
        <f aca="false">IF(ISBLANK($C80),"",IF($BD80&lt;&gt;Constants!$B$6,"",IF($AU80="-&gt;",2,1)))</f>
        <v/>
      </c>
      <c r="BW80" s="135" t="str">
        <f aca="false">IF(ISBLANK($C80),"",IF($BD80&lt;&gt;Constants!$B$6,"",IF($AU80="-&gt;",$AW80,$AN80)))</f>
        <v/>
      </c>
      <c r="BX80" s="135" t="str">
        <f aca="false">IF(ISBLANK($C80),"",IF($BD80&lt;&gt;Constants!$B$6,"",IF($AU80="-&gt;",$AX80,$AO80)))</f>
        <v/>
      </c>
      <c r="BY80" s="135" t="str">
        <f aca="false">IF(ISBLANK($C80),"",IF($BD80&lt;&gt;Constants!$B$6,"",IF($AU80="-&gt;",$AY80,$AP80)))</f>
        <v/>
      </c>
      <c r="BZ80" s="135" t="str">
        <f aca="false">IF(ISBLANK($C80),"",IF($BD80&lt;&gt;Constants!$B$6,"",IF($AU80="-&gt;",$AZ80,$AQ80)+$BG80))</f>
        <v/>
      </c>
      <c r="CA80" s="136" t="str">
        <f aca="false">IF(ISBLANK($C80),"",IF($BD80&lt;&gt;Constants!$B$6,$BD80,$BH80))</f>
        <v/>
      </c>
      <c r="CB80" s="137" t="str">
        <f aca="false">IF(ISBLANK($C80),"",$BE80)</f>
        <v/>
      </c>
      <c r="CC80" s="138" t="str">
        <f aca="false">IF(ISBLANK($C80),"",$BS80)</f>
        <v/>
      </c>
      <c r="CD80" s="138" t="str">
        <f aca="false">IF(ISBLANK($C80),"",$BR80)</f>
        <v/>
      </c>
      <c r="CE80" s="139" t="str">
        <f aca="false">IF(ISBLANK($C80),"",IF($CD80=Constants!$B$9,COUNTA($C$9:$C$508)+2,IF($CD80=Constants!$B$8,COUNTA($C$9:$C$508)+1,IF($CD80=Constants!$B$7,COUNTA($C$9:$C$508),$CD80))))</f>
        <v/>
      </c>
      <c r="CF80" s="9"/>
      <c r="CG80" s="140" t="n">
        <f aca="false">IF(OR(ISNUMBER($CD80),$CD80=Constants!$B$9,$CD80=Constants!$B$7,$CD80=Constants!$B$8),1,0)</f>
        <v>0</v>
      </c>
      <c r="CH80" s="140" t="n">
        <v>72</v>
      </c>
      <c r="CI80" s="140" t="str">
        <f aca="false">IF(ISBLANK($C80),"",IF(ISNUMBER($CE80),$CE80+ROW($B80)/1000,""))</f>
        <v/>
      </c>
      <c r="CJ80" s="140" t="str">
        <f aca="false">IF(ISNUMBER($CI80),RANK($CI80,$CI$9:$CI$508,1),"")</f>
        <v/>
      </c>
      <c r="CK80" s="140" t="str">
        <f aca="false">IF(ISBLANK($C80),"",$B80)</f>
        <v/>
      </c>
      <c r="CL80" s="140" t="str">
        <f aca="false">IF(ISBLANK($C80),"",$C80)</f>
        <v/>
      </c>
      <c r="CM80" s="140" t="str">
        <f aca="false">IF(ISBLANK($C80),"",$D80)</f>
        <v/>
      </c>
      <c r="CN80" s="141" t="str">
        <f aca="false">$CB80</f>
        <v/>
      </c>
      <c r="CO80" s="142" t="str">
        <f aca="false">$CA80</f>
        <v/>
      </c>
      <c r="CP80" s="140" t="str">
        <f aca="false">IF(ISBLANK($C80),"",$CD80)</f>
        <v/>
      </c>
      <c r="CQ80" s="143" t="str">
        <f aca="false">IF($CH80&gt;$CG$8,"",VLOOKUP($CH80,$CJ$9:$CP$508,7,FALSE()))</f>
        <v/>
      </c>
      <c r="CR80" s="144" t="str">
        <f aca="false">IF($CH80&gt;$CG$8,"",VLOOKUP($CH80,$CJ$9:$CP$508,2,FALSE()))</f>
        <v/>
      </c>
      <c r="CS80" s="144" t="str">
        <f aca="false">IF($CH80&gt;$CG$8,"",VLOOKUP($CH80,$CJ$9:$CP$508,3,FALSE()))</f>
        <v/>
      </c>
      <c r="CT80" s="144" t="str">
        <f aca="false">IF($CH80&gt;$CG$8,"",VLOOKUP($CH80,$CJ$9:$CP$508,4,FALSE()))</f>
        <v/>
      </c>
      <c r="CU80" s="144" t="str">
        <f aca="false">IF($CH80&gt;$CG$8,"",VLOOKUP($CH80,$CJ$9:$CP$508,5,FALSE()))</f>
        <v/>
      </c>
      <c r="CV80" s="145" t="str">
        <f aca="false">IF($CH80&gt;$CG$8,"",VLOOKUP($CH80,$CJ$9:$CP$508,6,FALSE()))</f>
        <v/>
      </c>
      <c r="CW80" s="71"/>
    </row>
    <row r="81" customFormat="false" ht="15.75" hidden="false" customHeight="false" outlineLevel="0" collapsed="false">
      <c r="A81" s="9"/>
      <c r="B81" s="72"/>
      <c r="C81" s="73"/>
      <c r="D81" s="160"/>
      <c r="E81" s="168"/>
      <c r="F81" s="162"/>
      <c r="G81" s="163"/>
      <c r="H81" s="169"/>
      <c r="I81" s="167"/>
      <c r="J81" s="80"/>
      <c r="K81" s="81"/>
      <c r="L81" s="82"/>
      <c r="M81" s="166"/>
      <c r="N81" s="167"/>
      <c r="O81" s="167"/>
      <c r="P81" s="80"/>
      <c r="Q81" s="82"/>
      <c r="R81" s="82"/>
      <c r="S81" s="166"/>
      <c r="T81" s="167"/>
      <c r="U81" s="86"/>
      <c r="V81" s="87"/>
      <c r="W81" s="87" t="str">
        <f aca="false">IF(ISBLANK($C81),"",IF(E81=Constants!$B$2,TRUE(),IF(E81=Constants!$B$3,FALSE(),TRUE())))</f>
        <v/>
      </c>
      <c r="X81" s="87" t="str">
        <f aca="false">IF(ISBLANK($C81),"",IF(F81=Constants!$B$2,TRUE(),IF(F81=Constants!$B$3,FALSE(),TRUE())))</f>
        <v/>
      </c>
      <c r="Y81" s="87" t="str">
        <f aca="false">IF(ISBLANK($C81),"",IF(G81=Constants!$B$2,TRUE(),IF(G81=Constants!$B$3,FALSE(),TRUE())))</f>
        <v/>
      </c>
      <c r="Z81" s="87" t="str">
        <f aca="false">IF(ISBLANK($C81),"",IF(H81=Constants!$B$2,TRUE(),IF(H81=Constants!$B$3,FALSE(),TRUE())))</f>
        <v/>
      </c>
      <c r="AA81" s="87" t="str">
        <f aca="false">IF(ISBLANK($C81),"",IF(I81=Constants!$B$2,TRUE(),IF(I81=Constants!$B$3,FALSE(),TRUE())))</f>
        <v/>
      </c>
      <c r="AB81" s="87" t="str">
        <f aca="false">IF(ISBLANK($C81),"",IF(J81=Constants!$B$4,TRUE(),IF(J81=Constants!$B$5,FALSE(),COUNTA(K81:M81)&gt;0)))</f>
        <v/>
      </c>
      <c r="AC81" s="88" t="str">
        <f aca="false">IF(ISBLANK($C81),"",IF(ISNUMBER(K81),IF(K81&gt;=0,K81,""),""))</f>
        <v/>
      </c>
      <c r="AD81" s="89" t="str">
        <f aca="false">IF(ISBLANK($C81),"",IF(ISNUMBER(L81),IF(L81&gt;=0,L81,""),""))</f>
        <v/>
      </c>
      <c r="AE81" s="87" t="str">
        <f aca="false">IF(ISBLANK($C81),"",IF(ISNUMBER(M81),IF(M81&gt;=0,MIN(M81,Constants!$B$22),""),""))</f>
        <v/>
      </c>
      <c r="AF81" s="87" t="str">
        <f aca="false">IF(ISBLANK($C81),"",IF(N81=Constants!$B$2,TRUE(),IF(N81=Constants!$B$3,FALSE(),TRUE())))</f>
        <v/>
      </c>
      <c r="AG81" s="87" t="str">
        <f aca="false">IF(ISBLANK($C81),"",IF(O81=Constants!$B$2,TRUE(),IF(O81=Constants!$B$3,FALSE(),TRUE())))</f>
        <v/>
      </c>
      <c r="AH81" s="87" t="str">
        <f aca="false">IF(ISBLANK($C81),"",IF(P81=Constants!$B$4,TRUE(),IF(P81=Constants!$B$5,FALSE(),COUNTA(Q81:S81)&gt;0)))</f>
        <v/>
      </c>
      <c r="AI81" s="88" t="str">
        <f aca="false">IF(ISBLANK($C81),"",IF(ISNUMBER(Q81),IF(Q81&gt;=0,Q81,""),""))</f>
        <v/>
      </c>
      <c r="AJ81" s="89" t="str">
        <f aca="false">IF(ISBLANK($C81),"",IF(ISNUMBER(R81),IF(R81&gt;=0,R81,""),""))</f>
        <v/>
      </c>
      <c r="AK81" s="87" t="str">
        <f aca="false">IF(ISBLANK($C81),"",IF(ISNUMBER(S81),IF(S81&gt;=0,MIN(S81,Constants!$B$22),""),""))</f>
        <v/>
      </c>
      <c r="AL81" s="87" t="str">
        <f aca="false">IF(ISBLANK($C81),"",IF(T81=Constants!$B$2,TRUE(),IF(T81=Constants!$B$3,FALSE(),FALSE())))</f>
        <v/>
      </c>
      <c r="AM81" s="86" t="str">
        <f aca="false">IF(ISBLANK($C81),"",AND($AB81,OR($AC81="",$AD81="",AND(NOT(ISBLANK($M81)),$AE81=""))))</f>
        <v/>
      </c>
      <c r="AN81" s="89" t="str">
        <f aca="false">IF($BD81&lt;&gt;Constants!$B$6,"",IF($AB81,Constants!$B$17*$AD81,Constants!$B$18))</f>
        <v/>
      </c>
      <c r="AO81" s="91" t="str">
        <f aca="false">IF($BD81&lt;&gt;Constants!$B$6,"",Constants!$B$19*IF($AB81,$AC81,0))</f>
        <v/>
      </c>
      <c r="AP81" s="91" t="str">
        <f aca="false">IF($BD81&lt;&gt;Constants!$B$6,"",IF(AND($AB81,ISNUMBER($AE81)),Constants!$B$20*(Constants!$B$21-$AE81),0))</f>
        <v/>
      </c>
      <c r="AQ81" s="91" t="str">
        <f aca="false">IF($BD81&lt;&gt;Constants!$B$6,"",IF($AA81,0,Constants!$B$12)+IF($Z81,0,Constants!$B$13)+IF($Y81,0,Constants!$B$14))</f>
        <v/>
      </c>
      <c r="AR81" s="92" t="str">
        <f aca="false">IF($BD81&lt;&gt;Constants!$B$6,"",Constants!$B$16+SUM($AN81:$AQ81))</f>
        <v/>
      </c>
      <c r="AS81" s="91" t="str">
        <f aca="false">IF($BD81&lt;&gt;Constants!$B$6,"",IF($AB81,$AD81,""))</f>
        <v/>
      </c>
      <c r="AT81" s="93" t="str">
        <f aca="false">IF($BD81&lt;&gt;Constants!$B$6,"",$AO81)</f>
        <v/>
      </c>
      <c r="AU81" s="87" t="str">
        <f aca="false">IF($BD81&lt;&gt;Constants!$B$6,"",IF(OR($BA81&lt;$AR81,AND($BA81=$AR81,OR(AND(ISNUMBER($BB81),OR(NOT(ISNUMBER($AS81)),$BB81&lt;$AS81)),AND(OR(AND($BB81="",$AS81=""),AND(ISNUMBER($BB81),ISNUMBER($AS81),$BB81=$AS81)),$BC81&lt;$AT81)))),"-&gt;","&lt;-"))</f>
        <v/>
      </c>
      <c r="AV81" s="86" t="str">
        <f aca="false">IF(ISBLANK($C81),"",AND($AH81,OR($AI81="",$AJ81="",AND(NOT(ISBLANK($S81)),$AK81=""))))</f>
        <v/>
      </c>
      <c r="AW81" s="89" t="str">
        <f aca="false">IF($BD81&lt;&gt;Constants!$B$6,"",IF($AH81,Constants!$B$17*$AJ81,Constants!$B$18))</f>
        <v/>
      </c>
      <c r="AX81" s="91" t="str">
        <f aca="false">IF($BD81&lt;&gt;Constants!$B$6,"",Constants!$B$19*IF($AH81,$AI81,0))</f>
        <v/>
      </c>
      <c r="AY81" s="91" t="str">
        <f aca="false">IF($BD81&lt;&gt;Constants!$B$6,"",IF(AND($AH81,ISNUMBER($AK81)),Constants!$B$20*(Constants!$B$21-$AK81),0))</f>
        <v/>
      </c>
      <c r="AZ81" s="91" t="str">
        <f aca="false">IF($BD81&lt;&gt;Constants!$B$6,"",IF($AG81,0,Constants!$B$12)+IF($AF81,0,Constants!$B$13)+IF($Y81,0,Constants!$B$14))</f>
        <v/>
      </c>
      <c r="BA81" s="92" t="str">
        <f aca="false">IF($BD81&lt;&gt;Constants!$B$6,"",Constants!$B$16+SUM($AW81:$AZ81))</f>
        <v/>
      </c>
      <c r="BB81" s="91" t="str">
        <f aca="false">IF($BD81&lt;&gt;Constants!$B$6,"",IF($AH81,$AJ81,""))</f>
        <v/>
      </c>
      <c r="BC81" s="93" t="str">
        <f aca="false">IF($BD81&lt;&gt;Constants!$B$6,"",$AX81)</f>
        <v/>
      </c>
      <c r="BD81" s="87" t="str">
        <f aca="false">IF(ISBLANK($C81),"",IF($AL81,Constants!$B$9,IF(COUNTA($E81:$T81)=0,Constants!$B$8,IF(NOT($X81),Constants!$B$7,IF(OR($AM81,$AV81),Constants!$B$10,Constants!$B$6)))))</f>
        <v/>
      </c>
      <c r="BE81" s="87" t="str">
        <f aca="false">IF(ISBLANK($C81),"",IF($BD81&lt;&gt;Constants!$B$6,$BD81,Constants!$B$11))</f>
        <v/>
      </c>
      <c r="BF81" s="91" t="str">
        <f aca="false">IF($BD81&lt;&gt;Constants!$B$6,"",IF($AU81="-&gt;",$BA81,$AR81))</f>
        <v/>
      </c>
      <c r="BG81" s="91" t="str">
        <f aca="false">IF($BD81&lt;&gt;Constants!$B$6,"",IF($W81,0,Constants!$B$15))</f>
        <v/>
      </c>
      <c r="BH81" s="91" t="str">
        <f aca="false">IF(ISBLANK($C81),"",IF($BD81&lt;&gt;Constants!$B$6,$BD81,SUM($BF81:$BG81)))</f>
        <v/>
      </c>
      <c r="BI81" s="87" t="str">
        <f aca="false">IF(ISBLANK($C81),"",IF($BD81&lt;&gt;Constants!$B$6,$BD81,RANK($BH81,$BH$9:$BH$508,1)))</f>
        <v/>
      </c>
      <c r="BJ81" s="91" t="str">
        <f aca="false">IF($BD81&lt;&gt;Constants!$B$6,"",IF($AU81="-&gt;",$BB81,$AS81))</f>
        <v/>
      </c>
      <c r="BK81" s="87" t="str">
        <f aca="false">IF(ISBLANK($C81),"",IF($BD81&lt;&gt;Constants!$B$6,$BD81,IF(ISNUMBER($BJ81),RANK($BJ81,$BJ$9:$BJ$508,1),COUNT($BJ$9:$BJ$508)+1)))</f>
        <v/>
      </c>
      <c r="BL81" s="91" t="str">
        <f aca="false">IF($BD81&lt;&gt;Constants!$B$6,"",IF($AU81="-&gt;",$BC81,$AT81))</f>
        <v/>
      </c>
      <c r="BM81" s="87" t="str">
        <f aca="false">IF(ISBLANK($C81),"",IF($BD81&lt;&gt;Constants!$B$6,$BD81,IF(ISNUMBER($BL81),RANK($BL81,$BL$9:$BL$508,1),COUNT($BL$9:$BL$508)+1)))</f>
        <v/>
      </c>
      <c r="BN81" s="91" t="str">
        <f aca="false">IF($BD81&lt;&gt;Constants!$B$6,"",IF($AU81="-&gt;",$AS81,$BB81))</f>
        <v/>
      </c>
      <c r="BO81" s="87" t="str">
        <f aca="false">IF(ISBLANK($C81),"",IF($BD81&lt;&gt;Constants!$B$6,$BD81,IF(ISNUMBER($BN81),RANK($BN81,$BN$9:$BN$508,1),COUNT($BN$9:$BN$508)+1)))</f>
        <v/>
      </c>
      <c r="BP81" s="91" t="str">
        <f aca="false">IF($BD81&lt;&gt;Constants!$B$6,"",IF($AU81="-&gt;",$AT81,$BC81))</f>
        <v/>
      </c>
      <c r="BQ81" s="87" t="str">
        <f aca="false">IF(ISBLANK($C81),"",IF($BD81&lt;&gt;Constants!$B$6,$BD81,IF(ISNUMBER($BP81),RANK($BP81,$BP$9:$BP$508,1),COUNT($BP$9:$BP$508)+1)))</f>
        <v/>
      </c>
      <c r="BR81" s="87" t="str">
        <f aca="false">IF(ISBLANK($C81),"",IF($BD81&lt;&gt;Constants!$B$6,$BD81,COUNTIFS($BI$9:$BI$508,"&lt;"&amp;$BI81)+COUNTIFS($BI$9:$BI$508,$BI81,$BK$9:$BK$508,"&lt;"&amp;$BK81)+COUNTIFS($BI$9:$BI$508,$BI81,$BK$9:$BK$508,$BK81,$BM$9:$BM$508,"&lt;"&amp;$BM81)+COUNTIFS($BI$9:$BI$508,$BI81,$BK$9:$BK$508,$BK81,$BM$9:$BM$508,$BM81,$BO$9:$BO$508,"&lt;"&amp;$BO81)+COUNTIFS($BI$9:$BI$508,$BI81,$BK$9:$BK$508,$BK81,$BM$9:$BM$508,$BM81,$BO$9:$BO$508,$BO81,$BQ$9:$BQ$508,"&lt;"&amp;$BQ81)+1))</f>
        <v/>
      </c>
      <c r="BS81" s="87" t="str">
        <f aca="false">IF(ISBLANK($C81),"",IF($BD81&lt;&gt;Constants!$B$6,$BD81,$BI81-$BR81))</f>
        <v/>
      </c>
      <c r="BT81" s="94"/>
      <c r="BU81" s="95"/>
      <c r="BV81" s="95" t="str">
        <f aca="false">IF(ISBLANK($C81),"",IF($BD81&lt;&gt;Constants!$B$6,"",IF($AU81="-&gt;",2,1)))</f>
        <v/>
      </c>
      <c r="BW81" s="96" t="str">
        <f aca="false">IF(ISBLANK($C81),"",IF($BD81&lt;&gt;Constants!$B$6,"",IF($AU81="-&gt;",$AW81,$AN81)))</f>
        <v/>
      </c>
      <c r="BX81" s="96" t="str">
        <f aca="false">IF(ISBLANK($C81),"",IF($BD81&lt;&gt;Constants!$B$6,"",IF($AU81="-&gt;",$AX81,$AO81)))</f>
        <v/>
      </c>
      <c r="BY81" s="96" t="str">
        <f aca="false">IF(ISBLANK($C81),"",IF($BD81&lt;&gt;Constants!$B$6,"",IF($AU81="-&gt;",$AY81,$AP81)))</f>
        <v/>
      </c>
      <c r="BZ81" s="96" t="str">
        <f aca="false">IF(ISBLANK($C81),"",IF($BD81&lt;&gt;Constants!$B$6,"",IF($AU81="-&gt;",$AZ81,$AQ81)+$BG81))</f>
        <v/>
      </c>
      <c r="CA81" s="97" t="str">
        <f aca="false">IF(ISBLANK($C81),"",IF($BD81&lt;&gt;Constants!$B$6,$BD81,$BH81))</f>
        <v/>
      </c>
      <c r="CB81" s="98" t="str">
        <f aca="false">IF(ISBLANK($C81),"",$BE81)</f>
        <v/>
      </c>
      <c r="CC81" s="99" t="str">
        <f aca="false">IF(ISBLANK($C81),"",$BS81)</f>
        <v/>
      </c>
      <c r="CD81" s="99" t="str">
        <f aca="false">IF(ISBLANK($C81),"",$BR81)</f>
        <v/>
      </c>
      <c r="CE81" s="100" t="str">
        <f aca="false">IF(ISBLANK($C81),"",IF($CD81=Constants!$B$9,COUNTA($C$9:$C$508)+2,IF($CD81=Constants!$B$8,COUNTA($C$9:$C$508)+1,IF($CD81=Constants!$B$7,COUNTA($C$9:$C$508),$CD81))))</f>
        <v/>
      </c>
      <c r="CF81" s="9"/>
      <c r="CG81" s="101" t="n">
        <f aca="false">IF(OR(ISNUMBER($CD81),$CD81=Constants!$B$9,$CD81=Constants!$B$7,$CD81=Constants!$B$8),1,0)</f>
        <v>0</v>
      </c>
      <c r="CH81" s="101" t="n">
        <v>73</v>
      </c>
      <c r="CI81" s="101" t="str">
        <f aca="false">IF(ISBLANK($C81),"",IF(ISNUMBER($CE81),$CE81+ROW($B81)/1000,""))</f>
        <v/>
      </c>
      <c r="CJ81" s="101" t="str">
        <f aca="false">IF(ISNUMBER($CI81),RANK($CI81,$CI$9:$CI$508,1),"")</f>
        <v/>
      </c>
      <c r="CK81" s="101" t="str">
        <f aca="false">IF(ISBLANK($C81),"",$B81)</f>
        <v/>
      </c>
      <c r="CL81" s="101" t="str">
        <f aca="false">IF(ISBLANK($C81),"",$C81)</f>
        <v/>
      </c>
      <c r="CM81" s="101" t="str">
        <f aca="false">IF(ISBLANK($C81),"",$D81)</f>
        <v/>
      </c>
      <c r="CN81" s="102" t="str">
        <f aca="false">$CB81</f>
        <v/>
      </c>
      <c r="CO81" s="103" t="str">
        <f aca="false">$CA81</f>
        <v/>
      </c>
      <c r="CP81" s="101" t="str">
        <f aca="false">IF(ISBLANK($C81),"",$CD81)</f>
        <v/>
      </c>
      <c r="CQ81" s="104" t="str">
        <f aca="false">IF($CH81&gt;$CG$8,"",VLOOKUP($CH81,$CJ$9:$CP$508,7,FALSE()))</f>
        <v/>
      </c>
      <c r="CR81" s="105" t="str">
        <f aca="false">IF($CH81&gt;$CG$8,"",VLOOKUP($CH81,$CJ$9:$CP$508,2,FALSE()))</f>
        <v/>
      </c>
      <c r="CS81" s="105" t="str">
        <f aca="false">IF($CH81&gt;$CG$8,"",VLOOKUP($CH81,$CJ$9:$CP$508,3,FALSE()))</f>
        <v/>
      </c>
      <c r="CT81" s="105" t="str">
        <f aca="false">IF($CH81&gt;$CG$8,"",VLOOKUP($CH81,$CJ$9:$CP$508,4,FALSE()))</f>
        <v/>
      </c>
      <c r="CU81" s="105" t="str">
        <f aca="false">IF($CH81&gt;$CG$8,"",VLOOKUP($CH81,$CJ$9:$CP$508,5,FALSE()))</f>
        <v/>
      </c>
      <c r="CV81" s="106" t="str">
        <f aca="false">IF($CH81&gt;$CG$8,"",VLOOKUP($CH81,$CJ$9:$CP$508,6,FALSE()))</f>
        <v/>
      </c>
      <c r="CW81" s="71"/>
    </row>
    <row r="82" customFormat="false" ht="15.75" hidden="false" customHeight="false" outlineLevel="0" collapsed="false">
      <c r="A82" s="9"/>
      <c r="B82" s="72"/>
      <c r="C82" s="73"/>
      <c r="D82" s="160"/>
      <c r="E82" s="168"/>
      <c r="F82" s="162"/>
      <c r="G82" s="163"/>
      <c r="H82" s="169"/>
      <c r="I82" s="167"/>
      <c r="J82" s="80"/>
      <c r="K82" s="81"/>
      <c r="L82" s="82"/>
      <c r="M82" s="166"/>
      <c r="N82" s="167"/>
      <c r="O82" s="167"/>
      <c r="P82" s="80"/>
      <c r="Q82" s="82"/>
      <c r="R82" s="82"/>
      <c r="S82" s="166"/>
      <c r="T82" s="167"/>
      <c r="U82" s="86"/>
      <c r="V82" s="87"/>
      <c r="W82" s="87" t="str">
        <f aca="false">IF(ISBLANK($C82),"",IF(E82=Constants!$B$2,TRUE(),IF(E82=Constants!$B$3,FALSE(),TRUE())))</f>
        <v/>
      </c>
      <c r="X82" s="87" t="str">
        <f aca="false">IF(ISBLANK($C82),"",IF(F82=Constants!$B$2,TRUE(),IF(F82=Constants!$B$3,FALSE(),TRUE())))</f>
        <v/>
      </c>
      <c r="Y82" s="87" t="str">
        <f aca="false">IF(ISBLANK($C82),"",IF(G82=Constants!$B$2,TRUE(),IF(G82=Constants!$B$3,FALSE(),TRUE())))</f>
        <v/>
      </c>
      <c r="Z82" s="87" t="str">
        <f aca="false">IF(ISBLANK($C82),"",IF(H82=Constants!$B$2,TRUE(),IF(H82=Constants!$B$3,FALSE(),TRUE())))</f>
        <v/>
      </c>
      <c r="AA82" s="87" t="str">
        <f aca="false">IF(ISBLANK($C82),"",IF(I82=Constants!$B$2,TRUE(),IF(I82=Constants!$B$3,FALSE(),TRUE())))</f>
        <v/>
      </c>
      <c r="AB82" s="87" t="str">
        <f aca="false">IF(ISBLANK($C82),"",IF(J82=Constants!$B$4,TRUE(),IF(J82=Constants!$B$5,FALSE(),COUNTA(K82:M82)&gt;0)))</f>
        <v/>
      </c>
      <c r="AC82" s="88" t="str">
        <f aca="false">IF(ISBLANK($C82),"",IF(ISNUMBER(K82),IF(K82&gt;=0,K82,""),""))</f>
        <v/>
      </c>
      <c r="AD82" s="89" t="str">
        <f aca="false">IF(ISBLANK($C82),"",IF(ISNUMBER(L82),IF(L82&gt;=0,L82,""),""))</f>
        <v/>
      </c>
      <c r="AE82" s="87" t="str">
        <f aca="false">IF(ISBLANK($C82),"",IF(ISNUMBER(M82),IF(M82&gt;=0,MIN(M82,Constants!$B$22),""),""))</f>
        <v/>
      </c>
      <c r="AF82" s="87" t="str">
        <f aca="false">IF(ISBLANK($C82),"",IF(N82=Constants!$B$2,TRUE(),IF(N82=Constants!$B$3,FALSE(),TRUE())))</f>
        <v/>
      </c>
      <c r="AG82" s="87" t="str">
        <f aca="false">IF(ISBLANK($C82),"",IF(O82=Constants!$B$2,TRUE(),IF(O82=Constants!$B$3,FALSE(),TRUE())))</f>
        <v/>
      </c>
      <c r="AH82" s="87" t="str">
        <f aca="false">IF(ISBLANK($C82),"",IF(P82=Constants!$B$4,TRUE(),IF(P82=Constants!$B$5,FALSE(),COUNTA(Q82:S82)&gt;0)))</f>
        <v/>
      </c>
      <c r="AI82" s="88" t="str">
        <f aca="false">IF(ISBLANK($C82),"",IF(ISNUMBER(Q82),IF(Q82&gt;=0,Q82,""),""))</f>
        <v/>
      </c>
      <c r="AJ82" s="89" t="str">
        <f aca="false">IF(ISBLANK($C82),"",IF(ISNUMBER(R82),IF(R82&gt;=0,R82,""),""))</f>
        <v/>
      </c>
      <c r="AK82" s="87" t="str">
        <f aca="false">IF(ISBLANK($C82),"",IF(ISNUMBER(S82),IF(S82&gt;=0,MIN(S82,Constants!$B$22),""),""))</f>
        <v/>
      </c>
      <c r="AL82" s="87" t="str">
        <f aca="false">IF(ISBLANK($C82),"",IF(T82=Constants!$B$2,TRUE(),IF(T82=Constants!$B$3,FALSE(),FALSE())))</f>
        <v/>
      </c>
      <c r="AM82" s="86" t="str">
        <f aca="false">IF(ISBLANK($C82),"",AND($AB82,OR($AC82="",$AD82="",AND(NOT(ISBLANK($M82)),$AE82=""))))</f>
        <v/>
      </c>
      <c r="AN82" s="89" t="str">
        <f aca="false">IF($BD82&lt;&gt;Constants!$B$6,"",IF($AB82,Constants!$B$17*$AD82,Constants!$B$18))</f>
        <v/>
      </c>
      <c r="AO82" s="91" t="str">
        <f aca="false">IF($BD82&lt;&gt;Constants!$B$6,"",Constants!$B$19*IF($AB82,$AC82,0))</f>
        <v/>
      </c>
      <c r="AP82" s="91" t="str">
        <f aca="false">IF($BD82&lt;&gt;Constants!$B$6,"",IF(AND($AB82,ISNUMBER($AE82)),Constants!$B$20*(Constants!$B$21-$AE82),0))</f>
        <v/>
      </c>
      <c r="AQ82" s="91" t="str">
        <f aca="false">IF($BD82&lt;&gt;Constants!$B$6,"",IF($AA82,0,Constants!$B$12)+IF($Z82,0,Constants!$B$13)+IF($Y82,0,Constants!$B$14))</f>
        <v/>
      </c>
      <c r="AR82" s="92" t="str">
        <f aca="false">IF($BD82&lt;&gt;Constants!$B$6,"",Constants!$B$16+SUM($AN82:$AQ82))</f>
        <v/>
      </c>
      <c r="AS82" s="91" t="str">
        <f aca="false">IF($BD82&lt;&gt;Constants!$B$6,"",IF($AB82,$AD82,""))</f>
        <v/>
      </c>
      <c r="AT82" s="93" t="str">
        <f aca="false">IF($BD82&lt;&gt;Constants!$B$6,"",$AO82)</f>
        <v/>
      </c>
      <c r="AU82" s="87" t="str">
        <f aca="false">IF($BD82&lt;&gt;Constants!$B$6,"",IF(OR($BA82&lt;$AR82,AND($BA82=$AR82,OR(AND(ISNUMBER($BB82),OR(NOT(ISNUMBER($AS82)),$BB82&lt;$AS82)),AND(OR(AND($BB82="",$AS82=""),AND(ISNUMBER($BB82),ISNUMBER($AS82),$BB82=$AS82)),$BC82&lt;$AT82)))),"-&gt;","&lt;-"))</f>
        <v/>
      </c>
      <c r="AV82" s="86" t="str">
        <f aca="false">IF(ISBLANK($C82),"",AND($AH82,OR($AI82="",$AJ82="",AND(NOT(ISBLANK($S82)),$AK82=""))))</f>
        <v/>
      </c>
      <c r="AW82" s="89" t="str">
        <f aca="false">IF($BD82&lt;&gt;Constants!$B$6,"",IF($AH82,Constants!$B$17*$AJ82,Constants!$B$18))</f>
        <v/>
      </c>
      <c r="AX82" s="91" t="str">
        <f aca="false">IF($BD82&lt;&gt;Constants!$B$6,"",Constants!$B$19*IF($AH82,$AI82,0))</f>
        <v/>
      </c>
      <c r="AY82" s="91" t="str">
        <f aca="false">IF($BD82&lt;&gt;Constants!$B$6,"",IF(AND($AH82,ISNUMBER($AK82)),Constants!$B$20*(Constants!$B$21-$AK82),0))</f>
        <v/>
      </c>
      <c r="AZ82" s="91" t="str">
        <f aca="false">IF($BD82&lt;&gt;Constants!$B$6,"",IF($AG82,0,Constants!$B$12)+IF($AF82,0,Constants!$B$13)+IF($Y82,0,Constants!$B$14))</f>
        <v/>
      </c>
      <c r="BA82" s="92" t="str">
        <f aca="false">IF($BD82&lt;&gt;Constants!$B$6,"",Constants!$B$16+SUM($AW82:$AZ82))</f>
        <v/>
      </c>
      <c r="BB82" s="91" t="str">
        <f aca="false">IF($BD82&lt;&gt;Constants!$B$6,"",IF($AH82,$AJ82,""))</f>
        <v/>
      </c>
      <c r="BC82" s="93" t="str">
        <f aca="false">IF($BD82&lt;&gt;Constants!$B$6,"",$AX82)</f>
        <v/>
      </c>
      <c r="BD82" s="87" t="str">
        <f aca="false">IF(ISBLANK($C82),"",IF($AL82,Constants!$B$9,IF(COUNTA($E82:$T82)=0,Constants!$B$8,IF(NOT($X82),Constants!$B$7,IF(OR($AM82,$AV82),Constants!$B$10,Constants!$B$6)))))</f>
        <v/>
      </c>
      <c r="BE82" s="87" t="str">
        <f aca="false">IF(ISBLANK($C82),"",IF($BD82&lt;&gt;Constants!$B$6,$BD82,Constants!$B$11))</f>
        <v/>
      </c>
      <c r="BF82" s="91" t="str">
        <f aca="false">IF($BD82&lt;&gt;Constants!$B$6,"",IF($AU82="-&gt;",$BA82,$AR82))</f>
        <v/>
      </c>
      <c r="BG82" s="91" t="str">
        <f aca="false">IF($BD82&lt;&gt;Constants!$B$6,"",IF($W82,0,Constants!$B$15))</f>
        <v/>
      </c>
      <c r="BH82" s="91" t="str">
        <f aca="false">IF(ISBLANK($C82),"",IF($BD82&lt;&gt;Constants!$B$6,$BD82,SUM($BF82:$BG82)))</f>
        <v/>
      </c>
      <c r="BI82" s="87" t="str">
        <f aca="false">IF(ISBLANK($C82),"",IF($BD82&lt;&gt;Constants!$B$6,$BD82,RANK($BH82,$BH$9:$BH$508,1)))</f>
        <v/>
      </c>
      <c r="BJ82" s="91" t="str">
        <f aca="false">IF($BD82&lt;&gt;Constants!$B$6,"",IF($AU82="-&gt;",$BB82,$AS82))</f>
        <v/>
      </c>
      <c r="BK82" s="87" t="str">
        <f aca="false">IF(ISBLANK($C82),"",IF($BD82&lt;&gt;Constants!$B$6,$BD82,IF(ISNUMBER($BJ82),RANK($BJ82,$BJ$9:$BJ$508,1),COUNT($BJ$9:$BJ$508)+1)))</f>
        <v/>
      </c>
      <c r="BL82" s="91" t="str">
        <f aca="false">IF($BD82&lt;&gt;Constants!$B$6,"",IF($AU82="-&gt;",$BC82,$AT82))</f>
        <v/>
      </c>
      <c r="BM82" s="87" t="str">
        <f aca="false">IF(ISBLANK($C82),"",IF($BD82&lt;&gt;Constants!$B$6,$BD82,IF(ISNUMBER($BL82),RANK($BL82,$BL$9:$BL$508,1),COUNT($BL$9:$BL$508)+1)))</f>
        <v/>
      </c>
      <c r="BN82" s="91" t="str">
        <f aca="false">IF($BD82&lt;&gt;Constants!$B$6,"",IF($AU82="-&gt;",$AS82,$BB82))</f>
        <v/>
      </c>
      <c r="BO82" s="87" t="str">
        <f aca="false">IF(ISBLANK($C82),"",IF($BD82&lt;&gt;Constants!$B$6,$BD82,IF(ISNUMBER($BN82),RANK($BN82,$BN$9:$BN$508,1),COUNT($BN$9:$BN$508)+1)))</f>
        <v/>
      </c>
      <c r="BP82" s="91" t="str">
        <f aca="false">IF($BD82&lt;&gt;Constants!$B$6,"",IF($AU82="-&gt;",$AT82,$BC82))</f>
        <v/>
      </c>
      <c r="BQ82" s="87" t="str">
        <f aca="false">IF(ISBLANK($C82),"",IF($BD82&lt;&gt;Constants!$B$6,$BD82,IF(ISNUMBER($BP82),RANK($BP82,$BP$9:$BP$508,1),COUNT($BP$9:$BP$508)+1)))</f>
        <v/>
      </c>
      <c r="BR82" s="87" t="str">
        <f aca="false">IF(ISBLANK($C82),"",IF($BD82&lt;&gt;Constants!$B$6,$BD82,COUNTIFS($BI$9:$BI$508,"&lt;"&amp;$BI82)+COUNTIFS($BI$9:$BI$508,$BI82,$BK$9:$BK$508,"&lt;"&amp;$BK82)+COUNTIFS($BI$9:$BI$508,$BI82,$BK$9:$BK$508,$BK82,$BM$9:$BM$508,"&lt;"&amp;$BM82)+COUNTIFS($BI$9:$BI$508,$BI82,$BK$9:$BK$508,$BK82,$BM$9:$BM$508,$BM82,$BO$9:$BO$508,"&lt;"&amp;$BO82)+COUNTIFS($BI$9:$BI$508,$BI82,$BK$9:$BK$508,$BK82,$BM$9:$BM$508,$BM82,$BO$9:$BO$508,$BO82,$BQ$9:$BQ$508,"&lt;"&amp;$BQ82)+1))</f>
        <v/>
      </c>
      <c r="BS82" s="87" t="str">
        <f aca="false">IF(ISBLANK($C82),"",IF($BD82&lt;&gt;Constants!$B$6,$BD82,$BI82-$BR82))</f>
        <v/>
      </c>
      <c r="BT82" s="94"/>
      <c r="BU82" s="95"/>
      <c r="BV82" s="95" t="str">
        <f aca="false">IF(ISBLANK($C82),"",IF($BD82&lt;&gt;Constants!$B$6,"",IF($AU82="-&gt;",2,1)))</f>
        <v/>
      </c>
      <c r="BW82" s="96" t="str">
        <f aca="false">IF(ISBLANK($C82),"",IF($BD82&lt;&gt;Constants!$B$6,"",IF($AU82="-&gt;",$AW82,$AN82)))</f>
        <v/>
      </c>
      <c r="BX82" s="96" t="str">
        <f aca="false">IF(ISBLANK($C82),"",IF($BD82&lt;&gt;Constants!$B$6,"",IF($AU82="-&gt;",$AX82,$AO82)))</f>
        <v/>
      </c>
      <c r="BY82" s="96" t="str">
        <f aca="false">IF(ISBLANK($C82),"",IF($BD82&lt;&gt;Constants!$B$6,"",IF($AU82="-&gt;",$AY82,$AP82)))</f>
        <v/>
      </c>
      <c r="BZ82" s="96" t="str">
        <f aca="false">IF(ISBLANK($C82),"",IF($BD82&lt;&gt;Constants!$B$6,"",IF($AU82="-&gt;",$AZ82,$AQ82)+$BG82))</f>
        <v/>
      </c>
      <c r="CA82" s="97" t="str">
        <f aca="false">IF(ISBLANK($C82),"",IF($BD82&lt;&gt;Constants!$B$6,$BD82,$BH82))</f>
        <v/>
      </c>
      <c r="CB82" s="98" t="str">
        <f aca="false">IF(ISBLANK($C82),"",$BE82)</f>
        <v/>
      </c>
      <c r="CC82" s="99" t="str">
        <f aca="false">IF(ISBLANK($C82),"",$BS82)</f>
        <v/>
      </c>
      <c r="CD82" s="99" t="str">
        <f aca="false">IF(ISBLANK($C82),"",$BR82)</f>
        <v/>
      </c>
      <c r="CE82" s="100" t="str">
        <f aca="false">IF(ISBLANK($C82),"",IF($CD82=Constants!$B$9,COUNTA($C$9:$C$508)+2,IF($CD82=Constants!$B$8,COUNTA($C$9:$C$508)+1,IF($CD82=Constants!$B$7,COUNTA($C$9:$C$508),$CD82))))</f>
        <v/>
      </c>
      <c r="CF82" s="9"/>
      <c r="CG82" s="101" t="n">
        <f aca="false">IF(OR(ISNUMBER($CD82),$CD82=Constants!$B$9,$CD82=Constants!$B$7,$CD82=Constants!$B$8),1,0)</f>
        <v>0</v>
      </c>
      <c r="CH82" s="101" t="n">
        <v>74</v>
      </c>
      <c r="CI82" s="101" t="str">
        <f aca="false">IF(ISBLANK($C82),"",IF(ISNUMBER($CE82),$CE82+ROW($B82)/1000,""))</f>
        <v/>
      </c>
      <c r="CJ82" s="101" t="str">
        <f aca="false">IF(ISNUMBER($CI82),RANK($CI82,$CI$9:$CI$508,1),"")</f>
        <v/>
      </c>
      <c r="CK82" s="101" t="str">
        <f aca="false">IF(ISBLANK($C82),"",$B82)</f>
        <v/>
      </c>
      <c r="CL82" s="101" t="str">
        <f aca="false">IF(ISBLANK($C82),"",$C82)</f>
        <v/>
      </c>
      <c r="CM82" s="101" t="str">
        <f aca="false">IF(ISBLANK($C82),"",$D82)</f>
        <v/>
      </c>
      <c r="CN82" s="102" t="str">
        <f aca="false">$CB82</f>
        <v/>
      </c>
      <c r="CO82" s="103" t="str">
        <f aca="false">$CA82</f>
        <v/>
      </c>
      <c r="CP82" s="101" t="str">
        <f aca="false">IF(ISBLANK($C82),"",$CD82)</f>
        <v/>
      </c>
      <c r="CQ82" s="104" t="str">
        <f aca="false">IF($CH82&gt;$CG$8,"",VLOOKUP($CH82,$CJ$9:$CP$508,7,FALSE()))</f>
        <v/>
      </c>
      <c r="CR82" s="105" t="str">
        <f aca="false">IF($CH82&gt;$CG$8,"",VLOOKUP($CH82,$CJ$9:$CP$508,2,FALSE()))</f>
        <v/>
      </c>
      <c r="CS82" s="105" t="str">
        <f aca="false">IF($CH82&gt;$CG$8,"",VLOOKUP($CH82,$CJ$9:$CP$508,3,FALSE()))</f>
        <v/>
      </c>
      <c r="CT82" s="105" t="str">
        <f aca="false">IF($CH82&gt;$CG$8,"",VLOOKUP($CH82,$CJ$9:$CP$508,4,FALSE()))</f>
        <v/>
      </c>
      <c r="CU82" s="105" t="str">
        <f aca="false">IF($CH82&gt;$CG$8,"",VLOOKUP($CH82,$CJ$9:$CP$508,5,FALSE()))</f>
        <v/>
      </c>
      <c r="CV82" s="106" t="str">
        <f aca="false">IF($CH82&gt;$CG$8,"",VLOOKUP($CH82,$CJ$9:$CP$508,6,FALSE()))</f>
        <v/>
      </c>
      <c r="CW82" s="71"/>
    </row>
    <row r="83" customFormat="false" ht="15.75" hidden="false" customHeight="false" outlineLevel="0" collapsed="false">
      <c r="A83" s="9"/>
      <c r="B83" s="72"/>
      <c r="C83" s="73"/>
      <c r="D83" s="160"/>
      <c r="E83" s="168"/>
      <c r="F83" s="162"/>
      <c r="G83" s="163"/>
      <c r="H83" s="169"/>
      <c r="I83" s="167"/>
      <c r="J83" s="80"/>
      <c r="K83" s="81"/>
      <c r="L83" s="82"/>
      <c r="M83" s="166"/>
      <c r="N83" s="167"/>
      <c r="O83" s="167"/>
      <c r="P83" s="80"/>
      <c r="Q83" s="82"/>
      <c r="R83" s="82"/>
      <c r="S83" s="166"/>
      <c r="T83" s="167"/>
      <c r="U83" s="86"/>
      <c r="V83" s="87"/>
      <c r="W83" s="87" t="str">
        <f aca="false">IF(ISBLANK($C83),"",IF(E83=Constants!$B$2,TRUE(),IF(E83=Constants!$B$3,FALSE(),TRUE())))</f>
        <v/>
      </c>
      <c r="X83" s="87" t="str">
        <f aca="false">IF(ISBLANK($C83),"",IF(F83=Constants!$B$2,TRUE(),IF(F83=Constants!$B$3,FALSE(),TRUE())))</f>
        <v/>
      </c>
      <c r="Y83" s="87" t="str">
        <f aca="false">IF(ISBLANK($C83),"",IF(G83=Constants!$B$2,TRUE(),IF(G83=Constants!$B$3,FALSE(),TRUE())))</f>
        <v/>
      </c>
      <c r="Z83" s="87" t="str">
        <f aca="false">IF(ISBLANK($C83),"",IF(H83=Constants!$B$2,TRUE(),IF(H83=Constants!$B$3,FALSE(),TRUE())))</f>
        <v/>
      </c>
      <c r="AA83" s="87" t="str">
        <f aca="false">IF(ISBLANK($C83),"",IF(I83=Constants!$B$2,TRUE(),IF(I83=Constants!$B$3,FALSE(),TRUE())))</f>
        <v/>
      </c>
      <c r="AB83" s="87" t="str">
        <f aca="false">IF(ISBLANK($C83),"",IF(J83=Constants!$B$4,TRUE(),IF(J83=Constants!$B$5,FALSE(),COUNTA(K83:M83)&gt;0)))</f>
        <v/>
      </c>
      <c r="AC83" s="88" t="str">
        <f aca="false">IF(ISBLANK($C83),"",IF(ISNUMBER(K83),IF(K83&gt;=0,K83,""),""))</f>
        <v/>
      </c>
      <c r="AD83" s="89" t="str">
        <f aca="false">IF(ISBLANK($C83),"",IF(ISNUMBER(L83),IF(L83&gt;=0,L83,""),""))</f>
        <v/>
      </c>
      <c r="AE83" s="87" t="str">
        <f aca="false">IF(ISBLANK($C83),"",IF(ISNUMBER(M83),IF(M83&gt;=0,MIN(M83,Constants!$B$22),""),""))</f>
        <v/>
      </c>
      <c r="AF83" s="87" t="str">
        <f aca="false">IF(ISBLANK($C83),"",IF(N83=Constants!$B$2,TRUE(),IF(N83=Constants!$B$3,FALSE(),TRUE())))</f>
        <v/>
      </c>
      <c r="AG83" s="87" t="str">
        <f aca="false">IF(ISBLANK($C83),"",IF(O83=Constants!$B$2,TRUE(),IF(O83=Constants!$B$3,FALSE(),TRUE())))</f>
        <v/>
      </c>
      <c r="AH83" s="87" t="str">
        <f aca="false">IF(ISBLANK($C83),"",IF(P83=Constants!$B$4,TRUE(),IF(P83=Constants!$B$5,FALSE(),COUNTA(Q83:S83)&gt;0)))</f>
        <v/>
      </c>
      <c r="AI83" s="88" t="str">
        <f aca="false">IF(ISBLANK($C83),"",IF(ISNUMBER(Q83),IF(Q83&gt;=0,Q83,""),""))</f>
        <v/>
      </c>
      <c r="AJ83" s="89" t="str">
        <f aca="false">IF(ISBLANK($C83),"",IF(ISNUMBER(R83),IF(R83&gt;=0,R83,""),""))</f>
        <v/>
      </c>
      <c r="AK83" s="87" t="str">
        <f aca="false">IF(ISBLANK($C83),"",IF(ISNUMBER(S83),IF(S83&gt;=0,MIN(S83,Constants!$B$22),""),""))</f>
        <v/>
      </c>
      <c r="AL83" s="87" t="str">
        <f aca="false">IF(ISBLANK($C83),"",IF(T83=Constants!$B$2,TRUE(),IF(T83=Constants!$B$3,FALSE(),FALSE())))</f>
        <v/>
      </c>
      <c r="AM83" s="86" t="str">
        <f aca="false">IF(ISBLANK($C83),"",AND($AB83,OR($AC83="",$AD83="",AND(NOT(ISBLANK($M83)),$AE83=""))))</f>
        <v/>
      </c>
      <c r="AN83" s="89" t="str">
        <f aca="false">IF($BD83&lt;&gt;Constants!$B$6,"",IF($AB83,Constants!$B$17*$AD83,Constants!$B$18))</f>
        <v/>
      </c>
      <c r="AO83" s="91" t="str">
        <f aca="false">IF($BD83&lt;&gt;Constants!$B$6,"",Constants!$B$19*IF($AB83,$AC83,0))</f>
        <v/>
      </c>
      <c r="AP83" s="91" t="str">
        <f aca="false">IF($BD83&lt;&gt;Constants!$B$6,"",IF(AND($AB83,ISNUMBER($AE83)),Constants!$B$20*(Constants!$B$21-$AE83),0))</f>
        <v/>
      </c>
      <c r="AQ83" s="91" t="str">
        <f aca="false">IF($BD83&lt;&gt;Constants!$B$6,"",IF($AA83,0,Constants!$B$12)+IF($Z83,0,Constants!$B$13)+IF($Y83,0,Constants!$B$14))</f>
        <v/>
      </c>
      <c r="AR83" s="92" t="str">
        <f aca="false">IF($BD83&lt;&gt;Constants!$B$6,"",Constants!$B$16+SUM($AN83:$AQ83))</f>
        <v/>
      </c>
      <c r="AS83" s="91" t="str">
        <f aca="false">IF($BD83&lt;&gt;Constants!$B$6,"",IF($AB83,$AD83,""))</f>
        <v/>
      </c>
      <c r="AT83" s="93" t="str">
        <f aca="false">IF($BD83&lt;&gt;Constants!$B$6,"",$AO83)</f>
        <v/>
      </c>
      <c r="AU83" s="87" t="str">
        <f aca="false">IF($BD83&lt;&gt;Constants!$B$6,"",IF(OR($BA83&lt;$AR83,AND($BA83=$AR83,OR(AND(ISNUMBER($BB83),OR(NOT(ISNUMBER($AS83)),$BB83&lt;$AS83)),AND(OR(AND($BB83="",$AS83=""),AND(ISNUMBER($BB83),ISNUMBER($AS83),$BB83=$AS83)),$BC83&lt;$AT83)))),"-&gt;","&lt;-"))</f>
        <v/>
      </c>
      <c r="AV83" s="86" t="str">
        <f aca="false">IF(ISBLANK($C83),"",AND($AH83,OR($AI83="",$AJ83="",AND(NOT(ISBLANK($S83)),$AK83=""))))</f>
        <v/>
      </c>
      <c r="AW83" s="89" t="str">
        <f aca="false">IF($BD83&lt;&gt;Constants!$B$6,"",IF($AH83,Constants!$B$17*$AJ83,Constants!$B$18))</f>
        <v/>
      </c>
      <c r="AX83" s="91" t="str">
        <f aca="false">IF($BD83&lt;&gt;Constants!$B$6,"",Constants!$B$19*IF($AH83,$AI83,0))</f>
        <v/>
      </c>
      <c r="AY83" s="91" t="str">
        <f aca="false">IF($BD83&lt;&gt;Constants!$B$6,"",IF(AND($AH83,ISNUMBER($AK83)),Constants!$B$20*(Constants!$B$21-$AK83),0))</f>
        <v/>
      </c>
      <c r="AZ83" s="91" t="str">
        <f aca="false">IF($BD83&lt;&gt;Constants!$B$6,"",IF($AG83,0,Constants!$B$12)+IF($AF83,0,Constants!$B$13)+IF($Y83,0,Constants!$B$14))</f>
        <v/>
      </c>
      <c r="BA83" s="92" t="str">
        <f aca="false">IF($BD83&lt;&gt;Constants!$B$6,"",Constants!$B$16+SUM($AW83:$AZ83))</f>
        <v/>
      </c>
      <c r="BB83" s="91" t="str">
        <f aca="false">IF($BD83&lt;&gt;Constants!$B$6,"",IF($AH83,$AJ83,""))</f>
        <v/>
      </c>
      <c r="BC83" s="93" t="str">
        <f aca="false">IF($BD83&lt;&gt;Constants!$B$6,"",$AX83)</f>
        <v/>
      </c>
      <c r="BD83" s="87" t="str">
        <f aca="false">IF(ISBLANK($C83),"",IF($AL83,Constants!$B$9,IF(COUNTA($E83:$T83)=0,Constants!$B$8,IF(NOT($X83),Constants!$B$7,IF(OR($AM83,$AV83),Constants!$B$10,Constants!$B$6)))))</f>
        <v/>
      </c>
      <c r="BE83" s="87" t="str">
        <f aca="false">IF(ISBLANK($C83),"",IF($BD83&lt;&gt;Constants!$B$6,$BD83,Constants!$B$11))</f>
        <v/>
      </c>
      <c r="BF83" s="91" t="str">
        <f aca="false">IF($BD83&lt;&gt;Constants!$B$6,"",IF($AU83="-&gt;",$BA83,$AR83))</f>
        <v/>
      </c>
      <c r="BG83" s="91" t="str">
        <f aca="false">IF($BD83&lt;&gt;Constants!$B$6,"",IF($W83,0,Constants!$B$15))</f>
        <v/>
      </c>
      <c r="BH83" s="91" t="str">
        <f aca="false">IF(ISBLANK($C83),"",IF($BD83&lt;&gt;Constants!$B$6,$BD83,SUM($BF83:$BG83)))</f>
        <v/>
      </c>
      <c r="BI83" s="87" t="str">
        <f aca="false">IF(ISBLANK($C83),"",IF($BD83&lt;&gt;Constants!$B$6,$BD83,RANK($BH83,$BH$9:$BH$508,1)))</f>
        <v/>
      </c>
      <c r="BJ83" s="91" t="str">
        <f aca="false">IF($BD83&lt;&gt;Constants!$B$6,"",IF($AU83="-&gt;",$BB83,$AS83))</f>
        <v/>
      </c>
      <c r="BK83" s="87" t="str">
        <f aca="false">IF(ISBLANK($C83),"",IF($BD83&lt;&gt;Constants!$B$6,$BD83,IF(ISNUMBER($BJ83),RANK($BJ83,$BJ$9:$BJ$508,1),COUNT($BJ$9:$BJ$508)+1)))</f>
        <v/>
      </c>
      <c r="BL83" s="91" t="str">
        <f aca="false">IF($BD83&lt;&gt;Constants!$B$6,"",IF($AU83="-&gt;",$BC83,$AT83))</f>
        <v/>
      </c>
      <c r="BM83" s="87" t="str">
        <f aca="false">IF(ISBLANK($C83),"",IF($BD83&lt;&gt;Constants!$B$6,$BD83,IF(ISNUMBER($BL83),RANK($BL83,$BL$9:$BL$508,1),COUNT($BL$9:$BL$508)+1)))</f>
        <v/>
      </c>
      <c r="BN83" s="91" t="str">
        <f aca="false">IF($BD83&lt;&gt;Constants!$B$6,"",IF($AU83="-&gt;",$AS83,$BB83))</f>
        <v/>
      </c>
      <c r="BO83" s="87" t="str">
        <f aca="false">IF(ISBLANK($C83),"",IF($BD83&lt;&gt;Constants!$B$6,$BD83,IF(ISNUMBER($BN83),RANK($BN83,$BN$9:$BN$508,1),COUNT($BN$9:$BN$508)+1)))</f>
        <v/>
      </c>
      <c r="BP83" s="91" t="str">
        <f aca="false">IF($BD83&lt;&gt;Constants!$B$6,"",IF($AU83="-&gt;",$AT83,$BC83))</f>
        <v/>
      </c>
      <c r="BQ83" s="87" t="str">
        <f aca="false">IF(ISBLANK($C83),"",IF($BD83&lt;&gt;Constants!$B$6,$BD83,IF(ISNUMBER($BP83),RANK($BP83,$BP$9:$BP$508,1),COUNT($BP$9:$BP$508)+1)))</f>
        <v/>
      </c>
      <c r="BR83" s="87" t="str">
        <f aca="false">IF(ISBLANK($C83),"",IF($BD83&lt;&gt;Constants!$B$6,$BD83,COUNTIFS($BI$9:$BI$508,"&lt;"&amp;$BI83)+COUNTIFS($BI$9:$BI$508,$BI83,$BK$9:$BK$508,"&lt;"&amp;$BK83)+COUNTIFS($BI$9:$BI$508,$BI83,$BK$9:$BK$508,$BK83,$BM$9:$BM$508,"&lt;"&amp;$BM83)+COUNTIFS($BI$9:$BI$508,$BI83,$BK$9:$BK$508,$BK83,$BM$9:$BM$508,$BM83,$BO$9:$BO$508,"&lt;"&amp;$BO83)+COUNTIFS($BI$9:$BI$508,$BI83,$BK$9:$BK$508,$BK83,$BM$9:$BM$508,$BM83,$BO$9:$BO$508,$BO83,$BQ$9:$BQ$508,"&lt;"&amp;$BQ83)+1))</f>
        <v/>
      </c>
      <c r="BS83" s="87" t="str">
        <f aca="false">IF(ISBLANK($C83),"",IF($BD83&lt;&gt;Constants!$B$6,$BD83,$BI83-$BR83))</f>
        <v/>
      </c>
      <c r="BT83" s="94"/>
      <c r="BU83" s="95"/>
      <c r="BV83" s="95" t="str">
        <f aca="false">IF(ISBLANK($C83),"",IF($BD83&lt;&gt;Constants!$B$6,"",IF($AU83="-&gt;",2,1)))</f>
        <v/>
      </c>
      <c r="BW83" s="96" t="str">
        <f aca="false">IF(ISBLANK($C83),"",IF($BD83&lt;&gt;Constants!$B$6,"",IF($AU83="-&gt;",$AW83,$AN83)))</f>
        <v/>
      </c>
      <c r="BX83" s="96" t="str">
        <f aca="false">IF(ISBLANK($C83),"",IF($BD83&lt;&gt;Constants!$B$6,"",IF($AU83="-&gt;",$AX83,$AO83)))</f>
        <v/>
      </c>
      <c r="BY83" s="96" t="str">
        <f aca="false">IF(ISBLANK($C83),"",IF($BD83&lt;&gt;Constants!$B$6,"",IF($AU83="-&gt;",$AY83,$AP83)))</f>
        <v/>
      </c>
      <c r="BZ83" s="96" t="str">
        <f aca="false">IF(ISBLANK($C83),"",IF($BD83&lt;&gt;Constants!$B$6,"",IF($AU83="-&gt;",$AZ83,$AQ83)+$BG83))</f>
        <v/>
      </c>
      <c r="CA83" s="97" t="str">
        <f aca="false">IF(ISBLANK($C83),"",IF($BD83&lt;&gt;Constants!$B$6,$BD83,$BH83))</f>
        <v/>
      </c>
      <c r="CB83" s="98" t="str">
        <f aca="false">IF(ISBLANK($C83),"",$BE83)</f>
        <v/>
      </c>
      <c r="CC83" s="99" t="str">
        <f aca="false">IF(ISBLANK($C83),"",$BS83)</f>
        <v/>
      </c>
      <c r="CD83" s="99" t="str">
        <f aca="false">IF(ISBLANK($C83),"",$BR83)</f>
        <v/>
      </c>
      <c r="CE83" s="100" t="str">
        <f aca="false">IF(ISBLANK($C83),"",IF($CD83=Constants!$B$9,COUNTA($C$9:$C$508)+2,IF($CD83=Constants!$B$8,COUNTA($C$9:$C$508)+1,IF($CD83=Constants!$B$7,COUNTA($C$9:$C$508),$CD83))))</f>
        <v/>
      </c>
      <c r="CF83" s="9"/>
      <c r="CG83" s="101" t="n">
        <f aca="false">IF(OR(ISNUMBER($CD83),$CD83=Constants!$B$9,$CD83=Constants!$B$7,$CD83=Constants!$B$8),1,0)</f>
        <v>0</v>
      </c>
      <c r="CH83" s="101" t="n">
        <v>75</v>
      </c>
      <c r="CI83" s="101" t="str">
        <f aca="false">IF(ISBLANK($C83),"",IF(ISNUMBER($CE83),$CE83+ROW($B83)/1000,""))</f>
        <v/>
      </c>
      <c r="CJ83" s="101" t="str">
        <f aca="false">IF(ISNUMBER($CI83),RANK($CI83,$CI$9:$CI$508,1),"")</f>
        <v/>
      </c>
      <c r="CK83" s="101" t="str">
        <f aca="false">IF(ISBLANK($C83),"",$B83)</f>
        <v/>
      </c>
      <c r="CL83" s="101" t="str">
        <f aca="false">IF(ISBLANK($C83),"",$C83)</f>
        <v/>
      </c>
      <c r="CM83" s="101" t="str">
        <f aca="false">IF(ISBLANK($C83),"",$D83)</f>
        <v/>
      </c>
      <c r="CN83" s="102" t="str">
        <f aca="false">$CB83</f>
        <v/>
      </c>
      <c r="CO83" s="103" t="str">
        <f aca="false">$CA83</f>
        <v/>
      </c>
      <c r="CP83" s="101" t="str">
        <f aca="false">IF(ISBLANK($C83),"",$CD83)</f>
        <v/>
      </c>
      <c r="CQ83" s="104" t="str">
        <f aca="false">IF($CH83&gt;$CG$8,"",VLOOKUP($CH83,$CJ$9:$CP$508,7,FALSE()))</f>
        <v/>
      </c>
      <c r="CR83" s="105" t="str">
        <f aca="false">IF($CH83&gt;$CG$8,"",VLOOKUP($CH83,$CJ$9:$CP$508,2,FALSE()))</f>
        <v/>
      </c>
      <c r="CS83" s="105" t="str">
        <f aca="false">IF($CH83&gt;$CG$8,"",VLOOKUP($CH83,$CJ$9:$CP$508,3,FALSE()))</f>
        <v/>
      </c>
      <c r="CT83" s="105" t="str">
        <f aca="false">IF($CH83&gt;$CG$8,"",VLOOKUP($CH83,$CJ$9:$CP$508,4,FALSE()))</f>
        <v/>
      </c>
      <c r="CU83" s="105" t="str">
        <f aca="false">IF($CH83&gt;$CG$8,"",VLOOKUP($CH83,$CJ$9:$CP$508,5,FALSE()))</f>
        <v/>
      </c>
      <c r="CV83" s="106" t="str">
        <f aca="false">IF($CH83&gt;$CG$8,"",VLOOKUP($CH83,$CJ$9:$CP$508,6,FALSE()))</f>
        <v/>
      </c>
      <c r="CW83" s="71"/>
    </row>
    <row r="84" customFormat="false" ht="15.75" hidden="false" customHeight="false" outlineLevel="0" collapsed="false">
      <c r="A84" s="9"/>
      <c r="B84" s="150"/>
      <c r="C84" s="151"/>
      <c r="D84" s="152"/>
      <c r="E84" s="170"/>
      <c r="F84" s="154"/>
      <c r="G84" s="155"/>
      <c r="H84" s="171"/>
      <c r="I84" s="159"/>
      <c r="J84" s="120"/>
      <c r="K84" s="121"/>
      <c r="L84" s="122"/>
      <c r="M84" s="158"/>
      <c r="N84" s="159"/>
      <c r="O84" s="159"/>
      <c r="P84" s="120"/>
      <c r="Q84" s="122"/>
      <c r="R84" s="122"/>
      <c r="S84" s="158"/>
      <c r="T84" s="159"/>
      <c r="U84" s="126"/>
      <c r="V84" s="127"/>
      <c r="W84" s="127" t="str">
        <f aca="false">IF(ISBLANK($C84),"",IF(E84=Constants!$B$2,TRUE(),IF(E84=Constants!$B$3,FALSE(),TRUE())))</f>
        <v/>
      </c>
      <c r="X84" s="127" t="str">
        <f aca="false">IF(ISBLANK($C84),"",IF(F84=Constants!$B$2,TRUE(),IF(F84=Constants!$B$3,FALSE(),TRUE())))</f>
        <v/>
      </c>
      <c r="Y84" s="127" t="str">
        <f aca="false">IF(ISBLANK($C84),"",IF(G84=Constants!$B$2,TRUE(),IF(G84=Constants!$B$3,FALSE(),TRUE())))</f>
        <v/>
      </c>
      <c r="Z84" s="127" t="str">
        <f aca="false">IF(ISBLANK($C84),"",IF(H84=Constants!$B$2,TRUE(),IF(H84=Constants!$B$3,FALSE(),TRUE())))</f>
        <v/>
      </c>
      <c r="AA84" s="127" t="str">
        <f aca="false">IF(ISBLANK($C84),"",IF(I84=Constants!$B$2,TRUE(),IF(I84=Constants!$B$3,FALSE(),TRUE())))</f>
        <v/>
      </c>
      <c r="AB84" s="127" t="str">
        <f aca="false">IF(ISBLANK($C84),"",IF(J84=Constants!$B$4,TRUE(),IF(J84=Constants!$B$5,FALSE(),COUNTA(K84:M84)&gt;0)))</f>
        <v/>
      </c>
      <c r="AC84" s="128" t="str">
        <f aca="false">IF(ISBLANK($C84),"",IF(ISNUMBER(K84),IF(K84&gt;=0,K84,""),""))</f>
        <v/>
      </c>
      <c r="AD84" s="129" t="str">
        <f aca="false">IF(ISBLANK($C84),"",IF(ISNUMBER(L84),IF(L84&gt;=0,L84,""),""))</f>
        <v/>
      </c>
      <c r="AE84" s="127" t="str">
        <f aca="false">IF(ISBLANK($C84),"",IF(ISNUMBER(M84),IF(M84&gt;=0,MIN(M84,Constants!$B$22),""),""))</f>
        <v/>
      </c>
      <c r="AF84" s="127" t="str">
        <f aca="false">IF(ISBLANK($C84),"",IF(N84=Constants!$B$2,TRUE(),IF(N84=Constants!$B$3,FALSE(),TRUE())))</f>
        <v/>
      </c>
      <c r="AG84" s="127" t="str">
        <f aca="false">IF(ISBLANK($C84),"",IF(O84=Constants!$B$2,TRUE(),IF(O84=Constants!$B$3,FALSE(),TRUE())))</f>
        <v/>
      </c>
      <c r="AH84" s="127" t="str">
        <f aca="false">IF(ISBLANK($C84),"",IF(P84=Constants!$B$4,TRUE(),IF(P84=Constants!$B$5,FALSE(),COUNTA(Q84:S84)&gt;0)))</f>
        <v/>
      </c>
      <c r="AI84" s="128" t="str">
        <f aca="false">IF(ISBLANK($C84),"",IF(ISNUMBER(Q84),IF(Q84&gt;=0,Q84,""),""))</f>
        <v/>
      </c>
      <c r="AJ84" s="129" t="str">
        <f aca="false">IF(ISBLANK($C84),"",IF(ISNUMBER(R84),IF(R84&gt;=0,R84,""),""))</f>
        <v/>
      </c>
      <c r="AK84" s="127" t="str">
        <f aca="false">IF(ISBLANK($C84),"",IF(ISNUMBER(S84),IF(S84&gt;=0,MIN(S84,Constants!$B$22),""),""))</f>
        <v/>
      </c>
      <c r="AL84" s="127" t="str">
        <f aca="false">IF(ISBLANK($C84),"",IF(T84=Constants!$B$2,TRUE(),IF(T84=Constants!$B$3,FALSE(),FALSE())))</f>
        <v/>
      </c>
      <c r="AM84" s="126" t="str">
        <f aca="false">IF(ISBLANK($C84),"",AND($AB84,OR($AC84="",$AD84="",AND(NOT(ISBLANK($M84)),$AE84=""))))</f>
        <v/>
      </c>
      <c r="AN84" s="129" t="str">
        <f aca="false">IF($BD84&lt;&gt;Constants!$B$6,"",IF($AB84,Constants!$B$17*$AD84,Constants!$B$18))</f>
        <v/>
      </c>
      <c r="AO84" s="130" t="str">
        <f aca="false">IF($BD84&lt;&gt;Constants!$B$6,"",Constants!$B$19*IF($AB84,$AC84,0))</f>
        <v/>
      </c>
      <c r="AP84" s="130" t="str">
        <f aca="false">IF($BD84&lt;&gt;Constants!$B$6,"",IF(AND($AB84,ISNUMBER($AE84)),Constants!$B$20*(Constants!$B$21-$AE84),0))</f>
        <v/>
      </c>
      <c r="AQ84" s="130" t="str">
        <f aca="false">IF($BD84&lt;&gt;Constants!$B$6,"",IF($AA84,0,Constants!$B$12)+IF($Z84,0,Constants!$B$13)+IF($Y84,0,Constants!$B$14))</f>
        <v/>
      </c>
      <c r="AR84" s="131" t="str">
        <f aca="false">IF($BD84&lt;&gt;Constants!$B$6,"",Constants!$B$16+SUM($AN84:$AQ84))</f>
        <v/>
      </c>
      <c r="AS84" s="130" t="str">
        <f aca="false">IF($BD84&lt;&gt;Constants!$B$6,"",IF($AB84,$AD84,""))</f>
        <v/>
      </c>
      <c r="AT84" s="132" t="str">
        <f aca="false">IF($BD84&lt;&gt;Constants!$B$6,"",$AO84)</f>
        <v/>
      </c>
      <c r="AU84" s="127" t="str">
        <f aca="false">IF($BD84&lt;&gt;Constants!$B$6,"",IF(OR($BA84&lt;$AR84,AND($BA84=$AR84,OR(AND(ISNUMBER($BB84),OR(NOT(ISNUMBER($AS84)),$BB84&lt;$AS84)),AND(OR(AND($BB84="",$AS84=""),AND(ISNUMBER($BB84),ISNUMBER($AS84),$BB84=$AS84)),$BC84&lt;$AT84)))),"-&gt;","&lt;-"))</f>
        <v/>
      </c>
      <c r="AV84" s="126" t="str">
        <f aca="false">IF(ISBLANK($C84),"",AND($AH84,OR($AI84="",$AJ84="",AND(NOT(ISBLANK($S84)),$AK84=""))))</f>
        <v/>
      </c>
      <c r="AW84" s="129" t="str">
        <f aca="false">IF($BD84&lt;&gt;Constants!$B$6,"",IF($AH84,Constants!$B$17*$AJ84,Constants!$B$18))</f>
        <v/>
      </c>
      <c r="AX84" s="130" t="str">
        <f aca="false">IF($BD84&lt;&gt;Constants!$B$6,"",Constants!$B$19*IF($AH84,$AI84,0))</f>
        <v/>
      </c>
      <c r="AY84" s="130" t="str">
        <f aca="false">IF($BD84&lt;&gt;Constants!$B$6,"",IF(AND($AH84,ISNUMBER($AK84)),Constants!$B$20*(Constants!$B$21-$AK84),0))</f>
        <v/>
      </c>
      <c r="AZ84" s="130" t="str">
        <f aca="false">IF($BD84&lt;&gt;Constants!$B$6,"",IF($AG84,0,Constants!$B$12)+IF($AF84,0,Constants!$B$13)+IF($Y84,0,Constants!$B$14))</f>
        <v/>
      </c>
      <c r="BA84" s="131" t="str">
        <f aca="false">IF($BD84&lt;&gt;Constants!$B$6,"",Constants!$B$16+SUM($AW84:$AZ84))</f>
        <v/>
      </c>
      <c r="BB84" s="130" t="str">
        <f aca="false">IF($BD84&lt;&gt;Constants!$B$6,"",IF($AH84,$AJ84,""))</f>
        <v/>
      </c>
      <c r="BC84" s="132" t="str">
        <f aca="false">IF($BD84&lt;&gt;Constants!$B$6,"",$AX84)</f>
        <v/>
      </c>
      <c r="BD84" s="127" t="str">
        <f aca="false">IF(ISBLANK($C84),"",IF($AL84,Constants!$B$9,IF(COUNTA($E84:$T84)=0,Constants!$B$8,IF(NOT($X84),Constants!$B$7,IF(OR($AM84,$AV84),Constants!$B$10,Constants!$B$6)))))</f>
        <v/>
      </c>
      <c r="BE84" s="127" t="str">
        <f aca="false">IF(ISBLANK($C84),"",IF($BD84&lt;&gt;Constants!$B$6,$BD84,Constants!$B$11))</f>
        <v/>
      </c>
      <c r="BF84" s="130" t="str">
        <f aca="false">IF($BD84&lt;&gt;Constants!$B$6,"",IF($AU84="-&gt;",$BA84,$AR84))</f>
        <v/>
      </c>
      <c r="BG84" s="130" t="str">
        <f aca="false">IF($BD84&lt;&gt;Constants!$B$6,"",IF($W84,0,Constants!$B$15))</f>
        <v/>
      </c>
      <c r="BH84" s="130" t="str">
        <f aca="false">IF(ISBLANK($C84),"",IF($BD84&lt;&gt;Constants!$B$6,$BD84,SUM($BF84:$BG84)))</f>
        <v/>
      </c>
      <c r="BI84" s="127" t="str">
        <f aca="false">IF(ISBLANK($C84),"",IF($BD84&lt;&gt;Constants!$B$6,$BD84,RANK($BH84,$BH$9:$BH$508,1)))</f>
        <v/>
      </c>
      <c r="BJ84" s="130" t="str">
        <f aca="false">IF($BD84&lt;&gt;Constants!$B$6,"",IF($AU84="-&gt;",$BB84,$AS84))</f>
        <v/>
      </c>
      <c r="BK84" s="127" t="str">
        <f aca="false">IF(ISBLANK($C84),"",IF($BD84&lt;&gt;Constants!$B$6,$BD84,IF(ISNUMBER($BJ84),RANK($BJ84,$BJ$9:$BJ$508,1),COUNT($BJ$9:$BJ$508)+1)))</f>
        <v/>
      </c>
      <c r="BL84" s="130" t="str">
        <f aca="false">IF($BD84&lt;&gt;Constants!$B$6,"",IF($AU84="-&gt;",$BC84,$AT84))</f>
        <v/>
      </c>
      <c r="BM84" s="127" t="str">
        <f aca="false">IF(ISBLANK($C84),"",IF($BD84&lt;&gt;Constants!$B$6,$BD84,IF(ISNUMBER($BL84),RANK($BL84,$BL$9:$BL$508,1),COUNT($BL$9:$BL$508)+1)))</f>
        <v/>
      </c>
      <c r="BN84" s="130" t="str">
        <f aca="false">IF($BD84&lt;&gt;Constants!$B$6,"",IF($AU84="-&gt;",$AS84,$BB84))</f>
        <v/>
      </c>
      <c r="BO84" s="127" t="str">
        <f aca="false">IF(ISBLANK($C84),"",IF($BD84&lt;&gt;Constants!$B$6,$BD84,IF(ISNUMBER($BN84),RANK($BN84,$BN$9:$BN$508,1),COUNT($BN$9:$BN$508)+1)))</f>
        <v/>
      </c>
      <c r="BP84" s="130" t="str">
        <f aca="false">IF($BD84&lt;&gt;Constants!$B$6,"",IF($AU84="-&gt;",$AT84,$BC84))</f>
        <v/>
      </c>
      <c r="BQ84" s="127" t="str">
        <f aca="false">IF(ISBLANK($C84),"",IF($BD84&lt;&gt;Constants!$B$6,$BD84,IF(ISNUMBER($BP84),RANK($BP84,$BP$9:$BP$508,1),COUNT($BP$9:$BP$508)+1)))</f>
        <v/>
      </c>
      <c r="BR84" s="127" t="str">
        <f aca="false">IF(ISBLANK($C84),"",IF($BD84&lt;&gt;Constants!$B$6,$BD84,COUNTIFS($BI$9:$BI$508,"&lt;"&amp;$BI84)+COUNTIFS($BI$9:$BI$508,$BI84,$BK$9:$BK$508,"&lt;"&amp;$BK84)+COUNTIFS($BI$9:$BI$508,$BI84,$BK$9:$BK$508,$BK84,$BM$9:$BM$508,"&lt;"&amp;$BM84)+COUNTIFS($BI$9:$BI$508,$BI84,$BK$9:$BK$508,$BK84,$BM$9:$BM$508,$BM84,$BO$9:$BO$508,"&lt;"&amp;$BO84)+COUNTIFS($BI$9:$BI$508,$BI84,$BK$9:$BK$508,$BK84,$BM$9:$BM$508,$BM84,$BO$9:$BO$508,$BO84,$BQ$9:$BQ$508,"&lt;"&amp;$BQ84)+1))</f>
        <v/>
      </c>
      <c r="BS84" s="127" t="str">
        <f aca="false">IF(ISBLANK($C84),"",IF($BD84&lt;&gt;Constants!$B$6,$BD84,$BI84-$BR84))</f>
        <v/>
      </c>
      <c r="BT84" s="133"/>
      <c r="BU84" s="134"/>
      <c r="BV84" s="134" t="str">
        <f aca="false">IF(ISBLANK($C84),"",IF($BD84&lt;&gt;Constants!$B$6,"",IF($AU84="-&gt;",2,1)))</f>
        <v/>
      </c>
      <c r="BW84" s="135" t="str">
        <f aca="false">IF(ISBLANK($C84),"",IF($BD84&lt;&gt;Constants!$B$6,"",IF($AU84="-&gt;",$AW84,$AN84)))</f>
        <v/>
      </c>
      <c r="BX84" s="135" t="str">
        <f aca="false">IF(ISBLANK($C84),"",IF($BD84&lt;&gt;Constants!$B$6,"",IF($AU84="-&gt;",$AX84,$AO84)))</f>
        <v/>
      </c>
      <c r="BY84" s="135" t="str">
        <f aca="false">IF(ISBLANK($C84),"",IF($BD84&lt;&gt;Constants!$B$6,"",IF($AU84="-&gt;",$AY84,$AP84)))</f>
        <v/>
      </c>
      <c r="BZ84" s="135" t="str">
        <f aca="false">IF(ISBLANK($C84),"",IF($BD84&lt;&gt;Constants!$B$6,"",IF($AU84="-&gt;",$AZ84,$AQ84)+$BG84))</f>
        <v/>
      </c>
      <c r="CA84" s="136" t="str">
        <f aca="false">IF(ISBLANK($C84),"",IF($BD84&lt;&gt;Constants!$B$6,$BD84,$BH84))</f>
        <v/>
      </c>
      <c r="CB84" s="137" t="str">
        <f aca="false">IF(ISBLANK($C84),"",$BE84)</f>
        <v/>
      </c>
      <c r="CC84" s="138" t="str">
        <f aca="false">IF(ISBLANK($C84),"",$BS84)</f>
        <v/>
      </c>
      <c r="CD84" s="138" t="str">
        <f aca="false">IF(ISBLANK($C84),"",$BR84)</f>
        <v/>
      </c>
      <c r="CE84" s="139" t="str">
        <f aca="false">IF(ISBLANK($C84),"",IF($CD84=Constants!$B$9,COUNTA($C$9:$C$508)+2,IF($CD84=Constants!$B$8,COUNTA($C$9:$C$508)+1,IF($CD84=Constants!$B$7,COUNTA($C$9:$C$508),$CD84))))</f>
        <v/>
      </c>
      <c r="CF84" s="9"/>
      <c r="CG84" s="140" t="n">
        <f aca="false">IF(OR(ISNUMBER($CD84),$CD84=Constants!$B$9,$CD84=Constants!$B$7,$CD84=Constants!$B$8),1,0)</f>
        <v>0</v>
      </c>
      <c r="CH84" s="140" t="n">
        <v>76</v>
      </c>
      <c r="CI84" s="140" t="str">
        <f aca="false">IF(ISBLANK($C84),"",IF(ISNUMBER($CE84),$CE84+ROW($B84)/1000,""))</f>
        <v/>
      </c>
      <c r="CJ84" s="140" t="str">
        <f aca="false">IF(ISNUMBER($CI84),RANK($CI84,$CI$9:$CI$508,1),"")</f>
        <v/>
      </c>
      <c r="CK84" s="140" t="str">
        <f aca="false">IF(ISBLANK($C84),"",$B84)</f>
        <v/>
      </c>
      <c r="CL84" s="140" t="str">
        <f aca="false">IF(ISBLANK($C84),"",$C84)</f>
        <v/>
      </c>
      <c r="CM84" s="140" t="str">
        <f aca="false">IF(ISBLANK($C84),"",$D84)</f>
        <v/>
      </c>
      <c r="CN84" s="141" t="str">
        <f aca="false">$CB84</f>
        <v/>
      </c>
      <c r="CO84" s="142" t="str">
        <f aca="false">$CA84</f>
        <v/>
      </c>
      <c r="CP84" s="140" t="str">
        <f aca="false">IF(ISBLANK($C84),"",$CD84)</f>
        <v/>
      </c>
      <c r="CQ84" s="143" t="str">
        <f aca="false">IF($CH84&gt;$CG$8,"",VLOOKUP($CH84,$CJ$9:$CP$508,7,FALSE()))</f>
        <v/>
      </c>
      <c r="CR84" s="144" t="str">
        <f aca="false">IF($CH84&gt;$CG$8,"",VLOOKUP($CH84,$CJ$9:$CP$508,2,FALSE()))</f>
        <v/>
      </c>
      <c r="CS84" s="144" t="str">
        <f aca="false">IF($CH84&gt;$CG$8,"",VLOOKUP($CH84,$CJ$9:$CP$508,3,FALSE()))</f>
        <v/>
      </c>
      <c r="CT84" s="144" t="str">
        <f aca="false">IF($CH84&gt;$CG$8,"",VLOOKUP($CH84,$CJ$9:$CP$508,4,FALSE()))</f>
        <v/>
      </c>
      <c r="CU84" s="144" t="str">
        <f aca="false">IF($CH84&gt;$CG$8,"",VLOOKUP($CH84,$CJ$9:$CP$508,5,FALSE()))</f>
        <v/>
      </c>
      <c r="CV84" s="145" t="str">
        <f aca="false">IF($CH84&gt;$CG$8,"",VLOOKUP($CH84,$CJ$9:$CP$508,6,FALSE()))</f>
        <v/>
      </c>
      <c r="CW84" s="71"/>
    </row>
    <row r="85" customFormat="false" ht="15.75" hidden="false" customHeight="false" outlineLevel="0" collapsed="false">
      <c r="A85" s="9"/>
      <c r="B85" s="150"/>
      <c r="C85" s="151"/>
      <c r="D85" s="152"/>
      <c r="E85" s="170"/>
      <c r="F85" s="154"/>
      <c r="G85" s="155"/>
      <c r="H85" s="171"/>
      <c r="I85" s="159"/>
      <c r="J85" s="120"/>
      <c r="K85" s="121"/>
      <c r="L85" s="122"/>
      <c r="M85" s="158"/>
      <c r="N85" s="159"/>
      <c r="O85" s="159"/>
      <c r="P85" s="120"/>
      <c r="Q85" s="122"/>
      <c r="R85" s="122"/>
      <c r="S85" s="158"/>
      <c r="T85" s="159"/>
      <c r="U85" s="126"/>
      <c r="V85" s="127"/>
      <c r="W85" s="127" t="str">
        <f aca="false">IF(ISBLANK($C85),"",IF(E85=Constants!$B$2,TRUE(),IF(E85=Constants!$B$3,FALSE(),TRUE())))</f>
        <v/>
      </c>
      <c r="X85" s="127" t="str">
        <f aca="false">IF(ISBLANK($C85),"",IF(F85=Constants!$B$2,TRUE(),IF(F85=Constants!$B$3,FALSE(),TRUE())))</f>
        <v/>
      </c>
      <c r="Y85" s="127" t="str">
        <f aca="false">IF(ISBLANK($C85),"",IF(G85=Constants!$B$2,TRUE(),IF(G85=Constants!$B$3,FALSE(),TRUE())))</f>
        <v/>
      </c>
      <c r="Z85" s="127" t="str">
        <f aca="false">IF(ISBLANK($C85),"",IF(H85=Constants!$B$2,TRUE(),IF(H85=Constants!$B$3,FALSE(),TRUE())))</f>
        <v/>
      </c>
      <c r="AA85" s="127" t="str">
        <f aca="false">IF(ISBLANK($C85),"",IF(I85=Constants!$B$2,TRUE(),IF(I85=Constants!$B$3,FALSE(),TRUE())))</f>
        <v/>
      </c>
      <c r="AB85" s="127" t="str">
        <f aca="false">IF(ISBLANK($C85),"",IF(J85=Constants!$B$4,TRUE(),IF(J85=Constants!$B$5,FALSE(),COUNTA(K85:M85)&gt;0)))</f>
        <v/>
      </c>
      <c r="AC85" s="128" t="str">
        <f aca="false">IF(ISBLANK($C85),"",IF(ISNUMBER(K85),IF(K85&gt;=0,K85,""),""))</f>
        <v/>
      </c>
      <c r="AD85" s="129" t="str">
        <f aca="false">IF(ISBLANK($C85),"",IF(ISNUMBER(L85),IF(L85&gt;=0,L85,""),""))</f>
        <v/>
      </c>
      <c r="AE85" s="127" t="str">
        <f aca="false">IF(ISBLANK($C85),"",IF(ISNUMBER(M85),IF(M85&gt;=0,MIN(M85,Constants!$B$22),""),""))</f>
        <v/>
      </c>
      <c r="AF85" s="127" t="str">
        <f aca="false">IF(ISBLANK($C85),"",IF(N85=Constants!$B$2,TRUE(),IF(N85=Constants!$B$3,FALSE(),TRUE())))</f>
        <v/>
      </c>
      <c r="AG85" s="127" t="str">
        <f aca="false">IF(ISBLANK($C85),"",IF(O85=Constants!$B$2,TRUE(),IF(O85=Constants!$B$3,FALSE(),TRUE())))</f>
        <v/>
      </c>
      <c r="AH85" s="127" t="str">
        <f aca="false">IF(ISBLANK($C85),"",IF(P85=Constants!$B$4,TRUE(),IF(P85=Constants!$B$5,FALSE(),COUNTA(Q85:S85)&gt;0)))</f>
        <v/>
      </c>
      <c r="AI85" s="128" t="str">
        <f aca="false">IF(ISBLANK($C85),"",IF(ISNUMBER(Q85),IF(Q85&gt;=0,Q85,""),""))</f>
        <v/>
      </c>
      <c r="AJ85" s="129" t="str">
        <f aca="false">IF(ISBLANK($C85),"",IF(ISNUMBER(R85),IF(R85&gt;=0,R85,""),""))</f>
        <v/>
      </c>
      <c r="AK85" s="127" t="str">
        <f aca="false">IF(ISBLANK($C85),"",IF(ISNUMBER(S85),IF(S85&gt;=0,MIN(S85,Constants!$B$22),""),""))</f>
        <v/>
      </c>
      <c r="AL85" s="127" t="str">
        <f aca="false">IF(ISBLANK($C85),"",IF(T85=Constants!$B$2,TRUE(),IF(T85=Constants!$B$3,FALSE(),FALSE())))</f>
        <v/>
      </c>
      <c r="AM85" s="126" t="str">
        <f aca="false">IF(ISBLANK($C85),"",AND($AB85,OR($AC85="",$AD85="",AND(NOT(ISBLANK($M85)),$AE85=""))))</f>
        <v/>
      </c>
      <c r="AN85" s="129" t="str">
        <f aca="false">IF($BD85&lt;&gt;Constants!$B$6,"",IF($AB85,Constants!$B$17*$AD85,Constants!$B$18))</f>
        <v/>
      </c>
      <c r="AO85" s="130" t="str">
        <f aca="false">IF($BD85&lt;&gt;Constants!$B$6,"",Constants!$B$19*IF($AB85,$AC85,0))</f>
        <v/>
      </c>
      <c r="AP85" s="130" t="str">
        <f aca="false">IF($BD85&lt;&gt;Constants!$B$6,"",IF(AND($AB85,ISNUMBER($AE85)),Constants!$B$20*(Constants!$B$21-$AE85),0))</f>
        <v/>
      </c>
      <c r="AQ85" s="130" t="str">
        <f aca="false">IF($BD85&lt;&gt;Constants!$B$6,"",IF($AA85,0,Constants!$B$12)+IF($Z85,0,Constants!$B$13)+IF($Y85,0,Constants!$B$14))</f>
        <v/>
      </c>
      <c r="AR85" s="131" t="str">
        <f aca="false">IF($BD85&lt;&gt;Constants!$B$6,"",Constants!$B$16+SUM($AN85:$AQ85))</f>
        <v/>
      </c>
      <c r="AS85" s="130" t="str">
        <f aca="false">IF($BD85&lt;&gt;Constants!$B$6,"",IF($AB85,$AD85,""))</f>
        <v/>
      </c>
      <c r="AT85" s="132" t="str">
        <f aca="false">IF($BD85&lt;&gt;Constants!$B$6,"",$AO85)</f>
        <v/>
      </c>
      <c r="AU85" s="127" t="str">
        <f aca="false">IF($BD85&lt;&gt;Constants!$B$6,"",IF(OR($BA85&lt;$AR85,AND($BA85=$AR85,OR(AND(ISNUMBER($BB85),OR(NOT(ISNUMBER($AS85)),$BB85&lt;$AS85)),AND(OR(AND($BB85="",$AS85=""),AND(ISNUMBER($BB85),ISNUMBER($AS85),$BB85=$AS85)),$BC85&lt;$AT85)))),"-&gt;","&lt;-"))</f>
        <v/>
      </c>
      <c r="AV85" s="126" t="str">
        <f aca="false">IF(ISBLANK($C85),"",AND($AH85,OR($AI85="",$AJ85="",AND(NOT(ISBLANK($S85)),$AK85=""))))</f>
        <v/>
      </c>
      <c r="AW85" s="129" t="str">
        <f aca="false">IF($BD85&lt;&gt;Constants!$B$6,"",IF($AH85,Constants!$B$17*$AJ85,Constants!$B$18))</f>
        <v/>
      </c>
      <c r="AX85" s="130" t="str">
        <f aca="false">IF($BD85&lt;&gt;Constants!$B$6,"",Constants!$B$19*IF($AH85,$AI85,0))</f>
        <v/>
      </c>
      <c r="AY85" s="130" t="str">
        <f aca="false">IF($BD85&lt;&gt;Constants!$B$6,"",IF(AND($AH85,ISNUMBER($AK85)),Constants!$B$20*(Constants!$B$21-$AK85),0))</f>
        <v/>
      </c>
      <c r="AZ85" s="130" t="str">
        <f aca="false">IF($BD85&lt;&gt;Constants!$B$6,"",IF($AG85,0,Constants!$B$12)+IF($AF85,0,Constants!$B$13)+IF($Y85,0,Constants!$B$14))</f>
        <v/>
      </c>
      <c r="BA85" s="131" t="str">
        <f aca="false">IF($BD85&lt;&gt;Constants!$B$6,"",Constants!$B$16+SUM($AW85:$AZ85))</f>
        <v/>
      </c>
      <c r="BB85" s="130" t="str">
        <f aca="false">IF($BD85&lt;&gt;Constants!$B$6,"",IF($AH85,$AJ85,""))</f>
        <v/>
      </c>
      <c r="BC85" s="132" t="str">
        <f aca="false">IF($BD85&lt;&gt;Constants!$B$6,"",$AX85)</f>
        <v/>
      </c>
      <c r="BD85" s="127" t="str">
        <f aca="false">IF(ISBLANK($C85),"",IF($AL85,Constants!$B$9,IF(COUNTA($E85:$T85)=0,Constants!$B$8,IF(NOT($X85),Constants!$B$7,IF(OR($AM85,$AV85),Constants!$B$10,Constants!$B$6)))))</f>
        <v/>
      </c>
      <c r="BE85" s="127" t="str">
        <f aca="false">IF(ISBLANK($C85),"",IF($BD85&lt;&gt;Constants!$B$6,$BD85,Constants!$B$11))</f>
        <v/>
      </c>
      <c r="BF85" s="130" t="str">
        <f aca="false">IF($BD85&lt;&gt;Constants!$B$6,"",IF($AU85="-&gt;",$BA85,$AR85))</f>
        <v/>
      </c>
      <c r="BG85" s="130" t="str">
        <f aca="false">IF($BD85&lt;&gt;Constants!$B$6,"",IF($W85,0,Constants!$B$15))</f>
        <v/>
      </c>
      <c r="BH85" s="130" t="str">
        <f aca="false">IF(ISBLANK($C85),"",IF($BD85&lt;&gt;Constants!$B$6,$BD85,SUM($BF85:$BG85)))</f>
        <v/>
      </c>
      <c r="BI85" s="127" t="str">
        <f aca="false">IF(ISBLANK($C85),"",IF($BD85&lt;&gt;Constants!$B$6,$BD85,RANK($BH85,$BH$9:$BH$508,1)))</f>
        <v/>
      </c>
      <c r="BJ85" s="130" t="str">
        <f aca="false">IF($BD85&lt;&gt;Constants!$B$6,"",IF($AU85="-&gt;",$BB85,$AS85))</f>
        <v/>
      </c>
      <c r="BK85" s="127" t="str">
        <f aca="false">IF(ISBLANK($C85),"",IF($BD85&lt;&gt;Constants!$B$6,$BD85,IF(ISNUMBER($BJ85),RANK($BJ85,$BJ$9:$BJ$508,1),COUNT($BJ$9:$BJ$508)+1)))</f>
        <v/>
      </c>
      <c r="BL85" s="130" t="str">
        <f aca="false">IF($BD85&lt;&gt;Constants!$B$6,"",IF($AU85="-&gt;",$BC85,$AT85))</f>
        <v/>
      </c>
      <c r="BM85" s="127" t="str">
        <f aca="false">IF(ISBLANK($C85),"",IF($BD85&lt;&gt;Constants!$B$6,$BD85,IF(ISNUMBER($BL85),RANK($BL85,$BL$9:$BL$508,1),COUNT($BL$9:$BL$508)+1)))</f>
        <v/>
      </c>
      <c r="BN85" s="130" t="str">
        <f aca="false">IF($BD85&lt;&gt;Constants!$B$6,"",IF($AU85="-&gt;",$AS85,$BB85))</f>
        <v/>
      </c>
      <c r="BO85" s="127" t="str">
        <f aca="false">IF(ISBLANK($C85),"",IF($BD85&lt;&gt;Constants!$B$6,$BD85,IF(ISNUMBER($BN85),RANK($BN85,$BN$9:$BN$508,1),COUNT($BN$9:$BN$508)+1)))</f>
        <v/>
      </c>
      <c r="BP85" s="130" t="str">
        <f aca="false">IF($BD85&lt;&gt;Constants!$B$6,"",IF($AU85="-&gt;",$AT85,$BC85))</f>
        <v/>
      </c>
      <c r="BQ85" s="127" t="str">
        <f aca="false">IF(ISBLANK($C85),"",IF($BD85&lt;&gt;Constants!$B$6,$BD85,IF(ISNUMBER($BP85),RANK($BP85,$BP$9:$BP$508,1),COUNT($BP$9:$BP$508)+1)))</f>
        <v/>
      </c>
      <c r="BR85" s="127" t="str">
        <f aca="false">IF(ISBLANK($C85),"",IF($BD85&lt;&gt;Constants!$B$6,$BD85,COUNTIFS($BI$9:$BI$508,"&lt;"&amp;$BI85)+COUNTIFS($BI$9:$BI$508,$BI85,$BK$9:$BK$508,"&lt;"&amp;$BK85)+COUNTIFS($BI$9:$BI$508,$BI85,$BK$9:$BK$508,$BK85,$BM$9:$BM$508,"&lt;"&amp;$BM85)+COUNTIFS($BI$9:$BI$508,$BI85,$BK$9:$BK$508,$BK85,$BM$9:$BM$508,$BM85,$BO$9:$BO$508,"&lt;"&amp;$BO85)+COUNTIFS($BI$9:$BI$508,$BI85,$BK$9:$BK$508,$BK85,$BM$9:$BM$508,$BM85,$BO$9:$BO$508,$BO85,$BQ$9:$BQ$508,"&lt;"&amp;$BQ85)+1))</f>
        <v/>
      </c>
      <c r="BS85" s="127" t="str">
        <f aca="false">IF(ISBLANK($C85),"",IF($BD85&lt;&gt;Constants!$B$6,$BD85,$BI85-$BR85))</f>
        <v/>
      </c>
      <c r="BT85" s="133"/>
      <c r="BU85" s="134"/>
      <c r="BV85" s="134" t="str">
        <f aca="false">IF(ISBLANK($C85),"",IF($BD85&lt;&gt;Constants!$B$6,"",IF($AU85="-&gt;",2,1)))</f>
        <v/>
      </c>
      <c r="BW85" s="135" t="str">
        <f aca="false">IF(ISBLANK($C85),"",IF($BD85&lt;&gt;Constants!$B$6,"",IF($AU85="-&gt;",$AW85,$AN85)))</f>
        <v/>
      </c>
      <c r="BX85" s="135" t="str">
        <f aca="false">IF(ISBLANK($C85),"",IF($BD85&lt;&gt;Constants!$B$6,"",IF($AU85="-&gt;",$AX85,$AO85)))</f>
        <v/>
      </c>
      <c r="BY85" s="135" t="str">
        <f aca="false">IF(ISBLANK($C85),"",IF($BD85&lt;&gt;Constants!$B$6,"",IF($AU85="-&gt;",$AY85,$AP85)))</f>
        <v/>
      </c>
      <c r="BZ85" s="135" t="str">
        <f aca="false">IF(ISBLANK($C85),"",IF($BD85&lt;&gt;Constants!$B$6,"",IF($AU85="-&gt;",$AZ85,$AQ85)+$BG85))</f>
        <v/>
      </c>
      <c r="CA85" s="136" t="str">
        <f aca="false">IF(ISBLANK($C85),"",IF($BD85&lt;&gt;Constants!$B$6,$BD85,$BH85))</f>
        <v/>
      </c>
      <c r="CB85" s="137" t="str">
        <f aca="false">IF(ISBLANK($C85),"",$BE85)</f>
        <v/>
      </c>
      <c r="CC85" s="138" t="str">
        <f aca="false">IF(ISBLANK($C85),"",$BS85)</f>
        <v/>
      </c>
      <c r="CD85" s="138" t="str">
        <f aca="false">IF(ISBLANK($C85),"",$BR85)</f>
        <v/>
      </c>
      <c r="CE85" s="139" t="str">
        <f aca="false">IF(ISBLANK($C85),"",IF($CD85=Constants!$B$9,COUNTA($C$9:$C$508)+2,IF($CD85=Constants!$B$8,COUNTA($C$9:$C$508)+1,IF($CD85=Constants!$B$7,COUNTA($C$9:$C$508),$CD85))))</f>
        <v/>
      </c>
      <c r="CF85" s="9"/>
      <c r="CG85" s="140" t="n">
        <f aca="false">IF(OR(ISNUMBER($CD85),$CD85=Constants!$B$9,$CD85=Constants!$B$7,$CD85=Constants!$B$8),1,0)</f>
        <v>0</v>
      </c>
      <c r="CH85" s="140" t="n">
        <v>77</v>
      </c>
      <c r="CI85" s="140" t="str">
        <f aca="false">IF(ISBLANK($C85),"",IF(ISNUMBER($CE85),$CE85+ROW($B85)/1000,""))</f>
        <v/>
      </c>
      <c r="CJ85" s="140" t="str">
        <f aca="false">IF(ISNUMBER($CI85),RANK($CI85,$CI$9:$CI$508,1),"")</f>
        <v/>
      </c>
      <c r="CK85" s="140" t="str">
        <f aca="false">IF(ISBLANK($C85),"",$B85)</f>
        <v/>
      </c>
      <c r="CL85" s="140" t="str">
        <f aca="false">IF(ISBLANK($C85),"",$C85)</f>
        <v/>
      </c>
      <c r="CM85" s="140" t="str">
        <f aca="false">IF(ISBLANK($C85),"",$D85)</f>
        <v/>
      </c>
      <c r="CN85" s="141" t="str">
        <f aca="false">$CB85</f>
        <v/>
      </c>
      <c r="CO85" s="142" t="str">
        <f aca="false">$CA85</f>
        <v/>
      </c>
      <c r="CP85" s="140" t="str">
        <f aca="false">IF(ISBLANK($C85),"",$CD85)</f>
        <v/>
      </c>
      <c r="CQ85" s="143" t="str">
        <f aca="false">IF($CH85&gt;$CG$8,"",VLOOKUP($CH85,$CJ$9:$CP$508,7,FALSE()))</f>
        <v/>
      </c>
      <c r="CR85" s="144" t="str">
        <f aca="false">IF($CH85&gt;$CG$8,"",VLOOKUP($CH85,$CJ$9:$CP$508,2,FALSE()))</f>
        <v/>
      </c>
      <c r="CS85" s="144" t="str">
        <f aca="false">IF($CH85&gt;$CG$8,"",VLOOKUP($CH85,$CJ$9:$CP$508,3,FALSE()))</f>
        <v/>
      </c>
      <c r="CT85" s="144" t="str">
        <f aca="false">IF($CH85&gt;$CG$8,"",VLOOKUP($CH85,$CJ$9:$CP$508,4,FALSE()))</f>
        <v/>
      </c>
      <c r="CU85" s="144" t="str">
        <f aca="false">IF($CH85&gt;$CG$8,"",VLOOKUP($CH85,$CJ$9:$CP$508,5,FALSE()))</f>
        <v/>
      </c>
      <c r="CV85" s="145" t="str">
        <f aca="false">IF($CH85&gt;$CG$8,"",VLOOKUP($CH85,$CJ$9:$CP$508,6,FALSE()))</f>
        <v/>
      </c>
      <c r="CW85" s="71"/>
    </row>
    <row r="86" customFormat="false" ht="15.75" hidden="false" customHeight="false" outlineLevel="0" collapsed="false">
      <c r="A86" s="9"/>
      <c r="B86" s="150"/>
      <c r="C86" s="151"/>
      <c r="D86" s="152"/>
      <c r="E86" s="170"/>
      <c r="F86" s="154"/>
      <c r="G86" s="155"/>
      <c r="H86" s="171"/>
      <c r="I86" s="159"/>
      <c r="J86" s="120"/>
      <c r="K86" s="121"/>
      <c r="L86" s="122"/>
      <c r="M86" s="158"/>
      <c r="N86" s="159"/>
      <c r="O86" s="159"/>
      <c r="P86" s="120"/>
      <c r="Q86" s="122"/>
      <c r="R86" s="122"/>
      <c r="S86" s="158"/>
      <c r="T86" s="159"/>
      <c r="U86" s="126"/>
      <c r="V86" s="127"/>
      <c r="W86" s="127" t="str">
        <f aca="false">IF(ISBLANK($C86),"",IF(E86=Constants!$B$2,TRUE(),IF(E86=Constants!$B$3,FALSE(),TRUE())))</f>
        <v/>
      </c>
      <c r="X86" s="127" t="str">
        <f aca="false">IF(ISBLANK($C86),"",IF(F86=Constants!$B$2,TRUE(),IF(F86=Constants!$B$3,FALSE(),TRUE())))</f>
        <v/>
      </c>
      <c r="Y86" s="127" t="str">
        <f aca="false">IF(ISBLANK($C86),"",IF(G86=Constants!$B$2,TRUE(),IF(G86=Constants!$B$3,FALSE(),TRUE())))</f>
        <v/>
      </c>
      <c r="Z86" s="127" t="str">
        <f aca="false">IF(ISBLANK($C86),"",IF(H86=Constants!$B$2,TRUE(),IF(H86=Constants!$B$3,FALSE(),TRUE())))</f>
        <v/>
      </c>
      <c r="AA86" s="127" t="str">
        <f aca="false">IF(ISBLANK($C86),"",IF(I86=Constants!$B$2,TRUE(),IF(I86=Constants!$B$3,FALSE(),TRUE())))</f>
        <v/>
      </c>
      <c r="AB86" s="127" t="str">
        <f aca="false">IF(ISBLANK($C86),"",IF(J86=Constants!$B$4,TRUE(),IF(J86=Constants!$B$5,FALSE(),COUNTA(K86:M86)&gt;0)))</f>
        <v/>
      </c>
      <c r="AC86" s="128" t="str">
        <f aca="false">IF(ISBLANK($C86),"",IF(ISNUMBER(K86),IF(K86&gt;=0,K86,""),""))</f>
        <v/>
      </c>
      <c r="AD86" s="129" t="str">
        <f aca="false">IF(ISBLANK($C86),"",IF(ISNUMBER(L86),IF(L86&gt;=0,L86,""),""))</f>
        <v/>
      </c>
      <c r="AE86" s="127" t="str">
        <f aca="false">IF(ISBLANK($C86),"",IF(ISNUMBER(M86),IF(M86&gt;=0,MIN(M86,Constants!$B$22),""),""))</f>
        <v/>
      </c>
      <c r="AF86" s="127" t="str">
        <f aca="false">IF(ISBLANK($C86),"",IF(N86=Constants!$B$2,TRUE(),IF(N86=Constants!$B$3,FALSE(),TRUE())))</f>
        <v/>
      </c>
      <c r="AG86" s="127" t="str">
        <f aca="false">IF(ISBLANK($C86),"",IF(O86=Constants!$B$2,TRUE(),IF(O86=Constants!$B$3,FALSE(),TRUE())))</f>
        <v/>
      </c>
      <c r="AH86" s="127" t="str">
        <f aca="false">IF(ISBLANK($C86),"",IF(P86=Constants!$B$4,TRUE(),IF(P86=Constants!$B$5,FALSE(),COUNTA(Q86:S86)&gt;0)))</f>
        <v/>
      </c>
      <c r="AI86" s="128" t="str">
        <f aca="false">IF(ISBLANK($C86),"",IF(ISNUMBER(Q86),IF(Q86&gt;=0,Q86,""),""))</f>
        <v/>
      </c>
      <c r="AJ86" s="129" t="str">
        <f aca="false">IF(ISBLANK($C86),"",IF(ISNUMBER(R86),IF(R86&gt;=0,R86,""),""))</f>
        <v/>
      </c>
      <c r="AK86" s="127" t="str">
        <f aca="false">IF(ISBLANK($C86),"",IF(ISNUMBER(S86),IF(S86&gt;=0,MIN(S86,Constants!$B$22),""),""))</f>
        <v/>
      </c>
      <c r="AL86" s="127" t="str">
        <f aca="false">IF(ISBLANK($C86),"",IF(T86=Constants!$B$2,TRUE(),IF(T86=Constants!$B$3,FALSE(),FALSE())))</f>
        <v/>
      </c>
      <c r="AM86" s="126" t="str">
        <f aca="false">IF(ISBLANK($C86),"",AND($AB86,OR($AC86="",$AD86="",AND(NOT(ISBLANK($M86)),$AE86=""))))</f>
        <v/>
      </c>
      <c r="AN86" s="129" t="str">
        <f aca="false">IF($BD86&lt;&gt;Constants!$B$6,"",IF($AB86,Constants!$B$17*$AD86,Constants!$B$18))</f>
        <v/>
      </c>
      <c r="AO86" s="130" t="str">
        <f aca="false">IF($BD86&lt;&gt;Constants!$B$6,"",Constants!$B$19*IF($AB86,$AC86,0))</f>
        <v/>
      </c>
      <c r="AP86" s="130" t="str">
        <f aca="false">IF($BD86&lt;&gt;Constants!$B$6,"",IF(AND($AB86,ISNUMBER($AE86)),Constants!$B$20*(Constants!$B$21-$AE86),0))</f>
        <v/>
      </c>
      <c r="AQ86" s="130" t="str">
        <f aca="false">IF($BD86&lt;&gt;Constants!$B$6,"",IF($AA86,0,Constants!$B$12)+IF($Z86,0,Constants!$B$13)+IF($Y86,0,Constants!$B$14))</f>
        <v/>
      </c>
      <c r="AR86" s="131" t="str">
        <f aca="false">IF($BD86&lt;&gt;Constants!$B$6,"",Constants!$B$16+SUM($AN86:$AQ86))</f>
        <v/>
      </c>
      <c r="AS86" s="130" t="str">
        <f aca="false">IF($BD86&lt;&gt;Constants!$B$6,"",IF($AB86,$AD86,""))</f>
        <v/>
      </c>
      <c r="AT86" s="132" t="str">
        <f aca="false">IF($BD86&lt;&gt;Constants!$B$6,"",$AO86)</f>
        <v/>
      </c>
      <c r="AU86" s="127" t="str">
        <f aca="false">IF($BD86&lt;&gt;Constants!$B$6,"",IF(OR($BA86&lt;$AR86,AND($BA86=$AR86,OR(AND(ISNUMBER($BB86),OR(NOT(ISNUMBER($AS86)),$BB86&lt;$AS86)),AND(OR(AND($BB86="",$AS86=""),AND(ISNUMBER($BB86),ISNUMBER($AS86),$BB86=$AS86)),$BC86&lt;$AT86)))),"-&gt;","&lt;-"))</f>
        <v/>
      </c>
      <c r="AV86" s="126" t="str">
        <f aca="false">IF(ISBLANK($C86),"",AND($AH86,OR($AI86="",$AJ86="",AND(NOT(ISBLANK($S86)),$AK86=""))))</f>
        <v/>
      </c>
      <c r="AW86" s="129" t="str">
        <f aca="false">IF($BD86&lt;&gt;Constants!$B$6,"",IF($AH86,Constants!$B$17*$AJ86,Constants!$B$18))</f>
        <v/>
      </c>
      <c r="AX86" s="130" t="str">
        <f aca="false">IF($BD86&lt;&gt;Constants!$B$6,"",Constants!$B$19*IF($AH86,$AI86,0))</f>
        <v/>
      </c>
      <c r="AY86" s="130" t="str">
        <f aca="false">IF($BD86&lt;&gt;Constants!$B$6,"",IF(AND($AH86,ISNUMBER($AK86)),Constants!$B$20*(Constants!$B$21-$AK86),0))</f>
        <v/>
      </c>
      <c r="AZ86" s="130" t="str">
        <f aca="false">IF($BD86&lt;&gt;Constants!$B$6,"",IF($AG86,0,Constants!$B$12)+IF($AF86,0,Constants!$B$13)+IF($Y86,0,Constants!$B$14))</f>
        <v/>
      </c>
      <c r="BA86" s="131" t="str">
        <f aca="false">IF($BD86&lt;&gt;Constants!$B$6,"",Constants!$B$16+SUM($AW86:$AZ86))</f>
        <v/>
      </c>
      <c r="BB86" s="130" t="str">
        <f aca="false">IF($BD86&lt;&gt;Constants!$B$6,"",IF($AH86,$AJ86,""))</f>
        <v/>
      </c>
      <c r="BC86" s="132" t="str">
        <f aca="false">IF($BD86&lt;&gt;Constants!$B$6,"",$AX86)</f>
        <v/>
      </c>
      <c r="BD86" s="127" t="str">
        <f aca="false">IF(ISBLANK($C86),"",IF($AL86,Constants!$B$9,IF(COUNTA($E86:$T86)=0,Constants!$B$8,IF(NOT($X86),Constants!$B$7,IF(OR($AM86,$AV86),Constants!$B$10,Constants!$B$6)))))</f>
        <v/>
      </c>
      <c r="BE86" s="127" t="str">
        <f aca="false">IF(ISBLANK($C86),"",IF($BD86&lt;&gt;Constants!$B$6,$BD86,Constants!$B$11))</f>
        <v/>
      </c>
      <c r="BF86" s="130" t="str">
        <f aca="false">IF($BD86&lt;&gt;Constants!$B$6,"",IF($AU86="-&gt;",$BA86,$AR86))</f>
        <v/>
      </c>
      <c r="BG86" s="130" t="str">
        <f aca="false">IF($BD86&lt;&gt;Constants!$B$6,"",IF($W86,0,Constants!$B$15))</f>
        <v/>
      </c>
      <c r="BH86" s="130" t="str">
        <f aca="false">IF(ISBLANK($C86),"",IF($BD86&lt;&gt;Constants!$B$6,$BD86,SUM($BF86:$BG86)))</f>
        <v/>
      </c>
      <c r="BI86" s="127" t="str">
        <f aca="false">IF(ISBLANK($C86),"",IF($BD86&lt;&gt;Constants!$B$6,$BD86,RANK($BH86,$BH$9:$BH$508,1)))</f>
        <v/>
      </c>
      <c r="BJ86" s="130" t="str">
        <f aca="false">IF($BD86&lt;&gt;Constants!$B$6,"",IF($AU86="-&gt;",$BB86,$AS86))</f>
        <v/>
      </c>
      <c r="BK86" s="127" t="str">
        <f aca="false">IF(ISBLANK($C86),"",IF($BD86&lt;&gt;Constants!$B$6,$BD86,IF(ISNUMBER($BJ86),RANK($BJ86,$BJ$9:$BJ$508,1),COUNT($BJ$9:$BJ$508)+1)))</f>
        <v/>
      </c>
      <c r="BL86" s="130" t="str">
        <f aca="false">IF($BD86&lt;&gt;Constants!$B$6,"",IF($AU86="-&gt;",$BC86,$AT86))</f>
        <v/>
      </c>
      <c r="BM86" s="127" t="str">
        <f aca="false">IF(ISBLANK($C86),"",IF($BD86&lt;&gt;Constants!$B$6,$BD86,IF(ISNUMBER($BL86),RANK($BL86,$BL$9:$BL$508,1),COUNT($BL$9:$BL$508)+1)))</f>
        <v/>
      </c>
      <c r="BN86" s="130" t="str">
        <f aca="false">IF($BD86&lt;&gt;Constants!$B$6,"",IF($AU86="-&gt;",$AS86,$BB86))</f>
        <v/>
      </c>
      <c r="BO86" s="127" t="str">
        <f aca="false">IF(ISBLANK($C86),"",IF($BD86&lt;&gt;Constants!$B$6,$BD86,IF(ISNUMBER($BN86),RANK($BN86,$BN$9:$BN$508,1),COUNT($BN$9:$BN$508)+1)))</f>
        <v/>
      </c>
      <c r="BP86" s="130" t="str">
        <f aca="false">IF($BD86&lt;&gt;Constants!$B$6,"",IF($AU86="-&gt;",$AT86,$BC86))</f>
        <v/>
      </c>
      <c r="BQ86" s="127" t="str">
        <f aca="false">IF(ISBLANK($C86),"",IF($BD86&lt;&gt;Constants!$B$6,$BD86,IF(ISNUMBER($BP86),RANK($BP86,$BP$9:$BP$508,1),COUNT($BP$9:$BP$508)+1)))</f>
        <v/>
      </c>
      <c r="BR86" s="127" t="str">
        <f aca="false">IF(ISBLANK($C86),"",IF($BD86&lt;&gt;Constants!$B$6,$BD86,COUNTIFS($BI$9:$BI$508,"&lt;"&amp;$BI86)+COUNTIFS($BI$9:$BI$508,$BI86,$BK$9:$BK$508,"&lt;"&amp;$BK86)+COUNTIFS($BI$9:$BI$508,$BI86,$BK$9:$BK$508,$BK86,$BM$9:$BM$508,"&lt;"&amp;$BM86)+COUNTIFS($BI$9:$BI$508,$BI86,$BK$9:$BK$508,$BK86,$BM$9:$BM$508,$BM86,$BO$9:$BO$508,"&lt;"&amp;$BO86)+COUNTIFS($BI$9:$BI$508,$BI86,$BK$9:$BK$508,$BK86,$BM$9:$BM$508,$BM86,$BO$9:$BO$508,$BO86,$BQ$9:$BQ$508,"&lt;"&amp;$BQ86)+1))</f>
        <v/>
      </c>
      <c r="BS86" s="127" t="str">
        <f aca="false">IF(ISBLANK($C86),"",IF($BD86&lt;&gt;Constants!$B$6,$BD86,$BI86-$BR86))</f>
        <v/>
      </c>
      <c r="BT86" s="133"/>
      <c r="BU86" s="134"/>
      <c r="BV86" s="134" t="str">
        <f aca="false">IF(ISBLANK($C86),"",IF($BD86&lt;&gt;Constants!$B$6,"",IF($AU86="-&gt;",2,1)))</f>
        <v/>
      </c>
      <c r="BW86" s="135" t="str">
        <f aca="false">IF(ISBLANK($C86),"",IF($BD86&lt;&gt;Constants!$B$6,"",IF($AU86="-&gt;",$AW86,$AN86)))</f>
        <v/>
      </c>
      <c r="BX86" s="135" t="str">
        <f aca="false">IF(ISBLANK($C86),"",IF($BD86&lt;&gt;Constants!$B$6,"",IF($AU86="-&gt;",$AX86,$AO86)))</f>
        <v/>
      </c>
      <c r="BY86" s="135" t="str">
        <f aca="false">IF(ISBLANK($C86),"",IF($BD86&lt;&gt;Constants!$B$6,"",IF($AU86="-&gt;",$AY86,$AP86)))</f>
        <v/>
      </c>
      <c r="BZ86" s="135" t="str">
        <f aca="false">IF(ISBLANK($C86),"",IF($BD86&lt;&gt;Constants!$B$6,"",IF($AU86="-&gt;",$AZ86,$AQ86)+$BG86))</f>
        <v/>
      </c>
      <c r="CA86" s="136" t="str">
        <f aca="false">IF(ISBLANK($C86),"",IF($BD86&lt;&gt;Constants!$B$6,$BD86,$BH86))</f>
        <v/>
      </c>
      <c r="CB86" s="137" t="str">
        <f aca="false">IF(ISBLANK($C86),"",$BE86)</f>
        <v/>
      </c>
      <c r="CC86" s="138" t="str">
        <f aca="false">IF(ISBLANK($C86),"",$BS86)</f>
        <v/>
      </c>
      <c r="CD86" s="138" t="str">
        <f aca="false">IF(ISBLANK($C86),"",$BR86)</f>
        <v/>
      </c>
      <c r="CE86" s="139" t="str">
        <f aca="false">IF(ISBLANK($C86),"",IF($CD86=Constants!$B$9,COUNTA($C$9:$C$508)+2,IF($CD86=Constants!$B$8,COUNTA($C$9:$C$508)+1,IF($CD86=Constants!$B$7,COUNTA($C$9:$C$508),$CD86))))</f>
        <v/>
      </c>
      <c r="CF86" s="9"/>
      <c r="CG86" s="140" t="n">
        <f aca="false">IF(OR(ISNUMBER($CD86),$CD86=Constants!$B$9,$CD86=Constants!$B$7,$CD86=Constants!$B$8),1,0)</f>
        <v>0</v>
      </c>
      <c r="CH86" s="140" t="n">
        <v>78</v>
      </c>
      <c r="CI86" s="140" t="str">
        <f aca="false">IF(ISBLANK($C86),"",IF(ISNUMBER($CE86),$CE86+ROW($B86)/1000,""))</f>
        <v/>
      </c>
      <c r="CJ86" s="140" t="str">
        <f aca="false">IF(ISNUMBER($CI86),RANK($CI86,$CI$9:$CI$508,1),"")</f>
        <v/>
      </c>
      <c r="CK86" s="140" t="str">
        <f aca="false">IF(ISBLANK($C86),"",$B86)</f>
        <v/>
      </c>
      <c r="CL86" s="140" t="str">
        <f aca="false">IF(ISBLANK($C86),"",$C86)</f>
        <v/>
      </c>
      <c r="CM86" s="140" t="str">
        <f aca="false">IF(ISBLANK($C86),"",$D86)</f>
        <v/>
      </c>
      <c r="CN86" s="141" t="str">
        <f aca="false">$CB86</f>
        <v/>
      </c>
      <c r="CO86" s="142" t="str">
        <f aca="false">$CA86</f>
        <v/>
      </c>
      <c r="CP86" s="140" t="str">
        <f aca="false">IF(ISBLANK($C86),"",$CD86)</f>
        <v/>
      </c>
      <c r="CQ86" s="143" t="str">
        <f aca="false">IF($CH86&gt;$CG$8,"",VLOOKUP($CH86,$CJ$9:$CP$508,7,FALSE()))</f>
        <v/>
      </c>
      <c r="CR86" s="144" t="str">
        <f aca="false">IF($CH86&gt;$CG$8,"",VLOOKUP($CH86,$CJ$9:$CP$508,2,FALSE()))</f>
        <v/>
      </c>
      <c r="CS86" s="144" t="str">
        <f aca="false">IF($CH86&gt;$CG$8,"",VLOOKUP($CH86,$CJ$9:$CP$508,3,FALSE()))</f>
        <v/>
      </c>
      <c r="CT86" s="144" t="str">
        <f aca="false">IF($CH86&gt;$CG$8,"",VLOOKUP($CH86,$CJ$9:$CP$508,4,FALSE()))</f>
        <v/>
      </c>
      <c r="CU86" s="144" t="str">
        <f aca="false">IF($CH86&gt;$CG$8,"",VLOOKUP($CH86,$CJ$9:$CP$508,5,FALSE()))</f>
        <v/>
      </c>
      <c r="CV86" s="145" t="str">
        <f aca="false">IF($CH86&gt;$CG$8,"",VLOOKUP($CH86,$CJ$9:$CP$508,6,FALSE()))</f>
        <v/>
      </c>
      <c r="CW86" s="71"/>
    </row>
    <row r="87" customFormat="false" ht="15.75" hidden="false" customHeight="false" outlineLevel="0" collapsed="false">
      <c r="A87" s="9"/>
      <c r="B87" s="72"/>
      <c r="C87" s="73"/>
      <c r="D87" s="160"/>
      <c r="E87" s="168"/>
      <c r="F87" s="162"/>
      <c r="G87" s="163"/>
      <c r="H87" s="169"/>
      <c r="I87" s="167"/>
      <c r="J87" s="80"/>
      <c r="K87" s="81"/>
      <c r="L87" s="82"/>
      <c r="M87" s="166"/>
      <c r="N87" s="167"/>
      <c r="O87" s="167"/>
      <c r="P87" s="80"/>
      <c r="Q87" s="82"/>
      <c r="R87" s="82"/>
      <c r="S87" s="166"/>
      <c r="T87" s="167"/>
      <c r="U87" s="86"/>
      <c r="V87" s="87"/>
      <c r="W87" s="87" t="str">
        <f aca="false">IF(ISBLANK($C87),"",IF(E87=Constants!$B$2,TRUE(),IF(E87=Constants!$B$3,FALSE(),TRUE())))</f>
        <v/>
      </c>
      <c r="X87" s="87" t="str">
        <f aca="false">IF(ISBLANK($C87),"",IF(F87=Constants!$B$2,TRUE(),IF(F87=Constants!$B$3,FALSE(),TRUE())))</f>
        <v/>
      </c>
      <c r="Y87" s="87" t="str">
        <f aca="false">IF(ISBLANK($C87),"",IF(G87=Constants!$B$2,TRUE(),IF(G87=Constants!$B$3,FALSE(),TRUE())))</f>
        <v/>
      </c>
      <c r="Z87" s="87" t="str">
        <f aca="false">IF(ISBLANK($C87),"",IF(H87=Constants!$B$2,TRUE(),IF(H87=Constants!$B$3,FALSE(),TRUE())))</f>
        <v/>
      </c>
      <c r="AA87" s="87" t="str">
        <f aca="false">IF(ISBLANK($C87),"",IF(I87=Constants!$B$2,TRUE(),IF(I87=Constants!$B$3,FALSE(),TRUE())))</f>
        <v/>
      </c>
      <c r="AB87" s="87" t="str">
        <f aca="false">IF(ISBLANK($C87),"",IF(J87=Constants!$B$4,TRUE(),IF(J87=Constants!$B$5,FALSE(),COUNTA(K87:M87)&gt;0)))</f>
        <v/>
      </c>
      <c r="AC87" s="88" t="str">
        <f aca="false">IF(ISBLANK($C87),"",IF(ISNUMBER(K87),IF(K87&gt;=0,K87,""),""))</f>
        <v/>
      </c>
      <c r="AD87" s="89" t="str">
        <f aca="false">IF(ISBLANK($C87),"",IF(ISNUMBER(L87),IF(L87&gt;=0,L87,""),""))</f>
        <v/>
      </c>
      <c r="AE87" s="87" t="str">
        <f aca="false">IF(ISBLANK($C87),"",IF(ISNUMBER(M87),IF(M87&gt;=0,MIN(M87,Constants!$B$22),""),""))</f>
        <v/>
      </c>
      <c r="AF87" s="87" t="str">
        <f aca="false">IF(ISBLANK($C87),"",IF(N87=Constants!$B$2,TRUE(),IF(N87=Constants!$B$3,FALSE(),TRUE())))</f>
        <v/>
      </c>
      <c r="AG87" s="87" t="str">
        <f aca="false">IF(ISBLANK($C87),"",IF(O87=Constants!$B$2,TRUE(),IF(O87=Constants!$B$3,FALSE(),TRUE())))</f>
        <v/>
      </c>
      <c r="AH87" s="87" t="str">
        <f aca="false">IF(ISBLANK($C87),"",IF(P87=Constants!$B$4,TRUE(),IF(P87=Constants!$B$5,FALSE(),COUNTA(Q87:S87)&gt;0)))</f>
        <v/>
      </c>
      <c r="AI87" s="88" t="str">
        <f aca="false">IF(ISBLANK($C87),"",IF(ISNUMBER(Q87),IF(Q87&gt;=0,Q87,""),""))</f>
        <v/>
      </c>
      <c r="AJ87" s="89" t="str">
        <f aca="false">IF(ISBLANK($C87),"",IF(ISNUMBER(R87),IF(R87&gt;=0,R87,""),""))</f>
        <v/>
      </c>
      <c r="AK87" s="87" t="str">
        <f aca="false">IF(ISBLANK($C87),"",IF(ISNUMBER(S87),IF(S87&gt;=0,MIN(S87,Constants!$B$22),""),""))</f>
        <v/>
      </c>
      <c r="AL87" s="87" t="str">
        <f aca="false">IF(ISBLANK($C87),"",IF(T87=Constants!$B$2,TRUE(),IF(T87=Constants!$B$3,FALSE(),FALSE())))</f>
        <v/>
      </c>
      <c r="AM87" s="86" t="str">
        <f aca="false">IF(ISBLANK($C87),"",AND($AB87,OR($AC87="",$AD87="",AND(NOT(ISBLANK($M87)),$AE87=""))))</f>
        <v/>
      </c>
      <c r="AN87" s="89" t="str">
        <f aca="false">IF($BD87&lt;&gt;Constants!$B$6,"",IF($AB87,Constants!$B$17*$AD87,Constants!$B$18))</f>
        <v/>
      </c>
      <c r="AO87" s="91" t="str">
        <f aca="false">IF($BD87&lt;&gt;Constants!$B$6,"",Constants!$B$19*IF($AB87,$AC87,0))</f>
        <v/>
      </c>
      <c r="AP87" s="91" t="str">
        <f aca="false">IF($BD87&lt;&gt;Constants!$B$6,"",IF(AND($AB87,ISNUMBER($AE87)),Constants!$B$20*(Constants!$B$21-$AE87),0))</f>
        <v/>
      </c>
      <c r="AQ87" s="91" t="str">
        <f aca="false">IF($BD87&lt;&gt;Constants!$B$6,"",IF($AA87,0,Constants!$B$12)+IF($Z87,0,Constants!$B$13)+IF($Y87,0,Constants!$B$14))</f>
        <v/>
      </c>
      <c r="AR87" s="92" t="str">
        <f aca="false">IF($BD87&lt;&gt;Constants!$B$6,"",Constants!$B$16+SUM($AN87:$AQ87))</f>
        <v/>
      </c>
      <c r="AS87" s="91" t="str">
        <f aca="false">IF($BD87&lt;&gt;Constants!$B$6,"",IF($AB87,$AD87,""))</f>
        <v/>
      </c>
      <c r="AT87" s="93" t="str">
        <f aca="false">IF($BD87&lt;&gt;Constants!$B$6,"",$AO87)</f>
        <v/>
      </c>
      <c r="AU87" s="87" t="str">
        <f aca="false">IF($BD87&lt;&gt;Constants!$B$6,"",IF(OR($BA87&lt;$AR87,AND($BA87=$AR87,OR(AND(ISNUMBER($BB87),OR(NOT(ISNUMBER($AS87)),$BB87&lt;$AS87)),AND(OR(AND($BB87="",$AS87=""),AND(ISNUMBER($BB87),ISNUMBER($AS87),$BB87=$AS87)),$BC87&lt;$AT87)))),"-&gt;","&lt;-"))</f>
        <v/>
      </c>
      <c r="AV87" s="86" t="str">
        <f aca="false">IF(ISBLANK($C87),"",AND($AH87,OR($AI87="",$AJ87="",AND(NOT(ISBLANK($S87)),$AK87=""))))</f>
        <v/>
      </c>
      <c r="AW87" s="89" t="str">
        <f aca="false">IF($BD87&lt;&gt;Constants!$B$6,"",IF($AH87,Constants!$B$17*$AJ87,Constants!$B$18))</f>
        <v/>
      </c>
      <c r="AX87" s="91" t="str">
        <f aca="false">IF($BD87&lt;&gt;Constants!$B$6,"",Constants!$B$19*IF($AH87,$AI87,0))</f>
        <v/>
      </c>
      <c r="AY87" s="91" t="str">
        <f aca="false">IF($BD87&lt;&gt;Constants!$B$6,"",IF(AND($AH87,ISNUMBER($AK87)),Constants!$B$20*(Constants!$B$21-$AK87),0))</f>
        <v/>
      </c>
      <c r="AZ87" s="91" t="str">
        <f aca="false">IF($BD87&lt;&gt;Constants!$B$6,"",IF($AG87,0,Constants!$B$12)+IF($AF87,0,Constants!$B$13)+IF($Y87,0,Constants!$B$14))</f>
        <v/>
      </c>
      <c r="BA87" s="92" t="str">
        <f aca="false">IF($BD87&lt;&gt;Constants!$B$6,"",Constants!$B$16+SUM($AW87:$AZ87))</f>
        <v/>
      </c>
      <c r="BB87" s="91" t="str">
        <f aca="false">IF($BD87&lt;&gt;Constants!$B$6,"",IF($AH87,$AJ87,""))</f>
        <v/>
      </c>
      <c r="BC87" s="93" t="str">
        <f aca="false">IF($BD87&lt;&gt;Constants!$B$6,"",$AX87)</f>
        <v/>
      </c>
      <c r="BD87" s="87" t="str">
        <f aca="false">IF(ISBLANK($C87),"",IF($AL87,Constants!$B$9,IF(COUNTA($E87:$T87)=0,Constants!$B$8,IF(NOT($X87),Constants!$B$7,IF(OR($AM87,$AV87),Constants!$B$10,Constants!$B$6)))))</f>
        <v/>
      </c>
      <c r="BE87" s="87" t="str">
        <f aca="false">IF(ISBLANK($C87),"",IF($BD87&lt;&gt;Constants!$B$6,$BD87,Constants!$B$11))</f>
        <v/>
      </c>
      <c r="BF87" s="91" t="str">
        <f aca="false">IF($BD87&lt;&gt;Constants!$B$6,"",IF($AU87="-&gt;",$BA87,$AR87))</f>
        <v/>
      </c>
      <c r="BG87" s="91" t="str">
        <f aca="false">IF($BD87&lt;&gt;Constants!$B$6,"",IF($W87,0,Constants!$B$15))</f>
        <v/>
      </c>
      <c r="BH87" s="91" t="str">
        <f aca="false">IF(ISBLANK($C87),"",IF($BD87&lt;&gt;Constants!$B$6,$BD87,SUM($BF87:$BG87)))</f>
        <v/>
      </c>
      <c r="BI87" s="87" t="str">
        <f aca="false">IF(ISBLANK($C87),"",IF($BD87&lt;&gt;Constants!$B$6,$BD87,RANK($BH87,$BH$9:$BH$508,1)))</f>
        <v/>
      </c>
      <c r="BJ87" s="91" t="str">
        <f aca="false">IF($BD87&lt;&gt;Constants!$B$6,"",IF($AU87="-&gt;",$BB87,$AS87))</f>
        <v/>
      </c>
      <c r="BK87" s="87" t="str">
        <f aca="false">IF(ISBLANK($C87),"",IF($BD87&lt;&gt;Constants!$B$6,$BD87,IF(ISNUMBER($BJ87),RANK($BJ87,$BJ$9:$BJ$508,1),COUNT($BJ$9:$BJ$508)+1)))</f>
        <v/>
      </c>
      <c r="BL87" s="91" t="str">
        <f aca="false">IF($BD87&lt;&gt;Constants!$B$6,"",IF($AU87="-&gt;",$BC87,$AT87))</f>
        <v/>
      </c>
      <c r="BM87" s="87" t="str">
        <f aca="false">IF(ISBLANK($C87),"",IF($BD87&lt;&gt;Constants!$B$6,$BD87,IF(ISNUMBER($BL87),RANK($BL87,$BL$9:$BL$508,1),COUNT($BL$9:$BL$508)+1)))</f>
        <v/>
      </c>
      <c r="BN87" s="91" t="str">
        <f aca="false">IF($BD87&lt;&gt;Constants!$B$6,"",IF($AU87="-&gt;",$AS87,$BB87))</f>
        <v/>
      </c>
      <c r="BO87" s="87" t="str">
        <f aca="false">IF(ISBLANK($C87),"",IF($BD87&lt;&gt;Constants!$B$6,$BD87,IF(ISNUMBER($BN87),RANK($BN87,$BN$9:$BN$508,1),COUNT($BN$9:$BN$508)+1)))</f>
        <v/>
      </c>
      <c r="BP87" s="91" t="str">
        <f aca="false">IF($BD87&lt;&gt;Constants!$B$6,"",IF($AU87="-&gt;",$AT87,$BC87))</f>
        <v/>
      </c>
      <c r="BQ87" s="87" t="str">
        <f aca="false">IF(ISBLANK($C87),"",IF($BD87&lt;&gt;Constants!$B$6,$BD87,IF(ISNUMBER($BP87),RANK($BP87,$BP$9:$BP$508,1),COUNT($BP$9:$BP$508)+1)))</f>
        <v/>
      </c>
      <c r="BR87" s="87" t="str">
        <f aca="false">IF(ISBLANK($C87),"",IF($BD87&lt;&gt;Constants!$B$6,$BD87,COUNTIFS($BI$9:$BI$508,"&lt;"&amp;$BI87)+COUNTIFS($BI$9:$BI$508,$BI87,$BK$9:$BK$508,"&lt;"&amp;$BK87)+COUNTIFS($BI$9:$BI$508,$BI87,$BK$9:$BK$508,$BK87,$BM$9:$BM$508,"&lt;"&amp;$BM87)+COUNTIFS($BI$9:$BI$508,$BI87,$BK$9:$BK$508,$BK87,$BM$9:$BM$508,$BM87,$BO$9:$BO$508,"&lt;"&amp;$BO87)+COUNTIFS($BI$9:$BI$508,$BI87,$BK$9:$BK$508,$BK87,$BM$9:$BM$508,$BM87,$BO$9:$BO$508,$BO87,$BQ$9:$BQ$508,"&lt;"&amp;$BQ87)+1))</f>
        <v/>
      </c>
      <c r="BS87" s="87" t="str">
        <f aca="false">IF(ISBLANK($C87),"",IF($BD87&lt;&gt;Constants!$B$6,$BD87,$BI87-$BR87))</f>
        <v/>
      </c>
      <c r="BT87" s="94"/>
      <c r="BU87" s="95"/>
      <c r="BV87" s="95" t="str">
        <f aca="false">IF(ISBLANK($C87),"",IF($BD87&lt;&gt;Constants!$B$6,"",IF($AU87="-&gt;",2,1)))</f>
        <v/>
      </c>
      <c r="BW87" s="96" t="str">
        <f aca="false">IF(ISBLANK($C87),"",IF($BD87&lt;&gt;Constants!$B$6,"",IF($AU87="-&gt;",$AW87,$AN87)))</f>
        <v/>
      </c>
      <c r="BX87" s="96" t="str">
        <f aca="false">IF(ISBLANK($C87),"",IF($BD87&lt;&gt;Constants!$B$6,"",IF($AU87="-&gt;",$AX87,$AO87)))</f>
        <v/>
      </c>
      <c r="BY87" s="96" t="str">
        <f aca="false">IF(ISBLANK($C87),"",IF($BD87&lt;&gt;Constants!$B$6,"",IF($AU87="-&gt;",$AY87,$AP87)))</f>
        <v/>
      </c>
      <c r="BZ87" s="96" t="str">
        <f aca="false">IF(ISBLANK($C87),"",IF($BD87&lt;&gt;Constants!$B$6,"",IF($AU87="-&gt;",$AZ87,$AQ87)+$BG87))</f>
        <v/>
      </c>
      <c r="CA87" s="97" t="str">
        <f aca="false">IF(ISBLANK($C87),"",IF($BD87&lt;&gt;Constants!$B$6,$BD87,$BH87))</f>
        <v/>
      </c>
      <c r="CB87" s="98" t="str">
        <f aca="false">IF(ISBLANK($C87),"",$BE87)</f>
        <v/>
      </c>
      <c r="CC87" s="99" t="str">
        <f aca="false">IF(ISBLANK($C87),"",$BS87)</f>
        <v/>
      </c>
      <c r="CD87" s="99" t="str">
        <f aca="false">IF(ISBLANK($C87),"",$BR87)</f>
        <v/>
      </c>
      <c r="CE87" s="100" t="str">
        <f aca="false">IF(ISBLANK($C87),"",IF($CD87=Constants!$B$9,COUNTA($C$9:$C$508)+2,IF($CD87=Constants!$B$8,COUNTA($C$9:$C$508)+1,IF($CD87=Constants!$B$7,COUNTA($C$9:$C$508),$CD87))))</f>
        <v/>
      </c>
      <c r="CF87" s="9"/>
      <c r="CG87" s="101" t="n">
        <f aca="false">IF(OR(ISNUMBER($CD87),$CD87=Constants!$B$9,$CD87=Constants!$B$7,$CD87=Constants!$B$8),1,0)</f>
        <v>0</v>
      </c>
      <c r="CH87" s="101" t="n">
        <v>79</v>
      </c>
      <c r="CI87" s="101" t="str">
        <f aca="false">IF(ISBLANK($C87),"",IF(ISNUMBER($CE87),$CE87+ROW($B87)/1000,""))</f>
        <v/>
      </c>
      <c r="CJ87" s="101" t="str">
        <f aca="false">IF(ISNUMBER($CI87),RANK($CI87,$CI$9:$CI$508,1),"")</f>
        <v/>
      </c>
      <c r="CK87" s="101" t="str">
        <f aca="false">IF(ISBLANK($C87),"",$B87)</f>
        <v/>
      </c>
      <c r="CL87" s="101" t="str">
        <f aca="false">IF(ISBLANK($C87),"",$C87)</f>
        <v/>
      </c>
      <c r="CM87" s="101" t="str">
        <f aca="false">IF(ISBLANK($C87),"",$D87)</f>
        <v/>
      </c>
      <c r="CN87" s="102" t="str">
        <f aca="false">$CB87</f>
        <v/>
      </c>
      <c r="CO87" s="103" t="str">
        <f aca="false">$CA87</f>
        <v/>
      </c>
      <c r="CP87" s="101" t="str">
        <f aca="false">IF(ISBLANK($C87),"",$CD87)</f>
        <v/>
      </c>
      <c r="CQ87" s="104" t="str">
        <f aca="false">IF($CH87&gt;$CG$8,"",VLOOKUP($CH87,$CJ$9:$CP$508,7,FALSE()))</f>
        <v/>
      </c>
      <c r="CR87" s="105" t="str">
        <f aca="false">IF($CH87&gt;$CG$8,"",VLOOKUP($CH87,$CJ$9:$CP$508,2,FALSE()))</f>
        <v/>
      </c>
      <c r="CS87" s="105" t="str">
        <f aca="false">IF($CH87&gt;$CG$8,"",VLOOKUP($CH87,$CJ$9:$CP$508,3,FALSE()))</f>
        <v/>
      </c>
      <c r="CT87" s="105" t="str">
        <f aca="false">IF($CH87&gt;$CG$8,"",VLOOKUP($CH87,$CJ$9:$CP$508,4,FALSE()))</f>
        <v/>
      </c>
      <c r="CU87" s="105" t="str">
        <f aca="false">IF($CH87&gt;$CG$8,"",VLOOKUP($CH87,$CJ$9:$CP$508,5,FALSE()))</f>
        <v/>
      </c>
      <c r="CV87" s="106" t="str">
        <f aca="false">IF($CH87&gt;$CG$8,"",VLOOKUP($CH87,$CJ$9:$CP$508,6,FALSE()))</f>
        <v/>
      </c>
      <c r="CW87" s="71"/>
    </row>
    <row r="88" customFormat="false" ht="15.75" hidden="false" customHeight="false" outlineLevel="0" collapsed="false">
      <c r="A88" s="9"/>
      <c r="B88" s="72"/>
      <c r="C88" s="73"/>
      <c r="D88" s="160"/>
      <c r="E88" s="168"/>
      <c r="F88" s="162"/>
      <c r="G88" s="163"/>
      <c r="H88" s="169"/>
      <c r="I88" s="167"/>
      <c r="J88" s="80"/>
      <c r="K88" s="81"/>
      <c r="L88" s="82"/>
      <c r="M88" s="166"/>
      <c r="N88" s="167"/>
      <c r="O88" s="167"/>
      <c r="P88" s="80"/>
      <c r="Q88" s="82"/>
      <c r="R88" s="82"/>
      <c r="S88" s="166"/>
      <c r="T88" s="167"/>
      <c r="U88" s="86"/>
      <c r="V88" s="87"/>
      <c r="W88" s="87" t="str">
        <f aca="false">IF(ISBLANK($C88),"",IF(E88=Constants!$B$2,TRUE(),IF(E88=Constants!$B$3,FALSE(),TRUE())))</f>
        <v/>
      </c>
      <c r="X88" s="87" t="str">
        <f aca="false">IF(ISBLANK($C88),"",IF(F88=Constants!$B$2,TRUE(),IF(F88=Constants!$B$3,FALSE(),TRUE())))</f>
        <v/>
      </c>
      <c r="Y88" s="87" t="str">
        <f aca="false">IF(ISBLANK($C88),"",IF(G88=Constants!$B$2,TRUE(),IF(G88=Constants!$B$3,FALSE(),TRUE())))</f>
        <v/>
      </c>
      <c r="Z88" s="87" t="str">
        <f aca="false">IF(ISBLANK($C88),"",IF(H88=Constants!$B$2,TRUE(),IF(H88=Constants!$B$3,FALSE(),TRUE())))</f>
        <v/>
      </c>
      <c r="AA88" s="87" t="str">
        <f aca="false">IF(ISBLANK($C88),"",IF(I88=Constants!$B$2,TRUE(),IF(I88=Constants!$B$3,FALSE(),TRUE())))</f>
        <v/>
      </c>
      <c r="AB88" s="87" t="str">
        <f aca="false">IF(ISBLANK($C88),"",IF(J88=Constants!$B$4,TRUE(),IF(J88=Constants!$B$5,FALSE(),COUNTA(K88:M88)&gt;0)))</f>
        <v/>
      </c>
      <c r="AC88" s="88" t="str">
        <f aca="false">IF(ISBLANK($C88),"",IF(ISNUMBER(K88),IF(K88&gt;=0,K88,""),""))</f>
        <v/>
      </c>
      <c r="AD88" s="89" t="str">
        <f aca="false">IF(ISBLANK($C88),"",IF(ISNUMBER(L88),IF(L88&gt;=0,L88,""),""))</f>
        <v/>
      </c>
      <c r="AE88" s="87" t="str">
        <f aca="false">IF(ISBLANK($C88),"",IF(ISNUMBER(M88),IF(M88&gt;=0,MIN(M88,Constants!$B$22),""),""))</f>
        <v/>
      </c>
      <c r="AF88" s="87" t="str">
        <f aca="false">IF(ISBLANK($C88),"",IF(N88=Constants!$B$2,TRUE(),IF(N88=Constants!$B$3,FALSE(),TRUE())))</f>
        <v/>
      </c>
      <c r="AG88" s="87" t="str">
        <f aca="false">IF(ISBLANK($C88),"",IF(O88=Constants!$B$2,TRUE(),IF(O88=Constants!$B$3,FALSE(),TRUE())))</f>
        <v/>
      </c>
      <c r="AH88" s="87" t="str">
        <f aca="false">IF(ISBLANK($C88),"",IF(P88=Constants!$B$4,TRUE(),IF(P88=Constants!$B$5,FALSE(),COUNTA(Q88:S88)&gt;0)))</f>
        <v/>
      </c>
      <c r="AI88" s="88" t="str">
        <f aca="false">IF(ISBLANK($C88),"",IF(ISNUMBER(Q88),IF(Q88&gt;=0,Q88,""),""))</f>
        <v/>
      </c>
      <c r="AJ88" s="89" t="str">
        <f aca="false">IF(ISBLANK($C88),"",IF(ISNUMBER(R88),IF(R88&gt;=0,R88,""),""))</f>
        <v/>
      </c>
      <c r="AK88" s="87" t="str">
        <f aca="false">IF(ISBLANK($C88),"",IF(ISNUMBER(S88),IF(S88&gt;=0,MIN(S88,Constants!$B$22),""),""))</f>
        <v/>
      </c>
      <c r="AL88" s="87" t="str">
        <f aca="false">IF(ISBLANK($C88),"",IF(T88=Constants!$B$2,TRUE(),IF(T88=Constants!$B$3,FALSE(),FALSE())))</f>
        <v/>
      </c>
      <c r="AM88" s="86" t="str">
        <f aca="false">IF(ISBLANK($C88),"",AND($AB88,OR($AC88="",$AD88="",AND(NOT(ISBLANK($M88)),$AE88=""))))</f>
        <v/>
      </c>
      <c r="AN88" s="89" t="str">
        <f aca="false">IF($BD88&lt;&gt;Constants!$B$6,"",IF($AB88,Constants!$B$17*$AD88,Constants!$B$18))</f>
        <v/>
      </c>
      <c r="AO88" s="91" t="str">
        <f aca="false">IF($BD88&lt;&gt;Constants!$B$6,"",Constants!$B$19*IF($AB88,$AC88,0))</f>
        <v/>
      </c>
      <c r="AP88" s="91" t="str">
        <f aca="false">IF($BD88&lt;&gt;Constants!$B$6,"",IF(AND($AB88,ISNUMBER($AE88)),Constants!$B$20*(Constants!$B$21-$AE88),0))</f>
        <v/>
      </c>
      <c r="AQ88" s="91" t="str">
        <f aca="false">IF($BD88&lt;&gt;Constants!$B$6,"",IF($AA88,0,Constants!$B$12)+IF($Z88,0,Constants!$B$13)+IF($Y88,0,Constants!$B$14))</f>
        <v/>
      </c>
      <c r="AR88" s="92" t="str">
        <f aca="false">IF($BD88&lt;&gt;Constants!$B$6,"",Constants!$B$16+SUM($AN88:$AQ88))</f>
        <v/>
      </c>
      <c r="AS88" s="91" t="str">
        <f aca="false">IF($BD88&lt;&gt;Constants!$B$6,"",IF($AB88,$AD88,""))</f>
        <v/>
      </c>
      <c r="AT88" s="93" t="str">
        <f aca="false">IF($BD88&lt;&gt;Constants!$B$6,"",$AO88)</f>
        <v/>
      </c>
      <c r="AU88" s="87" t="str">
        <f aca="false">IF($BD88&lt;&gt;Constants!$B$6,"",IF(OR($BA88&lt;$AR88,AND($BA88=$AR88,OR(AND(ISNUMBER($BB88),OR(NOT(ISNUMBER($AS88)),$BB88&lt;$AS88)),AND(OR(AND($BB88="",$AS88=""),AND(ISNUMBER($BB88),ISNUMBER($AS88),$BB88=$AS88)),$BC88&lt;$AT88)))),"-&gt;","&lt;-"))</f>
        <v/>
      </c>
      <c r="AV88" s="86" t="str">
        <f aca="false">IF(ISBLANK($C88),"",AND($AH88,OR($AI88="",$AJ88="",AND(NOT(ISBLANK($S88)),$AK88=""))))</f>
        <v/>
      </c>
      <c r="AW88" s="89" t="str">
        <f aca="false">IF($BD88&lt;&gt;Constants!$B$6,"",IF($AH88,Constants!$B$17*$AJ88,Constants!$B$18))</f>
        <v/>
      </c>
      <c r="AX88" s="91" t="str">
        <f aca="false">IF($BD88&lt;&gt;Constants!$B$6,"",Constants!$B$19*IF($AH88,$AI88,0))</f>
        <v/>
      </c>
      <c r="AY88" s="91" t="str">
        <f aca="false">IF($BD88&lt;&gt;Constants!$B$6,"",IF(AND($AH88,ISNUMBER($AK88)),Constants!$B$20*(Constants!$B$21-$AK88),0))</f>
        <v/>
      </c>
      <c r="AZ88" s="91" t="str">
        <f aca="false">IF($BD88&lt;&gt;Constants!$B$6,"",IF($AG88,0,Constants!$B$12)+IF($AF88,0,Constants!$B$13)+IF($Y88,0,Constants!$B$14))</f>
        <v/>
      </c>
      <c r="BA88" s="92" t="str">
        <f aca="false">IF($BD88&lt;&gt;Constants!$B$6,"",Constants!$B$16+SUM($AW88:$AZ88))</f>
        <v/>
      </c>
      <c r="BB88" s="91" t="str">
        <f aca="false">IF($BD88&lt;&gt;Constants!$B$6,"",IF($AH88,$AJ88,""))</f>
        <v/>
      </c>
      <c r="BC88" s="93" t="str">
        <f aca="false">IF($BD88&lt;&gt;Constants!$B$6,"",$AX88)</f>
        <v/>
      </c>
      <c r="BD88" s="87" t="str">
        <f aca="false">IF(ISBLANK($C88),"",IF($AL88,Constants!$B$9,IF(COUNTA($E88:$T88)=0,Constants!$B$8,IF(NOT($X88),Constants!$B$7,IF(OR($AM88,$AV88),Constants!$B$10,Constants!$B$6)))))</f>
        <v/>
      </c>
      <c r="BE88" s="87" t="str">
        <f aca="false">IF(ISBLANK($C88),"",IF($BD88&lt;&gt;Constants!$B$6,$BD88,Constants!$B$11))</f>
        <v/>
      </c>
      <c r="BF88" s="91" t="str">
        <f aca="false">IF($BD88&lt;&gt;Constants!$B$6,"",IF($AU88="-&gt;",$BA88,$AR88))</f>
        <v/>
      </c>
      <c r="BG88" s="91" t="str">
        <f aca="false">IF($BD88&lt;&gt;Constants!$B$6,"",IF($W88,0,Constants!$B$15))</f>
        <v/>
      </c>
      <c r="BH88" s="91" t="str">
        <f aca="false">IF(ISBLANK($C88),"",IF($BD88&lt;&gt;Constants!$B$6,$BD88,SUM($BF88:$BG88)))</f>
        <v/>
      </c>
      <c r="BI88" s="87" t="str">
        <f aca="false">IF(ISBLANK($C88),"",IF($BD88&lt;&gt;Constants!$B$6,$BD88,RANK($BH88,$BH$9:$BH$508,1)))</f>
        <v/>
      </c>
      <c r="BJ88" s="91" t="str">
        <f aca="false">IF($BD88&lt;&gt;Constants!$B$6,"",IF($AU88="-&gt;",$BB88,$AS88))</f>
        <v/>
      </c>
      <c r="BK88" s="87" t="str">
        <f aca="false">IF(ISBLANK($C88),"",IF($BD88&lt;&gt;Constants!$B$6,$BD88,IF(ISNUMBER($BJ88),RANK($BJ88,$BJ$9:$BJ$508,1),COUNT($BJ$9:$BJ$508)+1)))</f>
        <v/>
      </c>
      <c r="BL88" s="91" t="str">
        <f aca="false">IF($BD88&lt;&gt;Constants!$B$6,"",IF($AU88="-&gt;",$BC88,$AT88))</f>
        <v/>
      </c>
      <c r="BM88" s="87" t="str">
        <f aca="false">IF(ISBLANK($C88),"",IF($BD88&lt;&gt;Constants!$B$6,$BD88,IF(ISNUMBER($BL88),RANK($BL88,$BL$9:$BL$508,1),COUNT($BL$9:$BL$508)+1)))</f>
        <v/>
      </c>
      <c r="BN88" s="91" t="str">
        <f aca="false">IF($BD88&lt;&gt;Constants!$B$6,"",IF($AU88="-&gt;",$AS88,$BB88))</f>
        <v/>
      </c>
      <c r="BO88" s="87" t="str">
        <f aca="false">IF(ISBLANK($C88),"",IF($BD88&lt;&gt;Constants!$B$6,$BD88,IF(ISNUMBER($BN88),RANK($BN88,$BN$9:$BN$508,1),COUNT($BN$9:$BN$508)+1)))</f>
        <v/>
      </c>
      <c r="BP88" s="91" t="str">
        <f aca="false">IF($BD88&lt;&gt;Constants!$B$6,"",IF($AU88="-&gt;",$AT88,$BC88))</f>
        <v/>
      </c>
      <c r="BQ88" s="87" t="str">
        <f aca="false">IF(ISBLANK($C88),"",IF($BD88&lt;&gt;Constants!$B$6,$BD88,IF(ISNUMBER($BP88),RANK($BP88,$BP$9:$BP$508,1),COUNT($BP$9:$BP$508)+1)))</f>
        <v/>
      </c>
      <c r="BR88" s="87" t="str">
        <f aca="false">IF(ISBLANK($C88),"",IF($BD88&lt;&gt;Constants!$B$6,$BD88,COUNTIFS($BI$9:$BI$508,"&lt;"&amp;$BI88)+COUNTIFS($BI$9:$BI$508,$BI88,$BK$9:$BK$508,"&lt;"&amp;$BK88)+COUNTIFS($BI$9:$BI$508,$BI88,$BK$9:$BK$508,$BK88,$BM$9:$BM$508,"&lt;"&amp;$BM88)+COUNTIFS($BI$9:$BI$508,$BI88,$BK$9:$BK$508,$BK88,$BM$9:$BM$508,$BM88,$BO$9:$BO$508,"&lt;"&amp;$BO88)+COUNTIFS($BI$9:$BI$508,$BI88,$BK$9:$BK$508,$BK88,$BM$9:$BM$508,$BM88,$BO$9:$BO$508,$BO88,$BQ$9:$BQ$508,"&lt;"&amp;$BQ88)+1))</f>
        <v/>
      </c>
      <c r="BS88" s="87" t="str">
        <f aca="false">IF(ISBLANK($C88),"",IF($BD88&lt;&gt;Constants!$B$6,$BD88,$BI88-$BR88))</f>
        <v/>
      </c>
      <c r="BT88" s="94"/>
      <c r="BU88" s="95"/>
      <c r="BV88" s="95" t="str">
        <f aca="false">IF(ISBLANK($C88),"",IF($BD88&lt;&gt;Constants!$B$6,"",IF($AU88="-&gt;",2,1)))</f>
        <v/>
      </c>
      <c r="BW88" s="96" t="str">
        <f aca="false">IF(ISBLANK($C88),"",IF($BD88&lt;&gt;Constants!$B$6,"",IF($AU88="-&gt;",$AW88,$AN88)))</f>
        <v/>
      </c>
      <c r="BX88" s="96" t="str">
        <f aca="false">IF(ISBLANK($C88),"",IF($BD88&lt;&gt;Constants!$B$6,"",IF($AU88="-&gt;",$AX88,$AO88)))</f>
        <v/>
      </c>
      <c r="BY88" s="96" t="str">
        <f aca="false">IF(ISBLANK($C88),"",IF($BD88&lt;&gt;Constants!$B$6,"",IF($AU88="-&gt;",$AY88,$AP88)))</f>
        <v/>
      </c>
      <c r="BZ88" s="96" t="str">
        <f aca="false">IF(ISBLANK($C88),"",IF($BD88&lt;&gt;Constants!$B$6,"",IF($AU88="-&gt;",$AZ88,$AQ88)+$BG88))</f>
        <v/>
      </c>
      <c r="CA88" s="97" t="str">
        <f aca="false">IF(ISBLANK($C88),"",IF($BD88&lt;&gt;Constants!$B$6,$BD88,$BH88))</f>
        <v/>
      </c>
      <c r="CB88" s="98" t="str">
        <f aca="false">IF(ISBLANK($C88),"",$BE88)</f>
        <v/>
      </c>
      <c r="CC88" s="99" t="str">
        <f aca="false">IF(ISBLANK($C88),"",$BS88)</f>
        <v/>
      </c>
      <c r="CD88" s="99" t="str">
        <f aca="false">IF(ISBLANK($C88),"",$BR88)</f>
        <v/>
      </c>
      <c r="CE88" s="100" t="str">
        <f aca="false">IF(ISBLANK($C88),"",IF($CD88=Constants!$B$9,COUNTA($C$9:$C$508)+2,IF($CD88=Constants!$B$8,COUNTA($C$9:$C$508)+1,IF($CD88=Constants!$B$7,COUNTA($C$9:$C$508),$CD88))))</f>
        <v/>
      </c>
      <c r="CF88" s="9"/>
      <c r="CG88" s="101" t="n">
        <f aca="false">IF(OR(ISNUMBER($CD88),$CD88=Constants!$B$9,$CD88=Constants!$B$7,$CD88=Constants!$B$8),1,0)</f>
        <v>0</v>
      </c>
      <c r="CH88" s="101" t="n">
        <v>80</v>
      </c>
      <c r="CI88" s="101" t="str">
        <f aca="false">IF(ISBLANK($C88),"",IF(ISNUMBER($CE88),$CE88+ROW($B88)/1000,""))</f>
        <v/>
      </c>
      <c r="CJ88" s="101" t="str">
        <f aca="false">IF(ISNUMBER($CI88),RANK($CI88,$CI$9:$CI$508,1),"")</f>
        <v/>
      </c>
      <c r="CK88" s="101" t="str">
        <f aca="false">IF(ISBLANK($C88),"",$B88)</f>
        <v/>
      </c>
      <c r="CL88" s="101" t="str">
        <f aca="false">IF(ISBLANK($C88),"",$C88)</f>
        <v/>
      </c>
      <c r="CM88" s="101" t="str">
        <f aca="false">IF(ISBLANK($C88),"",$D88)</f>
        <v/>
      </c>
      <c r="CN88" s="102" t="str">
        <f aca="false">$CB88</f>
        <v/>
      </c>
      <c r="CO88" s="103" t="str">
        <f aca="false">$CA88</f>
        <v/>
      </c>
      <c r="CP88" s="101" t="str">
        <f aca="false">IF(ISBLANK($C88),"",$CD88)</f>
        <v/>
      </c>
      <c r="CQ88" s="104" t="str">
        <f aca="false">IF($CH88&gt;$CG$8,"",VLOOKUP($CH88,$CJ$9:$CP$508,7,FALSE()))</f>
        <v/>
      </c>
      <c r="CR88" s="105" t="str">
        <f aca="false">IF($CH88&gt;$CG$8,"",VLOOKUP($CH88,$CJ$9:$CP$508,2,FALSE()))</f>
        <v/>
      </c>
      <c r="CS88" s="105" t="str">
        <f aca="false">IF($CH88&gt;$CG$8,"",VLOOKUP($CH88,$CJ$9:$CP$508,3,FALSE()))</f>
        <v/>
      </c>
      <c r="CT88" s="105" t="str">
        <f aca="false">IF($CH88&gt;$CG$8,"",VLOOKUP($CH88,$CJ$9:$CP$508,4,FALSE()))</f>
        <v/>
      </c>
      <c r="CU88" s="105" t="str">
        <f aca="false">IF($CH88&gt;$CG$8,"",VLOOKUP($CH88,$CJ$9:$CP$508,5,FALSE()))</f>
        <v/>
      </c>
      <c r="CV88" s="106" t="str">
        <f aca="false">IF($CH88&gt;$CG$8,"",VLOOKUP($CH88,$CJ$9:$CP$508,6,FALSE()))</f>
        <v/>
      </c>
      <c r="CW88" s="71"/>
    </row>
    <row r="89" customFormat="false" ht="15.75" hidden="false" customHeight="false" outlineLevel="0" collapsed="false">
      <c r="A89" s="9"/>
      <c r="B89" s="72"/>
      <c r="C89" s="73"/>
      <c r="D89" s="160"/>
      <c r="E89" s="168"/>
      <c r="F89" s="162"/>
      <c r="G89" s="163"/>
      <c r="H89" s="169"/>
      <c r="I89" s="167"/>
      <c r="J89" s="80"/>
      <c r="K89" s="81"/>
      <c r="L89" s="82"/>
      <c r="M89" s="166"/>
      <c r="N89" s="167"/>
      <c r="O89" s="167"/>
      <c r="P89" s="80"/>
      <c r="Q89" s="82"/>
      <c r="R89" s="82"/>
      <c r="S89" s="166"/>
      <c r="T89" s="167"/>
      <c r="U89" s="86"/>
      <c r="V89" s="87"/>
      <c r="W89" s="87" t="str">
        <f aca="false">IF(ISBLANK($C89),"",IF(E89=Constants!$B$2,TRUE(),IF(E89=Constants!$B$3,FALSE(),TRUE())))</f>
        <v/>
      </c>
      <c r="X89" s="87" t="str">
        <f aca="false">IF(ISBLANK($C89),"",IF(F89=Constants!$B$2,TRUE(),IF(F89=Constants!$B$3,FALSE(),TRUE())))</f>
        <v/>
      </c>
      <c r="Y89" s="87" t="str">
        <f aca="false">IF(ISBLANK($C89),"",IF(G89=Constants!$B$2,TRUE(),IF(G89=Constants!$B$3,FALSE(),TRUE())))</f>
        <v/>
      </c>
      <c r="Z89" s="87" t="str">
        <f aca="false">IF(ISBLANK($C89),"",IF(H89=Constants!$B$2,TRUE(),IF(H89=Constants!$B$3,FALSE(),TRUE())))</f>
        <v/>
      </c>
      <c r="AA89" s="87" t="str">
        <f aca="false">IF(ISBLANK($C89),"",IF(I89=Constants!$B$2,TRUE(),IF(I89=Constants!$B$3,FALSE(),TRUE())))</f>
        <v/>
      </c>
      <c r="AB89" s="87" t="str">
        <f aca="false">IF(ISBLANK($C89),"",IF(J89=Constants!$B$4,TRUE(),IF(J89=Constants!$B$5,FALSE(),COUNTA(K89:M89)&gt;0)))</f>
        <v/>
      </c>
      <c r="AC89" s="88" t="str">
        <f aca="false">IF(ISBLANK($C89),"",IF(ISNUMBER(K89),IF(K89&gt;=0,K89,""),""))</f>
        <v/>
      </c>
      <c r="AD89" s="89" t="str">
        <f aca="false">IF(ISBLANK($C89),"",IF(ISNUMBER(L89),IF(L89&gt;=0,L89,""),""))</f>
        <v/>
      </c>
      <c r="AE89" s="87" t="str">
        <f aca="false">IF(ISBLANK($C89),"",IF(ISNUMBER(M89),IF(M89&gt;=0,MIN(M89,Constants!$B$22),""),""))</f>
        <v/>
      </c>
      <c r="AF89" s="87" t="str">
        <f aca="false">IF(ISBLANK($C89),"",IF(N89=Constants!$B$2,TRUE(),IF(N89=Constants!$B$3,FALSE(),TRUE())))</f>
        <v/>
      </c>
      <c r="AG89" s="87" t="str">
        <f aca="false">IF(ISBLANK($C89),"",IF(O89=Constants!$B$2,TRUE(),IF(O89=Constants!$B$3,FALSE(),TRUE())))</f>
        <v/>
      </c>
      <c r="AH89" s="87" t="str">
        <f aca="false">IF(ISBLANK($C89),"",IF(P89=Constants!$B$4,TRUE(),IF(P89=Constants!$B$5,FALSE(),COUNTA(Q89:S89)&gt;0)))</f>
        <v/>
      </c>
      <c r="AI89" s="88" t="str">
        <f aca="false">IF(ISBLANK($C89),"",IF(ISNUMBER(Q89),IF(Q89&gt;=0,Q89,""),""))</f>
        <v/>
      </c>
      <c r="AJ89" s="89" t="str">
        <f aca="false">IF(ISBLANK($C89),"",IF(ISNUMBER(R89),IF(R89&gt;=0,R89,""),""))</f>
        <v/>
      </c>
      <c r="AK89" s="87" t="str">
        <f aca="false">IF(ISBLANK($C89),"",IF(ISNUMBER(S89),IF(S89&gt;=0,MIN(S89,Constants!$B$22),""),""))</f>
        <v/>
      </c>
      <c r="AL89" s="87" t="str">
        <f aca="false">IF(ISBLANK($C89),"",IF(T89=Constants!$B$2,TRUE(),IF(T89=Constants!$B$3,FALSE(),FALSE())))</f>
        <v/>
      </c>
      <c r="AM89" s="86" t="str">
        <f aca="false">IF(ISBLANK($C89),"",AND($AB89,OR($AC89="",$AD89="",AND(NOT(ISBLANK($M89)),$AE89=""))))</f>
        <v/>
      </c>
      <c r="AN89" s="89" t="str">
        <f aca="false">IF($BD89&lt;&gt;Constants!$B$6,"",IF($AB89,Constants!$B$17*$AD89,Constants!$B$18))</f>
        <v/>
      </c>
      <c r="AO89" s="91" t="str">
        <f aca="false">IF($BD89&lt;&gt;Constants!$B$6,"",Constants!$B$19*IF($AB89,$AC89,0))</f>
        <v/>
      </c>
      <c r="AP89" s="91" t="str">
        <f aca="false">IF($BD89&lt;&gt;Constants!$B$6,"",IF(AND($AB89,ISNUMBER($AE89)),Constants!$B$20*(Constants!$B$21-$AE89),0))</f>
        <v/>
      </c>
      <c r="AQ89" s="91" t="str">
        <f aca="false">IF($BD89&lt;&gt;Constants!$B$6,"",IF($AA89,0,Constants!$B$12)+IF($Z89,0,Constants!$B$13)+IF($Y89,0,Constants!$B$14))</f>
        <v/>
      </c>
      <c r="AR89" s="92" t="str">
        <f aca="false">IF($BD89&lt;&gt;Constants!$B$6,"",Constants!$B$16+SUM($AN89:$AQ89))</f>
        <v/>
      </c>
      <c r="AS89" s="91" t="str">
        <f aca="false">IF($BD89&lt;&gt;Constants!$B$6,"",IF($AB89,$AD89,""))</f>
        <v/>
      </c>
      <c r="AT89" s="93" t="str">
        <f aca="false">IF($BD89&lt;&gt;Constants!$B$6,"",$AO89)</f>
        <v/>
      </c>
      <c r="AU89" s="87" t="str">
        <f aca="false">IF($BD89&lt;&gt;Constants!$B$6,"",IF(OR($BA89&lt;$AR89,AND($BA89=$AR89,OR(AND(ISNUMBER($BB89),OR(NOT(ISNUMBER($AS89)),$BB89&lt;$AS89)),AND(OR(AND($BB89="",$AS89=""),AND(ISNUMBER($BB89),ISNUMBER($AS89),$BB89=$AS89)),$BC89&lt;$AT89)))),"-&gt;","&lt;-"))</f>
        <v/>
      </c>
      <c r="AV89" s="86" t="str">
        <f aca="false">IF(ISBLANK($C89),"",AND($AH89,OR($AI89="",$AJ89="",AND(NOT(ISBLANK($S89)),$AK89=""))))</f>
        <v/>
      </c>
      <c r="AW89" s="89" t="str">
        <f aca="false">IF($BD89&lt;&gt;Constants!$B$6,"",IF($AH89,Constants!$B$17*$AJ89,Constants!$B$18))</f>
        <v/>
      </c>
      <c r="AX89" s="91" t="str">
        <f aca="false">IF($BD89&lt;&gt;Constants!$B$6,"",Constants!$B$19*IF($AH89,$AI89,0))</f>
        <v/>
      </c>
      <c r="AY89" s="91" t="str">
        <f aca="false">IF($BD89&lt;&gt;Constants!$B$6,"",IF(AND($AH89,ISNUMBER($AK89)),Constants!$B$20*(Constants!$B$21-$AK89),0))</f>
        <v/>
      </c>
      <c r="AZ89" s="91" t="str">
        <f aca="false">IF($BD89&lt;&gt;Constants!$B$6,"",IF($AG89,0,Constants!$B$12)+IF($AF89,0,Constants!$B$13)+IF($Y89,0,Constants!$B$14))</f>
        <v/>
      </c>
      <c r="BA89" s="92" t="str">
        <f aca="false">IF($BD89&lt;&gt;Constants!$B$6,"",Constants!$B$16+SUM($AW89:$AZ89))</f>
        <v/>
      </c>
      <c r="BB89" s="91" t="str">
        <f aca="false">IF($BD89&lt;&gt;Constants!$B$6,"",IF($AH89,$AJ89,""))</f>
        <v/>
      </c>
      <c r="BC89" s="93" t="str">
        <f aca="false">IF($BD89&lt;&gt;Constants!$B$6,"",$AX89)</f>
        <v/>
      </c>
      <c r="BD89" s="87" t="str">
        <f aca="false">IF(ISBLANK($C89),"",IF($AL89,Constants!$B$9,IF(COUNTA($E89:$T89)=0,Constants!$B$8,IF(NOT($X89),Constants!$B$7,IF(OR($AM89,$AV89),Constants!$B$10,Constants!$B$6)))))</f>
        <v/>
      </c>
      <c r="BE89" s="87" t="str">
        <f aca="false">IF(ISBLANK($C89),"",IF($BD89&lt;&gt;Constants!$B$6,$BD89,Constants!$B$11))</f>
        <v/>
      </c>
      <c r="BF89" s="91" t="str">
        <f aca="false">IF($BD89&lt;&gt;Constants!$B$6,"",IF($AU89="-&gt;",$BA89,$AR89))</f>
        <v/>
      </c>
      <c r="BG89" s="91" t="str">
        <f aca="false">IF($BD89&lt;&gt;Constants!$B$6,"",IF($W89,0,Constants!$B$15))</f>
        <v/>
      </c>
      <c r="BH89" s="91" t="str">
        <f aca="false">IF(ISBLANK($C89),"",IF($BD89&lt;&gt;Constants!$B$6,$BD89,SUM($BF89:$BG89)))</f>
        <v/>
      </c>
      <c r="BI89" s="87" t="str">
        <f aca="false">IF(ISBLANK($C89),"",IF($BD89&lt;&gt;Constants!$B$6,$BD89,RANK($BH89,$BH$9:$BH$508,1)))</f>
        <v/>
      </c>
      <c r="BJ89" s="91" t="str">
        <f aca="false">IF($BD89&lt;&gt;Constants!$B$6,"",IF($AU89="-&gt;",$BB89,$AS89))</f>
        <v/>
      </c>
      <c r="BK89" s="87" t="str">
        <f aca="false">IF(ISBLANK($C89),"",IF($BD89&lt;&gt;Constants!$B$6,$BD89,IF(ISNUMBER($BJ89),RANK($BJ89,$BJ$9:$BJ$508,1),COUNT($BJ$9:$BJ$508)+1)))</f>
        <v/>
      </c>
      <c r="BL89" s="91" t="str">
        <f aca="false">IF($BD89&lt;&gt;Constants!$B$6,"",IF($AU89="-&gt;",$BC89,$AT89))</f>
        <v/>
      </c>
      <c r="BM89" s="87" t="str">
        <f aca="false">IF(ISBLANK($C89),"",IF($BD89&lt;&gt;Constants!$B$6,$BD89,IF(ISNUMBER($BL89),RANK($BL89,$BL$9:$BL$508,1),COUNT($BL$9:$BL$508)+1)))</f>
        <v/>
      </c>
      <c r="BN89" s="91" t="str">
        <f aca="false">IF($BD89&lt;&gt;Constants!$B$6,"",IF($AU89="-&gt;",$AS89,$BB89))</f>
        <v/>
      </c>
      <c r="BO89" s="87" t="str">
        <f aca="false">IF(ISBLANK($C89),"",IF($BD89&lt;&gt;Constants!$B$6,$BD89,IF(ISNUMBER($BN89),RANK($BN89,$BN$9:$BN$508,1),COUNT($BN$9:$BN$508)+1)))</f>
        <v/>
      </c>
      <c r="BP89" s="91" t="str">
        <f aca="false">IF($BD89&lt;&gt;Constants!$B$6,"",IF($AU89="-&gt;",$AT89,$BC89))</f>
        <v/>
      </c>
      <c r="BQ89" s="87" t="str">
        <f aca="false">IF(ISBLANK($C89),"",IF($BD89&lt;&gt;Constants!$B$6,$BD89,IF(ISNUMBER($BP89),RANK($BP89,$BP$9:$BP$508,1),COUNT($BP$9:$BP$508)+1)))</f>
        <v/>
      </c>
      <c r="BR89" s="87" t="str">
        <f aca="false">IF(ISBLANK($C89),"",IF($BD89&lt;&gt;Constants!$B$6,$BD89,COUNTIFS($BI$9:$BI$508,"&lt;"&amp;$BI89)+COUNTIFS($BI$9:$BI$508,$BI89,$BK$9:$BK$508,"&lt;"&amp;$BK89)+COUNTIFS($BI$9:$BI$508,$BI89,$BK$9:$BK$508,$BK89,$BM$9:$BM$508,"&lt;"&amp;$BM89)+COUNTIFS($BI$9:$BI$508,$BI89,$BK$9:$BK$508,$BK89,$BM$9:$BM$508,$BM89,$BO$9:$BO$508,"&lt;"&amp;$BO89)+COUNTIFS($BI$9:$BI$508,$BI89,$BK$9:$BK$508,$BK89,$BM$9:$BM$508,$BM89,$BO$9:$BO$508,$BO89,$BQ$9:$BQ$508,"&lt;"&amp;$BQ89)+1))</f>
        <v/>
      </c>
      <c r="BS89" s="87" t="str">
        <f aca="false">IF(ISBLANK($C89),"",IF($BD89&lt;&gt;Constants!$B$6,$BD89,$BI89-$BR89))</f>
        <v/>
      </c>
      <c r="BT89" s="94"/>
      <c r="BU89" s="95"/>
      <c r="BV89" s="95" t="str">
        <f aca="false">IF(ISBLANK($C89),"",IF($BD89&lt;&gt;Constants!$B$6,"",IF($AU89="-&gt;",2,1)))</f>
        <v/>
      </c>
      <c r="BW89" s="96" t="str">
        <f aca="false">IF(ISBLANK($C89),"",IF($BD89&lt;&gt;Constants!$B$6,"",IF($AU89="-&gt;",$AW89,$AN89)))</f>
        <v/>
      </c>
      <c r="BX89" s="96" t="str">
        <f aca="false">IF(ISBLANK($C89),"",IF($BD89&lt;&gt;Constants!$B$6,"",IF($AU89="-&gt;",$AX89,$AO89)))</f>
        <v/>
      </c>
      <c r="BY89" s="96" t="str">
        <f aca="false">IF(ISBLANK($C89),"",IF($BD89&lt;&gt;Constants!$B$6,"",IF($AU89="-&gt;",$AY89,$AP89)))</f>
        <v/>
      </c>
      <c r="BZ89" s="96" t="str">
        <f aca="false">IF(ISBLANK($C89),"",IF($BD89&lt;&gt;Constants!$B$6,"",IF($AU89="-&gt;",$AZ89,$AQ89)+$BG89))</f>
        <v/>
      </c>
      <c r="CA89" s="97" t="str">
        <f aca="false">IF(ISBLANK($C89),"",IF($BD89&lt;&gt;Constants!$B$6,$BD89,$BH89))</f>
        <v/>
      </c>
      <c r="CB89" s="98" t="str">
        <f aca="false">IF(ISBLANK($C89),"",$BE89)</f>
        <v/>
      </c>
      <c r="CC89" s="99" t="str">
        <f aca="false">IF(ISBLANK($C89),"",$BS89)</f>
        <v/>
      </c>
      <c r="CD89" s="99" t="str">
        <f aca="false">IF(ISBLANK($C89),"",$BR89)</f>
        <v/>
      </c>
      <c r="CE89" s="100" t="str">
        <f aca="false">IF(ISBLANK($C89),"",IF($CD89=Constants!$B$9,COUNTA($C$9:$C$508)+2,IF($CD89=Constants!$B$8,COUNTA($C$9:$C$508)+1,IF($CD89=Constants!$B$7,COUNTA($C$9:$C$508),$CD89))))</f>
        <v/>
      </c>
      <c r="CF89" s="9"/>
      <c r="CG89" s="101" t="n">
        <f aca="false">IF(OR(ISNUMBER($CD89),$CD89=Constants!$B$9,$CD89=Constants!$B$7,$CD89=Constants!$B$8),1,0)</f>
        <v>0</v>
      </c>
      <c r="CH89" s="101" t="n">
        <v>81</v>
      </c>
      <c r="CI89" s="101" t="str">
        <f aca="false">IF(ISBLANK($C89),"",IF(ISNUMBER($CE89),$CE89+ROW($B89)/1000,""))</f>
        <v/>
      </c>
      <c r="CJ89" s="101" t="str">
        <f aca="false">IF(ISNUMBER($CI89),RANK($CI89,$CI$9:$CI$508,1),"")</f>
        <v/>
      </c>
      <c r="CK89" s="101" t="str">
        <f aca="false">IF(ISBLANK($C89),"",$B89)</f>
        <v/>
      </c>
      <c r="CL89" s="101" t="str">
        <f aca="false">IF(ISBLANK($C89),"",$C89)</f>
        <v/>
      </c>
      <c r="CM89" s="101" t="str">
        <f aca="false">IF(ISBLANK($C89),"",$D89)</f>
        <v/>
      </c>
      <c r="CN89" s="102" t="str">
        <f aca="false">$CB89</f>
        <v/>
      </c>
      <c r="CO89" s="103" t="str">
        <f aca="false">$CA89</f>
        <v/>
      </c>
      <c r="CP89" s="101" t="str">
        <f aca="false">IF(ISBLANK($C89),"",$CD89)</f>
        <v/>
      </c>
      <c r="CQ89" s="104" t="str">
        <f aca="false">IF($CH89&gt;$CG$8,"",VLOOKUP($CH89,$CJ$9:$CP$508,7,FALSE()))</f>
        <v/>
      </c>
      <c r="CR89" s="105" t="str">
        <f aca="false">IF($CH89&gt;$CG$8,"",VLOOKUP($CH89,$CJ$9:$CP$508,2,FALSE()))</f>
        <v/>
      </c>
      <c r="CS89" s="105" t="str">
        <f aca="false">IF($CH89&gt;$CG$8,"",VLOOKUP($CH89,$CJ$9:$CP$508,3,FALSE()))</f>
        <v/>
      </c>
      <c r="CT89" s="105" t="str">
        <f aca="false">IF($CH89&gt;$CG$8,"",VLOOKUP($CH89,$CJ$9:$CP$508,4,FALSE()))</f>
        <v/>
      </c>
      <c r="CU89" s="105" t="str">
        <f aca="false">IF($CH89&gt;$CG$8,"",VLOOKUP($CH89,$CJ$9:$CP$508,5,FALSE()))</f>
        <v/>
      </c>
      <c r="CV89" s="106" t="str">
        <f aca="false">IF($CH89&gt;$CG$8,"",VLOOKUP($CH89,$CJ$9:$CP$508,6,FALSE()))</f>
        <v/>
      </c>
      <c r="CW89" s="71"/>
    </row>
    <row r="90" customFormat="false" ht="15.75" hidden="false" customHeight="false" outlineLevel="0" collapsed="false">
      <c r="A90" s="9"/>
      <c r="B90" s="150"/>
      <c r="C90" s="151"/>
      <c r="D90" s="152"/>
      <c r="E90" s="170"/>
      <c r="F90" s="154"/>
      <c r="G90" s="155"/>
      <c r="H90" s="171"/>
      <c r="I90" s="159"/>
      <c r="J90" s="120"/>
      <c r="K90" s="121"/>
      <c r="L90" s="122"/>
      <c r="M90" s="158"/>
      <c r="N90" s="159"/>
      <c r="O90" s="159"/>
      <c r="P90" s="120"/>
      <c r="Q90" s="122"/>
      <c r="R90" s="122"/>
      <c r="S90" s="158"/>
      <c r="T90" s="159"/>
      <c r="U90" s="126"/>
      <c r="V90" s="127"/>
      <c r="W90" s="127" t="str">
        <f aca="false">IF(ISBLANK($C90),"",IF(E90=Constants!$B$2,TRUE(),IF(E90=Constants!$B$3,FALSE(),TRUE())))</f>
        <v/>
      </c>
      <c r="X90" s="127" t="str">
        <f aca="false">IF(ISBLANK($C90),"",IF(F90=Constants!$B$2,TRUE(),IF(F90=Constants!$B$3,FALSE(),TRUE())))</f>
        <v/>
      </c>
      <c r="Y90" s="127" t="str">
        <f aca="false">IF(ISBLANK($C90),"",IF(G90=Constants!$B$2,TRUE(),IF(G90=Constants!$B$3,FALSE(),TRUE())))</f>
        <v/>
      </c>
      <c r="Z90" s="127" t="str">
        <f aca="false">IF(ISBLANK($C90),"",IF(H90=Constants!$B$2,TRUE(),IF(H90=Constants!$B$3,FALSE(),TRUE())))</f>
        <v/>
      </c>
      <c r="AA90" s="127" t="str">
        <f aca="false">IF(ISBLANK($C90),"",IF(I90=Constants!$B$2,TRUE(),IF(I90=Constants!$B$3,FALSE(),TRUE())))</f>
        <v/>
      </c>
      <c r="AB90" s="127" t="str">
        <f aca="false">IF(ISBLANK($C90),"",IF(J90=Constants!$B$4,TRUE(),IF(J90=Constants!$B$5,FALSE(),COUNTA(K90:M90)&gt;0)))</f>
        <v/>
      </c>
      <c r="AC90" s="128" t="str">
        <f aca="false">IF(ISBLANK($C90),"",IF(ISNUMBER(K90),IF(K90&gt;=0,K90,""),""))</f>
        <v/>
      </c>
      <c r="AD90" s="129" t="str">
        <f aca="false">IF(ISBLANK($C90),"",IF(ISNUMBER(L90),IF(L90&gt;=0,L90,""),""))</f>
        <v/>
      </c>
      <c r="AE90" s="127" t="str">
        <f aca="false">IF(ISBLANK($C90),"",IF(ISNUMBER(M90),IF(M90&gt;=0,MIN(M90,Constants!$B$22),""),""))</f>
        <v/>
      </c>
      <c r="AF90" s="127" t="str">
        <f aca="false">IF(ISBLANK($C90),"",IF(N90=Constants!$B$2,TRUE(),IF(N90=Constants!$B$3,FALSE(),TRUE())))</f>
        <v/>
      </c>
      <c r="AG90" s="127" t="str">
        <f aca="false">IF(ISBLANK($C90),"",IF(O90=Constants!$B$2,TRUE(),IF(O90=Constants!$B$3,FALSE(),TRUE())))</f>
        <v/>
      </c>
      <c r="AH90" s="127" t="str">
        <f aca="false">IF(ISBLANK($C90),"",IF(P90=Constants!$B$4,TRUE(),IF(P90=Constants!$B$5,FALSE(),COUNTA(Q90:S90)&gt;0)))</f>
        <v/>
      </c>
      <c r="AI90" s="128" t="str">
        <f aca="false">IF(ISBLANK($C90),"",IF(ISNUMBER(Q90),IF(Q90&gt;=0,Q90,""),""))</f>
        <v/>
      </c>
      <c r="AJ90" s="129" t="str">
        <f aca="false">IF(ISBLANK($C90),"",IF(ISNUMBER(R90),IF(R90&gt;=0,R90,""),""))</f>
        <v/>
      </c>
      <c r="AK90" s="127" t="str">
        <f aca="false">IF(ISBLANK($C90),"",IF(ISNUMBER(S90),IF(S90&gt;=0,MIN(S90,Constants!$B$22),""),""))</f>
        <v/>
      </c>
      <c r="AL90" s="127" t="str">
        <f aca="false">IF(ISBLANK($C90),"",IF(T90=Constants!$B$2,TRUE(),IF(T90=Constants!$B$3,FALSE(),FALSE())))</f>
        <v/>
      </c>
      <c r="AM90" s="126" t="str">
        <f aca="false">IF(ISBLANK($C90),"",AND($AB90,OR($AC90="",$AD90="",AND(NOT(ISBLANK($M90)),$AE90=""))))</f>
        <v/>
      </c>
      <c r="AN90" s="129" t="str">
        <f aca="false">IF($BD90&lt;&gt;Constants!$B$6,"",IF($AB90,Constants!$B$17*$AD90,Constants!$B$18))</f>
        <v/>
      </c>
      <c r="AO90" s="130" t="str">
        <f aca="false">IF($BD90&lt;&gt;Constants!$B$6,"",Constants!$B$19*IF($AB90,$AC90,0))</f>
        <v/>
      </c>
      <c r="AP90" s="130" t="str">
        <f aca="false">IF($BD90&lt;&gt;Constants!$B$6,"",IF(AND($AB90,ISNUMBER($AE90)),Constants!$B$20*(Constants!$B$21-$AE90),0))</f>
        <v/>
      </c>
      <c r="AQ90" s="130" t="str">
        <f aca="false">IF($BD90&lt;&gt;Constants!$B$6,"",IF($AA90,0,Constants!$B$12)+IF($Z90,0,Constants!$B$13)+IF($Y90,0,Constants!$B$14))</f>
        <v/>
      </c>
      <c r="AR90" s="131" t="str">
        <f aca="false">IF($BD90&lt;&gt;Constants!$B$6,"",Constants!$B$16+SUM($AN90:$AQ90))</f>
        <v/>
      </c>
      <c r="AS90" s="130" t="str">
        <f aca="false">IF($BD90&lt;&gt;Constants!$B$6,"",IF($AB90,$AD90,""))</f>
        <v/>
      </c>
      <c r="AT90" s="132" t="str">
        <f aca="false">IF($BD90&lt;&gt;Constants!$B$6,"",$AO90)</f>
        <v/>
      </c>
      <c r="AU90" s="127" t="str">
        <f aca="false">IF($BD90&lt;&gt;Constants!$B$6,"",IF(OR($BA90&lt;$AR90,AND($BA90=$AR90,OR(AND(ISNUMBER($BB90),OR(NOT(ISNUMBER($AS90)),$BB90&lt;$AS90)),AND(OR(AND($BB90="",$AS90=""),AND(ISNUMBER($BB90),ISNUMBER($AS90),$BB90=$AS90)),$BC90&lt;$AT90)))),"-&gt;","&lt;-"))</f>
        <v/>
      </c>
      <c r="AV90" s="126" t="str">
        <f aca="false">IF(ISBLANK($C90),"",AND($AH90,OR($AI90="",$AJ90="",AND(NOT(ISBLANK($S90)),$AK90=""))))</f>
        <v/>
      </c>
      <c r="AW90" s="129" t="str">
        <f aca="false">IF($BD90&lt;&gt;Constants!$B$6,"",IF($AH90,Constants!$B$17*$AJ90,Constants!$B$18))</f>
        <v/>
      </c>
      <c r="AX90" s="130" t="str">
        <f aca="false">IF($BD90&lt;&gt;Constants!$B$6,"",Constants!$B$19*IF($AH90,$AI90,0))</f>
        <v/>
      </c>
      <c r="AY90" s="130" t="str">
        <f aca="false">IF($BD90&lt;&gt;Constants!$B$6,"",IF(AND($AH90,ISNUMBER($AK90)),Constants!$B$20*(Constants!$B$21-$AK90),0))</f>
        <v/>
      </c>
      <c r="AZ90" s="130" t="str">
        <f aca="false">IF($BD90&lt;&gt;Constants!$B$6,"",IF($AG90,0,Constants!$B$12)+IF($AF90,0,Constants!$B$13)+IF($Y90,0,Constants!$B$14))</f>
        <v/>
      </c>
      <c r="BA90" s="131" t="str">
        <f aca="false">IF($BD90&lt;&gt;Constants!$B$6,"",Constants!$B$16+SUM($AW90:$AZ90))</f>
        <v/>
      </c>
      <c r="BB90" s="130" t="str">
        <f aca="false">IF($BD90&lt;&gt;Constants!$B$6,"",IF($AH90,$AJ90,""))</f>
        <v/>
      </c>
      <c r="BC90" s="132" t="str">
        <f aca="false">IF($BD90&lt;&gt;Constants!$B$6,"",$AX90)</f>
        <v/>
      </c>
      <c r="BD90" s="127" t="str">
        <f aca="false">IF(ISBLANK($C90),"",IF($AL90,Constants!$B$9,IF(COUNTA($E90:$T90)=0,Constants!$B$8,IF(NOT($X90),Constants!$B$7,IF(OR($AM90,$AV90),Constants!$B$10,Constants!$B$6)))))</f>
        <v/>
      </c>
      <c r="BE90" s="127" t="str">
        <f aca="false">IF(ISBLANK($C90),"",IF($BD90&lt;&gt;Constants!$B$6,$BD90,Constants!$B$11))</f>
        <v/>
      </c>
      <c r="BF90" s="130" t="str">
        <f aca="false">IF($BD90&lt;&gt;Constants!$B$6,"",IF($AU90="-&gt;",$BA90,$AR90))</f>
        <v/>
      </c>
      <c r="BG90" s="130" t="str">
        <f aca="false">IF($BD90&lt;&gt;Constants!$B$6,"",IF($W90,0,Constants!$B$15))</f>
        <v/>
      </c>
      <c r="BH90" s="130" t="str">
        <f aca="false">IF(ISBLANK($C90),"",IF($BD90&lt;&gt;Constants!$B$6,$BD90,SUM($BF90:$BG90)))</f>
        <v/>
      </c>
      <c r="BI90" s="127" t="str">
        <f aca="false">IF(ISBLANK($C90),"",IF($BD90&lt;&gt;Constants!$B$6,$BD90,RANK($BH90,$BH$9:$BH$508,1)))</f>
        <v/>
      </c>
      <c r="BJ90" s="130" t="str">
        <f aca="false">IF($BD90&lt;&gt;Constants!$B$6,"",IF($AU90="-&gt;",$BB90,$AS90))</f>
        <v/>
      </c>
      <c r="BK90" s="127" t="str">
        <f aca="false">IF(ISBLANK($C90),"",IF($BD90&lt;&gt;Constants!$B$6,$BD90,IF(ISNUMBER($BJ90),RANK($BJ90,$BJ$9:$BJ$508,1),COUNT($BJ$9:$BJ$508)+1)))</f>
        <v/>
      </c>
      <c r="BL90" s="130" t="str">
        <f aca="false">IF($BD90&lt;&gt;Constants!$B$6,"",IF($AU90="-&gt;",$BC90,$AT90))</f>
        <v/>
      </c>
      <c r="BM90" s="127" t="str">
        <f aca="false">IF(ISBLANK($C90),"",IF($BD90&lt;&gt;Constants!$B$6,$BD90,IF(ISNUMBER($BL90),RANK($BL90,$BL$9:$BL$508,1),COUNT($BL$9:$BL$508)+1)))</f>
        <v/>
      </c>
      <c r="BN90" s="130" t="str">
        <f aca="false">IF($BD90&lt;&gt;Constants!$B$6,"",IF($AU90="-&gt;",$AS90,$BB90))</f>
        <v/>
      </c>
      <c r="BO90" s="127" t="str">
        <f aca="false">IF(ISBLANK($C90),"",IF($BD90&lt;&gt;Constants!$B$6,$BD90,IF(ISNUMBER($BN90),RANK($BN90,$BN$9:$BN$508,1),COUNT($BN$9:$BN$508)+1)))</f>
        <v/>
      </c>
      <c r="BP90" s="130" t="str">
        <f aca="false">IF($BD90&lt;&gt;Constants!$B$6,"",IF($AU90="-&gt;",$AT90,$BC90))</f>
        <v/>
      </c>
      <c r="BQ90" s="127" t="str">
        <f aca="false">IF(ISBLANK($C90),"",IF($BD90&lt;&gt;Constants!$B$6,$BD90,IF(ISNUMBER($BP90),RANK($BP90,$BP$9:$BP$508,1),COUNT($BP$9:$BP$508)+1)))</f>
        <v/>
      </c>
      <c r="BR90" s="127" t="str">
        <f aca="false">IF(ISBLANK($C90),"",IF($BD90&lt;&gt;Constants!$B$6,$BD90,COUNTIFS($BI$9:$BI$508,"&lt;"&amp;$BI90)+COUNTIFS($BI$9:$BI$508,$BI90,$BK$9:$BK$508,"&lt;"&amp;$BK90)+COUNTIFS($BI$9:$BI$508,$BI90,$BK$9:$BK$508,$BK90,$BM$9:$BM$508,"&lt;"&amp;$BM90)+COUNTIFS($BI$9:$BI$508,$BI90,$BK$9:$BK$508,$BK90,$BM$9:$BM$508,$BM90,$BO$9:$BO$508,"&lt;"&amp;$BO90)+COUNTIFS($BI$9:$BI$508,$BI90,$BK$9:$BK$508,$BK90,$BM$9:$BM$508,$BM90,$BO$9:$BO$508,$BO90,$BQ$9:$BQ$508,"&lt;"&amp;$BQ90)+1))</f>
        <v/>
      </c>
      <c r="BS90" s="127" t="str">
        <f aca="false">IF(ISBLANK($C90),"",IF($BD90&lt;&gt;Constants!$B$6,$BD90,$BI90-$BR90))</f>
        <v/>
      </c>
      <c r="BT90" s="133"/>
      <c r="BU90" s="134"/>
      <c r="BV90" s="134" t="str">
        <f aca="false">IF(ISBLANK($C90),"",IF($BD90&lt;&gt;Constants!$B$6,"",IF($AU90="-&gt;",2,1)))</f>
        <v/>
      </c>
      <c r="BW90" s="135" t="str">
        <f aca="false">IF(ISBLANK($C90),"",IF($BD90&lt;&gt;Constants!$B$6,"",IF($AU90="-&gt;",$AW90,$AN90)))</f>
        <v/>
      </c>
      <c r="BX90" s="135" t="str">
        <f aca="false">IF(ISBLANK($C90),"",IF($BD90&lt;&gt;Constants!$B$6,"",IF($AU90="-&gt;",$AX90,$AO90)))</f>
        <v/>
      </c>
      <c r="BY90" s="135" t="str">
        <f aca="false">IF(ISBLANK($C90),"",IF($BD90&lt;&gt;Constants!$B$6,"",IF($AU90="-&gt;",$AY90,$AP90)))</f>
        <v/>
      </c>
      <c r="BZ90" s="135" t="str">
        <f aca="false">IF(ISBLANK($C90),"",IF($BD90&lt;&gt;Constants!$B$6,"",IF($AU90="-&gt;",$AZ90,$AQ90)+$BG90))</f>
        <v/>
      </c>
      <c r="CA90" s="136" t="str">
        <f aca="false">IF(ISBLANK($C90),"",IF($BD90&lt;&gt;Constants!$B$6,$BD90,$BH90))</f>
        <v/>
      </c>
      <c r="CB90" s="137" t="str">
        <f aca="false">IF(ISBLANK($C90),"",$BE90)</f>
        <v/>
      </c>
      <c r="CC90" s="138" t="str">
        <f aca="false">IF(ISBLANK($C90),"",$BS90)</f>
        <v/>
      </c>
      <c r="CD90" s="138" t="str">
        <f aca="false">IF(ISBLANK($C90),"",$BR90)</f>
        <v/>
      </c>
      <c r="CE90" s="139" t="str">
        <f aca="false">IF(ISBLANK($C90),"",IF($CD90=Constants!$B$9,COUNTA($C$9:$C$508)+2,IF($CD90=Constants!$B$8,COUNTA($C$9:$C$508)+1,IF($CD90=Constants!$B$7,COUNTA($C$9:$C$508),$CD90))))</f>
        <v/>
      </c>
      <c r="CF90" s="9"/>
      <c r="CG90" s="140" t="n">
        <f aca="false">IF(OR(ISNUMBER($CD90),$CD90=Constants!$B$9,$CD90=Constants!$B$7,$CD90=Constants!$B$8),1,0)</f>
        <v>0</v>
      </c>
      <c r="CH90" s="140" t="n">
        <v>82</v>
      </c>
      <c r="CI90" s="140" t="str">
        <f aca="false">IF(ISBLANK($C90),"",IF(ISNUMBER($CE90),$CE90+ROW($B90)/1000,""))</f>
        <v/>
      </c>
      <c r="CJ90" s="140" t="str">
        <f aca="false">IF(ISNUMBER($CI90),RANK($CI90,$CI$9:$CI$508,1),"")</f>
        <v/>
      </c>
      <c r="CK90" s="140" t="str">
        <f aca="false">IF(ISBLANK($C90),"",$B90)</f>
        <v/>
      </c>
      <c r="CL90" s="140" t="str">
        <f aca="false">IF(ISBLANK($C90),"",$C90)</f>
        <v/>
      </c>
      <c r="CM90" s="140" t="str">
        <f aca="false">IF(ISBLANK($C90),"",$D90)</f>
        <v/>
      </c>
      <c r="CN90" s="141" t="str">
        <f aca="false">$CB90</f>
        <v/>
      </c>
      <c r="CO90" s="142" t="str">
        <f aca="false">$CA90</f>
        <v/>
      </c>
      <c r="CP90" s="140" t="str">
        <f aca="false">IF(ISBLANK($C90),"",$CD90)</f>
        <v/>
      </c>
      <c r="CQ90" s="143" t="str">
        <f aca="false">IF($CH90&gt;$CG$8,"",VLOOKUP($CH90,$CJ$9:$CP$508,7,FALSE()))</f>
        <v/>
      </c>
      <c r="CR90" s="144" t="str">
        <f aca="false">IF($CH90&gt;$CG$8,"",VLOOKUP($CH90,$CJ$9:$CP$508,2,FALSE()))</f>
        <v/>
      </c>
      <c r="CS90" s="144" t="str">
        <f aca="false">IF($CH90&gt;$CG$8,"",VLOOKUP($CH90,$CJ$9:$CP$508,3,FALSE()))</f>
        <v/>
      </c>
      <c r="CT90" s="144" t="str">
        <f aca="false">IF($CH90&gt;$CG$8,"",VLOOKUP($CH90,$CJ$9:$CP$508,4,FALSE()))</f>
        <v/>
      </c>
      <c r="CU90" s="144" t="str">
        <f aca="false">IF($CH90&gt;$CG$8,"",VLOOKUP($CH90,$CJ$9:$CP$508,5,FALSE()))</f>
        <v/>
      </c>
      <c r="CV90" s="145" t="str">
        <f aca="false">IF($CH90&gt;$CG$8,"",VLOOKUP($CH90,$CJ$9:$CP$508,6,FALSE()))</f>
        <v/>
      </c>
      <c r="CW90" s="71"/>
    </row>
    <row r="91" customFormat="false" ht="15.75" hidden="false" customHeight="false" outlineLevel="0" collapsed="false">
      <c r="A91" s="9"/>
      <c r="B91" s="150"/>
      <c r="C91" s="151"/>
      <c r="D91" s="152"/>
      <c r="E91" s="170"/>
      <c r="F91" s="154"/>
      <c r="G91" s="155"/>
      <c r="H91" s="171"/>
      <c r="I91" s="159"/>
      <c r="J91" s="120"/>
      <c r="K91" s="121"/>
      <c r="L91" s="122"/>
      <c r="M91" s="158"/>
      <c r="N91" s="159"/>
      <c r="O91" s="159"/>
      <c r="P91" s="120"/>
      <c r="Q91" s="122"/>
      <c r="R91" s="122"/>
      <c r="S91" s="158"/>
      <c r="T91" s="159"/>
      <c r="U91" s="126"/>
      <c r="V91" s="127"/>
      <c r="W91" s="127" t="str">
        <f aca="false">IF(ISBLANK($C91),"",IF(E91=Constants!$B$2,TRUE(),IF(E91=Constants!$B$3,FALSE(),TRUE())))</f>
        <v/>
      </c>
      <c r="X91" s="127" t="str">
        <f aca="false">IF(ISBLANK($C91),"",IF(F91=Constants!$B$2,TRUE(),IF(F91=Constants!$B$3,FALSE(),TRUE())))</f>
        <v/>
      </c>
      <c r="Y91" s="127" t="str">
        <f aca="false">IF(ISBLANK($C91),"",IF(G91=Constants!$B$2,TRUE(),IF(G91=Constants!$B$3,FALSE(),TRUE())))</f>
        <v/>
      </c>
      <c r="Z91" s="127" t="str">
        <f aca="false">IF(ISBLANK($C91),"",IF(H91=Constants!$B$2,TRUE(),IF(H91=Constants!$B$3,FALSE(),TRUE())))</f>
        <v/>
      </c>
      <c r="AA91" s="127" t="str">
        <f aca="false">IF(ISBLANK($C91),"",IF(I91=Constants!$B$2,TRUE(),IF(I91=Constants!$B$3,FALSE(),TRUE())))</f>
        <v/>
      </c>
      <c r="AB91" s="127" t="str">
        <f aca="false">IF(ISBLANK($C91),"",IF(J91=Constants!$B$4,TRUE(),IF(J91=Constants!$B$5,FALSE(),COUNTA(K91:M91)&gt;0)))</f>
        <v/>
      </c>
      <c r="AC91" s="128" t="str">
        <f aca="false">IF(ISBLANK($C91),"",IF(ISNUMBER(K91),IF(K91&gt;=0,K91,""),""))</f>
        <v/>
      </c>
      <c r="AD91" s="129" t="str">
        <f aca="false">IF(ISBLANK($C91),"",IF(ISNUMBER(L91),IF(L91&gt;=0,L91,""),""))</f>
        <v/>
      </c>
      <c r="AE91" s="127" t="str">
        <f aca="false">IF(ISBLANK($C91),"",IF(ISNUMBER(M91),IF(M91&gt;=0,MIN(M91,Constants!$B$22),""),""))</f>
        <v/>
      </c>
      <c r="AF91" s="127" t="str">
        <f aca="false">IF(ISBLANK($C91),"",IF(N91=Constants!$B$2,TRUE(),IF(N91=Constants!$B$3,FALSE(),TRUE())))</f>
        <v/>
      </c>
      <c r="AG91" s="127" t="str">
        <f aca="false">IF(ISBLANK($C91),"",IF(O91=Constants!$B$2,TRUE(),IF(O91=Constants!$B$3,FALSE(),TRUE())))</f>
        <v/>
      </c>
      <c r="AH91" s="127" t="str">
        <f aca="false">IF(ISBLANK($C91),"",IF(P91=Constants!$B$4,TRUE(),IF(P91=Constants!$B$5,FALSE(),COUNTA(Q91:S91)&gt;0)))</f>
        <v/>
      </c>
      <c r="AI91" s="128" t="str">
        <f aca="false">IF(ISBLANK($C91),"",IF(ISNUMBER(Q91),IF(Q91&gt;=0,Q91,""),""))</f>
        <v/>
      </c>
      <c r="AJ91" s="129" t="str">
        <f aca="false">IF(ISBLANK($C91),"",IF(ISNUMBER(R91),IF(R91&gt;=0,R91,""),""))</f>
        <v/>
      </c>
      <c r="AK91" s="127" t="str">
        <f aca="false">IF(ISBLANK($C91),"",IF(ISNUMBER(S91),IF(S91&gt;=0,MIN(S91,Constants!$B$22),""),""))</f>
        <v/>
      </c>
      <c r="AL91" s="127" t="str">
        <f aca="false">IF(ISBLANK($C91),"",IF(T91=Constants!$B$2,TRUE(),IF(T91=Constants!$B$3,FALSE(),FALSE())))</f>
        <v/>
      </c>
      <c r="AM91" s="126" t="str">
        <f aca="false">IF(ISBLANK($C91),"",AND($AB91,OR($AC91="",$AD91="",AND(NOT(ISBLANK($M91)),$AE91=""))))</f>
        <v/>
      </c>
      <c r="AN91" s="129" t="str">
        <f aca="false">IF($BD91&lt;&gt;Constants!$B$6,"",IF($AB91,Constants!$B$17*$AD91,Constants!$B$18))</f>
        <v/>
      </c>
      <c r="AO91" s="130" t="str">
        <f aca="false">IF($BD91&lt;&gt;Constants!$B$6,"",Constants!$B$19*IF($AB91,$AC91,0))</f>
        <v/>
      </c>
      <c r="AP91" s="130" t="str">
        <f aca="false">IF($BD91&lt;&gt;Constants!$B$6,"",IF(AND($AB91,ISNUMBER($AE91)),Constants!$B$20*(Constants!$B$21-$AE91),0))</f>
        <v/>
      </c>
      <c r="AQ91" s="130" t="str">
        <f aca="false">IF($BD91&lt;&gt;Constants!$B$6,"",IF($AA91,0,Constants!$B$12)+IF($Z91,0,Constants!$B$13)+IF($Y91,0,Constants!$B$14))</f>
        <v/>
      </c>
      <c r="AR91" s="131" t="str">
        <f aca="false">IF($BD91&lt;&gt;Constants!$B$6,"",Constants!$B$16+SUM($AN91:$AQ91))</f>
        <v/>
      </c>
      <c r="AS91" s="130" t="str">
        <f aca="false">IF($BD91&lt;&gt;Constants!$B$6,"",IF($AB91,$AD91,""))</f>
        <v/>
      </c>
      <c r="AT91" s="132" t="str">
        <f aca="false">IF($BD91&lt;&gt;Constants!$B$6,"",$AO91)</f>
        <v/>
      </c>
      <c r="AU91" s="127" t="str">
        <f aca="false">IF($BD91&lt;&gt;Constants!$B$6,"",IF(OR($BA91&lt;$AR91,AND($BA91=$AR91,OR(AND(ISNUMBER($BB91),OR(NOT(ISNUMBER($AS91)),$BB91&lt;$AS91)),AND(OR(AND($BB91="",$AS91=""),AND(ISNUMBER($BB91),ISNUMBER($AS91),$BB91=$AS91)),$BC91&lt;$AT91)))),"-&gt;","&lt;-"))</f>
        <v/>
      </c>
      <c r="AV91" s="126" t="str">
        <f aca="false">IF(ISBLANK($C91),"",AND($AH91,OR($AI91="",$AJ91="",AND(NOT(ISBLANK($S91)),$AK91=""))))</f>
        <v/>
      </c>
      <c r="AW91" s="129" t="str">
        <f aca="false">IF($BD91&lt;&gt;Constants!$B$6,"",IF($AH91,Constants!$B$17*$AJ91,Constants!$B$18))</f>
        <v/>
      </c>
      <c r="AX91" s="130" t="str">
        <f aca="false">IF($BD91&lt;&gt;Constants!$B$6,"",Constants!$B$19*IF($AH91,$AI91,0))</f>
        <v/>
      </c>
      <c r="AY91" s="130" t="str">
        <f aca="false">IF($BD91&lt;&gt;Constants!$B$6,"",IF(AND($AH91,ISNUMBER($AK91)),Constants!$B$20*(Constants!$B$21-$AK91),0))</f>
        <v/>
      </c>
      <c r="AZ91" s="130" t="str">
        <f aca="false">IF($BD91&lt;&gt;Constants!$B$6,"",IF($AG91,0,Constants!$B$12)+IF($AF91,0,Constants!$B$13)+IF($Y91,0,Constants!$B$14))</f>
        <v/>
      </c>
      <c r="BA91" s="131" t="str">
        <f aca="false">IF($BD91&lt;&gt;Constants!$B$6,"",Constants!$B$16+SUM($AW91:$AZ91))</f>
        <v/>
      </c>
      <c r="BB91" s="130" t="str">
        <f aca="false">IF($BD91&lt;&gt;Constants!$B$6,"",IF($AH91,$AJ91,""))</f>
        <v/>
      </c>
      <c r="BC91" s="132" t="str">
        <f aca="false">IF($BD91&lt;&gt;Constants!$B$6,"",$AX91)</f>
        <v/>
      </c>
      <c r="BD91" s="127" t="str">
        <f aca="false">IF(ISBLANK($C91),"",IF($AL91,Constants!$B$9,IF(COUNTA($E91:$T91)=0,Constants!$B$8,IF(NOT($X91),Constants!$B$7,IF(OR($AM91,$AV91),Constants!$B$10,Constants!$B$6)))))</f>
        <v/>
      </c>
      <c r="BE91" s="127" t="str">
        <f aca="false">IF(ISBLANK($C91),"",IF($BD91&lt;&gt;Constants!$B$6,$BD91,Constants!$B$11))</f>
        <v/>
      </c>
      <c r="BF91" s="130" t="str">
        <f aca="false">IF($BD91&lt;&gt;Constants!$B$6,"",IF($AU91="-&gt;",$BA91,$AR91))</f>
        <v/>
      </c>
      <c r="BG91" s="130" t="str">
        <f aca="false">IF($BD91&lt;&gt;Constants!$B$6,"",IF($W91,0,Constants!$B$15))</f>
        <v/>
      </c>
      <c r="BH91" s="130" t="str">
        <f aca="false">IF(ISBLANK($C91),"",IF($BD91&lt;&gt;Constants!$B$6,$BD91,SUM($BF91:$BG91)))</f>
        <v/>
      </c>
      <c r="BI91" s="127" t="str">
        <f aca="false">IF(ISBLANK($C91),"",IF($BD91&lt;&gt;Constants!$B$6,$BD91,RANK($BH91,$BH$9:$BH$508,1)))</f>
        <v/>
      </c>
      <c r="BJ91" s="130" t="str">
        <f aca="false">IF($BD91&lt;&gt;Constants!$B$6,"",IF($AU91="-&gt;",$BB91,$AS91))</f>
        <v/>
      </c>
      <c r="BK91" s="127" t="str">
        <f aca="false">IF(ISBLANK($C91),"",IF($BD91&lt;&gt;Constants!$B$6,$BD91,IF(ISNUMBER($BJ91),RANK($BJ91,$BJ$9:$BJ$508,1),COUNT($BJ$9:$BJ$508)+1)))</f>
        <v/>
      </c>
      <c r="BL91" s="130" t="str">
        <f aca="false">IF($BD91&lt;&gt;Constants!$B$6,"",IF($AU91="-&gt;",$BC91,$AT91))</f>
        <v/>
      </c>
      <c r="BM91" s="127" t="str">
        <f aca="false">IF(ISBLANK($C91),"",IF($BD91&lt;&gt;Constants!$B$6,$BD91,IF(ISNUMBER($BL91),RANK($BL91,$BL$9:$BL$508,1),COUNT($BL$9:$BL$508)+1)))</f>
        <v/>
      </c>
      <c r="BN91" s="130" t="str">
        <f aca="false">IF($BD91&lt;&gt;Constants!$B$6,"",IF($AU91="-&gt;",$AS91,$BB91))</f>
        <v/>
      </c>
      <c r="BO91" s="127" t="str">
        <f aca="false">IF(ISBLANK($C91),"",IF($BD91&lt;&gt;Constants!$B$6,$BD91,IF(ISNUMBER($BN91),RANK($BN91,$BN$9:$BN$508,1),COUNT($BN$9:$BN$508)+1)))</f>
        <v/>
      </c>
      <c r="BP91" s="130" t="str">
        <f aca="false">IF($BD91&lt;&gt;Constants!$B$6,"",IF($AU91="-&gt;",$AT91,$BC91))</f>
        <v/>
      </c>
      <c r="BQ91" s="127" t="str">
        <f aca="false">IF(ISBLANK($C91),"",IF($BD91&lt;&gt;Constants!$B$6,$BD91,IF(ISNUMBER($BP91),RANK($BP91,$BP$9:$BP$508,1),COUNT($BP$9:$BP$508)+1)))</f>
        <v/>
      </c>
      <c r="BR91" s="127" t="str">
        <f aca="false">IF(ISBLANK($C91),"",IF($BD91&lt;&gt;Constants!$B$6,$BD91,COUNTIFS($BI$9:$BI$508,"&lt;"&amp;$BI91)+COUNTIFS($BI$9:$BI$508,$BI91,$BK$9:$BK$508,"&lt;"&amp;$BK91)+COUNTIFS($BI$9:$BI$508,$BI91,$BK$9:$BK$508,$BK91,$BM$9:$BM$508,"&lt;"&amp;$BM91)+COUNTIFS($BI$9:$BI$508,$BI91,$BK$9:$BK$508,$BK91,$BM$9:$BM$508,$BM91,$BO$9:$BO$508,"&lt;"&amp;$BO91)+COUNTIFS($BI$9:$BI$508,$BI91,$BK$9:$BK$508,$BK91,$BM$9:$BM$508,$BM91,$BO$9:$BO$508,$BO91,$BQ$9:$BQ$508,"&lt;"&amp;$BQ91)+1))</f>
        <v/>
      </c>
      <c r="BS91" s="127" t="str">
        <f aca="false">IF(ISBLANK($C91),"",IF($BD91&lt;&gt;Constants!$B$6,$BD91,$BI91-$BR91))</f>
        <v/>
      </c>
      <c r="BT91" s="133"/>
      <c r="BU91" s="134"/>
      <c r="BV91" s="134" t="str">
        <f aca="false">IF(ISBLANK($C91),"",IF($BD91&lt;&gt;Constants!$B$6,"",IF($AU91="-&gt;",2,1)))</f>
        <v/>
      </c>
      <c r="BW91" s="135" t="str">
        <f aca="false">IF(ISBLANK($C91),"",IF($BD91&lt;&gt;Constants!$B$6,"",IF($AU91="-&gt;",$AW91,$AN91)))</f>
        <v/>
      </c>
      <c r="BX91" s="135" t="str">
        <f aca="false">IF(ISBLANK($C91),"",IF($BD91&lt;&gt;Constants!$B$6,"",IF($AU91="-&gt;",$AX91,$AO91)))</f>
        <v/>
      </c>
      <c r="BY91" s="135" t="str">
        <f aca="false">IF(ISBLANK($C91),"",IF($BD91&lt;&gt;Constants!$B$6,"",IF($AU91="-&gt;",$AY91,$AP91)))</f>
        <v/>
      </c>
      <c r="BZ91" s="135" t="str">
        <f aca="false">IF(ISBLANK($C91),"",IF($BD91&lt;&gt;Constants!$B$6,"",IF($AU91="-&gt;",$AZ91,$AQ91)+$BG91))</f>
        <v/>
      </c>
      <c r="CA91" s="136" t="str">
        <f aca="false">IF(ISBLANK($C91),"",IF($BD91&lt;&gt;Constants!$B$6,$BD91,$BH91))</f>
        <v/>
      </c>
      <c r="CB91" s="137" t="str">
        <f aca="false">IF(ISBLANK($C91),"",$BE91)</f>
        <v/>
      </c>
      <c r="CC91" s="138" t="str">
        <f aca="false">IF(ISBLANK($C91),"",$BS91)</f>
        <v/>
      </c>
      <c r="CD91" s="138" t="str">
        <f aca="false">IF(ISBLANK($C91),"",$BR91)</f>
        <v/>
      </c>
      <c r="CE91" s="139" t="str">
        <f aca="false">IF(ISBLANK($C91),"",IF($CD91=Constants!$B$9,COUNTA($C$9:$C$508)+2,IF($CD91=Constants!$B$8,COUNTA($C$9:$C$508)+1,IF($CD91=Constants!$B$7,COUNTA($C$9:$C$508),$CD91))))</f>
        <v/>
      </c>
      <c r="CF91" s="9"/>
      <c r="CG91" s="140" t="n">
        <f aca="false">IF(OR(ISNUMBER($CD91),$CD91=Constants!$B$9,$CD91=Constants!$B$7,$CD91=Constants!$B$8),1,0)</f>
        <v>0</v>
      </c>
      <c r="CH91" s="140" t="n">
        <v>83</v>
      </c>
      <c r="CI91" s="140" t="str">
        <f aca="false">IF(ISBLANK($C91),"",IF(ISNUMBER($CE91),$CE91+ROW($B91)/1000,""))</f>
        <v/>
      </c>
      <c r="CJ91" s="140" t="str">
        <f aca="false">IF(ISNUMBER($CI91),RANK($CI91,$CI$9:$CI$508,1),"")</f>
        <v/>
      </c>
      <c r="CK91" s="140" t="str">
        <f aca="false">IF(ISBLANK($C91),"",$B91)</f>
        <v/>
      </c>
      <c r="CL91" s="140" t="str">
        <f aca="false">IF(ISBLANK($C91),"",$C91)</f>
        <v/>
      </c>
      <c r="CM91" s="140" t="str">
        <f aca="false">IF(ISBLANK($C91),"",$D91)</f>
        <v/>
      </c>
      <c r="CN91" s="141" t="str">
        <f aca="false">$CB91</f>
        <v/>
      </c>
      <c r="CO91" s="142" t="str">
        <f aca="false">$CA91</f>
        <v/>
      </c>
      <c r="CP91" s="140" t="str">
        <f aca="false">IF(ISBLANK($C91),"",$CD91)</f>
        <v/>
      </c>
      <c r="CQ91" s="143" t="str">
        <f aca="false">IF($CH91&gt;$CG$8,"",VLOOKUP($CH91,$CJ$9:$CP$508,7,FALSE()))</f>
        <v/>
      </c>
      <c r="CR91" s="144" t="str">
        <f aca="false">IF($CH91&gt;$CG$8,"",VLOOKUP($CH91,$CJ$9:$CP$508,2,FALSE()))</f>
        <v/>
      </c>
      <c r="CS91" s="144" t="str">
        <f aca="false">IF($CH91&gt;$CG$8,"",VLOOKUP($CH91,$CJ$9:$CP$508,3,FALSE()))</f>
        <v/>
      </c>
      <c r="CT91" s="144" t="str">
        <f aca="false">IF($CH91&gt;$CG$8,"",VLOOKUP($CH91,$CJ$9:$CP$508,4,FALSE()))</f>
        <v/>
      </c>
      <c r="CU91" s="144" t="str">
        <f aca="false">IF($CH91&gt;$CG$8,"",VLOOKUP($CH91,$CJ$9:$CP$508,5,FALSE()))</f>
        <v/>
      </c>
      <c r="CV91" s="145" t="str">
        <f aca="false">IF($CH91&gt;$CG$8,"",VLOOKUP($CH91,$CJ$9:$CP$508,6,FALSE()))</f>
        <v/>
      </c>
      <c r="CW91" s="71"/>
    </row>
    <row r="92" customFormat="false" ht="15.75" hidden="false" customHeight="false" outlineLevel="0" collapsed="false">
      <c r="A92" s="9"/>
      <c r="B92" s="150"/>
      <c r="C92" s="151"/>
      <c r="D92" s="152"/>
      <c r="E92" s="170"/>
      <c r="F92" s="154"/>
      <c r="G92" s="155"/>
      <c r="H92" s="171"/>
      <c r="I92" s="159"/>
      <c r="J92" s="120"/>
      <c r="K92" s="121"/>
      <c r="L92" s="122"/>
      <c r="M92" s="158"/>
      <c r="N92" s="159"/>
      <c r="O92" s="159"/>
      <c r="P92" s="120"/>
      <c r="Q92" s="122"/>
      <c r="R92" s="122"/>
      <c r="S92" s="158"/>
      <c r="T92" s="159"/>
      <c r="U92" s="126"/>
      <c r="V92" s="127"/>
      <c r="W92" s="127" t="str">
        <f aca="false">IF(ISBLANK($C92),"",IF(E92=Constants!$B$2,TRUE(),IF(E92=Constants!$B$3,FALSE(),TRUE())))</f>
        <v/>
      </c>
      <c r="X92" s="127" t="str">
        <f aca="false">IF(ISBLANK($C92),"",IF(F92=Constants!$B$2,TRUE(),IF(F92=Constants!$B$3,FALSE(),TRUE())))</f>
        <v/>
      </c>
      <c r="Y92" s="127" t="str">
        <f aca="false">IF(ISBLANK($C92),"",IF(G92=Constants!$B$2,TRUE(),IF(G92=Constants!$B$3,FALSE(),TRUE())))</f>
        <v/>
      </c>
      <c r="Z92" s="127" t="str">
        <f aca="false">IF(ISBLANK($C92),"",IF(H92=Constants!$B$2,TRUE(),IF(H92=Constants!$B$3,FALSE(),TRUE())))</f>
        <v/>
      </c>
      <c r="AA92" s="127" t="str">
        <f aca="false">IF(ISBLANK($C92),"",IF(I92=Constants!$B$2,TRUE(),IF(I92=Constants!$B$3,FALSE(),TRUE())))</f>
        <v/>
      </c>
      <c r="AB92" s="127" t="str">
        <f aca="false">IF(ISBLANK($C92),"",IF(J92=Constants!$B$4,TRUE(),IF(J92=Constants!$B$5,FALSE(),COUNTA(K92:M92)&gt;0)))</f>
        <v/>
      </c>
      <c r="AC92" s="128" t="str">
        <f aca="false">IF(ISBLANK($C92),"",IF(ISNUMBER(K92),IF(K92&gt;=0,K92,""),""))</f>
        <v/>
      </c>
      <c r="AD92" s="129" t="str">
        <f aca="false">IF(ISBLANK($C92),"",IF(ISNUMBER(L92),IF(L92&gt;=0,L92,""),""))</f>
        <v/>
      </c>
      <c r="AE92" s="127" t="str">
        <f aca="false">IF(ISBLANK($C92),"",IF(ISNUMBER(M92),IF(M92&gt;=0,MIN(M92,Constants!$B$22),""),""))</f>
        <v/>
      </c>
      <c r="AF92" s="127" t="str">
        <f aca="false">IF(ISBLANK($C92),"",IF(N92=Constants!$B$2,TRUE(),IF(N92=Constants!$B$3,FALSE(),TRUE())))</f>
        <v/>
      </c>
      <c r="AG92" s="127" t="str">
        <f aca="false">IF(ISBLANK($C92),"",IF(O92=Constants!$B$2,TRUE(),IF(O92=Constants!$B$3,FALSE(),TRUE())))</f>
        <v/>
      </c>
      <c r="AH92" s="127" t="str">
        <f aca="false">IF(ISBLANK($C92),"",IF(P92=Constants!$B$4,TRUE(),IF(P92=Constants!$B$5,FALSE(),COUNTA(Q92:S92)&gt;0)))</f>
        <v/>
      </c>
      <c r="AI92" s="128" t="str">
        <f aca="false">IF(ISBLANK($C92),"",IF(ISNUMBER(Q92),IF(Q92&gt;=0,Q92,""),""))</f>
        <v/>
      </c>
      <c r="AJ92" s="129" t="str">
        <f aca="false">IF(ISBLANK($C92),"",IF(ISNUMBER(R92),IF(R92&gt;=0,R92,""),""))</f>
        <v/>
      </c>
      <c r="AK92" s="127" t="str">
        <f aca="false">IF(ISBLANK($C92),"",IF(ISNUMBER(S92),IF(S92&gt;=0,MIN(S92,Constants!$B$22),""),""))</f>
        <v/>
      </c>
      <c r="AL92" s="127" t="str">
        <f aca="false">IF(ISBLANK($C92),"",IF(T92=Constants!$B$2,TRUE(),IF(T92=Constants!$B$3,FALSE(),FALSE())))</f>
        <v/>
      </c>
      <c r="AM92" s="126" t="str">
        <f aca="false">IF(ISBLANK($C92),"",AND($AB92,OR($AC92="",$AD92="",AND(NOT(ISBLANK($M92)),$AE92=""))))</f>
        <v/>
      </c>
      <c r="AN92" s="129" t="str">
        <f aca="false">IF($BD92&lt;&gt;Constants!$B$6,"",IF($AB92,Constants!$B$17*$AD92,Constants!$B$18))</f>
        <v/>
      </c>
      <c r="AO92" s="130" t="str">
        <f aca="false">IF($BD92&lt;&gt;Constants!$B$6,"",Constants!$B$19*IF($AB92,$AC92,0))</f>
        <v/>
      </c>
      <c r="AP92" s="130" t="str">
        <f aca="false">IF($BD92&lt;&gt;Constants!$B$6,"",IF(AND($AB92,ISNUMBER($AE92)),Constants!$B$20*(Constants!$B$21-$AE92),0))</f>
        <v/>
      </c>
      <c r="AQ92" s="130" t="str">
        <f aca="false">IF($BD92&lt;&gt;Constants!$B$6,"",IF($AA92,0,Constants!$B$12)+IF($Z92,0,Constants!$B$13)+IF($Y92,0,Constants!$B$14))</f>
        <v/>
      </c>
      <c r="AR92" s="131" t="str">
        <f aca="false">IF($BD92&lt;&gt;Constants!$B$6,"",Constants!$B$16+SUM($AN92:$AQ92))</f>
        <v/>
      </c>
      <c r="AS92" s="130" t="str">
        <f aca="false">IF($BD92&lt;&gt;Constants!$B$6,"",IF($AB92,$AD92,""))</f>
        <v/>
      </c>
      <c r="AT92" s="132" t="str">
        <f aca="false">IF($BD92&lt;&gt;Constants!$B$6,"",$AO92)</f>
        <v/>
      </c>
      <c r="AU92" s="127" t="str">
        <f aca="false">IF($BD92&lt;&gt;Constants!$B$6,"",IF(OR($BA92&lt;$AR92,AND($BA92=$AR92,OR(AND(ISNUMBER($BB92),OR(NOT(ISNUMBER($AS92)),$BB92&lt;$AS92)),AND(OR(AND($BB92="",$AS92=""),AND(ISNUMBER($BB92),ISNUMBER($AS92),$BB92=$AS92)),$BC92&lt;$AT92)))),"-&gt;","&lt;-"))</f>
        <v/>
      </c>
      <c r="AV92" s="126" t="str">
        <f aca="false">IF(ISBLANK($C92),"",AND($AH92,OR($AI92="",$AJ92="",AND(NOT(ISBLANK($S92)),$AK92=""))))</f>
        <v/>
      </c>
      <c r="AW92" s="129" t="str">
        <f aca="false">IF($BD92&lt;&gt;Constants!$B$6,"",IF($AH92,Constants!$B$17*$AJ92,Constants!$B$18))</f>
        <v/>
      </c>
      <c r="AX92" s="130" t="str">
        <f aca="false">IF($BD92&lt;&gt;Constants!$B$6,"",Constants!$B$19*IF($AH92,$AI92,0))</f>
        <v/>
      </c>
      <c r="AY92" s="130" t="str">
        <f aca="false">IF($BD92&lt;&gt;Constants!$B$6,"",IF(AND($AH92,ISNUMBER($AK92)),Constants!$B$20*(Constants!$B$21-$AK92),0))</f>
        <v/>
      </c>
      <c r="AZ92" s="130" t="str">
        <f aca="false">IF($BD92&lt;&gt;Constants!$B$6,"",IF($AG92,0,Constants!$B$12)+IF($AF92,0,Constants!$B$13)+IF($Y92,0,Constants!$B$14))</f>
        <v/>
      </c>
      <c r="BA92" s="131" t="str">
        <f aca="false">IF($BD92&lt;&gt;Constants!$B$6,"",Constants!$B$16+SUM($AW92:$AZ92))</f>
        <v/>
      </c>
      <c r="BB92" s="130" t="str">
        <f aca="false">IF($BD92&lt;&gt;Constants!$B$6,"",IF($AH92,$AJ92,""))</f>
        <v/>
      </c>
      <c r="BC92" s="132" t="str">
        <f aca="false">IF($BD92&lt;&gt;Constants!$B$6,"",$AX92)</f>
        <v/>
      </c>
      <c r="BD92" s="127" t="str">
        <f aca="false">IF(ISBLANK($C92),"",IF($AL92,Constants!$B$9,IF(COUNTA($E92:$T92)=0,Constants!$B$8,IF(NOT($X92),Constants!$B$7,IF(OR($AM92,$AV92),Constants!$B$10,Constants!$B$6)))))</f>
        <v/>
      </c>
      <c r="BE92" s="127" t="str">
        <f aca="false">IF(ISBLANK($C92),"",IF($BD92&lt;&gt;Constants!$B$6,$BD92,Constants!$B$11))</f>
        <v/>
      </c>
      <c r="BF92" s="130" t="str">
        <f aca="false">IF($BD92&lt;&gt;Constants!$B$6,"",IF($AU92="-&gt;",$BA92,$AR92))</f>
        <v/>
      </c>
      <c r="BG92" s="130" t="str">
        <f aca="false">IF($BD92&lt;&gt;Constants!$B$6,"",IF($W92,0,Constants!$B$15))</f>
        <v/>
      </c>
      <c r="BH92" s="130" t="str">
        <f aca="false">IF(ISBLANK($C92),"",IF($BD92&lt;&gt;Constants!$B$6,$BD92,SUM($BF92:$BG92)))</f>
        <v/>
      </c>
      <c r="BI92" s="127" t="str">
        <f aca="false">IF(ISBLANK($C92),"",IF($BD92&lt;&gt;Constants!$B$6,$BD92,RANK($BH92,$BH$9:$BH$508,1)))</f>
        <v/>
      </c>
      <c r="BJ92" s="130" t="str">
        <f aca="false">IF($BD92&lt;&gt;Constants!$B$6,"",IF($AU92="-&gt;",$BB92,$AS92))</f>
        <v/>
      </c>
      <c r="BK92" s="127" t="str">
        <f aca="false">IF(ISBLANK($C92),"",IF($BD92&lt;&gt;Constants!$B$6,$BD92,IF(ISNUMBER($BJ92),RANK($BJ92,$BJ$9:$BJ$508,1),COUNT($BJ$9:$BJ$508)+1)))</f>
        <v/>
      </c>
      <c r="BL92" s="130" t="str">
        <f aca="false">IF($BD92&lt;&gt;Constants!$B$6,"",IF($AU92="-&gt;",$BC92,$AT92))</f>
        <v/>
      </c>
      <c r="BM92" s="127" t="str">
        <f aca="false">IF(ISBLANK($C92),"",IF($BD92&lt;&gt;Constants!$B$6,$BD92,IF(ISNUMBER($BL92),RANK($BL92,$BL$9:$BL$508,1),COUNT($BL$9:$BL$508)+1)))</f>
        <v/>
      </c>
      <c r="BN92" s="130" t="str">
        <f aca="false">IF($BD92&lt;&gt;Constants!$B$6,"",IF($AU92="-&gt;",$AS92,$BB92))</f>
        <v/>
      </c>
      <c r="BO92" s="127" t="str">
        <f aca="false">IF(ISBLANK($C92),"",IF($BD92&lt;&gt;Constants!$B$6,$BD92,IF(ISNUMBER($BN92),RANK($BN92,$BN$9:$BN$508,1),COUNT($BN$9:$BN$508)+1)))</f>
        <v/>
      </c>
      <c r="BP92" s="130" t="str">
        <f aca="false">IF($BD92&lt;&gt;Constants!$B$6,"",IF($AU92="-&gt;",$AT92,$BC92))</f>
        <v/>
      </c>
      <c r="BQ92" s="127" t="str">
        <f aca="false">IF(ISBLANK($C92),"",IF($BD92&lt;&gt;Constants!$B$6,$BD92,IF(ISNUMBER($BP92),RANK($BP92,$BP$9:$BP$508,1),COUNT($BP$9:$BP$508)+1)))</f>
        <v/>
      </c>
      <c r="BR92" s="127" t="str">
        <f aca="false">IF(ISBLANK($C92),"",IF($BD92&lt;&gt;Constants!$B$6,$BD92,COUNTIFS($BI$9:$BI$508,"&lt;"&amp;$BI92)+COUNTIFS($BI$9:$BI$508,$BI92,$BK$9:$BK$508,"&lt;"&amp;$BK92)+COUNTIFS($BI$9:$BI$508,$BI92,$BK$9:$BK$508,$BK92,$BM$9:$BM$508,"&lt;"&amp;$BM92)+COUNTIFS($BI$9:$BI$508,$BI92,$BK$9:$BK$508,$BK92,$BM$9:$BM$508,$BM92,$BO$9:$BO$508,"&lt;"&amp;$BO92)+COUNTIFS($BI$9:$BI$508,$BI92,$BK$9:$BK$508,$BK92,$BM$9:$BM$508,$BM92,$BO$9:$BO$508,$BO92,$BQ$9:$BQ$508,"&lt;"&amp;$BQ92)+1))</f>
        <v/>
      </c>
      <c r="BS92" s="127" t="str">
        <f aca="false">IF(ISBLANK($C92),"",IF($BD92&lt;&gt;Constants!$B$6,$BD92,$BI92-$BR92))</f>
        <v/>
      </c>
      <c r="BT92" s="133"/>
      <c r="BU92" s="134"/>
      <c r="BV92" s="134" t="str">
        <f aca="false">IF(ISBLANK($C92),"",IF($BD92&lt;&gt;Constants!$B$6,"",IF($AU92="-&gt;",2,1)))</f>
        <v/>
      </c>
      <c r="BW92" s="135" t="str">
        <f aca="false">IF(ISBLANK($C92),"",IF($BD92&lt;&gt;Constants!$B$6,"",IF($AU92="-&gt;",$AW92,$AN92)))</f>
        <v/>
      </c>
      <c r="BX92" s="135" t="str">
        <f aca="false">IF(ISBLANK($C92),"",IF($BD92&lt;&gt;Constants!$B$6,"",IF($AU92="-&gt;",$AX92,$AO92)))</f>
        <v/>
      </c>
      <c r="BY92" s="135" t="str">
        <f aca="false">IF(ISBLANK($C92),"",IF($BD92&lt;&gt;Constants!$B$6,"",IF($AU92="-&gt;",$AY92,$AP92)))</f>
        <v/>
      </c>
      <c r="BZ92" s="135" t="str">
        <f aca="false">IF(ISBLANK($C92),"",IF($BD92&lt;&gt;Constants!$B$6,"",IF($AU92="-&gt;",$AZ92,$AQ92)+$BG92))</f>
        <v/>
      </c>
      <c r="CA92" s="136" t="str">
        <f aca="false">IF(ISBLANK($C92),"",IF($BD92&lt;&gt;Constants!$B$6,$BD92,$BH92))</f>
        <v/>
      </c>
      <c r="CB92" s="137" t="str">
        <f aca="false">IF(ISBLANK($C92),"",$BE92)</f>
        <v/>
      </c>
      <c r="CC92" s="138" t="str">
        <f aca="false">IF(ISBLANK($C92),"",$BS92)</f>
        <v/>
      </c>
      <c r="CD92" s="138" t="str">
        <f aca="false">IF(ISBLANK($C92),"",$BR92)</f>
        <v/>
      </c>
      <c r="CE92" s="139" t="str">
        <f aca="false">IF(ISBLANK($C92),"",IF($CD92=Constants!$B$9,COUNTA($C$9:$C$508)+2,IF($CD92=Constants!$B$8,COUNTA($C$9:$C$508)+1,IF($CD92=Constants!$B$7,COUNTA($C$9:$C$508),$CD92))))</f>
        <v/>
      </c>
      <c r="CF92" s="9"/>
      <c r="CG92" s="140" t="n">
        <f aca="false">IF(OR(ISNUMBER($CD92),$CD92=Constants!$B$9,$CD92=Constants!$B$7,$CD92=Constants!$B$8),1,0)</f>
        <v>0</v>
      </c>
      <c r="CH92" s="140" t="n">
        <v>84</v>
      </c>
      <c r="CI92" s="140" t="str">
        <f aca="false">IF(ISBLANK($C92),"",IF(ISNUMBER($CE92),$CE92+ROW($B92)/1000,""))</f>
        <v/>
      </c>
      <c r="CJ92" s="140" t="str">
        <f aca="false">IF(ISNUMBER($CI92),RANK($CI92,$CI$9:$CI$508,1),"")</f>
        <v/>
      </c>
      <c r="CK92" s="140" t="str">
        <f aca="false">IF(ISBLANK($C92),"",$B92)</f>
        <v/>
      </c>
      <c r="CL92" s="140" t="str">
        <f aca="false">IF(ISBLANK($C92),"",$C92)</f>
        <v/>
      </c>
      <c r="CM92" s="140" t="str">
        <f aca="false">IF(ISBLANK($C92),"",$D92)</f>
        <v/>
      </c>
      <c r="CN92" s="141" t="str">
        <f aca="false">$CB92</f>
        <v/>
      </c>
      <c r="CO92" s="142" t="str">
        <f aca="false">$CA92</f>
        <v/>
      </c>
      <c r="CP92" s="140" t="str">
        <f aca="false">IF(ISBLANK($C92),"",$CD92)</f>
        <v/>
      </c>
      <c r="CQ92" s="143" t="str">
        <f aca="false">IF($CH92&gt;$CG$8,"",VLOOKUP($CH92,$CJ$9:$CP$508,7,FALSE()))</f>
        <v/>
      </c>
      <c r="CR92" s="144" t="str">
        <f aca="false">IF($CH92&gt;$CG$8,"",VLOOKUP($CH92,$CJ$9:$CP$508,2,FALSE()))</f>
        <v/>
      </c>
      <c r="CS92" s="144" t="str">
        <f aca="false">IF($CH92&gt;$CG$8,"",VLOOKUP($CH92,$CJ$9:$CP$508,3,FALSE()))</f>
        <v/>
      </c>
      <c r="CT92" s="144" t="str">
        <f aca="false">IF($CH92&gt;$CG$8,"",VLOOKUP($CH92,$CJ$9:$CP$508,4,FALSE()))</f>
        <v/>
      </c>
      <c r="CU92" s="144" t="str">
        <f aca="false">IF($CH92&gt;$CG$8,"",VLOOKUP($CH92,$CJ$9:$CP$508,5,FALSE()))</f>
        <v/>
      </c>
      <c r="CV92" s="145" t="str">
        <f aca="false">IF($CH92&gt;$CG$8,"",VLOOKUP($CH92,$CJ$9:$CP$508,6,FALSE()))</f>
        <v/>
      </c>
      <c r="CW92" s="71"/>
    </row>
    <row r="93" customFormat="false" ht="15.75" hidden="false" customHeight="false" outlineLevel="0" collapsed="false">
      <c r="A93" s="9"/>
      <c r="B93" s="72"/>
      <c r="C93" s="73"/>
      <c r="D93" s="160"/>
      <c r="E93" s="168"/>
      <c r="F93" s="162"/>
      <c r="G93" s="163"/>
      <c r="H93" s="169"/>
      <c r="I93" s="167"/>
      <c r="J93" s="80"/>
      <c r="K93" s="81"/>
      <c r="L93" s="82"/>
      <c r="M93" s="166"/>
      <c r="N93" s="167"/>
      <c r="O93" s="167"/>
      <c r="P93" s="80"/>
      <c r="Q93" s="82"/>
      <c r="R93" s="82"/>
      <c r="S93" s="166"/>
      <c r="T93" s="167"/>
      <c r="U93" s="86"/>
      <c r="V93" s="87"/>
      <c r="W93" s="87" t="str">
        <f aca="false">IF(ISBLANK($C93),"",IF(E93=Constants!$B$2,TRUE(),IF(E93=Constants!$B$3,FALSE(),TRUE())))</f>
        <v/>
      </c>
      <c r="X93" s="87" t="str">
        <f aca="false">IF(ISBLANK($C93),"",IF(F93=Constants!$B$2,TRUE(),IF(F93=Constants!$B$3,FALSE(),TRUE())))</f>
        <v/>
      </c>
      <c r="Y93" s="87" t="str">
        <f aca="false">IF(ISBLANK($C93),"",IF(G93=Constants!$B$2,TRUE(),IF(G93=Constants!$B$3,FALSE(),TRUE())))</f>
        <v/>
      </c>
      <c r="Z93" s="87" t="str">
        <f aca="false">IF(ISBLANK($C93),"",IF(H93=Constants!$B$2,TRUE(),IF(H93=Constants!$B$3,FALSE(),TRUE())))</f>
        <v/>
      </c>
      <c r="AA93" s="87" t="str">
        <f aca="false">IF(ISBLANK($C93),"",IF(I93=Constants!$B$2,TRUE(),IF(I93=Constants!$B$3,FALSE(),TRUE())))</f>
        <v/>
      </c>
      <c r="AB93" s="87" t="str">
        <f aca="false">IF(ISBLANK($C93),"",IF(J93=Constants!$B$4,TRUE(),IF(J93=Constants!$B$5,FALSE(),COUNTA(K93:M93)&gt;0)))</f>
        <v/>
      </c>
      <c r="AC93" s="88" t="str">
        <f aca="false">IF(ISBLANK($C93),"",IF(ISNUMBER(K93),IF(K93&gt;=0,K93,""),""))</f>
        <v/>
      </c>
      <c r="AD93" s="89" t="str">
        <f aca="false">IF(ISBLANK($C93),"",IF(ISNUMBER(L93),IF(L93&gt;=0,L93,""),""))</f>
        <v/>
      </c>
      <c r="AE93" s="87" t="str">
        <f aca="false">IF(ISBLANK($C93),"",IF(ISNUMBER(M93),IF(M93&gt;=0,MIN(M93,Constants!$B$22),""),""))</f>
        <v/>
      </c>
      <c r="AF93" s="87" t="str">
        <f aca="false">IF(ISBLANK($C93),"",IF(N93=Constants!$B$2,TRUE(),IF(N93=Constants!$B$3,FALSE(),TRUE())))</f>
        <v/>
      </c>
      <c r="AG93" s="87" t="str">
        <f aca="false">IF(ISBLANK($C93),"",IF(O93=Constants!$B$2,TRUE(),IF(O93=Constants!$B$3,FALSE(),TRUE())))</f>
        <v/>
      </c>
      <c r="AH93" s="87" t="str">
        <f aca="false">IF(ISBLANK($C93),"",IF(P93=Constants!$B$4,TRUE(),IF(P93=Constants!$B$5,FALSE(),COUNTA(Q93:S93)&gt;0)))</f>
        <v/>
      </c>
      <c r="AI93" s="88" t="str">
        <f aca="false">IF(ISBLANK($C93),"",IF(ISNUMBER(Q93),IF(Q93&gt;=0,Q93,""),""))</f>
        <v/>
      </c>
      <c r="AJ93" s="89" t="str">
        <f aca="false">IF(ISBLANK($C93),"",IF(ISNUMBER(R93),IF(R93&gt;=0,R93,""),""))</f>
        <v/>
      </c>
      <c r="AK93" s="87" t="str">
        <f aca="false">IF(ISBLANK($C93),"",IF(ISNUMBER(S93),IF(S93&gt;=0,MIN(S93,Constants!$B$22),""),""))</f>
        <v/>
      </c>
      <c r="AL93" s="87" t="str">
        <f aca="false">IF(ISBLANK($C93),"",IF(T93=Constants!$B$2,TRUE(),IF(T93=Constants!$B$3,FALSE(),FALSE())))</f>
        <v/>
      </c>
      <c r="AM93" s="86" t="str">
        <f aca="false">IF(ISBLANK($C93),"",AND($AB93,OR($AC93="",$AD93="",AND(NOT(ISBLANK($M93)),$AE93=""))))</f>
        <v/>
      </c>
      <c r="AN93" s="89" t="str">
        <f aca="false">IF($BD93&lt;&gt;Constants!$B$6,"",IF($AB93,Constants!$B$17*$AD93,Constants!$B$18))</f>
        <v/>
      </c>
      <c r="AO93" s="91" t="str">
        <f aca="false">IF($BD93&lt;&gt;Constants!$B$6,"",Constants!$B$19*IF($AB93,$AC93,0))</f>
        <v/>
      </c>
      <c r="AP93" s="91" t="str">
        <f aca="false">IF($BD93&lt;&gt;Constants!$B$6,"",IF(AND($AB93,ISNUMBER($AE93)),Constants!$B$20*(Constants!$B$21-$AE93),0))</f>
        <v/>
      </c>
      <c r="AQ93" s="91" t="str">
        <f aca="false">IF($BD93&lt;&gt;Constants!$B$6,"",IF($AA93,0,Constants!$B$12)+IF($Z93,0,Constants!$B$13)+IF($Y93,0,Constants!$B$14))</f>
        <v/>
      </c>
      <c r="AR93" s="92" t="str">
        <f aca="false">IF($BD93&lt;&gt;Constants!$B$6,"",Constants!$B$16+SUM($AN93:$AQ93))</f>
        <v/>
      </c>
      <c r="AS93" s="91" t="str">
        <f aca="false">IF($BD93&lt;&gt;Constants!$B$6,"",IF($AB93,$AD93,""))</f>
        <v/>
      </c>
      <c r="AT93" s="93" t="str">
        <f aca="false">IF($BD93&lt;&gt;Constants!$B$6,"",$AO93)</f>
        <v/>
      </c>
      <c r="AU93" s="87" t="str">
        <f aca="false">IF($BD93&lt;&gt;Constants!$B$6,"",IF(OR($BA93&lt;$AR93,AND($BA93=$AR93,OR(AND(ISNUMBER($BB93),OR(NOT(ISNUMBER($AS93)),$BB93&lt;$AS93)),AND(OR(AND($BB93="",$AS93=""),AND(ISNUMBER($BB93),ISNUMBER($AS93),$BB93=$AS93)),$BC93&lt;$AT93)))),"-&gt;","&lt;-"))</f>
        <v/>
      </c>
      <c r="AV93" s="86" t="str">
        <f aca="false">IF(ISBLANK($C93),"",AND($AH93,OR($AI93="",$AJ93="",AND(NOT(ISBLANK($S93)),$AK93=""))))</f>
        <v/>
      </c>
      <c r="AW93" s="89" t="str">
        <f aca="false">IF($BD93&lt;&gt;Constants!$B$6,"",IF($AH93,Constants!$B$17*$AJ93,Constants!$B$18))</f>
        <v/>
      </c>
      <c r="AX93" s="91" t="str">
        <f aca="false">IF($BD93&lt;&gt;Constants!$B$6,"",Constants!$B$19*IF($AH93,$AI93,0))</f>
        <v/>
      </c>
      <c r="AY93" s="91" t="str">
        <f aca="false">IF($BD93&lt;&gt;Constants!$B$6,"",IF(AND($AH93,ISNUMBER($AK93)),Constants!$B$20*(Constants!$B$21-$AK93),0))</f>
        <v/>
      </c>
      <c r="AZ93" s="91" t="str">
        <f aca="false">IF($BD93&lt;&gt;Constants!$B$6,"",IF($AG93,0,Constants!$B$12)+IF($AF93,0,Constants!$B$13)+IF($Y93,0,Constants!$B$14))</f>
        <v/>
      </c>
      <c r="BA93" s="92" t="str">
        <f aca="false">IF($BD93&lt;&gt;Constants!$B$6,"",Constants!$B$16+SUM($AW93:$AZ93))</f>
        <v/>
      </c>
      <c r="BB93" s="91" t="str">
        <f aca="false">IF($BD93&lt;&gt;Constants!$B$6,"",IF($AH93,$AJ93,""))</f>
        <v/>
      </c>
      <c r="BC93" s="93" t="str">
        <f aca="false">IF($BD93&lt;&gt;Constants!$B$6,"",$AX93)</f>
        <v/>
      </c>
      <c r="BD93" s="87" t="str">
        <f aca="false">IF(ISBLANK($C93),"",IF($AL93,Constants!$B$9,IF(COUNTA($E93:$T93)=0,Constants!$B$8,IF(NOT($X93),Constants!$B$7,IF(OR($AM93,$AV93),Constants!$B$10,Constants!$B$6)))))</f>
        <v/>
      </c>
      <c r="BE93" s="87" t="str">
        <f aca="false">IF(ISBLANK($C93),"",IF($BD93&lt;&gt;Constants!$B$6,$BD93,Constants!$B$11))</f>
        <v/>
      </c>
      <c r="BF93" s="91" t="str">
        <f aca="false">IF($BD93&lt;&gt;Constants!$B$6,"",IF($AU93="-&gt;",$BA93,$AR93))</f>
        <v/>
      </c>
      <c r="BG93" s="91" t="str">
        <f aca="false">IF($BD93&lt;&gt;Constants!$B$6,"",IF($W93,0,Constants!$B$15))</f>
        <v/>
      </c>
      <c r="BH93" s="91" t="str">
        <f aca="false">IF(ISBLANK($C93),"",IF($BD93&lt;&gt;Constants!$B$6,$BD93,SUM($BF93:$BG93)))</f>
        <v/>
      </c>
      <c r="BI93" s="87" t="str">
        <f aca="false">IF(ISBLANK($C93),"",IF($BD93&lt;&gt;Constants!$B$6,$BD93,RANK($BH93,$BH$9:$BH$508,1)))</f>
        <v/>
      </c>
      <c r="BJ93" s="91" t="str">
        <f aca="false">IF($BD93&lt;&gt;Constants!$B$6,"",IF($AU93="-&gt;",$BB93,$AS93))</f>
        <v/>
      </c>
      <c r="BK93" s="87" t="str">
        <f aca="false">IF(ISBLANK($C93),"",IF($BD93&lt;&gt;Constants!$B$6,$BD93,IF(ISNUMBER($BJ93),RANK($BJ93,$BJ$9:$BJ$508,1),COUNT($BJ$9:$BJ$508)+1)))</f>
        <v/>
      </c>
      <c r="BL93" s="91" t="str">
        <f aca="false">IF($BD93&lt;&gt;Constants!$B$6,"",IF($AU93="-&gt;",$BC93,$AT93))</f>
        <v/>
      </c>
      <c r="BM93" s="87" t="str">
        <f aca="false">IF(ISBLANK($C93),"",IF($BD93&lt;&gt;Constants!$B$6,$BD93,IF(ISNUMBER($BL93),RANK($BL93,$BL$9:$BL$508,1),COUNT($BL$9:$BL$508)+1)))</f>
        <v/>
      </c>
      <c r="BN93" s="91" t="str">
        <f aca="false">IF($BD93&lt;&gt;Constants!$B$6,"",IF($AU93="-&gt;",$AS93,$BB93))</f>
        <v/>
      </c>
      <c r="BO93" s="87" t="str">
        <f aca="false">IF(ISBLANK($C93),"",IF($BD93&lt;&gt;Constants!$B$6,$BD93,IF(ISNUMBER($BN93),RANK($BN93,$BN$9:$BN$508,1),COUNT($BN$9:$BN$508)+1)))</f>
        <v/>
      </c>
      <c r="BP93" s="91" t="str">
        <f aca="false">IF($BD93&lt;&gt;Constants!$B$6,"",IF($AU93="-&gt;",$AT93,$BC93))</f>
        <v/>
      </c>
      <c r="BQ93" s="87" t="str">
        <f aca="false">IF(ISBLANK($C93),"",IF($BD93&lt;&gt;Constants!$B$6,$BD93,IF(ISNUMBER($BP93),RANK($BP93,$BP$9:$BP$508,1),COUNT($BP$9:$BP$508)+1)))</f>
        <v/>
      </c>
      <c r="BR93" s="87" t="str">
        <f aca="false">IF(ISBLANK($C93),"",IF($BD93&lt;&gt;Constants!$B$6,$BD93,COUNTIFS($BI$9:$BI$508,"&lt;"&amp;$BI93)+COUNTIFS($BI$9:$BI$508,$BI93,$BK$9:$BK$508,"&lt;"&amp;$BK93)+COUNTIFS($BI$9:$BI$508,$BI93,$BK$9:$BK$508,$BK93,$BM$9:$BM$508,"&lt;"&amp;$BM93)+COUNTIFS($BI$9:$BI$508,$BI93,$BK$9:$BK$508,$BK93,$BM$9:$BM$508,$BM93,$BO$9:$BO$508,"&lt;"&amp;$BO93)+COUNTIFS($BI$9:$BI$508,$BI93,$BK$9:$BK$508,$BK93,$BM$9:$BM$508,$BM93,$BO$9:$BO$508,$BO93,$BQ$9:$BQ$508,"&lt;"&amp;$BQ93)+1))</f>
        <v/>
      </c>
      <c r="BS93" s="87" t="str">
        <f aca="false">IF(ISBLANK($C93),"",IF($BD93&lt;&gt;Constants!$B$6,$BD93,$BI93-$BR93))</f>
        <v/>
      </c>
      <c r="BT93" s="94"/>
      <c r="BU93" s="95"/>
      <c r="BV93" s="95" t="str">
        <f aca="false">IF(ISBLANK($C93),"",IF($BD93&lt;&gt;Constants!$B$6,"",IF($AU93="-&gt;",2,1)))</f>
        <v/>
      </c>
      <c r="BW93" s="96" t="str">
        <f aca="false">IF(ISBLANK($C93),"",IF($BD93&lt;&gt;Constants!$B$6,"",IF($AU93="-&gt;",$AW93,$AN93)))</f>
        <v/>
      </c>
      <c r="BX93" s="96" t="str">
        <f aca="false">IF(ISBLANK($C93),"",IF($BD93&lt;&gt;Constants!$B$6,"",IF($AU93="-&gt;",$AX93,$AO93)))</f>
        <v/>
      </c>
      <c r="BY93" s="96" t="str">
        <f aca="false">IF(ISBLANK($C93),"",IF($BD93&lt;&gt;Constants!$B$6,"",IF($AU93="-&gt;",$AY93,$AP93)))</f>
        <v/>
      </c>
      <c r="BZ93" s="96" t="str">
        <f aca="false">IF(ISBLANK($C93),"",IF($BD93&lt;&gt;Constants!$B$6,"",IF($AU93="-&gt;",$AZ93,$AQ93)+$BG93))</f>
        <v/>
      </c>
      <c r="CA93" s="97" t="str">
        <f aca="false">IF(ISBLANK($C93),"",IF($BD93&lt;&gt;Constants!$B$6,$BD93,$BH93))</f>
        <v/>
      </c>
      <c r="CB93" s="98" t="str">
        <f aca="false">IF(ISBLANK($C93),"",$BE93)</f>
        <v/>
      </c>
      <c r="CC93" s="99" t="str">
        <f aca="false">IF(ISBLANK($C93),"",$BS93)</f>
        <v/>
      </c>
      <c r="CD93" s="99" t="str">
        <f aca="false">IF(ISBLANK($C93),"",$BR93)</f>
        <v/>
      </c>
      <c r="CE93" s="100" t="str">
        <f aca="false">IF(ISBLANK($C93),"",IF($CD93=Constants!$B$9,COUNTA($C$9:$C$508)+2,IF($CD93=Constants!$B$8,COUNTA($C$9:$C$508)+1,IF($CD93=Constants!$B$7,COUNTA($C$9:$C$508),$CD93))))</f>
        <v/>
      </c>
      <c r="CF93" s="9"/>
      <c r="CG93" s="101" t="n">
        <f aca="false">IF(OR(ISNUMBER($CD93),$CD93=Constants!$B$9,$CD93=Constants!$B$7,$CD93=Constants!$B$8),1,0)</f>
        <v>0</v>
      </c>
      <c r="CH93" s="101" t="n">
        <v>85</v>
      </c>
      <c r="CI93" s="101" t="str">
        <f aca="false">IF(ISBLANK($C93),"",IF(ISNUMBER($CE93),$CE93+ROW($B93)/1000,""))</f>
        <v/>
      </c>
      <c r="CJ93" s="101" t="str">
        <f aca="false">IF(ISNUMBER($CI93),RANK($CI93,$CI$9:$CI$508,1),"")</f>
        <v/>
      </c>
      <c r="CK93" s="101" t="str">
        <f aca="false">IF(ISBLANK($C93),"",$B93)</f>
        <v/>
      </c>
      <c r="CL93" s="101" t="str">
        <f aca="false">IF(ISBLANK($C93),"",$C93)</f>
        <v/>
      </c>
      <c r="CM93" s="101" t="str">
        <f aca="false">IF(ISBLANK($C93),"",$D93)</f>
        <v/>
      </c>
      <c r="CN93" s="102" t="str">
        <f aca="false">$CB93</f>
        <v/>
      </c>
      <c r="CO93" s="103" t="str">
        <f aca="false">$CA93</f>
        <v/>
      </c>
      <c r="CP93" s="101" t="str">
        <f aca="false">IF(ISBLANK($C93),"",$CD93)</f>
        <v/>
      </c>
      <c r="CQ93" s="104" t="str">
        <f aca="false">IF($CH93&gt;$CG$8,"",VLOOKUP($CH93,$CJ$9:$CP$508,7,FALSE()))</f>
        <v/>
      </c>
      <c r="CR93" s="105" t="str">
        <f aca="false">IF($CH93&gt;$CG$8,"",VLOOKUP($CH93,$CJ$9:$CP$508,2,FALSE()))</f>
        <v/>
      </c>
      <c r="CS93" s="105" t="str">
        <f aca="false">IF($CH93&gt;$CG$8,"",VLOOKUP($CH93,$CJ$9:$CP$508,3,FALSE()))</f>
        <v/>
      </c>
      <c r="CT93" s="105" t="str">
        <f aca="false">IF($CH93&gt;$CG$8,"",VLOOKUP($CH93,$CJ$9:$CP$508,4,FALSE()))</f>
        <v/>
      </c>
      <c r="CU93" s="105" t="str">
        <f aca="false">IF($CH93&gt;$CG$8,"",VLOOKUP($CH93,$CJ$9:$CP$508,5,FALSE()))</f>
        <v/>
      </c>
      <c r="CV93" s="106" t="str">
        <f aca="false">IF($CH93&gt;$CG$8,"",VLOOKUP($CH93,$CJ$9:$CP$508,6,FALSE()))</f>
        <v/>
      </c>
      <c r="CW93" s="71"/>
    </row>
    <row r="94" customFormat="false" ht="15.75" hidden="false" customHeight="false" outlineLevel="0" collapsed="false">
      <c r="A94" s="9"/>
      <c r="B94" s="72"/>
      <c r="C94" s="73"/>
      <c r="D94" s="160"/>
      <c r="E94" s="168"/>
      <c r="F94" s="162"/>
      <c r="G94" s="163"/>
      <c r="H94" s="169"/>
      <c r="I94" s="167"/>
      <c r="J94" s="80"/>
      <c r="K94" s="81"/>
      <c r="L94" s="82"/>
      <c r="M94" s="166"/>
      <c r="N94" s="167"/>
      <c r="O94" s="167"/>
      <c r="P94" s="80"/>
      <c r="Q94" s="82"/>
      <c r="R94" s="82"/>
      <c r="S94" s="166"/>
      <c r="T94" s="167"/>
      <c r="U94" s="86"/>
      <c r="V94" s="87"/>
      <c r="W94" s="87" t="str">
        <f aca="false">IF(ISBLANK($C94),"",IF(E94=Constants!$B$2,TRUE(),IF(E94=Constants!$B$3,FALSE(),TRUE())))</f>
        <v/>
      </c>
      <c r="X94" s="87" t="str">
        <f aca="false">IF(ISBLANK($C94),"",IF(F94=Constants!$B$2,TRUE(),IF(F94=Constants!$B$3,FALSE(),TRUE())))</f>
        <v/>
      </c>
      <c r="Y94" s="87" t="str">
        <f aca="false">IF(ISBLANK($C94),"",IF(G94=Constants!$B$2,TRUE(),IF(G94=Constants!$B$3,FALSE(),TRUE())))</f>
        <v/>
      </c>
      <c r="Z94" s="87" t="str">
        <f aca="false">IF(ISBLANK($C94),"",IF(H94=Constants!$B$2,TRUE(),IF(H94=Constants!$B$3,FALSE(),TRUE())))</f>
        <v/>
      </c>
      <c r="AA94" s="87" t="str">
        <f aca="false">IF(ISBLANK($C94),"",IF(I94=Constants!$B$2,TRUE(),IF(I94=Constants!$B$3,FALSE(),TRUE())))</f>
        <v/>
      </c>
      <c r="AB94" s="87" t="str">
        <f aca="false">IF(ISBLANK($C94),"",IF(J94=Constants!$B$4,TRUE(),IF(J94=Constants!$B$5,FALSE(),COUNTA(K94:M94)&gt;0)))</f>
        <v/>
      </c>
      <c r="AC94" s="88" t="str">
        <f aca="false">IF(ISBLANK($C94),"",IF(ISNUMBER(K94),IF(K94&gt;=0,K94,""),""))</f>
        <v/>
      </c>
      <c r="AD94" s="89" t="str">
        <f aca="false">IF(ISBLANK($C94),"",IF(ISNUMBER(L94),IF(L94&gt;=0,L94,""),""))</f>
        <v/>
      </c>
      <c r="AE94" s="87" t="str">
        <f aca="false">IF(ISBLANK($C94),"",IF(ISNUMBER(M94),IF(M94&gt;=0,MIN(M94,Constants!$B$22),""),""))</f>
        <v/>
      </c>
      <c r="AF94" s="87" t="str">
        <f aca="false">IF(ISBLANK($C94),"",IF(N94=Constants!$B$2,TRUE(),IF(N94=Constants!$B$3,FALSE(),TRUE())))</f>
        <v/>
      </c>
      <c r="AG94" s="87" t="str">
        <f aca="false">IF(ISBLANK($C94),"",IF(O94=Constants!$B$2,TRUE(),IF(O94=Constants!$B$3,FALSE(),TRUE())))</f>
        <v/>
      </c>
      <c r="AH94" s="87" t="str">
        <f aca="false">IF(ISBLANK($C94),"",IF(P94=Constants!$B$4,TRUE(),IF(P94=Constants!$B$5,FALSE(),COUNTA(Q94:S94)&gt;0)))</f>
        <v/>
      </c>
      <c r="AI94" s="88" t="str">
        <f aca="false">IF(ISBLANK($C94),"",IF(ISNUMBER(Q94),IF(Q94&gt;=0,Q94,""),""))</f>
        <v/>
      </c>
      <c r="AJ94" s="89" t="str">
        <f aca="false">IF(ISBLANK($C94),"",IF(ISNUMBER(R94),IF(R94&gt;=0,R94,""),""))</f>
        <v/>
      </c>
      <c r="AK94" s="87" t="str">
        <f aca="false">IF(ISBLANK($C94),"",IF(ISNUMBER(S94),IF(S94&gt;=0,MIN(S94,Constants!$B$22),""),""))</f>
        <v/>
      </c>
      <c r="AL94" s="87" t="str">
        <f aca="false">IF(ISBLANK($C94),"",IF(T94=Constants!$B$2,TRUE(),IF(T94=Constants!$B$3,FALSE(),FALSE())))</f>
        <v/>
      </c>
      <c r="AM94" s="86" t="str">
        <f aca="false">IF(ISBLANK($C94),"",AND($AB94,OR($AC94="",$AD94="",AND(NOT(ISBLANK($M94)),$AE94=""))))</f>
        <v/>
      </c>
      <c r="AN94" s="89" t="str">
        <f aca="false">IF($BD94&lt;&gt;Constants!$B$6,"",IF($AB94,Constants!$B$17*$AD94,Constants!$B$18))</f>
        <v/>
      </c>
      <c r="AO94" s="91" t="str">
        <f aca="false">IF($BD94&lt;&gt;Constants!$B$6,"",Constants!$B$19*IF($AB94,$AC94,0))</f>
        <v/>
      </c>
      <c r="AP94" s="91" t="str">
        <f aca="false">IF($BD94&lt;&gt;Constants!$B$6,"",IF(AND($AB94,ISNUMBER($AE94)),Constants!$B$20*(Constants!$B$21-$AE94),0))</f>
        <v/>
      </c>
      <c r="AQ94" s="91" t="str">
        <f aca="false">IF($BD94&lt;&gt;Constants!$B$6,"",IF($AA94,0,Constants!$B$12)+IF($Z94,0,Constants!$B$13)+IF($Y94,0,Constants!$B$14))</f>
        <v/>
      </c>
      <c r="AR94" s="92" t="str">
        <f aca="false">IF($BD94&lt;&gt;Constants!$B$6,"",Constants!$B$16+SUM($AN94:$AQ94))</f>
        <v/>
      </c>
      <c r="AS94" s="91" t="str">
        <f aca="false">IF($BD94&lt;&gt;Constants!$B$6,"",IF($AB94,$AD94,""))</f>
        <v/>
      </c>
      <c r="AT94" s="93" t="str">
        <f aca="false">IF($BD94&lt;&gt;Constants!$B$6,"",$AO94)</f>
        <v/>
      </c>
      <c r="AU94" s="87" t="str">
        <f aca="false">IF($BD94&lt;&gt;Constants!$B$6,"",IF(OR($BA94&lt;$AR94,AND($BA94=$AR94,OR(AND(ISNUMBER($BB94),OR(NOT(ISNUMBER($AS94)),$BB94&lt;$AS94)),AND(OR(AND($BB94="",$AS94=""),AND(ISNUMBER($BB94),ISNUMBER($AS94),$BB94=$AS94)),$BC94&lt;$AT94)))),"-&gt;","&lt;-"))</f>
        <v/>
      </c>
      <c r="AV94" s="86" t="str">
        <f aca="false">IF(ISBLANK($C94),"",AND($AH94,OR($AI94="",$AJ94="",AND(NOT(ISBLANK($S94)),$AK94=""))))</f>
        <v/>
      </c>
      <c r="AW94" s="89" t="str">
        <f aca="false">IF($BD94&lt;&gt;Constants!$B$6,"",IF($AH94,Constants!$B$17*$AJ94,Constants!$B$18))</f>
        <v/>
      </c>
      <c r="AX94" s="91" t="str">
        <f aca="false">IF($BD94&lt;&gt;Constants!$B$6,"",Constants!$B$19*IF($AH94,$AI94,0))</f>
        <v/>
      </c>
      <c r="AY94" s="91" t="str">
        <f aca="false">IF($BD94&lt;&gt;Constants!$B$6,"",IF(AND($AH94,ISNUMBER($AK94)),Constants!$B$20*(Constants!$B$21-$AK94),0))</f>
        <v/>
      </c>
      <c r="AZ94" s="91" t="str">
        <f aca="false">IF($BD94&lt;&gt;Constants!$B$6,"",IF($AG94,0,Constants!$B$12)+IF($AF94,0,Constants!$B$13)+IF($Y94,0,Constants!$B$14))</f>
        <v/>
      </c>
      <c r="BA94" s="92" t="str">
        <f aca="false">IF($BD94&lt;&gt;Constants!$B$6,"",Constants!$B$16+SUM($AW94:$AZ94))</f>
        <v/>
      </c>
      <c r="BB94" s="91" t="str">
        <f aca="false">IF($BD94&lt;&gt;Constants!$B$6,"",IF($AH94,$AJ94,""))</f>
        <v/>
      </c>
      <c r="BC94" s="93" t="str">
        <f aca="false">IF($BD94&lt;&gt;Constants!$B$6,"",$AX94)</f>
        <v/>
      </c>
      <c r="BD94" s="87" t="str">
        <f aca="false">IF(ISBLANK($C94),"",IF($AL94,Constants!$B$9,IF(COUNTA($E94:$T94)=0,Constants!$B$8,IF(NOT($X94),Constants!$B$7,IF(OR($AM94,$AV94),Constants!$B$10,Constants!$B$6)))))</f>
        <v/>
      </c>
      <c r="BE94" s="87" t="str">
        <f aca="false">IF(ISBLANK($C94),"",IF($BD94&lt;&gt;Constants!$B$6,$BD94,Constants!$B$11))</f>
        <v/>
      </c>
      <c r="BF94" s="91" t="str">
        <f aca="false">IF($BD94&lt;&gt;Constants!$B$6,"",IF($AU94="-&gt;",$BA94,$AR94))</f>
        <v/>
      </c>
      <c r="BG94" s="91" t="str">
        <f aca="false">IF($BD94&lt;&gt;Constants!$B$6,"",IF($W94,0,Constants!$B$15))</f>
        <v/>
      </c>
      <c r="BH94" s="91" t="str">
        <f aca="false">IF(ISBLANK($C94),"",IF($BD94&lt;&gt;Constants!$B$6,$BD94,SUM($BF94:$BG94)))</f>
        <v/>
      </c>
      <c r="BI94" s="87" t="str">
        <f aca="false">IF(ISBLANK($C94),"",IF($BD94&lt;&gt;Constants!$B$6,$BD94,RANK($BH94,$BH$9:$BH$508,1)))</f>
        <v/>
      </c>
      <c r="BJ94" s="91" t="str">
        <f aca="false">IF($BD94&lt;&gt;Constants!$B$6,"",IF($AU94="-&gt;",$BB94,$AS94))</f>
        <v/>
      </c>
      <c r="BK94" s="87" t="str">
        <f aca="false">IF(ISBLANK($C94),"",IF($BD94&lt;&gt;Constants!$B$6,$BD94,IF(ISNUMBER($BJ94),RANK($BJ94,$BJ$9:$BJ$508,1),COUNT($BJ$9:$BJ$508)+1)))</f>
        <v/>
      </c>
      <c r="BL94" s="91" t="str">
        <f aca="false">IF($BD94&lt;&gt;Constants!$B$6,"",IF($AU94="-&gt;",$BC94,$AT94))</f>
        <v/>
      </c>
      <c r="BM94" s="87" t="str">
        <f aca="false">IF(ISBLANK($C94),"",IF($BD94&lt;&gt;Constants!$B$6,$BD94,IF(ISNUMBER($BL94),RANK($BL94,$BL$9:$BL$508,1),COUNT($BL$9:$BL$508)+1)))</f>
        <v/>
      </c>
      <c r="BN94" s="91" t="str">
        <f aca="false">IF($BD94&lt;&gt;Constants!$B$6,"",IF($AU94="-&gt;",$AS94,$BB94))</f>
        <v/>
      </c>
      <c r="BO94" s="87" t="str">
        <f aca="false">IF(ISBLANK($C94),"",IF($BD94&lt;&gt;Constants!$B$6,$BD94,IF(ISNUMBER($BN94),RANK($BN94,$BN$9:$BN$508,1),COUNT($BN$9:$BN$508)+1)))</f>
        <v/>
      </c>
      <c r="BP94" s="91" t="str">
        <f aca="false">IF($BD94&lt;&gt;Constants!$B$6,"",IF($AU94="-&gt;",$AT94,$BC94))</f>
        <v/>
      </c>
      <c r="BQ94" s="87" t="str">
        <f aca="false">IF(ISBLANK($C94),"",IF($BD94&lt;&gt;Constants!$B$6,$BD94,IF(ISNUMBER($BP94),RANK($BP94,$BP$9:$BP$508,1),COUNT($BP$9:$BP$508)+1)))</f>
        <v/>
      </c>
      <c r="BR94" s="87" t="str">
        <f aca="false">IF(ISBLANK($C94),"",IF($BD94&lt;&gt;Constants!$B$6,$BD94,COUNTIFS($BI$9:$BI$508,"&lt;"&amp;$BI94)+COUNTIFS($BI$9:$BI$508,$BI94,$BK$9:$BK$508,"&lt;"&amp;$BK94)+COUNTIFS($BI$9:$BI$508,$BI94,$BK$9:$BK$508,$BK94,$BM$9:$BM$508,"&lt;"&amp;$BM94)+COUNTIFS($BI$9:$BI$508,$BI94,$BK$9:$BK$508,$BK94,$BM$9:$BM$508,$BM94,$BO$9:$BO$508,"&lt;"&amp;$BO94)+COUNTIFS($BI$9:$BI$508,$BI94,$BK$9:$BK$508,$BK94,$BM$9:$BM$508,$BM94,$BO$9:$BO$508,$BO94,$BQ$9:$BQ$508,"&lt;"&amp;$BQ94)+1))</f>
        <v/>
      </c>
      <c r="BS94" s="87" t="str">
        <f aca="false">IF(ISBLANK($C94),"",IF($BD94&lt;&gt;Constants!$B$6,$BD94,$BI94-$BR94))</f>
        <v/>
      </c>
      <c r="BT94" s="94"/>
      <c r="BU94" s="95"/>
      <c r="BV94" s="95" t="str">
        <f aca="false">IF(ISBLANK($C94),"",IF($BD94&lt;&gt;Constants!$B$6,"",IF($AU94="-&gt;",2,1)))</f>
        <v/>
      </c>
      <c r="BW94" s="96" t="str">
        <f aca="false">IF(ISBLANK($C94),"",IF($BD94&lt;&gt;Constants!$B$6,"",IF($AU94="-&gt;",$AW94,$AN94)))</f>
        <v/>
      </c>
      <c r="BX94" s="96" t="str">
        <f aca="false">IF(ISBLANK($C94),"",IF($BD94&lt;&gt;Constants!$B$6,"",IF($AU94="-&gt;",$AX94,$AO94)))</f>
        <v/>
      </c>
      <c r="BY94" s="96" t="str">
        <f aca="false">IF(ISBLANK($C94),"",IF($BD94&lt;&gt;Constants!$B$6,"",IF($AU94="-&gt;",$AY94,$AP94)))</f>
        <v/>
      </c>
      <c r="BZ94" s="96" t="str">
        <f aca="false">IF(ISBLANK($C94),"",IF($BD94&lt;&gt;Constants!$B$6,"",IF($AU94="-&gt;",$AZ94,$AQ94)+$BG94))</f>
        <v/>
      </c>
      <c r="CA94" s="97" t="str">
        <f aca="false">IF(ISBLANK($C94),"",IF($BD94&lt;&gt;Constants!$B$6,$BD94,$BH94))</f>
        <v/>
      </c>
      <c r="CB94" s="98" t="str">
        <f aca="false">IF(ISBLANK($C94),"",$BE94)</f>
        <v/>
      </c>
      <c r="CC94" s="99" t="str">
        <f aca="false">IF(ISBLANK($C94),"",$BS94)</f>
        <v/>
      </c>
      <c r="CD94" s="99" t="str">
        <f aca="false">IF(ISBLANK($C94),"",$BR94)</f>
        <v/>
      </c>
      <c r="CE94" s="100" t="str">
        <f aca="false">IF(ISBLANK($C94),"",IF($CD94=Constants!$B$9,COUNTA($C$9:$C$508)+2,IF($CD94=Constants!$B$8,COUNTA($C$9:$C$508)+1,IF($CD94=Constants!$B$7,COUNTA($C$9:$C$508),$CD94))))</f>
        <v/>
      </c>
      <c r="CF94" s="9"/>
      <c r="CG94" s="101" t="n">
        <f aca="false">IF(OR(ISNUMBER($CD94),$CD94=Constants!$B$9,$CD94=Constants!$B$7,$CD94=Constants!$B$8),1,0)</f>
        <v>0</v>
      </c>
      <c r="CH94" s="101" t="n">
        <v>86</v>
      </c>
      <c r="CI94" s="101" t="str">
        <f aca="false">IF(ISBLANK($C94),"",IF(ISNUMBER($CE94),$CE94+ROW($B94)/1000,""))</f>
        <v/>
      </c>
      <c r="CJ94" s="101" t="str">
        <f aca="false">IF(ISNUMBER($CI94),RANK($CI94,$CI$9:$CI$508,1),"")</f>
        <v/>
      </c>
      <c r="CK94" s="101" t="str">
        <f aca="false">IF(ISBLANK($C94),"",$B94)</f>
        <v/>
      </c>
      <c r="CL94" s="101" t="str">
        <f aca="false">IF(ISBLANK($C94),"",$C94)</f>
        <v/>
      </c>
      <c r="CM94" s="101" t="str">
        <f aca="false">IF(ISBLANK($C94),"",$D94)</f>
        <v/>
      </c>
      <c r="CN94" s="102" t="str">
        <f aca="false">$CB94</f>
        <v/>
      </c>
      <c r="CO94" s="103" t="str">
        <f aca="false">$CA94</f>
        <v/>
      </c>
      <c r="CP94" s="101" t="str">
        <f aca="false">IF(ISBLANK($C94),"",$CD94)</f>
        <v/>
      </c>
      <c r="CQ94" s="104" t="str">
        <f aca="false">IF($CH94&gt;$CG$8,"",VLOOKUP($CH94,$CJ$9:$CP$508,7,FALSE()))</f>
        <v/>
      </c>
      <c r="CR94" s="105" t="str">
        <f aca="false">IF($CH94&gt;$CG$8,"",VLOOKUP($CH94,$CJ$9:$CP$508,2,FALSE()))</f>
        <v/>
      </c>
      <c r="CS94" s="105" t="str">
        <f aca="false">IF($CH94&gt;$CG$8,"",VLOOKUP($CH94,$CJ$9:$CP$508,3,FALSE()))</f>
        <v/>
      </c>
      <c r="CT94" s="105" t="str">
        <f aca="false">IF($CH94&gt;$CG$8,"",VLOOKUP($CH94,$CJ$9:$CP$508,4,FALSE()))</f>
        <v/>
      </c>
      <c r="CU94" s="105" t="str">
        <f aca="false">IF($CH94&gt;$CG$8,"",VLOOKUP($CH94,$CJ$9:$CP$508,5,FALSE()))</f>
        <v/>
      </c>
      <c r="CV94" s="106" t="str">
        <f aca="false">IF($CH94&gt;$CG$8,"",VLOOKUP($CH94,$CJ$9:$CP$508,6,FALSE()))</f>
        <v/>
      </c>
      <c r="CW94" s="71"/>
    </row>
    <row r="95" customFormat="false" ht="15.75" hidden="false" customHeight="false" outlineLevel="0" collapsed="false">
      <c r="A95" s="9"/>
      <c r="B95" s="72"/>
      <c r="C95" s="73"/>
      <c r="D95" s="160"/>
      <c r="E95" s="168"/>
      <c r="F95" s="162"/>
      <c r="G95" s="163"/>
      <c r="H95" s="169"/>
      <c r="I95" s="167"/>
      <c r="J95" s="80"/>
      <c r="K95" s="81"/>
      <c r="L95" s="82"/>
      <c r="M95" s="166"/>
      <c r="N95" s="167"/>
      <c r="O95" s="167"/>
      <c r="P95" s="80"/>
      <c r="Q95" s="82"/>
      <c r="R95" s="82"/>
      <c r="S95" s="166"/>
      <c r="T95" s="167"/>
      <c r="U95" s="86"/>
      <c r="V95" s="87"/>
      <c r="W95" s="87" t="str">
        <f aca="false">IF(ISBLANK($C95),"",IF(E95=Constants!$B$2,TRUE(),IF(E95=Constants!$B$3,FALSE(),TRUE())))</f>
        <v/>
      </c>
      <c r="X95" s="87" t="str">
        <f aca="false">IF(ISBLANK($C95),"",IF(F95=Constants!$B$2,TRUE(),IF(F95=Constants!$B$3,FALSE(),TRUE())))</f>
        <v/>
      </c>
      <c r="Y95" s="87" t="str">
        <f aca="false">IF(ISBLANK($C95),"",IF(G95=Constants!$B$2,TRUE(),IF(G95=Constants!$B$3,FALSE(),TRUE())))</f>
        <v/>
      </c>
      <c r="Z95" s="87" t="str">
        <f aca="false">IF(ISBLANK($C95),"",IF(H95=Constants!$B$2,TRUE(),IF(H95=Constants!$B$3,FALSE(),TRUE())))</f>
        <v/>
      </c>
      <c r="AA95" s="87" t="str">
        <f aca="false">IF(ISBLANK($C95),"",IF(I95=Constants!$B$2,TRUE(),IF(I95=Constants!$B$3,FALSE(),TRUE())))</f>
        <v/>
      </c>
      <c r="AB95" s="87" t="str">
        <f aca="false">IF(ISBLANK($C95),"",IF(J95=Constants!$B$4,TRUE(),IF(J95=Constants!$B$5,FALSE(),COUNTA(K95:M95)&gt;0)))</f>
        <v/>
      </c>
      <c r="AC95" s="88" t="str">
        <f aca="false">IF(ISBLANK($C95),"",IF(ISNUMBER(K95),IF(K95&gt;=0,K95,""),""))</f>
        <v/>
      </c>
      <c r="AD95" s="89" t="str">
        <f aca="false">IF(ISBLANK($C95),"",IF(ISNUMBER(L95),IF(L95&gt;=0,L95,""),""))</f>
        <v/>
      </c>
      <c r="AE95" s="87" t="str">
        <f aca="false">IF(ISBLANK($C95),"",IF(ISNUMBER(M95),IF(M95&gt;=0,MIN(M95,Constants!$B$22),""),""))</f>
        <v/>
      </c>
      <c r="AF95" s="87" t="str">
        <f aca="false">IF(ISBLANK($C95),"",IF(N95=Constants!$B$2,TRUE(),IF(N95=Constants!$B$3,FALSE(),TRUE())))</f>
        <v/>
      </c>
      <c r="AG95" s="87" t="str">
        <f aca="false">IF(ISBLANK($C95),"",IF(O95=Constants!$B$2,TRUE(),IF(O95=Constants!$B$3,FALSE(),TRUE())))</f>
        <v/>
      </c>
      <c r="AH95" s="87" t="str">
        <f aca="false">IF(ISBLANK($C95),"",IF(P95=Constants!$B$4,TRUE(),IF(P95=Constants!$B$5,FALSE(),COUNTA(Q95:S95)&gt;0)))</f>
        <v/>
      </c>
      <c r="AI95" s="88" t="str">
        <f aca="false">IF(ISBLANK($C95),"",IF(ISNUMBER(Q95),IF(Q95&gt;=0,Q95,""),""))</f>
        <v/>
      </c>
      <c r="AJ95" s="89" t="str">
        <f aca="false">IF(ISBLANK($C95),"",IF(ISNUMBER(R95),IF(R95&gt;=0,R95,""),""))</f>
        <v/>
      </c>
      <c r="AK95" s="87" t="str">
        <f aca="false">IF(ISBLANK($C95),"",IF(ISNUMBER(S95),IF(S95&gt;=0,MIN(S95,Constants!$B$22),""),""))</f>
        <v/>
      </c>
      <c r="AL95" s="87" t="str">
        <f aca="false">IF(ISBLANK($C95),"",IF(T95=Constants!$B$2,TRUE(),IF(T95=Constants!$B$3,FALSE(),FALSE())))</f>
        <v/>
      </c>
      <c r="AM95" s="86" t="str">
        <f aca="false">IF(ISBLANK($C95),"",AND($AB95,OR($AC95="",$AD95="",AND(NOT(ISBLANK($M95)),$AE95=""))))</f>
        <v/>
      </c>
      <c r="AN95" s="89" t="str">
        <f aca="false">IF($BD95&lt;&gt;Constants!$B$6,"",IF($AB95,Constants!$B$17*$AD95,Constants!$B$18))</f>
        <v/>
      </c>
      <c r="AO95" s="91" t="str">
        <f aca="false">IF($BD95&lt;&gt;Constants!$B$6,"",Constants!$B$19*IF($AB95,$AC95,0))</f>
        <v/>
      </c>
      <c r="AP95" s="91" t="str">
        <f aca="false">IF($BD95&lt;&gt;Constants!$B$6,"",IF(AND($AB95,ISNUMBER($AE95)),Constants!$B$20*(Constants!$B$21-$AE95),0))</f>
        <v/>
      </c>
      <c r="AQ95" s="91" t="str">
        <f aca="false">IF($BD95&lt;&gt;Constants!$B$6,"",IF($AA95,0,Constants!$B$12)+IF($Z95,0,Constants!$B$13)+IF($Y95,0,Constants!$B$14))</f>
        <v/>
      </c>
      <c r="AR95" s="92" t="str">
        <f aca="false">IF($BD95&lt;&gt;Constants!$B$6,"",Constants!$B$16+SUM($AN95:$AQ95))</f>
        <v/>
      </c>
      <c r="AS95" s="91" t="str">
        <f aca="false">IF($BD95&lt;&gt;Constants!$B$6,"",IF($AB95,$AD95,""))</f>
        <v/>
      </c>
      <c r="AT95" s="93" t="str">
        <f aca="false">IF($BD95&lt;&gt;Constants!$B$6,"",$AO95)</f>
        <v/>
      </c>
      <c r="AU95" s="87" t="str">
        <f aca="false">IF($BD95&lt;&gt;Constants!$B$6,"",IF(OR($BA95&lt;$AR95,AND($BA95=$AR95,OR(AND(ISNUMBER($BB95),OR(NOT(ISNUMBER($AS95)),$BB95&lt;$AS95)),AND(OR(AND($BB95="",$AS95=""),AND(ISNUMBER($BB95),ISNUMBER($AS95),$BB95=$AS95)),$BC95&lt;$AT95)))),"-&gt;","&lt;-"))</f>
        <v/>
      </c>
      <c r="AV95" s="86" t="str">
        <f aca="false">IF(ISBLANK($C95),"",AND($AH95,OR($AI95="",$AJ95="",AND(NOT(ISBLANK($S95)),$AK95=""))))</f>
        <v/>
      </c>
      <c r="AW95" s="89" t="str">
        <f aca="false">IF($BD95&lt;&gt;Constants!$B$6,"",IF($AH95,Constants!$B$17*$AJ95,Constants!$B$18))</f>
        <v/>
      </c>
      <c r="AX95" s="91" t="str">
        <f aca="false">IF($BD95&lt;&gt;Constants!$B$6,"",Constants!$B$19*IF($AH95,$AI95,0))</f>
        <v/>
      </c>
      <c r="AY95" s="91" t="str">
        <f aca="false">IF($BD95&lt;&gt;Constants!$B$6,"",IF(AND($AH95,ISNUMBER($AK95)),Constants!$B$20*(Constants!$B$21-$AK95),0))</f>
        <v/>
      </c>
      <c r="AZ95" s="91" t="str">
        <f aca="false">IF($BD95&lt;&gt;Constants!$B$6,"",IF($AG95,0,Constants!$B$12)+IF($AF95,0,Constants!$B$13)+IF($Y95,0,Constants!$B$14))</f>
        <v/>
      </c>
      <c r="BA95" s="92" t="str">
        <f aca="false">IF($BD95&lt;&gt;Constants!$B$6,"",Constants!$B$16+SUM($AW95:$AZ95))</f>
        <v/>
      </c>
      <c r="BB95" s="91" t="str">
        <f aca="false">IF($BD95&lt;&gt;Constants!$B$6,"",IF($AH95,$AJ95,""))</f>
        <v/>
      </c>
      <c r="BC95" s="93" t="str">
        <f aca="false">IF($BD95&lt;&gt;Constants!$B$6,"",$AX95)</f>
        <v/>
      </c>
      <c r="BD95" s="87" t="str">
        <f aca="false">IF(ISBLANK($C95),"",IF($AL95,Constants!$B$9,IF(COUNTA($E95:$T95)=0,Constants!$B$8,IF(NOT($X95),Constants!$B$7,IF(OR($AM95,$AV95),Constants!$B$10,Constants!$B$6)))))</f>
        <v/>
      </c>
      <c r="BE95" s="87" t="str">
        <f aca="false">IF(ISBLANK($C95),"",IF($BD95&lt;&gt;Constants!$B$6,$BD95,Constants!$B$11))</f>
        <v/>
      </c>
      <c r="BF95" s="91" t="str">
        <f aca="false">IF($BD95&lt;&gt;Constants!$B$6,"",IF($AU95="-&gt;",$BA95,$AR95))</f>
        <v/>
      </c>
      <c r="BG95" s="91" t="str">
        <f aca="false">IF($BD95&lt;&gt;Constants!$B$6,"",IF($W95,0,Constants!$B$15))</f>
        <v/>
      </c>
      <c r="BH95" s="91" t="str">
        <f aca="false">IF(ISBLANK($C95),"",IF($BD95&lt;&gt;Constants!$B$6,$BD95,SUM($BF95:$BG95)))</f>
        <v/>
      </c>
      <c r="BI95" s="87" t="str">
        <f aca="false">IF(ISBLANK($C95),"",IF($BD95&lt;&gt;Constants!$B$6,$BD95,RANK($BH95,$BH$9:$BH$508,1)))</f>
        <v/>
      </c>
      <c r="BJ95" s="91" t="str">
        <f aca="false">IF($BD95&lt;&gt;Constants!$B$6,"",IF($AU95="-&gt;",$BB95,$AS95))</f>
        <v/>
      </c>
      <c r="BK95" s="87" t="str">
        <f aca="false">IF(ISBLANK($C95),"",IF($BD95&lt;&gt;Constants!$B$6,$BD95,IF(ISNUMBER($BJ95),RANK($BJ95,$BJ$9:$BJ$508,1),COUNT($BJ$9:$BJ$508)+1)))</f>
        <v/>
      </c>
      <c r="BL95" s="91" t="str">
        <f aca="false">IF($BD95&lt;&gt;Constants!$B$6,"",IF($AU95="-&gt;",$BC95,$AT95))</f>
        <v/>
      </c>
      <c r="BM95" s="87" t="str">
        <f aca="false">IF(ISBLANK($C95),"",IF($BD95&lt;&gt;Constants!$B$6,$BD95,IF(ISNUMBER($BL95),RANK($BL95,$BL$9:$BL$508,1),COUNT($BL$9:$BL$508)+1)))</f>
        <v/>
      </c>
      <c r="BN95" s="91" t="str">
        <f aca="false">IF($BD95&lt;&gt;Constants!$B$6,"",IF($AU95="-&gt;",$AS95,$BB95))</f>
        <v/>
      </c>
      <c r="BO95" s="87" t="str">
        <f aca="false">IF(ISBLANK($C95),"",IF($BD95&lt;&gt;Constants!$B$6,$BD95,IF(ISNUMBER($BN95),RANK($BN95,$BN$9:$BN$508,1),COUNT($BN$9:$BN$508)+1)))</f>
        <v/>
      </c>
      <c r="BP95" s="91" t="str">
        <f aca="false">IF($BD95&lt;&gt;Constants!$B$6,"",IF($AU95="-&gt;",$AT95,$BC95))</f>
        <v/>
      </c>
      <c r="BQ95" s="87" t="str">
        <f aca="false">IF(ISBLANK($C95),"",IF($BD95&lt;&gt;Constants!$B$6,$BD95,IF(ISNUMBER($BP95),RANK($BP95,$BP$9:$BP$508,1),COUNT($BP$9:$BP$508)+1)))</f>
        <v/>
      </c>
      <c r="BR95" s="87" t="str">
        <f aca="false">IF(ISBLANK($C95),"",IF($BD95&lt;&gt;Constants!$B$6,$BD95,COUNTIFS($BI$9:$BI$508,"&lt;"&amp;$BI95)+COUNTIFS($BI$9:$BI$508,$BI95,$BK$9:$BK$508,"&lt;"&amp;$BK95)+COUNTIFS($BI$9:$BI$508,$BI95,$BK$9:$BK$508,$BK95,$BM$9:$BM$508,"&lt;"&amp;$BM95)+COUNTIFS($BI$9:$BI$508,$BI95,$BK$9:$BK$508,$BK95,$BM$9:$BM$508,$BM95,$BO$9:$BO$508,"&lt;"&amp;$BO95)+COUNTIFS($BI$9:$BI$508,$BI95,$BK$9:$BK$508,$BK95,$BM$9:$BM$508,$BM95,$BO$9:$BO$508,$BO95,$BQ$9:$BQ$508,"&lt;"&amp;$BQ95)+1))</f>
        <v/>
      </c>
      <c r="BS95" s="87" t="str">
        <f aca="false">IF(ISBLANK($C95),"",IF($BD95&lt;&gt;Constants!$B$6,$BD95,$BI95-$BR95))</f>
        <v/>
      </c>
      <c r="BT95" s="94"/>
      <c r="BU95" s="95"/>
      <c r="BV95" s="95" t="str">
        <f aca="false">IF(ISBLANK($C95),"",IF($BD95&lt;&gt;Constants!$B$6,"",IF($AU95="-&gt;",2,1)))</f>
        <v/>
      </c>
      <c r="BW95" s="96" t="str">
        <f aca="false">IF(ISBLANK($C95),"",IF($BD95&lt;&gt;Constants!$B$6,"",IF($AU95="-&gt;",$AW95,$AN95)))</f>
        <v/>
      </c>
      <c r="BX95" s="96" t="str">
        <f aca="false">IF(ISBLANK($C95),"",IF($BD95&lt;&gt;Constants!$B$6,"",IF($AU95="-&gt;",$AX95,$AO95)))</f>
        <v/>
      </c>
      <c r="BY95" s="96" t="str">
        <f aca="false">IF(ISBLANK($C95),"",IF($BD95&lt;&gt;Constants!$B$6,"",IF($AU95="-&gt;",$AY95,$AP95)))</f>
        <v/>
      </c>
      <c r="BZ95" s="96" t="str">
        <f aca="false">IF(ISBLANK($C95),"",IF($BD95&lt;&gt;Constants!$B$6,"",IF($AU95="-&gt;",$AZ95,$AQ95)+$BG95))</f>
        <v/>
      </c>
      <c r="CA95" s="97" t="str">
        <f aca="false">IF(ISBLANK($C95),"",IF($BD95&lt;&gt;Constants!$B$6,$BD95,$BH95))</f>
        <v/>
      </c>
      <c r="CB95" s="98" t="str">
        <f aca="false">IF(ISBLANK($C95),"",$BE95)</f>
        <v/>
      </c>
      <c r="CC95" s="99" t="str">
        <f aca="false">IF(ISBLANK($C95),"",$BS95)</f>
        <v/>
      </c>
      <c r="CD95" s="99" t="str">
        <f aca="false">IF(ISBLANK($C95),"",$BR95)</f>
        <v/>
      </c>
      <c r="CE95" s="100" t="str">
        <f aca="false">IF(ISBLANK($C95),"",IF($CD95=Constants!$B$9,COUNTA($C$9:$C$508)+2,IF($CD95=Constants!$B$8,COUNTA($C$9:$C$508)+1,IF($CD95=Constants!$B$7,COUNTA($C$9:$C$508),$CD95))))</f>
        <v/>
      </c>
      <c r="CF95" s="9"/>
      <c r="CG95" s="101" t="n">
        <f aca="false">IF(OR(ISNUMBER($CD95),$CD95=Constants!$B$9,$CD95=Constants!$B$7,$CD95=Constants!$B$8),1,0)</f>
        <v>0</v>
      </c>
      <c r="CH95" s="101" t="n">
        <v>87</v>
      </c>
      <c r="CI95" s="101" t="str">
        <f aca="false">IF(ISBLANK($C95),"",IF(ISNUMBER($CE95),$CE95+ROW($B95)/1000,""))</f>
        <v/>
      </c>
      <c r="CJ95" s="101" t="str">
        <f aca="false">IF(ISNUMBER($CI95),RANK($CI95,$CI$9:$CI$508,1),"")</f>
        <v/>
      </c>
      <c r="CK95" s="101" t="str">
        <f aca="false">IF(ISBLANK($C95),"",$B95)</f>
        <v/>
      </c>
      <c r="CL95" s="101" t="str">
        <f aca="false">IF(ISBLANK($C95),"",$C95)</f>
        <v/>
      </c>
      <c r="CM95" s="101" t="str">
        <f aca="false">IF(ISBLANK($C95),"",$D95)</f>
        <v/>
      </c>
      <c r="CN95" s="102" t="str">
        <f aca="false">$CB95</f>
        <v/>
      </c>
      <c r="CO95" s="103" t="str">
        <f aca="false">$CA95</f>
        <v/>
      </c>
      <c r="CP95" s="101" t="str">
        <f aca="false">IF(ISBLANK($C95),"",$CD95)</f>
        <v/>
      </c>
      <c r="CQ95" s="104" t="str">
        <f aca="false">IF($CH95&gt;$CG$8,"",VLOOKUP($CH95,$CJ$9:$CP$508,7,FALSE()))</f>
        <v/>
      </c>
      <c r="CR95" s="105" t="str">
        <f aca="false">IF($CH95&gt;$CG$8,"",VLOOKUP($CH95,$CJ$9:$CP$508,2,FALSE()))</f>
        <v/>
      </c>
      <c r="CS95" s="105" t="str">
        <f aca="false">IF($CH95&gt;$CG$8,"",VLOOKUP($CH95,$CJ$9:$CP$508,3,FALSE()))</f>
        <v/>
      </c>
      <c r="CT95" s="105" t="str">
        <f aca="false">IF($CH95&gt;$CG$8,"",VLOOKUP($CH95,$CJ$9:$CP$508,4,FALSE()))</f>
        <v/>
      </c>
      <c r="CU95" s="105" t="str">
        <f aca="false">IF($CH95&gt;$CG$8,"",VLOOKUP($CH95,$CJ$9:$CP$508,5,FALSE()))</f>
        <v/>
      </c>
      <c r="CV95" s="106" t="str">
        <f aca="false">IF($CH95&gt;$CG$8,"",VLOOKUP($CH95,$CJ$9:$CP$508,6,FALSE()))</f>
        <v/>
      </c>
      <c r="CW95" s="71"/>
    </row>
    <row r="96" customFormat="false" ht="15.75" hidden="false" customHeight="false" outlineLevel="0" collapsed="false">
      <c r="A96" s="9"/>
      <c r="B96" s="150"/>
      <c r="C96" s="151"/>
      <c r="D96" s="152"/>
      <c r="E96" s="170"/>
      <c r="F96" s="154"/>
      <c r="G96" s="155"/>
      <c r="H96" s="171"/>
      <c r="I96" s="159"/>
      <c r="J96" s="120"/>
      <c r="K96" s="121"/>
      <c r="L96" s="122"/>
      <c r="M96" s="158"/>
      <c r="N96" s="159"/>
      <c r="O96" s="159"/>
      <c r="P96" s="120"/>
      <c r="Q96" s="122"/>
      <c r="R96" s="122"/>
      <c r="S96" s="158"/>
      <c r="T96" s="159"/>
      <c r="U96" s="126"/>
      <c r="V96" s="127"/>
      <c r="W96" s="127" t="str">
        <f aca="false">IF(ISBLANK($C96),"",IF(E96=Constants!$B$2,TRUE(),IF(E96=Constants!$B$3,FALSE(),TRUE())))</f>
        <v/>
      </c>
      <c r="X96" s="127" t="str">
        <f aca="false">IF(ISBLANK($C96),"",IF(F96=Constants!$B$2,TRUE(),IF(F96=Constants!$B$3,FALSE(),TRUE())))</f>
        <v/>
      </c>
      <c r="Y96" s="127" t="str">
        <f aca="false">IF(ISBLANK($C96),"",IF(G96=Constants!$B$2,TRUE(),IF(G96=Constants!$B$3,FALSE(),TRUE())))</f>
        <v/>
      </c>
      <c r="Z96" s="127" t="str">
        <f aca="false">IF(ISBLANK($C96),"",IF(H96=Constants!$B$2,TRUE(),IF(H96=Constants!$B$3,FALSE(),TRUE())))</f>
        <v/>
      </c>
      <c r="AA96" s="127" t="str">
        <f aca="false">IF(ISBLANK($C96),"",IF(I96=Constants!$B$2,TRUE(),IF(I96=Constants!$B$3,FALSE(),TRUE())))</f>
        <v/>
      </c>
      <c r="AB96" s="127" t="str">
        <f aca="false">IF(ISBLANK($C96),"",IF(J96=Constants!$B$4,TRUE(),IF(J96=Constants!$B$5,FALSE(),COUNTA(K96:M96)&gt;0)))</f>
        <v/>
      </c>
      <c r="AC96" s="128" t="str">
        <f aca="false">IF(ISBLANK($C96),"",IF(ISNUMBER(K96),IF(K96&gt;=0,K96,""),""))</f>
        <v/>
      </c>
      <c r="AD96" s="129" t="str">
        <f aca="false">IF(ISBLANK($C96),"",IF(ISNUMBER(L96),IF(L96&gt;=0,L96,""),""))</f>
        <v/>
      </c>
      <c r="AE96" s="127" t="str">
        <f aca="false">IF(ISBLANK($C96),"",IF(ISNUMBER(M96),IF(M96&gt;=0,MIN(M96,Constants!$B$22),""),""))</f>
        <v/>
      </c>
      <c r="AF96" s="127" t="str">
        <f aca="false">IF(ISBLANK($C96),"",IF(N96=Constants!$B$2,TRUE(),IF(N96=Constants!$B$3,FALSE(),TRUE())))</f>
        <v/>
      </c>
      <c r="AG96" s="127" t="str">
        <f aca="false">IF(ISBLANK($C96),"",IF(O96=Constants!$B$2,TRUE(),IF(O96=Constants!$B$3,FALSE(),TRUE())))</f>
        <v/>
      </c>
      <c r="AH96" s="127" t="str">
        <f aca="false">IF(ISBLANK($C96),"",IF(P96=Constants!$B$4,TRUE(),IF(P96=Constants!$B$5,FALSE(),COUNTA(Q96:S96)&gt;0)))</f>
        <v/>
      </c>
      <c r="AI96" s="128" t="str">
        <f aca="false">IF(ISBLANK($C96),"",IF(ISNUMBER(Q96),IF(Q96&gt;=0,Q96,""),""))</f>
        <v/>
      </c>
      <c r="AJ96" s="129" t="str">
        <f aca="false">IF(ISBLANK($C96),"",IF(ISNUMBER(R96),IF(R96&gt;=0,R96,""),""))</f>
        <v/>
      </c>
      <c r="AK96" s="127" t="str">
        <f aca="false">IF(ISBLANK($C96),"",IF(ISNUMBER(S96),IF(S96&gt;=0,MIN(S96,Constants!$B$22),""),""))</f>
        <v/>
      </c>
      <c r="AL96" s="127" t="str">
        <f aca="false">IF(ISBLANK($C96),"",IF(T96=Constants!$B$2,TRUE(),IF(T96=Constants!$B$3,FALSE(),FALSE())))</f>
        <v/>
      </c>
      <c r="AM96" s="126" t="str">
        <f aca="false">IF(ISBLANK($C96),"",AND($AB96,OR($AC96="",$AD96="",AND(NOT(ISBLANK($M96)),$AE96=""))))</f>
        <v/>
      </c>
      <c r="AN96" s="129" t="str">
        <f aca="false">IF($BD96&lt;&gt;Constants!$B$6,"",IF($AB96,Constants!$B$17*$AD96,Constants!$B$18))</f>
        <v/>
      </c>
      <c r="AO96" s="130" t="str">
        <f aca="false">IF($BD96&lt;&gt;Constants!$B$6,"",Constants!$B$19*IF($AB96,$AC96,0))</f>
        <v/>
      </c>
      <c r="AP96" s="130" t="str">
        <f aca="false">IF($BD96&lt;&gt;Constants!$B$6,"",IF(AND($AB96,ISNUMBER($AE96)),Constants!$B$20*(Constants!$B$21-$AE96),0))</f>
        <v/>
      </c>
      <c r="AQ96" s="130" t="str">
        <f aca="false">IF($BD96&lt;&gt;Constants!$B$6,"",IF($AA96,0,Constants!$B$12)+IF($Z96,0,Constants!$B$13)+IF($Y96,0,Constants!$B$14))</f>
        <v/>
      </c>
      <c r="AR96" s="131" t="str">
        <f aca="false">IF($BD96&lt;&gt;Constants!$B$6,"",Constants!$B$16+SUM($AN96:$AQ96))</f>
        <v/>
      </c>
      <c r="AS96" s="130" t="str">
        <f aca="false">IF($BD96&lt;&gt;Constants!$B$6,"",IF($AB96,$AD96,""))</f>
        <v/>
      </c>
      <c r="AT96" s="132" t="str">
        <f aca="false">IF($BD96&lt;&gt;Constants!$B$6,"",$AO96)</f>
        <v/>
      </c>
      <c r="AU96" s="127" t="str">
        <f aca="false">IF($BD96&lt;&gt;Constants!$B$6,"",IF(OR($BA96&lt;$AR96,AND($BA96=$AR96,OR(AND(ISNUMBER($BB96),OR(NOT(ISNUMBER($AS96)),$BB96&lt;$AS96)),AND(OR(AND($BB96="",$AS96=""),AND(ISNUMBER($BB96),ISNUMBER($AS96),$BB96=$AS96)),$BC96&lt;$AT96)))),"-&gt;","&lt;-"))</f>
        <v/>
      </c>
      <c r="AV96" s="126" t="str">
        <f aca="false">IF(ISBLANK($C96),"",AND($AH96,OR($AI96="",$AJ96="",AND(NOT(ISBLANK($S96)),$AK96=""))))</f>
        <v/>
      </c>
      <c r="AW96" s="129" t="str">
        <f aca="false">IF($BD96&lt;&gt;Constants!$B$6,"",IF($AH96,Constants!$B$17*$AJ96,Constants!$B$18))</f>
        <v/>
      </c>
      <c r="AX96" s="130" t="str">
        <f aca="false">IF($BD96&lt;&gt;Constants!$B$6,"",Constants!$B$19*IF($AH96,$AI96,0))</f>
        <v/>
      </c>
      <c r="AY96" s="130" t="str">
        <f aca="false">IF($BD96&lt;&gt;Constants!$B$6,"",IF(AND($AH96,ISNUMBER($AK96)),Constants!$B$20*(Constants!$B$21-$AK96),0))</f>
        <v/>
      </c>
      <c r="AZ96" s="130" t="str">
        <f aca="false">IF($BD96&lt;&gt;Constants!$B$6,"",IF($AG96,0,Constants!$B$12)+IF($AF96,0,Constants!$B$13)+IF($Y96,0,Constants!$B$14))</f>
        <v/>
      </c>
      <c r="BA96" s="131" t="str">
        <f aca="false">IF($BD96&lt;&gt;Constants!$B$6,"",Constants!$B$16+SUM($AW96:$AZ96))</f>
        <v/>
      </c>
      <c r="BB96" s="130" t="str">
        <f aca="false">IF($BD96&lt;&gt;Constants!$B$6,"",IF($AH96,$AJ96,""))</f>
        <v/>
      </c>
      <c r="BC96" s="132" t="str">
        <f aca="false">IF($BD96&lt;&gt;Constants!$B$6,"",$AX96)</f>
        <v/>
      </c>
      <c r="BD96" s="127" t="str">
        <f aca="false">IF(ISBLANK($C96),"",IF($AL96,Constants!$B$9,IF(COUNTA($E96:$T96)=0,Constants!$B$8,IF(NOT($X96),Constants!$B$7,IF(OR($AM96,$AV96),Constants!$B$10,Constants!$B$6)))))</f>
        <v/>
      </c>
      <c r="BE96" s="127" t="str">
        <f aca="false">IF(ISBLANK($C96),"",IF($BD96&lt;&gt;Constants!$B$6,$BD96,Constants!$B$11))</f>
        <v/>
      </c>
      <c r="BF96" s="130" t="str">
        <f aca="false">IF($BD96&lt;&gt;Constants!$B$6,"",IF($AU96="-&gt;",$BA96,$AR96))</f>
        <v/>
      </c>
      <c r="BG96" s="130" t="str">
        <f aca="false">IF($BD96&lt;&gt;Constants!$B$6,"",IF($W96,0,Constants!$B$15))</f>
        <v/>
      </c>
      <c r="BH96" s="130" t="str">
        <f aca="false">IF(ISBLANK($C96),"",IF($BD96&lt;&gt;Constants!$B$6,$BD96,SUM($BF96:$BG96)))</f>
        <v/>
      </c>
      <c r="BI96" s="127" t="str">
        <f aca="false">IF(ISBLANK($C96),"",IF($BD96&lt;&gt;Constants!$B$6,$BD96,RANK($BH96,$BH$9:$BH$508,1)))</f>
        <v/>
      </c>
      <c r="BJ96" s="130" t="str">
        <f aca="false">IF($BD96&lt;&gt;Constants!$B$6,"",IF($AU96="-&gt;",$BB96,$AS96))</f>
        <v/>
      </c>
      <c r="BK96" s="127" t="str">
        <f aca="false">IF(ISBLANK($C96),"",IF($BD96&lt;&gt;Constants!$B$6,$BD96,IF(ISNUMBER($BJ96),RANK($BJ96,$BJ$9:$BJ$508,1),COUNT($BJ$9:$BJ$508)+1)))</f>
        <v/>
      </c>
      <c r="BL96" s="130" t="str">
        <f aca="false">IF($BD96&lt;&gt;Constants!$B$6,"",IF($AU96="-&gt;",$BC96,$AT96))</f>
        <v/>
      </c>
      <c r="BM96" s="127" t="str">
        <f aca="false">IF(ISBLANK($C96),"",IF($BD96&lt;&gt;Constants!$B$6,$BD96,IF(ISNUMBER($BL96),RANK($BL96,$BL$9:$BL$508,1),COUNT($BL$9:$BL$508)+1)))</f>
        <v/>
      </c>
      <c r="BN96" s="130" t="str">
        <f aca="false">IF($BD96&lt;&gt;Constants!$B$6,"",IF($AU96="-&gt;",$AS96,$BB96))</f>
        <v/>
      </c>
      <c r="BO96" s="127" t="str">
        <f aca="false">IF(ISBLANK($C96),"",IF($BD96&lt;&gt;Constants!$B$6,$BD96,IF(ISNUMBER($BN96),RANK($BN96,$BN$9:$BN$508,1),COUNT($BN$9:$BN$508)+1)))</f>
        <v/>
      </c>
      <c r="BP96" s="130" t="str">
        <f aca="false">IF($BD96&lt;&gt;Constants!$B$6,"",IF($AU96="-&gt;",$AT96,$BC96))</f>
        <v/>
      </c>
      <c r="BQ96" s="127" t="str">
        <f aca="false">IF(ISBLANK($C96),"",IF($BD96&lt;&gt;Constants!$B$6,$BD96,IF(ISNUMBER($BP96),RANK($BP96,$BP$9:$BP$508,1),COUNT($BP$9:$BP$508)+1)))</f>
        <v/>
      </c>
      <c r="BR96" s="127" t="str">
        <f aca="false">IF(ISBLANK($C96),"",IF($BD96&lt;&gt;Constants!$B$6,$BD96,COUNTIFS($BI$9:$BI$508,"&lt;"&amp;$BI96)+COUNTIFS($BI$9:$BI$508,$BI96,$BK$9:$BK$508,"&lt;"&amp;$BK96)+COUNTIFS($BI$9:$BI$508,$BI96,$BK$9:$BK$508,$BK96,$BM$9:$BM$508,"&lt;"&amp;$BM96)+COUNTIFS($BI$9:$BI$508,$BI96,$BK$9:$BK$508,$BK96,$BM$9:$BM$508,$BM96,$BO$9:$BO$508,"&lt;"&amp;$BO96)+COUNTIFS($BI$9:$BI$508,$BI96,$BK$9:$BK$508,$BK96,$BM$9:$BM$508,$BM96,$BO$9:$BO$508,$BO96,$BQ$9:$BQ$508,"&lt;"&amp;$BQ96)+1))</f>
        <v/>
      </c>
      <c r="BS96" s="127" t="str">
        <f aca="false">IF(ISBLANK($C96),"",IF($BD96&lt;&gt;Constants!$B$6,$BD96,$BI96-$BR96))</f>
        <v/>
      </c>
      <c r="BT96" s="133"/>
      <c r="BU96" s="134"/>
      <c r="BV96" s="134" t="str">
        <f aca="false">IF(ISBLANK($C96),"",IF($BD96&lt;&gt;Constants!$B$6,"",IF($AU96="-&gt;",2,1)))</f>
        <v/>
      </c>
      <c r="BW96" s="135" t="str">
        <f aca="false">IF(ISBLANK($C96),"",IF($BD96&lt;&gt;Constants!$B$6,"",IF($AU96="-&gt;",$AW96,$AN96)))</f>
        <v/>
      </c>
      <c r="BX96" s="135" t="str">
        <f aca="false">IF(ISBLANK($C96),"",IF($BD96&lt;&gt;Constants!$B$6,"",IF($AU96="-&gt;",$AX96,$AO96)))</f>
        <v/>
      </c>
      <c r="BY96" s="135" t="str">
        <f aca="false">IF(ISBLANK($C96),"",IF($BD96&lt;&gt;Constants!$B$6,"",IF($AU96="-&gt;",$AY96,$AP96)))</f>
        <v/>
      </c>
      <c r="BZ96" s="135" t="str">
        <f aca="false">IF(ISBLANK($C96),"",IF($BD96&lt;&gt;Constants!$B$6,"",IF($AU96="-&gt;",$AZ96,$AQ96)+$BG96))</f>
        <v/>
      </c>
      <c r="CA96" s="136" t="str">
        <f aca="false">IF(ISBLANK($C96),"",IF($BD96&lt;&gt;Constants!$B$6,$BD96,$BH96))</f>
        <v/>
      </c>
      <c r="CB96" s="137" t="str">
        <f aca="false">IF(ISBLANK($C96),"",$BE96)</f>
        <v/>
      </c>
      <c r="CC96" s="138" t="str">
        <f aca="false">IF(ISBLANK($C96),"",$BS96)</f>
        <v/>
      </c>
      <c r="CD96" s="138" t="str">
        <f aca="false">IF(ISBLANK($C96),"",$BR96)</f>
        <v/>
      </c>
      <c r="CE96" s="139" t="str">
        <f aca="false">IF(ISBLANK($C96),"",IF($CD96=Constants!$B$9,COUNTA($C$9:$C$508)+2,IF($CD96=Constants!$B$8,COUNTA($C$9:$C$508)+1,IF($CD96=Constants!$B$7,COUNTA($C$9:$C$508),$CD96))))</f>
        <v/>
      </c>
      <c r="CF96" s="9"/>
      <c r="CG96" s="140" t="n">
        <f aca="false">IF(OR(ISNUMBER($CD96),$CD96=Constants!$B$9,$CD96=Constants!$B$7,$CD96=Constants!$B$8),1,0)</f>
        <v>0</v>
      </c>
      <c r="CH96" s="140" t="n">
        <v>88</v>
      </c>
      <c r="CI96" s="140" t="str">
        <f aca="false">IF(ISBLANK($C96),"",IF(ISNUMBER($CE96),$CE96+ROW($B96)/1000,""))</f>
        <v/>
      </c>
      <c r="CJ96" s="140" t="str">
        <f aca="false">IF(ISNUMBER($CI96),RANK($CI96,$CI$9:$CI$508,1),"")</f>
        <v/>
      </c>
      <c r="CK96" s="140" t="str">
        <f aca="false">IF(ISBLANK($C96),"",$B96)</f>
        <v/>
      </c>
      <c r="CL96" s="140" t="str">
        <f aca="false">IF(ISBLANK($C96),"",$C96)</f>
        <v/>
      </c>
      <c r="CM96" s="140" t="str">
        <f aca="false">IF(ISBLANK($C96),"",$D96)</f>
        <v/>
      </c>
      <c r="CN96" s="141" t="str">
        <f aca="false">$CB96</f>
        <v/>
      </c>
      <c r="CO96" s="142" t="str">
        <f aca="false">$CA96</f>
        <v/>
      </c>
      <c r="CP96" s="140" t="str">
        <f aca="false">IF(ISBLANK($C96),"",$CD96)</f>
        <v/>
      </c>
      <c r="CQ96" s="143" t="str">
        <f aca="false">IF($CH96&gt;$CG$8,"",VLOOKUP($CH96,$CJ$9:$CP$508,7,FALSE()))</f>
        <v/>
      </c>
      <c r="CR96" s="144" t="str">
        <f aca="false">IF($CH96&gt;$CG$8,"",VLOOKUP($CH96,$CJ$9:$CP$508,2,FALSE()))</f>
        <v/>
      </c>
      <c r="CS96" s="144" t="str">
        <f aca="false">IF($CH96&gt;$CG$8,"",VLOOKUP($CH96,$CJ$9:$CP$508,3,FALSE()))</f>
        <v/>
      </c>
      <c r="CT96" s="144" t="str">
        <f aca="false">IF($CH96&gt;$CG$8,"",VLOOKUP($CH96,$CJ$9:$CP$508,4,FALSE()))</f>
        <v/>
      </c>
      <c r="CU96" s="144" t="str">
        <f aca="false">IF($CH96&gt;$CG$8,"",VLOOKUP($CH96,$CJ$9:$CP$508,5,FALSE()))</f>
        <v/>
      </c>
      <c r="CV96" s="145" t="str">
        <f aca="false">IF($CH96&gt;$CG$8,"",VLOOKUP($CH96,$CJ$9:$CP$508,6,FALSE()))</f>
        <v/>
      </c>
      <c r="CW96" s="71"/>
    </row>
    <row r="97" customFormat="false" ht="15.75" hidden="false" customHeight="false" outlineLevel="0" collapsed="false">
      <c r="A97" s="9"/>
      <c r="B97" s="150"/>
      <c r="C97" s="151"/>
      <c r="D97" s="152"/>
      <c r="E97" s="170"/>
      <c r="F97" s="154"/>
      <c r="G97" s="155"/>
      <c r="H97" s="171"/>
      <c r="I97" s="159"/>
      <c r="J97" s="120"/>
      <c r="K97" s="121"/>
      <c r="L97" s="122"/>
      <c r="M97" s="158"/>
      <c r="N97" s="159"/>
      <c r="O97" s="159"/>
      <c r="P97" s="120"/>
      <c r="Q97" s="122"/>
      <c r="R97" s="122"/>
      <c r="S97" s="158"/>
      <c r="T97" s="159"/>
      <c r="U97" s="126"/>
      <c r="V97" s="127"/>
      <c r="W97" s="127" t="str">
        <f aca="false">IF(ISBLANK($C97),"",IF(E97=Constants!$B$2,TRUE(),IF(E97=Constants!$B$3,FALSE(),TRUE())))</f>
        <v/>
      </c>
      <c r="X97" s="127" t="str">
        <f aca="false">IF(ISBLANK($C97),"",IF(F97=Constants!$B$2,TRUE(),IF(F97=Constants!$B$3,FALSE(),TRUE())))</f>
        <v/>
      </c>
      <c r="Y97" s="127" t="str">
        <f aca="false">IF(ISBLANK($C97),"",IF(G97=Constants!$B$2,TRUE(),IF(G97=Constants!$B$3,FALSE(),TRUE())))</f>
        <v/>
      </c>
      <c r="Z97" s="127" t="str">
        <f aca="false">IF(ISBLANK($C97),"",IF(H97=Constants!$B$2,TRUE(),IF(H97=Constants!$B$3,FALSE(),TRUE())))</f>
        <v/>
      </c>
      <c r="AA97" s="127" t="str">
        <f aca="false">IF(ISBLANK($C97),"",IF(I97=Constants!$B$2,TRUE(),IF(I97=Constants!$B$3,FALSE(),TRUE())))</f>
        <v/>
      </c>
      <c r="AB97" s="127" t="str">
        <f aca="false">IF(ISBLANK($C97),"",IF(J97=Constants!$B$4,TRUE(),IF(J97=Constants!$B$5,FALSE(),COUNTA(K97:M97)&gt;0)))</f>
        <v/>
      </c>
      <c r="AC97" s="128" t="str">
        <f aca="false">IF(ISBLANK($C97),"",IF(ISNUMBER(K97),IF(K97&gt;=0,K97,""),""))</f>
        <v/>
      </c>
      <c r="AD97" s="129" t="str">
        <f aca="false">IF(ISBLANK($C97),"",IF(ISNUMBER(L97),IF(L97&gt;=0,L97,""),""))</f>
        <v/>
      </c>
      <c r="AE97" s="127" t="str">
        <f aca="false">IF(ISBLANK($C97),"",IF(ISNUMBER(M97),IF(M97&gt;=0,MIN(M97,Constants!$B$22),""),""))</f>
        <v/>
      </c>
      <c r="AF97" s="127" t="str">
        <f aca="false">IF(ISBLANK($C97),"",IF(N97=Constants!$B$2,TRUE(),IF(N97=Constants!$B$3,FALSE(),TRUE())))</f>
        <v/>
      </c>
      <c r="AG97" s="127" t="str">
        <f aca="false">IF(ISBLANK($C97),"",IF(O97=Constants!$B$2,TRUE(),IF(O97=Constants!$B$3,FALSE(),TRUE())))</f>
        <v/>
      </c>
      <c r="AH97" s="127" t="str">
        <f aca="false">IF(ISBLANK($C97),"",IF(P97=Constants!$B$4,TRUE(),IF(P97=Constants!$B$5,FALSE(),COUNTA(Q97:S97)&gt;0)))</f>
        <v/>
      </c>
      <c r="AI97" s="128" t="str">
        <f aca="false">IF(ISBLANK($C97),"",IF(ISNUMBER(Q97),IF(Q97&gt;=0,Q97,""),""))</f>
        <v/>
      </c>
      <c r="AJ97" s="129" t="str">
        <f aca="false">IF(ISBLANK($C97),"",IF(ISNUMBER(R97),IF(R97&gt;=0,R97,""),""))</f>
        <v/>
      </c>
      <c r="AK97" s="127" t="str">
        <f aca="false">IF(ISBLANK($C97),"",IF(ISNUMBER(S97),IF(S97&gt;=0,MIN(S97,Constants!$B$22),""),""))</f>
        <v/>
      </c>
      <c r="AL97" s="127" t="str">
        <f aca="false">IF(ISBLANK($C97),"",IF(T97=Constants!$B$2,TRUE(),IF(T97=Constants!$B$3,FALSE(),FALSE())))</f>
        <v/>
      </c>
      <c r="AM97" s="126" t="str">
        <f aca="false">IF(ISBLANK($C97),"",AND($AB97,OR($AC97="",$AD97="",AND(NOT(ISBLANK($M97)),$AE97=""))))</f>
        <v/>
      </c>
      <c r="AN97" s="129" t="str">
        <f aca="false">IF($BD97&lt;&gt;Constants!$B$6,"",IF($AB97,Constants!$B$17*$AD97,Constants!$B$18))</f>
        <v/>
      </c>
      <c r="AO97" s="130" t="str">
        <f aca="false">IF($BD97&lt;&gt;Constants!$B$6,"",Constants!$B$19*IF($AB97,$AC97,0))</f>
        <v/>
      </c>
      <c r="AP97" s="130" t="str">
        <f aca="false">IF($BD97&lt;&gt;Constants!$B$6,"",IF(AND($AB97,ISNUMBER($AE97)),Constants!$B$20*(Constants!$B$21-$AE97),0))</f>
        <v/>
      </c>
      <c r="AQ97" s="130" t="str">
        <f aca="false">IF($BD97&lt;&gt;Constants!$B$6,"",IF($AA97,0,Constants!$B$12)+IF($Z97,0,Constants!$B$13)+IF($Y97,0,Constants!$B$14))</f>
        <v/>
      </c>
      <c r="AR97" s="131" t="str">
        <f aca="false">IF($BD97&lt;&gt;Constants!$B$6,"",Constants!$B$16+SUM($AN97:$AQ97))</f>
        <v/>
      </c>
      <c r="AS97" s="130" t="str">
        <f aca="false">IF($BD97&lt;&gt;Constants!$B$6,"",IF($AB97,$AD97,""))</f>
        <v/>
      </c>
      <c r="AT97" s="132" t="str">
        <f aca="false">IF($BD97&lt;&gt;Constants!$B$6,"",$AO97)</f>
        <v/>
      </c>
      <c r="AU97" s="127" t="str">
        <f aca="false">IF($BD97&lt;&gt;Constants!$B$6,"",IF(OR($BA97&lt;$AR97,AND($BA97=$AR97,OR(AND(ISNUMBER($BB97),OR(NOT(ISNUMBER($AS97)),$BB97&lt;$AS97)),AND(OR(AND($BB97="",$AS97=""),AND(ISNUMBER($BB97),ISNUMBER($AS97),$BB97=$AS97)),$BC97&lt;$AT97)))),"-&gt;","&lt;-"))</f>
        <v/>
      </c>
      <c r="AV97" s="126" t="str">
        <f aca="false">IF(ISBLANK($C97),"",AND($AH97,OR($AI97="",$AJ97="",AND(NOT(ISBLANK($S97)),$AK97=""))))</f>
        <v/>
      </c>
      <c r="AW97" s="129" t="str">
        <f aca="false">IF($BD97&lt;&gt;Constants!$B$6,"",IF($AH97,Constants!$B$17*$AJ97,Constants!$B$18))</f>
        <v/>
      </c>
      <c r="AX97" s="130" t="str">
        <f aca="false">IF($BD97&lt;&gt;Constants!$B$6,"",Constants!$B$19*IF($AH97,$AI97,0))</f>
        <v/>
      </c>
      <c r="AY97" s="130" t="str">
        <f aca="false">IF($BD97&lt;&gt;Constants!$B$6,"",IF(AND($AH97,ISNUMBER($AK97)),Constants!$B$20*(Constants!$B$21-$AK97),0))</f>
        <v/>
      </c>
      <c r="AZ97" s="130" t="str">
        <f aca="false">IF($BD97&lt;&gt;Constants!$B$6,"",IF($AG97,0,Constants!$B$12)+IF($AF97,0,Constants!$B$13)+IF($Y97,0,Constants!$B$14))</f>
        <v/>
      </c>
      <c r="BA97" s="131" t="str">
        <f aca="false">IF($BD97&lt;&gt;Constants!$B$6,"",Constants!$B$16+SUM($AW97:$AZ97))</f>
        <v/>
      </c>
      <c r="BB97" s="130" t="str">
        <f aca="false">IF($BD97&lt;&gt;Constants!$B$6,"",IF($AH97,$AJ97,""))</f>
        <v/>
      </c>
      <c r="BC97" s="132" t="str">
        <f aca="false">IF($BD97&lt;&gt;Constants!$B$6,"",$AX97)</f>
        <v/>
      </c>
      <c r="BD97" s="127" t="str">
        <f aca="false">IF(ISBLANK($C97),"",IF($AL97,Constants!$B$9,IF(COUNTA($E97:$T97)=0,Constants!$B$8,IF(NOT($X97),Constants!$B$7,IF(OR($AM97,$AV97),Constants!$B$10,Constants!$B$6)))))</f>
        <v/>
      </c>
      <c r="BE97" s="127" t="str">
        <f aca="false">IF(ISBLANK($C97),"",IF($BD97&lt;&gt;Constants!$B$6,$BD97,Constants!$B$11))</f>
        <v/>
      </c>
      <c r="BF97" s="130" t="str">
        <f aca="false">IF($BD97&lt;&gt;Constants!$B$6,"",IF($AU97="-&gt;",$BA97,$AR97))</f>
        <v/>
      </c>
      <c r="BG97" s="130" t="str">
        <f aca="false">IF($BD97&lt;&gt;Constants!$B$6,"",IF($W97,0,Constants!$B$15))</f>
        <v/>
      </c>
      <c r="BH97" s="130" t="str">
        <f aca="false">IF(ISBLANK($C97),"",IF($BD97&lt;&gt;Constants!$B$6,$BD97,SUM($BF97:$BG97)))</f>
        <v/>
      </c>
      <c r="BI97" s="127" t="str">
        <f aca="false">IF(ISBLANK($C97),"",IF($BD97&lt;&gt;Constants!$B$6,$BD97,RANK($BH97,$BH$9:$BH$508,1)))</f>
        <v/>
      </c>
      <c r="BJ97" s="130" t="str">
        <f aca="false">IF($BD97&lt;&gt;Constants!$B$6,"",IF($AU97="-&gt;",$BB97,$AS97))</f>
        <v/>
      </c>
      <c r="BK97" s="127" t="str">
        <f aca="false">IF(ISBLANK($C97),"",IF($BD97&lt;&gt;Constants!$B$6,$BD97,IF(ISNUMBER($BJ97),RANK($BJ97,$BJ$9:$BJ$508,1),COUNT($BJ$9:$BJ$508)+1)))</f>
        <v/>
      </c>
      <c r="BL97" s="130" t="str">
        <f aca="false">IF($BD97&lt;&gt;Constants!$B$6,"",IF($AU97="-&gt;",$BC97,$AT97))</f>
        <v/>
      </c>
      <c r="BM97" s="127" t="str">
        <f aca="false">IF(ISBLANK($C97),"",IF($BD97&lt;&gt;Constants!$B$6,$BD97,IF(ISNUMBER($BL97),RANK($BL97,$BL$9:$BL$508,1),COUNT($BL$9:$BL$508)+1)))</f>
        <v/>
      </c>
      <c r="BN97" s="130" t="str">
        <f aca="false">IF($BD97&lt;&gt;Constants!$B$6,"",IF($AU97="-&gt;",$AS97,$BB97))</f>
        <v/>
      </c>
      <c r="BO97" s="127" t="str">
        <f aca="false">IF(ISBLANK($C97),"",IF($BD97&lt;&gt;Constants!$B$6,$BD97,IF(ISNUMBER($BN97),RANK($BN97,$BN$9:$BN$508,1),COUNT($BN$9:$BN$508)+1)))</f>
        <v/>
      </c>
      <c r="BP97" s="130" t="str">
        <f aca="false">IF($BD97&lt;&gt;Constants!$B$6,"",IF($AU97="-&gt;",$AT97,$BC97))</f>
        <v/>
      </c>
      <c r="BQ97" s="127" t="str">
        <f aca="false">IF(ISBLANK($C97),"",IF($BD97&lt;&gt;Constants!$B$6,$BD97,IF(ISNUMBER($BP97),RANK($BP97,$BP$9:$BP$508,1),COUNT($BP$9:$BP$508)+1)))</f>
        <v/>
      </c>
      <c r="BR97" s="127" t="str">
        <f aca="false">IF(ISBLANK($C97),"",IF($BD97&lt;&gt;Constants!$B$6,$BD97,COUNTIFS($BI$9:$BI$508,"&lt;"&amp;$BI97)+COUNTIFS($BI$9:$BI$508,$BI97,$BK$9:$BK$508,"&lt;"&amp;$BK97)+COUNTIFS($BI$9:$BI$508,$BI97,$BK$9:$BK$508,$BK97,$BM$9:$BM$508,"&lt;"&amp;$BM97)+COUNTIFS($BI$9:$BI$508,$BI97,$BK$9:$BK$508,$BK97,$BM$9:$BM$508,$BM97,$BO$9:$BO$508,"&lt;"&amp;$BO97)+COUNTIFS($BI$9:$BI$508,$BI97,$BK$9:$BK$508,$BK97,$BM$9:$BM$508,$BM97,$BO$9:$BO$508,$BO97,$BQ$9:$BQ$508,"&lt;"&amp;$BQ97)+1))</f>
        <v/>
      </c>
      <c r="BS97" s="127" t="str">
        <f aca="false">IF(ISBLANK($C97),"",IF($BD97&lt;&gt;Constants!$B$6,$BD97,$BI97-$BR97))</f>
        <v/>
      </c>
      <c r="BT97" s="133"/>
      <c r="BU97" s="134"/>
      <c r="BV97" s="134" t="str">
        <f aca="false">IF(ISBLANK($C97),"",IF($BD97&lt;&gt;Constants!$B$6,"",IF($AU97="-&gt;",2,1)))</f>
        <v/>
      </c>
      <c r="BW97" s="135" t="str">
        <f aca="false">IF(ISBLANK($C97),"",IF($BD97&lt;&gt;Constants!$B$6,"",IF($AU97="-&gt;",$AW97,$AN97)))</f>
        <v/>
      </c>
      <c r="BX97" s="135" t="str">
        <f aca="false">IF(ISBLANK($C97),"",IF($BD97&lt;&gt;Constants!$B$6,"",IF($AU97="-&gt;",$AX97,$AO97)))</f>
        <v/>
      </c>
      <c r="BY97" s="135" t="str">
        <f aca="false">IF(ISBLANK($C97),"",IF($BD97&lt;&gt;Constants!$B$6,"",IF($AU97="-&gt;",$AY97,$AP97)))</f>
        <v/>
      </c>
      <c r="BZ97" s="135" t="str">
        <f aca="false">IF(ISBLANK($C97),"",IF($BD97&lt;&gt;Constants!$B$6,"",IF($AU97="-&gt;",$AZ97,$AQ97)+$BG97))</f>
        <v/>
      </c>
      <c r="CA97" s="136" t="str">
        <f aca="false">IF(ISBLANK($C97),"",IF($BD97&lt;&gt;Constants!$B$6,$BD97,$BH97))</f>
        <v/>
      </c>
      <c r="CB97" s="137" t="str">
        <f aca="false">IF(ISBLANK($C97),"",$BE97)</f>
        <v/>
      </c>
      <c r="CC97" s="138" t="str">
        <f aca="false">IF(ISBLANK($C97),"",$BS97)</f>
        <v/>
      </c>
      <c r="CD97" s="138" t="str">
        <f aca="false">IF(ISBLANK($C97),"",$BR97)</f>
        <v/>
      </c>
      <c r="CE97" s="139" t="str">
        <f aca="false">IF(ISBLANK($C97),"",IF($CD97=Constants!$B$9,COUNTA($C$9:$C$508)+2,IF($CD97=Constants!$B$8,COUNTA($C$9:$C$508)+1,IF($CD97=Constants!$B$7,COUNTA($C$9:$C$508),$CD97))))</f>
        <v/>
      </c>
      <c r="CF97" s="9"/>
      <c r="CG97" s="140" t="n">
        <f aca="false">IF(OR(ISNUMBER($CD97),$CD97=Constants!$B$9,$CD97=Constants!$B$7,$CD97=Constants!$B$8),1,0)</f>
        <v>0</v>
      </c>
      <c r="CH97" s="140" t="n">
        <v>89</v>
      </c>
      <c r="CI97" s="140" t="str">
        <f aca="false">IF(ISBLANK($C97),"",IF(ISNUMBER($CE97),$CE97+ROW($B97)/1000,""))</f>
        <v/>
      </c>
      <c r="CJ97" s="140" t="str">
        <f aca="false">IF(ISNUMBER($CI97),RANK($CI97,$CI$9:$CI$508,1),"")</f>
        <v/>
      </c>
      <c r="CK97" s="140" t="str">
        <f aca="false">IF(ISBLANK($C97),"",$B97)</f>
        <v/>
      </c>
      <c r="CL97" s="140" t="str">
        <f aca="false">IF(ISBLANK($C97),"",$C97)</f>
        <v/>
      </c>
      <c r="CM97" s="140" t="str">
        <f aca="false">IF(ISBLANK($C97),"",$D97)</f>
        <v/>
      </c>
      <c r="CN97" s="141" t="str">
        <f aca="false">$CB97</f>
        <v/>
      </c>
      <c r="CO97" s="142" t="str">
        <f aca="false">$CA97</f>
        <v/>
      </c>
      <c r="CP97" s="140" t="str">
        <f aca="false">IF(ISBLANK($C97),"",$CD97)</f>
        <v/>
      </c>
      <c r="CQ97" s="143" t="str">
        <f aca="false">IF($CH97&gt;$CG$8,"",VLOOKUP($CH97,$CJ$9:$CP$508,7,FALSE()))</f>
        <v/>
      </c>
      <c r="CR97" s="144" t="str">
        <f aca="false">IF($CH97&gt;$CG$8,"",VLOOKUP($CH97,$CJ$9:$CP$508,2,FALSE()))</f>
        <v/>
      </c>
      <c r="CS97" s="144" t="str">
        <f aca="false">IF($CH97&gt;$CG$8,"",VLOOKUP($CH97,$CJ$9:$CP$508,3,FALSE()))</f>
        <v/>
      </c>
      <c r="CT97" s="144" t="str">
        <f aca="false">IF($CH97&gt;$CG$8,"",VLOOKUP($CH97,$CJ$9:$CP$508,4,FALSE()))</f>
        <v/>
      </c>
      <c r="CU97" s="144" t="str">
        <f aca="false">IF($CH97&gt;$CG$8,"",VLOOKUP($CH97,$CJ$9:$CP$508,5,FALSE()))</f>
        <v/>
      </c>
      <c r="CV97" s="145" t="str">
        <f aca="false">IF($CH97&gt;$CG$8,"",VLOOKUP($CH97,$CJ$9:$CP$508,6,FALSE()))</f>
        <v/>
      </c>
      <c r="CW97" s="71"/>
    </row>
    <row r="98" customFormat="false" ht="15.75" hidden="false" customHeight="false" outlineLevel="0" collapsed="false">
      <c r="A98" s="9"/>
      <c r="B98" s="150"/>
      <c r="C98" s="151"/>
      <c r="D98" s="152"/>
      <c r="E98" s="170"/>
      <c r="F98" s="154"/>
      <c r="G98" s="155"/>
      <c r="H98" s="171"/>
      <c r="I98" s="159"/>
      <c r="J98" s="120"/>
      <c r="K98" s="121"/>
      <c r="L98" s="122"/>
      <c r="M98" s="158"/>
      <c r="N98" s="159"/>
      <c r="O98" s="159"/>
      <c r="P98" s="120"/>
      <c r="Q98" s="122"/>
      <c r="R98" s="122"/>
      <c r="S98" s="158"/>
      <c r="T98" s="159"/>
      <c r="U98" s="126"/>
      <c r="V98" s="127"/>
      <c r="W98" s="127" t="str">
        <f aca="false">IF(ISBLANK($C98),"",IF(E98=Constants!$B$2,TRUE(),IF(E98=Constants!$B$3,FALSE(),TRUE())))</f>
        <v/>
      </c>
      <c r="X98" s="127" t="str">
        <f aca="false">IF(ISBLANK($C98),"",IF(F98=Constants!$B$2,TRUE(),IF(F98=Constants!$B$3,FALSE(),TRUE())))</f>
        <v/>
      </c>
      <c r="Y98" s="127" t="str">
        <f aca="false">IF(ISBLANK($C98),"",IF(G98=Constants!$B$2,TRUE(),IF(G98=Constants!$B$3,FALSE(),TRUE())))</f>
        <v/>
      </c>
      <c r="Z98" s="127" t="str">
        <f aca="false">IF(ISBLANK($C98),"",IF(H98=Constants!$B$2,TRUE(),IF(H98=Constants!$B$3,FALSE(),TRUE())))</f>
        <v/>
      </c>
      <c r="AA98" s="127" t="str">
        <f aca="false">IF(ISBLANK($C98),"",IF(I98=Constants!$B$2,TRUE(),IF(I98=Constants!$B$3,FALSE(),TRUE())))</f>
        <v/>
      </c>
      <c r="AB98" s="127" t="str">
        <f aca="false">IF(ISBLANK($C98),"",IF(J98=Constants!$B$4,TRUE(),IF(J98=Constants!$B$5,FALSE(),COUNTA(K98:M98)&gt;0)))</f>
        <v/>
      </c>
      <c r="AC98" s="128" t="str">
        <f aca="false">IF(ISBLANK($C98),"",IF(ISNUMBER(K98),IF(K98&gt;=0,K98,""),""))</f>
        <v/>
      </c>
      <c r="AD98" s="129" t="str">
        <f aca="false">IF(ISBLANK($C98),"",IF(ISNUMBER(L98),IF(L98&gt;=0,L98,""),""))</f>
        <v/>
      </c>
      <c r="AE98" s="127" t="str">
        <f aca="false">IF(ISBLANK($C98),"",IF(ISNUMBER(M98),IF(M98&gt;=0,MIN(M98,Constants!$B$22),""),""))</f>
        <v/>
      </c>
      <c r="AF98" s="127" t="str">
        <f aca="false">IF(ISBLANK($C98),"",IF(N98=Constants!$B$2,TRUE(),IF(N98=Constants!$B$3,FALSE(),TRUE())))</f>
        <v/>
      </c>
      <c r="AG98" s="127" t="str">
        <f aca="false">IF(ISBLANK($C98),"",IF(O98=Constants!$B$2,TRUE(),IF(O98=Constants!$B$3,FALSE(),TRUE())))</f>
        <v/>
      </c>
      <c r="AH98" s="127" t="str">
        <f aca="false">IF(ISBLANK($C98),"",IF(P98=Constants!$B$4,TRUE(),IF(P98=Constants!$B$5,FALSE(),COUNTA(Q98:S98)&gt;0)))</f>
        <v/>
      </c>
      <c r="AI98" s="128" t="str">
        <f aca="false">IF(ISBLANK($C98),"",IF(ISNUMBER(Q98),IF(Q98&gt;=0,Q98,""),""))</f>
        <v/>
      </c>
      <c r="AJ98" s="129" t="str">
        <f aca="false">IF(ISBLANK($C98),"",IF(ISNUMBER(R98),IF(R98&gt;=0,R98,""),""))</f>
        <v/>
      </c>
      <c r="AK98" s="127" t="str">
        <f aca="false">IF(ISBLANK($C98),"",IF(ISNUMBER(S98),IF(S98&gt;=0,MIN(S98,Constants!$B$22),""),""))</f>
        <v/>
      </c>
      <c r="AL98" s="127" t="str">
        <f aca="false">IF(ISBLANK($C98),"",IF(T98=Constants!$B$2,TRUE(),IF(T98=Constants!$B$3,FALSE(),FALSE())))</f>
        <v/>
      </c>
      <c r="AM98" s="126" t="str">
        <f aca="false">IF(ISBLANK($C98),"",AND($AB98,OR($AC98="",$AD98="",AND(NOT(ISBLANK($M98)),$AE98=""))))</f>
        <v/>
      </c>
      <c r="AN98" s="129" t="str">
        <f aca="false">IF($BD98&lt;&gt;Constants!$B$6,"",IF($AB98,Constants!$B$17*$AD98,Constants!$B$18))</f>
        <v/>
      </c>
      <c r="AO98" s="130" t="str">
        <f aca="false">IF($BD98&lt;&gt;Constants!$B$6,"",Constants!$B$19*IF($AB98,$AC98,0))</f>
        <v/>
      </c>
      <c r="AP98" s="130" t="str">
        <f aca="false">IF($BD98&lt;&gt;Constants!$B$6,"",IF(AND($AB98,ISNUMBER($AE98)),Constants!$B$20*(Constants!$B$21-$AE98),0))</f>
        <v/>
      </c>
      <c r="AQ98" s="130" t="str">
        <f aca="false">IF($BD98&lt;&gt;Constants!$B$6,"",IF($AA98,0,Constants!$B$12)+IF($Z98,0,Constants!$B$13)+IF($Y98,0,Constants!$B$14))</f>
        <v/>
      </c>
      <c r="AR98" s="131" t="str">
        <f aca="false">IF($BD98&lt;&gt;Constants!$B$6,"",Constants!$B$16+SUM($AN98:$AQ98))</f>
        <v/>
      </c>
      <c r="AS98" s="130" t="str">
        <f aca="false">IF($BD98&lt;&gt;Constants!$B$6,"",IF($AB98,$AD98,""))</f>
        <v/>
      </c>
      <c r="AT98" s="132" t="str">
        <f aca="false">IF($BD98&lt;&gt;Constants!$B$6,"",$AO98)</f>
        <v/>
      </c>
      <c r="AU98" s="127" t="str">
        <f aca="false">IF($BD98&lt;&gt;Constants!$B$6,"",IF(OR($BA98&lt;$AR98,AND($BA98=$AR98,OR(AND(ISNUMBER($BB98),OR(NOT(ISNUMBER($AS98)),$BB98&lt;$AS98)),AND(OR(AND($BB98="",$AS98=""),AND(ISNUMBER($BB98),ISNUMBER($AS98),$BB98=$AS98)),$BC98&lt;$AT98)))),"-&gt;","&lt;-"))</f>
        <v/>
      </c>
      <c r="AV98" s="126" t="str">
        <f aca="false">IF(ISBLANK($C98),"",AND($AH98,OR($AI98="",$AJ98="",AND(NOT(ISBLANK($S98)),$AK98=""))))</f>
        <v/>
      </c>
      <c r="AW98" s="129" t="str">
        <f aca="false">IF($BD98&lt;&gt;Constants!$B$6,"",IF($AH98,Constants!$B$17*$AJ98,Constants!$B$18))</f>
        <v/>
      </c>
      <c r="AX98" s="130" t="str">
        <f aca="false">IF($BD98&lt;&gt;Constants!$B$6,"",Constants!$B$19*IF($AH98,$AI98,0))</f>
        <v/>
      </c>
      <c r="AY98" s="130" t="str">
        <f aca="false">IF($BD98&lt;&gt;Constants!$B$6,"",IF(AND($AH98,ISNUMBER($AK98)),Constants!$B$20*(Constants!$B$21-$AK98),0))</f>
        <v/>
      </c>
      <c r="AZ98" s="130" t="str">
        <f aca="false">IF($BD98&lt;&gt;Constants!$B$6,"",IF($AG98,0,Constants!$B$12)+IF($AF98,0,Constants!$B$13)+IF($Y98,0,Constants!$B$14))</f>
        <v/>
      </c>
      <c r="BA98" s="131" t="str">
        <f aca="false">IF($BD98&lt;&gt;Constants!$B$6,"",Constants!$B$16+SUM($AW98:$AZ98))</f>
        <v/>
      </c>
      <c r="BB98" s="130" t="str">
        <f aca="false">IF($BD98&lt;&gt;Constants!$B$6,"",IF($AH98,$AJ98,""))</f>
        <v/>
      </c>
      <c r="BC98" s="132" t="str">
        <f aca="false">IF($BD98&lt;&gt;Constants!$B$6,"",$AX98)</f>
        <v/>
      </c>
      <c r="BD98" s="127" t="str">
        <f aca="false">IF(ISBLANK($C98),"",IF($AL98,Constants!$B$9,IF(COUNTA($E98:$T98)=0,Constants!$B$8,IF(NOT($X98),Constants!$B$7,IF(OR($AM98,$AV98),Constants!$B$10,Constants!$B$6)))))</f>
        <v/>
      </c>
      <c r="BE98" s="127" t="str">
        <f aca="false">IF(ISBLANK($C98),"",IF($BD98&lt;&gt;Constants!$B$6,$BD98,Constants!$B$11))</f>
        <v/>
      </c>
      <c r="BF98" s="130" t="str">
        <f aca="false">IF($BD98&lt;&gt;Constants!$B$6,"",IF($AU98="-&gt;",$BA98,$AR98))</f>
        <v/>
      </c>
      <c r="BG98" s="130" t="str">
        <f aca="false">IF($BD98&lt;&gt;Constants!$B$6,"",IF($W98,0,Constants!$B$15))</f>
        <v/>
      </c>
      <c r="BH98" s="130" t="str">
        <f aca="false">IF(ISBLANK($C98),"",IF($BD98&lt;&gt;Constants!$B$6,$BD98,SUM($BF98:$BG98)))</f>
        <v/>
      </c>
      <c r="BI98" s="127" t="str">
        <f aca="false">IF(ISBLANK($C98),"",IF($BD98&lt;&gt;Constants!$B$6,$BD98,RANK($BH98,$BH$9:$BH$508,1)))</f>
        <v/>
      </c>
      <c r="BJ98" s="130" t="str">
        <f aca="false">IF($BD98&lt;&gt;Constants!$B$6,"",IF($AU98="-&gt;",$BB98,$AS98))</f>
        <v/>
      </c>
      <c r="BK98" s="127" t="str">
        <f aca="false">IF(ISBLANK($C98),"",IF($BD98&lt;&gt;Constants!$B$6,$BD98,IF(ISNUMBER($BJ98),RANK($BJ98,$BJ$9:$BJ$508,1),COUNT($BJ$9:$BJ$508)+1)))</f>
        <v/>
      </c>
      <c r="BL98" s="130" t="str">
        <f aca="false">IF($BD98&lt;&gt;Constants!$B$6,"",IF($AU98="-&gt;",$BC98,$AT98))</f>
        <v/>
      </c>
      <c r="BM98" s="127" t="str">
        <f aca="false">IF(ISBLANK($C98),"",IF($BD98&lt;&gt;Constants!$B$6,$BD98,IF(ISNUMBER($BL98),RANK($BL98,$BL$9:$BL$508,1),COUNT($BL$9:$BL$508)+1)))</f>
        <v/>
      </c>
      <c r="BN98" s="130" t="str">
        <f aca="false">IF($BD98&lt;&gt;Constants!$B$6,"",IF($AU98="-&gt;",$AS98,$BB98))</f>
        <v/>
      </c>
      <c r="BO98" s="127" t="str">
        <f aca="false">IF(ISBLANK($C98),"",IF($BD98&lt;&gt;Constants!$B$6,$BD98,IF(ISNUMBER($BN98),RANK($BN98,$BN$9:$BN$508,1),COUNT($BN$9:$BN$508)+1)))</f>
        <v/>
      </c>
      <c r="BP98" s="130" t="str">
        <f aca="false">IF($BD98&lt;&gt;Constants!$B$6,"",IF($AU98="-&gt;",$AT98,$BC98))</f>
        <v/>
      </c>
      <c r="BQ98" s="127" t="str">
        <f aca="false">IF(ISBLANK($C98),"",IF($BD98&lt;&gt;Constants!$B$6,$BD98,IF(ISNUMBER($BP98),RANK($BP98,$BP$9:$BP$508,1),COUNT($BP$9:$BP$508)+1)))</f>
        <v/>
      </c>
      <c r="BR98" s="127" t="str">
        <f aca="false">IF(ISBLANK($C98),"",IF($BD98&lt;&gt;Constants!$B$6,$BD98,COUNTIFS($BI$9:$BI$508,"&lt;"&amp;$BI98)+COUNTIFS($BI$9:$BI$508,$BI98,$BK$9:$BK$508,"&lt;"&amp;$BK98)+COUNTIFS($BI$9:$BI$508,$BI98,$BK$9:$BK$508,$BK98,$BM$9:$BM$508,"&lt;"&amp;$BM98)+COUNTIFS($BI$9:$BI$508,$BI98,$BK$9:$BK$508,$BK98,$BM$9:$BM$508,$BM98,$BO$9:$BO$508,"&lt;"&amp;$BO98)+COUNTIFS($BI$9:$BI$508,$BI98,$BK$9:$BK$508,$BK98,$BM$9:$BM$508,$BM98,$BO$9:$BO$508,$BO98,$BQ$9:$BQ$508,"&lt;"&amp;$BQ98)+1))</f>
        <v/>
      </c>
      <c r="BS98" s="127" t="str">
        <f aca="false">IF(ISBLANK($C98),"",IF($BD98&lt;&gt;Constants!$B$6,$BD98,$BI98-$BR98))</f>
        <v/>
      </c>
      <c r="BT98" s="133"/>
      <c r="BU98" s="134"/>
      <c r="BV98" s="134" t="str">
        <f aca="false">IF(ISBLANK($C98),"",IF($BD98&lt;&gt;Constants!$B$6,"",IF($AU98="-&gt;",2,1)))</f>
        <v/>
      </c>
      <c r="BW98" s="135" t="str">
        <f aca="false">IF(ISBLANK($C98),"",IF($BD98&lt;&gt;Constants!$B$6,"",IF($AU98="-&gt;",$AW98,$AN98)))</f>
        <v/>
      </c>
      <c r="BX98" s="135" t="str">
        <f aca="false">IF(ISBLANK($C98),"",IF($BD98&lt;&gt;Constants!$B$6,"",IF($AU98="-&gt;",$AX98,$AO98)))</f>
        <v/>
      </c>
      <c r="BY98" s="135" t="str">
        <f aca="false">IF(ISBLANK($C98),"",IF($BD98&lt;&gt;Constants!$B$6,"",IF($AU98="-&gt;",$AY98,$AP98)))</f>
        <v/>
      </c>
      <c r="BZ98" s="135" t="str">
        <f aca="false">IF(ISBLANK($C98),"",IF($BD98&lt;&gt;Constants!$B$6,"",IF($AU98="-&gt;",$AZ98,$AQ98)+$BG98))</f>
        <v/>
      </c>
      <c r="CA98" s="136" t="str">
        <f aca="false">IF(ISBLANK($C98),"",IF($BD98&lt;&gt;Constants!$B$6,$BD98,$BH98))</f>
        <v/>
      </c>
      <c r="CB98" s="137" t="str">
        <f aca="false">IF(ISBLANK($C98),"",$BE98)</f>
        <v/>
      </c>
      <c r="CC98" s="138" t="str">
        <f aca="false">IF(ISBLANK($C98),"",$BS98)</f>
        <v/>
      </c>
      <c r="CD98" s="138" t="str">
        <f aca="false">IF(ISBLANK($C98),"",$BR98)</f>
        <v/>
      </c>
      <c r="CE98" s="139" t="str">
        <f aca="false">IF(ISBLANK($C98),"",IF($CD98=Constants!$B$9,COUNTA($C$9:$C$508)+2,IF($CD98=Constants!$B$8,COUNTA($C$9:$C$508)+1,IF($CD98=Constants!$B$7,COUNTA($C$9:$C$508),$CD98))))</f>
        <v/>
      </c>
      <c r="CF98" s="9"/>
      <c r="CG98" s="140" t="n">
        <f aca="false">IF(OR(ISNUMBER($CD98),$CD98=Constants!$B$9,$CD98=Constants!$B$7,$CD98=Constants!$B$8),1,0)</f>
        <v>0</v>
      </c>
      <c r="CH98" s="140" t="n">
        <v>90</v>
      </c>
      <c r="CI98" s="140" t="str">
        <f aca="false">IF(ISBLANK($C98),"",IF(ISNUMBER($CE98),$CE98+ROW($B98)/1000,""))</f>
        <v/>
      </c>
      <c r="CJ98" s="140" t="str">
        <f aca="false">IF(ISNUMBER($CI98),RANK($CI98,$CI$9:$CI$508,1),"")</f>
        <v/>
      </c>
      <c r="CK98" s="140" t="str">
        <f aca="false">IF(ISBLANK($C98),"",$B98)</f>
        <v/>
      </c>
      <c r="CL98" s="140" t="str">
        <f aca="false">IF(ISBLANK($C98),"",$C98)</f>
        <v/>
      </c>
      <c r="CM98" s="140" t="str">
        <f aca="false">IF(ISBLANK($C98),"",$D98)</f>
        <v/>
      </c>
      <c r="CN98" s="141" t="str">
        <f aca="false">$CB98</f>
        <v/>
      </c>
      <c r="CO98" s="142" t="str">
        <f aca="false">$CA98</f>
        <v/>
      </c>
      <c r="CP98" s="140" t="str">
        <f aca="false">IF(ISBLANK($C98),"",$CD98)</f>
        <v/>
      </c>
      <c r="CQ98" s="143" t="str">
        <f aca="false">IF($CH98&gt;$CG$8,"",VLOOKUP($CH98,$CJ$9:$CP$508,7,FALSE()))</f>
        <v/>
      </c>
      <c r="CR98" s="144" t="str">
        <f aca="false">IF($CH98&gt;$CG$8,"",VLOOKUP($CH98,$CJ$9:$CP$508,2,FALSE()))</f>
        <v/>
      </c>
      <c r="CS98" s="144" t="str">
        <f aca="false">IF($CH98&gt;$CG$8,"",VLOOKUP($CH98,$CJ$9:$CP$508,3,FALSE()))</f>
        <v/>
      </c>
      <c r="CT98" s="144" t="str">
        <f aca="false">IF($CH98&gt;$CG$8,"",VLOOKUP($CH98,$CJ$9:$CP$508,4,FALSE()))</f>
        <v/>
      </c>
      <c r="CU98" s="144" t="str">
        <f aca="false">IF($CH98&gt;$CG$8,"",VLOOKUP($CH98,$CJ$9:$CP$508,5,FALSE()))</f>
        <v/>
      </c>
      <c r="CV98" s="145" t="str">
        <f aca="false">IF($CH98&gt;$CG$8,"",VLOOKUP($CH98,$CJ$9:$CP$508,6,FALSE()))</f>
        <v/>
      </c>
      <c r="CW98" s="71"/>
    </row>
    <row r="99" customFormat="false" ht="15.75" hidden="false" customHeight="false" outlineLevel="0" collapsed="false">
      <c r="A99" s="9"/>
      <c r="B99" s="72"/>
      <c r="C99" s="73"/>
      <c r="D99" s="160"/>
      <c r="E99" s="168"/>
      <c r="F99" s="162"/>
      <c r="G99" s="163"/>
      <c r="H99" s="169"/>
      <c r="I99" s="167"/>
      <c r="J99" s="80"/>
      <c r="K99" s="81"/>
      <c r="L99" s="82"/>
      <c r="M99" s="166"/>
      <c r="N99" s="167"/>
      <c r="O99" s="167"/>
      <c r="P99" s="80"/>
      <c r="Q99" s="82"/>
      <c r="R99" s="82"/>
      <c r="S99" s="166"/>
      <c r="T99" s="167"/>
      <c r="U99" s="86"/>
      <c r="V99" s="87"/>
      <c r="W99" s="87" t="str">
        <f aca="false">IF(ISBLANK($C99),"",IF(E99=Constants!$B$2,TRUE(),IF(E99=Constants!$B$3,FALSE(),TRUE())))</f>
        <v/>
      </c>
      <c r="X99" s="87" t="str">
        <f aca="false">IF(ISBLANK($C99),"",IF(F99=Constants!$B$2,TRUE(),IF(F99=Constants!$B$3,FALSE(),TRUE())))</f>
        <v/>
      </c>
      <c r="Y99" s="87" t="str">
        <f aca="false">IF(ISBLANK($C99),"",IF(G99=Constants!$B$2,TRUE(),IF(G99=Constants!$B$3,FALSE(),TRUE())))</f>
        <v/>
      </c>
      <c r="Z99" s="87" t="str">
        <f aca="false">IF(ISBLANK($C99),"",IF(H99=Constants!$B$2,TRUE(),IF(H99=Constants!$B$3,FALSE(),TRUE())))</f>
        <v/>
      </c>
      <c r="AA99" s="87" t="str">
        <f aca="false">IF(ISBLANK($C99),"",IF(I99=Constants!$B$2,TRUE(),IF(I99=Constants!$B$3,FALSE(),TRUE())))</f>
        <v/>
      </c>
      <c r="AB99" s="87" t="str">
        <f aca="false">IF(ISBLANK($C99),"",IF(J99=Constants!$B$4,TRUE(),IF(J99=Constants!$B$5,FALSE(),COUNTA(K99:M99)&gt;0)))</f>
        <v/>
      </c>
      <c r="AC99" s="88" t="str">
        <f aca="false">IF(ISBLANK($C99),"",IF(ISNUMBER(K99),IF(K99&gt;=0,K99,""),""))</f>
        <v/>
      </c>
      <c r="AD99" s="89" t="str">
        <f aca="false">IF(ISBLANK($C99),"",IF(ISNUMBER(L99),IF(L99&gt;=0,L99,""),""))</f>
        <v/>
      </c>
      <c r="AE99" s="87" t="str">
        <f aca="false">IF(ISBLANK($C99),"",IF(ISNUMBER(M99),IF(M99&gt;=0,MIN(M99,Constants!$B$22),""),""))</f>
        <v/>
      </c>
      <c r="AF99" s="87" t="str">
        <f aca="false">IF(ISBLANK($C99),"",IF(N99=Constants!$B$2,TRUE(),IF(N99=Constants!$B$3,FALSE(),TRUE())))</f>
        <v/>
      </c>
      <c r="AG99" s="87" t="str">
        <f aca="false">IF(ISBLANK($C99),"",IF(O99=Constants!$B$2,TRUE(),IF(O99=Constants!$B$3,FALSE(),TRUE())))</f>
        <v/>
      </c>
      <c r="AH99" s="87" t="str">
        <f aca="false">IF(ISBLANK($C99),"",IF(P99=Constants!$B$4,TRUE(),IF(P99=Constants!$B$5,FALSE(),COUNTA(Q99:S99)&gt;0)))</f>
        <v/>
      </c>
      <c r="AI99" s="88" t="str">
        <f aca="false">IF(ISBLANK($C99),"",IF(ISNUMBER(Q99),IF(Q99&gt;=0,Q99,""),""))</f>
        <v/>
      </c>
      <c r="AJ99" s="89" t="str">
        <f aca="false">IF(ISBLANK($C99),"",IF(ISNUMBER(R99),IF(R99&gt;=0,R99,""),""))</f>
        <v/>
      </c>
      <c r="AK99" s="87" t="str">
        <f aca="false">IF(ISBLANK($C99),"",IF(ISNUMBER(S99),IF(S99&gt;=0,MIN(S99,Constants!$B$22),""),""))</f>
        <v/>
      </c>
      <c r="AL99" s="87" t="str">
        <f aca="false">IF(ISBLANK($C99),"",IF(T99=Constants!$B$2,TRUE(),IF(T99=Constants!$B$3,FALSE(),FALSE())))</f>
        <v/>
      </c>
      <c r="AM99" s="86" t="str">
        <f aca="false">IF(ISBLANK($C99),"",AND($AB99,OR($AC99="",$AD99="",AND(NOT(ISBLANK($M99)),$AE99=""))))</f>
        <v/>
      </c>
      <c r="AN99" s="89" t="str">
        <f aca="false">IF($BD99&lt;&gt;Constants!$B$6,"",IF($AB99,Constants!$B$17*$AD99,Constants!$B$18))</f>
        <v/>
      </c>
      <c r="AO99" s="91" t="str">
        <f aca="false">IF($BD99&lt;&gt;Constants!$B$6,"",Constants!$B$19*IF($AB99,$AC99,0))</f>
        <v/>
      </c>
      <c r="AP99" s="91" t="str">
        <f aca="false">IF($BD99&lt;&gt;Constants!$B$6,"",IF(AND($AB99,ISNUMBER($AE99)),Constants!$B$20*(Constants!$B$21-$AE99),0))</f>
        <v/>
      </c>
      <c r="AQ99" s="91" t="str">
        <f aca="false">IF($BD99&lt;&gt;Constants!$B$6,"",IF($AA99,0,Constants!$B$12)+IF($Z99,0,Constants!$B$13)+IF($Y99,0,Constants!$B$14))</f>
        <v/>
      </c>
      <c r="AR99" s="92" t="str">
        <f aca="false">IF($BD99&lt;&gt;Constants!$B$6,"",Constants!$B$16+SUM($AN99:$AQ99))</f>
        <v/>
      </c>
      <c r="AS99" s="91" t="str">
        <f aca="false">IF($BD99&lt;&gt;Constants!$B$6,"",IF($AB99,$AD99,""))</f>
        <v/>
      </c>
      <c r="AT99" s="93" t="str">
        <f aca="false">IF($BD99&lt;&gt;Constants!$B$6,"",$AO99)</f>
        <v/>
      </c>
      <c r="AU99" s="87" t="str">
        <f aca="false">IF($BD99&lt;&gt;Constants!$B$6,"",IF(OR($BA99&lt;$AR99,AND($BA99=$AR99,OR(AND(ISNUMBER($BB99),OR(NOT(ISNUMBER($AS99)),$BB99&lt;$AS99)),AND(OR(AND($BB99="",$AS99=""),AND(ISNUMBER($BB99),ISNUMBER($AS99),$BB99=$AS99)),$BC99&lt;$AT99)))),"-&gt;","&lt;-"))</f>
        <v/>
      </c>
      <c r="AV99" s="86" t="str">
        <f aca="false">IF(ISBLANK($C99),"",AND($AH99,OR($AI99="",$AJ99="",AND(NOT(ISBLANK($S99)),$AK99=""))))</f>
        <v/>
      </c>
      <c r="AW99" s="89" t="str">
        <f aca="false">IF($BD99&lt;&gt;Constants!$B$6,"",IF($AH99,Constants!$B$17*$AJ99,Constants!$B$18))</f>
        <v/>
      </c>
      <c r="AX99" s="91" t="str">
        <f aca="false">IF($BD99&lt;&gt;Constants!$B$6,"",Constants!$B$19*IF($AH99,$AI99,0))</f>
        <v/>
      </c>
      <c r="AY99" s="91" t="str">
        <f aca="false">IF($BD99&lt;&gt;Constants!$B$6,"",IF(AND($AH99,ISNUMBER($AK99)),Constants!$B$20*(Constants!$B$21-$AK99),0))</f>
        <v/>
      </c>
      <c r="AZ99" s="91" t="str">
        <f aca="false">IF($BD99&lt;&gt;Constants!$B$6,"",IF($AG99,0,Constants!$B$12)+IF($AF99,0,Constants!$B$13)+IF($Y99,0,Constants!$B$14))</f>
        <v/>
      </c>
      <c r="BA99" s="92" t="str">
        <f aca="false">IF($BD99&lt;&gt;Constants!$B$6,"",Constants!$B$16+SUM($AW99:$AZ99))</f>
        <v/>
      </c>
      <c r="BB99" s="91" t="str">
        <f aca="false">IF($BD99&lt;&gt;Constants!$B$6,"",IF($AH99,$AJ99,""))</f>
        <v/>
      </c>
      <c r="BC99" s="93" t="str">
        <f aca="false">IF($BD99&lt;&gt;Constants!$B$6,"",$AX99)</f>
        <v/>
      </c>
      <c r="BD99" s="87" t="str">
        <f aca="false">IF(ISBLANK($C99),"",IF($AL99,Constants!$B$9,IF(COUNTA($E99:$T99)=0,Constants!$B$8,IF(NOT($X99),Constants!$B$7,IF(OR($AM99,$AV99),Constants!$B$10,Constants!$B$6)))))</f>
        <v/>
      </c>
      <c r="BE99" s="87" t="str">
        <f aca="false">IF(ISBLANK($C99),"",IF($BD99&lt;&gt;Constants!$B$6,$BD99,Constants!$B$11))</f>
        <v/>
      </c>
      <c r="BF99" s="91" t="str">
        <f aca="false">IF($BD99&lt;&gt;Constants!$B$6,"",IF($AU99="-&gt;",$BA99,$AR99))</f>
        <v/>
      </c>
      <c r="BG99" s="91" t="str">
        <f aca="false">IF($BD99&lt;&gt;Constants!$B$6,"",IF($W99,0,Constants!$B$15))</f>
        <v/>
      </c>
      <c r="BH99" s="91" t="str">
        <f aca="false">IF(ISBLANK($C99),"",IF($BD99&lt;&gt;Constants!$B$6,$BD99,SUM($BF99:$BG99)))</f>
        <v/>
      </c>
      <c r="BI99" s="87" t="str">
        <f aca="false">IF(ISBLANK($C99),"",IF($BD99&lt;&gt;Constants!$B$6,$BD99,RANK($BH99,$BH$9:$BH$508,1)))</f>
        <v/>
      </c>
      <c r="BJ99" s="91" t="str">
        <f aca="false">IF($BD99&lt;&gt;Constants!$B$6,"",IF($AU99="-&gt;",$BB99,$AS99))</f>
        <v/>
      </c>
      <c r="BK99" s="87" t="str">
        <f aca="false">IF(ISBLANK($C99),"",IF($BD99&lt;&gt;Constants!$B$6,$BD99,IF(ISNUMBER($BJ99),RANK($BJ99,$BJ$9:$BJ$508,1),COUNT($BJ$9:$BJ$508)+1)))</f>
        <v/>
      </c>
      <c r="BL99" s="91" t="str">
        <f aca="false">IF($BD99&lt;&gt;Constants!$B$6,"",IF($AU99="-&gt;",$BC99,$AT99))</f>
        <v/>
      </c>
      <c r="BM99" s="87" t="str">
        <f aca="false">IF(ISBLANK($C99),"",IF($BD99&lt;&gt;Constants!$B$6,$BD99,IF(ISNUMBER($BL99),RANK($BL99,$BL$9:$BL$508,1),COUNT($BL$9:$BL$508)+1)))</f>
        <v/>
      </c>
      <c r="BN99" s="91" t="str">
        <f aca="false">IF($BD99&lt;&gt;Constants!$B$6,"",IF($AU99="-&gt;",$AS99,$BB99))</f>
        <v/>
      </c>
      <c r="BO99" s="87" t="str">
        <f aca="false">IF(ISBLANK($C99),"",IF($BD99&lt;&gt;Constants!$B$6,$BD99,IF(ISNUMBER($BN99),RANK($BN99,$BN$9:$BN$508,1),COUNT($BN$9:$BN$508)+1)))</f>
        <v/>
      </c>
      <c r="BP99" s="91" t="str">
        <f aca="false">IF($BD99&lt;&gt;Constants!$B$6,"",IF($AU99="-&gt;",$AT99,$BC99))</f>
        <v/>
      </c>
      <c r="BQ99" s="87" t="str">
        <f aca="false">IF(ISBLANK($C99),"",IF($BD99&lt;&gt;Constants!$B$6,$BD99,IF(ISNUMBER($BP99),RANK($BP99,$BP$9:$BP$508,1),COUNT($BP$9:$BP$508)+1)))</f>
        <v/>
      </c>
      <c r="BR99" s="87" t="str">
        <f aca="false">IF(ISBLANK($C99),"",IF($BD99&lt;&gt;Constants!$B$6,$BD99,COUNTIFS($BI$9:$BI$508,"&lt;"&amp;$BI99)+COUNTIFS($BI$9:$BI$508,$BI99,$BK$9:$BK$508,"&lt;"&amp;$BK99)+COUNTIFS($BI$9:$BI$508,$BI99,$BK$9:$BK$508,$BK99,$BM$9:$BM$508,"&lt;"&amp;$BM99)+COUNTIFS($BI$9:$BI$508,$BI99,$BK$9:$BK$508,$BK99,$BM$9:$BM$508,$BM99,$BO$9:$BO$508,"&lt;"&amp;$BO99)+COUNTIFS($BI$9:$BI$508,$BI99,$BK$9:$BK$508,$BK99,$BM$9:$BM$508,$BM99,$BO$9:$BO$508,$BO99,$BQ$9:$BQ$508,"&lt;"&amp;$BQ99)+1))</f>
        <v/>
      </c>
      <c r="BS99" s="87" t="str">
        <f aca="false">IF(ISBLANK($C99),"",IF($BD99&lt;&gt;Constants!$B$6,$BD99,$BI99-$BR99))</f>
        <v/>
      </c>
      <c r="BT99" s="94"/>
      <c r="BU99" s="95"/>
      <c r="BV99" s="95" t="str">
        <f aca="false">IF(ISBLANK($C99),"",IF($BD99&lt;&gt;Constants!$B$6,"",IF($AU99="-&gt;",2,1)))</f>
        <v/>
      </c>
      <c r="BW99" s="96" t="str">
        <f aca="false">IF(ISBLANK($C99),"",IF($BD99&lt;&gt;Constants!$B$6,"",IF($AU99="-&gt;",$AW99,$AN99)))</f>
        <v/>
      </c>
      <c r="BX99" s="96" t="str">
        <f aca="false">IF(ISBLANK($C99),"",IF($BD99&lt;&gt;Constants!$B$6,"",IF($AU99="-&gt;",$AX99,$AO99)))</f>
        <v/>
      </c>
      <c r="BY99" s="96" t="str">
        <f aca="false">IF(ISBLANK($C99),"",IF($BD99&lt;&gt;Constants!$B$6,"",IF($AU99="-&gt;",$AY99,$AP99)))</f>
        <v/>
      </c>
      <c r="BZ99" s="96" t="str">
        <f aca="false">IF(ISBLANK($C99),"",IF($BD99&lt;&gt;Constants!$B$6,"",IF($AU99="-&gt;",$AZ99,$AQ99)+$BG99))</f>
        <v/>
      </c>
      <c r="CA99" s="97" t="str">
        <f aca="false">IF(ISBLANK($C99),"",IF($BD99&lt;&gt;Constants!$B$6,$BD99,$BH99))</f>
        <v/>
      </c>
      <c r="CB99" s="98" t="str">
        <f aca="false">IF(ISBLANK($C99),"",$BE99)</f>
        <v/>
      </c>
      <c r="CC99" s="99" t="str">
        <f aca="false">IF(ISBLANK($C99),"",$BS99)</f>
        <v/>
      </c>
      <c r="CD99" s="99" t="str">
        <f aca="false">IF(ISBLANK($C99),"",$BR99)</f>
        <v/>
      </c>
      <c r="CE99" s="100" t="str">
        <f aca="false">IF(ISBLANK($C99),"",IF($CD99=Constants!$B$9,COUNTA($C$9:$C$508)+2,IF($CD99=Constants!$B$8,COUNTA($C$9:$C$508)+1,IF($CD99=Constants!$B$7,COUNTA($C$9:$C$508),$CD99))))</f>
        <v/>
      </c>
      <c r="CF99" s="9"/>
      <c r="CG99" s="101" t="n">
        <f aca="false">IF(OR(ISNUMBER($CD99),$CD99=Constants!$B$9,$CD99=Constants!$B$7,$CD99=Constants!$B$8),1,0)</f>
        <v>0</v>
      </c>
      <c r="CH99" s="101" t="n">
        <v>91</v>
      </c>
      <c r="CI99" s="101" t="str">
        <f aca="false">IF(ISBLANK($C99),"",IF(ISNUMBER($CE99),$CE99+ROW($B99)/1000,""))</f>
        <v/>
      </c>
      <c r="CJ99" s="101" t="str">
        <f aca="false">IF(ISNUMBER($CI99),RANK($CI99,$CI$9:$CI$508,1),"")</f>
        <v/>
      </c>
      <c r="CK99" s="101" t="str">
        <f aca="false">IF(ISBLANK($C99),"",$B99)</f>
        <v/>
      </c>
      <c r="CL99" s="101" t="str">
        <f aca="false">IF(ISBLANK($C99),"",$C99)</f>
        <v/>
      </c>
      <c r="CM99" s="101" t="str">
        <f aca="false">IF(ISBLANK($C99),"",$D99)</f>
        <v/>
      </c>
      <c r="CN99" s="102" t="str">
        <f aca="false">$CB99</f>
        <v/>
      </c>
      <c r="CO99" s="103" t="str">
        <f aca="false">$CA99</f>
        <v/>
      </c>
      <c r="CP99" s="101" t="str">
        <f aca="false">IF(ISBLANK($C99),"",$CD99)</f>
        <v/>
      </c>
      <c r="CQ99" s="104" t="str">
        <f aca="false">IF($CH99&gt;$CG$8,"",VLOOKUP($CH99,$CJ$9:$CP$508,7,FALSE()))</f>
        <v/>
      </c>
      <c r="CR99" s="105" t="str">
        <f aca="false">IF($CH99&gt;$CG$8,"",VLOOKUP($CH99,$CJ$9:$CP$508,2,FALSE()))</f>
        <v/>
      </c>
      <c r="CS99" s="105" t="str">
        <f aca="false">IF($CH99&gt;$CG$8,"",VLOOKUP($CH99,$CJ$9:$CP$508,3,FALSE()))</f>
        <v/>
      </c>
      <c r="CT99" s="105" t="str">
        <f aca="false">IF($CH99&gt;$CG$8,"",VLOOKUP($CH99,$CJ$9:$CP$508,4,FALSE()))</f>
        <v/>
      </c>
      <c r="CU99" s="105" t="str">
        <f aca="false">IF($CH99&gt;$CG$8,"",VLOOKUP($CH99,$CJ$9:$CP$508,5,FALSE()))</f>
        <v/>
      </c>
      <c r="CV99" s="106" t="str">
        <f aca="false">IF($CH99&gt;$CG$8,"",VLOOKUP($CH99,$CJ$9:$CP$508,6,FALSE()))</f>
        <v/>
      </c>
      <c r="CW99" s="71"/>
    </row>
    <row r="100" customFormat="false" ht="15.75" hidden="false" customHeight="false" outlineLevel="0" collapsed="false">
      <c r="A100" s="9"/>
      <c r="B100" s="72"/>
      <c r="C100" s="73"/>
      <c r="D100" s="160"/>
      <c r="E100" s="168"/>
      <c r="F100" s="162"/>
      <c r="G100" s="163"/>
      <c r="H100" s="169"/>
      <c r="I100" s="167"/>
      <c r="J100" s="80"/>
      <c r="K100" s="81"/>
      <c r="L100" s="82"/>
      <c r="M100" s="166"/>
      <c r="N100" s="167"/>
      <c r="O100" s="167"/>
      <c r="P100" s="80"/>
      <c r="Q100" s="82"/>
      <c r="R100" s="82"/>
      <c r="S100" s="166"/>
      <c r="T100" s="167"/>
      <c r="U100" s="86"/>
      <c r="V100" s="87"/>
      <c r="W100" s="87" t="str">
        <f aca="false">IF(ISBLANK($C100),"",IF(E100=Constants!$B$2,TRUE(),IF(E100=Constants!$B$3,FALSE(),TRUE())))</f>
        <v/>
      </c>
      <c r="X100" s="87" t="str">
        <f aca="false">IF(ISBLANK($C100),"",IF(F100=Constants!$B$2,TRUE(),IF(F100=Constants!$B$3,FALSE(),TRUE())))</f>
        <v/>
      </c>
      <c r="Y100" s="87" t="str">
        <f aca="false">IF(ISBLANK($C100),"",IF(G100=Constants!$B$2,TRUE(),IF(G100=Constants!$B$3,FALSE(),TRUE())))</f>
        <v/>
      </c>
      <c r="Z100" s="87" t="str">
        <f aca="false">IF(ISBLANK($C100),"",IF(H100=Constants!$B$2,TRUE(),IF(H100=Constants!$B$3,FALSE(),TRUE())))</f>
        <v/>
      </c>
      <c r="AA100" s="87" t="str">
        <f aca="false">IF(ISBLANK($C100),"",IF(I100=Constants!$B$2,TRUE(),IF(I100=Constants!$B$3,FALSE(),TRUE())))</f>
        <v/>
      </c>
      <c r="AB100" s="87" t="str">
        <f aca="false">IF(ISBLANK($C100),"",IF(J100=Constants!$B$4,TRUE(),IF(J100=Constants!$B$5,FALSE(),COUNTA(K100:M100)&gt;0)))</f>
        <v/>
      </c>
      <c r="AC100" s="88" t="str">
        <f aca="false">IF(ISBLANK($C100),"",IF(ISNUMBER(K100),IF(K100&gt;=0,K100,""),""))</f>
        <v/>
      </c>
      <c r="AD100" s="89" t="str">
        <f aca="false">IF(ISBLANK($C100),"",IF(ISNUMBER(L100),IF(L100&gt;=0,L100,""),""))</f>
        <v/>
      </c>
      <c r="AE100" s="87" t="str">
        <f aca="false">IF(ISBLANK($C100),"",IF(ISNUMBER(M100),IF(M100&gt;=0,MIN(M100,Constants!$B$22),""),""))</f>
        <v/>
      </c>
      <c r="AF100" s="87" t="str">
        <f aca="false">IF(ISBLANK($C100),"",IF(N100=Constants!$B$2,TRUE(),IF(N100=Constants!$B$3,FALSE(),TRUE())))</f>
        <v/>
      </c>
      <c r="AG100" s="87" t="str">
        <f aca="false">IF(ISBLANK($C100),"",IF(O100=Constants!$B$2,TRUE(),IF(O100=Constants!$B$3,FALSE(),TRUE())))</f>
        <v/>
      </c>
      <c r="AH100" s="87" t="str">
        <f aca="false">IF(ISBLANK($C100),"",IF(P100=Constants!$B$4,TRUE(),IF(P100=Constants!$B$5,FALSE(),COUNTA(Q100:S100)&gt;0)))</f>
        <v/>
      </c>
      <c r="AI100" s="88" t="str">
        <f aca="false">IF(ISBLANK($C100),"",IF(ISNUMBER(Q100),IF(Q100&gt;=0,Q100,""),""))</f>
        <v/>
      </c>
      <c r="AJ100" s="89" t="str">
        <f aca="false">IF(ISBLANK($C100),"",IF(ISNUMBER(R100),IF(R100&gt;=0,R100,""),""))</f>
        <v/>
      </c>
      <c r="AK100" s="87" t="str">
        <f aca="false">IF(ISBLANK($C100),"",IF(ISNUMBER(S100),IF(S100&gt;=0,MIN(S100,Constants!$B$22),""),""))</f>
        <v/>
      </c>
      <c r="AL100" s="87" t="str">
        <f aca="false">IF(ISBLANK($C100),"",IF(T100=Constants!$B$2,TRUE(),IF(T100=Constants!$B$3,FALSE(),FALSE())))</f>
        <v/>
      </c>
      <c r="AM100" s="86" t="str">
        <f aca="false">IF(ISBLANK($C100),"",AND($AB100,OR($AC100="",$AD100="",AND(NOT(ISBLANK($M100)),$AE100=""))))</f>
        <v/>
      </c>
      <c r="AN100" s="89" t="str">
        <f aca="false">IF($BD100&lt;&gt;Constants!$B$6,"",IF($AB100,Constants!$B$17*$AD100,Constants!$B$18))</f>
        <v/>
      </c>
      <c r="AO100" s="91" t="str">
        <f aca="false">IF($BD100&lt;&gt;Constants!$B$6,"",Constants!$B$19*IF($AB100,$AC100,0))</f>
        <v/>
      </c>
      <c r="AP100" s="91" t="str">
        <f aca="false">IF($BD100&lt;&gt;Constants!$B$6,"",IF(AND($AB100,ISNUMBER($AE100)),Constants!$B$20*(Constants!$B$21-$AE100),0))</f>
        <v/>
      </c>
      <c r="AQ100" s="91" t="str">
        <f aca="false">IF($BD100&lt;&gt;Constants!$B$6,"",IF($AA100,0,Constants!$B$12)+IF($Z100,0,Constants!$B$13)+IF($Y100,0,Constants!$B$14))</f>
        <v/>
      </c>
      <c r="AR100" s="92" t="str">
        <f aca="false">IF($BD100&lt;&gt;Constants!$B$6,"",Constants!$B$16+SUM($AN100:$AQ100))</f>
        <v/>
      </c>
      <c r="AS100" s="91" t="str">
        <f aca="false">IF($BD100&lt;&gt;Constants!$B$6,"",IF($AB100,$AD100,""))</f>
        <v/>
      </c>
      <c r="AT100" s="93" t="str">
        <f aca="false">IF($BD100&lt;&gt;Constants!$B$6,"",$AO100)</f>
        <v/>
      </c>
      <c r="AU100" s="87" t="str">
        <f aca="false">IF($BD100&lt;&gt;Constants!$B$6,"",IF(OR($BA100&lt;$AR100,AND($BA100=$AR100,OR(AND(ISNUMBER($BB100),OR(NOT(ISNUMBER($AS100)),$BB100&lt;$AS100)),AND(OR(AND($BB100="",$AS100=""),AND(ISNUMBER($BB100),ISNUMBER($AS100),$BB100=$AS100)),$BC100&lt;$AT100)))),"-&gt;","&lt;-"))</f>
        <v/>
      </c>
      <c r="AV100" s="86" t="str">
        <f aca="false">IF(ISBLANK($C100),"",AND($AH100,OR($AI100="",$AJ100="",AND(NOT(ISBLANK($S100)),$AK100=""))))</f>
        <v/>
      </c>
      <c r="AW100" s="89" t="str">
        <f aca="false">IF($BD100&lt;&gt;Constants!$B$6,"",IF($AH100,Constants!$B$17*$AJ100,Constants!$B$18))</f>
        <v/>
      </c>
      <c r="AX100" s="91" t="str">
        <f aca="false">IF($BD100&lt;&gt;Constants!$B$6,"",Constants!$B$19*IF($AH100,$AI100,0))</f>
        <v/>
      </c>
      <c r="AY100" s="91" t="str">
        <f aca="false">IF($BD100&lt;&gt;Constants!$B$6,"",IF(AND($AH100,ISNUMBER($AK100)),Constants!$B$20*(Constants!$B$21-$AK100),0))</f>
        <v/>
      </c>
      <c r="AZ100" s="91" t="str">
        <f aca="false">IF($BD100&lt;&gt;Constants!$B$6,"",IF($AG100,0,Constants!$B$12)+IF($AF100,0,Constants!$B$13)+IF($Y100,0,Constants!$B$14))</f>
        <v/>
      </c>
      <c r="BA100" s="92" t="str">
        <f aca="false">IF($BD100&lt;&gt;Constants!$B$6,"",Constants!$B$16+SUM($AW100:$AZ100))</f>
        <v/>
      </c>
      <c r="BB100" s="91" t="str">
        <f aca="false">IF($BD100&lt;&gt;Constants!$B$6,"",IF($AH100,$AJ100,""))</f>
        <v/>
      </c>
      <c r="BC100" s="93" t="str">
        <f aca="false">IF($BD100&lt;&gt;Constants!$B$6,"",$AX100)</f>
        <v/>
      </c>
      <c r="BD100" s="87" t="str">
        <f aca="false">IF(ISBLANK($C100),"",IF($AL100,Constants!$B$9,IF(COUNTA($E100:$T100)=0,Constants!$B$8,IF(NOT($X100),Constants!$B$7,IF(OR($AM100,$AV100),Constants!$B$10,Constants!$B$6)))))</f>
        <v/>
      </c>
      <c r="BE100" s="87" t="str">
        <f aca="false">IF(ISBLANK($C100),"",IF($BD100&lt;&gt;Constants!$B$6,$BD100,Constants!$B$11))</f>
        <v/>
      </c>
      <c r="BF100" s="91" t="str">
        <f aca="false">IF($BD100&lt;&gt;Constants!$B$6,"",IF($AU100="-&gt;",$BA100,$AR100))</f>
        <v/>
      </c>
      <c r="BG100" s="91" t="str">
        <f aca="false">IF($BD100&lt;&gt;Constants!$B$6,"",IF($W100,0,Constants!$B$15))</f>
        <v/>
      </c>
      <c r="BH100" s="91" t="str">
        <f aca="false">IF(ISBLANK($C100),"",IF($BD100&lt;&gt;Constants!$B$6,$BD100,SUM($BF100:$BG100)))</f>
        <v/>
      </c>
      <c r="BI100" s="87" t="str">
        <f aca="false">IF(ISBLANK($C100),"",IF($BD100&lt;&gt;Constants!$B$6,$BD100,RANK($BH100,$BH$9:$BH$508,1)))</f>
        <v/>
      </c>
      <c r="BJ100" s="91" t="str">
        <f aca="false">IF($BD100&lt;&gt;Constants!$B$6,"",IF($AU100="-&gt;",$BB100,$AS100))</f>
        <v/>
      </c>
      <c r="BK100" s="87" t="str">
        <f aca="false">IF(ISBLANK($C100),"",IF($BD100&lt;&gt;Constants!$B$6,$BD100,IF(ISNUMBER($BJ100),RANK($BJ100,$BJ$9:$BJ$508,1),COUNT($BJ$9:$BJ$508)+1)))</f>
        <v/>
      </c>
      <c r="BL100" s="91" t="str">
        <f aca="false">IF($BD100&lt;&gt;Constants!$B$6,"",IF($AU100="-&gt;",$BC100,$AT100))</f>
        <v/>
      </c>
      <c r="BM100" s="87" t="str">
        <f aca="false">IF(ISBLANK($C100),"",IF($BD100&lt;&gt;Constants!$B$6,$BD100,IF(ISNUMBER($BL100),RANK($BL100,$BL$9:$BL$508,1),COUNT($BL$9:$BL$508)+1)))</f>
        <v/>
      </c>
      <c r="BN100" s="91" t="str">
        <f aca="false">IF($BD100&lt;&gt;Constants!$B$6,"",IF($AU100="-&gt;",$AS100,$BB100))</f>
        <v/>
      </c>
      <c r="BO100" s="87" t="str">
        <f aca="false">IF(ISBLANK($C100),"",IF($BD100&lt;&gt;Constants!$B$6,$BD100,IF(ISNUMBER($BN100),RANK($BN100,$BN$9:$BN$508,1),COUNT($BN$9:$BN$508)+1)))</f>
        <v/>
      </c>
      <c r="BP100" s="91" t="str">
        <f aca="false">IF($BD100&lt;&gt;Constants!$B$6,"",IF($AU100="-&gt;",$AT100,$BC100))</f>
        <v/>
      </c>
      <c r="BQ100" s="87" t="str">
        <f aca="false">IF(ISBLANK($C100),"",IF($BD100&lt;&gt;Constants!$B$6,$BD100,IF(ISNUMBER($BP100),RANK($BP100,$BP$9:$BP$508,1),COUNT($BP$9:$BP$508)+1)))</f>
        <v/>
      </c>
      <c r="BR100" s="87" t="str">
        <f aca="false">IF(ISBLANK($C100),"",IF($BD100&lt;&gt;Constants!$B$6,$BD100,COUNTIFS($BI$9:$BI$508,"&lt;"&amp;$BI100)+COUNTIFS($BI$9:$BI$508,$BI100,$BK$9:$BK$508,"&lt;"&amp;$BK100)+COUNTIFS($BI$9:$BI$508,$BI100,$BK$9:$BK$508,$BK100,$BM$9:$BM$508,"&lt;"&amp;$BM100)+COUNTIFS($BI$9:$BI$508,$BI100,$BK$9:$BK$508,$BK100,$BM$9:$BM$508,$BM100,$BO$9:$BO$508,"&lt;"&amp;$BO100)+COUNTIFS($BI$9:$BI$508,$BI100,$BK$9:$BK$508,$BK100,$BM$9:$BM$508,$BM100,$BO$9:$BO$508,$BO100,$BQ$9:$BQ$508,"&lt;"&amp;$BQ100)+1))</f>
        <v/>
      </c>
      <c r="BS100" s="87" t="str">
        <f aca="false">IF(ISBLANK($C100),"",IF($BD100&lt;&gt;Constants!$B$6,$BD100,$BI100-$BR100))</f>
        <v/>
      </c>
      <c r="BT100" s="94"/>
      <c r="BU100" s="95"/>
      <c r="BV100" s="95" t="str">
        <f aca="false">IF(ISBLANK($C100),"",IF($BD100&lt;&gt;Constants!$B$6,"",IF($AU100="-&gt;",2,1)))</f>
        <v/>
      </c>
      <c r="BW100" s="96" t="str">
        <f aca="false">IF(ISBLANK($C100),"",IF($BD100&lt;&gt;Constants!$B$6,"",IF($AU100="-&gt;",$AW100,$AN100)))</f>
        <v/>
      </c>
      <c r="BX100" s="96" t="str">
        <f aca="false">IF(ISBLANK($C100),"",IF($BD100&lt;&gt;Constants!$B$6,"",IF($AU100="-&gt;",$AX100,$AO100)))</f>
        <v/>
      </c>
      <c r="BY100" s="96" t="str">
        <f aca="false">IF(ISBLANK($C100),"",IF($BD100&lt;&gt;Constants!$B$6,"",IF($AU100="-&gt;",$AY100,$AP100)))</f>
        <v/>
      </c>
      <c r="BZ100" s="96" t="str">
        <f aca="false">IF(ISBLANK($C100),"",IF($BD100&lt;&gt;Constants!$B$6,"",IF($AU100="-&gt;",$AZ100,$AQ100)+$BG100))</f>
        <v/>
      </c>
      <c r="CA100" s="97" t="str">
        <f aca="false">IF(ISBLANK($C100),"",IF($BD100&lt;&gt;Constants!$B$6,$BD100,$BH100))</f>
        <v/>
      </c>
      <c r="CB100" s="98" t="str">
        <f aca="false">IF(ISBLANK($C100),"",$BE100)</f>
        <v/>
      </c>
      <c r="CC100" s="99" t="str">
        <f aca="false">IF(ISBLANK($C100),"",$BS100)</f>
        <v/>
      </c>
      <c r="CD100" s="99" t="str">
        <f aca="false">IF(ISBLANK($C100),"",$BR100)</f>
        <v/>
      </c>
      <c r="CE100" s="100" t="str">
        <f aca="false">IF(ISBLANK($C100),"",IF($CD100=Constants!$B$9,COUNTA($C$9:$C$508)+2,IF($CD100=Constants!$B$8,COUNTA($C$9:$C$508)+1,IF($CD100=Constants!$B$7,COUNTA($C$9:$C$508),$CD100))))</f>
        <v/>
      </c>
      <c r="CF100" s="9"/>
      <c r="CG100" s="101" t="n">
        <f aca="false">IF(OR(ISNUMBER($CD100),$CD100=Constants!$B$9,$CD100=Constants!$B$7,$CD100=Constants!$B$8),1,0)</f>
        <v>0</v>
      </c>
      <c r="CH100" s="101" t="n">
        <v>92</v>
      </c>
      <c r="CI100" s="101" t="str">
        <f aca="false">IF(ISBLANK($C100),"",IF(ISNUMBER($CE100),$CE100+ROW($B100)/1000,""))</f>
        <v/>
      </c>
      <c r="CJ100" s="101" t="str">
        <f aca="false">IF(ISNUMBER($CI100),RANK($CI100,$CI$9:$CI$508,1),"")</f>
        <v/>
      </c>
      <c r="CK100" s="101" t="str">
        <f aca="false">IF(ISBLANK($C100),"",$B100)</f>
        <v/>
      </c>
      <c r="CL100" s="101" t="str">
        <f aca="false">IF(ISBLANK($C100),"",$C100)</f>
        <v/>
      </c>
      <c r="CM100" s="101" t="str">
        <f aca="false">IF(ISBLANK($C100),"",$D100)</f>
        <v/>
      </c>
      <c r="CN100" s="102" t="str">
        <f aca="false">$CB100</f>
        <v/>
      </c>
      <c r="CO100" s="103" t="str">
        <f aca="false">$CA100</f>
        <v/>
      </c>
      <c r="CP100" s="101" t="str">
        <f aca="false">IF(ISBLANK($C100),"",$CD100)</f>
        <v/>
      </c>
      <c r="CQ100" s="104" t="str">
        <f aca="false">IF($CH100&gt;$CG$8,"",VLOOKUP($CH100,$CJ$9:$CP$508,7,FALSE()))</f>
        <v/>
      </c>
      <c r="CR100" s="105" t="str">
        <f aca="false">IF($CH100&gt;$CG$8,"",VLOOKUP($CH100,$CJ$9:$CP$508,2,FALSE()))</f>
        <v/>
      </c>
      <c r="CS100" s="105" t="str">
        <f aca="false">IF($CH100&gt;$CG$8,"",VLOOKUP($CH100,$CJ$9:$CP$508,3,FALSE()))</f>
        <v/>
      </c>
      <c r="CT100" s="105" t="str">
        <f aca="false">IF($CH100&gt;$CG$8,"",VLOOKUP($CH100,$CJ$9:$CP$508,4,FALSE()))</f>
        <v/>
      </c>
      <c r="CU100" s="105" t="str">
        <f aca="false">IF($CH100&gt;$CG$8,"",VLOOKUP($CH100,$CJ$9:$CP$508,5,FALSE()))</f>
        <v/>
      </c>
      <c r="CV100" s="106" t="str">
        <f aca="false">IF($CH100&gt;$CG$8,"",VLOOKUP($CH100,$CJ$9:$CP$508,6,FALSE()))</f>
        <v/>
      </c>
      <c r="CW100" s="71"/>
    </row>
    <row r="101" customFormat="false" ht="15.75" hidden="false" customHeight="false" outlineLevel="0" collapsed="false">
      <c r="A101" s="9"/>
      <c r="B101" s="72"/>
      <c r="C101" s="73"/>
      <c r="D101" s="160"/>
      <c r="E101" s="168"/>
      <c r="F101" s="162"/>
      <c r="G101" s="163"/>
      <c r="H101" s="169"/>
      <c r="I101" s="167"/>
      <c r="J101" s="80"/>
      <c r="K101" s="81"/>
      <c r="L101" s="82"/>
      <c r="M101" s="166"/>
      <c r="N101" s="167"/>
      <c r="O101" s="167"/>
      <c r="P101" s="80"/>
      <c r="Q101" s="82"/>
      <c r="R101" s="82"/>
      <c r="S101" s="166"/>
      <c r="T101" s="167"/>
      <c r="U101" s="86"/>
      <c r="V101" s="87"/>
      <c r="W101" s="87" t="str">
        <f aca="false">IF(ISBLANK($C101),"",IF(E101=Constants!$B$2,TRUE(),IF(E101=Constants!$B$3,FALSE(),TRUE())))</f>
        <v/>
      </c>
      <c r="X101" s="87" t="str">
        <f aca="false">IF(ISBLANK($C101),"",IF(F101=Constants!$B$2,TRUE(),IF(F101=Constants!$B$3,FALSE(),TRUE())))</f>
        <v/>
      </c>
      <c r="Y101" s="87" t="str">
        <f aca="false">IF(ISBLANK($C101),"",IF(G101=Constants!$B$2,TRUE(),IF(G101=Constants!$B$3,FALSE(),TRUE())))</f>
        <v/>
      </c>
      <c r="Z101" s="87" t="str">
        <f aca="false">IF(ISBLANK($C101),"",IF(H101=Constants!$B$2,TRUE(),IF(H101=Constants!$B$3,FALSE(),TRUE())))</f>
        <v/>
      </c>
      <c r="AA101" s="87" t="str">
        <f aca="false">IF(ISBLANK($C101),"",IF(I101=Constants!$B$2,TRUE(),IF(I101=Constants!$B$3,FALSE(),TRUE())))</f>
        <v/>
      </c>
      <c r="AB101" s="87" t="str">
        <f aca="false">IF(ISBLANK($C101),"",IF(J101=Constants!$B$4,TRUE(),IF(J101=Constants!$B$5,FALSE(),COUNTA(K101:M101)&gt;0)))</f>
        <v/>
      </c>
      <c r="AC101" s="88" t="str">
        <f aca="false">IF(ISBLANK($C101),"",IF(ISNUMBER(K101),IF(K101&gt;=0,K101,""),""))</f>
        <v/>
      </c>
      <c r="AD101" s="89" t="str">
        <f aca="false">IF(ISBLANK($C101),"",IF(ISNUMBER(L101),IF(L101&gt;=0,L101,""),""))</f>
        <v/>
      </c>
      <c r="AE101" s="87" t="str">
        <f aca="false">IF(ISBLANK($C101),"",IF(ISNUMBER(M101),IF(M101&gt;=0,MIN(M101,Constants!$B$22),""),""))</f>
        <v/>
      </c>
      <c r="AF101" s="87" t="str">
        <f aca="false">IF(ISBLANK($C101),"",IF(N101=Constants!$B$2,TRUE(),IF(N101=Constants!$B$3,FALSE(),TRUE())))</f>
        <v/>
      </c>
      <c r="AG101" s="87" t="str">
        <f aca="false">IF(ISBLANK($C101),"",IF(O101=Constants!$B$2,TRUE(),IF(O101=Constants!$B$3,FALSE(),TRUE())))</f>
        <v/>
      </c>
      <c r="AH101" s="87" t="str">
        <f aca="false">IF(ISBLANK($C101),"",IF(P101=Constants!$B$4,TRUE(),IF(P101=Constants!$B$5,FALSE(),COUNTA(Q101:S101)&gt;0)))</f>
        <v/>
      </c>
      <c r="AI101" s="88" t="str">
        <f aca="false">IF(ISBLANK($C101),"",IF(ISNUMBER(Q101),IF(Q101&gt;=0,Q101,""),""))</f>
        <v/>
      </c>
      <c r="AJ101" s="89" t="str">
        <f aca="false">IF(ISBLANK($C101),"",IF(ISNUMBER(R101),IF(R101&gt;=0,R101,""),""))</f>
        <v/>
      </c>
      <c r="AK101" s="87" t="str">
        <f aca="false">IF(ISBLANK($C101),"",IF(ISNUMBER(S101),IF(S101&gt;=0,MIN(S101,Constants!$B$22),""),""))</f>
        <v/>
      </c>
      <c r="AL101" s="87" t="str">
        <f aca="false">IF(ISBLANK($C101),"",IF(T101=Constants!$B$2,TRUE(),IF(T101=Constants!$B$3,FALSE(),FALSE())))</f>
        <v/>
      </c>
      <c r="AM101" s="86" t="str">
        <f aca="false">IF(ISBLANK($C101),"",AND($AB101,OR($AC101="",$AD101="",AND(NOT(ISBLANK($M101)),$AE101=""))))</f>
        <v/>
      </c>
      <c r="AN101" s="89" t="str">
        <f aca="false">IF($BD101&lt;&gt;Constants!$B$6,"",IF($AB101,Constants!$B$17*$AD101,Constants!$B$18))</f>
        <v/>
      </c>
      <c r="AO101" s="91" t="str">
        <f aca="false">IF($BD101&lt;&gt;Constants!$B$6,"",Constants!$B$19*IF($AB101,$AC101,0))</f>
        <v/>
      </c>
      <c r="AP101" s="91" t="str">
        <f aca="false">IF($BD101&lt;&gt;Constants!$B$6,"",IF(AND($AB101,ISNUMBER($AE101)),Constants!$B$20*(Constants!$B$21-$AE101),0))</f>
        <v/>
      </c>
      <c r="AQ101" s="91" t="str">
        <f aca="false">IF($BD101&lt;&gt;Constants!$B$6,"",IF($AA101,0,Constants!$B$12)+IF($Z101,0,Constants!$B$13)+IF($Y101,0,Constants!$B$14))</f>
        <v/>
      </c>
      <c r="AR101" s="92" t="str">
        <f aca="false">IF($BD101&lt;&gt;Constants!$B$6,"",Constants!$B$16+SUM($AN101:$AQ101))</f>
        <v/>
      </c>
      <c r="AS101" s="91" t="str">
        <f aca="false">IF($BD101&lt;&gt;Constants!$B$6,"",IF($AB101,$AD101,""))</f>
        <v/>
      </c>
      <c r="AT101" s="93" t="str">
        <f aca="false">IF($BD101&lt;&gt;Constants!$B$6,"",$AO101)</f>
        <v/>
      </c>
      <c r="AU101" s="87" t="str">
        <f aca="false">IF($BD101&lt;&gt;Constants!$B$6,"",IF(OR($BA101&lt;$AR101,AND($BA101=$AR101,OR(AND(ISNUMBER($BB101),OR(NOT(ISNUMBER($AS101)),$BB101&lt;$AS101)),AND(OR(AND($BB101="",$AS101=""),AND(ISNUMBER($BB101),ISNUMBER($AS101),$BB101=$AS101)),$BC101&lt;$AT101)))),"-&gt;","&lt;-"))</f>
        <v/>
      </c>
      <c r="AV101" s="86" t="str">
        <f aca="false">IF(ISBLANK($C101),"",AND($AH101,OR($AI101="",$AJ101="",AND(NOT(ISBLANK($S101)),$AK101=""))))</f>
        <v/>
      </c>
      <c r="AW101" s="89" t="str">
        <f aca="false">IF($BD101&lt;&gt;Constants!$B$6,"",IF($AH101,Constants!$B$17*$AJ101,Constants!$B$18))</f>
        <v/>
      </c>
      <c r="AX101" s="91" t="str">
        <f aca="false">IF($BD101&lt;&gt;Constants!$B$6,"",Constants!$B$19*IF($AH101,$AI101,0))</f>
        <v/>
      </c>
      <c r="AY101" s="91" t="str">
        <f aca="false">IF($BD101&lt;&gt;Constants!$B$6,"",IF(AND($AH101,ISNUMBER($AK101)),Constants!$B$20*(Constants!$B$21-$AK101),0))</f>
        <v/>
      </c>
      <c r="AZ101" s="91" t="str">
        <f aca="false">IF($BD101&lt;&gt;Constants!$B$6,"",IF($AG101,0,Constants!$B$12)+IF($AF101,0,Constants!$B$13)+IF($Y101,0,Constants!$B$14))</f>
        <v/>
      </c>
      <c r="BA101" s="92" t="str">
        <f aca="false">IF($BD101&lt;&gt;Constants!$B$6,"",Constants!$B$16+SUM($AW101:$AZ101))</f>
        <v/>
      </c>
      <c r="BB101" s="91" t="str">
        <f aca="false">IF($BD101&lt;&gt;Constants!$B$6,"",IF($AH101,$AJ101,""))</f>
        <v/>
      </c>
      <c r="BC101" s="93" t="str">
        <f aca="false">IF($BD101&lt;&gt;Constants!$B$6,"",$AX101)</f>
        <v/>
      </c>
      <c r="BD101" s="87" t="str">
        <f aca="false">IF(ISBLANK($C101),"",IF($AL101,Constants!$B$9,IF(COUNTA($E101:$T101)=0,Constants!$B$8,IF(NOT($X101),Constants!$B$7,IF(OR($AM101,$AV101),Constants!$B$10,Constants!$B$6)))))</f>
        <v/>
      </c>
      <c r="BE101" s="87" t="str">
        <f aca="false">IF(ISBLANK($C101),"",IF($BD101&lt;&gt;Constants!$B$6,$BD101,Constants!$B$11))</f>
        <v/>
      </c>
      <c r="BF101" s="91" t="str">
        <f aca="false">IF($BD101&lt;&gt;Constants!$B$6,"",IF($AU101="-&gt;",$BA101,$AR101))</f>
        <v/>
      </c>
      <c r="BG101" s="91" t="str">
        <f aca="false">IF($BD101&lt;&gt;Constants!$B$6,"",IF($W101,0,Constants!$B$15))</f>
        <v/>
      </c>
      <c r="BH101" s="91" t="str">
        <f aca="false">IF(ISBLANK($C101),"",IF($BD101&lt;&gt;Constants!$B$6,$BD101,SUM($BF101:$BG101)))</f>
        <v/>
      </c>
      <c r="BI101" s="87" t="str">
        <f aca="false">IF(ISBLANK($C101),"",IF($BD101&lt;&gt;Constants!$B$6,$BD101,RANK($BH101,$BH$9:$BH$508,1)))</f>
        <v/>
      </c>
      <c r="BJ101" s="91" t="str">
        <f aca="false">IF($BD101&lt;&gt;Constants!$B$6,"",IF($AU101="-&gt;",$BB101,$AS101))</f>
        <v/>
      </c>
      <c r="BK101" s="87" t="str">
        <f aca="false">IF(ISBLANK($C101),"",IF($BD101&lt;&gt;Constants!$B$6,$BD101,IF(ISNUMBER($BJ101),RANK($BJ101,$BJ$9:$BJ$508,1),COUNT($BJ$9:$BJ$508)+1)))</f>
        <v/>
      </c>
      <c r="BL101" s="91" t="str">
        <f aca="false">IF($BD101&lt;&gt;Constants!$B$6,"",IF($AU101="-&gt;",$BC101,$AT101))</f>
        <v/>
      </c>
      <c r="BM101" s="87" t="str">
        <f aca="false">IF(ISBLANK($C101),"",IF($BD101&lt;&gt;Constants!$B$6,$BD101,IF(ISNUMBER($BL101),RANK($BL101,$BL$9:$BL$508,1),COUNT($BL$9:$BL$508)+1)))</f>
        <v/>
      </c>
      <c r="BN101" s="91" t="str">
        <f aca="false">IF($BD101&lt;&gt;Constants!$B$6,"",IF($AU101="-&gt;",$AS101,$BB101))</f>
        <v/>
      </c>
      <c r="BO101" s="87" t="str">
        <f aca="false">IF(ISBLANK($C101),"",IF($BD101&lt;&gt;Constants!$B$6,$BD101,IF(ISNUMBER($BN101),RANK($BN101,$BN$9:$BN$508,1),COUNT($BN$9:$BN$508)+1)))</f>
        <v/>
      </c>
      <c r="BP101" s="91" t="str">
        <f aca="false">IF($BD101&lt;&gt;Constants!$B$6,"",IF($AU101="-&gt;",$AT101,$BC101))</f>
        <v/>
      </c>
      <c r="BQ101" s="87" t="str">
        <f aca="false">IF(ISBLANK($C101),"",IF($BD101&lt;&gt;Constants!$B$6,$BD101,IF(ISNUMBER($BP101),RANK($BP101,$BP$9:$BP$508,1),COUNT($BP$9:$BP$508)+1)))</f>
        <v/>
      </c>
      <c r="BR101" s="87" t="str">
        <f aca="false">IF(ISBLANK($C101),"",IF($BD101&lt;&gt;Constants!$B$6,$BD101,COUNTIFS($BI$9:$BI$508,"&lt;"&amp;$BI101)+COUNTIFS($BI$9:$BI$508,$BI101,$BK$9:$BK$508,"&lt;"&amp;$BK101)+COUNTIFS($BI$9:$BI$508,$BI101,$BK$9:$BK$508,$BK101,$BM$9:$BM$508,"&lt;"&amp;$BM101)+COUNTIFS($BI$9:$BI$508,$BI101,$BK$9:$BK$508,$BK101,$BM$9:$BM$508,$BM101,$BO$9:$BO$508,"&lt;"&amp;$BO101)+COUNTIFS($BI$9:$BI$508,$BI101,$BK$9:$BK$508,$BK101,$BM$9:$BM$508,$BM101,$BO$9:$BO$508,$BO101,$BQ$9:$BQ$508,"&lt;"&amp;$BQ101)+1))</f>
        <v/>
      </c>
      <c r="BS101" s="87" t="str">
        <f aca="false">IF(ISBLANK($C101),"",IF($BD101&lt;&gt;Constants!$B$6,$BD101,$BI101-$BR101))</f>
        <v/>
      </c>
      <c r="BT101" s="94"/>
      <c r="BU101" s="95"/>
      <c r="BV101" s="95" t="str">
        <f aca="false">IF(ISBLANK($C101),"",IF($BD101&lt;&gt;Constants!$B$6,"",IF($AU101="-&gt;",2,1)))</f>
        <v/>
      </c>
      <c r="BW101" s="96" t="str">
        <f aca="false">IF(ISBLANK($C101),"",IF($BD101&lt;&gt;Constants!$B$6,"",IF($AU101="-&gt;",$AW101,$AN101)))</f>
        <v/>
      </c>
      <c r="BX101" s="96" t="str">
        <f aca="false">IF(ISBLANK($C101),"",IF($BD101&lt;&gt;Constants!$B$6,"",IF($AU101="-&gt;",$AX101,$AO101)))</f>
        <v/>
      </c>
      <c r="BY101" s="96" t="str">
        <f aca="false">IF(ISBLANK($C101),"",IF($BD101&lt;&gt;Constants!$B$6,"",IF($AU101="-&gt;",$AY101,$AP101)))</f>
        <v/>
      </c>
      <c r="BZ101" s="96" t="str">
        <f aca="false">IF(ISBLANK($C101),"",IF($BD101&lt;&gt;Constants!$B$6,"",IF($AU101="-&gt;",$AZ101,$AQ101)+$BG101))</f>
        <v/>
      </c>
      <c r="CA101" s="97" t="str">
        <f aca="false">IF(ISBLANK($C101),"",IF($BD101&lt;&gt;Constants!$B$6,$BD101,$BH101))</f>
        <v/>
      </c>
      <c r="CB101" s="98" t="str">
        <f aca="false">IF(ISBLANK($C101),"",$BE101)</f>
        <v/>
      </c>
      <c r="CC101" s="99" t="str">
        <f aca="false">IF(ISBLANK($C101),"",$BS101)</f>
        <v/>
      </c>
      <c r="CD101" s="99" t="str">
        <f aca="false">IF(ISBLANK($C101),"",$BR101)</f>
        <v/>
      </c>
      <c r="CE101" s="100" t="str">
        <f aca="false">IF(ISBLANK($C101),"",IF($CD101=Constants!$B$9,COUNTA($C$9:$C$508)+2,IF($CD101=Constants!$B$8,COUNTA($C$9:$C$508)+1,IF($CD101=Constants!$B$7,COUNTA($C$9:$C$508),$CD101))))</f>
        <v/>
      </c>
      <c r="CF101" s="9"/>
      <c r="CG101" s="101" t="n">
        <f aca="false">IF(OR(ISNUMBER($CD101),$CD101=Constants!$B$9,$CD101=Constants!$B$7,$CD101=Constants!$B$8),1,0)</f>
        <v>0</v>
      </c>
      <c r="CH101" s="101" t="n">
        <v>93</v>
      </c>
      <c r="CI101" s="101" t="str">
        <f aca="false">IF(ISBLANK($C101),"",IF(ISNUMBER($CE101),$CE101+ROW($B101)/1000,""))</f>
        <v/>
      </c>
      <c r="CJ101" s="101" t="str">
        <f aca="false">IF(ISNUMBER($CI101),RANK($CI101,$CI$9:$CI$508,1),"")</f>
        <v/>
      </c>
      <c r="CK101" s="101" t="str">
        <f aca="false">IF(ISBLANK($C101),"",$B101)</f>
        <v/>
      </c>
      <c r="CL101" s="101" t="str">
        <f aca="false">IF(ISBLANK($C101),"",$C101)</f>
        <v/>
      </c>
      <c r="CM101" s="101" t="str">
        <f aca="false">IF(ISBLANK($C101),"",$D101)</f>
        <v/>
      </c>
      <c r="CN101" s="102" t="str">
        <f aca="false">$CB101</f>
        <v/>
      </c>
      <c r="CO101" s="103" t="str">
        <f aca="false">$CA101</f>
        <v/>
      </c>
      <c r="CP101" s="101" t="str">
        <f aca="false">IF(ISBLANK($C101),"",$CD101)</f>
        <v/>
      </c>
      <c r="CQ101" s="104" t="str">
        <f aca="false">IF($CH101&gt;$CG$8,"",VLOOKUP($CH101,$CJ$9:$CP$508,7,FALSE()))</f>
        <v/>
      </c>
      <c r="CR101" s="105" t="str">
        <f aca="false">IF($CH101&gt;$CG$8,"",VLOOKUP($CH101,$CJ$9:$CP$508,2,FALSE()))</f>
        <v/>
      </c>
      <c r="CS101" s="105" t="str">
        <f aca="false">IF($CH101&gt;$CG$8,"",VLOOKUP($CH101,$CJ$9:$CP$508,3,FALSE()))</f>
        <v/>
      </c>
      <c r="CT101" s="105" t="str">
        <f aca="false">IF($CH101&gt;$CG$8,"",VLOOKUP($CH101,$CJ$9:$CP$508,4,FALSE()))</f>
        <v/>
      </c>
      <c r="CU101" s="105" t="str">
        <f aca="false">IF($CH101&gt;$CG$8,"",VLOOKUP($CH101,$CJ$9:$CP$508,5,FALSE()))</f>
        <v/>
      </c>
      <c r="CV101" s="106" t="str">
        <f aca="false">IF($CH101&gt;$CG$8,"",VLOOKUP($CH101,$CJ$9:$CP$508,6,FALSE()))</f>
        <v/>
      </c>
      <c r="CW101" s="71"/>
    </row>
    <row r="102" customFormat="false" ht="15.75" hidden="false" customHeight="false" outlineLevel="0" collapsed="false">
      <c r="A102" s="9"/>
      <c r="B102" s="150"/>
      <c r="C102" s="151"/>
      <c r="D102" s="152"/>
      <c r="E102" s="170"/>
      <c r="F102" s="154"/>
      <c r="G102" s="155"/>
      <c r="H102" s="171"/>
      <c r="I102" s="159"/>
      <c r="J102" s="120"/>
      <c r="K102" s="121"/>
      <c r="L102" s="122"/>
      <c r="M102" s="158"/>
      <c r="N102" s="159"/>
      <c r="O102" s="159"/>
      <c r="P102" s="120"/>
      <c r="Q102" s="122"/>
      <c r="R102" s="122"/>
      <c r="S102" s="158"/>
      <c r="T102" s="159"/>
      <c r="U102" s="126"/>
      <c r="V102" s="127"/>
      <c r="W102" s="127" t="str">
        <f aca="false">IF(ISBLANK($C102),"",IF(E102=Constants!$B$2,TRUE(),IF(E102=Constants!$B$3,FALSE(),TRUE())))</f>
        <v/>
      </c>
      <c r="X102" s="127" t="str">
        <f aca="false">IF(ISBLANK($C102),"",IF(F102=Constants!$B$2,TRUE(),IF(F102=Constants!$B$3,FALSE(),TRUE())))</f>
        <v/>
      </c>
      <c r="Y102" s="127" t="str">
        <f aca="false">IF(ISBLANK($C102),"",IF(G102=Constants!$B$2,TRUE(),IF(G102=Constants!$B$3,FALSE(),TRUE())))</f>
        <v/>
      </c>
      <c r="Z102" s="127" t="str">
        <f aca="false">IF(ISBLANK($C102),"",IF(H102=Constants!$B$2,TRUE(),IF(H102=Constants!$B$3,FALSE(),TRUE())))</f>
        <v/>
      </c>
      <c r="AA102" s="127" t="str">
        <f aca="false">IF(ISBLANK($C102),"",IF(I102=Constants!$B$2,TRUE(),IF(I102=Constants!$B$3,FALSE(),TRUE())))</f>
        <v/>
      </c>
      <c r="AB102" s="127" t="str">
        <f aca="false">IF(ISBLANK($C102),"",IF(J102=Constants!$B$4,TRUE(),IF(J102=Constants!$B$5,FALSE(),COUNTA(K102:M102)&gt;0)))</f>
        <v/>
      </c>
      <c r="AC102" s="128" t="str">
        <f aca="false">IF(ISBLANK($C102),"",IF(ISNUMBER(K102),IF(K102&gt;=0,K102,""),""))</f>
        <v/>
      </c>
      <c r="AD102" s="129" t="str">
        <f aca="false">IF(ISBLANK($C102),"",IF(ISNUMBER(L102),IF(L102&gt;=0,L102,""),""))</f>
        <v/>
      </c>
      <c r="AE102" s="127" t="str">
        <f aca="false">IF(ISBLANK($C102),"",IF(ISNUMBER(M102),IF(M102&gt;=0,MIN(M102,Constants!$B$22),""),""))</f>
        <v/>
      </c>
      <c r="AF102" s="127" t="str">
        <f aca="false">IF(ISBLANK($C102),"",IF(N102=Constants!$B$2,TRUE(),IF(N102=Constants!$B$3,FALSE(),TRUE())))</f>
        <v/>
      </c>
      <c r="AG102" s="127" t="str">
        <f aca="false">IF(ISBLANK($C102),"",IF(O102=Constants!$B$2,TRUE(),IF(O102=Constants!$B$3,FALSE(),TRUE())))</f>
        <v/>
      </c>
      <c r="AH102" s="127" t="str">
        <f aca="false">IF(ISBLANK($C102),"",IF(P102=Constants!$B$4,TRUE(),IF(P102=Constants!$B$5,FALSE(),COUNTA(Q102:S102)&gt;0)))</f>
        <v/>
      </c>
      <c r="AI102" s="128" t="str">
        <f aca="false">IF(ISBLANK($C102),"",IF(ISNUMBER(Q102),IF(Q102&gt;=0,Q102,""),""))</f>
        <v/>
      </c>
      <c r="AJ102" s="129" t="str">
        <f aca="false">IF(ISBLANK($C102),"",IF(ISNUMBER(R102),IF(R102&gt;=0,R102,""),""))</f>
        <v/>
      </c>
      <c r="AK102" s="127" t="str">
        <f aca="false">IF(ISBLANK($C102),"",IF(ISNUMBER(S102),IF(S102&gt;=0,MIN(S102,Constants!$B$22),""),""))</f>
        <v/>
      </c>
      <c r="AL102" s="127" t="str">
        <f aca="false">IF(ISBLANK($C102),"",IF(T102=Constants!$B$2,TRUE(),IF(T102=Constants!$B$3,FALSE(),FALSE())))</f>
        <v/>
      </c>
      <c r="AM102" s="126" t="str">
        <f aca="false">IF(ISBLANK($C102),"",AND($AB102,OR($AC102="",$AD102="",AND(NOT(ISBLANK($M102)),$AE102=""))))</f>
        <v/>
      </c>
      <c r="AN102" s="129" t="str">
        <f aca="false">IF($BD102&lt;&gt;Constants!$B$6,"",IF($AB102,Constants!$B$17*$AD102,Constants!$B$18))</f>
        <v/>
      </c>
      <c r="AO102" s="130" t="str">
        <f aca="false">IF($BD102&lt;&gt;Constants!$B$6,"",Constants!$B$19*IF($AB102,$AC102,0))</f>
        <v/>
      </c>
      <c r="AP102" s="130" t="str">
        <f aca="false">IF($BD102&lt;&gt;Constants!$B$6,"",IF(AND($AB102,ISNUMBER($AE102)),Constants!$B$20*(Constants!$B$21-$AE102),0))</f>
        <v/>
      </c>
      <c r="AQ102" s="130" t="str">
        <f aca="false">IF($BD102&lt;&gt;Constants!$B$6,"",IF($AA102,0,Constants!$B$12)+IF($Z102,0,Constants!$B$13)+IF($Y102,0,Constants!$B$14))</f>
        <v/>
      </c>
      <c r="AR102" s="131" t="str">
        <f aca="false">IF($BD102&lt;&gt;Constants!$B$6,"",Constants!$B$16+SUM($AN102:$AQ102))</f>
        <v/>
      </c>
      <c r="AS102" s="130" t="str">
        <f aca="false">IF($BD102&lt;&gt;Constants!$B$6,"",IF($AB102,$AD102,""))</f>
        <v/>
      </c>
      <c r="AT102" s="132" t="str">
        <f aca="false">IF($BD102&lt;&gt;Constants!$B$6,"",$AO102)</f>
        <v/>
      </c>
      <c r="AU102" s="127" t="str">
        <f aca="false">IF($BD102&lt;&gt;Constants!$B$6,"",IF(OR($BA102&lt;$AR102,AND($BA102=$AR102,OR(AND(ISNUMBER($BB102),OR(NOT(ISNUMBER($AS102)),$BB102&lt;$AS102)),AND(OR(AND($BB102="",$AS102=""),AND(ISNUMBER($BB102),ISNUMBER($AS102),$BB102=$AS102)),$BC102&lt;$AT102)))),"-&gt;","&lt;-"))</f>
        <v/>
      </c>
      <c r="AV102" s="126" t="str">
        <f aca="false">IF(ISBLANK($C102),"",AND($AH102,OR($AI102="",$AJ102="",AND(NOT(ISBLANK($S102)),$AK102=""))))</f>
        <v/>
      </c>
      <c r="AW102" s="129" t="str">
        <f aca="false">IF($BD102&lt;&gt;Constants!$B$6,"",IF($AH102,Constants!$B$17*$AJ102,Constants!$B$18))</f>
        <v/>
      </c>
      <c r="AX102" s="130" t="str">
        <f aca="false">IF($BD102&lt;&gt;Constants!$B$6,"",Constants!$B$19*IF($AH102,$AI102,0))</f>
        <v/>
      </c>
      <c r="AY102" s="130" t="str">
        <f aca="false">IF($BD102&lt;&gt;Constants!$B$6,"",IF(AND($AH102,ISNUMBER($AK102)),Constants!$B$20*(Constants!$B$21-$AK102),0))</f>
        <v/>
      </c>
      <c r="AZ102" s="130" t="str">
        <f aca="false">IF($BD102&lt;&gt;Constants!$B$6,"",IF($AG102,0,Constants!$B$12)+IF($AF102,0,Constants!$B$13)+IF($Y102,0,Constants!$B$14))</f>
        <v/>
      </c>
      <c r="BA102" s="131" t="str">
        <f aca="false">IF($BD102&lt;&gt;Constants!$B$6,"",Constants!$B$16+SUM($AW102:$AZ102))</f>
        <v/>
      </c>
      <c r="BB102" s="130" t="str">
        <f aca="false">IF($BD102&lt;&gt;Constants!$B$6,"",IF($AH102,$AJ102,""))</f>
        <v/>
      </c>
      <c r="BC102" s="132" t="str">
        <f aca="false">IF($BD102&lt;&gt;Constants!$B$6,"",$AX102)</f>
        <v/>
      </c>
      <c r="BD102" s="127" t="str">
        <f aca="false">IF(ISBLANK($C102),"",IF($AL102,Constants!$B$9,IF(COUNTA($E102:$T102)=0,Constants!$B$8,IF(NOT($X102),Constants!$B$7,IF(OR($AM102,$AV102),Constants!$B$10,Constants!$B$6)))))</f>
        <v/>
      </c>
      <c r="BE102" s="127" t="str">
        <f aca="false">IF(ISBLANK($C102),"",IF($BD102&lt;&gt;Constants!$B$6,$BD102,Constants!$B$11))</f>
        <v/>
      </c>
      <c r="BF102" s="130" t="str">
        <f aca="false">IF($BD102&lt;&gt;Constants!$B$6,"",IF($AU102="-&gt;",$BA102,$AR102))</f>
        <v/>
      </c>
      <c r="BG102" s="130" t="str">
        <f aca="false">IF($BD102&lt;&gt;Constants!$B$6,"",IF($W102,0,Constants!$B$15))</f>
        <v/>
      </c>
      <c r="BH102" s="130" t="str">
        <f aca="false">IF(ISBLANK($C102),"",IF($BD102&lt;&gt;Constants!$B$6,$BD102,SUM($BF102:$BG102)))</f>
        <v/>
      </c>
      <c r="BI102" s="127" t="str">
        <f aca="false">IF(ISBLANK($C102),"",IF($BD102&lt;&gt;Constants!$B$6,$BD102,RANK($BH102,$BH$9:$BH$508,1)))</f>
        <v/>
      </c>
      <c r="BJ102" s="130" t="str">
        <f aca="false">IF($BD102&lt;&gt;Constants!$B$6,"",IF($AU102="-&gt;",$BB102,$AS102))</f>
        <v/>
      </c>
      <c r="BK102" s="127" t="str">
        <f aca="false">IF(ISBLANK($C102),"",IF($BD102&lt;&gt;Constants!$B$6,$BD102,IF(ISNUMBER($BJ102),RANK($BJ102,$BJ$9:$BJ$508,1),COUNT($BJ$9:$BJ$508)+1)))</f>
        <v/>
      </c>
      <c r="BL102" s="130" t="str">
        <f aca="false">IF($BD102&lt;&gt;Constants!$B$6,"",IF($AU102="-&gt;",$BC102,$AT102))</f>
        <v/>
      </c>
      <c r="BM102" s="127" t="str">
        <f aca="false">IF(ISBLANK($C102),"",IF($BD102&lt;&gt;Constants!$B$6,$BD102,IF(ISNUMBER($BL102),RANK($BL102,$BL$9:$BL$508,1),COUNT($BL$9:$BL$508)+1)))</f>
        <v/>
      </c>
      <c r="BN102" s="130" t="str">
        <f aca="false">IF($BD102&lt;&gt;Constants!$B$6,"",IF($AU102="-&gt;",$AS102,$BB102))</f>
        <v/>
      </c>
      <c r="BO102" s="127" t="str">
        <f aca="false">IF(ISBLANK($C102),"",IF($BD102&lt;&gt;Constants!$B$6,$BD102,IF(ISNUMBER($BN102),RANK($BN102,$BN$9:$BN$508,1),COUNT($BN$9:$BN$508)+1)))</f>
        <v/>
      </c>
      <c r="BP102" s="130" t="str">
        <f aca="false">IF($BD102&lt;&gt;Constants!$B$6,"",IF($AU102="-&gt;",$AT102,$BC102))</f>
        <v/>
      </c>
      <c r="BQ102" s="127" t="str">
        <f aca="false">IF(ISBLANK($C102),"",IF($BD102&lt;&gt;Constants!$B$6,$BD102,IF(ISNUMBER($BP102),RANK($BP102,$BP$9:$BP$508,1),COUNT($BP$9:$BP$508)+1)))</f>
        <v/>
      </c>
      <c r="BR102" s="127" t="str">
        <f aca="false">IF(ISBLANK($C102),"",IF($BD102&lt;&gt;Constants!$B$6,$BD102,COUNTIFS($BI$9:$BI$508,"&lt;"&amp;$BI102)+COUNTIFS($BI$9:$BI$508,$BI102,$BK$9:$BK$508,"&lt;"&amp;$BK102)+COUNTIFS($BI$9:$BI$508,$BI102,$BK$9:$BK$508,$BK102,$BM$9:$BM$508,"&lt;"&amp;$BM102)+COUNTIFS($BI$9:$BI$508,$BI102,$BK$9:$BK$508,$BK102,$BM$9:$BM$508,$BM102,$BO$9:$BO$508,"&lt;"&amp;$BO102)+COUNTIFS($BI$9:$BI$508,$BI102,$BK$9:$BK$508,$BK102,$BM$9:$BM$508,$BM102,$BO$9:$BO$508,$BO102,$BQ$9:$BQ$508,"&lt;"&amp;$BQ102)+1))</f>
        <v/>
      </c>
      <c r="BS102" s="127" t="str">
        <f aca="false">IF(ISBLANK($C102),"",IF($BD102&lt;&gt;Constants!$B$6,$BD102,$BI102-$BR102))</f>
        <v/>
      </c>
      <c r="BT102" s="133"/>
      <c r="BU102" s="134"/>
      <c r="BV102" s="134" t="str">
        <f aca="false">IF(ISBLANK($C102),"",IF($BD102&lt;&gt;Constants!$B$6,"",IF($AU102="-&gt;",2,1)))</f>
        <v/>
      </c>
      <c r="BW102" s="135" t="str">
        <f aca="false">IF(ISBLANK($C102),"",IF($BD102&lt;&gt;Constants!$B$6,"",IF($AU102="-&gt;",$AW102,$AN102)))</f>
        <v/>
      </c>
      <c r="BX102" s="135" t="str">
        <f aca="false">IF(ISBLANK($C102),"",IF($BD102&lt;&gt;Constants!$B$6,"",IF($AU102="-&gt;",$AX102,$AO102)))</f>
        <v/>
      </c>
      <c r="BY102" s="135" t="str">
        <f aca="false">IF(ISBLANK($C102),"",IF($BD102&lt;&gt;Constants!$B$6,"",IF($AU102="-&gt;",$AY102,$AP102)))</f>
        <v/>
      </c>
      <c r="BZ102" s="135" t="str">
        <f aca="false">IF(ISBLANK($C102),"",IF($BD102&lt;&gt;Constants!$B$6,"",IF($AU102="-&gt;",$AZ102,$AQ102)+$BG102))</f>
        <v/>
      </c>
      <c r="CA102" s="136" t="str">
        <f aca="false">IF(ISBLANK($C102),"",IF($BD102&lt;&gt;Constants!$B$6,$BD102,$BH102))</f>
        <v/>
      </c>
      <c r="CB102" s="137" t="str">
        <f aca="false">IF(ISBLANK($C102),"",$BE102)</f>
        <v/>
      </c>
      <c r="CC102" s="138" t="str">
        <f aca="false">IF(ISBLANK($C102),"",$BS102)</f>
        <v/>
      </c>
      <c r="CD102" s="138" t="str">
        <f aca="false">IF(ISBLANK($C102),"",$BR102)</f>
        <v/>
      </c>
      <c r="CE102" s="139" t="str">
        <f aca="false">IF(ISBLANK($C102),"",IF($CD102=Constants!$B$9,COUNTA($C$9:$C$508)+2,IF($CD102=Constants!$B$8,COUNTA($C$9:$C$508)+1,IF($CD102=Constants!$B$7,COUNTA($C$9:$C$508),$CD102))))</f>
        <v/>
      </c>
      <c r="CF102" s="9"/>
      <c r="CG102" s="140" t="n">
        <f aca="false">IF(OR(ISNUMBER($CD102),$CD102=Constants!$B$9,$CD102=Constants!$B$7,$CD102=Constants!$B$8),1,0)</f>
        <v>0</v>
      </c>
      <c r="CH102" s="140" t="n">
        <v>94</v>
      </c>
      <c r="CI102" s="140" t="str">
        <f aca="false">IF(ISBLANK($C102),"",IF(ISNUMBER($CE102),$CE102+ROW($B102)/1000,""))</f>
        <v/>
      </c>
      <c r="CJ102" s="140" t="str">
        <f aca="false">IF(ISNUMBER($CI102),RANK($CI102,$CI$9:$CI$508,1),"")</f>
        <v/>
      </c>
      <c r="CK102" s="140" t="str">
        <f aca="false">IF(ISBLANK($C102),"",$B102)</f>
        <v/>
      </c>
      <c r="CL102" s="140" t="str">
        <f aca="false">IF(ISBLANK($C102),"",$C102)</f>
        <v/>
      </c>
      <c r="CM102" s="140" t="str">
        <f aca="false">IF(ISBLANK($C102),"",$D102)</f>
        <v/>
      </c>
      <c r="CN102" s="141" t="str">
        <f aca="false">$CB102</f>
        <v/>
      </c>
      <c r="CO102" s="142" t="str">
        <f aca="false">$CA102</f>
        <v/>
      </c>
      <c r="CP102" s="140" t="str">
        <f aca="false">IF(ISBLANK($C102),"",$CD102)</f>
        <v/>
      </c>
      <c r="CQ102" s="143" t="str">
        <f aca="false">IF($CH102&gt;$CG$8,"",VLOOKUP($CH102,$CJ$9:$CP$508,7,FALSE()))</f>
        <v/>
      </c>
      <c r="CR102" s="144" t="str">
        <f aca="false">IF($CH102&gt;$CG$8,"",VLOOKUP($CH102,$CJ$9:$CP$508,2,FALSE()))</f>
        <v/>
      </c>
      <c r="CS102" s="144" t="str">
        <f aca="false">IF($CH102&gt;$CG$8,"",VLOOKUP($CH102,$CJ$9:$CP$508,3,FALSE()))</f>
        <v/>
      </c>
      <c r="CT102" s="144" t="str">
        <f aca="false">IF($CH102&gt;$CG$8,"",VLOOKUP($CH102,$CJ$9:$CP$508,4,FALSE()))</f>
        <v/>
      </c>
      <c r="CU102" s="144" t="str">
        <f aca="false">IF($CH102&gt;$CG$8,"",VLOOKUP($CH102,$CJ$9:$CP$508,5,FALSE()))</f>
        <v/>
      </c>
      <c r="CV102" s="145" t="str">
        <f aca="false">IF($CH102&gt;$CG$8,"",VLOOKUP($CH102,$CJ$9:$CP$508,6,FALSE()))</f>
        <v/>
      </c>
      <c r="CW102" s="71"/>
    </row>
    <row r="103" customFormat="false" ht="15.75" hidden="false" customHeight="false" outlineLevel="0" collapsed="false">
      <c r="A103" s="9"/>
      <c r="B103" s="150"/>
      <c r="C103" s="151"/>
      <c r="D103" s="152"/>
      <c r="E103" s="170"/>
      <c r="F103" s="154"/>
      <c r="G103" s="155"/>
      <c r="H103" s="171"/>
      <c r="I103" s="159"/>
      <c r="J103" s="120"/>
      <c r="K103" s="121"/>
      <c r="L103" s="122"/>
      <c r="M103" s="158"/>
      <c r="N103" s="159"/>
      <c r="O103" s="159"/>
      <c r="P103" s="120"/>
      <c r="Q103" s="122"/>
      <c r="R103" s="122"/>
      <c r="S103" s="158"/>
      <c r="T103" s="159"/>
      <c r="U103" s="126"/>
      <c r="V103" s="127"/>
      <c r="W103" s="127" t="str">
        <f aca="false">IF(ISBLANK($C103),"",IF(E103=Constants!$B$2,TRUE(),IF(E103=Constants!$B$3,FALSE(),TRUE())))</f>
        <v/>
      </c>
      <c r="X103" s="127" t="str">
        <f aca="false">IF(ISBLANK($C103),"",IF(F103=Constants!$B$2,TRUE(),IF(F103=Constants!$B$3,FALSE(),TRUE())))</f>
        <v/>
      </c>
      <c r="Y103" s="127" t="str">
        <f aca="false">IF(ISBLANK($C103),"",IF(G103=Constants!$B$2,TRUE(),IF(G103=Constants!$B$3,FALSE(),TRUE())))</f>
        <v/>
      </c>
      <c r="Z103" s="127" t="str">
        <f aca="false">IF(ISBLANK($C103),"",IF(H103=Constants!$B$2,TRUE(),IF(H103=Constants!$B$3,FALSE(),TRUE())))</f>
        <v/>
      </c>
      <c r="AA103" s="127" t="str">
        <f aca="false">IF(ISBLANK($C103),"",IF(I103=Constants!$B$2,TRUE(),IF(I103=Constants!$B$3,FALSE(),TRUE())))</f>
        <v/>
      </c>
      <c r="AB103" s="127" t="str">
        <f aca="false">IF(ISBLANK($C103),"",IF(J103=Constants!$B$4,TRUE(),IF(J103=Constants!$B$5,FALSE(),COUNTA(K103:M103)&gt;0)))</f>
        <v/>
      </c>
      <c r="AC103" s="128" t="str">
        <f aca="false">IF(ISBLANK($C103),"",IF(ISNUMBER(K103),IF(K103&gt;=0,K103,""),""))</f>
        <v/>
      </c>
      <c r="AD103" s="129" t="str">
        <f aca="false">IF(ISBLANK($C103),"",IF(ISNUMBER(L103),IF(L103&gt;=0,L103,""),""))</f>
        <v/>
      </c>
      <c r="AE103" s="127" t="str">
        <f aca="false">IF(ISBLANK($C103),"",IF(ISNUMBER(M103),IF(M103&gt;=0,MIN(M103,Constants!$B$22),""),""))</f>
        <v/>
      </c>
      <c r="AF103" s="127" t="str">
        <f aca="false">IF(ISBLANK($C103),"",IF(N103=Constants!$B$2,TRUE(),IF(N103=Constants!$B$3,FALSE(),TRUE())))</f>
        <v/>
      </c>
      <c r="AG103" s="127" t="str">
        <f aca="false">IF(ISBLANK($C103),"",IF(O103=Constants!$B$2,TRUE(),IF(O103=Constants!$B$3,FALSE(),TRUE())))</f>
        <v/>
      </c>
      <c r="AH103" s="127" t="str">
        <f aca="false">IF(ISBLANK($C103),"",IF(P103=Constants!$B$4,TRUE(),IF(P103=Constants!$B$5,FALSE(),COUNTA(Q103:S103)&gt;0)))</f>
        <v/>
      </c>
      <c r="AI103" s="128" t="str">
        <f aca="false">IF(ISBLANK($C103),"",IF(ISNUMBER(Q103),IF(Q103&gt;=0,Q103,""),""))</f>
        <v/>
      </c>
      <c r="AJ103" s="129" t="str">
        <f aca="false">IF(ISBLANK($C103),"",IF(ISNUMBER(R103),IF(R103&gt;=0,R103,""),""))</f>
        <v/>
      </c>
      <c r="AK103" s="127" t="str">
        <f aca="false">IF(ISBLANK($C103),"",IF(ISNUMBER(S103),IF(S103&gt;=0,MIN(S103,Constants!$B$22),""),""))</f>
        <v/>
      </c>
      <c r="AL103" s="127" t="str">
        <f aca="false">IF(ISBLANK($C103),"",IF(T103=Constants!$B$2,TRUE(),IF(T103=Constants!$B$3,FALSE(),FALSE())))</f>
        <v/>
      </c>
      <c r="AM103" s="126" t="str">
        <f aca="false">IF(ISBLANK($C103),"",AND($AB103,OR($AC103="",$AD103="",AND(NOT(ISBLANK($M103)),$AE103=""))))</f>
        <v/>
      </c>
      <c r="AN103" s="129" t="str">
        <f aca="false">IF($BD103&lt;&gt;Constants!$B$6,"",IF($AB103,Constants!$B$17*$AD103,Constants!$B$18))</f>
        <v/>
      </c>
      <c r="AO103" s="130" t="str">
        <f aca="false">IF($BD103&lt;&gt;Constants!$B$6,"",Constants!$B$19*IF($AB103,$AC103,0))</f>
        <v/>
      </c>
      <c r="AP103" s="130" t="str">
        <f aca="false">IF($BD103&lt;&gt;Constants!$B$6,"",IF(AND($AB103,ISNUMBER($AE103)),Constants!$B$20*(Constants!$B$21-$AE103),0))</f>
        <v/>
      </c>
      <c r="AQ103" s="130" t="str">
        <f aca="false">IF($BD103&lt;&gt;Constants!$B$6,"",IF($AA103,0,Constants!$B$12)+IF($Z103,0,Constants!$B$13)+IF($Y103,0,Constants!$B$14))</f>
        <v/>
      </c>
      <c r="AR103" s="131" t="str">
        <f aca="false">IF($BD103&lt;&gt;Constants!$B$6,"",Constants!$B$16+SUM($AN103:$AQ103))</f>
        <v/>
      </c>
      <c r="AS103" s="130" t="str">
        <f aca="false">IF($BD103&lt;&gt;Constants!$B$6,"",IF($AB103,$AD103,""))</f>
        <v/>
      </c>
      <c r="AT103" s="132" t="str">
        <f aca="false">IF($BD103&lt;&gt;Constants!$B$6,"",$AO103)</f>
        <v/>
      </c>
      <c r="AU103" s="127" t="str">
        <f aca="false">IF($BD103&lt;&gt;Constants!$B$6,"",IF(OR($BA103&lt;$AR103,AND($BA103=$AR103,OR(AND(ISNUMBER($BB103),OR(NOT(ISNUMBER($AS103)),$BB103&lt;$AS103)),AND(OR(AND($BB103="",$AS103=""),AND(ISNUMBER($BB103),ISNUMBER($AS103),$BB103=$AS103)),$BC103&lt;$AT103)))),"-&gt;","&lt;-"))</f>
        <v/>
      </c>
      <c r="AV103" s="126" t="str">
        <f aca="false">IF(ISBLANK($C103),"",AND($AH103,OR($AI103="",$AJ103="",AND(NOT(ISBLANK($S103)),$AK103=""))))</f>
        <v/>
      </c>
      <c r="AW103" s="129" t="str">
        <f aca="false">IF($BD103&lt;&gt;Constants!$B$6,"",IF($AH103,Constants!$B$17*$AJ103,Constants!$B$18))</f>
        <v/>
      </c>
      <c r="AX103" s="130" t="str">
        <f aca="false">IF($BD103&lt;&gt;Constants!$B$6,"",Constants!$B$19*IF($AH103,$AI103,0))</f>
        <v/>
      </c>
      <c r="AY103" s="130" t="str">
        <f aca="false">IF($BD103&lt;&gt;Constants!$B$6,"",IF(AND($AH103,ISNUMBER($AK103)),Constants!$B$20*(Constants!$B$21-$AK103),0))</f>
        <v/>
      </c>
      <c r="AZ103" s="130" t="str">
        <f aca="false">IF($BD103&lt;&gt;Constants!$B$6,"",IF($AG103,0,Constants!$B$12)+IF($AF103,0,Constants!$B$13)+IF($Y103,0,Constants!$B$14))</f>
        <v/>
      </c>
      <c r="BA103" s="131" t="str">
        <f aca="false">IF($BD103&lt;&gt;Constants!$B$6,"",Constants!$B$16+SUM($AW103:$AZ103))</f>
        <v/>
      </c>
      <c r="BB103" s="130" t="str">
        <f aca="false">IF($BD103&lt;&gt;Constants!$B$6,"",IF($AH103,$AJ103,""))</f>
        <v/>
      </c>
      <c r="BC103" s="132" t="str">
        <f aca="false">IF($BD103&lt;&gt;Constants!$B$6,"",$AX103)</f>
        <v/>
      </c>
      <c r="BD103" s="127" t="str">
        <f aca="false">IF(ISBLANK($C103),"",IF($AL103,Constants!$B$9,IF(COUNTA($E103:$T103)=0,Constants!$B$8,IF(NOT($X103),Constants!$B$7,IF(OR($AM103,$AV103),Constants!$B$10,Constants!$B$6)))))</f>
        <v/>
      </c>
      <c r="BE103" s="127" t="str">
        <f aca="false">IF(ISBLANK($C103),"",IF($BD103&lt;&gt;Constants!$B$6,$BD103,Constants!$B$11))</f>
        <v/>
      </c>
      <c r="BF103" s="130" t="str">
        <f aca="false">IF($BD103&lt;&gt;Constants!$B$6,"",IF($AU103="-&gt;",$BA103,$AR103))</f>
        <v/>
      </c>
      <c r="BG103" s="130" t="str">
        <f aca="false">IF($BD103&lt;&gt;Constants!$B$6,"",IF($W103,0,Constants!$B$15))</f>
        <v/>
      </c>
      <c r="BH103" s="130" t="str">
        <f aca="false">IF(ISBLANK($C103),"",IF($BD103&lt;&gt;Constants!$B$6,$BD103,SUM($BF103:$BG103)))</f>
        <v/>
      </c>
      <c r="BI103" s="127" t="str">
        <f aca="false">IF(ISBLANK($C103),"",IF($BD103&lt;&gt;Constants!$B$6,$BD103,RANK($BH103,$BH$9:$BH$508,1)))</f>
        <v/>
      </c>
      <c r="BJ103" s="130" t="str">
        <f aca="false">IF($BD103&lt;&gt;Constants!$B$6,"",IF($AU103="-&gt;",$BB103,$AS103))</f>
        <v/>
      </c>
      <c r="BK103" s="127" t="str">
        <f aca="false">IF(ISBLANK($C103),"",IF($BD103&lt;&gt;Constants!$B$6,$BD103,IF(ISNUMBER($BJ103),RANK($BJ103,$BJ$9:$BJ$508,1),COUNT($BJ$9:$BJ$508)+1)))</f>
        <v/>
      </c>
      <c r="BL103" s="130" t="str">
        <f aca="false">IF($BD103&lt;&gt;Constants!$B$6,"",IF($AU103="-&gt;",$BC103,$AT103))</f>
        <v/>
      </c>
      <c r="BM103" s="127" t="str">
        <f aca="false">IF(ISBLANK($C103),"",IF($BD103&lt;&gt;Constants!$B$6,$BD103,IF(ISNUMBER($BL103),RANK($BL103,$BL$9:$BL$508,1),COUNT($BL$9:$BL$508)+1)))</f>
        <v/>
      </c>
      <c r="BN103" s="130" t="str">
        <f aca="false">IF($BD103&lt;&gt;Constants!$B$6,"",IF($AU103="-&gt;",$AS103,$BB103))</f>
        <v/>
      </c>
      <c r="BO103" s="127" t="str">
        <f aca="false">IF(ISBLANK($C103),"",IF($BD103&lt;&gt;Constants!$B$6,$BD103,IF(ISNUMBER($BN103),RANK($BN103,$BN$9:$BN$508,1),COUNT($BN$9:$BN$508)+1)))</f>
        <v/>
      </c>
      <c r="BP103" s="130" t="str">
        <f aca="false">IF($BD103&lt;&gt;Constants!$B$6,"",IF($AU103="-&gt;",$AT103,$BC103))</f>
        <v/>
      </c>
      <c r="BQ103" s="127" t="str">
        <f aca="false">IF(ISBLANK($C103),"",IF($BD103&lt;&gt;Constants!$B$6,$BD103,IF(ISNUMBER($BP103),RANK($BP103,$BP$9:$BP$508,1),COUNT($BP$9:$BP$508)+1)))</f>
        <v/>
      </c>
      <c r="BR103" s="127" t="str">
        <f aca="false">IF(ISBLANK($C103),"",IF($BD103&lt;&gt;Constants!$B$6,$BD103,COUNTIFS($BI$9:$BI$508,"&lt;"&amp;$BI103)+COUNTIFS($BI$9:$BI$508,$BI103,$BK$9:$BK$508,"&lt;"&amp;$BK103)+COUNTIFS($BI$9:$BI$508,$BI103,$BK$9:$BK$508,$BK103,$BM$9:$BM$508,"&lt;"&amp;$BM103)+COUNTIFS($BI$9:$BI$508,$BI103,$BK$9:$BK$508,$BK103,$BM$9:$BM$508,$BM103,$BO$9:$BO$508,"&lt;"&amp;$BO103)+COUNTIFS($BI$9:$BI$508,$BI103,$BK$9:$BK$508,$BK103,$BM$9:$BM$508,$BM103,$BO$9:$BO$508,$BO103,$BQ$9:$BQ$508,"&lt;"&amp;$BQ103)+1))</f>
        <v/>
      </c>
      <c r="BS103" s="127" t="str">
        <f aca="false">IF(ISBLANK($C103),"",IF($BD103&lt;&gt;Constants!$B$6,$BD103,$BI103-$BR103))</f>
        <v/>
      </c>
      <c r="BT103" s="133"/>
      <c r="BU103" s="134"/>
      <c r="BV103" s="134" t="str">
        <f aca="false">IF(ISBLANK($C103),"",IF($BD103&lt;&gt;Constants!$B$6,"",IF($AU103="-&gt;",2,1)))</f>
        <v/>
      </c>
      <c r="BW103" s="135" t="str">
        <f aca="false">IF(ISBLANK($C103),"",IF($BD103&lt;&gt;Constants!$B$6,"",IF($AU103="-&gt;",$AW103,$AN103)))</f>
        <v/>
      </c>
      <c r="BX103" s="135" t="str">
        <f aca="false">IF(ISBLANK($C103),"",IF($BD103&lt;&gt;Constants!$B$6,"",IF($AU103="-&gt;",$AX103,$AO103)))</f>
        <v/>
      </c>
      <c r="BY103" s="135" t="str">
        <f aca="false">IF(ISBLANK($C103),"",IF($BD103&lt;&gt;Constants!$B$6,"",IF($AU103="-&gt;",$AY103,$AP103)))</f>
        <v/>
      </c>
      <c r="BZ103" s="135" t="str">
        <f aca="false">IF(ISBLANK($C103),"",IF($BD103&lt;&gt;Constants!$B$6,"",IF($AU103="-&gt;",$AZ103,$AQ103)+$BG103))</f>
        <v/>
      </c>
      <c r="CA103" s="136" t="str">
        <f aca="false">IF(ISBLANK($C103),"",IF($BD103&lt;&gt;Constants!$B$6,$BD103,$BH103))</f>
        <v/>
      </c>
      <c r="CB103" s="137" t="str">
        <f aca="false">IF(ISBLANK($C103),"",$BE103)</f>
        <v/>
      </c>
      <c r="CC103" s="138" t="str">
        <f aca="false">IF(ISBLANK($C103),"",$BS103)</f>
        <v/>
      </c>
      <c r="CD103" s="138" t="str">
        <f aca="false">IF(ISBLANK($C103),"",$BR103)</f>
        <v/>
      </c>
      <c r="CE103" s="139" t="str">
        <f aca="false">IF(ISBLANK($C103),"",IF($CD103=Constants!$B$9,COUNTA($C$9:$C$508)+2,IF($CD103=Constants!$B$8,COUNTA($C$9:$C$508)+1,IF($CD103=Constants!$B$7,COUNTA($C$9:$C$508),$CD103))))</f>
        <v/>
      </c>
      <c r="CF103" s="9"/>
      <c r="CG103" s="140" t="n">
        <f aca="false">IF(OR(ISNUMBER($CD103),$CD103=Constants!$B$9,$CD103=Constants!$B$7,$CD103=Constants!$B$8),1,0)</f>
        <v>0</v>
      </c>
      <c r="CH103" s="140" t="n">
        <v>95</v>
      </c>
      <c r="CI103" s="140" t="str">
        <f aca="false">IF(ISBLANK($C103),"",IF(ISNUMBER($CE103),$CE103+ROW($B103)/1000,""))</f>
        <v/>
      </c>
      <c r="CJ103" s="140" t="str">
        <f aca="false">IF(ISNUMBER($CI103),RANK($CI103,$CI$9:$CI$508,1),"")</f>
        <v/>
      </c>
      <c r="CK103" s="140" t="str">
        <f aca="false">IF(ISBLANK($C103),"",$B103)</f>
        <v/>
      </c>
      <c r="CL103" s="140" t="str">
        <f aca="false">IF(ISBLANK($C103),"",$C103)</f>
        <v/>
      </c>
      <c r="CM103" s="140" t="str">
        <f aca="false">IF(ISBLANK($C103),"",$D103)</f>
        <v/>
      </c>
      <c r="CN103" s="141" t="str">
        <f aca="false">$CB103</f>
        <v/>
      </c>
      <c r="CO103" s="142" t="str">
        <f aca="false">$CA103</f>
        <v/>
      </c>
      <c r="CP103" s="140" t="str">
        <f aca="false">IF(ISBLANK($C103),"",$CD103)</f>
        <v/>
      </c>
      <c r="CQ103" s="143" t="str">
        <f aca="false">IF($CH103&gt;$CG$8,"",VLOOKUP($CH103,$CJ$9:$CP$508,7,FALSE()))</f>
        <v/>
      </c>
      <c r="CR103" s="144" t="str">
        <f aca="false">IF($CH103&gt;$CG$8,"",VLOOKUP($CH103,$CJ$9:$CP$508,2,FALSE()))</f>
        <v/>
      </c>
      <c r="CS103" s="144" t="str">
        <f aca="false">IF($CH103&gt;$CG$8,"",VLOOKUP($CH103,$CJ$9:$CP$508,3,FALSE()))</f>
        <v/>
      </c>
      <c r="CT103" s="144" t="str">
        <f aca="false">IF($CH103&gt;$CG$8,"",VLOOKUP($CH103,$CJ$9:$CP$508,4,FALSE()))</f>
        <v/>
      </c>
      <c r="CU103" s="144" t="str">
        <f aca="false">IF($CH103&gt;$CG$8,"",VLOOKUP($CH103,$CJ$9:$CP$508,5,FALSE()))</f>
        <v/>
      </c>
      <c r="CV103" s="145" t="str">
        <f aca="false">IF($CH103&gt;$CG$8,"",VLOOKUP($CH103,$CJ$9:$CP$508,6,FALSE()))</f>
        <v/>
      </c>
      <c r="CW103" s="71"/>
    </row>
    <row r="104" customFormat="false" ht="15.75" hidden="false" customHeight="false" outlineLevel="0" collapsed="false">
      <c r="A104" s="9"/>
      <c r="B104" s="150"/>
      <c r="C104" s="151"/>
      <c r="D104" s="152"/>
      <c r="E104" s="170"/>
      <c r="F104" s="154"/>
      <c r="G104" s="155"/>
      <c r="H104" s="171"/>
      <c r="I104" s="159"/>
      <c r="J104" s="120"/>
      <c r="K104" s="121"/>
      <c r="L104" s="122"/>
      <c r="M104" s="158"/>
      <c r="N104" s="159"/>
      <c r="O104" s="159"/>
      <c r="P104" s="120"/>
      <c r="Q104" s="122"/>
      <c r="R104" s="122"/>
      <c r="S104" s="158"/>
      <c r="T104" s="159"/>
      <c r="U104" s="126"/>
      <c r="V104" s="127"/>
      <c r="W104" s="127" t="str">
        <f aca="false">IF(ISBLANK($C104),"",IF(E104=Constants!$B$2,TRUE(),IF(E104=Constants!$B$3,FALSE(),TRUE())))</f>
        <v/>
      </c>
      <c r="X104" s="127" t="str">
        <f aca="false">IF(ISBLANK($C104),"",IF(F104=Constants!$B$2,TRUE(),IF(F104=Constants!$B$3,FALSE(),TRUE())))</f>
        <v/>
      </c>
      <c r="Y104" s="127" t="str">
        <f aca="false">IF(ISBLANK($C104),"",IF(G104=Constants!$B$2,TRUE(),IF(G104=Constants!$B$3,FALSE(),TRUE())))</f>
        <v/>
      </c>
      <c r="Z104" s="127" t="str">
        <f aca="false">IF(ISBLANK($C104),"",IF(H104=Constants!$B$2,TRUE(),IF(H104=Constants!$B$3,FALSE(),TRUE())))</f>
        <v/>
      </c>
      <c r="AA104" s="127" t="str">
        <f aca="false">IF(ISBLANK($C104),"",IF(I104=Constants!$B$2,TRUE(),IF(I104=Constants!$B$3,FALSE(),TRUE())))</f>
        <v/>
      </c>
      <c r="AB104" s="127" t="str">
        <f aca="false">IF(ISBLANK($C104),"",IF(J104=Constants!$B$4,TRUE(),IF(J104=Constants!$B$5,FALSE(),COUNTA(K104:M104)&gt;0)))</f>
        <v/>
      </c>
      <c r="AC104" s="128" t="str">
        <f aca="false">IF(ISBLANK($C104),"",IF(ISNUMBER(K104),IF(K104&gt;=0,K104,""),""))</f>
        <v/>
      </c>
      <c r="AD104" s="129" t="str">
        <f aca="false">IF(ISBLANK($C104),"",IF(ISNUMBER(L104),IF(L104&gt;=0,L104,""),""))</f>
        <v/>
      </c>
      <c r="AE104" s="127" t="str">
        <f aca="false">IF(ISBLANK($C104),"",IF(ISNUMBER(M104),IF(M104&gt;=0,MIN(M104,Constants!$B$22),""),""))</f>
        <v/>
      </c>
      <c r="AF104" s="127" t="str">
        <f aca="false">IF(ISBLANK($C104),"",IF(N104=Constants!$B$2,TRUE(),IF(N104=Constants!$B$3,FALSE(),TRUE())))</f>
        <v/>
      </c>
      <c r="AG104" s="127" t="str">
        <f aca="false">IF(ISBLANK($C104),"",IF(O104=Constants!$B$2,TRUE(),IF(O104=Constants!$B$3,FALSE(),TRUE())))</f>
        <v/>
      </c>
      <c r="AH104" s="127" t="str">
        <f aca="false">IF(ISBLANK($C104),"",IF(P104=Constants!$B$4,TRUE(),IF(P104=Constants!$B$5,FALSE(),COUNTA(Q104:S104)&gt;0)))</f>
        <v/>
      </c>
      <c r="AI104" s="128" t="str">
        <f aca="false">IF(ISBLANK($C104),"",IF(ISNUMBER(Q104),IF(Q104&gt;=0,Q104,""),""))</f>
        <v/>
      </c>
      <c r="AJ104" s="129" t="str">
        <f aca="false">IF(ISBLANK($C104),"",IF(ISNUMBER(R104),IF(R104&gt;=0,R104,""),""))</f>
        <v/>
      </c>
      <c r="AK104" s="127" t="str">
        <f aca="false">IF(ISBLANK($C104),"",IF(ISNUMBER(S104),IF(S104&gt;=0,MIN(S104,Constants!$B$22),""),""))</f>
        <v/>
      </c>
      <c r="AL104" s="127" t="str">
        <f aca="false">IF(ISBLANK($C104),"",IF(T104=Constants!$B$2,TRUE(),IF(T104=Constants!$B$3,FALSE(),FALSE())))</f>
        <v/>
      </c>
      <c r="AM104" s="126" t="str">
        <f aca="false">IF(ISBLANK($C104),"",AND($AB104,OR($AC104="",$AD104="",AND(NOT(ISBLANK($M104)),$AE104=""))))</f>
        <v/>
      </c>
      <c r="AN104" s="129" t="str">
        <f aca="false">IF($BD104&lt;&gt;Constants!$B$6,"",IF($AB104,Constants!$B$17*$AD104,Constants!$B$18))</f>
        <v/>
      </c>
      <c r="AO104" s="130" t="str">
        <f aca="false">IF($BD104&lt;&gt;Constants!$B$6,"",Constants!$B$19*IF($AB104,$AC104,0))</f>
        <v/>
      </c>
      <c r="AP104" s="130" t="str">
        <f aca="false">IF($BD104&lt;&gt;Constants!$B$6,"",IF(AND($AB104,ISNUMBER($AE104)),Constants!$B$20*(Constants!$B$21-$AE104),0))</f>
        <v/>
      </c>
      <c r="AQ104" s="130" t="str">
        <f aca="false">IF($BD104&lt;&gt;Constants!$B$6,"",IF($AA104,0,Constants!$B$12)+IF($Z104,0,Constants!$B$13)+IF($Y104,0,Constants!$B$14))</f>
        <v/>
      </c>
      <c r="AR104" s="131" t="str">
        <f aca="false">IF($BD104&lt;&gt;Constants!$B$6,"",Constants!$B$16+SUM($AN104:$AQ104))</f>
        <v/>
      </c>
      <c r="AS104" s="130" t="str">
        <f aca="false">IF($BD104&lt;&gt;Constants!$B$6,"",IF($AB104,$AD104,""))</f>
        <v/>
      </c>
      <c r="AT104" s="132" t="str">
        <f aca="false">IF($BD104&lt;&gt;Constants!$B$6,"",$AO104)</f>
        <v/>
      </c>
      <c r="AU104" s="127" t="str">
        <f aca="false">IF($BD104&lt;&gt;Constants!$B$6,"",IF(OR($BA104&lt;$AR104,AND($BA104=$AR104,OR(AND(ISNUMBER($BB104),OR(NOT(ISNUMBER($AS104)),$BB104&lt;$AS104)),AND(OR(AND($BB104="",$AS104=""),AND(ISNUMBER($BB104),ISNUMBER($AS104),$BB104=$AS104)),$BC104&lt;$AT104)))),"-&gt;","&lt;-"))</f>
        <v/>
      </c>
      <c r="AV104" s="126" t="str">
        <f aca="false">IF(ISBLANK($C104),"",AND($AH104,OR($AI104="",$AJ104="",AND(NOT(ISBLANK($S104)),$AK104=""))))</f>
        <v/>
      </c>
      <c r="AW104" s="129" t="str">
        <f aca="false">IF($BD104&lt;&gt;Constants!$B$6,"",IF($AH104,Constants!$B$17*$AJ104,Constants!$B$18))</f>
        <v/>
      </c>
      <c r="AX104" s="130" t="str">
        <f aca="false">IF($BD104&lt;&gt;Constants!$B$6,"",Constants!$B$19*IF($AH104,$AI104,0))</f>
        <v/>
      </c>
      <c r="AY104" s="130" t="str">
        <f aca="false">IF($BD104&lt;&gt;Constants!$B$6,"",IF(AND($AH104,ISNUMBER($AK104)),Constants!$B$20*(Constants!$B$21-$AK104),0))</f>
        <v/>
      </c>
      <c r="AZ104" s="130" t="str">
        <f aca="false">IF($BD104&lt;&gt;Constants!$B$6,"",IF($AG104,0,Constants!$B$12)+IF($AF104,0,Constants!$B$13)+IF($Y104,0,Constants!$B$14))</f>
        <v/>
      </c>
      <c r="BA104" s="131" t="str">
        <f aca="false">IF($BD104&lt;&gt;Constants!$B$6,"",Constants!$B$16+SUM($AW104:$AZ104))</f>
        <v/>
      </c>
      <c r="BB104" s="130" t="str">
        <f aca="false">IF($BD104&lt;&gt;Constants!$B$6,"",IF($AH104,$AJ104,""))</f>
        <v/>
      </c>
      <c r="BC104" s="132" t="str">
        <f aca="false">IF($BD104&lt;&gt;Constants!$B$6,"",$AX104)</f>
        <v/>
      </c>
      <c r="BD104" s="127" t="str">
        <f aca="false">IF(ISBLANK($C104),"",IF($AL104,Constants!$B$9,IF(COUNTA($E104:$T104)=0,Constants!$B$8,IF(NOT($X104),Constants!$B$7,IF(OR($AM104,$AV104),Constants!$B$10,Constants!$B$6)))))</f>
        <v/>
      </c>
      <c r="BE104" s="127" t="str">
        <f aca="false">IF(ISBLANK($C104),"",IF($BD104&lt;&gt;Constants!$B$6,$BD104,Constants!$B$11))</f>
        <v/>
      </c>
      <c r="BF104" s="130" t="str">
        <f aca="false">IF($BD104&lt;&gt;Constants!$B$6,"",IF($AU104="-&gt;",$BA104,$AR104))</f>
        <v/>
      </c>
      <c r="BG104" s="130" t="str">
        <f aca="false">IF($BD104&lt;&gt;Constants!$B$6,"",IF($W104,0,Constants!$B$15))</f>
        <v/>
      </c>
      <c r="BH104" s="130" t="str">
        <f aca="false">IF(ISBLANK($C104),"",IF($BD104&lt;&gt;Constants!$B$6,$BD104,SUM($BF104:$BG104)))</f>
        <v/>
      </c>
      <c r="BI104" s="127" t="str">
        <f aca="false">IF(ISBLANK($C104),"",IF($BD104&lt;&gt;Constants!$B$6,$BD104,RANK($BH104,$BH$9:$BH$508,1)))</f>
        <v/>
      </c>
      <c r="BJ104" s="130" t="str">
        <f aca="false">IF($BD104&lt;&gt;Constants!$B$6,"",IF($AU104="-&gt;",$BB104,$AS104))</f>
        <v/>
      </c>
      <c r="BK104" s="127" t="str">
        <f aca="false">IF(ISBLANK($C104),"",IF($BD104&lt;&gt;Constants!$B$6,$BD104,IF(ISNUMBER($BJ104),RANK($BJ104,$BJ$9:$BJ$508,1),COUNT($BJ$9:$BJ$508)+1)))</f>
        <v/>
      </c>
      <c r="BL104" s="130" t="str">
        <f aca="false">IF($BD104&lt;&gt;Constants!$B$6,"",IF($AU104="-&gt;",$BC104,$AT104))</f>
        <v/>
      </c>
      <c r="BM104" s="127" t="str">
        <f aca="false">IF(ISBLANK($C104),"",IF($BD104&lt;&gt;Constants!$B$6,$BD104,IF(ISNUMBER($BL104),RANK($BL104,$BL$9:$BL$508,1),COUNT($BL$9:$BL$508)+1)))</f>
        <v/>
      </c>
      <c r="BN104" s="130" t="str">
        <f aca="false">IF($BD104&lt;&gt;Constants!$B$6,"",IF($AU104="-&gt;",$AS104,$BB104))</f>
        <v/>
      </c>
      <c r="BO104" s="127" t="str">
        <f aca="false">IF(ISBLANK($C104),"",IF($BD104&lt;&gt;Constants!$B$6,$BD104,IF(ISNUMBER($BN104),RANK($BN104,$BN$9:$BN$508,1),COUNT($BN$9:$BN$508)+1)))</f>
        <v/>
      </c>
      <c r="BP104" s="130" t="str">
        <f aca="false">IF($BD104&lt;&gt;Constants!$B$6,"",IF($AU104="-&gt;",$AT104,$BC104))</f>
        <v/>
      </c>
      <c r="BQ104" s="127" t="str">
        <f aca="false">IF(ISBLANK($C104),"",IF($BD104&lt;&gt;Constants!$B$6,$BD104,IF(ISNUMBER($BP104),RANK($BP104,$BP$9:$BP$508,1),COUNT($BP$9:$BP$508)+1)))</f>
        <v/>
      </c>
      <c r="BR104" s="127" t="str">
        <f aca="false">IF(ISBLANK($C104),"",IF($BD104&lt;&gt;Constants!$B$6,$BD104,COUNTIFS($BI$9:$BI$508,"&lt;"&amp;$BI104)+COUNTIFS($BI$9:$BI$508,$BI104,$BK$9:$BK$508,"&lt;"&amp;$BK104)+COUNTIFS($BI$9:$BI$508,$BI104,$BK$9:$BK$508,$BK104,$BM$9:$BM$508,"&lt;"&amp;$BM104)+COUNTIFS($BI$9:$BI$508,$BI104,$BK$9:$BK$508,$BK104,$BM$9:$BM$508,$BM104,$BO$9:$BO$508,"&lt;"&amp;$BO104)+COUNTIFS($BI$9:$BI$508,$BI104,$BK$9:$BK$508,$BK104,$BM$9:$BM$508,$BM104,$BO$9:$BO$508,$BO104,$BQ$9:$BQ$508,"&lt;"&amp;$BQ104)+1))</f>
        <v/>
      </c>
      <c r="BS104" s="127" t="str">
        <f aca="false">IF(ISBLANK($C104),"",IF($BD104&lt;&gt;Constants!$B$6,$BD104,$BI104-$BR104))</f>
        <v/>
      </c>
      <c r="BT104" s="133"/>
      <c r="BU104" s="134"/>
      <c r="BV104" s="134" t="str">
        <f aca="false">IF(ISBLANK($C104),"",IF($BD104&lt;&gt;Constants!$B$6,"",IF($AU104="-&gt;",2,1)))</f>
        <v/>
      </c>
      <c r="BW104" s="135" t="str">
        <f aca="false">IF(ISBLANK($C104),"",IF($BD104&lt;&gt;Constants!$B$6,"",IF($AU104="-&gt;",$AW104,$AN104)))</f>
        <v/>
      </c>
      <c r="BX104" s="135" t="str">
        <f aca="false">IF(ISBLANK($C104),"",IF($BD104&lt;&gt;Constants!$B$6,"",IF($AU104="-&gt;",$AX104,$AO104)))</f>
        <v/>
      </c>
      <c r="BY104" s="135" t="str">
        <f aca="false">IF(ISBLANK($C104),"",IF($BD104&lt;&gt;Constants!$B$6,"",IF($AU104="-&gt;",$AY104,$AP104)))</f>
        <v/>
      </c>
      <c r="BZ104" s="135" t="str">
        <f aca="false">IF(ISBLANK($C104),"",IF($BD104&lt;&gt;Constants!$B$6,"",IF($AU104="-&gt;",$AZ104,$AQ104)+$BG104))</f>
        <v/>
      </c>
      <c r="CA104" s="136" t="str">
        <f aca="false">IF(ISBLANK($C104),"",IF($BD104&lt;&gt;Constants!$B$6,$BD104,$BH104))</f>
        <v/>
      </c>
      <c r="CB104" s="137" t="str">
        <f aca="false">IF(ISBLANK($C104),"",$BE104)</f>
        <v/>
      </c>
      <c r="CC104" s="138" t="str">
        <f aca="false">IF(ISBLANK($C104),"",$BS104)</f>
        <v/>
      </c>
      <c r="CD104" s="138" t="str">
        <f aca="false">IF(ISBLANK($C104),"",$BR104)</f>
        <v/>
      </c>
      <c r="CE104" s="139" t="str">
        <f aca="false">IF(ISBLANK($C104),"",IF($CD104=Constants!$B$9,COUNTA($C$9:$C$508)+2,IF($CD104=Constants!$B$8,COUNTA($C$9:$C$508)+1,IF($CD104=Constants!$B$7,COUNTA($C$9:$C$508),$CD104))))</f>
        <v/>
      </c>
      <c r="CF104" s="9"/>
      <c r="CG104" s="140" t="n">
        <f aca="false">IF(OR(ISNUMBER($CD104),$CD104=Constants!$B$9,$CD104=Constants!$B$7,$CD104=Constants!$B$8),1,0)</f>
        <v>0</v>
      </c>
      <c r="CH104" s="140" t="n">
        <v>96</v>
      </c>
      <c r="CI104" s="140" t="str">
        <f aca="false">IF(ISBLANK($C104),"",IF(ISNUMBER($CE104),$CE104+ROW($B104)/1000,""))</f>
        <v/>
      </c>
      <c r="CJ104" s="140" t="str">
        <f aca="false">IF(ISNUMBER($CI104),RANK($CI104,$CI$9:$CI$508,1),"")</f>
        <v/>
      </c>
      <c r="CK104" s="140" t="str">
        <f aca="false">IF(ISBLANK($C104),"",$B104)</f>
        <v/>
      </c>
      <c r="CL104" s="140" t="str">
        <f aca="false">IF(ISBLANK($C104),"",$C104)</f>
        <v/>
      </c>
      <c r="CM104" s="140" t="str">
        <f aca="false">IF(ISBLANK($C104),"",$D104)</f>
        <v/>
      </c>
      <c r="CN104" s="141" t="str">
        <f aca="false">$CB104</f>
        <v/>
      </c>
      <c r="CO104" s="142" t="str">
        <f aca="false">$CA104</f>
        <v/>
      </c>
      <c r="CP104" s="140" t="str">
        <f aca="false">IF(ISBLANK($C104),"",$CD104)</f>
        <v/>
      </c>
      <c r="CQ104" s="143" t="str">
        <f aca="false">IF($CH104&gt;$CG$8,"",VLOOKUP($CH104,$CJ$9:$CP$508,7,FALSE()))</f>
        <v/>
      </c>
      <c r="CR104" s="144" t="str">
        <f aca="false">IF($CH104&gt;$CG$8,"",VLOOKUP($CH104,$CJ$9:$CP$508,2,FALSE()))</f>
        <v/>
      </c>
      <c r="CS104" s="144" t="str">
        <f aca="false">IF($CH104&gt;$CG$8,"",VLOOKUP($CH104,$CJ$9:$CP$508,3,FALSE()))</f>
        <v/>
      </c>
      <c r="CT104" s="144" t="str">
        <f aca="false">IF($CH104&gt;$CG$8,"",VLOOKUP($CH104,$CJ$9:$CP$508,4,FALSE()))</f>
        <v/>
      </c>
      <c r="CU104" s="144" t="str">
        <f aca="false">IF($CH104&gt;$CG$8,"",VLOOKUP($CH104,$CJ$9:$CP$508,5,FALSE()))</f>
        <v/>
      </c>
      <c r="CV104" s="145" t="str">
        <f aca="false">IF($CH104&gt;$CG$8,"",VLOOKUP($CH104,$CJ$9:$CP$508,6,FALSE()))</f>
        <v/>
      </c>
      <c r="CW104" s="71"/>
    </row>
    <row r="105" customFormat="false" ht="15.75" hidden="false" customHeight="false" outlineLevel="0" collapsed="false">
      <c r="A105" s="9"/>
      <c r="B105" s="72"/>
      <c r="C105" s="73"/>
      <c r="D105" s="160"/>
      <c r="E105" s="168"/>
      <c r="F105" s="162"/>
      <c r="G105" s="163"/>
      <c r="H105" s="169"/>
      <c r="I105" s="167"/>
      <c r="J105" s="80"/>
      <c r="K105" s="81"/>
      <c r="L105" s="82"/>
      <c r="M105" s="166"/>
      <c r="N105" s="167"/>
      <c r="O105" s="167"/>
      <c r="P105" s="80"/>
      <c r="Q105" s="82"/>
      <c r="R105" s="82"/>
      <c r="S105" s="166"/>
      <c r="T105" s="167"/>
      <c r="U105" s="86"/>
      <c r="V105" s="87"/>
      <c r="W105" s="87" t="str">
        <f aca="false">IF(ISBLANK($C105),"",IF(E105=Constants!$B$2,TRUE(),IF(E105=Constants!$B$3,FALSE(),TRUE())))</f>
        <v/>
      </c>
      <c r="X105" s="87" t="str">
        <f aca="false">IF(ISBLANK($C105),"",IF(F105=Constants!$B$2,TRUE(),IF(F105=Constants!$B$3,FALSE(),TRUE())))</f>
        <v/>
      </c>
      <c r="Y105" s="87" t="str">
        <f aca="false">IF(ISBLANK($C105),"",IF(G105=Constants!$B$2,TRUE(),IF(G105=Constants!$B$3,FALSE(),TRUE())))</f>
        <v/>
      </c>
      <c r="Z105" s="87" t="str">
        <f aca="false">IF(ISBLANK($C105),"",IF(H105=Constants!$B$2,TRUE(),IF(H105=Constants!$B$3,FALSE(),TRUE())))</f>
        <v/>
      </c>
      <c r="AA105" s="87" t="str">
        <f aca="false">IF(ISBLANK($C105),"",IF(I105=Constants!$B$2,TRUE(),IF(I105=Constants!$B$3,FALSE(),TRUE())))</f>
        <v/>
      </c>
      <c r="AB105" s="87" t="str">
        <f aca="false">IF(ISBLANK($C105),"",IF(J105=Constants!$B$4,TRUE(),IF(J105=Constants!$B$5,FALSE(),COUNTA(K105:M105)&gt;0)))</f>
        <v/>
      </c>
      <c r="AC105" s="88" t="str">
        <f aca="false">IF(ISBLANK($C105),"",IF(ISNUMBER(K105),IF(K105&gt;=0,K105,""),""))</f>
        <v/>
      </c>
      <c r="AD105" s="89" t="str">
        <f aca="false">IF(ISBLANK($C105),"",IF(ISNUMBER(L105),IF(L105&gt;=0,L105,""),""))</f>
        <v/>
      </c>
      <c r="AE105" s="87" t="str">
        <f aca="false">IF(ISBLANK($C105),"",IF(ISNUMBER(M105),IF(M105&gt;=0,MIN(M105,Constants!$B$22),""),""))</f>
        <v/>
      </c>
      <c r="AF105" s="87" t="str">
        <f aca="false">IF(ISBLANK($C105),"",IF(N105=Constants!$B$2,TRUE(),IF(N105=Constants!$B$3,FALSE(),TRUE())))</f>
        <v/>
      </c>
      <c r="AG105" s="87" t="str">
        <f aca="false">IF(ISBLANK($C105),"",IF(O105=Constants!$B$2,TRUE(),IF(O105=Constants!$B$3,FALSE(),TRUE())))</f>
        <v/>
      </c>
      <c r="AH105" s="87" t="str">
        <f aca="false">IF(ISBLANK($C105),"",IF(P105=Constants!$B$4,TRUE(),IF(P105=Constants!$B$5,FALSE(),COUNTA(Q105:S105)&gt;0)))</f>
        <v/>
      </c>
      <c r="AI105" s="88" t="str">
        <f aca="false">IF(ISBLANK($C105),"",IF(ISNUMBER(Q105),IF(Q105&gt;=0,Q105,""),""))</f>
        <v/>
      </c>
      <c r="AJ105" s="89" t="str">
        <f aca="false">IF(ISBLANK($C105),"",IF(ISNUMBER(R105),IF(R105&gt;=0,R105,""),""))</f>
        <v/>
      </c>
      <c r="AK105" s="87" t="str">
        <f aca="false">IF(ISBLANK($C105),"",IF(ISNUMBER(S105),IF(S105&gt;=0,MIN(S105,Constants!$B$22),""),""))</f>
        <v/>
      </c>
      <c r="AL105" s="87" t="str">
        <f aca="false">IF(ISBLANK($C105),"",IF(T105=Constants!$B$2,TRUE(),IF(T105=Constants!$B$3,FALSE(),FALSE())))</f>
        <v/>
      </c>
      <c r="AM105" s="86" t="str">
        <f aca="false">IF(ISBLANK($C105),"",AND($AB105,OR($AC105="",$AD105="",AND(NOT(ISBLANK($M105)),$AE105=""))))</f>
        <v/>
      </c>
      <c r="AN105" s="89" t="str">
        <f aca="false">IF($BD105&lt;&gt;Constants!$B$6,"",IF($AB105,Constants!$B$17*$AD105,Constants!$B$18))</f>
        <v/>
      </c>
      <c r="AO105" s="91" t="str">
        <f aca="false">IF($BD105&lt;&gt;Constants!$B$6,"",Constants!$B$19*IF($AB105,$AC105,0))</f>
        <v/>
      </c>
      <c r="AP105" s="91" t="str">
        <f aca="false">IF($BD105&lt;&gt;Constants!$B$6,"",IF(AND($AB105,ISNUMBER($AE105)),Constants!$B$20*(Constants!$B$21-$AE105),0))</f>
        <v/>
      </c>
      <c r="AQ105" s="91" t="str">
        <f aca="false">IF($BD105&lt;&gt;Constants!$B$6,"",IF($AA105,0,Constants!$B$12)+IF($Z105,0,Constants!$B$13)+IF($Y105,0,Constants!$B$14))</f>
        <v/>
      </c>
      <c r="AR105" s="92" t="str">
        <f aca="false">IF($BD105&lt;&gt;Constants!$B$6,"",Constants!$B$16+SUM($AN105:$AQ105))</f>
        <v/>
      </c>
      <c r="AS105" s="91" t="str">
        <f aca="false">IF($BD105&lt;&gt;Constants!$B$6,"",IF($AB105,$AD105,""))</f>
        <v/>
      </c>
      <c r="AT105" s="93" t="str">
        <f aca="false">IF($BD105&lt;&gt;Constants!$B$6,"",$AO105)</f>
        <v/>
      </c>
      <c r="AU105" s="87" t="str">
        <f aca="false">IF($BD105&lt;&gt;Constants!$B$6,"",IF(OR($BA105&lt;$AR105,AND($BA105=$AR105,OR(AND(ISNUMBER($BB105),OR(NOT(ISNUMBER($AS105)),$BB105&lt;$AS105)),AND(OR(AND($BB105="",$AS105=""),AND(ISNUMBER($BB105),ISNUMBER($AS105),$BB105=$AS105)),$BC105&lt;$AT105)))),"-&gt;","&lt;-"))</f>
        <v/>
      </c>
      <c r="AV105" s="86" t="str">
        <f aca="false">IF(ISBLANK($C105),"",AND($AH105,OR($AI105="",$AJ105="",AND(NOT(ISBLANK($S105)),$AK105=""))))</f>
        <v/>
      </c>
      <c r="AW105" s="89" t="str">
        <f aca="false">IF($BD105&lt;&gt;Constants!$B$6,"",IF($AH105,Constants!$B$17*$AJ105,Constants!$B$18))</f>
        <v/>
      </c>
      <c r="AX105" s="91" t="str">
        <f aca="false">IF($BD105&lt;&gt;Constants!$B$6,"",Constants!$B$19*IF($AH105,$AI105,0))</f>
        <v/>
      </c>
      <c r="AY105" s="91" t="str">
        <f aca="false">IF($BD105&lt;&gt;Constants!$B$6,"",IF(AND($AH105,ISNUMBER($AK105)),Constants!$B$20*(Constants!$B$21-$AK105),0))</f>
        <v/>
      </c>
      <c r="AZ105" s="91" t="str">
        <f aca="false">IF($BD105&lt;&gt;Constants!$B$6,"",IF($AG105,0,Constants!$B$12)+IF($AF105,0,Constants!$B$13)+IF($Y105,0,Constants!$B$14))</f>
        <v/>
      </c>
      <c r="BA105" s="92" t="str">
        <f aca="false">IF($BD105&lt;&gt;Constants!$B$6,"",Constants!$B$16+SUM($AW105:$AZ105))</f>
        <v/>
      </c>
      <c r="BB105" s="91" t="str">
        <f aca="false">IF($BD105&lt;&gt;Constants!$B$6,"",IF($AH105,$AJ105,""))</f>
        <v/>
      </c>
      <c r="BC105" s="93" t="str">
        <f aca="false">IF($BD105&lt;&gt;Constants!$B$6,"",$AX105)</f>
        <v/>
      </c>
      <c r="BD105" s="87" t="str">
        <f aca="false">IF(ISBLANK($C105),"",IF($AL105,Constants!$B$9,IF(COUNTA($E105:$T105)=0,Constants!$B$8,IF(NOT($X105),Constants!$B$7,IF(OR($AM105,$AV105),Constants!$B$10,Constants!$B$6)))))</f>
        <v/>
      </c>
      <c r="BE105" s="87" t="str">
        <f aca="false">IF(ISBLANK($C105),"",IF($BD105&lt;&gt;Constants!$B$6,$BD105,Constants!$B$11))</f>
        <v/>
      </c>
      <c r="BF105" s="91" t="str">
        <f aca="false">IF($BD105&lt;&gt;Constants!$B$6,"",IF($AU105="-&gt;",$BA105,$AR105))</f>
        <v/>
      </c>
      <c r="BG105" s="91" t="str">
        <f aca="false">IF($BD105&lt;&gt;Constants!$B$6,"",IF($W105,0,Constants!$B$15))</f>
        <v/>
      </c>
      <c r="BH105" s="91" t="str">
        <f aca="false">IF(ISBLANK($C105),"",IF($BD105&lt;&gt;Constants!$B$6,$BD105,SUM($BF105:$BG105)))</f>
        <v/>
      </c>
      <c r="BI105" s="87" t="str">
        <f aca="false">IF(ISBLANK($C105),"",IF($BD105&lt;&gt;Constants!$B$6,$BD105,RANK($BH105,$BH$9:$BH$508,1)))</f>
        <v/>
      </c>
      <c r="BJ105" s="91" t="str">
        <f aca="false">IF($BD105&lt;&gt;Constants!$B$6,"",IF($AU105="-&gt;",$BB105,$AS105))</f>
        <v/>
      </c>
      <c r="BK105" s="87" t="str">
        <f aca="false">IF(ISBLANK($C105),"",IF($BD105&lt;&gt;Constants!$B$6,$BD105,IF(ISNUMBER($BJ105),RANK($BJ105,$BJ$9:$BJ$508,1),COUNT($BJ$9:$BJ$508)+1)))</f>
        <v/>
      </c>
      <c r="BL105" s="91" t="str">
        <f aca="false">IF($BD105&lt;&gt;Constants!$B$6,"",IF($AU105="-&gt;",$BC105,$AT105))</f>
        <v/>
      </c>
      <c r="BM105" s="87" t="str">
        <f aca="false">IF(ISBLANK($C105),"",IF($BD105&lt;&gt;Constants!$B$6,$BD105,IF(ISNUMBER($BL105),RANK($BL105,$BL$9:$BL$508,1),COUNT($BL$9:$BL$508)+1)))</f>
        <v/>
      </c>
      <c r="BN105" s="91" t="str">
        <f aca="false">IF($BD105&lt;&gt;Constants!$B$6,"",IF($AU105="-&gt;",$AS105,$BB105))</f>
        <v/>
      </c>
      <c r="BO105" s="87" t="str">
        <f aca="false">IF(ISBLANK($C105),"",IF($BD105&lt;&gt;Constants!$B$6,$BD105,IF(ISNUMBER($BN105),RANK($BN105,$BN$9:$BN$508,1),COUNT($BN$9:$BN$508)+1)))</f>
        <v/>
      </c>
      <c r="BP105" s="91" t="str">
        <f aca="false">IF($BD105&lt;&gt;Constants!$B$6,"",IF($AU105="-&gt;",$AT105,$BC105))</f>
        <v/>
      </c>
      <c r="BQ105" s="87" t="str">
        <f aca="false">IF(ISBLANK($C105),"",IF($BD105&lt;&gt;Constants!$B$6,$BD105,IF(ISNUMBER($BP105),RANK($BP105,$BP$9:$BP$508,1),COUNT($BP$9:$BP$508)+1)))</f>
        <v/>
      </c>
      <c r="BR105" s="87" t="str">
        <f aca="false">IF(ISBLANK($C105),"",IF($BD105&lt;&gt;Constants!$B$6,$BD105,COUNTIFS($BI$9:$BI$508,"&lt;"&amp;$BI105)+COUNTIFS($BI$9:$BI$508,$BI105,$BK$9:$BK$508,"&lt;"&amp;$BK105)+COUNTIFS($BI$9:$BI$508,$BI105,$BK$9:$BK$508,$BK105,$BM$9:$BM$508,"&lt;"&amp;$BM105)+COUNTIFS($BI$9:$BI$508,$BI105,$BK$9:$BK$508,$BK105,$BM$9:$BM$508,$BM105,$BO$9:$BO$508,"&lt;"&amp;$BO105)+COUNTIFS($BI$9:$BI$508,$BI105,$BK$9:$BK$508,$BK105,$BM$9:$BM$508,$BM105,$BO$9:$BO$508,$BO105,$BQ$9:$BQ$508,"&lt;"&amp;$BQ105)+1))</f>
        <v/>
      </c>
      <c r="BS105" s="87" t="str">
        <f aca="false">IF(ISBLANK($C105),"",IF($BD105&lt;&gt;Constants!$B$6,$BD105,$BI105-$BR105))</f>
        <v/>
      </c>
      <c r="BT105" s="94"/>
      <c r="BU105" s="95"/>
      <c r="BV105" s="95" t="str">
        <f aca="false">IF(ISBLANK($C105),"",IF($BD105&lt;&gt;Constants!$B$6,"",IF($AU105="-&gt;",2,1)))</f>
        <v/>
      </c>
      <c r="BW105" s="96" t="str">
        <f aca="false">IF(ISBLANK($C105),"",IF($BD105&lt;&gt;Constants!$B$6,"",IF($AU105="-&gt;",$AW105,$AN105)))</f>
        <v/>
      </c>
      <c r="BX105" s="96" t="str">
        <f aca="false">IF(ISBLANK($C105),"",IF($BD105&lt;&gt;Constants!$B$6,"",IF($AU105="-&gt;",$AX105,$AO105)))</f>
        <v/>
      </c>
      <c r="BY105" s="96" t="str">
        <f aca="false">IF(ISBLANK($C105),"",IF($BD105&lt;&gt;Constants!$B$6,"",IF($AU105="-&gt;",$AY105,$AP105)))</f>
        <v/>
      </c>
      <c r="BZ105" s="96" t="str">
        <f aca="false">IF(ISBLANK($C105),"",IF($BD105&lt;&gt;Constants!$B$6,"",IF($AU105="-&gt;",$AZ105,$AQ105)+$BG105))</f>
        <v/>
      </c>
      <c r="CA105" s="97" t="str">
        <f aca="false">IF(ISBLANK($C105),"",IF($BD105&lt;&gt;Constants!$B$6,$BD105,$BH105))</f>
        <v/>
      </c>
      <c r="CB105" s="98" t="str">
        <f aca="false">IF(ISBLANK($C105),"",$BE105)</f>
        <v/>
      </c>
      <c r="CC105" s="99" t="str">
        <f aca="false">IF(ISBLANK($C105),"",$BS105)</f>
        <v/>
      </c>
      <c r="CD105" s="99" t="str">
        <f aca="false">IF(ISBLANK($C105),"",$BR105)</f>
        <v/>
      </c>
      <c r="CE105" s="100" t="str">
        <f aca="false">IF(ISBLANK($C105),"",IF($CD105=Constants!$B$9,COUNTA($C$9:$C$508)+2,IF($CD105=Constants!$B$8,COUNTA($C$9:$C$508)+1,IF($CD105=Constants!$B$7,COUNTA($C$9:$C$508),$CD105))))</f>
        <v/>
      </c>
      <c r="CF105" s="9"/>
      <c r="CG105" s="101" t="n">
        <f aca="false">IF(OR(ISNUMBER($CD105),$CD105=Constants!$B$9,$CD105=Constants!$B$7,$CD105=Constants!$B$8),1,0)</f>
        <v>0</v>
      </c>
      <c r="CH105" s="101" t="n">
        <v>97</v>
      </c>
      <c r="CI105" s="101" t="str">
        <f aca="false">IF(ISBLANK($C105),"",IF(ISNUMBER($CE105),$CE105+ROW($B105)/1000,""))</f>
        <v/>
      </c>
      <c r="CJ105" s="101" t="str">
        <f aca="false">IF(ISNUMBER($CI105),RANK($CI105,$CI$9:$CI$508,1),"")</f>
        <v/>
      </c>
      <c r="CK105" s="101" t="str">
        <f aca="false">IF(ISBLANK($C105),"",$B105)</f>
        <v/>
      </c>
      <c r="CL105" s="101" t="str">
        <f aca="false">IF(ISBLANK($C105),"",$C105)</f>
        <v/>
      </c>
      <c r="CM105" s="101" t="str">
        <f aca="false">IF(ISBLANK($C105),"",$D105)</f>
        <v/>
      </c>
      <c r="CN105" s="102" t="str">
        <f aca="false">$CB105</f>
        <v/>
      </c>
      <c r="CO105" s="103" t="str">
        <f aca="false">$CA105</f>
        <v/>
      </c>
      <c r="CP105" s="101" t="str">
        <f aca="false">IF(ISBLANK($C105),"",$CD105)</f>
        <v/>
      </c>
      <c r="CQ105" s="104" t="str">
        <f aca="false">IF($CH105&gt;$CG$8,"",VLOOKUP($CH105,$CJ$9:$CP$508,7,FALSE()))</f>
        <v/>
      </c>
      <c r="CR105" s="105" t="str">
        <f aca="false">IF($CH105&gt;$CG$8,"",VLOOKUP($CH105,$CJ$9:$CP$508,2,FALSE()))</f>
        <v/>
      </c>
      <c r="CS105" s="105" t="str">
        <f aca="false">IF($CH105&gt;$CG$8,"",VLOOKUP($CH105,$CJ$9:$CP$508,3,FALSE()))</f>
        <v/>
      </c>
      <c r="CT105" s="105" t="str">
        <f aca="false">IF($CH105&gt;$CG$8,"",VLOOKUP($CH105,$CJ$9:$CP$508,4,FALSE()))</f>
        <v/>
      </c>
      <c r="CU105" s="105" t="str">
        <f aca="false">IF($CH105&gt;$CG$8,"",VLOOKUP($CH105,$CJ$9:$CP$508,5,FALSE()))</f>
        <v/>
      </c>
      <c r="CV105" s="106" t="str">
        <f aca="false">IF($CH105&gt;$CG$8,"",VLOOKUP($CH105,$CJ$9:$CP$508,6,FALSE()))</f>
        <v/>
      </c>
      <c r="CW105" s="71"/>
    </row>
    <row r="106" customFormat="false" ht="15.75" hidden="false" customHeight="false" outlineLevel="0" collapsed="false">
      <c r="A106" s="9"/>
      <c r="B106" s="72"/>
      <c r="C106" s="73"/>
      <c r="D106" s="160"/>
      <c r="E106" s="168"/>
      <c r="F106" s="162"/>
      <c r="G106" s="163"/>
      <c r="H106" s="169"/>
      <c r="I106" s="167"/>
      <c r="J106" s="80"/>
      <c r="K106" s="81"/>
      <c r="L106" s="82"/>
      <c r="M106" s="166"/>
      <c r="N106" s="167"/>
      <c r="O106" s="167"/>
      <c r="P106" s="80"/>
      <c r="Q106" s="82"/>
      <c r="R106" s="82"/>
      <c r="S106" s="166"/>
      <c r="T106" s="167"/>
      <c r="U106" s="86"/>
      <c r="V106" s="87"/>
      <c r="W106" s="87" t="str">
        <f aca="false">IF(ISBLANK($C106),"",IF(E106=Constants!$B$2,TRUE(),IF(E106=Constants!$B$3,FALSE(),TRUE())))</f>
        <v/>
      </c>
      <c r="X106" s="87" t="str">
        <f aca="false">IF(ISBLANK($C106),"",IF(F106=Constants!$B$2,TRUE(),IF(F106=Constants!$B$3,FALSE(),TRUE())))</f>
        <v/>
      </c>
      <c r="Y106" s="87" t="str">
        <f aca="false">IF(ISBLANK($C106),"",IF(G106=Constants!$B$2,TRUE(),IF(G106=Constants!$B$3,FALSE(),TRUE())))</f>
        <v/>
      </c>
      <c r="Z106" s="87" t="str">
        <f aca="false">IF(ISBLANK($C106),"",IF(H106=Constants!$B$2,TRUE(),IF(H106=Constants!$B$3,FALSE(),TRUE())))</f>
        <v/>
      </c>
      <c r="AA106" s="87" t="str">
        <f aca="false">IF(ISBLANK($C106),"",IF(I106=Constants!$B$2,TRUE(),IF(I106=Constants!$B$3,FALSE(),TRUE())))</f>
        <v/>
      </c>
      <c r="AB106" s="87" t="str">
        <f aca="false">IF(ISBLANK($C106),"",IF(J106=Constants!$B$4,TRUE(),IF(J106=Constants!$B$5,FALSE(),COUNTA(K106:M106)&gt;0)))</f>
        <v/>
      </c>
      <c r="AC106" s="88" t="str">
        <f aca="false">IF(ISBLANK($C106),"",IF(ISNUMBER(K106),IF(K106&gt;=0,K106,""),""))</f>
        <v/>
      </c>
      <c r="AD106" s="89" t="str">
        <f aca="false">IF(ISBLANK($C106),"",IF(ISNUMBER(L106),IF(L106&gt;=0,L106,""),""))</f>
        <v/>
      </c>
      <c r="AE106" s="87" t="str">
        <f aca="false">IF(ISBLANK($C106),"",IF(ISNUMBER(M106),IF(M106&gt;=0,MIN(M106,Constants!$B$22),""),""))</f>
        <v/>
      </c>
      <c r="AF106" s="87" t="str">
        <f aca="false">IF(ISBLANK($C106),"",IF(N106=Constants!$B$2,TRUE(),IF(N106=Constants!$B$3,FALSE(),TRUE())))</f>
        <v/>
      </c>
      <c r="AG106" s="87" t="str">
        <f aca="false">IF(ISBLANK($C106),"",IF(O106=Constants!$B$2,TRUE(),IF(O106=Constants!$B$3,FALSE(),TRUE())))</f>
        <v/>
      </c>
      <c r="AH106" s="87" t="str">
        <f aca="false">IF(ISBLANK($C106),"",IF(P106=Constants!$B$4,TRUE(),IF(P106=Constants!$B$5,FALSE(),COUNTA(Q106:S106)&gt;0)))</f>
        <v/>
      </c>
      <c r="AI106" s="88" t="str">
        <f aca="false">IF(ISBLANK($C106),"",IF(ISNUMBER(Q106),IF(Q106&gt;=0,Q106,""),""))</f>
        <v/>
      </c>
      <c r="AJ106" s="89" t="str">
        <f aca="false">IF(ISBLANK($C106),"",IF(ISNUMBER(R106),IF(R106&gt;=0,R106,""),""))</f>
        <v/>
      </c>
      <c r="AK106" s="87" t="str">
        <f aca="false">IF(ISBLANK($C106),"",IF(ISNUMBER(S106),IF(S106&gt;=0,MIN(S106,Constants!$B$22),""),""))</f>
        <v/>
      </c>
      <c r="AL106" s="87" t="str">
        <f aca="false">IF(ISBLANK($C106),"",IF(T106=Constants!$B$2,TRUE(),IF(T106=Constants!$B$3,FALSE(),FALSE())))</f>
        <v/>
      </c>
      <c r="AM106" s="86" t="str">
        <f aca="false">IF(ISBLANK($C106),"",AND($AB106,OR($AC106="",$AD106="",AND(NOT(ISBLANK($M106)),$AE106=""))))</f>
        <v/>
      </c>
      <c r="AN106" s="89" t="str">
        <f aca="false">IF($BD106&lt;&gt;Constants!$B$6,"",IF($AB106,Constants!$B$17*$AD106,Constants!$B$18))</f>
        <v/>
      </c>
      <c r="AO106" s="91" t="str">
        <f aca="false">IF($BD106&lt;&gt;Constants!$B$6,"",Constants!$B$19*IF($AB106,$AC106,0))</f>
        <v/>
      </c>
      <c r="AP106" s="91" t="str">
        <f aca="false">IF($BD106&lt;&gt;Constants!$B$6,"",IF(AND($AB106,ISNUMBER($AE106)),Constants!$B$20*(Constants!$B$21-$AE106),0))</f>
        <v/>
      </c>
      <c r="AQ106" s="91" t="str">
        <f aca="false">IF($BD106&lt;&gt;Constants!$B$6,"",IF($AA106,0,Constants!$B$12)+IF($Z106,0,Constants!$B$13)+IF($Y106,0,Constants!$B$14))</f>
        <v/>
      </c>
      <c r="AR106" s="92" t="str">
        <f aca="false">IF($BD106&lt;&gt;Constants!$B$6,"",Constants!$B$16+SUM($AN106:$AQ106))</f>
        <v/>
      </c>
      <c r="AS106" s="91" t="str">
        <f aca="false">IF($BD106&lt;&gt;Constants!$B$6,"",IF($AB106,$AD106,""))</f>
        <v/>
      </c>
      <c r="AT106" s="93" t="str">
        <f aca="false">IF($BD106&lt;&gt;Constants!$B$6,"",$AO106)</f>
        <v/>
      </c>
      <c r="AU106" s="87" t="str">
        <f aca="false">IF($BD106&lt;&gt;Constants!$B$6,"",IF(OR($BA106&lt;$AR106,AND($BA106=$AR106,OR(AND(ISNUMBER($BB106),OR(NOT(ISNUMBER($AS106)),$BB106&lt;$AS106)),AND(OR(AND($BB106="",$AS106=""),AND(ISNUMBER($BB106),ISNUMBER($AS106),$BB106=$AS106)),$BC106&lt;$AT106)))),"-&gt;","&lt;-"))</f>
        <v/>
      </c>
      <c r="AV106" s="86" t="str">
        <f aca="false">IF(ISBLANK($C106),"",AND($AH106,OR($AI106="",$AJ106="",AND(NOT(ISBLANK($S106)),$AK106=""))))</f>
        <v/>
      </c>
      <c r="AW106" s="89" t="str">
        <f aca="false">IF($BD106&lt;&gt;Constants!$B$6,"",IF($AH106,Constants!$B$17*$AJ106,Constants!$B$18))</f>
        <v/>
      </c>
      <c r="AX106" s="91" t="str">
        <f aca="false">IF($BD106&lt;&gt;Constants!$B$6,"",Constants!$B$19*IF($AH106,$AI106,0))</f>
        <v/>
      </c>
      <c r="AY106" s="91" t="str">
        <f aca="false">IF($BD106&lt;&gt;Constants!$B$6,"",IF(AND($AH106,ISNUMBER($AK106)),Constants!$B$20*(Constants!$B$21-$AK106),0))</f>
        <v/>
      </c>
      <c r="AZ106" s="91" t="str">
        <f aca="false">IF($BD106&lt;&gt;Constants!$B$6,"",IF($AG106,0,Constants!$B$12)+IF($AF106,0,Constants!$B$13)+IF($Y106,0,Constants!$B$14))</f>
        <v/>
      </c>
      <c r="BA106" s="92" t="str">
        <f aca="false">IF($BD106&lt;&gt;Constants!$B$6,"",Constants!$B$16+SUM($AW106:$AZ106))</f>
        <v/>
      </c>
      <c r="BB106" s="91" t="str">
        <f aca="false">IF($BD106&lt;&gt;Constants!$B$6,"",IF($AH106,$AJ106,""))</f>
        <v/>
      </c>
      <c r="BC106" s="93" t="str">
        <f aca="false">IF($BD106&lt;&gt;Constants!$B$6,"",$AX106)</f>
        <v/>
      </c>
      <c r="BD106" s="87" t="str">
        <f aca="false">IF(ISBLANK($C106),"",IF($AL106,Constants!$B$9,IF(COUNTA($E106:$T106)=0,Constants!$B$8,IF(NOT($X106),Constants!$B$7,IF(OR($AM106,$AV106),Constants!$B$10,Constants!$B$6)))))</f>
        <v/>
      </c>
      <c r="BE106" s="87" t="str">
        <f aca="false">IF(ISBLANK($C106),"",IF($BD106&lt;&gt;Constants!$B$6,$BD106,Constants!$B$11))</f>
        <v/>
      </c>
      <c r="BF106" s="91" t="str">
        <f aca="false">IF($BD106&lt;&gt;Constants!$B$6,"",IF($AU106="-&gt;",$BA106,$AR106))</f>
        <v/>
      </c>
      <c r="BG106" s="91" t="str">
        <f aca="false">IF($BD106&lt;&gt;Constants!$B$6,"",IF($W106,0,Constants!$B$15))</f>
        <v/>
      </c>
      <c r="BH106" s="91" t="str">
        <f aca="false">IF(ISBLANK($C106),"",IF($BD106&lt;&gt;Constants!$B$6,$BD106,SUM($BF106:$BG106)))</f>
        <v/>
      </c>
      <c r="BI106" s="87" t="str">
        <f aca="false">IF(ISBLANK($C106),"",IF($BD106&lt;&gt;Constants!$B$6,$BD106,RANK($BH106,$BH$9:$BH$508,1)))</f>
        <v/>
      </c>
      <c r="BJ106" s="91" t="str">
        <f aca="false">IF($BD106&lt;&gt;Constants!$B$6,"",IF($AU106="-&gt;",$BB106,$AS106))</f>
        <v/>
      </c>
      <c r="BK106" s="87" t="str">
        <f aca="false">IF(ISBLANK($C106),"",IF($BD106&lt;&gt;Constants!$B$6,$BD106,IF(ISNUMBER($BJ106),RANK($BJ106,$BJ$9:$BJ$508,1),COUNT($BJ$9:$BJ$508)+1)))</f>
        <v/>
      </c>
      <c r="BL106" s="91" t="str">
        <f aca="false">IF($BD106&lt;&gt;Constants!$B$6,"",IF($AU106="-&gt;",$BC106,$AT106))</f>
        <v/>
      </c>
      <c r="BM106" s="87" t="str">
        <f aca="false">IF(ISBLANK($C106),"",IF($BD106&lt;&gt;Constants!$B$6,$BD106,IF(ISNUMBER($BL106),RANK($BL106,$BL$9:$BL$508,1),COUNT($BL$9:$BL$508)+1)))</f>
        <v/>
      </c>
      <c r="BN106" s="91" t="str">
        <f aca="false">IF($BD106&lt;&gt;Constants!$B$6,"",IF($AU106="-&gt;",$AS106,$BB106))</f>
        <v/>
      </c>
      <c r="BO106" s="87" t="str">
        <f aca="false">IF(ISBLANK($C106),"",IF($BD106&lt;&gt;Constants!$B$6,$BD106,IF(ISNUMBER($BN106),RANK($BN106,$BN$9:$BN$508,1),COUNT($BN$9:$BN$508)+1)))</f>
        <v/>
      </c>
      <c r="BP106" s="91" t="str">
        <f aca="false">IF($BD106&lt;&gt;Constants!$B$6,"",IF($AU106="-&gt;",$AT106,$BC106))</f>
        <v/>
      </c>
      <c r="BQ106" s="87" t="str">
        <f aca="false">IF(ISBLANK($C106),"",IF($BD106&lt;&gt;Constants!$B$6,$BD106,IF(ISNUMBER($BP106),RANK($BP106,$BP$9:$BP$508,1),COUNT($BP$9:$BP$508)+1)))</f>
        <v/>
      </c>
      <c r="BR106" s="87" t="str">
        <f aca="false">IF(ISBLANK($C106),"",IF($BD106&lt;&gt;Constants!$B$6,$BD106,COUNTIFS($BI$9:$BI$508,"&lt;"&amp;$BI106)+COUNTIFS($BI$9:$BI$508,$BI106,$BK$9:$BK$508,"&lt;"&amp;$BK106)+COUNTIFS($BI$9:$BI$508,$BI106,$BK$9:$BK$508,$BK106,$BM$9:$BM$508,"&lt;"&amp;$BM106)+COUNTIFS($BI$9:$BI$508,$BI106,$BK$9:$BK$508,$BK106,$BM$9:$BM$508,$BM106,$BO$9:$BO$508,"&lt;"&amp;$BO106)+COUNTIFS($BI$9:$BI$508,$BI106,$BK$9:$BK$508,$BK106,$BM$9:$BM$508,$BM106,$BO$9:$BO$508,$BO106,$BQ$9:$BQ$508,"&lt;"&amp;$BQ106)+1))</f>
        <v/>
      </c>
      <c r="BS106" s="87" t="str">
        <f aca="false">IF(ISBLANK($C106),"",IF($BD106&lt;&gt;Constants!$B$6,$BD106,$BI106-$BR106))</f>
        <v/>
      </c>
      <c r="BT106" s="94"/>
      <c r="BU106" s="95"/>
      <c r="BV106" s="95" t="str">
        <f aca="false">IF(ISBLANK($C106),"",IF($BD106&lt;&gt;Constants!$B$6,"",IF($AU106="-&gt;",2,1)))</f>
        <v/>
      </c>
      <c r="BW106" s="96" t="str">
        <f aca="false">IF(ISBLANK($C106),"",IF($BD106&lt;&gt;Constants!$B$6,"",IF($AU106="-&gt;",$AW106,$AN106)))</f>
        <v/>
      </c>
      <c r="BX106" s="96" t="str">
        <f aca="false">IF(ISBLANK($C106),"",IF($BD106&lt;&gt;Constants!$B$6,"",IF($AU106="-&gt;",$AX106,$AO106)))</f>
        <v/>
      </c>
      <c r="BY106" s="96" t="str">
        <f aca="false">IF(ISBLANK($C106),"",IF($BD106&lt;&gt;Constants!$B$6,"",IF($AU106="-&gt;",$AY106,$AP106)))</f>
        <v/>
      </c>
      <c r="BZ106" s="96" t="str">
        <f aca="false">IF(ISBLANK($C106),"",IF($BD106&lt;&gt;Constants!$B$6,"",IF($AU106="-&gt;",$AZ106,$AQ106)+$BG106))</f>
        <v/>
      </c>
      <c r="CA106" s="97" t="str">
        <f aca="false">IF(ISBLANK($C106),"",IF($BD106&lt;&gt;Constants!$B$6,$BD106,$BH106))</f>
        <v/>
      </c>
      <c r="CB106" s="98" t="str">
        <f aca="false">IF(ISBLANK($C106),"",$BE106)</f>
        <v/>
      </c>
      <c r="CC106" s="99" t="str">
        <f aca="false">IF(ISBLANK($C106),"",$BS106)</f>
        <v/>
      </c>
      <c r="CD106" s="99" t="str">
        <f aca="false">IF(ISBLANK($C106),"",$BR106)</f>
        <v/>
      </c>
      <c r="CE106" s="100" t="str">
        <f aca="false">IF(ISBLANK($C106),"",IF($CD106=Constants!$B$9,COUNTA($C$9:$C$508)+2,IF($CD106=Constants!$B$8,COUNTA($C$9:$C$508)+1,IF($CD106=Constants!$B$7,COUNTA($C$9:$C$508),$CD106))))</f>
        <v/>
      </c>
      <c r="CF106" s="9"/>
      <c r="CG106" s="101" t="n">
        <f aca="false">IF(OR(ISNUMBER($CD106),$CD106=Constants!$B$9,$CD106=Constants!$B$7,$CD106=Constants!$B$8),1,0)</f>
        <v>0</v>
      </c>
      <c r="CH106" s="101" t="n">
        <v>98</v>
      </c>
      <c r="CI106" s="101" t="str">
        <f aca="false">IF(ISBLANK($C106),"",IF(ISNUMBER($CE106),$CE106+ROW($B106)/1000,""))</f>
        <v/>
      </c>
      <c r="CJ106" s="101" t="str">
        <f aca="false">IF(ISNUMBER($CI106),RANK($CI106,$CI$9:$CI$508,1),"")</f>
        <v/>
      </c>
      <c r="CK106" s="101" t="str">
        <f aca="false">IF(ISBLANK($C106),"",$B106)</f>
        <v/>
      </c>
      <c r="CL106" s="101" t="str">
        <f aca="false">IF(ISBLANK($C106),"",$C106)</f>
        <v/>
      </c>
      <c r="CM106" s="101" t="str">
        <f aca="false">IF(ISBLANK($C106),"",$D106)</f>
        <v/>
      </c>
      <c r="CN106" s="102" t="str">
        <f aca="false">$CB106</f>
        <v/>
      </c>
      <c r="CO106" s="103" t="str">
        <f aca="false">$CA106</f>
        <v/>
      </c>
      <c r="CP106" s="101" t="str">
        <f aca="false">IF(ISBLANK($C106),"",$CD106)</f>
        <v/>
      </c>
      <c r="CQ106" s="104" t="str">
        <f aca="false">IF($CH106&gt;$CG$8,"",VLOOKUP($CH106,$CJ$9:$CP$508,7,FALSE()))</f>
        <v/>
      </c>
      <c r="CR106" s="105" t="str">
        <f aca="false">IF($CH106&gt;$CG$8,"",VLOOKUP($CH106,$CJ$9:$CP$508,2,FALSE()))</f>
        <v/>
      </c>
      <c r="CS106" s="105" t="str">
        <f aca="false">IF($CH106&gt;$CG$8,"",VLOOKUP($CH106,$CJ$9:$CP$508,3,FALSE()))</f>
        <v/>
      </c>
      <c r="CT106" s="105" t="str">
        <f aca="false">IF($CH106&gt;$CG$8,"",VLOOKUP($CH106,$CJ$9:$CP$508,4,FALSE()))</f>
        <v/>
      </c>
      <c r="CU106" s="105" t="str">
        <f aca="false">IF($CH106&gt;$CG$8,"",VLOOKUP($CH106,$CJ$9:$CP$508,5,FALSE()))</f>
        <v/>
      </c>
      <c r="CV106" s="106" t="str">
        <f aca="false">IF($CH106&gt;$CG$8,"",VLOOKUP($CH106,$CJ$9:$CP$508,6,FALSE()))</f>
        <v/>
      </c>
      <c r="CW106" s="71"/>
    </row>
    <row r="107" customFormat="false" ht="15.75" hidden="false" customHeight="false" outlineLevel="0" collapsed="false">
      <c r="A107" s="9"/>
      <c r="B107" s="72"/>
      <c r="C107" s="73"/>
      <c r="D107" s="160"/>
      <c r="E107" s="168"/>
      <c r="F107" s="162"/>
      <c r="G107" s="163"/>
      <c r="H107" s="169"/>
      <c r="I107" s="167"/>
      <c r="J107" s="80"/>
      <c r="K107" s="81"/>
      <c r="L107" s="82"/>
      <c r="M107" s="166"/>
      <c r="N107" s="167"/>
      <c r="O107" s="167"/>
      <c r="P107" s="80"/>
      <c r="Q107" s="82"/>
      <c r="R107" s="82"/>
      <c r="S107" s="166"/>
      <c r="T107" s="167"/>
      <c r="U107" s="86"/>
      <c r="V107" s="87"/>
      <c r="W107" s="87" t="str">
        <f aca="false">IF(ISBLANK($C107),"",IF(E107=Constants!$B$2,TRUE(),IF(E107=Constants!$B$3,FALSE(),TRUE())))</f>
        <v/>
      </c>
      <c r="X107" s="87" t="str">
        <f aca="false">IF(ISBLANK($C107),"",IF(F107=Constants!$B$2,TRUE(),IF(F107=Constants!$B$3,FALSE(),TRUE())))</f>
        <v/>
      </c>
      <c r="Y107" s="87" t="str">
        <f aca="false">IF(ISBLANK($C107),"",IF(G107=Constants!$B$2,TRUE(),IF(G107=Constants!$B$3,FALSE(),TRUE())))</f>
        <v/>
      </c>
      <c r="Z107" s="87" t="str">
        <f aca="false">IF(ISBLANK($C107),"",IF(H107=Constants!$B$2,TRUE(),IF(H107=Constants!$B$3,FALSE(),TRUE())))</f>
        <v/>
      </c>
      <c r="AA107" s="87" t="str">
        <f aca="false">IF(ISBLANK($C107),"",IF(I107=Constants!$B$2,TRUE(),IF(I107=Constants!$B$3,FALSE(),TRUE())))</f>
        <v/>
      </c>
      <c r="AB107" s="87" t="str">
        <f aca="false">IF(ISBLANK($C107),"",IF(J107=Constants!$B$4,TRUE(),IF(J107=Constants!$B$5,FALSE(),COUNTA(K107:M107)&gt;0)))</f>
        <v/>
      </c>
      <c r="AC107" s="88" t="str">
        <f aca="false">IF(ISBLANK($C107),"",IF(ISNUMBER(K107),IF(K107&gt;=0,K107,""),""))</f>
        <v/>
      </c>
      <c r="AD107" s="89" t="str">
        <f aca="false">IF(ISBLANK($C107),"",IF(ISNUMBER(L107),IF(L107&gt;=0,L107,""),""))</f>
        <v/>
      </c>
      <c r="AE107" s="87" t="str">
        <f aca="false">IF(ISBLANK($C107),"",IF(ISNUMBER(M107),IF(M107&gt;=0,MIN(M107,Constants!$B$22),""),""))</f>
        <v/>
      </c>
      <c r="AF107" s="87" t="str">
        <f aca="false">IF(ISBLANK($C107),"",IF(N107=Constants!$B$2,TRUE(),IF(N107=Constants!$B$3,FALSE(),TRUE())))</f>
        <v/>
      </c>
      <c r="AG107" s="87" t="str">
        <f aca="false">IF(ISBLANK($C107),"",IF(O107=Constants!$B$2,TRUE(),IF(O107=Constants!$B$3,FALSE(),TRUE())))</f>
        <v/>
      </c>
      <c r="AH107" s="87" t="str">
        <f aca="false">IF(ISBLANK($C107),"",IF(P107=Constants!$B$4,TRUE(),IF(P107=Constants!$B$5,FALSE(),COUNTA(Q107:S107)&gt;0)))</f>
        <v/>
      </c>
      <c r="AI107" s="88" t="str">
        <f aca="false">IF(ISBLANK($C107),"",IF(ISNUMBER(Q107),IF(Q107&gt;=0,Q107,""),""))</f>
        <v/>
      </c>
      <c r="AJ107" s="89" t="str">
        <f aca="false">IF(ISBLANK($C107),"",IF(ISNUMBER(R107),IF(R107&gt;=0,R107,""),""))</f>
        <v/>
      </c>
      <c r="AK107" s="87" t="str">
        <f aca="false">IF(ISBLANK($C107),"",IF(ISNUMBER(S107),IF(S107&gt;=0,MIN(S107,Constants!$B$22),""),""))</f>
        <v/>
      </c>
      <c r="AL107" s="87" t="str">
        <f aca="false">IF(ISBLANK($C107),"",IF(T107=Constants!$B$2,TRUE(),IF(T107=Constants!$B$3,FALSE(),FALSE())))</f>
        <v/>
      </c>
      <c r="AM107" s="86" t="str">
        <f aca="false">IF(ISBLANK($C107),"",AND($AB107,OR($AC107="",$AD107="",AND(NOT(ISBLANK($M107)),$AE107=""))))</f>
        <v/>
      </c>
      <c r="AN107" s="89" t="str">
        <f aca="false">IF($BD107&lt;&gt;Constants!$B$6,"",IF($AB107,Constants!$B$17*$AD107,Constants!$B$18))</f>
        <v/>
      </c>
      <c r="AO107" s="91" t="str">
        <f aca="false">IF($BD107&lt;&gt;Constants!$B$6,"",Constants!$B$19*IF($AB107,$AC107,0))</f>
        <v/>
      </c>
      <c r="AP107" s="91" t="str">
        <f aca="false">IF($BD107&lt;&gt;Constants!$B$6,"",IF(AND($AB107,ISNUMBER($AE107)),Constants!$B$20*(Constants!$B$21-$AE107),0))</f>
        <v/>
      </c>
      <c r="AQ107" s="91" t="str">
        <f aca="false">IF($BD107&lt;&gt;Constants!$B$6,"",IF($AA107,0,Constants!$B$12)+IF($Z107,0,Constants!$B$13)+IF($Y107,0,Constants!$B$14))</f>
        <v/>
      </c>
      <c r="AR107" s="92" t="str">
        <f aca="false">IF($BD107&lt;&gt;Constants!$B$6,"",Constants!$B$16+SUM($AN107:$AQ107))</f>
        <v/>
      </c>
      <c r="AS107" s="91" t="str">
        <f aca="false">IF($BD107&lt;&gt;Constants!$B$6,"",IF($AB107,$AD107,""))</f>
        <v/>
      </c>
      <c r="AT107" s="93" t="str">
        <f aca="false">IF($BD107&lt;&gt;Constants!$B$6,"",$AO107)</f>
        <v/>
      </c>
      <c r="AU107" s="87" t="str">
        <f aca="false">IF($BD107&lt;&gt;Constants!$B$6,"",IF(OR($BA107&lt;$AR107,AND($BA107=$AR107,OR(AND(ISNUMBER($BB107),OR(NOT(ISNUMBER($AS107)),$BB107&lt;$AS107)),AND(OR(AND($BB107="",$AS107=""),AND(ISNUMBER($BB107),ISNUMBER($AS107),$BB107=$AS107)),$BC107&lt;$AT107)))),"-&gt;","&lt;-"))</f>
        <v/>
      </c>
      <c r="AV107" s="86" t="str">
        <f aca="false">IF(ISBLANK($C107),"",AND($AH107,OR($AI107="",$AJ107="",AND(NOT(ISBLANK($S107)),$AK107=""))))</f>
        <v/>
      </c>
      <c r="AW107" s="89" t="str">
        <f aca="false">IF($BD107&lt;&gt;Constants!$B$6,"",IF($AH107,Constants!$B$17*$AJ107,Constants!$B$18))</f>
        <v/>
      </c>
      <c r="AX107" s="91" t="str">
        <f aca="false">IF($BD107&lt;&gt;Constants!$B$6,"",Constants!$B$19*IF($AH107,$AI107,0))</f>
        <v/>
      </c>
      <c r="AY107" s="91" t="str">
        <f aca="false">IF($BD107&lt;&gt;Constants!$B$6,"",IF(AND($AH107,ISNUMBER($AK107)),Constants!$B$20*(Constants!$B$21-$AK107),0))</f>
        <v/>
      </c>
      <c r="AZ107" s="91" t="str">
        <f aca="false">IF($BD107&lt;&gt;Constants!$B$6,"",IF($AG107,0,Constants!$B$12)+IF($AF107,0,Constants!$B$13)+IF($Y107,0,Constants!$B$14))</f>
        <v/>
      </c>
      <c r="BA107" s="92" t="str">
        <f aca="false">IF($BD107&lt;&gt;Constants!$B$6,"",Constants!$B$16+SUM($AW107:$AZ107))</f>
        <v/>
      </c>
      <c r="BB107" s="91" t="str">
        <f aca="false">IF($BD107&lt;&gt;Constants!$B$6,"",IF($AH107,$AJ107,""))</f>
        <v/>
      </c>
      <c r="BC107" s="93" t="str">
        <f aca="false">IF($BD107&lt;&gt;Constants!$B$6,"",$AX107)</f>
        <v/>
      </c>
      <c r="BD107" s="87" t="str">
        <f aca="false">IF(ISBLANK($C107),"",IF($AL107,Constants!$B$9,IF(COUNTA($E107:$T107)=0,Constants!$B$8,IF(NOT($X107),Constants!$B$7,IF(OR($AM107,$AV107),Constants!$B$10,Constants!$B$6)))))</f>
        <v/>
      </c>
      <c r="BE107" s="87" t="str">
        <f aca="false">IF(ISBLANK($C107),"",IF($BD107&lt;&gt;Constants!$B$6,$BD107,Constants!$B$11))</f>
        <v/>
      </c>
      <c r="BF107" s="91" t="str">
        <f aca="false">IF($BD107&lt;&gt;Constants!$B$6,"",IF($AU107="-&gt;",$BA107,$AR107))</f>
        <v/>
      </c>
      <c r="BG107" s="91" t="str">
        <f aca="false">IF($BD107&lt;&gt;Constants!$B$6,"",IF($W107,0,Constants!$B$15))</f>
        <v/>
      </c>
      <c r="BH107" s="91" t="str">
        <f aca="false">IF(ISBLANK($C107),"",IF($BD107&lt;&gt;Constants!$B$6,$BD107,SUM($BF107:$BG107)))</f>
        <v/>
      </c>
      <c r="BI107" s="87" t="str">
        <f aca="false">IF(ISBLANK($C107),"",IF($BD107&lt;&gt;Constants!$B$6,$BD107,RANK($BH107,$BH$9:$BH$508,1)))</f>
        <v/>
      </c>
      <c r="BJ107" s="91" t="str">
        <f aca="false">IF($BD107&lt;&gt;Constants!$B$6,"",IF($AU107="-&gt;",$BB107,$AS107))</f>
        <v/>
      </c>
      <c r="BK107" s="87" t="str">
        <f aca="false">IF(ISBLANK($C107),"",IF($BD107&lt;&gt;Constants!$B$6,$BD107,IF(ISNUMBER($BJ107),RANK($BJ107,$BJ$9:$BJ$508,1),COUNT($BJ$9:$BJ$508)+1)))</f>
        <v/>
      </c>
      <c r="BL107" s="91" t="str">
        <f aca="false">IF($BD107&lt;&gt;Constants!$B$6,"",IF($AU107="-&gt;",$BC107,$AT107))</f>
        <v/>
      </c>
      <c r="BM107" s="87" t="str">
        <f aca="false">IF(ISBLANK($C107),"",IF($BD107&lt;&gt;Constants!$B$6,$BD107,IF(ISNUMBER($BL107),RANK($BL107,$BL$9:$BL$508,1),COUNT($BL$9:$BL$508)+1)))</f>
        <v/>
      </c>
      <c r="BN107" s="91" t="str">
        <f aca="false">IF($BD107&lt;&gt;Constants!$B$6,"",IF($AU107="-&gt;",$AS107,$BB107))</f>
        <v/>
      </c>
      <c r="BO107" s="87" t="str">
        <f aca="false">IF(ISBLANK($C107),"",IF($BD107&lt;&gt;Constants!$B$6,$BD107,IF(ISNUMBER($BN107),RANK($BN107,$BN$9:$BN$508,1),COUNT($BN$9:$BN$508)+1)))</f>
        <v/>
      </c>
      <c r="BP107" s="91" t="str">
        <f aca="false">IF($BD107&lt;&gt;Constants!$B$6,"",IF($AU107="-&gt;",$AT107,$BC107))</f>
        <v/>
      </c>
      <c r="BQ107" s="87" t="str">
        <f aca="false">IF(ISBLANK($C107),"",IF($BD107&lt;&gt;Constants!$B$6,$BD107,IF(ISNUMBER($BP107),RANK($BP107,$BP$9:$BP$508,1),COUNT($BP$9:$BP$508)+1)))</f>
        <v/>
      </c>
      <c r="BR107" s="87" t="str">
        <f aca="false">IF(ISBLANK($C107),"",IF($BD107&lt;&gt;Constants!$B$6,$BD107,COUNTIFS($BI$9:$BI$508,"&lt;"&amp;$BI107)+COUNTIFS($BI$9:$BI$508,$BI107,$BK$9:$BK$508,"&lt;"&amp;$BK107)+COUNTIFS($BI$9:$BI$508,$BI107,$BK$9:$BK$508,$BK107,$BM$9:$BM$508,"&lt;"&amp;$BM107)+COUNTIFS($BI$9:$BI$508,$BI107,$BK$9:$BK$508,$BK107,$BM$9:$BM$508,$BM107,$BO$9:$BO$508,"&lt;"&amp;$BO107)+COUNTIFS($BI$9:$BI$508,$BI107,$BK$9:$BK$508,$BK107,$BM$9:$BM$508,$BM107,$BO$9:$BO$508,$BO107,$BQ$9:$BQ$508,"&lt;"&amp;$BQ107)+1))</f>
        <v/>
      </c>
      <c r="BS107" s="87" t="str">
        <f aca="false">IF(ISBLANK($C107),"",IF($BD107&lt;&gt;Constants!$B$6,$BD107,$BI107-$BR107))</f>
        <v/>
      </c>
      <c r="BT107" s="94"/>
      <c r="BU107" s="95"/>
      <c r="BV107" s="95" t="str">
        <f aca="false">IF(ISBLANK($C107),"",IF($BD107&lt;&gt;Constants!$B$6,"",IF($AU107="-&gt;",2,1)))</f>
        <v/>
      </c>
      <c r="BW107" s="96" t="str">
        <f aca="false">IF(ISBLANK($C107),"",IF($BD107&lt;&gt;Constants!$B$6,"",IF($AU107="-&gt;",$AW107,$AN107)))</f>
        <v/>
      </c>
      <c r="BX107" s="96" t="str">
        <f aca="false">IF(ISBLANK($C107),"",IF($BD107&lt;&gt;Constants!$B$6,"",IF($AU107="-&gt;",$AX107,$AO107)))</f>
        <v/>
      </c>
      <c r="BY107" s="96" t="str">
        <f aca="false">IF(ISBLANK($C107),"",IF($BD107&lt;&gt;Constants!$B$6,"",IF($AU107="-&gt;",$AY107,$AP107)))</f>
        <v/>
      </c>
      <c r="BZ107" s="96" t="str">
        <f aca="false">IF(ISBLANK($C107),"",IF($BD107&lt;&gt;Constants!$B$6,"",IF($AU107="-&gt;",$AZ107,$AQ107)+$BG107))</f>
        <v/>
      </c>
      <c r="CA107" s="97" t="str">
        <f aca="false">IF(ISBLANK($C107),"",IF($BD107&lt;&gt;Constants!$B$6,$BD107,$BH107))</f>
        <v/>
      </c>
      <c r="CB107" s="98" t="str">
        <f aca="false">IF(ISBLANK($C107),"",$BE107)</f>
        <v/>
      </c>
      <c r="CC107" s="99" t="str">
        <f aca="false">IF(ISBLANK($C107),"",$BS107)</f>
        <v/>
      </c>
      <c r="CD107" s="99" t="str">
        <f aca="false">IF(ISBLANK($C107),"",$BR107)</f>
        <v/>
      </c>
      <c r="CE107" s="100" t="str">
        <f aca="false">IF(ISBLANK($C107),"",IF($CD107=Constants!$B$9,COUNTA($C$9:$C$508)+2,IF($CD107=Constants!$B$8,COUNTA($C$9:$C$508)+1,IF($CD107=Constants!$B$7,COUNTA($C$9:$C$508),$CD107))))</f>
        <v/>
      </c>
      <c r="CF107" s="9"/>
      <c r="CG107" s="101" t="n">
        <f aca="false">IF(OR(ISNUMBER($CD107),$CD107=Constants!$B$9,$CD107=Constants!$B$7,$CD107=Constants!$B$8),1,0)</f>
        <v>0</v>
      </c>
      <c r="CH107" s="101" t="n">
        <v>99</v>
      </c>
      <c r="CI107" s="101" t="str">
        <f aca="false">IF(ISBLANK($C107),"",IF(ISNUMBER($CE107),$CE107+ROW($B107)/1000,""))</f>
        <v/>
      </c>
      <c r="CJ107" s="101" t="str">
        <f aca="false">IF(ISNUMBER($CI107),RANK($CI107,$CI$9:$CI$508,1),"")</f>
        <v/>
      </c>
      <c r="CK107" s="101" t="str">
        <f aca="false">IF(ISBLANK($C107),"",$B107)</f>
        <v/>
      </c>
      <c r="CL107" s="101" t="str">
        <f aca="false">IF(ISBLANK($C107),"",$C107)</f>
        <v/>
      </c>
      <c r="CM107" s="101" t="str">
        <f aca="false">IF(ISBLANK($C107),"",$D107)</f>
        <v/>
      </c>
      <c r="CN107" s="102" t="str">
        <f aca="false">$CB107</f>
        <v/>
      </c>
      <c r="CO107" s="103" t="str">
        <f aca="false">$CA107</f>
        <v/>
      </c>
      <c r="CP107" s="101" t="str">
        <f aca="false">IF(ISBLANK($C107),"",$CD107)</f>
        <v/>
      </c>
      <c r="CQ107" s="104" t="str">
        <f aca="false">IF($CH107&gt;$CG$8,"",VLOOKUP($CH107,$CJ$9:$CP$508,7,FALSE()))</f>
        <v/>
      </c>
      <c r="CR107" s="105" t="str">
        <f aca="false">IF($CH107&gt;$CG$8,"",VLOOKUP($CH107,$CJ$9:$CP$508,2,FALSE()))</f>
        <v/>
      </c>
      <c r="CS107" s="105" t="str">
        <f aca="false">IF($CH107&gt;$CG$8,"",VLOOKUP($CH107,$CJ$9:$CP$508,3,FALSE()))</f>
        <v/>
      </c>
      <c r="CT107" s="105" t="str">
        <f aca="false">IF($CH107&gt;$CG$8,"",VLOOKUP($CH107,$CJ$9:$CP$508,4,FALSE()))</f>
        <v/>
      </c>
      <c r="CU107" s="105" t="str">
        <f aca="false">IF($CH107&gt;$CG$8,"",VLOOKUP($CH107,$CJ$9:$CP$508,5,FALSE()))</f>
        <v/>
      </c>
      <c r="CV107" s="106" t="str">
        <f aca="false">IF($CH107&gt;$CG$8,"",VLOOKUP($CH107,$CJ$9:$CP$508,6,FALSE()))</f>
        <v/>
      </c>
      <c r="CW107" s="71"/>
    </row>
    <row r="108" customFormat="false" ht="15.75" hidden="false" customHeight="false" outlineLevel="0" collapsed="false">
      <c r="A108" s="9"/>
      <c r="B108" s="150"/>
      <c r="C108" s="151"/>
      <c r="D108" s="152"/>
      <c r="E108" s="170"/>
      <c r="F108" s="154"/>
      <c r="G108" s="155"/>
      <c r="H108" s="171"/>
      <c r="I108" s="159"/>
      <c r="J108" s="120"/>
      <c r="K108" s="121"/>
      <c r="L108" s="122"/>
      <c r="M108" s="158"/>
      <c r="N108" s="159"/>
      <c r="O108" s="159"/>
      <c r="P108" s="120"/>
      <c r="Q108" s="122"/>
      <c r="R108" s="122"/>
      <c r="S108" s="158"/>
      <c r="T108" s="159"/>
      <c r="U108" s="126"/>
      <c r="V108" s="127"/>
      <c r="W108" s="127" t="str">
        <f aca="false">IF(ISBLANK($C108),"",IF(E108=Constants!$B$2,TRUE(),IF(E108=Constants!$B$3,FALSE(),TRUE())))</f>
        <v/>
      </c>
      <c r="X108" s="127" t="str">
        <f aca="false">IF(ISBLANK($C108),"",IF(F108=Constants!$B$2,TRUE(),IF(F108=Constants!$B$3,FALSE(),TRUE())))</f>
        <v/>
      </c>
      <c r="Y108" s="127" t="str">
        <f aca="false">IF(ISBLANK($C108),"",IF(G108=Constants!$B$2,TRUE(),IF(G108=Constants!$B$3,FALSE(),TRUE())))</f>
        <v/>
      </c>
      <c r="Z108" s="127" t="str">
        <f aca="false">IF(ISBLANK($C108),"",IF(H108=Constants!$B$2,TRUE(),IF(H108=Constants!$B$3,FALSE(),TRUE())))</f>
        <v/>
      </c>
      <c r="AA108" s="127" t="str">
        <f aca="false">IF(ISBLANK($C108),"",IF(I108=Constants!$B$2,TRUE(),IF(I108=Constants!$B$3,FALSE(),TRUE())))</f>
        <v/>
      </c>
      <c r="AB108" s="127" t="str">
        <f aca="false">IF(ISBLANK($C108),"",IF(J108=Constants!$B$4,TRUE(),IF(J108=Constants!$B$5,FALSE(),COUNTA(K108:M108)&gt;0)))</f>
        <v/>
      </c>
      <c r="AC108" s="128" t="str">
        <f aca="false">IF(ISBLANK($C108),"",IF(ISNUMBER(K108),IF(K108&gt;=0,K108,""),""))</f>
        <v/>
      </c>
      <c r="AD108" s="129" t="str">
        <f aca="false">IF(ISBLANK($C108),"",IF(ISNUMBER(L108),IF(L108&gt;=0,L108,""),""))</f>
        <v/>
      </c>
      <c r="AE108" s="127" t="str">
        <f aca="false">IF(ISBLANK($C108),"",IF(ISNUMBER(M108),IF(M108&gt;=0,MIN(M108,Constants!$B$22),""),""))</f>
        <v/>
      </c>
      <c r="AF108" s="127" t="str">
        <f aca="false">IF(ISBLANK($C108),"",IF(N108=Constants!$B$2,TRUE(),IF(N108=Constants!$B$3,FALSE(),TRUE())))</f>
        <v/>
      </c>
      <c r="AG108" s="127" t="str">
        <f aca="false">IF(ISBLANK($C108),"",IF(O108=Constants!$B$2,TRUE(),IF(O108=Constants!$B$3,FALSE(),TRUE())))</f>
        <v/>
      </c>
      <c r="AH108" s="127" t="str">
        <f aca="false">IF(ISBLANK($C108),"",IF(P108=Constants!$B$4,TRUE(),IF(P108=Constants!$B$5,FALSE(),COUNTA(Q108:S108)&gt;0)))</f>
        <v/>
      </c>
      <c r="AI108" s="128" t="str">
        <f aca="false">IF(ISBLANK($C108),"",IF(ISNUMBER(Q108),IF(Q108&gt;=0,Q108,""),""))</f>
        <v/>
      </c>
      <c r="AJ108" s="129" t="str">
        <f aca="false">IF(ISBLANK($C108),"",IF(ISNUMBER(R108),IF(R108&gt;=0,R108,""),""))</f>
        <v/>
      </c>
      <c r="AK108" s="127" t="str">
        <f aca="false">IF(ISBLANK($C108),"",IF(ISNUMBER(S108),IF(S108&gt;=0,MIN(S108,Constants!$B$22),""),""))</f>
        <v/>
      </c>
      <c r="AL108" s="127" t="str">
        <f aca="false">IF(ISBLANK($C108),"",IF(T108=Constants!$B$2,TRUE(),IF(T108=Constants!$B$3,FALSE(),FALSE())))</f>
        <v/>
      </c>
      <c r="AM108" s="126" t="str">
        <f aca="false">IF(ISBLANK($C108),"",AND($AB108,OR($AC108="",$AD108="",AND(NOT(ISBLANK($M108)),$AE108=""))))</f>
        <v/>
      </c>
      <c r="AN108" s="129" t="str">
        <f aca="false">IF($BD108&lt;&gt;Constants!$B$6,"",IF($AB108,Constants!$B$17*$AD108,Constants!$B$18))</f>
        <v/>
      </c>
      <c r="AO108" s="130" t="str">
        <f aca="false">IF($BD108&lt;&gt;Constants!$B$6,"",Constants!$B$19*IF($AB108,$AC108,0))</f>
        <v/>
      </c>
      <c r="AP108" s="130" t="str">
        <f aca="false">IF($BD108&lt;&gt;Constants!$B$6,"",IF(AND($AB108,ISNUMBER($AE108)),Constants!$B$20*(Constants!$B$21-$AE108),0))</f>
        <v/>
      </c>
      <c r="AQ108" s="130" t="str">
        <f aca="false">IF($BD108&lt;&gt;Constants!$B$6,"",IF($AA108,0,Constants!$B$12)+IF($Z108,0,Constants!$B$13)+IF($Y108,0,Constants!$B$14))</f>
        <v/>
      </c>
      <c r="AR108" s="131" t="str">
        <f aca="false">IF($BD108&lt;&gt;Constants!$B$6,"",Constants!$B$16+SUM($AN108:$AQ108))</f>
        <v/>
      </c>
      <c r="AS108" s="130" t="str">
        <f aca="false">IF($BD108&lt;&gt;Constants!$B$6,"",IF($AB108,$AD108,""))</f>
        <v/>
      </c>
      <c r="AT108" s="132" t="str">
        <f aca="false">IF($BD108&lt;&gt;Constants!$B$6,"",$AO108)</f>
        <v/>
      </c>
      <c r="AU108" s="127" t="str">
        <f aca="false">IF($BD108&lt;&gt;Constants!$B$6,"",IF(OR($BA108&lt;$AR108,AND($BA108=$AR108,OR(AND(ISNUMBER($BB108),OR(NOT(ISNUMBER($AS108)),$BB108&lt;$AS108)),AND(OR(AND($BB108="",$AS108=""),AND(ISNUMBER($BB108),ISNUMBER($AS108),$BB108=$AS108)),$BC108&lt;$AT108)))),"-&gt;","&lt;-"))</f>
        <v/>
      </c>
      <c r="AV108" s="126" t="str">
        <f aca="false">IF(ISBLANK($C108),"",AND($AH108,OR($AI108="",$AJ108="",AND(NOT(ISBLANK($S108)),$AK108=""))))</f>
        <v/>
      </c>
      <c r="AW108" s="129" t="str">
        <f aca="false">IF($BD108&lt;&gt;Constants!$B$6,"",IF($AH108,Constants!$B$17*$AJ108,Constants!$B$18))</f>
        <v/>
      </c>
      <c r="AX108" s="130" t="str">
        <f aca="false">IF($BD108&lt;&gt;Constants!$B$6,"",Constants!$B$19*IF($AH108,$AI108,0))</f>
        <v/>
      </c>
      <c r="AY108" s="130" t="str">
        <f aca="false">IF($BD108&lt;&gt;Constants!$B$6,"",IF(AND($AH108,ISNUMBER($AK108)),Constants!$B$20*(Constants!$B$21-$AK108),0))</f>
        <v/>
      </c>
      <c r="AZ108" s="130" t="str">
        <f aca="false">IF($BD108&lt;&gt;Constants!$B$6,"",IF($AG108,0,Constants!$B$12)+IF($AF108,0,Constants!$B$13)+IF($Y108,0,Constants!$B$14))</f>
        <v/>
      </c>
      <c r="BA108" s="131" t="str">
        <f aca="false">IF($BD108&lt;&gt;Constants!$B$6,"",Constants!$B$16+SUM($AW108:$AZ108))</f>
        <v/>
      </c>
      <c r="BB108" s="130" t="str">
        <f aca="false">IF($BD108&lt;&gt;Constants!$B$6,"",IF($AH108,$AJ108,""))</f>
        <v/>
      </c>
      <c r="BC108" s="132" t="str">
        <f aca="false">IF($BD108&lt;&gt;Constants!$B$6,"",$AX108)</f>
        <v/>
      </c>
      <c r="BD108" s="127" t="str">
        <f aca="false">IF(ISBLANK($C108),"",IF($AL108,Constants!$B$9,IF(COUNTA($E108:$T108)=0,Constants!$B$8,IF(NOT($X108),Constants!$B$7,IF(OR($AM108,$AV108),Constants!$B$10,Constants!$B$6)))))</f>
        <v/>
      </c>
      <c r="BE108" s="127" t="str">
        <f aca="false">IF(ISBLANK($C108),"",IF($BD108&lt;&gt;Constants!$B$6,$BD108,Constants!$B$11))</f>
        <v/>
      </c>
      <c r="BF108" s="130" t="str">
        <f aca="false">IF($BD108&lt;&gt;Constants!$B$6,"",IF($AU108="-&gt;",$BA108,$AR108))</f>
        <v/>
      </c>
      <c r="BG108" s="130" t="str">
        <f aca="false">IF($BD108&lt;&gt;Constants!$B$6,"",IF($W108,0,Constants!$B$15))</f>
        <v/>
      </c>
      <c r="BH108" s="130" t="str">
        <f aca="false">IF(ISBLANK($C108),"",IF($BD108&lt;&gt;Constants!$B$6,$BD108,SUM($BF108:$BG108)))</f>
        <v/>
      </c>
      <c r="BI108" s="127" t="str">
        <f aca="false">IF(ISBLANK($C108),"",IF($BD108&lt;&gt;Constants!$B$6,$BD108,RANK($BH108,$BH$9:$BH$508,1)))</f>
        <v/>
      </c>
      <c r="BJ108" s="130" t="str">
        <f aca="false">IF($BD108&lt;&gt;Constants!$B$6,"",IF($AU108="-&gt;",$BB108,$AS108))</f>
        <v/>
      </c>
      <c r="BK108" s="127" t="str">
        <f aca="false">IF(ISBLANK($C108),"",IF($BD108&lt;&gt;Constants!$B$6,$BD108,IF(ISNUMBER($BJ108),RANK($BJ108,$BJ$9:$BJ$508,1),COUNT($BJ$9:$BJ$508)+1)))</f>
        <v/>
      </c>
      <c r="BL108" s="130" t="str">
        <f aca="false">IF($BD108&lt;&gt;Constants!$B$6,"",IF($AU108="-&gt;",$BC108,$AT108))</f>
        <v/>
      </c>
      <c r="BM108" s="127" t="str">
        <f aca="false">IF(ISBLANK($C108),"",IF($BD108&lt;&gt;Constants!$B$6,$BD108,IF(ISNUMBER($BL108),RANK($BL108,$BL$9:$BL$508,1),COUNT($BL$9:$BL$508)+1)))</f>
        <v/>
      </c>
      <c r="BN108" s="130" t="str">
        <f aca="false">IF($BD108&lt;&gt;Constants!$B$6,"",IF($AU108="-&gt;",$AS108,$BB108))</f>
        <v/>
      </c>
      <c r="BO108" s="127" t="str">
        <f aca="false">IF(ISBLANK($C108),"",IF($BD108&lt;&gt;Constants!$B$6,$BD108,IF(ISNUMBER($BN108),RANK($BN108,$BN$9:$BN$508,1),COUNT($BN$9:$BN$508)+1)))</f>
        <v/>
      </c>
      <c r="BP108" s="130" t="str">
        <f aca="false">IF($BD108&lt;&gt;Constants!$B$6,"",IF($AU108="-&gt;",$AT108,$BC108))</f>
        <v/>
      </c>
      <c r="BQ108" s="127" t="str">
        <f aca="false">IF(ISBLANK($C108),"",IF($BD108&lt;&gt;Constants!$B$6,$BD108,IF(ISNUMBER($BP108),RANK($BP108,$BP$9:$BP$508,1),COUNT($BP$9:$BP$508)+1)))</f>
        <v/>
      </c>
      <c r="BR108" s="127" t="str">
        <f aca="false">IF(ISBLANK($C108),"",IF($BD108&lt;&gt;Constants!$B$6,$BD108,COUNTIFS($BI$9:$BI$508,"&lt;"&amp;$BI108)+COUNTIFS($BI$9:$BI$508,$BI108,$BK$9:$BK$508,"&lt;"&amp;$BK108)+COUNTIFS($BI$9:$BI$508,$BI108,$BK$9:$BK$508,$BK108,$BM$9:$BM$508,"&lt;"&amp;$BM108)+COUNTIFS($BI$9:$BI$508,$BI108,$BK$9:$BK$508,$BK108,$BM$9:$BM$508,$BM108,$BO$9:$BO$508,"&lt;"&amp;$BO108)+COUNTIFS($BI$9:$BI$508,$BI108,$BK$9:$BK$508,$BK108,$BM$9:$BM$508,$BM108,$BO$9:$BO$508,$BO108,$BQ$9:$BQ$508,"&lt;"&amp;$BQ108)+1))</f>
        <v/>
      </c>
      <c r="BS108" s="127" t="str">
        <f aca="false">IF(ISBLANK($C108),"",IF($BD108&lt;&gt;Constants!$B$6,$BD108,$BI108-$BR108))</f>
        <v/>
      </c>
      <c r="BT108" s="133"/>
      <c r="BU108" s="134"/>
      <c r="BV108" s="134" t="str">
        <f aca="false">IF(ISBLANK($C108),"",IF($BD108&lt;&gt;Constants!$B$6,"",IF($AU108="-&gt;",2,1)))</f>
        <v/>
      </c>
      <c r="BW108" s="135" t="str">
        <f aca="false">IF(ISBLANK($C108),"",IF($BD108&lt;&gt;Constants!$B$6,"",IF($AU108="-&gt;",$AW108,$AN108)))</f>
        <v/>
      </c>
      <c r="BX108" s="135" t="str">
        <f aca="false">IF(ISBLANK($C108),"",IF($BD108&lt;&gt;Constants!$B$6,"",IF($AU108="-&gt;",$AX108,$AO108)))</f>
        <v/>
      </c>
      <c r="BY108" s="135" t="str">
        <f aca="false">IF(ISBLANK($C108),"",IF($BD108&lt;&gt;Constants!$B$6,"",IF($AU108="-&gt;",$AY108,$AP108)))</f>
        <v/>
      </c>
      <c r="BZ108" s="135" t="str">
        <f aca="false">IF(ISBLANK($C108),"",IF($BD108&lt;&gt;Constants!$B$6,"",IF($AU108="-&gt;",$AZ108,$AQ108)+$BG108))</f>
        <v/>
      </c>
      <c r="CA108" s="136" t="str">
        <f aca="false">IF(ISBLANK($C108),"",IF($BD108&lt;&gt;Constants!$B$6,$BD108,$BH108))</f>
        <v/>
      </c>
      <c r="CB108" s="137" t="str">
        <f aca="false">IF(ISBLANK($C108),"",$BE108)</f>
        <v/>
      </c>
      <c r="CC108" s="138" t="str">
        <f aca="false">IF(ISBLANK($C108),"",$BS108)</f>
        <v/>
      </c>
      <c r="CD108" s="138" t="str">
        <f aca="false">IF(ISBLANK($C108),"",$BR108)</f>
        <v/>
      </c>
      <c r="CE108" s="139" t="str">
        <f aca="false">IF(ISBLANK($C108),"",IF($CD108=Constants!$B$9,COUNTA($C$9:$C$508)+2,IF($CD108=Constants!$B$8,COUNTA($C$9:$C$508)+1,IF($CD108=Constants!$B$7,COUNTA($C$9:$C$508),$CD108))))</f>
        <v/>
      </c>
      <c r="CF108" s="9"/>
      <c r="CG108" s="140" t="n">
        <f aca="false">IF(OR(ISNUMBER($CD108),$CD108=Constants!$B$9,$CD108=Constants!$B$7,$CD108=Constants!$B$8),1,0)</f>
        <v>0</v>
      </c>
      <c r="CH108" s="140" t="n">
        <v>100</v>
      </c>
      <c r="CI108" s="140" t="str">
        <f aca="false">IF(ISBLANK($C108),"",IF(ISNUMBER($CE108),$CE108+ROW($B108)/1000,""))</f>
        <v/>
      </c>
      <c r="CJ108" s="140" t="str">
        <f aca="false">IF(ISNUMBER($CI108),RANK($CI108,$CI$9:$CI$508,1),"")</f>
        <v/>
      </c>
      <c r="CK108" s="140" t="str">
        <f aca="false">IF(ISBLANK($C108),"",$B108)</f>
        <v/>
      </c>
      <c r="CL108" s="140" t="str">
        <f aca="false">IF(ISBLANK($C108),"",$C108)</f>
        <v/>
      </c>
      <c r="CM108" s="140" t="str">
        <f aca="false">IF(ISBLANK($C108),"",$D108)</f>
        <v/>
      </c>
      <c r="CN108" s="141" t="str">
        <f aca="false">$CB108</f>
        <v/>
      </c>
      <c r="CO108" s="142" t="str">
        <f aca="false">$CA108</f>
        <v/>
      </c>
      <c r="CP108" s="140" t="str">
        <f aca="false">IF(ISBLANK($C108),"",$CD108)</f>
        <v/>
      </c>
      <c r="CQ108" s="143" t="str">
        <f aca="false">IF($CH108&gt;$CG$8,"",VLOOKUP($CH108,$CJ$9:$CP$508,7,FALSE()))</f>
        <v/>
      </c>
      <c r="CR108" s="144" t="str">
        <f aca="false">IF($CH108&gt;$CG$8,"",VLOOKUP($CH108,$CJ$9:$CP$508,2,FALSE()))</f>
        <v/>
      </c>
      <c r="CS108" s="144" t="str">
        <f aca="false">IF($CH108&gt;$CG$8,"",VLOOKUP($CH108,$CJ$9:$CP$508,3,FALSE()))</f>
        <v/>
      </c>
      <c r="CT108" s="144" t="str">
        <f aca="false">IF($CH108&gt;$CG$8,"",VLOOKUP($CH108,$CJ$9:$CP$508,4,FALSE()))</f>
        <v/>
      </c>
      <c r="CU108" s="144" t="str">
        <f aca="false">IF($CH108&gt;$CG$8,"",VLOOKUP($CH108,$CJ$9:$CP$508,5,FALSE()))</f>
        <v/>
      </c>
      <c r="CV108" s="145" t="str">
        <f aca="false">IF($CH108&gt;$CG$8,"",VLOOKUP($CH108,$CJ$9:$CP$508,6,FALSE()))</f>
        <v/>
      </c>
      <c r="CW108" s="71"/>
    </row>
    <row r="109" customFormat="false" ht="15.75" hidden="false" customHeight="false" outlineLevel="0" collapsed="false">
      <c r="A109" s="9"/>
      <c r="B109" s="150"/>
      <c r="C109" s="151"/>
      <c r="D109" s="152"/>
      <c r="E109" s="170"/>
      <c r="F109" s="154"/>
      <c r="G109" s="155"/>
      <c r="H109" s="171"/>
      <c r="I109" s="159"/>
      <c r="J109" s="120"/>
      <c r="K109" s="121"/>
      <c r="L109" s="122"/>
      <c r="M109" s="158"/>
      <c r="N109" s="159"/>
      <c r="O109" s="159"/>
      <c r="P109" s="120"/>
      <c r="Q109" s="122"/>
      <c r="R109" s="122"/>
      <c r="S109" s="158"/>
      <c r="T109" s="159"/>
      <c r="U109" s="126"/>
      <c r="V109" s="127"/>
      <c r="W109" s="127" t="str">
        <f aca="false">IF(ISBLANK($C109),"",IF(E109=Constants!$B$2,TRUE(),IF(E109=Constants!$B$3,FALSE(),TRUE())))</f>
        <v/>
      </c>
      <c r="X109" s="127" t="str">
        <f aca="false">IF(ISBLANK($C109),"",IF(F109=Constants!$B$2,TRUE(),IF(F109=Constants!$B$3,FALSE(),TRUE())))</f>
        <v/>
      </c>
      <c r="Y109" s="127" t="str">
        <f aca="false">IF(ISBLANK($C109),"",IF(G109=Constants!$B$2,TRUE(),IF(G109=Constants!$B$3,FALSE(),TRUE())))</f>
        <v/>
      </c>
      <c r="Z109" s="127" t="str">
        <f aca="false">IF(ISBLANK($C109),"",IF(H109=Constants!$B$2,TRUE(),IF(H109=Constants!$B$3,FALSE(),TRUE())))</f>
        <v/>
      </c>
      <c r="AA109" s="127" t="str">
        <f aca="false">IF(ISBLANK($C109),"",IF(I109=Constants!$B$2,TRUE(),IF(I109=Constants!$B$3,FALSE(),TRUE())))</f>
        <v/>
      </c>
      <c r="AB109" s="127" t="str">
        <f aca="false">IF(ISBLANK($C109),"",IF(J109=Constants!$B$4,TRUE(),IF(J109=Constants!$B$5,FALSE(),COUNTA(K109:M109)&gt;0)))</f>
        <v/>
      </c>
      <c r="AC109" s="128" t="str">
        <f aca="false">IF(ISBLANK($C109),"",IF(ISNUMBER(K109),IF(K109&gt;=0,K109,""),""))</f>
        <v/>
      </c>
      <c r="AD109" s="129" t="str">
        <f aca="false">IF(ISBLANK($C109),"",IF(ISNUMBER(L109),IF(L109&gt;=0,L109,""),""))</f>
        <v/>
      </c>
      <c r="AE109" s="127" t="str">
        <f aca="false">IF(ISBLANK($C109),"",IF(ISNUMBER(M109),IF(M109&gt;=0,MIN(M109,Constants!$B$22),""),""))</f>
        <v/>
      </c>
      <c r="AF109" s="127" t="str">
        <f aca="false">IF(ISBLANK($C109),"",IF(N109=Constants!$B$2,TRUE(),IF(N109=Constants!$B$3,FALSE(),TRUE())))</f>
        <v/>
      </c>
      <c r="AG109" s="127" t="str">
        <f aca="false">IF(ISBLANK($C109),"",IF(O109=Constants!$B$2,TRUE(),IF(O109=Constants!$B$3,FALSE(),TRUE())))</f>
        <v/>
      </c>
      <c r="AH109" s="127" t="str">
        <f aca="false">IF(ISBLANK($C109),"",IF(P109=Constants!$B$4,TRUE(),IF(P109=Constants!$B$5,FALSE(),COUNTA(Q109:S109)&gt;0)))</f>
        <v/>
      </c>
      <c r="AI109" s="128" t="str">
        <f aca="false">IF(ISBLANK($C109),"",IF(ISNUMBER(Q109),IF(Q109&gt;=0,Q109,""),""))</f>
        <v/>
      </c>
      <c r="AJ109" s="129" t="str">
        <f aca="false">IF(ISBLANK($C109),"",IF(ISNUMBER(R109),IF(R109&gt;=0,R109,""),""))</f>
        <v/>
      </c>
      <c r="AK109" s="127" t="str">
        <f aca="false">IF(ISBLANK($C109),"",IF(ISNUMBER(S109),IF(S109&gt;=0,MIN(S109,Constants!$B$22),""),""))</f>
        <v/>
      </c>
      <c r="AL109" s="127" t="str">
        <f aca="false">IF(ISBLANK($C109),"",IF(T109=Constants!$B$2,TRUE(),IF(T109=Constants!$B$3,FALSE(),FALSE())))</f>
        <v/>
      </c>
      <c r="AM109" s="126" t="str">
        <f aca="false">IF(ISBLANK($C109),"",AND($AB109,OR($AC109="",$AD109="",AND(NOT(ISBLANK($M109)),$AE109=""))))</f>
        <v/>
      </c>
      <c r="AN109" s="129" t="str">
        <f aca="false">IF($BD109&lt;&gt;Constants!$B$6,"",IF($AB109,Constants!$B$17*$AD109,Constants!$B$18))</f>
        <v/>
      </c>
      <c r="AO109" s="130" t="str">
        <f aca="false">IF($BD109&lt;&gt;Constants!$B$6,"",Constants!$B$19*IF($AB109,$AC109,0))</f>
        <v/>
      </c>
      <c r="AP109" s="130" t="str">
        <f aca="false">IF($BD109&lt;&gt;Constants!$B$6,"",IF(AND($AB109,ISNUMBER($AE109)),Constants!$B$20*(Constants!$B$21-$AE109),0))</f>
        <v/>
      </c>
      <c r="AQ109" s="130" t="str">
        <f aca="false">IF($BD109&lt;&gt;Constants!$B$6,"",IF($AA109,0,Constants!$B$12)+IF($Z109,0,Constants!$B$13)+IF($Y109,0,Constants!$B$14))</f>
        <v/>
      </c>
      <c r="AR109" s="131" t="str">
        <f aca="false">IF($BD109&lt;&gt;Constants!$B$6,"",Constants!$B$16+SUM($AN109:$AQ109))</f>
        <v/>
      </c>
      <c r="AS109" s="130" t="str">
        <f aca="false">IF($BD109&lt;&gt;Constants!$B$6,"",IF($AB109,$AD109,""))</f>
        <v/>
      </c>
      <c r="AT109" s="132" t="str">
        <f aca="false">IF($BD109&lt;&gt;Constants!$B$6,"",$AO109)</f>
        <v/>
      </c>
      <c r="AU109" s="127" t="str">
        <f aca="false">IF($BD109&lt;&gt;Constants!$B$6,"",IF(OR($BA109&lt;$AR109,AND($BA109=$AR109,OR(AND(ISNUMBER($BB109),OR(NOT(ISNUMBER($AS109)),$BB109&lt;$AS109)),AND(OR(AND($BB109="",$AS109=""),AND(ISNUMBER($BB109),ISNUMBER($AS109),$BB109=$AS109)),$BC109&lt;$AT109)))),"-&gt;","&lt;-"))</f>
        <v/>
      </c>
      <c r="AV109" s="126" t="str">
        <f aca="false">IF(ISBLANK($C109),"",AND($AH109,OR($AI109="",$AJ109="",AND(NOT(ISBLANK($S109)),$AK109=""))))</f>
        <v/>
      </c>
      <c r="AW109" s="129" t="str">
        <f aca="false">IF($BD109&lt;&gt;Constants!$B$6,"",IF($AH109,Constants!$B$17*$AJ109,Constants!$B$18))</f>
        <v/>
      </c>
      <c r="AX109" s="130" t="str">
        <f aca="false">IF($BD109&lt;&gt;Constants!$B$6,"",Constants!$B$19*IF($AH109,$AI109,0))</f>
        <v/>
      </c>
      <c r="AY109" s="130" t="str">
        <f aca="false">IF($BD109&lt;&gt;Constants!$B$6,"",IF(AND($AH109,ISNUMBER($AK109)),Constants!$B$20*(Constants!$B$21-$AK109),0))</f>
        <v/>
      </c>
      <c r="AZ109" s="130" t="str">
        <f aca="false">IF($BD109&lt;&gt;Constants!$B$6,"",IF($AG109,0,Constants!$B$12)+IF($AF109,0,Constants!$B$13)+IF($Y109,0,Constants!$B$14))</f>
        <v/>
      </c>
      <c r="BA109" s="131" t="str">
        <f aca="false">IF($BD109&lt;&gt;Constants!$B$6,"",Constants!$B$16+SUM($AW109:$AZ109))</f>
        <v/>
      </c>
      <c r="BB109" s="130" t="str">
        <f aca="false">IF($BD109&lt;&gt;Constants!$B$6,"",IF($AH109,$AJ109,""))</f>
        <v/>
      </c>
      <c r="BC109" s="132" t="str">
        <f aca="false">IF($BD109&lt;&gt;Constants!$B$6,"",$AX109)</f>
        <v/>
      </c>
      <c r="BD109" s="127" t="str">
        <f aca="false">IF(ISBLANK($C109),"",IF($AL109,Constants!$B$9,IF(COUNTA($E109:$T109)=0,Constants!$B$8,IF(NOT($X109),Constants!$B$7,IF(OR($AM109,$AV109),Constants!$B$10,Constants!$B$6)))))</f>
        <v/>
      </c>
      <c r="BE109" s="127" t="str">
        <f aca="false">IF(ISBLANK($C109),"",IF($BD109&lt;&gt;Constants!$B$6,$BD109,Constants!$B$11))</f>
        <v/>
      </c>
      <c r="BF109" s="130" t="str">
        <f aca="false">IF($BD109&lt;&gt;Constants!$B$6,"",IF($AU109="-&gt;",$BA109,$AR109))</f>
        <v/>
      </c>
      <c r="BG109" s="130" t="str">
        <f aca="false">IF($BD109&lt;&gt;Constants!$B$6,"",IF($W109,0,Constants!$B$15))</f>
        <v/>
      </c>
      <c r="BH109" s="130" t="str">
        <f aca="false">IF(ISBLANK($C109),"",IF($BD109&lt;&gt;Constants!$B$6,$BD109,SUM($BF109:$BG109)))</f>
        <v/>
      </c>
      <c r="BI109" s="127" t="str">
        <f aca="false">IF(ISBLANK($C109),"",IF($BD109&lt;&gt;Constants!$B$6,$BD109,RANK($BH109,$BH$9:$BH$508,1)))</f>
        <v/>
      </c>
      <c r="BJ109" s="130" t="str">
        <f aca="false">IF($BD109&lt;&gt;Constants!$B$6,"",IF($AU109="-&gt;",$BB109,$AS109))</f>
        <v/>
      </c>
      <c r="BK109" s="127" t="str">
        <f aca="false">IF(ISBLANK($C109),"",IF($BD109&lt;&gt;Constants!$B$6,$BD109,IF(ISNUMBER($BJ109),RANK($BJ109,$BJ$9:$BJ$508,1),COUNT($BJ$9:$BJ$508)+1)))</f>
        <v/>
      </c>
      <c r="BL109" s="130" t="str">
        <f aca="false">IF($BD109&lt;&gt;Constants!$B$6,"",IF($AU109="-&gt;",$BC109,$AT109))</f>
        <v/>
      </c>
      <c r="BM109" s="127" t="str">
        <f aca="false">IF(ISBLANK($C109),"",IF($BD109&lt;&gt;Constants!$B$6,$BD109,IF(ISNUMBER($BL109),RANK($BL109,$BL$9:$BL$508,1),COUNT($BL$9:$BL$508)+1)))</f>
        <v/>
      </c>
      <c r="BN109" s="130" t="str">
        <f aca="false">IF($BD109&lt;&gt;Constants!$B$6,"",IF($AU109="-&gt;",$AS109,$BB109))</f>
        <v/>
      </c>
      <c r="BO109" s="127" t="str">
        <f aca="false">IF(ISBLANK($C109),"",IF($BD109&lt;&gt;Constants!$B$6,$BD109,IF(ISNUMBER($BN109),RANK($BN109,$BN$9:$BN$508,1),COUNT($BN$9:$BN$508)+1)))</f>
        <v/>
      </c>
      <c r="BP109" s="130" t="str">
        <f aca="false">IF($BD109&lt;&gt;Constants!$B$6,"",IF($AU109="-&gt;",$AT109,$BC109))</f>
        <v/>
      </c>
      <c r="BQ109" s="127" t="str">
        <f aca="false">IF(ISBLANK($C109),"",IF($BD109&lt;&gt;Constants!$B$6,$BD109,IF(ISNUMBER($BP109),RANK($BP109,$BP$9:$BP$508,1),COUNT($BP$9:$BP$508)+1)))</f>
        <v/>
      </c>
      <c r="BR109" s="127" t="str">
        <f aca="false">IF(ISBLANK($C109),"",IF($BD109&lt;&gt;Constants!$B$6,$BD109,COUNTIFS($BI$9:$BI$508,"&lt;"&amp;$BI109)+COUNTIFS($BI$9:$BI$508,$BI109,$BK$9:$BK$508,"&lt;"&amp;$BK109)+COUNTIFS($BI$9:$BI$508,$BI109,$BK$9:$BK$508,$BK109,$BM$9:$BM$508,"&lt;"&amp;$BM109)+COUNTIFS($BI$9:$BI$508,$BI109,$BK$9:$BK$508,$BK109,$BM$9:$BM$508,$BM109,$BO$9:$BO$508,"&lt;"&amp;$BO109)+COUNTIFS($BI$9:$BI$508,$BI109,$BK$9:$BK$508,$BK109,$BM$9:$BM$508,$BM109,$BO$9:$BO$508,$BO109,$BQ$9:$BQ$508,"&lt;"&amp;$BQ109)+1))</f>
        <v/>
      </c>
      <c r="BS109" s="127" t="str">
        <f aca="false">IF(ISBLANK($C109),"",IF($BD109&lt;&gt;Constants!$B$6,$BD109,$BI109-$BR109))</f>
        <v/>
      </c>
      <c r="BT109" s="133"/>
      <c r="BU109" s="134"/>
      <c r="BV109" s="134" t="str">
        <f aca="false">IF(ISBLANK($C109),"",IF($BD109&lt;&gt;Constants!$B$6,"",IF($AU109="-&gt;",2,1)))</f>
        <v/>
      </c>
      <c r="BW109" s="135" t="str">
        <f aca="false">IF(ISBLANK($C109),"",IF($BD109&lt;&gt;Constants!$B$6,"",IF($AU109="-&gt;",$AW109,$AN109)))</f>
        <v/>
      </c>
      <c r="BX109" s="135" t="str">
        <f aca="false">IF(ISBLANK($C109),"",IF($BD109&lt;&gt;Constants!$B$6,"",IF($AU109="-&gt;",$AX109,$AO109)))</f>
        <v/>
      </c>
      <c r="BY109" s="135" t="str">
        <f aca="false">IF(ISBLANK($C109),"",IF($BD109&lt;&gt;Constants!$B$6,"",IF($AU109="-&gt;",$AY109,$AP109)))</f>
        <v/>
      </c>
      <c r="BZ109" s="135" t="str">
        <f aca="false">IF(ISBLANK($C109),"",IF($BD109&lt;&gt;Constants!$B$6,"",IF($AU109="-&gt;",$AZ109,$AQ109)+$BG109))</f>
        <v/>
      </c>
      <c r="CA109" s="136" t="str">
        <f aca="false">IF(ISBLANK($C109),"",IF($BD109&lt;&gt;Constants!$B$6,$BD109,$BH109))</f>
        <v/>
      </c>
      <c r="CB109" s="137" t="str">
        <f aca="false">IF(ISBLANK($C109),"",$BE109)</f>
        <v/>
      </c>
      <c r="CC109" s="138" t="str">
        <f aca="false">IF(ISBLANK($C109),"",$BS109)</f>
        <v/>
      </c>
      <c r="CD109" s="138" t="str">
        <f aca="false">IF(ISBLANK($C109),"",$BR109)</f>
        <v/>
      </c>
      <c r="CE109" s="139" t="str">
        <f aca="false">IF(ISBLANK($C109),"",IF($CD109=Constants!$B$9,COUNTA($C$9:$C$508)+2,IF($CD109=Constants!$B$8,COUNTA($C$9:$C$508)+1,IF($CD109=Constants!$B$7,COUNTA($C$9:$C$508),$CD109))))</f>
        <v/>
      </c>
      <c r="CF109" s="9"/>
      <c r="CG109" s="140" t="n">
        <f aca="false">IF(OR(ISNUMBER($CD109),$CD109=Constants!$B$9,$CD109=Constants!$B$7,$CD109=Constants!$B$8),1,0)</f>
        <v>0</v>
      </c>
      <c r="CH109" s="140" t="n">
        <v>101</v>
      </c>
      <c r="CI109" s="140" t="str">
        <f aca="false">IF(ISBLANK($C109),"",IF(ISNUMBER($CE109),$CE109+ROW($B109)/1000,""))</f>
        <v/>
      </c>
      <c r="CJ109" s="140" t="str">
        <f aca="false">IF(ISNUMBER($CI109),RANK($CI109,$CI$9:$CI$508,1),"")</f>
        <v/>
      </c>
      <c r="CK109" s="140" t="str">
        <f aca="false">IF(ISBLANK($C109),"",$B109)</f>
        <v/>
      </c>
      <c r="CL109" s="140" t="str">
        <f aca="false">IF(ISBLANK($C109),"",$C109)</f>
        <v/>
      </c>
      <c r="CM109" s="140" t="str">
        <f aca="false">IF(ISBLANK($C109),"",$D109)</f>
        <v/>
      </c>
      <c r="CN109" s="141" t="str">
        <f aca="false">$CB109</f>
        <v/>
      </c>
      <c r="CO109" s="142" t="str">
        <f aca="false">$CA109</f>
        <v/>
      </c>
      <c r="CP109" s="140" t="str">
        <f aca="false">IF(ISBLANK($C109),"",$CD109)</f>
        <v/>
      </c>
      <c r="CQ109" s="143" t="str">
        <f aca="false">IF($CH109&gt;$CG$8,"",VLOOKUP($CH109,$CJ$9:$CP$508,7,FALSE()))</f>
        <v/>
      </c>
      <c r="CR109" s="144" t="str">
        <f aca="false">IF($CH109&gt;$CG$8,"",VLOOKUP($CH109,$CJ$9:$CP$508,2,FALSE()))</f>
        <v/>
      </c>
      <c r="CS109" s="144" t="str">
        <f aca="false">IF($CH109&gt;$CG$8,"",VLOOKUP($CH109,$CJ$9:$CP$508,3,FALSE()))</f>
        <v/>
      </c>
      <c r="CT109" s="144" t="str">
        <f aca="false">IF($CH109&gt;$CG$8,"",VLOOKUP($CH109,$CJ$9:$CP$508,4,FALSE()))</f>
        <v/>
      </c>
      <c r="CU109" s="144" t="str">
        <f aca="false">IF($CH109&gt;$CG$8,"",VLOOKUP($CH109,$CJ$9:$CP$508,5,FALSE()))</f>
        <v/>
      </c>
      <c r="CV109" s="145" t="str">
        <f aca="false">IF($CH109&gt;$CG$8,"",VLOOKUP($CH109,$CJ$9:$CP$508,6,FALSE()))</f>
        <v/>
      </c>
      <c r="CW109" s="71"/>
    </row>
    <row r="110" customFormat="false" ht="15.75" hidden="false" customHeight="false" outlineLevel="0" collapsed="false">
      <c r="A110" s="9"/>
      <c r="B110" s="150"/>
      <c r="C110" s="151"/>
      <c r="D110" s="152"/>
      <c r="E110" s="170"/>
      <c r="F110" s="154"/>
      <c r="G110" s="155"/>
      <c r="H110" s="171"/>
      <c r="I110" s="159"/>
      <c r="J110" s="120"/>
      <c r="K110" s="121"/>
      <c r="L110" s="122"/>
      <c r="M110" s="158"/>
      <c r="N110" s="159"/>
      <c r="O110" s="159"/>
      <c r="P110" s="120"/>
      <c r="Q110" s="122"/>
      <c r="R110" s="122"/>
      <c r="S110" s="158"/>
      <c r="T110" s="159"/>
      <c r="U110" s="126"/>
      <c r="V110" s="127"/>
      <c r="W110" s="127" t="str">
        <f aca="false">IF(ISBLANK($C110),"",IF(E110=Constants!$B$2,TRUE(),IF(E110=Constants!$B$3,FALSE(),TRUE())))</f>
        <v/>
      </c>
      <c r="X110" s="127" t="str">
        <f aca="false">IF(ISBLANK($C110),"",IF(F110=Constants!$B$2,TRUE(),IF(F110=Constants!$B$3,FALSE(),TRUE())))</f>
        <v/>
      </c>
      <c r="Y110" s="127" t="str">
        <f aca="false">IF(ISBLANK($C110),"",IF(G110=Constants!$B$2,TRUE(),IF(G110=Constants!$B$3,FALSE(),TRUE())))</f>
        <v/>
      </c>
      <c r="Z110" s="127" t="str">
        <f aca="false">IF(ISBLANK($C110),"",IF(H110=Constants!$B$2,TRUE(),IF(H110=Constants!$B$3,FALSE(),TRUE())))</f>
        <v/>
      </c>
      <c r="AA110" s="127" t="str">
        <f aca="false">IF(ISBLANK($C110),"",IF(I110=Constants!$B$2,TRUE(),IF(I110=Constants!$B$3,FALSE(),TRUE())))</f>
        <v/>
      </c>
      <c r="AB110" s="127" t="str">
        <f aca="false">IF(ISBLANK($C110),"",IF(J110=Constants!$B$4,TRUE(),IF(J110=Constants!$B$5,FALSE(),COUNTA(K110:M110)&gt;0)))</f>
        <v/>
      </c>
      <c r="AC110" s="128" t="str">
        <f aca="false">IF(ISBLANK($C110),"",IF(ISNUMBER(K110),IF(K110&gt;=0,K110,""),""))</f>
        <v/>
      </c>
      <c r="AD110" s="129" t="str">
        <f aca="false">IF(ISBLANK($C110),"",IF(ISNUMBER(L110),IF(L110&gt;=0,L110,""),""))</f>
        <v/>
      </c>
      <c r="AE110" s="127" t="str">
        <f aca="false">IF(ISBLANK($C110),"",IF(ISNUMBER(M110),IF(M110&gt;=0,MIN(M110,Constants!$B$22),""),""))</f>
        <v/>
      </c>
      <c r="AF110" s="127" t="str">
        <f aca="false">IF(ISBLANK($C110),"",IF(N110=Constants!$B$2,TRUE(),IF(N110=Constants!$B$3,FALSE(),TRUE())))</f>
        <v/>
      </c>
      <c r="AG110" s="127" t="str">
        <f aca="false">IF(ISBLANK($C110),"",IF(O110=Constants!$B$2,TRUE(),IF(O110=Constants!$B$3,FALSE(),TRUE())))</f>
        <v/>
      </c>
      <c r="AH110" s="127" t="str">
        <f aca="false">IF(ISBLANK($C110),"",IF(P110=Constants!$B$4,TRUE(),IF(P110=Constants!$B$5,FALSE(),COUNTA(Q110:S110)&gt;0)))</f>
        <v/>
      </c>
      <c r="AI110" s="128" t="str">
        <f aca="false">IF(ISBLANK($C110),"",IF(ISNUMBER(Q110),IF(Q110&gt;=0,Q110,""),""))</f>
        <v/>
      </c>
      <c r="AJ110" s="129" t="str">
        <f aca="false">IF(ISBLANK($C110),"",IF(ISNUMBER(R110),IF(R110&gt;=0,R110,""),""))</f>
        <v/>
      </c>
      <c r="AK110" s="127" t="str">
        <f aca="false">IF(ISBLANK($C110),"",IF(ISNUMBER(S110),IF(S110&gt;=0,MIN(S110,Constants!$B$22),""),""))</f>
        <v/>
      </c>
      <c r="AL110" s="127" t="str">
        <f aca="false">IF(ISBLANK($C110),"",IF(T110=Constants!$B$2,TRUE(),IF(T110=Constants!$B$3,FALSE(),FALSE())))</f>
        <v/>
      </c>
      <c r="AM110" s="126" t="str">
        <f aca="false">IF(ISBLANK($C110),"",AND($AB110,OR($AC110="",$AD110="",AND(NOT(ISBLANK($M110)),$AE110=""))))</f>
        <v/>
      </c>
      <c r="AN110" s="129" t="str">
        <f aca="false">IF($BD110&lt;&gt;Constants!$B$6,"",IF($AB110,Constants!$B$17*$AD110,Constants!$B$18))</f>
        <v/>
      </c>
      <c r="AO110" s="130" t="str">
        <f aca="false">IF($BD110&lt;&gt;Constants!$B$6,"",Constants!$B$19*IF($AB110,$AC110,0))</f>
        <v/>
      </c>
      <c r="AP110" s="130" t="str">
        <f aca="false">IF($BD110&lt;&gt;Constants!$B$6,"",IF(AND($AB110,ISNUMBER($AE110)),Constants!$B$20*(Constants!$B$21-$AE110),0))</f>
        <v/>
      </c>
      <c r="AQ110" s="130" t="str">
        <f aca="false">IF($BD110&lt;&gt;Constants!$B$6,"",IF($AA110,0,Constants!$B$12)+IF($Z110,0,Constants!$B$13)+IF($Y110,0,Constants!$B$14))</f>
        <v/>
      </c>
      <c r="AR110" s="131" t="str">
        <f aca="false">IF($BD110&lt;&gt;Constants!$B$6,"",Constants!$B$16+SUM($AN110:$AQ110))</f>
        <v/>
      </c>
      <c r="AS110" s="130" t="str">
        <f aca="false">IF($BD110&lt;&gt;Constants!$B$6,"",IF($AB110,$AD110,""))</f>
        <v/>
      </c>
      <c r="AT110" s="132" t="str">
        <f aca="false">IF($BD110&lt;&gt;Constants!$B$6,"",$AO110)</f>
        <v/>
      </c>
      <c r="AU110" s="127" t="str">
        <f aca="false">IF($BD110&lt;&gt;Constants!$B$6,"",IF(OR($BA110&lt;$AR110,AND($BA110=$AR110,OR(AND(ISNUMBER($BB110),OR(NOT(ISNUMBER($AS110)),$BB110&lt;$AS110)),AND(OR(AND($BB110="",$AS110=""),AND(ISNUMBER($BB110),ISNUMBER($AS110),$BB110=$AS110)),$BC110&lt;$AT110)))),"-&gt;","&lt;-"))</f>
        <v/>
      </c>
      <c r="AV110" s="126" t="str">
        <f aca="false">IF(ISBLANK($C110),"",AND($AH110,OR($AI110="",$AJ110="",AND(NOT(ISBLANK($S110)),$AK110=""))))</f>
        <v/>
      </c>
      <c r="AW110" s="129" t="str">
        <f aca="false">IF($BD110&lt;&gt;Constants!$B$6,"",IF($AH110,Constants!$B$17*$AJ110,Constants!$B$18))</f>
        <v/>
      </c>
      <c r="AX110" s="130" t="str">
        <f aca="false">IF($BD110&lt;&gt;Constants!$B$6,"",Constants!$B$19*IF($AH110,$AI110,0))</f>
        <v/>
      </c>
      <c r="AY110" s="130" t="str">
        <f aca="false">IF($BD110&lt;&gt;Constants!$B$6,"",IF(AND($AH110,ISNUMBER($AK110)),Constants!$B$20*(Constants!$B$21-$AK110),0))</f>
        <v/>
      </c>
      <c r="AZ110" s="130" t="str">
        <f aca="false">IF($BD110&lt;&gt;Constants!$B$6,"",IF($AG110,0,Constants!$B$12)+IF($AF110,0,Constants!$B$13)+IF($Y110,0,Constants!$B$14))</f>
        <v/>
      </c>
      <c r="BA110" s="131" t="str">
        <f aca="false">IF($BD110&lt;&gt;Constants!$B$6,"",Constants!$B$16+SUM($AW110:$AZ110))</f>
        <v/>
      </c>
      <c r="BB110" s="130" t="str">
        <f aca="false">IF($BD110&lt;&gt;Constants!$B$6,"",IF($AH110,$AJ110,""))</f>
        <v/>
      </c>
      <c r="BC110" s="132" t="str">
        <f aca="false">IF($BD110&lt;&gt;Constants!$B$6,"",$AX110)</f>
        <v/>
      </c>
      <c r="BD110" s="127" t="str">
        <f aca="false">IF(ISBLANK($C110),"",IF($AL110,Constants!$B$9,IF(COUNTA($E110:$T110)=0,Constants!$B$8,IF(NOT($X110),Constants!$B$7,IF(OR($AM110,$AV110),Constants!$B$10,Constants!$B$6)))))</f>
        <v/>
      </c>
      <c r="BE110" s="127" t="str">
        <f aca="false">IF(ISBLANK($C110),"",IF($BD110&lt;&gt;Constants!$B$6,$BD110,Constants!$B$11))</f>
        <v/>
      </c>
      <c r="BF110" s="130" t="str">
        <f aca="false">IF($BD110&lt;&gt;Constants!$B$6,"",IF($AU110="-&gt;",$BA110,$AR110))</f>
        <v/>
      </c>
      <c r="BG110" s="130" t="str">
        <f aca="false">IF($BD110&lt;&gt;Constants!$B$6,"",IF($W110,0,Constants!$B$15))</f>
        <v/>
      </c>
      <c r="BH110" s="130" t="str">
        <f aca="false">IF(ISBLANK($C110),"",IF($BD110&lt;&gt;Constants!$B$6,$BD110,SUM($BF110:$BG110)))</f>
        <v/>
      </c>
      <c r="BI110" s="127" t="str">
        <f aca="false">IF(ISBLANK($C110),"",IF($BD110&lt;&gt;Constants!$B$6,$BD110,RANK($BH110,$BH$9:$BH$508,1)))</f>
        <v/>
      </c>
      <c r="BJ110" s="130" t="str">
        <f aca="false">IF($BD110&lt;&gt;Constants!$B$6,"",IF($AU110="-&gt;",$BB110,$AS110))</f>
        <v/>
      </c>
      <c r="BK110" s="127" t="str">
        <f aca="false">IF(ISBLANK($C110),"",IF($BD110&lt;&gt;Constants!$B$6,$BD110,IF(ISNUMBER($BJ110),RANK($BJ110,$BJ$9:$BJ$508,1),COUNT($BJ$9:$BJ$508)+1)))</f>
        <v/>
      </c>
      <c r="BL110" s="130" t="str">
        <f aca="false">IF($BD110&lt;&gt;Constants!$B$6,"",IF($AU110="-&gt;",$BC110,$AT110))</f>
        <v/>
      </c>
      <c r="BM110" s="127" t="str">
        <f aca="false">IF(ISBLANK($C110),"",IF($BD110&lt;&gt;Constants!$B$6,$BD110,IF(ISNUMBER($BL110),RANK($BL110,$BL$9:$BL$508,1),COUNT($BL$9:$BL$508)+1)))</f>
        <v/>
      </c>
      <c r="BN110" s="130" t="str">
        <f aca="false">IF($BD110&lt;&gt;Constants!$B$6,"",IF($AU110="-&gt;",$AS110,$BB110))</f>
        <v/>
      </c>
      <c r="BO110" s="127" t="str">
        <f aca="false">IF(ISBLANK($C110),"",IF($BD110&lt;&gt;Constants!$B$6,$BD110,IF(ISNUMBER($BN110),RANK($BN110,$BN$9:$BN$508,1),COUNT($BN$9:$BN$508)+1)))</f>
        <v/>
      </c>
      <c r="BP110" s="130" t="str">
        <f aca="false">IF($BD110&lt;&gt;Constants!$B$6,"",IF($AU110="-&gt;",$AT110,$BC110))</f>
        <v/>
      </c>
      <c r="BQ110" s="127" t="str">
        <f aca="false">IF(ISBLANK($C110),"",IF($BD110&lt;&gt;Constants!$B$6,$BD110,IF(ISNUMBER($BP110),RANK($BP110,$BP$9:$BP$508,1),COUNT($BP$9:$BP$508)+1)))</f>
        <v/>
      </c>
      <c r="BR110" s="127" t="str">
        <f aca="false">IF(ISBLANK($C110),"",IF($BD110&lt;&gt;Constants!$B$6,$BD110,COUNTIFS($BI$9:$BI$508,"&lt;"&amp;$BI110)+COUNTIFS($BI$9:$BI$508,$BI110,$BK$9:$BK$508,"&lt;"&amp;$BK110)+COUNTIFS($BI$9:$BI$508,$BI110,$BK$9:$BK$508,$BK110,$BM$9:$BM$508,"&lt;"&amp;$BM110)+COUNTIFS($BI$9:$BI$508,$BI110,$BK$9:$BK$508,$BK110,$BM$9:$BM$508,$BM110,$BO$9:$BO$508,"&lt;"&amp;$BO110)+COUNTIFS($BI$9:$BI$508,$BI110,$BK$9:$BK$508,$BK110,$BM$9:$BM$508,$BM110,$BO$9:$BO$508,$BO110,$BQ$9:$BQ$508,"&lt;"&amp;$BQ110)+1))</f>
        <v/>
      </c>
      <c r="BS110" s="127" t="str">
        <f aca="false">IF(ISBLANK($C110),"",IF($BD110&lt;&gt;Constants!$B$6,$BD110,$BI110-$BR110))</f>
        <v/>
      </c>
      <c r="BT110" s="133"/>
      <c r="BU110" s="134"/>
      <c r="BV110" s="134" t="str">
        <f aca="false">IF(ISBLANK($C110),"",IF($BD110&lt;&gt;Constants!$B$6,"",IF($AU110="-&gt;",2,1)))</f>
        <v/>
      </c>
      <c r="BW110" s="135" t="str">
        <f aca="false">IF(ISBLANK($C110),"",IF($BD110&lt;&gt;Constants!$B$6,"",IF($AU110="-&gt;",$AW110,$AN110)))</f>
        <v/>
      </c>
      <c r="BX110" s="135" t="str">
        <f aca="false">IF(ISBLANK($C110),"",IF($BD110&lt;&gt;Constants!$B$6,"",IF($AU110="-&gt;",$AX110,$AO110)))</f>
        <v/>
      </c>
      <c r="BY110" s="135" t="str">
        <f aca="false">IF(ISBLANK($C110),"",IF($BD110&lt;&gt;Constants!$B$6,"",IF($AU110="-&gt;",$AY110,$AP110)))</f>
        <v/>
      </c>
      <c r="BZ110" s="135" t="str">
        <f aca="false">IF(ISBLANK($C110),"",IF($BD110&lt;&gt;Constants!$B$6,"",IF($AU110="-&gt;",$AZ110,$AQ110)+$BG110))</f>
        <v/>
      </c>
      <c r="CA110" s="136" t="str">
        <f aca="false">IF(ISBLANK($C110),"",IF($BD110&lt;&gt;Constants!$B$6,$BD110,$BH110))</f>
        <v/>
      </c>
      <c r="CB110" s="137" t="str">
        <f aca="false">IF(ISBLANK($C110),"",$BE110)</f>
        <v/>
      </c>
      <c r="CC110" s="138" t="str">
        <f aca="false">IF(ISBLANK($C110),"",$BS110)</f>
        <v/>
      </c>
      <c r="CD110" s="138" t="str">
        <f aca="false">IF(ISBLANK($C110),"",$BR110)</f>
        <v/>
      </c>
      <c r="CE110" s="139" t="str">
        <f aca="false">IF(ISBLANK($C110),"",IF($CD110=Constants!$B$9,COUNTA($C$9:$C$508)+2,IF($CD110=Constants!$B$8,COUNTA($C$9:$C$508)+1,IF($CD110=Constants!$B$7,COUNTA($C$9:$C$508),$CD110))))</f>
        <v/>
      </c>
      <c r="CF110" s="9"/>
      <c r="CG110" s="140" t="n">
        <f aca="false">IF(OR(ISNUMBER($CD110),$CD110=Constants!$B$9,$CD110=Constants!$B$7,$CD110=Constants!$B$8),1,0)</f>
        <v>0</v>
      </c>
      <c r="CH110" s="140" t="n">
        <v>102</v>
      </c>
      <c r="CI110" s="140" t="str">
        <f aca="false">IF(ISBLANK($C110),"",IF(ISNUMBER($CE110),$CE110+ROW($B110)/1000,""))</f>
        <v/>
      </c>
      <c r="CJ110" s="140" t="str">
        <f aca="false">IF(ISNUMBER($CI110),RANK($CI110,$CI$9:$CI$508,1),"")</f>
        <v/>
      </c>
      <c r="CK110" s="140" t="str">
        <f aca="false">IF(ISBLANK($C110),"",$B110)</f>
        <v/>
      </c>
      <c r="CL110" s="140" t="str">
        <f aca="false">IF(ISBLANK($C110),"",$C110)</f>
        <v/>
      </c>
      <c r="CM110" s="140" t="str">
        <f aca="false">IF(ISBLANK($C110),"",$D110)</f>
        <v/>
      </c>
      <c r="CN110" s="141" t="str">
        <f aca="false">$CB110</f>
        <v/>
      </c>
      <c r="CO110" s="142" t="str">
        <f aca="false">$CA110</f>
        <v/>
      </c>
      <c r="CP110" s="140" t="str">
        <f aca="false">IF(ISBLANK($C110),"",$CD110)</f>
        <v/>
      </c>
      <c r="CQ110" s="143" t="str">
        <f aca="false">IF($CH110&gt;$CG$8,"",VLOOKUP($CH110,$CJ$9:$CP$508,7,FALSE()))</f>
        <v/>
      </c>
      <c r="CR110" s="144" t="str">
        <f aca="false">IF($CH110&gt;$CG$8,"",VLOOKUP($CH110,$CJ$9:$CP$508,2,FALSE()))</f>
        <v/>
      </c>
      <c r="CS110" s="144" t="str">
        <f aca="false">IF($CH110&gt;$CG$8,"",VLOOKUP($CH110,$CJ$9:$CP$508,3,FALSE()))</f>
        <v/>
      </c>
      <c r="CT110" s="144" t="str">
        <f aca="false">IF($CH110&gt;$CG$8,"",VLOOKUP($CH110,$CJ$9:$CP$508,4,FALSE()))</f>
        <v/>
      </c>
      <c r="CU110" s="144" t="str">
        <f aca="false">IF($CH110&gt;$CG$8,"",VLOOKUP($CH110,$CJ$9:$CP$508,5,FALSE()))</f>
        <v/>
      </c>
      <c r="CV110" s="145" t="str">
        <f aca="false">IF($CH110&gt;$CG$8,"",VLOOKUP($CH110,$CJ$9:$CP$508,6,FALSE()))</f>
        <v/>
      </c>
      <c r="CW110" s="71"/>
    </row>
    <row r="111" customFormat="false" ht="15.75" hidden="false" customHeight="false" outlineLevel="0" collapsed="false">
      <c r="A111" s="9"/>
      <c r="B111" s="72"/>
      <c r="C111" s="73"/>
      <c r="D111" s="160"/>
      <c r="E111" s="168"/>
      <c r="F111" s="162"/>
      <c r="G111" s="163"/>
      <c r="H111" s="169"/>
      <c r="I111" s="167"/>
      <c r="J111" s="80"/>
      <c r="K111" s="81"/>
      <c r="L111" s="82"/>
      <c r="M111" s="166"/>
      <c r="N111" s="167"/>
      <c r="O111" s="167"/>
      <c r="P111" s="80"/>
      <c r="Q111" s="82"/>
      <c r="R111" s="82"/>
      <c r="S111" s="166"/>
      <c r="T111" s="167"/>
      <c r="U111" s="86"/>
      <c r="V111" s="87"/>
      <c r="W111" s="87" t="str">
        <f aca="false">IF(ISBLANK($C111),"",IF(E111=Constants!$B$2,TRUE(),IF(E111=Constants!$B$3,FALSE(),TRUE())))</f>
        <v/>
      </c>
      <c r="X111" s="87" t="str">
        <f aca="false">IF(ISBLANK($C111),"",IF(F111=Constants!$B$2,TRUE(),IF(F111=Constants!$B$3,FALSE(),TRUE())))</f>
        <v/>
      </c>
      <c r="Y111" s="87" t="str">
        <f aca="false">IF(ISBLANK($C111),"",IF(G111=Constants!$B$2,TRUE(),IF(G111=Constants!$B$3,FALSE(),TRUE())))</f>
        <v/>
      </c>
      <c r="Z111" s="87" t="str">
        <f aca="false">IF(ISBLANK($C111),"",IF(H111=Constants!$B$2,TRUE(),IF(H111=Constants!$B$3,FALSE(),TRUE())))</f>
        <v/>
      </c>
      <c r="AA111" s="87" t="str">
        <f aca="false">IF(ISBLANK($C111),"",IF(I111=Constants!$B$2,TRUE(),IF(I111=Constants!$B$3,FALSE(),TRUE())))</f>
        <v/>
      </c>
      <c r="AB111" s="87" t="str">
        <f aca="false">IF(ISBLANK($C111),"",IF(J111=Constants!$B$4,TRUE(),IF(J111=Constants!$B$5,FALSE(),COUNTA(K111:M111)&gt;0)))</f>
        <v/>
      </c>
      <c r="AC111" s="88" t="str">
        <f aca="false">IF(ISBLANK($C111),"",IF(ISNUMBER(K111),IF(K111&gt;=0,K111,""),""))</f>
        <v/>
      </c>
      <c r="AD111" s="89" t="str">
        <f aca="false">IF(ISBLANK($C111),"",IF(ISNUMBER(L111),IF(L111&gt;=0,L111,""),""))</f>
        <v/>
      </c>
      <c r="AE111" s="87" t="str">
        <f aca="false">IF(ISBLANK($C111),"",IF(ISNUMBER(M111),IF(M111&gt;=0,MIN(M111,Constants!$B$22),""),""))</f>
        <v/>
      </c>
      <c r="AF111" s="87" t="str">
        <f aca="false">IF(ISBLANK($C111),"",IF(N111=Constants!$B$2,TRUE(),IF(N111=Constants!$B$3,FALSE(),TRUE())))</f>
        <v/>
      </c>
      <c r="AG111" s="87" t="str">
        <f aca="false">IF(ISBLANK($C111),"",IF(O111=Constants!$B$2,TRUE(),IF(O111=Constants!$B$3,FALSE(),TRUE())))</f>
        <v/>
      </c>
      <c r="AH111" s="87" t="str">
        <f aca="false">IF(ISBLANK($C111),"",IF(P111=Constants!$B$4,TRUE(),IF(P111=Constants!$B$5,FALSE(),COUNTA(Q111:S111)&gt;0)))</f>
        <v/>
      </c>
      <c r="AI111" s="88" t="str">
        <f aca="false">IF(ISBLANK($C111),"",IF(ISNUMBER(Q111),IF(Q111&gt;=0,Q111,""),""))</f>
        <v/>
      </c>
      <c r="AJ111" s="89" t="str">
        <f aca="false">IF(ISBLANK($C111),"",IF(ISNUMBER(R111),IF(R111&gt;=0,R111,""),""))</f>
        <v/>
      </c>
      <c r="AK111" s="87" t="str">
        <f aca="false">IF(ISBLANK($C111),"",IF(ISNUMBER(S111),IF(S111&gt;=0,MIN(S111,Constants!$B$22),""),""))</f>
        <v/>
      </c>
      <c r="AL111" s="87" t="str">
        <f aca="false">IF(ISBLANK($C111),"",IF(T111=Constants!$B$2,TRUE(),IF(T111=Constants!$B$3,FALSE(),FALSE())))</f>
        <v/>
      </c>
      <c r="AM111" s="86" t="str">
        <f aca="false">IF(ISBLANK($C111),"",AND($AB111,OR($AC111="",$AD111="",AND(NOT(ISBLANK($M111)),$AE111=""))))</f>
        <v/>
      </c>
      <c r="AN111" s="89" t="str">
        <f aca="false">IF($BD111&lt;&gt;Constants!$B$6,"",IF($AB111,Constants!$B$17*$AD111,Constants!$B$18))</f>
        <v/>
      </c>
      <c r="AO111" s="91" t="str">
        <f aca="false">IF($BD111&lt;&gt;Constants!$B$6,"",Constants!$B$19*IF($AB111,$AC111,0))</f>
        <v/>
      </c>
      <c r="AP111" s="91" t="str">
        <f aca="false">IF($BD111&lt;&gt;Constants!$B$6,"",IF(AND($AB111,ISNUMBER($AE111)),Constants!$B$20*(Constants!$B$21-$AE111),0))</f>
        <v/>
      </c>
      <c r="AQ111" s="91" t="str">
        <f aca="false">IF($BD111&lt;&gt;Constants!$B$6,"",IF($AA111,0,Constants!$B$12)+IF($Z111,0,Constants!$B$13)+IF($Y111,0,Constants!$B$14))</f>
        <v/>
      </c>
      <c r="AR111" s="92" t="str">
        <f aca="false">IF($BD111&lt;&gt;Constants!$B$6,"",Constants!$B$16+SUM($AN111:$AQ111))</f>
        <v/>
      </c>
      <c r="AS111" s="91" t="str">
        <f aca="false">IF($BD111&lt;&gt;Constants!$B$6,"",IF($AB111,$AD111,""))</f>
        <v/>
      </c>
      <c r="AT111" s="93" t="str">
        <f aca="false">IF($BD111&lt;&gt;Constants!$B$6,"",$AO111)</f>
        <v/>
      </c>
      <c r="AU111" s="87" t="str">
        <f aca="false">IF($BD111&lt;&gt;Constants!$B$6,"",IF(OR($BA111&lt;$AR111,AND($BA111=$AR111,OR(AND(ISNUMBER($BB111),OR(NOT(ISNUMBER($AS111)),$BB111&lt;$AS111)),AND(OR(AND($BB111="",$AS111=""),AND(ISNUMBER($BB111),ISNUMBER($AS111),$BB111=$AS111)),$BC111&lt;$AT111)))),"-&gt;","&lt;-"))</f>
        <v/>
      </c>
      <c r="AV111" s="86" t="str">
        <f aca="false">IF(ISBLANK($C111),"",AND($AH111,OR($AI111="",$AJ111="",AND(NOT(ISBLANK($S111)),$AK111=""))))</f>
        <v/>
      </c>
      <c r="AW111" s="89" t="str">
        <f aca="false">IF($BD111&lt;&gt;Constants!$B$6,"",IF($AH111,Constants!$B$17*$AJ111,Constants!$B$18))</f>
        <v/>
      </c>
      <c r="AX111" s="91" t="str">
        <f aca="false">IF($BD111&lt;&gt;Constants!$B$6,"",Constants!$B$19*IF($AH111,$AI111,0))</f>
        <v/>
      </c>
      <c r="AY111" s="91" t="str">
        <f aca="false">IF($BD111&lt;&gt;Constants!$B$6,"",IF(AND($AH111,ISNUMBER($AK111)),Constants!$B$20*(Constants!$B$21-$AK111),0))</f>
        <v/>
      </c>
      <c r="AZ111" s="91" t="str">
        <f aca="false">IF($BD111&lt;&gt;Constants!$B$6,"",IF($AG111,0,Constants!$B$12)+IF($AF111,0,Constants!$B$13)+IF($Y111,0,Constants!$B$14))</f>
        <v/>
      </c>
      <c r="BA111" s="92" t="str">
        <f aca="false">IF($BD111&lt;&gt;Constants!$B$6,"",Constants!$B$16+SUM($AW111:$AZ111))</f>
        <v/>
      </c>
      <c r="BB111" s="91" t="str">
        <f aca="false">IF($BD111&lt;&gt;Constants!$B$6,"",IF($AH111,$AJ111,""))</f>
        <v/>
      </c>
      <c r="BC111" s="93" t="str">
        <f aca="false">IF($BD111&lt;&gt;Constants!$B$6,"",$AX111)</f>
        <v/>
      </c>
      <c r="BD111" s="87" t="str">
        <f aca="false">IF(ISBLANK($C111),"",IF($AL111,Constants!$B$9,IF(COUNTA($E111:$T111)=0,Constants!$B$8,IF(NOT($X111),Constants!$B$7,IF(OR($AM111,$AV111),Constants!$B$10,Constants!$B$6)))))</f>
        <v/>
      </c>
      <c r="BE111" s="87" t="str">
        <f aca="false">IF(ISBLANK($C111),"",IF($BD111&lt;&gt;Constants!$B$6,$BD111,Constants!$B$11))</f>
        <v/>
      </c>
      <c r="BF111" s="91" t="str">
        <f aca="false">IF($BD111&lt;&gt;Constants!$B$6,"",IF($AU111="-&gt;",$BA111,$AR111))</f>
        <v/>
      </c>
      <c r="BG111" s="91" t="str">
        <f aca="false">IF($BD111&lt;&gt;Constants!$B$6,"",IF($W111,0,Constants!$B$15))</f>
        <v/>
      </c>
      <c r="BH111" s="91" t="str">
        <f aca="false">IF(ISBLANK($C111),"",IF($BD111&lt;&gt;Constants!$B$6,$BD111,SUM($BF111:$BG111)))</f>
        <v/>
      </c>
      <c r="BI111" s="87" t="str">
        <f aca="false">IF(ISBLANK($C111),"",IF($BD111&lt;&gt;Constants!$B$6,$BD111,RANK($BH111,$BH$9:$BH$508,1)))</f>
        <v/>
      </c>
      <c r="BJ111" s="91" t="str">
        <f aca="false">IF($BD111&lt;&gt;Constants!$B$6,"",IF($AU111="-&gt;",$BB111,$AS111))</f>
        <v/>
      </c>
      <c r="BK111" s="87" t="str">
        <f aca="false">IF(ISBLANK($C111),"",IF($BD111&lt;&gt;Constants!$B$6,$BD111,IF(ISNUMBER($BJ111),RANK($BJ111,$BJ$9:$BJ$508,1),COUNT($BJ$9:$BJ$508)+1)))</f>
        <v/>
      </c>
      <c r="BL111" s="91" t="str">
        <f aca="false">IF($BD111&lt;&gt;Constants!$B$6,"",IF($AU111="-&gt;",$BC111,$AT111))</f>
        <v/>
      </c>
      <c r="BM111" s="87" t="str">
        <f aca="false">IF(ISBLANK($C111),"",IF($BD111&lt;&gt;Constants!$B$6,$BD111,IF(ISNUMBER($BL111),RANK($BL111,$BL$9:$BL$508,1),COUNT($BL$9:$BL$508)+1)))</f>
        <v/>
      </c>
      <c r="BN111" s="91" t="str">
        <f aca="false">IF($BD111&lt;&gt;Constants!$B$6,"",IF($AU111="-&gt;",$AS111,$BB111))</f>
        <v/>
      </c>
      <c r="BO111" s="87" t="str">
        <f aca="false">IF(ISBLANK($C111),"",IF($BD111&lt;&gt;Constants!$B$6,$BD111,IF(ISNUMBER($BN111),RANK($BN111,$BN$9:$BN$508,1),COUNT($BN$9:$BN$508)+1)))</f>
        <v/>
      </c>
      <c r="BP111" s="91" t="str">
        <f aca="false">IF($BD111&lt;&gt;Constants!$B$6,"",IF($AU111="-&gt;",$AT111,$BC111))</f>
        <v/>
      </c>
      <c r="BQ111" s="87" t="str">
        <f aca="false">IF(ISBLANK($C111),"",IF($BD111&lt;&gt;Constants!$B$6,$BD111,IF(ISNUMBER($BP111),RANK($BP111,$BP$9:$BP$508,1),COUNT($BP$9:$BP$508)+1)))</f>
        <v/>
      </c>
      <c r="BR111" s="87" t="str">
        <f aca="false">IF(ISBLANK($C111),"",IF($BD111&lt;&gt;Constants!$B$6,$BD111,COUNTIFS($BI$9:$BI$508,"&lt;"&amp;$BI111)+COUNTIFS($BI$9:$BI$508,$BI111,$BK$9:$BK$508,"&lt;"&amp;$BK111)+COUNTIFS($BI$9:$BI$508,$BI111,$BK$9:$BK$508,$BK111,$BM$9:$BM$508,"&lt;"&amp;$BM111)+COUNTIFS($BI$9:$BI$508,$BI111,$BK$9:$BK$508,$BK111,$BM$9:$BM$508,$BM111,$BO$9:$BO$508,"&lt;"&amp;$BO111)+COUNTIFS($BI$9:$BI$508,$BI111,$BK$9:$BK$508,$BK111,$BM$9:$BM$508,$BM111,$BO$9:$BO$508,$BO111,$BQ$9:$BQ$508,"&lt;"&amp;$BQ111)+1))</f>
        <v/>
      </c>
      <c r="BS111" s="87" t="str">
        <f aca="false">IF(ISBLANK($C111),"",IF($BD111&lt;&gt;Constants!$B$6,$BD111,$BI111-$BR111))</f>
        <v/>
      </c>
      <c r="BT111" s="94"/>
      <c r="BU111" s="95"/>
      <c r="BV111" s="95" t="str">
        <f aca="false">IF(ISBLANK($C111),"",IF($BD111&lt;&gt;Constants!$B$6,"",IF($AU111="-&gt;",2,1)))</f>
        <v/>
      </c>
      <c r="BW111" s="96" t="str">
        <f aca="false">IF(ISBLANK($C111),"",IF($BD111&lt;&gt;Constants!$B$6,"",IF($AU111="-&gt;",$AW111,$AN111)))</f>
        <v/>
      </c>
      <c r="BX111" s="96" t="str">
        <f aca="false">IF(ISBLANK($C111),"",IF($BD111&lt;&gt;Constants!$B$6,"",IF($AU111="-&gt;",$AX111,$AO111)))</f>
        <v/>
      </c>
      <c r="BY111" s="96" t="str">
        <f aca="false">IF(ISBLANK($C111),"",IF($BD111&lt;&gt;Constants!$B$6,"",IF($AU111="-&gt;",$AY111,$AP111)))</f>
        <v/>
      </c>
      <c r="BZ111" s="96" t="str">
        <f aca="false">IF(ISBLANK($C111),"",IF($BD111&lt;&gt;Constants!$B$6,"",IF($AU111="-&gt;",$AZ111,$AQ111)+$BG111))</f>
        <v/>
      </c>
      <c r="CA111" s="97" t="str">
        <f aca="false">IF(ISBLANK($C111),"",IF($BD111&lt;&gt;Constants!$B$6,$BD111,$BH111))</f>
        <v/>
      </c>
      <c r="CB111" s="98" t="str">
        <f aca="false">IF(ISBLANK($C111),"",$BE111)</f>
        <v/>
      </c>
      <c r="CC111" s="99" t="str">
        <f aca="false">IF(ISBLANK($C111),"",$BS111)</f>
        <v/>
      </c>
      <c r="CD111" s="99" t="str">
        <f aca="false">IF(ISBLANK($C111),"",$BR111)</f>
        <v/>
      </c>
      <c r="CE111" s="100" t="str">
        <f aca="false">IF(ISBLANK($C111),"",IF($CD111=Constants!$B$9,COUNTA($C$9:$C$508)+2,IF($CD111=Constants!$B$8,COUNTA($C$9:$C$508)+1,IF($CD111=Constants!$B$7,COUNTA($C$9:$C$508),$CD111))))</f>
        <v/>
      </c>
      <c r="CF111" s="9"/>
      <c r="CG111" s="101" t="n">
        <f aca="false">IF(OR(ISNUMBER($CD111),$CD111=Constants!$B$9,$CD111=Constants!$B$7,$CD111=Constants!$B$8),1,0)</f>
        <v>0</v>
      </c>
      <c r="CH111" s="101" t="n">
        <v>103</v>
      </c>
      <c r="CI111" s="101" t="str">
        <f aca="false">IF(ISBLANK($C111),"",IF(ISNUMBER($CE111),$CE111+ROW($B111)/1000,""))</f>
        <v/>
      </c>
      <c r="CJ111" s="101" t="str">
        <f aca="false">IF(ISNUMBER($CI111),RANK($CI111,$CI$9:$CI$508,1),"")</f>
        <v/>
      </c>
      <c r="CK111" s="101" t="str">
        <f aca="false">IF(ISBLANK($C111),"",$B111)</f>
        <v/>
      </c>
      <c r="CL111" s="101" t="str">
        <f aca="false">IF(ISBLANK($C111),"",$C111)</f>
        <v/>
      </c>
      <c r="CM111" s="101" t="str">
        <f aca="false">IF(ISBLANK($C111),"",$D111)</f>
        <v/>
      </c>
      <c r="CN111" s="102" t="str">
        <f aca="false">$CB111</f>
        <v/>
      </c>
      <c r="CO111" s="103" t="str">
        <f aca="false">$CA111</f>
        <v/>
      </c>
      <c r="CP111" s="101" t="str">
        <f aca="false">IF(ISBLANK($C111),"",$CD111)</f>
        <v/>
      </c>
      <c r="CQ111" s="104" t="str">
        <f aca="false">IF($CH111&gt;$CG$8,"",VLOOKUP($CH111,$CJ$9:$CP$508,7,FALSE()))</f>
        <v/>
      </c>
      <c r="CR111" s="105" t="str">
        <f aca="false">IF($CH111&gt;$CG$8,"",VLOOKUP($CH111,$CJ$9:$CP$508,2,FALSE()))</f>
        <v/>
      </c>
      <c r="CS111" s="105" t="str">
        <f aca="false">IF($CH111&gt;$CG$8,"",VLOOKUP($CH111,$CJ$9:$CP$508,3,FALSE()))</f>
        <v/>
      </c>
      <c r="CT111" s="105" t="str">
        <f aca="false">IF($CH111&gt;$CG$8,"",VLOOKUP($CH111,$CJ$9:$CP$508,4,FALSE()))</f>
        <v/>
      </c>
      <c r="CU111" s="105" t="str">
        <f aca="false">IF($CH111&gt;$CG$8,"",VLOOKUP($CH111,$CJ$9:$CP$508,5,FALSE()))</f>
        <v/>
      </c>
      <c r="CV111" s="106" t="str">
        <f aca="false">IF($CH111&gt;$CG$8,"",VLOOKUP($CH111,$CJ$9:$CP$508,6,FALSE()))</f>
        <v/>
      </c>
      <c r="CW111" s="71"/>
    </row>
    <row r="112" customFormat="false" ht="15.75" hidden="false" customHeight="false" outlineLevel="0" collapsed="false">
      <c r="A112" s="9"/>
      <c r="B112" s="72"/>
      <c r="C112" s="73"/>
      <c r="D112" s="160"/>
      <c r="E112" s="168"/>
      <c r="F112" s="162"/>
      <c r="G112" s="163"/>
      <c r="H112" s="169"/>
      <c r="I112" s="167"/>
      <c r="J112" s="80"/>
      <c r="K112" s="81"/>
      <c r="L112" s="82"/>
      <c r="M112" s="166"/>
      <c r="N112" s="167"/>
      <c r="O112" s="167"/>
      <c r="P112" s="80"/>
      <c r="Q112" s="82"/>
      <c r="R112" s="82"/>
      <c r="S112" s="166"/>
      <c r="T112" s="167"/>
      <c r="U112" s="86"/>
      <c r="V112" s="87"/>
      <c r="W112" s="87" t="str">
        <f aca="false">IF(ISBLANK($C112),"",IF(E112=Constants!$B$2,TRUE(),IF(E112=Constants!$B$3,FALSE(),TRUE())))</f>
        <v/>
      </c>
      <c r="X112" s="87" t="str">
        <f aca="false">IF(ISBLANK($C112),"",IF(F112=Constants!$B$2,TRUE(),IF(F112=Constants!$B$3,FALSE(),TRUE())))</f>
        <v/>
      </c>
      <c r="Y112" s="87" t="str">
        <f aca="false">IF(ISBLANK($C112),"",IF(G112=Constants!$B$2,TRUE(),IF(G112=Constants!$B$3,FALSE(),TRUE())))</f>
        <v/>
      </c>
      <c r="Z112" s="87" t="str">
        <f aca="false">IF(ISBLANK($C112),"",IF(H112=Constants!$B$2,TRUE(),IF(H112=Constants!$B$3,FALSE(),TRUE())))</f>
        <v/>
      </c>
      <c r="AA112" s="87" t="str">
        <f aca="false">IF(ISBLANK($C112),"",IF(I112=Constants!$B$2,TRUE(),IF(I112=Constants!$B$3,FALSE(),TRUE())))</f>
        <v/>
      </c>
      <c r="AB112" s="87" t="str">
        <f aca="false">IF(ISBLANK($C112),"",IF(J112=Constants!$B$4,TRUE(),IF(J112=Constants!$B$5,FALSE(),COUNTA(K112:M112)&gt;0)))</f>
        <v/>
      </c>
      <c r="AC112" s="88" t="str">
        <f aca="false">IF(ISBLANK($C112),"",IF(ISNUMBER(K112),IF(K112&gt;=0,K112,""),""))</f>
        <v/>
      </c>
      <c r="AD112" s="89" t="str">
        <f aca="false">IF(ISBLANK($C112),"",IF(ISNUMBER(L112),IF(L112&gt;=0,L112,""),""))</f>
        <v/>
      </c>
      <c r="AE112" s="87" t="str">
        <f aca="false">IF(ISBLANK($C112),"",IF(ISNUMBER(M112),IF(M112&gt;=0,MIN(M112,Constants!$B$22),""),""))</f>
        <v/>
      </c>
      <c r="AF112" s="87" t="str">
        <f aca="false">IF(ISBLANK($C112),"",IF(N112=Constants!$B$2,TRUE(),IF(N112=Constants!$B$3,FALSE(),TRUE())))</f>
        <v/>
      </c>
      <c r="AG112" s="87" t="str">
        <f aca="false">IF(ISBLANK($C112),"",IF(O112=Constants!$B$2,TRUE(),IF(O112=Constants!$B$3,FALSE(),TRUE())))</f>
        <v/>
      </c>
      <c r="AH112" s="87" t="str">
        <f aca="false">IF(ISBLANK($C112),"",IF(P112=Constants!$B$4,TRUE(),IF(P112=Constants!$B$5,FALSE(),COUNTA(Q112:S112)&gt;0)))</f>
        <v/>
      </c>
      <c r="AI112" s="88" t="str">
        <f aca="false">IF(ISBLANK($C112),"",IF(ISNUMBER(Q112),IF(Q112&gt;=0,Q112,""),""))</f>
        <v/>
      </c>
      <c r="AJ112" s="89" t="str">
        <f aca="false">IF(ISBLANK($C112),"",IF(ISNUMBER(R112),IF(R112&gt;=0,R112,""),""))</f>
        <v/>
      </c>
      <c r="AK112" s="87" t="str">
        <f aca="false">IF(ISBLANK($C112),"",IF(ISNUMBER(S112),IF(S112&gt;=0,MIN(S112,Constants!$B$22),""),""))</f>
        <v/>
      </c>
      <c r="AL112" s="87" t="str">
        <f aca="false">IF(ISBLANK($C112),"",IF(T112=Constants!$B$2,TRUE(),IF(T112=Constants!$B$3,FALSE(),FALSE())))</f>
        <v/>
      </c>
      <c r="AM112" s="86" t="str">
        <f aca="false">IF(ISBLANK($C112),"",AND($AB112,OR($AC112="",$AD112="",AND(NOT(ISBLANK($M112)),$AE112=""))))</f>
        <v/>
      </c>
      <c r="AN112" s="89" t="str">
        <f aca="false">IF($BD112&lt;&gt;Constants!$B$6,"",IF($AB112,Constants!$B$17*$AD112,Constants!$B$18))</f>
        <v/>
      </c>
      <c r="AO112" s="91" t="str">
        <f aca="false">IF($BD112&lt;&gt;Constants!$B$6,"",Constants!$B$19*IF($AB112,$AC112,0))</f>
        <v/>
      </c>
      <c r="AP112" s="91" t="str">
        <f aca="false">IF($BD112&lt;&gt;Constants!$B$6,"",IF(AND($AB112,ISNUMBER($AE112)),Constants!$B$20*(Constants!$B$21-$AE112),0))</f>
        <v/>
      </c>
      <c r="AQ112" s="91" t="str">
        <f aca="false">IF($BD112&lt;&gt;Constants!$B$6,"",IF($AA112,0,Constants!$B$12)+IF($Z112,0,Constants!$B$13)+IF($Y112,0,Constants!$B$14))</f>
        <v/>
      </c>
      <c r="AR112" s="92" t="str">
        <f aca="false">IF($BD112&lt;&gt;Constants!$B$6,"",Constants!$B$16+SUM($AN112:$AQ112))</f>
        <v/>
      </c>
      <c r="AS112" s="91" t="str">
        <f aca="false">IF($BD112&lt;&gt;Constants!$B$6,"",IF($AB112,$AD112,""))</f>
        <v/>
      </c>
      <c r="AT112" s="93" t="str">
        <f aca="false">IF($BD112&lt;&gt;Constants!$B$6,"",$AO112)</f>
        <v/>
      </c>
      <c r="AU112" s="87" t="str">
        <f aca="false">IF($BD112&lt;&gt;Constants!$B$6,"",IF(OR($BA112&lt;$AR112,AND($BA112=$AR112,OR(AND(ISNUMBER($BB112),OR(NOT(ISNUMBER($AS112)),$BB112&lt;$AS112)),AND(OR(AND($BB112="",$AS112=""),AND(ISNUMBER($BB112),ISNUMBER($AS112),$BB112=$AS112)),$BC112&lt;$AT112)))),"-&gt;","&lt;-"))</f>
        <v/>
      </c>
      <c r="AV112" s="86" t="str">
        <f aca="false">IF(ISBLANK($C112),"",AND($AH112,OR($AI112="",$AJ112="",AND(NOT(ISBLANK($S112)),$AK112=""))))</f>
        <v/>
      </c>
      <c r="AW112" s="89" t="str">
        <f aca="false">IF($BD112&lt;&gt;Constants!$B$6,"",IF($AH112,Constants!$B$17*$AJ112,Constants!$B$18))</f>
        <v/>
      </c>
      <c r="AX112" s="91" t="str">
        <f aca="false">IF($BD112&lt;&gt;Constants!$B$6,"",Constants!$B$19*IF($AH112,$AI112,0))</f>
        <v/>
      </c>
      <c r="AY112" s="91" t="str">
        <f aca="false">IF($BD112&lt;&gt;Constants!$B$6,"",IF(AND($AH112,ISNUMBER($AK112)),Constants!$B$20*(Constants!$B$21-$AK112),0))</f>
        <v/>
      </c>
      <c r="AZ112" s="91" t="str">
        <f aca="false">IF($BD112&lt;&gt;Constants!$B$6,"",IF($AG112,0,Constants!$B$12)+IF($AF112,0,Constants!$B$13)+IF($Y112,0,Constants!$B$14))</f>
        <v/>
      </c>
      <c r="BA112" s="92" t="str">
        <f aca="false">IF($BD112&lt;&gt;Constants!$B$6,"",Constants!$B$16+SUM($AW112:$AZ112))</f>
        <v/>
      </c>
      <c r="BB112" s="91" t="str">
        <f aca="false">IF($BD112&lt;&gt;Constants!$B$6,"",IF($AH112,$AJ112,""))</f>
        <v/>
      </c>
      <c r="BC112" s="93" t="str">
        <f aca="false">IF($BD112&lt;&gt;Constants!$B$6,"",$AX112)</f>
        <v/>
      </c>
      <c r="BD112" s="87" t="str">
        <f aca="false">IF(ISBLANK($C112),"",IF($AL112,Constants!$B$9,IF(COUNTA($E112:$T112)=0,Constants!$B$8,IF(NOT($X112),Constants!$B$7,IF(OR($AM112,$AV112),Constants!$B$10,Constants!$B$6)))))</f>
        <v/>
      </c>
      <c r="BE112" s="87" t="str">
        <f aca="false">IF(ISBLANK($C112),"",IF($BD112&lt;&gt;Constants!$B$6,$BD112,Constants!$B$11))</f>
        <v/>
      </c>
      <c r="BF112" s="91" t="str">
        <f aca="false">IF($BD112&lt;&gt;Constants!$B$6,"",IF($AU112="-&gt;",$BA112,$AR112))</f>
        <v/>
      </c>
      <c r="BG112" s="91" t="str">
        <f aca="false">IF($BD112&lt;&gt;Constants!$B$6,"",IF($W112,0,Constants!$B$15))</f>
        <v/>
      </c>
      <c r="BH112" s="91" t="str">
        <f aca="false">IF(ISBLANK($C112),"",IF($BD112&lt;&gt;Constants!$B$6,$BD112,SUM($BF112:$BG112)))</f>
        <v/>
      </c>
      <c r="BI112" s="87" t="str">
        <f aca="false">IF(ISBLANK($C112),"",IF($BD112&lt;&gt;Constants!$B$6,$BD112,RANK($BH112,$BH$9:$BH$508,1)))</f>
        <v/>
      </c>
      <c r="BJ112" s="91" t="str">
        <f aca="false">IF($BD112&lt;&gt;Constants!$B$6,"",IF($AU112="-&gt;",$BB112,$AS112))</f>
        <v/>
      </c>
      <c r="BK112" s="87" t="str">
        <f aca="false">IF(ISBLANK($C112),"",IF($BD112&lt;&gt;Constants!$B$6,$BD112,IF(ISNUMBER($BJ112),RANK($BJ112,$BJ$9:$BJ$508,1),COUNT($BJ$9:$BJ$508)+1)))</f>
        <v/>
      </c>
      <c r="BL112" s="91" t="str">
        <f aca="false">IF($BD112&lt;&gt;Constants!$B$6,"",IF($AU112="-&gt;",$BC112,$AT112))</f>
        <v/>
      </c>
      <c r="BM112" s="87" t="str">
        <f aca="false">IF(ISBLANK($C112),"",IF($BD112&lt;&gt;Constants!$B$6,$BD112,IF(ISNUMBER($BL112),RANK($BL112,$BL$9:$BL$508,1),COUNT($BL$9:$BL$508)+1)))</f>
        <v/>
      </c>
      <c r="BN112" s="91" t="str">
        <f aca="false">IF($BD112&lt;&gt;Constants!$B$6,"",IF($AU112="-&gt;",$AS112,$BB112))</f>
        <v/>
      </c>
      <c r="BO112" s="87" t="str">
        <f aca="false">IF(ISBLANK($C112),"",IF($BD112&lt;&gt;Constants!$B$6,$BD112,IF(ISNUMBER($BN112),RANK($BN112,$BN$9:$BN$508,1),COUNT($BN$9:$BN$508)+1)))</f>
        <v/>
      </c>
      <c r="BP112" s="91" t="str">
        <f aca="false">IF($BD112&lt;&gt;Constants!$B$6,"",IF($AU112="-&gt;",$AT112,$BC112))</f>
        <v/>
      </c>
      <c r="BQ112" s="87" t="str">
        <f aca="false">IF(ISBLANK($C112),"",IF($BD112&lt;&gt;Constants!$B$6,$BD112,IF(ISNUMBER($BP112),RANK($BP112,$BP$9:$BP$508,1),COUNT($BP$9:$BP$508)+1)))</f>
        <v/>
      </c>
      <c r="BR112" s="87" t="str">
        <f aca="false">IF(ISBLANK($C112),"",IF($BD112&lt;&gt;Constants!$B$6,$BD112,COUNTIFS($BI$9:$BI$508,"&lt;"&amp;$BI112)+COUNTIFS($BI$9:$BI$508,$BI112,$BK$9:$BK$508,"&lt;"&amp;$BK112)+COUNTIFS($BI$9:$BI$508,$BI112,$BK$9:$BK$508,$BK112,$BM$9:$BM$508,"&lt;"&amp;$BM112)+COUNTIFS($BI$9:$BI$508,$BI112,$BK$9:$BK$508,$BK112,$BM$9:$BM$508,$BM112,$BO$9:$BO$508,"&lt;"&amp;$BO112)+COUNTIFS($BI$9:$BI$508,$BI112,$BK$9:$BK$508,$BK112,$BM$9:$BM$508,$BM112,$BO$9:$BO$508,$BO112,$BQ$9:$BQ$508,"&lt;"&amp;$BQ112)+1))</f>
        <v/>
      </c>
      <c r="BS112" s="87" t="str">
        <f aca="false">IF(ISBLANK($C112),"",IF($BD112&lt;&gt;Constants!$B$6,$BD112,$BI112-$BR112))</f>
        <v/>
      </c>
      <c r="BT112" s="94"/>
      <c r="BU112" s="95"/>
      <c r="BV112" s="95" t="str">
        <f aca="false">IF(ISBLANK($C112),"",IF($BD112&lt;&gt;Constants!$B$6,"",IF($AU112="-&gt;",2,1)))</f>
        <v/>
      </c>
      <c r="BW112" s="96" t="str">
        <f aca="false">IF(ISBLANK($C112),"",IF($BD112&lt;&gt;Constants!$B$6,"",IF($AU112="-&gt;",$AW112,$AN112)))</f>
        <v/>
      </c>
      <c r="BX112" s="96" t="str">
        <f aca="false">IF(ISBLANK($C112),"",IF($BD112&lt;&gt;Constants!$B$6,"",IF($AU112="-&gt;",$AX112,$AO112)))</f>
        <v/>
      </c>
      <c r="BY112" s="96" t="str">
        <f aca="false">IF(ISBLANK($C112),"",IF($BD112&lt;&gt;Constants!$B$6,"",IF($AU112="-&gt;",$AY112,$AP112)))</f>
        <v/>
      </c>
      <c r="BZ112" s="96" t="str">
        <f aca="false">IF(ISBLANK($C112),"",IF($BD112&lt;&gt;Constants!$B$6,"",IF($AU112="-&gt;",$AZ112,$AQ112)+$BG112))</f>
        <v/>
      </c>
      <c r="CA112" s="97" t="str">
        <f aca="false">IF(ISBLANK($C112),"",IF($BD112&lt;&gt;Constants!$B$6,$BD112,$BH112))</f>
        <v/>
      </c>
      <c r="CB112" s="98" t="str">
        <f aca="false">IF(ISBLANK($C112),"",$BE112)</f>
        <v/>
      </c>
      <c r="CC112" s="99" t="str">
        <f aca="false">IF(ISBLANK($C112),"",$BS112)</f>
        <v/>
      </c>
      <c r="CD112" s="99" t="str">
        <f aca="false">IF(ISBLANK($C112),"",$BR112)</f>
        <v/>
      </c>
      <c r="CE112" s="100" t="str">
        <f aca="false">IF(ISBLANK($C112),"",IF($CD112=Constants!$B$9,COUNTA($C$9:$C$508)+2,IF($CD112=Constants!$B$8,COUNTA($C$9:$C$508)+1,IF($CD112=Constants!$B$7,COUNTA($C$9:$C$508),$CD112))))</f>
        <v/>
      </c>
      <c r="CF112" s="9"/>
      <c r="CG112" s="101" t="n">
        <f aca="false">IF(OR(ISNUMBER($CD112),$CD112=Constants!$B$9,$CD112=Constants!$B$7,$CD112=Constants!$B$8),1,0)</f>
        <v>0</v>
      </c>
      <c r="CH112" s="101" t="n">
        <v>104</v>
      </c>
      <c r="CI112" s="101" t="str">
        <f aca="false">IF(ISBLANK($C112),"",IF(ISNUMBER($CE112),$CE112+ROW($B112)/1000,""))</f>
        <v/>
      </c>
      <c r="CJ112" s="101" t="str">
        <f aca="false">IF(ISNUMBER($CI112),RANK($CI112,$CI$9:$CI$508,1),"")</f>
        <v/>
      </c>
      <c r="CK112" s="101" t="str">
        <f aca="false">IF(ISBLANK($C112),"",$B112)</f>
        <v/>
      </c>
      <c r="CL112" s="101" t="str">
        <f aca="false">IF(ISBLANK($C112),"",$C112)</f>
        <v/>
      </c>
      <c r="CM112" s="101" t="str">
        <f aca="false">IF(ISBLANK($C112),"",$D112)</f>
        <v/>
      </c>
      <c r="CN112" s="102" t="str">
        <f aca="false">$CB112</f>
        <v/>
      </c>
      <c r="CO112" s="103" t="str">
        <f aca="false">$CA112</f>
        <v/>
      </c>
      <c r="CP112" s="101" t="str">
        <f aca="false">IF(ISBLANK($C112),"",$CD112)</f>
        <v/>
      </c>
      <c r="CQ112" s="104" t="str">
        <f aca="false">IF($CH112&gt;$CG$8,"",VLOOKUP($CH112,$CJ$9:$CP$508,7,FALSE()))</f>
        <v/>
      </c>
      <c r="CR112" s="105" t="str">
        <f aca="false">IF($CH112&gt;$CG$8,"",VLOOKUP($CH112,$CJ$9:$CP$508,2,FALSE()))</f>
        <v/>
      </c>
      <c r="CS112" s="105" t="str">
        <f aca="false">IF($CH112&gt;$CG$8,"",VLOOKUP($CH112,$CJ$9:$CP$508,3,FALSE()))</f>
        <v/>
      </c>
      <c r="CT112" s="105" t="str">
        <f aca="false">IF($CH112&gt;$CG$8,"",VLOOKUP($CH112,$CJ$9:$CP$508,4,FALSE()))</f>
        <v/>
      </c>
      <c r="CU112" s="105" t="str">
        <f aca="false">IF($CH112&gt;$CG$8,"",VLOOKUP($CH112,$CJ$9:$CP$508,5,FALSE()))</f>
        <v/>
      </c>
      <c r="CV112" s="106" t="str">
        <f aca="false">IF($CH112&gt;$CG$8,"",VLOOKUP($CH112,$CJ$9:$CP$508,6,FALSE()))</f>
        <v/>
      </c>
      <c r="CW112" s="71"/>
    </row>
    <row r="113" customFormat="false" ht="15.75" hidden="false" customHeight="false" outlineLevel="0" collapsed="false">
      <c r="A113" s="9"/>
      <c r="B113" s="72"/>
      <c r="C113" s="73"/>
      <c r="D113" s="160"/>
      <c r="E113" s="168"/>
      <c r="F113" s="162"/>
      <c r="G113" s="163"/>
      <c r="H113" s="169"/>
      <c r="I113" s="167"/>
      <c r="J113" s="80"/>
      <c r="K113" s="81"/>
      <c r="L113" s="82"/>
      <c r="M113" s="166"/>
      <c r="N113" s="167"/>
      <c r="O113" s="167"/>
      <c r="P113" s="80"/>
      <c r="Q113" s="82"/>
      <c r="R113" s="82"/>
      <c r="S113" s="166"/>
      <c r="T113" s="167"/>
      <c r="U113" s="86"/>
      <c r="V113" s="87"/>
      <c r="W113" s="87" t="str">
        <f aca="false">IF(ISBLANK($C113),"",IF(E113=Constants!$B$2,TRUE(),IF(E113=Constants!$B$3,FALSE(),TRUE())))</f>
        <v/>
      </c>
      <c r="X113" s="87" t="str">
        <f aca="false">IF(ISBLANK($C113),"",IF(F113=Constants!$B$2,TRUE(),IF(F113=Constants!$B$3,FALSE(),TRUE())))</f>
        <v/>
      </c>
      <c r="Y113" s="87" t="str">
        <f aca="false">IF(ISBLANK($C113),"",IF(G113=Constants!$B$2,TRUE(),IF(G113=Constants!$B$3,FALSE(),TRUE())))</f>
        <v/>
      </c>
      <c r="Z113" s="87" t="str">
        <f aca="false">IF(ISBLANK($C113),"",IF(H113=Constants!$B$2,TRUE(),IF(H113=Constants!$B$3,FALSE(),TRUE())))</f>
        <v/>
      </c>
      <c r="AA113" s="87" t="str">
        <f aca="false">IF(ISBLANK($C113),"",IF(I113=Constants!$B$2,TRUE(),IF(I113=Constants!$B$3,FALSE(),TRUE())))</f>
        <v/>
      </c>
      <c r="AB113" s="87" t="str">
        <f aca="false">IF(ISBLANK($C113),"",IF(J113=Constants!$B$4,TRUE(),IF(J113=Constants!$B$5,FALSE(),COUNTA(K113:M113)&gt;0)))</f>
        <v/>
      </c>
      <c r="AC113" s="88" t="str">
        <f aca="false">IF(ISBLANK($C113),"",IF(ISNUMBER(K113),IF(K113&gt;=0,K113,""),""))</f>
        <v/>
      </c>
      <c r="AD113" s="89" t="str">
        <f aca="false">IF(ISBLANK($C113),"",IF(ISNUMBER(L113),IF(L113&gt;=0,L113,""),""))</f>
        <v/>
      </c>
      <c r="AE113" s="87" t="str">
        <f aca="false">IF(ISBLANK($C113),"",IF(ISNUMBER(M113),IF(M113&gt;=0,MIN(M113,Constants!$B$22),""),""))</f>
        <v/>
      </c>
      <c r="AF113" s="87" t="str">
        <f aca="false">IF(ISBLANK($C113),"",IF(N113=Constants!$B$2,TRUE(),IF(N113=Constants!$B$3,FALSE(),TRUE())))</f>
        <v/>
      </c>
      <c r="AG113" s="87" t="str">
        <f aca="false">IF(ISBLANK($C113),"",IF(O113=Constants!$B$2,TRUE(),IF(O113=Constants!$B$3,FALSE(),TRUE())))</f>
        <v/>
      </c>
      <c r="AH113" s="87" t="str">
        <f aca="false">IF(ISBLANK($C113),"",IF(P113=Constants!$B$4,TRUE(),IF(P113=Constants!$B$5,FALSE(),COUNTA(Q113:S113)&gt;0)))</f>
        <v/>
      </c>
      <c r="AI113" s="88" t="str">
        <f aca="false">IF(ISBLANK($C113),"",IF(ISNUMBER(Q113),IF(Q113&gt;=0,Q113,""),""))</f>
        <v/>
      </c>
      <c r="AJ113" s="89" t="str">
        <f aca="false">IF(ISBLANK($C113),"",IF(ISNUMBER(R113),IF(R113&gt;=0,R113,""),""))</f>
        <v/>
      </c>
      <c r="AK113" s="87" t="str">
        <f aca="false">IF(ISBLANK($C113),"",IF(ISNUMBER(S113),IF(S113&gt;=0,MIN(S113,Constants!$B$22),""),""))</f>
        <v/>
      </c>
      <c r="AL113" s="87" t="str">
        <f aca="false">IF(ISBLANK($C113),"",IF(T113=Constants!$B$2,TRUE(),IF(T113=Constants!$B$3,FALSE(),FALSE())))</f>
        <v/>
      </c>
      <c r="AM113" s="86" t="str">
        <f aca="false">IF(ISBLANK($C113),"",AND($AB113,OR($AC113="",$AD113="",AND(NOT(ISBLANK($M113)),$AE113=""))))</f>
        <v/>
      </c>
      <c r="AN113" s="89" t="str">
        <f aca="false">IF($BD113&lt;&gt;Constants!$B$6,"",IF($AB113,Constants!$B$17*$AD113,Constants!$B$18))</f>
        <v/>
      </c>
      <c r="AO113" s="91" t="str">
        <f aca="false">IF($BD113&lt;&gt;Constants!$B$6,"",Constants!$B$19*IF($AB113,$AC113,0))</f>
        <v/>
      </c>
      <c r="AP113" s="91" t="str">
        <f aca="false">IF($BD113&lt;&gt;Constants!$B$6,"",IF(AND($AB113,ISNUMBER($AE113)),Constants!$B$20*(Constants!$B$21-$AE113),0))</f>
        <v/>
      </c>
      <c r="AQ113" s="91" t="str">
        <f aca="false">IF($BD113&lt;&gt;Constants!$B$6,"",IF($AA113,0,Constants!$B$12)+IF($Z113,0,Constants!$B$13)+IF($Y113,0,Constants!$B$14))</f>
        <v/>
      </c>
      <c r="AR113" s="92" t="str">
        <f aca="false">IF($BD113&lt;&gt;Constants!$B$6,"",Constants!$B$16+SUM($AN113:$AQ113))</f>
        <v/>
      </c>
      <c r="AS113" s="91" t="str">
        <f aca="false">IF($BD113&lt;&gt;Constants!$B$6,"",IF($AB113,$AD113,""))</f>
        <v/>
      </c>
      <c r="AT113" s="93" t="str">
        <f aca="false">IF($BD113&lt;&gt;Constants!$B$6,"",$AO113)</f>
        <v/>
      </c>
      <c r="AU113" s="87" t="str">
        <f aca="false">IF($BD113&lt;&gt;Constants!$B$6,"",IF(OR($BA113&lt;$AR113,AND($BA113=$AR113,OR(AND(ISNUMBER($BB113),OR(NOT(ISNUMBER($AS113)),$BB113&lt;$AS113)),AND(OR(AND($BB113="",$AS113=""),AND(ISNUMBER($BB113),ISNUMBER($AS113),$BB113=$AS113)),$BC113&lt;$AT113)))),"-&gt;","&lt;-"))</f>
        <v/>
      </c>
      <c r="AV113" s="86" t="str">
        <f aca="false">IF(ISBLANK($C113),"",AND($AH113,OR($AI113="",$AJ113="",AND(NOT(ISBLANK($S113)),$AK113=""))))</f>
        <v/>
      </c>
      <c r="AW113" s="89" t="str">
        <f aca="false">IF($BD113&lt;&gt;Constants!$B$6,"",IF($AH113,Constants!$B$17*$AJ113,Constants!$B$18))</f>
        <v/>
      </c>
      <c r="AX113" s="91" t="str">
        <f aca="false">IF($BD113&lt;&gt;Constants!$B$6,"",Constants!$B$19*IF($AH113,$AI113,0))</f>
        <v/>
      </c>
      <c r="AY113" s="91" t="str">
        <f aca="false">IF($BD113&lt;&gt;Constants!$B$6,"",IF(AND($AH113,ISNUMBER($AK113)),Constants!$B$20*(Constants!$B$21-$AK113),0))</f>
        <v/>
      </c>
      <c r="AZ113" s="91" t="str">
        <f aca="false">IF($BD113&lt;&gt;Constants!$B$6,"",IF($AG113,0,Constants!$B$12)+IF($AF113,0,Constants!$B$13)+IF($Y113,0,Constants!$B$14))</f>
        <v/>
      </c>
      <c r="BA113" s="92" t="str">
        <f aca="false">IF($BD113&lt;&gt;Constants!$B$6,"",Constants!$B$16+SUM($AW113:$AZ113))</f>
        <v/>
      </c>
      <c r="BB113" s="91" t="str">
        <f aca="false">IF($BD113&lt;&gt;Constants!$B$6,"",IF($AH113,$AJ113,""))</f>
        <v/>
      </c>
      <c r="BC113" s="93" t="str">
        <f aca="false">IF($BD113&lt;&gt;Constants!$B$6,"",$AX113)</f>
        <v/>
      </c>
      <c r="BD113" s="87" t="str">
        <f aca="false">IF(ISBLANK($C113),"",IF($AL113,Constants!$B$9,IF(COUNTA($E113:$T113)=0,Constants!$B$8,IF(NOT($X113),Constants!$B$7,IF(OR($AM113,$AV113),Constants!$B$10,Constants!$B$6)))))</f>
        <v/>
      </c>
      <c r="BE113" s="87" t="str">
        <f aca="false">IF(ISBLANK($C113),"",IF($BD113&lt;&gt;Constants!$B$6,$BD113,Constants!$B$11))</f>
        <v/>
      </c>
      <c r="BF113" s="91" t="str">
        <f aca="false">IF($BD113&lt;&gt;Constants!$B$6,"",IF($AU113="-&gt;",$BA113,$AR113))</f>
        <v/>
      </c>
      <c r="BG113" s="91" t="str">
        <f aca="false">IF($BD113&lt;&gt;Constants!$B$6,"",IF($W113,0,Constants!$B$15))</f>
        <v/>
      </c>
      <c r="BH113" s="91" t="str">
        <f aca="false">IF(ISBLANK($C113),"",IF($BD113&lt;&gt;Constants!$B$6,$BD113,SUM($BF113:$BG113)))</f>
        <v/>
      </c>
      <c r="BI113" s="87" t="str">
        <f aca="false">IF(ISBLANK($C113),"",IF($BD113&lt;&gt;Constants!$B$6,$BD113,RANK($BH113,$BH$9:$BH$508,1)))</f>
        <v/>
      </c>
      <c r="BJ113" s="91" t="str">
        <f aca="false">IF($BD113&lt;&gt;Constants!$B$6,"",IF($AU113="-&gt;",$BB113,$AS113))</f>
        <v/>
      </c>
      <c r="BK113" s="87" t="str">
        <f aca="false">IF(ISBLANK($C113),"",IF($BD113&lt;&gt;Constants!$B$6,$BD113,IF(ISNUMBER($BJ113),RANK($BJ113,$BJ$9:$BJ$508,1),COUNT($BJ$9:$BJ$508)+1)))</f>
        <v/>
      </c>
      <c r="BL113" s="91" t="str">
        <f aca="false">IF($BD113&lt;&gt;Constants!$B$6,"",IF($AU113="-&gt;",$BC113,$AT113))</f>
        <v/>
      </c>
      <c r="BM113" s="87" t="str">
        <f aca="false">IF(ISBLANK($C113),"",IF($BD113&lt;&gt;Constants!$B$6,$BD113,IF(ISNUMBER($BL113),RANK($BL113,$BL$9:$BL$508,1),COUNT($BL$9:$BL$508)+1)))</f>
        <v/>
      </c>
      <c r="BN113" s="91" t="str">
        <f aca="false">IF($BD113&lt;&gt;Constants!$B$6,"",IF($AU113="-&gt;",$AS113,$BB113))</f>
        <v/>
      </c>
      <c r="BO113" s="87" t="str">
        <f aca="false">IF(ISBLANK($C113),"",IF($BD113&lt;&gt;Constants!$B$6,$BD113,IF(ISNUMBER($BN113),RANK($BN113,$BN$9:$BN$508,1),COUNT($BN$9:$BN$508)+1)))</f>
        <v/>
      </c>
      <c r="BP113" s="91" t="str">
        <f aca="false">IF($BD113&lt;&gt;Constants!$B$6,"",IF($AU113="-&gt;",$AT113,$BC113))</f>
        <v/>
      </c>
      <c r="BQ113" s="87" t="str">
        <f aca="false">IF(ISBLANK($C113),"",IF($BD113&lt;&gt;Constants!$B$6,$BD113,IF(ISNUMBER($BP113),RANK($BP113,$BP$9:$BP$508,1),COUNT($BP$9:$BP$508)+1)))</f>
        <v/>
      </c>
      <c r="BR113" s="87" t="str">
        <f aca="false">IF(ISBLANK($C113),"",IF($BD113&lt;&gt;Constants!$B$6,$BD113,COUNTIFS($BI$9:$BI$508,"&lt;"&amp;$BI113)+COUNTIFS($BI$9:$BI$508,$BI113,$BK$9:$BK$508,"&lt;"&amp;$BK113)+COUNTIFS($BI$9:$BI$508,$BI113,$BK$9:$BK$508,$BK113,$BM$9:$BM$508,"&lt;"&amp;$BM113)+COUNTIFS($BI$9:$BI$508,$BI113,$BK$9:$BK$508,$BK113,$BM$9:$BM$508,$BM113,$BO$9:$BO$508,"&lt;"&amp;$BO113)+COUNTIFS($BI$9:$BI$508,$BI113,$BK$9:$BK$508,$BK113,$BM$9:$BM$508,$BM113,$BO$9:$BO$508,$BO113,$BQ$9:$BQ$508,"&lt;"&amp;$BQ113)+1))</f>
        <v/>
      </c>
      <c r="BS113" s="87" t="str">
        <f aca="false">IF(ISBLANK($C113),"",IF($BD113&lt;&gt;Constants!$B$6,$BD113,$BI113-$BR113))</f>
        <v/>
      </c>
      <c r="BT113" s="94"/>
      <c r="BU113" s="95"/>
      <c r="BV113" s="95" t="str">
        <f aca="false">IF(ISBLANK($C113),"",IF($BD113&lt;&gt;Constants!$B$6,"",IF($AU113="-&gt;",2,1)))</f>
        <v/>
      </c>
      <c r="BW113" s="96" t="str">
        <f aca="false">IF(ISBLANK($C113),"",IF($BD113&lt;&gt;Constants!$B$6,"",IF($AU113="-&gt;",$AW113,$AN113)))</f>
        <v/>
      </c>
      <c r="BX113" s="96" t="str">
        <f aca="false">IF(ISBLANK($C113),"",IF($BD113&lt;&gt;Constants!$B$6,"",IF($AU113="-&gt;",$AX113,$AO113)))</f>
        <v/>
      </c>
      <c r="BY113" s="96" t="str">
        <f aca="false">IF(ISBLANK($C113),"",IF($BD113&lt;&gt;Constants!$B$6,"",IF($AU113="-&gt;",$AY113,$AP113)))</f>
        <v/>
      </c>
      <c r="BZ113" s="96" t="str">
        <f aca="false">IF(ISBLANK($C113),"",IF($BD113&lt;&gt;Constants!$B$6,"",IF($AU113="-&gt;",$AZ113,$AQ113)+$BG113))</f>
        <v/>
      </c>
      <c r="CA113" s="97" t="str">
        <f aca="false">IF(ISBLANK($C113),"",IF($BD113&lt;&gt;Constants!$B$6,$BD113,$BH113))</f>
        <v/>
      </c>
      <c r="CB113" s="98" t="str">
        <f aca="false">IF(ISBLANK($C113),"",$BE113)</f>
        <v/>
      </c>
      <c r="CC113" s="99" t="str">
        <f aca="false">IF(ISBLANK($C113),"",$BS113)</f>
        <v/>
      </c>
      <c r="CD113" s="99" t="str">
        <f aca="false">IF(ISBLANK($C113),"",$BR113)</f>
        <v/>
      </c>
      <c r="CE113" s="100" t="str">
        <f aca="false">IF(ISBLANK($C113),"",IF($CD113=Constants!$B$9,COUNTA($C$9:$C$508)+2,IF($CD113=Constants!$B$8,COUNTA($C$9:$C$508)+1,IF($CD113=Constants!$B$7,COUNTA($C$9:$C$508),$CD113))))</f>
        <v/>
      </c>
      <c r="CF113" s="9"/>
      <c r="CG113" s="101" t="n">
        <f aca="false">IF(OR(ISNUMBER($CD113),$CD113=Constants!$B$9,$CD113=Constants!$B$7,$CD113=Constants!$B$8),1,0)</f>
        <v>0</v>
      </c>
      <c r="CH113" s="101" t="n">
        <v>105</v>
      </c>
      <c r="CI113" s="101" t="str">
        <f aca="false">IF(ISBLANK($C113),"",IF(ISNUMBER($CE113),$CE113+ROW($B113)/1000,""))</f>
        <v/>
      </c>
      <c r="CJ113" s="101" t="str">
        <f aca="false">IF(ISNUMBER($CI113),RANK($CI113,$CI$9:$CI$508,1),"")</f>
        <v/>
      </c>
      <c r="CK113" s="101" t="str">
        <f aca="false">IF(ISBLANK($C113),"",$B113)</f>
        <v/>
      </c>
      <c r="CL113" s="101" t="str">
        <f aca="false">IF(ISBLANK($C113),"",$C113)</f>
        <v/>
      </c>
      <c r="CM113" s="101" t="str">
        <f aca="false">IF(ISBLANK($C113),"",$D113)</f>
        <v/>
      </c>
      <c r="CN113" s="102" t="str">
        <f aca="false">$CB113</f>
        <v/>
      </c>
      <c r="CO113" s="103" t="str">
        <f aca="false">$CA113</f>
        <v/>
      </c>
      <c r="CP113" s="101" t="str">
        <f aca="false">IF(ISBLANK($C113),"",$CD113)</f>
        <v/>
      </c>
      <c r="CQ113" s="104" t="str">
        <f aca="false">IF($CH113&gt;$CG$8,"",VLOOKUP($CH113,$CJ$9:$CP$508,7,FALSE()))</f>
        <v/>
      </c>
      <c r="CR113" s="105" t="str">
        <f aca="false">IF($CH113&gt;$CG$8,"",VLOOKUP($CH113,$CJ$9:$CP$508,2,FALSE()))</f>
        <v/>
      </c>
      <c r="CS113" s="105" t="str">
        <f aca="false">IF($CH113&gt;$CG$8,"",VLOOKUP($CH113,$CJ$9:$CP$508,3,FALSE()))</f>
        <v/>
      </c>
      <c r="CT113" s="105" t="str">
        <f aca="false">IF($CH113&gt;$CG$8,"",VLOOKUP($CH113,$CJ$9:$CP$508,4,FALSE()))</f>
        <v/>
      </c>
      <c r="CU113" s="105" t="str">
        <f aca="false">IF($CH113&gt;$CG$8,"",VLOOKUP($CH113,$CJ$9:$CP$508,5,FALSE()))</f>
        <v/>
      </c>
      <c r="CV113" s="106" t="str">
        <f aca="false">IF($CH113&gt;$CG$8,"",VLOOKUP($CH113,$CJ$9:$CP$508,6,FALSE()))</f>
        <v/>
      </c>
      <c r="CW113" s="71"/>
    </row>
    <row r="114" customFormat="false" ht="15.75" hidden="false" customHeight="false" outlineLevel="0" collapsed="false">
      <c r="A114" s="9"/>
      <c r="B114" s="150"/>
      <c r="C114" s="151"/>
      <c r="D114" s="152"/>
      <c r="E114" s="170"/>
      <c r="F114" s="154"/>
      <c r="G114" s="155"/>
      <c r="H114" s="171"/>
      <c r="I114" s="159"/>
      <c r="J114" s="120"/>
      <c r="K114" s="121"/>
      <c r="L114" s="122"/>
      <c r="M114" s="158"/>
      <c r="N114" s="159"/>
      <c r="O114" s="159"/>
      <c r="P114" s="120"/>
      <c r="Q114" s="122"/>
      <c r="R114" s="122"/>
      <c r="S114" s="158"/>
      <c r="T114" s="159"/>
      <c r="U114" s="126"/>
      <c r="V114" s="127"/>
      <c r="W114" s="127" t="str">
        <f aca="false">IF(ISBLANK($C114),"",IF(E114=Constants!$B$2,TRUE(),IF(E114=Constants!$B$3,FALSE(),TRUE())))</f>
        <v/>
      </c>
      <c r="X114" s="127" t="str">
        <f aca="false">IF(ISBLANK($C114),"",IF(F114=Constants!$B$2,TRUE(),IF(F114=Constants!$B$3,FALSE(),TRUE())))</f>
        <v/>
      </c>
      <c r="Y114" s="127" t="str">
        <f aca="false">IF(ISBLANK($C114),"",IF(G114=Constants!$B$2,TRUE(),IF(G114=Constants!$B$3,FALSE(),TRUE())))</f>
        <v/>
      </c>
      <c r="Z114" s="127" t="str">
        <f aca="false">IF(ISBLANK($C114),"",IF(H114=Constants!$B$2,TRUE(),IF(H114=Constants!$B$3,FALSE(),TRUE())))</f>
        <v/>
      </c>
      <c r="AA114" s="127" t="str">
        <f aca="false">IF(ISBLANK($C114),"",IF(I114=Constants!$B$2,TRUE(),IF(I114=Constants!$B$3,FALSE(),TRUE())))</f>
        <v/>
      </c>
      <c r="AB114" s="127" t="str">
        <f aca="false">IF(ISBLANK($C114),"",IF(J114=Constants!$B$4,TRUE(),IF(J114=Constants!$B$5,FALSE(),COUNTA(K114:M114)&gt;0)))</f>
        <v/>
      </c>
      <c r="AC114" s="128" t="str">
        <f aca="false">IF(ISBLANK($C114),"",IF(ISNUMBER(K114),IF(K114&gt;=0,K114,""),""))</f>
        <v/>
      </c>
      <c r="AD114" s="129" t="str">
        <f aca="false">IF(ISBLANK($C114),"",IF(ISNUMBER(L114),IF(L114&gt;=0,L114,""),""))</f>
        <v/>
      </c>
      <c r="AE114" s="127" t="str">
        <f aca="false">IF(ISBLANK($C114),"",IF(ISNUMBER(M114),IF(M114&gt;=0,MIN(M114,Constants!$B$22),""),""))</f>
        <v/>
      </c>
      <c r="AF114" s="127" t="str">
        <f aca="false">IF(ISBLANK($C114),"",IF(N114=Constants!$B$2,TRUE(),IF(N114=Constants!$B$3,FALSE(),TRUE())))</f>
        <v/>
      </c>
      <c r="AG114" s="127" t="str">
        <f aca="false">IF(ISBLANK($C114),"",IF(O114=Constants!$B$2,TRUE(),IF(O114=Constants!$B$3,FALSE(),TRUE())))</f>
        <v/>
      </c>
      <c r="AH114" s="127" t="str">
        <f aca="false">IF(ISBLANK($C114),"",IF(P114=Constants!$B$4,TRUE(),IF(P114=Constants!$B$5,FALSE(),COUNTA(Q114:S114)&gt;0)))</f>
        <v/>
      </c>
      <c r="AI114" s="128" t="str">
        <f aca="false">IF(ISBLANK($C114),"",IF(ISNUMBER(Q114),IF(Q114&gt;=0,Q114,""),""))</f>
        <v/>
      </c>
      <c r="AJ114" s="129" t="str">
        <f aca="false">IF(ISBLANK($C114),"",IF(ISNUMBER(R114),IF(R114&gt;=0,R114,""),""))</f>
        <v/>
      </c>
      <c r="AK114" s="127" t="str">
        <f aca="false">IF(ISBLANK($C114),"",IF(ISNUMBER(S114),IF(S114&gt;=0,MIN(S114,Constants!$B$22),""),""))</f>
        <v/>
      </c>
      <c r="AL114" s="127" t="str">
        <f aca="false">IF(ISBLANK($C114),"",IF(T114=Constants!$B$2,TRUE(),IF(T114=Constants!$B$3,FALSE(),FALSE())))</f>
        <v/>
      </c>
      <c r="AM114" s="126" t="str">
        <f aca="false">IF(ISBLANK($C114),"",AND($AB114,OR($AC114="",$AD114="",AND(NOT(ISBLANK($M114)),$AE114=""))))</f>
        <v/>
      </c>
      <c r="AN114" s="129" t="str">
        <f aca="false">IF($BD114&lt;&gt;Constants!$B$6,"",IF($AB114,Constants!$B$17*$AD114,Constants!$B$18))</f>
        <v/>
      </c>
      <c r="AO114" s="130" t="str">
        <f aca="false">IF($BD114&lt;&gt;Constants!$B$6,"",Constants!$B$19*IF($AB114,$AC114,0))</f>
        <v/>
      </c>
      <c r="AP114" s="130" t="str">
        <f aca="false">IF($BD114&lt;&gt;Constants!$B$6,"",IF(AND($AB114,ISNUMBER($AE114)),Constants!$B$20*(Constants!$B$21-$AE114),0))</f>
        <v/>
      </c>
      <c r="AQ114" s="130" t="str">
        <f aca="false">IF($BD114&lt;&gt;Constants!$B$6,"",IF($AA114,0,Constants!$B$12)+IF($Z114,0,Constants!$B$13)+IF($Y114,0,Constants!$B$14))</f>
        <v/>
      </c>
      <c r="AR114" s="131" t="str">
        <f aca="false">IF($BD114&lt;&gt;Constants!$B$6,"",Constants!$B$16+SUM($AN114:$AQ114))</f>
        <v/>
      </c>
      <c r="AS114" s="130" t="str">
        <f aca="false">IF($BD114&lt;&gt;Constants!$B$6,"",IF($AB114,$AD114,""))</f>
        <v/>
      </c>
      <c r="AT114" s="132" t="str">
        <f aca="false">IF($BD114&lt;&gt;Constants!$B$6,"",$AO114)</f>
        <v/>
      </c>
      <c r="AU114" s="127" t="str">
        <f aca="false">IF($BD114&lt;&gt;Constants!$B$6,"",IF(OR($BA114&lt;$AR114,AND($BA114=$AR114,OR(AND(ISNUMBER($BB114),OR(NOT(ISNUMBER($AS114)),$BB114&lt;$AS114)),AND(OR(AND($BB114="",$AS114=""),AND(ISNUMBER($BB114),ISNUMBER($AS114),$BB114=$AS114)),$BC114&lt;$AT114)))),"-&gt;","&lt;-"))</f>
        <v/>
      </c>
      <c r="AV114" s="126" t="str">
        <f aca="false">IF(ISBLANK($C114),"",AND($AH114,OR($AI114="",$AJ114="",AND(NOT(ISBLANK($S114)),$AK114=""))))</f>
        <v/>
      </c>
      <c r="AW114" s="129" t="str">
        <f aca="false">IF($BD114&lt;&gt;Constants!$B$6,"",IF($AH114,Constants!$B$17*$AJ114,Constants!$B$18))</f>
        <v/>
      </c>
      <c r="AX114" s="130" t="str">
        <f aca="false">IF($BD114&lt;&gt;Constants!$B$6,"",Constants!$B$19*IF($AH114,$AI114,0))</f>
        <v/>
      </c>
      <c r="AY114" s="130" t="str">
        <f aca="false">IF($BD114&lt;&gt;Constants!$B$6,"",IF(AND($AH114,ISNUMBER($AK114)),Constants!$B$20*(Constants!$B$21-$AK114),0))</f>
        <v/>
      </c>
      <c r="AZ114" s="130" t="str">
        <f aca="false">IF($BD114&lt;&gt;Constants!$B$6,"",IF($AG114,0,Constants!$B$12)+IF($AF114,0,Constants!$B$13)+IF($Y114,0,Constants!$B$14))</f>
        <v/>
      </c>
      <c r="BA114" s="131" t="str">
        <f aca="false">IF($BD114&lt;&gt;Constants!$B$6,"",Constants!$B$16+SUM($AW114:$AZ114))</f>
        <v/>
      </c>
      <c r="BB114" s="130" t="str">
        <f aca="false">IF($BD114&lt;&gt;Constants!$B$6,"",IF($AH114,$AJ114,""))</f>
        <v/>
      </c>
      <c r="BC114" s="132" t="str">
        <f aca="false">IF($BD114&lt;&gt;Constants!$B$6,"",$AX114)</f>
        <v/>
      </c>
      <c r="BD114" s="127" t="str">
        <f aca="false">IF(ISBLANK($C114),"",IF($AL114,Constants!$B$9,IF(COUNTA($E114:$T114)=0,Constants!$B$8,IF(NOT($X114),Constants!$B$7,IF(OR($AM114,$AV114),Constants!$B$10,Constants!$B$6)))))</f>
        <v/>
      </c>
      <c r="BE114" s="127" t="str">
        <f aca="false">IF(ISBLANK($C114),"",IF($BD114&lt;&gt;Constants!$B$6,$BD114,Constants!$B$11))</f>
        <v/>
      </c>
      <c r="BF114" s="130" t="str">
        <f aca="false">IF($BD114&lt;&gt;Constants!$B$6,"",IF($AU114="-&gt;",$BA114,$AR114))</f>
        <v/>
      </c>
      <c r="BG114" s="130" t="str">
        <f aca="false">IF($BD114&lt;&gt;Constants!$B$6,"",IF($W114,0,Constants!$B$15))</f>
        <v/>
      </c>
      <c r="BH114" s="130" t="str">
        <f aca="false">IF(ISBLANK($C114),"",IF($BD114&lt;&gt;Constants!$B$6,$BD114,SUM($BF114:$BG114)))</f>
        <v/>
      </c>
      <c r="BI114" s="127" t="str">
        <f aca="false">IF(ISBLANK($C114),"",IF($BD114&lt;&gt;Constants!$B$6,$BD114,RANK($BH114,$BH$9:$BH$508,1)))</f>
        <v/>
      </c>
      <c r="BJ114" s="130" t="str">
        <f aca="false">IF($BD114&lt;&gt;Constants!$B$6,"",IF($AU114="-&gt;",$BB114,$AS114))</f>
        <v/>
      </c>
      <c r="BK114" s="127" t="str">
        <f aca="false">IF(ISBLANK($C114),"",IF($BD114&lt;&gt;Constants!$B$6,$BD114,IF(ISNUMBER($BJ114),RANK($BJ114,$BJ$9:$BJ$508,1),COUNT($BJ$9:$BJ$508)+1)))</f>
        <v/>
      </c>
      <c r="BL114" s="130" t="str">
        <f aca="false">IF($BD114&lt;&gt;Constants!$B$6,"",IF($AU114="-&gt;",$BC114,$AT114))</f>
        <v/>
      </c>
      <c r="BM114" s="127" t="str">
        <f aca="false">IF(ISBLANK($C114),"",IF($BD114&lt;&gt;Constants!$B$6,$BD114,IF(ISNUMBER($BL114),RANK($BL114,$BL$9:$BL$508,1),COUNT($BL$9:$BL$508)+1)))</f>
        <v/>
      </c>
      <c r="BN114" s="130" t="str">
        <f aca="false">IF($BD114&lt;&gt;Constants!$B$6,"",IF($AU114="-&gt;",$AS114,$BB114))</f>
        <v/>
      </c>
      <c r="BO114" s="127" t="str">
        <f aca="false">IF(ISBLANK($C114),"",IF($BD114&lt;&gt;Constants!$B$6,$BD114,IF(ISNUMBER($BN114),RANK($BN114,$BN$9:$BN$508,1),COUNT($BN$9:$BN$508)+1)))</f>
        <v/>
      </c>
      <c r="BP114" s="130" t="str">
        <f aca="false">IF($BD114&lt;&gt;Constants!$B$6,"",IF($AU114="-&gt;",$AT114,$BC114))</f>
        <v/>
      </c>
      <c r="BQ114" s="127" t="str">
        <f aca="false">IF(ISBLANK($C114),"",IF($BD114&lt;&gt;Constants!$B$6,$BD114,IF(ISNUMBER($BP114),RANK($BP114,$BP$9:$BP$508,1),COUNT($BP$9:$BP$508)+1)))</f>
        <v/>
      </c>
      <c r="BR114" s="127" t="str">
        <f aca="false">IF(ISBLANK($C114),"",IF($BD114&lt;&gt;Constants!$B$6,$BD114,COUNTIFS($BI$9:$BI$508,"&lt;"&amp;$BI114)+COUNTIFS($BI$9:$BI$508,$BI114,$BK$9:$BK$508,"&lt;"&amp;$BK114)+COUNTIFS($BI$9:$BI$508,$BI114,$BK$9:$BK$508,$BK114,$BM$9:$BM$508,"&lt;"&amp;$BM114)+COUNTIFS($BI$9:$BI$508,$BI114,$BK$9:$BK$508,$BK114,$BM$9:$BM$508,$BM114,$BO$9:$BO$508,"&lt;"&amp;$BO114)+COUNTIFS($BI$9:$BI$508,$BI114,$BK$9:$BK$508,$BK114,$BM$9:$BM$508,$BM114,$BO$9:$BO$508,$BO114,$BQ$9:$BQ$508,"&lt;"&amp;$BQ114)+1))</f>
        <v/>
      </c>
      <c r="BS114" s="127" t="str">
        <f aca="false">IF(ISBLANK($C114),"",IF($BD114&lt;&gt;Constants!$B$6,$BD114,$BI114-$BR114))</f>
        <v/>
      </c>
      <c r="BT114" s="133"/>
      <c r="BU114" s="134"/>
      <c r="BV114" s="134" t="str">
        <f aca="false">IF(ISBLANK($C114),"",IF($BD114&lt;&gt;Constants!$B$6,"",IF($AU114="-&gt;",2,1)))</f>
        <v/>
      </c>
      <c r="BW114" s="135" t="str">
        <f aca="false">IF(ISBLANK($C114),"",IF($BD114&lt;&gt;Constants!$B$6,"",IF($AU114="-&gt;",$AW114,$AN114)))</f>
        <v/>
      </c>
      <c r="BX114" s="135" t="str">
        <f aca="false">IF(ISBLANK($C114),"",IF($BD114&lt;&gt;Constants!$B$6,"",IF($AU114="-&gt;",$AX114,$AO114)))</f>
        <v/>
      </c>
      <c r="BY114" s="135" t="str">
        <f aca="false">IF(ISBLANK($C114),"",IF($BD114&lt;&gt;Constants!$B$6,"",IF($AU114="-&gt;",$AY114,$AP114)))</f>
        <v/>
      </c>
      <c r="BZ114" s="135" t="str">
        <f aca="false">IF(ISBLANK($C114),"",IF($BD114&lt;&gt;Constants!$B$6,"",IF($AU114="-&gt;",$AZ114,$AQ114)+$BG114))</f>
        <v/>
      </c>
      <c r="CA114" s="136" t="str">
        <f aca="false">IF(ISBLANK($C114),"",IF($BD114&lt;&gt;Constants!$B$6,$BD114,$BH114))</f>
        <v/>
      </c>
      <c r="CB114" s="137" t="str">
        <f aca="false">IF(ISBLANK($C114),"",$BE114)</f>
        <v/>
      </c>
      <c r="CC114" s="138" t="str">
        <f aca="false">IF(ISBLANK($C114),"",$BS114)</f>
        <v/>
      </c>
      <c r="CD114" s="138" t="str">
        <f aca="false">IF(ISBLANK($C114),"",$BR114)</f>
        <v/>
      </c>
      <c r="CE114" s="139" t="str">
        <f aca="false">IF(ISBLANK($C114),"",IF($CD114=Constants!$B$9,COUNTA($C$9:$C$508)+2,IF($CD114=Constants!$B$8,COUNTA($C$9:$C$508)+1,IF($CD114=Constants!$B$7,COUNTA($C$9:$C$508),$CD114))))</f>
        <v/>
      </c>
      <c r="CF114" s="9"/>
      <c r="CG114" s="140" t="n">
        <f aca="false">IF(OR(ISNUMBER($CD114),$CD114=Constants!$B$9,$CD114=Constants!$B$7,$CD114=Constants!$B$8),1,0)</f>
        <v>0</v>
      </c>
      <c r="CH114" s="140" t="n">
        <v>106</v>
      </c>
      <c r="CI114" s="140" t="str">
        <f aca="false">IF(ISBLANK($C114),"",IF(ISNUMBER($CE114),$CE114+ROW($B114)/1000,""))</f>
        <v/>
      </c>
      <c r="CJ114" s="140" t="str">
        <f aca="false">IF(ISNUMBER($CI114),RANK($CI114,$CI$9:$CI$508,1),"")</f>
        <v/>
      </c>
      <c r="CK114" s="140" t="str">
        <f aca="false">IF(ISBLANK($C114),"",$B114)</f>
        <v/>
      </c>
      <c r="CL114" s="140" t="str">
        <f aca="false">IF(ISBLANK($C114),"",$C114)</f>
        <v/>
      </c>
      <c r="CM114" s="140" t="str">
        <f aca="false">IF(ISBLANK($C114),"",$D114)</f>
        <v/>
      </c>
      <c r="CN114" s="141" t="str">
        <f aca="false">$CB114</f>
        <v/>
      </c>
      <c r="CO114" s="142" t="str">
        <f aca="false">$CA114</f>
        <v/>
      </c>
      <c r="CP114" s="140" t="str">
        <f aca="false">IF(ISBLANK($C114),"",$CD114)</f>
        <v/>
      </c>
      <c r="CQ114" s="143" t="str">
        <f aca="false">IF($CH114&gt;$CG$8,"",VLOOKUP($CH114,$CJ$9:$CP$508,7,FALSE()))</f>
        <v/>
      </c>
      <c r="CR114" s="144" t="str">
        <f aca="false">IF($CH114&gt;$CG$8,"",VLOOKUP($CH114,$CJ$9:$CP$508,2,FALSE()))</f>
        <v/>
      </c>
      <c r="CS114" s="144" t="str">
        <f aca="false">IF($CH114&gt;$CG$8,"",VLOOKUP($CH114,$CJ$9:$CP$508,3,FALSE()))</f>
        <v/>
      </c>
      <c r="CT114" s="144" t="str">
        <f aca="false">IF($CH114&gt;$CG$8,"",VLOOKUP($CH114,$CJ$9:$CP$508,4,FALSE()))</f>
        <v/>
      </c>
      <c r="CU114" s="144" t="str">
        <f aca="false">IF($CH114&gt;$CG$8,"",VLOOKUP($CH114,$CJ$9:$CP$508,5,FALSE()))</f>
        <v/>
      </c>
      <c r="CV114" s="145" t="str">
        <f aca="false">IF($CH114&gt;$CG$8,"",VLOOKUP($CH114,$CJ$9:$CP$508,6,FALSE()))</f>
        <v/>
      </c>
      <c r="CW114" s="71"/>
    </row>
    <row r="115" customFormat="false" ht="15.75" hidden="false" customHeight="false" outlineLevel="0" collapsed="false">
      <c r="A115" s="9"/>
      <c r="B115" s="150"/>
      <c r="C115" s="151"/>
      <c r="D115" s="152"/>
      <c r="E115" s="170"/>
      <c r="F115" s="154"/>
      <c r="G115" s="155"/>
      <c r="H115" s="171"/>
      <c r="I115" s="159"/>
      <c r="J115" s="120"/>
      <c r="K115" s="121"/>
      <c r="L115" s="122"/>
      <c r="M115" s="158"/>
      <c r="N115" s="159"/>
      <c r="O115" s="159"/>
      <c r="P115" s="120"/>
      <c r="Q115" s="122"/>
      <c r="R115" s="122"/>
      <c r="S115" s="158"/>
      <c r="T115" s="159"/>
      <c r="U115" s="126"/>
      <c r="V115" s="127"/>
      <c r="W115" s="127" t="str">
        <f aca="false">IF(ISBLANK($C115),"",IF(E115=Constants!$B$2,TRUE(),IF(E115=Constants!$B$3,FALSE(),TRUE())))</f>
        <v/>
      </c>
      <c r="X115" s="127" t="str">
        <f aca="false">IF(ISBLANK($C115),"",IF(F115=Constants!$B$2,TRUE(),IF(F115=Constants!$B$3,FALSE(),TRUE())))</f>
        <v/>
      </c>
      <c r="Y115" s="127" t="str">
        <f aca="false">IF(ISBLANK($C115),"",IF(G115=Constants!$B$2,TRUE(),IF(G115=Constants!$B$3,FALSE(),TRUE())))</f>
        <v/>
      </c>
      <c r="Z115" s="127" t="str">
        <f aca="false">IF(ISBLANK($C115),"",IF(H115=Constants!$B$2,TRUE(),IF(H115=Constants!$B$3,FALSE(),TRUE())))</f>
        <v/>
      </c>
      <c r="AA115" s="127" t="str">
        <f aca="false">IF(ISBLANK($C115),"",IF(I115=Constants!$B$2,TRUE(),IF(I115=Constants!$B$3,FALSE(),TRUE())))</f>
        <v/>
      </c>
      <c r="AB115" s="127" t="str">
        <f aca="false">IF(ISBLANK($C115),"",IF(J115=Constants!$B$4,TRUE(),IF(J115=Constants!$B$5,FALSE(),COUNTA(K115:M115)&gt;0)))</f>
        <v/>
      </c>
      <c r="AC115" s="128" t="str">
        <f aca="false">IF(ISBLANK($C115),"",IF(ISNUMBER(K115),IF(K115&gt;=0,K115,""),""))</f>
        <v/>
      </c>
      <c r="AD115" s="129" t="str">
        <f aca="false">IF(ISBLANK($C115),"",IF(ISNUMBER(L115),IF(L115&gt;=0,L115,""),""))</f>
        <v/>
      </c>
      <c r="AE115" s="127" t="str">
        <f aca="false">IF(ISBLANK($C115),"",IF(ISNUMBER(M115),IF(M115&gt;=0,MIN(M115,Constants!$B$22),""),""))</f>
        <v/>
      </c>
      <c r="AF115" s="127" t="str">
        <f aca="false">IF(ISBLANK($C115),"",IF(N115=Constants!$B$2,TRUE(),IF(N115=Constants!$B$3,FALSE(),TRUE())))</f>
        <v/>
      </c>
      <c r="AG115" s="127" t="str">
        <f aca="false">IF(ISBLANK($C115),"",IF(O115=Constants!$B$2,TRUE(),IF(O115=Constants!$B$3,FALSE(),TRUE())))</f>
        <v/>
      </c>
      <c r="AH115" s="127" t="str">
        <f aca="false">IF(ISBLANK($C115),"",IF(P115=Constants!$B$4,TRUE(),IF(P115=Constants!$B$5,FALSE(),COUNTA(Q115:S115)&gt;0)))</f>
        <v/>
      </c>
      <c r="AI115" s="128" t="str">
        <f aca="false">IF(ISBLANK($C115),"",IF(ISNUMBER(Q115),IF(Q115&gt;=0,Q115,""),""))</f>
        <v/>
      </c>
      <c r="AJ115" s="129" t="str">
        <f aca="false">IF(ISBLANK($C115),"",IF(ISNUMBER(R115),IF(R115&gt;=0,R115,""),""))</f>
        <v/>
      </c>
      <c r="AK115" s="127" t="str">
        <f aca="false">IF(ISBLANK($C115),"",IF(ISNUMBER(S115),IF(S115&gt;=0,MIN(S115,Constants!$B$22),""),""))</f>
        <v/>
      </c>
      <c r="AL115" s="127" t="str">
        <f aca="false">IF(ISBLANK($C115),"",IF(T115=Constants!$B$2,TRUE(),IF(T115=Constants!$B$3,FALSE(),FALSE())))</f>
        <v/>
      </c>
      <c r="AM115" s="126" t="str">
        <f aca="false">IF(ISBLANK($C115),"",AND($AB115,OR($AC115="",$AD115="",AND(NOT(ISBLANK($M115)),$AE115=""))))</f>
        <v/>
      </c>
      <c r="AN115" s="129" t="str">
        <f aca="false">IF($BD115&lt;&gt;Constants!$B$6,"",IF($AB115,Constants!$B$17*$AD115,Constants!$B$18))</f>
        <v/>
      </c>
      <c r="AO115" s="130" t="str">
        <f aca="false">IF($BD115&lt;&gt;Constants!$B$6,"",Constants!$B$19*IF($AB115,$AC115,0))</f>
        <v/>
      </c>
      <c r="AP115" s="130" t="str">
        <f aca="false">IF($BD115&lt;&gt;Constants!$B$6,"",IF(AND($AB115,ISNUMBER($AE115)),Constants!$B$20*(Constants!$B$21-$AE115),0))</f>
        <v/>
      </c>
      <c r="AQ115" s="130" t="str">
        <f aca="false">IF($BD115&lt;&gt;Constants!$B$6,"",IF($AA115,0,Constants!$B$12)+IF($Z115,0,Constants!$B$13)+IF($Y115,0,Constants!$B$14))</f>
        <v/>
      </c>
      <c r="AR115" s="131" t="str">
        <f aca="false">IF($BD115&lt;&gt;Constants!$B$6,"",Constants!$B$16+SUM($AN115:$AQ115))</f>
        <v/>
      </c>
      <c r="AS115" s="130" t="str">
        <f aca="false">IF($BD115&lt;&gt;Constants!$B$6,"",IF($AB115,$AD115,""))</f>
        <v/>
      </c>
      <c r="AT115" s="132" t="str">
        <f aca="false">IF($BD115&lt;&gt;Constants!$B$6,"",$AO115)</f>
        <v/>
      </c>
      <c r="AU115" s="127" t="str">
        <f aca="false">IF($BD115&lt;&gt;Constants!$B$6,"",IF(OR($BA115&lt;$AR115,AND($BA115=$AR115,OR(AND(ISNUMBER($BB115),OR(NOT(ISNUMBER($AS115)),$BB115&lt;$AS115)),AND(OR(AND($BB115="",$AS115=""),AND(ISNUMBER($BB115),ISNUMBER($AS115),$BB115=$AS115)),$BC115&lt;$AT115)))),"-&gt;","&lt;-"))</f>
        <v/>
      </c>
      <c r="AV115" s="126" t="str">
        <f aca="false">IF(ISBLANK($C115),"",AND($AH115,OR($AI115="",$AJ115="",AND(NOT(ISBLANK($S115)),$AK115=""))))</f>
        <v/>
      </c>
      <c r="AW115" s="129" t="str">
        <f aca="false">IF($BD115&lt;&gt;Constants!$B$6,"",IF($AH115,Constants!$B$17*$AJ115,Constants!$B$18))</f>
        <v/>
      </c>
      <c r="AX115" s="130" t="str">
        <f aca="false">IF($BD115&lt;&gt;Constants!$B$6,"",Constants!$B$19*IF($AH115,$AI115,0))</f>
        <v/>
      </c>
      <c r="AY115" s="130" t="str">
        <f aca="false">IF($BD115&lt;&gt;Constants!$B$6,"",IF(AND($AH115,ISNUMBER($AK115)),Constants!$B$20*(Constants!$B$21-$AK115),0))</f>
        <v/>
      </c>
      <c r="AZ115" s="130" t="str">
        <f aca="false">IF($BD115&lt;&gt;Constants!$B$6,"",IF($AG115,0,Constants!$B$12)+IF($AF115,0,Constants!$B$13)+IF($Y115,0,Constants!$B$14))</f>
        <v/>
      </c>
      <c r="BA115" s="131" t="str">
        <f aca="false">IF($BD115&lt;&gt;Constants!$B$6,"",Constants!$B$16+SUM($AW115:$AZ115))</f>
        <v/>
      </c>
      <c r="BB115" s="130" t="str">
        <f aca="false">IF($BD115&lt;&gt;Constants!$B$6,"",IF($AH115,$AJ115,""))</f>
        <v/>
      </c>
      <c r="BC115" s="132" t="str">
        <f aca="false">IF($BD115&lt;&gt;Constants!$B$6,"",$AX115)</f>
        <v/>
      </c>
      <c r="BD115" s="127" t="str">
        <f aca="false">IF(ISBLANK($C115),"",IF($AL115,Constants!$B$9,IF(COUNTA($E115:$T115)=0,Constants!$B$8,IF(NOT($X115),Constants!$B$7,IF(OR($AM115,$AV115),Constants!$B$10,Constants!$B$6)))))</f>
        <v/>
      </c>
      <c r="BE115" s="127" t="str">
        <f aca="false">IF(ISBLANK($C115),"",IF($BD115&lt;&gt;Constants!$B$6,$BD115,Constants!$B$11))</f>
        <v/>
      </c>
      <c r="BF115" s="130" t="str">
        <f aca="false">IF($BD115&lt;&gt;Constants!$B$6,"",IF($AU115="-&gt;",$BA115,$AR115))</f>
        <v/>
      </c>
      <c r="BG115" s="130" t="str">
        <f aca="false">IF($BD115&lt;&gt;Constants!$B$6,"",IF($W115,0,Constants!$B$15))</f>
        <v/>
      </c>
      <c r="BH115" s="130" t="str">
        <f aca="false">IF(ISBLANK($C115),"",IF($BD115&lt;&gt;Constants!$B$6,$BD115,SUM($BF115:$BG115)))</f>
        <v/>
      </c>
      <c r="BI115" s="127" t="str">
        <f aca="false">IF(ISBLANK($C115),"",IF($BD115&lt;&gt;Constants!$B$6,$BD115,RANK($BH115,$BH$9:$BH$508,1)))</f>
        <v/>
      </c>
      <c r="BJ115" s="130" t="str">
        <f aca="false">IF($BD115&lt;&gt;Constants!$B$6,"",IF($AU115="-&gt;",$BB115,$AS115))</f>
        <v/>
      </c>
      <c r="BK115" s="127" t="str">
        <f aca="false">IF(ISBLANK($C115),"",IF($BD115&lt;&gt;Constants!$B$6,$BD115,IF(ISNUMBER($BJ115),RANK($BJ115,$BJ$9:$BJ$508,1),COUNT($BJ$9:$BJ$508)+1)))</f>
        <v/>
      </c>
      <c r="BL115" s="130" t="str">
        <f aca="false">IF($BD115&lt;&gt;Constants!$B$6,"",IF($AU115="-&gt;",$BC115,$AT115))</f>
        <v/>
      </c>
      <c r="BM115" s="127" t="str">
        <f aca="false">IF(ISBLANK($C115),"",IF($BD115&lt;&gt;Constants!$B$6,$BD115,IF(ISNUMBER($BL115),RANK($BL115,$BL$9:$BL$508,1),COUNT($BL$9:$BL$508)+1)))</f>
        <v/>
      </c>
      <c r="BN115" s="130" t="str">
        <f aca="false">IF($BD115&lt;&gt;Constants!$B$6,"",IF($AU115="-&gt;",$AS115,$BB115))</f>
        <v/>
      </c>
      <c r="BO115" s="127" t="str">
        <f aca="false">IF(ISBLANK($C115),"",IF($BD115&lt;&gt;Constants!$B$6,$BD115,IF(ISNUMBER($BN115),RANK($BN115,$BN$9:$BN$508,1),COUNT($BN$9:$BN$508)+1)))</f>
        <v/>
      </c>
      <c r="BP115" s="130" t="str">
        <f aca="false">IF($BD115&lt;&gt;Constants!$B$6,"",IF($AU115="-&gt;",$AT115,$BC115))</f>
        <v/>
      </c>
      <c r="BQ115" s="127" t="str">
        <f aca="false">IF(ISBLANK($C115),"",IF($BD115&lt;&gt;Constants!$B$6,$BD115,IF(ISNUMBER($BP115),RANK($BP115,$BP$9:$BP$508,1),COUNT($BP$9:$BP$508)+1)))</f>
        <v/>
      </c>
      <c r="BR115" s="127" t="str">
        <f aca="false">IF(ISBLANK($C115),"",IF($BD115&lt;&gt;Constants!$B$6,$BD115,COUNTIFS($BI$9:$BI$508,"&lt;"&amp;$BI115)+COUNTIFS($BI$9:$BI$508,$BI115,$BK$9:$BK$508,"&lt;"&amp;$BK115)+COUNTIFS($BI$9:$BI$508,$BI115,$BK$9:$BK$508,$BK115,$BM$9:$BM$508,"&lt;"&amp;$BM115)+COUNTIFS($BI$9:$BI$508,$BI115,$BK$9:$BK$508,$BK115,$BM$9:$BM$508,$BM115,$BO$9:$BO$508,"&lt;"&amp;$BO115)+COUNTIFS($BI$9:$BI$508,$BI115,$BK$9:$BK$508,$BK115,$BM$9:$BM$508,$BM115,$BO$9:$BO$508,$BO115,$BQ$9:$BQ$508,"&lt;"&amp;$BQ115)+1))</f>
        <v/>
      </c>
      <c r="BS115" s="127" t="str">
        <f aca="false">IF(ISBLANK($C115),"",IF($BD115&lt;&gt;Constants!$B$6,$BD115,$BI115-$BR115))</f>
        <v/>
      </c>
      <c r="BT115" s="133"/>
      <c r="BU115" s="134"/>
      <c r="BV115" s="134" t="str">
        <f aca="false">IF(ISBLANK($C115),"",IF($BD115&lt;&gt;Constants!$B$6,"",IF($AU115="-&gt;",2,1)))</f>
        <v/>
      </c>
      <c r="BW115" s="135" t="str">
        <f aca="false">IF(ISBLANK($C115),"",IF($BD115&lt;&gt;Constants!$B$6,"",IF($AU115="-&gt;",$AW115,$AN115)))</f>
        <v/>
      </c>
      <c r="BX115" s="135" t="str">
        <f aca="false">IF(ISBLANK($C115),"",IF($BD115&lt;&gt;Constants!$B$6,"",IF($AU115="-&gt;",$AX115,$AO115)))</f>
        <v/>
      </c>
      <c r="BY115" s="135" t="str">
        <f aca="false">IF(ISBLANK($C115),"",IF($BD115&lt;&gt;Constants!$B$6,"",IF($AU115="-&gt;",$AY115,$AP115)))</f>
        <v/>
      </c>
      <c r="BZ115" s="135" t="str">
        <f aca="false">IF(ISBLANK($C115),"",IF($BD115&lt;&gt;Constants!$B$6,"",IF($AU115="-&gt;",$AZ115,$AQ115)+$BG115))</f>
        <v/>
      </c>
      <c r="CA115" s="136" t="str">
        <f aca="false">IF(ISBLANK($C115),"",IF($BD115&lt;&gt;Constants!$B$6,$BD115,$BH115))</f>
        <v/>
      </c>
      <c r="CB115" s="137" t="str">
        <f aca="false">IF(ISBLANK($C115),"",$BE115)</f>
        <v/>
      </c>
      <c r="CC115" s="138" t="str">
        <f aca="false">IF(ISBLANK($C115),"",$BS115)</f>
        <v/>
      </c>
      <c r="CD115" s="138" t="str">
        <f aca="false">IF(ISBLANK($C115),"",$BR115)</f>
        <v/>
      </c>
      <c r="CE115" s="139" t="str">
        <f aca="false">IF(ISBLANK($C115),"",IF($CD115=Constants!$B$9,COUNTA($C$9:$C$508)+2,IF($CD115=Constants!$B$8,COUNTA($C$9:$C$508)+1,IF($CD115=Constants!$B$7,COUNTA($C$9:$C$508),$CD115))))</f>
        <v/>
      </c>
      <c r="CF115" s="9"/>
      <c r="CG115" s="140" t="n">
        <f aca="false">IF(OR(ISNUMBER($CD115),$CD115=Constants!$B$9,$CD115=Constants!$B$7,$CD115=Constants!$B$8),1,0)</f>
        <v>0</v>
      </c>
      <c r="CH115" s="140" t="n">
        <v>107</v>
      </c>
      <c r="CI115" s="140" t="str">
        <f aca="false">IF(ISBLANK($C115),"",IF(ISNUMBER($CE115),$CE115+ROW($B115)/1000,""))</f>
        <v/>
      </c>
      <c r="CJ115" s="140" t="str">
        <f aca="false">IF(ISNUMBER($CI115),RANK($CI115,$CI$9:$CI$508,1),"")</f>
        <v/>
      </c>
      <c r="CK115" s="140" t="str">
        <f aca="false">IF(ISBLANK($C115),"",$B115)</f>
        <v/>
      </c>
      <c r="CL115" s="140" t="str">
        <f aca="false">IF(ISBLANK($C115),"",$C115)</f>
        <v/>
      </c>
      <c r="CM115" s="140" t="str">
        <f aca="false">IF(ISBLANK($C115),"",$D115)</f>
        <v/>
      </c>
      <c r="CN115" s="141" t="str">
        <f aca="false">$CB115</f>
        <v/>
      </c>
      <c r="CO115" s="142" t="str">
        <f aca="false">$CA115</f>
        <v/>
      </c>
      <c r="CP115" s="140" t="str">
        <f aca="false">IF(ISBLANK($C115),"",$CD115)</f>
        <v/>
      </c>
      <c r="CQ115" s="143" t="str">
        <f aca="false">IF($CH115&gt;$CG$8,"",VLOOKUP($CH115,$CJ$9:$CP$508,7,FALSE()))</f>
        <v/>
      </c>
      <c r="CR115" s="144" t="str">
        <f aca="false">IF($CH115&gt;$CG$8,"",VLOOKUP($CH115,$CJ$9:$CP$508,2,FALSE()))</f>
        <v/>
      </c>
      <c r="CS115" s="144" t="str">
        <f aca="false">IF($CH115&gt;$CG$8,"",VLOOKUP($CH115,$CJ$9:$CP$508,3,FALSE()))</f>
        <v/>
      </c>
      <c r="CT115" s="144" t="str">
        <f aca="false">IF($CH115&gt;$CG$8,"",VLOOKUP($CH115,$CJ$9:$CP$508,4,FALSE()))</f>
        <v/>
      </c>
      <c r="CU115" s="144" t="str">
        <f aca="false">IF($CH115&gt;$CG$8,"",VLOOKUP($CH115,$CJ$9:$CP$508,5,FALSE()))</f>
        <v/>
      </c>
      <c r="CV115" s="145" t="str">
        <f aca="false">IF($CH115&gt;$CG$8,"",VLOOKUP($CH115,$CJ$9:$CP$508,6,FALSE()))</f>
        <v/>
      </c>
      <c r="CW115" s="71"/>
    </row>
    <row r="116" customFormat="false" ht="15.75" hidden="false" customHeight="false" outlineLevel="0" collapsed="false">
      <c r="A116" s="9"/>
      <c r="B116" s="150"/>
      <c r="C116" s="151"/>
      <c r="D116" s="152"/>
      <c r="E116" s="170"/>
      <c r="F116" s="154"/>
      <c r="G116" s="155"/>
      <c r="H116" s="171"/>
      <c r="I116" s="159"/>
      <c r="J116" s="120"/>
      <c r="K116" s="121"/>
      <c r="L116" s="122"/>
      <c r="M116" s="158"/>
      <c r="N116" s="159"/>
      <c r="O116" s="159"/>
      <c r="P116" s="120"/>
      <c r="Q116" s="122"/>
      <c r="R116" s="122"/>
      <c r="S116" s="158"/>
      <c r="T116" s="159"/>
      <c r="U116" s="126"/>
      <c r="V116" s="127"/>
      <c r="W116" s="127" t="str">
        <f aca="false">IF(ISBLANK($C116),"",IF(E116=Constants!$B$2,TRUE(),IF(E116=Constants!$B$3,FALSE(),TRUE())))</f>
        <v/>
      </c>
      <c r="X116" s="127" t="str">
        <f aca="false">IF(ISBLANK($C116),"",IF(F116=Constants!$B$2,TRUE(),IF(F116=Constants!$B$3,FALSE(),TRUE())))</f>
        <v/>
      </c>
      <c r="Y116" s="127" t="str">
        <f aca="false">IF(ISBLANK($C116),"",IF(G116=Constants!$B$2,TRUE(),IF(G116=Constants!$B$3,FALSE(),TRUE())))</f>
        <v/>
      </c>
      <c r="Z116" s="127" t="str">
        <f aca="false">IF(ISBLANK($C116),"",IF(H116=Constants!$B$2,TRUE(),IF(H116=Constants!$B$3,FALSE(),TRUE())))</f>
        <v/>
      </c>
      <c r="AA116" s="127" t="str">
        <f aca="false">IF(ISBLANK($C116),"",IF(I116=Constants!$B$2,TRUE(),IF(I116=Constants!$B$3,FALSE(),TRUE())))</f>
        <v/>
      </c>
      <c r="AB116" s="127" t="str">
        <f aca="false">IF(ISBLANK($C116),"",IF(J116=Constants!$B$4,TRUE(),IF(J116=Constants!$B$5,FALSE(),COUNTA(K116:M116)&gt;0)))</f>
        <v/>
      </c>
      <c r="AC116" s="128" t="str">
        <f aca="false">IF(ISBLANK($C116),"",IF(ISNUMBER(K116),IF(K116&gt;=0,K116,""),""))</f>
        <v/>
      </c>
      <c r="AD116" s="129" t="str">
        <f aca="false">IF(ISBLANK($C116),"",IF(ISNUMBER(L116),IF(L116&gt;=0,L116,""),""))</f>
        <v/>
      </c>
      <c r="AE116" s="127" t="str">
        <f aca="false">IF(ISBLANK($C116),"",IF(ISNUMBER(M116),IF(M116&gt;=0,MIN(M116,Constants!$B$22),""),""))</f>
        <v/>
      </c>
      <c r="AF116" s="127" t="str">
        <f aca="false">IF(ISBLANK($C116),"",IF(N116=Constants!$B$2,TRUE(),IF(N116=Constants!$B$3,FALSE(),TRUE())))</f>
        <v/>
      </c>
      <c r="AG116" s="127" t="str">
        <f aca="false">IF(ISBLANK($C116),"",IF(O116=Constants!$B$2,TRUE(),IF(O116=Constants!$B$3,FALSE(),TRUE())))</f>
        <v/>
      </c>
      <c r="AH116" s="127" t="str">
        <f aca="false">IF(ISBLANK($C116),"",IF(P116=Constants!$B$4,TRUE(),IF(P116=Constants!$B$5,FALSE(),COUNTA(Q116:S116)&gt;0)))</f>
        <v/>
      </c>
      <c r="AI116" s="128" t="str">
        <f aca="false">IF(ISBLANK($C116),"",IF(ISNUMBER(Q116),IF(Q116&gt;=0,Q116,""),""))</f>
        <v/>
      </c>
      <c r="AJ116" s="129" t="str">
        <f aca="false">IF(ISBLANK($C116),"",IF(ISNUMBER(R116),IF(R116&gt;=0,R116,""),""))</f>
        <v/>
      </c>
      <c r="AK116" s="127" t="str">
        <f aca="false">IF(ISBLANK($C116),"",IF(ISNUMBER(S116),IF(S116&gt;=0,MIN(S116,Constants!$B$22),""),""))</f>
        <v/>
      </c>
      <c r="AL116" s="127" t="str">
        <f aca="false">IF(ISBLANK($C116),"",IF(T116=Constants!$B$2,TRUE(),IF(T116=Constants!$B$3,FALSE(),FALSE())))</f>
        <v/>
      </c>
      <c r="AM116" s="126" t="str">
        <f aca="false">IF(ISBLANK($C116),"",AND($AB116,OR($AC116="",$AD116="",AND(NOT(ISBLANK($M116)),$AE116=""))))</f>
        <v/>
      </c>
      <c r="AN116" s="129" t="str">
        <f aca="false">IF($BD116&lt;&gt;Constants!$B$6,"",IF($AB116,Constants!$B$17*$AD116,Constants!$B$18))</f>
        <v/>
      </c>
      <c r="AO116" s="130" t="str">
        <f aca="false">IF($BD116&lt;&gt;Constants!$B$6,"",Constants!$B$19*IF($AB116,$AC116,0))</f>
        <v/>
      </c>
      <c r="AP116" s="130" t="str">
        <f aca="false">IF($BD116&lt;&gt;Constants!$B$6,"",IF(AND($AB116,ISNUMBER($AE116)),Constants!$B$20*(Constants!$B$21-$AE116),0))</f>
        <v/>
      </c>
      <c r="AQ116" s="130" t="str">
        <f aca="false">IF($BD116&lt;&gt;Constants!$B$6,"",IF($AA116,0,Constants!$B$12)+IF($Z116,0,Constants!$B$13)+IF($Y116,0,Constants!$B$14))</f>
        <v/>
      </c>
      <c r="AR116" s="131" t="str">
        <f aca="false">IF($BD116&lt;&gt;Constants!$B$6,"",Constants!$B$16+SUM($AN116:$AQ116))</f>
        <v/>
      </c>
      <c r="AS116" s="130" t="str">
        <f aca="false">IF($BD116&lt;&gt;Constants!$B$6,"",IF($AB116,$AD116,""))</f>
        <v/>
      </c>
      <c r="AT116" s="132" t="str">
        <f aca="false">IF($BD116&lt;&gt;Constants!$B$6,"",$AO116)</f>
        <v/>
      </c>
      <c r="AU116" s="127" t="str">
        <f aca="false">IF($BD116&lt;&gt;Constants!$B$6,"",IF(OR($BA116&lt;$AR116,AND($BA116=$AR116,OR(AND(ISNUMBER($BB116),OR(NOT(ISNUMBER($AS116)),$BB116&lt;$AS116)),AND(OR(AND($BB116="",$AS116=""),AND(ISNUMBER($BB116),ISNUMBER($AS116),$BB116=$AS116)),$BC116&lt;$AT116)))),"-&gt;","&lt;-"))</f>
        <v/>
      </c>
      <c r="AV116" s="126" t="str">
        <f aca="false">IF(ISBLANK($C116),"",AND($AH116,OR($AI116="",$AJ116="",AND(NOT(ISBLANK($S116)),$AK116=""))))</f>
        <v/>
      </c>
      <c r="AW116" s="129" t="str">
        <f aca="false">IF($BD116&lt;&gt;Constants!$B$6,"",IF($AH116,Constants!$B$17*$AJ116,Constants!$B$18))</f>
        <v/>
      </c>
      <c r="AX116" s="130" t="str">
        <f aca="false">IF($BD116&lt;&gt;Constants!$B$6,"",Constants!$B$19*IF($AH116,$AI116,0))</f>
        <v/>
      </c>
      <c r="AY116" s="130" t="str">
        <f aca="false">IF($BD116&lt;&gt;Constants!$B$6,"",IF(AND($AH116,ISNUMBER($AK116)),Constants!$B$20*(Constants!$B$21-$AK116),0))</f>
        <v/>
      </c>
      <c r="AZ116" s="130" t="str">
        <f aca="false">IF($BD116&lt;&gt;Constants!$B$6,"",IF($AG116,0,Constants!$B$12)+IF($AF116,0,Constants!$B$13)+IF($Y116,0,Constants!$B$14))</f>
        <v/>
      </c>
      <c r="BA116" s="131" t="str">
        <f aca="false">IF($BD116&lt;&gt;Constants!$B$6,"",Constants!$B$16+SUM($AW116:$AZ116))</f>
        <v/>
      </c>
      <c r="BB116" s="130" t="str">
        <f aca="false">IF($BD116&lt;&gt;Constants!$B$6,"",IF($AH116,$AJ116,""))</f>
        <v/>
      </c>
      <c r="BC116" s="132" t="str">
        <f aca="false">IF($BD116&lt;&gt;Constants!$B$6,"",$AX116)</f>
        <v/>
      </c>
      <c r="BD116" s="127" t="str">
        <f aca="false">IF(ISBLANK($C116),"",IF($AL116,Constants!$B$9,IF(COUNTA($E116:$T116)=0,Constants!$B$8,IF(NOT($X116),Constants!$B$7,IF(OR($AM116,$AV116),Constants!$B$10,Constants!$B$6)))))</f>
        <v/>
      </c>
      <c r="BE116" s="127" t="str">
        <f aca="false">IF(ISBLANK($C116),"",IF($BD116&lt;&gt;Constants!$B$6,$BD116,Constants!$B$11))</f>
        <v/>
      </c>
      <c r="BF116" s="130" t="str">
        <f aca="false">IF($BD116&lt;&gt;Constants!$B$6,"",IF($AU116="-&gt;",$BA116,$AR116))</f>
        <v/>
      </c>
      <c r="BG116" s="130" t="str">
        <f aca="false">IF($BD116&lt;&gt;Constants!$B$6,"",IF($W116,0,Constants!$B$15))</f>
        <v/>
      </c>
      <c r="BH116" s="130" t="str">
        <f aca="false">IF(ISBLANK($C116),"",IF($BD116&lt;&gt;Constants!$B$6,$BD116,SUM($BF116:$BG116)))</f>
        <v/>
      </c>
      <c r="BI116" s="127" t="str">
        <f aca="false">IF(ISBLANK($C116),"",IF($BD116&lt;&gt;Constants!$B$6,$BD116,RANK($BH116,$BH$9:$BH$508,1)))</f>
        <v/>
      </c>
      <c r="BJ116" s="130" t="str">
        <f aca="false">IF($BD116&lt;&gt;Constants!$B$6,"",IF($AU116="-&gt;",$BB116,$AS116))</f>
        <v/>
      </c>
      <c r="BK116" s="127" t="str">
        <f aca="false">IF(ISBLANK($C116),"",IF($BD116&lt;&gt;Constants!$B$6,$BD116,IF(ISNUMBER($BJ116),RANK($BJ116,$BJ$9:$BJ$508,1),COUNT($BJ$9:$BJ$508)+1)))</f>
        <v/>
      </c>
      <c r="BL116" s="130" t="str">
        <f aca="false">IF($BD116&lt;&gt;Constants!$B$6,"",IF($AU116="-&gt;",$BC116,$AT116))</f>
        <v/>
      </c>
      <c r="BM116" s="127" t="str">
        <f aca="false">IF(ISBLANK($C116),"",IF($BD116&lt;&gt;Constants!$B$6,$BD116,IF(ISNUMBER($BL116),RANK($BL116,$BL$9:$BL$508,1),COUNT($BL$9:$BL$508)+1)))</f>
        <v/>
      </c>
      <c r="BN116" s="130" t="str">
        <f aca="false">IF($BD116&lt;&gt;Constants!$B$6,"",IF($AU116="-&gt;",$AS116,$BB116))</f>
        <v/>
      </c>
      <c r="BO116" s="127" t="str">
        <f aca="false">IF(ISBLANK($C116),"",IF($BD116&lt;&gt;Constants!$B$6,$BD116,IF(ISNUMBER($BN116),RANK($BN116,$BN$9:$BN$508,1),COUNT($BN$9:$BN$508)+1)))</f>
        <v/>
      </c>
      <c r="BP116" s="130" t="str">
        <f aca="false">IF($BD116&lt;&gt;Constants!$B$6,"",IF($AU116="-&gt;",$AT116,$BC116))</f>
        <v/>
      </c>
      <c r="BQ116" s="127" t="str">
        <f aca="false">IF(ISBLANK($C116),"",IF($BD116&lt;&gt;Constants!$B$6,$BD116,IF(ISNUMBER($BP116),RANK($BP116,$BP$9:$BP$508,1),COUNT($BP$9:$BP$508)+1)))</f>
        <v/>
      </c>
      <c r="BR116" s="127" t="str">
        <f aca="false">IF(ISBLANK($C116),"",IF($BD116&lt;&gt;Constants!$B$6,$BD116,COUNTIFS($BI$9:$BI$508,"&lt;"&amp;$BI116)+COUNTIFS($BI$9:$BI$508,$BI116,$BK$9:$BK$508,"&lt;"&amp;$BK116)+COUNTIFS($BI$9:$BI$508,$BI116,$BK$9:$BK$508,$BK116,$BM$9:$BM$508,"&lt;"&amp;$BM116)+COUNTIFS($BI$9:$BI$508,$BI116,$BK$9:$BK$508,$BK116,$BM$9:$BM$508,$BM116,$BO$9:$BO$508,"&lt;"&amp;$BO116)+COUNTIFS($BI$9:$BI$508,$BI116,$BK$9:$BK$508,$BK116,$BM$9:$BM$508,$BM116,$BO$9:$BO$508,$BO116,$BQ$9:$BQ$508,"&lt;"&amp;$BQ116)+1))</f>
        <v/>
      </c>
      <c r="BS116" s="127" t="str">
        <f aca="false">IF(ISBLANK($C116),"",IF($BD116&lt;&gt;Constants!$B$6,$BD116,$BI116-$BR116))</f>
        <v/>
      </c>
      <c r="BT116" s="133"/>
      <c r="BU116" s="134"/>
      <c r="BV116" s="134" t="str">
        <f aca="false">IF(ISBLANK($C116),"",IF($BD116&lt;&gt;Constants!$B$6,"",IF($AU116="-&gt;",2,1)))</f>
        <v/>
      </c>
      <c r="BW116" s="135" t="str">
        <f aca="false">IF(ISBLANK($C116),"",IF($BD116&lt;&gt;Constants!$B$6,"",IF($AU116="-&gt;",$AW116,$AN116)))</f>
        <v/>
      </c>
      <c r="BX116" s="135" t="str">
        <f aca="false">IF(ISBLANK($C116),"",IF($BD116&lt;&gt;Constants!$B$6,"",IF($AU116="-&gt;",$AX116,$AO116)))</f>
        <v/>
      </c>
      <c r="BY116" s="135" t="str">
        <f aca="false">IF(ISBLANK($C116),"",IF($BD116&lt;&gt;Constants!$B$6,"",IF($AU116="-&gt;",$AY116,$AP116)))</f>
        <v/>
      </c>
      <c r="BZ116" s="135" t="str">
        <f aca="false">IF(ISBLANK($C116),"",IF($BD116&lt;&gt;Constants!$B$6,"",IF($AU116="-&gt;",$AZ116,$AQ116)+$BG116))</f>
        <v/>
      </c>
      <c r="CA116" s="136" t="str">
        <f aca="false">IF(ISBLANK($C116),"",IF($BD116&lt;&gt;Constants!$B$6,$BD116,$BH116))</f>
        <v/>
      </c>
      <c r="CB116" s="137" t="str">
        <f aca="false">IF(ISBLANK($C116),"",$BE116)</f>
        <v/>
      </c>
      <c r="CC116" s="138" t="str">
        <f aca="false">IF(ISBLANK($C116),"",$BS116)</f>
        <v/>
      </c>
      <c r="CD116" s="138" t="str">
        <f aca="false">IF(ISBLANK($C116),"",$BR116)</f>
        <v/>
      </c>
      <c r="CE116" s="139" t="str">
        <f aca="false">IF(ISBLANK($C116),"",IF($CD116=Constants!$B$9,COUNTA($C$9:$C$508)+2,IF($CD116=Constants!$B$8,COUNTA($C$9:$C$508)+1,IF($CD116=Constants!$B$7,COUNTA($C$9:$C$508),$CD116))))</f>
        <v/>
      </c>
      <c r="CF116" s="9"/>
      <c r="CG116" s="140" t="n">
        <f aca="false">IF(OR(ISNUMBER($CD116),$CD116=Constants!$B$9,$CD116=Constants!$B$7,$CD116=Constants!$B$8),1,0)</f>
        <v>0</v>
      </c>
      <c r="CH116" s="140" t="n">
        <v>108</v>
      </c>
      <c r="CI116" s="140" t="str">
        <f aca="false">IF(ISBLANK($C116),"",IF(ISNUMBER($CE116),$CE116+ROW($B116)/1000,""))</f>
        <v/>
      </c>
      <c r="CJ116" s="140" t="str">
        <f aca="false">IF(ISNUMBER($CI116),RANK($CI116,$CI$9:$CI$508,1),"")</f>
        <v/>
      </c>
      <c r="CK116" s="140" t="str">
        <f aca="false">IF(ISBLANK($C116),"",$B116)</f>
        <v/>
      </c>
      <c r="CL116" s="140" t="str">
        <f aca="false">IF(ISBLANK($C116),"",$C116)</f>
        <v/>
      </c>
      <c r="CM116" s="140" t="str">
        <f aca="false">IF(ISBLANK($C116),"",$D116)</f>
        <v/>
      </c>
      <c r="CN116" s="141" t="str">
        <f aca="false">$CB116</f>
        <v/>
      </c>
      <c r="CO116" s="142" t="str">
        <f aca="false">$CA116</f>
        <v/>
      </c>
      <c r="CP116" s="140" t="str">
        <f aca="false">IF(ISBLANK($C116),"",$CD116)</f>
        <v/>
      </c>
      <c r="CQ116" s="143" t="str">
        <f aca="false">IF($CH116&gt;$CG$8,"",VLOOKUP($CH116,$CJ$9:$CP$508,7,FALSE()))</f>
        <v/>
      </c>
      <c r="CR116" s="144" t="str">
        <f aca="false">IF($CH116&gt;$CG$8,"",VLOOKUP($CH116,$CJ$9:$CP$508,2,FALSE()))</f>
        <v/>
      </c>
      <c r="CS116" s="144" t="str">
        <f aca="false">IF($CH116&gt;$CG$8,"",VLOOKUP($CH116,$CJ$9:$CP$508,3,FALSE()))</f>
        <v/>
      </c>
      <c r="CT116" s="144" t="str">
        <f aca="false">IF($CH116&gt;$CG$8,"",VLOOKUP($CH116,$CJ$9:$CP$508,4,FALSE()))</f>
        <v/>
      </c>
      <c r="CU116" s="144" t="str">
        <f aca="false">IF($CH116&gt;$CG$8,"",VLOOKUP($CH116,$CJ$9:$CP$508,5,FALSE()))</f>
        <v/>
      </c>
      <c r="CV116" s="145" t="str">
        <f aca="false">IF($CH116&gt;$CG$8,"",VLOOKUP($CH116,$CJ$9:$CP$508,6,FALSE()))</f>
        <v/>
      </c>
      <c r="CW116" s="71"/>
    </row>
    <row r="117" customFormat="false" ht="15.75" hidden="false" customHeight="false" outlineLevel="0" collapsed="false">
      <c r="A117" s="9"/>
      <c r="B117" s="72"/>
      <c r="C117" s="73"/>
      <c r="D117" s="160"/>
      <c r="E117" s="168"/>
      <c r="F117" s="162"/>
      <c r="G117" s="163"/>
      <c r="H117" s="169"/>
      <c r="I117" s="167"/>
      <c r="J117" s="80"/>
      <c r="K117" s="81"/>
      <c r="L117" s="82"/>
      <c r="M117" s="166"/>
      <c r="N117" s="167"/>
      <c r="O117" s="167"/>
      <c r="P117" s="80"/>
      <c r="Q117" s="82"/>
      <c r="R117" s="82"/>
      <c r="S117" s="166"/>
      <c r="T117" s="167"/>
      <c r="U117" s="86"/>
      <c r="V117" s="87"/>
      <c r="W117" s="87" t="str">
        <f aca="false">IF(ISBLANK($C117),"",IF(E117=Constants!$B$2,TRUE(),IF(E117=Constants!$B$3,FALSE(),TRUE())))</f>
        <v/>
      </c>
      <c r="X117" s="87" t="str">
        <f aca="false">IF(ISBLANK($C117),"",IF(F117=Constants!$B$2,TRUE(),IF(F117=Constants!$B$3,FALSE(),TRUE())))</f>
        <v/>
      </c>
      <c r="Y117" s="87" t="str">
        <f aca="false">IF(ISBLANK($C117),"",IF(G117=Constants!$B$2,TRUE(),IF(G117=Constants!$B$3,FALSE(),TRUE())))</f>
        <v/>
      </c>
      <c r="Z117" s="87" t="str">
        <f aca="false">IF(ISBLANK($C117),"",IF(H117=Constants!$B$2,TRUE(),IF(H117=Constants!$B$3,FALSE(),TRUE())))</f>
        <v/>
      </c>
      <c r="AA117" s="87" t="str">
        <f aca="false">IF(ISBLANK($C117),"",IF(I117=Constants!$B$2,TRUE(),IF(I117=Constants!$B$3,FALSE(),TRUE())))</f>
        <v/>
      </c>
      <c r="AB117" s="87" t="str">
        <f aca="false">IF(ISBLANK($C117),"",IF(J117=Constants!$B$4,TRUE(),IF(J117=Constants!$B$5,FALSE(),COUNTA(K117:M117)&gt;0)))</f>
        <v/>
      </c>
      <c r="AC117" s="88" t="str">
        <f aca="false">IF(ISBLANK($C117),"",IF(ISNUMBER(K117),IF(K117&gt;=0,K117,""),""))</f>
        <v/>
      </c>
      <c r="AD117" s="89" t="str">
        <f aca="false">IF(ISBLANK($C117),"",IF(ISNUMBER(L117),IF(L117&gt;=0,L117,""),""))</f>
        <v/>
      </c>
      <c r="AE117" s="87" t="str">
        <f aca="false">IF(ISBLANK($C117),"",IF(ISNUMBER(M117),IF(M117&gt;=0,MIN(M117,Constants!$B$22),""),""))</f>
        <v/>
      </c>
      <c r="AF117" s="87" t="str">
        <f aca="false">IF(ISBLANK($C117),"",IF(N117=Constants!$B$2,TRUE(),IF(N117=Constants!$B$3,FALSE(),TRUE())))</f>
        <v/>
      </c>
      <c r="AG117" s="87" t="str">
        <f aca="false">IF(ISBLANK($C117),"",IF(O117=Constants!$B$2,TRUE(),IF(O117=Constants!$B$3,FALSE(),TRUE())))</f>
        <v/>
      </c>
      <c r="AH117" s="87" t="str">
        <f aca="false">IF(ISBLANK($C117),"",IF(P117=Constants!$B$4,TRUE(),IF(P117=Constants!$B$5,FALSE(),COUNTA(Q117:S117)&gt;0)))</f>
        <v/>
      </c>
      <c r="AI117" s="88" t="str">
        <f aca="false">IF(ISBLANK($C117),"",IF(ISNUMBER(Q117),IF(Q117&gt;=0,Q117,""),""))</f>
        <v/>
      </c>
      <c r="AJ117" s="89" t="str">
        <f aca="false">IF(ISBLANK($C117),"",IF(ISNUMBER(R117),IF(R117&gt;=0,R117,""),""))</f>
        <v/>
      </c>
      <c r="AK117" s="87" t="str">
        <f aca="false">IF(ISBLANK($C117),"",IF(ISNUMBER(S117),IF(S117&gt;=0,MIN(S117,Constants!$B$22),""),""))</f>
        <v/>
      </c>
      <c r="AL117" s="87" t="str">
        <f aca="false">IF(ISBLANK($C117),"",IF(T117=Constants!$B$2,TRUE(),IF(T117=Constants!$B$3,FALSE(),FALSE())))</f>
        <v/>
      </c>
      <c r="AM117" s="86" t="str">
        <f aca="false">IF(ISBLANK($C117),"",AND($AB117,OR($AC117="",$AD117="",AND(NOT(ISBLANK($M117)),$AE117=""))))</f>
        <v/>
      </c>
      <c r="AN117" s="89" t="str">
        <f aca="false">IF($BD117&lt;&gt;Constants!$B$6,"",IF($AB117,Constants!$B$17*$AD117,Constants!$B$18))</f>
        <v/>
      </c>
      <c r="AO117" s="91" t="str">
        <f aca="false">IF($BD117&lt;&gt;Constants!$B$6,"",Constants!$B$19*IF($AB117,$AC117,0))</f>
        <v/>
      </c>
      <c r="AP117" s="91" t="str">
        <f aca="false">IF($BD117&lt;&gt;Constants!$B$6,"",IF(AND($AB117,ISNUMBER($AE117)),Constants!$B$20*(Constants!$B$21-$AE117),0))</f>
        <v/>
      </c>
      <c r="AQ117" s="91" t="str">
        <f aca="false">IF($BD117&lt;&gt;Constants!$B$6,"",IF($AA117,0,Constants!$B$12)+IF($Z117,0,Constants!$B$13)+IF($Y117,0,Constants!$B$14))</f>
        <v/>
      </c>
      <c r="AR117" s="92" t="str">
        <f aca="false">IF($BD117&lt;&gt;Constants!$B$6,"",Constants!$B$16+SUM($AN117:$AQ117))</f>
        <v/>
      </c>
      <c r="AS117" s="91" t="str">
        <f aca="false">IF($BD117&lt;&gt;Constants!$B$6,"",IF($AB117,$AD117,""))</f>
        <v/>
      </c>
      <c r="AT117" s="93" t="str">
        <f aca="false">IF($BD117&lt;&gt;Constants!$B$6,"",$AO117)</f>
        <v/>
      </c>
      <c r="AU117" s="87" t="str">
        <f aca="false">IF($BD117&lt;&gt;Constants!$B$6,"",IF(OR($BA117&lt;$AR117,AND($BA117=$AR117,OR(AND(ISNUMBER($BB117),OR(NOT(ISNUMBER($AS117)),$BB117&lt;$AS117)),AND(OR(AND($BB117="",$AS117=""),AND(ISNUMBER($BB117),ISNUMBER($AS117),$BB117=$AS117)),$BC117&lt;$AT117)))),"-&gt;","&lt;-"))</f>
        <v/>
      </c>
      <c r="AV117" s="86" t="str">
        <f aca="false">IF(ISBLANK($C117),"",AND($AH117,OR($AI117="",$AJ117="",AND(NOT(ISBLANK($S117)),$AK117=""))))</f>
        <v/>
      </c>
      <c r="AW117" s="89" t="str">
        <f aca="false">IF($BD117&lt;&gt;Constants!$B$6,"",IF($AH117,Constants!$B$17*$AJ117,Constants!$B$18))</f>
        <v/>
      </c>
      <c r="AX117" s="91" t="str">
        <f aca="false">IF($BD117&lt;&gt;Constants!$B$6,"",Constants!$B$19*IF($AH117,$AI117,0))</f>
        <v/>
      </c>
      <c r="AY117" s="91" t="str">
        <f aca="false">IF($BD117&lt;&gt;Constants!$B$6,"",IF(AND($AH117,ISNUMBER($AK117)),Constants!$B$20*(Constants!$B$21-$AK117),0))</f>
        <v/>
      </c>
      <c r="AZ117" s="91" t="str">
        <f aca="false">IF($BD117&lt;&gt;Constants!$B$6,"",IF($AG117,0,Constants!$B$12)+IF($AF117,0,Constants!$B$13)+IF($Y117,0,Constants!$B$14))</f>
        <v/>
      </c>
      <c r="BA117" s="92" t="str">
        <f aca="false">IF($BD117&lt;&gt;Constants!$B$6,"",Constants!$B$16+SUM($AW117:$AZ117))</f>
        <v/>
      </c>
      <c r="BB117" s="91" t="str">
        <f aca="false">IF($BD117&lt;&gt;Constants!$B$6,"",IF($AH117,$AJ117,""))</f>
        <v/>
      </c>
      <c r="BC117" s="93" t="str">
        <f aca="false">IF($BD117&lt;&gt;Constants!$B$6,"",$AX117)</f>
        <v/>
      </c>
      <c r="BD117" s="87" t="str">
        <f aca="false">IF(ISBLANK($C117),"",IF($AL117,Constants!$B$9,IF(COUNTA($E117:$T117)=0,Constants!$B$8,IF(NOT($X117),Constants!$B$7,IF(OR($AM117,$AV117),Constants!$B$10,Constants!$B$6)))))</f>
        <v/>
      </c>
      <c r="BE117" s="87" t="str">
        <f aca="false">IF(ISBLANK($C117),"",IF($BD117&lt;&gt;Constants!$B$6,$BD117,Constants!$B$11))</f>
        <v/>
      </c>
      <c r="BF117" s="91" t="str">
        <f aca="false">IF($BD117&lt;&gt;Constants!$B$6,"",IF($AU117="-&gt;",$BA117,$AR117))</f>
        <v/>
      </c>
      <c r="BG117" s="91" t="str">
        <f aca="false">IF($BD117&lt;&gt;Constants!$B$6,"",IF($W117,0,Constants!$B$15))</f>
        <v/>
      </c>
      <c r="BH117" s="91" t="str">
        <f aca="false">IF(ISBLANK($C117),"",IF($BD117&lt;&gt;Constants!$B$6,$BD117,SUM($BF117:$BG117)))</f>
        <v/>
      </c>
      <c r="BI117" s="87" t="str">
        <f aca="false">IF(ISBLANK($C117),"",IF($BD117&lt;&gt;Constants!$B$6,$BD117,RANK($BH117,$BH$9:$BH$508,1)))</f>
        <v/>
      </c>
      <c r="BJ117" s="91" t="str">
        <f aca="false">IF($BD117&lt;&gt;Constants!$B$6,"",IF($AU117="-&gt;",$BB117,$AS117))</f>
        <v/>
      </c>
      <c r="BK117" s="87" t="str">
        <f aca="false">IF(ISBLANK($C117),"",IF($BD117&lt;&gt;Constants!$B$6,$BD117,IF(ISNUMBER($BJ117),RANK($BJ117,$BJ$9:$BJ$508,1),COUNT($BJ$9:$BJ$508)+1)))</f>
        <v/>
      </c>
      <c r="BL117" s="91" t="str">
        <f aca="false">IF($BD117&lt;&gt;Constants!$B$6,"",IF($AU117="-&gt;",$BC117,$AT117))</f>
        <v/>
      </c>
      <c r="BM117" s="87" t="str">
        <f aca="false">IF(ISBLANK($C117),"",IF($BD117&lt;&gt;Constants!$B$6,$BD117,IF(ISNUMBER($BL117),RANK($BL117,$BL$9:$BL$508,1),COUNT($BL$9:$BL$508)+1)))</f>
        <v/>
      </c>
      <c r="BN117" s="91" t="str">
        <f aca="false">IF($BD117&lt;&gt;Constants!$B$6,"",IF($AU117="-&gt;",$AS117,$BB117))</f>
        <v/>
      </c>
      <c r="BO117" s="87" t="str">
        <f aca="false">IF(ISBLANK($C117),"",IF($BD117&lt;&gt;Constants!$B$6,$BD117,IF(ISNUMBER($BN117),RANK($BN117,$BN$9:$BN$508,1),COUNT($BN$9:$BN$508)+1)))</f>
        <v/>
      </c>
      <c r="BP117" s="91" t="str">
        <f aca="false">IF($BD117&lt;&gt;Constants!$B$6,"",IF($AU117="-&gt;",$AT117,$BC117))</f>
        <v/>
      </c>
      <c r="BQ117" s="87" t="str">
        <f aca="false">IF(ISBLANK($C117),"",IF($BD117&lt;&gt;Constants!$B$6,$BD117,IF(ISNUMBER($BP117),RANK($BP117,$BP$9:$BP$508,1),COUNT($BP$9:$BP$508)+1)))</f>
        <v/>
      </c>
      <c r="BR117" s="87" t="str">
        <f aca="false">IF(ISBLANK($C117),"",IF($BD117&lt;&gt;Constants!$B$6,$BD117,COUNTIFS($BI$9:$BI$508,"&lt;"&amp;$BI117)+COUNTIFS($BI$9:$BI$508,$BI117,$BK$9:$BK$508,"&lt;"&amp;$BK117)+COUNTIFS($BI$9:$BI$508,$BI117,$BK$9:$BK$508,$BK117,$BM$9:$BM$508,"&lt;"&amp;$BM117)+COUNTIFS($BI$9:$BI$508,$BI117,$BK$9:$BK$508,$BK117,$BM$9:$BM$508,$BM117,$BO$9:$BO$508,"&lt;"&amp;$BO117)+COUNTIFS($BI$9:$BI$508,$BI117,$BK$9:$BK$508,$BK117,$BM$9:$BM$508,$BM117,$BO$9:$BO$508,$BO117,$BQ$9:$BQ$508,"&lt;"&amp;$BQ117)+1))</f>
        <v/>
      </c>
      <c r="BS117" s="87" t="str">
        <f aca="false">IF(ISBLANK($C117),"",IF($BD117&lt;&gt;Constants!$B$6,$BD117,$BI117-$BR117))</f>
        <v/>
      </c>
      <c r="BT117" s="94"/>
      <c r="BU117" s="95"/>
      <c r="BV117" s="95" t="str">
        <f aca="false">IF(ISBLANK($C117),"",IF($BD117&lt;&gt;Constants!$B$6,"",IF($AU117="-&gt;",2,1)))</f>
        <v/>
      </c>
      <c r="BW117" s="96" t="str">
        <f aca="false">IF(ISBLANK($C117),"",IF($BD117&lt;&gt;Constants!$B$6,"",IF($AU117="-&gt;",$AW117,$AN117)))</f>
        <v/>
      </c>
      <c r="BX117" s="96" t="str">
        <f aca="false">IF(ISBLANK($C117),"",IF($BD117&lt;&gt;Constants!$B$6,"",IF($AU117="-&gt;",$AX117,$AO117)))</f>
        <v/>
      </c>
      <c r="BY117" s="96" t="str">
        <f aca="false">IF(ISBLANK($C117),"",IF($BD117&lt;&gt;Constants!$B$6,"",IF($AU117="-&gt;",$AY117,$AP117)))</f>
        <v/>
      </c>
      <c r="BZ117" s="96" t="str">
        <f aca="false">IF(ISBLANK($C117),"",IF($BD117&lt;&gt;Constants!$B$6,"",IF($AU117="-&gt;",$AZ117,$AQ117)+$BG117))</f>
        <v/>
      </c>
      <c r="CA117" s="97" t="str">
        <f aca="false">IF(ISBLANK($C117),"",IF($BD117&lt;&gt;Constants!$B$6,$BD117,$BH117))</f>
        <v/>
      </c>
      <c r="CB117" s="98" t="str">
        <f aca="false">IF(ISBLANK($C117),"",$BE117)</f>
        <v/>
      </c>
      <c r="CC117" s="99" t="str">
        <f aca="false">IF(ISBLANK($C117),"",$BS117)</f>
        <v/>
      </c>
      <c r="CD117" s="99" t="str">
        <f aca="false">IF(ISBLANK($C117),"",$BR117)</f>
        <v/>
      </c>
      <c r="CE117" s="100" t="str">
        <f aca="false">IF(ISBLANK($C117),"",IF($CD117=Constants!$B$9,COUNTA($C$9:$C$508)+2,IF($CD117=Constants!$B$8,COUNTA($C$9:$C$508)+1,IF($CD117=Constants!$B$7,COUNTA($C$9:$C$508),$CD117))))</f>
        <v/>
      </c>
      <c r="CF117" s="9"/>
      <c r="CG117" s="101" t="n">
        <f aca="false">IF(OR(ISNUMBER($CD117),$CD117=Constants!$B$9,$CD117=Constants!$B$7,$CD117=Constants!$B$8),1,0)</f>
        <v>0</v>
      </c>
      <c r="CH117" s="101" t="n">
        <v>109</v>
      </c>
      <c r="CI117" s="101" t="str">
        <f aca="false">IF(ISBLANK($C117),"",IF(ISNUMBER($CE117),$CE117+ROW($B117)/1000,""))</f>
        <v/>
      </c>
      <c r="CJ117" s="101" t="str">
        <f aca="false">IF(ISNUMBER($CI117),RANK($CI117,$CI$9:$CI$508,1),"")</f>
        <v/>
      </c>
      <c r="CK117" s="101" t="str">
        <f aca="false">IF(ISBLANK($C117),"",$B117)</f>
        <v/>
      </c>
      <c r="CL117" s="101" t="str">
        <f aca="false">IF(ISBLANK($C117),"",$C117)</f>
        <v/>
      </c>
      <c r="CM117" s="101" t="str">
        <f aca="false">IF(ISBLANK($C117),"",$D117)</f>
        <v/>
      </c>
      <c r="CN117" s="102" t="str">
        <f aca="false">$CB117</f>
        <v/>
      </c>
      <c r="CO117" s="103" t="str">
        <f aca="false">$CA117</f>
        <v/>
      </c>
      <c r="CP117" s="101" t="str">
        <f aca="false">IF(ISBLANK($C117),"",$CD117)</f>
        <v/>
      </c>
      <c r="CQ117" s="104" t="str">
        <f aca="false">IF($CH117&gt;$CG$8,"",VLOOKUP($CH117,$CJ$9:$CP$508,7,FALSE()))</f>
        <v/>
      </c>
      <c r="CR117" s="105" t="str">
        <f aca="false">IF($CH117&gt;$CG$8,"",VLOOKUP($CH117,$CJ$9:$CP$508,2,FALSE()))</f>
        <v/>
      </c>
      <c r="CS117" s="105" t="str">
        <f aca="false">IF($CH117&gt;$CG$8,"",VLOOKUP($CH117,$CJ$9:$CP$508,3,FALSE()))</f>
        <v/>
      </c>
      <c r="CT117" s="105" t="str">
        <f aca="false">IF($CH117&gt;$CG$8,"",VLOOKUP($CH117,$CJ$9:$CP$508,4,FALSE()))</f>
        <v/>
      </c>
      <c r="CU117" s="105" t="str">
        <f aca="false">IF($CH117&gt;$CG$8,"",VLOOKUP($CH117,$CJ$9:$CP$508,5,FALSE()))</f>
        <v/>
      </c>
      <c r="CV117" s="106" t="str">
        <f aca="false">IF($CH117&gt;$CG$8,"",VLOOKUP($CH117,$CJ$9:$CP$508,6,FALSE()))</f>
        <v/>
      </c>
      <c r="CW117" s="71"/>
    </row>
    <row r="118" customFormat="false" ht="15.75" hidden="false" customHeight="false" outlineLevel="0" collapsed="false">
      <c r="A118" s="9"/>
      <c r="B118" s="72"/>
      <c r="C118" s="73"/>
      <c r="D118" s="160"/>
      <c r="E118" s="168"/>
      <c r="F118" s="162"/>
      <c r="G118" s="163"/>
      <c r="H118" s="169"/>
      <c r="I118" s="167"/>
      <c r="J118" s="80"/>
      <c r="K118" s="81"/>
      <c r="L118" s="82"/>
      <c r="M118" s="166"/>
      <c r="N118" s="167"/>
      <c r="O118" s="167"/>
      <c r="P118" s="80"/>
      <c r="Q118" s="82"/>
      <c r="R118" s="82"/>
      <c r="S118" s="166"/>
      <c r="T118" s="167"/>
      <c r="U118" s="86"/>
      <c r="V118" s="87"/>
      <c r="W118" s="87" t="str">
        <f aca="false">IF(ISBLANK($C118),"",IF(E118=Constants!$B$2,TRUE(),IF(E118=Constants!$B$3,FALSE(),TRUE())))</f>
        <v/>
      </c>
      <c r="X118" s="87" t="str">
        <f aca="false">IF(ISBLANK($C118),"",IF(F118=Constants!$B$2,TRUE(),IF(F118=Constants!$B$3,FALSE(),TRUE())))</f>
        <v/>
      </c>
      <c r="Y118" s="87" t="str">
        <f aca="false">IF(ISBLANK($C118),"",IF(G118=Constants!$B$2,TRUE(),IF(G118=Constants!$B$3,FALSE(),TRUE())))</f>
        <v/>
      </c>
      <c r="Z118" s="87" t="str">
        <f aca="false">IF(ISBLANK($C118),"",IF(H118=Constants!$B$2,TRUE(),IF(H118=Constants!$B$3,FALSE(),TRUE())))</f>
        <v/>
      </c>
      <c r="AA118" s="87" t="str">
        <f aca="false">IF(ISBLANK($C118),"",IF(I118=Constants!$B$2,TRUE(),IF(I118=Constants!$B$3,FALSE(),TRUE())))</f>
        <v/>
      </c>
      <c r="AB118" s="87" t="str">
        <f aca="false">IF(ISBLANK($C118),"",IF(J118=Constants!$B$4,TRUE(),IF(J118=Constants!$B$5,FALSE(),COUNTA(K118:M118)&gt;0)))</f>
        <v/>
      </c>
      <c r="AC118" s="88" t="str">
        <f aca="false">IF(ISBLANK($C118),"",IF(ISNUMBER(K118),IF(K118&gt;=0,K118,""),""))</f>
        <v/>
      </c>
      <c r="AD118" s="89" t="str">
        <f aca="false">IF(ISBLANK($C118),"",IF(ISNUMBER(L118),IF(L118&gt;=0,L118,""),""))</f>
        <v/>
      </c>
      <c r="AE118" s="87" t="str">
        <f aca="false">IF(ISBLANK($C118),"",IF(ISNUMBER(M118),IF(M118&gt;=0,MIN(M118,Constants!$B$22),""),""))</f>
        <v/>
      </c>
      <c r="AF118" s="87" t="str">
        <f aca="false">IF(ISBLANK($C118),"",IF(N118=Constants!$B$2,TRUE(),IF(N118=Constants!$B$3,FALSE(),TRUE())))</f>
        <v/>
      </c>
      <c r="AG118" s="87" t="str">
        <f aca="false">IF(ISBLANK($C118),"",IF(O118=Constants!$B$2,TRUE(),IF(O118=Constants!$B$3,FALSE(),TRUE())))</f>
        <v/>
      </c>
      <c r="AH118" s="87" t="str">
        <f aca="false">IF(ISBLANK($C118),"",IF(P118=Constants!$B$4,TRUE(),IF(P118=Constants!$B$5,FALSE(),COUNTA(Q118:S118)&gt;0)))</f>
        <v/>
      </c>
      <c r="AI118" s="88" t="str">
        <f aca="false">IF(ISBLANK($C118),"",IF(ISNUMBER(Q118),IF(Q118&gt;=0,Q118,""),""))</f>
        <v/>
      </c>
      <c r="AJ118" s="89" t="str">
        <f aca="false">IF(ISBLANK($C118),"",IF(ISNUMBER(R118),IF(R118&gt;=0,R118,""),""))</f>
        <v/>
      </c>
      <c r="AK118" s="87" t="str">
        <f aca="false">IF(ISBLANK($C118),"",IF(ISNUMBER(S118),IF(S118&gt;=0,MIN(S118,Constants!$B$22),""),""))</f>
        <v/>
      </c>
      <c r="AL118" s="87" t="str">
        <f aca="false">IF(ISBLANK($C118),"",IF(T118=Constants!$B$2,TRUE(),IF(T118=Constants!$B$3,FALSE(),FALSE())))</f>
        <v/>
      </c>
      <c r="AM118" s="86" t="str">
        <f aca="false">IF(ISBLANK($C118),"",AND($AB118,OR($AC118="",$AD118="",AND(NOT(ISBLANK($M118)),$AE118=""))))</f>
        <v/>
      </c>
      <c r="AN118" s="89" t="str">
        <f aca="false">IF($BD118&lt;&gt;Constants!$B$6,"",IF($AB118,Constants!$B$17*$AD118,Constants!$B$18))</f>
        <v/>
      </c>
      <c r="AO118" s="91" t="str">
        <f aca="false">IF($BD118&lt;&gt;Constants!$B$6,"",Constants!$B$19*IF($AB118,$AC118,0))</f>
        <v/>
      </c>
      <c r="AP118" s="91" t="str">
        <f aca="false">IF($BD118&lt;&gt;Constants!$B$6,"",IF(AND($AB118,ISNUMBER($AE118)),Constants!$B$20*(Constants!$B$21-$AE118),0))</f>
        <v/>
      </c>
      <c r="AQ118" s="91" t="str">
        <f aca="false">IF($BD118&lt;&gt;Constants!$B$6,"",IF($AA118,0,Constants!$B$12)+IF($Z118,0,Constants!$B$13)+IF($Y118,0,Constants!$B$14))</f>
        <v/>
      </c>
      <c r="AR118" s="92" t="str">
        <f aca="false">IF($BD118&lt;&gt;Constants!$B$6,"",Constants!$B$16+SUM($AN118:$AQ118))</f>
        <v/>
      </c>
      <c r="AS118" s="91" t="str">
        <f aca="false">IF($BD118&lt;&gt;Constants!$B$6,"",IF($AB118,$AD118,""))</f>
        <v/>
      </c>
      <c r="AT118" s="93" t="str">
        <f aca="false">IF($BD118&lt;&gt;Constants!$B$6,"",$AO118)</f>
        <v/>
      </c>
      <c r="AU118" s="87" t="str">
        <f aca="false">IF($BD118&lt;&gt;Constants!$B$6,"",IF(OR($BA118&lt;$AR118,AND($BA118=$AR118,OR(AND(ISNUMBER($BB118),OR(NOT(ISNUMBER($AS118)),$BB118&lt;$AS118)),AND(OR(AND($BB118="",$AS118=""),AND(ISNUMBER($BB118),ISNUMBER($AS118),$BB118=$AS118)),$BC118&lt;$AT118)))),"-&gt;","&lt;-"))</f>
        <v/>
      </c>
      <c r="AV118" s="86" t="str">
        <f aca="false">IF(ISBLANK($C118),"",AND($AH118,OR($AI118="",$AJ118="",AND(NOT(ISBLANK($S118)),$AK118=""))))</f>
        <v/>
      </c>
      <c r="AW118" s="89" t="str">
        <f aca="false">IF($BD118&lt;&gt;Constants!$B$6,"",IF($AH118,Constants!$B$17*$AJ118,Constants!$B$18))</f>
        <v/>
      </c>
      <c r="AX118" s="91" t="str">
        <f aca="false">IF($BD118&lt;&gt;Constants!$B$6,"",Constants!$B$19*IF($AH118,$AI118,0))</f>
        <v/>
      </c>
      <c r="AY118" s="91" t="str">
        <f aca="false">IF($BD118&lt;&gt;Constants!$B$6,"",IF(AND($AH118,ISNUMBER($AK118)),Constants!$B$20*(Constants!$B$21-$AK118),0))</f>
        <v/>
      </c>
      <c r="AZ118" s="91" t="str">
        <f aca="false">IF($BD118&lt;&gt;Constants!$B$6,"",IF($AG118,0,Constants!$B$12)+IF($AF118,0,Constants!$B$13)+IF($Y118,0,Constants!$B$14))</f>
        <v/>
      </c>
      <c r="BA118" s="92" t="str">
        <f aca="false">IF($BD118&lt;&gt;Constants!$B$6,"",Constants!$B$16+SUM($AW118:$AZ118))</f>
        <v/>
      </c>
      <c r="BB118" s="91" t="str">
        <f aca="false">IF($BD118&lt;&gt;Constants!$B$6,"",IF($AH118,$AJ118,""))</f>
        <v/>
      </c>
      <c r="BC118" s="93" t="str">
        <f aca="false">IF($BD118&lt;&gt;Constants!$B$6,"",$AX118)</f>
        <v/>
      </c>
      <c r="BD118" s="87" t="str">
        <f aca="false">IF(ISBLANK($C118),"",IF($AL118,Constants!$B$9,IF(COUNTA($E118:$T118)=0,Constants!$B$8,IF(NOT($X118),Constants!$B$7,IF(OR($AM118,$AV118),Constants!$B$10,Constants!$B$6)))))</f>
        <v/>
      </c>
      <c r="BE118" s="87" t="str">
        <f aca="false">IF(ISBLANK($C118),"",IF($BD118&lt;&gt;Constants!$B$6,$BD118,Constants!$B$11))</f>
        <v/>
      </c>
      <c r="BF118" s="91" t="str">
        <f aca="false">IF($BD118&lt;&gt;Constants!$B$6,"",IF($AU118="-&gt;",$BA118,$AR118))</f>
        <v/>
      </c>
      <c r="BG118" s="91" t="str">
        <f aca="false">IF($BD118&lt;&gt;Constants!$B$6,"",IF($W118,0,Constants!$B$15))</f>
        <v/>
      </c>
      <c r="BH118" s="91" t="str">
        <f aca="false">IF(ISBLANK($C118),"",IF($BD118&lt;&gt;Constants!$B$6,$BD118,SUM($BF118:$BG118)))</f>
        <v/>
      </c>
      <c r="BI118" s="87" t="str">
        <f aca="false">IF(ISBLANK($C118),"",IF($BD118&lt;&gt;Constants!$B$6,$BD118,RANK($BH118,$BH$9:$BH$508,1)))</f>
        <v/>
      </c>
      <c r="BJ118" s="91" t="str">
        <f aca="false">IF($BD118&lt;&gt;Constants!$B$6,"",IF($AU118="-&gt;",$BB118,$AS118))</f>
        <v/>
      </c>
      <c r="BK118" s="87" t="str">
        <f aca="false">IF(ISBLANK($C118),"",IF($BD118&lt;&gt;Constants!$B$6,$BD118,IF(ISNUMBER($BJ118),RANK($BJ118,$BJ$9:$BJ$508,1),COUNT($BJ$9:$BJ$508)+1)))</f>
        <v/>
      </c>
      <c r="BL118" s="91" t="str">
        <f aca="false">IF($BD118&lt;&gt;Constants!$B$6,"",IF($AU118="-&gt;",$BC118,$AT118))</f>
        <v/>
      </c>
      <c r="BM118" s="87" t="str">
        <f aca="false">IF(ISBLANK($C118),"",IF($BD118&lt;&gt;Constants!$B$6,$BD118,IF(ISNUMBER($BL118),RANK($BL118,$BL$9:$BL$508,1),COUNT($BL$9:$BL$508)+1)))</f>
        <v/>
      </c>
      <c r="BN118" s="91" t="str">
        <f aca="false">IF($BD118&lt;&gt;Constants!$B$6,"",IF($AU118="-&gt;",$AS118,$BB118))</f>
        <v/>
      </c>
      <c r="BO118" s="87" t="str">
        <f aca="false">IF(ISBLANK($C118),"",IF($BD118&lt;&gt;Constants!$B$6,$BD118,IF(ISNUMBER($BN118),RANK($BN118,$BN$9:$BN$508,1),COUNT($BN$9:$BN$508)+1)))</f>
        <v/>
      </c>
      <c r="BP118" s="91" t="str">
        <f aca="false">IF($BD118&lt;&gt;Constants!$B$6,"",IF($AU118="-&gt;",$AT118,$BC118))</f>
        <v/>
      </c>
      <c r="BQ118" s="87" t="str">
        <f aca="false">IF(ISBLANK($C118),"",IF($BD118&lt;&gt;Constants!$B$6,$BD118,IF(ISNUMBER($BP118),RANK($BP118,$BP$9:$BP$508,1),COUNT($BP$9:$BP$508)+1)))</f>
        <v/>
      </c>
      <c r="BR118" s="87" t="str">
        <f aca="false">IF(ISBLANK($C118),"",IF($BD118&lt;&gt;Constants!$B$6,$BD118,COUNTIFS($BI$9:$BI$508,"&lt;"&amp;$BI118)+COUNTIFS($BI$9:$BI$508,$BI118,$BK$9:$BK$508,"&lt;"&amp;$BK118)+COUNTIFS($BI$9:$BI$508,$BI118,$BK$9:$BK$508,$BK118,$BM$9:$BM$508,"&lt;"&amp;$BM118)+COUNTIFS($BI$9:$BI$508,$BI118,$BK$9:$BK$508,$BK118,$BM$9:$BM$508,$BM118,$BO$9:$BO$508,"&lt;"&amp;$BO118)+COUNTIFS($BI$9:$BI$508,$BI118,$BK$9:$BK$508,$BK118,$BM$9:$BM$508,$BM118,$BO$9:$BO$508,$BO118,$BQ$9:$BQ$508,"&lt;"&amp;$BQ118)+1))</f>
        <v/>
      </c>
      <c r="BS118" s="87" t="str">
        <f aca="false">IF(ISBLANK($C118),"",IF($BD118&lt;&gt;Constants!$B$6,$BD118,$BI118-$BR118))</f>
        <v/>
      </c>
      <c r="BT118" s="94"/>
      <c r="BU118" s="95"/>
      <c r="BV118" s="95" t="str">
        <f aca="false">IF(ISBLANK($C118),"",IF($BD118&lt;&gt;Constants!$B$6,"",IF($AU118="-&gt;",2,1)))</f>
        <v/>
      </c>
      <c r="BW118" s="96" t="str">
        <f aca="false">IF(ISBLANK($C118),"",IF($BD118&lt;&gt;Constants!$B$6,"",IF($AU118="-&gt;",$AW118,$AN118)))</f>
        <v/>
      </c>
      <c r="BX118" s="96" t="str">
        <f aca="false">IF(ISBLANK($C118),"",IF($BD118&lt;&gt;Constants!$B$6,"",IF($AU118="-&gt;",$AX118,$AO118)))</f>
        <v/>
      </c>
      <c r="BY118" s="96" t="str">
        <f aca="false">IF(ISBLANK($C118),"",IF($BD118&lt;&gt;Constants!$B$6,"",IF($AU118="-&gt;",$AY118,$AP118)))</f>
        <v/>
      </c>
      <c r="BZ118" s="96" t="str">
        <f aca="false">IF(ISBLANK($C118),"",IF($BD118&lt;&gt;Constants!$B$6,"",IF($AU118="-&gt;",$AZ118,$AQ118)+$BG118))</f>
        <v/>
      </c>
      <c r="CA118" s="97" t="str">
        <f aca="false">IF(ISBLANK($C118),"",IF($BD118&lt;&gt;Constants!$B$6,$BD118,$BH118))</f>
        <v/>
      </c>
      <c r="CB118" s="98" t="str">
        <f aca="false">IF(ISBLANK($C118),"",$BE118)</f>
        <v/>
      </c>
      <c r="CC118" s="99" t="str">
        <f aca="false">IF(ISBLANK($C118),"",$BS118)</f>
        <v/>
      </c>
      <c r="CD118" s="99" t="str">
        <f aca="false">IF(ISBLANK($C118),"",$BR118)</f>
        <v/>
      </c>
      <c r="CE118" s="100" t="str">
        <f aca="false">IF(ISBLANK($C118),"",IF($CD118=Constants!$B$9,COUNTA($C$9:$C$508)+2,IF($CD118=Constants!$B$8,COUNTA($C$9:$C$508)+1,IF($CD118=Constants!$B$7,COUNTA($C$9:$C$508),$CD118))))</f>
        <v/>
      </c>
      <c r="CF118" s="9"/>
      <c r="CG118" s="101" t="n">
        <f aca="false">IF(OR(ISNUMBER($CD118),$CD118=Constants!$B$9,$CD118=Constants!$B$7,$CD118=Constants!$B$8),1,0)</f>
        <v>0</v>
      </c>
      <c r="CH118" s="101" t="n">
        <v>110</v>
      </c>
      <c r="CI118" s="101" t="str">
        <f aca="false">IF(ISBLANK($C118),"",IF(ISNUMBER($CE118),$CE118+ROW($B118)/1000,""))</f>
        <v/>
      </c>
      <c r="CJ118" s="101" t="str">
        <f aca="false">IF(ISNUMBER($CI118),RANK($CI118,$CI$9:$CI$508,1),"")</f>
        <v/>
      </c>
      <c r="CK118" s="101" t="str">
        <f aca="false">IF(ISBLANK($C118),"",$B118)</f>
        <v/>
      </c>
      <c r="CL118" s="101" t="str">
        <f aca="false">IF(ISBLANK($C118),"",$C118)</f>
        <v/>
      </c>
      <c r="CM118" s="101" t="str">
        <f aca="false">IF(ISBLANK($C118),"",$D118)</f>
        <v/>
      </c>
      <c r="CN118" s="102" t="str">
        <f aca="false">$CB118</f>
        <v/>
      </c>
      <c r="CO118" s="103" t="str">
        <f aca="false">$CA118</f>
        <v/>
      </c>
      <c r="CP118" s="101" t="str">
        <f aca="false">IF(ISBLANK($C118),"",$CD118)</f>
        <v/>
      </c>
      <c r="CQ118" s="104" t="str">
        <f aca="false">IF($CH118&gt;$CG$8,"",VLOOKUP($CH118,$CJ$9:$CP$508,7,FALSE()))</f>
        <v/>
      </c>
      <c r="CR118" s="105" t="str">
        <f aca="false">IF($CH118&gt;$CG$8,"",VLOOKUP($CH118,$CJ$9:$CP$508,2,FALSE()))</f>
        <v/>
      </c>
      <c r="CS118" s="105" t="str">
        <f aca="false">IF($CH118&gt;$CG$8,"",VLOOKUP($CH118,$CJ$9:$CP$508,3,FALSE()))</f>
        <v/>
      </c>
      <c r="CT118" s="105" t="str">
        <f aca="false">IF($CH118&gt;$CG$8,"",VLOOKUP($CH118,$CJ$9:$CP$508,4,FALSE()))</f>
        <v/>
      </c>
      <c r="CU118" s="105" t="str">
        <f aca="false">IF($CH118&gt;$CG$8,"",VLOOKUP($CH118,$CJ$9:$CP$508,5,FALSE()))</f>
        <v/>
      </c>
      <c r="CV118" s="106" t="str">
        <f aca="false">IF($CH118&gt;$CG$8,"",VLOOKUP($CH118,$CJ$9:$CP$508,6,FALSE()))</f>
        <v/>
      </c>
      <c r="CW118" s="71"/>
    </row>
    <row r="119" customFormat="false" ht="15.75" hidden="false" customHeight="false" outlineLevel="0" collapsed="false">
      <c r="A119" s="9"/>
      <c r="B119" s="72"/>
      <c r="C119" s="73"/>
      <c r="D119" s="160"/>
      <c r="E119" s="168"/>
      <c r="F119" s="162"/>
      <c r="G119" s="163"/>
      <c r="H119" s="169"/>
      <c r="I119" s="167"/>
      <c r="J119" s="80"/>
      <c r="K119" s="81"/>
      <c r="L119" s="82"/>
      <c r="M119" s="166"/>
      <c r="N119" s="167"/>
      <c r="O119" s="167"/>
      <c r="P119" s="80"/>
      <c r="Q119" s="82"/>
      <c r="R119" s="82"/>
      <c r="S119" s="166"/>
      <c r="T119" s="167"/>
      <c r="U119" s="86"/>
      <c r="V119" s="87"/>
      <c r="W119" s="87" t="str">
        <f aca="false">IF(ISBLANK($C119),"",IF(E119=Constants!$B$2,TRUE(),IF(E119=Constants!$B$3,FALSE(),TRUE())))</f>
        <v/>
      </c>
      <c r="X119" s="87" t="str">
        <f aca="false">IF(ISBLANK($C119),"",IF(F119=Constants!$B$2,TRUE(),IF(F119=Constants!$B$3,FALSE(),TRUE())))</f>
        <v/>
      </c>
      <c r="Y119" s="87" t="str">
        <f aca="false">IF(ISBLANK($C119),"",IF(G119=Constants!$B$2,TRUE(),IF(G119=Constants!$B$3,FALSE(),TRUE())))</f>
        <v/>
      </c>
      <c r="Z119" s="87" t="str">
        <f aca="false">IF(ISBLANK($C119),"",IF(H119=Constants!$B$2,TRUE(),IF(H119=Constants!$B$3,FALSE(),TRUE())))</f>
        <v/>
      </c>
      <c r="AA119" s="87" t="str">
        <f aca="false">IF(ISBLANK($C119),"",IF(I119=Constants!$B$2,TRUE(),IF(I119=Constants!$B$3,FALSE(),TRUE())))</f>
        <v/>
      </c>
      <c r="AB119" s="87" t="str">
        <f aca="false">IF(ISBLANK($C119),"",IF(J119=Constants!$B$4,TRUE(),IF(J119=Constants!$B$5,FALSE(),COUNTA(K119:M119)&gt;0)))</f>
        <v/>
      </c>
      <c r="AC119" s="88" t="str">
        <f aca="false">IF(ISBLANK($C119),"",IF(ISNUMBER(K119),IF(K119&gt;=0,K119,""),""))</f>
        <v/>
      </c>
      <c r="AD119" s="89" t="str">
        <f aca="false">IF(ISBLANK($C119),"",IF(ISNUMBER(L119),IF(L119&gt;=0,L119,""),""))</f>
        <v/>
      </c>
      <c r="AE119" s="87" t="str">
        <f aca="false">IF(ISBLANK($C119),"",IF(ISNUMBER(M119),IF(M119&gt;=0,MIN(M119,Constants!$B$22),""),""))</f>
        <v/>
      </c>
      <c r="AF119" s="87" t="str">
        <f aca="false">IF(ISBLANK($C119),"",IF(N119=Constants!$B$2,TRUE(),IF(N119=Constants!$B$3,FALSE(),TRUE())))</f>
        <v/>
      </c>
      <c r="AG119" s="87" t="str">
        <f aca="false">IF(ISBLANK($C119),"",IF(O119=Constants!$B$2,TRUE(),IF(O119=Constants!$B$3,FALSE(),TRUE())))</f>
        <v/>
      </c>
      <c r="AH119" s="87" t="str">
        <f aca="false">IF(ISBLANK($C119),"",IF(P119=Constants!$B$4,TRUE(),IF(P119=Constants!$B$5,FALSE(),COUNTA(Q119:S119)&gt;0)))</f>
        <v/>
      </c>
      <c r="AI119" s="88" t="str">
        <f aca="false">IF(ISBLANK($C119),"",IF(ISNUMBER(Q119),IF(Q119&gt;=0,Q119,""),""))</f>
        <v/>
      </c>
      <c r="AJ119" s="89" t="str">
        <f aca="false">IF(ISBLANK($C119),"",IF(ISNUMBER(R119),IF(R119&gt;=0,R119,""),""))</f>
        <v/>
      </c>
      <c r="AK119" s="87" t="str">
        <f aca="false">IF(ISBLANK($C119),"",IF(ISNUMBER(S119),IF(S119&gt;=0,MIN(S119,Constants!$B$22),""),""))</f>
        <v/>
      </c>
      <c r="AL119" s="87" t="str">
        <f aca="false">IF(ISBLANK($C119),"",IF(T119=Constants!$B$2,TRUE(),IF(T119=Constants!$B$3,FALSE(),FALSE())))</f>
        <v/>
      </c>
      <c r="AM119" s="86" t="str">
        <f aca="false">IF(ISBLANK($C119),"",AND($AB119,OR($AC119="",$AD119="",AND(NOT(ISBLANK($M119)),$AE119=""))))</f>
        <v/>
      </c>
      <c r="AN119" s="89" t="str">
        <f aca="false">IF($BD119&lt;&gt;Constants!$B$6,"",IF($AB119,Constants!$B$17*$AD119,Constants!$B$18))</f>
        <v/>
      </c>
      <c r="AO119" s="91" t="str">
        <f aca="false">IF($BD119&lt;&gt;Constants!$B$6,"",Constants!$B$19*IF($AB119,$AC119,0))</f>
        <v/>
      </c>
      <c r="AP119" s="91" t="str">
        <f aca="false">IF($BD119&lt;&gt;Constants!$B$6,"",IF(AND($AB119,ISNUMBER($AE119)),Constants!$B$20*(Constants!$B$21-$AE119),0))</f>
        <v/>
      </c>
      <c r="AQ119" s="91" t="str">
        <f aca="false">IF($BD119&lt;&gt;Constants!$B$6,"",IF($AA119,0,Constants!$B$12)+IF($Z119,0,Constants!$B$13)+IF($Y119,0,Constants!$B$14))</f>
        <v/>
      </c>
      <c r="AR119" s="92" t="str">
        <f aca="false">IF($BD119&lt;&gt;Constants!$B$6,"",Constants!$B$16+SUM($AN119:$AQ119))</f>
        <v/>
      </c>
      <c r="AS119" s="91" t="str">
        <f aca="false">IF($BD119&lt;&gt;Constants!$B$6,"",IF($AB119,$AD119,""))</f>
        <v/>
      </c>
      <c r="AT119" s="93" t="str">
        <f aca="false">IF($BD119&lt;&gt;Constants!$B$6,"",$AO119)</f>
        <v/>
      </c>
      <c r="AU119" s="87" t="str">
        <f aca="false">IF($BD119&lt;&gt;Constants!$B$6,"",IF(OR($BA119&lt;$AR119,AND($BA119=$AR119,OR(AND(ISNUMBER($BB119),OR(NOT(ISNUMBER($AS119)),$BB119&lt;$AS119)),AND(OR(AND($BB119="",$AS119=""),AND(ISNUMBER($BB119),ISNUMBER($AS119),$BB119=$AS119)),$BC119&lt;$AT119)))),"-&gt;","&lt;-"))</f>
        <v/>
      </c>
      <c r="AV119" s="86" t="str">
        <f aca="false">IF(ISBLANK($C119),"",AND($AH119,OR($AI119="",$AJ119="",AND(NOT(ISBLANK($S119)),$AK119=""))))</f>
        <v/>
      </c>
      <c r="AW119" s="89" t="str">
        <f aca="false">IF($BD119&lt;&gt;Constants!$B$6,"",IF($AH119,Constants!$B$17*$AJ119,Constants!$B$18))</f>
        <v/>
      </c>
      <c r="AX119" s="91" t="str">
        <f aca="false">IF($BD119&lt;&gt;Constants!$B$6,"",Constants!$B$19*IF($AH119,$AI119,0))</f>
        <v/>
      </c>
      <c r="AY119" s="91" t="str">
        <f aca="false">IF($BD119&lt;&gt;Constants!$B$6,"",IF(AND($AH119,ISNUMBER($AK119)),Constants!$B$20*(Constants!$B$21-$AK119),0))</f>
        <v/>
      </c>
      <c r="AZ119" s="91" t="str">
        <f aca="false">IF($BD119&lt;&gt;Constants!$B$6,"",IF($AG119,0,Constants!$B$12)+IF($AF119,0,Constants!$B$13)+IF($Y119,0,Constants!$B$14))</f>
        <v/>
      </c>
      <c r="BA119" s="92" t="str">
        <f aca="false">IF($BD119&lt;&gt;Constants!$B$6,"",Constants!$B$16+SUM($AW119:$AZ119))</f>
        <v/>
      </c>
      <c r="BB119" s="91" t="str">
        <f aca="false">IF($BD119&lt;&gt;Constants!$B$6,"",IF($AH119,$AJ119,""))</f>
        <v/>
      </c>
      <c r="BC119" s="93" t="str">
        <f aca="false">IF($BD119&lt;&gt;Constants!$B$6,"",$AX119)</f>
        <v/>
      </c>
      <c r="BD119" s="87" t="str">
        <f aca="false">IF(ISBLANK($C119),"",IF($AL119,Constants!$B$9,IF(COUNTA($E119:$T119)=0,Constants!$B$8,IF(NOT($X119),Constants!$B$7,IF(OR($AM119,$AV119),Constants!$B$10,Constants!$B$6)))))</f>
        <v/>
      </c>
      <c r="BE119" s="87" t="str">
        <f aca="false">IF(ISBLANK($C119),"",IF($BD119&lt;&gt;Constants!$B$6,$BD119,Constants!$B$11))</f>
        <v/>
      </c>
      <c r="BF119" s="91" t="str">
        <f aca="false">IF($BD119&lt;&gt;Constants!$B$6,"",IF($AU119="-&gt;",$BA119,$AR119))</f>
        <v/>
      </c>
      <c r="BG119" s="91" t="str">
        <f aca="false">IF($BD119&lt;&gt;Constants!$B$6,"",IF($W119,0,Constants!$B$15))</f>
        <v/>
      </c>
      <c r="BH119" s="91" t="str">
        <f aca="false">IF(ISBLANK($C119),"",IF($BD119&lt;&gt;Constants!$B$6,$BD119,SUM($BF119:$BG119)))</f>
        <v/>
      </c>
      <c r="BI119" s="87" t="str">
        <f aca="false">IF(ISBLANK($C119),"",IF($BD119&lt;&gt;Constants!$B$6,$BD119,RANK($BH119,$BH$9:$BH$508,1)))</f>
        <v/>
      </c>
      <c r="BJ119" s="91" t="str">
        <f aca="false">IF($BD119&lt;&gt;Constants!$B$6,"",IF($AU119="-&gt;",$BB119,$AS119))</f>
        <v/>
      </c>
      <c r="BK119" s="87" t="str">
        <f aca="false">IF(ISBLANK($C119),"",IF($BD119&lt;&gt;Constants!$B$6,$BD119,IF(ISNUMBER($BJ119),RANK($BJ119,$BJ$9:$BJ$508,1),COUNT($BJ$9:$BJ$508)+1)))</f>
        <v/>
      </c>
      <c r="BL119" s="91" t="str">
        <f aca="false">IF($BD119&lt;&gt;Constants!$B$6,"",IF($AU119="-&gt;",$BC119,$AT119))</f>
        <v/>
      </c>
      <c r="BM119" s="87" t="str">
        <f aca="false">IF(ISBLANK($C119),"",IF($BD119&lt;&gt;Constants!$B$6,$BD119,IF(ISNUMBER($BL119),RANK($BL119,$BL$9:$BL$508,1),COUNT($BL$9:$BL$508)+1)))</f>
        <v/>
      </c>
      <c r="BN119" s="91" t="str">
        <f aca="false">IF($BD119&lt;&gt;Constants!$B$6,"",IF($AU119="-&gt;",$AS119,$BB119))</f>
        <v/>
      </c>
      <c r="BO119" s="87" t="str">
        <f aca="false">IF(ISBLANK($C119),"",IF($BD119&lt;&gt;Constants!$B$6,$BD119,IF(ISNUMBER($BN119),RANK($BN119,$BN$9:$BN$508,1),COUNT($BN$9:$BN$508)+1)))</f>
        <v/>
      </c>
      <c r="BP119" s="91" t="str">
        <f aca="false">IF($BD119&lt;&gt;Constants!$B$6,"",IF($AU119="-&gt;",$AT119,$BC119))</f>
        <v/>
      </c>
      <c r="BQ119" s="87" t="str">
        <f aca="false">IF(ISBLANK($C119),"",IF($BD119&lt;&gt;Constants!$B$6,$BD119,IF(ISNUMBER($BP119),RANK($BP119,$BP$9:$BP$508,1),COUNT($BP$9:$BP$508)+1)))</f>
        <v/>
      </c>
      <c r="BR119" s="87" t="str">
        <f aca="false">IF(ISBLANK($C119),"",IF($BD119&lt;&gt;Constants!$B$6,$BD119,COUNTIFS($BI$9:$BI$508,"&lt;"&amp;$BI119)+COUNTIFS($BI$9:$BI$508,$BI119,$BK$9:$BK$508,"&lt;"&amp;$BK119)+COUNTIFS($BI$9:$BI$508,$BI119,$BK$9:$BK$508,$BK119,$BM$9:$BM$508,"&lt;"&amp;$BM119)+COUNTIFS($BI$9:$BI$508,$BI119,$BK$9:$BK$508,$BK119,$BM$9:$BM$508,$BM119,$BO$9:$BO$508,"&lt;"&amp;$BO119)+COUNTIFS($BI$9:$BI$508,$BI119,$BK$9:$BK$508,$BK119,$BM$9:$BM$508,$BM119,$BO$9:$BO$508,$BO119,$BQ$9:$BQ$508,"&lt;"&amp;$BQ119)+1))</f>
        <v/>
      </c>
      <c r="BS119" s="87" t="str">
        <f aca="false">IF(ISBLANK($C119),"",IF($BD119&lt;&gt;Constants!$B$6,$BD119,$BI119-$BR119))</f>
        <v/>
      </c>
      <c r="BT119" s="94"/>
      <c r="BU119" s="95"/>
      <c r="BV119" s="95" t="str">
        <f aca="false">IF(ISBLANK($C119),"",IF($BD119&lt;&gt;Constants!$B$6,"",IF($AU119="-&gt;",2,1)))</f>
        <v/>
      </c>
      <c r="BW119" s="96" t="str">
        <f aca="false">IF(ISBLANK($C119),"",IF($BD119&lt;&gt;Constants!$B$6,"",IF($AU119="-&gt;",$AW119,$AN119)))</f>
        <v/>
      </c>
      <c r="BX119" s="96" t="str">
        <f aca="false">IF(ISBLANK($C119),"",IF($BD119&lt;&gt;Constants!$B$6,"",IF($AU119="-&gt;",$AX119,$AO119)))</f>
        <v/>
      </c>
      <c r="BY119" s="96" t="str">
        <f aca="false">IF(ISBLANK($C119),"",IF($BD119&lt;&gt;Constants!$B$6,"",IF($AU119="-&gt;",$AY119,$AP119)))</f>
        <v/>
      </c>
      <c r="BZ119" s="96" t="str">
        <f aca="false">IF(ISBLANK($C119),"",IF($BD119&lt;&gt;Constants!$B$6,"",IF($AU119="-&gt;",$AZ119,$AQ119)+$BG119))</f>
        <v/>
      </c>
      <c r="CA119" s="97" t="str">
        <f aca="false">IF(ISBLANK($C119),"",IF($BD119&lt;&gt;Constants!$B$6,$BD119,$BH119))</f>
        <v/>
      </c>
      <c r="CB119" s="98" t="str">
        <f aca="false">IF(ISBLANK($C119),"",$BE119)</f>
        <v/>
      </c>
      <c r="CC119" s="99" t="str">
        <f aca="false">IF(ISBLANK($C119),"",$BS119)</f>
        <v/>
      </c>
      <c r="CD119" s="99" t="str">
        <f aca="false">IF(ISBLANK($C119),"",$BR119)</f>
        <v/>
      </c>
      <c r="CE119" s="100" t="str">
        <f aca="false">IF(ISBLANK($C119),"",IF($CD119=Constants!$B$9,COUNTA($C$9:$C$508)+2,IF($CD119=Constants!$B$8,COUNTA($C$9:$C$508)+1,IF($CD119=Constants!$B$7,COUNTA($C$9:$C$508),$CD119))))</f>
        <v/>
      </c>
      <c r="CF119" s="9"/>
      <c r="CG119" s="101" t="n">
        <f aca="false">IF(OR(ISNUMBER($CD119),$CD119=Constants!$B$9,$CD119=Constants!$B$7,$CD119=Constants!$B$8),1,0)</f>
        <v>0</v>
      </c>
      <c r="CH119" s="101" t="n">
        <v>111</v>
      </c>
      <c r="CI119" s="101" t="str">
        <f aca="false">IF(ISBLANK($C119),"",IF(ISNUMBER($CE119),$CE119+ROW($B119)/1000,""))</f>
        <v/>
      </c>
      <c r="CJ119" s="101" t="str">
        <f aca="false">IF(ISNUMBER($CI119),RANK($CI119,$CI$9:$CI$508,1),"")</f>
        <v/>
      </c>
      <c r="CK119" s="101" t="str">
        <f aca="false">IF(ISBLANK($C119),"",$B119)</f>
        <v/>
      </c>
      <c r="CL119" s="101" t="str">
        <f aca="false">IF(ISBLANK($C119),"",$C119)</f>
        <v/>
      </c>
      <c r="CM119" s="101" t="str">
        <f aca="false">IF(ISBLANK($C119),"",$D119)</f>
        <v/>
      </c>
      <c r="CN119" s="102" t="str">
        <f aca="false">$CB119</f>
        <v/>
      </c>
      <c r="CO119" s="103" t="str">
        <f aca="false">$CA119</f>
        <v/>
      </c>
      <c r="CP119" s="101" t="str">
        <f aca="false">IF(ISBLANK($C119),"",$CD119)</f>
        <v/>
      </c>
      <c r="CQ119" s="104" t="str">
        <f aca="false">IF($CH119&gt;$CG$8,"",VLOOKUP($CH119,$CJ$9:$CP$508,7,FALSE()))</f>
        <v/>
      </c>
      <c r="CR119" s="105" t="str">
        <f aca="false">IF($CH119&gt;$CG$8,"",VLOOKUP($CH119,$CJ$9:$CP$508,2,FALSE()))</f>
        <v/>
      </c>
      <c r="CS119" s="105" t="str">
        <f aca="false">IF($CH119&gt;$CG$8,"",VLOOKUP($CH119,$CJ$9:$CP$508,3,FALSE()))</f>
        <v/>
      </c>
      <c r="CT119" s="105" t="str">
        <f aca="false">IF($CH119&gt;$CG$8,"",VLOOKUP($CH119,$CJ$9:$CP$508,4,FALSE()))</f>
        <v/>
      </c>
      <c r="CU119" s="105" t="str">
        <f aca="false">IF($CH119&gt;$CG$8,"",VLOOKUP($CH119,$CJ$9:$CP$508,5,FALSE()))</f>
        <v/>
      </c>
      <c r="CV119" s="106" t="str">
        <f aca="false">IF($CH119&gt;$CG$8,"",VLOOKUP($CH119,$CJ$9:$CP$508,6,FALSE()))</f>
        <v/>
      </c>
      <c r="CW119" s="71"/>
    </row>
    <row r="120" customFormat="false" ht="15.75" hidden="false" customHeight="false" outlineLevel="0" collapsed="false">
      <c r="A120" s="9"/>
      <c r="B120" s="150"/>
      <c r="C120" s="151"/>
      <c r="D120" s="152"/>
      <c r="E120" s="170"/>
      <c r="F120" s="154"/>
      <c r="G120" s="155"/>
      <c r="H120" s="171"/>
      <c r="I120" s="159"/>
      <c r="J120" s="120"/>
      <c r="K120" s="121"/>
      <c r="L120" s="122"/>
      <c r="M120" s="158"/>
      <c r="N120" s="159"/>
      <c r="O120" s="159"/>
      <c r="P120" s="120"/>
      <c r="Q120" s="122"/>
      <c r="R120" s="122"/>
      <c r="S120" s="158"/>
      <c r="T120" s="159"/>
      <c r="U120" s="126"/>
      <c r="V120" s="127"/>
      <c r="W120" s="127" t="str">
        <f aca="false">IF(ISBLANK($C120),"",IF(E120=Constants!$B$2,TRUE(),IF(E120=Constants!$B$3,FALSE(),TRUE())))</f>
        <v/>
      </c>
      <c r="X120" s="127" t="str">
        <f aca="false">IF(ISBLANK($C120),"",IF(F120=Constants!$B$2,TRUE(),IF(F120=Constants!$B$3,FALSE(),TRUE())))</f>
        <v/>
      </c>
      <c r="Y120" s="127" t="str">
        <f aca="false">IF(ISBLANK($C120),"",IF(G120=Constants!$B$2,TRUE(),IF(G120=Constants!$B$3,FALSE(),TRUE())))</f>
        <v/>
      </c>
      <c r="Z120" s="127" t="str">
        <f aca="false">IF(ISBLANK($C120),"",IF(H120=Constants!$B$2,TRUE(),IF(H120=Constants!$B$3,FALSE(),TRUE())))</f>
        <v/>
      </c>
      <c r="AA120" s="127" t="str">
        <f aca="false">IF(ISBLANK($C120),"",IF(I120=Constants!$B$2,TRUE(),IF(I120=Constants!$B$3,FALSE(),TRUE())))</f>
        <v/>
      </c>
      <c r="AB120" s="127" t="str">
        <f aca="false">IF(ISBLANK($C120),"",IF(J120=Constants!$B$4,TRUE(),IF(J120=Constants!$B$5,FALSE(),COUNTA(K120:M120)&gt;0)))</f>
        <v/>
      </c>
      <c r="AC120" s="128" t="str">
        <f aca="false">IF(ISBLANK($C120),"",IF(ISNUMBER(K120),IF(K120&gt;=0,K120,""),""))</f>
        <v/>
      </c>
      <c r="AD120" s="129" t="str">
        <f aca="false">IF(ISBLANK($C120),"",IF(ISNUMBER(L120),IF(L120&gt;=0,L120,""),""))</f>
        <v/>
      </c>
      <c r="AE120" s="127" t="str">
        <f aca="false">IF(ISBLANK($C120),"",IF(ISNUMBER(M120),IF(M120&gt;=0,MIN(M120,Constants!$B$22),""),""))</f>
        <v/>
      </c>
      <c r="AF120" s="127" t="str">
        <f aca="false">IF(ISBLANK($C120),"",IF(N120=Constants!$B$2,TRUE(),IF(N120=Constants!$B$3,FALSE(),TRUE())))</f>
        <v/>
      </c>
      <c r="AG120" s="127" t="str">
        <f aca="false">IF(ISBLANK($C120),"",IF(O120=Constants!$B$2,TRUE(),IF(O120=Constants!$B$3,FALSE(),TRUE())))</f>
        <v/>
      </c>
      <c r="AH120" s="127" t="str">
        <f aca="false">IF(ISBLANK($C120),"",IF(P120=Constants!$B$4,TRUE(),IF(P120=Constants!$B$5,FALSE(),COUNTA(Q120:S120)&gt;0)))</f>
        <v/>
      </c>
      <c r="AI120" s="128" t="str">
        <f aca="false">IF(ISBLANK($C120),"",IF(ISNUMBER(Q120),IF(Q120&gt;=0,Q120,""),""))</f>
        <v/>
      </c>
      <c r="AJ120" s="129" t="str">
        <f aca="false">IF(ISBLANK($C120),"",IF(ISNUMBER(R120),IF(R120&gt;=0,R120,""),""))</f>
        <v/>
      </c>
      <c r="AK120" s="127" t="str">
        <f aca="false">IF(ISBLANK($C120),"",IF(ISNUMBER(S120),IF(S120&gt;=0,MIN(S120,Constants!$B$22),""),""))</f>
        <v/>
      </c>
      <c r="AL120" s="127" t="str">
        <f aca="false">IF(ISBLANK($C120),"",IF(T120=Constants!$B$2,TRUE(),IF(T120=Constants!$B$3,FALSE(),FALSE())))</f>
        <v/>
      </c>
      <c r="AM120" s="126" t="str">
        <f aca="false">IF(ISBLANK($C120),"",AND($AB120,OR($AC120="",$AD120="",AND(NOT(ISBLANK($M120)),$AE120=""))))</f>
        <v/>
      </c>
      <c r="AN120" s="129" t="str">
        <f aca="false">IF($BD120&lt;&gt;Constants!$B$6,"",IF($AB120,Constants!$B$17*$AD120,Constants!$B$18))</f>
        <v/>
      </c>
      <c r="AO120" s="130" t="str">
        <f aca="false">IF($BD120&lt;&gt;Constants!$B$6,"",Constants!$B$19*IF($AB120,$AC120,0))</f>
        <v/>
      </c>
      <c r="AP120" s="130" t="str">
        <f aca="false">IF($BD120&lt;&gt;Constants!$B$6,"",IF(AND($AB120,ISNUMBER($AE120)),Constants!$B$20*(Constants!$B$21-$AE120),0))</f>
        <v/>
      </c>
      <c r="AQ120" s="130" t="str">
        <f aca="false">IF($BD120&lt;&gt;Constants!$B$6,"",IF($AA120,0,Constants!$B$12)+IF($Z120,0,Constants!$B$13)+IF($Y120,0,Constants!$B$14))</f>
        <v/>
      </c>
      <c r="AR120" s="131" t="str">
        <f aca="false">IF($BD120&lt;&gt;Constants!$B$6,"",Constants!$B$16+SUM($AN120:$AQ120))</f>
        <v/>
      </c>
      <c r="AS120" s="130" t="str">
        <f aca="false">IF($BD120&lt;&gt;Constants!$B$6,"",IF($AB120,$AD120,""))</f>
        <v/>
      </c>
      <c r="AT120" s="132" t="str">
        <f aca="false">IF($BD120&lt;&gt;Constants!$B$6,"",$AO120)</f>
        <v/>
      </c>
      <c r="AU120" s="127" t="str">
        <f aca="false">IF($BD120&lt;&gt;Constants!$B$6,"",IF(OR($BA120&lt;$AR120,AND($BA120=$AR120,OR(AND(ISNUMBER($BB120),OR(NOT(ISNUMBER($AS120)),$BB120&lt;$AS120)),AND(OR(AND($BB120="",$AS120=""),AND(ISNUMBER($BB120),ISNUMBER($AS120),$BB120=$AS120)),$BC120&lt;$AT120)))),"-&gt;","&lt;-"))</f>
        <v/>
      </c>
      <c r="AV120" s="126" t="str">
        <f aca="false">IF(ISBLANK($C120),"",AND($AH120,OR($AI120="",$AJ120="",AND(NOT(ISBLANK($S120)),$AK120=""))))</f>
        <v/>
      </c>
      <c r="AW120" s="129" t="str">
        <f aca="false">IF($BD120&lt;&gt;Constants!$B$6,"",IF($AH120,Constants!$B$17*$AJ120,Constants!$B$18))</f>
        <v/>
      </c>
      <c r="AX120" s="130" t="str">
        <f aca="false">IF($BD120&lt;&gt;Constants!$B$6,"",Constants!$B$19*IF($AH120,$AI120,0))</f>
        <v/>
      </c>
      <c r="AY120" s="130" t="str">
        <f aca="false">IF($BD120&lt;&gt;Constants!$B$6,"",IF(AND($AH120,ISNUMBER($AK120)),Constants!$B$20*(Constants!$B$21-$AK120),0))</f>
        <v/>
      </c>
      <c r="AZ120" s="130" t="str">
        <f aca="false">IF($BD120&lt;&gt;Constants!$B$6,"",IF($AG120,0,Constants!$B$12)+IF($AF120,0,Constants!$B$13)+IF($Y120,0,Constants!$B$14))</f>
        <v/>
      </c>
      <c r="BA120" s="131" t="str">
        <f aca="false">IF($BD120&lt;&gt;Constants!$B$6,"",Constants!$B$16+SUM($AW120:$AZ120))</f>
        <v/>
      </c>
      <c r="BB120" s="130" t="str">
        <f aca="false">IF($BD120&lt;&gt;Constants!$B$6,"",IF($AH120,$AJ120,""))</f>
        <v/>
      </c>
      <c r="BC120" s="132" t="str">
        <f aca="false">IF($BD120&lt;&gt;Constants!$B$6,"",$AX120)</f>
        <v/>
      </c>
      <c r="BD120" s="127" t="str">
        <f aca="false">IF(ISBLANK($C120),"",IF($AL120,Constants!$B$9,IF(COUNTA($E120:$T120)=0,Constants!$B$8,IF(NOT($X120),Constants!$B$7,IF(OR($AM120,$AV120),Constants!$B$10,Constants!$B$6)))))</f>
        <v/>
      </c>
      <c r="BE120" s="127" t="str">
        <f aca="false">IF(ISBLANK($C120),"",IF($BD120&lt;&gt;Constants!$B$6,$BD120,Constants!$B$11))</f>
        <v/>
      </c>
      <c r="BF120" s="130" t="str">
        <f aca="false">IF($BD120&lt;&gt;Constants!$B$6,"",IF($AU120="-&gt;",$BA120,$AR120))</f>
        <v/>
      </c>
      <c r="BG120" s="130" t="str">
        <f aca="false">IF($BD120&lt;&gt;Constants!$B$6,"",IF($W120,0,Constants!$B$15))</f>
        <v/>
      </c>
      <c r="BH120" s="130" t="str">
        <f aca="false">IF(ISBLANK($C120),"",IF($BD120&lt;&gt;Constants!$B$6,$BD120,SUM($BF120:$BG120)))</f>
        <v/>
      </c>
      <c r="BI120" s="127" t="str">
        <f aca="false">IF(ISBLANK($C120),"",IF($BD120&lt;&gt;Constants!$B$6,$BD120,RANK($BH120,$BH$9:$BH$508,1)))</f>
        <v/>
      </c>
      <c r="BJ120" s="130" t="str">
        <f aca="false">IF($BD120&lt;&gt;Constants!$B$6,"",IF($AU120="-&gt;",$BB120,$AS120))</f>
        <v/>
      </c>
      <c r="BK120" s="127" t="str">
        <f aca="false">IF(ISBLANK($C120),"",IF($BD120&lt;&gt;Constants!$B$6,$BD120,IF(ISNUMBER($BJ120),RANK($BJ120,$BJ$9:$BJ$508,1),COUNT($BJ$9:$BJ$508)+1)))</f>
        <v/>
      </c>
      <c r="BL120" s="130" t="str">
        <f aca="false">IF($BD120&lt;&gt;Constants!$B$6,"",IF($AU120="-&gt;",$BC120,$AT120))</f>
        <v/>
      </c>
      <c r="BM120" s="127" t="str">
        <f aca="false">IF(ISBLANK($C120),"",IF($BD120&lt;&gt;Constants!$B$6,$BD120,IF(ISNUMBER($BL120),RANK($BL120,$BL$9:$BL$508,1),COUNT($BL$9:$BL$508)+1)))</f>
        <v/>
      </c>
      <c r="BN120" s="130" t="str">
        <f aca="false">IF($BD120&lt;&gt;Constants!$B$6,"",IF($AU120="-&gt;",$AS120,$BB120))</f>
        <v/>
      </c>
      <c r="BO120" s="127" t="str">
        <f aca="false">IF(ISBLANK($C120),"",IF($BD120&lt;&gt;Constants!$B$6,$BD120,IF(ISNUMBER($BN120),RANK($BN120,$BN$9:$BN$508,1),COUNT($BN$9:$BN$508)+1)))</f>
        <v/>
      </c>
      <c r="BP120" s="130" t="str">
        <f aca="false">IF($BD120&lt;&gt;Constants!$B$6,"",IF($AU120="-&gt;",$AT120,$BC120))</f>
        <v/>
      </c>
      <c r="BQ120" s="127" t="str">
        <f aca="false">IF(ISBLANK($C120),"",IF($BD120&lt;&gt;Constants!$B$6,$BD120,IF(ISNUMBER($BP120),RANK($BP120,$BP$9:$BP$508,1),COUNT($BP$9:$BP$508)+1)))</f>
        <v/>
      </c>
      <c r="BR120" s="127" t="str">
        <f aca="false">IF(ISBLANK($C120),"",IF($BD120&lt;&gt;Constants!$B$6,$BD120,COUNTIFS($BI$9:$BI$508,"&lt;"&amp;$BI120)+COUNTIFS($BI$9:$BI$508,$BI120,$BK$9:$BK$508,"&lt;"&amp;$BK120)+COUNTIFS($BI$9:$BI$508,$BI120,$BK$9:$BK$508,$BK120,$BM$9:$BM$508,"&lt;"&amp;$BM120)+COUNTIFS($BI$9:$BI$508,$BI120,$BK$9:$BK$508,$BK120,$BM$9:$BM$508,$BM120,$BO$9:$BO$508,"&lt;"&amp;$BO120)+COUNTIFS($BI$9:$BI$508,$BI120,$BK$9:$BK$508,$BK120,$BM$9:$BM$508,$BM120,$BO$9:$BO$508,$BO120,$BQ$9:$BQ$508,"&lt;"&amp;$BQ120)+1))</f>
        <v/>
      </c>
      <c r="BS120" s="127" t="str">
        <f aca="false">IF(ISBLANK($C120),"",IF($BD120&lt;&gt;Constants!$B$6,$BD120,$BI120-$BR120))</f>
        <v/>
      </c>
      <c r="BT120" s="133"/>
      <c r="BU120" s="134"/>
      <c r="BV120" s="134" t="str">
        <f aca="false">IF(ISBLANK($C120),"",IF($BD120&lt;&gt;Constants!$B$6,"",IF($AU120="-&gt;",2,1)))</f>
        <v/>
      </c>
      <c r="BW120" s="135" t="str">
        <f aca="false">IF(ISBLANK($C120),"",IF($BD120&lt;&gt;Constants!$B$6,"",IF($AU120="-&gt;",$AW120,$AN120)))</f>
        <v/>
      </c>
      <c r="BX120" s="135" t="str">
        <f aca="false">IF(ISBLANK($C120),"",IF($BD120&lt;&gt;Constants!$B$6,"",IF($AU120="-&gt;",$AX120,$AO120)))</f>
        <v/>
      </c>
      <c r="BY120" s="135" t="str">
        <f aca="false">IF(ISBLANK($C120),"",IF($BD120&lt;&gt;Constants!$B$6,"",IF($AU120="-&gt;",$AY120,$AP120)))</f>
        <v/>
      </c>
      <c r="BZ120" s="135" t="str">
        <f aca="false">IF(ISBLANK($C120),"",IF($BD120&lt;&gt;Constants!$B$6,"",IF($AU120="-&gt;",$AZ120,$AQ120)+$BG120))</f>
        <v/>
      </c>
      <c r="CA120" s="136" t="str">
        <f aca="false">IF(ISBLANK($C120),"",IF($BD120&lt;&gt;Constants!$B$6,$BD120,$BH120))</f>
        <v/>
      </c>
      <c r="CB120" s="137" t="str">
        <f aca="false">IF(ISBLANK($C120),"",$BE120)</f>
        <v/>
      </c>
      <c r="CC120" s="138" t="str">
        <f aca="false">IF(ISBLANK($C120),"",$BS120)</f>
        <v/>
      </c>
      <c r="CD120" s="138" t="str">
        <f aca="false">IF(ISBLANK($C120),"",$BR120)</f>
        <v/>
      </c>
      <c r="CE120" s="139" t="str">
        <f aca="false">IF(ISBLANK($C120),"",IF($CD120=Constants!$B$9,COUNTA($C$9:$C$508)+2,IF($CD120=Constants!$B$8,COUNTA($C$9:$C$508)+1,IF($CD120=Constants!$B$7,COUNTA($C$9:$C$508),$CD120))))</f>
        <v/>
      </c>
      <c r="CF120" s="9"/>
      <c r="CG120" s="140" t="n">
        <f aca="false">IF(OR(ISNUMBER($CD120),$CD120=Constants!$B$9,$CD120=Constants!$B$7,$CD120=Constants!$B$8),1,0)</f>
        <v>0</v>
      </c>
      <c r="CH120" s="140" t="n">
        <v>112</v>
      </c>
      <c r="CI120" s="140" t="str">
        <f aca="false">IF(ISBLANK($C120),"",IF(ISNUMBER($CE120),$CE120+ROW($B120)/1000,""))</f>
        <v/>
      </c>
      <c r="CJ120" s="140" t="str">
        <f aca="false">IF(ISNUMBER($CI120),RANK($CI120,$CI$9:$CI$508,1),"")</f>
        <v/>
      </c>
      <c r="CK120" s="140" t="str">
        <f aca="false">IF(ISBLANK($C120),"",$B120)</f>
        <v/>
      </c>
      <c r="CL120" s="140" t="str">
        <f aca="false">IF(ISBLANK($C120),"",$C120)</f>
        <v/>
      </c>
      <c r="CM120" s="140" t="str">
        <f aca="false">IF(ISBLANK($C120),"",$D120)</f>
        <v/>
      </c>
      <c r="CN120" s="141" t="str">
        <f aca="false">$CB120</f>
        <v/>
      </c>
      <c r="CO120" s="142" t="str">
        <f aca="false">$CA120</f>
        <v/>
      </c>
      <c r="CP120" s="140" t="str">
        <f aca="false">IF(ISBLANK($C120),"",$CD120)</f>
        <v/>
      </c>
      <c r="CQ120" s="143" t="str">
        <f aca="false">IF($CH120&gt;$CG$8,"",VLOOKUP($CH120,$CJ$9:$CP$508,7,FALSE()))</f>
        <v/>
      </c>
      <c r="CR120" s="144" t="str">
        <f aca="false">IF($CH120&gt;$CG$8,"",VLOOKUP($CH120,$CJ$9:$CP$508,2,FALSE()))</f>
        <v/>
      </c>
      <c r="CS120" s="144" t="str">
        <f aca="false">IF($CH120&gt;$CG$8,"",VLOOKUP($CH120,$CJ$9:$CP$508,3,FALSE()))</f>
        <v/>
      </c>
      <c r="CT120" s="144" t="str">
        <f aca="false">IF($CH120&gt;$CG$8,"",VLOOKUP($CH120,$CJ$9:$CP$508,4,FALSE()))</f>
        <v/>
      </c>
      <c r="CU120" s="144" t="str">
        <f aca="false">IF($CH120&gt;$CG$8,"",VLOOKUP($CH120,$CJ$9:$CP$508,5,FALSE()))</f>
        <v/>
      </c>
      <c r="CV120" s="145" t="str">
        <f aca="false">IF($CH120&gt;$CG$8,"",VLOOKUP($CH120,$CJ$9:$CP$508,6,FALSE()))</f>
        <v/>
      </c>
      <c r="CW120" s="71"/>
    </row>
    <row r="121" customFormat="false" ht="15.75" hidden="false" customHeight="false" outlineLevel="0" collapsed="false">
      <c r="A121" s="9"/>
      <c r="B121" s="150"/>
      <c r="C121" s="151"/>
      <c r="D121" s="152"/>
      <c r="E121" s="170"/>
      <c r="F121" s="154"/>
      <c r="G121" s="155"/>
      <c r="H121" s="171"/>
      <c r="I121" s="159"/>
      <c r="J121" s="120"/>
      <c r="K121" s="121"/>
      <c r="L121" s="122"/>
      <c r="M121" s="158"/>
      <c r="N121" s="159"/>
      <c r="O121" s="159"/>
      <c r="P121" s="120"/>
      <c r="Q121" s="122"/>
      <c r="R121" s="122"/>
      <c r="S121" s="158"/>
      <c r="T121" s="159"/>
      <c r="U121" s="126"/>
      <c r="V121" s="127"/>
      <c r="W121" s="127" t="str">
        <f aca="false">IF(ISBLANK($C121),"",IF(E121=Constants!$B$2,TRUE(),IF(E121=Constants!$B$3,FALSE(),TRUE())))</f>
        <v/>
      </c>
      <c r="X121" s="127" t="str">
        <f aca="false">IF(ISBLANK($C121),"",IF(F121=Constants!$B$2,TRUE(),IF(F121=Constants!$B$3,FALSE(),TRUE())))</f>
        <v/>
      </c>
      <c r="Y121" s="127" t="str">
        <f aca="false">IF(ISBLANK($C121),"",IF(G121=Constants!$B$2,TRUE(),IF(G121=Constants!$B$3,FALSE(),TRUE())))</f>
        <v/>
      </c>
      <c r="Z121" s="127" t="str">
        <f aca="false">IF(ISBLANK($C121),"",IF(H121=Constants!$B$2,TRUE(),IF(H121=Constants!$B$3,FALSE(),TRUE())))</f>
        <v/>
      </c>
      <c r="AA121" s="127" t="str">
        <f aca="false">IF(ISBLANK($C121),"",IF(I121=Constants!$B$2,TRUE(),IF(I121=Constants!$B$3,FALSE(),TRUE())))</f>
        <v/>
      </c>
      <c r="AB121" s="127" t="str">
        <f aca="false">IF(ISBLANK($C121),"",IF(J121=Constants!$B$4,TRUE(),IF(J121=Constants!$B$5,FALSE(),COUNTA(K121:M121)&gt;0)))</f>
        <v/>
      </c>
      <c r="AC121" s="128" t="str">
        <f aca="false">IF(ISBLANK($C121),"",IF(ISNUMBER(K121),IF(K121&gt;=0,K121,""),""))</f>
        <v/>
      </c>
      <c r="AD121" s="129" t="str">
        <f aca="false">IF(ISBLANK($C121),"",IF(ISNUMBER(L121),IF(L121&gt;=0,L121,""),""))</f>
        <v/>
      </c>
      <c r="AE121" s="127" t="str">
        <f aca="false">IF(ISBLANK($C121),"",IF(ISNUMBER(M121),IF(M121&gt;=0,MIN(M121,Constants!$B$22),""),""))</f>
        <v/>
      </c>
      <c r="AF121" s="127" t="str">
        <f aca="false">IF(ISBLANK($C121),"",IF(N121=Constants!$B$2,TRUE(),IF(N121=Constants!$B$3,FALSE(),TRUE())))</f>
        <v/>
      </c>
      <c r="AG121" s="127" t="str">
        <f aca="false">IF(ISBLANK($C121),"",IF(O121=Constants!$B$2,TRUE(),IF(O121=Constants!$B$3,FALSE(),TRUE())))</f>
        <v/>
      </c>
      <c r="AH121" s="127" t="str">
        <f aca="false">IF(ISBLANK($C121),"",IF(P121=Constants!$B$4,TRUE(),IF(P121=Constants!$B$5,FALSE(),COUNTA(Q121:S121)&gt;0)))</f>
        <v/>
      </c>
      <c r="AI121" s="128" t="str">
        <f aca="false">IF(ISBLANK($C121),"",IF(ISNUMBER(Q121),IF(Q121&gt;=0,Q121,""),""))</f>
        <v/>
      </c>
      <c r="AJ121" s="129" t="str">
        <f aca="false">IF(ISBLANK($C121),"",IF(ISNUMBER(R121),IF(R121&gt;=0,R121,""),""))</f>
        <v/>
      </c>
      <c r="AK121" s="127" t="str">
        <f aca="false">IF(ISBLANK($C121),"",IF(ISNUMBER(S121),IF(S121&gt;=0,MIN(S121,Constants!$B$22),""),""))</f>
        <v/>
      </c>
      <c r="AL121" s="127" t="str">
        <f aca="false">IF(ISBLANK($C121),"",IF(T121=Constants!$B$2,TRUE(),IF(T121=Constants!$B$3,FALSE(),FALSE())))</f>
        <v/>
      </c>
      <c r="AM121" s="126" t="str">
        <f aca="false">IF(ISBLANK($C121),"",AND($AB121,OR($AC121="",$AD121="",AND(NOT(ISBLANK($M121)),$AE121=""))))</f>
        <v/>
      </c>
      <c r="AN121" s="129" t="str">
        <f aca="false">IF($BD121&lt;&gt;Constants!$B$6,"",IF($AB121,Constants!$B$17*$AD121,Constants!$B$18))</f>
        <v/>
      </c>
      <c r="AO121" s="130" t="str">
        <f aca="false">IF($BD121&lt;&gt;Constants!$B$6,"",Constants!$B$19*IF($AB121,$AC121,0))</f>
        <v/>
      </c>
      <c r="AP121" s="130" t="str">
        <f aca="false">IF($BD121&lt;&gt;Constants!$B$6,"",IF(AND($AB121,ISNUMBER($AE121)),Constants!$B$20*(Constants!$B$21-$AE121),0))</f>
        <v/>
      </c>
      <c r="AQ121" s="130" t="str">
        <f aca="false">IF($BD121&lt;&gt;Constants!$B$6,"",IF($AA121,0,Constants!$B$12)+IF($Z121,0,Constants!$B$13)+IF($Y121,0,Constants!$B$14))</f>
        <v/>
      </c>
      <c r="AR121" s="131" t="str">
        <f aca="false">IF($BD121&lt;&gt;Constants!$B$6,"",Constants!$B$16+SUM($AN121:$AQ121))</f>
        <v/>
      </c>
      <c r="AS121" s="130" t="str">
        <f aca="false">IF($BD121&lt;&gt;Constants!$B$6,"",IF($AB121,$AD121,""))</f>
        <v/>
      </c>
      <c r="AT121" s="132" t="str">
        <f aca="false">IF($BD121&lt;&gt;Constants!$B$6,"",$AO121)</f>
        <v/>
      </c>
      <c r="AU121" s="127" t="str">
        <f aca="false">IF($BD121&lt;&gt;Constants!$B$6,"",IF(OR($BA121&lt;$AR121,AND($BA121=$AR121,OR(AND(ISNUMBER($BB121),OR(NOT(ISNUMBER($AS121)),$BB121&lt;$AS121)),AND(OR(AND($BB121="",$AS121=""),AND(ISNUMBER($BB121),ISNUMBER($AS121),$BB121=$AS121)),$BC121&lt;$AT121)))),"-&gt;","&lt;-"))</f>
        <v/>
      </c>
      <c r="AV121" s="126" t="str">
        <f aca="false">IF(ISBLANK($C121),"",AND($AH121,OR($AI121="",$AJ121="",AND(NOT(ISBLANK($S121)),$AK121=""))))</f>
        <v/>
      </c>
      <c r="AW121" s="129" t="str">
        <f aca="false">IF($BD121&lt;&gt;Constants!$B$6,"",IF($AH121,Constants!$B$17*$AJ121,Constants!$B$18))</f>
        <v/>
      </c>
      <c r="AX121" s="130" t="str">
        <f aca="false">IF($BD121&lt;&gt;Constants!$B$6,"",Constants!$B$19*IF($AH121,$AI121,0))</f>
        <v/>
      </c>
      <c r="AY121" s="130" t="str">
        <f aca="false">IF($BD121&lt;&gt;Constants!$B$6,"",IF(AND($AH121,ISNUMBER($AK121)),Constants!$B$20*(Constants!$B$21-$AK121),0))</f>
        <v/>
      </c>
      <c r="AZ121" s="130" t="str">
        <f aca="false">IF($BD121&lt;&gt;Constants!$B$6,"",IF($AG121,0,Constants!$B$12)+IF($AF121,0,Constants!$B$13)+IF($Y121,0,Constants!$B$14))</f>
        <v/>
      </c>
      <c r="BA121" s="131" t="str">
        <f aca="false">IF($BD121&lt;&gt;Constants!$B$6,"",Constants!$B$16+SUM($AW121:$AZ121))</f>
        <v/>
      </c>
      <c r="BB121" s="130" t="str">
        <f aca="false">IF($BD121&lt;&gt;Constants!$B$6,"",IF($AH121,$AJ121,""))</f>
        <v/>
      </c>
      <c r="BC121" s="132" t="str">
        <f aca="false">IF($BD121&lt;&gt;Constants!$B$6,"",$AX121)</f>
        <v/>
      </c>
      <c r="BD121" s="127" t="str">
        <f aca="false">IF(ISBLANK($C121),"",IF($AL121,Constants!$B$9,IF(COUNTA($E121:$T121)=0,Constants!$B$8,IF(NOT($X121),Constants!$B$7,IF(OR($AM121,$AV121),Constants!$B$10,Constants!$B$6)))))</f>
        <v/>
      </c>
      <c r="BE121" s="127" t="str">
        <f aca="false">IF(ISBLANK($C121),"",IF($BD121&lt;&gt;Constants!$B$6,$BD121,Constants!$B$11))</f>
        <v/>
      </c>
      <c r="BF121" s="130" t="str">
        <f aca="false">IF($BD121&lt;&gt;Constants!$B$6,"",IF($AU121="-&gt;",$BA121,$AR121))</f>
        <v/>
      </c>
      <c r="BG121" s="130" t="str">
        <f aca="false">IF($BD121&lt;&gt;Constants!$B$6,"",IF($W121,0,Constants!$B$15))</f>
        <v/>
      </c>
      <c r="BH121" s="130" t="str">
        <f aca="false">IF(ISBLANK($C121),"",IF($BD121&lt;&gt;Constants!$B$6,$BD121,SUM($BF121:$BG121)))</f>
        <v/>
      </c>
      <c r="BI121" s="127" t="str">
        <f aca="false">IF(ISBLANK($C121),"",IF($BD121&lt;&gt;Constants!$B$6,$BD121,RANK($BH121,$BH$9:$BH$508,1)))</f>
        <v/>
      </c>
      <c r="BJ121" s="130" t="str">
        <f aca="false">IF($BD121&lt;&gt;Constants!$B$6,"",IF($AU121="-&gt;",$BB121,$AS121))</f>
        <v/>
      </c>
      <c r="BK121" s="127" t="str">
        <f aca="false">IF(ISBLANK($C121),"",IF($BD121&lt;&gt;Constants!$B$6,$BD121,IF(ISNUMBER($BJ121),RANK($BJ121,$BJ$9:$BJ$508,1),COUNT($BJ$9:$BJ$508)+1)))</f>
        <v/>
      </c>
      <c r="BL121" s="130" t="str">
        <f aca="false">IF($BD121&lt;&gt;Constants!$B$6,"",IF($AU121="-&gt;",$BC121,$AT121))</f>
        <v/>
      </c>
      <c r="BM121" s="127" t="str">
        <f aca="false">IF(ISBLANK($C121),"",IF($BD121&lt;&gt;Constants!$B$6,$BD121,IF(ISNUMBER($BL121),RANK($BL121,$BL$9:$BL$508,1),COUNT($BL$9:$BL$508)+1)))</f>
        <v/>
      </c>
      <c r="BN121" s="130" t="str">
        <f aca="false">IF($BD121&lt;&gt;Constants!$B$6,"",IF($AU121="-&gt;",$AS121,$BB121))</f>
        <v/>
      </c>
      <c r="BO121" s="127" t="str">
        <f aca="false">IF(ISBLANK($C121),"",IF($BD121&lt;&gt;Constants!$B$6,$BD121,IF(ISNUMBER($BN121),RANK($BN121,$BN$9:$BN$508,1),COUNT($BN$9:$BN$508)+1)))</f>
        <v/>
      </c>
      <c r="BP121" s="130" t="str">
        <f aca="false">IF($BD121&lt;&gt;Constants!$B$6,"",IF($AU121="-&gt;",$AT121,$BC121))</f>
        <v/>
      </c>
      <c r="BQ121" s="127" t="str">
        <f aca="false">IF(ISBLANK($C121),"",IF($BD121&lt;&gt;Constants!$B$6,$BD121,IF(ISNUMBER($BP121),RANK($BP121,$BP$9:$BP$508,1),COUNT($BP$9:$BP$508)+1)))</f>
        <v/>
      </c>
      <c r="BR121" s="127" t="str">
        <f aca="false">IF(ISBLANK($C121),"",IF($BD121&lt;&gt;Constants!$B$6,$BD121,COUNTIFS($BI$9:$BI$508,"&lt;"&amp;$BI121)+COUNTIFS($BI$9:$BI$508,$BI121,$BK$9:$BK$508,"&lt;"&amp;$BK121)+COUNTIFS($BI$9:$BI$508,$BI121,$BK$9:$BK$508,$BK121,$BM$9:$BM$508,"&lt;"&amp;$BM121)+COUNTIFS($BI$9:$BI$508,$BI121,$BK$9:$BK$508,$BK121,$BM$9:$BM$508,$BM121,$BO$9:$BO$508,"&lt;"&amp;$BO121)+COUNTIFS($BI$9:$BI$508,$BI121,$BK$9:$BK$508,$BK121,$BM$9:$BM$508,$BM121,$BO$9:$BO$508,$BO121,$BQ$9:$BQ$508,"&lt;"&amp;$BQ121)+1))</f>
        <v/>
      </c>
      <c r="BS121" s="127" t="str">
        <f aca="false">IF(ISBLANK($C121),"",IF($BD121&lt;&gt;Constants!$B$6,$BD121,$BI121-$BR121))</f>
        <v/>
      </c>
      <c r="BT121" s="133"/>
      <c r="BU121" s="134"/>
      <c r="BV121" s="134" t="str">
        <f aca="false">IF(ISBLANK($C121),"",IF($BD121&lt;&gt;Constants!$B$6,"",IF($AU121="-&gt;",2,1)))</f>
        <v/>
      </c>
      <c r="BW121" s="135" t="str">
        <f aca="false">IF(ISBLANK($C121),"",IF($BD121&lt;&gt;Constants!$B$6,"",IF($AU121="-&gt;",$AW121,$AN121)))</f>
        <v/>
      </c>
      <c r="BX121" s="135" t="str">
        <f aca="false">IF(ISBLANK($C121),"",IF($BD121&lt;&gt;Constants!$B$6,"",IF($AU121="-&gt;",$AX121,$AO121)))</f>
        <v/>
      </c>
      <c r="BY121" s="135" t="str">
        <f aca="false">IF(ISBLANK($C121),"",IF($BD121&lt;&gt;Constants!$B$6,"",IF($AU121="-&gt;",$AY121,$AP121)))</f>
        <v/>
      </c>
      <c r="BZ121" s="135" t="str">
        <f aca="false">IF(ISBLANK($C121),"",IF($BD121&lt;&gt;Constants!$B$6,"",IF($AU121="-&gt;",$AZ121,$AQ121)+$BG121))</f>
        <v/>
      </c>
      <c r="CA121" s="136" t="str">
        <f aca="false">IF(ISBLANK($C121),"",IF($BD121&lt;&gt;Constants!$B$6,$BD121,$BH121))</f>
        <v/>
      </c>
      <c r="CB121" s="137" t="str">
        <f aca="false">IF(ISBLANK($C121),"",$BE121)</f>
        <v/>
      </c>
      <c r="CC121" s="138" t="str">
        <f aca="false">IF(ISBLANK($C121),"",$BS121)</f>
        <v/>
      </c>
      <c r="CD121" s="138" t="str">
        <f aca="false">IF(ISBLANK($C121),"",$BR121)</f>
        <v/>
      </c>
      <c r="CE121" s="139" t="str">
        <f aca="false">IF(ISBLANK($C121),"",IF($CD121=Constants!$B$9,COUNTA($C$9:$C$508)+2,IF($CD121=Constants!$B$8,COUNTA($C$9:$C$508)+1,IF($CD121=Constants!$B$7,COUNTA($C$9:$C$508),$CD121))))</f>
        <v/>
      </c>
      <c r="CF121" s="9"/>
      <c r="CG121" s="140" t="n">
        <f aca="false">IF(OR(ISNUMBER($CD121),$CD121=Constants!$B$9,$CD121=Constants!$B$7,$CD121=Constants!$B$8),1,0)</f>
        <v>0</v>
      </c>
      <c r="CH121" s="140" t="n">
        <v>113</v>
      </c>
      <c r="CI121" s="140" t="str">
        <f aca="false">IF(ISBLANK($C121),"",IF(ISNUMBER($CE121),$CE121+ROW($B121)/1000,""))</f>
        <v/>
      </c>
      <c r="CJ121" s="140" t="str">
        <f aca="false">IF(ISNUMBER($CI121),RANK($CI121,$CI$9:$CI$508,1),"")</f>
        <v/>
      </c>
      <c r="CK121" s="140" t="str">
        <f aca="false">IF(ISBLANK($C121),"",$B121)</f>
        <v/>
      </c>
      <c r="CL121" s="140" t="str">
        <f aca="false">IF(ISBLANK($C121),"",$C121)</f>
        <v/>
      </c>
      <c r="CM121" s="140" t="str">
        <f aca="false">IF(ISBLANK($C121),"",$D121)</f>
        <v/>
      </c>
      <c r="CN121" s="141" t="str">
        <f aca="false">$CB121</f>
        <v/>
      </c>
      <c r="CO121" s="142" t="str">
        <f aca="false">$CA121</f>
        <v/>
      </c>
      <c r="CP121" s="140" t="str">
        <f aca="false">IF(ISBLANK($C121),"",$CD121)</f>
        <v/>
      </c>
      <c r="CQ121" s="143" t="str">
        <f aca="false">IF($CH121&gt;$CG$8,"",VLOOKUP($CH121,$CJ$9:$CP$508,7,FALSE()))</f>
        <v/>
      </c>
      <c r="CR121" s="144" t="str">
        <f aca="false">IF($CH121&gt;$CG$8,"",VLOOKUP($CH121,$CJ$9:$CP$508,2,FALSE()))</f>
        <v/>
      </c>
      <c r="CS121" s="144" t="str">
        <f aca="false">IF($CH121&gt;$CG$8,"",VLOOKUP($CH121,$CJ$9:$CP$508,3,FALSE()))</f>
        <v/>
      </c>
      <c r="CT121" s="144" t="str">
        <f aca="false">IF($CH121&gt;$CG$8,"",VLOOKUP($CH121,$CJ$9:$CP$508,4,FALSE()))</f>
        <v/>
      </c>
      <c r="CU121" s="144" t="str">
        <f aca="false">IF($CH121&gt;$CG$8,"",VLOOKUP($CH121,$CJ$9:$CP$508,5,FALSE()))</f>
        <v/>
      </c>
      <c r="CV121" s="145" t="str">
        <f aca="false">IF($CH121&gt;$CG$8,"",VLOOKUP($CH121,$CJ$9:$CP$508,6,FALSE()))</f>
        <v/>
      </c>
      <c r="CW121" s="71"/>
    </row>
    <row r="122" customFormat="false" ht="15.75" hidden="false" customHeight="false" outlineLevel="0" collapsed="false">
      <c r="A122" s="9"/>
      <c r="B122" s="150"/>
      <c r="C122" s="151"/>
      <c r="D122" s="152"/>
      <c r="E122" s="170"/>
      <c r="F122" s="154"/>
      <c r="G122" s="155"/>
      <c r="H122" s="171"/>
      <c r="I122" s="159"/>
      <c r="J122" s="120"/>
      <c r="K122" s="121"/>
      <c r="L122" s="122"/>
      <c r="M122" s="158"/>
      <c r="N122" s="159"/>
      <c r="O122" s="159"/>
      <c r="P122" s="120"/>
      <c r="Q122" s="122"/>
      <c r="R122" s="122"/>
      <c r="S122" s="158"/>
      <c r="T122" s="159"/>
      <c r="U122" s="126"/>
      <c r="V122" s="127"/>
      <c r="W122" s="127" t="str">
        <f aca="false">IF(ISBLANK($C122),"",IF(E122=Constants!$B$2,TRUE(),IF(E122=Constants!$B$3,FALSE(),TRUE())))</f>
        <v/>
      </c>
      <c r="X122" s="127" t="str">
        <f aca="false">IF(ISBLANK($C122),"",IF(F122=Constants!$B$2,TRUE(),IF(F122=Constants!$B$3,FALSE(),TRUE())))</f>
        <v/>
      </c>
      <c r="Y122" s="127" t="str">
        <f aca="false">IF(ISBLANK($C122),"",IF(G122=Constants!$B$2,TRUE(),IF(G122=Constants!$B$3,FALSE(),TRUE())))</f>
        <v/>
      </c>
      <c r="Z122" s="127" t="str">
        <f aca="false">IF(ISBLANK($C122),"",IF(H122=Constants!$B$2,TRUE(),IF(H122=Constants!$B$3,FALSE(),TRUE())))</f>
        <v/>
      </c>
      <c r="AA122" s="127" t="str">
        <f aca="false">IF(ISBLANK($C122),"",IF(I122=Constants!$B$2,TRUE(),IF(I122=Constants!$B$3,FALSE(),TRUE())))</f>
        <v/>
      </c>
      <c r="AB122" s="127" t="str">
        <f aca="false">IF(ISBLANK($C122),"",IF(J122=Constants!$B$4,TRUE(),IF(J122=Constants!$B$5,FALSE(),COUNTA(K122:M122)&gt;0)))</f>
        <v/>
      </c>
      <c r="AC122" s="128" t="str">
        <f aca="false">IF(ISBLANK($C122),"",IF(ISNUMBER(K122),IF(K122&gt;=0,K122,""),""))</f>
        <v/>
      </c>
      <c r="AD122" s="129" t="str">
        <f aca="false">IF(ISBLANK($C122),"",IF(ISNUMBER(L122),IF(L122&gt;=0,L122,""),""))</f>
        <v/>
      </c>
      <c r="AE122" s="127" t="str">
        <f aca="false">IF(ISBLANK($C122),"",IF(ISNUMBER(M122),IF(M122&gt;=0,MIN(M122,Constants!$B$22),""),""))</f>
        <v/>
      </c>
      <c r="AF122" s="127" t="str">
        <f aca="false">IF(ISBLANK($C122),"",IF(N122=Constants!$B$2,TRUE(),IF(N122=Constants!$B$3,FALSE(),TRUE())))</f>
        <v/>
      </c>
      <c r="AG122" s="127" t="str">
        <f aca="false">IF(ISBLANK($C122),"",IF(O122=Constants!$B$2,TRUE(),IF(O122=Constants!$B$3,FALSE(),TRUE())))</f>
        <v/>
      </c>
      <c r="AH122" s="127" t="str">
        <f aca="false">IF(ISBLANK($C122),"",IF(P122=Constants!$B$4,TRUE(),IF(P122=Constants!$B$5,FALSE(),COUNTA(Q122:S122)&gt;0)))</f>
        <v/>
      </c>
      <c r="AI122" s="128" t="str">
        <f aca="false">IF(ISBLANK($C122),"",IF(ISNUMBER(Q122),IF(Q122&gt;=0,Q122,""),""))</f>
        <v/>
      </c>
      <c r="AJ122" s="129" t="str">
        <f aca="false">IF(ISBLANK($C122),"",IF(ISNUMBER(R122),IF(R122&gt;=0,R122,""),""))</f>
        <v/>
      </c>
      <c r="AK122" s="127" t="str">
        <f aca="false">IF(ISBLANK($C122),"",IF(ISNUMBER(S122),IF(S122&gt;=0,MIN(S122,Constants!$B$22),""),""))</f>
        <v/>
      </c>
      <c r="AL122" s="127" t="str">
        <f aca="false">IF(ISBLANK($C122),"",IF(T122=Constants!$B$2,TRUE(),IF(T122=Constants!$B$3,FALSE(),FALSE())))</f>
        <v/>
      </c>
      <c r="AM122" s="126" t="str">
        <f aca="false">IF(ISBLANK($C122),"",AND($AB122,OR($AC122="",$AD122="",AND(NOT(ISBLANK($M122)),$AE122=""))))</f>
        <v/>
      </c>
      <c r="AN122" s="129" t="str">
        <f aca="false">IF($BD122&lt;&gt;Constants!$B$6,"",IF($AB122,Constants!$B$17*$AD122,Constants!$B$18))</f>
        <v/>
      </c>
      <c r="AO122" s="130" t="str">
        <f aca="false">IF($BD122&lt;&gt;Constants!$B$6,"",Constants!$B$19*IF($AB122,$AC122,0))</f>
        <v/>
      </c>
      <c r="AP122" s="130" t="str">
        <f aca="false">IF($BD122&lt;&gt;Constants!$B$6,"",IF(AND($AB122,ISNUMBER($AE122)),Constants!$B$20*(Constants!$B$21-$AE122),0))</f>
        <v/>
      </c>
      <c r="AQ122" s="130" t="str">
        <f aca="false">IF($BD122&lt;&gt;Constants!$B$6,"",IF($AA122,0,Constants!$B$12)+IF($Z122,0,Constants!$B$13)+IF($Y122,0,Constants!$B$14))</f>
        <v/>
      </c>
      <c r="AR122" s="131" t="str">
        <f aca="false">IF($BD122&lt;&gt;Constants!$B$6,"",Constants!$B$16+SUM($AN122:$AQ122))</f>
        <v/>
      </c>
      <c r="AS122" s="130" t="str">
        <f aca="false">IF($BD122&lt;&gt;Constants!$B$6,"",IF($AB122,$AD122,""))</f>
        <v/>
      </c>
      <c r="AT122" s="132" t="str">
        <f aca="false">IF($BD122&lt;&gt;Constants!$B$6,"",$AO122)</f>
        <v/>
      </c>
      <c r="AU122" s="127" t="str">
        <f aca="false">IF($BD122&lt;&gt;Constants!$B$6,"",IF(OR($BA122&lt;$AR122,AND($BA122=$AR122,OR(AND(ISNUMBER($BB122),OR(NOT(ISNUMBER($AS122)),$BB122&lt;$AS122)),AND(OR(AND($BB122="",$AS122=""),AND(ISNUMBER($BB122),ISNUMBER($AS122),$BB122=$AS122)),$BC122&lt;$AT122)))),"-&gt;","&lt;-"))</f>
        <v/>
      </c>
      <c r="AV122" s="126" t="str">
        <f aca="false">IF(ISBLANK($C122),"",AND($AH122,OR($AI122="",$AJ122="",AND(NOT(ISBLANK($S122)),$AK122=""))))</f>
        <v/>
      </c>
      <c r="AW122" s="129" t="str">
        <f aca="false">IF($BD122&lt;&gt;Constants!$B$6,"",IF($AH122,Constants!$B$17*$AJ122,Constants!$B$18))</f>
        <v/>
      </c>
      <c r="AX122" s="130" t="str">
        <f aca="false">IF($BD122&lt;&gt;Constants!$B$6,"",Constants!$B$19*IF($AH122,$AI122,0))</f>
        <v/>
      </c>
      <c r="AY122" s="130" t="str">
        <f aca="false">IF($BD122&lt;&gt;Constants!$B$6,"",IF(AND($AH122,ISNUMBER($AK122)),Constants!$B$20*(Constants!$B$21-$AK122),0))</f>
        <v/>
      </c>
      <c r="AZ122" s="130" t="str">
        <f aca="false">IF($BD122&lt;&gt;Constants!$B$6,"",IF($AG122,0,Constants!$B$12)+IF($AF122,0,Constants!$B$13)+IF($Y122,0,Constants!$B$14))</f>
        <v/>
      </c>
      <c r="BA122" s="131" t="str">
        <f aca="false">IF($BD122&lt;&gt;Constants!$B$6,"",Constants!$B$16+SUM($AW122:$AZ122))</f>
        <v/>
      </c>
      <c r="BB122" s="130" t="str">
        <f aca="false">IF($BD122&lt;&gt;Constants!$B$6,"",IF($AH122,$AJ122,""))</f>
        <v/>
      </c>
      <c r="BC122" s="132" t="str">
        <f aca="false">IF($BD122&lt;&gt;Constants!$B$6,"",$AX122)</f>
        <v/>
      </c>
      <c r="BD122" s="127" t="str">
        <f aca="false">IF(ISBLANK($C122),"",IF($AL122,Constants!$B$9,IF(COUNTA($E122:$T122)=0,Constants!$B$8,IF(NOT($X122),Constants!$B$7,IF(OR($AM122,$AV122),Constants!$B$10,Constants!$B$6)))))</f>
        <v/>
      </c>
      <c r="BE122" s="127" t="str">
        <f aca="false">IF(ISBLANK($C122),"",IF($BD122&lt;&gt;Constants!$B$6,$BD122,Constants!$B$11))</f>
        <v/>
      </c>
      <c r="BF122" s="130" t="str">
        <f aca="false">IF($BD122&lt;&gt;Constants!$B$6,"",IF($AU122="-&gt;",$BA122,$AR122))</f>
        <v/>
      </c>
      <c r="BG122" s="130" t="str">
        <f aca="false">IF($BD122&lt;&gt;Constants!$B$6,"",IF($W122,0,Constants!$B$15))</f>
        <v/>
      </c>
      <c r="BH122" s="130" t="str">
        <f aca="false">IF(ISBLANK($C122),"",IF($BD122&lt;&gt;Constants!$B$6,$BD122,SUM($BF122:$BG122)))</f>
        <v/>
      </c>
      <c r="BI122" s="127" t="str">
        <f aca="false">IF(ISBLANK($C122),"",IF($BD122&lt;&gt;Constants!$B$6,$BD122,RANK($BH122,$BH$9:$BH$508,1)))</f>
        <v/>
      </c>
      <c r="BJ122" s="130" t="str">
        <f aca="false">IF($BD122&lt;&gt;Constants!$B$6,"",IF($AU122="-&gt;",$BB122,$AS122))</f>
        <v/>
      </c>
      <c r="BK122" s="127" t="str">
        <f aca="false">IF(ISBLANK($C122),"",IF($BD122&lt;&gt;Constants!$B$6,$BD122,IF(ISNUMBER($BJ122),RANK($BJ122,$BJ$9:$BJ$508,1),COUNT($BJ$9:$BJ$508)+1)))</f>
        <v/>
      </c>
      <c r="BL122" s="130" t="str">
        <f aca="false">IF($BD122&lt;&gt;Constants!$B$6,"",IF($AU122="-&gt;",$BC122,$AT122))</f>
        <v/>
      </c>
      <c r="BM122" s="127" t="str">
        <f aca="false">IF(ISBLANK($C122),"",IF($BD122&lt;&gt;Constants!$B$6,$BD122,IF(ISNUMBER($BL122),RANK($BL122,$BL$9:$BL$508,1),COUNT($BL$9:$BL$508)+1)))</f>
        <v/>
      </c>
      <c r="BN122" s="130" t="str">
        <f aca="false">IF($BD122&lt;&gt;Constants!$B$6,"",IF($AU122="-&gt;",$AS122,$BB122))</f>
        <v/>
      </c>
      <c r="BO122" s="127" t="str">
        <f aca="false">IF(ISBLANK($C122),"",IF($BD122&lt;&gt;Constants!$B$6,$BD122,IF(ISNUMBER($BN122),RANK($BN122,$BN$9:$BN$508,1),COUNT($BN$9:$BN$508)+1)))</f>
        <v/>
      </c>
      <c r="BP122" s="130" t="str">
        <f aca="false">IF($BD122&lt;&gt;Constants!$B$6,"",IF($AU122="-&gt;",$AT122,$BC122))</f>
        <v/>
      </c>
      <c r="BQ122" s="127" t="str">
        <f aca="false">IF(ISBLANK($C122),"",IF($BD122&lt;&gt;Constants!$B$6,$BD122,IF(ISNUMBER($BP122),RANK($BP122,$BP$9:$BP$508,1),COUNT($BP$9:$BP$508)+1)))</f>
        <v/>
      </c>
      <c r="BR122" s="127" t="str">
        <f aca="false">IF(ISBLANK($C122),"",IF($BD122&lt;&gt;Constants!$B$6,$BD122,COUNTIFS($BI$9:$BI$508,"&lt;"&amp;$BI122)+COUNTIFS($BI$9:$BI$508,$BI122,$BK$9:$BK$508,"&lt;"&amp;$BK122)+COUNTIFS($BI$9:$BI$508,$BI122,$BK$9:$BK$508,$BK122,$BM$9:$BM$508,"&lt;"&amp;$BM122)+COUNTIFS($BI$9:$BI$508,$BI122,$BK$9:$BK$508,$BK122,$BM$9:$BM$508,$BM122,$BO$9:$BO$508,"&lt;"&amp;$BO122)+COUNTIFS($BI$9:$BI$508,$BI122,$BK$9:$BK$508,$BK122,$BM$9:$BM$508,$BM122,$BO$9:$BO$508,$BO122,$BQ$9:$BQ$508,"&lt;"&amp;$BQ122)+1))</f>
        <v/>
      </c>
      <c r="BS122" s="127" t="str">
        <f aca="false">IF(ISBLANK($C122),"",IF($BD122&lt;&gt;Constants!$B$6,$BD122,$BI122-$BR122))</f>
        <v/>
      </c>
      <c r="BT122" s="133"/>
      <c r="BU122" s="134"/>
      <c r="BV122" s="134" t="str">
        <f aca="false">IF(ISBLANK($C122),"",IF($BD122&lt;&gt;Constants!$B$6,"",IF($AU122="-&gt;",2,1)))</f>
        <v/>
      </c>
      <c r="BW122" s="135" t="str">
        <f aca="false">IF(ISBLANK($C122),"",IF($BD122&lt;&gt;Constants!$B$6,"",IF($AU122="-&gt;",$AW122,$AN122)))</f>
        <v/>
      </c>
      <c r="BX122" s="135" t="str">
        <f aca="false">IF(ISBLANK($C122),"",IF($BD122&lt;&gt;Constants!$B$6,"",IF($AU122="-&gt;",$AX122,$AO122)))</f>
        <v/>
      </c>
      <c r="BY122" s="135" t="str">
        <f aca="false">IF(ISBLANK($C122),"",IF($BD122&lt;&gt;Constants!$B$6,"",IF($AU122="-&gt;",$AY122,$AP122)))</f>
        <v/>
      </c>
      <c r="BZ122" s="135" t="str">
        <f aca="false">IF(ISBLANK($C122),"",IF($BD122&lt;&gt;Constants!$B$6,"",IF($AU122="-&gt;",$AZ122,$AQ122)+$BG122))</f>
        <v/>
      </c>
      <c r="CA122" s="136" t="str">
        <f aca="false">IF(ISBLANK($C122),"",IF($BD122&lt;&gt;Constants!$B$6,$BD122,$BH122))</f>
        <v/>
      </c>
      <c r="CB122" s="137" t="str">
        <f aca="false">IF(ISBLANK($C122),"",$BE122)</f>
        <v/>
      </c>
      <c r="CC122" s="138" t="str">
        <f aca="false">IF(ISBLANK($C122),"",$BS122)</f>
        <v/>
      </c>
      <c r="CD122" s="138" t="str">
        <f aca="false">IF(ISBLANK($C122),"",$BR122)</f>
        <v/>
      </c>
      <c r="CE122" s="139" t="str">
        <f aca="false">IF(ISBLANK($C122),"",IF($CD122=Constants!$B$9,COUNTA($C$9:$C$508)+2,IF($CD122=Constants!$B$8,COUNTA($C$9:$C$508)+1,IF($CD122=Constants!$B$7,COUNTA($C$9:$C$508),$CD122))))</f>
        <v/>
      </c>
      <c r="CF122" s="9"/>
      <c r="CG122" s="140" t="n">
        <f aca="false">IF(OR(ISNUMBER($CD122),$CD122=Constants!$B$9,$CD122=Constants!$B$7,$CD122=Constants!$B$8),1,0)</f>
        <v>0</v>
      </c>
      <c r="CH122" s="140" t="n">
        <v>114</v>
      </c>
      <c r="CI122" s="140" t="str">
        <f aca="false">IF(ISBLANK($C122),"",IF(ISNUMBER($CE122),$CE122+ROW($B122)/1000,""))</f>
        <v/>
      </c>
      <c r="CJ122" s="140" t="str">
        <f aca="false">IF(ISNUMBER($CI122),RANK($CI122,$CI$9:$CI$508,1),"")</f>
        <v/>
      </c>
      <c r="CK122" s="140" t="str">
        <f aca="false">IF(ISBLANK($C122),"",$B122)</f>
        <v/>
      </c>
      <c r="CL122" s="140" t="str">
        <f aca="false">IF(ISBLANK($C122),"",$C122)</f>
        <v/>
      </c>
      <c r="CM122" s="140" t="str">
        <f aca="false">IF(ISBLANK($C122),"",$D122)</f>
        <v/>
      </c>
      <c r="CN122" s="141" t="str">
        <f aca="false">$CB122</f>
        <v/>
      </c>
      <c r="CO122" s="142" t="str">
        <f aca="false">$CA122</f>
        <v/>
      </c>
      <c r="CP122" s="140" t="str">
        <f aca="false">IF(ISBLANK($C122),"",$CD122)</f>
        <v/>
      </c>
      <c r="CQ122" s="143" t="str">
        <f aca="false">IF($CH122&gt;$CG$8,"",VLOOKUP($CH122,$CJ$9:$CP$508,7,FALSE()))</f>
        <v/>
      </c>
      <c r="CR122" s="144" t="str">
        <f aca="false">IF($CH122&gt;$CG$8,"",VLOOKUP($CH122,$CJ$9:$CP$508,2,FALSE()))</f>
        <v/>
      </c>
      <c r="CS122" s="144" t="str">
        <f aca="false">IF($CH122&gt;$CG$8,"",VLOOKUP($CH122,$CJ$9:$CP$508,3,FALSE()))</f>
        <v/>
      </c>
      <c r="CT122" s="144" t="str">
        <f aca="false">IF($CH122&gt;$CG$8,"",VLOOKUP($CH122,$CJ$9:$CP$508,4,FALSE()))</f>
        <v/>
      </c>
      <c r="CU122" s="144" t="str">
        <f aca="false">IF($CH122&gt;$CG$8,"",VLOOKUP($CH122,$CJ$9:$CP$508,5,FALSE()))</f>
        <v/>
      </c>
      <c r="CV122" s="145" t="str">
        <f aca="false">IF($CH122&gt;$CG$8,"",VLOOKUP($CH122,$CJ$9:$CP$508,6,FALSE()))</f>
        <v/>
      </c>
      <c r="CW122" s="71"/>
    </row>
    <row r="123" customFormat="false" ht="15.75" hidden="false" customHeight="false" outlineLevel="0" collapsed="false">
      <c r="A123" s="9"/>
      <c r="B123" s="72"/>
      <c r="C123" s="73"/>
      <c r="D123" s="160"/>
      <c r="E123" s="168"/>
      <c r="F123" s="162"/>
      <c r="G123" s="163"/>
      <c r="H123" s="169"/>
      <c r="I123" s="167"/>
      <c r="J123" s="80"/>
      <c r="K123" s="81"/>
      <c r="L123" s="82"/>
      <c r="M123" s="166"/>
      <c r="N123" s="167"/>
      <c r="O123" s="167"/>
      <c r="P123" s="80"/>
      <c r="Q123" s="82"/>
      <c r="R123" s="82"/>
      <c r="S123" s="166"/>
      <c r="T123" s="167"/>
      <c r="U123" s="86"/>
      <c r="V123" s="87"/>
      <c r="W123" s="87" t="str">
        <f aca="false">IF(ISBLANK($C123),"",IF(E123=Constants!$B$2,TRUE(),IF(E123=Constants!$B$3,FALSE(),TRUE())))</f>
        <v/>
      </c>
      <c r="X123" s="87" t="str">
        <f aca="false">IF(ISBLANK($C123),"",IF(F123=Constants!$B$2,TRUE(),IF(F123=Constants!$B$3,FALSE(),TRUE())))</f>
        <v/>
      </c>
      <c r="Y123" s="87" t="str">
        <f aca="false">IF(ISBLANK($C123),"",IF(G123=Constants!$B$2,TRUE(),IF(G123=Constants!$B$3,FALSE(),TRUE())))</f>
        <v/>
      </c>
      <c r="Z123" s="87" t="str">
        <f aca="false">IF(ISBLANK($C123),"",IF(H123=Constants!$B$2,TRUE(),IF(H123=Constants!$B$3,FALSE(),TRUE())))</f>
        <v/>
      </c>
      <c r="AA123" s="87" t="str">
        <f aca="false">IF(ISBLANK($C123),"",IF(I123=Constants!$B$2,TRUE(),IF(I123=Constants!$B$3,FALSE(),TRUE())))</f>
        <v/>
      </c>
      <c r="AB123" s="87" t="str">
        <f aca="false">IF(ISBLANK($C123),"",IF(J123=Constants!$B$4,TRUE(),IF(J123=Constants!$B$5,FALSE(),COUNTA(K123:M123)&gt;0)))</f>
        <v/>
      </c>
      <c r="AC123" s="88" t="str">
        <f aca="false">IF(ISBLANK($C123),"",IF(ISNUMBER(K123),IF(K123&gt;=0,K123,""),""))</f>
        <v/>
      </c>
      <c r="AD123" s="89" t="str">
        <f aca="false">IF(ISBLANK($C123),"",IF(ISNUMBER(L123),IF(L123&gt;=0,L123,""),""))</f>
        <v/>
      </c>
      <c r="AE123" s="87" t="str">
        <f aca="false">IF(ISBLANK($C123),"",IF(ISNUMBER(M123),IF(M123&gt;=0,MIN(M123,Constants!$B$22),""),""))</f>
        <v/>
      </c>
      <c r="AF123" s="87" t="str">
        <f aca="false">IF(ISBLANK($C123),"",IF(N123=Constants!$B$2,TRUE(),IF(N123=Constants!$B$3,FALSE(),TRUE())))</f>
        <v/>
      </c>
      <c r="AG123" s="87" t="str">
        <f aca="false">IF(ISBLANK($C123),"",IF(O123=Constants!$B$2,TRUE(),IF(O123=Constants!$B$3,FALSE(),TRUE())))</f>
        <v/>
      </c>
      <c r="AH123" s="87" t="str">
        <f aca="false">IF(ISBLANK($C123),"",IF(P123=Constants!$B$4,TRUE(),IF(P123=Constants!$B$5,FALSE(),COUNTA(Q123:S123)&gt;0)))</f>
        <v/>
      </c>
      <c r="AI123" s="88" t="str">
        <f aca="false">IF(ISBLANK($C123),"",IF(ISNUMBER(Q123),IF(Q123&gt;=0,Q123,""),""))</f>
        <v/>
      </c>
      <c r="AJ123" s="89" t="str">
        <f aca="false">IF(ISBLANK($C123),"",IF(ISNUMBER(R123),IF(R123&gt;=0,R123,""),""))</f>
        <v/>
      </c>
      <c r="AK123" s="87" t="str">
        <f aca="false">IF(ISBLANK($C123),"",IF(ISNUMBER(S123),IF(S123&gt;=0,MIN(S123,Constants!$B$22),""),""))</f>
        <v/>
      </c>
      <c r="AL123" s="87" t="str">
        <f aca="false">IF(ISBLANK($C123),"",IF(T123=Constants!$B$2,TRUE(),IF(T123=Constants!$B$3,FALSE(),FALSE())))</f>
        <v/>
      </c>
      <c r="AM123" s="86" t="str">
        <f aca="false">IF(ISBLANK($C123),"",AND($AB123,OR($AC123="",$AD123="",AND(NOT(ISBLANK($M123)),$AE123=""))))</f>
        <v/>
      </c>
      <c r="AN123" s="89" t="str">
        <f aca="false">IF($BD123&lt;&gt;Constants!$B$6,"",IF($AB123,Constants!$B$17*$AD123,Constants!$B$18))</f>
        <v/>
      </c>
      <c r="AO123" s="91" t="str">
        <f aca="false">IF($BD123&lt;&gt;Constants!$B$6,"",Constants!$B$19*IF($AB123,$AC123,0))</f>
        <v/>
      </c>
      <c r="AP123" s="91" t="str">
        <f aca="false">IF($BD123&lt;&gt;Constants!$B$6,"",IF(AND($AB123,ISNUMBER($AE123)),Constants!$B$20*(Constants!$B$21-$AE123),0))</f>
        <v/>
      </c>
      <c r="AQ123" s="91" t="str">
        <f aca="false">IF($BD123&lt;&gt;Constants!$B$6,"",IF($AA123,0,Constants!$B$12)+IF($Z123,0,Constants!$B$13)+IF($Y123,0,Constants!$B$14))</f>
        <v/>
      </c>
      <c r="AR123" s="92" t="str">
        <f aca="false">IF($BD123&lt;&gt;Constants!$B$6,"",Constants!$B$16+SUM($AN123:$AQ123))</f>
        <v/>
      </c>
      <c r="AS123" s="91" t="str">
        <f aca="false">IF($BD123&lt;&gt;Constants!$B$6,"",IF($AB123,$AD123,""))</f>
        <v/>
      </c>
      <c r="AT123" s="93" t="str">
        <f aca="false">IF($BD123&lt;&gt;Constants!$B$6,"",$AO123)</f>
        <v/>
      </c>
      <c r="AU123" s="87" t="str">
        <f aca="false">IF($BD123&lt;&gt;Constants!$B$6,"",IF(OR($BA123&lt;$AR123,AND($BA123=$AR123,OR(AND(ISNUMBER($BB123),OR(NOT(ISNUMBER($AS123)),$BB123&lt;$AS123)),AND(OR(AND($BB123="",$AS123=""),AND(ISNUMBER($BB123),ISNUMBER($AS123),$BB123=$AS123)),$BC123&lt;$AT123)))),"-&gt;","&lt;-"))</f>
        <v/>
      </c>
      <c r="AV123" s="86" t="str">
        <f aca="false">IF(ISBLANK($C123),"",AND($AH123,OR($AI123="",$AJ123="",AND(NOT(ISBLANK($S123)),$AK123=""))))</f>
        <v/>
      </c>
      <c r="AW123" s="89" t="str">
        <f aca="false">IF($BD123&lt;&gt;Constants!$B$6,"",IF($AH123,Constants!$B$17*$AJ123,Constants!$B$18))</f>
        <v/>
      </c>
      <c r="AX123" s="91" t="str">
        <f aca="false">IF($BD123&lt;&gt;Constants!$B$6,"",Constants!$B$19*IF($AH123,$AI123,0))</f>
        <v/>
      </c>
      <c r="AY123" s="91" t="str">
        <f aca="false">IF($BD123&lt;&gt;Constants!$B$6,"",IF(AND($AH123,ISNUMBER($AK123)),Constants!$B$20*(Constants!$B$21-$AK123),0))</f>
        <v/>
      </c>
      <c r="AZ123" s="91" t="str">
        <f aca="false">IF($BD123&lt;&gt;Constants!$B$6,"",IF($AG123,0,Constants!$B$12)+IF($AF123,0,Constants!$B$13)+IF($Y123,0,Constants!$B$14))</f>
        <v/>
      </c>
      <c r="BA123" s="92" t="str">
        <f aca="false">IF($BD123&lt;&gt;Constants!$B$6,"",Constants!$B$16+SUM($AW123:$AZ123))</f>
        <v/>
      </c>
      <c r="BB123" s="91" t="str">
        <f aca="false">IF($BD123&lt;&gt;Constants!$B$6,"",IF($AH123,$AJ123,""))</f>
        <v/>
      </c>
      <c r="BC123" s="93" t="str">
        <f aca="false">IF($BD123&lt;&gt;Constants!$B$6,"",$AX123)</f>
        <v/>
      </c>
      <c r="BD123" s="87" t="str">
        <f aca="false">IF(ISBLANK($C123),"",IF($AL123,Constants!$B$9,IF(COUNTA($E123:$T123)=0,Constants!$B$8,IF(NOT($X123),Constants!$B$7,IF(OR($AM123,$AV123),Constants!$B$10,Constants!$B$6)))))</f>
        <v/>
      </c>
      <c r="BE123" s="87" t="str">
        <f aca="false">IF(ISBLANK($C123),"",IF($BD123&lt;&gt;Constants!$B$6,$BD123,Constants!$B$11))</f>
        <v/>
      </c>
      <c r="BF123" s="91" t="str">
        <f aca="false">IF($BD123&lt;&gt;Constants!$B$6,"",IF($AU123="-&gt;",$BA123,$AR123))</f>
        <v/>
      </c>
      <c r="BG123" s="91" t="str">
        <f aca="false">IF($BD123&lt;&gt;Constants!$B$6,"",IF($W123,0,Constants!$B$15))</f>
        <v/>
      </c>
      <c r="BH123" s="91" t="str">
        <f aca="false">IF(ISBLANK($C123),"",IF($BD123&lt;&gt;Constants!$B$6,$BD123,SUM($BF123:$BG123)))</f>
        <v/>
      </c>
      <c r="BI123" s="87" t="str">
        <f aca="false">IF(ISBLANK($C123),"",IF($BD123&lt;&gt;Constants!$B$6,$BD123,RANK($BH123,$BH$9:$BH$508,1)))</f>
        <v/>
      </c>
      <c r="BJ123" s="91" t="str">
        <f aca="false">IF($BD123&lt;&gt;Constants!$B$6,"",IF($AU123="-&gt;",$BB123,$AS123))</f>
        <v/>
      </c>
      <c r="BK123" s="87" t="str">
        <f aca="false">IF(ISBLANK($C123),"",IF($BD123&lt;&gt;Constants!$B$6,$BD123,IF(ISNUMBER($BJ123),RANK($BJ123,$BJ$9:$BJ$508,1),COUNT($BJ$9:$BJ$508)+1)))</f>
        <v/>
      </c>
      <c r="BL123" s="91" t="str">
        <f aca="false">IF($BD123&lt;&gt;Constants!$B$6,"",IF($AU123="-&gt;",$BC123,$AT123))</f>
        <v/>
      </c>
      <c r="BM123" s="87" t="str">
        <f aca="false">IF(ISBLANK($C123),"",IF($BD123&lt;&gt;Constants!$B$6,$BD123,IF(ISNUMBER($BL123),RANK($BL123,$BL$9:$BL$508,1),COUNT($BL$9:$BL$508)+1)))</f>
        <v/>
      </c>
      <c r="BN123" s="91" t="str">
        <f aca="false">IF($BD123&lt;&gt;Constants!$B$6,"",IF($AU123="-&gt;",$AS123,$BB123))</f>
        <v/>
      </c>
      <c r="BO123" s="87" t="str">
        <f aca="false">IF(ISBLANK($C123),"",IF($BD123&lt;&gt;Constants!$B$6,$BD123,IF(ISNUMBER($BN123),RANK($BN123,$BN$9:$BN$508,1),COUNT($BN$9:$BN$508)+1)))</f>
        <v/>
      </c>
      <c r="BP123" s="91" t="str">
        <f aca="false">IF($BD123&lt;&gt;Constants!$B$6,"",IF($AU123="-&gt;",$AT123,$BC123))</f>
        <v/>
      </c>
      <c r="BQ123" s="87" t="str">
        <f aca="false">IF(ISBLANK($C123),"",IF($BD123&lt;&gt;Constants!$B$6,$BD123,IF(ISNUMBER($BP123),RANK($BP123,$BP$9:$BP$508,1),COUNT($BP$9:$BP$508)+1)))</f>
        <v/>
      </c>
      <c r="BR123" s="87" t="str">
        <f aca="false">IF(ISBLANK($C123),"",IF($BD123&lt;&gt;Constants!$B$6,$BD123,COUNTIFS($BI$9:$BI$508,"&lt;"&amp;$BI123)+COUNTIFS($BI$9:$BI$508,$BI123,$BK$9:$BK$508,"&lt;"&amp;$BK123)+COUNTIFS($BI$9:$BI$508,$BI123,$BK$9:$BK$508,$BK123,$BM$9:$BM$508,"&lt;"&amp;$BM123)+COUNTIFS($BI$9:$BI$508,$BI123,$BK$9:$BK$508,$BK123,$BM$9:$BM$508,$BM123,$BO$9:$BO$508,"&lt;"&amp;$BO123)+COUNTIFS($BI$9:$BI$508,$BI123,$BK$9:$BK$508,$BK123,$BM$9:$BM$508,$BM123,$BO$9:$BO$508,$BO123,$BQ$9:$BQ$508,"&lt;"&amp;$BQ123)+1))</f>
        <v/>
      </c>
      <c r="BS123" s="87" t="str">
        <f aca="false">IF(ISBLANK($C123),"",IF($BD123&lt;&gt;Constants!$B$6,$BD123,$BI123-$BR123))</f>
        <v/>
      </c>
      <c r="BT123" s="94"/>
      <c r="BU123" s="95"/>
      <c r="BV123" s="95" t="str">
        <f aca="false">IF(ISBLANK($C123),"",IF($BD123&lt;&gt;Constants!$B$6,"",IF($AU123="-&gt;",2,1)))</f>
        <v/>
      </c>
      <c r="BW123" s="96" t="str">
        <f aca="false">IF(ISBLANK($C123),"",IF($BD123&lt;&gt;Constants!$B$6,"",IF($AU123="-&gt;",$AW123,$AN123)))</f>
        <v/>
      </c>
      <c r="BX123" s="96" t="str">
        <f aca="false">IF(ISBLANK($C123),"",IF($BD123&lt;&gt;Constants!$B$6,"",IF($AU123="-&gt;",$AX123,$AO123)))</f>
        <v/>
      </c>
      <c r="BY123" s="96" t="str">
        <f aca="false">IF(ISBLANK($C123),"",IF($BD123&lt;&gt;Constants!$B$6,"",IF($AU123="-&gt;",$AY123,$AP123)))</f>
        <v/>
      </c>
      <c r="BZ123" s="96" t="str">
        <f aca="false">IF(ISBLANK($C123),"",IF($BD123&lt;&gt;Constants!$B$6,"",IF($AU123="-&gt;",$AZ123,$AQ123)+$BG123))</f>
        <v/>
      </c>
      <c r="CA123" s="97" t="str">
        <f aca="false">IF(ISBLANK($C123),"",IF($BD123&lt;&gt;Constants!$B$6,$BD123,$BH123))</f>
        <v/>
      </c>
      <c r="CB123" s="98" t="str">
        <f aca="false">IF(ISBLANK($C123),"",$BE123)</f>
        <v/>
      </c>
      <c r="CC123" s="99" t="str">
        <f aca="false">IF(ISBLANK($C123),"",$BS123)</f>
        <v/>
      </c>
      <c r="CD123" s="99" t="str">
        <f aca="false">IF(ISBLANK($C123),"",$BR123)</f>
        <v/>
      </c>
      <c r="CE123" s="100" t="str">
        <f aca="false">IF(ISBLANK($C123),"",IF($CD123=Constants!$B$9,COUNTA($C$9:$C$508)+2,IF($CD123=Constants!$B$8,COUNTA($C$9:$C$508)+1,IF($CD123=Constants!$B$7,COUNTA($C$9:$C$508),$CD123))))</f>
        <v/>
      </c>
      <c r="CF123" s="9"/>
      <c r="CG123" s="101" t="n">
        <f aca="false">IF(OR(ISNUMBER($CD123),$CD123=Constants!$B$9,$CD123=Constants!$B$7,$CD123=Constants!$B$8),1,0)</f>
        <v>0</v>
      </c>
      <c r="CH123" s="101" t="n">
        <v>115</v>
      </c>
      <c r="CI123" s="101" t="str">
        <f aca="false">IF(ISBLANK($C123),"",IF(ISNUMBER($CE123),$CE123+ROW($B123)/1000,""))</f>
        <v/>
      </c>
      <c r="CJ123" s="101" t="str">
        <f aca="false">IF(ISNUMBER($CI123),RANK($CI123,$CI$9:$CI$508,1),"")</f>
        <v/>
      </c>
      <c r="CK123" s="101" t="str">
        <f aca="false">IF(ISBLANK($C123),"",$B123)</f>
        <v/>
      </c>
      <c r="CL123" s="101" t="str">
        <f aca="false">IF(ISBLANK($C123),"",$C123)</f>
        <v/>
      </c>
      <c r="CM123" s="101" t="str">
        <f aca="false">IF(ISBLANK($C123),"",$D123)</f>
        <v/>
      </c>
      <c r="CN123" s="102" t="str">
        <f aca="false">$CB123</f>
        <v/>
      </c>
      <c r="CO123" s="103" t="str">
        <f aca="false">$CA123</f>
        <v/>
      </c>
      <c r="CP123" s="101" t="str">
        <f aca="false">IF(ISBLANK($C123),"",$CD123)</f>
        <v/>
      </c>
      <c r="CQ123" s="104" t="str">
        <f aca="false">IF($CH123&gt;$CG$8,"",VLOOKUP($CH123,$CJ$9:$CP$508,7,FALSE()))</f>
        <v/>
      </c>
      <c r="CR123" s="105" t="str">
        <f aca="false">IF($CH123&gt;$CG$8,"",VLOOKUP($CH123,$CJ$9:$CP$508,2,FALSE()))</f>
        <v/>
      </c>
      <c r="CS123" s="105" t="str">
        <f aca="false">IF($CH123&gt;$CG$8,"",VLOOKUP($CH123,$CJ$9:$CP$508,3,FALSE()))</f>
        <v/>
      </c>
      <c r="CT123" s="105" t="str">
        <f aca="false">IF($CH123&gt;$CG$8,"",VLOOKUP($CH123,$CJ$9:$CP$508,4,FALSE()))</f>
        <v/>
      </c>
      <c r="CU123" s="105" t="str">
        <f aca="false">IF($CH123&gt;$CG$8,"",VLOOKUP($CH123,$CJ$9:$CP$508,5,FALSE()))</f>
        <v/>
      </c>
      <c r="CV123" s="106" t="str">
        <f aca="false">IF($CH123&gt;$CG$8,"",VLOOKUP($CH123,$CJ$9:$CP$508,6,FALSE()))</f>
        <v/>
      </c>
      <c r="CW123" s="71"/>
    </row>
    <row r="124" customFormat="false" ht="15.75" hidden="false" customHeight="false" outlineLevel="0" collapsed="false">
      <c r="A124" s="9"/>
      <c r="B124" s="72"/>
      <c r="C124" s="73"/>
      <c r="D124" s="160"/>
      <c r="E124" s="168"/>
      <c r="F124" s="162"/>
      <c r="G124" s="163"/>
      <c r="H124" s="169"/>
      <c r="I124" s="167"/>
      <c r="J124" s="80"/>
      <c r="K124" s="81"/>
      <c r="L124" s="82"/>
      <c r="M124" s="166"/>
      <c r="N124" s="167"/>
      <c r="O124" s="167"/>
      <c r="P124" s="80"/>
      <c r="Q124" s="82"/>
      <c r="R124" s="82"/>
      <c r="S124" s="166"/>
      <c r="T124" s="167"/>
      <c r="U124" s="86"/>
      <c r="V124" s="87"/>
      <c r="W124" s="87" t="str">
        <f aca="false">IF(ISBLANK($C124),"",IF(E124=Constants!$B$2,TRUE(),IF(E124=Constants!$B$3,FALSE(),TRUE())))</f>
        <v/>
      </c>
      <c r="X124" s="87" t="str">
        <f aca="false">IF(ISBLANK($C124),"",IF(F124=Constants!$B$2,TRUE(),IF(F124=Constants!$B$3,FALSE(),TRUE())))</f>
        <v/>
      </c>
      <c r="Y124" s="87" t="str">
        <f aca="false">IF(ISBLANK($C124),"",IF(G124=Constants!$B$2,TRUE(),IF(G124=Constants!$B$3,FALSE(),TRUE())))</f>
        <v/>
      </c>
      <c r="Z124" s="87" t="str">
        <f aca="false">IF(ISBLANK($C124),"",IF(H124=Constants!$B$2,TRUE(),IF(H124=Constants!$B$3,FALSE(),TRUE())))</f>
        <v/>
      </c>
      <c r="AA124" s="87" t="str">
        <f aca="false">IF(ISBLANK($C124),"",IF(I124=Constants!$B$2,TRUE(),IF(I124=Constants!$B$3,FALSE(),TRUE())))</f>
        <v/>
      </c>
      <c r="AB124" s="87" t="str">
        <f aca="false">IF(ISBLANK($C124),"",IF(J124=Constants!$B$4,TRUE(),IF(J124=Constants!$B$5,FALSE(),COUNTA(K124:M124)&gt;0)))</f>
        <v/>
      </c>
      <c r="AC124" s="88" t="str">
        <f aca="false">IF(ISBLANK($C124),"",IF(ISNUMBER(K124),IF(K124&gt;=0,K124,""),""))</f>
        <v/>
      </c>
      <c r="AD124" s="89" t="str">
        <f aca="false">IF(ISBLANK($C124),"",IF(ISNUMBER(L124),IF(L124&gt;=0,L124,""),""))</f>
        <v/>
      </c>
      <c r="AE124" s="87" t="str">
        <f aca="false">IF(ISBLANK($C124),"",IF(ISNUMBER(M124),IF(M124&gt;=0,MIN(M124,Constants!$B$22),""),""))</f>
        <v/>
      </c>
      <c r="AF124" s="87" t="str">
        <f aca="false">IF(ISBLANK($C124),"",IF(N124=Constants!$B$2,TRUE(),IF(N124=Constants!$B$3,FALSE(),TRUE())))</f>
        <v/>
      </c>
      <c r="AG124" s="87" t="str">
        <f aca="false">IF(ISBLANK($C124),"",IF(O124=Constants!$B$2,TRUE(),IF(O124=Constants!$B$3,FALSE(),TRUE())))</f>
        <v/>
      </c>
      <c r="AH124" s="87" t="str">
        <f aca="false">IF(ISBLANK($C124),"",IF(P124=Constants!$B$4,TRUE(),IF(P124=Constants!$B$5,FALSE(),COUNTA(Q124:S124)&gt;0)))</f>
        <v/>
      </c>
      <c r="AI124" s="88" t="str">
        <f aca="false">IF(ISBLANK($C124),"",IF(ISNUMBER(Q124),IF(Q124&gt;=0,Q124,""),""))</f>
        <v/>
      </c>
      <c r="AJ124" s="89" t="str">
        <f aca="false">IF(ISBLANK($C124),"",IF(ISNUMBER(R124),IF(R124&gt;=0,R124,""),""))</f>
        <v/>
      </c>
      <c r="AK124" s="87" t="str">
        <f aca="false">IF(ISBLANK($C124),"",IF(ISNUMBER(S124),IF(S124&gt;=0,MIN(S124,Constants!$B$22),""),""))</f>
        <v/>
      </c>
      <c r="AL124" s="87" t="str">
        <f aca="false">IF(ISBLANK($C124),"",IF(T124=Constants!$B$2,TRUE(),IF(T124=Constants!$B$3,FALSE(),FALSE())))</f>
        <v/>
      </c>
      <c r="AM124" s="86" t="str">
        <f aca="false">IF(ISBLANK($C124),"",AND($AB124,OR($AC124="",$AD124="",AND(NOT(ISBLANK($M124)),$AE124=""))))</f>
        <v/>
      </c>
      <c r="AN124" s="89" t="str">
        <f aca="false">IF($BD124&lt;&gt;Constants!$B$6,"",IF($AB124,Constants!$B$17*$AD124,Constants!$B$18))</f>
        <v/>
      </c>
      <c r="AO124" s="91" t="str">
        <f aca="false">IF($BD124&lt;&gt;Constants!$B$6,"",Constants!$B$19*IF($AB124,$AC124,0))</f>
        <v/>
      </c>
      <c r="AP124" s="91" t="str">
        <f aca="false">IF($BD124&lt;&gt;Constants!$B$6,"",IF(AND($AB124,ISNUMBER($AE124)),Constants!$B$20*(Constants!$B$21-$AE124),0))</f>
        <v/>
      </c>
      <c r="AQ124" s="91" t="str">
        <f aca="false">IF($BD124&lt;&gt;Constants!$B$6,"",IF($AA124,0,Constants!$B$12)+IF($Z124,0,Constants!$B$13)+IF($Y124,0,Constants!$B$14))</f>
        <v/>
      </c>
      <c r="AR124" s="92" t="str">
        <f aca="false">IF($BD124&lt;&gt;Constants!$B$6,"",Constants!$B$16+SUM($AN124:$AQ124))</f>
        <v/>
      </c>
      <c r="AS124" s="91" t="str">
        <f aca="false">IF($BD124&lt;&gt;Constants!$B$6,"",IF($AB124,$AD124,""))</f>
        <v/>
      </c>
      <c r="AT124" s="93" t="str">
        <f aca="false">IF($BD124&lt;&gt;Constants!$B$6,"",$AO124)</f>
        <v/>
      </c>
      <c r="AU124" s="87" t="str">
        <f aca="false">IF($BD124&lt;&gt;Constants!$B$6,"",IF(OR($BA124&lt;$AR124,AND($BA124=$AR124,OR(AND(ISNUMBER($BB124),OR(NOT(ISNUMBER($AS124)),$BB124&lt;$AS124)),AND(OR(AND($BB124="",$AS124=""),AND(ISNUMBER($BB124),ISNUMBER($AS124),$BB124=$AS124)),$BC124&lt;$AT124)))),"-&gt;","&lt;-"))</f>
        <v/>
      </c>
      <c r="AV124" s="86" t="str">
        <f aca="false">IF(ISBLANK($C124),"",AND($AH124,OR($AI124="",$AJ124="",AND(NOT(ISBLANK($S124)),$AK124=""))))</f>
        <v/>
      </c>
      <c r="AW124" s="89" t="str">
        <f aca="false">IF($BD124&lt;&gt;Constants!$B$6,"",IF($AH124,Constants!$B$17*$AJ124,Constants!$B$18))</f>
        <v/>
      </c>
      <c r="AX124" s="91" t="str">
        <f aca="false">IF($BD124&lt;&gt;Constants!$B$6,"",Constants!$B$19*IF($AH124,$AI124,0))</f>
        <v/>
      </c>
      <c r="AY124" s="91" t="str">
        <f aca="false">IF($BD124&lt;&gt;Constants!$B$6,"",IF(AND($AH124,ISNUMBER($AK124)),Constants!$B$20*(Constants!$B$21-$AK124),0))</f>
        <v/>
      </c>
      <c r="AZ124" s="91" t="str">
        <f aca="false">IF($BD124&lt;&gt;Constants!$B$6,"",IF($AG124,0,Constants!$B$12)+IF($AF124,0,Constants!$B$13)+IF($Y124,0,Constants!$B$14))</f>
        <v/>
      </c>
      <c r="BA124" s="92" t="str">
        <f aca="false">IF($BD124&lt;&gt;Constants!$B$6,"",Constants!$B$16+SUM($AW124:$AZ124))</f>
        <v/>
      </c>
      <c r="BB124" s="91" t="str">
        <f aca="false">IF($BD124&lt;&gt;Constants!$B$6,"",IF($AH124,$AJ124,""))</f>
        <v/>
      </c>
      <c r="BC124" s="93" t="str">
        <f aca="false">IF($BD124&lt;&gt;Constants!$B$6,"",$AX124)</f>
        <v/>
      </c>
      <c r="BD124" s="87" t="str">
        <f aca="false">IF(ISBLANK($C124),"",IF($AL124,Constants!$B$9,IF(COUNTA($E124:$T124)=0,Constants!$B$8,IF(NOT($X124),Constants!$B$7,IF(OR($AM124,$AV124),Constants!$B$10,Constants!$B$6)))))</f>
        <v/>
      </c>
      <c r="BE124" s="87" t="str">
        <f aca="false">IF(ISBLANK($C124),"",IF($BD124&lt;&gt;Constants!$B$6,$BD124,Constants!$B$11))</f>
        <v/>
      </c>
      <c r="BF124" s="91" t="str">
        <f aca="false">IF($BD124&lt;&gt;Constants!$B$6,"",IF($AU124="-&gt;",$BA124,$AR124))</f>
        <v/>
      </c>
      <c r="BG124" s="91" t="str">
        <f aca="false">IF($BD124&lt;&gt;Constants!$B$6,"",IF($W124,0,Constants!$B$15))</f>
        <v/>
      </c>
      <c r="BH124" s="91" t="str">
        <f aca="false">IF(ISBLANK($C124),"",IF($BD124&lt;&gt;Constants!$B$6,$BD124,SUM($BF124:$BG124)))</f>
        <v/>
      </c>
      <c r="BI124" s="87" t="str">
        <f aca="false">IF(ISBLANK($C124),"",IF($BD124&lt;&gt;Constants!$B$6,$BD124,RANK($BH124,$BH$9:$BH$508,1)))</f>
        <v/>
      </c>
      <c r="BJ124" s="91" t="str">
        <f aca="false">IF($BD124&lt;&gt;Constants!$B$6,"",IF($AU124="-&gt;",$BB124,$AS124))</f>
        <v/>
      </c>
      <c r="BK124" s="87" t="str">
        <f aca="false">IF(ISBLANK($C124),"",IF($BD124&lt;&gt;Constants!$B$6,$BD124,IF(ISNUMBER($BJ124),RANK($BJ124,$BJ$9:$BJ$508,1),COUNT($BJ$9:$BJ$508)+1)))</f>
        <v/>
      </c>
      <c r="BL124" s="91" t="str">
        <f aca="false">IF($BD124&lt;&gt;Constants!$B$6,"",IF($AU124="-&gt;",$BC124,$AT124))</f>
        <v/>
      </c>
      <c r="BM124" s="87" t="str">
        <f aca="false">IF(ISBLANK($C124),"",IF($BD124&lt;&gt;Constants!$B$6,$BD124,IF(ISNUMBER($BL124),RANK($BL124,$BL$9:$BL$508,1),COUNT($BL$9:$BL$508)+1)))</f>
        <v/>
      </c>
      <c r="BN124" s="91" t="str">
        <f aca="false">IF($BD124&lt;&gt;Constants!$B$6,"",IF($AU124="-&gt;",$AS124,$BB124))</f>
        <v/>
      </c>
      <c r="BO124" s="87" t="str">
        <f aca="false">IF(ISBLANK($C124),"",IF($BD124&lt;&gt;Constants!$B$6,$BD124,IF(ISNUMBER($BN124),RANK($BN124,$BN$9:$BN$508,1),COUNT($BN$9:$BN$508)+1)))</f>
        <v/>
      </c>
      <c r="BP124" s="91" t="str">
        <f aca="false">IF($BD124&lt;&gt;Constants!$B$6,"",IF($AU124="-&gt;",$AT124,$BC124))</f>
        <v/>
      </c>
      <c r="BQ124" s="87" t="str">
        <f aca="false">IF(ISBLANK($C124),"",IF($BD124&lt;&gt;Constants!$B$6,$BD124,IF(ISNUMBER($BP124),RANK($BP124,$BP$9:$BP$508,1),COUNT($BP$9:$BP$508)+1)))</f>
        <v/>
      </c>
      <c r="BR124" s="87" t="str">
        <f aca="false">IF(ISBLANK($C124),"",IF($BD124&lt;&gt;Constants!$B$6,$BD124,COUNTIFS($BI$9:$BI$508,"&lt;"&amp;$BI124)+COUNTIFS($BI$9:$BI$508,$BI124,$BK$9:$BK$508,"&lt;"&amp;$BK124)+COUNTIFS($BI$9:$BI$508,$BI124,$BK$9:$BK$508,$BK124,$BM$9:$BM$508,"&lt;"&amp;$BM124)+COUNTIFS($BI$9:$BI$508,$BI124,$BK$9:$BK$508,$BK124,$BM$9:$BM$508,$BM124,$BO$9:$BO$508,"&lt;"&amp;$BO124)+COUNTIFS($BI$9:$BI$508,$BI124,$BK$9:$BK$508,$BK124,$BM$9:$BM$508,$BM124,$BO$9:$BO$508,$BO124,$BQ$9:$BQ$508,"&lt;"&amp;$BQ124)+1))</f>
        <v/>
      </c>
      <c r="BS124" s="87" t="str">
        <f aca="false">IF(ISBLANK($C124),"",IF($BD124&lt;&gt;Constants!$B$6,$BD124,$BI124-$BR124))</f>
        <v/>
      </c>
      <c r="BT124" s="94"/>
      <c r="BU124" s="95"/>
      <c r="BV124" s="95" t="str">
        <f aca="false">IF(ISBLANK($C124),"",IF($BD124&lt;&gt;Constants!$B$6,"",IF($AU124="-&gt;",2,1)))</f>
        <v/>
      </c>
      <c r="BW124" s="96" t="str">
        <f aca="false">IF(ISBLANK($C124),"",IF($BD124&lt;&gt;Constants!$B$6,"",IF($AU124="-&gt;",$AW124,$AN124)))</f>
        <v/>
      </c>
      <c r="BX124" s="96" t="str">
        <f aca="false">IF(ISBLANK($C124),"",IF($BD124&lt;&gt;Constants!$B$6,"",IF($AU124="-&gt;",$AX124,$AO124)))</f>
        <v/>
      </c>
      <c r="BY124" s="96" t="str">
        <f aca="false">IF(ISBLANK($C124),"",IF($BD124&lt;&gt;Constants!$B$6,"",IF($AU124="-&gt;",$AY124,$AP124)))</f>
        <v/>
      </c>
      <c r="BZ124" s="96" t="str">
        <f aca="false">IF(ISBLANK($C124),"",IF($BD124&lt;&gt;Constants!$B$6,"",IF($AU124="-&gt;",$AZ124,$AQ124)+$BG124))</f>
        <v/>
      </c>
      <c r="CA124" s="97" t="str">
        <f aca="false">IF(ISBLANK($C124),"",IF($BD124&lt;&gt;Constants!$B$6,$BD124,$BH124))</f>
        <v/>
      </c>
      <c r="CB124" s="98" t="str">
        <f aca="false">IF(ISBLANK($C124),"",$BE124)</f>
        <v/>
      </c>
      <c r="CC124" s="99" t="str">
        <f aca="false">IF(ISBLANK($C124),"",$BS124)</f>
        <v/>
      </c>
      <c r="CD124" s="99" t="str">
        <f aca="false">IF(ISBLANK($C124),"",$BR124)</f>
        <v/>
      </c>
      <c r="CE124" s="100" t="str">
        <f aca="false">IF(ISBLANK($C124),"",IF($CD124=Constants!$B$9,COUNTA($C$9:$C$508)+2,IF($CD124=Constants!$B$8,COUNTA($C$9:$C$508)+1,IF($CD124=Constants!$B$7,COUNTA($C$9:$C$508),$CD124))))</f>
        <v/>
      </c>
      <c r="CF124" s="9"/>
      <c r="CG124" s="101" t="n">
        <f aca="false">IF(OR(ISNUMBER($CD124),$CD124=Constants!$B$9,$CD124=Constants!$B$7,$CD124=Constants!$B$8),1,0)</f>
        <v>0</v>
      </c>
      <c r="CH124" s="101" t="n">
        <v>116</v>
      </c>
      <c r="CI124" s="101" t="str">
        <f aca="false">IF(ISBLANK($C124),"",IF(ISNUMBER($CE124),$CE124+ROW($B124)/1000,""))</f>
        <v/>
      </c>
      <c r="CJ124" s="101" t="str">
        <f aca="false">IF(ISNUMBER($CI124),RANK($CI124,$CI$9:$CI$508,1),"")</f>
        <v/>
      </c>
      <c r="CK124" s="101" t="str">
        <f aca="false">IF(ISBLANK($C124),"",$B124)</f>
        <v/>
      </c>
      <c r="CL124" s="101" t="str">
        <f aca="false">IF(ISBLANK($C124),"",$C124)</f>
        <v/>
      </c>
      <c r="CM124" s="101" t="str">
        <f aca="false">IF(ISBLANK($C124),"",$D124)</f>
        <v/>
      </c>
      <c r="CN124" s="102" t="str">
        <f aca="false">$CB124</f>
        <v/>
      </c>
      <c r="CO124" s="103" t="str">
        <f aca="false">$CA124</f>
        <v/>
      </c>
      <c r="CP124" s="101" t="str">
        <f aca="false">IF(ISBLANK($C124),"",$CD124)</f>
        <v/>
      </c>
      <c r="CQ124" s="104" t="str">
        <f aca="false">IF($CH124&gt;$CG$8,"",VLOOKUP($CH124,$CJ$9:$CP$508,7,FALSE()))</f>
        <v/>
      </c>
      <c r="CR124" s="105" t="str">
        <f aca="false">IF($CH124&gt;$CG$8,"",VLOOKUP($CH124,$CJ$9:$CP$508,2,FALSE()))</f>
        <v/>
      </c>
      <c r="CS124" s="105" t="str">
        <f aca="false">IF($CH124&gt;$CG$8,"",VLOOKUP($CH124,$CJ$9:$CP$508,3,FALSE()))</f>
        <v/>
      </c>
      <c r="CT124" s="105" t="str">
        <f aca="false">IF($CH124&gt;$CG$8,"",VLOOKUP($CH124,$CJ$9:$CP$508,4,FALSE()))</f>
        <v/>
      </c>
      <c r="CU124" s="105" t="str">
        <f aca="false">IF($CH124&gt;$CG$8,"",VLOOKUP($CH124,$CJ$9:$CP$508,5,FALSE()))</f>
        <v/>
      </c>
      <c r="CV124" s="106" t="str">
        <f aca="false">IF($CH124&gt;$CG$8,"",VLOOKUP($CH124,$CJ$9:$CP$508,6,FALSE()))</f>
        <v/>
      </c>
      <c r="CW124" s="71"/>
    </row>
    <row r="125" customFormat="false" ht="15.75" hidden="false" customHeight="false" outlineLevel="0" collapsed="false">
      <c r="A125" s="9"/>
      <c r="B125" s="72"/>
      <c r="C125" s="73"/>
      <c r="D125" s="160"/>
      <c r="E125" s="168"/>
      <c r="F125" s="162"/>
      <c r="G125" s="163"/>
      <c r="H125" s="169"/>
      <c r="I125" s="167"/>
      <c r="J125" s="80"/>
      <c r="K125" s="81"/>
      <c r="L125" s="82"/>
      <c r="M125" s="166"/>
      <c r="N125" s="167"/>
      <c r="O125" s="167"/>
      <c r="P125" s="80"/>
      <c r="Q125" s="82"/>
      <c r="R125" s="82"/>
      <c r="S125" s="166"/>
      <c r="T125" s="167"/>
      <c r="U125" s="86"/>
      <c r="V125" s="87"/>
      <c r="W125" s="87" t="str">
        <f aca="false">IF(ISBLANK($C125),"",IF(E125=Constants!$B$2,TRUE(),IF(E125=Constants!$B$3,FALSE(),TRUE())))</f>
        <v/>
      </c>
      <c r="X125" s="87" t="str">
        <f aca="false">IF(ISBLANK($C125),"",IF(F125=Constants!$B$2,TRUE(),IF(F125=Constants!$B$3,FALSE(),TRUE())))</f>
        <v/>
      </c>
      <c r="Y125" s="87" t="str">
        <f aca="false">IF(ISBLANK($C125),"",IF(G125=Constants!$B$2,TRUE(),IF(G125=Constants!$B$3,FALSE(),TRUE())))</f>
        <v/>
      </c>
      <c r="Z125" s="87" t="str">
        <f aca="false">IF(ISBLANK($C125),"",IF(H125=Constants!$B$2,TRUE(),IF(H125=Constants!$B$3,FALSE(),TRUE())))</f>
        <v/>
      </c>
      <c r="AA125" s="87" t="str">
        <f aca="false">IF(ISBLANK($C125),"",IF(I125=Constants!$B$2,TRUE(),IF(I125=Constants!$B$3,FALSE(),TRUE())))</f>
        <v/>
      </c>
      <c r="AB125" s="87" t="str">
        <f aca="false">IF(ISBLANK($C125),"",IF(J125=Constants!$B$4,TRUE(),IF(J125=Constants!$B$5,FALSE(),COUNTA(K125:M125)&gt;0)))</f>
        <v/>
      </c>
      <c r="AC125" s="88" t="str">
        <f aca="false">IF(ISBLANK($C125),"",IF(ISNUMBER(K125),IF(K125&gt;=0,K125,""),""))</f>
        <v/>
      </c>
      <c r="AD125" s="89" t="str">
        <f aca="false">IF(ISBLANK($C125),"",IF(ISNUMBER(L125),IF(L125&gt;=0,L125,""),""))</f>
        <v/>
      </c>
      <c r="AE125" s="87" t="str">
        <f aca="false">IF(ISBLANK($C125),"",IF(ISNUMBER(M125),IF(M125&gt;=0,MIN(M125,Constants!$B$22),""),""))</f>
        <v/>
      </c>
      <c r="AF125" s="87" t="str">
        <f aca="false">IF(ISBLANK($C125),"",IF(N125=Constants!$B$2,TRUE(),IF(N125=Constants!$B$3,FALSE(),TRUE())))</f>
        <v/>
      </c>
      <c r="AG125" s="87" t="str">
        <f aca="false">IF(ISBLANK($C125),"",IF(O125=Constants!$B$2,TRUE(),IF(O125=Constants!$B$3,FALSE(),TRUE())))</f>
        <v/>
      </c>
      <c r="AH125" s="87" t="str">
        <f aca="false">IF(ISBLANK($C125),"",IF(P125=Constants!$B$4,TRUE(),IF(P125=Constants!$B$5,FALSE(),COUNTA(Q125:S125)&gt;0)))</f>
        <v/>
      </c>
      <c r="AI125" s="88" t="str">
        <f aca="false">IF(ISBLANK($C125),"",IF(ISNUMBER(Q125),IF(Q125&gt;=0,Q125,""),""))</f>
        <v/>
      </c>
      <c r="AJ125" s="89" t="str">
        <f aca="false">IF(ISBLANK($C125),"",IF(ISNUMBER(R125),IF(R125&gt;=0,R125,""),""))</f>
        <v/>
      </c>
      <c r="AK125" s="87" t="str">
        <f aca="false">IF(ISBLANK($C125),"",IF(ISNUMBER(S125),IF(S125&gt;=0,MIN(S125,Constants!$B$22),""),""))</f>
        <v/>
      </c>
      <c r="AL125" s="87" t="str">
        <f aca="false">IF(ISBLANK($C125),"",IF(T125=Constants!$B$2,TRUE(),IF(T125=Constants!$B$3,FALSE(),FALSE())))</f>
        <v/>
      </c>
      <c r="AM125" s="86" t="str">
        <f aca="false">IF(ISBLANK($C125),"",AND($AB125,OR($AC125="",$AD125="",AND(NOT(ISBLANK($M125)),$AE125=""))))</f>
        <v/>
      </c>
      <c r="AN125" s="89" t="str">
        <f aca="false">IF($BD125&lt;&gt;Constants!$B$6,"",IF($AB125,Constants!$B$17*$AD125,Constants!$B$18))</f>
        <v/>
      </c>
      <c r="AO125" s="91" t="str">
        <f aca="false">IF($BD125&lt;&gt;Constants!$B$6,"",Constants!$B$19*IF($AB125,$AC125,0))</f>
        <v/>
      </c>
      <c r="AP125" s="91" t="str">
        <f aca="false">IF($BD125&lt;&gt;Constants!$B$6,"",IF(AND($AB125,ISNUMBER($AE125)),Constants!$B$20*(Constants!$B$21-$AE125),0))</f>
        <v/>
      </c>
      <c r="AQ125" s="91" t="str">
        <f aca="false">IF($BD125&lt;&gt;Constants!$B$6,"",IF($AA125,0,Constants!$B$12)+IF($Z125,0,Constants!$B$13)+IF($Y125,0,Constants!$B$14))</f>
        <v/>
      </c>
      <c r="AR125" s="92" t="str">
        <f aca="false">IF($BD125&lt;&gt;Constants!$B$6,"",Constants!$B$16+SUM($AN125:$AQ125))</f>
        <v/>
      </c>
      <c r="AS125" s="91" t="str">
        <f aca="false">IF($BD125&lt;&gt;Constants!$B$6,"",IF($AB125,$AD125,""))</f>
        <v/>
      </c>
      <c r="AT125" s="93" t="str">
        <f aca="false">IF($BD125&lt;&gt;Constants!$B$6,"",$AO125)</f>
        <v/>
      </c>
      <c r="AU125" s="87" t="str">
        <f aca="false">IF($BD125&lt;&gt;Constants!$B$6,"",IF(OR($BA125&lt;$AR125,AND($BA125=$AR125,OR(AND(ISNUMBER($BB125),OR(NOT(ISNUMBER($AS125)),$BB125&lt;$AS125)),AND(OR(AND($BB125="",$AS125=""),AND(ISNUMBER($BB125),ISNUMBER($AS125),$BB125=$AS125)),$BC125&lt;$AT125)))),"-&gt;","&lt;-"))</f>
        <v/>
      </c>
      <c r="AV125" s="86" t="str">
        <f aca="false">IF(ISBLANK($C125),"",AND($AH125,OR($AI125="",$AJ125="",AND(NOT(ISBLANK($S125)),$AK125=""))))</f>
        <v/>
      </c>
      <c r="AW125" s="89" t="str">
        <f aca="false">IF($BD125&lt;&gt;Constants!$B$6,"",IF($AH125,Constants!$B$17*$AJ125,Constants!$B$18))</f>
        <v/>
      </c>
      <c r="AX125" s="91" t="str">
        <f aca="false">IF($BD125&lt;&gt;Constants!$B$6,"",Constants!$B$19*IF($AH125,$AI125,0))</f>
        <v/>
      </c>
      <c r="AY125" s="91" t="str">
        <f aca="false">IF($BD125&lt;&gt;Constants!$B$6,"",IF(AND($AH125,ISNUMBER($AK125)),Constants!$B$20*(Constants!$B$21-$AK125),0))</f>
        <v/>
      </c>
      <c r="AZ125" s="91" t="str">
        <f aca="false">IF($BD125&lt;&gt;Constants!$B$6,"",IF($AG125,0,Constants!$B$12)+IF($AF125,0,Constants!$B$13)+IF($Y125,0,Constants!$B$14))</f>
        <v/>
      </c>
      <c r="BA125" s="92" t="str">
        <f aca="false">IF($BD125&lt;&gt;Constants!$B$6,"",Constants!$B$16+SUM($AW125:$AZ125))</f>
        <v/>
      </c>
      <c r="BB125" s="91" t="str">
        <f aca="false">IF($BD125&lt;&gt;Constants!$B$6,"",IF($AH125,$AJ125,""))</f>
        <v/>
      </c>
      <c r="BC125" s="93" t="str">
        <f aca="false">IF($BD125&lt;&gt;Constants!$B$6,"",$AX125)</f>
        <v/>
      </c>
      <c r="BD125" s="87" t="str">
        <f aca="false">IF(ISBLANK($C125),"",IF($AL125,Constants!$B$9,IF(COUNTA($E125:$T125)=0,Constants!$B$8,IF(NOT($X125),Constants!$B$7,IF(OR($AM125,$AV125),Constants!$B$10,Constants!$B$6)))))</f>
        <v/>
      </c>
      <c r="BE125" s="87" t="str">
        <f aca="false">IF(ISBLANK($C125),"",IF($BD125&lt;&gt;Constants!$B$6,$BD125,Constants!$B$11))</f>
        <v/>
      </c>
      <c r="BF125" s="91" t="str">
        <f aca="false">IF($BD125&lt;&gt;Constants!$B$6,"",IF($AU125="-&gt;",$BA125,$AR125))</f>
        <v/>
      </c>
      <c r="BG125" s="91" t="str">
        <f aca="false">IF($BD125&lt;&gt;Constants!$B$6,"",IF($W125,0,Constants!$B$15))</f>
        <v/>
      </c>
      <c r="BH125" s="91" t="str">
        <f aca="false">IF(ISBLANK($C125),"",IF($BD125&lt;&gt;Constants!$B$6,$BD125,SUM($BF125:$BG125)))</f>
        <v/>
      </c>
      <c r="BI125" s="87" t="str">
        <f aca="false">IF(ISBLANK($C125),"",IF($BD125&lt;&gt;Constants!$B$6,$BD125,RANK($BH125,$BH$9:$BH$508,1)))</f>
        <v/>
      </c>
      <c r="BJ125" s="91" t="str">
        <f aca="false">IF($BD125&lt;&gt;Constants!$B$6,"",IF($AU125="-&gt;",$BB125,$AS125))</f>
        <v/>
      </c>
      <c r="BK125" s="87" t="str">
        <f aca="false">IF(ISBLANK($C125),"",IF($BD125&lt;&gt;Constants!$B$6,$BD125,IF(ISNUMBER($BJ125),RANK($BJ125,$BJ$9:$BJ$508,1),COUNT($BJ$9:$BJ$508)+1)))</f>
        <v/>
      </c>
      <c r="BL125" s="91" t="str">
        <f aca="false">IF($BD125&lt;&gt;Constants!$B$6,"",IF($AU125="-&gt;",$BC125,$AT125))</f>
        <v/>
      </c>
      <c r="BM125" s="87" t="str">
        <f aca="false">IF(ISBLANK($C125),"",IF($BD125&lt;&gt;Constants!$B$6,$BD125,IF(ISNUMBER($BL125),RANK($BL125,$BL$9:$BL$508,1),COUNT($BL$9:$BL$508)+1)))</f>
        <v/>
      </c>
      <c r="BN125" s="91" t="str">
        <f aca="false">IF($BD125&lt;&gt;Constants!$B$6,"",IF($AU125="-&gt;",$AS125,$BB125))</f>
        <v/>
      </c>
      <c r="BO125" s="87" t="str">
        <f aca="false">IF(ISBLANK($C125),"",IF($BD125&lt;&gt;Constants!$B$6,$BD125,IF(ISNUMBER($BN125),RANK($BN125,$BN$9:$BN$508,1),COUNT($BN$9:$BN$508)+1)))</f>
        <v/>
      </c>
      <c r="BP125" s="91" t="str">
        <f aca="false">IF($BD125&lt;&gt;Constants!$B$6,"",IF($AU125="-&gt;",$AT125,$BC125))</f>
        <v/>
      </c>
      <c r="BQ125" s="87" t="str">
        <f aca="false">IF(ISBLANK($C125),"",IF($BD125&lt;&gt;Constants!$B$6,$BD125,IF(ISNUMBER($BP125),RANK($BP125,$BP$9:$BP$508,1),COUNT($BP$9:$BP$508)+1)))</f>
        <v/>
      </c>
      <c r="BR125" s="87" t="str">
        <f aca="false">IF(ISBLANK($C125),"",IF($BD125&lt;&gt;Constants!$B$6,$BD125,COUNTIFS($BI$9:$BI$508,"&lt;"&amp;$BI125)+COUNTIFS($BI$9:$BI$508,$BI125,$BK$9:$BK$508,"&lt;"&amp;$BK125)+COUNTIFS($BI$9:$BI$508,$BI125,$BK$9:$BK$508,$BK125,$BM$9:$BM$508,"&lt;"&amp;$BM125)+COUNTIFS($BI$9:$BI$508,$BI125,$BK$9:$BK$508,$BK125,$BM$9:$BM$508,$BM125,$BO$9:$BO$508,"&lt;"&amp;$BO125)+COUNTIFS($BI$9:$BI$508,$BI125,$BK$9:$BK$508,$BK125,$BM$9:$BM$508,$BM125,$BO$9:$BO$508,$BO125,$BQ$9:$BQ$508,"&lt;"&amp;$BQ125)+1))</f>
        <v/>
      </c>
      <c r="BS125" s="87" t="str">
        <f aca="false">IF(ISBLANK($C125),"",IF($BD125&lt;&gt;Constants!$B$6,$BD125,$BI125-$BR125))</f>
        <v/>
      </c>
      <c r="BT125" s="94"/>
      <c r="BU125" s="95"/>
      <c r="BV125" s="95" t="str">
        <f aca="false">IF(ISBLANK($C125),"",IF($BD125&lt;&gt;Constants!$B$6,"",IF($AU125="-&gt;",2,1)))</f>
        <v/>
      </c>
      <c r="BW125" s="96" t="str">
        <f aca="false">IF(ISBLANK($C125),"",IF($BD125&lt;&gt;Constants!$B$6,"",IF($AU125="-&gt;",$AW125,$AN125)))</f>
        <v/>
      </c>
      <c r="BX125" s="96" t="str">
        <f aca="false">IF(ISBLANK($C125),"",IF($BD125&lt;&gt;Constants!$B$6,"",IF($AU125="-&gt;",$AX125,$AO125)))</f>
        <v/>
      </c>
      <c r="BY125" s="96" t="str">
        <f aca="false">IF(ISBLANK($C125),"",IF($BD125&lt;&gt;Constants!$B$6,"",IF($AU125="-&gt;",$AY125,$AP125)))</f>
        <v/>
      </c>
      <c r="BZ125" s="96" t="str">
        <f aca="false">IF(ISBLANK($C125),"",IF($BD125&lt;&gt;Constants!$B$6,"",IF($AU125="-&gt;",$AZ125,$AQ125)+$BG125))</f>
        <v/>
      </c>
      <c r="CA125" s="97" t="str">
        <f aca="false">IF(ISBLANK($C125),"",IF($BD125&lt;&gt;Constants!$B$6,$BD125,$BH125))</f>
        <v/>
      </c>
      <c r="CB125" s="98" t="str">
        <f aca="false">IF(ISBLANK($C125),"",$BE125)</f>
        <v/>
      </c>
      <c r="CC125" s="99" t="str">
        <f aca="false">IF(ISBLANK($C125),"",$BS125)</f>
        <v/>
      </c>
      <c r="CD125" s="99" t="str">
        <f aca="false">IF(ISBLANK($C125),"",$BR125)</f>
        <v/>
      </c>
      <c r="CE125" s="100" t="str">
        <f aca="false">IF(ISBLANK($C125),"",IF($CD125=Constants!$B$9,COUNTA($C$9:$C$508)+2,IF($CD125=Constants!$B$8,COUNTA($C$9:$C$508)+1,IF($CD125=Constants!$B$7,COUNTA($C$9:$C$508),$CD125))))</f>
        <v/>
      </c>
      <c r="CF125" s="9"/>
      <c r="CG125" s="101" t="n">
        <f aca="false">IF(OR(ISNUMBER($CD125),$CD125=Constants!$B$9,$CD125=Constants!$B$7,$CD125=Constants!$B$8),1,0)</f>
        <v>0</v>
      </c>
      <c r="CH125" s="101" t="n">
        <v>117</v>
      </c>
      <c r="CI125" s="101" t="str">
        <f aca="false">IF(ISBLANK($C125),"",IF(ISNUMBER($CE125),$CE125+ROW($B125)/1000,""))</f>
        <v/>
      </c>
      <c r="CJ125" s="101" t="str">
        <f aca="false">IF(ISNUMBER($CI125),RANK($CI125,$CI$9:$CI$508,1),"")</f>
        <v/>
      </c>
      <c r="CK125" s="101" t="str">
        <f aca="false">IF(ISBLANK($C125),"",$B125)</f>
        <v/>
      </c>
      <c r="CL125" s="101" t="str">
        <f aca="false">IF(ISBLANK($C125),"",$C125)</f>
        <v/>
      </c>
      <c r="CM125" s="101" t="str">
        <f aca="false">IF(ISBLANK($C125),"",$D125)</f>
        <v/>
      </c>
      <c r="CN125" s="102" t="str">
        <f aca="false">$CB125</f>
        <v/>
      </c>
      <c r="CO125" s="103" t="str">
        <f aca="false">$CA125</f>
        <v/>
      </c>
      <c r="CP125" s="101" t="str">
        <f aca="false">IF(ISBLANK($C125),"",$CD125)</f>
        <v/>
      </c>
      <c r="CQ125" s="104" t="str">
        <f aca="false">IF($CH125&gt;$CG$8,"",VLOOKUP($CH125,$CJ$9:$CP$508,7,FALSE()))</f>
        <v/>
      </c>
      <c r="CR125" s="105" t="str">
        <f aca="false">IF($CH125&gt;$CG$8,"",VLOOKUP($CH125,$CJ$9:$CP$508,2,FALSE()))</f>
        <v/>
      </c>
      <c r="CS125" s="105" t="str">
        <f aca="false">IF($CH125&gt;$CG$8,"",VLOOKUP($CH125,$CJ$9:$CP$508,3,FALSE()))</f>
        <v/>
      </c>
      <c r="CT125" s="105" t="str">
        <f aca="false">IF($CH125&gt;$CG$8,"",VLOOKUP($CH125,$CJ$9:$CP$508,4,FALSE()))</f>
        <v/>
      </c>
      <c r="CU125" s="105" t="str">
        <f aca="false">IF($CH125&gt;$CG$8,"",VLOOKUP($CH125,$CJ$9:$CP$508,5,FALSE()))</f>
        <v/>
      </c>
      <c r="CV125" s="106" t="str">
        <f aca="false">IF($CH125&gt;$CG$8,"",VLOOKUP($CH125,$CJ$9:$CP$508,6,FALSE()))</f>
        <v/>
      </c>
      <c r="CW125" s="71"/>
    </row>
    <row r="126" customFormat="false" ht="15.75" hidden="false" customHeight="false" outlineLevel="0" collapsed="false">
      <c r="A126" s="9"/>
      <c r="B126" s="150"/>
      <c r="C126" s="151"/>
      <c r="D126" s="152"/>
      <c r="E126" s="170"/>
      <c r="F126" s="154"/>
      <c r="G126" s="155"/>
      <c r="H126" s="171"/>
      <c r="I126" s="159"/>
      <c r="J126" s="120"/>
      <c r="K126" s="121"/>
      <c r="L126" s="122"/>
      <c r="M126" s="158"/>
      <c r="N126" s="159"/>
      <c r="O126" s="159"/>
      <c r="P126" s="120"/>
      <c r="Q126" s="122"/>
      <c r="R126" s="122"/>
      <c r="S126" s="158"/>
      <c r="T126" s="159"/>
      <c r="U126" s="126"/>
      <c r="V126" s="127"/>
      <c r="W126" s="127" t="str">
        <f aca="false">IF(ISBLANK($C126),"",IF(E126=Constants!$B$2,TRUE(),IF(E126=Constants!$B$3,FALSE(),TRUE())))</f>
        <v/>
      </c>
      <c r="X126" s="127" t="str">
        <f aca="false">IF(ISBLANK($C126),"",IF(F126=Constants!$B$2,TRUE(),IF(F126=Constants!$B$3,FALSE(),TRUE())))</f>
        <v/>
      </c>
      <c r="Y126" s="127" t="str">
        <f aca="false">IF(ISBLANK($C126),"",IF(G126=Constants!$B$2,TRUE(),IF(G126=Constants!$B$3,FALSE(),TRUE())))</f>
        <v/>
      </c>
      <c r="Z126" s="127" t="str">
        <f aca="false">IF(ISBLANK($C126),"",IF(H126=Constants!$B$2,TRUE(),IF(H126=Constants!$B$3,FALSE(),TRUE())))</f>
        <v/>
      </c>
      <c r="AA126" s="127" t="str">
        <f aca="false">IF(ISBLANK($C126),"",IF(I126=Constants!$B$2,TRUE(),IF(I126=Constants!$B$3,FALSE(),TRUE())))</f>
        <v/>
      </c>
      <c r="AB126" s="127" t="str">
        <f aca="false">IF(ISBLANK($C126),"",IF(J126=Constants!$B$4,TRUE(),IF(J126=Constants!$B$5,FALSE(),COUNTA(K126:M126)&gt;0)))</f>
        <v/>
      </c>
      <c r="AC126" s="128" t="str">
        <f aca="false">IF(ISBLANK($C126),"",IF(ISNUMBER(K126),IF(K126&gt;=0,K126,""),""))</f>
        <v/>
      </c>
      <c r="AD126" s="129" t="str">
        <f aca="false">IF(ISBLANK($C126),"",IF(ISNUMBER(L126),IF(L126&gt;=0,L126,""),""))</f>
        <v/>
      </c>
      <c r="AE126" s="127" t="str">
        <f aca="false">IF(ISBLANK($C126),"",IF(ISNUMBER(M126),IF(M126&gt;=0,MIN(M126,Constants!$B$22),""),""))</f>
        <v/>
      </c>
      <c r="AF126" s="127" t="str">
        <f aca="false">IF(ISBLANK($C126),"",IF(N126=Constants!$B$2,TRUE(),IF(N126=Constants!$B$3,FALSE(),TRUE())))</f>
        <v/>
      </c>
      <c r="AG126" s="127" t="str">
        <f aca="false">IF(ISBLANK($C126),"",IF(O126=Constants!$B$2,TRUE(),IF(O126=Constants!$B$3,FALSE(),TRUE())))</f>
        <v/>
      </c>
      <c r="AH126" s="127" t="str">
        <f aca="false">IF(ISBLANK($C126),"",IF(P126=Constants!$B$4,TRUE(),IF(P126=Constants!$B$5,FALSE(),COUNTA(Q126:S126)&gt;0)))</f>
        <v/>
      </c>
      <c r="AI126" s="128" t="str">
        <f aca="false">IF(ISBLANK($C126),"",IF(ISNUMBER(Q126),IF(Q126&gt;=0,Q126,""),""))</f>
        <v/>
      </c>
      <c r="AJ126" s="129" t="str">
        <f aca="false">IF(ISBLANK($C126),"",IF(ISNUMBER(R126),IF(R126&gt;=0,R126,""),""))</f>
        <v/>
      </c>
      <c r="AK126" s="127" t="str">
        <f aca="false">IF(ISBLANK($C126),"",IF(ISNUMBER(S126),IF(S126&gt;=0,MIN(S126,Constants!$B$22),""),""))</f>
        <v/>
      </c>
      <c r="AL126" s="127" t="str">
        <f aca="false">IF(ISBLANK($C126),"",IF(T126=Constants!$B$2,TRUE(),IF(T126=Constants!$B$3,FALSE(),FALSE())))</f>
        <v/>
      </c>
      <c r="AM126" s="126" t="str">
        <f aca="false">IF(ISBLANK($C126),"",AND($AB126,OR($AC126="",$AD126="",AND(NOT(ISBLANK($M126)),$AE126=""))))</f>
        <v/>
      </c>
      <c r="AN126" s="129" t="str">
        <f aca="false">IF($BD126&lt;&gt;Constants!$B$6,"",IF($AB126,Constants!$B$17*$AD126,Constants!$B$18))</f>
        <v/>
      </c>
      <c r="AO126" s="130" t="str">
        <f aca="false">IF($BD126&lt;&gt;Constants!$B$6,"",Constants!$B$19*IF($AB126,$AC126,0))</f>
        <v/>
      </c>
      <c r="AP126" s="130" t="str">
        <f aca="false">IF($BD126&lt;&gt;Constants!$B$6,"",IF(AND($AB126,ISNUMBER($AE126)),Constants!$B$20*(Constants!$B$21-$AE126),0))</f>
        <v/>
      </c>
      <c r="AQ126" s="130" t="str">
        <f aca="false">IF($BD126&lt;&gt;Constants!$B$6,"",IF($AA126,0,Constants!$B$12)+IF($Z126,0,Constants!$B$13)+IF($Y126,0,Constants!$B$14))</f>
        <v/>
      </c>
      <c r="AR126" s="131" t="str">
        <f aca="false">IF($BD126&lt;&gt;Constants!$B$6,"",Constants!$B$16+SUM($AN126:$AQ126))</f>
        <v/>
      </c>
      <c r="AS126" s="130" t="str">
        <f aca="false">IF($BD126&lt;&gt;Constants!$B$6,"",IF($AB126,$AD126,""))</f>
        <v/>
      </c>
      <c r="AT126" s="132" t="str">
        <f aca="false">IF($BD126&lt;&gt;Constants!$B$6,"",$AO126)</f>
        <v/>
      </c>
      <c r="AU126" s="127" t="str">
        <f aca="false">IF($BD126&lt;&gt;Constants!$B$6,"",IF(OR($BA126&lt;$AR126,AND($BA126=$AR126,OR(AND(ISNUMBER($BB126),OR(NOT(ISNUMBER($AS126)),$BB126&lt;$AS126)),AND(OR(AND($BB126="",$AS126=""),AND(ISNUMBER($BB126),ISNUMBER($AS126),$BB126=$AS126)),$BC126&lt;$AT126)))),"-&gt;","&lt;-"))</f>
        <v/>
      </c>
      <c r="AV126" s="126" t="str">
        <f aca="false">IF(ISBLANK($C126),"",AND($AH126,OR($AI126="",$AJ126="",AND(NOT(ISBLANK($S126)),$AK126=""))))</f>
        <v/>
      </c>
      <c r="AW126" s="129" t="str">
        <f aca="false">IF($BD126&lt;&gt;Constants!$B$6,"",IF($AH126,Constants!$B$17*$AJ126,Constants!$B$18))</f>
        <v/>
      </c>
      <c r="AX126" s="130" t="str">
        <f aca="false">IF($BD126&lt;&gt;Constants!$B$6,"",Constants!$B$19*IF($AH126,$AI126,0))</f>
        <v/>
      </c>
      <c r="AY126" s="130" t="str">
        <f aca="false">IF($BD126&lt;&gt;Constants!$B$6,"",IF(AND($AH126,ISNUMBER($AK126)),Constants!$B$20*(Constants!$B$21-$AK126),0))</f>
        <v/>
      </c>
      <c r="AZ126" s="130" t="str">
        <f aca="false">IF($BD126&lt;&gt;Constants!$B$6,"",IF($AG126,0,Constants!$B$12)+IF($AF126,0,Constants!$B$13)+IF($Y126,0,Constants!$B$14))</f>
        <v/>
      </c>
      <c r="BA126" s="131" t="str">
        <f aca="false">IF($BD126&lt;&gt;Constants!$B$6,"",Constants!$B$16+SUM($AW126:$AZ126))</f>
        <v/>
      </c>
      <c r="BB126" s="130" t="str">
        <f aca="false">IF($BD126&lt;&gt;Constants!$B$6,"",IF($AH126,$AJ126,""))</f>
        <v/>
      </c>
      <c r="BC126" s="132" t="str">
        <f aca="false">IF($BD126&lt;&gt;Constants!$B$6,"",$AX126)</f>
        <v/>
      </c>
      <c r="BD126" s="127" t="str">
        <f aca="false">IF(ISBLANK($C126),"",IF($AL126,Constants!$B$9,IF(COUNTA($E126:$T126)=0,Constants!$B$8,IF(NOT($X126),Constants!$B$7,IF(OR($AM126,$AV126),Constants!$B$10,Constants!$B$6)))))</f>
        <v/>
      </c>
      <c r="BE126" s="127" t="str">
        <f aca="false">IF(ISBLANK($C126),"",IF($BD126&lt;&gt;Constants!$B$6,$BD126,Constants!$B$11))</f>
        <v/>
      </c>
      <c r="BF126" s="130" t="str">
        <f aca="false">IF($BD126&lt;&gt;Constants!$B$6,"",IF($AU126="-&gt;",$BA126,$AR126))</f>
        <v/>
      </c>
      <c r="BG126" s="130" t="str">
        <f aca="false">IF($BD126&lt;&gt;Constants!$B$6,"",IF($W126,0,Constants!$B$15))</f>
        <v/>
      </c>
      <c r="BH126" s="130" t="str">
        <f aca="false">IF(ISBLANK($C126),"",IF($BD126&lt;&gt;Constants!$B$6,$BD126,SUM($BF126:$BG126)))</f>
        <v/>
      </c>
      <c r="BI126" s="127" t="str">
        <f aca="false">IF(ISBLANK($C126),"",IF($BD126&lt;&gt;Constants!$B$6,$BD126,RANK($BH126,$BH$9:$BH$508,1)))</f>
        <v/>
      </c>
      <c r="BJ126" s="130" t="str">
        <f aca="false">IF($BD126&lt;&gt;Constants!$B$6,"",IF($AU126="-&gt;",$BB126,$AS126))</f>
        <v/>
      </c>
      <c r="BK126" s="127" t="str">
        <f aca="false">IF(ISBLANK($C126),"",IF($BD126&lt;&gt;Constants!$B$6,$BD126,IF(ISNUMBER($BJ126),RANK($BJ126,$BJ$9:$BJ$508,1),COUNT($BJ$9:$BJ$508)+1)))</f>
        <v/>
      </c>
      <c r="BL126" s="130" t="str">
        <f aca="false">IF($BD126&lt;&gt;Constants!$B$6,"",IF($AU126="-&gt;",$BC126,$AT126))</f>
        <v/>
      </c>
      <c r="BM126" s="127" t="str">
        <f aca="false">IF(ISBLANK($C126),"",IF($BD126&lt;&gt;Constants!$B$6,$BD126,IF(ISNUMBER($BL126),RANK($BL126,$BL$9:$BL$508,1),COUNT($BL$9:$BL$508)+1)))</f>
        <v/>
      </c>
      <c r="BN126" s="130" t="str">
        <f aca="false">IF($BD126&lt;&gt;Constants!$B$6,"",IF($AU126="-&gt;",$AS126,$BB126))</f>
        <v/>
      </c>
      <c r="BO126" s="127" t="str">
        <f aca="false">IF(ISBLANK($C126),"",IF($BD126&lt;&gt;Constants!$B$6,$BD126,IF(ISNUMBER($BN126),RANK($BN126,$BN$9:$BN$508,1),COUNT($BN$9:$BN$508)+1)))</f>
        <v/>
      </c>
      <c r="BP126" s="130" t="str">
        <f aca="false">IF($BD126&lt;&gt;Constants!$B$6,"",IF($AU126="-&gt;",$AT126,$BC126))</f>
        <v/>
      </c>
      <c r="BQ126" s="127" t="str">
        <f aca="false">IF(ISBLANK($C126),"",IF($BD126&lt;&gt;Constants!$B$6,$BD126,IF(ISNUMBER($BP126),RANK($BP126,$BP$9:$BP$508,1),COUNT($BP$9:$BP$508)+1)))</f>
        <v/>
      </c>
      <c r="BR126" s="127" t="str">
        <f aca="false">IF(ISBLANK($C126),"",IF($BD126&lt;&gt;Constants!$B$6,$BD126,COUNTIFS($BI$9:$BI$508,"&lt;"&amp;$BI126)+COUNTIFS($BI$9:$BI$508,$BI126,$BK$9:$BK$508,"&lt;"&amp;$BK126)+COUNTIFS($BI$9:$BI$508,$BI126,$BK$9:$BK$508,$BK126,$BM$9:$BM$508,"&lt;"&amp;$BM126)+COUNTIFS($BI$9:$BI$508,$BI126,$BK$9:$BK$508,$BK126,$BM$9:$BM$508,$BM126,$BO$9:$BO$508,"&lt;"&amp;$BO126)+COUNTIFS($BI$9:$BI$508,$BI126,$BK$9:$BK$508,$BK126,$BM$9:$BM$508,$BM126,$BO$9:$BO$508,$BO126,$BQ$9:$BQ$508,"&lt;"&amp;$BQ126)+1))</f>
        <v/>
      </c>
      <c r="BS126" s="127" t="str">
        <f aca="false">IF(ISBLANK($C126),"",IF($BD126&lt;&gt;Constants!$B$6,$BD126,$BI126-$BR126))</f>
        <v/>
      </c>
      <c r="BT126" s="133"/>
      <c r="BU126" s="134"/>
      <c r="BV126" s="134" t="str">
        <f aca="false">IF(ISBLANK($C126),"",IF($BD126&lt;&gt;Constants!$B$6,"",IF($AU126="-&gt;",2,1)))</f>
        <v/>
      </c>
      <c r="BW126" s="135" t="str">
        <f aca="false">IF(ISBLANK($C126),"",IF($BD126&lt;&gt;Constants!$B$6,"",IF($AU126="-&gt;",$AW126,$AN126)))</f>
        <v/>
      </c>
      <c r="BX126" s="135" t="str">
        <f aca="false">IF(ISBLANK($C126),"",IF($BD126&lt;&gt;Constants!$B$6,"",IF($AU126="-&gt;",$AX126,$AO126)))</f>
        <v/>
      </c>
      <c r="BY126" s="135" t="str">
        <f aca="false">IF(ISBLANK($C126),"",IF($BD126&lt;&gt;Constants!$B$6,"",IF($AU126="-&gt;",$AY126,$AP126)))</f>
        <v/>
      </c>
      <c r="BZ126" s="135" t="str">
        <f aca="false">IF(ISBLANK($C126),"",IF($BD126&lt;&gt;Constants!$B$6,"",IF($AU126="-&gt;",$AZ126,$AQ126)+$BG126))</f>
        <v/>
      </c>
      <c r="CA126" s="136" t="str">
        <f aca="false">IF(ISBLANK($C126),"",IF($BD126&lt;&gt;Constants!$B$6,$BD126,$BH126))</f>
        <v/>
      </c>
      <c r="CB126" s="137" t="str">
        <f aca="false">IF(ISBLANK($C126),"",$BE126)</f>
        <v/>
      </c>
      <c r="CC126" s="138" t="str">
        <f aca="false">IF(ISBLANK($C126),"",$BS126)</f>
        <v/>
      </c>
      <c r="CD126" s="138" t="str">
        <f aca="false">IF(ISBLANK($C126),"",$BR126)</f>
        <v/>
      </c>
      <c r="CE126" s="139" t="str">
        <f aca="false">IF(ISBLANK($C126),"",IF($CD126=Constants!$B$9,COUNTA($C$9:$C$508)+2,IF($CD126=Constants!$B$8,COUNTA($C$9:$C$508)+1,IF($CD126=Constants!$B$7,COUNTA($C$9:$C$508),$CD126))))</f>
        <v/>
      </c>
      <c r="CF126" s="9"/>
      <c r="CG126" s="140" t="n">
        <f aca="false">IF(OR(ISNUMBER($CD126),$CD126=Constants!$B$9,$CD126=Constants!$B$7,$CD126=Constants!$B$8),1,0)</f>
        <v>0</v>
      </c>
      <c r="CH126" s="140" t="n">
        <v>118</v>
      </c>
      <c r="CI126" s="140" t="str">
        <f aca="false">IF(ISBLANK($C126),"",IF(ISNUMBER($CE126),$CE126+ROW($B126)/1000,""))</f>
        <v/>
      </c>
      <c r="CJ126" s="140" t="str">
        <f aca="false">IF(ISNUMBER($CI126),RANK($CI126,$CI$9:$CI$508,1),"")</f>
        <v/>
      </c>
      <c r="CK126" s="140" t="str">
        <f aca="false">IF(ISBLANK($C126),"",$B126)</f>
        <v/>
      </c>
      <c r="CL126" s="140" t="str">
        <f aca="false">IF(ISBLANK($C126),"",$C126)</f>
        <v/>
      </c>
      <c r="CM126" s="140" t="str">
        <f aca="false">IF(ISBLANK($C126),"",$D126)</f>
        <v/>
      </c>
      <c r="CN126" s="141" t="str">
        <f aca="false">$CB126</f>
        <v/>
      </c>
      <c r="CO126" s="142" t="str">
        <f aca="false">$CA126</f>
        <v/>
      </c>
      <c r="CP126" s="140" t="str">
        <f aca="false">IF(ISBLANK($C126),"",$CD126)</f>
        <v/>
      </c>
      <c r="CQ126" s="143" t="str">
        <f aca="false">IF($CH126&gt;$CG$8,"",VLOOKUP($CH126,$CJ$9:$CP$508,7,FALSE()))</f>
        <v/>
      </c>
      <c r="CR126" s="144" t="str">
        <f aca="false">IF($CH126&gt;$CG$8,"",VLOOKUP($CH126,$CJ$9:$CP$508,2,FALSE()))</f>
        <v/>
      </c>
      <c r="CS126" s="144" t="str">
        <f aca="false">IF($CH126&gt;$CG$8,"",VLOOKUP($CH126,$CJ$9:$CP$508,3,FALSE()))</f>
        <v/>
      </c>
      <c r="CT126" s="144" t="str">
        <f aca="false">IF($CH126&gt;$CG$8,"",VLOOKUP($CH126,$CJ$9:$CP$508,4,FALSE()))</f>
        <v/>
      </c>
      <c r="CU126" s="144" t="str">
        <f aca="false">IF($CH126&gt;$CG$8,"",VLOOKUP($CH126,$CJ$9:$CP$508,5,FALSE()))</f>
        <v/>
      </c>
      <c r="CV126" s="145" t="str">
        <f aca="false">IF($CH126&gt;$CG$8,"",VLOOKUP($CH126,$CJ$9:$CP$508,6,FALSE()))</f>
        <v/>
      </c>
      <c r="CW126" s="71"/>
    </row>
    <row r="127" customFormat="false" ht="15.75" hidden="false" customHeight="false" outlineLevel="0" collapsed="false">
      <c r="A127" s="9"/>
      <c r="B127" s="150"/>
      <c r="C127" s="151"/>
      <c r="D127" s="152"/>
      <c r="E127" s="170"/>
      <c r="F127" s="154"/>
      <c r="G127" s="155"/>
      <c r="H127" s="171"/>
      <c r="I127" s="159"/>
      <c r="J127" s="120"/>
      <c r="K127" s="121"/>
      <c r="L127" s="122"/>
      <c r="M127" s="158"/>
      <c r="N127" s="159"/>
      <c r="O127" s="159"/>
      <c r="P127" s="120"/>
      <c r="Q127" s="122"/>
      <c r="R127" s="122"/>
      <c r="S127" s="158"/>
      <c r="T127" s="159"/>
      <c r="U127" s="126"/>
      <c r="V127" s="127"/>
      <c r="W127" s="127" t="str">
        <f aca="false">IF(ISBLANK($C127),"",IF(E127=Constants!$B$2,TRUE(),IF(E127=Constants!$B$3,FALSE(),TRUE())))</f>
        <v/>
      </c>
      <c r="X127" s="127" t="str">
        <f aca="false">IF(ISBLANK($C127),"",IF(F127=Constants!$B$2,TRUE(),IF(F127=Constants!$B$3,FALSE(),TRUE())))</f>
        <v/>
      </c>
      <c r="Y127" s="127" t="str">
        <f aca="false">IF(ISBLANK($C127),"",IF(G127=Constants!$B$2,TRUE(),IF(G127=Constants!$B$3,FALSE(),TRUE())))</f>
        <v/>
      </c>
      <c r="Z127" s="127" t="str">
        <f aca="false">IF(ISBLANK($C127),"",IF(H127=Constants!$B$2,TRUE(),IF(H127=Constants!$B$3,FALSE(),TRUE())))</f>
        <v/>
      </c>
      <c r="AA127" s="127" t="str">
        <f aca="false">IF(ISBLANK($C127),"",IF(I127=Constants!$B$2,TRUE(),IF(I127=Constants!$B$3,FALSE(),TRUE())))</f>
        <v/>
      </c>
      <c r="AB127" s="127" t="str">
        <f aca="false">IF(ISBLANK($C127),"",IF(J127=Constants!$B$4,TRUE(),IF(J127=Constants!$B$5,FALSE(),COUNTA(K127:M127)&gt;0)))</f>
        <v/>
      </c>
      <c r="AC127" s="128" t="str">
        <f aca="false">IF(ISBLANK($C127),"",IF(ISNUMBER(K127),IF(K127&gt;=0,K127,""),""))</f>
        <v/>
      </c>
      <c r="AD127" s="129" t="str">
        <f aca="false">IF(ISBLANK($C127),"",IF(ISNUMBER(L127),IF(L127&gt;=0,L127,""),""))</f>
        <v/>
      </c>
      <c r="AE127" s="127" t="str">
        <f aca="false">IF(ISBLANK($C127),"",IF(ISNUMBER(M127),IF(M127&gt;=0,MIN(M127,Constants!$B$22),""),""))</f>
        <v/>
      </c>
      <c r="AF127" s="127" t="str">
        <f aca="false">IF(ISBLANK($C127),"",IF(N127=Constants!$B$2,TRUE(),IF(N127=Constants!$B$3,FALSE(),TRUE())))</f>
        <v/>
      </c>
      <c r="AG127" s="127" t="str">
        <f aca="false">IF(ISBLANK($C127),"",IF(O127=Constants!$B$2,TRUE(),IF(O127=Constants!$B$3,FALSE(),TRUE())))</f>
        <v/>
      </c>
      <c r="AH127" s="127" t="str">
        <f aca="false">IF(ISBLANK($C127),"",IF(P127=Constants!$B$4,TRUE(),IF(P127=Constants!$B$5,FALSE(),COUNTA(Q127:S127)&gt;0)))</f>
        <v/>
      </c>
      <c r="AI127" s="128" t="str">
        <f aca="false">IF(ISBLANK($C127),"",IF(ISNUMBER(Q127),IF(Q127&gt;=0,Q127,""),""))</f>
        <v/>
      </c>
      <c r="AJ127" s="129" t="str">
        <f aca="false">IF(ISBLANK($C127),"",IF(ISNUMBER(R127),IF(R127&gt;=0,R127,""),""))</f>
        <v/>
      </c>
      <c r="AK127" s="127" t="str">
        <f aca="false">IF(ISBLANK($C127),"",IF(ISNUMBER(S127),IF(S127&gt;=0,MIN(S127,Constants!$B$22),""),""))</f>
        <v/>
      </c>
      <c r="AL127" s="127" t="str">
        <f aca="false">IF(ISBLANK($C127),"",IF(T127=Constants!$B$2,TRUE(),IF(T127=Constants!$B$3,FALSE(),FALSE())))</f>
        <v/>
      </c>
      <c r="AM127" s="126" t="str">
        <f aca="false">IF(ISBLANK($C127),"",AND($AB127,OR($AC127="",$AD127="",AND(NOT(ISBLANK($M127)),$AE127=""))))</f>
        <v/>
      </c>
      <c r="AN127" s="129" t="str">
        <f aca="false">IF($BD127&lt;&gt;Constants!$B$6,"",IF($AB127,Constants!$B$17*$AD127,Constants!$B$18))</f>
        <v/>
      </c>
      <c r="AO127" s="130" t="str">
        <f aca="false">IF($BD127&lt;&gt;Constants!$B$6,"",Constants!$B$19*IF($AB127,$AC127,0))</f>
        <v/>
      </c>
      <c r="AP127" s="130" t="str">
        <f aca="false">IF($BD127&lt;&gt;Constants!$B$6,"",IF(AND($AB127,ISNUMBER($AE127)),Constants!$B$20*(Constants!$B$21-$AE127),0))</f>
        <v/>
      </c>
      <c r="AQ127" s="130" t="str">
        <f aca="false">IF($BD127&lt;&gt;Constants!$B$6,"",IF($AA127,0,Constants!$B$12)+IF($Z127,0,Constants!$B$13)+IF($Y127,0,Constants!$B$14))</f>
        <v/>
      </c>
      <c r="AR127" s="131" t="str">
        <f aca="false">IF($BD127&lt;&gt;Constants!$B$6,"",Constants!$B$16+SUM($AN127:$AQ127))</f>
        <v/>
      </c>
      <c r="AS127" s="130" t="str">
        <f aca="false">IF($BD127&lt;&gt;Constants!$B$6,"",IF($AB127,$AD127,""))</f>
        <v/>
      </c>
      <c r="AT127" s="132" t="str">
        <f aca="false">IF($BD127&lt;&gt;Constants!$B$6,"",$AO127)</f>
        <v/>
      </c>
      <c r="AU127" s="127" t="str">
        <f aca="false">IF($BD127&lt;&gt;Constants!$B$6,"",IF(OR($BA127&lt;$AR127,AND($BA127=$AR127,OR(AND(ISNUMBER($BB127),OR(NOT(ISNUMBER($AS127)),$BB127&lt;$AS127)),AND(OR(AND($BB127="",$AS127=""),AND(ISNUMBER($BB127),ISNUMBER($AS127),$BB127=$AS127)),$BC127&lt;$AT127)))),"-&gt;","&lt;-"))</f>
        <v/>
      </c>
      <c r="AV127" s="126" t="str">
        <f aca="false">IF(ISBLANK($C127),"",AND($AH127,OR($AI127="",$AJ127="",AND(NOT(ISBLANK($S127)),$AK127=""))))</f>
        <v/>
      </c>
      <c r="AW127" s="129" t="str">
        <f aca="false">IF($BD127&lt;&gt;Constants!$B$6,"",IF($AH127,Constants!$B$17*$AJ127,Constants!$B$18))</f>
        <v/>
      </c>
      <c r="AX127" s="130" t="str">
        <f aca="false">IF($BD127&lt;&gt;Constants!$B$6,"",Constants!$B$19*IF($AH127,$AI127,0))</f>
        <v/>
      </c>
      <c r="AY127" s="130" t="str">
        <f aca="false">IF($BD127&lt;&gt;Constants!$B$6,"",IF(AND($AH127,ISNUMBER($AK127)),Constants!$B$20*(Constants!$B$21-$AK127),0))</f>
        <v/>
      </c>
      <c r="AZ127" s="130" t="str">
        <f aca="false">IF($BD127&lt;&gt;Constants!$B$6,"",IF($AG127,0,Constants!$B$12)+IF($AF127,0,Constants!$B$13)+IF($Y127,0,Constants!$B$14))</f>
        <v/>
      </c>
      <c r="BA127" s="131" t="str">
        <f aca="false">IF($BD127&lt;&gt;Constants!$B$6,"",Constants!$B$16+SUM($AW127:$AZ127))</f>
        <v/>
      </c>
      <c r="BB127" s="130" t="str">
        <f aca="false">IF($BD127&lt;&gt;Constants!$B$6,"",IF($AH127,$AJ127,""))</f>
        <v/>
      </c>
      <c r="BC127" s="132" t="str">
        <f aca="false">IF($BD127&lt;&gt;Constants!$B$6,"",$AX127)</f>
        <v/>
      </c>
      <c r="BD127" s="127" t="str">
        <f aca="false">IF(ISBLANK($C127),"",IF($AL127,Constants!$B$9,IF(COUNTA($E127:$T127)=0,Constants!$B$8,IF(NOT($X127),Constants!$B$7,IF(OR($AM127,$AV127),Constants!$B$10,Constants!$B$6)))))</f>
        <v/>
      </c>
      <c r="BE127" s="127" t="str">
        <f aca="false">IF(ISBLANK($C127),"",IF($BD127&lt;&gt;Constants!$B$6,$BD127,Constants!$B$11))</f>
        <v/>
      </c>
      <c r="BF127" s="130" t="str">
        <f aca="false">IF($BD127&lt;&gt;Constants!$B$6,"",IF($AU127="-&gt;",$BA127,$AR127))</f>
        <v/>
      </c>
      <c r="BG127" s="130" t="str">
        <f aca="false">IF($BD127&lt;&gt;Constants!$B$6,"",IF($W127,0,Constants!$B$15))</f>
        <v/>
      </c>
      <c r="BH127" s="130" t="str">
        <f aca="false">IF(ISBLANK($C127),"",IF($BD127&lt;&gt;Constants!$B$6,$BD127,SUM($BF127:$BG127)))</f>
        <v/>
      </c>
      <c r="BI127" s="127" t="str">
        <f aca="false">IF(ISBLANK($C127),"",IF($BD127&lt;&gt;Constants!$B$6,$BD127,RANK($BH127,$BH$9:$BH$508,1)))</f>
        <v/>
      </c>
      <c r="BJ127" s="130" t="str">
        <f aca="false">IF($BD127&lt;&gt;Constants!$B$6,"",IF($AU127="-&gt;",$BB127,$AS127))</f>
        <v/>
      </c>
      <c r="BK127" s="127" t="str">
        <f aca="false">IF(ISBLANK($C127),"",IF($BD127&lt;&gt;Constants!$B$6,$BD127,IF(ISNUMBER($BJ127),RANK($BJ127,$BJ$9:$BJ$508,1),COUNT($BJ$9:$BJ$508)+1)))</f>
        <v/>
      </c>
      <c r="BL127" s="130" t="str">
        <f aca="false">IF($BD127&lt;&gt;Constants!$B$6,"",IF($AU127="-&gt;",$BC127,$AT127))</f>
        <v/>
      </c>
      <c r="BM127" s="127" t="str">
        <f aca="false">IF(ISBLANK($C127),"",IF($BD127&lt;&gt;Constants!$B$6,$BD127,IF(ISNUMBER($BL127),RANK($BL127,$BL$9:$BL$508,1),COUNT($BL$9:$BL$508)+1)))</f>
        <v/>
      </c>
      <c r="BN127" s="130" t="str">
        <f aca="false">IF($BD127&lt;&gt;Constants!$B$6,"",IF($AU127="-&gt;",$AS127,$BB127))</f>
        <v/>
      </c>
      <c r="BO127" s="127" t="str">
        <f aca="false">IF(ISBLANK($C127),"",IF($BD127&lt;&gt;Constants!$B$6,$BD127,IF(ISNUMBER($BN127),RANK($BN127,$BN$9:$BN$508,1),COUNT($BN$9:$BN$508)+1)))</f>
        <v/>
      </c>
      <c r="BP127" s="130" t="str">
        <f aca="false">IF($BD127&lt;&gt;Constants!$B$6,"",IF($AU127="-&gt;",$AT127,$BC127))</f>
        <v/>
      </c>
      <c r="BQ127" s="127" t="str">
        <f aca="false">IF(ISBLANK($C127),"",IF($BD127&lt;&gt;Constants!$B$6,$BD127,IF(ISNUMBER($BP127),RANK($BP127,$BP$9:$BP$508,1),COUNT($BP$9:$BP$508)+1)))</f>
        <v/>
      </c>
      <c r="BR127" s="127" t="str">
        <f aca="false">IF(ISBLANK($C127),"",IF($BD127&lt;&gt;Constants!$B$6,$BD127,COUNTIFS($BI$9:$BI$508,"&lt;"&amp;$BI127)+COUNTIFS($BI$9:$BI$508,$BI127,$BK$9:$BK$508,"&lt;"&amp;$BK127)+COUNTIFS($BI$9:$BI$508,$BI127,$BK$9:$BK$508,$BK127,$BM$9:$BM$508,"&lt;"&amp;$BM127)+COUNTIFS($BI$9:$BI$508,$BI127,$BK$9:$BK$508,$BK127,$BM$9:$BM$508,$BM127,$BO$9:$BO$508,"&lt;"&amp;$BO127)+COUNTIFS($BI$9:$BI$508,$BI127,$BK$9:$BK$508,$BK127,$BM$9:$BM$508,$BM127,$BO$9:$BO$508,$BO127,$BQ$9:$BQ$508,"&lt;"&amp;$BQ127)+1))</f>
        <v/>
      </c>
      <c r="BS127" s="127" t="str">
        <f aca="false">IF(ISBLANK($C127),"",IF($BD127&lt;&gt;Constants!$B$6,$BD127,$BI127-$BR127))</f>
        <v/>
      </c>
      <c r="BT127" s="133"/>
      <c r="BU127" s="134"/>
      <c r="BV127" s="134" t="str">
        <f aca="false">IF(ISBLANK($C127),"",IF($BD127&lt;&gt;Constants!$B$6,"",IF($AU127="-&gt;",2,1)))</f>
        <v/>
      </c>
      <c r="BW127" s="135" t="str">
        <f aca="false">IF(ISBLANK($C127),"",IF($BD127&lt;&gt;Constants!$B$6,"",IF($AU127="-&gt;",$AW127,$AN127)))</f>
        <v/>
      </c>
      <c r="BX127" s="135" t="str">
        <f aca="false">IF(ISBLANK($C127),"",IF($BD127&lt;&gt;Constants!$B$6,"",IF($AU127="-&gt;",$AX127,$AO127)))</f>
        <v/>
      </c>
      <c r="BY127" s="135" t="str">
        <f aca="false">IF(ISBLANK($C127),"",IF($BD127&lt;&gt;Constants!$B$6,"",IF($AU127="-&gt;",$AY127,$AP127)))</f>
        <v/>
      </c>
      <c r="BZ127" s="135" t="str">
        <f aca="false">IF(ISBLANK($C127),"",IF($BD127&lt;&gt;Constants!$B$6,"",IF($AU127="-&gt;",$AZ127,$AQ127)+$BG127))</f>
        <v/>
      </c>
      <c r="CA127" s="136" t="str">
        <f aca="false">IF(ISBLANK($C127),"",IF($BD127&lt;&gt;Constants!$B$6,$BD127,$BH127))</f>
        <v/>
      </c>
      <c r="CB127" s="137" t="str">
        <f aca="false">IF(ISBLANK($C127),"",$BE127)</f>
        <v/>
      </c>
      <c r="CC127" s="138" t="str">
        <f aca="false">IF(ISBLANK($C127),"",$BS127)</f>
        <v/>
      </c>
      <c r="CD127" s="138" t="str">
        <f aca="false">IF(ISBLANK($C127),"",$BR127)</f>
        <v/>
      </c>
      <c r="CE127" s="139" t="str">
        <f aca="false">IF(ISBLANK($C127),"",IF($CD127=Constants!$B$9,COUNTA($C$9:$C$508)+2,IF($CD127=Constants!$B$8,COUNTA($C$9:$C$508)+1,IF($CD127=Constants!$B$7,COUNTA($C$9:$C$508),$CD127))))</f>
        <v/>
      </c>
      <c r="CF127" s="9"/>
      <c r="CG127" s="140" t="n">
        <f aca="false">IF(OR(ISNUMBER($CD127),$CD127=Constants!$B$9,$CD127=Constants!$B$7,$CD127=Constants!$B$8),1,0)</f>
        <v>0</v>
      </c>
      <c r="CH127" s="140" t="n">
        <v>119</v>
      </c>
      <c r="CI127" s="140" t="str">
        <f aca="false">IF(ISBLANK($C127),"",IF(ISNUMBER($CE127),$CE127+ROW($B127)/1000,""))</f>
        <v/>
      </c>
      <c r="CJ127" s="140" t="str">
        <f aca="false">IF(ISNUMBER($CI127),RANK($CI127,$CI$9:$CI$508,1),"")</f>
        <v/>
      </c>
      <c r="CK127" s="140" t="str">
        <f aca="false">IF(ISBLANK($C127),"",$B127)</f>
        <v/>
      </c>
      <c r="CL127" s="140" t="str">
        <f aca="false">IF(ISBLANK($C127),"",$C127)</f>
        <v/>
      </c>
      <c r="CM127" s="140" t="str">
        <f aca="false">IF(ISBLANK($C127),"",$D127)</f>
        <v/>
      </c>
      <c r="CN127" s="141" t="str">
        <f aca="false">$CB127</f>
        <v/>
      </c>
      <c r="CO127" s="142" t="str">
        <f aca="false">$CA127</f>
        <v/>
      </c>
      <c r="CP127" s="140" t="str">
        <f aca="false">IF(ISBLANK($C127),"",$CD127)</f>
        <v/>
      </c>
      <c r="CQ127" s="143" t="str">
        <f aca="false">IF($CH127&gt;$CG$8,"",VLOOKUP($CH127,$CJ$9:$CP$508,7,FALSE()))</f>
        <v/>
      </c>
      <c r="CR127" s="144" t="str">
        <f aca="false">IF($CH127&gt;$CG$8,"",VLOOKUP($CH127,$CJ$9:$CP$508,2,FALSE()))</f>
        <v/>
      </c>
      <c r="CS127" s="144" t="str">
        <f aca="false">IF($CH127&gt;$CG$8,"",VLOOKUP($CH127,$CJ$9:$CP$508,3,FALSE()))</f>
        <v/>
      </c>
      <c r="CT127" s="144" t="str">
        <f aca="false">IF($CH127&gt;$CG$8,"",VLOOKUP($CH127,$CJ$9:$CP$508,4,FALSE()))</f>
        <v/>
      </c>
      <c r="CU127" s="144" t="str">
        <f aca="false">IF($CH127&gt;$CG$8,"",VLOOKUP($CH127,$CJ$9:$CP$508,5,FALSE()))</f>
        <v/>
      </c>
      <c r="CV127" s="145" t="str">
        <f aca="false">IF($CH127&gt;$CG$8,"",VLOOKUP($CH127,$CJ$9:$CP$508,6,FALSE()))</f>
        <v/>
      </c>
      <c r="CW127" s="71"/>
    </row>
    <row r="128" customFormat="false" ht="15.75" hidden="false" customHeight="false" outlineLevel="0" collapsed="false">
      <c r="A128" s="9"/>
      <c r="B128" s="150"/>
      <c r="C128" s="151"/>
      <c r="D128" s="152"/>
      <c r="E128" s="170"/>
      <c r="F128" s="154"/>
      <c r="G128" s="155"/>
      <c r="H128" s="171"/>
      <c r="I128" s="159"/>
      <c r="J128" s="120"/>
      <c r="K128" s="121"/>
      <c r="L128" s="122"/>
      <c r="M128" s="158"/>
      <c r="N128" s="159"/>
      <c r="O128" s="159"/>
      <c r="P128" s="120"/>
      <c r="Q128" s="122"/>
      <c r="R128" s="122"/>
      <c r="S128" s="158"/>
      <c r="T128" s="159"/>
      <c r="U128" s="126"/>
      <c r="V128" s="127"/>
      <c r="W128" s="127" t="str">
        <f aca="false">IF(ISBLANK($C128),"",IF(E128=Constants!$B$2,TRUE(),IF(E128=Constants!$B$3,FALSE(),TRUE())))</f>
        <v/>
      </c>
      <c r="X128" s="127" t="str">
        <f aca="false">IF(ISBLANK($C128),"",IF(F128=Constants!$B$2,TRUE(),IF(F128=Constants!$B$3,FALSE(),TRUE())))</f>
        <v/>
      </c>
      <c r="Y128" s="127" t="str">
        <f aca="false">IF(ISBLANK($C128),"",IF(G128=Constants!$B$2,TRUE(),IF(G128=Constants!$B$3,FALSE(),TRUE())))</f>
        <v/>
      </c>
      <c r="Z128" s="127" t="str">
        <f aca="false">IF(ISBLANK($C128),"",IF(H128=Constants!$B$2,TRUE(),IF(H128=Constants!$B$3,FALSE(),TRUE())))</f>
        <v/>
      </c>
      <c r="AA128" s="127" t="str">
        <f aca="false">IF(ISBLANK($C128),"",IF(I128=Constants!$B$2,TRUE(),IF(I128=Constants!$B$3,FALSE(),TRUE())))</f>
        <v/>
      </c>
      <c r="AB128" s="127" t="str">
        <f aca="false">IF(ISBLANK($C128),"",IF(J128=Constants!$B$4,TRUE(),IF(J128=Constants!$B$5,FALSE(),COUNTA(K128:M128)&gt;0)))</f>
        <v/>
      </c>
      <c r="AC128" s="128" t="str">
        <f aca="false">IF(ISBLANK($C128),"",IF(ISNUMBER(K128),IF(K128&gt;=0,K128,""),""))</f>
        <v/>
      </c>
      <c r="AD128" s="129" t="str">
        <f aca="false">IF(ISBLANK($C128),"",IF(ISNUMBER(L128),IF(L128&gt;=0,L128,""),""))</f>
        <v/>
      </c>
      <c r="AE128" s="127" t="str">
        <f aca="false">IF(ISBLANK($C128),"",IF(ISNUMBER(M128),IF(M128&gt;=0,MIN(M128,Constants!$B$22),""),""))</f>
        <v/>
      </c>
      <c r="AF128" s="127" t="str">
        <f aca="false">IF(ISBLANK($C128),"",IF(N128=Constants!$B$2,TRUE(),IF(N128=Constants!$B$3,FALSE(),TRUE())))</f>
        <v/>
      </c>
      <c r="AG128" s="127" t="str">
        <f aca="false">IF(ISBLANK($C128),"",IF(O128=Constants!$B$2,TRUE(),IF(O128=Constants!$B$3,FALSE(),TRUE())))</f>
        <v/>
      </c>
      <c r="AH128" s="127" t="str">
        <f aca="false">IF(ISBLANK($C128),"",IF(P128=Constants!$B$4,TRUE(),IF(P128=Constants!$B$5,FALSE(),COUNTA(Q128:S128)&gt;0)))</f>
        <v/>
      </c>
      <c r="AI128" s="128" t="str">
        <f aca="false">IF(ISBLANK($C128),"",IF(ISNUMBER(Q128),IF(Q128&gt;=0,Q128,""),""))</f>
        <v/>
      </c>
      <c r="AJ128" s="129" t="str">
        <f aca="false">IF(ISBLANK($C128),"",IF(ISNUMBER(R128),IF(R128&gt;=0,R128,""),""))</f>
        <v/>
      </c>
      <c r="AK128" s="127" t="str">
        <f aca="false">IF(ISBLANK($C128),"",IF(ISNUMBER(S128),IF(S128&gt;=0,MIN(S128,Constants!$B$22),""),""))</f>
        <v/>
      </c>
      <c r="AL128" s="127" t="str">
        <f aca="false">IF(ISBLANK($C128),"",IF(T128=Constants!$B$2,TRUE(),IF(T128=Constants!$B$3,FALSE(),FALSE())))</f>
        <v/>
      </c>
      <c r="AM128" s="126" t="str">
        <f aca="false">IF(ISBLANK($C128),"",AND($AB128,OR($AC128="",$AD128="",AND(NOT(ISBLANK($M128)),$AE128=""))))</f>
        <v/>
      </c>
      <c r="AN128" s="129" t="str">
        <f aca="false">IF($BD128&lt;&gt;Constants!$B$6,"",IF($AB128,Constants!$B$17*$AD128,Constants!$B$18))</f>
        <v/>
      </c>
      <c r="AO128" s="130" t="str">
        <f aca="false">IF($BD128&lt;&gt;Constants!$B$6,"",Constants!$B$19*IF($AB128,$AC128,0))</f>
        <v/>
      </c>
      <c r="AP128" s="130" t="str">
        <f aca="false">IF($BD128&lt;&gt;Constants!$B$6,"",IF(AND($AB128,ISNUMBER($AE128)),Constants!$B$20*(Constants!$B$21-$AE128),0))</f>
        <v/>
      </c>
      <c r="AQ128" s="130" t="str">
        <f aca="false">IF($BD128&lt;&gt;Constants!$B$6,"",IF($AA128,0,Constants!$B$12)+IF($Z128,0,Constants!$B$13)+IF($Y128,0,Constants!$B$14))</f>
        <v/>
      </c>
      <c r="AR128" s="131" t="str">
        <f aca="false">IF($BD128&lt;&gt;Constants!$B$6,"",Constants!$B$16+SUM($AN128:$AQ128))</f>
        <v/>
      </c>
      <c r="AS128" s="130" t="str">
        <f aca="false">IF($BD128&lt;&gt;Constants!$B$6,"",IF($AB128,$AD128,""))</f>
        <v/>
      </c>
      <c r="AT128" s="132" t="str">
        <f aca="false">IF($BD128&lt;&gt;Constants!$B$6,"",$AO128)</f>
        <v/>
      </c>
      <c r="AU128" s="127" t="str">
        <f aca="false">IF($BD128&lt;&gt;Constants!$B$6,"",IF(OR($BA128&lt;$AR128,AND($BA128=$AR128,OR(AND(ISNUMBER($BB128),OR(NOT(ISNUMBER($AS128)),$BB128&lt;$AS128)),AND(OR(AND($BB128="",$AS128=""),AND(ISNUMBER($BB128),ISNUMBER($AS128),$BB128=$AS128)),$BC128&lt;$AT128)))),"-&gt;","&lt;-"))</f>
        <v/>
      </c>
      <c r="AV128" s="126" t="str">
        <f aca="false">IF(ISBLANK($C128),"",AND($AH128,OR($AI128="",$AJ128="",AND(NOT(ISBLANK($S128)),$AK128=""))))</f>
        <v/>
      </c>
      <c r="AW128" s="129" t="str">
        <f aca="false">IF($BD128&lt;&gt;Constants!$B$6,"",IF($AH128,Constants!$B$17*$AJ128,Constants!$B$18))</f>
        <v/>
      </c>
      <c r="AX128" s="130" t="str">
        <f aca="false">IF($BD128&lt;&gt;Constants!$B$6,"",Constants!$B$19*IF($AH128,$AI128,0))</f>
        <v/>
      </c>
      <c r="AY128" s="130" t="str">
        <f aca="false">IF($BD128&lt;&gt;Constants!$B$6,"",IF(AND($AH128,ISNUMBER($AK128)),Constants!$B$20*(Constants!$B$21-$AK128),0))</f>
        <v/>
      </c>
      <c r="AZ128" s="130" t="str">
        <f aca="false">IF($BD128&lt;&gt;Constants!$B$6,"",IF($AG128,0,Constants!$B$12)+IF($AF128,0,Constants!$B$13)+IF($Y128,0,Constants!$B$14))</f>
        <v/>
      </c>
      <c r="BA128" s="131" t="str">
        <f aca="false">IF($BD128&lt;&gt;Constants!$B$6,"",Constants!$B$16+SUM($AW128:$AZ128))</f>
        <v/>
      </c>
      <c r="BB128" s="130" t="str">
        <f aca="false">IF($BD128&lt;&gt;Constants!$B$6,"",IF($AH128,$AJ128,""))</f>
        <v/>
      </c>
      <c r="BC128" s="132" t="str">
        <f aca="false">IF($BD128&lt;&gt;Constants!$B$6,"",$AX128)</f>
        <v/>
      </c>
      <c r="BD128" s="127" t="str">
        <f aca="false">IF(ISBLANK($C128),"",IF($AL128,Constants!$B$9,IF(COUNTA($E128:$T128)=0,Constants!$B$8,IF(NOT($X128),Constants!$B$7,IF(OR($AM128,$AV128),Constants!$B$10,Constants!$B$6)))))</f>
        <v/>
      </c>
      <c r="BE128" s="127" t="str">
        <f aca="false">IF(ISBLANK($C128),"",IF($BD128&lt;&gt;Constants!$B$6,$BD128,Constants!$B$11))</f>
        <v/>
      </c>
      <c r="BF128" s="130" t="str">
        <f aca="false">IF($BD128&lt;&gt;Constants!$B$6,"",IF($AU128="-&gt;",$BA128,$AR128))</f>
        <v/>
      </c>
      <c r="BG128" s="130" t="str">
        <f aca="false">IF($BD128&lt;&gt;Constants!$B$6,"",IF($W128,0,Constants!$B$15))</f>
        <v/>
      </c>
      <c r="BH128" s="130" t="str">
        <f aca="false">IF(ISBLANK($C128),"",IF($BD128&lt;&gt;Constants!$B$6,$BD128,SUM($BF128:$BG128)))</f>
        <v/>
      </c>
      <c r="BI128" s="127" t="str">
        <f aca="false">IF(ISBLANK($C128),"",IF($BD128&lt;&gt;Constants!$B$6,$BD128,RANK($BH128,$BH$9:$BH$508,1)))</f>
        <v/>
      </c>
      <c r="BJ128" s="130" t="str">
        <f aca="false">IF($BD128&lt;&gt;Constants!$B$6,"",IF($AU128="-&gt;",$BB128,$AS128))</f>
        <v/>
      </c>
      <c r="BK128" s="127" t="str">
        <f aca="false">IF(ISBLANK($C128),"",IF($BD128&lt;&gt;Constants!$B$6,$BD128,IF(ISNUMBER($BJ128),RANK($BJ128,$BJ$9:$BJ$508,1),COUNT($BJ$9:$BJ$508)+1)))</f>
        <v/>
      </c>
      <c r="BL128" s="130" t="str">
        <f aca="false">IF($BD128&lt;&gt;Constants!$B$6,"",IF($AU128="-&gt;",$BC128,$AT128))</f>
        <v/>
      </c>
      <c r="BM128" s="127" t="str">
        <f aca="false">IF(ISBLANK($C128),"",IF($BD128&lt;&gt;Constants!$B$6,$BD128,IF(ISNUMBER($BL128),RANK($BL128,$BL$9:$BL$508,1),COUNT($BL$9:$BL$508)+1)))</f>
        <v/>
      </c>
      <c r="BN128" s="130" t="str">
        <f aca="false">IF($BD128&lt;&gt;Constants!$B$6,"",IF($AU128="-&gt;",$AS128,$BB128))</f>
        <v/>
      </c>
      <c r="BO128" s="127" t="str">
        <f aca="false">IF(ISBLANK($C128),"",IF($BD128&lt;&gt;Constants!$B$6,$BD128,IF(ISNUMBER($BN128),RANK($BN128,$BN$9:$BN$508,1),COUNT($BN$9:$BN$508)+1)))</f>
        <v/>
      </c>
      <c r="BP128" s="130" t="str">
        <f aca="false">IF($BD128&lt;&gt;Constants!$B$6,"",IF($AU128="-&gt;",$AT128,$BC128))</f>
        <v/>
      </c>
      <c r="BQ128" s="127" t="str">
        <f aca="false">IF(ISBLANK($C128),"",IF($BD128&lt;&gt;Constants!$B$6,$BD128,IF(ISNUMBER($BP128),RANK($BP128,$BP$9:$BP$508,1),COUNT($BP$9:$BP$508)+1)))</f>
        <v/>
      </c>
      <c r="BR128" s="127" t="str">
        <f aca="false">IF(ISBLANK($C128),"",IF($BD128&lt;&gt;Constants!$B$6,$BD128,COUNTIFS($BI$9:$BI$508,"&lt;"&amp;$BI128)+COUNTIFS($BI$9:$BI$508,$BI128,$BK$9:$BK$508,"&lt;"&amp;$BK128)+COUNTIFS($BI$9:$BI$508,$BI128,$BK$9:$BK$508,$BK128,$BM$9:$BM$508,"&lt;"&amp;$BM128)+COUNTIFS($BI$9:$BI$508,$BI128,$BK$9:$BK$508,$BK128,$BM$9:$BM$508,$BM128,$BO$9:$BO$508,"&lt;"&amp;$BO128)+COUNTIFS($BI$9:$BI$508,$BI128,$BK$9:$BK$508,$BK128,$BM$9:$BM$508,$BM128,$BO$9:$BO$508,$BO128,$BQ$9:$BQ$508,"&lt;"&amp;$BQ128)+1))</f>
        <v/>
      </c>
      <c r="BS128" s="127" t="str">
        <f aca="false">IF(ISBLANK($C128),"",IF($BD128&lt;&gt;Constants!$B$6,$BD128,$BI128-$BR128))</f>
        <v/>
      </c>
      <c r="BT128" s="133"/>
      <c r="BU128" s="134"/>
      <c r="BV128" s="134" t="str">
        <f aca="false">IF(ISBLANK($C128),"",IF($BD128&lt;&gt;Constants!$B$6,"",IF($AU128="-&gt;",2,1)))</f>
        <v/>
      </c>
      <c r="BW128" s="135" t="str">
        <f aca="false">IF(ISBLANK($C128),"",IF($BD128&lt;&gt;Constants!$B$6,"",IF($AU128="-&gt;",$AW128,$AN128)))</f>
        <v/>
      </c>
      <c r="BX128" s="135" t="str">
        <f aca="false">IF(ISBLANK($C128),"",IF($BD128&lt;&gt;Constants!$B$6,"",IF($AU128="-&gt;",$AX128,$AO128)))</f>
        <v/>
      </c>
      <c r="BY128" s="135" t="str">
        <f aca="false">IF(ISBLANK($C128),"",IF($BD128&lt;&gt;Constants!$B$6,"",IF($AU128="-&gt;",$AY128,$AP128)))</f>
        <v/>
      </c>
      <c r="BZ128" s="135" t="str">
        <f aca="false">IF(ISBLANK($C128),"",IF($BD128&lt;&gt;Constants!$B$6,"",IF($AU128="-&gt;",$AZ128,$AQ128)+$BG128))</f>
        <v/>
      </c>
      <c r="CA128" s="136" t="str">
        <f aca="false">IF(ISBLANK($C128),"",IF($BD128&lt;&gt;Constants!$B$6,$BD128,$BH128))</f>
        <v/>
      </c>
      <c r="CB128" s="137" t="str">
        <f aca="false">IF(ISBLANK($C128),"",$BE128)</f>
        <v/>
      </c>
      <c r="CC128" s="138" t="str">
        <f aca="false">IF(ISBLANK($C128),"",$BS128)</f>
        <v/>
      </c>
      <c r="CD128" s="138" t="str">
        <f aca="false">IF(ISBLANK($C128),"",$BR128)</f>
        <v/>
      </c>
      <c r="CE128" s="139" t="str">
        <f aca="false">IF(ISBLANK($C128),"",IF($CD128=Constants!$B$9,COUNTA($C$9:$C$508)+2,IF($CD128=Constants!$B$8,COUNTA($C$9:$C$508)+1,IF($CD128=Constants!$B$7,COUNTA($C$9:$C$508),$CD128))))</f>
        <v/>
      </c>
      <c r="CF128" s="9"/>
      <c r="CG128" s="140" t="n">
        <f aca="false">IF(OR(ISNUMBER($CD128),$CD128=Constants!$B$9,$CD128=Constants!$B$7,$CD128=Constants!$B$8),1,0)</f>
        <v>0</v>
      </c>
      <c r="CH128" s="140" t="n">
        <v>120</v>
      </c>
      <c r="CI128" s="140" t="str">
        <f aca="false">IF(ISBLANK($C128),"",IF(ISNUMBER($CE128),$CE128+ROW($B128)/1000,""))</f>
        <v/>
      </c>
      <c r="CJ128" s="140" t="str">
        <f aca="false">IF(ISNUMBER($CI128),RANK($CI128,$CI$9:$CI$508,1),"")</f>
        <v/>
      </c>
      <c r="CK128" s="140" t="str">
        <f aca="false">IF(ISBLANK($C128),"",$B128)</f>
        <v/>
      </c>
      <c r="CL128" s="140" t="str">
        <f aca="false">IF(ISBLANK($C128),"",$C128)</f>
        <v/>
      </c>
      <c r="CM128" s="140" t="str">
        <f aca="false">IF(ISBLANK($C128),"",$D128)</f>
        <v/>
      </c>
      <c r="CN128" s="141" t="str">
        <f aca="false">$CB128</f>
        <v/>
      </c>
      <c r="CO128" s="142" t="str">
        <f aca="false">$CA128</f>
        <v/>
      </c>
      <c r="CP128" s="140" t="str">
        <f aca="false">IF(ISBLANK($C128),"",$CD128)</f>
        <v/>
      </c>
      <c r="CQ128" s="143" t="str">
        <f aca="false">IF($CH128&gt;$CG$8,"",VLOOKUP($CH128,$CJ$9:$CP$508,7,FALSE()))</f>
        <v/>
      </c>
      <c r="CR128" s="144" t="str">
        <f aca="false">IF($CH128&gt;$CG$8,"",VLOOKUP($CH128,$CJ$9:$CP$508,2,FALSE()))</f>
        <v/>
      </c>
      <c r="CS128" s="144" t="str">
        <f aca="false">IF($CH128&gt;$CG$8,"",VLOOKUP($CH128,$CJ$9:$CP$508,3,FALSE()))</f>
        <v/>
      </c>
      <c r="CT128" s="144" t="str">
        <f aca="false">IF($CH128&gt;$CG$8,"",VLOOKUP($CH128,$CJ$9:$CP$508,4,FALSE()))</f>
        <v/>
      </c>
      <c r="CU128" s="144" t="str">
        <f aca="false">IF($CH128&gt;$CG$8,"",VLOOKUP($CH128,$CJ$9:$CP$508,5,FALSE()))</f>
        <v/>
      </c>
      <c r="CV128" s="145" t="str">
        <f aca="false">IF($CH128&gt;$CG$8,"",VLOOKUP($CH128,$CJ$9:$CP$508,6,FALSE()))</f>
        <v/>
      </c>
      <c r="CW128" s="71"/>
    </row>
    <row r="129" customFormat="false" ht="15.75" hidden="false" customHeight="false" outlineLevel="0" collapsed="false">
      <c r="A129" s="9"/>
      <c r="B129" s="72"/>
      <c r="C129" s="73"/>
      <c r="D129" s="160"/>
      <c r="E129" s="168"/>
      <c r="F129" s="162"/>
      <c r="G129" s="163"/>
      <c r="H129" s="169"/>
      <c r="I129" s="167"/>
      <c r="J129" s="80"/>
      <c r="K129" s="81"/>
      <c r="L129" s="82"/>
      <c r="M129" s="166"/>
      <c r="N129" s="167"/>
      <c r="O129" s="167"/>
      <c r="P129" s="80"/>
      <c r="Q129" s="82"/>
      <c r="R129" s="82"/>
      <c r="S129" s="166"/>
      <c r="T129" s="167"/>
      <c r="U129" s="86"/>
      <c r="V129" s="87"/>
      <c r="W129" s="87" t="str">
        <f aca="false">IF(ISBLANK($C129),"",IF(E129=Constants!$B$2,TRUE(),IF(E129=Constants!$B$3,FALSE(),TRUE())))</f>
        <v/>
      </c>
      <c r="X129" s="87" t="str">
        <f aca="false">IF(ISBLANK($C129),"",IF(F129=Constants!$B$2,TRUE(),IF(F129=Constants!$B$3,FALSE(),TRUE())))</f>
        <v/>
      </c>
      <c r="Y129" s="87" t="str">
        <f aca="false">IF(ISBLANK($C129),"",IF(G129=Constants!$B$2,TRUE(),IF(G129=Constants!$B$3,FALSE(),TRUE())))</f>
        <v/>
      </c>
      <c r="Z129" s="87" t="str">
        <f aca="false">IF(ISBLANK($C129),"",IF(H129=Constants!$B$2,TRUE(),IF(H129=Constants!$B$3,FALSE(),TRUE())))</f>
        <v/>
      </c>
      <c r="AA129" s="87" t="str">
        <f aca="false">IF(ISBLANK($C129),"",IF(I129=Constants!$B$2,TRUE(),IF(I129=Constants!$B$3,FALSE(),TRUE())))</f>
        <v/>
      </c>
      <c r="AB129" s="87" t="str">
        <f aca="false">IF(ISBLANK($C129),"",IF(J129=Constants!$B$4,TRUE(),IF(J129=Constants!$B$5,FALSE(),COUNTA(K129:M129)&gt;0)))</f>
        <v/>
      </c>
      <c r="AC129" s="88" t="str">
        <f aca="false">IF(ISBLANK($C129),"",IF(ISNUMBER(K129),IF(K129&gt;=0,K129,""),""))</f>
        <v/>
      </c>
      <c r="AD129" s="89" t="str">
        <f aca="false">IF(ISBLANK($C129),"",IF(ISNUMBER(L129),IF(L129&gt;=0,L129,""),""))</f>
        <v/>
      </c>
      <c r="AE129" s="87" t="str">
        <f aca="false">IF(ISBLANK($C129),"",IF(ISNUMBER(M129),IF(M129&gt;=0,MIN(M129,Constants!$B$22),""),""))</f>
        <v/>
      </c>
      <c r="AF129" s="87" t="str">
        <f aca="false">IF(ISBLANK($C129),"",IF(N129=Constants!$B$2,TRUE(),IF(N129=Constants!$B$3,FALSE(),TRUE())))</f>
        <v/>
      </c>
      <c r="AG129" s="87" t="str">
        <f aca="false">IF(ISBLANK($C129),"",IF(O129=Constants!$B$2,TRUE(),IF(O129=Constants!$B$3,FALSE(),TRUE())))</f>
        <v/>
      </c>
      <c r="AH129" s="87" t="str">
        <f aca="false">IF(ISBLANK($C129),"",IF(P129=Constants!$B$4,TRUE(),IF(P129=Constants!$B$5,FALSE(),COUNTA(Q129:S129)&gt;0)))</f>
        <v/>
      </c>
      <c r="AI129" s="88" t="str">
        <f aca="false">IF(ISBLANK($C129),"",IF(ISNUMBER(Q129),IF(Q129&gt;=0,Q129,""),""))</f>
        <v/>
      </c>
      <c r="AJ129" s="89" t="str">
        <f aca="false">IF(ISBLANK($C129),"",IF(ISNUMBER(R129),IF(R129&gt;=0,R129,""),""))</f>
        <v/>
      </c>
      <c r="AK129" s="87" t="str">
        <f aca="false">IF(ISBLANK($C129),"",IF(ISNUMBER(S129),IF(S129&gt;=0,MIN(S129,Constants!$B$22),""),""))</f>
        <v/>
      </c>
      <c r="AL129" s="87" t="str">
        <f aca="false">IF(ISBLANK($C129),"",IF(T129=Constants!$B$2,TRUE(),IF(T129=Constants!$B$3,FALSE(),FALSE())))</f>
        <v/>
      </c>
      <c r="AM129" s="86" t="str">
        <f aca="false">IF(ISBLANK($C129),"",AND($AB129,OR($AC129="",$AD129="",AND(NOT(ISBLANK($M129)),$AE129=""))))</f>
        <v/>
      </c>
      <c r="AN129" s="89" t="str">
        <f aca="false">IF($BD129&lt;&gt;Constants!$B$6,"",IF($AB129,Constants!$B$17*$AD129,Constants!$B$18))</f>
        <v/>
      </c>
      <c r="AO129" s="91" t="str">
        <f aca="false">IF($BD129&lt;&gt;Constants!$B$6,"",Constants!$B$19*IF($AB129,$AC129,0))</f>
        <v/>
      </c>
      <c r="AP129" s="91" t="str">
        <f aca="false">IF($BD129&lt;&gt;Constants!$B$6,"",IF(AND($AB129,ISNUMBER($AE129)),Constants!$B$20*(Constants!$B$21-$AE129),0))</f>
        <v/>
      </c>
      <c r="AQ129" s="91" t="str">
        <f aca="false">IF($BD129&lt;&gt;Constants!$B$6,"",IF($AA129,0,Constants!$B$12)+IF($Z129,0,Constants!$B$13)+IF($Y129,0,Constants!$B$14))</f>
        <v/>
      </c>
      <c r="AR129" s="92" t="str">
        <f aca="false">IF($BD129&lt;&gt;Constants!$B$6,"",Constants!$B$16+SUM($AN129:$AQ129))</f>
        <v/>
      </c>
      <c r="AS129" s="91" t="str">
        <f aca="false">IF($BD129&lt;&gt;Constants!$B$6,"",IF($AB129,$AD129,""))</f>
        <v/>
      </c>
      <c r="AT129" s="93" t="str">
        <f aca="false">IF($BD129&lt;&gt;Constants!$B$6,"",$AO129)</f>
        <v/>
      </c>
      <c r="AU129" s="87" t="str">
        <f aca="false">IF($BD129&lt;&gt;Constants!$B$6,"",IF(OR($BA129&lt;$AR129,AND($BA129=$AR129,OR(AND(ISNUMBER($BB129),OR(NOT(ISNUMBER($AS129)),$BB129&lt;$AS129)),AND(OR(AND($BB129="",$AS129=""),AND(ISNUMBER($BB129),ISNUMBER($AS129),$BB129=$AS129)),$BC129&lt;$AT129)))),"-&gt;","&lt;-"))</f>
        <v/>
      </c>
      <c r="AV129" s="86" t="str">
        <f aca="false">IF(ISBLANK($C129),"",AND($AH129,OR($AI129="",$AJ129="",AND(NOT(ISBLANK($S129)),$AK129=""))))</f>
        <v/>
      </c>
      <c r="AW129" s="89" t="str">
        <f aca="false">IF($BD129&lt;&gt;Constants!$B$6,"",IF($AH129,Constants!$B$17*$AJ129,Constants!$B$18))</f>
        <v/>
      </c>
      <c r="AX129" s="91" t="str">
        <f aca="false">IF($BD129&lt;&gt;Constants!$B$6,"",Constants!$B$19*IF($AH129,$AI129,0))</f>
        <v/>
      </c>
      <c r="AY129" s="91" t="str">
        <f aca="false">IF($BD129&lt;&gt;Constants!$B$6,"",IF(AND($AH129,ISNUMBER($AK129)),Constants!$B$20*(Constants!$B$21-$AK129),0))</f>
        <v/>
      </c>
      <c r="AZ129" s="91" t="str">
        <f aca="false">IF($BD129&lt;&gt;Constants!$B$6,"",IF($AG129,0,Constants!$B$12)+IF($AF129,0,Constants!$B$13)+IF($Y129,0,Constants!$B$14))</f>
        <v/>
      </c>
      <c r="BA129" s="92" t="str">
        <f aca="false">IF($BD129&lt;&gt;Constants!$B$6,"",Constants!$B$16+SUM($AW129:$AZ129))</f>
        <v/>
      </c>
      <c r="BB129" s="91" t="str">
        <f aca="false">IF($BD129&lt;&gt;Constants!$B$6,"",IF($AH129,$AJ129,""))</f>
        <v/>
      </c>
      <c r="BC129" s="93" t="str">
        <f aca="false">IF($BD129&lt;&gt;Constants!$B$6,"",$AX129)</f>
        <v/>
      </c>
      <c r="BD129" s="87" t="str">
        <f aca="false">IF(ISBLANK($C129),"",IF($AL129,Constants!$B$9,IF(COUNTA($E129:$T129)=0,Constants!$B$8,IF(NOT($X129),Constants!$B$7,IF(OR($AM129,$AV129),Constants!$B$10,Constants!$B$6)))))</f>
        <v/>
      </c>
      <c r="BE129" s="87" t="str">
        <f aca="false">IF(ISBLANK($C129),"",IF($BD129&lt;&gt;Constants!$B$6,$BD129,Constants!$B$11))</f>
        <v/>
      </c>
      <c r="BF129" s="91" t="str">
        <f aca="false">IF($BD129&lt;&gt;Constants!$B$6,"",IF($AU129="-&gt;",$BA129,$AR129))</f>
        <v/>
      </c>
      <c r="BG129" s="91" t="str">
        <f aca="false">IF($BD129&lt;&gt;Constants!$B$6,"",IF($W129,0,Constants!$B$15))</f>
        <v/>
      </c>
      <c r="BH129" s="91" t="str">
        <f aca="false">IF(ISBLANK($C129),"",IF($BD129&lt;&gt;Constants!$B$6,$BD129,SUM($BF129:$BG129)))</f>
        <v/>
      </c>
      <c r="BI129" s="87" t="str">
        <f aca="false">IF(ISBLANK($C129),"",IF($BD129&lt;&gt;Constants!$B$6,$BD129,RANK($BH129,$BH$9:$BH$508,1)))</f>
        <v/>
      </c>
      <c r="BJ129" s="91" t="str">
        <f aca="false">IF($BD129&lt;&gt;Constants!$B$6,"",IF($AU129="-&gt;",$BB129,$AS129))</f>
        <v/>
      </c>
      <c r="BK129" s="87" t="str">
        <f aca="false">IF(ISBLANK($C129),"",IF($BD129&lt;&gt;Constants!$B$6,$BD129,IF(ISNUMBER($BJ129),RANK($BJ129,$BJ$9:$BJ$508,1),COUNT($BJ$9:$BJ$508)+1)))</f>
        <v/>
      </c>
      <c r="BL129" s="91" t="str">
        <f aca="false">IF($BD129&lt;&gt;Constants!$B$6,"",IF($AU129="-&gt;",$BC129,$AT129))</f>
        <v/>
      </c>
      <c r="BM129" s="87" t="str">
        <f aca="false">IF(ISBLANK($C129),"",IF($BD129&lt;&gt;Constants!$B$6,$BD129,IF(ISNUMBER($BL129),RANK($BL129,$BL$9:$BL$508,1),COUNT($BL$9:$BL$508)+1)))</f>
        <v/>
      </c>
      <c r="BN129" s="91" t="str">
        <f aca="false">IF($BD129&lt;&gt;Constants!$B$6,"",IF($AU129="-&gt;",$AS129,$BB129))</f>
        <v/>
      </c>
      <c r="BO129" s="87" t="str">
        <f aca="false">IF(ISBLANK($C129),"",IF($BD129&lt;&gt;Constants!$B$6,$BD129,IF(ISNUMBER($BN129),RANK($BN129,$BN$9:$BN$508,1),COUNT($BN$9:$BN$508)+1)))</f>
        <v/>
      </c>
      <c r="BP129" s="91" t="str">
        <f aca="false">IF($BD129&lt;&gt;Constants!$B$6,"",IF($AU129="-&gt;",$AT129,$BC129))</f>
        <v/>
      </c>
      <c r="BQ129" s="87" t="str">
        <f aca="false">IF(ISBLANK($C129),"",IF($BD129&lt;&gt;Constants!$B$6,$BD129,IF(ISNUMBER($BP129),RANK($BP129,$BP$9:$BP$508,1),COUNT($BP$9:$BP$508)+1)))</f>
        <v/>
      </c>
      <c r="BR129" s="87" t="str">
        <f aca="false">IF(ISBLANK($C129),"",IF($BD129&lt;&gt;Constants!$B$6,$BD129,COUNTIFS($BI$9:$BI$508,"&lt;"&amp;$BI129)+COUNTIFS($BI$9:$BI$508,$BI129,$BK$9:$BK$508,"&lt;"&amp;$BK129)+COUNTIFS($BI$9:$BI$508,$BI129,$BK$9:$BK$508,$BK129,$BM$9:$BM$508,"&lt;"&amp;$BM129)+COUNTIFS($BI$9:$BI$508,$BI129,$BK$9:$BK$508,$BK129,$BM$9:$BM$508,$BM129,$BO$9:$BO$508,"&lt;"&amp;$BO129)+COUNTIFS($BI$9:$BI$508,$BI129,$BK$9:$BK$508,$BK129,$BM$9:$BM$508,$BM129,$BO$9:$BO$508,$BO129,$BQ$9:$BQ$508,"&lt;"&amp;$BQ129)+1))</f>
        <v/>
      </c>
      <c r="BS129" s="87" t="str">
        <f aca="false">IF(ISBLANK($C129),"",IF($BD129&lt;&gt;Constants!$B$6,$BD129,$BI129-$BR129))</f>
        <v/>
      </c>
      <c r="BT129" s="94"/>
      <c r="BU129" s="95"/>
      <c r="BV129" s="95" t="str">
        <f aca="false">IF(ISBLANK($C129),"",IF($BD129&lt;&gt;Constants!$B$6,"",IF($AU129="-&gt;",2,1)))</f>
        <v/>
      </c>
      <c r="BW129" s="96" t="str">
        <f aca="false">IF(ISBLANK($C129),"",IF($BD129&lt;&gt;Constants!$B$6,"",IF($AU129="-&gt;",$AW129,$AN129)))</f>
        <v/>
      </c>
      <c r="BX129" s="96" t="str">
        <f aca="false">IF(ISBLANK($C129),"",IF($BD129&lt;&gt;Constants!$B$6,"",IF($AU129="-&gt;",$AX129,$AO129)))</f>
        <v/>
      </c>
      <c r="BY129" s="96" t="str">
        <f aca="false">IF(ISBLANK($C129),"",IF($BD129&lt;&gt;Constants!$B$6,"",IF($AU129="-&gt;",$AY129,$AP129)))</f>
        <v/>
      </c>
      <c r="BZ129" s="96" t="str">
        <f aca="false">IF(ISBLANK($C129),"",IF($BD129&lt;&gt;Constants!$B$6,"",IF($AU129="-&gt;",$AZ129,$AQ129)+$BG129))</f>
        <v/>
      </c>
      <c r="CA129" s="97" t="str">
        <f aca="false">IF(ISBLANK($C129),"",IF($BD129&lt;&gt;Constants!$B$6,$BD129,$BH129))</f>
        <v/>
      </c>
      <c r="CB129" s="98" t="str">
        <f aca="false">IF(ISBLANK($C129),"",$BE129)</f>
        <v/>
      </c>
      <c r="CC129" s="99" t="str">
        <f aca="false">IF(ISBLANK($C129),"",$BS129)</f>
        <v/>
      </c>
      <c r="CD129" s="99" t="str">
        <f aca="false">IF(ISBLANK($C129),"",$BR129)</f>
        <v/>
      </c>
      <c r="CE129" s="100" t="str">
        <f aca="false">IF(ISBLANK($C129),"",IF($CD129=Constants!$B$9,COUNTA($C$9:$C$508)+2,IF($CD129=Constants!$B$8,COUNTA($C$9:$C$508)+1,IF($CD129=Constants!$B$7,COUNTA($C$9:$C$508),$CD129))))</f>
        <v/>
      </c>
      <c r="CF129" s="9"/>
      <c r="CG129" s="101" t="n">
        <f aca="false">IF(OR(ISNUMBER($CD129),$CD129=Constants!$B$9,$CD129=Constants!$B$7,$CD129=Constants!$B$8),1,0)</f>
        <v>0</v>
      </c>
      <c r="CH129" s="101" t="n">
        <v>121</v>
      </c>
      <c r="CI129" s="101" t="str">
        <f aca="false">IF(ISBLANK($C129),"",IF(ISNUMBER($CE129),$CE129+ROW($B129)/1000,""))</f>
        <v/>
      </c>
      <c r="CJ129" s="101" t="str">
        <f aca="false">IF(ISNUMBER($CI129),RANK($CI129,$CI$9:$CI$508,1),"")</f>
        <v/>
      </c>
      <c r="CK129" s="101" t="str">
        <f aca="false">IF(ISBLANK($C129),"",$B129)</f>
        <v/>
      </c>
      <c r="CL129" s="101" t="str">
        <f aca="false">IF(ISBLANK($C129),"",$C129)</f>
        <v/>
      </c>
      <c r="CM129" s="101" t="str">
        <f aca="false">IF(ISBLANK($C129),"",$D129)</f>
        <v/>
      </c>
      <c r="CN129" s="102" t="str">
        <f aca="false">$CB129</f>
        <v/>
      </c>
      <c r="CO129" s="103" t="str">
        <f aca="false">$CA129</f>
        <v/>
      </c>
      <c r="CP129" s="101" t="str">
        <f aca="false">IF(ISBLANK($C129),"",$CD129)</f>
        <v/>
      </c>
      <c r="CQ129" s="104" t="str">
        <f aca="false">IF($CH129&gt;$CG$8,"",VLOOKUP($CH129,$CJ$9:$CP$508,7,FALSE()))</f>
        <v/>
      </c>
      <c r="CR129" s="105" t="str">
        <f aca="false">IF($CH129&gt;$CG$8,"",VLOOKUP($CH129,$CJ$9:$CP$508,2,FALSE()))</f>
        <v/>
      </c>
      <c r="CS129" s="105" t="str">
        <f aca="false">IF($CH129&gt;$CG$8,"",VLOOKUP($CH129,$CJ$9:$CP$508,3,FALSE()))</f>
        <v/>
      </c>
      <c r="CT129" s="105" t="str">
        <f aca="false">IF($CH129&gt;$CG$8,"",VLOOKUP($CH129,$CJ$9:$CP$508,4,FALSE()))</f>
        <v/>
      </c>
      <c r="CU129" s="105" t="str">
        <f aca="false">IF($CH129&gt;$CG$8,"",VLOOKUP($CH129,$CJ$9:$CP$508,5,FALSE()))</f>
        <v/>
      </c>
      <c r="CV129" s="106" t="str">
        <f aca="false">IF($CH129&gt;$CG$8,"",VLOOKUP($CH129,$CJ$9:$CP$508,6,FALSE()))</f>
        <v/>
      </c>
      <c r="CW129" s="71"/>
    </row>
    <row r="130" customFormat="false" ht="15.75" hidden="false" customHeight="false" outlineLevel="0" collapsed="false">
      <c r="A130" s="9"/>
      <c r="B130" s="72"/>
      <c r="C130" s="73"/>
      <c r="D130" s="160"/>
      <c r="E130" s="168"/>
      <c r="F130" s="162"/>
      <c r="G130" s="163"/>
      <c r="H130" s="169"/>
      <c r="I130" s="167"/>
      <c r="J130" s="80"/>
      <c r="K130" s="81"/>
      <c r="L130" s="82"/>
      <c r="M130" s="166"/>
      <c r="N130" s="167"/>
      <c r="O130" s="167"/>
      <c r="P130" s="80"/>
      <c r="Q130" s="82"/>
      <c r="R130" s="82"/>
      <c r="S130" s="166"/>
      <c r="T130" s="167"/>
      <c r="U130" s="86"/>
      <c r="V130" s="87"/>
      <c r="W130" s="87" t="str">
        <f aca="false">IF(ISBLANK($C130),"",IF(E130=Constants!$B$2,TRUE(),IF(E130=Constants!$B$3,FALSE(),TRUE())))</f>
        <v/>
      </c>
      <c r="X130" s="87" t="str">
        <f aca="false">IF(ISBLANK($C130),"",IF(F130=Constants!$B$2,TRUE(),IF(F130=Constants!$B$3,FALSE(),TRUE())))</f>
        <v/>
      </c>
      <c r="Y130" s="87" t="str">
        <f aca="false">IF(ISBLANK($C130),"",IF(G130=Constants!$B$2,TRUE(),IF(G130=Constants!$B$3,FALSE(),TRUE())))</f>
        <v/>
      </c>
      <c r="Z130" s="87" t="str">
        <f aca="false">IF(ISBLANK($C130),"",IF(H130=Constants!$B$2,TRUE(),IF(H130=Constants!$B$3,FALSE(),TRUE())))</f>
        <v/>
      </c>
      <c r="AA130" s="87" t="str">
        <f aca="false">IF(ISBLANK($C130),"",IF(I130=Constants!$B$2,TRUE(),IF(I130=Constants!$B$3,FALSE(),TRUE())))</f>
        <v/>
      </c>
      <c r="AB130" s="87" t="str">
        <f aca="false">IF(ISBLANK($C130),"",IF(J130=Constants!$B$4,TRUE(),IF(J130=Constants!$B$5,FALSE(),COUNTA(K130:M130)&gt;0)))</f>
        <v/>
      </c>
      <c r="AC130" s="88" t="str">
        <f aca="false">IF(ISBLANK($C130),"",IF(ISNUMBER(K130),IF(K130&gt;=0,K130,""),""))</f>
        <v/>
      </c>
      <c r="AD130" s="89" t="str">
        <f aca="false">IF(ISBLANK($C130),"",IF(ISNUMBER(L130),IF(L130&gt;=0,L130,""),""))</f>
        <v/>
      </c>
      <c r="AE130" s="87" t="str">
        <f aca="false">IF(ISBLANK($C130),"",IF(ISNUMBER(M130),IF(M130&gt;=0,MIN(M130,Constants!$B$22),""),""))</f>
        <v/>
      </c>
      <c r="AF130" s="87" t="str">
        <f aca="false">IF(ISBLANK($C130),"",IF(N130=Constants!$B$2,TRUE(),IF(N130=Constants!$B$3,FALSE(),TRUE())))</f>
        <v/>
      </c>
      <c r="AG130" s="87" t="str">
        <f aca="false">IF(ISBLANK($C130),"",IF(O130=Constants!$B$2,TRUE(),IF(O130=Constants!$B$3,FALSE(),TRUE())))</f>
        <v/>
      </c>
      <c r="AH130" s="87" t="str">
        <f aca="false">IF(ISBLANK($C130),"",IF(P130=Constants!$B$4,TRUE(),IF(P130=Constants!$B$5,FALSE(),COUNTA(Q130:S130)&gt;0)))</f>
        <v/>
      </c>
      <c r="AI130" s="88" t="str">
        <f aca="false">IF(ISBLANK($C130),"",IF(ISNUMBER(Q130),IF(Q130&gt;=0,Q130,""),""))</f>
        <v/>
      </c>
      <c r="AJ130" s="89" t="str">
        <f aca="false">IF(ISBLANK($C130),"",IF(ISNUMBER(R130),IF(R130&gt;=0,R130,""),""))</f>
        <v/>
      </c>
      <c r="AK130" s="87" t="str">
        <f aca="false">IF(ISBLANK($C130),"",IF(ISNUMBER(S130),IF(S130&gt;=0,MIN(S130,Constants!$B$22),""),""))</f>
        <v/>
      </c>
      <c r="AL130" s="87" t="str">
        <f aca="false">IF(ISBLANK($C130),"",IF(T130=Constants!$B$2,TRUE(),IF(T130=Constants!$B$3,FALSE(),FALSE())))</f>
        <v/>
      </c>
      <c r="AM130" s="86" t="str">
        <f aca="false">IF(ISBLANK($C130),"",AND($AB130,OR($AC130="",$AD130="",AND(NOT(ISBLANK($M130)),$AE130=""))))</f>
        <v/>
      </c>
      <c r="AN130" s="89" t="str">
        <f aca="false">IF($BD130&lt;&gt;Constants!$B$6,"",IF($AB130,Constants!$B$17*$AD130,Constants!$B$18))</f>
        <v/>
      </c>
      <c r="AO130" s="91" t="str">
        <f aca="false">IF($BD130&lt;&gt;Constants!$B$6,"",Constants!$B$19*IF($AB130,$AC130,0))</f>
        <v/>
      </c>
      <c r="AP130" s="91" t="str">
        <f aca="false">IF($BD130&lt;&gt;Constants!$B$6,"",IF(AND($AB130,ISNUMBER($AE130)),Constants!$B$20*(Constants!$B$21-$AE130),0))</f>
        <v/>
      </c>
      <c r="AQ130" s="91" t="str">
        <f aca="false">IF($BD130&lt;&gt;Constants!$B$6,"",IF($AA130,0,Constants!$B$12)+IF($Z130,0,Constants!$B$13)+IF($Y130,0,Constants!$B$14))</f>
        <v/>
      </c>
      <c r="AR130" s="92" t="str">
        <f aca="false">IF($BD130&lt;&gt;Constants!$B$6,"",Constants!$B$16+SUM($AN130:$AQ130))</f>
        <v/>
      </c>
      <c r="AS130" s="91" t="str">
        <f aca="false">IF($BD130&lt;&gt;Constants!$B$6,"",IF($AB130,$AD130,""))</f>
        <v/>
      </c>
      <c r="AT130" s="93" t="str">
        <f aca="false">IF($BD130&lt;&gt;Constants!$B$6,"",$AO130)</f>
        <v/>
      </c>
      <c r="AU130" s="87" t="str">
        <f aca="false">IF($BD130&lt;&gt;Constants!$B$6,"",IF(OR($BA130&lt;$AR130,AND($BA130=$AR130,OR(AND(ISNUMBER($BB130),OR(NOT(ISNUMBER($AS130)),$BB130&lt;$AS130)),AND(OR(AND($BB130="",$AS130=""),AND(ISNUMBER($BB130),ISNUMBER($AS130),$BB130=$AS130)),$BC130&lt;$AT130)))),"-&gt;","&lt;-"))</f>
        <v/>
      </c>
      <c r="AV130" s="86" t="str">
        <f aca="false">IF(ISBLANK($C130),"",AND($AH130,OR($AI130="",$AJ130="",AND(NOT(ISBLANK($S130)),$AK130=""))))</f>
        <v/>
      </c>
      <c r="AW130" s="89" t="str">
        <f aca="false">IF($BD130&lt;&gt;Constants!$B$6,"",IF($AH130,Constants!$B$17*$AJ130,Constants!$B$18))</f>
        <v/>
      </c>
      <c r="AX130" s="91" t="str">
        <f aca="false">IF($BD130&lt;&gt;Constants!$B$6,"",Constants!$B$19*IF($AH130,$AI130,0))</f>
        <v/>
      </c>
      <c r="AY130" s="91" t="str">
        <f aca="false">IF($BD130&lt;&gt;Constants!$B$6,"",IF(AND($AH130,ISNUMBER($AK130)),Constants!$B$20*(Constants!$B$21-$AK130),0))</f>
        <v/>
      </c>
      <c r="AZ130" s="91" t="str">
        <f aca="false">IF($BD130&lt;&gt;Constants!$B$6,"",IF($AG130,0,Constants!$B$12)+IF($AF130,0,Constants!$B$13)+IF($Y130,0,Constants!$B$14))</f>
        <v/>
      </c>
      <c r="BA130" s="92" t="str">
        <f aca="false">IF($BD130&lt;&gt;Constants!$B$6,"",Constants!$B$16+SUM($AW130:$AZ130))</f>
        <v/>
      </c>
      <c r="BB130" s="91" t="str">
        <f aca="false">IF($BD130&lt;&gt;Constants!$B$6,"",IF($AH130,$AJ130,""))</f>
        <v/>
      </c>
      <c r="BC130" s="93" t="str">
        <f aca="false">IF($BD130&lt;&gt;Constants!$B$6,"",$AX130)</f>
        <v/>
      </c>
      <c r="BD130" s="87" t="str">
        <f aca="false">IF(ISBLANK($C130),"",IF($AL130,Constants!$B$9,IF(COUNTA($E130:$T130)=0,Constants!$B$8,IF(NOT($X130),Constants!$B$7,IF(OR($AM130,$AV130),Constants!$B$10,Constants!$B$6)))))</f>
        <v/>
      </c>
      <c r="BE130" s="87" t="str">
        <f aca="false">IF(ISBLANK($C130),"",IF($BD130&lt;&gt;Constants!$B$6,$BD130,Constants!$B$11))</f>
        <v/>
      </c>
      <c r="BF130" s="91" t="str">
        <f aca="false">IF($BD130&lt;&gt;Constants!$B$6,"",IF($AU130="-&gt;",$BA130,$AR130))</f>
        <v/>
      </c>
      <c r="BG130" s="91" t="str">
        <f aca="false">IF($BD130&lt;&gt;Constants!$B$6,"",IF($W130,0,Constants!$B$15))</f>
        <v/>
      </c>
      <c r="BH130" s="91" t="str">
        <f aca="false">IF(ISBLANK($C130),"",IF($BD130&lt;&gt;Constants!$B$6,$BD130,SUM($BF130:$BG130)))</f>
        <v/>
      </c>
      <c r="BI130" s="87" t="str">
        <f aca="false">IF(ISBLANK($C130),"",IF($BD130&lt;&gt;Constants!$B$6,$BD130,RANK($BH130,$BH$9:$BH$508,1)))</f>
        <v/>
      </c>
      <c r="BJ130" s="91" t="str">
        <f aca="false">IF($BD130&lt;&gt;Constants!$B$6,"",IF($AU130="-&gt;",$BB130,$AS130))</f>
        <v/>
      </c>
      <c r="BK130" s="87" t="str">
        <f aca="false">IF(ISBLANK($C130),"",IF($BD130&lt;&gt;Constants!$B$6,$BD130,IF(ISNUMBER($BJ130),RANK($BJ130,$BJ$9:$BJ$508,1),COUNT($BJ$9:$BJ$508)+1)))</f>
        <v/>
      </c>
      <c r="BL130" s="91" t="str">
        <f aca="false">IF($BD130&lt;&gt;Constants!$B$6,"",IF($AU130="-&gt;",$BC130,$AT130))</f>
        <v/>
      </c>
      <c r="BM130" s="87" t="str">
        <f aca="false">IF(ISBLANK($C130),"",IF($BD130&lt;&gt;Constants!$B$6,$BD130,IF(ISNUMBER($BL130),RANK($BL130,$BL$9:$BL$508,1),COUNT($BL$9:$BL$508)+1)))</f>
        <v/>
      </c>
      <c r="BN130" s="91" t="str">
        <f aca="false">IF($BD130&lt;&gt;Constants!$B$6,"",IF($AU130="-&gt;",$AS130,$BB130))</f>
        <v/>
      </c>
      <c r="BO130" s="87" t="str">
        <f aca="false">IF(ISBLANK($C130),"",IF($BD130&lt;&gt;Constants!$B$6,$BD130,IF(ISNUMBER($BN130),RANK($BN130,$BN$9:$BN$508,1),COUNT($BN$9:$BN$508)+1)))</f>
        <v/>
      </c>
      <c r="BP130" s="91" t="str">
        <f aca="false">IF($BD130&lt;&gt;Constants!$B$6,"",IF($AU130="-&gt;",$AT130,$BC130))</f>
        <v/>
      </c>
      <c r="BQ130" s="87" t="str">
        <f aca="false">IF(ISBLANK($C130),"",IF($BD130&lt;&gt;Constants!$B$6,$BD130,IF(ISNUMBER($BP130),RANK($BP130,$BP$9:$BP$508,1),COUNT($BP$9:$BP$508)+1)))</f>
        <v/>
      </c>
      <c r="BR130" s="87" t="str">
        <f aca="false">IF(ISBLANK($C130),"",IF($BD130&lt;&gt;Constants!$B$6,$BD130,COUNTIFS($BI$9:$BI$508,"&lt;"&amp;$BI130)+COUNTIFS($BI$9:$BI$508,$BI130,$BK$9:$BK$508,"&lt;"&amp;$BK130)+COUNTIFS($BI$9:$BI$508,$BI130,$BK$9:$BK$508,$BK130,$BM$9:$BM$508,"&lt;"&amp;$BM130)+COUNTIFS($BI$9:$BI$508,$BI130,$BK$9:$BK$508,$BK130,$BM$9:$BM$508,$BM130,$BO$9:$BO$508,"&lt;"&amp;$BO130)+COUNTIFS($BI$9:$BI$508,$BI130,$BK$9:$BK$508,$BK130,$BM$9:$BM$508,$BM130,$BO$9:$BO$508,$BO130,$BQ$9:$BQ$508,"&lt;"&amp;$BQ130)+1))</f>
        <v/>
      </c>
      <c r="BS130" s="87" t="str">
        <f aca="false">IF(ISBLANK($C130),"",IF($BD130&lt;&gt;Constants!$B$6,$BD130,$BI130-$BR130))</f>
        <v/>
      </c>
      <c r="BT130" s="94"/>
      <c r="BU130" s="95"/>
      <c r="BV130" s="95" t="str">
        <f aca="false">IF(ISBLANK($C130),"",IF($BD130&lt;&gt;Constants!$B$6,"",IF($AU130="-&gt;",2,1)))</f>
        <v/>
      </c>
      <c r="BW130" s="96" t="str">
        <f aca="false">IF(ISBLANK($C130),"",IF($BD130&lt;&gt;Constants!$B$6,"",IF($AU130="-&gt;",$AW130,$AN130)))</f>
        <v/>
      </c>
      <c r="BX130" s="96" t="str">
        <f aca="false">IF(ISBLANK($C130),"",IF($BD130&lt;&gt;Constants!$B$6,"",IF($AU130="-&gt;",$AX130,$AO130)))</f>
        <v/>
      </c>
      <c r="BY130" s="96" t="str">
        <f aca="false">IF(ISBLANK($C130),"",IF($BD130&lt;&gt;Constants!$B$6,"",IF($AU130="-&gt;",$AY130,$AP130)))</f>
        <v/>
      </c>
      <c r="BZ130" s="96" t="str">
        <f aca="false">IF(ISBLANK($C130),"",IF($BD130&lt;&gt;Constants!$B$6,"",IF($AU130="-&gt;",$AZ130,$AQ130)+$BG130))</f>
        <v/>
      </c>
      <c r="CA130" s="97" t="str">
        <f aca="false">IF(ISBLANK($C130),"",IF($BD130&lt;&gt;Constants!$B$6,$BD130,$BH130))</f>
        <v/>
      </c>
      <c r="CB130" s="98" t="str">
        <f aca="false">IF(ISBLANK($C130),"",$BE130)</f>
        <v/>
      </c>
      <c r="CC130" s="99" t="str">
        <f aca="false">IF(ISBLANK($C130),"",$BS130)</f>
        <v/>
      </c>
      <c r="CD130" s="99" t="str">
        <f aca="false">IF(ISBLANK($C130),"",$BR130)</f>
        <v/>
      </c>
      <c r="CE130" s="100" t="str">
        <f aca="false">IF(ISBLANK($C130),"",IF($CD130=Constants!$B$9,COUNTA($C$9:$C$508)+2,IF($CD130=Constants!$B$8,COUNTA($C$9:$C$508)+1,IF($CD130=Constants!$B$7,COUNTA($C$9:$C$508),$CD130))))</f>
        <v/>
      </c>
      <c r="CF130" s="9"/>
      <c r="CG130" s="101" t="n">
        <f aca="false">IF(OR(ISNUMBER($CD130),$CD130=Constants!$B$9,$CD130=Constants!$B$7,$CD130=Constants!$B$8),1,0)</f>
        <v>0</v>
      </c>
      <c r="CH130" s="101" t="n">
        <v>122</v>
      </c>
      <c r="CI130" s="101" t="str">
        <f aca="false">IF(ISBLANK($C130),"",IF(ISNUMBER($CE130),$CE130+ROW($B130)/1000,""))</f>
        <v/>
      </c>
      <c r="CJ130" s="101" t="str">
        <f aca="false">IF(ISNUMBER($CI130),RANK($CI130,$CI$9:$CI$508,1),"")</f>
        <v/>
      </c>
      <c r="CK130" s="101" t="str">
        <f aca="false">IF(ISBLANK($C130),"",$B130)</f>
        <v/>
      </c>
      <c r="CL130" s="101" t="str">
        <f aca="false">IF(ISBLANK($C130),"",$C130)</f>
        <v/>
      </c>
      <c r="CM130" s="101" t="str">
        <f aca="false">IF(ISBLANK($C130),"",$D130)</f>
        <v/>
      </c>
      <c r="CN130" s="102" t="str">
        <f aca="false">$CB130</f>
        <v/>
      </c>
      <c r="CO130" s="103" t="str">
        <f aca="false">$CA130</f>
        <v/>
      </c>
      <c r="CP130" s="101" t="str">
        <f aca="false">IF(ISBLANK($C130),"",$CD130)</f>
        <v/>
      </c>
      <c r="CQ130" s="104" t="str">
        <f aca="false">IF($CH130&gt;$CG$8,"",VLOOKUP($CH130,$CJ$9:$CP$508,7,FALSE()))</f>
        <v/>
      </c>
      <c r="CR130" s="105" t="str">
        <f aca="false">IF($CH130&gt;$CG$8,"",VLOOKUP($CH130,$CJ$9:$CP$508,2,FALSE()))</f>
        <v/>
      </c>
      <c r="CS130" s="105" t="str">
        <f aca="false">IF($CH130&gt;$CG$8,"",VLOOKUP($CH130,$CJ$9:$CP$508,3,FALSE()))</f>
        <v/>
      </c>
      <c r="CT130" s="105" t="str">
        <f aca="false">IF($CH130&gt;$CG$8,"",VLOOKUP($CH130,$CJ$9:$CP$508,4,FALSE()))</f>
        <v/>
      </c>
      <c r="CU130" s="105" t="str">
        <f aca="false">IF($CH130&gt;$CG$8,"",VLOOKUP($CH130,$CJ$9:$CP$508,5,FALSE()))</f>
        <v/>
      </c>
      <c r="CV130" s="106" t="str">
        <f aca="false">IF($CH130&gt;$CG$8,"",VLOOKUP($CH130,$CJ$9:$CP$508,6,FALSE()))</f>
        <v/>
      </c>
      <c r="CW130" s="71"/>
    </row>
    <row r="131" customFormat="false" ht="15.75" hidden="false" customHeight="false" outlineLevel="0" collapsed="false">
      <c r="A131" s="9"/>
      <c r="B131" s="72"/>
      <c r="C131" s="73"/>
      <c r="D131" s="160"/>
      <c r="E131" s="168"/>
      <c r="F131" s="162"/>
      <c r="G131" s="163"/>
      <c r="H131" s="169"/>
      <c r="I131" s="167"/>
      <c r="J131" s="80"/>
      <c r="K131" s="81"/>
      <c r="L131" s="82"/>
      <c r="M131" s="166"/>
      <c r="N131" s="167"/>
      <c r="O131" s="167"/>
      <c r="P131" s="80"/>
      <c r="Q131" s="82"/>
      <c r="R131" s="82"/>
      <c r="S131" s="166"/>
      <c r="T131" s="167"/>
      <c r="U131" s="86"/>
      <c r="V131" s="87"/>
      <c r="W131" s="87" t="str">
        <f aca="false">IF(ISBLANK($C131),"",IF(E131=Constants!$B$2,TRUE(),IF(E131=Constants!$B$3,FALSE(),TRUE())))</f>
        <v/>
      </c>
      <c r="X131" s="87" t="str">
        <f aca="false">IF(ISBLANK($C131),"",IF(F131=Constants!$B$2,TRUE(),IF(F131=Constants!$B$3,FALSE(),TRUE())))</f>
        <v/>
      </c>
      <c r="Y131" s="87" t="str">
        <f aca="false">IF(ISBLANK($C131),"",IF(G131=Constants!$B$2,TRUE(),IF(G131=Constants!$B$3,FALSE(),TRUE())))</f>
        <v/>
      </c>
      <c r="Z131" s="87" t="str">
        <f aca="false">IF(ISBLANK($C131),"",IF(H131=Constants!$B$2,TRUE(),IF(H131=Constants!$B$3,FALSE(),TRUE())))</f>
        <v/>
      </c>
      <c r="AA131" s="87" t="str">
        <f aca="false">IF(ISBLANK($C131),"",IF(I131=Constants!$B$2,TRUE(),IF(I131=Constants!$B$3,FALSE(),TRUE())))</f>
        <v/>
      </c>
      <c r="AB131" s="87" t="str">
        <f aca="false">IF(ISBLANK($C131),"",IF(J131=Constants!$B$4,TRUE(),IF(J131=Constants!$B$5,FALSE(),COUNTA(K131:M131)&gt;0)))</f>
        <v/>
      </c>
      <c r="AC131" s="88" t="str">
        <f aca="false">IF(ISBLANK($C131),"",IF(ISNUMBER(K131),IF(K131&gt;=0,K131,""),""))</f>
        <v/>
      </c>
      <c r="AD131" s="89" t="str">
        <f aca="false">IF(ISBLANK($C131),"",IF(ISNUMBER(L131),IF(L131&gt;=0,L131,""),""))</f>
        <v/>
      </c>
      <c r="AE131" s="87" t="str">
        <f aca="false">IF(ISBLANK($C131),"",IF(ISNUMBER(M131),IF(M131&gt;=0,MIN(M131,Constants!$B$22),""),""))</f>
        <v/>
      </c>
      <c r="AF131" s="87" t="str">
        <f aca="false">IF(ISBLANK($C131),"",IF(N131=Constants!$B$2,TRUE(),IF(N131=Constants!$B$3,FALSE(),TRUE())))</f>
        <v/>
      </c>
      <c r="AG131" s="87" t="str">
        <f aca="false">IF(ISBLANK($C131),"",IF(O131=Constants!$B$2,TRUE(),IF(O131=Constants!$B$3,FALSE(),TRUE())))</f>
        <v/>
      </c>
      <c r="AH131" s="87" t="str">
        <f aca="false">IF(ISBLANK($C131),"",IF(P131=Constants!$B$4,TRUE(),IF(P131=Constants!$B$5,FALSE(),COUNTA(Q131:S131)&gt;0)))</f>
        <v/>
      </c>
      <c r="AI131" s="88" t="str">
        <f aca="false">IF(ISBLANK($C131),"",IF(ISNUMBER(Q131),IF(Q131&gt;=0,Q131,""),""))</f>
        <v/>
      </c>
      <c r="AJ131" s="89" t="str">
        <f aca="false">IF(ISBLANK($C131),"",IF(ISNUMBER(R131),IF(R131&gt;=0,R131,""),""))</f>
        <v/>
      </c>
      <c r="AK131" s="87" t="str">
        <f aca="false">IF(ISBLANK($C131),"",IF(ISNUMBER(S131),IF(S131&gt;=0,MIN(S131,Constants!$B$22),""),""))</f>
        <v/>
      </c>
      <c r="AL131" s="87" t="str">
        <f aca="false">IF(ISBLANK($C131),"",IF(T131=Constants!$B$2,TRUE(),IF(T131=Constants!$B$3,FALSE(),FALSE())))</f>
        <v/>
      </c>
      <c r="AM131" s="86" t="str">
        <f aca="false">IF(ISBLANK($C131),"",AND($AB131,OR($AC131="",$AD131="",AND(NOT(ISBLANK($M131)),$AE131=""))))</f>
        <v/>
      </c>
      <c r="AN131" s="89" t="str">
        <f aca="false">IF($BD131&lt;&gt;Constants!$B$6,"",IF($AB131,Constants!$B$17*$AD131,Constants!$B$18))</f>
        <v/>
      </c>
      <c r="AO131" s="91" t="str">
        <f aca="false">IF($BD131&lt;&gt;Constants!$B$6,"",Constants!$B$19*IF($AB131,$AC131,0))</f>
        <v/>
      </c>
      <c r="AP131" s="91" t="str">
        <f aca="false">IF($BD131&lt;&gt;Constants!$B$6,"",IF(AND($AB131,ISNUMBER($AE131)),Constants!$B$20*(Constants!$B$21-$AE131),0))</f>
        <v/>
      </c>
      <c r="AQ131" s="91" t="str">
        <f aca="false">IF($BD131&lt;&gt;Constants!$B$6,"",IF($AA131,0,Constants!$B$12)+IF($Z131,0,Constants!$B$13)+IF($Y131,0,Constants!$B$14))</f>
        <v/>
      </c>
      <c r="AR131" s="92" t="str">
        <f aca="false">IF($BD131&lt;&gt;Constants!$B$6,"",Constants!$B$16+SUM($AN131:$AQ131))</f>
        <v/>
      </c>
      <c r="AS131" s="91" t="str">
        <f aca="false">IF($BD131&lt;&gt;Constants!$B$6,"",IF($AB131,$AD131,""))</f>
        <v/>
      </c>
      <c r="AT131" s="93" t="str">
        <f aca="false">IF($BD131&lt;&gt;Constants!$B$6,"",$AO131)</f>
        <v/>
      </c>
      <c r="AU131" s="87" t="str">
        <f aca="false">IF($BD131&lt;&gt;Constants!$B$6,"",IF(OR($BA131&lt;$AR131,AND($BA131=$AR131,OR(AND(ISNUMBER($BB131),OR(NOT(ISNUMBER($AS131)),$BB131&lt;$AS131)),AND(OR(AND($BB131="",$AS131=""),AND(ISNUMBER($BB131),ISNUMBER($AS131),$BB131=$AS131)),$BC131&lt;$AT131)))),"-&gt;","&lt;-"))</f>
        <v/>
      </c>
      <c r="AV131" s="86" t="str">
        <f aca="false">IF(ISBLANK($C131),"",AND($AH131,OR($AI131="",$AJ131="",AND(NOT(ISBLANK($S131)),$AK131=""))))</f>
        <v/>
      </c>
      <c r="AW131" s="89" t="str">
        <f aca="false">IF($BD131&lt;&gt;Constants!$B$6,"",IF($AH131,Constants!$B$17*$AJ131,Constants!$B$18))</f>
        <v/>
      </c>
      <c r="AX131" s="91" t="str">
        <f aca="false">IF($BD131&lt;&gt;Constants!$B$6,"",Constants!$B$19*IF($AH131,$AI131,0))</f>
        <v/>
      </c>
      <c r="AY131" s="91" t="str">
        <f aca="false">IF($BD131&lt;&gt;Constants!$B$6,"",IF(AND($AH131,ISNUMBER($AK131)),Constants!$B$20*(Constants!$B$21-$AK131),0))</f>
        <v/>
      </c>
      <c r="AZ131" s="91" t="str">
        <f aca="false">IF($BD131&lt;&gt;Constants!$B$6,"",IF($AG131,0,Constants!$B$12)+IF($AF131,0,Constants!$B$13)+IF($Y131,0,Constants!$B$14))</f>
        <v/>
      </c>
      <c r="BA131" s="92" t="str">
        <f aca="false">IF($BD131&lt;&gt;Constants!$B$6,"",Constants!$B$16+SUM($AW131:$AZ131))</f>
        <v/>
      </c>
      <c r="BB131" s="91" t="str">
        <f aca="false">IF($BD131&lt;&gt;Constants!$B$6,"",IF($AH131,$AJ131,""))</f>
        <v/>
      </c>
      <c r="BC131" s="93" t="str">
        <f aca="false">IF($BD131&lt;&gt;Constants!$B$6,"",$AX131)</f>
        <v/>
      </c>
      <c r="BD131" s="87" t="str">
        <f aca="false">IF(ISBLANK($C131),"",IF($AL131,Constants!$B$9,IF(COUNTA($E131:$T131)=0,Constants!$B$8,IF(NOT($X131),Constants!$B$7,IF(OR($AM131,$AV131),Constants!$B$10,Constants!$B$6)))))</f>
        <v/>
      </c>
      <c r="BE131" s="87" t="str">
        <f aca="false">IF(ISBLANK($C131),"",IF($BD131&lt;&gt;Constants!$B$6,$BD131,Constants!$B$11))</f>
        <v/>
      </c>
      <c r="BF131" s="91" t="str">
        <f aca="false">IF($BD131&lt;&gt;Constants!$B$6,"",IF($AU131="-&gt;",$BA131,$AR131))</f>
        <v/>
      </c>
      <c r="BG131" s="91" t="str">
        <f aca="false">IF($BD131&lt;&gt;Constants!$B$6,"",IF($W131,0,Constants!$B$15))</f>
        <v/>
      </c>
      <c r="BH131" s="91" t="str">
        <f aca="false">IF(ISBLANK($C131),"",IF($BD131&lt;&gt;Constants!$B$6,$BD131,SUM($BF131:$BG131)))</f>
        <v/>
      </c>
      <c r="BI131" s="87" t="str">
        <f aca="false">IF(ISBLANK($C131),"",IF($BD131&lt;&gt;Constants!$B$6,$BD131,RANK($BH131,$BH$9:$BH$508,1)))</f>
        <v/>
      </c>
      <c r="BJ131" s="91" t="str">
        <f aca="false">IF($BD131&lt;&gt;Constants!$B$6,"",IF($AU131="-&gt;",$BB131,$AS131))</f>
        <v/>
      </c>
      <c r="BK131" s="87" t="str">
        <f aca="false">IF(ISBLANK($C131),"",IF($BD131&lt;&gt;Constants!$B$6,$BD131,IF(ISNUMBER($BJ131),RANK($BJ131,$BJ$9:$BJ$508,1),COUNT($BJ$9:$BJ$508)+1)))</f>
        <v/>
      </c>
      <c r="BL131" s="91" t="str">
        <f aca="false">IF($BD131&lt;&gt;Constants!$B$6,"",IF($AU131="-&gt;",$BC131,$AT131))</f>
        <v/>
      </c>
      <c r="BM131" s="87" t="str">
        <f aca="false">IF(ISBLANK($C131),"",IF($BD131&lt;&gt;Constants!$B$6,$BD131,IF(ISNUMBER($BL131),RANK($BL131,$BL$9:$BL$508,1),COUNT($BL$9:$BL$508)+1)))</f>
        <v/>
      </c>
      <c r="BN131" s="91" t="str">
        <f aca="false">IF($BD131&lt;&gt;Constants!$B$6,"",IF($AU131="-&gt;",$AS131,$BB131))</f>
        <v/>
      </c>
      <c r="BO131" s="87" t="str">
        <f aca="false">IF(ISBLANK($C131),"",IF($BD131&lt;&gt;Constants!$B$6,$BD131,IF(ISNUMBER($BN131),RANK($BN131,$BN$9:$BN$508,1),COUNT($BN$9:$BN$508)+1)))</f>
        <v/>
      </c>
      <c r="BP131" s="91" t="str">
        <f aca="false">IF($BD131&lt;&gt;Constants!$B$6,"",IF($AU131="-&gt;",$AT131,$BC131))</f>
        <v/>
      </c>
      <c r="BQ131" s="87" t="str">
        <f aca="false">IF(ISBLANK($C131),"",IF($BD131&lt;&gt;Constants!$B$6,$BD131,IF(ISNUMBER($BP131),RANK($BP131,$BP$9:$BP$508,1),COUNT($BP$9:$BP$508)+1)))</f>
        <v/>
      </c>
      <c r="BR131" s="87" t="str">
        <f aca="false">IF(ISBLANK($C131),"",IF($BD131&lt;&gt;Constants!$B$6,$BD131,COUNTIFS($BI$9:$BI$508,"&lt;"&amp;$BI131)+COUNTIFS($BI$9:$BI$508,$BI131,$BK$9:$BK$508,"&lt;"&amp;$BK131)+COUNTIFS($BI$9:$BI$508,$BI131,$BK$9:$BK$508,$BK131,$BM$9:$BM$508,"&lt;"&amp;$BM131)+COUNTIFS($BI$9:$BI$508,$BI131,$BK$9:$BK$508,$BK131,$BM$9:$BM$508,$BM131,$BO$9:$BO$508,"&lt;"&amp;$BO131)+COUNTIFS($BI$9:$BI$508,$BI131,$BK$9:$BK$508,$BK131,$BM$9:$BM$508,$BM131,$BO$9:$BO$508,$BO131,$BQ$9:$BQ$508,"&lt;"&amp;$BQ131)+1))</f>
        <v/>
      </c>
      <c r="BS131" s="87" t="str">
        <f aca="false">IF(ISBLANK($C131),"",IF($BD131&lt;&gt;Constants!$B$6,$BD131,$BI131-$BR131))</f>
        <v/>
      </c>
      <c r="BT131" s="94"/>
      <c r="BU131" s="95"/>
      <c r="BV131" s="95" t="str">
        <f aca="false">IF(ISBLANK($C131),"",IF($BD131&lt;&gt;Constants!$B$6,"",IF($AU131="-&gt;",2,1)))</f>
        <v/>
      </c>
      <c r="BW131" s="96" t="str">
        <f aca="false">IF(ISBLANK($C131),"",IF($BD131&lt;&gt;Constants!$B$6,"",IF($AU131="-&gt;",$AW131,$AN131)))</f>
        <v/>
      </c>
      <c r="BX131" s="96" t="str">
        <f aca="false">IF(ISBLANK($C131),"",IF($BD131&lt;&gt;Constants!$B$6,"",IF($AU131="-&gt;",$AX131,$AO131)))</f>
        <v/>
      </c>
      <c r="BY131" s="96" t="str">
        <f aca="false">IF(ISBLANK($C131),"",IF($BD131&lt;&gt;Constants!$B$6,"",IF($AU131="-&gt;",$AY131,$AP131)))</f>
        <v/>
      </c>
      <c r="BZ131" s="96" t="str">
        <f aca="false">IF(ISBLANK($C131),"",IF($BD131&lt;&gt;Constants!$B$6,"",IF($AU131="-&gt;",$AZ131,$AQ131)+$BG131))</f>
        <v/>
      </c>
      <c r="CA131" s="97" t="str">
        <f aca="false">IF(ISBLANK($C131),"",IF($BD131&lt;&gt;Constants!$B$6,$BD131,$BH131))</f>
        <v/>
      </c>
      <c r="CB131" s="98" t="str">
        <f aca="false">IF(ISBLANK($C131),"",$BE131)</f>
        <v/>
      </c>
      <c r="CC131" s="99" t="str">
        <f aca="false">IF(ISBLANK($C131),"",$BS131)</f>
        <v/>
      </c>
      <c r="CD131" s="99" t="str">
        <f aca="false">IF(ISBLANK($C131),"",$BR131)</f>
        <v/>
      </c>
      <c r="CE131" s="100" t="str">
        <f aca="false">IF(ISBLANK($C131),"",IF($CD131=Constants!$B$9,COUNTA($C$9:$C$508)+2,IF($CD131=Constants!$B$8,COUNTA($C$9:$C$508)+1,IF($CD131=Constants!$B$7,COUNTA($C$9:$C$508),$CD131))))</f>
        <v/>
      </c>
      <c r="CF131" s="9"/>
      <c r="CG131" s="101" t="n">
        <f aca="false">IF(OR(ISNUMBER($CD131),$CD131=Constants!$B$9,$CD131=Constants!$B$7,$CD131=Constants!$B$8),1,0)</f>
        <v>0</v>
      </c>
      <c r="CH131" s="101" t="n">
        <v>123</v>
      </c>
      <c r="CI131" s="101" t="str">
        <f aca="false">IF(ISBLANK($C131),"",IF(ISNUMBER($CE131),$CE131+ROW($B131)/1000,""))</f>
        <v/>
      </c>
      <c r="CJ131" s="101" t="str">
        <f aca="false">IF(ISNUMBER($CI131),RANK($CI131,$CI$9:$CI$508,1),"")</f>
        <v/>
      </c>
      <c r="CK131" s="101" t="str">
        <f aca="false">IF(ISBLANK($C131),"",$B131)</f>
        <v/>
      </c>
      <c r="CL131" s="101" t="str">
        <f aca="false">IF(ISBLANK($C131),"",$C131)</f>
        <v/>
      </c>
      <c r="CM131" s="101" t="str">
        <f aca="false">IF(ISBLANK($C131),"",$D131)</f>
        <v/>
      </c>
      <c r="CN131" s="102" t="str">
        <f aca="false">$CB131</f>
        <v/>
      </c>
      <c r="CO131" s="103" t="str">
        <f aca="false">$CA131</f>
        <v/>
      </c>
      <c r="CP131" s="101" t="str">
        <f aca="false">IF(ISBLANK($C131),"",$CD131)</f>
        <v/>
      </c>
      <c r="CQ131" s="104" t="str">
        <f aca="false">IF($CH131&gt;$CG$8,"",VLOOKUP($CH131,$CJ$9:$CP$508,7,FALSE()))</f>
        <v/>
      </c>
      <c r="CR131" s="105" t="str">
        <f aca="false">IF($CH131&gt;$CG$8,"",VLOOKUP($CH131,$CJ$9:$CP$508,2,FALSE()))</f>
        <v/>
      </c>
      <c r="CS131" s="105" t="str">
        <f aca="false">IF($CH131&gt;$CG$8,"",VLOOKUP($CH131,$CJ$9:$CP$508,3,FALSE()))</f>
        <v/>
      </c>
      <c r="CT131" s="105" t="str">
        <f aca="false">IF($CH131&gt;$CG$8,"",VLOOKUP($CH131,$CJ$9:$CP$508,4,FALSE()))</f>
        <v/>
      </c>
      <c r="CU131" s="105" t="str">
        <f aca="false">IF($CH131&gt;$CG$8,"",VLOOKUP($CH131,$CJ$9:$CP$508,5,FALSE()))</f>
        <v/>
      </c>
      <c r="CV131" s="106" t="str">
        <f aca="false">IF($CH131&gt;$CG$8,"",VLOOKUP($CH131,$CJ$9:$CP$508,6,FALSE()))</f>
        <v/>
      </c>
      <c r="CW131" s="71"/>
    </row>
    <row r="132" customFormat="false" ht="15.75" hidden="false" customHeight="false" outlineLevel="0" collapsed="false">
      <c r="A132" s="9"/>
      <c r="B132" s="150"/>
      <c r="C132" s="151"/>
      <c r="D132" s="152"/>
      <c r="E132" s="170"/>
      <c r="F132" s="154"/>
      <c r="G132" s="155"/>
      <c r="H132" s="171"/>
      <c r="I132" s="159"/>
      <c r="J132" s="120"/>
      <c r="K132" s="121"/>
      <c r="L132" s="122"/>
      <c r="M132" s="158"/>
      <c r="N132" s="159"/>
      <c r="O132" s="159"/>
      <c r="P132" s="120"/>
      <c r="Q132" s="122"/>
      <c r="R132" s="122"/>
      <c r="S132" s="158"/>
      <c r="T132" s="159"/>
      <c r="U132" s="126"/>
      <c r="V132" s="127"/>
      <c r="W132" s="127" t="str">
        <f aca="false">IF(ISBLANK($C132),"",IF(E132=Constants!$B$2,TRUE(),IF(E132=Constants!$B$3,FALSE(),TRUE())))</f>
        <v/>
      </c>
      <c r="X132" s="127" t="str">
        <f aca="false">IF(ISBLANK($C132),"",IF(F132=Constants!$B$2,TRUE(),IF(F132=Constants!$B$3,FALSE(),TRUE())))</f>
        <v/>
      </c>
      <c r="Y132" s="127" t="str">
        <f aca="false">IF(ISBLANK($C132),"",IF(G132=Constants!$B$2,TRUE(),IF(G132=Constants!$B$3,FALSE(),TRUE())))</f>
        <v/>
      </c>
      <c r="Z132" s="127" t="str">
        <f aca="false">IF(ISBLANK($C132),"",IF(H132=Constants!$B$2,TRUE(),IF(H132=Constants!$B$3,FALSE(),TRUE())))</f>
        <v/>
      </c>
      <c r="AA132" s="127" t="str">
        <f aca="false">IF(ISBLANK($C132),"",IF(I132=Constants!$B$2,TRUE(),IF(I132=Constants!$B$3,FALSE(),TRUE())))</f>
        <v/>
      </c>
      <c r="AB132" s="127" t="str">
        <f aca="false">IF(ISBLANK($C132),"",IF(J132=Constants!$B$4,TRUE(),IF(J132=Constants!$B$5,FALSE(),COUNTA(K132:M132)&gt;0)))</f>
        <v/>
      </c>
      <c r="AC132" s="128" t="str">
        <f aca="false">IF(ISBLANK($C132),"",IF(ISNUMBER(K132),IF(K132&gt;=0,K132,""),""))</f>
        <v/>
      </c>
      <c r="AD132" s="129" t="str">
        <f aca="false">IF(ISBLANK($C132),"",IF(ISNUMBER(L132),IF(L132&gt;=0,L132,""),""))</f>
        <v/>
      </c>
      <c r="AE132" s="127" t="str">
        <f aca="false">IF(ISBLANK($C132),"",IF(ISNUMBER(M132),IF(M132&gt;=0,MIN(M132,Constants!$B$22),""),""))</f>
        <v/>
      </c>
      <c r="AF132" s="127" t="str">
        <f aca="false">IF(ISBLANK($C132),"",IF(N132=Constants!$B$2,TRUE(),IF(N132=Constants!$B$3,FALSE(),TRUE())))</f>
        <v/>
      </c>
      <c r="AG132" s="127" t="str">
        <f aca="false">IF(ISBLANK($C132),"",IF(O132=Constants!$B$2,TRUE(),IF(O132=Constants!$B$3,FALSE(),TRUE())))</f>
        <v/>
      </c>
      <c r="AH132" s="127" t="str">
        <f aca="false">IF(ISBLANK($C132),"",IF(P132=Constants!$B$4,TRUE(),IF(P132=Constants!$B$5,FALSE(),COUNTA(Q132:S132)&gt;0)))</f>
        <v/>
      </c>
      <c r="AI132" s="128" t="str">
        <f aca="false">IF(ISBLANK($C132),"",IF(ISNUMBER(Q132),IF(Q132&gt;=0,Q132,""),""))</f>
        <v/>
      </c>
      <c r="AJ132" s="129" t="str">
        <f aca="false">IF(ISBLANK($C132),"",IF(ISNUMBER(R132),IF(R132&gt;=0,R132,""),""))</f>
        <v/>
      </c>
      <c r="AK132" s="127" t="str">
        <f aca="false">IF(ISBLANK($C132),"",IF(ISNUMBER(S132),IF(S132&gt;=0,MIN(S132,Constants!$B$22),""),""))</f>
        <v/>
      </c>
      <c r="AL132" s="127" t="str">
        <f aca="false">IF(ISBLANK($C132),"",IF(T132=Constants!$B$2,TRUE(),IF(T132=Constants!$B$3,FALSE(),FALSE())))</f>
        <v/>
      </c>
      <c r="AM132" s="126" t="str">
        <f aca="false">IF(ISBLANK($C132),"",AND($AB132,OR($AC132="",$AD132="",AND(NOT(ISBLANK($M132)),$AE132=""))))</f>
        <v/>
      </c>
      <c r="AN132" s="129" t="str">
        <f aca="false">IF($BD132&lt;&gt;Constants!$B$6,"",IF($AB132,Constants!$B$17*$AD132,Constants!$B$18))</f>
        <v/>
      </c>
      <c r="AO132" s="130" t="str">
        <f aca="false">IF($BD132&lt;&gt;Constants!$B$6,"",Constants!$B$19*IF($AB132,$AC132,0))</f>
        <v/>
      </c>
      <c r="AP132" s="130" t="str">
        <f aca="false">IF($BD132&lt;&gt;Constants!$B$6,"",IF(AND($AB132,ISNUMBER($AE132)),Constants!$B$20*(Constants!$B$21-$AE132),0))</f>
        <v/>
      </c>
      <c r="AQ132" s="130" t="str">
        <f aca="false">IF($BD132&lt;&gt;Constants!$B$6,"",IF($AA132,0,Constants!$B$12)+IF($Z132,0,Constants!$B$13)+IF($Y132,0,Constants!$B$14))</f>
        <v/>
      </c>
      <c r="AR132" s="131" t="str">
        <f aca="false">IF($BD132&lt;&gt;Constants!$B$6,"",Constants!$B$16+SUM($AN132:$AQ132))</f>
        <v/>
      </c>
      <c r="AS132" s="130" t="str">
        <f aca="false">IF($BD132&lt;&gt;Constants!$B$6,"",IF($AB132,$AD132,""))</f>
        <v/>
      </c>
      <c r="AT132" s="132" t="str">
        <f aca="false">IF($BD132&lt;&gt;Constants!$B$6,"",$AO132)</f>
        <v/>
      </c>
      <c r="AU132" s="127" t="str">
        <f aca="false">IF($BD132&lt;&gt;Constants!$B$6,"",IF(OR($BA132&lt;$AR132,AND($BA132=$AR132,OR(AND(ISNUMBER($BB132),OR(NOT(ISNUMBER($AS132)),$BB132&lt;$AS132)),AND(OR(AND($BB132="",$AS132=""),AND(ISNUMBER($BB132),ISNUMBER($AS132),$BB132=$AS132)),$BC132&lt;$AT132)))),"-&gt;","&lt;-"))</f>
        <v/>
      </c>
      <c r="AV132" s="126" t="str">
        <f aca="false">IF(ISBLANK($C132),"",AND($AH132,OR($AI132="",$AJ132="",AND(NOT(ISBLANK($S132)),$AK132=""))))</f>
        <v/>
      </c>
      <c r="AW132" s="129" t="str">
        <f aca="false">IF($BD132&lt;&gt;Constants!$B$6,"",IF($AH132,Constants!$B$17*$AJ132,Constants!$B$18))</f>
        <v/>
      </c>
      <c r="AX132" s="130" t="str">
        <f aca="false">IF($BD132&lt;&gt;Constants!$B$6,"",Constants!$B$19*IF($AH132,$AI132,0))</f>
        <v/>
      </c>
      <c r="AY132" s="130" t="str">
        <f aca="false">IF($BD132&lt;&gt;Constants!$B$6,"",IF(AND($AH132,ISNUMBER($AK132)),Constants!$B$20*(Constants!$B$21-$AK132),0))</f>
        <v/>
      </c>
      <c r="AZ132" s="130" t="str">
        <f aca="false">IF($BD132&lt;&gt;Constants!$B$6,"",IF($AG132,0,Constants!$B$12)+IF($AF132,0,Constants!$B$13)+IF($Y132,0,Constants!$B$14))</f>
        <v/>
      </c>
      <c r="BA132" s="131" t="str">
        <f aca="false">IF($BD132&lt;&gt;Constants!$B$6,"",Constants!$B$16+SUM($AW132:$AZ132))</f>
        <v/>
      </c>
      <c r="BB132" s="130" t="str">
        <f aca="false">IF($BD132&lt;&gt;Constants!$B$6,"",IF($AH132,$AJ132,""))</f>
        <v/>
      </c>
      <c r="BC132" s="132" t="str">
        <f aca="false">IF($BD132&lt;&gt;Constants!$B$6,"",$AX132)</f>
        <v/>
      </c>
      <c r="BD132" s="127" t="str">
        <f aca="false">IF(ISBLANK($C132),"",IF($AL132,Constants!$B$9,IF(COUNTA($E132:$T132)=0,Constants!$B$8,IF(NOT($X132),Constants!$B$7,IF(OR($AM132,$AV132),Constants!$B$10,Constants!$B$6)))))</f>
        <v/>
      </c>
      <c r="BE132" s="127" t="str">
        <f aca="false">IF(ISBLANK($C132),"",IF($BD132&lt;&gt;Constants!$B$6,$BD132,Constants!$B$11))</f>
        <v/>
      </c>
      <c r="BF132" s="130" t="str">
        <f aca="false">IF($BD132&lt;&gt;Constants!$B$6,"",IF($AU132="-&gt;",$BA132,$AR132))</f>
        <v/>
      </c>
      <c r="BG132" s="130" t="str">
        <f aca="false">IF($BD132&lt;&gt;Constants!$B$6,"",IF($W132,0,Constants!$B$15))</f>
        <v/>
      </c>
      <c r="BH132" s="130" t="str">
        <f aca="false">IF(ISBLANK($C132),"",IF($BD132&lt;&gt;Constants!$B$6,$BD132,SUM($BF132:$BG132)))</f>
        <v/>
      </c>
      <c r="BI132" s="127" t="str">
        <f aca="false">IF(ISBLANK($C132),"",IF($BD132&lt;&gt;Constants!$B$6,$BD132,RANK($BH132,$BH$9:$BH$508,1)))</f>
        <v/>
      </c>
      <c r="BJ132" s="130" t="str">
        <f aca="false">IF($BD132&lt;&gt;Constants!$B$6,"",IF($AU132="-&gt;",$BB132,$AS132))</f>
        <v/>
      </c>
      <c r="BK132" s="127" t="str">
        <f aca="false">IF(ISBLANK($C132),"",IF($BD132&lt;&gt;Constants!$B$6,$BD132,IF(ISNUMBER($BJ132),RANK($BJ132,$BJ$9:$BJ$508,1),COUNT($BJ$9:$BJ$508)+1)))</f>
        <v/>
      </c>
      <c r="BL132" s="130" t="str">
        <f aca="false">IF($BD132&lt;&gt;Constants!$B$6,"",IF($AU132="-&gt;",$BC132,$AT132))</f>
        <v/>
      </c>
      <c r="BM132" s="127" t="str">
        <f aca="false">IF(ISBLANK($C132),"",IF($BD132&lt;&gt;Constants!$B$6,$BD132,IF(ISNUMBER($BL132),RANK($BL132,$BL$9:$BL$508,1),COUNT($BL$9:$BL$508)+1)))</f>
        <v/>
      </c>
      <c r="BN132" s="130" t="str">
        <f aca="false">IF($BD132&lt;&gt;Constants!$B$6,"",IF($AU132="-&gt;",$AS132,$BB132))</f>
        <v/>
      </c>
      <c r="BO132" s="127" t="str">
        <f aca="false">IF(ISBLANK($C132),"",IF($BD132&lt;&gt;Constants!$B$6,$BD132,IF(ISNUMBER($BN132),RANK($BN132,$BN$9:$BN$508,1),COUNT($BN$9:$BN$508)+1)))</f>
        <v/>
      </c>
      <c r="BP132" s="130" t="str">
        <f aca="false">IF($BD132&lt;&gt;Constants!$B$6,"",IF($AU132="-&gt;",$AT132,$BC132))</f>
        <v/>
      </c>
      <c r="BQ132" s="127" t="str">
        <f aca="false">IF(ISBLANK($C132),"",IF($BD132&lt;&gt;Constants!$B$6,$BD132,IF(ISNUMBER($BP132),RANK($BP132,$BP$9:$BP$508,1),COUNT($BP$9:$BP$508)+1)))</f>
        <v/>
      </c>
      <c r="BR132" s="127" t="str">
        <f aca="false">IF(ISBLANK($C132),"",IF($BD132&lt;&gt;Constants!$B$6,$BD132,COUNTIFS($BI$9:$BI$508,"&lt;"&amp;$BI132)+COUNTIFS($BI$9:$BI$508,$BI132,$BK$9:$BK$508,"&lt;"&amp;$BK132)+COUNTIFS($BI$9:$BI$508,$BI132,$BK$9:$BK$508,$BK132,$BM$9:$BM$508,"&lt;"&amp;$BM132)+COUNTIFS($BI$9:$BI$508,$BI132,$BK$9:$BK$508,$BK132,$BM$9:$BM$508,$BM132,$BO$9:$BO$508,"&lt;"&amp;$BO132)+COUNTIFS($BI$9:$BI$508,$BI132,$BK$9:$BK$508,$BK132,$BM$9:$BM$508,$BM132,$BO$9:$BO$508,$BO132,$BQ$9:$BQ$508,"&lt;"&amp;$BQ132)+1))</f>
        <v/>
      </c>
      <c r="BS132" s="127" t="str">
        <f aca="false">IF(ISBLANK($C132),"",IF($BD132&lt;&gt;Constants!$B$6,$BD132,$BI132-$BR132))</f>
        <v/>
      </c>
      <c r="BT132" s="133"/>
      <c r="BU132" s="134"/>
      <c r="BV132" s="134" t="str">
        <f aca="false">IF(ISBLANK($C132),"",IF($BD132&lt;&gt;Constants!$B$6,"",IF($AU132="-&gt;",2,1)))</f>
        <v/>
      </c>
      <c r="BW132" s="135" t="str">
        <f aca="false">IF(ISBLANK($C132),"",IF($BD132&lt;&gt;Constants!$B$6,"",IF($AU132="-&gt;",$AW132,$AN132)))</f>
        <v/>
      </c>
      <c r="BX132" s="135" t="str">
        <f aca="false">IF(ISBLANK($C132),"",IF($BD132&lt;&gt;Constants!$B$6,"",IF($AU132="-&gt;",$AX132,$AO132)))</f>
        <v/>
      </c>
      <c r="BY132" s="135" t="str">
        <f aca="false">IF(ISBLANK($C132),"",IF($BD132&lt;&gt;Constants!$B$6,"",IF($AU132="-&gt;",$AY132,$AP132)))</f>
        <v/>
      </c>
      <c r="BZ132" s="135" t="str">
        <f aca="false">IF(ISBLANK($C132),"",IF($BD132&lt;&gt;Constants!$B$6,"",IF($AU132="-&gt;",$AZ132,$AQ132)+$BG132))</f>
        <v/>
      </c>
      <c r="CA132" s="136" t="str">
        <f aca="false">IF(ISBLANK($C132),"",IF($BD132&lt;&gt;Constants!$B$6,$BD132,$BH132))</f>
        <v/>
      </c>
      <c r="CB132" s="137" t="str">
        <f aca="false">IF(ISBLANK($C132),"",$BE132)</f>
        <v/>
      </c>
      <c r="CC132" s="138" t="str">
        <f aca="false">IF(ISBLANK($C132),"",$BS132)</f>
        <v/>
      </c>
      <c r="CD132" s="138" t="str">
        <f aca="false">IF(ISBLANK($C132),"",$BR132)</f>
        <v/>
      </c>
      <c r="CE132" s="139" t="str">
        <f aca="false">IF(ISBLANK($C132),"",IF($CD132=Constants!$B$9,COUNTA($C$9:$C$508)+2,IF($CD132=Constants!$B$8,COUNTA($C$9:$C$508)+1,IF($CD132=Constants!$B$7,COUNTA($C$9:$C$508),$CD132))))</f>
        <v/>
      </c>
      <c r="CF132" s="9"/>
      <c r="CG132" s="140" t="n">
        <f aca="false">IF(OR(ISNUMBER($CD132),$CD132=Constants!$B$9,$CD132=Constants!$B$7,$CD132=Constants!$B$8),1,0)</f>
        <v>0</v>
      </c>
      <c r="CH132" s="140" t="n">
        <v>124</v>
      </c>
      <c r="CI132" s="140" t="str">
        <f aca="false">IF(ISBLANK($C132),"",IF(ISNUMBER($CE132),$CE132+ROW($B132)/1000,""))</f>
        <v/>
      </c>
      <c r="CJ132" s="140" t="str">
        <f aca="false">IF(ISNUMBER($CI132),RANK($CI132,$CI$9:$CI$508,1),"")</f>
        <v/>
      </c>
      <c r="CK132" s="140" t="str">
        <f aca="false">IF(ISBLANK($C132),"",$B132)</f>
        <v/>
      </c>
      <c r="CL132" s="140" t="str">
        <f aca="false">IF(ISBLANK($C132),"",$C132)</f>
        <v/>
      </c>
      <c r="CM132" s="140" t="str">
        <f aca="false">IF(ISBLANK($C132),"",$D132)</f>
        <v/>
      </c>
      <c r="CN132" s="141" t="str">
        <f aca="false">$CB132</f>
        <v/>
      </c>
      <c r="CO132" s="142" t="str">
        <f aca="false">$CA132</f>
        <v/>
      </c>
      <c r="CP132" s="140" t="str">
        <f aca="false">IF(ISBLANK($C132),"",$CD132)</f>
        <v/>
      </c>
      <c r="CQ132" s="143" t="str">
        <f aca="false">IF($CH132&gt;$CG$8,"",VLOOKUP($CH132,$CJ$9:$CP$508,7,FALSE()))</f>
        <v/>
      </c>
      <c r="CR132" s="144" t="str">
        <f aca="false">IF($CH132&gt;$CG$8,"",VLOOKUP($CH132,$CJ$9:$CP$508,2,FALSE()))</f>
        <v/>
      </c>
      <c r="CS132" s="144" t="str">
        <f aca="false">IF($CH132&gt;$CG$8,"",VLOOKUP($CH132,$CJ$9:$CP$508,3,FALSE()))</f>
        <v/>
      </c>
      <c r="CT132" s="144" t="str">
        <f aca="false">IF($CH132&gt;$CG$8,"",VLOOKUP($CH132,$CJ$9:$CP$508,4,FALSE()))</f>
        <v/>
      </c>
      <c r="CU132" s="144" t="str">
        <f aca="false">IF($CH132&gt;$CG$8,"",VLOOKUP($CH132,$CJ$9:$CP$508,5,FALSE()))</f>
        <v/>
      </c>
      <c r="CV132" s="145" t="str">
        <f aca="false">IF($CH132&gt;$CG$8,"",VLOOKUP($CH132,$CJ$9:$CP$508,6,FALSE()))</f>
        <v/>
      </c>
      <c r="CW132" s="71"/>
    </row>
    <row r="133" customFormat="false" ht="15.75" hidden="false" customHeight="false" outlineLevel="0" collapsed="false">
      <c r="A133" s="9"/>
      <c r="B133" s="150"/>
      <c r="C133" s="151"/>
      <c r="D133" s="152"/>
      <c r="E133" s="170"/>
      <c r="F133" s="154"/>
      <c r="G133" s="155"/>
      <c r="H133" s="171"/>
      <c r="I133" s="159"/>
      <c r="J133" s="120"/>
      <c r="K133" s="121"/>
      <c r="L133" s="122"/>
      <c r="M133" s="158"/>
      <c r="N133" s="159"/>
      <c r="O133" s="159"/>
      <c r="P133" s="120"/>
      <c r="Q133" s="122"/>
      <c r="R133" s="122"/>
      <c r="S133" s="158"/>
      <c r="T133" s="159"/>
      <c r="U133" s="126"/>
      <c r="V133" s="127"/>
      <c r="W133" s="127" t="str">
        <f aca="false">IF(ISBLANK($C133),"",IF(E133=Constants!$B$2,TRUE(),IF(E133=Constants!$B$3,FALSE(),TRUE())))</f>
        <v/>
      </c>
      <c r="X133" s="127" t="str">
        <f aca="false">IF(ISBLANK($C133),"",IF(F133=Constants!$B$2,TRUE(),IF(F133=Constants!$B$3,FALSE(),TRUE())))</f>
        <v/>
      </c>
      <c r="Y133" s="127" t="str">
        <f aca="false">IF(ISBLANK($C133),"",IF(G133=Constants!$B$2,TRUE(),IF(G133=Constants!$B$3,FALSE(),TRUE())))</f>
        <v/>
      </c>
      <c r="Z133" s="127" t="str">
        <f aca="false">IF(ISBLANK($C133),"",IF(H133=Constants!$B$2,TRUE(),IF(H133=Constants!$B$3,FALSE(),TRUE())))</f>
        <v/>
      </c>
      <c r="AA133" s="127" t="str">
        <f aca="false">IF(ISBLANK($C133),"",IF(I133=Constants!$B$2,TRUE(),IF(I133=Constants!$B$3,FALSE(),TRUE())))</f>
        <v/>
      </c>
      <c r="AB133" s="127" t="str">
        <f aca="false">IF(ISBLANK($C133),"",IF(J133=Constants!$B$4,TRUE(),IF(J133=Constants!$B$5,FALSE(),COUNTA(K133:M133)&gt;0)))</f>
        <v/>
      </c>
      <c r="AC133" s="128" t="str">
        <f aca="false">IF(ISBLANK($C133),"",IF(ISNUMBER(K133),IF(K133&gt;=0,K133,""),""))</f>
        <v/>
      </c>
      <c r="AD133" s="129" t="str">
        <f aca="false">IF(ISBLANK($C133),"",IF(ISNUMBER(L133),IF(L133&gt;=0,L133,""),""))</f>
        <v/>
      </c>
      <c r="AE133" s="127" t="str">
        <f aca="false">IF(ISBLANK($C133),"",IF(ISNUMBER(M133),IF(M133&gt;=0,MIN(M133,Constants!$B$22),""),""))</f>
        <v/>
      </c>
      <c r="AF133" s="127" t="str">
        <f aca="false">IF(ISBLANK($C133),"",IF(N133=Constants!$B$2,TRUE(),IF(N133=Constants!$B$3,FALSE(),TRUE())))</f>
        <v/>
      </c>
      <c r="AG133" s="127" t="str">
        <f aca="false">IF(ISBLANK($C133),"",IF(O133=Constants!$B$2,TRUE(),IF(O133=Constants!$B$3,FALSE(),TRUE())))</f>
        <v/>
      </c>
      <c r="AH133" s="127" t="str">
        <f aca="false">IF(ISBLANK($C133),"",IF(P133=Constants!$B$4,TRUE(),IF(P133=Constants!$B$5,FALSE(),COUNTA(Q133:S133)&gt;0)))</f>
        <v/>
      </c>
      <c r="AI133" s="128" t="str">
        <f aca="false">IF(ISBLANK($C133),"",IF(ISNUMBER(Q133),IF(Q133&gt;=0,Q133,""),""))</f>
        <v/>
      </c>
      <c r="AJ133" s="129" t="str">
        <f aca="false">IF(ISBLANK($C133),"",IF(ISNUMBER(R133),IF(R133&gt;=0,R133,""),""))</f>
        <v/>
      </c>
      <c r="AK133" s="127" t="str">
        <f aca="false">IF(ISBLANK($C133),"",IF(ISNUMBER(S133),IF(S133&gt;=0,MIN(S133,Constants!$B$22),""),""))</f>
        <v/>
      </c>
      <c r="AL133" s="127" t="str">
        <f aca="false">IF(ISBLANK($C133),"",IF(T133=Constants!$B$2,TRUE(),IF(T133=Constants!$B$3,FALSE(),FALSE())))</f>
        <v/>
      </c>
      <c r="AM133" s="126" t="str">
        <f aca="false">IF(ISBLANK($C133),"",AND($AB133,OR($AC133="",$AD133="",AND(NOT(ISBLANK($M133)),$AE133=""))))</f>
        <v/>
      </c>
      <c r="AN133" s="129" t="str">
        <f aca="false">IF($BD133&lt;&gt;Constants!$B$6,"",IF($AB133,Constants!$B$17*$AD133,Constants!$B$18))</f>
        <v/>
      </c>
      <c r="AO133" s="130" t="str">
        <f aca="false">IF($BD133&lt;&gt;Constants!$B$6,"",Constants!$B$19*IF($AB133,$AC133,0))</f>
        <v/>
      </c>
      <c r="AP133" s="130" t="str">
        <f aca="false">IF($BD133&lt;&gt;Constants!$B$6,"",IF(AND($AB133,ISNUMBER($AE133)),Constants!$B$20*(Constants!$B$21-$AE133),0))</f>
        <v/>
      </c>
      <c r="AQ133" s="130" t="str">
        <f aca="false">IF($BD133&lt;&gt;Constants!$B$6,"",IF($AA133,0,Constants!$B$12)+IF($Z133,0,Constants!$B$13)+IF($Y133,0,Constants!$B$14))</f>
        <v/>
      </c>
      <c r="AR133" s="131" t="str">
        <f aca="false">IF($BD133&lt;&gt;Constants!$B$6,"",Constants!$B$16+SUM($AN133:$AQ133))</f>
        <v/>
      </c>
      <c r="AS133" s="130" t="str">
        <f aca="false">IF($BD133&lt;&gt;Constants!$B$6,"",IF($AB133,$AD133,""))</f>
        <v/>
      </c>
      <c r="AT133" s="132" t="str">
        <f aca="false">IF($BD133&lt;&gt;Constants!$B$6,"",$AO133)</f>
        <v/>
      </c>
      <c r="AU133" s="127" t="str">
        <f aca="false">IF($BD133&lt;&gt;Constants!$B$6,"",IF(OR($BA133&lt;$AR133,AND($BA133=$AR133,OR(AND(ISNUMBER($BB133),OR(NOT(ISNUMBER($AS133)),$BB133&lt;$AS133)),AND(OR(AND($BB133="",$AS133=""),AND(ISNUMBER($BB133),ISNUMBER($AS133),$BB133=$AS133)),$BC133&lt;$AT133)))),"-&gt;","&lt;-"))</f>
        <v/>
      </c>
      <c r="AV133" s="126" t="str">
        <f aca="false">IF(ISBLANK($C133),"",AND($AH133,OR($AI133="",$AJ133="",AND(NOT(ISBLANK($S133)),$AK133=""))))</f>
        <v/>
      </c>
      <c r="AW133" s="129" t="str">
        <f aca="false">IF($BD133&lt;&gt;Constants!$B$6,"",IF($AH133,Constants!$B$17*$AJ133,Constants!$B$18))</f>
        <v/>
      </c>
      <c r="AX133" s="130" t="str">
        <f aca="false">IF($BD133&lt;&gt;Constants!$B$6,"",Constants!$B$19*IF($AH133,$AI133,0))</f>
        <v/>
      </c>
      <c r="AY133" s="130" t="str">
        <f aca="false">IF($BD133&lt;&gt;Constants!$B$6,"",IF(AND($AH133,ISNUMBER($AK133)),Constants!$B$20*(Constants!$B$21-$AK133),0))</f>
        <v/>
      </c>
      <c r="AZ133" s="130" t="str">
        <f aca="false">IF($BD133&lt;&gt;Constants!$B$6,"",IF($AG133,0,Constants!$B$12)+IF($AF133,0,Constants!$B$13)+IF($Y133,0,Constants!$B$14))</f>
        <v/>
      </c>
      <c r="BA133" s="131" t="str">
        <f aca="false">IF($BD133&lt;&gt;Constants!$B$6,"",Constants!$B$16+SUM($AW133:$AZ133))</f>
        <v/>
      </c>
      <c r="BB133" s="130" t="str">
        <f aca="false">IF($BD133&lt;&gt;Constants!$B$6,"",IF($AH133,$AJ133,""))</f>
        <v/>
      </c>
      <c r="BC133" s="132" t="str">
        <f aca="false">IF($BD133&lt;&gt;Constants!$B$6,"",$AX133)</f>
        <v/>
      </c>
      <c r="BD133" s="127" t="str">
        <f aca="false">IF(ISBLANK($C133),"",IF($AL133,Constants!$B$9,IF(COUNTA($E133:$T133)=0,Constants!$B$8,IF(NOT($X133),Constants!$B$7,IF(OR($AM133,$AV133),Constants!$B$10,Constants!$B$6)))))</f>
        <v/>
      </c>
      <c r="BE133" s="127" t="str">
        <f aca="false">IF(ISBLANK($C133),"",IF($BD133&lt;&gt;Constants!$B$6,$BD133,Constants!$B$11))</f>
        <v/>
      </c>
      <c r="BF133" s="130" t="str">
        <f aca="false">IF($BD133&lt;&gt;Constants!$B$6,"",IF($AU133="-&gt;",$BA133,$AR133))</f>
        <v/>
      </c>
      <c r="BG133" s="130" t="str">
        <f aca="false">IF($BD133&lt;&gt;Constants!$B$6,"",IF($W133,0,Constants!$B$15))</f>
        <v/>
      </c>
      <c r="BH133" s="130" t="str">
        <f aca="false">IF(ISBLANK($C133),"",IF($BD133&lt;&gt;Constants!$B$6,$BD133,SUM($BF133:$BG133)))</f>
        <v/>
      </c>
      <c r="BI133" s="127" t="str">
        <f aca="false">IF(ISBLANK($C133),"",IF($BD133&lt;&gt;Constants!$B$6,$BD133,RANK($BH133,$BH$9:$BH$508,1)))</f>
        <v/>
      </c>
      <c r="BJ133" s="130" t="str">
        <f aca="false">IF($BD133&lt;&gt;Constants!$B$6,"",IF($AU133="-&gt;",$BB133,$AS133))</f>
        <v/>
      </c>
      <c r="BK133" s="127" t="str">
        <f aca="false">IF(ISBLANK($C133),"",IF($BD133&lt;&gt;Constants!$B$6,$BD133,IF(ISNUMBER($BJ133),RANK($BJ133,$BJ$9:$BJ$508,1),COUNT($BJ$9:$BJ$508)+1)))</f>
        <v/>
      </c>
      <c r="BL133" s="130" t="str">
        <f aca="false">IF($BD133&lt;&gt;Constants!$B$6,"",IF($AU133="-&gt;",$BC133,$AT133))</f>
        <v/>
      </c>
      <c r="BM133" s="127" t="str">
        <f aca="false">IF(ISBLANK($C133),"",IF($BD133&lt;&gt;Constants!$B$6,$BD133,IF(ISNUMBER($BL133),RANK($BL133,$BL$9:$BL$508,1),COUNT($BL$9:$BL$508)+1)))</f>
        <v/>
      </c>
      <c r="BN133" s="130" t="str">
        <f aca="false">IF($BD133&lt;&gt;Constants!$B$6,"",IF($AU133="-&gt;",$AS133,$BB133))</f>
        <v/>
      </c>
      <c r="BO133" s="127" t="str">
        <f aca="false">IF(ISBLANK($C133),"",IF($BD133&lt;&gt;Constants!$B$6,$BD133,IF(ISNUMBER($BN133),RANK($BN133,$BN$9:$BN$508,1),COUNT($BN$9:$BN$508)+1)))</f>
        <v/>
      </c>
      <c r="BP133" s="130" t="str">
        <f aca="false">IF($BD133&lt;&gt;Constants!$B$6,"",IF($AU133="-&gt;",$AT133,$BC133))</f>
        <v/>
      </c>
      <c r="BQ133" s="127" t="str">
        <f aca="false">IF(ISBLANK($C133),"",IF($BD133&lt;&gt;Constants!$B$6,$BD133,IF(ISNUMBER($BP133),RANK($BP133,$BP$9:$BP$508,1),COUNT($BP$9:$BP$508)+1)))</f>
        <v/>
      </c>
      <c r="BR133" s="127" t="str">
        <f aca="false">IF(ISBLANK($C133),"",IF($BD133&lt;&gt;Constants!$B$6,$BD133,COUNTIFS($BI$9:$BI$508,"&lt;"&amp;$BI133)+COUNTIFS($BI$9:$BI$508,$BI133,$BK$9:$BK$508,"&lt;"&amp;$BK133)+COUNTIFS($BI$9:$BI$508,$BI133,$BK$9:$BK$508,$BK133,$BM$9:$BM$508,"&lt;"&amp;$BM133)+COUNTIFS($BI$9:$BI$508,$BI133,$BK$9:$BK$508,$BK133,$BM$9:$BM$508,$BM133,$BO$9:$BO$508,"&lt;"&amp;$BO133)+COUNTIFS($BI$9:$BI$508,$BI133,$BK$9:$BK$508,$BK133,$BM$9:$BM$508,$BM133,$BO$9:$BO$508,$BO133,$BQ$9:$BQ$508,"&lt;"&amp;$BQ133)+1))</f>
        <v/>
      </c>
      <c r="BS133" s="127" t="str">
        <f aca="false">IF(ISBLANK($C133),"",IF($BD133&lt;&gt;Constants!$B$6,$BD133,$BI133-$BR133))</f>
        <v/>
      </c>
      <c r="BT133" s="133"/>
      <c r="BU133" s="134"/>
      <c r="BV133" s="134" t="str">
        <f aca="false">IF(ISBLANK($C133),"",IF($BD133&lt;&gt;Constants!$B$6,"",IF($AU133="-&gt;",2,1)))</f>
        <v/>
      </c>
      <c r="BW133" s="135" t="str">
        <f aca="false">IF(ISBLANK($C133),"",IF($BD133&lt;&gt;Constants!$B$6,"",IF($AU133="-&gt;",$AW133,$AN133)))</f>
        <v/>
      </c>
      <c r="BX133" s="135" t="str">
        <f aca="false">IF(ISBLANK($C133),"",IF($BD133&lt;&gt;Constants!$B$6,"",IF($AU133="-&gt;",$AX133,$AO133)))</f>
        <v/>
      </c>
      <c r="BY133" s="135" t="str">
        <f aca="false">IF(ISBLANK($C133),"",IF($BD133&lt;&gt;Constants!$B$6,"",IF($AU133="-&gt;",$AY133,$AP133)))</f>
        <v/>
      </c>
      <c r="BZ133" s="135" t="str">
        <f aca="false">IF(ISBLANK($C133),"",IF($BD133&lt;&gt;Constants!$B$6,"",IF($AU133="-&gt;",$AZ133,$AQ133)+$BG133))</f>
        <v/>
      </c>
      <c r="CA133" s="136" t="str">
        <f aca="false">IF(ISBLANK($C133),"",IF($BD133&lt;&gt;Constants!$B$6,$BD133,$BH133))</f>
        <v/>
      </c>
      <c r="CB133" s="137" t="str">
        <f aca="false">IF(ISBLANK($C133),"",$BE133)</f>
        <v/>
      </c>
      <c r="CC133" s="138" t="str">
        <f aca="false">IF(ISBLANK($C133),"",$BS133)</f>
        <v/>
      </c>
      <c r="CD133" s="138" t="str">
        <f aca="false">IF(ISBLANK($C133),"",$BR133)</f>
        <v/>
      </c>
      <c r="CE133" s="139" t="str">
        <f aca="false">IF(ISBLANK($C133),"",IF($CD133=Constants!$B$9,COUNTA($C$9:$C$508)+2,IF($CD133=Constants!$B$8,COUNTA($C$9:$C$508)+1,IF($CD133=Constants!$B$7,COUNTA($C$9:$C$508),$CD133))))</f>
        <v/>
      </c>
      <c r="CF133" s="9"/>
      <c r="CG133" s="140" t="n">
        <f aca="false">IF(OR(ISNUMBER($CD133),$CD133=Constants!$B$9,$CD133=Constants!$B$7,$CD133=Constants!$B$8),1,0)</f>
        <v>0</v>
      </c>
      <c r="CH133" s="140" t="n">
        <v>125</v>
      </c>
      <c r="CI133" s="140" t="str">
        <f aca="false">IF(ISBLANK($C133),"",IF(ISNUMBER($CE133),$CE133+ROW($B133)/1000,""))</f>
        <v/>
      </c>
      <c r="CJ133" s="140" t="str">
        <f aca="false">IF(ISNUMBER($CI133),RANK($CI133,$CI$9:$CI$508,1),"")</f>
        <v/>
      </c>
      <c r="CK133" s="140" t="str">
        <f aca="false">IF(ISBLANK($C133),"",$B133)</f>
        <v/>
      </c>
      <c r="CL133" s="140" t="str">
        <f aca="false">IF(ISBLANK($C133),"",$C133)</f>
        <v/>
      </c>
      <c r="CM133" s="140" t="str">
        <f aca="false">IF(ISBLANK($C133),"",$D133)</f>
        <v/>
      </c>
      <c r="CN133" s="141" t="str">
        <f aca="false">$CB133</f>
        <v/>
      </c>
      <c r="CO133" s="142" t="str">
        <f aca="false">$CA133</f>
        <v/>
      </c>
      <c r="CP133" s="140" t="str">
        <f aca="false">IF(ISBLANK($C133),"",$CD133)</f>
        <v/>
      </c>
      <c r="CQ133" s="143" t="str">
        <f aca="false">IF($CH133&gt;$CG$8,"",VLOOKUP($CH133,$CJ$9:$CP$508,7,FALSE()))</f>
        <v/>
      </c>
      <c r="CR133" s="144" t="str">
        <f aca="false">IF($CH133&gt;$CG$8,"",VLOOKUP($CH133,$CJ$9:$CP$508,2,FALSE()))</f>
        <v/>
      </c>
      <c r="CS133" s="144" t="str">
        <f aca="false">IF($CH133&gt;$CG$8,"",VLOOKUP($CH133,$CJ$9:$CP$508,3,FALSE()))</f>
        <v/>
      </c>
      <c r="CT133" s="144" t="str">
        <f aca="false">IF($CH133&gt;$CG$8,"",VLOOKUP($CH133,$CJ$9:$CP$508,4,FALSE()))</f>
        <v/>
      </c>
      <c r="CU133" s="144" t="str">
        <f aca="false">IF($CH133&gt;$CG$8,"",VLOOKUP($CH133,$CJ$9:$CP$508,5,FALSE()))</f>
        <v/>
      </c>
      <c r="CV133" s="145" t="str">
        <f aca="false">IF($CH133&gt;$CG$8,"",VLOOKUP($CH133,$CJ$9:$CP$508,6,FALSE()))</f>
        <v/>
      </c>
      <c r="CW133" s="71"/>
    </row>
    <row r="134" customFormat="false" ht="15.75" hidden="false" customHeight="false" outlineLevel="0" collapsed="false">
      <c r="A134" s="9"/>
      <c r="B134" s="150"/>
      <c r="C134" s="151"/>
      <c r="D134" s="152"/>
      <c r="E134" s="170"/>
      <c r="F134" s="154"/>
      <c r="G134" s="155"/>
      <c r="H134" s="171"/>
      <c r="I134" s="159"/>
      <c r="J134" s="120"/>
      <c r="K134" s="121"/>
      <c r="L134" s="122"/>
      <c r="M134" s="158"/>
      <c r="N134" s="159"/>
      <c r="O134" s="159"/>
      <c r="P134" s="120"/>
      <c r="Q134" s="122"/>
      <c r="R134" s="122"/>
      <c r="S134" s="158"/>
      <c r="T134" s="159"/>
      <c r="U134" s="126"/>
      <c r="V134" s="127"/>
      <c r="W134" s="127" t="str">
        <f aca="false">IF(ISBLANK($C134),"",IF(E134=Constants!$B$2,TRUE(),IF(E134=Constants!$B$3,FALSE(),TRUE())))</f>
        <v/>
      </c>
      <c r="X134" s="127" t="str">
        <f aca="false">IF(ISBLANK($C134),"",IF(F134=Constants!$B$2,TRUE(),IF(F134=Constants!$B$3,FALSE(),TRUE())))</f>
        <v/>
      </c>
      <c r="Y134" s="127" t="str">
        <f aca="false">IF(ISBLANK($C134),"",IF(G134=Constants!$B$2,TRUE(),IF(G134=Constants!$B$3,FALSE(),TRUE())))</f>
        <v/>
      </c>
      <c r="Z134" s="127" t="str">
        <f aca="false">IF(ISBLANK($C134),"",IF(H134=Constants!$B$2,TRUE(),IF(H134=Constants!$B$3,FALSE(),TRUE())))</f>
        <v/>
      </c>
      <c r="AA134" s="127" t="str">
        <f aca="false">IF(ISBLANK($C134),"",IF(I134=Constants!$B$2,TRUE(),IF(I134=Constants!$B$3,FALSE(),TRUE())))</f>
        <v/>
      </c>
      <c r="AB134" s="127" t="str">
        <f aca="false">IF(ISBLANK($C134),"",IF(J134=Constants!$B$4,TRUE(),IF(J134=Constants!$B$5,FALSE(),COUNTA(K134:M134)&gt;0)))</f>
        <v/>
      </c>
      <c r="AC134" s="128" t="str">
        <f aca="false">IF(ISBLANK($C134),"",IF(ISNUMBER(K134),IF(K134&gt;=0,K134,""),""))</f>
        <v/>
      </c>
      <c r="AD134" s="129" t="str">
        <f aca="false">IF(ISBLANK($C134),"",IF(ISNUMBER(L134),IF(L134&gt;=0,L134,""),""))</f>
        <v/>
      </c>
      <c r="AE134" s="127" t="str">
        <f aca="false">IF(ISBLANK($C134),"",IF(ISNUMBER(M134),IF(M134&gt;=0,MIN(M134,Constants!$B$22),""),""))</f>
        <v/>
      </c>
      <c r="AF134" s="127" t="str">
        <f aca="false">IF(ISBLANK($C134),"",IF(N134=Constants!$B$2,TRUE(),IF(N134=Constants!$B$3,FALSE(),TRUE())))</f>
        <v/>
      </c>
      <c r="AG134" s="127" t="str">
        <f aca="false">IF(ISBLANK($C134),"",IF(O134=Constants!$B$2,TRUE(),IF(O134=Constants!$B$3,FALSE(),TRUE())))</f>
        <v/>
      </c>
      <c r="AH134" s="127" t="str">
        <f aca="false">IF(ISBLANK($C134),"",IF(P134=Constants!$B$4,TRUE(),IF(P134=Constants!$B$5,FALSE(),COUNTA(Q134:S134)&gt;0)))</f>
        <v/>
      </c>
      <c r="AI134" s="128" t="str">
        <f aca="false">IF(ISBLANK($C134),"",IF(ISNUMBER(Q134),IF(Q134&gt;=0,Q134,""),""))</f>
        <v/>
      </c>
      <c r="AJ134" s="129" t="str">
        <f aca="false">IF(ISBLANK($C134),"",IF(ISNUMBER(R134),IF(R134&gt;=0,R134,""),""))</f>
        <v/>
      </c>
      <c r="AK134" s="127" t="str">
        <f aca="false">IF(ISBLANK($C134),"",IF(ISNUMBER(S134),IF(S134&gt;=0,MIN(S134,Constants!$B$22),""),""))</f>
        <v/>
      </c>
      <c r="AL134" s="127" t="str">
        <f aca="false">IF(ISBLANK($C134),"",IF(T134=Constants!$B$2,TRUE(),IF(T134=Constants!$B$3,FALSE(),FALSE())))</f>
        <v/>
      </c>
      <c r="AM134" s="126" t="str">
        <f aca="false">IF(ISBLANK($C134),"",AND($AB134,OR($AC134="",$AD134="",AND(NOT(ISBLANK($M134)),$AE134=""))))</f>
        <v/>
      </c>
      <c r="AN134" s="129" t="str">
        <f aca="false">IF($BD134&lt;&gt;Constants!$B$6,"",IF($AB134,Constants!$B$17*$AD134,Constants!$B$18))</f>
        <v/>
      </c>
      <c r="AO134" s="130" t="str">
        <f aca="false">IF($BD134&lt;&gt;Constants!$B$6,"",Constants!$B$19*IF($AB134,$AC134,0))</f>
        <v/>
      </c>
      <c r="AP134" s="130" t="str">
        <f aca="false">IF($BD134&lt;&gt;Constants!$B$6,"",IF(AND($AB134,ISNUMBER($AE134)),Constants!$B$20*(Constants!$B$21-$AE134),0))</f>
        <v/>
      </c>
      <c r="AQ134" s="130" t="str">
        <f aca="false">IF($BD134&lt;&gt;Constants!$B$6,"",IF($AA134,0,Constants!$B$12)+IF($Z134,0,Constants!$B$13)+IF($Y134,0,Constants!$B$14))</f>
        <v/>
      </c>
      <c r="AR134" s="131" t="str">
        <f aca="false">IF($BD134&lt;&gt;Constants!$B$6,"",Constants!$B$16+SUM($AN134:$AQ134))</f>
        <v/>
      </c>
      <c r="AS134" s="130" t="str">
        <f aca="false">IF($BD134&lt;&gt;Constants!$B$6,"",IF($AB134,$AD134,""))</f>
        <v/>
      </c>
      <c r="AT134" s="132" t="str">
        <f aca="false">IF($BD134&lt;&gt;Constants!$B$6,"",$AO134)</f>
        <v/>
      </c>
      <c r="AU134" s="127" t="str">
        <f aca="false">IF($BD134&lt;&gt;Constants!$B$6,"",IF(OR($BA134&lt;$AR134,AND($BA134=$AR134,OR(AND(ISNUMBER($BB134),OR(NOT(ISNUMBER($AS134)),$BB134&lt;$AS134)),AND(OR(AND($BB134="",$AS134=""),AND(ISNUMBER($BB134),ISNUMBER($AS134),$BB134=$AS134)),$BC134&lt;$AT134)))),"-&gt;","&lt;-"))</f>
        <v/>
      </c>
      <c r="AV134" s="126" t="str">
        <f aca="false">IF(ISBLANK($C134),"",AND($AH134,OR($AI134="",$AJ134="",AND(NOT(ISBLANK($S134)),$AK134=""))))</f>
        <v/>
      </c>
      <c r="AW134" s="129" t="str">
        <f aca="false">IF($BD134&lt;&gt;Constants!$B$6,"",IF($AH134,Constants!$B$17*$AJ134,Constants!$B$18))</f>
        <v/>
      </c>
      <c r="AX134" s="130" t="str">
        <f aca="false">IF($BD134&lt;&gt;Constants!$B$6,"",Constants!$B$19*IF($AH134,$AI134,0))</f>
        <v/>
      </c>
      <c r="AY134" s="130" t="str">
        <f aca="false">IF($BD134&lt;&gt;Constants!$B$6,"",IF(AND($AH134,ISNUMBER($AK134)),Constants!$B$20*(Constants!$B$21-$AK134),0))</f>
        <v/>
      </c>
      <c r="AZ134" s="130" t="str">
        <f aca="false">IF($BD134&lt;&gt;Constants!$B$6,"",IF($AG134,0,Constants!$B$12)+IF($AF134,0,Constants!$B$13)+IF($Y134,0,Constants!$B$14))</f>
        <v/>
      </c>
      <c r="BA134" s="131" t="str">
        <f aca="false">IF($BD134&lt;&gt;Constants!$B$6,"",Constants!$B$16+SUM($AW134:$AZ134))</f>
        <v/>
      </c>
      <c r="BB134" s="130" t="str">
        <f aca="false">IF($BD134&lt;&gt;Constants!$B$6,"",IF($AH134,$AJ134,""))</f>
        <v/>
      </c>
      <c r="BC134" s="132" t="str">
        <f aca="false">IF($BD134&lt;&gt;Constants!$B$6,"",$AX134)</f>
        <v/>
      </c>
      <c r="BD134" s="127" t="str">
        <f aca="false">IF(ISBLANK($C134),"",IF($AL134,Constants!$B$9,IF(COUNTA($E134:$T134)=0,Constants!$B$8,IF(NOT($X134),Constants!$B$7,IF(OR($AM134,$AV134),Constants!$B$10,Constants!$B$6)))))</f>
        <v/>
      </c>
      <c r="BE134" s="127" t="str">
        <f aca="false">IF(ISBLANK($C134),"",IF($BD134&lt;&gt;Constants!$B$6,$BD134,Constants!$B$11))</f>
        <v/>
      </c>
      <c r="BF134" s="130" t="str">
        <f aca="false">IF($BD134&lt;&gt;Constants!$B$6,"",IF($AU134="-&gt;",$BA134,$AR134))</f>
        <v/>
      </c>
      <c r="BG134" s="130" t="str">
        <f aca="false">IF($BD134&lt;&gt;Constants!$B$6,"",IF($W134,0,Constants!$B$15))</f>
        <v/>
      </c>
      <c r="BH134" s="130" t="str">
        <f aca="false">IF(ISBLANK($C134),"",IF($BD134&lt;&gt;Constants!$B$6,$BD134,SUM($BF134:$BG134)))</f>
        <v/>
      </c>
      <c r="BI134" s="127" t="str">
        <f aca="false">IF(ISBLANK($C134),"",IF($BD134&lt;&gt;Constants!$B$6,$BD134,RANK($BH134,$BH$9:$BH$508,1)))</f>
        <v/>
      </c>
      <c r="BJ134" s="130" t="str">
        <f aca="false">IF($BD134&lt;&gt;Constants!$B$6,"",IF($AU134="-&gt;",$BB134,$AS134))</f>
        <v/>
      </c>
      <c r="BK134" s="127" t="str">
        <f aca="false">IF(ISBLANK($C134),"",IF($BD134&lt;&gt;Constants!$B$6,$BD134,IF(ISNUMBER($BJ134),RANK($BJ134,$BJ$9:$BJ$508,1),COUNT($BJ$9:$BJ$508)+1)))</f>
        <v/>
      </c>
      <c r="BL134" s="130" t="str">
        <f aca="false">IF($BD134&lt;&gt;Constants!$B$6,"",IF($AU134="-&gt;",$BC134,$AT134))</f>
        <v/>
      </c>
      <c r="BM134" s="127" t="str">
        <f aca="false">IF(ISBLANK($C134),"",IF($BD134&lt;&gt;Constants!$B$6,$BD134,IF(ISNUMBER($BL134),RANK($BL134,$BL$9:$BL$508,1),COUNT($BL$9:$BL$508)+1)))</f>
        <v/>
      </c>
      <c r="BN134" s="130" t="str">
        <f aca="false">IF($BD134&lt;&gt;Constants!$B$6,"",IF($AU134="-&gt;",$AS134,$BB134))</f>
        <v/>
      </c>
      <c r="BO134" s="127" t="str">
        <f aca="false">IF(ISBLANK($C134),"",IF($BD134&lt;&gt;Constants!$B$6,$BD134,IF(ISNUMBER($BN134),RANK($BN134,$BN$9:$BN$508,1),COUNT($BN$9:$BN$508)+1)))</f>
        <v/>
      </c>
      <c r="BP134" s="130" t="str">
        <f aca="false">IF($BD134&lt;&gt;Constants!$B$6,"",IF($AU134="-&gt;",$AT134,$BC134))</f>
        <v/>
      </c>
      <c r="BQ134" s="127" t="str">
        <f aca="false">IF(ISBLANK($C134),"",IF($BD134&lt;&gt;Constants!$B$6,$BD134,IF(ISNUMBER($BP134),RANK($BP134,$BP$9:$BP$508,1),COUNT($BP$9:$BP$508)+1)))</f>
        <v/>
      </c>
      <c r="BR134" s="127" t="str">
        <f aca="false">IF(ISBLANK($C134),"",IF($BD134&lt;&gt;Constants!$B$6,$BD134,COUNTIFS($BI$9:$BI$508,"&lt;"&amp;$BI134)+COUNTIFS($BI$9:$BI$508,$BI134,$BK$9:$BK$508,"&lt;"&amp;$BK134)+COUNTIFS($BI$9:$BI$508,$BI134,$BK$9:$BK$508,$BK134,$BM$9:$BM$508,"&lt;"&amp;$BM134)+COUNTIFS($BI$9:$BI$508,$BI134,$BK$9:$BK$508,$BK134,$BM$9:$BM$508,$BM134,$BO$9:$BO$508,"&lt;"&amp;$BO134)+COUNTIFS($BI$9:$BI$508,$BI134,$BK$9:$BK$508,$BK134,$BM$9:$BM$508,$BM134,$BO$9:$BO$508,$BO134,$BQ$9:$BQ$508,"&lt;"&amp;$BQ134)+1))</f>
        <v/>
      </c>
      <c r="BS134" s="127" t="str">
        <f aca="false">IF(ISBLANK($C134),"",IF($BD134&lt;&gt;Constants!$B$6,$BD134,$BI134-$BR134))</f>
        <v/>
      </c>
      <c r="BT134" s="133"/>
      <c r="BU134" s="134"/>
      <c r="BV134" s="134" t="str">
        <f aca="false">IF(ISBLANK($C134),"",IF($BD134&lt;&gt;Constants!$B$6,"",IF($AU134="-&gt;",2,1)))</f>
        <v/>
      </c>
      <c r="BW134" s="135" t="str">
        <f aca="false">IF(ISBLANK($C134),"",IF($BD134&lt;&gt;Constants!$B$6,"",IF($AU134="-&gt;",$AW134,$AN134)))</f>
        <v/>
      </c>
      <c r="BX134" s="135" t="str">
        <f aca="false">IF(ISBLANK($C134),"",IF($BD134&lt;&gt;Constants!$B$6,"",IF($AU134="-&gt;",$AX134,$AO134)))</f>
        <v/>
      </c>
      <c r="BY134" s="135" t="str">
        <f aca="false">IF(ISBLANK($C134),"",IF($BD134&lt;&gt;Constants!$B$6,"",IF($AU134="-&gt;",$AY134,$AP134)))</f>
        <v/>
      </c>
      <c r="BZ134" s="135" t="str">
        <f aca="false">IF(ISBLANK($C134),"",IF($BD134&lt;&gt;Constants!$B$6,"",IF($AU134="-&gt;",$AZ134,$AQ134)+$BG134))</f>
        <v/>
      </c>
      <c r="CA134" s="136" t="str">
        <f aca="false">IF(ISBLANK($C134),"",IF($BD134&lt;&gt;Constants!$B$6,$BD134,$BH134))</f>
        <v/>
      </c>
      <c r="CB134" s="137" t="str">
        <f aca="false">IF(ISBLANK($C134),"",$BE134)</f>
        <v/>
      </c>
      <c r="CC134" s="138" t="str">
        <f aca="false">IF(ISBLANK($C134),"",$BS134)</f>
        <v/>
      </c>
      <c r="CD134" s="138" t="str">
        <f aca="false">IF(ISBLANK($C134),"",$BR134)</f>
        <v/>
      </c>
      <c r="CE134" s="139" t="str">
        <f aca="false">IF(ISBLANK($C134),"",IF($CD134=Constants!$B$9,COUNTA($C$9:$C$508)+2,IF($CD134=Constants!$B$8,COUNTA($C$9:$C$508)+1,IF($CD134=Constants!$B$7,COUNTA($C$9:$C$508),$CD134))))</f>
        <v/>
      </c>
      <c r="CF134" s="9"/>
      <c r="CG134" s="140" t="n">
        <f aca="false">IF(OR(ISNUMBER($CD134),$CD134=Constants!$B$9,$CD134=Constants!$B$7,$CD134=Constants!$B$8),1,0)</f>
        <v>0</v>
      </c>
      <c r="CH134" s="140" t="n">
        <v>126</v>
      </c>
      <c r="CI134" s="140" t="str">
        <f aca="false">IF(ISBLANK($C134),"",IF(ISNUMBER($CE134),$CE134+ROW($B134)/1000,""))</f>
        <v/>
      </c>
      <c r="CJ134" s="140" t="str">
        <f aca="false">IF(ISNUMBER($CI134),RANK($CI134,$CI$9:$CI$508,1),"")</f>
        <v/>
      </c>
      <c r="CK134" s="140" t="str">
        <f aca="false">IF(ISBLANK($C134),"",$B134)</f>
        <v/>
      </c>
      <c r="CL134" s="140" t="str">
        <f aca="false">IF(ISBLANK($C134),"",$C134)</f>
        <v/>
      </c>
      <c r="CM134" s="140" t="str">
        <f aca="false">IF(ISBLANK($C134),"",$D134)</f>
        <v/>
      </c>
      <c r="CN134" s="141" t="str">
        <f aca="false">$CB134</f>
        <v/>
      </c>
      <c r="CO134" s="142" t="str">
        <f aca="false">$CA134</f>
        <v/>
      </c>
      <c r="CP134" s="140" t="str">
        <f aca="false">IF(ISBLANK($C134),"",$CD134)</f>
        <v/>
      </c>
      <c r="CQ134" s="143" t="str">
        <f aca="false">IF($CH134&gt;$CG$8,"",VLOOKUP($CH134,$CJ$9:$CP$508,7,FALSE()))</f>
        <v/>
      </c>
      <c r="CR134" s="144" t="str">
        <f aca="false">IF($CH134&gt;$CG$8,"",VLOOKUP($CH134,$CJ$9:$CP$508,2,FALSE()))</f>
        <v/>
      </c>
      <c r="CS134" s="144" t="str">
        <f aca="false">IF($CH134&gt;$CG$8,"",VLOOKUP($CH134,$CJ$9:$CP$508,3,FALSE()))</f>
        <v/>
      </c>
      <c r="CT134" s="144" t="str">
        <f aca="false">IF($CH134&gt;$CG$8,"",VLOOKUP($CH134,$CJ$9:$CP$508,4,FALSE()))</f>
        <v/>
      </c>
      <c r="CU134" s="144" t="str">
        <f aca="false">IF($CH134&gt;$CG$8,"",VLOOKUP($CH134,$CJ$9:$CP$508,5,FALSE()))</f>
        <v/>
      </c>
      <c r="CV134" s="145" t="str">
        <f aca="false">IF($CH134&gt;$CG$8,"",VLOOKUP($CH134,$CJ$9:$CP$508,6,FALSE()))</f>
        <v/>
      </c>
      <c r="CW134" s="71"/>
    </row>
    <row r="135" customFormat="false" ht="15.75" hidden="false" customHeight="false" outlineLevel="0" collapsed="false">
      <c r="A135" s="9"/>
      <c r="B135" s="72"/>
      <c r="C135" s="73"/>
      <c r="D135" s="160"/>
      <c r="E135" s="168"/>
      <c r="F135" s="162"/>
      <c r="G135" s="163"/>
      <c r="H135" s="169"/>
      <c r="I135" s="167"/>
      <c r="J135" s="80"/>
      <c r="K135" s="81"/>
      <c r="L135" s="82"/>
      <c r="M135" s="166"/>
      <c r="N135" s="167"/>
      <c r="O135" s="167"/>
      <c r="P135" s="80"/>
      <c r="Q135" s="82"/>
      <c r="R135" s="82"/>
      <c r="S135" s="166"/>
      <c r="T135" s="167"/>
      <c r="U135" s="86"/>
      <c r="V135" s="87"/>
      <c r="W135" s="87" t="str">
        <f aca="false">IF(ISBLANK($C135),"",IF(E135=Constants!$B$2,TRUE(),IF(E135=Constants!$B$3,FALSE(),TRUE())))</f>
        <v/>
      </c>
      <c r="X135" s="87" t="str">
        <f aca="false">IF(ISBLANK($C135),"",IF(F135=Constants!$B$2,TRUE(),IF(F135=Constants!$B$3,FALSE(),TRUE())))</f>
        <v/>
      </c>
      <c r="Y135" s="87" t="str">
        <f aca="false">IF(ISBLANK($C135),"",IF(G135=Constants!$B$2,TRUE(),IF(G135=Constants!$B$3,FALSE(),TRUE())))</f>
        <v/>
      </c>
      <c r="Z135" s="87" t="str">
        <f aca="false">IF(ISBLANK($C135),"",IF(H135=Constants!$B$2,TRUE(),IF(H135=Constants!$B$3,FALSE(),TRUE())))</f>
        <v/>
      </c>
      <c r="AA135" s="87" t="str">
        <f aca="false">IF(ISBLANK($C135),"",IF(I135=Constants!$B$2,TRUE(),IF(I135=Constants!$B$3,FALSE(),TRUE())))</f>
        <v/>
      </c>
      <c r="AB135" s="87" t="str">
        <f aca="false">IF(ISBLANK($C135),"",IF(J135=Constants!$B$4,TRUE(),IF(J135=Constants!$B$5,FALSE(),COUNTA(K135:M135)&gt;0)))</f>
        <v/>
      </c>
      <c r="AC135" s="88" t="str">
        <f aca="false">IF(ISBLANK($C135),"",IF(ISNUMBER(K135),IF(K135&gt;=0,K135,""),""))</f>
        <v/>
      </c>
      <c r="AD135" s="89" t="str">
        <f aca="false">IF(ISBLANK($C135),"",IF(ISNUMBER(L135),IF(L135&gt;=0,L135,""),""))</f>
        <v/>
      </c>
      <c r="AE135" s="87" t="str">
        <f aca="false">IF(ISBLANK($C135),"",IF(ISNUMBER(M135),IF(M135&gt;=0,MIN(M135,Constants!$B$22),""),""))</f>
        <v/>
      </c>
      <c r="AF135" s="87" t="str">
        <f aca="false">IF(ISBLANK($C135),"",IF(N135=Constants!$B$2,TRUE(),IF(N135=Constants!$B$3,FALSE(),TRUE())))</f>
        <v/>
      </c>
      <c r="AG135" s="87" t="str">
        <f aca="false">IF(ISBLANK($C135),"",IF(O135=Constants!$B$2,TRUE(),IF(O135=Constants!$B$3,FALSE(),TRUE())))</f>
        <v/>
      </c>
      <c r="AH135" s="87" t="str">
        <f aca="false">IF(ISBLANK($C135),"",IF(P135=Constants!$B$4,TRUE(),IF(P135=Constants!$B$5,FALSE(),COUNTA(Q135:S135)&gt;0)))</f>
        <v/>
      </c>
      <c r="AI135" s="88" t="str">
        <f aca="false">IF(ISBLANK($C135),"",IF(ISNUMBER(Q135),IF(Q135&gt;=0,Q135,""),""))</f>
        <v/>
      </c>
      <c r="AJ135" s="89" t="str">
        <f aca="false">IF(ISBLANK($C135),"",IF(ISNUMBER(R135),IF(R135&gt;=0,R135,""),""))</f>
        <v/>
      </c>
      <c r="AK135" s="87" t="str">
        <f aca="false">IF(ISBLANK($C135),"",IF(ISNUMBER(S135),IF(S135&gt;=0,MIN(S135,Constants!$B$22),""),""))</f>
        <v/>
      </c>
      <c r="AL135" s="87" t="str">
        <f aca="false">IF(ISBLANK($C135),"",IF(T135=Constants!$B$2,TRUE(),IF(T135=Constants!$B$3,FALSE(),FALSE())))</f>
        <v/>
      </c>
      <c r="AM135" s="86" t="str">
        <f aca="false">IF(ISBLANK($C135),"",AND($AB135,OR($AC135="",$AD135="",AND(NOT(ISBLANK($M135)),$AE135=""))))</f>
        <v/>
      </c>
      <c r="AN135" s="89" t="str">
        <f aca="false">IF($BD135&lt;&gt;Constants!$B$6,"",IF($AB135,Constants!$B$17*$AD135,Constants!$B$18))</f>
        <v/>
      </c>
      <c r="AO135" s="91" t="str">
        <f aca="false">IF($BD135&lt;&gt;Constants!$B$6,"",Constants!$B$19*IF($AB135,$AC135,0))</f>
        <v/>
      </c>
      <c r="AP135" s="91" t="str">
        <f aca="false">IF($BD135&lt;&gt;Constants!$B$6,"",IF(AND($AB135,ISNUMBER($AE135)),Constants!$B$20*(Constants!$B$21-$AE135),0))</f>
        <v/>
      </c>
      <c r="AQ135" s="91" t="str">
        <f aca="false">IF($BD135&lt;&gt;Constants!$B$6,"",IF($AA135,0,Constants!$B$12)+IF($Z135,0,Constants!$B$13)+IF($Y135,0,Constants!$B$14))</f>
        <v/>
      </c>
      <c r="AR135" s="92" t="str">
        <f aca="false">IF($BD135&lt;&gt;Constants!$B$6,"",Constants!$B$16+SUM($AN135:$AQ135))</f>
        <v/>
      </c>
      <c r="AS135" s="91" t="str">
        <f aca="false">IF($BD135&lt;&gt;Constants!$B$6,"",IF($AB135,$AD135,""))</f>
        <v/>
      </c>
      <c r="AT135" s="93" t="str">
        <f aca="false">IF($BD135&lt;&gt;Constants!$B$6,"",$AO135)</f>
        <v/>
      </c>
      <c r="AU135" s="87" t="str">
        <f aca="false">IF($BD135&lt;&gt;Constants!$B$6,"",IF(OR($BA135&lt;$AR135,AND($BA135=$AR135,OR(AND(ISNUMBER($BB135),OR(NOT(ISNUMBER($AS135)),$BB135&lt;$AS135)),AND(OR(AND($BB135="",$AS135=""),AND(ISNUMBER($BB135),ISNUMBER($AS135),$BB135=$AS135)),$BC135&lt;$AT135)))),"-&gt;","&lt;-"))</f>
        <v/>
      </c>
      <c r="AV135" s="86" t="str">
        <f aca="false">IF(ISBLANK($C135),"",AND($AH135,OR($AI135="",$AJ135="",AND(NOT(ISBLANK($S135)),$AK135=""))))</f>
        <v/>
      </c>
      <c r="AW135" s="89" t="str">
        <f aca="false">IF($BD135&lt;&gt;Constants!$B$6,"",IF($AH135,Constants!$B$17*$AJ135,Constants!$B$18))</f>
        <v/>
      </c>
      <c r="AX135" s="91" t="str">
        <f aca="false">IF($BD135&lt;&gt;Constants!$B$6,"",Constants!$B$19*IF($AH135,$AI135,0))</f>
        <v/>
      </c>
      <c r="AY135" s="91" t="str">
        <f aca="false">IF($BD135&lt;&gt;Constants!$B$6,"",IF(AND($AH135,ISNUMBER($AK135)),Constants!$B$20*(Constants!$B$21-$AK135),0))</f>
        <v/>
      </c>
      <c r="AZ135" s="91" t="str">
        <f aca="false">IF($BD135&lt;&gt;Constants!$B$6,"",IF($AG135,0,Constants!$B$12)+IF($AF135,0,Constants!$B$13)+IF($Y135,0,Constants!$B$14))</f>
        <v/>
      </c>
      <c r="BA135" s="92" t="str">
        <f aca="false">IF($BD135&lt;&gt;Constants!$B$6,"",Constants!$B$16+SUM($AW135:$AZ135))</f>
        <v/>
      </c>
      <c r="BB135" s="91" t="str">
        <f aca="false">IF($BD135&lt;&gt;Constants!$B$6,"",IF($AH135,$AJ135,""))</f>
        <v/>
      </c>
      <c r="BC135" s="93" t="str">
        <f aca="false">IF($BD135&lt;&gt;Constants!$B$6,"",$AX135)</f>
        <v/>
      </c>
      <c r="BD135" s="87" t="str">
        <f aca="false">IF(ISBLANK($C135),"",IF($AL135,Constants!$B$9,IF(COUNTA($E135:$T135)=0,Constants!$B$8,IF(NOT($X135),Constants!$B$7,IF(OR($AM135,$AV135),Constants!$B$10,Constants!$B$6)))))</f>
        <v/>
      </c>
      <c r="BE135" s="87" t="str">
        <f aca="false">IF(ISBLANK($C135),"",IF($BD135&lt;&gt;Constants!$B$6,$BD135,Constants!$B$11))</f>
        <v/>
      </c>
      <c r="BF135" s="91" t="str">
        <f aca="false">IF($BD135&lt;&gt;Constants!$B$6,"",IF($AU135="-&gt;",$BA135,$AR135))</f>
        <v/>
      </c>
      <c r="BG135" s="91" t="str">
        <f aca="false">IF($BD135&lt;&gt;Constants!$B$6,"",IF($W135,0,Constants!$B$15))</f>
        <v/>
      </c>
      <c r="BH135" s="91" t="str">
        <f aca="false">IF(ISBLANK($C135),"",IF($BD135&lt;&gt;Constants!$B$6,$BD135,SUM($BF135:$BG135)))</f>
        <v/>
      </c>
      <c r="BI135" s="87" t="str">
        <f aca="false">IF(ISBLANK($C135),"",IF($BD135&lt;&gt;Constants!$B$6,$BD135,RANK($BH135,$BH$9:$BH$508,1)))</f>
        <v/>
      </c>
      <c r="BJ135" s="91" t="str">
        <f aca="false">IF($BD135&lt;&gt;Constants!$B$6,"",IF($AU135="-&gt;",$BB135,$AS135))</f>
        <v/>
      </c>
      <c r="BK135" s="87" t="str">
        <f aca="false">IF(ISBLANK($C135),"",IF($BD135&lt;&gt;Constants!$B$6,$BD135,IF(ISNUMBER($BJ135),RANK($BJ135,$BJ$9:$BJ$508,1),COUNT($BJ$9:$BJ$508)+1)))</f>
        <v/>
      </c>
      <c r="BL135" s="91" t="str">
        <f aca="false">IF($BD135&lt;&gt;Constants!$B$6,"",IF($AU135="-&gt;",$BC135,$AT135))</f>
        <v/>
      </c>
      <c r="BM135" s="87" t="str">
        <f aca="false">IF(ISBLANK($C135),"",IF($BD135&lt;&gt;Constants!$B$6,$BD135,IF(ISNUMBER($BL135),RANK($BL135,$BL$9:$BL$508,1),COUNT($BL$9:$BL$508)+1)))</f>
        <v/>
      </c>
      <c r="BN135" s="91" t="str">
        <f aca="false">IF($BD135&lt;&gt;Constants!$B$6,"",IF($AU135="-&gt;",$AS135,$BB135))</f>
        <v/>
      </c>
      <c r="BO135" s="87" t="str">
        <f aca="false">IF(ISBLANK($C135),"",IF($BD135&lt;&gt;Constants!$B$6,$BD135,IF(ISNUMBER($BN135),RANK($BN135,$BN$9:$BN$508,1),COUNT($BN$9:$BN$508)+1)))</f>
        <v/>
      </c>
      <c r="BP135" s="91" t="str">
        <f aca="false">IF($BD135&lt;&gt;Constants!$B$6,"",IF($AU135="-&gt;",$AT135,$BC135))</f>
        <v/>
      </c>
      <c r="BQ135" s="87" t="str">
        <f aca="false">IF(ISBLANK($C135),"",IF($BD135&lt;&gt;Constants!$B$6,$BD135,IF(ISNUMBER($BP135),RANK($BP135,$BP$9:$BP$508,1),COUNT($BP$9:$BP$508)+1)))</f>
        <v/>
      </c>
      <c r="BR135" s="87" t="str">
        <f aca="false">IF(ISBLANK($C135),"",IF($BD135&lt;&gt;Constants!$B$6,$BD135,COUNTIFS($BI$9:$BI$508,"&lt;"&amp;$BI135)+COUNTIFS($BI$9:$BI$508,$BI135,$BK$9:$BK$508,"&lt;"&amp;$BK135)+COUNTIFS($BI$9:$BI$508,$BI135,$BK$9:$BK$508,$BK135,$BM$9:$BM$508,"&lt;"&amp;$BM135)+COUNTIFS($BI$9:$BI$508,$BI135,$BK$9:$BK$508,$BK135,$BM$9:$BM$508,$BM135,$BO$9:$BO$508,"&lt;"&amp;$BO135)+COUNTIFS($BI$9:$BI$508,$BI135,$BK$9:$BK$508,$BK135,$BM$9:$BM$508,$BM135,$BO$9:$BO$508,$BO135,$BQ$9:$BQ$508,"&lt;"&amp;$BQ135)+1))</f>
        <v/>
      </c>
      <c r="BS135" s="87" t="str">
        <f aca="false">IF(ISBLANK($C135),"",IF($BD135&lt;&gt;Constants!$B$6,$BD135,$BI135-$BR135))</f>
        <v/>
      </c>
      <c r="BT135" s="94"/>
      <c r="BU135" s="95"/>
      <c r="BV135" s="95" t="str">
        <f aca="false">IF(ISBLANK($C135),"",IF($BD135&lt;&gt;Constants!$B$6,"",IF($AU135="-&gt;",2,1)))</f>
        <v/>
      </c>
      <c r="BW135" s="96" t="str">
        <f aca="false">IF(ISBLANK($C135),"",IF($BD135&lt;&gt;Constants!$B$6,"",IF($AU135="-&gt;",$AW135,$AN135)))</f>
        <v/>
      </c>
      <c r="BX135" s="96" t="str">
        <f aca="false">IF(ISBLANK($C135),"",IF($BD135&lt;&gt;Constants!$B$6,"",IF($AU135="-&gt;",$AX135,$AO135)))</f>
        <v/>
      </c>
      <c r="BY135" s="96" t="str">
        <f aca="false">IF(ISBLANK($C135),"",IF($BD135&lt;&gt;Constants!$B$6,"",IF($AU135="-&gt;",$AY135,$AP135)))</f>
        <v/>
      </c>
      <c r="BZ135" s="96" t="str">
        <f aca="false">IF(ISBLANK($C135),"",IF($BD135&lt;&gt;Constants!$B$6,"",IF($AU135="-&gt;",$AZ135,$AQ135)+$BG135))</f>
        <v/>
      </c>
      <c r="CA135" s="97" t="str">
        <f aca="false">IF(ISBLANK($C135),"",IF($BD135&lt;&gt;Constants!$B$6,$BD135,$BH135))</f>
        <v/>
      </c>
      <c r="CB135" s="98" t="str">
        <f aca="false">IF(ISBLANK($C135),"",$BE135)</f>
        <v/>
      </c>
      <c r="CC135" s="99" t="str">
        <f aca="false">IF(ISBLANK($C135),"",$BS135)</f>
        <v/>
      </c>
      <c r="CD135" s="99" t="str">
        <f aca="false">IF(ISBLANK($C135),"",$BR135)</f>
        <v/>
      </c>
      <c r="CE135" s="100" t="str">
        <f aca="false">IF(ISBLANK($C135),"",IF($CD135=Constants!$B$9,COUNTA($C$9:$C$508)+2,IF($CD135=Constants!$B$8,COUNTA($C$9:$C$508)+1,IF($CD135=Constants!$B$7,COUNTA($C$9:$C$508),$CD135))))</f>
        <v/>
      </c>
      <c r="CF135" s="9"/>
      <c r="CG135" s="101" t="n">
        <f aca="false">IF(OR(ISNUMBER($CD135),$CD135=Constants!$B$9,$CD135=Constants!$B$7,$CD135=Constants!$B$8),1,0)</f>
        <v>0</v>
      </c>
      <c r="CH135" s="101" t="n">
        <v>127</v>
      </c>
      <c r="CI135" s="101" t="str">
        <f aca="false">IF(ISBLANK($C135),"",IF(ISNUMBER($CE135),$CE135+ROW($B135)/1000,""))</f>
        <v/>
      </c>
      <c r="CJ135" s="101" t="str">
        <f aca="false">IF(ISNUMBER($CI135),RANK($CI135,$CI$9:$CI$508,1),"")</f>
        <v/>
      </c>
      <c r="CK135" s="101" t="str">
        <f aca="false">IF(ISBLANK($C135),"",$B135)</f>
        <v/>
      </c>
      <c r="CL135" s="101" t="str">
        <f aca="false">IF(ISBLANK($C135),"",$C135)</f>
        <v/>
      </c>
      <c r="CM135" s="101" t="str">
        <f aca="false">IF(ISBLANK($C135),"",$D135)</f>
        <v/>
      </c>
      <c r="CN135" s="102" t="str">
        <f aca="false">$CB135</f>
        <v/>
      </c>
      <c r="CO135" s="103" t="str">
        <f aca="false">$CA135</f>
        <v/>
      </c>
      <c r="CP135" s="101" t="str">
        <f aca="false">IF(ISBLANK($C135),"",$CD135)</f>
        <v/>
      </c>
      <c r="CQ135" s="104" t="str">
        <f aca="false">IF($CH135&gt;$CG$8,"",VLOOKUP($CH135,$CJ$9:$CP$508,7,FALSE()))</f>
        <v/>
      </c>
      <c r="CR135" s="105" t="str">
        <f aca="false">IF($CH135&gt;$CG$8,"",VLOOKUP($CH135,$CJ$9:$CP$508,2,FALSE()))</f>
        <v/>
      </c>
      <c r="CS135" s="105" t="str">
        <f aca="false">IF($CH135&gt;$CG$8,"",VLOOKUP($CH135,$CJ$9:$CP$508,3,FALSE()))</f>
        <v/>
      </c>
      <c r="CT135" s="105" t="str">
        <f aca="false">IF($CH135&gt;$CG$8,"",VLOOKUP($CH135,$CJ$9:$CP$508,4,FALSE()))</f>
        <v/>
      </c>
      <c r="CU135" s="105" t="str">
        <f aca="false">IF($CH135&gt;$CG$8,"",VLOOKUP($CH135,$CJ$9:$CP$508,5,FALSE()))</f>
        <v/>
      </c>
      <c r="CV135" s="106" t="str">
        <f aca="false">IF($CH135&gt;$CG$8,"",VLOOKUP($CH135,$CJ$9:$CP$508,6,FALSE()))</f>
        <v/>
      </c>
      <c r="CW135" s="71"/>
    </row>
    <row r="136" customFormat="false" ht="15.75" hidden="false" customHeight="false" outlineLevel="0" collapsed="false">
      <c r="A136" s="9"/>
      <c r="B136" s="72"/>
      <c r="C136" s="73"/>
      <c r="D136" s="160"/>
      <c r="E136" s="168"/>
      <c r="F136" s="162"/>
      <c r="G136" s="163"/>
      <c r="H136" s="169"/>
      <c r="I136" s="167"/>
      <c r="J136" s="80"/>
      <c r="K136" s="81"/>
      <c r="L136" s="82"/>
      <c r="M136" s="166"/>
      <c r="N136" s="167"/>
      <c r="O136" s="167"/>
      <c r="P136" s="80"/>
      <c r="Q136" s="82"/>
      <c r="R136" s="82"/>
      <c r="S136" s="166"/>
      <c r="T136" s="167"/>
      <c r="U136" s="86"/>
      <c r="V136" s="87"/>
      <c r="W136" s="87" t="str">
        <f aca="false">IF(ISBLANK($C136),"",IF(E136=Constants!$B$2,TRUE(),IF(E136=Constants!$B$3,FALSE(),TRUE())))</f>
        <v/>
      </c>
      <c r="X136" s="87" t="str">
        <f aca="false">IF(ISBLANK($C136),"",IF(F136=Constants!$B$2,TRUE(),IF(F136=Constants!$B$3,FALSE(),TRUE())))</f>
        <v/>
      </c>
      <c r="Y136" s="87" t="str">
        <f aca="false">IF(ISBLANK($C136),"",IF(G136=Constants!$B$2,TRUE(),IF(G136=Constants!$B$3,FALSE(),TRUE())))</f>
        <v/>
      </c>
      <c r="Z136" s="87" t="str">
        <f aca="false">IF(ISBLANK($C136),"",IF(H136=Constants!$B$2,TRUE(),IF(H136=Constants!$B$3,FALSE(),TRUE())))</f>
        <v/>
      </c>
      <c r="AA136" s="87" t="str">
        <f aca="false">IF(ISBLANK($C136),"",IF(I136=Constants!$B$2,TRUE(),IF(I136=Constants!$B$3,FALSE(),TRUE())))</f>
        <v/>
      </c>
      <c r="AB136" s="87" t="str">
        <f aca="false">IF(ISBLANK($C136),"",IF(J136=Constants!$B$4,TRUE(),IF(J136=Constants!$B$5,FALSE(),COUNTA(K136:M136)&gt;0)))</f>
        <v/>
      </c>
      <c r="AC136" s="88" t="str">
        <f aca="false">IF(ISBLANK($C136),"",IF(ISNUMBER(K136),IF(K136&gt;=0,K136,""),""))</f>
        <v/>
      </c>
      <c r="AD136" s="89" t="str">
        <f aca="false">IF(ISBLANK($C136),"",IF(ISNUMBER(L136),IF(L136&gt;=0,L136,""),""))</f>
        <v/>
      </c>
      <c r="AE136" s="87" t="str">
        <f aca="false">IF(ISBLANK($C136),"",IF(ISNUMBER(M136),IF(M136&gt;=0,MIN(M136,Constants!$B$22),""),""))</f>
        <v/>
      </c>
      <c r="AF136" s="87" t="str">
        <f aca="false">IF(ISBLANK($C136),"",IF(N136=Constants!$B$2,TRUE(),IF(N136=Constants!$B$3,FALSE(),TRUE())))</f>
        <v/>
      </c>
      <c r="AG136" s="87" t="str">
        <f aca="false">IF(ISBLANK($C136),"",IF(O136=Constants!$B$2,TRUE(),IF(O136=Constants!$B$3,FALSE(),TRUE())))</f>
        <v/>
      </c>
      <c r="AH136" s="87" t="str">
        <f aca="false">IF(ISBLANK($C136),"",IF(P136=Constants!$B$4,TRUE(),IF(P136=Constants!$B$5,FALSE(),COUNTA(Q136:S136)&gt;0)))</f>
        <v/>
      </c>
      <c r="AI136" s="88" t="str">
        <f aca="false">IF(ISBLANK($C136),"",IF(ISNUMBER(Q136),IF(Q136&gt;=0,Q136,""),""))</f>
        <v/>
      </c>
      <c r="AJ136" s="89" t="str">
        <f aca="false">IF(ISBLANK($C136),"",IF(ISNUMBER(R136),IF(R136&gt;=0,R136,""),""))</f>
        <v/>
      </c>
      <c r="AK136" s="87" t="str">
        <f aca="false">IF(ISBLANK($C136),"",IF(ISNUMBER(S136),IF(S136&gt;=0,MIN(S136,Constants!$B$22),""),""))</f>
        <v/>
      </c>
      <c r="AL136" s="87" t="str">
        <f aca="false">IF(ISBLANK($C136),"",IF(T136=Constants!$B$2,TRUE(),IF(T136=Constants!$B$3,FALSE(),FALSE())))</f>
        <v/>
      </c>
      <c r="AM136" s="86" t="str">
        <f aca="false">IF(ISBLANK($C136),"",AND($AB136,OR($AC136="",$AD136="",AND(NOT(ISBLANK($M136)),$AE136=""))))</f>
        <v/>
      </c>
      <c r="AN136" s="89" t="str">
        <f aca="false">IF($BD136&lt;&gt;Constants!$B$6,"",IF($AB136,Constants!$B$17*$AD136,Constants!$B$18))</f>
        <v/>
      </c>
      <c r="AO136" s="91" t="str">
        <f aca="false">IF($BD136&lt;&gt;Constants!$B$6,"",Constants!$B$19*IF($AB136,$AC136,0))</f>
        <v/>
      </c>
      <c r="AP136" s="91" t="str">
        <f aca="false">IF($BD136&lt;&gt;Constants!$B$6,"",IF(AND($AB136,ISNUMBER($AE136)),Constants!$B$20*(Constants!$B$21-$AE136),0))</f>
        <v/>
      </c>
      <c r="AQ136" s="91" t="str">
        <f aca="false">IF($BD136&lt;&gt;Constants!$B$6,"",IF($AA136,0,Constants!$B$12)+IF($Z136,0,Constants!$B$13)+IF($Y136,0,Constants!$B$14))</f>
        <v/>
      </c>
      <c r="AR136" s="92" t="str">
        <f aca="false">IF($BD136&lt;&gt;Constants!$B$6,"",Constants!$B$16+SUM($AN136:$AQ136))</f>
        <v/>
      </c>
      <c r="AS136" s="91" t="str">
        <f aca="false">IF($BD136&lt;&gt;Constants!$B$6,"",IF($AB136,$AD136,""))</f>
        <v/>
      </c>
      <c r="AT136" s="93" t="str">
        <f aca="false">IF($BD136&lt;&gt;Constants!$B$6,"",$AO136)</f>
        <v/>
      </c>
      <c r="AU136" s="87" t="str">
        <f aca="false">IF($BD136&lt;&gt;Constants!$B$6,"",IF(OR($BA136&lt;$AR136,AND($BA136=$AR136,OR(AND(ISNUMBER($BB136),OR(NOT(ISNUMBER($AS136)),$BB136&lt;$AS136)),AND(OR(AND($BB136="",$AS136=""),AND(ISNUMBER($BB136),ISNUMBER($AS136),$BB136=$AS136)),$BC136&lt;$AT136)))),"-&gt;","&lt;-"))</f>
        <v/>
      </c>
      <c r="AV136" s="86" t="str">
        <f aca="false">IF(ISBLANK($C136),"",AND($AH136,OR($AI136="",$AJ136="",AND(NOT(ISBLANK($S136)),$AK136=""))))</f>
        <v/>
      </c>
      <c r="AW136" s="89" t="str">
        <f aca="false">IF($BD136&lt;&gt;Constants!$B$6,"",IF($AH136,Constants!$B$17*$AJ136,Constants!$B$18))</f>
        <v/>
      </c>
      <c r="AX136" s="91" t="str">
        <f aca="false">IF($BD136&lt;&gt;Constants!$B$6,"",Constants!$B$19*IF($AH136,$AI136,0))</f>
        <v/>
      </c>
      <c r="AY136" s="91" t="str">
        <f aca="false">IF($BD136&lt;&gt;Constants!$B$6,"",IF(AND($AH136,ISNUMBER($AK136)),Constants!$B$20*(Constants!$B$21-$AK136),0))</f>
        <v/>
      </c>
      <c r="AZ136" s="91" t="str">
        <f aca="false">IF($BD136&lt;&gt;Constants!$B$6,"",IF($AG136,0,Constants!$B$12)+IF($AF136,0,Constants!$B$13)+IF($Y136,0,Constants!$B$14))</f>
        <v/>
      </c>
      <c r="BA136" s="92" t="str">
        <f aca="false">IF($BD136&lt;&gt;Constants!$B$6,"",Constants!$B$16+SUM($AW136:$AZ136))</f>
        <v/>
      </c>
      <c r="BB136" s="91" t="str">
        <f aca="false">IF($BD136&lt;&gt;Constants!$B$6,"",IF($AH136,$AJ136,""))</f>
        <v/>
      </c>
      <c r="BC136" s="93" t="str">
        <f aca="false">IF($BD136&lt;&gt;Constants!$B$6,"",$AX136)</f>
        <v/>
      </c>
      <c r="BD136" s="87" t="str">
        <f aca="false">IF(ISBLANK($C136),"",IF($AL136,Constants!$B$9,IF(COUNTA($E136:$T136)=0,Constants!$B$8,IF(NOT($X136),Constants!$B$7,IF(OR($AM136,$AV136),Constants!$B$10,Constants!$B$6)))))</f>
        <v/>
      </c>
      <c r="BE136" s="87" t="str">
        <f aca="false">IF(ISBLANK($C136),"",IF($BD136&lt;&gt;Constants!$B$6,$BD136,Constants!$B$11))</f>
        <v/>
      </c>
      <c r="BF136" s="91" t="str">
        <f aca="false">IF($BD136&lt;&gt;Constants!$B$6,"",IF($AU136="-&gt;",$BA136,$AR136))</f>
        <v/>
      </c>
      <c r="BG136" s="91" t="str">
        <f aca="false">IF($BD136&lt;&gt;Constants!$B$6,"",IF($W136,0,Constants!$B$15))</f>
        <v/>
      </c>
      <c r="BH136" s="91" t="str">
        <f aca="false">IF(ISBLANK($C136),"",IF($BD136&lt;&gt;Constants!$B$6,$BD136,SUM($BF136:$BG136)))</f>
        <v/>
      </c>
      <c r="BI136" s="87" t="str">
        <f aca="false">IF(ISBLANK($C136),"",IF($BD136&lt;&gt;Constants!$B$6,$BD136,RANK($BH136,$BH$9:$BH$508,1)))</f>
        <v/>
      </c>
      <c r="BJ136" s="91" t="str">
        <f aca="false">IF($BD136&lt;&gt;Constants!$B$6,"",IF($AU136="-&gt;",$BB136,$AS136))</f>
        <v/>
      </c>
      <c r="BK136" s="87" t="str">
        <f aca="false">IF(ISBLANK($C136),"",IF($BD136&lt;&gt;Constants!$B$6,$BD136,IF(ISNUMBER($BJ136),RANK($BJ136,$BJ$9:$BJ$508,1),COUNT($BJ$9:$BJ$508)+1)))</f>
        <v/>
      </c>
      <c r="BL136" s="91" t="str">
        <f aca="false">IF($BD136&lt;&gt;Constants!$B$6,"",IF($AU136="-&gt;",$BC136,$AT136))</f>
        <v/>
      </c>
      <c r="BM136" s="87" t="str">
        <f aca="false">IF(ISBLANK($C136),"",IF($BD136&lt;&gt;Constants!$B$6,$BD136,IF(ISNUMBER($BL136),RANK($BL136,$BL$9:$BL$508,1),COUNT($BL$9:$BL$508)+1)))</f>
        <v/>
      </c>
      <c r="BN136" s="91" t="str">
        <f aca="false">IF($BD136&lt;&gt;Constants!$B$6,"",IF($AU136="-&gt;",$AS136,$BB136))</f>
        <v/>
      </c>
      <c r="BO136" s="87" t="str">
        <f aca="false">IF(ISBLANK($C136),"",IF($BD136&lt;&gt;Constants!$B$6,$BD136,IF(ISNUMBER($BN136),RANK($BN136,$BN$9:$BN$508,1),COUNT($BN$9:$BN$508)+1)))</f>
        <v/>
      </c>
      <c r="BP136" s="91" t="str">
        <f aca="false">IF($BD136&lt;&gt;Constants!$B$6,"",IF($AU136="-&gt;",$AT136,$BC136))</f>
        <v/>
      </c>
      <c r="BQ136" s="87" t="str">
        <f aca="false">IF(ISBLANK($C136),"",IF($BD136&lt;&gt;Constants!$B$6,$BD136,IF(ISNUMBER($BP136),RANK($BP136,$BP$9:$BP$508,1),COUNT($BP$9:$BP$508)+1)))</f>
        <v/>
      </c>
      <c r="BR136" s="87" t="str">
        <f aca="false">IF(ISBLANK($C136),"",IF($BD136&lt;&gt;Constants!$B$6,$BD136,COUNTIFS($BI$9:$BI$508,"&lt;"&amp;$BI136)+COUNTIFS($BI$9:$BI$508,$BI136,$BK$9:$BK$508,"&lt;"&amp;$BK136)+COUNTIFS($BI$9:$BI$508,$BI136,$BK$9:$BK$508,$BK136,$BM$9:$BM$508,"&lt;"&amp;$BM136)+COUNTIFS($BI$9:$BI$508,$BI136,$BK$9:$BK$508,$BK136,$BM$9:$BM$508,$BM136,$BO$9:$BO$508,"&lt;"&amp;$BO136)+COUNTIFS($BI$9:$BI$508,$BI136,$BK$9:$BK$508,$BK136,$BM$9:$BM$508,$BM136,$BO$9:$BO$508,$BO136,$BQ$9:$BQ$508,"&lt;"&amp;$BQ136)+1))</f>
        <v/>
      </c>
      <c r="BS136" s="87" t="str">
        <f aca="false">IF(ISBLANK($C136),"",IF($BD136&lt;&gt;Constants!$B$6,$BD136,$BI136-$BR136))</f>
        <v/>
      </c>
      <c r="BT136" s="94"/>
      <c r="BU136" s="95"/>
      <c r="BV136" s="95" t="str">
        <f aca="false">IF(ISBLANK($C136),"",IF($BD136&lt;&gt;Constants!$B$6,"",IF($AU136="-&gt;",2,1)))</f>
        <v/>
      </c>
      <c r="BW136" s="96" t="str">
        <f aca="false">IF(ISBLANK($C136),"",IF($BD136&lt;&gt;Constants!$B$6,"",IF($AU136="-&gt;",$AW136,$AN136)))</f>
        <v/>
      </c>
      <c r="BX136" s="96" t="str">
        <f aca="false">IF(ISBLANK($C136),"",IF($BD136&lt;&gt;Constants!$B$6,"",IF($AU136="-&gt;",$AX136,$AO136)))</f>
        <v/>
      </c>
      <c r="BY136" s="96" t="str">
        <f aca="false">IF(ISBLANK($C136),"",IF($BD136&lt;&gt;Constants!$B$6,"",IF($AU136="-&gt;",$AY136,$AP136)))</f>
        <v/>
      </c>
      <c r="BZ136" s="96" t="str">
        <f aca="false">IF(ISBLANK($C136),"",IF($BD136&lt;&gt;Constants!$B$6,"",IF($AU136="-&gt;",$AZ136,$AQ136)+$BG136))</f>
        <v/>
      </c>
      <c r="CA136" s="97" t="str">
        <f aca="false">IF(ISBLANK($C136),"",IF($BD136&lt;&gt;Constants!$B$6,$BD136,$BH136))</f>
        <v/>
      </c>
      <c r="CB136" s="98" t="str">
        <f aca="false">IF(ISBLANK($C136),"",$BE136)</f>
        <v/>
      </c>
      <c r="CC136" s="99" t="str">
        <f aca="false">IF(ISBLANK($C136),"",$BS136)</f>
        <v/>
      </c>
      <c r="CD136" s="99" t="str">
        <f aca="false">IF(ISBLANK($C136),"",$BR136)</f>
        <v/>
      </c>
      <c r="CE136" s="100" t="str">
        <f aca="false">IF(ISBLANK($C136),"",IF($CD136=Constants!$B$9,COUNTA($C$9:$C$508)+2,IF($CD136=Constants!$B$8,COUNTA($C$9:$C$508)+1,IF($CD136=Constants!$B$7,COUNTA($C$9:$C$508),$CD136))))</f>
        <v/>
      </c>
      <c r="CF136" s="9"/>
      <c r="CG136" s="101" t="n">
        <f aca="false">IF(OR(ISNUMBER($CD136),$CD136=Constants!$B$9,$CD136=Constants!$B$7,$CD136=Constants!$B$8),1,0)</f>
        <v>0</v>
      </c>
      <c r="CH136" s="101" t="n">
        <v>128</v>
      </c>
      <c r="CI136" s="101" t="str">
        <f aca="false">IF(ISBLANK($C136),"",IF(ISNUMBER($CE136),$CE136+ROW($B136)/1000,""))</f>
        <v/>
      </c>
      <c r="CJ136" s="101" t="str">
        <f aca="false">IF(ISNUMBER($CI136),RANK($CI136,$CI$9:$CI$508,1),"")</f>
        <v/>
      </c>
      <c r="CK136" s="101" t="str">
        <f aca="false">IF(ISBLANK($C136),"",$B136)</f>
        <v/>
      </c>
      <c r="CL136" s="101" t="str">
        <f aca="false">IF(ISBLANK($C136),"",$C136)</f>
        <v/>
      </c>
      <c r="CM136" s="101" t="str">
        <f aca="false">IF(ISBLANK($C136),"",$D136)</f>
        <v/>
      </c>
      <c r="CN136" s="102" t="str">
        <f aca="false">$CB136</f>
        <v/>
      </c>
      <c r="CO136" s="103" t="str">
        <f aca="false">$CA136</f>
        <v/>
      </c>
      <c r="CP136" s="101" t="str">
        <f aca="false">IF(ISBLANK($C136),"",$CD136)</f>
        <v/>
      </c>
      <c r="CQ136" s="104" t="str">
        <f aca="false">IF($CH136&gt;$CG$8,"",VLOOKUP($CH136,$CJ$9:$CP$508,7,FALSE()))</f>
        <v/>
      </c>
      <c r="CR136" s="105" t="str">
        <f aca="false">IF($CH136&gt;$CG$8,"",VLOOKUP($CH136,$CJ$9:$CP$508,2,FALSE()))</f>
        <v/>
      </c>
      <c r="CS136" s="105" t="str">
        <f aca="false">IF($CH136&gt;$CG$8,"",VLOOKUP($CH136,$CJ$9:$CP$508,3,FALSE()))</f>
        <v/>
      </c>
      <c r="CT136" s="105" t="str">
        <f aca="false">IF($CH136&gt;$CG$8,"",VLOOKUP($CH136,$CJ$9:$CP$508,4,FALSE()))</f>
        <v/>
      </c>
      <c r="CU136" s="105" t="str">
        <f aca="false">IF($CH136&gt;$CG$8,"",VLOOKUP($CH136,$CJ$9:$CP$508,5,FALSE()))</f>
        <v/>
      </c>
      <c r="CV136" s="106" t="str">
        <f aca="false">IF($CH136&gt;$CG$8,"",VLOOKUP($CH136,$CJ$9:$CP$508,6,FALSE()))</f>
        <v/>
      </c>
      <c r="CW136" s="71"/>
    </row>
    <row r="137" customFormat="false" ht="15.75" hidden="false" customHeight="false" outlineLevel="0" collapsed="false">
      <c r="A137" s="9"/>
      <c r="B137" s="72"/>
      <c r="C137" s="73"/>
      <c r="D137" s="160"/>
      <c r="E137" s="168"/>
      <c r="F137" s="162"/>
      <c r="G137" s="163"/>
      <c r="H137" s="169"/>
      <c r="I137" s="167"/>
      <c r="J137" s="80"/>
      <c r="K137" s="81"/>
      <c r="L137" s="82"/>
      <c r="M137" s="166"/>
      <c r="N137" s="167"/>
      <c r="O137" s="167"/>
      <c r="P137" s="80"/>
      <c r="Q137" s="82"/>
      <c r="R137" s="82"/>
      <c r="S137" s="166"/>
      <c r="T137" s="167"/>
      <c r="U137" s="86"/>
      <c r="V137" s="87"/>
      <c r="W137" s="87" t="str">
        <f aca="false">IF(ISBLANK($C137),"",IF(E137=Constants!$B$2,TRUE(),IF(E137=Constants!$B$3,FALSE(),TRUE())))</f>
        <v/>
      </c>
      <c r="X137" s="87" t="str">
        <f aca="false">IF(ISBLANK($C137),"",IF(F137=Constants!$B$2,TRUE(),IF(F137=Constants!$B$3,FALSE(),TRUE())))</f>
        <v/>
      </c>
      <c r="Y137" s="87" t="str">
        <f aca="false">IF(ISBLANK($C137),"",IF(G137=Constants!$B$2,TRUE(),IF(G137=Constants!$B$3,FALSE(),TRUE())))</f>
        <v/>
      </c>
      <c r="Z137" s="87" t="str">
        <f aca="false">IF(ISBLANK($C137),"",IF(H137=Constants!$B$2,TRUE(),IF(H137=Constants!$B$3,FALSE(),TRUE())))</f>
        <v/>
      </c>
      <c r="AA137" s="87" t="str">
        <f aca="false">IF(ISBLANK($C137),"",IF(I137=Constants!$B$2,TRUE(),IF(I137=Constants!$B$3,FALSE(),TRUE())))</f>
        <v/>
      </c>
      <c r="AB137" s="87" t="str">
        <f aca="false">IF(ISBLANK($C137),"",IF(J137=Constants!$B$4,TRUE(),IF(J137=Constants!$B$5,FALSE(),COUNTA(K137:M137)&gt;0)))</f>
        <v/>
      </c>
      <c r="AC137" s="88" t="str">
        <f aca="false">IF(ISBLANK($C137),"",IF(ISNUMBER(K137),IF(K137&gt;=0,K137,""),""))</f>
        <v/>
      </c>
      <c r="AD137" s="89" t="str">
        <f aca="false">IF(ISBLANK($C137),"",IF(ISNUMBER(L137),IF(L137&gt;=0,L137,""),""))</f>
        <v/>
      </c>
      <c r="AE137" s="87" t="str">
        <f aca="false">IF(ISBLANK($C137),"",IF(ISNUMBER(M137),IF(M137&gt;=0,MIN(M137,Constants!$B$22),""),""))</f>
        <v/>
      </c>
      <c r="AF137" s="87" t="str">
        <f aca="false">IF(ISBLANK($C137),"",IF(N137=Constants!$B$2,TRUE(),IF(N137=Constants!$B$3,FALSE(),TRUE())))</f>
        <v/>
      </c>
      <c r="AG137" s="87" t="str">
        <f aca="false">IF(ISBLANK($C137),"",IF(O137=Constants!$B$2,TRUE(),IF(O137=Constants!$B$3,FALSE(),TRUE())))</f>
        <v/>
      </c>
      <c r="AH137" s="87" t="str">
        <f aca="false">IF(ISBLANK($C137),"",IF(P137=Constants!$B$4,TRUE(),IF(P137=Constants!$B$5,FALSE(),COUNTA(Q137:S137)&gt;0)))</f>
        <v/>
      </c>
      <c r="AI137" s="88" t="str">
        <f aca="false">IF(ISBLANK($C137),"",IF(ISNUMBER(Q137),IF(Q137&gt;=0,Q137,""),""))</f>
        <v/>
      </c>
      <c r="AJ137" s="89" t="str">
        <f aca="false">IF(ISBLANK($C137),"",IF(ISNUMBER(R137),IF(R137&gt;=0,R137,""),""))</f>
        <v/>
      </c>
      <c r="AK137" s="87" t="str">
        <f aca="false">IF(ISBLANK($C137),"",IF(ISNUMBER(S137),IF(S137&gt;=0,MIN(S137,Constants!$B$22),""),""))</f>
        <v/>
      </c>
      <c r="AL137" s="87" t="str">
        <f aca="false">IF(ISBLANK($C137),"",IF(T137=Constants!$B$2,TRUE(),IF(T137=Constants!$B$3,FALSE(),FALSE())))</f>
        <v/>
      </c>
      <c r="AM137" s="86" t="str">
        <f aca="false">IF(ISBLANK($C137),"",AND($AB137,OR($AC137="",$AD137="",AND(NOT(ISBLANK($M137)),$AE137=""))))</f>
        <v/>
      </c>
      <c r="AN137" s="89" t="str">
        <f aca="false">IF($BD137&lt;&gt;Constants!$B$6,"",IF($AB137,Constants!$B$17*$AD137,Constants!$B$18))</f>
        <v/>
      </c>
      <c r="AO137" s="91" t="str">
        <f aca="false">IF($BD137&lt;&gt;Constants!$B$6,"",Constants!$B$19*IF($AB137,$AC137,0))</f>
        <v/>
      </c>
      <c r="AP137" s="91" t="str">
        <f aca="false">IF($BD137&lt;&gt;Constants!$B$6,"",IF(AND($AB137,ISNUMBER($AE137)),Constants!$B$20*(Constants!$B$21-$AE137),0))</f>
        <v/>
      </c>
      <c r="AQ137" s="91" t="str">
        <f aca="false">IF($BD137&lt;&gt;Constants!$B$6,"",IF($AA137,0,Constants!$B$12)+IF($Z137,0,Constants!$B$13)+IF($Y137,0,Constants!$B$14))</f>
        <v/>
      </c>
      <c r="AR137" s="92" t="str">
        <f aca="false">IF($BD137&lt;&gt;Constants!$B$6,"",Constants!$B$16+SUM($AN137:$AQ137))</f>
        <v/>
      </c>
      <c r="AS137" s="91" t="str">
        <f aca="false">IF($BD137&lt;&gt;Constants!$B$6,"",IF($AB137,$AD137,""))</f>
        <v/>
      </c>
      <c r="AT137" s="93" t="str">
        <f aca="false">IF($BD137&lt;&gt;Constants!$B$6,"",$AO137)</f>
        <v/>
      </c>
      <c r="AU137" s="87" t="str">
        <f aca="false">IF($BD137&lt;&gt;Constants!$B$6,"",IF(OR($BA137&lt;$AR137,AND($BA137=$AR137,OR(AND(ISNUMBER($BB137),OR(NOT(ISNUMBER($AS137)),$BB137&lt;$AS137)),AND(OR(AND($BB137="",$AS137=""),AND(ISNUMBER($BB137),ISNUMBER($AS137),$BB137=$AS137)),$BC137&lt;$AT137)))),"-&gt;","&lt;-"))</f>
        <v/>
      </c>
      <c r="AV137" s="86" t="str">
        <f aca="false">IF(ISBLANK($C137),"",AND($AH137,OR($AI137="",$AJ137="",AND(NOT(ISBLANK($S137)),$AK137=""))))</f>
        <v/>
      </c>
      <c r="AW137" s="89" t="str">
        <f aca="false">IF($BD137&lt;&gt;Constants!$B$6,"",IF($AH137,Constants!$B$17*$AJ137,Constants!$B$18))</f>
        <v/>
      </c>
      <c r="AX137" s="91" t="str">
        <f aca="false">IF($BD137&lt;&gt;Constants!$B$6,"",Constants!$B$19*IF($AH137,$AI137,0))</f>
        <v/>
      </c>
      <c r="AY137" s="91" t="str">
        <f aca="false">IF($BD137&lt;&gt;Constants!$B$6,"",IF(AND($AH137,ISNUMBER($AK137)),Constants!$B$20*(Constants!$B$21-$AK137),0))</f>
        <v/>
      </c>
      <c r="AZ137" s="91" t="str">
        <f aca="false">IF($BD137&lt;&gt;Constants!$B$6,"",IF($AG137,0,Constants!$B$12)+IF($AF137,0,Constants!$B$13)+IF($Y137,0,Constants!$B$14))</f>
        <v/>
      </c>
      <c r="BA137" s="92" t="str">
        <f aca="false">IF($BD137&lt;&gt;Constants!$B$6,"",Constants!$B$16+SUM($AW137:$AZ137))</f>
        <v/>
      </c>
      <c r="BB137" s="91" t="str">
        <f aca="false">IF($BD137&lt;&gt;Constants!$B$6,"",IF($AH137,$AJ137,""))</f>
        <v/>
      </c>
      <c r="BC137" s="93" t="str">
        <f aca="false">IF($BD137&lt;&gt;Constants!$B$6,"",$AX137)</f>
        <v/>
      </c>
      <c r="BD137" s="87" t="str">
        <f aca="false">IF(ISBLANK($C137),"",IF($AL137,Constants!$B$9,IF(COUNTA($E137:$T137)=0,Constants!$B$8,IF(NOT($X137),Constants!$B$7,IF(OR($AM137,$AV137),Constants!$B$10,Constants!$B$6)))))</f>
        <v/>
      </c>
      <c r="BE137" s="87" t="str">
        <f aca="false">IF(ISBLANK($C137),"",IF($BD137&lt;&gt;Constants!$B$6,$BD137,Constants!$B$11))</f>
        <v/>
      </c>
      <c r="BF137" s="91" t="str">
        <f aca="false">IF($BD137&lt;&gt;Constants!$B$6,"",IF($AU137="-&gt;",$BA137,$AR137))</f>
        <v/>
      </c>
      <c r="BG137" s="91" t="str">
        <f aca="false">IF($BD137&lt;&gt;Constants!$B$6,"",IF($W137,0,Constants!$B$15))</f>
        <v/>
      </c>
      <c r="BH137" s="91" t="str">
        <f aca="false">IF(ISBLANK($C137),"",IF($BD137&lt;&gt;Constants!$B$6,$BD137,SUM($BF137:$BG137)))</f>
        <v/>
      </c>
      <c r="BI137" s="87" t="str">
        <f aca="false">IF(ISBLANK($C137),"",IF($BD137&lt;&gt;Constants!$B$6,$BD137,RANK($BH137,$BH$9:$BH$508,1)))</f>
        <v/>
      </c>
      <c r="BJ137" s="91" t="str">
        <f aca="false">IF($BD137&lt;&gt;Constants!$B$6,"",IF($AU137="-&gt;",$BB137,$AS137))</f>
        <v/>
      </c>
      <c r="BK137" s="87" t="str">
        <f aca="false">IF(ISBLANK($C137),"",IF($BD137&lt;&gt;Constants!$B$6,$BD137,IF(ISNUMBER($BJ137),RANK($BJ137,$BJ$9:$BJ$508,1),COUNT($BJ$9:$BJ$508)+1)))</f>
        <v/>
      </c>
      <c r="BL137" s="91" t="str">
        <f aca="false">IF($BD137&lt;&gt;Constants!$B$6,"",IF($AU137="-&gt;",$BC137,$AT137))</f>
        <v/>
      </c>
      <c r="BM137" s="87" t="str">
        <f aca="false">IF(ISBLANK($C137),"",IF($BD137&lt;&gt;Constants!$B$6,$BD137,IF(ISNUMBER($BL137),RANK($BL137,$BL$9:$BL$508,1),COUNT($BL$9:$BL$508)+1)))</f>
        <v/>
      </c>
      <c r="BN137" s="91" t="str">
        <f aca="false">IF($BD137&lt;&gt;Constants!$B$6,"",IF($AU137="-&gt;",$AS137,$BB137))</f>
        <v/>
      </c>
      <c r="BO137" s="87" t="str">
        <f aca="false">IF(ISBLANK($C137),"",IF($BD137&lt;&gt;Constants!$B$6,$BD137,IF(ISNUMBER($BN137),RANK($BN137,$BN$9:$BN$508,1),COUNT($BN$9:$BN$508)+1)))</f>
        <v/>
      </c>
      <c r="BP137" s="91" t="str">
        <f aca="false">IF($BD137&lt;&gt;Constants!$B$6,"",IF($AU137="-&gt;",$AT137,$BC137))</f>
        <v/>
      </c>
      <c r="BQ137" s="87" t="str">
        <f aca="false">IF(ISBLANK($C137),"",IF($BD137&lt;&gt;Constants!$B$6,$BD137,IF(ISNUMBER($BP137),RANK($BP137,$BP$9:$BP$508,1),COUNT($BP$9:$BP$508)+1)))</f>
        <v/>
      </c>
      <c r="BR137" s="87" t="str">
        <f aca="false">IF(ISBLANK($C137),"",IF($BD137&lt;&gt;Constants!$B$6,$BD137,COUNTIFS($BI$9:$BI$508,"&lt;"&amp;$BI137)+COUNTIFS($BI$9:$BI$508,$BI137,$BK$9:$BK$508,"&lt;"&amp;$BK137)+COUNTIFS($BI$9:$BI$508,$BI137,$BK$9:$BK$508,$BK137,$BM$9:$BM$508,"&lt;"&amp;$BM137)+COUNTIFS($BI$9:$BI$508,$BI137,$BK$9:$BK$508,$BK137,$BM$9:$BM$508,$BM137,$BO$9:$BO$508,"&lt;"&amp;$BO137)+COUNTIFS($BI$9:$BI$508,$BI137,$BK$9:$BK$508,$BK137,$BM$9:$BM$508,$BM137,$BO$9:$BO$508,$BO137,$BQ$9:$BQ$508,"&lt;"&amp;$BQ137)+1))</f>
        <v/>
      </c>
      <c r="BS137" s="87" t="str">
        <f aca="false">IF(ISBLANK($C137),"",IF($BD137&lt;&gt;Constants!$B$6,$BD137,$BI137-$BR137))</f>
        <v/>
      </c>
      <c r="BT137" s="94"/>
      <c r="BU137" s="95"/>
      <c r="BV137" s="95" t="str">
        <f aca="false">IF(ISBLANK($C137),"",IF($BD137&lt;&gt;Constants!$B$6,"",IF($AU137="-&gt;",2,1)))</f>
        <v/>
      </c>
      <c r="BW137" s="96" t="str">
        <f aca="false">IF(ISBLANK($C137),"",IF($BD137&lt;&gt;Constants!$B$6,"",IF($AU137="-&gt;",$AW137,$AN137)))</f>
        <v/>
      </c>
      <c r="BX137" s="96" t="str">
        <f aca="false">IF(ISBLANK($C137),"",IF($BD137&lt;&gt;Constants!$B$6,"",IF($AU137="-&gt;",$AX137,$AO137)))</f>
        <v/>
      </c>
      <c r="BY137" s="96" t="str">
        <f aca="false">IF(ISBLANK($C137),"",IF($BD137&lt;&gt;Constants!$B$6,"",IF($AU137="-&gt;",$AY137,$AP137)))</f>
        <v/>
      </c>
      <c r="BZ137" s="96" t="str">
        <f aca="false">IF(ISBLANK($C137),"",IF($BD137&lt;&gt;Constants!$B$6,"",IF($AU137="-&gt;",$AZ137,$AQ137)+$BG137))</f>
        <v/>
      </c>
      <c r="CA137" s="97" t="str">
        <f aca="false">IF(ISBLANK($C137),"",IF($BD137&lt;&gt;Constants!$B$6,$BD137,$BH137))</f>
        <v/>
      </c>
      <c r="CB137" s="98" t="str">
        <f aca="false">IF(ISBLANK($C137),"",$BE137)</f>
        <v/>
      </c>
      <c r="CC137" s="99" t="str">
        <f aca="false">IF(ISBLANK($C137),"",$BS137)</f>
        <v/>
      </c>
      <c r="CD137" s="99" t="str">
        <f aca="false">IF(ISBLANK($C137),"",$BR137)</f>
        <v/>
      </c>
      <c r="CE137" s="100" t="str">
        <f aca="false">IF(ISBLANK($C137),"",IF($CD137=Constants!$B$9,COUNTA($C$9:$C$508)+2,IF($CD137=Constants!$B$8,COUNTA($C$9:$C$508)+1,IF($CD137=Constants!$B$7,COUNTA($C$9:$C$508),$CD137))))</f>
        <v/>
      </c>
      <c r="CF137" s="9"/>
      <c r="CG137" s="101" t="n">
        <f aca="false">IF(OR(ISNUMBER($CD137),$CD137=Constants!$B$9,$CD137=Constants!$B$7,$CD137=Constants!$B$8),1,0)</f>
        <v>0</v>
      </c>
      <c r="CH137" s="101" t="n">
        <v>129</v>
      </c>
      <c r="CI137" s="101" t="str">
        <f aca="false">IF(ISBLANK($C137),"",IF(ISNUMBER($CE137),$CE137+ROW($B137)/1000,""))</f>
        <v/>
      </c>
      <c r="CJ137" s="101" t="str">
        <f aca="false">IF(ISNUMBER($CI137),RANK($CI137,$CI$9:$CI$508,1),"")</f>
        <v/>
      </c>
      <c r="CK137" s="101" t="str">
        <f aca="false">IF(ISBLANK($C137),"",$B137)</f>
        <v/>
      </c>
      <c r="CL137" s="101" t="str">
        <f aca="false">IF(ISBLANK($C137),"",$C137)</f>
        <v/>
      </c>
      <c r="CM137" s="101" t="str">
        <f aca="false">IF(ISBLANK($C137),"",$D137)</f>
        <v/>
      </c>
      <c r="CN137" s="102" t="str">
        <f aca="false">$CB137</f>
        <v/>
      </c>
      <c r="CO137" s="103" t="str">
        <f aca="false">$CA137</f>
        <v/>
      </c>
      <c r="CP137" s="101" t="str">
        <f aca="false">IF(ISBLANK($C137),"",$CD137)</f>
        <v/>
      </c>
      <c r="CQ137" s="104" t="str">
        <f aca="false">IF($CH137&gt;$CG$8,"",VLOOKUP($CH137,$CJ$9:$CP$508,7,FALSE()))</f>
        <v/>
      </c>
      <c r="CR137" s="105" t="str">
        <f aca="false">IF($CH137&gt;$CG$8,"",VLOOKUP($CH137,$CJ$9:$CP$508,2,FALSE()))</f>
        <v/>
      </c>
      <c r="CS137" s="105" t="str">
        <f aca="false">IF($CH137&gt;$CG$8,"",VLOOKUP($CH137,$CJ$9:$CP$508,3,FALSE()))</f>
        <v/>
      </c>
      <c r="CT137" s="105" t="str">
        <f aca="false">IF($CH137&gt;$CG$8,"",VLOOKUP($CH137,$CJ$9:$CP$508,4,FALSE()))</f>
        <v/>
      </c>
      <c r="CU137" s="105" t="str">
        <f aca="false">IF($CH137&gt;$CG$8,"",VLOOKUP($CH137,$CJ$9:$CP$508,5,FALSE()))</f>
        <v/>
      </c>
      <c r="CV137" s="106" t="str">
        <f aca="false">IF($CH137&gt;$CG$8,"",VLOOKUP($CH137,$CJ$9:$CP$508,6,FALSE()))</f>
        <v/>
      </c>
      <c r="CW137" s="71"/>
    </row>
    <row r="138" customFormat="false" ht="15.75" hidden="false" customHeight="false" outlineLevel="0" collapsed="false">
      <c r="A138" s="9"/>
      <c r="B138" s="150"/>
      <c r="C138" s="151"/>
      <c r="D138" s="152"/>
      <c r="E138" s="170"/>
      <c r="F138" s="154"/>
      <c r="G138" s="155"/>
      <c r="H138" s="171"/>
      <c r="I138" s="159"/>
      <c r="J138" s="120"/>
      <c r="K138" s="121"/>
      <c r="L138" s="122"/>
      <c r="M138" s="158"/>
      <c r="N138" s="159"/>
      <c r="O138" s="159"/>
      <c r="P138" s="120"/>
      <c r="Q138" s="122"/>
      <c r="R138" s="122"/>
      <c r="S138" s="158"/>
      <c r="T138" s="159"/>
      <c r="U138" s="126"/>
      <c r="V138" s="127"/>
      <c r="W138" s="127" t="str">
        <f aca="false">IF(ISBLANK($C138),"",IF(E138=Constants!$B$2,TRUE(),IF(E138=Constants!$B$3,FALSE(),TRUE())))</f>
        <v/>
      </c>
      <c r="X138" s="127" t="str">
        <f aca="false">IF(ISBLANK($C138),"",IF(F138=Constants!$B$2,TRUE(),IF(F138=Constants!$B$3,FALSE(),TRUE())))</f>
        <v/>
      </c>
      <c r="Y138" s="127" t="str">
        <f aca="false">IF(ISBLANK($C138),"",IF(G138=Constants!$B$2,TRUE(),IF(G138=Constants!$B$3,FALSE(),TRUE())))</f>
        <v/>
      </c>
      <c r="Z138" s="127" t="str">
        <f aca="false">IF(ISBLANK($C138),"",IF(H138=Constants!$B$2,TRUE(),IF(H138=Constants!$B$3,FALSE(),TRUE())))</f>
        <v/>
      </c>
      <c r="AA138" s="127" t="str">
        <f aca="false">IF(ISBLANK($C138),"",IF(I138=Constants!$B$2,TRUE(),IF(I138=Constants!$B$3,FALSE(),TRUE())))</f>
        <v/>
      </c>
      <c r="AB138" s="127" t="str">
        <f aca="false">IF(ISBLANK($C138),"",IF(J138=Constants!$B$4,TRUE(),IF(J138=Constants!$B$5,FALSE(),COUNTA(K138:M138)&gt;0)))</f>
        <v/>
      </c>
      <c r="AC138" s="128" t="str">
        <f aca="false">IF(ISBLANK($C138),"",IF(ISNUMBER(K138),IF(K138&gt;=0,K138,""),""))</f>
        <v/>
      </c>
      <c r="AD138" s="129" t="str">
        <f aca="false">IF(ISBLANK($C138),"",IF(ISNUMBER(L138),IF(L138&gt;=0,L138,""),""))</f>
        <v/>
      </c>
      <c r="AE138" s="127" t="str">
        <f aca="false">IF(ISBLANK($C138),"",IF(ISNUMBER(M138),IF(M138&gt;=0,MIN(M138,Constants!$B$22),""),""))</f>
        <v/>
      </c>
      <c r="AF138" s="127" t="str">
        <f aca="false">IF(ISBLANK($C138),"",IF(N138=Constants!$B$2,TRUE(),IF(N138=Constants!$B$3,FALSE(),TRUE())))</f>
        <v/>
      </c>
      <c r="AG138" s="127" t="str">
        <f aca="false">IF(ISBLANK($C138),"",IF(O138=Constants!$B$2,TRUE(),IF(O138=Constants!$B$3,FALSE(),TRUE())))</f>
        <v/>
      </c>
      <c r="AH138" s="127" t="str">
        <f aca="false">IF(ISBLANK($C138),"",IF(P138=Constants!$B$4,TRUE(),IF(P138=Constants!$B$5,FALSE(),COUNTA(Q138:S138)&gt;0)))</f>
        <v/>
      </c>
      <c r="AI138" s="128" t="str">
        <f aca="false">IF(ISBLANK($C138),"",IF(ISNUMBER(Q138),IF(Q138&gt;=0,Q138,""),""))</f>
        <v/>
      </c>
      <c r="AJ138" s="129" t="str">
        <f aca="false">IF(ISBLANK($C138),"",IF(ISNUMBER(R138),IF(R138&gt;=0,R138,""),""))</f>
        <v/>
      </c>
      <c r="AK138" s="127" t="str">
        <f aca="false">IF(ISBLANK($C138),"",IF(ISNUMBER(S138),IF(S138&gt;=0,MIN(S138,Constants!$B$22),""),""))</f>
        <v/>
      </c>
      <c r="AL138" s="127" t="str">
        <f aca="false">IF(ISBLANK($C138),"",IF(T138=Constants!$B$2,TRUE(),IF(T138=Constants!$B$3,FALSE(),FALSE())))</f>
        <v/>
      </c>
      <c r="AM138" s="126" t="str">
        <f aca="false">IF(ISBLANK($C138),"",AND($AB138,OR($AC138="",$AD138="",AND(NOT(ISBLANK($M138)),$AE138=""))))</f>
        <v/>
      </c>
      <c r="AN138" s="129" t="str">
        <f aca="false">IF($BD138&lt;&gt;Constants!$B$6,"",IF($AB138,Constants!$B$17*$AD138,Constants!$B$18))</f>
        <v/>
      </c>
      <c r="AO138" s="130" t="str">
        <f aca="false">IF($BD138&lt;&gt;Constants!$B$6,"",Constants!$B$19*IF($AB138,$AC138,0))</f>
        <v/>
      </c>
      <c r="AP138" s="130" t="str">
        <f aca="false">IF($BD138&lt;&gt;Constants!$B$6,"",IF(AND($AB138,ISNUMBER($AE138)),Constants!$B$20*(Constants!$B$21-$AE138),0))</f>
        <v/>
      </c>
      <c r="AQ138" s="130" t="str">
        <f aca="false">IF($BD138&lt;&gt;Constants!$B$6,"",IF($AA138,0,Constants!$B$12)+IF($Z138,0,Constants!$B$13)+IF($Y138,0,Constants!$B$14))</f>
        <v/>
      </c>
      <c r="AR138" s="131" t="str">
        <f aca="false">IF($BD138&lt;&gt;Constants!$B$6,"",Constants!$B$16+SUM($AN138:$AQ138))</f>
        <v/>
      </c>
      <c r="AS138" s="130" t="str">
        <f aca="false">IF($BD138&lt;&gt;Constants!$B$6,"",IF($AB138,$AD138,""))</f>
        <v/>
      </c>
      <c r="AT138" s="132" t="str">
        <f aca="false">IF($BD138&lt;&gt;Constants!$B$6,"",$AO138)</f>
        <v/>
      </c>
      <c r="AU138" s="127" t="str">
        <f aca="false">IF($BD138&lt;&gt;Constants!$B$6,"",IF(OR($BA138&lt;$AR138,AND($BA138=$AR138,OR(AND(ISNUMBER($BB138),OR(NOT(ISNUMBER($AS138)),$BB138&lt;$AS138)),AND(OR(AND($BB138="",$AS138=""),AND(ISNUMBER($BB138),ISNUMBER($AS138),$BB138=$AS138)),$BC138&lt;$AT138)))),"-&gt;","&lt;-"))</f>
        <v/>
      </c>
      <c r="AV138" s="126" t="str">
        <f aca="false">IF(ISBLANK($C138),"",AND($AH138,OR($AI138="",$AJ138="",AND(NOT(ISBLANK($S138)),$AK138=""))))</f>
        <v/>
      </c>
      <c r="AW138" s="129" t="str">
        <f aca="false">IF($BD138&lt;&gt;Constants!$B$6,"",IF($AH138,Constants!$B$17*$AJ138,Constants!$B$18))</f>
        <v/>
      </c>
      <c r="AX138" s="130" t="str">
        <f aca="false">IF($BD138&lt;&gt;Constants!$B$6,"",Constants!$B$19*IF($AH138,$AI138,0))</f>
        <v/>
      </c>
      <c r="AY138" s="130" t="str">
        <f aca="false">IF($BD138&lt;&gt;Constants!$B$6,"",IF(AND($AH138,ISNUMBER($AK138)),Constants!$B$20*(Constants!$B$21-$AK138),0))</f>
        <v/>
      </c>
      <c r="AZ138" s="130" t="str">
        <f aca="false">IF($BD138&lt;&gt;Constants!$B$6,"",IF($AG138,0,Constants!$B$12)+IF($AF138,0,Constants!$B$13)+IF($Y138,0,Constants!$B$14))</f>
        <v/>
      </c>
      <c r="BA138" s="131" t="str">
        <f aca="false">IF($BD138&lt;&gt;Constants!$B$6,"",Constants!$B$16+SUM($AW138:$AZ138))</f>
        <v/>
      </c>
      <c r="BB138" s="130" t="str">
        <f aca="false">IF($BD138&lt;&gt;Constants!$B$6,"",IF($AH138,$AJ138,""))</f>
        <v/>
      </c>
      <c r="BC138" s="132" t="str">
        <f aca="false">IF($BD138&lt;&gt;Constants!$B$6,"",$AX138)</f>
        <v/>
      </c>
      <c r="BD138" s="127" t="str">
        <f aca="false">IF(ISBLANK($C138),"",IF($AL138,Constants!$B$9,IF(COUNTA($E138:$T138)=0,Constants!$B$8,IF(NOT($X138),Constants!$B$7,IF(OR($AM138,$AV138),Constants!$B$10,Constants!$B$6)))))</f>
        <v/>
      </c>
      <c r="BE138" s="127" t="str">
        <f aca="false">IF(ISBLANK($C138),"",IF($BD138&lt;&gt;Constants!$B$6,$BD138,Constants!$B$11))</f>
        <v/>
      </c>
      <c r="BF138" s="130" t="str">
        <f aca="false">IF($BD138&lt;&gt;Constants!$B$6,"",IF($AU138="-&gt;",$BA138,$AR138))</f>
        <v/>
      </c>
      <c r="BG138" s="130" t="str">
        <f aca="false">IF($BD138&lt;&gt;Constants!$B$6,"",IF($W138,0,Constants!$B$15))</f>
        <v/>
      </c>
      <c r="BH138" s="130" t="str">
        <f aca="false">IF(ISBLANK($C138),"",IF($BD138&lt;&gt;Constants!$B$6,$BD138,SUM($BF138:$BG138)))</f>
        <v/>
      </c>
      <c r="BI138" s="127" t="str">
        <f aca="false">IF(ISBLANK($C138),"",IF($BD138&lt;&gt;Constants!$B$6,$BD138,RANK($BH138,$BH$9:$BH$508,1)))</f>
        <v/>
      </c>
      <c r="BJ138" s="130" t="str">
        <f aca="false">IF($BD138&lt;&gt;Constants!$B$6,"",IF($AU138="-&gt;",$BB138,$AS138))</f>
        <v/>
      </c>
      <c r="BK138" s="127" t="str">
        <f aca="false">IF(ISBLANK($C138),"",IF($BD138&lt;&gt;Constants!$B$6,$BD138,IF(ISNUMBER($BJ138),RANK($BJ138,$BJ$9:$BJ$508,1),COUNT($BJ$9:$BJ$508)+1)))</f>
        <v/>
      </c>
      <c r="BL138" s="130" t="str">
        <f aca="false">IF($BD138&lt;&gt;Constants!$B$6,"",IF($AU138="-&gt;",$BC138,$AT138))</f>
        <v/>
      </c>
      <c r="BM138" s="127" t="str">
        <f aca="false">IF(ISBLANK($C138),"",IF($BD138&lt;&gt;Constants!$B$6,$BD138,IF(ISNUMBER($BL138),RANK($BL138,$BL$9:$BL$508,1),COUNT($BL$9:$BL$508)+1)))</f>
        <v/>
      </c>
      <c r="BN138" s="130" t="str">
        <f aca="false">IF($BD138&lt;&gt;Constants!$B$6,"",IF($AU138="-&gt;",$AS138,$BB138))</f>
        <v/>
      </c>
      <c r="BO138" s="127" t="str">
        <f aca="false">IF(ISBLANK($C138),"",IF($BD138&lt;&gt;Constants!$B$6,$BD138,IF(ISNUMBER($BN138),RANK($BN138,$BN$9:$BN$508,1),COUNT($BN$9:$BN$508)+1)))</f>
        <v/>
      </c>
      <c r="BP138" s="130" t="str">
        <f aca="false">IF($BD138&lt;&gt;Constants!$B$6,"",IF($AU138="-&gt;",$AT138,$BC138))</f>
        <v/>
      </c>
      <c r="BQ138" s="127" t="str">
        <f aca="false">IF(ISBLANK($C138),"",IF($BD138&lt;&gt;Constants!$B$6,$BD138,IF(ISNUMBER($BP138),RANK($BP138,$BP$9:$BP$508,1),COUNT($BP$9:$BP$508)+1)))</f>
        <v/>
      </c>
      <c r="BR138" s="127" t="str">
        <f aca="false">IF(ISBLANK($C138),"",IF($BD138&lt;&gt;Constants!$B$6,$BD138,COUNTIFS($BI$9:$BI$508,"&lt;"&amp;$BI138)+COUNTIFS($BI$9:$BI$508,$BI138,$BK$9:$BK$508,"&lt;"&amp;$BK138)+COUNTIFS($BI$9:$BI$508,$BI138,$BK$9:$BK$508,$BK138,$BM$9:$BM$508,"&lt;"&amp;$BM138)+COUNTIFS($BI$9:$BI$508,$BI138,$BK$9:$BK$508,$BK138,$BM$9:$BM$508,$BM138,$BO$9:$BO$508,"&lt;"&amp;$BO138)+COUNTIFS($BI$9:$BI$508,$BI138,$BK$9:$BK$508,$BK138,$BM$9:$BM$508,$BM138,$BO$9:$BO$508,$BO138,$BQ$9:$BQ$508,"&lt;"&amp;$BQ138)+1))</f>
        <v/>
      </c>
      <c r="BS138" s="127" t="str">
        <f aca="false">IF(ISBLANK($C138),"",IF($BD138&lt;&gt;Constants!$B$6,$BD138,$BI138-$BR138))</f>
        <v/>
      </c>
      <c r="BT138" s="133"/>
      <c r="BU138" s="134"/>
      <c r="BV138" s="134" t="str">
        <f aca="false">IF(ISBLANK($C138),"",IF($BD138&lt;&gt;Constants!$B$6,"",IF($AU138="-&gt;",2,1)))</f>
        <v/>
      </c>
      <c r="BW138" s="135" t="str">
        <f aca="false">IF(ISBLANK($C138),"",IF($BD138&lt;&gt;Constants!$B$6,"",IF($AU138="-&gt;",$AW138,$AN138)))</f>
        <v/>
      </c>
      <c r="BX138" s="135" t="str">
        <f aca="false">IF(ISBLANK($C138),"",IF($BD138&lt;&gt;Constants!$B$6,"",IF($AU138="-&gt;",$AX138,$AO138)))</f>
        <v/>
      </c>
      <c r="BY138" s="135" t="str">
        <f aca="false">IF(ISBLANK($C138),"",IF($BD138&lt;&gt;Constants!$B$6,"",IF($AU138="-&gt;",$AY138,$AP138)))</f>
        <v/>
      </c>
      <c r="BZ138" s="135" t="str">
        <f aca="false">IF(ISBLANK($C138),"",IF($BD138&lt;&gt;Constants!$B$6,"",IF($AU138="-&gt;",$AZ138,$AQ138)+$BG138))</f>
        <v/>
      </c>
      <c r="CA138" s="136" t="str">
        <f aca="false">IF(ISBLANK($C138),"",IF($BD138&lt;&gt;Constants!$B$6,$BD138,$BH138))</f>
        <v/>
      </c>
      <c r="CB138" s="137" t="str">
        <f aca="false">IF(ISBLANK($C138),"",$BE138)</f>
        <v/>
      </c>
      <c r="CC138" s="138" t="str">
        <f aca="false">IF(ISBLANK($C138),"",$BS138)</f>
        <v/>
      </c>
      <c r="CD138" s="138" t="str">
        <f aca="false">IF(ISBLANK($C138),"",$BR138)</f>
        <v/>
      </c>
      <c r="CE138" s="139" t="str">
        <f aca="false">IF(ISBLANK($C138),"",IF($CD138=Constants!$B$9,COUNTA($C$9:$C$508)+2,IF($CD138=Constants!$B$8,COUNTA($C$9:$C$508)+1,IF($CD138=Constants!$B$7,COUNTA($C$9:$C$508),$CD138))))</f>
        <v/>
      </c>
      <c r="CF138" s="9"/>
      <c r="CG138" s="140" t="n">
        <f aca="false">IF(OR(ISNUMBER($CD138),$CD138=Constants!$B$9,$CD138=Constants!$B$7,$CD138=Constants!$B$8),1,0)</f>
        <v>0</v>
      </c>
      <c r="CH138" s="140" t="n">
        <v>130</v>
      </c>
      <c r="CI138" s="140" t="str">
        <f aca="false">IF(ISBLANK($C138),"",IF(ISNUMBER($CE138),$CE138+ROW($B138)/1000,""))</f>
        <v/>
      </c>
      <c r="CJ138" s="140" t="str">
        <f aca="false">IF(ISNUMBER($CI138),RANK($CI138,$CI$9:$CI$508,1),"")</f>
        <v/>
      </c>
      <c r="CK138" s="140" t="str">
        <f aca="false">IF(ISBLANK($C138),"",$B138)</f>
        <v/>
      </c>
      <c r="CL138" s="140" t="str">
        <f aca="false">IF(ISBLANK($C138),"",$C138)</f>
        <v/>
      </c>
      <c r="CM138" s="140" t="str">
        <f aca="false">IF(ISBLANK($C138),"",$D138)</f>
        <v/>
      </c>
      <c r="CN138" s="141" t="str">
        <f aca="false">$CB138</f>
        <v/>
      </c>
      <c r="CO138" s="142" t="str">
        <f aca="false">$CA138</f>
        <v/>
      </c>
      <c r="CP138" s="140" t="str">
        <f aca="false">IF(ISBLANK($C138),"",$CD138)</f>
        <v/>
      </c>
      <c r="CQ138" s="143" t="str">
        <f aca="false">IF($CH138&gt;$CG$8,"",VLOOKUP($CH138,$CJ$9:$CP$508,7,FALSE()))</f>
        <v/>
      </c>
      <c r="CR138" s="144" t="str">
        <f aca="false">IF($CH138&gt;$CG$8,"",VLOOKUP($CH138,$CJ$9:$CP$508,2,FALSE()))</f>
        <v/>
      </c>
      <c r="CS138" s="144" t="str">
        <f aca="false">IF($CH138&gt;$CG$8,"",VLOOKUP($CH138,$CJ$9:$CP$508,3,FALSE()))</f>
        <v/>
      </c>
      <c r="CT138" s="144" t="str">
        <f aca="false">IF($CH138&gt;$CG$8,"",VLOOKUP($CH138,$CJ$9:$CP$508,4,FALSE()))</f>
        <v/>
      </c>
      <c r="CU138" s="144" t="str">
        <f aca="false">IF($CH138&gt;$CG$8,"",VLOOKUP($CH138,$CJ$9:$CP$508,5,FALSE()))</f>
        <v/>
      </c>
      <c r="CV138" s="145" t="str">
        <f aca="false">IF($CH138&gt;$CG$8,"",VLOOKUP($CH138,$CJ$9:$CP$508,6,FALSE()))</f>
        <v/>
      </c>
      <c r="CW138" s="71"/>
    </row>
    <row r="139" customFormat="false" ht="15.75" hidden="false" customHeight="false" outlineLevel="0" collapsed="false">
      <c r="A139" s="9"/>
      <c r="B139" s="150"/>
      <c r="C139" s="151"/>
      <c r="D139" s="152"/>
      <c r="E139" s="170"/>
      <c r="F139" s="154"/>
      <c r="G139" s="155"/>
      <c r="H139" s="171"/>
      <c r="I139" s="159"/>
      <c r="J139" s="120"/>
      <c r="K139" s="121"/>
      <c r="L139" s="122"/>
      <c r="M139" s="158"/>
      <c r="N139" s="159"/>
      <c r="O139" s="159"/>
      <c r="P139" s="120"/>
      <c r="Q139" s="122"/>
      <c r="R139" s="122"/>
      <c r="S139" s="158"/>
      <c r="T139" s="159"/>
      <c r="U139" s="126"/>
      <c r="V139" s="127"/>
      <c r="W139" s="127" t="str">
        <f aca="false">IF(ISBLANK($C139),"",IF(E139=Constants!$B$2,TRUE(),IF(E139=Constants!$B$3,FALSE(),TRUE())))</f>
        <v/>
      </c>
      <c r="X139" s="127" t="str">
        <f aca="false">IF(ISBLANK($C139),"",IF(F139=Constants!$B$2,TRUE(),IF(F139=Constants!$B$3,FALSE(),TRUE())))</f>
        <v/>
      </c>
      <c r="Y139" s="127" t="str">
        <f aca="false">IF(ISBLANK($C139),"",IF(G139=Constants!$B$2,TRUE(),IF(G139=Constants!$B$3,FALSE(),TRUE())))</f>
        <v/>
      </c>
      <c r="Z139" s="127" t="str">
        <f aca="false">IF(ISBLANK($C139),"",IF(H139=Constants!$B$2,TRUE(),IF(H139=Constants!$B$3,FALSE(),TRUE())))</f>
        <v/>
      </c>
      <c r="AA139" s="127" t="str">
        <f aca="false">IF(ISBLANK($C139),"",IF(I139=Constants!$B$2,TRUE(),IF(I139=Constants!$B$3,FALSE(),TRUE())))</f>
        <v/>
      </c>
      <c r="AB139" s="127" t="str">
        <f aca="false">IF(ISBLANK($C139),"",IF(J139=Constants!$B$4,TRUE(),IF(J139=Constants!$B$5,FALSE(),COUNTA(K139:M139)&gt;0)))</f>
        <v/>
      </c>
      <c r="AC139" s="128" t="str">
        <f aca="false">IF(ISBLANK($C139),"",IF(ISNUMBER(K139),IF(K139&gt;=0,K139,""),""))</f>
        <v/>
      </c>
      <c r="AD139" s="129" t="str">
        <f aca="false">IF(ISBLANK($C139),"",IF(ISNUMBER(L139),IF(L139&gt;=0,L139,""),""))</f>
        <v/>
      </c>
      <c r="AE139" s="127" t="str">
        <f aca="false">IF(ISBLANK($C139),"",IF(ISNUMBER(M139),IF(M139&gt;=0,MIN(M139,Constants!$B$22),""),""))</f>
        <v/>
      </c>
      <c r="AF139" s="127" t="str">
        <f aca="false">IF(ISBLANK($C139),"",IF(N139=Constants!$B$2,TRUE(),IF(N139=Constants!$B$3,FALSE(),TRUE())))</f>
        <v/>
      </c>
      <c r="AG139" s="127" t="str">
        <f aca="false">IF(ISBLANK($C139),"",IF(O139=Constants!$B$2,TRUE(),IF(O139=Constants!$B$3,FALSE(),TRUE())))</f>
        <v/>
      </c>
      <c r="AH139" s="127" t="str">
        <f aca="false">IF(ISBLANK($C139),"",IF(P139=Constants!$B$4,TRUE(),IF(P139=Constants!$B$5,FALSE(),COUNTA(Q139:S139)&gt;0)))</f>
        <v/>
      </c>
      <c r="AI139" s="128" t="str">
        <f aca="false">IF(ISBLANK($C139),"",IF(ISNUMBER(Q139),IF(Q139&gt;=0,Q139,""),""))</f>
        <v/>
      </c>
      <c r="AJ139" s="129" t="str">
        <f aca="false">IF(ISBLANK($C139),"",IF(ISNUMBER(R139),IF(R139&gt;=0,R139,""),""))</f>
        <v/>
      </c>
      <c r="AK139" s="127" t="str">
        <f aca="false">IF(ISBLANK($C139),"",IF(ISNUMBER(S139),IF(S139&gt;=0,MIN(S139,Constants!$B$22),""),""))</f>
        <v/>
      </c>
      <c r="AL139" s="127" t="str">
        <f aca="false">IF(ISBLANK($C139),"",IF(T139=Constants!$B$2,TRUE(),IF(T139=Constants!$B$3,FALSE(),FALSE())))</f>
        <v/>
      </c>
      <c r="AM139" s="126" t="str">
        <f aca="false">IF(ISBLANK($C139),"",AND($AB139,OR($AC139="",$AD139="",AND(NOT(ISBLANK($M139)),$AE139=""))))</f>
        <v/>
      </c>
      <c r="AN139" s="129" t="str">
        <f aca="false">IF($BD139&lt;&gt;Constants!$B$6,"",IF($AB139,Constants!$B$17*$AD139,Constants!$B$18))</f>
        <v/>
      </c>
      <c r="AO139" s="130" t="str">
        <f aca="false">IF($BD139&lt;&gt;Constants!$B$6,"",Constants!$B$19*IF($AB139,$AC139,0))</f>
        <v/>
      </c>
      <c r="AP139" s="130" t="str">
        <f aca="false">IF($BD139&lt;&gt;Constants!$B$6,"",IF(AND($AB139,ISNUMBER($AE139)),Constants!$B$20*(Constants!$B$21-$AE139),0))</f>
        <v/>
      </c>
      <c r="AQ139" s="130" t="str">
        <f aca="false">IF($BD139&lt;&gt;Constants!$B$6,"",IF($AA139,0,Constants!$B$12)+IF($Z139,0,Constants!$B$13)+IF($Y139,0,Constants!$B$14))</f>
        <v/>
      </c>
      <c r="AR139" s="131" t="str">
        <f aca="false">IF($BD139&lt;&gt;Constants!$B$6,"",Constants!$B$16+SUM($AN139:$AQ139))</f>
        <v/>
      </c>
      <c r="AS139" s="130" t="str">
        <f aca="false">IF($BD139&lt;&gt;Constants!$B$6,"",IF($AB139,$AD139,""))</f>
        <v/>
      </c>
      <c r="AT139" s="132" t="str">
        <f aca="false">IF($BD139&lt;&gt;Constants!$B$6,"",$AO139)</f>
        <v/>
      </c>
      <c r="AU139" s="127" t="str">
        <f aca="false">IF($BD139&lt;&gt;Constants!$B$6,"",IF(OR($BA139&lt;$AR139,AND($BA139=$AR139,OR(AND(ISNUMBER($BB139),OR(NOT(ISNUMBER($AS139)),$BB139&lt;$AS139)),AND(OR(AND($BB139="",$AS139=""),AND(ISNUMBER($BB139),ISNUMBER($AS139),$BB139=$AS139)),$BC139&lt;$AT139)))),"-&gt;","&lt;-"))</f>
        <v/>
      </c>
      <c r="AV139" s="126" t="str">
        <f aca="false">IF(ISBLANK($C139),"",AND($AH139,OR($AI139="",$AJ139="",AND(NOT(ISBLANK($S139)),$AK139=""))))</f>
        <v/>
      </c>
      <c r="AW139" s="129" t="str">
        <f aca="false">IF($BD139&lt;&gt;Constants!$B$6,"",IF($AH139,Constants!$B$17*$AJ139,Constants!$B$18))</f>
        <v/>
      </c>
      <c r="AX139" s="130" t="str">
        <f aca="false">IF($BD139&lt;&gt;Constants!$B$6,"",Constants!$B$19*IF($AH139,$AI139,0))</f>
        <v/>
      </c>
      <c r="AY139" s="130" t="str">
        <f aca="false">IF($BD139&lt;&gt;Constants!$B$6,"",IF(AND($AH139,ISNUMBER($AK139)),Constants!$B$20*(Constants!$B$21-$AK139),0))</f>
        <v/>
      </c>
      <c r="AZ139" s="130" t="str">
        <f aca="false">IF($BD139&lt;&gt;Constants!$B$6,"",IF($AG139,0,Constants!$B$12)+IF($AF139,0,Constants!$B$13)+IF($Y139,0,Constants!$B$14))</f>
        <v/>
      </c>
      <c r="BA139" s="131" t="str">
        <f aca="false">IF($BD139&lt;&gt;Constants!$B$6,"",Constants!$B$16+SUM($AW139:$AZ139))</f>
        <v/>
      </c>
      <c r="BB139" s="130" t="str">
        <f aca="false">IF($BD139&lt;&gt;Constants!$B$6,"",IF($AH139,$AJ139,""))</f>
        <v/>
      </c>
      <c r="BC139" s="132" t="str">
        <f aca="false">IF($BD139&lt;&gt;Constants!$B$6,"",$AX139)</f>
        <v/>
      </c>
      <c r="BD139" s="127" t="str">
        <f aca="false">IF(ISBLANK($C139),"",IF($AL139,Constants!$B$9,IF(COUNTA($E139:$T139)=0,Constants!$B$8,IF(NOT($X139),Constants!$B$7,IF(OR($AM139,$AV139),Constants!$B$10,Constants!$B$6)))))</f>
        <v/>
      </c>
      <c r="BE139" s="127" t="str">
        <f aca="false">IF(ISBLANK($C139),"",IF($BD139&lt;&gt;Constants!$B$6,$BD139,Constants!$B$11))</f>
        <v/>
      </c>
      <c r="BF139" s="130" t="str">
        <f aca="false">IF($BD139&lt;&gt;Constants!$B$6,"",IF($AU139="-&gt;",$BA139,$AR139))</f>
        <v/>
      </c>
      <c r="BG139" s="130" t="str">
        <f aca="false">IF($BD139&lt;&gt;Constants!$B$6,"",IF($W139,0,Constants!$B$15))</f>
        <v/>
      </c>
      <c r="BH139" s="130" t="str">
        <f aca="false">IF(ISBLANK($C139),"",IF($BD139&lt;&gt;Constants!$B$6,$BD139,SUM($BF139:$BG139)))</f>
        <v/>
      </c>
      <c r="BI139" s="127" t="str">
        <f aca="false">IF(ISBLANK($C139),"",IF($BD139&lt;&gt;Constants!$B$6,$BD139,RANK($BH139,$BH$9:$BH$508,1)))</f>
        <v/>
      </c>
      <c r="BJ139" s="130" t="str">
        <f aca="false">IF($BD139&lt;&gt;Constants!$B$6,"",IF($AU139="-&gt;",$BB139,$AS139))</f>
        <v/>
      </c>
      <c r="BK139" s="127" t="str">
        <f aca="false">IF(ISBLANK($C139),"",IF($BD139&lt;&gt;Constants!$B$6,$BD139,IF(ISNUMBER($BJ139),RANK($BJ139,$BJ$9:$BJ$508,1),COUNT($BJ$9:$BJ$508)+1)))</f>
        <v/>
      </c>
      <c r="BL139" s="130" t="str">
        <f aca="false">IF($BD139&lt;&gt;Constants!$B$6,"",IF($AU139="-&gt;",$BC139,$AT139))</f>
        <v/>
      </c>
      <c r="BM139" s="127" t="str">
        <f aca="false">IF(ISBLANK($C139),"",IF($BD139&lt;&gt;Constants!$B$6,$BD139,IF(ISNUMBER($BL139),RANK($BL139,$BL$9:$BL$508,1),COUNT($BL$9:$BL$508)+1)))</f>
        <v/>
      </c>
      <c r="BN139" s="130" t="str">
        <f aca="false">IF($BD139&lt;&gt;Constants!$B$6,"",IF($AU139="-&gt;",$AS139,$BB139))</f>
        <v/>
      </c>
      <c r="BO139" s="127" t="str">
        <f aca="false">IF(ISBLANK($C139),"",IF($BD139&lt;&gt;Constants!$B$6,$BD139,IF(ISNUMBER($BN139),RANK($BN139,$BN$9:$BN$508,1),COUNT($BN$9:$BN$508)+1)))</f>
        <v/>
      </c>
      <c r="BP139" s="130" t="str">
        <f aca="false">IF($BD139&lt;&gt;Constants!$B$6,"",IF($AU139="-&gt;",$AT139,$BC139))</f>
        <v/>
      </c>
      <c r="BQ139" s="127" t="str">
        <f aca="false">IF(ISBLANK($C139),"",IF($BD139&lt;&gt;Constants!$B$6,$BD139,IF(ISNUMBER($BP139),RANK($BP139,$BP$9:$BP$508,1),COUNT($BP$9:$BP$508)+1)))</f>
        <v/>
      </c>
      <c r="BR139" s="127" t="str">
        <f aca="false">IF(ISBLANK($C139),"",IF($BD139&lt;&gt;Constants!$B$6,$BD139,COUNTIFS($BI$9:$BI$508,"&lt;"&amp;$BI139)+COUNTIFS($BI$9:$BI$508,$BI139,$BK$9:$BK$508,"&lt;"&amp;$BK139)+COUNTIFS($BI$9:$BI$508,$BI139,$BK$9:$BK$508,$BK139,$BM$9:$BM$508,"&lt;"&amp;$BM139)+COUNTIFS($BI$9:$BI$508,$BI139,$BK$9:$BK$508,$BK139,$BM$9:$BM$508,$BM139,$BO$9:$BO$508,"&lt;"&amp;$BO139)+COUNTIFS($BI$9:$BI$508,$BI139,$BK$9:$BK$508,$BK139,$BM$9:$BM$508,$BM139,$BO$9:$BO$508,$BO139,$BQ$9:$BQ$508,"&lt;"&amp;$BQ139)+1))</f>
        <v/>
      </c>
      <c r="BS139" s="127" t="str">
        <f aca="false">IF(ISBLANK($C139),"",IF($BD139&lt;&gt;Constants!$B$6,$BD139,$BI139-$BR139))</f>
        <v/>
      </c>
      <c r="BT139" s="133"/>
      <c r="BU139" s="134"/>
      <c r="BV139" s="134" t="str">
        <f aca="false">IF(ISBLANK($C139),"",IF($BD139&lt;&gt;Constants!$B$6,"",IF($AU139="-&gt;",2,1)))</f>
        <v/>
      </c>
      <c r="BW139" s="135" t="str">
        <f aca="false">IF(ISBLANK($C139),"",IF($BD139&lt;&gt;Constants!$B$6,"",IF($AU139="-&gt;",$AW139,$AN139)))</f>
        <v/>
      </c>
      <c r="BX139" s="135" t="str">
        <f aca="false">IF(ISBLANK($C139),"",IF($BD139&lt;&gt;Constants!$B$6,"",IF($AU139="-&gt;",$AX139,$AO139)))</f>
        <v/>
      </c>
      <c r="BY139" s="135" t="str">
        <f aca="false">IF(ISBLANK($C139),"",IF($BD139&lt;&gt;Constants!$B$6,"",IF($AU139="-&gt;",$AY139,$AP139)))</f>
        <v/>
      </c>
      <c r="BZ139" s="135" t="str">
        <f aca="false">IF(ISBLANK($C139),"",IF($BD139&lt;&gt;Constants!$B$6,"",IF($AU139="-&gt;",$AZ139,$AQ139)+$BG139))</f>
        <v/>
      </c>
      <c r="CA139" s="136" t="str">
        <f aca="false">IF(ISBLANK($C139),"",IF($BD139&lt;&gt;Constants!$B$6,$BD139,$BH139))</f>
        <v/>
      </c>
      <c r="CB139" s="137" t="str">
        <f aca="false">IF(ISBLANK($C139),"",$BE139)</f>
        <v/>
      </c>
      <c r="CC139" s="138" t="str">
        <f aca="false">IF(ISBLANK($C139),"",$BS139)</f>
        <v/>
      </c>
      <c r="CD139" s="138" t="str">
        <f aca="false">IF(ISBLANK($C139),"",$BR139)</f>
        <v/>
      </c>
      <c r="CE139" s="139" t="str">
        <f aca="false">IF(ISBLANK($C139),"",IF($CD139=Constants!$B$9,COUNTA($C$9:$C$508)+2,IF($CD139=Constants!$B$8,COUNTA($C$9:$C$508)+1,IF($CD139=Constants!$B$7,COUNTA($C$9:$C$508),$CD139))))</f>
        <v/>
      </c>
      <c r="CF139" s="9"/>
      <c r="CG139" s="140" t="n">
        <f aca="false">IF(OR(ISNUMBER($CD139),$CD139=Constants!$B$9,$CD139=Constants!$B$7,$CD139=Constants!$B$8),1,0)</f>
        <v>0</v>
      </c>
      <c r="CH139" s="140" t="n">
        <v>131</v>
      </c>
      <c r="CI139" s="140" t="str">
        <f aca="false">IF(ISBLANK($C139),"",IF(ISNUMBER($CE139),$CE139+ROW($B139)/1000,""))</f>
        <v/>
      </c>
      <c r="CJ139" s="140" t="str">
        <f aca="false">IF(ISNUMBER($CI139),RANK($CI139,$CI$9:$CI$508,1),"")</f>
        <v/>
      </c>
      <c r="CK139" s="140" t="str">
        <f aca="false">IF(ISBLANK($C139),"",$B139)</f>
        <v/>
      </c>
      <c r="CL139" s="140" t="str">
        <f aca="false">IF(ISBLANK($C139),"",$C139)</f>
        <v/>
      </c>
      <c r="CM139" s="140" t="str">
        <f aca="false">IF(ISBLANK($C139),"",$D139)</f>
        <v/>
      </c>
      <c r="CN139" s="141" t="str">
        <f aca="false">$CB139</f>
        <v/>
      </c>
      <c r="CO139" s="142" t="str">
        <f aca="false">$CA139</f>
        <v/>
      </c>
      <c r="CP139" s="140" t="str">
        <f aca="false">IF(ISBLANK($C139),"",$CD139)</f>
        <v/>
      </c>
      <c r="CQ139" s="143" t="str">
        <f aca="false">IF($CH139&gt;$CG$8,"",VLOOKUP($CH139,$CJ$9:$CP$508,7,FALSE()))</f>
        <v/>
      </c>
      <c r="CR139" s="144" t="str">
        <f aca="false">IF($CH139&gt;$CG$8,"",VLOOKUP($CH139,$CJ$9:$CP$508,2,FALSE()))</f>
        <v/>
      </c>
      <c r="CS139" s="144" t="str">
        <f aca="false">IF($CH139&gt;$CG$8,"",VLOOKUP($CH139,$CJ$9:$CP$508,3,FALSE()))</f>
        <v/>
      </c>
      <c r="CT139" s="144" t="str">
        <f aca="false">IF($CH139&gt;$CG$8,"",VLOOKUP($CH139,$CJ$9:$CP$508,4,FALSE()))</f>
        <v/>
      </c>
      <c r="CU139" s="144" t="str">
        <f aca="false">IF($CH139&gt;$CG$8,"",VLOOKUP($CH139,$CJ$9:$CP$508,5,FALSE()))</f>
        <v/>
      </c>
      <c r="CV139" s="145" t="str">
        <f aca="false">IF($CH139&gt;$CG$8,"",VLOOKUP($CH139,$CJ$9:$CP$508,6,FALSE()))</f>
        <v/>
      </c>
      <c r="CW139" s="71"/>
    </row>
    <row r="140" customFormat="false" ht="15.75" hidden="false" customHeight="false" outlineLevel="0" collapsed="false">
      <c r="A140" s="9"/>
      <c r="B140" s="150"/>
      <c r="C140" s="151"/>
      <c r="D140" s="152"/>
      <c r="E140" s="170"/>
      <c r="F140" s="154"/>
      <c r="G140" s="155"/>
      <c r="H140" s="171"/>
      <c r="I140" s="159"/>
      <c r="J140" s="120"/>
      <c r="K140" s="121"/>
      <c r="L140" s="122"/>
      <c r="M140" s="158"/>
      <c r="N140" s="159"/>
      <c r="O140" s="159"/>
      <c r="P140" s="120"/>
      <c r="Q140" s="122"/>
      <c r="R140" s="122"/>
      <c r="S140" s="158"/>
      <c r="T140" s="159"/>
      <c r="U140" s="126"/>
      <c r="V140" s="127"/>
      <c r="W140" s="127" t="str">
        <f aca="false">IF(ISBLANK($C140),"",IF(E140=Constants!$B$2,TRUE(),IF(E140=Constants!$B$3,FALSE(),TRUE())))</f>
        <v/>
      </c>
      <c r="X140" s="127" t="str">
        <f aca="false">IF(ISBLANK($C140),"",IF(F140=Constants!$B$2,TRUE(),IF(F140=Constants!$B$3,FALSE(),TRUE())))</f>
        <v/>
      </c>
      <c r="Y140" s="127" t="str">
        <f aca="false">IF(ISBLANK($C140),"",IF(G140=Constants!$B$2,TRUE(),IF(G140=Constants!$B$3,FALSE(),TRUE())))</f>
        <v/>
      </c>
      <c r="Z140" s="127" t="str">
        <f aca="false">IF(ISBLANK($C140),"",IF(H140=Constants!$B$2,TRUE(),IF(H140=Constants!$B$3,FALSE(),TRUE())))</f>
        <v/>
      </c>
      <c r="AA140" s="127" t="str">
        <f aca="false">IF(ISBLANK($C140),"",IF(I140=Constants!$B$2,TRUE(),IF(I140=Constants!$B$3,FALSE(),TRUE())))</f>
        <v/>
      </c>
      <c r="AB140" s="127" t="str">
        <f aca="false">IF(ISBLANK($C140),"",IF(J140=Constants!$B$4,TRUE(),IF(J140=Constants!$B$5,FALSE(),COUNTA(K140:M140)&gt;0)))</f>
        <v/>
      </c>
      <c r="AC140" s="128" t="str">
        <f aca="false">IF(ISBLANK($C140),"",IF(ISNUMBER(K140),IF(K140&gt;=0,K140,""),""))</f>
        <v/>
      </c>
      <c r="AD140" s="129" t="str">
        <f aca="false">IF(ISBLANK($C140),"",IF(ISNUMBER(L140),IF(L140&gt;=0,L140,""),""))</f>
        <v/>
      </c>
      <c r="AE140" s="127" t="str">
        <f aca="false">IF(ISBLANK($C140),"",IF(ISNUMBER(M140),IF(M140&gt;=0,MIN(M140,Constants!$B$22),""),""))</f>
        <v/>
      </c>
      <c r="AF140" s="127" t="str">
        <f aca="false">IF(ISBLANK($C140),"",IF(N140=Constants!$B$2,TRUE(),IF(N140=Constants!$B$3,FALSE(),TRUE())))</f>
        <v/>
      </c>
      <c r="AG140" s="127" t="str">
        <f aca="false">IF(ISBLANK($C140),"",IF(O140=Constants!$B$2,TRUE(),IF(O140=Constants!$B$3,FALSE(),TRUE())))</f>
        <v/>
      </c>
      <c r="AH140" s="127" t="str">
        <f aca="false">IF(ISBLANK($C140),"",IF(P140=Constants!$B$4,TRUE(),IF(P140=Constants!$B$5,FALSE(),COUNTA(Q140:S140)&gt;0)))</f>
        <v/>
      </c>
      <c r="AI140" s="128" t="str">
        <f aca="false">IF(ISBLANK($C140),"",IF(ISNUMBER(Q140),IF(Q140&gt;=0,Q140,""),""))</f>
        <v/>
      </c>
      <c r="AJ140" s="129" t="str">
        <f aca="false">IF(ISBLANK($C140),"",IF(ISNUMBER(R140),IF(R140&gt;=0,R140,""),""))</f>
        <v/>
      </c>
      <c r="AK140" s="127" t="str">
        <f aca="false">IF(ISBLANK($C140),"",IF(ISNUMBER(S140),IF(S140&gt;=0,MIN(S140,Constants!$B$22),""),""))</f>
        <v/>
      </c>
      <c r="AL140" s="127" t="str">
        <f aca="false">IF(ISBLANK($C140),"",IF(T140=Constants!$B$2,TRUE(),IF(T140=Constants!$B$3,FALSE(),FALSE())))</f>
        <v/>
      </c>
      <c r="AM140" s="126" t="str">
        <f aca="false">IF(ISBLANK($C140),"",AND($AB140,OR($AC140="",$AD140="",AND(NOT(ISBLANK($M140)),$AE140=""))))</f>
        <v/>
      </c>
      <c r="AN140" s="129" t="str">
        <f aca="false">IF($BD140&lt;&gt;Constants!$B$6,"",IF($AB140,Constants!$B$17*$AD140,Constants!$B$18))</f>
        <v/>
      </c>
      <c r="AO140" s="130" t="str">
        <f aca="false">IF($BD140&lt;&gt;Constants!$B$6,"",Constants!$B$19*IF($AB140,$AC140,0))</f>
        <v/>
      </c>
      <c r="AP140" s="130" t="str">
        <f aca="false">IF($BD140&lt;&gt;Constants!$B$6,"",IF(AND($AB140,ISNUMBER($AE140)),Constants!$B$20*(Constants!$B$21-$AE140),0))</f>
        <v/>
      </c>
      <c r="AQ140" s="130" t="str">
        <f aca="false">IF($BD140&lt;&gt;Constants!$B$6,"",IF($AA140,0,Constants!$B$12)+IF($Z140,0,Constants!$B$13)+IF($Y140,0,Constants!$B$14))</f>
        <v/>
      </c>
      <c r="AR140" s="131" t="str">
        <f aca="false">IF($BD140&lt;&gt;Constants!$B$6,"",Constants!$B$16+SUM($AN140:$AQ140))</f>
        <v/>
      </c>
      <c r="AS140" s="130" t="str">
        <f aca="false">IF($BD140&lt;&gt;Constants!$B$6,"",IF($AB140,$AD140,""))</f>
        <v/>
      </c>
      <c r="AT140" s="132" t="str">
        <f aca="false">IF($BD140&lt;&gt;Constants!$B$6,"",$AO140)</f>
        <v/>
      </c>
      <c r="AU140" s="127" t="str">
        <f aca="false">IF($BD140&lt;&gt;Constants!$B$6,"",IF(OR($BA140&lt;$AR140,AND($BA140=$AR140,OR(AND(ISNUMBER($BB140),OR(NOT(ISNUMBER($AS140)),$BB140&lt;$AS140)),AND(OR(AND($BB140="",$AS140=""),AND(ISNUMBER($BB140),ISNUMBER($AS140),$BB140=$AS140)),$BC140&lt;$AT140)))),"-&gt;","&lt;-"))</f>
        <v/>
      </c>
      <c r="AV140" s="126" t="str">
        <f aca="false">IF(ISBLANK($C140),"",AND($AH140,OR($AI140="",$AJ140="",AND(NOT(ISBLANK($S140)),$AK140=""))))</f>
        <v/>
      </c>
      <c r="AW140" s="129" t="str">
        <f aca="false">IF($BD140&lt;&gt;Constants!$B$6,"",IF($AH140,Constants!$B$17*$AJ140,Constants!$B$18))</f>
        <v/>
      </c>
      <c r="AX140" s="130" t="str">
        <f aca="false">IF($BD140&lt;&gt;Constants!$B$6,"",Constants!$B$19*IF($AH140,$AI140,0))</f>
        <v/>
      </c>
      <c r="AY140" s="130" t="str">
        <f aca="false">IF($BD140&lt;&gt;Constants!$B$6,"",IF(AND($AH140,ISNUMBER($AK140)),Constants!$B$20*(Constants!$B$21-$AK140),0))</f>
        <v/>
      </c>
      <c r="AZ140" s="130" t="str">
        <f aca="false">IF($BD140&lt;&gt;Constants!$B$6,"",IF($AG140,0,Constants!$B$12)+IF($AF140,0,Constants!$B$13)+IF($Y140,0,Constants!$B$14))</f>
        <v/>
      </c>
      <c r="BA140" s="131" t="str">
        <f aca="false">IF($BD140&lt;&gt;Constants!$B$6,"",Constants!$B$16+SUM($AW140:$AZ140))</f>
        <v/>
      </c>
      <c r="BB140" s="130" t="str">
        <f aca="false">IF($BD140&lt;&gt;Constants!$B$6,"",IF($AH140,$AJ140,""))</f>
        <v/>
      </c>
      <c r="BC140" s="132" t="str">
        <f aca="false">IF($BD140&lt;&gt;Constants!$B$6,"",$AX140)</f>
        <v/>
      </c>
      <c r="BD140" s="127" t="str">
        <f aca="false">IF(ISBLANK($C140),"",IF($AL140,Constants!$B$9,IF(COUNTA($E140:$T140)=0,Constants!$B$8,IF(NOT($X140),Constants!$B$7,IF(OR($AM140,$AV140),Constants!$B$10,Constants!$B$6)))))</f>
        <v/>
      </c>
      <c r="BE140" s="127" t="str">
        <f aca="false">IF(ISBLANK($C140),"",IF($BD140&lt;&gt;Constants!$B$6,$BD140,Constants!$B$11))</f>
        <v/>
      </c>
      <c r="BF140" s="130" t="str">
        <f aca="false">IF($BD140&lt;&gt;Constants!$B$6,"",IF($AU140="-&gt;",$BA140,$AR140))</f>
        <v/>
      </c>
      <c r="BG140" s="130" t="str">
        <f aca="false">IF($BD140&lt;&gt;Constants!$B$6,"",IF($W140,0,Constants!$B$15))</f>
        <v/>
      </c>
      <c r="BH140" s="130" t="str">
        <f aca="false">IF(ISBLANK($C140),"",IF($BD140&lt;&gt;Constants!$B$6,$BD140,SUM($BF140:$BG140)))</f>
        <v/>
      </c>
      <c r="BI140" s="127" t="str">
        <f aca="false">IF(ISBLANK($C140),"",IF($BD140&lt;&gt;Constants!$B$6,$BD140,RANK($BH140,$BH$9:$BH$508,1)))</f>
        <v/>
      </c>
      <c r="BJ140" s="130" t="str">
        <f aca="false">IF($BD140&lt;&gt;Constants!$B$6,"",IF($AU140="-&gt;",$BB140,$AS140))</f>
        <v/>
      </c>
      <c r="BK140" s="127" t="str">
        <f aca="false">IF(ISBLANK($C140),"",IF($BD140&lt;&gt;Constants!$B$6,$BD140,IF(ISNUMBER($BJ140),RANK($BJ140,$BJ$9:$BJ$508,1),COUNT($BJ$9:$BJ$508)+1)))</f>
        <v/>
      </c>
      <c r="BL140" s="130" t="str">
        <f aca="false">IF($BD140&lt;&gt;Constants!$B$6,"",IF($AU140="-&gt;",$BC140,$AT140))</f>
        <v/>
      </c>
      <c r="BM140" s="127" t="str">
        <f aca="false">IF(ISBLANK($C140),"",IF($BD140&lt;&gt;Constants!$B$6,$BD140,IF(ISNUMBER($BL140),RANK($BL140,$BL$9:$BL$508,1),COUNT($BL$9:$BL$508)+1)))</f>
        <v/>
      </c>
      <c r="BN140" s="130" t="str">
        <f aca="false">IF($BD140&lt;&gt;Constants!$B$6,"",IF($AU140="-&gt;",$AS140,$BB140))</f>
        <v/>
      </c>
      <c r="BO140" s="127" t="str">
        <f aca="false">IF(ISBLANK($C140),"",IF($BD140&lt;&gt;Constants!$B$6,$BD140,IF(ISNUMBER($BN140),RANK($BN140,$BN$9:$BN$508,1),COUNT($BN$9:$BN$508)+1)))</f>
        <v/>
      </c>
      <c r="BP140" s="130" t="str">
        <f aca="false">IF($BD140&lt;&gt;Constants!$B$6,"",IF($AU140="-&gt;",$AT140,$BC140))</f>
        <v/>
      </c>
      <c r="BQ140" s="127" t="str">
        <f aca="false">IF(ISBLANK($C140),"",IF($BD140&lt;&gt;Constants!$B$6,$BD140,IF(ISNUMBER($BP140),RANK($BP140,$BP$9:$BP$508,1),COUNT($BP$9:$BP$508)+1)))</f>
        <v/>
      </c>
      <c r="BR140" s="127" t="str">
        <f aca="false">IF(ISBLANK($C140),"",IF($BD140&lt;&gt;Constants!$B$6,$BD140,COUNTIFS($BI$9:$BI$508,"&lt;"&amp;$BI140)+COUNTIFS($BI$9:$BI$508,$BI140,$BK$9:$BK$508,"&lt;"&amp;$BK140)+COUNTIFS($BI$9:$BI$508,$BI140,$BK$9:$BK$508,$BK140,$BM$9:$BM$508,"&lt;"&amp;$BM140)+COUNTIFS($BI$9:$BI$508,$BI140,$BK$9:$BK$508,$BK140,$BM$9:$BM$508,$BM140,$BO$9:$BO$508,"&lt;"&amp;$BO140)+COUNTIFS($BI$9:$BI$508,$BI140,$BK$9:$BK$508,$BK140,$BM$9:$BM$508,$BM140,$BO$9:$BO$508,$BO140,$BQ$9:$BQ$508,"&lt;"&amp;$BQ140)+1))</f>
        <v/>
      </c>
      <c r="BS140" s="127" t="str">
        <f aca="false">IF(ISBLANK($C140),"",IF($BD140&lt;&gt;Constants!$B$6,$BD140,$BI140-$BR140))</f>
        <v/>
      </c>
      <c r="BT140" s="133"/>
      <c r="BU140" s="134"/>
      <c r="BV140" s="134" t="str">
        <f aca="false">IF(ISBLANK($C140),"",IF($BD140&lt;&gt;Constants!$B$6,"",IF($AU140="-&gt;",2,1)))</f>
        <v/>
      </c>
      <c r="BW140" s="135" t="str">
        <f aca="false">IF(ISBLANK($C140),"",IF($BD140&lt;&gt;Constants!$B$6,"",IF($AU140="-&gt;",$AW140,$AN140)))</f>
        <v/>
      </c>
      <c r="BX140" s="135" t="str">
        <f aca="false">IF(ISBLANK($C140),"",IF($BD140&lt;&gt;Constants!$B$6,"",IF($AU140="-&gt;",$AX140,$AO140)))</f>
        <v/>
      </c>
      <c r="BY140" s="135" t="str">
        <f aca="false">IF(ISBLANK($C140),"",IF($BD140&lt;&gt;Constants!$B$6,"",IF($AU140="-&gt;",$AY140,$AP140)))</f>
        <v/>
      </c>
      <c r="BZ140" s="135" t="str">
        <f aca="false">IF(ISBLANK($C140),"",IF($BD140&lt;&gt;Constants!$B$6,"",IF($AU140="-&gt;",$AZ140,$AQ140)+$BG140))</f>
        <v/>
      </c>
      <c r="CA140" s="136" t="str">
        <f aca="false">IF(ISBLANK($C140),"",IF($BD140&lt;&gt;Constants!$B$6,$BD140,$BH140))</f>
        <v/>
      </c>
      <c r="CB140" s="137" t="str">
        <f aca="false">IF(ISBLANK($C140),"",$BE140)</f>
        <v/>
      </c>
      <c r="CC140" s="138" t="str">
        <f aca="false">IF(ISBLANK($C140),"",$BS140)</f>
        <v/>
      </c>
      <c r="CD140" s="138" t="str">
        <f aca="false">IF(ISBLANK($C140),"",$BR140)</f>
        <v/>
      </c>
      <c r="CE140" s="139" t="str">
        <f aca="false">IF(ISBLANK($C140),"",IF($CD140=Constants!$B$9,COUNTA($C$9:$C$508)+2,IF($CD140=Constants!$B$8,COUNTA($C$9:$C$508)+1,IF($CD140=Constants!$B$7,COUNTA($C$9:$C$508),$CD140))))</f>
        <v/>
      </c>
      <c r="CF140" s="9"/>
      <c r="CG140" s="140" t="n">
        <f aca="false">IF(OR(ISNUMBER($CD140),$CD140=Constants!$B$9,$CD140=Constants!$B$7,$CD140=Constants!$B$8),1,0)</f>
        <v>0</v>
      </c>
      <c r="CH140" s="140" t="n">
        <v>132</v>
      </c>
      <c r="CI140" s="140" t="str">
        <f aca="false">IF(ISBLANK($C140),"",IF(ISNUMBER($CE140),$CE140+ROW($B140)/1000,""))</f>
        <v/>
      </c>
      <c r="CJ140" s="140" t="str">
        <f aca="false">IF(ISNUMBER($CI140),RANK($CI140,$CI$9:$CI$508,1),"")</f>
        <v/>
      </c>
      <c r="CK140" s="140" t="str">
        <f aca="false">IF(ISBLANK($C140),"",$B140)</f>
        <v/>
      </c>
      <c r="CL140" s="140" t="str">
        <f aca="false">IF(ISBLANK($C140),"",$C140)</f>
        <v/>
      </c>
      <c r="CM140" s="140" t="str">
        <f aca="false">IF(ISBLANK($C140),"",$D140)</f>
        <v/>
      </c>
      <c r="CN140" s="141" t="str">
        <f aca="false">$CB140</f>
        <v/>
      </c>
      <c r="CO140" s="142" t="str">
        <f aca="false">$CA140</f>
        <v/>
      </c>
      <c r="CP140" s="140" t="str">
        <f aca="false">IF(ISBLANK($C140),"",$CD140)</f>
        <v/>
      </c>
      <c r="CQ140" s="143" t="str">
        <f aca="false">IF($CH140&gt;$CG$8,"",VLOOKUP($CH140,$CJ$9:$CP$508,7,FALSE()))</f>
        <v/>
      </c>
      <c r="CR140" s="144" t="str">
        <f aca="false">IF($CH140&gt;$CG$8,"",VLOOKUP($CH140,$CJ$9:$CP$508,2,FALSE()))</f>
        <v/>
      </c>
      <c r="CS140" s="144" t="str">
        <f aca="false">IF($CH140&gt;$CG$8,"",VLOOKUP($CH140,$CJ$9:$CP$508,3,FALSE()))</f>
        <v/>
      </c>
      <c r="CT140" s="144" t="str">
        <f aca="false">IF($CH140&gt;$CG$8,"",VLOOKUP($CH140,$CJ$9:$CP$508,4,FALSE()))</f>
        <v/>
      </c>
      <c r="CU140" s="144" t="str">
        <f aca="false">IF($CH140&gt;$CG$8,"",VLOOKUP($CH140,$CJ$9:$CP$508,5,FALSE()))</f>
        <v/>
      </c>
      <c r="CV140" s="145" t="str">
        <f aca="false">IF($CH140&gt;$CG$8,"",VLOOKUP($CH140,$CJ$9:$CP$508,6,FALSE()))</f>
        <v/>
      </c>
      <c r="CW140" s="71"/>
    </row>
    <row r="141" customFormat="false" ht="15.75" hidden="false" customHeight="false" outlineLevel="0" collapsed="false">
      <c r="A141" s="9"/>
      <c r="B141" s="72"/>
      <c r="C141" s="73"/>
      <c r="D141" s="160"/>
      <c r="E141" s="168"/>
      <c r="F141" s="162"/>
      <c r="G141" s="163"/>
      <c r="H141" s="169"/>
      <c r="I141" s="167"/>
      <c r="J141" s="80"/>
      <c r="K141" s="81"/>
      <c r="L141" s="82"/>
      <c r="M141" s="166"/>
      <c r="N141" s="167"/>
      <c r="O141" s="167"/>
      <c r="P141" s="80"/>
      <c r="Q141" s="82"/>
      <c r="R141" s="82"/>
      <c r="S141" s="166"/>
      <c r="T141" s="167"/>
      <c r="U141" s="86"/>
      <c r="V141" s="87"/>
      <c r="W141" s="87" t="str">
        <f aca="false">IF(ISBLANK($C141),"",IF(E141=Constants!$B$2,TRUE(),IF(E141=Constants!$B$3,FALSE(),TRUE())))</f>
        <v/>
      </c>
      <c r="X141" s="87" t="str">
        <f aca="false">IF(ISBLANK($C141),"",IF(F141=Constants!$B$2,TRUE(),IF(F141=Constants!$B$3,FALSE(),TRUE())))</f>
        <v/>
      </c>
      <c r="Y141" s="87" t="str">
        <f aca="false">IF(ISBLANK($C141),"",IF(G141=Constants!$B$2,TRUE(),IF(G141=Constants!$B$3,FALSE(),TRUE())))</f>
        <v/>
      </c>
      <c r="Z141" s="87" t="str">
        <f aca="false">IF(ISBLANK($C141),"",IF(H141=Constants!$B$2,TRUE(),IF(H141=Constants!$B$3,FALSE(),TRUE())))</f>
        <v/>
      </c>
      <c r="AA141" s="87" t="str">
        <f aca="false">IF(ISBLANK($C141),"",IF(I141=Constants!$B$2,TRUE(),IF(I141=Constants!$B$3,FALSE(),TRUE())))</f>
        <v/>
      </c>
      <c r="AB141" s="87" t="str">
        <f aca="false">IF(ISBLANK($C141),"",IF(J141=Constants!$B$4,TRUE(),IF(J141=Constants!$B$5,FALSE(),COUNTA(K141:M141)&gt;0)))</f>
        <v/>
      </c>
      <c r="AC141" s="88" t="str">
        <f aca="false">IF(ISBLANK($C141),"",IF(ISNUMBER(K141),IF(K141&gt;=0,K141,""),""))</f>
        <v/>
      </c>
      <c r="AD141" s="89" t="str">
        <f aca="false">IF(ISBLANK($C141),"",IF(ISNUMBER(L141),IF(L141&gt;=0,L141,""),""))</f>
        <v/>
      </c>
      <c r="AE141" s="87" t="str">
        <f aca="false">IF(ISBLANK($C141),"",IF(ISNUMBER(M141),IF(M141&gt;=0,MIN(M141,Constants!$B$22),""),""))</f>
        <v/>
      </c>
      <c r="AF141" s="87" t="str">
        <f aca="false">IF(ISBLANK($C141),"",IF(N141=Constants!$B$2,TRUE(),IF(N141=Constants!$B$3,FALSE(),TRUE())))</f>
        <v/>
      </c>
      <c r="AG141" s="87" t="str">
        <f aca="false">IF(ISBLANK($C141),"",IF(O141=Constants!$B$2,TRUE(),IF(O141=Constants!$B$3,FALSE(),TRUE())))</f>
        <v/>
      </c>
      <c r="AH141" s="87" t="str">
        <f aca="false">IF(ISBLANK($C141),"",IF(P141=Constants!$B$4,TRUE(),IF(P141=Constants!$B$5,FALSE(),COUNTA(Q141:S141)&gt;0)))</f>
        <v/>
      </c>
      <c r="AI141" s="88" t="str">
        <f aca="false">IF(ISBLANK($C141),"",IF(ISNUMBER(Q141),IF(Q141&gt;=0,Q141,""),""))</f>
        <v/>
      </c>
      <c r="AJ141" s="89" t="str">
        <f aca="false">IF(ISBLANK($C141),"",IF(ISNUMBER(R141),IF(R141&gt;=0,R141,""),""))</f>
        <v/>
      </c>
      <c r="AK141" s="87" t="str">
        <f aca="false">IF(ISBLANK($C141),"",IF(ISNUMBER(S141),IF(S141&gt;=0,MIN(S141,Constants!$B$22),""),""))</f>
        <v/>
      </c>
      <c r="AL141" s="87" t="str">
        <f aca="false">IF(ISBLANK($C141),"",IF(T141=Constants!$B$2,TRUE(),IF(T141=Constants!$B$3,FALSE(),FALSE())))</f>
        <v/>
      </c>
      <c r="AM141" s="86" t="str">
        <f aca="false">IF(ISBLANK($C141),"",AND($AB141,OR($AC141="",$AD141="",AND(NOT(ISBLANK($M141)),$AE141=""))))</f>
        <v/>
      </c>
      <c r="AN141" s="89" t="str">
        <f aca="false">IF($BD141&lt;&gt;Constants!$B$6,"",IF($AB141,Constants!$B$17*$AD141,Constants!$B$18))</f>
        <v/>
      </c>
      <c r="AO141" s="91" t="str">
        <f aca="false">IF($BD141&lt;&gt;Constants!$B$6,"",Constants!$B$19*IF($AB141,$AC141,0))</f>
        <v/>
      </c>
      <c r="AP141" s="91" t="str">
        <f aca="false">IF($BD141&lt;&gt;Constants!$B$6,"",IF(AND($AB141,ISNUMBER($AE141)),Constants!$B$20*(Constants!$B$21-$AE141),0))</f>
        <v/>
      </c>
      <c r="AQ141" s="91" t="str">
        <f aca="false">IF($BD141&lt;&gt;Constants!$B$6,"",IF($AA141,0,Constants!$B$12)+IF($Z141,0,Constants!$B$13)+IF($Y141,0,Constants!$B$14))</f>
        <v/>
      </c>
      <c r="AR141" s="92" t="str">
        <f aca="false">IF($BD141&lt;&gt;Constants!$B$6,"",Constants!$B$16+SUM($AN141:$AQ141))</f>
        <v/>
      </c>
      <c r="AS141" s="91" t="str">
        <f aca="false">IF($BD141&lt;&gt;Constants!$B$6,"",IF($AB141,$AD141,""))</f>
        <v/>
      </c>
      <c r="AT141" s="93" t="str">
        <f aca="false">IF($BD141&lt;&gt;Constants!$B$6,"",$AO141)</f>
        <v/>
      </c>
      <c r="AU141" s="87" t="str">
        <f aca="false">IF($BD141&lt;&gt;Constants!$B$6,"",IF(OR($BA141&lt;$AR141,AND($BA141=$AR141,OR(AND(ISNUMBER($BB141),OR(NOT(ISNUMBER($AS141)),$BB141&lt;$AS141)),AND(OR(AND($BB141="",$AS141=""),AND(ISNUMBER($BB141),ISNUMBER($AS141),$BB141=$AS141)),$BC141&lt;$AT141)))),"-&gt;","&lt;-"))</f>
        <v/>
      </c>
      <c r="AV141" s="86" t="str">
        <f aca="false">IF(ISBLANK($C141),"",AND($AH141,OR($AI141="",$AJ141="",AND(NOT(ISBLANK($S141)),$AK141=""))))</f>
        <v/>
      </c>
      <c r="AW141" s="89" t="str">
        <f aca="false">IF($BD141&lt;&gt;Constants!$B$6,"",IF($AH141,Constants!$B$17*$AJ141,Constants!$B$18))</f>
        <v/>
      </c>
      <c r="AX141" s="91" t="str">
        <f aca="false">IF($BD141&lt;&gt;Constants!$B$6,"",Constants!$B$19*IF($AH141,$AI141,0))</f>
        <v/>
      </c>
      <c r="AY141" s="91" t="str">
        <f aca="false">IF($BD141&lt;&gt;Constants!$B$6,"",IF(AND($AH141,ISNUMBER($AK141)),Constants!$B$20*(Constants!$B$21-$AK141),0))</f>
        <v/>
      </c>
      <c r="AZ141" s="91" t="str">
        <f aca="false">IF($BD141&lt;&gt;Constants!$B$6,"",IF($AG141,0,Constants!$B$12)+IF($AF141,0,Constants!$B$13)+IF($Y141,0,Constants!$B$14))</f>
        <v/>
      </c>
      <c r="BA141" s="92" t="str">
        <f aca="false">IF($BD141&lt;&gt;Constants!$B$6,"",Constants!$B$16+SUM($AW141:$AZ141))</f>
        <v/>
      </c>
      <c r="BB141" s="91" t="str">
        <f aca="false">IF($BD141&lt;&gt;Constants!$B$6,"",IF($AH141,$AJ141,""))</f>
        <v/>
      </c>
      <c r="BC141" s="93" t="str">
        <f aca="false">IF($BD141&lt;&gt;Constants!$B$6,"",$AX141)</f>
        <v/>
      </c>
      <c r="BD141" s="87" t="str">
        <f aca="false">IF(ISBLANK($C141),"",IF($AL141,Constants!$B$9,IF(COUNTA($E141:$T141)=0,Constants!$B$8,IF(NOT($X141),Constants!$B$7,IF(OR($AM141,$AV141),Constants!$B$10,Constants!$B$6)))))</f>
        <v/>
      </c>
      <c r="BE141" s="87" t="str">
        <f aca="false">IF(ISBLANK($C141),"",IF($BD141&lt;&gt;Constants!$B$6,$BD141,Constants!$B$11))</f>
        <v/>
      </c>
      <c r="BF141" s="91" t="str">
        <f aca="false">IF($BD141&lt;&gt;Constants!$B$6,"",IF($AU141="-&gt;",$BA141,$AR141))</f>
        <v/>
      </c>
      <c r="BG141" s="91" t="str">
        <f aca="false">IF($BD141&lt;&gt;Constants!$B$6,"",IF($W141,0,Constants!$B$15))</f>
        <v/>
      </c>
      <c r="BH141" s="91" t="str">
        <f aca="false">IF(ISBLANK($C141),"",IF($BD141&lt;&gt;Constants!$B$6,$BD141,SUM($BF141:$BG141)))</f>
        <v/>
      </c>
      <c r="BI141" s="87" t="str">
        <f aca="false">IF(ISBLANK($C141),"",IF($BD141&lt;&gt;Constants!$B$6,$BD141,RANK($BH141,$BH$9:$BH$508,1)))</f>
        <v/>
      </c>
      <c r="BJ141" s="91" t="str">
        <f aca="false">IF($BD141&lt;&gt;Constants!$B$6,"",IF($AU141="-&gt;",$BB141,$AS141))</f>
        <v/>
      </c>
      <c r="BK141" s="87" t="str">
        <f aca="false">IF(ISBLANK($C141),"",IF($BD141&lt;&gt;Constants!$B$6,$BD141,IF(ISNUMBER($BJ141),RANK($BJ141,$BJ$9:$BJ$508,1),COUNT($BJ$9:$BJ$508)+1)))</f>
        <v/>
      </c>
      <c r="BL141" s="91" t="str">
        <f aca="false">IF($BD141&lt;&gt;Constants!$B$6,"",IF($AU141="-&gt;",$BC141,$AT141))</f>
        <v/>
      </c>
      <c r="BM141" s="87" t="str">
        <f aca="false">IF(ISBLANK($C141),"",IF($BD141&lt;&gt;Constants!$B$6,$BD141,IF(ISNUMBER($BL141),RANK($BL141,$BL$9:$BL$508,1),COUNT($BL$9:$BL$508)+1)))</f>
        <v/>
      </c>
      <c r="BN141" s="91" t="str">
        <f aca="false">IF($BD141&lt;&gt;Constants!$B$6,"",IF($AU141="-&gt;",$AS141,$BB141))</f>
        <v/>
      </c>
      <c r="BO141" s="87" t="str">
        <f aca="false">IF(ISBLANK($C141),"",IF($BD141&lt;&gt;Constants!$B$6,$BD141,IF(ISNUMBER($BN141),RANK($BN141,$BN$9:$BN$508,1),COUNT($BN$9:$BN$508)+1)))</f>
        <v/>
      </c>
      <c r="BP141" s="91" t="str">
        <f aca="false">IF($BD141&lt;&gt;Constants!$B$6,"",IF($AU141="-&gt;",$AT141,$BC141))</f>
        <v/>
      </c>
      <c r="BQ141" s="87" t="str">
        <f aca="false">IF(ISBLANK($C141),"",IF($BD141&lt;&gt;Constants!$B$6,$BD141,IF(ISNUMBER($BP141),RANK($BP141,$BP$9:$BP$508,1),COUNT($BP$9:$BP$508)+1)))</f>
        <v/>
      </c>
      <c r="BR141" s="87" t="str">
        <f aca="false">IF(ISBLANK($C141),"",IF($BD141&lt;&gt;Constants!$B$6,$BD141,COUNTIFS($BI$9:$BI$508,"&lt;"&amp;$BI141)+COUNTIFS($BI$9:$BI$508,$BI141,$BK$9:$BK$508,"&lt;"&amp;$BK141)+COUNTIFS($BI$9:$BI$508,$BI141,$BK$9:$BK$508,$BK141,$BM$9:$BM$508,"&lt;"&amp;$BM141)+COUNTIFS($BI$9:$BI$508,$BI141,$BK$9:$BK$508,$BK141,$BM$9:$BM$508,$BM141,$BO$9:$BO$508,"&lt;"&amp;$BO141)+COUNTIFS($BI$9:$BI$508,$BI141,$BK$9:$BK$508,$BK141,$BM$9:$BM$508,$BM141,$BO$9:$BO$508,$BO141,$BQ$9:$BQ$508,"&lt;"&amp;$BQ141)+1))</f>
        <v/>
      </c>
      <c r="BS141" s="87" t="str">
        <f aca="false">IF(ISBLANK($C141),"",IF($BD141&lt;&gt;Constants!$B$6,$BD141,$BI141-$BR141))</f>
        <v/>
      </c>
      <c r="BT141" s="94"/>
      <c r="BU141" s="95"/>
      <c r="BV141" s="95" t="str">
        <f aca="false">IF(ISBLANK($C141),"",IF($BD141&lt;&gt;Constants!$B$6,"",IF($AU141="-&gt;",2,1)))</f>
        <v/>
      </c>
      <c r="BW141" s="96" t="str">
        <f aca="false">IF(ISBLANK($C141),"",IF($BD141&lt;&gt;Constants!$B$6,"",IF($AU141="-&gt;",$AW141,$AN141)))</f>
        <v/>
      </c>
      <c r="BX141" s="96" t="str">
        <f aca="false">IF(ISBLANK($C141),"",IF($BD141&lt;&gt;Constants!$B$6,"",IF($AU141="-&gt;",$AX141,$AO141)))</f>
        <v/>
      </c>
      <c r="BY141" s="96" t="str">
        <f aca="false">IF(ISBLANK($C141),"",IF($BD141&lt;&gt;Constants!$B$6,"",IF($AU141="-&gt;",$AY141,$AP141)))</f>
        <v/>
      </c>
      <c r="BZ141" s="96" t="str">
        <f aca="false">IF(ISBLANK($C141),"",IF($BD141&lt;&gt;Constants!$B$6,"",IF($AU141="-&gt;",$AZ141,$AQ141)+$BG141))</f>
        <v/>
      </c>
      <c r="CA141" s="97" t="str">
        <f aca="false">IF(ISBLANK($C141),"",IF($BD141&lt;&gt;Constants!$B$6,$BD141,$BH141))</f>
        <v/>
      </c>
      <c r="CB141" s="98" t="str">
        <f aca="false">IF(ISBLANK($C141),"",$BE141)</f>
        <v/>
      </c>
      <c r="CC141" s="99" t="str">
        <f aca="false">IF(ISBLANK($C141),"",$BS141)</f>
        <v/>
      </c>
      <c r="CD141" s="99" t="str">
        <f aca="false">IF(ISBLANK($C141),"",$BR141)</f>
        <v/>
      </c>
      <c r="CE141" s="100" t="str">
        <f aca="false">IF(ISBLANK($C141),"",IF($CD141=Constants!$B$9,COUNTA($C$9:$C$508)+2,IF($CD141=Constants!$B$8,COUNTA($C$9:$C$508)+1,IF($CD141=Constants!$B$7,COUNTA($C$9:$C$508),$CD141))))</f>
        <v/>
      </c>
      <c r="CF141" s="9"/>
      <c r="CG141" s="101" t="n">
        <f aca="false">IF(OR(ISNUMBER($CD141),$CD141=Constants!$B$9,$CD141=Constants!$B$7,$CD141=Constants!$B$8),1,0)</f>
        <v>0</v>
      </c>
      <c r="CH141" s="101" t="n">
        <v>133</v>
      </c>
      <c r="CI141" s="101" t="str">
        <f aca="false">IF(ISBLANK($C141),"",IF(ISNUMBER($CE141),$CE141+ROW($B141)/1000,""))</f>
        <v/>
      </c>
      <c r="CJ141" s="101" t="str">
        <f aca="false">IF(ISNUMBER($CI141),RANK($CI141,$CI$9:$CI$508,1),"")</f>
        <v/>
      </c>
      <c r="CK141" s="101" t="str">
        <f aca="false">IF(ISBLANK($C141),"",$B141)</f>
        <v/>
      </c>
      <c r="CL141" s="101" t="str">
        <f aca="false">IF(ISBLANK($C141),"",$C141)</f>
        <v/>
      </c>
      <c r="CM141" s="101" t="str">
        <f aca="false">IF(ISBLANK($C141),"",$D141)</f>
        <v/>
      </c>
      <c r="CN141" s="102" t="str">
        <f aca="false">$CB141</f>
        <v/>
      </c>
      <c r="CO141" s="103" t="str">
        <f aca="false">$CA141</f>
        <v/>
      </c>
      <c r="CP141" s="101" t="str">
        <f aca="false">IF(ISBLANK($C141),"",$CD141)</f>
        <v/>
      </c>
      <c r="CQ141" s="104" t="str">
        <f aca="false">IF($CH141&gt;$CG$8,"",VLOOKUP($CH141,$CJ$9:$CP$508,7,FALSE()))</f>
        <v/>
      </c>
      <c r="CR141" s="105" t="str">
        <f aca="false">IF($CH141&gt;$CG$8,"",VLOOKUP($CH141,$CJ$9:$CP$508,2,FALSE()))</f>
        <v/>
      </c>
      <c r="CS141" s="105" t="str">
        <f aca="false">IF($CH141&gt;$CG$8,"",VLOOKUP($CH141,$CJ$9:$CP$508,3,FALSE()))</f>
        <v/>
      </c>
      <c r="CT141" s="105" t="str">
        <f aca="false">IF($CH141&gt;$CG$8,"",VLOOKUP($CH141,$CJ$9:$CP$508,4,FALSE()))</f>
        <v/>
      </c>
      <c r="CU141" s="105" t="str">
        <f aca="false">IF($CH141&gt;$CG$8,"",VLOOKUP($CH141,$CJ$9:$CP$508,5,FALSE()))</f>
        <v/>
      </c>
      <c r="CV141" s="106" t="str">
        <f aca="false">IF($CH141&gt;$CG$8,"",VLOOKUP($CH141,$CJ$9:$CP$508,6,FALSE()))</f>
        <v/>
      </c>
      <c r="CW141" s="71"/>
    </row>
    <row r="142" customFormat="false" ht="15.75" hidden="false" customHeight="false" outlineLevel="0" collapsed="false">
      <c r="A142" s="9"/>
      <c r="B142" s="72"/>
      <c r="C142" s="73"/>
      <c r="D142" s="160"/>
      <c r="E142" s="168"/>
      <c r="F142" s="162"/>
      <c r="G142" s="163"/>
      <c r="H142" s="169"/>
      <c r="I142" s="167"/>
      <c r="J142" s="80"/>
      <c r="K142" s="81"/>
      <c r="L142" s="82"/>
      <c r="M142" s="166"/>
      <c r="N142" s="167"/>
      <c r="O142" s="167"/>
      <c r="P142" s="80"/>
      <c r="Q142" s="82"/>
      <c r="R142" s="82"/>
      <c r="S142" s="166"/>
      <c r="T142" s="167"/>
      <c r="U142" s="86"/>
      <c r="V142" s="87"/>
      <c r="W142" s="87" t="str">
        <f aca="false">IF(ISBLANK($C142),"",IF(E142=Constants!$B$2,TRUE(),IF(E142=Constants!$B$3,FALSE(),TRUE())))</f>
        <v/>
      </c>
      <c r="X142" s="87" t="str">
        <f aca="false">IF(ISBLANK($C142),"",IF(F142=Constants!$B$2,TRUE(),IF(F142=Constants!$B$3,FALSE(),TRUE())))</f>
        <v/>
      </c>
      <c r="Y142" s="87" t="str">
        <f aca="false">IF(ISBLANK($C142),"",IF(G142=Constants!$B$2,TRUE(),IF(G142=Constants!$B$3,FALSE(),TRUE())))</f>
        <v/>
      </c>
      <c r="Z142" s="87" t="str">
        <f aca="false">IF(ISBLANK($C142),"",IF(H142=Constants!$B$2,TRUE(),IF(H142=Constants!$B$3,FALSE(),TRUE())))</f>
        <v/>
      </c>
      <c r="AA142" s="87" t="str">
        <f aca="false">IF(ISBLANK($C142),"",IF(I142=Constants!$B$2,TRUE(),IF(I142=Constants!$B$3,FALSE(),TRUE())))</f>
        <v/>
      </c>
      <c r="AB142" s="87" t="str">
        <f aca="false">IF(ISBLANK($C142),"",IF(J142=Constants!$B$4,TRUE(),IF(J142=Constants!$B$5,FALSE(),COUNTA(K142:M142)&gt;0)))</f>
        <v/>
      </c>
      <c r="AC142" s="88" t="str">
        <f aca="false">IF(ISBLANK($C142),"",IF(ISNUMBER(K142),IF(K142&gt;=0,K142,""),""))</f>
        <v/>
      </c>
      <c r="AD142" s="89" t="str">
        <f aca="false">IF(ISBLANK($C142),"",IF(ISNUMBER(L142),IF(L142&gt;=0,L142,""),""))</f>
        <v/>
      </c>
      <c r="AE142" s="87" t="str">
        <f aca="false">IF(ISBLANK($C142),"",IF(ISNUMBER(M142),IF(M142&gt;=0,MIN(M142,Constants!$B$22),""),""))</f>
        <v/>
      </c>
      <c r="AF142" s="87" t="str">
        <f aca="false">IF(ISBLANK($C142),"",IF(N142=Constants!$B$2,TRUE(),IF(N142=Constants!$B$3,FALSE(),TRUE())))</f>
        <v/>
      </c>
      <c r="AG142" s="87" t="str">
        <f aca="false">IF(ISBLANK($C142),"",IF(O142=Constants!$B$2,TRUE(),IF(O142=Constants!$B$3,FALSE(),TRUE())))</f>
        <v/>
      </c>
      <c r="AH142" s="87" t="str">
        <f aca="false">IF(ISBLANK($C142),"",IF(P142=Constants!$B$4,TRUE(),IF(P142=Constants!$B$5,FALSE(),COUNTA(Q142:S142)&gt;0)))</f>
        <v/>
      </c>
      <c r="AI142" s="88" t="str">
        <f aca="false">IF(ISBLANK($C142),"",IF(ISNUMBER(Q142),IF(Q142&gt;=0,Q142,""),""))</f>
        <v/>
      </c>
      <c r="AJ142" s="89" t="str">
        <f aca="false">IF(ISBLANK($C142),"",IF(ISNUMBER(R142),IF(R142&gt;=0,R142,""),""))</f>
        <v/>
      </c>
      <c r="AK142" s="87" t="str">
        <f aca="false">IF(ISBLANK($C142),"",IF(ISNUMBER(S142),IF(S142&gt;=0,MIN(S142,Constants!$B$22),""),""))</f>
        <v/>
      </c>
      <c r="AL142" s="87" t="str">
        <f aca="false">IF(ISBLANK($C142),"",IF(T142=Constants!$B$2,TRUE(),IF(T142=Constants!$B$3,FALSE(),FALSE())))</f>
        <v/>
      </c>
      <c r="AM142" s="86" t="str">
        <f aca="false">IF(ISBLANK($C142),"",AND($AB142,OR($AC142="",$AD142="",AND(NOT(ISBLANK($M142)),$AE142=""))))</f>
        <v/>
      </c>
      <c r="AN142" s="89" t="str">
        <f aca="false">IF($BD142&lt;&gt;Constants!$B$6,"",IF($AB142,Constants!$B$17*$AD142,Constants!$B$18))</f>
        <v/>
      </c>
      <c r="AO142" s="91" t="str">
        <f aca="false">IF($BD142&lt;&gt;Constants!$B$6,"",Constants!$B$19*IF($AB142,$AC142,0))</f>
        <v/>
      </c>
      <c r="AP142" s="91" t="str">
        <f aca="false">IF($BD142&lt;&gt;Constants!$B$6,"",IF(AND($AB142,ISNUMBER($AE142)),Constants!$B$20*(Constants!$B$21-$AE142),0))</f>
        <v/>
      </c>
      <c r="AQ142" s="91" t="str">
        <f aca="false">IF($BD142&lt;&gt;Constants!$B$6,"",IF($AA142,0,Constants!$B$12)+IF($Z142,0,Constants!$B$13)+IF($Y142,0,Constants!$B$14))</f>
        <v/>
      </c>
      <c r="AR142" s="92" t="str">
        <f aca="false">IF($BD142&lt;&gt;Constants!$B$6,"",Constants!$B$16+SUM($AN142:$AQ142))</f>
        <v/>
      </c>
      <c r="AS142" s="91" t="str">
        <f aca="false">IF($BD142&lt;&gt;Constants!$B$6,"",IF($AB142,$AD142,""))</f>
        <v/>
      </c>
      <c r="AT142" s="93" t="str">
        <f aca="false">IF($BD142&lt;&gt;Constants!$B$6,"",$AO142)</f>
        <v/>
      </c>
      <c r="AU142" s="87" t="str">
        <f aca="false">IF($BD142&lt;&gt;Constants!$B$6,"",IF(OR($BA142&lt;$AR142,AND($BA142=$AR142,OR(AND(ISNUMBER($BB142),OR(NOT(ISNUMBER($AS142)),$BB142&lt;$AS142)),AND(OR(AND($BB142="",$AS142=""),AND(ISNUMBER($BB142),ISNUMBER($AS142),$BB142=$AS142)),$BC142&lt;$AT142)))),"-&gt;","&lt;-"))</f>
        <v/>
      </c>
      <c r="AV142" s="86" t="str">
        <f aca="false">IF(ISBLANK($C142),"",AND($AH142,OR($AI142="",$AJ142="",AND(NOT(ISBLANK($S142)),$AK142=""))))</f>
        <v/>
      </c>
      <c r="AW142" s="89" t="str">
        <f aca="false">IF($BD142&lt;&gt;Constants!$B$6,"",IF($AH142,Constants!$B$17*$AJ142,Constants!$B$18))</f>
        <v/>
      </c>
      <c r="AX142" s="91" t="str">
        <f aca="false">IF($BD142&lt;&gt;Constants!$B$6,"",Constants!$B$19*IF($AH142,$AI142,0))</f>
        <v/>
      </c>
      <c r="AY142" s="91" t="str">
        <f aca="false">IF($BD142&lt;&gt;Constants!$B$6,"",IF(AND($AH142,ISNUMBER($AK142)),Constants!$B$20*(Constants!$B$21-$AK142),0))</f>
        <v/>
      </c>
      <c r="AZ142" s="91" t="str">
        <f aca="false">IF($BD142&lt;&gt;Constants!$B$6,"",IF($AG142,0,Constants!$B$12)+IF($AF142,0,Constants!$B$13)+IF($Y142,0,Constants!$B$14))</f>
        <v/>
      </c>
      <c r="BA142" s="92" t="str">
        <f aca="false">IF($BD142&lt;&gt;Constants!$B$6,"",Constants!$B$16+SUM($AW142:$AZ142))</f>
        <v/>
      </c>
      <c r="BB142" s="91" t="str">
        <f aca="false">IF($BD142&lt;&gt;Constants!$B$6,"",IF($AH142,$AJ142,""))</f>
        <v/>
      </c>
      <c r="BC142" s="93" t="str">
        <f aca="false">IF($BD142&lt;&gt;Constants!$B$6,"",$AX142)</f>
        <v/>
      </c>
      <c r="BD142" s="87" t="str">
        <f aca="false">IF(ISBLANK($C142),"",IF($AL142,Constants!$B$9,IF(COUNTA($E142:$T142)=0,Constants!$B$8,IF(NOT($X142),Constants!$B$7,IF(OR($AM142,$AV142),Constants!$B$10,Constants!$B$6)))))</f>
        <v/>
      </c>
      <c r="BE142" s="87" t="str">
        <f aca="false">IF(ISBLANK($C142),"",IF($BD142&lt;&gt;Constants!$B$6,$BD142,Constants!$B$11))</f>
        <v/>
      </c>
      <c r="BF142" s="91" t="str">
        <f aca="false">IF($BD142&lt;&gt;Constants!$B$6,"",IF($AU142="-&gt;",$BA142,$AR142))</f>
        <v/>
      </c>
      <c r="BG142" s="91" t="str">
        <f aca="false">IF($BD142&lt;&gt;Constants!$B$6,"",IF($W142,0,Constants!$B$15))</f>
        <v/>
      </c>
      <c r="BH142" s="91" t="str">
        <f aca="false">IF(ISBLANK($C142),"",IF($BD142&lt;&gt;Constants!$B$6,$BD142,SUM($BF142:$BG142)))</f>
        <v/>
      </c>
      <c r="BI142" s="87" t="str">
        <f aca="false">IF(ISBLANK($C142),"",IF($BD142&lt;&gt;Constants!$B$6,$BD142,RANK($BH142,$BH$9:$BH$508,1)))</f>
        <v/>
      </c>
      <c r="BJ142" s="91" t="str">
        <f aca="false">IF($BD142&lt;&gt;Constants!$B$6,"",IF($AU142="-&gt;",$BB142,$AS142))</f>
        <v/>
      </c>
      <c r="BK142" s="87" t="str">
        <f aca="false">IF(ISBLANK($C142),"",IF($BD142&lt;&gt;Constants!$B$6,$BD142,IF(ISNUMBER($BJ142),RANK($BJ142,$BJ$9:$BJ$508,1),COUNT($BJ$9:$BJ$508)+1)))</f>
        <v/>
      </c>
      <c r="BL142" s="91" t="str">
        <f aca="false">IF($BD142&lt;&gt;Constants!$B$6,"",IF($AU142="-&gt;",$BC142,$AT142))</f>
        <v/>
      </c>
      <c r="BM142" s="87" t="str">
        <f aca="false">IF(ISBLANK($C142),"",IF($BD142&lt;&gt;Constants!$B$6,$BD142,IF(ISNUMBER($BL142),RANK($BL142,$BL$9:$BL$508,1),COUNT($BL$9:$BL$508)+1)))</f>
        <v/>
      </c>
      <c r="BN142" s="91" t="str">
        <f aca="false">IF($BD142&lt;&gt;Constants!$B$6,"",IF($AU142="-&gt;",$AS142,$BB142))</f>
        <v/>
      </c>
      <c r="BO142" s="87" t="str">
        <f aca="false">IF(ISBLANK($C142),"",IF($BD142&lt;&gt;Constants!$B$6,$BD142,IF(ISNUMBER($BN142),RANK($BN142,$BN$9:$BN$508,1),COUNT($BN$9:$BN$508)+1)))</f>
        <v/>
      </c>
      <c r="BP142" s="91" t="str">
        <f aca="false">IF($BD142&lt;&gt;Constants!$B$6,"",IF($AU142="-&gt;",$AT142,$BC142))</f>
        <v/>
      </c>
      <c r="BQ142" s="87" t="str">
        <f aca="false">IF(ISBLANK($C142),"",IF($BD142&lt;&gt;Constants!$B$6,$BD142,IF(ISNUMBER($BP142),RANK($BP142,$BP$9:$BP$508,1),COUNT($BP$9:$BP$508)+1)))</f>
        <v/>
      </c>
      <c r="BR142" s="87" t="str">
        <f aca="false">IF(ISBLANK($C142),"",IF($BD142&lt;&gt;Constants!$B$6,$BD142,COUNTIFS($BI$9:$BI$508,"&lt;"&amp;$BI142)+COUNTIFS($BI$9:$BI$508,$BI142,$BK$9:$BK$508,"&lt;"&amp;$BK142)+COUNTIFS($BI$9:$BI$508,$BI142,$BK$9:$BK$508,$BK142,$BM$9:$BM$508,"&lt;"&amp;$BM142)+COUNTIFS($BI$9:$BI$508,$BI142,$BK$9:$BK$508,$BK142,$BM$9:$BM$508,$BM142,$BO$9:$BO$508,"&lt;"&amp;$BO142)+COUNTIFS($BI$9:$BI$508,$BI142,$BK$9:$BK$508,$BK142,$BM$9:$BM$508,$BM142,$BO$9:$BO$508,$BO142,$BQ$9:$BQ$508,"&lt;"&amp;$BQ142)+1))</f>
        <v/>
      </c>
      <c r="BS142" s="87" t="str">
        <f aca="false">IF(ISBLANK($C142),"",IF($BD142&lt;&gt;Constants!$B$6,$BD142,$BI142-$BR142))</f>
        <v/>
      </c>
      <c r="BT142" s="94"/>
      <c r="BU142" s="95"/>
      <c r="BV142" s="95" t="str">
        <f aca="false">IF(ISBLANK($C142),"",IF($BD142&lt;&gt;Constants!$B$6,"",IF($AU142="-&gt;",2,1)))</f>
        <v/>
      </c>
      <c r="BW142" s="96" t="str">
        <f aca="false">IF(ISBLANK($C142),"",IF($BD142&lt;&gt;Constants!$B$6,"",IF($AU142="-&gt;",$AW142,$AN142)))</f>
        <v/>
      </c>
      <c r="BX142" s="96" t="str">
        <f aca="false">IF(ISBLANK($C142),"",IF($BD142&lt;&gt;Constants!$B$6,"",IF($AU142="-&gt;",$AX142,$AO142)))</f>
        <v/>
      </c>
      <c r="BY142" s="96" t="str">
        <f aca="false">IF(ISBLANK($C142),"",IF($BD142&lt;&gt;Constants!$B$6,"",IF($AU142="-&gt;",$AY142,$AP142)))</f>
        <v/>
      </c>
      <c r="BZ142" s="96" t="str">
        <f aca="false">IF(ISBLANK($C142),"",IF($BD142&lt;&gt;Constants!$B$6,"",IF($AU142="-&gt;",$AZ142,$AQ142)+$BG142))</f>
        <v/>
      </c>
      <c r="CA142" s="97" t="str">
        <f aca="false">IF(ISBLANK($C142),"",IF($BD142&lt;&gt;Constants!$B$6,$BD142,$BH142))</f>
        <v/>
      </c>
      <c r="CB142" s="98" t="str">
        <f aca="false">IF(ISBLANK($C142),"",$BE142)</f>
        <v/>
      </c>
      <c r="CC142" s="99" t="str">
        <f aca="false">IF(ISBLANK($C142),"",$BS142)</f>
        <v/>
      </c>
      <c r="CD142" s="99" t="str">
        <f aca="false">IF(ISBLANK($C142),"",$BR142)</f>
        <v/>
      </c>
      <c r="CE142" s="100" t="str">
        <f aca="false">IF(ISBLANK($C142),"",IF($CD142=Constants!$B$9,COUNTA($C$9:$C$508)+2,IF($CD142=Constants!$B$8,COUNTA($C$9:$C$508)+1,IF($CD142=Constants!$B$7,COUNTA($C$9:$C$508),$CD142))))</f>
        <v/>
      </c>
      <c r="CF142" s="9"/>
      <c r="CG142" s="101" t="n">
        <f aca="false">IF(OR(ISNUMBER($CD142),$CD142=Constants!$B$9,$CD142=Constants!$B$7,$CD142=Constants!$B$8),1,0)</f>
        <v>0</v>
      </c>
      <c r="CH142" s="101" t="n">
        <v>134</v>
      </c>
      <c r="CI142" s="101" t="str">
        <f aca="false">IF(ISBLANK($C142),"",IF(ISNUMBER($CE142),$CE142+ROW($B142)/1000,""))</f>
        <v/>
      </c>
      <c r="CJ142" s="101" t="str">
        <f aca="false">IF(ISNUMBER($CI142),RANK($CI142,$CI$9:$CI$508,1),"")</f>
        <v/>
      </c>
      <c r="CK142" s="101" t="str">
        <f aca="false">IF(ISBLANK($C142),"",$B142)</f>
        <v/>
      </c>
      <c r="CL142" s="101" t="str">
        <f aca="false">IF(ISBLANK($C142),"",$C142)</f>
        <v/>
      </c>
      <c r="CM142" s="101" t="str">
        <f aca="false">IF(ISBLANK($C142),"",$D142)</f>
        <v/>
      </c>
      <c r="CN142" s="102" t="str">
        <f aca="false">$CB142</f>
        <v/>
      </c>
      <c r="CO142" s="103" t="str">
        <f aca="false">$CA142</f>
        <v/>
      </c>
      <c r="CP142" s="101" t="str">
        <f aca="false">IF(ISBLANK($C142),"",$CD142)</f>
        <v/>
      </c>
      <c r="CQ142" s="104" t="str">
        <f aca="false">IF($CH142&gt;$CG$8,"",VLOOKUP($CH142,$CJ$9:$CP$508,7,FALSE()))</f>
        <v/>
      </c>
      <c r="CR142" s="105" t="str">
        <f aca="false">IF($CH142&gt;$CG$8,"",VLOOKUP($CH142,$CJ$9:$CP$508,2,FALSE()))</f>
        <v/>
      </c>
      <c r="CS142" s="105" t="str">
        <f aca="false">IF($CH142&gt;$CG$8,"",VLOOKUP($CH142,$CJ$9:$CP$508,3,FALSE()))</f>
        <v/>
      </c>
      <c r="CT142" s="105" t="str">
        <f aca="false">IF($CH142&gt;$CG$8,"",VLOOKUP($CH142,$CJ$9:$CP$508,4,FALSE()))</f>
        <v/>
      </c>
      <c r="CU142" s="105" t="str">
        <f aca="false">IF($CH142&gt;$CG$8,"",VLOOKUP($CH142,$CJ$9:$CP$508,5,FALSE()))</f>
        <v/>
      </c>
      <c r="CV142" s="106" t="str">
        <f aca="false">IF($CH142&gt;$CG$8,"",VLOOKUP($CH142,$CJ$9:$CP$508,6,FALSE()))</f>
        <v/>
      </c>
      <c r="CW142" s="71"/>
    </row>
    <row r="143" customFormat="false" ht="15.75" hidden="false" customHeight="false" outlineLevel="0" collapsed="false">
      <c r="A143" s="9"/>
      <c r="B143" s="72"/>
      <c r="C143" s="73"/>
      <c r="D143" s="160"/>
      <c r="E143" s="168"/>
      <c r="F143" s="162"/>
      <c r="G143" s="163"/>
      <c r="H143" s="169"/>
      <c r="I143" s="167"/>
      <c r="J143" s="80"/>
      <c r="K143" s="81"/>
      <c r="L143" s="82"/>
      <c r="M143" s="166"/>
      <c r="N143" s="167"/>
      <c r="O143" s="167"/>
      <c r="P143" s="80"/>
      <c r="Q143" s="82"/>
      <c r="R143" s="82"/>
      <c r="S143" s="166"/>
      <c r="T143" s="167"/>
      <c r="U143" s="86"/>
      <c r="V143" s="87"/>
      <c r="W143" s="87" t="str">
        <f aca="false">IF(ISBLANK($C143),"",IF(E143=Constants!$B$2,TRUE(),IF(E143=Constants!$B$3,FALSE(),TRUE())))</f>
        <v/>
      </c>
      <c r="X143" s="87" t="str">
        <f aca="false">IF(ISBLANK($C143),"",IF(F143=Constants!$B$2,TRUE(),IF(F143=Constants!$B$3,FALSE(),TRUE())))</f>
        <v/>
      </c>
      <c r="Y143" s="87" t="str">
        <f aca="false">IF(ISBLANK($C143),"",IF(G143=Constants!$B$2,TRUE(),IF(G143=Constants!$B$3,FALSE(),TRUE())))</f>
        <v/>
      </c>
      <c r="Z143" s="87" t="str">
        <f aca="false">IF(ISBLANK($C143),"",IF(H143=Constants!$B$2,TRUE(),IF(H143=Constants!$B$3,FALSE(),TRUE())))</f>
        <v/>
      </c>
      <c r="AA143" s="87" t="str">
        <f aca="false">IF(ISBLANK($C143),"",IF(I143=Constants!$B$2,TRUE(),IF(I143=Constants!$B$3,FALSE(),TRUE())))</f>
        <v/>
      </c>
      <c r="AB143" s="87" t="str">
        <f aca="false">IF(ISBLANK($C143),"",IF(J143=Constants!$B$4,TRUE(),IF(J143=Constants!$B$5,FALSE(),COUNTA(K143:M143)&gt;0)))</f>
        <v/>
      </c>
      <c r="AC143" s="88" t="str">
        <f aca="false">IF(ISBLANK($C143),"",IF(ISNUMBER(K143),IF(K143&gt;=0,K143,""),""))</f>
        <v/>
      </c>
      <c r="AD143" s="89" t="str">
        <f aca="false">IF(ISBLANK($C143),"",IF(ISNUMBER(L143),IF(L143&gt;=0,L143,""),""))</f>
        <v/>
      </c>
      <c r="AE143" s="87" t="str">
        <f aca="false">IF(ISBLANK($C143),"",IF(ISNUMBER(M143),IF(M143&gt;=0,MIN(M143,Constants!$B$22),""),""))</f>
        <v/>
      </c>
      <c r="AF143" s="87" t="str">
        <f aca="false">IF(ISBLANK($C143),"",IF(N143=Constants!$B$2,TRUE(),IF(N143=Constants!$B$3,FALSE(),TRUE())))</f>
        <v/>
      </c>
      <c r="AG143" s="87" t="str">
        <f aca="false">IF(ISBLANK($C143),"",IF(O143=Constants!$B$2,TRUE(),IF(O143=Constants!$B$3,FALSE(),TRUE())))</f>
        <v/>
      </c>
      <c r="AH143" s="87" t="str">
        <f aca="false">IF(ISBLANK($C143),"",IF(P143=Constants!$B$4,TRUE(),IF(P143=Constants!$B$5,FALSE(),COUNTA(Q143:S143)&gt;0)))</f>
        <v/>
      </c>
      <c r="AI143" s="88" t="str">
        <f aca="false">IF(ISBLANK($C143),"",IF(ISNUMBER(Q143),IF(Q143&gt;=0,Q143,""),""))</f>
        <v/>
      </c>
      <c r="AJ143" s="89" t="str">
        <f aca="false">IF(ISBLANK($C143),"",IF(ISNUMBER(R143),IF(R143&gt;=0,R143,""),""))</f>
        <v/>
      </c>
      <c r="AK143" s="87" t="str">
        <f aca="false">IF(ISBLANK($C143),"",IF(ISNUMBER(S143),IF(S143&gt;=0,MIN(S143,Constants!$B$22),""),""))</f>
        <v/>
      </c>
      <c r="AL143" s="87" t="str">
        <f aca="false">IF(ISBLANK($C143),"",IF(T143=Constants!$B$2,TRUE(),IF(T143=Constants!$B$3,FALSE(),FALSE())))</f>
        <v/>
      </c>
      <c r="AM143" s="86" t="str">
        <f aca="false">IF(ISBLANK($C143),"",AND($AB143,OR($AC143="",$AD143="",AND(NOT(ISBLANK($M143)),$AE143=""))))</f>
        <v/>
      </c>
      <c r="AN143" s="89" t="str">
        <f aca="false">IF($BD143&lt;&gt;Constants!$B$6,"",IF($AB143,Constants!$B$17*$AD143,Constants!$B$18))</f>
        <v/>
      </c>
      <c r="AO143" s="91" t="str">
        <f aca="false">IF($BD143&lt;&gt;Constants!$B$6,"",Constants!$B$19*IF($AB143,$AC143,0))</f>
        <v/>
      </c>
      <c r="AP143" s="91" t="str">
        <f aca="false">IF($BD143&lt;&gt;Constants!$B$6,"",IF(AND($AB143,ISNUMBER($AE143)),Constants!$B$20*(Constants!$B$21-$AE143),0))</f>
        <v/>
      </c>
      <c r="AQ143" s="91" t="str">
        <f aca="false">IF($BD143&lt;&gt;Constants!$B$6,"",IF($AA143,0,Constants!$B$12)+IF($Z143,0,Constants!$B$13)+IF($Y143,0,Constants!$B$14))</f>
        <v/>
      </c>
      <c r="AR143" s="92" t="str">
        <f aca="false">IF($BD143&lt;&gt;Constants!$B$6,"",Constants!$B$16+SUM($AN143:$AQ143))</f>
        <v/>
      </c>
      <c r="AS143" s="91" t="str">
        <f aca="false">IF($BD143&lt;&gt;Constants!$B$6,"",IF($AB143,$AD143,""))</f>
        <v/>
      </c>
      <c r="AT143" s="93" t="str">
        <f aca="false">IF($BD143&lt;&gt;Constants!$B$6,"",$AO143)</f>
        <v/>
      </c>
      <c r="AU143" s="87" t="str">
        <f aca="false">IF($BD143&lt;&gt;Constants!$B$6,"",IF(OR($BA143&lt;$AR143,AND($BA143=$AR143,OR(AND(ISNUMBER($BB143),OR(NOT(ISNUMBER($AS143)),$BB143&lt;$AS143)),AND(OR(AND($BB143="",$AS143=""),AND(ISNUMBER($BB143),ISNUMBER($AS143),$BB143=$AS143)),$BC143&lt;$AT143)))),"-&gt;","&lt;-"))</f>
        <v/>
      </c>
      <c r="AV143" s="86" t="str">
        <f aca="false">IF(ISBLANK($C143),"",AND($AH143,OR($AI143="",$AJ143="",AND(NOT(ISBLANK($S143)),$AK143=""))))</f>
        <v/>
      </c>
      <c r="AW143" s="89" t="str">
        <f aca="false">IF($BD143&lt;&gt;Constants!$B$6,"",IF($AH143,Constants!$B$17*$AJ143,Constants!$B$18))</f>
        <v/>
      </c>
      <c r="AX143" s="91" t="str">
        <f aca="false">IF($BD143&lt;&gt;Constants!$B$6,"",Constants!$B$19*IF($AH143,$AI143,0))</f>
        <v/>
      </c>
      <c r="AY143" s="91" t="str">
        <f aca="false">IF($BD143&lt;&gt;Constants!$B$6,"",IF(AND($AH143,ISNUMBER($AK143)),Constants!$B$20*(Constants!$B$21-$AK143),0))</f>
        <v/>
      </c>
      <c r="AZ143" s="91" t="str">
        <f aca="false">IF($BD143&lt;&gt;Constants!$B$6,"",IF($AG143,0,Constants!$B$12)+IF($AF143,0,Constants!$B$13)+IF($Y143,0,Constants!$B$14))</f>
        <v/>
      </c>
      <c r="BA143" s="92" t="str">
        <f aca="false">IF($BD143&lt;&gt;Constants!$B$6,"",Constants!$B$16+SUM($AW143:$AZ143))</f>
        <v/>
      </c>
      <c r="BB143" s="91" t="str">
        <f aca="false">IF($BD143&lt;&gt;Constants!$B$6,"",IF($AH143,$AJ143,""))</f>
        <v/>
      </c>
      <c r="BC143" s="93" t="str">
        <f aca="false">IF($BD143&lt;&gt;Constants!$B$6,"",$AX143)</f>
        <v/>
      </c>
      <c r="BD143" s="87" t="str">
        <f aca="false">IF(ISBLANK($C143),"",IF($AL143,Constants!$B$9,IF(COUNTA($E143:$T143)=0,Constants!$B$8,IF(NOT($X143),Constants!$B$7,IF(OR($AM143,$AV143),Constants!$B$10,Constants!$B$6)))))</f>
        <v/>
      </c>
      <c r="BE143" s="87" t="str">
        <f aca="false">IF(ISBLANK($C143),"",IF($BD143&lt;&gt;Constants!$B$6,$BD143,Constants!$B$11))</f>
        <v/>
      </c>
      <c r="BF143" s="91" t="str">
        <f aca="false">IF($BD143&lt;&gt;Constants!$B$6,"",IF($AU143="-&gt;",$BA143,$AR143))</f>
        <v/>
      </c>
      <c r="BG143" s="91" t="str">
        <f aca="false">IF($BD143&lt;&gt;Constants!$B$6,"",IF($W143,0,Constants!$B$15))</f>
        <v/>
      </c>
      <c r="BH143" s="91" t="str">
        <f aca="false">IF(ISBLANK($C143),"",IF($BD143&lt;&gt;Constants!$B$6,$BD143,SUM($BF143:$BG143)))</f>
        <v/>
      </c>
      <c r="BI143" s="87" t="str">
        <f aca="false">IF(ISBLANK($C143),"",IF($BD143&lt;&gt;Constants!$B$6,$BD143,RANK($BH143,$BH$9:$BH$508,1)))</f>
        <v/>
      </c>
      <c r="BJ143" s="91" t="str">
        <f aca="false">IF($BD143&lt;&gt;Constants!$B$6,"",IF($AU143="-&gt;",$BB143,$AS143))</f>
        <v/>
      </c>
      <c r="BK143" s="87" t="str">
        <f aca="false">IF(ISBLANK($C143),"",IF($BD143&lt;&gt;Constants!$B$6,$BD143,IF(ISNUMBER($BJ143),RANK($BJ143,$BJ$9:$BJ$508,1),COUNT($BJ$9:$BJ$508)+1)))</f>
        <v/>
      </c>
      <c r="BL143" s="91" t="str">
        <f aca="false">IF($BD143&lt;&gt;Constants!$B$6,"",IF($AU143="-&gt;",$BC143,$AT143))</f>
        <v/>
      </c>
      <c r="BM143" s="87" t="str">
        <f aca="false">IF(ISBLANK($C143),"",IF($BD143&lt;&gt;Constants!$B$6,$BD143,IF(ISNUMBER($BL143),RANK($BL143,$BL$9:$BL$508,1),COUNT($BL$9:$BL$508)+1)))</f>
        <v/>
      </c>
      <c r="BN143" s="91" t="str">
        <f aca="false">IF($BD143&lt;&gt;Constants!$B$6,"",IF($AU143="-&gt;",$AS143,$BB143))</f>
        <v/>
      </c>
      <c r="BO143" s="87" t="str">
        <f aca="false">IF(ISBLANK($C143),"",IF($BD143&lt;&gt;Constants!$B$6,$BD143,IF(ISNUMBER($BN143),RANK($BN143,$BN$9:$BN$508,1),COUNT($BN$9:$BN$508)+1)))</f>
        <v/>
      </c>
      <c r="BP143" s="91" t="str">
        <f aca="false">IF($BD143&lt;&gt;Constants!$B$6,"",IF($AU143="-&gt;",$AT143,$BC143))</f>
        <v/>
      </c>
      <c r="BQ143" s="87" t="str">
        <f aca="false">IF(ISBLANK($C143),"",IF($BD143&lt;&gt;Constants!$B$6,$BD143,IF(ISNUMBER($BP143),RANK($BP143,$BP$9:$BP$508,1),COUNT($BP$9:$BP$508)+1)))</f>
        <v/>
      </c>
      <c r="BR143" s="87" t="str">
        <f aca="false">IF(ISBLANK($C143),"",IF($BD143&lt;&gt;Constants!$B$6,$BD143,COUNTIFS($BI$9:$BI$508,"&lt;"&amp;$BI143)+COUNTIFS($BI$9:$BI$508,$BI143,$BK$9:$BK$508,"&lt;"&amp;$BK143)+COUNTIFS($BI$9:$BI$508,$BI143,$BK$9:$BK$508,$BK143,$BM$9:$BM$508,"&lt;"&amp;$BM143)+COUNTIFS($BI$9:$BI$508,$BI143,$BK$9:$BK$508,$BK143,$BM$9:$BM$508,$BM143,$BO$9:$BO$508,"&lt;"&amp;$BO143)+COUNTIFS($BI$9:$BI$508,$BI143,$BK$9:$BK$508,$BK143,$BM$9:$BM$508,$BM143,$BO$9:$BO$508,$BO143,$BQ$9:$BQ$508,"&lt;"&amp;$BQ143)+1))</f>
        <v/>
      </c>
      <c r="BS143" s="87" t="str">
        <f aca="false">IF(ISBLANK($C143),"",IF($BD143&lt;&gt;Constants!$B$6,$BD143,$BI143-$BR143))</f>
        <v/>
      </c>
      <c r="BT143" s="94"/>
      <c r="BU143" s="95"/>
      <c r="BV143" s="95" t="str">
        <f aca="false">IF(ISBLANK($C143),"",IF($BD143&lt;&gt;Constants!$B$6,"",IF($AU143="-&gt;",2,1)))</f>
        <v/>
      </c>
      <c r="BW143" s="96" t="str">
        <f aca="false">IF(ISBLANK($C143),"",IF($BD143&lt;&gt;Constants!$B$6,"",IF($AU143="-&gt;",$AW143,$AN143)))</f>
        <v/>
      </c>
      <c r="BX143" s="96" t="str">
        <f aca="false">IF(ISBLANK($C143),"",IF($BD143&lt;&gt;Constants!$B$6,"",IF($AU143="-&gt;",$AX143,$AO143)))</f>
        <v/>
      </c>
      <c r="BY143" s="96" t="str">
        <f aca="false">IF(ISBLANK($C143),"",IF($BD143&lt;&gt;Constants!$B$6,"",IF($AU143="-&gt;",$AY143,$AP143)))</f>
        <v/>
      </c>
      <c r="BZ143" s="96" t="str">
        <f aca="false">IF(ISBLANK($C143),"",IF($BD143&lt;&gt;Constants!$B$6,"",IF($AU143="-&gt;",$AZ143,$AQ143)+$BG143))</f>
        <v/>
      </c>
      <c r="CA143" s="97" t="str">
        <f aca="false">IF(ISBLANK($C143),"",IF($BD143&lt;&gt;Constants!$B$6,$BD143,$BH143))</f>
        <v/>
      </c>
      <c r="CB143" s="98" t="str">
        <f aca="false">IF(ISBLANK($C143),"",$BE143)</f>
        <v/>
      </c>
      <c r="CC143" s="99" t="str">
        <f aca="false">IF(ISBLANK($C143),"",$BS143)</f>
        <v/>
      </c>
      <c r="CD143" s="99" t="str">
        <f aca="false">IF(ISBLANK($C143),"",$BR143)</f>
        <v/>
      </c>
      <c r="CE143" s="100" t="str">
        <f aca="false">IF(ISBLANK($C143),"",IF($CD143=Constants!$B$9,COUNTA($C$9:$C$508)+2,IF($CD143=Constants!$B$8,COUNTA($C$9:$C$508)+1,IF($CD143=Constants!$B$7,COUNTA($C$9:$C$508),$CD143))))</f>
        <v/>
      </c>
      <c r="CF143" s="9"/>
      <c r="CG143" s="101" t="n">
        <f aca="false">IF(OR(ISNUMBER($CD143),$CD143=Constants!$B$9,$CD143=Constants!$B$7,$CD143=Constants!$B$8),1,0)</f>
        <v>0</v>
      </c>
      <c r="CH143" s="101" t="n">
        <v>135</v>
      </c>
      <c r="CI143" s="101" t="str">
        <f aca="false">IF(ISBLANK($C143),"",IF(ISNUMBER($CE143),$CE143+ROW($B143)/1000,""))</f>
        <v/>
      </c>
      <c r="CJ143" s="101" t="str">
        <f aca="false">IF(ISNUMBER($CI143),RANK($CI143,$CI$9:$CI$508,1),"")</f>
        <v/>
      </c>
      <c r="CK143" s="101" t="str">
        <f aca="false">IF(ISBLANK($C143),"",$B143)</f>
        <v/>
      </c>
      <c r="CL143" s="101" t="str">
        <f aca="false">IF(ISBLANK($C143),"",$C143)</f>
        <v/>
      </c>
      <c r="CM143" s="101" t="str">
        <f aca="false">IF(ISBLANK($C143),"",$D143)</f>
        <v/>
      </c>
      <c r="CN143" s="102" t="str">
        <f aca="false">$CB143</f>
        <v/>
      </c>
      <c r="CO143" s="103" t="str">
        <f aca="false">$CA143</f>
        <v/>
      </c>
      <c r="CP143" s="101" t="str">
        <f aca="false">IF(ISBLANK($C143),"",$CD143)</f>
        <v/>
      </c>
      <c r="CQ143" s="104" t="str">
        <f aca="false">IF($CH143&gt;$CG$8,"",VLOOKUP($CH143,$CJ$9:$CP$508,7,FALSE()))</f>
        <v/>
      </c>
      <c r="CR143" s="105" t="str">
        <f aca="false">IF($CH143&gt;$CG$8,"",VLOOKUP($CH143,$CJ$9:$CP$508,2,FALSE()))</f>
        <v/>
      </c>
      <c r="CS143" s="105" t="str">
        <f aca="false">IF($CH143&gt;$CG$8,"",VLOOKUP($CH143,$CJ$9:$CP$508,3,FALSE()))</f>
        <v/>
      </c>
      <c r="CT143" s="105" t="str">
        <f aca="false">IF($CH143&gt;$CG$8,"",VLOOKUP($CH143,$CJ$9:$CP$508,4,FALSE()))</f>
        <v/>
      </c>
      <c r="CU143" s="105" t="str">
        <f aca="false">IF($CH143&gt;$CG$8,"",VLOOKUP($CH143,$CJ$9:$CP$508,5,FALSE()))</f>
        <v/>
      </c>
      <c r="CV143" s="106" t="str">
        <f aca="false">IF($CH143&gt;$CG$8,"",VLOOKUP($CH143,$CJ$9:$CP$508,6,FALSE()))</f>
        <v/>
      </c>
      <c r="CW143" s="71"/>
    </row>
    <row r="144" customFormat="false" ht="15.75" hidden="false" customHeight="false" outlineLevel="0" collapsed="false">
      <c r="A144" s="9"/>
      <c r="B144" s="150"/>
      <c r="C144" s="151"/>
      <c r="D144" s="152"/>
      <c r="E144" s="170"/>
      <c r="F144" s="154"/>
      <c r="G144" s="155"/>
      <c r="H144" s="171"/>
      <c r="I144" s="159"/>
      <c r="J144" s="120"/>
      <c r="K144" s="121"/>
      <c r="L144" s="122"/>
      <c r="M144" s="158"/>
      <c r="N144" s="159"/>
      <c r="O144" s="159"/>
      <c r="P144" s="120"/>
      <c r="Q144" s="122"/>
      <c r="R144" s="122"/>
      <c r="S144" s="158"/>
      <c r="T144" s="159"/>
      <c r="U144" s="126"/>
      <c r="V144" s="127"/>
      <c r="W144" s="127" t="str">
        <f aca="false">IF(ISBLANK($C144),"",IF(E144=Constants!$B$2,TRUE(),IF(E144=Constants!$B$3,FALSE(),TRUE())))</f>
        <v/>
      </c>
      <c r="X144" s="127" t="str">
        <f aca="false">IF(ISBLANK($C144),"",IF(F144=Constants!$B$2,TRUE(),IF(F144=Constants!$B$3,FALSE(),TRUE())))</f>
        <v/>
      </c>
      <c r="Y144" s="127" t="str">
        <f aca="false">IF(ISBLANK($C144),"",IF(G144=Constants!$B$2,TRUE(),IF(G144=Constants!$B$3,FALSE(),TRUE())))</f>
        <v/>
      </c>
      <c r="Z144" s="127" t="str">
        <f aca="false">IF(ISBLANK($C144),"",IF(H144=Constants!$B$2,TRUE(),IF(H144=Constants!$B$3,FALSE(),TRUE())))</f>
        <v/>
      </c>
      <c r="AA144" s="127" t="str">
        <f aca="false">IF(ISBLANK($C144),"",IF(I144=Constants!$B$2,TRUE(),IF(I144=Constants!$B$3,FALSE(),TRUE())))</f>
        <v/>
      </c>
      <c r="AB144" s="127" t="str">
        <f aca="false">IF(ISBLANK($C144),"",IF(J144=Constants!$B$4,TRUE(),IF(J144=Constants!$B$5,FALSE(),COUNTA(K144:M144)&gt;0)))</f>
        <v/>
      </c>
      <c r="AC144" s="128" t="str">
        <f aca="false">IF(ISBLANK($C144),"",IF(ISNUMBER(K144),IF(K144&gt;=0,K144,""),""))</f>
        <v/>
      </c>
      <c r="AD144" s="129" t="str">
        <f aca="false">IF(ISBLANK($C144),"",IF(ISNUMBER(L144),IF(L144&gt;=0,L144,""),""))</f>
        <v/>
      </c>
      <c r="AE144" s="127" t="str">
        <f aca="false">IF(ISBLANK($C144),"",IF(ISNUMBER(M144),IF(M144&gt;=0,MIN(M144,Constants!$B$22),""),""))</f>
        <v/>
      </c>
      <c r="AF144" s="127" t="str">
        <f aca="false">IF(ISBLANK($C144),"",IF(N144=Constants!$B$2,TRUE(),IF(N144=Constants!$B$3,FALSE(),TRUE())))</f>
        <v/>
      </c>
      <c r="AG144" s="127" t="str">
        <f aca="false">IF(ISBLANK($C144),"",IF(O144=Constants!$B$2,TRUE(),IF(O144=Constants!$B$3,FALSE(),TRUE())))</f>
        <v/>
      </c>
      <c r="AH144" s="127" t="str">
        <f aca="false">IF(ISBLANK($C144),"",IF(P144=Constants!$B$4,TRUE(),IF(P144=Constants!$B$5,FALSE(),COUNTA(Q144:S144)&gt;0)))</f>
        <v/>
      </c>
      <c r="AI144" s="128" t="str">
        <f aca="false">IF(ISBLANK($C144),"",IF(ISNUMBER(Q144),IF(Q144&gt;=0,Q144,""),""))</f>
        <v/>
      </c>
      <c r="AJ144" s="129" t="str">
        <f aca="false">IF(ISBLANK($C144),"",IF(ISNUMBER(R144),IF(R144&gt;=0,R144,""),""))</f>
        <v/>
      </c>
      <c r="AK144" s="127" t="str">
        <f aca="false">IF(ISBLANK($C144),"",IF(ISNUMBER(S144),IF(S144&gt;=0,MIN(S144,Constants!$B$22),""),""))</f>
        <v/>
      </c>
      <c r="AL144" s="127" t="str">
        <f aca="false">IF(ISBLANK($C144),"",IF(T144=Constants!$B$2,TRUE(),IF(T144=Constants!$B$3,FALSE(),FALSE())))</f>
        <v/>
      </c>
      <c r="AM144" s="126" t="str">
        <f aca="false">IF(ISBLANK($C144),"",AND($AB144,OR($AC144="",$AD144="",AND(NOT(ISBLANK($M144)),$AE144=""))))</f>
        <v/>
      </c>
      <c r="AN144" s="129" t="str">
        <f aca="false">IF($BD144&lt;&gt;Constants!$B$6,"",IF($AB144,Constants!$B$17*$AD144,Constants!$B$18))</f>
        <v/>
      </c>
      <c r="AO144" s="130" t="str">
        <f aca="false">IF($BD144&lt;&gt;Constants!$B$6,"",Constants!$B$19*IF($AB144,$AC144,0))</f>
        <v/>
      </c>
      <c r="AP144" s="130" t="str">
        <f aca="false">IF($BD144&lt;&gt;Constants!$B$6,"",IF(AND($AB144,ISNUMBER($AE144)),Constants!$B$20*(Constants!$B$21-$AE144),0))</f>
        <v/>
      </c>
      <c r="AQ144" s="130" t="str">
        <f aca="false">IF($BD144&lt;&gt;Constants!$B$6,"",IF($AA144,0,Constants!$B$12)+IF($Z144,0,Constants!$B$13)+IF($Y144,0,Constants!$B$14))</f>
        <v/>
      </c>
      <c r="AR144" s="131" t="str">
        <f aca="false">IF($BD144&lt;&gt;Constants!$B$6,"",Constants!$B$16+SUM($AN144:$AQ144))</f>
        <v/>
      </c>
      <c r="AS144" s="130" t="str">
        <f aca="false">IF($BD144&lt;&gt;Constants!$B$6,"",IF($AB144,$AD144,""))</f>
        <v/>
      </c>
      <c r="AT144" s="132" t="str">
        <f aca="false">IF($BD144&lt;&gt;Constants!$B$6,"",$AO144)</f>
        <v/>
      </c>
      <c r="AU144" s="127" t="str">
        <f aca="false">IF($BD144&lt;&gt;Constants!$B$6,"",IF(OR($BA144&lt;$AR144,AND($BA144=$AR144,OR(AND(ISNUMBER($BB144),OR(NOT(ISNUMBER($AS144)),$BB144&lt;$AS144)),AND(OR(AND($BB144="",$AS144=""),AND(ISNUMBER($BB144),ISNUMBER($AS144),$BB144=$AS144)),$BC144&lt;$AT144)))),"-&gt;","&lt;-"))</f>
        <v/>
      </c>
      <c r="AV144" s="126" t="str">
        <f aca="false">IF(ISBLANK($C144),"",AND($AH144,OR($AI144="",$AJ144="",AND(NOT(ISBLANK($S144)),$AK144=""))))</f>
        <v/>
      </c>
      <c r="AW144" s="129" t="str">
        <f aca="false">IF($BD144&lt;&gt;Constants!$B$6,"",IF($AH144,Constants!$B$17*$AJ144,Constants!$B$18))</f>
        <v/>
      </c>
      <c r="AX144" s="130" t="str">
        <f aca="false">IF($BD144&lt;&gt;Constants!$B$6,"",Constants!$B$19*IF($AH144,$AI144,0))</f>
        <v/>
      </c>
      <c r="AY144" s="130" t="str">
        <f aca="false">IF($BD144&lt;&gt;Constants!$B$6,"",IF(AND($AH144,ISNUMBER($AK144)),Constants!$B$20*(Constants!$B$21-$AK144),0))</f>
        <v/>
      </c>
      <c r="AZ144" s="130" t="str">
        <f aca="false">IF($BD144&lt;&gt;Constants!$B$6,"",IF($AG144,0,Constants!$B$12)+IF($AF144,0,Constants!$B$13)+IF($Y144,0,Constants!$B$14))</f>
        <v/>
      </c>
      <c r="BA144" s="131" t="str">
        <f aca="false">IF($BD144&lt;&gt;Constants!$B$6,"",Constants!$B$16+SUM($AW144:$AZ144))</f>
        <v/>
      </c>
      <c r="BB144" s="130" t="str">
        <f aca="false">IF($BD144&lt;&gt;Constants!$B$6,"",IF($AH144,$AJ144,""))</f>
        <v/>
      </c>
      <c r="BC144" s="132" t="str">
        <f aca="false">IF($BD144&lt;&gt;Constants!$B$6,"",$AX144)</f>
        <v/>
      </c>
      <c r="BD144" s="127" t="str">
        <f aca="false">IF(ISBLANK($C144),"",IF($AL144,Constants!$B$9,IF(COUNTA($E144:$T144)=0,Constants!$B$8,IF(NOT($X144),Constants!$B$7,IF(OR($AM144,$AV144),Constants!$B$10,Constants!$B$6)))))</f>
        <v/>
      </c>
      <c r="BE144" s="127" t="str">
        <f aca="false">IF(ISBLANK($C144),"",IF($BD144&lt;&gt;Constants!$B$6,$BD144,Constants!$B$11))</f>
        <v/>
      </c>
      <c r="BF144" s="130" t="str">
        <f aca="false">IF($BD144&lt;&gt;Constants!$B$6,"",IF($AU144="-&gt;",$BA144,$AR144))</f>
        <v/>
      </c>
      <c r="BG144" s="130" t="str">
        <f aca="false">IF($BD144&lt;&gt;Constants!$B$6,"",IF($W144,0,Constants!$B$15))</f>
        <v/>
      </c>
      <c r="BH144" s="130" t="str">
        <f aca="false">IF(ISBLANK($C144),"",IF($BD144&lt;&gt;Constants!$B$6,$BD144,SUM($BF144:$BG144)))</f>
        <v/>
      </c>
      <c r="BI144" s="127" t="str">
        <f aca="false">IF(ISBLANK($C144),"",IF($BD144&lt;&gt;Constants!$B$6,$BD144,RANK($BH144,$BH$9:$BH$508,1)))</f>
        <v/>
      </c>
      <c r="BJ144" s="130" t="str">
        <f aca="false">IF($BD144&lt;&gt;Constants!$B$6,"",IF($AU144="-&gt;",$BB144,$AS144))</f>
        <v/>
      </c>
      <c r="BK144" s="127" t="str">
        <f aca="false">IF(ISBLANK($C144),"",IF($BD144&lt;&gt;Constants!$B$6,$BD144,IF(ISNUMBER($BJ144),RANK($BJ144,$BJ$9:$BJ$508,1),COUNT($BJ$9:$BJ$508)+1)))</f>
        <v/>
      </c>
      <c r="BL144" s="130" t="str">
        <f aca="false">IF($BD144&lt;&gt;Constants!$B$6,"",IF($AU144="-&gt;",$BC144,$AT144))</f>
        <v/>
      </c>
      <c r="BM144" s="127" t="str">
        <f aca="false">IF(ISBLANK($C144),"",IF($BD144&lt;&gt;Constants!$B$6,$BD144,IF(ISNUMBER($BL144),RANK($BL144,$BL$9:$BL$508,1),COUNT($BL$9:$BL$508)+1)))</f>
        <v/>
      </c>
      <c r="BN144" s="130" t="str">
        <f aca="false">IF($BD144&lt;&gt;Constants!$B$6,"",IF($AU144="-&gt;",$AS144,$BB144))</f>
        <v/>
      </c>
      <c r="BO144" s="127" t="str">
        <f aca="false">IF(ISBLANK($C144),"",IF($BD144&lt;&gt;Constants!$B$6,$BD144,IF(ISNUMBER($BN144),RANK($BN144,$BN$9:$BN$508,1),COUNT($BN$9:$BN$508)+1)))</f>
        <v/>
      </c>
      <c r="BP144" s="130" t="str">
        <f aca="false">IF($BD144&lt;&gt;Constants!$B$6,"",IF($AU144="-&gt;",$AT144,$BC144))</f>
        <v/>
      </c>
      <c r="BQ144" s="127" t="str">
        <f aca="false">IF(ISBLANK($C144),"",IF($BD144&lt;&gt;Constants!$B$6,$BD144,IF(ISNUMBER($BP144),RANK($BP144,$BP$9:$BP$508,1),COUNT($BP$9:$BP$508)+1)))</f>
        <v/>
      </c>
      <c r="BR144" s="127" t="str">
        <f aca="false">IF(ISBLANK($C144),"",IF($BD144&lt;&gt;Constants!$B$6,$BD144,COUNTIFS($BI$9:$BI$508,"&lt;"&amp;$BI144)+COUNTIFS($BI$9:$BI$508,$BI144,$BK$9:$BK$508,"&lt;"&amp;$BK144)+COUNTIFS($BI$9:$BI$508,$BI144,$BK$9:$BK$508,$BK144,$BM$9:$BM$508,"&lt;"&amp;$BM144)+COUNTIFS($BI$9:$BI$508,$BI144,$BK$9:$BK$508,$BK144,$BM$9:$BM$508,$BM144,$BO$9:$BO$508,"&lt;"&amp;$BO144)+COUNTIFS($BI$9:$BI$508,$BI144,$BK$9:$BK$508,$BK144,$BM$9:$BM$508,$BM144,$BO$9:$BO$508,$BO144,$BQ$9:$BQ$508,"&lt;"&amp;$BQ144)+1))</f>
        <v/>
      </c>
      <c r="BS144" s="127" t="str">
        <f aca="false">IF(ISBLANK($C144),"",IF($BD144&lt;&gt;Constants!$B$6,$BD144,$BI144-$BR144))</f>
        <v/>
      </c>
      <c r="BT144" s="133"/>
      <c r="BU144" s="134"/>
      <c r="BV144" s="134" t="str">
        <f aca="false">IF(ISBLANK($C144),"",IF($BD144&lt;&gt;Constants!$B$6,"",IF($AU144="-&gt;",2,1)))</f>
        <v/>
      </c>
      <c r="BW144" s="135" t="str">
        <f aca="false">IF(ISBLANK($C144),"",IF($BD144&lt;&gt;Constants!$B$6,"",IF($AU144="-&gt;",$AW144,$AN144)))</f>
        <v/>
      </c>
      <c r="BX144" s="135" t="str">
        <f aca="false">IF(ISBLANK($C144),"",IF($BD144&lt;&gt;Constants!$B$6,"",IF($AU144="-&gt;",$AX144,$AO144)))</f>
        <v/>
      </c>
      <c r="BY144" s="135" t="str">
        <f aca="false">IF(ISBLANK($C144),"",IF($BD144&lt;&gt;Constants!$B$6,"",IF($AU144="-&gt;",$AY144,$AP144)))</f>
        <v/>
      </c>
      <c r="BZ144" s="135" t="str">
        <f aca="false">IF(ISBLANK($C144),"",IF($BD144&lt;&gt;Constants!$B$6,"",IF($AU144="-&gt;",$AZ144,$AQ144)+$BG144))</f>
        <v/>
      </c>
      <c r="CA144" s="136" t="str">
        <f aca="false">IF(ISBLANK($C144),"",IF($BD144&lt;&gt;Constants!$B$6,$BD144,$BH144))</f>
        <v/>
      </c>
      <c r="CB144" s="137" t="str">
        <f aca="false">IF(ISBLANK($C144),"",$BE144)</f>
        <v/>
      </c>
      <c r="CC144" s="138" t="str">
        <f aca="false">IF(ISBLANK($C144),"",$BS144)</f>
        <v/>
      </c>
      <c r="CD144" s="138" t="str">
        <f aca="false">IF(ISBLANK($C144),"",$BR144)</f>
        <v/>
      </c>
      <c r="CE144" s="139" t="str">
        <f aca="false">IF(ISBLANK($C144),"",IF($CD144=Constants!$B$9,COUNTA($C$9:$C$508)+2,IF($CD144=Constants!$B$8,COUNTA($C$9:$C$508)+1,IF($CD144=Constants!$B$7,COUNTA($C$9:$C$508),$CD144))))</f>
        <v/>
      </c>
      <c r="CF144" s="9"/>
      <c r="CG144" s="140" t="n">
        <f aca="false">IF(OR(ISNUMBER($CD144),$CD144=Constants!$B$9,$CD144=Constants!$B$7,$CD144=Constants!$B$8),1,0)</f>
        <v>0</v>
      </c>
      <c r="CH144" s="140" t="n">
        <v>136</v>
      </c>
      <c r="CI144" s="140" t="str">
        <f aca="false">IF(ISBLANK($C144),"",IF(ISNUMBER($CE144),$CE144+ROW($B144)/1000,""))</f>
        <v/>
      </c>
      <c r="CJ144" s="140" t="str">
        <f aca="false">IF(ISNUMBER($CI144),RANK($CI144,$CI$9:$CI$508,1),"")</f>
        <v/>
      </c>
      <c r="CK144" s="140" t="str">
        <f aca="false">IF(ISBLANK($C144),"",$B144)</f>
        <v/>
      </c>
      <c r="CL144" s="140" t="str">
        <f aca="false">IF(ISBLANK($C144),"",$C144)</f>
        <v/>
      </c>
      <c r="CM144" s="140" t="str">
        <f aca="false">IF(ISBLANK($C144),"",$D144)</f>
        <v/>
      </c>
      <c r="CN144" s="141" t="str">
        <f aca="false">$CB144</f>
        <v/>
      </c>
      <c r="CO144" s="142" t="str">
        <f aca="false">$CA144</f>
        <v/>
      </c>
      <c r="CP144" s="140" t="str">
        <f aca="false">IF(ISBLANK($C144),"",$CD144)</f>
        <v/>
      </c>
      <c r="CQ144" s="143" t="str">
        <f aca="false">IF($CH144&gt;$CG$8,"",VLOOKUP($CH144,$CJ$9:$CP$508,7,FALSE()))</f>
        <v/>
      </c>
      <c r="CR144" s="144" t="str">
        <f aca="false">IF($CH144&gt;$CG$8,"",VLOOKUP($CH144,$CJ$9:$CP$508,2,FALSE()))</f>
        <v/>
      </c>
      <c r="CS144" s="144" t="str">
        <f aca="false">IF($CH144&gt;$CG$8,"",VLOOKUP($CH144,$CJ$9:$CP$508,3,FALSE()))</f>
        <v/>
      </c>
      <c r="CT144" s="144" t="str">
        <f aca="false">IF($CH144&gt;$CG$8,"",VLOOKUP($CH144,$CJ$9:$CP$508,4,FALSE()))</f>
        <v/>
      </c>
      <c r="CU144" s="144" t="str">
        <f aca="false">IF($CH144&gt;$CG$8,"",VLOOKUP($CH144,$CJ$9:$CP$508,5,FALSE()))</f>
        <v/>
      </c>
      <c r="CV144" s="145" t="str">
        <f aca="false">IF($CH144&gt;$CG$8,"",VLOOKUP($CH144,$CJ$9:$CP$508,6,FALSE()))</f>
        <v/>
      </c>
      <c r="CW144" s="71"/>
    </row>
    <row r="145" customFormat="false" ht="15.75" hidden="false" customHeight="false" outlineLevel="0" collapsed="false">
      <c r="A145" s="9"/>
      <c r="B145" s="150"/>
      <c r="C145" s="151"/>
      <c r="D145" s="152"/>
      <c r="E145" s="170"/>
      <c r="F145" s="154"/>
      <c r="G145" s="155"/>
      <c r="H145" s="171"/>
      <c r="I145" s="159"/>
      <c r="J145" s="120"/>
      <c r="K145" s="121"/>
      <c r="L145" s="122"/>
      <c r="M145" s="158"/>
      <c r="N145" s="159"/>
      <c r="O145" s="159"/>
      <c r="P145" s="120"/>
      <c r="Q145" s="122"/>
      <c r="R145" s="122"/>
      <c r="S145" s="158"/>
      <c r="T145" s="159"/>
      <c r="U145" s="126"/>
      <c r="V145" s="127"/>
      <c r="W145" s="127" t="str">
        <f aca="false">IF(ISBLANK($C145),"",IF(E145=Constants!$B$2,TRUE(),IF(E145=Constants!$B$3,FALSE(),TRUE())))</f>
        <v/>
      </c>
      <c r="X145" s="127" t="str">
        <f aca="false">IF(ISBLANK($C145),"",IF(F145=Constants!$B$2,TRUE(),IF(F145=Constants!$B$3,FALSE(),TRUE())))</f>
        <v/>
      </c>
      <c r="Y145" s="127" t="str">
        <f aca="false">IF(ISBLANK($C145),"",IF(G145=Constants!$B$2,TRUE(),IF(G145=Constants!$B$3,FALSE(),TRUE())))</f>
        <v/>
      </c>
      <c r="Z145" s="127" t="str">
        <f aca="false">IF(ISBLANK($C145),"",IF(H145=Constants!$B$2,TRUE(),IF(H145=Constants!$B$3,FALSE(),TRUE())))</f>
        <v/>
      </c>
      <c r="AA145" s="127" t="str">
        <f aca="false">IF(ISBLANK($C145),"",IF(I145=Constants!$B$2,TRUE(),IF(I145=Constants!$B$3,FALSE(),TRUE())))</f>
        <v/>
      </c>
      <c r="AB145" s="127" t="str">
        <f aca="false">IF(ISBLANK($C145),"",IF(J145=Constants!$B$4,TRUE(),IF(J145=Constants!$B$5,FALSE(),COUNTA(K145:M145)&gt;0)))</f>
        <v/>
      </c>
      <c r="AC145" s="128" t="str">
        <f aca="false">IF(ISBLANK($C145),"",IF(ISNUMBER(K145),IF(K145&gt;=0,K145,""),""))</f>
        <v/>
      </c>
      <c r="AD145" s="129" t="str">
        <f aca="false">IF(ISBLANK($C145),"",IF(ISNUMBER(L145),IF(L145&gt;=0,L145,""),""))</f>
        <v/>
      </c>
      <c r="AE145" s="127" t="str">
        <f aca="false">IF(ISBLANK($C145),"",IF(ISNUMBER(M145),IF(M145&gt;=0,MIN(M145,Constants!$B$22),""),""))</f>
        <v/>
      </c>
      <c r="AF145" s="127" t="str">
        <f aca="false">IF(ISBLANK($C145),"",IF(N145=Constants!$B$2,TRUE(),IF(N145=Constants!$B$3,FALSE(),TRUE())))</f>
        <v/>
      </c>
      <c r="AG145" s="127" t="str">
        <f aca="false">IF(ISBLANK($C145),"",IF(O145=Constants!$B$2,TRUE(),IF(O145=Constants!$B$3,FALSE(),TRUE())))</f>
        <v/>
      </c>
      <c r="AH145" s="127" t="str">
        <f aca="false">IF(ISBLANK($C145),"",IF(P145=Constants!$B$4,TRUE(),IF(P145=Constants!$B$5,FALSE(),COUNTA(Q145:S145)&gt;0)))</f>
        <v/>
      </c>
      <c r="AI145" s="128" t="str">
        <f aca="false">IF(ISBLANK($C145),"",IF(ISNUMBER(Q145),IF(Q145&gt;=0,Q145,""),""))</f>
        <v/>
      </c>
      <c r="AJ145" s="129" t="str">
        <f aca="false">IF(ISBLANK($C145),"",IF(ISNUMBER(R145),IF(R145&gt;=0,R145,""),""))</f>
        <v/>
      </c>
      <c r="AK145" s="127" t="str">
        <f aca="false">IF(ISBLANK($C145),"",IF(ISNUMBER(S145),IF(S145&gt;=0,MIN(S145,Constants!$B$22),""),""))</f>
        <v/>
      </c>
      <c r="AL145" s="127" t="str">
        <f aca="false">IF(ISBLANK($C145),"",IF(T145=Constants!$B$2,TRUE(),IF(T145=Constants!$B$3,FALSE(),FALSE())))</f>
        <v/>
      </c>
      <c r="AM145" s="126" t="str">
        <f aca="false">IF(ISBLANK($C145),"",AND($AB145,OR($AC145="",$AD145="",AND(NOT(ISBLANK($M145)),$AE145=""))))</f>
        <v/>
      </c>
      <c r="AN145" s="129" t="str">
        <f aca="false">IF($BD145&lt;&gt;Constants!$B$6,"",IF($AB145,Constants!$B$17*$AD145,Constants!$B$18))</f>
        <v/>
      </c>
      <c r="AO145" s="130" t="str">
        <f aca="false">IF($BD145&lt;&gt;Constants!$B$6,"",Constants!$B$19*IF($AB145,$AC145,0))</f>
        <v/>
      </c>
      <c r="AP145" s="130" t="str">
        <f aca="false">IF($BD145&lt;&gt;Constants!$B$6,"",IF(AND($AB145,ISNUMBER($AE145)),Constants!$B$20*(Constants!$B$21-$AE145),0))</f>
        <v/>
      </c>
      <c r="AQ145" s="130" t="str">
        <f aca="false">IF($BD145&lt;&gt;Constants!$B$6,"",IF($AA145,0,Constants!$B$12)+IF($Z145,0,Constants!$B$13)+IF($Y145,0,Constants!$B$14))</f>
        <v/>
      </c>
      <c r="AR145" s="131" t="str">
        <f aca="false">IF($BD145&lt;&gt;Constants!$B$6,"",Constants!$B$16+SUM($AN145:$AQ145))</f>
        <v/>
      </c>
      <c r="AS145" s="130" t="str">
        <f aca="false">IF($BD145&lt;&gt;Constants!$B$6,"",IF($AB145,$AD145,""))</f>
        <v/>
      </c>
      <c r="AT145" s="132" t="str">
        <f aca="false">IF($BD145&lt;&gt;Constants!$B$6,"",$AO145)</f>
        <v/>
      </c>
      <c r="AU145" s="127" t="str">
        <f aca="false">IF($BD145&lt;&gt;Constants!$B$6,"",IF(OR($BA145&lt;$AR145,AND($BA145=$AR145,OR(AND(ISNUMBER($BB145),OR(NOT(ISNUMBER($AS145)),$BB145&lt;$AS145)),AND(OR(AND($BB145="",$AS145=""),AND(ISNUMBER($BB145),ISNUMBER($AS145),$BB145=$AS145)),$BC145&lt;$AT145)))),"-&gt;","&lt;-"))</f>
        <v/>
      </c>
      <c r="AV145" s="126" t="str">
        <f aca="false">IF(ISBLANK($C145),"",AND($AH145,OR($AI145="",$AJ145="",AND(NOT(ISBLANK($S145)),$AK145=""))))</f>
        <v/>
      </c>
      <c r="AW145" s="129" t="str">
        <f aca="false">IF($BD145&lt;&gt;Constants!$B$6,"",IF($AH145,Constants!$B$17*$AJ145,Constants!$B$18))</f>
        <v/>
      </c>
      <c r="AX145" s="130" t="str">
        <f aca="false">IF($BD145&lt;&gt;Constants!$B$6,"",Constants!$B$19*IF($AH145,$AI145,0))</f>
        <v/>
      </c>
      <c r="AY145" s="130" t="str">
        <f aca="false">IF($BD145&lt;&gt;Constants!$B$6,"",IF(AND($AH145,ISNUMBER($AK145)),Constants!$B$20*(Constants!$B$21-$AK145),0))</f>
        <v/>
      </c>
      <c r="AZ145" s="130" t="str">
        <f aca="false">IF($BD145&lt;&gt;Constants!$B$6,"",IF($AG145,0,Constants!$B$12)+IF($AF145,0,Constants!$B$13)+IF($Y145,0,Constants!$B$14))</f>
        <v/>
      </c>
      <c r="BA145" s="131" t="str">
        <f aca="false">IF($BD145&lt;&gt;Constants!$B$6,"",Constants!$B$16+SUM($AW145:$AZ145))</f>
        <v/>
      </c>
      <c r="BB145" s="130" t="str">
        <f aca="false">IF($BD145&lt;&gt;Constants!$B$6,"",IF($AH145,$AJ145,""))</f>
        <v/>
      </c>
      <c r="BC145" s="132" t="str">
        <f aca="false">IF($BD145&lt;&gt;Constants!$B$6,"",$AX145)</f>
        <v/>
      </c>
      <c r="BD145" s="127" t="str">
        <f aca="false">IF(ISBLANK($C145),"",IF($AL145,Constants!$B$9,IF(COUNTA($E145:$T145)=0,Constants!$B$8,IF(NOT($X145),Constants!$B$7,IF(OR($AM145,$AV145),Constants!$B$10,Constants!$B$6)))))</f>
        <v/>
      </c>
      <c r="BE145" s="127" t="str">
        <f aca="false">IF(ISBLANK($C145),"",IF($BD145&lt;&gt;Constants!$B$6,$BD145,Constants!$B$11))</f>
        <v/>
      </c>
      <c r="BF145" s="130" t="str">
        <f aca="false">IF($BD145&lt;&gt;Constants!$B$6,"",IF($AU145="-&gt;",$BA145,$AR145))</f>
        <v/>
      </c>
      <c r="BG145" s="130" t="str">
        <f aca="false">IF($BD145&lt;&gt;Constants!$B$6,"",IF($W145,0,Constants!$B$15))</f>
        <v/>
      </c>
      <c r="BH145" s="130" t="str">
        <f aca="false">IF(ISBLANK($C145),"",IF($BD145&lt;&gt;Constants!$B$6,$BD145,SUM($BF145:$BG145)))</f>
        <v/>
      </c>
      <c r="BI145" s="127" t="str">
        <f aca="false">IF(ISBLANK($C145),"",IF($BD145&lt;&gt;Constants!$B$6,$BD145,RANK($BH145,$BH$9:$BH$508,1)))</f>
        <v/>
      </c>
      <c r="BJ145" s="130" t="str">
        <f aca="false">IF($BD145&lt;&gt;Constants!$B$6,"",IF($AU145="-&gt;",$BB145,$AS145))</f>
        <v/>
      </c>
      <c r="BK145" s="127" t="str">
        <f aca="false">IF(ISBLANK($C145),"",IF($BD145&lt;&gt;Constants!$B$6,$BD145,IF(ISNUMBER($BJ145),RANK($BJ145,$BJ$9:$BJ$508,1),COUNT($BJ$9:$BJ$508)+1)))</f>
        <v/>
      </c>
      <c r="BL145" s="130" t="str">
        <f aca="false">IF($BD145&lt;&gt;Constants!$B$6,"",IF($AU145="-&gt;",$BC145,$AT145))</f>
        <v/>
      </c>
      <c r="BM145" s="127" t="str">
        <f aca="false">IF(ISBLANK($C145),"",IF($BD145&lt;&gt;Constants!$B$6,$BD145,IF(ISNUMBER($BL145),RANK($BL145,$BL$9:$BL$508,1),COUNT($BL$9:$BL$508)+1)))</f>
        <v/>
      </c>
      <c r="BN145" s="130" t="str">
        <f aca="false">IF($BD145&lt;&gt;Constants!$B$6,"",IF($AU145="-&gt;",$AS145,$BB145))</f>
        <v/>
      </c>
      <c r="BO145" s="127" t="str">
        <f aca="false">IF(ISBLANK($C145),"",IF($BD145&lt;&gt;Constants!$B$6,$BD145,IF(ISNUMBER($BN145),RANK($BN145,$BN$9:$BN$508,1),COUNT($BN$9:$BN$508)+1)))</f>
        <v/>
      </c>
      <c r="BP145" s="130" t="str">
        <f aca="false">IF($BD145&lt;&gt;Constants!$B$6,"",IF($AU145="-&gt;",$AT145,$BC145))</f>
        <v/>
      </c>
      <c r="BQ145" s="127" t="str">
        <f aca="false">IF(ISBLANK($C145),"",IF($BD145&lt;&gt;Constants!$B$6,$BD145,IF(ISNUMBER($BP145),RANK($BP145,$BP$9:$BP$508,1),COUNT($BP$9:$BP$508)+1)))</f>
        <v/>
      </c>
      <c r="BR145" s="127" t="str">
        <f aca="false">IF(ISBLANK($C145),"",IF($BD145&lt;&gt;Constants!$B$6,$BD145,COUNTIFS($BI$9:$BI$508,"&lt;"&amp;$BI145)+COUNTIFS($BI$9:$BI$508,$BI145,$BK$9:$BK$508,"&lt;"&amp;$BK145)+COUNTIFS($BI$9:$BI$508,$BI145,$BK$9:$BK$508,$BK145,$BM$9:$BM$508,"&lt;"&amp;$BM145)+COUNTIFS($BI$9:$BI$508,$BI145,$BK$9:$BK$508,$BK145,$BM$9:$BM$508,$BM145,$BO$9:$BO$508,"&lt;"&amp;$BO145)+COUNTIFS($BI$9:$BI$508,$BI145,$BK$9:$BK$508,$BK145,$BM$9:$BM$508,$BM145,$BO$9:$BO$508,$BO145,$BQ$9:$BQ$508,"&lt;"&amp;$BQ145)+1))</f>
        <v/>
      </c>
      <c r="BS145" s="127" t="str">
        <f aca="false">IF(ISBLANK($C145),"",IF($BD145&lt;&gt;Constants!$B$6,$BD145,$BI145-$BR145))</f>
        <v/>
      </c>
      <c r="BT145" s="133"/>
      <c r="BU145" s="134"/>
      <c r="BV145" s="134" t="str">
        <f aca="false">IF(ISBLANK($C145),"",IF($BD145&lt;&gt;Constants!$B$6,"",IF($AU145="-&gt;",2,1)))</f>
        <v/>
      </c>
      <c r="BW145" s="135" t="str">
        <f aca="false">IF(ISBLANK($C145),"",IF($BD145&lt;&gt;Constants!$B$6,"",IF($AU145="-&gt;",$AW145,$AN145)))</f>
        <v/>
      </c>
      <c r="BX145" s="135" t="str">
        <f aca="false">IF(ISBLANK($C145),"",IF($BD145&lt;&gt;Constants!$B$6,"",IF($AU145="-&gt;",$AX145,$AO145)))</f>
        <v/>
      </c>
      <c r="BY145" s="135" t="str">
        <f aca="false">IF(ISBLANK($C145),"",IF($BD145&lt;&gt;Constants!$B$6,"",IF($AU145="-&gt;",$AY145,$AP145)))</f>
        <v/>
      </c>
      <c r="BZ145" s="135" t="str">
        <f aca="false">IF(ISBLANK($C145),"",IF($BD145&lt;&gt;Constants!$B$6,"",IF($AU145="-&gt;",$AZ145,$AQ145)+$BG145))</f>
        <v/>
      </c>
      <c r="CA145" s="136" t="str">
        <f aca="false">IF(ISBLANK($C145),"",IF($BD145&lt;&gt;Constants!$B$6,$BD145,$BH145))</f>
        <v/>
      </c>
      <c r="CB145" s="137" t="str">
        <f aca="false">IF(ISBLANK($C145),"",$BE145)</f>
        <v/>
      </c>
      <c r="CC145" s="138" t="str">
        <f aca="false">IF(ISBLANK($C145),"",$BS145)</f>
        <v/>
      </c>
      <c r="CD145" s="138" t="str">
        <f aca="false">IF(ISBLANK($C145),"",$BR145)</f>
        <v/>
      </c>
      <c r="CE145" s="139" t="str">
        <f aca="false">IF(ISBLANK($C145),"",IF($CD145=Constants!$B$9,COUNTA($C$9:$C$508)+2,IF($CD145=Constants!$B$8,COUNTA($C$9:$C$508)+1,IF($CD145=Constants!$B$7,COUNTA($C$9:$C$508),$CD145))))</f>
        <v/>
      </c>
      <c r="CF145" s="9"/>
      <c r="CG145" s="140" t="n">
        <f aca="false">IF(OR(ISNUMBER($CD145),$CD145=Constants!$B$9,$CD145=Constants!$B$7,$CD145=Constants!$B$8),1,0)</f>
        <v>0</v>
      </c>
      <c r="CH145" s="140" t="n">
        <v>137</v>
      </c>
      <c r="CI145" s="140" t="str">
        <f aca="false">IF(ISBLANK($C145),"",IF(ISNUMBER($CE145),$CE145+ROW($B145)/1000,""))</f>
        <v/>
      </c>
      <c r="CJ145" s="140" t="str">
        <f aca="false">IF(ISNUMBER($CI145),RANK($CI145,$CI$9:$CI$508,1),"")</f>
        <v/>
      </c>
      <c r="CK145" s="140" t="str">
        <f aca="false">IF(ISBLANK($C145),"",$B145)</f>
        <v/>
      </c>
      <c r="CL145" s="140" t="str">
        <f aca="false">IF(ISBLANK($C145),"",$C145)</f>
        <v/>
      </c>
      <c r="CM145" s="140" t="str">
        <f aca="false">IF(ISBLANK($C145),"",$D145)</f>
        <v/>
      </c>
      <c r="CN145" s="141" t="str">
        <f aca="false">$CB145</f>
        <v/>
      </c>
      <c r="CO145" s="142" t="str">
        <f aca="false">$CA145</f>
        <v/>
      </c>
      <c r="CP145" s="140" t="str">
        <f aca="false">IF(ISBLANK($C145),"",$CD145)</f>
        <v/>
      </c>
      <c r="CQ145" s="143" t="str">
        <f aca="false">IF($CH145&gt;$CG$8,"",VLOOKUP($CH145,$CJ$9:$CP$508,7,FALSE()))</f>
        <v/>
      </c>
      <c r="CR145" s="144" t="str">
        <f aca="false">IF($CH145&gt;$CG$8,"",VLOOKUP($CH145,$CJ$9:$CP$508,2,FALSE()))</f>
        <v/>
      </c>
      <c r="CS145" s="144" t="str">
        <f aca="false">IF($CH145&gt;$CG$8,"",VLOOKUP($CH145,$CJ$9:$CP$508,3,FALSE()))</f>
        <v/>
      </c>
      <c r="CT145" s="144" t="str">
        <f aca="false">IF($CH145&gt;$CG$8,"",VLOOKUP($CH145,$CJ$9:$CP$508,4,FALSE()))</f>
        <v/>
      </c>
      <c r="CU145" s="144" t="str">
        <f aca="false">IF($CH145&gt;$CG$8,"",VLOOKUP($CH145,$CJ$9:$CP$508,5,FALSE()))</f>
        <v/>
      </c>
      <c r="CV145" s="145" t="str">
        <f aca="false">IF($CH145&gt;$CG$8,"",VLOOKUP($CH145,$CJ$9:$CP$508,6,FALSE()))</f>
        <v/>
      </c>
      <c r="CW145" s="71"/>
    </row>
    <row r="146" customFormat="false" ht="15.75" hidden="false" customHeight="false" outlineLevel="0" collapsed="false">
      <c r="A146" s="9"/>
      <c r="B146" s="150"/>
      <c r="C146" s="151"/>
      <c r="D146" s="152"/>
      <c r="E146" s="170"/>
      <c r="F146" s="154"/>
      <c r="G146" s="155"/>
      <c r="H146" s="171"/>
      <c r="I146" s="159"/>
      <c r="J146" s="120"/>
      <c r="K146" s="121"/>
      <c r="L146" s="122"/>
      <c r="M146" s="158"/>
      <c r="N146" s="159"/>
      <c r="O146" s="159"/>
      <c r="P146" s="120"/>
      <c r="Q146" s="122"/>
      <c r="R146" s="122"/>
      <c r="S146" s="158"/>
      <c r="T146" s="159"/>
      <c r="U146" s="126"/>
      <c r="V146" s="127"/>
      <c r="W146" s="127" t="str">
        <f aca="false">IF(ISBLANK($C146),"",IF(E146=Constants!$B$2,TRUE(),IF(E146=Constants!$B$3,FALSE(),TRUE())))</f>
        <v/>
      </c>
      <c r="X146" s="127" t="str">
        <f aca="false">IF(ISBLANK($C146),"",IF(F146=Constants!$B$2,TRUE(),IF(F146=Constants!$B$3,FALSE(),TRUE())))</f>
        <v/>
      </c>
      <c r="Y146" s="127" t="str">
        <f aca="false">IF(ISBLANK($C146),"",IF(G146=Constants!$B$2,TRUE(),IF(G146=Constants!$B$3,FALSE(),TRUE())))</f>
        <v/>
      </c>
      <c r="Z146" s="127" t="str">
        <f aca="false">IF(ISBLANK($C146),"",IF(H146=Constants!$B$2,TRUE(),IF(H146=Constants!$B$3,FALSE(),TRUE())))</f>
        <v/>
      </c>
      <c r="AA146" s="127" t="str">
        <f aca="false">IF(ISBLANK($C146),"",IF(I146=Constants!$B$2,TRUE(),IF(I146=Constants!$B$3,FALSE(),TRUE())))</f>
        <v/>
      </c>
      <c r="AB146" s="127" t="str">
        <f aca="false">IF(ISBLANK($C146),"",IF(J146=Constants!$B$4,TRUE(),IF(J146=Constants!$B$5,FALSE(),COUNTA(K146:M146)&gt;0)))</f>
        <v/>
      </c>
      <c r="AC146" s="128" t="str">
        <f aca="false">IF(ISBLANK($C146),"",IF(ISNUMBER(K146),IF(K146&gt;=0,K146,""),""))</f>
        <v/>
      </c>
      <c r="AD146" s="129" t="str">
        <f aca="false">IF(ISBLANK($C146),"",IF(ISNUMBER(L146),IF(L146&gt;=0,L146,""),""))</f>
        <v/>
      </c>
      <c r="AE146" s="127" t="str">
        <f aca="false">IF(ISBLANK($C146),"",IF(ISNUMBER(M146),IF(M146&gt;=0,MIN(M146,Constants!$B$22),""),""))</f>
        <v/>
      </c>
      <c r="AF146" s="127" t="str">
        <f aca="false">IF(ISBLANK($C146),"",IF(N146=Constants!$B$2,TRUE(),IF(N146=Constants!$B$3,FALSE(),TRUE())))</f>
        <v/>
      </c>
      <c r="AG146" s="127" t="str">
        <f aca="false">IF(ISBLANK($C146),"",IF(O146=Constants!$B$2,TRUE(),IF(O146=Constants!$B$3,FALSE(),TRUE())))</f>
        <v/>
      </c>
      <c r="AH146" s="127" t="str">
        <f aca="false">IF(ISBLANK($C146),"",IF(P146=Constants!$B$4,TRUE(),IF(P146=Constants!$B$5,FALSE(),COUNTA(Q146:S146)&gt;0)))</f>
        <v/>
      </c>
      <c r="AI146" s="128" t="str">
        <f aca="false">IF(ISBLANK($C146),"",IF(ISNUMBER(Q146),IF(Q146&gt;=0,Q146,""),""))</f>
        <v/>
      </c>
      <c r="AJ146" s="129" t="str">
        <f aca="false">IF(ISBLANK($C146),"",IF(ISNUMBER(R146),IF(R146&gt;=0,R146,""),""))</f>
        <v/>
      </c>
      <c r="AK146" s="127" t="str">
        <f aca="false">IF(ISBLANK($C146),"",IF(ISNUMBER(S146),IF(S146&gt;=0,MIN(S146,Constants!$B$22),""),""))</f>
        <v/>
      </c>
      <c r="AL146" s="127" t="str">
        <f aca="false">IF(ISBLANK($C146),"",IF(T146=Constants!$B$2,TRUE(),IF(T146=Constants!$B$3,FALSE(),FALSE())))</f>
        <v/>
      </c>
      <c r="AM146" s="126" t="str">
        <f aca="false">IF(ISBLANK($C146),"",AND($AB146,OR($AC146="",$AD146="",AND(NOT(ISBLANK($M146)),$AE146=""))))</f>
        <v/>
      </c>
      <c r="AN146" s="129" t="str">
        <f aca="false">IF($BD146&lt;&gt;Constants!$B$6,"",IF($AB146,Constants!$B$17*$AD146,Constants!$B$18))</f>
        <v/>
      </c>
      <c r="AO146" s="130" t="str">
        <f aca="false">IF($BD146&lt;&gt;Constants!$B$6,"",Constants!$B$19*IF($AB146,$AC146,0))</f>
        <v/>
      </c>
      <c r="AP146" s="130" t="str">
        <f aca="false">IF($BD146&lt;&gt;Constants!$B$6,"",IF(AND($AB146,ISNUMBER($AE146)),Constants!$B$20*(Constants!$B$21-$AE146),0))</f>
        <v/>
      </c>
      <c r="AQ146" s="130" t="str">
        <f aca="false">IF($BD146&lt;&gt;Constants!$B$6,"",IF($AA146,0,Constants!$B$12)+IF($Z146,0,Constants!$B$13)+IF($Y146,0,Constants!$B$14))</f>
        <v/>
      </c>
      <c r="AR146" s="131" t="str">
        <f aca="false">IF($BD146&lt;&gt;Constants!$B$6,"",Constants!$B$16+SUM($AN146:$AQ146))</f>
        <v/>
      </c>
      <c r="AS146" s="130" t="str">
        <f aca="false">IF($BD146&lt;&gt;Constants!$B$6,"",IF($AB146,$AD146,""))</f>
        <v/>
      </c>
      <c r="AT146" s="132" t="str">
        <f aca="false">IF($BD146&lt;&gt;Constants!$B$6,"",$AO146)</f>
        <v/>
      </c>
      <c r="AU146" s="127" t="str">
        <f aca="false">IF($BD146&lt;&gt;Constants!$B$6,"",IF(OR($BA146&lt;$AR146,AND($BA146=$AR146,OR(AND(ISNUMBER($BB146),OR(NOT(ISNUMBER($AS146)),$BB146&lt;$AS146)),AND(OR(AND($BB146="",$AS146=""),AND(ISNUMBER($BB146),ISNUMBER($AS146),$BB146=$AS146)),$BC146&lt;$AT146)))),"-&gt;","&lt;-"))</f>
        <v/>
      </c>
      <c r="AV146" s="126" t="str">
        <f aca="false">IF(ISBLANK($C146),"",AND($AH146,OR($AI146="",$AJ146="",AND(NOT(ISBLANK($S146)),$AK146=""))))</f>
        <v/>
      </c>
      <c r="AW146" s="129" t="str">
        <f aca="false">IF($BD146&lt;&gt;Constants!$B$6,"",IF($AH146,Constants!$B$17*$AJ146,Constants!$B$18))</f>
        <v/>
      </c>
      <c r="AX146" s="130" t="str">
        <f aca="false">IF($BD146&lt;&gt;Constants!$B$6,"",Constants!$B$19*IF($AH146,$AI146,0))</f>
        <v/>
      </c>
      <c r="AY146" s="130" t="str">
        <f aca="false">IF($BD146&lt;&gt;Constants!$B$6,"",IF(AND($AH146,ISNUMBER($AK146)),Constants!$B$20*(Constants!$B$21-$AK146),0))</f>
        <v/>
      </c>
      <c r="AZ146" s="130" t="str">
        <f aca="false">IF($BD146&lt;&gt;Constants!$B$6,"",IF($AG146,0,Constants!$B$12)+IF($AF146,0,Constants!$B$13)+IF($Y146,0,Constants!$B$14))</f>
        <v/>
      </c>
      <c r="BA146" s="131" t="str">
        <f aca="false">IF($BD146&lt;&gt;Constants!$B$6,"",Constants!$B$16+SUM($AW146:$AZ146))</f>
        <v/>
      </c>
      <c r="BB146" s="130" t="str">
        <f aca="false">IF($BD146&lt;&gt;Constants!$B$6,"",IF($AH146,$AJ146,""))</f>
        <v/>
      </c>
      <c r="BC146" s="132" t="str">
        <f aca="false">IF($BD146&lt;&gt;Constants!$B$6,"",$AX146)</f>
        <v/>
      </c>
      <c r="BD146" s="127" t="str">
        <f aca="false">IF(ISBLANK($C146),"",IF($AL146,Constants!$B$9,IF(COUNTA($E146:$T146)=0,Constants!$B$8,IF(NOT($X146),Constants!$B$7,IF(OR($AM146,$AV146),Constants!$B$10,Constants!$B$6)))))</f>
        <v/>
      </c>
      <c r="BE146" s="127" t="str">
        <f aca="false">IF(ISBLANK($C146),"",IF($BD146&lt;&gt;Constants!$B$6,$BD146,Constants!$B$11))</f>
        <v/>
      </c>
      <c r="BF146" s="130" t="str">
        <f aca="false">IF($BD146&lt;&gt;Constants!$B$6,"",IF($AU146="-&gt;",$BA146,$AR146))</f>
        <v/>
      </c>
      <c r="BG146" s="130" t="str">
        <f aca="false">IF($BD146&lt;&gt;Constants!$B$6,"",IF($W146,0,Constants!$B$15))</f>
        <v/>
      </c>
      <c r="BH146" s="130" t="str">
        <f aca="false">IF(ISBLANK($C146),"",IF($BD146&lt;&gt;Constants!$B$6,$BD146,SUM($BF146:$BG146)))</f>
        <v/>
      </c>
      <c r="BI146" s="127" t="str">
        <f aca="false">IF(ISBLANK($C146),"",IF($BD146&lt;&gt;Constants!$B$6,$BD146,RANK($BH146,$BH$9:$BH$508,1)))</f>
        <v/>
      </c>
      <c r="BJ146" s="130" t="str">
        <f aca="false">IF($BD146&lt;&gt;Constants!$B$6,"",IF($AU146="-&gt;",$BB146,$AS146))</f>
        <v/>
      </c>
      <c r="BK146" s="127" t="str">
        <f aca="false">IF(ISBLANK($C146),"",IF($BD146&lt;&gt;Constants!$B$6,$BD146,IF(ISNUMBER($BJ146),RANK($BJ146,$BJ$9:$BJ$508,1),COUNT($BJ$9:$BJ$508)+1)))</f>
        <v/>
      </c>
      <c r="BL146" s="130" t="str">
        <f aca="false">IF($BD146&lt;&gt;Constants!$B$6,"",IF($AU146="-&gt;",$BC146,$AT146))</f>
        <v/>
      </c>
      <c r="BM146" s="127" t="str">
        <f aca="false">IF(ISBLANK($C146),"",IF($BD146&lt;&gt;Constants!$B$6,$BD146,IF(ISNUMBER($BL146),RANK($BL146,$BL$9:$BL$508,1),COUNT($BL$9:$BL$508)+1)))</f>
        <v/>
      </c>
      <c r="BN146" s="130" t="str">
        <f aca="false">IF($BD146&lt;&gt;Constants!$B$6,"",IF($AU146="-&gt;",$AS146,$BB146))</f>
        <v/>
      </c>
      <c r="BO146" s="127" t="str">
        <f aca="false">IF(ISBLANK($C146),"",IF($BD146&lt;&gt;Constants!$B$6,$BD146,IF(ISNUMBER($BN146),RANK($BN146,$BN$9:$BN$508,1),COUNT($BN$9:$BN$508)+1)))</f>
        <v/>
      </c>
      <c r="BP146" s="130" t="str">
        <f aca="false">IF($BD146&lt;&gt;Constants!$B$6,"",IF($AU146="-&gt;",$AT146,$BC146))</f>
        <v/>
      </c>
      <c r="BQ146" s="127" t="str">
        <f aca="false">IF(ISBLANK($C146),"",IF($BD146&lt;&gt;Constants!$B$6,$BD146,IF(ISNUMBER($BP146),RANK($BP146,$BP$9:$BP$508,1),COUNT($BP$9:$BP$508)+1)))</f>
        <v/>
      </c>
      <c r="BR146" s="127" t="str">
        <f aca="false">IF(ISBLANK($C146),"",IF($BD146&lt;&gt;Constants!$B$6,$BD146,COUNTIFS($BI$9:$BI$508,"&lt;"&amp;$BI146)+COUNTIFS($BI$9:$BI$508,$BI146,$BK$9:$BK$508,"&lt;"&amp;$BK146)+COUNTIFS($BI$9:$BI$508,$BI146,$BK$9:$BK$508,$BK146,$BM$9:$BM$508,"&lt;"&amp;$BM146)+COUNTIFS($BI$9:$BI$508,$BI146,$BK$9:$BK$508,$BK146,$BM$9:$BM$508,$BM146,$BO$9:$BO$508,"&lt;"&amp;$BO146)+COUNTIFS($BI$9:$BI$508,$BI146,$BK$9:$BK$508,$BK146,$BM$9:$BM$508,$BM146,$BO$9:$BO$508,$BO146,$BQ$9:$BQ$508,"&lt;"&amp;$BQ146)+1))</f>
        <v/>
      </c>
      <c r="BS146" s="127" t="str">
        <f aca="false">IF(ISBLANK($C146),"",IF($BD146&lt;&gt;Constants!$B$6,$BD146,$BI146-$BR146))</f>
        <v/>
      </c>
      <c r="BT146" s="133"/>
      <c r="BU146" s="134"/>
      <c r="BV146" s="134" t="str">
        <f aca="false">IF(ISBLANK($C146),"",IF($BD146&lt;&gt;Constants!$B$6,"",IF($AU146="-&gt;",2,1)))</f>
        <v/>
      </c>
      <c r="BW146" s="135" t="str">
        <f aca="false">IF(ISBLANK($C146),"",IF($BD146&lt;&gt;Constants!$B$6,"",IF($AU146="-&gt;",$AW146,$AN146)))</f>
        <v/>
      </c>
      <c r="BX146" s="135" t="str">
        <f aca="false">IF(ISBLANK($C146),"",IF($BD146&lt;&gt;Constants!$B$6,"",IF($AU146="-&gt;",$AX146,$AO146)))</f>
        <v/>
      </c>
      <c r="BY146" s="135" t="str">
        <f aca="false">IF(ISBLANK($C146),"",IF($BD146&lt;&gt;Constants!$B$6,"",IF($AU146="-&gt;",$AY146,$AP146)))</f>
        <v/>
      </c>
      <c r="BZ146" s="135" t="str">
        <f aca="false">IF(ISBLANK($C146),"",IF($BD146&lt;&gt;Constants!$B$6,"",IF($AU146="-&gt;",$AZ146,$AQ146)+$BG146))</f>
        <v/>
      </c>
      <c r="CA146" s="136" t="str">
        <f aca="false">IF(ISBLANK($C146),"",IF($BD146&lt;&gt;Constants!$B$6,$BD146,$BH146))</f>
        <v/>
      </c>
      <c r="CB146" s="137" t="str">
        <f aca="false">IF(ISBLANK($C146),"",$BE146)</f>
        <v/>
      </c>
      <c r="CC146" s="138" t="str">
        <f aca="false">IF(ISBLANK($C146),"",$BS146)</f>
        <v/>
      </c>
      <c r="CD146" s="138" t="str">
        <f aca="false">IF(ISBLANK($C146),"",$BR146)</f>
        <v/>
      </c>
      <c r="CE146" s="139" t="str">
        <f aca="false">IF(ISBLANK($C146),"",IF($CD146=Constants!$B$9,COUNTA($C$9:$C$508)+2,IF($CD146=Constants!$B$8,COUNTA($C$9:$C$508)+1,IF($CD146=Constants!$B$7,COUNTA($C$9:$C$508),$CD146))))</f>
        <v/>
      </c>
      <c r="CF146" s="9"/>
      <c r="CG146" s="140" t="n">
        <f aca="false">IF(OR(ISNUMBER($CD146),$CD146=Constants!$B$9,$CD146=Constants!$B$7,$CD146=Constants!$B$8),1,0)</f>
        <v>0</v>
      </c>
      <c r="CH146" s="140" t="n">
        <v>138</v>
      </c>
      <c r="CI146" s="140" t="str">
        <f aca="false">IF(ISBLANK($C146),"",IF(ISNUMBER($CE146),$CE146+ROW($B146)/1000,""))</f>
        <v/>
      </c>
      <c r="CJ146" s="140" t="str">
        <f aca="false">IF(ISNUMBER($CI146),RANK($CI146,$CI$9:$CI$508,1),"")</f>
        <v/>
      </c>
      <c r="CK146" s="140" t="str">
        <f aca="false">IF(ISBLANK($C146),"",$B146)</f>
        <v/>
      </c>
      <c r="CL146" s="140" t="str">
        <f aca="false">IF(ISBLANK($C146),"",$C146)</f>
        <v/>
      </c>
      <c r="CM146" s="140" t="str">
        <f aca="false">IF(ISBLANK($C146),"",$D146)</f>
        <v/>
      </c>
      <c r="CN146" s="141" t="str">
        <f aca="false">$CB146</f>
        <v/>
      </c>
      <c r="CO146" s="142" t="str">
        <f aca="false">$CA146</f>
        <v/>
      </c>
      <c r="CP146" s="140" t="str">
        <f aca="false">IF(ISBLANK($C146),"",$CD146)</f>
        <v/>
      </c>
      <c r="CQ146" s="143" t="str">
        <f aca="false">IF($CH146&gt;$CG$8,"",VLOOKUP($CH146,$CJ$9:$CP$508,7,FALSE()))</f>
        <v/>
      </c>
      <c r="CR146" s="144" t="str">
        <f aca="false">IF($CH146&gt;$CG$8,"",VLOOKUP($CH146,$CJ$9:$CP$508,2,FALSE()))</f>
        <v/>
      </c>
      <c r="CS146" s="144" t="str">
        <f aca="false">IF($CH146&gt;$CG$8,"",VLOOKUP($CH146,$CJ$9:$CP$508,3,FALSE()))</f>
        <v/>
      </c>
      <c r="CT146" s="144" t="str">
        <f aca="false">IF($CH146&gt;$CG$8,"",VLOOKUP($CH146,$CJ$9:$CP$508,4,FALSE()))</f>
        <v/>
      </c>
      <c r="CU146" s="144" t="str">
        <f aca="false">IF($CH146&gt;$CG$8,"",VLOOKUP($CH146,$CJ$9:$CP$508,5,FALSE()))</f>
        <v/>
      </c>
      <c r="CV146" s="145" t="str">
        <f aca="false">IF($CH146&gt;$CG$8,"",VLOOKUP($CH146,$CJ$9:$CP$508,6,FALSE()))</f>
        <v/>
      </c>
      <c r="CW146" s="71"/>
    </row>
    <row r="147" customFormat="false" ht="15.75" hidden="false" customHeight="false" outlineLevel="0" collapsed="false">
      <c r="A147" s="9"/>
      <c r="B147" s="72"/>
      <c r="C147" s="73"/>
      <c r="D147" s="160"/>
      <c r="E147" s="168"/>
      <c r="F147" s="162"/>
      <c r="G147" s="163"/>
      <c r="H147" s="169"/>
      <c r="I147" s="167"/>
      <c r="J147" s="80"/>
      <c r="K147" s="81"/>
      <c r="L147" s="82"/>
      <c r="M147" s="166"/>
      <c r="N147" s="167"/>
      <c r="O147" s="167"/>
      <c r="P147" s="80"/>
      <c r="Q147" s="82"/>
      <c r="R147" s="82"/>
      <c r="S147" s="166"/>
      <c r="T147" s="167"/>
      <c r="U147" s="86"/>
      <c r="V147" s="87"/>
      <c r="W147" s="87" t="str">
        <f aca="false">IF(ISBLANK($C147),"",IF(E147=Constants!$B$2,TRUE(),IF(E147=Constants!$B$3,FALSE(),TRUE())))</f>
        <v/>
      </c>
      <c r="X147" s="87" t="str">
        <f aca="false">IF(ISBLANK($C147),"",IF(F147=Constants!$B$2,TRUE(),IF(F147=Constants!$B$3,FALSE(),TRUE())))</f>
        <v/>
      </c>
      <c r="Y147" s="87" t="str">
        <f aca="false">IF(ISBLANK($C147),"",IF(G147=Constants!$B$2,TRUE(),IF(G147=Constants!$B$3,FALSE(),TRUE())))</f>
        <v/>
      </c>
      <c r="Z147" s="87" t="str">
        <f aca="false">IF(ISBLANK($C147),"",IF(H147=Constants!$B$2,TRUE(),IF(H147=Constants!$B$3,FALSE(),TRUE())))</f>
        <v/>
      </c>
      <c r="AA147" s="87" t="str">
        <f aca="false">IF(ISBLANK($C147),"",IF(I147=Constants!$B$2,TRUE(),IF(I147=Constants!$B$3,FALSE(),TRUE())))</f>
        <v/>
      </c>
      <c r="AB147" s="87" t="str">
        <f aca="false">IF(ISBLANK($C147),"",IF(J147=Constants!$B$4,TRUE(),IF(J147=Constants!$B$5,FALSE(),COUNTA(K147:M147)&gt;0)))</f>
        <v/>
      </c>
      <c r="AC147" s="88" t="str">
        <f aca="false">IF(ISBLANK($C147),"",IF(ISNUMBER(K147),IF(K147&gt;=0,K147,""),""))</f>
        <v/>
      </c>
      <c r="AD147" s="89" t="str">
        <f aca="false">IF(ISBLANK($C147),"",IF(ISNUMBER(L147),IF(L147&gt;=0,L147,""),""))</f>
        <v/>
      </c>
      <c r="AE147" s="87" t="str">
        <f aca="false">IF(ISBLANK($C147),"",IF(ISNUMBER(M147),IF(M147&gt;=0,MIN(M147,Constants!$B$22),""),""))</f>
        <v/>
      </c>
      <c r="AF147" s="87" t="str">
        <f aca="false">IF(ISBLANK($C147),"",IF(N147=Constants!$B$2,TRUE(),IF(N147=Constants!$B$3,FALSE(),TRUE())))</f>
        <v/>
      </c>
      <c r="AG147" s="87" t="str">
        <f aca="false">IF(ISBLANK($C147),"",IF(O147=Constants!$B$2,TRUE(),IF(O147=Constants!$B$3,FALSE(),TRUE())))</f>
        <v/>
      </c>
      <c r="AH147" s="87" t="str">
        <f aca="false">IF(ISBLANK($C147),"",IF(P147=Constants!$B$4,TRUE(),IF(P147=Constants!$B$5,FALSE(),COUNTA(Q147:S147)&gt;0)))</f>
        <v/>
      </c>
      <c r="AI147" s="88" t="str">
        <f aca="false">IF(ISBLANK($C147),"",IF(ISNUMBER(Q147),IF(Q147&gt;=0,Q147,""),""))</f>
        <v/>
      </c>
      <c r="AJ147" s="89" t="str">
        <f aca="false">IF(ISBLANK($C147),"",IF(ISNUMBER(R147),IF(R147&gt;=0,R147,""),""))</f>
        <v/>
      </c>
      <c r="AK147" s="87" t="str">
        <f aca="false">IF(ISBLANK($C147),"",IF(ISNUMBER(S147),IF(S147&gt;=0,MIN(S147,Constants!$B$22),""),""))</f>
        <v/>
      </c>
      <c r="AL147" s="87" t="str">
        <f aca="false">IF(ISBLANK($C147),"",IF(T147=Constants!$B$2,TRUE(),IF(T147=Constants!$B$3,FALSE(),FALSE())))</f>
        <v/>
      </c>
      <c r="AM147" s="86" t="str">
        <f aca="false">IF(ISBLANK($C147),"",AND($AB147,OR($AC147="",$AD147="",AND(NOT(ISBLANK($M147)),$AE147=""))))</f>
        <v/>
      </c>
      <c r="AN147" s="89" t="str">
        <f aca="false">IF($BD147&lt;&gt;Constants!$B$6,"",IF($AB147,Constants!$B$17*$AD147,Constants!$B$18))</f>
        <v/>
      </c>
      <c r="AO147" s="91" t="str">
        <f aca="false">IF($BD147&lt;&gt;Constants!$B$6,"",Constants!$B$19*IF($AB147,$AC147,0))</f>
        <v/>
      </c>
      <c r="AP147" s="91" t="str">
        <f aca="false">IF($BD147&lt;&gt;Constants!$B$6,"",IF(AND($AB147,ISNUMBER($AE147)),Constants!$B$20*(Constants!$B$21-$AE147),0))</f>
        <v/>
      </c>
      <c r="AQ147" s="91" t="str">
        <f aca="false">IF($BD147&lt;&gt;Constants!$B$6,"",IF($AA147,0,Constants!$B$12)+IF($Z147,0,Constants!$B$13)+IF($Y147,0,Constants!$B$14))</f>
        <v/>
      </c>
      <c r="AR147" s="92" t="str">
        <f aca="false">IF($BD147&lt;&gt;Constants!$B$6,"",Constants!$B$16+SUM($AN147:$AQ147))</f>
        <v/>
      </c>
      <c r="AS147" s="91" t="str">
        <f aca="false">IF($BD147&lt;&gt;Constants!$B$6,"",IF($AB147,$AD147,""))</f>
        <v/>
      </c>
      <c r="AT147" s="93" t="str">
        <f aca="false">IF($BD147&lt;&gt;Constants!$B$6,"",$AO147)</f>
        <v/>
      </c>
      <c r="AU147" s="87" t="str">
        <f aca="false">IF($BD147&lt;&gt;Constants!$B$6,"",IF(OR($BA147&lt;$AR147,AND($BA147=$AR147,OR(AND(ISNUMBER($BB147),OR(NOT(ISNUMBER($AS147)),$BB147&lt;$AS147)),AND(OR(AND($BB147="",$AS147=""),AND(ISNUMBER($BB147),ISNUMBER($AS147),$BB147=$AS147)),$BC147&lt;$AT147)))),"-&gt;","&lt;-"))</f>
        <v/>
      </c>
      <c r="AV147" s="86" t="str">
        <f aca="false">IF(ISBLANK($C147),"",AND($AH147,OR($AI147="",$AJ147="",AND(NOT(ISBLANK($S147)),$AK147=""))))</f>
        <v/>
      </c>
      <c r="AW147" s="89" t="str">
        <f aca="false">IF($BD147&lt;&gt;Constants!$B$6,"",IF($AH147,Constants!$B$17*$AJ147,Constants!$B$18))</f>
        <v/>
      </c>
      <c r="AX147" s="91" t="str">
        <f aca="false">IF($BD147&lt;&gt;Constants!$B$6,"",Constants!$B$19*IF($AH147,$AI147,0))</f>
        <v/>
      </c>
      <c r="AY147" s="91" t="str">
        <f aca="false">IF($BD147&lt;&gt;Constants!$B$6,"",IF(AND($AH147,ISNUMBER($AK147)),Constants!$B$20*(Constants!$B$21-$AK147),0))</f>
        <v/>
      </c>
      <c r="AZ147" s="91" t="str">
        <f aca="false">IF($BD147&lt;&gt;Constants!$B$6,"",IF($AG147,0,Constants!$B$12)+IF($AF147,0,Constants!$B$13)+IF($Y147,0,Constants!$B$14))</f>
        <v/>
      </c>
      <c r="BA147" s="92" t="str">
        <f aca="false">IF($BD147&lt;&gt;Constants!$B$6,"",Constants!$B$16+SUM($AW147:$AZ147))</f>
        <v/>
      </c>
      <c r="BB147" s="91" t="str">
        <f aca="false">IF($BD147&lt;&gt;Constants!$B$6,"",IF($AH147,$AJ147,""))</f>
        <v/>
      </c>
      <c r="BC147" s="93" t="str">
        <f aca="false">IF($BD147&lt;&gt;Constants!$B$6,"",$AX147)</f>
        <v/>
      </c>
      <c r="BD147" s="87" t="str">
        <f aca="false">IF(ISBLANK($C147),"",IF($AL147,Constants!$B$9,IF(COUNTA($E147:$T147)=0,Constants!$B$8,IF(NOT($X147),Constants!$B$7,IF(OR($AM147,$AV147),Constants!$B$10,Constants!$B$6)))))</f>
        <v/>
      </c>
      <c r="BE147" s="87" t="str">
        <f aca="false">IF(ISBLANK($C147),"",IF($BD147&lt;&gt;Constants!$B$6,$BD147,Constants!$B$11))</f>
        <v/>
      </c>
      <c r="BF147" s="91" t="str">
        <f aca="false">IF($BD147&lt;&gt;Constants!$B$6,"",IF($AU147="-&gt;",$BA147,$AR147))</f>
        <v/>
      </c>
      <c r="BG147" s="91" t="str">
        <f aca="false">IF($BD147&lt;&gt;Constants!$B$6,"",IF($W147,0,Constants!$B$15))</f>
        <v/>
      </c>
      <c r="BH147" s="91" t="str">
        <f aca="false">IF(ISBLANK($C147),"",IF($BD147&lt;&gt;Constants!$B$6,$BD147,SUM($BF147:$BG147)))</f>
        <v/>
      </c>
      <c r="BI147" s="87" t="str">
        <f aca="false">IF(ISBLANK($C147),"",IF($BD147&lt;&gt;Constants!$B$6,$BD147,RANK($BH147,$BH$9:$BH$508,1)))</f>
        <v/>
      </c>
      <c r="BJ147" s="91" t="str">
        <f aca="false">IF($BD147&lt;&gt;Constants!$B$6,"",IF($AU147="-&gt;",$BB147,$AS147))</f>
        <v/>
      </c>
      <c r="BK147" s="87" t="str">
        <f aca="false">IF(ISBLANK($C147),"",IF($BD147&lt;&gt;Constants!$B$6,$BD147,IF(ISNUMBER($BJ147),RANK($BJ147,$BJ$9:$BJ$508,1),COUNT($BJ$9:$BJ$508)+1)))</f>
        <v/>
      </c>
      <c r="BL147" s="91" t="str">
        <f aca="false">IF($BD147&lt;&gt;Constants!$B$6,"",IF($AU147="-&gt;",$BC147,$AT147))</f>
        <v/>
      </c>
      <c r="BM147" s="87" t="str">
        <f aca="false">IF(ISBLANK($C147),"",IF($BD147&lt;&gt;Constants!$B$6,$BD147,IF(ISNUMBER($BL147),RANK($BL147,$BL$9:$BL$508,1),COUNT($BL$9:$BL$508)+1)))</f>
        <v/>
      </c>
      <c r="BN147" s="91" t="str">
        <f aca="false">IF($BD147&lt;&gt;Constants!$B$6,"",IF($AU147="-&gt;",$AS147,$BB147))</f>
        <v/>
      </c>
      <c r="BO147" s="87" t="str">
        <f aca="false">IF(ISBLANK($C147),"",IF($BD147&lt;&gt;Constants!$B$6,$BD147,IF(ISNUMBER($BN147),RANK($BN147,$BN$9:$BN$508,1),COUNT($BN$9:$BN$508)+1)))</f>
        <v/>
      </c>
      <c r="BP147" s="91" t="str">
        <f aca="false">IF($BD147&lt;&gt;Constants!$B$6,"",IF($AU147="-&gt;",$AT147,$BC147))</f>
        <v/>
      </c>
      <c r="BQ147" s="87" t="str">
        <f aca="false">IF(ISBLANK($C147),"",IF($BD147&lt;&gt;Constants!$B$6,$BD147,IF(ISNUMBER($BP147),RANK($BP147,$BP$9:$BP$508,1),COUNT($BP$9:$BP$508)+1)))</f>
        <v/>
      </c>
      <c r="BR147" s="87" t="str">
        <f aca="false">IF(ISBLANK($C147),"",IF($BD147&lt;&gt;Constants!$B$6,$BD147,COUNTIFS($BI$9:$BI$508,"&lt;"&amp;$BI147)+COUNTIFS($BI$9:$BI$508,$BI147,$BK$9:$BK$508,"&lt;"&amp;$BK147)+COUNTIFS($BI$9:$BI$508,$BI147,$BK$9:$BK$508,$BK147,$BM$9:$BM$508,"&lt;"&amp;$BM147)+COUNTIFS($BI$9:$BI$508,$BI147,$BK$9:$BK$508,$BK147,$BM$9:$BM$508,$BM147,$BO$9:$BO$508,"&lt;"&amp;$BO147)+COUNTIFS($BI$9:$BI$508,$BI147,$BK$9:$BK$508,$BK147,$BM$9:$BM$508,$BM147,$BO$9:$BO$508,$BO147,$BQ$9:$BQ$508,"&lt;"&amp;$BQ147)+1))</f>
        <v/>
      </c>
      <c r="BS147" s="87" t="str">
        <f aca="false">IF(ISBLANK($C147),"",IF($BD147&lt;&gt;Constants!$B$6,$BD147,$BI147-$BR147))</f>
        <v/>
      </c>
      <c r="BT147" s="94"/>
      <c r="BU147" s="95"/>
      <c r="BV147" s="95" t="str">
        <f aca="false">IF(ISBLANK($C147),"",IF($BD147&lt;&gt;Constants!$B$6,"",IF($AU147="-&gt;",2,1)))</f>
        <v/>
      </c>
      <c r="BW147" s="96" t="str">
        <f aca="false">IF(ISBLANK($C147),"",IF($BD147&lt;&gt;Constants!$B$6,"",IF($AU147="-&gt;",$AW147,$AN147)))</f>
        <v/>
      </c>
      <c r="BX147" s="96" t="str">
        <f aca="false">IF(ISBLANK($C147),"",IF($BD147&lt;&gt;Constants!$B$6,"",IF($AU147="-&gt;",$AX147,$AO147)))</f>
        <v/>
      </c>
      <c r="BY147" s="96" t="str">
        <f aca="false">IF(ISBLANK($C147),"",IF($BD147&lt;&gt;Constants!$B$6,"",IF($AU147="-&gt;",$AY147,$AP147)))</f>
        <v/>
      </c>
      <c r="BZ147" s="96" t="str">
        <f aca="false">IF(ISBLANK($C147),"",IF($BD147&lt;&gt;Constants!$B$6,"",IF($AU147="-&gt;",$AZ147,$AQ147)+$BG147))</f>
        <v/>
      </c>
      <c r="CA147" s="97" t="str">
        <f aca="false">IF(ISBLANK($C147),"",IF($BD147&lt;&gt;Constants!$B$6,$BD147,$BH147))</f>
        <v/>
      </c>
      <c r="CB147" s="98" t="str">
        <f aca="false">IF(ISBLANK($C147),"",$BE147)</f>
        <v/>
      </c>
      <c r="CC147" s="99" t="str">
        <f aca="false">IF(ISBLANK($C147),"",$BS147)</f>
        <v/>
      </c>
      <c r="CD147" s="99" t="str">
        <f aca="false">IF(ISBLANK($C147),"",$BR147)</f>
        <v/>
      </c>
      <c r="CE147" s="100" t="str">
        <f aca="false">IF(ISBLANK($C147),"",IF($CD147=Constants!$B$9,COUNTA($C$9:$C$508)+2,IF($CD147=Constants!$B$8,COUNTA($C$9:$C$508)+1,IF($CD147=Constants!$B$7,COUNTA($C$9:$C$508),$CD147))))</f>
        <v/>
      </c>
      <c r="CF147" s="9"/>
      <c r="CG147" s="101" t="n">
        <f aca="false">IF(OR(ISNUMBER($CD147),$CD147=Constants!$B$9,$CD147=Constants!$B$7,$CD147=Constants!$B$8),1,0)</f>
        <v>0</v>
      </c>
      <c r="CH147" s="101" t="n">
        <v>139</v>
      </c>
      <c r="CI147" s="101" t="str">
        <f aca="false">IF(ISBLANK($C147),"",IF(ISNUMBER($CE147),$CE147+ROW($B147)/1000,""))</f>
        <v/>
      </c>
      <c r="CJ147" s="101" t="str">
        <f aca="false">IF(ISNUMBER($CI147),RANK($CI147,$CI$9:$CI$508,1),"")</f>
        <v/>
      </c>
      <c r="CK147" s="101" t="str">
        <f aca="false">IF(ISBLANK($C147),"",$B147)</f>
        <v/>
      </c>
      <c r="CL147" s="101" t="str">
        <f aca="false">IF(ISBLANK($C147),"",$C147)</f>
        <v/>
      </c>
      <c r="CM147" s="101" t="str">
        <f aca="false">IF(ISBLANK($C147),"",$D147)</f>
        <v/>
      </c>
      <c r="CN147" s="102" t="str">
        <f aca="false">$CB147</f>
        <v/>
      </c>
      <c r="CO147" s="103" t="str">
        <f aca="false">$CA147</f>
        <v/>
      </c>
      <c r="CP147" s="101" t="str">
        <f aca="false">IF(ISBLANK($C147),"",$CD147)</f>
        <v/>
      </c>
      <c r="CQ147" s="104" t="str">
        <f aca="false">IF($CH147&gt;$CG$8,"",VLOOKUP($CH147,$CJ$9:$CP$508,7,FALSE()))</f>
        <v/>
      </c>
      <c r="CR147" s="105" t="str">
        <f aca="false">IF($CH147&gt;$CG$8,"",VLOOKUP($CH147,$CJ$9:$CP$508,2,FALSE()))</f>
        <v/>
      </c>
      <c r="CS147" s="105" t="str">
        <f aca="false">IF($CH147&gt;$CG$8,"",VLOOKUP($CH147,$CJ$9:$CP$508,3,FALSE()))</f>
        <v/>
      </c>
      <c r="CT147" s="105" t="str">
        <f aca="false">IF($CH147&gt;$CG$8,"",VLOOKUP($CH147,$CJ$9:$CP$508,4,FALSE()))</f>
        <v/>
      </c>
      <c r="CU147" s="105" t="str">
        <f aca="false">IF($CH147&gt;$CG$8,"",VLOOKUP($CH147,$CJ$9:$CP$508,5,FALSE()))</f>
        <v/>
      </c>
      <c r="CV147" s="106" t="str">
        <f aca="false">IF($CH147&gt;$CG$8,"",VLOOKUP($CH147,$CJ$9:$CP$508,6,FALSE()))</f>
        <v/>
      </c>
      <c r="CW147" s="71"/>
    </row>
    <row r="148" customFormat="false" ht="15.75" hidden="false" customHeight="false" outlineLevel="0" collapsed="false">
      <c r="A148" s="9"/>
      <c r="B148" s="72"/>
      <c r="C148" s="73"/>
      <c r="D148" s="160"/>
      <c r="E148" s="168"/>
      <c r="F148" s="162"/>
      <c r="G148" s="163"/>
      <c r="H148" s="169"/>
      <c r="I148" s="167"/>
      <c r="J148" s="80"/>
      <c r="K148" s="81"/>
      <c r="L148" s="82"/>
      <c r="M148" s="166"/>
      <c r="N148" s="167"/>
      <c r="O148" s="167"/>
      <c r="P148" s="80"/>
      <c r="Q148" s="82"/>
      <c r="R148" s="82"/>
      <c r="S148" s="166"/>
      <c r="T148" s="167"/>
      <c r="U148" s="86"/>
      <c r="V148" s="87"/>
      <c r="W148" s="87" t="str">
        <f aca="false">IF(ISBLANK($C148),"",IF(E148=Constants!$B$2,TRUE(),IF(E148=Constants!$B$3,FALSE(),TRUE())))</f>
        <v/>
      </c>
      <c r="X148" s="87" t="str">
        <f aca="false">IF(ISBLANK($C148),"",IF(F148=Constants!$B$2,TRUE(),IF(F148=Constants!$B$3,FALSE(),TRUE())))</f>
        <v/>
      </c>
      <c r="Y148" s="87" t="str">
        <f aca="false">IF(ISBLANK($C148),"",IF(G148=Constants!$B$2,TRUE(),IF(G148=Constants!$B$3,FALSE(),TRUE())))</f>
        <v/>
      </c>
      <c r="Z148" s="87" t="str">
        <f aca="false">IF(ISBLANK($C148),"",IF(H148=Constants!$B$2,TRUE(),IF(H148=Constants!$B$3,FALSE(),TRUE())))</f>
        <v/>
      </c>
      <c r="AA148" s="87" t="str">
        <f aca="false">IF(ISBLANK($C148),"",IF(I148=Constants!$B$2,TRUE(),IF(I148=Constants!$B$3,FALSE(),TRUE())))</f>
        <v/>
      </c>
      <c r="AB148" s="87" t="str">
        <f aca="false">IF(ISBLANK($C148),"",IF(J148=Constants!$B$4,TRUE(),IF(J148=Constants!$B$5,FALSE(),COUNTA(K148:M148)&gt;0)))</f>
        <v/>
      </c>
      <c r="AC148" s="88" t="str">
        <f aca="false">IF(ISBLANK($C148),"",IF(ISNUMBER(K148),IF(K148&gt;=0,K148,""),""))</f>
        <v/>
      </c>
      <c r="AD148" s="89" t="str">
        <f aca="false">IF(ISBLANK($C148),"",IF(ISNUMBER(L148),IF(L148&gt;=0,L148,""),""))</f>
        <v/>
      </c>
      <c r="AE148" s="87" t="str">
        <f aca="false">IF(ISBLANK($C148),"",IF(ISNUMBER(M148),IF(M148&gt;=0,MIN(M148,Constants!$B$22),""),""))</f>
        <v/>
      </c>
      <c r="AF148" s="87" t="str">
        <f aca="false">IF(ISBLANK($C148),"",IF(N148=Constants!$B$2,TRUE(),IF(N148=Constants!$B$3,FALSE(),TRUE())))</f>
        <v/>
      </c>
      <c r="AG148" s="87" t="str">
        <f aca="false">IF(ISBLANK($C148),"",IF(O148=Constants!$B$2,TRUE(),IF(O148=Constants!$B$3,FALSE(),TRUE())))</f>
        <v/>
      </c>
      <c r="AH148" s="87" t="str">
        <f aca="false">IF(ISBLANK($C148),"",IF(P148=Constants!$B$4,TRUE(),IF(P148=Constants!$B$5,FALSE(),COUNTA(Q148:S148)&gt;0)))</f>
        <v/>
      </c>
      <c r="AI148" s="88" t="str">
        <f aca="false">IF(ISBLANK($C148),"",IF(ISNUMBER(Q148),IF(Q148&gt;=0,Q148,""),""))</f>
        <v/>
      </c>
      <c r="AJ148" s="89" t="str">
        <f aca="false">IF(ISBLANK($C148),"",IF(ISNUMBER(R148),IF(R148&gt;=0,R148,""),""))</f>
        <v/>
      </c>
      <c r="AK148" s="87" t="str">
        <f aca="false">IF(ISBLANK($C148),"",IF(ISNUMBER(S148),IF(S148&gt;=0,MIN(S148,Constants!$B$22),""),""))</f>
        <v/>
      </c>
      <c r="AL148" s="87" t="str">
        <f aca="false">IF(ISBLANK($C148),"",IF(T148=Constants!$B$2,TRUE(),IF(T148=Constants!$B$3,FALSE(),FALSE())))</f>
        <v/>
      </c>
      <c r="AM148" s="86" t="str">
        <f aca="false">IF(ISBLANK($C148),"",AND($AB148,OR($AC148="",$AD148="",AND(NOT(ISBLANK($M148)),$AE148=""))))</f>
        <v/>
      </c>
      <c r="AN148" s="89" t="str">
        <f aca="false">IF($BD148&lt;&gt;Constants!$B$6,"",IF($AB148,Constants!$B$17*$AD148,Constants!$B$18))</f>
        <v/>
      </c>
      <c r="AO148" s="91" t="str">
        <f aca="false">IF($BD148&lt;&gt;Constants!$B$6,"",Constants!$B$19*IF($AB148,$AC148,0))</f>
        <v/>
      </c>
      <c r="AP148" s="91" t="str">
        <f aca="false">IF($BD148&lt;&gt;Constants!$B$6,"",IF(AND($AB148,ISNUMBER($AE148)),Constants!$B$20*(Constants!$B$21-$AE148),0))</f>
        <v/>
      </c>
      <c r="AQ148" s="91" t="str">
        <f aca="false">IF($BD148&lt;&gt;Constants!$B$6,"",IF($AA148,0,Constants!$B$12)+IF($Z148,0,Constants!$B$13)+IF($Y148,0,Constants!$B$14))</f>
        <v/>
      </c>
      <c r="AR148" s="92" t="str">
        <f aca="false">IF($BD148&lt;&gt;Constants!$B$6,"",Constants!$B$16+SUM($AN148:$AQ148))</f>
        <v/>
      </c>
      <c r="AS148" s="91" t="str">
        <f aca="false">IF($BD148&lt;&gt;Constants!$B$6,"",IF($AB148,$AD148,""))</f>
        <v/>
      </c>
      <c r="AT148" s="93" t="str">
        <f aca="false">IF($BD148&lt;&gt;Constants!$B$6,"",$AO148)</f>
        <v/>
      </c>
      <c r="AU148" s="87" t="str">
        <f aca="false">IF($BD148&lt;&gt;Constants!$B$6,"",IF(OR($BA148&lt;$AR148,AND($BA148=$AR148,OR(AND(ISNUMBER($BB148),OR(NOT(ISNUMBER($AS148)),$BB148&lt;$AS148)),AND(OR(AND($BB148="",$AS148=""),AND(ISNUMBER($BB148),ISNUMBER($AS148),$BB148=$AS148)),$BC148&lt;$AT148)))),"-&gt;","&lt;-"))</f>
        <v/>
      </c>
      <c r="AV148" s="86" t="str">
        <f aca="false">IF(ISBLANK($C148),"",AND($AH148,OR($AI148="",$AJ148="",AND(NOT(ISBLANK($S148)),$AK148=""))))</f>
        <v/>
      </c>
      <c r="AW148" s="89" t="str">
        <f aca="false">IF($BD148&lt;&gt;Constants!$B$6,"",IF($AH148,Constants!$B$17*$AJ148,Constants!$B$18))</f>
        <v/>
      </c>
      <c r="AX148" s="91" t="str">
        <f aca="false">IF($BD148&lt;&gt;Constants!$B$6,"",Constants!$B$19*IF($AH148,$AI148,0))</f>
        <v/>
      </c>
      <c r="AY148" s="91" t="str">
        <f aca="false">IF($BD148&lt;&gt;Constants!$B$6,"",IF(AND($AH148,ISNUMBER($AK148)),Constants!$B$20*(Constants!$B$21-$AK148),0))</f>
        <v/>
      </c>
      <c r="AZ148" s="91" t="str">
        <f aca="false">IF($BD148&lt;&gt;Constants!$B$6,"",IF($AG148,0,Constants!$B$12)+IF($AF148,0,Constants!$B$13)+IF($Y148,0,Constants!$B$14))</f>
        <v/>
      </c>
      <c r="BA148" s="92" t="str">
        <f aca="false">IF($BD148&lt;&gt;Constants!$B$6,"",Constants!$B$16+SUM($AW148:$AZ148))</f>
        <v/>
      </c>
      <c r="BB148" s="91" t="str">
        <f aca="false">IF($BD148&lt;&gt;Constants!$B$6,"",IF($AH148,$AJ148,""))</f>
        <v/>
      </c>
      <c r="BC148" s="93" t="str">
        <f aca="false">IF($BD148&lt;&gt;Constants!$B$6,"",$AX148)</f>
        <v/>
      </c>
      <c r="BD148" s="87" t="str">
        <f aca="false">IF(ISBLANK($C148),"",IF($AL148,Constants!$B$9,IF(COUNTA($E148:$T148)=0,Constants!$B$8,IF(NOT($X148),Constants!$B$7,IF(OR($AM148,$AV148),Constants!$B$10,Constants!$B$6)))))</f>
        <v/>
      </c>
      <c r="BE148" s="87" t="str">
        <f aca="false">IF(ISBLANK($C148),"",IF($BD148&lt;&gt;Constants!$B$6,$BD148,Constants!$B$11))</f>
        <v/>
      </c>
      <c r="BF148" s="91" t="str">
        <f aca="false">IF($BD148&lt;&gt;Constants!$B$6,"",IF($AU148="-&gt;",$BA148,$AR148))</f>
        <v/>
      </c>
      <c r="BG148" s="91" t="str">
        <f aca="false">IF($BD148&lt;&gt;Constants!$B$6,"",IF($W148,0,Constants!$B$15))</f>
        <v/>
      </c>
      <c r="BH148" s="91" t="str">
        <f aca="false">IF(ISBLANK($C148),"",IF($BD148&lt;&gt;Constants!$B$6,$BD148,SUM($BF148:$BG148)))</f>
        <v/>
      </c>
      <c r="BI148" s="87" t="str">
        <f aca="false">IF(ISBLANK($C148),"",IF($BD148&lt;&gt;Constants!$B$6,$BD148,RANK($BH148,$BH$9:$BH$508,1)))</f>
        <v/>
      </c>
      <c r="BJ148" s="91" t="str">
        <f aca="false">IF($BD148&lt;&gt;Constants!$B$6,"",IF($AU148="-&gt;",$BB148,$AS148))</f>
        <v/>
      </c>
      <c r="BK148" s="87" t="str">
        <f aca="false">IF(ISBLANK($C148),"",IF($BD148&lt;&gt;Constants!$B$6,$BD148,IF(ISNUMBER($BJ148),RANK($BJ148,$BJ$9:$BJ$508,1),COUNT($BJ$9:$BJ$508)+1)))</f>
        <v/>
      </c>
      <c r="BL148" s="91" t="str">
        <f aca="false">IF($BD148&lt;&gt;Constants!$B$6,"",IF($AU148="-&gt;",$BC148,$AT148))</f>
        <v/>
      </c>
      <c r="BM148" s="87" t="str">
        <f aca="false">IF(ISBLANK($C148),"",IF($BD148&lt;&gt;Constants!$B$6,$BD148,IF(ISNUMBER($BL148),RANK($BL148,$BL$9:$BL$508,1),COUNT($BL$9:$BL$508)+1)))</f>
        <v/>
      </c>
      <c r="BN148" s="91" t="str">
        <f aca="false">IF($BD148&lt;&gt;Constants!$B$6,"",IF($AU148="-&gt;",$AS148,$BB148))</f>
        <v/>
      </c>
      <c r="BO148" s="87" t="str">
        <f aca="false">IF(ISBLANK($C148),"",IF($BD148&lt;&gt;Constants!$B$6,$BD148,IF(ISNUMBER($BN148),RANK($BN148,$BN$9:$BN$508,1),COUNT($BN$9:$BN$508)+1)))</f>
        <v/>
      </c>
      <c r="BP148" s="91" t="str">
        <f aca="false">IF($BD148&lt;&gt;Constants!$B$6,"",IF($AU148="-&gt;",$AT148,$BC148))</f>
        <v/>
      </c>
      <c r="BQ148" s="87" t="str">
        <f aca="false">IF(ISBLANK($C148),"",IF($BD148&lt;&gt;Constants!$B$6,$BD148,IF(ISNUMBER($BP148),RANK($BP148,$BP$9:$BP$508,1),COUNT($BP$9:$BP$508)+1)))</f>
        <v/>
      </c>
      <c r="BR148" s="87" t="str">
        <f aca="false">IF(ISBLANK($C148),"",IF($BD148&lt;&gt;Constants!$B$6,$BD148,COUNTIFS($BI$9:$BI$508,"&lt;"&amp;$BI148)+COUNTIFS($BI$9:$BI$508,$BI148,$BK$9:$BK$508,"&lt;"&amp;$BK148)+COUNTIFS($BI$9:$BI$508,$BI148,$BK$9:$BK$508,$BK148,$BM$9:$BM$508,"&lt;"&amp;$BM148)+COUNTIFS($BI$9:$BI$508,$BI148,$BK$9:$BK$508,$BK148,$BM$9:$BM$508,$BM148,$BO$9:$BO$508,"&lt;"&amp;$BO148)+COUNTIFS($BI$9:$BI$508,$BI148,$BK$9:$BK$508,$BK148,$BM$9:$BM$508,$BM148,$BO$9:$BO$508,$BO148,$BQ$9:$BQ$508,"&lt;"&amp;$BQ148)+1))</f>
        <v/>
      </c>
      <c r="BS148" s="87" t="str">
        <f aca="false">IF(ISBLANK($C148),"",IF($BD148&lt;&gt;Constants!$B$6,$BD148,$BI148-$BR148))</f>
        <v/>
      </c>
      <c r="BT148" s="94"/>
      <c r="BU148" s="95"/>
      <c r="BV148" s="95" t="str">
        <f aca="false">IF(ISBLANK($C148),"",IF($BD148&lt;&gt;Constants!$B$6,"",IF($AU148="-&gt;",2,1)))</f>
        <v/>
      </c>
      <c r="BW148" s="96" t="str">
        <f aca="false">IF(ISBLANK($C148),"",IF($BD148&lt;&gt;Constants!$B$6,"",IF($AU148="-&gt;",$AW148,$AN148)))</f>
        <v/>
      </c>
      <c r="BX148" s="96" t="str">
        <f aca="false">IF(ISBLANK($C148),"",IF($BD148&lt;&gt;Constants!$B$6,"",IF($AU148="-&gt;",$AX148,$AO148)))</f>
        <v/>
      </c>
      <c r="BY148" s="96" t="str">
        <f aca="false">IF(ISBLANK($C148),"",IF($BD148&lt;&gt;Constants!$B$6,"",IF($AU148="-&gt;",$AY148,$AP148)))</f>
        <v/>
      </c>
      <c r="BZ148" s="96" t="str">
        <f aca="false">IF(ISBLANK($C148),"",IF($BD148&lt;&gt;Constants!$B$6,"",IF($AU148="-&gt;",$AZ148,$AQ148)+$BG148))</f>
        <v/>
      </c>
      <c r="CA148" s="97" t="str">
        <f aca="false">IF(ISBLANK($C148),"",IF($BD148&lt;&gt;Constants!$B$6,$BD148,$BH148))</f>
        <v/>
      </c>
      <c r="CB148" s="98" t="str">
        <f aca="false">IF(ISBLANK($C148),"",$BE148)</f>
        <v/>
      </c>
      <c r="CC148" s="99" t="str">
        <f aca="false">IF(ISBLANK($C148),"",$BS148)</f>
        <v/>
      </c>
      <c r="CD148" s="99" t="str">
        <f aca="false">IF(ISBLANK($C148),"",$BR148)</f>
        <v/>
      </c>
      <c r="CE148" s="100" t="str">
        <f aca="false">IF(ISBLANK($C148),"",IF($CD148=Constants!$B$9,COUNTA($C$9:$C$508)+2,IF($CD148=Constants!$B$8,COUNTA($C$9:$C$508)+1,IF($CD148=Constants!$B$7,COUNTA($C$9:$C$508),$CD148))))</f>
        <v/>
      </c>
      <c r="CF148" s="9"/>
      <c r="CG148" s="101" t="n">
        <f aca="false">IF(OR(ISNUMBER($CD148),$CD148=Constants!$B$9,$CD148=Constants!$B$7,$CD148=Constants!$B$8),1,0)</f>
        <v>0</v>
      </c>
      <c r="CH148" s="101" t="n">
        <v>140</v>
      </c>
      <c r="CI148" s="101" t="str">
        <f aca="false">IF(ISBLANK($C148),"",IF(ISNUMBER($CE148),$CE148+ROW($B148)/1000,""))</f>
        <v/>
      </c>
      <c r="CJ148" s="101" t="str">
        <f aca="false">IF(ISNUMBER($CI148),RANK($CI148,$CI$9:$CI$508,1),"")</f>
        <v/>
      </c>
      <c r="CK148" s="101" t="str">
        <f aca="false">IF(ISBLANK($C148),"",$B148)</f>
        <v/>
      </c>
      <c r="CL148" s="101" t="str">
        <f aca="false">IF(ISBLANK($C148),"",$C148)</f>
        <v/>
      </c>
      <c r="CM148" s="101" t="str">
        <f aca="false">IF(ISBLANK($C148),"",$D148)</f>
        <v/>
      </c>
      <c r="CN148" s="102" t="str">
        <f aca="false">$CB148</f>
        <v/>
      </c>
      <c r="CO148" s="103" t="str">
        <f aca="false">$CA148</f>
        <v/>
      </c>
      <c r="CP148" s="101" t="str">
        <f aca="false">IF(ISBLANK($C148),"",$CD148)</f>
        <v/>
      </c>
      <c r="CQ148" s="104" t="str">
        <f aca="false">IF($CH148&gt;$CG$8,"",VLOOKUP($CH148,$CJ$9:$CP$508,7,FALSE()))</f>
        <v/>
      </c>
      <c r="CR148" s="105" t="str">
        <f aca="false">IF($CH148&gt;$CG$8,"",VLOOKUP($CH148,$CJ$9:$CP$508,2,FALSE()))</f>
        <v/>
      </c>
      <c r="CS148" s="105" t="str">
        <f aca="false">IF($CH148&gt;$CG$8,"",VLOOKUP($CH148,$CJ$9:$CP$508,3,FALSE()))</f>
        <v/>
      </c>
      <c r="CT148" s="105" t="str">
        <f aca="false">IF($CH148&gt;$CG$8,"",VLOOKUP($CH148,$CJ$9:$CP$508,4,FALSE()))</f>
        <v/>
      </c>
      <c r="CU148" s="105" t="str">
        <f aca="false">IF($CH148&gt;$CG$8,"",VLOOKUP($CH148,$CJ$9:$CP$508,5,FALSE()))</f>
        <v/>
      </c>
      <c r="CV148" s="106" t="str">
        <f aca="false">IF($CH148&gt;$CG$8,"",VLOOKUP($CH148,$CJ$9:$CP$508,6,FALSE()))</f>
        <v/>
      </c>
      <c r="CW148" s="71"/>
    </row>
    <row r="149" customFormat="false" ht="15.75" hidden="false" customHeight="false" outlineLevel="0" collapsed="false">
      <c r="A149" s="9"/>
      <c r="B149" s="72"/>
      <c r="C149" s="73"/>
      <c r="D149" s="160"/>
      <c r="E149" s="168"/>
      <c r="F149" s="162"/>
      <c r="G149" s="163"/>
      <c r="H149" s="169"/>
      <c r="I149" s="167"/>
      <c r="J149" s="80"/>
      <c r="K149" s="81"/>
      <c r="L149" s="82"/>
      <c r="M149" s="166"/>
      <c r="N149" s="167"/>
      <c r="O149" s="167"/>
      <c r="P149" s="80"/>
      <c r="Q149" s="82"/>
      <c r="R149" s="82"/>
      <c r="S149" s="166"/>
      <c r="T149" s="167"/>
      <c r="U149" s="86"/>
      <c r="V149" s="87"/>
      <c r="W149" s="87" t="str">
        <f aca="false">IF(ISBLANK($C149),"",IF(E149=Constants!$B$2,TRUE(),IF(E149=Constants!$B$3,FALSE(),TRUE())))</f>
        <v/>
      </c>
      <c r="X149" s="87" t="str">
        <f aca="false">IF(ISBLANK($C149),"",IF(F149=Constants!$B$2,TRUE(),IF(F149=Constants!$B$3,FALSE(),TRUE())))</f>
        <v/>
      </c>
      <c r="Y149" s="87" t="str">
        <f aca="false">IF(ISBLANK($C149),"",IF(G149=Constants!$B$2,TRUE(),IF(G149=Constants!$B$3,FALSE(),TRUE())))</f>
        <v/>
      </c>
      <c r="Z149" s="87" t="str">
        <f aca="false">IF(ISBLANK($C149),"",IF(H149=Constants!$B$2,TRUE(),IF(H149=Constants!$B$3,FALSE(),TRUE())))</f>
        <v/>
      </c>
      <c r="AA149" s="87" t="str">
        <f aca="false">IF(ISBLANK($C149),"",IF(I149=Constants!$B$2,TRUE(),IF(I149=Constants!$B$3,FALSE(),TRUE())))</f>
        <v/>
      </c>
      <c r="AB149" s="87" t="str">
        <f aca="false">IF(ISBLANK($C149),"",IF(J149=Constants!$B$4,TRUE(),IF(J149=Constants!$B$5,FALSE(),COUNTA(K149:M149)&gt;0)))</f>
        <v/>
      </c>
      <c r="AC149" s="88" t="str">
        <f aca="false">IF(ISBLANK($C149),"",IF(ISNUMBER(K149),IF(K149&gt;=0,K149,""),""))</f>
        <v/>
      </c>
      <c r="AD149" s="89" t="str">
        <f aca="false">IF(ISBLANK($C149),"",IF(ISNUMBER(L149),IF(L149&gt;=0,L149,""),""))</f>
        <v/>
      </c>
      <c r="AE149" s="87" t="str">
        <f aca="false">IF(ISBLANK($C149),"",IF(ISNUMBER(M149),IF(M149&gt;=0,MIN(M149,Constants!$B$22),""),""))</f>
        <v/>
      </c>
      <c r="AF149" s="87" t="str">
        <f aca="false">IF(ISBLANK($C149),"",IF(N149=Constants!$B$2,TRUE(),IF(N149=Constants!$B$3,FALSE(),TRUE())))</f>
        <v/>
      </c>
      <c r="AG149" s="87" t="str">
        <f aca="false">IF(ISBLANK($C149),"",IF(O149=Constants!$B$2,TRUE(),IF(O149=Constants!$B$3,FALSE(),TRUE())))</f>
        <v/>
      </c>
      <c r="AH149" s="87" t="str">
        <f aca="false">IF(ISBLANK($C149),"",IF(P149=Constants!$B$4,TRUE(),IF(P149=Constants!$B$5,FALSE(),COUNTA(Q149:S149)&gt;0)))</f>
        <v/>
      </c>
      <c r="AI149" s="88" t="str">
        <f aca="false">IF(ISBLANK($C149),"",IF(ISNUMBER(Q149),IF(Q149&gt;=0,Q149,""),""))</f>
        <v/>
      </c>
      <c r="AJ149" s="89" t="str">
        <f aca="false">IF(ISBLANK($C149),"",IF(ISNUMBER(R149),IF(R149&gt;=0,R149,""),""))</f>
        <v/>
      </c>
      <c r="AK149" s="87" t="str">
        <f aca="false">IF(ISBLANK($C149),"",IF(ISNUMBER(S149),IF(S149&gt;=0,MIN(S149,Constants!$B$22),""),""))</f>
        <v/>
      </c>
      <c r="AL149" s="87" t="str">
        <f aca="false">IF(ISBLANK($C149),"",IF(T149=Constants!$B$2,TRUE(),IF(T149=Constants!$B$3,FALSE(),FALSE())))</f>
        <v/>
      </c>
      <c r="AM149" s="86" t="str">
        <f aca="false">IF(ISBLANK($C149),"",AND($AB149,OR($AC149="",$AD149="",AND(NOT(ISBLANK($M149)),$AE149=""))))</f>
        <v/>
      </c>
      <c r="AN149" s="89" t="str">
        <f aca="false">IF($BD149&lt;&gt;Constants!$B$6,"",IF($AB149,Constants!$B$17*$AD149,Constants!$B$18))</f>
        <v/>
      </c>
      <c r="AO149" s="91" t="str">
        <f aca="false">IF($BD149&lt;&gt;Constants!$B$6,"",Constants!$B$19*IF($AB149,$AC149,0))</f>
        <v/>
      </c>
      <c r="AP149" s="91" t="str">
        <f aca="false">IF($BD149&lt;&gt;Constants!$B$6,"",IF(AND($AB149,ISNUMBER($AE149)),Constants!$B$20*(Constants!$B$21-$AE149),0))</f>
        <v/>
      </c>
      <c r="AQ149" s="91" t="str">
        <f aca="false">IF($BD149&lt;&gt;Constants!$B$6,"",IF($AA149,0,Constants!$B$12)+IF($Z149,0,Constants!$B$13)+IF($Y149,0,Constants!$B$14))</f>
        <v/>
      </c>
      <c r="AR149" s="92" t="str">
        <f aca="false">IF($BD149&lt;&gt;Constants!$B$6,"",Constants!$B$16+SUM($AN149:$AQ149))</f>
        <v/>
      </c>
      <c r="AS149" s="91" t="str">
        <f aca="false">IF($BD149&lt;&gt;Constants!$B$6,"",IF($AB149,$AD149,""))</f>
        <v/>
      </c>
      <c r="AT149" s="93" t="str">
        <f aca="false">IF($BD149&lt;&gt;Constants!$B$6,"",$AO149)</f>
        <v/>
      </c>
      <c r="AU149" s="87" t="str">
        <f aca="false">IF($BD149&lt;&gt;Constants!$B$6,"",IF(OR($BA149&lt;$AR149,AND($BA149=$AR149,OR(AND(ISNUMBER($BB149),OR(NOT(ISNUMBER($AS149)),$BB149&lt;$AS149)),AND(OR(AND($BB149="",$AS149=""),AND(ISNUMBER($BB149),ISNUMBER($AS149),$BB149=$AS149)),$BC149&lt;$AT149)))),"-&gt;","&lt;-"))</f>
        <v/>
      </c>
      <c r="AV149" s="86" t="str">
        <f aca="false">IF(ISBLANK($C149),"",AND($AH149,OR($AI149="",$AJ149="",AND(NOT(ISBLANK($S149)),$AK149=""))))</f>
        <v/>
      </c>
      <c r="AW149" s="89" t="str">
        <f aca="false">IF($BD149&lt;&gt;Constants!$B$6,"",IF($AH149,Constants!$B$17*$AJ149,Constants!$B$18))</f>
        <v/>
      </c>
      <c r="AX149" s="91" t="str">
        <f aca="false">IF($BD149&lt;&gt;Constants!$B$6,"",Constants!$B$19*IF($AH149,$AI149,0))</f>
        <v/>
      </c>
      <c r="AY149" s="91" t="str">
        <f aca="false">IF($BD149&lt;&gt;Constants!$B$6,"",IF(AND($AH149,ISNUMBER($AK149)),Constants!$B$20*(Constants!$B$21-$AK149),0))</f>
        <v/>
      </c>
      <c r="AZ149" s="91" t="str">
        <f aca="false">IF($BD149&lt;&gt;Constants!$B$6,"",IF($AG149,0,Constants!$B$12)+IF($AF149,0,Constants!$B$13)+IF($Y149,0,Constants!$B$14))</f>
        <v/>
      </c>
      <c r="BA149" s="92" t="str">
        <f aca="false">IF($BD149&lt;&gt;Constants!$B$6,"",Constants!$B$16+SUM($AW149:$AZ149))</f>
        <v/>
      </c>
      <c r="BB149" s="91" t="str">
        <f aca="false">IF($BD149&lt;&gt;Constants!$B$6,"",IF($AH149,$AJ149,""))</f>
        <v/>
      </c>
      <c r="BC149" s="93" t="str">
        <f aca="false">IF($BD149&lt;&gt;Constants!$B$6,"",$AX149)</f>
        <v/>
      </c>
      <c r="BD149" s="87" t="str">
        <f aca="false">IF(ISBLANK($C149),"",IF($AL149,Constants!$B$9,IF(COUNTA($E149:$T149)=0,Constants!$B$8,IF(NOT($X149),Constants!$B$7,IF(OR($AM149,$AV149),Constants!$B$10,Constants!$B$6)))))</f>
        <v/>
      </c>
      <c r="BE149" s="87" t="str">
        <f aca="false">IF(ISBLANK($C149),"",IF($BD149&lt;&gt;Constants!$B$6,$BD149,Constants!$B$11))</f>
        <v/>
      </c>
      <c r="BF149" s="91" t="str">
        <f aca="false">IF($BD149&lt;&gt;Constants!$B$6,"",IF($AU149="-&gt;",$BA149,$AR149))</f>
        <v/>
      </c>
      <c r="BG149" s="91" t="str">
        <f aca="false">IF($BD149&lt;&gt;Constants!$B$6,"",IF($W149,0,Constants!$B$15))</f>
        <v/>
      </c>
      <c r="BH149" s="91" t="str">
        <f aca="false">IF(ISBLANK($C149),"",IF($BD149&lt;&gt;Constants!$B$6,$BD149,SUM($BF149:$BG149)))</f>
        <v/>
      </c>
      <c r="BI149" s="87" t="str">
        <f aca="false">IF(ISBLANK($C149),"",IF($BD149&lt;&gt;Constants!$B$6,$BD149,RANK($BH149,$BH$9:$BH$508,1)))</f>
        <v/>
      </c>
      <c r="BJ149" s="91" t="str">
        <f aca="false">IF($BD149&lt;&gt;Constants!$B$6,"",IF($AU149="-&gt;",$BB149,$AS149))</f>
        <v/>
      </c>
      <c r="BK149" s="87" t="str">
        <f aca="false">IF(ISBLANK($C149),"",IF($BD149&lt;&gt;Constants!$B$6,$BD149,IF(ISNUMBER($BJ149),RANK($BJ149,$BJ$9:$BJ$508,1),COUNT($BJ$9:$BJ$508)+1)))</f>
        <v/>
      </c>
      <c r="BL149" s="91" t="str">
        <f aca="false">IF($BD149&lt;&gt;Constants!$B$6,"",IF($AU149="-&gt;",$BC149,$AT149))</f>
        <v/>
      </c>
      <c r="BM149" s="87" t="str">
        <f aca="false">IF(ISBLANK($C149),"",IF($BD149&lt;&gt;Constants!$B$6,$BD149,IF(ISNUMBER($BL149),RANK($BL149,$BL$9:$BL$508,1),COUNT($BL$9:$BL$508)+1)))</f>
        <v/>
      </c>
      <c r="BN149" s="91" t="str">
        <f aca="false">IF($BD149&lt;&gt;Constants!$B$6,"",IF($AU149="-&gt;",$AS149,$BB149))</f>
        <v/>
      </c>
      <c r="BO149" s="87" t="str">
        <f aca="false">IF(ISBLANK($C149),"",IF($BD149&lt;&gt;Constants!$B$6,$BD149,IF(ISNUMBER($BN149),RANK($BN149,$BN$9:$BN$508,1),COUNT($BN$9:$BN$508)+1)))</f>
        <v/>
      </c>
      <c r="BP149" s="91" t="str">
        <f aca="false">IF($BD149&lt;&gt;Constants!$B$6,"",IF($AU149="-&gt;",$AT149,$BC149))</f>
        <v/>
      </c>
      <c r="BQ149" s="87" t="str">
        <f aca="false">IF(ISBLANK($C149),"",IF($BD149&lt;&gt;Constants!$B$6,$BD149,IF(ISNUMBER($BP149),RANK($BP149,$BP$9:$BP$508,1),COUNT($BP$9:$BP$508)+1)))</f>
        <v/>
      </c>
      <c r="BR149" s="87" t="str">
        <f aca="false">IF(ISBLANK($C149),"",IF($BD149&lt;&gt;Constants!$B$6,$BD149,COUNTIFS($BI$9:$BI$508,"&lt;"&amp;$BI149)+COUNTIFS($BI$9:$BI$508,$BI149,$BK$9:$BK$508,"&lt;"&amp;$BK149)+COUNTIFS($BI$9:$BI$508,$BI149,$BK$9:$BK$508,$BK149,$BM$9:$BM$508,"&lt;"&amp;$BM149)+COUNTIFS($BI$9:$BI$508,$BI149,$BK$9:$BK$508,$BK149,$BM$9:$BM$508,$BM149,$BO$9:$BO$508,"&lt;"&amp;$BO149)+COUNTIFS($BI$9:$BI$508,$BI149,$BK$9:$BK$508,$BK149,$BM$9:$BM$508,$BM149,$BO$9:$BO$508,$BO149,$BQ$9:$BQ$508,"&lt;"&amp;$BQ149)+1))</f>
        <v/>
      </c>
      <c r="BS149" s="87" t="str">
        <f aca="false">IF(ISBLANK($C149),"",IF($BD149&lt;&gt;Constants!$B$6,$BD149,$BI149-$BR149))</f>
        <v/>
      </c>
      <c r="BT149" s="94"/>
      <c r="BU149" s="95"/>
      <c r="BV149" s="95" t="str">
        <f aca="false">IF(ISBLANK($C149),"",IF($BD149&lt;&gt;Constants!$B$6,"",IF($AU149="-&gt;",2,1)))</f>
        <v/>
      </c>
      <c r="BW149" s="96" t="str">
        <f aca="false">IF(ISBLANK($C149),"",IF($BD149&lt;&gt;Constants!$B$6,"",IF($AU149="-&gt;",$AW149,$AN149)))</f>
        <v/>
      </c>
      <c r="BX149" s="96" t="str">
        <f aca="false">IF(ISBLANK($C149),"",IF($BD149&lt;&gt;Constants!$B$6,"",IF($AU149="-&gt;",$AX149,$AO149)))</f>
        <v/>
      </c>
      <c r="BY149" s="96" t="str">
        <f aca="false">IF(ISBLANK($C149),"",IF($BD149&lt;&gt;Constants!$B$6,"",IF($AU149="-&gt;",$AY149,$AP149)))</f>
        <v/>
      </c>
      <c r="BZ149" s="96" t="str">
        <f aca="false">IF(ISBLANK($C149),"",IF($BD149&lt;&gt;Constants!$B$6,"",IF($AU149="-&gt;",$AZ149,$AQ149)+$BG149))</f>
        <v/>
      </c>
      <c r="CA149" s="97" t="str">
        <f aca="false">IF(ISBLANK($C149),"",IF($BD149&lt;&gt;Constants!$B$6,$BD149,$BH149))</f>
        <v/>
      </c>
      <c r="CB149" s="98" t="str">
        <f aca="false">IF(ISBLANK($C149),"",$BE149)</f>
        <v/>
      </c>
      <c r="CC149" s="99" t="str">
        <f aca="false">IF(ISBLANK($C149),"",$BS149)</f>
        <v/>
      </c>
      <c r="CD149" s="99" t="str">
        <f aca="false">IF(ISBLANK($C149),"",$BR149)</f>
        <v/>
      </c>
      <c r="CE149" s="100" t="str">
        <f aca="false">IF(ISBLANK($C149),"",IF($CD149=Constants!$B$9,COUNTA($C$9:$C$508)+2,IF($CD149=Constants!$B$8,COUNTA($C$9:$C$508)+1,IF($CD149=Constants!$B$7,COUNTA($C$9:$C$508),$CD149))))</f>
        <v/>
      </c>
      <c r="CF149" s="9"/>
      <c r="CG149" s="101" t="n">
        <f aca="false">IF(OR(ISNUMBER($CD149),$CD149=Constants!$B$9,$CD149=Constants!$B$7,$CD149=Constants!$B$8),1,0)</f>
        <v>0</v>
      </c>
      <c r="CH149" s="101" t="n">
        <v>141</v>
      </c>
      <c r="CI149" s="101" t="str">
        <f aca="false">IF(ISBLANK($C149),"",IF(ISNUMBER($CE149),$CE149+ROW($B149)/1000,""))</f>
        <v/>
      </c>
      <c r="CJ149" s="101" t="str">
        <f aca="false">IF(ISNUMBER($CI149),RANK($CI149,$CI$9:$CI$508,1),"")</f>
        <v/>
      </c>
      <c r="CK149" s="101" t="str">
        <f aca="false">IF(ISBLANK($C149),"",$B149)</f>
        <v/>
      </c>
      <c r="CL149" s="101" t="str">
        <f aca="false">IF(ISBLANK($C149),"",$C149)</f>
        <v/>
      </c>
      <c r="CM149" s="101" t="str">
        <f aca="false">IF(ISBLANK($C149),"",$D149)</f>
        <v/>
      </c>
      <c r="CN149" s="102" t="str">
        <f aca="false">$CB149</f>
        <v/>
      </c>
      <c r="CO149" s="103" t="str">
        <f aca="false">$CA149</f>
        <v/>
      </c>
      <c r="CP149" s="101" t="str">
        <f aca="false">IF(ISBLANK($C149),"",$CD149)</f>
        <v/>
      </c>
      <c r="CQ149" s="104" t="str">
        <f aca="false">IF($CH149&gt;$CG$8,"",VLOOKUP($CH149,$CJ$9:$CP$508,7,FALSE()))</f>
        <v/>
      </c>
      <c r="CR149" s="105" t="str">
        <f aca="false">IF($CH149&gt;$CG$8,"",VLOOKUP($CH149,$CJ$9:$CP$508,2,FALSE()))</f>
        <v/>
      </c>
      <c r="CS149" s="105" t="str">
        <f aca="false">IF($CH149&gt;$CG$8,"",VLOOKUP($CH149,$CJ$9:$CP$508,3,FALSE()))</f>
        <v/>
      </c>
      <c r="CT149" s="105" t="str">
        <f aca="false">IF($CH149&gt;$CG$8,"",VLOOKUP($CH149,$CJ$9:$CP$508,4,FALSE()))</f>
        <v/>
      </c>
      <c r="CU149" s="105" t="str">
        <f aca="false">IF($CH149&gt;$CG$8,"",VLOOKUP($CH149,$CJ$9:$CP$508,5,FALSE()))</f>
        <v/>
      </c>
      <c r="CV149" s="106" t="str">
        <f aca="false">IF($CH149&gt;$CG$8,"",VLOOKUP($CH149,$CJ$9:$CP$508,6,FALSE()))</f>
        <v/>
      </c>
      <c r="CW149" s="71"/>
    </row>
    <row r="150" customFormat="false" ht="15.75" hidden="false" customHeight="false" outlineLevel="0" collapsed="false">
      <c r="A150" s="9"/>
      <c r="B150" s="150"/>
      <c r="C150" s="151"/>
      <c r="D150" s="152"/>
      <c r="E150" s="170"/>
      <c r="F150" s="154"/>
      <c r="G150" s="155"/>
      <c r="H150" s="171"/>
      <c r="I150" s="159"/>
      <c r="J150" s="120"/>
      <c r="K150" s="121"/>
      <c r="L150" s="122"/>
      <c r="M150" s="158"/>
      <c r="N150" s="159"/>
      <c r="O150" s="159"/>
      <c r="P150" s="120"/>
      <c r="Q150" s="122"/>
      <c r="R150" s="122"/>
      <c r="S150" s="158"/>
      <c r="T150" s="159"/>
      <c r="U150" s="126"/>
      <c r="V150" s="127"/>
      <c r="W150" s="127" t="str">
        <f aca="false">IF(ISBLANK($C150),"",IF(E150=Constants!$B$2,TRUE(),IF(E150=Constants!$B$3,FALSE(),TRUE())))</f>
        <v/>
      </c>
      <c r="X150" s="127" t="str">
        <f aca="false">IF(ISBLANK($C150),"",IF(F150=Constants!$B$2,TRUE(),IF(F150=Constants!$B$3,FALSE(),TRUE())))</f>
        <v/>
      </c>
      <c r="Y150" s="127" t="str">
        <f aca="false">IF(ISBLANK($C150),"",IF(G150=Constants!$B$2,TRUE(),IF(G150=Constants!$B$3,FALSE(),TRUE())))</f>
        <v/>
      </c>
      <c r="Z150" s="127" t="str">
        <f aca="false">IF(ISBLANK($C150),"",IF(H150=Constants!$B$2,TRUE(),IF(H150=Constants!$B$3,FALSE(),TRUE())))</f>
        <v/>
      </c>
      <c r="AA150" s="127" t="str">
        <f aca="false">IF(ISBLANK($C150),"",IF(I150=Constants!$B$2,TRUE(),IF(I150=Constants!$B$3,FALSE(),TRUE())))</f>
        <v/>
      </c>
      <c r="AB150" s="127" t="str">
        <f aca="false">IF(ISBLANK($C150),"",IF(J150=Constants!$B$4,TRUE(),IF(J150=Constants!$B$5,FALSE(),COUNTA(K150:M150)&gt;0)))</f>
        <v/>
      </c>
      <c r="AC150" s="128" t="str">
        <f aca="false">IF(ISBLANK($C150),"",IF(ISNUMBER(K150),IF(K150&gt;=0,K150,""),""))</f>
        <v/>
      </c>
      <c r="AD150" s="129" t="str">
        <f aca="false">IF(ISBLANK($C150),"",IF(ISNUMBER(L150),IF(L150&gt;=0,L150,""),""))</f>
        <v/>
      </c>
      <c r="AE150" s="127" t="str">
        <f aca="false">IF(ISBLANK($C150),"",IF(ISNUMBER(M150),IF(M150&gt;=0,MIN(M150,Constants!$B$22),""),""))</f>
        <v/>
      </c>
      <c r="AF150" s="127" t="str">
        <f aca="false">IF(ISBLANK($C150),"",IF(N150=Constants!$B$2,TRUE(),IF(N150=Constants!$B$3,FALSE(),TRUE())))</f>
        <v/>
      </c>
      <c r="AG150" s="127" t="str">
        <f aca="false">IF(ISBLANK($C150),"",IF(O150=Constants!$B$2,TRUE(),IF(O150=Constants!$B$3,FALSE(),TRUE())))</f>
        <v/>
      </c>
      <c r="AH150" s="127" t="str">
        <f aca="false">IF(ISBLANK($C150),"",IF(P150=Constants!$B$4,TRUE(),IF(P150=Constants!$B$5,FALSE(),COUNTA(Q150:S150)&gt;0)))</f>
        <v/>
      </c>
      <c r="AI150" s="128" t="str">
        <f aca="false">IF(ISBLANK($C150),"",IF(ISNUMBER(Q150),IF(Q150&gt;=0,Q150,""),""))</f>
        <v/>
      </c>
      <c r="AJ150" s="129" t="str">
        <f aca="false">IF(ISBLANK($C150),"",IF(ISNUMBER(R150),IF(R150&gt;=0,R150,""),""))</f>
        <v/>
      </c>
      <c r="AK150" s="127" t="str">
        <f aca="false">IF(ISBLANK($C150),"",IF(ISNUMBER(S150),IF(S150&gt;=0,MIN(S150,Constants!$B$22),""),""))</f>
        <v/>
      </c>
      <c r="AL150" s="127" t="str">
        <f aca="false">IF(ISBLANK($C150),"",IF(T150=Constants!$B$2,TRUE(),IF(T150=Constants!$B$3,FALSE(),FALSE())))</f>
        <v/>
      </c>
      <c r="AM150" s="126" t="str">
        <f aca="false">IF(ISBLANK($C150),"",AND($AB150,OR($AC150="",$AD150="",AND(NOT(ISBLANK($M150)),$AE150=""))))</f>
        <v/>
      </c>
      <c r="AN150" s="129" t="str">
        <f aca="false">IF($BD150&lt;&gt;Constants!$B$6,"",IF($AB150,Constants!$B$17*$AD150,Constants!$B$18))</f>
        <v/>
      </c>
      <c r="AO150" s="130" t="str">
        <f aca="false">IF($BD150&lt;&gt;Constants!$B$6,"",Constants!$B$19*IF($AB150,$AC150,0))</f>
        <v/>
      </c>
      <c r="AP150" s="130" t="str">
        <f aca="false">IF($BD150&lt;&gt;Constants!$B$6,"",IF(AND($AB150,ISNUMBER($AE150)),Constants!$B$20*(Constants!$B$21-$AE150),0))</f>
        <v/>
      </c>
      <c r="AQ150" s="130" t="str">
        <f aca="false">IF($BD150&lt;&gt;Constants!$B$6,"",IF($AA150,0,Constants!$B$12)+IF($Z150,0,Constants!$B$13)+IF($Y150,0,Constants!$B$14))</f>
        <v/>
      </c>
      <c r="AR150" s="131" t="str">
        <f aca="false">IF($BD150&lt;&gt;Constants!$B$6,"",Constants!$B$16+SUM($AN150:$AQ150))</f>
        <v/>
      </c>
      <c r="AS150" s="130" t="str">
        <f aca="false">IF($BD150&lt;&gt;Constants!$B$6,"",IF($AB150,$AD150,""))</f>
        <v/>
      </c>
      <c r="AT150" s="132" t="str">
        <f aca="false">IF($BD150&lt;&gt;Constants!$B$6,"",$AO150)</f>
        <v/>
      </c>
      <c r="AU150" s="127" t="str">
        <f aca="false">IF($BD150&lt;&gt;Constants!$B$6,"",IF(OR($BA150&lt;$AR150,AND($BA150=$AR150,OR(AND(ISNUMBER($BB150),OR(NOT(ISNUMBER($AS150)),$BB150&lt;$AS150)),AND(OR(AND($BB150="",$AS150=""),AND(ISNUMBER($BB150),ISNUMBER($AS150),$BB150=$AS150)),$BC150&lt;$AT150)))),"-&gt;","&lt;-"))</f>
        <v/>
      </c>
      <c r="AV150" s="126" t="str">
        <f aca="false">IF(ISBLANK($C150),"",AND($AH150,OR($AI150="",$AJ150="",AND(NOT(ISBLANK($S150)),$AK150=""))))</f>
        <v/>
      </c>
      <c r="AW150" s="129" t="str">
        <f aca="false">IF($BD150&lt;&gt;Constants!$B$6,"",IF($AH150,Constants!$B$17*$AJ150,Constants!$B$18))</f>
        <v/>
      </c>
      <c r="AX150" s="130" t="str">
        <f aca="false">IF($BD150&lt;&gt;Constants!$B$6,"",Constants!$B$19*IF($AH150,$AI150,0))</f>
        <v/>
      </c>
      <c r="AY150" s="130" t="str">
        <f aca="false">IF($BD150&lt;&gt;Constants!$B$6,"",IF(AND($AH150,ISNUMBER($AK150)),Constants!$B$20*(Constants!$B$21-$AK150),0))</f>
        <v/>
      </c>
      <c r="AZ150" s="130" t="str">
        <f aca="false">IF($BD150&lt;&gt;Constants!$B$6,"",IF($AG150,0,Constants!$B$12)+IF($AF150,0,Constants!$B$13)+IF($Y150,0,Constants!$B$14))</f>
        <v/>
      </c>
      <c r="BA150" s="131" t="str">
        <f aca="false">IF($BD150&lt;&gt;Constants!$B$6,"",Constants!$B$16+SUM($AW150:$AZ150))</f>
        <v/>
      </c>
      <c r="BB150" s="130" t="str">
        <f aca="false">IF($BD150&lt;&gt;Constants!$B$6,"",IF($AH150,$AJ150,""))</f>
        <v/>
      </c>
      <c r="BC150" s="132" t="str">
        <f aca="false">IF($BD150&lt;&gt;Constants!$B$6,"",$AX150)</f>
        <v/>
      </c>
      <c r="BD150" s="127" t="str">
        <f aca="false">IF(ISBLANK($C150),"",IF($AL150,Constants!$B$9,IF(COUNTA($E150:$T150)=0,Constants!$B$8,IF(NOT($X150),Constants!$B$7,IF(OR($AM150,$AV150),Constants!$B$10,Constants!$B$6)))))</f>
        <v/>
      </c>
      <c r="BE150" s="127" t="str">
        <f aca="false">IF(ISBLANK($C150),"",IF($BD150&lt;&gt;Constants!$B$6,$BD150,Constants!$B$11))</f>
        <v/>
      </c>
      <c r="BF150" s="130" t="str">
        <f aca="false">IF($BD150&lt;&gt;Constants!$B$6,"",IF($AU150="-&gt;",$BA150,$AR150))</f>
        <v/>
      </c>
      <c r="BG150" s="130" t="str">
        <f aca="false">IF($BD150&lt;&gt;Constants!$B$6,"",IF($W150,0,Constants!$B$15))</f>
        <v/>
      </c>
      <c r="BH150" s="130" t="str">
        <f aca="false">IF(ISBLANK($C150),"",IF($BD150&lt;&gt;Constants!$B$6,$BD150,SUM($BF150:$BG150)))</f>
        <v/>
      </c>
      <c r="BI150" s="127" t="str">
        <f aca="false">IF(ISBLANK($C150),"",IF($BD150&lt;&gt;Constants!$B$6,$BD150,RANK($BH150,$BH$9:$BH$508,1)))</f>
        <v/>
      </c>
      <c r="BJ150" s="130" t="str">
        <f aca="false">IF($BD150&lt;&gt;Constants!$B$6,"",IF($AU150="-&gt;",$BB150,$AS150))</f>
        <v/>
      </c>
      <c r="BK150" s="127" t="str">
        <f aca="false">IF(ISBLANK($C150),"",IF($BD150&lt;&gt;Constants!$B$6,$BD150,IF(ISNUMBER($BJ150),RANK($BJ150,$BJ$9:$BJ$508,1),COUNT($BJ$9:$BJ$508)+1)))</f>
        <v/>
      </c>
      <c r="BL150" s="130" t="str">
        <f aca="false">IF($BD150&lt;&gt;Constants!$B$6,"",IF($AU150="-&gt;",$BC150,$AT150))</f>
        <v/>
      </c>
      <c r="BM150" s="127" t="str">
        <f aca="false">IF(ISBLANK($C150),"",IF($BD150&lt;&gt;Constants!$B$6,$BD150,IF(ISNUMBER($BL150),RANK($BL150,$BL$9:$BL$508,1),COUNT($BL$9:$BL$508)+1)))</f>
        <v/>
      </c>
      <c r="BN150" s="130" t="str">
        <f aca="false">IF($BD150&lt;&gt;Constants!$B$6,"",IF($AU150="-&gt;",$AS150,$BB150))</f>
        <v/>
      </c>
      <c r="BO150" s="127" t="str">
        <f aca="false">IF(ISBLANK($C150),"",IF($BD150&lt;&gt;Constants!$B$6,$BD150,IF(ISNUMBER($BN150),RANK($BN150,$BN$9:$BN$508,1),COUNT($BN$9:$BN$508)+1)))</f>
        <v/>
      </c>
      <c r="BP150" s="130" t="str">
        <f aca="false">IF($BD150&lt;&gt;Constants!$B$6,"",IF($AU150="-&gt;",$AT150,$BC150))</f>
        <v/>
      </c>
      <c r="BQ150" s="127" t="str">
        <f aca="false">IF(ISBLANK($C150),"",IF($BD150&lt;&gt;Constants!$B$6,$BD150,IF(ISNUMBER($BP150),RANK($BP150,$BP$9:$BP$508,1),COUNT($BP$9:$BP$508)+1)))</f>
        <v/>
      </c>
      <c r="BR150" s="127" t="str">
        <f aca="false">IF(ISBLANK($C150),"",IF($BD150&lt;&gt;Constants!$B$6,$BD150,COUNTIFS($BI$9:$BI$508,"&lt;"&amp;$BI150)+COUNTIFS($BI$9:$BI$508,$BI150,$BK$9:$BK$508,"&lt;"&amp;$BK150)+COUNTIFS($BI$9:$BI$508,$BI150,$BK$9:$BK$508,$BK150,$BM$9:$BM$508,"&lt;"&amp;$BM150)+COUNTIFS($BI$9:$BI$508,$BI150,$BK$9:$BK$508,$BK150,$BM$9:$BM$508,$BM150,$BO$9:$BO$508,"&lt;"&amp;$BO150)+COUNTIFS($BI$9:$BI$508,$BI150,$BK$9:$BK$508,$BK150,$BM$9:$BM$508,$BM150,$BO$9:$BO$508,$BO150,$BQ$9:$BQ$508,"&lt;"&amp;$BQ150)+1))</f>
        <v/>
      </c>
      <c r="BS150" s="127" t="str">
        <f aca="false">IF(ISBLANK($C150),"",IF($BD150&lt;&gt;Constants!$B$6,$BD150,$BI150-$BR150))</f>
        <v/>
      </c>
      <c r="BT150" s="133"/>
      <c r="BU150" s="134"/>
      <c r="BV150" s="134" t="str">
        <f aca="false">IF(ISBLANK($C150),"",IF($BD150&lt;&gt;Constants!$B$6,"",IF($AU150="-&gt;",2,1)))</f>
        <v/>
      </c>
      <c r="BW150" s="135" t="str">
        <f aca="false">IF(ISBLANK($C150),"",IF($BD150&lt;&gt;Constants!$B$6,"",IF($AU150="-&gt;",$AW150,$AN150)))</f>
        <v/>
      </c>
      <c r="BX150" s="135" t="str">
        <f aca="false">IF(ISBLANK($C150),"",IF($BD150&lt;&gt;Constants!$B$6,"",IF($AU150="-&gt;",$AX150,$AO150)))</f>
        <v/>
      </c>
      <c r="BY150" s="135" t="str">
        <f aca="false">IF(ISBLANK($C150),"",IF($BD150&lt;&gt;Constants!$B$6,"",IF($AU150="-&gt;",$AY150,$AP150)))</f>
        <v/>
      </c>
      <c r="BZ150" s="135" t="str">
        <f aca="false">IF(ISBLANK($C150),"",IF($BD150&lt;&gt;Constants!$B$6,"",IF($AU150="-&gt;",$AZ150,$AQ150)+$BG150))</f>
        <v/>
      </c>
      <c r="CA150" s="136" t="str">
        <f aca="false">IF(ISBLANK($C150),"",IF($BD150&lt;&gt;Constants!$B$6,$BD150,$BH150))</f>
        <v/>
      </c>
      <c r="CB150" s="137" t="str">
        <f aca="false">IF(ISBLANK($C150),"",$BE150)</f>
        <v/>
      </c>
      <c r="CC150" s="138" t="str">
        <f aca="false">IF(ISBLANK($C150),"",$BS150)</f>
        <v/>
      </c>
      <c r="CD150" s="138" t="str">
        <f aca="false">IF(ISBLANK($C150),"",$BR150)</f>
        <v/>
      </c>
      <c r="CE150" s="139" t="str">
        <f aca="false">IF(ISBLANK($C150),"",IF($CD150=Constants!$B$9,COUNTA($C$9:$C$508)+2,IF($CD150=Constants!$B$8,COUNTA($C$9:$C$508)+1,IF($CD150=Constants!$B$7,COUNTA($C$9:$C$508),$CD150))))</f>
        <v/>
      </c>
      <c r="CF150" s="9"/>
      <c r="CG150" s="140" t="n">
        <f aca="false">IF(OR(ISNUMBER($CD150),$CD150=Constants!$B$9,$CD150=Constants!$B$7,$CD150=Constants!$B$8),1,0)</f>
        <v>0</v>
      </c>
      <c r="CH150" s="140" t="n">
        <v>142</v>
      </c>
      <c r="CI150" s="140" t="str">
        <f aca="false">IF(ISBLANK($C150),"",IF(ISNUMBER($CE150),$CE150+ROW($B150)/1000,""))</f>
        <v/>
      </c>
      <c r="CJ150" s="140" t="str">
        <f aca="false">IF(ISNUMBER($CI150),RANK($CI150,$CI$9:$CI$508,1),"")</f>
        <v/>
      </c>
      <c r="CK150" s="140" t="str">
        <f aca="false">IF(ISBLANK($C150),"",$B150)</f>
        <v/>
      </c>
      <c r="CL150" s="140" t="str">
        <f aca="false">IF(ISBLANK($C150),"",$C150)</f>
        <v/>
      </c>
      <c r="CM150" s="140" t="str">
        <f aca="false">IF(ISBLANK($C150),"",$D150)</f>
        <v/>
      </c>
      <c r="CN150" s="141" t="str">
        <f aca="false">$CB150</f>
        <v/>
      </c>
      <c r="CO150" s="142" t="str">
        <f aca="false">$CA150</f>
        <v/>
      </c>
      <c r="CP150" s="140" t="str">
        <f aca="false">IF(ISBLANK($C150),"",$CD150)</f>
        <v/>
      </c>
      <c r="CQ150" s="143" t="str">
        <f aca="false">IF($CH150&gt;$CG$8,"",VLOOKUP($CH150,$CJ$9:$CP$508,7,FALSE()))</f>
        <v/>
      </c>
      <c r="CR150" s="144" t="str">
        <f aca="false">IF($CH150&gt;$CG$8,"",VLOOKUP($CH150,$CJ$9:$CP$508,2,FALSE()))</f>
        <v/>
      </c>
      <c r="CS150" s="144" t="str">
        <f aca="false">IF($CH150&gt;$CG$8,"",VLOOKUP($CH150,$CJ$9:$CP$508,3,FALSE()))</f>
        <v/>
      </c>
      <c r="CT150" s="144" t="str">
        <f aca="false">IF($CH150&gt;$CG$8,"",VLOOKUP($CH150,$CJ$9:$CP$508,4,FALSE()))</f>
        <v/>
      </c>
      <c r="CU150" s="144" t="str">
        <f aca="false">IF($CH150&gt;$CG$8,"",VLOOKUP($CH150,$CJ$9:$CP$508,5,FALSE()))</f>
        <v/>
      </c>
      <c r="CV150" s="145" t="str">
        <f aca="false">IF($CH150&gt;$CG$8,"",VLOOKUP($CH150,$CJ$9:$CP$508,6,FALSE()))</f>
        <v/>
      </c>
      <c r="CW150" s="71"/>
    </row>
    <row r="151" customFormat="false" ht="15.75" hidden="false" customHeight="false" outlineLevel="0" collapsed="false">
      <c r="A151" s="9"/>
      <c r="B151" s="150"/>
      <c r="C151" s="151"/>
      <c r="D151" s="152"/>
      <c r="E151" s="170"/>
      <c r="F151" s="154"/>
      <c r="G151" s="155"/>
      <c r="H151" s="171"/>
      <c r="I151" s="159"/>
      <c r="J151" s="120"/>
      <c r="K151" s="121"/>
      <c r="L151" s="122"/>
      <c r="M151" s="158"/>
      <c r="N151" s="159"/>
      <c r="O151" s="159"/>
      <c r="P151" s="120"/>
      <c r="Q151" s="122"/>
      <c r="R151" s="122"/>
      <c r="S151" s="158"/>
      <c r="T151" s="159"/>
      <c r="U151" s="126"/>
      <c r="V151" s="127"/>
      <c r="W151" s="127" t="str">
        <f aca="false">IF(ISBLANK($C151),"",IF(E151=Constants!$B$2,TRUE(),IF(E151=Constants!$B$3,FALSE(),TRUE())))</f>
        <v/>
      </c>
      <c r="X151" s="127" t="str">
        <f aca="false">IF(ISBLANK($C151),"",IF(F151=Constants!$B$2,TRUE(),IF(F151=Constants!$B$3,FALSE(),TRUE())))</f>
        <v/>
      </c>
      <c r="Y151" s="127" t="str">
        <f aca="false">IF(ISBLANK($C151),"",IF(G151=Constants!$B$2,TRUE(),IF(G151=Constants!$B$3,FALSE(),TRUE())))</f>
        <v/>
      </c>
      <c r="Z151" s="127" t="str">
        <f aca="false">IF(ISBLANK($C151),"",IF(H151=Constants!$B$2,TRUE(),IF(H151=Constants!$B$3,FALSE(),TRUE())))</f>
        <v/>
      </c>
      <c r="AA151" s="127" t="str">
        <f aca="false">IF(ISBLANK($C151),"",IF(I151=Constants!$B$2,TRUE(),IF(I151=Constants!$B$3,FALSE(),TRUE())))</f>
        <v/>
      </c>
      <c r="AB151" s="127" t="str">
        <f aca="false">IF(ISBLANK($C151),"",IF(J151=Constants!$B$4,TRUE(),IF(J151=Constants!$B$5,FALSE(),COUNTA(K151:M151)&gt;0)))</f>
        <v/>
      </c>
      <c r="AC151" s="128" t="str">
        <f aca="false">IF(ISBLANK($C151),"",IF(ISNUMBER(K151),IF(K151&gt;=0,K151,""),""))</f>
        <v/>
      </c>
      <c r="AD151" s="129" t="str">
        <f aca="false">IF(ISBLANK($C151),"",IF(ISNUMBER(L151),IF(L151&gt;=0,L151,""),""))</f>
        <v/>
      </c>
      <c r="AE151" s="127" t="str">
        <f aca="false">IF(ISBLANK($C151),"",IF(ISNUMBER(M151),IF(M151&gt;=0,MIN(M151,Constants!$B$22),""),""))</f>
        <v/>
      </c>
      <c r="AF151" s="127" t="str">
        <f aca="false">IF(ISBLANK($C151),"",IF(N151=Constants!$B$2,TRUE(),IF(N151=Constants!$B$3,FALSE(),TRUE())))</f>
        <v/>
      </c>
      <c r="AG151" s="127" t="str">
        <f aca="false">IF(ISBLANK($C151),"",IF(O151=Constants!$B$2,TRUE(),IF(O151=Constants!$B$3,FALSE(),TRUE())))</f>
        <v/>
      </c>
      <c r="AH151" s="127" t="str">
        <f aca="false">IF(ISBLANK($C151),"",IF(P151=Constants!$B$4,TRUE(),IF(P151=Constants!$B$5,FALSE(),COUNTA(Q151:S151)&gt;0)))</f>
        <v/>
      </c>
      <c r="AI151" s="128" t="str">
        <f aca="false">IF(ISBLANK($C151),"",IF(ISNUMBER(Q151),IF(Q151&gt;=0,Q151,""),""))</f>
        <v/>
      </c>
      <c r="AJ151" s="129" t="str">
        <f aca="false">IF(ISBLANK($C151),"",IF(ISNUMBER(R151),IF(R151&gt;=0,R151,""),""))</f>
        <v/>
      </c>
      <c r="AK151" s="127" t="str">
        <f aca="false">IF(ISBLANK($C151),"",IF(ISNUMBER(S151),IF(S151&gt;=0,MIN(S151,Constants!$B$22),""),""))</f>
        <v/>
      </c>
      <c r="AL151" s="127" t="str">
        <f aca="false">IF(ISBLANK($C151),"",IF(T151=Constants!$B$2,TRUE(),IF(T151=Constants!$B$3,FALSE(),FALSE())))</f>
        <v/>
      </c>
      <c r="AM151" s="126" t="str">
        <f aca="false">IF(ISBLANK($C151),"",AND($AB151,OR($AC151="",$AD151="",AND(NOT(ISBLANK($M151)),$AE151=""))))</f>
        <v/>
      </c>
      <c r="AN151" s="129" t="str">
        <f aca="false">IF($BD151&lt;&gt;Constants!$B$6,"",IF($AB151,Constants!$B$17*$AD151,Constants!$B$18))</f>
        <v/>
      </c>
      <c r="AO151" s="130" t="str">
        <f aca="false">IF($BD151&lt;&gt;Constants!$B$6,"",Constants!$B$19*IF($AB151,$AC151,0))</f>
        <v/>
      </c>
      <c r="AP151" s="130" t="str">
        <f aca="false">IF($BD151&lt;&gt;Constants!$B$6,"",IF(AND($AB151,ISNUMBER($AE151)),Constants!$B$20*(Constants!$B$21-$AE151),0))</f>
        <v/>
      </c>
      <c r="AQ151" s="130" t="str">
        <f aca="false">IF($BD151&lt;&gt;Constants!$B$6,"",IF($AA151,0,Constants!$B$12)+IF($Z151,0,Constants!$B$13)+IF($Y151,0,Constants!$B$14))</f>
        <v/>
      </c>
      <c r="AR151" s="131" t="str">
        <f aca="false">IF($BD151&lt;&gt;Constants!$B$6,"",Constants!$B$16+SUM($AN151:$AQ151))</f>
        <v/>
      </c>
      <c r="AS151" s="130" t="str">
        <f aca="false">IF($BD151&lt;&gt;Constants!$B$6,"",IF($AB151,$AD151,""))</f>
        <v/>
      </c>
      <c r="AT151" s="132" t="str">
        <f aca="false">IF($BD151&lt;&gt;Constants!$B$6,"",$AO151)</f>
        <v/>
      </c>
      <c r="AU151" s="127" t="str">
        <f aca="false">IF($BD151&lt;&gt;Constants!$B$6,"",IF(OR($BA151&lt;$AR151,AND($BA151=$AR151,OR(AND(ISNUMBER($BB151),OR(NOT(ISNUMBER($AS151)),$BB151&lt;$AS151)),AND(OR(AND($BB151="",$AS151=""),AND(ISNUMBER($BB151),ISNUMBER($AS151),$BB151=$AS151)),$BC151&lt;$AT151)))),"-&gt;","&lt;-"))</f>
        <v/>
      </c>
      <c r="AV151" s="126" t="str">
        <f aca="false">IF(ISBLANK($C151),"",AND($AH151,OR($AI151="",$AJ151="",AND(NOT(ISBLANK($S151)),$AK151=""))))</f>
        <v/>
      </c>
      <c r="AW151" s="129" t="str">
        <f aca="false">IF($BD151&lt;&gt;Constants!$B$6,"",IF($AH151,Constants!$B$17*$AJ151,Constants!$B$18))</f>
        <v/>
      </c>
      <c r="AX151" s="130" t="str">
        <f aca="false">IF($BD151&lt;&gt;Constants!$B$6,"",Constants!$B$19*IF($AH151,$AI151,0))</f>
        <v/>
      </c>
      <c r="AY151" s="130" t="str">
        <f aca="false">IF($BD151&lt;&gt;Constants!$B$6,"",IF(AND($AH151,ISNUMBER($AK151)),Constants!$B$20*(Constants!$B$21-$AK151),0))</f>
        <v/>
      </c>
      <c r="AZ151" s="130" t="str">
        <f aca="false">IF($BD151&lt;&gt;Constants!$B$6,"",IF($AG151,0,Constants!$B$12)+IF($AF151,0,Constants!$B$13)+IF($Y151,0,Constants!$B$14))</f>
        <v/>
      </c>
      <c r="BA151" s="131" t="str">
        <f aca="false">IF($BD151&lt;&gt;Constants!$B$6,"",Constants!$B$16+SUM($AW151:$AZ151))</f>
        <v/>
      </c>
      <c r="BB151" s="130" t="str">
        <f aca="false">IF($BD151&lt;&gt;Constants!$B$6,"",IF($AH151,$AJ151,""))</f>
        <v/>
      </c>
      <c r="BC151" s="132" t="str">
        <f aca="false">IF($BD151&lt;&gt;Constants!$B$6,"",$AX151)</f>
        <v/>
      </c>
      <c r="BD151" s="127" t="str">
        <f aca="false">IF(ISBLANK($C151),"",IF($AL151,Constants!$B$9,IF(COUNTA($E151:$T151)=0,Constants!$B$8,IF(NOT($X151),Constants!$B$7,IF(OR($AM151,$AV151),Constants!$B$10,Constants!$B$6)))))</f>
        <v/>
      </c>
      <c r="BE151" s="127" t="str">
        <f aca="false">IF(ISBLANK($C151),"",IF($BD151&lt;&gt;Constants!$B$6,$BD151,Constants!$B$11))</f>
        <v/>
      </c>
      <c r="BF151" s="130" t="str">
        <f aca="false">IF($BD151&lt;&gt;Constants!$B$6,"",IF($AU151="-&gt;",$BA151,$AR151))</f>
        <v/>
      </c>
      <c r="BG151" s="130" t="str">
        <f aca="false">IF($BD151&lt;&gt;Constants!$B$6,"",IF($W151,0,Constants!$B$15))</f>
        <v/>
      </c>
      <c r="BH151" s="130" t="str">
        <f aca="false">IF(ISBLANK($C151),"",IF($BD151&lt;&gt;Constants!$B$6,$BD151,SUM($BF151:$BG151)))</f>
        <v/>
      </c>
      <c r="BI151" s="127" t="str">
        <f aca="false">IF(ISBLANK($C151),"",IF($BD151&lt;&gt;Constants!$B$6,$BD151,RANK($BH151,$BH$9:$BH$508,1)))</f>
        <v/>
      </c>
      <c r="BJ151" s="130" t="str">
        <f aca="false">IF($BD151&lt;&gt;Constants!$B$6,"",IF($AU151="-&gt;",$BB151,$AS151))</f>
        <v/>
      </c>
      <c r="BK151" s="127" t="str">
        <f aca="false">IF(ISBLANK($C151),"",IF($BD151&lt;&gt;Constants!$B$6,$BD151,IF(ISNUMBER($BJ151),RANK($BJ151,$BJ$9:$BJ$508,1),COUNT($BJ$9:$BJ$508)+1)))</f>
        <v/>
      </c>
      <c r="BL151" s="130" t="str">
        <f aca="false">IF($BD151&lt;&gt;Constants!$B$6,"",IF($AU151="-&gt;",$BC151,$AT151))</f>
        <v/>
      </c>
      <c r="BM151" s="127" t="str">
        <f aca="false">IF(ISBLANK($C151),"",IF($BD151&lt;&gt;Constants!$B$6,$BD151,IF(ISNUMBER($BL151),RANK($BL151,$BL$9:$BL$508,1),COUNT($BL$9:$BL$508)+1)))</f>
        <v/>
      </c>
      <c r="BN151" s="130" t="str">
        <f aca="false">IF($BD151&lt;&gt;Constants!$B$6,"",IF($AU151="-&gt;",$AS151,$BB151))</f>
        <v/>
      </c>
      <c r="BO151" s="127" t="str">
        <f aca="false">IF(ISBLANK($C151),"",IF($BD151&lt;&gt;Constants!$B$6,$BD151,IF(ISNUMBER($BN151),RANK($BN151,$BN$9:$BN$508,1),COUNT($BN$9:$BN$508)+1)))</f>
        <v/>
      </c>
      <c r="BP151" s="130" t="str">
        <f aca="false">IF($BD151&lt;&gt;Constants!$B$6,"",IF($AU151="-&gt;",$AT151,$BC151))</f>
        <v/>
      </c>
      <c r="BQ151" s="127" t="str">
        <f aca="false">IF(ISBLANK($C151),"",IF($BD151&lt;&gt;Constants!$B$6,$BD151,IF(ISNUMBER($BP151),RANK($BP151,$BP$9:$BP$508,1),COUNT($BP$9:$BP$508)+1)))</f>
        <v/>
      </c>
      <c r="BR151" s="127" t="str">
        <f aca="false">IF(ISBLANK($C151),"",IF($BD151&lt;&gt;Constants!$B$6,$BD151,COUNTIFS($BI$9:$BI$508,"&lt;"&amp;$BI151)+COUNTIFS($BI$9:$BI$508,$BI151,$BK$9:$BK$508,"&lt;"&amp;$BK151)+COUNTIFS($BI$9:$BI$508,$BI151,$BK$9:$BK$508,$BK151,$BM$9:$BM$508,"&lt;"&amp;$BM151)+COUNTIFS($BI$9:$BI$508,$BI151,$BK$9:$BK$508,$BK151,$BM$9:$BM$508,$BM151,$BO$9:$BO$508,"&lt;"&amp;$BO151)+COUNTIFS($BI$9:$BI$508,$BI151,$BK$9:$BK$508,$BK151,$BM$9:$BM$508,$BM151,$BO$9:$BO$508,$BO151,$BQ$9:$BQ$508,"&lt;"&amp;$BQ151)+1))</f>
        <v/>
      </c>
      <c r="BS151" s="127" t="str">
        <f aca="false">IF(ISBLANK($C151),"",IF($BD151&lt;&gt;Constants!$B$6,$BD151,$BI151-$BR151))</f>
        <v/>
      </c>
      <c r="BT151" s="133"/>
      <c r="BU151" s="134"/>
      <c r="BV151" s="134" t="str">
        <f aca="false">IF(ISBLANK($C151),"",IF($BD151&lt;&gt;Constants!$B$6,"",IF($AU151="-&gt;",2,1)))</f>
        <v/>
      </c>
      <c r="BW151" s="135" t="str">
        <f aca="false">IF(ISBLANK($C151),"",IF($BD151&lt;&gt;Constants!$B$6,"",IF($AU151="-&gt;",$AW151,$AN151)))</f>
        <v/>
      </c>
      <c r="BX151" s="135" t="str">
        <f aca="false">IF(ISBLANK($C151),"",IF($BD151&lt;&gt;Constants!$B$6,"",IF($AU151="-&gt;",$AX151,$AO151)))</f>
        <v/>
      </c>
      <c r="BY151" s="135" t="str">
        <f aca="false">IF(ISBLANK($C151),"",IF($BD151&lt;&gt;Constants!$B$6,"",IF($AU151="-&gt;",$AY151,$AP151)))</f>
        <v/>
      </c>
      <c r="BZ151" s="135" t="str">
        <f aca="false">IF(ISBLANK($C151),"",IF($BD151&lt;&gt;Constants!$B$6,"",IF($AU151="-&gt;",$AZ151,$AQ151)+$BG151))</f>
        <v/>
      </c>
      <c r="CA151" s="136" t="str">
        <f aca="false">IF(ISBLANK($C151),"",IF($BD151&lt;&gt;Constants!$B$6,$BD151,$BH151))</f>
        <v/>
      </c>
      <c r="CB151" s="137" t="str">
        <f aca="false">IF(ISBLANK($C151),"",$BE151)</f>
        <v/>
      </c>
      <c r="CC151" s="138" t="str">
        <f aca="false">IF(ISBLANK($C151),"",$BS151)</f>
        <v/>
      </c>
      <c r="CD151" s="138" t="str">
        <f aca="false">IF(ISBLANK($C151),"",$BR151)</f>
        <v/>
      </c>
      <c r="CE151" s="139" t="str">
        <f aca="false">IF(ISBLANK($C151),"",IF($CD151=Constants!$B$9,COUNTA($C$9:$C$508)+2,IF($CD151=Constants!$B$8,COUNTA($C$9:$C$508)+1,IF($CD151=Constants!$B$7,COUNTA($C$9:$C$508),$CD151))))</f>
        <v/>
      </c>
      <c r="CF151" s="9"/>
      <c r="CG151" s="140" t="n">
        <f aca="false">IF(OR(ISNUMBER($CD151),$CD151=Constants!$B$9,$CD151=Constants!$B$7,$CD151=Constants!$B$8),1,0)</f>
        <v>0</v>
      </c>
      <c r="CH151" s="140" t="n">
        <v>143</v>
      </c>
      <c r="CI151" s="140" t="str">
        <f aca="false">IF(ISBLANK($C151),"",IF(ISNUMBER($CE151),$CE151+ROW($B151)/1000,""))</f>
        <v/>
      </c>
      <c r="CJ151" s="140" t="str">
        <f aca="false">IF(ISNUMBER($CI151),RANK($CI151,$CI$9:$CI$508,1),"")</f>
        <v/>
      </c>
      <c r="CK151" s="140" t="str">
        <f aca="false">IF(ISBLANK($C151),"",$B151)</f>
        <v/>
      </c>
      <c r="CL151" s="140" t="str">
        <f aca="false">IF(ISBLANK($C151),"",$C151)</f>
        <v/>
      </c>
      <c r="CM151" s="140" t="str">
        <f aca="false">IF(ISBLANK($C151),"",$D151)</f>
        <v/>
      </c>
      <c r="CN151" s="141" t="str">
        <f aca="false">$CB151</f>
        <v/>
      </c>
      <c r="CO151" s="142" t="str">
        <f aca="false">$CA151</f>
        <v/>
      </c>
      <c r="CP151" s="140" t="str">
        <f aca="false">IF(ISBLANK($C151),"",$CD151)</f>
        <v/>
      </c>
      <c r="CQ151" s="143" t="str">
        <f aca="false">IF($CH151&gt;$CG$8,"",VLOOKUP($CH151,$CJ$9:$CP$508,7,FALSE()))</f>
        <v/>
      </c>
      <c r="CR151" s="144" t="str">
        <f aca="false">IF($CH151&gt;$CG$8,"",VLOOKUP($CH151,$CJ$9:$CP$508,2,FALSE()))</f>
        <v/>
      </c>
      <c r="CS151" s="144" t="str">
        <f aca="false">IF($CH151&gt;$CG$8,"",VLOOKUP($CH151,$CJ$9:$CP$508,3,FALSE()))</f>
        <v/>
      </c>
      <c r="CT151" s="144" t="str">
        <f aca="false">IF($CH151&gt;$CG$8,"",VLOOKUP($CH151,$CJ$9:$CP$508,4,FALSE()))</f>
        <v/>
      </c>
      <c r="CU151" s="144" t="str">
        <f aca="false">IF($CH151&gt;$CG$8,"",VLOOKUP($CH151,$CJ$9:$CP$508,5,FALSE()))</f>
        <v/>
      </c>
      <c r="CV151" s="145" t="str">
        <f aca="false">IF($CH151&gt;$CG$8,"",VLOOKUP($CH151,$CJ$9:$CP$508,6,FALSE()))</f>
        <v/>
      </c>
      <c r="CW151" s="71"/>
    </row>
    <row r="152" customFormat="false" ht="15.75" hidden="false" customHeight="false" outlineLevel="0" collapsed="false">
      <c r="A152" s="9"/>
      <c r="B152" s="150"/>
      <c r="C152" s="151"/>
      <c r="D152" s="152"/>
      <c r="E152" s="170"/>
      <c r="F152" s="154"/>
      <c r="G152" s="155"/>
      <c r="H152" s="171"/>
      <c r="I152" s="159"/>
      <c r="J152" s="120"/>
      <c r="K152" s="121"/>
      <c r="L152" s="122"/>
      <c r="M152" s="158"/>
      <c r="N152" s="159"/>
      <c r="O152" s="159"/>
      <c r="P152" s="120"/>
      <c r="Q152" s="122"/>
      <c r="R152" s="122"/>
      <c r="S152" s="158"/>
      <c r="T152" s="159"/>
      <c r="U152" s="126"/>
      <c r="V152" s="127"/>
      <c r="W152" s="127" t="str">
        <f aca="false">IF(ISBLANK($C152),"",IF(E152=Constants!$B$2,TRUE(),IF(E152=Constants!$B$3,FALSE(),TRUE())))</f>
        <v/>
      </c>
      <c r="X152" s="127" t="str">
        <f aca="false">IF(ISBLANK($C152),"",IF(F152=Constants!$B$2,TRUE(),IF(F152=Constants!$B$3,FALSE(),TRUE())))</f>
        <v/>
      </c>
      <c r="Y152" s="127" t="str">
        <f aca="false">IF(ISBLANK($C152),"",IF(G152=Constants!$B$2,TRUE(),IF(G152=Constants!$B$3,FALSE(),TRUE())))</f>
        <v/>
      </c>
      <c r="Z152" s="127" t="str">
        <f aca="false">IF(ISBLANK($C152),"",IF(H152=Constants!$B$2,TRUE(),IF(H152=Constants!$B$3,FALSE(),TRUE())))</f>
        <v/>
      </c>
      <c r="AA152" s="127" t="str">
        <f aca="false">IF(ISBLANK($C152),"",IF(I152=Constants!$B$2,TRUE(),IF(I152=Constants!$B$3,FALSE(),TRUE())))</f>
        <v/>
      </c>
      <c r="AB152" s="127" t="str">
        <f aca="false">IF(ISBLANK($C152),"",IF(J152=Constants!$B$4,TRUE(),IF(J152=Constants!$B$5,FALSE(),COUNTA(K152:M152)&gt;0)))</f>
        <v/>
      </c>
      <c r="AC152" s="128" t="str">
        <f aca="false">IF(ISBLANK($C152),"",IF(ISNUMBER(K152),IF(K152&gt;=0,K152,""),""))</f>
        <v/>
      </c>
      <c r="AD152" s="129" t="str">
        <f aca="false">IF(ISBLANK($C152),"",IF(ISNUMBER(L152),IF(L152&gt;=0,L152,""),""))</f>
        <v/>
      </c>
      <c r="AE152" s="127" t="str">
        <f aca="false">IF(ISBLANK($C152),"",IF(ISNUMBER(M152),IF(M152&gt;=0,MIN(M152,Constants!$B$22),""),""))</f>
        <v/>
      </c>
      <c r="AF152" s="127" t="str">
        <f aca="false">IF(ISBLANK($C152),"",IF(N152=Constants!$B$2,TRUE(),IF(N152=Constants!$B$3,FALSE(),TRUE())))</f>
        <v/>
      </c>
      <c r="AG152" s="127" t="str">
        <f aca="false">IF(ISBLANK($C152),"",IF(O152=Constants!$B$2,TRUE(),IF(O152=Constants!$B$3,FALSE(),TRUE())))</f>
        <v/>
      </c>
      <c r="AH152" s="127" t="str">
        <f aca="false">IF(ISBLANK($C152),"",IF(P152=Constants!$B$4,TRUE(),IF(P152=Constants!$B$5,FALSE(),COUNTA(Q152:S152)&gt;0)))</f>
        <v/>
      </c>
      <c r="AI152" s="128" t="str">
        <f aca="false">IF(ISBLANK($C152),"",IF(ISNUMBER(Q152),IF(Q152&gt;=0,Q152,""),""))</f>
        <v/>
      </c>
      <c r="AJ152" s="129" t="str">
        <f aca="false">IF(ISBLANK($C152),"",IF(ISNUMBER(R152),IF(R152&gt;=0,R152,""),""))</f>
        <v/>
      </c>
      <c r="AK152" s="127" t="str">
        <f aca="false">IF(ISBLANK($C152),"",IF(ISNUMBER(S152),IF(S152&gt;=0,MIN(S152,Constants!$B$22),""),""))</f>
        <v/>
      </c>
      <c r="AL152" s="127" t="str">
        <f aca="false">IF(ISBLANK($C152),"",IF(T152=Constants!$B$2,TRUE(),IF(T152=Constants!$B$3,FALSE(),FALSE())))</f>
        <v/>
      </c>
      <c r="AM152" s="126" t="str">
        <f aca="false">IF(ISBLANK($C152),"",AND($AB152,OR($AC152="",$AD152="",AND(NOT(ISBLANK($M152)),$AE152=""))))</f>
        <v/>
      </c>
      <c r="AN152" s="129" t="str">
        <f aca="false">IF($BD152&lt;&gt;Constants!$B$6,"",IF($AB152,Constants!$B$17*$AD152,Constants!$B$18))</f>
        <v/>
      </c>
      <c r="AO152" s="130" t="str">
        <f aca="false">IF($BD152&lt;&gt;Constants!$B$6,"",Constants!$B$19*IF($AB152,$AC152,0))</f>
        <v/>
      </c>
      <c r="AP152" s="130" t="str">
        <f aca="false">IF($BD152&lt;&gt;Constants!$B$6,"",IF(AND($AB152,ISNUMBER($AE152)),Constants!$B$20*(Constants!$B$21-$AE152),0))</f>
        <v/>
      </c>
      <c r="AQ152" s="130" t="str">
        <f aca="false">IF($BD152&lt;&gt;Constants!$B$6,"",IF($AA152,0,Constants!$B$12)+IF($Z152,0,Constants!$B$13)+IF($Y152,0,Constants!$B$14))</f>
        <v/>
      </c>
      <c r="AR152" s="131" t="str">
        <f aca="false">IF($BD152&lt;&gt;Constants!$B$6,"",Constants!$B$16+SUM($AN152:$AQ152))</f>
        <v/>
      </c>
      <c r="AS152" s="130" t="str">
        <f aca="false">IF($BD152&lt;&gt;Constants!$B$6,"",IF($AB152,$AD152,""))</f>
        <v/>
      </c>
      <c r="AT152" s="132" t="str">
        <f aca="false">IF($BD152&lt;&gt;Constants!$B$6,"",$AO152)</f>
        <v/>
      </c>
      <c r="AU152" s="127" t="str">
        <f aca="false">IF($BD152&lt;&gt;Constants!$B$6,"",IF(OR($BA152&lt;$AR152,AND($BA152=$AR152,OR(AND(ISNUMBER($BB152),OR(NOT(ISNUMBER($AS152)),$BB152&lt;$AS152)),AND(OR(AND($BB152="",$AS152=""),AND(ISNUMBER($BB152),ISNUMBER($AS152),$BB152=$AS152)),$BC152&lt;$AT152)))),"-&gt;","&lt;-"))</f>
        <v/>
      </c>
      <c r="AV152" s="126" t="str">
        <f aca="false">IF(ISBLANK($C152),"",AND($AH152,OR($AI152="",$AJ152="",AND(NOT(ISBLANK($S152)),$AK152=""))))</f>
        <v/>
      </c>
      <c r="AW152" s="129" t="str">
        <f aca="false">IF($BD152&lt;&gt;Constants!$B$6,"",IF($AH152,Constants!$B$17*$AJ152,Constants!$B$18))</f>
        <v/>
      </c>
      <c r="AX152" s="130" t="str">
        <f aca="false">IF($BD152&lt;&gt;Constants!$B$6,"",Constants!$B$19*IF($AH152,$AI152,0))</f>
        <v/>
      </c>
      <c r="AY152" s="130" t="str">
        <f aca="false">IF($BD152&lt;&gt;Constants!$B$6,"",IF(AND($AH152,ISNUMBER($AK152)),Constants!$B$20*(Constants!$B$21-$AK152),0))</f>
        <v/>
      </c>
      <c r="AZ152" s="130" t="str">
        <f aca="false">IF($BD152&lt;&gt;Constants!$B$6,"",IF($AG152,0,Constants!$B$12)+IF($AF152,0,Constants!$B$13)+IF($Y152,0,Constants!$B$14))</f>
        <v/>
      </c>
      <c r="BA152" s="131" t="str">
        <f aca="false">IF($BD152&lt;&gt;Constants!$B$6,"",Constants!$B$16+SUM($AW152:$AZ152))</f>
        <v/>
      </c>
      <c r="BB152" s="130" t="str">
        <f aca="false">IF($BD152&lt;&gt;Constants!$B$6,"",IF($AH152,$AJ152,""))</f>
        <v/>
      </c>
      <c r="BC152" s="132" t="str">
        <f aca="false">IF($BD152&lt;&gt;Constants!$B$6,"",$AX152)</f>
        <v/>
      </c>
      <c r="BD152" s="127" t="str">
        <f aca="false">IF(ISBLANK($C152),"",IF($AL152,Constants!$B$9,IF(COUNTA($E152:$T152)=0,Constants!$B$8,IF(NOT($X152),Constants!$B$7,IF(OR($AM152,$AV152),Constants!$B$10,Constants!$B$6)))))</f>
        <v/>
      </c>
      <c r="BE152" s="127" t="str">
        <f aca="false">IF(ISBLANK($C152),"",IF($BD152&lt;&gt;Constants!$B$6,$BD152,Constants!$B$11))</f>
        <v/>
      </c>
      <c r="BF152" s="130" t="str">
        <f aca="false">IF($BD152&lt;&gt;Constants!$B$6,"",IF($AU152="-&gt;",$BA152,$AR152))</f>
        <v/>
      </c>
      <c r="BG152" s="130" t="str">
        <f aca="false">IF($BD152&lt;&gt;Constants!$B$6,"",IF($W152,0,Constants!$B$15))</f>
        <v/>
      </c>
      <c r="BH152" s="130" t="str">
        <f aca="false">IF(ISBLANK($C152),"",IF($BD152&lt;&gt;Constants!$B$6,$BD152,SUM($BF152:$BG152)))</f>
        <v/>
      </c>
      <c r="BI152" s="127" t="str">
        <f aca="false">IF(ISBLANK($C152),"",IF($BD152&lt;&gt;Constants!$B$6,$BD152,RANK($BH152,$BH$9:$BH$508,1)))</f>
        <v/>
      </c>
      <c r="BJ152" s="130" t="str">
        <f aca="false">IF($BD152&lt;&gt;Constants!$B$6,"",IF($AU152="-&gt;",$BB152,$AS152))</f>
        <v/>
      </c>
      <c r="BK152" s="127" t="str">
        <f aca="false">IF(ISBLANK($C152),"",IF($BD152&lt;&gt;Constants!$B$6,$BD152,IF(ISNUMBER($BJ152),RANK($BJ152,$BJ$9:$BJ$508,1),COUNT($BJ$9:$BJ$508)+1)))</f>
        <v/>
      </c>
      <c r="BL152" s="130" t="str">
        <f aca="false">IF($BD152&lt;&gt;Constants!$B$6,"",IF($AU152="-&gt;",$BC152,$AT152))</f>
        <v/>
      </c>
      <c r="BM152" s="127" t="str">
        <f aca="false">IF(ISBLANK($C152),"",IF($BD152&lt;&gt;Constants!$B$6,$BD152,IF(ISNUMBER($BL152),RANK($BL152,$BL$9:$BL$508,1),COUNT($BL$9:$BL$508)+1)))</f>
        <v/>
      </c>
      <c r="BN152" s="130" t="str">
        <f aca="false">IF($BD152&lt;&gt;Constants!$B$6,"",IF($AU152="-&gt;",$AS152,$BB152))</f>
        <v/>
      </c>
      <c r="BO152" s="127" t="str">
        <f aca="false">IF(ISBLANK($C152),"",IF($BD152&lt;&gt;Constants!$B$6,$BD152,IF(ISNUMBER($BN152),RANK($BN152,$BN$9:$BN$508,1),COUNT($BN$9:$BN$508)+1)))</f>
        <v/>
      </c>
      <c r="BP152" s="130" t="str">
        <f aca="false">IF($BD152&lt;&gt;Constants!$B$6,"",IF($AU152="-&gt;",$AT152,$BC152))</f>
        <v/>
      </c>
      <c r="BQ152" s="127" t="str">
        <f aca="false">IF(ISBLANK($C152),"",IF($BD152&lt;&gt;Constants!$B$6,$BD152,IF(ISNUMBER($BP152),RANK($BP152,$BP$9:$BP$508,1),COUNT($BP$9:$BP$508)+1)))</f>
        <v/>
      </c>
      <c r="BR152" s="127" t="str">
        <f aca="false">IF(ISBLANK($C152),"",IF($BD152&lt;&gt;Constants!$B$6,$BD152,COUNTIFS($BI$9:$BI$508,"&lt;"&amp;$BI152)+COUNTIFS($BI$9:$BI$508,$BI152,$BK$9:$BK$508,"&lt;"&amp;$BK152)+COUNTIFS($BI$9:$BI$508,$BI152,$BK$9:$BK$508,$BK152,$BM$9:$BM$508,"&lt;"&amp;$BM152)+COUNTIFS($BI$9:$BI$508,$BI152,$BK$9:$BK$508,$BK152,$BM$9:$BM$508,$BM152,$BO$9:$BO$508,"&lt;"&amp;$BO152)+COUNTIFS($BI$9:$BI$508,$BI152,$BK$9:$BK$508,$BK152,$BM$9:$BM$508,$BM152,$BO$9:$BO$508,$BO152,$BQ$9:$BQ$508,"&lt;"&amp;$BQ152)+1))</f>
        <v/>
      </c>
      <c r="BS152" s="127" t="str">
        <f aca="false">IF(ISBLANK($C152),"",IF($BD152&lt;&gt;Constants!$B$6,$BD152,$BI152-$BR152))</f>
        <v/>
      </c>
      <c r="BT152" s="133"/>
      <c r="BU152" s="134"/>
      <c r="BV152" s="134" t="str">
        <f aca="false">IF(ISBLANK($C152),"",IF($BD152&lt;&gt;Constants!$B$6,"",IF($AU152="-&gt;",2,1)))</f>
        <v/>
      </c>
      <c r="BW152" s="135" t="str">
        <f aca="false">IF(ISBLANK($C152),"",IF($BD152&lt;&gt;Constants!$B$6,"",IF($AU152="-&gt;",$AW152,$AN152)))</f>
        <v/>
      </c>
      <c r="BX152" s="135" t="str">
        <f aca="false">IF(ISBLANK($C152),"",IF($BD152&lt;&gt;Constants!$B$6,"",IF($AU152="-&gt;",$AX152,$AO152)))</f>
        <v/>
      </c>
      <c r="BY152" s="135" t="str">
        <f aca="false">IF(ISBLANK($C152),"",IF($BD152&lt;&gt;Constants!$B$6,"",IF($AU152="-&gt;",$AY152,$AP152)))</f>
        <v/>
      </c>
      <c r="BZ152" s="135" t="str">
        <f aca="false">IF(ISBLANK($C152),"",IF($BD152&lt;&gt;Constants!$B$6,"",IF($AU152="-&gt;",$AZ152,$AQ152)+$BG152))</f>
        <v/>
      </c>
      <c r="CA152" s="136" t="str">
        <f aca="false">IF(ISBLANK($C152),"",IF($BD152&lt;&gt;Constants!$B$6,$BD152,$BH152))</f>
        <v/>
      </c>
      <c r="CB152" s="137" t="str">
        <f aca="false">IF(ISBLANK($C152),"",$BE152)</f>
        <v/>
      </c>
      <c r="CC152" s="138" t="str">
        <f aca="false">IF(ISBLANK($C152),"",$BS152)</f>
        <v/>
      </c>
      <c r="CD152" s="138" t="str">
        <f aca="false">IF(ISBLANK($C152),"",$BR152)</f>
        <v/>
      </c>
      <c r="CE152" s="139" t="str">
        <f aca="false">IF(ISBLANK($C152),"",IF($CD152=Constants!$B$9,COUNTA($C$9:$C$508)+2,IF($CD152=Constants!$B$8,COUNTA($C$9:$C$508)+1,IF($CD152=Constants!$B$7,COUNTA($C$9:$C$508),$CD152))))</f>
        <v/>
      </c>
      <c r="CF152" s="9"/>
      <c r="CG152" s="140" t="n">
        <f aca="false">IF(OR(ISNUMBER($CD152),$CD152=Constants!$B$9,$CD152=Constants!$B$7,$CD152=Constants!$B$8),1,0)</f>
        <v>0</v>
      </c>
      <c r="CH152" s="140" t="n">
        <v>144</v>
      </c>
      <c r="CI152" s="140" t="str">
        <f aca="false">IF(ISBLANK($C152),"",IF(ISNUMBER($CE152),$CE152+ROW($B152)/1000,""))</f>
        <v/>
      </c>
      <c r="CJ152" s="140" t="str">
        <f aca="false">IF(ISNUMBER($CI152),RANK($CI152,$CI$9:$CI$508,1),"")</f>
        <v/>
      </c>
      <c r="CK152" s="140" t="str">
        <f aca="false">IF(ISBLANK($C152),"",$B152)</f>
        <v/>
      </c>
      <c r="CL152" s="140" t="str">
        <f aca="false">IF(ISBLANK($C152),"",$C152)</f>
        <v/>
      </c>
      <c r="CM152" s="140" t="str">
        <f aca="false">IF(ISBLANK($C152),"",$D152)</f>
        <v/>
      </c>
      <c r="CN152" s="141" t="str">
        <f aca="false">$CB152</f>
        <v/>
      </c>
      <c r="CO152" s="142" t="str">
        <f aca="false">$CA152</f>
        <v/>
      </c>
      <c r="CP152" s="140" t="str">
        <f aca="false">IF(ISBLANK($C152),"",$CD152)</f>
        <v/>
      </c>
      <c r="CQ152" s="143" t="str">
        <f aca="false">IF($CH152&gt;$CG$8,"",VLOOKUP($CH152,$CJ$9:$CP$508,7,FALSE()))</f>
        <v/>
      </c>
      <c r="CR152" s="144" t="str">
        <f aca="false">IF($CH152&gt;$CG$8,"",VLOOKUP($CH152,$CJ$9:$CP$508,2,FALSE()))</f>
        <v/>
      </c>
      <c r="CS152" s="144" t="str">
        <f aca="false">IF($CH152&gt;$CG$8,"",VLOOKUP($CH152,$CJ$9:$CP$508,3,FALSE()))</f>
        <v/>
      </c>
      <c r="CT152" s="144" t="str">
        <f aca="false">IF($CH152&gt;$CG$8,"",VLOOKUP($CH152,$CJ$9:$CP$508,4,FALSE()))</f>
        <v/>
      </c>
      <c r="CU152" s="144" t="str">
        <f aca="false">IF($CH152&gt;$CG$8,"",VLOOKUP($CH152,$CJ$9:$CP$508,5,FALSE()))</f>
        <v/>
      </c>
      <c r="CV152" s="145" t="str">
        <f aca="false">IF($CH152&gt;$CG$8,"",VLOOKUP($CH152,$CJ$9:$CP$508,6,FALSE()))</f>
        <v/>
      </c>
      <c r="CW152" s="71"/>
    </row>
    <row r="153" customFormat="false" ht="15.75" hidden="false" customHeight="false" outlineLevel="0" collapsed="false">
      <c r="A153" s="9"/>
      <c r="B153" s="72"/>
      <c r="C153" s="73"/>
      <c r="D153" s="160"/>
      <c r="E153" s="168"/>
      <c r="F153" s="162"/>
      <c r="G153" s="163"/>
      <c r="H153" s="169"/>
      <c r="I153" s="167"/>
      <c r="J153" s="80"/>
      <c r="K153" s="81"/>
      <c r="L153" s="82"/>
      <c r="M153" s="166"/>
      <c r="N153" s="167"/>
      <c r="O153" s="167"/>
      <c r="P153" s="80"/>
      <c r="Q153" s="82"/>
      <c r="R153" s="82"/>
      <c r="S153" s="166"/>
      <c r="T153" s="167"/>
      <c r="U153" s="86"/>
      <c r="V153" s="87"/>
      <c r="W153" s="87" t="str">
        <f aca="false">IF(ISBLANK($C153),"",IF(E153=Constants!$B$2,TRUE(),IF(E153=Constants!$B$3,FALSE(),TRUE())))</f>
        <v/>
      </c>
      <c r="X153" s="87" t="str">
        <f aca="false">IF(ISBLANK($C153),"",IF(F153=Constants!$B$2,TRUE(),IF(F153=Constants!$B$3,FALSE(),TRUE())))</f>
        <v/>
      </c>
      <c r="Y153" s="87" t="str">
        <f aca="false">IF(ISBLANK($C153),"",IF(G153=Constants!$B$2,TRUE(),IF(G153=Constants!$B$3,FALSE(),TRUE())))</f>
        <v/>
      </c>
      <c r="Z153" s="87" t="str">
        <f aca="false">IF(ISBLANK($C153),"",IF(H153=Constants!$B$2,TRUE(),IF(H153=Constants!$B$3,FALSE(),TRUE())))</f>
        <v/>
      </c>
      <c r="AA153" s="87" t="str">
        <f aca="false">IF(ISBLANK($C153),"",IF(I153=Constants!$B$2,TRUE(),IF(I153=Constants!$B$3,FALSE(),TRUE())))</f>
        <v/>
      </c>
      <c r="AB153" s="87" t="str">
        <f aca="false">IF(ISBLANK($C153),"",IF(J153=Constants!$B$4,TRUE(),IF(J153=Constants!$B$5,FALSE(),COUNTA(K153:M153)&gt;0)))</f>
        <v/>
      </c>
      <c r="AC153" s="88" t="str">
        <f aca="false">IF(ISBLANK($C153),"",IF(ISNUMBER(K153),IF(K153&gt;=0,K153,""),""))</f>
        <v/>
      </c>
      <c r="AD153" s="89" t="str">
        <f aca="false">IF(ISBLANK($C153),"",IF(ISNUMBER(L153),IF(L153&gt;=0,L153,""),""))</f>
        <v/>
      </c>
      <c r="AE153" s="87" t="str">
        <f aca="false">IF(ISBLANK($C153),"",IF(ISNUMBER(M153),IF(M153&gt;=0,MIN(M153,Constants!$B$22),""),""))</f>
        <v/>
      </c>
      <c r="AF153" s="87" t="str">
        <f aca="false">IF(ISBLANK($C153),"",IF(N153=Constants!$B$2,TRUE(),IF(N153=Constants!$B$3,FALSE(),TRUE())))</f>
        <v/>
      </c>
      <c r="AG153" s="87" t="str">
        <f aca="false">IF(ISBLANK($C153),"",IF(O153=Constants!$B$2,TRUE(),IF(O153=Constants!$B$3,FALSE(),TRUE())))</f>
        <v/>
      </c>
      <c r="AH153" s="87" t="str">
        <f aca="false">IF(ISBLANK($C153),"",IF(P153=Constants!$B$4,TRUE(),IF(P153=Constants!$B$5,FALSE(),COUNTA(Q153:S153)&gt;0)))</f>
        <v/>
      </c>
      <c r="AI153" s="88" t="str">
        <f aca="false">IF(ISBLANK($C153),"",IF(ISNUMBER(Q153),IF(Q153&gt;=0,Q153,""),""))</f>
        <v/>
      </c>
      <c r="AJ153" s="89" t="str">
        <f aca="false">IF(ISBLANK($C153),"",IF(ISNUMBER(R153),IF(R153&gt;=0,R153,""),""))</f>
        <v/>
      </c>
      <c r="AK153" s="87" t="str">
        <f aca="false">IF(ISBLANK($C153),"",IF(ISNUMBER(S153),IF(S153&gt;=0,MIN(S153,Constants!$B$22),""),""))</f>
        <v/>
      </c>
      <c r="AL153" s="87" t="str">
        <f aca="false">IF(ISBLANK($C153),"",IF(T153=Constants!$B$2,TRUE(),IF(T153=Constants!$B$3,FALSE(),FALSE())))</f>
        <v/>
      </c>
      <c r="AM153" s="86" t="str">
        <f aca="false">IF(ISBLANK($C153),"",AND($AB153,OR($AC153="",$AD153="",AND(NOT(ISBLANK($M153)),$AE153=""))))</f>
        <v/>
      </c>
      <c r="AN153" s="89" t="str">
        <f aca="false">IF($BD153&lt;&gt;Constants!$B$6,"",IF($AB153,Constants!$B$17*$AD153,Constants!$B$18))</f>
        <v/>
      </c>
      <c r="AO153" s="91" t="str">
        <f aca="false">IF($BD153&lt;&gt;Constants!$B$6,"",Constants!$B$19*IF($AB153,$AC153,0))</f>
        <v/>
      </c>
      <c r="AP153" s="91" t="str">
        <f aca="false">IF($BD153&lt;&gt;Constants!$B$6,"",IF(AND($AB153,ISNUMBER($AE153)),Constants!$B$20*(Constants!$B$21-$AE153),0))</f>
        <v/>
      </c>
      <c r="AQ153" s="91" t="str">
        <f aca="false">IF($BD153&lt;&gt;Constants!$B$6,"",IF($AA153,0,Constants!$B$12)+IF($Z153,0,Constants!$B$13)+IF($Y153,0,Constants!$B$14))</f>
        <v/>
      </c>
      <c r="AR153" s="92" t="str">
        <f aca="false">IF($BD153&lt;&gt;Constants!$B$6,"",Constants!$B$16+SUM($AN153:$AQ153))</f>
        <v/>
      </c>
      <c r="AS153" s="91" t="str">
        <f aca="false">IF($BD153&lt;&gt;Constants!$B$6,"",IF($AB153,$AD153,""))</f>
        <v/>
      </c>
      <c r="AT153" s="93" t="str">
        <f aca="false">IF($BD153&lt;&gt;Constants!$B$6,"",$AO153)</f>
        <v/>
      </c>
      <c r="AU153" s="87" t="str">
        <f aca="false">IF($BD153&lt;&gt;Constants!$B$6,"",IF(OR($BA153&lt;$AR153,AND($BA153=$AR153,OR(AND(ISNUMBER($BB153),OR(NOT(ISNUMBER($AS153)),$BB153&lt;$AS153)),AND(OR(AND($BB153="",$AS153=""),AND(ISNUMBER($BB153),ISNUMBER($AS153),$BB153=$AS153)),$BC153&lt;$AT153)))),"-&gt;","&lt;-"))</f>
        <v/>
      </c>
      <c r="AV153" s="86" t="str">
        <f aca="false">IF(ISBLANK($C153),"",AND($AH153,OR($AI153="",$AJ153="",AND(NOT(ISBLANK($S153)),$AK153=""))))</f>
        <v/>
      </c>
      <c r="AW153" s="89" t="str">
        <f aca="false">IF($BD153&lt;&gt;Constants!$B$6,"",IF($AH153,Constants!$B$17*$AJ153,Constants!$B$18))</f>
        <v/>
      </c>
      <c r="AX153" s="91" t="str">
        <f aca="false">IF($BD153&lt;&gt;Constants!$B$6,"",Constants!$B$19*IF($AH153,$AI153,0))</f>
        <v/>
      </c>
      <c r="AY153" s="91" t="str">
        <f aca="false">IF($BD153&lt;&gt;Constants!$B$6,"",IF(AND($AH153,ISNUMBER($AK153)),Constants!$B$20*(Constants!$B$21-$AK153),0))</f>
        <v/>
      </c>
      <c r="AZ153" s="91" t="str">
        <f aca="false">IF($BD153&lt;&gt;Constants!$B$6,"",IF($AG153,0,Constants!$B$12)+IF($AF153,0,Constants!$B$13)+IF($Y153,0,Constants!$B$14))</f>
        <v/>
      </c>
      <c r="BA153" s="92" t="str">
        <f aca="false">IF($BD153&lt;&gt;Constants!$B$6,"",Constants!$B$16+SUM($AW153:$AZ153))</f>
        <v/>
      </c>
      <c r="BB153" s="91" t="str">
        <f aca="false">IF($BD153&lt;&gt;Constants!$B$6,"",IF($AH153,$AJ153,""))</f>
        <v/>
      </c>
      <c r="BC153" s="93" t="str">
        <f aca="false">IF($BD153&lt;&gt;Constants!$B$6,"",$AX153)</f>
        <v/>
      </c>
      <c r="BD153" s="87" t="str">
        <f aca="false">IF(ISBLANK($C153),"",IF($AL153,Constants!$B$9,IF(COUNTA($E153:$T153)=0,Constants!$B$8,IF(NOT($X153),Constants!$B$7,IF(OR($AM153,$AV153),Constants!$B$10,Constants!$B$6)))))</f>
        <v/>
      </c>
      <c r="BE153" s="87" t="str">
        <f aca="false">IF(ISBLANK($C153),"",IF($BD153&lt;&gt;Constants!$B$6,$BD153,Constants!$B$11))</f>
        <v/>
      </c>
      <c r="BF153" s="91" t="str">
        <f aca="false">IF($BD153&lt;&gt;Constants!$B$6,"",IF($AU153="-&gt;",$BA153,$AR153))</f>
        <v/>
      </c>
      <c r="BG153" s="91" t="str">
        <f aca="false">IF($BD153&lt;&gt;Constants!$B$6,"",IF($W153,0,Constants!$B$15))</f>
        <v/>
      </c>
      <c r="BH153" s="91" t="str">
        <f aca="false">IF(ISBLANK($C153),"",IF($BD153&lt;&gt;Constants!$B$6,$BD153,SUM($BF153:$BG153)))</f>
        <v/>
      </c>
      <c r="BI153" s="87" t="str">
        <f aca="false">IF(ISBLANK($C153),"",IF($BD153&lt;&gt;Constants!$B$6,$BD153,RANK($BH153,$BH$9:$BH$508,1)))</f>
        <v/>
      </c>
      <c r="BJ153" s="91" t="str">
        <f aca="false">IF($BD153&lt;&gt;Constants!$B$6,"",IF($AU153="-&gt;",$BB153,$AS153))</f>
        <v/>
      </c>
      <c r="BK153" s="87" t="str">
        <f aca="false">IF(ISBLANK($C153),"",IF($BD153&lt;&gt;Constants!$B$6,$BD153,IF(ISNUMBER($BJ153),RANK($BJ153,$BJ$9:$BJ$508,1),COUNT($BJ$9:$BJ$508)+1)))</f>
        <v/>
      </c>
      <c r="BL153" s="91" t="str">
        <f aca="false">IF($BD153&lt;&gt;Constants!$B$6,"",IF($AU153="-&gt;",$BC153,$AT153))</f>
        <v/>
      </c>
      <c r="BM153" s="87" t="str">
        <f aca="false">IF(ISBLANK($C153),"",IF($BD153&lt;&gt;Constants!$B$6,$BD153,IF(ISNUMBER($BL153),RANK($BL153,$BL$9:$BL$508,1),COUNT($BL$9:$BL$508)+1)))</f>
        <v/>
      </c>
      <c r="BN153" s="91" t="str">
        <f aca="false">IF($BD153&lt;&gt;Constants!$B$6,"",IF($AU153="-&gt;",$AS153,$BB153))</f>
        <v/>
      </c>
      <c r="BO153" s="87" t="str">
        <f aca="false">IF(ISBLANK($C153),"",IF($BD153&lt;&gt;Constants!$B$6,$BD153,IF(ISNUMBER($BN153),RANK($BN153,$BN$9:$BN$508,1),COUNT($BN$9:$BN$508)+1)))</f>
        <v/>
      </c>
      <c r="BP153" s="91" t="str">
        <f aca="false">IF($BD153&lt;&gt;Constants!$B$6,"",IF($AU153="-&gt;",$AT153,$BC153))</f>
        <v/>
      </c>
      <c r="BQ153" s="87" t="str">
        <f aca="false">IF(ISBLANK($C153),"",IF($BD153&lt;&gt;Constants!$B$6,$BD153,IF(ISNUMBER($BP153),RANK($BP153,$BP$9:$BP$508,1),COUNT($BP$9:$BP$508)+1)))</f>
        <v/>
      </c>
      <c r="BR153" s="87" t="str">
        <f aca="false">IF(ISBLANK($C153),"",IF($BD153&lt;&gt;Constants!$B$6,$BD153,COUNTIFS($BI$9:$BI$508,"&lt;"&amp;$BI153)+COUNTIFS($BI$9:$BI$508,$BI153,$BK$9:$BK$508,"&lt;"&amp;$BK153)+COUNTIFS($BI$9:$BI$508,$BI153,$BK$9:$BK$508,$BK153,$BM$9:$BM$508,"&lt;"&amp;$BM153)+COUNTIFS($BI$9:$BI$508,$BI153,$BK$9:$BK$508,$BK153,$BM$9:$BM$508,$BM153,$BO$9:$BO$508,"&lt;"&amp;$BO153)+COUNTIFS($BI$9:$BI$508,$BI153,$BK$9:$BK$508,$BK153,$BM$9:$BM$508,$BM153,$BO$9:$BO$508,$BO153,$BQ$9:$BQ$508,"&lt;"&amp;$BQ153)+1))</f>
        <v/>
      </c>
      <c r="BS153" s="87" t="str">
        <f aca="false">IF(ISBLANK($C153),"",IF($BD153&lt;&gt;Constants!$B$6,$BD153,$BI153-$BR153))</f>
        <v/>
      </c>
      <c r="BT153" s="94"/>
      <c r="BU153" s="95"/>
      <c r="BV153" s="95" t="str">
        <f aca="false">IF(ISBLANK($C153),"",IF($BD153&lt;&gt;Constants!$B$6,"",IF($AU153="-&gt;",2,1)))</f>
        <v/>
      </c>
      <c r="BW153" s="96" t="str">
        <f aca="false">IF(ISBLANK($C153),"",IF($BD153&lt;&gt;Constants!$B$6,"",IF($AU153="-&gt;",$AW153,$AN153)))</f>
        <v/>
      </c>
      <c r="BX153" s="96" t="str">
        <f aca="false">IF(ISBLANK($C153),"",IF($BD153&lt;&gt;Constants!$B$6,"",IF($AU153="-&gt;",$AX153,$AO153)))</f>
        <v/>
      </c>
      <c r="BY153" s="96" t="str">
        <f aca="false">IF(ISBLANK($C153),"",IF($BD153&lt;&gt;Constants!$B$6,"",IF($AU153="-&gt;",$AY153,$AP153)))</f>
        <v/>
      </c>
      <c r="BZ153" s="96" t="str">
        <f aca="false">IF(ISBLANK($C153),"",IF($BD153&lt;&gt;Constants!$B$6,"",IF($AU153="-&gt;",$AZ153,$AQ153)+$BG153))</f>
        <v/>
      </c>
      <c r="CA153" s="97" t="str">
        <f aca="false">IF(ISBLANK($C153),"",IF($BD153&lt;&gt;Constants!$B$6,$BD153,$BH153))</f>
        <v/>
      </c>
      <c r="CB153" s="98" t="str">
        <f aca="false">IF(ISBLANK($C153),"",$BE153)</f>
        <v/>
      </c>
      <c r="CC153" s="99" t="str">
        <f aca="false">IF(ISBLANK($C153),"",$BS153)</f>
        <v/>
      </c>
      <c r="CD153" s="99" t="str">
        <f aca="false">IF(ISBLANK($C153),"",$BR153)</f>
        <v/>
      </c>
      <c r="CE153" s="100" t="str">
        <f aca="false">IF(ISBLANK($C153),"",IF($CD153=Constants!$B$9,COUNTA($C$9:$C$508)+2,IF($CD153=Constants!$B$8,COUNTA($C$9:$C$508)+1,IF($CD153=Constants!$B$7,COUNTA($C$9:$C$508),$CD153))))</f>
        <v/>
      </c>
      <c r="CF153" s="9"/>
      <c r="CG153" s="101" t="n">
        <f aca="false">IF(OR(ISNUMBER($CD153),$CD153=Constants!$B$9,$CD153=Constants!$B$7,$CD153=Constants!$B$8),1,0)</f>
        <v>0</v>
      </c>
      <c r="CH153" s="101" t="n">
        <v>145</v>
      </c>
      <c r="CI153" s="101" t="str">
        <f aca="false">IF(ISBLANK($C153),"",IF(ISNUMBER($CE153),$CE153+ROW($B153)/1000,""))</f>
        <v/>
      </c>
      <c r="CJ153" s="101" t="str">
        <f aca="false">IF(ISNUMBER($CI153),RANK($CI153,$CI$9:$CI$508,1),"")</f>
        <v/>
      </c>
      <c r="CK153" s="101" t="str">
        <f aca="false">IF(ISBLANK($C153),"",$B153)</f>
        <v/>
      </c>
      <c r="CL153" s="101" t="str">
        <f aca="false">IF(ISBLANK($C153),"",$C153)</f>
        <v/>
      </c>
      <c r="CM153" s="101" t="str">
        <f aca="false">IF(ISBLANK($C153),"",$D153)</f>
        <v/>
      </c>
      <c r="CN153" s="102" t="str">
        <f aca="false">$CB153</f>
        <v/>
      </c>
      <c r="CO153" s="103" t="str">
        <f aca="false">$CA153</f>
        <v/>
      </c>
      <c r="CP153" s="101" t="str">
        <f aca="false">IF(ISBLANK($C153),"",$CD153)</f>
        <v/>
      </c>
      <c r="CQ153" s="104" t="str">
        <f aca="false">IF($CH153&gt;$CG$8,"",VLOOKUP($CH153,$CJ$9:$CP$508,7,FALSE()))</f>
        <v/>
      </c>
      <c r="CR153" s="105" t="str">
        <f aca="false">IF($CH153&gt;$CG$8,"",VLOOKUP($CH153,$CJ$9:$CP$508,2,FALSE()))</f>
        <v/>
      </c>
      <c r="CS153" s="105" t="str">
        <f aca="false">IF($CH153&gt;$CG$8,"",VLOOKUP($CH153,$CJ$9:$CP$508,3,FALSE()))</f>
        <v/>
      </c>
      <c r="CT153" s="105" t="str">
        <f aca="false">IF($CH153&gt;$CG$8,"",VLOOKUP($CH153,$CJ$9:$CP$508,4,FALSE()))</f>
        <v/>
      </c>
      <c r="CU153" s="105" t="str">
        <f aca="false">IF($CH153&gt;$CG$8,"",VLOOKUP($CH153,$CJ$9:$CP$508,5,FALSE()))</f>
        <v/>
      </c>
      <c r="CV153" s="106" t="str">
        <f aca="false">IF($CH153&gt;$CG$8,"",VLOOKUP($CH153,$CJ$9:$CP$508,6,FALSE()))</f>
        <v/>
      </c>
      <c r="CW153" s="71"/>
    </row>
    <row r="154" customFormat="false" ht="15.75" hidden="false" customHeight="false" outlineLevel="0" collapsed="false">
      <c r="A154" s="9"/>
      <c r="B154" s="72"/>
      <c r="C154" s="73"/>
      <c r="D154" s="160"/>
      <c r="E154" s="168"/>
      <c r="F154" s="162"/>
      <c r="G154" s="163"/>
      <c r="H154" s="169"/>
      <c r="I154" s="167"/>
      <c r="J154" s="80"/>
      <c r="K154" s="81"/>
      <c r="L154" s="82"/>
      <c r="M154" s="166"/>
      <c r="N154" s="167"/>
      <c r="O154" s="167"/>
      <c r="P154" s="80"/>
      <c r="Q154" s="82"/>
      <c r="R154" s="82"/>
      <c r="S154" s="166"/>
      <c r="T154" s="167"/>
      <c r="U154" s="86"/>
      <c r="V154" s="87"/>
      <c r="W154" s="87" t="str">
        <f aca="false">IF(ISBLANK($C154),"",IF(E154=Constants!$B$2,TRUE(),IF(E154=Constants!$B$3,FALSE(),TRUE())))</f>
        <v/>
      </c>
      <c r="X154" s="87" t="str">
        <f aca="false">IF(ISBLANK($C154),"",IF(F154=Constants!$B$2,TRUE(),IF(F154=Constants!$B$3,FALSE(),TRUE())))</f>
        <v/>
      </c>
      <c r="Y154" s="87" t="str">
        <f aca="false">IF(ISBLANK($C154),"",IF(G154=Constants!$B$2,TRUE(),IF(G154=Constants!$B$3,FALSE(),TRUE())))</f>
        <v/>
      </c>
      <c r="Z154" s="87" t="str">
        <f aca="false">IF(ISBLANK($C154),"",IF(H154=Constants!$B$2,TRUE(),IF(H154=Constants!$B$3,FALSE(),TRUE())))</f>
        <v/>
      </c>
      <c r="AA154" s="87" t="str">
        <f aca="false">IF(ISBLANK($C154),"",IF(I154=Constants!$B$2,TRUE(),IF(I154=Constants!$B$3,FALSE(),TRUE())))</f>
        <v/>
      </c>
      <c r="AB154" s="87" t="str">
        <f aca="false">IF(ISBLANK($C154),"",IF(J154=Constants!$B$4,TRUE(),IF(J154=Constants!$B$5,FALSE(),COUNTA(K154:M154)&gt;0)))</f>
        <v/>
      </c>
      <c r="AC154" s="88" t="str">
        <f aca="false">IF(ISBLANK($C154),"",IF(ISNUMBER(K154),IF(K154&gt;=0,K154,""),""))</f>
        <v/>
      </c>
      <c r="AD154" s="89" t="str">
        <f aca="false">IF(ISBLANK($C154),"",IF(ISNUMBER(L154),IF(L154&gt;=0,L154,""),""))</f>
        <v/>
      </c>
      <c r="AE154" s="87" t="str">
        <f aca="false">IF(ISBLANK($C154),"",IF(ISNUMBER(M154),IF(M154&gt;=0,MIN(M154,Constants!$B$22),""),""))</f>
        <v/>
      </c>
      <c r="AF154" s="87" t="str">
        <f aca="false">IF(ISBLANK($C154),"",IF(N154=Constants!$B$2,TRUE(),IF(N154=Constants!$B$3,FALSE(),TRUE())))</f>
        <v/>
      </c>
      <c r="AG154" s="87" t="str">
        <f aca="false">IF(ISBLANK($C154),"",IF(O154=Constants!$B$2,TRUE(),IF(O154=Constants!$B$3,FALSE(),TRUE())))</f>
        <v/>
      </c>
      <c r="AH154" s="87" t="str">
        <f aca="false">IF(ISBLANK($C154),"",IF(P154=Constants!$B$4,TRUE(),IF(P154=Constants!$B$5,FALSE(),COUNTA(Q154:S154)&gt;0)))</f>
        <v/>
      </c>
      <c r="AI154" s="88" t="str">
        <f aca="false">IF(ISBLANK($C154),"",IF(ISNUMBER(Q154),IF(Q154&gt;=0,Q154,""),""))</f>
        <v/>
      </c>
      <c r="AJ154" s="89" t="str">
        <f aca="false">IF(ISBLANK($C154),"",IF(ISNUMBER(R154),IF(R154&gt;=0,R154,""),""))</f>
        <v/>
      </c>
      <c r="AK154" s="87" t="str">
        <f aca="false">IF(ISBLANK($C154),"",IF(ISNUMBER(S154),IF(S154&gt;=0,MIN(S154,Constants!$B$22),""),""))</f>
        <v/>
      </c>
      <c r="AL154" s="87" t="str">
        <f aca="false">IF(ISBLANK($C154),"",IF(T154=Constants!$B$2,TRUE(),IF(T154=Constants!$B$3,FALSE(),FALSE())))</f>
        <v/>
      </c>
      <c r="AM154" s="86" t="str">
        <f aca="false">IF(ISBLANK($C154),"",AND($AB154,OR($AC154="",$AD154="",AND(NOT(ISBLANK($M154)),$AE154=""))))</f>
        <v/>
      </c>
      <c r="AN154" s="89" t="str">
        <f aca="false">IF($BD154&lt;&gt;Constants!$B$6,"",IF($AB154,Constants!$B$17*$AD154,Constants!$B$18))</f>
        <v/>
      </c>
      <c r="AO154" s="91" t="str">
        <f aca="false">IF($BD154&lt;&gt;Constants!$B$6,"",Constants!$B$19*IF($AB154,$AC154,0))</f>
        <v/>
      </c>
      <c r="AP154" s="91" t="str">
        <f aca="false">IF($BD154&lt;&gt;Constants!$B$6,"",IF(AND($AB154,ISNUMBER($AE154)),Constants!$B$20*(Constants!$B$21-$AE154),0))</f>
        <v/>
      </c>
      <c r="AQ154" s="91" t="str">
        <f aca="false">IF($BD154&lt;&gt;Constants!$B$6,"",IF($AA154,0,Constants!$B$12)+IF($Z154,0,Constants!$B$13)+IF($Y154,0,Constants!$B$14))</f>
        <v/>
      </c>
      <c r="AR154" s="92" t="str">
        <f aca="false">IF($BD154&lt;&gt;Constants!$B$6,"",Constants!$B$16+SUM($AN154:$AQ154))</f>
        <v/>
      </c>
      <c r="AS154" s="91" t="str">
        <f aca="false">IF($BD154&lt;&gt;Constants!$B$6,"",IF($AB154,$AD154,""))</f>
        <v/>
      </c>
      <c r="AT154" s="93" t="str">
        <f aca="false">IF($BD154&lt;&gt;Constants!$B$6,"",$AO154)</f>
        <v/>
      </c>
      <c r="AU154" s="87" t="str">
        <f aca="false">IF($BD154&lt;&gt;Constants!$B$6,"",IF(OR($BA154&lt;$AR154,AND($BA154=$AR154,OR(AND(ISNUMBER($BB154),OR(NOT(ISNUMBER($AS154)),$BB154&lt;$AS154)),AND(OR(AND($BB154="",$AS154=""),AND(ISNUMBER($BB154),ISNUMBER($AS154),$BB154=$AS154)),$BC154&lt;$AT154)))),"-&gt;","&lt;-"))</f>
        <v/>
      </c>
      <c r="AV154" s="86" t="str">
        <f aca="false">IF(ISBLANK($C154),"",AND($AH154,OR($AI154="",$AJ154="",AND(NOT(ISBLANK($S154)),$AK154=""))))</f>
        <v/>
      </c>
      <c r="AW154" s="89" t="str">
        <f aca="false">IF($BD154&lt;&gt;Constants!$B$6,"",IF($AH154,Constants!$B$17*$AJ154,Constants!$B$18))</f>
        <v/>
      </c>
      <c r="AX154" s="91" t="str">
        <f aca="false">IF($BD154&lt;&gt;Constants!$B$6,"",Constants!$B$19*IF($AH154,$AI154,0))</f>
        <v/>
      </c>
      <c r="AY154" s="91" t="str">
        <f aca="false">IF($BD154&lt;&gt;Constants!$B$6,"",IF(AND($AH154,ISNUMBER($AK154)),Constants!$B$20*(Constants!$B$21-$AK154),0))</f>
        <v/>
      </c>
      <c r="AZ154" s="91" t="str">
        <f aca="false">IF($BD154&lt;&gt;Constants!$B$6,"",IF($AG154,0,Constants!$B$12)+IF($AF154,0,Constants!$B$13)+IF($Y154,0,Constants!$B$14))</f>
        <v/>
      </c>
      <c r="BA154" s="92" t="str">
        <f aca="false">IF($BD154&lt;&gt;Constants!$B$6,"",Constants!$B$16+SUM($AW154:$AZ154))</f>
        <v/>
      </c>
      <c r="BB154" s="91" t="str">
        <f aca="false">IF($BD154&lt;&gt;Constants!$B$6,"",IF($AH154,$AJ154,""))</f>
        <v/>
      </c>
      <c r="BC154" s="93" t="str">
        <f aca="false">IF($BD154&lt;&gt;Constants!$B$6,"",$AX154)</f>
        <v/>
      </c>
      <c r="BD154" s="87" t="str">
        <f aca="false">IF(ISBLANK($C154),"",IF($AL154,Constants!$B$9,IF(COUNTA($E154:$T154)=0,Constants!$B$8,IF(NOT($X154),Constants!$B$7,IF(OR($AM154,$AV154),Constants!$B$10,Constants!$B$6)))))</f>
        <v/>
      </c>
      <c r="BE154" s="87" t="str">
        <f aca="false">IF(ISBLANK($C154),"",IF($BD154&lt;&gt;Constants!$B$6,$BD154,Constants!$B$11))</f>
        <v/>
      </c>
      <c r="BF154" s="91" t="str">
        <f aca="false">IF($BD154&lt;&gt;Constants!$B$6,"",IF($AU154="-&gt;",$BA154,$AR154))</f>
        <v/>
      </c>
      <c r="BG154" s="91" t="str">
        <f aca="false">IF($BD154&lt;&gt;Constants!$B$6,"",IF($W154,0,Constants!$B$15))</f>
        <v/>
      </c>
      <c r="BH154" s="91" t="str">
        <f aca="false">IF(ISBLANK($C154),"",IF($BD154&lt;&gt;Constants!$B$6,$BD154,SUM($BF154:$BG154)))</f>
        <v/>
      </c>
      <c r="BI154" s="87" t="str">
        <f aca="false">IF(ISBLANK($C154),"",IF($BD154&lt;&gt;Constants!$B$6,$BD154,RANK($BH154,$BH$9:$BH$508,1)))</f>
        <v/>
      </c>
      <c r="BJ154" s="91" t="str">
        <f aca="false">IF($BD154&lt;&gt;Constants!$B$6,"",IF($AU154="-&gt;",$BB154,$AS154))</f>
        <v/>
      </c>
      <c r="BK154" s="87" t="str">
        <f aca="false">IF(ISBLANK($C154),"",IF($BD154&lt;&gt;Constants!$B$6,$BD154,IF(ISNUMBER($BJ154),RANK($BJ154,$BJ$9:$BJ$508,1),COUNT($BJ$9:$BJ$508)+1)))</f>
        <v/>
      </c>
      <c r="BL154" s="91" t="str">
        <f aca="false">IF($BD154&lt;&gt;Constants!$B$6,"",IF($AU154="-&gt;",$BC154,$AT154))</f>
        <v/>
      </c>
      <c r="BM154" s="87" t="str">
        <f aca="false">IF(ISBLANK($C154),"",IF($BD154&lt;&gt;Constants!$B$6,$BD154,IF(ISNUMBER($BL154),RANK($BL154,$BL$9:$BL$508,1),COUNT($BL$9:$BL$508)+1)))</f>
        <v/>
      </c>
      <c r="BN154" s="91" t="str">
        <f aca="false">IF($BD154&lt;&gt;Constants!$B$6,"",IF($AU154="-&gt;",$AS154,$BB154))</f>
        <v/>
      </c>
      <c r="BO154" s="87" t="str">
        <f aca="false">IF(ISBLANK($C154),"",IF($BD154&lt;&gt;Constants!$B$6,$BD154,IF(ISNUMBER($BN154),RANK($BN154,$BN$9:$BN$508,1),COUNT($BN$9:$BN$508)+1)))</f>
        <v/>
      </c>
      <c r="BP154" s="91" t="str">
        <f aca="false">IF($BD154&lt;&gt;Constants!$B$6,"",IF($AU154="-&gt;",$AT154,$BC154))</f>
        <v/>
      </c>
      <c r="BQ154" s="87" t="str">
        <f aca="false">IF(ISBLANK($C154),"",IF($BD154&lt;&gt;Constants!$B$6,$BD154,IF(ISNUMBER($BP154),RANK($BP154,$BP$9:$BP$508,1),COUNT($BP$9:$BP$508)+1)))</f>
        <v/>
      </c>
      <c r="BR154" s="87" t="str">
        <f aca="false">IF(ISBLANK($C154),"",IF($BD154&lt;&gt;Constants!$B$6,$BD154,COUNTIFS($BI$9:$BI$508,"&lt;"&amp;$BI154)+COUNTIFS($BI$9:$BI$508,$BI154,$BK$9:$BK$508,"&lt;"&amp;$BK154)+COUNTIFS($BI$9:$BI$508,$BI154,$BK$9:$BK$508,$BK154,$BM$9:$BM$508,"&lt;"&amp;$BM154)+COUNTIFS($BI$9:$BI$508,$BI154,$BK$9:$BK$508,$BK154,$BM$9:$BM$508,$BM154,$BO$9:$BO$508,"&lt;"&amp;$BO154)+COUNTIFS($BI$9:$BI$508,$BI154,$BK$9:$BK$508,$BK154,$BM$9:$BM$508,$BM154,$BO$9:$BO$508,$BO154,$BQ$9:$BQ$508,"&lt;"&amp;$BQ154)+1))</f>
        <v/>
      </c>
      <c r="BS154" s="87" t="str">
        <f aca="false">IF(ISBLANK($C154),"",IF($BD154&lt;&gt;Constants!$B$6,$BD154,$BI154-$BR154))</f>
        <v/>
      </c>
      <c r="BT154" s="94"/>
      <c r="BU154" s="95"/>
      <c r="BV154" s="95" t="str">
        <f aca="false">IF(ISBLANK($C154),"",IF($BD154&lt;&gt;Constants!$B$6,"",IF($AU154="-&gt;",2,1)))</f>
        <v/>
      </c>
      <c r="BW154" s="96" t="str">
        <f aca="false">IF(ISBLANK($C154),"",IF($BD154&lt;&gt;Constants!$B$6,"",IF($AU154="-&gt;",$AW154,$AN154)))</f>
        <v/>
      </c>
      <c r="BX154" s="96" t="str">
        <f aca="false">IF(ISBLANK($C154),"",IF($BD154&lt;&gt;Constants!$B$6,"",IF($AU154="-&gt;",$AX154,$AO154)))</f>
        <v/>
      </c>
      <c r="BY154" s="96" t="str">
        <f aca="false">IF(ISBLANK($C154),"",IF($BD154&lt;&gt;Constants!$B$6,"",IF($AU154="-&gt;",$AY154,$AP154)))</f>
        <v/>
      </c>
      <c r="BZ154" s="96" t="str">
        <f aca="false">IF(ISBLANK($C154),"",IF($BD154&lt;&gt;Constants!$B$6,"",IF($AU154="-&gt;",$AZ154,$AQ154)+$BG154))</f>
        <v/>
      </c>
      <c r="CA154" s="97" t="str">
        <f aca="false">IF(ISBLANK($C154),"",IF($BD154&lt;&gt;Constants!$B$6,$BD154,$BH154))</f>
        <v/>
      </c>
      <c r="CB154" s="98" t="str">
        <f aca="false">IF(ISBLANK($C154),"",$BE154)</f>
        <v/>
      </c>
      <c r="CC154" s="99" t="str">
        <f aca="false">IF(ISBLANK($C154),"",$BS154)</f>
        <v/>
      </c>
      <c r="CD154" s="99" t="str">
        <f aca="false">IF(ISBLANK($C154),"",$BR154)</f>
        <v/>
      </c>
      <c r="CE154" s="100" t="str">
        <f aca="false">IF(ISBLANK($C154),"",IF($CD154=Constants!$B$9,COUNTA($C$9:$C$508)+2,IF($CD154=Constants!$B$8,COUNTA($C$9:$C$508)+1,IF($CD154=Constants!$B$7,COUNTA($C$9:$C$508),$CD154))))</f>
        <v/>
      </c>
      <c r="CF154" s="9"/>
      <c r="CG154" s="101" t="n">
        <f aca="false">IF(OR(ISNUMBER($CD154),$CD154=Constants!$B$9,$CD154=Constants!$B$7,$CD154=Constants!$B$8),1,0)</f>
        <v>0</v>
      </c>
      <c r="CH154" s="101" t="n">
        <v>146</v>
      </c>
      <c r="CI154" s="101" t="str">
        <f aca="false">IF(ISBLANK($C154),"",IF(ISNUMBER($CE154),$CE154+ROW($B154)/1000,""))</f>
        <v/>
      </c>
      <c r="CJ154" s="101" t="str">
        <f aca="false">IF(ISNUMBER($CI154),RANK($CI154,$CI$9:$CI$508,1),"")</f>
        <v/>
      </c>
      <c r="CK154" s="101" t="str">
        <f aca="false">IF(ISBLANK($C154),"",$B154)</f>
        <v/>
      </c>
      <c r="CL154" s="101" t="str">
        <f aca="false">IF(ISBLANK($C154),"",$C154)</f>
        <v/>
      </c>
      <c r="CM154" s="101" t="str">
        <f aca="false">IF(ISBLANK($C154),"",$D154)</f>
        <v/>
      </c>
      <c r="CN154" s="102" t="str">
        <f aca="false">$CB154</f>
        <v/>
      </c>
      <c r="CO154" s="103" t="str">
        <f aca="false">$CA154</f>
        <v/>
      </c>
      <c r="CP154" s="101" t="str">
        <f aca="false">IF(ISBLANK($C154),"",$CD154)</f>
        <v/>
      </c>
      <c r="CQ154" s="104" t="str">
        <f aca="false">IF($CH154&gt;$CG$8,"",VLOOKUP($CH154,$CJ$9:$CP$508,7,FALSE()))</f>
        <v/>
      </c>
      <c r="CR154" s="105" t="str">
        <f aca="false">IF($CH154&gt;$CG$8,"",VLOOKUP($CH154,$CJ$9:$CP$508,2,FALSE()))</f>
        <v/>
      </c>
      <c r="CS154" s="105" t="str">
        <f aca="false">IF($CH154&gt;$CG$8,"",VLOOKUP($CH154,$CJ$9:$CP$508,3,FALSE()))</f>
        <v/>
      </c>
      <c r="CT154" s="105" t="str">
        <f aca="false">IF($CH154&gt;$CG$8,"",VLOOKUP($CH154,$CJ$9:$CP$508,4,FALSE()))</f>
        <v/>
      </c>
      <c r="CU154" s="105" t="str">
        <f aca="false">IF($CH154&gt;$CG$8,"",VLOOKUP($CH154,$CJ$9:$CP$508,5,FALSE()))</f>
        <v/>
      </c>
      <c r="CV154" s="106" t="str">
        <f aca="false">IF($CH154&gt;$CG$8,"",VLOOKUP($CH154,$CJ$9:$CP$508,6,FALSE()))</f>
        <v/>
      </c>
      <c r="CW154" s="71"/>
    </row>
    <row r="155" customFormat="false" ht="15.75" hidden="false" customHeight="false" outlineLevel="0" collapsed="false">
      <c r="A155" s="9"/>
      <c r="B155" s="72"/>
      <c r="C155" s="73"/>
      <c r="D155" s="160"/>
      <c r="E155" s="168"/>
      <c r="F155" s="162"/>
      <c r="G155" s="163"/>
      <c r="H155" s="169"/>
      <c r="I155" s="167"/>
      <c r="J155" s="80"/>
      <c r="K155" s="81"/>
      <c r="L155" s="82"/>
      <c r="M155" s="166"/>
      <c r="N155" s="167"/>
      <c r="O155" s="167"/>
      <c r="P155" s="80"/>
      <c r="Q155" s="82"/>
      <c r="R155" s="82"/>
      <c r="S155" s="166"/>
      <c r="T155" s="167"/>
      <c r="U155" s="86"/>
      <c r="V155" s="87"/>
      <c r="W155" s="87" t="str">
        <f aca="false">IF(ISBLANK($C155),"",IF(E155=Constants!$B$2,TRUE(),IF(E155=Constants!$B$3,FALSE(),TRUE())))</f>
        <v/>
      </c>
      <c r="X155" s="87" t="str">
        <f aca="false">IF(ISBLANK($C155),"",IF(F155=Constants!$B$2,TRUE(),IF(F155=Constants!$B$3,FALSE(),TRUE())))</f>
        <v/>
      </c>
      <c r="Y155" s="87" t="str">
        <f aca="false">IF(ISBLANK($C155),"",IF(G155=Constants!$B$2,TRUE(),IF(G155=Constants!$B$3,FALSE(),TRUE())))</f>
        <v/>
      </c>
      <c r="Z155" s="87" t="str">
        <f aca="false">IF(ISBLANK($C155),"",IF(H155=Constants!$B$2,TRUE(),IF(H155=Constants!$B$3,FALSE(),TRUE())))</f>
        <v/>
      </c>
      <c r="AA155" s="87" t="str">
        <f aca="false">IF(ISBLANK($C155),"",IF(I155=Constants!$B$2,TRUE(),IF(I155=Constants!$B$3,FALSE(),TRUE())))</f>
        <v/>
      </c>
      <c r="AB155" s="87" t="str">
        <f aca="false">IF(ISBLANK($C155),"",IF(J155=Constants!$B$4,TRUE(),IF(J155=Constants!$B$5,FALSE(),COUNTA(K155:M155)&gt;0)))</f>
        <v/>
      </c>
      <c r="AC155" s="88" t="str">
        <f aca="false">IF(ISBLANK($C155),"",IF(ISNUMBER(K155),IF(K155&gt;=0,K155,""),""))</f>
        <v/>
      </c>
      <c r="AD155" s="89" t="str">
        <f aca="false">IF(ISBLANK($C155),"",IF(ISNUMBER(L155),IF(L155&gt;=0,L155,""),""))</f>
        <v/>
      </c>
      <c r="AE155" s="87" t="str">
        <f aca="false">IF(ISBLANK($C155),"",IF(ISNUMBER(M155),IF(M155&gt;=0,MIN(M155,Constants!$B$22),""),""))</f>
        <v/>
      </c>
      <c r="AF155" s="87" t="str">
        <f aca="false">IF(ISBLANK($C155),"",IF(N155=Constants!$B$2,TRUE(),IF(N155=Constants!$B$3,FALSE(),TRUE())))</f>
        <v/>
      </c>
      <c r="AG155" s="87" t="str">
        <f aca="false">IF(ISBLANK($C155),"",IF(O155=Constants!$B$2,TRUE(),IF(O155=Constants!$B$3,FALSE(),TRUE())))</f>
        <v/>
      </c>
      <c r="AH155" s="87" t="str">
        <f aca="false">IF(ISBLANK($C155),"",IF(P155=Constants!$B$4,TRUE(),IF(P155=Constants!$B$5,FALSE(),COUNTA(Q155:S155)&gt;0)))</f>
        <v/>
      </c>
      <c r="AI155" s="88" t="str">
        <f aca="false">IF(ISBLANK($C155),"",IF(ISNUMBER(Q155),IF(Q155&gt;=0,Q155,""),""))</f>
        <v/>
      </c>
      <c r="AJ155" s="89" t="str">
        <f aca="false">IF(ISBLANK($C155),"",IF(ISNUMBER(R155),IF(R155&gt;=0,R155,""),""))</f>
        <v/>
      </c>
      <c r="AK155" s="87" t="str">
        <f aca="false">IF(ISBLANK($C155),"",IF(ISNUMBER(S155),IF(S155&gt;=0,MIN(S155,Constants!$B$22),""),""))</f>
        <v/>
      </c>
      <c r="AL155" s="87" t="str">
        <f aca="false">IF(ISBLANK($C155),"",IF(T155=Constants!$B$2,TRUE(),IF(T155=Constants!$B$3,FALSE(),FALSE())))</f>
        <v/>
      </c>
      <c r="AM155" s="86" t="str">
        <f aca="false">IF(ISBLANK($C155),"",AND($AB155,OR($AC155="",$AD155="",AND(NOT(ISBLANK($M155)),$AE155=""))))</f>
        <v/>
      </c>
      <c r="AN155" s="89" t="str">
        <f aca="false">IF($BD155&lt;&gt;Constants!$B$6,"",IF($AB155,Constants!$B$17*$AD155,Constants!$B$18))</f>
        <v/>
      </c>
      <c r="AO155" s="91" t="str">
        <f aca="false">IF($BD155&lt;&gt;Constants!$B$6,"",Constants!$B$19*IF($AB155,$AC155,0))</f>
        <v/>
      </c>
      <c r="AP155" s="91" t="str">
        <f aca="false">IF($BD155&lt;&gt;Constants!$B$6,"",IF(AND($AB155,ISNUMBER($AE155)),Constants!$B$20*(Constants!$B$21-$AE155),0))</f>
        <v/>
      </c>
      <c r="AQ155" s="91" t="str">
        <f aca="false">IF($BD155&lt;&gt;Constants!$B$6,"",IF($AA155,0,Constants!$B$12)+IF($Z155,0,Constants!$B$13)+IF($Y155,0,Constants!$B$14))</f>
        <v/>
      </c>
      <c r="AR155" s="92" t="str">
        <f aca="false">IF($BD155&lt;&gt;Constants!$B$6,"",Constants!$B$16+SUM($AN155:$AQ155))</f>
        <v/>
      </c>
      <c r="AS155" s="91" t="str">
        <f aca="false">IF($BD155&lt;&gt;Constants!$B$6,"",IF($AB155,$AD155,""))</f>
        <v/>
      </c>
      <c r="AT155" s="93" t="str">
        <f aca="false">IF($BD155&lt;&gt;Constants!$B$6,"",$AO155)</f>
        <v/>
      </c>
      <c r="AU155" s="87" t="str">
        <f aca="false">IF($BD155&lt;&gt;Constants!$B$6,"",IF(OR($BA155&lt;$AR155,AND($BA155=$AR155,OR(AND(ISNUMBER($BB155),OR(NOT(ISNUMBER($AS155)),$BB155&lt;$AS155)),AND(OR(AND($BB155="",$AS155=""),AND(ISNUMBER($BB155),ISNUMBER($AS155),$BB155=$AS155)),$BC155&lt;$AT155)))),"-&gt;","&lt;-"))</f>
        <v/>
      </c>
      <c r="AV155" s="86" t="str">
        <f aca="false">IF(ISBLANK($C155),"",AND($AH155,OR($AI155="",$AJ155="",AND(NOT(ISBLANK($S155)),$AK155=""))))</f>
        <v/>
      </c>
      <c r="AW155" s="89" t="str">
        <f aca="false">IF($BD155&lt;&gt;Constants!$B$6,"",IF($AH155,Constants!$B$17*$AJ155,Constants!$B$18))</f>
        <v/>
      </c>
      <c r="AX155" s="91" t="str">
        <f aca="false">IF($BD155&lt;&gt;Constants!$B$6,"",Constants!$B$19*IF($AH155,$AI155,0))</f>
        <v/>
      </c>
      <c r="AY155" s="91" t="str">
        <f aca="false">IF($BD155&lt;&gt;Constants!$B$6,"",IF(AND($AH155,ISNUMBER($AK155)),Constants!$B$20*(Constants!$B$21-$AK155),0))</f>
        <v/>
      </c>
      <c r="AZ155" s="91" t="str">
        <f aca="false">IF($BD155&lt;&gt;Constants!$B$6,"",IF($AG155,0,Constants!$B$12)+IF($AF155,0,Constants!$B$13)+IF($Y155,0,Constants!$B$14))</f>
        <v/>
      </c>
      <c r="BA155" s="92" t="str">
        <f aca="false">IF($BD155&lt;&gt;Constants!$B$6,"",Constants!$B$16+SUM($AW155:$AZ155))</f>
        <v/>
      </c>
      <c r="BB155" s="91" t="str">
        <f aca="false">IF($BD155&lt;&gt;Constants!$B$6,"",IF($AH155,$AJ155,""))</f>
        <v/>
      </c>
      <c r="BC155" s="93" t="str">
        <f aca="false">IF($BD155&lt;&gt;Constants!$B$6,"",$AX155)</f>
        <v/>
      </c>
      <c r="BD155" s="87" t="str">
        <f aca="false">IF(ISBLANK($C155),"",IF($AL155,Constants!$B$9,IF(COUNTA($E155:$T155)=0,Constants!$B$8,IF(NOT($X155),Constants!$B$7,IF(OR($AM155,$AV155),Constants!$B$10,Constants!$B$6)))))</f>
        <v/>
      </c>
      <c r="BE155" s="87" t="str">
        <f aca="false">IF(ISBLANK($C155),"",IF($BD155&lt;&gt;Constants!$B$6,$BD155,Constants!$B$11))</f>
        <v/>
      </c>
      <c r="BF155" s="91" t="str">
        <f aca="false">IF($BD155&lt;&gt;Constants!$B$6,"",IF($AU155="-&gt;",$BA155,$AR155))</f>
        <v/>
      </c>
      <c r="BG155" s="91" t="str">
        <f aca="false">IF($BD155&lt;&gt;Constants!$B$6,"",IF($W155,0,Constants!$B$15))</f>
        <v/>
      </c>
      <c r="BH155" s="91" t="str">
        <f aca="false">IF(ISBLANK($C155),"",IF($BD155&lt;&gt;Constants!$B$6,$BD155,SUM($BF155:$BG155)))</f>
        <v/>
      </c>
      <c r="BI155" s="87" t="str">
        <f aca="false">IF(ISBLANK($C155),"",IF($BD155&lt;&gt;Constants!$B$6,$BD155,RANK($BH155,$BH$9:$BH$508,1)))</f>
        <v/>
      </c>
      <c r="BJ155" s="91" t="str">
        <f aca="false">IF($BD155&lt;&gt;Constants!$B$6,"",IF($AU155="-&gt;",$BB155,$AS155))</f>
        <v/>
      </c>
      <c r="BK155" s="87" t="str">
        <f aca="false">IF(ISBLANK($C155),"",IF($BD155&lt;&gt;Constants!$B$6,$BD155,IF(ISNUMBER($BJ155),RANK($BJ155,$BJ$9:$BJ$508,1),COUNT($BJ$9:$BJ$508)+1)))</f>
        <v/>
      </c>
      <c r="BL155" s="91" t="str">
        <f aca="false">IF($BD155&lt;&gt;Constants!$B$6,"",IF($AU155="-&gt;",$BC155,$AT155))</f>
        <v/>
      </c>
      <c r="BM155" s="87" t="str">
        <f aca="false">IF(ISBLANK($C155),"",IF($BD155&lt;&gt;Constants!$B$6,$BD155,IF(ISNUMBER($BL155),RANK($BL155,$BL$9:$BL$508,1),COUNT($BL$9:$BL$508)+1)))</f>
        <v/>
      </c>
      <c r="BN155" s="91" t="str">
        <f aca="false">IF($BD155&lt;&gt;Constants!$B$6,"",IF($AU155="-&gt;",$AS155,$BB155))</f>
        <v/>
      </c>
      <c r="BO155" s="87" t="str">
        <f aca="false">IF(ISBLANK($C155),"",IF($BD155&lt;&gt;Constants!$B$6,$BD155,IF(ISNUMBER($BN155),RANK($BN155,$BN$9:$BN$508,1),COUNT($BN$9:$BN$508)+1)))</f>
        <v/>
      </c>
      <c r="BP155" s="91" t="str">
        <f aca="false">IF($BD155&lt;&gt;Constants!$B$6,"",IF($AU155="-&gt;",$AT155,$BC155))</f>
        <v/>
      </c>
      <c r="BQ155" s="87" t="str">
        <f aca="false">IF(ISBLANK($C155),"",IF($BD155&lt;&gt;Constants!$B$6,$BD155,IF(ISNUMBER($BP155),RANK($BP155,$BP$9:$BP$508,1),COUNT($BP$9:$BP$508)+1)))</f>
        <v/>
      </c>
      <c r="BR155" s="87" t="str">
        <f aca="false">IF(ISBLANK($C155),"",IF($BD155&lt;&gt;Constants!$B$6,$BD155,COUNTIFS($BI$9:$BI$508,"&lt;"&amp;$BI155)+COUNTIFS($BI$9:$BI$508,$BI155,$BK$9:$BK$508,"&lt;"&amp;$BK155)+COUNTIFS($BI$9:$BI$508,$BI155,$BK$9:$BK$508,$BK155,$BM$9:$BM$508,"&lt;"&amp;$BM155)+COUNTIFS($BI$9:$BI$508,$BI155,$BK$9:$BK$508,$BK155,$BM$9:$BM$508,$BM155,$BO$9:$BO$508,"&lt;"&amp;$BO155)+COUNTIFS($BI$9:$BI$508,$BI155,$BK$9:$BK$508,$BK155,$BM$9:$BM$508,$BM155,$BO$9:$BO$508,$BO155,$BQ$9:$BQ$508,"&lt;"&amp;$BQ155)+1))</f>
        <v/>
      </c>
      <c r="BS155" s="87" t="str">
        <f aca="false">IF(ISBLANK($C155),"",IF($BD155&lt;&gt;Constants!$B$6,$BD155,$BI155-$BR155))</f>
        <v/>
      </c>
      <c r="BT155" s="94"/>
      <c r="BU155" s="95"/>
      <c r="BV155" s="95" t="str">
        <f aca="false">IF(ISBLANK($C155),"",IF($BD155&lt;&gt;Constants!$B$6,"",IF($AU155="-&gt;",2,1)))</f>
        <v/>
      </c>
      <c r="BW155" s="96" t="str">
        <f aca="false">IF(ISBLANK($C155),"",IF($BD155&lt;&gt;Constants!$B$6,"",IF($AU155="-&gt;",$AW155,$AN155)))</f>
        <v/>
      </c>
      <c r="BX155" s="96" t="str">
        <f aca="false">IF(ISBLANK($C155),"",IF($BD155&lt;&gt;Constants!$B$6,"",IF($AU155="-&gt;",$AX155,$AO155)))</f>
        <v/>
      </c>
      <c r="BY155" s="96" t="str">
        <f aca="false">IF(ISBLANK($C155),"",IF($BD155&lt;&gt;Constants!$B$6,"",IF($AU155="-&gt;",$AY155,$AP155)))</f>
        <v/>
      </c>
      <c r="BZ155" s="96" t="str">
        <f aca="false">IF(ISBLANK($C155),"",IF($BD155&lt;&gt;Constants!$B$6,"",IF($AU155="-&gt;",$AZ155,$AQ155)+$BG155))</f>
        <v/>
      </c>
      <c r="CA155" s="97" t="str">
        <f aca="false">IF(ISBLANK($C155),"",IF($BD155&lt;&gt;Constants!$B$6,$BD155,$BH155))</f>
        <v/>
      </c>
      <c r="CB155" s="98" t="str">
        <f aca="false">IF(ISBLANK($C155),"",$BE155)</f>
        <v/>
      </c>
      <c r="CC155" s="99" t="str">
        <f aca="false">IF(ISBLANK($C155),"",$BS155)</f>
        <v/>
      </c>
      <c r="CD155" s="99" t="str">
        <f aca="false">IF(ISBLANK($C155),"",$BR155)</f>
        <v/>
      </c>
      <c r="CE155" s="100" t="str">
        <f aca="false">IF(ISBLANK($C155),"",IF($CD155=Constants!$B$9,COUNTA($C$9:$C$508)+2,IF($CD155=Constants!$B$8,COUNTA($C$9:$C$508)+1,IF($CD155=Constants!$B$7,COUNTA($C$9:$C$508),$CD155))))</f>
        <v/>
      </c>
      <c r="CF155" s="9"/>
      <c r="CG155" s="101" t="n">
        <f aca="false">IF(OR(ISNUMBER($CD155),$CD155=Constants!$B$9,$CD155=Constants!$B$7,$CD155=Constants!$B$8),1,0)</f>
        <v>0</v>
      </c>
      <c r="CH155" s="101" t="n">
        <v>147</v>
      </c>
      <c r="CI155" s="101" t="str">
        <f aca="false">IF(ISBLANK($C155),"",IF(ISNUMBER($CE155),$CE155+ROW($B155)/1000,""))</f>
        <v/>
      </c>
      <c r="CJ155" s="101" t="str">
        <f aca="false">IF(ISNUMBER($CI155),RANK($CI155,$CI$9:$CI$508,1),"")</f>
        <v/>
      </c>
      <c r="CK155" s="101" t="str">
        <f aca="false">IF(ISBLANK($C155),"",$B155)</f>
        <v/>
      </c>
      <c r="CL155" s="101" t="str">
        <f aca="false">IF(ISBLANK($C155),"",$C155)</f>
        <v/>
      </c>
      <c r="CM155" s="101" t="str">
        <f aca="false">IF(ISBLANK($C155),"",$D155)</f>
        <v/>
      </c>
      <c r="CN155" s="102" t="str">
        <f aca="false">$CB155</f>
        <v/>
      </c>
      <c r="CO155" s="103" t="str">
        <f aca="false">$CA155</f>
        <v/>
      </c>
      <c r="CP155" s="101" t="str">
        <f aca="false">IF(ISBLANK($C155),"",$CD155)</f>
        <v/>
      </c>
      <c r="CQ155" s="104" t="str">
        <f aca="false">IF($CH155&gt;$CG$8,"",VLOOKUP($CH155,$CJ$9:$CP$508,7,FALSE()))</f>
        <v/>
      </c>
      <c r="CR155" s="105" t="str">
        <f aca="false">IF($CH155&gt;$CG$8,"",VLOOKUP($CH155,$CJ$9:$CP$508,2,FALSE()))</f>
        <v/>
      </c>
      <c r="CS155" s="105" t="str">
        <f aca="false">IF($CH155&gt;$CG$8,"",VLOOKUP($CH155,$CJ$9:$CP$508,3,FALSE()))</f>
        <v/>
      </c>
      <c r="CT155" s="105" t="str">
        <f aca="false">IF($CH155&gt;$CG$8,"",VLOOKUP($CH155,$CJ$9:$CP$508,4,FALSE()))</f>
        <v/>
      </c>
      <c r="CU155" s="105" t="str">
        <f aca="false">IF($CH155&gt;$CG$8,"",VLOOKUP($CH155,$CJ$9:$CP$508,5,FALSE()))</f>
        <v/>
      </c>
      <c r="CV155" s="106" t="str">
        <f aca="false">IF($CH155&gt;$CG$8,"",VLOOKUP($CH155,$CJ$9:$CP$508,6,FALSE()))</f>
        <v/>
      </c>
      <c r="CW155" s="71"/>
    </row>
    <row r="156" customFormat="false" ht="15.75" hidden="false" customHeight="false" outlineLevel="0" collapsed="false">
      <c r="A156" s="9"/>
      <c r="B156" s="150"/>
      <c r="C156" s="151"/>
      <c r="D156" s="152"/>
      <c r="E156" s="170"/>
      <c r="F156" s="154"/>
      <c r="G156" s="155"/>
      <c r="H156" s="171"/>
      <c r="I156" s="159"/>
      <c r="J156" s="120"/>
      <c r="K156" s="121"/>
      <c r="L156" s="122"/>
      <c r="M156" s="158"/>
      <c r="N156" s="159"/>
      <c r="O156" s="159"/>
      <c r="P156" s="120"/>
      <c r="Q156" s="122"/>
      <c r="R156" s="122"/>
      <c r="S156" s="158"/>
      <c r="T156" s="159"/>
      <c r="U156" s="126"/>
      <c r="V156" s="127"/>
      <c r="W156" s="127" t="str">
        <f aca="false">IF(ISBLANK($C156),"",IF(E156=Constants!$B$2,TRUE(),IF(E156=Constants!$B$3,FALSE(),TRUE())))</f>
        <v/>
      </c>
      <c r="X156" s="127" t="str">
        <f aca="false">IF(ISBLANK($C156),"",IF(F156=Constants!$B$2,TRUE(),IF(F156=Constants!$B$3,FALSE(),TRUE())))</f>
        <v/>
      </c>
      <c r="Y156" s="127" t="str">
        <f aca="false">IF(ISBLANK($C156),"",IF(G156=Constants!$B$2,TRUE(),IF(G156=Constants!$B$3,FALSE(),TRUE())))</f>
        <v/>
      </c>
      <c r="Z156" s="127" t="str">
        <f aca="false">IF(ISBLANK($C156),"",IF(H156=Constants!$B$2,TRUE(),IF(H156=Constants!$B$3,FALSE(),TRUE())))</f>
        <v/>
      </c>
      <c r="AA156" s="127" t="str">
        <f aca="false">IF(ISBLANK($C156),"",IF(I156=Constants!$B$2,TRUE(),IF(I156=Constants!$B$3,FALSE(),TRUE())))</f>
        <v/>
      </c>
      <c r="AB156" s="127" t="str">
        <f aca="false">IF(ISBLANK($C156),"",IF(J156=Constants!$B$4,TRUE(),IF(J156=Constants!$B$5,FALSE(),COUNTA(K156:M156)&gt;0)))</f>
        <v/>
      </c>
      <c r="AC156" s="128" t="str">
        <f aca="false">IF(ISBLANK($C156),"",IF(ISNUMBER(K156),IF(K156&gt;=0,K156,""),""))</f>
        <v/>
      </c>
      <c r="AD156" s="129" t="str">
        <f aca="false">IF(ISBLANK($C156),"",IF(ISNUMBER(L156),IF(L156&gt;=0,L156,""),""))</f>
        <v/>
      </c>
      <c r="AE156" s="127" t="str">
        <f aca="false">IF(ISBLANK($C156),"",IF(ISNUMBER(M156),IF(M156&gt;=0,MIN(M156,Constants!$B$22),""),""))</f>
        <v/>
      </c>
      <c r="AF156" s="127" t="str">
        <f aca="false">IF(ISBLANK($C156),"",IF(N156=Constants!$B$2,TRUE(),IF(N156=Constants!$B$3,FALSE(),TRUE())))</f>
        <v/>
      </c>
      <c r="AG156" s="127" t="str">
        <f aca="false">IF(ISBLANK($C156),"",IF(O156=Constants!$B$2,TRUE(),IF(O156=Constants!$B$3,FALSE(),TRUE())))</f>
        <v/>
      </c>
      <c r="AH156" s="127" t="str">
        <f aca="false">IF(ISBLANK($C156),"",IF(P156=Constants!$B$4,TRUE(),IF(P156=Constants!$B$5,FALSE(),COUNTA(Q156:S156)&gt;0)))</f>
        <v/>
      </c>
      <c r="AI156" s="128" t="str">
        <f aca="false">IF(ISBLANK($C156),"",IF(ISNUMBER(Q156),IF(Q156&gt;=0,Q156,""),""))</f>
        <v/>
      </c>
      <c r="AJ156" s="129" t="str">
        <f aca="false">IF(ISBLANK($C156),"",IF(ISNUMBER(R156),IF(R156&gt;=0,R156,""),""))</f>
        <v/>
      </c>
      <c r="AK156" s="127" t="str">
        <f aca="false">IF(ISBLANK($C156),"",IF(ISNUMBER(S156),IF(S156&gt;=0,MIN(S156,Constants!$B$22),""),""))</f>
        <v/>
      </c>
      <c r="AL156" s="127" t="str">
        <f aca="false">IF(ISBLANK($C156),"",IF(T156=Constants!$B$2,TRUE(),IF(T156=Constants!$B$3,FALSE(),FALSE())))</f>
        <v/>
      </c>
      <c r="AM156" s="126" t="str">
        <f aca="false">IF(ISBLANK($C156),"",AND($AB156,OR($AC156="",$AD156="",AND(NOT(ISBLANK($M156)),$AE156=""))))</f>
        <v/>
      </c>
      <c r="AN156" s="129" t="str">
        <f aca="false">IF($BD156&lt;&gt;Constants!$B$6,"",IF($AB156,Constants!$B$17*$AD156,Constants!$B$18))</f>
        <v/>
      </c>
      <c r="AO156" s="130" t="str">
        <f aca="false">IF($BD156&lt;&gt;Constants!$B$6,"",Constants!$B$19*IF($AB156,$AC156,0))</f>
        <v/>
      </c>
      <c r="AP156" s="130" t="str">
        <f aca="false">IF($BD156&lt;&gt;Constants!$B$6,"",IF(AND($AB156,ISNUMBER($AE156)),Constants!$B$20*(Constants!$B$21-$AE156),0))</f>
        <v/>
      </c>
      <c r="AQ156" s="130" t="str">
        <f aca="false">IF($BD156&lt;&gt;Constants!$B$6,"",IF($AA156,0,Constants!$B$12)+IF($Z156,0,Constants!$B$13)+IF($Y156,0,Constants!$B$14))</f>
        <v/>
      </c>
      <c r="AR156" s="131" t="str">
        <f aca="false">IF($BD156&lt;&gt;Constants!$B$6,"",Constants!$B$16+SUM($AN156:$AQ156))</f>
        <v/>
      </c>
      <c r="AS156" s="130" t="str">
        <f aca="false">IF($BD156&lt;&gt;Constants!$B$6,"",IF($AB156,$AD156,""))</f>
        <v/>
      </c>
      <c r="AT156" s="132" t="str">
        <f aca="false">IF($BD156&lt;&gt;Constants!$B$6,"",$AO156)</f>
        <v/>
      </c>
      <c r="AU156" s="127" t="str">
        <f aca="false">IF($BD156&lt;&gt;Constants!$B$6,"",IF(OR($BA156&lt;$AR156,AND($BA156=$AR156,OR(AND(ISNUMBER($BB156),OR(NOT(ISNUMBER($AS156)),$BB156&lt;$AS156)),AND(OR(AND($BB156="",$AS156=""),AND(ISNUMBER($BB156),ISNUMBER($AS156),$BB156=$AS156)),$BC156&lt;$AT156)))),"-&gt;","&lt;-"))</f>
        <v/>
      </c>
      <c r="AV156" s="126" t="str">
        <f aca="false">IF(ISBLANK($C156),"",AND($AH156,OR($AI156="",$AJ156="",AND(NOT(ISBLANK($S156)),$AK156=""))))</f>
        <v/>
      </c>
      <c r="AW156" s="129" t="str">
        <f aca="false">IF($BD156&lt;&gt;Constants!$B$6,"",IF($AH156,Constants!$B$17*$AJ156,Constants!$B$18))</f>
        <v/>
      </c>
      <c r="AX156" s="130" t="str">
        <f aca="false">IF($BD156&lt;&gt;Constants!$B$6,"",Constants!$B$19*IF($AH156,$AI156,0))</f>
        <v/>
      </c>
      <c r="AY156" s="130" t="str">
        <f aca="false">IF($BD156&lt;&gt;Constants!$B$6,"",IF(AND($AH156,ISNUMBER($AK156)),Constants!$B$20*(Constants!$B$21-$AK156),0))</f>
        <v/>
      </c>
      <c r="AZ156" s="130" t="str">
        <f aca="false">IF($BD156&lt;&gt;Constants!$B$6,"",IF($AG156,0,Constants!$B$12)+IF($AF156,0,Constants!$B$13)+IF($Y156,0,Constants!$B$14))</f>
        <v/>
      </c>
      <c r="BA156" s="131" t="str">
        <f aca="false">IF($BD156&lt;&gt;Constants!$B$6,"",Constants!$B$16+SUM($AW156:$AZ156))</f>
        <v/>
      </c>
      <c r="BB156" s="130" t="str">
        <f aca="false">IF($BD156&lt;&gt;Constants!$B$6,"",IF($AH156,$AJ156,""))</f>
        <v/>
      </c>
      <c r="BC156" s="132" t="str">
        <f aca="false">IF($BD156&lt;&gt;Constants!$B$6,"",$AX156)</f>
        <v/>
      </c>
      <c r="BD156" s="127" t="str">
        <f aca="false">IF(ISBLANK($C156),"",IF($AL156,Constants!$B$9,IF(COUNTA($E156:$T156)=0,Constants!$B$8,IF(NOT($X156),Constants!$B$7,IF(OR($AM156,$AV156),Constants!$B$10,Constants!$B$6)))))</f>
        <v/>
      </c>
      <c r="BE156" s="127" t="str">
        <f aca="false">IF(ISBLANK($C156),"",IF($BD156&lt;&gt;Constants!$B$6,$BD156,Constants!$B$11))</f>
        <v/>
      </c>
      <c r="BF156" s="130" t="str">
        <f aca="false">IF($BD156&lt;&gt;Constants!$B$6,"",IF($AU156="-&gt;",$BA156,$AR156))</f>
        <v/>
      </c>
      <c r="BG156" s="130" t="str">
        <f aca="false">IF($BD156&lt;&gt;Constants!$B$6,"",IF($W156,0,Constants!$B$15))</f>
        <v/>
      </c>
      <c r="BH156" s="130" t="str">
        <f aca="false">IF(ISBLANK($C156),"",IF($BD156&lt;&gt;Constants!$B$6,$BD156,SUM($BF156:$BG156)))</f>
        <v/>
      </c>
      <c r="BI156" s="127" t="str">
        <f aca="false">IF(ISBLANK($C156),"",IF($BD156&lt;&gt;Constants!$B$6,$BD156,RANK($BH156,$BH$9:$BH$508,1)))</f>
        <v/>
      </c>
      <c r="BJ156" s="130" t="str">
        <f aca="false">IF($BD156&lt;&gt;Constants!$B$6,"",IF($AU156="-&gt;",$BB156,$AS156))</f>
        <v/>
      </c>
      <c r="BK156" s="127" t="str">
        <f aca="false">IF(ISBLANK($C156),"",IF($BD156&lt;&gt;Constants!$B$6,$BD156,IF(ISNUMBER($BJ156),RANK($BJ156,$BJ$9:$BJ$508,1),COUNT($BJ$9:$BJ$508)+1)))</f>
        <v/>
      </c>
      <c r="BL156" s="130" t="str">
        <f aca="false">IF($BD156&lt;&gt;Constants!$B$6,"",IF($AU156="-&gt;",$BC156,$AT156))</f>
        <v/>
      </c>
      <c r="BM156" s="127" t="str">
        <f aca="false">IF(ISBLANK($C156),"",IF($BD156&lt;&gt;Constants!$B$6,$BD156,IF(ISNUMBER($BL156),RANK($BL156,$BL$9:$BL$508,1),COUNT($BL$9:$BL$508)+1)))</f>
        <v/>
      </c>
      <c r="BN156" s="130" t="str">
        <f aca="false">IF($BD156&lt;&gt;Constants!$B$6,"",IF($AU156="-&gt;",$AS156,$BB156))</f>
        <v/>
      </c>
      <c r="BO156" s="127" t="str">
        <f aca="false">IF(ISBLANK($C156),"",IF($BD156&lt;&gt;Constants!$B$6,$BD156,IF(ISNUMBER($BN156),RANK($BN156,$BN$9:$BN$508,1),COUNT($BN$9:$BN$508)+1)))</f>
        <v/>
      </c>
      <c r="BP156" s="130" t="str">
        <f aca="false">IF($BD156&lt;&gt;Constants!$B$6,"",IF($AU156="-&gt;",$AT156,$BC156))</f>
        <v/>
      </c>
      <c r="BQ156" s="127" t="str">
        <f aca="false">IF(ISBLANK($C156),"",IF($BD156&lt;&gt;Constants!$B$6,$BD156,IF(ISNUMBER($BP156),RANK($BP156,$BP$9:$BP$508,1),COUNT($BP$9:$BP$508)+1)))</f>
        <v/>
      </c>
      <c r="BR156" s="127" t="str">
        <f aca="false">IF(ISBLANK($C156),"",IF($BD156&lt;&gt;Constants!$B$6,$BD156,COUNTIFS($BI$9:$BI$508,"&lt;"&amp;$BI156)+COUNTIFS($BI$9:$BI$508,$BI156,$BK$9:$BK$508,"&lt;"&amp;$BK156)+COUNTIFS($BI$9:$BI$508,$BI156,$BK$9:$BK$508,$BK156,$BM$9:$BM$508,"&lt;"&amp;$BM156)+COUNTIFS($BI$9:$BI$508,$BI156,$BK$9:$BK$508,$BK156,$BM$9:$BM$508,$BM156,$BO$9:$BO$508,"&lt;"&amp;$BO156)+COUNTIFS($BI$9:$BI$508,$BI156,$BK$9:$BK$508,$BK156,$BM$9:$BM$508,$BM156,$BO$9:$BO$508,$BO156,$BQ$9:$BQ$508,"&lt;"&amp;$BQ156)+1))</f>
        <v/>
      </c>
      <c r="BS156" s="127" t="str">
        <f aca="false">IF(ISBLANK($C156),"",IF($BD156&lt;&gt;Constants!$B$6,$BD156,$BI156-$BR156))</f>
        <v/>
      </c>
      <c r="BT156" s="133"/>
      <c r="BU156" s="134"/>
      <c r="BV156" s="134" t="str">
        <f aca="false">IF(ISBLANK($C156),"",IF($BD156&lt;&gt;Constants!$B$6,"",IF($AU156="-&gt;",2,1)))</f>
        <v/>
      </c>
      <c r="BW156" s="135" t="str">
        <f aca="false">IF(ISBLANK($C156),"",IF($BD156&lt;&gt;Constants!$B$6,"",IF($AU156="-&gt;",$AW156,$AN156)))</f>
        <v/>
      </c>
      <c r="BX156" s="135" t="str">
        <f aca="false">IF(ISBLANK($C156),"",IF($BD156&lt;&gt;Constants!$B$6,"",IF($AU156="-&gt;",$AX156,$AO156)))</f>
        <v/>
      </c>
      <c r="BY156" s="135" t="str">
        <f aca="false">IF(ISBLANK($C156),"",IF($BD156&lt;&gt;Constants!$B$6,"",IF($AU156="-&gt;",$AY156,$AP156)))</f>
        <v/>
      </c>
      <c r="BZ156" s="135" t="str">
        <f aca="false">IF(ISBLANK($C156),"",IF($BD156&lt;&gt;Constants!$B$6,"",IF($AU156="-&gt;",$AZ156,$AQ156)+$BG156))</f>
        <v/>
      </c>
      <c r="CA156" s="136" t="str">
        <f aca="false">IF(ISBLANK($C156),"",IF($BD156&lt;&gt;Constants!$B$6,$BD156,$BH156))</f>
        <v/>
      </c>
      <c r="CB156" s="137" t="str">
        <f aca="false">IF(ISBLANK($C156),"",$BE156)</f>
        <v/>
      </c>
      <c r="CC156" s="138" t="str">
        <f aca="false">IF(ISBLANK($C156),"",$BS156)</f>
        <v/>
      </c>
      <c r="CD156" s="138" t="str">
        <f aca="false">IF(ISBLANK($C156),"",$BR156)</f>
        <v/>
      </c>
      <c r="CE156" s="139" t="str">
        <f aca="false">IF(ISBLANK($C156),"",IF($CD156=Constants!$B$9,COUNTA($C$9:$C$508)+2,IF($CD156=Constants!$B$8,COUNTA($C$9:$C$508)+1,IF($CD156=Constants!$B$7,COUNTA($C$9:$C$508),$CD156))))</f>
        <v/>
      </c>
      <c r="CF156" s="9"/>
      <c r="CG156" s="140" t="n">
        <f aca="false">IF(OR(ISNUMBER($CD156),$CD156=Constants!$B$9,$CD156=Constants!$B$7,$CD156=Constants!$B$8),1,0)</f>
        <v>0</v>
      </c>
      <c r="CH156" s="140" t="n">
        <v>148</v>
      </c>
      <c r="CI156" s="140" t="str">
        <f aca="false">IF(ISBLANK($C156),"",IF(ISNUMBER($CE156),$CE156+ROW($B156)/1000,""))</f>
        <v/>
      </c>
      <c r="CJ156" s="140" t="str">
        <f aca="false">IF(ISNUMBER($CI156),RANK($CI156,$CI$9:$CI$508,1),"")</f>
        <v/>
      </c>
      <c r="CK156" s="140" t="str">
        <f aca="false">IF(ISBLANK($C156),"",$B156)</f>
        <v/>
      </c>
      <c r="CL156" s="140" t="str">
        <f aca="false">IF(ISBLANK($C156),"",$C156)</f>
        <v/>
      </c>
      <c r="CM156" s="140" t="str">
        <f aca="false">IF(ISBLANK($C156),"",$D156)</f>
        <v/>
      </c>
      <c r="CN156" s="141" t="str">
        <f aca="false">$CB156</f>
        <v/>
      </c>
      <c r="CO156" s="142" t="str">
        <f aca="false">$CA156</f>
        <v/>
      </c>
      <c r="CP156" s="140" t="str">
        <f aca="false">IF(ISBLANK($C156),"",$CD156)</f>
        <v/>
      </c>
      <c r="CQ156" s="143" t="str">
        <f aca="false">IF($CH156&gt;$CG$8,"",VLOOKUP($CH156,$CJ$9:$CP$508,7,FALSE()))</f>
        <v/>
      </c>
      <c r="CR156" s="144" t="str">
        <f aca="false">IF($CH156&gt;$CG$8,"",VLOOKUP($CH156,$CJ$9:$CP$508,2,FALSE()))</f>
        <v/>
      </c>
      <c r="CS156" s="144" t="str">
        <f aca="false">IF($CH156&gt;$CG$8,"",VLOOKUP($CH156,$CJ$9:$CP$508,3,FALSE()))</f>
        <v/>
      </c>
      <c r="CT156" s="144" t="str">
        <f aca="false">IF($CH156&gt;$CG$8,"",VLOOKUP($CH156,$CJ$9:$CP$508,4,FALSE()))</f>
        <v/>
      </c>
      <c r="CU156" s="144" t="str">
        <f aca="false">IF($CH156&gt;$CG$8,"",VLOOKUP($CH156,$CJ$9:$CP$508,5,FALSE()))</f>
        <v/>
      </c>
      <c r="CV156" s="145" t="str">
        <f aca="false">IF($CH156&gt;$CG$8,"",VLOOKUP($CH156,$CJ$9:$CP$508,6,FALSE()))</f>
        <v/>
      </c>
      <c r="CW156" s="71"/>
    </row>
    <row r="157" customFormat="false" ht="15.75" hidden="false" customHeight="false" outlineLevel="0" collapsed="false">
      <c r="A157" s="9"/>
      <c r="B157" s="150"/>
      <c r="C157" s="151"/>
      <c r="D157" s="152"/>
      <c r="E157" s="170"/>
      <c r="F157" s="154"/>
      <c r="G157" s="155"/>
      <c r="H157" s="171"/>
      <c r="I157" s="159"/>
      <c r="J157" s="120"/>
      <c r="K157" s="121"/>
      <c r="L157" s="122"/>
      <c r="M157" s="158"/>
      <c r="N157" s="159"/>
      <c r="O157" s="159"/>
      <c r="P157" s="120"/>
      <c r="Q157" s="122"/>
      <c r="R157" s="122"/>
      <c r="S157" s="158"/>
      <c r="T157" s="159"/>
      <c r="U157" s="126"/>
      <c r="V157" s="127"/>
      <c r="W157" s="127" t="str">
        <f aca="false">IF(ISBLANK($C157),"",IF(E157=Constants!$B$2,TRUE(),IF(E157=Constants!$B$3,FALSE(),TRUE())))</f>
        <v/>
      </c>
      <c r="X157" s="127" t="str">
        <f aca="false">IF(ISBLANK($C157),"",IF(F157=Constants!$B$2,TRUE(),IF(F157=Constants!$B$3,FALSE(),TRUE())))</f>
        <v/>
      </c>
      <c r="Y157" s="127" t="str">
        <f aca="false">IF(ISBLANK($C157),"",IF(G157=Constants!$B$2,TRUE(),IF(G157=Constants!$B$3,FALSE(),TRUE())))</f>
        <v/>
      </c>
      <c r="Z157" s="127" t="str">
        <f aca="false">IF(ISBLANK($C157),"",IF(H157=Constants!$B$2,TRUE(),IF(H157=Constants!$B$3,FALSE(),TRUE())))</f>
        <v/>
      </c>
      <c r="AA157" s="127" t="str">
        <f aca="false">IF(ISBLANK($C157),"",IF(I157=Constants!$B$2,TRUE(),IF(I157=Constants!$B$3,FALSE(),TRUE())))</f>
        <v/>
      </c>
      <c r="AB157" s="127" t="str">
        <f aca="false">IF(ISBLANK($C157),"",IF(J157=Constants!$B$4,TRUE(),IF(J157=Constants!$B$5,FALSE(),COUNTA(K157:M157)&gt;0)))</f>
        <v/>
      </c>
      <c r="AC157" s="128" t="str">
        <f aca="false">IF(ISBLANK($C157),"",IF(ISNUMBER(K157),IF(K157&gt;=0,K157,""),""))</f>
        <v/>
      </c>
      <c r="AD157" s="129" t="str">
        <f aca="false">IF(ISBLANK($C157),"",IF(ISNUMBER(L157),IF(L157&gt;=0,L157,""),""))</f>
        <v/>
      </c>
      <c r="AE157" s="127" t="str">
        <f aca="false">IF(ISBLANK($C157),"",IF(ISNUMBER(M157),IF(M157&gt;=0,MIN(M157,Constants!$B$22),""),""))</f>
        <v/>
      </c>
      <c r="AF157" s="127" t="str">
        <f aca="false">IF(ISBLANK($C157),"",IF(N157=Constants!$B$2,TRUE(),IF(N157=Constants!$B$3,FALSE(),TRUE())))</f>
        <v/>
      </c>
      <c r="AG157" s="127" t="str">
        <f aca="false">IF(ISBLANK($C157),"",IF(O157=Constants!$B$2,TRUE(),IF(O157=Constants!$B$3,FALSE(),TRUE())))</f>
        <v/>
      </c>
      <c r="AH157" s="127" t="str">
        <f aca="false">IF(ISBLANK($C157),"",IF(P157=Constants!$B$4,TRUE(),IF(P157=Constants!$B$5,FALSE(),COUNTA(Q157:S157)&gt;0)))</f>
        <v/>
      </c>
      <c r="AI157" s="128" t="str">
        <f aca="false">IF(ISBLANK($C157),"",IF(ISNUMBER(Q157),IF(Q157&gt;=0,Q157,""),""))</f>
        <v/>
      </c>
      <c r="AJ157" s="129" t="str">
        <f aca="false">IF(ISBLANK($C157),"",IF(ISNUMBER(R157),IF(R157&gt;=0,R157,""),""))</f>
        <v/>
      </c>
      <c r="AK157" s="127" t="str">
        <f aca="false">IF(ISBLANK($C157),"",IF(ISNUMBER(S157),IF(S157&gt;=0,MIN(S157,Constants!$B$22),""),""))</f>
        <v/>
      </c>
      <c r="AL157" s="127" t="str">
        <f aca="false">IF(ISBLANK($C157),"",IF(T157=Constants!$B$2,TRUE(),IF(T157=Constants!$B$3,FALSE(),FALSE())))</f>
        <v/>
      </c>
      <c r="AM157" s="126" t="str">
        <f aca="false">IF(ISBLANK($C157),"",AND($AB157,OR($AC157="",$AD157="",AND(NOT(ISBLANK($M157)),$AE157=""))))</f>
        <v/>
      </c>
      <c r="AN157" s="129" t="str">
        <f aca="false">IF($BD157&lt;&gt;Constants!$B$6,"",IF($AB157,Constants!$B$17*$AD157,Constants!$B$18))</f>
        <v/>
      </c>
      <c r="AO157" s="130" t="str">
        <f aca="false">IF($BD157&lt;&gt;Constants!$B$6,"",Constants!$B$19*IF($AB157,$AC157,0))</f>
        <v/>
      </c>
      <c r="AP157" s="130" t="str">
        <f aca="false">IF($BD157&lt;&gt;Constants!$B$6,"",IF(AND($AB157,ISNUMBER($AE157)),Constants!$B$20*(Constants!$B$21-$AE157),0))</f>
        <v/>
      </c>
      <c r="AQ157" s="130" t="str">
        <f aca="false">IF($BD157&lt;&gt;Constants!$B$6,"",IF($AA157,0,Constants!$B$12)+IF($Z157,0,Constants!$B$13)+IF($Y157,0,Constants!$B$14))</f>
        <v/>
      </c>
      <c r="AR157" s="131" t="str">
        <f aca="false">IF($BD157&lt;&gt;Constants!$B$6,"",Constants!$B$16+SUM($AN157:$AQ157))</f>
        <v/>
      </c>
      <c r="AS157" s="130" t="str">
        <f aca="false">IF($BD157&lt;&gt;Constants!$B$6,"",IF($AB157,$AD157,""))</f>
        <v/>
      </c>
      <c r="AT157" s="132" t="str">
        <f aca="false">IF($BD157&lt;&gt;Constants!$B$6,"",$AO157)</f>
        <v/>
      </c>
      <c r="AU157" s="127" t="str">
        <f aca="false">IF($BD157&lt;&gt;Constants!$B$6,"",IF(OR($BA157&lt;$AR157,AND($BA157=$AR157,OR(AND(ISNUMBER($BB157),OR(NOT(ISNUMBER($AS157)),$BB157&lt;$AS157)),AND(OR(AND($BB157="",$AS157=""),AND(ISNUMBER($BB157),ISNUMBER($AS157),$BB157=$AS157)),$BC157&lt;$AT157)))),"-&gt;","&lt;-"))</f>
        <v/>
      </c>
      <c r="AV157" s="126" t="str">
        <f aca="false">IF(ISBLANK($C157),"",AND($AH157,OR($AI157="",$AJ157="",AND(NOT(ISBLANK($S157)),$AK157=""))))</f>
        <v/>
      </c>
      <c r="AW157" s="129" t="str">
        <f aca="false">IF($BD157&lt;&gt;Constants!$B$6,"",IF($AH157,Constants!$B$17*$AJ157,Constants!$B$18))</f>
        <v/>
      </c>
      <c r="AX157" s="130" t="str">
        <f aca="false">IF($BD157&lt;&gt;Constants!$B$6,"",Constants!$B$19*IF($AH157,$AI157,0))</f>
        <v/>
      </c>
      <c r="AY157" s="130" t="str">
        <f aca="false">IF($BD157&lt;&gt;Constants!$B$6,"",IF(AND($AH157,ISNUMBER($AK157)),Constants!$B$20*(Constants!$B$21-$AK157),0))</f>
        <v/>
      </c>
      <c r="AZ157" s="130" t="str">
        <f aca="false">IF($BD157&lt;&gt;Constants!$B$6,"",IF($AG157,0,Constants!$B$12)+IF($AF157,0,Constants!$B$13)+IF($Y157,0,Constants!$B$14))</f>
        <v/>
      </c>
      <c r="BA157" s="131" t="str">
        <f aca="false">IF($BD157&lt;&gt;Constants!$B$6,"",Constants!$B$16+SUM($AW157:$AZ157))</f>
        <v/>
      </c>
      <c r="BB157" s="130" t="str">
        <f aca="false">IF($BD157&lt;&gt;Constants!$B$6,"",IF($AH157,$AJ157,""))</f>
        <v/>
      </c>
      <c r="BC157" s="132" t="str">
        <f aca="false">IF($BD157&lt;&gt;Constants!$B$6,"",$AX157)</f>
        <v/>
      </c>
      <c r="BD157" s="127" t="str">
        <f aca="false">IF(ISBLANK($C157),"",IF($AL157,Constants!$B$9,IF(COUNTA($E157:$T157)=0,Constants!$B$8,IF(NOT($X157),Constants!$B$7,IF(OR($AM157,$AV157),Constants!$B$10,Constants!$B$6)))))</f>
        <v/>
      </c>
      <c r="BE157" s="127" t="str">
        <f aca="false">IF(ISBLANK($C157),"",IF($BD157&lt;&gt;Constants!$B$6,$BD157,Constants!$B$11))</f>
        <v/>
      </c>
      <c r="BF157" s="130" t="str">
        <f aca="false">IF($BD157&lt;&gt;Constants!$B$6,"",IF($AU157="-&gt;",$BA157,$AR157))</f>
        <v/>
      </c>
      <c r="BG157" s="130" t="str">
        <f aca="false">IF($BD157&lt;&gt;Constants!$B$6,"",IF($W157,0,Constants!$B$15))</f>
        <v/>
      </c>
      <c r="BH157" s="130" t="str">
        <f aca="false">IF(ISBLANK($C157),"",IF($BD157&lt;&gt;Constants!$B$6,$BD157,SUM($BF157:$BG157)))</f>
        <v/>
      </c>
      <c r="BI157" s="127" t="str">
        <f aca="false">IF(ISBLANK($C157),"",IF($BD157&lt;&gt;Constants!$B$6,$BD157,RANK($BH157,$BH$9:$BH$508,1)))</f>
        <v/>
      </c>
      <c r="BJ157" s="130" t="str">
        <f aca="false">IF($BD157&lt;&gt;Constants!$B$6,"",IF($AU157="-&gt;",$BB157,$AS157))</f>
        <v/>
      </c>
      <c r="BK157" s="127" t="str">
        <f aca="false">IF(ISBLANK($C157),"",IF($BD157&lt;&gt;Constants!$B$6,$BD157,IF(ISNUMBER($BJ157),RANK($BJ157,$BJ$9:$BJ$508,1),COUNT($BJ$9:$BJ$508)+1)))</f>
        <v/>
      </c>
      <c r="BL157" s="130" t="str">
        <f aca="false">IF($BD157&lt;&gt;Constants!$B$6,"",IF($AU157="-&gt;",$BC157,$AT157))</f>
        <v/>
      </c>
      <c r="BM157" s="127" t="str">
        <f aca="false">IF(ISBLANK($C157),"",IF($BD157&lt;&gt;Constants!$B$6,$BD157,IF(ISNUMBER($BL157),RANK($BL157,$BL$9:$BL$508,1),COUNT($BL$9:$BL$508)+1)))</f>
        <v/>
      </c>
      <c r="BN157" s="130" t="str">
        <f aca="false">IF($BD157&lt;&gt;Constants!$B$6,"",IF($AU157="-&gt;",$AS157,$BB157))</f>
        <v/>
      </c>
      <c r="BO157" s="127" t="str">
        <f aca="false">IF(ISBLANK($C157),"",IF($BD157&lt;&gt;Constants!$B$6,$BD157,IF(ISNUMBER($BN157),RANK($BN157,$BN$9:$BN$508,1),COUNT($BN$9:$BN$508)+1)))</f>
        <v/>
      </c>
      <c r="BP157" s="130" t="str">
        <f aca="false">IF($BD157&lt;&gt;Constants!$B$6,"",IF($AU157="-&gt;",$AT157,$BC157))</f>
        <v/>
      </c>
      <c r="BQ157" s="127" t="str">
        <f aca="false">IF(ISBLANK($C157),"",IF($BD157&lt;&gt;Constants!$B$6,$BD157,IF(ISNUMBER($BP157),RANK($BP157,$BP$9:$BP$508,1),COUNT($BP$9:$BP$508)+1)))</f>
        <v/>
      </c>
      <c r="BR157" s="127" t="str">
        <f aca="false">IF(ISBLANK($C157),"",IF($BD157&lt;&gt;Constants!$B$6,$BD157,COUNTIFS($BI$9:$BI$508,"&lt;"&amp;$BI157)+COUNTIFS($BI$9:$BI$508,$BI157,$BK$9:$BK$508,"&lt;"&amp;$BK157)+COUNTIFS($BI$9:$BI$508,$BI157,$BK$9:$BK$508,$BK157,$BM$9:$BM$508,"&lt;"&amp;$BM157)+COUNTIFS($BI$9:$BI$508,$BI157,$BK$9:$BK$508,$BK157,$BM$9:$BM$508,$BM157,$BO$9:$BO$508,"&lt;"&amp;$BO157)+COUNTIFS($BI$9:$BI$508,$BI157,$BK$9:$BK$508,$BK157,$BM$9:$BM$508,$BM157,$BO$9:$BO$508,$BO157,$BQ$9:$BQ$508,"&lt;"&amp;$BQ157)+1))</f>
        <v/>
      </c>
      <c r="BS157" s="127" t="str">
        <f aca="false">IF(ISBLANK($C157),"",IF($BD157&lt;&gt;Constants!$B$6,$BD157,$BI157-$BR157))</f>
        <v/>
      </c>
      <c r="BT157" s="133"/>
      <c r="BU157" s="134"/>
      <c r="BV157" s="134" t="str">
        <f aca="false">IF(ISBLANK($C157),"",IF($BD157&lt;&gt;Constants!$B$6,"",IF($AU157="-&gt;",2,1)))</f>
        <v/>
      </c>
      <c r="BW157" s="135" t="str">
        <f aca="false">IF(ISBLANK($C157),"",IF($BD157&lt;&gt;Constants!$B$6,"",IF($AU157="-&gt;",$AW157,$AN157)))</f>
        <v/>
      </c>
      <c r="BX157" s="135" t="str">
        <f aca="false">IF(ISBLANK($C157),"",IF($BD157&lt;&gt;Constants!$B$6,"",IF($AU157="-&gt;",$AX157,$AO157)))</f>
        <v/>
      </c>
      <c r="BY157" s="135" t="str">
        <f aca="false">IF(ISBLANK($C157),"",IF($BD157&lt;&gt;Constants!$B$6,"",IF($AU157="-&gt;",$AY157,$AP157)))</f>
        <v/>
      </c>
      <c r="BZ157" s="135" t="str">
        <f aca="false">IF(ISBLANK($C157),"",IF($BD157&lt;&gt;Constants!$B$6,"",IF($AU157="-&gt;",$AZ157,$AQ157)+$BG157))</f>
        <v/>
      </c>
      <c r="CA157" s="136" t="str">
        <f aca="false">IF(ISBLANK($C157),"",IF($BD157&lt;&gt;Constants!$B$6,$BD157,$BH157))</f>
        <v/>
      </c>
      <c r="CB157" s="137" t="str">
        <f aca="false">IF(ISBLANK($C157),"",$BE157)</f>
        <v/>
      </c>
      <c r="CC157" s="138" t="str">
        <f aca="false">IF(ISBLANK($C157),"",$BS157)</f>
        <v/>
      </c>
      <c r="CD157" s="138" t="str">
        <f aca="false">IF(ISBLANK($C157),"",$BR157)</f>
        <v/>
      </c>
      <c r="CE157" s="139" t="str">
        <f aca="false">IF(ISBLANK($C157),"",IF($CD157=Constants!$B$9,COUNTA($C$9:$C$508)+2,IF($CD157=Constants!$B$8,COUNTA($C$9:$C$508)+1,IF($CD157=Constants!$B$7,COUNTA($C$9:$C$508),$CD157))))</f>
        <v/>
      </c>
      <c r="CF157" s="9"/>
      <c r="CG157" s="140" t="n">
        <f aca="false">IF(OR(ISNUMBER($CD157),$CD157=Constants!$B$9,$CD157=Constants!$B$7,$CD157=Constants!$B$8),1,0)</f>
        <v>0</v>
      </c>
      <c r="CH157" s="140" t="n">
        <v>149</v>
      </c>
      <c r="CI157" s="140" t="str">
        <f aca="false">IF(ISBLANK($C157),"",IF(ISNUMBER($CE157),$CE157+ROW($B157)/1000,""))</f>
        <v/>
      </c>
      <c r="CJ157" s="140" t="str">
        <f aca="false">IF(ISNUMBER($CI157),RANK($CI157,$CI$9:$CI$508,1),"")</f>
        <v/>
      </c>
      <c r="CK157" s="140" t="str">
        <f aca="false">IF(ISBLANK($C157),"",$B157)</f>
        <v/>
      </c>
      <c r="CL157" s="140" t="str">
        <f aca="false">IF(ISBLANK($C157),"",$C157)</f>
        <v/>
      </c>
      <c r="CM157" s="140" t="str">
        <f aca="false">IF(ISBLANK($C157),"",$D157)</f>
        <v/>
      </c>
      <c r="CN157" s="141" t="str">
        <f aca="false">$CB157</f>
        <v/>
      </c>
      <c r="CO157" s="142" t="str">
        <f aca="false">$CA157</f>
        <v/>
      </c>
      <c r="CP157" s="140" t="str">
        <f aca="false">IF(ISBLANK($C157),"",$CD157)</f>
        <v/>
      </c>
      <c r="CQ157" s="143" t="str">
        <f aca="false">IF($CH157&gt;$CG$8,"",VLOOKUP($CH157,$CJ$9:$CP$508,7,FALSE()))</f>
        <v/>
      </c>
      <c r="CR157" s="144" t="str">
        <f aca="false">IF($CH157&gt;$CG$8,"",VLOOKUP($CH157,$CJ$9:$CP$508,2,FALSE()))</f>
        <v/>
      </c>
      <c r="CS157" s="144" t="str">
        <f aca="false">IF($CH157&gt;$CG$8,"",VLOOKUP($CH157,$CJ$9:$CP$508,3,FALSE()))</f>
        <v/>
      </c>
      <c r="CT157" s="144" t="str">
        <f aca="false">IF($CH157&gt;$CG$8,"",VLOOKUP($CH157,$CJ$9:$CP$508,4,FALSE()))</f>
        <v/>
      </c>
      <c r="CU157" s="144" t="str">
        <f aca="false">IF($CH157&gt;$CG$8,"",VLOOKUP($CH157,$CJ$9:$CP$508,5,FALSE()))</f>
        <v/>
      </c>
      <c r="CV157" s="145" t="str">
        <f aca="false">IF($CH157&gt;$CG$8,"",VLOOKUP($CH157,$CJ$9:$CP$508,6,FALSE()))</f>
        <v/>
      </c>
      <c r="CW157" s="71"/>
    </row>
    <row r="158" customFormat="false" ht="15.75" hidden="false" customHeight="false" outlineLevel="0" collapsed="false">
      <c r="A158" s="9"/>
      <c r="B158" s="150"/>
      <c r="C158" s="151"/>
      <c r="D158" s="152"/>
      <c r="E158" s="170"/>
      <c r="F158" s="154"/>
      <c r="G158" s="155"/>
      <c r="H158" s="171"/>
      <c r="I158" s="159"/>
      <c r="J158" s="120"/>
      <c r="K158" s="121"/>
      <c r="L158" s="122"/>
      <c r="M158" s="158"/>
      <c r="N158" s="159"/>
      <c r="O158" s="159"/>
      <c r="P158" s="120"/>
      <c r="Q158" s="122"/>
      <c r="R158" s="122"/>
      <c r="S158" s="158"/>
      <c r="T158" s="159"/>
      <c r="U158" s="126"/>
      <c r="V158" s="127"/>
      <c r="W158" s="127" t="str">
        <f aca="false">IF(ISBLANK($C158),"",IF(E158=Constants!$B$2,TRUE(),IF(E158=Constants!$B$3,FALSE(),TRUE())))</f>
        <v/>
      </c>
      <c r="X158" s="127" t="str">
        <f aca="false">IF(ISBLANK($C158),"",IF(F158=Constants!$B$2,TRUE(),IF(F158=Constants!$B$3,FALSE(),TRUE())))</f>
        <v/>
      </c>
      <c r="Y158" s="127" t="str">
        <f aca="false">IF(ISBLANK($C158),"",IF(G158=Constants!$B$2,TRUE(),IF(G158=Constants!$B$3,FALSE(),TRUE())))</f>
        <v/>
      </c>
      <c r="Z158" s="127" t="str">
        <f aca="false">IF(ISBLANK($C158),"",IF(H158=Constants!$B$2,TRUE(),IF(H158=Constants!$B$3,FALSE(),TRUE())))</f>
        <v/>
      </c>
      <c r="AA158" s="127" t="str">
        <f aca="false">IF(ISBLANK($C158),"",IF(I158=Constants!$B$2,TRUE(),IF(I158=Constants!$B$3,FALSE(),TRUE())))</f>
        <v/>
      </c>
      <c r="AB158" s="127" t="str">
        <f aca="false">IF(ISBLANK($C158),"",IF(J158=Constants!$B$4,TRUE(),IF(J158=Constants!$B$5,FALSE(),COUNTA(K158:M158)&gt;0)))</f>
        <v/>
      </c>
      <c r="AC158" s="128" t="str">
        <f aca="false">IF(ISBLANK($C158),"",IF(ISNUMBER(K158),IF(K158&gt;=0,K158,""),""))</f>
        <v/>
      </c>
      <c r="AD158" s="129" t="str">
        <f aca="false">IF(ISBLANK($C158),"",IF(ISNUMBER(L158),IF(L158&gt;=0,L158,""),""))</f>
        <v/>
      </c>
      <c r="AE158" s="127" t="str">
        <f aca="false">IF(ISBLANK($C158),"",IF(ISNUMBER(M158),IF(M158&gt;=0,MIN(M158,Constants!$B$22),""),""))</f>
        <v/>
      </c>
      <c r="AF158" s="127" t="str">
        <f aca="false">IF(ISBLANK($C158),"",IF(N158=Constants!$B$2,TRUE(),IF(N158=Constants!$B$3,FALSE(),TRUE())))</f>
        <v/>
      </c>
      <c r="AG158" s="127" t="str">
        <f aca="false">IF(ISBLANK($C158),"",IF(O158=Constants!$B$2,TRUE(),IF(O158=Constants!$B$3,FALSE(),TRUE())))</f>
        <v/>
      </c>
      <c r="AH158" s="127" t="str">
        <f aca="false">IF(ISBLANK($C158),"",IF(P158=Constants!$B$4,TRUE(),IF(P158=Constants!$B$5,FALSE(),COUNTA(Q158:S158)&gt;0)))</f>
        <v/>
      </c>
      <c r="AI158" s="128" t="str">
        <f aca="false">IF(ISBLANK($C158),"",IF(ISNUMBER(Q158),IF(Q158&gt;=0,Q158,""),""))</f>
        <v/>
      </c>
      <c r="AJ158" s="129" t="str">
        <f aca="false">IF(ISBLANK($C158),"",IF(ISNUMBER(R158),IF(R158&gt;=0,R158,""),""))</f>
        <v/>
      </c>
      <c r="AK158" s="127" t="str">
        <f aca="false">IF(ISBLANK($C158),"",IF(ISNUMBER(S158),IF(S158&gt;=0,MIN(S158,Constants!$B$22),""),""))</f>
        <v/>
      </c>
      <c r="AL158" s="127" t="str">
        <f aca="false">IF(ISBLANK($C158),"",IF(T158=Constants!$B$2,TRUE(),IF(T158=Constants!$B$3,FALSE(),FALSE())))</f>
        <v/>
      </c>
      <c r="AM158" s="126" t="str">
        <f aca="false">IF(ISBLANK($C158),"",AND($AB158,OR($AC158="",$AD158="",AND(NOT(ISBLANK($M158)),$AE158=""))))</f>
        <v/>
      </c>
      <c r="AN158" s="129" t="str">
        <f aca="false">IF($BD158&lt;&gt;Constants!$B$6,"",IF($AB158,Constants!$B$17*$AD158,Constants!$B$18))</f>
        <v/>
      </c>
      <c r="AO158" s="130" t="str">
        <f aca="false">IF($BD158&lt;&gt;Constants!$B$6,"",Constants!$B$19*IF($AB158,$AC158,0))</f>
        <v/>
      </c>
      <c r="AP158" s="130" t="str">
        <f aca="false">IF($BD158&lt;&gt;Constants!$B$6,"",IF(AND($AB158,ISNUMBER($AE158)),Constants!$B$20*(Constants!$B$21-$AE158),0))</f>
        <v/>
      </c>
      <c r="AQ158" s="130" t="str">
        <f aca="false">IF($BD158&lt;&gt;Constants!$B$6,"",IF($AA158,0,Constants!$B$12)+IF($Z158,0,Constants!$B$13)+IF($Y158,0,Constants!$B$14))</f>
        <v/>
      </c>
      <c r="AR158" s="131" t="str">
        <f aca="false">IF($BD158&lt;&gt;Constants!$B$6,"",Constants!$B$16+SUM($AN158:$AQ158))</f>
        <v/>
      </c>
      <c r="AS158" s="130" t="str">
        <f aca="false">IF($BD158&lt;&gt;Constants!$B$6,"",IF($AB158,$AD158,""))</f>
        <v/>
      </c>
      <c r="AT158" s="132" t="str">
        <f aca="false">IF($BD158&lt;&gt;Constants!$B$6,"",$AO158)</f>
        <v/>
      </c>
      <c r="AU158" s="127" t="str">
        <f aca="false">IF($BD158&lt;&gt;Constants!$B$6,"",IF(OR($BA158&lt;$AR158,AND($BA158=$AR158,OR(AND(ISNUMBER($BB158),OR(NOT(ISNUMBER($AS158)),$BB158&lt;$AS158)),AND(OR(AND($BB158="",$AS158=""),AND(ISNUMBER($BB158),ISNUMBER($AS158),$BB158=$AS158)),$BC158&lt;$AT158)))),"-&gt;","&lt;-"))</f>
        <v/>
      </c>
      <c r="AV158" s="126" t="str">
        <f aca="false">IF(ISBLANK($C158),"",AND($AH158,OR($AI158="",$AJ158="",AND(NOT(ISBLANK($S158)),$AK158=""))))</f>
        <v/>
      </c>
      <c r="AW158" s="129" t="str">
        <f aca="false">IF($BD158&lt;&gt;Constants!$B$6,"",IF($AH158,Constants!$B$17*$AJ158,Constants!$B$18))</f>
        <v/>
      </c>
      <c r="AX158" s="130" t="str">
        <f aca="false">IF($BD158&lt;&gt;Constants!$B$6,"",Constants!$B$19*IF($AH158,$AI158,0))</f>
        <v/>
      </c>
      <c r="AY158" s="130" t="str">
        <f aca="false">IF($BD158&lt;&gt;Constants!$B$6,"",IF(AND($AH158,ISNUMBER($AK158)),Constants!$B$20*(Constants!$B$21-$AK158),0))</f>
        <v/>
      </c>
      <c r="AZ158" s="130" t="str">
        <f aca="false">IF($BD158&lt;&gt;Constants!$B$6,"",IF($AG158,0,Constants!$B$12)+IF($AF158,0,Constants!$B$13)+IF($Y158,0,Constants!$B$14))</f>
        <v/>
      </c>
      <c r="BA158" s="131" t="str">
        <f aca="false">IF($BD158&lt;&gt;Constants!$B$6,"",Constants!$B$16+SUM($AW158:$AZ158))</f>
        <v/>
      </c>
      <c r="BB158" s="130" t="str">
        <f aca="false">IF($BD158&lt;&gt;Constants!$B$6,"",IF($AH158,$AJ158,""))</f>
        <v/>
      </c>
      <c r="BC158" s="132" t="str">
        <f aca="false">IF($BD158&lt;&gt;Constants!$B$6,"",$AX158)</f>
        <v/>
      </c>
      <c r="BD158" s="127" t="str">
        <f aca="false">IF(ISBLANK($C158),"",IF($AL158,Constants!$B$9,IF(COUNTA($E158:$T158)=0,Constants!$B$8,IF(NOT($X158),Constants!$B$7,IF(OR($AM158,$AV158),Constants!$B$10,Constants!$B$6)))))</f>
        <v/>
      </c>
      <c r="BE158" s="127" t="str">
        <f aca="false">IF(ISBLANK($C158),"",IF($BD158&lt;&gt;Constants!$B$6,$BD158,Constants!$B$11))</f>
        <v/>
      </c>
      <c r="BF158" s="130" t="str">
        <f aca="false">IF($BD158&lt;&gt;Constants!$B$6,"",IF($AU158="-&gt;",$BA158,$AR158))</f>
        <v/>
      </c>
      <c r="BG158" s="130" t="str">
        <f aca="false">IF($BD158&lt;&gt;Constants!$B$6,"",IF($W158,0,Constants!$B$15))</f>
        <v/>
      </c>
      <c r="BH158" s="130" t="str">
        <f aca="false">IF(ISBLANK($C158),"",IF($BD158&lt;&gt;Constants!$B$6,$BD158,SUM($BF158:$BG158)))</f>
        <v/>
      </c>
      <c r="BI158" s="127" t="str">
        <f aca="false">IF(ISBLANK($C158),"",IF($BD158&lt;&gt;Constants!$B$6,$BD158,RANK($BH158,$BH$9:$BH$508,1)))</f>
        <v/>
      </c>
      <c r="BJ158" s="130" t="str">
        <f aca="false">IF($BD158&lt;&gt;Constants!$B$6,"",IF($AU158="-&gt;",$BB158,$AS158))</f>
        <v/>
      </c>
      <c r="BK158" s="127" t="str">
        <f aca="false">IF(ISBLANK($C158),"",IF($BD158&lt;&gt;Constants!$B$6,$BD158,IF(ISNUMBER($BJ158),RANK($BJ158,$BJ$9:$BJ$508,1),COUNT($BJ$9:$BJ$508)+1)))</f>
        <v/>
      </c>
      <c r="BL158" s="130" t="str">
        <f aca="false">IF($BD158&lt;&gt;Constants!$B$6,"",IF($AU158="-&gt;",$BC158,$AT158))</f>
        <v/>
      </c>
      <c r="BM158" s="127" t="str">
        <f aca="false">IF(ISBLANK($C158),"",IF($BD158&lt;&gt;Constants!$B$6,$BD158,IF(ISNUMBER($BL158),RANK($BL158,$BL$9:$BL$508,1),COUNT($BL$9:$BL$508)+1)))</f>
        <v/>
      </c>
      <c r="BN158" s="130" t="str">
        <f aca="false">IF($BD158&lt;&gt;Constants!$B$6,"",IF($AU158="-&gt;",$AS158,$BB158))</f>
        <v/>
      </c>
      <c r="BO158" s="127" t="str">
        <f aca="false">IF(ISBLANK($C158),"",IF($BD158&lt;&gt;Constants!$B$6,$BD158,IF(ISNUMBER($BN158),RANK($BN158,$BN$9:$BN$508,1),COUNT($BN$9:$BN$508)+1)))</f>
        <v/>
      </c>
      <c r="BP158" s="130" t="str">
        <f aca="false">IF($BD158&lt;&gt;Constants!$B$6,"",IF($AU158="-&gt;",$AT158,$BC158))</f>
        <v/>
      </c>
      <c r="BQ158" s="127" t="str">
        <f aca="false">IF(ISBLANK($C158),"",IF($BD158&lt;&gt;Constants!$B$6,$BD158,IF(ISNUMBER($BP158),RANK($BP158,$BP$9:$BP$508,1),COUNT($BP$9:$BP$508)+1)))</f>
        <v/>
      </c>
      <c r="BR158" s="127" t="str">
        <f aca="false">IF(ISBLANK($C158),"",IF($BD158&lt;&gt;Constants!$B$6,$BD158,COUNTIFS($BI$9:$BI$508,"&lt;"&amp;$BI158)+COUNTIFS($BI$9:$BI$508,$BI158,$BK$9:$BK$508,"&lt;"&amp;$BK158)+COUNTIFS($BI$9:$BI$508,$BI158,$BK$9:$BK$508,$BK158,$BM$9:$BM$508,"&lt;"&amp;$BM158)+COUNTIFS($BI$9:$BI$508,$BI158,$BK$9:$BK$508,$BK158,$BM$9:$BM$508,$BM158,$BO$9:$BO$508,"&lt;"&amp;$BO158)+COUNTIFS($BI$9:$BI$508,$BI158,$BK$9:$BK$508,$BK158,$BM$9:$BM$508,$BM158,$BO$9:$BO$508,$BO158,$BQ$9:$BQ$508,"&lt;"&amp;$BQ158)+1))</f>
        <v/>
      </c>
      <c r="BS158" s="127" t="str">
        <f aca="false">IF(ISBLANK($C158),"",IF($BD158&lt;&gt;Constants!$B$6,$BD158,$BI158-$BR158))</f>
        <v/>
      </c>
      <c r="BT158" s="133"/>
      <c r="BU158" s="134"/>
      <c r="BV158" s="134" t="str">
        <f aca="false">IF(ISBLANK($C158),"",IF($BD158&lt;&gt;Constants!$B$6,"",IF($AU158="-&gt;",2,1)))</f>
        <v/>
      </c>
      <c r="BW158" s="135" t="str">
        <f aca="false">IF(ISBLANK($C158),"",IF($BD158&lt;&gt;Constants!$B$6,"",IF($AU158="-&gt;",$AW158,$AN158)))</f>
        <v/>
      </c>
      <c r="BX158" s="135" t="str">
        <f aca="false">IF(ISBLANK($C158),"",IF($BD158&lt;&gt;Constants!$B$6,"",IF($AU158="-&gt;",$AX158,$AO158)))</f>
        <v/>
      </c>
      <c r="BY158" s="135" t="str">
        <f aca="false">IF(ISBLANK($C158),"",IF($BD158&lt;&gt;Constants!$B$6,"",IF($AU158="-&gt;",$AY158,$AP158)))</f>
        <v/>
      </c>
      <c r="BZ158" s="135" t="str">
        <f aca="false">IF(ISBLANK($C158),"",IF($BD158&lt;&gt;Constants!$B$6,"",IF($AU158="-&gt;",$AZ158,$AQ158)+$BG158))</f>
        <v/>
      </c>
      <c r="CA158" s="136" t="str">
        <f aca="false">IF(ISBLANK($C158),"",IF($BD158&lt;&gt;Constants!$B$6,$BD158,$BH158))</f>
        <v/>
      </c>
      <c r="CB158" s="137" t="str">
        <f aca="false">IF(ISBLANK($C158),"",$BE158)</f>
        <v/>
      </c>
      <c r="CC158" s="138" t="str">
        <f aca="false">IF(ISBLANK($C158),"",$BS158)</f>
        <v/>
      </c>
      <c r="CD158" s="138" t="str">
        <f aca="false">IF(ISBLANK($C158),"",$BR158)</f>
        <v/>
      </c>
      <c r="CE158" s="139" t="str">
        <f aca="false">IF(ISBLANK($C158),"",IF($CD158=Constants!$B$9,COUNTA($C$9:$C$508)+2,IF($CD158=Constants!$B$8,COUNTA($C$9:$C$508)+1,IF($CD158=Constants!$B$7,COUNTA($C$9:$C$508),$CD158))))</f>
        <v/>
      </c>
      <c r="CF158" s="9"/>
      <c r="CG158" s="140" t="n">
        <f aca="false">IF(OR(ISNUMBER($CD158),$CD158=Constants!$B$9,$CD158=Constants!$B$7,$CD158=Constants!$B$8),1,0)</f>
        <v>0</v>
      </c>
      <c r="CH158" s="140" t="n">
        <v>150</v>
      </c>
      <c r="CI158" s="140" t="str">
        <f aca="false">IF(ISBLANK($C158),"",IF(ISNUMBER($CE158),$CE158+ROW($B158)/1000,""))</f>
        <v/>
      </c>
      <c r="CJ158" s="140" t="str">
        <f aca="false">IF(ISNUMBER($CI158),RANK($CI158,$CI$9:$CI$508,1),"")</f>
        <v/>
      </c>
      <c r="CK158" s="140" t="str">
        <f aca="false">IF(ISBLANK($C158),"",$B158)</f>
        <v/>
      </c>
      <c r="CL158" s="140" t="str">
        <f aca="false">IF(ISBLANK($C158),"",$C158)</f>
        <v/>
      </c>
      <c r="CM158" s="140" t="str">
        <f aca="false">IF(ISBLANK($C158),"",$D158)</f>
        <v/>
      </c>
      <c r="CN158" s="141" t="str">
        <f aca="false">$CB158</f>
        <v/>
      </c>
      <c r="CO158" s="142" t="str">
        <f aca="false">$CA158</f>
        <v/>
      </c>
      <c r="CP158" s="140" t="str">
        <f aca="false">IF(ISBLANK($C158),"",$CD158)</f>
        <v/>
      </c>
      <c r="CQ158" s="143" t="str">
        <f aca="false">IF($CH158&gt;$CG$8,"",VLOOKUP($CH158,$CJ$9:$CP$508,7,FALSE()))</f>
        <v/>
      </c>
      <c r="CR158" s="144" t="str">
        <f aca="false">IF($CH158&gt;$CG$8,"",VLOOKUP($CH158,$CJ$9:$CP$508,2,FALSE()))</f>
        <v/>
      </c>
      <c r="CS158" s="144" t="str">
        <f aca="false">IF($CH158&gt;$CG$8,"",VLOOKUP($CH158,$CJ$9:$CP$508,3,FALSE()))</f>
        <v/>
      </c>
      <c r="CT158" s="144" t="str">
        <f aca="false">IF($CH158&gt;$CG$8,"",VLOOKUP($CH158,$CJ$9:$CP$508,4,FALSE()))</f>
        <v/>
      </c>
      <c r="CU158" s="144" t="str">
        <f aca="false">IF($CH158&gt;$CG$8,"",VLOOKUP($CH158,$CJ$9:$CP$508,5,FALSE()))</f>
        <v/>
      </c>
      <c r="CV158" s="145" t="str">
        <f aca="false">IF($CH158&gt;$CG$8,"",VLOOKUP($CH158,$CJ$9:$CP$508,6,FALSE()))</f>
        <v/>
      </c>
      <c r="CW158" s="71"/>
    </row>
    <row r="159" customFormat="false" ht="15.75" hidden="false" customHeight="false" outlineLevel="0" collapsed="false">
      <c r="A159" s="9"/>
      <c r="B159" s="72"/>
      <c r="C159" s="73"/>
      <c r="D159" s="160"/>
      <c r="E159" s="168"/>
      <c r="F159" s="162"/>
      <c r="G159" s="163"/>
      <c r="H159" s="169"/>
      <c r="I159" s="167"/>
      <c r="J159" s="80"/>
      <c r="K159" s="81"/>
      <c r="L159" s="82"/>
      <c r="M159" s="166"/>
      <c r="N159" s="167"/>
      <c r="O159" s="167"/>
      <c r="P159" s="80"/>
      <c r="Q159" s="82"/>
      <c r="R159" s="82"/>
      <c r="S159" s="166"/>
      <c r="T159" s="167"/>
      <c r="U159" s="86"/>
      <c r="V159" s="87"/>
      <c r="W159" s="87" t="str">
        <f aca="false">IF(ISBLANK($C159),"",IF(E159=Constants!$B$2,TRUE(),IF(E159=Constants!$B$3,FALSE(),TRUE())))</f>
        <v/>
      </c>
      <c r="X159" s="87" t="str">
        <f aca="false">IF(ISBLANK($C159),"",IF(F159=Constants!$B$2,TRUE(),IF(F159=Constants!$B$3,FALSE(),TRUE())))</f>
        <v/>
      </c>
      <c r="Y159" s="87" t="str">
        <f aca="false">IF(ISBLANK($C159),"",IF(G159=Constants!$B$2,TRUE(),IF(G159=Constants!$B$3,FALSE(),TRUE())))</f>
        <v/>
      </c>
      <c r="Z159" s="87" t="str">
        <f aca="false">IF(ISBLANK($C159),"",IF(H159=Constants!$B$2,TRUE(),IF(H159=Constants!$B$3,FALSE(),TRUE())))</f>
        <v/>
      </c>
      <c r="AA159" s="87" t="str">
        <f aca="false">IF(ISBLANK($C159),"",IF(I159=Constants!$B$2,TRUE(),IF(I159=Constants!$B$3,FALSE(),TRUE())))</f>
        <v/>
      </c>
      <c r="AB159" s="87" t="str">
        <f aca="false">IF(ISBLANK($C159),"",IF(J159=Constants!$B$4,TRUE(),IF(J159=Constants!$B$5,FALSE(),COUNTA(K159:M159)&gt;0)))</f>
        <v/>
      </c>
      <c r="AC159" s="88" t="str">
        <f aca="false">IF(ISBLANK($C159),"",IF(ISNUMBER(K159),IF(K159&gt;=0,K159,""),""))</f>
        <v/>
      </c>
      <c r="AD159" s="89" t="str">
        <f aca="false">IF(ISBLANK($C159),"",IF(ISNUMBER(L159),IF(L159&gt;=0,L159,""),""))</f>
        <v/>
      </c>
      <c r="AE159" s="87" t="str">
        <f aca="false">IF(ISBLANK($C159),"",IF(ISNUMBER(M159),IF(M159&gt;=0,MIN(M159,Constants!$B$22),""),""))</f>
        <v/>
      </c>
      <c r="AF159" s="87" t="str">
        <f aca="false">IF(ISBLANK($C159),"",IF(N159=Constants!$B$2,TRUE(),IF(N159=Constants!$B$3,FALSE(),TRUE())))</f>
        <v/>
      </c>
      <c r="AG159" s="87" t="str">
        <f aca="false">IF(ISBLANK($C159),"",IF(O159=Constants!$B$2,TRUE(),IF(O159=Constants!$B$3,FALSE(),TRUE())))</f>
        <v/>
      </c>
      <c r="AH159" s="87" t="str">
        <f aca="false">IF(ISBLANK($C159),"",IF(P159=Constants!$B$4,TRUE(),IF(P159=Constants!$B$5,FALSE(),COUNTA(Q159:S159)&gt;0)))</f>
        <v/>
      </c>
      <c r="AI159" s="88" t="str">
        <f aca="false">IF(ISBLANK($C159),"",IF(ISNUMBER(Q159),IF(Q159&gt;=0,Q159,""),""))</f>
        <v/>
      </c>
      <c r="AJ159" s="89" t="str">
        <f aca="false">IF(ISBLANK($C159),"",IF(ISNUMBER(R159),IF(R159&gt;=0,R159,""),""))</f>
        <v/>
      </c>
      <c r="AK159" s="87" t="str">
        <f aca="false">IF(ISBLANK($C159),"",IF(ISNUMBER(S159),IF(S159&gt;=0,MIN(S159,Constants!$B$22),""),""))</f>
        <v/>
      </c>
      <c r="AL159" s="87" t="str">
        <f aca="false">IF(ISBLANK($C159),"",IF(T159=Constants!$B$2,TRUE(),IF(T159=Constants!$B$3,FALSE(),FALSE())))</f>
        <v/>
      </c>
      <c r="AM159" s="86" t="str">
        <f aca="false">IF(ISBLANK($C159),"",AND($AB159,OR($AC159="",$AD159="",AND(NOT(ISBLANK($M159)),$AE159=""))))</f>
        <v/>
      </c>
      <c r="AN159" s="89" t="str">
        <f aca="false">IF($BD159&lt;&gt;Constants!$B$6,"",IF($AB159,Constants!$B$17*$AD159,Constants!$B$18))</f>
        <v/>
      </c>
      <c r="AO159" s="91" t="str">
        <f aca="false">IF($BD159&lt;&gt;Constants!$B$6,"",Constants!$B$19*IF($AB159,$AC159,0))</f>
        <v/>
      </c>
      <c r="AP159" s="91" t="str">
        <f aca="false">IF($BD159&lt;&gt;Constants!$B$6,"",IF(AND($AB159,ISNUMBER($AE159)),Constants!$B$20*(Constants!$B$21-$AE159),0))</f>
        <v/>
      </c>
      <c r="AQ159" s="91" t="str">
        <f aca="false">IF($BD159&lt;&gt;Constants!$B$6,"",IF($AA159,0,Constants!$B$12)+IF($Z159,0,Constants!$B$13)+IF($Y159,0,Constants!$B$14))</f>
        <v/>
      </c>
      <c r="AR159" s="92" t="str">
        <f aca="false">IF($BD159&lt;&gt;Constants!$B$6,"",Constants!$B$16+SUM($AN159:$AQ159))</f>
        <v/>
      </c>
      <c r="AS159" s="91" t="str">
        <f aca="false">IF($BD159&lt;&gt;Constants!$B$6,"",IF($AB159,$AD159,""))</f>
        <v/>
      </c>
      <c r="AT159" s="93" t="str">
        <f aca="false">IF($BD159&lt;&gt;Constants!$B$6,"",$AO159)</f>
        <v/>
      </c>
      <c r="AU159" s="87" t="str">
        <f aca="false">IF($BD159&lt;&gt;Constants!$B$6,"",IF(OR($BA159&lt;$AR159,AND($BA159=$AR159,OR(AND(ISNUMBER($BB159),OR(NOT(ISNUMBER($AS159)),$BB159&lt;$AS159)),AND(OR(AND($BB159="",$AS159=""),AND(ISNUMBER($BB159),ISNUMBER($AS159),$BB159=$AS159)),$BC159&lt;$AT159)))),"-&gt;","&lt;-"))</f>
        <v/>
      </c>
      <c r="AV159" s="86" t="str">
        <f aca="false">IF(ISBLANK($C159),"",AND($AH159,OR($AI159="",$AJ159="",AND(NOT(ISBLANK($S159)),$AK159=""))))</f>
        <v/>
      </c>
      <c r="AW159" s="89" t="str">
        <f aca="false">IF($BD159&lt;&gt;Constants!$B$6,"",IF($AH159,Constants!$B$17*$AJ159,Constants!$B$18))</f>
        <v/>
      </c>
      <c r="AX159" s="91" t="str">
        <f aca="false">IF($BD159&lt;&gt;Constants!$B$6,"",Constants!$B$19*IF($AH159,$AI159,0))</f>
        <v/>
      </c>
      <c r="AY159" s="91" t="str">
        <f aca="false">IF($BD159&lt;&gt;Constants!$B$6,"",IF(AND($AH159,ISNUMBER($AK159)),Constants!$B$20*(Constants!$B$21-$AK159),0))</f>
        <v/>
      </c>
      <c r="AZ159" s="91" t="str">
        <f aca="false">IF($BD159&lt;&gt;Constants!$B$6,"",IF($AG159,0,Constants!$B$12)+IF($AF159,0,Constants!$B$13)+IF($Y159,0,Constants!$B$14))</f>
        <v/>
      </c>
      <c r="BA159" s="92" t="str">
        <f aca="false">IF($BD159&lt;&gt;Constants!$B$6,"",Constants!$B$16+SUM($AW159:$AZ159))</f>
        <v/>
      </c>
      <c r="BB159" s="91" t="str">
        <f aca="false">IF($BD159&lt;&gt;Constants!$B$6,"",IF($AH159,$AJ159,""))</f>
        <v/>
      </c>
      <c r="BC159" s="93" t="str">
        <f aca="false">IF($BD159&lt;&gt;Constants!$B$6,"",$AX159)</f>
        <v/>
      </c>
      <c r="BD159" s="87" t="str">
        <f aca="false">IF(ISBLANK($C159),"",IF($AL159,Constants!$B$9,IF(COUNTA($E159:$T159)=0,Constants!$B$8,IF(NOT($X159),Constants!$B$7,IF(OR($AM159,$AV159),Constants!$B$10,Constants!$B$6)))))</f>
        <v/>
      </c>
      <c r="BE159" s="87" t="str">
        <f aca="false">IF(ISBLANK($C159),"",IF($BD159&lt;&gt;Constants!$B$6,$BD159,Constants!$B$11))</f>
        <v/>
      </c>
      <c r="BF159" s="91" t="str">
        <f aca="false">IF($BD159&lt;&gt;Constants!$B$6,"",IF($AU159="-&gt;",$BA159,$AR159))</f>
        <v/>
      </c>
      <c r="BG159" s="91" t="str">
        <f aca="false">IF($BD159&lt;&gt;Constants!$B$6,"",IF($W159,0,Constants!$B$15))</f>
        <v/>
      </c>
      <c r="BH159" s="91" t="str">
        <f aca="false">IF(ISBLANK($C159),"",IF($BD159&lt;&gt;Constants!$B$6,$BD159,SUM($BF159:$BG159)))</f>
        <v/>
      </c>
      <c r="BI159" s="87" t="str">
        <f aca="false">IF(ISBLANK($C159),"",IF($BD159&lt;&gt;Constants!$B$6,$BD159,RANK($BH159,$BH$9:$BH$508,1)))</f>
        <v/>
      </c>
      <c r="BJ159" s="91" t="str">
        <f aca="false">IF($BD159&lt;&gt;Constants!$B$6,"",IF($AU159="-&gt;",$BB159,$AS159))</f>
        <v/>
      </c>
      <c r="BK159" s="87" t="str">
        <f aca="false">IF(ISBLANK($C159),"",IF($BD159&lt;&gt;Constants!$B$6,$BD159,IF(ISNUMBER($BJ159),RANK($BJ159,$BJ$9:$BJ$508,1),COUNT($BJ$9:$BJ$508)+1)))</f>
        <v/>
      </c>
      <c r="BL159" s="91" t="str">
        <f aca="false">IF($BD159&lt;&gt;Constants!$B$6,"",IF($AU159="-&gt;",$BC159,$AT159))</f>
        <v/>
      </c>
      <c r="BM159" s="87" t="str">
        <f aca="false">IF(ISBLANK($C159),"",IF($BD159&lt;&gt;Constants!$B$6,$BD159,IF(ISNUMBER($BL159),RANK($BL159,$BL$9:$BL$508,1),COUNT($BL$9:$BL$508)+1)))</f>
        <v/>
      </c>
      <c r="BN159" s="91" t="str">
        <f aca="false">IF($BD159&lt;&gt;Constants!$B$6,"",IF($AU159="-&gt;",$AS159,$BB159))</f>
        <v/>
      </c>
      <c r="BO159" s="87" t="str">
        <f aca="false">IF(ISBLANK($C159),"",IF($BD159&lt;&gt;Constants!$B$6,$BD159,IF(ISNUMBER($BN159),RANK($BN159,$BN$9:$BN$508,1),COUNT($BN$9:$BN$508)+1)))</f>
        <v/>
      </c>
      <c r="BP159" s="91" t="str">
        <f aca="false">IF($BD159&lt;&gt;Constants!$B$6,"",IF($AU159="-&gt;",$AT159,$BC159))</f>
        <v/>
      </c>
      <c r="BQ159" s="87" t="str">
        <f aca="false">IF(ISBLANK($C159),"",IF($BD159&lt;&gt;Constants!$B$6,$BD159,IF(ISNUMBER($BP159),RANK($BP159,$BP$9:$BP$508,1),COUNT($BP$9:$BP$508)+1)))</f>
        <v/>
      </c>
      <c r="BR159" s="87" t="str">
        <f aca="false">IF(ISBLANK($C159),"",IF($BD159&lt;&gt;Constants!$B$6,$BD159,COUNTIFS($BI$9:$BI$508,"&lt;"&amp;$BI159)+COUNTIFS($BI$9:$BI$508,$BI159,$BK$9:$BK$508,"&lt;"&amp;$BK159)+COUNTIFS($BI$9:$BI$508,$BI159,$BK$9:$BK$508,$BK159,$BM$9:$BM$508,"&lt;"&amp;$BM159)+COUNTIFS($BI$9:$BI$508,$BI159,$BK$9:$BK$508,$BK159,$BM$9:$BM$508,$BM159,$BO$9:$BO$508,"&lt;"&amp;$BO159)+COUNTIFS($BI$9:$BI$508,$BI159,$BK$9:$BK$508,$BK159,$BM$9:$BM$508,$BM159,$BO$9:$BO$508,$BO159,$BQ$9:$BQ$508,"&lt;"&amp;$BQ159)+1))</f>
        <v/>
      </c>
      <c r="BS159" s="87" t="str">
        <f aca="false">IF(ISBLANK($C159),"",IF($BD159&lt;&gt;Constants!$B$6,$BD159,$BI159-$BR159))</f>
        <v/>
      </c>
      <c r="BT159" s="94"/>
      <c r="BU159" s="95"/>
      <c r="BV159" s="95" t="str">
        <f aca="false">IF(ISBLANK($C159),"",IF($BD159&lt;&gt;Constants!$B$6,"",IF($AU159="-&gt;",2,1)))</f>
        <v/>
      </c>
      <c r="BW159" s="96" t="str">
        <f aca="false">IF(ISBLANK($C159),"",IF($BD159&lt;&gt;Constants!$B$6,"",IF($AU159="-&gt;",$AW159,$AN159)))</f>
        <v/>
      </c>
      <c r="BX159" s="96" t="str">
        <f aca="false">IF(ISBLANK($C159),"",IF($BD159&lt;&gt;Constants!$B$6,"",IF($AU159="-&gt;",$AX159,$AO159)))</f>
        <v/>
      </c>
      <c r="BY159" s="96" t="str">
        <f aca="false">IF(ISBLANK($C159),"",IF($BD159&lt;&gt;Constants!$B$6,"",IF($AU159="-&gt;",$AY159,$AP159)))</f>
        <v/>
      </c>
      <c r="BZ159" s="96" t="str">
        <f aca="false">IF(ISBLANK($C159),"",IF($BD159&lt;&gt;Constants!$B$6,"",IF($AU159="-&gt;",$AZ159,$AQ159)+$BG159))</f>
        <v/>
      </c>
      <c r="CA159" s="97" t="str">
        <f aca="false">IF(ISBLANK($C159),"",IF($BD159&lt;&gt;Constants!$B$6,$BD159,$BH159))</f>
        <v/>
      </c>
      <c r="CB159" s="98" t="str">
        <f aca="false">IF(ISBLANK($C159),"",$BE159)</f>
        <v/>
      </c>
      <c r="CC159" s="99" t="str">
        <f aca="false">IF(ISBLANK($C159),"",$BS159)</f>
        <v/>
      </c>
      <c r="CD159" s="99" t="str">
        <f aca="false">IF(ISBLANK($C159),"",$BR159)</f>
        <v/>
      </c>
      <c r="CE159" s="100" t="str">
        <f aca="false">IF(ISBLANK($C159),"",IF($CD159=Constants!$B$9,COUNTA($C$9:$C$508)+2,IF($CD159=Constants!$B$8,COUNTA($C$9:$C$508)+1,IF($CD159=Constants!$B$7,COUNTA($C$9:$C$508),$CD159))))</f>
        <v/>
      </c>
      <c r="CF159" s="9"/>
      <c r="CG159" s="101" t="n">
        <f aca="false">IF(OR(ISNUMBER($CD159),$CD159=Constants!$B$9,$CD159=Constants!$B$7,$CD159=Constants!$B$8),1,0)</f>
        <v>0</v>
      </c>
      <c r="CH159" s="101" t="n">
        <v>151</v>
      </c>
      <c r="CI159" s="101" t="str">
        <f aca="false">IF(ISBLANK($C159),"",IF(ISNUMBER($CE159),$CE159+ROW($B159)/1000,""))</f>
        <v/>
      </c>
      <c r="CJ159" s="101" t="str">
        <f aca="false">IF(ISNUMBER($CI159),RANK($CI159,$CI$9:$CI$508,1),"")</f>
        <v/>
      </c>
      <c r="CK159" s="101" t="str">
        <f aca="false">IF(ISBLANK($C159),"",$B159)</f>
        <v/>
      </c>
      <c r="CL159" s="101" t="str">
        <f aca="false">IF(ISBLANK($C159),"",$C159)</f>
        <v/>
      </c>
      <c r="CM159" s="101" t="str">
        <f aca="false">IF(ISBLANK($C159),"",$D159)</f>
        <v/>
      </c>
      <c r="CN159" s="102" t="str">
        <f aca="false">$CB159</f>
        <v/>
      </c>
      <c r="CO159" s="103" t="str">
        <f aca="false">$CA159</f>
        <v/>
      </c>
      <c r="CP159" s="101" t="str">
        <f aca="false">IF(ISBLANK($C159),"",$CD159)</f>
        <v/>
      </c>
      <c r="CQ159" s="104" t="str">
        <f aca="false">IF($CH159&gt;$CG$8,"",VLOOKUP($CH159,$CJ$9:$CP$508,7,FALSE()))</f>
        <v/>
      </c>
      <c r="CR159" s="105" t="str">
        <f aca="false">IF($CH159&gt;$CG$8,"",VLOOKUP($CH159,$CJ$9:$CP$508,2,FALSE()))</f>
        <v/>
      </c>
      <c r="CS159" s="105" t="str">
        <f aca="false">IF($CH159&gt;$CG$8,"",VLOOKUP($CH159,$CJ$9:$CP$508,3,FALSE()))</f>
        <v/>
      </c>
      <c r="CT159" s="105" t="str">
        <f aca="false">IF($CH159&gt;$CG$8,"",VLOOKUP($CH159,$CJ$9:$CP$508,4,FALSE()))</f>
        <v/>
      </c>
      <c r="CU159" s="105" t="str">
        <f aca="false">IF($CH159&gt;$CG$8,"",VLOOKUP($CH159,$CJ$9:$CP$508,5,FALSE()))</f>
        <v/>
      </c>
      <c r="CV159" s="106" t="str">
        <f aca="false">IF($CH159&gt;$CG$8,"",VLOOKUP($CH159,$CJ$9:$CP$508,6,FALSE()))</f>
        <v/>
      </c>
      <c r="CW159" s="71"/>
    </row>
    <row r="160" customFormat="false" ht="15.75" hidden="false" customHeight="false" outlineLevel="0" collapsed="false">
      <c r="A160" s="9"/>
      <c r="B160" s="72"/>
      <c r="C160" s="73"/>
      <c r="D160" s="160"/>
      <c r="E160" s="168"/>
      <c r="F160" s="162"/>
      <c r="G160" s="163"/>
      <c r="H160" s="169"/>
      <c r="I160" s="167"/>
      <c r="J160" s="80"/>
      <c r="K160" s="81"/>
      <c r="L160" s="82"/>
      <c r="M160" s="166"/>
      <c r="N160" s="167"/>
      <c r="O160" s="167"/>
      <c r="P160" s="80"/>
      <c r="Q160" s="82"/>
      <c r="R160" s="82"/>
      <c r="S160" s="166"/>
      <c r="T160" s="167"/>
      <c r="U160" s="86"/>
      <c r="V160" s="87"/>
      <c r="W160" s="87" t="str">
        <f aca="false">IF(ISBLANK($C160),"",IF(E160=Constants!$B$2,TRUE(),IF(E160=Constants!$B$3,FALSE(),TRUE())))</f>
        <v/>
      </c>
      <c r="X160" s="87" t="str">
        <f aca="false">IF(ISBLANK($C160),"",IF(F160=Constants!$B$2,TRUE(),IF(F160=Constants!$B$3,FALSE(),TRUE())))</f>
        <v/>
      </c>
      <c r="Y160" s="87" t="str">
        <f aca="false">IF(ISBLANK($C160),"",IF(G160=Constants!$B$2,TRUE(),IF(G160=Constants!$B$3,FALSE(),TRUE())))</f>
        <v/>
      </c>
      <c r="Z160" s="87" t="str">
        <f aca="false">IF(ISBLANK($C160),"",IF(H160=Constants!$B$2,TRUE(),IF(H160=Constants!$B$3,FALSE(),TRUE())))</f>
        <v/>
      </c>
      <c r="AA160" s="87" t="str">
        <f aca="false">IF(ISBLANK($C160),"",IF(I160=Constants!$B$2,TRUE(),IF(I160=Constants!$B$3,FALSE(),TRUE())))</f>
        <v/>
      </c>
      <c r="AB160" s="87" t="str">
        <f aca="false">IF(ISBLANK($C160),"",IF(J160=Constants!$B$4,TRUE(),IF(J160=Constants!$B$5,FALSE(),COUNTA(K160:M160)&gt;0)))</f>
        <v/>
      </c>
      <c r="AC160" s="88" t="str">
        <f aca="false">IF(ISBLANK($C160),"",IF(ISNUMBER(K160),IF(K160&gt;=0,K160,""),""))</f>
        <v/>
      </c>
      <c r="AD160" s="89" t="str">
        <f aca="false">IF(ISBLANK($C160),"",IF(ISNUMBER(L160),IF(L160&gt;=0,L160,""),""))</f>
        <v/>
      </c>
      <c r="AE160" s="87" t="str">
        <f aca="false">IF(ISBLANK($C160),"",IF(ISNUMBER(M160),IF(M160&gt;=0,MIN(M160,Constants!$B$22),""),""))</f>
        <v/>
      </c>
      <c r="AF160" s="87" t="str">
        <f aca="false">IF(ISBLANK($C160),"",IF(N160=Constants!$B$2,TRUE(),IF(N160=Constants!$B$3,FALSE(),TRUE())))</f>
        <v/>
      </c>
      <c r="AG160" s="87" t="str">
        <f aca="false">IF(ISBLANK($C160),"",IF(O160=Constants!$B$2,TRUE(),IF(O160=Constants!$B$3,FALSE(),TRUE())))</f>
        <v/>
      </c>
      <c r="AH160" s="87" t="str">
        <f aca="false">IF(ISBLANK($C160),"",IF(P160=Constants!$B$4,TRUE(),IF(P160=Constants!$B$5,FALSE(),COUNTA(Q160:S160)&gt;0)))</f>
        <v/>
      </c>
      <c r="AI160" s="88" t="str">
        <f aca="false">IF(ISBLANK($C160),"",IF(ISNUMBER(Q160),IF(Q160&gt;=0,Q160,""),""))</f>
        <v/>
      </c>
      <c r="AJ160" s="89" t="str">
        <f aca="false">IF(ISBLANK($C160),"",IF(ISNUMBER(R160),IF(R160&gt;=0,R160,""),""))</f>
        <v/>
      </c>
      <c r="AK160" s="87" t="str">
        <f aca="false">IF(ISBLANK($C160),"",IF(ISNUMBER(S160),IF(S160&gt;=0,MIN(S160,Constants!$B$22),""),""))</f>
        <v/>
      </c>
      <c r="AL160" s="87" t="str">
        <f aca="false">IF(ISBLANK($C160),"",IF(T160=Constants!$B$2,TRUE(),IF(T160=Constants!$B$3,FALSE(),FALSE())))</f>
        <v/>
      </c>
      <c r="AM160" s="86" t="str">
        <f aca="false">IF(ISBLANK($C160),"",AND($AB160,OR($AC160="",$AD160="",AND(NOT(ISBLANK($M160)),$AE160=""))))</f>
        <v/>
      </c>
      <c r="AN160" s="89" t="str">
        <f aca="false">IF($BD160&lt;&gt;Constants!$B$6,"",IF($AB160,Constants!$B$17*$AD160,Constants!$B$18))</f>
        <v/>
      </c>
      <c r="AO160" s="91" t="str">
        <f aca="false">IF($BD160&lt;&gt;Constants!$B$6,"",Constants!$B$19*IF($AB160,$AC160,0))</f>
        <v/>
      </c>
      <c r="AP160" s="91" t="str">
        <f aca="false">IF($BD160&lt;&gt;Constants!$B$6,"",IF(AND($AB160,ISNUMBER($AE160)),Constants!$B$20*(Constants!$B$21-$AE160),0))</f>
        <v/>
      </c>
      <c r="AQ160" s="91" t="str">
        <f aca="false">IF($BD160&lt;&gt;Constants!$B$6,"",IF($AA160,0,Constants!$B$12)+IF($Z160,0,Constants!$B$13)+IF($Y160,0,Constants!$B$14))</f>
        <v/>
      </c>
      <c r="AR160" s="92" t="str">
        <f aca="false">IF($BD160&lt;&gt;Constants!$B$6,"",Constants!$B$16+SUM($AN160:$AQ160))</f>
        <v/>
      </c>
      <c r="AS160" s="91" t="str">
        <f aca="false">IF($BD160&lt;&gt;Constants!$B$6,"",IF($AB160,$AD160,""))</f>
        <v/>
      </c>
      <c r="AT160" s="93" t="str">
        <f aca="false">IF($BD160&lt;&gt;Constants!$B$6,"",$AO160)</f>
        <v/>
      </c>
      <c r="AU160" s="87" t="str">
        <f aca="false">IF($BD160&lt;&gt;Constants!$B$6,"",IF(OR($BA160&lt;$AR160,AND($BA160=$AR160,OR(AND(ISNUMBER($BB160),OR(NOT(ISNUMBER($AS160)),$BB160&lt;$AS160)),AND(OR(AND($BB160="",$AS160=""),AND(ISNUMBER($BB160),ISNUMBER($AS160),$BB160=$AS160)),$BC160&lt;$AT160)))),"-&gt;","&lt;-"))</f>
        <v/>
      </c>
      <c r="AV160" s="86" t="str">
        <f aca="false">IF(ISBLANK($C160),"",AND($AH160,OR($AI160="",$AJ160="",AND(NOT(ISBLANK($S160)),$AK160=""))))</f>
        <v/>
      </c>
      <c r="AW160" s="89" t="str">
        <f aca="false">IF($BD160&lt;&gt;Constants!$B$6,"",IF($AH160,Constants!$B$17*$AJ160,Constants!$B$18))</f>
        <v/>
      </c>
      <c r="AX160" s="91" t="str">
        <f aca="false">IF($BD160&lt;&gt;Constants!$B$6,"",Constants!$B$19*IF($AH160,$AI160,0))</f>
        <v/>
      </c>
      <c r="AY160" s="91" t="str">
        <f aca="false">IF($BD160&lt;&gt;Constants!$B$6,"",IF(AND($AH160,ISNUMBER($AK160)),Constants!$B$20*(Constants!$B$21-$AK160),0))</f>
        <v/>
      </c>
      <c r="AZ160" s="91" t="str">
        <f aca="false">IF($BD160&lt;&gt;Constants!$B$6,"",IF($AG160,0,Constants!$B$12)+IF($AF160,0,Constants!$B$13)+IF($Y160,0,Constants!$B$14))</f>
        <v/>
      </c>
      <c r="BA160" s="92" t="str">
        <f aca="false">IF($BD160&lt;&gt;Constants!$B$6,"",Constants!$B$16+SUM($AW160:$AZ160))</f>
        <v/>
      </c>
      <c r="BB160" s="91" t="str">
        <f aca="false">IF($BD160&lt;&gt;Constants!$B$6,"",IF($AH160,$AJ160,""))</f>
        <v/>
      </c>
      <c r="BC160" s="93" t="str">
        <f aca="false">IF($BD160&lt;&gt;Constants!$B$6,"",$AX160)</f>
        <v/>
      </c>
      <c r="BD160" s="87" t="str">
        <f aca="false">IF(ISBLANK($C160),"",IF($AL160,Constants!$B$9,IF(COUNTA($E160:$T160)=0,Constants!$B$8,IF(NOT($X160),Constants!$B$7,IF(OR($AM160,$AV160),Constants!$B$10,Constants!$B$6)))))</f>
        <v/>
      </c>
      <c r="BE160" s="87" t="str">
        <f aca="false">IF(ISBLANK($C160),"",IF($BD160&lt;&gt;Constants!$B$6,$BD160,Constants!$B$11))</f>
        <v/>
      </c>
      <c r="BF160" s="91" t="str">
        <f aca="false">IF($BD160&lt;&gt;Constants!$B$6,"",IF($AU160="-&gt;",$BA160,$AR160))</f>
        <v/>
      </c>
      <c r="BG160" s="91" t="str">
        <f aca="false">IF($BD160&lt;&gt;Constants!$B$6,"",IF($W160,0,Constants!$B$15))</f>
        <v/>
      </c>
      <c r="BH160" s="91" t="str">
        <f aca="false">IF(ISBLANK($C160),"",IF($BD160&lt;&gt;Constants!$B$6,$BD160,SUM($BF160:$BG160)))</f>
        <v/>
      </c>
      <c r="BI160" s="87" t="str">
        <f aca="false">IF(ISBLANK($C160),"",IF($BD160&lt;&gt;Constants!$B$6,$BD160,RANK($BH160,$BH$9:$BH$508,1)))</f>
        <v/>
      </c>
      <c r="BJ160" s="91" t="str">
        <f aca="false">IF($BD160&lt;&gt;Constants!$B$6,"",IF($AU160="-&gt;",$BB160,$AS160))</f>
        <v/>
      </c>
      <c r="BK160" s="87" t="str">
        <f aca="false">IF(ISBLANK($C160),"",IF($BD160&lt;&gt;Constants!$B$6,$BD160,IF(ISNUMBER($BJ160),RANK($BJ160,$BJ$9:$BJ$508,1),COUNT($BJ$9:$BJ$508)+1)))</f>
        <v/>
      </c>
      <c r="BL160" s="91" t="str">
        <f aca="false">IF($BD160&lt;&gt;Constants!$B$6,"",IF($AU160="-&gt;",$BC160,$AT160))</f>
        <v/>
      </c>
      <c r="BM160" s="87" t="str">
        <f aca="false">IF(ISBLANK($C160),"",IF($BD160&lt;&gt;Constants!$B$6,$BD160,IF(ISNUMBER($BL160),RANK($BL160,$BL$9:$BL$508,1),COUNT($BL$9:$BL$508)+1)))</f>
        <v/>
      </c>
      <c r="BN160" s="91" t="str">
        <f aca="false">IF($BD160&lt;&gt;Constants!$B$6,"",IF($AU160="-&gt;",$AS160,$BB160))</f>
        <v/>
      </c>
      <c r="BO160" s="87" t="str">
        <f aca="false">IF(ISBLANK($C160),"",IF($BD160&lt;&gt;Constants!$B$6,$BD160,IF(ISNUMBER($BN160),RANK($BN160,$BN$9:$BN$508,1),COUNT($BN$9:$BN$508)+1)))</f>
        <v/>
      </c>
      <c r="BP160" s="91" t="str">
        <f aca="false">IF($BD160&lt;&gt;Constants!$B$6,"",IF($AU160="-&gt;",$AT160,$BC160))</f>
        <v/>
      </c>
      <c r="BQ160" s="87" t="str">
        <f aca="false">IF(ISBLANK($C160),"",IF($BD160&lt;&gt;Constants!$B$6,$BD160,IF(ISNUMBER($BP160),RANK($BP160,$BP$9:$BP$508,1),COUNT($BP$9:$BP$508)+1)))</f>
        <v/>
      </c>
      <c r="BR160" s="87" t="str">
        <f aca="false">IF(ISBLANK($C160),"",IF($BD160&lt;&gt;Constants!$B$6,$BD160,COUNTIFS($BI$9:$BI$508,"&lt;"&amp;$BI160)+COUNTIFS($BI$9:$BI$508,$BI160,$BK$9:$BK$508,"&lt;"&amp;$BK160)+COUNTIFS($BI$9:$BI$508,$BI160,$BK$9:$BK$508,$BK160,$BM$9:$BM$508,"&lt;"&amp;$BM160)+COUNTIFS($BI$9:$BI$508,$BI160,$BK$9:$BK$508,$BK160,$BM$9:$BM$508,$BM160,$BO$9:$BO$508,"&lt;"&amp;$BO160)+COUNTIFS($BI$9:$BI$508,$BI160,$BK$9:$BK$508,$BK160,$BM$9:$BM$508,$BM160,$BO$9:$BO$508,$BO160,$BQ$9:$BQ$508,"&lt;"&amp;$BQ160)+1))</f>
        <v/>
      </c>
      <c r="BS160" s="87" t="str">
        <f aca="false">IF(ISBLANK($C160),"",IF($BD160&lt;&gt;Constants!$B$6,$BD160,$BI160-$BR160))</f>
        <v/>
      </c>
      <c r="BT160" s="94"/>
      <c r="BU160" s="95"/>
      <c r="BV160" s="95" t="str">
        <f aca="false">IF(ISBLANK($C160),"",IF($BD160&lt;&gt;Constants!$B$6,"",IF($AU160="-&gt;",2,1)))</f>
        <v/>
      </c>
      <c r="BW160" s="96" t="str">
        <f aca="false">IF(ISBLANK($C160),"",IF($BD160&lt;&gt;Constants!$B$6,"",IF($AU160="-&gt;",$AW160,$AN160)))</f>
        <v/>
      </c>
      <c r="BX160" s="96" t="str">
        <f aca="false">IF(ISBLANK($C160),"",IF($BD160&lt;&gt;Constants!$B$6,"",IF($AU160="-&gt;",$AX160,$AO160)))</f>
        <v/>
      </c>
      <c r="BY160" s="96" t="str">
        <f aca="false">IF(ISBLANK($C160),"",IF($BD160&lt;&gt;Constants!$B$6,"",IF($AU160="-&gt;",$AY160,$AP160)))</f>
        <v/>
      </c>
      <c r="BZ160" s="96" t="str">
        <f aca="false">IF(ISBLANK($C160),"",IF($BD160&lt;&gt;Constants!$B$6,"",IF($AU160="-&gt;",$AZ160,$AQ160)+$BG160))</f>
        <v/>
      </c>
      <c r="CA160" s="97" t="str">
        <f aca="false">IF(ISBLANK($C160),"",IF($BD160&lt;&gt;Constants!$B$6,$BD160,$BH160))</f>
        <v/>
      </c>
      <c r="CB160" s="98" t="str">
        <f aca="false">IF(ISBLANK($C160),"",$BE160)</f>
        <v/>
      </c>
      <c r="CC160" s="99" t="str">
        <f aca="false">IF(ISBLANK($C160),"",$BS160)</f>
        <v/>
      </c>
      <c r="CD160" s="99" t="str">
        <f aca="false">IF(ISBLANK($C160),"",$BR160)</f>
        <v/>
      </c>
      <c r="CE160" s="100" t="str">
        <f aca="false">IF(ISBLANK($C160),"",IF($CD160=Constants!$B$9,COUNTA($C$9:$C$508)+2,IF($CD160=Constants!$B$8,COUNTA($C$9:$C$508)+1,IF($CD160=Constants!$B$7,COUNTA($C$9:$C$508),$CD160))))</f>
        <v/>
      </c>
      <c r="CF160" s="9"/>
      <c r="CG160" s="101" t="n">
        <f aca="false">IF(OR(ISNUMBER($CD160),$CD160=Constants!$B$9,$CD160=Constants!$B$7,$CD160=Constants!$B$8),1,0)</f>
        <v>0</v>
      </c>
      <c r="CH160" s="101" t="n">
        <v>152</v>
      </c>
      <c r="CI160" s="101" t="str">
        <f aca="false">IF(ISBLANK($C160),"",IF(ISNUMBER($CE160),$CE160+ROW($B160)/1000,""))</f>
        <v/>
      </c>
      <c r="CJ160" s="101" t="str">
        <f aca="false">IF(ISNUMBER($CI160),RANK($CI160,$CI$9:$CI$508,1),"")</f>
        <v/>
      </c>
      <c r="CK160" s="101" t="str">
        <f aca="false">IF(ISBLANK($C160),"",$B160)</f>
        <v/>
      </c>
      <c r="CL160" s="101" t="str">
        <f aca="false">IF(ISBLANK($C160),"",$C160)</f>
        <v/>
      </c>
      <c r="CM160" s="101" t="str">
        <f aca="false">IF(ISBLANK($C160),"",$D160)</f>
        <v/>
      </c>
      <c r="CN160" s="102" t="str">
        <f aca="false">$CB160</f>
        <v/>
      </c>
      <c r="CO160" s="103" t="str">
        <f aca="false">$CA160</f>
        <v/>
      </c>
      <c r="CP160" s="101" t="str">
        <f aca="false">IF(ISBLANK($C160),"",$CD160)</f>
        <v/>
      </c>
      <c r="CQ160" s="104" t="str">
        <f aca="false">IF($CH160&gt;$CG$8,"",VLOOKUP($CH160,$CJ$9:$CP$508,7,FALSE()))</f>
        <v/>
      </c>
      <c r="CR160" s="105" t="str">
        <f aca="false">IF($CH160&gt;$CG$8,"",VLOOKUP($CH160,$CJ$9:$CP$508,2,FALSE()))</f>
        <v/>
      </c>
      <c r="CS160" s="105" t="str">
        <f aca="false">IF($CH160&gt;$CG$8,"",VLOOKUP($CH160,$CJ$9:$CP$508,3,FALSE()))</f>
        <v/>
      </c>
      <c r="CT160" s="105" t="str">
        <f aca="false">IF($CH160&gt;$CG$8,"",VLOOKUP($CH160,$CJ$9:$CP$508,4,FALSE()))</f>
        <v/>
      </c>
      <c r="CU160" s="105" t="str">
        <f aca="false">IF($CH160&gt;$CG$8,"",VLOOKUP($CH160,$CJ$9:$CP$508,5,FALSE()))</f>
        <v/>
      </c>
      <c r="CV160" s="106" t="str">
        <f aca="false">IF($CH160&gt;$CG$8,"",VLOOKUP($CH160,$CJ$9:$CP$508,6,FALSE()))</f>
        <v/>
      </c>
      <c r="CW160" s="71"/>
    </row>
    <row r="161" customFormat="false" ht="15.75" hidden="false" customHeight="false" outlineLevel="0" collapsed="false">
      <c r="A161" s="9"/>
      <c r="B161" s="72"/>
      <c r="C161" s="73"/>
      <c r="D161" s="160"/>
      <c r="E161" s="168"/>
      <c r="F161" s="162"/>
      <c r="G161" s="163"/>
      <c r="H161" s="169"/>
      <c r="I161" s="167"/>
      <c r="J161" s="80"/>
      <c r="K161" s="81"/>
      <c r="L161" s="82"/>
      <c r="M161" s="166"/>
      <c r="N161" s="167"/>
      <c r="O161" s="167"/>
      <c r="P161" s="80"/>
      <c r="Q161" s="82"/>
      <c r="R161" s="82"/>
      <c r="S161" s="166"/>
      <c r="T161" s="167"/>
      <c r="U161" s="86"/>
      <c r="V161" s="87"/>
      <c r="W161" s="87" t="str">
        <f aca="false">IF(ISBLANK($C161),"",IF(E161=Constants!$B$2,TRUE(),IF(E161=Constants!$B$3,FALSE(),TRUE())))</f>
        <v/>
      </c>
      <c r="X161" s="87" t="str">
        <f aca="false">IF(ISBLANK($C161),"",IF(F161=Constants!$B$2,TRUE(),IF(F161=Constants!$B$3,FALSE(),TRUE())))</f>
        <v/>
      </c>
      <c r="Y161" s="87" t="str">
        <f aca="false">IF(ISBLANK($C161),"",IF(G161=Constants!$B$2,TRUE(),IF(G161=Constants!$B$3,FALSE(),TRUE())))</f>
        <v/>
      </c>
      <c r="Z161" s="87" t="str">
        <f aca="false">IF(ISBLANK($C161),"",IF(H161=Constants!$B$2,TRUE(),IF(H161=Constants!$B$3,FALSE(),TRUE())))</f>
        <v/>
      </c>
      <c r="AA161" s="87" t="str">
        <f aca="false">IF(ISBLANK($C161),"",IF(I161=Constants!$B$2,TRUE(),IF(I161=Constants!$B$3,FALSE(),TRUE())))</f>
        <v/>
      </c>
      <c r="AB161" s="87" t="str">
        <f aca="false">IF(ISBLANK($C161),"",IF(J161=Constants!$B$4,TRUE(),IF(J161=Constants!$B$5,FALSE(),COUNTA(K161:M161)&gt;0)))</f>
        <v/>
      </c>
      <c r="AC161" s="88" t="str">
        <f aca="false">IF(ISBLANK($C161),"",IF(ISNUMBER(K161),IF(K161&gt;=0,K161,""),""))</f>
        <v/>
      </c>
      <c r="AD161" s="89" t="str">
        <f aca="false">IF(ISBLANK($C161),"",IF(ISNUMBER(L161),IF(L161&gt;=0,L161,""),""))</f>
        <v/>
      </c>
      <c r="AE161" s="87" t="str">
        <f aca="false">IF(ISBLANK($C161),"",IF(ISNUMBER(M161),IF(M161&gt;=0,MIN(M161,Constants!$B$22),""),""))</f>
        <v/>
      </c>
      <c r="AF161" s="87" t="str">
        <f aca="false">IF(ISBLANK($C161),"",IF(N161=Constants!$B$2,TRUE(),IF(N161=Constants!$B$3,FALSE(),TRUE())))</f>
        <v/>
      </c>
      <c r="AG161" s="87" t="str">
        <f aca="false">IF(ISBLANK($C161),"",IF(O161=Constants!$B$2,TRUE(),IF(O161=Constants!$B$3,FALSE(),TRUE())))</f>
        <v/>
      </c>
      <c r="AH161" s="87" t="str">
        <f aca="false">IF(ISBLANK($C161),"",IF(P161=Constants!$B$4,TRUE(),IF(P161=Constants!$B$5,FALSE(),COUNTA(Q161:S161)&gt;0)))</f>
        <v/>
      </c>
      <c r="AI161" s="88" t="str">
        <f aca="false">IF(ISBLANK($C161),"",IF(ISNUMBER(Q161),IF(Q161&gt;=0,Q161,""),""))</f>
        <v/>
      </c>
      <c r="AJ161" s="89" t="str">
        <f aca="false">IF(ISBLANK($C161),"",IF(ISNUMBER(R161),IF(R161&gt;=0,R161,""),""))</f>
        <v/>
      </c>
      <c r="AK161" s="87" t="str">
        <f aca="false">IF(ISBLANK($C161),"",IF(ISNUMBER(S161),IF(S161&gt;=0,MIN(S161,Constants!$B$22),""),""))</f>
        <v/>
      </c>
      <c r="AL161" s="87" t="str">
        <f aca="false">IF(ISBLANK($C161),"",IF(T161=Constants!$B$2,TRUE(),IF(T161=Constants!$B$3,FALSE(),FALSE())))</f>
        <v/>
      </c>
      <c r="AM161" s="86" t="str">
        <f aca="false">IF(ISBLANK($C161),"",AND($AB161,OR($AC161="",$AD161="",AND(NOT(ISBLANK($M161)),$AE161=""))))</f>
        <v/>
      </c>
      <c r="AN161" s="89" t="str">
        <f aca="false">IF($BD161&lt;&gt;Constants!$B$6,"",IF($AB161,Constants!$B$17*$AD161,Constants!$B$18))</f>
        <v/>
      </c>
      <c r="AO161" s="91" t="str">
        <f aca="false">IF($BD161&lt;&gt;Constants!$B$6,"",Constants!$B$19*IF($AB161,$AC161,0))</f>
        <v/>
      </c>
      <c r="AP161" s="91" t="str">
        <f aca="false">IF($BD161&lt;&gt;Constants!$B$6,"",IF(AND($AB161,ISNUMBER($AE161)),Constants!$B$20*(Constants!$B$21-$AE161),0))</f>
        <v/>
      </c>
      <c r="AQ161" s="91" t="str">
        <f aca="false">IF($BD161&lt;&gt;Constants!$B$6,"",IF($AA161,0,Constants!$B$12)+IF($Z161,0,Constants!$B$13)+IF($Y161,0,Constants!$B$14))</f>
        <v/>
      </c>
      <c r="AR161" s="92" t="str">
        <f aca="false">IF($BD161&lt;&gt;Constants!$B$6,"",Constants!$B$16+SUM($AN161:$AQ161))</f>
        <v/>
      </c>
      <c r="AS161" s="91" t="str">
        <f aca="false">IF($BD161&lt;&gt;Constants!$B$6,"",IF($AB161,$AD161,""))</f>
        <v/>
      </c>
      <c r="AT161" s="93" t="str">
        <f aca="false">IF($BD161&lt;&gt;Constants!$B$6,"",$AO161)</f>
        <v/>
      </c>
      <c r="AU161" s="87" t="str">
        <f aca="false">IF($BD161&lt;&gt;Constants!$B$6,"",IF(OR($BA161&lt;$AR161,AND($BA161=$AR161,OR(AND(ISNUMBER($BB161),OR(NOT(ISNUMBER($AS161)),$BB161&lt;$AS161)),AND(OR(AND($BB161="",$AS161=""),AND(ISNUMBER($BB161),ISNUMBER($AS161),$BB161=$AS161)),$BC161&lt;$AT161)))),"-&gt;","&lt;-"))</f>
        <v/>
      </c>
      <c r="AV161" s="86" t="str">
        <f aca="false">IF(ISBLANK($C161),"",AND($AH161,OR($AI161="",$AJ161="",AND(NOT(ISBLANK($S161)),$AK161=""))))</f>
        <v/>
      </c>
      <c r="AW161" s="89" t="str">
        <f aca="false">IF($BD161&lt;&gt;Constants!$B$6,"",IF($AH161,Constants!$B$17*$AJ161,Constants!$B$18))</f>
        <v/>
      </c>
      <c r="AX161" s="91" t="str">
        <f aca="false">IF($BD161&lt;&gt;Constants!$B$6,"",Constants!$B$19*IF($AH161,$AI161,0))</f>
        <v/>
      </c>
      <c r="AY161" s="91" t="str">
        <f aca="false">IF($BD161&lt;&gt;Constants!$B$6,"",IF(AND($AH161,ISNUMBER($AK161)),Constants!$B$20*(Constants!$B$21-$AK161),0))</f>
        <v/>
      </c>
      <c r="AZ161" s="91" t="str">
        <f aca="false">IF($BD161&lt;&gt;Constants!$B$6,"",IF($AG161,0,Constants!$B$12)+IF($AF161,0,Constants!$B$13)+IF($Y161,0,Constants!$B$14))</f>
        <v/>
      </c>
      <c r="BA161" s="92" t="str">
        <f aca="false">IF($BD161&lt;&gt;Constants!$B$6,"",Constants!$B$16+SUM($AW161:$AZ161))</f>
        <v/>
      </c>
      <c r="BB161" s="91" t="str">
        <f aca="false">IF($BD161&lt;&gt;Constants!$B$6,"",IF($AH161,$AJ161,""))</f>
        <v/>
      </c>
      <c r="BC161" s="93" t="str">
        <f aca="false">IF($BD161&lt;&gt;Constants!$B$6,"",$AX161)</f>
        <v/>
      </c>
      <c r="BD161" s="87" t="str">
        <f aca="false">IF(ISBLANK($C161),"",IF($AL161,Constants!$B$9,IF(COUNTA($E161:$T161)=0,Constants!$B$8,IF(NOT($X161),Constants!$B$7,IF(OR($AM161,$AV161),Constants!$B$10,Constants!$B$6)))))</f>
        <v/>
      </c>
      <c r="BE161" s="87" t="str">
        <f aca="false">IF(ISBLANK($C161),"",IF($BD161&lt;&gt;Constants!$B$6,$BD161,Constants!$B$11))</f>
        <v/>
      </c>
      <c r="BF161" s="91" t="str">
        <f aca="false">IF($BD161&lt;&gt;Constants!$B$6,"",IF($AU161="-&gt;",$BA161,$AR161))</f>
        <v/>
      </c>
      <c r="BG161" s="91" t="str">
        <f aca="false">IF($BD161&lt;&gt;Constants!$B$6,"",IF($W161,0,Constants!$B$15))</f>
        <v/>
      </c>
      <c r="BH161" s="91" t="str">
        <f aca="false">IF(ISBLANK($C161),"",IF($BD161&lt;&gt;Constants!$B$6,$BD161,SUM($BF161:$BG161)))</f>
        <v/>
      </c>
      <c r="BI161" s="87" t="str">
        <f aca="false">IF(ISBLANK($C161),"",IF($BD161&lt;&gt;Constants!$B$6,$BD161,RANK($BH161,$BH$9:$BH$508,1)))</f>
        <v/>
      </c>
      <c r="BJ161" s="91" t="str">
        <f aca="false">IF($BD161&lt;&gt;Constants!$B$6,"",IF($AU161="-&gt;",$BB161,$AS161))</f>
        <v/>
      </c>
      <c r="BK161" s="87" t="str">
        <f aca="false">IF(ISBLANK($C161),"",IF($BD161&lt;&gt;Constants!$B$6,$BD161,IF(ISNUMBER($BJ161),RANK($BJ161,$BJ$9:$BJ$508,1),COUNT($BJ$9:$BJ$508)+1)))</f>
        <v/>
      </c>
      <c r="BL161" s="91" t="str">
        <f aca="false">IF($BD161&lt;&gt;Constants!$B$6,"",IF($AU161="-&gt;",$BC161,$AT161))</f>
        <v/>
      </c>
      <c r="BM161" s="87" t="str">
        <f aca="false">IF(ISBLANK($C161),"",IF($BD161&lt;&gt;Constants!$B$6,$BD161,IF(ISNUMBER($BL161),RANK($BL161,$BL$9:$BL$508,1),COUNT($BL$9:$BL$508)+1)))</f>
        <v/>
      </c>
      <c r="BN161" s="91" t="str">
        <f aca="false">IF($BD161&lt;&gt;Constants!$B$6,"",IF($AU161="-&gt;",$AS161,$BB161))</f>
        <v/>
      </c>
      <c r="BO161" s="87" t="str">
        <f aca="false">IF(ISBLANK($C161),"",IF($BD161&lt;&gt;Constants!$B$6,$BD161,IF(ISNUMBER($BN161),RANK($BN161,$BN$9:$BN$508,1),COUNT($BN$9:$BN$508)+1)))</f>
        <v/>
      </c>
      <c r="BP161" s="91" t="str">
        <f aca="false">IF($BD161&lt;&gt;Constants!$B$6,"",IF($AU161="-&gt;",$AT161,$BC161))</f>
        <v/>
      </c>
      <c r="BQ161" s="87" t="str">
        <f aca="false">IF(ISBLANK($C161),"",IF($BD161&lt;&gt;Constants!$B$6,$BD161,IF(ISNUMBER($BP161),RANK($BP161,$BP$9:$BP$508,1),COUNT($BP$9:$BP$508)+1)))</f>
        <v/>
      </c>
      <c r="BR161" s="87" t="str">
        <f aca="false">IF(ISBLANK($C161),"",IF($BD161&lt;&gt;Constants!$B$6,$BD161,COUNTIFS($BI$9:$BI$508,"&lt;"&amp;$BI161)+COUNTIFS($BI$9:$BI$508,$BI161,$BK$9:$BK$508,"&lt;"&amp;$BK161)+COUNTIFS($BI$9:$BI$508,$BI161,$BK$9:$BK$508,$BK161,$BM$9:$BM$508,"&lt;"&amp;$BM161)+COUNTIFS($BI$9:$BI$508,$BI161,$BK$9:$BK$508,$BK161,$BM$9:$BM$508,$BM161,$BO$9:$BO$508,"&lt;"&amp;$BO161)+COUNTIFS($BI$9:$BI$508,$BI161,$BK$9:$BK$508,$BK161,$BM$9:$BM$508,$BM161,$BO$9:$BO$508,$BO161,$BQ$9:$BQ$508,"&lt;"&amp;$BQ161)+1))</f>
        <v/>
      </c>
      <c r="BS161" s="87" t="str">
        <f aca="false">IF(ISBLANK($C161),"",IF($BD161&lt;&gt;Constants!$B$6,$BD161,$BI161-$BR161))</f>
        <v/>
      </c>
      <c r="BT161" s="94"/>
      <c r="BU161" s="95"/>
      <c r="BV161" s="95" t="str">
        <f aca="false">IF(ISBLANK($C161),"",IF($BD161&lt;&gt;Constants!$B$6,"",IF($AU161="-&gt;",2,1)))</f>
        <v/>
      </c>
      <c r="BW161" s="96" t="str">
        <f aca="false">IF(ISBLANK($C161),"",IF($BD161&lt;&gt;Constants!$B$6,"",IF($AU161="-&gt;",$AW161,$AN161)))</f>
        <v/>
      </c>
      <c r="BX161" s="96" t="str">
        <f aca="false">IF(ISBLANK($C161),"",IF($BD161&lt;&gt;Constants!$B$6,"",IF($AU161="-&gt;",$AX161,$AO161)))</f>
        <v/>
      </c>
      <c r="BY161" s="96" t="str">
        <f aca="false">IF(ISBLANK($C161),"",IF($BD161&lt;&gt;Constants!$B$6,"",IF($AU161="-&gt;",$AY161,$AP161)))</f>
        <v/>
      </c>
      <c r="BZ161" s="96" t="str">
        <f aca="false">IF(ISBLANK($C161),"",IF($BD161&lt;&gt;Constants!$B$6,"",IF($AU161="-&gt;",$AZ161,$AQ161)+$BG161))</f>
        <v/>
      </c>
      <c r="CA161" s="97" t="str">
        <f aca="false">IF(ISBLANK($C161),"",IF($BD161&lt;&gt;Constants!$B$6,$BD161,$BH161))</f>
        <v/>
      </c>
      <c r="CB161" s="98" t="str">
        <f aca="false">IF(ISBLANK($C161),"",$BE161)</f>
        <v/>
      </c>
      <c r="CC161" s="99" t="str">
        <f aca="false">IF(ISBLANK($C161),"",$BS161)</f>
        <v/>
      </c>
      <c r="CD161" s="99" t="str">
        <f aca="false">IF(ISBLANK($C161),"",$BR161)</f>
        <v/>
      </c>
      <c r="CE161" s="100" t="str">
        <f aca="false">IF(ISBLANK($C161),"",IF($CD161=Constants!$B$9,COUNTA($C$9:$C$508)+2,IF($CD161=Constants!$B$8,COUNTA($C$9:$C$508)+1,IF($CD161=Constants!$B$7,COUNTA($C$9:$C$508),$CD161))))</f>
        <v/>
      </c>
      <c r="CF161" s="9"/>
      <c r="CG161" s="101" t="n">
        <f aca="false">IF(OR(ISNUMBER($CD161),$CD161=Constants!$B$9,$CD161=Constants!$B$7,$CD161=Constants!$B$8),1,0)</f>
        <v>0</v>
      </c>
      <c r="CH161" s="101" t="n">
        <v>153</v>
      </c>
      <c r="CI161" s="101" t="str">
        <f aca="false">IF(ISBLANK($C161),"",IF(ISNUMBER($CE161),$CE161+ROW($B161)/1000,""))</f>
        <v/>
      </c>
      <c r="CJ161" s="101" t="str">
        <f aca="false">IF(ISNUMBER($CI161),RANK($CI161,$CI$9:$CI$508,1),"")</f>
        <v/>
      </c>
      <c r="CK161" s="101" t="str">
        <f aca="false">IF(ISBLANK($C161),"",$B161)</f>
        <v/>
      </c>
      <c r="CL161" s="101" t="str">
        <f aca="false">IF(ISBLANK($C161),"",$C161)</f>
        <v/>
      </c>
      <c r="CM161" s="101" t="str">
        <f aca="false">IF(ISBLANK($C161),"",$D161)</f>
        <v/>
      </c>
      <c r="CN161" s="102" t="str">
        <f aca="false">$CB161</f>
        <v/>
      </c>
      <c r="CO161" s="103" t="str">
        <f aca="false">$CA161</f>
        <v/>
      </c>
      <c r="CP161" s="101" t="str">
        <f aca="false">IF(ISBLANK($C161),"",$CD161)</f>
        <v/>
      </c>
      <c r="CQ161" s="104" t="str">
        <f aca="false">IF($CH161&gt;$CG$8,"",VLOOKUP($CH161,$CJ$9:$CP$508,7,FALSE()))</f>
        <v/>
      </c>
      <c r="CR161" s="105" t="str">
        <f aca="false">IF($CH161&gt;$CG$8,"",VLOOKUP($CH161,$CJ$9:$CP$508,2,FALSE()))</f>
        <v/>
      </c>
      <c r="CS161" s="105" t="str">
        <f aca="false">IF($CH161&gt;$CG$8,"",VLOOKUP($CH161,$CJ$9:$CP$508,3,FALSE()))</f>
        <v/>
      </c>
      <c r="CT161" s="105" t="str">
        <f aca="false">IF($CH161&gt;$CG$8,"",VLOOKUP($CH161,$CJ$9:$CP$508,4,FALSE()))</f>
        <v/>
      </c>
      <c r="CU161" s="105" t="str">
        <f aca="false">IF($CH161&gt;$CG$8,"",VLOOKUP($CH161,$CJ$9:$CP$508,5,FALSE()))</f>
        <v/>
      </c>
      <c r="CV161" s="106" t="str">
        <f aca="false">IF($CH161&gt;$CG$8,"",VLOOKUP($CH161,$CJ$9:$CP$508,6,FALSE()))</f>
        <v/>
      </c>
      <c r="CW161" s="71"/>
    </row>
    <row r="162" customFormat="false" ht="15.75" hidden="false" customHeight="false" outlineLevel="0" collapsed="false">
      <c r="A162" s="9"/>
      <c r="B162" s="150"/>
      <c r="C162" s="151"/>
      <c r="D162" s="152"/>
      <c r="E162" s="170"/>
      <c r="F162" s="154"/>
      <c r="G162" s="155"/>
      <c r="H162" s="171"/>
      <c r="I162" s="159"/>
      <c r="J162" s="120"/>
      <c r="K162" s="121"/>
      <c r="L162" s="122"/>
      <c r="M162" s="158"/>
      <c r="N162" s="159"/>
      <c r="O162" s="159"/>
      <c r="P162" s="120"/>
      <c r="Q162" s="122"/>
      <c r="R162" s="122"/>
      <c r="S162" s="158"/>
      <c r="T162" s="159"/>
      <c r="U162" s="126"/>
      <c r="V162" s="127"/>
      <c r="W162" s="127" t="str">
        <f aca="false">IF(ISBLANK($C162),"",IF(E162=Constants!$B$2,TRUE(),IF(E162=Constants!$B$3,FALSE(),TRUE())))</f>
        <v/>
      </c>
      <c r="X162" s="127" t="str">
        <f aca="false">IF(ISBLANK($C162),"",IF(F162=Constants!$B$2,TRUE(),IF(F162=Constants!$B$3,FALSE(),TRUE())))</f>
        <v/>
      </c>
      <c r="Y162" s="127" t="str">
        <f aca="false">IF(ISBLANK($C162),"",IF(G162=Constants!$B$2,TRUE(),IF(G162=Constants!$B$3,FALSE(),TRUE())))</f>
        <v/>
      </c>
      <c r="Z162" s="127" t="str">
        <f aca="false">IF(ISBLANK($C162),"",IF(H162=Constants!$B$2,TRUE(),IF(H162=Constants!$B$3,FALSE(),TRUE())))</f>
        <v/>
      </c>
      <c r="AA162" s="127" t="str">
        <f aca="false">IF(ISBLANK($C162),"",IF(I162=Constants!$B$2,TRUE(),IF(I162=Constants!$B$3,FALSE(),TRUE())))</f>
        <v/>
      </c>
      <c r="AB162" s="127" t="str">
        <f aca="false">IF(ISBLANK($C162),"",IF(J162=Constants!$B$4,TRUE(),IF(J162=Constants!$B$5,FALSE(),COUNTA(K162:M162)&gt;0)))</f>
        <v/>
      </c>
      <c r="AC162" s="128" t="str">
        <f aca="false">IF(ISBLANK($C162),"",IF(ISNUMBER(K162),IF(K162&gt;=0,K162,""),""))</f>
        <v/>
      </c>
      <c r="AD162" s="129" t="str">
        <f aca="false">IF(ISBLANK($C162),"",IF(ISNUMBER(L162),IF(L162&gt;=0,L162,""),""))</f>
        <v/>
      </c>
      <c r="AE162" s="127" t="str">
        <f aca="false">IF(ISBLANK($C162),"",IF(ISNUMBER(M162),IF(M162&gt;=0,MIN(M162,Constants!$B$22),""),""))</f>
        <v/>
      </c>
      <c r="AF162" s="127" t="str">
        <f aca="false">IF(ISBLANK($C162),"",IF(N162=Constants!$B$2,TRUE(),IF(N162=Constants!$B$3,FALSE(),TRUE())))</f>
        <v/>
      </c>
      <c r="AG162" s="127" t="str">
        <f aca="false">IF(ISBLANK($C162),"",IF(O162=Constants!$B$2,TRUE(),IF(O162=Constants!$B$3,FALSE(),TRUE())))</f>
        <v/>
      </c>
      <c r="AH162" s="127" t="str">
        <f aca="false">IF(ISBLANK($C162),"",IF(P162=Constants!$B$4,TRUE(),IF(P162=Constants!$B$5,FALSE(),COUNTA(Q162:S162)&gt;0)))</f>
        <v/>
      </c>
      <c r="AI162" s="128" t="str">
        <f aca="false">IF(ISBLANK($C162),"",IF(ISNUMBER(Q162),IF(Q162&gt;=0,Q162,""),""))</f>
        <v/>
      </c>
      <c r="AJ162" s="129" t="str">
        <f aca="false">IF(ISBLANK($C162),"",IF(ISNUMBER(R162),IF(R162&gt;=0,R162,""),""))</f>
        <v/>
      </c>
      <c r="AK162" s="127" t="str">
        <f aca="false">IF(ISBLANK($C162),"",IF(ISNUMBER(S162),IF(S162&gt;=0,MIN(S162,Constants!$B$22),""),""))</f>
        <v/>
      </c>
      <c r="AL162" s="127" t="str">
        <f aca="false">IF(ISBLANK($C162),"",IF(T162=Constants!$B$2,TRUE(),IF(T162=Constants!$B$3,FALSE(),FALSE())))</f>
        <v/>
      </c>
      <c r="AM162" s="126" t="str">
        <f aca="false">IF(ISBLANK($C162),"",AND($AB162,OR($AC162="",$AD162="",AND(NOT(ISBLANK($M162)),$AE162=""))))</f>
        <v/>
      </c>
      <c r="AN162" s="129" t="str">
        <f aca="false">IF($BD162&lt;&gt;Constants!$B$6,"",IF($AB162,Constants!$B$17*$AD162,Constants!$B$18))</f>
        <v/>
      </c>
      <c r="AO162" s="130" t="str">
        <f aca="false">IF($BD162&lt;&gt;Constants!$B$6,"",Constants!$B$19*IF($AB162,$AC162,0))</f>
        <v/>
      </c>
      <c r="AP162" s="130" t="str">
        <f aca="false">IF($BD162&lt;&gt;Constants!$B$6,"",IF(AND($AB162,ISNUMBER($AE162)),Constants!$B$20*(Constants!$B$21-$AE162),0))</f>
        <v/>
      </c>
      <c r="AQ162" s="130" t="str">
        <f aca="false">IF($BD162&lt;&gt;Constants!$B$6,"",IF($AA162,0,Constants!$B$12)+IF($Z162,0,Constants!$B$13)+IF($Y162,0,Constants!$B$14))</f>
        <v/>
      </c>
      <c r="AR162" s="131" t="str">
        <f aca="false">IF($BD162&lt;&gt;Constants!$B$6,"",Constants!$B$16+SUM($AN162:$AQ162))</f>
        <v/>
      </c>
      <c r="AS162" s="130" t="str">
        <f aca="false">IF($BD162&lt;&gt;Constants!$B$6,"",IF($AB162,$AD162,""))</f>
        <v/>
      </c>
      <c r="AT162" s="132" t="str">
        <f aca="false">IF($BD162&lt;&gt;Constants!$B$6,"",$AO162)</f>
        <v/>
      </c>
      <c r="AU162" s="127" t="str">
        <f aca="false">IF($BD162&lt;&gt;Constants!$B$6,"",IF(OR($BA162&lt;$AR162,AND($BA162=$AR162,OR(AND(ISNUMBER($BB162),OR(NOT(ISNUMBER($AS162)),$BB162&lt;$AS162)),AND(OR(AND($BB162="",$AS162=""),AND(ISNUMBER($BB162),ISNUMBER($AS162),$BB162=$AS162)),$BC162&lt;$AT162)))),"-&gt;","&lt;-"))</f>
        <v/>
      </c>
      <c r="AV162" s="126" t="str">
        <f aca="false">IF(ISBLANK($C162),"",AND($AH162,OR($AI162="",$AJ162="",AND(NOT(ISBLANK($S162)),$AK162=""))))</f>
        <v/>
      </c>
      <c r="AW162" s="129" t="str">
        <f aca="false">IF($BD162&lt;&gt;Constants!$B$6,"",IF($AH162,Constants!$B$17*$AJ162,Constants!$B$18))</f>
        <v/>
      </c>
      <c r="AX162" s="130" t="str">
        <f aca="false">IF($BD162&lt;&gt;Constants!$B$6,"",Constants!$B$19*IF($AH162,$AI162,0))</f>
        <v/>
      </c>
      <c r="AY162" s="130" t="str">
        <f aca="false">IF($BD162&lt;&gt;Constants!$B$6,"",IF(AND($AH162,ISNUMBER($AK162)),Constants!$B$20*(Constants!$B$21-$AK162),0))</f>
        <v/>
      </c>
      <c r="AZ162" s="130" t="str">
        <f aca="false">IF($BD162&lt;&gt;Constants!$B$6,"",IF($AG162,0,Constants!$B$12)+IF($AF162,0,Constants!$B$13)+IF($Y162,0,Constants!$B$14))</f>
        <v/>
      </c>
      <c r="BA162" s="131" t="str">
        <f aca="false">IF($BD162&lt;&gt;Constants!$B$6,"",Constants!$B$16+SUM($AW162:$AZ162))</f>
        <v/>
      </c>
      <c r="BB162" s="130" t="str">
        <f aca="false">IF($BD162&lt;&gt;Constants!$B$6,"",IF($AH162,$AJ162,""))</f>
        <v/>
      </c>
      <c r="BC162" s="132" t="str">
        <f aca="false">IF($BD162&lt;&gt;Constants!$B$6,"",$AX162)</f>
        <v/>
      </c>
      <c r="BD162" s="127" t="str">
        <f aca="false">IF(ISBLANK($C162),"",IF($AL162,Constants!$B$9,IF(COUNTA($E162:$T162)=0,Constants!$B$8,IF(NOT($X162),Constants!$B$7,IF(OR($AM162,$AV162),Constants!$B$10,Constants!$B$6)))))</f>
        <v/>
      </c>
      <c r="BE162" s="127" t="str">
        <f aca="false">IF(ISBLANK($C162),"",IF($BD162&lt;&gt;Constants!$B$6,$BD162,Constants!$B$11))</f>
        <v/>
      </c>
      <c r="BF162" s="130" t="str">
        <f aca="false">IF($BD162&lt;&gt;Constants!$B$6,"",IF($AU162="-&gt;",$BA162,$AR162))</f>
        <v/>
      </c>
      <c r="BG162" s="130" t="str">
        <f aca="false">IF($BD162&lt;&gt;Constants!$B$6,"",IF($W162,0,Constants!$B$15))</f>
        <v/>
      </c>
      <c r="BH162" s="130" t="str">
        <f aca="false">IF(ISBLANK($C162),"",IF($BD162&lt;&gt;Constants!$B$6,$BD162,SUM($BF162:$BG162)))</f>
        <v/>
      </c>
      <c r="BI162" s="127" t="str">
        <f aca="false">IF(ISBLANK($C162),"",IF($BD162&lt;&gt;Constants!$B$6,$BD162,RANK($BH162,$BH$9:$BH$508,1)))</f>
        <v/>
      </c>
      <c r="BJ162" s="130" t="str">
        <f aca="false">IF($BD162&lt;&gt;Constants!$B$6,"",IF($AU162="-&gt;",$BB162,$AS162))</f>
        <v/>
      </c>
      <c r="BK162" s="127" t="str">
        <f aca="false">IF(ISBLANK($C162),"",IF($BD162&lt;&gt;Constants!$B$6,$BD162,IF(ISNUMBER($BJ162),RANK($BJ162,$BJ$9:$BJ$508,1),COUNT($BJ$9:$BJ$508)+1)))</f>
        <v/>
      </c>
      <c r="BL162" s="130" t="str">
        <f aca="false">IF($BD162&lt;&gt;Constants!$B$6,"",IF($AU162="-&gt;",$BC162,$AT162))</f>
        <v/>
      </c>
      <c r="BM162" s="127" t="str">
        <f aca="false">IF(ISBLANK($C162),"",IF($BD162&lt;&gt;Constants!$B$6,$BD162,IF(ISNUMBER($BL162),RANK($BL162,$BL$9:$BL$508,1),COUNT($BL$9:$BL$508)+1)))</f>
        <v/>
      </c>
      <c r="BN162" s="130" t="str">
        <f aca="false">IF($BD162&lt;&gt;Constants!$B$6,"",IF($AU162="-&gt;",$AS162,$BB162))</f>
        <v/>
      </c>
      <c r="BO162" s="127" t="str">
        <f aca="false">IF(ISBLANK($C162),"",IF($BD162&lt;&gt;Constants!$B$6,$BD162,IF(ISNUMBER($BN162),RANK($BN162,$BN$9:$BN$508,1),COUNT($BN$9:$BN$508)+1)))</f>
        <v/>
      </c>
      <c r="BP162" s="130" t="str">
        <f aca="false">IF($BD162&lt;&gt;Constants!$B$6,"",IF($AU162="-&gt;",$AT162,$BC162))</f>
        <v/>
      </c>
      <c r="BQ162" s="127" t="str">
        <f aca="false">IF(ISBLANK($C162),"",IF($BD162&lt;&gt;Constants!$B$6,$BD162,IF(ISNUMBER($BP162),RANK($BP162,$BP$9:$BP$508,1),COUNT($BP$9:$BP$508)+1)))</f>
        <v/>
      </c>
      <c r="BR162" s="127" t="str">
        <f aca="false">IF(ISBLANK($C162),"",IF($BD162&lt;&gt;Constants!$B$6,$BD162,COUNTIFS($BI$9:$BI$508,"&lt;"&amp;$BI162)+COUNTIFS($BI$9:$BI$508,$BI162,$BK$9:$BK$508,"&lt;"&amp;$BK162)+COUNTIFS($BI$9:$BI$508,$BI162,$BK$9:$BK$508,$BK162,$BM$9:$BM$508,"&lt;"&amp;$BM162)+COUNTIFS($BI$9:$BI$508,$BI162,$BK$9:$BK$508,$BK162,$BM$9:$BM$508,$BM162,$BO$9:$BO$508,"&lt;"&amp;$BO162)+COUNTIFS($BI$9:$BI$508,$BI162,$BK$9:$BK$508,$BK162,$BM$9:$BM$508,$BM162,$BO$9:$BO$508,$BO162,$BQ$9:$BQ$508,"&lt;"&amp;$BQ162)+1))</f>
        <v/>
      </c>
      <c r="BS162" s="127" t="str">
        <f aca="false">IF(ISBLANK($C162),"",IF($BD162&lt;&gt;Constants!$B$6,$BD162,$BI162-$BR162))</f>
        <v/>
      </c>
      <c r="BT162" s="133"/>
      <c r="BU162" s="134"/>
      <c r="BV162" s="134" t="str">
        <f aca="false">IF(ISBLANK($C162),"",IF($BD162&lt;&gt;Constants!$B$6,"",IF($AU162="-&gt;",2,1)))</f>
        <v/>
      </c>
      <c r="BW162" s="135" t="str">
        <f aca="false">IF(ISBLANK($C162),"",IF($BD162&lt;&gt;Constants!$B$6,"",IF($AU162="-&gt;",$AW162,$AN162)))</f>
        <v/>
      </c>
      <c r="BX162" s="135" t="str">
        <f aca="false">IF(ISBLANK($C162),"",IF($BD162&lt;&gt;Constants!$B$6,"",IF($AU162="-&gt;",$AX162,$AO162)))</f>
        <v/>
      </c>
      <c r="BY162" s="135" t="str">
        <f aca="false">IF(ISBLANK($C162),"",IF($BD162&lt;&gt;Constants!$B$6,"",IF($AU162="-&gt;",$AY162,$AP162)))</f>
        <v/>
      </c>
      <c r="BZ162" s="135" t="str">
        <f aca="false">IF(ISBLANK($C162),"",IF($BD162&lt;&gt;Constants!$B$6,"",IF($AU162="-&gt;",$AZ162,$AQ162)+$BG162))</f>
        <v/>
      </c>
      <c r="CA162" s="136" t="str">
        <f aca="false">IF(ISBLANK($C162),"",IF($BD162&lt;&gt;Constants!$B$6,$BD162,$BH162))</f>
        <v/>
      </c>
      <c r="CB162" s="137" t="str">
        <f aca="false">IF(ISBLANK($C162),"",$BE162)</f>
        <v/>
      </c>
      <c r="CC162" s="138" t="str">
        <f aca="false">IF(ISBLANK($C162),"",$BS162)</f>
        <v/>
      </c>
      <c r="CD162" s="138" t="str">
        <f aca="false">IF(ISBLANK($C162),"",$BR162)</f>
        <v/>
      </c>
      <c r="CE162" s="139" t="str">
        <f aca="false">IF(ISBLANK($C162),"",IF($CD162=Constants!$B$9,COUNTA($C$9:$C$508)+2,IF($CD162=Constants!$B$8,COUNTA($C$9:$C$508)+1,IF($CD162=Constants!$B$7,COUNTA($C$9:$C$508),$CD162))))</f>
        <v/>
      </c>
      <c r="CF162" s="9"/>
      <c r="CG162" s="140" t="n">
        <f aca="false">IF(OR(ISNUMBER($CD162),$CD162=Constants!$B$9,$CD162=Constants!$B$7,$CD162=Constants!$B$8),1,0)</f>
        <v>0</v>
      </c>
      <c r="CH162" s="140" t="n">
        <v>154</v>
      </c>
      <c r="CI162" s="140" t="str">
        <f aca="false">IF(ISBLANK($C162),"",IF(ISNUMBER($CE162),$CE162+ROW($B162)/1000,""))</f>
        <v/>
      </c>
      <c r="CJ162" s="140" t="str">
        <f aca="false">IF(ISNUMBER($CI162),RANK($CI162,$CI$9:$CI$508,1),"")</f>
        <v/>
      </c>
      <c r="CK162" s="140" t="str">
        <f aca="false">IF(ISBLANK($C162),"",$B162)</f>
        <v/>
      </c>
      <c r="CL162" s="140" t="str">
        <f aca="false">IF(ISBLANK($C162),"",$C162)</f>
        <v/>
      </c>
      <c r="CM162" s="140" t="str">
        <f aca="false">IF(ISBLANK($C162),"",$D162)</f>
        <v/>
      </c>
      <c r="CN162" s="141" t="str">
        <f aca="false">$CB162</f>
        <v/>
      </c>
      <c r="CO162" s="142" t="str">
        <f aca="false">$CA162</f>
        <v/>
      </c>
      <c r="CP162" s="140" t="str">
        <f aca="false">IF(ISBLANK($C162),"",$CD162)</f>
        <v/>
      </c>
      <c r="CQ162" s="143" t="str">
        <f aca="false">IF($CH162&gt;$CG$8,"",VLOOKUP($CH162,$CJ$9:$CP$508,7,FALSE()))</f>
        <v/>
      </c>
      <c r="CR162" s="144" t="str">
        <f aca="false">IF($CH162&gt;$CG$8,"",VLOOKUP($CH162,$CJ$9:$CP$508,2,FALSE()))</f>
        <v/>
      </c>
      <c r="CS162" s="144" t="str">
        <f aca="false">IF($CH162&gt;$CG$8,"",VLOOKUP($CH162,$CJ$9:$CP$508,3,FALSE()))</f>
        <v/>
      </c>
      <c r="CT162" s="144" t="str">
        <f aca="false">IF($CH162&gt;$CG$8,"",VLOOKUP($CH162,$CJ$9:$CP$508,4,FALSE()))</f>
        <v/>
      </c>
      <c r="CU162" s="144" t="str">
        <f aca="false">IF($CH162&gt;$CG$8,"",VLOOKUP($CH162,$CJ$9:$CP$508,5,FALSE()))</f>
        <v/>
      </c>
      <c r="CV162" s="145" t="str">
        <f aca="false">IF($CH162&gt;$CG$8,"",VLOOKUP($CH162,$CJ$9:$CP$508,6,FALSE()))</f>
        <v/>
      </c>
      <c r="CW162" s="71"/>
    </row>
    <row r="163" customFormat="false" ht="15.75" hidden="false" customHeight="false" outlineLevel="0" collapsed="false">
      <c r="A163" s="9"/>
      <c r="B163" s="150"/>
      <c r="C163" s="151"/>
      <c r="D163" s="152"/>
      <c r="E163" s="170"/>
      <c r="F163" s="154"/>
      <c r="G163" s="155"/>
      <c r="H163" s="171"/>
      <c r="I163" s="159"/>
      <c r="J163" s="120"/>
      <c r="K163" s="121"/>
      <c r="L163" s="122"/>
      <c r="M163" s="158"/>
      <c r="N163" s="159"/>
      <c r="O163" s="159"/>
      <c r="P163" s="120"/>
      <c r="Q163" s="122"/>
      <c r="R163" s="122"/>
      <c r="S163" s="158"/>
      <c r="T163" s="159"/>
      <c r="U163" s="126"/>
      <c r="V163" s="127"/>
      <c r="W163" s="127" t="str">
        <f aca="false">IF(ISBLANK($C163),"",IF(E163=Constants!$B$2,TRUE(),IF(E163=Constants!$B$3,FALSE(),TRUE())))</f>
        <v/>
      </c>
      <c r="X163" s="127" t="str">
        <f aca="false">IF(ISBLANK($C163),"",IF(F163=Constants!$B$2,TRUE(),IF(F163=Constants!$B$3,FALSE(),TRUE())))</f>
        <v/>
      </c>
      <c r="Y163" s="127" t="str">
        <f aca="false">IF(ISBLANK($C163),"",IF(G163=Constants!$B$2,TRUE(),IF(G163=Constants!$B$3,FALSE(),TRUE())))</f>
        <v/>
      </c>
      <c r="Z163" s="127" t="str">
        <f aca="false">IF(ISBLANK($C163),"",IF(H163=Constants!$B$2,TRUE(),IF(H163=Constants!$B$3,FALSE(),TRUE())))</f>
        <v/>
      </c>
      <c r="AA163" s="127" t="str">
        <f aca="false">IF(ISBLANK($C163),"",IF(I163=Constants!$B$2,TRUE(),IF(I163=Constants!$B$3,FALSE(),TRUE())))</f>
        <v/>
      </c>
      <c r="AB163" s="127" t="str">
        <f aca="false">IF(ISBLANK($C163),"",IF(J163=Constants!$B$4,TRUE(),IF(J163=Constants!$B$5,FALSE(),COUNTA(K163:M163)&gt;0)))</f>
        <v/>
      </c>
      <c r="AC163" s="128" t="str">
        <f aca="false">IF(ISBLANK($C163),"",IF(ISNUMBER(K163),IF(K163&gt;=0,K163,""),""))</f>
        <v/>
      </c>
      <c r="AD163" s="129" t="str">
        <f aca="false">IF(ISBLANK($C163),"",IF(ISNUMBER(L163),IF(L163&gt;=0,L163,""),""))</f>
        <v/>
      </c>
      <c r="AE163" s="127" t="str">
        <f aca="false">IF(ISBLANK($C163),"",IF(ISNUMBER(M163),IF(M163&gt;=0,MIN(M163,Constants!$B$22),""),""))</f>
        <v/>
      </c>
      <c r="AF163" s="127" t="str">
        <f aca="false">IF(ISBLANK($C163),"",IF(N163=Constants!$B$2,TRUE(),IF(N163=Constants!$B$3,FALSE(),TRUE())))</f>
        <v/>
      </c>
      <c r="AG163" s="127" t="str">
        <f aca="false">IF(ISBLANK($C163),"",IF(O163=Constants!$B$2,TRUE(),IF(O163=Constants!$B$3,FALSE(),TRUE())))</f>
        <v/>
      </c>
      <c r="AH163" s="127" t="str">
        <f aca="false">IF(ISBLANK($C163),"",IF(P163=Constants!$B$4,TRUE(),IF(P163=Constants!$B$5,FALSE(),COUNTA(Q163:S163)&gt;0)))</f>
        <v/>
      </c>
      <c r="AI163" s="128" t="str">
        <f aca="false">IF(ISBLANK($C163),"",IF(ISNUMBER(Q163),IF(Q163&gt;=0,Q163,""),""))</f>
        <v/>
      </c>
      <c r="AJ163" s="129" t="str">
        <f aca="false">IF(ISBLANK($C163),"",IF(ISNUMBER(R163),IF(R163&gt;=0,R163,""),""))</f>
        <v/>
      </c>
      <c r="AK163" s="127" t="str">
        <f aca="false">IF(ISBLANK($C163),"",IF(ISNUMBER(S163),IF(S163&gt;=0,MIN(S163,Constants!$B$22),""),""))</f>
        <v/>
      </c>
      <c r="AL163" s="127" t="str">
        <f aca="false">IF(ISBLANK($C163),"",IF(T163=Constants!$B$2,TRUE(),IF(T163=Constants!$B$3,FALSE(),FALSE())))</f>
        <v/>
      </c>
      <c r="AM163" s="126" t="str">
        <f aca="false">IF(ISBLANK($C163),"",AND($AB163,OR($AC163="",$AD163="",AND(NOT(ISBLANK($M163)),$AE163=""))))</f>
        <v/>
      </c>
      <c r="AN163" s="129" t="str">
        <f aca="false">IF($BD163&lt;&gt;Constants!$B$6,"",IF($AB163,Constants!$B$17*$AD163,Constants!$B$18))</f>
        <v/>
      </c>
      <c r="AO163" s="130" t="str">
        <f aca="false">IF($BD163&lt;&gt;Constants!$B$6,"",Constants!$B$19*IF($AB163,$AC163,0))</f>
        <v/>
      </c>
      <c r="AP163" s="130" t="str">
        <f aca="false">IF($BD163&lt;&gt;Constants!$B$6,"",IF(AND($AB163,ISNUMBER($AE163)),Constants!$B$20*(Constants!$B$21-$AE163),0))</f>
        <v/>
      </c>
      <c r="AQ163" s="130" t="str">
        <f aca="false">IF($BD163&lt;&gt;Constants!$B$6,"",IF($AA163,0,Constants!$B$12)+IF($Z163,0,Constants!$B$13)+IF($Y163,0,Constants!$B$14))</f>
        <v/>
      </c>
      <c r="AR163" s="131" t="str">
        <f aca="false">IF($BD163&lt;&gt;Constants!$B$6,"",Constants!$B$16+SUM($AN163:$AQ163))</f>
        <v/>
      </c>
      <c r="AS163" s="130" t="str">
        <f aca="false">IF($BD163&lt;&gt;Constants!$B$6,"",IF($AB163,$AD163,""))</f>
        <v/>
      </c>
      <c r="AT163" s="132" t="str">
        <f aca="false">IF($BD163&lt;&gt;Constants!$B$6,"",$AO163)</f>
        <v/>
      </c>
      <c r="AU163" s="127" t="str">
        <f aca="false">IF($BD163&lt;&gt;Constants!$B$6,"",IF(OR($BA163&lt;$AR163,AND($BA163=$AR163,OR(AND(ISNUMBER($BB163),OR(NOT(ISNUMBER($AS163)),$BB163&lt;$AS163)),AND(OR(AND($BB163="",$AS163=""),AND(ISNUMBER($BB163),ISNUMBER($AS163),$BB163=$AS163)),$BC163&lt;$AT163)))),"-&gt;","&lt;-"))</f>
        <v/>
      </c>
      <c r="AV163" s="126" t="str">
        <f aca="false">IF(ISBLANK($C163),"",AND($AH163,OR($AI163="",$AJ163="",AND(NOT(ISBLANK($S163)),$AK163=""))))</f>
        <v/>
      </c>
      <c r="AW163" s="129" t="str">
        <f aca="false">IF($BD163&lt;&gt;Constants!$B$6,"",IF($AH163,Constants!$B$17*$AJ163,Constants!$B$18))</f>
        <v/>
      </c>
      <c r="AX163" s="130" t="str">
        <f aca="false">IF($BD163&lt;&gt;Constants!$B$6,"",Constants!$B$19*IF($AH163,$AI163,0))</f>
        <v/>
      </c>
      <c r="AY163" s="130" t="str">
        <f aca="false">IF($BD163&lt;&gt;Constants!$B$6,"",IF(AND($AH163,ISNUMBER($AK163)),Constants!$B$20*(Constants!$B$21-$AK163),0))</f>
        <v/>
      </c>
      <c r="AZ163" s="130" t="str">
        <f aca="false">IF($BD163&lt;&gt;Constants!$B$6,"",IF($AG163,0,Constants!$B$12)+IF($AF163,0,Constants!$B$13)+IF($Y163,0,Constants!$B$14))</f>
        <v/>
      </c>
      <c r="BA163" s="131" t="str">
        <f aca="false">IF($BD163&lt;&gt;Constants!$B$6,"",Constants!$B$16+SUM($AW163:$AZ163))</f>
        <v/>
      </c>
      <c r="BB163" s="130" t="str">
        <f aca="false">IF($BD163&lt;&gt;Constants!$B$6,"",IF($AH163,$AJ163,""))</f>
        <v/>
      </c>
      <c r="BC163" s="132" t="str">
        <f aca="false">IF($BD163&lt;&gt;Constants!$B$6,"",$AX163)</f>
        <v/>
      </c>
      <c r="BD163" s="127" t="str">
        <f aca="false">IF(ISBLANK($C163),"",IF($AL163,Constants!$B$9,IF(COUNTA($E163:$T163)=0,Constants!$B$8,IF(NOT($X163),Constants!$B$7,IF(OR($AM163,$AV163),Constants!$B$10,Constants!$B$6)))))</f>
        <v/>
      </c>
      <c r="BE163" s="127" t="str">
        <f aca="false">IF(ISBLANK($C163),"",IF($BD163&lt;&gt;Constants!$B$6,$BD163,Constants!$B$11))</f>
        <v/>
      </c>
      <c r="BF163" s="130" t="str">
        <f aca="false">IF($BD163&lt;&gt;Constants!$B$6,"",IF($AU163="-&gt;",$BA163,$AR163))</f>
        <v/>
      </c>
      <c r="BG163" s="130" t="str">
        <f aca="false">IF($BD163&lt;&gt;Constants!$B$6,"",IF($W163,0,Constants!$B$15))</f>
        <v/>
      </c>
      <c r="BH163" s="130" t="str">
        <f aca="false">IF(ISBLANK($C163),"",IF($BD163&lt;&gt;Constants!$B$6,$BD163,SUM($BF163:$BG163)))</f>
        <v/>
      </c>
      <c r="BI163" s="127" t="str">
        <f aca="false">IF(ISBLANK($C163),"",IF($BD163&lt;&gt;Constants!$B$6,$BD163,RANK($BH163,$BH$9:$BH$508,1)))</f>
        <v/>
      </c>
      <c r="BJ163" s="130" t="str">
        <f aca="false">IF($BD163&lt;&gt;Constants!$B$6,"",IF($AU163="-&gt;",$BB163,$AS163))</f>
        <v/>
      </c>
      <c r="BK163" s="127" t="str">
        <f aca="false">IF(ISBLANK($C163),"",IF($BD163&lt;&gt;Constants!$B$6,$BD163,IF(ISNUMBER($BJ163),RANK($BJ163,$BJ$9:$BJ$508,1),COUNT($BJ$9:$BJ$508)+1)))</f>
        <v/>
      </c>
      <c r="BL163" s="130" t="str">
        <f aca="false">IF($BD163&lt;&gt;Constants!$B$6,"",IF($AU163="-&gt;",$BC163,$AT163))</f>
        <v/>
      </c>
      <c r="BM163" s="127" t="str">
        <f aca="false">IF(ISBLANK($C163),"",IF($BD163&lt;&gt;Constants!$B$6,$BD163,IF(ISNUMBER($BL163),RANK($BL163,$BL$9:$BL$508,1),COUNT($BL$9:$BL$508)+1)))</f>
        <v/>
      </c>
      <c r="BN163" s="130" t="str">
        <f aca="false">IF($BD163&lt;&gt;Constants!$B$6,"",IF($AU163="-&gt;",$AS163,$BB163))</f>
        <v/>
      </c>
      <c r="BO163" s="127" t="str">
        <f aca="false">IF(ISBLANK($C163),"",IF($BD163&lt;&gt;Constants!$B$6,$BD163,IF(ISNUMBER($BN163),RANK($BN163,$BN$9:$BN$508,1),COUNT($BN$9:$BN$508)+1)))</f>
        <v/>
      </c>
      <c r="BP163" s="130" t="str">
        <f aca="false">IF($BD163&lt;&gt;Constants!$B$6,"",IF($AU163="-&gt;",$AT163,$BC163))</f>
        <v/>
      </c>
      <c r="BQ163" s="127" t="str">
        <f aca="false">IF(ISBLANK($C163),"",IF($BD163&lt;&gt;Constants!$B$6,$BD163,IF(ISNUMBER($BP163),RANK($BP163,$BP$9:$BP$508,1),COUNT($BP$9:$BP$508)+1)))</f>
        <v/>
      </c>
      <c r="BR163" s="127" t="str">
        <f aca="false">IF(ISBLANK($C163),"",IF($BD163&lt;&gt;Constants!$B$6,$BD163,COUNTIFS($BI$9:$BI$508,"&lt;"&amp;$BI163)+COUNTIFS($BI$9:$BI$508,$BI163,$BK$9:$BK$508,"&lt;"&amp;$BK163)+COUNTIFS($BI$9:$BI$508,$BI163,$BK$9:$BK$508,$BK163,$BM$9:$BM$508,"&lt;"&amp;$BM163)+COUNTIFS($BI$9:$BI$508,$BI163,$BK$9:$BK$508,$BK163,$BM$9:$BM$508,$BM163,$BO$9:$BO$508,"&lt;"&amp;$BO163)+COUNTIFS($BI$9:$BI$508,$BI163,$BK$9:$BK$508,$BK163,$BM$9:$BM$508,$BM163,$BO$9:$BO$508,$BO163,$BQ$9:$BQ$508,"&lt;"&amp;$BQ163)+1))</f>
        <v/>
      </c>
      <c r="BS163" s="127" t="str">
        <f aca="false">IF(ISBLANK($C163),"",IF($BD163&lt;&gt;Constants!$B$6,$BD163,$BI163-$BR163))</f>
        <v/>
      </c>
      <c r="BT163" s="133"/>
      <c r="BU163" s="134"/>
      <c r="BV163" s="134" t="str">
        <f aca="false">IF(ISBLANK($C163),"",IF($BD163&lt;&gt;Constants!$B$6,"",IF($AU163="-&gt;",2,1)))</f>
        <v/>
      </c>
      <c r="BW163" s="135" t="str">
        <f aca="false">IF(ISBLANK($C163),"",IF($BD163&lt;&gt;Constants!$B$6,"",IF($AU163="-&gt;",$AW163,$AN163)))</f>
        <v/>
      </c>
      <c r="BX163" s="135" t="str">
        <f aca="false">IF(ISBLANK($C163),"",IF($BD163&lt;&gt;Constants!$B$6,"",IF($AU163="-&gt;",$AX163,$AO163)))</f>
        <v/>
      </c>
      <c r="BY163" s="135" t="str">
        <f aca="false">IF(ISBLANK($C163),"",IF($BD163&lt;&gt;Constants!$B$6,"",IF($AU163="-&gt;",$AY163,$AP163)))</f>
        <v/>
      </c>
      <c r="BZ163" s="135" t="str">
        <f aca="false">IF(ISBLANK($C163),"",IF($BD163&lt;&gt;Constants!$B$6,"",IF($AU163="-&gt;",$AZ163,$AQ163)+$BG163))</f>
        <v/>
      </c>
      <c r="CA163" s="136" t="str">
        <f aca="false">IF(ISBLANK($C163),"",IF($BD163&lt;&gt;Constants!$B$6,$BD163,$BH163))</f>
        <v/>
      </c>
      <c r="CB163" s="137" t="str">
        <f aca="false">IF(ISBLANK($C163),"",$BE163)</f>
        <v/>
      </c>
      <c r="CC163" s="138" t="str">
        <f aca="false">IF(ISBLANK($C163),"",$BS163)</f>
        <v/>
      </c>
      <c r="CD163" s="138" t="str">
        <f aca="false">IF(ISBLANK($C163),"",$BR163)</f>
        <v/>
      </c>
      <c r="CE163" s="139" t="str">
        <f aca="false">IF(ISBLANK($C163),"",IF($CD163=Constants!$B$9,COUNTA($C$9:$C$508)+2,IF($CD163=Constants!$B$8,COUNTA($C$9:$C$508)+1,IF($CD163=Constants!$B$7,COUNTA($C$9:$C$508),$CD163))))</f>
        <v/>
      </c>
      <c r="CF163" s="9"/>
      <c r="CG163" s="140" t="n">
        <f aca="false">IF(OR(ISNUMBER($CD163),$CD163=Constants!$B$9,$CD163=Constants!$B$7,$CD163=Constants!$B$8),1,0)</f>
        <v>0</v>
      </c>
      <c r="CH163" s="140" t="n">
        <v>155</v>
      </c>
      <c r="CI163" s="140" t="str">
        <f aca="false">IF(ISBLANK($C163),"",IF(ISNUMBER($CE163),$CE163+ROW($B163)/1000,""))</f>
        <v/>
      </c>
      <c r="CJ163" s="140" t="str">
        <f aca="false">IF(ISNUMBER($CI163),RANK($CI163,$CI$9:$CI$508,1),"")</f>
        <v/>
      </c>
      <c r="CK163" s="140" t="str">
        <f aca="false">IF(ISBLANK($C163),"",$B163)</f>
        <v/>
      </c>
      <c r="CL163" s="140" t="str">
        <f aca="false">IF(ISBLANK($C163),"",$C163)</f>
        <v/>
      </c>
      <c r="CM163" s="140" t="str">
        <f aca="false">IF(ISBLANK($C163),"",$D163)</f>
        <v/>
      </c>
      <c r="CN163" s="141" t="str">
        <f aca="false">$CB163</f>
        <v/>
      </c>
      <c r="CO163" s="142" t="str">
        <f aca="false">$CA163</f>
        <v/>
      </c>
      <c r="CP163" s="140" t="str">
        <f aca="false">IF(ISBLANK($C163),"",$CD163)</f>
        <v/>
      </c>
      <c r="CQ163" s="143" t="str">
        <f aca="false">IF($CH163&gt;$CG$8,"",VLOOKUP($CH163,$CJ$9:$CP$508,7,FALSE()))</f>
        <v/>
      </c>
      <c r="CR163" s="144" t="str">
        <f aca="false">IF($CH163&gt;$CG$8,"",VLOOKUP($CH163,$CJ$9:$CP$508,2,FALSE()))</f>
        <v/>
      </c>
      <c r="CS163" s="144" t="str">
        <f aca="false">IF($CH163&gt;$CG$8,"",VLOOKUP($CH163,$CJ$9:$CP$508,3,FALSE()))</f>
        <v/>
      </c>
      <c r="CT163" s="144" t="str">
        <f aca="false">IF($CH163&gt;$CG$8,"",VLOOKUP($CH163,$CJ$9:$CP$508,4,FALSE()))</f>
        <v/>
      </c>
      <c r="CU163" s="144" t="str">
        <f aca="false">IF($CH163&gt;$CG$8,"",VLOOKUP($CH163,$CJ$9:$CP$508,5,FALSE()))</f>
        <v/>
      </c>
      <c r="CV163" s="145" t="str">
        <f aca="false">IF($CH163&gt;$CG$8,"",VLOOKUP($CH163,$CJ$9:$CP$508,6,FALSE()))</f>
        <v/>
      </c>
      <c r="CW163" s="71"/>
    </row>
    <row r="164" customFormat="false" ht="15.75" hidden="false" customHeight="false" outlineLevel="0" collapsed="false">
      <c r="A164" s="9"/>
      <c r="B164" s="150"/>
      <c r="C164" s="151"/>
      <c r="D164" s="152"/>
      <c r="E164" s="170"/>
      <c r="F164" s="154"/>
      <c r="G164" s="155"/>
      <c r="H164" s="171"/>
      <c r="I164" s="159"/>
      <c r="J164" s="120"/>
      <c r="K164" s="121"/>
      <c r="L164" s="122"/>
      <c r="M164" s="158"/>
      <c r="N164" s="159"/>
      <c r="O164" s="159"/>
      <c r="P164" s="120"/>
      <c r="Q164" s="122"/>
      <c r="R164" s="122"/>
      <c r="S164" s="158"/>
      <c r="T164" s="159"/>
      <c r="U164" s="126"/>
      <c r="V164" s="127"/>
      <c r="W164" s="127" t="str">
        <f aca="false">IF(ISBLANK($C164),"",IF(E164=Constants!$B$2,TRUE(),IF(E164=Constants!$B$3,FALSE(),TRUE())))</f>
        <v/>
      </c>
      <c r="X164" s="127" t="str">
        <f aca="false">IF(ISBLANK($C164),"",IF(F164=Constants!$B$2,TRUE(),IF(F164=Constants!$B$3,FALSE(),TRUE())))</f>
        <v/>
      </c>
      <c r="Y164" s="127" t="str">
        <f aca="false">IF(ISBLANK($C164),"",IF(G164=Constants!$B$2,TRUE(),IF(G164=Constants!$B$3,FALSE(),TRUE())))</f>
        <v/>
      </c>
      <c r="Z164" s="127" t="str">
        <f aca="false">IF(ISBLANK($C164),"",IF(H164=Constants!$B$2,TRUE(),IF(H164=Constants!$B$3,FALSE(),TRUE())))</f>
        <v/>
      </c>
      <c r="AA164" s="127" t="str">
        <f aca="false">IF(ISBLANK($C164),"",IF(I164=Constants!$B$2,TRUE(),IF(I164=Constants!$B$3,FALSE(),TRUE())))</f>
        <v/>
      </c>
      <c r="AB164" s="127" t="str">
        <f aca="false">IF(ISBLANK($C164),"",IF(J164=Constants!$B$4,TRUE(),IF(J164=Constants!$B$5,FALSE(),COUNTA(K164:M164)&gt;0)))</f>
        <v/>
      </c>
      <c r="AC164" s="128" t="str">
        <f aca="false">IF(ISBLANK($C164),"",IF(ISNUMBER(K164),IF(K164&gt;=0,K164,""),""))</f>
        <v/>
      </c>
      <c r="AD164" s="129" t="str">
        <f aca="false">IF(ISBLANK($C164),"",IF(ISNUMBER(L164),IF(L164&gt;=0,L164,""),""))</f>
        <v/>
      </c>
      <c r="AE164" s="127" t="str">
        <f aca="false">IF(ISBLANK($C164),"",IF(ISNUMBER(M164),IF(M164&gt;=0,MIN(M164,Constants!$B$22),""),""))</f>
        <v/>
      </c>
      <c r="AF164" s="127" t="str">
        <f aca="false">IF(ISBLANK($C164),"",IF(N164=Constants!$B$2,TRUE(),IF(N164=Constants!$B$3,FALSE(),TRUE())))</f>
        <v/>
      </c>
      <c r="AG164" s="127" t="str">
        <f aca="false">IF(ISBLANK($C164),"",IF(O164=Constants!$B$2,TRUE(),IF(O164=Constants!$B$3,FALSE(),TRUE())))</f>
        <v/>
      </c>
      <c r="AH164" s="127" t="str">
        <f aca="false">IF(ISBLANK($C164),"",IF(P164=Constants!$B$4,TRUE(),IF(P164=Constants!$B$5,FALSE(),COUNTA(Q164:S164)&gt;0)))</f>
        <v/>
      </c>
      <c r="AI164" s="128" t="str">
        <f aca="false">IF(ISBLANK($C164),"",IF(ISNUMBER(Q164),IF(Q164&gt;=0,Q164,""),""))</f>
        <v/>
      </c>
      <c r="AJ164" s="129" t="str">
        <f aca="false">IF(ISBLANK($C164),"",IF(ISNUMBER(R164),IF(R164&gt;=0,R164,""),""))</f>
        <v/>
      </c>
      <c r="AK164" s="127" t="str">
        <f aca="false">IF(ISBLANK($C164),"",IF(ISNUMBER(S164),IF(S164&gt;=0,MIN(S164,Constants!$B$22),""),""))</f>
        <v/>
      </c>
      <c r="AL164" s="127" t="str">
        <f aca="false">IF(ISBLANK($C164),"",IF(T164=Constants!$B$2,TRUE(),IF(T164=Constants!$B$3,FALSE(),FALSE())))</f>
        <v/>
      </c>
      <c r="AM164" s="126" t="str">
        <f aca="false">IF(ISBLANK($C164),"",AND($AB164,OR($AC164="",$AD164="",AND(NOT(ISBLANK($M164)),$AE164=""))))</f>
        <v/>
      </c>
      <c r="AN164" s="129" t="str">
        <f aca="false">IF($BD164&lt;&gt;Constants!$B$6,"",IF($AB164,Constants!$B$17*$AD164,Constants!$B$18))</f>
        <v/>
      </c>
      <c r="AO164" s="130" t="str">
        <f aca="false">IF($BD164&lt;&gt;Constants!$B$6,"",Constants!$B$19*IF($AB164,$AC164,0))</f>
        <v/>
      </c>
      <c r="AP164" s="130" t="str">
        <f aca="false">IF($BD164&lt;&gt;Constants!$B$6,"",IF(AND($AB164,ISNUMBER($AE164)),Constants!$B$20*(Constants!$B$21-$AE164),0))</f>
        <v/>
      </c>
      <c r="AQ164" s="130" t="str">
        <f aca="false">IF($BD164&lt;&gt;Constants!$B$6,"",IF($AA164,0,Constants!$B$12)+IF($Z164,0,Constants!$B$13)+IF($Y164,0,Constants!$B$14))</f>
        <v/>
      </c>
      <c r="AR164" s="131" t="str">
        <f aca="false">IF($BD164&lt;&gt;Constants!$B$6,"",Constants!$B$16+SUM($AN164:$AQ164))</f>
        <v/>
      </c>
      <c r="AS164" s="130" t="str">
        <f aca="false">IF($BD164&lt;&gt;Constants!$B$6,"",IF($AB164,$AD164,""))</f>
        <v/>
      </c>
      <c r="AT164" s="132" t="str">
        <f aca="false">IF($BD164&lt;&gt;Constants!$B$6,"",$AO164)</f>
        <v/>
      </c>
      <c r="AU164" s="127" t="str">
        <f aca="false">IF($BD164&lt;&gt;Constants!$B$6,"",IF(OR($BA164&lt;$AR164,AND($BA164=$AR164,OR(AND(ISNUMBER($BB164),OR(NOT(ISNUMBER($AS164)),$BB164&lt;$AS164)),AND(OR(AND($BB164="",$AS164=""),AND(ISNUMBER($BB164),ISNUMBER($AS164),$BB164=$AS164)),$BC164&lt;$AT164)))),"-&gt;","&lt;-"))</f>
        <v/>
      </c>
      <c r="AV164" s="126" t="str">
        <f aca="false">IF(ISBLANK($C164),"",AND($AH164,OR($AI164="",$AJ164="",AND(NOT(ISBLANK($S164)),$AK164=""))))</f>
        <v/>
      </c>
      <c r="AW164" s="129" t="str">
        <f aca="false">IF($BD164&lt;&gt;Constants!$B$6,"",IF($AH164,Constants!$B$17*$AJ164,Constants!$B$18))</f>
        <v/>
      </c>
      <c r="AX164" s="130" t="str">
        <f aca="false">IF($BD164&lt;&gt;Constants!$B$6,"",Constants!$B$19*IF($AH164,$AI164,0))</f>
        <v/>
      </c>
      <c r="AY164" s="130" t="str">
        <f aca="false">IF($BD164&lt;&gt;Constants!$B$6,"",IF(AND($AH164,ISNUMBER($AK164)),Constants!$B$20*(Constants!$B$21-$AK164),0))</f>
        <v/>
      </c>
      <c r="AZ164" s="130" t="str">
        <f aca="false">IF($BD164&lt;&gt;Constants!$B$6,"",IF($AG164,0,Constants!$B$12)+IF($AF164,0,Constants!$B$13)+IF($Y164,0,Constants!$B$14))</f>
        <v/>
      </c>
      <c r="BA164" s="131" t="str">
        <f aca="false">IF($BD164&lt;&gt;Constants!$B$6,"",Constants!$B$16+SUM($AW164:$AZ164))</f>
        <v/>
      </c>
      <c r="BB164" s="130" t="str">
        <f aca="false">IF($BD164&lt;&gt;Constants!$B$6,"",IF($AH164,$AJ164,""))</f>
        <v/>
      </c>
      <c r="BC164" s="132" t="str">
        <f aca="false">IF($BD164&lt;&gt;Constants!$B$6,"",$AX164)</f>
        <v/>
      </c>
      <c r="BD164" s="127" t="str">
        <f aca="false">IF(ISBLANK($C164),"",IF($AL164,Constants!$B$9,IF(COUNTA($E164:$T164)=0,Constants!$B$8,IF(NOT($X164),Constants!$B$7,IF(OR($AM164,$AV164),Constants!$B$10,Constants!$B$6)))))</f>
        <v/>
      </c>
      <c r="BE164" s="127" t="str">
        <f aca="false">IF(ISBLANK($C164),"",IF($BD164&lt;&gt;Constants!$B$6,$BD164,Constants!$B$11))</f>
        <v/>
      </c>
      <c r="BF164" s="130" t="str">
        <f aca="false">IF($BD164&lt;&gt;Constants!$B$6,"",IF($AU164="-&gt;",$BA164,$AR164))</f>
        <v/>
      </c>
      <c r="BG164" s="130" t="str">
        <f aca="false">IF($BD164&lt;&gt;Constants!$B$6,"",IF($W164,0,Constants!$B$15))</f>
        <v/>
      </c>
      <c r="BH164" s="130" t="str">
        <f aca="false">IF(ISBLANK($C164),"",IF($BD164&lt;&gt;Constants!$B$6,$BD164,SUM($BF164:$BG164)))</f>
        <v/>
      </c>
      <c r="BI164" s="127" t="str">
        <f aca="false">IF(ISBLANK($C164),"",IF($BD164&lt;&gt;Constants!$B$6,$BD164,RANK($BH164,$BH$9:$BH$508,1)))</f>
        <v/>
      </c>
      <c r="BJ164" s="130" t="str">
        <f aca="false">IF($BD164&lt;&gt;Constants!$B$6,"",IF($AU164="-&gt;",$BB164,$AS164))</f>
        <v/>
      </c>
      <c r="BK164" s="127" t="str">
        <f aca="false">IF(ISBLANK($C164),"",IF($BD164&lt;&gt;Constants!$B$6,$BD164,IF(ISNUMBER($BJ164),RANK($BJ164,$BJ$9:$BJ$508,1),COUNT($BJ$9:$BJ$508)+1)))</f>
        <v/>
      </c>
      <c r="BL164" s="130" t="str">
        <f aca="false">IF($BD164&lt;&gt;Constants!$B$6,"",IF($AU164="-&gt;",$BC164,$AT164))</f>
        <v/>
      </c>
      <c r="BM164" s="127" t="str">
        <f aca="false">IF(ISBLANK($C164),"",IF($BD164&lt;&gt;Constants!$B$6,$BD164,IF(ISNUMBER($BL164),RANK($BL164,$BL$9:$BL$508,1),COUNT($BL$9:$BL$508)+1)))</f>
        <v/>
      </c>
      <c r="BN164" s="130" t="str">
        <f aca="false">IF($BD164&lt;&gt;Constants!$B$6,"",IF($AU164="-&gt;",$AS164,$BB164))</f>
        <v/>
      </c>
      <c r="BO164" s="127" t="str">
        <f aca="false">IF(ISBLANK($C164),"",IF($BD164&lt;&gt;Constants!$B$6,$BD164,IF(ISNUMBER($BN164),RANK($BN164,$BN$9:$BN$508,1),COUNT($BN$9:$BN$508)+1)))</f>
        <v/>
      </c>
      <c r="BP164" s="130" t="str">
        <f aca="false">IF($BD164&lt;&gt;Constants!$B$6,"",IF($AU164="-&gt;",$AT164,$BC164))</f>
        <v/>
      </c>
      <c r="BQ164" s="127" t="str">
        <f aca="false">IF(ISBLANK($C164),"",IF($BD164&lt;&gt;Constants!$B$6,$BD164,IF(ISNUMBER($BP164),RANK($BP164,$BP$9:$BP$508,1),COUNT($BP$9:$BP$508)+1)))</f>
        <v/>
      </c>
      <c r="BR164" s="127" t="str">
        <f aca="false">IF(ISBLANK($C164),"",IF($BD164&lt;&gt;Constants!$B$6,$BD164,COUNTIFS($BI$9:$BI$508,"&lt;"&amp;$BI164)+COUNTIFS($BI$9:$BI$508,$BI164,$BK$9:$BK$508,"&lt;"&amp;$BK164)+COUNTIFS($BI$9:$BI$508,$BI164,$BK$9:$BK$508,$BK164,$BM$9:$BM$508,"&lt;"&amp;$BM164)+COUNTIFS($BI$9:$BI$508,$BI164,$BK$9:$BK$508,$BK164,$BM$9:$BM$508,$BM164,$BO$9:$BO$508,"&lt;"&amp;$BO164)+COUNTIFS($BI$9:$BI$508,$BI164,$BK$9:$BK$508,$BK164,$BM$9:$BM$508,$BM164,$BO$9:$BO$508,$BO164,$BQ$9:$BQ$508,"&lt;"&amp;$BQ164)+1))</f>
        <v/>
      </c>
      <c r="BS164" s="127" t="str">
        <f aca="false">IF(ISBLANK($C164),"",IF($BD164&lt;&gt;Constants!$B$6,$BD164,$BI164-$BR164))</f>
        <v/>
      </c>
      <c r="BT164" s="133"/>
      <c r="BU164" s="134"/>
      <c r="BV164" s="134" t="str">
        <f aca="false">IF(ISBLANK($C164),"",IF($BD164&lt;&gt;Constants!$B$6,"",IF($AU164="-&gt;",2,1)))</f>
        <v/>
      </c>
      <c r="BW164" s="135" t="str">
        <f aca="false">IF(ISBLANK($C164),"",IF($BD164&lt;&gt;Constants!$B$6,"",IF($AU164="-&gt;",$AW164,$AN164)))</f>
        <v/>
      </c>
      <c r="BX164" s="135" t="str">
        <f aca="false">IF(ISBLANK($C164),"",IF($BD164&lt;&gt;Constants!$B$6,"",IF($AU164="-&gt;",$AX164,$AO164)))</f>
        <v/>
      </c>
      <c r="BY164" s="135" t="str">
        <f aca="false">IF(ISBLANK($C164),"",IF($BD164&lt;&gt;Constants!$B$6,"",IF($AU164="-&gt;",$AY164,$AP164)))</f>
        <v/>
      </c>
      <c r="BZ164" s="135" t="str">
        <f aca="false">IF(ISBLANK($C164),"",IF($BD164&lt;&gt;Constants!$B$6,"",IF($AU164="-&gt;",$AZ164,$AQ164)+$BG164))</f>
        <v/>
      </c>
      <c r="CA164" s="136" t="str">
        <f aca="false">IF(ISBLANK($C164),"",IF($BD164&lt;&gt;Constants!$B$6,$BD164,$BH164))</f>
        <v/>
      </c>
      <c r="CB164" s="137" t="str">
        <f aca="false">IF(ISBLANK($C164),"",$BE164)</f>
        <v/>
      </c>
      <c r="CC164" s="138" t="str">
        <f aca="false">IF(ISBLANK($C164),"",$BS164)</f>
        <v/>
      </c>
      <c r="CD164" s="138" t="str">
        <f aca="false">IF(ISBLANK($C164),"",$BR164)</f>
        <v/>
      </c>
      <c r="CE164" s="139" t="str">
        <f aca="false">IF(ISBLANK($C164),"",IF($CD164=Constants!$B$9,COUNTA($C$9:$C$508)+2,IF($CD164=Constants!$B$8,COUNTA($C$9:$C$508)+1,IF($CD164=Constants!$B$7,COUNTA($C$9:$C$508),$CD164))))</f>
        <v/>
      </c>
      <c r="CF164" s="9"/>
      <c r="CG164" s="140" t="n">
        <f aca="false">IF(OR(ISNUMBER($CD164),$CD164=Constants!$B$9,$CD164=Constants!$B$7,$CD164=Constants!$B$8),1,0)</f>
        <v>0</v>
      </c>
      <c r="CH164" s="140" t="n">
        <v>156</v>
      </c>
      <c r="CI164" s="140" t="str">
        <f aca="false">IF(ISBLANK($C164),"",IF(ISNUMBER($CE164),$CE164+ROW($B164)/1000,""))</f>
        <v/>
      </c>
      <c r="CJ164" s="140" t="str">
        <f aca="false">IF(ISNUMBER($CI164),RANK($CI164,$CI$9:$CI$508,1),"")</f>
        <v/>
      </c>
      <c r="CK164" s="140" t="str">
        <f aca="false">IF(ISBLANK($C164),"",$B164)</f>
        <v/>
      </c>
      <c r="CL164" s="140" t="str">
        <f aca="false">IF(ISBLANK($C164),"",$C164)</f>
        <v/>
      </c>
      <c r="CM164" s="140" t="str">
        <f aca="false">IF(ISBLANK($C164),"",$D164)</f>
        <v/>
      </c>
      <c r="CN164" s="141" t="str">
        <f aca="false">$CB164</f>
        <v/>
      </c>
      <c r="CO164" s="142" t="str">
        <f aca="false">$CA164</f>
        <v/>
      </c>
      <c r="CP164" s="140" t="str">
        <f aca="false">IF(ISBLANK($C164),"",$CD164)</f>
        <v/>
      </c>
      <c r="CQ164" s="143" t="str">
        <f aca="false">IF($CH164&gt;$CG$8,"",VLOOKUP($CH164,$CJ$9:$CP$508,7,FALSE()))</f>
        <v/>
      </c>
      <c r="CR164" s="144" t="str">
        <f aca="false">IF($CH164&gt;$CG$8,"",VLOOKUP($CH164,$CJ$9:$CP$508,2,FALSE()))</f>
        <v/>
      </c>
      <c r="CS164" s="144" t="str">
        <f aca="false">IF($CH164&gt;$CG$8,"",VLOOKUP($CH164,$CJ$9:$CP$508,3,FALSE()))</f>
        <v/>
      </c>
      <c r="CT164" s="144" t="str">
        <f aca="false">IF($CH164&gt;$CG$8,"",VLOOKUP($CH164,$CJ$9:$CP$508,4,FALSE()))</f>
        <v/>
      </c>
      <c r="CU164" s="144" t="str">
        <f aca="false">IF($CH164&gt;$CG$8,"",VLOOKUP($CH164,$CJ$9:$CP$508,5,FALSE()))</f>
        <v/>
      </c>
      <c r="CV164" s="145" t="str">
        <f aca="false">IF($CH164&gt;$CG$8,"",VLOOKUP($CH164,$CJ$9:$CP$508,6,FALSE()))</f>
        <v/>
      </c>
      <c r="CW164" s="71"/>
    </row>
    <row r="165" customFormat="false" ht="15.75" hidden="false" customHeight="false" outlineLevel="0" collapsed="false">
      <c r="A165" s="9"/>
      <c r="B165" s="72"/>
      <c r="C165" s="73"/>
      <c r="D165" s="160"/>
      <c r="E165" s="168"/>
      <c r="F165" s="162"/>
      <c r="G165" s="163"/>
      <c r="H165" s="169"/>
      <c r="I165" s="167"/>
      <c r="J165" s="80"/>
      <c r="K165" s="81"/>
      <c r="L165" s="82"/>
      <c r="M165" s="166"/>
      <c r="N165" s="167"/>
      <c r="O165" s="167"/>
      <c r="P165" s="80"/>
      <c r="Q165" s="82"/>
      <c r="R165" s="82"/>
      <c r="S165" s="166"/>
      <c r="T165" s="167"/>
      <c r="U165" s="86"/>
      <c r="V165" s="87"/>
      <c r="W165" s="87" t="str">
        <f aca="false">IF(ISBLANK($C165),"",IF(E165=Constants!$B$2,TRUE(),IF(E165=Constants!$B$3,FALSE(),TRUE())))</f>
        <v/>
      </c>
      <c r="X165" s="87" t="str">
        <f aca="false">IF(ISBLANK($C165),"",IF(F165=Constants!$B$2,TRUE(),IF(F165=Constants!$B$3,FALSE(),TRUE())))</f>
        <v/>
      </c>
      <c r="Y165" s="87" t="str">
        <f aca="false">IF(ISBLANK($C165),"",IF(G165=Constants!$B$2,TRUE(),IF(G165=Constants!$B$3,FALSE(),TRUE())))</f>
        <v/>
      </c>
      <c r="Z165" s="87" t="str">
        <f aca="false">IF(ISBLANK($C165),"",IF(H165=Constants!$B$2,TRUE(),IF(H165=Constants!$B$3,FALSE(),TRUE())))</f>
        <v/>
      </c>
      <c r="AA165" s="87" t="str">
        <f aca="false">IF(ISBLANK($C165),"",IF(I165=Constants!$B$2,TRUE(),IF(I165=Constants!$B$3,FALSE(),TRUE())))</f>
        <v/>
      </c>
      <c r="AB165" s="87" t="str">
        <f aca="false">IF(ISBLANK($C165),"",IF(J165=Constants!$B$4,TRUE(),IF(J165=Constants!$B$5,FALSE(),COUNTA(K165:M165)&gt;0)))</f>
        <v/>
      </c>
      <c r="AC165" s="88" t="str">
        <f aca="false">IF(ISBLANK($C165),"",IF(ISNUMBER(K165),IF(K165&gt;=0,K165,""),""))</f>
        <v/>
      </c>
      <c r="AD165" s="89" t="str">
        <f aca="false">IF(ISBLANK($C165),"",IF(ISNUMBER(L165),IF(L165&gt;=0,L165,""),""))</f>
        <v/>
      </c>
      <c r="AE165" s="87" t="str">
        <f aca="false">IF(ISBLANK($C165),"",IF(ISNUMBER(M165),IF(M165&gt;=0,MIN(M165,Constants!$B$22),""),""))</f>
        <v/>
      </c>
      <c r="AF165" s="87" t="str">
        <f aca="false">IF(ISBLANK($C165),"",IF(N165=Constants!$B$2,TRUE(),IF(N165=Constants!$B$3,FALSE(),TRUE())))</f>
        <v/>
      </c>
      <c r="AG165" s="87" t="str">
        <f aca="false">IF(ISBLANK($C165),"",IF(O165=Constants!$B$2,TRUE(),IF(O165=Constants!$B$3,FALSE(),TRUE())))</f>
        <v/>
      </c>
      <c r="AH165" s="87" t="str">
        <f aca="false">IF(ISBLANK($C165),"",IF(P165=Constants!$B$4,TRUE(),IF(P165=Constants!$B$5,FALSE(),COUNTA(Q165:S165)&gt;0)))</f>
        <v/>
      </c>
      <c r="AI165" s="88" t="str">
        <f aca="false">IF(ISBLANK($C165),"",IF(ISNUMBER(Q165),IF(Q165&gt;=0,Q165,""),""))</f>
        <v/>
      </c>
      <c r="AJ165" s="89" t="str">
        <f aca="false">IF(ISBLANK($C165),"",IF(ISNUMBER(R165),IF(R165&gt;=0,R165,""),""))</f>
        <v/>
      </c>
      <c r="AK165" s="87" t="str">
        <f aca="false">IF(ISBLANK($C165),"",IF(ISNUMBER(S165),IF(S165&gt;=0,MIN(S165,Constants!$B$22),""),""))</f>
        <v/>
      </c>
      <c r="AL165" s="87" t="str">
        <f aca="false">IF(ISBLANK($C165),"",IF(T165=Constants!$B$2,TRUE(),IF(T165=Constants!$B$3,FALSE(),FALSE())))</f>
        <v/>
      </c>
      <c r="AM165" s="86" t="str">
        <f aca="false">IF(ISBLANK($C165),"",AND($AB165,OR($AC165="",$AD165="",AND(NOT(ISBLANK($M165)),$AE165=""))))</f>
        <v/>
      </c>
      <c r="AN165" s="89" t="str">
        <f aca="false">IF($BD165&lt;&gt;Constants!$B$6,"",IF($AB165,Constants!$B$17*$AD165,Constants!$B$18))</f>
        <v/>
      </c>
      <c r="AO165" s="91" t="str">
        <f aca="false">IF($BD165&lt;&gt;Constants!$B$6,"",Constants!$B$19*IF($AB165,$AC165,0))</f>
        <v/>
      </c>
      <c r="AP165" s="91" t="str">
        <f aca="false">IF($BD165&lt;&gt;Constants!$B$6,"",IF(AND($AB165,ISNUMBER($AE165)),Constants!$B$20*(Constants!$B$21-$AE165),0))</f>
        <v/>
      </c>
      <c r="AQ165" s="91" t="str">
        <f aca="false">IF($BD165&lt;&gt;Constants!$B$6,"",IF($AA165,0,Constants!$B$12)+IF($Z165,0,Constants!$B$13)+IF($Y165,0,Constants!$B$14))</f>
        <v/>
      </c>
      <c r="AR165" s="92" t="str">
        <f aca="false">IF($BD165&lt;&gt;Constants!$B$6,"",Constants!$B$16+SUM($AN165:$AQ165))</f>
        <v/>
      </c>
      <c r="AS165" s="91" t="str">
        <f aca="false">IF($BD165&lt;&gt;Constants!$B$6,"",IF($AB165,$AD165,""))</f>
        <v/>
      </c>
      <c r="AT165" s="93" t="str">
        <f aca="false">IF($BD165&lt;&gt;Constants!$B$6,"",$AO165)</f>
        <v/>
      </c>
      <c r="AU165" s="87" t="str">
        <f aca="false">IF($BD165&lt;&gt;Constants!$B$6,"",IF(OR($BA165&lt;$AR165,AND($BA165=$AR165,OR(AND(ISNUMBER($BB165),OR(NOT(ISNUMBER($AS165)),$BB165&lt;$AS165)),AND(OR(AND($BB165="",$AS165=""),AND(ISNUMBER($BB165),ISNUMBER($AS165),$BB165=$AS165)),$BC165&lt;$AT165)))),"-&gt;","&lt;-"))</f>
        <v/>
      </c>
      <c r="AV165" s="86" t="str">
        <f aca="false">IF(ISBLANK($C165),"",AND($AH165,OR($AI165="",$AJ165="",AND(NOT(ISBLANK($S165)),$AK165=""))))</f>
        <v/>
      </c>
      <c r="AW165" s="89" t="str">
        <f aca="false">IF($BD165&lt;&gt;Constants!$B$6,"",IF($AH165,Constants!$B$17*$AJ165,Constants!$B$18))</f>
        <v/>
      </c>
      <c r="AX165" s="91" t="str">
        <f aca="false">IF($BD165&lt;&gt;Constants!$B$6,"",Constants!$B$19*IF($AH165,$AI165,0))</f>
        <v/>
      </c>
      <c r="AY165" s="91" t="str">
        <f aca="false">IF($BD165&lt;&gt;Constants!$B$6,"",IF(AND($AH165,ISNUMBER($AK165)),Constants!$B$20*(Constants!$B$21-$AK165),0))</f>
        <v/>
      </c>
      <c r="AZ165" s="91" t="str">
        <f aca="false">IF($BD165&lt;&gt;Constants!$B$6,"",IF($AG165,0,Constants!$B$12)+IF($AF165,0,Constants!$B$13)+IF($Y165,0,Constants!$B$14))</f>
        <v/>
      </c>
      <c r="BA165" s="92" t="str">
        <f aca="false">IF($BD165&lt;&gt;Constants!$B$6,"",Constants!$B$16+SUM($AW165:$AZ165))</f>
        <v/>
      </c>
      <c r="BB165" s="91" t="str">
        <f aca="false">IF($BD165&lt;&gt;Constants!$B$6,"",IF($AH165,$AJ165,""))</f>
        <v/>
      </c>
      <c r="BC165" s="93" t="str">
        <f aca="false">IF($BD165&lt;&gt;Constants!$B$6,"",$AX165)</f>
        <v/>
      </c>
      <c r="BD165" s="87" t="str">
        <f aca="false">IF(ISBLANK($C165),"",IF($AL165,Constants!$B$9,IF(COUNTA($E165:$T165)=0,Constants!$B$8,IF(NOT($X165),Constants!$B$7,IF(OR($AM165,$AV165),Constants!$B$10,Constants!$B$6)))))</f>
        <v/>
      </c>
      <c r="BE165" s="87" t="str">
        <f aca="false">IF(ISBLANK($C165),"",IF($BD165&lt;&gt;Constants!$B$6,$BD165,Constants!$B$11))</f>
        <v/>
      </c>
      <c r="BF165" s="91" t="str">
        <f aca="false">IF($BD165&lt;&gt;Constants!$B$6,"",IF($AU165="-&gt;",$BA165,$AR165))</f>
        <v/>
      </c>
      <c r="BG165" s="91" t="str">
        <f aca="false">IF($BD165&lt;&gt;Constants!$B$6,"",IF($W165,0,Constants!$B$15))</f>
        <v/>
      </c>
      <c r="BH165" s="91" t="str">
        <f aca="false">IF(ISBLANK($C165),"",IF($BD165&lt;&gt;Constants!$B$6,$BD165,SUM($BF165:$BG165)))</f>
        <v/>
      </c>
      <c r="BI165" s="87" t="str">
        <f aca="false">IF(ISBLANK($C165),"",IF($BD165&lt;&gt;Constants!$B$6,$BD165,RANK($BH165,$BH$9:$BH$508,1)))</f>
        <v/>
      </c>
      <c r="BJ165" s="91" t="str">
        <f aca="false">IF($BD165&lt;&gt;Constants!$B$6,"",IF($AU165="-&gt;",$BB165,$AS165))</f>
        <v/>
      </c>
      <c r="BK165" s="87" t="str">
        <f aca="false">IF(ISBLANK($C165),"",IF($BD165&lt;&gt;Constants!$B$6,$BD165,IF(ISNUMBER($BJ165),RANK($BJ165,$BJ$9:$BJ$508,1),COUNT($BJ$9:$BJ$508)+1)))</f>
        <v/>
      </c>
      <c r="BL165" s="91" t="str">
        <f aca="false">IF($BD165&lt;&gt;Constants!$B$6,"",IF($AU165="-&gt;",$BC165,$AT165))</f>
        <v/>
      </c>
      <c r="BM165" s="87" t="str">
        <f aca="false">IF(ISBLANK($C165),"",IF($BD165&lt;&gt;Constants!$B$6,$BD165,IF(ISNUMBER($BL165),RANK($BL165,$BL$9:$BL$508,1),COUNT($BL$9:$BL$508)+1)))</f>
        <v/>
      </c>
      <c r="BN165" s="91" t="str">
        <f aca="false">IF($BD165&lt;&gt;Constants!$B$6,"",IF($AU165="-&gt;",$AS165,$BB165))</f>
        <v/>
      </c>
      <c r="BO165" s="87" t="str">
        <f aca="false">IF(ISBLANK($C165),"",IF($BD165&lt;&gt;Constants!$B$6,$BD165,IF(ISNUMBER($BN165),RANK($BN165,$BN$9:$BN$508,1),COUNT($BN$9:$BN$508)+1)))</f>
        <v/>
      </c>
      <c r="BP165" s="91" t="str">
        <f aca="false">IF($BD165&lt;&gt;Constants!$B$6,"",IF($AU165="-&gt;",$AT165,$BC165))</f>
        <v/>
      </c>
      <c r="BQ165" s="87" t="str">
        <f aca="false">IF(ISBLANK($C165),"",IF($BD165&lt;&gt;Constants!$B$6,$BD165,IF(ISNUMBER($BP165),RANK($BP165,$BP$9:$BP$508,1),COUNT($BP$9:$BP$508)+1)))</f>
        <v/>
      </c>
      <c r="BR165" s="87" t="str">
        <f aca="false">IF(ISBLANK($C165),"",IF($BD165&lt;&gt;Constants!$B$6,$BD165,COUNTIFS($BI$9:$BI$508,"&lt;"&amp;$BI165)+COUNTIFS($BI$9:$BI$508,$BI165,$BK$9:$BK$508,"&lt;"&amp;$BK165)+COUNTIFS($BI$9:$BI$508,$BI165,$BK$9:$BK$508,$BK165,$BM$9:$BM$508,"&lt;"&amp;$BM165)+COUNTIFS($BI$9:$BI$508,$BI165,$BK$9:$BK$508,$BK165,$BM$9:$BM$508,$BM165,$BO$9:$BO$508,"&lt;"&amp;$BO165)+COUNTIFS($BI$9:$BI$508,$BI165,$BK$9:$BK$508,$BK165,$BM$9:$BM$508,$BM165,$BO$9:$BO$508,$BO165,$BQ$9:$BQ$508,"&lt;"&amp;$BQ165)+1))</f>
        <v/>
      </c>
      <c r="BS165" s="87" t="str">
        <f aca="false">IF(ISBLANK($C165),"",IF($BD165&lt;&gt;Constants!$B$6,$BD165,$BI165-$BR165))</f>
        <v/>
      </c>
      <c r="BT165" s="94"/>
      <c r="BU165" s="95"/>
      <c r="BV165" s="95" t="str">
        <f aca="false">IF(ISBLANK($C165),"",IF($BD165&lt;&gt;Constants!$B$6,"",IF($AU165="-&gt;",2,1)))</f>
        <v/>
      </c>
      <c r="BW165" s="96" t="str">
        <f aca="false">IF(ISBLANK($C165),"",IF($BD165&lt;&gt;Constants!$B$6,"",IF($AU165="-&gt;",$AW165,$AN165)))</f>
        <v/>
      </c>
      <c r="BX165" s="96" t="str">
        <f aca="false">IF(ISBLANK($C165),"",IF($BD165&lt;&gt;Constants!$B$6,"",IF($AU165="-&gt;",$AX165,$AO165)))</f>
        <v/>
      </c>
      <c r="BY165" s="96" t="str">
        <f aca="false">IF(ISBLANK($C165),"",IF($BD165&lt;&gt;Constants!$B$6,"",IF($AU165="-&gt;",$AY165,$AP165)))</f>
        <v/>
      </c>
      <c r="BZ165" s="96" t="str">
        <f aca="false">IF(ISBLANK($C165),"",IF($BD165&lt;&gt;Constants!$B$6,"",IF($AU165="-&gt;",$AZ165,$AQ165)+$BG165))</f>
        <v/>
      </c>
      <c r="CA165" s="97" t="str">
        <f aca="false">IF(ISBLANK($C165),"",IF($BD165&lt;&gt;Constants!$B$6,$BD165,$BH165))</f>
        <v/>
      </c>
      <c r="CB165" s="98" t="str">
        <f aca="false">IF(ISBLANK($C165),"",$BE165)</f>
        <v/>
      </c>
      <c r="CC165" s="99" t="str">
        <f aca="false">IF(ISBLANK($C165),"",$BS165)</f>
        <v/>
      </c>
      <c r="CD165" s="99" t="str">
        <f aca="false">IF(ISBLANK($C165),"",$BR165)</f>
        <v/>
      </c>
      <c r="CE165" s="100" t="str">
        <f aca="false">IF(ISBLANK($C165),"",IF($CD165=Constants!$B$9,COUNTA($C$9:$C$508)+2,IF($CD165=Constants!$B$8,COUNTA($C$9:$C$508)+1,IF($CD165=Constants!$B$7,COUNTA($C$9:$C$508),$CD165))))</f>
        <v/>
      </c>
      <c r="CF165" s="9"/>
      <c r="CG165" s="101" t="n">
        <f aca="false">IF(OR(ISNUMBER($CD165),$CD165=Constants!$B$9,$CD165=Constants!$B$7,$CD165=Constants!$B$8),1,0)</f>
        <v>0</v>
      </c>
      <c r="CH165" s="101" t="n">
        <v>157</v>
      </c>
      <c r="CI165" s="101" t="str">
        <f aca="false">IF(ISBLANK($C165),"",IF(ISNUMBER($CE165),$CE165+ROW($B165)/1000,""))</f>
        <v/>
      </c>
      <c r="CJ165" s="101" t="str">
        <f aca="false">IF(ISNUMBER($CI165),RANK($CI165,$CI$9:$CI$508,1),"")</f>
        <v/>
      </c>
      <c r="CK165" s="101" t="str">
        <f aca="false">IF(ISBLANK($C165),"",$B165)</f>
        <v/>
      </c>
      <c r="CL165" s="101" t="str">
        <f aca="false">IF(ISBLANK($C165),"",$C165)</f>
        <v/>
      </c>
      <c r="CM165" s="101" t="str">
        <f aca="false">IF(ISBLANK($C165),"",$D165)</f>
        <v/>
      </c>
      <c r="CN165" s="102" t="str">
        <f aca="false">$CB165</f>
        <v/>
      </c>
      <c r="CO165" s="103" t="str">
        <f aca="false">$CA165</f>
        <v/>
      </c>
      <c r="CP165" s="101" t="str">
        <f aca="false">IF(ISBLANK($C165),"",$CD165)</f>
        <v/>
      </c>
      <c r="CQ165" s="104" t="str">
        <f aca="false">IF($CH165&gt;$CG$8,"",VLOOKUP($CH165,$CJ$9:$CP$508,7,FALSE()))</f>
        <v/>
      </c>
      <c r="CR165" s="105" t="str">
        <f aca="false">IF($CH165&gt;$CG$8,"",VLOOKUP($CH165,$CJ$9:$CP$508,2,FALSE()))</f>
        <v/>
      </c>
      <c r="CS165" s="105" t="str">
        <f aca="false">IF($CH165&gt;$CG$8,"",VLOOKUP($CH165,$CJ$9:$CP$508,3,FALSE()))</f>
        <v/>
      </c>
      <c r="CT165" s="105" t="str">
        <f aca="false">IF($CH165&gt;$CG$8,"",VLOOKUP($CH165,$CJ$9:$CP$508,4,FALSE()))</f>
        <v/>
      </c>
      <c r="CU165" s="105" t="str">
        <f aca="false">IF($CH165&gt;$CG$8,"",VLOOKUP($CH165,$CJ$9:$CP$508,5,FALSE()))</f>
        <v/>
      </c>
      <c r="CV165" s="106" t="str">
        <f aca="false">IF($CH165&gt;$CG$8,"",VLOOKUP($CH165,$CJ$9:$CP$508,6,FALSE()))</f>
        <v/>
      </c>
      <c r="CW165" s="71"/>
    </row>
    <row r="166" customFormat="false" ht="15.75" hidden="false" customHeight="false" outlineLevel="0" collapsed="false">
      <c r="A166" s="9"/>
      <c r="B166" s="72"/>
      <c r="C166" s="73"/>
      <c r="D166" s="160"/>
      <c r="E166" s="168"/>
      <c r="F166" s="162"/>
      <c r="G166" s="163"/>
      <c r="H166" s="169"/>
      <c r="I166" s="167"/>
      <c r="J166" s="80"/>
      <c r="K166" s="81"/>
      <c r="L166" s="82"/>
      <c r="M166" s="166"/>
      <c r="N166" s="167"/>
      <c r="O166" s="167"/>
      <c r="P166" s="80"/>
      <c r="Q166" s="82"/>
      <c r="R166" s="82"/>
      <c r="S166" s="166"/>
      <c r="T166" s="167"/>
      <c r="U166" s="86"/>
      <c r="V166" s="87"/>
      <c r="W166" s="87" t="str">
        <f aca="false">IF(ISBLANK($C166),"",IF(E166=Constants!$B$2,TRUE(),IF(E166=Constants!$B$3,FALSE(),TRUE())))</f>
        <v/>
      </c>
      <c r="X166" s="87" t="str">
        <f aca="false">IF(ISBLANK($C166),"",IF(F166=Constants!$B$2,TRUE(),IF(F166=Constants!$B$3,FALSE(),TRUE())))</f>
        <v/>
      </c>
      <c r="Y166" s="87" t="str">
        <f aca="false">IF(ISBLANK($C166),"",IF(G166=Constants!$B$2,TRUE(),IF(G166=Constants!$B$3,FALSE(),TRUE())))</f>
        <v/>
      </c>
      <c r="Z166" s="87" t="str">
        <f aca="false">IF(ISBLANK($C166),"",IF(H166=Constants!$B$2,TRUE(),IF(H166=Constants!$B$3,FALSE(),TRUE())))</f>
        <v/>
      </c>
      <c r="AA166" s="87" t="str">
        <f aca="false">IF(ISBLANK($C166),"",IF(I166=Constants!$B$2,TRUE(),IF(I166=Constants!$B$3,FALSE(),TRUE())))</f>
        <v/>
      </c>
      <c r="AB166" s="87" t="str">
        <f aca="false">IF(ISBLANK($C166),"",IF(J166=Constants!$B$4,TRUE(),IF(J166=Constants!$B$5,FALSE(),COUNTA(K166:M166)&gt;0)))</f>
        <v/>
      </c>
      <c r="AC166" s="88" t="str">
        <f aca="false">IF(ISBLANK($C166),"",IF(ISNUMBER(K166),IF(K166&gt;=0,K166,""),""))</f>
        <v/>
      </c>
      <c r="AD166" s="89" t="str">
        <f aca="false">IF(ISBLANK($C166),"",IF(ISNUMBER(L166),IF(L166&gt;=0,L166,""),""))</f>
        <v/>
      </c>
      <c r="AE166" s="87" t="str">
        <f aca="false">IF(ISBLANK($C166),"",IF(ISNUMBER(M166),IF(M166&gt;=0,MIN(M166,Constants!$B$22),""),""))</f>
        <v/>
      </c>
      <c r="AF166" s="87" t="str">
        <f aca="false">IF(ISBLANK($C166),"",IF(N166=Constants!$B$2,TRUE(),IF(N166=Constants!$B$3,FALSE(),TRUE())))</f>
        <v/>
      </c>
      <c r="AG166" s="87" t="str">
        <f aca="false">IF(ISBLANK($C166),"",IF(O166=Constants!$B$2,TRUE(),IF(O166=Constants!$B$3,FALSE(),TRUE())))</f>
        <v/>
      </c>
      <c r="AH166" s="87" t="str">
        <f aca="false">IF(ISBLANK($C166),"",IF(P166=Constants!$B$4,TRUE(),IF(P166=Constants!$B$5,FALSE(),COUNTA(Q166:S166)&gt;0)))</f>
        <v/>
      </c>
      <c r="AI166" s="88" t="str">
        <f aca="false">IF(ISBLANK($C166),"",IF(ISNUMBER(Q166),IF(Q166&gt;=0,Q166,""),""))</f>
        <v/>
      </c>
      <c r="AJ166" s="89" t="str">
        <f aca="false">IF(ISBLANK($C166),"",IF(ISNUMBER(R166),IF(R166&gt;=0,R166,""),""))</f>
        <v/>
      </c>
      <c r="AK166" s="87" t="str">
        <f aca="false">IF(ISBLANK($C166),"",IF(ISNUMBER(S166),IF(S166&gt;=0,MIN(S166,Constants!$B$22),""),""))</f>
        <v/>
      </c>
      <c r="AL166" s="87" t="str">
        <f aca="false">IF(ISBLANK($C166),"",IF(T166=Constants!$B$2,TRUE(),IF(T166=Constants!$B$3,FALSE(),FALSE())))</f>
        <v/>
      </c>
      <c r="AM166" s="86" t="str">
        <f aca="false">IF(ISBLANK($C166),"",AND($AB166,OR($AC166="",$AD166="",AND(NOT(ISBLANK($M166)),$AE166=""))))</f>
        <v/>
      </c>
      <c r="AN166" s="89" t="str">
        <f aca="false">IF($BD166&lt;&gt;Constants!$B$6,"",IF($AB166,Constants!$B$17*$AD166,Constants!$B$18))</f>
        <v/>
      </c>
      <c r="AO166" s="91" t="str">
        <f aca="false">IF($BD166&lt;&gt;Constants!$B$6,"",Constants!$B$19*IF($AB166,$AC166,0))</f>
        <v/>
      </c>
      <c r="AP166" s="91" t="str">
        <f aca="false">IF($BD166&lt;&gt;Constants!$B$6,"",IF(AND($AB166,ISNUMBER($AE166)),Constants!$B$20*(Constants!$B$21-$AE166),0))</f>
        <v/>
      </c>
      <c r="AQ166" s="91" t="str">
        <f aca="false">IF($BD166&lt;&gt;Constants!$B$6,"",IF($AA166,0,Constants!$B$12)+IF($Z166,0,Constants!$B$13)+IF($Y166,0,Constants!$B$14))</f>
        <v/>
      </c>
      <c r="AR166" s="92" t="str">
        <f aca="false">IF($BD166&lt;&gt;Constants!$B$6,"",Constants!$B$16+SUM($AN166:$AQ166))</f>
        <v/>
      </c>
      <c r="AS166" s="91" t="str">
        <f aca="false">IF($BD166&lt;&gt;Constants!$B$6,"",IF($AB166,$AD166,""))</f>
        <v/>
      </c>
      <c r="AT166" s="93" t="str">
        <f aca="false">IF($BD166&lt;&gt;Constants!$B$6,"",$AO166)</f>
        <v/>
      </c>
      <c r="AU166" s="87" t="str">
        <f aca="false">IF($BD166&lt;&gt;Constants!$B$6,"",IF(OR($BA166&lt;$AR166,AND($BA166=$AR166,OR(AND(ISNUMBER($BB166),OR(NOT(ISNUMBER($AS166)),$BB166&lt;$AS166)),AND(OR(AND($BB166="",$AS166=""),AND(ISNUMBER($BB166),ISNUMBER($AS166),$BB166=$AS166)),$BC166&lt;$AT166)))),"-&gt;","&lt;-"))</f>
        <v/>
      </c>
      <c r="AV166" s="86" t="str">
        <f aca="false">IF(ISBLANK($C166),"",AND($AH166,OR($AI166="",$AJ166="",AND(NOT(ISBLANK($S166)),$AK166=""))))</f>
        <v/>
      </c>
      <c r="AW166" s="89" t="str">
        <f aca="false">IF($BD166&lt;&gt;Constants!$B$6,"",IF($AH166,Constants!$B$17*$AJ166,Constants!$B$18))</f>
        <v/>
      </c>
      <c r="AX166" s="91" t="str">
        <f aca="false">IF($BD166&lt;&gt;Constants!$B$6,"",Constants!$B$19*IF($AH166,$AI166,0))</f>
        <v/>
      </c>
      <c r="AY166" s="91" t="str">
        <f aca="false">IF($BD166&lt;&gt;Constants!$B$6,"",IF(AND($AH166,ISNUMBER($AK166)),Constants!$B$20*(Constants!$B$21-$AK166),0))</f>
        <v/>
      </c>
      <c r="AZ166" s="91" t="str">
        <f aca="false">IF($BD166&lt;&gt;Constants!$B$6,"",IF($AG166,0,Constants!$B$12)+IF($AF166,0,Constants!$B$13)+IF($Y166,0,Constants!$B$14))</f>
        <v/>
      </c>
      <c r="BA166" s="92" t="str">
        <f aca="false">IF($BD166&lt;&gt;Constants!$B$6,"",Constants!$B$16+SUM($AW166:$AZ166))</f>
        <v/>
      </c>
      <c r="BB166" s="91" t="str">
        <f aca="false">IF($BD166&lt;&gt;Constants!$B$6,"",IF($AH166,$AJ166,""))</f>
        <v/>
      </c>
      <c r="BC166" s="93" t="str">
        <f aca="false">IF($BD166&lt;&gt;Constants!$B$6,"",$AX166)</f>
        <v/>
      </c>
      <c r="BD166" s="87" t="str">
        <f aca="false">IF(ISBLANK($C166),"",IF($AL166,Constants!$B$9,IF(COUNTA($E166:$T166)=0,Constants!$B$8,IF(NOT($X166),Constants!$B$7,IF(OR($AM166,$AV166),Constants!$B$10,Constants!$B$6)))))</f>
        <v/>
      </c>
      <c r="BE166" s="87" t="str">
        <f aca="false">IF(ISBLANK($C166),"",IF($BD166&lt;&gt;Constants!$B$6,$BD166,Constants!$B$11))</f>
        <v/>
      </c>
      <c r="BF166" s="91" t="str">
        <f aca="false">IF($BD166&lt;&gt;Constants!$B$6,"",IF($AU166="-&gt;",$BA166,$AR166))</f>
        <v/>
      </c>
      <c r="BG166" s="91" t="str">
        <f aca="false">IF($BD166&lt;&gt;Constants!$B$6,"",IF($W166,0,Constants!$B$15))</f>
        <v/>
      </c>
      <c r="BH166" s="91" t="str">
        <f aca="false">IF(ISBLANK($C166),"",IF($BD166&lt;&gt;Constants!$B$6,$BD166,SUM($BF166:$BG166)))</f>
        <v/>
      </c>
      <c r="BI166" s="87" t="str">
        <f aca="false">IF(ISBLANK($C166),"",IF($BD166&lt;&gt;Constants!$B$6,$BD166,RANK($BH166,$BH$9:$BH$508,1)))</f>
        <v/>
      </c>
      <c r="BJ166" s="91" t="str">
        <f aca="false">IF($BD166&lt;&gt;Constants!$B$6,"",IF($AU166="-&gt;",$BB166,$AS166))</f>
        <v/>
      </c>
      <c r="BK166" s="87" t="str">
        <f aca="false">IF(ISBLANK($C166),"",IF($BD166&lt;&gt;Constants!$B$6,$BD166,IF(ISNUMBER($BJ166),RANK($BJ166,$BJ$9:$BJ$508,1),COUNT($BJ$9:$BJ$508)+1)))</f>
        <v/>
      </c>
      <c r="BL166" s="91" t="str">
        <f aca="false">IF($BD166&lt;&gt;Constants!$B$6,"",IF($AU166="-&gt;",$BC166,$AT166))</f>
        <v/>
      </c>
      <c r="BM166" s="87" t="str">
        <f aca="false">IF(ISBLANK($C166),"",IF($BD166&lt;&gt;Constants!$B$6,$BD166,IF(ISNUMBER($BL166),RANK($BL166,$BL$9:$BL$508,1),COUNT($BL$9:$BL$508)+1)))</f>
        <v/>
      </c>
      <c r="BN166" s="91" t="str">
        <f aca="false">IF($BD166&lt;&gt;Constants!$B$6,"",IF($AU166="-&gt;",$AS166,$BB166))</f>
        <v/>
      </c>
      <c r="BO166" s="87" t="str">
        <f aca="false">IF(ISBLANK($C166),"",IF($BD166&lt;&gt;Constants!$B$6,$BD166,IF(ISNUMBER($BN166),RANK($BN166,$BN$9:$BN$508,1),COUNT($BN$9:$BN$508)+1)))</f>
        <v/>
      </c>
      <c r="BP166" s="91" t="str">
        <f aca="false">IF($BD166&lt;&gt;Constants!$B$6,"",IF($AU166="-&gt;",$AT166,$BC166))</f>
        <v/>
      </c>
      <c r="BQ166" s="87" t="str">
        <f aca="false">IF(ISBLANK($C166),"",IF($BD166&lt;&gt;Constants!$B$6,$BD166,IF(ISNUMBER($BP166),RANK($BP166,$BP$9:$BP$508,1),COUNT($BP$9:$BP$508)+1)))</f>
        <v/>
      </c>
      <c r="BR166" s="87" t="str">
        <f aca="false">IF(ISBLANK($C166),"",IF($BD166&lt;&gt;Constants!$B$6,$BD166,COUNTIFS($BI$9:$BI$508,"&lt;"&amp;$BI166)+COUNTIFS($BI$9:$BI$508,$BI166,$BK$9:$BK$508,"&lt;"&amp;$BK166)+COUNTIFS($BI$9:$BI$508,$BI166,$BK$9:$BK$508,$BK166,$BM$9:$BM$508,"&lt;"&amp;$BM166)+COUNTIFS($BI$9:$BI$508,$BI166,$BK$9:$BK$508,$BK166,$BM$9:$BM$508,$BM166,$BO$9:$BO$508,"&lt;"&amp;$BO166)+COUNTIFS($BI$9:$BI$508,$BI166,$BK$9:$BK$508,$BK166,$BM$9:$BM$508,$BM166,$BO$9:$BO$508,$BO166,$BQ$9:$BQ$508,"&lt;"&amp;$BQ166)+1))</f>
        <v/>
      </c>
      <c r="BS166" s="87" t="str">
        <f aca="false">IF(ISBLANK($C166),"",IF($BD166&lt;&gt;Constants!$B$6,$BD166,$BI166-$BR166))</f>
        <v/>
      </c>
      <c r="BT166" s="94"/>
      <c r="BU166" s="95"/>
      <c r="BV166" s="95" t="str">
        <f aca="false">IF(ISBLANK($C166),"",IF($BD166&lt;&gt;Constants!$B$6,"",IF($AU166="-&gt;",2,1)))</f>
        <v/>
      </c>
      <c r="BW166" s="96" t="str">
        <f aca="false">IF(ISBLANK($C166),"",IF($BD166&lt;&gt;Constants!$B$6,"",IF($AU166="-&gt;",$AW166,$AN166)))</f>
        <v/>
      </c>
      <c r="BX166" s="96" t="str">
        <f aca="false">IF(ISBLANK($C166),"",IF($BD166&lt;&gt;Constants!$B$6,"",IF($AU166="-&gt;",$AX166,$AO166)))</f>
        <v/>
      </c>
      <c r="BY166" s="96" t="str">
        <f aca="false">IF(ISBLANK($C166),"",IF($BD166&lt;&gt;Constants!$B$6,"",IF($AU166="-&gt;",$AY166,$AP166)))</f>
        <v/>
      </c>
      <c r="BZ166" s="96" t="str">
        <f aca="false">IF(ISBLANK($C166),"",IF($BD166&lt;&gt;Constants!$B$6,"",IF($AU166="-&gt;",$AZ166,$AQ166)+$BG166))</f>
        <v/>
      </c>
      <c r="CA166" s="97" t="str">
        <f aca="false">IF(ISBLANK($C166),"",IF($BD166&lt;&gt;Constants!$B$6,$BD166,$BH166))</f>
        <v/>
      </c>
      <c r="CB166" s="98" t="str">
        <f aca="false">IF(ISBLANK($C166),"",$BE166)</f>
        <v/>
      </c>
      <c r="CC166" s="99" t="str">
        <f aca="false">IF(ISBLANK($C166),"",$BS166)</f>
        <v/>
      </c>
      <c r="CD166" s="99" t="str">
        <f aca="false">IF(ISBLANK($C166),"",$BR166)</f>
        <v/>
      </c>
      <c r="CE166" s="100" t="str">
        <f aca="false">IF(ISBLANK($C166),"",IF($CD166=Constants!$B$9,COUNTA($C$9:$C$508)+2,IF($CD166=Constants!$B$8,COUNTA($C$9:$C$508)+1,IF($CD166=Constants!$B$7,COUNTA($C$9:$C$508),$CD166))))</f>
        <v/>
      </c>
      <c r="CF166" s="9"/>
      <c r="CG166" s="101" t="n">
        <f aca="false">IF(OR(ISNUMBER($CD166),$CD166=Constants!$B$9,$CD166=Constants!$B$7,$CD166=Constants!$B$8),1,0)</f>
        <v>0</v>
      </c>
      <c r="CH166" s="101" t="n">
        <v>158</v>
      </c>
      <c r="CI166" s="101" t="str">
        <f aca="false">IF(ISBLANK($C166),"",IF(ISNUMBER($CE166),$CE166+ROW($B166)/1000,""))</f>
        <v/>
      </c>
      <c r="CJ166" s="101" t="str">
        <f aca="false">IF(ISNUMBER($CI166),RANK($CI166,$CI$9:$CI$508,1),"")</f>
        <v/>
      </c>
      <c r="CK166" s="101" t="str">
        <f aca="false">IF(ISBLANK($C166),"",$B166)</f>
        <v/>
      </c>
      <c r="CL166" s="101" t="str">
        <f aca="false">IF(ISBLANK($C166),"",$C166)</f>
        <v/>
      </c>
      <c r="CM166" s="101" t="str">
        <f aca="false">IF(ISBLANK($C166),"",$D166)</f>
        <v/>
      </c>
      <c r="CN166" s="102" t="str">
        <f aca="false">$CB166</f>
        <v/>
      </c>
      <c r="CO166" s="103" t="str">
        <f aca="false">$CA166</f>
        <v/>
      </c>
      <c r="CP166" s="101" t="str">
        <f aca="false">IF(ISBLANK($C166),"",$CD166)</f>
        <v/>
      </c>
      <c r="CQ166" s="104" t="str">
        <f aca="false">IF($CH166&gt;$CG$8,"",VLOOKUP($CH166,$CJ$9:$CP$508,7,FALSE()))</f>
        <v/>
      </c>
      <c r="CR166" s="105" t="str">
        <f aca="false">IF($CH166&gt;$CG$8,"",VLOOKUP($CH166,$CJ$9:$CP$508,2,FALSE()))</f>
        <v/>
      </c>
      <c r="CS166" s="105" t="str">
        <f aca="false">IF($CH166&gt;$CG$8,"",VLOOKUP($CH166,$CJ$9:$CP$508,3,FALSE()))</f>
        <v/>
      </c>
      <c r="CT166" s="105" t="str">
        <f aca="false">IF($CH166&gt;$CG$8,"",VLOOKUP($CH166,$CJ$9:$CP$508,4,FALSE()))</f>
        <v/>
      </c>
      <c r="CU166" s="105" t="str">
        <f aca="false">IF($CH166&gt;$CG$8,"",VLOOKUP($CH166,$CJ$9:$CP$508,5,FALSE()))</f>
        <v/>
      </c>
      <c r="CV166" s="106" t="str">
        <f aca="false">IF($CH166&gt;$CG$8,"",VLOOKUP($CH166,$CJ$9:$CP$508,6,FALSE()))</f>
        <v/>
      </c>
      <c r="CW166" s="71"/>
    </row>
    <row r="167" customFormat="false" ht="15.75" hidden="false" customHeight="false" outlineLevel="0" collapsed="false">
      <c r="A167" s="9"/>
      <c r="B167" s="72"/>
      <c r="C167" s="73"/>
      <c r="D167" s="160"/>
      <c r="E167" s="168"/>
      <c r="F167" s="162"/>
      <c r="G167" s="163"/>
      <c r="H167" s="169"/>
      <c r="I167" s="167"/>
      <c r="J167" s="80"/>
      <c r="K167" s="81"/>
      <c r="L167" s="82"/>
      <c r="M167" s="166"/>
      <c r="N167" s="167"/>
      <c r="O167" s="167"/>
      <c r="P167" s="80"/>
      <c r="Q167" s="82"/>
      <c r="R167" s="82"/>
      <c r="S167" s="166"/>
      <c r="T167" s="167"/>
      <c r="U167" s="86"/>
      <c r="V167" s="87"/>
      <c r="W167" s="87" t="str">
        <f aca="false">IF(ISBLANK($C167),"",IF(E167=Constants!$B$2,TRUE(),IF(E167=Constants!$B$3,FALSE(),TRUE())))</f>
        <v/>
      </c>
      <c r="X167" s="87" t="str">
        <f aca="false">IF(ISBLANK($C167),"",IF(F167=Constants!$B$2,TRUE(),IF(F167=Constants!$B$3,FALSE(),TRUE())))</f>
        <v/>
      </c>
      <c r="Y167" s="87" t="str">
        <f aca="false">IF(ISBLANK($C167),"",IF(G167=Constants!$B$2,TRUE(),IF(G167=Constants!$B$3,FALSE(),TRUE())))</f>
        <v/>
      </c>
      <c r="Z167" s="87" t="str">
        <f aca="false">IF(ISBLANK($C167),"",IF(H167=Constants!$B$2,TRUE(),IF(H167=Constants!$B$3,FALSE(),TRUE())))</f>
        <v/>
      </c>
      <c r="AA167" s="87" t="str">
        <f aca="false">IF(ISBLANK($C167),"",IF(I167=Constants!$B$2,TRUE(),IF(I167=Constants!$B$3,FALSE(),TRUE())))</f>
        <v/>
      </c>
      <c r="AB167" s="87" t="str">
        <f aca="false">IF(ISBLANK($C167),"",IF(J167=Constants!$B$4,TRUE(),IF(J167=Constants!$B$5,FALSE(),COUNTA(K167:M167)&gt;0)))</f>
        <v/>
      </c>
      <c r="AC167" s="88" t="str">
        <f aca="false">IF(ISBLANK($C167),"",IF(ISNUMBER(K167),IF(K167&gt;=0,K167,""),""))</f>
        <v/>
      </c>
      <c r="AD167" s="89" t="str">
        <f aca="false">IF(ISBLANK($C167),"",IF(ISNUMBER(L167),IF(L167&gt;=0,L167,""),""))</f>
        <v/>
      </c>
      <c r="AE167" s="87" t="str">
        <f aca="false">IF(ISBLANK($C167),"",IF(ISNUMBER(M167),IF(M167&gt;=0,MIN(M167,Constants!$B$22),""),""))</f>
        <v/>
      </c>
      <c r="AF167" s="87" t="str">
        <f aca="false">IF(ISBLANK($C167),"",IF(N167=Constants!$B$2,TRUE(),IF(N167=Constants!$B$3,FALSE(),TRUE())))</f>
        <v/>
      </c>
      <c r="AG167" s="87" t="str">
        <f aca="false">IF(ISBLANK($C167),"",IF(O167=Constants!$B$2,TRUE(),IF(O167=Constants!$B$3,FALSE(),TRUE())))</f>
        <v/>
      </c>
      <c r="AH167" s="87" t="str">
        <f aca="false">IF(ISBLANK($C167),"",IF(P167=Constants!$B$4,TRUE(),IF(P167=Constants!$B$5,FALSE(),COUNTA(Q167:S167)&gt;0)))</f>
        <v/>
      </c>
      <c r="AI167" s="88" t="str">
        <f aca="false">IF(ISBLANK($C167),"",IF(ISNUMBER(Q167),IF(Q167&gt;=0,Q167,""),""))</f>
        <v/>
      </c>
      <c r="AJ167" s="89" t="str">
        <f aca="false">IF(ISBLANK($C167),"",IF(ISNUMBER(R167),IF(R167&gt;=0,R167,""),""))</f>
        <v/>
      </c>
      <c r="AK167" s="87" t="str">
        <f aca="false">IF(ISBLANK($C167),"",IF(ISNUMBER(S167),IF(S167&gt;=0,MIN(S167,Constants!$B$22),""),""))</f>
        <v/>
      </c>
      <c r="AL167" s="87" t="str">
        <f aca="false">IF(ISBLANK($C167),"",IF(T167=Constants!$B$2,TRUE(),IF(T167=Constants!$B$3,FALSE(),FALSE())))</f>
        <v/>
      </c>
      <c r="AM167" s="86" t="str">
        <f aca="false">IF(ISBLANK($C167),"",AND($AB167,OR($AC167="",$AD167="",AND(NOT(ISBLANK($M167)),$AE167=""))))</f>
        <v/>
      </c>
      <c r="AN167" s="89" t="str">
        <f aca="false">IF($BD167&lt;&gt;Constants!$B$6,"",IF($AB167,Constants!$B$17*$AD167,Constants!$B$18))</f>
        <v/>
      </c>
      <c r="AO167" s="91" t="str">
        <f aca="false">IF($BD167&lt;&gt;Constants!$B$6,"",Constants!$B$19*IF($AB167,$AC167,0))</f>
        <v/>
      </c>
      <c r="AP167" s="91" t="str">
        <f aca="false">IF($BD167&lt;&gt;Constants!$B$6,"",IF(AND($AB167,ISNUMBER($AE167)),Constants!$B$20*(Constants!$B$21-$AE167),0))</f>
        <v/>
      </c>
      <c r="AQ167" s="91" t="str">
        <f aca="false">IF($BD167&lt;&gt;Constants!$B$6,"",IF($AA167,0,Constants!$B$12)+IF($Z167,0,Constants!$B$13)+IF($Y167,0,Constants!$B$14))</f>
        <v/>
      </c>
      <c r="AR167" s="92" t="str">
        <f aca="false">IF($BD167&lt;&gt;Constants!$B$6,"",Constants!$B$16+SUM($AN167:$AQ167))</f>
        <v/>
      </c>
      <c r="AS167" s="91" t="str">
        <f aca="false">IF($BD167&lt;&gt;Constants!$B$6,"",IF($AB167,$AD167,""))</f>
        <v/>
      </c>
      <c r="AT167" s="93" t="str">
        <f aca="false">IF($BD167&lt;&gt;Constants!$B$6,"",$AO167)</f>
        <v/>
      </c>
      <c r="AU167" s="87" t="str">
        <f aca="false">IF($BD167&lt;&gt;Constants!$B$6,"",IF(OR($BA167&lt;$AR167,AND($BA167=$AR167,OR(AND(ISNUMBER($BB167),OR(NOT(ISNUMBER($AS167)),$BB167&lt;$AS167)),AND(OR(AND($BB167="",$AS167=""),AND(ISNUMBER($BB167),ISNUMBER($AS167),$BB167=$AS167)),$BC167&lt;$AT167)))),"-&gt;","&lt;-"))</f>
        <v/>
      </c>
      <c r="AV167" s="86" t="str">
        <f aca="false">IF(ISBLANK($C167),"",AND($AH167,OR($AI167="",$AJ167="",AND(NOT(ISBLANK($S167)),$AK167=""))))</f>
        <v/>
      </c>
      <c r="AW167" s="89" t="str">
        <f aca="false">IF($BD167&lt;&gt;Constants!$B$6,"",IF($AH167,Constants!$B$17*$AJ167,Constants!$B$18))</f>
        <v/>
      </c>
      <c r="AX167" s="91" t="str">
        <f aca="false">IF($BD167&lt;&gt;Constants!$B$6,"",Constants!$B$19*IF($AH167,$AI167,0))</f>
        <v/>
      </c>
      <c r="AY167" s="91" t="str">
        <f aca="false">IF($BD167&lt;&gt;Constants!$B$6,"",IF(AND($AH167,ISNUMBER($AK167)),Constants!$B$20*(Constants!$B$21-$AK167),0))</f>
        <v/>
      </c>
      <c r="AZ167" s="91" t="str">
        <f aca="false">IF($BD167&lt;&gt;Constants!$B$6,"",IF($AG167,0,Constants!$B$12)+IF($AF167,0,Constants!$B$13)+IF($Y167,0,Constants!$B$14))</f>
        <v/>
      </c>
      <c r="BA167" s="92" t="str">
        <f aca="false">IF($BD167&lt;&gt;Constants!$B$6,"",Constants!$B$16+SUM($AW167:$AZ167))</f>
        <v/>
      </c>
      <c r="BB167" s="91" t="str">
        <f aca="false">IF($BD167&lt;&gt;Constants!$B$6,"",IF($AH167,$AJ167,""))</f>
        <v/>
      </c>
      <c r="BC167" s="93" t="str">
        <f aca="false">IF($BD167&lt;&gt;Constants!$B$6,"",$AX167)</f>
        <v/>
      </c>
      <c r="BD167" s="87" t="str">
        <f aca="false">IF(ISBLANK($C167),"",IF($AL167,Constants!$B$9,IF(COUNTA($E167:$T167)=0,Constants!$B$8,IF(NOT($X167),Constants!$B$7,IF(OR($AM167,$AV167),Constants!$B$10,Constants!$B$6)))))</f>
        <v/>
      </c>
      <c r="BE167" s="87" t="str">
        <f aca="false">IF(ISBLANK($C167),"",IF($BD167&lt;&gt;Constants!$B$6,$BD167,Constants!$B$11))</f>
        <v/>
      </c>
      <c r="BF167" s="91" t="str">
        <f aca="false">IF($BD167&lt;&gt;Constants!$B$6,"",IF($AU167="-&gt;",$BA167,$AR167))</f>
        <v/>
      </c>
      <c r="BG167" s="91" t="str">
        <f aca="false">IF($BD167&lt;&gt;Constants!$B$6,"",IF($W167,0,Constants!$B$15))</f>
        <v/>
      </c>
      <c r="BH167" s="91" t="str">
        <f aca="false">IF(ISBLANK($C167),"",IF($BD167&lt;&gt;Constants!$B$6,$BD167,SUM($BF167:$BG167)))</f>
        <v/>
      </c>
      <c r="BI167" s="87" t="str">
        <f aca="false">IF(ISBLANK($C167),"",IF($BD167&lt;&gt;Constants!$B$6,$BD167,RANK($BH167,$BH$9:$BH$508,1)))</f>
        <v/>
      </c>
      <c r="BJ167" s="91" t="str">
        <f aca="false">IF($BD167&lt;&gt;Constants!$B$6,"",IF($AU167="-&gt;",$BB167,$AS167))</f>
        <v/>
      </c>
      <c r="BK167" s="87" t="str">
        <f aca="false">IF(ISBLANK($C167),"",IF($BD167&lt;&gt;Constants!$B$6,$BD167,IF(ISNUMBER($BJ167),RANK($BJ167,$BJ$9:$BJ$508,1),COUNT($BJ$9:$BJ$508)+1)))</f>
        <v/>
      </c>
      <c r="BL167" s="91" t="str">
        <f aca="false">IF($BD167&lt;&gt;Constants!$B$6,"",IF($AU167="-&gt;",$BC167,$AT167))</f>
        <v/>
      </c>
      <c r="BM167" s="87" t="str">
        <f aca="false">IF(ISBLANK($C167),"",IF($BD167&lt;&gt;Constants!$B$6,$BD167,IF(ISNUMBER($BL167),RANK($BL167,$BL$9:$BL$508,1),COUNT($BL$9:$BL$508)+1)))</f>
        <v/>
      </c>
      <c r="BN167" s="91" t="str">
        <f aca="false">IF($BD167&lt;&gt;Constants!$B$6,"",IF($AU167="-&gt;",$AS167,$BB167))</f>
        <v/>
      </c>
      <c r="BO167" s="87" t="str">
        <f aca="false">IF(ISBLANK($C167),"",IF($BD167&lt;&gt;Constants!$B$6,$BD167,IF(ISNUMBER($BN167),RANK($BN167,$BN$9:$BN$508,1),COUNT($BN$9:$BN$508)+1)))</f>
        <v/>
      </c>
      <c r="BP167" s="91" t="str">
        <f aca="false">IF($BD167&lt;&gt;Constants!$B$6,"",IF($AU167="-&gt;",$AT167,$BC167))</f>
        <v/>
      </c>
      <c r="BQ167" s="87" t="str">
        <f aca="false">IF(ISBLANK($C167),"",IF($BD167&lt;&gt;Constants!$B$6,$BD167,IF(ISNUMBER($BP167),RANK($BP167,$BP$9:$BP$508,1),COUNT($BP$9:$BP$508)+1)))</f>
        <v/>
      </c>
      <c r="BR167" s="87" t="str">
        <f aca="false">IF(ISBLANK($C167),"",IF($BD167&lt;&gt;Constants!$B$6,$BD167,COUNTIFS($BI$9:$BI$508,"&lt;"&amp;$BI167)+COUNTIFS($BI$9:$BI$508,$BI167,$BK$9:$BK$508,"&lt;"&amp;$BK167)+COUNTIFS($BI$9:$BI$508,$BI167,$BK$9:$BK$508,$BK167,$BM$9:$BM$508,"&lt;"&amp;$BM167)+COUNTIFS($BI$9:$BI$508,$BI167,$BK$9:$BK$508,$BK167,$BM$9:$BM$508,$BM167,$BO$9:$BO$508,"&lt;"&amp;$BO167)+COUNTIFS($BI$9:$BI$508,$BI167,$BK$9:$BK$508,$BK167,$BM$9:$BM$508,$BM167,$BO$9:$BO$508,$BO167,$BQ$9:$BQ$508,"&lt;"&amp;$BQ167)+1))</f>
        <v/>
      </c>
      <c r="BS167" s="87" t="str">
        <f aca="false">IF(ISBLANK($C167),"",IF($BD167&lt;&gt;Constants!$B$6,$BD167,$BI167-$BR167))</f>
        <v/>
      </c>
      <c r="BT167" s="94"/>
      <c r="BU167" s="95"/>
      <c r="BV167" s="95" t="str">
        <f aca="false">IF(ISBLANK($C167),"",IF($BD167&lt;&gt;Constants!$B$6,"",IF($AU167="-&gt;",2,1)))</f>
        <v/>
      </c>
      <c r="BW167" s="96" t="str">
        <f aca="false">IF(ISBLANK($C167),"",IF($BD167&lt;&gt;Constants!$B$6,"",IF($AU167="-&gt;",$AW167,$AN167)))</f>
        <v/>
      </c>
      <c r="BX167" s="96" t="str">
        <f aca="false">IF(ISBLANK($C167),"",IF($BD167&lt;&gt;Constants!$B$6,"",IF($AU167="-&gt;",$AX167,$AO167)))</f>
        <v/>
      </c>
      <c r="BY167" s="96" t="str">
        <f aca="false">IF(ISBLANK($C167),"",IF($BD167&lt;&gt;Constants!$B$6,"",IF($AU167="-&gt;",$AY167,$AP167)))</f>
        <v/>
      </c>
      <c r="BZ167" s="96" t="str">
        <f aca="false">IF(ISBLANK($C167),"",IF($BD167&lt;&gt;Constants!$B$6,"",IF($AU167="-&gt;",$AZ167,$AQ167)+$BG167))</f>
        <v/>
      </c>
      <c r="CA167" s="97" t="str">
        <f aca="false">IF(ISBLANK($C167),"",IF($BD167&lt;&gt;Constants!$B$6,$BD167,$BH167))</f>
        <v/>
      </c>
      <c r="CB167" s="98" t="str">
        <f aca="false">IF(ISBLANK($C167),"",$BE167)</f>
        <v/>
      </c>
      <c r="CC167" s="99" t="str">
        <f aca="false">IF(ISBLANK($C167),"",$BS167)</f>
        <v/>
      </c>
      <c r="CD167" s="99" t="str">
        <f aca="false">IF(ISBLANK($C167),"",$BR167)</f>
        <v/>
      </c>
      <c r="CE167" s="100" t="str">
        <f aca="false">IF(ISBLANK($C167),"",IF($CD167=Constants!$B$9,COUNTA($C$9:$C$508)+2,IF($CD167=Constants!$B$8,COUNTA($C$9:$C$508)+1,IF($CD167=Constants!$B$7,COUNTA($C$9:$C$508),$CD167))))</f>
        <v/>
      </c>
      <c r="CF167" s="9"/>
      <c r="CG167" s="101" t="n">
        <f aca="false">IF(OR(ISNUMBER($CD167),$CD167=Constants!$B$9,$CD167=Constants!$B$7,$CD167=Constants!$B$8),1,0)</f>
        <v>0</v>
      </c>
      <c r="CH167" s="101" t="n">
        <v>159</v>
      </c>
      <c r="CI167" s="101" t="str">
        <f aca="false">IF(ISBLANK($C167),"",IF(ISNUMBER($CE167),$CE167+ROW($B167)/1000,""))</f>
        <v/>
      </c>
      <c r="CJ167" s="101" t="str">
        <f aca="false">IF(ISNUMBER($CI167),RANK($CI167,$CI$9:$CI$508,1),"")</f>
        <v/>
      </c>
      <c r="CK167" s="101" t="str">
        <f aca="false">IF(ISBLANK($C167),"",$B167)</f>
        <v/>
      </c>
      <c r="CL167" s="101" t="str">
        <f aca="false">IF(ISBLANK($C167),"",$C167)</f>
        <v/>
      </c>
      <c r="CM167" s="101" t="str">
        <f aca="false">IF(ISBLANK($C167),"",$D167)</f>
        <v/>
      </c>
      <c r="CN167" s="102" t="str">
        <f aca="false">$CB167</f>
        <v/>
      </c>
      <c r="CO167" s="103" t="str">
        <f aca="false">$CA167</f>
        <v/>
      </c>
      <c r="CP167" s="101" t="str">
        <f aca="false">IF(ISBLANK($C167),"",$CD167)</f>
        <v/>
      </c>
      <c r="CQ167" s="104" t="str">
        <f aca="false">IF($CH167&gt;$CG$8,"",VLOOKUP($CH167,$CJ$9:$CP$508,7,FALSE()))</f>
        <v/>
      </c>
      <c r="CR167" s="105" t="str">
        <f aca="false">IF($CH167&gt;$CG$8,"",VLOOKUP($CH167,$CJ$9:$CP$508,2,FALSE()))</f>
        <v/>
      </c>
      <c r="CS167" s="105" t="str">
        <f aca="false">IF($CH167&gt;$CG$8,"",VLOOKUP($CH167,$CJ$9:$CP$508,3,FALSE()))</f>
        <v/>
      </c>
      <c r="CT167" s="105" t="str">
        <f aca="false">IF($CH167&gt;$CG$8,"",VLOOKUP($CH167,$CJ$9:$CP$508,4,FALSE()))</f>
        <v/>
      </c>
      <c r="CU167" s="105" t="str">
        <f aca="false">IF($CH167&gt;$CG$8,"",VLOOKUP($CH167,$CJ$9:$CP$508,5,FALSE()))</f>
        <v/>
      </c>
      <c r="CV167" s="106" t="str">
        <f aca="false">IF($CH167&gt;$CG$8,"",VLOOKUP($CH167,$CJ$9:$CP$508,6,FALSE()))</f>
        <v/>
      </c>
      <c r="CW167" s="71"/>
    </row>
    <row r="168" customFormat="false" ht="15.75" hidden="false" customHeight="false" outlineLevel="0" collapsed="false">
      <c r="A168" s="9"/>
      <c r="B168" s="150"/>
      <c r="C168" s="151"/>
      <c r="D168" s="152"/>
      <c r="E168" s="170"/>
      <c r="F168" s="154"/>
      <c r="G168" s="155"/>
      <c r="H168" s="171"/>
      <c r="I168" s="159"/>
      <c r="J168" s="120"/>
      <c r="K168" s="121"/>
      <c r="L168" s="122"/>
      <c r="M168" s="158"/>
      <c r="N168" s="159"/>
      <c r="O168" s="159"/>
      <c r="P168" s="120"/>
      <c r="Q168" s="122"/>
      <c r="R168" s="122"/>
      <c r="S168" s="158"/>
      <c r="T168" s="159"/>
      <c r="U168" s="126"/>
      <c r="V168" s="127"/>
      <c r="W168" s="127" t="str">
        <f aca="false">IF(ISBLANK($C168),"",IF(E168=Constants!$B$2,TRUE(),IF(E168=Constants!$B$3,FALSE(),TRUE())))</f>
        <v/>
      </c>
      <c r="X168" s="127" t="str">
        <f aca="false">IF(ISBLANK($C168),"",IF(F168=Constants!$B$2,TRUE(),IF(F168=Constants!$B$3,FALSE(),TRUE())))</f>
        <v/>
      </c>
      <c r="Y168" s="127" t="str">
        <f aca="false">IF(ISBLANK($C168),"",IF(G168=Constants!$B$2,TRUE(),IF(G168=Constants!$B$3,FALSE(),TRUE())))</f>
        <v/>
      </c>
      <c r="Z168" s="127" t="str">
        <f aca="false">IF(ISBLANK($C168),"",IF(H168=Constants!$B$2,TRUE(),IF(H168=Constants!$B$3,FALSE(),TRUE())))</f>
        <v/>
      </c>
      <c r="AA168" s="127" t="str">
        <f aca="false">IF(ISBLANK($C168),"",IF(I168=Constants!$B$2,TRUE(),IF(I168=Constants!$B$3,FALSE(),TRUE())))</f>
        <v/>
      </c>
      <c r="AB168" s="127" t="str">
        <f aca="false">IF(ISBLANK($C168),"",IF(J168=Constants!$B$4,TRUE(),IF(J168=Constants!$B$5,FALSE(),COUNTA(K168:M168)&gt;0)))</f>
        <v/>
      </c>
      <c r="AC168" s="128" t="str">
        <f aca="false">IF(ISBLANK($C168),"",IF(ISNUMBER(K168),IF(K168&gt;=0,K168,""),""))</f>
        <v/>
      </c>
      <c r="AD168" s="129" t="str">
        <f aca="false">IF(ISBLANK($C168),"",IF(ISNUMBER(L168),IF(L168&gt;=0,L168,""),""))</f>
        <v/>
      </c>
      <c r="AE168" s="127" t="str">
        <f aca="false">IF(ISBLANK($C168),"",IF(ISNUMBER(M168),IF(M168&gt;=0,MIN(M168,Constants!$B$22),""),""))</f>
        <v/>
      </c>
      <c r="AF168" s="127" t="str">
        <f aca="false">IF(ISBLANK($C168),"",IF(N168=Constants!$B$2,TRUE(),IF(N168=Constants!$B$3,FALSE(),TRUE())))</f>
        <v/>
      </c>
      <c r="AG168" s="127" t="str">
        <f aca="false">IF(ISBLANK($C168),"",IF(O168=Constants!$B$2,TRUE(),IF(O168=Constants!$B$3,FALSE(),TRUE())))</f>
        <v/>
      </c>
      <c r="AH168" s="127" t="str">
        <f aca="false">IF(ISBLANK($C168),"",IF(P168=Constants!$B$4,TRUE(),IF(P168=Constants!$B$5,FALSE(),COUNTA(Q168:S168)&gt;0)))</f>
        <v/>
      </c>
      <c r="AI168" s="128" t="str">
        <f aca="false">IF(ISBLANK($C168),"",IF(ISNUMBER(Q168),IF(Q168&gt;=0,Q168,""),""))</f>
        <v/>
      </c>
      <c r="AJ168" s="129" t="str">
        <f aca="false">IF(ISBLANK($C168),"",IF(ISNUMBER(R168),IF(R168&gt;=0,R168,""),""))</f>
        <v/>
      </c>
      <c r="AK168" s="127" t="str">
        <f aca="false">IF(ISBLANK($C168),"",IF(ISNUMBER(S168),IF(S168&gt;=0,MIN(S168,Constants!$B$22),""),""))</f>
        <v/>
      </c>
      <c r="AL168" s="127" t="str">
        <f aca="false">IF(ISBLANK($C168),"",IF(T168=Constants!$B$2,TRUE(),IF(T168=Constants!$B$3,FALSE(),FALSE())))</f>
        <v/>
      </c>
      <c r="AM168" s="126" t="str">
        <f aca="false">IF(ISBLANK($C168),"",AND($AB168,OR($AC168="",$AD168="",AND(NOT(ISBLANK($M168)),$AE168=""))))</f>
        <v/>
      </c>
      <c r="AN168" s="129" t="str">
        <f aca="false">IF($BD168&lt;&gt;Constants!$B$6,"",IF($AB168,Constants!$B$17*$AD168,Constants!$B$18))</f>
        <v/>
      </c>
      <c r="AO168" s="130" t="str">
        <f aca="false">IF($BD168&lt;&gt;Constants!$B$6,"",Constants!$B$19*IF($AB168,$AC168,0))</f>
        <v/>
      </c>
      <c r="AP168" s="130" t="str">
        <f aca="false">IF($BD168&lt;&gt;Constants!$B$6,"",IF(AND($AB168,ISNUMBER($AE168)),Constants!$B$20*(Constants!$B$21-$AE168),0))</f>
        <v/>
      </c>
      <c r="AQ168" s="130" t="str">
        <f aca="false">IF($BD168&lt;&gt;Constants!$B$6,"",IF($AA168,0,Constants!$B$12)+IF($Z168,0,Constants!$B$13)+IF($Y168,0,Constants!$B$14))</f>
        <v/>
      </c>
      <c r="AR168" s="131" t="str">
        <f aca="false">IF($BD168&lt;&gt;Constants!$B$6,"",Constants!$B$16+SUM($AN168:$AQ168))</f>
        <v/>
      </c>
      <c r="AS168" s="130" t="str">
        <f aca="false">IF($BD168&lt;&gt;Constants!$B$6,"",IF($AB168,$AD168,""))</f>
        <v/>
      </c>
      <c r="AT168" s="132" t="str">
        <f aca="false">IF($BD168&lt;&gt;Constants!$B$6,"",$AO168)</f>
        <v/>
      </c>
      <c r="AU168" s="127" t="str">
        <f aca="false">IF($BD168&lt;&gt;Constants!$B$6,"",IF(OR($BA168&lt;$AR168,AND($BA168=$AR168,OR(AND(ISNUMBER($BB168),OR(NOT(ISNUMBER($AS168)),$BB168&lt;$AS168)),AND(OR(AND($BB168="",$AS168=""),AND(ISNUMBER($BB168),ISNUMBER($AS168),$BB168=$AS168)),$BC168&lt;$AT168)))),"-&gt;","&lt;-"))</f>
        <v/>
      </c>
      <c r="AV168" s="126" t="str">
        <f aca="false">IF(ISBLANK($C168),"",AND($AH168,OR($AI168="",$AJ168="",AND(NOT(ISBLANK($S168)),$AK168=""))))</f>
        <v/>
      </c>
      <c r="AW168" s="129" t="str">
        <f aca="false">IF($BD168&lt;&gt;Constants!$B$6,"",IF($AH168,Constants!$B$17*$AJ168,Constants!$B$18))</f>
        <v/>
      </c>
      <c r="AX168" s="130" t="str">
        <f aca="false">IF($BD168&lt;&gt;Constants!$B$6,"",Constants!$B$19*IF($AH168,$AI168,0))</f>
        <v/>
      </c>
      <c r="AY168" s="130" t="str">
        <f aca="false">IF($BD168&lt;&gt;Constants!$B$6,"",IF(AND($AH168,ISNUMBER($AK168)),Constants!$B$20*(Constants!$B$21-$AK168),0))</f>
        <v/>
      </c>
      <c r="AZ168" s="130" t="str">
        <f aca="false">IF($BD168&lt;&gt;Constants!$B$6,"",IF($AG168,0,Constants!$B$12)+IF($AF168,0,Constants!$B$13)+IF($Y168,0,Constants!$B$14))</f>
        <v/>
      </c>
      <c r="BA168" s="131" t="str">
        <f aca="false">IF($BD168&lt;&gt;Constants!$B$6,"",Constants!$B$16+SUM($AW168:$AZ168))</f>
        <v/>
      </c>
      <c r="BB168" s="130" t="str">
        <f aca="false">IF($BD168&lt;&gt;Constants!$B$6,"",IF($AH168,$AJ168,""))</f>
        <v/>
      </c>
      <c r="BC168" s="132" t="str">
        <f aca="false">IF($BD168&lt;&gt;Constants!$B$6,"",$AX168)</f>
        <v/>
      </c>
      <c r="BD168" s="127" t="str">
        <f aca="false">IF(ISBLANK($C168),"",IF($AL168,Constants!$B$9,IF(COUNTA($E168:$T168)=0,Constants!$B$8,IF(NOT($X168),Constants!$B$7,IF(OR($AM168,$AV168),Constants!$B$10,Constants!$B$6)))))</f>
        <v/>
      </c>
      <c r="BE168" s="127" t="str">
        <f aca="false">IF(ISBLANK($C168),"",IF($BD168&lt;&gt;Constants!$B$6,$BD168,Constants!$B$11))</f>
        <v/>
      </c>
      <c r="BF168" s="130" t="str">
        <f aca="false">IF($BD168&lt;&gt;Constants!$B$6,"",IF($AU168="-&gt;",$BA168,$AR168))</f>
        <v/>
      </c>
      <c r="BG168" s="130" t="str">
        <f aca="false">IF($BD168&lt;&gt;Constants!$B$6,"",IF($W168,0,Constants!$B$15))</f>
        <v/>
      </c>
      <c r="BH168" s="130" t="str">
        <f aca="false">IF(ISBLANK($C168),"",IF($BD168&lt;&gt;Constants!$B$6,$BD168,SUM($BF168:$BG168)))</f>
        <v/>
      </c>
      <c r="BI168" s="127" t="str">
        <f aca="false">IF(ISBLANK($C168),"",IF($BD168&lt;&gt;Constants!$B$6,$BD168,RANK($BH168,$BH$9:$BH$508,1)))</f>
        <v/>
      </c>
      <c r="BJ168" s="130" t="str">
        <f aca="false">IF($BD168&lt;&gt;Constants!$B$6,"",IF($AU168="-&gt;",$BB168,$AS168))</f>
        <v/>
      </c>
      <c r="BK168" s="127" t="str">
        <f aca="false">IF(ISBLANK($C168),"",IF($BD168&lt;&gt;Constants!$B$6,$BD168,IF(ISNUMBER($BJ168),RANK($BJ168,$BJ$9:$BJ$508,1),COUNT($BJ$9:$BJ$508)+1)))</f>
        <v/>
      </c>
      <c r="BL168" s="130" t="str">
        <f aca="false">IF($BD168&lt;&gt;Constants!$B$6,"",IF($AU168="-&gt;",$BC168,$AT168))</f>
        <v/>
      </c>
      <c r="BM168" s="127" t="str">
        <f aca="false">IF(ISBLANK($C168),"",IF($BD168&lt;&gt;Constants!$B$6,$BD168,IF(ISNUMBER($BL168),RANK($BL168,$BL$9:$BL$508,1),COUNT($BL$9:$BL$508)+1)))</f>
        <v/>
      </c>
      <c r="BN168" s="130" t="str">
        <f aca="false">IF($BD168&lt;&gt;Constants!$B$6,"",IF($AU168="-&gt;",$AS168,$BB168))</f>
        <v/>
      </c>
      <c r="BO168" s="127" t="str">
        <f aca="false">IF(ISBLANK($C168),"",IF($BD168&lt;&gt;Constants!$B$6,$BD168,IF(ISNUMBER($BN168),RANK($BN168,$BN$9:$BN$508,1),COUNT($BN$9:$BN$508)+1)))</f>
        <v/>
      </c>
      <c r="BP168" s="130" t="str">
        <f aca="false">IF($BD168&lt;&gt;Constants!$B$6,"",IF($AU168="-&gt;",$AT168,$BC168))</f>
        <v/>
      </c>
      <c r="BQ168" s="127" t="str">
        <f aca="false">IF(ISBLANK($C168),"",IF($BD168&lt;&gt;Constants!$B$6,$BD168,IF(ISNUMBER($BP168),RANK($BP168,$BP$9:$BP$508,1),COUNT($BP$9:$BP$508)+1)))</f>
        <v/>
      </c>
      <c r="BR168" s="127" t="str">
        <f aca="false">IF(ISBLANK($C168),"",IF($BD168&lt;&gt;Constants!$B$6,$BD168,COUNTIFS($BI$9:$BI$508,"&lt;"&amp;$BI168)+COUNTIFS($BI$9:$BI$508,$BI168,$BK$9:$BK$508,"&lt;"&amp;$BK168)+COUNTIFS($BI$9:$BI$508,$BI168,$BK$9:$BK$508,$BK168,$BM$9:$BM$508,"&lt;"&amp;$BM168)+COUNTIFS($BI$9:$BI$508,$BI168,$BK$9:$BK$508,$BK168,$BM$9:$BM$508,$BM168,$BO$9:$BO$508,"&lt;"&amp;$BO168)+COUNTIFS($BI$9:$BI$508,$BI168,$BK$9:$BK$508,$BK168,$BM$9:$BM$508,$BM168,$BO$9:$BO$508,$BO168,$BQ$9:$BQ$508,"&lt;"&amp;$BQ168)+1))</f>
        <v/>
      </c>
      <c r="BS168" s="127" t="str">
        <f aca="false">IF(ISBLANK($C168),"",IF($BD168&lt;&gt;Constants!$B$6,$BD168,$BI168-$BR168))</f>
        <v/>
      </c>
      <c r="BT168" s="133"/>
      <c r="BU168" s="134"/>
      <c r="BV168" s="134" t="str">
        <f aca="false">IF(ISBLANK($C168),"",IF($BD168&lt;&gt;Constants!$B$6,"",IF($AU168="-&gt;",2,1)))</f>
        <v/>
      </c>
      <c r="BW168" s="135" t="str">
        <f aca="false">IF(ISBLANK($C168),"",IF($BD168&lt;&gt;Constants!$B$6,"",IF($AU168="-&gt;",$AW168,$AN168)))</f>
        <v/>
      </c>
      <c r="BX168" s="135" t="str">
        <f aca="false">IF(ISBLANK($C168),"",IF($BD168&lt;&gt;Constants!$B$6,"",IF($AU168="-&gt;",$AX168,$AO168)))</f>
        <v/>
      </c>
      <c r="BY168" s="135" t="str">
        <f aca="false">IF(ISBLANK($C168),"",IF($BD168&lt;&gt;Constants!$B$6,"",IF($AU168="-&gt;",$AY168,$AP168)))</f>
        <v/>
      </c>
      <c r="BZ168" s="135" t="str">
        <f aca="false">IF(ISBLANK($C168),"",IF($BD168&lt;&gt;Constants!$B$6,"",IF($AU168="-&gt;",$AZ168,$AQ168)+$BG168))</f>
        <v/>
      </c>
      <c r="CA168" s="136" t="str">
        <f aca="false">IF(ISBLANK($C168),"",IF($BD168&lt;&gt;Constants!$B$6,$BD168,$BH168))</f>
        <v/>
      </c>
      <c r="CB168" s="137" t="str">
        <f aca="false">IF(ISBLANK($C168),"",$BE168)</f>
        <v/>
      </c>
      <c r="CC168" s="138" t="str">
        <f aca="false">IF(ISBLANK($C168),"",$BS168)</f>
        <v/>
      </c>
      <c r="CD168" s="138" t="str">
        <f aca="false">IF(ISBLANK($C168),"",$BR168)</f>
        <v/>
      </c>
      <c r="CE168" s="139" t="str">
        <f aca="false">IF(ISBLANK($C168),"",IF($CD168=Constants!$B$9,COUNTA($C$9:$C$508)+2,IF($CD168=Constants!$B$8,COUNTA($C$9:$C$508)+1,IF($CD168=Constants!$B$7,COUNTA($C$9:$C$508),$CD168))))</f>
        <v/>
      </c>
      <c r="CF168" s="9"/>
      <c r="CG168" s="140" t="n">
        <f aca="false">IF(OR(ISNUMBER($CD168),$CD168=Constants!$B$9,$CD168=Constants!$B$7,$CD168=Constants!$B$8),1,0)</f>
        <v>0</v>
      </c>
      <c r="CH168" s="140" t="n">
        <v>160</v>
      </c>
      <c r="CI168" s="140" t="str">
        <f aca="false">IF(ISBLANK($C168),"",IF(ISNUMBER($CE168),$CE168+ROW($B168)/1000,""))</f>
        <v/>
      </c>
      <c r="CJ168" s="140" t="str">
        <f aca="false">IF(ISNUMBER($CI168),RANK($CI168,$CI$9:$CI$508,1),"")</f>
        <v/>
      </c>
      <c r="CK168" s="140" t="str">
        <f aca="false">IF(ISBLANK($C168),"",$B168)</f>
        <v/>
      </c>
      <c r="CL168" s="140" t="str">
        <f aca="false">IF(ISBLANK($C168),"",$C168)</f>
        <v/>
      </c>
      <c r="CM168" s="140" t="str">
        <f aca="false">IF(ISBLANK($C168),"",$D168)</f>
        <v/>
      </c>
      <c r="CN168" s="141" t="str">
        <f aca="false">$CB168</f>
        <v/>
      </c>
      <c r="CO168" s="142" t="str">
        <f aca="false">$CA168</f>
        <v/>
      </c>
      <c r="CP168" s="140" t="str">
        <f aca="false">IF(ISBLANK($C168),"",$CD168)</f>
        <v/>
      </c>
      <c r="CQ168" s="143" t="str">
        <f aca="false">IF($CH168&gt;$CG$8,"",VLOOKUP($CH168,$CJ$9:$CP$508,7,FALSE()))</f>
        <v/>
      </c>
      <c r="CR168" s="144" t="str">
        <f aca="false">IF($CH168&gt;$CG$8,"",VLOOKUP($CH168,$CJ$9:$CP$508,2,FALSE()))</f>
        <v/>
      </c>
      <c r="CS168" s="144" t="str">
        <f aca="false">IF($CH168&gt;$CG$8,"",VLOOKUP($CH168,$CJ$9:$CP$508,3,FALSE()))</f>
        <v/>
      </c>
      <c r="CT168" s="144" t="str">
        <f aca="false">IF($CH168&gt;$CG$8,"",VLOOKUP($CH168,$CJ$9:$CP$508,4,FALSE()))</f>
        <v/>
      </c>
      <c r="CU168" s="144" t="str">
        <f aca="false">IF($CH168&gt;$CG$8,"",VLOOKUP($CH168,$CJ$9:$CP$508,5,FALSE()))</f>
        <v/>
      </c>
      <c r="CV168" s="145" t="str">
        <f aca="false">IF($CH168&gt;$CG$8,"",VLOOKUP($CH168,$CJ$9:$CP$508,6,FALSE()))</f>
        <v/>
      </c>
      <c r="CW168" s="71"/>
    </row>
    <row r="169" customFormat="false" ht="15.75" hidden="false" customHeight="false" outlineLevel="0" collapsed="false">
      <c r="A169" s="9"/>
      <c r="B169" s="150"/>
      <c r="C169" s="151"/>
      <c r="D169" s="152"/>
      <c r="E169" s="170"/>
      <c r="F169" s="154"/>
      <c r="G169" s="155"/>
      <c r="H169" s="171"/>
      <c r="I169" s="159"/>
      <c r="J169" s="120"/>
      <c r="K169" s="121"/>
      <c r="L169" s="122"/>
      <c r="M169" s="158"/>
      <c r="N169" s="159"/>
      <c r="O169" s="159"/>
      <c r="P169" s="120"/>
      <c r="Q169" s="122"/>
      <c r="R169" s="122"/>
      <c r="S169" s="158"/>
      <c r="T169" s="159"/>
      <c r="U169" s="126"/>
      <c r="V169" s="127"/>
      <c r="W169" s="127" t="str">
        <f aca="false">IF(ISBLANK($C169),"",IF(E169=Constants!$B$2,TRUE(),IF(E169=Constants!$B$3,FALSE(),TRUE())))</f>
        <v/>
      </c>
      <c r="X169" s="127" t="str">
        <f aca="false">IF(ISBLANK($C169),"",IF(F169=Constants!$B$2,TRUE(),IF(F169=Constants!$B$3,FALSE(),TRUE())))</f>
        <v/>
      </c>
      <c r="Y169" s="127" t="str">
        <f aca="false">IF(ISBLANK($C169),"",IF(G169=Constants!$B$2,TRUE(),IF(G169=Constants!$B$3,FALSE(),TRUE())))</f>
        <v/>
      </c>
      <c r="Z169" s="127" t="str">
        <f aca="false">IF(ISBLANK($C169),"",IF(H169=Constants!$B$2,TRUE(),IF(H169=Constants!$B$3,FALSE(),TRUE())))</f>
        <v/>
      </c>
      <c r="AA169" s="127" t="str">
        <f aca="false">IF(ISBLANK($C169),"",IF(I169=Constants!$B$2,TRUE(),IF(I169=Constants!$B$3,FALSE(),TRUE())))</f>
        <v/>
      </c>
      <c r="AB169" s="127" t="str">
        <f aca="false">IF(ISBLANK($C169),"",IF(J169=Constants!$B$4,TRUE(),IF(J169=Constants!$B$5,FALSE(),COUNTA(K169:M169)&gt;0)))</f>
        <v/>
      </c>
      <c r="AC169" s="128" t="str">
        <f aca="false">IF(ISBLANK($C169),"",IF(ISNUMBER(K169),IF(K169&gt;=0,K169,""),""))</f>
        <v/>
      </c>
      <c r="AD169" s="129" t="str">
        <f aca="false">IF(ISBLANK($C169),"",IF(ISNUMBER(L169),IF(L169&gt;=0,L169,""),""))</f>
        <v/>
      </c>
      <c r="AE169" s="127" t="str">
        <f aca="false">IF(ISBLANK($C169),"",IF(ISNUMBER(M169),IF(M169&gt;=0,MIN(M169,Constants!$B$22),""),""))</f>
        <v/>
      </c>
      <c r="AF169" s="127" t="str">
        <f aca="false">IF(ISBLANK($C169),"",IF(N169=Constants!$B$2,TRUE(),IF(N169=Constants!$B$3,FALSE(),TRUE())))</f>
        <v/>
      </c>
      <c r="AG169" s="127" t="str">
        <f aca="false">IF(ISBLANK($C169),"",IF(O169=Constants!$B$2,TRUE(),IF(O169=Constants!$B$3,FALSE(),TRUE())))</f>
        <v/>
      </c>
      <c r="AH169" s="127" t="str">
        <f aca="false">IF(ISBLANK($C169),"",IF(P169=Constants!$B$4,TRUE(),IF(P169=Constants!$B$5,FALSE(),COUNTA(Q169:S169)&gt;0)))</f>
        <v/>
      </c>
      <c r="AI169" s="128" t="str">
        <f aca="false">IF(ISBLANK($C169),"",IF(ISNUMBER(Q169),IF(Q169&gt;=0,Q169,""),""))</f>
        <v/>
      </c>
      <c r="AJ169" s="129" t="str">
        <f aca="false">IF(ISBLANK($C169),"",IF(ISNUMBER(R169),IF(R169&gt;=0,R169,""),""))</f>
        <v/>
      </c>
      <c r="AK169" s="127" t="str">
        <f aca="false">IF(ISBLANK($C169),"",IF(ISNUMBER(S169),IF(S169&gt;=0,MIN(S169,Constants!$B$22),""),""))</f>
        <v/>
      </c>
      <c r="AL169" s="127" t="str">
        <f aca="false">IF(ISBLANK($C169),"",IF(T169=Constants!$B$2,TRUE(),IF(T169=Constants!$B$3,FALSE(),FALSE())))</f>
        <v/>
      </c>
      <c r="AM169" s="126" t="str">
        <f aca="false">IF(ISBLANK($C169),"",AND($AB169,OR($AC169="",$AD169="",AND(NOT(ISBLANK($M169)),$AE169=""))))</f>
        <v/>
      </c>
      <c r="AN169" s="129" t="str">
        <f aca="false">IF($BD169&lt;&gt;Constants!$B$6,"",IF($AB169,Constants!$B$17*$AD169,Constants!$B$18))</f>
        <v/>
      </c>
      <c r="AO169" s="130" t="str">
        <f aca="false">IF($BD169&lt;&gt;Constants!$B$6,"",Constants!$B$19*IF($AB169,$AC169,0))</f>
        <v/>
      </c>
      <c r="AP169" s="130" t="str">
        <f aca="false">IF($BD169&lt;&gt;Constants!$B$6,"",IF(AND($AB169,ISNUMBER($AE169)),Constants!$B$20*(Constants!$B$21-$AE169),0))</f>
        <v/>
      </c>
      <c r="AQ169" s="130" t="str">
        <f aca="false">IF($BD169&lt;&gt;Constants!$B$6,"",IF($AA169,0,Constants!$B$12)+IF($Z169,0,Constants!$B$13)+IF($Y169,0,Constants!$B$14))</f>
        <v/>
      </c>
      <c r="AR169" s="131" t="str">
        <f aca="false">IF($BD169&lt;&gt;Constants!$B$6,"",Constants!$B$16+SUM($AN169:$AQ169))</f>
        <v/>
      </c>
      <c r="AS169" s="130" t="str">
        <f aca="false">IF($BD169&lt;&gt;Constants!$B$6,"",IF($AB169,$AD169,""))</f>
        <v/>
      </c>
      <c r="AT169" s="132" t="str">
        <f aca="false">IF($BD169&lt;&gt;Constants!$B$6,"",$AO169)</f>
        <v/>
      </c>
      <c r="AU169" s="127" t="str">
        <f aca="false">IF($BD169&lt;&gt;Constants!$B$6,"",IF(OR($BA169&lt;$AR169,AND($BA169=$AR169,OR(AND(ISNUMBER($BB169),OR(NOT(ISNUMBER($AS169)),$BB169&lt;$AS169)),AND(OR(AND($BB169="",$AS169=""),AND(ISNUMBER($BB169),ISNUMBER($AS169),$BB169=$AS169)),$BC169&lt;$AT169)))),"-&gt;","&lt;-"))</f>
        <v/>
      </c>
      <c r="AV169" s="126" t="str">
        <f aca="false">IF(ISBLANK($C169),"",AND($AH169,OR($AI169="",$AJ169="",AND(NOT(ISBLANK($S169)),$AK169=""))))</f>
        <v/>
      </c>
      <c r="AW169" s="129" t="str">
        <f aca="false">IF($BD169&lt;&gt;Constants!$B$6,"",IF($AH169,Constants!$B$17*$AJ169,Constants!$B$18))</f>
        <v/>
      </c>
      <c r="AX169" s="130" t="str">
        <f aca="false">IF($BD169&lt;&gt;Constants!$B$6,"",Constants!$B$19*IF($AH169,$AI169,0))</f>
        <v/>
      </c>
      <c r="AY169" s="130" t="str">
        <f aca="false">IF($BD169&lt;&gt;Constants!$B$6,"",IF(AND($AH169,ISNUMBER($AK169)),Constants!$B$20*(Constants!$B$21-$AK169),0))</f>
        <v/>
      </c>
      <c r="AZ169" s="130" t="str">
        <f aca="false">IF($BD169&lt;&gt;Constants!$B$6,"",IF($AG169,0,Constants!$B$12)+IF($AF169,0,Constants!$B$13)+IF($Y169,0,Constants!$B$14))</f>
        <v/>
      </c>
      <c r="BA169" s="131" t="str">
        <f aca="false">IF($BD169&lt;&gt;Constants!$B$6,"",Constants!$B$16+SUM($AW169:$AZ169))</f>
        <v/>
      </c>
      <c r="BB169" s="130" t="str">
        <f aca="false">IF($BD169&lt;&gt;Constants!$B$6,"",IF($AH169,$AJ169,""))</f>
        <v/>
      </c>
      <c r="BC169" s="132" t="str">
        <f aca="false">IF($BD169&lt;&gt;Constants!$B$6,"",$AX169)</f>
        <v/>
      </c>
      <c r="BD169" s="127" t="str">
        <f aca="false">IF(ISBLANK($C169),"",IF($AL169,Constants!$B$9,IF(COUNTA($E169:$T169)=0,Constants!$B$8,IF(NOT($X169),Constants!$B$7,IF(OR($AM169,$AV169),Constants!$B$10,Constants!$B$6)))))</f>
        <v/>
      </c>
      <c r="BE169" s="127" t="str">
        <f aca="false">IF(ISBLANK($C169),"",IF($BD169&lt;&gt;Constants!$B$6,$BD169,Constants!$B$11))</f>
        <v/>
      </c>
      <c r="BF169" s="130" t="str">
        <f aca="false">IF($BD169&lt;&gt;Constants!$B$6,"",IF($AU169="-&gt;",$BA169,$AR169))</f>
        <v/>
      </c>
      <c r="BG169" s="130" t="str">
        <f aca="false">IF($BD169&lt;&gt;Constants!$B$6,"",IF($W169,0,Constants!$B$15))</f>
        <v/>
      </c>
      <c r="BH169" s="130" t="str">
        <f aca="false">IF(ISBLANK($C169),"",IF($BD169&lt;&gt;Constants!$B$6,$BD169,SUM($BF169:$BG169)))</f>
        <v/>
      </c>
      <c r="BI169" s="127" t="str">
        <f aca="false">IF(ISBLANK($C169),"",IF($BD169&lt;&gt;Constants!$B$6,$BD169,RANK($BH169,$BH$9:$BH$508,1)))</f>
        <v/>
      </c>
      <c r="BJ169" s="130" t="str">
        <f aca="false">IF($BD169&lt;&gt;Constants!$B$6,"",IF($AU169="-&gt;",$BB169,$AS169))</f>
        <v/>
      </c>
      <c r="BK169" s="127" t="str">
        <f aca="false">IF(ISBLANK($C169),"",IF($BD169&lt;&gt;Constants!$B$6,$BD169,IF(ISNUMBER($BJ169),RANK($BJ169,$BJ$9:$BJ$508,1),COUNT($BJ$9:$BJ$508)+1)))</f>
        <v/>
      </c>
      <c r="BL169" s="130" t="str">
        <f aca="false">IF($BD169&lt;&gt;Constants!$B$6,"",IF($AU169="-&gt;",$BC169,$AT169))</f>
        <v/>
      </c>
      <c r="BM169" s="127" t="str">
        <f aca="false">IF(ISBLANK($C169),"",IF($BD169&lt;&gt;Constants!$B$6,$BD169,IF(ISNUMBER($BL169),RANK($BL169,$BL$9:$BL$508,1),COUNT($BL$9:$BL$508)+1)))</f>
        <v/>
      </c>
      <c r="BN169" s="130" t="str">
        <f aca="false">IF($BD169&lt;&gt;Constants!$B$6,"",IF($AU169="-&gt;",$AS169,$BB169))</f>
        <v/>
      </c>
      <c r="BO169" s="127" t="str">
        <f aca="false">IF(ISBLANK($C169),"",IF($BD169&lt;&gt;Constants!$B$6,$BD169,IF(ISNUMBER($BN169),RANK($BN169,$BN$9:$BN$508,1),COUNT($BN$9:$BN$508)+1)))</f>
        <v/>
      </c>
      <c r="BP169" s="130" t="str">
        <f aca="false">IF($BD169&lt;&gt;Constants!$B$6,"",IF($AU169="-&gt;",$AT169,$BC169))</f>
        <v/>
      </c>
      <c r="BQ169" s="127" t="str">
        <f aca="false">IF(ISBLANK($C169),"",IF($BD169&lt;&gt;Constants!$B$6,$BD169,IF(ISNUMBER($BP169),RANK($BP169,$BP$9:$BP$508,1),COUNT($BP$9:$BP$508)+1)))</f>
        <v/>
      </c>
      <c r="BR169" s="127" t="str">
        <f aca="false">IF(ISBLANK($C169),"",IF($BD169&lt;&gt;Constants!$B$6,$BD169,COUNTIFS($BI$9:$BI$508,"&lt;"&amp;$BI169)+COUNTIFS($BI$9:$BI$508,$BI169,$BK$9:$BK$508,"&lt;"&amp;$BK169)+COUNTIFS($BI$9:$BI$508,$BI169,$BK$9:$BK$508,$BK169,$BM$9:$BM$508,"&lt;"&amp;$BM169)+COUNTIFS($BI$9:$BI$508,$BI169,$BK$9:$BK$508,$BK169,$BM$9:$BM$508,$BM169,$BO$9:$BO$508,"&lt;"&amp;$BO169)+COUNTIFS($BI$9:$BI$508,$BI169,$BK$9:$BK$508,$BK169,$BM$9:$BM$508,$BM169,$BO$9:$BO$508,$BO169,$BQ$9:$BQ$508,"&lt;"&amp;$BQ169)+1))</f>
        <v/>
      </c>
      <c r="BS169" s="127" t="str">
        <f aca="false">IF(ISBLANK($C169),"",IF($BD169&lt;&gt;Constants!$B$6,$BD169,$BI169-$BR169))</f>
        <v/>
      </c>
      <c r="BT169" s="133"/>
      <c r="BU169" s="134"/>
      <c r="BV169" s="134" t="str">
        <f aca="false">IF(ISBLANK($C169),"",IF($BD169&lt;&gt;Constants!$B$6,"",IF($AU169="-&gt;",2,1)))</f>
        <v/>
      </c>
      <c r="BW169" s="135" t="str">
        <f aca="false">IF(ISBLANK($C169),"",IF($BD169&lt;&gt;Constants!$B$6,"",IF($AU169="-&gt;",$AW169,$AN169)))</f>
        <v/>
      </c>
      <c r="BX169" s="135" t="str">
        <f aca="false">IF(ISBLANK($C169),"",IF($BD169&lt;&gt;Constants!$B$6,"",IF($AU169="-&gt;",$AX169,$AO169)))</f>
        <v/>
      </c>
      <c r="BY169" s="135" t="str">
        <f aca="false">IF(ISBLANK($C169),"",IF($BD169&lt;&gt;Constants!$B$6,"",IF($AU169="-&gt;",$AY169,$AP169)))</f>
        <v/>
      </c>
      <c r="BZ169" s="135" t="str">
        <f aca="false">IF(ISBLANK($C169),"",IF($BD169&lt;&gt;Constants!$B$6,"",IF($AU169="-&gt;",$AZ169,$AQ169)+$BG169))</f>
        <v/>
      </c>
      <c r="CA169" s="136" t="str">
        <f aca="false">IF(ISBLANK($C169),"",IF($BD169&lt;&gt;Constants!$B$6,$BD169,$BH169))</f>
        <v/>
      </c>
      <c r="CB169" s="137" t="str">
        <f aca="false">IF(ISBLANK($C169),"",$BE169)</f>
        <v/>
      </c>
      <c r="CC169" s="138" t="str">
        <f aca="false">IF(ISBLANK($C169),"",$BS169)</f>
        <v/>
      </c>
      <c r="CD169" s="138" t="str">
        <f aca="false">IF(ISBLANK($C169),"",$BR169)</f>
        <v/>
      </c>
      <c r="CE169" s="139" t="str">
        <f aca="false">IF(ISBLANK($C169),"",IF($CD169=Constants!$B$9,COUNTA($C$9:$C$508)+2,IF($CD169=Constants!$B$8,COUNTA($C$9:$C$508)+1,IF($CD169=Constants!$B$7,COUNTA($C$9:$C$508),$CD169))))</f>
        <v/>
      </c>
      <c r="CF169" s="9"/>
      <c r="CG169" s="140" t="n">
        <f aca="false">IF(OR(ISNUMBER($CD169),$CD169=Constants!$B$9,$CD169=Constants!$B$7,$CD169=Constants!$B$8),1,0)</f>
        <v>0</v>
      </c>
      <c r="CH169" s="140" t="n">
        <v>161</v>
      </c>
      <c r="CI169" s="140" t="str">
        <f aca="false">IF(ISBLANK($C169),"",IF(ISNUMBER($CE169),$CE169+ROW($B169)/1000,""))</f>
        <v/>
      </c>
      <c r="CJ169" s="140" t="str">
        <f aca="false">IF(ISNUMBER($CI169),RANK($CI169,$CI$9:$CI$508,1),"")</f>
        <v/>
      </c>
      <c r="CK169" s="140" t="str">
        <f aca="false">IF(ISBLANK($C169),"",$B169)</f>
        <v/>
      </c>
      <c r="CL169" s="140" t="str">
        <f aca="false">IF(ISBLANK($C169),"",$C169)</f>
        <v/>
      </c>
      <c r="CM169" s="140" t="str">
        <f aca="false">IF(ISBLANK($C169),"",$D169)</f>
        <v/>
      </c>
      <c r="CN169" s="141" t="str">
        <f aca="false">$CB169</f>
        <v/>
      </c>
      <c r="CO169" s="142" t="str">
        <f aca="false">$CA169</f>
        <v/>
      </c>
      <c r="CP169" s="140" t="str">
        <f aca="false">IF(ISBLANK($C169),"",$CD169)</f>
        <v/>
      </c>
      <c r="CQ169" s="143" t="str">
        <f aca="false">IF($CH169&gt;$CG$8,"",VLOOKUP($CH169,$CJ$9:$CP$508,7,FALSE()))</f>
        <v/>
      </c>
      <c r="CR169" s="144" t="str">
        <f aca="false">IF($CH169&gt;$CG$8,"",VLOOKUP($CH169,$CJ$9:$CP$508,2,FALSE()))</f>
        <v/>
      </c>
      <c r="CS169" s="144" t="str">
        <f aca="false">IF($CH169&gt;$CG$8,"",VLOOKUP($CH169,$CJ$9:$CP$508,3,FALSE()))</f>
        <v/>
      </c>
      <c r="CT169" s="144" t="str">
        <f aca="false">IF($CH169&gt;$CG$8,"",VLOOKUP($CH169,$CJ$9:$CP$508,4,FALSE()))</f>
        <v/>
      </c>
      <c r="CU169" s="144" t="str">
        <f aca="false">IF($CH169&gt;$CG$8,"",VLOOKUP($CH169,$CJ$9:$CP$508,5,FALSE()))</f>
        <v/>
      </c>
      <c r="CV169" s="145" t="str">
        <f aca="false">IF($CH169&gt;$CG$8,"",VLOOKUP($CH169,$CJ$9:$CP$508,6,FALSE()))</f>
        <v/>
      </c>
      <c r="CW169" s="71"/>
    </row>
    <row r="170" customFormat="false" ht="15.75" hidden="false" customHeight="false" outlineLevel="0" collapsed="false">
      <c r="A170" s="9"/>
      <c r="B170" s="150"/>
      <c r="C170" s="151"/>
      <c r="D170" s="152"/>
      <c r="E170" s="170"/>
      <c r="F170" s="154"/>
      <c r="G170" s="155"/>
      <c r="H170" s="171"/>
      <c r="I170" s="159"/>
      <c r="J170" s="120"/>
      <c r="K170" s="121"/>
      <c r="L170" s="122"/>
      <c r="M170" s="158"/>
      <c r="N170" s="159"/>
      <c r="O170" s="159"/>
      <c r="P170" s="120"/>
      <c r="Q170" s="122"/>
      <c r="R170" s="122"/>
      <c r="S170" s="158"/>
      <c r="T170" s="159"/>
      <c r="U170" s="126"/>
      <c r="V170" s="127"/>
      <c r="W170" s="127" t="str">
        <f aca="false">IF(ISBLANK($C170),"",IF(E170=Constants!$B$2,TRUE(),IF(E170=Constants!$B$3,FALSE(),TRUE())))</f>
        <v/>
      </c>
      <c r="X170" s="127" t="str">
        <f aca="false">IF(ISBLANK($C170),"",IF(F170=Constants!$B$2,TRUE(),IF(F170=Constants!$B$3,FALSE(),TRUE())))</f>
        <v/>
      </c>
      <c r="Y170" s="127" t="str">
        <f aca="false">IF(ISBLANK($C170),"",IF(G170=Constants!$B$2,TRUE(),IF(G170=Constants!$B$3,FALSE(),TRUE())))</f>
        <v/>
      </c>
      <c r="Z170" s="127" t="str">
        <f aca="false">IF(ISBLANK($C170),"",IF(H170=Constants!$B$2,TRUE(),IF(H170=Constants!$B$3,FALSE(),TRUE())))</f>
        <v/>
      </c>
      <c r="AA170" s="127" t="str">
        <f aca="false">IF(ISBLANK($C170),"",IF(I170=Constants!$B$2,TRUE(),IF(I170=Constants!$B$3,FALSE(),TRUE())))</f>
        <v/>
      </c>
      <c r="AB170" s="127" t="str">
        <f aca="false">IF(ISBLANK($C170),"",IF(J170=Constants!$B$4,TRUE(),IF(J170=Constants!$B$5,FALSE(),COUNTA(K170:M170)&gt;0)))</f>
        <v/>
      </c>
      <c r="AC170" s="128" t="str">
        <f aca="false">IF(ISBLANK($C170),"",IF(ISNUMBER(K170),IF(K170&gt;=0,K170,""),""))</f>
        <v/>
      </c>
      <c r="AD170" s="129" t="str">
        <f aca="false">IF(ISBLANK($C170),"",IF(ISNUMBER(L170),IF(L170&gt;=0,L170,""),""))</f>
        <v/>
      </c>
      <c r="AE170" s="127" t="str">
        <f aca="false">IF(ISBLANK($C170),"",IF(ISNUMBER(M170),IF(M170&gt;=0,MIN(M170,Constants!$B$22),""),""))</f>
        <v/>
      </c>
      <c r="AF170" s="127" t="str">
        <f aca="false">IF(ISBLANK($C170),"",IF(N170=Constants!$B$2,TRUE(),IF(N170=Constants!$B$3,FALSE(),TRUE())))</f>
        <v/>
      </c>
      <c r="AG170" s="127" t="str">
        <f aca="false">IF(ISBLANK($C170),"",IF(O170=Constants!$B$2,TRUE(),IF(O170=Constants!$B$3,FALSE(),TRUE())))</f>
        <v/>
      </c>
      <c r="AH170" s="127" t="str">
        <f aca="false">IF(ISBLANK($C170),"",IF(P170=Constants!$B$4,TRUE(),IF(P170=Constants!$B$5,FALSE(),COUNTA(Q170:S170)&gt;0)))</f>
        <v/>
      </c>
      <c r="AI170" s="128" t="str">
        <f aca="false">IF(ISBLANK($C170),"",IF(ISNUMBER(Q170),IF(Q170&gt;=0,Q170,""),""))</f>
        <v/>
      </c>
      <c r="AJ170" s="129" t="str">
        <f aca="false">IF(ISBLANK($C170),"",IF(ISNUMBER(R170),IF(R170&gt;=0,R170,""),""))</f>
        <v/>
      </c>
      <c r="AK170" s="127" t="str">
        <f aca="false">IF(ISBLANK($C170),"",IF(ISNUMBER(S170),IF(S170&gt;=0,MIN(S170,Constants!$B$22),""),""))</f>
        <v/>
      </c>
      <c r="AL170" s="127" t="str">
        <f aca="false">IF(ISBLANK($C170),"",IF(T170=Constants!$B$2,TRUE(),IF(T170=Constants!$B$3,FALSE(),FALSE())))</f>
        <v/>
      </c>
      <c r="AM170" s="126" t="str">
        <f aca="false">IF(ISBLANK($C170),"",AND($AB170,OR($AC170="",$AD170="",AND(NOT(ISBLANK($M170)),$AE170=""))))</f>
        <v/>
      </c>
      <c r="AN170" s="129" t="str">
        <f aca="false">IF($BD170&lt;&gt;Constants!$B$6,"",IF($AB170,Constants!$B$17*$AD170,Constants!$B$18))</f>
        <v/>
      </c>
      <c r="AO170" s="130" t="str">
        <f aca="false">IF($BD170&lt;&gt;Constants!$B$6,"",Constants!$B$19*IF($AB170,$AC170,0))</f>
        <v/>
      </c>
      <c r="AP170" s="130" t="str">
        <f aca="false">IF($BD170&lt;&gt;Constants!$B$6,"",IF(AND($AB170,ISNUMBER($AE170)),Constants!$B$20*(Constants!$B$21-$AE170),0))</f>
        <v/>
      </c>
      <c r="AQ170" s="130" t="str">
        <f aca="false">IF($BD170&lt;&gt;Constants!$B$6,"",IF($AA170,0,Constants!$B$12)+IF($Z170,0,Constants!$B$13)+IF($Y170,0,Constants!$B$14))</f>
        <v/>
      </c>
      <c r="AR170" s="131" t="str">
        <f aca="false">IF($BD170&lt;&gt;Constants!$B$6,"",Constants!$B$16+SUM($AN170:$AQ170))</f>
        <v/>
      </c>
      <c r="AS170" s="130" t="str">
        <f aca="false">IF($BD170&lt;&gt;Constants!$B$6,"",IF($AB170,$AD170,""))</f>
        <v/>
      </c>
      <c r="AT170" s="132" t="str">
        <f aca="false">IF($BD170&lt;&gt;Constants!$B$6,"",$AO170)</f>
        <v/>
      </c>
      <c r="AU170" s="127" t="str">
        <f aca="false">IF($BD170&lt;&gt;Constants!$B$6,"",IF(OR($BA170&lt;$AR170,AND($BA170=$AR170,OR(AND(ISNUMBER($BB170),OR(NOT(ISNUMBER($AS170)),$BB170&lt;$AS170)),AND(OR(AND($BB170="",$AS170=""),AND(ISNUMBER($BB170),ISNUMBER($AS170),$BB170=$AS170)),$BC170&lt;$AT170)))),"-&gt;","&lt;-"))</f>
        <v/>
      </c>
      <c r="AV170" s="126" t="str">
        <f aca="false">IF(ISBLANK($C170),"",AND($AH170,OR($AI170="",$AJ170="",AND(NOT(ISBLANK($S170)),$AK170=""))))</f>
        <v/>
      </c>
      <c r="AW170" s="129" t="str">
        <f aca="false">IF($BD170&lt;&gt;Constants!$B$6,"",IF($AH170,Constants!$B$17*$AJ170,Constants!$B$18))</f>
        <v/>
      </c>
      <c r="AX170" s="130" t="str">
        <f aca="false">IF($BD170&lt;&gt;Constants!$B$6,"",Constants!$B$19*IF($AH170,$AI170,0))</f>
        <v/>
      </c>
      <c r="AY170" s="130" t="str">
        <f aca="false">IF($BD170&lt;&gt;Constants!$B$6,"",IF(AND($AH170,ISNUMBER($AK170)),Constants!$B$20*(Constants!$B$21-$AK170),0))</f>
        <v/>
      </c>
      <c r="AZ170" s="130" t="str">
        <f aca="false">IF($BD170&lt;&gt;Constants!$B$6,"",IF($AG170,0,Constants!$B$12)+IF($AF170,0,Constants!$B$13)+IF($Y170,0,Constants!$B$14))</f>
        <v/>
      </c>
      <c r="BA170" s="131" t="str">
        <f aca="false">IF($BD170&lt;&gt;Constants!$B$6,"",Constants!$B$16+SUM($AW170:$AZ170))</f>
        <v/>
      </c>
      <c r="BB170" s="130" t="str">
        <f aca="false">IF($BD170&lt;&gt;Constants!$B$6,"",IF($AH170,$AJ170,""))</f>
        <v/>
      </c>
      <c r="BC170" s="132" t="str">
        <f aca="false">IF($BD170&lt;&gt;Constants!$B$6,"",$AX170)</f>
        <v/>
      </c>
      <c r="BD170" s="127" t="str">
        <f aca="false">IF(ISBLANK($C170),"",IF($AL170,Constants!$B$9,IF(COUNTA($E170:$T170)=0,Constants!$B$8,IF(NOT($X170),Constants!$B$7,IF(OR($AM170,$AV170),Constants!$B$10,Constants!$B$6)))))</f>
        <v/>
      </c>
      <c r="BE170" s="127" t="str">
        <f aca="false">IF(ISBLANK($C170),"",IF($BD170&lt;&gt;Constants!$B$6,$BD170,Constants!$B$11))</f>
        <v/>
      </c>
      <c r="BF170" s="130" t="str">
        <f aca="false">IF($BD170&lt;&gt;Constants!$B$6,"",IF($AU170="-&gt;",$BA170,$AR170))</f>
        <v/>
      </c>
      <c r="BG170" s="130" t="str">
        <f aca="false">IF($BD170&lt;&gt;Constants!$B$6,"",IF($W170,0,Constants!$B$15))</f>
        <v/>
      </c>
      <c r="BH170" s="130" t="str">
        <f aca="false">IF(ISBLANK($C170),"",IF($BD170&lt;&gt;Constants!$B$6,$BD170,SUM($BF170:$BG170)))</f>
        <v/>
      </c>
      <c r="BI170" s="127" t="str">
        <f aca="false">IF(ISBLANK($C170),"",IF($BD170&lt;&gt;Constants!$B$6,$BD170,RANK($BH170,$BH$9:$BH$508,1)))</f>
        <v/>
      </c>
      <c r="BJ170" s="130" t="str">
        <f aca="false">IF($BD170&lt;&gt;Constants!$B$6,"",IF($AU170="-&gt;",$BB170,$AS170))</f>
        <v/>
      </c>
      <c r="BK170" s="127" t="str">
        <f aca="false">IF(ISBLANK($C170),"",IF($BD170&lt;&gt;Constants!$B$6,$BD170,IF(ISNUMBER($BJ170),RANK($BJ170,$BJ$9:$BJ$508,1),COUNT($BJ$9:$BJ$508)+1)))</f>
        <v/>
      </c>
      <c r="BL170" s="130" t="str">
        <f aca="false">IF($BD170&lt;&gt;Constants!$B$6,"",IF($AU170="-&gt;",$BC170,$AT170))</f>
        <v/>
      </c>
      <c r="BM170" s="127" t="str">
        <f aca="false">IF(ISBLANK($C170),"",IF($BD170&lt;&gt;Constants!$B$6,$BD170,IF(ISNUMBER($BL170),RANK($BL170,$BL$9:$BL$508,1),COUNT($BL$9:$BL$508)+1)))</f>
        <v/>
      </c>
      <c r="BN170" s="130" t="str">
        <f aca="false">IF($BD170&lt;&gt;Constants!$B$6,"",IF($AU170="-&gt;",$AS170,$BB170))</f>
        <v/>
      </c>
      <c r="BO170" s="127" t="str">
        <f aca="false">IF(ISBLANK($C170),"",IF($BD170&lt;&gt;Constants!$B$6,$BD170,IF(ISNUMBER($BN170),RANK($BN170,$BN$9:$BN$508,1),COUNT($BN$9:$BN$508)+1)))</f>
        <v/>
      </c>
      <c r="BP170" s="130" t="str">
        <f aca="false">IF($BD170&lt;&gt;Constants!$B$6,"",IF($AU170="-&gt;",$AT170,$BC170))</f>
        <v/>
      </c>
      <c r="BQ170" s="127" t="str">
        <f aca="false">IF(ISBLANK($C170),"",IF($BD170&lt;&gt;Constants!$B$6,$BD170,IF(ISNUMBER($BP170),RANK($BP170,$BP$9:$BP$508,1),COUNT($BP$9:$BP$508)+1)))</f>
        <v/>
      </c>
      <c r="BR170" s="127" t="str">
        <f aca="false">IF(ISBLANK($C170),"",IF($BD170&lt;&gt;Constants!$B$6,$BD170,COUNTIFS($BI$9:$BI$508,"&lt;"&amp;$BI170)+COUNTIFS($BI$9:$BI$508,$BI170,$BK$9:$BK$508,"&lt;"&amp;$BK170)+COUNTIFS($BI$9:$BI$508,$BI170,$BK$9:$BK$508,$BK170,$BM$9:$BM$508,"&lt;"&amp;$BM170)+COUNTIFS($BI$9:$BI$508,$BI170,$BK$9:$BK$508,$BK170,$BM$9:$BM$508,$BM170,$BO$9:$BO$508,"&lt;"&amp;$BO170)+COUNTIFS($BI$9:$BI$508,$BI170,$BK$9:$BK$508,$BK170,$BM$9:$BM$508,$BM170,$BO$9:$BO$508,$BO170,$BQ$9:$BQ$508,"&lt;"&amp;$BQ170)+1))</f>
        <v/>
      </c>
      <c r="BS170" s="127" t="str">
        <f aca="false">IF(ISBLANK($C170),"",IF($BD170&lt;&gt;Constants!$B$6,$BD170,$BI170-$BR170))</f>
        <v/>
      </c>
      <c r="BT170" s="133"/>
      <c r="BU170" s="134"/>
      <c r="BV170" s="134" t="str">
        <f aca="false">IF(ISBLANK($C170),"",IF($BD170&lt;&gt;Constants!$B$6,"",IF($AU170="-&gt;",2,1)))</f>
        <v/>
      </c>
      <c r="BW170" s="135" t="str">
        <f aca="false">IF(ISBLANK($C170),"",IF($BD170&lt;&gt;Constants!$B$6,"",IF($AU170="-&gt;",$AW170,$AN170)))</f>
        <v/>
      </c>
      <c r="BX170" s="135" t="str">
        <f aca="false">IF(ISBLANK($C170),"",IF($BD170&lt;&gt;Constants!$B$6,"",IF($AU170="-&gt;",$AX170,$AO170)))</f>
        <v/>
      </c>
      <c r="BY170" s="135" t="str">
        <f aca="false">IF(ISBLANK($C170),"",IF($BD170&lt;&gt;Constants!$B$6,"",IF($AU170="-&gt;",$AY170,$AP170)))</f>
        <v/>
      </c>
      <c r="BZ170" s="135" t="str">
        <f aca="false">IF(ISBLANK($C170),"",IF($BD170&lt;&gt;Constants!$B$6,"",IF($AU170="-&gt;",$AZ170,$AQ170)+$BG170))</f>
        <v/>
      </c>
      <c r="CA170" s="136" t="str">
        <f aca="false">IF(ISBLANK($C170),"",IF($BD170&lt;&gt;Constants!$B$6,$BD170,$BH170))</f>
        <v/>
      </c>
      <c r="CB170" s="137" t="str">
        <f aca="false">IF(ISBLANK($C170),"",$BE170)</f>
        <v/>
      </c>
      <c r="CC170" s="138" t="str">
        <f aca="false">IF(ISBLANK($C170),"",$BS170)</f>
        <v/>
      </c>
      <c r="CD170" s="138" t="str">
        <f aca="false">IF(ISBLANK($C170),"",$BR170)</f>
        <v/>
      </c>
      <c r="CE170" s="139" t="str">
        <f aca="false">IF(ISBLANK($C170),"",IF($CD170=Constants!$B$9,COUNTA($C$9:$C$508)+2,IF($CD170=Constants!$B$8,COUNTA($C$9:$C$508)+1,IF($CD170=Constants!$B$7,COUNTA($C$9:$C$508),$CD170))))</f>
        <v/>
      </c>
      <c r="CF170" s="9"/>
      <c r="CG170" s="140" t="n">
        <f aca="false">IF(OR(ISNUMBER($CD170),$CD170=Constants!$B$9,$CD170=Constants!$B$7,$CD170=Constants!$B$8),1,0)</f>
        <v>0</v>
      </c>
      <c r="CH170" s="140" t="n">
        <v>162</v>
      </c>
      <c r="CI170" s="140" t="str">
        <f aca="false">IF(ISBLANK($C170),"",IF(ISNUMBER($CE170),$CE170+ROW($B170)/1000,""))</f>
        <v/>
      </c>
      <c r="CJ170" s="140" t="str">
        <f aca="false">IF(ISNUMBER($CI170),RANK($CI170,$CI$9:$CI$508,1),"")</f>
        <v/>
      </c>
      <c r="CK170" s="140" t="str">
        <f aca="false">IF(ISBLANK($C170),"",$B170)</f>
        <v/>
      </c>
      <c r="CL170" s="140" t="str">
        <f aca="false">IF(ISBLANK($C170),"",$C170)</f>
        <v/>
      </c>
      <c r="CM170" s="140" t="str">
        <f aca="false">IF(ISBLANK($C170),"",$D170)</f>
        <v/>
      </c>
      <c r="CN170" s="141" t="str">
        <f aca="false">$CB170</f>
        <v/>
      </c>
      <c r="CO170" s="142" t="str">
        <f aca="false">$CA170</f>
        <v/>
      </c>
      <c r="CP170" s="140" t="str">
        <f aca="false">IF(ISBLANK($C170),"",$CD170)</f>
        <v/>
      </c>
      <c r="CQ170" s="143" t="str">
        <f aca="false">IF($CH170&gt;$CG$8,"",VLOOKUP($CH170,$CJ$9:$CP$508,7,FALSE()))</f>
        <v/>
      </c>
      <c r="CR170" s="144" t="str">
        <f aca="false">IF($CH170&gt;$CG$8,"",VLOOKUP($CH170,$CJ$9:$CP$508,2,FALSE()))</f>
        <v/>
      </c>
      <c r="CS170" s="144" t="str">
        <f aca="false">IF($CH170&gt;$CG$8,"",VLOOKUP($CH170,$CJ$9:$CP$508,3,FALSE()))</f>
        <v/>
      </c>
      <c r="CT170" s="144" t="str">
        <f aca="false">IF($CH170&gt;$CG$8,"",VLOOKUP($CH170,$CJ$9:$CP$508,4,FALSE()))</f>
        <v/>
      </c>
      <c r="CU170" s="144" t="str">
        <f aca="false">IF($CH170&gt;$CG$8,"",VLOOKUP($CH170,$CJ$9:$CP$508,5,FALSE()))</f>
        <v/>
      </c>
      <c r="CV170" s="145" t="str">
        <f aca="false">IF($CH170&gt;$CG$8,"",VLOOKUP($CH170,$CJ$9:$CP$508,6,FALSE()))</f>
        <v/>
      </c>
      <c r="CW170" s="71"/>
    </row>
    <row r="171" customFormat="false" ht="15.75" hidden="false" customHeight="false" outlineLevel="0" collapsed="false">
      <c r="A171" s="9"/>
      <c r="B171" s="72"/>
      <c r="C171" s="73"/>
      <c r="D171" s="160"/>
      <c r="E171" s="168"/>
      <c r="F171" s="162"/>
      <c r="G171" s="163"/>
      <c r="H171" s="169"/>
      <c r="I171" s="167"/>
      <c r="J171" s="80"/>
      <c r="K171" s="81"/>
      <c r="L171" s="82"/>
      <c r="M171" s="166"/>
      <c r="N171" s="167"/>
      <c r="O171" s="167"/>
      <c r="P171" s="80"/>
      <c r="Q171" s="82"/>
      <c r="R171" s="82"/>
      <c r="S171" s="166"/>
      <c r="T171" s="167"/>
      <c r="U171" s="86"/>
      <c r="V171" s="87"/>
      <c r="W171" s="87" t="str">
        <f aca="false">IF(ISBLANK($C171),"",IF(E171=Constants!$B$2,TRUE(),IF(E171=Constants!$B$3,FALSE(),TRUE())))</f>
        <v/>
      </c>
      <c r="X171" s="87" t="str">
        <f aca="false">IF(ISBLANK($C171),"",IF(F171=Constants!$B$2,TRUE(),IF(F171=Constants!$B$3,FALSE(),TRUE())))</f>
        <v/>
      </c>
      <c r="Y171" s="87" t="str">
        <f aca="false">IF(ISBLANK($C171),"",IF(G171=Constants!$B$2,TRUE(),IF(G171=Constants!$B$3,FALSE(),TRUE())))</f>
        <v/>
      </c>
      <c r="Z171" s="87" t="str">
        <f aca="false">IF(ISBLANK($C171),"",IF(H171=Constants!$B$2,TRUE(),IF(H171=Constants!$B$3,FALSE(),TRUE())))</f>
        <v/>
      </c>
      <c r="AA171" s="87" t="str">
        <f aca="false">IF(ISBLANK($C171),"",IF(I171=Constants!$B$2,TRUE(),IF(I171=Constants!$B$3,FALSE(),TRUE())))</f>
        <v/>
      </c>
      <c r="AB171" s="87" t="str">
        <f aca="false">IF(ISBLANK($C171),"",IF(J171=Constants!$B$4,TRUE(),IF(J171=Constants!$B$5,FALSE(),COUNTA(K171:M171)&gt;0)))</f>
        <v/>
      </c>
      <c r="AC171" s="88" t="str">
        <f aca="false">IF(ISBLANK($C171),"",IF(ISNUMBER(K171),IF(K171&gt;=0,K171,""),""))</f>
        <v/>
      </c>
      <c r="AD171" s="89" t="str">
        <f aca="false">IF(ISBLANK($C171),"",IF(ISNUMBER(L171),IF(L171&gt;=0,L171,""),""))</f>
        <v/>
      </c>
      <c r="AE171" s="87" t="str">
        <f aca="false">IF(ISBLANK($C171),"",IF(ISNUMBER(M171),IF(M171&gt;=0,MIN(M171,Constants!$B$22),""),""))</f>
        <v/>
      </c>
      <c r="AF171" s="87" t="str">
        <f aca="false">IF(ISBLANK($C171),"",IF(N171=Constants!$B$2,TRUE(),IF(N171=Constants!$B$3,FALSE(),TRUE())))</f>
        <v/>
      </c>
      <c r="AG171" s="87" t="str">
        <f aca="false">IF(ISBLANK($C171),"",IF(O171=Constants!$B$2,TRUE(),IF(O171=Constants!$B$3,FALSE(),TRUE())))</f>
        <v/>
      </c>
      <c r="AH171" s="87" t="str">
        <f aca="false">IF(ISBLANK($C171),"",IF(P171=Constants!$B$4,TRUE(),IF(P171=Constants!$B$5,FALSE(),COUNTA(Q171:S171)&gt;0)))</f>
        <v/>
      </c>
      <c r="AI171" s="88" t="str">
        <f aca="false">IF(ISBLANK($C171),"",IF(ISNUMBER(Q171),IF(Q171&gt;=0,Q171,""),""))</f>
        <v/>
      </c>
      <c r="AJ171" s="89" t="str">
        <f aca="false">IF(ISBLANK($C171),"",IF(ISNUMBER(R171),IF(R171&gt;=0,R171,""),""))</f>
        <v/>
      </c>
      <c r="AK171" s="87" t="str">
        <f aca="false">IF(ISBLANK($C171),"",IF(ISNUMBER(S171),IF(S171&gt;=0,MIN(S171,Constants!$B$22),""),""))</f>
        <v/>
      </c>
      <c r="AL171" s="87" t="str">
        <f aca="false">IF(ISBLANK($C171),"",IF(T171=Constants!$B$2,TRUE(),IF(T171=Constants!$B$3,FALSE(),FALSE())))</f>
        <v/>
      </c>
      <c r="AM171" s="86" t="str">
        <f aca="false">IF(ISBLANK($C171),"",AND($AB171,OR($AC171="",$AD171="",AND(NOT(ISBLANK($M171)),$AE171=""))))</f>
        <v/>
      </c>
      <c r="AN171" s="89" t="str">
        <f aca="false">IF($BD171&lt;&gt;Constants!$B$6,"",IF($AB171,Constants!$B$17*$AD171,Constants!$B$18))</f>
        <v/>
      </c>
      <c r="AO171" s="91" t="str">
        <f aca="false">IF($BD171&lt;&gt;Constants!$B$6,"",Constants!$B$19*IF($AB171,$AC171,0))</f>
        <v/>
      </c>
      <c r="AP171" s="91" t="str">
        <f aca="false">IF($BD171&lt;&gt;Constants!$B$6,"",IF(AND($AB171,ISNUMBER($AE171)),Constants!$B$20*(Constants!$B$21-$AE171),0))</f>
        <v/>
      </c>
      <c r="AQ171" s="91" t="str">
        <f aca="false">IF($BD171&lt;&gt;Constants!$B$6,"",IF($AA171,0,Constants!$B$12)+IF($Z171,0,Constants!$B$13)+IF($Y171,0,Constants!$B$14))</f>
        <v/>
      </c>
      <c r="AR171" s="92" t="str">
        <f aca="false">IF($BD171&lt;&gt;Constants!$B$6,"",Constants!$B$16+SUM($AN171:$AQ171))</f>
        <v/>
      </c>
      <c r="AS171" s="91" t="str">
        <f aca="false">IF($BD171&lt;&gt;Constants!$B$6,"",IF($AB171,$AD171,""))</f>
        <v/>
      </c>
      <c r="AT171" s="93" t="str">
        <f aca="false">IF($BD171&lt;&gt;Constants!$B$6,"",$AO171)</f>
        <v/>
      </c>
      <c r="AU171" s="87" t="str">
        <f aca="false">IF($BD171&lt;&gt;Constants!$B$6,"",IF(OR($BA171&lt;$AR171,AND($BA171=$AR171,OR(AND(ISNUMBER($BB171),OR(NOT(ISNUMBER($AS171)),$BB171&lt;$AS171)),AND(OR(AND($BB171="",$AS171=""),AND(ISNUMBER($BB171),ISNUMBER($AS171),$BB171=$AS171)),$BC171&lt;$AT171)))),"-&gt;","&lt;-"))</f>
        <v/>
      </c>
      <c r="AV171" s="86" t="str">
        <f aca="false">IF(ISBLANK($C171),"",AND($AH171,OR($AI171="",$AJ171="",AND(NOT(ISBLANK($S171)),$AK171=""))))</f>
        <v/>
      </c>
      <c r="AW171" s="89" t="str">
        <f aca="false">IF($BD171&lt;&gt;Constants!$B$6,"",IF($AH171,Constants!$B$17*$AJ171,Constants!$B$18))</f>
        <v/>
      </c>
      <c r="AX171" s="91" t="str">
        <f aca="false">IF($BD171&lt;&gt;Constants!$B$6,"",Constants!$B$19*IF($AH171,$AI171,0))</f>
        <v/>
      </c>
      <c r="AY171" s="91" t="str">
        <f aca="false">IF($BD171&lt;&gt;Constants!$B$6,"",IF(AND($AH171,ISNUMBER($AK171)),Constants!$B$20*(Constants!$B$21-$AK171),0))</f>
        <v/>
      </c>
      <c r="AZ171" s="91" t="str">
        <f aca="false">IF($BD171&lt;&gt;Constants!$B$6,"",IF($AG171,0,Constants!$B$12)+IF($AF171,0,Constants!$B$13)+IF($Y171,0,Constants!$B$14))</f>
        <v/>
      </c>
      <c r="BA171" s="92" t="str">
        <f aca="false">IF($BD171&lt;&gt;Constants!$B$6,"",Constants!$B$16+SUM($AW171:$AZ171))</f>
        <v/>
      </c>
      <c r="BB171" s="91" t="str">
        <f aca="false">IF($BD171&lt;&gt;Constants!$B$6,"",IF($AH171,$AJ171,""))</f>
        <v/>
      </c>
      <c r="BC171" s="93" t="str">
        <f aca="false">IF($BD171&lt;&gt;Constants!$B$6,"",$AX171)</f>
        <v/>
      </c>
      <c r="BD171" s="87" t="str">
        <f aca="false">IF(ISBLANK($C171),"",IF($AL171,Constants!$B$9,IF(COUNTA($E171:$T171)=0,Constants!$B$8,IF(NOT($X171),Constants!$B$7,IF(OR($AM171,$AV171),Constants!$B$10,Constants!$B$6)))))</f>
        <v/>
      </c>
      <c r="BE171" s="87" t="str">
        <f aca="false">IF(ISBLANK($C171),"",IF($BD171&lt;&gt;Constants!$B$6,$BD171,Constants!$B$11))</f>
        <v/>
      </c>
      <c r="BF171" s="91" t="str">
        <f aca="false">IF($BD171&lt;&gt;Constants!$B$6,"",IF($AU171="-&gt;",$BA171,$AR171))</f>
        <v/>
      </c>
      <c r="BG171" s="91" t="str">
        <f aca="false">IF($BD171&lt;&gt;Constants!$B$6,"",IF($W171,0,Constants!$B$15))</f>
        <v/>
      </c>
      <c r="BH171" s="91" t="str">
        <f aca="false">IF(ISBLANK($C171),"",IF($BD171&lt;&gt;Constants!$B$6,$BD171,SUM($BF171:$BG171)))</f>
        <v/>
      </c>
      <c r="BI171" s="87" t="str">
        <f aca="false">IF(ISBLANK($C171),"",IF($BD171&lt;&gt;Constants!$B$6,$BD171,RANK($BH171,$BH$9:$BH$508,1)))</f>
        <v/>
      </c>
      <c r="BJ171" s="91" t="str">
        <f aca="false">IF($BD171&lt;&gt;Constants!$B$6,"",IF($AU171="-&gt;",$BB171,$AS171))</f>
        <v/>
      </c>
      <c r="BK171" s="87" t="str">
        <f aca="false">IF(ISBLANK($C171),"",IF($BD171&lt;&gt;Constants!$B$6,$BD171,IF(ISNUMBER($BJ171),RANK($BJ171,$BJ$9:$BJ$508,1),COUNT($BJ$9:$BJ$508)+1)))</f>
        <v/>
      </c>
      <c r="BL171" s="91" t="str">
        <f aca="false">IF($BD171&lt;&gt;Constants!$B$6,"",IF($AU171="-&gt;",$BC171,$AT171))</f>
        <v/>
      </c>
      <c r="BM171" s="87" t="str">
        <f aca="false">IF(ISBLANK($C171),"",IF($BD171&lt;&gt;Constants!$B$6,$BD171,IF(ISNUMBER($BL171),RANK($BL171,$BL$9:$BL$508,1),COUNT($BL$9:$BL$508)+1)))</f>
        <v/>
      </c>
      <c r="BN171" s="91" t="str">
        <f aca="false">IF($BD171&lt;&gt;Constants!$B$6,"",IF($AU171="-&gt;",$AS171,$BB171))</f>
        <v/>
      </c>
      <c r="BO171" s="87" t="str">
        <f aca="false">IF(ISBLANK($C171),"",IF($BD171&lt;&gt;Constants!$B$6,$BD171,IF(ISNUMBER($BN171),RANK($BN171,$BN$9:$BN$508,1),COUNT($BN$9:$BN$508)+1)))</f>
        <v/>
      </c>
      <c r="BP171" s="91" t="str">
        <f aca="false">IF($BD171&lt;&gt;Constants!$B$6,"",IF($AU171="-&gt;",$AT171,$BC171))</f>
        <v/>
      </c>
      <c r="BQ171" s="87" t="str">
        <f aca="false">IF(ISBLANK($C171),"",IF($BD171&lt;&gt;Constants!$B$6,$BD171,IF(ISNUMBER($BP171),RANK($BP171,$BP$9:$BP$508,1),COUNT($BP$9:$BP$508)+1)))</f>
        <v/>
      </c>
      <c r="BR171" s="87" t="str">
        <f aca="false">IF(ISBLANK($C171),"",IF($BD171&lt;&gt;Constants!$B$6,$BD171,COUNTIFS($BI$9:$BI$508,"&lt;"&amp;$BI171)+COUNTIFS($BI$9:$BI$508,$BI171,$BK$9:$BK$508,"&lt;"&amp;$BK171)+COUNTIFS($BI$9:$BI$508,$BI171,$BK$9:$BK$508,$BK171,$BM$9:$BM$508,"&lt;"&amp;$BM171)+COUNTIFS($BI$9:$BI$508,$BI171,$BK$9:$BK$508,$BK171,$BM$9:$BM$508,$BM171,$BO$9:$BO$508,"&lt;"&amp;$BO171)+COUNTIFS($BI$9:$BI$508,$BI171,$BK$9:$BK$508,$BK171,$BM$9:$BM$508,$BM171,$BO$9:$BO$508,$BO171,$BQ$9:$BQ$508,"&lt;"&amp;$BQ171)+1))</f>
        <v/>
      </c>
      <c r="BS171" s="87" t="str">
        <f aca="false">IF(ISBLANK($C171),"",IF($BD171&lt;&gt;Constants!$B$6,$BD171,$BI171-$BR171))</f>
        <v/>
      </c>
      <c r="BT171" s="94"/>
      <c r="BU171" s="95"/>
      <c r="BV171" s="95" t="str">
        <f aca="false">IF(ISBLANK($C171),"",IF($BD171&lt;&gt;Constants!$B$6,"",IF($AU171="-&gt;",2,1)))</f>
        <v/>
      </c>
      <c r="BW171" s="96" t="str">
        <f aca="false">IF(ISBLANK($C171),"",IF($BD171&lt;&gt;Constants!$B$6,"",IF($AU171="-&gt;",$AW171,$AN171)))</f>
        <v/>
      </c>
      <c r="BX171" s="96" t="str">
        <f aca="false">IF(ISBLANK($C171),"",IF($BD171&lt;&gt;Constants!$B$6,"",IF($AU171="-&gt;",$AX171,$AO171)))</f>
        <v/>
      </c>
      <c r="BY171" s="96" t="str">
        <f aca="false">IF(ISBLANK($C171),"",IF($BD171&lt;&gt;Constants!$B$6,"",IF($AU171="-&gt;",$AY171,$AP171)))</f>
        <v/>
      </c>
      <c r="BZ171" s="96" t="str">
        <f aca="false">IF(ISBLANK($C171),"",IF($BD171&lt;&gt;Constants!$B$6,"",IF($AU171="-&gt;",$AZ171,$AQ171)+$BG171))</f>
        <v/>
      </c>
      <c r="CA171" s="97" t="str">
        <f aca="false">IF(ISBLANK($C171),"",IF($BD171&lt;&gt;Constants!$B$6,$BD171,$BH171))</f>
        <v/>
      </c>
      <c r="CB171" s="98" t="str">
        <f aca="false">IF(ISBLANK($C171),"",$BE171)</f>
        <v/>
      </c>
      <c r="CC171" s="99" t="str">
        <f aca="false">IF(ISBLANK($C171),"",$BS171)</f>
        <v/>
      </c>
      <c r="CD171" s="99" t="str">
        <f aca="false">IF(ISBLANK($C171),"",$BR171)</f>
        <v/>
      </c>
      <c r="CE171" s="100" t="str">
        <f aca="false">IF(ISBLANK($C171),"",IF($CD171=Constants!$B$9,COUNTA($C$9:$C$508)+2,IF($CD171=Constants!$B$8,COUNTA($C$9:$C$508)+1,IF($CD171=Constants!$B$7,COUNTA($C$9:$C$508),$CD171))))</f>
        <v/>
      </c>
      <c r="CF171" s="9"/>
      <c r="CG171" s="101" t="n">
        <f aca="false">IF(OR(ISNUMBER($CD171),$CD171=Constants!$B$9,$CD171=Constants!$B$7,$CD171=Constants!$B$8),1,0)</f>
        <v>0</v>
      </c>
      <c r="CH171" s="101" t="n">
        <v>163</v>
      </c>
      <c r="CI171" s="101" t="str">
        <f aca="false">IF(ISBLANK($C171),"",IF(ISNUMBER($CE171),$CE171+ROW($B171)/1000,""))</f>
        <v/>
      </c>
      <c r="CJ171" s="101" t="str">
        <f aca="false">IF(ISNUMBER($CI171),RANK($CI171,$CI$9:$CI$508,1),"")</f>
        <v/>
      </c>
      <c r="CK171" s="101" t="str">
        <f aca="false">IF(ISBLANK($C171),"",$B171)</f>
        <v/>
      </c>
      <c r="CL171" s="101" t="str">
        <f aca="false">IF(ISBLANK($C171),"",$C171)</f>
        <v/>
      </c>
      <c r="CM171" s="101" t="str">
        <f aca="false">IF(ISBLANK($C171),"",$D171)</f>
        <v/>
      </c>
      <c r="CN171" s="102" t="str">
        <f aca="false">$CB171</f>
        <v/>
      </c>
      <c r="CO171" s="103" t="str">
        <f aca="false">$CA171</f>
        <v/>
      </c>
      <c r="CP171" s="101" t="str">
        <f aca="false">IF(ISBLANK($C171),"",$CD171)</f>
        <v/>
      </c>
      <c r="CQ171" s="104" t="str">
        <f aca="false">IF($CH171&gt;$CG$8,"",VLOOKUP($CH171,$CJ$9:$CP$508,7,FALSE()))</f>
        <v/>
      </c>
      <c r="CR171" s="105" t="str">
        <f aca="false">IF($CH171&gt;$CG$8,"",VLOOKUP($CH171,$CJ$9:$CP$508,2,FALSE()))</f>
        <v/>
      </c>
      <c r="CS171" s="105" t="str">
        <f aca="false">IF($CH171&gt;$CG$8,"",VLOOKUP($CH171,$CJ$9:$CP$508,3,FALSE()))</f>
        <v/>
      </c>
      <c r="CT171" s="105" t="str">
        <f aca="false">IF($CH171&gt;$CG$8,"",VLOOKUP($CH171,$CJ$9:$CP$508,4,FALSE()))</f>
        <v/>
      </c>
      <c r="CU171" s="105" t="str">
        <f aca="false">IF($CH171&gt;$CG$8,"",VLOOKUP($CH171,$CJ$9:$CP$508,5,FALSE()))</f>
        <v/>
      </c>
      <c r="CV171" s="106" t="str">
        <f aca="false">IF($CH171&gt;$CG$8,"",VLOOKUP($CH171,$CJ$9:$CP$508,6,FALSE()))</f>
        <v/>
      </c>
      <c r="CW171" s="71"/>
    </row>
    <row r="172" customFormat="false" ht="15.75" hidden="false" customHeight="false" outlineLevel="0" collapsed="false">
      <c r="A172" s="9"/>
      <c r="B172" s="72"/>
      <c r="C172" s="73"/>
      <c r="D172" s="160"/>
      <c r="E172" s="168"/>
      <c r="F172" s="162"/>
      <c r="G172" s="163"/>
      <c r="H172" s="169"/>
      <c r="I172" s="167"/>
      <c r="J172" s="80"/>
      <c r="K172" s="81"/>
      <c r="L172" s="82"/>
      <c r="M172" s="166"/>
      <c r="N172" s="167"/>
      <c r="O172" s="167"/>
      <c r="P172" s="80"/>
      <c r="Q172" s="82"/>
      <c r="R172" s="82"/>
      <c r="S172" s="166"/>
      <c r="T172" s="167"/>
      <c r="U172" s="86"/>
      <c r="V172" s="87"/>
      <c r="W172" s="87" t="str">
        <f aca="false">IF(ISBLANK($C172),"",IF(E172=Constants!$B$2,TRUE(),IF(E172=Constants!$B$3,FALSE(),TRUE())))</f>
        <v/>
      </c>
      <c r="X172" s="87" t="str">
        <f aca="false">IF(ISBLANK($C172),"",IF(F172=Constants!$B$2,TRUE(),IF(F172=Constants!$B$3,FALSE(),TRUE())))</f>
        <v/>
      </c>
      <c r="Y172" s="87" t="str">
        <f aca="false">IF(ISBLANK($C172),"",IF(G172=Constants!$B$2,TRUE(),IF(G172=Constants!$B$3,FALSE(),TRUE())))</f>
        <v/>
      </c>
      <c r="Z172" s="87" t="str">
        <f aca="false">IF(ISBLANK($C172),"",IF(H172=Constants!$B$2,TRUE(),IF(H172=Constants!$B$3,FALSE(),TRUE())))</f>
        <v/>
      </c>
      <c r="AA172" s="87" t="str">
        <f aca="false">IF(ISBLANK($C172),"",IF(I172=Constants!$B$2,TRUE(),IF(I172=Constants!$B$3,FALSE(),TRUE())))</f>
        <v/>
      </c>
      <c r="AB172" s="87" t="str">
        <f aca="false">IF(ISBLANK($C172),"",IF(J172=Constants!$B$4,TRUE(),IF(J172=Constants!$B$5,FALSE(),COUNTA(K172:M172)&gt;0)))</f>
        <v/>
      </c>
      <c r="AC172" s="88" t="str">
        <f aca="false">IF(ISBLANK($C172),"",IF(ISNUMBER(K172),IF(K172&gt;=0,K172,""),""))</f>
        <v/>
      </c>
      <c r="AD172" s="89" t="str">
        <f aca="false">IF(ISBLANK($C172),"",IF(ISNUMBER(L172),IF(L172&gt;=0,L172,""),""))</f>
        <v/>
      </c>
      <c r="AE172" s="87" t="str">
        <f aca="false">IF(ISBLANK($C172),"",IF(ISNUMBER(M172),IF(M172&gt;=0,MIN(M172,Constants!$B$22),""),""))</f>
        <v/>
      </c>
      <c r="AF172" s="87" t="str">
        <f aca="false">IF(ISBLANK($C172),"",IF(N172=Constants!$B$2,TRUE(),IF(N172=Constants!$B$3,FALSE(),TRUE())))</f>
        <v/>
      </c>
      <c r="AG172" s="87" t="str">
        <f aca="false">IF(ISBLANK($C172),"",IF(O172=Constants!$B$2,TRUE(),IF(O172=Constants!$B$3,FALSE(),TRUE())))</f>
        <v/>
      </c>
      <c r="AH172" s="87" t="str">
        <f aca="false">IF(ISBLANK($C172),"",IF(P172=Constants!$B$4,TRUE(),IF(P172=Constants!$B$5,FALSE(),COUNTA(Q172:S172)&gt;0)))</f>
        <v/>
      </c>
      <c r="AI172" s="88" t="str">
        <f aca="false">IF(ISBLANK($C172),"",IF(ISNUMBER(Q172),IF(Q172&gt;=0,Q172,""),""))</f>
        <v/>
      </c>
      <c r="AJ172" s="89" t="str">
        <f aca="false">IF(ISBLANK($C172),"",IF(ISNUMBER(R172),IF(R172&gt;=0,R172,""),""))</f>
        <v/>
      </c>
      <c r="AK172" s="87" t="str">
        <f aca="false">IF(ISBLANK($C172),"",IF(ISNUMBER(S172),IF(S172&gt;=0,MIN(S172,Constants!$B$22),""),""))</f>
        <v/>
      </c>
      <c r="AL172" s="87" t="str">
        <f aca="false">IF(ISBLANK($C172),"",IF(T172=Constants!$B$2,TRUE(),IF(T172=Constants!$B$3,FALSE(),FALSE())))</f>
        <v/>
      </c>
      <c r="AM172" s="86" t="str">
        <f aca="false">IF(ISBLANK($C172),"",AND($AB172,OR($AC172="",$AD172="",AND(NOT(ISBLANK($M172)),$AE172=""))))</f>
        <v/>
      </c>
      <c r="AN172" s="89" t="str">
        <f aca="false">IF($BD172&lt;&gt;Constants!$B$6,"",IF($AB172,Constants!$B$17*$AD172,Constants!$B$18))</f>
        <v/>
      </c>
      <c r="AO172" s="91" t="str">
        <f aca="false">IF($BD172&lt;&gt;Constants!$B$6,"",Constants!$B$19*IF($AB172,$AC172,0))</f>
        <v/>
      </c>
      <c r="AP172" s="91" t="str">
        <f aca="false">IF($BD172&lt;&gt;Constants!$B$6,"",IF(AND($AB172,ISNUMBER($AE172)),Constants!$B$20*(Constants!$B$21-$AE172),0))</f>
        <v/>
      </c>
      <c r="AQ172" s="91" t="str">
        <f aca="false">IF($BD172&lt;&gt;Constants!$B$6,"",IF($AA172,0,Constants!$B$12)+IF($Z172,0,Constants!$B$13)+IF($Y172,0,Constants!$B$14))</f>
        <v/>
      </c>
      <c r="AR172" s="92" t="str">
        <f aca="false">IF($BD172&lt;&gt;Constants!$B$6,"",Constants!$B$16+SUM($AN172:$AQ172))</f>
        <v/>
      </c>
      <c r="AS172" s="91" t="str">
        <f aca="false">IF($BD172&lt;&gt;Constants!$B$6,"",IF($AB172,$AD172,""))</f>
        <v/>
      </c>
      <c r="AT172" s="93" t="str">
        <f aca="false">IF($BD172&lt;&gt;Constants!$B$6,"",$AO172)</f>
        <v/>
      </c>
      <c r="AU172" s="87" t="str">
        <f aca="false">IF($BD172&lt;&gt;Constants!$B$6,"",IF(OR($BA172&lt;$AR172,AND($BA172=$AR172,OR(AND(ISNUMBER($BB172),OR(NOT(ISNUMBER($AS172)),$BB172&lt;$AS172)),AND(OR(AND($BB172="",$AS172=""),AND(ISNUMBER($BB172),ISNUMBER($AS172),$BB172=$AS172)),$BC172&lt;$AT172)))),"-&gt;","&lt;-"))</f>
        <v/>
      </c>
      <c r="AV172" s="86" t="str">
        <f aca="false">IF(ISBLANK($C172),"",AND($AH172,OR($AI172="",$AJ172="",AND(NOT(ISBLANK($S172)),$AK172=""))))</f>
        <v/>
      </c>
      <c r="AW172" s="89" t="str">
        <f aca="false">IF($BD172&lt;&gt;Constants!$B$6,"",IF($AH172,Constants!$B$17*$AJ172,Constants!$B$18))</f>
        <v/>
      </c>
      <c r="AX172" s="91" t="str">
        <f aca="false">IF($BD172&lt;&gt;Constants!$B$6,"",Constants!$B$19*IF($AH172,$AI172,0))</f>
        <v/>
      </c>
      <c r="AY172" s="91" t="str">
        <f aca="false">IF($BD172&lt;&gt;Constants!$B$6,"",IF(AND($AH172,ISNUMBER($AK172)),Constants!$B$20*(Constants!$B$21-$AK172),0))</f>
        <v/>
      </c>
      <c r="AZ172" s="91" t="str">
        <f aca="false">IF($BD172&lt;&gt;Constants!$B$6,"",IF($AG172,0,Constants!$B$12)+IF($AF172,0,Constants!$B$13)+IF($Y172,0,Constants!$B$14))</f>
        <v/>
      </c>
      <c r="BA172" s="92" t="str">
        <f aca="false">IF($BD172&lt;&gt;Constants!$B$6,"",Constants!$B$16+SUM($AW172:$AZ172))</f>
        <v/>
      </c>
      <c r="BB172" s="91" t="str">
        <f aca="false">IF($BD172&lt;&gt;Constants!$B$6,"",IF($AH172,$AJ172,""))</f>
        <v/>
      </c>
      <c r="BC172" s="93" t="str">
        <f aca="false">IF($BD172&lt;&gt;Constants!$B$6,"",$AX172)</f>
        <v/>
      </c>
      <c r="BD172" s="87" t="str">
        <f aca="false">IF(ISBLANK($C172),"",IF($AL172,Constants!$B$9,IF(COUNTA($E172:$T172)=0,Constants!$B$8,IF(NOT($X172),Constants!$B$7,IF(OR($AM172,$AV172),Constants!$B$10,Constants!$B$6)))))</f>
        <v/>
      </c>
      <c r="BE172" s="87" t="str">
        <f aca="false">IF(ISBLANK($C172),"",IF($BD172&lt;&gt;Constants!$B$6,$BD172,Constants!$B$11))</f>
        <v/>
      </c>
      <c r="BF172" s="91" t="str">
        <f aca="false">IF($BD172&lt;&gt;Constants!$B$6,"",IF($AU172="-&gt;",$BA172,$AR172))</f>
        <v/>
      </c>
      <c r="BG172" s="91" t="str">
        <f aca="false">IF($BD172&lt;&gt;Constants!$B$6,"",IF($W172,0,Constants!$B$15))</f>
        <v/>
      </c>
      <c r="BH172" s="91" t="str">
        <f aca="false">IF(ISBLANK($C172),"",IF($BD172&lt;&gt;Constants!$B$6,$BD172,SUM($BF172:$BG172)))</f>
        <v/>
      </c>
      <c r="BI172" s="87" t="str">
        <f aca="false">IF(ISBLANK($C172),"",IF($BD172&lt;&gt;Constants!$B$6,$BD172,RANK($BH172,$BH$9:$BH$508,1)))</f>
        <v/>
      </c>
      <c r="BJ172" s="91" t="str">
        <f aca="false">IF($BD172&lt;&gt;Constants!$B$6,"",IF($AU172="-&gt;",$BB172,$AS172))</f>
        <v/>
      </c>
      <c r="BK172" s="87" t="str">
        <f aca="false">IF(ISBLANK($C172),"",IF($BD172&lt;&gt;Constants!$B$6,$BD172,IF(ISNUMBER($BJ172),RANK($BJ172,$BJ$9:$BJ$508,1),COUNT($BJ$9:$BJ$508)+1)))</f>
        <v/>
      </c>
      <c r="BL172" s="91" t="str">
        <f aca="false">IF($BD172&lt;&gt;Constants!$B$6,"",IF($AU172="-&gt;",$BC172,$AT172))</f>
        <v/>
      </c>
      <c r="BM172" s="87" t="str">
        <f aca="false">IF(ISBLANK($C172),"",IF($BD172&lt;&gt;Constants!$B$6,$BD172,IF(ISNUMBER($BL172),RANK($BL172,$BL$9:$BL$508,1),COUNT($BL$9:$BL$508)+1)))</f>
        <v/>
      </c>
      <c r="BN172" s="91" t="str">
        <f aca="false">IF($BD172&lt;&gt;Constants!$B$6,"",IF($AU172="-&gt;",$AS172,$BB172))</f>
        <v/>
      </c>
      <c r="BO172" s="87" t="str">
        <f aca="false">IF(ISBLANK($C172),"",IF($BD172&lt;&gt;Constants!$B$6,$BD172,IF(ISNUMBER($BN172),RANK($BN172,$BN$9:$BN$508,1),COUNT($BN$9:$BN$508)+1)))</f>
        <v/>
      </c>
      <c r="BP172" s="91" t="str">
        <f aca="false">IF($BD172&lt;&gt;Constants!$B$6,"",IF($AU172="-&gt;",$AT172,$BC172))</f>
        <v/>
      </c>
      <c r="BQ172" s="87" t="str">
        <f aca="false">IF(ISBLANK($C172),"",IF($BD172&lt;&gt;Constants!$B$6,$BD172,IF(ISNUMBER($BP172),RANK($BP172,$BP$9:$BP$508,1),COUNT($BP$9:$BP$508)+1)))</f>
        <v/>
      </c>
      <c r="BR172" s="87" t="str">
        <f aca="false">IF(ISBLANK($C172),"",IF($BD172&lt;&gt;Constants!$B$6,$BD172,COUNTIFS($BI$9:$BI$508,"&lt;"&amp;$BI172)+COUNTIFS($BI$9:$BI$508,$BI172,$BK$9:$BK$508,"&lt;"&amp;$BK172)+COUNTIFS($BI$9:$BI$508,$BI172,$BK$9:$BK$508,$BK172,$BM$9:$BM$508,"&lt;"&amp;$BM172)+COUNTIFS($BI$9:$BI$508,$BI172,$BK$9:$BK$508,$BK172,$BM$9:$BM$508,$BM172,$BO$9:$BO$508,"&lt;"&amp;$BO172)+COUNTIFS($BI$9:$BI$508,$BI172,$BK$9:$BK$508,$BK172,$BM$9:$BM$508,$BM172,$BO$9:$BO$508,$BO172,$BQ$9:$BQ$508,"&lt;"&amp;$BQ172)+1))</f>
        <v/>
      </c>
      <c r="BS172" s="87" t="str">
        <f aca="false">IF(ISBLANK($C172),"",IF($BD172&lt;&gt;Constants!$B$6,$BD172,$BI172-$BR172))</f>
        <v/>
      </c>
      <c r="BT172" s="94"/>
      <c r="BU172" s="95"/>
      <c r="BV172" s="95" t="str">
        <f aca="false">IF(ISBLANK($C172),"",IF($BD172&lt;&gt;Constants!$B$6,"",IF($AU172="-&gt;",2,1)))</f>
        <v/>
      </c>
      <c r="BW172" s="96" t="str">
        <f aca="false">IF(ISBLANK($C172),"",IF($BD172&lt;&gt;Constants!$B$6,"",IF($AU172="-&gt;",$AW172,$AN172)))</f>
        <v/>
      </c>
      <c r="BX172" s="96" t="str">
        <f aca="false">IF(ISBLANK($C172),"",IF($BD172&lt;&gt;Constants!$B$6,"",IF($AU172="-&gt;",$AX172,$AO172)))</f>
        <v/>
      </c>
      <c r="BY172" s="96" t="str">
        <f aca="false">IF(ISBLANK($C172),"",IF($BD172&lt;&gt;Constants!$B$6,"",IF($AU172="-&gt;",$AY172,$AP172)))</f>
        <v/>
      </c>
      <c r="BZ172" s="96" t="str">
        <f aca="false">IF(ISBLANK($C172),"",IF($BD172&lt;&gt;Constants!$B$6,"",IF($AU172="-&gt;",$AZ172,$AQ172)+$BG172))</f>
        <v/>
      </c>
      <c r="CA172" s="97" t="str">
        <f aca="false">IF(ISBLANK($C172),"",IF($BD172&lt;&gt;Constants!$B$6,$BD172,$BH172))</f>
        <v/>
      </c>
      <c r="CB172" s="98" t="str">
        <f aca="false">IF(ISBLANK($C172),"",$BE172)</f>
        <v/>
      </c>
      <c r="CC172" s="99" t="str">
        <f aca="false">IF(ISBLANK($C172),"",$BS172)</f>
        <v/>
      </c>
      <c r="CD172" s="99" t="str">
        <f aca="false">IF(ISBLANK($C172),"",$BR172)</f>
        <v/>
      </c>
      <c r="CE172" s="100" t="str">
        <f aca="false">IF(ISBLANK($C172),"",IF($CD172=Constants!$B$9,COUNTA($C$9:$C$508)+2,IF($CD172=Constants!$B$8,COUNTA($C$9:$C$508)+1,IF($CD172=Constants!$B$7,COUNTA($C$9:$C$508),$CD172))))</f>
        <v/>
      </c>
      <c r="CF172" s="9"/>
      <c r="CG172" s="101" t="n">
        <f aca="false">IF(OR(ISNUMBER($CD172),$CD172=Constants!$B$9,$CD172=Constants!$B$7,$CD172=Constants!$B$8),1,0)</f>
        <v>0</v>
      </c>
      <c r="CH172" s="101" t="n">
        <v>164</v>
      </c>
      <c r="CI172" s="101" t="str">
        <f aca="false">IF(ISBLANK($C172),"",IF(ISNUMBER($CE172),$CE172+ROW($B172)/1000,""))</f>
        <v/>
      </c>
      <c r="CJ172" s="101" t="str">
        <f aca="false">IF(ISNUMBER($CI172),RANK($CI172,$CI$9:$CI$508,1),"")</f>
        <v/>
      </c>
      <c r="CK172" s="101" t="str">
        <f aca="false">IF(ISBLANK($C172),"",$B172)</f>
        <v/>
      </c>
      <c r="CL172" s="101" t="str">
        <f aca="false">IF(ISBLANK($C172),"",$C172)</f>
        <v/>
      </c>
      <c r="CM172" s="101" t="str">
        <f aca="false">IF(ISBLANK($C172),"",$D172)</f>
        <v/>
      </c>
      <c r="CN172" s="102" t="str">
        <f aca="false">$CB172</f>
        <v/>
      </c>
      <c r="CO172" s="103" t="str">
        <f aca="false">$CA172</f>
        <v/>
      </c>
      <c r="CP172" s="101" t="str">
        <f aca="false">IF(ISBLANK($C172),"",$CD172)</f>
        <v/>
      </c>
      <c r="CQ172" s="104" t="str">
        <f aca="false">IF($CH172&gt;$CG$8,"",VLOOKUP($CH172,$CJ$9:$CP$508,7,FALSE()))</f>
        <v/>
      </c>
      <c r="CR172" s="105" t="str">
        <f aca="false">IF($CH172&gt;$CG$8,"",VLOOKUP($CH172,$CJ$9:$CP$508,2,FALSE()))</f>
        <v/>
      </c>
      <c r="CS172" s="105" t="str">
        <f aca="false">IF($CH172&gt;$CG$8,"",VLOOKUP($CH172,$CJ$9:$CP$508,3,FALSE()))</f>
        <v/>
      </c>
      <c r="CT172" s="105" t="str">
        <f aca="false">IF($CH172&gt;$CG$8,"",VLOOKUP($CH172,$CJ$9:$CP$508,4,FALSE()))</f>
        <v/>
      </c>
      <c r="CU172" s="105" t="str">
        <f aca="false">IF($CH172&gt;$CG$8,"",VLOOKUP($CH172,$CJ$9:$CP$508,5,FALSE()))</f>
        <v/>
      </c>
      <c r="CV172" s="106" t="str">
        <f aca="false">IF($CH172&gt;$CG$8,"",VLOOKUP($CH172,$CJ$9:$CP$508,6,FALSE()))</f>
        <v/>
      </c>
      <c r="CW172" s="71"/>
    </row>
    <row r="173" customFormat="false" ht="15.75" hidden="false" customHeight="false" outlineLevel="0" collapsed="false">
      <c r="A173" s="9"/>
      <c r="B173" s="72"/>
      <c r="C173" s="73"/>
      <c r="D173" s="160"/>
      <c r="E173" s="168"/>
      <c r="F173" s="162"/>
      <c r="G173" s="163"/>
      <c r="H173" s="169"/>
      <c r="I173" s="167"/>
      <c r="J173" s="80"/>
      <c r="K173" s="81"/>
      <c r="L173" s="82"/>
      <c r="M173" s="166"/>
      <c r="N173" s="167"/>
      <c r="O173" s="167"/>
      <c r="P173" s="80"/>
      <c r="Q173" s="82"/>
      <c r="R173" s="82"/>
      <c r="S173" s="166"/>
      <c r="T173" s="167"/>
      <c r="U173" s="86"/>
      <c r="V173" s="87"/>
      <c r="W173" s="87" t="str">
        <f aca="false">IF(ISBLANK($C173),"",IF(E173=Constants!$B$2,TRUE(),IF(E173=Constants!$B$3,FALSE(),TRUE())))</f>
        <v/>
      </c>
      <c r="X173" s="87" t="str">
        <f aca="false">IF(ISBLANK($C173),"",IF(F173=Constants!$B$2,TRUE(),IF(F173=Constants!$B$3,FALSE(),TRUE())))</f>
        <v/>
      </c>
      <c r="Y173" s="87" t="str">
        <f aca="false">IF(ISBLANK($C173),"",IF(G173=Constants!$B$2,TRUE(),IF(G173=Constants!$B$3,FALSE(),TRUE())))</f>
        <v/>
      </c>
      <c r="Z173" s="87" t="str">
        <f aca="false">IF(ISBLANK($C173),"",IF(H173=Constants!$B$2,TRUE(),IF(H173=Constants!$B$3,FALSE(),TRUE())))</f>
        <v/>
      </c>
      <c r="AA173" s="87" t="str">
        <f aca="false">IF(ISBLANK($C173),"",IF(I173=Constants!$B$2,TRUE(),IF(I173=Constants!$B$3,FALSE(),TRUE())))</f>
        <v/>
      </c>
      <c r="AB173" s="87" t="str">
        <f aca="false">IF(ISBLANK($C173),"",IF(J173=Constants!$B$4,TRUE(),IF(J173=Constants!$B$5,FALSE(),COUNTA(K173:M173)&gt;0)))</f>
        <v/>
      </c>
      <c r="AC173" s="88" t="str">
        <f aca="false">IF(ISBLANK($C173),"",IF(ISNUMBER(K173),IF(K173&gt;=0,K173,""),""))</f>
        <v/>
      </c>
      <c r="AD173" s="89" t="str">
        <f aca="false">IF(ISBLANK($C173),"",IF(ISNUMBER(L173),IF(L173&gt;=0,L173,""),""))</f>
        <v/>
      </c>
      <c r="AE173" s="87" t="str">
        <f aca="false">IF(ISBLANK($C173),"",IF(ISNUMBER(M173),IF(M173&gt;=0,MIN(M173,Constants!$B$22),""),""))</f>
        <v/>
      </c>
      <c r="AF173" s="87" t="str">
        <f aca="false">IF(ISBLANK($C173),"",IF(N173=Constants!$B$2,TRUE(),IF(N173=Constants!$B$3,FALSE(),TRUE())))</f>
        <v/>
      </c>
      <c r="AG173" s="87" t="str">
        <f aca="false">IF(ISBLANK($C173),"",IF(O173=Constants!$B$2,TRUE(),IF(O173=Constants!$B$3,FALSE(),TRUE())))</f>
        <v/>
      </c>
      <c r="AH173" s="87" t="str">
        <f aca="false">IF(ISBLANK($C173),"",IF(P173=Constants!$B$4,TRUE(),IF(P173=Constants!$B$5,FALSE(),COUNTA(Q173:S173)&gt;0)))</f>
        <v/>
      </c>
      <c r="AI173" s="88" t="str">
        <f aca="false">IF(ISBLANK($C173),"",IF(ISNUMBER(Q173),IF(Q173&gt;=0,Q173,""),""))</f>
        <v/>
      </c>
      <c r="AJ173" s="89" t="str">
        <f aca="false">IF(ISBLANK($C173),"",IF(ISNUMBER(R173),IF(R173&gt;=0,R173,""),""))</f>
        <v/>
      </c>
      <c r="AK173" s="87" t="str">
        <f aca="false">IF(ISBLANK($C173),"",IF(ISNUMBER(S173),IF(S173&gt;=0,MIN(S173,Constants!$B$22),""),""))</f>
        <v/>
      </c>
      <c r="AL173" s="87" t="str">
        <f aca="false">IF(ISBLANK($C173),"",IF(T173=Constants!$B$2,TRUE(),IF(T173=Constants!$B$3,FALSE(),FALSE())))</f>
        <v/>
      </c>
      <c r="AM173" s="86" t="str">
        <f aca="false">IF(ISBLANK($C173),"",AND($AB173,OR($AC173="",$AD173="",AND(NOT(ISBLANK($M173)),$AE173=""))))</f>
        <v/>
      </c>
      <c r="AN173" s="89" t="str">
        <f aca="false">IF($BD173&lt;&gt;Constants!$B$6,"",IF($AB173,Constants!$B$17*$AD173,Constants!$B$18))</f>
        <v/>
      </c>
      <c r="AO173" s="91" t="str">
        <f aca="false">IF($BD173&lt;&gt;Constants!$B$6,"",Constants!$B$19*IF($AB173,$AC173,0))</f>
        <v/>
      </c>
      <c r="AP173" s="91" t="str">
        <f aca="false">IF($BD173&lt;&gt;Constants!$B$6,"",IF(AND($AB173,ISNUMBER($AE173)),Constants!$B$20*(Constants!$B$21-$AE173),0))</f>
        <v/>
      </c>
      <c r="AQ173" s="91" t="str">
        <f aca="false">IF($BD173&lt;&gt;Constants!$B$6,"",IF($AA173,0,Constants!$B$12)+IF($Z173,0,Constants!$B$13)+IF($Y173,0,Constants!$B$14))</f>
        <v/>
      </c>
      <c r="AR173" s="92" t="str">
        <f aca="false">IF($BD173&lt;&gt;Constants!$B$6,"",Constants!$B$16+SUM($AN173:$AQ173))</f>
        <v/>
      </c>
      <c r="AS173" s="91" t="str">
        <f aca="false">IF($BD173&lt;&gt;Constants!$B$6,"",IF($AB173,$AD173,""))</f>
        <v/>
      </c>
      <c r="AT173" s="93" t="str">
        <f aca="false">IF($BD173&lt;&gt;Constants!$B$6,"",$AO173)</f>
        <v/>
      </c>
      <c r="AU173" s="87" t="str">
        <f aca="false">IF($BD173&lt;&gt;Constants!$B$6,"",IF(OR($BA173&lt;$AR173,AND($BA173=$AR173,OR(AND(ISNUMBER($BB173),OR(NOT(ISNUMBER($AS173)),$BB173&lt;$AS173)),AND(OR(AND($BB173="",$AS173=""),AND(ISNUMBER($BB173),ISNUMBER($AS173),$BB173=$AS173)),$BC173&lt;$AT173)))),"-&gt;","&lt;-"))</f>
        <v/>
      </c>
      <c r="AV173" s="86" t="str">
        <f aca="false">IF(ISBLANK($C173),"",AND($AH173,OR($AI173="",$AJ173="",AND(NOT(ISBLANK($S173)),$AK173=""))))</f>
        <v/>
      </c>
      <c r="AW173" s="89" t="str">
        <f aca="false">IF($BD173&lt;&gt;Constants!$B$6,"",IF($AH173,Constants!$B$17*$AJ173,Constants!$B$18))</f>
        <v/>
      </c>
      <c r="AX173" s="91" t="str">
        <f aca="false">IF($BD173&lt;&gt;Constants!$B$6,"",Constants!$B$19*IF($AH173,$AI173,0))</f>
        <v/>
      </c>
      <c r="AY173" s="91" t="str">
        <f aca="false">IF($BD173&lt;&gt;Constants!$B$6,"",IF(AND($AH173,ISNUMBER($AK173)),Constants!$B$20*(Constants!$B$21-$AK173),0))</f>
        <v/>
      </c>
      <c r="AZ173" s="91" t="str">
        <f aca="false">IF($BD173&lt;&gt;Constants!$B$6,"",IF($AG173,0,Constants!$B$12)+IF($AF173,0,Constants!$B$13)+IF($Y173,0,Constants!$B$14))</f>
        <v/>
      </c>
      <c r="BA173" s="92" t="str">
        <f aca="false">IF($BD173&lt;&gt;Constants!$B$6,"",Constants!$B$16+SUM($AW173:$AZ173))</f>
        <v/>
      </c>
      <c r="BB173" s="91" t="str">
        <f aca="false">IF($BD173&lt;&gt;Constants!$B$6,"",IF($AH173,$AJ173,""))</f>
        <v/>
      </c>
      <c r="BC173" s="93" t="str">
        <f aca="false">IF($BD173&lt;&gt;Constants!$B$6,"",$AX173)</f>
        <v/>
      </c>
      <c r="BD173" s="87" t="str">
        <f aca="false">IF(ISBLANK($C173),"",IF($AL173,Constants!$B$9,IF(COUNTA($E173:$T173)=0,Constants!$B$8,IF(NOT($X173),Constants!$B$7,IF(OR($AM173,$AV173),Constants!$B$10,Constants!$B$6)))))</f>
        <v/>
      </c>
      <c r="BE173" s="87" t="str">
        <f aca="false">IF(ISBLANK($C173),"",IF($BD173&lt;&gt;Constants!$B$6,$BD173,Constants!$B$11))</f>
        <v/>
      </c>
      <c r="BF173" s="91" t="str">
        <f aca="false">IF($BD173&lt;&gt;Constants!$B$6,"",IF($AU173="-&gt;",$BA173,$AR173))</f>
        <v/>
      </c>
      <c r="BG173" s="91" t="str">
        <f aca="false">IF($BD173&lt;&gt;Constants!$B$6,"",IF($W173,0,Constants!$B$15))</f>
        <v/>
      </c>
      <c r="BH173" s="91" t="str">
        <f aca="false">IF(ISBLANK($C173),"",IF($BD173&lt;&gt;Constants!$B$6,$BD173,SUM($BF173:$BG173)))</f>
        <v/>
      </c>
      <c r="BI173" s="87" t="str">
        <f aca="false">IF(ISBLANK($C173),"",IF($BD173&lt;&gt;Constants!$B$6,$BD173,RANK($BH173,$BH$9:$BH$508,1)))</f>
        <v/>
      </c>
      <c r="BJ173" s="91" t="str">
        <f aca="false">IF($BD173&lt;&gt;Constants!$B$6,"",IF($AU173="-&gt;",$BB173,$AS173))</f>
        <v/>
      </c>
      <c r="BK173" s="87" t="str">
        <f aca="false">IF(ISBLANK($C173),"",IF($BD173&lt;&gt;Constants!$B$6,$BD173,IF(ISNUMBER($BJ173),RANK($BJ173,$BJ$9:$BJ$508,1),COUNT($BJ$9:$BJ$508)+1)))</f>
        <v/>
      </c>
      <c r="BL173" s="91" t="str">
        <f aca="false">IF($BD173&lt;&gt;Constants!$B$6,"",IF($AU173="-&gt;",$BC173,$AT173))</f>
        <v/>
      </c>
      <c r="BM173" s="87" t="str">
        <f aca="false">IF(ISBLANK($C173),"",IF($BD173&lt;&gt;Constants!$B$6,$BD173,IF(ISNUMBER($BL173),RANK($BL173,$BL$9:$BL$508,1),COUNT($BL$9:$BL$508)+1)))</f>
        <v/>
      </c>
      <c r="BN173" s="91" t="str">
        <f aca="false">IF($BD173&lt;&gt;Constants!$B$6,"",IF($AU173="-&gt;",$AS173,$BB173))</f>
        <v/>
      </c>
      <c r="BO173" s="87" t="str">
        <f aca="false">IF(ISBLANK($C173),"",IF($BD173&lt;&gt;Constants!$B$6,$BD173,IF(ISNUMBER($BN173),RANK($BN173,$BN$9:$BN$508,1),COUNT($BN$9:$BN$508)+1)))</f>
        <v/>
      </c>
      <c r="BP173" s="91" t="str">
        <f aca="false">IF($BD173&lt;&gt;Constants!$B$6,"",IF($AU173="-&gt;",$AT173,$BC173))</f>
        <v/>
      </c>
      <c r="BQ173" s="87" t="str">
        <f aca="false">IF(ISBLANK($C173),"",IF($BD173&lt;&gt;Constants!$B$6,$BD173,IF(ISNUMBER($BP173),RANK($BP173,$BP$9:$BP$508,1),COUNT($BP$9:$BP$508)+1)))</f>
        <v/>
      </c>
      <c r="BR173" s="87" t="str">
        <f aca="false">IF(ISBLANK($C173),"",IF($BD173&lt;&gt;Constants!$B$6,$BD173,COUNTIFS($BI$9:$BI$508,"&lt;"&amp;$BI173)+COUNTIFS($BI$9:$BI$508,$BI173,$BK$9:$BK$508,"&lt;"&amp;$BK173)+COUNTIFS($BI$9:$BI$508,$BI173,$BK$9:$BK$508,$BK173,$BM$9:$BM$508,"&lt;"&amp;$BM173)+COUNTIFS($BI$9:$BI$508,$BI173,$BK$9:$BK$508,$BK173,$BM$9:$BM$508,$BM173,$BO$9:$BO$508,"&lt;"&amp;$BO173)+COUNTIFS($BI$9:$BI$508,$BI173,$BK$9:$BK$508,$BK173,$BM$9:$BM$508,$BM173,$BO$9:$BO$508,$BO173,$BQ$9:$BQ$508,"&lt;"&amp;$BQ173)+1))</f>
        <v/>
      </c>
      <c r="BS173" s="87" t="str">
        <f aca="false">IF(ISBLANK($C173),"",IF($BD173&lt;&gt;Constants!$B$6,$BD173,$BI173-$BR173))</f>
        <v/>
      </c>
      <c r="BT173" s="94"/>
      <c r="BU173" s="95"/>
      <c r="BV173" s="95" t="str">
        <f aca="false">IF(ISBLANK($C173),"",IF($BD173&lt;&gt;Constants!$B$6,"",IF($AU173="-&gt;",2,1)))</f>
        <v/>
      </c>
      <c r="BW173" s="96" t="str">
        <f aca="false">IF(ISBLANK($C173),"",IF($BD173&lt;&gt;Constants!$B$6,"",IF($AU173="-&gt;",$AW173,$AN173)))</f>
        <v/>
      </c>
      <c r="BX173" s="96" t="str">
        <f aca="false">IF(ISBLANK($C173),"",IF($BD173&lt;&gt;Constants!$B$6,"",IF($AU173="-&gt;",$AX173,$AO173)))</f>
        <v/>
      </c>
      <c r="BY173" s="96" t="str">
        <f aca="false">IF(ISBLANK($C173),"",IF($BD173&lt;&gt;Constants!$B$6,"",IF($AU173="-&gt;",$AY173,$AP173)))</f>
        <v/>
      </c>
      <c r="BZ173" s="96" t="str">
        <f aca="false">IF(ISBLANK($C173),"",IF($BD173&lt;&gt;Constants!$B$6,"",IF($AU173="-&gt;",$AZ173,$AQ173)+$BG173))</f>
        <v/>
      </c>
      <c r="CA173" s="97" t="str">
        <f aca="false">IF(ISBLANK($C173),"",IF($BD173&lt;&gt;Constants!$B$6,$BD173,$BH173))</f>
        <v/>
      </c>
      <c r="CB173" s="98" t="str">
        <f aca="false">IF(ISBLANK($C173),"",$BE173)</f>
        <v/>
      </c>
      <c r="CC173" s="99" t="str">
        <f aca="false">IF(ISBLANK($C173),"",$BS173)</f>
        <v/>
      </c>
      <c r="CD173" s="99" t="str">
        <f aca="false">IF(ISBLANK($C173),"",$BR173)</f>
        <v/>
      </c>
      <c r="CE173" s="100" t="str">
        <f aca="false">IF(ISBLANK($C173),"",IF($CD173=Constants!$B$9,COUNTA($C$9:$C$508)+2,IF($CD173=Constants!$B$8,COUNTA($C$9:$C$508)+1,IF($CD173=Constants!$B$7,COUNTA($C$9:$C$508),$CD173))))</f>
        <v/>
      </c>
      <c r="CF173" s="9"/>
      <c r="CG173" s="101" t="n">
        <f aca="false">IF(OR(ISNUMBER($CD173),$CD173=Constants!$B$9,$CD173=Constants!$B$7,$CD173=Constants!$B$8),1,0)</f>
        <v>0</v>
      </c>
      <c r="CH173" s="101" t="n">
        <v>165</v>
      </c>
      <c r="CI173" s="101" t="str">
        <f aca="false">IF(ISBLANK($C173),"",IF(ISNUMBER($CE173),$CE173+ROW($B173)/1000,""))</f>
        <v/>
      </c>
      <c r="CJ173" s="101" t="str">
        <f aca="false">IF(ISNUMBER($CI173),RANK($CI173,$CI$9:$CI$508,1),"")</f>
        <v/>
      </c>
      <c r="CK173" s="101" t="str">
        <f aca="false">IF(ISBLANK($C173),"",$B173)</f>
        <v/>
      </c>
      <c r="CL173" s="101" t="str">
        <f aca="false">IF(ISBLANK($C173),"",$C173)</f>
        <v/>
      </c>
      <c r="CM173" s="101" t="str">
        <f aca="false">IF(ISBLANK($C173),"",$D173)</f>
        <v/>
      </c>
      <c r="CN173" s="102" t="str">
        <f aca="false">$CB173</f>
        <v/>
      </c>
      <c r="CO173" s="103" t="str">
        <f aca="false">$CA173</f>
        <v/>
      </c>
      <c r="CP173" s="101" t="str">
        <f aca="false">IF(ISBLANK($C173),"",$CD173)</f>
        <v/>
      </c>
      <c r="CQ173" s="104" t="str">
        <f aca="false">IF($CH173&gt;$CG$8,"",VLOOKUP($CH173,$CJ$9:$CP$508,7,FALSE()))</f>
        <v/>
      </c>
      <c r="CR173" s="105" t="str">
        <f aca="false">IF($CH173&gt;$CG$8,"",VLOOKUP($CH173,$CJ$9:$CP$508,2,FALSE()))</f>
        <v/>
      </c>
      <c r="CS173" s="105" t="str">
        <f aca="false">IF($CH173&gt;$CG$8,"",VLOOKUP($CH173,$CJ$9:$CP$508,3,FALSE()))</f>
        <v/>
      </c>
      <c r="CT173" s="105" t="str">
        <f aca="false">IF($CH173&gt;$CG$8,"",VLOOKUP($CH173,$CJ$9:$CP$508,4,FALSE()))</f>
        <v/>
      </c>
      <c r="CU173" s="105" t="str">
        <f aca="false">IF($CH173&gt;$CG$8,"",VLOOKUP($CH173,$CJ$9:$CP$508,5,FALSE()))</f>
        <v/>
      </c>
      <c r="CV173" s="106" t="str">
        <f aca="false">IF($CH173&gt;$CG$8,"",VLOOKUP($CH173,$CJ$9:$CP$508,6,FALSE()))</f>
        <v/>
      </c>
      <c r="CW173" s="71"/>
    </row>
    <row r="174" customFormat="false" ht="15.75" hidden="false" customHeight="false" outlineLevel="0" collapsed="false">
      <c r="A174" s="9"/>
      <c r="B174" s="150"/>
      <c r="C174" s="151"/>
      <c r="D174" s="152"/>
      <c r="E174" s="170"/>
      <c r="F174" s="154"/>
      <c r="G174" s="155"/>
      <c r="H174" s="171"/>
      <c r="I174" s="159"/>
      <c r="J174" s="120"/>
      <c r="K174" s="121"/>
      <c r="L174" s="122"/>
      <c r="M174" s="158"/>
      <c r="N174" s="159"/>
      <c r="O174" s="159"/>
      <c r="P174" s="120"/>
      <c r="Q174" s="122"/>
      <c r="R174" s="122"/>
      <c r="S174" s="158"/>
      <c r="T174" s="159"/>
      <c r="U174" s="126"/>
      <c r="V174" s="127"/>
      <c r="W174" s="127" t="str">
        <f aca="false">IF(ISBLANK($C174),"",IF(E174=Constants!$B$2,TRUE(),IF(E174=Constants!$B$3,FALSE(),TRUE())))</f>
        <v/>
      </c>
      <c r="X174" s="127" t="str">
        <f aca="false">IF(ISBLANK($C174),"",IF(F174=Constants!$B$2,TRUE(),IF(F174=Constants!$B$3,FALSE(),TRUE())))</f>
        <v/>
      </c>
      <c r="Y174" s="127" t="str">
        <f aca="false">IF(ISBLANK($C174),"",IF(G174=Constants!$B$2,TRUE(),IF(G174=Constants!$B$3,FALSE(),TRUE())))</f>
        <v/>
      </c>
      <c r="Z174" s="127" t="str">
        <f aca="false">IF(ISBLANK($C174),"",IF(H174=Constants!$B$2,TRUE(),IF(H174=Constants!$B$3,FALSE(),TRUE())))</f>
        <v/>
      </c>
      <c r="AA174" s="127" t="str">
        <f aca="false">IF(ISBLANK($C174),"",IF(I174=Constants!$B$2,TRUE(),IF(I174=Constants!$B$3,FALSE(),TRUE())))</f>
        <v/>
      </c>
      <c r="AB174" s="127" t="str">
        <f aca="false">IF(ISBLANK($C174),"",IF(J174=Constants!$B$4,TRUE(),IF(J174=Constants!$B$5,FALSE(),COUNTA(K174:M174)&gt;0)))</f>
        <v/>
      </c>
      <c r="AC174" s="128" t="str">
        <f aca="false">IF(ISBLANK($C174),"",IF(ISNUMBER(K174),IF(K174&gt;=0,K174,""),""))</f>
        <v/>
      </c>
      <c r="AD174" s="129" t="str">
        <f aca="false">IF(ISBLANK($C174),"",IF(ISNUMBER(L174),IF(L174&gt;=0,L174,""),""))</f>
        <v/>
      </c>
      <c r="AE174" s="127" t="str">
        <f aca="false">IF(ISBLANK($C174),"",IF(ISNUMBER(M174),IF(M174&gt;=0,MIN(M174,Constants!$B$22),""),""))</f>
        <v/>
      </c>
      <c r="AF174" s="127" t="str">
        <f aca="false">IF(ISBLANK($C174),"",IF(N174=Constants!$B$2,TRUE(),IF(N174=Constants!$B$3,FALSE(),TRUE())))</f>
        <v/>
      </c>
      <c r="AG174" s="127" t="str">
        <f aca="false">IF(ISBLANK($C174),"",IF(O174=Constants!$B$2,TRUE(),IF(O174=Constants!$B$3,FALSE(),TRUE())))</f>
        <v/>
      </c>
      <c r="AH174" s="127" t="str">
        <f aca="false">IF(ISBLANK($C174),"",IF(P174=Constants!$B$4,TRUE(),IF(P174=Constants!$B$5,FALSE(),COUNTA(Q174:S174)&gt;0)))</f>
        <v/>
      </c>
      <c r="AI174" s="128" t="str">
        <f aca="false">IF(ISBLANK($C174),"",IF(ISNUMBER(Q174),IF(Q174&gt;=0,Q174,""),""))</f>
        <v/>
      </c>
      <c r="AJ174" s="129" t="str">
        <f aca="false">IF(ISBLANK($C174),"",IF(ISNUMBER(R174),IF(R174&gt;=0,R174,""),""))</f>
        <v/>
      </c>
      <c r="AK174" s="127" t="str">
        <f aca="false">IF(ISBLANK($C174),"",IF(ISNUMBER(S174),IF(S174&gt;=0,MIN(S174,Constants!$B$22),""),""))</f>
        <v/>
      </c>
      <c r="AL174" s="127" t="str">
        <f aca="false">IF(ISBLANK($C174),"",IF(T174=Constants!$B$2,TRUE(),IF(T174=Constants!$B$3,FALSE(),FALSE())))</f>
        <v/>
      </c>
      <c r="AM174" s="126" t="str">
        <f aca="false">IF(ISBLANK($C174),"",AND($AB174,OR($AC174="",$AD174="",AND(NOT(ISBLANK($M174)),$AE174=""))))</f>
        <v/>
      </c>
      <c r="AN174" s="129" t="str">
        <f aca="false">IF($BD174&lt;&gt;Constants!$B$6,"",IF($AB174,Constants!$B$17*$AD174,Constants!$B$18))</f>
        <v/>
      </c>
      <c r="AO174" s="130" t="str">
        <f aca="false">IF($BD174&lt;&gt;Constants!$B$6,"",Constants!$B$19*IF($AB174,$AC174,0))</f>
        <v/>
      </c>
      <c r="AP174" s="130" t="str">
        <f aca="false">IF($BD174&lt;&gt;Constants!$B$6,"",IF(AND($AB174,ISNUMBER($AE174)),Constants!$B$20*(Constants!$B$21-$AE174),0))</f>
        <v/>
      </c>
      <c r="AQ174" s="130" t="str">
        <f aca="false">IF($BD174&lt;&gt;Constants!$B$6,"",IF($AA174,0,Constants!$B$12)+IF($Z174,0,Constants!$B$13)+IF($Y174,0,Constants!$B$14))</f>
        <v/>
      </c>
      <c r="AR174" s="131" t="str">
        <f aca="false">IF($BD174&lt;&gt;Constants!$B$6,"",Constants!$B$16+SUM($AN174:$AQ174))</f>
        <v/>
      </c>
      <c r="AS174" s="130" t="str">
        <f aca="false">IF($BD174&lt;&gt;Constants!$B$6,"",IF($AB174,$AD174,""))</f>
        <v/>
      </c>
      <c r="AT174" s="132" t="str">
        <f aca="false">IF($BD174&lt;&gt;Constants!$B$6,"",$AO174)</f>
        <v/>
      </c>
      <c r="AU174" s="127" t="str">
        <f aca="false">IF($BD174&lt;&gt;Constants!$B$6,"",IF(OR($BA174&lt;$AR174,AND($BA174=$AR174,OR(AND(ISNUMBER($BB174),OR(NOT(ISNUMBER($AS174)),$BB174&lt;$AS174)),AND(OR(AND($BB174="",$AS174=""),AND(ISNUMBER($BB174),ISNUMBER($AS174),$BB174=$AS174)),$BC174&lt;$AT174)))),"-&gt;","&lt;-"))</f>
        <v/>
      </c>
      <c r="AV174" s="126" t="str">
        <f aca="false">IF(ISBLANK($C174),"",AND($AH174,OR($AI174="",$AJ174="",AND(NOT(ISBLANK($S174)),$AK174=""))))</f>
        <v/>
      </c>
      <c r="AW174" s="129" t="str">
        <f aca="false">IF($BD174&lt;&gt;Constants!$B$6,"",IF($AH174,Constants!$B$17*$AJ174,Constants!$B$18))</f>
        <v/>
      </c>
      <c r="AX174" s="130" t="str">
        <f aca="false">IF($BD174&lt;&gt;Constants!$B$6,"",Constants!$B$19*IF($AH174,$AI174,0))</f>
        <v/>
      </c>
      <c r="AY174" s="130" t="str">
        <f aca="false">IF($BD174&lt;&gt;Constants!$B$6,"",IF(AND($AH174,ISNUMBER($AK174)),Constants!$B$20*(Constants!$B$21-$AK174),0))</f>
        <v/>
      </c>
      <c r="AZ174" s="130" t="str">
        <f aca="false">IF($BD174&lt;&gt;Constants!$B$6,"",IF($AG174,0,Constants!$B$12)+IF($AF174,0,Constants!$B$13)+IF($Y174,0,Constants!$B$14))</f>
        <v/>
      </c>
      <c r="BA174" s="131" t="str">
        <f aca="false">IF($BD174&lt;&gt;Constants!$B$6,"",Constants!$B$16+SUM($AW174:$AZ174))</f>
        <v/>
      </c>
      <c r="BB174" s="130" t="str">
        <f aca="false">IF($BD174&lt;&gt;Constants!$B$6,"",IF($AH174,$AJ174,""))</f>
        <v/>
      </c>
      <c r="BC174" s="132" t="str">
        <f aca="false">IF($BD174&lt;&gt;Constants!$B$6,"",$AX174)</f>
        <v/>
      </c>
      <c r="BD174" s="127" t="str">
        <f aca="false">IF(ISBLANK($C174),"",IF($AL174,Constants!$B$9,IF(COUNTA($E174:$T174)=0,Constants!$B$8,IF(NOT($X174),Constants!$B$7,IF(OR($AM174,$AV174),Constants!$B$10,Constants!$B$6)))))</f>
        <v/>
      </c>
      <c r="BE174" s="127" t="str">
        <f aca="false">IF(ISBLANK($C174),"",IF($BD174&lt;&gt;Constants!$B$6,$BD174,Constants!$B$11))</f>
        <v/>
      </c>
      <c r="BF174" s="130" t="str">
        <f aca="false">IF($BD174&lt;&gt;Constants!$B$6,"",IF($AU174="-&gt;",$BA174,$AR174))</f>
        <v/>
      </c>
      <c r="BG174" s="130" t="str">
        <f aca="false">IF($BD174&lt;&gt;Constants!$B$6,"",IF($W174,0,Constants!$B$15))</f>
        <v/>
      </c>
      <c r="BH174" s="130" t="str">
        <f aca="false">IF(ISBLANK($C174),"",IF($BD174&lt;&gt;Constants!$B$6,$BD174,SUM($BF174:$BG174)))</f>
        <v/>
      </c>
      <c r="BI174" s="127" t="str">
        <f aca="false">IF(ISBLANK($C174),"",IF($BD174&lt;&gt;Constants!$B$6,$BD174,RANK($BH174,$BH$9:$BH$508,1)))</f>
        <v/>
      </c>
      <c r="BJ174" s="130" t="str">
        <f aca="false">IF($BD174&lt;&gt;Constants!$B$6,"",IF($AU174="-&gt;",$BB174,$AS174))</f>
        <v/>
      </c>
      <c r="BK174" s="127" t="str">
        <f aca="false">IF(ISBLANK($C174),"",IF($BD174&lt;&gt;Constants!$B$6,$BD174,IF(ISNUMBER($BJ174),RANK($BJ174,$BJ$9:$BJ$508,1),COUNT($BJ$9:$BJ$508)+1)))</f>
        <v/>
      </c>
      <c r="BL174" s="130" t="str">
        <f aca="false">IF($BD174&lt;&gt;Constants!$B$6,"",IF($AU174="-&gt;",$BC174,$AT174))</f>
        <v/>
      </c>
      <c r="BM174" s="127" t="str">
        <f aca="false">IF(ISBLANK($C174),"",IF($BD174&lt;&gt;Constants!$B$6,$BD174,IF(ISNUMBER($BL174),RANK($BL174,$BL$9:$BL$508,1),COUNT($BL$9:$BL$508)+1)))</f>
        <v/>
      </c>
      <c r="BN174" s="130" t="str">
        <f aca="false">IF($BD174&lt;&gt;Constants!$B$6,"",IF($AU174="-&gt;",$AS174,$BB174))</f>
        <v/>
      </c>
      <c r="BO174" s="127" t="str">
        <f aca="false">IF(ISBLANK($C174),"",IF($BD174&lt;&gt;Constants!$B$6,$BD174,IF(ISNUMBER($BN174),RANK($BN174,$BN$9:$BN$508,1),COUNT($BN$9:$BN$508)+1)))</f>
        <v/>
      </c>
      <c r="BP174" s="130" t="str">
        <f aca="false">IF($BD174&lt;&gt;Constants!$B$6,"",IF($AU174="-&gt;",$AT174,$BC174))</f>
        <v/>
      </c>
      <c r="BQ174" s="127" t="str">
        <f aca="false">IF(ISBLANK($C174),"",IF($BD174&lt;&gt;Constants!$B$6,$BD174,IF(ISNUMBER($BP174),RANK($BP174,$BP$9:$BP$508,1),COUNT($BP$9:$BP$508)+1)))</f>
        <v/>
      </c>
      <c r="BR174" s="127" t="str">
        <f aca="false">IF(ISBLANK($C174),"",IF($BD174&lt;&gt;Constants!$B$6,$BD174,COUNTIFS($BI$9:$BI$508,"&lt;"&amp;$BI174)+COUNTIFS($BI$9:$BI$508,$BI174,$BK$9:$BK$508,"&lt;"&amp;$BK174)+COUNTIFS($BI$9:$BI$508,$BI174,$BK$9:$BK$508,$BK174,$BM$9:$BM$508,"&lt;"&amp;$BM174)+COUNTIFS($BI$9:$BI$508,$BI174,$BK$9:$BK$508,$BK174,$BM$9:$BM$508,$BM174,$BO$9:$BO$508,"&lt;"&amp;$BO174)+COUNTIFS($BI$9:$BI$508,$BI174,$BK$9:$BK$508,$BK174,$BM$9:$BM$508,$BM174,$BO$9:$BO$508,$BO174,$BQ$9:$BQ$508,"&lt;"&amp;$BQ174)+1))</f>
        <v/>
      </c>
      <c r="BS174" s="127" t="str">
        <f aca="false">IF(ISBLANK($C174),"",IF($BD174&lt;&gt;Constants!$B$6,$BD174,$BI174-$BR174))</f>
        <v/>
      </c>
      <c r="BT174" s="133"/>
      <c r="BU174" s="134"/>
      <c r="BV174" s="134" t="str">
        <f aca="false">IF(ISBLANK($C174),"",IF($BD174&lt;&gt;Constants!$B$6,"",IF($AU174="-&gt;",2,1)))</f>
        <v/>
      </c>
      <c r="BW174" s="135" t="str">
        <f aca="false">IF(ISBLANK($C174),"",IF($BD174&lt;&gt;Constants!$B$6,"",IF($AU174="-&gt;",$AW174,$AN174)))</f>
        <v/>
      </c>
      <c r="BX174" s="135" t="str">
        <f aca="false">IF(ISBLANK($C174),"",IF($BD174&lt;&gt;Constants!$B$6,"",IF($AU174="-&gt;",$AX174,$AO174)))</f>
        <v/>
      </c>
      <c r="BY174" s="135" t="str">
        <f aca="false">IF(ISBLANK($C174),"",IF($BD174&lt;&gt;Constants!$B$6,"",IF($AU174="-&gt;",$AY174,$AP174)))</f>
        <v/>
      </c>
      <c r="BZ174" s="135" t="str">
        <f aca="false">IF(ISBLANK($C174),"",IF($BD174&lt;&gt;Constants!$B$6,"",IF($AU174="-&gt;",$AZ174,$AQ174)+$BG174))</f>
        <v/>
      </c>
      <c r="CA174" s="136" t="str">
        <f aca="false">IF(ISBLANK($C174),"",IF($BD174&lt;&gt;Constants!$B$6,$BD174,$BH174))</f>
        <v/>
      </c>
      <c r="CB174" s="137" t="str">
        <f aca="false">IF(ISBLANK($C174),"",$BE174)</f>
        <v/>
      </c>
      <c r="CC174" s="138" t="str">
        <f aca="false">IF(ISBLANK($C174),"",$BS174)</f>
        <v/>
      </c>
      <c r="CD174" s="138" t="str">
        <f aca="false">IF(ISBLANK($C174),"",$BR174)</f>
        <v/>
      </c>
      <c r="CE174" s="139" t="str">
        <f aca="false">IF(ISBLANK($C174),"",IF($CD174=Constants!$B$9,COUNTA($C$9:$C$508)+2,IF($CD174=Constants!$B$8,COUNTA($C$9:$C$508)+1,IF($CD174=Constants!$B$7,COUNTA($C$9:$C$508),$CD174))))</f>
        <v/>
      </c>
      <c r="CF174" s="9"/>
      <c r="CG174" s="140" t="n">
        <f aca="false">IF(OR(ISNUMBER($CD174),$CD174=Constants!$B$9,$CD174=Constants!$B$7,$CD174=Constants!$B$8),1,0)</f>
        <v>0</v>
      </c>
      <c r="CH174" s="140" t="n">
        <v>166</v>
      </c>
      <c r="CI174" s="140" t="str">
        <f aca="false">IF(ISBLANK($C174),"",IF(ISNUMBER($CE174),$CE174+ROW($B174)/1000,""))</f>
        <v/>
      </c>
      <c r="CJ174" s="140" t="str">
        <f aca="false">IF(ISNUMBER($CI174),RANK($CI174,$CI$9:$CI$508,1),"")</f>
        <v/>
      </c>
      <c r="CK174" s="140" t="str">
        <f aca="false">IF(ISBLANK($C174),"",$B174)</f>
        <v/>
      </c>
      <c r="CL174" s="140" t="str">
        <f aca="false">IF(ISBLANK($C174),"",$C174)</f>
        <v/>
      </c>
      <c r="CM174" s="140" t="str">
        <f aca="false">IF(ISBLANK($C174),"",$D174)</f>
        <v/>
      </c>
      <c r="CN174" s="141" t="str">
        <f aca="false">$CB174</f>
        <v/>
      </c>
      <c r="CO174" s="142" t="str">
        <f aca="false">$CA174</f>
        <v/>
      </c>
      <c r="CP174" s="140" t="str">
        <f aca="false">IF(ISBLANK($C174),"",$CD174)</f>
        <v/>
      </c>
      <c r="CQ174" s="143" t="str">
        <f aca="false">IF($CH174&gt;$CG$8,"",VLOOKUP($CH174,$CJ$9:$CP$508,7,FALSE()))</f>
        <v/>
      </c>
      <c r="CR174" s="144" t="str">
        <f aca="false">IF($CH174&gt;$CG$8,"",VLOOKUP($CH174,$CJ$9:$CP$508,2,FALSE()))</f>
        <v/>
      </c>
      <c r="CS174" s="144" t="str">
        <f aca="false">IF($CH174&gt;$CG$8,"",VLOOKUP($CH174,$CJ$9:$CP$508,3,FALSE()))</f>
        <v/>
      </c>
      <c r="CT174" s="144" t="str">
        <f aca="false">IF($CH174&gt;$CG$8,"",VLOOKUP($CH174,$CJ$9:$CP$508,4,FALSE()))</f>
        <v/>
      </c>
      <c r="CU174" s="144" t="str">
        <f aca="false">IF($CH174&gt;$CG$8,"",VLOOKUP($CH174,$CJ$9:$CP$508,5,FALSE()))</f>
        <v/>
      </c>
      <c r="CV174" s="145" t="str">
        <f aca="false">IF($CH174&gt;$CG$8,"",VLOOKUP($CH174,$CJ$9:$CP$508,6,FALSE()))</f>
        <v/>
      </c>
      <c r="CW174" s="71"/>
    </row>
    <row r="175" customFormat="false" ht="15.75" hidden="false" customHeight="false" outlineLevel="0" collapsed="false">
      <c r="A175" s="9"/>
      <c r="B175" s="150"/>
      <c r="C175" s="151"/>
      <c r="D175" s="152"/>
      <c r="E175" s="170"/>
      <c r="F175" s="154"/>
      <c r="G175" s="155"/>
      <c r="H175" s="171"/>
      <c r="I175" s="159"/>
      <c r="J175" s="120"/>
      <c r="K175" s="121"/>
      <c r="L175" s="122"/>
      <c r="M175" s="158"/>
      <c r="N175" s="159"/>
      <c r="O175" s="159"/>
      <c r="P175" s="120"/>
      <c r="Q175" s="122"/>
      <c r="R175" s="122"/>
      <c r="S175" s="158"/>
      <c r="T175" s="159"/>
      <c r="U175" s="126"/>
      <c r="V175" s="127"/>
      <c r="W175" s="127" t="str">
        <f aca="false">IF(ISBLANK($C175),"",IF(E175=Constants!$B$2,TRUE(),IF(E175=Constants!$B$3,FALSE(),TRUE())))</f>
        <v/>
      </c>
      <c r="X175" s="127" t="str">
        <f aca="false">IF(ISBLANK($C175),"",IF(F175=Constants!$B$2,TRUE(),IF(F175=Constants!$B$3,FALSE(),TRUE())))</f>
        <v/>
      </c>
      <c r="Y175" s="127" t="str">
        <f aca="false">IF(ISBLANK($C175),"",IF(G175=Constants!$B$2,TRUE(),IF(G175=Constants!$B$3,FALSE(),TRUE())))</f>
        <v/>
      </c>
      <c r="Z175" s="127" t="str">
        <f aca="false">IF(ISBLANK($C175),"",IF(H175=Constants!$B$2,TRUE(),IF(H175=Constants!$B$3,FALSE(),TRUE())))</f>
        <v/>
      </c>
      <c r="AA175" s="127" t="str">
        <f aca="false">IF(ISBLANK($C175),"",IF(I175=Constants!$B$2,TRUE(),IF(I175=Constants!$B$3,FALSE(),TRUE())))</f>
        <v/>
      </c>
      <c r="AB175" s="127" t="str">
        <f aca="false">IF(ISBLANK($C175),"",IF(J175=Constants!$B$4,TRUE(),IF(J175=Constants!$B$5,FALSE(),COUNTA(K175:M175)&gt;0)))</f>
        <v/>
      </c>
      <c r="AC175" s="128" t="str">
        <f aca="false">IF(ISBLANK($C175),"",IF(ISNUMBER(K175),IF(K175&gt;=0,K175,""),""))</f>
        <v/>
      </c>
      <c r="AD175" s="129" t="str">
        <f aca="false">IF(ISBLANK($C175),"",IF(ISNUMBER(L175),IF(L175&gt;=0,L175,""),""))</f>
        <v/>
      </c>
      <c r="AE175" s="127" t="str">
        <f aca="false">IF(ISBLANK($C175),"",IF(ISNUMBER(M175),IF(M175&gt;=0,MIN(M175,Constants!$B$22),""),""))</f>
        <v/>
      </c>
      <c r="AF175" s="127" t="str">
        <f aca="false">IF(ISBLANK($C175),"",IF(N175=Constants!$B$2,TRUE(),IF(N175=Constants!$B$3,FALSE(),TRUE())))</f>
        <v/>
      </c>
      <c r="AG175" s="127" t="str">
        <f aca="false">IF(ISBLANK($C175),"",IF(O175=Constants!$B$2,TRUE(),IF(O175=Constants!$B$3,FALSE(),TRUE())))</f>
        <v/>
      </c>
      <c r="AH175" s="127" t="str">
        <f aca="false">IF(ISBLANK($C175),"",IF(P175=Constants!$B$4,TRUE(),IF(P175=Constants!$B$5,FALSE(),COUNTA(Q175:S175)&gt;0)))</f>
        <v/>
      </c>
      <c r="AI175" s="128" t="str">
        <f aca="false">IF(ISBLANK($C175),"",IF(ISNUMBER(Q175),IF(Q175&gt;=0,Q175,""),""))</f>
        <v/>
      </c>
      <c r="AJ175" s="129" t="str">
        <f aca="false">IF(ISBLANK($C175),"",IF(ISNUMBER(R175),IF(R175&gt;=0,R175,""),""))</f>
        <v/>
      </c>
      <c r="AK175" s="127" t="str">
        <f aca="false">IF(ISBLANK($C175),"",IF(ISNUMBER(S175),IF(S175&gt;=0,MIN(S175,Constants!$B$22),""),""))</f>
        <v/>
      </c>
      <c r="AL175" s="127" t="str">
        <f aca="false">IF(ISBLANK($C175),"",IF(T175=Constants!$B$2,TRUE(),IF(T175=Constants!$B$3,FALSE(),FALSE())))</f>
        <v/>
      </c>
      <c r="AM175" s="126" t="str">
        <f aca="false">IF(ISBLANK($C175),"",AND($AB175,OR($AC175="",$AD175="",AND(NOT(ISBLANK($M175)),$AE175=""))))</f>
        <v/>
      </c>
      <c r="AN175" s="129" t="str">
        <f aca="false">IF($BD175&lt;&gt;Constants!$B$6,"",IF($AB175,Constants!$B$17*$AD175,Constants!$B$18))</f>
        <v/>
      </c>
      <c r="AO175" s="130" t="str">
        <f aca="false">IF($BD175&lt;&gt;Constants!$B$6,"",Constants!$B$19*IF($AB175,$AC175,0))</f>
        <v/>
      </c>
      <c r="AP175" s="130" t="str">
        <f aca="false">IF($BD175&lt;&gt;Constants!$B$6,"",IF(AND($AB175,ISNUMBER($AE175)),Constants!$B$20*(Constants!$B$21-$AE175),0))</f>
        <v/>
      </c>
      <c r="AQ175" s="130" t="str">
        <f aca="false">IF($BD175&lt;&gt;Constants!$B$6,"",IF($AA175,0,Constants!$B$12)+IF($Z175,0,Constants!$B$13)+IF($Y175,0,Constants!$B$14))</f>
        <v/>
      </c>
      <c r="AR175" s="131" t="str">
        <f aca="false">IF($BD175&lt;&gt;Constants!$B$6,"",Constants!$B$16+SUM($AN175:$AQ175))</f>
        <v/>
      </c>
      <c r="AS175" s="130" t="str">
        <f aca="false">IF($BD175&lt;&gt;Constants!$B$6,"",IF($AB175,$AD175,""))</f>
        <v/>
      </c>
      <c r="AT175" s="132" t="str">
        <f aca="false">IF($BD175&lt;&gt;Constants!$B$6,"",$AO175)</f>
        <v/>
      </c>
      <c r="AU175" s="127" t="str">
        <f aca="false">IF($BD175&lt;&gt;Constants!$B$6,"",IF(OR($BA175&lt;$AR175,AND($BA175=$AR175,OR(AND(ISNUMBER($BB175),OR(NOT(ISNUMBER($AS175)),$BB175&lt;$AS175)),AND(OR(AND($BB175="",$AS175=""),AND(ISNUMBER($BB175),ISNUMBER($AS175),$BB175=$AS175)),$BC175&lt;$AT175)))),"-&gt;","&lt;-"))</f>
        <v/>
      </c>
      <c r="AV175" s="126" t="str">
        <f aca="false">IF(ISBLANK($C175),"",AND($AH175,OR($AI175="",$AJ175="",AND(NOT(ISBLANK($S175)),$AK175=""))))</f>
        <v/>
      </c>
      <c r="AW175" s="129" t="str">
        <f aca="false">IF($BD175&lt;&gt;Constants!$B$6,"",IF($AH175,Constants!$B$17*$AJ175,Constants!$B$18))</f>
        <v/>
      </c>
      <c r="AX175" s="130" t="str">
        <f aca="false">IF($BD175&lt;&gt;Constants!$B$6,"",Constants!$B$19*IF($AH175,$AI175,0))</f>
        <v/>
      </c>
      <c r="AY175" s="130" t="str">
        <f aca="false">IF($BD175&lt;&gt;Constants!$B$6,"",IF(AND($AH175,ISNUMBER($AK175)),Constants!$B$20*(Constants!$B$21-$AK175),0))</f>
        <v/>
      </c>
      <c r="AZ175" s="130" t="str">
        <f aca="false">IF($BD175&lt;&gt;Constants!$B$6,"",IF($AG175,0,Constants!$B$12)+IF($AF175,0,Constants!$B$13)+IF($Y175,0,Constants!$B$14))</f>
        <v/>
      </c>
      <c r="BA175" s="131" t="str">
        <f aca="false">IF($BD175&lt;&gt;Constants!$B$6,"",Constants!$B$16+SUM($AW175:$AZ175))</f>
        <v/>
      </c>
      <c r="BB175" s="130" t="str">
        <f aca="false">IF($BD175&lt;&gt;Constants!$B$6,"",IF($AH175,$AJ175,""))</f>
        <v/>
      </c>
      <c r="BC175" s="132" t="str">
        <f aca="false">IF($BD175&lt;&gt;Constants!$B$6,"",$AX175)</f>
        <v/>
      </c>
      <c r="BD175" s="127" t="str">
        <f aca="false">IF(ISBLANK($C175),"",IF($AL175,Constants!$B$9,IF(COUNTA($E175:$T175)=0,Constants!$B$8,IF(NOT($X175),Constants!$B$7,IF(OR($AM175,$AV175),Constants!$B$10,Constants!$B$6)))))</f>
        <v/>
      </c>
      <c r="BE175" s="127" t="str">
        <f aca="false">IF(ISBLANK($C175),"",IF($BD175&lt;&gt;Constants!$B$6,$BD175,Constants!$B$11))</f>
        <v/>
      </c>
      <c r="BF175" s="130" t="str">
        <f aca="false">IF($BD175&lt;&gt;Constants!$B$6,"",IF($AU175="-&gt;",$BA175,$AR175))</f>
        <v/>
      </c>
      <c r="BG175" s="130" t="str">
        <f aca="false">IF($BD175&lt;&gt;Constants!$B$6,"",IF($W175,0,Constants!$B$15))</f>
        <v/>
      </c>
      <c r="BH175" s="130" t="str">
        <f aca="false">IF(ISBLANK($C175),"",IF($BD175&lt;&gt;Constants!$B$6,$BD175,SUM($BF175:$BG175)))</f>
        <v/>
      </c>
      <c r="BI175" s="127" t="str">
        <f aca="false">IF(ISBLANK($C175),"",IF($BD175&lt;&gt;Constants!$B$6,$BD175,RANK($BH175,$BH$9:$BH$508,1)))</f>
        <v/>
      </c>
      <c r="BJ175" s="130" t="str">
        <f aca="false">IF($BD175&lt;&gt;Constants!$B$6,"",IF($AU175="-&gt;",$BB175,$AS175))</f>
        <v/>
      </c>
      <c r="BK175" s="127" t="str">
        <f aca="false">IF(ISBLANK($C175),"",IF($BD175&lt;&gt;Constants!$B$6,$BD175,IF(ISNUMBER($BJ175),RANK($BJ175,$BJ$9:$BJ$508,1),COUNT($BJ$9:$BJ$508)+1)))</f>
        <v/>
      </c>
      <c r="BL175" s="130" t="str">
        <f aca="false">IF($BD175&lt;&gt;Constants!$B$6,"",IF($AU175="-&gt;",$BC175,$AT175))</f>
        <v/>
      </c>
      <c r="BM175" s="127" t="str">
        <f aca="false">IF(ISBLANK($C175),"",IF($BD175&lt;&gt;Constants!$B$6,$BD175,IF(ISNUMBER($BL175),RANK($BL175,$BL$9:$BL$508,1),COUNT($BL$9:$BL$508)+1)))</f>
        <v/>
      </c>
      <c r="BN175" s="130" t="str">
        <f aca="false">IF($BD175&lt;&gt;Constants!$B$6,"",IF($AU175="-&gt;",$AS175,$BB175))</f>
        <v/>
      </c>
      <c r="BO175" s="127" t="str">
        <f aca="false">IF(ISBLANK($C175),"",IF($BD175&lt;&gt;Constants!$B$6,$BD175,IF(ISNUMBER($BN175),RANK($BN175,$BN$9:$BN$508,1),COUNT($BN$9:$BN$508)+1)))</f>
        <v/>
      </c>
      <c r="BP175" s="130" t="str">
        <f aca="false">IF($BD175&lt;&gt;Constants!$B$6,"",IF($AU175="-&gt;",$AT175,$BC175))</f>
        <v/>
      </c>
      <c r="BQ175" s="127" t="str">
        <f aca="false">IF(ISBLANK($C175),"",IF($BD175&lt;&gt;Constants!$B$6,$BD175,IF(ISNUMBER($BP175),RANK($BP175,$BP$9:$BP$508,1),COUNT($BP$9:$BP$508)+1)))</f>
        <v/>
      </c>
      <c r="BR175" s="127" t="str">
        <f aca="false">IF(ISBLANK($C175),"",IF($BD175&lt;&gt;Constants!$B$6,$BD175,COUNTIFS($BI$9:$BI$508,"&lt;"&amp;$BI175)+COUNTIFS($BI$9:$BI$508,$BI175,$BK$9:$BK$508,"&lt;"&amp;$BK175)+COUNTIFS($BI$9:$BI$508,$BI175,$BK$9:$BK$508,$BK175,$BM$9:$BM$508,"&lt;"&amp;$BM175)+COUNTIFS($BI$9:$BI$508,$BI175,$BK$9:$BK$508,$BK175,$BM$9:$BM$508,$BM175,$BO$9:$BO$508,"&lt;"&amp;$BO175)+COUNTIFS($BI$9:$BI$508,$BI175,$BK$9:$BK$508,$BK175,$BM$9:$BM$508,$BM175,$BO$9:$BO$508,$BO175,$BQ$9:$BQ$508,"&lt;"&amp;$BQ175)+1))</f>
        <v/>
      </c>
      <c r="BS175" s="127" t="str">
        <f aca="false">IF(ISBLANK($C175),"",IF($BD175&lt;&gt;Constants!$B$6,$BD175,$BI175-$BR175))</f>
        <v/>
      </c>
      <c r="BT175" s="133"/>
      <c r="BU175" s="134"/>
      <c r="BV175" s="134" t="str">
        <f aca="false">IF(ISBLANK($C175),"",IF($BD175&lt;&gt;Constants!$B$6,"",IF($AU175="-&gt;",2,1)))</f>
        <v/>
      </c>
      <c r="BW175" s="135" t="str">
        <f aca="false">IF(ISBLANK($C175),"",IF($BD175&lt;&gt;Constants!$B$6,"",IF($AU175="-&gt;",$AW175,$AN175)))</f>
        <v/>
      </c>
      <c r="BX175" s="135" t="str">
        <f aca="false">IF(ISBLANK($C175),"",IF($BD175&lt;&gt;Constants!$B$6,"",IF($AU175="-&gt;",$AX175,$AO175)))</f>
        <v/>
      </c>
      <c r="BY175" s="135" t="str">
        <f aca="false">IF(ISBLANK($C175),"",IF($BD175&lt;&gt;Constants!$B$6,"",IF($AU175="-&gt;",$AY175,$AP175)))</f>
        <v/>
      </c>
      <c r="BZ175" s="135" t="str">
        <f aca="false">IF(ISBLANK($C175),"",IF($BD175&lt;&gt;Constants!$B$6,"",IF($AU175="-&gt;",$AZ175,$AQ175)+$BG175))</f>
        <v/>
      </c>
      <c r="CA175" s="136" t="str">
        <f aca="false">IF(ISBLANK($C175),"",IF($BD175&lt;&gt;Constants!$B$6,$BD175,$BH175))</f>
        <v/>
      </c>
      <c r="CB175" s="137" t="str">
        <f aca="false">IF(ISBLANK($C175),"",$BE175)</f>
        <v/>
      </c>
      <c r="CC175" s="138" t="str">
        <f aca="false">IF(ISBLANK($C175),"",$BS175)</f>
        <v/>
      </c>
      <c r="CD175" s="138" t="str">
        <f aca="false">IF(ISBLANK($C175),"",$BR175)</f>
        <v/>
      </c>
      <c r="CE175" s="139" t="str">
        <f aca="false">IF(ISBLANK($C175),"",IF($CD175=Constants!$B$9,COUNTA($C$9:$C$508)+2,IF($CD175=Constants!$B$8,COUNTA($C$9:$C$508)+1,IF($CD175=Constants!$B$7,COUNTA($C$9:$C$508),$CD175))))</f>
        <v/>
      </c>
      <c r="CF175" s="9"/>
      <c r="CG175" s="140" t="n">
        <f aca="false">IF(OR(ISNUMBER($CD175),$CD175=Constants!$B$9,$CD175=Constants!$B$7,$CD175=Constants!$B$8),1,0)</f>
        <v>0</v>
      </c>
      <c r="CH175" s="140" t="n">
        <v>167</v>
      </c>
      <c r="CI175" s="140" t="str">
        <f aca="false">IF(ISBLANK($C175),"",IF(ISNUMBER($CE175),$CE175+ROW($B175)/1000,""))</f>
        <v/>
      </c>
      <c r="CJ175" s="140" t="str">
        <f aca="false">IF(ISNUMBER($CI175),RANK($CI175,$CI$9:$CI$508,1),"")</f>
        <v/>
      </c>
      <c r="CK175" s="140" t="str">
        <f aca="false">IF(ISBLANK($C175),"",$B175)</f>
        <v/>
      </c>
      <c r="CL175" s="140" t="str">
        <f aca="false">IF(ISBLANK($C175),"",$C175)</f>
        <v/>
      </c>
      <c r="CM175" s="140" t="str">
        <f aca="false">IF(ISBLANK($C175),"",$D175)</f>
        <v/>
      </c>
      <c r="CN175" s="141" t="str">
        <f aca="false">$CB175</f>
        <v/>
      </c>
      <c r="CO175" s="142" t="str">
        <f aca="false">$CA175</f>
        <v/>
      </c>
      <c r="CP175" s="140" t="str">
        <f aca="false">IF(ISBLANK($C175),"",$CD175)</f>
        <v/>
      </c>
      <c r="CQ175" s="143" t="str">
        <f aca="false">IF($CH175&gt;$CG$8,"",VLOOKUP($CH175,$CJ$9:$CP$508,7,FALSE()))</f>
        <v/>
      </c>
      <c r="CR175" s="144" t="str">
        <f aca="false">IF($CH175&gt;$CG$8,"",VLOOKUP($CH175,$CJ$9:$CP$508,2,FALSE()))</f>
        <v/>
      </c>
      <c r="CS175" s="144" t="str">
        <f aca="false">IF($CH175&gt;$CG$8,"",VLOOKUP($CH175,$CJ$9:$CP$508,3,FALSE()))</f>
        <v/>
      </c>
      <c r="CT175" s="144" t="str">
        <f aca="false">IF($CH175&gt;$CG$8,"",VLOOKUP($CH175,$CJ$9:$CP$508,4,FALSE()))</f>
        <v/>
      </c>
      <c r="CU175" s="144" t="str">
        <f aca="false">IF($CH175&gt;$CG$8,"",VLOOKUP($CH175,$CJ$9:$CP$508,5,FALSE()))</f>
        <v/>
      </c>
      <c r="CV175" s="145" t="str">
        <f aca="false">IF($CH175&gt;$CG$8,"",VLOOKUP($CH175,$CJ$9:$CP$508,6,FALSE()))</f>
        <v/>
      </c>
      <c r="CW175" s="71"/>
    </row>
    <row r="176" customFormat="false" ht="15.75" hidden="false" customHeight="false" outlineLevel="0" collapsed="false">
      <c r="A176" s="9"/>
      <c r="B176" s="150"/>
      <c r="C176" s="151"/>
      <c r="D176" s="152"/>
      <c r="E176" s="170"/>
      <c r="F176" s="154"/>
      <c r="G176" s="155"/>
      <c r="H176" s="171"/>
      <c r="I176" s="159"/>
      <c r="J176" s="120"/>
      <c r="K176" s="121"/>
      <c r="L176" s="122"/>
      <c r="M176" s="158"/>
      <c r="N176" s="159"/>
      <c r="O176" s="159"/>
      <c r="P176" s="120"/>
      <c r="Q176" s="122"/>
      <c r="R176" s="122"/>
      <c r="S176" s="158"/>
      <c r="T176" s="159"/>
      <c r="U176" s="126"/>
      <c r="V176" s="127"/>
      <c r="W176" s="127" t="str">
        <f aca="false">IF(ISBLANK($C176),"",IF(E176=Constants!$B$2,TRUE(),IF(E176=Constants!$B$3,FALSE(),TRUE())))</f>
        <v/>
      </c>
      <c r="X176" s="127" t="str">
        <f aca="false">IF(ISBLANK($C176),"",IF(F176=Constants!$B$2,TRUE(),IF(F176=Constants!$B$3,FALSE(),TRUE())))</f>
        <v/>
      </c>
      <c r="Y176" s="127" t="str">
        <f aca="false">IF(ISBLANK($C176),"",IF(G176=Constants!$B$2,TRUE(),IF(G176=Constants!$B$3,FALSE(),TRUE())))</f>
        <v/>
      </c>
      <c r="Z176" s="127" t="str">
        <f aca="false">IF(ISBLANK($C176),"",IF(H176=Constants!$B$2,TRUE(),IF(H176=Constants!$B$3,FALSE(),TRUE())))</f>
        <v/>
      </c>
      <c r="AA176" s="127" t="str">
        <f aca="false">IF(ISBLANK($C176),"",IF(I176=Constants!$B$2,TRUE(),IF(I176=Constants!$B$3,FALSE(),TRUE())))</f>
        <v/>
      </c>
      <c r="AB176" s="127" t="str">
        <f aca="false">IF(ISBLANK($C176),"",IF(J176=Constants!$B$4,TRUE(),IF(J176=Constants!$B$5,FALSE(),COUNTA(K176:M176)&gt;0)))</f>
        <v/>
      </c>
      <c r="AC176" s="128" t="str">
        <f aca="false">IF(ISBLANK($C176),"",IF(ISNUMBER(K176),IF(K176&gt;=0,K176,""),""))</f>
        <v/>
      </c>
      <c r="AD176" s="129" t="str">
        <f aca="false">IF(ISBLANK($C176),"",IF(ISNUMBER(L176),IF(L176&gt;=0,L176,""),""))</f>
        <v/>
      </c>
      <c r="AE176" s="127" t="str">
        <f aca="false">IF(ISBLANK($C176),"",IF(ISNUMBER(M176),IF(M176&gt;=0,MIN(M176,Constants!$B$22),""),""))</f>
        <v/>
      </c>
      <c r="AF176" s="127" t="str">
        <f aca="false">IF(ISBLANK($C176),"",IF(N176=Constants!$B$2,TRUE(),IF(N176=Constants!$B$3,FALSE(),TRUE())))</f>
        <v/>
      </c>
      <c r="AG176" s="127" t="str">
        <f aca="false">IF(ISBLANK($C176),"",IF(O176=Constants!$B$2,TRUE(),IF(O176=Constants!$B$3,FALSE(),TRUE())))</f>
        <v/>
      </c>
      <c r="AH176" s="127" t="str">
        <f aca="false">IF(ISBLANK($C176),"",IF(P176=Constants!$B$4,TRUE(),IF(P176=Constants!$B$5,FALSE(),COUNTA(Q176:S176)&gt;0)))</f>
        <v/>
      </c>
      <c r="AI176" s="128" t="str">
        <f aca="false">IF(ISBLANK($C176),"",IF(ISNUMBER(Q176),IF(Q176&gt;=0,Q176,""),""))</f>
        <v/>
      </c>
      <c r="AJ176" s="129" t="str">
        <f aca="false">IF(ISBLANK($C176),"",IF(ISNUMBER(R176),IF(R176&gt;=0,R176,""),""))</f>
        <v/>
      </c>
      <c r="AK176" s="127" t="str">
        <f aca="false">IF(ISBLANK($C176),"",IF(ISNUMBER(S176),IF(S176&gt;=0,MIN(S176,Constants!$B$22),""),""))</f>
        <v/>
      </c>
      <c r="AL176" s="127" t="str">
        <f aca="false">IF(ISBLANK($C176),"",IF(T176=Constants!$B$2,TRUE(),IF(T176=Constants!$B$3,FALSE(),FALSE())))</f>
        <v/>
      </c>
      <c r="AM176" s="126" t="str">
        <f aca="false">IF(ISBLANK($C176),"",AND($AB176,OR($AC176="",$AD176="",AND(NOT(ISBLANK($M176)),$AE176=""))))</f>
        <v/>
      </c>
      <c r="AN176" s="129" t="str">
        <f aca="false">IF($BD176&lt;&gt;Constants!$B$6,"",IF($AB176,Constants!$B$17*$AD176,Constants!$B$18))</f>
        <v/>
      </c>
      <c r="AO176" s="130" t="str">
        <f aca="false">IF($BD176&lt;&gt;Constants!$B$6,"",Constants!$B$19*IF($AB176,$AC176,0))</f>
        <v/>
      </c>
      <c r="AP176" s="130" t="str">
        <f aca="false">IF($BD176&lt;&gt;Constants!$B$6,"",IF(AND($AB176,ISNUMBER($AE176)),Constants!$B$20*(Constants!$B$21-$AE176),0))</f>
        <v/>
      </c>
      <c r="AQ176" s="130" t="str">
        <f aca="false">IF($BD176&lt;&gt;Constants!$B$6,"",IF($AA176,0,Constants!$B$12)+IF($Z176,0,Constants!$B$13)+IF($Y176,0,Constants!$B$14))</f>
        <v/>
      </c>
      <c r="AR176" s="131" t="str">
        <f aca="false">IF($BD176&lt;&gt;Constants!$B$6,"",Constants!$B$16+SUM($AN176:$AQ176))</f>
        <v/>
      </c>
      <c r="AS176" s="130" t="str">
        <f aca="false">IF($BD176&lt;&gt;Constants!$B$6,"",IF($AB176,$AD176,""))</f>
        <v/>
      </c>
      <c r="AT176" s="132" t="str">
        <f aca="false">IF($BD176&lt;&gt;Constants!$B$6,"",$AO176)</f>
        <v/>
      </c>
      <c r="AU176" s="127" t="str">
        <f aca="false">IF($BD176&lt;&gt;Constants!$B$6,"",IF(OR($BA176&lt;$AR176,AND($BA176=$AR176,OR(AND(ISNUMBER($BB176),OR(NOT(ISNUMBER($AS176)),$BB176&lt;$AS176)),AND(OR(AND($BB176="",$AS176=""),AND(ISNUMBER($BB176),ISNUMBER($AS176),$BB176=$AS176)),$BC176&lt;$AT176)))),"-&gt;","&lt;-"))</f>
        <v/>
      </c>
      <c r="AV176" s="126" t="str">
        <f aca="false">IF(ISBLANK($C176),"",AND($AH176,OR($AI176="",$AJ176="",AND(NOT(ISBLANK($S176)),$AK176=""))))</f>
        <v/>
      </c>
      <c r="AW176" s="129" t="str">
        <f aca="false">IF($BD176&lt;&gt;Constants!$B$6,"",IF($AH176,Constants!$B$17*$AJ176,Constants!$B$18))</f>
        <v/>
      </c>
      <c r="AX176" s="130" t="str">
        <f aca="false">IF($BD176&lt;&gt;Constants!$B$6,"",Constants!$B$19*IF($AH176,$AI176,0))</f>
        <v/>
      </c>
      <c r="AY176" s="130" t="str">
        <f aca="false">IF($BD176&lt;&gt;Constants!$B$6,"",IF(AND($AH176,ISNUMBER($AK176)),Constants!$B$20*(Constants!$B$21-$AK176),0))</f>
        <v/>
      </c>
      <c r="AZ176" s="130" t="str">
        <f aca="false">IF($BD176&lt;&gt;Constants!$B$6,"",IF($AG176,0,Constants!$B$12)+IF($AF176,0,Constants!$B$13)+IF($Y176,0,Constants!$B$14))</f>
        <v/>
      </c>
      <c r="BA176" s="131" t="str">
        <f aca="false">IF($BD176&lt;&gt;Constants!$B$6,"",Constants!$B$16+SUM($AW176:$AZ176))</f>
        <v/>
      </c>
      <c r="BB176" s="130" t="str">
        <f aca="false">IF($BD176&lt;&gt;Constants!$B$6,"",IF($AH176,$AJ176,""))</f>
        <v/>
      </c>
      <c r="BC176" s="132" t="str">
        <f aca="false">IF($BD176&lt;&gt;Constants!$B$6,"",$AX176)</f>
        <v/>
      </c>
      <c r="BD176" s="127" t="str">
        <f aca="false">IF(ISBLANK($C176),"",IF($AL176,Constants!$B$9,IF(COUNTA($E176:$T176)=0,Constants!$B$8,IF(NOT($X176),Constants!$B$7,IF(OR($AM176,$AV176),Constants!$B$10,Constants!$B$6)))))</f>
        <v/>
      </c>
      <c r="BE176" s="127" t="str">
        <f aca="false">IF(ISBLANK($C176),"",IF($BD176&lt;&gt;Constants!$B$6,$BD176,Constants!$B$11))</f>
        <v/>
      </c>
      <c r="BF176" s="130" t="str">
        <f aca="false">IF($BD176&lt;&gt;Constants!$B$6,"",IF($AU176="-&gt;",$BA176,$AR176))</f>
        <v/>
      </c>
      <c r="BG176" s="130" t="str">
        <f aca="false">IF($BD176&lt;&gt;Constants!$B$6,"",IF($W176,0,Constants!$B$15))</f>
        <v/>
      </c>
      <c r="BH176" s="130" t="str">
        <f aca="false">IF(ISBLANK($C176),"",IF($BD176&lt;&gt;Constants!$B$6,$BD176,SUM($BF176:$BG176)))</f>
        <v/>
      </c>
      <c r="BI176" s="127" t="str">
        <f aca="false">IF(ISBLANK($C176),"",IF($BD176&lt;&gt;Constants!$B$6,$BD176,RANK($BH176,$BH$9:$BH$508,1)))</f>
        <v/>
      </c>
      <c r="BJ176" s="130" t="str">
        <f aca="false">IF($BD176&lt;&gt;Constants!$B$6,"",IF($AU176="-&gt;",$BB176,$AS176))</f>
        <v/>
      </c>
      <c r="BK176" s="127" t="str">
        <f aca="false">IF(ISBLANK($C176),"",IF($BD176&lt;&gt;Constants!$B$6,$BD176,IF(ISNUMBER($BJ176),RANK($BJ176,$BJ$9:$BJ$508,1),COUNT($BJ$9:$BJ$508)+1)))</f>
        <v/>
      </c>
      <c r="BL176" s="130" t="str">
        <f aca="false">IF($BD176&lt;&gt;Constants!$B$6,"",IF($AU176="-&gt;",$BC176,$AT176))</f>
        <v/>
      </c>
      <c r="BM176" s="127" t="str">
        <f aca="false">IF(ISBLANK($C176),"",IF($BD176&lt;&gt;Constants!$B$6,$BD176,IF(ISNUMBER($BL176),RANK($BL176,$BL$9:$BL$508,1),COUNT($BL$9:$BL$508)+1)))</f>
        <v/>
      </c>
      <c r="BN176" s="130" t="str">
        <f aca="false">IF($BD176&lt;&gt;Constants!$B$6,"",IF($AU176="-&gt;",$AS176,$BB176))</f>
        <v/>
      </c>
      <c r="BO176" s="127" t="str">
        <f aca="false">IF(ISBLANK($C176),"",IF($BD176&lt;&gt;Constants!$B$6,$BD176,IF(ISNUMBER($BN176),RANK($BN176,$BN$9:$BN$508,1),COUNT($BN$9:$BN$508)+1)))</f>
        <v/>
      </c>
      <c r="BP176" s="130" t="str">
        <f aca="false">IF($BD176&lt;&gt;Constants!$B$6,"",IF($AU176="-&gt;",$AT176,$BC176))</f>
        <v/>
      </c>
      <c r="BQ176" s="127" t="str">
        <f aca="false">IF(ISBLANK($C176),"",IF($BD176&lt;&gt;Constants!$B$6,$BD176,IF(ISNUMBER($BP176),RANK($BP176,$BP$9:$BP$508,1),COUNT($BP$9:$BP$508)+1)))</f>
        <v/>
      </c>
      <c r="BR176" s="127" t="str">
        <f aca="false">IF(ISBLANK($C176),"",IF($BD176&lt;&gt;Constants!$B$6,$BD176,COUNTIFS($BI$9:$BI$508,"&lt;"&amp;$BI176)+COUNTIFS($BI$9:$BI$508,$BI176,$BK$9:$BK$508,"&lt;"&amp;$BK176)+COUNTIFS($BI$9:$BI$508,$BI176,$BK$9:$BK$508,$BK176,$BM$9:$BM$508,"&lt;"&amp;$BM176)+COUNTIFS($BI$9:$BI$508,$BI176,$BK$9:$BK$508,$BK176,$BM$9:$BM$508,$BM176,$BO$9:$BO$508,"&lt;"&amp;$BO176)+COUNTIFS($BI$9:$BI$508,$BI176,$BK$9:$BK$508,$BK176,$BM$9:$BM$508,$BM176,$BO$9:$BO$508,$BO176,$BQ$9:$BQ$508,"&lt;"&amp;$BQ176)+1))</f>
        <v/>
      </c>
      <c r="BS176" s="127" t="str">
        <f aca="false">IF(ISBLANK($C176),"",IF($BD176&lt;&gt;Constants!$B$6,$BD176,$BI176-$BR176))</f>
        <v/>
      </c>
      <c r="BT176" s="133"/>
      <c r="BU176" s="134"/>
      <c r="BV176" s="134" t="str">
        <f aca="false">IF(ISBLANK($C176),"",IF($BD176&lt;&gt;Constants!$B$6,"",IF($AU176="-&gt;",2,1)))</f>
        <v/>
      </c>
      <c r="BW176" s="135" t="str">
        <f aca="false">IF(ISBLANK($C176),"",IF($BD176&lt;&gt;Constants!$B$6,"",IF($AU176="-&gt;",$AW176,$AN176)))</f>
        <v/>
      </c>
      <c r="BX176" s="135" t="str">
        <f aca="false">IF(ISBLANK($C176),"",IF($BD176&lt;&gt;Constants!$B$6,"",IF($AU176="-&gt;",$AX176,$AO176)))</f>
        <v/>
      </c>
      <c r="BY176" s="135" t="str">
        <f aca="false">IF(ISBLANK($C176),"",IF($BD176&lt;&gt;Constants!$B$6,"",IF($AU176="-&gt;",$AY176,$AP176)))</f>
        <v/>
      </c>
      <c r="BZ176" s="135" t="str">
        <f aca="false">IF(ISBLANK($C176),"",IF($BD176&lt;&gt;Constants!$B$6,"",IF($AU176="-&gt;",$AZ176,$AQ176)+$BG176))</f>
        <v/>
      </c>
      <c r="CA176" s="136" t="str">
        <f aca="false">IF(ISBLANK($C176),"",IF($BD176&lt;&gt;Constants!$B$6,$BD176,$BH176))</f>
        <v/>
      </c>
      <c r="CB176" s="137" t="str">
        <f aca="false">IF(ISBLANK($C176),"",$BE176)</f>
        <v/>
      </c>
      <c r="CC176" s="138" t="str">
        <f aca="false">IF(ISBLANK($C176),"",$BS176)</f>
        <v/>
      </c>
      <c r="CD176" s="138" t="str">
        <f aca="false">IF(ISBLANK($C176),"",$BR176)</f>
        <v/>
      </c>
      <c r="CE176" s="139" t="str">
        <f aca="false">IF(ISBLANK($C176),"",IF($CD176=Constants!$B$9,COUNTA($C$9:$C$508)+2,IF($CD176=Constants!$B$8,COUNTA($C$9:$C$508)+1,IF($CD176=Constants!$B$7,COUNTA($C$9:$C$508),$CD176))))</f>
        <v/>
      </c>
      <c r="CF176" s="9"/>
      <c r="CG176" s="140" t="n">
        <f aca="false">IF(OR(ISNUMBER($CD176),$CD176=Constants!$B$9,$CD176=Constants!$B$7,$CD176=Constants!$B$8),1,0)</f>
        <v>0</v>
      </c>
      <c r="CH176" s="140" t="n">
        <v>168</v>
      </c>
      <c r="CI176" s="140" t="str">
        <f aca="false">IF(ISBLANK($C176),"",IF(ISNUMBER($CE176),$CE176+ROW($B176)/1000,""))</f>
        <v/>
      </c>
      <c r="CJ176" s="140" t="str">
        <f aca="false">IF(ISNUMBER($CI176),RANK($CI176,$CI$9:$CI$508,1),"")</f>
        <v/>
      </c>
      <c r="CK176" s="140" t="str">
        <f aca="false">IF(ISBLANK($C176),"",$B176)</f>
        <v/>
      </c>
      <c r="CL176" s="140" t="str">
        <f aca="false">IF(ISBLANK($C176),"",$C176)</f>
        <v/>
      </c>
      <c r="CM176" s="140" t="str">
        <f aca="false">IF(ISBLANK($C176),"",$D176)</f>
        <v/>
      </c>
      <c r="CN176" s="141" t="str">
        <f aca="false">$CB176</f>
        <v/>
      </c>
      <c r="CO176" s="142" t="str">
        <f aca="false">$CA176</f>
        <v/>
      </c>
      <c r="CP176" s="140" t="str">
        <f aca="false">IF(ISBLANK($C176),"",$CD176)</f>
        <v/>
      </c>
      <c r="CQ176" s="143" t="str">
        <f aca="false">IF($CH176&gt;$CG$8,"",VLOOKUP($CH176,$CJ$9:$CP$508,7,FALSE()))</f>
        <v/>
      </c>
      <c r="CR176" s="144" t="str">
        <f aca="false">IF($CH176&gt;$CG$8,"",VLOOKUP($CH176,$CJ$9:$CP$508,2,FALSE()))</f>
        <v/>
      </c>
      <c r="CS176" s="144" t="str">
        <f aca="false">IF($CH176&gt;$CG$8,"",VLOOKUP($CH176,$CJ$9:$CP$508,3,FALSE()))</f>
        <v/>
      </c>
      <c r="CT176" s="144" t="str">
        <f aca="false">IF($CH176&gt;$CG$8,"",VLOOKUP($CH176,$CJ$9:$CP$508,4,FALSE()))</f>
        <v/>
      </c>
      <c r="CU176" s="144" t="str">
        <f aca="false">IF($CH176&gt;$CG$8,"",VLOOKUP($CH176,$CJ$9:$CP$508,5,FALSE()))</f>
        <v/>
      </c>
      <c r="CV176" s="145" t="str">
        <f aca="false">IF($CH176&gt;$CG$8,"",VLOOKUP($CH176,$CJ$9:$CP$508,6,FALSE()))</f>
        <v/>
      </c>
      <c r="CW176" s="71"/>
    </row>
    <row r="177" customFormat="false" ht="15.75" hidden="false" customHeight="false" outlineLevel="0" collapsed="false">
      <c r="A177" s="9"/>
      <c r="B177" s="72"/>
      <c r="C177" s="73"/>
      <c r="D177" s="160"/>
      <c r="E177" s="168"/>
      <c r="F177" s="162"/>
      <c r="G177" s="163"/>
      <c r="H177" s="169"/>
      <c r="I177" s="167"/>
      <c r="J177" s="80"/>
      <c r="K177" s="81"/>
      <c r="L177" s="82"/>
      <c r="M177" s="166"/>
      <c r="N177" s="167"/>
      <c r="O177" s="167"/>
      <c r="P177" s="80"/>
      <c r="Q177" s="82"/>
      <c r="R177" s="82"/>
      <c r="S177" s="166"/>
      <c r="T177" s="167"/>
      <c r="U177" s="86"/>
      <c r="V177" s="87"/>
      <c r="W177" s="87" t="str">
        <f aca="false">IF(ISBLANK($C177),"",IF(E177=Constants!$B$2,TRUE(),IF(E177=Constants!$B$3,FALSE(),TRUE())))</f>
        <v/>
      </c>
      <c r="X177" s="87" t="str">
        <f aca="false">IF(ISBLANK($C177),"",IF(F177=Constants!$B$2,TRUE(),IF(F177=Constants!$B$3,FALSE(),TRUE())))</f>
        <v/>
      </c>
      <c r="Y177" s="87" t="str">
        <f aca="false">IF(ISBLANK($C177),"",IF(G177=Constants!$B$2,TRUE(),IF(G177=Constants!$B$3,FALSE(),TRUE())))</f>
        <v/>
      </c>
      <c r="Z177" s="87" t="str">
        <f aca="false">IF(ISBLANK($C177),"",IF(H177=Constants!$B$2,TRUE(),IF(H177=Constants!$B$3,FALSE(),TRUE())))</f>
        <v/>
      </c>
      <c r="AA177" s="87" t="str">
        <f aca="false">IF(ISBLANK($C177),"",IF(I177=Constants!$B$2,TRUE(),IF(I177=Constants!$B$3,FALSE(),TRUE())))</f>
        <v/>
      </c>
      <c r="AB177" s="87" t="str">
        <f aca="false">IF(ISBLANK($C177),"",IF(J177=Constants!$B$4,TRUE(),IF(J177=Constants!$B$5,FALSE(),COUNTA(K177:M177)&gt;0)))</f>
        <v/>
      </c>
      <c r="AC177" s="88" t="str">
        <f aca="false">IF(ISBLANK($C177),"",IF(ISNUMBER(K177),IF(K177&gt;=0,K177,""),""))</f>
        <v/>
      </c>
      <c r="AD177" s="89" t="str">
        <f aca="false">IF(ISBLANK($C177),"",IF(ISNUMBER(L177),IF(L177&gt;=0,L177,""),""))</f>
        <v/>
      </c>
      <c r="AE177" s="87" t="str">
        <f aca="false">IF(ISBLANK($C177),"",IF(ISNUMBER(M177),IF(M177&gt;=0,MIN(M177,Constants!$B$22),""),""))</f>
        <v/>
      </c>
      <c r="AF177" s="87" t="str">
        <f aca="false">IF(ISBLANK($C177),"",IF(N177=Constants!$B$2,TRUE(),IF(N177=Constants!$B$3,FALSE(),TRUE())))</f>
        <v/>
      </c>
      <c r="AG177" s="87" t="str">
        <f aca="false">IF(ISBLANK($C177),"",IF(O177=Constants!$B$2,TRUE(),IF(O177=Constants!$B$3,FALSE(),TRUE())))</f>
        <v/>
      </c>
      <c r="AH177" s="87" t="str">
        <f aca="false">IF(ISBLANK($C177),"",IF(P177=Constants!$B$4,TRUE(),IF(P177=Constants!$B$5,FALSE(),COUNTA(Q177:S177)&gt;0)))</f>
        <v/>
      </c>
      <c r="AI177" s="88" t="str">
        <f aca="false">IF(ISBLANK($C177),"",IF(ISNUMBER(Q177),IF(Q177&gt;=0,Q177,""),""))</f>
        <v/>
      </c>
      <c r="AJ177" s="89" t="str">
        <f aca="false">IF(ISBLANK($C177),"",IF(ISNUMBER(R177),IF(R177&gt;=0,R177,""),""))</f>
        <v/>
      </c>
      <c r="AK177" s="87" t="str">
        <f aca="false">IF(ISBLANK($C177),"",IF(ISNUMBER(S177),IF(S177&gt;=0,MIN(S177,Constants!$B$22),""),""))</f>
        <v/>
      </c>
      <c r="AL177" s="87" t="str">
        <f aca="false">IF(ISBLANK($C177),"",IF(T177=Constants!$B$2,TRUE(),IF(T177=Constants!$B$3,FALSE(),FALSE())))</f>
        <v/>
      </c>
      <c r="AM177" s="86" t="str">
        <f aca="false">IF(ISBLANK($C177),"",AND($AB177,OR($AC177="",$AD177="",AND(NOT(ISBLANK($M177)),$AE177=""))))</f>
        <v/>
      </c>
      <c r="AN177" s="89" t="str">
        <f aca="false">IF($BD177&lt;&gt;Constants!$B$6,"",IF($AB177,Constants!$B$17*$AD177,Constants!$B$18))</f>
        <v/>
      </c>
      <c r="AO177" s="91" t="str">
        <f aca="false">IF($BD177&lt;&gt;Constants!$B$6,"",Constants!$B$19*IF($AB177,$AC177,0))</f>
        <v/>
      </c>
      <c r="AP177" s="91" t="str">
        <f aca="false">IF($BD177&lt;&gt;Constants!$B$6,"",IF(AND($AB177,ISNUMBER($AE177)),Constants!$B$20*(Constants!$B$21-$AE177),0))</f>
        <v/>
      </c>
      <c r="AQ177" s="91" t="str">
        <f aca="false">IF($BD177&lt;&gt;Constants!$B$6,"",IF($AA177,0,Constants!$B$12)+IF($Z177,0,Constants!$B$13)+IF($Y177,0,Constants!$B$14))</f>
        <v/>
      </c>
      <c r="AR177" s="92" t="str">
        <f aca="false">IF($BD177&lt;&gt;Constants!$B$6,"",Constants!$B$16+SUM($AN177:$AQ177))</f>
        <v/>
      </c>
      <c r="AS177" s="91" t="str">
        <f aca="false">IF($BD177&lt;&gt;Constants!$B$6,"",IF($AB177,$AD177,""))</f>
        <v/>
      </c>
      <c r="AT177" s="93" t="str">
        <f aca="false">IF($BD177&lt;&gt;Constants!$B$6,"",$AO177)</f>
        <v/>
      </c>
      <c r="AU177" s="87" t="str">
        <f aca="false">IF($BD177&lt;&gt;Constants!$B$6,"",IF(OR($BA177&lt;$AR177,AND($BA177=$AR177,OR(AND(ISNUMBER($BB177),OR(NOT(ISNUMBER($AS177)),$BB177&lt;$AS177)),AND(OR(AND($BB177="",$AS177=""),AND(ISNUMBER($BB177),ISNUMBER($AS177),$BB177=$AS177)),$BC177&lt;$AT177)))),"-&gt;","&lt;-"))</f>
        <v/>
      </c>
      <c r="AV177" s="86" t="str">
        <f aca="false">IF(ISBLANK($C177),"",AND($AH177,OR($AI177="",$AJ177="",AND(NOT(ISBLANK($S177)),$AK177=""))))</f>
        <v/>
      </c>
      <c r="AW177" s="89" t="str">
        <f aca="false">IF($BD177&lt;&gt;Constants!$B$6,"",IF($AH177,Constants!$B$17*$AJ177,Constants!$B$18))</f>
        <v/>
      </c>
      <c r="AX177" s="91" t="str">
        <f aca="false">IF($BD177&lt;&gt;Constants!$B$6,"",Constants!$B$19*IF($AH177,$AI177,0))</f>
        <v/>
      </c>
      <c r="AY177" s="91" t="str">
        <f aca="false">IF($BD177&lt;&gt;Constants!$B$6,"",IF(AND($AH177,ISNUMBER($AK177)),Constants!$B$20*(Constants!$B$21-$AK177),0))</f>
        <v/>
      </c>
      <c r="AZ177" s="91" t="str">
        <f aca="false">IF($BD177&lt;&gt;Constants!$B$6,"",IF($AG177,0,Constants!$B$12)+IF($AF177,0,Constants!$B$13)+IF($Y177,0,Constants!$B$14))</f>
        <v/>
      </c>
      <c r="BA177" s="92" t="str">
        <f aca="false">IF($BD177&lt;&gt;Constants!$B$6,"",Constants!$B$16+SUM($AW177:$AZ177))</f>
        <v/>
      </c>
      <c r="BB177" s="91" t="str">
        <f aca="false">IF($BD177&lt;&gt;Constants!$B$6,"",IF($AH177,$AJ177,""))</f>
        <v/>
      </c>
      <c r="BC177" s="93" t="str">
        <f aca="false">IF($BD177&lt;&gt;Constants!$B$6,"",$AX177)</f>
        <v/>
      </c>
      <c r="BD177" s="87" t="str">
        <f aca="false">IF(ISBLANK($C177),"",IF($AL177,Constants!$B$9,IF(COUNTA($E177:$T177)=0,Constants!$B$8,IF(NOT($X177),Constants!$B$7,IF(OR($AM177,$AV177),Constants!$B$10,Constants!$B$6)))))</f>
        <v/>
      </c>
      <c r="BE177" s="87" t="str">
        <f aca="false">IF(ISBLANK($C177),"",IF($BD177&lt;&gt;Constants!$B$6,$BD177,Constants!$B$11))</f>
        <v/>
      </c>
      <c r="BF177" s="91" t="str">
        <f aca="false">IF($BD177&lt;&gt;Constants!$B$6,"",IF($AU177="-&gt;",$BA177,$AR177))</f>
        <v/>
      </c>
      <c r="BG177" s="91" t="str">
        <f aca="false">IF($BD177&lt;&gt;Constants!$B$6,"",IF($W177,0,Constants!$B$15))</f>
        <v/>
      </c>
      <c r="BH177" s="91" t="str">
        <f aca="false">IF(ISBLANK($C177),"",IF($BD177&lt;&gt;Constants!$B$6,$BD177,SUM($BF177:$BG177)))</f>
        <v/>
      </c>
      <c r="BI177" s="87" t="str">
        <f aca="false">IF(ISBLANK($C177),"",IF($BD177&lt;&gt;Constants!$B$6,$BD177,RANK($BH177,$BH$9:$BH$508,1)))</f>
        <v/>
      </c>
      <c r="BJ177" s="91" t="str">
        <f aca="false">IF($BD177&lt;&gt;Constants!$B$6,"",IF($AU177="-&gt;",$BB177,$AS177))</f>
        <v/>
      </c>
      <c r="BK177" s="87" t="str">
        <f aca="false">IF(ISBLANK($C177),"",IF($BD177&lt;&gt;Constants!$B$6,$BD177,IF(ISNUMBER($BJ177),RANK($BJ177,$BJ$9:$BJ$508,1),COUNT($BJ$9:$BJ$508)+1)))</f>
        <v/>
      </c>
      <c r="BL177" s="91" t="str">
        <f aca="false">IF($BD177&lt;&gt;Constants!$B$6,"",IF($AU177="-&gt;",$BC177,$AT177))</f>
        <v/>
      </c>
      <c r="BM177" s="87" t="str">
        <f aca="false">IF(ISBLANK($C177),"",IF($BD177&lt;&gt;Constants!$B$6,$BD177,IF(ISNUMBER($BL177),RANK($BL177,$BL$9:$BL$508,1),COUNT($BL$9:$BL$508)+1)))</f>
        <v/>
      </c>
      <c r="BN177" s="91" t="str">
        <f aca="false">IF($BD177&lt;&gt;Constants!$B$6,"",IF($AU177="-&gt;",$AS177,$BB177))</f>
        <v/>
      </c>
      <c r="BO177" s="87" t="str">
        <f aca="false">IF(ISBLANK($C177),"",IF($BD177&lt;&gt;Constants!$B$6,$BD177,IF(ISNUMBER($BN177),RANK($BN177,$BN$9:$BN$508,1),COUNT($BN$9:$BN$508)+1)))</f>
        <v/>
      </c>
      <c r="BP177" s="91" t="str">
        <f aca="false">IF($BD177&lt;&gt;Constants!$B$6,"",IF($AU177="-&gt;",$AT177,$BC177))</f>
        <v/>
      </c>
      <c r="BQ177" s="87" t="str">
        <f aca="false">IF(ISBLANK($C177),"",IF($BD177&lt;&gt;Constants!$B$6,$BD177,IF(ISNUMBER($BP177),RANK($BP177,$BP$9:$BP$508,1),COUNT($BP$9:$BP$508)+1)))</f>
        <v/>
      </c>
      <c r="BR177" s="87" t="str">
        <f aca="false">IF(ISBLANK($C177),"",IF($BD177&lt;&gt;Constants!$B$6,$BD177,COUNTIFS($BI$9:$BI$508,"&lt;"&amp;$BI177)+COUNTIFS($BI$9:$BI$508,$BI177,$BK$9:$BK$508,"&lt;"&amp;$BK177)+COUNTIFS($BI$9:$BI$508,$BI177,$BK$9:$BK$508,$BK177,$BM$9:$BM$508,"&lt;"&amp;$BM177)+COUNTIFS($BI$9:$BI$508,$BI177,$BK$9:$BK$508,$BK177,$BM$9:$BM$508,$BM177,$BO$9:$BO$508,"&lt;"&amp;$BO177)+COUNTIFS($BI$9:$BI$508,$BI177,$BK$9:$BK$508,$BK177,$BM$9:$BM$508,$BM177,$BO$9:$BO$508,$BO177,$BQ$9:$BQ$508,"&lt;"&amp;$BQ177)+1))</f>
        <v/>
      </c>
      <c r="BS177" s="87" t="str">
        <f aca="false">IF(ISBLANK($C177),"",IF($BD177&lt;&gt;Constants!$B$6,$BD177,$BI177-$BR177))</f>
        <v/>
      </c>
      <c r="BT177" s="94"/>
      <c r="BU177" s="95"/>
      <c r="BV177" s="95" t="str">
        <f aca="false">IF(ISBLANK($C177),"",IF($BD177&lt;&gt;Constants!$B$6,"",IF($AU177="-&gt;",2,1)))</f>
        <v/>
      </c>
      <c r="BW177" s="96" t="str">
        <f aca="false">IF(ISBLANK($C177),"",IF($BD177&lt;&gt;Constants!$B$6,"",IF($AU177="-&gt;",$AW177,$AN177)))</f>
        <v/>
      </c>
      <c r="BX177" s="96" t="str">
        <f aca="false">IF(ISBLANK($C177),"",IF($BD177&lt;&gt;Constants!$B$6,"",IF($AU177="-&gt;",$AX177,$AO177)))</f>
        <v/>
      </c>
      <c r="BY177" s="96" t="str">
        <f aca="false">IF(ISBLANK($C177),"",IF($BD177&lt;&gt;Constants!$B$6,"",IF($AU177="-&gt;",$AY177,$AP177)))</f>
        <v/>
      </c>
      <c r="BZ177" s="96" t="str">
        <f aca="false">IF(ISBLANK($C177),"",IF($BD177&lt;&gt;Constants!$B$6,"",IF($AU177="-&gt;",$AZ177,$AQ177)+$BG177))</f>
        <v/>
      </c>
      <c r="CA177" s="97" t="str">
        <f aca="false">IF(ISBLANK($C177),"",IF($BD177&lt;&gt;Constants!$B$6,$BD177,$BH177))</f>
        <v/>
      </c>
      <c r="CB177" s="98" t="str">
        <f aca="false">IF(ISBLANK($C177),"",$BE177)</f>
        <v/>
      </c>
      <c r="CC177" s="99" t="str">
        <f aca="false">IF(ISBLANK($C177),"",$BS177)</f>
        <v/>
      </c>
      <c r="CD177" s="99" t="str">
        <f aca="false">IF(ISBLANK($C177),"",$BR177)</f>
        <v/>
      </c>
      <c r="CE177" s="100" t="str">
        <f aca="false">IF(ISBLANK($C177),"",IF($CD177=Constants!$B$9,COUNTA($C$9:$C$508)+2,IF($CD177=Constants!$B$8,COUNTA($C$9:$C$508)+1,IF($CD177=Constants!$B$7,COUNTA($C$9:$C$508),$CD177))))</f>
        <v/>
      </c>
      <c r="CF177" s="9"/>
      <c r="CG177" s="101" t="n">
        <f aca="false">IF(OR(ISNUMBER($CD177),$CD177=Constants!$B$9,$CD177=Constants!$B$7,$CD177=Constants!$B$8),1,0)</f>
        <v>0</v>
      </c>
      <c r="CH177" s="101" t="n">
        <v>169</v>
      </c>
      <c r="CI177" s="101" t="str">
        <f aca="false">IF(ISBLANK($C177),"",IF(ISNUMBER($CE177),$CE177+ROW($B177)/1000,""))</f>
        <v/>
      </c>
      <c r="CJ177" s="101" t="str">
        <f aca="false">IF(ISNUMBER($CI177),RANK($CI177,$CI$9:$CI$508,1),"")</f>
        <v/>
      </c>
      <c r="CK177" s="101" t="str">
        <f aca="false">IF(ISBLANK($C177),"",$B177)</f>
        <v/>
      </c>
      <c r="CL177" s="101" t="str">
        <f aca="false">IF(ISBLANK($C177),"",$C177)</f>
        <v/>
      </c>
      <c r="CM177" s="101" t="str">
        <f aca="false">IF(ISBLANK($C177),"",$D177)</f>
        <v/>
      </c>
      <c r="CN177" s="102" t="str">
        <f aca="false">$CB177</f>
        <v/>
      </c>
      <c r="CO177" s="103" t="str">
        <f aca="false">$CA177</f>
        <v/>
      </c>
      <c r="CP177" s="101" t="str">
        <f aca="false">IF(ISBLANK($C177),"",$CD177)</f>
        <v/>
      </c>
      <c r="CQ177" s="104" t="str">
        <f aca="false">IF($CH177&gt;$CG$8,"",VLOOKUP($CH177,$CJ$9:$CP$508,7,FALSE()))</f>
        <v/>
      </c>
      <c r="CR177" s="105" t="str">
        <f aca="false">IF($CH177&gt;$CG$8,"",VLOOKUP($CH177,$CJ$9:$CP$508,2,FALSE()))</f>
        <v/>
      </c>
      <c r="CS177" s="105" t="str">
        <f aca="false">IF($CH177&gt;$CG$8,"",VLOOKUP($CH177,$CJ$9:$CP$508,3,FALSE()))</f>
        <v/>
      </c>
      <c r="CT177" s="105" t="str">
        <f aca="false">IF($CH177&gt;$CG$8,"",VLOOKUP($CH177,$CJ$9:$CP$508,4,FALSE()))</f>
        <v/>
      </c>
      <c r="CU177" s="105" t="str">
        <f aca="false">IF($CH177&gt;$CG$8,"",VLOOKUP($CH177,$CJ$9:$CP$508,5,FALSE()))</f>
        <v/>
      </c>
      <c r="CV177" s="106" t="str">
        <f aca="false">IF($CH177&gt;$CG$8,"",VLOOKUP($CH177,$CJ$9:$CP$508,6,FALSE()))</f>
        <v/>
      </c>
      <c r="CW177" s="71"/>
    </row>
    <row r="178" customFormat="false" ht="15.75" hidden="false" customHeight="false" outlineLevel="0" collapsed="false">
      <c r="A178" s="9"/>
      <c r="B178" s="72"/>
      <c r="C178" s="73"/>
      <c r="D178" s="160"/>
      <c r="E178" s="168"/>
      <c r="F178" s="162"/>
      <c r="G178" s="163"/>
      <c r="H178" s="169"/>
      <c r="I178" s="167"/>
      <c r="J178" s="80"/>
      <c r="K178" s="81"/>
      <c r="L178" s="82"/>
      <c r="M178" s="166"/>
      <c r="N178" s="167"/>
      <c r="O178" s="167"/>
      <c r="P178" s="80"/>
      <c r="Q178" s="82"/>
      <c r="R178" s="82"/>
      <c r="S178" s="166"/>
      <c r="T178" s="167"/>
      <c r="U178" s="86"/>
      <c r="V178" s="87"/>
      <c r="W178" s="87" t="str">
        <f aca="false">IF(ISBLANK($C178),"",IF(E178=Constants!$B$2,TRUE(),IF(E178=Constants!$B$3,FALSE(),TRUE())))</f>
        <v/>
      </c>
      <c r="X178" s="87" t="str">
        <f aca="false">IF(ISBLANK($C178),"",IF(F178=Constants!$B$2,TRUE(),IF(F178=Constants!$B$3,FALSE(),TRUE())))</f>
        <v/>
      </c>
      <c r="Y178" s="87" t="str">
        <f aca="false">IF(ISBLANK($C178),"",IF(G178=Constants!$B$2,TRUE(),IF(G178=Constants!$B$3,FALSE(),TRUE())))</f>
        <v/>
      </c>
      <c r="Z178" s="87" t="str">
        <f aca="false">IF(ISBLANK($C178),"",IF(H178=Constants!$B$2,TRUE(),IF(H178=Constants!$B$3,FALSE(),TRUE())))</f>
        <v/>
      </c>
      <c r="AA178" s="87" t="str">
        <f aca="false">IF(ISBLANK($C178),"",IF(I178=Constants!$B$2,TRUE(),IF(I178=Constants!$B$3,FALSE(),TRUE())))</f>
        <v/>
      </c>
      <c r="AB178" s="87" t="str">
        <f aca="false">IF(ISBLANK($C178),"",IF(J178=Constants!$B$4,TRUE(),IF(J178=Constants!$B$5,FALSE(),COUNTA(K178:M178)&gt;0)))</f>
        <v/>
      </c>
      <c r="AC178" s="88" t="str">
        <f aca="false">IF(ISBLANK($C178),"",IF(ISNUMBER(K178),IF(K178&gt;=0,K178,""),""))</f>
        <v/>
      </c>
      <c r="AD178" s="89" t="str">
        <f aca="false">IF(ISBLANK($C178),"",IF(ISNUMBER(L178),IF(L178&gt;=0,L178,""),""))</f>
        <v/>
      </c>
      <c r="AE178" s="87" t="str">
        <f aca="false">IF(ISBLANK($C178),"",IF(ISNUMBER(M178),IF(M178&gt;=0,MIN(M178,Constants!$B$22),""),""))</f>
        <v/>
      </c>
      <c r="AF178" s="87" t="str">
        <f aca="false">IF(ISBLANK($C178),"",IF(N178=Constants!$B$2,TRUE(),IF(N178=Constants!$B$3,FALSE(),TRUE())))</f>
        <v/>
      </c>
      <c r="AG178" s="87" t="str">
        <f aca="false">IF(ISBLANK($C178),"",IF(O178=Constants!$B$2,TRUE(),IF(O178=Constants!$B$3,FALSE(),TRUE())))</f>
        <v/>
      </c>
      <c r="AH178" s="87" t="str">
        <f aca="false">IF(ISBLANK($C178),"",IF(P178=Constants!$B$4,TRUE(),IF(P178=Constants!$B$5,FALSE(),COUNTA(Q178:S178)&gt;0)))</f>
        <v/>
      </c>
      <c r="AI178" s="88" t="str">
        <f aca="false">IF(ISBLANK($C178),"",IF(ISNUMBER(Q178),IF(Q178&gt;=0,Q178,""),""))</f>
        <v/>
      </c>
      <c r="AJ178" s="89" t="str">
        <f aca="false">IF(ISBLANK($C178),"",IF(ISNUMBER(R178),IF(R178&gt;=0,R178,""),""))</f>
        <v/>
      </c>
      <c r="AK178" s="87" t="str">
        <f aca="false">IF(ISBLANK($C178),"",IF(ISNUMBER(S178),IF(S178&gt;=0,MIN(S178,Constants!$B$22),""),""))</f>
        <v/>
      </c>
      <c r="AL178" s="87" t="str">
        <f aca="false">IF(ISBLANK($C178),"",IF(T178=Constants!$B$2,TRUE(),IF(T178=Constants!$B$3,FALSE(),FALSE())))</f>
        <v/>
      </c>
      <c r="AM178" s="86" t="str">
        <f aca="false">IF(ISBLANK($C178),"",AND($AB178,OR($AC178="",$AD178="",AND(NOT(ISBLANK($M178)),$AE178=""))))</f>
        <v/>
      </c>
      <c r="AN178" s="89" t="str">
        <f aca="false">IF($BD178&lt;&gt;Constants!$B$6,"",IF($AB178,Constants!$B$17*$AD178,Constants!$B$18))</f>
        <v/>
      </c>
      <c r="AO178" s="91" t="str">
        <f aca="false">IF($BD178&lt;&gt;Constants!$B$6,"",Constants!$B$19*IF($AB178,$AC178,0))</f>
        <v/>
      </c>
      <c r="AP178" s="91" t="str">
        <f aca="false">IF($BD178&lt;&gt;Constants!$B$6,"",IF(AND($AB178,ISNUMBER($AE178)),Constants!$B$20*(Constants!$B$21-$AE178),0))</f>
        <v/>
      </c>
      <c r="AQ178" s="91" t="str">
        <f aca="false">IF($BD178&lt;&gt;Constants!$B$6,"",IF($AA178,0,Constants!$B$12)+IF($Z178,0,Constants!$B$13)+IF($Y178,0,Constants!$B$14))</f>
        <v/>
      </c>
      <c r="AR178" s="92" t="str">
        <f aca="false">IF($BD178&lt;&gt;Constants!$B$6,"",Constants!$B$16+SUM($AN178:$AQ178))</f>
        <v/>
      </c>
      <c r="AS178" s="91" t="str">
        <f aca="false">IF($BD178&lt;&gt;Constants!$B$6,"",IF($AB178,$AD178,""))</f>
        <v/>
      </c>
      <c r="AT178" s="93" t="str">
        <f aca="false">IF($BD178&lt;&gt;Constants!$B$6,"",$AO178)</f>
        <v/>
      </c>
      <c r="AU178" s="87" t="str">
        <f aca="false">IF($BD178&lt;&gt;Constants!$B$6,"",IF(OR($BA178&lt;$AR178,AND($BA178=$AR178,OR(AND(ISNUMBER($BB178),OR(NOT(ISNUMBER($AS178)),$BB178&lt;$AS178)),AND(OR(AND($BB178="",$AS178=""),AND(ISNUMBER($BB178),ISNUMBER($AS178),$BB178=$AS178)),$BC178&lt;$AT178)))),"-&gt;","&lt;-"))</f>
        <v/>
      </c>
      <c r="AV178" s="86" t="str">
        <f aca="false">IF(ISBLANK($C178),"",AND($AH178,OR($AI178="",$AJ178="",AND(NOT(ISBLANK($S178)),$AK178=""))))</f>
        <v/>
      </c>
      <c r="AW178" s="89" t="str">
        <f aca="false">IF($BD178&lt;&gt;Constants!$B$6,"",IF($AH178,Constants!$B$17*$AJ178,Constants!$B$18))</f>
        <v/>
      </c>
      <c r="AX178" s="91" t="str">
        <f aca="false">IF($BD178&lt;&gt;Constants!$B$6,"",Constants!$B$19*IF($AH178,$AI178,0))</f>
        <v/>
      </c>
      <c r="AY178" s="91" t="str">
        <f aca="false">IF($BD178&lt;&gt;Constants!$B$6,"",IF(AND($AH178,ISNUMBER($AK178)),Constants!$B$20*(Constants!$B$21-$AK178),0))</f>
        <v/>
      </c>
      <c r="AZ178" s="91" t="str">
        <f aca="false">IF($BD178&lt;&gt;Constants!$B$6,"",IF($AG178,0,Constants!$B$12)+IF($AF178,0,Constants!$B$13)+IF($Y178,0,Constants!$B$14))</f>
        <v/>
      </c>
      <c r="BA178" s="92" t="str">
        <f aca="false">IF($BD178&lt;&gt;Constants!$B$6,"",Constants!$B$16+SUM($AW178:$AZ178))</f>
        <v/>
      </c>
      <c r="BB178" s="91" t="str">
        <f aca="false">IF($BD178&lt;&gt;Constants!$B$6,"",IF($AH178,$AJ178,""))</f>
        <v/>
      </c>
      <c r="BC178" s="93" t="str">
        <f aca="false">IF($BD178&lt;&gt;Constants!$B$6,"",$AX178)</f>
        <v/>
      </c>
      <c r="BD178" s="87" t="str">
        <f aca="false">IF(ISBLANK($C178),"",IF($AL178,Constants!$B$9,IF(COUNTA($E178:$T178)=0,Constants!$B$8,IF(NOT($X178),Constants!$B$7,IF(OR($AM178,$AV178),Constants!$B$10,Constants!$B$6)))))</f>
        <v/>
      </c>
      <c r="BE178" s="87" t="str">
        <f aca="false">IF(ISBLANK($C178),"",IF($BD178&lt;&gt;Constants!$B$6,$BD178,Constants!$B$11))</f>
        <v/>
      </c>
      <c r="BF178" s="91" t="str">
        <f aca="false">IF($BD178&lt;&gt;Constants!$B$6,"",IF($AU178="-&gt;",$BA178,$AR178))</f>
        <v/>
      </c>
      <c r="BG178" s="91" t="str">
        <f aca="false">IF($BD178&lt;&gt;Constants!$B$6,"",IF($W178,0,Constants!$B$15))</f>
        <v/>
      </c>
      <c r="BH178" s="91" t="str">
        <f aca="false">IF(ISBLANK($C178),"",IF($BD178&lt;&gt;Constants!$B$6,$BD178,SUM($BF178:$BG178)))</f>
        <v/>
      </c>
      <c r="BI178" s="87" t="str">
        <f aca="false">IF(ISBLANK($C178),"",IF($BD178&lt;&gt;Constants!$B$6,$BD178,RANK($BH178,$BH$9:$BH$508,1)))</f>
        <v/>
      </c>
      <c r="BJ178" s="91" t="str">
        <f aca="false">IF($BD178&lt;&gt;Constants!$B$6,"",IF($AU178="-&gt;",$BB178,$AS178))</f>
        <v/>
      </c>
      <c r="BK178" s="87" t="str">
        <f aca="false">IF(ISBLANK($C178),"",IF($BD178&lt;&gt;Constants!$B$6,$BD178,IF(ISNUMBER($BJ178),RANK($BJ178,$BJ$9:$BJ$508,1),COUNT($BJ$9:$BJ$508)+1)))</f>
        <v/>
      </c>
      <c r="BL178" s="91" t="str">
        <f aca="false">IF($BD178&lt;&gt;Constants!$B$6,"",IF($AU178="-&gt;",$BC178,$AT178))</f>
        <v/>
      </c>
      <c r="BM178" s="87" t="str">
        <f aca="false">IF(ISBLANK($C178),"",IF($BD178&lt;&gt;Constants!$B$6,$BD178,IF(ISNUMBER($BL178),RANK($BL178,$BL$9:$BL$508,1),COUNT($BL$9:$BL$508)+1)))</f>
        <v/>
      </c>
      <c r="BN178" s="91" t="str">
        <f aca="false">IF($BD178&lt;&gt;Constants!$B$6,"",IF($AU178="-&gt;",$AS178,$BB178))</f>
        <v/>
      </c>
      <c r="BO178" s="87" t="str">
        <f aca="false">IF(ISBLANK($C178),"",IF($BD178&lt;&gt;Constants!$B$6,$BD178,IF(ISNUMBER($BN178),RANK($BN178,$BN$9:$BN$508,1),COUNT($BN$9:$BN$508)+1)))</f>
        <v/>
      </c>
      <c r="BP178" s="91" t="str">
        <f aca="false">IF($BD178&lt;&gt;Constants!$B$6,"",IF($AU178="-&gt;",$AT178,$BC178))</f>
        <v/>
      </c>
      <c r="BQ178" s="87" t="str">
        <f aca="false">IF(ISBLANK($C178),"",IF($BD178&lt;&gt;Constants!$B$6,$BD178,IF(ISNUMBER($BP178),RANK($BP178,$BP$9:$BP$508,1),COUNT($BP$9:$BP$508)+1)))</f>
        <v/>
      </c>
      <c r="BR178" s="87" t="str">
        <f aca="false">IF(ISBLANK($C178),"",IF($BD178&lt;&gt;Constants!$B$6,$BD178,COUNTIFS($BI$9:$BI$508,"&lt;"&amp;$BI178)+COUNTIFS($BI$9:$BI$508,$BI178,$BK$9:$BK$508,"&lt;"&amp;$BK178)+COUNTIFS($BI$9:$BI$508,$BI178,$BK$9:$BK$508,$BK178,$BM$9:$BM$508,"&lt;"&amp;$BM178)+COUNTIFS($BI$9:$BI$508,$BI178,$BK$9:$BK$508,$BK178,$BM$9:$BM$508,$BM178,$BO$9:$BO$508,"&lt;"&amp;$BO178)+COUNTIFS($BI$9:$BI$508,$BI178,$BK$9:$BK$508,$BK178,$BM$9:$BM$508,$BM178,$BO$9:$BO$508,$BO178,$BQ$9:$BQ$508,"&lt;"&amp;$BQ178)+1))</f>
        <v/>
      </c>
      <c r="BS178" s="87" t="str">
        <f aca="false">IF(ISBLANK($C178),"",IF($BD178&lt;&gt;Constants!$B$6,$BD178,$BI178-$BR178))</f>
        <v/>
      </c>
      <c r="BT178" s="94"/>
      <c r="BU178" s="95"/>
      <c r="BV178" s="95" t="str">
        <f aca="false">IF(ISBLANK($C178),"",IF($BD178&lt;&gt;Constants!$B$6,"",IF($AU178="-&gt;",2,1)))</f>
        <v/>
      </c>
      <c r="BW178" s="96" t="str">
        <f aca="false">IF(ISBLANK($C178),"",IF($BD178&lt;&gt;Constants!$B$6,"",IF($AU178="-&gt;",$AW178,$AN178)))</f>
        <v/>
      </c>
      <c r="BX178" s="96" t="str">
        <f aca="false">IF(ISBLANK($C178),"",IF($BD178&lt;&gt;Constants!$B$6,"",IF($AU178="-&gt;",$AX178,$AO178)))</f>
        <v/>
      </c>
      <c r="BY178" s="96" t="str">
        <f aca="false">IF(ISBLANK($C178),"",IF($BD178&lt;&gt;Constants!$B$6,"",IF($AU178="-&gt;",$AY178,$AP178)))</f>
        <v/>
      </c>
      <c r="BZ178" s="96" t="str">
        <f aca="false">IF(ISBLANK($C178),"",IF($BD178&lt;&gt;Constants!$B$6,"",IF($AU178="-&gt;",$AZ178,$AQ178)+$BG178))</f>
        <v/>
      </c>
      <c r="CA178" s="97" t="str">
        <f aca="false">IF(ISBLANK($C178),"",IF($BD178&lt;&gt;Constants!$B$6,$BD178,$BH178))</f>
        <v/>
      </c>
      <c r="CB178" s="98" t="str">
        <f aca="false">IF(ISBLANK($C178),"",$BE178)</f>
        <v/>
      </c>
      <c r="CC178" s="99" t="str">
        <f aca="false">IF(ISBLANK($C178),"",$BS178)</f>
        <v/>
      </c>
      <c r="CD178" s="99" t="str">
        <f aca="false">IF(ISBLANK($C178),"",$BR178)</f>
        <v/>
      </c>
      <c r="CE178" s="100" t="str">
        <f aca="false">IF(ISBLANK($C178),"",IF($CD178=Constants!$B$9,COUNTA($C$9:$C$508)+2,IF($CD178=Constants!$B$8,COUNTA($C$9:$C$508)+1,IF($CD178=Constants!$B$7,COUNTA($C$9:$C$508),$CD178))))</f>
        <v/>
      </c>
      <c r="CF178" s="9"/>
      <c r="CG178" s="101" t="n">
        <f aca="false">IF(OR(ISNUMBER($CD178),$CD178=Constants!$B$9,$CD178=Constants!$B$7,$CD178=Constants!$B$8),1,0)</f>
        <v>0</v>
      </c>
      <c r="CH178" s="101" t="n">
        <v>170</v>
      </c>
      <c r="CI178" s="101" t="str">
        <f aca="false">IF(ISBLANK($C178),"",IF(ISNUMBER($CE178),$CE178+ROW($B178)/1000,""))</f>
        <v/>
      </c>
      <c r="CJ178" s="101" t="str">
        <f aca="false">IF(ISNUMBER($CI178),RANK($CI178,$CI$9:$CI$508,1),"")</f>
        <v/>
      </c>
      <c r="CK178" s="101" t="str">
        <f aca="false">IF(ISBLANK($C178),"",$B178)</f>
        <v/>
      </c>
      <c r="CL178" s="101" t="str">
        <f aca="false">IF(ISBLANK($C178),"",$C178)</f>
        <v/>
      </c>
      <c r="CM178" s="101" t="str">
        <f aca="false">IF(ISBLANK($C178),"",$D178)</f>
        <v/>
      </c>
      <c r="CN178" s="102" t="str">
        <f aca="false">$CB178</f>
        <v/>
      </c>
      <c r="CO178" s="103" t="str">
        <f aca="false">$CA178</f>
        <v/>
      </c>
      <c r="CP178" s="101" t="str">
        <f aca="false">IF(ISBLANK($C178),"",$CD178)</f>
        <v/>
      </c>
      <c r="CQ178" s="104" t="str">
        <f aca="false">IF($CH178&gt;$CG$8,"",VLOOKUP($CH178,$CJ$9:$CP$508,7,FALSE()))</f>
        <v/>
      </c>
      <c r="CR178" s="105" t="str">
        <f aca="false">IF($CH178&gt;$CG$8,"",VLOOKUP($CH178,$CJ$9:$CP$508,2,FALSE()))</f>
        <v/>
      </c>
      <c r="CS178" s="105" t="str">
        <f aca="false">IF($CH178&gt;$CG$8,"",VLOOKUP($CH178,$CJ$9:$CP$508,3,FALSE()))</f>
        <v/>
      </c>
      <c r="CT178" s="105" t="str">
        <f aca="false">IF($CH178&gt;$CG$8,"",VLOOKUP($CH178,$CJ$9:$CP$508,4,FALSE()))</f>
        <v/>
      </c>
      <c r="CU178" s="105" t="str">
        <f aca="false">IF($CH178&gt;$CG$8,"",VLOOKUP($CH178,$CJ$9:$CP$508,5,FALSE()))</f>
        <v/>
      </c>
      <c r="CV178" s="106" t="str">
        <f aca="false">IF($CH178&gt;$CG$8,"",VLOOKUP($CH178,$CJ$9:$CP$508,6,FALSE()))</f>
        <v/>
      </c>
      <c r="CW178" s="71"/>
    </row>
    <row r="179" customFormat="false" ht="15.75" hidden="false" customHeight="false" outlineLevel="0" collapsed="false">
      <c r="A179" s="9"/>
      <c r="B179" s="72"/>
      <c r="C179" s="73"/>
      <c r="D179" s="160"/>
      <c r="E179" s="168"/>
      <c r="F179" s="162"/>
      <c r="G179" s="163"/>
      <c r="H179" s="169"/>
      <c r="I179" s="167"/>
      <c r="J179" s="80"/>
      <c r="K179" s="81"/>
      <c r="L179" s="82"/>
      <c r="M179" s="166"/>
      <c r="N179" s="167"/>
      <c r="O179" s="167"/>
      <c r="P179" s="80"/>
      <c r="Q179" s="82"/>
      <c r="R179" s="82"/>
      <c r="S179" s="166"/>
      <c r="T179" s="167"/>
      <c r="U179" s="86"/>
      <c r="V179" s="87"/>
      <c r="W179" s="87" t="str">
        <f aca="false">IF(ISBLANK($C179),"",IF(E179=Constants!$B$2,TRUE(),IF(E179=Constants!$B$3,FALSE(),TRUE())))</f>
        <v/>
      </c>
      <c r="X179" s="87" t="str">
        <f aca="false">IF(ISBLANK($C179),"",IF(F179=Constants!$B$2,TRUE(),IF(F179=Constants!$B$3,FALSE(),TRUE())))</f>
        <v/>
      </c>
      <c r="Y179" s="87" t="str">
        <f aca="false">IF(ISBLANK($C179),"",IF(G179=Constants!$B$2,TRUE(),IF(G179=Constants!$B$3,FALSE(),TRUE())))</f>
        <v/>
      </c>
      <c r="Z179" s="87" t="str">
        <f aca="false">IF(ISBLANK($C179),"",IF(H179=Constants!$B$2,TRUE(),IF(H179=Constants!$B$3,FALSE(),TRUE())))</f>
        <v/>
      </c>
      <c r="AA179" s="87" t="str">
        <f aca="false">IF(ISBLANK($C179),"",IF(I179=Constants!$B$2,TRUE(),IF(I179=Constants!$B$3,FALSE(),TRUE())))</f>
        <v/>
      </c>
      <c r="AB179" s="87" t="str">
        <f aca="false">IF(ISBLANK($C179),"",IF(J179=Constants!$B$4,TRUE(),IF(J179=Constants!$B$5,FALSE(),COUNTA(K179:M179)&gt;0)))</f>
        <v/>
      </c>
      <c r="AC179" s="88" t="str">
        <f aca="false">IF(ISBLANK($C179),"",IF(ISNUMBER(K179),IF(K179&gt;=0,K179,""),""))</f>
        <v/>
      </c>
      <c r="AD179" s="89" t="str">
        <f aca="false">IF(ISBLANK($C179),"",IF(ISNUMBER(L179),IF(L179&gt;=0,L179,""),""))</f>
        <v/>
      </c>
      <c r="AE179" s="87" t="str">
        <f aca="false">IF(ISBLANK($C179),"",IF(ISNUMBER(M179),IF(M179&gt;=0,MIN(M179,Constants!$B$22),""),""))</f>
        <v/>
      </c>
      <c r="AF179" s="87" t="str">
        <f aca="false">IF(ISBLANK($C179),"",IF(N179=Constants!$B$2,TRUE(),IF(N179=Constants!$B$3,FALSE(),TRUE())))</f>
        <v/>
      </c>
      <c r="AG179" s="87" t="str">
        <f aca="false">IF(ISBLANK($C179),"",IF(O179=Constants!$B$2,TRUE(),IF(O179=Constants!$B$3,FALSE(),TRUE())))</f>
        <v/>
      </c>
      <c r="AH179" s="87" t="str">
        <f aca="false">IF(ISBLANK($C179),"",IF(P179=Constants!$B$4,TRUE(),IF(P179=Constants!$B$5,FALSE(),COUNTA(Q179:S179)&gt;0)))</f>
        <v/>
      </c>
      <c r="AI179" s="88" t="str">
        <f aca="false">IF(ISBLANK($C179),"",IF(ISNUMBER(Q179),IF(Q179&gt;=0,Q179,""),""))</f>
        <v/>
      </c>
      <c r="AJ179" s="89" t="str">
        <f aca="false">IF(ISBLANK($C179),"",IF(ISNUMBER(R179),IF(R179&gt;=0,R179,""),""))</f>
        <v/>
      </c>
      <c r="AK179" s="87" t="str">
        <f aca="false">IF(ISBLANK($C179),"",IF(ISNUMBER(S179),IF(S179&gt;=0,MIN(S179,Constants!$B$22),""),""))</f>
        <v/>
      </c>
      <c r="AL179" s="87" t="str">
        <f aca="false">IF(ISBLANK($C179),"",IF(T179=Constants!$B$2,TRUE(),IF(T179=Constants!$B$3,FALSE(),FALSE())))</f>
        <v/>
      </c>
      <c r="AM179" s="86" t="str">
        <f aca="false">IF(ISBLANK($C179),"",AND($AB179,OR($AC179="",$AD179="",AND(NOT(ISBLANK($M179)),$AE179=""))))</f>
        <v/>
      </c>
      <c r="AN179" s="89" t="str">
        <f aca="false">IF($BD179&lt;&gt;Constants!$B$6,"",IF($AB179,Constants!$B$17*$AD179,Constants!$B$18))</f>
        <v/>
      </c>
      <c r="AO179" s="91" t="str">
        <f aca="false">IF($BD179&lt;&gt;Constants!$B$6,"",Constants!$B$19*IF($AB179,$AC179,0))</f>
        <v/>
      </c>
      <c r="AP179" s="91" t="str">
        <f aca="false">IF($BD179&lt;&gt;Constants!$B$6,"",IF(AND($AB179,ISNUMBER($AE179)),Constants!$B$20*(Constants!$B$21-$AE179),0))</f>
        <v/>
      </c>
      <c r="AQ179" s="91" t="str">
        <f aca="false">IF($BD179&lt;&gt;Constants!$B$6,"",IF($AA179,0,Constants!$B$12)+IF($Z179,0,Constants!$B$13)+IF($Y179,0,Constants!$B$14))</f>
        <v/>
      </c>
      <c r="AR179" s="92" t="str">
        <f aca="false">IF($BD179&lt;&gt;Constants!$B$6,"",Constants!$B$16+SUM($AN179:$AQ179))</f>
        <v/>
      </c>
      <c r="AS179" s="91" t="str">
        <f aca="false">IF($BD179&lt;&gt;Constants!$B$6,"",IF($AB179,$AD179,""))</f>
        <v/>
      </c>
      <c r="AT179" s="93" t="str">
        <f aca="false">IF($BD179&lt;&gt;Constants!$B$6,"",$AO179)</f>
        <v/>
      </c>
      <c r="AU179" s="87" t="str">
        <f aca="false">IF($BD179&lt;&gt;Constants!$B$6,"",IF(OR($BA179&lt;$AR179,AND($BA179=$AR179,OR(AND(ISNUMBER($BB179),OR(NOT(ISNUMBER($AS179)),$BB179&lt;$AS179)),AND(OR(AND($BB179="",$AS179=""),AND(ISNUMBER($BB179),ISNUMBER($AS179),$BB179=$AS179)),$BC179&lt;$AT179)))),"-&gt;","&lt;-"))</f>
        <v/>
      </c>
      <c r="AV179" s="86" t="str">
        <f aca="false">IF(ISBLANK($C179),"",AND($AH179,OR($AI179="",$AJ179="",AND(NOT(ISBLANK($S179)),$AK179=""))))</f>
        <v/>
      </c>
      <c r="AW179" s="89" t="str">
        <f aca="false">IF($BD179&lt;&gt;Constants!$B$6,"",IF($AH179,Constants!$B$17*$AJ179,Constants!$B$18))</f>
        <v/>
      </c>
      <c r="AX179" s="91" t="str">
        <f aca="false">IF($BD179&lt;&gt;Constants!$B$6,"",Constants!$B$19*IF($AH179,$AI179,0))</f>
        <v/>
      </c>
      <c r="AY179" s="91" t="str">
        <f aca="false">IF($BD179&lt;&gt;Constants!$B$6,"",IF(AND($AH179,ISNUMBER($AK179)),Constants!$B$20*(Constants!$B$21-$AK179),0))</f>
        <v/>
      </c>
      <c r="AZ179" s="91" t="str">
        <f aca="false">IF($BD179&lt;&gt;Constants!$B$6,"",IF($AG179,0,Constants!$B$12)+IF($AF179,0,Constants!$B$13)+IF($Y179,0,Constants!$B$14))</f>
        <v/>
      </c>
      <c r="BA179" s="92" t="str">
        <f aca="false">IF($BD179&lt;&gt;Constants!$B$6,"",Constants!$B$16+SUM($AW179:$AZ179))</f>
        <v/>
      </c>
      <c r="BB179" s="91" t="str">
        <f aca="false">IF($BD179&lt;&gt;Constants!$B$6,"",IF($AH179,$AJ179,""))</f>
        <v/>
      </c>
      <c r="BC179" s="93" t="str">
        <f aca="false">IF($BD179&lt;&gt;Constants!$B$6,"",$AX179)</f>
        <v/>
      </c>
      <c r="BD179" s="87" t="str">
        <f aca="false">IF(ISBLANK($C179),"",IF($AL179,Constants!$B$9,IF(COUNTA($E179:$T179)=0,Constants!$B$8,IF(NOT($X179),Constants!$B$7,IF(OR($AM179,$AV179),Constants!$B$10,Constants!$B$6)))))</f>
        <v/>
      </c>
      <c r="BE179" s="87" t="str">
        <f aca="false">IF(ISBLANK($C179),"",IF($BD179&lt;&gt;Constants!$B$6,$BD179,Constants!$B$11))</f>
        <v/>
      </c>
      <c r="BF179" s="91" t="str">
        <f aca="false">IF($BD179&lt;&gt;Constants!$B$6,"",IF($AU179="-&gt;",$BA179,$AR179))</f>
        <v/>
      </c>
      <c r="BG179" s="91" t="str">
        <f aca="false">IF($BD179&lt;&gt;Constants!$B$6,"",IF($W179,0,Constants!$B$15))</f>
        <v/>
      </c>
      <c r="BH179" s="91" t="str">
        <f aca="false">IF(ISBLANK($C179),"",IF($BD179&lt;&gt;Constants!$B$6,$BD179,SUM($BF179:$BG179)))</f>
        <v/>
      </c>
      <c r="BI179" s="87" t="str">
        <f aca="false">IF(ISBLANK($C179),"",IF($BD179&lt;&gt;Constants!$B$6,$BD179,RANK($BH179,$BH$9:$BH$508,1)))</f>
        <v/>
      </c>
      <c r="BJ179" s="91" t="str">
        <f aca="false">IF($BD179&lt;&gt;Constants!$B$6,"",IF($AU179="-&gt;",$BB179,$AS179))</f>
        <v/>
      </c>
      <c r="BK179" s="87" t="str">
        <f aca="false">IF(ISBLANK($C179),"",IF($BD179&lt;&gt;Constants!$B$6,$BD179,IF(ISNUMBER($BJ179),RANK($BJ179,$BJ$9:$BJ$508,1),COUNT($BJ$9:$BJ$508)+1)))</f>
        <v/>
      </c>
      <c r="BL179" s="91" t="str">
        <f aca="false">IF($BD179&lt;&gt;Constants!$B$6,"",IF($AU179="-&gt;",$BC179,$AT179))</f>
        <v/>
      </c>
      <c r="BM179" s="87" t="str">
        <f aca="false">IF(ISBLANK($C179),"",IF($BD179&lt;&gt;Constants!$B$6,$BD179,IF(ISNUMBER($BL179),RANK($BL179,$BL$9:$BL$508,1),COUNT($BL$9:$BL$508)+1)))</f>
        <v/>
      </c>
      <c r="BN179" s="91" t="str">
        <f aca="false">IF($BD179&lt;&gt;Constants!$B$6,"",IF($AU179="-&gt;",$AS179,$BB179))</f>
        <v/>
      </c>
      <c r="BO179" s="87" t="str">
        <f aca="false">IF(ISBLANK($C179),"",IF($BD179&lt;&gt;Constants!$B$6,$BD179,IF(ISNUMBER($BN179),RANK($BN179,$BN$9:$BN$508,1),COUNT($BN$9:$BN$508)+1)))</f>
        <v/>
      </c>
      <c r="BP179" s="91" t="str">
        <f aca="false">IF($BD179&lt;&gt;Constants!$B$6,"",IF($AU179="-&gt;",$AT179,$BC179))</f>
        <v/>
      </c>
      <c r="BQ179" s="87" t="str">
        <f aca="false">IF(ISBLANK($C179),"",IF($BD179&lt;&gt;Constants!$B$6,$BD179,IF(ISNUMBER($BP179),RANK($BP179,$BP$9:$BP$508,1),COUNT($BP$9:$BP$508)+1)))</f>
        <v/>
      </c>
      <c r="BR179" s="87" t="str">
        <f aca="false">IF(ISBLANK($C179),"",IF($BD179&lt;&gt;Constants!$B$6,$BD179,COUNTIFS($BI$9:$BI$508,"&lt;"&amp;$BI179)+COUNTIFS($BI$9:$BI$508,$BI179,$BK$9:$BK$508,"&lt;"&amp;$BK179)+COUNTIFS($BI$9:$BI$508,$BI179,$BK$9:$BK$508,$BK179,$BM$9:$BM$508,"&lt;"&amp;$BM179)+COUNTIFS($BI$9:$BI$508,$BI179,$BK$9:$BK$508,$BK179,$BM$9:$BM$508,$BM179,$BO$9:$BO$508,"&lt;"&amp;$BO179)+COUNTIFS($BI$9:$BI$508,$BI179,$BK$9:$BK$508,$BK179,$BM$9:$BM$508,$BM179,$BO$9:$BO$508,$BO179,$BQ$9:$BQ$508,"&lt;"&amp;$BQ179)+1))</f>
        <v/>
      </c>
      <c r="BS179" s="87" t="str">
        <f aca="false">IF(ISBLANK($C179),"",IF($BD179&lt;&gt;Constants!$B$6,$BD179,$BI179-$BR179))</f>
        <v/>
      </c>
      <c r="BT179" s="94"/>
      <c r="BU179" s="95"/>
      <c r="BV179" s="95" t="str">
        <f aca="false">IF(ISBLANK($C179),"",IF($BD179&lt;&gt;Constants!$B$6,"",IF($AU179="-&gt;",2,1)))</f>
        <v/>
      </c>
      <c r="BW179" s="96" t="str">
        <f aca="false">IF(ISBLANK($C179),"",IF($BD179&lt;&gt;Constants!$B$6,"",IF($AU179="-&gt;",$AW179,$AN179)))</f>
        <v/>
      </c>
      <c r="BX179" s="96" t="str">
        <f aca="false">IF(ISBLANK($C179),"",IF($BD179&lt;&gt;Constants!$B$6,"",IF($AU179="-&gt;",$AX179,$AO179)))</f>
        <v/>
      </c>
      <c r="BY179" s="96" t="str">
        <f aca="false">IF(ISBLANK($C179),"",IF($BD179&lt;&gt;Constants!$B$6,"",IF($AU179="-&gt;",$AY179,$AP179)))</f>
        <v/>
      </c>
      <c r="BZ179" s="96" t="str">
        <f aca="false">IF(ISBLANK($C179),"",IF($BD179&lt;&gt;Constants!$B$6,"",IF($AU179="-&gt;",$AZ179,$AQ179)+$BG179))</f>
        <v/>
      </c>
      <c r="CA179" s="97" t="str">
        <f aca="false">IF(ISBLANK($C179),"",IF($BD179&lt;&gt;Constants!$B$6,$BD179,$BH179))</f>
        <v/>
      </c>
      <c r="CB179" s="98" t="str">
        <f aca="false">IF(ISBLANK($C179),"",$BE179)</f>
        <v/>
      </c>
      <c r="CC179" s="99" t="str">
        <f aca="false">IF(ISBLANK($C179),"",$BS179)</f>
        <v/>
      </c>
      <c r="CD179" s="99" t="str">
        <f aca="false">IF(ISBLANK($C179),"",$BR179)</f>
        <v/>
      </c>
      <c r="CE179" s="100" t="str">
        <f aca="false">IF(ISBLANK($C179),"",IF($CD179=Constants!$B$9,COUNTA($C$9:$C$508)+2,IF($CD179=Constants!$B$8,COUNTA($C$9:$C$508)+1,IF($CD179=Constants!$B$7,COUNTA($C$9:$C$508),$CD179))))</f>
        <v/>
      </c>
      <c r="CF179" s="9"/>
      <c r="CG179" s="101" t="n">
        <f aca="false">IF(OR(ISNUMBER($CD179),$CD179=Constants!$B$9,$CD179=Constants!$B$7,$CD179=Constants!$B$8),1,0)</f>
        <v>0</v>
      </c>
      <c r="CH179" s="101" t="n">
        <v>171</v>
      </c>
      <c r="CI179" s="101" t="str">
        <f aca="false">IF(ISBLANK($C179),"",IF(ISNUMBER($CE179),$CE179+ROW($B179)/1000,""))</f>
        <v/>
      </c>
      <c r="CJ179" s="101" t="str">
        <f aca="false">IF(ISNUMBER($CI179),RANK($CI179,$CI$9:$CI$508,1),"")</f>
        <v/>
      </c>
      <c r="CK179" s="101" t="str">
        <f aca="false">IF(ISBLANK($C179),"",$B179)</f>
        <v/>
      </c>
      <c r="CL179" s="101" t="str">
        <f aca="false">IF(ISBLANK($C179),"",$C179)</f>
        <v/>
      </c>
      <c r="CM179" s="101" t="str">
        <f aca="false">IF(ISBLANK($C179),"",$D179)</f>
        <v/>
      </c>
      <c r="CN179" s="102" t="str">
        <f aca="false">$CB179</f>
        <v/>
      </c>
      <c r="CO179" s="103" t="str">
        <f aca="false">$CA179</f>
        <v/>
      </c>
      <c r="CP179" s="101" t="str">
        <f aca="false">IF(ISBLANK($C179),"",$CD179)</f>
        <v/>
      </c>
      <c r="CQ179" s="104" t="str">
        <f aca="false">IF($CH179&gt;$CG$8,"",VLOOKUP($CH179,$CJ$9:$CP$508,7,FALSE()))</f>
        <v/>
      </c>
      <c r="CR179" s="105" t="str">
        <f aca="false">IF($CH179&gt;$CG$8,"",VLOOKUP($CH179,$CJ$9:$CP$508,2,FALSE()))</f>
        <v/>
      </c>
      <c r="CS179" s="105" t="str">
        <f aca="false">IF($CH179&gt;$CG$8,"",VLOOKUP($CH179,$CJ$9:$CP$508,3,FALSE()))</f>
        <v/>
      </c>
      <c r="CT179" s="105" t="str">
        <f aca="false">IF($CH179&gt;$CG$8,"",VLOOKUP($CH179,$CJ$9:$CP$508,4,FALSE()))</f>
        <v/>
      </c>
      <c r="CU179" s="105" t="str">
        <f aca="false">IF($CH179&gt;$CG$8,"",VLOOKUP($CH179,$CJ$9:$CP$508,5,FALSE()))</f>
        <v/>
      </c>
      <c r="CV179" s="106" t="str">
        <f aca="false">IF($CH179&gt;$CG$8,"",VLOOKUP($CH179,$CJ$9:$CP$508,6,FALSE()))</f>
        <v/>
      </c>
      <c r="CW179" s="71"/>
    </row>
    <row r="180" customFormat="false" ht="15.75" hidden="false" customHeight="false" outlineLevel="0" collapsed="false">
      <c r="A180" s="9"/>
      <c r="B180" s="150"/>
      <c r="C180" s="151"/>
      <c r="D180" s="152"/>
      <c r="E180" s="170"/>
      <c r="F180" s="154"/>
      <c r="G180" s="155"/>
      <c r="H180" s="171"/>
      <c r="I180" s="159"/>
      <c r="J180" s="120"/>
      <c r="K180" s="121"/>
      <c r="L180" s="122"/>
      <c r="M180" s="158"/>
      <c r="N180" s="159"/>
      <c r="O180" s="159"/>
      <c r="P180" s="120"/>
      <c r="Q180" s="122"/>
      <c r="R180" s="122"/>
      <c r="S180" s="158"/>
      <c r="T180" s="159"/>
      <c r="U180" s="126"/>
      <c r="V180" s="127"/>
      <c r="W180" s="127" t="str">
        <f aca="false">IF(ISBLANK($C180),"",IF(E180=Constants!$B$2,TRUE(),IF(E180=Constants!$B$3,FALSE(),TRUE())))</f>
        <v/>
      </c>
      <c r="X180" s="127" t="str">
        <f aca="false">IF(ISBLANK($C180),"",IF(F180=Constants!$B$2,TRUE(),IF(F180=Constants!$B$3,FALSE(),TRUE())))</f>
        <v/>
      </c>
      <c r="Y180" s="127" t="str">
        <f aca="false">IF(ISBLANK($C180),"",IF(G180=Constants!$B$2,TRUE(),IF(G180=Constants!$B$3,FALSE(),TRUE())))</f>
        <v/>
      </c>
      <c r="Z180" s="127" t="str">
        <f aca="false">IF(ISBLANK($C180),"",IF(H180=Constants!$B$2,TRUE(),IF(H180=Constants!$B$3,FALSE(),TRUE())))</f>
        <v/>
      </c>
      <c r="AA180" s="127" t="str">
        <f aca="false">IF(ISBLANK($C180),"",IF(I180=Constants!$B$2,TRUE(),IF(I180=Constants!$B$3,FALSE(),TRUE())))</f>
        <v/>
      </c>
      <c r="AB180" s="127" t="str">
        <f aca="false">IF(ISBLANK($C180),"",IF(J180=Constants!$B$4,TRUE(),IF(J180=Constants!$B$5,FALSE(),COUNTA(K180:M180)&gt;0)))</f>
        <v/>
      </c>
      <c r="AC180" s="128" t="str">
        <f aca="false">IF(ISBLANK($C180),"",IF(ISNUMBER(K180),IF(K180&gt;=0,K180,""),""))</f>
        <v/>
      </c>
      <c r="AD180" s="129" t="str">
        <f aca="false">IF(ISBLANK($C180),"",IF(ISNUMBER(L180),IF(L180&gt;=0,L180,""),""))</f>
        <v/>
      </c>
      <c r="AE180" s="127" t="str">
        <f aca="false">IF(ISBLANK($C180),"",IF(ISNUMBER(M180),IF(M180&gt;=0,MIN(M180,Constants!$B$22),""),""))</f>
        <v/>
      </c>
      <c r="AF180" s="127" t="str">
        <f aca="false">IF(ISBLANK($C180),"",IF(N180=Constants!$B$2,TRUE(),IF(N180=Constants!$B$3,FALSE(),TRUE())))</f>
        <v/>
      </c>
      <c r="AG180" s="127" t="str">
        <f aca="false">IF(ISBLANK($C180),"",IF(O180=Constants!$B$2,TRUE(),IF(O180=Constants!$B$3,FALSE(),TRUE())))</f>
        <v/>
      </c>
      <c r="AH180" s="127" t="str">
        <f aca="false">IF(ISBLANK($C180),"",IF(P180=Constants!$B$4,TRUE(),IF(P180=Constants!$B$5,FALSE(),COUNTA(Q180:S180)&gt;0)))</f>
        <v/>
      </c>
      <c r="AI180" s="128" t="str">
        <f aca="false">IF(ISBLANK($C180),"",IF(ISNUMBER(Q180),IF(Q180&gt;=0,Q180,""),""))</f>
        <v/>
      </c>
      <c r="AJ180" s="129" t="str">
        <f aca="false">IF(ISBLANK($C180),"",IF(ISNUMBER(R180),IF(R180&gt;=0,R180,""),""))</f>
        <v/>
      </c>
      <c r="AK180" s="127" t="str">
        <f aca="false">IF(ISBLANK($C180),"",IF(ISNUMBER(S180),IF(S180&gt;=0,MIN(S180,Constants!$B$22),""),""))</f>
        <v/>
      </c>
      <c r="AL180" s="127" t="str">
        <f aca="false">IF(ISBLANK($C180),"",IF(T180=Constants!$B$2,TRUE(),IF(T180=Constants!$B$3,FALSE(),FALSE())))</f>
        <v/>
      </c>
      <c r="AM180" s="126" t="str">
        <f aca="false">IF(ISBLANK($C180),"",AND($AB180,OR($AC180="",$AD180="",AND(NOT(ISBLANK($M180)),$AE180=""))))</f>
        <v/>
      </c>
      <c r="AN180" s="129" t="str">
        <f aca="false">IF($BD180&lt;&gt;Constants!$B$6,"",IF($AB180,Constants!$B$17*$AD180,Constants!$B$18))</f>
        <v/>
      </c>
      <c r="AO180" s="130" t="str">
        <f aca="false">IF($BD180&lt;&gt;Constants!$B$6,"",Constants!$B$19*IF($AB180,$AC180,0))</f>
        <v/>
      </c>
      <c r="AP180" s="130" t="str">
        <f aca="false">IF($BD180&lt;&gt;Constants!$B$6,"",IF(AND($AB180,ISNUMBER($AE180)),Constants!$B$20*(Constants!$B$21-$AE180),0))</f>
        <v/>
      </c>
      <c r="AQ180" s="130" t="str">
        <f aca="false">IF($BD180&lt;&gt;Constants!$B$6,"",IF($AA180,0,Constants!$B$12)+IF($Z180,0,Constants!$B$13)+IF($Y180,0,Constants!$B$14))</f>
        <v/>
      </c>
      <c r="AR180" s="131" t="str">
        <f aca="false">IF($BD180&lt;&gt;Constants!$B$6,"",Constants!$B$16+SUM($AN180:$AQ180))</f>
        <v/>
      </c>
      <c r="AS180" s="130" t="str">
        <f aca="false">IF($BD180&lt;&gt;Constants!$B$6,"",IF($AB180,$AD180,""))</f>
        <v/>
      </c>
      <c r="AT180" s="132" t="str">
        <f aca="false">IF($BD180&lt;&gt;Constants!$B$6,"",$AO180)</f>
        <v/>
      </c>
      <c r="AU180" s="127" t="str">
        <f aca="false">IF($BD180&lt;&gt;Constants!$B$6,"",IF(OR($BA180&lt;$AR180,AND($BA180=$AR180,OR(AND(ISNUMBER($BB180),OR(NOT(ISNUMBER($AS180)),$BB180&lt;$AS180)),AND(OR(AND($BB180="",$AS180=""),AND(ISNUMBER($BB180),ISNUMBER($AS180),$BB180=$AS180)),$BC180&lt;$AT180)))),"-&gt;","&lt;-"))</f>
        <v/>
      </c>
      <c r="AV180" s="126" t="str">
        <f aca="false">IF(ISBLANK($C180),"",AND($AH180,OR($AI180="",$AJ180="",AND(NOT(ISBLANK($S180)),$AK180=""))))</f>
        <v/>
      </c>
      <c r="AW180" s="129" t="str">
        <f aca="false">IF($BD180&lt;&gt;Constants!$B$6,"",IF($AH180,Constants!$B$17*$AJ180,Constants!$B$18))</f>
        <v/>
      </c>
      <c r="AX180" s="130" t="str">
        <f aca="false">IF($BD180&lt;&gt;Constants!$B$6,"",Constants!$B$19*IF($AH180,$AI180,0))</f>
        <v/>
      </c>
      <c r="AY180" s="130" t="str">
        <f aca="false">IF($BD180&lt;&gt;Constants!$B$6,"",IF(AND($AH180,ISNUMBER($AK180)),Constants!$B$20*(Constants!$B$21-$AK180),0))</f>
        <v/>
      </c>
      <c r="AZ180" s="130" t="str">
        <f aca="false">IF($BD180&lt;&gt;Constants!$B$6,"",IF($AG180,0,Constants!$B$12)+IF($AF180,0,Constants!$B$13)+IF($Y180,0,Constants!$B$14))</f>
        <v/>
      </c>
      <c r="BA180" s="131" t="str">
        <f aca="false">IF($BD180&lt;&gt;Constants!$B$6,"",Constants!$B$16+SUM($AW180:$AZ180))</f>
        <v/>
      </c>
      <c r="BB180" s="130" t="str">
        <f aca="false">IF($BD180&lt;&gt;Constants!$B$6,"",IF($AH180,$AJ180,""))</f>
        <v/>
      </c>
      <c r="BC180" s="132" t="str">
        <f aca="false">IF($BD180&lt;&gt;Constants!$B$6,"",$AX180)</f>
        <v/>
      </c>
      <c r="BD180" s="127" t="str">
        <f aca="false">IF(ISBLANK($C180),"",IF($AL180,Constants!$B$9,IF(COUNTA($E180:$T180)=0,Constants!$B$8,IF(NOT($X180),Constants!$B$7,IF(OR($AM180,$AV180),Constants!$B$10,Constants!$B$6)))))</f>
        <v/>
      </c>
      <c r="BE180" s="127" t="str">
        <f aca="false">IF(ISBLANK($C180),"",IF($BD180&lt;&gt;Constants!$B$6,$BD180,Constants!$B$11))</f>
        <v/>
      </c>
      <c r="BF180" s="130" t="str">
        <f aca="false">IF($BD180&lt;&gt;Constants!$B$6,"",IF($AU180="-&gt;",$BA180,$AR180))</f>
        <v/>
      </c>
      <c r="BG180" s="130" t="str">
        <f aca="false">IF($BD180&lt;&gt;Constants!$B$6,"",IF($W180,0,Constants!$B$15))</f>
        <v/>
      </c>
      <c r="BH180" s="130" t="str">
        <f aca="false">IF(ISBLANK($C180),"",IF($BD180&lt;&gt;Constants!$B$6,$BD180,SUM($BF180:$BG180)))</f>
        <v/>
      </c>
      <c r="BI180" s="127" t="str">
        <f aca="false">IF(ISBLANK($C180),"",IF($BD180&lt;&gt;Constants!$B$6,$BD180,RANK($BH180,$BH$9:$BH$508,1)))</f>
        <v/>
      </c>
      <c r="BJ180" s="130" t="str">
        <f aca="false">IF($BD180&lt;&gt;Constants!$B$6,"",IF($AU180="-&gt;",$BB180,$AS180))</f>
        <v/>
      </c>
      <c r="BK180" s="127" t="str">
        <f aca="false">IF(ISBLANK($C180),"",IF($BD180&lt;&gt;Constants!$B$6,$BD180,IF(ISNUMBER($BJ180),RANK($BJ180,$BJ$9:$BJ$508,1),COUNT($BJ$9:$BJ$508)+1)))</f>
        <v/>
      </c>
      <c r="BL180" s="130" t="str">
        <f aca="false">IF($BD180&lt;&gt;Constants!$B$6,"",IF($AU180="-&gt;",$BC180,$AT180))</f>
        <v/>
      </c>
      <c r="BM180" s="127" t="str">
        <f aca="false">IF(ISBLANK($C180),"",IF($BD180&lt;&gt;Constants!$B$6,$BD180,IF(ISNUMBER($BL180),RANK($BL180,$BL$9:$BL$508,1),COUNT($BL$9:$BL$508)+1)))</f>
        <v/>
      </c>
      <c r="BN180" s="130" t="str">
        <f aca="false">IF($BD180&lt;&gt;Constants!$B$6,"",IF($AU180="-&gt;",$AS180,$BB180))</f>
        <v/>
      </c>
      <c r="BO180" s="127" t="str">
        <f aca="false">IF(ISBLANK($C180),"",IF($BD180&lt;&gt;Constants!$B$6,$BD180,IF(ISNUMBER($BN180),RANK($BN180,$BN$9:$BN$508,1),COUNT($BN$9:$BN$508)+1)))</f>
        <v/>
      </c>
      <c r="BP180" s="130" t="str">
        <f aca="false">IF($BD180&lt;&gt;Constants!$B$6,"",IF($AU180="-&gt;",$AT180,$BC180))</f>
        <v/>
      </c>
      <c r="BQ180" s="127" t="str">
        <f aca="false">IF(ISBLANK($C180),"",IF($BD180&lt;&gt;Constants!$B$6,$BD180,IF(ISNUMBER($BP180),RANK($BP180,$BP$9:$BP$508,1),COUNT($BP$9:$BP$508)+1)))</f>
        <v/>
      </c>
      <c r="BR180" s="127" t="str">
        <f aca="false">IF(ISBLANK($C180),"",IF($BD180&lt;&gt;Constants!$B$6,$BD180,COUNTIFS($BI$9:$BI$508,"&lt;"&amp;$BI180)+COUNTIFS($BI$9:$BI$508,$BI180,$BK$9:$BK$508,"&lt;"&amp;$BK180)+COUNTIFS($BI$9:$BI$508,$BI180,$BK$9:$BK$508,$BK180,$BM$9:$BM$508,"&lt;"&amp;$BM180)+COUNTIFS($BI$9:$BI$508,$BI180,$BK$9:$BK$508,$BK180,$BM$9:$BM$508,$BM180,$BO$9:$BO$508,"&lt;"&amp;$BO180)+COUNTIFS($BI$9:$BI$508,$BI180,$BK$9:$BK$508,$BK180,$BM$9:$BM$508,$BM180,$BO$9:$BO$508,$BO180,$BQ$9:$BQ$508,"&lt;"&amp;$BQ180)+1))</f>
        <v/>
      </c>
      <c r="BS180" s="127" t="str">
        <f aca="false">IF(ISBLANK($C180),"",IF($BD180&lt;&gt;Constants!$B$6,$BD180,$BI180-$BR180))</f>
        <v/>
      </c>
      <c r="BT180" s="133"/>
      <c r="BU180" s="134"/>
      <c r="BV180" s="134" t="str">
        <f aca="false">IF(ISBLANK($C180),"",IF($BD180&lt;&gt;Constants!$B$6,"",IF($AU180="-&gt;",2,1)))</f>
        <v/>
      </c>
      <c r="BW180" s="135" t="str">
        <f aca="false">IF(ISBLANK($C180),"",IF($BD180&lt;&gt;Constants!$B$6,"",IF($AU180="-&gt;",$AW180,$AN180)))</f>
        <v/>
      </c>
      <c r="BX180" s="135" t="str">
        <f aca="false">IF(ISBLANK($C180),"",IF($BD180&lt;&gt;Constants!$B$6,"",IF($AU180="-&gt;",$AX180,$AO180)))</f>
        <v/>
      </c>
      <c r="BY180" s="135" t="str">
        <f aca="false">IF(ISBLANK($C180),"",IF($BD180&lt;&gt;Constants!$B$6,"",IF($AU180="-&gt;",$AY180,$AP180)))</f>
        <v/>
      </c>
      <c r="BZ180" s="135" t="str">
        <f aca="false">IF(ISBLANK($C180),"",IF($BD180&lt;&gt;Constants!$B$6,"",IF($AU180="-&gt;",$AZ180,$AQ180)+$BG180))</f>
        <v/>
      </c>
      <c r="CA180" s="136" t="str">
        <f aca="false">IF(ISBLANK($C180),"",IF($BD180&lt;&gt;Constants!$B$6,$BD180,$BH180))</f>
        <v/>
      </c>
      <c r="CB180" s="137" t="str">
        <f aca="false">IF(ISBLANK($C180),"",$BE180)</f>
        <v/>
      </c>
      <c r="CC180" s="138" t="str">
        <f aca="false">IF(ISBLANK($C180),"",$BS180)</f>
        <v/>
      </c>
      <c r="CD180" s="138" t="str">
        <f aca="false">IF(ISBLANK($C180),"",$BR180)</f>
        <v/>
      </c>
      <c r="CE180" s="139" t="str">
        <f aca="false">IF(ISBLANK($C180),"",IF($CD180=Constants!$B$9,COUNTA($C$9:$C$508)+2,IF($CD180=Constants!$B$8,COUNTA($C$9:$C$508)+1,IF($CD180=Constants!$B$7,COUNTA($C$9:$C$508),$CD180))))</f>
        <v/>
      </c>
      <c r="CF180" s="9"/>
      <c r="CG180" s="140" t="n">
        <f aca="false">IF(OR(ISNUMBER($CD180),$CD180=Constants!$B$9,$CD180=Constants!$B$7,$CD180=Constants!$B$8),1,0)</f>
        <v>0</v>
      </c>
      <c r="CH180" s="140" t="n">
        <v>172</v>
      </c>
      <c r="CI180" s="140" t="str">
        <f aca="false">IF(ISBLANK($C180),"",IF(ISNUMBER($CE180),$CE180+ROW($B180)/1000,""))</f>
        <v/>
      </c>
      <c r="CJ180" s="140" t="str">
        <f aca="false">IF(ISNUMBER($CI180),RANK($CI180,$CI$9:$CI$508,1),"")</f>
        <v/>
      </c>
      <c r="CK180" s="140" t="str">
        <f aca="false">IF(ISBLANK($C180),"",$B180)</f>
        <v/>
      </c>
      <c r="CL180" s="140" t="str">
        <f aca="false">IF(ISBLANK($C180),"",$C180)</f>
        <v/>
      </c>
      <c r="CM180" s="140" t="str">
        <f aca="false">IF(ISBLANK($C180),"",$D180)</f>
        <v/>
      </c>
      <c r="CN180" s="141" t="str">
        <f aca="false">$CB180</f>
        <v/>
      </c>
      <c r="CO180" s="142" t="str">
        <f aca="false">$CA180</f>
        <v/>
      </c>
      <c r="CP180" s="140" t="str">
        <f aca="false">IF(ISBLANK($C180),"",$CD180)</f>
        <v/>
      </c>
      <c r="CQ180" s="143" t="str">
        <f aca="false">IF($CH180&gt;$CG$8,"",VLOOKUP($CH180,$CJ$9:$CP$508,7,FALSE()))</f>
        <v/>
      </c>
      <c r="CR180" s="144" t="str">
        <f aca="false">IF($CH180&gt;$CG$8,"",VLOOKUP($CH180,$CJ$9:$CP$508,2,FALSE()))</f>
        <v/>
      </c>
      <c r="CS180" s="144" t="str">
        <f aca="false">IF($CH180&gt;$CG$8,"",VLOOKUP($CH180,$CJ$9:$CP$508,3,FALSE()))</f>
        <v/>
      </c>
      <c r="CT180" s="144" t="str">
        <f aca="false">IF($CH180&gt;$CG$8,"",VLOOKUP($CH180,$CJ$9:$CP$508,4,FALSE()))</f>
        <v/>
      </c>
      <c r="CU180" s="144" t="str">
        <f aca="false">IF($CH180&gt;$CG$8,"",VLOOKUP($CH180,$CJ$9:$CP$508,5,FALSE()))</f>
        <v/>
      </c>
      <c r="CV180" s="145" t="str">
        <f aca="false">IF($CH180&gt;$CG$8,"",VLOOKUP($CH180,$CJ$9:$CP$508,6,FALSE()))</f>
        <v/>
      </c>
      <c r="CW180" s="71"/>
    </row>
    <row r="181" customFormat="false" ht="15.75" hidden="false" customHeight="false" outlineLevel="0" collapsed="false">
      <c r="A181" s="9"/>
      <c r="B181" s="150"/>
      <c r="C181" s="151"/>
      <c r="D181" s="152"/>
      <c r="E181" s="170"/>
      <c r="F181" s="154"/>
      <c r="G181" s="155"/>
      <c r="H181" s="171"/>
      <c r="I181" s="159"/>
      <c r="J181" s="120"/>
      <c r="K181" s="121"/>
      <c r="L181" s="122"/>
      <c r="M181" s="158"/>
      <c r="N181" s="159"/>
      <c r="O181" s="159"/>
      <c r="P181" s="120"/>
      <c r="Q181" s="122"/>
      <c r="R181" s="122"/>
      <c r="S181" s="158"/>
      <c r="T181" s="159"/>
      <c r="U181" s="126"/>
      <c r="V181" s="127"/>
      <c r="W181" s="127" t="str">
        <f aca="false">IF(ISBLANK($C181),"",IF(E181=Constants!$B$2,TRUE(),IF(E181=Constants!$B$3,FALSE(),TRUE())))</f>
        <v/>
      </c>
      <c r="X181" s="127" t="str">
        <f aca="false">IF(ISBLANK($C181),"",IF(F181=Constants!$B$2,TRUE(),IF(F181=Constants!$B$3,FALSE(),TRUE())))</f>
        <v/>
      </c>
      <c r="Y181" s="127" t="str">
        <f aca="false">IF(ISBLANK($C181),"",IF(G181=Constants!$B$2,TRUE(),IF(G181=Constants!$B$3,FALSE(),TRUE())))</f>
        <v/>
      </c>
      <c r="Z181" s="127" t="str">
        <f aca="false">IF(ISBLANK($C181),"",IF(H181=Constants!$B$2,TRUE(),IF(H181=Constants!$B$3,FALSE(),TRUE())))</f>
        <v/>
      </c>
      <c r="AA181" s="127" t="str">
        <f aca="false">IF(ISBLANK($C181),"",IF(I181=Constants!$B$2,TRUE(),IF(I181=Constants!$B$3,FALSE(),TRUE())))</f>
        <v/>
      </c>
      <c r="AB181" s="127" t="str">
        <f aca="false">IF(ISBLANK($C181),"",IF(J181=Constants!$B$4,TRUE(),IF(J181=Constants!$B$5,FALSE(),COUNTA(K181:M181)&gt;0)))</f>
        <v/>
      </c>
      <c r="AC181" s="128" t="str">
        <f aca="false">IF(ISBLANK($C181),"",IF(ISNUMBER(K181),IF(K181&gt;=0,K181,""),""))</f>
        <v/>
      </c>
      <c r="AD181" s="129" t="str">
        <f aca="false">IF(ISBLANK($C181),"",IF(ISNUMBER(L181),IF(L181&gt;=0,L181,""),""))</f>
        <v/>
      </c>
      <c r="AE181" s="127" t="str">
        <f aca="false">IF(ISBLANK($C181),"",IF(ISNUMBER(M181),IF(M181&gt;=0,MIN(M181,Constants!$B$22),""),""))</f>
        <v/>
      </c>
      <c r="AF181" s="127" t="str">
        <f aca="false">IF(ISBLANK($C181),"",IF(N181=Constants!$B$2,TRUE(),IF(N181=Constants!$B$3,FALSE(),TRUE())))</f>
        <v/>
      </c>
      <c r="AG181" s="127" t="str">
        <f aca="false">IF(ISBLANK($C181),"",IF(O181=Constants!$B$2,TRUE(),IF(O181=Constants!$B$3,FALSE(),TRUE())))</f>
        <v/>
      </c>
      <c r="AH181" s="127" t="str">
        <f aca="false">IF(ISBLANK($C181),"",IF(P181=Constants!$B$4,TRUE(),IF(P181=Constants!$B$5,FALSE(),COUNTA(Q181:S181)&gt;0)))</f>
        <v/>
      </c>
      <c r="AI181" s="128" t="str">
        <f aca="false">IF(ISBLANK($C181),"",IF(ISNUMBER(Q181),IF(Q181&gt;=0,Q181,""),""))</f>
        <v/>
      </c>
      <c r="AJ181" s="129" t="str">
        <f aca="false">IF(ISBLANK($C181),"",IF(ISNUMBER(R181),IF(R181&gt;=0,R181,""),""))</f>
        <v/>
      </c>
      <c r="AK181" s="127" t="str">
        <f aca="false">IF(ISBLANK($C181),"",IF(ISNUMBER(S181),IF(S181&gt;=0,MIN(S181,Constants!$B$22),""),""))</f>
        <v/>
      </c>
      <c r="AL181" s="127" t="str">
        <f aca="false">IF(ISBLANK($C181),"",IF(T181=Constants!$B$2,TRUE(),IF(T181=Constants!$B$3,FALSE(),FALSE())))</f>
        <v/>
      </c>
      <c r="AM181" s="126" t="str">
        <f aca="false">IF(ISBLANK($C181),"",AND($AB181,OR($AC181="",$AD181="",AND(NOT(ISBLANK($M181)),$AE181=""))))</f>
        <v/>
      </c>
      <c r="AN181" s="129" t="str">
        <f aca="false">IF($BD181&lt;&gt;Constants!$B$6,"",IF($AB181,Constants!$B$17*$AD181,Constants!$B$18))</f>
        <v/>
      </c>
      <c r="AO181" s="130" t="str">
        <f aca="false">IF($BD181&lt;&gt;Constants!$B$6,"",Constants!$B$19*IF($AB181,$AC181,0))</f>
        <v/>
      </c>
      <c r="AP181" s="130" t="str">
        <f aca="false">IF($BD181&lt;&gt;Constants!$B$6,"",IF(AND($AB181,ISNUMBER($AE181)),Constants!$B$20*(Constants!$B$21-$AE181),0))</f>
        <v/>
      </c>
      <c r="AQ181" s="130" t="str">
        <f aca="false">IF($BD181&lt;&gt;Constants!$B$6,"",IF($AA181,0,Constants!$B$12)+IF($Z181,0,Constants!$B$13)+IF($Y181,0,Constants!$B$14))</f>
        <v/>
      </c>
      <c r="AR181" s="131" t="str">
        <f aca="false">IF($BD181&lt;&gt;Constants!$B$6,"",Constants!$B$16+SUM($AN181:$AQ181))</f>
        <v/>
      </c>
      <c r="AS181" s="130" t="str">
        <f aca="false">IF($BD181&lt;&gt;Constants!$B$6,"",IF($AB181,$AD181,""))</f>
        <v/>
      </c>
      <c r="AT181" s="132" t="str">
        <f aca="false">IF($BD181&lt;&gt;Constants!$B$6,"",$AO181)</f>
        <v/>
      </c>
      <c r="AU181" s="127" t="str">
        <f aca="false">IF($BD181&lt;&gt;Constants!$B$6,"",IF(OR($BA181&lt;$AR181,AND($BA181=$AR181,OR(AND(ISNUMBER($BB181),OR(NOT(ISNUMBER($AS181)),$BB181&lt;$AS181)),AND(OR(AND($BB181="",$AS181=""),AND(ISNUMBER($BB181),ISNUMBER($AS181),$BB181=$AS181)),$BC181&lt;$AT181)))),"-&gt;","&lt;-"))</f>
        <v/>
      </c>
      <c r="AV181" s="126" t="str">
        <f aca="false">IF(ISBLANK($C181),"",AND($AH181,OR($AI181="",$AJ181="",AND(NOT(ISBLANK($S181)),$AK181=""))))</f>
        <v/>
      </c>
      <c r="AW181" s="129" t="str">
        <f aca="false">IF($BD181&lt;&gt;Constants!$B$6,"",IF($AH181,Constants!$B$17*$AJ181,Constants!$B$18))</f>
        <v/>
      </c>
      <c r="AX181" s="130" t="str">
        <f aca="false">IF($BD181&lt;&gt;Constants!$B$6,"",Constants!$B$19*IF($AH181,$AI181,0))</f>
        <v/>
      </c>
      <c r="AY181" s="130" t="str">
        <f aca="false">IF($BD181&lt;&gt;Constants!$B$6,"",IF(AND($AH181,ISNUMBER($AK181)),Constants!$B$20*(Constants!$B$21-$AK181),0))</f>
        <v/>
      </c>
      <c r="AZ181" s="130" t="str">
        <f aca="false">IF($BD181&lt;&gt;Constants!$B$6,"",IF($AG181,0,Constants!$B$12)+IF($AF181,0,Constants!$B$13)+IF($Y181,0,Constants!$B$14))</f>
        <v/>
      </c>
      <c r="BA181" s="131" t="str">
        <f aca="false">IF($BD181&lt;&gt;Constants!$B$6,"",Constants!$B$16+SUM($AW181:$AZ181))</f>
        <v/>
      </c>
      <c r="BB181" s="130" t="str">
        <f aca="false">IF($BD181&lt;&gt;Constants!$B$6,"",IF($AH181,$AJ181,""))</f>
        <v/>
      </c>
      <c r="BC181" s="132" t="str">
        <f aca="false">IF($BD181&lt;&gt;Constants!$B$6,"",$AX181)</f>
        <v/>
      </c>
      <c r="BD181" s="127" t="str">
        <f aca="false">IF(ISBLANK($C181),"",IF($AL181,Constants!$B$9,IF(COUNTA($E181:$T181)=0,Constants!$B$8,IF(NOT($X181),Constants!$B$7,IF(OR($AM181,$AV181),Constants!$B$10,Constants!$B$6)))))</f>
        <v/>
      </c>
      <c r="BE181" s="127" t="str">
        <f aca="false">IF(ISBLANK($C181),"",IF($BD181&lt;&gt;Constants!$B$6,$BD181,Constants!$B$11))</f>
        <v/>
      </c>
      <c r="BF181" s="130" t="str">
        <f aca="false">IF($BD181&lt;&gt;Constants!$B$6,"",IF($AU181="-&gt;",$BA181,$AR181))</f>
        <v/>
      </c>
      <c r="BG181" s="130" t="str">
        <f aca="false">IF($BD181&lt;&gt;Constants!$B$6,"",IF($W181,0,Constants!$B$15))</f>
        <v/>
      </c>
      <c r="BH181" s="130" t="str">
        <f aca="false">IF(ISBLANK($C181),"",IF($BD181&lt;&gt;Constants!$B$6,$BD181,SUM($BF181:$BG181)))</f>
        <v/>
      </c>
      <c r="BI181" s="127" t="str">
        <f aca="false">IF(ISBLANK($C181),"",IF($BD181&lt;&gt;Constants!$B$6,$BD181,RANK($BH181,$BH$9:$BH$508,1)))</f>
        <v/>
      </c>
      <c r="BJ181" s="130" t="str">
        <f aca="false">IF($BD181&lt;&gt;Constants!$B$6,"",IF($AU181="-&gt;",$BB181,$AS181))</f>
        <v/>
      </c>
      <c r="BK181" s="127" t="str">
        <f aca="false">IF(ISBLANK($C181),"",IF($BD181&lt;&gt;Constants!$B$6,$BD181,IF(ISNUMBER($BJ181),RANK($BJ181,$BJ$9:$BJ$508,1),COUNT($BJ$9:$BJ$508)+1)))</f>
        <v/>
      </c>
      <c r="BL181" s="130" t="str">
        <f aca="false">IF($BD181&lt;&gt;Constants!$B$6,"",IF($AU181="-&gt;",$BC181,$AT181))</f>
        <v/>
      </c>
      <c r="BM181" s="127" t="str">
        <f aca="false">IF(ISBLANK($C181),"",IF($BD181&lt;&gt;Constants!$B$6,$BD181,IF(ISNUMBER($BL181),RANK($BL181,$BL$9:$BL$508,1),COUNT($BL$9:$BL$508)+1)))</f>
        <v/>
      </c>
      <c r="BN181" s="130" t="str">
        <f aca="false">IF($BD181&lt;&gt;Constants!$B$6,"",IF($AU181="-&gt;",$AS181,$BB181))</f>
        <v/>
      </c>
      <c r="BO181" s="127" t="str">
        <f aca="false">IF(ISBLANK($C181),"",IF($BD181&lt;&gt;Constants!$B$6,$BD181,IF(ISNUMBER($BN181),RANK($BN181,$BN$9:$BN$508,1),COUNT($BN$9:$BN$508)+1)))</f>
        <v/>
      </c>
      <c r="BP181" s="130" t="str">
        <f aca="false">IF($BD181&lt;&gt;Constants!$B$6,"",IF($AU181="-&gt;",$AT181,$BC181))</f>
        <v/>
      </c>
      <c r="BQ181" s="127" t="str">
        <f aca="false">IF(ISBLANK($C181),"",IF($BD181&lt;&gt;Constants!$B$6,$BD181,IF(ISNUMBER($BP181),RANK($BP181,$BP$9:$BP$508,1),COUNT($BP$9:$BP$508)+1)))</f>
        <v/>
      </c>
      <c r="BR181" s="127" t="str">
        <f aca="false">IF(ISBLANK($C181),"",IF($BD181&lt;&gt;Constants!$B$6,$BD181,COUNTIFS($BI$9:$BI$508,"&lt;"&amp;$BI181)+COUNTIFS($BI$9:$BI$508,$BI181,$BK$9:$BK$508,"&lt;"&amp;$BK181)+COUNTIFS($BI$9:$BI$508,$BI181,$BK$9:$BK$508,$BK181,$BM$9:$BM$508,"&lt;"&amp;$BM181)+COUNTIFS($BI$9:$BI$508,$BI181,$BK$9:$BK$508,$BK181,$BM$9:$BM$508,$BM181,$BO$9:$BO$508,"&lt;"&amp;$BO181)+COUNTIFS($BI$9:$BI$508,$BI181,$BK$9:$BK$508,$BK181,$BM$9:$BM$508,$BM181,$BO$9:$BO$508,$BO181,$BQ$9:$BQ$508,"&lt;"&amp;$BQ181)+1))</f>
        <v/>
      </c>
      <c r="BS181" s="127" t="str">
        <f aca="false">IF(ISBLANK($C181),"",IF($BD181&lt;&gt;Constants!$B$6,$BD181,$BI181-$BR181))</f>
        <v/>
      </c>
      <c r="BT181" s="133"/>
      <c r="BU181" s="134"/>
      <c r="BV181" s="134" t="str">
        <f aca="false">IF(ISBLANK($C181),"",IF($BD181&lt;&gt;Constants!$B$6,"",IF($AU181="-&gt;",2,1)))</f>
        <v/>
      </c>
      <c r="BW181" s="135" t="str">
        <f aca="false">IF(ISBLANK($C181),"",IF($BD181&lt;&gt;Constants!$B$6,"",IF($AU181="-&gt;",$AW181,$AN181)))</f>
        <v/>
      </c>
      <c r="BX181" s="135" t="str">
        <f aca="false">IF(ISBLANK($C181),"",IF($BD181&lt;&gt;Constants!$B$6,"",IF($AU181="-&gt;",$AX181,$AO181)))</f>
        <v/>
      </c>
      <c r="BY181" s="135" t="str">
        <f aca="false">IF(ISBLANK($C181),"",IF($BD181&lt;&gt;Constants!$B$6,"",IF($AU181="-&gt;",$AY181,$AP181)))</f>
        <v/>
      </c>
      <c r="BZ181" s="135" t="str">
        <f aca="false">IF(ISBLANK($C181),"",IF($BD181&lt;&gt;Constants!$B$6,"",IF($AU181="-&gt;",$AZ181,$AQ181)+$BG181))</f>
        <v/>
      </c>
      <c r="CA181" s="136" t="str">
        <f aca="false">IF(ISBLANK($C181),"",IF($BD181&lt;&gt;Constants!$B$6,$BD181,$BH181))</f>
        <v/>
      </c>
      <c r="CB181" s="137" t="str">
        <f aca="false">IF(ISBLANK($C181),"",$BE181)</f>
        <v/>
      </c>
      <c r="CC181" s="138" t="str">
        <f aca="false">IF(ISBLANK($C181),"",$BS181)</f>
        <v/>
      </c>
      <c r="CD181" s="138" t="str">
        <f aca="false">IF(ISBLANK($C181),"",$BR181)</f>
        <v/>
      </c>
      <c r="CE181" s="139" t="str">
        <f aca="false">IF(ISBLANK($C181),"",IF($CD181=Constants!$B$9,COUNTA($C$9:$C$508)+2,IF($CD181=Constants!$B$8,COUNTA($C$9:$C$508)+1,IF($CD181=Constants!$B$7,COUNTA($C$9:$C$508),$CD181))))</f>
        <v/>
      </c>
      <c r="CF181" s="9"/>
      <c r="CG181" s="140" t="n">
        <f aca="false">IF(OR(ISNUMBER($CD181),$CD181=Constants!$B$9,$CD181=Constants!$B$7,$CD181=Constants!$B$8),1,0)</f>
        <v>0</v>
      </c>
      <c r="CH181" s="140" t="n">
        <v>173</v>
      </c>
      <c r="CI181" s="140" t="str">
        <f aca="false">IF(ISBLANK($C181),"",IF(ISNUMBER($CE181),$CE181+ROW($B181)/1000,""))</f>
        <v/>
      </c>
      <c r="CJ181" s="140" t="str">
        <f aca="false">IF(ISNUMBER($CI181),RANK($CI181,$CI$9:$CI$508,1),"")</f>
        <v/>
      </c>
      <c r="CK181" s="140" t="str">
        <f aca="false">IF(ISBLANK($C181),"",$B181)</f>
        <v/>
      </c>
      <c r="CL181" s="140" t="str">
        <f aca="false">IF(ISBLANK($C181),"",$C181)</f>
        <v/>
      </c>
      <c r="CM181" s="140" t="str">
        <f aca="false">IF(ISBLANK($C181),"",$D181)</f>
        <v/>
      </c>
      <c r="CN181" s="141" t="str">
        <f aca="false">$CB181</f>
        <v/>
      </c>
      <c r="CO181" s="142" t="str">
        <f aca="false">$CA181</f>
        <v/>
      </c>
      <c r="CP181" s="140" t="str">
        <f aca="false">IF(ISBLANK($C181),"",$CD181)</f>
        <v/>
      </c>
      <c r="CQ181" s="143" t="str">
        <f aca="false">IF($CH181&gt;$CG$8,"",VLOOKUP($CH181,$CJ$9:$CP$508,7,FALSE()))</f>
        <v/>
      </c>
      <c r="CR181" s="144" t="str">
        <f aca="false">IF($CH181&gt;$CG$8,"",VLOOKUP($CH181,$CJ$9:$CP$508,2,FALSE()))</f>
        <v/>
      </c>
      <c r="CS181" s="144" t="str">
        <f aca="false">IF($CH181&gt;$CG$8,"",VLOOKUP($CH181,$CJ$9:$CP$508,3,FALSE()))</f>
        <v/>
      </c>
      <c r="CT181" s="144" t="str">
        <f aca="false">IF($CH181&gt;$CG$8,"",VLOOKUP($CH181,$CJ$9:$CP$508,4,FALSE()))</f>
        <v/>
      </c>
      <c r="CU181" s="144" t="str">
        <f aca="false">IF($CH181&gt;$CG$8,"",VLOOKUP($CH181,$CJ$9:$CP$508,5,FALSE()))</f>
        <v/>
      </c>
      <c r="CV181" s="145" t="str">
        <f aca="false">IF($CH181&gt;$CG$8,"",VLOOKUP($CH181,$CJ$9:$CP$508,6,FALSE()))</f>
        <v/>
      </c>
      <c r="CW181" s="71"/>
    </row>
    <row r="182" customFormat="false" ht="15.75" hidden="false" customHeight="false" outlineLevel="0" collapsed="false">
      <c r="A182" s="9"/>
      <c r="B182" s="150"/>
      <c r="C182" s="151"/>
      <c r="D182" s="152"/>
      <c r="E182" s="170"/>
      <c r="F182" s="154"/>
      <c r="G182" s="155"/>
      <c r="H182" s="171"/>
      <c r="I182" s="159"/>
      <c r="J182" s="120"/>
      <c r="K182" s="121"/>
      <c r="L182" s="122"/>
      <c r="M182" s="158"/>
      <c r="N182" s="159"/>
      <c r="O182" s="159"/>
      <c r="P182" s="120"/>
      <c r="Q182" s="122"/>
      <c r="R182" s="122"/>
      <c r="S182" s="158"/>
      <c r="T182" s="159"/>
      <c r="U182" s="126"/>
      <c r="V182" s="127"/>
      <c r="W182" s="127" t="str">
        <f aca="false">IF(ISBLANK($C182),"",IF(E182=Constants!$B$2,TRUE(),IF(E182=Constants!$B$3,FALSE(),TRUE())))</f>
        <v/>
      </c>
      <c r="X182" s="127" t="str">
        <f aca="false">IF(ISBLANK($C182),"",IF(F182=Constants!$B$2,TRUE(),IF(F182=Constants!$B$3,FALSE(),TRUE())))</f>
        <v/>
      </c>
      <c r="Y182" s="127" t="str">
        <f aca="false">IF(ISBLANK($C182),"",IF(G182=Constants!$B$2,TRUE(),IF(G182=Constants!$B$3,FALSE(),TRUE())))</f>
        <v/>
      </c>
      <c r="Z182" s="127" t="str">
        <f aca="false">IF(ISBLANK($C182),"",IF(H182=Constants!$B$2,TRUE(),IF(H182=Constants!$B$3,FALSE(),TRUE())))</f>
        <v/>
      </c>
      <c r="AA182" s="127" t="str">
        <f aca="false">IF(ISBLANK($C182),"",IF(I182=Constants!$B$2,TRUE(),IF(I182=Constants!$B$3,FALSE(),TRUE())))</f>
        <v/>
      </c>
      <c r="AB182" s="127" t="str">
        <f aca="false">IF(ISBLANK($C182),"",IF(J182=Constants!$B$4,TRUE(),IF(J182=Constants!$B$5,FALSE(),COUNTA(K182:M182)&gt;0)))</f>
        <v/>
      </c>
      <c r="AC182" s="128" t="str">
        <f aca="false">IF(ISBLANK($C182),"",IF(ISNUMBER(K182),IF(K182&gt;=0,K182,""),""))</f>
        <v/>
      </c>
      <c r="AD182" s="129" t="str">
        <f aca="false">IF(ISBLANK($C182),"",IF(ISNUMBER(L182),IF(L182&gt;=0,L182,""),""))</f>
        <v/>
      </c>
      <c r="AE182" s="127" t="str">
        <f aca="false">IF(ISBLANK($C182),"",IF(ISNUMBER(M182),IF(M182&gt;=0,MIN(M182,Constants!$B$22),""),""))</f>
        <v/>
      </c>
      <c r="AF182" s="127" t="str">
        <f aca="false">IF(ISBLANK($C182),"",IF(N182=Constants!$B$2,TRUE(),IF(N182=Constants!$B$3,FALSE(),TRUE())))</f>
        <v/>
      </c>
      <c r="AG182" s="127" t="str">
        <f aca="false">IF(ISBLANK($C182),"",IF(O182=Constants!$B$2,TRUE(),IF(O182=Constants!$B$3,FALSE(),TRUE())))</f>
        <v/>
      </c>
      <c r="AH182" s="127" t="str">
        <f aca="false">IF(ISBLANK($C182),"",IF(P182=Constants!$B$4,TRUE(),IF(P182=Constants!$B$5,FALSE(),COUNTA(Q182:S182)&gt;0)))</f>
        <v/>
      </c>
      <c r="AI182" s="128" t="str">
        <f aca="false">IF(ISBLANK($C182),"",IF(ISNUMBER(Q182),IF(Q182&gt;=0,Q182,""),""))</f>
        <v/>
      </c>
      <c r="AJ182" s="129" t="str">
        <f aca="false">IF(ISBLANK($C182),"",IF(ISNUMBER(R182),IF(R182&gt;=0,R182,""),""))</f>
        <v/>
      </c>
      <c r="AK182" s="127" t="str">
        <f aca="false">IF(ISBLANK($C182),"",IF(ISNUMBER(S182),IF(S182&gt;=0,MIN(S182,Constants!$B$22),""),""))</f>
        <v/>
      </c>
      <c r="AL182" s="127" t="str">
        <f aca="false">IF(ISBLANK($C182),"",IF(T182=Constants!$B$2,TRUE(),IF(T182=Constants!$B$3,FALSE(),FALSE())))</f>
        <v/>
      </c>
      <c r="AM182" s="126" t="str">
        <f aca="false">IF(ISBLANK($C182),"",AND($AB182,OR($AC182="",$AD182="",AND(NOT(ISBLANK($M182)),$AE182=""))))</f>
        <v/>
      </c>
      <c r="AN182" s="129" t="str">
        <f aca="false">IF($BD182&lt;&gt;Constants!$B$6,"",IF($AB182,Constants!$B$17*$AD182,Constants!$B$18))</f>
        <v/>
      </c>
      <c r="AO182" s="130" t="str">
        <f aca="false">IF($BD182&lt;&gt;Constants!$B$6,"",Constants!$B$19*IF($AB182,$AC182,0))</f>
        <v/>
      </c>
      <c r="AP182" s="130" t="str">
        <f aca="false">IF($BD182&lt;&gt;Constants!$B$6,"",IF(AND($AB182,ISNUMBER($AE182)),Constants!$B$20*(Constants!$B$21-$AE182),0))</f>
        <v/>
      </c>
      <c r="AQ182" s="130" t="str">
        <f aca="false">IF($BD182&lt;&gt;Constants!$B$6,"",IF($AA182,0,Constants!$B$12)+IF($Z182,0,Constants!$B$13)+IF($Y182,0,Constants!$B$14))</f>
        <v/>
      </c>
      <c r="AR182" s="131" t="str">
        <f aca="false">IF($BD182&lt;&gt;Constants!$B$6,"",Constants!$B$16+SUM($AN182:$AQ182))</f>
        <v/>
      </c>
      <c r="AS182" s="130" t="str">
        <f aca="false">IF($BD182&lt;&gt;Constants!$B$6,"",IF($AB182,$AD182,""))</f>
        <v/>
      </c>
      <c r="AT182" s="132" t="str">
        <f aca="false">IF($BD182&lt;&gt;Constants!$B$6,"",$AO182)</f>
        <v/>
      </c>
      <c r="AU182" s="127" t="str">
        <f aca="false">IF($BD182&lt;&gt;Constants!$B$6,"",IF(OR($BA182&lt;$AR182,AND($BA182=$AR182,OR(AND(ISNUMBER($BB182),OR(NOT(ISNUMBER($AS182)),$BB182&lt;$AS182)),AND(OR(AND($BB182="",$AS182=""),AND(ISNUMBER($BB182),ISNUMBER($AS182),$BB182=$AS182)),$BC182&lt;$AT182)))),"-&gt;","&lt;-"))</f>
        <v/>
      </c>
      <c r="AV182" s="126" t="str">
        <f aca="false">IF(ISBLANK($C182),"",AND($AH182,OR($AI182="",$AJ182="",AND(NOT(ISBLANK($S182)),$AK182=""))))</f>
        <v/>
      </c>
      <c r="AW182" s="129" t="str">
        <f aca="false">IF($BD182&lt;&gt;Constants!$B$6,"",IF($AH182,Constants!$B$17*$AJ182,Constants!$B$18))</f>
        <v/>
      </c>
      <c r="AX182" s="130" t="str">
        <f aca="false">IF($BD182&lt;&gt;Constants!$B$6,"",Constants!$B$19*IF($AH182,$AI182,0))</f>
        <v/>
      </c>
      <c r="AY182" s="130" t="str">
        <f aca="false">IF($BD182&lt;&gt;Constants!$B$6,"",IF(AND($AH182,ISNUMBER($AK182)),Constants!$B$20*(Constants!$B$21-$AK182),0))</f>
        <v/>
      </c>
      <c r="AZ182" s="130" t="str">
        <f aca="false">IF($BD182&lt;&gt;Constants!$B$6,"",IF($AG182,0,Constants!$B$12)+IF($AF182,0,Constants!$B$13)+IF($Y182,0,Constants!$B$14))</f>
        <v/>
      </c>
      <c r="BA182" s="131" t="str">
        <f aca="false">IF($BD182&lt;&gt;Constants!$B$6,"",Constants!$B$16+SUM($AW182:$AZ182))</f>
        <v/>
      </c>
      <c r="BB182" s="130" t="str">
        <f aca="false">IF($BD182&lt;&gt;Constants!$B$6,"",IF($AH182,$AJ182,""))</f>
        <v/>
      </c>
      <c r="BC182" s="132" t="str">
        <f aca="false">IF($BD182&lt;&gt;Constants!$B$6,"",$AX182)</f>
        <v/>
      </c>
      <c r="BD182" s="127" t="str">
        <f aca="false">IF(ISBLANK($C182),"",IF($AL182,Constants!$B$9,IF(COUNTA($E182:$T182)=0,Constants!$B$8,IF(NOT($X182),Constants!$B$7,IF(OR($AM182,$AV182),Constants!$B$10,Constants!$B$6)))))</f>
        <v/>
      </c>
      <c r="BE182" s="127" t="str">
        <f aca="false">IF(ISBLANK($C182),"",IF($BD182&lt;&gt;Constants!$B$6,$BD182,Constants!$B$11))</f>
        <v/>
      </c>
      <c r="BF182" s="130" t="str">
        <f aca="false">IF($BD182&lt;&gt;Constants!$B$6,"",IF($AU182="-&gt;",$BA182,$AR182))</f>
        <v/>
      </c>
      <c r="BG182" s="130" t="str">
        <f aca="false">IF($BD182&lt;&gt;Constants!$B$6,"",IF($W182,0,Constants!$B$15))</f>
        <v/>
      </c>
      <c r="BH182" s="130" t="str">
        <f aca="false">IF(ISBLANK($C182),"",IF($BD182&lt;&gt;Constants!$B$6,$BD182,SUM($BF182:$BG182)))</f>
        <v/>
      </c>
      <c r="BI182" s="127" t="str">
        <f aca="false">IF(ISBLANK($C182),"",IF($BD182&lt;&gt;Constants!$B$6,$BD182,RANK($BH182,$BH$9:$BH$508,1)))</f>
        <v/>
      </c>
      <c r="BJ182" s="130" t="str">
        <f aca="false">IF($BD182&lt;&gt;Constants!$B$6,"",IF($AU182="-&gt;",$BB182,$AS182))</f>
        <v/>
      </c>
      <c r="BK182" s="127" t="str">
        <f aca="false">IF(ISBLANK($C182),"",IF($BD182&lt;&gt;Constants!$B$6,$BD182,IF(ISNUMBER($BJ182),RANK($BJ182,$BJ$9:$BJ$508,1),COUNT($BJ$9:$BJ$508)+1)))</f>
        <v/>
      </c>
      <c r="BL182" s="130" t="str">
        <f aca="false">IF($BD182&lt;&gt;Constants!$B$6,"",IF($AU182="-&gt;",$BC182,$AT182))</f>
        <v/>
      </c>
      <c r="BM182" s="127" t="str">
        <f aca="false">IF(ISBLANK($C182),"",IF($BD182&lt;&gt;Constants!$B$6,$BD182,IF(ISNUMBER($BL182),RANK($BL182,$BL$9:$BL$508,1),COUNT($BL$9:$BL$508)+1)))</f>
        <v/>
      </c>
      <c r="BN182" s="130" t="str">
        <f aca="false">IF($BD182&lt;&gt;Constants!$B$6,"",IF($AU182="-&gt;",$AS182,$BB182))</f>
        <v/>
      </c>
      <c r="BO182" s="127" t="str">
        <f aca="false">IF(ISBLANK($C182),"",IF($BD182&lt;&gt;Constants!$B$6,$BD182,IF(ISNUMBER($BN182),RANK($BN182,$BN$9:$BN$508,1),COUNT($BN$9:$BN$508)+1)))</f>
        <v/>
      </c>
      <c r="BP182" s="130" t="str">
        <f aca="false">IF($BD182&lt;&gt;Constants!$B$6,"",IF($AU182="-&gt;",$AT182,$BC182))</f>
        <v/>
      </c>
      <c r="BQ182" s="127" t="str">
        <f aca="false">IF(ISBLANK($C182),"",IF($BD182&lt;&gt;Constants!$B$6,$BD182,IF(ISNUMBER($BP182),RANK($BP182,$BP$9:$BP$508,1),COUNT($BP$9:$BP$508)+1)))</f>
        <v/>
      </c>
      <c r="BR182" s="127" t="str">
        <f aca="false">IF(ISBLANK($C182),"",IF($BD182&lt;&gt;Constants!$B$6,$BD182,COUNTIFS($BI$9:$BI$508,"&lt;"&amp;$BI182)+COUNTIFS($BI$9:$BI$508,$BI182,$BK$9:$BK$508,"&lt;"&amp;$BK182)+COUNTIFS($BI$9:$BI$508,$BI182,$BK$9:$BK$508,$BK182,$BM$9:$BM$508,"&lt;"&amp;$BM182)+COUNTIFS($BI$9:$BI$508,$BI182,$BK$9:$BK$508,$BK182,$BM$9:$BM$508,$BM182,$BO$9:$BO$508,"&lt;"&amp;$BO182)+COUNTIFS($BI$9:$BI$508,$BI182,$BK$9:$BK$508,$BK182,$BM$9:$BM$508,$BM182,$BO$9:$BO$508,$BO182,$BQ$9:$BQ$508,"&lt;"&amp;$BQ182)+1))</f>
        <v/>
      </c>
      <c r="BS182" s="127" t="str">
        <f aca="false">IF(ISBLANK($C182),"",IF($BD182&lt;&gt;Constants!$B$6,$BD182,$BI182-$BR182))</f>
        <v/>
      </c>
      <c r="BT182" s="133"/>
      <c r="BU182" s="134"/>
      <c r="BV182" s="134" t="str">
        <f aca="false">IF(ISBLANK($C182),"",IF($BD182&lt;&gt;Constants!$B$6,"",IF($AU182="-&gt;",2,1)))</f>
        <v/>
      </c>
      <c r="BW182" s="135" t="str">
        <f aca="false">IF(ISBLANK($C182),"",IF($BD182&lt;&gt;Constants!$B$6,"",IF($AU182="-&gt;",$AW182,$AN182)))</f>
        <v/>
      </c>
      <c r="BX182" s="135" t="str">
        <f aca="false">IF(ISBLANK($C182),"",IF($BD182&lt;&gt;Constants!$B$6,"",IF($AU182="-&gt;",$AX182,$AO182)))</f>
        <v/>
      </c>
      <c r="BY182" s="135" t="str">
        <f aca="false">IF(ISBLANK($C182),"",IF($BD182&lt;&gt;Constants!$B$6,"",IF($AU182="-&gt;",$AY182,$AP182)))</f>
        <v/>
      </c>
      <c r="BZ182" s="135" t="str">
        <f aca="false">IF(ISBLANK($C182),"",IF($BD182&lt;&gt;Constants!$B$6,"",IF($AU182="-&gt;",$AZ182,$AQ182)+$BG182))</f>
        <v/>
      </c>
      <c r="CA182" s="136" t="str">
        <f aca="false">IF(ISBLANK($C182),"",IF($BD182&lt;&gt;Constants!$B$6,$BD182,$BH182))</f>
        <v/>
      </c>
      <c r="CB182" s="137" t="str">
        <f aca="false">IF(ISBLANK($C182),"",$BE182)</f>
        <v/>
      </c>
      <c r="CC182" s="138" t="str">
        <f aca="false">IF(ISBLANK($C182),"",$BS182)</f>
        <v/>
      </c>
      <c r="CD182" s="138" t="str">
        <f aca="false">IF(ISBLANK($C182),"",$BR182)</f>
        <v/>
      </c>
      <c r="CE182" s="139" t="str">
        <f aca="false">IF(ISBLANK($C182),"",IF($CD182=Constants!$B$9,COUNTA($C$9:$C$508)+2,IF($CD182=Constants!$B$8,COUNTA($C$9:$C$508)+1,IF($CD182=Constants!$B$7,COUNTA($C$9:$C$508),$CD182))))</f>
        <v/>
      </c>
      <c r="CF182" s="9"/>
      <c r="CG182" s="140" t="n">
        <f aca="false">IF(OR(ISNUMBER($CD182),$CD182=Constants!$B$9,$CD182=Constants!$B$7,$CD182=Constants!$B$8),1,0)</f>
        <v>0</v>
      </c>
      <c r="CH182" s="140" t="n">
        <v>174</v>
      </c>
      <c r="CI182" s="140" t="str">
        <f aca="false">IF(ISBLANK($C182),"",IF(ISNUMBER($CE182),$CE182+ROW($B182)/1000,""))</f>
        <v/>
      </c>
      <c r="CJ182" s="140" t="str">
        <f aca="false">IF(ISNUMBER($CI182),RANK($CI182,$CI$9:$CI$508,1),"")</f>
        <v/>
      </c>
      <c r="CK182" s="140" t="str">
        <f aca="false">IF(ISBLANK($C182),"",$B182)</f>
        <v/>
      </c>
      <c r="CL182" s="140" t="str">
        <f aca="false">IF(ISBLANK($C182),"",$C182)</f>
        <v/>
      </c>
      <c r="CM182" s="140" t="str">
        <f aca="false">IF(ISBLANK($C182),"",$D182)</f>
        <v/>
      </c>
      <c r="CN182" s="141" t="str">
        <f aca="false">$CB182</f>
        <v/>
      </c>
      <c r="CO182" s="142" t="str">
        <f aca="false">$CA182</f>
        <v/>
      </c>
      <c r="CP182" s="140" t="str">
        <f aca="false">IF(ISBLANK($C182),"",$CD182)</f>
        <v/>
      </c>
      <c r="CQ182" s="143" t="str">
        <f aca="false">IF($CH182&gt;$CG$8,"",VLOOKUP($CH182,$CJ$9:$CP$508,7,FALSE()))</f>
        <v/>
      </c>
      <c r="CR182" s="144" t="str">
        <f aca="false">IF($CH182&gt;$CG$8,"",VLOOKUP($CH182,$CJ$9:$CP$508,2,FALSE()))</f>
        <v/>
      </c>
      <c r="CS182" s="144" t="str">
        <f aca="false">IF($CH182&gt;$CG$8,"",VLOOKUP($CH182,$CJ$9:$CP$508,3,FALSE()))</f>
        <v/>
      </c>
      <c r="CT182" s="144" t="str">
        <f aca="false">IF($CH182&gt;$CG$8,"",VLOOKUP($CH182,$CJ$9:$CP$508,4,FALSE()))</f>
        <v/>
      </c>
      <c r="CU182" s="144" t="str">
        <f aca="false">IF($CH182&gt;$CG$8,"",VLOOKUP($CH182,$CJ$9:$CP$508,5,FALSE()))</f>
        <v/>
      </c>
      <c r="CV182" s="145" t="str">
        <f aca="false">IF($CH182&gt;$CG$8,"",VLOOKUP($CH182,$CJ$9:$CP$508,6,FALSE()))</f>
        <v/>
      </c>
      <c r="CW182" s="71"/>
    </row>
    <row r="183" customFormat="false" ht="15.75" hidden="false" customHeight="false" outlineLevel="0" collapsed="false">
      <c r="A183" s="9"/>
      <c r="B183" s="72"/>
      <c r="C183" s="73"/>
      <c r="D183" s="160"/>
      <c r="E183" s="168"/>
      <c r="F183" s="162"/>
      <c r="G183" s="163"/>
      <c r="H183" s="169"/>
      <c r="I183" s="167"/>
      <c r="J183" s="80"/>
      <c r="K183" s="81"/>
      <c r="L183" s="82"/>
      <c r="M183" s="166"/>
      <c r="N183" s="167"/>
      <c r="O183" s="167"/>
      <c r="P183" s="80"/>
      <c r="Q183" s="82"/>
      <c r="R183" s="82"/>
      <c r="S183" s="166"/>
      <c r="T183" s="167"/>
      <c r="U183" s="86"/>
      <c r="V183" s="87"/>
      <c r="W183" s="87" t="str">
        <f aca="false">IF(ISBLANK($C183),"",IF(E183=Constants!$B$2,TRUE(),IF(E183=Constants!$B$3,FALSE(),TRUE())))</f>
        <v/>
      </c>
      <c r="X183" s="87" t="str">
        <f aca="false">IF(ISBLANK($C183),"",IF(F183=Constants!$B$2,TRUE(),IF(F183=Constants!$B$3,FALSE(),TRUE())))</f>
        <v/>
      </c>
      <c r="Y183" s="87" t="str">
        <f aca="false">IF(ISBLANK($C183),"",IF(G183=Constants!$B$2,TRUE(),IF(G183=Constants!$B$3,FALSE(),TRUE())))</f>
        <v/>
      </c>
      <c r="Z183" s="87" t="str">
        <f aca="false">IF(ISBLANK($C183),"",IF(H183=Constants!$B$2,TRUE(),IF(H183=Constants!$B$3,FALSE(),TRUE())))</f>
        <v/>
      </c>
      <c r="AA183" s="87" t="str">
        <f aca="false">IF(ISBLANK($C183),"",IF(I183=Constants!$B$2,TRUE(),IF(I183=Constants!$B$3,FALSE(),TRUE())))</f>
        <v/>
      </c>
      <c r="AB183" s="87" t="str">
        <f aca="false">IF(ISBLANK($C183),"",IF(J183=Constants!$B$4,TRUE(),IF(J183=Constants!$B$5,FALSE(),COUNTA(K183:M183)&gt;0)))</f>
        <v/>
      </c>
      <c r="AC183" s="88" t="str">
        <f aca="false">IF(ISBLANK($C183),"",IF(ISNUMBER(K183),IF(K183&gt;=0,K183,""),""))</f>
        <v/>
      </c>
      <c r="AD183" s="89" t="str">
        <f aca="false">IF(ISBLANK($C183),"",IF(ISNUMBER(L183),IF(L183&gt;=0,L183,""),""))</f>
        <v/>
      </c>
      <c r="AE183" s="87" t="str">
        <f aca="false">IF(ISBLANK($C183),"",IF(ISNUMBER(M183),IF(M183&gt;=0,MIN(M183,Constants!$B$22),""),""))</f>
        <v/>
      </c>
      <c r="AF183" s="87" t="str">
        <f aca="false">IF(ISBLANK($C183),"",IF(N183=Constants!$B$2,TRUE(),IF(N183=Constants!$B$3,FALSE(),TRUE())))</f>
        <v/>
      </c>
      <c r="AG183" s="87" t="str">
        <f aca="false">IF(ISBLANK($C183),"",IF(O183=Constants!$B$2,TRUE(),IF(O183=Constants!$B$3,FALSE(),TRUE())))</f>
        <v/>
      </c>
      <c r="AH183" s="87" t="str">
        <f aca="false">IF(ISBLANK($C183),"",IF(P183=Constants!$B$4,TRUE(),IF(P183=Constants!$B$5,FALSE(),COUNTA(Q183:S183)&gt;0)))</f>
        <v/>
      </c>
      <c r="AI183" s="88" t="str">
        <f aca="false">IF(ISBLANK($C183),"",IF(ISNUMBER(Q183),IF(Q183&gt;=0,Q183,""),""))</f>
        <v/>
      </c>
      <c r="AJ183" s="89" t="str">
        <f aca="false">IF(ISBLANK($C183),"",IF(ISNUMBER(R183),IF(R183&gt;=0,R183,""),""))</f>
        <v/>
      </c>
      <c r="AK183" s="87" t="str">
        <f aca="false">IF(ISBLANK($C183),"",IF(ISNUMBER(S183),IF(S183&gt;=0,MIN(S183,Constants!$B$22),""),""))</f>
        <v/>
      </c>
      <c r="AL183" s="87" t="str">
        <f aca="false">IF(ISBLANK($C183),"",IF(T183=Constants!$B$2,TRUE(),IF(T183=Constants!$B$3,FALSE(),FALSE())))</f>
        <v/>
      </c>
      <c r="AM183" s="86" t="str">
        <f aca="false">IF(ISBLANK($C183),"",AND($AB183,OR($AC183="",$AD183="",AND(NOT(ISBLANK($M183)),$AE183=""))))</f>
        <v/>
      </c>
      <c r="AN183" s="89" t="str">
        <f aca="false">IF($BD183&lt;&gt;Constants!$B$6,"",IF($AB183,Constants!$B$17*$AD183,Constants!$B$18))</f>
        <v/>
      </c>
      <c r="AO183" s="91" t="str">
        <f aca="false">IF($BD183&lt;&gt;Constants!$B$6,"",Constants!$B$19*IF($AB183,$AC183,0))</f>
        <v/>
      </c>
      <c r="AP183" s="91" t="str">
        <f aca="false">IF($BD183&lt;&gt;Constants!$B$6,"",IF(AND($AB183,ISNUMBER($AE183)),Constants!$B$20*(Constants!$B$21-$AE183),0))</f>
        <v/>
      </c>
      <c r="AQ183" s="91" t="str">
        <f aca="false">IF($BD183&lt;&gt;Constants!$B$6,"",IF($AA183,0,Constants!$B$12)+IF($Z183,0,Constants!$B$13)+IF($Y183,0,Constants!$B$14))</f>
        <v/>
      </c>
      <c r="AR183" s="92" t="str">
        <f aca="false">IF($BD183&lt;&gt;Constants!$B$6,"",Constants!$B$16+SUM($AN183:$AQ183))</f>
        <v/>
      </c>
      <c r="AS183" s="91" t="str">
        <f aca="false">IF($BD183&lt;&gt;Constants!$B$6,"",IF($AB183,$AD183,""))</f>
        <v/>
      </c>
      <c r="AT183" s="93" t="str">
        <f aca="false">IF($BD183&lt;&gt;Constants!$B$6,"",$AO183)</f>
        <v/>
      </c>
      <c r="AU183" s="87" t="str">
        <f aca="false">IF($BD183&lt;&gt;Constants!$B$6,"",IF(OR($BA183&lt;$AR183,AND($BA183=$AR183,OR(AND(ISNUMBER($BB183),OR(NOT(ISNUMBER($AS183)),$BB183&lt;$AS183)),AND(OR(AND($BB183="",$AS183=""),AND(ISNUMBER($BB183),ISNUMBER($AS183),$BB183=$AS183)),$BC183&lt;$AT183)))),"-&gt;","&lt;-"))</f>
        <v/>
      </c>
      <c r="AV183" s="86" t="str">
        <f aca="false">IF(ISBLANK($C183),"",AND($AH183,OR($AI183="",$AJ183="",AND(NOT(ISBLANK($S183)),$AK183=""))))</f>
        <v/>
      </c>
      <c r="AW183" s="89" t="str">
        <f aca="false">IF($BD183&lt;&gt;Constants!$B$6,"",IF($AH183,Constants!$B$17*$AJ183,Constants!$B$18))</f>
        <v/>
      </c>
      <c r="AX183" s="91" t="str">
        <f aca="false">IF($BD183&lt;&gt;Constants!$B$6,"",Constants!$B$19*IF($AH183,$AI183,0))</f>
        <v/>
      </c>
      <c r="AY183" s="91" t="str">
        <f aca="false">IF($BD183&lt;&gt;Constants!$B$6,"",IF(AND($AH183,ISNUMBER($AK183)),Constants!$B$20*(Constants!$B$21-$AK183),0))</f>
        <v/>
      </c>
      <c r="AZ183" s="91" t="str">
        <f aca="false">IF($BD183&lt;&gt;Constants!$B$6,"",IF($AG183,0,Constants!$B$12)+IF($AF183,0,Constants!$B$13)+IF($Y183,0,Constants!$B$14))</f>
        <v/>
      </c>
      <c r="BA183" s="92" t="str">
        <f aca="false">IF($BD183&lt;&gt;Constants!$B$6,"",Constants!$B$16+SUM($AW183:$AZ183))</f>
        <v/>
      </c>
      <c r="BB183" s="91" t="str">
        <f aca="false">IF($BD183&lt;&gt;Constants!$B$6,"",IF($AH183,$AJ183,""))</f>
        <v/>
      </c>
      <c r="BC183" s="93" t="str">
        <f aca="false">IF($BD183&lt;&gt;Constants!$B$6,"",$AX183)</f>
        <v/>
      </c>
      <c r="BD183" s="87" t="str">
        <f aca="false">IF(ISBLANK($C183),"",IF($AL183,Constants!$B$9,IF(COUNTA($E183:$T183)=0,Constants!$B$8,IF(NOT($X183),Constants!$B$7,IF(OR($AM183,$AV183),Constants!$B$10,Constants!$B$6)))))</f>
        <v/>
      </c>
      <c r="BE183" s="87" t="str">
        <f aca="false">IF(ISBLANK($C183),"",IF($BD183&lt;&gt;Constants!$B$6,$BD183,Constants!$B$11))</f>
        <v/>
      </c>
      <c r="BF183" s="91" t="str">
        <f aca="false">IF($BD183&lt;&gt;Constants!$B$6,"",IF($AU183="-&gt;",$BA183,$AR183))</f>
        <v/>
      </c>
      <c r="BG183" s="91" t="str">
        <f aca="false">IF($BD183&lt;&gt;Constants!$B$6,"",IF($W183,0,Constants!$B$15))</f>
        <v/>
      </c>
      <c r="BH183" s="91" t="str">
        <f aca="false">IF(ISBLANK($C183),"",IF($BD183&lt;&gt;Constants!$B$6,$BD183,SUM($BF183:$BG183)))</f>
        <v/>
      </c>
      <c r="BI183" s="87" t="str">
        <f aca="false">IF(ISBLANK($C183),"",IF($BD183&lt;&gt;Constants!$B$6,$BD183,RANK($BH183,$BH$9:$BH$508,1)))</f>
        <v/>
      </c>
      <c r="BJ183" s="91" t="str">
        <f aca="false">IF($BD183&lt;&gt;Constants!$B$6,"",IF($AU183="-&gt;",$BB183,$AS183))</f>
        <v/>
      </c>
      <c r="BK183" s="87" t="str">
        <f aca="false">IF(ISBLANK($C183),"",IF($BD183&lt;&gt;Constants!$B$6,$BD183,IF(ISNUMBER($BJ183),RANK($BJ183,$BJ$9:$BJ$508,1),COUNT($BJ$9:$BJ$508)+1)))</f>
        <v/>
      </c>
      <c r="BL183" s="91" t="str">
        <f aca="false">IF($BD183&lt;&gt;Constants!$B$6,"",IF($AU183="-&gt;",$BC183,$AT183))</f>
        <v/>
      </c>
      <c r="BM183" s="87" t="str">
        <f aca="false">IF(ISBLANK($C183),"",IF($BD183&lt;&gt;Constants!$B$6,$BD183,IF(ISNUMBER($BL183),RANK($BL183,$BL$9:$BL$508,1),COUNT($BL$9:$BL$508)+1)))</f>
        <v/>
      </c>
      <c r="BN183" s="91" t="str">
        <f aca="false">IF($BD183&lt;&gt;Constants!$B$6,"",IF($AU183="-&gt;",$AS183,$BB183))</f>
        <v/>
      </c>
      <c r="BO183" s="87" t="str">
        <f aca="false">IF(ISBLANK($C183),"",IF($BD183&lt;&gt;Constants!$B$6,$BD183,IF(ISNUMBER($BN183),RANK($BN183,$BN$9:$BN$508,1),COUNT($BN$9:$BN$508)+1)))</f>
        <v/>
      </c>
      <c r="BP183" s="91" t="str">
        <f aca="false">IF($BD183&lt;&gt;Constants!$B$6,"",IF($AU183="-&gt;",$AT183,$BC183))</f>
        <v/>
      </c>
      <c r="BQ183" s="87" t="str">
        <f aca="false">IF(ISBLANK($C183),"",IF($BD183&lt;&gt;Constants!$B$6,$BD183,IF(ISNUMBER($BP183),RANK($BP183,$BP$9:$BP$508,1),COUNT($BP$9:$BP$508)+1)))</f>
        <v/>
      </c>
      <c r="BR183" s="87" t="str">
        <f aca="false">IF(ISBLANK($C183),"",IF($BD183&lt;&gt;Constants!$B$6,$BD183,COUNTIFS($BI$9:$BI$508,"&lt;"&amp;$BI183)+COUNTIFS($BI$9:$BI$508,$BI183,$BK$9:$BK$508,"&lt;"&amp;$BK183)+COUNTIFS($BI$9:$BI$508,$BI183,$BK$9:$BK$508,$BK183,$BM$9:$BM$508,"&lt;"&amp;$BM183)+COUNTIFS($BI$9:$BI$508,$BI183,$BK$9:$BK$508,$BK183,$BM$9:$BM$508,$BM183,$BO$9:$BO$508,"&lt;"&amp;$BO183)+COUNTIFS($BI$9:$BI$508,$BI183,$BK$9:$BK$508,$BK183,$BM$9:$BM$508,$BM183,$BO$9:$BO$508,$BO183,$BQ$9:$BQ$508,"&lt;"&amp;$BQ183)+1))</f>
        <v/>
      </c>
      <c r="BS183" s="87" t="str">
        <f aca="false">IF(ISBLANK($C183),"",IF($BD183&lt;&gt;Constants!$B$6,$BD183,$BI183-$BR183))</f>
        <v/>
      </c>
      <c r="BT183" s="94"/>
      <c r="BU183" s="95"/>
      <c r="BV183" s="95" t="str">
        <f aca="false">IF(ISBLANK($C183),"",IF($BD183&lt;&gt;Constants!$B$6,"",IF($AU183="-&gt;",2,1)))</f>
        <v/>
      </c>
      <c r="BW183" s="96" t="str">
        <f aca="false">IF(ISBLANK($C183),"",IF($BD183&lt;&gt;Constants!$B$6,"",IF($AU183="-&gt;",$AW183,$AN183)))</f>
        <v/>
      </c>
      <c r="BX183" s="96" t="str">
        <f aca="false">IF(ISBLANK($C183),"",IF($BD183&lt;&gt;Constants!$B$6,"",IF($AU183="-&gt;",$AX183,$AO183)))</f>
        <v/>
      </c>
      <c r="BY183" s="96" t="str">
        <f aca="false">IF(ISBLANK($C183),"",IF($BD183&lt;&gt;Constants!$B$6,"",IF($AU183="-&gt;",$AY183,$AP183)))</f>
        <v/>
      </c>
      <c r="BZ183" s="96" t="str">
        <f aca="false">IF(ISBLANK($C183),"",IF($BD183&lt;&gt;Constants!$B$6,"",IF($AU183="-&gt;",$AZ183,$AQ183)+$BG183))</f>
        <v/>
      </c>
      <c r="CA183" s="97" t="str">
        <f aca="false">IF(ISBLANK($C183),"",IF($BD183&lt;&gt;Constants!$B$6,$BD183,$BH183))</f>
        <v/>
      </c>
      <c r="CB183" s="98" t="str">
        <f aca="false">IF(ISBLANK($C183),"",$BE183)</f>
        <v/>
      </c>
      <c r="CC183" s="99" t="str">
        <f aca="false">IF(ISBLANK($C183),"",$BS183)</f>
        <v/>
      </c>
      <c r="CD183" s="99" t="str">
        <f aca="false">IF(ISBLANK($C183),"",$BR183)</f>
        <v/>
      </c>
      <c r="CE183" s="100" t="str">
        <f aca="false">IF(ISBLANK($C183),"",IF($CD183=Constants!$B$9,COUNTA($C$9:$C$508)+2,IF($CD183=Constants!$B$8,COUNTA($C$9:$C$508)+1,IF($CD183=Constants!$B$7,COUNTA($C$9:$C$508),$CD183))))</f>
        <v/>
      </c>
      <c r="CF183" s="9"/>
      <c r="CG183" s="101" t="n">
        <f aca="false">IF(OR(ISNUMBER($CD183),$CD183=Constants!$B$9,$CD183=Constants!$B$7,$CD183=Constants!$B$8),1,0)</f>
        <v>0</v>
      </c>
      <c r="CH183" s="101" t="n">
        <v>175</v>
      </c>
      <c r="CI183" s="101" t="str">
        <f aca="false">IF(ISBLANK($C183),"",IF(ISNUMBER($CE183),$CE183+ROW($B183)/1000,""))</f>
        <v/>
      </c>
      <c r="CJ183" s="101" t="str">
        <f aca="false">IF(ISNUMBER($CI183),RANK($CI183,$CI$9:$CI$508,1),"")</f>
        <v/>
      </c>
      <c r="CK183" s="101" t="str">
        <f aca="false">IF(ISBLANK($C183),"",$B183)</f>
        <v/>
      </c>
      <c r="CL183" s="101" t="str">
        <f aca="false">IF(ISBLANK($C183),"",$C183)</f>
        <v/>
      </c>
      <c r="CM183" s="101" t="str">
        <f aca="false">IF(ISBLANK($C183),"",$D183)</f>
        <v/>
      </c>
      <c r="CN183" s="102" t="str">
        <f aca="false">$CB183</f>
        <v/>
      </c>
      <c r="CO183" s="103" t="str">
        <f aca="false">$CA183</f>
        <v/>
      </c>
      <c r="CP183" s="101" t="str">
        <f aca="false">IF(ISBLANK($C183),"",$CD183)</f>
        <v/>
      </c>
      <c r="CQ183" s="104" t="str">
        <f aca="false">IF($CH183&gt;$CG$8,"",VLOOKUP($CH183,$CJ$9:$CP$508,7,FALSE()))</f>
        <v/>
      </c>
      <c r="CR183" s="105" t="str">
        <f aca="false">IF($CH183&gt;$CG$8,"",VLOOKUP($CH183,$CJ$9:$CP$508,2,FALSE()))</f>
        <v/>
      </c>
      <c r="CS183" s="105" t="str">
        <f aca="false">IF($CH183&gt;$CG$8,"",VLOOKUP($CH183,$CJ$9:$CP$508,3,FALSE()))</f>
        <v/>
      </c>
      <c r="CT183" s="105" t="str">
        <f aca="false">IF($CH183&gt;$CG$8,"",VLOOKUP($CH183,$CJ$9:$CP$508,4,FALSE()))</f>
        <v/>
      </c>
      <c r="CU183" s="105" t="str">
        <f aca="false">IF($CH183&gt;$CG$8,"",VLOOKUP($CH183,$CJ$9:$CP$508,5,FALSE()))</f>
        <v/>
      </c>
      <c r="CV183" s="106" t="str">
        <f aca="false">IF($CH183&gt;$CG$8,"",VLOOKUP($CH183,$CJ$9:$CP$508,6,FALSE()))</f>
        <v/>
      </c>
      <c r="CW183" s="71"/>
    </row>
    <row r="184" customFormat="false" ht="15.75" hidden="false" customHeight="false" outlineLevel="0" collapsed="false">
      <c r="A184" s="9"/>
      <c r="B184" s="72"/>
      <c r="C184" s="73"/>
      <c r="D184" s="160"/>
      <c r="E184" s="168"/>
      <c r="F184" s="162"/>
      <c r="G184" s="163"/>
      <c r="H184" s="169"/>
      <c r="I184" s="167"/>
      <c r="J184" s="80"/>
      <c r="K184" s="81"/>
      <c r="L184" s="82"/>
      <c r="M184" s="166"/>
      <c r="N184" s="167"/>
      <c r="O184" s="167"/>
      <c r="P184" s="80"/>
      <c r="Q184" s="82"/>
      <c r="R184" s="82"/>
      <c r="S184" s="166"/>
      <c r="T184" s="167"/>
      <c r="U184" s="86"/>
      <c r="V184" s="87"/>
      <c r="W184" s="87" t="str">
        <f aca="false">IF(ISBLANK($C184),"",IF(E184=Constants!$B$2,TRUE(),IF(E184=Constants!$B$3,FALSE(),TRUE())))</f>
        <v/>
      </c>
      <c r="X184" s="87" t="str">
        <f aca="false">IF(ISBLANK($C184),"",IF(F184=Constants!$B$2,TRUE(),IF(F184=Constants!$B$3,FALSE(),TRUE())))</f>
        <v/>
      </c>
      <c r="Y184" s="87" t="str">
        <f aca="false">IF(ISBLANK($C184),"",IF(G184=Constants!$B$2,TRUE(),IF(G184=Constants!$B$3,FALSE(),TRUE())))</f>
        <v/>
      </c>
      <c r="Z184" s="87" t="str">
        <f aca="false">IF(ISBLANK($C184),"",IF(H184=Constants!$B$2,TRUE(),IF(H184=Constants!$B$3,FALSE(),TRUE())))</f>
        <v/>
      </c>
      <c r="AA184" s="87" t="str">
        <f aca="false">IF(ISBLANK($C184),"",IF(I184=Constants!$B$2,TRUE(),IF(I184=Constants!$B$3,FALSE(),TRUE())))</f>
        <v/>
      </c>
      <c r="AB184" s="87" t="str">
        <f aca="false">IF(ISBLANK($C184),"",IF(J184=Constants!$B$4,TRUE(),IF(J184=Constants!$B$5,FALSE(),COUNTA(K184:M184)&gt;0)))</f>
        <v/>
      </c>
      <c r="AC184" s="88" t="str">
        <f aca="false">IF(ISBLANK($C184),"",IF(ISNUMBER(K184),IF(K184&gt;=0,K184,""),""))</f>
        <v/>
      </c>
      <c r="AD184" s="89" t="str">
        <f aca="false">IF(ISBLANK($C184),"",IF(ISNUMBER(L184),IF(L184&gt;=0,L184,""),""))</f>
        <v/>
      </c>
      <c r="AE184" s="87" t="str">
        <f aca="false">IF(ISBLANK($C184),"",IF(ISNUMBER(M184),IF(M184&gt;=0,MIN(M184,Constants!$B$22),""),""))</f>
        <v/>
      </c>
      <c r="AF184" s="87" t="str">
        <f aca="false">IF(ISBLANK($C184),"",IF(N184=Constants!$B$2,TRUE(),IF(N184=Constants!$B$3,FALSE(),TRUE())))</f>
        <v/>
      </c>
      <c r="AG184" s="87" t="str">
        <f aca="false">IF(ISBLANK($C184),"",IF(O184=Constants!$B$2,TRUE(),IF(O184=Constants!$B$3,FALSE(),TRUE())))</f>
        <v/>
      </c>
      <c r="AH184" s="87" t="str">
        <f aca="false">IF(ISBLANK($C184),"",IF(P184=Constants!$B$4,TRUE(),IF(P184=Constants!$B$5,FALSE(),COUNTA(Q184:S184)&gt;0)))</f>
        <v/>
      </c>
      <c r="AI184" s="88" t="str">
        <f aca="false">IF(ISBLANK($C184),"",IF(ISNUMBER(Q184),IF(Q184&gt;=0,Q184,""),""))</f>
        <v/>
      </c>
      <c r="AJ184" s="89" t="str">
        <f aca="false">IF(ISBLANK($C184),"",IF(ISNUMBER(R184),IF(R184&gt;=0,R184,""),""))</f>
        <v/>
      </c>
      <c r="AK184" s="87" t="str">
        <f aca="false">IF(ISBLANK($C184),"",IF(ISNUMBER(S184),IF(S184&gt;=0,MIN(S184,Constants!$B$22),""),""))</f>
        <v/>
      </c>
      <c r="AL184" s="87" t="str">
        <f aca="false">IF(ISBLANK($C184),"",IF(T184=Constants!$B$2,TRUE(),IF(T184=Constants!$B$3,FALSE(),FALSE())))</f>
        <v/>
      </c>
      <c r="AM184" s="86" t="str">
        <f aca="false">IF(ISBLANK($C184),"",AND($AB184,OR($AC184="",$AD184="",AND(NOT(ISBLANK($M184)),$AE184=""))))</f>
        <v/>
      </c>
      <c r="AN184" s="89" t="str">
        <f aca="false">IF($BD184&lt;&gt;Constants!$B$6,"",IF($AB184,Constants!$B$17*$AD184,Constants!$B$18))</f>
        <v/>
      </c>
      <c r="AO184" s="91" t="str">
        <f aca="false">IF($BD184&lt;&gt;Constants!$B$6,"",Constants!$B$19*IF($AB184,$AC184,0))</f>
        <v/>
      </c>
      <c r="AP184" s="91" t="str">
        <f aca="false">IF($BD184&lt;&gt;Constants!$B$6,"",IF(AND($AB184,ISNUMBER($AE184)),Constants!$B$20*(Constants!$B$21-$AE184),0))</f>
        <v/>
      </c>
      <c r="AQ184" s="91" t="str">
        <f aca="false">IF($BD184&lt;&gt;Constants!$B$6,"",IF($AA184,0,Constants!$B$12)+IF($Z184,0,Constants!$B$13)+IF($Y184,0,Constants!$B$14))</f>
        <v/>
      </c>
      <c r="AR184" s="92" t="str">
        <f aca="false">IF($BD184&lt;&gt;Constants!$B$6,"",Constants!$B$16+SUM($AN184:$AQ184))</f>
        <v/>
      </c>
      <c r="AS184" s="91" t="str">
        <f aca="false">IF($BD184&lt;&gt;Constants!$B$6,"",IF($AB184,$AD184,""))</f>
        <v/>
      </c>
      <c r="AT184" s="93" t="str">
        <f aca="false">IF($BD184&lt;&gt;Constants!$B$6,"",$AO184)</f>
        <v/>
      </c>
      <c r="AU184" s="87" t="str">
        <f aca="false">IF($BD184&lt;&gt;Constants!$B$6,"",IF(OR($BA184&lt;$AR184,AND($BA184=$AR184,OR(AND(ISNUMBER($BB184),OR(NOT(ISNUMBER($AS184)),$BB184&lt;$AS184)),AND(OR(AND($BB184="",$AS184=""),AND(ISNUMBER($BB184),ISNUMBER($AS184),$BB184=$AS184)),$BC184&lt;$AT184)))),"-&gt;","&lt;-"))</f>
        <v/>
      </c>
      <c r="AV184" s="86" t="str">
        <f aca="false">IF(ISBLANK($C184),"",AND($AH184,OR($AI184="",$AJ184="",AND(NOT(ISBLANK($S184)),$AK184=""))))</f>
        <v/>
      </c>
      <c r="AW184" s="89" t="str">
        <f aca="false">IF($BD184&lt;&gt;Constants!$B$6,"",IF($AH184,Constants!$B$17*$AJ184,Constants!$B$18))</f>
        <v/>
      </c>
      <c r="AX184" s="91" t="str">
        <f aca="false">IF($BD184&lt;&gt;Constants!$B$6,"",Constants!$B$19*IF($AH184,$AI184,0))</f>
        <v/>
      </c>
      <c r="AY184" s="91" t="str">
        <f aca="false">IF($BD184&lt;&gt;Constants!$B$6,"",IF(AND($AH184,ISNUMBER($AK184)),Constants!$B$20*(Constants!$B$21-$AK184),0))</f>
        <v/>
      </c>
      <c r="AZ184" s="91" t="str">
        <f aca="false">IF($BD184&lt;&gt;Constants!$B$6,"",IF($AG184,0,Constants!$B$12)+IF($AF184,0,Constants!$B$13)+IF($Y184,0,Constants!$B$14))</f>
        <v/>
      </c>
      <c r="BA184" s="92" t="str">
        <f aca="false">IF($BD184&lt;&gt;Constants!$B$6,"",Constants!$B$16+SUM($AW184:$AZ184))</f>
        <v/>
      </c>
      <c r="BB184" s="91" t="str">
        <f aca="false">IF($BD184&lt;&gt;Constants!$B$6,"",IF($AH184,$AJ184,""))</f>
        <v/>
      </c>
      <c r="BC184" s="93" t="str">
        <f aca="false">IF($BD184&lt;&gt;Constants!$B$6,"",$AX184)</f>
        <v/>
      </c>
      <c r="BD184" s="87" t="str">
        <f aca="false">IF(ISBLANK($C184),"",IF($AL184,Constants!$B$9,IF(COUNTA($E184:$T184)=0,Constants!$B$8,IF(NOT($X184),Constants!$B$7,IF(OR($AM184,$AV184),Constants!$B$10,Constants!$B$6)))))</f>
        <v/>
      </c>
      <c r="BE184" s="87" t="str">
        <f aca="false">IF(ISBLANK($C184),"",IF($BD184&lt;&gt;Constants!$B$6,$BD184,Constants!$B$11))</f>
        <v/>
      </c>
      <c r="BF184" s="91" t="str">
        <f aca="false">IF($BD184&lt;&gt;Constants!$B$6,"",IF($AU184="-&gt;",$BA184,$AR184))</f>
        <v/>
      </c>
      <c r="BG184" s="91" t="str">
        <f aca="false">IF($BD184&lt;&gt;Constants!$B$6,"",IF($W184,0,Constants!$B$15))</f>
        <v/>
      </c>
      <c r="BH184" s="91" t="str">
        <f aca="false">IF(ISBLANK($C184),"",IF($BD184&lt;&gt;Constants!$B$6,$BD184,SUM($BF184:$BG184)))</f>
        <v/>
      </c>
      <c r="BI184" s="87" t="str">
        <f aca="false">IF(ISBLANK($C184),"",IF($BD184&lt;&gt;Constants!$B$6,$BD184,RANK($BH184,$BH$9:$BH$508,1)))</f>
        <v/>
      </c>
      <c r="BJ184" s="91" t="str">
        <f aca="false">IF($BD184&lt;&gt;Constants!$B$6,"",IF($AU184="-&gt;",$BB184,$AS184))</f>
        <v/>
      </c>
      <c r="BK184" s="87" t="str">
        <f aca="false">IF(ISBLANK($C184),"",IF($BD184&lt;&gt;Constants!$B$6,$BD184,IF(ISNUMBER($BJ184),RANK($BJ184,$BJ$9:$BJ$508,1),COUNT($BJ$9:$BJ$508)+1)))</f>
        <v/>
      </c>
      <c r="BL184" s="91" t="str">
        <f aca="false">IF($BD184&lt;&gt;Constants!$B$6,"",IF($AU184="-&gt;",$BC184,$AT184))</f>
        <v/>
      </c>
      <c r="BM184" s="87" t="str">
        <f aca="false">IF(ISBLANK($C184),"",IF($BD184&lt;&gt;Constants!$B$6,$BD184,IF(ISNUMBER($BL184),RANK($BL184,$BL$9:$BL$508,1),COUNT($BL$9:$BL$508)+1)))</f>
        <v/>
      </c>
      <c r="BN184" s="91" t="str">
        <f aca="false">IF($BD184&lt;&gt;Constants!$B$6,"",IF($AU184="-&gt;",$AS184,$BB184))</f>
        <v/>
      </c>
      <c r="BO184" s="87" t="str">
        <f aca="false">IF(ISBLANK($C184),"",IF($BD184&lt;&gt;Constants!$B$6,$BD184,IF(ISNUMBER($BN184),RANK($BN184,$BN$9:$BN$508,1),COUNT($BN$9:$BN$508)+1)))</f>
        <v/>
      </c>
      <c r="BP184" s="91" t="str">
        <f aca="false">IF($BD184&lt;&gt;Constants!$B$6,"",IF($AU184="-&gt;",$AT184,$BC184))</f>
        <v/>
      </c>
      <c r="BQ184" s="87" t="str">
        <f aca="false">IF(ISBLANK($C184),"",IF($BD184&lt;&gt;Constants!$B$6,$BD184,IF(ISNUMBER($BP184),RANK($BP184,$BP$9:$BP$508,1),COUNT($BP$9:$BP$508)+1)))</f>
        <v/>
      </c>
      <c r="BR184" s="87" t="str">
        <f aca="false">IF(ISBLANK($C184),"",IF($BD184&lt;&gt;Constants!$B$6,$BD184,COUNTIFS($BI$9:$BI$508,"&lt;"&amp;$BI184)+COUNTIFS($BI$9:$BI$508,$BI184,$BK$9:$BK$508,"&lt;"&amp;$BK184)+COUNTIFS($BI$9:$BI$508,$BI184,$BK$9:$BK$508,$BK184,$BM$9:$BM$508,"&lt;"&amp;$BM184)+COUNTIFS($BI$9:$BI$508,$BI184,$BK$9:$BK$508,$BK184,$BM$9:$BM$508,$BM184,$BO$9:$BO$508,"&lt;"&amp;$BO184)+COUNTIFS($BI$9:$BI$508,$BI184,$BK$9:$BK$508,$BK184,$BM$9:$BM$508,$BM184,$BO$9:$BO$508,$BO184,$BQ$9:$BQ$508,"&lt;"&amp;$BQ184)+1))</f>
        <v/>
      </c>
      <c r="BS184" s="87" t="str">
        <f aca="false">IF(ISBLANK($C184),"",IF($BD184&lt;&gt;Constants!$B$6,$BD184,$BI184-$BR184))</f>
        <v/>
      </c>
      <c r="BT184" s="94"/>
      <c r="BU184" s="95"/>
      <c r="BV184" s="95" t="str">
        <f aca="false">IF(ISBLANK($C184),"",IF($BD184&lt;&gt;Constants!$B$6,"",IF($AU184="-&gt;",2,1)))</f>
        <v/>
      </c>
      <c r="BW184" s="96" t="str">
        <f aca="false">IF(ISBLANK($C184),"",IF($BD184&lt;&gt;Constants!$B$6,"",IF($AU184="-&gt;",$AW184,$AN184)))</f>
        <v/>
      </c>
      <c r="BX184" s="96" t="str">
        <f aca="false">IF(ISBLANK($C184),"",IF($BD184&lt;&gt;Constants!$B$6,"",IF($AU184="-&gt;",$AX184,$AO184)))</f>
        <v/>
      </c>
      <c r="BY184" s="96" t="str">
        <f aca="false">IF(ISBLANK($C184),"",IF($BD184&lt;&gt;Constants!$B$6,"",IF($AU184="-&gt;",$AY184,$AP184)))</f>
        <v/>
      </c>
      <c r="BZ184" s="96" t="str">
        <f aca="false">IF(ISBLANK($C184),"",IF($BD184&lt;&gt;Constants!$B$6,"",IF($AU184="-&gt;",$AZ184,$AQ184)+$BG184))</f>
        <v/>
      </c>
      <c r="CA184" s="97" t="str">
        <f aca="false">IF(ISBLANK($C184),"",IF($BD184&lt;&gt;Constants!$B$6,$BD184,$BH184))</f>
        <v/>
      </c>
      <c r="CB184" s="98" t="str">
        <f aca="false">IF(ISBLANK($C184),"",$BE184)</f>
        <v/>
      </c>
      <c r="CC184" s="99" t="str">
        <f aca="false">IF(ISBLANK($C184),"",$BS184)</f>
        <v/>
      </c>
      <c r="CD184" s="99" t="str">
        <f aca="false">IF(ISBLANK($C184),"",$BR184)</f>
        <v/>
      </c>
      <c r="CE184" s="100" t="str">
        <f aca="false">IF(ISBLANK($C184),"",IF($CD184=Constants!$B$9,COUNTA($C$9:$C$508)+2,IF($CD184=Constants!$B$8,COUNTA($C$9:$C$508)+1,IF($CD184=Constants!$B$7,COUNTA($C$9:$C$508),$CD184))))</f>
        <v/>
      </c>
      <c r="CF184" s="9"/>
      <c r="CG184" s="101" t="n">
        <f aca="false">IF(OR(ISNUMBER($CD184),$CD184=Constants!$B$9,$CD184=Constants!$B$7,$CD184=Constants!$B$8),1,0)</f>
        <v>0</v>
      </c>
      <c r="CH184" s="101" t="n">
        <v>176</v>
      </c>
      <c r="CI184" s="101" t="str">
        <f aca="false">IF(ISBLANK($C184),"",IF(ISNUMBER($CE184),$CE184+ROW($B184)/1000,""))</f>
        <v/>
      </c>
      <c r="CJ184" s="101" t="str">
        <f aca="false">IF(ISNUMBER($CI184),RANK($CI184,$CI$9:$CI$508,1),"")</f>
        <v/>
      </c>
      <c r="CK184" s="101" t="str">
        <f aca="false">IF(ISBLANK($C184),"",$B184)</f>
        <v/>
      </c>
      <c r="CL184" s="101" t="str">
        <f aca="false">IF(ISBLANK($C184),"",$C184)</f>
        <v/>
      </c>
      <c r="CM184" s="101" t="str">
        <f aca="false">IF(ISBLANK($C184),"",$D184)</f>
        <v/>
      </c>
      <c r="CN184" s="102" t="str">
        <f aca="false">$CB184</f>
        <v/>
      </c>
      <c r="CO184" s="103" t="str">
        <f aca="false">$CA184</f>
        <v/>
      </c>
      <c r="CP184" s="101" t="str">
        <f aca="false">IF(ISBLANK($C184),"",$CD184)</f>
        <v/>
      </c>
      <c r="CQ184" s="104" t="str">
        <f aca="false">IF($CH184&gt;$CG$8,"",VLOOKUP($CH184,$CJ$9:$CP$508,7,FALSE()))</f>
        <v/>
      </c>
      <c r="CR184" s="105" t="str">
        <f aca="false">IF($CH184&gt;$CG$8,"",VLOOKUP($CH184,$CJ$9:$CP$508,2,FALSE()))</f>
        <v/>
      </c>
      <c r="CS184" s="105" t="str">
        <f aca="false">IF($CH184&gt;$CG$8,"",VLOOKUP($CH184,$CJ$9:$CP$508,3,FALSE()))</f>
        <v/>
      </c>
      <c r="CT184" s="105" t="str">
        <f aca="false">IF($CH184&gt;$CG$8,"",VLOOKUP($CH184,$CJ$9:$CP$508,4,FALSE()))</f>
        <v/>
      </c>
      <c r="CU184" s="105" t="str">
        <f aca="false">IF($CH184&gt;$CG$8,"",VLOOKUP($CH184,$CJ$9:$CP$508,5,FALSE()))</f>
        <v/>
      </c>
      <c r="CV184" s="106" t="str">
        <f aca="false">IF($CH184&gt;$CG$8,"",VLOOKUP($CH184,$CJ$9:$CP$508,6,FALSE()))</f>
        <v/>
      </c>
      <c r="CW184" s="71"/>
    </row>
    <row r="185" customFormat="false" ht="15.75" hidden="false" customHeight="false" outlineLevel="0" collapsed="false">
      <c r="A185" s="9"/>
      <c r="B185" s="72"/>
      <c r="C185" s="73"/>
      <c r="D185" s="160"/>
      <c r="E185" s="168"/>
      <c r="F185" s="162"/>
      <c r="G185" s="163"/>
      <c r="H185" s="169"/>
      <c r="I185" s="167"/>
      <c r="J185" s="80"/>
      <c r="K185" s="81"/>
      <c r="L185" s="82"/>
      <c r="M185" s="166"/>
      <c r="N185" s="167"/>
      <c r="O185" s="167"/>
      <c r="P185" s="80"/>
      <c r="Q185" s="82"/>
      <c r="R185" s="82"/>
      <c r="S185" s="166"/>
      <c r="T185" s="167"/>
      <c r="U185" s="86"/>
      <c r="V185" s="87"/>
      <c r="W185" s="87" t="str">
        <f aca="false">IF(ISBLANK($C185),"",IF(E185=Constants!$B$2,TRUE(),IF(E185=Constants!$B$3,FALSE(),TRUE())))</f>
        <v/>
      </c>
      <c r="X185" s="87" t="str">
        <f aca="false">IF(ISBLANK($C185),"",IF(F185=Constants!$B$2,TRUE(),IF(F185=Constants!$B$3,FALSE(),TRUE())))</f>
        <v/>
      </c>
      <c r="Y185" s="87" t="str">
        <f aca="false">IF(ISBLANK($C185),"",IF(G185=Constants!$B$2,TRUE(),IF(G185=Constants!$B$3,FALSE(),TRUE())))</f>
        <v/>
      </c>
      <c r="Z185" s="87" t="str">
        <f aca="false">IF(ISBLANK($C185),"",IF(H185=Constants!$B$2,TRUE(),IF(H185=Constants!$B$3,FALSE(),TRUE())))</f>
        <v/>
      </c>
      <c r="AA185" s="87" t="str">
        <f aca="false">IF(ISBLANK($C185),"",IF(I185=Constants!$B$2,TRUE(),IF(I185=Constants!$B$3,FALSE(),TRUE())))</f>
        <v/>
      </c>
      <c r="AB185" s="87" t="str">
        <f aca="false">IF(ISBLANK($C185),"",IF(J185=Constants!$B$4,TRUE(),IF(J185=Constants!$B$5,FALSE(),COUNTA(K185:M185)&gt;0)))</f>
        <v/>
      </c>
      <c r="AC185" s="88" t="str">
        <f aca="false">IF(ISBLANK($C185),"",IF(ISNUMBER(K185),IF(K185&gt;=0,K185,""),""))</f>
        <v/>
      </c>
      <c r="AD185" s="89" t="str">
        <f aca="false">IF(ISBLANK($C185),"",IF(ISNUMBER(L185),IF(L185&gt;=0,L185,""),""))</f>
        <v/>
      </c>
      <c r="AE185" s="87" t="str">
        <f aca="false">IF(ISBLANK($C185),"",IF(ISNUMBER(M185),IF(M185&gt;=0,MIN(M185,Constants!$B$22),""),""))</f>
        <v/>
      </c>
      <c r="AF185" s="87" t="str">
        <f aca="false">IF(ISBLANK($C185),"",IF(N185=Constants!$B$2,TRUE(),IF(N185=Constants!$B$3,FALSE(),TRUE())))</f>
        <v/>
      </c>
      <c r="AG185" s="87" t="str">
        <f aca="false">IF(ISBLANK($C185),"",IF(O185=Constants!$B$2,TRUE(),IF(O185=Constants!$B$3,FALSE(),TRUE())))</f>
        <v/>
      </c>
      <c r="AH185" s="87" t="str">
        <f aca="false">IF(ISBLANK($C185),"",IF(P185=Constants!$B$4,TRUE(),IF(P185=Constants!$B$5,FALSE(),COUNTA(Q185:S185)&gt;0)))</f>
        <v/>
      </c>
      <c r="AI185" s="88" t="str">
        <f aca="false">IF(ISBLANK($C185),"",IF(ISNUMBER(Q185),IF(Q185&gt;=0,Q185,""),""))</f>
        <v/>
      </c>
      <c r="AJ185" s="89" t="str">
        <f aca="false">IF(ISBLANK($C185),"",IF(ISNUMBER(R185),IF(R185&gt;=0,R185,""),""))</f>
        <v/>
      </c>
      <c r="AK185" s="87" t="str">
        <f aca="false">IF(ISBLANK($C185),"",IF(ISNUMBER(S185),IF(S185&gt;=0,MIN(S185,Constants!$B$22),""),""))</f>
        <v/>
      </c>
      <c r="AL185" s="87" t="str">
        <f aca="false">IF(ISBLANK($C185),"",IF(T185=Constants!$B$2,TRUE(),IF(T185=Constants!$B$3,FALSE(),FALSE())))</f>
        <v/>
      </c>
      <c r="AM185" s="86" t="str">
        <f aca="false">IF(ISBLANK($C185),"",AND($AB185,OR($AC185="",$AD185="",AND(NOT(ISBLANK($M185)),$AE185=""))))</f>
        <v/>
      </c>
      <c r="AN185" s="89" t="str">
        <f aca="false">IF($BD185&lt;&gt;Constants!$B$6,"",IF($AB185,Constants!$B$17*$AD185,Constants!$B$18))</f>
        <v/>
      </c>
      <c r="AO185" s="91" t="str">
        <f aca="false">IF($BD185&lt;&gt;Constants!$B$6,"",Constants!$B$19*IF($AB185,$AC185,0))</f>
        <v/>
      </c>
      <c r="AP185" s="91" t="str">
        <f aca="false">IF($BD185&lt;&gt;Constants!$B$6,"",IF(AND($AB185,ISNUMBER($AE185)),Constants!$B$20*(Constants!$B$21-$AE185),0))</f>
        <v/>
      </c>
      <c r="AQ185" s="91" t="str">
        <f aca="false">IF($BD185&lt;&gt;Constants!$B$6,"",IF($AA185,0,Constants!$B$12)+IF($Z185,0,Constants!$B$13)+IF($Y185,0,Constants!$B$14))</f>
        <v/>
      </c>
      <c r="AR185" s="92" t="str">
        <f aca="false">IF($BD185&lt;&gt;Constants!$B$6,"",Constants!$B$16+SUM($AN185:$AQ185))</f>
        <v/>
      </c>
      <c r="AS185" s="91" t="str">
        <f aca="false">IF($BD185&lt;&gt;Constants!$B$6,"",IF($AB185,$AD185,""))</f>
        <v/>
      </c>
      <c r="AT185" s="93" t="str">
        <f aca="false">IF($BD185&lt;&gt;Constants!$B$6,"",$AO185)</f>
        <v/>
      </c>
      <c r="AU185" s="87" t="str">
        <f aca="false">IF($BD185&lt;&gt;Constants!$B$6,"",IF(OR($BA185&lt;$AR185,AND($BA185=$AR185,OR(AND(ISNUMBER($BB185),OR(NOT(ISNUMBER($AS185)),$BB185&lt;$AS185)),AND(OR(AND($BB185="",$AS185=""),AND(ISNUMBER($BB185),ISNUMBER($AS185),$BB185=$AS185)),$BC185&lt;$AT185)))),"-&gt;","&lt;-"))</f>
        <v/>
      </c>
      <c r="AV185" s="86" t="str">
        <f aca="false">IF(ISBLANK($C185),"",AND($AH185,OR($AI185="",$AJ185="",AND(NOT(ISBLANK($S185)),$AK185=""))))</f>
        <v/>
      </c>
      <c r="AW185" s="89" t="str">
        <f aca="false">IF($BD185&lt;&gt;Constants!$B$6,"",IF($AH185,Constants!$B$17*$AJ185,Constants!$B$18))</f>
        <v/>
      </c>
      <c r="AX185" s="91" t="str">
        <f aca="false">IF($BD185&lt;&gt;Constants!$B$6,"",Constants!$B$19*IF($AH185,$AI185,0))</f>
        <v/>
      </c>
      <c r="AY185" s="91" t="str">
        <f aca="false">IF($BD185&lt;&gt;Constants!$B$6,"",IF(AND($AH185,ISNUMBER($AK185)),Constants!$B$20*(Constants!$B$21-$AK185),0))</f>
        <v/>
      </c>
      <c r="AZ185" s="91" t="str">
        <f aca="false">IF($BD185&lt;&gt;Constants!$B$6,"",IF($AG185,0,Constants!$B$12)+IF($AF185,0,Constants!$B$13)+IF($Y185,0,Constants!$B$14))</f>
        <v/>
      </c>
      <c r="BA185" s="92" t="str">
        <f aca="false">IF($BD185&lt;&gt;Constants!$B$6,"",Constants!$B$16+SUM($AW185:$AZ185))</f>
        <v/>
      </c>
      <c r="BB185" s="91" t="str">
        <f aca="false">IF($BD185&lt;&gt;Constants!$B$6,"",IF($AH185,$AJ185,""))</f>
        <v/>
      </c>
      <c r="BC185" s="93" t="str">
        <f aca="false">IF($BD185&lt;&gt;Constants!$B$6,"",$AX185)</f>
        <v/>
      </c>
      <c r="BD185" s="87" t="str">
        <f aca="false">IF(ISBLANK($C185),"",IF($AL185,Constants!$B$9,IF(COUNTA($E185:$T185)=0,Constants!$B$8,IF(NOT($X185),Constants!$B$7,IF(OR($AM185,$AV185),Constants!$B$10,Constants!$B$6)))))</f>
        <v/>
      </c>
      <c r="BE185" s="87" t="str">
        <f aca="false">IF(ISBLANK($C185),"",IF($BD185&lt;&gt;Constants!$B$6,$BD185,Constants!$B$11))</f>
        <v/>
      </c>
      <c r="BF185" s="91" t="str">
        <f aca="false">IF($BD185&lt;&gt;Constants!$B$6,"",IF($AU185="-&gt;",$BA185,$AR185))</f>
        <v/>
      </c>
      <c r="BG185" s="91" t="str">
        <f aca="false">IF($BD185&lt;&gt;Constants!$B$6,"",IF($W185,0,Constants!$B$15))</f>
        <v/>
      </c>
      <c r="BH185" s="91" t="str">
        <f aca="false">IF(ISBLANK($C185),"",IF($BD185&lt;&gt;Constants!$B$6,$BD185,SUM($BF185:$BG185)))</f>
        <v/>
      </c>
      <c r="BI185" s="87" t="str">
        <f aca="false">IF(ISBLANK($C185),"",IF($BD185&lt;&gt;Constants!$B$6,$BD185,RANK($BH185,$BH$9:$BH$508,1)))</f>
        <v/>
      </c>
      <c r="BJ185" s="91" t="str">
        <f aca="false">IF($BD185&lt;&gt;Constants!$B$6,"",IF($AU185="-&gt;",$BB185,$AS185))</f>
        <v/>
      </c>
      <c r="BK185" s="87" t="str">
        <f aca="false">IF(ISBLANK($C185),"",IF($BD185&lt;&gt;Constants!$B$6,$BD185,IF(ISNUMBER($BJ185),RANK($BJ185,$BJ$9:$BJ$508,1),COUNT($BJ$9:$BJ$508)+1)))</f>
        <v/>
      </c>
      <c r="BL185" s="91" t="str">
        <f aca="false">IF($BD185&lt;&gt;Constants!$B$6,"",IF($AU185="-&gt;",$BC185,$AT185))</f>
        <v/>
      </c>
      <c r="BM185" s="87" t="str">
        <f aca="false">IF(ISBLANK($C185),"",IF($BD185&lt;&gt;Constants!$B$6,$BD185,IF(ISNUMBER($BL185),RANK($BL185,$BL$9:$BL$508,1),COUNT($BL$9:$BL$508)+1)))</f>
        <v/>
      </c>
      <c r="BN185" s="91" t="str">
        <f aca="false">IF($BD185&lt;&gt;Constants!$B$6,"",IF($AU185="-&gt;",$AS185,$BB185))</f>
        <v/>
      </c>
      <c r="BO185" s="87" t="str">
        <f aca="false">IF(ISBLANK($C185),"",IF($BD185&lt;&gt;Constants!$B$6,$BD185,IF(ISNUMBER($BN185),RANK($BN185,$BN$9:$BN$508,1),COUNT($BN$9:$BN$508)+1)))</f>
        <v/>
      </c>
      <c r="BP185" s="91" t="str">
        <f aca="false">IF($BD185&lt;&gt;Constants!$B$6,"",IF($AU185="-&gt;",$AT185,$BC185))</f>
        <v/>
      </c>
      <c r="BQ185" s="87" t="str">
        <f aca="false">IF(ISBLANK($C185),"",IF($BD185&lt;&gt;Constants!$B$6,$BD185,IF(ISNUMBER($BP185),RANK($BP185,$BP$9:$BP$508,1),COUNT($BP$9:$BP$508)+1)))</f>
        <v/>
      </c>
      <c r="BR185" s="87" t="str">
        <f aca="false">IF(ISBLANK($C185),"",IF($BD185&lt;&gt;Constants!$B$6,$BD185,COUNTIFS($BI$9:$BI$508,"&lt;"&amp;$BI185)+COUNTIFS($BI$9:$BI$508,$BI185,$BK$9:$BK$508,"&lt;"&amp;$BK185)+COUNTIFS($BI$9:$BI$508,$BI185,$BK$9:$BK$508,$BK185,$BM$9:$BM$508,"&lt;"&amp;$BM185)+COUNTIFS($BI$9:$BI$508,$BI185,$BK$9:$BK$508,$BK185,$BM$9:$BM$508,$BM185,$BO$9:$BO$508,"&lt;"&amp;$BO185)+COUNTIFS($BI$9:$BI$508,$BI185,$BK$9:$BK$508,$BK185,$BM$9:$BM$508,$BM185,$BO$9:$BO$508,$BO185,$BQ$9:$BQ$508,"&lt;"&amp;$BQ185)+1))</f>
        <v/>
      </c>
      <c r="BS185" s="87" t="str">
        <f aca="false">IF(ISBLANK($C185),"",IF($BD185&lt;&gt;Constants!$B$6,$BD185,$BI185-$BR185))</f>
        <v/>
      </c>
      <c r="BT185" s="94"/>
      <c r="BU185" s="95"/>
      <c r="BV185" s="95" t="str">
        <f aca="false">IF(ISBLANK($C185),"",IF($BD185&lt;&gt;Constants!$B$6,"",IF($AU185="-&gt;",2,1)))</f>
        <v/>
      </c>
      <c r="BW185" s="96" t="str">
        <f aca="false">IF(ISBLANK($C185),"",IF($BD185&lt;&gt;Constants!$B$6,"",IF($AU185="-&gt;",$AW185,$AN185)))</f>
        <v/>
      </c>
      <c r="BX185" s="96" t="str">
        <f aca="false">IF(ISBLANK($C185),"",IF($BD185&lt;&gt;Constants!$B$6,"",IF($AU185="-&gt;",$AX185,$AO185)))</f>
        <v/>
      </c>
      <c r="BY185" s="96" t="str">
        <f aca="false">IF(ISBLANK($C185),"",IF($BD185&lt;&gt;Constants!$B$6,"",IF($AU185="-&gt;",$AY185,$AP185)))</f>
        <v/>
      </c>
      <c r="BZ185" s="96" t="str">
        <f aca="false">IF(ISBLANK($C185),"",IF($BD185&lt;&gt;Constants!$B$6,"",IF($AU185="-&gt;",$AZ185,$AQ185)+$BG185))</f>
        <v/>
      </c>
      <c r="CA185" s="97" t="str">
        <f aca="false">IF(ISBLANK($C185),"",IF($BD185&lt;&gt;Constants!$B$6,$BD185,$BH185))</f>
        <v/>
      </c>
      <c r="CB185" s="98" t="str">
        <f aca="false">IF(ISBLANK($C185),"",$BE185)</f>
        <v/>
      </c>
      <c r="CC185" s="99" t="str">
        <f aca="false">IF(ISBLANK($C185),"",$BS185)</f>
        <v/>
      </c>
      <c r="CD185" s="99" t="str">
        <f aca="false">IF(ISBLANK($C185),"",$BR185)</f>
        <v/>
      </c>
      <c r="CE185" s="100" t="str">
        <f aca="false">IF(ISBLANK($C185),"",IF($CD185=Constants!$B$9,COUNTA($C$9:$C$508)+2,IF($CD185=Constants!$B$8,COUNTA($C$9:$C$508)+1,IF($CD185=Constants!$B$7,COUNTA($C$9:$C$508),$CD185))))</f>
        <v/>
      </c>
      <c r="CF185" s="9"/>
      <c r="CG185" s="101" t="n">
        <f aca="false">IF(OR(ISNUMBER($CD185),$CD185=Constants!$B$9,$CD185=Constants!$B$7,$CD185=Constants!$B$8),1,0)</f>
        <v>0</v>
      </c>
      <c r="CH185" s="101" t="n">
        <v>177</v>
      </c>
      <c r="CI185" s="101" t="str">
        <f aca="false">IF(ISBLANK($C185),"",IF(ISNUMBER($CE185),$CE185+ROW($B185)/1000,""))</f>
        <v/>
      </c>
      <c r="CJ185" s="101" t="str">
        <f aca="false">IF(ISNUMBER($CI185),RANK($CI185,$CI$9:$CI$508,1),"")</f>
        <v/>
      </c>
      <c r="CK185" s="101" t="str">
        <f aca="false">IF(ISBLANK($C185),"",$B185)</f>
        <v/>
      </c>
      <c r="CL185" s="101" t="str">
        <f aca="false">IF(ISBLANK($C185),"",$C185)</f>
        <v/>
      </c>
      <c r="CM185" s="101" t="str">
        <f aca="false">IF(ISBLANK($C185),"",$D185)</f>
        <v/>
      </c>
      <c r="CN185" s="102" t="str">
        <f aca="false">$CB185</f>
        <v/>
      </c>
      <c r="CO185" s="103" t="str">
        <f aca="false">$CA185</f>
        <v/>
      </c>
      <c r="CP185" s="101" t="str">
        <f aca="false">IF(ISBLANK($C185),"",$CD185)</f>
        <v/>
      </c>
      <c r="CQ185" s="104" t="str">
        <f aca="false">IF($CH185&gt;$CG$8,"",VLOOKUP($CH185,$CJ$9:$CP$508,7,FALSE()))</f>
        <v/>
      </c>
      <c r="CR185" s="105" t="str">
        <f aca="false">IF($CH185&gt;$CG$8,"",VLOOKUP($CH185,$CJ$9:$CP$508,2,FALSE()))</f>
        <v/>
      </c>
      <c r="CS185" s="105" t="str">
        <f aca="false">IF($CH185&gt;$CG$8,"",VLOOKUP($CH185,$CJ$9:$CP$508,3,FALSE()))</f>
        <v/>
      </c>
      <c r="CT185" s="105" t="str">
        <f aca="false">IF($CH185&gt;$CG$8,"",VLOOKUP($CH185,$CJ$9:$CP$508,4,FALSE()))</f>
        <v/>
      </c>
      <c r="CU185" s="105" t="str">
        <f aca="false">IF($CH185&gt;$CG$8,"",VLOOKUP($CH185,$CJ$9:$CP$508,5,FALSE()))</f>
        <v/>
      </c>
      <c r="CV185" s="106" t="str">
        <f aca="false">IF($CH185&gt;$CG$8,"",VLOOKUP($CH185,$CJ$9:$CP$508,6,FALSE()))</f>
        <v/>
      </c>
      <c r="CW185" s="71"/>
    </row>
    <row r="186" customFormat="false" ht="15.75" hidden="false" customHeight="false" outlineLevel="0" collapsed="false">
      <c r="A186" s="9"/>
      <c r="B186" s="150"/>
      <c r="C186" s="151"/>
      <c r="D186" s="152"/>
      <c r="E186" s="170"/>
      <c r="F186" s="154"/>
      <c r="G186" s="155"/>
      <c r="H186" s="171"/>
      <c r="I186" s="159"/>
      <c r="J186" s="120"/>
      <c r="K186" s="121"/>
      <c r="L186" s="122"/>
      <c r="M186" s="158"/>
      <c r="N186" s="159"/>
      <c r="O186" s="159"/>
      <c r="P186" s="120"/>
      <c r="Q186" s="122"/>
      <c r="R186" s="122"/>
      <c r="S186" s="158"/>
      <c r="T186" s="159"/>
      <c r="U186" s="126"/>
      <c r="V186" s="127"/>
      <c r="W186" s="127" t="str">
        <f aca="false">IF(ISBLANK($C186),"",IF(E186=Constants!$B$2,TRUE(),IF(E186=Constants!$B$3,FALSE(),TRUE())))</f>
        <v/>
      </c>
      <c r="X186" s="127" t="str">
        <f aca="false">IF(ISBLANK($C186),"",IF(F186=Constants!$B$2,TRUE(),IF(F186=Constants!$B$3,FALSE(),TRUE())))</f>
        <v/>
      </c>
      <c r="Y186" s="127" t="str">
        <f aca="false">IF(ISBLANK($C186),"",IF(G186=Constants!$B$2,TRUE(),IF(G186=Constants!$B$3,FALSE(),TRUE())))</f>
        <v/>
      </c>
      <c r="Z186" s="127" t="str">
        <f aca="false">IF(ISBLANK($C186),"",IF(H186=Constants!$B$2,TRUE(),IF(H186=Constants!$B$3,FALSE(),TRUE())))</f>
        <v/>
      </c>
      <c r="AA186" s="127" t="str">
        <f aca="false">IF(ISBLANK($C186),"",IF(I186=Constants!$B$2,TRUE(),IF(I186=Constants!$B$3,FALSE(),TRUE())))</f>
        <v/>
      </c>
      <c r="AB186" s="127" t="str">
        <f aca="false">IF(ISBLANK($C186),"",IF(J186=Constants!$B$4,TRUE(),IF(J186=Constants!$B$5,FALSE(),COUNTA(K186:M186)&gt;0)))</f>
        <v/>
      </c>
      <c r="AC186" s="128" t="str">
        <f aca="false">IF(ISBLANK($C186),"",IF(ISNUMBER(K186),IF(K186&gt;=0,K186,""),""))</f>
        <v/>
      </c>
      <c r="AD186" s="129" t="str">
        <f aca="false">IF(ISBLANK($C186),"",IF(ISNUMBER(L186),IF(L186&gt;=0,L186,""),""))</f>
        <v/>
      </c>
      <c r="AE186" s="127" t="str">
        <f aca="false">IF(ISBLANK($C186),"",IF(ISNUMBER(M186),IF(M186&gt;=0,MIN(M186,Constants!$B$22),""),""))</f>
        <v/>
      </c>
      <c r="AF186" s="127" t="str">
        <f aca="false">IF(ISBLANK($C186),"",IF(N186=Constants!$B$2,TRUE(),IF(N186=Constants!$B$3,FALSE(),TRUE())))</f>
        <v/>
      </c>
      <c r="AG186" s="127" t="str">
        <f aca="false">IF(ISBLANK($C186),"",IF(O186=Constants!$B$2,TRUE(),IF(O186=Constants!$B$3,FALSE(),TRUE())))</f>
        <v/>
      </c>
      <c r="AH186" s="127" t="str">
        <f aca="false">IF(ISBLANK($C186),"",IF(P186=Constants!$B$4,TRUE(),IF(P186=Constants!$B$5,FALSE(),COUNTA(Q186:S186)&gt;0)))</f>
        <v/>
      </c>
      <c r="AI186" s="128" t="str">
        <f aca="false">IF(ISBLANK($C186),"",IF(ISNUMBER(Q186),IF(Q186&gt;=0,Q186,""),""))</f>
        <v/>
      </c>
      <c r="AJ186" s="129" t="str">
        <f aca="false">IF(ISBLANK($C186),"",IF(ISNUMBER(R186),IF(R186&gt;=0,R186,""),""))</f>
        <v/>
      </c>
      <c r="AK186" s="127" t="str">
        <f aca="false">IF(ISBLANK($C186),"",IF(ISNUMBER(S186),IF(S186&gt;=0,MIN(S186,Constants!$B$22),""),""))</f>
        <v/>
      </c>
      <c r="AL186" s="127" t="str">
        <f aca="false">IF(ISBLANK($C186),"",IF(T186=Constants!$B$2,TRUE(),IF(T186=Constants!$B$3,FALSE(),FALSE())))</f>
        <v/>
      </c>
      <c r="AM186" s="126" t="str">
        <f aca="false">IF(ISBLANK($C186),"",AND($AB186,OR($AC186="",$AD186="",AND(NOT(ISBLANK($M186)),$AE186=""))))</f>
        <v/>
      </c>
      <c r="AN186" s="129" t="str">
        <f aca="false">IF($BD186&lt;&gt;Constants!$B$6,"",IF($AB186,Constants!$B$17*$AD186,Constants!$B$18))</f>
        <v/>
      </c>
      <c r="AO186" s="130" t="str">
        <f aca="false">IF($BD186&lt;&gt;Constants!$B$6,"",Constants!$B$19*IF($AB186,$AC186,0))</f>
        <v/>
      </c>
      <c r="AP186" s="130" t="str">
        <f aca="false">IF($BD186&lt;&gt;Constants!$B$6,"",IF(AND($AB186,ISNUMBER($AE186)),Constants!$B$20*(Constants!$B$21-$AE186),0))</f>
        <v/>
      </c>
      <c r="AQ186" s="130" t="str">
        <f aca="false">IF($BD186&lt;&gt;Constants!$B$6,"",IF($AA186,0,Constants!$B$12)+IF($Z186,0,Constants!$B$13)+IF($Y186,0,Constants!$B$14))</f>
        <v/>
      </c>
      <c r="AR186" s="131" t="str">
        <f aca="false">IF($BD186&lt;&gt;Constants!$B$6,"",Constants!$B$16+SUM($AN186:$AQ186))</f>
        <v/>
      </c>
      <c r="AS186" s="130" t="str">
        <f aca="false">IF($BD186&lt;&gt;Constants!$B$6,"",IF($AB186,$AD186,""))</f>
        <v/>
      </c>
      <c r="AT186" s="132" t="str">
        <f aca="false">IF($BD186&lt;&gt;Constants!$B$6,"",$AO186)</f>
        <v/>
      </c>
      <c r="AU186" s="127" t="str">
        <f aca="false">IF($BD186&lt;&gt;Constants!$B$6,"",IF(OR($BA186&lt;$AR186,AND($BA186=$AR186,OR(AND(ISNUMBER($BB186),OR(NOT(ISNUMBER($AS186)),$BB186&lt;$AS186)),AND(OR(AND($BB186="",$AS186=""),AND(ISNUMBER($BB186),ISNUMBER($AS186),$BB186=$AS186)),$BC186&lt;$AT186)))),"-&gt;","&lt;-"))</f>
        <v/>
      </c>
      <c r="AV186" s="126" t="str">
        <f aca="false">IF(ISBLANK($C186),"",AND($AH186,OR($AI186="",$AJ186="",AND(NOT(ISBLANK($S186)),$AK186=""))))</f>
        <v/>
      </c>
      <c r="AW186" s="129" t="str">
        <f aca="false">IF($BD186&lt;&gt;Constants!$B$6,"",IF($AH186,Constants!$B$17*$AJ186,Constants!$B$18))</f>
        <v/>
      </c>
      <c r="AX186" s="130" t="str">
        <f aca="false">IF($BD186&lt;&gt;Constants!$B$6,"",Constants!$B$19*IF($AH186,$AI186,0))</f>
        <v/>
      </c>
      <c r="AY186" s="130" t="str">
        <f aca="false">IF($BD186&lt;&gt;Constants!$B$6,"",IF(AND($AH186,ISNUMBER($AK186)),Constants!$B$20*(Constants!$B$21-$AK186),0))</f>
        <v/>
      </c>
      <c r="AZ186" s="130" t="str">
        <f aca="false">IF($BD186&lt;&gt;Constants!$B$6,"",IF($AG186,0,Constants!$B$12)+IF($AF186,0,Constants!$B$13)+IF($Y186,0,Constants!$B$14))</f>
        <v/>
      </c>
      <c r="BA186" s="131" t="str">
        <f aca="false">IF($BD186&lt;&gt;Constants!$B$6,"",Constants!$B$16+SUM($AW186:$AZ186))</f>
        <v/>
      </c>
      <c r="BB186" s="130" t="str">
        <f aca="false">IF($BD186&lt;&gt;Constants!$B$6,"",IF($AH186,$AJ186,""))</f>
        <v/>
      </c>
      <c r="BC186" s="132" t="str">
        <f aca="false">IF($BD186&lt;&gt;Constants!$B$6,"",$AX186)</f>
        <v/>
      </c>
      <c r="BD186" s="127" t="str">
        <f aca="false">IF(ISBLANK($C186),"",IF($AL186,Constants!$B$9,IF(COUNTA($E186:$T186)=0,Constants!$B$8,IF(NOT($X186),Constants!$B$7,IF(OR($AM186,$AV186),Constants!$B$10,Constants!$B$6)))))</f>
        <v/>
      </c>
      <c r="BE186" s="127" t="str">
        <f aca="false">IF(ISBLANK($C186),"",IF($BD186&lt;&gt;Constants!$B$6,$BD186,Constants!$B$11))</f>
        <v/>
      </c>
      <c r="BF186" s="130" t="str">
        <f aca="false">IF($BD186&lt;&gt;Constants!$B$6,"",IF($AU186="-&gt;",$BA186,$AR186))</f>
        <v/>
      </c>
      <c r="BG186" s="130" t="str">
        <f aca="false">IF($BD186&lt;&gt;Constants!$B$6,"",IF($W186,0,Constants!$B$15))</f>
        <v/>
      </c>
      <c r="BH186" s="130" t="str">
        <f aca="false">IF(ISBLANK($C186),"",IF($BD186&lt;&gt;Constants!$B$6,$BD186,SUM($BF186:$BG186)))</f>
        <v/>
      </c>
      <c r="BI186" s="127" t="str">
        <f aca="false">IF(ISBLANK($C186),"",IF($BD186&lt;&gt;Constants!$B$6,$BD186,RANK($BH186,$BH$9:$BH$508,1)))</f>
        <v/>
      </c>
      <c r="BJ186" s="130" t="str">
        <f aca="false">IF($BD186&lt;&gt;Constants!$B$6,"",IF($AU186="-&gt;",$BB186,$AS186))</f>
        <v/>
      </c>
      <c r="BK186" s="127" t="str">
        <f aca="false">IF(ISBLANK($C186),"",IF($BD186&lt;&gt;Constants!$B$6,$BD186,IF(ISNUMBER($BJ186),RANK($BJ186,$BJ$9:$BJ$508,1),COUNT($BJ$9:$BJ$508)+1)))</f>
        <v/>
      </c>
      <c r="BL186" s="130" t="str">
        <f aca="false">IF($BD186&lt;&gt;Constants!$B$6,"",IF($AU186="-&gt;",$BC186,$AT186))</f>
        <v/>
      </c>
      <c r="BM186" s="127" t="str">
        <f aca="false">IF(ISBLANK($C186),"",IF($BD186&lt;&gt;Constants!$B$6,$BD186,IF(ISNUMBER($BL186),RANK($BL186,$BL$9:$BL$508,1),COUNT($BL$9:$BL$508)+1)))</f>
        <v/>
      </c>
      <c r="BN186" s="130" t="str">
        <f aca="false">IF($BD186&lt;&gt;Constants!$B$6,"",IF($AU186="-&gt;",$AS186,$BB186))</f>
        <v/>
      </c>
      <c r="BO186" s="127" t="str">
        <f aca="false">IF(ISBLANK($C186),"",IF($BD186&lt;&gt;Constants!$B$6,$BD186,IF(ISNUMBER($BN186),RANK($BN186,$BN$9:$BN$508,1),COUNT($BN$9:$BN$508)+1)))</f>
        <v/>
      </c>
      <c r="BP186" s="130" t="str">
        <f aca="false">IF($BD186&lt;&gt;Constants!$B$6,"",IF($AU186="-&gt;",$AT186,$BC186))</f>
        <v/>
      </c>
      <c r="BQ186" s="127" t="str">
        <f aca="false">IF(ISBLANK($C186),"",IF($BD186&lt;&gt;Constants!$B$6,$BD186,IF(ISNUMBER($BP186),RANK($BP186,$BP$9:$BP$508,1),COUNT($BP$9:$BP$508)+1)))</f>
        <v/>
      </c>
      <c r="BR186" s="127" t="str">
        <f aca="false">IF(ISBLANK($C186),"",IF($BD186&lt;&gt;Constants!$B$6,$BD186,COUNTIFS($BI$9:$BI$508,"&lt;"&amp;$BI186)+COUNTIFS($BI$9:$BI$508,$BI186,$BK$9:$BK$508,"&lt;"&amp;$BK186)+COUNTIFS($BI$9:$BI$508,$BI186,$BK$9:$BK$508,$BK186,$BM$9:$BM$508,"&lt;"&amp;$BM186)+COUNTIFS($BI$9:$BI$508,$BI186,$BK$9:$BK$508,$BK186,$BM$9:$BM$508,$BM186,$BO$9:$BO$508,"&lt;"&amp;$BO186)+COUNTIFS($BI$9:$BI$508,$BI186,$BK$9:$BK$508,$BK186,$BM$9:$BM$508,$BM186,$BO$9:$BO$508,$BO186,$BQ$9:$BQ$508,"&lt;"&amp;$BQ186)+1))</f>
        <v/>
      </c>
      <c r="BS186" s="127" t="str">
        <f aca="false">IF(ISBLANK($C186),"",IF($BD186&lt;&gt;Constants!$B$6,$BD186,$BI186-$BR186))</f>
        <v/>
      </c>
      <c r="BT186" s="133"/>
      <c r="BU186" s="134"/>
      <c r="BV186" s="134" t="str">
        <f aca="false">IF(ISBLANK($C186),"",IF($BD186&lt;&gt;Constants!$B$6,"",IF($AU186="-&gt;",2,1)))</f>
        <v/>
      </c>
      <c r="BW186" s="135" t="str">
        <f aca="false">IF(ISBLANK($C186),"",IF($BD186&lt;&gt;Constants!$B$6,"",IF($AU186="-&gt;",$AW186,$AN186)))</f>
        <v/>
      </c>
      <c r="BX186" s="135" t="str">
        <f aca="false">IF(ISBLANK($C186),"",IF($BD186&lt;&gt;Constants!$B$6,"",IF($AU186="-&gt;",$AX186,$AO186)))</f>
        <v/>
      </c>
      <c r="BY186" s="135" t="str">
        <f aca="false">IF(ISBLANK($C186),"",IF($BD186&lt;&gt;Constants!$B$6,"",IF($AU186="-&gt;",$AY186,$AP186)))</f>
        <v/>
      </c>
      <c r="BZ186" s="135" t="str">
        <f aca="false">IF(ISBLANK($C186),"",IF($BD186&lt;&gt;Constants!$B$6,"",IF($AU186="-&gt;",$AZ186,$AQ186)+$BG186))</f>
        <v/>
      </c>
      <c r="CA186" s="136" t="str">
        <f aca="false">IF(ISBLANK($C186),"",IF($BD186&lt;&gt;Constants!$B$6,$BD186,$BH186))</f>
        <v/>
      </c>
      <c r="CB186" s="137" t="str">
        <f aca="false">IF(ISBLANK($C186),"",$BE186)</f>
        <v/>
      </c>
      <c r="CC186" s="138" t="str">
        <f aca="false">IF(ISBLANK($C186),"",$BS186)</f>
        <v/>
      </c>
      <c r="CD186" s="138" t="str">
        <f aca="false">IF(ISBLANK($C186),"",$BR186)</f>
        <v/>
      </c>
      <c r="CE186" s="139" t="str">
        <f aca="false">IF(ISBLANK($C186),"",IF($CD186=Constants!$B$9,COUNTA($C$9:$C$508)+2,IF($CD186=Constants!$B$8,COUNTA($C$9:$C$508)+1,IF($CD186=Constants!$B$7,COUNTA($C$9:$C$508),$CD186))))</f>
        <v/>
      </c>
      <c r="CF186" s="9"/>
      <c r="CG186" s="140" t="n">
        <f aca="false">IF(OR(ISNUMBER($CD186),$CD186=Constants!$B$9,$CD186=Constants!$B$7,$CD186=Constants!$B$8),1,0)</f>
        <v>0</v>
      </c>
      <c r="CH186" s="140" t="n">
        <v>178</v>
      </c>
      <c r="CI186" s="140" t="str">
        <f aca="false">IF(ISBLANK($C186),"",IF(ISNUMBER($CE186),$CE186+ROW($B186)/1000,""))</f>
        <v/>
      </c>
      <c r="CJ186" s="140" t="str">
        <f aca="false">IF(ISNUMBER($CI186),RANK($CI186,$CI$9:$CI$508,1),"")</f>
        <v/>
      </c>
      <c r="CK186" s="140" t="str">
        <f aca="false">IF(ISBLANK($C186),"",$B186)</f>
        <v/>
      </c>
      <c r="CL186" s="140" t="str">
        <f aca="false">IF(ISBLANK($C186),"",$C186)</f>
        <v/>
      </c>
      <c r="CM186" s="140" t="str">
        <f aca="false">IF(ISBLANK($C186),"",$D186)</f>
        <v/>
      </c>
      <c r="CN186" s="141" t="str">
        <f aca="false">$CB186</f>
        <v/>
      </c>
      <c r="CO186" s="142" t="str">
        <f aca="false">$CA186</f>
        <v/>
      </c>
      <c r="CP186" s="140" t="str">
        <f aca="false">IF(ISBLANK($C186),"",$CD186)</f>
        <v/>
      </c>
      <c r="CQ186" s="143" t="str">
        <f aca="false">IF($CH186&gt;$CG$8,"",VLOOKUP($CH186,$CJ$9:$CP$508,7,FALSE()))</f>
        <v/>
      </c>
      <c r="CR186" s="144" t="str">
        <f aca="false">IF($CH186&gt;$CG$8,"",VLOOKUP($CH186,$CJ$9:$CP$508,2,FALSE()))</f>
        <v/>
      </c>
      <c r="CS186" s="144" t="str">
        <f aca="false">IF($CH186&gt;$CG$8,"",VLOOKUP($CH186,$CJ$9:$CP$508,3,FALSE()))</f>
        <v/>
      </c>
      <c r="CT186" s="144" t="str">
        <f aca="false">IF($CH186&gt;$CG$8,"",VLOOKUP($CH186,$CJ$9:$CP$508,4,FALSE()))</f>
        <v/>
      </c>
      <c r="CU186" s="144" t="str">
        <f aca="false">IF($CH186&gt;$CG$8,"",VLOOKUP($CH186,$CJ$9:$CP$508,5,FALSE()))</f>
        <v/>
      </c>
      <c r="CV186" s="145" t="str">
        <f aca="false">IF($CH186&gt;$CG$8,"",VLOOKUP($CH186,$CJ$9:$CP$508,6,FALSE()))</f>
        <v/>
      </c>
      <c r="CW186" s="71"/>
    </row>
    <row r="187" customFormat="false" ht="15.75" hidden="false" customHeight="false" outlineLevel="0" collapsed="false">
      <c r="A187" s="9"/>
      <c r="B187" s="150"/>
      <c r="C187" s="151"/>
      <c r="D187" s="152"/>
      <c r="E187" s="170"/>
      <c r="F187" s="154"/>
      <c r="G187" s="155"/>
      <c r="H187" s="171"/>
      <c r="I187" s="159"/>
      <c r="J187" s="120"/>
      <c r="K187" s="121"/>
      <c r="L187" s="122"/>
      <c r="M187" s="158"/>
      <c r="N187" s="159"/>
      <c r="O187" s="159"/>
      <c r="P187" s="120"/>
      <c r="Q187" s="122"/>
      <c r="R187" s="122"/>
      <c r="S187" s="158"/>
      <c r="T187" s="159"/>
      <c r="U187" s="126"/>
      <c r="V187" s="127"/>
      <c r="W187" s="127" t="str">
        <f aca="false">IF(ISBLANK($C187),"",IF(E187=Constants!$B$2,TRUE(),IF(E187=Constants!$B$3,FALSE(),TRUE())))</f>
        <v/>
      </c>
      <c r="X187" s="127" t="str">
        <f aca="false">IF(ISBLANK($C187),"",IF(F187=Constants!$B$2,TRUE(),IF(F187=Constants!$B$3,FALSE(),TRUE())))</f>
        <v/>
      </c>
      <c r="Y187" s="127" t="str">
        <f aca="false">IF(ISBLANK($C187),"",IF(G187=Constants!$B$2,TRUE(),IF(G187=Constants!$B$3,FALSE(),TRUE())))</f>
        <v/>
      </c>
      <c r="Z187" s="127" t="str">
        <f aca="false">IF(ISBLANK($C187),"",IF(H187=Constants!$B$2,TRUE(),IF(H187=Constants!$B$3,FALSE(),TRUE())))</f>
        <v/>
      </c>
      <c r="AA187" s="127" t="str">
        <f aca="false">IF(ISBLANK($C187),"",IF(I187=Constants!$B$2,TRUE(),IF(I187=Constants!$B$3,FALSE(),TRUE())))</f>
        <v/>
      </c>
      <c r="AB187" s="127" t="str">
        <f aca="false">IF(ISBLANK($C187),"",IF(J187=Constants!$B$4,TRUE(),IF(J187=Constants!$B$5,FALSE(),COUNTA(K187:M187)&gt;0)))</f>
        <v/>
      </c>
      <c r="AC187" s="128" t="str">
        <f aca="false">IF(ISBLANK($C187),"",IF(ISNUMBER(K187),IF(K187&gt;=0,K187,""),""))</f>
        <v/>
      </c>
      <c r="AD187" s="129" t="str">
        <f aca="false">IF(ISBLANK($C187),"",IF(ISNUMBER(L187),IF(L187&gt;=0,L187,""),""))</f>
        <v/>
      </c>
      <c r="AE187" s="127" t="str">
        <f aca="false">IF(ISBLANK($C187),"",IF(ISNUMBER(M187),IF(M187&gt;=0,MIN(M187,Constants!$B$22),""),""))</f>
        <v/>
      </c>
      <c r="AF187" s="127" t="str">
        <f aca="false">IF(ISBLANK($C187),"",IF(N187=Constants!$B$2,TRUE(),IF(N187=Constants!$B$3,FALSE(),TRUE())))</f>
        <v/>
      </c>
      <c r="AG187" s="127" t="str">
        <f aca="false">IF(ISBLANK($C187),"",IF(O187=Constants!$B$2,TRUE(),IF(O187=Constants!$B$3,FALSE(),TRUE())))</f>
        <v/>
      </c>
      <c r="AH187" s="127" t="str">
        <f aca="false">IF(ISBLANK($C187),"",IF(P187=Constants!$B$4,TRUE(),IF(P187=Constants!$B$5,FALSE(),COUNTA(Q187:S187)&gt;0)))</f>
        <v/>
      </c>
      <c r="AI187" s="128" t="str">
        <f aca="false">IF(ISBLANK($C187),"",IF(ISNUMBER(Q187),IF(Q187&gt;=0,Q187,""),""))</f>
        <v/>
      </c>
      <c r="AJ187" s="129" t="str">
        <f aca="false">IF(ISBLANK($C187),"",IF(ISNUMBER(R187),IF(R187&gt;=0,R187,""),""))</f>
        <v/>
      </c>
      <c r="AK187" s="127" t="str">
        <f aca="false">IF(ISBLANK($C187),"",IF(ISNUMBER(S187),IF(S187&gt;=0,MIN(S187,Constants!$B$22),""),""))</f>
        <v/>
      </c>
      <c r="AL187" s="127" t="str">
        <f aca="false">IF(ISBLANK($C187),"",IF(T187=Constants!$B$2,TRUE(),IF(T187=Constants!$B$3,FALSE(),FALSE())))</f>
        <v/>
      </c>
      <c r="AM187" s="126" t="str">
        <f aca="false">IF(ISBLANK($C187),"",AND($AB187,OR($AC187="",$AD187="",AND(NOT(ISBLANK($M187)),$AE187=""))))</f>
        <v/>
      </c>
      <c r="AN187" s="129" t="str">
        <f aca="false">IF($BD187&lt;&gt;Constants!$B$6,"",IF($AB187,Constants!$B$17*$AD187,Constants!$B$18))</f>
        <v/>
      </c>
      <c r="AO187" s="130" t="str">
        <f aca="false">IF($BD187&lt;&gt;Constants!$B$6,"",Constants!$B$19*IF($AB187,$AC187,0))</f>
        <v/>
      </c>
      <c r="AP187" s="130" t="str">
        <f aca="false">IF($BD187&lt;&gt;Constants!$B$6,"",IF(AND($AB187,ISNUMBER($AE187)),Constants!$B$20*(Constants!$B$21-$AE187),0))</f>
        <v/>
      </c>
      <c r="AQ187" s="130" t="str">
        <f aca="false">IF($BD187&lt;&gt;Constants!$B$6,"",IF($AA187,0,Constants!$B$12)+IF($Z187,0,Constants!$B$13)+IF($Y187,0,Constants!$B$14))</f>
        <v/>
      </c>
      <c r="AR187" s="131" t="str">
        <f aca="false">IF($BD187&lt;&gt;Constants!$B$6,"",Constants!$B$16+SUM($AN187:$AQ187))</f>
        <v/>
      </c>
      <c r="AS187" s="130" t="str">
        <f aca="false">IF($BD187&lt;&gt;Constants!$B$6,"",IF($AB187,$AD187,""))</f>
        <v/>
      </c>
      <c r="AT187" s="132" t="str">
        <f aca="false">IF($BD187&lt;&gt;Constants!$B$6,"",$AO187)</f>
        <v/>
      </c>
      <c r="AU187" s="127" t="str">
        <f aca="false">IF($BD187&lt;&gt;Constants!$B$6,"",IF(OR($BA187&lt;$AR187,AND($BA187=$AR187,OR(AND(ISNUMBER($BB187),OR(NOT(ISNUMBER($AS187)),$BB187&lt;$AS187)),AND(OR(AND($BB187="",$AS187=""),AND(ISNUMBER($BB187),ISNUMBER($AS187),$BB187=$AS187)),$BC187&lt;$AT187)))),"-&gt;","&lt;-"))</f>
        <v/>
      </c>
      <c r="AV187" s="126" t="str">
        <f aca="false">IF(ISBLANK($C187),"",AND($AH187,OR($AI187="",$AJ187="",AND(NOT(ISBLANK($S187)),$AK187=""))))</f>
        <v/>
      </c>
      <c r="AW187" s="129" t="str">
        <f aca="false">IF($BD187&lt;&gt;Constants!$B$6,"",IF($AH187,Constants!$B$17*$AJ187,Constants!$B$18))</f>
        <v/>
      </c>
      <c r="AX187" s="130" t="str">
        <f aca="false">IF($BD187&lt;&gt;Constants!$B$6,"",Constants!$B$19*IF($AH187,$AI187,0))</f>
        <v/>
      </c>
      <c r="AY187" s="130" t="str">
        <f aca="false">IF($BD187&lt;&gt;Constants!$B$6,"",IF(AND($AH187,ISNUMBER($AK187)),Constants!$B$20*(Constants!$B$21-$AK187),0))</f>
        <v/>
      </c>
      <c r="AZ187" s="130" t="str">
        <f aca="false">IF($BD187&lt;&gt;Constants!$B$6,"",IF($AG187,0,Constants!$B$12)+IF($AF187,0,Constants!$B$13)+IF($Y187,0,Constants!$B$14))</f>
        <v/>
      </c>
      <c r="BA187" s="131" t="str">
        <f aca="false">IF($BD187&lt;&gt;Constants!$B$6,"",Constants!$B$16+SUM($AW187:$AZ187))</f>
        <v/>
      </c>
      <c r="BB187" s="130" t="str">
        <f aca="false">IF($BD187&lt;&gt;Constants!$B$6,"",IF($AH187,$AJ187,""))</f>
        <v/>
      </c>
      <c r="BC187" s="132" t="str">
        <f aca="false">IF($BD187&lt;&gt;Constants!$B$6,"",$AX187)</f>
        <v/>
      </c>
      <c r="BD187" s="127" t="str">
        <f aca="false">IF(ISBLANK($C187),"",IF($AL187,Constants!$B$9,IF(COUNTA($E187:$T187)=0,Constants!$B$8,IF(NOT($X187),Constants!$B$7,IF(OR($AM187,$AV187),Constants!$B$10,Constants!$B$6)))))</f>
        <v/>
      </c>
      <c r="BE187" s="127" t="str">
        <f aca="false">IF(ISBLANK($C187),"",IF($BD187&lt;&gt;Constants!$B$6,$BD187,Constants!$B$11))</f>
        <v/>
      </c>
      <c r="BF187" s="130" t="str">
        <f aca="false">IF($BD187&lt;&gt;Constants!$B$6,"",IF($AU187="-&gt;",$BA187,$AR187))</f>
        <v/>
      </c>
      <c r="BG187" s="130" t="str">
        <f aca="false">IF($BD187&lt;&gt;Constants!$B$6,"",IF($W187,0,Constants!$B$15))</f>
        <v/>
      </c>
      <c r="BH187" s="130" t="str">
        <f aca="false">IF(ISBLANK($C187),"",IF($BD187&lt;&gt;Constants!$B$6,$BD187,SUM($BF187:$BG187)))</f>
        <v/>
      </c>
      <c r="BI187" s="127" t="str">
        <f aca="false">IF(ISBLANK($C187),"",IF($BD187&lt;&gt;Constants!$B$6,$BD187,RANK($BH187,$BH$9:$BH$508,1)))</f>
        <v/>
      </c>
      <c r="BJ187" s="130" t="str">
        <f aca="false">IF($BD187&lt;&gt;Constants!$B$6,"",IF($AU187="-&gt;",$BB187,$AS187))</f>
        <v/>
      </c>
      <c r="BK187" s="127" t="str">
        <f aca="false">IF(ISBLANK($C187),"",IF($BD187&lt;&gt;Constants!$B$6,$BD187,IF(ISNUMBER($BJ187),RANK($BJ187,$BJ$9:$BJ$508,1),COUNT($BJ$9:$BJ$508)+1)))</f>
        <v/>
      </c>
      <c r="BL187" s="130" t="str">
        <f aca="false">IF($BD187&lt;&gt;Constants!$B$6,"",IF($AU187="-&gt;",$BC187,$AT187))</f>
        <v/>
      </c>
      <c r="BM187" s="127" t="str">
        <f aca="false">IF(ISBLANK($C187),"",IF($BD187&lt;&gt;Constants!$B$6,$BD187,IF(ISNUMBER($BL187),RANK($BL187,$BL$9:$BL$508,1),COUNT($BL$9:$BL$508)+1)))</f>
        <v/>
      </c>
      <c r="BN187" s="130" t="str">
        <f aca="false">IF($BD187&lt;&gt;Constants!$B$6,"",IF($AU187="-&gt;",$AS187,$BB187))</f>
        <v/>
      </c>
      <c r="BO187" s="127" t="str">
        <f aca="false">IF(ISBLANK($C187),"",IF($BD187&lt;&gt;Constants!$B$6,$BD187,IF(ISNUMBER($BN187),RANK($BN187,$BN$9:$BN$508,1),COUNT($BN$9:$BN$508)+1)))</f>
        <v/>
      </c>
      <c r="BP187" s="130" t="str">
        <f aca="false">IF($BD187&lt;&gt;Constants!$B$6,"",IF($AU187="-&gt;",$AT187,$BC187))</f>
        <v/>
      </c>
      <c r="BQ187" s="127" t="str">
        <f aca="false">IF(ISBLANK($C187),"",IF($BD187&lt;&gt;Constants!$B$6,$BD187,IF(ISNUMBER($BP187),RANK($BP187,$BP$9:$BP$508,1),COUNT($BP$9:$BP$508)+1)))</f>
        <v/>
      </c>
      <c r="BR187" s="127" t="str">
        <f aca="false">IF(ISBLANK($C187),"",IF($BD187&lt;&gt;Constants!$B$6,$BD187,COUNTIFS($BI$9:$BI$508,"&lt;"&amp;$BI187)+COUNTIFS($BI$9:$BI$508,$BI187,$BK$9:$BK$508,"&lt;"&amp;$BK187)+COUNTIFS($BI$9:$BI$508,$BI187,$BK$9:$BK$508,$BK187,$BM$9:$BM$508,"&lt;"&amp;$BM187)+COUNTIFS($BI$9:$BI$508,$BI187,$BK$9:$BK$508,$BK187,$BM$9:$BM$508,$BM187,$BO$9:$BO$508,"&lt;"&amp;$BO187)+COUNTIFS($BI$9:$BI$508,$BI187,$BK$9:$BK$508,$BK187,$BM$9:$BM$508,$BM187,$BO$9:$BO$508,$BO187,$BQ$9:$BQ$508,"&lt;"&amp;$BQ187)+1))</f>
        <v/>
      </c>
      <c r="BS187" s="127" t="str">
        <f aca="false">IF(ISBLANK($C187),"",IF($BD187&lt;&gt;Constants!$B$6,$BD187,$BI187-$BR187))</f>
        <v/>
      </c>
      <c r="BT187" s="133"/>
      <c r="BU187" s="134"/>
      <c r="BV187" s="134" t="str">
        <f aca="false">IF(ISBLANK($C187),"",IF($BD187&lt;&gt;Constants!$B$6,"",IF($AU187="-&gt;",2,1)))</f>
        <v/>
      </c>
      <c r="BW187" s="135" t="str">
        <f aca="false">IF(ISBLANK($C187),"",IF($BD187&lt;&gt;Constants!$B$6,"",IF($AU187="-&gt;",$AW187,$AN187)))</f>
        <v/>
      </c>
      <c r="BX187" s="135" t="str">
        <f aca="false">IF(ISBLANK($C187),"",IF($BD187&lt;&gt;Constants!$B$6,"",IF($AU187="-&gt;",$AX187,$AO187)))</f>
        <v/>
      </c>
      <c r="BY187" s="135" t="str">
        <f aca="false">IF(ISBLANK($C187),"",IF($BD187&lt;&gt;Constants!$B$6,"",IF($AU187="-&gt;",$AY187,$AP187)))</f>
        <v/>
      </c>
      <c r="BZ187" s="135" t="str">
        <f aca="false">IF(ISBLANK($C187),"",IF($BD187&lt;&gt;Constants!$B$6,"",IF($AU187="-&gt;",$AZ187,$AQ187)+$BG187))</f>
        <v/>
      </c>
      <c r="CA187" s="136" t="str">
        <f aca="false">IF(ISBLANK($C187),"",IF($BD187&lt;&gt;Constants!$B$6,$BD187,$BH187))</f>
        <v/>
      </c>
      <c r="CB187" s="137" t="str">
        <f aca="false">IF(ISBLANK($C187),"",$BE187)</f>
        <v/>
      </c>
      <c r="CC187" s="138" t="str">
        <f aca="false">IF(ISBLANK($C187),"",$BS187)</f>
        <v/>
      </c>
      <c r="CD187" s="138" t="str">
        <f aca="false">IF(ISBLANK($C187),"",$BR187)</f>
        <v/>
      </c>
      <c r="CE187" s="139" t="str">
        <f aca="false">IF(ISBLANK($C187),"",IF($CD187=Constants!$B$9,COUNTA($C$9:$C$508)+2,IF($CD187=Constants!$B$8,COUNTA($C$9:$C$508)+1,IF($CD187=Constants!$B$7,COUNTA($C$9:$C$508),$CD187))))</f>
        <v/>
      </c>
      <c r="CF187" s="9"/>
      <c r="CG187" s="140" t="n">
        <f aca="false">IF(OR(ISNUMBER($CD187),$CD187=Constants!$B$9,$CD187=Constants!$B$7,$CD187=Constants!$B$8),1,0)</f>
        <v>0</v>
      </c>
      <c r="CH187" s="140" t="n">
        <v>179</v>
      </c>
      <c r="CI187" s="140" t="str">
        <f aca="false">IF(ISBLANK($C187),"",IF(ISNUMBER($CE187),$CE187+ROW($B187)/1000,""))</f>
        <v/>
      </c>
      <c r="CJ187" s="140" t="str">
        <f aca="false">IF(ISNUMBER($CI187),RANK($CI187,$CI$9:$CI$508,1),"")</f>
        <v/>
      </c>
      <c r="CK187" s="140" t="str">
        <f aca="false">IF(ISBLANK($C187),"",$B187)</f>
        <v/>
      </c>
      <c r="CL187" s="140" t="str">
        <f aca="false">IF(ISBLANK($C187),"",$C187)</f>
        <v/>
      </c>
      <c r="CM187" s="140" t="str">
        <f aca="false">IF(ISBLANK($C187),"",$D187)</f>
        <v/>
      </c>
      <c r="CN187" s="141" t="str">
        <f aca="false">$CB187</f>
        <v/>
      </c>
      <c r="CO187" s="142" t="str">
        <f aca="false">$CA187</f>
        <v/>
      </c>
      <c r="CP187" s="140" t="str">
        <f aca="false">IF(ISBLANK($C187),"",$CD187)</f>
        <v/>
      </c>
      <c r="CQ187" s="143" t="str">
        <f aca="false">IF($CH187&gt;$CG$8,"",VLOOKUP($CH187,$CJ$9:$CP$508,7,FALSE()))</f>
        <v/>
      </c>
      <c r="CR187" s="144" t="str">
        <f aca="false">IF($CH187&gt;$CG$8,"",VLOOKUP($CH187,$CJ$9:$CP$508,2,FALSE()))</f>
        <v/>
      </c>
      <c r="CS187" s="144" t="str">
        <f aca="false">IF($CH187&gt;$CG$8,"",VLOOKUP($CH187,$CJ$9:$CP$508,3,FALSE()))</f>
        <v/>
      </c>
      <c r="CT187" s="144" t="str">
        <f aca="false">IF($CH187&gt;$CG$8,"",VLOOKUP($CH187,$CJ$9:$CP$508,4,FALSE()))</f>
        <v/>
      </c>
      <c r="CU187" s="144" t="str">
        <f aca="false">IF($CH187&gt;$CG$8,"",VLOOKUP($CH187,$CJ$9:$CP$508,5,FALSE()))</f>
        <v/>
      </c>
      <c r="CV187" s="145" t="str">
        <f aca="false">IF($CH187&gt;$CG$8,"",VLOOKUP($CH187,$CJ$9:$CP$508,6,FALSE()))</f>
        <v/>
      </c>
      <c r="CW187" s="71"/>
    </row>
    <row r="188" customFormat="false" ht="15.75" hidden="false" customHeight="false" outlineLevel="0" collapsed="false">
      <c r="A188" s="9"/>
      <c r="B188" s="150"/>
      <c r="C188" s="151"/>
      <c r="D188" s="152"/>
      <c r="E188" s="170"/>
      <c r="F188" s="154"/>
      <c r="G188" s="155"/>
      <c r="H188" s="171"/>
      <c r="I188" s="159"/>
      <c r="J188" s="120"/>
      <c r="K188" s="121"/>
      <c r="L188" s="122"/>
      <c r="M188" s="158"/>
      <c r="N188" s="159"/>
      <c r="O188" s="159"/>
      <c r="P188" s="120"/>
      <c r="Q188" s="122"/>
      <c r="R188" s="122"/>
      <c r="S188" s="158"/>
      <c r="T188" s="159"/>
      <c r="U188" s="126"/>
      <c r="V188" s="127"/>
      <c r="W188" s="127" t="str">
        <f aca="false">IF(ISBLANK($C188),"",IF(E188=Constants!$B$2,TRUE(),IF(E188=Constants!$B$3,FALSE(),TRUE())))</f>
        <v/>
      </c>
      <c r="X188" s="127" t="str">
        <f aca="false">IF(ISBLANK($C188),"",IF(F188=Constants!$B$2,TRUE(),IF(F188=Constants!$B$3,FALSE(),TRUE())))</f>
        <v/>
      </c>
      <c r="Y188" s="127" t="str">
        <f aca="false">IF(ISBLANK($C188),"",IF(G188=Constants!$B$2,TRUE(),IF(G188=Constants!$B$3,FALSE(),TRUE())))</f>
        <v/>
      </c>
      <c r="Z188" s="127" t="str">
        <f aca="false">IF(ISBLANK($C188),"",IF(H188=Constants!$B$2,TRUE(),IF(H188=Constants!$B$3,FALSE(),TRUE())))</f>
        <v/>
      </c>
      <c r="AA188" s="127" t="str">
        <f aca="false">IF(ISBLANK($C188),"",IF(I188=Constants!$B$2,TRUE(),IF(I188=Constants!$B$3,FALSE(),TRUE())))</f>
        <v/>
      </c>
      <c r="AB188" s="127" t="str">
        <f aca="false">IF(ISBLANK($C188),"",IF(J188=Constants!$B$4,TRUE(),IF(J188=Constants!$B$5,FALSE(),COUNTA(K188:M188)&gt;0)))</f>
        <v/>
      </c>
      <c r="AC188" s="128" t="str">
        <f aca="false">IF(ISBLANK($C188),"",IF(ISNUMBER(K188),IF(K188&gt;=0,K188,""),""))</f>
        <v/>
      </c>
      <c r="AD188" s="129" t="str">
        <f aca="false">IF(ISBLANK($C188),"",IF(ISNUMBER(L188),IF(L188&gt;=0,L188,""),""))</f>
        <v/>
      </c>
      <c r="AE188" s="127" t="str">
        <f aca="false">IF(ISBLANK($C188),"",IF(ISNUMBER(M188),IF(M188&gt;=0,MIN(M188,Constants!$B$22),""),""))</f>
        <v/>
      </c>
      <c r="AF188" s="127" t="str">
        <f aca="false">IF(ISBLANK($C188),"",IF(N188=Constants!$B$2,TRUE(),IF(N188=Constants!$B$3,FALSE(),TRUE())))</f>
        <v/>
      </c>
      <c r="AG188" s="127" t="str">
        <f aca="false">IF(ISBLANK($C188),"",IF(O188=Constants!$B$2,TRUE(),IF(O188=Constants!$B$3,FALSE(),TRUE())))</f>
        <v/>
      </c>
      <c r="AH188" s="127" t="str">
        <f aca="false">IF(ISBLANK($C188),"",IF(P188=Constants!$B$4,TRUE(),IF(P188=Constants!$B$5,FALSE(),COUNTA(Q188:S188)&gt;0)))</f>
        <v/>
      </c>
      <c r="AI188" s="128" t="str">
        <f aca="false">IF(ISBLANK($C188),"",IF(ISNUMBER(Q188),IF(Q188&gt;=0,Q188,""),""))</f>
        <v/>
      </c>
      <c r="AJ188" s="129" t="str">
        <f aca="false">IF(ISBLANK($C188),"",IF(ISNUMBER(R188),IF(R188&gt;=0,R188,""),""))</f>
        <v/>
      </c>
      <c r="AK188" s="127" t="str">
        <f aca="false">IF(ISBLANK($C188),"",IF(ISNUMBER(S188),IF(S188&gt;=0,MIN(S188,Constants!$B$22),""),""))</f>
        <v/>
      </c>
      <c r="AL188" s="127" t="str">
        <f aca="false">IF(ISBLANK($C188),"",IF(T188=Constants!$B$2,TRUE(),IF(T188=Constants!$B$3,FALSE(),FALSE())))</f>
        <v/>
      </c>
      <c r="AM188" s="126" t="str">
        <f aca="false">IF(ISBLANK($C188),"",AND($AB188,OR($AC188="",$AD188="",AND(NOT(ISBLANK($M188)),$AE188=""))))</f>
        <v/>
      </c>
      <c r="AN188" s="129" t="str">
        <f aca="false">IF($BD188&lt;&gt;Constants!$B$6,"",IF($AB188,Constants!$B$17*$AD188,Constants!$B$18))</f>
        <v/>
      </c>
      <c r="AO188" s="130" t="str">
        <f aca="false">IF($BD188&lt;&gt;Constants!$B$6,"",Constants!$B$19*IF($AB188,$AC188,0))</f>
        <v/>
      </c>
      <c r="AP188" s="130" t="str">
        <f aca="false">IF($BD188&lt;&gt;Constants!$B$6,"",IF(AND($AB188,ISNUMBER($AE188)),Constants!$B$20*(Constants!$B$21-$AE188),0))</f>
        <v/>
      </c>
      <c r="AQ188" s="130" t="str">
        <f aca="false">IF($BD188&lt;&gt;Constants!$B$6,"",IF($AA188,0,Constants!$B$12)+IF($Z188,0,Constants!$B$13)+IF($Y188,0,Constants!$B$14))</f>
        <v/>
      </c>
      <c r="AR188" s="131" t="str">
        <f aca="false">IF($BD188&lt;&gt;Constants!$B$6,"",Constants!$B$16+SUM($AN188:$AQ188))</f>
        <v/>
      </c>
      <c r="AS188" s="130" t="str">
        <f aca="false">IF($BD188&lt;&gt;Constants!$B$6,"",IF($AB188,$AD188,""))</f>
        <v/>
      </c>
      <c r="AT188" s="132" t="str">
        <f aca="false">IF($BD188&lt;&gt;Constants!$B$6,"",$AO188)</f>
        <v/>
      </c>
      <c r="AU188" s="127" t="str">
        <f aca="false">IF($BD188&lt;&gt;Constants!$B$6,"",IF(OR($BA188&lt;$AR188,AND($BA188=$AR188,OR(AND(ISNUMBER($BB188),OR(NOT(ISNUMBER($AS188)),$BB188&lt;$AS188)),AND(OR(AND($BB188="",$AS188=""),AND(ISNUMBER($BB188),ISNUMBER($AS188),$BB188=$AS188)),$BC188&lt;$AT188)))),"-&gt;","&lt;-"))</f>
        <v/>
      </c>
      <c r="AV188" s="126" t="str">
        <f aca="false">IF(ISBLANK($C188),"",AND($AH188,OR($AI188="",$AJ188="",AND(NOT(ISBLANK($S188)),$AK188=""))))</f>
        <v/>
      </c>
      <c r="AW188" s="129" t="str">
        <f aca="false">IF($BD188&lt;&gt;Constants!$B$6,"",IF($AH188,Constants!$B$17*$AJ188,Constants!$B$18))</f>
        <v/>
      </c>
      <c r="AX188" s="130" t="str">
        <f aca="false">IF($BD188&lt;&gt;Constants!$B$6,"",Constants!$B$19*IF($AH188,$AI188,0))</f>
        <v/>
      </c>
      <c r="AY188" s="130" t="str">
        <f aca="false">IF($BD188&lt;&gt;Constants!$B$6,"",IF(AND($AH188,ISNUMBER($AK188)),Constants!$B$20*(Constants!$B$21-$AK188),0))</f>
        <v/>
      </c>
      <c r="AZ188" s="130" t="str">
        <f aca="false">IF($BD188&lt;&gt;Constants!$B$6,"",IF($AG188,0,Constants!$B$12)+IF($AF188,0,Constants!$B$13)+IF($Y188,0,Constants!$B$14))</f>
        <v/>
      </c>
      <c r="BA188" s="131" t="str">
        <f aca="false">IF($BD188&lt;&gt;Constants!$B$6,"",Constants!$B$16+SUM($AW188:$AZ188))</f>
        <v/>
      </c>
      <c r="BB188" s="130" t="str">
        <f aca="false">IF($BD188&lt;&gt;Constants!$B$6,"",IF($AH188,$AJ188,""))</f>
        <v/>
      </c>
      <c r="BC188" s="132" t="str">
        <f aca="false">IF($BD188&lt;&gt;Constants!$B$6,"",$AX188)</f>
        <v/>
      </c>
      <c r="BD188" s="127" t="str">
        <f aca="false">IF(ISBLANK($C188),"",IF($AL188,Constants!$B$9,IF(COUNTA($E188:$T188)=0,Constants!$B$8,IF(NOT($X188),Constants!$B$7,IF(OR($AM188,$AV188),Constants!$B$10,Constants!$B$6)))))</f>
        <v/>
      </c>
      <c r="BE188" s="127" t="str">
        <f aca="false">IF(ISBLANK($C188),"",IF($BD188&lt;&gt;Constants!$B$6,$BD188,Constants!$B$11))</f>
        <v/>
      </c>
      <c r="BF188" s="130" t="str">
        <f aca="false">IF($BD188&lt;&gt;Constants!$B$6,"",IF($AU188="-&gt;",$BA188,$AR188))</f>
        <v/>
      </c>
      <c r="BG188" s="130" t="str">
        <f aca="false">IF($BD188&lt;&gt;Constants!$B$6,"",IF($W188,0,Constants!$B$15))</f>
        <v/>
      </c>
      <c r="BH188" s="130" t="str">
        <f aca="false">IF(ISBLANK($C188),"",IF($BD188&lt;&gt;Constants!$B$6,$BD188,SUM($BF188:$BG188)))</f>
        <v/>
      </c>
      <c r="BI188" s="127" t="str">
        <f aca="false">IF(ISBLANK($C188),"",IF($BD188&lt;&gt;Constants!$B$6,$BD188,RANK($BH188,$BH$9:$BH$508,1)))</f>
        <v/>
      </c>
      <c r="BJ188" s="130" t="str">
        <f aca="false">IF($BD188&lt;&gt;Constants!$B$6,"",IF($AU188="-&gt;",$BB188,$AS188))</f>
        <v/>
      </c>
      <c r="BK188" s="127" t="str">
        <f aca="false">IF(ISBLANK($C188),"",IF($BD188&lt;&gt;Constants!$B$6,$BD188,IF(ISNUMBER($BJ188),RANK($BJ188,$BJ$9:$BJ$508,1),COUNT($BJ$9:$BJ$508)+1)))</f>
        <v/>
      </c>
      <c r="BL188" s="130" t="str">
        <f aca="false">IF($BD188&lt;&gt;Constants!$B$6,"",IF($AU188="-&gt;",$BC188,$AT188))</f>
        <v/>
      </c>
      <c r="BM188" s="127" t="str">
        <f aca="false">IF(ISBLANK($C188),"",IF($BD188&lt;&gt;Constants!$B$6,$BD188,IF(ISNUMBER($BL188),RANK($BL188,$BL$9:$BL$508,1),COUNT($BL$9:$BL$508)+1)))</f>
        <v/>
      </c>
      <c r="BN188" s="130" t="str">
        <f aca="false">IF($BD188&lt;&gt;Constants!$B$6,"",IF($AU188="-&gt;",$AS188,$BB188))</f>
        <v/>
      </c>
      <c r="BO188" s="127" t="str">
        <f aca="false">IF(ISBLANK($C188),"",IF($BD188&lt;&gt;Constants!$B$6,$BD188,IF(ISNUMBER($BN188),RANK($BN188,$BN$9:$BN$508,1),COUNT($BN$9:$BN$508)+1)))</f>
        <v/>
      </c>
      <c r="BP188" s="130" t="str">
        <f aca="false">IF($BD188&lt;&gt;Constants!$B$6,"",IF($AU188="-&gt;",$AT188,$BC188))</f>
        <v/>
      </c>
      <c r="BQ188" s="127" t="str">
        <f aca="false">IF(ISBLANK($C188),"",IF($BD188&lt;&gt;Constants!$B$6,$BD188,IF(ISNUMBER($BP188),RANK($BP188,$BP$9:$BP$508,1),COUNT($BP$9:$BP$508)+1)))</f>
        <v/>
      </c>
      <c r="BR188" s="127" t="str">
        <f aca="false">IF(ISBLANK($C188),"",IF($BD188&lt;&gt;Constants!$B$6,$BD188,COUNTIFS($BI$9:$BI$508,"&lt;"&amp;$BI188)+COUNTIFS($BI$9:$BI$508,$BI188,$BK$9:$BK$508,"&lt;"&amp;$BK188)+COUNTIFS($BI$9:$BI$508,$BI188,$BK$9:$BK$508,$BK188,$BM$9:$BM$508,"&lt;"&amp;$BM188)+COUNTIFS($BI$9:$BI$508,$BI188,$BK$9:$BK$508,$BK188,$BM$9:$BM$508,$BM188,$BO$9:$BO$508,"&lt;"&amp;$BO188)+COUNTIFS($BI$9:$BI$508,$BI188,$BK$9:$BK$508,$BK188,$BM$9:$BM$508,$BM188,$BO$9:$BO$508,$BO188,$BQ$9:$BQ$508,"&lt;"&amp;$BQ188)+1))</f>
        <v/>
      </c>
      <c r="BS188" s="127" t="str">
        <f aca="false">IF(ISBLANK($C188),"",IF($BD188&lt;&gt;Constants!$B$6,$BD188,$BI188-$BR188))</f>
        <v/>
      </c>
      <c r="BT188" s="133"/>
      <c r="BU188" s="134"/>
      <c r="BV188" s="134" t="str">
        <f aca="false">IF(ISBLANK($C188),"",IF($BD188&lt;&gt;Constants!$B$6,"",IF($AU188="-&gt;",2,1)))</f>
        <v/>
      </c>
      <c r="BW188" s="135" t="str">
        <f aca="false">IF(ISBLANK($C188),"",IF($BD188&lt;&gt;Constants!$B$6,"",IF($AU188="-&gt;",$AW188,$AN188)))</f>
        <v/>
      </c>
      <c r="BX188" s="135" t="str">
        <f aca="false">IF(ISBLANK($C188),"",IF($BD188&lt;&gt;Constants!$B$6,"",IF($AU188="-&gt;",$AX188,$AO188)))</f>
        <v/>
      </c>
      <c r="BY188" s="135" t="str">
        <f aca="false">IF(ISBLANK($C188),"",IF($BD188&lt;&gt;Constants!$B$6,"",IF($AU188="-&gt;",$AY188,$AP188)))</f>
        <v/>
      </c>
      <c r="BZ188" s="135" t="str">
        <f aca="false">IF(ISBLANK($C188),"",IF($BD188&lt;&gt;Constants!$B$6,"",IF($AU188="-&gt;",$AZ188,$AQ188)+$BG188))</f>
        <v/>
      </c>
      <c r="CA188" s="136" t="str">
        <f aca="false">IF(ISBLANK($C188),"",IF($BD188&lt;&gt;Constants!$B$6,$BD188,$BH188))</f>
        <v/>
      </c>
      <c r="CB188" s="137" t="str">
        <f aca="false">IF(ISBLANK($C188),"",$BE188)</f>
        <v/>
      </c>
      <c r="CC188" s="138" t="str">
        <f aca="false">IF(ISBLANK($C188),"",$BS188)</f>
        <v/>
      </c>
      <c r="CD188" s="138" t="str">
        <f aca="false">IF(ISBLANK($C188),"",$BR188)</f>
        <v/>
      </c>
      <c r="CE188" s="139" t="str">
        <f aca="false">IF(ISBLANK($C188),"",IF($CD188=Constants!$B$9,COUNTA($C$9:$C$508)+2,IF($CD188=Constants!$B$8,COUNTA($C$9:$C$508)+1,IF($CD188=Constants!$B$7,COUNTA($C$9:$C$508),$CD188))))</f>
        <v/>
      </c>
      <c r="CF188" s="9"/>
      <c r="CG188" s="140" t="n">
        <f aca="false">IF(OR(ISNUMBER($CD188),$CD188=Constants!$B$9,$CD188=Constants!$B$7,$CD188=Constants!$B$8),1,0)</f>
        <v>0</v>
      </c>
      <c r="CH188" s="140" t="n">
        <v>180</v>
      </c>
      <c r="CI188" s="140" t="str">
        <f aca="false">IF(ISBLANK($C188),"",IF(ISNUMBER($CE188),$CE188+ROW($B188)/1000,""))</f>
        <v/>
      </c>
      <c r="CJ188" s="140" t="str">
        <f aca="false">IF(ISNUMBER($CI188),RANK($CI188,$CI$9:$CI$508,1),"")</f>
        <v/>
      </c>
      <c r="CK188" s="140" t="str">
        <f aca="false">IF(ISBLANK($C188),"",$B188)</f>
        <v/>
      </c>
      <c r="CL188" s="140" t="str">
        <f aca="false">IF(ISBLANK($C188),"",$C188)</f>
        <v/>
      </c>
      <c r="CM188" s="140" t="str">
        <f aca="false">IF(ISBLANK($C188),"",$D188)</f>
        <v/>
      </c>
      <c r="CN188" s="141" t="str">
        <f aca="false">$CB188</f>
        <v/>
      </c>
      <c r="CO188" s="142" t="str">
        <f aca="false">$CA188</f>
        <v/>
      </c>
      <c r="CP188" s="140" t="str">
        <f aca="false">IF(ISBLANK($C188),"",$CD188)</f>
        <v/>
      </c>
      <c r="CQ188" s="143" t="str">
        <f aca="false">IF($CH188&gt;$CG$8,"",VLOOKUP($CH188,$CJ$9:$CP$508,7,FALSE()))</f>
        <v/>
      </c>
      <c r="CR188" s="144" t="str">
        <f aca="false">IF($CH188&gt;$CG$8,"",VLOOKUP($CH188,$CJ$9:$CP$508,2,FALSE()))</f>
        <v/>
      </c>
      <c r="CS188" s="144" t="str">
        <f aca="false">IF($CH188&gt;$CG$8,"",VLOOKUP($CH188,$CJ$9:$CP$508,3,FALSE()))</f>
        <v/>
      </c>
      <c r="CT188" s="144" t="str">
        <f aca="false">IF($CH188&gt;$CG$8,"",VLOOKUP($CH188,$CJ$9:$CP$508,4,FALSE()))</f>
        <v/>
      </c>
      <c r="CU188" s="144" t="str">
        <f aca="false">IF($CH188&gt;$CG$8,"",VLOOKUP($CH188,$CJ$9:$CP$508,5,FALSE()))</f>
        <v/>
      </c>
      <c r="CV188" s="145" t="str">
        <f aca="false">IF($CH188&gt;$CG$8,"",VLOOKUP($CH188,$CJ$9:$CP$508,6,FALSE()))</f>
        <v/>
      </c>
      <c r="CW188" s="71"/>
    </row>
    <row r="189" customFormat="false" ht="15.75" hidden="false" customHeight="false" outlineLevel="0" collapsed="false">
      <c r="A189" s="9"/>
      <c r="B189" s="72"/>
      <c r="C189" s="73"/>
      <c r="D189" s="160"/>
      <c r="E189" s="168"/>
      <c r="F189" s="162"/>
      <c r="G189" s="163"/>
      <c r="H189" s="169"/>
      <c r="I189" s="167"/>
      <c r="J189" s="80"/>
      <c r="K189" s="81"/>
      <c r="L189" s="82"/>
      <c r="M189" s="166"/>
      <c r="N189" s="167"/>
      <c r="O189" s="167"/>
      <c r="P189" s="80"/>
      <c r="Q189" s="82"/>
      <c r="R189" s="82"/>
      <c r="S189" s="166"/>
      <c r="T189" s="167"/>
      <c r="U189" s="86"/>
      <c r="V189" s="87"/>
      <c r="W189" s="87" t="str">
        <f aca="false">IF(ISBLANK($C189),"",IF(E189=Constants!$B$2,TRUE(),IF(E189=Constants!$B$3,FALSE(),TRUE())))</f>
        <v/>
      </c>
      <c r="X189" s="87" t="str">
        <f aca="false">IF(ISBLANK($C189),"",IF(F189=Constants!$B$2,TRUE(),IF(F189=Constants!$B$3,FALSE(),TRUE())))</f>
        <v/>
      </c>
      <c r="Y189" s="87" t="str">
        <f aca="false">IF(ISBLANK($C189),"",IF(G189=Constants!$B$2,TRUE(),IF(G189=Constants!$B$3,FALSE(),TRUE())))</f>
        <v/>
      </c>
      <c r="Z189" s="87" t="str">
        <f aca="false">IF(ISBLANK($C189),"",IF(H189=Constants!$B$2,TRUE(),IF(H189=Constants!$B$3,FALSE(),TRUE())))</f>
        <v/>
      </c>
      <c r="AA189" s="87" t="str">
        <f aca="false">IF(ISBLANK($C189),"",IF(I189=Constants!$B$2,TRUE(),IF(I189=Constants!$B$3,FALSE(),TRUE())))</f>
        <v/>
      </c>
      <c r="AB189" s="87" t="str">
        <f aca="false">IF(ISBLANK($C189),"",IF(J189=Constants!$B$4,TRUE(),IF(J189=Constants!$B$5,FALSE(),COUNTA(K189:M189)&gt;0)))</f>
        <v/>
      </c>
      <c r="AC189" s="88" t="str">
        <f aca="false">IF(ISBLANK($C189),"",IF(ISNUMBER(K189),IF(K189&gt;=0,K189,""),""))</f>
        <v/>
      </c>
      <c r="AD189" s="89" t="str">
        <f aca="false">IF(ISBLANK($C189),"",IF(ISNUMBER(L189),IF(L189&gt;=0,L189,""),""))</f>
        <v/>
      </c>
      <c r="AE189" s="87" t="str">
        <f aca="false">IF(ISBLANK($C189),"",IF(ISNUMBER(M189),IF(M189&gt;=0,MIN(M189,Constants!$B$22),""),""))</f>
        <v/>
      </c>
      <c r="AF189" s="87" t="str">
        <f aca="false">IF(ISBLANK($C189),"",IF(N189=Constants!$B$2,TRUE(),IF(N189=Constants!$B$3,FALSE(),TRUE())))</f>
        <v/>
      </c>
      <c r="AG189" s="87" t="str">
        <f aca="false">IF(ISBLANK($C189),"",IF(O189=Constants!$B$2,TRUE(),IF(O189=Constants!$B$3,FALSE(),TRUE())))</f>
        <v/>
      </c>
      <c r="AH189" s="87" t="str">
        <f aca="false">IF(ISBLANK($C189),"",IF(P189=Constants!$B$4,TRUE(),IF(P189=Constants!$B$5,FALSE(),COUNTA(Q189:S189)&gt;0)))</f>
        <v/>
      </c>
      <c r="AI189" s="88" t="str">
        <f aca="false">IF(ISBLANK($C189),"",IF(ISNUMBER(Q189),IF(Q189&gt;=0,Q189,""),""))</f>
        <v/>
      </c>
      <c r="AJ189" s="89" t="str">
        <f aca="false">IF(ISBLANK($C189),"",IF(ISNUMBER(R189),IF(R189&gt;=0,R189,""),""))</f>
        <v/>
      </c>
      <c r="AK189" s="87" t="str">
        <f aca="false">IF(ISBLANK($C189),"",IF(ISNUMBER(S189),IF(S189&gt;=0,MIN(S189,Constants!$B$22),""),""))</f>
        <v/>
      </c>
      <c r="AL189" s="87" t="str">
        <f aca="false">IF(ISBLANK($C189),"",IF(T189=Constants!$B$2,TRUE(),IF(T189=Constants!$B$3,FALSE(),FALSE())))</f>
        <v/>
      </c>
      <c r="AM189" s="86" t="str">
        <f aca="false">IF(ISBLANK($C189),"",AND($AB189,OR($AC189="",$AD189="",AND(NOT(ISBLANK($M189)),$AE189=""))))</f>
        <v/>
      </c>
      <c r="AN189" s="89" t="str">
        <f aca="false">IF($BD189&lt;&gt;Constants!$B$6,"",IF($AB189,Constants!$B$17*$AD189,Constants!$B$18))</f>
        <v/>
      </c>
      <c r="AO189" s="91" t="str">
        <f aca="false">IF($BD189&lt;&gt;Constants!$B$6,"",Constants!$B$19*IF($AB189,$AC189,0))</f>
        <v/>
      </c>
      <c r="AP189" s="91" t="str">
        <f aca="false">IF($BD189&lt;&gt;Constants!$B$6,"",IF(AND($AB189,ISNUMBER($AE189)),Constants!$B$20*(Constants!$B$21-$AE189),0))</f>
        <v/>
      </c>
      <c r="AQ189" s="91" t="str">
        <f aca="false">IF($BD189&lt;&gt;Constants!$B$6,"",IF($AA189,0,Constants!$B$12)+IF($Z189,0,Constants!$B$13)+IF($Y189,0,Constants!$B$14))</f>
        <v/>
      </c>
      <c r="AR189" s="92" t="str">
        <f aca="false">IF($BD189&lt;&gt;Constants!$B$6,"",Constants!$B$16+SUM($AN189:$AQ189))</f>
        <v/>
      </c>
      <c r="AS189" s="91" t="str">
        <f aca="false">IF($BD189&lt;&gt;Constants!$B$6,"",IF($AB189,$AD189,""))</f>
        <v/>
      </c>
      <c r="AT189" s="93" t="str">
        <f aca="false">IF($BD189&lt;&gt;Constants!$B$6,"",$AO189)</f>
        <v/>
      </c>
      <c r="AU189" s="87" t="str">
        <f aca="false">IF($BD189&lt;&gt;Constants!$B$6,"",IF(OR($BA189&lt;$AR189,AND($BA189=$AR189,OR(AND(ISNUMBER($BB189),OR(NOT(ISNUMBER($AS189)),$BB189&lt;$AS189)),AND(OR(AND($BB189="",$AS189=""),AND(ISNUMBER($BB189),ISNUMBER($AS189),$BB189=$AS189)),$BC189&lt;$AT189)))),"-&gt;","&lt;-"))</f>
        <v/>
      </c>
      <c r="AV189" s="86" t="str">
        <f aca="false">IF(ISBLANK($C189),"",AND($AH189,OR($AI189="",$AJ189="",AND(NOT(ISBLANK($S189)),$AK189=""))))</f>
        <v/>
      </c>
      <c r="AW189" s="89" t="str">
        <f aca="false">IF($BD189&lt;&gt;Constants!$B$6,"",IF($AH189,Constants!$B$17*$AJ189,Constants!$B$18))</f>
        <v/>
      </c>
      <c r="AX189" s="91" t="str">
        <f aca="false">IF($BD189&lt;&gt;Constants!$B$6,"",Constants!$B$19*IF($AH189,$AI189,0))</f>
        <v/>
      </c>
      <c r="AY189" s="91" t="str">
        <f aca="false">IF($BD189&lt;&gt;Constants!$B$6,"",IF(AND($AH189,ISNUMBER($AK189)),Constants!$B$20*(Constants!$B$21-$AK189),0))</f>
        <v/>
      </c>
      <c r="AZ189" s="91" t="str">
        <f aca="false">IF($BD189&lt;&gt;Constants!$B$6,"",IF($AG189,0,Constants!$B$12)+IF($AF189,0,Constants!$B$13)+IF($Y189,0,Constants!$B$14))</f>
        <v/>
      </c>
      <c r="BA189" s="92" t="str">
        <f aca="false">IF($BD189&lt;&gt;Constants!$B$6,"",Constants!$B$16+SUM($AW189:$AZ189))</f>
        <v/>
      </c>
      <c r="BB189" s="91" t="str">
        <f aca="false">IF($BD189&lt;&gt;Constants!$B$6,"",IF($AH189,$AJ189,""))</f>
        <v/>
      </c>
      <c r="BC189" s="93" t="str">
        <f aca="false">IF($BD189&lt;&gt;Constants!$B$6,"",$AX189)</f>
        <v/>
      </c>
      <c r="BD189" s="87" t="str">
        <f aca="false">IF(ISBLANK($C189),"",IF($AL189,Constants!$B$9,IF(COUNTA($E189:$T189)=0,Constants!$B$8,IF(NOT($X189),Constants!$B$7,IF(OR($AM189,$AV189),Constants!$B$10,Constants!$B$6)))))</f>
        <v/>
      </c>
      <c r="BE189" s="87" t="str">
        <f aca="false">IF(ISBLANK($C189),"",IF($BD189&lt;&gt;Constants!$B$6,$BD189,Constants!$B$11))</f>
        <v/>
      </c>
      <c r="BF189" s="91" t="str">
        <f aca="false">IF($BD189&lt;&gt;Constants!$B$6,"",IF($AU189="-&gt;",$BA189,$AR189))</f>
        <v/>
      </c>
      <c r="BG189" s="91" t="str">
        <f aca="false">IF($BD189&lt;&gt;Constants!$B$6,"",IF($W189,0,Constants!$B$15))</f>
        <v/>
      </c>
      <c r="BH189" s="91" t="str">
        <f aca="false">IF(ISBLANK($C189),"",IF($BD189&lt;&gt;Constants!$B$6,$BD189,SUM($BF189:$BG189)))</f>
        <v/>
      </c>
      <c r="BI189" s="87" t="str">
        <f aca="false">IF(ISBLANK($C189),"",IF($BD189&lt;&gt;Constants!$B$6,$BD189,RANK($BH189,$BH$9:$BH$508,1)))</f>
        <v/>
      </c>
      <c r="BJ189" s="91" t="str">
        <f aca="false">IF($BD189&lt;&gt;Constants!$B$6,"",IF($AU189="-&gt;",$BB189,$AS189))</f>
        <v/>
      </c>
      <c r="BK189" s="87" t="str">
        <f aca="false">IF(ISBLANK($C189),"",IF($BD189&lt;&gt;Constants!$B$6,$BD189,IF(ISNUMBER($BJ189),RANK($BJ189,$BJ$9:$BJ$508,1),COUNT($BJ$9:$BJ$508)+1)))</f>
        <v/>
      </c>
      <c r="BL189" s="91" t="str">
        <f aca="false">IF($BD189&lt;&gt;Constants!$B$6,"",IF($AU189="-&gt;",$BC189,$AT189))</f>
        <v/>
      </c>
      <c r="BM189" s="87" t="str">
        <f aca="false">IF(ISBLANK($C189),"",IF($BD189&lt;&gt;Constants!$B$6,$BD189,IF(ISNUMBER($BL189),RANK($BL189,$BL$9:$BL$508,1),COUNT($BL$9:$BL$508)+1)))</f>
        <v/>
      </c>
      <c r="BN189" s="91" t="str">
        <f aca="false">IF($BD189&lt;&gt;Constants!$B$6,"",IF($AU189="-&gt;",$AS189,$BB189))</f>
        <v/>
      </c>
      <c r="BO189" s="87" t="str">
        <f aca="false">IF(ISBLANK($C189),"",IF($BD189&lt;&gt;Constants!$B$6,$BD189,IF(ISNUMBER($BN189),RANK($BN189,$BN$9:$BN$508,1),COUNT($BN$9:$BN$508)+1)))</f>
        <v/>
      </c>
      <c r="BP189" s="91" t="str">
        <f aca="false">IF($BD189&lt;&gt;Constants!$B$6,"",IF($AU189="-&gt;",$AT189,$BC189))</f>
        <v/>
      </c>
      <c r="BQ189" s="87" t="str">
        <f aca="false">IF(ISBLANK($C189),"",IF($BD189&lt;&gt;Constants!$B$6,$BD189,IF(ISNUMBER($BP189),RANK($BP189,$BP$9:$BP$508,1),COUNT($BP$9:$BP$508)+1)))</f>
        <v/>
      </c>
      <c r="BR189" s="87" t="str">
        <f aca="false">IF(ISBLANK($C189),"",IF($BD189&lt;&gt;Constants!$B$6,$BD189,COUNTIFS($BI$9:$BI$508,"&lt;"&amp;$BI189)+COUNTIFS($BI$9:$BI$508,$BI189,$BK$9:$BK$508,"&lt;"&amp;$BK189)+COUNTIFS($BI$9:$BI$508,$BI189,$BK$9:$BK$508,$BK189,$BM$9:$BM$508,"&lt;"&amp;$BM189)+COUNTIFS($BI$9:$BI$508,$BI189,$BK$9:$BK$508,$BK189,$BM$9:$BM$508,$BM189,$BO$9:$BO$508,"&lt;"&amp;$BO189)+COUNTIFS($BI$9:$BI$508,$BI189,$BK$9:$BK$508,$BK189,$BM$9:$BM$508,$BM189,$BO$9:$BO$508,$BO189,$BQ$9:$BQ$508,"&lt;"&amp;$BQ189)+1))</f>
        <v/>
      </c>
      <c r="BS189" s="87" t="str">
        <f aca="false">IF(ISBLANK($C189),"",IF($BD189&lt;&gt;Constants!$B$6,$BD189,$BI189-$BR189))</f>
        <v/>
      </c>
      <c r="BT189" s="94"/>
      <c r="BU189" s="95"/>
      <c r="BV189" s="95" t="str">
        <f aca="false">IF(ISBLANK($C189),"",IF($BD189&lt;&gt;Constants!$B$6,"",IF($AU189="-&gt;",2,1)))</f>
        <v/>
      </c>
      <c r="BW189" s="96" t="str">
        <f aca="false">IF(ISBLANK($C189),"",IF($BD189&lt;&gt;Constants!$B$6,"",IF($AU189="-&gt;",$AW189,$AN189)))</f>
        <v/>
      </c>
      <c r="BX189" s="96" t="str">
        <f aca="false">IF(ISBLANK($C189),"",IF($BD189&lt;&gt;Constants!$B$6,"",IF($AU189="-&gt;",$AX189,$AO189)))</f>
        <v/>
      </c>
      <c r="BY189" s="96" t="str">
        <f aca="false">IF(ISBLANK($C189),"",IF($BD189&lt;&gt;Constants!$B$6,"",IF($AU189="-&gt;",$AY189,$AP189)))</f>
        <v/>
      </c>
      <c r="BZ189" s="96" t="str">
        <f aca="false">IF(ISBLANK($C189),"",IF($BD189&lt;&gt;Constants!$B$6,"",IF($AU189="-&gt;",$AZ189,$AQ189)+$BG189))</f>
        <v/>
      </c>
      <c r="CA189" s="97" t="str">
        <f aca="false">IF(ISBLANK($C189),"",IF($BD189&lt;&gt;Constants!$B$6,$BD189,$BH189))</f>
        <v/>
      </c>
      <c r="CB189" s="98" t="str">
        <f aca="false">IF(ISBLANK($C189),"",$BE189)</f>
        <v/>
      </c>
      <c r="CC189" s="99" t="str">
        <f aca="false">IF(ISBLANK($C189),"",$BS189)</f>
        <v/>
      </c>
      <c r="CD189" s="99" t="str">
        <f aca="false">IF(ISBLANK($C189),"",$BR189)</f>
        <v/>
      </c>
      <c r="CE189" s="100" t="str">
        <f aca="false">IF(ISBLANK($C189),"",IF($CD189=Constants!$B$9,COUNTA($C$9:$C$508)+2,IF($CD189=Constants!$B$8,COUNTA($C$9:$C$508)+1,IF($CD189=Constants!$B$7,COUNTA($C$9:$C$508),$CD189))))</f>
        <v/>
      </c>
      <c r="CF189" s="9"/>
      <c r="CG189" s="101" t="n">
        <f aca="false">IF(OR(ISNUMBER($CD189),$CD189=Constants!$B$9,$CD189=Constants!$B$7,$CD189=Constants!$B$8),1,0)</f>
        <v>0</v>
      </c>
      <c r="CH189" s="101" t="n">
        <v>181</v>
      </c>
      <c r="CI189" s="101" t="str">
        <f aca="false">IF(ISBLANK($C189),"",IF(ISNUMBER($CE189),$CE189+ROW($B189)/1000,""))</f>
        <v/>
      </c>
      <c r="CJ189" s="101" t="str">
        <f aca="false">IF(ISNUMBER($CI189),RANK($CI189,$CI$9:$CI$508,1),"")</f>
        <v/>
      </c>
      <c r="CK189" s="101" t="str">
        <f aca="false">IF(ISBLANK($C189),"",$B189)</f>
        <v/>
      </c>
      <c r="CL189" s="101" t="str">
        <f aca="false">IF(ISBLANK($C189),"",$C189)</f>
        <v/>
      </c>
      <c r="CM189" s="101" t="str">
        <f aca="false">IF(ISBLANK($C189),"",$D189)</f>
        <v/>
      </c>
      <c r="CN189" s="102" t="str">
        <f aca="false">$CB189</f>
        <v/>
      </c>
      <c r="CO189" s="103" t="str">
        <f aca="false">$CA189</f>
        <v/>
      </c>
      <c r="CP189" s="101" t="str">
        <f aca="false">IF(ISBLANK($C189),"",$CD189)</f>
        <v/>
      </c>
      <c r="CQ189" s="104" t="str">
        <f aca="false">IF($CH189&gt;$CG$8,"",VLOOKUP($CH189,$CJ$9:$CP$508,7,FALSE()))</f>
        <v/>
      </c>
      <c r="CR189" s="105" t="str">
        <f aca="false">IF($CH189&gt;$CG$8,"",VLOOKUP($CH189,$CJ$9:$CP$508,2,FALSE()))</f>
        <v/>
      </c>
      <c r="CS189" s="105" t="str">
        <f aca="false">IF($CH189&gt;$CG$8,"",VLOOKUP($CH189,$CJ$9:$CP$508,3,FALSE()))</f>
        <v/>
      </c>
      <c r="CT189" s="105" t="str">
        <f aca="false">IF($CH189&gt;$CG$8,"",VLOOKUP($CH189,$CJ$9:$CP$508,4,FALSE()))</f>
        <v/>
      </c>
      <c r="CU189" s="105" t="str">
        <f aca="false">IF($CH189&gt;$CG$8,"",VLOOKUP($CH189,$CJ$9:$CP$508,5,FALSE()))</f>
        <v/>
      </c>
      <c r="CV189" s="106" t="str">
        <f aca="false">IF($CH189&gt;$CG$8,"",VLOOKUP($CH189,$CJ$9:$CP$508,6,FALSE()))</f>
        <v/>
      </c>
      <c r="CW189" s="71"/>
    </row>
    <row r="190" customFormat="false" ht="15.75" hidden="false" customHeight="false" outlineLevel="0" collapsed="false">
      <c r="A190" s="9"/>
      <c r="B190" s="72"/>
      <c r="C190" s="73"/>
      <c r="D190" s="160"/>
      <c r="E190" s="168"/>
      <c r="F190" s="162"/>
      <c r="G190" s="163"/>
      <c r="H190" s="169"/>
      <c r="I190" s="167"/>
      <c r="J190" s="80"/>
      <c r="K190" s="81"/>
      <c r="L190" s="82"/>
      <c r="M190" s="166"/>
      <c r="N190" s="167"/>
      <c r="O190" s="167"/>
      <c r="P190" s="80"/>
      <c r="Q190" s="82"/>
      <c r="R190" s="82"/>
      <c r="S190" s="166"/>
      <c r="T190" s="167"/>
      <c r="U190" s="86"/>
      <c r="V190" s="87"/>
      <c r="W190" s="87" t="str">
        <f aca="false">IF(ISBLANK($C190),"",IF(E190=Constants!$B$2,TRUE(),IF(E190=Constants!$B$3,FALSE(),TRUE())))</f>
        <v/>
      </c>
      <c r="X190" s="87" t="str">
        <f aca="false">IF(ISBLANK($C190),"",IF(F190=Constants!$B$2,TRUE(),IF(F190=Constants!$B$3,FALSE(),TRUE())))</f>
        <v/>
      </c>
      <c r="Y190" s="87" t="str">
        <f aca="false">IF(ISBLANK($C190),"",IF(G190=Constants!$B$2,TRUE(),IF(G190=Constants!$B$3,FALSE(),TRUE())))</f>
        <v/>
      </c>
      <c r="Z190" s="87" t="str">
        <f aca="false">IF(ISBLANK($C190),"",IF(H190=Constants!$B$2,TRUE(),IF(H190=Constants!$B$3,FALSE(),TRUE())))</f>
        <v/>
      </c>
      <c r="AA190" s="87" t="str">
        <f aca="false">IF(ISBLANK($C190),"",IF(I190=Constants!$B$2,TRUE(),IF(I190=Constants!$B$3,FALSE(),TRUE())))</f>
        <v/>
      </c>
      <c r="AB190" s="87" t="str">
        <f aca="false">IF(ISBLANK($C190),"",IF(J190=Constants!$B$4,TRUE(),IF(J190=Constants!$B$5,FALSE(),COUNTA(K190:M190)&gt;0)))</f>
        <v/>
      </c>
      <c r="AC190" s="88" t="str">
        <f aca="false">IF(ISBLANK($C190),"",IF(ISNUMBER(K190),IF(K190&gt;=0,K190,""),""))</f>
        <v/>
      </c>
      <c r="AD190" s="89" t="str">
        <f aca="false">IF(ISBLANK($C190),"",IF(ISNUMBER(L190),IF(L190&gt;=0,L190,""),""))</f>
        <v/>
      </c>
      <c r="AE190" s="87" t="str">
        <f aca="false">IF(ISBLANK($C190),"",IF(ISNUMBER(M190),IF(M190&gt;=0,MIN(M190,Constants!$B$22),""),""))</f>
        <v/>
      </c>
      <c r="AF190" s="87" t="str">
        <f aca="false">IF(ISBLANK($C190),"",IF(N190=Constants!$B$2,TRUE(),IF(N190=Constants!$B$3,FALSE(),TRUE())))</f>
        <v/>
      </c>
      <c r="AG190" s="87" t="str">
        <f aca="false">IF(ISBLANK($C190),"",IF(O190=Constants!$B$2,TRUE(),IF(O190=Constants!$B$3,FALSE(),TRUE())))</f>
        <v/>
      </c>
      <c r="AH190" s="87" t="str">
        <f aca="false">IF(ISBLANK($C190),"",IF(P190=Constants!$B$4,TRUE(),IF(P190=Constants!$B$5,FALSE(),COUNTA(Q190:S190)&gt;0)))</f>
        <v/>
      </c>
      <c r="AI190" s="88" t="str">
        <f aca="false">IF(ISBLANK($C190),"",IF(ISNUMBER(Q190),IF(Q190&gt;=0,Q190,""),""))</f>
        <v/>
      </c>
      <c r="AJ190" s="89" t="str">
        <f aca="false">IF(ISBLANK($C190),"",IF(ISNUMBER(R190),IF(R190&gt;=0,R190,""),""))</f>
        <v/>
      </c>
      <c r="AK190" s="87" t="str">
        <f aca="false">IF(ISBLANK($C190),"",IF(ISNUMBER(S190),IF(S190&gt;=0,MIN(S190,Constants!$B$22),""),""))</f>
        <v/>
      </c>
      <c r="AL190" s="87" t="str">
        <f aca="false">IF(ISBLANK($C190),"",IF(T190=Constants!$B$2,TRUE(),IF(T190=Constants!$B$3,FALSE(),FALSE())))</f>
        <v/>
      </c>
      <c r="AM190" s="86" t="str">
        <f aca="false">IF(ISBLANK($C190),"",AND($AB190,OR($AC190="",$AD190="",AND(NOT(ISBLANK($M190)),$AE190=""))))</f>
        <v/>
      </c>
      <c r="AN190" s="89" t="str">
        <f aca="false">IF($BD190&lt;&gt;Constants!$B$6,"",IF($AB190,Constants!$B$17*$AD190,Constants!$B$18))</f>
        <v/>
      </c>
      <c r="AO190" s="91" t="str">
        <f aca="false">IF($BD190&lt;&gt;Constants!$B$6,"",Constants!$B$19*IF($AB190,$AC190,0))</f>
        <v/>
      </c>
      <c r="AP190" s="91" t="str">
        <f aca="false">IF($BD190&lt;&gt;Constants!$B$6,"",IF(AND($AB190,ISNUMBER($AE190)),Constants!$B$20*(Constants!$B$21-$AE190),0))</f>
        <v/>
      </c>
      <c r="AQ190" s="91" t="str">
        <f aca="false">IF($BD190&lt;&gt;Constants!$B$6,"",IF($AA190,0,Constants!$B$12)+IF($Z190,0,Constants!$B$13)+IF($Y190,0,Constants!$B$14))</f>
        <v/>
      </c>
      <c r="AR190" s="92" t="str">
        <f aca="false">IF($BD190&lt;&gt;Constants!$B$6,"",Constants!$B$16+SUM($AN190:$AQ190))</f>
        <v/>
      </c>
      <c r="AS190" s="91" t="str">
        <f aca="false">IF($BD190&lt;&gt;Constants!$B$6,"",IF($AB190,$AD190,""))</f>
        <v/>
      </c>
      <c r="AT190" s="93" t="str">
        <f aca="false">IF($BD190&lt;&gt;Constants!$B$6,"",$AO190)</f>
        <v/>
      </c>
      <c r="AU190" s="87" t="str">
        <f aca="false">IF($BD190&lt;&gt;Constants!$B$6,"",IF(OR($BA190&lt;$AR190,AND($BA190=$AR190,OR(AND(ISNUMBER($BB190),OR(NOT(ISNUMBER($AS190)),$BB190&lt;$AS190)),AND(OR(AND($BB190="",$AS190=""),AND(ISNUMBER($BB190),ISNUMBER($AS190),$BB190=$AS190)),$BC190&lt;$AT190)))),"-&gt;","&lt;-"))</f>
        <v/>
      </c>
      <c r="AV190" s="86" t="str">
        <f aca="false">IF(ISBLANK($C190),"",AND($AH190,OR($AI190="",$AJ190="",AND(NOT(ISBLANK($S190)),$AK190=""))))</f>
        <v/>
      </c>
      <c r="AW190" s="89" t="str">
        <f aca="false">IF($BD190&lt;&gt;Constants!$B$6,"",IF($AH190,Constants!$B$17*$AJ190,Constants!$B$18))</f>
        <v/>
      </c>
      <c r="AX190" s="91" t="str">
        <f aca="false">IF($BD190&lt;&gt;Constants!$B$6,"",Constants!$B$19*IF($AH190,$AI190,0))</f>
        <v/>
      </c>
      <c r="AY190" s="91" t="str">
        <f aca="false">IF($BD190&lt;&gt;Constants!$B$6,"",IF(AND($AH190,ISNUMBER($AK190)),Constants!$B$20*(Constants!$B$21-$AK190),0))</f>
        <v/>
      </c>
      <c r="AZ190" s="91" t="str">
        <f aca="false">IF($BD190&lt;&gt;Constants!$B$6,"",IF($AG190,0,Constants!$B$12)+IF($AF190,0,Constants!$B$13)+IF($Y190,0,Constants!$B$14))</f>
        <v/>
      </c>
      <c r="BA190" s="92" t="str">
        <f aca="false">IF($BD190&lt;&gt;Constants!$B$6,"",Constants!$B$16+SUM($AW190:$AZ190))</f>
        <v/>
      </c>
      <c r="BB190" s="91" t="str">
        <f aca="false">IF($BD190&lt;&gt;Constants!$B$6,"",IF($AH190,$AJ190,""))</f>
        <v/>
      </c>
      <c r="BC190" s="93" t="str">
        <f aca="false">IF($BD190&lt;&gt;Constants!$B$6,"",$AX190)</f>
        <v/>
      </c>
      <c r="BD190" s="87" t="str">
        <f aca="false">IF(ISBLANK($C190),"",IF($AL190,Constants!$B$9,IF(COUNTA($E190:$T190)=0,Constants!$B$8,IF(NOT($X190),Constants!$B$7,IF(OR($AM190,$AV190),Constants!$B$10,Constants!$B$6)))))</f>
        <v/>
      </c>
      <c r="BE190" s="87" t="str">
        <f aca="false">IF(ISBLANK($C190),"",IF($BD190&lt;&gt;Constants!$B$6,$BD190,Constants!$B$11))</f>
        <v/>
      </c>
      <c r="BF190" s="91" t="str">
        <f aca="false">IF($BD190&lt;&gt;Constants!$B$6,"",IF($AU190="-&gt;",$BA190,$AR190))</f>
        <v/>
      </c>
      <c r="BG190" s="91" t="str">
        <f aca="false">IF($BD190&lt;&gt;Constants!$B$6,"",IF($W190,0,Constants!$B$15))</f>
        <v/>
      </c>
      <c r="BH190" s="91" t="str">
        <f aca="false">IF(ISBLANK($C190),"",IF($BD190&lt;&gt;Constants!$B$6,$BD190,SUM($BF190:$BG190)))</f>
        <v/>
      </c>
      <c r="BI190" s="87" t="str">
        <f aca="false">IF(ISBLANK($C190),"",IF($BD190&lt;&gt;Constants!$B$6,$BD190,RANK($BH190,$BH$9:$BH$508,1)))</f>
        <v/>
      </c>
      <c r="BJ190" s="91" t="str">
        <f aca="false">IF($BD190&lt;&gt;Constants!$B$6,"",IF($AU190="-&gt;",$BB190,$AS190))</f>
        <v/>
      </c>
      <c r="BK190" s="87" t="str">
        <f aca="false">IF(ISBLANK($C190),"",IF($BD190&lt;&gt;Constants!$B$6,$BD190,IF(ISNUMBER($BJ190),RANK($BJ190,$BJ$9:$BJ$508,1),COUNT($BJ$9:$BJ$508)+1)))</f>
        <v/>
      </c>
      <c r="BL190" s="91" t="str">
        <f aca="false">IF($BD190&lt;&gt;Constants!$B$6,"",IF($AU190="-&gt;",$BC190,$AT190))</f>
        <v/>
      </c>
      <c r="BM190" s="87" t="str">
        <f aca="false">IF(ISBLANK($C190),"",IF($BD190&lt;&gt;Constants!$B$6,$BD190,IF(ISNUMBER($BL190),RANK($BL190,$BL$9:$BL$508,1),COUNT($BL$9:$BL$508)+1)))</f>
        <v/>
      </c>
      <c r="BN190" s="91" t="str">
        <f aca="false">IF($BD190&lt;&gt;Constants!$B$6,"",IF($AU190="-&gt;",$AS190,$BB190))</f>
        <v/>
      </c>
      <c r="BO190" s="87" t="str">
        <f aca="false">IF(ISBLANK($C190),"",IF($BD190&lt;&gt;Constants!$B$6,$BD190,IF(ISNUMBER($BN190),RANK($BN190,$BN$9:$BN$508,1),COUNT($BN$9:$BN$508)+1)))</f>
        <v/>
      </c>
      <c r="BP190" s="91" t="str">
        <f aca="false">IF($BD190&lt;&gt;Constants!$B$6,"",IF($AU190="-&gt;",$AT190,$BC190))</f>
        <v/>
      </c>
      <c r="BQ190" s="87" t="str">
        <f aca="false">IF(ISBLANK($C190),"",IF($BD190&lt;&gt;Constants!$B$6,$BD190,IF(ISNUMBER($BP190),RANK($BP190,$BP$9:$BP$508,1),COUNT($BP$9:$BP$508)+1)))</f>
        <v/>
      </c>
      <c r="BR190" s="87" t="str">
        <f aca="false">IF(ISBLANK($C190),"",IF($BD190&lt;&gt;Constants!$B$6,$BD190,COUNTIFS($BI$9:$BI$508,"&lt;"&amp;$BI190)+COUNTIFS($BI$9:$BI$508,$BI190,$BK$9:$BK$508,"&lt;"&amp;$BK190)+COUNTIFS($BI$9:$BI$508,$BI190,$BK$9:$BK$508,$BK190,$BM$9:$BM$508,"&lt;"&amp;$BM190)+COUNTIFS($BI$9:$BI$508,$BI190,$BK$9:$BK$508,$BK190,$BM$9:$BM$508,$BM190,$BO$9:$BO$508,"&lt;"&amp;$BO190)+COUNTIFS($BI$9:$BI$508,$BI190,$BK$9:$BK$508,$BK190,$BM$9:$BM$508,$BM190,$BO$9:$BO$508,$BO190,$BQ$9:$BQ$508,"&lt;"&amp;$BQ190)+1))</f>
        <v/>
      </c>
      <c r="BS190" s="87" t="str">
        <f aca="false">IF(ISBLANK($C190),"",IF($BD190&lt;&gt;Constants!$B$6,$BD190,$BI190-$BR190))</f>
        <v/>
      </c>
      <c r="BT190" s="94"/>
      <c r="BU190" s="95"/>
      <c r="BV190" s="95" t="str">
        <f aca="false">IF(ISBLANK($C190),"",IF($BD190&lt;&gt;Constants!$B$6,"",IF($AU190="-&gt;",2,1)))</f>
        <v/>
      </c>
      <c r="BW190" s="96" t="str">
        <f aca="false">IF(ISBLANK($C190),"",IF($BD190&lt;&gt;Constants!$B$6,"",IF($AU190="-&gt;",$AW190,$AN190)))</f>
        <v/>
      </c>
      <c r="BX190" s="96" t="str">
        <f aca="false">IF(ISBLANK($C190),"",IF($BD190&lt;&gt;Constants!$B$6,"",IF($AU190="-&gt;",$AX190,$AO190)))</f>
        <v/>
      </c>
      <c r="BY190" s="96" t="str">
        <f aca="false">IF(ISBLANK($C190),"",IF($BD190&lt;&gt;Constants!$B$6,"",IF($AU190="-&gt;",$AY190,$AP190)))</f>
        <v/>
      </c>
      <c r="BZ190" s="96" t="str">
        <f aca="false">IF(ISBLANK($C190),"",IF($BD190&lt;&gt;Constants!$B$6,"",IF($AU190="-&gt;",$AZ190,$AQ190)+$BG190))</f>
        <v/>
      </c>
      <c r="CA190" s="97" t="str">
        <f aca="false">IF(ISBLANK($C190),"",IF($BD190&lt;&gt;Constants!$B$6,$BD190,$BH190))</f>
        <v/>
      </c>
      <c r="CB190" s="98" t="str">
        <f aca="false">IF(ISBLANK($C190),"",$BE190)</f>
        <v/>
      </c>
      <c r="CC190" s="99" t="str">
        <f aca="false">IF(ISBLANK($C190),"",$BS190)</f>
        <v/>
      </c>
      <c r="CD190" s="99" t="str">
        <f aca="false">IF(ISBLANK($C190),"",$BR190)</f>
        <v/>
      </c>
      <c r="CE190" s="100" t="str">
        <f aca="false">IF(ISBLANK($C190),"",IF($CD190=Constants!$B$9,COUNTA($C$9:$C$508)+2,IF($CD190=Constants!$B$8,COUNTA($C$9:$C$508)+1,IF($CD190=Constants!$B$7,COUNTA($C$9:$C$508),$CD190))))</f>
        <v/>
      </c>
      <c r="CF190" s="9"/>
      <c r="CG190" s="101" t="n">
        <f aca="false">IF(OR(ISNUMBER($CD190),$CD190=Constants!$B$9,$CD190=Constants!$B$7,$CD190=Constants!$B$8),1,0)</f>
        <v>0</v>
      </c>
      <c r="CH190" s="101" t="n">
        <v>182</v>
      </c>
      <c r="CI190" s="101" t="str">
        <f aca="false">IF(ISBLANK($C190),"",IF(ISNUMBER($CE190),$CE190+ROW($B190)/1000,""))</f>
        <v/>
      </c>
      <c r="CJ190" s="101" t="str">
        <f aca="false">IF(ISNUMBER($CI190),RANK($CI190,$CI$9:$CI$508,1),"")</f>
        <v/>
      </c>
      <c r="CK190" s="101" t="str">
        <f aca="false">IF(ISBLANK($C190),"",$B190)</f>
        <v/>
      </c>
      <c r="CL190" s="101" t="str">
        <f aca="false">IF(ISBLANK($C190),"",$C190)</f>
        <v/>
      </c>
      <c r="CM190" s="101" t="str">
        <f aca="false">IF(ISBLANK($C190),"",$D190)</f>
        <v/>
      </c>
      <c r="CN190" s="102" t="str">
        <f aca="false">$CB190</f>
        <v/>
      </c>
      <c r="CO190" s="103" t="str">
        <f aca="false">$CA190</f>
        <v/>
      </c>
      <c r="CP190" s="101" t="str">
        <f aca="false">IF(ISBLANK($C190),"",$CD190)</f>
        <v/>
      </c>
      <c r="CQ190" s="104" t="str">
        <f aca="false">IF($CH190&gt;$CG$8,"",VLOOKUP($CH190,$CJ$9:$CP$508,7,FALSE()))</f>
        <v/>
      </c>
      <c r="CR190" s="105" t="str">
        <f aca="false">IF($CH190&gt;$CG$8,"",VLOOKUP($CH190,$CJ$9:$CP$508,2,FALSE()))</f>
        <v/>
      </c>
      <c r="CS190" s="105" t="str">
        <f aca="false">IF($CH190&gt;$CG$8,"",VLOOKUP($CH190,$CJ$9:$CP$508,3,FALSE()))</f>
        <v/>
      </c>
      <c r="CT190" s="105" t="str">
        <f aca="false">IF($CH190&gt;$CG$8,"",VLOOKUP($CH190,$CJ$9:$CP$508,4,FALSE()))</f>
        <v/>
      </c>
      <c r="CU190" s="105" t="str">
        <f aca="false">IF($CH190&gt;$CG$8,"",VLOOKUP($CH190,$CJ$9:$CP$508,5,FALSE()))</f>
        <v/>
      </c>
      <c r="CV190" s="106" t="str">
        <f aca="false">IF($CH190&gt;$CG$8,"",VLOOKUP($CH190,$CJ$9:$CP$508,6,FALSE()))</f>
        <v/>
      </c>
      <c r="CW190" s="71"/>
    </row>
    <row r="191" customFormat="false" ht="15.75" hidden="false" customHeight="false" outlineLevel="0" collapsed="false">
      <c r="A191" s="9"/>
      <c r="B191" s="72"/>
      <c r="C191" s="73"/>
      <c r="D191" s="160"/>
      <c r="E191" s="168"/>
      <c r="F191" s="162"/>
      <c r="G191" s="163"/>
      <c r="H191" s="169"/>
      <c r="I191" s="167"/>
      <c r="J191" s="80"/>
      <c r="K191" s="81"/>
      <c r="L191" s="82"/>
      <c r="M191" s="166"/>
      <c r="N191" s="167"/>
      <c r="O191" s="167"/>
      <c r="P191" s="80"/>
      <c r="Q191" s="82"/>
      <c r="R191" s="82"/>
      <c r="S191" s="166"/>
      <c r="T191" s="167"/>
      <c r="U191" s="86"/>
      <c r="V191" s="87"/>
      <c r="W191" s="87" t="str">
        <f aca="false">IF(ISBLANK($C191),"",IF(E191=Constants!$B$2,TRUE(),IF(E191=Constants!$B$3,FALSE(),TRUE())))</f>
        <v/>
      </c>
      <c r="X191" s="87" t="str">
        <f aca="false">IF(ISBLANK($C191),"",IF(F191=Constants!$B$2,TRUE(),IF(F191=Constants!$B$3,FALSE(),TRUE())))</f>
        <v/>
      </c>
      <c r="Y191" s="87" t="str">
        <f aca="false">IF(ISBLANK($C191),"",IF(G191=Constants!$B$2,TRUE(),IF(G191=Constants!$B$3,FALSE(),TRUE())))</f>
        <v/>
      </c>
      <c r="Z191" s="87" t="str">
        <f aca="false">IF(ISBLANK($C191),"",IF(H191=Constants!$B$2,TRUE(),IF(H191=Constants!$B$3,FALSE(),TRUE())))</f>
        <v/>
      </c>
      <c r="AA191" s="87" t="str">
        <f aca="false">IF(ISBLANK($C191),"",IF(I191=Constants!$B$2,TRUE(),IF(I191=Constants!$B$3,FALSE(),TRUE())))</f>
        <v/>
      </c>
      <c r="AB191" s="87" t="str">
        <f aca="false">IF(ISBLANK($C191),"",IF(J191=Constants!$B$4,TRUE(),IF(J191=Constants!$B$5,FALSE(),COUNTA(K191:M191)&gt;0)))</f>
        <v/>
      </c>
      <c r="AC191" s="88" t="str">
        <f aca="false">IF(ISBLANK($C191),"",IF(ISNUMBER(K191),IF(K191&gt;=0,K191,""),""))</f>
        <v/>
      </c>
      <c r="AD191" s="89" t="str">
        <f aca="false">IF(ISBLANK($C191),"",IF(ISNUMBER(L191),IF(L191&gt;=0,L191,""),""))</f>
        <v/>
      </c>
      <c r="AE191" s="87" t="str">
        <f aca="false">IF(ISBLANK($C191),"",IF(ISNUMBER(M191),IF(M191&gt;=0,MIN(M191,Constants!$B$22),""),""))</f>
        <v/>
      </c>
      <c r="AF191" s="87" t="str">
        <f aca="false">IF(ISBLANK($C191),"",IF(N191=Constants!$B$2,TRUE(),IF(N191=Constants!$B$3,FALSE(),TRUE())))</f>
        <v/>
      </c>
      <c r="AG191" s="87" t="str">
        <f aca="false">IF(ISBLANK($C191),"",IF(O191=Constants!$B$2,TRUE(),IF(O191=Constants!$B$3,FALSE(),TRUE())))</f>
        <v/>
      </c>
      <c r="AH191" s="87" t="str">
        <f aca="false">IF(ISBLANK($C191),"",IF(P191=Constants!$B$4,TRUE(),IF(P191=Constants!$B$5,FALSE(),COUNTA(Q191:S191)&gt;0)))</f>
        <v/>
      </c>
      <c r="AI191" s="88" t="str">
        <f aca="false">IF(ISBLANK($C191),"",IF(ISNUMBER(Q191),IF(Q191&gt;=0,Q191,""),""))</f>
        <v/>
      </c>
      <c r="AJ191" s="89" t="str">
        <f aca="false">IF(ISBLANK($C191),"",IF(ISNUMBER(R191),IF(R191&gt;=0,R191,""),""))</f>
        <v/>
      </c>
      <c r="AK191" s="87" t="str">
        <f aca="false">IF(ISBLANK($C191),"",IF(ISNUMBER(S191),IF(S191&gt;=0,MIN(S191,Constants!$B$22),""),""))</f>
        <v/>
      </c>
      <c r="AL191" s="87" t="str">
        <f aca="false">IF(ISBLANK($C191),"",IF(T191=Constants!$B$2,TRUE(),IF(T191=Constants!$B$3,FALSE(),FALSE())))</f>
        <v/>
      </c>
      <c r="AM191" s="86" t="str">
        <f aca="false">IF(ISBLANK($C191),"",AND($AB191,OR($AC191="",$AD191="",AND(NOT(ISBLANK($M191)),$AE191=""))))</f>
        <v/>
      </c>
      <c r="AN191" s="89" t="str">
        <f aca="false">IF($BD191&lt;&gt;Constants!$B$6,"",IF($AB191,Constants!$B$17*$AD191,Constants!$B$18))</f>
        <v/>
      </c>
      <c r="AO191" s="91" t="str">
        <f aca="false">IF($BD191&lt;&gt;Constants!$B$6,"",Constants!$B$19*IF($AB191,$AC191,0))</f>
        <v/>
      </c>
      <c r="AP191" s="91" t="str">
        <f aca="false">IF($BD191&lt;&gt;Constants!$B$6,"",IF(AND($AB191,ISNUMBER($AE191)),Constants!$B$20*(Constants!$B$21-$AE191),0))</f>
        <v/>
      </c>
      <c r="AQ191" s="91" t="str">
        <f aca="false">IF($BD191&lt;&gt;Constants!$B$6,"",IF($AA191,0,Constants!$B$12)+IF($Z191,0,Constants!$B$13)+IF($Y191,0,Constants!$B$14))</f>
        <v/>
      </c>
      <c r="AR191" s="92" t="str">
        <f aca="false">IF($BD191&lt;&gt;Constants!$B$6,"",Constants!$B$16+SUM($AN191:$AQ191))</f>
        <v/>
      </c>
      <c r="AS191" s="91" t="str">
        <f aca="false">IF($BD191&lt;&gt;Constants!$B$6,"",IF($AB191,$AD191,""))</f>
        <v/>
      </c>
      <c r="AT191" s="93" t="str">
        <f aca="false">IF($BD191&lt;&gt;Constants!$B$6,"",$AO191)</f>
        <v/>
      </c>
      <c r="AU191" s="87" t="str">
        <f aca="false">IF($BD191&lt;&gt;Constants!$B$6,"",IF(OR($BA191&lt;$AR191,AND($BA191=$AR191,OR(AND(ISNUMBER($BB191),OR(NOT(ISNUMBER($AS191)),$BB191&lt;$AS191)),AND(OR(AND($BB191="",$AS191=""),AND(ISNUMBER($BB191),ISNUMBER($AS191),$BB191=$AS191)),$BC191&lt;$AT191)))),"-&gt;","&lt;-"))</f>
        <v/>
      </c>
      <c r="AV191" s="86" t="str">
        <f aca="false">IF(ISBLANK($C191),"",AND($AH191,OR($AI191="",$AJ191="",AND(NOT(ISBLANK($S191)),$AK191=""))))</f>
        <v/>
      </c>
      <c r="AW191" s="89" t="str">
        <f aca="false">IF($BD191&lt;&gt;Constants!$B$6,"",IF($AH191,Constants!$B$17*$AJ191,Constants!$B$18))</f>
        <v/>
      </c>
      <c r="AX191" s="91" t="str">
        <f aca="false">IF($BD191&lt;&gt;Constants!$B$6,"",Constants!$B$19*IF($AH191,$AI191,0))</f>
        <v/>
      </c>
      <c r="AY191" s="91" t="str">
        <f aca="false">IF($BD191&lt;&gt;Constants!$B$6,"",IF(AND($AH191,ISNUMBER($AK191)),Constants!$B$20*(Constants!$B$21-$AK191),0))</f>
        <v/>
      </c>
      <c r="AZ191" s="91" t="str">
        <f aca="false">IF($BD191&lt;&gt;Constants!$B$6,"",IF($AG191,0,Constants!$B$12)+IF($AF191,0,Constants!$B$13)+IF($Y191,0,Constants!$B$14))</f>
        <v/>
      </c>
      <c r="BA191" s="92" t="str">
        <f aca="false">IF($BD191&lt;&gt;Constants!$B$6,"",Constants!$B$16+SUM($AW191:$AZ191))</f>
        <v/>
      </c>
      <c r="BB191" s="91" t="str">
        <f aca="false">IF($BD191&lt;&gt;Constants!$B$6,"",IF($AH191,$AJ191,""))</f>
        <v/>
      </c>
      <c r="BC191" s="93" t="str">
        <f aca="false">IF($BD191&lt;&gt;Constants!$B$6,"",$AX191)</f>
        <v/>
      </c>
      <c r="BD191" s="87" t="str">
        <f aca="false">IF(ISBLANK($C191),"",IF($AL191,Constants!$B$9,IF(COUNTA($E191:$T191)=0,Constants!$B$8,IF(NOT($X191),Constants!$B$7,IF(OR($AM191,$AV191),Constants!$B$10,Constants!$B$6)))))</f>
        <v/>
      </c>
      <c r="BE191" s="87" t="str">
        <f aca="false">IF(ISBLANK($C191),"",IF($BD191&lt;&gt;Constants!$B$6,$BD191,Constants!$B$11))</f>
        <v/>
      </c>
      <c r="BF191" s="91" t="str">
        <f aca="false">IF($BD191&lt;&gt;Constants!$B$6,"",IF($AU191="-&gt;",$BA191,$AR191))</f>
        <v/>
      </c>
      <c r="BG191" s="91" t="str">
        <f aca="false">IF($BD191&lt;&gt;Constants!$B$6,"",IF($W191,0,Constants!$B$15))</f>
        <v/>
      </c>
      <c r="BH191" s="91" t="str">
        <f aca="false">IF(ISBLANK($C191),"",IF($BD191&lt;&gt;Constants!$B$6,$BD191,SUM($BF191:$BG191)))</f>
        <v/>
      </c>
      <c r="BI191" s="87" t="str">
        <f aca="false">IF(ISBLANK($C191),"",IF($BD191&lt;&gt;Constants!$B$6,$BD191,RANK($BH191,$BH$9:$BH$508,1)))</f>
        <v/>
      </c>
      <c r="BJ191" s="91" t="str">
        <f aca="false">IF($BD191&lt;&gt;Constants!$B$6,"",IF($AU191="-&gt;",$BB191,$AS191))</f>
        <v/>
      </c>
      <c r="BK191" s="87" t="str">
        <f aca="false">IF(ISBLANK($C191),"",IF($BD191&lt;&gt;Constants!$B$6,$BD191,IF(ISNUMBER($BJ191),RANK($BJ191,$BJ$9:$BJ$508,1),COUNT($BJ$9:$BJ$508)+1)))</f>
        <v/>
      </c>
      <c r="BL191" s="91" t="str">
        <f aca="false">IF($BD191&lt;&gt;Constants!$B$6,"",IF($AU191="-&gt;",$BC191,$AT191))</f>
        <v/>
      </c>
      <c r="BM191" s="87" t="str">
        <f aca="false">IF(ISBLANK($C191),"",IF($BD191&lt;&gt;Constants!$B$6,$BD191,IF(ISNUMBER($BL191),RANK($BL191,$BL$9:$BL$508,1),COUNT($BL$9:$BL$508)+1)))</f>
        <v/>
      </c>
      <c r="BN191" s="91" t="str">
        <f aca="false">IF($BD191&lt;&gt;Constants!$B$6,"",IF($AU191="-&gt;",$AS191,$BB191))</f>
        <v/>
      </c>
      <c r="BO191" s="87" t="str">
        <f aca="false">IF(ISBLANK($C191),"",IF($BD191&lt;&gt;Constants!$B$6,$BD191,IF(ISNUMBER($BN191),RANK($BN191,$BN$9:$BN$508,1),COUNT($BN$9:$BN$508)+1)))</f>
        <v/>
      </c>
      <c r="BP191" s="91" t="str">
        <f aca="false">IF($BD191&lt;&gt;Constants!$B$6,"",IF($AU191="-&gt;",$AT191,$BC191))</f>
        <v/>
      </c>
      <c r="BQ191" s="87" t="str">
        <f aca="false">IF(ISBLANK($C191),"",IF($BD191&lt;&gt;Constants!$B$6,$BD191,IF(ISNUMBER($BP191),RANK($BP191,$BP$9:$BP$508,1),COUNT($BP$9:$BP$508)+1)))</f>
        <v/>
      </c>
      <c r="BR191" s="87" t="str">
        <f aca="false">IF(ISBLANK($C191),"",IF($BD191&lt;&gt;Constants!$B$6,$BD191,COUNTIFS($BI$9:$BI$508,"&lt;"&amp;$BI191)+COUNTIFS($BI$9:$BI$508,$BI191,$BK$9:$BK$508,"&lt;"&amp;$BK191)+COUNTIFS($BI$9:$BI$508,$BI191,$BK$9:$BK$508,$BK191,$BM$9:$BM$508,"&lt;"&amp;$BM191)+COUNTIFS($BI$9:$BI$508,$BI191,$BK$9:$BK$508,$BK191,$BM$9:$BM$508,$BM191,$BO$9:$BO$508,"&lt;"&amp;$BO191)+COUNTIFS($BI$9:$BI$508,$BI191,$BK$9:$BK$508,$BK191,$BM$9:$BM$508,$BM191,$BO$9:$BO$508,$BO191,$BQ$9:$BQ$508,"&lt;"&amp;$BQ191)+1))</f>
        <v/>
      </c>
      <c r="BS191" s="87" t="str">
        <f aca="false">IF(ISBLANK($C191),"",IF($BD191&lt;&gt;Constants!$B$6,$BD191,$BI191-$BR191))</f>
        <v/>
      </c>
      <c r="BT191" s="94"/>
      <c r="BU191" s="95"/>
      <c r="BV191" s="95" t="str">
        <f aca="false">IF(ISBLANK($C191),"",IF($BD191&lt;&gt;Constants!$B$6,"",IF($AU191="-&gt;",2,1)))</f>
        <v/>
      </c>
      <c r="BW191" s="96" t="str">
        <f aca="false">IF(ISBLANK($C191),"",IF($BD191&lt;&gt;Constants!$B$6,"",IF($AU191="-&gt;",$AW191,$AN191)))</f>
        <v/>
      </c>
      <c r="BX191" s="96" t="str">
        <f aca="false">IF(ISBLANK($C191),"",IF($BD191&lt;&gt;Constants!$B$6,"",IF($AU191="-&gt;",$AX191,$AO191)))</f>
        <v/>
      </c>
      <c r="BY191" s="96" t="str">
        <f aca="false">IF(ISBLANK($C191),"",IF($BD191&lt;&gt;Constants!$B$6,"",IF($AU191="-&gt;",$AY191,$AP191)))</f>
        <v/>
      </c>
      <c r="BZ191" s="96" t="str">
        <f aca="false">IF(ISBLANK($C191),"",IF($BD191&lt;&gt;Constants!$B$6,"",IF($AU191="-&gt;",$AZ191,$AQ191)+$BG191))</f>
        <v/>
      </c>
      <c r="CA191" s="97" t="str">
        <f aca="false">IF(ISBLANK($C191),"",IF($BD191&lt;&gt;Constants!$B$6,$BD191,$BH191))</f>
        <v/>
      </c>
      <c r="CB191" s="98" t="str">
        <f aca="false">IF(ISBLANK($C191),"",$BE191)</f>
        <v/>
      </c>
      <c r="CC191" s="99" t="str">
        <f aca="false">IF(ISBLANK($C191),"",$BS191)</f>
        <v/>
      </c>
      <c r="CD191" s="99" t="str">
        <f aca="false">IF(ISBLANK($C191),"",$BR191)</f>
        <v/>
      </c>
      <c r="CE191" s="100" t="str">
        <f aca="false">IF(ISBLANK($C191),"",IF($CD191=Constants!$B$9,COUNTA($C$9:$C$508)+2,IF($CD191=Constants!$B$8,COUNTA($C$9:$C$508)+1,IF($CD191=Constants!$B$7,COUNTA($C$9:$C$508),$CD191))))</f>
        <v/>
      </c>
      <c r="CF191" s="9"/>
      <c r="CG191" s="101" t="n">
        <f aca="false">IF(OR(ISNUMBER($CD191),$CD191=Constants!$B$9,$CD191=Constants!$B$7,$CD191=Constants!$B$8),1,0)</f>
        <v>0</v>
      </c>
      <c r="CH191" s="101" t="n">
        <v>183</v>
      </c>
      <c r="CI191" s="101" t="str">
        <f aca="false">IF(ISBLANK($C191),"",IF(ISNUMBER($CE191),$CE191+ROW($B191)/1000,""))</f>
        <v/>
      </c>
      <c r="CJ191" s="101" t="str">
        <f aca="false">IF(ISNUMBER($CI191),RANK($CI191,$CI$9:$CI$508,1),"")</f>
        <v/>
      </c>
      <c r="CK191" s="101" t="str">
        <f aca="false">IF(ISBLANK($C191),"",$B191)</f>
        <v/>
      </c>
      <c r="CL191" s="101" t="str">
        <f aca="false">IF(ISBLANK($C191),"",$C191)</f>
        <v/>
      </c>
      <c r="CM191" s="101" t="str">
        <f aca="false">IF(ISBLANK($C191),"",$D191)</f>
        <v/>
      </c>
      <c r="CN191" s="102" t="str">
        <f aca="false">$CB191</f>
        <v/>
      </c>
      <c r="CO191" s="103" t="str">
        <f aca="false">$CA191</f>
        <v/>
      </c>
      <c r="CP191" s="101" t="str">
        <f aca="false">IF(ISBLANK($C191),"",$CD191)</f>
        <v/>
      </c>
      <c r="CQ191" s="104" t="str">
        <f aca="false">IF($CH191&gt;$CG$8,"",VLOOKUP($CH191,$CJ$9:$CP$508,7,FALSE()))</f>
        <v/>
      </c>
      <c r="CR191" s="105" t="str">
        <f aca="false">IF($CH191&gt;$CG$8,"",VLOOKUP($CH191,$CJ$9:$CP$508,2,FALSE()))</f>
        <v/>
      </c>
      <c r="CS191" s="105" t="str">
        <f aca="false">IF($CH191&gt;$CG$8,"",VLOOKUP($CH191,$CJ$9:$CP$508,3,FALSE()))</f>
        <v/>
      </c>
      <c r="CT191" s="105" t="str">
        <f aca="false">IF($CH191&gt;$CG$8,"",VLOOKUP($CH191,$CJ$9:$CP$508,4,FALSE()))</f>
        <v/>
      </c>
      <c r="CU191" s="105" t="str">
        <f aca="false">IF($CH191&gt;$CG$8,"",VLOOKUP($CH191,$CJ$9:$CP$508,5,FALSE()))</f>
        <v/>
      </c>
      <c r="CV191" s="106" t="str">
        <f aca="false">IF($CH191&gt;$CG$8,"",VLOOKUP($CH191,$CJ$9:$CP$508,6,FALSE()))</f>
        <v/>
      </c>
      <c r="CW191" s="71"/>
    </row>
    <row r="192" customFormat="false" ht="15.75" hidden="false" customHeight="false" outlineLevel="0" collapsed="false">
      <c r="A192" s="9"/>
      <c r="B192" s="150"/>
      <c r="C192" s="151"/>
      <c r="D192" s="152"/>
      <c r="E192" s="170"/>
      <c r="F192" s="154"/>
      <c r="G192" s="155"/>
      <c r="H192" s="171"/>
      <c r="I192" s="159"/>
      <c r="J192" s="120"/>
      <c r="K192" s="121"/>
      <c r="L192" s="122"/>
      <c r="M192" s="158"/>
      <c r="N192" s="159"/>
      <c r="O192" s="159"/>
      <c r="P192" s="120"/>
      <c r="Q192" s="122"/>
      <c r="R192" s="122"/>
      <c r="S192" s="158"/>
      <c r="T192" s="159"/>
      <c r="U192" s="126"/>
      <c r="V192" s="127"/>
      <c r="W192" s="127" t="str">
        <f aca="false">IF(ISBLANK($C192),"",IF(E192=Constants!$B$2,TRUE(),IF(E192=Constants!$B$3,FALSE(),TRUE())))</f>
        <v/>
      </c>
      <c r="X192" s="127" t="str">
        <f aca="false">IF(ISBLANK($C192),"",IF(F192=Constants!$B$2,TRUE(),IF(F192=Constants!$B$3,FALSE(),TRUE())))</f>
        <v/>
      </c>
      <c r="Y192" s="127" t="str">
        <f aca="false">IF(ISBLANK($C192),"",IF(G192=Constants!$B$2,TRUE(),IF(G192=Constants!$B$3,FALSE(),TRUE())))</f>
        <v/>
      </c>
      <c r="Z192" s="127" t="str">
        <f aca="false">IF(ISBLANK($C192),"",IF(H192=Constants!$B$2,TRUE(),IF(H192=Constants!$B$3,FALSE(),TRUE())))</f>
        <v/>
      </c>
      <c r="AA192" s="127" t="str">
        <f aca="false">IF(ISBLANK($C192),"",IF(I192=Constants!$B$2,TRUE(),IF(I192=Constants!$B$3,FALSE(),TRUE())))</f>
        <v/>
      </c>
      <c r="AB192" s="127" t="str">
        <f aca="false">IF(ISBLANK($C192),"",IF(J192=Constants!$B$4,TRUE(),IF(J192=Constants!$B$5,FALSE(),COUNTA(K192:M192)&gt;0)))</f>
        <v/>
      </c>
      <c r="AC192" s="128" t="str">
        <f aca="false">IF(ISBLANK($C192),"",IF(ISNUMBER(K192),IF(K192&gt;=0,K192,""),""))</f>
        <v/>
      </c>
      <c r="AD192" s="129" t="str">
        <f aca="false">IF(ISBLANK($C192),"",IF(ISNUMBER(L192),IF(L192&gt;=0,L192,""),""))</f>
        <v/>
      </c>
      <c r="AE192" s="127" t="str">
        <f aca="false">IF(ISBLANK($C192),"",IF(ISNUMBER(M192),IF(M192&gt;=0,MIN(M192,Constants!$B$22),""),""))</f>
        <v/>
      </c>
      <c r="AF192" s="127" t="str">
        <f aca="false">IF(ISBLANK($C192),"",IF(N192=Constants!$B$2,TRUE(),IF(N192=Constants!$B$3,FALSE(),TRUE())))</f>
        <v/>
      </c>
      <c r="AG192" s="127" t="str">
        <f aca="false">IF(ISBLANK($C192),"",IF(O192=Constants!$B$2,TRUE(),IF(O192=Constants!$B$3,FALSE(),TRUE())))</f>
        <v/>
      </c>
      <c r="AH192" s="127" t="str">
        <f aca="false">IF(ISBLANK($C192),"",IF(P192=Constants!$B$4,TRUE(),IF(P192=Constants!$B$5,FALSE(),COUNTA(Q192:S192)&gt;0)))</f>
        <v/>
      </c>
      <c r="AI192" s="128" t="str">
        <f aca="false">IF(ISBLANK($C192),"",IF(ISNUMBER(Q192),IF(Q192&gt;=0,Q192,""),""))</f>
        <v/>
      </c>
      <c r="AJ192" s="129" t="str">
        <f aca="false">IF(ISBLANK($C192),"",IF(ISNUMBER(R192),IF(R192&gt;=0,R192,""),""))</f>
        <v/>
      </c>
      <c r="AK192" s="127" t="str">
        <f aca="false">IF(ISBLANK($C192),"",IF(ISNUMBER(S192),IF(S192&gt;=0,MIN(S192,Constants!$B$22),""),""))</f>
        <v/>
      </c>
      <c r="AL192" s="127" t="str">
        <f aca="false">IF(ISBLANK($C192),"",IF(T192=Constants!$B$2,TRUE(),IF(T192=Constants!$B$3,FALSE(),FALSE())))</f>
        <v/>
      </c>
      <c r="AM192" s="126" t="str">
        <f aca="false">IF(ISBLANK($C192),"",AND($AB192,OR($AC192="",$AD192="",AND(NOT(ISBLANK($M192)),$AE192=""))))</f>
        <v/>
      </c>
      <c r="AN192" s="129" t="str">
        <f aca="false">IF($BD192&lt;&gt;Constants!$B$6,"",IF($AB192,Constants!$B$17*$AD192,Constants!$B$18))</f>
        <v/>
      </c>
      <c r="AO192" s="130" t="str">
        <f aca="false">IF($BD192&lt;&gt;Constants!$B$6,"",Constants!$B$19*IF($AB192,$AC192,0))</f>
        <v/>
      </c>
      <c r="AP192" s="130" t="str">
        <f aca="false">IF($BD192&lt;&gt;Constants!$B$6,"",IF(AND($AB192,ISNUMBER($AE192)),Constants!$B$20*(Constants!$B$21-$AE192),0))</f>
        <v/>
      </c>
      <c r="AQ192" s="130" t="str">
        <f aca="false">IF($BD192&lt;&gt;Constants!$B$6,"",IF($AA192,0,Constants!$B$12)+IF($Z192,0,Constants!$B$13)+IF($Y192,0,Constants!$B$14))</f>
        <v/>
      </c>
      <c r="AR192" s="131" t="str">
        <f aca="false">IF($BD192&lt;&gt;Constants!$B$6,"",Constants!$B$16+SUM($AN192:$AQ192))</f>
        <v/>
      </c>
      <c r="AS192" s="130" t="str">
        <f aca="false">IF($BD192&lt;&gt;Constants!$B$6,"",IF($AB192,$AD192,""))</f>
        <v/>
      </c>
      <c r="AT192" s="132" t="str">
        <f aca="false">IF($BD192&lt;&gt;Constants!$B$6,"",$AO192)</f>
        <v/>
      </c>
      <c r="AU192" s="127" t="str">
        <f aca="false">IF($BD192&lt;&gt;Constants!$B$6,"",IF(OR($BA192&lt;$AR192,AND($BA192=$AR192,OR(AND(ISNUMBER($BB192),OR(NOT(ISNUMBER($AS192)),$BB192&lt;$AS192)),AND(OR(AND($BB192="",$AS192=""),AND(ISNUMBER($BB192),ISNUMBER($AS192),$BB192=$AS192)),$BC192&lt;$AT192)))),"-&gt;","&lt;-"))</f>
        <v/>
      </c>
      <c r="AV192" s="126" t="str">
        <f aca="false">IF(ISBLANK($C192),"",AND($AH192,OR($AI192="",$AJ192="",AND(NOT(ISBLANK($S192)),$AK192=""))))</f>
        <v/>
      </c>
      <c r="AW192" s="129" t="str">
        <f aca="false">IF($BD192&lt;&gt;Constants!$B$6,"",IF($AH192,Constants!$B$17*$AJ192,Constants!$B$18))</f>
        <v/>
      </c>
      <c r="AX192" s="130" t="str">
        <f aca="false">IF($BD192&lt;&gt;Constants!$B$6,"",Constants!$B$19*IF($AH192,$AI192,0))</f>
        <v/>
      </c>
      <c r="AY192" s="130" t="str">
        <f aca="false">IF($BD192&lt;&gt;Constants!$B$6,"",IF(AND($AH192,ISNUMBER($AK192)),Constants!$B$20*(Constants!$B$21-$AK192),0))</f>
        <v/>
      </c>
      <c r="AZ192" s="130" t="str">
        <f aca="false">IF($BD192&lt;&gt;Constants!$B$6,"",IF($AG192,0,Constants!$B$12)+IF($AF192,0,Constants!$B$13)+IF($Y192,0,Constants!$B$14))</f>
        <v/>
      </c>
      <c r="BA192" s="131" t="str">
        <f aca="false">IF($BD192&lt;&gt;Constants!$B$6,"",Constants!$B$16+SUM($AW192:$AZ192))</f>
        <v/>
      </c>
      <c r="BB192" s="130" t="str">
        <f aca="false">IF($BD192&lt;&gt;Constants!$B$6,"",IF($AH192,$AJ192,""))</f>
        <v/>
      </c>
      <c r="BC192" s="132" t="str">
        <f aca="false">IF($BD192&lt;&gt;Constants!$B$6,"",$AX192)</f>
        <v/>
      </c>
      <c r="BD192" s="127" t="str">
        <f aca="false">IF(ISBLANK($C192),"",IF($AL192,Constants!$B$9,IF(COUNTA($E192:$T192)=0,Constants!$B$8,IF(NOT($X192),Constants!$B$7,IF(OR($AM192,$AV192),Constants!$B$10,Constants!$B$6)))))</f>
        <v/>
      </c>
      <c r="BE192" s="127" t="str">
        <f aca="false">IF(ISBLANK($C192),"",IF($BD192&lt;&gt;Constants!$B$6,$BD192,Constants!$B$11))</f>
        <v/>
      </c>
      <c r="BF192" s="130" t="str">
        <f aca="false">IF($BD192&lt;&gt;Constants!$B$6,"",IF($AU192="-&gt;",$BA192,$AR192))</f>
        <v/>
      </c>
      <c r="BG192" s="130" t="str">
        <f aca="false">IF($BD192&lt;&gt;Constants!$B$6,"",IF($W192,0,Constants!$B$15))</f>
        <v/>
      </c>
      <c r="BH192" s="130" t="str">
        <f aca="false">IF(ISBLANK($C192),"",IF($BD192&lt;&gt;Constants!$B$6,$BD192,SUM($BF192:$BG192)))</f>
        <v/>
      </c>
      <c r="BI192" s="127" t="str">
        <f aca="false">IF(ISBLANK($C192),"",IF($BD192&lt;&gt;Constants!$B$6,$BD192,RANK($BH192,$BH$9:$BH$508,1)))</f>
        <v/>
      </c>
      <c r="BJ192" s="130" t="str">
        <f aca="false">IF($BD192&lt;&gt;Constants!$B$6,"",IF($AU192="-&gt;",$BB192,$AS192))</f>
        <v/>
      </c>
      <c r="BK192" s="127" t="str">
        <f aca="false">IF(ISBLANK($C192),"",IF($BD192&lt;&gt;Constants!$B$6,$BD192,IF(ISNUMBER($BJ192),RANK($BJ192,$BJ$9:$BJ$508,1),COUNT($BJ$9:$BJ$508)+1)))</f>
        <v/>
      </c>
      <c r="BL192" s="130" t="str">
        <f aca="false">IF($BD192&lt;&gt;Constants!$B$6,"",IF($AU192="-&gt;",$BC192,$AT192))</f>
        <v/>
      </c>
      <c r="BM192" s="127" t="str">
        <f aca="false">IF(ISBLANK($C192),"",IF($BD192&lt;&gt;Constants!$B$6,$BD192,IF(ISNUMBER($BL192),RANK($BL192,$BL$9:$BL$508,1),COUNT($BL$9:$BL$508)+1)))</f>
        <v/>
      </c>
      <c r="BN192" s="130" t="str">
        <f aca="false">IF($BD192&lt;&gt;Constants!$B$6,"",IF($AU192="-&gt;",$AS192,$BB192))</f>
        <v/>
      </c>
      <c r="BO192" s="127" t="str">
        <f aca="false">IF(ISBLANK($C192),"",IF($BD192&lt;&gt;Constants!$B$6,$BD192,IF(ISNUMBER($BN192),RANK($BN192,$BN$9:$BN$508,1),COUNT($BN$9:$BN$508)+1)))</f>
        <v/>
      </c>
      <c r="BP192" s="130" t="str">
        <f aca="false">IF($BD192&lt;&gt;Constants!$B$6,"",IF($AU192="-&gt;",$AT192,$BC192))</f>
        <v/>
      </c>
      <c r="BQ192" s="127" t="str">
        <f aca="false">IF(ISBLANK($C192),"",IF($BD192&lt;&gt;Constants!$B$6,$BD192,IF(ISNUMBER($BP192),RANK($BP192,$BP$9:$BP$508,1),COUNT($BP$9:$BP$508)+1)))</f>
        <v/>
      </c>
      <c r="BR192" s="127" t="str">
        <f aca="false">IF(ISBLANK($C192),"",IF($BD192&lt;&gt;Constants!$B$6,$BD192,COUNTIFS($BI$9:$BI$508,"&lt;"&amp;$BI192)+COUNTIFS($BI$9:$BI$508,$BI192,$BK$9:$BK$508,"&lt;"&amp;$BK192)+COUNTIFS($BI$9:$BI$508,$BI192,$BK$9:$BK$508,$BK192,$BM$9:$BM$508,"&lt;"&amp;$BM192)+COUNTIFS($BI$9:$BI$508,$BI192,$BK$9:$BK$508,$BK192,$BM$9:$BM$508,$BM192,$BO$9:$BO$508,"&lt;"&amp;$BO192)+COUNTIFS($BI$9:$BI$508,$BI192,$BK$9:$BK$508,$BK192,$BM$9:$BM$508,$BM192,$BO$9:$BO$508,$BO192,$BQ$9:$BQ$508,"&lt;"&amp;$BQ192)+1))</f>
        <v/>
      </c>
      <c r="BS192" s="127" t="str">
        <f aca="false">IF(ISBLANK($C192),"",IF($BD192&lt;&gt;Constants!$B$6,$BD192,$BI192-$BR192))</f>
        <v/>
      </c>
      <c r="BT192" s="133"/>
      <c r="BU192" s="134"/>
      <c r="BV192" s="134" t="str">
        <f aca="false">IF(ISBLANK($C192),"",IF($BD192&lt;&gt;Constants!$B$6,"",IF($AU192="-&gt;",2,1)))</f>
        <v/>
      </c>
      <c r="BW192" s="135" t="str">
        <f aca="false">IF(ISBLANK($C192),"",IF($BD192&lt;&gt;Constants!$B$6,"",IF($AU192="-&gt;",$AW192,$AN192)))</f>
        <v/>
      </c>
      <c r="BX192" s="135" t="str">
        <f aca="false">IF(ISBLANK($C192),"",IF($BD192&lt;&gt;Constants!$B$6,"",IF($AU192="-&gt;",$AX192,$AO192)))</f>
        <v/>
      </c>
      <c r="BY192" s="135" t="str">
        <f aca="false">IF(ISBLANK($C192),"",IF($BD192&lt;&gt;Constants!$B$6,"",IF($AU192="-&gt;",$AY192,$AP192)))</f>
        <v/>
      </c>
      <c r="BZ192" s="135" t="str">
        <f aca="false">IF(ISBLANK($C192),"",IF($BD192&lt;&gt;Constants!$B$6,"",IF($AU192="-&gt;",$AZ192,$AQ192)+$BG192))</f>
        <v/>
      </c>
      <c r="CA192" s="136" t="str">
        <f aca="false">IF(ISBLANK($C192),"",IF($BD192&lt;&gt;Constants!$B$6,$BD192,$BH192))</f>
        <v/>
      </c>
      <c r="CB192" s="137" t="str">
        <f aca="false">IF(ISBLANK($C192),"",$BE192)</f>
        <v/>
      </c>
      <c r="CC192" s="138" t="str">
        <f aca="false">IF(ISBLANK($C192),"",$BS192)</f>
        <v/>
      </c>
      <c r="CD192" s="138" t="str">
        <f aca="false">IF(ISBLANK($C192),"",$BR192)</f>
        <v/>
      </c>
      <c r="CE192" s="139" t="str">
        <f aca="false">IF(ISBLANK($C192),"",IF($CD192=Constants!$B$9,COUNTA($C$9:$C$508)+2,IF($CD192=Constants!$B$8,COUNTA($C$9:$C$508)+1,IF($CD192=Constants!$B$7,COUNTA($C$9:$C$508),$CD192))))</f>
        <v/>
      </c>
      <c r="CF192" s="9"/>
      <c r="CG192" s="140" t="n">
        <f aca="false">IF(OR(ISNUMBER($CD192),$CD192=Constants!$B$9,$CD192=Constants!$B$7,$CD192=Constants!$B$8),1,0)</f>
        <v>0</v>
      </c>
      <c r="CH192" s="140" t="n">
        <v>184</v>
      </c>
      <c r="CI192" s="140" t="str">
        <f aca="false">IF(ISBLANK($C192),"",IF(ISNUMBER($CE192),$CE192+ROW($B192)/1000,""))</f>
        <v/>
      </c>
      <c r="CJ192" s="140" t="str">
        <f aca="false">IF(ISNUMBER($CI192),RANK($CI192,$CI$9:$CI$508,1),"")</f>
        <v/>
      </c>
      <c r="CK192" s="140" t="str">
        <f aca="false">IF(ISBLANK($C192),"",$B192)</f>
        <v/>
      </c>
      <c r="CL192" s="140" t="str">
        <f aca="false">IF(ISBLANK($C192),"",$C192)</f>
        <v/>
      </c>
      <c r="CM192" s="140" t="str">
        <f aca="false">IF(ISBLANK($C192),"",$D192)</f>
        <v/>
      </c>
      <c r="CN192" s="141" t="str">
        <f aca="false">$CB192</f>
        <v/>
      </c>
      <c r="CO192" s="142" t="str">
        <f aca="false">$CA192</f>
        <v/>
      </c>
      <c r="CP192" s="140" t="str">
        <f aca="false">IF(ISBLANK($C192),"",$CD192)</f>
        <v/>
      </c>
      <c r="CQ192" s="143" t="str">
        <f aca="false">IF($CH192&gt;$CG$8,"",VLOOKUP($CH192,$CJ$9:$CP$508,7,FALSE()))</f>
        <v/>
      </c>
      <c r="CR192" s="144" t="str">
        <f aca="false">IF($CH192&gt;$CG$8,"",VLOOKUP($CH192,$CJ$9:$CP$508,2,FALSE()))</f>
        <v/>
      </c>
      <c r="CS192" s="144" t="str">
        <f aca="false">IF($CH192&gt;$CG$8,"",VLOOKUP($CH192,$CJ$9:$CP$508,3,FALSE()))</f>
        <v/>
      </c>
      <c r="CT192" s="144" t="str">
        <f aca="false">IF($CH192&gt;$CG$8,"",VLOOKUP($CH192,$CJ$9:$CP$508,4,FALSE()))</f>
        <v/>
      </c>
      <c r="CU192" s="144" t="str">
        <f aca="false">IF($CH192&gt;$CG$8,"",VLOOKUP($CH192,$CJ$9:$CP$508,5,FALSE()))</f>
        <v/>
      </c>
      <c r="CV192" s="145" t="str">
        <f aca="false">IF($CH192&gt;$CG$8,"",VLOOKUP($CH192,$CJ$9:$CP$508,6,FALSE()))</f>
        <v/>
      </c>
      <c r="CW192" s="71"/>
    </row>
    <row r="193" customFormat="false" ht="15.75" hidden="false" customHeight="false" outlineLevel="0" collapsed="false">
      <c r="A193" s="9"/>
      <c r="B193" s="150"/>
      <c r="C193" s="151"/>
      <c r="D193" s="152"/>
      <c r="E193" s="170"/>
      <c r="F193" s="154"/>
      <c r="G193" s="155"/>
      <c r="H193" s="171"/>
      <c r="I193" s="159"/>
      <c r="J193" s="120"/>
      <c r="K193" s="121"/>
      <c r="L193" s="122"/>
      <c r="M193" s="158"/>
      <c r="N193" s="159"/>
      <c r="O193" s="159"/>
      <c r="P193" s="120"/>
      <c r="Q193" s="122"/>
      <c r="R193" s="122"/>
      <c r="S193" s="158"/>
      <c r="T193" s="159"/>
      <c r="U193" s="126"/>
      <c r="V193" s="127"/>
      <c r="W193" s="127" t="str">
        <f aca="false">IF(ISBLANK($C193),"",IF(E193=Constants!$B$2,TRUE(),IF(E193=Constants!$B$3,FALSE(),TRUE())))</f>
        <v/>
      </c>
      <c r="X193" s="127" t="str">
        <f aca="false">IF(ISBLANK($C193),"",IF(F193=Constants!$B$2,TRUE(),IF(F193=Constants!$B$3,FALSE(),TRUE())))</f>
        <v/>
      </c>
      <c r="Y193" s="127" t="str">
        <f aca="false">IF(ISBLANK($C193),"",IF(G193=Constants!$B$2,TRUE(),IF(G193=Constants!$B$3,FALSE(),TRUE())))</f>
        <v/>
      </c>
      <c r="Z193" s="127" t="str">
        <f aca="false">IF(ISBLANK($C193),"",IF(H193=Constants!$B$2,TRUE(),IF(H193=Constants!$B$3,FALSE(),TRUE())))</f>
        <v/>
      </c>
      <c r="AA193" s="127" t="str">
        <f aca="false">IF(ISBLANK($C193),"",IF(I193=Constants!$B$2,TRUE(),IF(I193=Constants!$B$3,FALSE(),TRUE())))</f>
        <v/>
      </c>
      <c r="AB193" s="127" t="str">
        <f aca="false">IF(ISBLANK($C193),"",IF(J193=Constants!$B$4,TRUE(),IF(J193=Constants!$B$5,FALSE(),COUNTA(K193:M193)&gt;0)))</f>
        <v/>
      </c>
      <c r="AC193" s="128" t="str">
        <f aca="false">IF(ISBLANK($C193),"",IF(ISNUMBER(K193),IF(K193&gt;=0,K193,""),""))</f>
        <v/>
      </c>
      <c r="AD193" s="129" t="str">
        <f aca="false">IF(ISBLANK($C193),"",IF(ISNUMBER(L193),IF(L193&gt;=0,L193,""),""))</f>
        <v/>
      </c>
      <c r="AE193" s="127" t="str">
        <f aca="false">IF(ISBLANK($C193),"",IF(ISNUMBER(M193),IF(M193&gt;=0,MIN(M193,Constants!$B$22),""),""))</f>
        <v/>
      </c>
      <c r="AF193" s="127" t="str">
        <f aca="false">IF(ISBLANK($C193),"",IF(N193=Constants!$B$2,TRUE(),IF(N193=Constants!$B$3,FALSE(),TRUE())))</f>
        <v/>
      </c>
      <c r="AG193" s="127" t="str">
        <f aca="false">IF(ISBLANK($C193),"",IF(O193=Constants!$B$2,TRUE(),IF(O193=Constants!$B$3,FALSE(),TRUE())))</f>
        <v/>
      </c>
      <c r="AH193" s="127" t="str">
        <f aca="false">IF(ISBLANK($C193),"",IF(P193=Constants!$B$4,TRUE(),IF(P193=Constants!$B$5,FALSE(),COUNTA(Q193:S193)&gt;0)))</f>
        <v/>
      </c>
      <c r="AI193" s="128" t="str">
        <f aca="false">IF(ISBLANK($C193),"",IF(ISNUMBER(Q193),IF(Q193&gt;=0,Q193,""),""))</f>
        <v/>
      </c>
      <c r="AJ193" s="129" t="str">
        <f aca="false">IF(ISBLANK($C193),"",IF(ISNUMBER(R193),IF(R193&gt;=0,R193,""),""))</f>
        <v/>
      </c>
      <c r="AK193" s="127" t="str">
        <f aca="false">IF(ISBLANK($C193),"",IF(ISNUMBER(S193),IF(S193&gt;=0,MIN(S193,Constants!$B$22),""),""))</f>
        <v/>
      </c>
      <c r="AL193" s="127" t="str">
        <f aca="false">IF(ISBLANK($C193),"",IF(T193=Constants!$B$2,TRUE(),IF(T193=Constants!$B$3,FALSE(),FALSE())))</f>
        <v/>
      </c>
      <c r="AM193" s="126" t="str">
        <f aca="false">IF(ISBLANK($C193),"",AND($AB193,OR($AC193="",$AD193="",AND(NOT(ISBLANK($M193)),$AE193=""))))</f>
        <v/>
      </c>
      <c r="AN193" s="129" t="str">
        <f aca="false">IF($BD193&lt;&gt;Constants!$B$6,"",IF($AB193,Constants!$B$17*$AD193,Constants!$B$18))</f>
        <v/>
      </c>
      <c r="AO193" s="130" t="str">
        <f aca="false">IF($BD193&lt;&gt;Constants!$B$6,"",Constants!$B$19*IF($AB193,$AC193,0))</f>
        <v/>
      </c>
      <c r="AP193" s="130" t="str">
        <f aca="false">IF($BD193&lt;&gt;Constants!$B$6,"",IF(AND($AB193,ISNUMBER($AE193)),Constants!$B$20*(Constants!$B$21-$AE193),0))</f>
        <v/>
      </c>
      <c r="AQ193" s="130" t="str">
        <f aca="false">IF($BD193&lt;&gt;Constants!$B$6,"",IF($AA193,0,Constants!$B$12)+IF($Z193,0,Constants!$B$13)+IF($Y193,0,Constants!$B$14))</f>
        <v/>
      </c>
      <c r="AR193" s="131" t="str">
        <f aca="false">IF($BD193&lt;&gt;Constants!$B$6,"",Constants!$B$16+SUM($AN193:$AQ193))</f>
        <v/>
      </c>
      <c r="AS193" s="130" t="str">
        <f aca="false">IF($BD193&lt;&gt;Constants!$B$6,"",IF($AB193,$AD193,""))</f>
        <v/>
      </c>
      <c r="AT193" s="132" t="str">
        <f aca="false">IF($BD193&lt;&gt;Constants!$B$6,"",$AO193)</f>
        <v/>
      </c>
      <c r="AU193" s="127" t="str">
        <f aca="false">IF($BD193&lt;&gt;Constants!$B$6,"",IF(OR($BA193&lt;$AR193,AND($BA193=$AR193,OR(AND(ISNUMBER($BB193),OR(NOT(ISNUMBER($AS193)),$BB193&lt;$AS193)),AND(OR(AND($BB193="",$AS193=""),AND(ISNUMBER($BB193),ISNUMBER($AS193),$BB193=$AS193)),$BC193&lt;$AT193)))),"-&gt;","&lt;-"))</f>
        <v/>
      </c>
      <c r="AV193" s="126" t="str">
        <f aca="false">IF(ISBLANK($C193),"",AND($AH193,OR($AI193="",$AJ193="",AND(NOT(ISBLANK($S193)),$AK193=""))))</f>
        <v/>
      </c>
      <c r="AW193" s="129" t="str">
        <f aca="false">IF($BD193&lt;&gt;Constants!$B$6,"",IF($AH193,Constants!$B$17*$AJ193,Constants!$B$18))</f>
        <v/>
      </c>
      <c r="AX193" s="130" t="str">
        <f aca="false">IF($BD193&lt;&gt;Constants!$B$6,"",Constants!$B$19*IF($AH193,$AI193,0))</f>
        <v/>
      </c>
      <c r="AY193" s="130" t="str">
        <f aca="false">IF($BD193&lt;&gt;Constants!$B$6,"",IF(AND($AH193,ISNUMBER($AK193)),Constants!$B$20*(Constants!$B$21-$AK193),0))</f>
        <v/>
      </c>
      <c r="AZ193" s="130" t="str">
        <f aca="false">IF($BD193&lt;&gt;Constants!$B$6,"",IF($AG193,0,Constants!$B$12)+IF($AF193,0,Constants!$B$13)+IF($Y193,0,Constants!$B$14))</f>
        <v/>
      </c>
      <c r="BA193" s="131" t="str">
        <f aca="false">IF($BD193&lt;&gt;Constants!$B$6,"",Constants!$B$16+SUM($AW193:$AZ193))</f>
        <v/>
      </c>
      <c r="BB193" s="130" t="str">
        <f aca="false">IF($BD193&lt;&gt;Constants!$B$6,"",IF($AH193,$AJ193,""))</f>
        <v/>
      </c>
      <c r="BC193" s="132" t="str">
        <f aca="false">IF($BD193&lt;&gt;Constants!$B$6,"",$AX193)</f>
        <v/>
      </c>
      <c r="BD193" s="127" t="str">
        <f aca="false">IF(ISBLANK($C193),"",IF($AL193,Constants!$B$9,IF(COUNTA($E193:$T193)=0,Constants!$B$8,IF(NOT($X193),Constants!$B$7,IF(OR($AM193,$AV193),Constants!$B$10,Constants!$B$6)))))</f>
        <v/>
      </c>
      <c r="BE193" s="127" t="str">
        <f aca="false">IF(ISBLANK($C193),"",IF($BD193&lt;&gt;Constants!$B$6,$BD193,Constants!$B$11))</f>
        <v/>
      </c>
      <c r="BF193" s="130" t="str">
        <f aca="false">IF($BD193&lt;&gt;Constants!$B$6,"",IF($AU193="-&gt;",$BA193,$AR193))</f>
        <v/>
      </c>
      <c r="BG193" s="130" t="str">
        <f aca="false">IF($BD193&lt;&gt;Constants!$B$6,"",IF($W193,0,Constants!$B$15))</f>
        <v/>
      </c>
      <c r="BH193" s="130" t="str">
        <f aca="false">IF(ISBLANK($C193),"",IF($BD193&lt;&gt;Constants!$B$6,$BD193,SUM($BF193:$BG193)))</f>
        <v/>
      </c>
      <c r="BI193" s="127" t="str">
        <f aca="false">IF(ISBLANK($C193),"",IF($BD193&lt;&gt;Constants!$B$6,$BD193,RANK($BH193,$BH$9:$BH$508,1)))</f>
        <v/>
      </c>
      <c r="BJ193" s="130" t="str">
        <f aca="false">IF($BD193&lt;&gt;Constants!$B$6,"",IF($AU193="-&gt;",$BB193,$AS193))</f>
        <v/>
      </c>
      <c r="BK193" s="127" t="str">
        <f aca="false">IF(ISBLANK($C193),"",IF($BD193&lt;&gt;Constants!$B$6,$BD193,IF(ISNUMBER($BJ193),RANK($BJ193,$BJ$9:$BJ$508,1),COUNT($BJ$9:$BJ$508)+1)))</f>
        <v/>
      </c>
      <c r="BL193" s="130" t="str">
        <f aca="false">IF($BD193&lt;&gt;Constants!$B$6,"",IF($AU193="-&gt;",$BC193,$AT193))</f>
        <v/>
      </c>
      <c r="BM193" s="127" t="str">
        <f aca="false">IF(ISBLANK($C193),"",IF($BD193&lt;&gt;Constants!$B$6,$BD193,IF(ISNUMBER($BL193),RANK($BL193,$BL$9:$BL$508,1),COUNT($BL$9:$BL$508)+1)))</f>
        <v/>
      </c>
      <c r="BN193" s="130" t="str">
        <f aca="false">IF($BD193&lt;&gt;Constants!$B$6,"",IF($AU193="-&gt;",$AS193,$BB193))</f>
        <v/>
      </c>
      <c r="BO193" s="127" t="str">
        <f aca="false">IF(ISBLANK($C193),"",IF($BD193&lt;&gt;Constants!$B$6,$BD193,IF(ISNUMBER($BN193),RANK($BN193,$BN$9:$BN$508,1),COUNT($BN$9:$BN$508)+1)))</f>
        <v/>
      </c>
      <c r="BP193" s="130" t="str">
        <f aca="false">IF($BD193&lt;&gt;Constants!$B$6,"",IF($AU193="-&gt;",$AT193,$BC193))</f>
        <v/>
      </c>
      <c r="BQ193" s="127" t="str">
        <f aca="false">IF(ISBLANK($C193),"",IF($BD193&lt;&gt;Constants!$B$6,$BD193,IF(ISNUMBER($BP193),RANK($BP193,$BP$9:$BP$508,1),COUNT($BP$9:$BP$508)+1)))</f>
        <v/>
      </c>
      <c r="BR193" s="127" t="str">
        <f aca="false">IF(ISBLANK($C193),"",IF($BD193&lt;&gt;Constants!$B$6,$BD193,COUNTIFS($BI$9:$BI$508,"&lt;"&amp;$BI193)+COUNTIFS($BI$9:$BI$508,$BI193,$BK$9:$BK$508,"&lt;"&amp;$BK193)+COUNTIFS($BI$9:$BI$508,$BI193,$BK$9:$BK$508,$BK193,$BM$9:$BM$508,"&lt;"&amp;$BM193)+COUNTIFS($BI$9:$BI$508,$BI193,$BK$9:$BK$508,$BK193,$BM$9:$BM$508,$BM193,$BO$9:$BO$508,"&lt;"&amp;$BO193)+COUNTIFS($BI$9:$BI$508,$BI193,$BK$9:$BK$508,$BK193,$BM$9:$BM$508,$BM193,$BO$9:$BO$508,$BO193,$BQ$9:$BQ$508,"&lt;"&amp;$BQ193)+1))</f>
        <v/>
      </c>
      <c r="BS193" s="127" t="str">
        <f aca="false">IF(ISBLANK($C193),"",IF($BD193&lt;&gt;Constants!$B$6,$BD193,$BI193-$BR193))</f>
        <v/>
      </c>
      <c r="BT193" s="133"/>
      <c r="BU193" s="134"/>
      <c r="BV193" s="134" t="str">
        <f aca="false">IF(ISBLANK($C193),"",IF($BD193&lt;&gt;Constants!$B$6,"",IF($AU193="-&gt;",2,1)))</f>
        <v/>
      </c>
      <c r="BW193" s="135" t="str">
        <f aca="false">IF(ISBLANK($C193),"",IF($BD193&lt;&gt;Constants!$B$6,"",IF($AU193="-&gt;",$AW193,$AN193)))</f>
        <v/>
      </c>
      <c r="BX193" s="135" t="str">
        <f aca="false">IF(ISBLANK($C193),"",IF($BD193&lt;&gt;Constants!$B$6,"",IF($AU193="-&gt;",$AX193,$AO193)))</f>
        <v/>
      </c>
      <c r="BY193" s="135" t="str">
        <f aca="false">IF(ISBLANK($C193),"",IF($BD193&lt;&gt;Constants!$B$6,"",IF($AU193="-&gt;",$AY193,$AP193)))</f>
        <v/>
      </c>
      <c r="BZ193" s="135" t="str">
        <f aca="false">IF(ISBLANK($C193),"",IF($BD193&lt;&gt;Constants!$B$6,"",IF($AU193="-&gt;",$AZ193,$AQ193)+$BG193))</f>
        <v/>
      </c>
      <c r="CA193" s="136" t="str">
        <f aca="false">IF(ISBLANK($C193),"",IF($BD193&lt;&gt;Constants!$B$6,$BD193,$BH193))</f>
        <v/>
      </c>
      <c r="CB193" s="137" t="str">
        <f aca="false">IF(ISBLANK($C193),"",$BE193)</f>
        <v/>
      </c>
      <c r="CC193" s="138" t="str">
        <f aca="false">IF(ISBLANK($C193),"",$BS193)</f>
        <v/>
      </c>
      <c r="CD193" s="138" t="str">
        <f aca="false">IF(ISBLANK($C193),"",$BR193)</f>
        <v/>
      </c>
      <c r="CE193" s="139" t="str">
        <f aca="false">IF(ISBLANK($C193),"",IF($CD193=Constants!$B$9,COUNTA($C$9:$C$508)+2,IF($CD193=Constants!$B$8,COUNTA($C$9:$C$508)+1,IF($CD193=Constants!$B$7,COUNTA($C$9:$C$508),$CD193))))</f>
        <v/>
      </c>
      <c r="CF193" s="9"/>
      <c r="CG193" s="140" t="n">
        <f aca="false">IF(OR(ISNUMBER($CD193),$CD193=Constants!$B$9,$CD193=Constants!$B$7,$CD193=Constants!$B$8),1,0)</f>
        <v>0</v>
      </c>
      <c r="CH193" s="140" t="n">
        <v>185</v>
      </c>
      <c r="CI193" s="140" t="str">
        <f aca="false">IF(ISBLANK($C193),"",IF(ISNUMBER($CE193),$CE193+ROW($B193)/1000,""))</f>
        <v/>
      </c>
      <c r="CJ193" s="140" t="str">
        <f aca="false">IF(ISNUMBER($CI193),RANK($CI193,$CI$9:$CI$508,1),"")</f>
        <v/>
      </c>
      <c r="CK193" s="140" t="str">
        <f aca="false">IF(ISBLANK($C193),"",$B193)</f>
        <v/>
      </c>
      <c r="CL193" s="140" t="str">
        <f aca="false">IF(ISBLANK($C193),"",$C193)</f>
        <v/>
      </c>
      <c r="CM193" s="140" t="str">
        <f aca="false">IF(ISBLANK($C193),"",$D193)</f>
        <v/>
      </c>
      <c r="CN193" s="141" t="str">
        <f aca="false">$CB193</f>
        <v/>
      </c>
      <c r="CO193" s="142" t="str">
        <f aca="false">$CA193</f>
        <v/>
      </c>
      <c r="CP193" s="140" t="str">
        <f aca="false">IF(ISBLANK($C193),"",$CD193)</f>
        <v/>
      </c>
      <c r="CQ193" s="143" t="str">
        <f aca="false">IF($CH193&gt;$CG$8,"",VLOOKUP($CH193,$CJ$9:$CP$508,7,FALSE()))</f>
        <v/>
      </c>
      <c r="CR193" s="144" t="str">
        <f aca="false">IF($CH193&gt;$CG$8,"",VLOOKUP($CH193,$CJ$9:$CP$508,2,FALSE()))</f>
        <v/>
      </c>
      <c r="CS193" s="144" t="str">
        <f aca="false">IF($CH193&gt;$CG$8,"",VLOOKUP($CH193,$CJ$9:$CP$508,3,FALSE()))</f>
        <v/>
      </c>
      <c r="CT193" s="144" t="str">
        <f aca="false">IF($CH193&gt;$CG$8,"",VLOOKUP($CH193,$CJ$9:$CP$508,4,FALSE()))</f>
        <v/>
      </c>
      <c r="CU193" s="144" t="str">
        <f aca="false">IF($CH193&gt;$CG$8,"",VLOOKUP($CH193,$CJ$9:$CP$508,5,FALSE()))</f>
        <v/>
      </c>
      <c r="CV193" s="145" t="str">
        <f aca="false">IF($CH193&gt;$CG$8,"",VLOOKUP($CH193,$CJ$9:$CP$508,6,FALSE()))</f>
        <v/>
      </c>
      <c r="CW193" s="71"/>
    </row>
    <row r="194" customFormat="false" ht="15.75" hidden="false" customHeight="false" outlineLevel="0" collapsed="false">
      <c r="A194" s="9"/>
      <c r="B194" s="150"/>
      <c r="C194" s="151"/>
      <c r="D194" s="152"/>
      <c r="E194" s="170"/>
      <c r="F194" s="154"/>
      <c r="G194" s="155"/>
      <c r="H194" s="171"/>
      <c r="I194" s="159"/>
      <c r="J194" s="120"/>
      <c r="K194" s="121"/>
      <c r="L194" s="122"/>
      <c r="M194" s="158"/>
      <c r="N194" s="159"/>
      <c r="O194" s="159"/>
      <c r="P194" s="120"/>
      <c r="Q194" s="122"/>
      <c r="R194" s="122"/>
      <c r="S194" s="158"/>
      <c r="T194" s="159"/>
      <c r="U194" s="126"/>
      <c r="V194" s="127"/>
      <c r="W194" s="127" t="str">
        <f aca="false">IF(ISBLANK($C194),"",IF(E194=Constants!$B$2,TRUE(),IF(E194=Constants!$B$3,FALSE(),TRUE())))</f>
        <v/>
      </c>
      <c r="X194" s="127" t="str">
        <f aca="false">IF(ISBLANK($C194),"",IF(F194=Constants!$B$2,TRUE(),IF(F194=Constants!$B$3,FALSE(),TRUE())))</f>
        <v/>
      </c>
      <c r="Y194" s="127" t="str">
        <f aca="false">IF(ISBLANK($C194),"",IF(G194=Constants!$B$2,TRUE(),IF(G194=Constants!$B$3,FALSE(),TRUE())))</f>
        <v/>
      </c>
      <c r="Z194" s="127" t="str">
        <f aca="false">IF(ISBLANK($C194),"",IF(H194=Constants!$B$2,TRUE(),IF(H194=Constants!$B$3,FALSE(),TRUE())))</f>
        <v/>
      </c>
      <c r="AA194" s="127" t="str">
        <f aca="false">IF(ISBLANK($C194),"",IF(I194=Constants!$B$2,TRUE(),IF(I194=Constants!$B$3,FALSE(),TRUE())))</f>
        <v/>
      </c>
      <c r="AB194" s="127" t="str">
        <f aca="false">IF(ISBLANK($C194),"",IF(J194=Constants!$B$4,TRUE(),IF(J194=Constants!$B$5,FALSE(),COUNTA(K194:M194)&gt;0)))</f>
        <v/>
      </c>
      <c r="AC194" s="128" t="str">
        <f aca="false">IF(ISBLANK($C194),"",IF(ISNUMBER(K194),IF(K194&gt;=0,K194,""),""))</f>
        <v/>
      </c>
      <c r="AD194" s="129" t="str">
        <f aca="false">IF(ISBLANK($C194),"",IF(ISNUMBER(L194),IF(L194&gt;=0,L194,""),""))</f>
        <v/>
      </c>
      <c r="AE194" s="127" t="str">
        <f aca="false">IF(ISBLANK($C194),"",IF(ISNUMBER(M194),IF(M194&gt;=0,MIN(M194,Constants!$B$22),""),""))</f>
        <v/>
      </c>
      <c r="AF194" s="127" t="str">
        <f aca="false">IF(ISBLANK($C194),"",IF(N194=Constants!$B$2,TRUE(),IF(N194=Constants!$B$3,FALSE(),TRUE())))</f>
        <v/>
      </c>
      <c r="AG194" s="127" t="str">
        <f aca="false">IF(ISBLANK($C194),"",IF(O194=Constants!$B$2,TRUE(),IF(O194=Constants!$B$3,FALSE(),TRUE())))</f>
        <v/>
      </c>
      <c r="AH194" s="127" t="str">
        <f aca="false">IF(ISBLANK($C194),"",IF(P194=Constants!$B$4,TRUE(),IF(P194=Constants!$B$5,FALSE(),COUNTA(Q194:S194)&gt;0)))</f>
        <v/>
      </c>
      <c r="AI194" s="128" t="str">
        <f aca="false">IF(ISBLANK($C194),"",IF(ISNUMBER(Q194),IF(Q194&gt;=0,Q194,""),""))</f>
        <v/>
      </c>
      <c r="AJ194" s="129" t="str">
        <f aca="false">IF(ISBLANK($C194),"",IF(ISNUMBER(R194),IF(R194&gt;=0,R194,""),""))</f>
        <v/>
      </c>
      <c r="AK194" s="127" t="str">
        <f aca="false">IF(ISBLANK($C194),"",IF(ISNUMBER(S194),IF(S194&gt;=0,MIN(S194,Constants!$B$22),""),""))</f>
        <v/>
      </c>
      <c r="AL194" s="127" t="str">
        <f aca="false">IF(ISBLANK($C194),"",IF(T194=Constants!$B$2,TRUE(),IF(T194=Constants!$B$3,FALSE(),FALSE())))</f>
        <v/>
      </c>
      <c r="AM194" s="126" t="str">
        <f aca="false">IF(ISBLANK($C194),"",AND($AB194,OR($AC194="",$AD194="",AND(NOT(ISBLANK($M194)),$AE194=""))))</f>
        <v/>
      </c>
      <c r="AN194" s="129" t="str">
        <f aca="false">IF($BD194&lt;&gt;Constants!$B$6,"",IF($AB194,Constants!$B$17*$AD194,Constants!$B$18))</f>
        <v/>
      </c>
      <c r="AO194" s="130" t="str">
        <f aca="false">IF($BD194&lt;&gt;Constants!$B$6,"",Constants!$B$19*IF($AB194,$AC194,0))</f>
        <v/>
      </c>
      <c r="AP194" s="130" t="str">
        <f aca="false">IF($BD194&lt;&gt;Constants!$B$6,"",IF(AND($AB194,ISNUMBER($AE194)),Constants!$B$20*(Constants!$B$21-$AE194),0))</f>
        <v/>
      </c>
      <c r="AQ194" s="130" t="str">
        <f aca="false">IF($BD194&lt;&gt;Constants!$B$6,"",IF($AA194,0,Constants!$B$12)+IF($Z194,0,Constants!$B$13)+IF($Y194,0,Constants!$B$14))</f>
        <v/>
      </c>
      <c r="AR194" s="131" t="str">
        <f aca="false">IF($BD194&lt;&gt;Constants!$B$6,"",Constants!$B$16+SUM($AN194:$AQ194))</f>
        <v/>
      </c>
      <c r="AS194" s="130" t="str">
        <f aca="false">IF($BD194&lt;&gt;Constants!$B$6,"",IF($AB194,$AD194,""))</f>
        <v/>
      </c>
      <c r="AT194" s="132" t="str">
        <f aca="false">IF($BD194&lt;&gt;Constants!$B$6,"",$AO194)</f>
        <v/>
      </c>
      <c r="AU194" s="127" t="str">
        <f aca="false">IF($BD194&lt;&gt;Constants!$B$6,"",IF(OR($BA194&lt;$AR194,AND($BA194=$AR194,OR(AND(ISNUMBER($BB194),OR(NOT(ISNUMBER($AS194)),$BB194&lt;$AS194)),AND(OR(AND($BB194="",$AS194=""),AND(ISNUMBER($BB194),ISNUMBER($AS194),$BB194=$AS194)),$BC194&lt;$AT194)))),"-&gt;","&lt;-"))</f>
        <v/>
      </c>
      <c r="AV194" s="126" t="str">
        <f aca="false">IF(ISBLANK($C194),"",AND($AH194,OR($AI194="",$AJ194="",AND(NOT(ISBLANK($S194)),$AK194=""))))</f>
        <v/>
      </c>
      <c r="AW194" s="129" t="str">
        <f aca="false">IF($BD194&lt;&gt;Constants!$B$6,"",IF($AH194,Constants!$B$17*$AJ194,Constants!$B$18))</f>
        <v/>
      </c>
      <c r="AX194" s="130" t="str">
        <f aca="false">IF($BD194&lt;&gt;Constants!$B$6,"",Constants!$B$19*IF($AH194,$AI194,0))</f>
        <v/>
      </c>
      <c r="AY194" s="130" t="str">
        <f aca="false">IF($BD194&lt;&gt;Constants!$B$6,"",IF(AND($AH194,ISNUMBER($AK194)),Constants!$B$20*(Constants!$B$21-$AK194),0))</f>
        <v/>
      </c>
      <c r="AZ194" s="130" t="str">
        <f aca="false">IF($BD194&lt;&gt;Constants!$B$6,"",IF($AG194,0,Constants!$B$12)+IF($AF194,0,Constants!$B$13)+IF($Y194,0,Constants!$B$14))</f>
        <v/>
      </c>
      <c r="BA194" s="131" t="str">
        <f aca="false">IF($BD194&lt;&gt;Constants!$B$6,"",Constants!$B$16+SUM($AW194:$AZ194))</f>
        <v/>
      </c>
      <c r="BB194" s="130" t="str">
        <f aca="false">IF($BD194&lt;&gt;Constants!$B$6,"",IF($AH194,$AJ194,""))</f>
        <v/>
      </c>
      <c r="BC194" s="132" t="str">
        <f aca="false">IF($BD194&lt;&gt;Constants!$B$6,"",$AX194)</f>
        <v/>
      </c>
      <c r="BD194" s="127" t="str">
        <f aca="false">IF(ISBLANK($C194),"",IF($AL194,Constants!$B$9,IF(COUNTA($E194:$T194)=0,Constants!$B$8,IF(NOT($X194),Constants!$B$7,IF(OR($AM194,$AV194),Constants!$B$10,Constants!$B$6)))))</f>
        <v/>
      </c>
      <c r="BE194" s="127" t="str">
        <f aca="false">IF(ISBLANK($C194),"",IF($BD194&lt;&gt;Constants!$B$6,$BD194,Constants!$B$11))</f>
        <v/>
      </c>
      <c r="BF194" s="130" t="str">
        <f aca="false">IF($BD194&lt;&gt;Constants!$B$6,"",IF($AU194="-&gt;",$BA194,$AR194))</f>
        <v/>
      </c>
      <c r="BG194" s="130" t="str">
        <f aca="false">IF($BD194&lt;&gt;Constants!$B$6,"",IF($W194,0,Constants!$B$15))</f>
        <v/>
      </c>
      <c r="BH194" s="130" t="str">
        <f aca="false">IF(ISBLANK($C194),"",IF($BD194&lt;&gt;Constants!$B$6,$BD194,SUM($BF194:$BG194)))</f>
        <v/>
      </c>
      <c r="BI194" s="127" t="str">
        <f aca="false">IF(ISBLANK($C194),"",IF($BD194&lt;&gt;Constants!$B$6,$BD194,RANK($BH194,$BH$9:$BH$508,1)))</f>
        <v/>
      </c>
      <c r="BJ194" s="130" t="str">
        <f aca="false">IF($BD194&lt;&gt;Constants!$B$6,"",IF($AU194="-&gt;",$BB194,$AS194))</f>
        <v/>
      </c>
      <c r="BK194" s="127" t="str">
        <f aca="false">IF(ISBLANK($C194),"",IF($BD194&lt;&gt;Constants!$B$6,$BD194,IF(ISNUMBER($BJ194),RANK($BJ194,$BJ$9:$BJ$508,1),COUNT($BJ$9:$BJ$508)+1)))</f>
        <v/>
      </c>
      <c r="BL194" s="130" t="str">
        <f aca="false">IF($BD194&lt;&gt;Constants!$B$6,"",IF($AU194="-&gt;",$BC194,$AT194))</f>
        <v/>
      </c>
      <c r="BM194" s="127" t="str">
        <f aca="false">IF(ISBLANK($C194),"",IF($BD194&lt;&gt;Constants!$B$6,$BD194,IF(ISNUMBER($BL194),RANK($BL194,$BL$9:$BL$508,1),COUNT($BL$9:$BL$508)+1)))</f>
        <v/>
      </c>
      <c r="BN194" s="130" t="str">
        <f aca="false">IF($BD194&lt;&gt;Constants!$B$6,"",IF($AU194="-&gt;",$AS194,$BB194))</f>
        <v/>
      </c>
      <c r="BO194" s="127" t="str">
        <f aca="false">IF(ISBLANK($C194),"",IF($BD194&lt;&gt;Constants!$B$6,$BD194,IF(ISNUMBER($BN194),RANK($BN194,$BN$9:$BN$508,1),COUNT($BN$9:$BN$508)+1)))</f>
        <v/>
      </c>
      <c r="BP194" s="130" t="str">
        <f aca="false">IF($BD194&lt;&gt;Constants!$B$6,"",IF($AU194="-&gt;",$AT194,$BC194))</f>
        <v/>
      </c>
      <c r="BQ194" s="127" t="str">
        <f aca="false">IF(ISBLANK($C194),"",IF($BD194&lt;&gt;Constants!$B$6,$BD194,IF(ISNUMBER($BP194),RANK($BP194,$BP$9:$BP$508,1),COUNT($BP$9:$BP$508)+1)))</f>
        <v/>
      </c>
      <c r="BR194" s="127" t="str">
        <f aca="false">IF(ISBLANK($C194),"",IF($BD194&lt;&gt;Constants!$B$6,$BD194,COUNTIFS($BI$9:$BI$508,"&lt;"&amp;$BI194)+COUNTIFS($BI$9:$BI$508,$BI194,$BK$9:$BK$508,"&lt;"&amp;$BK194)+COUNTIFS($BI$9:$BI$508,$BI194,$BK$9:$BK$508,$BK194,$BM$9:$BM$508,"&lt;"&amp;$BM194)+COUNTIFS($BI$9:$BI$508,$BI194,$BK$9:$BK$508,$BK194,$BM$9:$BM$508,$BM194,$BO$9:$BO$508,"&lt;"&amp;$BO194)+COUNTIFS($BI$9:$BI$508,$BI194,$BK$9:$BK$508,$BK194,$BM$9:$BM$508,$BM194,$BO$9:$BO$508,$BO194,$BQ$9:$BQ$508,"&lt;"&amp;$BQ194)+1))</f>
        <v/>
      </c>
      <c r="BS194" s="127" t="str">
        <f aca="false">IF(ISBLANK($C194),"",IF($BD194&lt;&gt;Constants!$B$6,$BD194,$BI194-$BR194))</f>
        <v/>
      </c>
      <c r="BT194" s="133"/>
      <c r="BU194" s="134"/>
      <c r="BV194" s="134" t="str">
        <f aca="false">IF(ISBLANK($C194),"",IF($BD194&lt;&gt;Constants!$B$6,"",IF($AU194="-&gt;",2,1)))</f>
        <v/>
      </c>
      <c r="BW194" s="135" t="str">
        <f aca="false">IF(ISBLANK($C194),"",IF($BD194&lt;&gt;Constants!$B$6,"",IF($AU194="-&gt;",$AW194,$AN194)))</f>
        <v/>
      </c>
      <c r="BX194" s="135" t="str">
        <f aca="false">IF(ISBLANK($C194),"",IF($BD194&lt;&gt;Constants!$B$6,"",IF($AU194="-&gt;",$AX194,$AO194)))</f>
        <v/>
      </c>
      <c r="BY194" s="135" t="str">
        <f aca="false">IF(ISBLANK($C194),"",IF($BD194&lt;&gt;Constants!$B$6,"",IF($AU194="-&gt;",$AY194,$AP194)))</f>
        <v/>
      </c>
      <c r="BZ194" s="135" t="str">
        <f aca="false">IF(ISBLANK($C194),"",IF($BD194&lt;&gt;Constants!$B$6,"",IF($AU194="-&gt;",$AZ194,$AQ194)+$BG194))</f>
        <v/>
      </c>
      <c r="CA194" s="136" t="str">
        <f aca="false">IF(ISBLANK($C194),"",IF($BD194&lt;&gt;Constants!$B$6,$BD194,$BH194))</f>
        <v/>
      </c>
      <c r="CB194" s="137" t="str">
        <f aca="false">IF(ISBLANK($C194),"",$BE194)</f>
        <v/>
      </c>
      <c r="CC194" s="138" t="str">
        <f aca="false">IF(ISBLANK($C194),"",$BS194)</f>
        <v/>
      </c>
      <c r="CD194" s="138" t="str">
        <f aca="false">IF(ISBLANK($C194),"",$BR194)</f>
        <v/>
      </c>
      <c r="CE194" s="139" t="str">
        <f aca="false">IF(ISBLANK($C194),"",IF($CD194=Constants!$B$9,COUNTA($C$9:$C$508)+2,IF($CD194=Constants!$B$8,COUNTA($C$9:$C$508)+1,IF($CD194=Constants!$B$7,COUNTA($C$9:$C$508),$CD194))))</f>
        <v/>
      </c>
      <c r="CF194" s="9"/>
      <c r="CG194" s="140" t="n">
        <f aca="false">IF(OR(ISNUMBER($CD194),$CD194=Constants!$B$9,$CD194=Constants!$B$7,$CD194=Constants!$B$8),1,0)</f>
        <v>0</v>
      </c>
      <c r="CH194" s="140" t="n">
        <v>186</v>
      </c>
      <c r="CI194" s="140" t="str">
        <f aca="false">IF(ISBLANK($C194),"",IF(ISNUMBER($CE194),$CE194+ROW($B194)/1000,""))</f>
        <v/>
      </c>
      <c r="CJ194" s="140" t="str">
        <f aca="false">IF(ISNUMBER($CI194),RANK($CI194,$CI$9:$CI$508,1),"")</f>
        <v/>
      </c>
      <c r="CK194" s="140" t="str">
        <f aca="false">IF(ISBLANK($C194),"",$B194)</f>
        <v/>
      </c>
      <c r="CL194" s="140" t="str">
        <f aca="false">IF(ISBLANK($C194),"",$C194)</f>
        <v/>
      </c>
      <c r="CM194" s="140" t="str">
        <f aca="false">IF(ISBLANK($C194),"",$D194)</f>
        <v/>
      </c>
      <c r="CN194" s="141" t="str">
        <f aca="false">$CB194</f>
        <v/>
      </c>
      <c r="CO194" s="142" t="str">
        <f aca="false">$CA194</f>
        <v/>
      </c>
      <c r="CP194" s="140" t="str">
        <f aca="false">IF(ISBLANK($C194),"",$CD194)</f>
        <v/>
      </c>
      <c r="CQ194" s="143" t="str">
        <f aca="false">IF($CH194&gt;$CG$8,"",VLOOKUP($CH194,$CJ$9:$CP$508,7,FALSE()))</f>
        <v/>
      </c>
      <c r="CR194" s="144" t="str">
        <f aca="false">IF($CH194&gt;$CG$8,"",VLOOKUP($CH194,$CJ$9:$CP$508,2,FALSE()))</f>
        <v/>
      </c>
      <c r="CS194" s="144" t="str">
        <f aca="false">IF($CH194&gt;$CG$8,"",VLOOKUP($CH194,$CJ$9:$CP$508,3,FALSE()))</f>
        <v/>
      </c>
      <c r="CT194" s="144" t="str">
        <f aca="false">IF($CH194&gt;$CG$8,"",VLOOKUP($CH194,$CJ$9:$CP$508,4,FALSE()))</f>
        <v/>
      </c>
      <c r="CU194" s="144" t="str">
        <f aca="false">IF($CH194&gt;$CG$8,"",VLOOKUP($CH194,$CJ$9:$CP$508,5,FALSE()))</f>
        <v/>
      </c>
      <c r="CV194" s="145" t="str">
        <f aca="false">IF($CH194&gt;$CG$8,"",VLOOKUP($CH194,$CJ$9:$CP$508,6,FALSE()))</f>
        <v/>
      </c>
      <c r="CW194" s="71"/>
    </row>
    <row r="195" customFormat="false" ht="15.75" hidden="false" customHeight="false" outlineLevel="0" collapsed="false">
      <c r="A195" s="9"/>
      <c r="B195" s="72"/>
      <c r="C195" s="73"/>
      <c r="D195" s="160"/>
      <c r="E195" s="168"/>
      <c r="F195" s="162"/>
      <c r="G195" s="163"/>
      <c r="H195" s="169"/>
      <c r="I195" s="167"/>
      <c r="J195" s="80"/>
      <c r="K195" s="81"/>
      <c r="L195" s="82"/>
      <c r="M195" s="166"/>
      <c r="N195" s="167"/>
      <c r="O195" s="167"/>
      <c r="P195" s="80"/>
      <c r="Q195" s="82"/>
      <c r="R195" s="82"/>
      <c r="S195" s="166"/>
      <c r="T195" s="167"/>
      <c r="U195" s="86"/>
      <c r="V195" s="87"/>
      <c r="W195" s="87" t="str">
        <f aca="false">IF(ISBLANK($C195),"",IF(E195=Constants!$B$2,TRUE(),IF(E195=Constants!$B$3,FALSE(),TRUE())))</f>
        <v/>
      </c>
      <c r="X195" s="87" t="str">
        <f aca="false">IF(ISBLANK($C195),"",IF(F195=Constants!$B$2,TRUE(),IF(F195=Constants!$B$3,FALSE(),TRUE())))</f>
        <v/>
      </c>
      <c r="Y195" s="87" t="str">
        <f aca="false">IF(ISBLANK($C195),"",IF(G195=Constants!$B$2,TRUE(),IF(G195=Constants!$B$3,FALSE(),TRUE())))</f>
        <v/>
      </c>
      <c r="Z195" s="87" t="str">
        <f aca="false">IF(ISBLANK($C195),"",IF(H195=Constants!$B$2,TRUE(),IF(H195=Constants!$B$3,FALSE(),TRUE())))</f>
        <v/>
      </c>
      <c r="AA195" s="87" t="str">
        <f aca="false">IF(ISBLANK($C195),"",IF(I195=Constants!$B$2,TRUE(),IF(I195=Constants!$B$3,FALSE(),TRUE())))</f>
        <v/>
      </c>
      <c r="AB195" s="87" t="str">
        <f aca="false">IF(ISBLANK($C195),"",IF(J195=Constants!$B$4,TRUE(),IF(J195=Constants!$B$5,FALSE(),COUNTA(K195:M195)&gt;0)))</f>
        <v/>
      </c>
      <c r="AC195" s="88" t="str">
        <f aca="false">IF(ISBLANK($C195),"",IF(ISNUMBER(K195),IF(K195&gt;=0,K195,""),""))</f>
        <v/>
      </c>
      <c r="AD195" s="89" t="str">
        <f aca="false">IF(ISBLANK($C195),"",IF(ISNUMBER(L195),IF(L195&gt;=0,L195,""),""))</f>
        <v/>
      </c>
      <c r="AE195" s="87" t="str">
        <f aca="false">IF(ISBLANK($C195),"",IF(ISNUMBER(M195),IF(M195&gt;=0,MIN(M195,Constants!$B$22),""),""))</f>
        <v/>
      </c>
      <c r="AF195" s="87" t="str">
        <f aca="false">IF(ISBLANK($C195),"",IF(N195=Constants!$B$2,TRUE(),IF(N195=Constants!$B$3,FALSE(),TRUE())))</f>
        <v/>
      </c>
      <c r="AG195" s="87" t="str">
        <f aca="false">IF(ISBLANK($C195),"",IF(O195=Constants!$B$2,TRUE(),IF(O195=Constants!$B$3,FALSE(),TRUE())))</f>
        <v/>
      </c>
      <c r="AH195" s="87" t="str">
        <f aca="false">IF(ISBLANK($C195),"",IF(P195=Constants!$B$4,TRUE(),IF(P195=Constants!$B$5,FALSE(),COUNTA(Q195:S195)&gt;0)))</f>
        <v/>
      </c>
      <c r="AI195" s="88" t="str">
        <f aca="false">IF(ISBLANK($C195),"",IF(ISNUMBER(Q195),IF(Q195&gt;=0,Q195,""),""))</f>
        <v/>
      </c>
      <c r="AJ195" s="89" t="str">
        <f aca="false">IF(ISBLANK($C195),"",IF(ISNUMBER(R195),IF(R195&gt;=0,R195,""),""))</f>
        <v/>
      </c>
      <c r="AK195" s="87" t="str">
        <f aca="false">IF(ISBLANK($C195),"",IF(ISNUMBER(S195),IF(S195&gt;=0,MIN(S195,Constants!$B$22),""),""))</f>
        <v/>
      </c>
      <c r="AL195" s="87" t="str">
        <f aca="false">IF(ISBLANK($C195),"",IF(T195=Constants!$B$2,TRUE(),IF(T195=Constants!$B$3,FALSE(),FALSE())))</f>
        <v/>
      </c>
      <c r="AM195" s="86" t="str">
        <f aca="false">IF(ISBLANK($C195),"",AND($AB195,OR($AC195="",$AD195="",AND(NOT(ISBLANK($M195)),$AE195=""))))</f>
        <v/>
      </c>
      <c r="AN195" s="89" t="str">
        <f aca="false">IF($BD195&lt;&gt;Constants!$B$6,"",IF($AB195,Constants!$B$17*$AD195,Constants!$B$18))</f>
        <v/>
      </c>
      <c r="AO195" s="91" t="str">
        <f aca="false">IF($BD195&lt;&gt;Constants!$B$6,"",Constants!$B$19*IF($AB195,$AC195,0))</f>
        <v/>
      </c>
      <c r="AP195" s="91" t="str">
        <f aca="false">IF($BD195&lt;&gt;Constants!$B$6,"",IF(AND($AB195,ISNUMBER($AE195)),Constants!$B$20*(Constants!$B$21-$AE195),0))</f>
        <v/>
      </c>
      <c r="AQ195" s="91" t="str">
        <f aca="false">IF($BD195&lt;&gt;Constants!$B$6,"",IF($AA195,0,Constants!$B$12)+IF($Z195,0,Constants!$B$13)+IF($Y195,0,Constants!$B$14))</f>
        <v/>
      </c>
      <c r="AR195" s="92" t="str">
        <f aca="false">IF($BD195&lt;&gt;Constants!$B$6,"",Constants!$B$16+SUM($AN195:$AQ195))</f>
        <v/>
      </c>
      <c r="AS195" s="91" t="str">
        <f aca="false">IF($BD195&lt;&gt;Constants!$B$6,"",IF($AB195,$AD195,""))</f>
        <v/>
      </c>
      <c r="AT195" s="93" t="str">
        <f aca="false">IF($BD195&lt;&gt;Constants!$B$6,"",$AO195)</f>
        <v/>
      </c>
      <c r="AU195" s="87" t="str">
        <f aca="false">IF($BD195&lt;&gt;Constants!$B$6,"",IF(OR($BA195&lt;$AR195,AND($BA195=$AR195,OR(AND(ISNUMBER($BB195),OR(NOT(ISNUMBER($AS195)),$BB195&lt;$AS195)),AND(OR(AND($BB195="",$AS195=""),AND(ISNUMBER($BB195),ISNUMBER($AS195),$BB195=$AS195)),$BC195&lt;$AT195)))),"-&gt;","&lt;-"))</f>
        <v/>
      </c>
      <c r="AV195" s="86" t="str">
        <f aca="false">IF(ISBLANK($C195),"",AND($AH195,OR($AI195="",$AJ195="",AND(NOT(ISBLANK($S195)),$AK195=""))))</f>
        <v/>
      </c>
      <c r="AW195" s="89" t="str">
        <f aca="false">IF($BD195&lt;&gt;Constants!$B$6,"",IF($AH195,Constants!$B$17*$AJ195,Constants!$B$18))</f>
        <v/>
      </c>
      <c r="AX195" s="91" t="str">
        <f aca="false">IF($BD195&lt;&gt;Constants!$B$6,"",Constants!$B$19*IF($AH195,$AI195,0))</f>
        <v/>
      </c>
      <c r="AY195" s="91" t="str">
        <f aca="false">IF($BD195&lt;&gt;Constants!$B$6,"",IF(AND($AH195,ISNUMBER($AK195)),Constants!$B$20*(Constants!$B$21-$AK195),0))</f>
        <v/>
      </c>
      <c r="AZ195" s="91" t="str">
        <f aca="false">IF($BD195&lt;&gt;Constants!$B$6,"",IF($AG195,0,Constants!$B$12)+IF($AF195,0,Constants!$B$13)+IF($Y195,0,Constants!$B$14))</f>
        <v/>
      </c>
      <c r="BA195" s="92" t="str">
        <f aca="false">IF($BD195&lt;&gt;Constants!$B$6,"",Constants!$B$16+SUM($AW195:$AZ195))</f>
        <v/>
      </c>
      <c r="BB195" s="91" t="str">
        <f aca="false">IF($BD195&lt;&gt;Constants!$B$6,"",IF($AH195,$AJ195,""))</f>
        <v/>
      </c>
      <c r="BC195" s="93" t="str">
        <f aca="false">IF($BD195&lt;&gt;Constants!$B$6,"",$AX195)</f>
        <v/>
      </c>
      <c r="BD195" s="87" t="str">
        <f aca="false">IF(ISBLANK($C195),"",IF($AL195,Constants!$B$9,IF(COUNTA($E195:$T195)=0,Constants!$B$8,IF(NOT($X195),Constants!$B$7,IF(OR($AM195,$AV195),Constants!$B$10,Constants!$B$6)))))</f>
        <v/>
      </c>
      <c r="BE195" s="87" t="str">
        <f aca="false">IF(ISBLANK($C195),"",IF($BD195&lt;&gt;Constants!$B$6,$BD195,Constants!$B$11))</f>
        <v/>
      </c>
      <c r="BF195" s="91" t="str">
        <f aca="false">IF($BD195&lt;&gt;Constants!$B$6,"",IF($AU195="-&gt;",$BA195,$AR195))</f>
        <v/>
      </c>
      <c r="BG195" s="91" t="str">
        <f aca="false">IF($BD195&lt;&gt;Constants!$B$6,"",IF($W195,0,Constants!$B$15))</f>
        <v/>
      </c>
      <c r="BH195" s="91" t="str">
        <f aca="false">IF(ISBLANK($C195),"",IF($BD195&lt;&gt;Constants!$B$6,$BD195,SUM($BF195:$BG195)))</f>
        <v/>
      </c>
      <c r="BI195" s="87" t="str">
        <f aca="false">IF(ISBLANK($C195),"",IF($BD195&lt;&gt;Constants!$B$6,$BD195,RANK($BH195,$BH$9:$BH$508,1)))</f>
        <v/>
      </c>
      <c r="BJ195" s="91" t="str">
        <f aca="false">IF($BD195&lt;&gt;Constants!$B$6,"",IF($AU195="-&gt;",$BB195,$AS195))</f>
        <v/>
      </c>
      <c r="BK195" s="87" t="str">
        <f aca="false">IF(ISBLANK($C195),"",IF($BD195&lt;&gt;Constants!$B$6,$BD195,IF(ISNUMBER($BJ195),RANK($BJ195,$BJ$9:$BJ$508,1),COUNT($BJ$9:$BJ$508)+1)))</f>
        <v/>
      </c>
      <c r="BL195" s="91" t="str">
        <f aca="false">IF($BD195&lt;&gt;Constants!$B$6,"",IF($AU195="-&gt;",$BC195,$AT195))</f>
        <v/>
      </c>
      <c r="BM195" s="87" t="str">
        <f aca="false">IF(ISBLANK($C195),"",IF($BD195&lt;&gt;Constants!$B$6,$BD195,IF(ISNUMBER($BL195),RANK($BL195,$BL$9:$BL$508,1),COUNT($BL$9:$BL$508)+1)))</f>
        <v/>
      </c>
      <c r="BN195" s="91" t="str">
        <f aca="false">IF($BD195&lt;&gt;Constants!$B$6,"",IF($AU195="-&gt;",$AS195,$BB195))</f>
        <v/>
      </c>
      <c r="BO195" s="87" t="str">
        <f aca="false">IF(ISBLANK($C195),"",IF($BD195&lt;&gt;Constants!$B$6,$BD195,IF(ISNUMBER($BN195),RANK($BN195,$BN$9:$BN$508,1),COUNT($BN$9:$BN$508)+1)))</f>
        <v/>
      </c>
      <c r="BP195" s="91" t="str">
        <f aca="false">IF($BD195&lt;&gt;Constants!$B$6,"",IF($AU195="-&gt;",$AT195,$BC195))</f>
        <v/>
      </c>
      <c r="BQ195" s="87" t="str">
        <f aca="false">IF(ISBLANK($C195),"",IF($BD195&lt;&gt;Constants!$B$6,$BD195,IF(ISNUMBER($BP195),RANK($BP195,$BP$9:$BP$508,1),COUNT($BP$9:$BP$508)+1)))</f>
        <v/>
      </c>
      <c r="BR195" s="87" t="str">
        <f aca="false">IF(ISBLANK($C195),"",IF($BD195&lt;&gt;Constants!$B$6,$BD195,COUNTIFS($BI$9:$BI$508,"&lt;"&amp;$BI195)+COUNTIFS($BI$9:$BI$508,$BI195,$BK$9:$BK$508,"&lt;"&amp;$BK195)+COUNTIFS($BI$9:$BI$508,$BI195,$BK$9:$BK$508,$BK195,$BM$9:$BM$508,"&lt;"&amp;$BM195)+COUNTIFS($BI$9:$BI$508,$BI195,$BK$9:$BK$508,$BK195,$BM$9:$BM$508,$BM195,$BO$9:$BO$508,"&lt;"&amp;$BO195)+COUNTIFS($BI$9:$BI$508,$BI195,$BK$9:$BK$508,$BK195,$BM$9:$BM$508,$BM195,$BO$9:$BO$508,$BO195,$BQ$9:$BQ$508,"&lt;"&amp;$BQ195)+1))</f>
        <v/>
      </c>
      <c r="BS195" s="87" t="str">
        <f aca="false">IF(ISBLANK($C195),"",IF($BD195&lt;&gt;Constants!$B$6,$BD195,$BI195-$BR195))</f>
        <v/>
      </c>
      <c r="BT195" s="94"/>
      <c r="BU195" s="95"/>
      <c r="BV195" s="95" t="str">
        <f aca="false">IF(ISBLANK($C195),"",IF($BD195&lt;&gt;Constants!$B$6,"",IF($AU195="-&gt;",2,1)))</f>
        <v/>
      </c>
      <c r="BW195" s="96" t="str">
        <f aca="false">IF(ISBLANK($C195),"",IF($BD195&lt;&gt;Constants!$B$6,"",IF($AU195="-&gt;",$AW195,$AN195)))</f>
        <v/>
      </c>
      <c r="BX195" s="96" t="str">
        <f aca="false">IF(ISBLANK($C195),"",IF($BD195&lt;&gt;Constants!$B$6,"",IF($AU195="-&gt;",$AX195,$AO195)))</f>
        <v/>
      </c>
      <c r="BY195" s="96" t="str">
        <f aca="false">IF(ISBLANK($C195),"",IF($BD195&lt;&gt;Constants!$B$6,"",IF($AU195="-&gt;",$AY195,$AP195)))</f>
        <v/>
      </c>
      <c r="BZ195" s="96" t="str">
        <f aca="false">IF(ISBLANK($C195),"",IF($BD195&lt;&gt;Constants!$B$6,"",IF($AU195="-&gt;",$AZ195,$AQ195)+$BG195))</f>
        <v/>
      </c>
      <c r="CA195" s="97" t="str">
        <f aca="false">IF(ISBLANK($C195),"",IF($BD195&lt;&gt;Constants!$B$6,$BD195,$BH195))</f>
        <v/>
      </c>
      <c r="CB195" s="98" t="str">
        <f aca="false">IF(ISBLANK($C195),"",$BE195)</f>
        <v/>
      </c>
      <c r="CC195" s="99" t="str">
        <f aca="false">IF(ISBLANK($C195),"",$BS195)</f>
        <v/>
      </c>
      <c r="CD195" s="99" t="str">
        <f aca="false">IF(ISBLANK($C195),"",$BR195)</f>
        <v/>
      </c>
      <c r="CE195" s="100" t="str">
        <f aca="false">IF(ISBLANK($C195),"",IF($CD195=Constants!$B$9,COUNTA($C$9:$C$508)+2,IF($CD195=Constants!$B$8,COUNTA($C$9:$C$508)+1,IF($CD195=Constants!$B$7,COUNTA($C$9:$C$508),$CD195))))</f>
        <v/>
      </c>
      <c r="CF195" s="9"/>
      <c r="CG195" s="101" t="n">
        <f aca="false">IF(OR(ISNUMBER($CD195),$CD195=Constants!$B$9,$CD195=Constants!$B$7,$CD195=Constants!$B$8),1,0)</f>
        <v>0</v>
      </c>
      <c r="CH195" s="101" t="n">
        <v>187</v>
      </c>
      <c r="CI195" s="101" t="str">
        <f aca="false">IF(ISBLANK($C195),"",IF(ISNUMBER($CE195),$CE195+ROW($B195)/1000,""))</f>
        <v/>
      </c>
      <c r="CJ195" s="101" t="str">
        <f aca="false">IF(ISNUMBER($CI195),RANK($CI195,$CI$9:$CI$508,1),"")</f>
        <v/>
      </c>
      <c r="CK195" s="101" t="str">
        <f aca="false">IF(ISBLANK($C195),"",$B195)</f>
        <v/>
      </c>
      <c r="CL195" s="101" t="str">
        <f aca="false">IF(ISBLANK($C195),"",$C195)</f>
        <v/>
      </c>
      <c r="CM195" s="101" t="str">
        <f aca="false">IF(ISBLANK($C195),"",$D195)</f>
        <v/>
      </c>
      <c r="CN195" s="102" t="str">
        <f aca="false">$CB195</f>
        <v/>
      </c>
      <c r="CO195" s="103" t="str">
        <f aca="false">$CA195</f>
        <v/>
      </c>
      <c r="CP195" s="101" t="str">
        <f aca="false">IF(ISBLANK($C195),"",$CD195)</f>
        <v/>
      </c>
      <c r="CQ195" s="104" t="str">
        <f aca="false">IF($CH195&gt;$CG$8,"",VLOOKUP($CH195,$CJ$9:$CP$508,7,FALSE()))</f>
        <v/>
      </c>
      <c r="CR195" s="105" t="str">
        <f aca="false">IF($CH195&gt;$CG$8,"",VLOOKUP($CH195,$CJ$9:$CP$508,2,FALSE()))</f>
        <v/>
      </c>
      <c r="CS195" s="105" t="str">
        <f aca="false">IF($CH195&gt;$CG$8,"",VLOOKUP($CH195,$CJ$9:$CP$508,3,FALSE()))</f>
        <v/>
      </c>
      <c r="CT195" s="105" t="str">
        <f aca="false">IF($CH195&gt;$CG$8,"",VLOOKUP($CH195,$CJ$9:$CP$508,4,FALSE()))</f>
        <v/>
      </c>
      <c r="CU195" s="105" t="str">
        <f aca="false">IF($CH195&gt;$CG$8,"",VLOOKUP($CH195,$CJ$9:$CP$508,5,FALSE()))</f>
        <v/>
      </c>
      <c r="CV195" s="106" t="str">
        <f aca="false">IF($CH195&gt;$CG$8,"",VLOOKUP($CH195,$CJ$9:$CP$508,6,FALSE()))</f>
        <v/>
      </c>
      <c r="CW195" s="71"/>
    </row>
    <row r="196" customFormat="false" ht="15.75" hidden="false" customHeight="false" outlineLevel="0" collapsed="false">
      <c r="A196" s="9"/>
      <c r="B196" s="72"/>
      <c r="C196" s="73"/>
      <c r="D196" s="160"/>
      <c r="E196" s="168"/>
      <c r="F196" s="162"/>
      <c r="G196" s="163"/>
      <c r="H196" s="169"/>
      <c r="I196" s="167"/>
      <c r="J196" s="80"/>
      <c r="K196" s="81"/>
      <c r="L196" s="82"/>
      <c r="M196" s="166"/>
      <c r="N196" s="167"/>
      <c r="O196" s="167"/>
      <c r="P196" s="80"/>
      <c r="Q196" s="82"/>
      <c r="R196" s="82"/>
      <c r="S196" s="166"/>
      <c r="T196" s="167"/>
      <c r="U196" s="86"/>
      <c r="V196" s="87"/>
      <c r="W196" s="87" t="str">
        <f aca="false">IF(ISBLANK($C196),"",IF(E196=Constants!$B$2,TRUE(),IF(E196=Constants!$B$3,FALSE(),TRUE())))</f>
        <v/>
      </c>
      <c r="X196" s="87" t="str">
        <f aca="false">IF(ISBLANK($C196),"",IF(F196=Constants!$B$2,TRUE(),IF(F196=Constants!$B$3,FALSE(),TRUE())))</f>
        <v/>
      </c>
      <c r="Y196" s="87" t="str">
        <f aca="false">IF(ISBLANK($C196),"",IF(G196=Constants!$B$2,TRUE(),IF(G196=Constants!$B$3,FALSE(),TRUE())))</f>
        <v/>
      </c>
      <c r="Z196" s="87" t="str">
        <f aca="false">IF(ISBLANK($C196),"",IF(H196=Constants!$B$2,TRUE(),IF(H196=Constants!$B$3,FALSE(),TRUE())))</f>
        <v/>
      </c>
      <c r="AA196" s="87" t="str">
        <f aca="false">IF(ISBLANK($C196),"",IF(I196=Constants!$B$2,TRUE(),IF(I196=Constants!$B$3,FALSE(),TRUE())))</f>
        <v/>
      </c>
      <c r="AB196" s="87" t="str">
        <f aca="false">IF(ISBLANK($C196),"",IF(J196=Constants!$B$4,TRUE(),IF(J196=Constants!$B$5,FALSE(),COUNTA(K196:M196)&gt;0)))</f>
        <v/>
      </c>
      <c r="AC196" s="88" t="str">
        <f aca="false">IF(ISBLANK($C196),"",IF(ISNUMBER(K196),IF(K196&gt;=0,K196,""),""))</f>
        <v/>
      </c>
      <c r="AD196" s="89" t="str">
        <f aca="false">IF(ISBLANK($C196),"",IF(ISNUMBER(L196),IF(L196&gt;=0,L196,""),""))</f>
        <v/>
      </c>
      <c r="AE196" s="87" t="str">
        <f aca="false">IF(ISBLANK($C196),"",IF(ISNUMBER(M196),IF(M196&gt;=0,MIN(M196,Constants!$B$22),""),""))</f>
        <v/>
      </c>
      <c r="AF196" s="87" t="str">
        <f aca="false">IF(ISBLANK($C196),"",IF(N196=Constants!$B$2,TRUE(),IF(N196=Constants!$B$3,FALSE(),TRUE())))</f>
        <v/>
      </c>
      <c r="AG196" s="87" t="str">
        <f aca="false">IF(ISBLANK($C196),"",IF(O196=Constants!$B$2,TRUE(),IF(O196=Constants!$B$3,FALSE(),TRUE())))</f>
        <v/>
      </c>
      <c r="AH196" s="87" t="str">
        <f aca="false">IF(ISBLANK($C196),"",IF(P196=Constants!$B$4,TRUE(),IF(P196=Constants!$B$5,FALSE(),COUNTA(Q196:S196)&gt;0)))</f>
        <v/>
      </c>
      <c r="AI196" s="88" t="str">
        <f aca="false">IF(ISBLANK($C196),"",IF(ISNUMBER(Q196),IF(Q196&gt;=0,Q196,""),""))</f>
        <v/>
      </c>
      <c r="AJ196" s="89" t="str">
        <f aca="false">IF(ISBLANK($C196),"",IF(ISNUMBER(R196),IF(R196&gt;=0,R196,""),""))</f>
        <v/>
      </c>
      <c r="AK196" s="87" t="str">
        <f aca="false">IF(ISBLANK($C196),"",IF(ISNUMBER(S196),IF(S196&gt;=0,MIN(S196,Constants!$B$22),""),""))</f>
        <v/>
      </c>
      <c r="AL196" s="87" t="str">
        <f aca="false">IF(ISBLANK($C196),"",IF(T196=Constants!$B$2,TRUE(),IF(T196=Constants!$B$3,FALSE(),FALSE())))</f>
        <v/>
      </c>
      <c r="AM196" s="86" t="str">
        <f aca="false">IF(ISBLANK($C196),"",AND($AB196,OR($AC196="",$AD196="",AND(NOT(ISBLANK($M196)),$AE196=""))))</f>
        <v/>
      </c>
      <c r="AN196" s="89" t="str">
        <f aca="false">IF($BD196&lt;&gt;Constants!$B$6,"",IF($AB196,Constants!$B$17*$AD196,Constants!$B$18))</f>
        <v/>
      </c>
      <c r="AO196" s="91" t="str">
        <f aca="false">IF($BD196&lt;&gt;Constants!$B$6,"",Constants!$B$19*IF($AB196,$AC196,0))</f>
        <v/>
      </c>
      <c r="AP196" s="91" t="str">
        <f aca="false">IF($BD196&lt;&gt;Constants!$B$6,"",IF(AND($AB196,ISNUMBER($AE196)),Constants!$B$20*(Constants!$B$21-$AE196),0))</f>
        <v/>
      </c>
      <c r="AQ196" s="91" t="str">
        <f aca="false">IF($BD196&lt;&gt;Constants!$B$6,"",IF($AA196,0,Constants!$B$12)+IF($Z196,0,Constants!$B$13)+IF($Y196,0,Constants!$B$14))</f>
        <v/>
      </c>
      <c r="AR196" s="92" t="str">
        <f aca="false">IF($BD196&lt;&gt;Constants!$B$6,"",Constants!$B$16+SUM($AN196:$AQ196))</f>
        <v/>
      </c>
      <c r="AS196" s="91" t="str">
        <f aca="false">IF($BD196&lt;&gt;Constants!$B$6,"",IF($AB196,$AD196,""))</f>
        <v/>
      </c>
      <c r="AT196" s="93" t="str">
        <f aca="false">IF($BD196&lt;&gt;Constants!$B$6,"",$AO196)</f>
        <v/>
      </c>
      <c r="AU196" s="87" t="str">
        <f aca="false">IF($BD196&lt;&gt;Constants!$B$6,"",IF(OR($BA196&lt;$AR196,AND($BA196=$AR196,OR(AND(ISNUMBER($BB196),OR(NOT(ISNUMBER($AS196)),$BB196&lt;$AS196)),AND(OR(AND($BB196="",$AS196=""),AND(ISNUMBER($BB196),ISNUMBER($AS196),$BB196=$AS196)),$BC196&lt;$AT196)))),"-&gt;","&lt;-"))</f>
        <v/>
      </c>
      <c r="AV196" s="86" t="str">
        <f aca="false">IF(ISBLANK($C196),"",AND($AH196,OR($AI196="",$AJ196="",AND(NOT(ISBLANK($S196)),$AK196=""))))</f>
        <v/>
      </c>
      <c r="AW196" s="89" t="str">
        <f aca="false">IF($BD196&lt;&gt;Constants!$B$6,"",IF($AH196,Constants!$B$17*$AJ196,Constants!$B$18))</f>
        <v/>
      </c>
      <c r="AX196" s="91" t="str">
        <f aca="false">IF($BD196&lt;&gt;Constants!$B$6,"",Constants!$B$19*IF($AH196,$AI196,0))</f>
        <v/>
      </c>
      <c r="AY196" s="91" t="str">
        <f aca="false">IF($BD196&lt;&gt;Constants!$B$6,"",IF(AND($AH196,ISNUMBER($AK196)),Constants!$B$20*(Constants!$B$21-$AK196),0))</f>
        <v/>
      </c>
      <c r="AZ196" s="91" t="str">
        <f aca="false">IF($BD196&lt;&gt;Constants!$B$6,"",IF($AG196,0,Constants!$B$12)+IF($AF196,0,Constants!$B$13)+IF($Y196,0,Constants!$B$14))</f>
        <v/>
      </c>
      <c r="BA196" s="92" t="str">
        <f aca="false">IF($BD196&lt;&gt;Constants!$B$6,"",Constants!$B$16+SUM($AW196:$AZ196))</f>
        <v/>
      </c>
      <c r="BB196" s="91" t="str">
        <f aca="false">IF($BD196&lt;&gt;Constants!$B$6,"",IF($AH196,$AJ196,""))</f>
        <v/>
      </c>
      <c r="BC196" s="93" t="str">
        <f aca="false">IF($BD196&lt;&gt;Constants!$B$6,"",$AX196)</f>
        <v/>
      </c>
      <c r="BD196" s="87" t="str">
        <f aca="false">IF(ISBLANK($C196),"",IF($AL196,Constants!$B$9,IF(COUNTA($E196:$T196)=0,Constants!$B$8,IF(NOT($X196),Constants!$B$7,IF(OR($AM196,$AV196),Constants!$B$10,Constants!$B$6)))))</f>
        <v/>
      </c>
      <c r="BE196" s="87" t="str">
        <f aca="false">IF(ISBLANK($C196),"",IF($BD196&lt;&gt;Constants!$B$6,$BD196,Constants!$B$11))</f>
        <v/>
      </c>
      <c r="BF196" s="91" t="str">
        <f aca="false">IF($BD196&lt;&gt;Constants!$B$6,"",IF($AU196="-&gt;",$BA196,$AR196))</f>
        <v/>
      </c>
      <c r="BG196" s="91" t="str">
        <f aca="false">IF($BD196&lt;&gt;Constants!$B$6,"",IF($W196,0,Constants!$B$15))</f>
        <v/>
      </c>
      <c r="BH196" s="91" t="str">
        <f aca="false">IF(ISBLANK($C196),"",IF($BD196&lt;&gt;Constants!$B$6,$BD196,SUM($BF196:$BG196)))</f>
        <v/>
      </c>
      <c r="BI196" s="87" t="str">
        <f aca="false">IF(ISBLANK($C196),"",IF($BD196&lt;&gt;Constants!$B$6,$BD196,RANK($BH196,$BH$9:$BH$508,1)))</f>
        <v/>
      </c>
      <c r="BJ196" s="91" t="str">
        <f aca="false">IF($BD196&lt;&gt;Constants!$B$6,"",IF($AU196="-&gt;",$BB196,$AS196))</f>
        <v/>
      </c>
      <c r="BK196" s="87" t="str">
        <f aca="false">IF(ISBLANK($C196),"",IF($BD196&lt;&gt;Constants!$B$6,$BD196,IF(ISNUMBER($BJ196),RANK($BJ196,$BJ$9:$BJ$508,1),COUNT($BJ$9:$BJ$508)+1)))</f>
        <v/>
      </c>
      <c r="BL196" s="91" t="str">
        <f aca="false">IF($BD196&lt;&gt;Constants!$B$6,"",IF($AU196="-&gt;",$BC196,$AT196))</f>
        <v/>
      </c>
      <c r="BM196" s="87" t="str">
        <f aca="false">IF(ISBLANK($C196),"",IF($BD196&lt;&gt;Constants!$B$6,$BD196,IF(ISNUMBER($BL196),RANK($BL196,$BL$9:$BL$508,1),COUNT($BL$9:$BL$508)+1)))</f>
        <v/>
      </c>
      <c r="BN196" s="91" t="str">
        <f aca="false">IF($BD196&lt;&gt;Constants!$B$6,"",IF($AU196="-&gt;",$AS196,$BB196))</f>
        <v/>
      </c>
      <c r="BO196" s="87" t="str">
        <f aca="false">IF(ISBLANK($C196),"",IF($BD196&lt;&gt;Constants!$B$6,$BD196,IF(ISNUMBER($BN196),RANK($BN196,$BN$9:$BN$508,1),COUNT($BN$9:$BN$508)+1)))</f>
        <v/>
      </c>
      <c r="BP196" s="91" t="str">
        <f aca="false">IF($BD196&lt;&gt;Constants!$B$6,"",IF($AU196="-&gt;",$AT196,$BC196))</f>
        <v/>
      </c>
      <c r="BQ196" s="87" t="str">
        <f aca="false">IF(ISBLANK($C196),"",IF($BD196&lt;&gt;Constants!$B$6,$BD196,IF(ISNUMBER($BP196),RANK($BP196,$BP$9:$BP$508,1),COUNT($BP$9:$BP$508)+1)))</f>
        <v/>
      </c>
      <c r="BR196" s="87" t="str">
        <f aca="false">IF(ISBLANK($C196),"",IF($BD196&lt;&gt;Constants!$B$6,$BD196,COUNTIFS($BI$9:$BI$508,"&lt;"&amp;$BI196)+COUNTIFS($BI$9:$BI$508,$BI196,$BK$9:$BK$508,"&lt;"&amp;$BK196)+COUNTIFS($BI$9:$BI$508,$BI196,$BK$9:$BK$508,$BK196,$BM$9:$BM$508,"&lt;"&amp;$BM196)+COUNTIFS($BI$9:$BI$508,$BI196,$BK$9:$BK$508,$BK196,$BM$9:$BM$508,$BM196,$BO$9:$BO$508,"&lt;"&amp;$BO196)+COUNTIFS($BI$9:$BI$508,$BI196,$BK$9:$BK$508,$BK196,$BM$9:$BM$508,$BM196,$BO$9:$BO$508,$BO196,$BQ$9:$BQ$508,"&lt;"&amp;$BQ196)+1))</f>
        <v/>
      </c>
      <c r="BS196" s="87" t="str">
        <f aca="false">IF(ISBLANK($C196),"",IF($BD196&lt;&gt;Constants!$B$6,$BD196,$BI196-$BR196))</f>
        <v/>
      </c>
      <c r="BT196" s="94"/>
      <c r="BU196" s="95"/>
      <c r="BV196" s="95" t="str">
        <f aca="false">IF(ISBLANK($C196),"",IF($BD196&lt;&gt;Constants!$B$6,"",IF($AU196="-&gt;",2,1)))</f>
        <v/>
      </c>
      <c r="BW196" s="96" t="str">
        <f aca="false">IF(ISBLANK($C196),"",IF($BD196&lt;&gt;Constants!$B$6,"",IF($AU196="-&gt;",$AW196,$AN196)))</f>
        <v/>
      </c>
      <c r="BX196" s="96" t="str">
        <f aca="false">IF(ISBLANK($C196),"",IF($BD196&lt;&gt;Constants!$B$6,"",IF($AU196="-&gt;",$AX196,$AO196)))</f>
        <v/>
      </c>
      <c r="BY196" s="96" t="str">
        <f aca="false">IF(ISBLANK($C196),"",IF($BD196&lt;&gt;Constants!$B$6,"",IF($AU196="-&gt;",$AY196,$AP196)))</f>
        <v/>
      </c>
      <c r="BZ196" s="96" t="str">
        <f aca="false">IF(ISBLANK($C196),"",IF($BD196&lt;&gt;Constants!$B$6,"",IF($AU196="-&gt;",$AZ196,$AQ196)+$BG196))</f>
        <v/>
      </c>
      <c r="CA196" s="97" t="str">
        <f aca="false">IF(ISBLANK($C196),"",IF($BD196&lt;&gt;Constants!$B$6,$BD196,$BH196))</f>
        <v/>
      </c>
      <c r="CB196" s="98" t="str">
        <f aca="false">IF(ISBLANK($C196),"",$BE196)</f>
        <v/>
      </c>
      <c r="CC196" s="99" t="str">
        <f aca="false">IF(ISBLANK($C196),"",$BS196)</f>
        <v/>
      </c>
      <c r="CD196" s="99" t="str">
        <f aca="false">IF(ISBLANK($C196),"",$BR196)</f>
        <v/>
      </c>
      <c r="CE196" s="100" t="str">
        <f aca="false">IF(ISBLANK($C196),"",IF($CD196=Constants!$B$9,COUNTA($C$9:$C$508)+2,IF($CD196=Constants!$B$8,COUNTA($C$9:$C$508)+1,IF($CD196=Constants!$B$7,COUNTA($C$9:$C$508),$CD196))))</f>
        <v/>
      </c>
      <c r="CF196" s="9"/>
      <c r="CG196" s="101" t="n">
        <f aca="false">IF(OR(ISNUMBER($CD196),$CD196=Constants!$B$9,$CD196=Constants!$B$7,$CD196=Constants!$B$8),1,0)</f>
        <v>0</v>
      </c>
      <c r="CH196" s="101" t="n">
        <v>188</v>
      </c>
      <c r="CI196" s="101" t="str">
        <f aca="false">IF(ISBLANK($C196),"",IF(ISNUMBER($CE196),$CE196+ROW($B196)/1000,""))</f>
        <v/>
      </c>
      <c r="CJ196" s="101" t="str">
        <f aca="false">IF(ISNUMBER($CI196),RANK($CI196,$CI$9:$CI$508,1),"")</f>
        <v/>
      </c>
      <c r="CK196" s="101" t="str">
        <f aca="false">IF(ISBLANK($C196),"",$B196)</f>
        <v/>
      </c>
      <c r="CL196" s="101" t="str">
        <f aca="false">IF(ISBLANK($C196),"",$C196)</f>
        <v/>
      </c>
      <c r="CM196" s="101" t="str">
        <f aca="false">IF(ISBLANK($C196),"",$D196)</f>
        <v/>
      </c>
      <c r="CN196" s="102" t="str">
        <f aca="false">$CB196</f>
        <v/>
      </c>
      <c r="CO196" s="103" t="str">
        <f aca="false">$CA196</f>
        <v/>
      </c>
      <c r="CP196" s="101" t="str">
        <f aca="false">IF(ISBLANK($C196),"",$CD196)</f>
        <v/>
      </c>
      <c r="CQ196" s="104" t="str">
        <f aca="false">IF($CH196&gt;$CG$8,"",VLOOKUP($CH196,$CJ$9:$CP$508,7,FALSE()))</f>
        <v/>
      </c>
      <c r="CR196" s="105" t="str">
        <f aca="false">IF($CH196&gt;$CG$8,"",VLOOKUP($CH196,$CJ$9:$CP$508,2,FALSE()))</f>
        <v/>
      </c>
      <c r="CS196" s="105" t="str">
        <f aca="false">IF($CH196&gt;$CG$8,"",VLOOKUP($CH196,$CJ$9:$CP$508,3,FALSE()))</f>
        <v/>
      </c>
      <c r="CT196" s="105" t="str">
        <f aca="false">IF($CH196&gt;$CG$8,"",VLOOKUP($CH196,$CJ$9:$CP$508,4,FALSE()))</f>
        <v/>
      </c>
      <c r="CU196" s="105" t="str">
        <f aca="false">IF($CH196&gt;$CG$8,"",VLOOKUP($CH196,$CJ$9:$CP$508,5,FALSE()))</f>
        <v/>
      </c>
      <c r="CV196" s="106" t="str">
        <f aca="false">IF($CH196&gt;$CG$8,"",VLOOKUP($CH196,$CJ$9:$CP$508,6,FALSE()))</f>
        <v/>
      </c>
      <c r="CW196" s="71"/>
    </row>
    <row r="197" customFormat="false" ht="15.75" hidden="false" customHeight="false" outlineLevel="0" collapsed="false">
      <c r="A197" s="9"/>
      <c r="B197" s="72"/>
      <c r="C197" s="73"/>
      <c r="D197" s="160"/>
      <c r="E197" s="168"/>
      <c r="F197" s="162"/>
      <c r="G197" s="163"/>
      <c r="H197" s="169"/>
      <c r="I197" s="167"/>
      <c r="J197" s="80"/>
      <c r="K197" s="81"/>
      <c r="L197" s="82"/>
      <c r="M197" s="166"/>
      <c r="N197" s="167"/>
      <c r="O197" s="167"/>
      <c r="P197" s="80"/>
      <c r="Q197" s="82"/>
      <c r="R197" s="82"/>
      <c r="S197" s="166"/>
      <c r="T197" s="167"/>
      <c r="U197" s="86"/>
      <c r="V197" s="87"/>
      <c r="W197" s="87" t="str">
        <f aca="false">IF(ISBLANK($C197),"",IF(E197=Constants!$B$2,TRUE(),IF(E197=Constants!$B$3,FALSE(),TRUE())))</f>
        <v/>
      </c>
      <c r="X197" s="87" t="str">
        <f aca="false">IF(ISBLANK($C197),"",IF(F197=Constants!$B$2,TRUE(),IF(F197=Constants!$B$3,FALSE(),TRUE())))</f>
        <v/>
      </c>
      <c r="Y197" s="87" t="str">
        <f aca="false">IF(ISBLANK($C197),"",IF(G197=Constants!$B$2,TRUE(),IF(G197=Constants!$B$3,FALSE(),TRUE())))</f>
        <v/>
      </c>
      <c r="Z197" s="87" t="str">
        <f aca="false">IF(ISBLANK($C197),"",IF(H197=Constants!$B$2,TRUE(),IF(H197=Constants!$B$3,FALSE(),TRUE())))</f>
        <v/>
      </c>
      <c r="AA197" s="87" t="str">
        <f aca="false">IF(ISBLANK($C197),"",IF(I197=Constants!$B$2,TRUE(),IF(I197=Constants!$B$3,FALSE(),TRUE())))</f>
        <v/>
      </c>
      <c r="AB197" s="87" t="str">
        <f aca="false">IF(ISBLANK($C197),"",IF(J197=Constants!$B$4,TRUE(),IF(J197=Constants!$B$5,FALSE(),COUNTA(K197:M197)&gt;0)))</f>
        <v/>
      </c>
      <c r="AC197" s="88" t="str">
        <f aca="false">IF(ISBLANK($C197),"",IF(ISNUMBER(K197),IF(K197&gt;=0,K197,""),""))</f>
        <v/>
      </c>
      <c r="AD197" s="89" t="str">
        <f aca="false">IF(ISBLANK($C197),"",IF(ISNUMBER(L197),IF(L197&gt;=0,L197,""),""))</f>
        <v/>
      </c>
      <c r="AE197" s="87" t="str">
        <f aca="false">IF(ISBLANK($C197),"",IF(ISNUMBER(M197),IF(M197&gt;=0,MIN(M197,Constants!$B$22),""),""))</f>
        <v/>
      </c>
      <c r="AF197" s="87" t="str">
        <f aca="false">IF(ISBLANK($C197),"",IF(N197=Constants!$B$2,TRUE(),IF(N197=Constants!$B$3,FALSE(),TRUE())))</f>
        <v/>
      </c>
      <c r="AG197" s="87" t="str">
        <f aca="false">IF(ISBLANK($C197),"",IF(O197=Constants!$B$2,TRUE(),IF(O197=Constants!$B$3,FALSE(),TRUE())))</f>
        <v/>
      </c>
      <c r="AH197" s="87" t="str">
        <f aca="false">IF(ISBLANK($C197),"",IF(P197=Constants!$B$4,TRUE(),IF(P197=Constants!$B$5,FALSE(),COUNTA(Q197:S197)&gt;0)))</f>
        <v/>
      </c>
      <c r="AI197" s="88" t="str">
        <f aca="false">IF(ISBLANK($C197),"",IF(ISNUMBER(Q197),IF(Q197&gt;=0,Q197,""),""))</f>
        <v/>
      </c>
      <c r="AJ197" s="89" t="str">
        <f aca="false">IF(ISBLANK($C197),"",IF(ISNUMBER(R197),IF(R197&gt;=0,R197,""),""))</f>
        <v/>
      </c>
      <c r="AK197" s="87" t="str">
        <f aca="false">IF(ISBLANK($C197),"",IF(ISNUMBER(S197),IF(S197&gt;=0,MIN(S197,Constants!$B$22),""),""))</f>
        <v/>
      </c>
      <c r="AL197" s="87" t="str">
        <f aca="false">IF(ISBLANK($C197),"",IF(T197=Constants!$B$2,TRUE(),IF(T197=Constants!$B$3,FALSE(),FALSE())))</f>
        <v/>
      </c>
      <c r="AM197" s="86" t="str">
        <f aca="false">IF(ISBLANK($C197),"",AND($AB197,OR($AC197="",$AD197="",AND(NOT(ISBLANK($M197)),$AE197=""))))</f>
        <v/>
      </c>
      <c r="AN197" s="89" t="str">
        <f aca="false">IF($BD197&lt;&gt;Constants!$B$6,"",IF($AB197,Constants!$B$17*$AD197,Constants!$B$18))</f>
        <v/>
      </c>
      <c r="AO197" s="91" t="str">
        <f aca="false">IF($BD197&lt;&gt;Constants!$B$6,"",Constants!$B$19*IF($AB197,$AC197,0))</f>
        <v/>
      </c>
      <c r="AP197" s="91" t="str">
        <f aca="false">IF($BD197&lt;&gt;Constants!$B$6,"",IF(AND($AB197,ISNUMBER($AE197)),Constants!$B$20*(Constants!$B$21-$AE197),0))</f>
        <v/>
      </c>
      <c r="AQ197" s="91" t="str">
        <f aca="false">IF($BD197&lt;&gt;Constants!$B$6,"",IF($AA197,0,Constants!$B$12)+IF($Z197,0,Constants!$B$13)+IF($Y197,0,Constants!$B$14))</f>
        <v/>
      </c>
      <c r="AR197" s="92" t="str">
        <f aca="false">IF($BD197&lt;&gt;Constants!$B$6,"",Constants!$B$16+SUM($AN197:$AQ197))</f>
        <v/>
      </c>
      <c r="AS197" s="91" t="str">
        <f aca="false">IF($BD197&lt;&gt;Constants!$B$6,"",IF($AB197,$AD197,""))</f>
        <v/>
      </c>
      <c r="AT197" s="93" t="str">
        <f aca="false">IF($BD197&lt;&gt;Constants!$B$6,"",$AO197)</f>
        <v/>
      </c>
      <c r="AU197" s="87" t="str">
        <f aca="false">IF($BD197&lt;&gt;Constants!$B$6,"",IF(OR($BA197&lt;$AR197,AND($BA197=$AR197,OR(AND(ISNUMBER($BB197),OR(NOT(ISNUMBER($AS197)),$BB197&lt;$AS197)),AND(OR(AND($BB197="",$AS197=""),AND(ISNUMBER($BB197),ISNUMBER($AS197),$BB197=$AS197)),$BC197&lt;$AT197)))),"-&gt;","&lt;-"))</f>
        <v/>
      </c>
      <c r="AV197" s="86" t="str">
        <f aca="false">IF(ISBLANK($C197),"",AND($AH197,OR($AI197="",$AJ197="",AND(NOT(ISBLANK($S197)),$AK197=""))))</f>
        <v/>
      </c>
      <c r="AW197" s="89" t="str">
        <f aca="false">IF($BD197&lt;&gt;Constants!$B$6,"",IF($AH197,Constants!$B$17*$AJ197,Constants!$B$18))</f>
        <v/>
      </c>
      <c r="AX197" s="91" t="str">
        <f aca="false">IF($BD197&lt;&gt;Constants!$B$6,"",Constants!$B$19*IF($AH197,$AI197,0))</f>
        <v/>
      </c>
      <c r="AY197" s="91" t="str">
        <f aca="false">IF($BD197&lt;&gt;Constants!$B$6,"",IF(AND($AH197,ISNUMBER($AK197)),Constants!$B$20*(Constants!$B$21-$AK197),0))</f>
        <v/>
      </c>
      <c r="AZ197" s="91" t="str">
        <f aca="false">IF($BD197&lt;&gt;Constants!$B$6,"",IF($AG197,0,Constants!$B$12)+IF($AF197,0,Constants!$B$13)+IF($Y197,0,Constants!$B$14))</f>
        <v/>
      </c>
      <c r="BA197" s="92" t="str">
        <f aca="false">IF($BD197&lt;&gt;Constants!$B$6,"",Constants!$B$16+SUM($AW197:$AZ197))</f>
        <v/>
      </c>
      <c r="BB197" s="91" t="str">
        <f aca="false">IF($BD197&lt;&gt;Constants!$B$6,"",IF($AH197,$AJ197,""))</f>
        <v/>
      </c>
      <c r="BC197" s="93" t="str">
        <f aca="false">IF($BD197&lt;&gt;Constants!$B$6,"",$AX197)</f>
        <v/>
      </c>
      <c r="BD197" s="87" t="str">
        <f aca="false">IF(ISBLANK($C197),"",IF($AL197,Constants!$B$9,IF(COUNTA($E197:$T197)=0,Constants!$B$8,IF(NOT($X197),Constants!$B$7,IF(OR($AM197,$AV197),Constants!$B$10,Constants!$B$6)))))</f>
        <v/>
      </c>
      <c r="BE197" s="87" t="str">
        <f aca="false">IF(ISBLANK($C197),"",IF($BD197&lt;&gt;Constants!$B$6,$BD197,Constants!$B$11))</f>
        <v/>
      </c>
      <c r="BF197" s="91" t="str">
        <f aca="false">IF($BD197&lt;&gt;Constants!$B$6,"",IF($AU197="-&gt;",$BA197,$AR197))</f>
        <v/>
      </c>
      <c r="BG197" s="91" t="str">
        <f aca="false">IF($BD197&lt;&gt;Constants!$B$6,"",IF($W197,0,Constants!$B$15))</f>
        <v/>
      </c>
      <c r="BH197" s="91" t="str">
        <f aca="false">IF(ISBLANK($C197),"",IF($BD197&lt;&gt;Constants!$B$6,$BD197,SUM($BF197:$BG197)))</f>
        <v/>
      </c>
      <c r="BI197" s="87" t="str">
        <f aca="false">IF(ISBLANK($C197),"",IF($BD197&lt;&gt;Constants!$B$6,$BD197,RANK($BH197,$BH$9:$BH$508,1)))</f>
        <v/>
      </c>
      <c r="BJ197" s="91" t="str">
        <f aca="false">IF($BD197&lt;&gt;Constants!$B$6,"",IF($AU197="-&gt;",$BB197,$AS197))</f>
        <v/>
      </c>
      <c r="BK197" s="87" t="str">
        <f aca="false">IF(ISBLANK($C197),"",IF($BD197&lt;&gt;Constants!$B$6,$BD197,IF(ISNUMBER($BJ197),RANK($BJ197,$BJ$9:$BJ$508,1),COUNT($BJ$9:$BJ$508)+1)))</f>
        <v/>
      </c>
      <c r="BL197" s="91" t="str">
        <f aca="false">IF($BD197&lt;&gt;Constants!$B$6,"",IF($AU197="-&gt;",$BC197,$AT197))</f>
        <v/>
      </c>
      <c r="BM197" s="87" t="str">
        <f aca="false">IF(ISBLANK($C197),"",IF($BD197&lt;&gt;Constants!$B$6,$BD197,IF(ISNUMBER($BL197),RANK($BL197,$BL$9:$BL$508,1),COUNT($BL$9:$BL$508)+1)))</f>
        <v/>
      </c>
      <c r="BN197" s="91" t="str">
        <f aca="false">IF($BD197&lt;&gt;Constants!$B$6,"",IF($AU197="-&gt;",$AS197,$BB197))</f>
        <v/>
      </c>
      <c r="BO197" s="87" t="str">
        <f aca="false">IF(ISBLANK($C197),"",IF($BD197&lt;&gt;Constants!$B$6,$BD197,IF(ISNUMBER($BN197),RANK($BN197,$BN$9:$BN$508,1),COUNT($BN$9:$BN$508)+1)))</f>
        <v/>
      </c>
      <c r="BP197" s="91" t="str">
        <f aca="false">IF($BD197&lt;&gt;Constants!$B$6,"",IF($AU197="-&gt;",$AT197,$BC197))</f>
        <v/>
      </c>
      <c r="BQ197" s="87" t="str">
        <f aca="false">IF(ISBLANK($C197),"",IF($BD197&lt;&gt;Constants!$B$6,$BD197,IF(ISNUMBER($BP197),RANK($BP197,$BP$9:$BP$508,1),COUNT($BP$9:$BP$508)+1)))</f>
        <v/>
      </c>
      <c r="BR197" s="87" t="str">
        <f aca="false">IF(ISBLANK($C197),"",IF($BD197&lt;&gt;Constants!$B$6,$BD197,COUNTIFS($BI$9:$BI$508,"&lt;"&amp;$BI197)+COUNTIFS($BI$9:$BI$508,$BI197,$BK$9:$BK$508,"&lt;"&amp;$BK197)+COUNTIFS($BI$9:$BI$508,$BI197,$BK$9:$BK$508,$BK197,$BM$9:$BM$508,"&lt;"&amp;$BM197)+COUNTIFS($BI$9:$BI$508,$BI197,$BK$9:$BK$508,$BK197,$BM$9:$BM$508,$BM197,$BO$9:$BO$508,"&lt;"&amp;$BO197)+COUNTIFS($BI$9:$BI$508,$BI197,$BK$9:$BK$508,$BK197,$BM$9:$BM$508,$BM197,$BO$9:$BO$508,$BO197,$BQ$9:$BQ$508,"&lt;"&amp;$BQ197)+1))</f>
        <v/>
      </c>
      <c r="BS197" s="87" t="str">
        <f aca="false">IF(ISBLANK($C197),"",IF($BD197&lt;&gt;Constants!$B$6,$BD197,$BI197-$BR197))</f>
        <v/>
      </c>
      <c r="BT197" s="94"/>
      <c r="BU197" s="95"/>
      <c r="BV197" s="95" t="str">
        <f aca="false">IF(ISBLANK($C197),"",IF($BD197&lt;&gt;Constants!$B$6,"",IF($AU197="-&gt;",2,1)))</f>
        <v/>
      </c>
      <c r="BW197" s="96" t="str">
        <f aca="false">IF(ISBLANK($C197),"",IF($BD197&lt;&gt;Constants!$B$6,"",IF($AU197="-&gt;",$AW197,$AN197)))</f>
        <v/>
      </c>
      <c r="BX197" s="96" t="str">
        <f aca="false">IF(ISBLANK($C197),"",IF($BD197&lt;&gt;Constants!$B$6,"",IF($AU197="-&gt;",$AX197,$AO197)))</f>
        <v/>
      </c>
      <c r="BY197" s="96" t="str">
        <f aca="false">IF(ISBLANK($C197),"",IF($BD197&lt;&gt;Constants!$B$6,"",IF($AU197="-&gt;",$AY197,$AP197)))</f>
        <v/>
      </c>
      <c r="BZ197" s="96" t="str">
        <f aca="false">IF(ISBLANK($C197),"",IF($BD197&lt;&gt;Constants!$B$6,"",IF($AU197="-&gt;",$AZ197,$AQ197)+$BG197))</f>
        <v/>
      </c>
      <c r="CA197" s="97" t="str">
        <f aca="false">IF(ISBLANK($C197),"",IF($BD197&lt;&gt;Constants!$B$6,$BD197,$BH197))</f>
        <v/>
      </c>
      <c r="CB197" s="98" t="str">
        <f aca="false">IF(ISBLANK($C197),"",$BE197)</f>
        <v/>
      </c>
      <c r="CC197" s="99" t="str">
        <f aca="false">IF(ISBLANK($C197),"",$BS197)</f>
        <v/>
      </c>
      <c r="CD197" s="99" t="str">
        <f aca="false">IF(ISBLANK($C197),"",$BR197)</f>
        <v/>
      </c>
      <c r="CE197" s="100" t="str">
        <f aca="false">IF(ISBLANK($C197),"",IF($CD197=Constants!$B$9,COUNTA($C$9:$C$508)+2,IF($CD197=Constants!$B$8,COUNTA($C$9:$C$508)+1,IF($CD197=Constants!$B$7,COUNTA($C$9:$C$508),$CD197))))</f>
        <v/>
      </c>
      <c r="CF197" s="9"/>
      <c r="CG197" s="101" t="n">
        <f aca="false">IF(OR(ISNUMBER($CD197),$CD197=Constants!$B$9,$CD197=Constants!$B$7,$CD197=Constants!$B$8),1,0)</f>
        <v>0</v>
      </c>
      <c r="CH197" s="101" t="n">
        <v>189</v>
      </c>
      <c r="CI197" s="101" t="str">
        <f aca="false">IF(ISBLANK($C197),"",IF(ISNUMBER($CE197),$CE197+ROW($B197)/1000,""))</f>
        <v/>
      </c>
      <c r="CJ197" s="101" t="str">
        <f aca="false">IF(ISNUMBER($CI197),RANK($CI197,$CI$9:$CI$508,1),"")</f>
        <v/>
      </c>
      <c r="CK197" s="101" t="str">
        <f aca="false">IF(ISBLANK($C197),"",$B197)</f>
        <v/>
      </c>
      <c r="CL197" s="101" t="str">
        <f aca="false">IF(ISBLANK($C197),"",$C197)</f>
        <v/>
      </c>
      <c r="CM197" s="101" t="str">
        <f aca="false">IF(ISBLANK($C197),"",$D197)</f>
        <v/>
      </c>
      <c r="CN197" s="102" t="str">
        <f aca="false">$CB197</f>
        <v/>
      </c>
      <c r="CO197" s="103" t="str">
        <f aca="false">$CA197</f>
        <v/>
      </c>
      <c r="CP197" s="101" t="str">
        <f aca="false">IF(ISBLANK($C197),"",$CD197)</f>
        <v/>
      </c>
      <c r="CQ197" s="104" t="str">
        <f aca="false">IF($CH197&gt;$CG$8,"",VLOOKUP($CH197,$CJ$9:$CP$508,7,FALSE()))</f>
        <v/>
      </c>
      <c r="CR197" s="105" t="str">
        <f aca="false">IF($CH197&gt;$CG$8,"",VLOOKUP($CH197,$CJ$9:$CP$508,2,FALSE()))</f>
        <v/>
      </c>
      <c r="CS197" s="105" t="str">
        <f aca="false">IF($CH197&gt;$CG$8,"",VLOOKUP($CH197,$CJ$9:$CP$508,3,FALSE()))</f>
        <v/>
      </c>
      <c r="CT197" s="105" t="str">
        <f aca="false">IF($CH197&gt;$CG$8,"",VLOOKUP($CH197,$CJ$9:$CP$508,4,FALSE()))</f>
        <v/>
      </c>
      <c r="CU197" s="105" t="str">
        <f aca="false">IF($CH197&gt;$CG$8,"",VLOOKUP($CH197,$CJ$9:$CP$508,5,FALSE()))</f>
        <v/>
      </c>
      <c r="CV197" s="106" t="str">
        <f aca="false">IF($CH197&gt;$CG$8,"",VLOOKUP($CH197,$CJ$9:$CP$508,6,FALSE()))</f>
        <v/>
      </c>
      <c r="CW197" s="71"/>
    </row>
    <row r="198" customFormat="false" ht="15.75" hidden="false" customHeight="false" outlineLevel="0" collapsed="false">
      <c r="A198" s="9"/>
      <c r="B198" s="150"/>
      <c r="C198" s="151"/>
      <c r="D198" s="152"/>
      <c r="E198" s="170"/>
      <c r="F198" s="154"/>
      <c r="G198" s="155"/>
      <c r="H198" s="171"/>
      <c r="I198" s="159"/>
      <c r="J198" s="120"/>
      <c r="K198" s="121"/>
      <c r="L198" s="122"/>
      <c r="M198" s="158"/>
      <c r="N198" s="159"/>
      <c r="O198" s="159"/>
      <c r="P198" s="120"/>
      <c r="Q198" s="122"/>
      <c r="R198" s="122"/>
      <c r="S198" s="158"/>
      <c r="T198" s="159"/>
      <c r="U198" s="126"/>
      <c r="V198" s="127"/>
      <c r="W198" s="127" t="str">
        <f aca="false">IF(ISBLANK($C198),"",IF(E198=Constants!$B$2,TRUE(),IF(E198=Constants!$B$3,FALSE(),TRUE())))</f>
        <v/>
      </c>
      <c r="X198" s="127" t="str">
        <f aca="false">IF(ISBLANK($C198),"",IF(F198=Constants!$B$2,TRUE(),IF(F198=Constants!$B$3,FALSE(),TRUE())))</f>
        <v/>
      </c>
      <c r="Y198" s="127" t="str">
        <f aca="false">IF(ISBLANK($C198),"",IF(G198=Constants!$B$2,TRUE(),IF(G198=Constants!$B$3,FALSE(),TRUE())))</f>
        <v/>
      </c>
      <c r="Z198" s="127" t="str">
        <f aca="false">IF(ISBLANK($C198),"",IF(H198=Constants!$B$2,TRUE(),IF(H198=Constants!$B$3,FALSE(),TRUE())))</f>
        <v/>
      </c>
      <c r="AA198" s="127" t="str">
        <f aca="false">IF(ISBLANK($C198),"",IF(I198=Constants!$B$2,TRUE(),IF(I198=Constants!$B$3,FALSE(),TRUE())))</f>
        <v/>
      </c>
      <c r="AB198" s="127" t="str">
        <f aca="false">IF(ISBLANK($C198),"",IF(J198=Constants!$B$4,TRUE(),IF(J198=Constants!$B$5,FALSE(),COUNTA(K198:M198)&gt;0)))</f>
        <v/>
      </c>
      <c r="AC198" s="128" t="str">
        <f aca="false">IF(ISBLANK($C198),"",IF(ISNUMBER(K198),IF(K198&gt;=0,K198,""),""))</f>
        <v/>
      </c>
      <c r="AD198" s="129" t="str">
        <f aca="false">IF(ISBLANK($C198),"",IF(ISNUMBER(L198),IF(L198&gt;=0,L198,""),""))</f>
        <v/>
      </c>
      <c r="AE198" s="127" t="str">
        <f aca="false">IF(ISBLANK($C198),"",IF(ISNUMBER(M198),IF(M198&gt;=0,MIN(M198,Constants!$B$22),""),""))</f>
        <v/>
      </c>
      <c r="AF198" s="127" t="str">
        <f aca="false">IF(ISBLANK($C198),"",IF(N198=Constants!$B$2,TRUE(),IF(N198=Constants!$B$3,FALSE(),TRUE())))</f>
        <v/>
      </c>
      <c r="AG198" s="127" t="str">
        <f aca="false">IF(ISBLANK($C198),"",IF(O198=Constants!$B$2,TRUE(),IF(O198=Constants!$B$3,FALSE(),TRUE())))</f>
        <v/>
      </c>
      <c r="AH198" s="127" t="str">
        <f aca="false">IF(ISBLANK($C198),"",IF(P198=Constants!$B$4,TRUE(),IF(P198=Constants!$B$5,FALSE(),COUNTA(Q198:S198)&gt;0)))</f>
        <v/>
      </c>
      <c r="AI198" s="128" t="str">
        <f aca="false">IF(ISBLANK($C198),"",IF(ISNUMBER(Q198),IF(Q198&gt;=0,Q198,""),""))</f>
        <v/>
      </c>
      <c r="AJ198" s="129" t="str">
        <f aca="false">IF(ISBLANK($C198),"",IF(ISNUMBER(R198),IF(R198&gt;=0,R198,""),""))</f>
        <v/>
      </c>
      <c r="AK198" s="127" t="str">
        <f aca="false">IF(ISBLANK($C198),"",IF(ISNUMBER(S198),IF(S198&gt;=0,MIN(S198,Constants!$B$22),""),""))</f>
        <v/>
      </c>
      <c r="AL198" s="127" t="str">
        <f aca="false">IF(ISBLANK($C198),"",IF(T198=Constants!$B$2,TRUE(),IF(T198=Constants!$B$3,FALSE(),FALSE())))</f>
        <v/>
      </c>
      <c r="AM198" s="126" t="str">
        <f aca="false">IF(ISBLANK($C198),"",AND($AB198,OR($AC198="",$AD198="",AND(NOT(ISBLANK($M198)),$AE198=""))))</f>
        <v/>
      </c>
      <c r="AN198" s="129" t="str">
        <f aca="false">IF($BD198&lt;&gt;Constants!$B$6,"",IF($AB198,Constants!$B$17*$AD198,Constants!$B$18))</f>
        <v/>
      </c>
      <c r="AO198" s="130" t="str">
        <f aca="false">IF($BD198&lt;&gt;Constants!$B$6,"",Constants!$B$19*IF($AB198,$AC198,0))</f>
        <v/>
      </c>
      <c r="AP198" s="130" t="str">
        <f aca="false">IF($BD198&lt;&gt;Constants!$B$6,"",IF(AND($AB198,ISNUMBER($AE198)),Constants!$B$20*(Constants!$B$21-$AE198),0))</f>
        <v/>
      </c>
      <c r="AQ198" s="130" t="str">
        <f aca="false">IF($BD198&lt;&gt;Constants!$B$6,"",IF($AA198,0,Constants!$B$12)+IF($Z198,0,Constants!$B$13)+IF($Y198,0,Constants!$B$14))</f>
        <v/>
      </c>
      <c r="AR198" s="131" t="str">
        <f aca="false">IF($BD198&lt;&gt;Constants!$B$6,"",Constants!$B$16+SUM($AN198:$AQ198))</f>
        <v/>
      </c>
      <c r="AS198" s="130" t="str">
        <f aca="false">IF($BD198&lt;&gt;Constants!$B$6,"",IF($AB198,$AD198,""))</f>
        <v/>
      </c>
      <c r="AT198" s="132" t="str">
        <f aca="false">IF($BD198&lt;&gt;Constants!$B$6,"",$AO198)</f>
        <v/>
      </c>
      <c r="AU198" s="127" t="str">
        <f aca="false">IF($BD198&lt;&gt;Constants!$B$6,"",IF(OR($BA198&lt;$AR198,AND($BA198=$AR198,OR(AND(ISNUMBER($BB198),OR(NOT(ISNUMBER($AS198)),$BB198&lt;$AS198)),AND(OR(AND($BB198="",$AS198=""),AND(ISNUMBER($BB198),ISNUMBER($AS198),$BB198=$AS198)),$BC198&lt;$AT198)))),"-&gt;","&lt;-"))</f>
        <v/>
      </c>
      <c r="AV198" s="126" t="str">
        <f aca="false">IF(ISBLANK($C198),"",AND($AH198,OR($AI198="",$AJ198="",AND(NOT(ISBLANK($S198)),$AK198=""))))</f>
        <v/>
      </c>
      <c r="AW198" s="129" t="str">
        <f aca="false">IF($BD198&lt;&gt;Constants!$B$6,"",IF($AH198,Constants!$B$17*$AJ198,Constants!$B$18))</f>
        <v/>
      </c>
      <c r="AX198" s="130" t="str">
        <f aca="false">IF($BD198&lt;&gt;Constants!$B$6,"",Constants!$B$19*IF($AH198,$AI198,0))</f>
        <v/>
      </c>
      <c r="AY198" s="130" t="str">
        <f aca="false">IF($BD198&lt;&gt;Constants!$B$6,"",IF(AND($AH198,ISNUMBER($AK198)),Constants!$B$20*(Constants!$B$21-$AK198),0))</f>
        <v/>
      </c>
      <c r="AZ198" s="130" t="str">
        <f aca="false">IF($BD198&lt;&gt;Constants!$B$6,"",IF($AG198,0,Constants!$B$12)+IF($AF198,0,Constants!$B$13)+IF($Y198,0,Constants!$B$14))</f>
        <v/>
      </c>
      <c r="BA198" s="131" t="str">
        <f aca="false">IF($BD198&lt;&gt;Constants!$B$6,"",Constants!$B$16+SUM($AW198:$AZ198))</f>
        <v/>
      </c>
      <c r="BB198" s="130" t="str">
        <f aca="false">IF($BD198&lt;&gt;Constants!$B$6,"",IF($AH198,$AJ198,""))</f>
        <v/>
      </c>
      <c r="BC198" s="132" t="str">
        <f aca="false">IF($BD198&lt;&gt;Constants!$B$6,"",$AX198)</f>
        <v/>
      </c>
      <c r="BD198" s="127" t="str">
        <f aca="false">IF(ISBLANK($C198),"",IF($AL198,Constants!$B$9,IF(COUNTA($E198:$T198)=0,Constants!$B$8,IF(NOT($X198),Constants!$B$7,IF(OR($AM198,$AV198),Constants!$B$10,Constants!$B$6)))))</f>
        <v/>
      </c>
      <c r="BE198" s="127" t="str">
        <f aca="false">IF(ISBLANK($C198),"",IF($BD198&lt;&gt;Constants!$B$6,$BD198,Constants!$B$11))</f>
        <v/>
      </c>
      <c r="BF198" s="130" t="str">
        <f aca="false">IF($BD198&lt;&gt;Constants!$B$6,"",IF($AU198="-&gt;",$BA198,$AR198))</f>
        <v/>
      </c>
      <c r="BG198" s="130" t="str">
        <f aca="false">IF($BD198&lt;&gt;Constants!$B$6,"",IF($W198,0,Constants!$B$15))</f>
        <v/>
      </c>
      <c r="BH198" s="130" t="str">
        <f aca="false">IF(ISBLANK($C198),"",IF($BD198&lt;&gt;Constants!$B$6,$BD198,SUM($BF198:$BG198)))</f>
        <v/>
      </c>
      <c r="BI198" s="127" t="str">
        <f aca="false">IF(ISBLANK($C198),"",IF($BD198&lt;&gt;Constants!$B$6,$BD198,RANK($BH198,$BH$9:$BH$508,1)))</f>
        <v/>
      </c>
      <c r="BJ198" s="130" t="str">
        <f aca="false">IF($BD198&lt;&gt;Constants!$B$6,"",IF($AU198="-&gt;",$BB198,$AS198))</f>
        <v/>
      </c>
      <c r="BK198" s="127" t="str">
        <f aca="false">IF(ISBLANK($C198),"",IF($BD198&lt;&gt;Constants!$B$6,$BD198,IF(ISNUMBER($BJ198),RANK($BJ198,$BJ$9:$BJ$508,1),COUNT($BJ$9:$BJ$508)+1)))</f>
        <v/>
      </c>
      <c r="BL198" s="130" t="str">
        <f aca="false">IF($BD198&lt;&gt;Constants!$B$6,"",IF($AU198="-&gt;",$BC198,$AT198))</f>
        <v/>
      </c>
      <c r="BM198" s="127" t="str">
        <f aca="false">IF(ISBLANK($C198),"",IF($BD198&lt;&gt;Constants!$B$6,$BD198,IF(ISNUMBER($BL198),RANK($BL198,$BL$9:$BL$508,1),COUNT($BL$9:$BL$508)+1)))</f>
        <v/>
      </c>
      <c r="BN198" s="130" t="str">
        <f aca="false">IF($BD198&lt;&gt;Constants!$B$6,"",IF($AU198="-&gt;",$AS198,$BB198))</f>
        <v/>
      </c>
      <c r="BO198" s="127" t="str">
        <f aca="false">IF(ISBLANK($C198),"",IF($BD198&lt;&gt;Constants!$B$6,$BD198,IF(ISNUMBER($BN198),RANK($BN198,$BN$9:$BN$508,1),COUNT($BN$9:$BN$508)+1)))</f>
        <v/>
      </c>
      <c r="BP198" s="130" t="str">
        <f aca="false">IF($BD198&lt;&gt;Constants!$B$6,"",IF($AU198="-&gt;",$AT198,$BC198))</f>
        <v/>
      </c>
      <c r="BQ198" s="127" t="str">
        <f aca="false">IF(ISBLANK($C198),"",IF($BD198&lt;&gt;Constants!$B$6,$BD198,IF(ISNUMBER($BP198),RANK($BP198,$BP$9:$BP$508,1),COUNT($BP$9:$BP$508)+1)))</f>
        <v/>
      </c>
      <c r="BR198" s="127" t="str">
        <f aca="false">IF(ISBLANK($C198),"",IF($BD198&lt;&gt;Constants!$B$6,$BD198,COUNTIFS($BI$9:$BI$508,"&lt;"&amp;$BI198)+COUNTIFS($BI$9:$BI$508,$BI198,$BK$9:$BK$508,"&lt;"&amp;$BK198)+COUNTIFS($BI$9:$BI$508,$BI198,$BK$9:$BK$508,$BK198,$BM$9:$BM$508,"&lt;"&amp;$BM198)+COUNTIFS($BI$9:$BI$508,$BI198,$BK$9:$BK$508,$BK198,$BM$9:$BM$508,$BM198,$BO$9:$BO$508,"&lt;"&amp;$BO198)+COUNTIFS($BI$9:$BI$508,$BI198,$BK$9:$BK$508,$BK198,$BM$9:$BM$508,$BM198,$BO$9:$BO$508,$BO198,$BQ$9:$BQ$508,"&lt;"&amp;$BQ198)+1))</f>
        <v/>
      </c>
      <c r="BS198" s="127" t="str">
        <f aca="false">IF(ISBLANK($C198),"",IF($BD198&lt;&gt;Constants!$B$6,$BD198,$BI198-$BR198))</f>
        <v/>
      </c>
      <c r="BT198" s="133"/>
      <c r="BU198" s="134"/>
      <c r="BV198" s="134" t="str">
        <f aca="false">IF(ISBLANK($C198),"",IF($BD198&lt;&gt;Constants!$B$6,"",IF($AU198="-&gt;",2,1)))</f>
        <v/>
      </c>
      <c r="BW198" s="135" t="str">
        <f aca="false">IF(ISBLANK($C198),"",IF($BD198&lt;&gt;Constants!$B$6,"",IF($AU198="-&gt;",$AW198,$AN198)))</f>
        <v/>
      </c>
      <c r="BX198" s="135" t="str">
        <f aca="false">IF(ISBLANK($C198),"",IF($BD198&lt;&gt;Constants!$B$6,"",IF($AU198="-&gt;",$AX198,$AO198)))</f>
        <v/>
      </c>
      <c r="BY198" s="135" t="str">
        <f aca="false">IF(ISBLANK($C198),"",IF($BD198&lt;&gt;Constants!$B$6,"",IF($AU198="-&gt;",$AY198,$AP198)))</f>
        <v/>
      </c>
      <c r="BZ198" s="135" t="str">
        <f aca="false">IF(ISBLANK($C198),"",IF($BD198&lt;&gt;Constants!$B$6,"",IF($AU198="-&gt;",$AZ198,$AQ198)+$BG198))</f>
        <v/>
      </c>
      <c r="CA198" s="136" t="str">
        <f aca="false">IF(ISBLANK($C198),"",IF($BD198&lt;&gt;Constants!$B$6,$BD198,$BH198))</f>
        <v/>
      </c>
      <c r="CB198" s="137" t="str">
        <f aca="false">IF(ISBLANK($C198),"",$BE198)</f>
        <v/>
      </c>
      <c r="CC198" s="138" t="str">
        <f aca="false">IF(ISBLANK($C198),"",$BS198)</f>
        <v/>
      </c>
      <c r="CD198" s="138" t="str">
        <f aca="false">IF(ISBLANK($C198),"",$BR198)</f>
        <v/>
      </c>
      <c r="CE198" s="139" t="str">
        <f aca="false">IF(ISBLANK($C198),"",IF($CD198=Constants!$B$9,COUNTA($C$9:$C$508)+2,IF($CD198=Constants!$B$8,COUNTA($C$9:$C$508)+1,IF($CD198=Constants!$B$7,COUNTA($C$9:$C$508),$CD198))))</f>
        <v/>
      </c>
      <c r="CF198" s="9"/>
      <c r="CG198" s="140" t="n">
        <f aca="false">IF(OR(ISNUMBER($CD198),$CD198=Constants!$B$9,$CD198=Constants!$B$7,$CD198=Constants!$B$8),1,0)</f>
        <v>0</v>
      </c>
      <c r="CH198" s="140" t="n">
        <v>190</v>
      </c>
      <c r="CI198" s="140" t="str">
        <f aca="false">IF(ISBLANK($C198),"",IF(ISNUMBER($CE198),$CE198+ROW($B198)/1000,""))</f>
        <v/>
      </c>
      <c r="CJ198" s="140" t="str">
        <f aca="false">IF(ISNUMBER($CI198),RANK($CI198,$CI$9:$CI$508,1),"")</f>
        <v/>
      </c>
      <c r="CK198" s="140" t="str">
        <f aca="false">IF(ISBLANK($C198),"",$B198)</f>
        <v/>
      </c>
      <c r="CL198" s="140" t="str">
        <f aca="false">IF(ISBLANK($C198),"",$C198)</f>
        <v/>
      </c>
      <c r="CM198" s="140" t="str">
        <f aca="false">IF(ISBLANK($C198),"",$D198)</f>
        <v/>
      </c>
      <c r="CN198" s="141" t="str">
        <f aca="false">$CB198</f>
        <v/>
      </c>
      <c r="CO198" s="142" t="str">
        <f aca="false">$CA198</f>
        <v/>
      </c>
      <c r="CP198" s="140" t="str">
        <f aca="false">IF(ISBLANK($C198),"",$CD198)</f>
        <v/>
      </c>
      <c r="CQ198" s="143" t="str">
        <f aca="false">IF($CH198&gt;$CG$8,"",VLOOKUP($CH198,$CJ$9:$CP$508,7,FALSE()))</f>
        <v/>
      </c>
      <c r="CR198" s="144" t="str">
        <f aca="false">IF($CH198&gt;$CG$8,"",VLOOKUP($CH198,$CJ$9:$CP$508,2,FALSE()))</f>
        <v/>
      </c>
      <c r="CS198" s="144" t="str">
        <f aca="false">IF($CH198&gt;$CG$8,"",VLOOKUP($CH198,$CJ$9:$CP$508,3,FALSE()))</f>
        <v/>
      </c>
      <c r="CT198" s="144" t="str">
        <f aca="false">IF($CH198&gt;$CG$8,"",VLOOKUP($CH198,$CJ$9:$CP$508,4,FALSE()))</f>
        <v/>
      </c>
      <c r="CU198" s="144" t="str">
        <f aca="false">IF($CH198&gt;$CG$8,"",VLOOKUP($CH198,$CJ$9:$CP$508,5,FALSE()))</f>
        <v/>
      </c>
      <c r="CV198" s="145" t="str">
        <f aca="false">IF($CH198&gt;$CG$8,"",VLOOKUP($CH198,$CJ$9:$CP$508,6,FALSE()))</f>
        <v/>
      </c>
      <c r="CW198" s="71"/>
    </row>
    <row r="199" customFormat="false" ht="15.75" hidden="false" customHeight="false" outlineLevel="0" collapsed="false">
      <c r="A199" s="9"/>
      <c r="B199" s="150"/>
      <c r="C199" s="151"/>
      <c r="D199" s="152"/>
      <c r="E199" s="170"/>
      <c r="F199" s="154"/>
      <c r="G199" s="155"/>
      <c r="H199" s="171"/>
      <c r="I199" s="159"/>
      <c r="J199" s="120"/>
      <c r="K199" s="121"/>
      <c r="L199" s="122"/>
      <c r="M199" s="158"/>
      <c r="N199" s="159"/>
      <c r="O199" s="159"/>
      <c r="P199" s="120"/>
      <c r="Q199" s="122"/>
      <c r="R199" s="122"/>
      <c r="S199" s="158"/>
      <c r="T199" s="159"/>
      <c r="U199" s="126"/>
      <c r="V199" s="127"/>
      <c r="W199" s="127" t="str">
        <f aca="false">IF(ISBLANK($C199),"",IF(E199=Constants!$B$2,TRUE(),IF(E199=Constants!$B$3,FALSE(),TRUE())))</f>
        <v/>
      </c>
      <c r="X199" s="127" t="str">
        <f aca="false">IF(ISBLANK($C199),"",IF(F199=Constants!$B$2,TRUE(),IF(F199=Constants!$B$3,FALSE(),TRUE())))</f>
        <v/>
      </c>
      <c r="Y199" s="127" t="str">
        <f aca="false">IF(ISBLANK($C199),"",IF(G199=Constants!$B$2,TRUE(),IF(G199=Constants!$B$3,FALSE(),TRUE())))</f>
        <v/>
      </c>
      <c r="Z199" s="127" t="str">
        <f aca="false">IF(ISBLANK($C199),"",IF(H199=Constants!$B$2,TRUE(),IF(H199=Constants!$B$3,FALSE(),TRUE())))</f>
        <v/>
      </c>
      <c r="AA199" s="127" t="str">
        <f aca="false">IF(ISBLANK($C199),"",IF(I199=Constants!$B$2,TRUE(),IF(I199=Constants!$B$3,FALSE(),TRUE())))</f>
        <v/>
      </c>
      <c r="AB199" s="127" t="str">
        <f aca="false">IF(ISBLANK($C199),"",IF(J199=Constants!$B$4,TRUE(),IF(J199=Constants!$B$5,FALSE(),COUNTA(K199:M199)&gt;0)))</f>
        <v/>
      </c>
      <c r="AC199" s="128" t="str">
        <f aca="false">IF(ISBLANK($C199),"",IF(ISNUMBER(K199),IF(K199&gt;=0,K199,""),""))</f>
        <v/>
      </c>
      <c r="AD199" s="129" t="str">
        <f aca="false">IF(ISBLANK($C199),"",IF(ISNUMBER(L199),IF(L199&gt;=0,L199,""),""))</f>
        <v/>
      </c>
      <c r="AE199" s="127" t="str">
        <f aca="false">IF(ISBLANK($C199),"",IF(ISNUMBER(M199),IF(M199&gt;=0,MIN(M199,Constants!$B$22),""),""))</f>
        <v/>
      </c>
      <c r="AF199" s="127" t="str">
        <f aca="false">IF(ISBLANK($C199),"",IF(N199=Constants!$B$2,TRUE(),IF(N199=Constants!$B$3,FALSE(),TRUE())))</f>
        <v/>
      </c>
      <c r="AG199" s="127" t="str">
        <f aca="false">IF(ISBLANK($C199),"",IF(O199=Constants!$B$2,TRUE(),IF(O199=Constants!$B$3,FALSE(),TRUE())))</f>
        <v/>
      </c>
      <c r="AH199" s="127" t="str">
        <f aca="false">IF(ISBLANK($C199),"",IF(P199=Constants!$B$4,TRUE(),IF(P199=Constants!$B$5,FALSE(),COUNTA(Q199:S199)&gt;0)))</f>
        <v/>
      </c>
      <c r="AI199" s="128" t="str">
        <f aca="false">IF(ISBLANK($C199),"",IF(ISNUMBER(Q199),IF(Q199&gt;=0,Q199,""),""))</f>
        <v/>
      </c>
      <c r="AJ199" s="129" t="str">
        <f aca="false">IF(ISBLANK($C199),"",IF(ISNUMBER(R199),IF(R199&gt;=0,R199,""),""))</f>
        <v/>
      </c>
      <c r="AK199" s="127" t="str">
        <f aca="false">IF(ISBLANK($C199),"",IF(ISNUMBER(S199),IF(S199&gt;=0,MIN(S199,Constants!$B$22),""),""))</f>
        <v/>
      </c>
      <c r="AL199" s="127" t="str">
        <f aca="false">IF(ISBLANK($C199),"",IF(T199=Constants!$B$2,TRUE(),IF(T199=Constants!$B$3,FALSE(),FALSE())))</f>
        <v/>
      </c>
      <c r="AM199" s="126" t="str">
        <f aca="false">IF(ISBLANK($C199),"",AND($AB199,OR($AC199="",$AD199="",AND(NOT(ISBLANK($M199)),$AE199=""))))</f>
        <v/>
      </c>
      <c r="AN199" s="129" t="str">
        <f aca="false">IF($BD199&lt;&gt;Constants!$B$6,"",IF($AB199,Constants!$B$17*$AD199,Constants!$B$18))</f>
        <v/>
      </c>
      <c r="AO199" s="130" t="str">
        <f aca="false">IF($BD199&lt;&gt;Constants!$B$6,"",Constants!$B$19*IF($AB199,$AC199,0))</f>
        <v/>
      </c>
      <c r="AP199" s="130" t="str">
        <f aca="false">IF($BD199&lt;&gt;Constants!$B$6,"",IF(AND($AB199,ISNUMBER($AE199)),Constants!$B$20*(Constants!$B$21-$AE199),0))</f>
        <v/>
      </c>
      <c r="AQ199" s="130" t="str">
        <f aca="false">IF($BD199&lt;&gt;Constants!$B$6,"",IF($AA199,0,Constants!$B$12)+IF($Z199,0,Constants!$B$13)+IF($Y199,0,Constants!$B$14))</f>
        <v/>
      </c>
      <c r="AR199" s="131" t="str">
        <f aca="false">IF($BD199&lt;&gt;Constants!$B$6,"",Constants!$B$16+SUM($AN199:$AQ199))</f>
        <v/>
      </c>
      <c r="AS199" s="130" t="str">
        <f aca="false">IF($BD199&lt;&gt;Constants!$B$6,"",IF($AB199,$AD199,""))</f>
        <v/>
      </c>
      <c r="AT199" s="132" t="str">
        <f aca="false">IF($BD199&lt;&gt;Constants!$B$6,"",$AO199)</f>
        <v/>
      </c>
      <c r="AU199" s="127" t="str">
        <f aca="false">IF($BD199&lt;&gt;Constants!$B$6,"",IF(OR($BA199&lt;$AR199,AND($BA199=$AR199,OR(AND(ISNUMBER($BB199),OR(NOT(ISNUMBER($AS199)),$BB199&lt;$AS199)),AND(OR(AND($BB199="",$AS199=""),AND(ISNUMBER($BB199),ISNUMBER($AS199),$BB199=$AS199)),$BC199&lt;$AT199)))),"-&gt;","&lt;-"))</f>
        <v/>
      </c>
      <c r="AV199" s="126" t="str">
        <f aca="false">IF(ISBLANK($C199),"",AND($AH199,OR($AI199="",$AJ199="",AND(NOT(ISBLANK($S199)),$AK199=""))))</f>
        <v/>
      </c>
      <c r="AW199" s="129" t="str">
        <f aca="false">IF($BD199&lt;&gt;Constants!$B$6,"",IF($AH199,Constants!$B$17*$AJ199,Constants!$B$18))</f>
        <v/>
      </c>
      <c r="AX199" s="130" t="str">
        <f aca="false">IF($BD199&lt;&gt;Constants!$B$6,"",Constants!$B$19*IF($AH199,$AI199,0))</f>
        <v/>
      </c>
      <c r="AY199" s="130" t="str">
        <f aca="false">IF($BD199&lt;&gt;Constants!$B$6,"",IF(AND($AH199,ISNUMBER($AK199)),Constants!$B$20*(Constants!$B$21-$AK199),0))</f>
        <v/>
      </c>
      <c r="AZ199" s="130" t="str">
        <f aca="false">IF($BD199&lt;&gt;Constants!$B$6,"",IF($AG199,0,Constants!$B$12)+IF($AF199,0,Constants!$B$13)+IF($Y199,0,Constants!$B$14))</f>
        <v/>
      </c>
      <c r="BA199" s="131" t="str">
        <f aca="false">IF($BD199&lt;&gt;Constants!$B$6,"",Constants!$B$16+SUM($AW199:$AZ199))</f>
        <v/>
      </c>
      <c r="BB199" s="130" t="str">
        <f aca="false">IF($BD199&lt;&gt;Constants!$B$6,"",IF($AH199,$AJ199,""))</f>
        <v/>
      </c>
      <c r="BC199" s="132" t="str">
        <f aca="false">IF($BD199&lt;&gt;Constants!$B$6,"",$AX199)</f>
        <v/>
      </c>
      <c r="BD199" s="127" t="str">
        <f aca="false">IF(ISBLANK($C199),"",IF($AL199,Constants!$B$9,IF(COUNTA($E199:$T199)=0,Constants!$B$8,IF(NOT($X199),Constants!$B$7,IF(OR($AM199,$AV199),Constants!$B$10,Constants!$B$6)))))</f>
        <v/>
      </c>
      <c r="BE199" s="127" t="str">
        <f aca="false">IF(ISBLANK($C199),"",IF($BD199&lt;&gt;Constants!$B$6,$BD199,Constants!$B$11))</f>
        <v/>
      </c>
      <c r="BF199" s="130" t="str">
        <f aca="false">IF($BD199&lt;&gt;Constants!$B$6,"",IF($AU199="-&gt;",$BA199,$AR199))</f>
        <v/>
      </c>
      <c r="BG199" s="130" t="str">
        <f aca="false">IF($BD199&lt;&gt;Constants!$B$6,"",IF($W199,0,Constants!$B$15))</f>
        <v/>
      </c>
      <c r="BH199" s="130" t="str">
        <f aca="false">IF(ISBLANK($C199),"",IF($BD199&lt;&gt;Constants!$B$6,$BD199,SUM($BF199:$BG199)))</f>
        <v/>
      </c>
      <c r="BI199" s="127" t="str">
        <f aca="false">IF(ISBLANK($C199),"",IF($BD199&lt;&gt;Constants!$B$6,$BD199,RANK($BH199,$BH$9:$BH$508,1)))</f>
        <v/>
      </c>
      <c r="BJ199" s="130" t="str">
        <f aca="false">IF($BD199&lt;&gt;Constants!$B$6,"",IF($AU199="-&gt;",$BB199,$AS199))</f>
        <v/>
      </c>
      <c r="BK199" s="127" t="str">
        <f aca="false">IF(ISBLANK($C199),"",IF($BD199&lt;&gt;Constants!$B$6,$BD199,IF(ISNUMBER($BJ199),RANK($BJ199,$BJ$9:$BJ$508,1),COUNT($BJ$9:$BJ$508)+1)))</f>
        <v/>
      </c>
      <c r="BL199" s="130" t="str">
        <f aca="false">IF($BD199&lt;&gt;Constants!$B$6,"",IF($AU199="-&gt;",$BC199,$AT199))</f>
        <v/>
      </c>
      <c r="BM199" s="127" t="str">
        <f aca="false">IF(ISBLANK($C199),"",IF($BD199&lt;&gt;Constants!$B$6,$BD199,IF(ISNUMBER($BL199),RANK($BL199,$BL$9:$BL$508,1),COUNT($BL$9:$BL$508)+1)))</f>
        <v/>
      </c>
      <c r="BN199" s="130" t="str">
        <f aca="false">IF($BD199&lt;&gt;Constants!$B$6,"",IF($AU199="-&gt;",$AS199,$BB199))</f>
        <v/>
      </c>
      <c r="BO199" s="127" t="str">
        <f aca="false">IF(ISBLANK($C199),"",IF($BD199&lt;&gt;Constants!$B$6,$BD199,IF(ISNUMBER($BN199),RANK($BN199,$BN$9:$BN$508,1),COUNT($BN$9:$BN$508)+1)))</f>
        <v/>
      </c>
      <c r="BP199" s="130" t="str">
        <f aca="false">IF($BD199&lt;&gt;Constants!$B$6,"",IF($AU199="-&gt;",$AT199,$BC199))</f>
        <v/>
      </c>
      <c r="BQ199" s="127" t="str">
        <f aca="false">IF(ISBLANK($C199),"",IF($BD199&lt;&gt;Constants!$B$6,$BD199,IF(ISNUMBER($BP199),RANK($BP199,$BP$9:$BP$508,1),COUNT($BP$9:$BP$508)+1)))</f>
        <v/>
      </c>
      <c r="BR199" s="127" t="str">
        <f aca="false">IF(ISBLANK($C199),"",IF($BD199&lt;&gt;Constants!$B$6,$BD199,COUNTIFS($BI$9:$BI$508,"&lt;"&amp;$BI199)+COUNTIFS($BI$9:$BI$508,$BI199,$BK$9:$BK$508,"&lt;"&amp;$BK199)+COUNTIFS($BI$9:$BI$508,$BI199,$BK$9:$BK$508,$BK199,$BM$9:$BM$508,"&lt;"&amp;$BM199)+COUNTIFS($BI$9:$BI$508,$BI199,$BK$9:$BK$508,$BK199,$BM$9:$BM$508,$BM199,$BO$9:$BO$508,"&lt;"&amp;$BO199)+COUNTIFS($BI$9:$BI$508,$BI199,$BK$9:$BK$508,$BK199,$BM$9:$BM$508,$BM199,$BO$9:$BO$508,$BO199,$BQ$9:$BQ$508,"&lt;"&amp;$BQ199)+1))</f>
        <v/>
      </c>
      <c r="BS199" s="127" t="str">
        <f aca="false">IF(ISBLANK($C199),"",IF($BD199&lt;&gt;Constants!$B$6,$BD199,$BI199-$BR199))</f>
        <v/>
      </c>
      <c r="BT199" s="133"/>
      <c r="BU199" s="134"/>
      <c r="BV199" s="134" t="str">
        <f aca="false">IF(ISBLANK($C199),"",IF($BD199&lt;&gt;Constants!$B$6,"",IF($AU199="-&gt;",2,1)))</f>
        <v/>
      </c>
      <c r="BW199" s="135" t="str">
        <f aca="false">IF(ISBLANK($C199),"",IF($BD199&lt;&gt;Constants!$B$6,"",IF($AU199="-&gt;",$AW199,$AN199)))</f>
        <v/>
      </c>
      <c r="BX199" s="135" t="str">
        <f aca="false">IF(ISBLANK($C199),"",IF($BD199&lt;&gt;Constants!$B$6,"",IF($AU199="-&gt;",$AX199,$AO199)))</f>
        <v/>
      </c>
      <c r="BY199" s="135" t="str">
        <f aca="false">IF(ISBLANK($C199),"",IF($BD199&lt;&gt;Constants!$B$6,"",IF($AU199="-&gt;",$AY199,$AP199)))</f>
        <v/>
      </c>
      <c r="BZ199" s="135" t="str">
        <f aca="false">IF(ISBLANK($C199),"",IF($BD199&lt;&gt;Constants!$B$6,"",IF($AU199="-&gt;",$AZ199,$AQ199)+$BG199))</f>
        <v/>
      </c>
      <c r="CA199" s="136" t="str">
        <f aca="false">IF(ISBLANK($C199),"",IF($BD199&lt;&gt;Constants!$B$6,$BD199,$BH199))</f>
        <v/>
      </c>
      <c r="CB199" s="137" t="str">
        <f aca="false">IF(ISBLANK($C199),"",$BE199)</f>
        <v/>
      </c>
      <c r="CC199" s="138" t="str">
        <f aca="false">IF(ISBLANK($C199),"",$BS199)</f>
        <v/>
      </c>
      <c r="CD199" s="138" t="str">
        <f aca="false">IF(ISBLANK($C199),"",$BR199)</f>
        <v/>
      </c>
      <c r="CE199" s="139" t="str">
        <f aca="false">IF(ISBLANK($C199),"",IF($CD199=Constants!$B$9,COUNTA($C$9:$C$508)+2,IF($CD199=Constants!$B$8,COUNTA($C$9:$C$508)+1,IF($CD199=Constants!$B$7,COUNTA($C$9:$C$508),$CD199))))</f>
        <v/>
      </c>
      <c r="CF199" s="9"/>
      <c r="CG199" s="140" t="n">
        <f aca="false">IF(OR(ISNUMBER($CD199),$CD199=Constants!$B$9,$CD199=Constants!$B$7,$CD199=Constants!$B$8),1,0)</f>
        <v>0</v>
      </c>
      <c r="CH199" s="140" t="n">
        <v>191</v>
      </c>
      <c r="CI199" s="140" t="str">
        <f aca="false">IF(ISBLANK($C199),"",IF(ISNUMBER($CE199),$CE199+ROW($B199)/1000,""))</f>
        <v/>
      </c>
      <c r="CJ199" s="140" t="str">
        <f aca="false">IF(ISNUMBER($CI199),RANK($CI199,$CI$9:$CI$508,1),"")</f>
        <v/>
      </c>
      <c r="CK199" s="140" t="str">
        <f aca="false">IF(ISBLANK($C199),"",$B199)</f>
        <v/>
      </c>
      <c r="CL199" s="140" t="str">
        <f aca="false">IF(ISBLANK($C199),"",$C199)</f>
        <v/>
      </c>
      <c r="CM199" s="140" t="str">
        <f aca="false">IF(ISBLANK($C199),"",$D199)</f>
        <v/>
      </c>
      <c r="CN199" s="141" t="str">
        <f aca="false">$CB199</f>
        <v/>
      </c>
      <c r="CO199" s="142" t="str">
        <f aca="false">$CA199</f>
        <v/>
      </c>
      <c r="CP199" s="140" t="str">
        <f aca="false">IF(ISBLANK($C199),"",$CD199)</f>
        <v/>
      </c>
      <c r="CQ199" s="143" t="str">
        <f aca="false">IF($CH199&gt;$CG$8,"",VLOOKUP($CH199,$CJ$9:$CP$508,7,FALSE()))</f>
        <v/>
      </c>
      <c r="CR199" s="144" t="str">
        <f aca="false">IF($CH199&gt;$CG$8,"",VLOOKUP($CH199,$CJ$9:$CP$508,2,FALSE()))</f>
        <v/>
      </c>
      <c r="CS199" s="144" t="str">
        <f aca="false">IF($CH199&gt;$CG$8,"",VLOOKUP($CH199,$CJ$9:$CP$508,3,FALSE()))</f>
        <v/>
      </c>
      <c r="CT199" s="144" t="str">
        <f aca="false">IF($CH199&gt;$CG$8,"",VLOOKUP($CH199,$CJ$9:$CP$508,4,FALSE()))</f>
        <v/>
      </c>
      <c r="CU199" s="144" t="str">
        <f aca="false">IF($CH199&gt;$CG$8,"",VLOOKUP($CH199,$CJ$9:$CP$508,5,FALSE()))</f>
        <v/>
      </c>
      <c r="CV199" s="145" t="str">
        <f aca="false">IF($CH199&gt;$CG$8,"",VLOOKUP($CH199,$CJ$9:$CP$508,6,FALSE()))</f>
        <v/>
      </c>
      <c r="CW199" s="71"/>
    </row>
    <row r="200" customFormat="false" ht="15.75" hidden="false" customHeight="false" outlineLevel="0" collapsed="false">
      <c r="A200" s="9"/>
      <c r="B200" s="150"/>
      <c r="C200" s="151"/>
      <c r="D200" s="152"/>
      <c r="E200" s="170"/>
      <c r="F200" s="154"/>
      <c r="G200" s="155"/>
      <c r="H200" s="171"/>
      <c r="I200" s="159"/>
      <c r="J200" s="120"/>
      <c r="K200" s="121"/>
      <c r="L200" s="122"/>
      <c r="M200" s="158"/>
      <c r="N200" s="159"/>
      <c r="O200" s="159"/>
      <c r="P200" s="120"/>
      <c r="Q200" s="122"/>
      <c r="R200" s="122"/>
      <c r="S200" s="158"/>
      <c r="T200" s="159"/>
      <c r="U200" s="126"/>
      <c r="V200" s="127"/>
      <c r="W200" s="127" t="str">
        <f aca="false">IF(ISBLANK($C200),"",IF(E200=Constants!$B$2,TRUE(),IF(E200=Constants!$B$3,FALSE(),TRUE())))</f>
        <v/>
      </c>
      <c r="X200" s="127" t="str">
        <f aca="false">IF(ISBLANK($C200),"",IF(F200=Constants!$B$2,TRUE(),IF(F200=Constants!$B$3,FALSE(),TRUE())))</f>
        <v/>
      </c>
      <c r="Y200" s="127" t="str">
        <f aca="false">IF(ISBLANK($C200),"",IF(G200=Constants!$B$2,TRUE(),IF(G200=Constants!$B$3,FALSE(),TRUE())))</f>
        <v/>
      </c>
      <c r="Z200" s="127" t="str">
        <f aca="false">IF(ISBLANK($C200),"",IF(H200=Constants!$B$2,TRUE(),IF(H200=Constants!$B$3,FALSE(),TRUE())))</f>
        <v/>
      </c>
      <c r="AA200" s="127" t="str">
        <f aca="false">IF(ISBLANK($C200),"",IF(I200=Constants!$B$2,TRUE(),IF(I200=Constants!$B$3,FALSE(),TRUE())))</f>
        <v/>
      </c>
      <c r="AB200" s="127" t="str">
        <f aca="false">IF(ISBLANK($C200),"",IF(J200=Constants!$B$4,TRUE(),IF(J200=Constants!$B$5,FALSE(),COUNTA(K200:M200)&gt;0)))</f>
        <v/>
      </c>
      <c r="AC200" s="128" t="str">
        <f aca="false">IF(ISBLANK($C200),"",IF(ISNUMBER(K200),IF(K200&gt;=0,K200,""),""))</f>
        <v/>
      </c>
      <c r="AD200" s="129" t="str">
        <f aca="false">IF(ISBLANK($C200),"",IF(ISNUMBER(L200),IF(L200&gt;=0,L200,""),""))</f>
        <v/>
      </c>
      <c r="AE200" s="127" t="str">
        <f aca="false">IF(ISBLANK($C200),"",IF(ISNUMBER(M200),IF(M200&gt;=0,MIN(M200,Constants!$B$22),""),""))</f>
        <v/>
      </c>
      <c r="AF200" s="127" t="str">
        <f aca="false">IF(ISBLANK($C200),"",IF(N200=Constants!$B$2,TRUE(),IF(N200=Constants!$B$3,FALSE(),TRUE())))</f>
        <v/>
      </c>
      <c r="AG200" s="127" t="str">
        <f aca="false">IF(ISBLANK($C200),"",IF(O200=Constants!$B$2,TRUE(),IF(O200=Constants!$B$3,FALSE(),TRUE())))</f>
        <v/>
      </c>
      <c r="AH200" s="127" t="str">
        <f aca="false">IF(ISBLANK($C200),"",IF(P200=Constants!$B$4,TRUE(),IF(P200=Constants!$B$5,FALSE(),COUNTA(Q200:S200)&gt;0)))</f>
        <v/>
      </c>
      <c r="AI200" s="128" t="str">
        <f aca="false">IF(ISBLANK($C200),"",IF(ISNUMBER(Q200),IF(Q200&gt;=0,Q200,""),""))</f>
        <v/>
      </c>
      <c r="AJ200" s="129" t="str">
        <f aca="false">IF(ISBLANK($C200),"",IF(ISNUMBER(R200),IF(R200&gt;=0,R200,""),""))</f>
        <v/>
      </c>
      <c r="AK200" s="127" t="str">
        <f aca="false">IF(ISBLANK($C200),"",IF(ISNUMBER(S200),IF(S200&gt;=0,MIN(S200,Constants!$B$22),""),""))</f>
        <v/>
      </c>
      <c r="AL200" s="127" t="str">
        <f aca="false">IF(ISBLANK($C200),"",IF(T200=Constants!$B$2,TRUE(),IF(T200=Constants!$B$3,FALSE(),FALSE())))</f>
        <v/>
      </c>
      <c r="AM200" s="126" t="str">
        <f aca="false">IF(ISBLANK($C200),"",AND($AB200,OR($AC200="",$AD200="",AND(NOT(ISBLANK($M200)),$AE200=""))))</f>
        <v/>
      </c>
      <c r="AN200" s="129" t="str">
        <f aca="false">IF($BD200&lt;&gt;Constants!$B$6,"",IF($AB200,Constants!$B$17*$AD200,Constants!$B$18))</f>
        <v/>
      </c>
      <c r="AO200" s="130" t="str">
        <f aca="false">IF($BD200&lt;&gt;Constants!$B$6,"",Constants!$B$19*IF($AB200,$AC200,0))</f>
        <v/>
      </c>
      <c r="AP200" s="130" t="str">
        <f aca="false">IF($BD200&lt;&gt;Constants!$B$6,"",IF(AND($AB200,ISNUMBER($AE200)),Constants!$B$20*(Constants!$B$21-$AE200),0))</f>
        <v/>
      </c>
      <c r="AQ200" s="130" t="str">
        <f aca="false">IF($BD200&lt;&gt;Constants!$B$6,"",IF($AA200,0,Constants!$B$12)+IF($Z200,0,Constants!$B$13)+IF($Y200,0,Constants!$B$14))</f>
        <v/>
      </c>
      <c r="AR200" s="131" t="str">
        <f aca="false">IF($BD200&lt;&gt;Constants!$B$6,"",Constants!$B$16+SUM($AN200:$AQ200))</f>
        <v/>
      </c>
      <c r="AS200" s="130" t="str">
        <f aca="false">IF($BD200&lt;&gt;Constants!$B$6,"",IF($AB200,$AD200,""))</f>
        <v/>
      </c>
      <c r="AT200" s="132" t="str">
        <f aca="false">IF($BD200&lt;&gt;Constants!$B$6,"",$AO200)</f>
        <v/>
      </c>
      <c r="AU200" s="127" t="str">
        <f aca="false">IF($BD200&lt;&gt;Constants!$B$6,"",IF(OR($BA200&lt;$AR200,AND($BA200=$AR200,OR(AND(ISNUMBER($BB200),OR(NOT(ISNUMBER($AS200)),$BB200&lt;$AS200)),AND(OR(AND($BB200="",$AS200=""),AND(ISNUMBER($BB200),ISNUMBER($AS200),$BB200=$AS200)),$BC200&lt;$AT200)))),"-&gt;","&lt;-"))</f>
        <v/>
      </c>
      <c r="AV200" s="126" t="str">
        <f aca="false">IF(ISBLANK($C200),"",AND($AH200,OR($AI200="",$AJ200="",AND(NOT(ISBLANK($S200)),$AK200=""))))</f>
        <v/>
      </c>
      <c r="AW200" s="129" t="str">
        <f aca="false">IF($BD200&lt;&gt;Constants!$B$6,"",IF($AH200,Constants!$B$17*$AJ200,Constants!$B$18))</f>
        <v/>
      </c>
      <c r="AX200" s="130" t="str">
        <f aca="false">IF($BD200&lt;&gt;Constants!$B$6,"",Constants!$B$19*IF($AH200,$AI200,0))</f>
        <v/>
      </c>
      <c r="AY200" s="130" t="str">
        <f aca="false">IF($BD200&lt;&gt;Constants!$B$6,"",IF(AND($AH200,ISNUMBER($AK200)),Constants!$B$20*(Constants!$B$21-$AK200),0))</f>
        <v/>
      </c>
      <c r="AZ200" s="130" t="str">
        <f aca="false">IF($BD200&lt;&gt;Constants!$B$6,"",IF($AG200,0,Constants!$B$12)+IF($AF200,0,Constants!$B$13)+IF($Y200,0,Constants!$B$14))</f>
        <v/>
      </c>
      <c r="BA200" s="131" t="str">
        <f aca="false">IF($BD200&lt;&gt;Constants!$B$6,"",Constants!$B$16+SUM($AW200:$AZ200))</f>
        <v/>
      </c>
      <c r="BB200" s="130" t="str">
        <f aca="false">IF($BD200&lt;&gt;Constants!$B$6,"",IF($AH200,$AJ200,""))</f>
        <v/>
      </c>
      <c r="BC200" s="132" t="str">
        <f aca="false">IF($BD200&lt;&gt;Constants!$B$6,"",$AX200)</f>
        <v/>
      </c>
      <c r="BD200" s="127" t="str">
        <f aca="false">IF(ISBLANK($C200),"",IF($AL200,Constants!$B$9,IF(COUNTA($E200:$T200)=0,Constants!$B$8,IF(NOT($X200),Constants!$B$7,IF(OR($AM200,$AV200),Constants!$B$10,Constants!$B$6)))))</f>
        <v/>
      </c>
      <c r="BE200" s="127" t="str">
        <f aca="false">IF(ISBLANK($C200),"",IF($BD200&lt;&gt;Constants!$B$6,$BD200,Constants!$B$11))</f>
        <v/>
      </c>
      <c r="BF200" s="130" t="str">
        <f aca="false">IF($BD200&lt;&gt;Constants!$B$6,"",IF($AU200="-&gt;",$BA200,$AR200))</f>
        <v/>
      </c>
      <c r="BG200" s="130" t="str">
        <f aca="false">IF($BD200&lt;&gt;Constants!$B$6,"",IF($W200,0,Constants!$B$15))</f>
        <v/>
      </c>
      <c r="BH200" s="130" t="str">
        <f aca="false">IF(ISBLANK($C200),"",IF($BD200&lt;&gt;Constants!$B$6,$BD200,SUM($BF200:$BG200)))</f>
        <v/>
      </c>
      <c r="BI200" s="127" t="str">
        <f aca="false">IF(ISBLANK($C200),"",IF($BD200&lt;&gt;Constants!$B$6,$BD200,RANK($BH200,$BH$9:$BH$508,1)))</f>
        <v/>
      </c>
      <c r="BJ200" s="130" t="str">
        <f aca="false">IF($BD200&lt;&gt;Constants!$B$6,"",IF($AU200="-&gt;",$BB200,$AS200))</f>
        <v/>
      </c>
      <c r="BK200" s="127" t="str">
        <f aca="false">IF(ISBLANK($C200),"",IF($BD200&lt;&gt;Constants!$B$6,$BD200,IF(ISNUMBER($BJ200),RANK($BJ200,$BJ$9:$BJ$508,1),COUNT($BJ$9:$BJ$508)+1)))</f>
        <v/>
      </c>
      <c r="BL200" s="130" t="str">
        <f aca="false">IF($BD200&lt;&gt;Constants!$B$6,"",IF($AU200="-&gt;",$BC200,$AT200))</f>
        <v/>
      </c>
      <c r="BM200" s="127" t="str">
        <f aca="false">IF(ISBLANK($C200),"",IF($BD200&lt;&gt;Constants!$B$6,$BD200,IF(ISNUMBER($BL200),RANK($BL200,$BL$9:$BL$508,1),COUNT($BL$9:$BL$508)+1)))</f>
        <v/>
      </c>
      <c r="BN200" s="130" t="str">
        <f aca="false">IF($BD200&lt;&gt;Constants!$B$6,"",IF($AU200="-&gt;",$AS200,$BB200))</f>
        <v/>
      </c>
      <c r="BO200" s="127" t="str">
        <f aca="false">IF(ISBLANK($C200),"",IF($BD200&lt;&gt;Constants!$B$6,$BD200,IF(ISNUMBER($BN200),RANK($BN200,$BN$9:$BN$508,1),COUNT($BN$9:$BN$508)+1)))</f>
        <v/>
      </c>
      <c r="BP200" s="130" t="str">
        <f aca="false">IF($BD200&lt;&gt;Constants!$B$6,"",IF($AU200="-&gt;",$AT200,$BC200))</f>
        <v/>
      </c>
      <c r="BQ200" s="127" t="str">
        <f aca="false">IF(ISBLANK($C200),"",IF($BD200&lt;&gt;Constants!$B$6,$BD200,IF(ISNUMBER($BP200),RANK($BP200,$BP$9:$BP$508,1),COUNT($BP$9:$BP$508)+1)))</f>
        <v/>
      </c>
      <c r="BR200" s="127" t="str">
        <f aca="false">IF(ISBLANK($C200),"",IF($BD200&lt;&gt;Constants!$B$6,$BD200,COUNTIFS($BI$9:$BI$508,"&lt;"&amp;$BI200)+COUNTIFS($BI$9:$BI$508,$BI200,$BK$9:$BK$508,"&lt;"&amp;$BK200)+COUNTIFS($BI$9:$BI$508,$BI200,$BK$9:$BK$508,$BK200,$BM$9:$BM$508,"&lt;"&amp;$BM200)+COUNTIFS($BI$9:$BI$508,$BI200,$BK$9:$BK$508,$BK200,$BM$9:$BM$508,$BM200,$BO$9:$BO$508,"&lt;"&amp;$BO200)+COUNTIFS($BI$9:$BI$508,$BI200,$BK$9:$BK$508,$BK200,$BM$9:$BM$508,$BM200,$BO$9:$BO$508,$BO200,$BQ$9:$BQ$508,"&lt;"&amp;$BQ200)+1))</f>
        <v/>
      </c>
      <c r="BS200" s="127" t="str">
        <f aca="false">IF(ISBLANK($C200),"",IF($BD200&lt;&gt;Constants!$B$6,$BD200,$BI200-$BR200))</f>
        <v/>
      </c>
      <c r="BT200" s="133"/>
      <c r="BU200" s="134"/>
      <c r="BV200" s="134" t="str">
        <f aca="false">IF(ISBLANK($C200),"",IF($BD200&lt;&gt;Constants!$B$6,"",IF($AU200="-&gt;",2,1)))</f>
        <v/>
      </c>
      <c r="BW200" s="135" t="str">
        <f aca="false">IF(ISBLANK($C200),"",IF($BD200&lt;&gt;Constants!$B$6,"",IF($AU200="-&gt;",$AW200,$AN200)))</f>
        <v/>
      </c>
      <c r="BX200" s="135" t="str">
        <f aca="false">IF(ISBLANK($C200),"",IF($BD200&lt;&gt;Constants!$B$6,"",IF($AU200="-&gt;",$AX200,$AO200)))</f>
        <v/>
      </c>
      <c r="BY200" s="135" t="str">
        <f aca="false">IF(ISBLANK($C200),"",IF($BD200&lt;&gt;Constants!$B$6,"",IF($AU200="-&gt;",$AY200,$AP200)))</f>
        <v/>
      </c>
      <c r="BZ200" s="135" t="str">
        <f aca="false">IF(ISBLANK($C200),"",IF($BD200&lt;&gt;Constants!$B$6,"",IF($AU200="-&gt;",$AZ200,$AQ200)+$BG200))</f>
        <v/>
      </c>
      <c r="CA200" s="136" t="str">
        <f aca="false">IF(ISBLANK($C200),"",IF($BD200&lt;&gt;Constants!$B$6,$BD200,$BH200))</f>
        <v/>
      </c>
      <c r="CB200" s="137" t="str">
        <f aca="false">IF(ISBLANK($C200),"",$BE200)</f>
        <v/>
      </c>
      <c r="CC200" s="138" t="str">
        <f aca="false">IF(ISBLANK($C200),"",$BS200)</f>
        <v/>
      </c>
      <c r="CD200" s="138" t="str">
        <f aca="false">IF(ISBLANK($C200),"",$BR200)</f>
        <v/>
      </c>
      <c r="CE200" s="139" t="str">
        <f aca="false">IF(ISBLANK($C200),"",IF($CD200=Constants!$B$9,COUNTA($C$9:$C$508)+2,IF($CD200=Constants!$B$8,COUNTA($C$9:$C$508)+1,IF($CD200=Constants!$B$7,COUNTA($C$9:$C$508),$CD200))))</f>
        <v/>
      </c>
      <c r="CF200" s="9"/>
      <c r="CG200" s="140" t="n">
        <f aca="false">IF(OR(ISNUMBER($CD200),$CD200=Constants!$B$9,$CD200=Constants!$B$7,$CD200=Constants!$B$8),1,0)</f>
        <v>0</v>
      </c>
      <c r="CH200" s="140" t="n">
        <v>192</v>
      </c>
      <c r="CI200" s="140" t="str">
        <f aca="false">IF(ISBLANK($C200),"",IF(ISNUMBER($CE200),$CE200+ROW($B200)/1000,""))</f>
        <v/>
      </c>
      <c r="CJ200" s="140" t="str">
        <f aca="false">IF(ISNUMBER($CI200),RANK($CI200,$CI$9:$CI$508,1),"")</f>
        <v/>
      </c>
      <c r="CK200" s="140" t="str">
        <f aca="false">IF(ISBLANK($C200),"",$B200)</f>
        <v/>
      </c>
      <c r="CL200" s="140" t="str">
        <f aca="false">IF(ISBLANK($C200),"",$C200)</f>
        <v/>
      </c>
      <c r="CM200" s="140" t="str">
        <f aca="false">IF(ISBLANK($C200),"",$D200)</f>
        <v/>
      </c>
      <c r="CN200" s="141" t="str">
        <f aca="false">$CB200</f>
        <v/>
      </c>
      <c r="CO200" s="142" t="str">
        <f aca="false">$CA200</f>
        <v/>
      </c>
      <c r="CP200" s="140" t="str">
        <f aca="false">IF(ISBLANK($C200),"",$CD200)</f>
        <v/>
      </c>
      <c r="CQ200" s="143" t="str">
        <f aca="false">IF($CH200&gt;$CG$8,"",VLOOKUP($CH200,$CJ$9:$CP$508,7,FALSE()))</f>
        <v/>
      </c>
      <c r="CR200" s="144" t="str">
        <f aca="false">IF($CH200&gt;$CG$8,"",VLOOKUP($CH200,$CJ$9:$CP$508,2,FALSE()))</f>
        <v/>
      </c>
      <c r="CS200" s="144" t="str">
        <f aca="false">IF($CH200&gt;$CG$8,"",VLOOKUP($CH200,$CJ$9:$CP$508,3,FALSE()))</f>
        <v/>
      </c>
      <c r="CT200" s="144" t="str">
        <f aca="false">IF($CH200&gt;$CG$8,"",VLOOKUP($CH200,$CJ$9:$CP$508,4,FALSE()))</f>
        <v/>
      </c>
      <c r="CU200" s="144" t="str">
        <f aca="false">IF($CH200&gt;$CG$8,"",VLOOKUP($CH200,$CJ$9:$CP$508,5,FALSE()))</f>
        <v/>
      </c>
      <c r="CV200" s="145" t="str">
        <f aca="false">IF($CH200&gt;$CG$8,"",VLOOKUP($CH200,$CJ$9:$CP$508,6,FALSE()))</f>
        <v/>
      </c>
      <c r="CW200" s="71"/>
    </row>
    <row r="201" customFormat="false" ht="15.75" hidden="false" customHeight="false" outlineLevel="0" collapsed="false">
      <c r="A201" s="9"/>
      <c r="B201" s="72"/>
      <c r="C201" s="73"/>
      <c r="D201" s="160"/>
      <c r="E201" s="168"/>
      <c r="F201" s="162"/>
      <c r="G201" s="163"/>
      <c r="H201" s="169"/>
      <c r="I201" s="167"/>
      <c r="J201" s="80"/>
      <c r="K201" s="81"/>
      <c r="L201" s="82"/>
      <c r="M201" s="166"/>
      <c r="N201" s="167"/>
      <c r="O201" s="167"/>
      <c r="P201" s="80"/>
      <c r="Q201" s="82"/>
      <c r="R201" s="82"/>
      <c r="S201" s="166"/>
      <c r="T201" s="167"/>
      <c r="U201" s="86"/>
      <c r="V201" s="87"/>
      <c r="W201" s="87" t="str">
        <f aca="false">IF(ISBLANK($C201),"",IF(E201=Constants!$B$2,TRUE(),IF(E201=Constants!$B$3,FALSE(),TRUE())))</f>
        <v/>
      </c>
      <c r="X201" s="87" t="str">
        <f aca="false">IF(ISBLANK($C201),"",IF(F201=Constants!$B$2,TRUE(),IF(F201=Constants!$B$3,FALSE(),TRUE())))</f>
        <v/>
      </c>
      <c r="Y201" s="87" t="str">
        <f aca="false">IF(ISBLANK($C201),"",IF(G201=Constants!$B$2,TRUE(),IF(G201=Constants!$B$3,FALSE(),TRUE())))</f>
        <v/>
      </c>
      <c r="Z201" s="87" t="str">
        <f aca="false">IF(ISBLANK($C201),"",IF(H201=Constants!$B$2,TRUE(),IF(H201=Constants!$B$3,FALSE(),TRUE())))</f>
        <v/>
      </c>
      <c r="AA201" s="87" t="str">
        <f aca="false">IF(ISBLANK($C201),"",IF(I201=Constants!$B$2,TRUE(),IF(I201=Constants!$B$3,FALSE(),TRUE())))</f>
        <v/>
      </c>
      <c r="AB201" s="87" t="str">
        <f aca="false">IF(ISBLANK($C201),"",IF(J201=Constants!$B$4,TRUE(),IF(J201=Constants!$B$5,FALSE(),COUNTA(K201:M201)&gt;0)))</f>
        <v/>
      </c>
      <c r="AC201" s="88" t="str">
        <f aca="false">IF(ISBLANK($C201),"",IF(ISNUMBER(K201),IF(K201&gt;=0,K201,""),""))</f>
        <v/>
      </c>
      <c r="AD201" s="89" t="str">
        <f aca="false">IF(ISBLANK($C201),"",IF(ISNUMBER(L201),IF(L201&gt;=0,L201,""),""))</f>
        <v/>
      </c>
      <c r="AE201" s="87" t="str">
        <f aca="false">IF(ISBLANK($C201),"",IF(ISNUMBER(M201),IF(M201&gt;=0,MIN(M201,Constants!$B$22),""),""))</f>
        <v/>
      </c>
      <c r="AF201" s="87" t="str">
        <f aca="false">IF(ISBLANK($C201),"",IF(N201=Constants!$B$2,TRUE(),IF(N201=Constants!$B$3,FALSE(),TRUE())))</f>
        <v/>
      </c>
      <c r="AG201" s="87" t="str">
        <f aca="false">IF(ISBLANK($C201),"",IF(O201=Constants!$B$2,TRUE(),IF(O201=Constants!$B$3,FALSE(),TRUE())))</f>
        <v/>
      </c>
      <c r="AH201" s="87" t="str">
        <f aca="false">IF(ISBLANK($C201),"",IF(P201=Constants!$B$4,TRUE(),IF(P201=Constants!$B$5,FALSE(),COUNTA(Q201:S201)&gt;0)))</f>
        <v/>
      </c>
      <c r="AI201" s="88" t="str">
        <f aca="false">IF(ISBLANK($C201),"",IF(ISNUMBER(Q201),IF(Q201&gt;=0,Q201,""),""))</f>
        <v/>
      </c>
      <c r="AJ201" s="89" t="str">
        <f aca="false">IF(ISBLANK($C201),"",IF(ISNUMBER(R201),IF(R201&gt;=0,R201,""),""))</f>
        <v/>
      </c>
      <c r="AK201" s="87" t="str">
        <f aca="false">IF(ISBLANK($C201),"",IF(ISNUMBER(S201),IF(S201&gt;=0,MIN(S201,Constants!$B$22),""),""))</f>
        <v/>
      </c>
      <c r="AL201" s="87" t="str">
        <f aca="false">IF(ISBLANK($C201),"",IF(T201=Constants!$B$2,TRUE(),IF(T201=Constants!$B$3,FALSE(),FALSE())))</f>
        <v/>
      </c>
      <c r="AM201" s="86" t="str">
        <f aca="false">IF(ISBLANK($C201),"",AND($AB201,OR($AC201="",$AD201="",AND(NOT(ISBLANK($M201)),$AE201=""))))</f>
        <v/>
      </c>
      <c r="AN201" s="89" t="str">
        <f aca="false">IF($BD201&lt;&gt;Constants!$B$6,"",IF($AB201,Constants!$B$17*$AD201,Constants!$B$18))</f>
        <v/>
      </c>
      <c r="AO201" s="91" t="str">
        <f aca="false">IF($BD201&lt;&gt;Constants!$B$6,"",Constants!$B$19*IF($AB201,$AC201,0))</f>
        <v/>
      </c>
      <c r="AP201" s="91" t="str">
        <f aca="false">IF($BD201&lt;&gt;Constants!$B$6,"",IF(AND($AB201,ISNUMBER($AE201)),Constants!$B$20*(Constants!$B$21-$AE201),0))</f>
        <v/>
      </c>
      <c r="AQ201" s="91" t="str">
        <f aca="false">IF($BD201&lt;&gt;Constants!$B$6,"",IF($AA201,0,Constants!$B$12)+IF($Z201,0,Constants!$B$13)+IF($Y201,0,Constants!$B$14))</f>
        <v/>
      </c>
      <c r="AR201" s="92" t="str">
        <f aca="false">IF($BD201&lt;&gt;Constants!$B$6,"",Constants!$B$16+SUM($AN201:$AQ201))</f>
        <v/>
      </c>
      <c r="AS201" s="91" t="str">
        <f aca="false">IF($BD201&lt;&gt;Constants!$B$6,"",IF($AB201,$AD201,""))</f>
        <v/>
      </c>
      <c r="AT201" s="93" t="str">
        <f aca="false">IF($BD201&lt;&gt;Constants!$B$6,"",$AO201)</f>
        <v/>
      </c>
      <c r="AU201" s="87" t="str">
        <f aca="false">IF($BD201&lt;&gt;Constants!$B$6,"",IF(OR($BA201&lt;$AR201,AND($BA201=$AR201,OR(AND(ISNUMBER($BB201),OR(NOT(ISNUMBER($AS201)),$BB201&lt;$AS201)),AND(OR(AND($BB201="",$AS201=""),AND(ISNUMBER($BB201),ISNUMBER($AS201),$BB201=$AS201)),$BC201&lt;$AT201)))),"-&gt;","&lt;-"))</f>
        <v/>
      </c>
      <c r="AV201" s="86" t="str">
        <f aca="false">IF(ISBLANK($C201),"",AND($AH201,OR($AI201="",$AJ201="",AND(NOT(ISBLANK($S201)),$AK201=""))))</f>
        <v/>
      </c>
      <c r="AW201" s="89" t="str">
        <f aca="false">IF($BD201&lt;&gt;Constants!$B$6,"",IF($AH201,Constants!$B$17*$AJ201,Constants!$B$18))</f>
        <v/>
      </c>
      <c r="AX201" s="91" t="str">
        <f aca="false">IF($BD201&lt;&gt;Constants!$B$6,"",Constants!$B$19*IF($AH201,$AI201,0))</f>
        <v/>
      </c>
      <c r="AY201" s="91" t="str">
        <f aca="false">IF($BD201&lt;&gt;Constants!$B$6,"",IF(AND($AH201,ISNUMBER($AK201)),Constants!$B$20*(Constants!$B$21-$AK201),0))</f>
        <v/>
      </c>
      <c r="AZ201" s="91" t="str">
        <f aca="false">IF($BD201&lt;&gt;Constants!$B$6,"",IF($AG201,0,Constants!$B$12)+IF($AF201,0,Constants!$B$13)+IF($Y201,0,Constants!$B$14))</f>
        <v/>
      </c>
      <c r="BA201" s="92" t="str">
        <f aca="false">IF($BD201&lt;&gt;Constants!$B$6,"",Constants!$B$16+SUM($AW201:$AZ201))</f>
        <v/>
      </c>
      <c r="BB201" s="91" t="str">
        <f aca="false">IF($BD201&lt;&gt;Constants!$B$6,"",IF($AH201,$AJ201,""))</f>
        <v/>
      </c>
      <c r="BC201" s="93" t="str">
        <f aca="false">IF($BD201&lt;&gt;Constants!$B$6,"",$AX201)</f>
        <v/>
      </c>
      <c r="BD201" s="87" t="str">
        <f aca="false">IF(ISBLANK($C201),"",IF($AL201,Constants!$B$9,IF(COUNTA($E201:$T201)=0,Constants!$B$8,IF(NOT($X201),Constants!$B$7,IF(OR($AM201,$AV201),Constants!$B$10,Constants!$B$6)))))</f>
        <v/>
      </c>
      <c r="BE201" s="87" t="str">
        <f aca="false">IF(ISBLANK($C201),"",IF($BD201&lt;&gt;Constants!$B$6,$BD201,Constants!$B$11))</f>
        <v/>
      </c>
      <c r="BF201" s="91" t="str">
        <f aca="false">IF($BD201&lt;&gt;Constants!$B$6,"",IF($AU201="-&gt;",$BA201,$AR201))</f>
        <v/>
      </c>
      <c r="BG201" s="91" t="str">
        <f aca="false">IF($BD201&lt;&gt;Constants!$B$6,"",IF($W201,0,Constants!$B$15))</f>
        <v/>
      </c>
      <c r="BH201" s="91" t="str">
        <f aca="false">IF(ISBLANK($C201),"",IF($BD201&lt;&gt;Constants!$B$6,$BD201,SUM($BF201:$BG201)))</f>
        <v/>
      </c>
      <c r="BI201" s="87" t="str">
        <f aca="false">IF(ISBLANK($C201),"",IF($BD201&lt;&gt;Constants!$B$6,$BD201,RANK($BH201,$BH$9:$BH$508,1)))</f>
        <v/>
      </c>
      <c r="BJ201" s="91" t="str">
        <f aca="false">IF($BD201&lt;&gt;Constants!$B$6,"",IF($AU201="-&gt;",$BB201,$AS201))</f>
        <v/>
      </c>
      <c r="BK201" s="87" t="str">
        <f aca="false">IF(ISBLANK($C201),"",IF($BD201&lt;&gt;Constants!$B$6,$BD201,IF(ISNUMBER($BJ201),RANK($BJ201,$BJ$9:$BJ$508,1),COUNT($BJ$9:$BJ$508)+1)))</f>
        <v/>
      </c>
      <c r="BL201" s="91" t="str">
        <f aca="false">IF($BD201&lt;&gt;Constants!$B$6,"",IF($AU201="-&gt;",$BC201,$AT201))</f>
        <v/>
      </c>
      <c r="BM201" s="87" t="str">
        <f aca="false">IF(ISBLANK($C201),"",IF($BD201&lt;&gt;Constants!$B$6,$BD201,IF(ISNUMBER($BL201),RANK($BL201,$BL$9:$BL$508,1),COUNT($BL$9:$BL$508)+1)))</f>
        <v/>
      </c>
      <c r="BN201" s="91" t="str">
        <f aca="false">IF($BD201&lt;&gt;Constants!$B$6,"",IF($AU201="-&gt;",$AS201,$BB201))</f>
        <v/>
      </c>
      <c r="BO201" s="87" t="str">
        <f aca="false">IF(ISBLANK($C201),"",IF($BD201&lt;&gt;Constants!$B$6,$BD201,IF(ISNUMBER($BN201),RANK($BN201,$BN$9:$BN$508,1),COUNT($BN$9:$BN$508)+1)))</f>
        <v/>
      </c>
      <c r="BP201" s="91" t="str">
        <f aca="false">IF($BD201&lt;&gt;Constants!$B$6,"",IF($AU201="-&gt;",$AT201,$BC201))</f>
        <v/>
      </c>
      <c r="BQ201" s="87" t="str">
        <f aca="false">IF(ISBLANK($C201),"",IF($BD201&lt;&gt;Constants!$B$6,$BD201,IF(ISNUMBER($BP201),RANK($BP201,$BP$9:$BP$508,1),COUNT($BP$9:$BP$508)+1)))</f>
        <v/>
      </c>
      <c r="BR201" s="87" t="str">
        <f aca="false">IF(ISBLANK($C201),"",IF($BD201&lt;&gt;Constants!$B$6,$BD201,COUNTIFS($BI$9:$BI$508,"&lt;"&amp;$BI201)+COUNTIFS($BI$9:$BI$508,$BI201,$BK$9:$BK$508,"&lt;"&amp;$BK201)+COUNTIFS($BI$9:$BI$508,$BI201,$BK$9:$BK$508,$BK201,$BM$9:$BM$508,"&lt;"&amp;$BM201)+COUNTIFS($BI$9:$BI$508,$BI201,$BK$9:$BK$508,$BK201,$BM$9:$BM$508,$BM201,$BO$9:$BO$508,"&lt;"&amp;$BO201)+COUNTIFS($BI$9:$BI$508,$BI201,$BK$9:$BK$508,$BK201,$BM$9:$BM$508,$BM201,$BO$9:$BO$508,$BO201,$BQ$9:$BQ$508,"&lt;"&amp;$BQ201)+1))</f>
        <v/>
      </c>
      <c r="BS201" s="87" t="str">
        <f aca="false">IF(ISBLANK($C201),"",IF($BD201&lt;&gt;Constants!$B$6,$BD201,$BI201-$BR201))</f>
        <v/>
      </c>
      <c r="BT201" s="94"/>
      <c r="BU201" s="95"/>
      <c r="BV201" s="95" t="str">
        <f aca="false">IF(ISBLANK($C201),"",IF($BD201&lt;&gt;Constants!$B$6,"",IF($AU201="-&gt;",2,1)))</f>
        <v/>
      </c>
      <c r="BW201" s="96" t="str">
        <f aca="false">IF(ISBLANK($C201),"",IF($BD201&lt;&gt;Constants!$B$6,"",IF($AU201="-&gt;",$AW201,$AN201)))</f>
        <v/>
      </c>
      <c r="BX201" s="96" t="str">
        <f aca="false">IF(ISBLANK($C201),"",IF($BD201&lt;&gt;Constants!$B$6,"",IF($AU201="-&gt;",$AX201,$AO201)))</f>
        <v/>
      </c>
      <c r="BY201" s="96" t="str">
        <f aca="false">IF(ISBLANK($C201),"",IF($BD201&lt;&gt;Constants!$B$6,"",IF($AU201="-&gt;",$AY201,$AP201)))</f>
        <v/>
      </c>
      <c r="BZ201" s="96" t="str">
        <f aca="false">IF(ISBLANK($C201),"",IF($BD201&lt;&gt;Constants!$B$6,"",IF($AU201="-&gt;",$AZ201,$AQ201)+$BG201))</f>
        <v/>
      </c>
      <c r="CA201" s="97" t="str">
        <f aca="false">IF(ISBLANK($C201),"",IF($BD201&lt;&gt;Constants!$B$6,$BD201,$BH201))</f>
        <v/>
      </c>
      <c r="CB201" s="98" t="str">
        <f aca="false">IF(ISBLANK($C201),"",$BE201)</f>
        <v/>
      </c>
      <c r="CC201" s="99" t="str">
        <f aca="false">IF(ISBLANK($C201),"",$BS201)</f>
        <v/>
      </c>
      <c r="CD201" s="99" t="str">
        <f aca="false">IF(ISBLANK($C201),"",$BR201)</f>
        <v/>
      </c>
      <c r="CE201" s="100" t="str">
        <f aca="false">IF(ISBLANK($C201),"",IF($CD201=Constants!$B$9,COUNTA($C$9:$C$508)+2,IF($CD201=Constants!$B$8,COUNTA($C$9:$C$508)+1,IF($CD201=Constants!$B$7,COUNTA($C$9:$C$508),$CD201))))</f>
        <v/>
      </c>
      <c r="CF201" s="9"/>
      <c r="CG201" s="101" t="n">
        <f aca="false">IF(OR(ISNUMBER($CD201),$CD201=Constants!$B$9,$CD201=Constants!$B$7,$CD201=Constants!$B$8),1,0)</f>
        <v>0</v>
      </c>
      <c r="CH201" s="101" t="n">
        <v>193</v>
      </c>
      <c r="CI201" s="101" t="str">
        <f aca="false">IF(ISBLANK($C201),"",IF(ISNUMBER($CE201),$CE201+ROW($B201)/1000,""))</f>
        <v/>
      </c>
      <c r="CJ201" s="101" t="str">
        <f aca="false">IF(ISNUMBER($CI201),RANK($CI201,$CI$9:$CI$508,1),"")</f>
        <v/>
      </c>
      <c r="CK201" s="101" t="str">
        <f aca="false">IF(ISBLANK($C201),"",$B201)</f>
        <v/>
      </c>
      <c r="CL201" s="101" t="str">
        <f aca="false">IF(ISBLANK($C201),"",$C201)</f>
        <v/>
      </c>
      <c r="CM201" s="101" t="str">
        <f aca="false">IF(ISBLANK($C201),"",$D201)</f>
        <v/>
      </c>
      <c r="CN201" s="102" t="str">
        <f aca="false">$CB201</f>
        <v/>
      </c>
      <c r="CO201" s="103" t="str">
        <f aca="false">$CA201</f>
        <v/>
      </c>
      <c r="CP201" s="101" t="str">
        <f aca="false">IF(ISBLANK($C201),"",$CD201)</f>
        <v/>
      </c>
      <c r="CQ201" s="104" t="str">
        <f aca="false">IF($CH201&gt;$CG$8,"",VLOOKUP($CH201,$CJ$9:$CP$508,7,FALSE()))</f>
        <v/>
      </c>
      <c r="CR201" s="105" t="str">
        <f aca="false">IF($CH201&gt;$CG$8,"",VLOOKUP($CH201,$CJ$9:$CP$508,2,FALSE()))</f>
        <v/>
      </c>
      <c r="CS201" s="105" t="str">
        <f aca="false">IF($CH201&gt;$CG$8,"",VLOOKUP($CH201,$CJ$9:$CP$508,3,FALSE()))</f>
        <v/>
      </c>
      <c r="CT201" s="105" t="str">
        <f aca="false">IF($CH201&gt;$CG$8,"",VLOOKUP($CH201,$CJ$9:$CP$508,4,FALSE()))</f>
        <v/>
      </c>
      <c r="CU201" s="105" t="str">
        <f aca="false">IF($CH201&gt;$CG$8,"",VLOOKUP($CH201,$CJ$9:$CP$508,5,FALSE()))</f>
        <v/>
      </c>
      <c r="CV201" s="106" t="str">
        <f aca="false">IF($CH201&gt;$CG$8,"",VLOOKUP($CH201,$CJ$9:$CP$508,6,FALSE()))</f>
        <v/>
      </c>
      <c r="CW201" s="71"/>
    </row>
    <row r="202" customFormat="false" ht="15.75" hidden="false" customHeight="false" outlineLevel="0" collapsed="false">
      <c r="A202" s="9"/>
      <c r="B202" s="72"/>
      <c r="C202" s="73"/>
      <c r="D202" s="160"/>
      <c r="E202" s="168"/>
      <c r="F202" s="162"/>
      <c r="G202" s="163"/>
      <c r="H202" s="169"/>
      <c r="I202" s="167"/>
      <c r="J202" s="80"/>
      <c r="K202" s="81"/>
      <c r="L202" s="82"/>
      <c r="M202" s="166"/>
      <c r="N202" s="167"/>
      <c r="O202" s="167"/>
      <c r="P202" s="80"/>
      <c r="Q202" s="82"/>
      <c r="R202" s="82"/>
      <c r="S202" s="166"/>
      <c r="T202" s="167"/>
      <c r="U202" s="86"/>
      <c r="V202" s="87"/>
      <c r="W202" s="87" t="str">
        <f aca="false">IF(ISBLANK($C202),"",IF(E202=Constants!$B$2,TRUE(),IF(E202=Constants!$B$3,FALSE(),TRUE())))</f>
        <v/>
      </c>
      <c r="X202" s="87" t="str">
        <f aca="false">IF(ISBLANK($C202),"",IF(F202=Constants!$B$2,TRUE(),IF(F202=Constants!$B$3,FALSE(),TRUE())))</f>
        <v/>
      </c>
      <c r="Y202" s="87" t="str">
        <f aca="false">IF(ISBLANK($C202),"",IF(G202=Constants!$B$2,TRUE(),IF(G202=Constants!$B$3,FALSE(),TRUE())))</f>
        <v/>
      </c>
      <c r="Z202" s="87" t="str">
        <f aca="false">IF(ISBLANK($C202),"",IF(H202=Constants!$B$2,TRUE(),IF(H202=Constants!$B$3,FALSE(),TRUE())))</f>
        <v/>
      </c>
      <c r="AA202" s="87" t="str">
        <f aca="false">IF(ISBLANK($C202),"",IF(I202=Constants!$B$2,TRUE(),IF(I202=Constants!$B$3,FALSE(),TRUE())))</f>
        <v/>
      </c>
      <c r="AB202" s="87" t="str">
        <f aca="false">IF(ISBLANK($C202),"",IF(J202=Constants!$B$4,TRUE(),IF(J202=Constants!$B$5,FALSE(),COUNTA(K202:M202)&gt;0)))</f>
        <v/>
      </c>
      <c r="AC202" s="88" t="str">
        <f aca="false">IF(ISBLANK($C202),"",IF(ISNUMBER(K202),IF(K202&gt;=0,K202,""),""))</f>
        <v/>
      </c>
      <c r="AD202" s="89" t="str">
        <f aca="false">IF(ISBLANK($C202),"",IF(ISNUMBER(L202),IF(L202&gt;=0,L202,""),""))</f>
        <v/>
      </c>
      <c r="AE202" s="87" t="str">
        <f aca="false">IF(ISBLANK($C202),"",IF(ISNUMBER(M202),IF(M202&gt;=0,MIN(M202,Constants!$B$22),""),""))</f>
        <v/>
      </c>
      <c r="AF202" s="87" t="str">
        <f aca="false">IF(ISBLANK($C202),"",IF(N202=Constants!$B$2,TRUE(),IF(N202=Constants!$B$3,FALSE(),TRUE())))</f>
        <v/>
      </c>
      <c r="AG202" s="87" t="str">
        <f aca="false">IF(ISBLANK($C202),"",IF(O202=Constants!$B$2,TRUE(),IF(O202=Constants!$B$3,FALSE(),TRUE())))</f>
        <v/>
      </c>
      <c r="AH202" s="87" t="str">
        <f aca="false">IF(ISBLANK($C202),"",IF(P202=Constants!$B$4,TRUE(),IF(P202=Constants!$B$5,FALSE(),COUNTA(Q202:S202)&gt;0)))</f>
        <v/>
      </c>
      <c r="AI202" s="88" t="str">
        <f aca="false">IF(ISBLANK($C202),"",IF(ISNUMBER(Q202),IF(Q202&gt;=0,Q202,""),""))</f>
        <v/>
      </c>
      <c r="AJ202" s="89" t="str">
        <f aca="false">IF(ISBLANK($C202),"",IF(ISNUMBER(R202),IF(R202&gt;=0,R202,""),""))</f>
        <v/>
      </c>
      <c r="AK202" s="87" t="str">
        <f aca="false">IF(ISBLANK($C202),"",IF(ISNUMBER(S202),IF(S202&gt;=0,MIN(S202,Constants!$B$22),""),""))</f>
        <v/>
      </c>
      <c r="AL202" s="87" t="str">
        <f aca="false">IF(ISBLANK($C202),"",IF(T202=Constants!$B$2,TRUE(),IF(T202=Constants!$B$3,FALSE(),FALSE())))</f>
        <v/>
      </c>
      <c r="AM202" s="86" t="str">
        <f aca="false">IF(ISBLANK($C202),"",AND($AB202,OR($AC202="",$AD202="",AND(NOT(ISBLANK($M202)),$AE202=""))))</f>
        <v/>
      </c>
      <c r="AN202" s="89" t="str">
        <f aca="false">IF($BD202&lt;&gt;Constants!$B$6,"",IF($AB202,Constants!$B$17*$AD202,Constants!$B$18))</f>
        <v/>
      </c>
      <c r="AO202" s="91" t="str">
        <f aca="false">IF($BD202&lt;&gt;Constants!$B$6,"",Constants!$B$19*IF($AB202,$AC202,0))</f>
        <v/>
      </c>
      <c r="AP202" s="91" t="str">
        <f aca="false">IF($BD202&lt;&gt;Constants!$B$6,"",IF(AND($AB202,ISNUMBER($AE202)),Constants!$B$20*(Constants!$B$21-$AE202),0))</f>
        <v/>
      </c>
      <c r="AQ202" s="91" t="str">
        <f aca="false">IF($BD202&lt;&gt;Constants!$B$6,"",IF($AA202,0,Constants!$B$12)+IF($Z202,0,Constants!$B$13)+IF($Y202,0,Constants!$B$14))</f>
        <v/>
      </c>
      <c r="AR202" s="92" t="str">
        <f aca="false">IF($BD202&lt;&gt;Constants!$B$6,"",Constants!$B$16+SUM($AN202:$AQ202))</f>
        <v/>
      </c>
      <c r="AS202" s="91" t="str">
        <f aca="false">IF($BD202&lt;&gt;Constants!$B$6,"",IF($AB202,$AD202,""))</f>
        <v/>
      </c>
      <c r="AT202" s="93" t="str">
        <f aca="false">IF($BD202&lt;&gt;Constants!$B$6,"",$AO202)</f>
        <v/>
      </c>
      <c r="AU202" s="87" t="str">
        <f aca="false">IF($BD202&lt;&gt;Constants!$B$6,"",IF(OR($BA202&lt;$AR202,AND($BA202=$AR202,OR(AND(ISNUMBER($BB202),OR(NOT(ISNUMBER($AS202)),$BB202&lt;$AS202)),AND(OR(AND($BB202="",$AS202=""),AND(ISNUMBER($BB202),ISNUMBER($AS202),$BB202=$AS202)),$BC202&lt;$AT202)))),"-&gt;","&lt;-"))</f>
        <v/>
      </c>
      <c r="AV202" s="86" t="str">
        <f aca="false">IF(ISBLANK($C202),"",AND($AH202,OR($AI202="",$AJ202="",AND(NOT(ISBLANK($S202)),$AK202=""))))</f>
        <v/>
      </c>
      <c r="AW202" s="89" t="str">
        <f aca="false">IF($BD202&lt;&gt;Constants!$B$6,"",IF($AH202,Constants!$B$17*$AJ202,Constants!$B$18))</f>
        <v/>
      </c>
      <c r="AX202" s="91" t="str">
        <f aca="false">IF($BD202&lt;&gt;Constants!$B$6,"",Constants!$B$19*IF($AH202,$AI202,0))</f>
        <v/>
      </c>
      <c r="AY202" s="91" t="str">
        <f aca="false">IF($BD202&lt;&gt;Constants!$B$6,"",IF(AND($AH202,ISNUMBER($AK202)),Constants!$B$20*(Constants!$B$21-$AK202),0))</f>
        <v/>
      </c>
      <c r="AZ202" s="91" t="str">
        <f aca="false">IF($BD202&lt;&gt;Constants!$B$6,"",IF($AG202,0,Constants!$B$12)+IF($AF202,0,Constants!$B$13)+IF($Y202,0,Constants!$B$14))</f>
        <v/>
      </c>
      <c r="BA202" s="92" t="str">
        <f aca="false">IF($BD202&lt;&gt;Constants!$B$6,"",Constants!$B$16+SUM($AW202:$AZ202))</f>
        <v/>
      </c>
      <c r="BB202" s="91" t="str">
        <f aca="false">IF($BD202&lt;&gt;Constants!$B$6,"",IF($AH202,$AJ202,""))</f>
        <v/>
      </c>
      <c r="BC202" s="93" t="str">
        <f aca="false">IF($BD202&lt;&gt;Constants!$B$6,"",$AX202)</f>
        <v/>
      </c>
      <c r="BD202" s="87" t="str">
        <f aca="false">IF(ISBLANK($C202),"",IF($AL202,Constants!$B$9,IF(COUNTA($E202:$T202)=0,Constants!$B$8,IF(NOT($X202),Constants!$B$7,IF(OR($AM202,$AV202),Constants!$B$10,Constants!$B$6)))))</f>
        <v/>
      </c>
      <c r="BE202" s="87" t="str">
        <f aca="false">IF(ISBLANK($C202),"",IF($BD202&lt;&gt;Constants!$B$6,$BD202,Constants!$B$11))</f>
        <v/>
      </c>
      <c r="BF202" s="91" t="str">
        <f aca="false">IF($BD202&lt;&gt;Constants!$B$6,"",IF($AU202="-&gt;",$BA202,$AR202))</f>
        <v/>
      </c>
      <c r="BG202" s="91" t="str">
        <f aca="false">IF($BD202&lt;&gt;Constants!$B$6,"",IF($W202,0,Constants!$B$15))</f>
        <v/>
      </c>
      <c r="BH202" s="91" t="str">
        <f aca="false">IF(ISBLANK($C202),"",IF($BD202&lt;&gt;Constants!$B$6,$BD202,SUM($BF202:$BG202)))</f>
        <v/>
      </c>
      <c r="BI202" s="87" t="str">
        <f aca="false">IF(ISBLANK($C202),"",IF($BD202&lt;&gt;Constants!$B$6,$BD202,RANK($BH202,$BH$9:$BH$508,1)))</f>
        <v/>
      </c>
      <c r="BJ202" s="91" t="str">
        <f aca="false">IF($BD202&lt;&gt;Constants!$B$6,"",IF($AU202="-&gt;",$BB202,$AS202))</f>
        <v/>
      </c>
      <c r="BK202" s="87" t="str">
        <f aca="false">IF(ISBLANK($C202),"",IF($BD202&lt;&gt;Constants!$B$6,$BD202,IF(ISNUMBER($BJ202),RANK($BJ202,$BJ$9:$BJ$508,1),COUNT($BJ$9:$BJ$508)+1)))</f>
        <v/>
      </c>
      <c r="BL202" s="91" t="str">
        <f aca="false">IF($BD202&lt;&gt;Constants!$B$6,"",IF($AU202="-&gt;",$BC202,$AT202))</f>
        <v/>
      </c>
      <c r="BM202" s="87" t="str">
        <f aca="false">IF(ISBLANK($C202),"",IF($BD202&lt;&gt;Constants!$B$6,$BD202,IF(ISNUMBER($BL202),RANK($BL202,$BL$9:$BL$508,1),COUNT($BL$9:$BL$508)+1)))</f>
        <v/>
      </c>
      <c r="BN202" s="91" t="str">
        <f aca="false">IF($BD202&lt;&gt;Constants!$B$6,"",IF($AU202="-&gt;",$AS202,$BB202))</f>
        <v/>
      </c>
      <c r="BO202" s="87" t="str">
        <f aca="false">IF(ISBLANK($C202),"",IF($BD202&lt;&gt;Constants!$B$6,$BD202,IF(ISNUMBER($BN202),RANK($BN202,$BN$9:$BN$508,1),COUNT($BN$9:$BN$508)+1)))</f>
        <v/>
      </c>
      <c r="BP202" s="91" t="str">
        <f aca="false">IF($BD202&lt;&gt;Constants!$B$6,"",IF($AU202="-&gt;",$AT202,$BC202))</f>
        <v/>
      </c>
      <c r="BQ202" s="87" t="str">
        <f aca="false">IF(ISBLANK($C202),"",IF($BD202&lt;&gt;Constants!$B$6,$BD202,IF(ISNUMBER($BP202),RANK($BP202,$BP$9:$BP$508,1),COUNT($BP$9:$BP$508)+1)))</f>
        <v/>
      </c>
      <c r="BR202" s="87" t="str">
        <f aca="false">IF(ISBLANK($C202),"",IF($BD202&lt;&gt;Constants!$B$6,$BD202,COUNTIFS($BI$9:$BI$508,"&lt;"&amp;$BI202)+COUNTIFS($BI$9:$BI$508,$BI202,$BK$9:$BK$508,"&lt;"&amp;$BK202)+COUNTIFS($BI$9:$BI$508,$BI202,$BK$9:$BK$508,$BK202,$BM$9:$BM$508,"&lt;"&amp;$BM202)+COUNTIFS($BI$9:$BI$508,$BI202,$BK$9:$BK$508,$BK202,$BM$9:$BM$508,$BM202,$BO$9:$BO$508,"&lt;"&amp;$BO202)+COUNTIFS($BI$9:$BI$508,$BI202,$BK$9:$BK$508,$BK202,$BM$9:$BM$508,$BM202,$BO$9:$BO$508,$BO202,$BQ$9:$BQ$508,"&lt;"&amp;$BQ202)+1))</f>
        <v/>
      </c>
      <c r="BS202" s="87" t="str">
        <f aca="false">IF(ISBLANK($C202),"",IF($BD202&lt;&gt;Constants!$B$6,$BD202,$BI202-$BR202))</f>
        <v/>
      </c>
      <c r="BT202" s="94"/>
      <c r="BU202" s="95"/>
      <c r="BV202" s="95" t="str">
        <f aca="false">IF(ISBLANK($C202),"",IF($BD202&lt;&gt;Constants!$B$6,"",IF($AU202="-&gt;",2,1)))</f>
        <v/>
      </c>
      <c r="BW202" s="96" t="str">
        <f aca="false">IF(ISBLANK($C202),"",IF($BD202&lt;&gt;Constants!$B$6,"",IF($AU202="-&gt;",$AW202,$AN202)))</f>
        <v/>
      </c>
      <c r="BX202" s="96" t="str">
        <f aca="false">IF(ISBLANK($C202),"",IF($BD202&lt;&gt;Constants!$B$6,"",IF($AU202="-&gt;",$AX202,$AO202)))</f>
        <v/>
      </c>
      <c r="BY202" s="96" t="str">
        <f aca="false">IF(ISBLANK($C202),"",IF($BD202&lt;&gt;Constants!$B$6,"",IF($AU202="-&gt;",$AY202,$AP202)))</f>
        <v/>
      </c>
      <c r="BZ202" s="96" t="str">
        <f aca="false">IF(ISBLANK($C202),"",IF($BD202&lt;&gt;Constants!$B$6,"",IF($AU202="-&gt;",$AZ202,$AQ202)+$BG202))</f>
        <v/>
      </c>
      <c r="CA202" s="97" t="str">
        <f aca="false">IF(ISBLANK($C202),"",IF($BD202&lt;&gt;Constants!$B$6,$BD202,$BH202))</f>
        <v/>
      </c>
      <c r="CB202" s="98" t="str">
        <f aca="false">IF(ISBLANK($C202),"",$BE202)</f>
        <v/>
      </c>
      <c r="CC202" s="99" t="str">
        <f aca="false">IF(ISBLANK($C202),"",$BS202)</f>
        <v/>
      </c>
      <c r="CD202" s="99" t="str">
        <f aca="false">IF(ISBLANK($C202),"",$BR202)</f>
        <v/>
      </c>
      <c r="CE202" s="100" t="str">
        <f aca="false">IF(ISBLANK($C202),"",IF($CD202=Constants!$B$9,COUNTA($C$9:$C$508)+2,IF($CD202=Constants!$B$8,COUNTA($C$9:$C$508)+1,IF($CD202=Constants!$B$7,COUNTA($C$9:$C$508),$CD202))))</f>
        <v/>
      </c>
      <c r="CF202" s="9"/>
      <c r="CG202" s="101" t="n">
        <f aca="false">IF(OR(ISNUMBER($CD202),$CD202=Constants!$B$9,$CD202=Constants!$B$7,$CD202=Constants!$B$8),1,0)</f>
        <v>0</v>
      </c>
      <c r="CH202" s="101" t="n">
        <v>194</v>
      </c>
      <c r="CI202" s="101" t="str">
        <f aca="false">IF(ISBLANK($C202),"",IF(ISNUMBER($CE202),$CE202+ROW($B202)/1000,""))</f>
        <v/>
      </c>
      <c r="CJ202" s="101" t="str">
        <f aca="false">IF(ISNUMBER($CI202),RANK($CI202,$CI$9:$CI$508,1),"")</f>
        <v/>
      </c>
      <c r="CK202" s="101" t="str">
        <f aca="false">IF(ISBLANK($C202),"",$B202)</f>
        <v/>
      </c>
      <c r="CL202" s="101" t="str">
        <f aca="false">IF(ISBLANK($C202),"",$C202)</f>
        <v/>
      </c>
      <c r="CM202" s="101" t="str">
        <f aca="false">IF(ISBLANK($C202),"",$D202)</f>
        <v/>
      </c>
      <c r="CN202" s="102" t="str">
        <f aca="false">$CB202</f>
        <v/>
      </c>
      <c r="CO202" s="103" t="str">
        <f aca="false">$CA202</f>
        <v/>
      </c>
      <c r="CP202" s="101" t="str">
        <f aca="false">IF(ISBLANK($C202),"",$CD202)</f>
        <v/>
      </c>
      <c r="CQ202" s="104" t="str">
        <f aca="false">IF($CH202&gt;$CG$8,"",VLOOKUP($CH202,$CJ$9:$CP$508,7,FALSE()))</f>
        <v/>
      </c>
      <c r="CR202" s="105" t="str">
        <f aca="false">IF($CH202&gt;$CG$8,"",VLOOKUP($CH202,$CJ$9:$CP$508,2,FALSE()))</f>
        <v/>
      </c>
      <c r="CS202" s="105" t="str">
        <f aca="false">IF($CH202&gt;$CG$8,"",VLOOKUP($CH202,$CJ$9:$CP$508,3,FALSE()))</f>
        <v/>
      </c>
      <c r="CT202" s="105" t="str">
        <f aca="false">IF($CH202&gt;$CG$8,"",VLOOKUP($CH202,$CJ$9:$CP$508,4,FALSE()))</f>
        <v/>
      </c>
      <c r="CU202" s="105" t="str">
        <f aca="false">IF($CH202&gt;$CG$8,"",VLOOKUP($CH202,$CJ$9:$CP$508,5,FALSE()))</f>
        <v/>
      </c>
      <c r="CV202" s="106" t="str">
        <f aca="false">IF($CH202&gt;$CG$8,"",VLOOKUP($CH202,$CJ$9:$CP$508,6,FALSE()))</f>
        <v/>
      </c>
      <c r="CW202" s="71"/>
    </row>
    <row r="203" customFormat="false" ht="15.75" hidden="false" customHeight="false" outlineLevel="0" collapsed="false">
      <c r="A203" s="9"/>
      <c r="B203" s="72"/>
      <c r="C203" s="73"/>
      <c r="D203" s="160"/>
      <c r="E203" s="168"/>
      <c r="F203" s="162"/>
      <c r="G203" s="163"/>
      <c r="H203" s="169"/>
      <c r="I203" s="167"/>
      <c r="J203" s="80"/>
      <c r="K203" s="81"/>
      <c r="L203" s="82"/>
      <c r="M203" s="166"/>
      <c r="N203" s="167"/>
      <c r="O203" s="167"/>
      <c r="P203" s="80"/>
      <c r="Q203" s="82"/>
      <c r="R203" s="82"/>
      <c r="S203" s="166"/>
      <c r="T203" s="167"/>
      <c r="U203" s="86"/>
      <c r="V203" s="87"/>
      <c r="W203" s="87" t="str">
        <f aca="false">IF(ISBLANK($C203),"",IF(E203=Constants!$B$2,TRUE(),IF(E203=Constants!$B$3,FALSE(),TRUE())))</f>
        <v/>
      </c>
      <c r="X203" s="87" t="str">
        <f aca="false">IF(ISBLANK($C203),"",IF(F203=Constants!$B$2,TRUE(),IF(F203=Constants!$B$3,FALSE(),TRUE())))</f>
        <v/>
      </c>
      <c r="Y203" s="87" t="str">
        <f aca="false">IF(ISBLANK($C203),"",IF(G203=Constants!$B$2,TRUE(),IF(G203=Constants!$B$3,FALSE(),TRUE())))</f>
        <v/>
      </c>
      <c r="Z203" s="87" t="str">
        <f aca="false">IF(ISBLANK($C203),"",IF(H203=Constants!$B$2,TRUE(),IF(H203=Constants!$B$3,FALSE(),TRUE())))</f>
        <v/>
      </c>
      <c r="AA203" s="87" t="str">
        <f aca="false">IF(ISBLANK($C203),"",IF(I203=Constants!$B$2,TRUE(),IF(I203=Constants!$B$3,FALSE(),TRUE())))</f>
        <v/>
      </c>
      <c r="AB203" s="87" t="str">
        <f aca="false">IF(ISBLANK($C203),"",IF(J203=Constants!$B$4,TRUE(),IF(J203=Constants!$B$5,FALSE(),COUNTA(K203:M203)&gt;0)))</f>
        <v/>
      </c>
      <c r="AC203" s="88" t="str">
        <f aca="false">IF(ISBLANK($C203),"",IF(ISNUMBER(K203),IF(K203&gt;=0,K203,""),""))</f>
        <v/>
      </c>
      <c r="AD203" s="89" t="str">
        <f aca="false">IF(ISBLANK($C203),"",IF(ISNUMBER(L203),IF(L203&gt;=0,L203,""),""))</f>
        <v/>
      </c>
      <c r="AE203" s="87" t="str">
        <f aca="false">IF(ISBLANK($C203),"",IF(ISNUMBER(M203),IF(M203&gt;=0,MIN(M203,Constants!$B$22),""),""))</f>
        <v/>
      </c>
      <c r="AF203" s="87" t="str">
        <f aca="false">IF(ISBLANK($C203),"",IF(N203=Constants!$B$2,TRUE(),IF(N203=Constants!$B$3,FALSE(),TRUE())))</f>
        <v/>
      </c>
      <c r="AG203" s="87" t="str">
        <f aca="false">IF(ISBLANK($C203),"",IF(O203=Constants!$B$2,TRUE(),IF(O203=Constants!$B$3,FALSE(),TRUE())))</f>
        <v/>
      </c>
      <c r="AH203" s="87" t="str">
        <f aca="false">IF(ISBLANK($C203),"",IF(P203=Constants!$B$4,TRUE(),IF(P203=Constants!$B$5,FALSE(),COUNTA(Q203:S203)&gt;0)))</f>
        <v/>
      </c>
      <c r="AI203" s="88" t="str">
        <f aca="false">IF(ISBLANK($C203),"",IF(ISNUMBER(Q203),IF(Q203&gt;=0,Q203,""),""))</f>
        <v/>
      </c>
      <c r="AJ203" s="89" t="str">
        <f aca="false">IF(ISBLANK($C203),"",IF(ISNUMBER(R203),IF(R203&gt;=0,R203,""),""))</f>
        <v/>
      </c>
      <c r="AK203" s="87" t="str">
        <f aca="false">IF(ISBLANK($C203),"",IF(ISNUMBER(S203),IF(S203&gt;=0,MIN(S203,Constants!$B$22),""),""))</f>
        <v/>
      </c>
      <c r="AL203" s="87" t="str">
        <f aca="false">IF(ISBLANK($C203),"",IF(T203=Constants!$B$2,TRUE(),IF(T203=Constants!$B$3,FALSE(),FALSE())))</f>
        <v/>
      </c>
      <c r="AM203" s="86" t="str">
        <f aca="false">IF(ISBLANK($C203),"",AND($AB203,OR($AC203="",$AD203="",AND(NOT(ISBLANK($M203)),$AE203=""))))</f>
        <v/>
      </c>
      <c r="AN203" s="89" t="str">
        <f aca="false">IF($BD203&lt;&gt;Constants!$B$6,"",IF($AB203,Constants!$B$17*$AD203,Constants!$B$18))</f>
        <v/>
      </c>
      <c r="AO203" s="91" t="str">
        <f aca="false">IF($BD203&lt;&gt;Constants!$B$6,"",Constants!$B$19*IF($AB203,$AC203,0))</f>
        <v/>
      </c>
      <c r="AP203" s="91" t="str">
        <f aca="false">IF($BD203&lt;&gt;Constants!$B$6,"",IF(AND($AB203,ISNUMBER($AE203)),Constants!$B$20*(Constants!$B$21-$AE203),0))</f>
        <v/>
      </c>
      <c r="AQ203" s="91" t="str">
        <f aca="false">IF($BD203&lt;&gt;Constants!$B$6,"",IF($AA203,0,Constants!$B$12)+IF($Z203,0,Constants!$B$13)+IF($Y203,0,Constants!$B$14))</f>
        <v/>
      </c>
      <c r="AR203" s="92" t="str">
        <f aca="false">IF($BD203&lt;&gt;Constants!$B$6,"",Constants!$B$16+SUM($AN203:$AQ203))</f>
        <v/>
      </c>
      <c r="AS203" s="91" t="str">
        <f aca="false">IF($BD203&lt;&gt;Constants!$B$6,"",IF($AB203,$AD203,""))</f>
        <v/>
      </c>
      <c r="AT203" s="93" t="str">
        <f aca="false">IF($BD203&lt;&gt;Constants!$B$6,"",$AO203)</f>
        <v/>
      </c>
      <c r="AU203" s="87" t="str">
        <f aca="false">IF($BD203&lt;&gt;Constants!$B$6,"",IF(OR($BA203&lt;$AR203,AND($BA203=$AR203,OR(AND(ISNUMBER($BB203),OR(NOT(ISNUMBER($AS203)),$BB203&lt;$AS203)),AND(OR(AND($BB203="",$AS203=""),AND(ISNUMBER($BB203),ISNUMBER($AS203),$BB203=$AS203)),$BC203&lt;$AT203)))),"-&gt;","&lt;-"))</f>
        <v/>
      </c>
      <c r="AV203" s="86" t="str">
        <f aca="false">IF(ISBLANK($C203),"",AND($AH203,OR($AI203="",$AJ203="",AND(NOT(ISBLANK($S203)),$AK203=""))))</f>
        <v/>
      </c>
      <c r="AW203" s="89" t="str">
        <f aca="false">IF($BD203&lt;&gt;Constants!$B$6,"",IF($AH203,Constants!$B$17*$AJ203,Constants!$B$18))</f>
        <v/>
      </c>
      <c r="AX203" s="91" t="str">
        <f aca="false">IF($BD203&lt;&gt;Constants!$B$6,"",Constants!$B$19*IF($AH203,$AI203,0))</f>
        <v/>
      </c>
      <c r="AY203" s="91" t="str">
        <f aca="false">IF($BD203&lt;&gt;Constants!$B$6,"",IF(AND($AH203,ISNUMBER($AK203)),Constants!$B$20*(Constants!$B$21-$AK203),0))</f>
        <v/>
      </c>
      <c r="AZ203" s="91" t="str">
        <f aca="false">IF($BD203&lt;&gt;Constants!$B$6,"",IF($AG203,0,Constants!$B$12)+IF($AF203,0,Constants!$B$13)+IF($Y203,0,Constants!$B$14))</f>
        <v/>
      </c>
      <c r="BA203" s="92" t="str">
        <f aca="false">IF($BD203&lt;&gt;Constants!$B$6,"",Constants!$B$16+SUM($AW203:$AZ203))</f>
        <v/>
      </c>
      <c r="BB203" s="91" t="str">
        <f aca="false">IF($BD203&lt;&gt;Constants!$B$6,"",IF($AH203,$AJ203,""))</f>
        <v/>
      </c>
      <c r="BC203" s="93" t="str">
        <f aca="false">IF($BD203&lt;&gt;Constants!$B$6,"",$AX203)</f>
        <v/>
      </c>
      <c r="BD203" s="87" t="str">
        <f aca="false">IF(ISBLANK($C203),"",IF($AL203,Constants!$B$9,IF(COUNTA($E203:$T203)=0,Constants!$B$8,IF(NOT($X203),Constants!$B$7,IF(OR($AM203,$AV203),Constants!$B$10,Constants!$B$6)))))</f>
        <v/>
      </c>
      <c r="BE203" s="87" t="str">
        <f aca="false">IF(ISBLANK($C203),"",IF($BD203&lt;&gt;Constants!$B$6,$BD203,Constants!$B$11))</f>
        <v/>
      </c>
      <c r="BF203" s="91" t="str">
        <f aca="false">IF($BD203&lt;&gt;Constants!$B$6,"",IF($AU203="-&gt;",$BA203,$AR203))</f>
        <v/>
      </c>
      <c r="BG203" s="91" t="str">
        <f aca="false">IF($BD203&lt;&gt;Constants!$B$6,"",IF($W203,0,Constants!$B$15))</f>
        <v/>
      </c>
      <c r="BH203" s="91" t="str">
        <f aca="false">IF(ISBLANK($C203),"",IF($BD203&lt;&gt;Constants!$B$6,$BD203,SUM($BF203:$BG203)))</f>
        <v/>
      </c>
      <c r="BI203" s="87" t="str">
        <f aca="false">IF(ISBLANK($C203),"",IF($BD203&lt;&gt;Constants!$B$6,$BD203,RANK($BH203,$BH$9:$BH$508,1)))</f>
        <v/>
      </c>
      <c r="BJ203" s="91" t="str">
        <f aca="false">IF($BD203&lt;&gt;Constants!$B$6,"",IF($AU203="-&gt;",$BB203,$AS203))</f>
        <v/>
      </c>
      <c r="BK203" s="87" t="str">
        <f aca="false">IF(ISBLANK($C203),"",IF($BD203&lt;&gt;Constants!$B$6,$BD203,IF(ISNUMBER($BJ203),RANK($BJ203,$BJ$9:$BJ$508,1),COUNT($BJ$9:$BJ$508)+1)))</f>
        <v/>
      </c>
      <c r="BL203" s="91" t="str">
        <f aca="false">IF($BD203&lt;&gt;Constants!$B$6,"",IF($AU203="-&gt;",$BC203,$AT203))</f>
        <v/>
      </c>
      <c r="BM203" s="87" t="str">
        <f aca="false">IF(ISBLANK($C203),"",IF($BD203&lt;&gt;Constants!$B$6,$BD203,IF(ISNUMBER($BL203),RANK($BL203,$BL$9:$BL$508,1),COUNT($BL$9:$BL$508)+1)))</f>
        <v/>
      </c>
      <c r="BN203" s="91" t="str">
        <f aca="false">IF($BD203&lt;&gt;Constants!$B$6,"",IF($AU203="-&gt;",$AS203,$BB203))</f>
        <v/>
      </c>
      <c r="BO203" s="87" t="str">
        <f aca="false">IF(ISBLANK($C203),"",IF($BD203&lt;&gt;Constants!$B$6,$BD203,IF(ISNUMBER($BN203),RANK($BN203,$BN$9:$BN$508,1),COUNT($BN$9:$BN$508)+1)))</f>
        <v/>
      </c>
      <c r="BP203" s="91" t="str">
        <f aca="false">IF($BD203&lt;&gt;Constants!$B$6,"",IF($AU203="-&gt;",$AT203,$BC203))</f>
        <v/>
      </c>
      <c r="BQ203" s="87" t="str">
        <f aca="false">IF(ISBLANK($C203),"",IF($BD203&lt;&gt;Constants!$B$6,$BD203,IF(ISNUMBER($BP203),RANK($BP203,$BP$9:$BP$508,1),COUNT($BP$9:$BP$508)+1)))</f>
        <v/>
      </c>
      <c r="BR203" s="87" t="str">
        <f aca="false">IF(ISBLANK($C203),"",IF($BD203&lt;&gt;Constants!$B$6,$BD203,COUNTIFS($BI$9:$BI$508,"&lt;"&amp;$BI203)+COUNTIFS($BI$9:$BI$508,$BI203,$BK$9:$BK$508,"&lt;"&amp;$BK203)+COUNTIFS($BI$9:$BI$508,$BI203,$BK$9:$BK$508,$BK203,$BM$9:$BM$508,"&lt;"&amp;$BM203)+COUNTIFS($BI$9:$BI$508,$BI203,$BK$9:$BK$508,$BK203,$BM$9:$BM$508,$BM203,$BO$9:$BO$508,"&lt;"&amp;$BO203)+COUNTIFS($BI$9:$BI$508,$BI203,$BK$9:$BK$508,$BK203,$BM$9:$BM$508,$BM203,$BO$9:$BO$508,$BO203,$BQ$9:$BQ$508,"&lt;"&amp;$BQ203)+1))</f>
        <v/>
      </c>
      <c r="BS203" s="87" t="str">
        <f aca="false">IF(ISBLANK($C203),"",IF($BD203&lt;&gt;Constants!$B$6,$BD203,$BI203-$BR203))</f>
        <v/>
      </c>
      <c r="BT203" s="94"/>
      <c r="BU203" s="95"/>
      <c r="BV203" s="95" t="str">
        <f aca="false">IF(ISBLANK($C203),"",IF($BD203&lt;&gt;Constants!$B$6,"",IF($AU203="-&gt;",2,1)))</f>
        <v/>
      </c>
      <c r="BW203" s="96" t="str">
        <f aca="false">IF(ISBLANK($C203),"",IF($BD203&lt;&gt;Constants!$B$6,"",IF($AU203="-&gt;",$AW203,$AN203)))</f>
        <v/>
      </c>
      <c r="BX203" s="96" t="str">
        <f aca="false">IF(ISBLANK($C203),"",IF($BD203&lt;&gt;Constants!$B$6,"",IF($AU203="-&gt;",$AX203,$AO203)))</f>
        <v/>
      </c>
      <c r="BY203" s="96" t="str">
        <f aca="false">IF(ISBLANK($C203),"",IF($BD203&lt;&gt;Constants!$B$6,"",IF($AU203="-&gt;",$AY203,$AP203)))</f>
        <v/>
      </c>
      <c r="BZ203" s="96" t="str">
        <f aca="false">IF(ISBLANK($C203),"",IF($BD203&lt;&gt;Constants!$B$6,"",IF($AU203="-&gt;",$AZ203,$AQ203)+$BG203))</f>
        <v/>
      </c>
      <c r="CA203" s="97" t="str">
        <f aca="false">IF(ISBLANK($C203),"",IF($BD203&lt;&gt;Constants!$B$6,$BD203,$BH203))</f>
        <v/>
      </c>
      <c r="CB203" s="98" t="str">
        <f aca="false">IF(ISBLANK($C203),"",$BE203)</f>
        <v/>
      </c>
      <c r="CC203" s="99" t="str">
        <f aca="false">IF(ISBLANK($C203),"",$BS203)</f>
        <v/>
      </c>
      <c r="CD203" s="99" t="str">
        <f aca="false">IF(ISBLANK($C203),"",$BR203)</f>
        <v/>
      </c>
      <c r="CE203" s="100" t="str">
        <f aca="false">IF(ISBLANK($C203),"",IF($CD203=Constants!$B$9,COUNTA($C$9:$C$508)+2,IF($CD203=Constants!$B$8,COUNTA($C$9:$C$508)+1,IF($CD203=Constants!$B$7,COUNTA($C$9:$C$508),$CD203))))</f>
        <v/>
      </c>
      <c r="CF203" s="9"/>
      <c r="CG203" s="101" t="n">
        <f aca="false">IF(OR(ISNUMBER($CD203),$CD203=Constants!$B$9,$CD203=Constants!$B$7,$CD203=Constants!$B$8),1,0)</f>
        <v>0</v>
      </c>
      <c r="CH203" s="101" t="n">
        <v>195</v>
      </c>
      <c r="CI203" s="101" t="str">
        <f aca="false">IF(ISBLANK($C203),"",IF(ISNUMBER($CE203),$CE203+ROW($B203)/1000,""))</f>
        <v/>
      </c>
      <c r="CJ203" s="101" t="str">
        <f aca="false">IF(ISNUMBER($CI203),RANK($CI203,$CI$9:$CI$508,1),"")</f>
        <v/>
      </c>
      <c r="CK203" s="101" t="str">
        <f aca="false">IF(ISBLANK($C203),"",$B203)</f>
        <v/>
      </c>
      <c r="CL203" s="101" t="str">
        <f aca="false">IF(ISBLANK($C203),"",$C203)</f>
        <v/>
      </c>
      <c r="CM203" s="101" t="str">
        <f aca="false">IF(ISBLANK($C203),"",$D203)</f>
        <v/>
      </c>
      <c r="CN203" s="102" t="str">
        <f aca="false">$CB203</f>
        <v/>
      </c>
      <c r="CO203" s="103" t="str">
        <f aca="false">$CA203</f>
        <v/>
      </c>
      <c r="CP203" s="101" t="str">
        <f aca="false">IF(ISBLANK($C203),"",$CD203)</f>
        <v/>
      </c>
      <c r="CQ203" s="104" t="str">
        <f aca="false">IF($CH203&gt;$CG$8,"",VLOOKUP($CH203,$CJ$9:$CP$508,7,FALSE()))</f>
        <v/>
      </c>
      <c r="CR203" s="105" t="str">
        <f aca="false">IF($CH203&gt;$CG$8,"",VLOOKUP($CH203,$CJ$9:$CP$508,2,FALSE()))</f>
        <v/>
      </c>
      <c r="CS203" s="105" t="str">
        <f aca="false">IF($CH203&gt;$CG$8,"",VLOOKUP($CH203,$CJ$9:$CP$508,3,FALSE()))</f>
        <v/>
      </c>
      <c r="CT203" s="105" t="str">
        <f aca="false">IF($CH203&gt;$CG$8,"",VLOOKUP($CH203,$CJ$9:$CP$508,4,FALSE()))</f>
        <v/>
      </c>
      <c r="CU203" s="105" t="str">
        <f aca="false">IF($CH203&gt;$CG$8,"",VLOOKUP($CH203,$CJ$9:$CP$508,5,FALSE()))</f>
        <v/>
      </c>
      <c r="CV203" s="106" t="str">
        <f aca="false">IF($CH203&gt;$CG$8,"",VLOOKUP($CH203,$CJ$9:$CP$508,6,FALSE()))</f>
        <v/>
      </c>
      <c r="CW203" s="71"/>
    </row>
    <row r="204" customFormat="false" ht="15.75" hidden="false" customHeight="false" outlineLevel="0" collapsed="false">
      <c r="A204" s="9"/>
      <c r="B204" s="150"/>
      <c r="C204" s="151"/>
      <c r="D204" s="152"/>
      <c r="E204" s="170"/>
      <c r="F204" s="154"/>
      <c r="G204" s="155"/>
      <c r="H204" s="171"/>
      <c r="I204" s="159"/>
      <c r="J204" s="120"/>
      <c r="K204" s="121"/>
      <c r="L204" s="122"/>
      <c r="M204" s="158"/>
      <c r="N204" s="159"/>
      <c r="O204" s="159"/>
      <c r="P204" s="120"/>
      <c r="Q204" s="122"/>
      <c r="R204" s="122"/>
      <c r="S204" s="158"/>
      <c r="T204" s="159"/>
      <c r="U204" s="126"/>
      <c r="V204" s="127"/>
      <c r="W204" s="127" t="str">
        <f aca="false">IF(ISBLANK($C204),"",IF(E204=Constants!$B$2,TRUE(),IF(E204=Constants!$B$3,FALSE(),TRUE())))</f>
        <v/>
      </c>
      <c r="X204" s="127" t="str">
        <f aca="false">IF(ISBLANK($C204),"",IF(F204=Constants!$B$2,TRUE(),IF(F204=Constants!$B$3,FALSE(),TRUE())))</f>
        <v/>
      </c>
      <c r="Y204" s="127" t="str">
        <f aca="false">IF(ISBLANK($C204),"",IF(G204=Constants!$B$2,TRUE(),IF(G204=Constants!$B$3,FALSE(),TRUE())))</f>
        <v/>
      </c>
      <c r="Z204" s="127" t="str">
        <f aca="false">IF(ISBLANK($C204),"",IF(H204=Constants!$B$2,TRUE(),IF(H204=Constants!$B$3,FALSE(),TRUE())))</f>
        <v/>
      </c>
      <c r="AA204" s="127" t="str">
        <f aca="false">IF(ISBLANK($C204),"",IF(I204=Constants!$B$2,TRUE(),IF(I204=Constants!$B$3,FALSE(),TRUE())))</f>
        <v/>
      </c>
      <c r="AB204" s="127" t="str">
        <f aca="false">IF(ISBLANK($C204),"",IF(J204=Constants!$B$4,TRUE(),IF(J204=Constants!$B$5,FALSE(),COUNTA(K204:M204)&gt;0)))</f>
        <v/>
      </c>
      <c r="AC204" s="128" t="str">
        <f aca="false">IF(ISBLANK($C204),"",IF(ISNUMBER(K204),IF(K204&gt;=0,K204,""),""))</f>
        <v/>
      </c>
      <c r="AD204" s="129" t="str">
        <f aca="false">IF(ISBLANK($C204),"",IF(ISNUMBER(L204),IF(L204&gt;=0,L204,""),""))</f>
        <v/>
      </c>
      <c r="AE204" s="127" t="str">
        <f aca="false">IF(ISBLANK($C204),"",IF(ISNUMBER(M204),IF(M204&gt;=0,MIN(M204,Constants!$B$22),""),""))</f>
        <v/>
      </c>
      <c r="AF204" s="127" t="str">
        <f aca="false">IF(ISBLANK($C204),"",IF(N204=Constants!$B$2,TRUE(),IF(N204=Constants!$B$3,FALSE(),TRUE())))</f>
        <v/>
      </c>
      <c r="AG204" s="127" t="str">
        <f aca="false">IF(ISBLANK($C204),"",IF(O204=Constants!$B$2,TRUE(),IF(O204=Constants!$B$3,FALSE(),TRUE())))</f>
        <v/>
      </c>
      <c r="AH204" s="127" t="str">
        <f aca="false">IF(ISBLANK($C204),"",IF(P204=Constants!$B$4,TRUE(),IF(P204=Constants!$B$5,FALSE(),COUNTA(Q204:S204)&gt;0)))</f>
        <v/>
      </c>
      <c r="AI204" s="128" t="str">
        <f aca="false">IF(ISBLANK($C204),"",IF(ISNUMBER(Q204),IF(Q204&gt;=0,Q204,""),""))</f>
        <v/>
      </c>
      <c r="AJ204" s="129" t="str">
        <f aca="false">IF(ISBLANK($C204),"",IF(ISNUMBER(R204),IF(R204&gt;=0,R204,""),""))</f>
        <v/>
      </c>
      <c r="AK204" s="127" t="str">
        <f aca="false">IF(ISBLANK($C204),"",IF(ISNUMBER(S204),IF(S204&gt;=0,MIN(S204,Constants!$B$22),""),""))</f>
        <v/>
      </c>
      <c r="AL204" s="127" t="str">
        <f aca="false">IF(ISBLANK($C204),"",IF(T204=Constants!$B$2,TRUE(),IF(T204=Constants!$B$3,FALSE(),FALSE())))</f>
        <v/>
      </c>
      <c r="AM204" s="126" t="str">
        <f aca="false">IF(ISBLANK($C204),"",AND($AB204,OR($AC204="",$AD204="",AND(NOT(ISBLANK($M204)),$AE204=""))))</f>
        <v/>
      </c>
      <c r="AN204" s="129" t="str">
        <f aca="false">IF($BD204&lt;&gt;Constants!$B$6,"",IF($AB204,Constants!$B$17*$AD204,Constants!$B$18))</f>
        <v/>
      </c>
      <c r="AO204" s="130" t="str">
        <f aca="false">IF($BD204&lt;&gt;Constants!$B$6,"",Constants!$B$19*IF($AB204,$AC204,0))</f>
        <v/>
      </c>
      <c r="AP204" s="130" t="str">
        <f aca="false">IF($BD204&lt;&gt;Constants!$B$6,"",IF(AND($AB204,ISNUMBER($AE204)),Constants!$B$20*(Constants!$B$21-$AE204),0))</f>
        <v/>
      </c>
      <c r="AQ204" s="130" t="str">
        <f aca="false">IF($BD204&lt;&gt;Constants!$B$6,"",IF($AA204,0,Constants!$B$12)+IF($Z204,0,Constants!$B$13)+IF($Y204,0,Constants!$B$14))</f>
        <v/>
      </c>
      <c r="AR204" s="131" t="str">
        <f aca="false">IF($BD204&lt;&gt;Constants!$B$6,"",Constants!$B$16+SUM($AN204:$AQ204))</f>
        <v/>
      </c>
      <c r="AS204" s="130" t="str">
        <f aca="false">IF($BD204&lt;&gt;Constants!$B$6,"",IF($AB204,$AD204,""))</f>
        <v/>
      </c>
      <c r="AT204" s="132" t="str">
        <f aca="false">IF($BD204&lt;&gt;Constants!$B$6,"",$AO204)</f>
        <v/>
      </c>
      <c r="AU204" s="127" t="str">
        <f aca="false">IF($BD204&lt;&gt;Constants!$B$6,"",IF(OR($BA204&lt;$AR204,AND($BA204=$AR204,OR(AND(ISNUMBER($BB204),OR(NOT(ISNUMBER($AS204)),$BB204&lt;$AS204)),AND(OR(AND($BB204="",$AS204=""),AND(ISNUMBER($BB204),ISNUMBER($AS204),$BB204=$AS204)),$BC204&lt;$AT204)))),"-&gt;","&lt;-"))</f>
        <v/>
      </c>
      <c r="AV204" s="126" t="str">
        <f aca="false">IF(ISBLANK($C204),"",AND($AH204,OR($AI204="",$AJ204="",AND(NOT(ISBLANK($S204)),$AK204=""))))</f>
        <v/>
      </c>
      <c r="AW204" s="129" t="str">
        <f aca="false">IF($BD204&lt;&gt;Constants!$B$6,"",IF($AH204,Constants!$B$17*$AJ204,Constants!$B$18))</f>
        <v/>
      </c>
      <c r="AX204" s="130" t="str">
        <f aca="false">IF($BD204&lt;&gt;Constants!$B$6,"",Constants!$B$19*IF($AH204,$AI204,0))</f>
        <v/>
      </c>
      <c r="AY204" s="130" t="str">
        <f aca="false">IF($BD204&lt;&gt;Constants!$B$6,"",IF(AND($AH204,ISNUMBER($AK204)),Constants!$B$20*(Constants!$B$21-$AK204),0))</f>
        <v/>
      </c>
      <c r="AZ204" s="130" t="str">
        <f aca="false">IF($BD204&lt;&gt;Constants!$B$6,"",IF($AG204,0,Constants!$B$12)+IF($AF204,0,Constants!$B$13)+IF($Y204,0,Constants!$B$14))</f>
        <v/>
      </c>
      <c r="BA204" s="131" t="str">
        <f aca="false">IF($BD204&lt;&gt;Constants!$B$6,"",Constants!$B$16+SUM($AW204:$AZ204))</f>
        <v/>
      </c>
      <c r="BB204" s="130" t="str">
        <f aca="false">IF($BD204&lt;&gt;Constants!$B$6,"",IF($AH204,$AJ204,""))</f>
        <v/>
      </c>
      <c r="BC204" s="132" t="str">
        <f aca="false">IF($BD204&lt;&gt;Constants!$B$6,"",$AX204)</f>
        <v/>
      </c>
      <c r="BD204" s="127" t="str">
        <f aca="false">IF(ISBLANK($C204),"",IF($AL204,Constants!$B$9,IF(COUNTA($E204:$T204)=0,Constants!$B$8,IF(NOT($X204),Constants!$B$7,IF(OR($AM204,$AV204),Constants!$B$10,Constants!$B$6)))))</f>
        <v/>
      </c>
      <c r="BE204" s="127" t="str">
        <f aca="false">IF(ISBLANK($C204),"",IF($BD204&lt;&gt;Constants!$B$6,$BD204,Constants!$B$11))</f>
        <v/>
      </c>
      <c r="BF204" s="130" t="str">
        <f aca="false">IF($BD204&lt;&gt;Constants!$B$6,"",IF($AU204="-&gt;",$BA204,$AR204))</f>
        <v/>
      </c>
      <c r="BG204" s="130" t="str">
        <f aca="false">IF($BD204&lt;&gt;Constants!$B$6,"",IF($W204,0,Constants!$B$15))</f>
        <v/>
      </c>
      <c r="BH204" s="130" t="str">
        <f aca="false">IF(ISBLANK($C204),"",IF($BD204&lt;&gt;Constants!$B$6,$BD204,SUM($BF204:$BG204)))</f>
        <v/>
      </c>
      <c r="BI204" s="127" t="str">
        <f aca="false">IF(ISBLANK($C204),"",IF($BD204&lt;&gt;Constants!$B$6,$BD204,RANK($BH204,$BH$9:$BH$508,1)))</f>
        <v/>
      </c>
      <c r="BJ204" s="130" t="str">
        <f aca="false">IF($BD204&lt;&gt;Constants!$B$6,"",IF($AU204="-&gt;",$BB204,$AS204))</f>
        <v/>
      </c>
      <c r="BK204" s="127" t="str">
        <f aca="false">IF(ISBLANK($C204),"",IF($BD204&lt;&gt;Constants!$B$6,$BD204,IF(ISNUMBER($BJ204),RANK($BJ204,$BJ$9:$BJ$508,1),COUNT($BJ$9:$BJ$508)+1)))</f>
        <v/>
      </c>
      <c r="BL204" s="130" t="str">
        <f aca="false">IF($BD204&lt;&gt;Constants!$B$6,"",IF($AU204="-&gt;",$BC204,$AT204))</f>
        <v/>
      </c>
      <c r="BM204" s="127" t="str">
        <f aca="false">IF(ISBLANK($C204),"",IF($BD204&lt;&gt;Constants!$B$6,$BD204,IF(ISNUMBER($BL204),RANK($BL204,$BL$9:$BL$508,1),COUNT($BL$9:$BL$508)+1)))</f>
        <v/>
      </c>
      <c r="BN204" s="130" t="str">
        <f aca="false">IF($BD204&lt;&gt;Constants!$B$6,"",IF($AU204="-&gt;",$AS204,$BB204))</f>
        <v/>
      </c>
      <c r="BO204" s="127" t="str">
        <f aca="false">IF(ISBLANK($C204),"",IF($BD204&lt;&gt;Constants!$B$6,$BD204,IF(ISNUMBER($BN204),RANK($BN204,$BN$9:$BN$508,1),COUNT($BN$9:$BN$508)+1)))</f>
        <v/>
      </c>
      <c r="BP204" s="130" t="str">
        <f aca="false">IF($BD204&lt;&gt;Constants!$B$6,"",IF($AU204="-&gt;",$AT204,$BC204))</f>
        <v/>
      </c>
      <c r="BQ204" s="127" t="str">
        <f aca="false">IF(ISBLANK($C204),"",IF($BD204&lt;&gt;Constants!$B$6,$BD204,IF(ISNUMBER($BP204),RANK($BP204,$BP$9:$BP$508,1),COUNT($BP$9:$BP$508)+1)))</f>
        <v/>
      </c>
      <c r="BR204" s="127" t="str">
        <f aca="false">IF(ISBLANK($C204),"",IF($BD204&lt;&gt;Constants!$B$6,$BD204,COUNTIFS($BI$9:$BI$508,"&lt;"&amp;$BI204)+COUNTIFS($BI$9:$BI$508,$BI204,$BK$9:$BK$508,"&lt;"&amp;$BK204)+COUNTIFS($BI$9:$BI$508,$BI204,$BK$9:$BK$508,$BK204,$BM$9:$BM$508,"&lt;"&amp;$BM204)+COUNTIFS($BI$9:$BI$508,$BI204,$BK$9:$BK$508,$BK204,$BM$9:$BM$508,$BM204,$BO$9:$BO$508,"&lt;"&amp;$BO204)+COUNTIFS($BI$9:$BI$508,$BI204,$BK$9:$BK$508,$BK204,$BM$9:$BM$508,$BM204,$BO$9:$BO$508,$BO204,$BQ$9:$BQ$508,"&lt;"&amp;$BQ204)+1))</f>
        <v/>
      </c>
      <c r="BS204" s="127" t="str">
        <f aca="false">IF(ISBLANK($C204),"",IF($BD204&lt;&gt;Constants!$B$6,$BD204,$BI204-$BR204))</f>
        <v/>
      </c>
      <c r="BT204" s="133"/>
      <c r="BU204" s="134"/>
      <c r="BV204" s="134" t="str">
        <f aca="false">IF(ISBLANK($C204),"",IF($BD204&lt;&gt;Constants!$B$6,"",IF($AU204="-&gt;",2,1)))</f>
        <v/>
      </c>
      <c r="BW204" s="135" t="str">
        <f aca="false">IF(ISBLANK($C204),"",IF($BD204&lt;&gt;Constants!$B$6,"",IF($AU204="-&gt;",$AW204,$AN204)))</f>
        <v/>
      </c>
      <c r="BX204" s="135" t="str">
        <f aca="false">IF(ISBLANK($C204),"",IF($BD204&lt;&gt;Constants!$B$6,"",IF($AU204="-&gt;",$AX204,$AO204)))</f>
        <v/>
      </c>
      <c r="BY204" s="135" t="str">
        <f aca="false">IF(ISBLANK($C204),"",IF($BD204&lt;&gt;Constants!$B$6,"",IF($AU204="-&gt;",$AY204,$AP204)))</f>
        <v/>
      </c>
      <c r="BZ204" s="135" t="str">
        <f aca="false">IF(ISBLANK($C204),"",IF($BD204&lt;&gt;Constants!$B$6,"",IF($AU204="-&gt;",$AZ204,$AQ204)+$BG204))</f>
        <v/>
      </c>
      <c r="CA204" s="136" t="str">
        <f aca="false">IF(ISBLANK($C204),"",IF($BD204&lt;&gt;Constants!$B$6,$BD204,$BH204))</f>
        <v/>
      </c>
      <c r="CB204" s="137" t="str">
        <f aca="false">IF(ISBLANK($C204),"",$BE204)</f>
        <v/>
      </c>
      <c r="CC204" s="138" t="str">
        <f aca="false">IF(ISBLANK($C204),"",$BS204)</f>
        <v/>
      </c>
      <c r="CD204" s="138" t="str">
        <f aca="false">IF(ISBLANK($C204),"",$BR204)</f>
        <v/>
      </c>
      <c r="CE204" s="139" t="str">
        <f aca="false">IF(ISBLANK($C204),"",IF($CD204=Constants!$B$9,COUNTA($C$9:$C$508)+2,IF($CD204=Constants!$B$8,COUNTA($C$9:$C$508)+1,IF($CD204=Constants!$B$7,COUNTA($C$9:$C$508),$CD204))))</f>
        <v/>
      </c>
      <c r="CF204" s="9"/>
      <c r="CG204" s="140" t="n">
        <f aca="false">IF(OR(ISNUMBER($CD204),$CD204=Constants!$B$9,$CD204=Constants!$B$7,$CD204=Constants!$B$8),1,0)</f>
        <v>0</v>
      </c>
      <c r="CH204" s="140" t="n">
        <v>196</v>
      </c>
      <c r="CI204" s="140" t="str">
        <f aca="false">IF(ISBLANK($C204),"",IF(ISNUMBER($CE204),$CE204+ROW($B204)/1000,""))</f>
        <v/>
      </c>
      <c r="CJ204" s="140" t="str">
        <f aca="false">IF(ISNUMBER($CI204),RANK($CI204,$CI$9:$CI$508,1),"")</f>
        <v/>
      </c>
      <c r="CK204" s="140" t="str">
        <f aca="false">IF(ISBLANK($C204),"",$B204)</f>
        <v/>
      </c>
      <c r="CL204" s="140" t="str">
        <f aca="false">IF(ISBLANK($C204),"",$C204)</f>
        <v/>
      </c>
      <c r="CM204" s="140" t="str">
        <f aca="false">IF(ISBLANK($C204),"",$D204)</f>
        <v/>
      </c>
      <c r="CN204" s="141" t="str">
        <f aca="false">$CB204</f>
        <v/>
      </c>
      <c r="CO204" s="142" t="str">
        <f aca="false">$CA204</f>
        <v/>
      </c>
      <c r="CP204" s="140" t="str">
        <f aca="false">IF(ISBLANK($C204),"",$CD204)</f>
        <v/>
      </c>
      <c r="CQ204" s="143" t="str">
        <f aca="false">IF($CH204&gt;$CG$8,"",VLOOKUP($CH204,$CJ$9:$CP$508,7,FALSE()))</f>
        <v/>
      </c>
      <c r="CR204" s="144" t="str">
        <f aca="false">IF($CH204&gt;$CG$8,"",VLOOKUP($CH204,$CJ$9:$CP$508,2,FALSE()))</f>
        <v/>
      </c>
      <c r="CS204" s="144" t="str">
        <f aca="false">IF($CH204&gt;$CG$8,"",VLOOKUP($CH204,$CJ$9:$CP$508,3,FALSE()))</f>
        <v/>
      </c>
      <c r="CT204" s="144" t="str">
        <f aca="false">IF($CH204&gt;$CG$8,"",VLOOKUP($CH204,$CJ$9:$CP$508,4,FALSE()))</f>
        <v/>
      </c>
      <c r="CU204" s="144" t="str">
        <f aca="false">IF($CH204&gt;$CG$8,"",VLOOKUP($CH204,$CJ$9:$CP$508,5,FALSE()))</f>
        <v/>
      </c>
      <c r="CV204" s="145" t="str">
        <f aca="false">IF($CH204&gt;$CG$8,"",VLOOKUP($CH204,$CJ$9:$CP$508,6,FALSE()))</f>
        <v/>
      </c>
      <c r="CW204" s="71"/>
    </row>
    <row r="205" customFormat="false" ht="15.75" hidden="false" customHeight="false" outlineLevel="0" collapsed="false">
      <c r="A205" s="9"/>
      <c r="B205" s="150"/>
      <c r="C205" s="151"/>
      <c r="D205" s="152"/>
      <c r="E205" s="170"/>
      <c r="F205" s="154"/>
      <c r="G205" s="155"/>
      <c r="H205" s="171"/>
      <c r="I205" s="159"/>
      <c r="J205" s="120"/>
      <c r="K205" s="121"/>
      <c r="L205" s="122"/>
      <c r="M205" s="158"/>
      <c r="N205" s="159"/>
      <c r="O205" s="159"/>
      <c r="P205" s="120"/>
      <c r="Q205" s="122"/>
      <c r="R205" s="122"/>
      <c r="S205" s="158"/>
      <c r="T205" s="159"/>
      <c r="U205" s="126"/>
      <c r="V205" s="127"/>
      <c r="W205" s="127" t="str">
        <f aca="false">IF(ISBLANK($C205),"",IF(E205=Constants!$B$2,TRUE(),IF(E205=Constants!$B$3,FALSE(),TRUE())))</f>
        <v/>
      </c>
      <c r="X205" s="127" t="str">
        <f aca="false">IF(ISBLANK($C205),"",IF(F205=Constants!$B$2,TRUE(),IF(F205=Constants!$B$3,FALSE(),TRUE())))</f>
        <v/>
      </c>
      <c r="Y205" s="127" t="str">
        <f aca="false">IF(ISBLANK($C205),"",IF(G205=Constants!$B$2,TRUE(),IF(G205=Constants!$B$3,FALSE(),TRUE())))</f>
        <v/>
      </c>
      <c r="Z205" s="127" t="str">
        <f aca="false">IF(ISBLANK($C205),"",IF(H205=Constants!$B$2,TRUE(),IF(H205=Constants!$B$3,FALSE(),TRUE())))</f>
        <v/>
      </c>
      <c r="AA205" s="127" t="str">
        <f aca="false">IF(ISBLANK($C205),"",IF(I205=Constants!$B$2,TRUE(),IF(I205=Constants!$B$3,FALSE(),TRUE())))</f>
        <v/>
      </c>
      <c r="AB205" s="127" t="str">
        <f aca="false">IF(ISBLANK($C205),"",IF(J205=Constants!$B$4,TRUE(),IF(J205=Constants!$B$5,FALSE(),COUNTA(K205:M205)&gt;0)))</f>
        <v/>
      </c>
      <c r="AC205" s="128" t="str">
        <f aca="false">IF(ISBLANK($C205),"",IF(ISNUMBER(K205),IF(K205&gt;=0,K205,""),""))</f>
        <v/>
      </c>
      <c r="AD205" s="129" t="str">
        <f aca="false">IF(ISBLANK($C205),"",IF(ISNUMBER(L205),IF(L205&gt;=0,L205,""),""))</f>
        <v/>
      </c>
      <c r="AE205" s="127" t="str">
        <f aca="false">IF(ISBLANK($C205),"",IF(ISNUMBER(M205),IF(M205&gt;=0,MIN(M205,Constants!$B$22),""),""))</f>
        <v/>
      </c>
      <c r="AF205" s="127" t="str">
        <f aca="false">IF(ISBLANK($C205),"",IF(N205=Constants!$B$2,TRUE(),IF(N205=Constants!$B$3,FALSE(),TRUE())))</f>
        <v/>
      </c>
      <c r="AG205" s="127" t="str">
        <f aca="false">IF(ISBLANK($C205),"",IF(O205=Constants!$B$2,TRUE(),IF(O205=Constants!$B$3,FALSE(),TRUE())))</f>
        <v/>
      </c>
      <c r="AH205" s="127" t="str">
        <f aca="false">IF(ISBLANK($C205),"",IF(P205=Constants!$B$4,TRUE(),IF(P205=Constants!$B$5,FALSE(),COUNTA(Q205:S205)&gt;0)))</f>
        <v/>
      </c>
      <c r="AI205" s="128" t="str">
        <f aca="false">IF(ISBLANK($C205),"",IF(ISNUMBER(Q205),IF(Q205&gt;=0,Q205,""),""))</f>
        <v/>
      </c>
      <c r="AJ205" s="129" t="str">
        <f aca="false">IF(ISBLANK($C205),"",IF(ISNUMBER(R205),IF(R205&gt;=0,R205,""),""))</f>
        <v/>
      </c>
      <c r="AK205" s="127" t="str">
        <f aca="false">IF(ISBLANK($C205),"",IF(ISNUMBER(S205),IF(S205&gt;=0,MIN(S205,Constants!$B$22),""),""))</f>
        <v/>
      </c>
      <c r="AL205" s="127" t="str">
        <f aca="false">IF(ISBLANK($C205),"",IF(T205=Constants!$B$2,TRUE(),IF(T205=Constants!$B$3,FALSE(),FALSE())))</f>
        <v/>
      </c>
      <c r="AM205" s="126" t="str">
        <f aca="false">IF(ISBLANK($C205),"",AND($AB205,OR($AC205="",$AD205="",AND(NOT(ISBLANK($M205)),$AE205=""))))</f>
        <v/>
      </c>
      <c r="AN205" s="129" t="str">
        <f aca="false">IF($BD205&lt;&gt;Constants!$B$6,"",IF($AB205,Constants!$B$17*$AD205,Constants!$B$18))</f>
        <v/>
      </c>
      <c r="AO205" s="130" t="str">
        <f aca="false">IF($BD205&lt;&gt;Constants!$B$6,"",Constants!$B$19*IF($AB205,$AC205,0))</f>
        <v/>
      </c>
      <c r="AP205" s="130" t="str">
        <f aca="false">IF($BD205&lt;&gt;Constants!$B$6,"",IF(AND($AB205,ISNUMBER($AE205)),Constants!$B$20*(Constants!$B$21-$AE205),0))</f>
        <v/>
      </c>
      <c r="AQ205" s="130" t="str">
        <f aca="false">IF($BD205&lt;&gt;Constants!$B$6,"",IF($AA205,0,Constants!$B$12)+IF($Z205,0,Constants!$B$13)+IF($Y205,0,Constants!$B$14))</f>
        <v/>
      </c>
      <c r="AR205" s="131" t="str">
        <f aca="false">IF($BD205&lt;&gt;Constants!$B$6,"",Constants!$B$16+SUM($AN205:$AQ205))</f>
        <v/>
      </c>
      <c r="AS205" s="130" t="str">
        <f aca="false">IF($BD205&lt;&gt;Constants!$B$6,"",IF($AB205,$AD205,""))</f>
        <v/>
      </c>
      <c r="AT205" s="132" t="str">
        <f aca="false">IF($BD205&lt;&gt;Constants!$B$6,"",$AO205)</f>
        <v/>
      </c>
      <c r="AU205" s="127" t="str">
        <f aca="false">IF($BD205&lt;&gt;Constants!$B$6,"",IF(OR($BA205&lt;$AR205,AND($BA205=$AR205,OR(AND(ISNUMBER($BB205),OR(NOT(ISNUMBER($AS205)),$BB205&lt;$AS205)),AND(OR(AND($BB205="",$AS205=""),AND(ISNUMBER($BB205),ISNUMBER($AS205),$BB205=$AS205)),$BC205&lt;$AT205)))),"-&gt;","&lt;-"))</f>
        <v/>
      </c>
      <c r="AV205" s="126" t="str">
        <f aca="false">IF(ISBLANK($C205),"",AND($AH205,OR($AI205="",$AJ205="",AND(NOT(ISBLANK($S205)),$AK205=""))))</f>
        <v/>
      </c>
      <c r="AW205" s="129" t="str">
        <f aca="false">IF($BD205&lt;&gt;Constants!$B$6,"",IF($AH205,Constants!$B$17*$AJ205,Constants!$B$18))</f>
        <v/>
      </c>
      <c r="AX205" s="130" t="str">
        <f aca="false">IF($BD205&lt;&gt;Constants!$B$6,"",Constants!$B$19*IF($AH205,$AI205,0))</f>
        <v/>
      </c>
      <c r="AY205" s="130" t="str">
        <f aca="false">IF($BD205&lt;&gt;Constants!$B$6,"",IF(AND($AH205,ISNUMBER($AK205)),Constants!$B$20*(Constants!$B$21-$AK205),0))</f>
        <v/>
      </c>
      <c r="AZ205" s="130" t="str">
        <f aca="false">IF($BD205&lt;&gt;Constants!$B$6,"",IF($AG205,0,Constants!$B$12)+IF($AF205,0,Constants!$B$13)+IF($Y205,0,Constants!$B$14))</f>
        <v/>
      </c>
      <c r="BA205" s="131" t="str">
        <f aca="false">IF($BD205&lt;&gt;Constants!$B$6,"",Constants!$B$16+SUM($AW205:$AZ205))</f>
        <v/>
      </c>
      <c r="BB205" s="130" t="str">
        <f aca="false">IF($BD205&lt;&gt;Constants!$B$6,"",IF($AH205,$AJ205,""))</f>
        <v/>
      </c>
      <c r="BC205" s="132" t="str">
        <f aca="false">IF($BD205&lt;&gt;Constants!$B$6,"",$AX205)</f>
        <v/>
      </c>
      <c r="BD205" s="127" t="str">
        <f aca="false">IF(ISBLANK($C205),"",IF($AL205,Constants!$B$9,IF(COUNTA($E205:$T205)=0,Constants!$B$8,IF(NOT($X205),Constants!$B$7,IF(OR($AM205,$AV205),Constants!$B$10,Constants!$B$6)))))</f>
        <v/>
      </c>
      <c r="BE205" s="127" t="str">
        <f aca="false">IF(ISBLANK($C205),"",IF($BD205&lt;&gt;Constants!$B$6,$BD205,Constants!$B$11))</f>
        <v/>
      </c>
      <c r="BF205" s="130" t="str">
        <f aca="false">IF($BD205&lt;&gt;Constants!$B$6,"",IF($AU205="-&gt;",$BA205,$AR205))</f>
        <v/>
      </c>
      <c r="BG205" s="130" t="str">
        <f aca="false">IF($BD205&lt;&gt;Constants!$B$6,"",IF($W205,0,Constants!$B$15))</f>
        <v/>
      </c>
      <c r="BH205" s="130" t="str">
        <f aca="false">IF(ISBLANK($C205),"",IF($BD205&lt;&gt;Constants!$B$6,$BD205,SUM($BF205:$BG205)))</f>
        <v/>
      </c>
      <c r="BI205" s="127" t="str">
        <f aca="false">IF(ISBLANK($C205),"",IF($BD205&lt;&gt;Constants!$B$6,$BD205,RANK($BH205,$BH$9:$BH$508,1)))</f>
        <v/>
      </c>
      <c r="BJ205" s="130" t="str">
        <f aca="false">IF($BD205&lt;&gt;Constants!$B$6,"",IF($AU205="-&gt;",$BB205,$AS205))</f>
        <v/>
      </c>
      <c r="BK205" s="127" t="str">
        <f aca="false">IF(ISBLANK($C205),"",IF($BD205&lt;&gt;Constants!$B$6,$BD205,IF(ISNUMBER($BJ205),RANK($BJ205,$BJ$9:$BJ$508,1),COUNT($BJ$9:$BJ$508)+1)))</f>
        <v/>
      </c>
      <c r="BL205" s="130" t="str">
        <f aca="false">IF($BD205&lt;&gt;Constants!$B$6,"",IF($AU205="-&gt;",$BC205,$AT205))</f>
        <v/>
      </c>
      <c r="BM205" s="127" t="str">
        <f aca="false">IF(ISBLANK($C205),"",IF($BD205&lt;&gt;Constants!$B$6,$BD205,IF(ISNUMBER($BL205),RANK($BL205,$BL$9:$BL$508,1),COUNT($BL$9:$BL$508)+1)))</f>
        <v/>
      </c>
      <c r="BN205" s="130" t="str">
        <f aca="false">IF($BD205&lt;&gt;Constants!$B$6,"",IF($AU205="-&gt;",$AS205,$BB205))</f>
        <v/>
      </c>
      <c r="BO205" s="127" t="str">
        <f aca="false">IF(ISBLANK($C205),"",IF($BD205&lt;&gt;Constants!$B$6,$BD205,IF(ISNUMBER($BN205),RANK($BN205,$BN$9:$BN$508,1),COUNT($BN$9:$BN$508)+1)))</f>
        <v/>
      </c>
      <c r="BP205" s="130" t="str">
        <f aca="false">IF($BD205&lt;&gt;Constants!$B$6,"",IF($AU205="-&gt;",$AT205,$BC205))</f>
        <v/>
      </c>
      <c r="BQ205" s="127" t="str">
        <f aca="false">IF(ISBLANK($C205),"",IF($BD205&lt;&gt;Constants!$B$6,$BD205,IF(ISNUMBER($BP205),RANK($BP205,$BP$9:$BP$508,1),COUNT($BP$9:$BP$508)+1)))</f>
        <v/>
      </c>
      <c r="BR205" s="127" t="str">
        <f aca="false">IF(ISBLANK($C205),"",IF($BD205&lt;&gt;Constants!$B$6,$BD205,COUNTIFS($BI$9:$BI$508,"&lt;"&amp;$BI205)+COUNTIFS($BI$9:$BI$508,$BI205,$BK$9:$BK$508,"&lt;"&amp;$BK205)+COUNTIFS($BI$9:$BI$508,$BI205,$BK$9:$BK$508,$BK205,$BM$9:$BM$508,"&lt;"&amp;$BM205)+COUNTIFS($BI$9:$BI$508,$BI205,$BK$9:$BK$508,$BK205,$BM$9:$BM$508,$BM205,$BO$9:$BO$508,"&lt;"&amp;$BO205)+COUNTIFS($BI$9:$BI$508,$BI205,$BK$9:$BK$508,$BK205,$BM$9:$BM$508,$BM205,$BO$9:$BO$508,$BO205,$BQ$9:$BQ$508,"&lt;"&amp;$BQ205)+1))</f>
        <v/>
      </c>
      <c r="BS205" s="127" t="str">
        <f aca="false">IF(ISBLANK($C205),"",IF($BD205&lt;&gt;Constants!$B$6,$BD205,$BI205-$BR205))</f>
        <v/>
      </c>
      <c r="BT205" s="133"/>
      <c r="BU205" s="134"/>
      <c r="BV205" s="134" t="str">
        <f aca="false">IF(ISBLANK($C205),"",IF($BD205&lt;&gt;Constants!$B$6,"",IF($AU205="-&gt;",2,1)))</f>
        <v/>
      </c>
      <c r="BW205" s="135" t="str">
        <f aca="false">IF(ISBLANK($C205),"",IF($BD205&lt;&gt;Constants!$B$6,"",IF($AU205="-&gt;",$AW205,$AN205)))</f>
        <v/>
      </c>
      <c r="BX205" s="135" t="str">
        <f aca="false">IF(ISBLANK($C205),"",IF($BD205&lt;&gt;Constants!$B$6,"",IF($AU205="-&gt;",$AX205,$AO205)))</f>
        <v/>
      </c>
      <c r="BY205" s="135" t="str">
        <f aca="false">IF(ISBLANK($C205),"",IF($BD205&lt;&gt;Constants!$B$6,"",IF($AU205="-&gt;",$AY205,$AP205)))</f>
        <v/>
      </c>
      <c r="BZ205" s="135" t="str">
        <f aca="false">IF(ISBLANK($C205),"",IF($BD205&lt;&gt;Constants!$B$6,"",IF($AU205="-&gt;",$AZ205,$AQ205)+$BG205))</f>
        <v/>
      </c>
      <c r="CA205" s="136" t="str">
        <f aca="false">IF(ISBLANK($C205),"",IF($BD205&lt;&gt;Constants!$B$6,$BD205,$BH205))</f>
        <v/>
      </c>
      <c r="CB205" s="137" t="str">
        <f aca="false">IF(ISBLANK($C205),"",$BE205)</f>
        <v/>
      </c>
      <c r="CC205" s="138" t="str">
        <f aca="false">IF(ISBLANK($C205),"",$BS205)</f>
        <v/>
      </c>
      <c r="CD205" s="138" t="str">
        <f aca="false">IF(ISBLANK($C205),"",$BR205)</f>
        <v/>
      </c>
      <c r="CE205" s="139" t="str">
        <f aca="false">IF(ISBLANK($C205),"",IF($CD205=Constants!$B$9,COUNTA($C$9:$C$508)+2,IF($CD205=Constants!$B$8,COUNTA($C$9:$C$508)+1,IF($CD205=Constants!$B$7,COUNTA($C$9:$C$508),$CD205))))</f>
        <v/>
      </c>
      <c r="CF205" s="9"/>
      <c r="CG205" s="140" t="n">
        <f aca="false">IF(OR(ISNUMBER($CD205),$CD205=Constants!$B$9,$CD205=Constants!$B$7,$CD205=Constants!$B$8),1,0)</f>
        <v>0</v>
      </c>
      <c r="CH205" s="140" t="n">
        <v>197</v>
      </c>
      <c r="CI205" s="140" t="str">
        <f aca="false">IF(ISBLANK($C205),"",IF(ISNUMBER($CE205),$CE205+ROW($B205)/1000,""))</f>
        <v/>
      </c>
      <c r="CJ205" s="140" t="str">
        <f aca="false">IF(ISNUMBER($CI205),RANK($CI205,$CI$9:$CI$508,1),"")</f>
        <v/>
      </c>
      <c r="CK205" s="140" t="str">
        <f aca="false">IF(ISBLANK($C205),"",$B205)</f>
        <v/>
      </c>
      <c r="CL205" s="140" t="str">
        <f aca="false">IF(ISBLANK($C205),"",$C205)</f>
        <v/>
      </c>
      <c r="CM205" s="140" t="str">
        <f aca="false">IF(ISBLANK($C205),"",$D205)</f>
        <v/>
      </c>
      <c r="CN205" s="141" t="str">
        <f aca="false">$CB205</f>
        <v/>
      </c>
      <c r="CO205" s="142" t="str">
        <f aca="false">$CA205</f>
        <v/>
      </c>
      <c r="CP205" s="140" t="str">
        <f aca="false">IF(ISBLANK($C205),"",$CD205)</f>
        <v/>
      </c>
      <c r="CQ205" s="143" t="str">
        <f aca="false">IF($CH205&gt;$CG$8,"",VLOOKUP($CH205,$CJ$9:$CP$508,7,FALSE()))</f>
        <v/>
      </c>
      <c r="CR205" s="144" t="str">
        <f aca="false">IF($CH205&gt;$CG$8,"",VLOOKUP($CH205,$CJ$9:$CP$508,2,FALSE()))</f>
        <v/>
      </c>
      <c r="CS205" s="144" t="str">
        <f aca="false">IF($CH205&gt;$CG$8,"",VLOOKUP($CH205,$CJ$9:$CP$508,3,FALSE()))</f>
        <v/>
      </c>
      <c r="CT205" s="144" t="str">
        <f aca="false">IF($CH205&gt;$CG$8,"",VLOOKUP($CH205,$CJ$9:$CP$508,4,FALSE()))</f>
        <v/>
      </c>
      <c r="CU205" s="144" t="str">
        <f aca="false">IF($CH205&gt;$CG$8,"",VLOOKUP($CH205,$CJ$9:$CP$508,5,FALSE()))</f>
        <v/>
      </c>
      <c r="CV205" s="145" t="str">
        <f aca="false">IF($CH205&gt;$CG$8,"",VLOOKUP($CH205,$CJ$9:$CP$508,6,FALSE()))</f>
        <v/>
      </c>
      <c r="CW205" s="71"/>
    </row>
    <row r="206" customFormat="false" ht="15.75" hidden="false" customHeight="false" outlineLevel="0" collapsed="false">
      <c r="A206" s="9"/>
      <c r="B206" s="150"/>
      <c r="C206" s="151"/>
      <c r="D206" s="152"/>
      <c r="E206" s="170"/>
      <c r="F206" s="154"/>
      <c r="G206" s="155"/>
      <c r="H206" s="171"/>
      <c r="I206" s="159"/>
      <c r="J206" s="120"/>
      <c r="K206" s="121"/>
      <c r="L206" s="122"/>
      <c r="M206" s="158"/>
      <c r="N206" s="159"/>
      <c r="O206" s="159"/>
      <c r="P206" s="120"/>
      <c r="Q206" s="122"/>
      <c r="R206" s="122"/>
      <c r="S206" s="158"/>
      <c r="T206" s="159"/>
      <c r="U206" s="126"/>
      <c r="V206" s="127"/>
      <c r="W206" s="127" t="str">
        <f aca="false">IF(ISBLANK($C206),"",IF(E206=Constants!$B$2,TRUE(),IF(E206=Constants!$B$3,FALSE(),TRUE())))</f>
        <v/>
      </c>
      <c r="X206" s="127" t="str">
        <f aca="false">IF(ISBLANK($C206),"",IF(F206=Constants!$B$2,TRUE(),IF(F206=Constants!$B$3,FALSE(),TRUE())))</f>
        <v/>
      </c>
      <c r="Y206" s="127" t="str">
        <f aca="false">IF(ISBLANK($C206),"",IF(G206=Constants!$B$2,TRUE(),IF(G206=Constants!$B$3,FALSE(),TRUE())))</f>
        <v/>
      </c>
      <c r="Z206" s="127" t="str">
        <f aca="false">IF(ISBLANK($C206),"",IF(H206=Constants!$B$2,TRUE(),IF(H206=Constants!$B$3,FALSE(),TRUE())))</f>
        <v/>
      </c>
      <c r="AA206" s="127" t="str">
        <f aca="false">IF(ISBLANK($C206),"",IF(I206=Constants!$B$2,TRUE(),IF(I206=Constants!$B$3,FALSE(),TRUE())))</f>
        <v/>
      </c>
      <c r="AB206" s="127" t="str">
        <f aca="false">IF(ISBLANK($C206),"",IF(J206=Constants!$B$4,TRUE(),IF(J206=Constants!$B$5,FALSE(),COUNTA(K206:M206)&gt;0)))</f>
        <v/>
      </c>
      <c r="AC206" s="128" t="str">
        <f aca="false">IF(ISBLANK($C206),"",IF(ISNUMBER(K206),IF(K206&gt;=0,K206,""),""))</f>
        <v/>
      </c>
      <c r="AD206" s="129" t="str">
        <f aca="false">IF(ISBLANK($C206),"",IF(ISNUMBER(L206),IF(L206&gt;=0,L206,""),""))</f>
        <v/>
      </c>
      <c r="AE206" s="127" t="str">
        <f aca="false">IF(ISBLANK($C206),"",IF(ISNUMBER(M206),IF(M206&gt;=0,MIN(M206,Constants!$B$22),""),""))</f>
        <v/>
      </c>
      <c r="AF206" s="127" t="str">
        <f aca="false">IF(ISBLANK($C206),"",IF(N206=Constants!$B$2,TRUE(),IF(N206=Constants!$B$3,FALSE(),TRUE())))</f>
        <v/>
      </c>
      <c r="AG206" s="127" t="str">
        <f aca="false">IF(ISBLANK($C206),"",IF(O206=Constants!$B$2,TRUE(),IF(O206=Constants!$B$3,FALSE(),TRUE())))</f>
        <v/>
      </c>
      <c r="AH206" s="127" t="str">
        <f aca="false">IF(ISBLANK($C206),"",IF(P206=Constants!$B$4,TRUE(),IF(P206=Constants!$B$5,FALSE(),COUNTA(Q206:S206)&gt;0)))</f>
        <v/>
      </c>
      <c r="AI206" s="128" t="str">
        <f aca="false">IF(ISBLANK($C206),"",IF(ISNUMBER(Q206),IF(Q206&gt;=0,Q206,""),""))</f>
        <v/>
      </c>
      <c r="AJ206" s="129" t="str">
        <f aca="false">IF(ISBLANK($C206),"",IF(ISNUMBER(R206),IF(R206&gt;=0,R206,""),""))</f>
        <v/>
      </c>
      <c r="AK206" s="127" t="str">
        <f aca="false">IF(ISBLANK($C206),"",IF(ISNUMBER(S206),IF(S206&gt;=0,MIN(S206,Constants!$B$22),""),""))</f>
        <v/>
      </c>
      <c r="AL206" s="127" t="str">
        <f aca="false">IF(ISBLANK($C206),"",IF(T206=Constants!$B$2,TRUE(),IF(T206=Constants!$B$3,FALSE(),FALSE())))</f>
        <v/>
      </c>
      <c r="AM206" s="126" t="str">
        <f aca="false">IF(ISBLANK($C206),"",AND($AB206,OR($AC206="",$AD206="",AND(NOT(ISBLANK($M206)),$AE206=""))))</f>
        <v/>
      </c>
      <c r="AN206" s="129" t="str">
        <f aca="false">IF($BD206&lt;&gt;Constants!$B$6,"",IF($AB206,Constants!$B$17*$AD206,Constants!$B$18))</f>
        <v/>
      </c>
      <c r="AO206" s="130" t="str">
        <f aca="false">IF($BD206&lt;&gt;Constants!$B$6,"",Constants!$B$19*IF($AB206,$AC206,0))</f>
        <v/>
      </c>
      <c r="AP206" s="130" t="str">
        <f aca="false">IF($BD206&lt;&gt;Constants!$B$6,"",IF(AND($AB206,ISNUMBER($AE206)),Constants!$B$20*(Constants!$B$21-$AE206),0))</f>
        <v/>
      </c>
      <c r="AQ206" s="130" t="str">
        <f aca="false">IF($BD206&lt;&gt;Constants!$B$6,"",IF($AA206,0,Constants!$B$12)+IF($Z206,0,Constants!$B$13)+IF($Y206,0,Constants!$B$14))</f>
        <v/>
      </c>
      <c r="AR206" s="131" t="str">
        <f aca="false">IF($BD206&lt;&gt;Constants!$B$6,"",Constants!$B$16+SUM($AN206:$AQ206))</f>
        <v/>
      </c>
      <c r="AS206" s="130" t="str">
        <f aca="false">IF($BD206&lt;&gt;Constants!$B$6,"",IF($AB206,$AD206,""))</f>
        <v/>
      </c>
      <c r="AT206" s="132" t="str">
        <f aca="false">IF($BD206&lt;&gt;Constants!$B$6,"",$AO206)</f>
        <v/>
      </c>
      <c r="AU206" s="127" t="str">
        <f aca="false">IF($BD206&lt;&gt;Constants!$B$6,"",IF(OR($BA206&lt;$AR206,AND($BA206=$AR206,OR(AND(ISNUMBER($BB206),OR(NOT(ISNUMBER($AS206)),$BB206&lt;$AS206)),AND(OR(AND($BB206="",$AS206=""),AND(ISNUMBER($BB206),ISNUMBER($AS206),$BB206=$AS206)),$BC206&lt;$AT206)))),"-&gt;","&lt;-"))</f>
        <v/>
      </c>
      <c r="AV206" s="126" t="str">
        <f aca="false">IF(ISBLANK($C206),"",AND($AH206,OR($AI206="",$AJ206="",AND(NOT(ISBLANK($S206)),$AK206=""))))</f>
        <v/>
      </c>
      <c r="AW206" s="129" t="str">
        <f aca="false">IF($BD206&lt;&gt;Constants!$B$6,"",IF($AH206,Constants!$B$17*$AJ206,Constants!$B$18))</f>
        <v/>
      </c>
      <c r="AX206" s="130" t="str">
        <f aca="false">IF($BD206&lt;&gt;Constants!$B$6,"",Constants!$B$19*IF($AH206,$AI206,0))</f>
        <v/>
      </c>
      <c r="AY206" s="130" t="str">
        <f aca="false">IF($BD206&lt;&gt;Constants!$B$6,"",IF(AND($AH206,ISNUMBER($AK206)),Constants!$B$20*(Constants!$B$21-$AK206),0))</f>
        <v/>
      </c>
      <c r="AZ206" s="130" t="str">
        <f aca="false">IF($BD206&lt;&gt;Constants!$B$6,"",IF($AG206,0,Constants!$B$12)+IF($AF206,0,Constants!$B$13)+IF($Y206,0,Constants!$B$14))</f>
        <v/>
      </c>
      <c r="BA206" s="131" t="str">
        <f aca="false">IF($BD206&lt;&gt;Constants!$B$6,"",Constants!$B$16+SUM($AW206:$AZ206))</f>
        <v/>
      </c>
      <c r="BB206" s="130" t="str">
        <f aca="false">IF($BD206&lt;&gt;Constants!$B$6,"",IF($AH206,$AJ206,""))</f>
        <v/>
      </c>
      <c r="BC206" s="132" t="str">
        <f aca="false">IF($BD206&lt;&gt;Constants!$B$6,"",$AX206)</f>
        <v/>
      </c>
      <c r="BD206" s="127" t="str">
        <f aca="false">IF(ISBLANK($C206),"",IF($AL206,Constants!$B$9,IF(COUNTA($E206:$T206)=0,Constants!$B$8,IF(NOT($X206),Constants!$B$7,IF(OR($AM206,$AV206),Constants!$B$10,Constants!$B$6)))))</f>
        <v/>
      </c>
      <c r="BE206" s="127" t="str">
        <f aca="false">IF(ISBLANK($C206),"",IF($BD206&lt;&gt;Constants!$B$6,$BD206,Constants!$B$11))</f>
        <v/>
      </c>
      <c r="BF206" s="130" t="str">
        <f aca="false">IF($BD206&lt;&gt;Constants!$B$6,"",IF($AU206="-&gt;",$BA206,$AR206))</f>
        <v/>
      </c>
      <c r="BG206" s="130" t="str">
        <f aca="false">IF($BD206&lt;&gt;Constants!$B$6,"",IF($W206,0,Constants!$B$15))</f>
        <v/>
      </c>
      <c r="BH206" s="130" t="str">
        <f aca="false">IF(ISBLANK($C206),"",IF($BD206&lt;&gt;Constants!$B$6,$BD206,SUM($BF206:$BG206)))</f>
        <v/>
      </c>
      <c r="BI206" s="127" t="str">
        <f aca="false">IF(ISBLANK($C206),"",IF($BD206&lt;&gt;Constants!$B$6,$BD206,RANK($BH206,$BH$9:$BH$508,1)))</f>
        <v/>
      </c>
      <c r="BJ206" s="130" t="str">
        <f aca="false">IF($BD206&lt;&gt;Constants!$B$6,"",IF($AU206="-&gt;",$BB206,$AS206))</f>
        <v/>
      </c>
      <c r="BK206" s="127" t="str">
        <f aca="false">IF(ISBLANK($C206),"",IF($BD206&lt;&gt;Constants!$B$6,$BD206,IF(ISNUMBER($BJ206),RANK($BJ206,$BJ$9:$BJ$508,1),COUNT($BJ$9:$BJ$508)+1)))</f>
        <v/>
      </c>
      <c r="BL206" s="130" t="str">
        <f aca="false">IF($BD206&lt;&gt;Constants!$B$6,"",IF($AU206="-&gt;",$BC206,$AT206))</f>
        <v/>
      </c>
      <c r="BM206" s="127" t="str">
        <f aca="false">IF(ISBLANK($C206),"",IF($BD206&lt;&gt;Constants!$B$6,$BD206,IF(ISNUMBER($BL206),RANK($BL206,$BL$9:$BL$508,1),COUNT($BL$9:$BL$508)+1)))</f>
        <v/>
      </c>
      <c r="BN206" s="130" t="str">
        <f aca="false">IF($BD206&lt;&gt;Constants!$B$6,"",IF($AU206="-&gt;",$AS206,$BB206))</f>
        <v/>
      </c>
      <c r="BO206" s="127" t="str">
        <f aca="false">IF(ISBLANK($C206),"",IF($BD206&lt;&gt;Constants!$B$6,$BD206,IF(ISNUMBER($BN206),RANK($BN206,$BN$9:$BN$508,1),COUNT($BN$9:$BN$508)+1)))</f>
        <v/>
      </c>
      <c r="BP206" s="130" t="str">
        <f aca="false">IF($BD206&lt;&gt;Constants!$B$6,"",IF($AU206="-&gt;",$AT206,$BC206))</f>
        <v/>
      </c>
      <c r="BQ206" s="127" t="str">
        <f aca="false">IF(ISBLANK($C206),"",IF($BD206&lt;&gt;Constants!$B$6,$BD206,IF(ISNUMBER($BP206),RANK($BP206,$BP$9:$BP$508,1),COUNT($BP$9:$BP$508)+1)))</f>
        <v/>
      </c>
      <c r="BR206" s="127" t="str">
        <f aca="false">IF(ISBLANK($C206),"",IF($BD206&lt;&gt;Constants!$B$6,$BD206,COUNTIFS($BI$9:$BI$508,"&lt;"&amp;$BI206)+COUNTIFS($BI$9:$BI$508,$BI206,$BK$9:$BK$508,"&lt;"&amp;$BK206)+COUNTIFS($BI$9:$BI$508,$BI206,$BK$9:$BK$508,$BK206,$BM$9:$BM$508,"&lt;"&amp;$BM206)+COUNTIFS($BI$9:$BI$508,$BI206,$BK$9:$BK$508,$BK206,$BM$9:$BM$508,$BM206,$BO$9:$BO$508,"&lt;"&amp;$BO206)+COUNTIFS($BI$9:$BI$508,$BI206,$BK$9:$BK$508,$BK206,$BM$9:$BM$508,$BM206,$BO$9:$BO$508,$BO206,$BQ$9:$BQ$508,"&lt;"&amp;$BQ206)+1))</f>
        <v/>
      </c>
      <c r="BS206" s="127" t="str">
        <f aca="false">IF(ISBLANK($C206),"",IF($BD206&lt;&gt;Constants!$B$6,$BD206,$BI206-$BR206))</f>
        <v/>
      </c>
      <c r="BT206" s="133"/>
      <c r="BU206" s="134"/>
      <c r="BV206" s="134" t="str">
        <f aca="false">IF(ISBLANK($C206),"",IF($BD206&lt;&gt;Constants!$B$6,"",IF($AU206="-&gt;",2,1)))</f>
        <v/>
      </c>
      <c r="BW206" s="135" t="str">
        <f aca="false">IF(ISBLANK($C206),"",IF($BD206&lt;&gt;Constants!$B$6,"",IF($AU206="-&gt;",$AW206,$AN206)))</f>
        <v/>
      </c>
      <c r="BX206" s="135" t="str">
        <f aca="false">IF(ISBLANK($C206),"",IF($BD206&lt;&gt;Constants!$B$6,"",IF($AU206="-&gt;",$AX206,$AO206)))</f>
        <v/>
      </c>
      <c r="BY206" s="135" t="str">
        <f aca="false">IF(ISBLANK($C206),"",IF($BD206&lt;&gt;Constants!$B$6,"",IF($AU206="-&gt;",$AY206,$AP206)))</f>
        <v/>
      </c>
      <c r="BZ206" s="135" t="str">
        <f aca="false">IF(ISBLANK($C206),"",IF($BD206&lt;&gt;Constants!$B$6,"",IF($AU206="-&gt;",$AZ206,$AQ206)+$BG206))</f>
        <v/>
      </c>
      <c r="CA206" s="136" t="str">
        <f aca="false">IF(ISBLANK($C206),"",IF($BD206&lt;&gt;Constants!$B$6,$BD206,$BH206))</f>
        <v/>
      </c>
      <c r="CB206" s="137" t="str">
        <f aca="false">IF(ISBLANK($C206),"",$BE206)</f>
        <v/>
      </c>
      <c r="CC206" s="138" t="str">
        <f aca="false">IF(ISBLANK($C206),"",$BS206)</f>
        <v/>
      </c>
      <c r="CD206" s="138" t="str">
        <f aca="false">IF(ISBLANK($C206),"",$BR206)</f>
        <v/>
      </c>
      <c r="CE206" s="139" t="str">
        <f aca="false">IF(ISBLANK($C206),"",IF($CD206=Constants!$B$9,COUNTA($C$9:$C$508)+2,IF($CD206=Constants!$B$8,COUNTA($C$9:$C$508)+1,IF($CD206=Constants!$B$7,COUNTA($C$9:$C$508),$CD206))))</f>
        <v/>
      </c>
      <c r="CF206" s="9"/>
      <c r="CG206" s="140" t="n">
        <f aca="false">IF(OR(ISNUMBER($CD206),$CD206=Constants!$B$9,$CD206=Constants!$B$7,$CD206=Constants!$B$8),1,0)</f>
        <v>0</v>
      </c>
      <c r="CH206" s="140" t="n">
        <v>198</v>
      </c>
      <c r="CI206" s="140" t="str">
        <f aca="false">IF(ISBLANK($C206),"",IF(ISNUMBER($CE206),$CE206+ROW($B206)/1000,""))</f>
        <v/>
      </c>
      <c r="CJ206" s="140" t="str">
        <f aca="false">IF(ISNUMBER($CI206),RANK($CI206,$CI$9:$CI$508,1),"")</f>
        <v/>
      </c>
      <c r="CK206" s="140" t="str">
        <f aca="false">IF(ISBLANK($C206),"",$B206)</f>
        <v/>
      </c>
      <c r="CL206" s="140" t="str">
        <f aca="false">IF(ISBLANK($C206),"",$C206)</f>
        <v/>
      </c>
      <c r="CM206" s="140" t="str">
        <f aca="false">IF(ISBLANK($C206),"",$D206)</f>
        <v/>
      </c>
      <c r="CN206" s="141" t="str">
        <f aca="false">$CB206</f>
        <v/>
      </c>
      <c r="CO206" s="142" t="str">
        <f aca="false">$CA206</f>
        <v/>
      </c>
      <c r="CP206" s="140" t="str">
        <f aca="false">IF(ISBLANK($C206),"",$CD206)</f>
        <v/>
      </c>
      <c r="CQ206" s="143" t="str">
        <f aca="false">IF($CH206&gt;$CG$8,"",VLOOKUP($CH206,$CJ$9:$CP$508,7,FALSE()))</f>
        <v/>
      </c>
      <c r="CR206" s="144" t="str">
        <f aca="false">IF($CH206&gt;$CG$8,"",VLOOKUP($CH206,$CJ$9:$CP$508,2,FALSE()))</f>
        <v/>
      </c>
      <c r="CS206" s="144" t="str">
        <f aca="false">IF($CH206&gt;$CG$8,"",VLOOKUP($CH206,$CJ$9:$CP$508,3,FALSE()))</f>
        <v/>
      </c>
      <c r="CT206" s="144" t="str">
        <f aca="false">IF($CH206&gt;$CG$8,"",VLOOKUP($CH206,$CJ$9:$CP$508,4,FALSE()))</f>
        <v/>
      </c>
      <c r="CU206" s="144" t="str">
        <f aca="false">IF($CH206&gt;$CG$8,"",VLOOKUP($CH206,$CJ$9:$CP$508,5,FALSE()))</f>
        <v/>
      </c>
      <c r="CV206" s="145" t="str">
        <f aca="false">IF($CH206&gt;$CG$8,"",VLOOKUP($CH206,$CJ$9:$CP$508,6,FALSE()))</f>
        <v/>
      </c>
      <c r="CW206" s="71"/>
    </row>
    <row r="207" customFormat="false" ht="15.75" hidden="false" customHeight="false" outlineLevel="0" collapsed="false">
      <c r="A207" s="9"/>
      <c r="B207" s="72"/>
      <c r="C207" s="73"/>
      <c r="D207" s="160"/>
      <c r="E207" s="168"/>
      <c r="F207" s="162"/>
      <c r="G207" s="163"/>
      <c r="H207" s="169"/>
      <c r="I207" s="167"/>
      <c r="J207" s="80"/>
      <c r="K207" s="81"/>
      <c r="L207" s="82"/>
      <c r="M207" s="166"/>
      <c r="N207" s="167"/>
      <c r="O207" s="167"/>
      <c r="P207" s="80"/>
      <c r="Q207" s="82"/>
      <c r="R207" s="82"/>
      <c r="S207" s="166"/>
      <c r="T207" s="167"/>
      <c r="U207" s="86"/>
      <c r="V207" s="87"/>
      <c r="W207" s="87" t="str">
        <f aca="false">IF(ISBLANK($C207),"",IF(E207=Constants!$B$2,TRUE(),IF(E207=Constants!$B$3,FALSE(),TRUE())))</f>
        <v/>
      </c>
      <c r="X207" s="87" t="str">
        <f aca="false">IF(ISBLANK($C207),"",IF(F207=Constants!$B$2,TRUE(),IF(F207=Constants!$B$3,FALSE(),TRUE())))</f>
        <v/>
      </c>
      <c r="Y207" s="87" t="str">
        <f aca="false">IF(ISBLANK($C207),"",IF(G207=Constants!$B$2,TRUE(),IF(G207=Constants!$B$3,FALSE(),TRUE())))</f>
        <v/>
      </c>
      <c r="Z207" s="87" t="str">
        <f aca="false">IF(ISBLANK($C207),"",IF(H207=Constants!$B$2,TRUE(),IF(H207=Constants!$B$3,FALSE(),TRUE())))</f>
        <v/>
      </c>
      <c r="AA207" s="87" t="str">
        <f aca="false">IF(ISBLANK($C207),"",IF(I207=Constants!$B$2,TRUE(),IF(I207=Constants!$B$3,FALSE(),TRUE())))</f>
        <v/>
      </c>
      <c r="AB207" s="87" t="str">
        <f aca="false">IF(ISBLANK($C207),"",IF(J207=Constants!$B$4,TRUE(),IF(J207=Constants!$B$5,FALSE(),COUNTA(K207:M207)&gt;0)))</f>
        <v/>
      </c>
      <c r="AC207" s="88" t="str">
        <f aca="false">IF(ISBLANK($C207),"",IF(ISNUMBER(K207),IF(K207&gt;=0,K207,""),""))</f>
        <v/>
      </c>
      <c r="AD207" s="89" t="str">
        <f aca="false">IF(ISBLANK($C207),"",IF(ISNUMBER(L207),IF(L207&gt;=0,L207,""),""))</f>
        <v/>
      </c>
      <c r="AE207" s="87" t="str">
        <f aca="false">IF(ISBLANK($C207),"",IF(ISNUMBER(M207),IF(M207&gt;=0,MIN(M207,Constants!$B$22),""),""))</f>
        <v/>
      </c>
      <c r="AF207" s="87" t="str">
        <f aca="false">IF(ISBLANK($C207),"",IF(N207=Constants!$B$2,TRUE(),IF(N207=Constants!$B$3,FALSE(),TRUE())))</f>
        <v/>
      </c>
      <c r="AG207" s="87" t="str">
        <f aca="false">IF(ISBLANK($C207),"",IF(O207=Constants!$B$2,TRUE(),IF(O207=Constants!$B$3,FALSE(),TRUE())))</f>
        <v/>
      </c>
      <c r="AH207" s="87" t="str">
        <f aca="false">IF(ISBLANK($C207),"",IF(P207=Constants!$B$4,TRUE(),IF(P207=Constants!$B$5,FALSE(),COUNTA(Q207:S207)&gt;0)))</f>
        <v/>
      </c>
      <c r="AI207" s="88" t="str">
        <f aca="false">IF(ISBLANK($C207),"",IF(ISNUMBER(Q207),IF(Q207&gt;=0,Q207,""),""))</f>
        <v/>
      </c>
      <c r="AJ207" s="89" t="str">
        <f aca="false">IF(ISBLANK($C207),"",IF(ISNUMBER(R207),IF(R207&gt;=0,R207,""),""))</f>
        <v/>
      </c>
      <c r="AK207" s="87" t="str">
        <f aca="false">IF(ISBLANK($C207),"",IF(ISNUMBER(S207),IF(S207&gt;=0,MIN(S207,Constants!$B$22),""),""))</f>
        <v/>
      </c>
      <c r="AL207" s="87" t="str">
        <f aca="false">IF(ISBLANK($C207),"",IF(T207=Constants!$B$2,TRUE(),IF(T207=Constants!$B$3,FALSE(),FALSE())))</f>
        <v/>
      </c>
      <c r="AM207" s="86" t="str">
        <f aca="false">IF(ISBLANK($C207),"",AND($AB207,OR($AC207="",$AD207="",AND(NOT(ISBLANK($M207)),$AE207=""))))</f>
        <v/>
      </c>
      <c r="AN207" s="89" t="str">
        <f aca="false">IF($BD207&lt;&gt;Constants!$B$6,"",IF($AB207,Constants!$B$17*$AD207,Constants!$B$18))</f>
        <v/>
      </c>
      <c r="AO207" s="91" t="str">
        <f aca="false">IF($BD207&lt;&gt;Constants!$B$6,"",Constants!$B$19*IF($AB207,$AC207,0))</f>
        <v/>
      </c>
      <c r="AP207" s="91" t="str">
        <f aca="false">IF($BD207&lt;&gt;Constants!$B$6,"",IF(AND($AB207,ISNUMBER($AE207)),Constants!$B$20*(Constants!$B$21-$AE207),0))</f>
        <v/>
      </c>
      <c r="AQ207" s="91" t="str">
        <f aca="false">IF($BD207&lt;&gt;Constants!$B$6,"",IF($AA207,0,Constants!$B$12)+IF($Z207,0,Constants!$B$13)+IF($Y207,0,Constants!$B$14))</f>
        <v/>
      </c>
      <c r="AR207" s="92" t="str">
        <f aca="false">IF($BD207&lt;&gt;Constants!$B$6,"",Constants!$B$16+SUM($AN207:$AQ207))</f>
        <v/>
      </c>
      <c r="AS207" s="91" t="str">
        <f aca="false">IF($BD207&lt;&gt;Constants!$B$6,"",IF($AB207,$AD207,""))</f>
        <v/>
      </c>
      <c r="AT207" s="93" t="str">
        <f aca="false">IF($BD207&lt;&gt;Constants!$B$6,"",$AO207)</f>
        <v/>
      </c>
      <c r="AU207" s="87" t="str">
        <f aca="false">IF($BD207&lt;&gt;Constants!$B$6,"",IF(OR($BA207&lt;$AR207,AND($BA207=$AR207,OR(AND(ISNUMBER($BB207),OR(NOT(ISNUMBER($AS207)),$BB207&lt;$AS207)),AND(OR(AND($BB207="",$AS207=""),AND(ISNUMBER($BB207),ISNUMBER($AS207),$BB207=$AS207)),$BC207&lt;$AT207)))),"-&gt;","&lt;-"))</f>
        <v/>
      </c>
      <c r="AV207" s="86" t="str">
        <f aca="false">IF(ISBLANK($C207),"",AND($AH207,OR($AI207="",$AJ207="",AND(NOT(ISBLANK($S207)),$AK207=""))))</f>
        <v/>
      </c>
      <c r="AW207" s="89" t="str">
        <f aca="false">IF($BD207&lt;&gt;Constants!$B$6,"",IF($AH207,Constants!$B$17*$AJ207,Constants!$B$18))</f>
        <v/>
      </c>
      <c r="AX207" s="91" t="str">
        <f aca="false">IF($BD207&lt;&gt;Constants!$B$6,"",Constants!$B$19*IF($AH207,$AI207,0))</f>
        <v/>
      </c>
      <c r="AY207" s="91" t="str">
        <f aca="false">IF($BD207&lt;&gt;Constants!$B$6,"",IF(AND($AH207,ISNUMBER($AK207)),Constants!$B$20*(Constants!$B$21-$AK207),0))</f>
        <v/>
      </c>
      <c r="AZ207" s="91" t="str">
        <f aca="false">IF($BD207&lt;&gt;Constants!$B$6,"",IF($AG207,0,Constants!$B$12)+IF($AF207,0,Constants!$B$13)+IF($Y207,0,Constants!$B$14))</f>
        <v/>
      </c>
      <c r="BA207" s="92" t="str">
        <f aca="false">IF($BD207&lt;&gt;Constants!$B$6,"",Constants!$B$16+SUM($AW207:$AZ207))</f>
        <v/>
      </c>
      <c r="BB207" s="91" t="str">
        <f aca="false">IF($BD207&lt;&gt;Constants!$B$6,"",IF($AH207,$AJ207,""))</f>
        <v/>
      </c>
      <c r="BC207" s="93" t="str">
        <f aca="false">IF($BD207&lt;&gt;Constants!$B$6,"",$AX207)</f>
        <v/>
      </c>
      <c r="BD207" s="87" t="str">
        <f aca="false">IF(ISBLANK($C207),"",IF($AL207,Constants!$B$9,IF(COUNTA($E207:$T207)=0,Constants!$B$8,IF(NOT($X207),Constants!$B$7,IF(OR($AM207,$AV207),Constants!$B$10,Constants!$B$6)))))</f>
        <v/>
      </c>
      <c r="BE207" s="87" t="str">
        <f aca="false">IF(ISBLANK($C207),"",IF($BD207&lt;&gt;Constants!$B$6,$BD207,Constants!$B$11))</f>
        <v/>
      </c>
      <c r="BF207" s="91" t="str">
        <f aca="false">IF($BD207&lt;&gt;Constants!$B$6,"",IF($AU207="-&gt;",$BA207,$AR207))</f>
        <v/>
      </c>
      <c r="BG207" s="91" t="str">
        <f aca="false">IF($BD207&lt;&gt;Constants!$B$6,"",IF($W207,0,Constants!$B$15))</f>
        <v/>
      </c>
      <c r="BH207" s="91" t="str">
        <f aca="false">IF(ISBLANK($C207),"",IF($BD207&lt;&gt;Constants!$B$6,$BD207,SUM($BF207:$BG207)))</f>
        <v/>
      </c>
      <c r="BI207" s="87" t="str">
        <f aca="false">IF(ISBLANK($C207),"",IF($BD207&lt;&gt;Constants!$B$6,$BD207,RANK($BH207,$BH$9:$BH$508,1)))</f>
        <v/>
      </c>
      <c r="BJ207" s="91" t="str">
        <f aca="false">IF($BD207&lt;&gt;Constants!$B$6,"",IF($AU207="-&gt;",$BB207,$AS207))</f>
        <v/>
      </c>
      <c r="BK207" s="87" t="str">
        <f aca="false">IF(ISBLANK($C207),"",IF($BD207&lt;&gt;Constants!$B$6,$BD207,IF(ISNUMBER($BJ207),RANK($BJ207,$BJ$9:$BJ$508,1),COUNT($BJ$9:$BJ$508)+1)))</f>
        <v/>
      </c>
      <c r="BL207" s="91" t="str">
        <f aca="false">IF($BD207&lt;&gt;Constants!$B$6,"",IF($AU207="-&gt;",$BC207,$AT207))</f>
        <v/>
      </c>
      <c r="BM207" s="87" t="str">
        <f aca="false">IF(ISBLANK($C207),"",IF($BD207&lt;&gt;Constants!$B$6,$BD207,IF(ISNUMBER($BL207),RANK($BL207,$BL$9:$BL$508,1),COUNT($BL$9:$BL$508)+1)))</f>
        <v/>
      </c>
      <c r="BN207" s="91" t="str">
        <f aca="false">IF($BD207&lt;&gt;Constants!$B$6,"",IF($AU207="-&gt;",$AS207,$BB207))</f>
        <v/>
      </c>
      <c r="BO207" s="87" t="str">
        <f aca="false">IF(ISBLANK($C207),"",IF($BD207&lt;&gt;Constants!$B$6,$BD207,IF(ISNUMBER($BN207),RANK($BN207,$BN$9:$BN$508,1),COUNT($BN$9:$BN$508)+1)))</f>
        <v/>
      </c>
      <c r="BP207" s="91" t="str">
        <f aca="false">IF($BD207&lt;&gt;Constants!$B$6,"",IF($AU207="-&gt;",$AT207,$BC207))</f>
        <v/>
      </c>
      <c r="BQ207" s="87" t="str">
        <f aca="false">IF(ISBLANK($C207),"",IF($BD207&lt;&gt;Constants!$B$6,$BD207,IF(ISNUMBER($BP207),RANK($BP207,$BP$9:$BP$508,1),COUNT($BP$9:$BP$508)+1)))</f>
        <v/>
      </c>
      <c r="BR207" s="87" t="str">
        <f aca="false">IF(ISBLANK($C207),"",IF($BD207&lt;&gt;Constants!$B$6,$BD207,COUNTIFS($BI$9:$BI$508,"&lt;"&amp;$BI207)+COUNTIFS($BI$9:$BI$508,$BI207,$BK$9:$BK$508,"&lt;"&amp;$BK207)+COUNTIFS($BI$9:$BI$508,$BI207,$BK$9:$BK$508,$BK207,$BM$9:$BM$508,"&lt;"&amp;$BM207)+COUNTIFS($BI$9:$BI$508,$BI207,$BK$9:$BK$508,$BK207,$BM$9:$BM$508,$BM207,$BO$9:$BO$508,"&lt;"&amp;$BO207)+COUNTIFS($BI$9:$BI$508,$BI207,$BK$9:$BK$508,$BK207,$BM$9:$BM$508,$BM207,$BO$9:$BO$508,$BO207,$BQ$9:$BQ$508,"&lt;"&amp;$BQ207)+1))</f>
        <v/>
      </c>
      <c r="BS207" s="87" t="str">
        <f aca="false">IF(ISBLANK($C207),"",IF($BD207&lt;&gt;Constants!$B$6,$BD207,$BI207-$BR207))</f>
        <v/>
      </c>
      <c r="BT207" s="94"/>
      <c r="BU207" s="95"/>
      <c r="BV207" s="95" t="str">
        <f aca="false">IF(ISBLANK($C207),"",IF($BD207&lt;&gt;Constants!$B$6,"",IF($AU207="-&gt;",2,1)))</f>
        <v/>
      </c>
      <c r="BW207" s="96" t="str">
        <f aca="false">IF(ISBLANK($C207),"",IF($BD207&lt;&gt;Constants!$B$6,"",IF($AU207="-&gt;",$AW207,$AN207)))</f>
        <v/>
      </c>
      <c r="BX207" s="96" t="str">
        <f aca="false">IF(ISBLANK($C207),"",IF($BD207&lt;&gt;Constants!$B$6,"",IF($AU207="-&gt;",$AX207,$AO207)))</f>
        <v/>
      </c>
      <c r="BY207" s="96" t="str">
        <f aca="false">IF(ISBLANK($C207),"",IF($BD207&lt;&gt;Constants!$B$6,"",IF($AU207="-&gt;",$AY207,$AP207)))</f>
        <v/>
      </c>
      <c r="BZ207" s="96" t="str">
        <f aca="false">IF(ISBLANK($C207),"",IF($BD207&lt;&gt;Constants!$B$6,"",IF($AU207="-&gt;",$AZ207,$AQ207)+$BG207))</f>
        <v/>
      </c>
      <c r="CA207" s="97" t="str">
        <f aca="false">IF(ISBLANK($C207),"",IF($BD207&lt;&gt;Constants!$B$6,$BD207,$BH207))</f>
        <v/>
      </c>
      <c r="CB207" s="98" t="str">
        <f aca="false">IF(ISBLANK($C207),"",$BE207)</f>
        <v/>
      </c>
      <c r="CC207" s="99" t="str">
        <f aca="false">IF(ISBLANK($C207),"",$BS207)</f>
        <v/>
      </c>
      <c r="CD207" s="99" t="str">
        <f aca="false">IF(ISBLANK($C207),"",$BR207)</f>
        <v/>
      </c>
      <c r="CE207" s="100" t="str">
        <f aca="false">IF(ISBLANK($C207),"",IF($CD207=Constants!$B$9,COUNTA($C$9:$C$508)+2,IF($CD207=Constants!$B$8,COUNTA($C$9:$C$508)+1,IF($CD207=Constants!$B$7,COUNTA($C$9:$C$508),$CD207))))</f>
        <v/>
      </c>
      <c r="CF207" s="9"/>
      <c r="CG207" s="101" t="n">
        <f aca="false">IF(OR(ISNUMBER($CD207),$CD207=Constants!$B$9,$CD207=Constants!$B$7,$CD207=Constants!$B$8),1,0)</f>
        <v>0</v>
      </c>
      <c r="CH207" s="101" t="n">
        <v>199</v>
      </c>
      <c r="CI207" s="101" t="str">
        <f aca="false">IF(ISBLANK($C207),"",IF(ISNUMBER($CE207),$CE207+ROW($B207)/1000,""))</f>
        <v/>
      </c>
      <c r="CJ207" s="101" t="str">
        <f aca="false">IF(ISNUMBER($CI207),RANK($CI207,$CI$9:$CI$508,1),"")</f>
        <v/>
      </c>
      <c r="CK207" s="101" t="str">
        <f aca="false">IF(ISBLANK($C207),"",$B207)</f>
        <v/>
      </c>
      <c r="CL207" s="101" t="str">
        <f aca="false">IF(ISBLANK($C207),"",$C207)</f>
        <v/>
      </c>
      <c r="CM207" s="101" t="str">
        <f aca="false">IF(ISBLANK($C207),"",$D207)</f>
        <v/>
      </c>
      <c r="CN207" s="102" t="str">
        <f aca="false">$CB207</f>
        <v/>
      </c>
      <c r="CO207" s="103" t="str">
        <f aca="false">$CA207</f>
        <v/>
      </c>
      <c r="CP207" s="101" t="str">
        <f aca="false">IF(ISBLANK($C207),"",$CD207)</f>
        <v/>
      </c>
      <c r="CQ207" s="104" t="str">
        <f aca="false">IF($CH207&gt;$CG$8,"",VLOOKUP($CH207,$CJ$9:$CP$508,7,FALSE()))</f>
        <v/>
      </c>
      <c r="CR207" s="105" t="str">
        <f aca="false">IF($CH207&gt;$CG$8,"",VLOOKUP($CH207,$CJ$9:$CP$508,2,FALSE()))</f>
        <v/>
      </c>
      <c r="CS207" s="105" t="str">
        <f aca="false">IF($CH207&gt;$CG$8,"",VLOOKUP($CH207,$CJ$9:$CP$508,3,FALSE()))</f>
        <v/>
      </c>
      <c r="CT207" s="105" t="str">
        <f aca="false">IF($CH207&gt;$CG$8,"",VLOOKUP($CH207,$CJ$9:$CP$508,4,FALSE()))</f>
        <v/>
      </c>
      <c r="CU207" s="105" t="str">
        <f aca="false">IF($CH207&gt;$CG$8,"",VLOOKUP($CH207,$CJ$9:$CP$508,5,FALSE()))</f>
        <v/>
      </c>
      <c r="CV207" s="106" t="str">
        <f aca="false">IF($CH207&gt;$CG$8,"",VLOOKUP($CH207,$CJ$9:$CP$508,6,FALSE()))</f>
        <v/>
      </c>
      <c r="CW207" s="71"/>
    </row>
    <row r="208" customFormat="false" ht="15.75" hidden="false" customHeight="false" outlineLevel="0" collapsed="false">
      <c r="A208" s="9"/>
      <c r="B208" s="72"/>
      <c r="C208" s="73"/>
      <c r="D208" s="160"/>
      <c r="E208" s="168"/>
      <c r="F208" s="162"/>
      <c r="G208" s="163"/>
      <c r="H208" s="169"/>
      <c r="I208" s="167"/>
      <c r="J208" s="80"/>
      <c r="K208" s="81"/>
      <c r="L208" s="82"/>
      <c r="M208" s="166"/>
      <c r="N208" s="167"/>
      <c r="O208" s="167"/>
      <c r="P208" s="80"/>
      <c r="Q208" s="82"/>
      <c r="R208" s="82"/>
      <c r="S208" s="166"/>
      <c r="T208" s="167"/>
      <c r="U208" s="86"/>
      <c r="V208" s="87"/>
      <c r="W208" s="87" t="str">
        <f aca="false">IF(ISBLANK($C208),"",IF(E208=Constants!$B$2,TRUE(),IF(E208=Constants!$B$3,FALSE(),TRUE())))</f>
        <v/>
      </c>
      <c r="X208" s="87" t="str">
        <f aca="false">IF(ISBLANK($C208),"",IF(F208=Constants!$B$2,TRUE(),IF(F208=Constants!$B$3,FALSE(),TRUE())))</f>
        <v/>
      </c>
      <c r="Y208" s="87" t="str">
        <f aca="false">IF(ISBLANK($C208),"",IF(G208=Constants!$B$2,TRUE(),IF(G208=Constants!$B$3,FALSE(),TRUE())))</f>
        <v/>
      </c>
      <c r="Z208" s="87" t="str">
        <f aca="false">IF(ISBLANK($C208),"",IF(H208=Constants!$B$2,TRUE(),IF(H208=Constants!$B$3,FALSE(),TRUE())))</f>
        <v/>
      </c>
      <c r="AA208" s="87" t="str">
        <f aca="false">IF(ISBLANK($C208),"",IF(I208=Constants!$B$2,TRUE(),IF(I208=Constants!$B$3,FALSE(),TRUE())))</f>
        <v/>
      </c>
      <c r="AB208" s="87" t="str">
        <f aca="false">IF(ISBLANK($C208),"",IF(J208=Constants!$B$4,TRUE(),IF(J208=Constants!$B$5,FALSE(),COUNTA(K208:M208)&gt;0)))</f>
        <v/>
      </c>
      <c r="AC208" s="88" t="str">
        <f aca="false">IF(ISBLANK($C208),"",IF(ISNUMBER(K208),IF(K208&gt;=0,K208,""),""))</f>
        <v/>
      </c>
      <c r="AD208" s="89" t="str">
        <f aca="false">IF(ISBLANK($C208),"",IF(ISNUMBER(L208),IF(L208&gt;=0,L208,""),""))</f>
        <v/>
      </c>
      <c r="AE208" s="87" t="str">
        <f aca="false">IF(ISBLANK($C208),"",IF(ISNUMBER(M208),IF(M208&gt;=0,MIN(M208,Constants!$B$22),""),""))</f>
        <v/>
      </c>
      <c r="AF208" s="87" t="str">
        <f aca="false">IF(ISBLANK($C208),"",IF(N208=Constants!$B$2,TRUE(),IF(N208=Constants!$B$3,FALSE(),TRUE())))</f>
        <v/>
      </c>
      <c r="AG208" s="87" t="str">
        <f aca="false">IF(ISBLANK($C208),"",IF(O208=Constants!$B$2,TRUE(),IF(O208=Constants!$B$3,FALSE(),TRUE())))</f>
        <v/>
      </c>
      <c r="AH208" s="87" t="str">
        <f aca="false">IF(ISBLANK($C208),"",IF(P208=Constants!$B$4,TRUE(),IF(P208=Constants!$B$5,FALSE(),COUNTA(Q208:S208)&gt;0)))</f>
        <v/>
      </c>
      <c r="AI208" s="88" t="str">
        <f aca="false">IF(ISBLANK($C208),"",IF(ISNUMBER(Q208),IF(Q208&gt;=0,Q208,""),""))</f>
        <v/>
      </c>
      <c r="AJ208" s="89" t="str">
        <f aca="false">IF(ISBLANK($C208),"",IF(ISNUMBER(R208),IF(R208&gt;=0,R208,""),""))</f>
        <v/>
      </c>
      <c r="AK208" s="87" t="str">
        <f aca="false">IF(ISBLANK($C208),"",IF(ISNUMBER(S208),IF(S208&gt;=0,MIN(S208,Constants!$B$22),""),""))</f>
        <v/>
      </c>
      <c r="AL208" s="87" t="str">
        <f aca="false">IF(ISBLANK($C208),"",IF(T208=Constants!$B$2,TRUE(),IF(T208=Constants!$B$3,FALSE(),FALSE())))</f>
        <v/>
      </c>
      <c r="AM208" s="86" t="str">
        <f aca="false">IF(ISBLANK($C208),"",AND($AB208,OR($AC208="",$AD208="",AND(NOT(ISBLANK($M208)),$AE208=""))))</f>
        <v/>
      </c>
      <c r="AN208" s="89" t="str">
        <f aca="false">IF($BD208&lt;&gt;Constants!$B$6,"",IF($AB208,Constants!$B$17*$AD208,Constants!$B$18))</f>
        <v/>
      </c>
      <c r="AO208" s="91" t="str">
        <f aca="false">IF($BD208&lt;&gt;Constants!$B$6,"",Constants!$B$19*IF($AB208,$AC208,0))</f>
        <v/>
      </c>
      <c r="AP208" s="91" t="str">
        <f aca="false">IF($BD208&lt;&gt;Constants!$B$6,"",IF(AND($AB208,ISNUMBER($AE208)),Constants!$B$20*(Constants!$B$21-$AE208),0))</f>
        <v/>
      </c>
      <c r="AQ208" s="91" t="str">
        <f aca="false">IF($BD208&lt;&gt;Constants!$B$6,"",IF($AA208,0,Constants!$B$12)+IF($Z208,0,Constants!$B$13)+IF($Y208,0,Constants!$B$14))</f>
        <v/>
      </c>
      <c r="AR208" s="92" t="str">
        <f aca="false">IF($BD208&lt;&gt;Constants!$B$6,"",Constants!$B$16+SUM($AN208:$AQ208))</f>
        <v/>
      </c>
      <c r="AS208" s="91" t="str">
        <f aca="false">IF($BD208&lt;&gt;Constants!$B$6,"",IF($AB208,$AD208,""))</f>
        <v/>
      </c>
      <c r="AT208" s="93" t="str">
        <f aca="false">IF($BD208&lt;&gt;Constants!$B$6,"",$AO208)</f>
        <v/>
      </c>
      <c r="AU208" s="87" t="str">
        <f aca="false">IF($BD208&lt;&gt;Constants!$B$6,"",IF(OR($BA208&lt;$AR208,AND($BA208=$AR208,OR(AND(ISNUMBER($BB208),OR(NOT(ISNUMBER($AS208)),$BB208&lt;$AS208)),AND(OR(AND($BB208="",$AS208=""),AND(ISNUMBER($BB208),ISNUMBER($AS208),$BB208=$AS208)),$BC208&lt;$AT208)))),"-&gt;","&lt;-"))</f>
        <v/>
      </c>
      <c r="AV208" s="86" t="str">
        <f aca="false">IF(ISBLANK($C208),"",AND($AH208,OR($AI208="",$AJ208="",AND(NOT(ISBLANK($S208)),$AK208=""))))</f>
        <v/>
      </c>
      <c r="AW208" s="89" t="str">
        <f aca="false">IF($BD208&lt;&gt;Constants!$B$6,"",IF($AH208,Constants!$B$17*$AJ208,Constants!$B$18))</f>
        <v/>
      </c>
      <c r="AX208" s="91" t="str">
        <f aca="false">IF($BD208&lt;&gt;Constants!$B$6,"",Constants!$B$19*IF($AH208,$AI208,0))</f>
        <v/>
      </c>
      <c r="AY208" s="91" t="str">
        <f aca="false">IF($BD208&lt;&gt;Constants!$B$6,"",IF(AND($AH208,ISNUMBER($AK208)),Constants!$B$20*(Constants!$B$21-$AK208),0))</f>
        <v/>
      </c>
      <c r="AZ208" s="91" t="str">
        <f aca="false">IF($BD208&lt;&gt;Constants!$B$6,"",IF($AG208,0,Constants!$B$12)+IF($AF208,0,Constants!$B$13)+IF($Y208,0,Constants!$B$14))</f>
        <v/>
      </c>
      <c r="BA208" s="92" t="str">
        <f aca="false">IF($BD208&lt;&gt;Constants!$B$6,"",Constants!$B$16+SUM($AW208:$AZ208))</f>
        <v/>
      </c>
      <c r="BB208" s="91" t="str">
        <f aca="false">IF($BD208&lt;&gt;Constants!$B$6,"",IF($AH208,$AJ208,""))</f>
        <v/>
      </c>
      <c r="BC208" s="93" t="str">
        <f aca="false">IF($BD208&lt;&gt;Constants!$B$6,"",$AX208)</f>
        <v/>
      </c>
      <c r="BD208" s="87" t="str">
        <f aca="false">IF(ISBLANK($C208),"",IF($AL208,Constants!$B$9,IF(COUNTA($E208:$T208)=0,Constants!$B$8,IF(NOT($X208),Constants!$B$7,IF(OR($AM208,$AV208),Constants!$B$10,Constants!$B$6)))))</f>
        <v/>
      </c>
      <c r="BE208" s="87" t="str">
        <f aca="false">IF(ISBLANK($C208),"",IF($BD208&lt;&gt;Constants!$B$6,$BD208,Constants!$B$11))</f>
        <v/>
      </c>
      <c r="BF208" s="91" t="str">
        <f aca="false">IF($BD208&lt;&gt;Constants!$B$6,"",IF($AU208="-&gt;",$BA208,$AR208))</f>
        <v/>
      </c>
      <c r="BG208" s="91" t="str">
        <f aca="false">IF($BD208&lt;&gt;Constants!$B$6,"",IF($W208,0,Constants!$B$15))</f>
        <v/>
      </c>
      <c r="BH208" s="91" t="str">
        <f aca="false">IF(ISBLANK($C208),"",IF($BD208&lt;&gt;Constants!$B$6,$BD208,SUM($BF208:$BG208)))</f>
        <v/>
      </c>
      <c r="BI208" s="87" t="str">
        <f aca="false">IF(ISBLANK($C208),"",IF($BD208&lt;&gt;Constants!$B$6,$BD208,RANK($BH208,$BH$9:$BH$508,1)))</f>
        <v/>
      </c>
      <c r="BJ208" s="91" t="str">
        <f aca="false">IF($BD208&lt;&gt;Constants!$B$6,"",IF($AU208="-&gt;",$BB208,$AS208))</f>
        <v/>
      </c>
      <c r="BK208" s="87" t="str">
        <f aca="false">IF(ISBLANK($C208),"",IF($BD208&lt;&gt;Constants!$B$6,$BD208,IF(ISNUMBER($BJ208),RANK($BJ208,$BJ$9:$BJ$508,1),COUNT($BJ$9:$BJ$508)+1)))</f>
        <v/>
      </c>
      <c r="BL208" s="91" t="str">
        <f aca="false">IF($BD208&lt;&gt;Constants!$B$6,"",IF($AU208="-&gt;",$BC208,$AT208))</f>
        <v/>
      </c>
      <c r="BM208" s="87" t="str">
        <f aca="false">IF(ISBLANK($C208),"",IF($BD208&lt;&gt;Constants!$B$6,$BD208,IF(ISNUMBER($BL208),RANK($BL208,$BL$9:$BL$508,1),COUNT($BL$9:$BL$508)+1)))</f>
        <v/>
      </c>
      <c r="BN208" s="91" t="str">
        <f aca="false">IF($BD208&lt;&gt;Constants!$B$6,"",IF($AU208="-&gt;",$AS208,$BB208))</f>
        <v/>
      </c>
      <c r="BO208" s="87" t="str">
        <f aca="false">IF(ISBLANK($C208),"",IF($BD208&lt;&gt;Constants!$B$6,$BD208,IF(ISNUMBER($BN208),RANK($BN208,$BN$9:$BN$508,1),COUNT($BN$9:$BN$508)+1)))</f>
        <v/>
      </c>
      <c r="BP208" s="91" t="str">
        <f aca="false">IF($BD208&lt;&gt;Constants!$B$6,"",IF($AU208="-&gt;",$AT208,$BC208))</f>
        <v/>
      </c>
      <c r="BQ208" s="87" t="str">
        <f aca="false">IF(ISBLANK($C208),"",IF($BD208&lt;&gt;Constants!$B$6,$BD208,IF(ISNUMBER($BP208),RANK($BP208,$BP$9:$BP$508,1),COUNT($BP$9:$BP$508)+1)))</f>
        <v/>
      </c>
      <c r="BR208" s="87" t="str">
        <f aca="false">IF(ISBLANK($C208),"",IF($BD208&lt;&gt;Constants!$B$6,$BD208,COUNTIFS($BI$9:$BI$508,"&lt;"&amp;$BI208)+COUNTIFS($BI$9:$BI$508,$BI208,$BK$9:$BK$508,"&lt;"&amp;$BK208)+COUNTIFS($BI$9:$BI$508,$BI208,$BK$9:$BK$508,$BK208,$BM$9:$BM$508,"&lt;"&amp;$BM208)+COUNTIFS($BI$9:$BI$508,$BI208,$BK$9:$BK$508,$BK208,$BM$9:$BM$508,$BM208,$BO$9:$BO$508,"&lt;"&amp;$BO208)+COUNTIFS($BI$9:$BI$508,$BI208,$BK$9:$BK$508,$BK208,$BM$9:$BM$508,$BM208,$BO$9:$BO$508,$BO208,$BQ$9:$BQ$508,"&lt;"&amp;$BQ208)+1))</f>
        <v/>
      </c>
      <c r="BS208" s="87" t="str">
        <f aca="false">IF(ISBLANK($C208),"",IF($BD208&lt;&gt;Constants!$B$6,$BD208,$BI208-$BR208))</f>
        <v/>
      </c>
      <c r="BT208" s="94"/>
      <c r="BU208" s="95"/>
      <c r="BV208" s="95" t="str">
        <f aca="false">IF(ISBLANK($C208),"",IF($BD208&lt;&gt;Constants!$B$6,"",IF($AU208="-&gt;",2,1)))</f>
        <v/>
      </c>
      <c r="BW208" s="96" t="str">
        <f aca="false">IF(ISBLANK($C208),"",IF($BD208&lt;&gt;Constants!$B$6,"",IF($AU208="-&gt;",$AW208,$AN208)))</f>
        <v/>
      </c>
      <c r="BX208" s="96" t="str">
        <f aca="false">IF(ISBLANK($C208),"",IF($BD208&lt;&gt;Constants!$B$6,"",IF($AU208="-&gt;",$AX208,$AO208)))</f>
        <v/>
      </c>
      <c r="BY208" s="96" t="str">
        <f aca="false">IF(ISBLANK($C208),"",IF($BD208&lt;&gt;Constants!$B$6,"",IF($AU208="-&gt;",$AY208,$AP208)))</f>
        <v/>
      </c>
      <c r="BZ208" s="96" t="str">
        <f aca="false">IF(ISBLANK($C208),"",IF($BD208&lt;&gt;Constants!$B$6,"",IF($AU208="-&gt;",$AZ208,$AQ208)+$BG208))</f>
        <v/>
      </c>
      <c r="CA208" s="97" t="str">
        <f aca="false">IF(ISBLANK($C208),"",IF($BD208&lt;&gt;Constants!$B$6,$BD208,$BH208))</f>
        <v/>
      </c>
      <c r="CB208" s="98" t="str">
        <f aca="false">IF(ISBLANK($C208),"",$BE208)</f>
        <v/>
      </c>
      <c r="CC208" s="99" t="str">
        <f aca="false">IF(ISBLANK($C208),"",$BS208)</f>
        <v/>
      </c>
      <c r="CD208" s="99" t="str">
        <f aca="false">IF(ISBLANK($C208),"",$BR208)</f>
        <v/>
      </c>
      <c r="CE208" s="100" t="str">
        <f aca="false">IF(ISBLANK($C208),"",IF($CD208=Constants!$B$9,COUNTA($C$9:$C$508)+2,IF($CD208=Constants!$B$8,COUNTA($C$9:$C$508)+1,IF($CD208=Constants!$B$7,COUNTA($C$9:$C$508),$CD208))))</f>
        <v/>
      </c>
      <c r="CF208" s="9"/>
      <c r="CG208" s="101" t="n">
        <f aca="false">IF(OR(ISNUMBER($CD208),$CD208=Constants!$B$9,$CD208=Constants!$B$7,$CD208=Constants!$B$8),1,0)</f>
        <v>0</v>
      </c>
      <c r="CH208" s="101" t="n">
        <v>200</v>
      </c>
      <c r="CI208" s="101" t="str">
        <f aca="false">IF(ISBLANK($C208),"",IF(ISNUMBER($CE208),$CE208+ROW($B208)/1000,""))</f>
        <v/>
      </c>
      <c r="CJ208" s="101" t="str">
        <f aca="false">IF(ISNUMBER($CI208),RANK($CI208,$CI$9:$CI$508,1),"")</f>
        <v/>
      </c>
      <c r="CK208" s="101" t="str">
        <f aca="false">IF(ISBLANK($C208),"",$B208)</f>
        <v/>
      </c>
      <c r="CL208" s="101" t="str">
        <f aca="false">IF(ISBLANK($C208),"",$C208)</f>
        <v/>
      </c>
      <c r="CM208" s="101" t="str">
        <f aca="false">IF(ISBLANK($C208),"",$D208)</f>
        <v/>
      </c>
      <c r="CN208" s="102" t="str">
        <f aca="false">$CB208</f>
        <v/>
      </c>
      <c r="CO208" s="103" t="str">
        <f aca="false">$CA208</f>
        <v/>
      </c>
      <c r="CP208" s="101" t="str">
        <f aca="false">IF(ISBLANK($C208),"",$CD208)</f>
        <v/>
      </c>
      <c r="CQ208" s="104" t="str">
        <f aca="false">IF($CH208&gt;$CG$8,"",VLOOKUP($CH208,$CJ$9:$CP$508,7,FALSE()))</f>
        <v/>
      </c>
      <c r="CR208" s="105" t="str">
        <f aca="false">IF($CH208&gt;$CG$8,"",VLOOKUP($CH208,$CJ$9:$CP$508,2,FALSE()))</f>
        <v/>
      </c>
      <c r="CS208" s="105" t="str">
        <f aca="false">IF($CH208&gt;$CG$8,"",VLOOKUP($CH208,$CJ$9:$CP$508,3,FALSE()))</f>
        <v/>
      </c>
      <c r="CT208" s="105" t="str">
        <f aca="false">IF($CH208&gt;$CG$8,"",VLOOKUP($CH208,$CJ$9:$CP$508,4,FALSE()))</f>
        <v/>
      </c>
      <c r="CU208" s="105" t="str">
        <f aca="false">IF($CH208&gt;$CG$8,"",VLOOKUP($CH208,$CJ$9:$CP$508,5,FALSE()))</f>
        <v/>
      </c>
      <c r="CV208" s="106" t="str">
        <f aca="false">IF($CH208&gt;$CG$8,"",VLOOKUP($CH208,$CJ$9:$CP$508,6,FALSE()))</f>
        <v/>
      </c>
      <c r="CW208" s="71"/>
    </row>
    <row r="209" customFormat="false" ht="15.75" hidden="false" customHeight="false" outlineLevel="0" collapsed="false">
      <c r="A209" s="9"/>
      <c r="B209" s="72"/>
      <c r="C209" s="73"/>
      <c r="D209" s="160"/>
      <c r="E209" s="168"/>
      <c r="F209" s="162"/>
      <c r="G209" s="163"/>
      <c r="H209" s="169"/>
      <c r="I209" s="167"/>
      <c r="J209" s="80"/>
      <c r="K209" s="81"/>
      <c r="L209" s="82"/>
      <c r="M209" s="166"/>
      <c r="N209" s="167"/>
      <c r="O209" s="167"/>
      <c r="P209" s="80"/>
      <c r="Q209" s="82"/>
      <c r="R209" s="82"/>
      <c r="S209" s="166"/>
      <c r="T209" s="167"/>
      <c r="U209" s="86"/>
      <c r="V209" s="87"/>
      <c r="W209" s="87" t="str">
        <f aca="false">IF(ISBLANK($C209),"",IF(E209=Constants!$B$2,TRUE(),IF(E209=Constants!$B$3,FALSE(),TRUE())))</f>
        <v/>
      </c>
      <c r="X209" s="87" t="str">
        <f aca="false">IF(ISBLANK($C209),"",IF(F209=Constants!$B$2,TRUE(),IF(F209=Constants!$B$3,FALSE(),TRUE())))</f>
        <v/>
      </c>
      <c r="Y209" s="87" t="str">
        <f aca="false">IF(ISBLANK($C209),"",IF(G209=Constants!$B$2,TRUE(),IF(G209=Constants!$B$3,FALSE(),TRUE())))</f>
        <v/>
      </c>
      <c r="Z209" s="87" t="str">
        <f aca="false">IF(ISBLANK($C209),"",IF(H209=Constants!$B$2,TRUE(),IF(H209=Constants!$B$3,FALSE(),TRUE())))</f>
        <v/>
      </c>
      <c r="AA209" s="87" t="str">
        <f aca="false">IF(ISBLANK($C209),"",IF(I209=Constants!$B$2,TRUE(),IF(I209=Constants!$B$3,FALSE(),TRUE())))</f>
        <v/>
      </c>
      <c r="AB209" s="87" t="str">
        <f aca="false">IF(ISBLANK($C209),"",IF(J209=Constants!$B$4,TRUE(),IF(J209=Constants!$B$5,FALSE(),COUNTA(K209:M209)&gt;0)))</f>
        <v/>
      </c>
      <c r="AC209" s="88" t="str">
        <f aca="false">IF(ISBLANK($C209),"",IF(ISNUMBER(K209),IF(K209&gt;=0,K209,""),""))</f>
        <v/>
      </c>
      <c r="AD209" s="89" t="str">
        <f aca="false">IF(ISBLANK($C209),"",IF(ISNUMBER(L209),IF(L209&gt;=0,L209,""),""))</f>
        <v/>
      </c>
      <c r="AE209" s="87" t="str">
        <f aca="false">IF(ISBLANK($C209),"",IF(ISNUMBER(M209),IF(M209&gt;=0,MIN(M209,Constants!$B$22),""),""))</f>
        <v/>
      </c>
      <c r="AF209" s="87" t="str">
        <f aca="false">IF(ISBLANK($C209),"",IF(N209=Constants!$B$2,TRUE(),IF(N209=Constants!$B$3,FALSE(),TRUE())))</f>
        <v/>
      </c>
      <c r="AG209" s="87" t="str">
        <f aca="false">IF(ISBLANK($C209),"",IF(O209=Constants!$B$2,TRUE(),IF(O209=Constants!$B$3,FALSE(),TRUE())))</f>
        <v/>
      </c>
      <c r="AH209" s="87" t="str">
        <f aca="false">IF(ISBLANK($C209),"",IF(P209=Constants!$B$4,TRUE(),IF(P209=Constants!$B$5,FALSE(),COUNTA(Q209:S209)&gt;0)))</f>
        <v/>
      </c>
      <c r="AI209" s="88" t="str">
        <f aca="false">IF(ISBLANK($C209),"",IF(ISNUMBER(Q209),IF(Q209&gt;=0,Q209,""),""))</f>
        <v/>
      </c>
      <c r="AJ209" s="89" t="str">
        <f aca="false">IF(ISBLANK($C209),"",IF(ISNUMBER(R209),IF(R209&gt;=0,R209,""),""))</f>
        <v/>
      </c>
      <c r="AK209" s="87" t="str">
        <f aca="false">IF(ISBLANK($C209),"",IF(ISNUMBER(S209),IF(S209&gt;=0,MIN(S209,Constants!$B$22),""),""))</f>
        <v/>
      </c>
      <c r="AL209" s="87" t="str">
        <f aca="false">IF(ISBLANK($C209),"",IF(T209=Constants!$B$2,TRUE(),IF(T209=Constants!$B$3,FALSE(),FALSE())))</f>
        <v/>
      </c>
      <c r="AM209" s="86" t="str">
        <f aca="false">IF(ISBLANK($C209),"",AND($AB209,OR($AC209="",$AD209="",AND(NOT(ISBLANK($M209)),$AE209=""))))</f>
        <v/>
      </c>
      <c r="AN209" s="89" t="str">
        <f aca="false">IF($BD209&lt;&gt;Constants!$B$6,"",IF($AB209,Constants!$B$17*$AD209,Constants!$B$18))</f>
        <v/>
      </c>
      <c r="AO209" s="91" t="str">
        <f aca="false">IF($BD209&lt;&gt;Constants!$B$6,"",Constants!$B$19*IF($AB209,$AC209,0))</f>
        <v/>
      </c>
      <c r="AP209" s="91" t="str">
        <f aca="false">IF($BD209&lt;&gt;Constants!$B$6,"",IF(AND($AB209,ISNUMBER($AE209)),Constants!$B$20*(Constants!$B$21-$AE209),0))</f>
        <v/>
      </c>
      <c r="AQ209" s="91" t="str">
        <f aca="false">IF($BD209&lt;&gt;Constants!$B$6,"",IF($AA209,0,Constants!$B$12)+IF($Z209,0,Constants!$B$13)+IF($Y209,0,Constants!$B$14))</f>
        <v/>
      </c>
      <c r="AR209" s="92" t="str">
        <f aca="false">IF($BD209&lt;&gt;Constants!$B$6,"",Constants!$B$16+SUM($AN209:$AQ209))</f>
        <v/>
      </c>
      <c r="AS209" s="91" t="str">
        <f aca="false">IF($BD209&lt;&gt;Constants!$B$6,"",IF($AB209,$AD209,""))</f>
        <v/>
      </c>
      <c r="AT209" s="93" t="str">
        <f aca="false">IF($BD209&lt;&gt;Constants!$B$6,"",$AO209)</f>
        <v/>
      </c>
      <c r="AU209" s="87" t="str">
        <f aca="false">IF($BD209&lt;&gt;Constants!$B$6,"",IF(OR($BA209&lt;$AR209,AND($BA209=$AR209,OR(AND(ISNUMBER($BB209),OR(NOT(ISNUMBER($AS209)),$BB209&lt;$AS209)),AND(OR(AND($BB209="",$AS209=""),AND(ISNUMBER($BB209),ISNUMBER($AS209),$BB209=$AS209)),$BC209&lt;$AT209)))),"-&gt;","&lt;-"))</f>
        <v/>
      </c>
      <c r="AV209" s="86" t="str">
        <f aca="false">IF(ISBLANK($C209),"",AND($AH209,OR($AI209="",$AJ209="",AND(NOT(ISBLANK($S209)),$AK209=""))))</f>
        <v/>
      </c>
      <c r="AW209" s="89" t="str">
        <f aca="false">IF($BD209&lt;&gt;Constants!$B$6,"",IF($AH209,Constants!$B$17*$AJ209,Constants!$B$18))</f>
        <v/>
      </c>
      <c r="AX209" s="91" t="str">
        <f aca="false">IF($BD209&lt;&gt;Constants!$B$6,"",Constants!$B$19*IF($AH209,$AI209,0))</f>
        <v/>
      </c>
      <c r="AY209" s="91" t="str">
        <f aca="false">IF($BD209&lt;&gt;Constants!$B$6,"",IF(AND($AH209,ISNUMBER($AK209)),Constants!$B$20*(Constants!$B$21-$AK209),0))</f>
        <v/>
      </c>
      <c r="AZ209" s="91" t="str">
        <f aca="false">IF($BD209&lt;&gt;Constants!$B$6,"",IF($AG209,0,Constants!$B$12)+IF($AF209,0,Constants!$B$13)+IF($Y209,0,Constants!$B$14))</f>
        <v/>
      </c>
      <c r="BA209" s="92" t="str">
        <f aca="false">IF($BD209&lt;&gt;Constants!$B$6,"",Constants!$B$16+SUM($AW209:$AZ209))</f>
        <v/>
      </c>
      <c r="BB209" s="91" t="str">
        <f aca="false">IF($BD209&lt;&gt;Constants!$B$6,"",IF($AH209,$AJ209,""))</f>
        <v/>
      </c>
      <c r="BC209" s="93" t="str">
        <f aca="false">IF($BD209&lt;&gt;Constants!$B$6,"",$AX209)</f>
        <v/>
      </c>
      <c r="BD209" s="87" t="str">
        <f aca="false">IF(ISBLANK($C209),"",IF($AL209,Constants!$B$9,IF(COUNTA($E209:$T209)=0,Constants!$B$8,IF(NOT($X209),Constants!$B$7,IF(OR($AM209,$AV209),Constants!$B$10,Constants!$B$6)))))</f>
        <v/>
      </c>
      <c r="BE209" s="87" t="str">
        <f aca="false">IF(ISBLANK($C209),"",IF($BD209&lt;&gt;Constants!$B$6,$BD209,Constants!$B$11))</f>
        <v/>
      </c>
      <c r="BF209" s="91" t="str">
        <f aca="false">IF($BD209&lt;&gt;Constants!$B$6,"",IF($AU209="-&gt;",$BA209,$AR209))</f>
        <v/>
      </c>
      <c r="BG209" s="91" t="str">
        <f aca="false">IF($BD209&lt;&gt;Constants!$B$6,"",IF($W209,0,Constants!$B$15))</f>
        <v/>
      </c>
      <c r="BH209" s="91" t="str">
        <f aca="false">IF(ISBLANK($C209),"",IF($BD209&lt;&gt;Constants!$B$6,$BD209,SUM($BF209:$BG209)))</f>
        <v/>
      </c>
      <c r="BI209" s="87" t="str">
        <f aca="false">IF(ISBLANK($C209),"",IF($BD209&lt;&gt;Constants!$B$6,$BD209,RANK($BH209,$BH$9:$BH$508,1)))</f>
        <v/>
      </c>
      <c r="BJ209" s="91" t="str">
        <f aca="false">IF($BD209&lt;&gt;Constants!$B$6,"",IF($AU209="-&gt;",$BB209,$AS209))</f>
        <v/>
      </c>
      <c r="BK209" s="87" t="str">
        <f aca="false">IF(ISBLANK($C209),"",IF($BD209&lt;&gt;Constants!$B$6,$BD209,IF(ISNUMBER($BJ209),RANK($BJ209,$BJ$9:$BJ$508,1),COUNT($BJ$9:$BJ$508)+1)))</f>
        <v/>
      </c>
      <c r="BL209" s="91" t="str">
        <f aca="false">IF($BD209&lt;&gt;Constants!$B$6,"",IF($AU209="-&gt;",$BC209,$AT209))</f>
        <v/>
      </c>
      <c r="BM209" s="87" t="str">
        <f aca="false">IF(ISBLANK($C209),"",IF($BD209&lt;&gt;Constants!$B$6,$BD209,IF(ISNUMBER($BL209),RANK($BL209,$BL$9:$BL$508,1),COUNT($BL$9:$BL$508)+1)))</f>
        <v/>
      </c>
      <c r="BN209" s="91" t="str">
        <f aca="false">IF($BD209&lt;&gt;Constants!$B$6,"",IF($AU209="-&gt;",$AS209,$BB209))</f>
        <v/>
      </c>
      <c r="BO209" s="87" t="str">
        <f aca="false">IF(ISBLANK($C209),"",IF($BD209&lt;&gt;Constants!$B$6,$BD209,IF(ISNUMBER($BN209),RANK($BN209,$BN$9:$BN$508,1),COUNT($BN$9:$BN$508)+1)))</f>
        <v/>
      </c>
      <c r="BP209" s="91" t="str">
        <f aca="false">IF($BD209&lt;&gt;Constants!$B$6,"",IF($AU209="-&gt;",$AT209,$BC209))</f>
        <v/>
      </c>
      <c r="BQ209" s="87" t="str">
        <f aca="false">IF(ISBLANK($C209),"",IF($BD209&lt;&gt;Constants!$B$6,$BD209,IF(ISNUMBER($BP209),RANK($BP209,$BP$9:$BP$508,1),COUNT($BP$9:$BP$508)+1)))</f>
        <v/>
      </c>
      <c r="BR209" s="87" t="str">
        <f aca="false">IF(ISBLANK($C209),"",IF($BD209&lt;&gt;Constants!$B$6,$BD209,COUNTIFS($BI$9:$BI$508,"&lt;"&amp;$BI209)+COUNTIFS($BI$9:$BI$508,$BI209,$BK$9:$BK$508,"&lt;"&amp;$BK209)+COUNTIFS($BI$9:$BI$508,$BI209,$BK$9:$BK$508,$BK209,$BM$9:$BM$508,"&lt;"&amp;$BM209)+COUNTIFS($BI$9:$BI$508,$BI209,$BK$9:$BK$508,$BK209,$BM$9:$BM$508,$BM209,$BO$9:$BO$508,"&lt;"&amp;$BO209)+COUNTIFS($BI$9:$BI$508,$BI209,$BK$9:$BK$508,$BK209,$BM$9:$BM$508,$BM209,$BO$9:$BO$508,$BO209,$BQ$9:$BQ$508,"&lt;"&amp;$BQ209)+1))</f>
        <v/>
      </c>
      <c r="BS209" s="87" t="str">
        <f aca="false">IF(ISBLANK($C209),"",IF($BD209&lt;&gt;Constants!$B$6,$BD209,$BI209-$BR209))</f>
        <v/>
      </c>
      <c r="BT209" s="94"/>
      <c r="BU209" s="95"/>
      <c r="BV209" s="95" t="str">
        <f aca="false">IF(ISBLANK($C209),"",IF($BD209&lt;&gt;Constants!$B$6,"",IF($AU209="-&gt;",2,1)))</f>
        <v/>
      </c>
      <c r="BW209" s="96" t="str">
        <f aca="false">IF(ISBLANK($C209),"",IF($BD209&lt;&gt;Constants!$B$6,"",IF($AU209="-&gt;",$AW209,$AN209)))</f>
        <v/>
      </c>
      <c r="BX209" s="96" t="str">
        <f aca="false">IF(ISBLANK($C209),"",IF($BD209&lt;&gt;Constants!$B$6,"",IF($AU209="-&gt;",$AX209,$AO209)))</f>
        <v/>
      </c>
      <c r="BY209" s="96" t="str">
        <f aca="false">IF(ISBLANK($C209),"",IF($BD209&lt;&gt;Constants!$B$6,"",IF($AU209="-&gt;",$AY209,$AP209)))</f>
        <v/>
      </c>
      <c r="BZ209" s="96" t="str">
        <f aca="false">IF(ISBLANK($C209),"",IF($BD209&lt;&gt;Constants!$B$6,"",IF($AU209="-&gt;",$AZ209,$AQ209)+$BG209))</f>
        <v/>
      </c>
      <c r="CA209" s="97" t="str">
        <f aca="false">IF(ISBLANK($C209),"",IF($BD209&lt;&gt;Constants!$B$6,$BD209,$BH209))</f>
        <v/>
      </c>
      <c r="CB209" s="98" t="str">
        <f aca="false">IF(ISBLANK($C209),"",$BE209)</f>
        <v/>
      </c>
      <c r="CC209" s="99" t="str">
        <f aca="false">IF(ISBLANK($C209),"",$BS209)</f>
        <v/>
      </c>
      <c r="CD209" s="99" t="str">
        <f aca="false">IF(ISBLANK($C209),"",$BR209)</f>
        <v/>
      </c>
      <c r="CE209" s="100" t="str">
        <f aca="false">IF(ISBLANK($C209),"",IF($CD209=Constants!$B$9,COUNTA($C$9:$C$508)+2,IF($CD209=Constants!$B$8,COUNTA($C$9:$C$508)+1,IF($CD209=Constants!$B$7,COUNTA($C$9:$C$508),$CD209))))</f>
        <v/>
      </c>
      <c r="CF209" s="9"/>
      <c r="CG209" s="101" t="n">
        <f aca="false">IF(OR(ISNUMBER($CD209),$CD209=Constants!$B$9,$CD209=Constants!$B$7,$CD209=Constants!$B$8),1,0)</f>
        <v>0</v>
      </c>
      <c r="CH209" s="101" t="n">
        <v>201</v>
      </c>
      <c r="CI209" s="101" t="str">
        <f aca="false">IF(ISBLANK($C209),"",IF(ISNUMBER($CE209),$CE209+ROW($B209)/1000,""))</f>
        <v/>
      </c>
      <c r="CJ209" s="101" t="str">
        <f aca="false">IF(ISNUMBER($CI209),RANK($CI209,$CI$9:$CI$508,1),"")</f>
        <v/>
      </c>
      <c r="CK209" s="101" t="str">
        <f aca="false">IF(ISBLANK($C209),"",$B209)</f>
        <v/>
      </c>
      <c r="CL209" s="101" t="str">
        <f aca="false">IF(ISBLANK($C209),"",$C209)</f>
        <v/>
      </c>
      <c r="CM209" s="101" t="str">
        <f aca="false">IF(ISBLANK($C209),"",$D209)</f>
        <v/>
      </c>
      <c r="CN209" s="102" t="str">
        <f aca="false">$CB209</f>
        <v/>
      </c>
      <c r="CO209" s="103" t="str">
        <f aca="false">$CA209</f>
        <v/>
      </c>
      <c r="CP209" s="101" t="str">
        <f aca="false">IF(ISBLANK($C209),"",$CD209)</f>
        <v/>
      </c>
      <c r="CQ209" s="104" t="str">
        <f aca="false">IF($CH209&gt;$CG$8,"",VLOOKUP($CH209,$CJ$9:$CP$508,7,FALSE()))</f>
        <v/>
      </c>
      <c r="CR209" s="105" t="str">
        <f aca="false">IF($CH209&gt;$CG$8,"",VLOOKUP($CH209,$CJ$9:$CP$508,2,FALSE()))</f>
        <v/>
      </c>
      <c r="CS209" s="105" t="str">
        <f aca="false">IF($CH209&gt;$CG$8,"",VLOOKUP($CH209,$CJ$9:$CP$508,3,FALSE()))</f>
        <v/>
      </c>
      <c r="CT209" s="105" t="str">
        <f aca="false">IF($CH209&gt;$CG$8,"",VLOOKUP($CH209,$CJ$9:$CP$508,4,FALSE()))</f>
        <v/>
      </c>
      <c r="CU209" s="105" t="str">
        <f aca="false">IF($CH209&gt;$CG$8,"",VLOOKUP($CH209,$CJ$9:$CP$508,5,FALSE()))</f>
        <v/>
      </c>
      <c r="CV209" s="106" t="str">
        <f aca="false">IF($CH209&gt;$CG$8,"",VLOOKUP($CH209,$CJ$9:$CP$508,6,FALSE()))</f>
        <v/>
      </c>
      <c r="CW209" s="71"/>
    </row>
    <row r="210" customFormat="false" ht="15.75" hidden="false" customHeight="false" outlineLevel="0" collapsed="false">
      <c r="A210" s="9"/>
      <c r="B210" s="150"/>
      <c r="C210" s="151"/>
      <c r="D210" s="152"/>
      <c r="E210" s="170"/>
      <c r="F210" s="154"/>
      <c r="G210" s="155"/>
      <c r="H210" s="171"/>
      <c r="I210" s="159"/>
      <c r="J210" s="120"/>
      <c r="K210" s="121"/>
      <c r="L210" s="122"/>
      <c r="M210" s="158"/>
      <c r="N210" s="159"/>
      <c r="O210" s="159"/>
      <c r="P210" s="120"/>
      <c r="Q210" s="122"/>
      <c r="R210" s="122"/>
      <c r="S210" s="158"/>
      <c r="T210" s="159"/>
      <c r="U210" s="126"/>
      <c r="V210" s="127"/>
      <c r="W210" s="127" t="str">
        <f aca="false">IF(ISBLANK($C210),"",IF(E210=Constants!$B$2,TRUE(),IF(E210=Constants!$B$3,FALSE(),TRUE())))</f>
        <v/>
      </c>
      <c r="X210" s="127" t="str">
        <f aca="false">IF(ISBLANK($C210),"",IF(F210=Constants!$B$2,TRUE(),IF(F210=Constants!$B$3,FALSE(),TRUE())))</f>
        <v/>
      </c>
      <c r="Y210" s="127" t="str">
        <f aca="false">IF(ISBLANK($C210),"",IF(G210=Constants!$B$2,TRUE(),IF(G210=Constants!$B$3,FALSE(),TRUE())))</f>
        <v/>
      </c>
      <c r="Z210" s="127" t="str">
        <f aca="false">IF(ISBLANK($C210),"",IF(H210=Constants!$B$2,TRUE(),IF(H210=Constants!$B$3,FALSE(),TRUE())))</f>
        <v/>
      </c>
      <c r="AA210" s="127" t="str">
        <f aca="false">IF(ISBLANK($C210),"",IF(I210=Constants!$B$2,TRUE(),IF(I210=Constants!$B$3,FALSE(),TRUE())))</f>
        <v/>
      </c>
      <c r="AB210" s="127" t="str">
        <f aca="false">IF(ISBLANK($C210),"",IF(J210=Constants!$B$4,TRUE(),IF(J210=Constants!$B$5,FALSE(),COUNTA(K210:M210)&gt;0)))</f>
        <v/>
      </c>
      <c r="AC210" s="128" t="str">
        <f aca="false">IF(ISBLANK($C210),"",IF(ISNUMBER(K210),IF(K210&gt;=0,K210,""),""))</f>
        <v/>
      </c>
      <c r="AD210" s="129" t="str">
        <f aca="false">IF(ISBLANK($C210),"",IF(ISNUMBER(L210),IF(L210&gt;=0,L210,""),""))</f>
        <v/>
      </c>
      <c r="AE210" s="127" t="str">
        <f aca="false">IF(ISBLANK($C210),"",IF(ISNUMBER(M210),IF(M210&gt;=0,MIN(M210,Constants!$B$22),""),""))</f>
        <v/>
      </c>
      <c r="AF210" s="127" t="str">
        <f aca="false">IF(ISBLANK($C210),"",IF(N210=Constants!$B$2,TRUE(),IF(N210=Constants!$B$3,FALSE(),TRUE())))</f>
        <v/>
      </c>
      <c r="AG210" s="127" t="str">
        <f aca="false">IF(ISBLANK($C210),"",IF(O210=Constants!$B$2,TRUE(),IF(O210=Constants!$B$3,FALSE(),TRUE())))</f>
        <v/>
      </c>
      <c r="AH210" s="127" t="str">
        <f aca="false">IF(ISBLANK($C210),"",IF(P210=Constants!$B$4,TRUE(),IF(P210=Constants!$B$5,FALSE(),COUNTA(Q210:S210)&gt;0)))</f>
        <v/>
      </c>
      <c r="AI210" s="128" t="str">
        <f aca="false">IF(ISBLANK($C210),"",IF(ISNUMBER(Q210),IF(Q210&gt;=0,Q210,""),""))</f>
        <v/>
      </c>
      <c r="AJ210" s="129" t="str">
        <f aca="false">IF(ISBLANK($C210),"",IF(ISNUMBER(R210),IF(R210&gt;=0,R210,""),""))</f>
        <v/>
      </c>
      <c r="AK210" s="127" t="str">
        <f aca="false">IF(ISBLANK($C210),"",IF(ISNUMBER(S210),IF(S210&gt;=0,MIN(S210,Constants!$B$22),""),""))</f>
        <v/>
      </c>
      <c r="AL210" s="127" t="str">
        <f aca="false">IF(ISBLANK($C210),"",IF(T210=Constants!$B$2,TRUE(),IF(T210=Constants!$B$3,FALSE(),FALSE())))</f>
        <v/>
      </c>
      <c r="AM210" s="126" t="str">
        <f aca="false">IF(ISBLANK($C210),"",AND($AB210,OR($AC210="",$AD210="",AND(NOT(ISBLANK($M210)),$AE210=""))))</f>
        <v/>
      </c>
      <c r="AN210" s="129" t="str">
        <f aca="false">IF($BD210&lt;&gt;Constants!$B$6,"",IF($AB210,Constants!$B$17*$AD210,Constants!$B$18))</f>
        <v/>
      </c>
      <c r="AO210" s="130" t="str">
        <f aca="false">IF($BD210&lt;&gt;Constants!$B$6,"",Constants!$B$19*IF($AB210,$AC210,0))</f>
        <v/>
      </c>
      <c r="AP210" s="130" t="str">
        <f aca="false">IF($BD210&lt;&gt;Constants!$B$6,"",IF(AND($AB210,ISNUMBER($AE210)),Constants!$B$20*(Constants!$B$21-$AE210),0))</f>
        <v/>
      </c>
      <c r="AQ210" s="130" t="str">
        <f aca="false">IF($BD210&lt;&gt;Constants!$B$6,"",IF($AA210,0,Constants!$B$12)+IF($Z210,0,Constants!$B$13)+IF($Y210,0,Constants!$B$14))</f>
        <v/>
      </c>
      <c r="AR210" s="131" t="str">
        <f aca="false">IF($BD210&lt;&gt;Constants!$B$6,"",Constants!$B$16+SUM($AN210:$AQ210))</f>
        <v/>
      </c>
      <c r="AS210" s="130" t="str">
        <f aca="false">IF($BD210&lt;&gt;Constants!$B$6,"",IF($AB210,$AD210,""))</f>
        <v/>
      </c>
      <c r="AT210" s="132" t="str">
        <f aca="false">IF($BD210&lt;&gt;Constants!$B$6,"",$AO210)</f>
        <v/>
      </c>
      <c r="AU210" s="127" t="str">
        <f aca="false">IF($BD210&lt;&gt;Constants!$B$6,"",IF(OR($BA210&lt;$AR210,AND($BA210=$AR210,OR(AND(ISNUMBER($BB210),OR(NOT(ISNUMBER($AS210)),$BB210&lt;$AS210)),AND(OR(AND($BB210="",$AS210=""),AND(ISNUMBER($BB210),ISNUMBER($AS210),$BB210=$AS210)),$BC210&lt;$AT210)))),"-&gt;","&lt;-"))</f>
        <v/>
      </c>
      <c r="AV210" s="126" t="str">
        <f aca="false">IF(ISBLANK($C210),"",AND($AH210,OR($AI210="",$AJ210="",AND(NOT(ISBLANK($S210)),$AK210=""))))</f>
        <v/>
      </c>
      <c r="AW210" s="129" t="str">
        <f aca="false">IF($BD210&lt;&gt;Constants!$B$6,"",IF($AH210,Constants!$B$17*$AJ210,Constants!$B$18))</f>
        <v/>
      </c>
      <c r="AX210" s="130" t="str">
        <f aca="false">IF($BD210&lt;&gt;Constants!$B$6,"",Constants!$B$19*IF($AH210,$AI210,0))</f>
        <v/>
      </c>
      <c r="AY210" s="130" t="str">
        <f aca="false">IF($BD210&lt;&gt;Constants!$B$6,"",IF(AND($AH210,ISNUMBER($AK210)),Constants!$B$20*(Constants!$B$21-$AK210),0))</f>
        <v/>
      </c>
      <c r="AZ210" s="130" t="str">
        <f aca="false">IF($BD210&lt;&gt;Constants!$B$6,"",IF($AG210,0,Constants!$B$12)+IF($AF210,0,Constants!$B$13)+IF($Y210,0,Constants!$B$14))</f>
        <v/>
      </c>
      <c r="BA210" s="131" t="str">
        <f aca="false">IF($BD210&lt;&gt;Constants!$B$6,"",Constants!$B$16+SUM($AW210:$AZ210))</f>
        <v/>
      </c>
      <c r="BB210" s="130" t="str">
        <f aca="false">IF($BD210&lt;&gt;Constants!$B$6,"",IF($AH210,$AJ210,""))</f>
        <v/>
      </c>
      <c r="BC210" s="132" t="str">
        <f aca="false">IF($BD210&lt;&gt;Constants!$B$6,"",$AX210)</f>
        <v/>
      </c>
      <c r="BD210" s="127" t="str">
        <f aca="false">IF(ISBLANK($C210),"",IF($AL210,Constants!$B$9,IF(COUNTA($E210:$T210)=0,Constants!$B$8,IF(NOT($X210),Constants!$B$7,IF(OR($AM210,$AV210),Constants!$B$10,Constants!$B$6)))))</f>
        <v/>
      </c>
      <c r="BE210" s="127" t="str">
        <f aca="false">IF(ISBLANK($C210),"",IF($BD210&lt;&gt;Constants!$B$6,$BD210,Constants!$B$11))</f>
        <v/>
      </c>
      <c r="BF210" s="130" t="str">
        <f aca="false">IF($BD210&lt;&gt;Constants!$B$6,"",IF($AU210="-&gt;",$BA210,$AR210))</f>
        <v/>
      </c>
      <c r="BG210" s="130" t="str">
        <f aca="false">IF($BD210&lt;&gt;Constants!$B$6,"",IF($W210,0,Constants!$B$15))</f>
        <v/>
      </c>
      <c r="BH210" s="130" t="str">
        <f aca="false">IF(ISBLANK($C210),"",IF($BD210&lt;&gt;Constants!$B$6,$BD210,SUM($BF210:$BG210)))</f>
        <v/>
      </c>
      <c r="BI210" s="127" t="str">
        <f aca="false">IF(ISBLANK($C210),"",IF($BD210&lt;&gt;Constants!$B$6,$BD210,RANK($BH210,$BH$9:$BH$508,1)))</f>
        <v/>
      </c>
      <c r="BJ210" s="130" t="str">
        <f aca="false">IF($BD210&lt;&gt;Constants!$B$6,"",IF($AU210="-&gt;",$BB210,$AS210))</f>
        <v/>
      </c>
      <c r="BK210" s="127" t="str">
        <f aca="false">IF(ISBLANK($C210),"",IF($BD210&lt;&gt;Constants!$B$6,$BD210,IF(ISNUMBER($BJ210),RANK($BJ210,$BJ$9:$BJ$508,1),COUNT($BJ$9:$BJ$508)+1)))</f>
        <v/>
      </c>
      <c r="BL210" s="130" t="str">
        <f aca="false">IF($BD210&lt;&gt;Constants!$B$6,"",IF($AU210="-&gt;",$BC210,$AT210))</f>
        <v/>
      </c>
      <c r="BM210" s="127" t="str">
        <f aca="false">IF(ISBLANK($C210),"",IF($BD210&lt;&gt;Constants!$B$6,$BD210,IF(ISNUMBER($BL210),RANK($BL210,$BL$9:$BL$508,1),COUNT($BL$9:$BL$508)+1)))</f>
        <v/>
      </c>
      <c r="BN210" s="130" t="str">
        <f aca="false">IF($BD210&lt;&gt;Constants!$B$6,"",IF($AU210="-&gt;",$AS210,$BB210))</f>
        <v/>
      </c>
      <c r="BO210" s="127" t="str">
        <f aca="false">IF(ISBLANK($C210),"",IF($BD210&lt;&gt;Constants!$B$6,$BD210,IF(ISNUMBER($BN210),RANK($BN210,$BN$9:$BN$508,1),COUNT($BN$9:$BN$508)+1)))</f>
        <v/>
      </c>
      <c r="BP210" s="130" t="str">
        <f aca="false">IF($BD210&lt;&gt;Constants!$B$6,"",IF($AU210="-&gt;",$AT210,$BC210))</f>
        <v/>
      </c>
      <c r="BQ210" s="127" t="str">
        <f aca="false">IF(ISBLANK($C210),"",IF($BD210&lt;&gt;Constants!$B$6,$BD210,IF(ISNUMBER($BP210),RANK($BP210,$BP$9:$BP$508,1),COUNT($BP$9:$BP$508)+1)))</f>
        <v/>
      </c>
      <c r="BR210" s="127" t="str">
        <f aca="false">IF(ISBLANK($C210),"",IF($BD210&lt;&gt;Constants!$B$6,$BD210,COUNTIFS($BI$9:$BI$508,"&lt;"&amp;$BI210)+COUNTIFS($BI$9:$BI$508,$BI210,$BK$9:$BK$508,"&lt;"&amp;$BK210)+COUNTIFS($BI$9:$BI$508,$BI210,$BK$9:$BK$508,$BK210,$BM$9:$BM$508,"&lt;"&amp;$BM210)+COUNTIFS($BI$9:$BI$508,$BI210,$BK$9:$BK$508,$BK210,$BM$9:$BM$508,$BM210,$BO$9:$BO$508,"&lt;"&amp;$BO210)+COUNTIFS($BI$9:$BI$508,$BI210,$BK$9:$BK$508,$BK210,$BM$9:$BM$508,$BM210,$BO$9:$BO$508,$BO210,$BQ$9:$BQ$508,"&lt;"&amp;$BQ210)+1))</f>
        <v/>
      </c>
      <c r="BS210" s="127" t="str">
        <f aca="false">IF(ISBLANK($C210),"",IF($BD210&lt;&gt;Constants!$B$6,$BD210,$BI210-$BR210))</f>
        <v/>
      </c>
      <c r="BT210" s="133"/>
      <c r="BU210" s="134"/>
      <c r="BV210" s="134" t="str">
        <f aca="false">IF(ISBLANK($C210),"",IF($BD210&lt;&gt;Constants!$B$6,"",IF($AU210="-&gt;",2,1)))</f>
        <v/>
      </c>
      <c r="BW210" s="135" t="str">
        <f aca="false">IF(ISBLANK($C210),"",IF($BD210&lt;&gt;Constants!$B$6,"",IF($AU210="-&gt;",$AW210,$AN210)))</f>
        <v/>
      </c>
      <c r="BX210" s="135" t="str">
        <f aca="false">IF(ISBLANK($C210),"",IF($BD210&lt;&gt;Constants!$B$6,"",IF($AU210="-&gt;",$AX210,$AO210)))</f>
        <v/>
      </c>
      <c r="BY210" s="135" t="str">
        <f aca="false">IF(ISBLANK($C210),"",IF($BD210&lt;&gt;Constants!$B$6,"",IF($AU210="-&gt;",$AY210,$AP210)))</f>
        <v/>
      </c>
      <c r="BZ210" s="135" t="str">
        <f aca="false">IF(ISBLANK($C210),"",IF($BD210&lt;&gt;Constants!$B$6,"",IF($AU210="-&gt;",$AZ210,$AQ210)+$BG210))</f>
        <v/>
      </c>
      <c r="CA210" s="136" t="str">
        <f aca="false">IF(ISBLANK($C210),"",IF($BD210&lt;&gt;Constants!$B$6,$BD210,$BH210))</f>
        <v/>
      </c>
      <c r="CB210" s="137" t="str">
        <f aca="false">IF(ISBLANK($C210),"",$BE210)</f>
        <v/>
      </c>
      <c r="CC210" s="138" t="str">
        <f aca="false">IF(ISBLANK($C210),"",$BS210)</f>
        <v/>
      </c>
      <c r="CD210" s="138" t="str">
        <f aca="false">IF(ISBLANK($C210),"",$BR210)</f>
        <v/>
      </c>
      <c r="CE210" s="139" t="str">
        <f aca="false">IF(ISBLANK($C210),"",IF($CD210=Constants!$B$9,COUNTA($C$9:$C$508)+2,IF($CD210=Constants!$B$8,COUNTA($C$9:$C$508)+1,IF($CD210=Constants!$B$7,COUNTA($C$9:$C$508),$CD210))))</f>
        <v/>
      </c>
      <c r="CF210" s="9"/>
      <c r="CG210" s="140" t="n">
        <f aca="false">IF(OR(ISNUMBER($CD210),$CD210=Constants!$B$9,$CD210=Constants!$B$7,$CD210=Constants!$B$8),1,0)</f>
        <v>0</v>
      </c>
      <c r="CH210" s="140" t="n">
        <v>202</v>
      </c>
      <c r="CI210" s="140" t="str">
        <f aca="false">IF(ISBLANK($C210),"",IF(ISNUMBER($CE210),$CE210+ROW($B210)/1000,""))</f>
        <v/>
      </c>
      <c r="CJ210" s="140" t="str">
        <f aca="false">IF(ISNUMBER($CI210),RANK($CI210,$CI$9:$CI$508,1),"")</f>
        <v/>
      </c>
      <c r="CK210" s="140" t="str">
        <f aca="false">IF(ISBLANK($C210),"",$B210)</f>
        <v/>
      </c>
      <c r="CL210" s="140" t="str">
        <f aca="false">IF(ISBLANK($C210),"",$C210)</f>
        <v/>
      </c>
      <c r="CM210" s="140" t="str">
        <f aca="false">IF(ISBLANK($C210),"",$D210)</f>
        <v/>
      </c>
      <c r="CN210" s="141" t="str">
        <f aca="false">$CB210</f>
        <v/>
      </c>
      <c r="CO210" s="142" t="str">
        <f aca="false">$CA210</f>
        <v/>
      </c>
      <c r="CP210" s="140" t="str">
        <f aca="false">IF(ISBLANK($C210),"",$CD210)</f>
        <v/>
      </c>
      <c r="CQ210" s="143" t="str">
        <f aca="false">IF($CH210&gt;$CG$8,"",VLOOKUP($CH210,$CJ$9:$CP$508,7,FALSE()))</f>
        <v/>
      </c>
      <c r="CR210" s="144" t="str">
        <f aca="false">IF($CH210&gt;$CG$8,"",VLOOKUP($CH210,$CJ$9:$CP$508,2,FALSE()))</f>
        <v/>
      </c>
      <c r="CS210" s="144" t="str">
        <f aca="false">IF($CH210&gt;$CG$8,"",VLOOKUP($CH210,$CJ$9:$CP$508,3,FALSE()))</f>
        <v/>
      </c>
      <c r="CT210" s="144" t="str">
        <f aca="false">IF($CH210&gt;$CG$8,"",VLOOKUP($CH210,$CJ$9:$CP$508,4,FALSE()))</f>
        <v/>
      </c>
      <c r="CU210" s="144" t="str">
        <f aca="false">IF($CH210&gt;$CG$8,"",VLOOKUP($CH210,$CJ$9:$CP$508,5,FALSE()))</f>
        <v/>
      </c>
      <c r="CV210" s="145" t="str">
        <f aca="false">IF($CH210&gt;$CG$8,"",VLOOKUP($CH210,$CJ$9:$CP$508,6,FALSE()))</f>
        <v/>
      </c>
      <c r="CW210" s="71"/>
    </row>
    <row r="211" customFormat="false" ht="15.75" hidden="false" customHeight="false" outlineLevel="0" collapsed="false">
      <c r="A211" s="9"/>
      <c r="B211" s="150"/>
      <c r="C211" s="151"/>
      <c r="D211" s="152"/>
      <c r="E211" s="170"/>
      <c r="F211" s="154"/>
      <c r="G211" s="155"/>
      <c r="H211" s="171"/>
      <c r="I211" s="159"/>
      <c r="J211" s="120"/>
      <c r="K211" s="121"/>
      <c r="L211" s="122"/>
      <c r="M211" s="158"/>
      <c r="N211" s="159"/>
      <c r="O211" s="159"/>
      <c r="P211" s="120"/>
      <c r="Q211" s="122"/>
      <c r="R211" s="122"/>
      <c r="S211" s="158"/>
      <c r="T211" s="159"/>
      <c r="U211" s="126"/>
      <c r="V211" s="127"/>
      <c r="W211" s="127" t="str">
        <f aca="false">IF(ISBLANK($C211),"",IF(E211=Constants!$B$2,TRUE(),IF(E211=Constants!$B$3,FALSE(),TRUE())))</f>
        <v/>
      </c>
      <c r="X211" s="127" t="str">
        <f aca="false">IF(ISBLANK($C211),"",IF(F211=Constants!$B$2,TRUE(),IF(F211=Constants!$B$3,FALSE(),TRUE())))</f>
        <v/>
      </c>
      <c r="Y211" s="127" t="str">
        <f aca="false">IF(ISBLANK($C211),"",IF(G211=Constants!$B$2,TRUE(),IF(G211=Constants!$B$3,FALSE(),TRUE())))</f>
        <v/>
      </c>
      <c r="Z211" s="127" t="str">
        <f aca="false">IF(ISBLANK($C211),"",IF(H211=Constants!$B$2,TRUE(),IF(H211=Constants!$B$3,FALSE(),TRUE())))</f>
        <v/>
      </c>
      <c r="AA211" s="127" t="str">
        <f aca="false">IF(ISBLANK($C211),"",IF(I211=Constants!$B$2,TRUE(),IF(I211=Constants!$B$3,FALSE(),TRUE())))</f>
        <v/>
      </c>
      <c r="AB211" s="127" t="str">
        <f aca="false">IF(ISBLANK($C211),"",IF(J211=Constants!$B$4,TRUE(),IF(J211=Constants!$B$5,FALSE(),COUNTA(K211:M211)&gt;0)))</f>
        <v/>
      </c>
      <c r="AC211" s="128" t="str">
        <f aca="false">IF(ISBLANK($C211),"",IF(ISNUMBER(K211),IF(K211&gt;=0,K211,""),""))</f>
        <v/>
      </c>
      <c r="AD211" s="129" t="str">
        <f aca="false">IF(ISBLANK($C211),"",IF(ISNUMBER(L211),IF(L211&gt;=0,L211,""),""))</f>
        <v/>
      </c>
      <c r="AE211" s="127" t="str">
        <f aca="false">IF(ISBLANK($C211),"",IF(ISNUMBER(M211),IF(M211&gt;=0,MIN(M211,Constants!$B$22),""),""))</f>
        <v/>
      </c>
      <c r="AF211" s="127" t="str">
        <f aca="false">IF(ISBLANK($C211),"",IF(N211=Constants!$B$2,TRUE(),IF(N211=Constants!$B$3,FALSE(),TRUE())))</f>
        <v/>
      </c>
      <c r="AG211" s="127" t="str">
        <f aca="false">IF(ISBLANK($C211),"",IF(O211=Constants!$B$2,TRUE(),IF(O211=Constants!$B$3,FALSE(),TRUE())))</f>
        <v/>
      </c>
      <c r="AH211" s="127" t="str">
        <f aca="false">IF(ISBLANK($C211),"",IF(P211=Constants!$B$4,TRUE(),IF(P211=Constants!$B$5,FALSE(),COUNTA(Q211:S211)&gt;0)))</f>
        <v/>
      </c>
      <c r="AI211" s="128" t="str">
        <f aca="false">IF(ISBLANK($C211),"",IF(ISNUMBER(Q211),IF(Q211&gt;=0,Q211,""),""))</f>
        <v/>
      </c>
      <c r="AJ211" s="129" t="str">
        <f aca="false">IF(ISBLANK($C211),"",IF(ISNUMBER(R211),IF(R211&gt;=0,R211,""),""))</f>
        <v/>
      </c>
      <c r="AK211" s="127" t="str">
        <f aca="false">IF(ISBLANK($C211),"",IF(ISNUMBER(S211),IF(S211&gt;=0,MIN(S211,Constants!$B$22),""),""))</f>
        <v/>
      </c>
      <c r="AL211" s="127" t="str">
        <f aca="false">IF(ISBLANK($C211),"",IF(T211=Constants!$B$2,TRUE(),IF(T211=Constants!$B$3,FALSE(),FALSE())))</f>
        <v/>
      </c>
      <c r="AM211" s="126" t="str">
        <f aca="false">IF(ISBLANK($C211),"",AND($AB211,OR($AC211="",$AD211="",AND(NOT(ISBLANK($M211)),$AE211=""))))</f>
        <v/>
      </c>
      <c r="AN211" s="129" t="str">
        <f aca="false">IF($BD211&lt;&gt;Constants!$B$6,"",IF($AB211,Constants!$B$17*$AD211,Constants!$B$18))</f>
        <v/>
      </c>
      <c r="AO211" s="130" t="str">
        <f aca="false">IF($BD211&lt;&gt;Constants!$B$6,"",Constants!$B$19*IF($AB211,$AC211,0))</f>
        <v/>
      </c>
      <c r="AP211" s="130" t="str">
        <f aca="false">IF($BD211&lt;&gt;Constants!$B$6,"",IF(AND($AB211,ISNUMBER($AE211)),Constants!$B$20*(Constants!$B$21-$AE211),0))</f>
        <v/>
      </c>
      <c r="AQ211" s="130" t="str">
        <f aca="false">IF($BD211&lt;&gt;Constants!$B$6,"",IF($AA211,0,Constants!$B$12)+IF($Z211,0,Constants!$B$13)+IF($Y211,0,Constants!$B$14))</f>
        <v/>
      </c>
      <c r="AR211" s="131" t="str">
        <f aca="false">IF($BD211&lt;&gt;Constants!$B$6,"",Constants!$B$16+SUM($AN211:$AQ211))</f>
        <v/>
      </c>
      <c r="AS211" s="130" t="str">
        <f aca="false">IF($BD211&lt;&gt;Constants!$B$6,"",IF($AB211,$AD211,""))</f>
        <v/>
      </c>
      <c r="AT211" s="132" t="str">
        <f aca="false">IF($BD211&lt;&gt;Constants!$B$6,"",$AO211)</f>
        <v/>
      </c>
      <c r="AU211" s="127" t="str">
        <f aca="false">IF($BD211&lt;&gt;Constants!$B$6,"",IF(OR($BA211&lt;$AR211,AND($BA211=$AR211,OR(AND(ISNUMBER($BB211),OR(NOT(ISNUMBER($AS211)),$BB211&lt;$AS211)),AND(OR(AND($BB211="",$AS211=""),AND(ISNUMBER($BB211),ISNUMBER($AS211),$BB211=$AS211)),$BC211&lt;$AT211)))),"-&gt;","&lt;-"))</f>
        <v/>
      </c>
      <c r="AV211" s="126" t="str">
        <f aca="false">IF(ISBLANK($C211),"",AND($AH211,OR($AI211="",$AJ211="",AND(NOT(ISBLANK($S211)),$AK211=""))))</f>
        <v/>
      </c>
      <c r="AW211" s="129" t="str">
        <f aca="false">IF($BD211&lt;&gt;Constants!$B$6,"",IF($AH211,Constants!$B$17*$AJ211,Constants!$B$18))</f>
        <v/>
      </c>
      <c r="AX211" s="130" t="str">
        <f aca="false">IF($BD211&lt;&gt;Constants!$B$6,"",Constants!$B$19*IF($AH211,$AI211,0))</f>
        <v/>
      </c>
      <c r="AY211" s="130" t="str">
        <f aca="false">IF($BD211&lt;&gt;Constants!$B$6,"",IF(AND($AH211,ISNUMBER($AK211)),Constants!$B$20*(Constants!$B$21-$AK211),0))</f>
        <v/>
      </c>
      <c r="AZ211" s="130" t="str">
        <f aca="false">IF($BD211&lt;&gt;Constants!$B$6,"",IF($AG211,0,Constants!$B$12)+IF($AF211,0,Constants!$B$13)+IF($Y211,0,Constants!$B$14))</f>
        <v/>
      </c>
      <c r="BA211" s="131" t="str">
        <f aca="false">IF($BD211&lt;&gt;Constants!$B$6,"",Constants!$B$16+SUM($AW211:$AZ211))</f>
        <v/>
      </c>
      <c r="BB211" s="130" t="str">
        <f aca="false">IF($BD211&lt;&gt;Constants!$B$6,"",IF($AH211,$AJ211,""))</f>
        <v/>
      </c>
      <c r="BC211" s="132" t="str">
        <f aca="false">IF($BD211&lt;&gt;Constants!$B$6,"",$AX211)</f>
        <v/>
      </c>
      <c r="BD211" s="127" t="str">
        <f aca="false">IF(ISBLANK($C211),"",IF($AL211,Constants!$B$9,IF(COUNTA($E211:$T211)=0,Constants!$B$8,IF(NOT($X211),Constants!$B$7,IF(OR($AM211,$AV211),Constants!$B$10,Constants!$B$6)))))</f>
        <v/>
      </c>
      <c r="BE211" s="127" t="str">
        <f aca="false">IF(ISBLANK($C211),"",IF($BD211&lt;&gt;Constants!$B$6,$BD211,Constants!$B$11))</f>
        <v/>
      </c>
      <c r="BF211" s="130" t="str">
        <f aca="false">IF($BD211&lt;&gt;Constants!$B$6,"",IF($AU211="-&gt;",$BA211,$AR211))</f>
        <v/>
      </c>
      <c r="BG211" s="130" t="str">
        <f aca="false">IF($BD211&lt;&gt;Constants!$B$6,"",IF($W211,0,Constants!$B$15))</f>
        <v/>
      </c>
      <c r="BH211" s="130" t="str">
        <f aca="false">IF(ISBLANK($C211),"",IF($BD211&lt;&gt;Constants!$B$6,$BD211,SUM($BF211:$BG211)))</f>
        <v/>
      </c>
      <c r="BI211" s="127" t="str">
        <f aca="false">IF(ISBLANK($C211),"",IF($BD211&lt;&gt;Constants!$B$6,$BD211,RANK($BH211,$BH$9:$BH$508,1)))</f>
        <v/>
      </c>
      <c r="BJ211" s="130" t="str">
        <f aca="false">IF($BD211&lt;&gt;Constants!$B$6,"",IF($AU211="-&gt;",$BB211,$AS211))</f>
        <v/>
      </c>
      <c r="BK211" s="127" t="str">
        <f aca="false">IF(ISBLANK($C211),"",IF($BD211&lt;&gt;Constants!$B$6,$BD211,IF(ISNUMBER($BJ211),RANK($BJ211,$BJ$9:$BJ$508,1),COUNT($BJ$9:$BJ$508)+1)))</f>
        <v/>
      </c>
      <c r="BL211" s="130" t="str">
        <f aca="false">IF($BD211&lt;&gt;Constants!$B$6,"",IF($AU211="-&gt;",$BC211,$AT211))</f>
        <v/>
      </c>
      <c r="BM211" s="127" t="str">
        <f aca="false">IF(ISBLANK($C211),"",IF($BD211&lt;&gt;Constants!$B$6,$BD211,IF(ISNUMBER($BL211),RANK($BL211,$BL$9:$BL$508,1),COUNT($BL$9:$BL$508)+1)))</f>
        <v/>
      </c>
      <c r="BN211" s="130" t="str">
        <f aca="false">IF($BD211&lt;&gt;Constants!$B$6,"",IF($AU211="-&gt;",$AS211,$BB211))</f>
        <v/>
      </c>
      <c r="BO211" s="127" t="str">
        <f aca="false">IF(ISBLANK($C211),"",IF($BD211&lt;&gt;Constants!$B$6,$BD211,IF(ISNUMBER($BN211),RANK($BN211,$BN$9:$BN$508,1),COUNT($BN$9:$BN$508)+1)))</f>
        <v/>
      </c>
      <c r="BP211" s="130" t="str">
        <f aca="false">IF($BD211&lt;&gt;Constants!$B$6,"",IF($AU211="-&gt;",$AT211,$BC211))</f>
        <v/>
      </c>
      <c r="BQ211" s="127" t="str">
        <f aca="false">IF(ISBLANK($C211),"",IF($BD211&lt;&gt;Constants!$B$6,$BD211,IF(ISNUMBER($BP211),RANK($BP211,$BP$9:$BP$508,1),COUNT($BP$9:$BP$508)+1)))</f>
        <v/>
      </c>
      <c r="BR211" s="127" t="str">
        <f aca="false">IF(ISBLANK($C211),"",IF($BD211&lt;&gt;Constants!$B$6,$BD211,COUNTIFS($BI$9:$BI$508,"&lt;"&amp;$BI211)+COUNTIFS($BI$9:$BI$508,$BI211,$BK$9:$BK$508,"&lt;"&amp;$BK211)+COUNTIFS($BI$9:$BI$508,$BI211,$BK$9:$BK$508,$BK211,$BM$9:$BM$508,"&lt;"&amp;$BM211)+COUNTIFS($BI$9:$BI$508,$BI211,$BK$9:$BK$508,$BK211,$BM$9:$BM$508,$BM211,$BO$9:$BO$508,"&lt;"&amp;$BO211)+COUNTIFS($BI$9:$BI$508,$BI211,$BK$9:$BK$508,$BK211,$BM$9:$BM$508,$BM211,$BO$9:$BO$508,$BO211,$BQ$9:$BQ$508,"&lt;"&amp;$BQ211)+1))</f>
        <v/>
      </c>
      <c r="BS211" s="127" t="str">
        <f aca="false">IF(ISBLANK($C211),"",IF($BD211&lt;&gt;Constants!$B$6,$BD211,$BI211-$BR211))</f>
        <v/>
      </c>
      <c r="BT211" s="133"/>
      <c r="BU211" s="134"/>
      <c r="BV211" s="134" t="str">
        <f aca="false">IF(ISBLANK($C211),"",IF($BD211&lt;&gt;Constants!$B$6,"",IF($AU211="-&gt;",2,1)))</f>
        <v/>
      </c>
      <c r="BW211" s="135" t="str">
        <f aca="false">IF(ISBLANK($C211),"",IF($BD211&lt;&gt;Constants!$B$6,"",IF($AU211="-&gt;",$AW211,$AN211)))</f>
        <v/>
      </c>
      <c r="BX211" s="135" t="str">
        <f aca="false">IF(ISBLANK($C211),"",IF($BD211&lt;&gt;Constants!$B$6,"",IF($AU211="-&gt;",$AX211,$AO211)))</f>
        <v/>
      </c>
      <c r="BY211" s="135" t="str">
        <f aca="false">IF(ISBLANK($C211),"",IF($BD211&lt;&gt;Constants!$B$6,"",IF($AU211="-&gt;",$AY211,$AP211)))</f>
        <v/>
      </c>
      <c r="BZ211" s="135" t="str">
        <f aca="false">IF(ISBLANK($C211),"",IF($BD211&lt;&gt;Constants!$B$6,"",IF($AU211="-&gt;",$AZ211,$AQ211)+$BG211))</f>
        <v/>
      </c>
      <c r="CA211" s="136" t="str">
        <f aca="false">IF(ISBLANK($C211),"",IF($BD211&lt;&gt;Constants!$B$6,$BD211,$BH211))</f>
        <v/>
      </c>
      <c r="CB211" s="137" t="str">
        <f aca="false">IF(ISBLANK($C211),"",$BE211)</f>
        <v/>
      </c>
      <c r="CC211" s="138" t="str">
        <f aca="false">IF(ISBLANK($C211),"",$BS211)</f>
        <v/>
      </c>
      <c r="CD211" s="138" t="str">
        <f aca="false">IF(ISBLANK($C211),"",$BR211)</f>
        <v/>
      </c>
      <c r="CE211" s="139" t="str">
        <f aca="false">IF(ISBLANK($C211),"",IF($CD211=Constants!$B$9,COUNTA($C$9:$C$508)+2,IF($CD211=Constants!$B$8,COUNTA($C$9:$C$508)+1,IF($CD211=Constants!$B$7,COUNTA($C$9:$C$508),$CD211))))</f>
        <v/>
      </c>
      <c r="CF211" s="9"/>
      <c r="CG211" s="140" t="n">
        <f aca="false">IF(OR(ISNUMBER($CD211),$CD211=Constants!$B$9,$CD211=Constants!$B$7,$CD211=Constants!$B$8),1,0)</f>
        <v>0</v>
      </c>
      <c r="CH211" s="140" t="n">
        <v>203</v>
      </c>
      <c r="CI211" s="140" t="str">
        <f aca="false">IF(ISBLANK($C211),"",IF(ISNUMBER($CE211),$CE211+ROW($B211)/1000,""))</f>
        <v/>
      </c>
      <c r="CJ211" s="140" t="str">
        <f aca="false">IF(ISNUMBER($CI211),RANK($CI211,$CI$9:$CI$508,1),"")</f>
        <v/>
      </c>
      <c r="CK211" s="140" t="str">
        <f aca="false">IF(ISBLANK($C211),"",$B211)</f>
        <v/>
      </c>
      <c r="CL211" s="140" t="str">
        <f aca="false">IF(ISBLANK($C211),"",$C211)</f>
        <v/>
      </c>
      <c r="CM211" s="140" t="str">
        <f aca="false">IF(ISBLANK($C211),"",$D211)</f>
        <v/>
      </c>
      <c r="CN211" s="141" t="str">
        <f aca="false">$CB211</f>
        <v/>
      </c>
      <c r="CO211" s="142" t="str">
        <f aca="false">$CA211</f>
        <v/>
      </c>
      <c r="CP211" s="140" t="str">
        <f aca="false">IF(ISBLANK($C211),"",$CD211)</f>
        <v/>
      </c>
      <c r="CQ211" s="143" t="str">
        <f aca="false">IF($CH211&gt;$CG$8,"",VLOOKUP($CH211,$CJ$9:$CP$508,7,FALSE()))</f>
        <v/>
      </c>
      <c r="CR211" s="144" t="str">
        <f aca="false">IF($CH211&gt;$CG$8,"",VLOOKUP($CH211,$CJ$9:$CP$508,2,FALSE()))</f>
        <v/>
      </c>
      <c r="CS211" s="144" t="str">
        <f aca="false">IF($CH211&gt;$CG$8,"",VLOOKUP($CH211,$CJ$9:$CP$508,3,FALSE()))</f>
        <v/>
      </c>
      <c r="CT211" s="144" t="str">
        <f aca="false">IF($CH211&gt;$CG$8,"",VLOOKUP($CH211,$CJ$9:$CP$508,4,FALSE()))</f>
        <v/>
      </c>
      <c r="CU211" s="144" t="str">
        <f aca="false">IF($CH211&gt;$CG$8,"",VLOOKUP($CH211,$CJ$9:$CP$508,5,FALSE()))</f>
        <v/>
      </c>
      <c r="CV211" s="145" t="str">
        <f aca="false">IF($CH211&gt;$CG$8,"",VLOOKUP($CH211,$CJ$9:$CP$508,6,FALSE()))</f>
        <v/>
      </c>
      <c r="CW211" s="71"/>
    </row>
    <row r="212" customFormat="false" ht="15.75" hidden="false" customHeight="false" outlineLevel="0" collapsed="false">
      <c r="A212" s="9"/>
      <c r="B212" s="150"/>
      <c r="C212" s="151"/>
      <c r="D212" s="152"/>
      <c r="E212" s="170"/>
      <c r="F212" s="154"/>
      <c r="G212" s="155"/>
      <c r="H212" s="171"/>
      <c r="I212" s="159"/>
      <c r="J212" s="120"/>
      <c r="K212" s="121"/>
      <c r="L212" s="122"/>
      <c r="M212" s="158"/>
      <c r="N212" s="159"/>
      <c r="O212" s="159"/>
      <c r="P212" s="120"/>
      <c r="Q212" s="122"/>
      <c r="R212" s="122"/>
      <c r="S212" s="158"/>
      <c r="T212" s="159"/>
      <c r="U212" s="126"/>
      <c r="V212" s="127"/>
      <c r="W212" s="127" t="str">
        <f aca="false">IF(ISBLANK($C212),"",IF(E212=Constants!$B$2,TRUE(),IF(E212=Constants!$B$3,FALSE(),TRUE())))</f>
        <v/>
      </c>
      <c r="X212" s="127" t="str">
        <f aca="false">IF(ISBLANK($C212),"",IF(F212=Constants!$B$2,TRUE(),IF(F212=Constants!$B$3,FALSE(),TRUE())))</f>
        <v/>
      </c>
      <c r="Y212" s="127" t="str">
        <f aca="false">IF(ISBLANK($C212),"",IF(G212=Constants!$B$2,TRUE(),IF(G212=Constants!$B$3,FALSE(),TRUE())))</f>
        <v/>
      </c>
      <c r="Z212" s="127" t="str">
        <f aca="false">IF(ISBLANK($C212),"",IF(H212=Constants!$B$2,TRUE(),IF(H212=Constants!$B$3,FALSE(),TRUE())))</f>
        <v/>
      </c>
      <c r="AA212" s="127" t="str">
        <f aca="false">IF(ISBLANK($C212),"",IF(I212=Constants!$B$2,TRUE(),IF(I212=Constants!$B$3,FALSE(),TRUE())))</f>
        <v/>
      </c>
      <c r="AB212" s="127" t="str">
        <f aca="false">IF(ISBLANK($C212),"",IF(J212=Constants!$B$4,TRUE(),IF(J212=Constants!$B$5,FALSE(),COUNTA(K212:M212)&gt;0)))</f>
        <v/>
      </c>
      <c r="AC212" s="128" t="str">
        <f aca="false">IF(ISBLANK($C212),"",IF(ISNUMBER(K212),IF(K212&gt;=0,K212,""),""))</f>
        <v/>
      </c>
      <c r="AD212" s="129" t="str">
        <f aca="false">IF(ISBLANK($C212),"",IF(ISNUMBER(L212),IF(L212&gt;=0,L212,""),""))</f>
        <v/>
      </c>
      <c r="AE212" s="127" t="str">
        <f aca="false">IF(ISBLANK($C212),"",IF(ISNUMBER(M212),IF(M212&gt;=0,MIN(M212,Constants!$B$22),""),""))</f>
        <v/>
      </c>
      <c r="AF212" s="127" t="str">
        <f aca="false">IF(ISBLANK($C212),"",IF(N212=Constants!$B$2,TRUE(),IF(N212=Constants!$B$3,FALSE(),TRUE())))</f>
        <v/>
      </c>
      <c r="AG212" s="127" t="str">
        <f aca="false">IF(ISBLANK($C212),"",IF(O212=Constants!$B$2,TRUE(),IF(O212=Constants!$B$3,FALSE(),TRUE())))</f>
        <v/>
      </c>
      <c r="AH212" s="127" t="str">
        <f aca="false">IF(ISBLANK($C212),"",IF(P212=Constants!$B$4,TRUE(),IF(P212=Constants!$B$5,FALSE(),COUNTA(Q212:S212)&gt;0)))</f>
        <v/>
      </c>
      <c r="AI212" s="128" t="str">
        <f aca="false">IF(ISBLANK($C212),"",IF(ISNUMBER(Q212),IF(Q212&gt;=0,Q212,""),""))</f>
        <v/>
      </c>
      <c r="AJ212" s="129" t="str">
        <f aca="false">IF(ISBLANK($C212),"",IF(ISNUMBER(R212),IF(R212&gt;=0,R212,""),""))</f>
        <v/>
      </c>
      <c r="AK212" s="127" t="str">
        <f aca="false">IF(ISBLANK($C212),"",IF(ISNUMBER(S212),IF(S212&gt;=0,MIN(S212,Constants!$B$22),""),""))</f>
        <v/>
      </c>
      <c r="AL212" s="127" t="str">
        <f aca="false">IF(ISBLANK($C212),"",IF(T212=Constants!$B$2,TRUE(),IF(T212=Constants!$B$3,FALSE(),FALSE())))</f>
        <v/>
      </c>
      <c r="AM212" s="126" t="str">
        <f aca="false">IF(ISBLANK($C212),"",AND($AB212,OR($AC212="",$AD212="",AND(NOT(ISBLANK($M212)),$AE212=""))))</f>
        <v/>
      </c>
      <c r="AN212" s="129" t="str">
        <f aca="false">IF($BD212&lt;&gt;Constants!$B$6,"",IF($AB212,Constants!$B$17*$AD212,Constants!$B$18))</f>
        <v/>
      </c>
      <c r="AO212" s="130" t="str">
        <f aca="false">IF($BD212&lt;&gt;Constants!$B$6,"",Constants!$B$19*IF($AB212,$AC212,0))</f>
        <v/>
      </c>
      <c r="AP212" s="130" t="str">
        <f aca="false">IF($BD212&lt;&gt;Constants!$B$6,"",IF(AND($AB212,ISNUMBER($AE212)),Constants!$B$20*(Constants!$B$21-$AE212),0))</f>
        <v/>
      </c>
      <c r="AQ212" s="130" t="str">
        <f aca="false">IF($BD212&lt;&gt;Constants!$B$6,"",IF($AA212,0,Constants!$B$12)+IF($Z212,0,Constants!$B$13)+IF($Y212,0,Constants!$B$14))</f>
        <v/>
      </c>
      <c r="AR212" s="131" t="str">
        <f aca="false">IF($BD212&lt;&gt;Constants!$B$6,"",Constants!$B$16+SUM($AN212:$AQ212))</f>
        <v/>
      </c>
      <c r="AS212" s="130" t="str">
        <f aca="false">IF($BD212&lt;&gt;Constants!$B$6,"",IF($AB212,$AD212,""))</f>
        <v/>
      </c>
      <c r="AT212" s="132" t="str">
        <f aca="false">IF($BD212&lt;&gt;Constants!$B$6,"",$AO212)</f>
        <v/>
      </c>
      <c r="AU212" s="127" t="str">
        <f aca="false">IF($BD212&lt;&gt;Constants!$B$6,"",IF(OR($BA212&lt;$AR212,AND($BA212=$AR212,OR(AND(ISNUMBER($BB212),OR(NOT(ISNUMBER($AS212)),$BB212&lt;$AS212)),AND(OR(AND($BB212="",$AS212=""),AND(ISNUMBER($BB212),ISNUMBER($AS212),$BB212=$AS212)),$BC212&lt;$AT212)))),"-&gt;","&lt;-"))</f>
        <v/>
      </c>
      <c r="AV212" s="126" t="str">
        <f aca="false">IF(ISBLANK($C212),"",AND($AH212,OR($AI212="",$AJ212="",AND(NOT(ISBLANK($S212)),$AK212=""))))</f>
        <v/>
      </c>
      <c r="AW212" s="129" t="str">
        <f aca="false">IF($BD212&lt;&gt;Constants!$B$6,"",IF($AH212,Constants!$B$17*$AJ212,Constants!$B$18))</f>
        <v/>
      </c>
      <c r="AX212" s="130" t="str">
        <f aca="false">IF($BD212&lt;&gt;Constants!$B$6,"",Constants!$B$19*IF($AH212,$AI212,0))</f>
        <v/>
      </c>
      <c r="AY212" s="130" t="str">
        <f aca="false">IF($BD212&lt;&gt;Constants!$B$6,"",IF(AND($AH212,ISNUMBER($AK212)),Constants!$B$20*(Constants!$B$21-$AK212),0))</f>
        <v/>
      </c>
      <c r="AZ212" s="130" t="str">
        <f aca="false">IF($BD212&lt;&gt;Constants!$B$6,"",IF($AG212,0,Constants!$B$12)+IF($AF212,0,Constants!$B$13)+IF($Y212,0,Constants!$B$14))</f>
        <v/>
      </c>
      <c r="BA212" s="131" t="str">
        <f aca="false">IF($BD212&lt;&gt;Constants!$B$6,"",Constants!$B$16+SUM($AW212:$AZ212))</f>
        <v/>
      </c>
      <c r="BB212" s="130" t="str">
        <f aca="false">IF($BD212&lt;&gt;Constants!$B$6,"",IF($AH212,$AJ212,""))</f>
        <v/>
      </c>
      <c r="BC212" s="132" t="str">
        <f aca="false">IF($BD212&lt;&gt;Constants!$B$6,"",$AX212)</f>
        <v/>
      </c>
      <c r="BD212" s="127" t="str">
        <f aca="false">IF(ISBLANK($C212),"",IF($AL212,Constants!$B$9,IF(COUNTA($E212:$T212)=0,Constants!$B$8,IF(NOT($X212),Constants!$B$7,IF(OR($AM212,$AV212),Constants!$B$10,Constants!$B$6)))))</f>
        <v/>
      </c>
      <c r="BE212" s="127" t="str">
        <f aca="false">IF(ISBLANK($C212),"",IF($BD212&lt;&gt;Constants!$B$6,$BD212,Constants!$B$11))</f>
        <v/>
      </c>
      <c r="BF212" s="130" t="str">
        <f aca="false">IF($BD212&lt;&gt;Constants!$B$6,"",IF($AU212="-&gt;",$BA212,$AR212))</f>
        <v/>
      </c>
      <c r="BG212" s="130" t="str">
        <f aca="false">IF($BD212&lt;&gt;Constants!$B$6,"",IF($W212,0,Constants!$B$15))</f>
        <v/>
      </c>
      <c r="BH212" s="130" t="str">
        <f aca="false">IF(ISBLANK($C212),"",IF($BD212&lt;&gt;Constants!$B$6,$BD212,SUM($BF212:$BG212)))</f>
        <v/>
      </c>
      <c r="BI212" s="127" t="str">
        <f aca="false">IF(ISBLANK($C212),"",IF($BD212&lt;&gt;Constants!$B$6,$BD212,RANK($BH212,$BH$9:$BH$508,1)))</f>
        <v/>
      </c>
      <c r="BJ212" s="130" t="str">
        <f aca="false">IF($BD212&lt;&gt;Constants!$B$6,"",IF($AU212="-&gt;",$BB212,$AS212))</f>
        <v/>
      </c>
      <c r="BK212" s="127" t="str">
        <f aca="false">IF(ISBLANK($C212),"",IF($BD212&lt;&gt;Constants!$B$6,$BD212,IF(ISNUMBER($BJ212),RANK($BJ212,$BJ$9:$BJ$508,1),COUNT($BJ$9:$BJ$508)+1)))</f>
        <v/>
      </c>
      <c r="BL212" s="130" t="str">
        <f aca="false">IF($BD212&lt;&gt;Constants!$B$6,"",IF($AU212="-&gt;",$BC212,$AT212))</f>
        <v/>
      </c>
      <c r="BM212" s="127" t="str">
        <f aca="false">IF(ISBLANK($C212),"",IF($BD212&lt;&gt;Constants!$B$6,$BD212,IF(ISNUMBER($BL212),RANK($BL212,$BL$9:$BL$508,1),COUNT($BL$9:$BL$508)+1)))</f>
        <v/>
      </c>
      <c r="BN212" s="130" t="str">
        <f aca="false">IF($BD212&lt;&gt;Constants!$B$6,"",IF($AU212="-&gt;",$AS212,$BB212))</f>
        <v/>
      </c>
      <c r="BO212" s="127" t="str">
        <f aca="false">IF(ISBLANK($C212),"",IF($BD212&lt;&gt;Constants!$B$6,$BD212,IF(ISNUMBER($BN212),RANK($BN212,$BN$9:$BN$508,1),COUNT($BN$9:$BN$508)+1)))</f>
        <v/>
      </c>
      <c r="BP212" s="130" t="str">
        <f aca="false">IF($BD212&lt;&gt;Constants!$B$6,"",IF($AU212="-&gt;",$AT212,$BC212))</f>
        <v/>
      </c>
      <c r="BQ212" s="127" t="str">
        <f aca="false">IF(ISBLANK($C212),"",IF($BD212&lt;&gt;Constants!$B$6,$BD212,IF(ISNUMBER($BP212),RANK($BP212,$BP$9:$BP$508,1),COUNT($BP$9:$BP$508)+1)))</f>
        <v/>
      </c>
      <c r="BR212" s="127" t="str">
        <f aca="false">IF(ISBLANK($C212),"",IF($BD212&lt;&gt;Constants!$B$6,$BD212,COUNTIFS($BI$9:$BI$508,"&lt;"&amp;$BI212)+COUNTIFS($BI$9:$BI$508,$BI212,$BK$9:$BK$508,"&lt;"&amp;$BK212)+COUNTIFS($BI$9:$BI$508,$BI212,$BK$9:$BK$508,$BK212,$BM$9:$BM$508,"&lt;"&amp;$BM212)+COUNTIFS($BI$9:$BI$508,$BI212,$BK$9:$BK$508,$BK212,$BM$9:$BM$508,$BM212,$BO$9:$BO$508,"&lt;"&amp;$BO212)+COUNTIFS($BI$9:$BI$508,$BI212,$BK$9:$BK$508,$BK212,$BM$9:$BM$508,$BM212,$BO$9:$BO$508,$BO212,$BQ$9:$BQ$508,"&lt;"&amp;$BQ212)+1))</f>
        <v/>
      </c>
      <c r="BS212" s="127" t="str">
        <f aca="false">IF(ISBLANK($C212),"",IF($BD212&lt;&gt;Constants!$B$6,$BD212,$BI212-$BR212))</f>
        <v/>
      </c>
      <c r="BT212" s="133"/>
      <c r="BU212" s="134"/>
      <c r="BV212" s="134" t="str">
        <f aca="false">IF(ISBLANK($C212),"",IF($BD212&lt;&gt;Constants!$B$6,"",IF($AU212="-&gt;",2,1)))</f>
        <v/>
      </c>
      <c r="BW212" s="135" t="str">
        <f aca="false">IF(ISBLANK($C212),"",IF($BD212&lt;&gt;Constants!$B$6,"",IF($AU212="-&gt;",$AW212,$AN212)))</f>
        <v/>
      </c>
      <c r="BX212" s="135" t="str">
        <f aca="false">IF(ISBLANK($C212),"",IF($BD212&lt;&gt;Constants!$B$6,"",IF($AU212="-&gt;",$AX212,$AO212)))</f>
        <v/>
      </c>
      <c r="BY212" s="135" t="str">
        <f aca="false">IF(ISBLANK($C212),"",IF($BD212&lt;&gt;Constants!$B$6,"",IF($AU212="-&gt;",$AY212,$AP212)))</f>
        <v/>
      </c>
      <c r="BZ212" s="135" t="str">
        <f aca="false">IF(ISBLANK($C212),"",IF($BD212&lt;&gt;Constants!$B$6,"",IF($AU212="-&gt;",$AZ212,$AQ212)+$BG212))</f>
        <v/>
      </c>
      <c r="CA212" s="136" t="str">
        <f aca="false">IF(ISBLANK($C212),"",IF($BD212&lt;&gt;Constants!$B$6,$BD212,$BH212))</f>
        <v/>
      </c>
      <c r="CB212" s="137" t="str">
        <f aca="false">IF(ISBLANK($C212),"",$BE212)</f>
        <v/>
      </c>
      <c r="CC212" s="138" t="str">
        <f aca="false">IF(ISBLANK($C212),"",$BS212)</f>
        <v/>
      </c>
      <c r="CD212" s="138" t="str">
        <f aca="false">IF(ISBLANK($C212),"",$BR212)</f>
        <v/>
      </c>
      <c r="CE212" s="139" t="str">
        <f aca="false">IF(ISBLANK($C212),"",IF($CD212=Constants!$B$9,COUNTA($C$9:$C$508)+2,IF($CD212=Constants!$B$8,COUNTA($C$9:$C$508)+1,IF($CD212=Constants!$B$7,COUNTA($C$9:$C$508),$CD212))))</f>
        <v/>
      </c>
      <c r="CF212" s="9"/>
      <c r="CG212" s="140" t="n">
        <f aca="false">IF(OR(ISNUMBER($CD212),$CD212=Constants!$B$9,$CD212=Constants!$B$7,$CD212=Constants!$B$8),1,0)</f>
        <v>0</v>
      </c>
      <c r="CH212" s="140" t="n">
        <v>204</v>
      </c>
      <c r="CI212" s="140" t="str">
        <f aca="false">IF(ISBLANK($C212),"",IF(ISNUMBER($CE212),$CE212+ROW($B212)/1000,""))</f>
        <v/>
      </c>
      <c r="CJ212" s="140" t="str">
        <f aca="false">IF(ISNUMBER($CI212),RANK($CI212,$CI$9:$CI$508,1),"")</f>
        <v/>
      </c>
      <c r="CK212" s="140" t="str">
        <f aca="false">IF(ISBLANK($C212),"",$B212)</f>
        <v/>
      </c>
      <c r="CL212" s="140" t="str">
        <f aca="false">IF(ISBLANK($C212),"",$C212)</f>
        <v/>
      </c>
      <c r="CM212" s="140" t="str">
        <f aca="false">IF(ISBLANK($C212),"",$D212)</f>
        <v/>
      </c>
      <c r="CN212" s="141" t="str">
        <f aca="false">$CB212</f>
        <v/>
      </c>
      <c r="CO212" s="142" t="str">
        <f aca="false">$CA212</f>
        <v/>
      </c>
      <c r="CP212" s="140" t="str">
        <f aca="false">IF(ISBLANK($C212),"",$CD212)</f>
        <v/>
      </c>
      <c r="CQ212" s="143" t="str">
        <f aca="false">IF($CH212&gt;$CG$8,"",VLOOKUP($CH212,$CJ$9:$CP$508,7,FALSE()))</f>
        <v/>
      </c>
      <c r="CR212" s="144" t="str">
        <f aca="false">IF($CH212&gt;$CG$8,"",VLOOKUP($CH212,$CJ$9:$CP$508,2,FALSE()))</f>
        <v/>
      </c>
      <c r="CS212" s="144" t="str">
        <f aca="false">IF($CH212&gt;$CG$8,"",VLOOKUP($CH212,$CJ$9:$CP$508,3,FALSE()))</f>
        <v/>
      </c>
      <c r="CT212" s="144" t="str">
        <f aca="false">IF($CH212&gt;$CG$8,"",VLOOKUP($CH212,$CJ$9:$CP$508,4,FALSE()))</f>
        <v/>
      </c>
      <c r="CU212" s="144" t="str">
        <f aca="false">IF($CH212&gt;$CG$8,"",VLOOKUP($CH212,$CJ$9:$CP$508,5,FALSE()))</f>
        <v/>
      </c>
      <c r="CV212" s="145" t="str">
        <f aca="false">IF($CH212&gt;$CG$8,"",VLOOKUP($CH212,$CJ$9:$CP$508,6,FALSE()))</f>
        <v/>
      </c>
      <c r="CW212" s="71"/>
    </row>
    <row r="213" customFormat="false" ht="15.75" hidden="false" customHeight="false" outlineLevel="0" collapsed="false">
      <c r="A213" s="9"/>
      <c r="B213" s="72"/>
      <c r="C213" s="73"/>
      <c r="D213" s="160"/>
      <c r="E213" s="168"/>
      <c r="F213" s="162"/>
      <c r="G213" s="163"/>
      <c r="H213" s="169"/>
      <c r="I213" s="167"/>
      <c r="J213" s="80"/>
      <c r="K213" s="81"/>
      <c r="L213" s="82"/>
      <c r="M213" s="166"/>
      <c r="N213" s="167"/>
      <c r="O213" s="167"/>
      <c r="P213" s="80"/>
      <c r="Q213" s="82"/>
      <c r="R213" s="82"/>
      <c r="S213" s="166"/>
      <c r="T213" s="167"/>
      <c r="U213" s="86"/>
      <c r="V213" s="87"/>
      <c r="W213" s="87" t="str">
        <f aca="false">IF(ISBLANK($C213),"",IF(E213=Constants!$B$2,TRUE(),IF(E213=Constants!$B$3,FALSE(),TRUE())))</f>
        <v/>
      </c>
      <c r="X213" s="87" t="str">
        <f aca="false">IF(ISBLANK($C213),"",IF(F213=Constants!$B$2,TRUE(),IF(F213=Constants!$B$3,FALSE(),TRUE())))</f>
        <v/>
      </c>
      <c r="Y213" s="87" t="str">
        <f aca="false">IF(ISBLANK($C213),"",IF(G213=Constants!$B$2,TRUE(),IF(G213=Constants!$B$3,FALSE(),TRUE())))</f>
        <v/>
      </c>
      <c r="Z213" s="87" t="str">
        <f aca="false">IF(ISBLANK($C213),"",IF(H213=Constants!$B$2,TRUE(),IF(H213=Constants!$B$3,FALSE(),TRUE())))</f>
        <v/>
      </c>
      <c r="AA213" s="87" t="str">
        <f aca="false">IF(ISBLANK($C213),"",IF(I213=Constants!$B$2,TRUE(),IF(I213=Constants!$B$3,FALSE(),TRUE())))</f>
        <v/>
      </c>
      <c r="AB213" s="87" t="str">
        <f aca="false">IF(ISBLANK($C213),"",IF(J213=Constants!$B$4,TRUE(),IF(J213=Constants!$B$5,FALSE(),COUNTA(K213:M213)&gt;0)))</f>
        <v/>
      </c>
      <c r="AC213" s="88" t="str">
        <f aca="false">IF(ISBLANK($C213),"",IF(ISNUMBER(K213),IF(K213&gt;=0,K213,""),""))</f>
        <v/>
      </c>
      <c r="AD213" s="89" t="str">
        <f aca="false">IF(ISBLANK($C213),"",IF(ISNUMBER(L213),IF(L213&gt;=0,L213,""),""))</f>
        <v/>
      </c>
      <c r="AE213" s="87" t="str">
        <f aca="false">IF(ISBLANK($C213),"",IF(ISNUMBER(M213),IF(M213&gt;=0,MIN(M213,Constants!$B$22),""),""))</f>
        <v/>
      </c>
      <c r="AF213" s="87" t="str">
        <f aca="false">IF(ISBLANK($C213),"",IF(N213=Constants!$B$2,TRUE(),IF(N213=Constants!$B$3,FALSE(),TRUE())))</f>
        <v/>
      </c>
      <c r="AG213" s="87" t="str">
        <f aca="false">IF(ISBLANK($C213),"",IF(O213=Constants!$B$2,TRUE(),IF(O213=Constants!$B$3,FALSE(),TRUE())))</f>
        <v/>
      </c>
      <c r="AH213" s="87" t="str">
        <f aca="false">IF(ISBLANK($C213),"",IF(P213=Constants!$B$4,TRUE(),IF(P213=Constants!$B$5,FALSE(),COUNTA(Q213:S213)&gt;0)))</f>
        <v/>
      </c>
      <c r="AI213" s="88" t="str">
        <f aca="false">IF(ISBLANK($C213),"",IF(ISNUMBER(Q213),IF(Q213&gt;=0,Q213,""),""))</f>
        <v/>
      </c>
      <c r="AJ213" s="89" t="str">
        <f aca="false">IF(ISBLANK($C213),"",IF(ISNUMBER(R213),IF(R213&gt;=0,R213,""),""))</f>
        <v/>
      </c>
      <c r="AK213" s="87" t="str">
        <f aca="false">IF(ISBLANK($C213),"",IF(ISNUMBER(S213),IF(S213&gt;=0,MIN(S213,Constants!$B$22),""),""))</f>
        <v/>
      </c>
      <c r="AL213" s="87" t="str">
        <f aca="false">IF(ISBLANK($C213),"",IF(T213=Constants!$B$2,TRUE(),IF(T213=Constants!$B$3,FALSE(),FALSE())))</f>
        <v/>
      </c>
      <c r="AM213" s="86" t="str">
        <f aca="false">IF(ISBLANK($C213),"",AND($AB213,OR($AC213="",$AD213="",AND(NOT(ISBLANK($M213)),$AE213=""))))</f>
        <v/>
      </c>
      <c r="AN213" s="89" t="str">
        <f aca="false">IF($BD213&lt;&gt;Constants!$B$6,"",IF($AB213,Constants!$B$17*$AD213,Constants!$B$18))</f>
        <v/>
      </c>
      <c r="AO213" s="91" t="str">
        <f aca="false">IF($BD213&lt;&gt;Constants!$B$6,"",Constants!$B$19*IF($AB213,$AC213,0))</f>
        <v/>
      </c>
      <c r="AP213" s="91" t="str">
        <f aca="false">IF($BD213&lt;&gt;Constants!$B$6,"",IF(AND($AB213,ISNUMBER($AE213)),Constants!$B$20*(Constants!$B$21-$AE213),0))</f>
        <v/>
      </c>
      <c r="AQ213" s="91" t="str">
        <f aca="false">IF($BD213&lt;&gt;Constants!$B$6,"",IF($AA213,0,Constants!$B$12)+IF($Z213,0,Constants!$B$13)+IF($Y213,0,Constants!$B$14))</f>
        <v/>
      </c>
      <c r="AR213" s="92" t="str">
        <f aca="false">IF($BD213&lt;&gt;Constants!$B$6,"",Constants!$B$16+SUM($AN213:$AQ213))</f>
        <v/>
      </c>
      <c r="AS213" s="91" t="str">
        <f aca="false">IF($BD213&lt;&gt;Constants!$B$6,"",IF($AB213,$AD213,""))</f>
        <v/>
      </c>
      <c r="AT213" s="93" t="str">
        <f aca="false">IF($BD213&lt;&gt;Constants!$B$6,"",$AO213)</f>
        <v/>
      </c>
      <c r="AU213" s="87" t="str">
        <f aca="false">IF($BD213&lt;&gt;Constants!$B$6,"",IF(OR($BA213&lt;$AR213,AND($BA213=$AR213,OR(AND(ISNUMBER($BB213),OR(NOT(ISNUMBER($AS213)),$BB213&lt;$AS213)),AND(OR(AND($BB213="",$AS213=""),AND(ISNUMBER($BB213),ISNUMBER($AS213),$BB213=$AS213)),$BC213&lt;$AT213)))),"-&gt;","&lt;-"))</f>
        <v/>
      </c>
      <c r="AV213" s="86" t="str">
        <f aca="false">IF(ISBLANK($C213),"",AND($AH213,OR($AI213="",$AJ213="",AND(NOT(ISBLANK($S213)),$AK213=""))))</f>
        <v/>
      </c>
      <c r="AW213" s="89" t="str">
        <f aca="false">IF($BD213&lt;&gt;Constants!$B$6,"",IF($AH213,Constants!$B$17*$AJ213,Constants!$B$18))</f>
        <v/>
      </c>
      <c r="AX213" s="91" t="str">
        <f aca="false">IF($BD213&lt;&gt;Constants!$B$6,"",Constants!$B$19*IF($AH213,$AI213,0))</f>
        <v/>
      </c>
      <c r="AY213" s="91" t="str">
        <f aca="false">IF($BD213&lt;&gt;Constants!$B$6,"",IF(AND($AH213,ISNUMBER($AK213)),Constants!$B$20*(Constants!$B$21-$AK213),0))</f>
        <v/>
      </c>
      <c r="AZ213" s="91" t="str">
        <f aca="false">IF($BD213&lt;&gt;Constants!$B$6,"",IF($AG213,0,Constants!$B$12)+IF($AF213,0,Constants!$B$13)+IF($Y213,0,Constants!$B$14))</f>
        <v/>
      </c>
      <c r="BA213" s="92" t="str">
        <f aca="false">IF($BD213&lt;&gt;Constants!$B$6,"",Constants!$B$16+SUM($AW213:$AZ213))</f>
        <v/>
      </c>
      <c r="BB213" s="91" t="str">
        <f aca="false">IF($BD213&lt;&gt;Constants!$B$6,"",IF($AH213,$AJ213,""))</f>
        <v/>
      </c>
      <c r="BC213" s="93" t="str">
        <f aca="false">IF($BD213&lt;&gt;Constants!$B$6,"",$AX213)</f>
        <v/>
      </c>
      <c r="BD213" s="87" t="str">
        <f aca="false">IF(ISBLANK($C213),"",IF($AL213,Constants!$B$9,IF(COUNTA($E213:$T213)=0,Constants!$B$8,IF(NOT($X213),Constants!$B$7,IF(OR($AM213,$AV213),Constants!$B$10,Constants!$B$6)))))</f>
        <v/>
      </c>
      <c r="BE213" s="87" t="str">
        <f aca="false">IF(ISBLANK($C213),"",IF($BD213&lt;&gt;Constants!$B$6,$BD213,Constants!$B$11))</f>
        <v/>
      </c>
      <c r="BF213" s="91" t="str">
        <f aca="false">IF($BD213&lt;&gt;Constants!$B$6,"",IF($AU213="-&gt;",$BA213,$AR213))</f>
        <v/>
      </c>
      <c r="BG213" s="91" t="str">
        <f aca="false">IF($BD213&lt;&gt;Constants!$B$6,"",IF($W213,0,Constants!$B$15))</f>
        <v/>
      </c>
      <c r="BH213" s="91" t="str">
        <f aca="false">IF(ISBLANK($C213),"",IF($BD213&lt;&gt;Constants!$B$6,$BD213,SUM($BF213:$BG213)))</f>
        <v/>
      </c>
      <c r="BI213" s="87" t="str">
        <f aca="false">IF(ISBLANK($C213),"",IF($BD213&lt;&gt;Constants!$B$6,$BD213,RANK($BH213,$BH$9:$BH$508,1)))</f>
        <v/>
      </c>
      <c r="BJ213" s="91" t="str">
        <f aca="false">IF($BD213&lt;&gt;Constants!$B$6,"",IF($AU213="-&gt;",$BB213,$AS213))</f>
        <v/>
      </c>
      <c r="BK213" s="87" t="str">
        <f aca="false">IF(ISBLANK($C213),"",IF($BD213&lt;&gt;Constants!$B$6,$BD213,IF(ISNUMBER($BJ213),RANK($BJ213,$BJ$9:$BJ$508,1),COUNT($BJ$9:$BJ$508)+1)))</f>
        <v/>
      </c>
      <c r="BL213" s="91" t="str">
        <f aca="false">IF($BD213&lt;&gt;Constants!$B$6,"",IF($AU213="-&gt;",$BC213,$AT213))</f>
        <v/>
      </c>
      <c r="BM213" s="87" t="str">
        <f aca="false">IF(ISBLANK($C213),"",IF($BD213&lt;&gt;Constants!$B$6,$BD213,IF(ISNUMBER($BL213),RANK($BL213,$BL$9:$BL$508,1),COUNT($BL$9:$BL$508)+1)))</f>
        <v/>
      </c>
      <c r="BN213" s="91" t="str">
        <f aca="false">IF($BD213&lt;&gt;Constants!$B$6,"",IF($AU213="-&gt;",$AS213,$BB213))</f>
        <v/>
      </c>
      <c r="BO213" s="87" t="str">
        <f aca="false">IF(ISBLANK($C213),"",IF($BD213&lt;&gt;Constants!$B$6,$BD213,IF(ISNUMBER($BN213),RANK($BN213,$BN$9:$BN$508,1),COUNT($BN$9:$BN$508)+1)))</f>
        <v/>
      </c>
      <c r="BP213" s="91" t="str">
        <f aca="false">IF($BD213&lt;&gt;Constants!$B$6,"",IF($AU213="-&gt;",$AT213,$BC213))</f>
        <v/>
      </c>
      <c r="BQ213" s="87" t="str">
        <f aca="false">IF(ISBLANK($C213),"",IF($BD213&lt;&gt;Constants!$B$6,$BD213,IF(ISNUMBER($BP213),RANK($BP213,$BP$9:$BP$508,1),COUNT($BP$9:$BP$508)+1)))</f>
        <v/>
      </c>
      <c r="BR213" s="87" t="str">
        <f aca="false">IF(ISBLANK($C213),"",IF($BD213&lt;&gt;Constants!$B$6,$BD213,COUNTIFS($BI$9:$BI$508,"&lt;"&amp;$BI213)+COUNTIFS($BI$9:$BI$508,$BI213,$BK$9:$BK$508,"&lt;"&amp;$BK213)+COUNTIFS($BI$9:$BI$508,$BI213,$BK$9:$BK$508,$BK213,$BM$9:$BM$508,"&lt;"&amp;$BM213)+COUNTIFS($BI$9:$BI$508,$BI213,$BK$9:$BK$508,$BK213,$BM$9:$BM$508,$BM213,$BO$9:$BO$508,"&lt;"&amp;$BO213)+COUNTIFS($BI$9:$BI$508,$BI213,$BK$9:$BK$508,$BK213,$BM$9:$BM$508,$BM213,$BO$9:$BO$508,$BO213,$BQ$9:$BQ$508,"&lt;"&amp;$BQ213)+1))</f>
        <v/>
      </c>
      <c r="BS213" s="87" t="str">
        <f aca="false">IF(ISBLANK($C213),"",IF($BD213&lt;&gt;Constants!$B$6,$BD213,$BI213-$BR213))</f>
        <v/>
      </c>
      <c r="BT213" s="94"/>
      <c r="BU213" s="95"/>
      <c r="BV213" s="95" t="str">
        <f aca="false">IF(ISBLANK($C213),"",IF($BD213&lt;&gt;Constants!$B$6,"",IF($AU213="-&gt;",2,1)))</f>
        <v/>
      </c>
      <c r="BW213" s="96" t="str">
        <f aca="false">IF(ISBLANK($C213),"",IF($BD213&lt;&gt;Constants!$B$6,"",IF($AU213="-&gt;",$AW213,$AN213)))</f>
        <v/>
      </c>
      <c r="BX213" s="96" t="str">
        <f aca="false">IF(ISBLANK($C213),"",IF($BD213&lt;&gt;Constants!$B$6,"",IF($AU213="-&gt;",$AX213,$AO213)))</f>
        <v/>
      </c>
      <c r="BY213" s="96" t="str">
        <f aca="false">IF(ISBLANK($C213),"",IF($BD213&lt;&gt;Constants!$B$6,"",IF($AU213="-&gt;",$AY213,$AP213)))</f>
        <v/>
      </c>
      <c r="BZ213" s="96" t="str">
        <f aca="false">IF(ISBLANK($C213),"",IF($BD213&lt;&gt;Constants!$B$6,"",IF($AU213="-&gt;",$AZ213,$AQ213)+$BG213))</f>
        <v/>
      </c>
      <c r="CA213" s="97" t="str">
        <f aca="false">IF(ISBLANK($C213),"",IF($BD213&lt;&gt;Constants!$B$6,$BD213,$BH213))</f>
        <v/>
      </c>
      <c r="CB213" s="98" t="str">
        <f aca="false">IF(ISBLANK($C213),"",$BE213)</f>
        <v/>
      </c>
      <c r="CC213" s="99" t="str">
        <f aca="false">IF(ISBLANK($C213),"",$BS213)</f>
        <v/>
      </c>
      <c r="CD213" s="99" t="str">
        <f aca="false">IF(ISBLANK($C213),"",$BR213)</f>
        <v/>
      </c>
      <c r="CE213" s="100" t="str">
        <f aca="false">IF(ISBLANK($C213),"",IF($CD213=Constants!$B$9,COUNTA($C$9:$C$508)+2,IF($CD213=Constants!$B$8,COUNTA($C$9:$C$508)+1,IF($CD213=Constants!$B$7,COUNTA($C$9:$C$508),$CD213))))</f>
        <v/>
      </c>
      <c r="CF213" s="9"/>
      <c r="CG213" s="101" t="n">
        <f aca="false">IF(OR(ISNUMBER($CD213),$CD213=Constants!$B$9,$CD213=Constants!$B$7,$CD213=Constants!$B$8),1,0)</f>
        <v>0</v>
      </c>
      <c r="CH213" s="101" t="n">
        <v>205</v>
      </c>
      <c r="CI213" s="101" t="str">
        <f aca="false">IF(ISBLANK($C213),"",IF(ISNUMBER($CE213),$CE213+ROW($B213)/1000,""))</f>
        <v/>
      </c>
      <c r="CJ213" s="101" t="str">
        <f aca="false">IF(ISNUMBER($CI213),RANK($CI213,$CI$9:$CI$508,1),"")</f>
        <v/>
      </c>
      <c r="CK213" s="101" t="str">
        <f aca="false">IF(ISBLANK($C213),"",$B213)</f>
        <v/>
      </c>
      <c r="CL213" s="101" t="str">
        <f aca="false">IF(ISBLANK($C213),"",$C213)</f>
        <v/>
      </c>
      <c r="CM213" s="101" t="str">
        <f aca="false">IF(ISBLANK($C213),"",$D213)</f>
        <v/>
      </c>
      <c r="CN213" s="102" t="str">
        <f aca="false">$CB213</f>
        <v/>
      </c>
      <c r="CO213" s="103" t="str">
        <f aca="false">$CA213</f>
        <v/>
      </c>
      <c r="CP213" s="101" t="str">
        <f aca="false">IF(ISBLANK($C213),"",$CD213)</f>
        <v/>
      </c>
      <c r="CQ213" s="104" t="str">
        <f aca="false">IF($CH213&gt;$CG$8,"",VLOOKUP($CH213,$CJ$9:$CP$508,7,FALSE()))</f>
        <v/>
      </c>
      <c r="CR213" s="105" t="str">
        <f aca="false">IF($CH213&gt;$CG$8,"",VLOOKUP($CH213,$CJ$9:$CP$508,2,FALSE()))</f>
        <v/>
      </c>
      <c r="CS213" s="105" t="str">
        <f aca="false">IF($CH213&gt;$CG$8,"",VLOOKUP($CH213,$CJ$9:$CP$508,3,FALSE()))</f>
        <v/>
      </c>
      <c r="CT213" s="105" t="str">
        <f aca="false">IF($CH213&gt;$CG$8,"",VLOOKUP($CH213,$CJ$9:$CP$508,4,FALSE()))</f>
        <v/>
      </c>
      <c r="CU213" s="105" t="str">
        <f aca="false">IF($CH213&gt;$CG$8,"",VLOOKUP($CH213,$CJ$9:$CP$508,5,FALSE()))</f>
        <v/>
      </c>
      <c r="CV213" s="106" t="str">
        <f aca="false">IF($CH213&gt;$CG$8,"",VLOOKUP($CH213,$CJ$9:$CP$508,6,FALSE()))</f>
        <v/>
      </c>
      <c r="CW213" s="71"/>
    </row>
    <row r="214" customFormat="false" ht="15.75" hidden="false" customHeight="false" outlineLevel="0" collapsed="false">
      <c r="A214" s="9"/>
      <c r="B214" s="72"/>
      <c r="C214" s="73"/>
      <c r="D214" s="160"/>
      <c r="E214" s="168"/>
      <c r="F214" s="162"/>
      <c r="G214" s="163"/>
      <c r="H214" s="169"/>
      <c r="I214" s="167"/>
      <c r="J214" s="80"/>
      <c r="K214" s="81"/>
      <c r="L214" s="82"/>
      <c r="M214" s="166"/>
      <c r="N214" s="167"/>
      <c r="O214" s="167"/>
      <c r="P214" s="80"/>
      <c r="Q214" s="82"/>
      <c r="R214" s="82"/>
      <c r="S214" s="166"/>
      <c r="T214" s="167"/>
      <c r="U214" s="86"/>
      <c r="V214" s="87"/>
      <c r="W214" s="87" t="str">
        <f aca="false">IF(ISBLANK($C214),"",IF(E214=Constants!$B$2,TRUE(),IF(E214=Constants!$B$3,FALSE(),TRUE())))</f>
        <v/>
      </c>
      <c r="X214" s="87" t="str">
        <f aca="false">IF(ISBLANK($C214),"",IF(F214=Constants!$B$2,TRUE(),IF(F214=Constants!$B$3,FALSE(),TRUE())))</f>
        <v/>
      </c>
      <c r="Y214" s="87" t="str">
        <f aca="false">IF(ISBLANK($C214),"",IF(G214=Constants!$B$2,TRUE(),IF(G214=Constants!$B$3,FALSE(),TRUE())))</f>
        <v/>
      </c>
      <c r="Z214" s="87" t="str">
        <f aca="false">IF(ISBLANK($C214),"",IF(H214=Constants!$B$2,TRUE(),IF(H214=Constants!$B$3,FALSE(),TRUE())))</f>
        <v/>
      </c>
      <c r="AA214" s="87" t="str">
        <f aca="false">IF(ISBLANK($C214),"",IF(I214=Constants!$B$2,TRUE(),IF(I214=Constants!$B$3,FALSE(),TRUE())))</f>
        <v/>
      </c>
      <c r="AB214" s="87" t="str">
        <f aca="false">IF(ISBLANK($C214),"",IF(J214=Constants!$B$4,TRUE(),IF(J214=Constants!$B$5,FALSE(),COUNTA(K214:M214)&gt;0)))</f>
        <v/>
      </c>
      <c r="AC214" s="88" t="str">
        <f aca="false">IF(ISBLANK($C214),"",IF(ISNUMBER(K214),IF(K214&gt;=0,K214,""),""))</f>
        <v/>
      </c>
      <c r="AD214" s="89" t="str">
        <f aca="false">IF(ISBLANK($C214),"",IF(ISNUMBER(L214),IF(L214&gt;=0,L214,""),""))</f>
        <v/>
      </c>
      <c r="AE214" s="87" t="str">
        <f aca="false">IF(ISBLANK($C214),"",IF(ISNUMBER(M214),IF(M214&gt;=0,MIN(M214,Constants!$B$22),""),""))</f>
        <v/>
      </c>
      <c r="AF214" s="87" t="str">
        <f aca="false">IF(ISBLANK($C214),"",IF(N214=Constants!$B$2,TRUE(),IF(N214=Constants!$B$3,FALSE(),TRUE())))</f>
        <v/>
      </c>
      <c r="AG214" s="87" t="str">
        <f aca="false">IF(ISBLANK($C214),"",IF(O214=Constants!$B$2,TRUE(),IF(O214=Constants!$B$3,FALSE(),TRUE())))</f>
        <v/>
      </c>
      <c r="AH214" s="87" t="str">
        <f aca="false">IF(ISBLANK($C214),"",IF(P214=Constants!$B$4,TRUE(),IF(P214=Constants!$B$5,FALSE(),COUNTA(Q214:S214)&gt;0)))</f>
        <v/>
      </c>
      <c r="AI214" s="88" t="str">
        <f aca="false">IF(ISBLANK($C214),"",IF(ISNUMBER(Q214),IF(Q214&gt;=0,Q214,""),""))</f>
        <v/>
      </c>
      <c r="AJ214" s="89" t="str">
        <f aca="false">IF(ISBLANK($C214),"",IF(ISNUMBER(R214),IF(R214&gt;=0,R214,""),""))</f>
        <v/>
      </c>
      <c r="AK214" s="87" t="str">
        <f aca="false">IF(ISBLANK($C214),"",IF(ISNUMBER(S214),IF(S214&gt;=0,MIN(S214,Constants!$B$22),""),""))</f>
        <v/>
      </c>
      <c r="AL214" s="87" t="str">
        <f aca="false">IF(ISBLANK($C214),"",IF(T214=Constants!$B$2,TRUE(),IF(T214=Constants!$B$3,FALSE(),FALSE())))</f>
        <v/>
      </c>
      <c r="AM214" s="86" t="str">
        <f aca="false">IF(ISBLANK($C214),"",AND($AB214,OR($AC214="",$AD214="",AND(NOT(ISBLANK($M214)),$AE214=""))))</f>
        <v/>
      </c>
      <c r="AN214" s="89" t="str">
        <f aca="false">IF($BD214&lt;&gt;Constants!$B$6,"",IF($AB214,Constants!$B$17*$AD214,Constants!$B$18))</f>
        <v/>
      </c>
      <c r="AO214" s="91" t="str">
        <f aca="false">IF($BD214&lt;&gt;Constants!$B$6,"",Constants!$B$19*IF($AB214,$AC214,0))</f>
        <v/>
      </c>
      <c r="AP214" s="91" t="str">
        <f aca="false">IF($BD214&lt;&gt;Constants!$B$6,"",IF(AND($AB214,ISNUMBER($AE214)),Constants!$B$20*(Constants!$B$21-$AE214),0))</f>
        <v/>
      </c>
      <c r="AQ214" s="91" t="str">
        <f aca="false">IF($BD214&lt;&gt;Constants!$B$6,"",IF($AA214,0,Constants!$B$12)+IF($Z214,0,Constants!$B$13)+IF($Y214,0,Constants!$B$14))</f>
        <v/>
      </c>
      <c r="AR214" s="92" t="str">
        <f aca="false">IF($BD214&lt;&gt;Constants!$B$6,"",Constants!$B$16+SUM($AN214:$AQ214))</f>
        <v/>
      </c>
      <c r="AS214" s="91" t="str">
        <f aca="false">IF($BD214&lt;&gt;Constants!$B$6,"",IF($AB214,$AD214,""))</f>
        <v/>
      </c>
      <c r="AT214" s="93" t="str">
        <f aca="false">IF($BD214&lt;&gt;Constants!$B$6,"",$AO214)</f>
        <v/>
      </c>
      <c r="AU214" s="87" t="str">
        <f aca="false">IF($BD214&lt;&gt;Constants!$B$6,"",IF(OR($BA214&lt;$AR214,AND($BA214=$AR214,OR(AND(ISNUMBER($BB214),OR(NOT(ISNUMBER($AS214)),$BB214&lt;$AS214)),AND(OR(AND($BB214="",$AS214=""),AND(ISNUMBER($BB214),ISNUMBER($AS214),$BB214=$AS214)),$BC214&lt;$AT214)))),"-&gt;","&lt;-"))</f>
        <v/>
      </c>
      <c r="AV214" s="86" t="str">
        <f aca="false">IF(ISBLANK($C214),"",AND($AH214,OR($AI214="",$AJ214="",AND(NOT(ISBLANK($S214)),$AK214=""))))</f>
        <v/>
      </c>
      <c r="AW214" s="89" t="str">
        <f aca="false">IF($BD214&lt;&gt;Constants!$B$6,"",IF($AH214,Constants!$B$17*$AJ214,Constants!$B$18))</f>
        <v/>
      </c>
      <c r="AX214" s="91" t="str">
        <f aca="false">IF($BD214&lt;&gt;Constants!$B$6,"",Constants!$B$19*IF($AH214,$AI214,0))</f>
        <v/>
      </c>
      <c r="AY214" s="91" t="str">
        <f aca="false">IF($BD214&lt;&gt;Constants!$B$6,"",IF(AND($AH214,ISNUMBER($AK214)),Constants!$B$20*(Constants!$B$21-$AK214),0))</f>
        <v/>
      </c>
      <c r="AZ214" s="91" t="str">
        <f aca="false">IF($BD214&lt;&gt;Constants!$B$6,"",IF($AG214,0,Constants!$B$12)+IF($AF214,0,Constants!$B$13)+IF($Y214,0,Constants!$B$14))</f>
        <v/>
      </c>
      <c r="BA214" s="92" t="str">
        <f aca="false">IF($BD214&lt;&gt;Constants!$B$6,"",Constants!$B$16+SUM($AW214:$AZ214))</f>
        <v/>
      </c>
      <c r="BB214" s="91" t="str">
        <f aca="false">IF($BD214&lt;&gt;Constants!$B$6,"",IF($AH214,$AJ214,""))</f>
        <v/>
      </c>
      <c r="BC214" s="93" t="str">
        <f aca="false">IF($BD214&lt;&gt;Constants!$B$6,"",$AX214)</f>
        <v/>
      </c>
      <c r="BD214" s="87" t="str">
        <f aca="false">IF(ISBLANK($C214),"",IF($AL214,Constants!$B$9,IF(COUNTA($E214:$T214)=0,Constants!$B$8,IF(NOT($X214),Constants!$B$7,IF(OR($AM214,$AV214),Constants!$B$10,Constants!$B$6)))))</f>
        <v/>
      </c>
      <c r="BE214" s="87" t="str">
        <f aca="false">IF(ISBLANK($C214),"",IF($BD214&lt;&gt;Constants!$B$6,$BD214,Constants!$B$11))</f>
        <v/>
      </c>
      <c r="BF214" s="91" t="str">
        <f aca="false">IF($BD214&lt;&gt;Constants!$B$6,"",IF($AU214="-&gt;",$BA214,$AR214))</f>
        <v/>
      </c>
      <c r="BG214" s="91" t="str">
        <f aca="false">IF($BD214&lt;&gt;Constants!$B$6,"",IF($W214,0,Constants!$B$15))</f>
        <v/>
      </c>
      <c r="BH214" s="91" t="str">
        <f aca="false">IF(ISBLANK($C214),"",IF($BD214&lt;&gt;Constants!$B$6,$BD214,SUM($BF214:$BG214)))</f>
        <v/>
      </c>
      <c r="BI214" s="87" t="str">
        <f aca="false">IF(ISBLANK($C214),"",IF($BD214&lt;&gt;Constants!$B$6,$BD214,RANK($BH214,$BH$9:$BH$508,1)))</f>
        <v/>
      </c>
      <c r="BJ214" s="91" t="str">
        <f aca="false">IF($BD214&lt;&gt;Constants!$B$6,"",IF($AU214="-&gt;",$BB214,$AS214))</f>
        <v/>
      </c>
      <c r="BK214" s="87" t="str">
        <f aca="false">IF(ISBLANK($C214),"",IF($BD214&lt;&gt;Constants!$B$6,$BD214,IF(ISNUMBER($BJ214),RANK($BJ214,$BJ$9:$BJ$508,1),COUNT($BJ$9:$BJ$508)+1)))</f>
        <v/>
      </c>
      <c r="BL214" s="91" t="str">
        <f aca="false">IF($BD214&lt;&gt;Constants!$B$6,"",IF($AU214="-&gt;",$BC214,$AT214))</f>
        <v/>
      </c>
      <c r="BM214" s="87" t="str">
        <f aca="false">IF(ISBLANK($C214),"",IF($BD214&lt;&gt;Constants!$B$6,$BD214,IF(ISNUMBER($BL214),RANK($BL214,$BL$9:$BL$508,1),COUNT($BL$9:$BL$508)+1)))</f>
        <v/>
      </c>
      <c r="BN214" s="91" t="str">
        <f aca="false">IF($BD214&lt;&gt;Constants!$B$6,"",IF($AU214="-&gt;",$AS214,$BB214))</f>
        <v/>
      </c>
      <c r="BO214" s="87" t="str">
        <f aca="false">IF(ISBLANK($C214),"",IF($BD214&lt;&gt;Constants!$B$6,$BD214,IF(ISNUMBER($BN214),RANK($BN214,$BN$9:$BN$508,1),COUNT($BN$9:$BN$508)+1)))</f>
        <v/>
      </c>
      <c r="BP214" s="91" t="str">
        <f aca="false">IF($BD214&lt;&gt;Constants!$B$6,"",IF($AU214="-&gt;",$AT214,$BC214))</f>
        <v/>
      </c>
      <c r="BQ214" s="87" t="str">
        <f aca="false">IF(ISBLANK($C214),"",IF($BD214&lt;&gt;Constants!$B$6,$BD214,IF(ISNUMBER($BP214),RANK($BP214,$BP$9:$BP$508,1),COUNT($BP$9:$BP$508)+1)))</f>
        <v/>
      </c>
      <c r="BR214" s="87" t="str">
        <f aca="false">IF(ISBLANK($C214),"",IF($BD214&lt;&gt;Constants!$B$6,$BD214,COUNTIFS($BI$9:$BI$508,"&lt;"&amp;$BI214)+COUNTIFS($BI$9:$BI$508,$BI214,$BK$9:$BK$508,"&lt;"&amp;$BK214)+COUNTIFS($BI$9:$BI$508,$BI214,$BK$9:$BK$508,$BK214,$BM$9:$BM$508,"&lt;"&amp;$BM214)+COUNTIFS($BI$9:$BI$508,$BI214,$BK$9:$BK$508,$BK214,$BM$9:$BM$508,$BM214,$BO$9:$BO$508,"&lt;"&amp;$BO214)+COUNTIFS($BI$9:$BI$508,$BI214,$BK$9:$BK$508,$BK214,$BM$9:$BM$508,$BM214,$BO$9:$BO$508,$BO214,$BQ$9:$BQ$508,"&lt;"&amp;$BQ214)+1))</f>
        <v/>
      </c>
      <c r="BS214" s="87" t="str">
        <f aca="false">IF(ISBLANK($C214),"",IF($BD214&lt;&gt;Constants!$B$6,$BD214,$BI214-$BR214))</f>
        <v/>
      </c>
      <c r="BT214" s="94"/>
      <c r="BU214" s="95"/>
      <c r="BV214" s="95" t="str">
        <f aca="false">IF(ISBLANK($C214),"",IF($BD214&lt;&gt;Constants!$B$6,"",IF($AU214="-&gt;",2,1)))</f>
        <v/>
      </c>
      <c r="BW214" s="96" t="str">
        <f aca="false">IF(ISBLANK($C214),"",IF($BD214&lt;&gt;Constants!$B$6,"",IF($AU214="-&gt;",$AW214,$AN214)))</f>
        <v/>
      </c>
      <c r="BX214" s="96" t="str">
        <f aca="false">IF(ISBLANK($C214),"",IF($BD214&lt;&gt;Constants!$B$6,"",IF($AU214="-&gt;",$AX214,$AO214)))</f>
        <v/>
      </c>
      <c r="BY214" s="96" t="str">
        <f aca="false">IF(ISBLANK($C214),"",IF($BD214&lt;&gt;Constants!$B$6,"",IF($AU214="-&gt;",$AY214,$AP214)))</f>
        <v/>
      </c>
      <c r="BZ214" s="96" t="str">
        <f aca="false">IF(ISBLANK($C214),"",IF($BD214&lt;&gt;Constants!$B$6,"",IF($AU214="-&gt;",$AZ214,$AQ214)+$BG214))</f>
        <v/>
      </c>
      <c r="CA214" s="97" t="str">
        <f aca="false">IF(ISBLANK($C214),"",IF($BD214&lt;&gt;Constants!$B$6,$BD214,$BH214))</f>
        <v/>
      </c>
      <c r="CB214" s="98" t="str">
        <f aca="false">IF(ISBLANK($C214),"",$BE214)</f>
        <v/>
      </c>
      <c r="CC214" s="99" t="str">
        <f aca="false">IF(ISBLANK($C214),"",$BS214)</f>
        <v/>
      </c>
      <c r="CD214" s="99" t="str">
        <f aca="false">IF(ISBLANK($C214),"",$BR214)</f>
        <v/>
      </c>
      <c r="CE214" s="100" t="str">
        <f aca="false">IF(ISBLANK($C214),"",IF($CD214=Constants!$B$9,COUNTA($C$9:$C$508)+2,IF($CD214=Constants!$B$8,COUNTA($C$9:$C$508)+1,IF($CD214=Constants!$B$7,COUNTA($C$9:$C$508),$CD214))))</f>
        <v/>
      </c>
      <c r="CF214" s="9"/>
      <c r="CG214" s="101" t="n">
        <f aca="false">IF(OR(ISNUMBER($CD214),$CD214=Constants!$B$9,$CD214=Constants!$B$7,$CD214=Constants!$B$8),1,0)</f>
        <v>0</v>
      </c>
      <c r="CH214" s="101" t="n">
        <v>206</v>
      </c>
      <c r="CI214" s="101" t="str">
        <f aca="false">IF(ISBLANK($C214),"",IF(ISNUMBER($CE214),$CE214+ROW($B214)/1000,""))</f>
        <v/>
      </c>
      <c r="CJ214" s="101" t="str">
        <f aca="false">IF(ISNUMBER($CI214),RANK($CI214,$CI$9:$CI$508,1),"")</f>
        <v/>
      </c>
      <c r="CK214" s="101" t="str">
        <f aca="false">IF(ISBLANK($C214),"",$B214)</f>
        <v/>
      </c>
      <c r="CL214" s="101" t="str">
        <f aca="false">IF(ISBLANK($C214),"",$C214)</f>
        <v/>
      </c>
      <c r="CM214" s="101" t="str">
        <f aca="false">IF(ISBLANK($C214),"",$D214)</f>
        <v/>
      </c>
      <c r="CN214" s="102" t="str">
        <f aca="false">$CB214</f>
        <v/>
      </c>
      <c r="CO214" s="103" t="str">
        <f aca="false">$CA214</f>
        <v/>
      </c>
      <c r="CP214" s="101" t="str">
        <f aca="false">IF(ISBLANK($C214),"",$CD214)</f>
        <v/>
      </c>
      <c r="CQ214" s="104" t="str">
        <f aca="false">IF($CH214&gt;$CG$8,"",VLOOKUP($CH214,$CJ$9:$CP$508,7,FALSE()))</f>
        <v/>
      </c>
      <c r="CR214" s="105" t="str">
        <f aca="false">IF($CH214&gt;$CG$8,"",VLOOKUP($CH214,$CJ$9:$CP$508,2,FALSE()))</f>
        <v/>
      </c>
      <c r="CS214" s="105" t="str">
        <f aca="false">IF($CH214&gt;$CG$8,"",VLOOKUP($CH214,$CJ$9:$CP$508,3,FALSE()))</f>
        <v/>
      </c>
      <c r="CT214" s="105" t="str">
        <f aca="false">IF($CH214&gt;$CG$8,"",VLOOKUP($CH214,$CJ$9:$CP$508,4,FALSE()))</f>
        <v/>
      </c>
      <c r="CU214" s="105" t="str">
        <f aca="false">IF($CH214&gt;$CG$8,"",VLOOKUP($CH214,$CJ$9:$CP$508,5,FALSE()))</f>
        <v/>
      </c>
      <c r="CV214" s="106" t="str">
        <f aca="false">IF($CH214&gt;$CG$8,"",VLOOKUP($CH214,$CJ$9:$CP$508,6,FALSE()))</f>
        <v/>
      </c>
      <c r="CW214" s="71"/>
    </row>
    <row r="215" customFormat="false" ht="15.75" hidden="false" customHeight="false" outlineLevel="0" collapsed="false">
      <c r="A215" s="9"/>
      <c r="B215" s="72"/>
      <c r="C215" s="73"/>
      <c r="D215" s="160"/>
      <c r="E215" s="168"/>
      <c r="F215" s="162"/>
      <c r="G215" s="163"/>
      <c r="H215" s="169"/>
      <c r="I215" s="167"/>
      <c r="J215" s="80"/>
      <c r="K215" s="81"/>
      <c r="L215" s="82"/>
      <c r="M215" s="166"/>
      <c r="N215" s="167"/>
      <c r="O215" s="167"/>
      <c r="P215" s="80"/>
      <c r="Q215" s="82"/>
      <c r="R215" s="82"/>
      <c r="S215" s="166"/>
      <c r="T215" s="167"/>
      <c r="U215" s="86"/>
      <c r="V215" s="87"/>
      <c r="W215" s="87" t="str">
        <f aca="false">IF(ISBLANK($C215),"",IF(E215=Constants!$B$2,TRUE(),IF(E215=Constants!$B$3,FALSE(),TRUE())))</f>
        <v/>
      </c>
      <c r="X215" s="87" t="str">
        <f aca="false">IF(ISBLANK($C215),"",IF(F215=Constants!$B$2,TRUE(),IF(F215=Constants!$B$3,FALSE(),TRUE())))</f>
        <v/>
      </c>
      <c r="Y215" s="87" t="str">
        <f aca="false">IF(ISBLANK($C215),"",IF(G215=Constants!$B$2,TRUE(),IF(G215=Constants!$B$3,FALSE(),TRUE())))</f>
        <v/>
      </c>
      <c r="Z215" s="87" t="str">
        <f aca="false">IF(ISBLANK($C215),"",IF(H215=Constants!$B$2,TRUE(),IF(H215=Constants!$B$3,FALSE(),TRUE())))</f>
        <v/>
      </c>
      <c r="AA215" s="87" t="str">
        <f aca="false">IF(ISBLANK($C215),"",IF(I215=Constants!$B$2,TRUE(),IF(I215=Constants!$B$3,FALSE(),TRUE())))</f>
        <v/>
      </c>
      <c r="AB215" s="87" t="str">
        <f aca="false">IF(ISBLANK($C215),"",IF(J215=Constants!$B$4,TRUE(),IF(J215=Constants!$B$5,FALSE(),COUNTA(K215:M215)&gt;0)))</f>
        <v/>
      </c>
      <c r="AC215" s="88" t="str">
        <f aca="false">IF(ISBLANK($C215),"",IF(ISNUMBER(K215),IF(K215&gt;=0,K215,""),""))</f>
        <v/>
      </c>
      <c r="AD215" s="89" t="str">
        <f aca="false">IF(ISBLANK($C215),"",IF(ISNUMBER(L215),IF(L215&gt;=0,L215,""),""))</f>
        <v/>
      </c>
      <c r="AE215" s="87" t="str">
        <f aca="false">IF(ISBLANK($C215),"",IF(ISNUMBER(M215),IF(M215&gt;=0,MIN(M215,Constants!$B$22),""),""))</f>
        <v/>
      </c>
      <c r="AF215" s="87" t="str">
        <f aca="false">IF(ISBLANK($C215),"",IF(N215=Constants!$B$2,TRUE(),IF(N215=Constants!$B$3,FALSE(),TRUE())))</f>
        <v/>
      </c>
      <c r="AG215" s="87" t="str">
        <f aca="false">IF(ISBLANK($C215),"",IF(O215=Constants!$B$2,TRUE(),IF(O215=Constants!$B$3,FALSE(),TRUE())))</f>
        <v/>
      </c>
      <c r="AH215" s="87" t="str">
        <f aca="false">IF(ISBLANK($C215),"",IF(P215=Constants!$B$4,TRUE(),IF(P215=Constants!$B$5,FALSE(),COUNTA(Q215:S215)&gt;0)))</f>
        <v/>
      </c>
      <c r="AI215" s="88" t="str">
        <f aca="false">IF(ISBLANK($C215),"",IF(ISNUMBER(Q215),IF(Q215&gt;=0,Q215,""),""))</f>
        <v/>
      </c>
      <c r="AJ215" s="89" t="str">
        <f aca="false">IF(ISBLANK($C215),"",IF(ISNUMBER(R215),IF(R215&gt;=0,R215,""),""))</f>
        <v/>
      </c>
      <c r="AK215" s="87" t="str">
        <f aca="false">IF(ISBLANK($C215),"",IF(ISNUMBER(S215),IF(S215&gt;=0,MIN(S215,Constants!$B$22),""),""))</f>
        <v/>
      </c>
      <c r="AL215" s="87" t="str">
        <f aca="false">IF(ISBLANK($C215),"",IF(T215=Constants!$B$2,TRUE(),IF(T215=Constants!$B$3,FALSE(),FALSE())))</f>
        <v/>
      </c>
      <c r="AM215" s="86" t="str">
        <f aca="false">IF(ISBLANK($C215),"",AND($AB215,OR($AC215="",$AD215="",AND(NOT(ISBLANK($M215)),$AE215=""))))</f>
        <v/>
      </c>
      <c r="AN215" s="89" t="str">
        <f aca="false">IF($BD215&lt;&gt;Constants!$B$6,"",IF($AB215,Constants!$B$17*$AD215,Constants!$B$18))</f>
        <v/>
      </c>
      <c r="AO215" s="91" t="str">
        <f aca="false">IF($BD215&lt;&gt;Constants!$B$6,"",Constants!$B$19*IF($AB215,$AC215,0))</f>
        <v/>
      </c>
      <c r="AP215" s="91" t="str">
        <f aca="false">IF($BD215&lt;&gt;Constants!$B$6,"",IF(AND($AB215,ISNUMBER($AE215)),Constants!$B$20*(Constants!$B$21-$AE215),0))</f>
        <v/>
      </c>
      <c r="AQ215" s="91" t="str">
        <f aca="false">IF($BD215&lt;&gt;Constants!$B$6,"",IF($AA215,0,Constants!$B$12)+IF($Z215,0,Constants!$B$13)+IF($Y215,0,Constants!$B$14))</f>
        <v/>
      </c>
      <c r="AR215" s="92" t="str">
        <f aca="false">IF($BD215&lt;&gt;Constants!$B$6,"",Constants!$B$16+SUM($AN215:$AQ215))</f>
        <v/>
      </c>
      <c r="AS215" s="91" t="str">
        <f aca="false">IF($BD215&lt;&gt;Constants!$B$6,"",IF($AB215,$AD215,""))</f>
        <v/>
      </c>
      <c r="AT215" s="93" t="str">
        <f aca="false">IF($BD215&lt;&gt;Constants!$B$6,"",$AO215)</f>
        <v/>
      </c>
      <c r="AU215" s="87" t="str">
        <f aca="false">IF($BD215&lt;&gt;Constants!$B$6,"",IF(OR($BA215&lt;$AR215,AND($BA215=$AR215,OR(AND(ISNUMBER($BB215),OR(NOT(ISNUMBER($AS215)),$BB215&lt;$AS215)),AND(OR(AND($BB215="",$AS215=""),AND(ISNUMBER($BB215),ISNUMBER($AS215),$BB215=$AS215)),$BC215&lt;$AT215)))),"-&gt;","&lt;-"))</f>
        <v/>
      </c>
      <c r="AV215" s="86" t="str">
        <f aca="false">IF(ISBLANK($C215),"",AND($AH215,OR($AI215="",$AJ215="",AND(NOT(ISBLANK($S215)),$AK215=""))))</f>
        <v/>
      </c>
      <c r="AW215" s="89" t="str">
        <f aca="false">IF($BD215&lt;&gt;Constants!$B$6,"",IF($AH215,Constants!$B$17*$AJ215,Constants!$B$18))</f>
        <v/>
      </c>
      <c r="AX215" s="91" t="str">
        <f aca="false">IF($BD215&lt;&gt;Constants!$B$6,"",Constants!$B$19*IF($AH215,$AI215,0))</f>
        <v/>
      </c>
      <c r="AY215" s="91" t="str">
        <f aca="false">IF($BD215&lt;&gt;Constants!$B$6,"",IF(AND($AH215,ISNUMBER($AK215)),Constants!$B$20*(Constants!$B$21-$AK215),0))</f>
        <v/>
      </c>
      <c r="AZ215" s="91" t="str">
        <f aca="false">IF($BD215&lt;&gt;Constants!$B$6,"",IF($AG215,0,Constants!$B$12)+IF($AF215,0,Constants!$B$13)+IF($Y215,0,Constants!$B$14))</f>
        <v/>
      </c>
      <c r="BA215" s="92" t="str">
        <f aca="false">IF($BD215&lt;&gt;Constants!$B$6,"",Constants!$B$16+SUM($AW215:$AZ215))</f>
        <v/>
      </c>
      <c r="BB215" s="91" t="str">
        <f aca="false">IF($BD215&lt;&gt;Constants!$B$6,"",IF($AH215,$AJ215,""))</f>
        <v/>
      </c>
      <c r="BC215" s="93" t="str">
        <f aca="false">IF($BD215&lt;&gt;Constants!$B$6,"",$AX215)</f>
        <v/>
      </c>
      <c r="BD215" s="87" t="str">
        <f aca="false">IF(ISBLANK($C215),"",IF($AL215,Constants!$B$9,IF(COUNTA($E215:$T215)=0,Constants!$B$8,IF(NOT($X215),Constants!$B$7,IF(OR($AM215,$AV215),Constants!$B$10,Constants!$B$6)))))</f>
        <v/>
      </c>
      <c r="BE215" s="87" t="str">
        <f aca="false">IF(ISBLANK($C215),"",IF($BD215&lt;&gt;Constants!$B$6,$BD215,Constants!$B$11))</f>
        <v/>
      </c>
      <c r="BF215" s="91" t="str">
        <f aca="false">IF($BD215&lt;&gt;Constants!$B$6,"",IF($AU215="-&gt;",$BA215,$AR215))</f>
        <v/>
      </c>
      <c r="BG215" s="91" t="str">
        <f aca="false">IF($BD215&lt;&gt;Constants!$B$6,"",IF($W215,0,Constants!$B$15))</f>
        <v/>
      </c>
      <c r="BH215" s="91" t="str">
        <f aca="false">IF(ISBLANK($C215),"",IF($BD215&lt;&gt;Constants!$B$6,$BD215,SUM($BF215:$BG215)))</f>
        <v/>
      </c>
      <c r="BI215" s="87" t="str">
        <f aca="false">IF(ISBLANK($C215),"",IF($BD215&lt;&gt;Constants!$B$6,$BD215,RANK($BH215,$BH$9:$BH$508,1)))</f>
        <v/>
      </c>
      <c r="BJ215" s="91" t="str">
        <f aca="false">IF($BD215&lt;&gt;Constants!$B$6,"",IF($AU215="-&gt;",$BB215,$AS215))</f>
        <v/>
      </c>
      <c r="BK215" s="87" t="str">
        <f aca="false">IF(ISBLANK($C215),"",IF($BD215&lt;&gt;Constants!$B$6,$BD215,IF(ISNUMBER($BJ215),RANK($BJ215,$BJ$9:$BJ$508,1),COUNT($BJ$9:$BJ$508)+1)))</f>
        <v/>
      </c>
      <c r="BL215" s="91" t="str">
        <f aca="false">IF($BD215&lt;&gt;Constants!$B$6,"",IF($AU215="-&gt;",$BC215,$AT215))</f>
        <v/>
      </c>
      <c r="BM215" s="87" t="str">
        <f aca="false">IF(ISBLANK($C215),"",IF($BD215&lt;&gt;Constants!$B$6,$BD215,IF(ISNUMBER($BL215),RANK($BL215,$BL$9:$BL$508,1),COUNT($BL$9:$BL$508)+1)))</f>
        <v/>
      </c>
      <c r="BN215" s="91" t="str">
        <f aca="false">IF($BD215&lt;&gt;Constants!$B$6,"",IF($AU215="-&gt;",$AS215,$BB215))</f>
        <v/>
      </c>
      <c r="BO215" s="87" t="str">
        <f aca="false">IF(ISBLANK($C215),"",IF($BD215&lt;&gt;Constants!$B$6,$BD215,IF(ISNUMBER($BN215),RANK($BN215,$BN$9:$BN$508,1),COUNT($BN$9:$BN$508)+1)))</f>
        <v/>
      </c>
      <c r="BP215" s="91" t="str">
        <f aca="false">IF($BD215&lt;&gt;Constants!$B$6,"",IF($AU215="-&gt;",$AT215,$BC215))</f>
        <v/>
      </c>
      <c r="BQ215" s="87" t="str">
        <f aca="false">IF(ISBLANK($C215),"",IF($BD215&lt;&gt;Constants!$B$6,$BD215,IF(ISNUMBER($BP215),RANK($BP215,$BP$9:$BP$508,1),COUNT($BP$9:$BP$508)+1)))</f>
        <v/>
      </c>
      <c r="BR215" s="87" t="str">
        <f aca="false">IF(ISBLANK($C215),"",IF($BD215&lt;&gt;Constants!$B$6,$BD215,COUNTIFS($BI$9:$BI$508,"&lt;"&amp;$BI215)+COUNTIFS($BI$9:$BI$508,$BI215,$BK$9:$BK$508,"&lt;"&amp;$BK215)+COUNTIFS($BI$9:$BI$508,$BI215,$BK$9:$BK$508,$BK215,$BM$9:$BM$508,"&lt;"&amp;$BM215)+COUNTIFS($BI$9:$BI$508,$BI215,$BK$9:$BK$508,$BK215,$BM$9:$BM$508,$BM215,$BO$9:$BO$508,"&lt;"&amp;$BO215)+COUNTIFS($BI$9:$BI$508,$BI215,$BK$9:$BK$508,$BK215,$BM$9:$BM$508,$BM215,$BO$9:$BO$508,$BO215,$BQ$9:$BQ$508,"&lt;"&amp;$BQ215)+1))</f>
        <v/>
      </c>
      <c r="BS215" s="87" t="str">
        <f aca="false">IF(ISBLANK($C215),"",IF($BD215&lt;&gt;Constants!$B$6,$BD215,$BI215-$BR215))</f>
        <v/>
      </c>
      <c r="BT215" s="94"/>
      <c r="BU215" s="95"/>
      <c r="BV215" s="95" t="str">
        <f aca="false">IF(ISBLANK($C215),"",IF($BD215&lt;&gt;Constants!$B$6,"",IF($AU215="-&gt;",2,1)))</f>
        <v/>
      </c>
      <c r="BW215" s="96" t="str">
        <f aca="false">IF(ISBLANK($C215),"",IF($BD215&lt;&gt;Constants!$B$6,"",IF($AU215="-&gt;",$AW215,$AN215)))</f>
        <v/>
      </c>
      <c r="BX215" s="96" t="str">
        <f aca="false">IF(ISBLANK($C215),"",IF($BD215&lt;&gt;Constants!$B$6,"",IF($AU215="-&gt;",$AX215,$AO215)))</f>
        <v/>
      </c>
      <c r="BY215" s="96" t="str">
        <f aca="false">IF(ISBLANK($C215),"",IF($BD215&lt;&gt;Constants!$B$6,"",IF($AU215="-&gt;",$AY215,$AP215)))</f>
        <v/>
      </c>
      <c r="BZ215" s="96" t="str">
        <f aca="false">IF(ISBLANK($C215),"",IF($BD215&lt;&gt;Constants!$B$6,"",IF($AU215="-&gt;",$AZ215,$AQ215)+$BG215))</f>
        <v/>
      </c>
      <c r="CA215" s="97" t="str">
        <f aca="false">IF(ISBLANK($C215),"",IF($BD215&lt;&gt;Constants!$B$6,$BD215,$BH215))</f>
        <v/>
      </c>
      <c r="CB215" s="98" t="str">
        <f aca="false">IF(ISBLANK($C215),"",$BE215)</f>
        <v/>
      </c>
      <c r="CC215" s="99" t="str">
        <f aca="false">IF(ISBLANK($C215),"",$BS215)</f>
        <v/>
      </c>
      <c r="CD215" s="99" t="str">
        <f aca="false">IF(ISBLANK($C215),"",$BR215)</f>
        <v/>
      </c>
      <c r="CE215" s="100" t="str">
        <f aca="false">IF(ISBLANK($C215),"",IF($CD215=Constants!$B$9,COUNTA($C$9:$C$508)+2,IF($CD215=Constants!$B$8,COUNTA($C$9:$C$508)+1,IF($CD215=Constants!$B$7,COUNTA($C$9:$C$508),$CD215))))</f>
        <v/>
      </c>
      <c r="CF215" s="9"/>
      <c r="CG215" s="101" t="n">
        <f aca="false">IF(OR(ISNUMBER($CD215),$CD215=Constants!$B$9,$CD215=Constants!$B$7,$CD215=Constants!$B$8),1,0)</f>
        <v>0</v>
      </c>
      <c r="CH215" s="101" t="n">
        <v>207</v>
      </c>
      <c r="CI215" s="101" t="str">
        <f aca="false">IF(ISBLANK($C215),"",IF(ISNUMBER($CE215),$CE215+ROW($B215)/1000,""))</f>
        <v/>
      </c>
      <c r="CJ215" s="101" t="str">
        <f aca="false">IF(ISNUMBER($CI215),RANK($CI215,$CI$9:$CI$508,1),"")</f>
        <v/>
      </c>
      <c r="CK215" s="101" t="str">
        <f aca="false">IF(ISBLANK($C215),"",$B215)</f>
        <v/>
      </c>
      <c r="CL215" s="101" t="str">
        <f aca="false">IF(ISBLANK($C215),"",$C215)</f>
        <v/>
      </c>
      <c r="CM215" s="101" t="str">
        <f aca="false">IF(ISBLANK($C215),"",$D215)</f>
        <v/>
      </c>
      <c r="CN215" s="102" t="str">
        <f aca="false">$CB215</f>
        <v/>
      </c>
      <c r="CO215" s="103" t="str">
        <f aca="false">$CA215</f>
        <v/>
      </c>
      <c r="CP215" s="101" t="str">
        <f aca="false">IF(ISBLANK($C215),"",$CD215)</f>
        <v/>
      </c>
      <c r="CQ215" s="104" t="str">
        <f aca="false">IF($CH215&gt;$CG$8,"",VLOOKUP($CH215,$CJ$9:$CP$508,7,FALSE()))</f>
        <v/>
      </c>
      <c r="CR215" s="105" t="str">
        <f aca="false">IF($CH215&gt;$CG$8,"",VLOOKUP($CH215,$CJ$9:$CP$508,2,FALSE()))</f>
        <v/>
      </c>
      <c r="CS215" s="105" t="str">
        <f aca="false">IF($CH215&gt;$CG$8,"",VLOOKUP($CH215,$CJ$9:$CP$508,3,FALSE()))</f>
        <v/>
      </c>
      <c r="CT215" s="105" t="str">
        <f aca="false">IF($CH215&gt;$CG$8,"",VLOOKUP($CH215,$CJ$9:$CP$508,4,FALSE()))</f>
        <v/>
      </c>
      <c r="CU215" s="105" t="str">
        <f aca="false">IF($CH215&gt;$CG$8,"",VLOOKUP($CH215,$CJ$9:$CP$508,5,FALSE()))</f>
        <v/>
      </c>
      <c r="CV215" s="106" t="str">
        <f aca="false">IF($CH215&gt;$CG$8,"",VLOOKUP($CH215,$CJ$9:$CP$508,6,FALSE()))</f>
        <v/>
      </c>
      <c r="CW215" s="71"/>
    </row>
    <row r="216" customFormat="false" ht="15.75" hidden="false" customHeight="false" outlineLevel="0" collapsed="false">
      <c r="A216" s="9"/>
      <c r="B216" s="150"/>
      <c r="C216" s="151"/>
      <c r="D216" s="152"/>
      <c r="E216" s="170"/>
      <c r="F216" s="154"/>
      <c r="G216" s="155"/>
      <c r="H216" s="171"/>
      <c r="I216" s="159"/>
      <c r="J216" s="120"/>
      <c r="K216" s="121"/>
      <c r="L216" s="122"/>
      <c r="M216" s="158"/>
      <c r="N216" s="159"/>
      <c r="O216" s="159"/>
      <c r="P216" s="120"/>
      <c r="Q216" s="122"/>
      <c r="R216" s="122"/>
      <c r="S216" s="158"/>
      <c r="T216" s="159"/>
      <c r="U216" s="126"/>
      <c r="V216" s="127"/>
      <c r="W216" s="127" t="str">
        <f aca="false">IF(ISBLANK($C216),"",IF(E216=Constants!$B$2,TRUE(),IF(E216=Constants!$B$3,FALSE(),TRUE())))</f>
        <v/>
      </c>
      <c r="X216" s="127" t="str">
        <f aca="false">IF(ISBLANK($C216),"",IF(F216=Constants!$B$2,TRUE(),IF(F216=Constants!$B$3,FALSE(),TRUE())))</f>
        <v/>
      </c>
      <c r="Y216" s="127" t="str">
        <f aca="false">IF(ISBLANK($C216),"",IF(G216=Constants!$B$2,TRUE(),IF(G216=Constants!$B$3,FALSE(),TRUE())))</f>
        <v/>
      </c>
      <c r="Z216" s="127" t="str">
        <f aca="false">IF(ISBLANK($C216),"",IF(H216=Constants!$B$2,TRUE(),IF(H216=Constants!$B$3,FALSE(),TRUE())))</f>
        <v/>
      </c>
      <c r="AA216" s="127" t="str">
        <f aca="false">IF(ISBLANK($C216),"",IF(I216=Constants!$B$2,TRUE(),IF(I216=Constants!$B$3,FALSE(),TRUE())))</f>
        <v/>
      </c>
      <c r="AB216" s="127" t="str">
        <f aca="false">IF(ISBLANK($C216),"",IF(J216=Constants!$B$4,TRUE(),IF(J216=Constants!$B$5,FALSE(),COUNTA(K216:M216)&gt;0)))</f>
        <v/>
      </c>
      <c r="AC216" s="128" t="str">
        <f aca="false">IF(ISBLANK($C216),"",IF(ISNUMBER(K216),IF(K216&gt;=0,K216,""),""))</f>
        <v/>
      </c>
      <c r="AD216" s="129" t="str">
        <f aca="false">IF(ISBLANK($C216),"",IF(ISNUMBER(L216),IF(L216&gt;=0,L216,""),""))</f>
        <v/>
      </c>
      <c r="AE216" s="127" t="str">
        <f aca="false">IF(ISBLANK($C216),"",IF(ISNUMBER(M216),IF(M216&gt;=0,MIN(M216,Constants!$B$22),""),""))</f>
        <v/>
      </c>
      <c r="AF216" s="127" t="str">
        <f aca="false">IF(ISBLANK($C216),"",IF(N216=Constants!$B$2,TRUE(),IF(N216=Constants!$B$3,FALSE(),TRUE())))</f>
        <v/>
      </c>
      <c r="AG216" s="127" t="str">
        <f aca="false">IF(ISBLANK($C216),"",IF(O216=Constants!$B$2,TRUE(),IF(O216=Constants!$B$3,FALSE(),TRUE())))</f>
        <v/>
      </c>
      <c r="AH216" s="127" t="str">
        <f aca="false">IF(ISBLANK($C216),"",IF(P216=Constants!$B$4,TRUE(),IF(P216=Constants!$B$5,FALSE(),COUNTA(Q216:S216)&gt;0)))</f>
        <v/>
      </c>
      <c r="AI216" s="128" t="str">
        <f aca="false">IF(ISBLANK($C216),"",IF(ISNUMBER(Q216),IF(Q216&gt;=0,Q216,""),""))</f>
        <v/>
      </c>
      <c r="AJ216" s="129" t="str">
        <f aca="false">IF(ISBLANK($C216),"",IF(ISNUMBER(R216),IF(R216&gt;=0,R216,""),""))</f>
        <v/>
      </c>
      <c r="AK216" s="127" t="str">
        <f aca="false">IF(ISBLANK($C216),"",IF(ISNUMBER(S216),IF(S216&gt;=0,MIN(S216,Constants!$B$22),""),""))</f>
        <v/>
      </c>
      <c r="AL216" s="127" t="str">
        <f aca="false">IF(ISBLANK($C216),"",IF(T216=Constants!$B$2,TRUE(),IF(T216=Constants!$B$3,FALSE(),FALSE())))</f>
        <v/>
      </c>
      <c r="AM216" s="126" t="str">
        <f aca="false">IF(ISBLANK($C216),"",AND($AB216,OR($AC216="",$AD216="",AND(NOT(ISBLANK($M216)),$AE216=""))))</f>
        <v/>
      </c>
      <c r="AN216" s="129" t="str">
        <f aca="false">IF($BD216&lt;&gt;Constants!$B$6,"",IF($AB216,Constants!$B$17*$AD216,Constants!$B$18))</f>
        <v/>
      </c>
      <c r="AO216" s="130" t="str">
        <f aca="false">IF($BD216&lt;&gt;Constants!$B$6,"",Constants!$B$19*IF($AB216,$AC216,0))</f>
        <v/>
      </c>
      <c r="AP216" s="130" t="str">
        <f aca="false">IF($BD216&lt;&gt;Constants!$B$6,"",IF(AND($AB216,ISNUMBER($AE216)),Constants!$B$20*(Constants!$B$21-$AE216),0))</f>
        <v/>
      </c>
      <c r="AQ216" s="130" t="str">
        <f aca="false">IF($BD216&lt;&gt;Constants!$B$6,"",IF($AA216,0,Constants!$B$12)+IF($Z216,0,Constants!$B$13)+IF($Y216,0,Constants!$B$14))</f>
        <v/>
      </c>
      <c r="AR216" s="131" t="str">
        <f aca="false">IF($BD216&lt;&gt;Constants!$B$6,"",Constants!$B$16+SUM($AN216:$AQ216))</f>
        <v/>
      </c>
      <c r="AS216" s="130" t="str">
        <f aca="false">IF($BD216&lt;&gt;Constants!$B$6,"",IF($AB216,$AD216,""))</f>
        <v/>
      </c>
      <c r="AT216" s="132" t="str">
        <f aca="false">IF($BD216&lt;&gt;Constants!$B$6,"",$AO216)</f>
        <v/>
      </c>
      <c r="AU216" s="127" t="str">
        <f aca="false">IF($BD216&lt;&gt;Constants!$B$6,"",IF(OR($BA216&lt;$AR216,AND($BA216=$AR216,OR(AND(ISNUMBER($BB216),OR(NOT(ISNUMBER($AS216)),$BB216&lt;$AS216)),AND(OR(AND($BB216="",$AS216=""),AND(ISNUMBER($BB216),ISNUMBER($AS216),$BB216=$AS216)),$BC216&lt;$AT216)))),"-&gt;","&lt;-"))</f>
        <v/>
      </c>
      <c r="AV216" s="126" t="str">
        <f aca="false">IF(ISBLANK($C216),"",AND($AH216,OR($AI216="",$AJ216="",AND(NOT(ISBLANK($S216)),$AK216=""))))</f>
        <v/>
      </c>
      <c r="AW216" s="129" t="str">
        <f aca="false">IF($BD216&lt;&gt;Constants!$B$6,"",IF($AH216,Constants!$B$17*$AJ216,Constants!$B$18))</f>
        <v/>
      </c>
      <c r="AX216" s="130" t="str">
        <f aca="false">IF($BD216&lt;&gt;Constants!$B$6,"",Constants!$B$19*IF($AH216,$AI216,0))</f>
        <v/>
      </c>
      <c r="AY216" s="130" t="str">
        <f aca="false">IF($BD216&lt;&gt;Constants!$B$6,"",IF(AND($AH216,ISNUMBER($AK216)),Constants!$B$20*(Constants!$B$21-$AK216),0))</f>
        <v/>
      </c>
      <c r="AZ216" s="130" t="str">
        <f aca="false">IF($BD216&lt;&gt;Constants!$B$6,"",IF($AG216,0,Constants!$B$12)+IF($AF216,0,Constants!$B$13)+IF($Y216,0,Constants!$B$14))</f>
        <v/>
      </c>
      <c r="BA216" s="131" t="str">
        <f aca="false">IF($BD216&lt;&gt;Constants!$B$6,"",Constants!$B$16+SUM($AW216:$AZ216))</f>
        <v/>
      </c>
      <c r="BB216" s="130" t="str">
        <f aca="false">IF($BD216&lt;&gt;Constants!$B$6,"",IF($AH216,$AJ216,""))</f>
        <v/>
      </c>
      <c r="BC216" s="132" t="str">
        <f aca="false">IF($BD216&lt;&gt;Constants!$B$6,"",$AX216)</f>
        <v/>
      </c>
      <c r="BD216" s="127" t="str">
        <f aca="false">IF(ISBLANK($C216),"",IF($AL216,Constants!$B$9,IF(COUNTA($E216:$T216)=0,Constants!$B$8,IF(NOT($X216),Constants!$B$7,IF(OR($AM216,$AV216),Constants!$B$10,Constants!$B$6)))))</f>
        <v/>
      </c>
      <c r="BE216" s="127" t="str">
        <f aca="false">IF(ISBLANK($C216),"",IF($BD216&lt;&gt;Constants!$B$6,$BD216,Constants!$B$11))</f>
        <v/>
      </c>
      <c r="BF216" s="130" t="str">
        <f aca="false">IF($BD216&lt;&gt;Constants!$B$6,"",IF($AU216="-&gt;",$BA216,$AR216))</f>
        <v/>
      </c>
      <c r="BG216" s="130" t="str">
        <f aca="false">IF($BD216&lt;&gt;Constants!$B$6,"",IF($W216,0,Constants!$B$15))</f>
        <v/>
      </c>
      <c r="BH216" s="130" t="str">
        <f aca="false">IF(ISBLANK($C216),"",IF($BD216&lt;&gt;Constants!$B$6,$BD216,SUM($BF216:$BG216)))</f>
        <v/>
      </c>
      <c r="BI216" s="127" t="str">
        <f aca="false">IF(ISBLANK($C216),"",IF($BD216&lt;&gt;Constants!$B$6,$BD216,RANK($BH216,$BH$9:$BH$508,1)))</f>
        <v/>
      </c>
      <c r="BJ216" s="130" t="str">
        <f aca="false">IF($BD216&lt;&gt;Constants!$B$6,"",IF($AU216="-&gt;",$BB216,$AS216))</f>
        <v/>
      </c>
      <c r="BK216" s="127" t="str">
        <f aca="false">IF(ISBLANK($C216),"",IF($BD216&lt;&gt;Constants!$B$6,$BD216,IF(ISNUMBER($BJ216),RANK($BJ216,$BJ$9:$BJ$508,1),COUNT($BJ$9:$BJ$508)+1)))</f>
        <v/>
      </c>
      <c r="BL216" s="130" t="str">
        <f aca="false">IF($BD216&lt;&gt;Constants!$B$6,"",IF($AU216="-&gt;",$BC216,$AT216))</f>
        <v/>
      </c>
      <c r="BM216" s="127" t="str">
        <f aca="false">IF(ISBLANK($C216),"",IF($BD216&lt;&gt;Constants!$B$6,$BD216,IF(ISNUMBER($BL216),RANK($BL216,$BL$9:$BL$508,1),COUNT($BL$9:$BL$508)+1)))</f>
        <v/>
      </c>
      <c r="BN216" s="130" t="str">
        <f aca="false">IF($BD216&lt;&gt;Constants!$B$6,"",IF($AU216="-&gt;",$AS216,$BB216))</f>
        <v/>
      </c>
      <c r="BO216" s="127" t="str">
        <f aca="false">IF(ISBLANK($C216),"",IF($BD216&lt;&gt;Constants!$B$6,$BD216,IF(ISNUMBER($BN216),RANK($BN216,$BN$9:$BN$508,1),COUNT($BN$9:$BN$508)+1)))</f>
        <v/>
      </c>
      <c r="BP216" s="130" t="str">
        <f aca="false">IF($BD216&lt;&gt;Constants!$B$6,"",IF($AU216="-&gt;",$AT216,$BC216))</f>
        <v/>
      </c>
      <c r="BQ216" s="127" t="str">
        <f aca="false">IF(ISBLANK($C216),"",IF($BD216&lt;&gt;Constants!$B$6,$BD216,IF(ISNUMBER($BP216),RANK($BP216,$BP$9:$BP$508,1),COUNT($BP$9:$BP$508)+1)))</f>
        <v/>
      </c>
      <c r="BR216" s="127" t="str">
        <f aca="false">IF(ISBLANK($C216),"",IF($BD216&lt;&gt;Constants!$B$6,$BD216,COUNTIFS($BI$9:$BI$508,"&lt;"&amp;$BI216)+COUNTIFS($BI$9:$BI$508,$BI216,$BK$9:$BK$508,"&lt;"&amp;$BK216)+COUNTIFS($BI$9:$BI$508,$BI216,$BK$9:$BK$508,$BK216,$BM$9:$BM$508,"&lt;"&amp;$BM216)+COUNTIFS($BI$9:$BI$508,$BI216,$BK$9:$BK$508,$BK216,$BM$9:$BM$508,$BM216,$BO$9:$BO$508,"&lt;"&amp;$BO216)+COUNTIFS($BI$9:$BI$508,$BI216,$BK$9:$BK$508,$BK216,$BM$9:$BM$508,$BM216,$BO$9:$BO$508,$BO216,$BQ$9:$BQ$508,"&lt;"&amp;$BQ216)+1))</f>
        <v/>
      </c>
      <c r="BS216" s="127" t="str">
        <f aca="false">IF(ISBLANK($C216),"",IF($BD216&lt;&gt;Constants!$B$6,$BD216,$BI216-$BR216))</f>
        <v/>
      </c>
      <c r="BT216" s="133"/>
      <c r="BU216" s="134"/>
      <c r="BV216" s="134" t="str">
        <f aca="false">IF(ISBLANK($C216),"",IF($BD216&lt;&gt;Constants!$B$6,"",IF($AU216="-&gt;",2,1)))</f>
        <v/>
      </c>
      <c r="BW216" s="135" t="str">
        <f aca="false">IF(ISBLANK($C216),"",IF($BD216&lt;&gt;Constants!$B$6,"",IF($AU216="-&gt;",$AW216,$AN216)))</f>
        <v/>
      </c>
      <c r="BX216" s="135" t="str">
        <f aca="false">IF(ISBLANK($C216),"",IF($BD216&lt;&gt;Constants!$B$6,"",IF($AU216="-&gt;",$AX216,$AO216)))</f>
        <v/>
      </c>
      <c r="BY216" s="135" t="str">
        <f aca="false">IF(ISBLANK($C216),"",IF($BD216&lt;&gt;Constants!$B$6,"",IF($AU216="-&gt;",$AY216,$AP216)))</f>
        <v/>
      </c>
      <c r="BZ216" s="135" t="str">
        <f aca="false">IF(ISBLANK($C216),"",IF($BD216&lt;&gt;Constants!$B$6,"",IF($AU216="-&gt;",$AZ216,$AQ216)+$BG216))</f>
        <v/>
      </c>
      <c r="CA216" s="136" t="str">
        <f aca="false">IF(ISBLANK($C216),"",IF($BD216&lt;&gt;Constants!$B$6,$BD216,$BH216))</f>
        <v/>
      </c>
      <c r="CB216" s="137" t="str">
        <f aca="false">IF(ISBLANK($C216),"",$BE216)</f>
        <v/>
      </c>
      <c r="CC216" s="138" t="str">
        <f aca="false">IF(ISBLANK($C216),"",$BS216)</f>
        <v/>
      </c>
      <c r="CD216" s="138" t="str">
        <f aca="false">IF(ISBLANK($C216),"",$BR216)</f>
        <v/>
      </c>
      <c r="CE216" s="139" t="str">
        <f aca="false">IF(ISBLANK($C216),"",IF($CD216=Constants!$B$9,COUNTA($C$9:$C$508)+2,IF($CD216=Constants!$B$8,COUNTA($C$9:$C$508)+1,IF($CD216=Constants!$B$7,COUNTA($C$9:$C$508),$CD216))))</f>
        <v/>
      </c>
      <c r="CF216" s="9"/>
      <c r="CG216" s="140" t="n">
        <f aca="false">IF(OR(ISNUMBER($CD216),$CD216=Constants!$B$9,$CD216=Constants!$B$7,$CD216=Constants!$B$8),1,0)</f>
        <v>0</v>
      </c>
      <c r="CH216" s="140" t="n">
        <v>208</v>
      </c>
      <c r="CI216" s="140" t="str">
        <f aca="false">IF(ISBLANK($C216),"",IF(ISNUMBER($CE216),$CE216+ROW($B216)/1000,""))</f>
        <v/>
      </c>
      <c r="CJ216" s="140" t="str">
        <f aca="false">IF(ISNUMBER($CI216),RANK($CI216,$CI$9:$CI$508,1),"")</f>
        <v/>
      </c>
      <c r="CK216" s="140" t="str">
        <f aca="false">IF(ISBLANK($C216),"",$B216)</f>
        <v/>
      </c>
      <c r="CL216" s="140" t="str">
        <f aca="false">IF(ISBLANK($C216),"",$C216)</f>
        <v/>
      </c>
      <c r="CM216" s="140" t="str">
        <f aca="false">IF(ISBLANK($C216),"",$D216)</f>
        <v/>
      </c>
      <c r="CN216" s="141" t="str">
        <f aca="false">$CB216</f>
        <v/>
      </c>
      <c r="CO216" s="142" t="str">
        <f aca="false">$CA216</f>
        <v/>
      </c>
      <c r="CP216" s="140" t="str">
        <f aca="false">IF(ISBLANK($C216),"",$CD216)</f>
        <v/>
      </c>
      <c r="CQ216" s="143" t="str">
        <f aca="false">IF($CH216&gt;$CG$8,"",VLOOKUP($CH216,$CJ$9:$CP$508,7,FALSE()))</f>
        <v/>
      </c>
      <c r="CR216" s="144" t="str">
        <f aca="false">IF($CH216&gt;$CG$8,"",VLOOKUP($CH216,$CJ$9:$CP$508,2,FALSE()))</f>
        <v/>
      </c>
      <c r="CS216" s="144" t="str">
        <f aca="false">IF($CH216&gt;$CG$8,"",VLOOKUP($CH216,$CJ$9:$CP$508,3,FALSE()))</f>
        <v/>
      </c>
      <c r="CT216" s="144" t="str">
        <f aca="false">IF($CH216&gt;$CG$8,"",VLOOKUP($CH216,$CJ$9:$CP$508,4,FALSE()))</f>
        <v/>
      </c>
      <c r="CU216" s="144" t="str">
        <f aca="false">IF($CH216&gt;$CG$8,"",VLOOKUP($CH216,$CJ$9:$CP$508,5,FALSE()))</f>
        <v/>
      </c>
      <c r="CV216" s="145" t="str">
        <f aca="false">IF($CH216&gt;$CG$8,"",VLOOKUP($CH216,$CJ$9:$CP$508,6,FALSE()))</f>
        <v/>
      </c>
      <c r="CW216" s="71"/>
    </row>
    <row r="217" customFormat="false" ht="15.75" hidden="false" customHeight="false" outlineLevel="0" collapsed="false">
      <c r="A217" s="9"/>
      <c r="B217" s="150"/>
      <c r="C217" s="151"/>
      <c r="D217" s="152"/>
      <c r="E217" s="170"/>
      <c r="F217" s="154"/>
      <c r="G217" s="155"/>
      <c r="H217" s="171"/>
      <c r="I217" s="159"/>
      <c r="J217" s="120"/>
      <c r="K217" s="121"/>
      <c r="L217" s="122"/>
      <c r="M217" s="158"/>
      <c r="N217" s="159"/>
      <c r="O217" s="159"/>
      <c r="P217" s="120"/>
      <c r="Q217" s="122"/>
      <c r="R217" s="122"/>
      <c r="S217" s="158"/>
      <c r="T217" s="159"/>
      <c r="U217" s="126"/>
      <c r="V217" s="127"/>
      <c r="W217" s="127" t="str">
        <f aca="false">IF(ISBLANK($C217),"",IF(E217=Constants!$B$2,TRUE(),IF(E217=Constants!$B$3,FALSE(),TRUE())))</f>
        <v/>
      </c>
      <c r="X217" s="127" t="str">
        <f aca="false">IF(ISBLANK($C217),"",IF(F217=Constants!$B$2,TRUE(),IF(F217=Constants!$B$3,FALSE(),TRUE())))</f>
        <v/>
      </c>
      <c r="Y217" s="127" t="str">
        <f aca="false">IF(ISBLANK($C217),"",IF(G217=Constants!$B$2,TRUE(),IF(G217=Constants!$B$3,FALSE(),TRUE())))</f>
        <v/>
      </c>
      <c r="Z217" s="127" t="str">
        <f aca="false">IF(ISBLANK($C217),"",IF(H217=Constants!$B$2,TRUE(),IF(H217=Constants!$B$3,FALSE(),TRUE())))</f>
        <v/>
      </c>
      <c r="AA217" s="127" t="str">
        <f aca="false">IF(ISBLANK($C217),"",IF(I217=Constants!$B$2,TRUE(),IF(I217=Constants!$B$3,FALSE(),TRUE())))</f>
        <v/>
      </c>
      <c r="AB217" s="127" t="str">
        <f aca="false">IF(ISBLANK($C217),"",IF(J217=Constants!$B$4,TRUE(),IF(J217=Constants!$B$5,FALSE(),COUNTA(K217:M217)&gt;0)))</f>
        <v/>
      </c>
      <c r="AC217" s="128" t="str">
        <f aca="false">IF(ISBLANK($C217),"",IF(ISNUMBER(K217),IF(K217&gt;=0,K217,""),""))</f>
        <v/>
      </c>
      <c r="AD217" s="129" t="str">
        <f aca="false">IF(ISBLANK($C217),"",IF(ISNUMBER(L217),IF(L217&gt;=0,L217,""),""))</f>
        <v/>
      </c>
      <c r="AE217" s="127" t="str">
        <f aca="false">IF(ISBLANK($C217),"",IF(ISNUMBER(M217),IF(M217&gt;=0,MIN(M217,Constants!$B$22),""),""))</f>
        <v/>
      </c>
      <c r="AF217" s="127" t="str">
        <f aca="false">IF(ISBLANK($C217),"",IF(N217=Constants!$B$2,TRUE(),IF(N217=Constants!$B$3,FALSE(),TRUE())))</f>
        <v/>
      </c>
      <c r="AG217" s="127" t="str">
        <f aca="false">IF(ISBLANK($C217),"",IF(O217=Constants!$B$2,TRUE(),IF(O217=Constants!$B$3,FALSE(),TRUE())))</f>
        <v/>
      </c>
      <c r="AH217" s="127" t="str">
        <f aca="false">IF(ISBLANK($C217),"",IF(P217=Constants!$B$4,TRUE(),IF(P217=Constants!$B$5,FALSE(),COUNTA(Q217:S217)&gt;0)))</f>
        <v/>
      </c>
      <c r="AI217" s="128" t="str">
        <f aca="false">IF(ISBLANK($C217),"",IF(ISNUMBER(Q217),IF(Q217&gt;=0,Q217,""),""))</f>
        <v/>
      </c>
      <c r="AJ217" s="129" t="str">
        <f aca="false">IF(ISBLANK($C217),"",IF(ISNUMBER(R217),IF(R217&gt;=0,R217,""),""))</f>
        <v/>
      </c>
      <c r="AK217" s="127" t="str">
        <f aca="false">IF(ISBLANK($C217),"",IF(ISNUMBER(S217),IF(S217&gt;=0,MIN(S217,Constants!$B$22),""),""))</f>
        <v/>
      </c>
      <c r="AL217" s="127" t="str">
        <f aca="false">IF(ISBLANK($C217),"",IF(T217=Constants!$B$2,TRUE(),IF(T217=Constants!$B$3,FALSE(),FALSE())))</f>
        <v/>
      </c>
      <c r="AM217" s="126" t="str">
        <f aca="false">IF(ISBLANK($C217),"",AND($AB217,OR($AC217="",$AD217="",AND(NOT(ISBLANK($M217)),$AE217=""))))</f>
        <v/>
      </c>
      <c r="AN217" s="129" t="str">
        <f aca="false">IF($BD217&lt;&gt;Constants!$B$6,"",IF($AB217,Constants!$B$17*$AD217,Constants!$B$18))</f>
        <v/>
      </c>
      <c r="AO217" s="130" t="str">
        <f aca="false">IF($BD217&lt;&gt;Constants!$B$6,"",Constants!$B$19*IF($AB217,$AC217,0))</f>
        <v/>
      </c>
      <c r="AP217" s="130" t="str">
        <f aca="false">IF($BD217&lt;&gt;Constants!$B$6,"",IF(AND($AB217,ISNUMBER($AE217)),Constants!$B$20*(Constants!$B$21-$AE217),0))</f>
        <v/>
      </c>
      <c r="AQ217" s="130" t="str">
        <f aca="false">IF($BD217&lt;&gt;Constants!$B$6,"",IF($AA217,0,Constants!$B$12)+IF($Z217,0,Constants!$B$13)+IF($Y217,0,Constants!$B$14))</f>
        <v/>
      </c>
      <c r="AR217" s="131" t="str">
        <f aca="false">IF($BD217&lt;&gt;Constants!$B$6,"",Constants!$B$16+SUM($AN217:$AQ217))</f>
        <v/>
      </c>
      <c r="AS217" s="130" t="str">
        <f aca="false">IF($BD217&lt;&gt;Constants!$B$6,"",IF($AB217,$AD217,""))</f>
        <v/>
      </c>
      <c r="AT217" s="132" t="str">
        <f aca="false">IF($BD217&lt;&gt;Constants!$B$6,"",$AO217)</f>
        <v/>
      </c>
      <c r="AU217" s="127" t="str">
        <f aca="false">IF($BD217&lt;&gt;Constants!$B$6,"",IF(OR($BA217&lt;$AR217,AND($BA217=$AR217,OR(AND(ISNUMBER($BB217),OR(NOT(ISNUMBER($AS217)),$BB217&lt;$AS217)),AND(OR(AND($BB217="",$AS217=""),AND(ISNUMBER($BB217),ISNUMBER($AS217),$BB217=$AS217)),$BC217&lt;$AT217)))),"-&gt;","&lt;-"))</f>
        <v/>
      </c>
      <c r="AV217" s="126" t="str">
        <f aca="false">IF(ISBLANK($C217),"",AND($AH217,OR($AI217="",$AJ217="",AND(NOT(ISBLANK($S217)),$AK217=""))))</f>
        <v/>
      </c>
      <c r="AW217" s="129" t="str">
        <f aca="false">IF($BD217&lt;&gt;Constants!$B$6,"",IF($AH217,Constants!$B$17*$AJ217,Constants!$B$18))</f>
        <v/>
      </c>
      <c r="AX217" s="130" t="str">
        <f aca="false">IF($BD217&lt;&gt;Constants!$B$6,"",Constants!$B$19*IF($AH217,$AI217,0))</f>
        <v/>
      </c>
      <c r="AY217" s="130" t="str">
        <f aca="false">IF($BD217&lt;&gt;Constants!$B$6,"",IF(AND($AH217,ISNUMBER($AK217)),Constants!$B$20*(Constants!$B$21-$AK217),0))</f>
        <v/>
      </c>
      <c r="AZ217" s="130" t="str">
        <f aca="false">IF($BD217&lt;&gt;Constants!$B$6,"",IF($AG217,0,Constants!$B$12)+IF($AF217,0,Constants!$B$13)+IF($Y217,0,Constants!$B$14))</f>
        <v/>
      </c>
      <c r="BA217" s="131" t="str">
        <f aca="false">IF($BD217&lt;&gt;Constants!$B$6,"",Constants!$B$16+SUM($AW217:$AZ217))</f>
        <v/>
      </c>
      <c r="BB217" s="130" t="str">
        <f aca="false">IF($BD217&lt;&gt;Constants!$B$6,"",IF($AH217,$AJ217,""))</f>
        <v/>
      </c>
      <c r="BC217" s="132" t="str">
        <f aca="false">IF($BD217&lt;&gt;Constants!$B$6,"",$AX217)</f>
        <v/>
      </c>
      <c r="BD217" s="127" t="str">
        <f aca="false">IF(ISBLANK($C217),"",IF($AL217,Constants!$B$9,IF(COUNTA($E217:$T217)=0,Constants!$B$8,IF(NOT($X217),Constants!$B$7,IF(OR($AM217,$AV217),Constants!$B$10,Constants!$B$6)))))</f>
        <v/>
      </c>
      <c r="BE217" s="127" t="str">
        <f aca="false">IF(ISBLANK($C217),"",IF($BD217&lt;&gt;Constants!$B$6,$BD217,Constants!$B$11))</f>
        <v/>
      </c>
      <c r="BF217" s="130" t="str">
        <f aca="false">IF($BD217&lt;&gt;Constants!$B$6,"",IF($AU217="-&gt;",$BA217,$AR217))</f>
        <v/>
      </c>
      <c r="BG217" s="130" t="str">
        <f aca="false">IF($BD217&lt;&gt;Constants!$B$6,"",IF($W217,0,Constants!$B$15))</f>
        <v/>
      </c>
      <c r="BH217" s="130" t="str">
        <f aca="false">IF(ISBLANK($C217),"",IF($BD217&lt;&gt;Constants!$B$6,$BD217,SUM($BF217:$BG217)))</f>
        <v/>
      </c>
      <c r="BI217" s="127" t="str">
        <f aca="false">IF(ISBLANK($C217),"",IF($BD217&lt;&gt;Constants!$B$6,$BD217,RANK($BH217,$BH$9:$BH$508,1)))</f>
        <v/>
      </c>
      <c r="BJ217" s="130" t="str">
        <f aca="false">IF($BD217&lt;&gt;Constants!$B$6,"",IF($AU217="-&gt;",$BB217,$AS217))</f>
        <v/>
      </c>
      <c r="BK217" s="127" t="str">
        <f aca="false">IF(ISBLANK($C217),"",IF($BD217&lt;&gt;Constants!$B$6,$BD217,IF(ISNUMBER($BJ217),RANK($BJ217,$BJ$9:$BJ$508,1),COUNT($BJ$9:$BJ$508)+1)))</f>
        <v/>
      </c>
      <c r="BL217" s="130" t="str">
        <f aca="false">IF($BD217&lt;&gt;Constants!$B$6,"",IF($AU217="-&gt;",$BC217,$AT217))</f>
        <v/>
      </c>
      <c r="BM217" s="127" t="str">
        <f aca="false">IF(ISBLANK($C217),"",IF($BD217&lt;&gt;Constants!$B$6,$BD217,IF(ISNUMBER($BL217),RANK($BL217,$BL$9:$BL$508,1),COUNT($BL$9:$BL$508)+1)))</f>
        <v/>
      </c>
      <c r="BN217" s="130" t="str">
        <f aca="false">IF($BD217&lt;&gt;Constants!$B$6,"",IF($AU217="-&gt;",$AS217,$BB217))</f>
        <v/>
      </c>
      <c r="BO217" s="127" t="str">
        <f aca="false">IF(ISBLANK($C217),"",IF($BD217&lt;&gt;Constants!$B$6,$BD217,IF(ISNUMBER($BN217),RANK($BN217,$BN$9:$BN$508,1),COUNT($BN$9:$BN$508)+1)))</f>
        <v/>
      </c>
      <c r="BP217" s="130" t="str">
        <f aca="false">IF($BD217&lt;&gt;Constants!$B$6,"",IF($AU217="-&gt;",$AT217,$BC217))</f>
        <v/>
      </c>
      <c r="BQ217" s="127" t="str">
        <f aca="false">IF(ISBLANK($C217),"",IF($BD217&lt;&gt;Constants!$B$6,$BD217,IF(ISNUMBER($BP217),RANK($BP217,$BP$9:$BP$508,1),COUNT($BP$9:$BP$508)+1)))</f>
        <v/>
      </c>
      <c r="BR217" s="127" t="str">
        <f aca="false">IF(ISBLANK($C217),"",IF($BD217&lt;&gt;Constants!$B$6,$BD217,COUNTIFS($BI$9:$BI$508,"&lt;"&amp;$BI217)+COUNTIFS($BI$9:$BI$508,$BI217,$BK$9:$BK$508,"&lt;"&amp;$BK217)+COUNTIFS($BI$9:$BI$508,$BI217,$BK$9:$BK$508,$BK217,$BM$9:$BM$508,"&lt;"&amp;$BM217)+COUNTIFS($BI$9:$BI$508,$BI217,$BK$9:$BK$508,$BK217,$BM$9:$BM$508,$BM217,$BO$9:$BO$508,"&lt;"&amp;$BO217)+COUNTIFS($BI$9:$BI$508,$BI217,$BK$9:$BK$508,$BK217,$BM$9:$BM$508,$BM217,$BO$9:$BO$508,$BO217,$BQ$9:$BQ$508,"&lt;"&amp;$BQ217)+1))</f>
        <v/>
      </c>
      <c r="BS217" s="127" t="str">
        <f aca="false">IF(ISBLANK($C217),"",IF($BD217&lt;&gt;Constants!$B$6,$BD217,$BI217-$BR217))</f>
        <v/>
      </c>
      <c r="BT217" s="133"/>
      <c r="BU217" s="134"/>
      <c r="BV217" s="134" t="str">
        <f aca="false">IF(ISBLANK($C217),"",IF($BD217&lt;&gt;Constants!$B$6,"",IF($AU217="-&gt;",2,1)))</f>
        <v/>
      </c>
      <c r="BW217" s="135" t="str">
        <f aca="false">IF(ISBLANK($C217),"",IF($BD217&lt;&gt;Constants!$B$6,"",IF($AU217="-&gt;",$AW217,$AN217)))</f>
        <v/>
      </c>
      <c r="BX217" s="135" t="str">
        <f aca="false">IF(ISBLANK($C217),"",IF($BD217&lt;&gt;Constants!$B$6,"",IF($AU217="-&gt;",$AX217,$AO217)))</f>
        <v/>
      </c>
      <c r="BY217" s="135" t="str">
        <f aca="false">IF(ISBLANK($C217),"",IF($BD217&lt;&gt;Constants!$B$6,"",IF($AU217="-&gt;",$AY217,$AP217)))</f>
        <v/>
      </c>
      <c r="BZ217" s="135" t="str">
        <f aca="false">IF(ISBLANK($C217),"",IF($BD217&lt;&gt;Constants!$B$6,"",IF($AU217="-&gt;",$AZ217,$AQ217)+$BG217))</f>
        <v/>
      </c>
      <c r="CA217" s="136" t="str">
        <f aca="false">IF(ISBLANK($C217),"",IF($BD217&lt;&gt;Constants!$B$6,$BD217,$BH217))</f>
        <v/>
      </c>
      <c r="CB217" s="137" t="str">
        <f aca="false">IF(ISBLANK($C217),"",$BE217)</f>
        <v/>
      </c>
      <c r="CC217" s="138" t="str">
        <f aca="false">IF(ISBLANK($C217),"",$BS217)</f>
        <v/>
      </c>
      <c r="CD217" s="138" t="str">
        <f aca="false">IF(ISBLANK($C217),"",$BR217)</f>
        <v/>
      </c>
      <c r="CE217" s="139" t="str">
        <f aca="false">IF(ISBLANK($C217),"",IF($CD217=Constants!$B$9,COUNTA($C$9:$C$508)+2,IF($CD217=Constants!$B$8,COUNTA($C$9:$C$508)+1,IF($CD217=Constants!$B$7,COUNTA($C$9:$C$508),$CD217))))</f>
        <v/>
      </c>
      <c r="CF217" s="9"/>
      <c r="CG217" s="140" t="n">
        <f aca="false">IF(OR(ISNUMBER($CD217),$CD217=Constants!$B$9,$CD217=Constants!$B$7,$CD217=Constants!$B$8),1,0)</f>
        <v>0</v>
      </c>
      <c r="CH217" s="140" t="n">
        <v>209</v>
      </c>
      <c r="CI217" s="140" t="str">
        <f aca="false">IF(ISBLANK($C217),"",IF(ISNUMBER($CE217),$CE217+ROW($B217)/1000,""))</f>
        <v/>
      </c>
      <c r="CJ217" s="140" t="str">
        <f aca="false">IF(ISNUMBER($CI217),RANK($CI217,$CI$9:$CI$508,1),"")</f>
        <v/>
      </c>
      <c r="CK217" s="140" t="str">
        <f aca="false">IF(ISBLANK($C217),"",$B217)</f>
        <v/>
      </c>
      <c r="CL217" s="140" t="str">
        <f aca="false">IF(ISBLANK($C217),"",$C217)</f>
        <v/>
      </c>
      <c r="CM217" s="140" t="str">
        <f aca="false">IF(ISBLANK($C217),"",$D217)</f>
        <v/>
      </c>
      <c r="CN217" s="141" t="str">
        <f aca="false">$CB217</f>
        <v/>
      </c>
      <c r="CO217" s="142" t="str">
        <f aca="false">$CA217</f>
        <v/>
      </c>
      <c r="CP217" s="140" t="str">
        <f aca="false">IF(ISBLANK($C217),"",$CD217)</f>
        <v/>
      </c>
      <c r="CQ217" s="143" t="str">
        <f aca="false">IF($CH217&gt;$CG$8,"",VLOOKUP($CH217,$CJ$9:$CP$508,7,FALSE()))</f>
        <v/>
      </c>
      <c r="CR217" s="144" t="str">
        <f aca="false">IF($CH217&gt;$CG$8,"",VLOOKUP($CH217,$CJ$9:$CP$508,2,FALSE()))</f>
        <v/>
      </c>
      <c r="CS217" s="144" t="str">
        <f aca="false">IF($CH217&gt;$CG$8,"",VLOOKUP($CH217,$CJ$9:$CP$508,3,FALSE()))</f>
        <v/>
      </c>
      <c r="CT217" s="144" t="str">
        <f aca="false">IF($CH217&gt;$CG$8,"",VLOOKUP($CH217,$CJ$9:$CP$508,4,FALSE()))</f>
        <v/>
      </c>
      <c r="CU217" s="144" t="str">
        <f aca="false">IF($CH217&gt;$CG$8,"",VLOOKUP($CH217,$CJ$9:$CP$508,5,FALSE()))</f>
        <v/>
      </c>
      <c r="CV217" s="145" t="str">
        <f aca="false">IF($CH217&gt;$CG$8,"",VLOOKUP($CH217,$CJ$9:$CP$508,6,FALSE()))</f>
        <v/>
      </c>
      <c r="CW217" s="71"/>
    </row>
    <row r="218" customFormat="false" ht="15.75" hidden="false" customHeight="false" outlineLevel="0" collapsed="false">
      <c r="A218" s="9"/>
      <c r="B218" s="150"/>
      <c r="C218" s="151"/>
      <c r="D218" s="152"/>
      <c r="E218" s="170"/>
      <c r="F218" s="154"/>
      <c r="G218" s="155"/>
      <c r="H218" s="171"/>
      <c r="I218" s="159"/>
      <c r="J218" s="120"/>
      <c r="K218" s="121"/>
      <c r="L218" s="122"/>
      <c r="M218" s="158"/>
      <c r="N218" s="159"/>
      <c r="O218" s="159"/>
      <c r="P218" s="120"/>
      <c r="Q218" s="122"/>
      <c r="R218" s="122"/>
      <c r="S218" s="158"/>
      <c r="T218" s="159"/>
      <c r="U218" s="126"/>
      <c r="V218" s="127"/>
      <c r="W218" s="127" t="str">
        <f aca="false">IF(ISBLANK($C218),"",IF(E218=Constants!$B$2,TRUE(),IF(E218=Constants!$B$3,FALSE(),TRUE())))</f>
        <v/>
      </c>
      <c r="X218" s="127" t="str">
        <f aca="false">IF(ISBLANK($C218),"",IF(F218=Constants!$B$2,TRUE(),IF(F218=Constants!$B$3,FALSE(),TRUE())))</f>
        <v/>
      </c>
      <c r="Y218" s="127" t="str">
        <f aca="false">IF(ISBLANK($C218),"",IF(G218=Constants!$B$2,TRUE(),IF(G218=Constants!$B$3,FALSE(),TRUE())))</f>
        <v/>
      </c>
      <c r="Z218" s="127" t="str">
        <f aca="false">IF(ISBLANK($C218),"",IF(H218=Constants!$B$2,TRUE(),IF(H218=Constants!$B$3,FALSE(),TRUE())))</f>
        <v/>
      </c>
      <c r="AA218" s="127" t="str">
        <f aca="false">IF(ISBLANK($C218),"",IF(I218=Constants!$B$2,TRUE(),IF(I218=Constants!$B$3,FALSE(),TRUE())))</f>
        <v/>
      </c>
      <c r="AB218" s="127" t="str">
        <f aca="false">IF(ISBLANK($C218),"",IF(J218=Constants!$B$4,TRUE(),IF(J218=Constants!$B$5,FALSE(),COUNTA(K218:M218)&gt;0)))</f>
        <v/>
      </c>
      <c r="AC218" s="128" t="str">
        <f aca="false">IF(ISBLANK($C218),"",IF(ISNUMBER(K218),IF(K218&gt;=0,K218,""),""))</f>
        <v/>
      </c>
      <c r="AD218" s="129" t="str">
        <f aca="false">IF(ISBLANK($C218),"",IF(ISNUMBER(L218),IF(L218&gt;=0,L218,""),""))</f>
        <v/>
      </c>
      <c r="AE218" s="127" t="str">
        <f aca="false">IF(ISBLANK($C218),"",IF(ISNUMBER(M218),IF(M218&gt;=0,MIN(M218,Constants!$B$22),""),""))</f>
        <v/>
      </c>
      <c r="AF218" s="127" t="str">
        <f aca="false">IF(ISBLANK($C218),"",IF(N218=Constants!$B$2,TRUE(),IF(N218=Constants!$B$3,FALSE(),TRUE())))</f>
        <v/>
      </c>
      <c r="AG218" s="127" t="str">
        <f aca="false">IF(ISBLANK($C218),"",IF(O218=Constants!$B$2,TRUE(),IF(O218=Constants!$B$3,FALSE(),TRUE())))</f>
        <v/>
      </c>
      <c r="AH218" s="127" t="str">
        <f aca="false">IF(ISBLANK($C218),"",IF(P218=Constants!$B$4,TRUE(),IF(P218=Constants!$B$5,FALSE(),COUNTA(Q218:S218)&gt;0)))</f>
        <v/>
      </c>
      <c r="AI218" s="128" t="str">
        <f aca="false">IF(ISBLANK($C218),"",IF(ISNUMBER(Q218),IF(Q218&gt;=0,Q218,""),""))</f>
        <v/>
      </c>
      <c r="AJ218" s="129" t="str">
        <f aca="false">IF(ISBLANK($C218),"",IF(ISNUMBER(R218),IF(R218&gt;=0,R218,""),""))</f>
        <v/>
      </c>
      <c r="AK218" s="127" t="str">
        <f aca="false">IF(ISBLANK($C218),"",IF(ISNUMBER(S218),IF(S218&gt;=0,MIN(S218,Constants!$B$22),""),""))</f>
        <v/>
      </c>
      <c r="AL218" s="127" t="str">
        <f aca="false">IF(ISBLANK($C218),"",IF(T218=Constants!$B$2,TRUE(),IF(T218=Constants!$B$3,FALSE(),FALSE())))</f>
        <v/>
      </c>
      <c r="AM218" s="126" t="str">
        <f aca="false">IF(ISBLANK($C218),"",AND($AB218,OR($AC218="",$AD218="",AND(NOT(ISBLANK($M218)),$AE218=""))))</f>
        <v/>
      </c>
      <c r="AN218" s="129" t="str">
        <f aca="false">IF($BD218&lt;&gt;Constants!$B$6,"",IF($AB218,Constants!$B$17*$AD218,Constants!$B$18))</f>
        <v/>
      </c>
      <c r="AO218" s="130" t="str">
        <f aca="false">IF($BD218&lt;&gt;Constants!$B$6,"",Constants!$B$19*IF($AB218,$AC218,0))</f>
        <v/>
      </c>
      <c r="AP218" s="130" t="str">
        <f aca="false">IF($BD218&lt;&gt;Constants!$B$6,"",IF(AND($AB218,ISNUMBER($AE218)),Constants!$B$20*(Constants!$B$21-$AE218),0))</f>
        <v/>
      </c>
      <c r="AQ218" s="130" t="str">
        <f aca="false">IF($BD218&lt;&gt;Constants!$B$6,"",IF($AA218,0,Constants!$B$12)+IF($Z218,0,Constants!$B$13)+IF($Y218,0,Constants!$B$14))</f>
        <v/>
      </c>
      <c r="AR218" s="131" t="str">
        <f aca="false">IF($BD218&lt;&gt;Constants!$B$6,"",Constants!$B$16+SUM($AN218:$AQ218))</f>
        <v/>
      </c>
      <c r="AS218" s="130" t="str">
        <f aca="false">IF($BD218&lt;&gt;Constants!$B$6,"",IF($AB218,$AD218,""))</f>
        <v/>
      </c>
      <c r="AT218" s="132" t="str">
        <f aca="false">IF($BD218&lt;&gt;Constants!$B$6,"",$AO218)</f>
        <v/>
      </c>
      <c r="AU218" s="127" t="str">
        <f aca="false">IF($BD218&lt;&gt;Constants!$B$6,"",IF(OR($BA218&lt;$AR218,AND($BA218=$AR218,OR(AND(ISNUMBER($BB218),OR(NOT(ISNUMBER($AS218)),$BB218&lt;$AS218)),AND(OR(AND($BB218="",$AS218=""),AND(ISNUMBER($BB218),ISNUMBER($AS218),$BB218=$AS218)),$BC218&lt;$AT218)))),"-&gt;","&lt;-"))</f>
        <v/>
      </c>
      <c r="AV218" s="126" t="str">
        <f aca="false">IF(ISBLANK($C218),"",AND($AH218,OR($AI218="",$AJ218="",AND(NOT(ISBLANK($S218)),$AK218=""))))</f>
        <v/>
      </c>
      <c r="AW218" s="129" t="str">
        <f aca="false">IF($BD218&lt;&gt;Constants!$B$6,"",IF($AH218,Constants!$B$17*$AJ218,Constants!$B$18))</f>
        <v/>
      </c>
      <c r="AX218" s="130" t="str">
        <f aca="false">IF($BD218&lt;&gt;Constants!$B$6,"",Constants!$B$19*IF($AH218,$AI218,0))</f>
        <v/>
      </c>
      <c r="AY218" s="130" t="str">
        <f aca="false">IF($BD218&lt;&gt;Constants!$B$6,"",IF(AND($AH218,ISNUMBER($AK218)),Constants!$B$20*(Constants!$B$21-$AK218),0))</f>
        <v/>
      </c>
      <c r="AZ218" s="130" t="str">
        <f aca="false">IF($BD218&lt;&gt;Constants!$B$6,"",IF($AG218,0,Constants!$B$12)+IF($AF218,0,Constants!$B$13)+IF($Y218,0,Constants!$B$14))</f>
        <v/>
      </c>
      <c r="BA218" s="131" t="str">
        <f aca="false">IF($BD218&lt;&gt;Constants!$B$6,"",Constants!$B$16+SUM($AW218:$AZ218))</f>
        <v/>
      </c>
      <c r="BB218" s="130" t="str">
        <f aca="false">IF($BD218&lt;&gt;Constants!$B$6,"",IF($AH218,$AJ218,""))</f>
        <v/>
      </c>
      <c r="BC218" s="132" t="str">
        <f aca="false">IF($BD218&lt;&gt;Constants!$B$6,"",$AX218)</f>
        <v/>
      </c>
      <c r="BD218" s="127" t="str">
        <f aca="false">IF(ISBLANK($C218),"",IF($AL218,Constants!$B$9,IF(COUNTA($E218:$T218)=0,Constants!$B$8,IF(NOT($X218),Constants!$B$7,IF(OR($AM218,$AV218),Constants!$B$10,Constants!$B$6)))))</f>
        <v/>
      </c>
      <c r="BE218" s="127" t="str">
        <f aca="false">IF(ISBLANK($C218),"",IF($BD218&lt;&gt;Constants!$B$6,$BD218,Constants!$B$11))</f>
        <v/>
      </c>
      <c r="BF218" s="130" t="str">
        <f aca="false">IF($BD218&lt;&gt;Constants!$B$6,"",IF($AU218="-&gt;",$BA218,$AR218))</f>
        <v/>
      </c>
      <c r="BG218" s="130" t="str">
        <f aca="false">IF($BD218&lt;&gt;Constants!$B$6,"",IF($W218,0,Constants!$B$15))</f>
        <v/>
      </c>
      <c r="BH218" s="130" t="str">
        <f aca="false">IF(ISBLANK($C218),"",IF($BD218&lt;&gt;Constants!$B$6,$BD218,SUM($BF218:$BG218)))</f>
        <v/>
      </c>
      <c r="BI218" s="127" t="str">
        <f aca="false">IF(ISBLANK($C218),"",IF($BD218&lt;&gt;Constants!$B$6,$BD218,RANK($BH218,$BH$9:$BH$508,1)))</f>
        <v/>
      </c>
      <c r="BJ218" s="130" t="str">
        <f aca="false">IF($BD218&lt;&gt;Constants!$B$6,"",IF($AU218="-&gt;",$BB218,$AS218))</f>
        <v/>
      </c>
      <c r="BK218" s="127" t="str">
        <f aca="false">IF(ISBLANK($C218),"",IF($BD218&lt;&gt;Constants!$B$6,$BD218,IF(ISNUMBER($BJ218),RANK($BJ218,$BJ$9:$BJ$508,1),COUNT($BJ$9:$BJ$508)+1)))</f>
        <v/>
      </c>
      <c r="BL218" s="130" t="str">
        <f aca="false">IF($BD218&lt;&gt;Constants!$B$6,"",IF($AU218="-&gt;",$BC218,$AT218))</f>
        <v/>
      </c>
      <c r="BM218" s="127" t="str">
        <f aca="false">IF(ISBLANK($C218),"",IF($BD218&lt;&gt;Constants!$B$6,$BD218,IF(ISNUMBER($BL218),RANK($BL218,$BL$9:$BL$508,1),COUNT($BL$9:$BL$508)+1)))</f>
        <v/>
      </c>
      <c r="BN218" s="130" t="str">
        <f aca="false">IF($BD218&lt;&gt;Constants!$B$6,"",IF($AU218="-&gt;",$AS218,$BB218))</f>
        <v/>
      </c>
      <c r="BO218" s="127" t="str">
        <f aca="false">IF(ISBLANK($C218),"",IF($BD218&lt;&gt;Constants!$B$6,$BD218,IF(ISNUMBER($BN218),RANK($BN218,$BN$9:$BN$508,1),COUNT($BN$9:$BN$508)+1)))</f>
        <v/>
      </c>
      <c r="BP218" s="130" t="str">
        <f aca="false">IF($BD218&lt;&gt;Constants!$B$6,"",IF($AU218="-&gt;",$AT218,$BC218))</f>
        <v/>
      </c>
      <c r="BQ218" s="127" t="str">
        <f aca="false">IF(ISBLANK($C218),"",IF($BD218&lt;&gt;Constants!$B$6,$BD218,IF(ISNUMBER($BP218),RANK($BP218,$BP$9:$BP$508,1),COUNT($BP$9:$BP$508)+1)))</f>
        <v/>
      </c>
      <c r="BR218" s="127" t="str">
        <f aca="false">IF(ISBLANK($C218),"",IF($BD218&lt;&gt;Constants!$B$6,$BD218,COUNTIFS($BI$9:$BI$508,"&lt;"&amp;$BI218)+COUNTIFS($BI$9:$BI$508,$BI218,$BK$9:$BK$508,"&lt;"&amp;$BK218)+COUNTIFS($BI$9:$BI$508,$BI218,$BK$9:$BK$508,$BK218,$BM$9:$BM$508,"&lt;"&amp;$BM218)+COUNTIFS($BI$9:$BI$508,$BI218,$BK$9:$BK$508,$BK218,$BM$9:$BM$508,$BM218,$BO$9:$BO$508,"&lt;"&amp;$BO218)+COUNTIFS($BI$9:$BI$508,$BI218,$BK$9:$BK$508,$BK218,$BM$9:$BM$508,$BM218,$BO$9:$BO$508,$BO218,$BQ$9:$BQ$508,"&lt;"&amp;$BQ218)+1))</f>
        <v/>
      </c>
      <c r="BS218" s="127" t="str">
        <f aca="false">IF(ISBLANK($C218),"",IF($BD218&lt;&gt;Constants!$B$6,$BD218,$BI218-$BR218))</f>
        <v/>
      </c>
      <c r="BT218" s="133"/>
      <c r="BU218" s="134"/>
      <c r="BV218" s="134" t="str">
        <f aca="false">IF(ISBLANK($C218),"",IF($BD218&lt;&gt;Constants!$B$6,"",IF($AU218="-&gt;",2,1)))</f>
        <v/>
      </c>
      <c r="BW218" s="135" t="str">
        <f aca="false">IF(ISBLANK($C218),"",IF($BD218&lt;&gt;Constants!$B$6,"",IF($AU218="-&gt;",$AW218,$AN218)))</f>
        <v/>
      </c>
      <c r="BX218" s="135" t="str">
        <f aca="false">IF(ISBLANK($C218),"",IF($BD218&lt;&gt;Constants!$B$6,"",IF($AU218="-&gt;",$AX218,$AO218)))</f>
        <v/>
      </c>
      <c r="BY218" s="135" t="str">
        <f aca="false">IF(ISBLANK($C218),"",IF($BD218&lt;&gt;Constants!$B$6,"",IF($AU218="-&gt;",$AY218,$AP218)))</f>
        <v/>
      </c>
      <c r="BZ218" s="135" t="str">
        <f aca="false">IF(ISBLANK($C218),"",IF($BD218&lt;&gt;Constants!$B$6,"",IF($AU218="-&gt;",$AZ218,$AQ218)+$BG218))</f>
        <v/>
      </c>
      <c r="CA218" s="136" t="str">
        <f aca="false">IF(ISBLANK($C218),"",IF($BD218&lt;&gt;Constants!$B$6,$BD218,$BH218))</f>
        <v/>
      </c>
      <c r="CB218" s="137" t="str">
        <f aca="false">IF(ISBLANK($C218),"",$BE218)</f>
        <v/>
      </c>
      <c r="CC218" s="138" t="str">
        <f aca="false">IF(ISBLANK($C218),"",$BS218)</f>
        <v/>
      </c>
      <c r="CD218" s="138" t="str">
        <f aca="false">IF(ISBLANK($C218),"",$BR218)</f>
        <v/>
      </c>
      <c r="CE218" s="139" t="str">
        <f aca="false">IF(ISBLANK($C218),"",IF($CD218=Constants!$B$9,COUNTA($C$9:$C$508)+2,IF($CD218=Constants!$B$8,COUNTA($C$9:$C$508)+1,IF($CD218=Constants!$B$7,COUNTA($C$9:$C$508),$CD218))))</f>
        <v/>
      </c>
      <c r="CF218" s="9"/>
      <c r="CG218" s="140" t="n">
        <f aca="false">IF(OR(ISNUMBER($CD218),$CD218=Constants!$B$9,$CD218=Constants!$B$7,$CD218=Constants!$B$8),1,0)</f>
        <v>0</v>
      </c>
      <c r="CH218" s="140" t="n">
        <v>210</v>
      </c>
      <c r="CI218" s="140" t="str">
        <f aca="false">IF(ISBLANK($C218),"",IF(ISNUMBER($CE218),$CE218+ROW($B218)/1000,""))</f>
        <v/>
      </c>
      <c r="CJ218" s="140" t="str">
        <f aca="false">IF(ISNUMBER($CI218),RANK($CI218,$CI$9:$CI$508,1),"")</f>
        <v/>
      </c>
      <c r="CK218" s="140" t="str">
        <f aca="false">IF(ISBLANK($C218),"",$B218)</f>
        <v/>
      </c>
      <c r="CL218" s="140" t="str">
        <f aca="false">IF(ISBLANK($C218),"",$C218)</f>
        <v/>
      </c>
      <c r="CM218" s="140" t="str">
        <f aca="false">IF(ISBLANK($C218),"",$D218)</f>
        <v/>
      </c>
      <c r="CN218" s="141" t="str">
        <f aca="false">$CB218</f>
        <v/>
      </c>
      <c r="CO218" s="142" t="str">
        <f aca="false">$CA218</f>
        <v/>
      </c>
      <c r="CP218" s="140" t="str">
        <f aca="false">IF(ISBLANK($C218),"",$CD218)</f>
        <v/>
      </c>
      <c r="CQ218" s="143" t="str">
        <f aca="false">IF($CH218&gt;$CG$8,"",VLOOKUP($CH218,$CJ$9:$CP$508,7,FALSE()))</f>
        <v/>
      </c>
      <c r="CR218" s="144" t="str">
        <f aca="false">IF($CH218&gt;$CG$8,"",VLOOKUP($CH218,$CJ$9:$CP$508,2,FALSE()))</f>
        <v/>
      </c>
      <c r="CS218" s="144" t="str">
        <f aca="false">IF($CH218&gt;$CG$8,"",VLOOKUP($CH218,$CJ$9:$CP$508,3,FALSE()))</f>
        <v/>
      </c>
      <c r="CT218" s="144" t="str">
        <f aca="false">IF($CH218&gt;$CG$8,"",VLOOKUP($CH218,$CJ$9:$CP$508,4,FALSE()))</f>
        <v/>
      </c>
      <c r="CU218" s="144" t="str">
        <f aca="false">IF($CH218&gt;$CG$8,"",VLOOKUP($CH218,$CJ$9:$CP$508,5,FALSE()))</f>
        <v/>
      </c>
      <c r="CV218" s="145" t="str">
        <f aca="false">IF($CH218&gt;$CG$8,"",VLOOKUP($CH218,$CJ$9:$CP$508,6,FALSE()))</f>
        <v/>
      </c>
      <c r="CW218" s="71"/>
    </row>
    <row r="219" customFormat="false" ht="15.75" hidden="false" customHeight="false" outlineLevel="0" collapsed="false">
      <c r="A219" s="9"/>
      <c r="B219" s="72"/>
      <c r="C219" s="73"/>
      <c r="D219" s="160"/>
      <c r="E219" s="168"/>
      <c r="F219" s="162"/>
      <c r="G219" s="163"/>
      <c r="H219" s="169"/>
      <c r="I219" s="167"/>
      <c r="J219" s="80"/>
      <c r="K219" s="81"/>
      <c r="L219" s="82"/>
      <c r="M219" s="166"/>
      <c r="N219" s="167"/>
      <c r="O219" s="167"/>
      <c r="P219" s="80"/>
      <c r="Q219" s="82"/>
      <c r="R219" s="82"/>
      <c r="S219" s="166"/>
      <c r="T219" s="167"/>
      <c r="U219" s="86"/>
      <c r="V219" s="87"/>
      <c r="W219" s="87" t="str">
        <f aca="false">IF(ISBLANK($C219),"",IF(E219=Constants!$B$2,TRUE(),IF(E219=Constants!$B$3,FALSE(),TRUE())))</f>
        <v/>
      </c>
      <c r="X219" s="87" t="str">
        <f aca="false">IF(ISBLANK($C219),"",IF(F219=Constants!$B$2,TRUE(),IF(F219=Constants!$B$3,FALSE(),TRUE())))</f>
        <v/>
      </c>
      <c r="Y219" s="87" t="str">
        <f aca="false">IF(ISBLANK($C219),"",IF(G219=Constants!$B$2,TRUE(),IF(G219=Constants!$B$3,FALSE(),TRUE())))</f>
        <v/>
      </c>
      <c r="Z219" s="87" t="str">
        <f aca="false">IF(ISBLANK($C219),"",IF(H219=Constants!$B$2,TRUE(),IF(H219=Constants!$B$3,FALSE(),TRUE())))</f>
        <v/>
      </c>
      <c r="AA219" s="87" t="str">
        <f aca="false">IF(ISBLANK($C219),"",IF(I219=Constants!$B$2,TRUE(),IF(I219=Constants!$B$3,FALSE(),TRUE())))</f>
        <v/>
      </c>
      <c r="AB219" s="87" t="str">
        <f aca="false">IF(ISBLANK($C219),"",IF(J219=Constants!$B$4,TRUE(),IF(J219=Constants!$B$5,FALSE(),COUNTA(K219:M219)&gt;0)))</f>
        <v/>
      </c>
      <c r="AC219" s="88" t="str">
        <f aca="false">IF(ISBLANK($C219),"",IF(ISNUMBER(K219),IF(K219&gt;=0,K219,""),""))</f>
        <v/>
      </c>
      <c r="AD219" s="89" t="str">
        <f aca="false">IF(ISBLANK($C219),"",IF(ISNUMBER(L219),IF(L219&gt;=0,L219,""),""))</f>
        <v/>
      </c>
      <c r="AE219" s="87" t="str">
        <f aca="false">IF(ISBLANK($C219),"",IF(ISNUMBER(M219),IF(M219&gt;=0,MIN(M219,Constants!$B$22),""),""))</f>
        <v/>
      </c>
      <c r="AF219" s="87" t="str">
        <f aca="false">IF(ISBLANK($C219),"",IF(N219=Constants!$B$2,TRUE(),IF(N219=Constants!$B$3,FALSE(),TRUE())))</f>
        <v/>
      </c>
      <c r="AG219" s="87" t="str">
        <f aca="false">IF(ISBLANK($C219),"",IF(O219=Constants!$B$2,TRUE(),IF(O219=Constants!$B$3,FALSE(),TRUE())))</f>
        <v/>
      </c>
      <c r="AH219" s="87" t="str">
        <f aca="false">IF(ISBLANK($C219),"",IF(P219=Constants!$B$4,TRUE(),IF(P219=Constants!$B$5,FALSE(),COUNTA(Q219:S219)&gt;0)))</f>
        <v/>
      </c>
      <c r="AI219" s="88" t="str">
        <f aca="false">IF(ISBLANK($C219),"",IF(ISNUMBER(Q219),IF(Q219&gt;=0,Q219,""),""))</f>
        <v/>
      </c>
      <c r="AJ219" s="89" t="str">
        <f aca="false">IF(ISBLANK($C219),"",IF(ISNUMBER(R219),IF(R219&gt;=0,R219,""),""))</f>
        <v/>
      </c>
      <c r="AK219" s="87" t="str">
        <f aca="false">IF(ISBLANK($C219),"",IF(ISNUMBER(S219),IF(S219&gt;=0,MIN(S219,Constants!$B$22),""),""))</f>
        <v/>
      </c>
      <c r="AL219" s="87" t="str">
        <f aca="false">IF(ISBLANK($C219),"",IF(T219=Constants!$B$2,TRUE(),IF(T219=Constants!$B$3,FALSE(),FALSE())))</f>
        <v/>
      </c>
      <c r="AM219" s="86" t="str">
        <f aca="false">IF(ISBLANK($C219),"",AND($AB219,OR($AC219="",$AD219="",AND(NOT(ISBLANK($M219)),$AE219=""))))</f>
        <v/>
      </c>
      <c r="AN219" s="89" t="str">
        <f aca="false">IF($BD219&lt;&gt;Constants!$B$6,"",IF($AB219,Constants!$B$17*$AD219,Constants!$B$18))</f>
        <v/>
      </c>
      <c r="AO219" s="91" t="str">
        <f aca="false">IF($BD219&lt;&gt;Constants!$B$6,"",Constants!$B$19*IF($AB219,$AC219,0))</f>
        <v/>
      </c>
      <c r="AP219" s="91" t="str">
        <f aca="false">IF($BD219&lt;&gt;Constants!$B$6,"",IF(AND($AB219,ISNUMBER($AE219)),Constants!$B$20*(Constants!$B$21-$AE219),0))</f>
        <v/>
      </c>
      <c r="AQ219" s="91" t="str">
        <f aca="false">IF($BD219&lt;&gt;Constants!$B$6,"",IF($AA219,0,Constants!$B$12)+IF($Z219,0,Constants!$B$13)+IF($Y219,0,Constants!$B$14))</f>
        <v/>
      </c>
      <c r="AR219" s="92" t="str">
        <f aca="false">IF($BD219&lt;&gt;Constants!$B$6,"",Constants!$B$16+SUM($AN219:$AQ219))</f>
        <v/>
      </c>
      <c r="AS219" s="91" t="str">
        <f aca="false">IF($BD219&lt;&gt;Constants!$B$6,"",IF($AB219,$AD219,""))</f>
        <v/>
      </c>
      <c r="AT219" s="93" t="str">
        <f aca="false">IF($BD219&lt;&gt;Constants!$B$6,"",$AO219)</f>
        <v/>
      </c>
      <c r="AU219" s="87" t="str">
        <f aca="false">IF($BD219&lt;&gt;Constants!$B$6,"",IF(OR($BA219&lt;$AR219,AND($BA219=$AR219,OR(AND(ISNUMBER($BB219),OR(NOT(ISNUMBER($AS219)),$BB219&lt;$AS219)),AND(OR(AND($BB219="",$AS219=""),AND(ISNUMBER($BB219),ISNUMBER($AS219),$BB219=$AS219)),$BC219&lt;$AT219)))),"-&gt;","&lt;-"))</f>
        <v/>
      </c>
      <c r="AV219" s="86" t="str">
        <f aca="false">IF(ISBLANK($C219),"",AND($AH219,OR($AI219="",$AJ219="",AND(NOT(ISBLANK($S219)),$AK219=""))))</f>
        <v/>
      </c>
      <c r="AW219" s="89" t="str">
        <f aca="false">IF($BD219&lt;&gt;Constants!$B$6,"",IF($AH219,Constants!$B$17*$AJ219,Constants!$B$18))</f>
        <v/>
      </c>
      <c r="AX219" s="91" t="str">
        <f aca="false">IF($BD219&lt;&gt;Constants!$B$6,"",Constants!$B$19*IF($AH219,$AI219,0))</f>
        <v/>
      </c>
      <c r="AY219" s="91" t="str">
        <f aca="false">IF($BD219&lt;&gt;Constants!$B$6,"",IF(AND($AH219,ISNUMBER($AK219)),Constants!$B$20*(Constants!$B$21-$AK219),0))</f>
        <v/>
      </c>
      <c r="AZ219" s="91" t="str">
        <f aca="false">IF($BD219&lt;&gt;Constants!$B$6,"",IF($AG219,0,Constants!$B$12)+IF($AF219,0,Constants!$B$13)+IF($Y219,0,Constants!$B$14))</f>
        <v/>
      </c>
      <c r="BA219" s="92" t="str">
        <f aca="false">IF($BD219&lt;&gt;Constants!$B$6,"",Constants!$B$16+SUM($AW219:$AZ219))</f>
        <v/>
      </c>
      <c r="BB219" s="91" t="str">
        <f aca="false">IF($BD219&lt;&gt;Constants!$B$6,"",IF($AH219,$AJ219,""))</f>
        <v/>
      </c>
      <c r="BC219" s="93" t="str">
        <f aca="false">IF($BD219&lt;&gt;Constants!$B$6,"",$AX219)</f>
        <v/>
      </c>
      <c r="BD219" s="87" t="str">
        <f aca="false">IF(ISBLANK($C219),"",IF($AL219,Constants!$B$9,IF(COUNTA($E219:$T219)=0,Constants!$B$8,IF(NOT($X219),Constants!$B$7,IF(OR($AM219,$AV219),Constants!$B$10,Constants!$B$6)))))</f>
        <v/>
      </c>
      <c r="BE219" s="87" t="str">
        <f aca="false">IF(ISBLANK($C219),"",IF($BD219&lt;&gt;Constants!$B$6,$BD219,Constants!$B$11))</f>
        <v/>
      </c>
      <c r="BF219" s="91" t="str">
        <f aca="false">IF($BD219&lt;&gt;Constants!$B$6,"",IF($AU219="-&gt;",$BA219,$AR219))</f>
        <v/>
      </c>
      <c r="BG219" s="91" t="str">
        <f aca="false">IF($BD219&lt;&gt;Constants!$B$6,"",IF($W219,0,Constants!$B$15))</f>
        <v/>
      </c>
      <c r="BH219" s="91" t="str">
        <f aca="false">IF(ISBLANK($C219),"",IF($BD219&lt;&gt;Constants!$B$6,$BD219,SUM($BF219:$BG219)))</f>
        <v/>
      </c>
      <c r="BI219" s="87" t="str">
        <f aca="false">IF(ISBLANK($C219),"",IF($BD219&lt;&gt;Constants!$B$6,$BD219,RANK($BH219,$BH$9:$BH$508,1)))</f>
        <v/>
      </c>
      <c r="BJ219" s="91" t="str">
        <f aca="false">IF($BD219&lt;&gt;Constants!$B$6,"",IF($AU219="-&gt;",$BB219,$AS219))</f>
        <v/>
      </c>
      <c r="BK219" s="87" t="str">
        <f aca="false">IF(ISBLANK($C219),"",IF($BD219&lt;&gt;Constants!$B$6,$BD219,IF(ISNUMBER($BJ219),RANK($BJ219,$BJ$9:$BJ$508,1),COUNT($BJ$9:$BJ$508)+1)))</f>
        <v/>
      </c>
      <c r="BL219" s="91" t="str">
        <f aca="false">IF($BD219&lt;&gt;Constants!$B$6,"",IF($AU219="-&gt;",$BC219,$AT219))</f>
        <v/>
      </c>
      <c r="BM219" s="87" t="str">
        <f aca="false">IF(ISBLANK($C219),"",IF($BD219&lt;&gt;Constants!$B$6,$BD219,IF(ISNUMBER($BL219),RANK($BL219,$BL$9:$BL$508,1),COUNT($BL$9:$BL$508)+1)))</f>
        <v/>
      </c>
      <c r="BN219" s="91" t="str">
        <f aca="false">IF($BD219&lt;&gt;Constants!$B$6,"",IF($AU219="-&gt;",$AS219,$BB219))</f>
        <v/>
      </c>
      <c r="BO219" s="87" t="str">
        <f aca="false">IF(ISBLANK($C219),"",IF($BD219&lt;&gt;Constants!$B$6,$BD219,IF(ISNUMBER($BN219),RANK($BN219,$BN$9:$BN$508,1),COUNT($BN$9:$BN$508)+1)))</f>
        <v/>
      </c>
      <c r="BP219" s="91" t="str">
        <f aca="false">IF($BD219&lt;&gt;Constants!$B$6,"",IF($AU219="-&gt;",$AT219,$BC219))</f>
        <v/>
      </c>
      <c r="BQ219" s="87" t="str">
        <f aca="false">IF(ISBLANK($C219),"",IF($BD219&lt;&gt;Constants!$B$6,$BD219,IF(ISNUMBER($BP219),RANK($BP219,$BP$9:$BP$508,1),COUNT($BP$9:$BP$508)+1)))</f>
        <v/>
      </c>
      <c r="BR219" s="87" t="str">
        <f aca="false">IF(ISBLANK($C219),"",IF($BD219&lt;&gt;Constants!$B$6,$BD219,COUNTIFS($BI$9:$BI$508,"&lt;"&amp;$BI219)+COUNTIFS($BI$9:$BI$508,$BI219,$BK$9:$BK$508,"&lt;"&amp;$BK219)+COUNTIFS($BI$9:$BI$508,$BI219,$BK$9:$BK$508,$BK219,$BM$9:$BM$508,"&lt;"&amp;$BM219)+COUNTIFS($BI$9:$BI$508,$BI219,$BK$9:$BK$508,$BK219,$BM$9:$BM$508,$BM219,$BO$9:$BO$508,"&lt;"&amp;$BO219)+COUNTIFS($BI$9:$BI$508,$BI219,$BK$9:$BK$508,$BK219,$BM$9:$BM$508,$BM219,$BO$9:$BO$508,$BO219,$BQ$9:$BQ$508,"&lt;"&amp;$BQ219)+1))</f>
        <v/>
      </c>
      <c r="BS219" s="87" t="str">
        <f aca="false">IF(ISBLANK($C219),"",IF($BD219&lt;&gt;Constants!$B$6,$BD219,$BI219-$BR219))</f>
        <v/>
      </c>
      <c r="BT219" s="94"/>
      <c r="BU219" s="95"/>
      <c r="BV219" s="95" t="str">
        <f aca="false">IF(ISBLANK($C219),"",IF($BD219&lt;&gt;Constants!$B$6,"",IF($AU219="-&gt;",2,1)))</f>
        <v/>
      </c>
      <c r="BW219" s="96" t="str">
        <f aca="false">IF(ISBLANK($C219),"",IF($BD219&lt;&gt;Constants!$B$6,"",IF($AU219="-&gt;",$AW219,$AN219)))</f>
        <v/>
      </c>
      <c r="BX219" s="96" t="str">
        <f aca="false">IF(ISBLANK($C219),"",IF($BD219&lt;&gt;Constants!$B$6,"",IF($AU219="-&gt;",$AX219,$AO219)))</f>
        <v/>
      </c>
      <c r="BY219" s="96" t="str">
        <f aca="false">IF(ISBLANK($C219),"",IF($BD219&lt;&gt;Constants!$B$6,"",IF($AU219="-&gt;",$AY219,$AP219)))</f>
        <v/>
      </c>
      <c r="BZ219" s="96" t="str">
        <f aca="false">IF(ISBLANK($C219),"",IF($BD219&lt;&gt;Constants!$B$6,"",IF($AU219="-&gt;",$AZ219,$AQ219)+$BG219))</f>
        <v/>
      </c>
      <c r="CA219" s="97" t="str">
        <f aca="false">IF(ISBLANK($C219),"",IF($BD219&lt;&gt;Constants!$B$6,$BD219,$BH219))</f>
        <v/>
      </c>
      <c r="CB219" s="98" t="str">
        <f aca="false">IF(ISBLANK($C219),"",$BE219)</f>
        <v/>
      </c>
      <c r="CC219" s="99" t="str">
        <f aca="false">IF(ISBLANK($C219),"",$BS219)</f>
        <v/>
      </c>
      <c r="CD219" s="99" t="str">
        <f aca="false">IF(ISBLANK($C219),"",$BR219)</f>
        <v/>
      </c>
      <c r="CE219" s="100" t="str">
        <f aca="false">IF(ISBLANK($C219),"",IF($CD219=Constants!$B$9,COUNTA($C$9:$C$508)+2,IF($CD219=Constants!$B$8,COUNTA($C$9:$C$508)+1,IF($CD219=Constants!$B$7,COUNTA($C$9:$C$508),$CD219))))</f>
        <v/>
      </c>
      <c r="CF219" s="9"/>
      <c r="CG219" s="101" t="n">
        <f aca="false">IF(OR(ISNUMBER($CD219),$CD219=Constants!$B$9,$CD219=Constants!$B$7,$CD219=Constants!$B$8),1,0)</f>
        <v>0</v>
      </c>
      <c r="CH219" s="101" t="n">
        <v>211</v>
      </c>
      <c r="CI219" s="101" t="str">
        <f aca="false">IF(ISBLANK($C219),"",IF(ISNUMBER($CE219),$CE219+ROW($B219)/1000,""))</f>
        <v/>
      </c>
      <c r="CJ219" s="101" t="str">
        <f aca="false">IF(ISNUMBER($CI219),RANK($CI219,$CI$9:$CI$508,1),"")</f>
        <v/>
      </c>
      <c r="CK219" s="101" t="str">
        <f aca="false">IF(ISBLANK($C219),"",$B219)</f>
        <v/>
      </c>
      <c r="CL219" s="101" t="str">
        <f aca="false">IF(ISBLANK($C219),"",$C219)</f>
        <v/>
      </c>
      <c r="CM219" s="101" t="str">
        <f aca="false">IF(ISBLANK($C219),"",$D219)</f>
        <v/>
      </c>
      <c r="CN219" s="102" t="str">
        <f aca="false">$CB219</f>
        <v/>
      </c>
      <c r="CO219" s="103" t="str">
        <f aca="false">$CA219</f>
        <v/>
      </c>
      <c r="CP219" s="101" t="str">
        <f aca="false">IF(ISBLANK($C219),"",$CD219)</f>
        <v/>
      </c>
      <c r="CQ219" s="104" t="str">
        <f aca="false">IF($CH219&gt;$CG$8,"",VLOOKUP($CH219,$CJ$9:$CP$508,7,FALSE()))</f>
        <v/>
      </c>
      <c r="CR219" s="105" t="str">
        <f aca="false">IF($CH219&gt;$CG$8,"",VLOOKUP($CH219,$CJ$9:$CP$508,2,FALSE()))</f>
        <v/>
      </c>
      <c r="CS219" s="105" t="str">
        <f aca="false">IF($CH219&gt;$CG$8,"",VLOOKUP($CH219,$CJ$9:$CP$508,3,FALSE()))</f>
        <v/>
      </c>
      <c r="CT219" s="105" t="str">
        <f aca="false">IF($CH219&gt;$CG$8,"",VLOOKUP($CH219,$CJ$9:$CP$508,4,FALSE()))</f>
        <v/>
      </c>
      <c r="CU219" s="105" t="str">
        <f aca="false">IF($CH219&gt;$CG$8,"",VLOOKUP($CH219,$CJ$9:$CP$508,5,FALSE()))</f>
        <v/>
      </c>
      <c r="CV219" s="106" t="str">
        <f aca="false">IF($CH219&gt;$CG$8,"",VLOOKUP($CH219,$CJ$9:$CP$508,6,FALSE()))</f>
        <v/>
      </c>
      <c r="CW219" s="71"/>
    </row>
    <row r="220" customFormat="false" ht="15.75" hidden="false" customHeight="false" outlineLevel="0" collapsed="false">
      <c r="A220" s="9"/>
      <c r="B220" s="72"/>
      <c r="C220" s="73"/>
      <c r="D220" s="160"/>
      <c r="E220" s="168"/>
      <c r="F220" s="162"/>
      <c r="G220" s="163"/>
      <c r="H220" s="169"/>
      <c r="I220" s="167"/>
      <c r="J220" s="80"/>
      <c r="K220" s="81"/>
      <c r="L220" s="82"/>
      <c r="M220" s="166"/>
      <c r="N220" s="167"/>
      <c r="O220" s="167"/>
      <c r="P220" s="80"/>
      <c r="Q220" s="82"/>
      <c r="R220" s="82"/>
      <c r="S220" s="166"/>
      <c r="T220" s="167"/>
      <c r="U220" s="86"/>
      <c r="V220" s="87"/>
      <c r="W220" s="87" t="str">
        <f aca="false">IF(ISBLANK($C220),"",IF(E220=Constants!$B$2,TRUE(),IF(E220=Constants!$B$3,FALSE(),TRUE())))</f>
        <v/>
      </c>
      <c r="X220" s="87" t="str">
        <f aca="false">IF(ISBLANK($C220),"",IF(F220=Constants!$B$2,TRUE(),IF(F220=Constants!$B$3,FALSE(),TRUE())))</f>
        <v/>
      </c>
      <c r="Y220" s="87" t="str">
        <f aca="false">IF(ISBLANK($C220),"",IF(G220=Constants!$B$2,TRUE(),IF(G220=Constants!$B$3,FALSE(),TRUE())))</f>
        <v/>
      </c>
      <c r="Z220" s="87" t="str">
        <f aca="false">IF(ISBLANK($C220),"",IF(H220=Constants!$B$2,TRUE(),IF(H220=Constants!$B$3,FALSE(),TRUE())))</f>
        <v/>
      </c>
      <c r="AA220" s="87" t="str">
        <f aca="false">IF(ISBLANK($C220),"",IF(I220=Constants!$B$2,TRUE(),IF(I220=Constants!$B$3,FALSE(),TRUE())))</f>
        <v/>
      </c>
      <c r="AB220" s="87" t="str">
        <f aca="false">IF(ISBLANK($C220),"",IF(J220=Constants!$B$4,TRUE(),IF(J220=Constants!$B$5,FALSE(),COUNTA(K220:M220)&gt;0)))</f>
        <v/>
      </c>
      <c r="AC220" s="88" t="str">
        <f aca="false">IF(ISBLANK($C220),"",IF(ISNUMBER(K220),IF(K220&gt;=0,K220,""),""))</f>
        <v/>
      </c>
      <c r="AD220" s="89" t="str">
        <f aca="false">IF(ISBLANK($C220),"",IF(ISNUMBER(L220),IF(L220&gt;=0,L220,""),""))</f>
        <v/>
      </c>
      <c r="AE220" s="87" t="str">
        <f aca="false">IF(ISBLANK($C220),"",IF(ISNUMBER(M220),IF(M220&gt;=0,MIN(M220,Constants!$B$22),""),""))</f>
        <v/>
      </c>
      <c r="AF220" s="87" t="str">
        <f aca="false">IF(ISBLANK($C220),"",IF(N220=Constants!$B$2,TRUE(),IF(N220=Constants!$B$3,FALSE(),TRUE())))</f>
        <v/>
      </c>
      <c r="AG220" s="87" t="str">
        <f aca="false">IF(ISBLANK($C220),"",IF(O220=Constants!$B$2,TRUE(),IF(O220=Constants!$B$3,FALSE(),TRUE())))</f>
        <v/>
      </c>
      <c r="AH220" s="87" t="str">
        <f aca="false">IF(ISBLANK($C220),"",IF(P220=Constants!$B$4,TRUE(),IF(P220=Constants!$B$5,FALSE(),COUNTA(Q220:S220)&gt;0)))</f>
        <v/>
      </c>
      <c r="AI220" s="88" t="str">
        <f aca="false">IF(ISBLANK($C220),"",IF(ISNUMBER(Q220),IF(Q220&gt;=0,Q220,""),""))</f>
        <v/>
      </c>
      <c r="AJ220" s="89" t="str">
        <f aca="false">IF(ISBLANK($C220),"",IF(ISNUMBER(R220),IF(R220&gt;=0,R220,""),""))</f>
        <v/>
      </c>
      <c r="AK220" s="87" t="str">
        <f aca="false">IF(ISBLANK($C220),"",IF(ISNUMBER(S220),IF(S220&gt;=0,MIN(S220,Constants!$B$22),""),""))</f>
        <v/>
      </c>
      <c r="AL220" s="87" t="str">
        <f aca="false">IF(ISBLANK($C220),"",IF(T220=Constants!$B$2,TRUE(),IF(T220=Constants!$B$3,FALSE(),FALSE())))</f>
        <v/>
      </c>
      <c r="AM220" s="86" t="str">
        <f aca="false">IF(ISBLANK($C220),"",AND($AB220,OR($AC220="",$AD220="",AND(NOT(ISBLANK($M220)),$AE220=""))))</f>
        <v/>
      </c>
      <c r="AN220" s="89" t="str">
        <f aca="false">IF($BD220&lt;&gt;Constants!$B$6,"",IF($AB220,Constants!$B$17*$AD220,Constants!$B$18))</f>
        <v/>
      </c>
      <c r="AO220" s="91" t="str">
        <f aca="false">IF($BD220&lt;&gt;Constants!$B$6,"",Constants!$B$19*IF($AB220,$AC220,0))</f>
        <v/>
      </c>
      <c r="AP220" s="91" t="str">
        <f aca="false">IF($BD220&lt;&gt;Constants!$B$6,"",IF(AND($AB220,ISNUMBER($AE220)),Constants!$B$20*(Constants!$B$21-$AE220),0))</f>
        <v/>
      </c>
      <c r="AQ220" s="91" t="str">
        <f aca="false">IF($BD220&lt;&gt;Constants!$B$6,"",IF($AA220,0,Constants!$B$12)+IF($Z220,0,Constants!$B$13)+IF($Y220,0,Constants!$B$14))</f>
        <v/>
      </c>
      <c r="AR220" s="92" t="str">
        <f aca="false">IF($BD220&lt;&gt;Constants!$B$6,"",Constants!$B$16+SUM($AN220:$AQ220))</f>
        <v/>
      </c>
      <c r="AS220" s="91" t="str">
        <f aca="false">IF($BD220&lt;&gt;Constants!$B$6,"",IF($AB220,$AD220,""))</f>
        <v/>
      </c>
      <c r="AT220" s="93" t="str">
        <f aca="false">IF($BD220&lt;&gt;Constants!$B$6,"",$AO220)</f>
        <v/>
      </c>
      <c r="AU220" s="87" t="str">
        <f aca="false">IF($BD220&lt;&gt;Constants!$B$6,"",IF(OR($BA220&lt;$AR220,AND($BA220=$AR220,OR(AND(ISNUMBER($BB220),OR(NOT(ISNUMBER($AS220)),$BB220&lt;$AS220)),AND(OR(AND($BB220="",$AS220=""),AND(ISNUMBER($BB220),ISNUMBER($AS220),$BB220=$AS220)),$BC220&lt;$AT220)))),"-&gt;","&lt;-"))</f>
        <v/>
      </c>
      <c r="AV220" s="86" t="str">
        <f aca="false">IF(ISBLANK($C220),"",AND($AH220,OR($AI220="",$AJ220="",AND(NOT(ISBLANK($S220)),$AK220=""))))</f>
        <v/>
      </c>
      <c r="AW220" s="89" t="str">
        <f aca="false">IF($BD220&lt;&gt;Constants!$B$6,"",IF($AH220,Constants!$B$17*$AJ220,Constants!$B$18))</f>
        <v/>
      </c>
      <c r="AX220" s="91" t="str">
        <f aca="false">IF($BD220&lt;&gt;Constants!$B$6,"",Constants!$B$19*IF($AH220,$AI220,0))</f>
        <v/>
      </c>
      <c r="AY220" s="91" t="str">
        <f aca="false">IF($BD220&lt;&gt;Constants!$B$6,"",IF(AND($AH220,ISNUMBER($AK220)),Constants!$B$20*(Constants!$B$21-$AK220),0))</f>
        <v/>
      </c>
      <c r="AZ220" s="91" t="str">
        <f aca="false">IF($BD220&lt;&gt;Constants!$B$6,"",IF($AG220,0,Constants!$B$12)+IF($AF220,0,Constants!$B$13)+IF($Y220,0,Constants!$B$14))</f>
        <v/>
      </c>
      <c r="BA220" s="92" t="str">
        <f aca="false">IF($BD220&lt;&gt;Constants!$B$6,"",Constants!$B$16+SUM($AW220:$AZ220))</f>
        <v/>
      </c>
      <c r="BB220" s="91" t="str">
        <f aca="false">IF($BD220&lt;&gt;Constants!$B$6,"",IF($AH220,$AJ220,""))</f>
        <v/>
      </c>
      <c r="BC220" s="93" t="str">
        <f aca="false">IF($BD220&lt;&gt;Constants!$B$6,"",$AX220)</f>
        <v/>
      </c>
      <c r="BD220" s="87" t="str">
        <f aca="false">IF(ISBLANK($C220),"",IF($AL220,Constants!$B$9,IF(COUNTA($E220:$T220)=0,Constants!$B$8,IF(NOT($X220),Constants!$B$7,IF(OR($AM220,$AV220),Constants!$B$10,Constants!$B$6)))))</f>
        <v/>
      </c>
      <c r="BE220" s="87" t="str">
        <f aca="false">IF(ISBLANK($C220),"",IF($BD220&lt;&gt;Constants!$B$6,$BD220,Constants!$B$11))</f>
        <v/>
      </c>
      <c r="BF220" s="91" t="str">
        <f aca="false">IF($BD220&lt;&gt;Constants!$B$6,"",IF($AU220="-&gt;",$BA220,$AR220))</f>
        <v/>
      </c>
      <c r="BG220" s="91" t="str">
        <f aca="false">IF($BD220&lt;&gt;Constants!$B$6,"",IF($W220,0,Constants!$B$15))</f>
        <v/>
      </c>
      <c r="BH220" s="91" t="str">
        <f aca="false">IF(ISBLANK($C220),"",IF($BD220&lt;&gt;Constants!$B$6,$BD220,SUM($BF220:$BG220)))</f>
        <v/>
      </c>
      <c r="BI220" s="87" t="str">
        <f aca="false">IF(ISBLANK($C220),"",IF($BD220&lt;&gt;Constants!$B$6,$BD220,RANK($BH220,$BH$9:$BH$508,1)))</f>
        <v/>
      </c>
      <c r="BJ220" s="91" t="str">
        <f aca="false">IF($BD220&lt;&gt;Constants!$B$6,"",IF($AU220="-&gt;",$BB220,$AS220))</f>
        <v/>
      </c>
      <c r="BK220" s="87" t="str">
        <f aca="false">IF(ISBLANK($C220),"",IF($BD220&lt;&gt;Constants!$B$6,$BD220,IF(ISNUMBER($BJ220),RANK($BJ220,$BJ$9:$BJ$508,1),COUNT($BJ$9:$BJ$508)+1)))</f>
        <v/>
      </c>
      <c r="BL220" s="91" t="str">
        <f aca="false">IF($BD220&lt;&gt;Constants!$B$6,"",IF($AU220="-&gt;",$BC220,$AT220))</f>
        <v/>
      </c>
      <c r="BM220" s="87" t="str">
        <f aca="false">IF(ISBLANK($C220),"",IF($BD220&lt;&gt;Constants!$B$6,$BD220,IF(ISNUMBER($BL220),RANK($BL220,$BL$9:$BL$508,1),COUNT($BL$9:$BL$508)+1)))</f>
        <v/>
      </c>
      <c r="BN220" s="91" t="str">
        <f aca="false">IF($BD220&lt;&gt;Constants!$B$6,"",IF($AU220="-&gt;",$AS220,$BB220))</f>
        <v/>
      </c>
      <c r="BO220" s="87" t="str">
        <f aca="false">IF(ISBLANK($C220),"",IF($BD220&lt;&gt;Constants!$B$6,$BD220,IF(ISNUMBER($BN220),RANK($BN220,$BN$9:$BN$508,1),COUNT($BN$9:$BN$508)+1)))</f>
        <v/>
      </c>
      <c r="BP220" s="91" t="str">
        <f aca="false">IF($BD220&lt;&gt;Constants!$B$6,"",IF($AU220="-&gt;",$AT220,$BC220))</f>
        <v/>
      </c>
      <c r="BQ220" s="87" t="str">
        <f aca="false">IF(ISBLANK($C220),"",IF($BD220&lt;&gt;Constants!$B$6,$BD220,IF(ISNUMBER($BP220),RANK($BP220,$BP$9:$BP$508,1),COUNT($BP$9:$BP$508)+1)))</f>
        <v/>
      </c>
      <c r="BR220" s="87" t="str">
        <f aca="false">IF(ISBLANK($C220),"",IF($BD220&lt;&gt;Constants!$B$6,$BD220,COUNTIFS($BI$9:$BI$508,"&lt;"&amp;$BI220)+COUNTIFS($BI$9:$BI$508,$BI220,$BK$9:$BK$508,"&lt;"&amp;$BK220)+COUNTIFS($BI$9:$BI$508,$BI220,$BK$9:$BK$508,$BK220,$BM$9:$BM$508,"&lt;"&amp;$BM220)+COUNTIFS($BI$9:$BI$508,$BI220,$BK$9:$BK$508,$BK220,$BM$9:$BM$508,$BM220,$BO$9:$BO$508,"&lt;"&amp;$BO220)+COUNTIFS($BI$9:$BI$508,$BI220,$BK$9:$BK$508,$BK220,$BM$9:$BM$508,$BM220,$BO$9:$BO$508,$BO220,$BQ$9:$BQ$508,"&lt;"&amp;$BQ220)+1))</f>
        <v/>
      </c>
      <c r="BS220" s="87" t="str">
        <f aca="false">IF(ISBLANK($C220),"",IF($BD220&lt;&gt;Constants!$B$6,$BD220,$BI220-$BR220))</f>
        <v/>
      </c>
      <c r="BT220" s="94"/>
      <c r="BU220" s="95"/>
      <c r="BV220" s="95" t="str">
        <f aca="false">IF(ISBLANK($C220),"",IF($BD220&lt;&gt;Constants!$B$6,"",IF($AU220="-&gt;",2,1)))</f>
        <v/>
      </c>
      <c r="BW220" s="96" t="str">
        <f aca="false">IF(ISBLANK($C220),"",IF($BD220&lt;&gt;Constants!$B$6,"",IF($AU220="-&gt;",$AW220,$AN220)))</f>
        <v/>
      </c>
      <c r="BX220" s="96" t="str">
        <f aca="false">IF(ISBLANK($C220),"",IF($BD220&lt;&gt;Constants!$B$6,"",IF($AU220="-&gt;",$AX220,$AO220)))</f>
        <v/>
      </c>
      <c r="BY220" s="96" t="str">
        <f aca="false">IF(ISBLANK($C220),"",IF($BD220&lt;&gt;Constants!$B$6,"",IF($AU220="-&gt;",$AY220,$AP220)))</f>
        <v/>
      </c>
      <c r="BZ220" s="96" t="str">
        <f aca="false">IF(ISBLANK($C220),"",IF($BD220&lt;&gt;Constants!$B$6,"",IF($AU220="-&gt;",$AZ220,$AQ220)+$BG220))</f>
        <v/>
      </c>
      <c r="CA220" s="97" t="str">
        <f aca="false">IF(ISBLANK($C220),"",IF($BD220&lt;&gt;Constants!$B$6,$BD220,$BH220))</f>
        <v/>
      </c>
      <c r="CB220" s="98" t="str">
        <f aca="false">IF(ISBLANK($C220),"",$BE220)</f>
        <v/>
      </c>
      <c r="CC220" s="99" t="str">
        <f aca="false">IF(ISBLANK($C220),"",$BS220)</f>
        <v/>
      </c>
      <c r="CD220" s="99" t="str">
        <f aca="false">IF(ISBLANK($C220),"",$BR220)</f>
        <v/>
      </c>
      <c r="CE220" s="100" t="str">
        <f aca="false">IF(ISBLANK($C220),"",IF($CD220=Constants!$B$9,COUNTA($C$9:$C$508)+2,IF($CD220=Constants!$B$8,COUNTA($C$9:$C$508)+1,IF($CD220=Constants!$B$7,COUNTA($C$9:$C$508),$CD220))))</f>
        <v/>
      </c>
      <c r="CF220" s="9"/>
      <c r="CG220" s="101" t="n">
        <f aca="false">IF(OR(ISNUMBER($CD220),$CD220=Constants!$B$9,$CD220=Constants!$B$7,$CD220=Constants!$B$8),1,0)</f>
        <v>0</v>
      </c>
      <c r="CH220" s="101" t="n">
        <v>212</v>
      </c>
      <c r="CI220" s="101" t="str">
        <f aca="false">IF(ISBLANK($C220),"",IF(ISNUMBER($CE220),$CE220+ROW($B220)/1000,""))</f>
        <v/>
      </c>
      <c r="CJ220" s="101" t="str">
        <f aca="false">IF(ISNUMBER($CI220),RANK($CI220,$CI$9:$CI$508,1),"")</f>
        <v/>
      </c>
      <c r="CK220" s="101" t="str">
        <f aca="false">IF(ISBLANK($C220),"",$B220)</f>
        <v/>
      </c>
      <c r="CL220" s="101" t="str">
        <f aca="false">IF(ISBLANK($C220),"",$C220)</f>
        <v/>
      </c>
      <c r="CM220" s="101" t="str">
        <f aca="false">IF(ISBLANK($C220),"",$D220)</f>
        <v/>
      </c>
      <c r="CN220" s="102" t="str">
        <f aca="false">$CB220</f>
        <v/>
      </c>
      <c r="CO220" s="103" t="str">
        <f aca="false">$CA220</f>
        <v/>
      </c>
      <c r="CP220" s="101" t="str">
        <f aca="false">IF(ISBLANK($C220),"",$CD220)</f>
        <v/>
      </c>
      <c r="CQ220" s="104" t="str">
        <f aca="false">IF($CH220&gt;$CG$8,"",VLOOKUP($CH220,$CJ$9:$CP$508,7,FALSE()))</f>
        <v/>
      </c>
      <c r="CR220" s="105" t="str">
        <f aca="false">IF($CH220&gt;$CG$8,"",VLOOKUP($CH220,$CJ$9:$CP$508,2,FALSE()))</f>
        <v/>
      </c>
      <c r="CS220" s="105" t="str">
        <f aca="false">IF($CH220&gt;$CG$8,"",VLOOKUP($CH220,$CJ$9:$CP$508,3,FALSE()))</f>
        <v/>
      </c>
      <c r="CT220" s="105" t="str">
        <f aca="false">IF($CH220&gt;$CG$8,"",VLOOKUP($CH220,$CJ$9:$CP$508,4,FALSE()))</f>
        <v/>
      </c>
      <c r="CU220" s="105" t="str">
        <f aca="false">IF($CH220&gt;$CG$8,"",VLOOKUP($CH220,$CJ$9:$CP$508,5,FALSE()))</f>
        <v/>
      </c>
      <c r="CV220" s="106" t="str">
        <f aca="false">IF($CH220&gt;$CG$8,"",VLOOKUP($CH220,$CJ$9:$CP$508,6,FALSE()))</f>
        <v/>
      </c>
      <c r="CW220" s="71"/>
    </row>
    <row r="221" customFormat="false" ht="15.75" hidden="false" customHeight="false" outlineLevel="0" collapsed="false">
      <c r="A221" s="9"/>
      <c r="B221" s="72"/>
      <c r="C221" s="73"/>
      <c r="D221" s="160"/>
      <c r="E221" s="168"/>
      <c r="F221" s="162"/>
      <c r="G221" s="163"/>
      <c r="H221" s="169"/>
      <c r="I221" s="167"/>
      <c r="J221" s="80"/>
      <c r="K221" s="81"/>
      <c r="L221" s="82"/>
      <c r="M221" s="166"/>
      <c r="N221" s="167"/>
      <c r="O221" s="167"/>
      <c r="P221" s="80"/>
      <c r="Q221" s="82"/>
      <c r="R221" s="82"/>
      <c r="S221" s="166"/>
      <c r="T221" s="167"/>
      <c r="U221" s="86"/>
      <c r="V221" s="87"/>
      <c r="W221" s="87" t="str">
        <f aca="false">IF(ISBLANK($C221),"",IF(E221=Constants!$B$2,TRUE(),IF(E221=Constants!$B$3,FALSE(),TRUE())))</f>
        <v/>
      </c>
      <c r="X221" s="87" t="str">
        <f aca="false">IF(ISBLANK($C221),"",IF(F221=Constants!$B$2,TRUE(),IF(F221=Constants!$B$3,FALSE(),TRUE())))</f>
        <v/>
      </c>
      <c r="Y221" s="87" t="str">
        <f aca="false">IF(ISBLANK($C221),"",IF(G221=Constants!$B$2,TRUE(),IF(G221=Constants!$B$3,FALSE(),TRUE())))</f>
        <v/>
      </c>
      <c r="Z221" s="87" t="str">
        <f aca="false">IF(ISBLANK($C221),"",IF(H221=Constants!$B$2,TRUE(),IF(H221=Constants!$B$3,FALSE(),TRUE())))</f>
        <v/>
      </c>
      <c r="AA221" s="87" t="str">
        <f aca="false">IF(ISBLANK($C221),"",IF(I221=Constants!$B$2,TRUE(),IF(I221=Constants!$B$3,FALSE(),TRUE())))</f>
        <v/>
      </c>
      <c r="AB221" s="87" t="str">
        <f aca="false">IF(ISBLANK($C221),"",IF(J221=Constants!$B$4,TRUE(),IF(J221=Constants!$B$5,FALSE(),COUNTA(K221:M221)&gt;0)))</f>
        <v/>
      </c>
      <c r="AC221" s="88" t="str">
        <f aca="false">IF(ISBLANK($C221),"",IF(ISNUMBER(K221),IF(K221&gt;=0,K221,""),""))</f>
        <v/>
      </c>
      <c r="AD221" s="89" t="str">
        <f aca="false">IF(ISBLANK($C221),"",IF(ISNUMBER(L221),IF(L221&gt;=0,L221,""),""))</f>
        <v/>
      </c>
      <c r="AE221" s="87" t="str">
        <f aca="false">IF(ISBLANK($C221),"",IF(ISNUMBER(M221),IF(M221&gt;=0,MIN(M221,Constants!$B$22),""),""))</f>
        <v/>
      </c>
      <c r="AF221" s="87" t="str">
        <f aca="false">IF(ISBLANK($C221),"",IF(N221=Constants!$B$2,TRUE(),IF(N221=Constants!$B$3,FALSE(),TRUE())))</f>
        <v/>
      </c>
      <c r="AG221" s="87" t="str">
        <f aca="false">IF(ISBLANK($C221),"",IF(O221=Constants!$B$2,TRUE(),IF(O221=Constants!$B$3,FALSE(),TRUE())))</f>
        <v/>
      </c>
      <c r="AH221" s="87" t="str">
        <f aca="false">IF(ISBLANK($C221),"",IF(P221=Constants!$B$4,TRUE(),IF(P221=Constants!$B$5,FALSE(),COUNTA(Q221:S221)&gt;0)))</f>
        <v/>
      </c>
      <c r="AI221" s="88" t="str">
        <f aca="false">IF(ISBLANK($C221),"",IF(ISNUMBER(Q221),IF(Q221&gt;=0,Q221,""),""))</f>
        <v/>
      </c>
      <c r="AJ221" s="89" t="str">
        <f aca="false">IF(ISBLANK($C221),"",IF(ISNUMBER(R221),IF(R221&gt;=0,R221,""),""))</f>
        <v/>
      </c>
      <c r="AK221" s="87" t="str">
        <f aca="false">IF(ISBLANK($C221),"",IF(ISNUMBER(S221),IF(S221&gt;=0,MIN(S221,Constants!$B$22),""),""))</f>
        <v/>
      </c>
      <c r="AL221" s="87" t="str">
        <f aca="false">IF(ISBLANK($C221),"",IF(T221=Constants!$B$2,TRUE(),IF(T221=Constants!$B$3,FALSE(),FALSE())))</f>
        <v/>
      </c>
      <c r="AM221" s="86" t="str">
        <f aca="false">IF(ISBLANK($C221),"",AND($AB221,OR($AC221="",$AD221="",AND(NOT(ISBLANK($M221)),$AE221=""))))</f>
        <v/>
      </c>
      <c r="AN221" s="89" t="str">
        <f aca="false">IF($BD221&lt;&gt;Constants!$B$6,"",IF($AB221,Constants!$B$17*$AD221,Constants!$B$18))</f>
        <v/>
      </c>
      <c r="AO221" s="91" t="str">
        <f aca="false">IF($BD221&lt;&gt;Constants!$B$6,"",Constants!$B$19*IF($AB221,$AC221,0))</f>
        <v/>
      </c>
      <c r="AP221" s="91" t="str">
        <f aca="false">IF($BD221&lt;&gt;Constants!$B$6,"",IF(AND($AB221,ISNUMBER($AE221)),Constants!$B$20*(Constants!$B$21-$AE221),0))</f>
        <v/>
      </c>
      <c r="AQ221" s="91" t="str">
        <f aca="false">IF($BD221&lt;&gt;Constants!$B$6,"",IF($AA221,0,Constants!$B$12)+IF($Z221,0,Constants!$B$13)+IF($Y221,0,Constants!$B$14))</f>
        <v/>
      </c>
      <c r="AR221" s="92" t="str">
        <f aca="false">IF($BD221&lt;&gt;Constants!$B$6,"",Constants!$B$16+SUM($AN221:$AQ221))</f>
        <v/>
      </c>
      <c r="AS221" s="91" t="str">
        <f aca="false">IF($BD221&lt;&gt;Constants!$B$6,"",IF($AB221,$AD221,""))</f>
        <v/>
      </c>
      <c r="AT221" s="93" t="str">
        <f aca="false">IF($BD221&lt;&gt;Constants!$B$6,"",$AO221)</f>
        <v/>
      </c>
      <c r="AU221" s="87" t="str">
        <f aca="false">IF($BD221&lt;&gt;Constants!$B$6,"",IF(OR($BA221&lt;$AR221,AND($BA221=$AR221,OR(AND(ISNUMBER($BB221),OR(NOT(ISNUMBER($AS221)),$BB221&lt;$AS221)),AND(OR(AND($BB221="",$AS221=""),AND(ISNUMBER($BB221),ISNUMBER($AS221),$BB221=$AS221)),$BC221&lt;$AT221)))),"-&gt;","&lt;-"))</f>
        <v/>
      </c>
      <c r="AV221" s="86" t="str">
        <f aca="false">IF(ISBLANK($C221),"",AND($AH221,OR($AI221="",$AJ221="",AND(NOT(ISBLANK($S221)),$AK221=""))))</f>
        <v/>
      </c>
      <c r="AW221" s="89" t="str">
        <f aca="false">IF($BD221&lt;&gt;Constants!$B$6,"",IF($AH221,Constants!$B$17*$AJ221,Constants!$B$18))</f>
        <v/>
      </c>
      <c r="AX221" s="91" t="str">
        <f aca="false">IF($BD221&lt;&gt;Constants!$B$6,"",Constants!$B$19*IF($AH221,$AI221,0))</f>
        <v/>
      </c>
      <c r="AY221" s="91" t="str">
        <f aca="false">IF($BD221&lt;&gt;Constants!$B$6,"",IF(AND($AH221,ISNUMBER($AK221)),Constants!$B$20*(Constants!$B$21-$AK221),0))</f>
        <v/>
      </c>
      <c r="AZ221" s="91" t="str">
        <f aca="false">IF($BD221&lt;&gt;Constants!$B$6,"",IF($AG221,0,Constants!$B$12)+IF($AF221,0,Constants!$B$13)+IF($Y221,0,Constants!$B$14))</f>
        <v/>
      </c>
      <c r="BA221" s="92" t="str">
        <f aca="false">IF($BD221&lt;&gt;Constants!$B$6,"",Constants!$B$16+SUM($AW221:$AZ221))</f>
        <v/>
      </c>
      <c r="BB221" s="91" t="str">
        <f aca="false">IF($BD221&lt;&gt;Constants!$B$6,"",IF($AH221,$AJ221,""))</f>
        <v/>
      </c>
      <c r="BC221" s="93" t="str">
        <f aca="false">IF($BD221&lt;&gt;Constants!$B$6,"",$AX221)</f>
        <v/>
      </c>
      <c r="BD221" s="87" t="str">
        <f aca="false">IF(ISBLANK($C221),"",IF($AL221,Constants!$B$9,IF(COUNTA($E221:$T221)=0,Constants!$B$8,IF(NOT($X221),Constants!$B$7,IF(OR($AM221,$AV221),Constants!$B$10,Constants!$B$6)))))</f>
        <v/>
      </c>
      <c r="BE221" s="87" t="str">
        <f aca="false">IF(ISBLANK($C221),"",IF($BD221&lt;&gt;Constants!$B$6,$BD221,Constants!$B$11))</f>
        <v/>
      </c>
      <c r="BF221" s="91" t="str">
        <f aca="false">IF($BD221&lt;&gt;Constants!$B$6,"",IF($AU221="-&gt;",$BA221,$AR221))</f>
        <v/>
      </c>
      <c r="BG221" s="91" t="str">
        <f aca="false">IF($BD221&lt;&gt;Constants!$B$6,"",IF($W221,0,Constants!$B$15))</f>
        <v/>
      </c>
      <c r="BH221" s="91" t="str">
        <f aca="false">IF(ISBLANK($C221),"",IF($BD221&lt;&gt;Constants!$B$6,$BD221,SUM($BF221:$BG221)))</f>
        <v/>
      </c>
      <c r="BI221" s="87" t="str">
        <f aca="false">IF(ISBLANK($C221),"",IF($BD221&lt;&gt;Constants!$B$6,$BD221,RANK($BH221,$BH$9:$BH$508,1)))</f>
        <v/>
      </c>
      <c r="BJ221" s="91" t="str">
        <f aca="false">IF($BD221&lt;&gt;Constants!$B$6,"",IF($AU221="-&gt;",$BB221,$AS221))</f>
        <v/>
      </c>
      <c r="BK221" s="87" t="str">
        <f aca="false">IF(ISBLANK($C221),"",IF($BD221&lt;&gt;Constants!$B$6,$BD221,IF(ISNUMBER($BJ221),RANK($BJ221,$BJ$9:$BJ$508,1),COUNT($BJ$9:$BJ$508)+1)))</f>
        <v/>
      </c>
      <c r="BL221" s="91" t="str">
        <f aca="false">IF($BD221&lt;&gt;Constants!$B$6,"",IF($AU221="-&gt;",$BC221,$AT221))</f>
        <v/>
      </c>
      <c r="BM221" s="87" t="str">
        <f aca="false">IF(ISBLANK($C221),"",IF($BD221&lt;&gt;Constants!$B$6,$BD221,IF(ISNUMBER($BL221),RANK($BL221,$BL$9:$BL$508,1),COUNT($BL$9:$BL$508)+1)))</f>
        <v/>
      </c>
      <c r="BN221" s="91" t="str">
        <f aca="false">IF($BD221&lt;&gt;Constants!$B$6,"",IF($AU221="-&gt;",$AS221,$BB221))</f>
        <v/>
      </c>
      <c r="BO221" s="87" t="str">
        <f aca="false">IF(ISBLANK($C221),"",IF($BD221&lt;&gt;Constants!$B$6,$BD221,IF(ISNUMBER($BN221),RANK($BN221,$BN$9:$BN$508,1),COUNT($BN$9:$BN$508)+1)))</f>
        <v/>
      </c>
      <c r="BP221" s="91" t="str">
        <f aca="false">IF($BD221&lt;&gt;Constants!$B$6,"",IF($AU221="-&gt;",$AT221,$BC221))</f>
        <v/>
      </c>
      <c r="BQ221" s="87" t="str">
        <f aca="false">IF(ISBLANK($C221),"",IF($BD221&lt;&gt;Constants!$B$6,$BD221,IF(ISNUMBER($BP221),RANK($BP221,$BP$9:$BP$508,1),COUNT($BP$9:$BP$508)+1)))</f>
        <v/>
      </c>
      <c r="BR221" s="87" t="str">
        <f aca="false">IF(ISBLANK($C221),"",IF($BD221&lt;&gt;Constants!$B$6,$BD221,COUNTIFS($BI$9:$BI$508,"&lt;"&amp;$BI221)+COUNTIFS($BI$9:$BI$508,$BI221,$BK$9:$BK$508,"&lt;"&amp;$BK221)+COUNTIFS($BI$9:$BI$508,$BI221,$BK$9:$BK$508,$BK221,$BM$9:$BM$508,"&lt;"&amp;$BM221)+COUNTIFS($BI$9:$BI$508,$BI221,$BK$9:$BK$508,$BK221,$BM$9:$BM$508,$BM221,$BO$9:$BO$508,"&lt;"&amp;$BO221)+COUNTIFS($BI$9:$BI$508,$BI221,$BK$9:$BK$508,$BK221,$BM$9:$BM$508,$BM221,$BO$9:$BO$508,$BO221,$BQ$9:$BQ$508,"&lt;"&amp;$BQ221)+1))</f>
        <v/>
      </c>
      <c r="BS221" s="87" t="str">
        <f aca="false">IF(ISBLANK($C221),"",IF($BD221&lt;&gt;Constants!$B$6,$BD221,$BI221-$BR221))</f>
        <v/>
      </c>
      <c r="BT221" s="94"/>
      <c r="BU221" s="95"/>
      <c r="BV221" s="95" t="str">
        <f aca="false">IF(ISBLANK($C221),"",IF($BD221&lt;&gt;Constants!$B$6,"",IF($AU221="-&gt;",2,1)))</f>
        <v/>
      </c>
      <c r="BW221" s="96" t="str">
        <f aca="false">IF(ISBLANK($C221),"",IF($BD221&lt;&gt;Constants!$B$6,"",IF($AU221="-&gt;",$AW221,$AN221)))</f>
        <v/>
      </c>
      <c r="BX221" s="96" t="str">
        <f aca="false">IF(ISBLANK($C221),"",IF($BD221&lt;&gt;Constants!$B$6,"",IF($AU221="-&gt;",$AX221,$AO221)))</f>
        <v/>
      </c>
      <c r="BY221" s="96" t="str">
        <f aca="false">IF(ISBLANK($C221),"",IF($BD221&lt;&gt;Constants!$B$6,"",IF($AU221="-&gt;",$AY221,$AP221)))</f>
        <v/>
      </c>
      <c r="BZ221" s="96" t="str">
        <f aca="false">IF(ISBLANK($C221),"",IF($BD221&lt;&gt;Constants!$B$6,"",IF($AU221="-&gt;",$AZ221,$AQ221)+$BG221))</f>
        <v/>
      </c>
      <c r="CA221" s="97" t="str">
        <f aca="false">IF(ISBLANK($C221),"",IF($BD221&lt;&gt;Constants!$B$6,$BD221,$BH221))</f>
        <v/>
      </c>
      <c r="CB221" s="98" t="str">
        <f aca="false">IF(ISBLANK($C221),"",$BE221)</f>
        <v/>
      </c>
      <c r="CC221" s="99" t="str">
        <f aca="false">IF(ISBLANK($C221),"",$BS221)</f>
        <v/>
      </c>
      <c r="CD221" s="99" t="str">
        <f aca="false">IF(ISBLANK($C221),"",$BR221)</f>
        <v/>
      </c>
      <c r="CE221" s="100" t="str">
        <f aca="false">IF(ISBLANK($C221),"",IF($CD221=Constants!$B$9,COUNTA($C$9:$C$508)+2,IF($CD221=Constants!$B$8,COUNTA($C$9:$C$508)+1,IF($CD221=Constants!$B$7,COUNTA($C$9:$C$508),$CD221))))</f>
        <v/>
      </c>
      <c r="CF221" s="9"/>
      <c r="CG221" s="101" t="n">
        <f aca="false">IF(OR(ISNUMBER($CD221),$CD221=Constants!$B$9,$CD221=Constants!$B$7,$CD221=Constants!$B$8),1,0)</f>
        <v>0</v>
      </c>
      <c r="CH221" s="101" t="n">
        <v>213</v>
      </c>
      <c r="CI221" s="101" t="str">
        <f aca="false">IF(ISBLANK($C221),"",IF(ISNUMBER($CE221),$CE221+ROW($B221)/1000,""))</f>
        <v/>
      </c>
      <c r="CJ221" s="101" t="str">
        <f aca="false">IF(ISNUMBER($CI221),RANK($CI221,$CI$9:$CI$508,1),"")</f>
        <v/>
      </c>
      <c r="CK221" s="101" t="str">
        <f aca="false">IF(ISBLANK($C221),"",$B221)</f>
        <v/>
      </c>
      <c r="CL221" s="101" t="str">
        <f aca="false">IF(ISBLANK($C221),"",$C221)</f>
        <v/>
      </c>
      <c r="CM221" s="101" t="str">
        <f aca="false">IF(ISBLANK($C221),"",$D221)</f>
        <v/>
      </c>
      <c r="CN221" s="102" t="str">
        <f aca="false">$CB221</f>
        <v/>
      </c>
      <c r="CO221" s="103" t="str">
        <f aca="false">$CA221</f>
        <v/>
      </c>
      <c r="CP221" s="101" t="str">
        <f aca="false">IF(ISBLANK($C221),"",$CD221)</f>
        <v/>
      </c>
      <c r="CQ221" s="104" t="str">
        <f aca="false">IF($CH221&gt;$CG$8,"",VLOOKUP($CH221,$CJ$9:$CP$508,7,FALSE()))</f>
        <v/>
      </c>
      <c r="CR221" s="105" t="str">
        <f aca="false">IF($CH221&gt;$CG$8,"",VLOOKUP($CH221,$CJ$9:$CP$508,2,FALSE()))</f>
        <v/>
      </c>
      <c r="CS221" s="105" t="str">
        <f aca="false">IF($CH221&gt;$CG$8,"",VLOOKUP($CH221,$CJ$9:$CP$508,3,FALSE()))</f>
        <v/>
      </c>
      <c r="CT221" s="105" t="str">
        <f aca="false">IF($CH221&gt;$CG$8,"",VLOOKUP($CH221,$CJ$9:$CP$508,4,FALSE()))</f>
        <v/>
      </c>
      <c r="CU221" s="105" t="str">
        <f aca="false">IF($CH221&gt;$CG$8,"",VLOOKUP($CH221,$CJ$9:$CP$508,5,FALSE()))</f>
        <v/>
      </c>
      <c r="CV221" s="106" t="str">
        <f aca="false">IF($CH221&gt;$CG$8,"",VLOOKUP($CH221,$CJ$9:$CP$508,6,FALSE()))</f>
        <v/>
      </c>
      <c r="CW221" s="71"/>
    </row>
    <row r="222" customFormat="false" ht="15.75" hidden="false" customHeight="false" outlineLevel="0" collapsed="false">
      <c r="A222" s="9"/>
      <c r="B222" s="150"/>
      <c r="C222" s="151"/>
      <c r="D222" s="152"/>
      <c r="E222" s="170"/>
      <c r="F222" s="154"/>
      <c r="G222" s="155"/>
      <c r="H222" s="171"/>
      <c r="I222" s="159"/>
      <c r="J222" s="120"/>
      <c r="K222" s="121"/>
      <c r="L222" s="122"/>
      <c r="M222" s="158"/>
      <c r="N222" s="159"/>
      <c r="O222" s="159"/>
      <c r="P222" s="120"/>
      <c r="Q222" s="122"/>
      <c r="R222" s="122"/>
      <c r="S222" s="158"/>
      <c r="T222" s="159"/>
      <c r="U222" s="126"/>
      <c r="V222" s="127"/>
      <c r="W222" s="127" t="str">
        <f aca="false">IF(ISBLANK($C222),"",IF(E222=Constants!$B$2,TRUE(),IF(E222=Constants!$B$3,FALSE(),TRUE())))</f>
        <v/>
      </c>
      <c r="X222" s="127" t="str">
        <f aca="false">IF(ISBLANK($C222),"",IF(F222=Constants!$B$2,TRUE(),IF(F222=Constants!$B$3,FALSE(),TRUE())))</f>
        <v/>
      </c>
      <c r="Y222" s="127" t="str">
        <f aca="false">IF(ISBLANK($C222),"",IF(G222=Constants!$B$2,TRUE(),IF(G222=Constants!$B$3,FALSE(),TRUE())))</f>
        <v/>
      </c>
      <c r="Z222" s="127" t="str">
        <f aca="false">IF(ISBLANK($C222),"",IF(H222=Constants!$B$2,TRUE(),IF(H222=Constants!$B$3,FALSE(),TRUE())))</f>
        <v/>
      </c>
      <c r="AA222" s="127" t="str">
        <f aca="false">IF(ISBLANK($C222),"",IF(I222=Constants!$B$2,TRUE(),IF(I222=Constants!$B$3,FALSE(),TRUE())))</f>
        <v/>
      </c>
      <c r="AB222" s="127" t="str">
        <f aca="false">IF(ISBLANK($C222),"",IF(J222=Constants!$B$4,TRUE(),IF(J222=Constants!$B$5,FALSE(),COUNTA(K222:M222)&gt;0)))</f>
        <v/>
      </c>
      <c r="AC222" s="128" t="str">
        <f aca="false">IF(ISBLANK($C222),"",IF(ISNUMBER(K222),IF(K222&gt;=0,K222,""),""))</f>
        <v/>
      </c>
      <c r="AD222" s="129" t="str">
        <f aca="false">IF(ISBLANK($C222),"",IF(ISNUMBER(L222),IF(L222&gt;=0,L222,""),""))</f>
        <v/>
      </c>
      <c r="AE222" s="127" t="str">
        <f aca="false">IF(ISBLANK($C222),"",IF(ISNUMBER(M222),IF(M222&gt;=0,MIN(M222,Constants!$B$22),""),""))</f>
        <v/>
      </c>
      <c r="AF222" s="127" t="str">
        <f aca="false">IF(ISBLANK($C222),"",IF(N222=Constants!$B$2,TRUE(),IF(N222=Constants!$B$3,FALSE(),TRUE())))</f>
        <v/>
      </c>
      <c r="AG222" s="127" t="str">
        <f aca="false">IF(ISBLANK($C222),"",IF(O222=Constants!$B$2,TRUE(),IF(O222=Constants!$B$3,FALSE(),TRUE())))</f>
        <v/>
      </c>
      <c r="AH222" s="127" t="str">
        <f aca="false">IF(ISBLANK($C222),"",IF(P222=Constants!$B$4,TRUE(),IF(P222=Constants!$B$5,FALSE(),COUNTA(Q222:S222)&gt;0)))</f>
        <v/>
      </c>
      <c r="AI222" s="128" t="str">
        <f aca="false">IF(ISBLANK($C222),"",IF(ISNUMBER(Q222),IF(Q222&gt;=0,Q222,""),""))</f>
        <v/>
      </c>
      <c r="AJ222" s="129" t="str">
        <f aca="false">IF(ISBLANK($C222),"",IF(ISNUMBER(R222),IF(R222&gt;=0,R222,""),""))</f>
        <v/>
      </c>
      <c r="AK222" s="127" t="str">
        <f aca="false">IF(ISBLANK($C222),"",IF(ISNUMBER(S222),IF(S222&gt;=0,MIN(S222,Constants!$B$22),""),""))</f>
        <v/>
      </c>
      <c r="AL222" s="127" t="str">
        <f aca="false">IF(ISBLANK($C222),"",IF(T222=Constants!$B$2,TRUE(),IF(T222=Constants!$B$3,FALSE(),FALSE())))</f>
        <v/>
      </c>
      <c r="AM222" s="126" t="str">
        <f aca="false">IF(ISBLANK($C222),"",AND($AB222,OR($AC222="",$AD222="",AND(NOT(ISBLANK($M222)),$AE222=""))))</f>
        <v/>
      </c>
      <c r="AN222" s="129" t="str">
        <f aca="false">IF($BD222&lt;&gt;Constants!$B$6,"",IF($AB222,Constants!$B$17*$AD222,Constants!$B$18))</f>
        <v/>
      </c>
      <c r="AO222" s="130" t="str">
        <f aca="false">IF($BD222&lt;&gt;Constants!$B$6,"",Constants!$B$19*IF($AB222,$AC222,0))</f>
        <v/>
      </c>
      <c r="AP222" s="130" t="str">
        <f aca="false">IF($BD222&lt;&gt;Constants!$B$6,"",IF(AND($AB222,ISNUMBER($AE222)),Constants!$B$20*(Constants!$B$21-$AE222),0))</f>
        <v/>
      </c>
      <c r="AQ222" s="130" t="str">
        <f aca="false">IF($BD222&lt;&gt;Constants!$B$6,"",IF($AA222,0,Constants!$B$12)+IF($Z222,0,Constants!$B$13)+IF($Y222,0,Constants!$B$14))</f>
        <v/>
      </c>
      <c r="AR222" s="131" t="str">
        <f aca="false">IF($BD222&lt;&gt;Constants!$B$6,"",Constants!$B$16+SUM($AN222:$AQ222))</f>
        <v/>
      </c>
      <c r="AS222" s="130" t="str">
        <f aca="false">IF($BD222&lt;&gt;Constants!$B$6,"",IF($AB222,$AD222,""))</f>
        <v/>
      </c>
      <c r="AT222" s="132" t="str">
        <f aca="false">IF($BD222&lt;&gt;Constants!$B$6,"",$AO222)</f>
        <v/>
      </c>
      <c r="AU222" s="127" t="str">
        <f aca="false">IF($BD222&lt;&gt;Constants!$B$6,"",IF(OR($BA222&lt;$AR222,AND($BA222=$AR222,OR(AND(ISNUMBER($BB222),OR(NOT(ISNUMBER($AS222)),$BB222&lt;$AS222)),AND(OR(AND($BB222="",$AS222=""),AND(ISNUMBER($BB222),ISNUMBER($AS222),$BB222=$AS222)),$BC222&lt;$AT222)))),"-&gt;","&lt;-"))</f>
        <v/>
      </c>
      <c r="AV222" s="126" t="str">
        <f aca="false">IF(ISBLANK($C222),"",AND($AH222,OR($AI222="",$AJ222="",AND(NOT(ISBLANK($S222)),$AK222=""))))</f>
        <v/>
      </c>
      <c r="AW222" s="129" t="str">
        <f aca="false">IF($BD222&lt;&gt;Constants!$B$6,"",IF($AH222,Constants!$B$17*$AJ222,Constants!$B$18))</f>
        <v/>
      </c>
      <c r="AX222" s="130" t="str">
        <f aca="false">IF($BD222&lt;&gt;Constants!$B$6,"",Constants!$B$19*IF($AH222,$AI222,0))</f>
        <v/>
      </c>
      <c r="AY222" s="130" t="str">
        <f aca="false">IF($BD222&lt;&gt;Constants!$B$6,"",IF(AND($AH222,ISNUMBER($AK222)),Constants!$B$20*(Constants!$B$21-$AK222),0))</f>
        <v/>
      </c>
      <c r="AZ222" s="130" t="str">
        <f aca="false">IF($BD222&lt;&gt;Constants!$B$6,"",IF($AG222,0,Constants!$B$12)+IF($AF222,0,Constants!$B$13)+IF($Y222,0,Constants!$B$14))</f>
        <v/>
      </c>
      <c r="BA222" s="131" t="str">
        <f aca="false">IF($BD222&lt;&gt;Constants!$B$6,"",Constants!$B$16+SUM($AW222:$AZ222))</f>
        <v/>
      </c>
      <c r="BB222" s="130" t="str">
        <f aca="false">IF($BD222&lt;&gt;Constants!$B$6,"",IF($AH222,$AJ222,""))</f>
        <v/>
      </c>
      <c r="BC222" s="132" t="str">
        <f aca="false">IF($BD222&lt;&gt;Constants!$B$6,"",$AX222)</f>
        <v/>
      </c>
      <c r="BD222" s="127" t="str">
        <f aca="false">IF(ISBLANK($C222),"",IF($AL222,Constants!$B$9,IF(COUNTA($E222:$T222)=0,Constants!$B$8,IF(NOT($X222),Constants!$B$7,IF(OR($AM222,$AV222),Constants!$B$10,Constants!$B$6)))))</f>
        <v/>
      </c>
      <c r="BE222" s="127" t="str">
        <f aca="false">IF(ISBLANK($C222),"",IF($BD222&lt;&gt;Constants!$B$6,$BD222,Constants!$B$11))</f>
        <v/>
      </c>
      <c r="BF222" s="130" t="str">
        <f aca="false">IF($BD222&lt;&gt;Constants!$B$6,"",IF($AU222="-&gt;",$BA222,$AR222))</f>
        <v/>
      </c>
      <c r="BG222" s="130" t="str">
        <f aca="false">IF($BD222&lt;&gt;Constants!$B$6,"",IF($W222,0,Constants!$B$15))</f>
        <v/>
      </c>
      <c r="BH222" s="130" t="str">
        <f aca="false">IF(ISBLANK($C222),"",IF($BD222&lt;&gt;Constants!$B$6,$BD222,SUM($BF222:$BG222)))</f>
        <v/>
      </c>
      <c r="BI222" s="127" t="str">
        <f aca="false">IF(ISBLANK($C222),"",IF($BD222&lt;&gt;Constants!$B$6,$BD222,RANK($BH222,$BH$9:$BH$508,1)))</f>
        <v/>
      </c>
      <c r="BJ222" s="130" t="str">
        <f aca="false">IF($BD222&lt;&gt;Constants!$B$6,"",IF($AU222="-&gt;",$BB222,$AS222))</f>
        <v/>
      </c>
      <c r="BK222" s="127" t="str">
        <f aca="false">IF(ISBLANK($C222),"",IF($BD222&lt;&gt;Constants!$B$6,$BD222,IF(ISNUMBER($BJ222),RANK($BJ222,$BJ$9:$BJ$508,1),COUNT($BJ$9:$BJ$508)+1)))</f>
        <v/>
      </c>
      <c r="BL222" s="130" t="str">
        <f aca="false">IF($BD222&lt;&gt;Constants!$B$6,"",IF($AU222="-&gt;",$BC222,$AT222))</f>
        <v/>
      </c>
      <c r="BM222" s="127" t="str">
        <f aca="false">IF(ISBLANK($C222),"",IF($BD222&lt;&gt;Constants!$B$6,$BD222,IF(ISNUMBER($BL222),RANK($BL222,$BL$9:$BL$508,1),COUNT($BL$9:$BL$508)+1)))</f>
        <v/>
      </c>
      <c r="BN222" s="130" t="str">
        <f aca="false">IF($BD222&lt;&gt;Constants!$B$6,"",IF($AU222="-&gt;",$AS222,$BB222))</f>
        <v/>
      </c>
      <c r="BO222" s="127" t="str">
        <f aca="false">IF(ISBLANK($C222),"",IF($BD222&lt;&gt;Constants!$B$6,$BD222,IF(ISNUMBER($BN222),RANK($BN222,$BN$9:$BN$508,1),COUNT($BN$9:$BN$508)+1)))</f>
        <v/>
      </c>
      <c r="BP222" s="130" t="str">
        <f aca="false">IF($BD222&lt;&gt;Constants!$B$6,"",IF($AU222="-&gt;",$AT222,$BC222))</f>
        <v/>
      </c>
      <c r="BQ222" s="127" t="str">
        <f aca="false">IF(ISBLANK($C222),"",IF($BD222&lt;&gt;Constants!$B$6,$BD222,IF(ISNUMBER($BP222),RANK($BP222,$BP$9:$BP$508,1),COUNT($BP$9:$BP$508)+1)))</f>
        <v/>
      </c>
      <c r="BR222" s="127" t="str">
        <f aca="false">IF(ISBLANK($C222),"",IF($BD222&lt;&gt;Constants!$B$6,$BD222,COUNTIFS($BI$9:$BI$508,"&lt;"&amp;$BI222)+COUNTIFS($BI$9:$BI$508,$BI222,$BK$9:$BK$508,"&lt;"&amp;$BK222)+COUNTIFS($BI$9:$BI$508,$BI222,$BK$9:$BK$508,$BK222,$BM$9:$BM$508,"&lt;"&amp;$BM222)+COUNTIFS($BI$9:$BI$508,$BI222,$BK$9:$BK$508,$BK222,$BM$9:$BM$508,$BM222,$BO$9:$BO$508,"&lt;"&amp;$BO222)+COUNTIFS($BI$9:$BI$508,$BI222,$BK$9:$BK$508,$BK222,$BM$9:$BM$508,$BM222,$BO$9:$BO$508,$BO222,$BQ$9:$BQ$508,"&lt;"&amp;$BQ222)+1))</f>
        <v/>
      </c>
      <c r="BS222" s="127" t="str">
        <f aca="false">IF(ISBLANK($C222),"",IF($BD222&lt;&gt;Constants!$B$6,$BD222,$BI222-$BR222))</f>
        <v/>
      </c>
      <c r="BT222" s="133"/>
      <c r="BU222" s="134"/>
      <c r="BV222" s="134" t="str">
        <f aca="false">IF(ISBLANK($C222),"",IF($BD222&lt;&gt;Constants!$B$6,"",IF($AU222="-&gt;",2,1)))</f>
        <v/>
      </c>
      <c r="BW222" s="135" t="str">
        <f aca="false">IF(ISBLANK($C222),"",IF($BD222&lt;&gt;Constants!$B$6,"",IF($AU222="-&gt;",$AW222,$AN222)))</f>
        <v/>
      </c>
      <c r="BX222" s="135" t="str">
        <f aca="false">IF(ISBLANK($C222),"",IF($BD222&lt;&gt;Constants!$B$6,"",IF($AU222="-&gt;",$AX222,$AO222)))</f>
        <v/>
      </c>
      <c r="BY222" s="135" t="str">
        <f aca="false">IF(ISBLANK($C222),"",IF($BD222&lt;&gt;Constants!$B$6,"",IF($AU222="-&gt;",$AY222,$AP222)))</f>
        <v/>
      </c>
      <c r="BZ222" s="135" t="str">
        <f aca="false">IF(ISBLANK($C222),"",IF($BD222&lt;&gt;Constants!$B$6,"",IF($AU222="-&gt;",$AZ222,$AQ222)+$BG222))</f>
        <v/>
      </c>
      <c r="CA222" s="136" t="str">
        <f aca="false">IF(ISBLANK($C222),"",IF($BD222&lt;&gt;Constants!$B$6,$BD222,$BH222))</f>
        <v/>
      </c>
      <c r="CB222" s="137" t="str">
        <f aca="false">IF(ISBLANK($C222),"",$BE222)</f>
        <v/>
      </c>
      <c r="CC222" s="138" t="str">
        <f aca="false">IF(ISBLANK($C222),"",$BS222)</f>
        <v/>
      </c>
      <c r="CD222" s="138" t="str">
        <f aca="false">IF(ISBLANK($C222),"",$BR222)</f>
        <v/>
      </c>
      <c r="CE222" s="139" t="str">
        <f aca="false">IF(ISBLANK($C222),"",IF($CD222=Constants!$B$9,COUNTA($C$9:$C$508)+2,IF($CD222=Constants!$B$8,COUNTA($C$9:$C$508)+1,IF($CD222=Constants!$B$7,COUNTA($C$9:$C$508),$CD222))))</f>
        <v/>
      </c>
      <c r="CF222" s="9"/>
      <c r="CG222" s="140" t="n">
        <f aca="false">IF(OR(ISNUMBER($CD222),$CD222=Constants!$B$9,$CD222=Constants!$B$7,$CD222=Constants!$B$8),1,0)</f>
        <v>0</v>
      </c>
      <c r="CH222" s="140" t="n">
        <v>214</v>
      </c>
      <c r="CI222" s="140" t="str">
        <f aca="false">IF(ISBLANK($C222),"",IF(ISNUMBER($CE222),$CE222+ROW($B222)/1000,""))</f>
        <v/>
      </c>
      <c r="CJ222" s="140" t="str">
        <f aca="false">IF(ISNUMBER($CI222),RANK($CI222,$CI$9:$CI$508,1),"")</f>
        <v/>
      </c>
      <c r="CK222" s="140" t="str">
        <f aca="false">IF(ISBLANK($C222),"",$B222)</f>
        <v/>
      </c>
      <c r="CL222" s="140" t="str">
        <f aca="false">IF(ISBLANK($C222),"",$C222)</f>
        <v/>
      </c>
      <c r="CM222" s="140" t="str">
        <f aca="false">IF(ISBLANK($C222),"",$D222)</f>
        <v/>
      </c>
      <c r="CN222" s="141" t="str">
        <f aca="false">$CB222</f>
        <v/>
      </c>
      <c r="CO222" s="142" t="str">
        <f aca="false">$CA222</f>
        <v/>
      </c>
      <c r="CP222" s="140" t="str">
        <f aca="false">IF(ISBLANK($C222),"",$CD222)</f>
        <v/>
      </c>
      <c r="CQ222" s="143" t="str">
        <f aca="false">IF($CH222&gt;$CG$8,"",VLOOKUP($CH222,$CJ$9:$CP$508,7,FALSE()))</f>
        <v/>
      </c>
      <c r="CR222" s="144" t="str">
        <f aca="false">IF($CH222&gt;$CG$8,"",VLOOKUP($CH222,$CJ$9:$CP$508,2,FALSE()))</f>
        <v/>
      </c>
      <c r="CS222" s="144" t="str">
        <f aca="false">IF($CH222&gt;$CG$8,"",VLOOKUP($CH222,$CJ$9:$CP$508,3,FALSE()))</f>
        <v/>
      </c>
      <c r="CT222" s="144" t="str">
        <f aca="false">IF($CH222&gt;$CG$8,"",VLOOKUP($CH222,$CJ$9:$CP$508,4,FALSE()))</f>
        <v/>
      </c>
      <c r="CU222" s="144" t="str">
        <f aca="false">IF($CH222&gt;$CG$8,"",VLOOKUP($CH222,$CJ$9:$CP$508,5,FALSE()))</f>
        <v/>
      </c>
      <c r="CV222" s="145" t="str">
        <f aca="false">IF($CH222&gt;$CG$8,"",VLOOKUP($CH222,$CJ$9:$CP$508,6,FALSE()))</f>
        <v/>
      </c>
      <c r="CW222" s="71"/>
    </row>
    <row r="223" customFormat="false" ht="15.75" hidden="false" customHeight="false" outlineLevel="0" collapsed="false">
      <c r="A223" s="9"/>
      <c r="B223" s="150"/>
      <c r="C223" s="151"/>
      <c r="D223" s="152"/>
      <c r="E223" s="170"/>
      <c r="F223" s="154"/>
      <c r="G223" s="155"/>
      <c r="H223" s="171"/>
      <c r="I223" s="159"/>
      <c r="J223" s="120"/>
      <c r="K223" s="121"/>
      <c r="L223" s="122"/>
      <c r="M223" s="158"/>
      <c r="N223" s="159"/>
      <c r="O223" s="159"/>
      <c r="P223" s="120"/>
      <c r="Q223" s="122"/>
      <c r="R223" s="122"/>
      <c r="S223" s="158"/>
      <c r="T223" s="159"/>
      <c r="U223" s="126"/>
      <c r="V223" s="127"/>
      <c r="W223" s="127" t="str">
        <f aca="false">IF(ISBLANK($C223),"",IF(E223=Constants!$B$2,TRUE(),IF(E223=Constants!$B$3,FALSE(),TRUE())))</f>
        <v/>
      </c>
      <c r="X223" s="127" t="str">
        <f aca="false">IF(ISBLANK($C223),"",IF(F223=Constants!$B$2,TRUE(),IF(F223=Constants!$B$3,FALSE(),TRUE())))</f>
        <v/>
      </c>
      <c r="Y223" s="127" t="str">
        <f aca="false">IF(ISBLANK($C223),"",IF(G223=Constants!$B$2,TRUE(),IF(G223=Constants!$B$3,FALSE(),TRUE())))</f>
        <v/>
      </c>
      <c r="Z223" s="127" t="str">
        <f aca="false">IF(ISBLANK($C223),"",IF(H223=Constants!$B$2,TRUE(),IF(H223=Constants!$B$3,FALSE(),TRUE())))</f>
        <v/>
      </c>
      <c r="AA223" s="127" t="str">
        <f aca="false">IF(ISBLANK($C223),"",IF(I223=Constants!$B$2,TRUE(),IF(I223=Constants!$B$3,FALSE(),TRUE())))</f>
        <v/>
      </c>
      <c r="AB223" s="127" t="str">
        <f aca="false">IF(ISBLANK($C223),"",IF(J223=Constants!$B$4,TRUE(),IF(J223=Constants!$B$5,FALSE(),COUNTA(K223:M223)&gt;0)))</f>
        <v/>
      </c>
      <c r="AC223" s="128" t="str">
        <f aca="false">IF(ISBLANK($C223),"",IF(ISNUMBER(K223),IF(K223&gt;=0,K223,""),""))</f>
        <v/>
      </c>
      <c r="AD223" s="129" t="str">
        <f aca="false">IF(ISBLANK($C223),"",IF(ISNUMBER(L223),IF(L223&gt;=0,L223,""),""))</f>
        <v/>
      </c>
      <c r="AE223" s="127" t="str">
        <f aca="false">IF(ISBLANK($C223),"",IF(ISNUMBER(M223),IF(M223&gt;=0,MIN(M223,Constants!$B$22),""),""))</f>
        <v/>
      </c>
      <c r="AF223" s="127" t="str">
        <f aca="false">IF(ISBLANK($C223),"",IF(N223=Constants!$B$2,TRUE(),IF(N223=Constants!$B$3,FALSE(),TRUE())))</f>
        <v/>
      </c>
      <c r="AG223" s="127" t="str">
        <f aca="false">IF(ISBLANK($C223),"",IF(O223=Constants!$B$2,TRUE(),IF(O223=Constants!$B$3,FALSE(),TRUE())))</f>
        <v/>
      </c>
      <c r="AH223" s="127" t="str">
        <f aca="false">IF(ISBLANK($C223),"",IF(P223=Constants!$B$4,TRUE(),IF(P223=Constants!$B$5,FALSE(),COUNTA(Q223:S223)&gt;0)))</f>
        <v/>
      </c>
      <c r="AI223" s="128" t="str">
        <f aca="false">IF(ISBLANK($C223),"",IF(ISNUMBER(Q223),IF(Q223&gt;=0,Q223,""),""))</f>
        <v/>
      </c>
      <c r="AJ223" s="129" t="str">
        <f aca="false">IF(ISBLANK($C223),"",IF(ISNUMBER(R223),IF(R223&gt;=0,R223,""),""))</f>
        <v/>
      </c>
      <c r="AK223" s="127" t="str">
        <f aca="false">IF(ISBLANK($C223),"",IF(ISNUMBER(S223),IF(S223&gt;=0,MIN(S223,Constants!$B$22),""),""))</f>
        <v/>
      </c>
      <c r="AL223" s="127" t="str">
        <f aca="false">IF(ISBLANK($C223),"",IF(T223=Constants!$B$2,TRUE(),IF(T223=Constants!$B$3,FALSE(),FALSE())))</f>
        <v/>
      </c>
      <c r="AM223" s="126" t="str">
        <f aca="false">IF(ISBLANK($C223),"",AND($AB223,OR($AC223="",$AD223="",AND(NOT(ISBLANK($M223)),$AE223=""))))</f>
        <v/>
      </c>
      <c r="AN223" s="129" t="str">
        <f aca="false">IF($BD223&lt;&gt;Constants!$B$6,"",IF($AB223,Constants!$B$17*$AD223,Constants!$B$18))</f>
        <v/>
      </c>
      <c r="AO223" s="130" t="str">
        <f aca="false">IF($BD223&lt;&gt;Constants!$B$6,"",Constants!$B$19*IF($AB223,$AC223,0))</f>
        <v/>
      </c>
      <c r="AP223" s="130" t="str">
        <f aca="false">IF($BD223&lt;&gt;Constants!$B$6,"",IF(AND($AB223,ISNUMBER($AE223)),Constants!$B$20*(Constants!$B$21-$AE223),0))</f>
        <v/>
      </c>
      <c r="AQ223" s="130" t="str">
        <f aca="false">IF($BD223&lt;&gt;Constants!$B$6,"",IF($AA223,0,Constants!$B$12)+IF($Z223,0,Constants!$B$13)+IF($Y223,0,Constants!$B$14))</f>
        <v/>
      </c>
      <c r="AR223" s="131" t="str">
        <f aca="false">IF($BD223&lt;&gt;Constants!$B$6,"",Constants!$B$16+SUM($AN223:$AQ223))</f>
        <v/>
      </c>
      <c r="AS223" s="130" t="str">
        <f aca="false">IF($BD223&lt;&gt;Constants!$B$6,"",IF($AB223,$AD223,""))</f>
        <v/>
      </c>
      <c r="AT223" s="132" t="str">
        <f aca="false">IF($BD223&lt;&gt;Constants!$B$6,"",$AO223)</f>
        <v/>
      </c>
      <c r="AU223" s="127" t="str">
        <f aca="false">IF($BD223&lt;&gt;Constants!$B$6,"",IF(OR($BA223&lt;$AR223,AND($BA223=$AR223,OR(AND(ISNUMBER($BB223),OR(NOT(ISNUMBER($AS223)),$BB223&lt;$AS223)),AND(OR(AND($BB223="",$AS223=""),AND(ISNUMBER($BB223),ISNUMBER($AS223),$BB223=$AS223)),$BC223&lt;$AT223)))),"-&gt;","&lt;-"))</f>
        <v/>
      </c>
      <c r="AV223" s="126" t="str">
        <f aca="false">IF(ISBLANK($C223),"",AND($AH223,OR($AI223="",$AJ223="",AND(NOT(ISBLANK($S223)),$AK223=""))))</f>
        <v/>
      </c>
      <c r="AW223" s="129" t="str">
        <f aca="false">IF($BD223&lt;&gt;Constants!$B$6,"",IF($AH223,Constants!$B$17*$AJ223,Constants!$B$18))</f>
        <v/>
      </c>
      <c r="AX223" s="130" t="str">
        <f aca="false">IF($BD223&lt;&gt;Constants!$B$6,"",Constants!$B$19*IF($AH223,$AI223,0))</f>
        <v/>
      </c>
      <c r="AY223" s="130" t="str">
        <f aca="false">IF($BD223&lt;&gt;Constants!$B$6,"",IF(AND($AH223,ISNUMBER($AK223)),Constants!$B$20*(Constants!$B$21-$AK223),0))</f>
        <v/>
      </c>
      <c r="AZ223" s="130" t="str">
        <f aca="false">IF($BD223&lt;&gt;Constants!$B$6,"",IF($AG223,0,Constants!$B$12)+IF($AF223,0,Constants!$B$13)+IF($Y223,0,Constants!$B$14))</f>
        <v/>
      </c>
      <c r="BA223" s="131" t="str">
        <f aca="false">IF($BD223&lt;&gt;Constants!$B$6,"",Constants!$B$16+SUM($AW223:$AZ223))</f>
        <v/>
      </c>
      <c r="BB223" s="130" t="str">
        <f aca="false">IF($BD223&lt;&gt;Constants!$B$6,"",IF($AH223,$AJ223,""))</f>
        <v/>
      </c>
      <c r="BC223" s="132" t="str">
        <f aca="false">IF($BD223&lt;&gt;Constants!$B$6,"",$AX223)</f>
        <v/>
      </c>
      <c r="BD223" s="127" t="str">
        <f aca="false">IF(ISBLANK($C223),"",IF($AL223,Constants!$B$9,IF(COUNTA($E223:$T223)=0,Constants!$B$8,IF(NOT($X223),Constants!$B$7,IF(OR($AM223,$AV223),Constants!$B$10,Constants!$B$6)))))</f>
        <v/>
      </c>
      <c r="BE223" s="127" t="str">
        <f aca="false">IF(ISBLANK($C223),"",IF($BD223&lt;&gt;Constants!$B$6,$BD223,Constants!$B$11))</f>
        <v/>
      </c>
      <c r="BF223" s="130" t="str">
        <f aca="false">IF($BD223&lt;&gt;Constants!$B$6,"",IF($AU223="-&gt;",$BA223,$AR223))</f>
        <v/>
      </c>
      <c r="BG223" s="130" t="str">
        <f aca="false">IF($BD223&lt;&gt;Constants!$B$6,"",IF($W223,0,Constants!$B$15))</f>
        <v/>
      </c>
      <c r="BH223" s="130" t="str">
        <f aca="false">IF(ISBLANK($C223),"",IF($BD223&lt;&gt;Constants!$B$6,$BD223,SUM($BF223:$BG223)))</f>
        <v/>
      </c>
      <c r="BI223" s="127" t="str">
        <f aca="false">IF(ISBLANK($C223),"",IF($BD223&lt;&gt;Constants!$B$6,$BD223,RANK($BH223,$BH$9:$BH$508,1)))</f>
        <v/>
      </c>
      <c r="BJ223" s="130" t="str">
        <f aca="false">IF($BD223&lt;&gt;Constants!$B$6,"",IF($AU223="-&gt;",$BB223,$AS223))</f>
        <v/>
      </c>
      <c r="BK223" s="127" t="str">
        <f aca="false">IF(ISBLANK($C223),"",IF($BD223&lt;&gt;Constants!$B$6,$BD223,IF(ISNUMBER($BJ223),RANK($BJ223,$BJ$9:$BJ$508,1),COUNT($BJ$9:$BJ$508)+1)))</f>
        <v/>
      </c>
      <c r="BL223" s="130" t="str">
        <f aca="false">IF($BD223&lt;&gt;Constants!$B$6,"",IF($AU223="-&gt;",$BC223,$AT223))</f>
        <v/>
      </c>
      <c r="BM223" s="127" t="str">
        <f aca="false">IF(ISBLANK($C223),"",IF($BD223&lt;&gt;Constants!$B$6,$BD223,IF(ISNUMBER($BL223),RANK($BL223,$BL$9:$BL$508,1),COUNT($BL$9:$BL$508)+1)))</f>
        <v/>
      </c>
      <c r="BN223" s="130" t="str">
        <f aca="false">IF($BD223&lt;&gt;Constants!$B$6,"",IF($AU223="-&gt;",$AS223,$BB223))</f>
        <v/>
      </c>
      <c r="BO223" s="127" t="str">
        <f aca="false">IF(ISBLANK($C223),"",IF($BD223&lt;&gt;Constants!$B$6,$BD223,IF(ISNUMBER($BN223),RANK($BN223,$BN$9:$BN$508,1),COUNT($BN$9:$BN$508)+1)))</f>
        <v/>
      </c>
      <c r="BP223" s="130" t="str">
        <f aca="false">IF($BD223&lt;&gt;Constants!$B$6,"",IF($AU223="-&gt;",$AT223,$BC223))</f>
        <v/>
      </c>
      <c r="BQ223" s="127" t="str">
        <f aca="false">IF(ISBLANK($C223),"",IF($BD223&lt;&gt;Constants!$B$6,$BD223,IF(ISNUMBER($BP223),RANK($BP223,$BP$9:$BP$508,1),COUNT($BP$9:$BP$508)+1)))</f>
        <v/>
      </c>
      <c r="BR223" s="127" t="str">
        <f aca="false">IF(ISBLANK($C223),"",IF($BD223&lt;&gt;Constants!$B$6,$BD223,COUNTIFS($BI$9:$BI$508,"&lt;"&amp;$BI223)+COUNTIFS($BI$9:$BI$508,$BI223,$BK$9:$BK$508,"&lt;"&amp;$BK223)+COUNTIFS($BI$9:$BI$508,$BI223,$BK$9:$BK$508,$BK223,$BM$9:$BM$508,"&lt;"&amp;$BM223)+COUNTIFS($BI$9:$BI$508,$BI223,$BK$9:$BK$508,$BK223,$BM$9:$BM$508,$BM223,$BO$9:$BO$508,"&lt;"&amp;$BO223)+COUNTIFS($BI$9:$BI$508,$BI223,$BK$9:$BK$508,$BK223,$BM$9:$BM$508,$BM223,$BO$9:$BO$508,$BO223,$BQ$9:$BQ$508,"&lt;"&amp;$BQ223)+1))</f>
        <v/>
      </c>
      <c r="BS223" s="127" t="str">
        <f aca="false">IF(ISBLANK($C223),"",IF($BD223&lt;&gt;Constants!$B$6,$BD223,$BI223-$BR223))</f>
        <v/>
      </c>
      <c r="BT223" s="133"/>
      <c r="BU223" s="134"/>
      <c r="BV223" s="134" t="str">
        <f aca="false">IF(ISBLANK($C223),"",IF($BD223&lt;&gt;Constants!$B$6,"",IF($AU223="-&gt;",2,1)))</f>
        <v/>
      </c>
      <c r="BW223" s="135" t="str">
        <f aca="false">IF(ISBLANK($C223),"",IF($BD223&lt;&gt;Constants!$B$6,"",IF($AU223="-&gt;",$AW223,$AN223)))</f>
        <v/>
      </c>
      <c r="BX223" s="135" t="str">
        <f aca="false">IF(ISBLANK($C223),"",IF($BD223&lt;&gt;Constants!$B$6,"",IF($AU223="-&gt;",$AX223,$AO223)))</f>
        <v/>
      </c>
      <c r="BY223" s="135" t="str">
        <f aca="false">IF(ISBLANK($C223),"",IF($BD223&lt;&gt;Constants!$B$6,"",IF($AU223="-&gt;",$AY223,$AP223)))</f>
        <v/>
      </c>
      <c r="BZ223" s="135" t="str">
        <f aca="false">IF(ISBLANK($C223),"",IF($BD223&lt;&gt;Constants!$B$6,"",IF($AU223="-&gt;",$AZ223,$AQ223)+$BG223))</f>
        <v/>
      </c>
      <c r="CA223" s="136" t="str">
        <f aca="false">IF(ISBLANK($C223),"",IF($BD223&lt;&gt;Constants!$B$6,$BD223,$BH223))</f>
        <v/>
      </c>
      <c r="CB223" s="137" t="str">
        <f aca="false">IF(ISBLANK($C223),"",$BE223)</f>
        <v/>
      </c>
      <c r="CC223" s="138" t="str">
        <f aca="false">IF(ISBLANK($C223),"",$BS223)</f>
        <v/>
      </c>
      <c r="CD223" s="138" t="str">
        <f aca="false">IF(ISBLANK($C223),"",$BR223)</f>
        <v/>
      </c>
      <c r="CE223" s="139" t="str">
        <f aca="false">IF(ISBLANK($C223),"",IF($CD223=Constants!$B$9,COUNTA($C$9:$C$508)+2,IF($CD223=Constants!$B$8,COUNTA($C$9:$C$508)+1,IF($CD223=Constants!$B$7,COUNTA($C$9:$C$508),$CD223))))</f>
        <v/>
      </c>
      <c r="CF223" s="9"/>
      <c r="CG223" s="140" t="n">
        <f aca="false">IF(OR(ISNUMBER($CD223),$CD223=Constants!$B$9,$CD223=Constants!$B$7,$CD223=Constants!$B$8),1,0)</f>
        <v>0</v>
      </c>
      <c r="CH223" s="140" t="n">
        <v>215</v>
      </c>
      <c r="CI223" s="140" t="str">
        <f aca="false">IF(ISBLANK($C223),"",IF(ISNUMBER($CE223),$CE223+ROW($B223)/1000,""))</f>
        <v/>
      </c>
      <c r="CJ223" s="140" t="str">
        <f aca="false">IF(ISNUMBER($CI223),RANK($CI223,$CI$9:$CI$508,1),"")</f>
        <v/>
      </c>
      <c r="CK223" s="140" t="str">
        <f aca="false">IF(ISBLANK($C223),"",$B223)</f>
        <v/>
      </c>
      <c r="CL223" s="140" t="str">
        <f aca="false">IF(ISBLANK($C223),"",$C223)</f>
        <v/>
      </c>
      <c r="CM223" s="140" t="str">
        <f aca="false">IF(ISBLANK($C223),"",$D223)</f>
        <v/>
      </c>
      <c r="CN223" s="141" t="str">
        <f aca="false">$CB223</f>
        <v/>
      </c>
      <c r="CO223" s="142" t="str">
        <f aca="false">$CA223</f>
        <v/>
      </c>
      <c r="CP223" s="140" t="str">
        <f aca="false">IF(ISBLANK($C223),"",$CD223)</f>
        <v/>
      </c>
      <c r="CQ223" s="143" t="str">
        <f aca="false">IF($CH223&gt;$CG$8,"",VLOOKUP($CH223,$CJ$9:$CP$508,7,FALSE()))</f>
        <v/>
      </c>
      <c r="CR223" s="144" t="str">
        <f aca="false">IF($CH223&gt;$CG$8,"",VLOOKUP($CH223,$CJ$9:$CP$508,2,FALSE()))</f>
        <v/>
      </c>
      <c r="CS223" s="144" t="str">
        <f aca="false">IF($CH223&gt;$CG$8,"",VLOOKUP($CH223,$CJ$9:$CP$508,3,FALSE()))</f>
        <v/>
      </c>
      <c r="CT223" s="144" t="str">
        <f aca="false">IF($CH223&gt;$CG$8,"",VLOOKUP($CH223,$CJ$9:$CP$508,4,FALSE()))</f>
        <v/>
      </c>
      <c r="CU223" s="144" t="str">
        <f aca="false">IF($CH223&gt;$CG$8,"",VLOOKUP($CH223,$CJ$9:$CP$508,5,FALSE()))</f>
        <v/>
      </c>
      <c r="CV223" s="145" t="str">
        <f aca="false">IF($CH223&gt;$CG$8,"",VLOOKUP($CH223,$CJ$9:$CP$508,6,FALSE()))</f>
        <v/>
      </c>
      <c r="CW223" s="71"/>
    </row>
    <row r="224" customFormat="false" ht="15.75" hidden="false" customHeight="false" outlineLevel="0" collapsed="false">
      <c r="A224" s="9"/>
      <c r="B224" s="150"/>
      <c r="C224" s="151"/>
      <c r="D224" s="152"/>
      <c r="E224" s="170"/>
      <c r="F224" s="154"/>
      <c r="G224" s="155"/>
      <c r="H224" s="171"/>
      <c r="I224" s="159"/>
      <c r="J224" s="120"/>
      <c r="K224" s="121"/>
      <c r="L224" s="122"/>
      <c r="M224" s="158"/>
      <c r="N224" s="159"/>
      <c r="O224" s="159"/>
      <c r="P224" s="120"/>
      <c r="Q224" s="122"/>
      <c r="R224" s="122"/>
      <c r="S224" s="158"/>
      <c r="T224" s="159"/>
      <c r="U224" s="126"/>
      <c r="V224" s="127"/>
      <c r="W224" s="127" t="str">
        <f aca="false">IF(ISBLANK($C224),"",IF(E224=Constants!$B$2,TRUE(),IF(E224=Constants!$B$3,FALSE(),TRUE())))</f>
        <v/>
      </c>
      <c r="X224" s="127" t="str">
        <f aca="false">IF(ISBLANK($C224),"",IF(F224=Constants!$B$2,TRUE(),IF(F224=Constants!$B$3,FALSE(),TRUE())))</f>
        <v/>
      </c>
      <c r="Y224" s="127" t="str">
        <f aca="false">IF(ISBLANK($C224),"",IF(G224=Constants!$B$2,TRUE(),IF(G224=Constants!$B$3,FALSE(),TRUE())))</f>
        <v/>
      </c>
      <c r="Z224" s="127" t="str">
        <f aca="false">IF(ISBLANK($C224),"",IF(H224=Constants!$B$2,TRUE(),IF(H224=Constants!$B$3,FALSE(),TRUE())))</f>
        <v/>
      </c>
      <c r="AA224" s="127" t="str">
        <f aca="false">IF(ISBLANK($C224),"",IF(I224=Constants!$B$2,TRUE(),IF(I224=Constants!$B$3,FALSE(),TRUE())))</f>
        <v/>
      </c>
      <c r="AB224" s="127" t="str">
        <f aca="false">IF(ISBLANK($C224),"",IF(J224=Constants!$B$4,TRUE(),IF(J224=Constants!$B$5,FALSE(),COUNTA(K224:M224)&gt;0)))</f>
        <v/>
      </c>
      <c r="AC224" s="128" t="str">
        <f aca="false">IF(ISBLANK($C224),"",IF(ISNUMBER(K224),IF(K224&gt;=0,K224,""),""))</f>
        <v/>
      </c>
      <c r="AD224" s="129" t="str">
        <f aca="false">IF(ISBLANK($C224),"",IF(ISNUMBER(L224),IF(L224&gt;=0,L224,""),""))</f>
        <v/>
      </c>
      <c r="AE224" s="127" t="str">
        <f aca="false">IF(ISBLANK($C224),"",IF(ISNUMBER(M224),IF(M224&gt;=0,MIN(M224,Constants!$B$22),""),""))</f>
        <v/>
      </c>
      <c r="AF224" s="127" t="str">
        <f aca="false">IF(ISBLANK($C224),"",IF(N224=Constants!$B$2,TRUE(),IF(N224=Constants!$B$3,FALSE(),TRUE())))</f>
        <v/>
      </c>
      <c r="AG224" s="127" t="str">
        <f aca="false">IF(ISBLANK($C224),"",IF(O224=Constants!$B$2,TRUE(),IF(O224=Constants!$B$3,FALSE(),TRUE())))</f>
        <v/>
      </c>
      <c r="AH224" s="127" t="str">
        <f aca="false">IF(ISBLANK($C224),"",IF(P224=Constants!$B$4,TRUE(),IF(P224=Constants!$B$5,FALSE(),COUNTA(Q224:S224)&gt;0)))</f>
        <v/>
      </c>
      <c r="AI224" s="128" t="str">
        <f aca="false">IF(ISBLANK($C224),"",IF(ISNUMBER(Q224),IF(Q224&gt;=0,Q224,""),""))</f>
        <v/>
      </c>
      <c r="AJ224" s="129" t="str">
        <f aca="false">IF(ISBLANK($C224),"",IF(ISNUMBER(R224),IF(R224&gt;=0,R224,""),""))</f>
        <v/>
      </c>
      <c r="AK224" s="127" t="str">
        <f aca="false">IF(ISBLANK($C224),"",IF(ISNUMBER(S224),IF(S224&gt;=0,MIN(S224,Constants!$B$22),""),""))</f>
        <v/>
      </c>
      <c r="AL224" s="127" t="str">
        <f aca="false">IF(ISBLANK($C224),"",IF(T224=Constants!$B$2,TRUE(),IF(T224=Constants!$B$3,FALSE(),FALSE())))</f>
        <v/>
      </c>
      <c r="AM224" s="126" t="str">
        <f aca="false">IF(ISBLANK($C224),"",AND($AB224,OR($AC224="",$AD224="",AND(NOT(ISBLANK($M224)),$AE224=""))))</f>
        <v/>
      </c>
      <c r="AN224" s="129" t="str">
        <f aca="false">IF($BD224&lt;&gt;Constants!$B$6,"",IF($AB224,Constants!$B$17*$AD224,Constants!$B$18))</f>
        <v/>
      </c>
      <c r="AO224" s="130" t="str">
        <f aca="false">IF($BD224&lt;&gt;Constants!$B$6,"",Constants!$B$19*IF($AB224,$AC224,0))</f>
        <v/>
      </c>
      <c r="AP224" s="130" t="str">
        <f aca="false">IF($BD224&lt;&gt;Constants!$B$6,"",IF(AND($AB224,ISNUMBER($AE224)),Constants!$B$20*(Constants!$B$21-$AE224),0))</f>
        <v/>
      </c>
      <c r="AQ224" s="130" t="str">
        <f aca="false">IF($BD224&lt;&gt;Constants!$B$6,"",IF($AA224,0,Constants!$B$12)+IF($Z224,0,Constants!$B$13)+IF($Y224,0,Constants!$B$14))</f>
        <v/>
      </c>
      <c r="AR224" s="131" t="str">
        <f aca="false">IF($BD224&lt;&gt;Constants!$B$6,"",Constants!$B$16+SUM($AN224:$AQ224))</f>
        <v/>
      </c>
      <c r="AS224" s="130" t="str">
        <f aca="false">IF($BD224&lt;&gt;Constants!$B$6,"",IF($AB224,$AD224,""))</f>
        <v/>
      </c>
      <c r="AT224" s="132" t="str">
        <f aca="false">IF($BD224&lt;&gt;Constants!$B$6,"",$AO224)</f>
        <v/>
      </c>
      <c r="AU224" s="127" t="str">
        <f aca="false">IF($BD224&lt;&gt;Constants!$B$6,"",IF(OR($BA224&lt;$AR224,AND($BA224=$AR224,OR(AND(ISNUMBER($BB224),OR(NOT(ISNUMBER($AS224)),$BB224&lt;$AS224)),AND(OR(AND($BB224="",$AS224=""),AND(ISNUMBER($BB224),ISNUMBER($AS224),$BB224=$AS224)),$BC224&lt;$AT224)))),"-&gt;","&lt;-"))</f>
        <v/>
      </c>
      <c r="AV224" s="126" t="str">
        <f aca="false">IF(ISBLANK($C224),"",AND($AH224,OR($AI224="",$AJ224="",AND(NOT(ISBLANK($S224)),$AK224=""))))</f>
        <v/>
      </c>
      <c r="AW224" s="129" t="str">
        <f aca="false">IF($BD224&lt;&gt;Constants!$B$6,"",IF($AH224,Constants!$B$17*$AJ224,Constants!$B$18))</f>
        <v/>
      </c>
      <c r="AX224" s="130" t="str">
        <f aca="false">IF($BD224&lt;&gt;Constants!$B$6,"",Constants!$B$19*IF($AH224,$AI224,0))</f>
        <v/>
      </c>
      <c r="AY224" s="130" t="str">
        <f aca="false">IF($BD224&lt;&gt;Constants!$B$6,"",IF(AND($AH224,ISNUMBER($AK224)),Constants!$B$20*(Constants!$B$21-$AK224),0))</f>
        <v/>
      </c>
      <c r="AZ224" s="130" t="str">
        <f aca="false">IF($BD224&lt;&gt;Constants!$B$6,"",IF($AG224,0,Constants!$B$12)+IF($AF224,0,Constants!$B$13)+IF($Y224,0,Constants!$B$14))</f>
        <v/>
      </c>
      <c r="BA224" s="131" t="str">
        <f aca="false">IF($BD224&lt;&gt;Constants!$B$6,"",Constants!$B$16+SUM($AW224:$AZ224))</f>
        <v/>
      </c>
      <c r="BB224" s="130" t="str">
        <f aca="false">IF($BD224&lt;&gt;Constants!$B$6,"",IF($AH224,$AJ224,""))</f>
        <v/>
      </c>
      <c r="BC224" s="132" t="str">
        <f aca="false">IF($BD224&lt;&gt;Constants!$B$6,"",$AX224)</f>
        <v/>
      </c>
      <c r="BD224" s="127" t="str">
        <f aca="false">IF(ISBLANK($C224),"",IF($AL224,Constants!$B$9,IF(COUNTA($E224:$T224)=0,Constants!$B$8,IF(NOT($X224),Constants!$B$7,IF(OR($AM224,$AV224),Constants!$B$10,Constants!$B$6)))))</f>
        <v/>
      </c>
      <c r="BE224" s="127" t="str">
        <f aca="false">IF(ISBLANK($C224),"",IF($BD224&lt;&gt;Constants!$B$6,$BD224,Constants!$B$11))</f>
        <v/>
      </c>
      <c r="BF224" s="130" t="str">
        <f aca="false">IF($BD224&lt;&gt;Constants!$B$6,"",IF($AU224="-&gt;",$BA224,$AR224))</f>
        <v/>
      </c>
      <c r="BG224" s="130" t="str">
        <f aca="false">IF($BD224&lt;&gt;Constants!$B$6,"",IF($W224,0,Constants!$B$15))</f>
        <v/>
      </c>
      <c r="BH224" s="130" t="str">
        <f aca="false">IF(ISBLANK($C224),"",IF($BD224&lt;&gt;Constants!$B$6,$BD224,SUM($BF224:$BG224)))</f>
        <v/>
      </c>
      <c r="BI224" s="127" t="str">
        <f aca="false">IF(ISBLANK($C224),"",IF($BD224&lt;&gt;Constants!$B$6,$BD224,RANK($BH224,$BH$9:$BH$508,1)))</f>
        <v/>
      </c>
      <c r="BJ224" s="130" t="str">
        <f aca="false">IF($BD224&lt;&gt;Constants!$B$6,"",IF($AU224="-&gt;",$BB224,$AS224))</f>
        <v/>
      </c>
      <c r="BK224" s="127" t="str">
        <f aca="false">IF(ISBLANK($C224),"",IF($BD224&lt;&gt;Constants!$B$6,$BD224,IF(ISNUMBER($BJ224),RANK($BJ224,$BJ$9:$BJ$508,1),COUNT($BJ$9:$BJ$508)+1)))</f>
        <v/>
      </c>
      <c r="BL224" s="130" t="str">
        <f aca="false">IF($BD224&lt;&gt;Constants!$B$6,"",IF($AU224="-&gt;",$BC224,$AT224))</f>
        <v/>
      </c>
      <c r="BM224" s="127" t="str">
        <f aca="false">IF(ISBLANK($C224),"",IF($BD224&lt;&gt;Constants!$B$6,$BD224,IF(ISNUMBER($BL224),RANK($BL224,$BL$9:$BL$508,1),COUNT($BL$9:$BL$508)+1)))</f>
        <v/>
      </c>
      <c r="BN224" s="130" t="str">
        <f aca="false">IF($BD224&lt;&gt;Constants!$B$6,"",IF($AU224="-&gt;",$AS224,$BB224))</f>
        <v/>
      </c>
      <c r="BO224" s="127" t="str">
        <f aca="false">IF(ISBLANK($C224),"",IF($BD224&lt;&gt;Constants!$B$6,$BD224,IF(ISNUMBER($BN224),RANK($BN224,$BN$9:$BN$508,1),COUNT($BN$9:$BN$508)+1)))</f>
        <v/>
      </c>
      <c r="BP224" s="130" t="str">
        <f aca="false">IF($BD224&lt;&gt;Constants!$B$6,"",IF($AU224="-&gt;",$AT224,$BC224))</f>
        <v/>
      </c>
      <c r="BQ224" s="127" t="str">
        <f aca="false">IF(ISBLANK($C224),"",IF($BD224&lt;&gt;Constants!$B$6,$BD224,IF(ISNUMBER($BP224),RANK($BP224,$BP$9:$BP$508,1),COUNT($BP$9:$BP$508)+1)))</f>
        <v/>
      </c>
      <c r="BR224" s="127" t="str">
        <f aca="false">IF(ISBLANK($C224),"",IF($BD224&lt;&gt;Constants!$B$6,$BD224,COUNTIFS($BI$9:$BI$508,"&lt;"&amp;$BI224)+COUNTIFS($BI$9:$BI$508,$BI224,$BK$9:$BK$508,"&lt;"&amp;$BK224)+COUNTIFS($BI$9:$BI$508,$BI224,$BK$9:$BK$508,$BK224,$BM$9:$BM$508,"&lt;"&amp;$BM224)+COUNTIFS($BI$9:$BI$508,$BI224,$BK$9:$BK$508,$BK224,$BM$9:$BM$508,$BM224,$BO$9:$BO$508,"&lt;"&amp;$BO224)+COUNTIFS($BI$9:$BI$508,$BI224,$BK$9:$BK$508,$BK224,$BM$9:$BM$508,$BM224,$BO$9:$BO$508,$BO224,$BQ$9:$BQ$508,"&lt;"&amp;$BQ224)+1))</f>
        <v/>
      </c>
      <c r="BS224" s="127" t="str">
        <f aca="false">IF(ISBLANK($C224),"",IF($BD224&lt;&gt;Constants!$B$6,$BD224,$BI224-$BR224))</f>
        <v/>
      </c>
      <c r="BT224" s="133"/>
      <c r="BU224" s="134"/>
      <c r="BV224" s="134" t="str">
        <f aca="false">IF(ISBLANK($C224),"",IF($BD224&lt;&gt;Constants!$B$6,"",IF($AU224="-&gt;",2,1)))</f>
        <v/>
      </c>
      <c r="BW224" s="135" t="str">
        <f aca="false">IF(ISBLANK($C224),"",IF($BD224&lt;&gt;Constants!$B$6,"",IF($AU224="-&gt;",$AW224,$AN224)))</f>
        <v/>
      </c>
      <c r="BX224" s="135" t="str">
        <f aca="false">IF(ISBLANK($C224),"",IF($BD224&lt;&gt;Constants!$B$6,"",IF($AU224="-&gt;",$AX224,$AO224)))</f>
        <v/>
      </c>
      <c r="BY224" s="135" t="str">
        <f aca="false">IF(ISBLANK($C224),"",IF($BD224&lt;&gt;Constants!$B$6,"",IF($AU224="-&gt;",$AY224,$AP224)))</f>
        <v/>
      </c>
      <c r="BZ224" s="135" t="str">
        <f aca="false">IF(ISBLANK($C224),"",IF($BD224&lt;&gt;Constants!$B$6,"",IF($AU224="-&gt;",$AZ224,$AQ224)+$BG224))</f>
        <v/>
      </c>
      <c r="CA224" s="136" t="str">
        <f aca="false">IF(ISBLANK($C224),"",IF($BD224&lt;&gt;Constants!$B$6,$BD224,$BH224))</f>
        <v/>
      </c>
      <c r="CB224" s="137" t="str">
        <f aca="false">IF(ISBLANK($C224),"",$BE224)</f>
        <v/>
      </c>
      <c r="CC224" s="138" t="str">
        <f aca="false">IF(ISBLANK($C224),"",$BS224)</f>
        <v/>
      </c>
      <c r="CD224" s="138" t="str">
        <f aca="false">IF(ISBLANK($C224),"",$BR224)</f>
        <v/>
      </c>
      <c r="CE224" s="139" t="str">
        <f aca="false">IF(ISBLANK($C224),"",IF($CD224=Constants!$B$9,COUNTA($C$9:$C$508)+2,IF($CD224=Constants!$B$8,COUNTA($C$9:$C$508)+1,IF($CD224=Constants!$B$7,COUNTA($C$9:$C$508),$CD224))))</f>
        <v/>
      </c>
      <c r="CF224" s="9"/>
      <c r="CG224" s="140" t="n">
        <f aca="false">IF(OR(ISNUMBER($CD224),$CD224=Constants!$B$9,$CD224=Constants!$B$7,$CD224=Constants!$B$8),1,0)</f>
        <v>0</v>
      </c>
      <c r="CH224" s="140" t="n">
        <v>216</v>
      </c>
      <c r="CI224" s="140" t="str">
        <f aca="false">IF(ISBLANK($C224),"",IF(ISNUMBER($CE224),$CE224+ROW($B224)/1000,""))</f>
        <v/>
      </c>
      <c r="CJ224" s="140" t="str">
        <f aca="false">IF(ISNUMBER($CI224),RANK($CI224,$CI$9:$CI$508,1),"")</f>
        <v/>
      </c>
      <c r="CK224" s="140" t="str">
        <f aca="false">IF(ISBLANK($C224),"",$B224)</f>
        <v/>
      </c>
      <c r="CL224" s="140" t="str">
        <f aca="false">IF(ISBLANK($C224),"",$C224)</f>
        <v/>
      </c>
      <c r="CM224" s="140" t="str">
        <f aca="false">IF(ISBLANK($C224),"",$D224)</f>
        <v/>
      </c>
      <c r="CN224" s="141" t="str">
        <f aca="false">$CB224</f>
        <v/>
      </c>
      <c r="CO224" s="142" t="str">
        <f aca="false">$CA224</f>
        <v/>
      </c>
      <c r="CP224" s="140" t="str">
        <f aca="false">IF(ISBLANK($C224),"",$CD224)</f>
        <v/>
      </c>
      <c r="CQ224" s="143" t="str">
        <f aca="false">IF($CH224&gt;$CG$8,"",VLOOKUP($CH224,$CJ$9:$CP$508,7,FALSE()))</f>
        <v/>
      </c>
      <c r="CR224" s="144" t="str">
        <f aca="false">IF($CH224&gt;$CG$8,"",VLOOKUP($CH224,$CJ$9:$CP$508,2,FALSE()))</f>
        <v/>
      </c>
      <c r="CS224" s="144" t="str">
        <f aca="false">IF($CH224&gt;$CG$8,"",VLOOKUP($CH224,$CJ$9:$CP$508,3,FALSE()))</f>
        <v/>
      </c>
      <c r="CT224" s="144" t="str">
        <f aca="false">IF($CH224&gt;$CG$8,"",VLOOKUP($CH224,$CJ$9:$CP$508,4,FALSE()))</f>
        <v/>
      </c>
      <c r="CU224" s="144" t="str">
        <f aca="false">IF($CH224&gt;$CG$8,"",VLOOKUP($CH224,$CJ$9:$CP$508,5,FALSE()))</f>
        <v/>
      </c>
      <c r="CV224" s="145" t="str">
        <f aca="false">IF($CH224&gt;$CG$8,"",VLOOKUP($CH224,$CJ$9:$CP$508,6,FALSE()))</f>
        <v/>
      </c>
      <c r="CW224" s="71"/>
    </row>
    <row r="225" customFormat="false" ht="15.75" hidden="false" customHeight="false" outlineLevel="0" collapsed="false">
      <c r="A225" s="9"/>
      <c r="B225" s="72"/>
      <c r="C225" s="73"/>
      <c r="D225" s="160"/>
      <c r="E225" s="168"/>
      <c r="F225" s="162"/>
      <c r="G225" s="163"/>
      <c r="H225" s="169"/>
      <c r="I225" s="167"/>
      <c r="J225" s="80"/>
      <c r="K225" s="81"/>
      <c r="L225" s="82"/>
      <c r="M225" s="166"/>
      <c r="N225" s="167"/>
      <c r="O225" s="167"/>
      <c r="P225" s="80"/>
      <c r="Q225" s="82"/>
      <c r="R225" s="82"/>
      <c r="S225" s="166"/>
      <c r="T225" s="167"/>
      <c r="U225" s="86"/>
      <c r="V225" s="87"/>
      <c r="W225" s="87" t="str">
        <f aca="false">IF(ISBLANK($C225),"",IF(E225=Constants!$B$2,TRUE(),IF(E225=Constants!$B$3,FALSE(),TRUE())))</f>
        <v/>
      </c>
      <c r="X225" s="87" t="str">
        <f aca="false">IF(ISBLANK($C225),"",IF(F225=Constants!$B$2,TRUE(),IF(F225=Constants!$B$3,FALSE(),TRUE())))</f>
        <v/>
      </c>
      <c r="Y225" s="87" t="str">
        <f aca="false">IF(ISBLANK($C225),"",IF(G225=Constants!$B$2,TRUE(),IF(G225=Constants!$B$3,FALSE(),TRUE())))</f>
        <v/>
      </c>
      <c r="Z225" s="87" t="str">
        <f aca="false">IF(ISBLANK($C225),"",IF(H225=Constants!$B$2,TRUE(),IF(H225=Constants!$B$3,FALSE(),TRUE())))</f>
        <v/>
      </c>
      <c r="AA225" s="87" t="str">
        <f aca="false">IF(ISBLANK($C225),"",IF(I225=Constants!$B$2,TRUE(),IF(I225=Constants!$B$3,FALSE(),TRUE())))</f>
        <v/>
      </c>
      <c r="AB225" s="87" t="str">
        <f aca="false">IF(ISBLANK($C225),"",IF(J225=Constants!$B$4,TRUE(),IF(J225=Constants!$B$5,FALSE(),COUNTA(K225:M225)&gt;0)))</f>
        <v/>
      </c>
      <c r="AC225" s="88" t="str">
        <f aca="false">IF(ISBLANK($C225),"",IF(ISNUMBER(K225),IF(K225&gt;=0,K225,""),""))</f>
        <v/>
      </c>
      <c r="AD225" s="89" t="str">
        <f aca="false">IF(ISBLANK($C225),"",IF(ISNUMBER(L225),IF(L225&gt;=0,L225,""),""))</f>
        <v/>
      </c>
      <c r="AE225" s="87" t="str">
        <f aca="false">IF(ISBLANK($C225),"",IF(ISNUMBER(M225),IF(M225&gt;=0,MIN(M225,Constants!$B$22),""),""))</f>
        <v/>
      </c>
      <c r="AF225" s="87" t="str">
        <f aca="false">IF(ISBLANK($C225),"",IF(N225=Constants!$B$2,TRUE(),IF(N225=Constants!$B$3,FALSE(),TRUE())))</f>
        <v/>
      </c>
      <c r="AG225" s="87" t="str">
        <f aca="false">IF(ISBLANK($C225),"",IF(O225=Constants!$B$2,TRUE(),IF(O225=Constants!$B$3,FALSE(),TRUE())))</f>
        <v/>
      </c>
      <c r="AH225" s="87" t="str">
        <f aca="false">IF(ISBLANK($C225),"",IF(P225=Constants!$B$4,TRUE(),IF(P225=Constants!$B$5,FALSE(),COUNTA(Q225:S225)&gt;0)))</f>
        <v/>
      </c>
      <c r="AI225" s="88" t="str">
        <f aca="false">IF(ISBLANK($C225),"",IF(ISNUMBER(Q225),IF(Q225&gt;=0,Q225,""),""))</f>
        <v/>
      </c>
      <c r="AJ225" s="89" t="str">
        <f aca="false">IF(ISBLANK($C225),"",IF(ISNUMBER(R225),IF(R225&gt;=0,R225,""),""))</f>
        <v/>
      </c>
      <c r="AK225" s="87" t="str">
        <f aca="false">IF(ISBLANK($C225),"",IF(ISNUMBER(S225),IF(S225&gt;=0,MIN(S225,Constants!$B$22),""),""))</f>
        <v/>
      </c>
      <c r="AL225" s="87" t="str">
        <f aca="false">IF(ISBLANK($C225),"",IF(T225=Constants!$B$2,TRUE(),IF(T225=Constants!$B$3,FALSE(),FALSE())))</f>
        <v/>
      </c>
      <c r="AM225" s="86" t="str">
        <f aca="false">IF(ISBLANK($C225),"",AND($AB225,OR($AC225="",$AD225="",AND(NOT(ISBLANK($M225)),$AE225=""))))</f>
        <v/>
      </c>
      <c r="AN225" s="89" t="str">
        <f aca="false">IF($BD225&lt;&gt;Constants!$B$6,"",IF($AB225,Constants!$B$17*$AD225,Constants!$B$18))</f>
        <v/>
      </c>
      <c r="AO225" s="91" t="str">
        <f aca="false">IF($BD225&lt;&gt;Constants!$B$6,"",Constants!$B$19*IF($AB225,$AC225,0))</f>
        <v/>
      </c>
      <c r="AP225" s="91" t="str">
        <f aca="false">IF($BD225&lt;&gt;Constants!$B$6,"",IF(AND($AB225,ISNUMBER($AE225)),Constants!$B$20*(Constants!$B$21-$AE225),0))</f>
        <v/>
      </c>
      <c r="AQ225" s="91" t="str">
        <f aca="false">IF($BD225&lt;&gt;Constants!$B$6,"",IF($AA225,0,Constants!$B$12)+IF($Z225,0,Constants!$B$13)+IF($Y225,0,Constants!$B$14))</f>
        <v/>
      </c>
      <c r="AR225" s="92" t="str">
        <f aca="false">IF($BD225&lt;&gt;Constants!$B$6,"",Constants!$B$16+SUM($AN225:$AQ225))</f>
        <v/>
      </c>
      <c r="AS225" s="91" t="str">
        <f aca="false">IF($BD225&lt;&gt;Constants!$B$6,"",IF($AB225,$AD225,""))</f>
        <v/>
      </c>
      <c r="AT225" s="93" t="str">
        <f aca="false">IF($BD225&lt;&gt;Constants!$B$6,"",$AO225)</f>
        <v/>
      </c>
      <c r="AU225" s="87" t="str">
        <f aca="false">IF($BD225&lt;&gt;Constants!$B$6,"",IF(OR($BA225&lt;$AR225,AND($BA225=$AR225,OR(AND(ISNUMBER($BB225),OR(NOT(ISNUMBER($AS225)),$BB225&lt;$AS225)),AND(OR(AND($BB225="",$AS225=""),AND(ISNUMBER($BB225),ISNUMBER($AS225),$BB225=$AS225)),$BC225&lt;$AT225)))),"-&gt;","&lt;-"))</f>
        <v/>
      </c>
      <c r="AV225" s="86" t="str">
        <f aca="false">IF(ISBLANK($C225),"",AND($AH225,OR($AI225="",$AJ225="",AND(NOT(ISBLANK($S225)),$AK225=""))))</f>
        <v/>
      </c>
      <c r="AW225" s="89" t="str">
        <f aca="false">IF($BD225&lt;&gt;Constants!$B$6,"",IF($AH225,Constants!$B$17*$AJ225,Constants!$B$18))</f>
        <v/>
      </c>
      <c r="AX225" s="91" t="str">
        <f aca="false">IF($BD225&lt;&gt;Constants!$B$6,"",Constants!$B$19*IF($AH225,$AI225,0))</f>
        <v/>
      </c>
      <c r="AY225" s="91" t="str">
        <f aca="false">IF($BD225&lt;&gt;Constants!$B$6,"",IF(AND($AH225,ISNUMBER($AK225)),Constants!$B$20*(Constants!$B$21-$AK225),0))</f>
        <v/>
      </c>
      <c r="AZ225" s="91" t="str">
        <f aca="false">IF($BD225&lt;&gt;Constants!$B$6,"",IF($AG225,0,Constants!$B$12)+IF($AF225,0,Constants!$B$13)+IF($Y225,0,Constants!$B$14))</f>
        <v/>
      </c>
      <c r="BA225" s="92" t="str">
        <f aca="false">IF($BD225&lt;&gt;Constants!$B$6,"",Constants!$B$16+SUM($AW225:$AZ225))</f>
        <v/>
      </c>
      <c r="BB225" s="91" t="str">
        <f aca="false">IF($BD225&lt;&gt;Constants!$B$6,"",IF($AH225,$AJ225,""))</f>
        <v/>
      </c>
      <c r="BC225" s="93" t="str">
        <f aca="false">IF($BD225&lt;&gt;Constants!$B$6,"",$AX225)</f>
        <v/>
      </c>
      <c r="BD225" s="87" t="str">
        <f aca="false">IF(ISBLANK($C225),"",IF($AL225,Constants!$B$9,IF(COUNTA($E225:$T225)=0,Constants!$B$8,IF(NOT($X225),Constants!$B$7,IF(OR($AM225,$AV225),Constants!$B$10,Constants!$B$6)))))</f>
        <v/>
      </c>
      <c r="BE225" s="87" t="str">
        <f aca="false">IF(ISBLANK($C225),"",IF($BD225&lt;&gt;Constants!$B$6,$BD225,Constants!$B$11))</f>
        <v/>
      </c>
      <c r="BF225" s="91" t="str">
        <f aca="false">IF($BD225&lt;&gt;Constants!$B$6,"",IF($AU225="-&gt;",$BA225,$AR225))</f>
        <v/>
      </c>
      <c r="BG225" s="91" t="str">
        <f aca="false">IF($BD225&lt;&gt;Constants!$B$6,"",IF($W225,0,Constants!$B$15))</f>
        <v/>
      </c>
      <c r="BH225" s="91" t="str">
        <f aca="false">IF(ISBLANK($C225),"",IF($BD225&lt;&gt;Constants!$B$6,$BD225,SUM($BF225:$BG225)))</f>
        <v/>
      </c>
      <c r="BI225" s="87" t="str">
        <f aca="false">IF(ISBLANK($C225),"",IF($BD225&lt;&gt;Constants!$B$6,$BD225,RANK($BH225,$BH$9:$BH$508,1)))</f>
        <v/>
      </c>
      <c r="BJ225" s="91" t="str">
        <f aca="false">IF($BD225&lt;&gt;Constants!$B$6,"",IF($AU225="-&gt;",$BB225,$AS225))</f>
        <v/>
      </c>
      <c r="BK225" s="87" t="str">
        <f aca="false">IF(ISBLANK($C225),"",IF($BD225&lt;&gt;Constants!$B$6,$BD225,IF(ISNUMBER($BJ225),RANK($BJ225,$BJ$9:$BJ$508,1),COUNT($BJ$9:$BJ$508)+1)))</f>
        <v/>
      </c>
      <c r="BL225" s="91" t="str">
        <f aca="false">IF($BD225&lt;&gt;Constants!$B$6,"",IF($AU225="-&gt;",$BC225,$AT225))</f>
        <v/>
      </c>
      <c r="BM225" s="87" t="str">
        <f aca="false">IF(ISBLANK($C225),"",IF($BD225&lt;&gt;Constants!$B$6,$BD225,IF(ISNUMBER($BL225),RANK($BL225,$BL$9:$BL$508,1),COUNT($BL$9:$BL$508)+1)))</f>
        <v/>
      </c>
      <c r="BN225" s="91" t="str">
        <f aca="false">IF($BD225&lt;&gt;Constants!$B$6,"",IF($AU225="-&gt;",$AS225,$BB225))</f>
        <v/>
      </c>
      <c r="BO225" s="87" t="str">
        <f aca="false">IF(ISBLANK($C225),"",IF($BD225&lt;&gt;Constants!$B$6,$BD225,IF(ISNUMBER($BN225),RANK($BN225,$BN$9:$BN$508,1),COUNT($BN$9:$BN$508)+1)))</f>
        <v/>
      </c>
      <c r="BP225" s="91" t="str">
        <f aca="false">IF($BD225&lt;&gt;Constants!$B$6,"",IF($AU225="-&gt;",$AT225,$BC225))</f>
        <v/>
      </c>
      <c r="BQ225" s="87" t="str">
        <f aca="false">IF(ISBLANK($C225),"",IF($BD225&lt;&gt;Constants!$B$6,$BD225,IF(ISNUMBER($BP225),RANK($BP225,$BP$9:$BP$508,1),COUNT($BP$9:$BP$508)+1)))</f>
        <v/>
      </c>
      <c r="BR225" s="87" t="str">
        <f aca="false">IF(ISBLANK($C225),"",IF($BD225&lt;&gt;Constants!$B$6,$BD225,COUNTIFS($BI$9:$BI$508,"&lt;"&amp;$BI225)+COUNTIFS($BI$9:$BI$508,$BI225,$BK$9:$BK$508,"&lt;"&amp;$BK225)+COUNTIFS($BI$9:$BI$508,$BI225,$BK$9:$BK$508,$BK225,$BM$9:$BM$508,"&lt;"&amp;$BM225)+COUNTIFS($BI$9:$BI$508,$BI225,$BK$9:$BK$508,$BK225,$BM$9:$BM$508,$BM225,$BO$9:$BO$508,"&lt;"&amp;$BO225)+COUNTIFS($BI$9:$BI$508,$BI225,$BK$9:$BK$508,$BK225,$BM$9:$BM$508,$BM225,$BO$9:$BO$508,$BO225,$BQ$9:$BQ$508,"&lt;"&amp;$BQ225)+1))</f>
        <v/>
      </c>
      <c r="BS225" s="87" t="str">
        <f aca="false">IF(ISBLANK($C225),"",IF($BD225&lt;&gt;Constants!$B$6,$BD225,$BI225-$BR225))</f>
        <v/>
      </c>
      <c r="BT225" s="94"/>
      <c r="BU225" s="95"/>
      <c r="BV225" s="95" t="str">
        <f aca="false">IF(ISBLANK($C225),"",IF($BD225&lt;&gt;Constants!$B$6,"",IF($AU225="-&gt;",2,1)))</f>
        <v/>
      </c>
      <c r="BW225" s="96" t="str">
        <f aca="false">IF(ISBLANK($C225),"",IF($BD225&lt;&gt;Constants!$B$6,"",IF($AU225="-&gt;",$AW225,$AN225)))</f>
        <v/>
      </c>
      <c r="BX225" s="96" t="str">
        <f aca="false">IF(ISBLANK($C225),"",IF($BD225&lt;&gt;Constants!$B$6,"",IF($AU225="-&gt;",$AX225,$AO225)))</f>
        <v/>
      </c>
      <c r="BY225" s="96" t="str">
        <f aca="false">IF(ISBLANK($C225),"",IF($BD225&lt;&gt;Constants!$B$6,"",IF($AU225="-&gt;",$AY225,$AP225)))</f>
        <v/>
      </c>
      <c r="BZ225" s="96" t="str">
        <f aca="false">IF(ISBLANK($C225),"",IF($BD225&lt;&gt;Constants!$B$6,"",IF($AU225="-&gt;",$AZ225,$AQ225)+$BG225))</f>
        <v/>
      </c>
      <c r="CA225" s="97" t="str">
        <f aca="false">IF(ISBLANK($C225),"",IF($BD225&lt;&gt;Constants!$B$6,$BD225,$BH225))</f>
        <v/>
      </c>
      <c r="CB225" s="98" t="str">
        <f aca="false">IF(ISBLANK($C225),"",$BE225)</f>
        <v/>
      </c>
      <c r="CC225" s="99" t="str">
        <f aca="false">IF(ISBLANK($C225),"",$BS225)</f>
        <v/>
      </c>
      <c r="CD225" s="99" t="str">
        <f aca="false">IF(ISBLANK($C225),"",$BR225)</f>
        <v/>
      </c>
      <c r="CE225" s="100" t="str">
        <f aca="false">IF(ISBLANK($C225),"",IF($CD225=Constants!$B$9,COUNTA($C$9:$C$508)+2,IF($CD225=Constants!$B$8,COUNTA($C$9:$C$508)+1,IF($CD225=Constants!$B$7,COUNTA($C$9:$C$508),$CD225))))</f>
        <v/>
      </c>
      <c r="CF225" s="9"/>
      <c r="CG225" s="101" t="n">
        <f aca="false">IF(OR(ISNUMBER($CD225),$CD225=Constants!$B$9,$CD225=Constants!$B$7,$CD225=Constants!$B$8),1,0)</f>
        <v>0</v>
      </c>
      <c r="CH225" s="101" t="n">
        <v>217</v>
      </c>
      <c r="CI225" s="101" t="str">
        <f aca="false">IF(ISBLANK($C225),"",IF(ISNUMBER($CE225),$CE225+ROW($B225)/1000,""))</f>
        <v/>
      </c>
      <c r="CJ225" s="101" t="str">
        <f aca="false">IF(ISNUMBER($CI225),RANK($CI225,$CI$9:$CI$508,1),"")</f>
        <v/>
      </c>
      <c r="CK225" s="101" t="str">
        <f aca="false">IF(ISBLANK($C225),"",$B225)</f>
        <v/>
      </c>
      <c r="CL225" s="101" t="str">
        <f aca="false">IF(ISBLANK($C225),"",$C225)</f>
        <v/>
      </c>
      <c r="CM225" s="101" t="str">
        <f aca="false">IF(ISBLANK($C225),"",$D225)</f>
        <v/>
      </c>
      <c r="CN225" s="102" t="str">
        <f aca="false">$CB225</f>
        <v/>
      </c>
      <c r="CO225" s="103" t="str">
        <f aca="false">$CA225</f>
        <v/>
      </c>
      <c r="CP225" s="101" t="str">
        <f aca="false">IF(ISBLANK($C225),"",$CD225)</f>
        <v/>
      </c>
      <c r="CQ225" s="104" t="str">
        <f aca="false">IF($CH225&gt;$CG$8,"",VLOOKUP($CH225,$CJ$9:$CP$508,7,FALSE()))</f>
        <v/>
      </c>
      <c r="CR225" s="105" t="str">
        <f aca="false">IF($CH225&gt;$CG$8,"",VLOOKUP($CH225,$CJ$9:$CP$508,2,FALSE()))</f>
        <v/>
      </c>
      <c r="CS225" s="105" t="str">
        <f aca="false">IF($CH225&gt;$CG$8,"",VLOOKUP($CH225,$CJ$9:$CP$508,3,FALSE()))</f>
        <v/>
      </c>
      <c r="CT225" s="105" t="str">
        <f aca="false">IF($CH225&gt;$CG$8,"",VLOOKUP($CH225,$CJ$9:$CP$508,4,FALSE()))</f>
        <v/>
      </c>
      <c r="CU225" s="105" t="str">
        <f aca="false">IF($CH225&gt;$CG$8,"",VLOOKUP($CH225,$CJ$9:$CP$508,5,FALSE()))</f>
        <v/>
      </c>
      <c r="CV225" s="106" t="str">
        <f aca="false">IF($CH225&gt;$CG$8,"",VLOOKUP($CH225,$CJ$9:$CP$508,6,FALSE()))</f>
        <v/>
      </c>
      <c r="CW225" s="71"/>
    </row>
    <row r="226" customFormat="false" ht="15.75" hidden="false" customHeight="false" outlineLevel="0" collapsed="false">
      <c r="A226" s="9"/>
      <c r="B226" s="72"/>
      <c r="C226" s="73"/>
      <c r="D226" s="160"/>
      <c r="E226" s="168"/>
      <c r="F226" s="162"/>
      <c r="G226" s="163"/>
      <c r="H226" s="169"/>
      <c r="I226" s="167"/>
      <c r="J226" s="80"/>
      <c r="K226" s="81"/>
      <c r="L226" s="82"/>
      <c r="M226" s="166"/>
      <c r="N226" s="167"/>
      <c r="O226" s="167"/>
      <c r="P226" s="80"/>
      <c r="Q226" s="82"/>
      <c r="R226" s="82"/>
      <c r="S226" s="166"/>
      <c r="T226" s="167"/>
      <c r="U226" s="86"/>
      <c r="V226" s="87"/>
      <c r="W226" s="87" t="str">
        <f aca="false">IF(ISBLANK($C226),"",IF(E226=Constants!$B$2,TRUE(),IF(E226=Constants!$B$3,FALSE(),TRUE())))</f>
        <v/>
      </c>
      <c r="X226" s="87" t="str">
        <f aca="false">IF(ISBLANK($C226),"",IF(F226=Constants!$B$2,TRUE(),IF(F226=Constants!$B$3,FALSE(),TRUE())))</f>
        <v/>
      </c>
      <c r="Y226" s="87" t="str">
        <f aca="false">IF(ISBLANK($C226),"",IF(G226=Constants!$B$2,TRUE(),IF(G226=Constants!$B$3,FALSE(),TRUE())))</f>
        <v/>
      </c>
      <c r="Z226" s="87" t="str">
        <f aca="false">IF(ISBLANK($C226),"",IF(H226=Constants!$B$2,TRUE(),IF(H226=Constants!$B$3,FALSE(),TRUE())))</f>
        <v/>
      </c>
      <c r="AA226" s="87" t="str">
        <f aca="false">IF(ISBLANK($C226),"",IF(I226=Constants!$B$2,TRUE(),IF(I226=Constants!$B$3,FALSE(),TRUE())))</f>
        <v/>
      </c>
      <c r="AB226" s="87" t="str">
        <f aca="false">IF(ISBLANK($C226),"",IF(J226=Constants!$B$4,TRUE(),IF(J226=Constants!$B$5,FALSE(),COUNTA(K226:M226)&gt;0)))</f>
        <v/>
      </c>
      <c r="AC226" s="88" t="str">
        <f aca="false">IF(ISBLANK($C226),"",IF(ISNUMBER(K226),IF(K226&gt;=0,K226,""),""))</f>
        <v/>
      </c>
      <c r="AD226" s="89" t="str">
        <f aca="false">IF(ISBLANK($C226),"",IF(ISNUMBER(L226),IF(L226&gt;=0,L226,""),""))</f>
        <v/>
      </c>
      <c r="AE226" s="87" t="str">
        <f aca="false">IF(ISBLANK($C226),"",IF(ISNUMBER(M226),IF(M226&gt;=0,MIN(M226,Constants!$B$22),""),""))</f>
        <v/>
      </c>
      <c r="AF226" s="87" t="str">
        <f aca="false">IF(ISBLANK($C226),"",IF(N226=Constants!$B$2,TRUE(),IF(N226=Constants!$B$3,FALSE(),TRUE())))</f>
        <v/>
      </c>
      <c r="AG226" s="87" t="str">
        <f aca="false">IF(ISBLANK($C226),"",IF(O226=Constants!$B$2,TRUE(),IF(O226=Constants!$B$3,FALSE(),TRUE())))</f>
        <v/>
      </c>
      <c r="AH226" s="87" t="str">
        <f aca="false">IF(ISBLANK($C226),"",IF(P226=Constants!$B$4,TRUE(),IF(P226=Constants!$B$5,FALSE(),COUNTA(Q226:S226)&gt;0)))</f>
        <v/>
      </c>
      <c r="AI226" s="88" t="str">
        <f aca="false">IF(ISBLANK($C226),"",IF(ISNUMBER(Q226),IF(Q226&gt;=0,Q226,""),""))</f>
        <v/>
      </c>
      <c r="AJ226" s="89" t="str">
        <f aca="false">IF(ISBLANK($C226),"",IF(ISNUMBER(R226),IF(R226&gt;=0,R226,""),""))</f>
        <v/>
      </c>
      <c r="AK226" s="87" t="str">
        <f aca="false">IF(ISBLANK($C226),"",IF(ISNUMBER(S226),IF(S226&gt;=0,MIN(S226,Constants!$B$22),""),""))</f>
        <v/>
      </c>
      <c r="AL226" s="87" t="str">
        <f aca="false">IF(ISBLANK($C226),"",IF(T226=Constants!$B$2,TRUE(),IF(T226=Constants!$B$3,FALSE(),FALSE())))</f>
        <v/>
      </c>
      <c r="AM226" s="86" t="str">
        <f aca="false">IF(ISBLANK($C226),"",AND($AB226,OR($AC226="",$AD226="",AND(NOT(ISBLANK($M226)),$AE226=""))))</f>
        <v/>
      </c>
      <c r="AN226" s="89" t="str">
        <f aca="false">IF($BD226&lt;&gt;Constants!$B$6,"",IF($AB226,Constants!$B$17*$AD226,Constants!$B$18))</f>
        <v/>
      </c>
      <c r="AO226" s="91" t="str">
        <f aca="false">IF($BD226&lt;&gt;Constants!$B$6,"",Constants!$B$19*IF($AB226,$AC226,0))</f>
        <v/>
      </c>
      <c r="AP226" s="91" t="str">
        <f aca="false">IF($BD226&lt;&gt;Constants!$B$6,"",IF(AND($AB226,ISNUMBER($AE226)),Constants!$B$20*(Constants!$B$21-$AE226),0))</f>
        <v/>
      </c>
      <c r="AQ226" s="91" t="str">
        <f aca="false">IF($BD226&lt;&gt;Constants!$B$6,"",IF($AA226,0,Constants!$B$12)+IF($Z226,0,Constants!$B$13)+IF($Y226,0,Constants!$B$14))</f>
        <v/>
      </c>
      <c r="AR226" s="92" t="str">
        <f aca="false">IF($BD226&lt;&gt;Constants!$B$6,"",Constants!$B$16+SUM($AN226:$AQ226))</f>
        <v/>
      </c>
      <c r="AS226" s="91" t="str">
        <f aca="false">IF($BD226&lt;&gt;Constants!$B$6,"",IF($AB226,$AD226,""))</f>
        <v/>
      </c>
      <c r="AT226" s="93" t="str">
        <f aca="false">IF($BD226&lt;&gt;Constants!$B$6,"",$AO226)</f>
        <v/>
      </c>
      <c r="AU226" s="87" t="str">
        <f aca="false">IF($BD226&lt;&gt;Constants!$B$6,"",IF(OR($BA226&lt;$AR226,AND($BA226=$AR226,OR(AND(ISNUMBER($BB226),OR(NOT(ISNUMBER($AS226)),$BB226&lt;$AS226)),AND(OR(AND($BB226="",$AS226=""),AND(ISNUMBER($BB226),ISNUMBER($AS226),$BB226=$AS226)),$BC226&lt;$AT226)))),"-&gt;","&lt;-"))</f>
        <v/>
      </c>
      <c r="AV226" s="86" t="str">
        <f aca="false">IF(ISBLANK($C226),"",AND($AH226,OR($AI226="",$AJ226="",AND(NOT(ISBLANK($S226)),$AK226=""))))</f>
        <v/>
      </c>
      <c r="AW226" s="89" t="str">
        <f aca="false">IF($BD226&lt;&gt;Constants!$B$6,"",IF($AH226,Constants!$B$17*$AJ226,Constants!$B$18))</f>
        <v/>
      </c>
      <c r="AX226" s="91" t="str">
        <f aca="false">IF($BD226&lt;&gt;Constants!$B$6,"",Constants!$B$19*IF($AH226,$AI226,0))</f>
        <v/>
      </c>
      <c r="AY226" s="91" t="str">
        <f aca="false">IF($BD226&lt;&gt;Constants!$B$6,"",IF(AND($AH226,ISNUMBER($AK226)),Constants!$B$20*(Constants!$B$21-$AK226),0))</f>
        <v/>
      </c>
      <c r="AZ226" s="91" t="str">
        <f aca="false">IF($BD226&lt;&gt;Constants!$B$6,"",IF($AG226,0,Constants!$B$12)+IF($AF226,0,Constants!$B$13)+IF($Y226,0,Constants!$B$14))</f>
        <v/>
      </c>
      <c r="BA226" s="92" t="str">
        <f aca="false">IF($BD226&lt;&gt;Constants!$B$6,"",Constants!$B$16+SUM($AW226:$AZ226))</f>
        <v/>
      </c>
      <c r="BB226" s="91" t="str">
        <f aca="false">IF($BD226&lt;&gt;Constants!$B$6,"",IF($AH226,$AJ226,""))</f>
        <v/>
      </c>
      <c r="BC226" s="93" t="str">
        <f aca="false">IF($BD226&lt;&gt;Constants!$B$6,"",$AX226)</f>
        <v/>
      </c>
      <c r="BD226" s="87" t="str">
        <f aca="false">IF(ISBLANK($C226),"",IF($AL226,Constants!$B$9,IF(COUNTA($E226:$T226)=0,Constants!$B$8,IF(NOT($X226),Constants!$B$7,IF(OR($AM226,$AV226),Constants!$B$10,Constants!$B$6)))))</f>
        <v/>
      </c>
      <c r="BE226" s="87" t="str">
        <f aca="false">IF(ISBLANK($C226),"",IF($BD226&lt;&gt;Constants!$B$6,$BD226,Constants!$B$11))</f>
        <v/>
      </c>
      <c r="BF226" s="91" t="str">
        <f aca="false">IF($BD226&lt;&gt;Constants!$B$6,"",IF($AU226="-&gt;",$BA226,$AR226))</f>
        <v/>
      </c>
      <c r="BG226" s="91" t="str">
        <f aca="false">IF($BD226&lt;&gt;Constants!$B$6,"",IF($W226,0,Constants!$B$15))</f>
        <v/>
      </c>
      <c r="BH226" s="91" t="str">
        <f aca="false">IF(ISBLANK($C226),"",IF($BD226&lt;&gt;Constants!$B$6,$BD226,SUM($BF226:$BG226)))</f>
        <v/>
      </c>
      <c r="BI226" s="87" t="str">
        <f aca="false">IF(ISBLANK($C226),"",IF($BD226&lt;&gt;Constants!$B$6,$BD226,RANK($BH226,$BH$9:$BH$508,1)))</f>
        <v/>
      </c>
      <c r="BJ226" s="91" t="str">
        <f aca="false">IF($BD226&lt;&gt;Constants!$B$6,"",IF($AU226="-&gt;",$BB226,$AS226))</f>
        <v/>
      </c>
      <c r="BK226" s="87" t="str">
        <f aca="false">IF(ISBLANK($C226),"",IF($BD226&lt;&gt;Constants!$B$6,$BD226,IF(ISNUMBER($BJ226),RANK($BJ226,$BJ$9:$BJ$508,1),COUNT($BJ$9:$BJ$508)+1)))</f>
        <v/>
      </c>
      <c r="BL226" s="91" t="str">
        <f aca="false">IF($BD226&lt;&gt;Constants!$B$6,"",IF($AU226="-&gt;",$BC226,$AT226))</f>
        <v/>
      </c>
      <c r="BM226" s="87" t="str">
        <f aca="false">IF(ISBLANK($C226),"",IF($BD226&lt;&gt;Constants!$B$6,$BD226,IF(ISNUMBER($BL226),RANK($BL226,$BL$9:$BL$508,1),COUNT($BL$9:$BL$508)+1)))</f>
        <v/>
      </c>
      <c r="BN226" s="91" t="str">
        <f aca="false">IF($BD226&lt;&gt;Constants!$B$6,"",IF($AU226="-&gt;",$AS226,$BB226))</f>
        <v/>
      </c>
      <c r="BO226" s="87" t="str">
        <f aca="false">IF(ISBLANK($C226),"",IF($BD226&lt;&gt;Constants!$B$6,$BD226,IF(ISNUMBER($BN226),RANK($BN226,$BN$9:$BN$508,1),COUNT($BN$9:$BN$508)+1)))</f>
        <v/>
      </c>
      <c r="BP226" s="91" t="str">
        <f aca="false">IF($BD226&lt;&gt;Constants!$B$6,"",IF($AU226="-&gt;",$AT226,$BC226))</f>
        <v/>
      </c>
      <c r="BQ226" s="87" t="str">
        <f aca="false">IF(ISBLANK($C226),"",IF($BD226&lt;&gt;Constants!$B$6,$BD226,IF(ISNUMBER($BP226),RANK($BP226,$BP$9:$BP$508,1),COUNT($BP$9:$BP$508)+1)))</f>
        <v/>
      </c>
      <c r="BR226" s="87" t="str">
        <f aca="false">IF(ISBLANK($C226),"",IF($BD226&lt;&gt;Constants!$B$6,$BD226,COUNTIFS($BI$9:$BI$508,"&lt;"&amp;$BI226)+COUNTIFS($BI$9:$BI$508,$BI226,$BK$9:$BK$508,"&lt;"&amp;$BK226)+COUNTIFS($BI$9:$BI$508,$BI226,$BK$9:$BK$508,$BK226,$BM$9:$BM$508,"&lt;"&amp;$BM226)+COUNTIFS($BI$9:$BI$508,$BI226,$BK$9:$BK$508,$BK226,$BM$9:$BM$508,$BM226,$BO$9:$BO$508,"&lt;"&amp;$BO226)+COUNTIFS($BI$9:$BI$508,$BI226,$BK$9:$BK$508,$BK226,$BM$9:$BM$508,$BM226,$BO$9:$BO$508,$BO226,$BQ$9:$BQ$508,"&lt;"&amp;$BQ226)+1))</f>
        <v/>
      </c>
      <c r="BS226" s="87" t="str">
        <f aca="false">IF(ISBLANK($C226),"",IF($BD226&lt;&gt;Constants!$B$6,$BD226,$BI226-$BR226))</f>
        <v/>
      </c>
      <c r="BT226" s="94"/>
      <c r="BU226" s="95"/>
      <c r="BV226" s="95" t="str">
        <f aca="false">IF(ISBLANK($C226),"",IF($BD226&lt;&gt;Constants!$B$6,"",IF($AU226="-&gt;",2,1)))</f>
        <v/>
      </c>
      <c r="BW226" s="96" t="str">
        <f aca="false">IF(ISBLANK($C226),"",IF($BD226&lt;&gt;Constants!$B$6,"",IF($AU226="-&gt;",$AW226,$AN226)))</f>
        <v/>
      </c>
      <c r="BX226" s="96" t="str">
        <f aca="false">IF(ISBLANK($C226),"",IF($BD226&lt;&gt;Constants!$B$6,"",IF($AU226="-&gt;",$AX226,$AO226)))</f>
        <v/>
      </c>
      <c r="BY226" s="96" t="str">
        <f aca="false">IF(ISBLANK($C226),"",IF($BD226&lt;&gt;Constants!$B$6,"",IF($AU226="-&gt;",$AY226,$AP226)))</f>
        <v/>
      </c>
      <c r="BZ226" s="96" t="str">
        <f aca="false">IF(ISBLANK($C226),"",IF($BD226&lt;&gt;Constants!$B$6,"",IF($AU226="-&gt;",$AZ226,$AQ226)+$BG226))</f>
        <v/>
      </c>
      <c r="CA226" s="97" t="str">
        <f aca="false">IF(ISBLANK($C226),"",IF($BD226&lt;&gt;Constants!$B$6,$BD226,$BH226))</f>
        <v/>
      </c>
      <c r="CB226" s="98" t="str">
        <f aca="false">IF(ISBLANK($C226),"",$BE226)</f>
        <v/>
      </c>
      <c r="CC226" s="99" t="str">
        <f aca="false">IF(ISBLANK($C226),"",$BS226)</f>
        <v/>
      </c>
      <c r="CD226" s="99" t="str">
        <f aca="false">IF(ISBLANK($C226),"",$BR226)</f>
        <v/>
      </c>
      <c r="CE226" s="100" t="str">
        <f aca="false">IF(ISBLANK($C226),"",IF($CD226=Constants!$B$9,COUNTA($C$9:$C$508)+2,IF($CD226=Constants!$B$8,COUNTA($C$9:$C$508)+1,IF($CD226=Constants!$B$7,COUNTA($C$9:$C$508),$CD226))))</f>
        <v/>
      </c>
      <c r="CF226" s="9"/>
      <c r="CG226" s="101" t="n">
        <f aca="false">IF(OR(ISNUMBER($CD226),$CD226=Constants!$B$9,$CD226=Constants!$B$7,$CD226=Constants!$B$8),1,0)</f>
        <v>0</v>
      </c>
      <c r="CH226" s="101" t="n">
        <v>218</v>
      </c>
      <c r="CI226" s="101" t="str">
        <f aca="false">IF(ISBLANK($C226),"",IF(ISNUMBER($CE226),$CE226+ROW($B226)/1000,""))</f>
        <v/>
      </c>
      <c r="CJ226" s="101" t="str">
        <f aca="false">IF(ISNUMBER($CI226),RANK($CI226,$CI$9:$CI$508,1),"")</f>
        <v/>
      </c>
      <c r="CK226" s="101" t="str">
        <f aca="false">IF(ISBLANK($C226),"",$B226)</f>
        <v/>
      </c>
      <c r="CL226" s="101" t="str">
        <f aca="false">IF(ISBLANK($C226),"",$C226)</f>
        <v/>
      </c>
      <c r="CM226" s="101" t="str">
        <f aca="false">IF(ISBLANK($C226),"",$D226)</f>
        <v/>
      </c>
      <c r="CN226" s="102" t="str">
        <f aca="false">$CB226</f>
        <v/>
      </c>
      <c r="CO226" s="103" t="str">
        <f aca="false">$CA226</f>
        <v/>
      </c>
      <c r="CP226" s="101" t="str">
        <f aca="false">IF(ISBLANK($C226),"",$CD226)</f>
        <v/>
      </c>
      <c r="CQ226" s="104" t="str">
        <f aca="false">IF($CH226&gt;$CG$8,"",VLOOKUP($CH226,$CJ$9:$CP$508,7,FALSE()))</f>
        <v/>
      </c>
      <c r="CR226" s="105" t="str">
        <f aca="false">IF($CH226&gt;$CG$8,"",VLOOKUP($CH226,$CJ$9:$CP$508,2,FALSE()))</f>
        <v/>
      </c>
      <c r="CS226" s="105" t="str">
        <f aca="false">IF($CH226&gt;$CG$8,"",VLOOKUP($CH226,$CJ$9:$CP$508,3,FALSE()))</f>
        <v/>
      </c>
      <c r="CT226" s="105" t="str">
        <f aca="false">IF($CH226&gt;$CG$8,"",VLOOKUP($CH226,$CJ$9:$CP$508,4,FALSE()))</f>
        <v/>
      </c>
      <c r="CU226" s="105" t="str">
        <f aca="false">IF($CH226&gt;$CG$8,"",VLOOKUP($CH226,$CJ$9:$CP$508,5,FALSE()))</f>
        <v/>
      </c>
      <c r="CV226" s="106" t="str">
        <f aca="false">IF($CH226&gt;$CG$8,"",VLOOKUP($CH226,$CJ$9:$CP$508,6,FALSE()))</f>
        <v/>
      </c>
      <c r="CW226" s="71"/>
    </row>
    <row r="227" customFormat="false" ht="15.75" hidden="false" customHeight="false" outlineLevel="0" collapsed="false">
      <c r="A227" s="9"/>
      <c r="B227" s="72"/>
      <c r="C227" s="73"/>
      <c r="D227" s="160"/>
      <c r="E227" s="168"/>
      <c r="F227" s="162"/>
      <c r="G227" s="163"/>
      <c r="H227" s="169"/>
      <c r="I227" s="167"/>
      <c r="J227" s="80"/>
      <c r="K227" s="81"/>
      <c r="L227" s="82"/>
      <c r="M227" s="166"/>
      <c r="N227" s="167"/>
      <c r="O227" s="167"/>
      <c r="P227" s="80"/>
      <c r="Q227" s="82"/>
      <c r="R227" s="82"/>
      <c r="S227" s="166"/>
      <c r="T227" s="167"/>
      <c r="U227" s="86"/>
      <c r="V227" s="87"/>
      <c r="W227" s="87" t="str">
        <f aca="false">IF(ISBLANK($C227),"",IF(E227=Constants!$B$2,TRUE(),IF(E227=Constants!$B$3,FALSE(),TRUE())))</f>
        <v/>
      </c>
      <c r="X227" s="87" t="str">
        <f aca="false">IF(ISBLANK($C227),"",IF(F227=Constants!$B$2,TRUE(),IF(F227=Constants!$B$3,FALSE(),TRUE())))</f>
        <v/>
      </c>
      <c r="Y227" s="87" t="str">
        <f aca="false">IF(ISBLANK($C227),"",IF(G227=Constants!$B$2,TRUE(),IF(G227=Constants!$B$3,FALSE(),TRUE())))</f>
        <v/>
      </c>
      <c r="Z227" s="87" t="str">
        <f aca="false">IF(ISBLANK($C227),"",IF(H227=Constants!$B$2,TRUE(),IF(H227=Constants!$B$3,FALSE(),TRUE())))</f>
        <v/>
      </c>
      <c r="AA227" s="87" t="str">
        <f aca="false">IF(ISBLANK($C227),"",IF(I227=Constants!$B$2,TRUE(),IF(I227=Constants!$B$3,FALSE(),TRUE())))</f>
        <v/>
      </c>
      <c r="AB227" s="87" t="str">
        <f aca="false">IF(ISBLANK($C227),"",IF(J227=Constants!$B$4,TRUE(),IF(J227=Constants!$B$5,FALSE(),COUNTA(K227:M227)&gt;0)))</f>
        <v/>
      </c>
      <c r="AC227" s="88" t="str">
        <f aca="false">IF(ISBLANK($C227),"",IF(ISNUMBER(K227),IF(K227&gt;=0,K227,""),""))</f>
        <v/>
      </c>
      <c r="AD227" s="89" t="str">
        <f aca="false">IF(ISBLANK($C227),"",IF(ISNUMBER(L227),IF(L227&gt;=0,L227,""),""))</f>
        <v/>
      </c>
      <c r="AE227" s="87" t="str">
        <f aca="false">IF(ISBLANK($C227),"",IF(ISNUMBER(M227),IF(M227&gt;=0,MIN(M227,Constants!$B$22),""),""))</f>
        <v/>
      </c>
      <c r="AF227" s="87" t="str">
        <f aca="false">IF(ISBLANK($C227),"",IF(N227=Constants!$B$2,TRUE(),IF(N227=Constants!$B$3,FALSE(),TRUE())))</f>
        <v/>
      </c>
      <c r="AG227" s="87" t="str">
        <f aca="false">IF(ISBLANK($C227),"",IF(O227=Constants!$B$2,TRUE(),IF(O227=Constants!$B$3,FALSE(),TRUE())))</f>
        <v/>
      </c>
      <c r="AH227" s="87" t="str">
        <f aca="false">IF(ISBLANK($C227),"",IF(P227=Constants!$B$4,TRUE(),IF(P227=Constants!$B$5,FALSE(),COUNTA(Q227:S227)&gt;0)))</f>
        <v/>
      </c>
      <c r="AI227" s="88" t="str">
        <f aca="false">IF(ISBLANK($C227),"",IF(ISNUMBER(Q227),IF(Q227&gt;=0,Q227,""),""))</f>
        <v/>
      </c>
      <c r="AJ227" s="89" t="str">
        <f aca="false">IF(ISBLANK($C227),"",IF(ISNUMBER(R227),IF(R227&gt;=0,R227,""),""))</f>
        <v/>
      </c>
      <c r="AK227" s="87" t="str">
        <f aca="false">IF(ISBLANK($C227),"",IF(ISNUMBER(S227),IF(S227&gt;=0,MIN(S227,Constants!$B$22),""),""))</f>
        <v/>
      </c>
      <c r="AL227" s="87" t="str">
        <f aca="false">IF(ISBLANK($C227),"",IF(T227=Constants!$B$2,TRUE(),IF(T227=Constants!$B$3,FALSE(),FALSE())))</f>
        <v/>
      </c>
      <c r="AM227" s="86" t="str">
        <f aca="false">IF(ISBLANK($C227),"",AND($AB227,OR($AC227="",$AD227="",AND(NOT(ISBLANK($M227)),$AE227=""))))</f>
        <v/>
      </c>
      <c r="AN227" s="89" t="str">
        <f aca="false">IF($BD227&lt;&gt;Constants!$B$6,"",IF($AB227,Constants!$B$17*$AD227,Constants!$B$18))</f>
        <v/>
      </c>
      <c r="AO227" s="91" t="str">
        <f aca="false">IF($BD227&lt;&gt;Constants!$B$6,"",Constants!$B$19*IF($AB227,$AC227,0))</f>
        <v/>
      </c>
      <c r="AP227" s="91" t="str">
        <f aca="false">IF($BD227&lt;&gt;Constants!$B$6,"",IF(AND($AB227,ISNUMBER($AE227)),Constants!$B$20*(Constants!$B$21-$AE227),0))</f>
        <v/>
      </c>
      <c r="AQ227" s="91" t="str">
        <f aca="false">IF($BD227&lt;&gt;Constants!$B$6,"",IF($AA227,0,Constants!$B$12)+IF($Z227,0,Constants!$B$13)+IF($Y227,0,Constants!$B$14))</f>
        <v/>
      </c>
      <c r="AR227" s="92" t="str">
        <f aca="false">IF($BD227&lt;&gt;Constants!$B$6,"",Constants!$B$16+SUM($AN227:$AQ227))</f>
        <v/>
      </c>
      <c r="AS227" s="91" t="str">
        <f aca="false">IF($BD227&lt;&gt;Constants!$B$6,"",IF($AB227,$AD227,""))</f>
        <v/>
      </c>
      <c r="AT227" s="93" t="str">
        <f aca="false">IF($BD227&lt;&gt;Constants!$B$6,"",$AO227)</f>
        <v/>
      </c>
      <c r="AU227" s="87" t="str">
        <f aca="false">IF($BD227&lt;&gt;Constants!$B$6,"",IF(OR($BA227&lt;$AR227,AND($BA227=$AR227,OR(AND(ISNUMBER($BB227),OR(NOT(ISNUMBER($AS227)),$BB227&lt;$AS227)),AND(OR(AND($BB227="",$AS227=""),AND(ISNUMBER($BB227),ISNUMBER($AS227),$BB227=$AS227)),$BC227&lt;$AT227)))),"-&gt;","&lt;-"))</f>
        <v/>
      </c>
      <c r="AV227" s="86" t="str">
        <f aca="false">IF(ISBLANK($C227),"",AND($AH227,OR($AI227="",$AJ227="",AND(NOT(ISBLANK($S227)),$AK227=""))))</f>
        <v/>
      </c>
      <c r="AW227" s="89" t="str">
        <f aca="false">IF($BD227&lt;&gt;Constants!$B$6,"",IF($AH227,Constants!$B$17*$AJ227,Constants!$B$18))</f>
        <v/>
      </c>
      <c r="AX227" s="91" t="str">
        <f aca="false">IF($BD227&lt;&gt;Constants!$B$6,"",Constants!$B$19*IF($AH227,$AI227,0))</f>
        <v/>
      </c>
      <c r="AY227" s="91" t="str">
        <f aca="false">IF($BD227&lt;&gt;Constants!$B$6,"",IF(AND($AH227,ISNUMBER($AK227)),Constants!$B$20*(Constants!$B$21-$AK227),0))</f>
        <v/>
      </c>
      <c r="AZ227" s="91" t="str">
        <f aca="false">IF($BD227&lt;&gt;Constants!$B$6,"",IF($AG227,0,Constants!$B$12)+IF($AF227,0,Constants!$B$13)+IF($Y227,0,Constants!$B$14))</f>
        <v/>
      </c>
      <c r="BA227" s="92" t="str">
        <f aca="false">IF($BD227&lt;&gt;Constants!$B$6,"",Constants!$B$16+SUM($AW227:$AZ227))</f>
        <v/>
      </c>
      <c r="BB227" s="91" t="str">
        <f aca="false">IF($BD227&lt;&gt;Constants!$B$6,"",IF($AH227,$AJ227,""))</f>
        <v/>
      </c>
      <c r="BC227" s="93" t="str">
        <f aca="false">IF($BD227&lt;&gt;Constants!$B$6,"",$AX227)</f>
        <v/>
      </c>
      <c r="BD227" s="87" t="str">
        <f aca="false">IF(ISBLANK($C227),"",IF($AL227,Constants!$B$9,IF(COUNTA($E227:$T227)=0,Constants!$B$8,IF(NOT($X227),Constants!$B$7,IF(OR($AM227,$AV227),Constants!$B$10,Constants!$B$6)))))</f>
        <v/>
      </c>
      <c r="BE227" s="87" t="str">
        <f aca="false">IF(ISBLANK($C227),"",IF($BD227&lt;&gt;Constants!$B$6,$BD227,Constants!$B$11))</f>
        <v/>
      </c>
      <c r="BF227" s="91" t="str">
        <f aca="false">IF($BD227&lt;&gt;Constants!$B$6,"",IF($AU227="-&gt;",$BA227,$AR227))</f>
        <v/>
      </c>
      <c r="BG227" s="91" t="str">
        <f aca="false">IF($BD227&lt;&gt;Constants!$B$6,"",IF($W227,0,Constants!$B$15))</f>
        <v/>
      </c>
      <c r="BH227" s="91" t="str">
        <f aca="false">IF(ISBLANK($C227),"",IF($BD227&lt;&gt;Constants!$B$6,$BD227,SUM($BF227:$BG227)))</f>
        <v/>
      </c>
      <c r="BI227" s="87" t="str">
        <f aca="false">IF(ISBLANK($C227),"",IF($BD227&lt;&gt;Constants!$B$6,$BD227,RANK($BH227,$BH$9:$BH$508,1)))</f>
        <v/>
      </c>
      <c r="BJ227" s="91" t="str">
        <f aca="false">IF($BD227&lt;&gt;Constants!$B$6,"",IF($AU227="-&gt;",$BB227,$AS227))</f>
        <v/>
      </c>
      <c r="BK227" s="87" t="str">
        <f aca="false">IF(ISBLANK($C227),"",IF($BD227&lt;&gt;Constants!$B$6,$BD227,IF(ISNUMBER($BJ227),RANK($BJ227,$BJ$9:$BJ$508,1),COUNT($BJ$9:$BJ$508)+1)))</f>
        <v/>
      </c>
      <c r="BL227" s="91" t="str">
        <f aca="false">IF($BD227&lt;&gt;Constants!$B$6,"",IF($AU227="-&gt;",$BC227,$AT227))</f>
        <v/>
      </c>
      <c r="BM227" s="87" t="str">
        <f aca="false">IF(ISBLANK($C227),"",IF($BD227&lt;&gt;Constants!$B$6,$BD227,IF(ISNUMBER($BL227),RANK($BL227,$BL$9:$BL$508,1),COUNT($BL$9:$BL$508)+1)))</f>
        <v/>
      </c>
      <c r="BN227" s="91" t="str">
        <f aca="false">IF($BD227&lt;&gt;Constants!$B$6,"",IF($AU227="-&gt;",$AS227,$BB227))</f>
        <v/>
      </c>
      <c r="BO227" s="87" t="str">
        <f aca="false">IF(ISBLANK($C227),"",IF($BD227&lt;&gt;Constants!$B$6,$BD227,IF(ISNUMBER($BN227),RANK($BN227,$BN$9:$BN$508,1),COUNT($BN$9:$BN$508)+1)))</f>
        <v/>
      </c>
      <c r="BP227" s="91" t="str">
        <f aca="false">IF($BD227&lt;&gt;Constants!$B$6,"",IF($AU227="-&gt;",$AT227,$BC227))</f>
        <v/>
      </c>
      <c r="BQ227" s="87" t="str">
        <f aca="false">IF(ISBLANK($C227),"",IF($BD227&lt;&gt;Constants!$B$6,$BD227,IF(ISNUMBER($BP227),RANK($BP227,$BP$9:$BP$508,1),COUNT($BP$9:$BP$508)+1)))</f>
        <v/>
      </c>
      <c r="BR227" s="87" t="str">
        <f aca="false">IF(ISBLANK($C227),"",IF($BD227&lt;&gt;Constants!$B$6,$BD227,COUNTIFS($BI$9:$BI$508,"&lt;"&amp;$BI227)+COUNTIFS($BI$9:$BI$508,$BI227,$BK$9:$BK$508,"&lt;"&amp;$BK227)+COUNTIFS($BI$9:$BI$508,$BI227,$BK$9:$BK$508,$BK227,$BM$9:$BM$508,"&lt;"&amp;$BM227)+COUNTIFS($BI$9:$BI$508,$BI227,$BK$9:$BK$508,$BK227,$BM$9:$BM$508,$BM227,$BO$9:$BO$508,"&lt;"&amp;$BO227)+COUNTIFS($BI$9:$BI$508,$BI227,$BK$9:$BK$508,$BK227,$BM$9:$BM$508,$BM227,$BO$9:$BO$508,$BO227,$BQ$9:$BQ$508,"&lt;"&amp;$BQ227)+1))</f>
        <v/>
      </c>
      <c r="BS227" s="87" t="str">
        <f aca="false">IF(ISBLANK($C227),"",IF($BD227&lt;&gt;Constants!$B$6,$BD227,$BI227-$BR227))</f>
        <v/>
      </c>
      <c r="BT227" s="94"/>
      <c r="BU227" s="95"/>
      <c r="BV227" s="95" t="str">
        <f aca="false">IF(ISBLANK($C227),"",IF($BD227&lt;&gt;Constants!$B$6,"",IF($AU227="-&gt;",2,1)))</f>
        <v/>
      </c>
      <c r="BW227" s="96" t="str">
        <f aca="false">IF(ISBLANK($C227),"",IF($BD227&lt;&gt;Constants!$B$6,"",IF($AU227="-&gt;",$AW227,$AN227)))</f>
        <v/>
      </c>
      <c r="BX227" s="96" t="str">
        <f aca="false">IF(ISBLANK($C227),"",IF($BD227&lt;&gt;Constants!$B$6,"",IF($AU227="-&gt;",$AX227,$AO227)))</f>
        <v/>
      </c>
      <c r="BY227" s="96" t="str">
        <f aca="false">IF(ISBLANK($C227),"",IF($BD227&lt;&gt;Constants!$B$6,"",IF($AU227="-&gt;",$AY227,$AP227)))</f>
        <v/>
      </c>
      <c r="BZ227" s="96" t="str">
        <f aca="false">IF(ISBLANK($C227),"",IF($BD227&lt;&gt;Constants!$B$6,"",IF($AU227="-&gt;",$AZ227,$AQ227)+$BG227))</f>
        <v/>
      </c>
      <c r="CA227" s="97" t="str">
        <f aca="false">IF(ISBLANK($C227),"",IF($BD227&lt;&gt;Constants!$B$6,$BD227,$BH227))</f>
        <v/>
      </c>
      <c r="CB227" s="98" t="str">
        <f aca="false">IF(ISBLANK($C227),"",$BE227)</f>
        <v/>
      </c>
      <c r="CC227" s="99" t="str">
        <f aca="false">IF(ISBLANK($C227),"",$BS227)</f>
        <v/>
      </c>
      <c r="CD227" s="99" t="str">
        <f aca="false">IF(ISBLANK($C227),"",$BR227)</f>
        <v/>
      </c>
      <c r="CE227" s="100" t="str">
        <f aca="false">IF(ISBLANK($C227),"",IF($CD227=Constants!$B$9,COUNTA($C$9:$C$508)+2,IF($CD227=Constants!$B$8,COUNTA($C$9:$C$508)+1,IF($CD227=Constants!$B$7,COUNTA($C$9:$C$508),$CD227))))</f>
        <v/>
      </c>
      <c r="CF227" s="9"/>
      <c r="CG227" s="101" t="n">
        <f aca="false">IF(OR(ISNUMBER($CD227),$CD227=Constants!$B$9,$CD227=Constants!$B$7,$CD227=Constants!$B$8),1,0)</f>
        <v>0</v>
      </c>
      <c r="CH227" s="101" t="n">
        <v>219</v>
      </c>
      <c r="CI227" s="101" t="str">
        <f aca="false">IF(ISBLANK($C227),"",IF(ISNUMBER($CE227),$CE227+ROW($B227)/1000,""))</f>
        <v/>
      </c>
      <c r="CJ227" s="101" t="str">
        <f aca="false">IF(ISNUMBER($CI227),RANK($CI227,$CI$9:$CI$508,1),"")</f>
        <v/>
      </c>
      <c r="CK227" s="101" t="str">
        <f aca="false">IF(ISBLANK($C227),"",$B227)</f>
        <v/>
      </c>
      <c r="CL227" s="101" t="str">
        <f aca="false">IF(ISBLANK($C227),"",$C227)</f>
        <v/>
      </c>
      <c r="CM227" s="101" t="str">
        <f aca="false">IF(ISBLANK($C227),"",$D227)</f>
        <v/>
      </c>
      <c r="CN227" s="102" t="str">
        <f aca="false">$CB227</f>
        <v/>
      </c>
      <c r="CO227" s="103" t="str">
        <f aca="false">$CA227</f>
        <v/>
      </c>
      <c r="CP227" s="101" t="str">
        <f aca="false">IF(ISBLANK($C227),"",$CD227)</f>
        <v/>
      </c>
      <c r="CQ227" s="104" t="str">
        <f aca="false">IF($CH227&gt;$CG$8,"",VLOOKUP($CH227,$CJ$9:$CP$508,7,FALSE()))</f>
        <v/>
      </c>
      <c r="CR227" s="105" t="str">
        <f aca="false">IF($CH227&gt;$CG$8,"",VLOOKUP($CH227,$CJ$9:$CP$508,2,FALSE()))</f>
        <v/>
      </c>
      <c r="CS227" s="105" t="str">
        <f aca="false">IF($CH227&gt;$CG$8,"",VLOOKUP($CH227,$CJ$9:$CP$508,3,FALSE()))</f>
        <v/>
      </c>
      <c r="CT227" s="105" t="str">
        <f aca="false">IF($CH227&gt;$CG$8,"",VLOOKUP($CH227,$CJ$9:$CP$508,4,FALSE()))</f>
        <v/>
      </c>
      <c r="CU227" s="105" t="str">
        <f aca="false">IF($CH227&gt;$CG$8,"",VLOOKUP($CH227,$CJ$9:$CP$508,5,FALSE()))</f>
        <v/>
      </c>
      <c r="CV227" s="106" t="str">
        <f aca="false">IF($CH227&gt;$CG$8,"",VLOOKUP($CH227,$CJ$9:$CP$508,6,FALSE()))</f>
        <v/>
      </c>
      <c r="CW227" s="71"/>
    </row>
    <row r="228" customFormat="false" ht="15.75" hidden="false" customHeight="false" outlineLevel="0" collapsed="false">
      <c r="A228" s="9"/>
      <c r="B228" s="150"/>
      <c r="C228" s="151"/>
      <c r="D228" s="152"/>
      <c r="E228" s="170"/>
      <c r="F228" s="154"/>
      <c r="G228" s="155"/>
      <c r="H228" s="171"/>
      <c r="I228" s="159"/>
      <c r="J228" s="120"/>
      <c r="K228" s="121"/>
      <c r="L228" s="122"/>
      <c r="M228" s="158"/>
      <c r="N228" s="159"/>
      <c r="O228" s="159"/>
      <c r="P228" s="120"/>
      <c r="Q228" s="122"/>
      <c r="R228" s="122"/>
      <c r="S228" s="158"/>
      <c r="T228" s="159"/>
      <c r="U228" s="126"/>
      <c r="V228" s="127"/>
      <c r="W228" s="127" t="str">
        <f aca="false">IF(ISBLANK($C228),"",IF(E228=Constants!$B$2,TRUE(),IF(E228=Constants!$B$3,FALSE(),TRUE())))</f>
        <v/>
      </c>
      <c r="X228" s="127" t="str">
        <f aca="false">IF(ISBLANK($C228),"",IF(F228=Constants!$B$2,TRUE(),IF(F228=Constants!$B$3,FALSE(),TRUE())))</f>
        <v/>
      </c>
      <c r="Y228" s="127" t="str">
        <f aca="false">IF(ISBLANK($C228),"",IF(G228=Constants!$B$2,TRUE(),IF(G228=Constants!$B$3,FALSE(),TRUE())))</f>
        <v/>
      </c>
      <c r="Z228" s="127" t="str">
        <f aca="false">IF(ISBLANK($C228),"",IF(H228=Constants!$B$2,TRUE(),IF(H228=Constants!$B$3,FALSE(),TRUE())))</f>
        <v/>
      </c>
      <c r="AA228" s="127" t="str">
        <f aca="false">IF(ISBLANK($C228),"",IF(I228=Constants!$B$2,TRUE(),IF(I228=Constants!$B$3,FALSE(),TRUE())))</f>
        <v/>
      </c>
      <c r="AB228" s="127" t="str">
        <f aca="false">IF(ISBLANK($C228),"",IF(J228=Constants!$B$4,TRUE(),IF(J228=Constants!$B$5,FALSE(),COUNTA(K228:M228)&gt;0)))</f>
        <v/>
      </c>
      <c r="AC228" s="128" t="str">
        <f aca="false">IF(ISBLANK($C228),"",IF(ISNUMBER(K228),IF(K228&gt;=0,K228,""),""))</f>
        <v/>
      </c>
      <c r="AD228" s="129" t="str">
        <f aca="false">IF(ISBLANK($C228),"",IF(ISNUMBER(L228),IF(L228&gt;=0,L228,""),""))</f>
        <v/>
      </c>
      <c r="AE228" s="127" t="str">
        <f aca="false">IF(ISBLANK($C228),"",IF(ISNUMBER(M228),IF(M228&gt;=0,MIN(M228,Constants!$B$22),""),""))</f>
        <v/>
      </c>
      <c r="AF228" s="127" t="str">
        <f aca="false">IF(ISBLANK($C228),"",IF(N228=Constants!$B$2,TRUE(),IF(N228=Constants!$B$3,FALSE(),TRUE())))</f>
        <v/>
      </c>
      <c r="AG228" s="127" t="str">
        <f aca="false">IF(ISBLANK($C228),"",IF(O228=Constants!$B$2,TRUE(),IF(O228=Constants!$B$3,FALSE(),TRUE())))</f>
        <v/>
      </c>
      <c r="AH228" s="127" t="str">
        <f aca="false">IF(ISBLANK($C228),"",IF(P228=Constants!$B$4,TRUE(),IF(P228=Constants!$B$5,FALSE(),COUNTA(Q228:S228)&gt;0)))</f>
        <v/>
      </c>
      <c r="AI228" s="128" t="str">
        <f aca="false">IF(ISBLANK($C228),"",IF(ISNUMBER(Q228),IF(Q228&gt;=0,Q228,""),""))</f>
        <v/>
      </c>
      <c r="AJ228" s="129" t="str">
        <f aca="false">IF(ISBLANK($C228),"",IF(ISNUMBER(R228),IF(R228&gt;=0,R228,""),""))</f>
        <v/>
      </c>
      <c r="AK228" s="127" t="str">
        <f aca="false">IF(ISBLANK($C228),"",IF(ISNUMBER(S228),IF(S228&gt;=0,MIN(S228,Constants!$B$22),""),""))</f>
        <v/>
      </c>
      <c r="AL228" s="127" t="str">
        <f aca="false">IF(ISBLANK($C228),"",IF(T228=Constants!$B$2,TRUE(),IF(T228=Constants!$B$3,FALSE(),FALSE())))</f>
        <v/>
      </c>
      <c r="AM228" s="126" t="str">
        <f aca="false">IF(ISBLANK($C228),"",AND($AB228,OR($AC228="",$AD228="",AND(NOT(ISBLANK($M228)),$AE228=""))))</f>
        <v/>
      </c>
      <c r="AN228" s="129" t="str">
        <f aca="false">IF($BD228&lt;&gt;Constants!$B$6,"",IF($AB228,Constants!$B$17*$AD228,Constants!$B$18))</f>
        <v/>
      </c>
      <c r="AO228" s="130" t="str">
        <f aca="false">IF($BD228&lt;&gt;Constants!$B$6,"",Constants!$B$19*IF($AB228,$AC228,0))</f>
        <v/>
      </c>
      <c r="AP228" s="130" t="str">
        <f aca="false">IF($BD228&lt;&gt;Constants!$B$6,"",IF(AND($AB228,ISNUMBER($AE228)),Constants!$B$20*(Constants!$B$21-$AE228),0))</f>
        <v/>
      </c>
      <c r="AQ228" s="130" t="str">
        <f aca="false">IF($BD228&lt;&gt;Constants!$B$6,"",IF($AA228,0,Constants!$B$12)+IF($Z228,0,Constants!$B$13)+IF($Y228,0,Constants!$B$14))</f>
        <v/>
      </c>
      <c r="AR228" s="131" t="str">
        <f aca="false">IF($BD228&lt;&gt;Constants!$B$6,"",Constants!$B$16+SUM($AN228:$AQ228))</f>
        <v/>
      </c>
      <c r="AS228" s="130" t="str">
        <f aca="false">IF($BD228&lt;&gt;Constants!$B$6,"",IF($AB228,$AD228,""))</f>
        <v/>
      </c>
      <c r="AT228" s="132" t="str">
        <f aca="false">IF($BD228&lt;&gt;Constants!$B$6,"",$AO228)</f>
        <v/>
      </c>
      <c r="AU228" s="127" t="str">
        <f aca="false">IF($BD228&lt;&gt;Constants!$B$6,"",IF(OR($BA228&lt;$AR228,AND($BA228=$AR228,OR(AND(ISNUMBER($BB228),OR(NOT(ISNUMBER($AS228)),$BB228&lt;$AS228)),AND(OR(AND($BB228="",$AS228=""),AND(ISNUMBER($BB228),ISNUMBER($AS228),$BB228=$AS228)),$BC228&lt;$AT228)))),"-&gt;","&lt;-"))</f>
        <v/>
      </c>
      <c r="AV228" s="126" t="str">
        <f aca="false">IF(ISBLANK($C228),"",AND($AH228,OR($AI228="",$AJ228="",AND(NOT(ISBLANK($S228)),$AK228=""))))</f>
        <v/>
      </c>
      <c r="AW228" s="129" t="str">
        <f aca="false">IF($BD228&lt;&gt;Constants!$B$6,"",IF($AH228,Constants!$B$17*$AJ228,Constants!$B$18))</f>
        <v/>
      </c>
      <c r="AX228" s="130" t="str">
        <f aca="false">IF($BD228&lt;&gt;Constants!$B$6,"",Constants!$B$19*IF($AH228,$AI228,0))</f>
        <v/>
      </c>
      <c r="AY228" s="130" t="str">
        <f aca="false">IF($BD228&lt;&gt;Constants!$B$6,"",IF(AND($AH228,ISNUMBER($AK228)),Constants!$B$20*(Constants!$B$21-$AK228),0))</f>
        <v/>
      </c>
      <c r="AZ228" s="130" t="str">
        <f aca="false">IF($BD228&lt;&gt;Constants!$B$6,"",IF($AG228,0,Constants!$B$12)+IF($AF228,0,Constants!$B$13)+IF($Y228,0,Constants!$B$14))</f>
        <v/>
      </c>
      <c r="BA228" s="131" t="str">
        <f aca="false">IF($BD228&lt;&gt;Constants!$B$6,"",Constants!$B$16+SUM($AW228:$AZ228))</f>
        <v/>
      </c>
      <c r="BB228" s="130" t="str">
        <f aca="false">IF($BD228&lt;&gt;Constants!$B$6,"",IF($AH228,$AJ228,""))</f>
        <v/>
      </c>
      <c r="BC228" s="132" t="str">
        <f aca="false">IF($BD228&lt;&gt;Constants!$B$6,"",$AX228)</f>
        <v/>
      </c>
      <c r="BD228" s="127" t="str">
        <f aca="false">IF(ISBLANK($C228),"",IF($AL228,Constants!$B$9,IF(COUNTA($E228:$T228)=0,Constants!$B$8,IF(NOT($X228),Constants!$B$7,IF(OR($AM228,$AV228),Constants!$B$10,Constants!$B$6)))))</f>
        <v/>
      </c>
      <c r="BE228" s="127" t="str">
        <f aca="false">IF(ISBLANK($C228),"",IF($BD228&lt;&gt;Constants!$B$6,$BD228,Constants!$B$11))</f>
        <v/>
      </c>
      <c r="BF228" s="130" t="str">
        <f aca="false">IF($BD228&lt;&gt;Constants!$B$6,"",IF($AU228="-&gt;",$BA228,$AR228))</f>
        <v/>
      </c>
      <c r="BG228" s="130" t="str">
        <f aca="false">IF($BD228&lt;&gt;Constants!$B$6,"",IF($W228,0,Constants!$B$15))</f>
        <v/>
      </c>
      <c r="BH228" s="130" t="str">
        <f aca="false">IF(ISBLANK($C228),"",IF($BD228&lt;&gt;Constants!$B$6,$BD228,SUM($BF228:$BG228)))</f>
        <v/>
      </c>
      <c r="BI228" s="127" t="str">
        <f aca="false">IF(ISBLANK($C228),"",IF($BD228&lt;&gt;Constants!$B$6,$BD228,RANK($BH228,$BH$9:$BH$508,1)))</f>
        <v/>
      </c>
      <c r="BJ228" s="130" t="str">
        <f aca="false">IF($BD228&lt;&gt;Constants!$B$6,"",IF($AU228="-&gt;",$BB228,$AS228))</f>
        <v/>
      </c>
      <c r="BK228" s="127" t="str">
        <f aca="false">IF(ISBLANK($C228),"",IF($BD228&lt;&gt;Constants!$B$6,$BD228,IF(ISNUMBER($BJ228),RANK($BJ228,$BJ$9:$BJ$508,1),COUNT($BJ$9:$BJ$508)+1)))</f>
        <v/>
      </c>
      <c r="BL228" s="130" t="str">
        <f aca="false">IF($BD228&lt;&gt;Constants!$B$6,"",IF($AU228="-&gt;",$BC228,$AT228))</f>
        <v/>
      </c>
      <c r="BM228" s="127" t="str">
        <f aca="false">IF(ISBLANK($C228),"",IF($BD228&lt;&gt;Constants!$B$6,$BD228,IF(ISNUMBER($BL228),RANK($BL228,$BL$9:$BL$508,1),COUNT($BL$9:$BL$508)+1)))</f>
        <v/>
      </c>
      <c r="BN228" s="130" t="str">
        <f aca="false">IF($BD228&lt;&gt;Constants!$B$6,"",IF($AU228="-&gt;",$AS228,$BB228))</f>
        <v/>
      </c>
      <c r="BO228" s="127" t="str">
        <f aca="false">IF(ISBLANK($C228),"",IF($BD228&lt;&gt;Constants!$B$6,$BD228,IF(ISNUMBER($BN228),RANK($BN228,$BN$9:$BN$508,1),COUNT($BN$9:$BN$508)+1)))</f>
        <v/>
      </c>
      <c r="BP228" s="130" t="str">
        <f aca="false">IF($BD228&lt;&gt;Constants!$B$6,"",IF($AU228="-&gt;",$AT228,$BC228))</f>
        <v/>
      </c>
      <c r="BQ228" s="127" t="str">
        <f aca="false">IF(ISBLANK($C228),"",IF($BD228&lt;&gt;Constants!$B$6,$BD228,IF(ISNUMBER($BP228),RANK($BP228,$BP$9:$BP$508,1),COUNT($BP$9:$BP$508)+1)))</f>
        <v/>
      </c>
      <c r="BR228" s="127" t="str">
        <f aca="false">IF(ISBLANK($C228),"",IF($BD228&lt;&gt;Constants!$B$6,$BD228,COUNTIFS($BI$9:$BI$508,"&lt;"&amp;$BI228)+COUNTIFS($BI$9:$BI$508,$BI228,$BK$9:$BK$508,"&lt;"&amp;$BK228)+COUNTIFS($BI$9:$BI$508,$BI228,$BK$9:$BK$508,$BK228,$BM$9:$BM$508,"&lt;"&amp;$BM228)+COUNTIFS($BI$9:$BI$508,$BI228,$BK$9:$BK$508,$BK228,$BM$9:$BM$508,$BM228,$BO$9:$BO$508,"&lt;"&amp;$BO228)+COUNTIFS($BI$9:$BI$508,$BI228,$BK$9:$BK$508,$BK228,$BM$9:$BM$508,$BM228,$BO$9:$BO$508,$BO228,$BQ$9:$BQ$508,"&lt;"&amp;$BQ228)+1))</f>
        <v/>
      </c>
      <c r="BS228" s="127" t="str">
        <f aca="false">IF(ISBLANK($C228),"",IF($BD228&lt;&gt;Constants!$B$6,$BD228,$BI228-$BR228))</f>
        <v/>
      </c>
      <c r="BT228" s="133"/>
      <c r="BU228" s="134"/>
      <c r="BV228" s="134" t="str">
        <f aca="false">IF(ISBLANK($C228),"",IF($BD228&lt;&gt;Constants!$B$6,"",IF($AU228="-&gt;",2,1)))</f>
        <v/>
      </c>
      <c r="BW228" s="135" t="str">
        <f aca="false">IF(ISBLANK($C228),"",IF($BD228&lt;&gt;Constants!$B$6,"",IF($AU228="-&gt;",$AW228,$AN228)))</f>
        <v/>
      </c>
      <c r="BX228" s="135" t="str">
        <f aca="false">IF(ISBLANK($C228),"",IF($BD228&lt;&gt;Constants!$B$6,"",IF($AU228="-&gt;",$AX228,$AO228)))</f>
        <v/>
      </c>
      <c r="BY228" s="135" t="str">
        <f aca="false">IF(ISBLANK($C228),"",IF($BD228&lt;&gt;Constants!$B$6,"",IF($AU228="-&gt;",$AY228,$AP228)))</f>
        <v/>
      </c>
      <c r="BZ228" s="135" t="str">
        <f aca="false">IF(ISBLANK($C228),"",IF($BD228&lt;&gt;Constants!$B$6,"",IF($AU228="-&gt;",$AZ228,$AQ228)+$BG228))</f>
        <v/>
      </c>
      <c r="CA228" s="136" t="str">
        <f aca="false">IF(ISBLANK($C228),"",IF($BD228&lt;&gt;Constants!$B$6,$BD228,$BH228))</f>
        <v/>
      </c>
      <c r="CB228" s="137" t="str">
        <f aca="false">IF(ISBLANK($C228),"",$BE228)</f>
        <v/>
      </c>
      <c r="CC228" s="138" t="str">
        <f aca="false">IF(ISBLANK($C228),"",$BS228)</f>
        <v/>
      </c>
      <c r="CD228" s="138" t="str">
        <f aca="false">IF(ISBLANK($C228),"",$BR228)</f>
        <v/>
      </c>
      <c r="CE228" s="139" t="str">
        <f aca="false">IF(ISBLANK($C228),"",IF($CD228=Constants!$B$9,COUNTA($C$9:$C$508)+2,IF($CD228=Constants!$B$8,COUNTA($C$9:$C$508)+1,IF($CD228=Constants!$B$7,COUNTA($C$9:$C$508),$CD228))))</f>
        <v/>
      </c>
      <c r="CF228" s="9"/>
      <c r="CG228" s="140" t="n">
        <f aca="false">IF(OR(ISNUMBER($CD228),$CD228=Constants!$B$9,$CD228=Constants!$B$7,$CD228=Constants!$B$8),1,0)</f>
        <v>0</v>
      </c>
      <c r="CH228" s="140" t="n">
        <v>220</v>
      </c>
      <c r="CI228" s="140" t="str">
        <f aca="false">IF(ISBLANK($C228),"",IF(ISNUMBER($CE228),$CE228+ROW($B228)/1000,""))</f>
        <v/>
      </c>
      <c r="CJ228" s="140" t="str">
        <f aca="false">IF(ISNUMBER($CI228),RANK($CI228,$CI$9:$CI$508,1),"")</f>
        <v/>
      </c>
      <c r="CK228" s="140" t="str">
        <f aca="false">IF(ISBLANK($C228),"",$B228)</f>
        <v/>
      </c>
      <c r="CL228" s="140" t="str">
        <f aca="false">IF(ISBLANK($C228),"",$C228)</f>
        <v/>
      </c>
      <c r="CM228" s="140" t="str">
        <f aca="false">IF(ISBLANK($C228),"",$D228)</f>
        <v/>
      </c>
      <c r="CN228" s="141" t="str">
        <f aca="false">$CB228</f>
        <v/>
      </c>
      <c r="CO228" s="142" t="str">
        <f aca="false">$CA228</f>
        <v/>
      </c>
      <c r="CP228" s="140" t="str">
        <f aca="false">IF(ISBLANK($C228),"",$CD228)</f>
        <v/>
      </c>
      <c r="CQ228" s="143" t="str">
        <f aca="false">IF($CH228&gt;$CG$8,"",VLOOKUP($CH228,$CJ$9:$CP$508,7,FALSE()))</f>
        <v/>
      </c>
      <c r="CR228" s="144" t="str">
        <f aca="false">IF($CH228&gt;$CG$8,"",VLOOKUP($CH228,$CJ$9:$CP$508,2,FALSE()))</f>
        <v/>
      </c>
      <c r="CS228" s="144" t="str">
        <f aca="false">IF($CH228&gt;$CG$8,"",VLOOKUP($CH228,$CJ$9:$CP$508,3,FALSE()))</f>
        <v/>
      </c>
      <c r="CT228" s="144" t="str">
        <f aca="false">IF($CH228&gt;$CG$8,"",VLOOKUP($CH228,$CJ$9:$CP$508,4,FALSE()))</f>
        <v/>
      </c>
      <c r="CU228" s="144" t="str">
        <f aca="false">IF($CH228&gt;$CG$8,"",VLOOKUP($CH228,$CJ$9:$CP$508,5,FALSE()))</f>
        <v/>
      </c>
      <c r="CV228" s="145" t="str">
        <f aca="false">IF($CH228&gt;$CG$8,"",VLOOKUP($CH228,$CJ$9:$CP$508,6,FALSE()))</f>
        <v/>
      </c>
      <c r="CW228" s="71"/>
    </row>
    <row r="229" customFormat="false" ht="15.75" hidden="false" customHeight="false" outlineLevel="0" collapsed="false">
      <c r="A229" s="9"/>
      <c r="B229" s="150"/>
      <c r="C229" s="151"/>
      <c r="D229" s="152"/>
      <c r="E229" s="170"/>
      <c r="F229" s="154"/>
      <c r="G229" s="155"/>
      <c r="H229" s="171"/>
      <c r="I229" s="159"/>
      <c r="J229" s="120"/>
      <c r="K229" s="121"/>
      <c r="L229" s="122"/>
      <c r="M229" s="158"/>
      <c r="N229" s="159"/>
      <c r="O229" s="159"/>
      <c r="P229" s="120"/>
      <c r="Q229" s="122"/>
      <c r="R229" s="122"/>
      <c r="S229" s="158"/>
      <c r="T229" s="159"/>
      <c r="U229" s="126"/>
      <c r="V229" s="127"/>
      <c r="W229" s="127" t="str">
        <f aca="false">IF(ISBLANK($C229),"",IF(E229=Constants!$B$2,TRUE(),IF(E229=Constants!$B$3,FALSE(),TRUE())))</f>
        <v/>
      </c>
      <c r="X229" s="127" t="str">
        <f aca="false">IF(ISBLANK($C229),"",IF(F229=Constants!$B$2,TRUE(),IF(F229=Constants!$B$3,FALSE(),TRUE())))</f>
        <v/>
      </c>
      <c r="Y229" s="127" t="str">
        <f aca="false">IF(ISBLANK($C229),"",IF(G229=Constants!$B$2,TRUE(),IF(G229=Constants!$B$3,FALSE(),TRUE())))</f>
        <v/>
      </c>
      <c r="Z229" s="127" t="str">
        <f aca="false">IF(ISBLANK($C229),"",IF(H229=Constants!$B$2,TRUE(),IF(H229=Constants!$B$3,FALSE(),TRUE())))</f>
        <v/>
      </c>
      <c r="AA229" s="127" t="str">
        <f aca="false">IF(ISBLANK($C229),"",IF(I229=Constants!$B$2,TRUE(),IF(I229=Constants!$B$3,FALSE(),TRUE())))</f>
        <v/>
      </c>
      <c r="AB229" s="127" t="str">
        <f aca="false">IF(ISBLANK($C229),"",IF(J229=Constants!$B$4,TRUE(),IF(J229=Constants!$B$5,FALSE(),COUNTA(K229:M229)&gt;0)))</f>
        <v/>
      </c>
      <c r="AC229" s="128" t="str">
        <f aca="false">IF(ISBLANK($C229),"",IF(ISNUMBER(K229),IF(K229&gt;=0,K229,""),""))</f>
        <v/>
      </c>
      <c r="AD229" s="129" t="str">
        <f aca="false">IF(ISBLANK($C229),"",IF(ISNUMBER(L229),IF(L229&gt;=0,L229,""),""))</f>
        <v/>
      </c>
      <c r="AE229" s="127" t="str">
        <f aca="false">IF(ISBLANK($C229),"",IF(ISNUMBER(M229),IF(M229&gt;=0,MIN(M229,Constants!$B$22),""),""))</f>
        <v/>
      </c>
      <c r="AF229" s="127" t="str">
        <f aca="false">IF(ISBLANK($C229),"",IF(N229=Constants!$B$2,TRUE(),IF(N229=Constants!$B$3,FALSE(),TRUE())))</f>
        <v/>
      </c>
      <c r="AG229" s="127" t="str">
        <f aca="false">IF(ISBLANK($C229),"",IF(O229=Constants!$B$2,TRUE(),IF(O229=Constants!$B$3,FALSE(),TRUE())))</f>
        <v/>
      </c>
      <c r="AH229" s="127" t="str">
        <f aca="false">IF(ISBLANK($C229),"",IF(P229=Constants!$B$4,TRUE(),IF(P229=Constants!$B$5,FALSE(),COUNTA(Q229:S229)&gt;0)))</f>
        <v/>
      </c>
      <c r="AI229" s="128" t="str">
        <f aca="false">IF(ISBLANK($C229),"",IF(ISNUMBER(Q229),IF(Q229&gt;=0,Q229,""),""))</f>
        <v/>
      </c>
      <c r="AJ229" s="129" t="str">
        <f aca="false">IF(ISBLANK($C229),"",IF(ISNUMBER(R229),IF(R229&gt;=0,R229,""),""))</f>
        <v/>
      </c>
      <c r="AK229" s="127" t="str">
        <f aca="false">IF(ISBLANK($C229),"",IF(ISNUMBER(S229),IF(S229&gt;=0,MIN(S229,Constants!$B$22),""),""))</f>
        <v/>
      </c>
      <c r="AL229" s="127" t="str">
        <f aca="false">IF(ISBLANK($C229),"",IF(T229=Constants!$B$2,TRUE(),IF(T229=Constants!$B$3,FALSE(),FALSE())))</f>
        <v/>
      </c>
      <c r="AM229" s="126" t="str">
        <f aca="false">IF(ISBLANK($C229),"",AND($AB229,OR($AC229="",$AD229="",AND(NOT(ISBLANK($M229)),$AE229=""))))</f>
        <v/>
      </c>
      <c r="AN229" s="129" t="str">
        <f aca="false">IF($BD229&lt;&gt;Constants!$B$6,"",IF($AB229,Constants!$B$17*$AD229,Constants!$B$18))</f>
        <v/>
      </c>
      <c r="AO229" s="130" t="str">
        <f aca="false">IF($BD229&lt;&gt;Constants!$B$6,"",Constants!$B$19*IF($AB229,$AC229,0))</f>
        <v/>
      </c>
      <c r="AP229" s="130" t="str">
        <f aca="false">IF($BD229&lt;&gt;Constants!$B$6,"",IF(AND($AB229,ISNUMBER($AE229)),Constants!$B$20*(Constants!$B$21-$AE229),0))</f>
        <v/>
      </c>
      <c r="AQ229" s="130" t="str">
        <f aca="false">IF($BD229&lt;&gt;Constants!$B$6,"",IF($AA229,0,Constants!$B$12)+IF($Z229,0,Constants!$B$13)+IF($Y229,0,Constants!$B$14))</f>
        <v/>
      </c>
      <c r="AR229" s="131" t="str">
        <f aca="false">IF($BD229&lt;&gt;Constants!$B$6,"",Constants!$B$16+SUM($AN229:$AQ229))</f>
        <v/>
      </c>
      <c r="AS229" s="130" t="str">
        <f aca="false">IF($BD229&lt;&gt;Constants!$B$6,"",IF($AB229,$AD229,""))</f>
        <v/>
      </c>
      <c r="AT229" s="132" t="str">
        <f aca="false">IF($BD229&lt;&gt;Constants!$B$6,"",$AO229)</f>
        <v/>
      </c>
      <c r="AU229" s="127" t="str">
        <f aca="false">IF($BD229&lt;&gt;Constants!$B$6,"",IF(OR($BA229&lt;$AR229,AND($BA229=$AR229,OR(AND(ISNUMBER($BB229),OR(NOT(ISNUMBER($AS229)),$BB229&lt;$AS229)),AND(OR(AND($BB229="",$AS229=""),AND(ISNUMBER($BB229),ISNUMBER($AS229),$BB229=$AS229)),$BC229&lt;$AT229)))),"-&gt;","&lt;-"))</f>
        <v/>
      </c>
      <c r="AV229" s="126" t="str">
        <f aca="false">IF(ISBLANK($C229),"",AND($AH229,OR($AI229="",$AJ229="",AND(NOT(ISBLANK($S229)),$AK229=""))))</f>
        <v/>
      </c>
      <c r="AW229" s="129" t="str">
        <f aca="false">IF($BD229&lt;&gt;Constants!$B$6,"",IF($AH229,Constants!$B$17*$AJ229,Constants!$B$18))</f>
        <v/>
      </c>
      <c r="AX229" s="130" t="str">
        <f aca="false">IF($BD229&lt;&gt;Constants!$B$6,"",Constants!$B$19*IF($AH229,$AI229,0))</f>
        <v/>
      </c>
      <c r="AY229" s="130" t="str">
        <f aca="false">IF($BD229&lt;&gt;Constants!$B$6,"",IF(AND($AH229,ISNUMBER($AK229)),Constants!$B$20*(Constants!$B$21-$AK229),0))</f>
        <v/>
      </c>
      <c r="AZ229" s="130" t="str">
        <f aca="false">IF($BD229&lt;&gt;Constants!$B$6,"",IF($AG229,0,Constants!$B$12)+IF($AF229,0,Constants!$B$13)+IF($Y229,0,Constants!$B$14))</f>
        <v/>
      </c>
      <c r="BA229" s="131" t="str">
        <f aca="false">IF($BD229&lt;&gt;Constants!$B$6,"",Constants!$B$16+SUM($AW229:$AZ229))</f>
        <v/>
      </c>
      <c r="BB229" s="130" t="str">
        <f aca="false">IF($BD229&lt;&gt;Constants!$B$6,"",IF($AH229,$AJ229,""))</f>
        <v/>
      </c>
      <c r="BC229" s="132" t="str">
        <f aca="false">IF($BD229&lt;&gt;Constants!$B$6,"",$AX229)</f>
        <v/>
      </c>
      <c r="BD229" s="127" t="str">
        <f aca="false">IF(ISBLANK($C229),"",IF($AL229,Constants!$B$9,IF(COUNTA($E229:$T229)=0,Constants!$B$8,IF(NOT($X229),Constants!$B$7,IF(OR($AM229,$AV229),Constants!$B$10,Constants!$B$6)))))</f>
        <v/>
      </c>
      <c r="BE229" s="127" t="str">
        <f aca="false">IF(ISBLANK($C229),"",IF($BD229&lt;&gt;Constants!$B$6,$BD229,Constants!$B$11))</f>
        <v/>
      </c>
      <c r="BF229" s="130" t="str">
        <f aca="false">IF($BD229&lt;&gt;Constants!$B$6,"",IF($AU229="-&gt;",$BA229,$AR229))</f>
        <v/>
      </c>
      <c r="BG229" s="130" t="str">
        <f aca="false">IF($BD229&lt;&gt;Constants!$B$6,"",IF($W229,0,Constants!$B$15))</f>
        <v/>
      </c>
      <c r="BH229" s="130" t="str">
        <f aca="false">IF(ISBLANK($C229),"",IF($BD229&lt;&gt;Constants!$B$6,$BD229,SUM($BF229:$BG229)))</f>
        <v/>
      </c>
      <c r="BI229" s="127" t="str">
        <f aca="false">IF(ISBLANK($C229),"",IF($BD229&lt;&gt;Constants!$B$6,$BD229,RANK($BH229,$BH$9:$BH$508,1)))</f>
        <v/>
      </c>
      <c r="BJ229" s="130" t="str">
        <f aca="false">IF($BD229&lt;&gt;Constants!$B$6,"",IF($AU229="-&gt;",$BB229,$AS229))</f>
        <v/>
      </c>
      <c r="BK229" s="127" t="str">
        <f aca="false">IF(ISBLANK($C229),"",IF($BD229&lt;&gt;Constants!$B$6,$BD229,IF(ISNUMBER($BJ229),RANK($BJ229,$BJ$9:$BJ$508,1),COUNT($BJ$9:$BJ$508)+1)))</f>
        <v/>
      </c>
      <c r="BL229" s="130" t="str">
        <f aca="false">IF($BD229&lt;&gt;Constants!$B$6,"",IF($AU229="-&gt;",$BC229,$AT229))</f>
        <v/>
      </c>
      <c r="BM229" s="127" t="str">
        <f aca="false">IF(ISBLANK($C229),"",IF($BD229&lt;&gt;Constants!$B$6,$BD229,IF(ISNUMBER($BL229),RANK($BL229,$BL$9:$BL$508,1),COUNT($BL$9:$BL$508)+1)))</f>
        <v/>
      </c>
      <c r="BN229" s="130" t="str">
        <f aca="false">IF($BD229&lt;&gt;Constants!$B$6,"",IF($AU229="-&gt;",$AS229,$BB229))</f>
        <v/>
      </c>
      <c r="BO229" s="127" t="str">
        <f aca="false">IF(ISBLANK($C229),"",IF($BD229&lt;&gt;Constants!$B$6,$BD229,IF(ISNUMBER($BN229),RANK($BN229,$BN$9:$BN$508,1),COUNT($BN$9:$BN$508)+1)))</f>
        <v/>
      </c>
      <c r="BP229" s="130" t="str">
        <f aca="false">IF($BD229&lt;&gt;Constants!$B$6,"",IF($AU229="-&gt;",$AT229,$BC229))</f>
        <v/>
      </c>
      <c r="BQ229" s="127" t="str">
        <f aca="false">IF(ISBLANK($C229),"",IF($BD229&lt;&gt;Constants!$B$6,$BD229,IF(ISNUMBER($BP229),RANK($BP229,$BP$9:$BP$508,1),COUNT($BP$9:$BP$508)+1)))</f>
        <v/>
      </c>
      <c r="BR229" s="127" t="str">
        <f aca="false">IF(ISBLANK($C229),"",IF($BD229&lt;&gt;Constants!$B$6,$BD229,COUNTIFS($BI$9:$BI$508,"&lt;"&amp;$BI229)+COUNTIFS($BI$9:$BI$508,$BI229,$BK$9:$BK$508,"&lt;"&amp;$BK229)+COUNTIFS($BI$9:$BI$508,$BI229,$BK$9:$BK$508,$BK229,$BM$9:$BM$508,"&lt;"&amp;$BM229)+COUNTIFS($BI$9:$BI$508,$BI229,$BK$9:$BK$508,$BK229,$BM$9:$BM$508,$BM229,$BO$9:$BO$508,"&lt;"&amp;$BO229)+COUNTIFS($BI$9:$BI$508,$BI229,$BK$9:$BK$508,$BK229,$BM$9:$BM$508,$BM229,$BO$9:$BO$508,$BO229,$BQ$9:$BQ$508,"&lt;"&amp;$BQ229)+1))</f>
        <v/>
      </c>
      <c r="BS229" s="127" t="str">
        <f aca="false">IF(ISBLANK($C229),"",IF($BD229&lt;&gt;Constants!$B$6,$BD229,$BI229-$BR229))</f>
        <v/>
      </c>
      <c r="BT229" s="133"/>
      <c r="BU229" s="134"/>
      <c r="BV229" s="134" t="str">
        <f aca="false">IF(ISBLANK($C229),"",IF($BD229&lt;&gt;Constants!$B$6,"",IF($AU229="-&gt;",2,1)))</f>
        <v/>
      </c>
      <c r="BW229" s="135" t="str">
        <f aca="false">IF(ISBLANK($C229),"",IF($BD229&lt;&gt;Constants!$B$6,"",IF($AU229="-&gt;",$AW229,$AN229)))</f>
        <v/>
      </c>
      <c r="BX229" s="135" t="str">
        <f aca="false">IF(ISBLANK($C229),"",IF($BD229&lt;&gt;Constants!$B$6,"",IF($AU229="-&gt;",$AX229,$AO229)))</f>
        <v/>
      </c>
      <c r="BY229" s="135" t="str">
        <f aca="false">IF(ISBLANK($C229),"",IF($BD229&lt;&gt;Constants!$B$6,"",IF($AU229="-&gt;",$AY229,$AP229)))</f>
        <v/>
      </c>
      <c r="BZ229" s="135" t="str">
        <f aca="false">IF(ISBLANK($C229),"",IF($BD229&lt;&gt;Constants!$B$6,"",IF($AU229="-&gt;",$AZ229,$AQ229)+$BG229))</f>
        <v/>
      </c>
      <c r="CA229" s="136" t="str">
        <f aca="false">IF(ISBLANK($C229),"",IF($BD229&lt;&gt;Constants!$B$6,$BD229,$BH229))</f>
        <v/>
      </c>
      <c r="CB229" s="137" t="str">
        <f aca="false">IF(ISBLANK($C229),"",$BE229)</f>
        <v/>
      </c>
      <c r="CC229" s="138" t="str">
        <f aca="false">IF(ISBLANK($C229),"",$BS229)</f>
        <v/>
      </c>
      <c r="CD229" s="138" t="str">
        <f aca="false">IF(ISBLANK($C229),"",$BR229)</f>
        <v/>
      </c>
      <c r="CE229" s="139" t="str">
        <f aca="false">IF(ISBLANK($C229),"",IF($CD229=Constants!$B$9,COUNTA($C$9:$C$508)+2,IF($CD229=Constants!$B$8,COUNTA($C$9:$C$508)+1,IF($CD229=Constants!$B$7,COUNTA($C$9:$C$508),$CD229))))</f>
        <v/>
      </c>
      <c r="CF229" s="9"/>
      <c r="CG229" s="140" t="n">
        <f aca="false">IF(OR(ISNUMBER($CD229),$CD229=Constants!$B$9,$CD229=Constants!$B$7,$CD229=Constants!$B$8),1,0)</f>
        <v>0</v>
      </c>
      <c r="CH229" s="140" t="n">
        <v>221</v>
      </c>
      <c r="CI229" s="140" t="str">
        <f aca="false">IF(ISBLANK($C229),"",IF(ISNUMBER($CE229),$CE229+ROW($B229)/1000,""))</f>
        <v/>
      </c>
      <c r="CJ229" s="140" t="str">
        <f aca="false">IF(ISNUMBER($CI229),RANK($CI229,$CI$9:$CI$508,1),"")</f>
        <v/>
      </c>
      <c r="CK229" s="140" t="str">
        <f aca="false">IF(ISBLANK($C229),"",$B229)</f>
        <v/>
      </c>
      <c r="CL229" s="140" t="str">
        <f aca="false">IF(ISBLANK($C229),"",$C229)</f>
        <v/>
      </c>
      <c r="CM229" s="140" t="str">
        <f aca="false">IF(ISBLANK($C229),"",$D229)</f>
        <v/>
      </c>
      <c r="CN229" s="141" t="str">
        <f aca="false">$CB229</f>
        <v/>
      </c>
      <c r="CO229" s="142" t="str">
        <f aca="false">$CA229</f>
        <v/>
      </c>
      <c r="CP229" s="140" t="str">
        <f aca="false">IF(ISBLANK($C229),"",$CD229)</f>
        <v/>
      </c>
      <c r="CQ229" s="143" t="str">
        <f aca="false">IF($CH229&gt;$CG$8,"",VLOOKUP($CH229,$CJ$9:$CP$508,7,FALSE()))</f>
        <v/>
      </c>
      <c r="CR229" s="144" t="str">
        <f aca="false">IF($CH229&gt;$CG$8,"",VLOOKUP($CH229,$CJ$9:$CP$508,2,FALSE()))</f>
        <v/>
      </c>
      <c r="CS229" s="144" t="str">
        <f aca="false">IF($CH229&gt;$CG$8,"",VLOOKUP($CH229,$CJ$9:$CP$508,3,FALSE()))</f>
        <v/>
      </c>
      <c r="CT229" s="144" t="str">
        <f aca="false">IF($CH229&gt;$CG$8,"",VLOOKUP($CH229,$CJ$9:$CP$508,4,FALSE()))</f>
        <v/>
      </c>
      <c r="CU229" s="144" t="str">
        <f aca="false">IF($CH229&gt;$CG$8,"",VLOOKUP($CH229,$CJ$9:$CP$508,5,FALSE()))</f>
        <v/>
      </c>
      <c r="CV229" s="145" t="str">
        <f aca="false">IF($CH229&gt;$CG$8,"",VLOOKUP($CH229,$CJ$9:$CP$508,6,FALSE()))</f>
        <v/>
      </c>
      <c r="CW229" s="71"/>
    </row>
    <row r="230" customFormat="false" ht="15.75" hidden="false" customHeight="false" outlineLevel="0" collapsed="false">
      <c r="A230" s="9"/>
      <c r="B230" s="150"/>
      <c r="C230" s="151"/>
      <c r="D230" s="152"/>
      <c r="E230" s="170"/>
      <c r="F230" s="154"/>
      <c r="G230" s="155"/>
      <c r="H230" s="171"/>
      <c r="I230" s="159"/>
      <c r="J230" s="120"/>
      <c r="K230" s="121"/>
      <c r="L230" s="122"/>
      <c r="M230" s="158"/>
      <c r="N230" s="159"/>
      <c r="O230" s="159"/>
      <c r="P230" s="120"/>
      <c r="Q230" s="122"/>
      <c r="R230" s="122"/>
      <c r="S230" s="158"/>
      <c r="T230" s="159"/>
      <c r="U230" s="126"/>
      <c r="V230" s="127"/>
      <c r="W230" s="127" t="str">
        <f aca="false">IF(ISBLANK($C230),"",IF(E230=Constants!$B$2,TRUE(),IF(E230=Constants!$B$3,FALSE(),TRUE())))</f>
        <v/>
      </c>
      <c r="X230" s="127" t="str">
        <f aca="false">IF(ISBLANK($C230),"",IF(F230=Constants!$B$2,TRUE(),IF(F230=Constants!$B$3,FALSE(),TRUE())))</f>
        <v/>
      </c>
      <c r="Y230" s="127" t="str">
        <f aca="false">IF(ISBLANK($C230),"",IF(G230=Constants!$B$2,TRUE(),IF(G230=Constants!$B$3,FALSE(),TRUE())))</f>
        <v/>
      </c>
      <c r="Z230" s="127" t="str">
        <f aca="false">IF(ISBLANK($C230),"",IF(H230=Constants!$B$2,TRUE(),IF(H230=Constants!$B$3,FALSE(),TRUE())))</f>
        <v/>
      </c>
      <c r="AA230" s="127" t="str">
        <f aca="false">IF(ISBLANK($C230),"",IF(I230=Constants!$B$2,TRUE(),IF(I230=Constants!$B$3,FALSE(),TRUE())))</f>
        <v/>
      </c>
      <c r="AB230" s="127" t="str">
        <f aca="false">IF(ISBLANK($C230),"",IF(J230=Constants!$B$4,TRUE(),IF(J230=Constants!$B$5,FALSE(),COUNTA(K230:M230)&gt;0)))</f>
        <v/>
      </c>
      <c r="AC230" s="128" t="str">
        <f aca="false">IF(ISBLANK($C230),"",IF(ISNUMBER(K230),IF(K230&gt;=0,K230,""),""))</f>
        <v/>
      </c>
      <c r="AD230" s="129" t="str">
        <f aca="false">IF(ISBLANK($C230),"",IF(ISNUMBER(L230),IF(L230&gt;=0,L230,""),""))</f>
        <v/>
      </c>
      <c r="AE230" s="127" t="str">
        <f aca="false">IF(ISBLANK($C230),"",IF(ISNUMBER(M230),IF(M230&gt;=0,MIN(M230,Constants!$B$22),""),""))</f>
        <v/>
      </c>
      <c r="AF230" s="127" t="str">
        <f aca="false">IF(ISBLANK($C230),"",IF(N230=Constants!$B$2,TRUE(),IF(N230=Constants!$B$3,FALSE(),TRUE())))</f>
        <v/>
      </c>
      <c r="AG230" s="127" t="str">
        <f aca="false">IF(ISBLANK($C230),"",IF(O230=Constants!$B$2,TRUE(),IF(O230=Constants!$B$3,FALSE(),TRUE())))</f>
        <v/>
      </c>
      <c r="AH230" s="127" t="str">
        <f aca="false">IF(ISBLANK($C230),"",IF(P230=Constants!$B$4,TRUE(),IF(P230=Constants!$B$5,FALSE(),COUNTA(Q230:S230)&gt;0)))</f>
        <v/>
      </c>
      <c r="AI230" s="128" t="str">
        <f aca="false">IF(ISBLANK($C230),"",IF(ISNUMBER(Q230),IF(Q230&gt;=0,Q230,""),""))</f>
        <v/>
      </c>
      <c r="AJ230" s="129" t="str">
        <f aca="false">IF(ISBLANK($C230),"",IF(ISNUMBER(R230),IF(R230&gt;=0,R230,""),""))</f>
        <v/>
      </c>
      <c r="AK230" s="127" t="str">
        <f aca="false">IF(ISBLANK($C230),"",IF(ISNUMBER(S230),IF(S230&gt;=0,MIN(S230,Constants!$B$22),""),""))</f>
        <v/>
      </c>
      <c r="AL230" s="127" t="str">
        <f aca="false">IF(ISBLANK($C230),"",IF(T230=Constants!$B$2,TRUE(),IF(T230=Constants!$B$3,FALSE(),FALSE())))</f>
        <v/>
      </c>
      <c r="AM230" s="126" t="str">
        <f aca="false">IF(ISBLANK($C230),"",AND($AB230,OR($AC230="",$AD230="",AND(NOT(ISBLANK($M230)),$AE230=""))))</f>
        <v/>
      </c>
      <c r="AN230" s="129" t="str">
        <f aca="false">IF($BD230&lt;&gt;Constants!$B$6,"",IF($AB230,Constants!$B$17*$AD230,Constants!$B$18))</f>
        <v/>
      </c>
      <c r="AO230" s="130" t="str">
        <f aca="false">IF($BD230&lt;&gt;Constants!$B$6,"",Constants!$B$19*IF($AB230,$AC230,0))</f>
        <v/>
      </c>
      <c r="AP230" s="130" t="str">
        <f aca="false">IF($BD230&lt;&gt;Constants!$B$6,"",IF(AND($AB230,ISNUMBER($AE230)),Constants!$B$20*(Constants!$B$21-$AE230),0))</f>
        <v/>
      </c>
      <c r="AQ230" s="130" t="str">
        <f aca="false">IF($BD230&lt;&gt;Constants!$B$6,"",IF($AA230,0,Constants!$B$12)+IF($Z230,0,Constants!$B$13)+IF($Y230,0,Constants!$B$14))</f>
        <v/>
      </c>
      <c r="AR230" s="131" t="str">
        <f aca="false">IF($BD230&lt;&gt;Constants!$B$6,"",Constants!$B$16+SUM($AN230:$AQ230))</f>
        <v/>
      </c>
      <c r="AS230" s="130" t="str">
        <f aca="false">IF($BD230&lt;&gt;Constants!$B$6,"",IF($AB230,$AD230,""))</f>
        <v/>
      </c>
      <c r="AT230" s="132" t="str">
        <f aca="false">IF($BD230&lt;&gt;Constants!$B$6,"",$AO230)</f>
        <v/>
      </c>
      <c r="AU230" s="127" t="str">
        <f aca="false">IF($BD230&lt;&gt;Constants!$B$6,"",IF(OR($BA230&lt;$AR230,AND($BA230=$AR230,OR(AND(ISNUMBER($BB230),OR(NOT(ISNUMBER($AS230)),$BB230&lt;$AS230)),AND(OR(AND($BB230="",$AS230=""),AND(ISNUMBER($BB230),ISNUMBER($AS230),$BB230=$AS230)),$BC230&lt;$AT230)))),"-&gt;","&lt;-"))</f>
        <v/>
      </c>
      <c r="AV230" s="126" t="str">
        <f aca="false">IF(ISBLANK($C230),"",AND($AH230,OR($AI230="",$AJ230="",AND(NOT(ISBLANK($S230)),$AK230=""))))</f>
        <v/>
      </c>
      <c r="AW230" s="129" t="str">
        <f aca="false">IF($BD230&lt;&gt;Constants!$B$6,"",IF($AH230,Constants!$B$17*$AJ230,Constants!$B$18))</f>
        <v/>
      </c>
      <c r="AX230" s="130" t="str">
        <f aca="false">IF($BD230&lt;&gt;Constants!$B$6,"",Constants!$B$19*IF($AH230,$AI230,0))</f>
        <v/>
      </c>
      <c r="AY230" s="130" t="str">
        <f aca="false">IF($BD230&lt;&gt;Constants!$B$6,"",IF(AND($AH230,ISNUMBER($AK230)),Constants!$B$20*(Constants!$B$21-$AK230),0))</f>
        <v/>
      </c>
      <c r="AZ230" s="130" t="str">
        <f aca="false">IF($BD230&lt;&gt;Constants!$B$6,"",IF($AG230,0,Constants!$B$12)+IF($AF230,0,Constants!$B$13)+IF($Y230,0,Constants!$B$14))</f>
        <v/>
      </c>
      <c r="BA230" s="131" t="str">
        <f aca="false">IF($BD230&lt;&gt;Constants!$B$6,"",Constants!$B$16+SUM($AW230:$AZ230))</f>
        <v/>
      </c>
      <c r="BB230" s="130" t="str">
        <f aca="false">IF($BD230&lt;&gt;Constants!$B$6,"",IF($AH230,$AJ230,""))</f>
        <v/>
      </c>
      <c r="BC230" s="132" t="str">
        <f aca="false">IF($BD230&lt;&gt;Constants!$B$6,"",$AX230)</f>
        <v/>
      </c>
      <c r="BD230" s="127" t="str">
        <f aca="false">IF(ISBLANK($C230),"",IF($AL230,Constants!$B$9,IF(COUNTA($E230:$T230)=0,Constants!$B$8,IF(NOT($X230),Constants!$B$7,IF(OR($AM230,$AV230),Constants!$B$10,Constants!$B$6)))))</f>
        <v/>
      </c>
      <c r="BE230" s="127" t="str">
        <f aca="false">IF(ISBLANK($C230),"",IF($BD230&lt;&gt;Constants!$B$6,$BD230,Constants!$B$11))</f>
        <v/>
      </c>
      <c r="BF230" s="130" t="str">
        <f aca="false">IF($BD230&lt;&gt;Constants!$B$6,"",IF($AU230="-&gt;",$BA230,$AR230))</f>
        <v/>
      </c>
      <c r="BG230" s="130" t="str">
        <f aca="false">IF($BD230&lt;&gt;Constants!$B$6,"",IF($W230,0,Constants!$B$15))</f>
        <v/>
      </c>
      <c r="BH230" s="130" t="str">
        <f aca="false">IF(ISBLANK($C230),"",IF($BD230&lt;&gt;Constants!$B$6,$BD230,SUM($BF230:$BG230)))</f>
        <v/>
      </c>
      <c r="BI230" s="127" t="str">
        <f aca="false">IF(ISBLANK($C230),"",IF($BD230&lt;&gt;Constants!$B$6,$BD230,RANK($BH230,$BH$9:$BH$508,1)))</f>
        <v/>
      </c>
      <c r="BJ230" s="130" t="str">
        <f aca="false">IF($BD230&lt;&gt;Constants!$B$6,"",IF($AU230="-&gt;",$BB230,$AS230))</f>
        <v/>
      </c>
      <c r="BK230" s="127" t="str">
        <f aca="false">IF(ISBLANK($C230),"",IF($BD230&lt;&gt;Constants!$B$6,$BD230,IF(ISNUMBER($BJ230),RANK($BJ230,$BJ$9:$BJ$508,1),COUNT($BJ$9:$BJ$508)+1)))</f>
        <v/>
      </c>
      <c r="BL230" s="130" t="str">
        <f aca="false">IF($BD230&lt;&gt;Constants!$B$6,"",IF($AU230="-&gt;",$BC230,$AT230))</f>
        <v/>
      </c>
      <c r="BM230" s="127" t="str">
        <f aca="false">IF(ISBLANK($C230),"",IF($BD230&lt;&gt;Constants!$B$6,$BD230,IF(ISNUMBER($BL230),RANK($BL230,$BL$9:$BL$508,1),COUNT($BL$9:$BL$508)+1)))</f>
        <v/>
      </c>
      <c r="BN230" s="130" t="str">
        <f aca="false">IF($BD230&lt;&gt;Constants!$B$6,"",IF($AU230="-&gt;",$AS230,$BB230))</f>
        <v/>
      </c>
      <c r="BO230" s="127" t="str">
        <f aca="false">IF(ISBLANK($C230),"",IF($BD230&lt;&gt;Constants!$B$6,$BD230,IF(ISNUMBER($BN230),RANK($BN230,$BN$9:$BN$508,1),COUNT($BN$9:$BN$508)+1)))</f>
        <v/>
      </c>
      <c r="BP230" s="130" t="str">
        <f aca="false">IF($BD230&lt;&gt;Constants!$B$6,"",IF($AU230="-&gt;",$AT230,$BC230))</f>
        <v/>
      </c>
      <c r="BQ230" s="127" t="str">
        <f aca="false">IF(ISBLANK($C230),"",IF($BD230&lt;&gt;Constants!$B$6,$BD230,IF(ISNUMBER($BP230),RANK($BP230,$BP$9:$BP$508,1),COUNT($BP$9:$BP$508)+1)))</f>
        <v/>
      </c>
      <c r="BR230" s="127" t="str">
        <f aca="false">IF(ISBLANK($C230),"",IF($BD230&lt;&gt;Constants!$B$6,$BD230,COUNTIFS($BI$9:$BI$508,"&lt;"&amp;$BI230)+COUNTIFS($BI$9:$BI$508,$BI230,$BK$9:$BK$508,"&lt;"&amp;$BK230)+COUNTIFS($BI$9:$BI$508,$BI230,$BK$9:$BK$508,$BK230,$BM$9:$BM$508,"&lt;"&amp;$BM230)+COUNTIFS($BI$9:$BI$508,$BI230,$BK$9:$BK$508,$BK230,$BM$9:$BM$508,$BM230,$BO$9:$BO$508,"&lt;"&amp;$BO230)+COUNTIFS($BI$9:$BI$508,$BI230,$BK$9:$BK$508,$BK230,$BM$9:$BM$508,$BM230,$BO$9:$BO$508,$BO230,$BQ$9:$BQ$508,"&lt;"&amp;$BQ230)+1))</f>
        <v/>
      </c>
      <c r="BS230" s="127" t="str">
        <f aca="false">IF(ISBLANK($C230),"",IF($BD230&lt;&gt;Constants!$B$6,$BD230,$BI230-$BR230))</f>
        <v/>
      </c>
      <c r="BT230" s="133"/>
      <c r="BU230" s="134"/>
      <c r="BV230" s="134" t="str">
        <f aca="false">IF(ISBLANK($C230),"",IF($BD230&lt;&gt;Constants!$B$6,"",IF($AU230="-&gt;",2,1)))</f>
        <v/>
      </c>
      <c r="BW230" s="135" t="str">
        <f aca="false">IF(ISBLANK($C230),"",IF($BD230&lt;&gt;Constants!$B$6,"",IF($AU230="-&gt;",$AW230,$AN230)))</f>
        <v/>
      </c>
      <c r="BX230" s="135" t="str">
        <f aca="false">IF(ISBLANK($C230),"",IF($BD230&lt;&gt;Constants!$B$6,"",IF($AU230="-&gt;",$AX230,$AO230)))</f>
        <v/>
      </c>
      <c r="BY230" s="135" t="str">
        <f aca="false">IF(ISBLANK($C230),"",IF($BD230&lt;&gt;Constants!$B$6,"",IF($AU230="-&gt;",$AY230,$AP230)))</f>
        <v/>
      </c>
      <c r="BZ230" s="135" t="str">
        <f aca="false">IF(ISBLANK($C230),"",IF($BD230&lt;&gt;Constants!$B$6,"",IF($AU230="-&gt;",$AZ230,$AQ230)+$BG230))</f>
        <v/>
      </c>
      <c r="CA230" s="136" t="str">
        <f aca="false">IF(ISBLANK($C230),"",IF($BD230&lt;&gt;Constants!$B$6,$BD230,$BH230))</f>
        <v/>
      </c>
      <c r="CB230" s="137" t="str">
        <f aca="false">IF(ISBLANK($C230),"",$BE230)</f>
        <v/>
      </c>
      <c r="CC230" s="138" t="str">
        <f aca="false">IF(ISBLANK($C230),"",$BS230)</f>
        <v/>
      </c>
      <c r="CD230" s="138" t="str">
        <f aca="false">IF(ISBLANK($C230),"",$BR230)</f>
        <v/>
      </c>
      <c r="CE230" s="139" t="str">
        <f aca="false">IF(ISBLANK($C230),"",IF($CD230=Constants!$B$9,COUNTA($C$9:$C$508)+2,IF($CD230=Constants!$B$8,COUNTA($C$9:$C$508)+1,IF($CD230=Constants!$B$7,COUNTA($C$9:$C$508),$CD230))))</f>
        <v/>
      </c>
      <c r="CF230" s="9"/>
      <c r="CG230" s="140" t="n">
        <f aca="false">IF(OR(ISNUMBER($CD230),$CD230=Constants!$B$9,$CD230=Constants!$B$7,$CD230=Constants!$B$8),1,0)</f>
        <v>0</v>
      </c>
      <c r="CH230" s="140" t="n">
        <v>222</v>
      </c>
      <c r="CI230" s="140" t="str">
        <f aca="false">IF(ISBLANK($C230),"",IF(ISNUMBER($CE230),$CE230+ROW($B230)/1000,""))</f>
        <v/>
      </c>
      <c r="CJ230" s="140" t="str">
        <f aca="false">IF(ISNUMBER($CI230),RANK($CI230,$CI$9:$CI$508,1),"")</f>
        <v/>
      </c>
      <c r="CK230" s="140" t="str">
        <f aca="false">IF(ISBLANK($C230),"",$B230)</f>
        <v/>
      </c>
      <c r="CL230" s="140" t="str">
        <f aca="false">IF(ISBLANK($C230),"",$C230)</f>
        <v/>
      </c>
      <c r="CM230" s="140" t="str">
        <f aca="false">IF(ISBLANK($C230),"",$D230)</f>
        <v/>
      </c>
      <c r="CN230" s="141" t="str">
        <f aca="false">$CB230</f>
        <v/>
      </c>
      <c r="CO230" s="142" t="str">
        <f aca="false">$CA230</f>
        <v/>
      </c>
      <c r="CP230" s="140" t="str">
        <f aca="false">IF(ISBLANK($C230),"",$CD230)</f>
        <v/>
      </c>
      <c r="CQ230" s="143" t="str">
        <f aca="false">IF($CH230&gt;$CG$8,"",VLOOKUP($CH230,$CJ$9:$CP$508,7,FALSE()))</f>
        <v/>
      </c>
      <c r="CR230" s="144" t="str">
        <f aca="false">IF($CH230&gt;$CG$8,"",VLOOKUP($CH230,$CJ$9:$CP$508,2,FALSE()))</f>
        <v/>
      </c>
      <c r="CS230" s="144" t="str">
        <f aca="false">IF($CH230&gt;$CG$8,"",VLOOKUP($CH230,$CJ$9:$CP$508,3,FALSE()))</f>
        <v/>
      </c>
      <c r="CT230" s="144" t="str">
        <f aca="false">IF($CH230&gt;$CG$8,"",VLOOKUP($CH230,$CJ$9:$CP$508,4,FALSE()))</f>
        <v/>
      </c>
      <c r="CU230" s="144" t="str">
        <f aca="false">IF($CH230&gt;$CG$8,"",VLOOKUP($CH230,$CJ$9:$CP$508,5,FALSE()))</f>
        <v/>
      </c>
      <c r="CV230" s="145" t="str">
        <f aca="false">IF($CH230&gt;$CG$8,"",VLOOKUP($CH230,$CJ$9:$CP$508,6,FALSE()))</f>
        <v/>
      </c>
      <c r="CW230" s="71"/>
    </row>
    <row r="231" customFormat="false" ht="15.75" hidden="false" customHeight="false" outlineLevel="0" collapsed="false">
      <c r="A231" s="9"/>
      <c r="B231" s="72"/>
      <c r="C231" s="73"/>
      <c r="D231" s="160"/>
      <c r="E231" s="168"/>
      <c r="F231" s="162"/>
      <c r="G231" s="163"/>
      <c r="H231" s="169"/>
      <c r="I231" s="167"/>
      <c r="J231" s="80"/>
      <c r="K231" s="81"/>
      <c r="L231" s="82"/>
      <c r="M231" s="166"/>
      <c r="N231" s="167"/>
      <c r="O231" s="167"/>
      <c r="P231" s="80"/>
      <c r="Q231" s="82"/>
      <c r="R231" s="82"/>
      <c r="S231" s="166"/>
      <c r="T231" s="167"/>
      <c r="U231" s="86"/>
      <c r="V231" s="87"/>
      <c r="W231" s="87" t="str">
        <f aca="false">IF(ISBLANK($C231),"",IF(E231=Constants!$B$2,TRUE(),IF(E231=Constants!$B$3,FALSE(),TRUE())))</f>
        <v/>
      </c>
      <c r="X231" s="87" t="str">
        <f aca="false">IF(ISBLANK($C231),"",IF(F231=Constants!$B$2,TRUE(),IF(F231=Constants!$B$3,FALSE(),TRUE())))</f>
        <v/>
      </c>
      <c r="Y231" s="87" t="str">
        <f aca="false">IF(ISBLANK($C231),"",IF(G231=Constants!$B$2,TRUE(),IF(G231=Constants!$B$3,FALSE(),TRUE())))</f>
        <v/>
      </c>
      <c r="Z231" s="87" t="str">
        <f aca="false">IF(ISBLANK($C231),"",IF(H231=Constants!$B$2,TRUE(),IF(H231=Constants!$B$3,FALSE(),TRUE())))</f>
        <v/>
      </c>
      <c r="AA231" s="87" t="str">
        <f aca="false">IF(ISBLANK($C231),"",IF(I231=Constants!$B$2,TRUE(),IF(I231=Constants!$B$3,FALSE(),TRUE())))</f>
        <v/>
      </c>
      <c r="AB231" s="87" t="str">
        <f aca="false">IF(ISBLANK($C231),"",IF(J231=Constants!$B$4,TRUE(),IF(J231=Constants!$B$5,FALSE(),COUNTA(K231:M231)&gt;0)))</f>
        <v/>
      </c>
      <c r="AC231" s="88" t="str">
        <f aca="false">IF(ISBLANK($C231),"",IF(ISNUMBER(K231),IF(K231&gt;=0,K231,""),""))</f>
        <v/>
      </c>
      <c r="AD231" s="89" t="str">
        <f aca="false">IF(ISBLANK($C231),"",IF(ISNUMBER(L231),IF(L231&gt;=0,L231,""),""))</f>
        <v/>
      </c>
      <c r="AE231" s="87" t="str">
        <f aca="false">IF(ISBLANK($C231),"",IF(ISNUMBER(M231),IF(M231&gt;=0,MIN(M231,Constants!$B$22),""),""))</f>
        <v/>
      </c>
      <c r="AF231" s="87" t="str">
        <f aca="false">IF(ISBLANK($C231),"",IF(N231=Constants!$B$2,TRUE(),IF(N231=Constants!$B$3,FALSE(),TRUE())))</f>
        <v/>
      </c>
      <c r="AG231" s="87" t="str">
        <f aca="false">IF(ISBLANK($C231),"",IF(O231=Constants!$B$2,TRUE(),IF(O231=Constants!$B$3,FALSE(),TRUE())))</f>
        <v/>
      </c>
      <c r="AH231" s="87" t="str">
        <f aca="false">IF(ISBLANK($C231),"",IF(P231=Constants!$B$4,TRUE(),IF(P231=Constants!$B$5,FALSE(),COUNTA(Q231:S231)&gt;0)))</f>
        <v/>
      </c>
      <c r="AI231" s="88" t="str">
        <f aca="false">IF(ISBLANK($C231),"",IF(ISNUMBER(Q231),IF(Q231&gt;=0,Q231,""),""))</f>
        <v/>
      </c>
      <c r="AJ231" s="89" t="str">
        <f aca="false">IF(ISBLANK($C231),"",IF(ISNUMBER(R231),IF(R231&gt;=0,R231,""),""))</f>
        <v/>
      </c>
      <c r="AK231" s="87" t="str">
        <f aca="false">IF(ISBLANK($C231),"",IF(ISNUMBER(S231),IF(S231&gt;=0,MIN(S231,Constants!$B$22),""),""))</f>
        <v/>
      </c>
      <c r="AL231" s="87" t="str">
        <f aca="false">IF(ISBLANK($C231),"",IF(T231=Constants!$B$2,TRUE(),IF(T231=Constants!$B$3,FALSE(),FALSE())))</f>
        <v/>
      </c>
      <c r="AM231" s="86" t="str">
        <f aca="false">IF(ISBLANK($C231),"",AND($AB231,OR($AC231="",$AD231="",AND(NOT(ISBLANK($M231)),$AE231=""))))</f>
        <v/>
      </c>
      <c r="AN231" s="89" t="str">
        <f aca="false">IF($BD231&lt;&gt;Constants!$B$6,"",IF($AB231,Constants!$B$17*$AD231,Constants!$B$18))</f>
        <v/>
      </c>
      <c r="AO231" s="91" t="str">
        <f aca="false">IF($BD231&lt;&gt;Constants!$B$6,"",Constants!$B$19*IF($AB231,$AC231,0))</f>
        <v/>
      </c>
      <c r="AP231" s="91" t="str">
        <f aca="false">IF($BD231&lt;&gt;Constants!$B$6,"",IF(AND($AB231,ISNUMBER($AE231)),Constants!$B$20*(Constants!$B$21-$AE231),0))</f>
        <v/>
      </c>
      <c r="AQ231" s="91" t="str">
        <f aca="false">IF($BD231&lt;&gt;Constants!$B$6,"",IF($AA231,0,Constants!$B$12)+IF($Z231,0,Constants!$B$13)+IF($Y231,0,Constants!$B$14))</f>
        <v/>
      </c>
      <c r="AR231" s="92" t="str">
        <f aca="false">IF($BD231&lt;&gt;Constants!$B$6,"",Constants!$B$16+SUM($AN231:$AQ231))</f>
        <v/>
      </c>
      <c r="AS231" s="91" t="str">
        <f aca="false">IF($BD231&lt;&gt;Constants!$B$6,"",IF($AB231,$AD231,""))</f>
        <v/>
      </c>
      <c r="AT231" s="93" t="str">
        <f aca="false">IF($BD231&lt;&gt;Constants!$B$6,"",$AO231)</f>
        <v/>
      </c>
      <c r="AU231" s="87" t="str">
        <f aca="false">IF($BD231&lt;&gt;Constants!$B$6,"",IF(OR($BA231&lt;$AR231,AND($BA231=$AR231,OR(AND(ISNUMBER($BB231),OR(NOT(ISNUMBER($AS231)),$BB231&lt;$AS231)),AND(OR(AND($BB231="",$AS231=""),AND(ISNUMBER($BB231),ISNUMBER($AS231),$BB231=$AS231)),$BC231&lt;$AT231)))),"-&gt;","&lt;-"))</f>
        <v/>
      </c>
      <c r="AV231" s="86" t="str">
        <f aca="false">IF(ISBLANK($C231),"",AND($AH231,OR($AI231="",$AJ231="",AND(NOT(ISBLANK($S231)),$AK231=""))))</f>
        <v/>
      </c>
      <c r="AW231" s="89" t="str">
        <f aca="false">IF($BD231&lt;&gt;Constants!$B$6,"",IF($AH231,Constants!$B$17*$AJ231,Constants!$B$18))</f>
        <v/>
      </c>
      <c r="AX231" s="91" t="str">
        <f aca="false">IF($BD231&lt;&gt;Constants!$B$6,"",Constants!$B$19*IF($AH231,$AI231,0))</f>
        <v/>
      </c>
      <c r="AY231" s="91" t="str">
        <f aca="false">IF($BD231&lt;&gt;Constants!$B$6,"",IF(AND($AH231,ISNUMBER($AK231)),Constants!$B$20*(Constants!$B$21-$AK231),0))</f>
        <v/>
      </c>
      <c r="AZ231" s="91" t="str">
        <f aca="false">IF($BD231&lt;&gt;Constants!$B$6,"",IF($AG231,0,Constants!$B$12)+IF($AF231,0,Constants!$B$13)+IF($Y231,0,Constants!$B$14))</f>
        <v/>
      </c>
      <c r="BA231" s="92" t="str">
        <f aca="false">IF($BD231&lt;&gt;Constants!$B$6,"",Constants!$B$16+SUM($AW231:$AZ231))</f>
        <v/>
      </c>
      <c r="BB231" s="91" t="str">
        <f aca="false">IF($BD231&lt;&gt;Constants!$B$6,"",IF($AH231,$AJ231,""))</f>
        <v/>
      </c>
      <c r="BC231" s="93" t="str">
        <f aca="false">IF($BD231&lt;&gt;Constants!$B$6,"",$AX231)</f>
        <v/>
      </c>
      <c r="BD231" s="87" t="str">
        <f aca="false">IF(ISBLANK($C231),"",IF($AL231,Constants!$B$9,IF(COUNTA($E231:$T231)=0,Constants!$B$8,IF(NOT($X231),Constants!$B$7,IF(OR($AM231,$AV231),Constants!$B$10,Constants!$B$6)))))</f>
        <v/>
      </c>
      <c r="BE231" s="87" t="str">
        <f aca="false">IF(ISBLANK($C231),"",IF($BD231&lt;&gt;Constants!$B$6,$BD231,Constants!$B$11))</f>
        <v/>
      </c>
      <c r="BF231" s="91" t="str">
        <f aca="false">IF($BD231&lt;&gt;Constants!$B$6,"",IF($AU231="-&gt;",$BA231,$AR231))</f>
        <v/>
      </c>
      <c r="BG231" s="91" t="str">
        <f aca="false">IF($BD231&lt;&gt;Constants!$B$6,"",IF($W231,0,Constants!$B$15))</f>
        <v/>
      </c>
      <c r="BH231" s="91" t="str">
        <f aca="false">IF(ISBLANK($C231),"",IF($BD231&lt;&gt;Constants!$B$6,$BD231,SUM($BF231:$BG231)))</f>
        <v/>
      </c>
      <c r="BI231" s="87" t="str">
        <f aca="false">IF(ISBLANK($C231),"",IF($BD231&lt;&gt;Constants!$B$6,$BD231,RANK($BH231,$BH$9:$BH$508,1)))</f>
        <v/>
      </c>
      <c r="BJ231" s="91" t="str">
        <f aca="false">IF($BD231&lt;&gt;Constants!$B$6,"",IF($AU231="-&gt;",$BB231,$AS231))</f>
        <v/>
      </c>
      <c r="BK231" s="87" t="str">
        <f aca="false">IF(ISBLANK($C231),"",IF($BD231&lt;&gt;Constants!$B$6,$BD231,IF(ISNUMBER($BJ231),RANK($BJ231,$BJ$9:$BJ$508,1),COUNT($BJ$9:$BJ$508)+1)))</f>
        <v/>
      </c>
      <c r="BL231" s="91" t="str">
        <f aca="false">IF($BD231&lt;&gt;Constants!$B$6,"",IF($AU231="-&gt;",$BC231,$AT231))</f>
        <v/>
      </c>
      <c r="BM231" s="87" t="str">
        <f aca="false">IF(ISBLANK($C231),"",IF($BD231&lt;&gt;Constants!$B$6,$BD231,IF(ISNUMBER($BL231),RANK($BL231,$BL$9:$BL$508,1),COUNT($BL$9:$BL$508)+1)))</f>
        <v/>
      </c>
      <c r="BN231" s="91" t="str">
        <f aca="false">IF($BD231&lt;&gt;Constants!$B$6,"",IF($AU231="-&gt;",$AS231,$BB231))</f>
        <v/>
      </c>
      <c r="BO231" s="87" t="str">
        <f aca="false">IF(ISBLANK($C231),"",IF($BD231&lt;&gt;Constants!$B$6,$BD231,IF(ISNUMBER($BN231),RANK($BN231,$BN$9:$BN$508,1),COUNT($BN$9:$BN$508)+1)))</f>
        <v/>
      </c>
      <c r="BP231" s="91" t="str">
        <f aca="false">IF($BD231&lt;&gt;Constants!$B$6,"",IF($AU231="-&gt;",$AT231,$BC231))</f>
        <v/>
      </c>
      <c r="BQ231" s="87" t="str">
        <f aca="false">IF(ISBLANK($C231),"",IF($BD231&lt;&gt;Constants!$B$6,$BD231,IF(ISNUMBER($BP231),RANK($BP231,$BP$9:$BP$508,1),COUNT($BP$9:$BP$508)+1)))</f>
        <v/>
      </c>
      <c r="BR231" s="87" t="str">
        <f aca="false">IF(ISBLANK($C231),"",IF($BD231&lt;&gt;Constants!$B$6,$BD231,COUNTIFS($BI$9:$BI$508,"&lt;"&amp;$BI231)+COUNTIFS($BI$9:$BI$508,$BI231,$BK$9:$BK$508,"&lt;"&amp;$BK231)+COUNTIFS($BI$9:$BI$508,$BI231,$BK$9:$BK$508,$BK231,$BM$9:$BM$508,"&lt;"&amp;$BM231)+COUNTIFS($BI$9:$BI$508,$BI231,$BK$9:$BK$508,$BK231,$BM$9:$BM$508,$BM231,$BO$9:$BO$508,"&lt;"&amp;$BO231)+COUNTIFS($BI$9:$BI$508,$BI231,$BK$9:$BK$508,$BK231,$BM$9:$BM$508,$BM231,$BO$9:$BO$508,$BO231,$BQ$9:$BQ$508,"&lt;"&amp;$BQ231)+1))</f>
        <v/>
      </c>
      <c r="BS231" s="87" t="str">
        <f aca="false">IF(ISBLANK($C231),"",IF($BD231&lt;&gt;Constants!$B$6,$BD231,$BI231-$BR231))</f>
        <v/>
      </c>
      <c r="BT231" s="94"/>
      <c r="BU231" s="95"/>
      <c r="BV231" s="95" t="str">
        <f aca="false">IF(ISBLANK($C231),"",IF($BD231&lt;&gt;Constants!$B$6,"",IF($AU231="-&gt;",2,1)))</f>
        <v/>
      </c>
      <c r="BW231" s="96" t="str">
        <f aca="false">IF(ISBLANK($C231),"",IF($BD231&lt;&gt;Constants!$B$6,"",IF($AU231="-&gt;",$AW231,$AN231)))</f>
        <v/>
      </c>
      <c r="BX231" s="96" t="str">
        <f aca="false">IF(ISBLANK($C231),"",IF($BD231&lt;&gt;Constants!$B$6,"",IF($AU231="-&gt;",$AX231,$AO231)))</f>
        <v/>
      </c>
      <c r="BY231" s="96" t="str">
        <f aca="false">IF(ISBLANK($C231),"",IF($BD231&lt;&gt;Constants!$B$6,"",IF($AU231="-&gt;",$AY231,$AP231)))</f>
        <v/>
      </c>
      <c r="BZ231" s="96" t="str">
        <f aca="false">IF(ISBLANK($C231),"",IF($BD231&lt;&gt;Constants!$B$6,"",IF($AU231="-&gt;",$AZ231,$AQ231)+$BG231))</f>
        <v/>
      </c>
      <c r="CA231" s="97" t="str">
        <f aca="false">IF(ISBLANK($C231),"",IF($BD231&lt;&gt;Constants!$B$6,$BD231,$BH231))</f>
        <v/>
      </c>
      <c r="CB231" s="98" t="str">
        <f aca="false">IF(ISBLANK($C231),"",$BE231)</f>
        <v/>
      </c>
      <c r="CC231" s="99" t="str">
        <f aca="false">IF(ISBLANK($C231),"",$BS231)</f>
        <v/>
      </c>
      <c r="CD231" s="99" t="str">
        <f aca="false">IF(ISBLANK($C231),"",$BR231)</f>
        <v/>
      </c>
      <c r="CE231" s="100" t="str">
        <f aca="false">IF(ISBLANK($C231),"",IF($CD231=Constants!$B$9,COUNTA($C$9:$C$508)+2,IF($CD231=Constants!$B$8,COUNTA($C$9:$C$508)+1,IF($CD231=Constants!$B$7,COUNTA($C$9:$C$508),$CD231))))</f>
        <v/>
      </c>
      <c r="CF231" s="9"/>
      <c r="CG231" s="101" t="n">
        <f aca="false">IF(OR(ISNUMBER($CD231),$CD231=Constants!$B$9,$CD231=Constants!$B$7,$CD231=Constants!$B$8),1,0)</f>
        <v>0</v>
      </c>
      <c r="CH231" s="101" t="n">
        <v>223</v>
      </c>
      <c r="CI231" s="101" t="str">
        <f aca="false">IF(ISBLANK($C231),"",IF(ISNUMBER($CE231),$CE231+ROW($B231)/1000,""))</f>
        <v/>
      </c>
      <c r="CJ231" s="101" t="str">
        <f aca="false">IF(ISNUMBER($CI231),RANK($CI231,$CI$9:$CI$508,1),"")</f>
        <v/>
      </c>
      <c r="CK231" s="101" t="str">
        <f aca="false">IF(ISBLANK($C231),"",$B231)</f>
        <v/>
      </c>
      <c r="CL231" s="101" t="str">
        <f aca="false">IF(ISBLANK($C231),"",$C231)</f>
        <v/>
      </c>
      <c r="CM231" s="101" t="str">
        <f aca="false">IF(ISBLANK($C231),"",$D231)</f>
        <v/>
      </c>
      <c r="CN231" s="102" t="str">
        <f aca="false">$CB231</f>
        <v/>
      </c>
      <c r="CO231" s="103" t="str">
        <f aca="false">$CA231</f>
        <v/>
      </c>
      <c r="CP231" s="101" t="str">
        <f aca="false">IF(ISBLANK($C231),"",$CD231)</f>
        <v/>
      </c>
      <c r="CQ231" s="104" t="str">
        <f aca="false">IF($CH231&gt;$CG$8,"",VLOOKUP($CH231,$CJ$9:$CP$508,7,FALSE()))</f>
        <v/>
      </c>
      <c r="CR231" s="105" t="str">
        <f aca="false">IF($CH231&gt;$CG$8,"",VLOOKUP($CH231,$CJ$9:$CP$508,2,FALSE()))</f>
        <v/>
      </c>
      <c r="CS231" s="105" t="str">
        <f aca="false">IF($CH231&gt;$CG$8,"",VLOOKUP($CH231,$CJ$9:$CP$508,3,FALSE()))</f>
        <v/>
      </c>
      <c r="CT231" s="105" t="str">
        <f aca="false">IF($CH231&gt;$CG$8,"",VLOOKUP($CH231,$CJ$9:$CP$508,4,FALSE()))</f>
        <v/>
      </c>
      <c r="CU231" s="105" t="str">
        <f aca="false">IF($CH231&gt;$CG$8,"",VLOOKUP($CH231,$CJ$9:$CP$508,5,FALSE()))</f>
        <v/>
      </c>
      <c r="CV231" s="106" t="str">
        <f aca="false">IF($CH231&gt;$CG$8,"",VLOOKUP($CH231,$CJ$9:$CP$508,6,FALSE()))</f>
        <v/>
      </c>
      <c r="CW231" s="71"/>
    </row>
    <row r="232" customFormat="false" ht="15.75" hidden="false" customHeight="false" outlineLevel="0" collapsed="false">
      <c r="A232" s="9"/>
      <c r="B232" s="72"/>
      <c r="C232" s="73"/>
      <c r="D232" s="160"/>
      <c r="E232" s="168"/>
      <c r="F232" s="162"/>
      <c r="G232" s="163"/>
      <c r="H232" s="169"/>
      <c r="I232" s="167"/>
      <c r="J232" s="80"/>
      <c r="K232" s="81"/>
      <c r="L232" s="82"/>
      <c r="M232" s="166"/>
      <c r="N232" s="167"/>
      <c r="O232" s="167"/>
      <c r="P232" s="80"/>
      <c r="Q232" s="82"/>
      <c r="R232" s="82"/>
      <c r="S232" s="166"/>
      <c r="T232" s="167"/>
      <c r="U232" s="86"/>
      <c r="V232" s="87"/>
      <c r="W232" s="87" t="str">
        <f aca="false">IF(ISBLANK($C232),"",IF(E232=Constants!$B$2,TRUE(),IF(E232=Constants!$B$3,FALSE(),TRUE())))</f>
        <v/>
      </c>
      <c r="X232" s="87" t="str">
        <f aca="false">IF(ISBLANK($C232),"",IF(F232=Constants!$B$2,TRUE(),IF(F232=Constants!$B$3,FALSE(),TRUE())))</f>
        <v/>
      </c>
      <c r="Y232" s="87" t="str">
        <f aca="false">IF(ISBLANK($C232),"",IF(G232=Constants!$B$2,TRUE(),IF(G232=Constants!$B$3,FALSE(),TRUE())))</f>
        <v/>
      </c>
      <c r="Z232" s="87" t="str">
        <f aca="false">IF(ISBLANK($C232),"",IF(H232=Constants!$B$2,TRUE(),IF(H232=Constants!$B$3,FALSE(),TRUE())))</f>
        <v/>
      </c>
      <c r="AA232" s="87" t="str">
        <f aca="false">IF(ISBLANK($C232),"",IF(I232=Constants!$B$2,TRUE(),IF(I232=Constants!$B$3,FALSE(),TRUE())))</f>
        <v/>
      </c>
      <c r="AB232" s="87" t="str">
        <f aca="false">IF(ISBLANK($C232),"",IF(J232=Constants!$B$4,TRUE(),IF(J232=Constants!$B$5,FALSE(),COUNTA(K232:M232)&gt;0)))</f>
        <v/>
      </c>
      <c r="AC232" s="88" t="str">
        <f aca="false">IF(ISBLANK($C232),"",IF(ISNUMBER(K232),IF(K232&gt;=0,K232,""),""))</f>
        <v/>
      </c>
      <c r="AD232" s="89" t="str">
        <f aca="false">IF(ISBLANK($C232),"",IF(ISNUMBER(L232),IF(L232&gt;=0,L232,""),""))</f>
        <v/>
      </c>
      <c r="AE232" s="87" t="str">
        <f aca="false">IF(ISBLANK($C232),"",IF(ISNUMBER(M232),IF(M232&gt;=0,MIN(M232,Constants!$B$22),""),""))</f>
        <v/>
      </c>
      <c r="AF232" s="87" t="str">
        <f aca="false">IF(ISBLANK($C232),"",IF(N232=Constants!$B$2,TRUE(),IF(N232=Constants!$B$3,FALSE(),TRUE())))</f>
        <v/>
      </c>
      <c r="AG232" s="87" t="str">
        <f aca="false">IF(ISBLANK($C232),"",IF(O232=Constants!$B$2,TRUE(),IF(O232=Constants!$B$3,FALSE(),TRUE())))</f>
        <v/>
      </c>
      <c r="AH232" s="87" t="str">
        <f aca="false">IF(ISBLANK($C232),"",IF(P232=Constants!$B$4,TRUE(),IF(P232=Constants!$B$5,FALSE(),COUNTA(Q232:S232)&gt;0)))</f>
        <v/>
      </c>
      <c r="AI232" s="88" t="str">
        <f aca="false">IF(ISBLANK($C232),"",IF(ISNUMBER(Q232),IF(Q232&gt;=0,Q232,""),""))</f>
        <v/>
      </c>
      <c r="AJ232" s="89" t="str">
        <f aca="false">IF(ISBLANK($C232),"",IF(ISNUMBER(R232),IF(R232&gt;=0,R232,""),""))</f>
        <v/>
      </c>
      <c r="AK232" s="87" t="str">
        <f aca="false">IF(ISBLANK($C232),"",IF(ISNUMBER(S232),IF(S232&gt;=0,MIN(S232,Constants!$B$22),""),""))</f>
        <v/>
      </c>
      <c r="AL232" s="87" t="str">
        <f aca="false">IF(ISBLANK($C232),"",IF(T232=Constants!$B$2,TRUE(),IF(T232=Constants!$B$3,FALSE(),FALSE())))</f>
        <v/>
      </c>
      <c r="AM232" s="86" t="str">
        <f aca="false">IF(ISBLANK($C232),"",AND($AB232,OR($AC232="",$AD232="",AND(NOT(ISBLANK($M232)),$AE232=""))))</f>
        <v/>
      </c>
      <c r="AN232" s="89" t="str">
        <f aca="false">IF($BD232&lt;&gt;Constants!$B$6,"",IF($AB232,Constants!$B$17*$AD232,Constants!$B$18))</f>
        <v/>
      </c>
      <c r="AO232" s="91" t="str">
        <f aca="false">IF($BD232&lt;&gt;Constants!$B$6,"",Constants!$B$19*IF($AB232,$AC232,0))</f>
        <v/>
      </c>
      <c r="AP232" s="91" t="str">
        <f aca="false">IF($BD232&lt;&gt;Constants!$B$6,"",IF(AND($AB232,ISNUMBER($AE232)),Constants!$B$20*(Constants!$B$21-$AE232),0))</f>
        <v/>
      </c>
      <c r="AQ232" s="91" t="str">
        <f aca="false">IF($BD232&lt;&gt;Constants!$B$6,"",IF($AA232,0,Constants!$B$12)+IF($Z232,0,Constants!$B$13)+IF($Y232,0,Constants!$B$14))</f>
        <v/>
      </c>
      <c r="AR232" s="92" t="str">
        <f aca="false">IF($BD232&lt;&gt;Constants!$B$6,"",Constants!$B$16+SUM($AN232:$AQ232))</f>
        <v/>
      </c>
      <c r="AS232" s="91" t="str">
        <f aca="false">IF($BD232&lt;&gt;Constants!$B$6,"",IF($AB232,$AD232,""))</f>
        <v/>
      </c>
      <c r="AT232" s="93" t="str">
        <f aca="false">IF($BD232&lt;&gt;Constants!$B$6,"",$AO232)</f>
        <v/>
      </c>
      <c r="AU232" s="87" t="str">
        <f aca="false">IF($BD232&lt;&gt;Constants!$B$6,"",IF(OR($BA232&lt;$AR232,AND($BA232=$AR232,OR(AND(ISNUMBER($BB232),OR(NOT(ISNUMBER($AS232)),$BB232&lt;$AS232)),AND(OR(AND($BB232="",$AS232=""),AND(ISNUMBER($BB232),ISNUMBER($AS232),$BB232=$AS232)),$BC232&lt;$AT232)))),"-&gt;","&lt;-"))</f>
        <v/>
      </c>
      <c r="AV232" s="86" t="str">
        <f aca="false">IF(ISBLANK($C232),"",AND($AH232,OR($AI232="",$AJ232="",AND(NOT(ISBLANK($S232)),$AK232=""))))</f>
        <v/>
      </c>
      <c r="AW232" s="89" t="str">
        <f aca="false">IF($BD232&lt;&gt;Constants!$B$6,"",IF($AH232,Constants!$B$17*$AJ232,Constants!$B$18))</f>
        <v/>
      </c>
      <c r="AX232" s="91" t="str">
        <f aca="false">IF($BD232&lt;&gt;Constants!$B$6,"",Constants!$B$19*IF($AH232,$AI232,0))</f>
        <v/>
      </c>
      <c r="AY232" s="91" t="str">
        <f aca="false">IF($BD232&lt;&gt;Constants!$B$6,"",IF(AND($AH232,ISNUMBER($AK232)),Constants!$B$20*(Constants!$B$21-$AK232),0))</f>
        <v/>
      </c>
      <c r="AZ232" s="91" t="str">
        <f aca="false">IF($BD232&lt;&gt;Constants!$B$6,"",IF($AG232,0,Constants!$B$12)+IF($AF232,0,Constants!$B$13)+IF($Y232,0,Constants!$B$14))</f>
        <v/>
      </c>
      <c r="BA232" s="92" t="str">
        <f aca="false">IF($BD232&lt;&gt;Constants!$B$6,"",Constants!$B$16+SUM($AW232:$AZ232))</f>
        <v/>
      </c>
      <c r="BB232" s="91" t="str">
        <f aca="false">IF($BD232&lt;&gt;Constants!$B$6,"",IF($AH232,$AJ232,""))</f>
        <v/>
      </c>
      <c r="BC232" s="93" t="str">
        <f aca="false">IF($BD232&lt;&gt;Constants!$B$6,"",$AX232)</f>
        <v/>
      </c>
      <c r="BD232" s="87" t="str">
        <f aca="false">IF(ISBLANK($C232),"",IF($AL232,Constants!$B$9,IF(COUNTA($E232:$T232)=0,Constants!$B$8,IF(NOT($X232),Constants!$B$7,IF(OR($AM232,$AV232),Constants!$B$10,Constants!$B$6)))))</f>
        <v/>
      </c>
      <c r="BE232" s="87" t="str">
        <f aca="false">IF(ISBLANK($C232),"",IF($BD232&lt;&gt;Constants!$B$6,$BD232,Constants!$B$11))</f>
        <v/>
      </c>
      <c r="BF232" s="91" t="str">
        <f aca="false">IF($BD232&lt;&gt;Constants!$B$6,"",IF($AU232="-&gt;",$BA232,$AR232))</f>
        <v/>
      </c>
      <c r="BG232" s="91" t="str">
        <f aca="false">IF($BD232&lt;&gt;Constants!$B$6,"",IF($W232,0,Constants!$B$15))</f>
        <v/>
      </c>
      <c r="BH232" s="91" t="str">
        <f aca="false">IF(ISBLANK($C232),"",IF($BD232&lt;&gt;Constants!$B$6,$BD232,SUM($BF232:$BG232)))</f>
        <v/>
      </c>
      <c r="BI232" s="87" t="str">
        <f aca="false">IF(ISBLANK($C232),"",IF($BD232&lt;&gt;Constants!$B$6,$BD232,RANK($BH232,$BH$9:$BH$508,1)))</f>
        <v/>
      </c>
      <c r="BJ232" s="91" t="str">
        <f aca="false">IF($BD232&lt;&gt;Constants!$B$6,"",IF($AU232="-&gt;",$BB232,$AS232))</f>
        <v/>
      </c>
      <c r="BK232" s="87" t="str">
        <f aca="false">IF(ISBLANK($C232),"",IF($BD232&lt;&gt;Constants!$B$6,$BD232,IF(ISNUMBER($BJ232),RANK($BJ232,$BJ$9:$BJ$508,1),COUNT($BJ$9:$BJ$508)+1)))</f>
        <v/>
      </c>
      <c r="BL232" s="91" t="str">
        <f aca="false">IF($BD232&lt;&gt;Constants!$B$6,"",IF($AU232="-&gt;",$BC232,$AT232))</f>
        <v/>
      </c>
      <c r="BM232" s="87" t="str">
        <f aca="false">IF(ISBLANK($C232),"",IF($BD232&lt;&gt;Constants!$B$6,$BD232,IF(ISNUMBER($BL232),RANK($BL232,$BL$9:$BL$508,1),COUNT($BL$9:$BL$508)+1)))</f>
        <v/>
      </c>
      <c r="BN232" s="91" t="str">
        <f aca="false">IF($BD232&lt;&gt;Constants!$B$6,"",IF($AU232="-&gt;",$AS232,$BB232))</f>
        <v/>
      </c>
      <c r="BO232" s="87" t="str">
        <f aca="false">IF(ISBLANK($C232),"",IF($BD232&lt;&gt;Constants!$B$6,$BD232,IF(ISNUMBER($BN232),RANK($BN232,$BN$9:$BN$508,1),COUNT($BN$9:$BN$508)+1)))</f>
        <v/>
      </c>
      <c r="BP232" s="91" t="str">
        <f aca="false">IF($BD232&lt;&gt;Constants!$B$6,"",IF($AU232="-&gt;",$AT232,$BC232))</f>
        <v/>
      </c>
      <c r="BQ232" s="87" t="str">
        <f aca="false">IF(ISBLANK($C232),"",IF($BD232&lt;&gt;Constants!$B$6,$BD232,IF(ISNUMBER($BP232),RANK($BP232,$BP$9:$BP$508,1),COUNT($BP$9:$BP$508)+1)))</f>
        <v/>
      </c>
      <c r="BR232" s="87" t="str">
        <f aca="false">IF(ISBLANK($C232),"",IF($BD232&lt;&gt;Constants!$B$6,$BD232,COUNTIFS($BI$9:$BI$508,"&lt;"&amp;$BI232)+COUNTIFS($BI$9:$BI$508,$BI232,$BK$9:$BK$508,"&lt;"&amp;$BK232)+COUNTIFS($BI$9:$BI$508,$BI232,$BK$9:$BK$508,$BK232,$BM$9:$BM$508,"&lt;"&amp;$BM232)+COUNTIFS($BI$9:$BI$508,$BI232,$BK$9:$BK$508,$BK232,$BM$9:$BM$508,$BM232,$BO$9:$BO$508,"&lt;"&amp;$BO232)+COUNTIFS($BI$9:$BI$508,$BI232,$BK$9:$BK$508,$BK232,$BM$9:$BM$508,$BM232,$BO$9:$BO$508,$BO232,$BQ$9:$BQ$508,"&lt;"&amp;$BQ232)+1))</f>
        <v/>
      </c>
      <c r="BS232" s="87" t="str">
        <f aca="false">IF(ISBLANK($C232),"",IF($BD232&lt;&gt;Constants!$B$6,$BD232,$BI232-$BR232))</f>
        <v/>
      </c>
      <c r="BT232" s="94"/>
      <c r="BU232" s="95"/>
      <c r="BV232" s="95" t="str">
        <f aca="false">IF(ISBLANK($C232),"",IF($BD232&lt;&gt;Constants!$B$6,"",IF($AU232="-&gt;",2,1)))</f>
        <v/>
      </c>
      <c r="BW232" s="96" t="str">
        <f aca="false">IF(ISBLANK($C232),"",IF($BD232&lt;&gt;Constants!$B$6,"",IF($AU232="-&gt;",$AW232,$AN232)))</f>
        <v/>
      </c>
      <c r="BX232" s="96" t="str">
        <f aca="false">IF(ISBLANK($C232),"",IF($BD232&lt;&gt;Constants!$B$6,"",IF($AU232="-&gt;",$AX232,$AO232)))</f>
        <v/>
      </c>
      <c r="BY232" s="96" t="str">
        <f aca="false">IF(ISBLANK($C232),"",IF($BD232&lt;&gt;Constants!$B$6,"",IF($AU232="-&gt;",$AY232,$AP232)))</f>
        <v/>
      </c>
      <c r="BZ232" s="96" t="str">
        <f aca="false">IF(ISBLANK($C232),"",IF($BD232&lt;&gt;Constants!$B$6,"",IF($AU232="-&gt;",$AZ232,$AQ232)+$BG232))</f>
        <v/>
      </c>
      <c r="CA232" s="97" t="str">
        <f aca="false">IF(ISBLANK($C232),"",IF($BD232&lt;&gt;Constants!$B$6,$BD232,$BH232))</f>
        <v/>
      </c>
      <c r="CB232" s="98" t="str">
        <f aca="false">IF(ISBLANK($C232),"",$BE232)</f>
        <v/>
      </c>
      <c r="CC232" s="99" t="str">
        <f aca="false">IF(ISBLANK($C232),"",$BS232)</f>
        <v/>
      </c>
      <c r="CD232" s="99" t="str">
        <f aca="false">IF(ISBLANK($C232),"",$BR232)</f>
        <v/>
      </c>
      <c r="CE232" s="100" t="str">
        <f aca="false">IF(ISBLANK($C232),"",IF($CD232=Constants!$B$9,COUNTA($C$9:$C$508)+2,IF($CD232=Constants!$B$8,COUNTA($C$9:$C$508)+1,IF($CD232=Constants!$B$7,COUNTA($C$9:$C$508),$CD232))))</f>
        <v/>
      </c>
      <c r="CF232" s="9"/>
      <c r="CG232" s="101" t="n">
        <f aca="false">IF(OR(ISNUMBER($CD232),$CD232=Constants!$B$9,$CD232=Constants!$B$7,$CD232=Constants!$B$8),1,0)</f>
        <v>0</v>
      </c>
      <c r="CH232" s="101" t="n">
        <v>224</v>
      </c>
      <c r="CI232" s="101" t="str">
        <f aca="false">IF(ISBLANK($C232),"",IF(ISNUMBER($CE232),$CE232+ROW($B232)/1000,""))</f>
        <v/>
      </c>
      <c r="CJ232" s="101" t="str">
        <f aca="false">IF(ISNUMBER($CI232),RANK($CI232,$CI$9:$CI$508,1),"")</f>
        <v/>
      </c>
      <c r="CK232" s="101" t="str">
        <f aca="false">IF(ISBLANK($C232),"",$B232)</f>
        <v/>
      </c>
      <c r="CL232" s="101" t="str">
        <f aca="false">IF(ISBLANK($C232),"",$C232)</f>
        <v/>
      </c>
      <c r="CM232" s="101" t="str">
        <f aca="false">IF(ISBLANK($C232),"",$D232)</f>
        <v/>
      </c>
      <c r="CN232" s="102" t="str">
        <f aca="false">$CB232</f>
        <v/>
      </c>
      <c r="CO232" s="103" t="str">
        <f aca="false">$CA232</f>
        <v/>
      </c>
      <c r="CP232" s="101" t="str">
        <f aca="false">IF(ISBLANK($C232),"",$CD232)</f>
        <v/>
      </c>
      <c r="CQ232" s="104" t="str">
        <f aca="false">IF($CH232&gt;$CG$8,"",VLOOKUP($CH232,$CJ$9:$CP$508,7,FALSE()))</f>
        <v/>
      </c>
      <c r="CR232" s="105" t="str">
        <f aca="false">IF($CH232&gt;$CG$8,"",VLOOKUP($CH232,$CJ$9:$CP$508,2,FALSE()))</f>
        <v/>
      </c>
      <c r="CS232" s="105" t="str">
        <f aca="false">IF($CH232&gt;$CG$8,"",VLOOKUP($CH232,$CJ$9:$CP$508,3,FALSE()))</f>
        <v/>
      </c>
      <c r="CT232" s="105" t="str">
        <f aca="false">IF($CH232&gt;$CG$8,"",VLOOKUP($CH232,$CJ$9:$CP$508,4,FALSE()))</f>
        <v/>
      </c>
      <c r="CU232" s="105" t="str">
        <f aca="false">IF($CH232&gt;$CG$8,"",VLOOKUP($CH232,$CJ$9:$CP$508,5,FALSE()))</f>
        <v/>
      </c>
      <c r="CV232" s="106" t="str">
        <f aca="false">IF($CH232&gt;$CG$8,"",VLOOKUP($CH232,$CJ$9:$CP$508,6,FALSE()))</f>
        <v/>
      </c>
      <c r="CW232" s="71"/>
    </row>
    <row r="233" customFormat="false" ht="15.75" hidden="false" customHeight="false" outlineLevel="0" collapsed="false">
      <c r="A233" s="9"/>
      <c r="B233" s="72"/>
      <c r="C233" s="73"/>
      <c r="D233" s="160"/>
      <c r="E233" s="168"/>
      <c r="F233" s="162"/>
      <c r="G233" s="163"/>
      <c r="H233" s="169"/>
      <c r="I233" s="167"/>
      <c r="J233" s="80"/>
      <c r="K233" s="81"/>
      <c r="L233" s="82"/>
      <c r="M233" s="166"/>
      <c r="N233" s="167"/>
      <c r="O233" s="167"/>
      <c r="P233" s="80"/>
      <c r="Q233" s="82"/>
      <c r="R233" s="82"/>
      <c r="S233" s="166"/>
      <c r="T233" s="167"/>
      <c r="U233" s="86"/>
      <c r="V233" s="87"/>
      <c r="W233" s="87" t="str">
        <f aca="false">IF(ISBLANK($C233),"",IF(E233=Constants!$B$2,TRUE(),IF(E233=Constants!$B$3,FALSE(),TRUE())))</f>
        <v/>
      </c>
      <c r="X233" s="87" t="str">
        <f aca="false">IF(ISBLANK($C233),"",IF(F233=Constants!$B$2,TRUE(),IF(F233=Constants!$B$3,FALSE(),TRUE())))</f>
        <v/>
      </c>
      <c r="Y233" s="87" t="str">
        <f aca="false">IF(ISBLANK($C233),"",IF(G233=Constants!$B$2,TRUE(),IF(G233=Constants!$B$3,FALSE(),TRUE())))</f>
        <v/>
      </c>
      <c r="Z233" s="87" t="str">
        <f aca="false">IF(ISBLANK($C233),"",IF(H233=Constants!$B$2,TRUE(),IF(H233=Constants!$B$3,FALSE(),TRUE())))</f>
        <v/>
      </c>
      <c r="AA233" s="87" t="str">
        <f aca="false">IF(ISBLANK($C233),"",IF(I233=Constants!$B$2,TRUE(),IF(I233=Constants!$B$3,FALSE(),TRUE())))</f>
        <v/>
      </c>
      <c r="AB233" s="87" t="str">
        <f aca="false">IF(ISBLANK($C233),"",IF(J233=Constants!$B$4,TRUE(),IF(J233=Constants!$B$5,FALSE(),COUNTA(K233:M233)&gt;0)))</f>
        <v/>
      </c>
      <c r="AC233" s="88" t="str">
        <f aca="false">IF(ISBLANK($C233),"",IF(ISNUMBER(K233),IF(K233&gt;=0,K233,""),""))</f>
        <v/>
      </c>
      <c r="AD233" s="89" t="str">
        <f aca="false">IF(ISBLANK($C233),"",IF(ISNUMBER(L233),IF(L233&gt;=0,L233,""),""))</f>
        <v/>
      </c>
      <c r="AE233" s="87" t="str">
        <f aca="false">IF(ISBLANK($C233),"",IF(ISNUMBER(M233),IF(M233&gt;=0,MIN(M233,Constants!$B$22),""),""))</f>
        <v/>
      </c>
      <c r="AF233" s="87" t="str">
        <f aca="false">IF(ISBLANK($C233),"",IF(N233=Constants!$B$2,TRUE(),IF(N233=Constants!$B$3,FALSE(),TRUE())))</f>
        <v/>
      </c>
      <c r="AG233" s="87" t="str">
        <f aca="false">IF(ISBLANK($C233),"",IF(O233=Constants!$B$2,TRUE(),IF(O233=Constants!$B$3,FALSE(),TRUE())))</f>
        <v/>
      </c>
      <c r="AH233" s="87" t="str">
        <f aca="false">IF(ISBLANK($C233),"",IF(P233=Constants!$B$4,TRUE(),IF(P233=Constants!$B$5,FALSE(),COUNTA(Q233:S233)&gt;0)))</f>
        <v/>
      </c>
      <c r="AI233" s="88" t="str">
        <f aca="false">IF(ISBLANK($C233),"",IF(ISNUMBER(Q233),IF(Q233&gt;=0,Q233,""),""))</f>
        <v/>
      </c>
      <c r="AJ233" s="89" t="str">
        <f aca="false">IF(ISBLANK($C233),"",IF(ISNUMBER(R233),IF(R233&gt;=0,R233,""),""))</f>
        <v/>
      </c>
      <c r="AK233" s="87" t="str">
        <f aca="false">IF(ISBLANK($C233),"",IF(ISNUMBER(S233),IF(S233&gt;=0,MIN(S233,Constants!$B$22),""),""))</f>
        <v/>
      </c>
      <c r="AL233" s="87" t="str">
        <f aca="false">IF(ISBLANK($C233),"",IF(T233=Constants!$B$2,TRUE(),IF(T233=Constants!$B$3,FALSE(),FALSE())))</f>
        <v/>
      </c>
      <c r="AM233" s="86" t="str">
        <f aca="false">IF(ISBLANK($C233),"",AND($AB233,OR($AC233="",$AD233="",AND(NOT(ISBLANK($M233)),$AE233=""))))</f>
        <v/>
      </c>
      <c r="AN233" s="89" t="str">
        <f aca="false">IF($BD233&lt;&gt;Constants!$B$6,"",IF($AB233,Constants!$B$17*$AD233,Constants!$B$18))</f>
        <v/>
      </c>
      <c r="AO233" s="91" t="str">
        <f aca="false">IF($BD233&lt;&gt;Constants!$B$6,"",Constants!$B$19*IF($AB233,$AC233,0))</f>
        <v/>
      </c>
      <c r="AP233" s="91" t="str">
        <f aca="false">IF($BD233&lt;&gt;Constants!$B$6,"",IF(AND($AB233,ISNUMBER($AE233)),Constants!$B$20*(Constants!$B$21-$AE233),0))</f>
        <v/>
      </c>
      <c r="AQ233" s="91" t="str">
        <f aca="false">IF($BD233&lt;&gt;Constants!$B$6,"",IF($AA233,0,Constants!$B$12)+IF($Z233,0,Constants!$B$13)+IF($Y233,0,Constants!$B$14))</f>
        <v/>
      </c>
      <c r="AR233" s="92" t="str">
        <f aca="false">IF($BD233&lt;&gt;Constants!$B$6,"",Constants!$B$16+SUM($AN233:$AQ233))</f>
        <v/>
      </c>
      <c r="AS233" s="91" t="str">
        <f aca="false">IF($BD233&lt;&gt;Constants!$B$6,"",IF($AB233,$AD233,""))</f>
        <v/>
      </c>
      <c r="AT233" s="93" t="str">
        <f aca="false">IF($BD233&lt;&gt;Constants!$B$6,"",$AO233)</f>
        <v/>
      </c>
      <c r="AU233" s="87" t="str">
        <f aca="false">IF($BD233&lt;&gt;Constants!$B$6,"",IF(OR($BA233&lt;$AR233,AND($BA233=$AR233,OR(AND(ISNUMBER($BB233),OR(NOT(ISNUMBER($AS233)),$BB233&lt;$AS233)),AND(OR(AND($BB233="",$AS233=""),AND(ISNUMBER($BB233),ISNUMBER($AS233),$BB233=$AS233)),$BC233&lt;$AT233)))),"-&gt;","&lt;-"))</f>
        <v/>
      </c>
      <c r="AV233" s="86" t="str">
        <f aca="false">IF(ISBLANK($C233),"",AND($AH233,OR($AI233="",$AJ233="",AND(NOT(ISBLANK($S233)),$AK233=""))))</f>
        <v/>
      </c>
      <c r="AW233" s="89" t="str">
        <f aca="false">IF($BD233&lt;&gt;Constants!$B$6,"",IF($AH233,Constants!$B$17*$AJ233,Constants!$B$18))</f>
        <v/>
      </c>
      <c r="AX233" s="91" t="str">
        <f aca="false">IF($BD233&lt;&gt;Constants!$B$6,"",Constants!$B$19*IF($AH233,$AI233,0))</f>
        <v/>
      </c>
      <c r="AY233" s="91" t="str">
        <f aca="false">IF($BD233&lt;&gt;Constants!$B$6,"",IF(AND($AH233,ISNUMBER($AK233)),Constants!$B$20*(Constants!$B$21-$AK233),0))</f>
        <v/>
      </c>
      <c r="AZ233" s="91" t="str">
        <f aca="false">IF($BD233&lt;&gt;Constants!$B$6,"",IF($AG233,0,Constants!$B$12)+IF($AF233,0,Constants!$B$13)+IF($Y233,0,Constants!$B$14))</f>
        <v/>
      </c>
      <c r="BA233" s="92" t="str">
        <f aca="false">IF($BD233&lt;&gt;Constants!$B$6,"",Constants!$B$16+SUM($AW233:$AZ233))</f>
        <v/>
      </c>
      <c r="BB233" s="91" t="str">
        <f aca="false">IF($BD233&lt;&gt;Constants!$B$6,"",IF($AH233,$AJ233,""))</f>
        <v/>
      </c>
      <c r="BC233" s="93" t="str">
        <f aca="false">IF($BD233&lt;&gt;Constants!$B$6,"",$AX233)</f>
        <v/>
      </c>
      <c r="BD233" s="87" t="str">
        <f aca="false">IF(ISBLANK($C233),"",IF($AL233,Constants!$B$9,IF(COUNTA($E233:$T233)=0,Constants!$B$8,IF(NOT($X233),Constants!$B$7,IF(OR($AM233,$AV233),Constants!$B$10,Constants!$B$6)))))</f>
        <v/>
      </c>
      <c r="BE233" s="87" t="str">
        <f aca="false">IF(ISBLANK($C233),"",IF($BD233&lt;&gt;Constants!$B$6,$BD233,Constants!$B$11))</f>
        <v/>
      </c>
      <c r="BF233" s="91" t="str">
        <f aca="false">IF($BD233&lt;&gt;Constants!$B$6,"",IF($AU233="-&gt;",$BA233,$AR233))</f>
        <v/>
      </c>
      <c r="BG233" s="91" t="str">
        <f aca="false">IF($BD233&lt;&gt;Constants!$B$6,"",IF($W233,0,Constants!$B$15))</f>
        <v/>
      </c>
      <c r="BH233" s="91" t="str">
        <f aca="false">IF(ISBLANK($C233),"",IF($BD233&lt;&gt;Constants!$B$6,$BD233,SUM($BF233:$BG233)))</f>
        <v/>
      </c>
      <c r="BI233" s="87" t="str">
        <f aca="false">IF(ISBLANK($C233),"",IF($BD233&lt;&gt;Constants!$B$6,$BD233,RANK($BH233,$BH$9:$BH$508,1)))</f>
        <v/>
      </c>
      <c r="BJ233" s="91" t="str">
        <f aca="false">IF($BD233&lt;&gt;Constants!$B$6,"",IF($AU233="-&gt;",$BB233,$AS233))</f>
        <v/>
      </c>
      <c r="BK233" s="87" t="str">
        <f aca="false">IF(ISBLANK($C233),"",IF($BD233&lt;&gt;Constants!$B$6,$BD233,IF(ISNUMBER($BJ233),RANK($BJ233,$BJ$9:$BJ$508,1),COUNT($BJ$9:$BJ$508)+1)))</f>
        <v/>
      </c>
      <c r="BL233" s="91" t="str">
        <f aca="false">IF($BD233&lt;&gt;Constants!$B$6,"",IF($AU233="-&gt;",$BC233,$AT233))</f>
        <v/>
      </c>
      <c r="BM233" s="87" t="str">
        <f aca="false">IF(ISBLANK($C233),"",IF($BD233&lt;&gt;Constants!$B$6,$BD233,IF(ISNUMBER($BL233),RANK($BL233,$BL$9:$BL$508,1),COUNT($BL$9:$BL$508)+1)))</f>
        <v/>
      </c>
      <c r="BN233" s="91" t="str">
        <f aca="false">IF($BD233&lt;&gt;Constants!$B$6,"",IF($AU233="-&gt;",$AS233,$BB233))</f>
        <v/>
      </c>
      <c r="BO233" s="87" t="str">
        <f aca="false">IF(ISBLANK($C233),"",IF($BD233&lt;&gt;Constants!$B$6,$BD233,IF(ISNUMBER($BN233),RANK($BN233,$BN$9:$BN$508,1),COUNT($BN$9:$BN$508)+1)))</f>
        <v/>
      </c>
      <c r="BP233" s="91" t="str">
        <f aca="false">IF($BD233&lt;&gt;Constants!$B$6,"",IF($AU233="-&gt;",$AT233,$BC233))</f>
        <v/>
      </c>
      <c r="BQ233" s="87" t="str">
        <f aca="false">IF(ISBLANK($C233),"",IF($BD233&lt;&gt;Constants!$B$6,$BD233,IF(ISNUMBER($BP233),RANK($BP233,$BP$9:$BP$508,1),COUNT($BP$9:$BP$508)+1)))</f>
        <v/>
      </c>
      <c r="BR233" s="87" t="str">
        <f aca="false">IF(ISBLANK($C233),"",IF($BD233&lt;&gt;Constants!$B$6,$BD233,COUNTIFS($BI$9:$BI$508,"&lt;"&amp;$BI233)+COUNTIFS($BI$9:$BI$508,$BI233,$BK$9:$BK$508,"&lt;"&amp;$BK233)+COUNTIFS($BI$9:$BI$508,$BI233,$BK$9:$BK$508,$BK233,$BM$9:$BM$508,"&lt;"&amp;$BM233)+COUNTIFS($BI$9:$BI$508,$BI233,$BK$9:$BK$508,$BK233,$BM$9:$BM$508,$BM233,$BO$9:$BO$508,"&lt;"&amp;$BO233)+COUNTIFS($BI$9:$BI$508,$BI233,$BK$9:$BK$508,$BK233,$BM$9:$BM$508,$BM233,$BO$9:$BO$508,$BO233,$BQ$9:$BQ$508,"&lt;"&amp;$BQ233)+1))</f>
        <v/>
      </c>
      <c r="BS233" s="87" t="str">
        <f aca="false">IF(ISBLANK($C233),"",IF($BD233&lt;&gt;Constants!$B$6,$BD233,$BI233-$BR233))</f>
        <v/>
      </c>
      <c r="BT233" s="94"/>
      <c r="BU233" s="95"/>
      <c r="BV233" s="95" t="str">
        <f aca="false">IF(ISBLANK($C233),"",IF($BD233&lt;&gt;Constants!$B$6,"",IF($AU233="-&gt;",2,1)))</f>
        <v/>
      </c>
      <c r="BW233" s="96" t="str">
        <f aca="false">IF(ISBLANK($C233),"",IF($BD233&lt;&gt;Constants!$B$6,"",IF($AU233="-&gt;",$AW233,$AN233)))</f>
        <v/>
      </c>
      <c r="BX233" s="96" t="str">
        <f aca="false">IF(ISBLANK($C233),"",IF($BD233&lt;&gt;Constants!$B$6,"",IF($AU233="-&gt;",$AX233,$AO233)))</f>
        <v/>
      </c>
      <c r="BY233" s="96" t="str">
        <f aca="false">IF(ISBLANK($C233),"",IF($BD233&lt;&gt;Constants!$B$6,"",IF($AU233="-&gt;",$AY233,$AP233)))</f>
        <v/>
      </c>
      <c r="BZ233" s="96" t="str">
        <f aca="false">IF(ISBLANK($C233),"",IF($BD233&lt;&gt;Constants!$B$6,"",IF($AU233="-&gt;",$AZ233,$AQ233)+$BG233))</f>
        <v/>
      </c>
      <c r="CA233" s="97" t="str">
        <f aca="false">IF(ISBLANK($C233),"",IF($BD233&lt;&gt;Constants!$B$6,$BD233,$BH233))</f>
        <v/>
      </c>
      <c r="CB233" s="98" t="str">
        <f aca="false">IF(ISBLANK($C233),"",$BE233)</f>
        <v/>
      </c>
      <c r="CC233" s="99" t="str">
        <f aca="false">IF(ISBLANK($C233),"",$BS233)</f>
        <v/>
      </c>
      <c r="CD233" s="99" t="str">
        <f aca="false">IF(ISBLANK($C233),"",$BR233)</f>
        <v/>
      </c>
      <c r="CE233" s="100" t="str">
        <f aca="false">IF(ISBLANK($C233),"",IF($CD233=Constants!$B$9,COUNTA($C$9:$C$508)+2,IF($CD233=Constants!$B$8,COUNTA($C$9:$C$508)+1,IF($CD233=Constants!$B$7,COUNTA($C$9:$C$508),$CD233))))</f>
        <v/>
      </c>
      <c r="CF233" s="9"/>
      <c r="CG233" s="101" t="n">
        <f aca="false">IF(OR(ISNUMBER($CD233),$CD233=Constants!$B$9,$CD233=Constants!$B$7,$CD233=Constants!$B$8),1,0)</f>
        <v>0</v>
      </c>
      <c r="CH233" s="101" t="n">
        <v>225</v>
      </c>
      <c r="CI233" s="101" t="str">
        <f aca="false">IF(ISBLANK($C233),"",IF(ISNUMBER($CE233),$CE233+ROW($B233)/1000,""))</f>
        <v/>
      </c>
      <c r="CJ233" s="101" t="str">
        <f aca="false">IF(ISNUMBER($CI233),RANK($CI233,$CI$9:$CI$508,1),"")</f>
        <v/>
      </c>
      <c r="CK233" s="101" t="str">
        <f aca="false">IF(ISBLANK($C233),"",$B233)</f>
        <v/>
      </c>
      <c r="CL233" s="101" t="str">
        <f aca="false">IF(ISBLANK($C233),"",$C233)</f>
        <v/>
      </c>
      <c r="CM233" s="101" t="str">
        <f aca="false">IF(ISBLANK($C233),"",$D233)</f>
        <v/>
      </c>
      <c r="CN233" s="102" t="str">
        <f aca="false">$CB233</f>
        <v/>
      </c>
      <c r="CO233" s="103" t="str">
        <f aca="false">$CA233</f>
        <v/>
      </c>
      <c r="CP233" s="101" t="str">
        <f aca="false">IF(ISBLANK($C233),"",$CD233)</f>
        <v/>
      </c>
      <c r="CQ233" s="104" t="str">
        <f aca="false">IF($CH233&gt;$CG$8,"",VLOOKUP($CH233,$CJ$9:$CP$508,7,FALSE()))</f>
        <v/>
      </c>
      <c r="CR233" s="105" t="str">
        <f aca="false">IF($CH233&gt;$CG$8,"",VLOOKUP($CH233,$CJ$9:$CP$508,2,FALSE()))</f>
        <v/>
      </c>
      <c r="CS233" s="105" t="str">
        <f aca="false">IF($CH233&gt;$CG$8,"",VLOOKUP($CH233,$CJ$9:$CP$508,3,FALSE()))</f>
        <v/>
      </c>
      <c r="CT233" s="105" t="str">
        <f aca="false">IF($CH233&gt;$CG$8,"",VLOOKUP($CH233,$CJ$9:$CP$508,4,FALSE()))</f>
        <v/>
      </c>
      <c r="CU233" s="105" t="str">
        <f aca="false">IF($CH233&gt;$CG$8,"",VLOOKUP($CH233,$CJ$9:$CP$508,5,FALSE()))</f>
        <v/>
      </c>
      <c r="CV233" s="106" t="str">
        <f aca="false">IF($CH233&gt;$CG$8,"",VLOOKUP($CH233,$CJ$9:$CP$508,6,FALSE()))</f>
        <v/>
      </c>
      <c r="CW233" s="71"/>
    </row>
    <row r="234" customFormat="false" ht="15.75" hidden="false" customHeight="false" outlineLevel="0" collapsed="false">
      <c r="A234" s="9"/>
      <c r="B234" s="150"/>
      <c r="C234" s="151"/>
      <c r="D234" s="152"/>
      <c r="E234" s="170"/>
      <c r="F234" s="154"/>
      <c r="G234" s="155"/>
      <c r="H234" s="171"/>
      <c r="I234" s="159"/>
      <c r="J234" s="120"/>
      <c r="K234" s="121"/>
      <c r="L234" s="122"/>
      <c r="M234" s="158"/>
      <c r="N234" s="159"/>
      <c r="O234" s="159"/>
      <c r="P234" s="120"/>
      <c r="Q234" s="122"/>
      <c r="R234" s="122"/>
      <c r="S234" s="158"/>
      <c r="T234" s="159"/>
      <c r="U234" s="126"/>
      <c r="V234" s="127"/>
      <c r="W234" s="127" t="str">
        <f aca="false">IF(ISBLANK($C234),"",IF(E234=Constants!$B$2,TRUE(),IF(E234=Constants!$B$3,FALSE(),TRUE())))</f>
        <v/>
      </c>
      <c r="X234" s="127" t="str">
        <f aca="false">IF(ISBLANK($C234),"",IF(F234=Constants!$B$2,TRUE(),IF(F234=Constants!$B$3,FALSE(),TRUE())))</f>
        <v/>
      </c>
      <c r="Y234" s="127" t="str">
        <f aca="false">IF(ISBLANK($C234),"",IF(G234=Constants!$B$2,TRUE(),IF(G234=Constants!$B$3,FALSE(),TRUE())))</f>
        <v/>
      </c>
      <c r="Z234" s="127" t="str">
        <f aca="false">IF(ISBLANK($C234),"",IF(H234=Constants!$B$2,TRUE(),IF(H234=Constants!$B$3,FALSE(),TRUE())))</f>
        <v/>
      </c>
      <c r="AA234" s="127" t="str">
        <f aca="false">IF(ISBLANK($C234),"",IF(I234=Constants!$B$2,TRUE(),IF(I234=Constants!$B$3,FALSE(),TRUE())))</f>
        <v/>
      </c>
      <c r="AB234" s="127" t="str">
        <f aca="false">IF(ISBLANK($C234),"",IF(J234=Constants!$B$4,TRUE(),IF(J234=Constants!$B$5,FALSE(),COUNTA(K234:M234)&gt;0)))</f>
        <v/>
      </c>
      <c r="AC234" s="128" t="str">
        <f aca="false">IF(ISBLANK($C234),"",IF(ISNUMBER(K234),IF(K234&gt;=0,K234,""),""))</f>
        <v/>
      </c>
      <c r="AD234" s="129" t="str">
        <f aca="false">IF(ISBLANK($C234),"",IF(ISNUMBER(L234),IF(L234&gt;=0,L234,""),""))</f>
        <v/>
      </c>
      <c r="AE234" s="127" t="str">
        <f aca="false">IF(ISBLANK($C234),"",IF(ISNUMBER(M234),IF(M234&gt;=0,MIN(M234,Constants!$B$22),""),""))</f>
        <v/>
      </c>
      <c r="AF234" s="127" t="str">
        <f aca="false">IF(ISBLANK($C234),"",IF(N234=Constants!$B$2,TRUE(),IF(N234=Constants!$B$3,FALSE(),TRUE())))</f>
        <v/>
      </c>
      <c r="AG234" s="127" t="str">
        <f aca="false">IF(ISBLANK($C234),"",IF(O234=Constants!$B$2,TRUE(),IF(O234=Constants!$B$3,FALSE(),TRUE())))</f>
        <v/>
      </c>
      <c r="AH234" s="127" t="str">
        <f aca="false">IF(ISBLANK($C234),"",IF(P234=Constants!$B$4,TRUE(),IF(P234=Constants!$B$5,FALSE(),COUNTA(Q234:S234)&gt;0)))</f>
        <v/>
      </c>
      <c r="AI234" s="128" t="str">
        <f aca="false">IF(ISBLANK($C234),"",IF(ISNUMBER(Q234),IF(Q234&gt;=0,Q234,""),""))</f>
        <v/>
      </c>
      <c r="AJ234" s="129" t="str">
        <f aca="false">IF(ISBLANK($C234),"",IF(ISNUMBER(R234),IF(R234&gt;=0,R234,""),""))</f>
        <v/>
      </c>
      <c r="AK234" s="127" t="str">
        <f aca="false">IF(ISBLANK($C234),"",IF(ISNUMBER(S234),IF(S234&gt;=0,MIN(S234,Constants!$B$22),""),""))</f>
        <v/>
      </c>
      <c r="AL234" s="127" t="str">
        <f aca="false">IF(ISBLANK($C234),"",IF(T234=Constants!$B$2,TRUE(),IF(T234=Constants!$B$3,FALSE(),FALSE())))</f>
        <v/>
      </c>
      <c r="AM234" s="126" t="str">
        <f aca="false">IF(ISBLANK($C234),"",AND($AB234,OR($AC234="",$AD234="",AND(NOT(ISBLANK($M234)),$AE234=""))))</f>
        <v/>
      </c>
      <c r="AN234" s="129" t="str">
        <f aca="false">IF($BD234&lt;&gt;Constants!$B$6,"",IF($AB234,Constants!$B$17*$AD234,Constants!$B$18))</f>
        <v/>
      </c>
      <c r="AO234" s="130" t="str">
        <f aca="false">IF($BD234&lt;&gt;Constants!$B$6,"",Constants!$B$19*IF($AB234,$AC234,0))</f>
        <v/>
      </c>
      <c r="AP234" s="130" t="str">
        <f aca="false">IF($BD234&lt;&gt;Constants!$B$6,"",IF(AND($AB234,ISNUMBER($AE234)),Constants!$B$20*(Constants!$B$21-$AE234),0))</f>
        <v/>
      </c>
      <c r="AQ234" s="130" t="str">
        <f aca="false">IF($BD234&lt;&gt;Constants!$B$6,"",IF($AA234,0,Constants!$B$12)+IF($Z234,0,Constants!$B$13)+IF($Y234,0,Constants!$B$14))</f>
        <v/>
      </c>
      <c r="AR234" s="131" t="str">
        <f aca="false">IF($BD234&lt;&gt;Constants!$B$6,"",Constants!$B$16+SUM($AN234:$AQ234))</f>
        <v/>
      </c>
      <c r="AS234" s="130" t="str">
        <f aca="false">IF($BD234&lt;&gt;Constants!$B$6,"",IF($AB234,$AD234,""))</f>
        <v/>
      </c>
      <c r="AT234" s="132" t="str">
        <f aca="false">IF($BD234&lt;&gt;Constants!$B$6,"",$AO234)</f>
        <v/>
      </c>
      <c r="AU234" s="127" t="str">
        <f aca="false">IF($BD234&lt;&gt;Constants!$B$6,"",IF(OR($BA234&lt;$AR234,AND($BA234=$AR234,OR(AND(ISNUMBER($BB234),OR(NOT(ISNUMBER($AS234)),$BB234&lt;$AS234)),AND(OR(AND($BB234="",$AS234=""),AND(ISNUMBER($BB234),ISNUMBER($AS234),$BB234=$AS234)),$BC234&lt;$AT234)))),"-&gt;","&lt;-"))</f>
        <v/>
      </c>
      <c r="AV234" s="126" t="str">
        <f aca="false">IF(ISBLANK($C234),"",AND($AH234,OR($AI234="",$AJ234="",AND(NOT(ISBLANK($S234)),$AK234=""))))</f>
        <v/>
      </c>
      <c r="AW234" s="129" t="str">
        <f aca="false">IF($BD234&lt;&gt;Constants!$B$6,"",IF($AH234,Constants!$B$17*$AJ234,Constants!$B$18))</f>
        <v/>
      </c>
      <c r="AX234" s="130" t="str">
        <f aca="false">IF($BD234&lt;&gt;Constants!$B$6,"",Constants!$B$19*IF($AH234,$AI234,0))</f>
        <v/>
      </c>
      <c r="AY234" s="130" t="str">
        <f aca="false">IF($BD234&lt;&gt;Constants!$B$6,"",IF(AND($AH234,ISNUMBER($AK234)),Constants!$B$20*(Constants!$B$21-$AK234),0))</f>
        <v/>
      </c>
      <c r="AZ234" s="130" t="str">
        <f aca="false">IF($BD234&lt;&gt;Constants!$B$6,"",IF($AG234,0,Constants!$B$12)+IF($AF234,0,Constants!$B$13)+IF($Y234,0,Constants!$B$14))</f>
        <v/>
      </c>
      <c r="BA234" s="131" t="str">
        <f aca="false">IF($BD234&lt;&gt;Constants!$B$6,"",Constants!$B$16+SUM($AW234:$AZ234))</f>
        <v/>
      </c>
      <c r="BB234" s="130" t="str">
        <f aca="false">IF($BD234&lt;&gt;Constants!$B$6,"",IF($AH234,$AJ234,""))</f>
        <v/>
      </c>
      <c r="BC234" s="132" t="str">
        <f aca="false">IF($BD234&lt;&gt;Constants!$B$6,"",$AX234)</f>
        <v/>
      </c>
      <c r="BD234" s="127" t="str">
        <f aca="false">IF(ISBLANK($C234),"",IF($AL234,Constants!$B$9,IF(COUNTA($E234:$T234)=0,Constants!$B$8,IF(NOT($X234),Constants!$B$7,IF(OR($AM234,$AV234),Constants!$B$10,Constants!$B$6)))))</f>
        <v/>
      </c>
      <c r="BE234" s="127" t="str">
        <f aca="false">IF(ISBLANK($C234),"",IF($BD234&lt;&gt;Constants!$B$6,$BD234,Constants!$B$11))</f>
        <v/>
      </c>
      <c r="BF234" s="130" t="str">
        <f aca="false">IF($BD234&lt;&gt;Constants!$B$6,"",IF($AU234="-&gt;",$BA234,$AR234))</f>
        <v/>
      </c>
      <c r="BG234" s="130" t="str">
        <f aca="false">IF($BD234&lt;&gt;Constants!$B$6,"",IF($W234,0,Constants!$B$15))</f>
        <v/>
      </c>
      <c r="BH234" s="130" t="str">
        <f aca="false">IF(ISBLANK($C234),"",IF($BD234&lt;&gt;Constants!$B$6,$BD234,SUM($BF234:$BG234)))</f>
        <v/>
      </c>
      <c r="BI234" s="127" t="str">
        <f aca="false">IF(ISBLANK($C234),"",IF($BD234&lt;&gt;Constants!$B$6,$BD234,RANK($BH234,$BH$9:$BH$508,1)))</f>
        <v/>
      </c>
      <c r="BJ234" s="130" t="str">
        <f aca="false">IF($BD234&lt;&gt;Constants!$B$6,"",IF($AU234="-&gt;",$BB234,$AS234))</f>
        <v/>
      </c>
      <c r="BK234" s="127" t="str">
        <f aca="false">IF(ISBLANK($C234),"",IF($BD234&lt;&gt;Constants!$B$6,$BD234,IF(ISNUMBER($BJ234),RANK($BJ234,$BJ$9:$BJ$508,1),COUNT($BJ$9:$BJ$508)+1)))</f>
        <v/>
      </c>
      <c r="BL234" s="130" t="str">
        <f aca="false">IF($BD234&lt;&gt;Constants!$B$6,"",IF($AU234="-&gt;",$BC234,$AT234))</f>
        <v/>
      </c>
      <c r="BM234" s="127" t="str">
        <f aca="false">IF(ISBLANK($C234),"",IF($BD234&lt;&gt;Constants!$B$6,$BD234,IF(ISNUMBER($BL234),RANK($BL234,$BL$9:$BL$508,1),COUNT($BL$9:$BL$508)+1)))</f>
        <v/>
      </c>
      <c r="BN234" s="130" t="str">
        <f aca="false">IF($BD234&lt;&gt;Constants!$B$6,"",IF($AU234="-&gt;",$AS234,$BB234))</f>
        <v/>
      </c>
      <c r="BO234" s="127" t="str">
        <f aca="false">IF(ISBLANK($C234),"",IF($BD234&lt;&gt;Constants!$B$6,$BD234,IF(ISNUMBER($BN234),RANK($BN234,$BN$9:$BN$508,1),COUNT($BN$9:$BN$508)+1)))</f>
        <v/>
      </c>
      <c r="BP234" s="130" t="str">
        <f aca="false">IF($BD234&lt;&gt;Constants!$B$6,"",IF($AU234="-&gt;",$AT234,$BC234))</f>
        <v/>
      </c>
      <c r="BQ234" s="127" t="str">
        <f aca="false">IF(ISBLANK($C234),"",IF($BD234&lt;&gt;Constants!$B$6,$BD234,IF(ISNUMBER($BP234),RANK($BP234,$BP$9:$BP$508,1),COUNT($BP$9:$BP$508)+1)))</f>
        <v/>
      </c>
      <c r="BR234" s="127" t="str">
        <f aca="false">IF(ISBLANK($C234),"",IF($BD234&lt;&gt;Constants!$B$6,$BD234,COUNTIFS($BI$9:$BI$508,"&lt;"&amp;$BI234)+COUNTIFS($BI$9:$BI$508,$BI234,$BK$9:$BK$508,"&lt;"&amp;$BK234)+COUNTIFS($BI$9:$BI$508,$BI234,$BK$9:$BK$508,$BK234,$BM$9:$BM$508,"&lt;"&amp;$BM234)+COUNTIFS($BI$9:$BI$508,$BI234,$BK$9:$BK$508,$BK234,$BM$9:$BM$508,$BM234,$BO$9:$BO$508,"&lt;"&amp;$BO234)+COUNTIFS($BI$9:$BI$508,$BI234,$BK$9:$BK$508,$BK234,$BM$9:$BM$508,$BM234,$BO$9:$BO$508,$BO234,$BQ$9:$BQ$508,"&lt;"&amp;$BQ234)+1))</f>
        <v/>
      </c>
      <c r="BS234" s="127" t="str">
        <f aca="false">IF(ISBLANK($C234),"",IF($BD234&lt;&gt;Constants!$B$6,$BD234,$BI234-$BR234))</f>
        <v/>
      </c>
      <c r="BT234" s="133"/>
      <c r="BU234" s="134"/>
      <c r="BV234" s="134" t="str">
        <f aca="false">IF(ISBLANK($C234),"",IF($BD234&lt;&gt;Constants!$B$6,"",IF($AU234="-&gt;",2,1)))</f>
        <v/>
      </c>
      <c r="BW234" s="135" t="str">
        <f aca="false">IF(ISBLANK($C234),"",IF($BD234&lt;&gt;Constants!$B$6,"",IF($AU234="-&gt;",$AW234,$AN234)))</f>
        <v/>
      </c>
      <c r="BX234" s="135" t="str">
        <f aca="false">IF(ISBLANK($C234),"",IF($BD234&lt;&gt;Constants!$B$6,"",IF($AU234="-&gt;",$AX234,$AO234)))</f>
        <v/>
      </c>
      <c r="BY234" s="135" t="str">
        <f aca="false">IF(ISBLANK($C234),"",IF($BD234&lt;&gt;Constants!$B$6,"",IF($AU234="-&gt;",$AY234,$AP234)))</f>
        <v/>
      </c>
      <c r="BZ234" s="135" t="str">
        <f aca="false">IF(ISBLANK($C234),"",IF($BD234&lt;&gt;Constants!$B$6,"",IF($AU234="-&gt;",$AZ234,$AQ234)+$BG234))</f>
        <v/>
      </c>
      <c r="CA234" s="136" t="str">
        <f aca="false">IF(ISBLANK($C234),"",IF($BD234&lt;&gt;Constants!$B$6,$BD234,$BH234))</f>
        <v/>
      </c>
      <c r="CB234" s="137" t="str">
        <f aca="false">IF(ISBLANK($C234),"",$BE234)</f>
        <v/>
      </c>
      <c r="CC234" s="138" t="str">
        <f aca="false">IF(ISBLANK($C234),"",$BS234)</f>
        <v/>
      </c>
      <c r="CD234" s="138" t="str">
        <f aca="false">IF(ISBLANK($C234),"",$BR234)</f>
        <v/>
      </c>
      <c r="CE234" s="139" t="str">
        <f aca="false">IF(ISBLANK($C234),"",IF($CD234=Constants!$B$9,COUNTA($C$9:$C$508)+2,IF($CD234=Constants!$B$8,COUNTA($C$9:$C$508)+1,IF($CD234=Constants!$B$7,COUNTA($C$9:$C$508),$CD234))))</f>
        <v/>
      </c>
      <c r="CF234" s="9"/>
      <c r="CG234" s="140" t="n">
        <f aca="false">IF(OR(ISNUMBER($CD234),$CD234=Constants!$B$9,$CD234=Constants!$B$7,$CD234=Constants!$B$8),1,0)</f>
        <v>0</v>
      </c>
      <c r="CH234" s="140" t="n">
        <v>226</v>
      </c>
      <c r="CI234" s="140" t="str">
        <f aca="false">IF(ISBLANK($C234),"",IF(ISNUMBER($CE234),$CE234+ROW($B234)/1000,""))</f>
        <v/>
      </c>
      <c r="CJ234" s="140" t="str">
        <f aca="false">IF(ISNUMBER($CI234),RANK($CI234,$CI$9:$CI$508,1),"")</f>
        <v/>
      </c>
      <c r="CK234" s="140" t="str">
        <f aca="false">IF(ISBLANK($C234),"",$B234)</f>
        <v/>
      </c>
      <c r="CL234" s="140" t="str">
        <f aca="false">IF(ISBLANK($C234),"",$C234)</f>
        <v/>
      </c>
      <c r="CM234" s="140" t="str">
        <f aca="false">IF(ISBLANK($C234),"",$D234)</f>
        <v/>
      </c>
      <c r="CN234" s="141" t="str">
        <f aca="false">$CB234</f>
        <v/>
      </c>
      <c r="CO234" s="142" t="str">
        <f aca="false">$CA234</f>
        <v/>
      </c>
      <c r="CP234" s="140" t="str">
        <f aca="false">IF(ISBLANK($C234),"",$CD234)</f>
        <v/>
      </c>
      <c r="CQ234" s="143" t="str">
        <f aca="false">IF($CH234&gt;$CG$8,"",VLOOKUP($CH234,$CJ$9:$CP$508,7,FALSE()))</f>
        <v/>
      </c>
      <c r="CR234" s="144" t="str">
        <f aca="false">IF($CH234&gt;$CG$8,"",VLOOKUP($CH234,$CJ$9:$CP$508,2,FALSE()))</f>
        <v/>
      </c>
      <c r="CS234" s="144" t="str">
        <f aca="false">IF($CH234&gt;$CG$8,"",VLOOKUP($CH234,$CJ$9:$CP$508,3,FALSE()))</f>
        <v/>
      </c>
      <c r="CT234" s="144" t="str">
        <f aca="false">IF($CH234&gt;$CG$8,"",VLOOKUP($CH234,$CJ$9:$CP$508,4,FALSE()))</f>
        <v/>
      </c>
      <c r="CU234" s="144" t="str">
        <f aca="false">IF($CH234&gt;$CG$8,"",VLOOKUP($CH234,$CJ$9:$CP$508,5,FALSE()))</f>
        <v/>
      </c>
      <c r="CV234" s="145" t="str">
        <f aca="false">IF($CH234&gt;$CG$8,"",VLOOKUP($CH234,$CJ$9:$CP$508,6,FALSE()))</f>
        <v/>
      </c>
      <c r="CW234" s="71"/>
    </row>
    <row r="235" customFormat="false" ht="15.75" hidden="false" customHeight="false" outlineLevel="0" collapsed="false">
      <c r="A235" s="9"/>
      <c r="B235" s="150"/>
      <c r="C235" s="151"/>
      <c r="D235" s="152"/>
      <c r="E235" s="170"/>
      <c r="F235" s="154"/>
      <c r="G235" s="155"/>
      <c r="H235" s="171"/>
      <c r="I235" s="159"/>
      <c r="J235" s="120"/>
      <c r="K235" s="121"/>
      <c r="L235" s="122"/>
      <c r="M235" s="158"/>
      <c r="N235" s="159"/>
      <c r="O235" s="159"/>
      <c r="P235" s="120"/>
      <c r="Q235" s="122"/>
      <c r="R235" s="122"/>
      <c r="S235" s="158"/>
      <c r="T235" s="159"/>
      <c r="U235" s="126"/>
      <c r="V235" s="127"/>
      <c r="W235" s="127" t="str">
        <f aca="false">IF(ISBLANK($C235),"",IF(E235=Constants!$B$2,TRUE(),IF(E235=Constants!$B$3,FALSE(),TRUE())))</f>
        <v/>
      </c>
      <c r="X235" s="127" t="str">
        <f aca="false">IF(ISBLANK($C235),"",IF(F235=Constants!$B$2,TRUE(),IF(F235=Constants!$B$3,FALSE(),TRUE())))</f>
        <v/>
      </c>
      <c r="Y235" s="127" t="str">
        <f aca="false">IF(ISBLANK($C235),"",IF(G235=Constants!$B$2,TRUE(),IF(G235=Constants!$B$3,FALSE(),TRUE())))</f>
        <v/>
      </c>
      <c r="Z235" s="127" t="str">
        <f aca="false">IF(ISBLANK($C235),"",IF(H235=Constants!$B$2,TRUE(),IF(H235=Constants!$B$3,FALSE(),TRUE())))</f>
        <v/>
      </c>
      <c r="AA235" s="127" t="str">
        <f aca="false">IF(ISBLANK($C235),"",IF(I235=Constants!$B$2,TRUE(),IF(I235=Constants!$B$3,FALSE(),TRUE())))</f>
        <v/>
      </c>
      <c r="AB235" s="127" t="str">
        <f aca="false">IF(ISBLANK($C235),"",IF(J235=Constants!$B$4,TRUE(),IF(J235=Constants!$B$5,FALSE(),COUNTA(K235:M235)&gt;0)))</f>
        <v/>
      </c>
      <c r="AC235" s="128" t="str">
        <f aca="false">IF(ISBLANK($C235),"",IF(ISNUMBER(K235),IF(K235&gt;=0,K235,""),""))</f>
        <v/>
      </c>
      <c r="AD235" s="129" t="str">
        <f aca="false">IF(ISBLANK($C235),"",IF(ISNUMBER(L235),IF(L235&gt;=0,L235,""),""))</f>
        <v/>
      </c>
      <c r="AE235" s="127" t="str">
        <f aca="false">IF(ISBLANK($C235),"",IF(ISNUMBER(M235),IF(M235&gt;=0,MIN(M235,Constants!$B$22),""),""))</f>
        <v/>
      </c>
      <c r="AF235" s="127" t="str">
        <f aca="false">IF(ISBLANK($C235),"",IF(N235=Constants!$B$2,TRUE(),IF(N235=Constants!$B$3,FALSE(),TRUE())))</f>
        <v/>
      </c>
      <c r="AG235" s="127" t="str">
        <f aca="false">IF(ISBLANK($C235),"",IF(O235=Constants!$B$2,TRUE(),IF(O235=Constants!$B$3,FALSE(),TRUE())))</f>
        <v/>
      </c>
      <c r="AH235" s="127" t="str">
        <f aca="false">IF(ISBLANK($C235),"",IF(P235=Constants!$B$4,TRUE(),IF(P235=Constants!$B$5,FALSE(),COUNTA(Q235:S235)&gt;0)))</f>
        <v/>
      </c>
      <c r="AI235" s="128" t="str">
        <f aca="false">IF(ISBLANK($C235),"",IF(ISNUMBER(Q235),IF(Q235&gt;=0,Q235,""),""))</f>
        <v/>
      </c>
      <c r="AJ235" s="129" t="str">
        <f aca="false">IF(ISBLANK($C235),"",IF(ISNUMBER(R235),IF(R235&gt;=0,R235,""),""))</f>
        <v/>
      </c>
      <c r="AK235" s="127" t="str">
        <f aca="false">IF(ISBLANK($C235),"",IF(ISNUMBER(S235),IF(S235&gt;=0,MIN(S235,Constants!$B$22),""),""))</f>
        <v/>
      </c>
      <c r="AL235" s="127" t="str">
        <f aca="false">IF(ISBLANK($C235),"",IF(T235=Constants!$B$2,TRUE(),IF(T235=Constants!$B$3,FALSE(),FALSE())))</f>
        <v/>
      </c>
      <c r="AM235" s="126" t="str">
        <f aca="false">IF(ISBLANK($C235),"",AND($AB235,OR($AC235="",$AD235="",AND(NOT(ISBLANK($M235)),$AE235=""))))</f>
        <v/>
      </c>
      <c r="AN235" s="129" t="str">
        <f aca="false">IF($BD235&lt;&gt;Constants!$B$6,"",IF($AB235,Constants!$B$17*$AD235,Constants!$B$18))</f>
        <v/>
      </c>
      <c r="AO235" s="130" t="str">
        <f aca="false">IF($BD235&lt;&gt;Constants!$B$6,"",Constants!$B$19*IF($AB235,$AC235,0))</f>
        <v/>
      </c>
      <c r="AP235" s="130" t="str">
        <f aca="false">IF($BD235&lt;&gt;Constants!$B$6,"",IF(AND($AB235,ISNUMBER($AE235)),Constants!$B$20*(Constants!$B$21-$AE235),0))</f>
        <v/>
      </c>
      <c r="AQ235" s="130" t="str">
        <f aca="false">IF($BD235&lt;&gt;Constants!$B$6,"",IF($AA235,0,Constants!$B$12)+IF($Z235,0,Constants!$B$13)+IF($Y235,0,Constants!$B$14))</f>
        <v/>
      </c>
      <c r="AR235" s="131" t="str">
        <f aca="false">IF($BD235&lt;&gt;Constants!$B$6,"",Constants!$B$16+SUM($AN235:$AQ235))</f>
        <v/>
      </c>
      <c r="AS235" s="130" t="str">
        <f aca="false">IF($BD235&lt;&gt;Constants!$B$6,"",IF($AB235,$AD235,""))</f>
        <v/>
      </c>
      <c r="AT235" s="132" t="str">
        <f aca="false">IF($BD235&lt;&gt;Constants!$B$6,"",$AO235)</f>
        <v/>
      </c>
      <c r="AU235" s="127" t="str">
        <f aca="false">IF($BD235&lt;&gt;Constants!$B$6,"",IF(OR($BA235&lt;$AR235,AND($BA235=$AR235,OR(AND(ISNUMBER($BB235),OR(NOT(ISNUMBER($AS235)),$BB235&lt;$AS235)),AND(OR(AND($BB235="",$AS235=""),AND(ISNUMBER($BB235),ISNUMBER($AS235),$BB235=$AS235)),$BC235&lt;$AT235)))),"-&gt;","&lt;-"))</f>
        <v/>
      </c>
      <c r="AV235" s="126" t="str">
        <f aca="false">IF(ISBLANK($C235),"",AND($AH235,OR($AI235="",$AJ235="",AND(NOT(ISBLANK($S235)),$AK235=""))))</f>
        <v/>
      </c>
      <c r="AW235" s="129" t="str">
        <f aca="false">IF($BD235&lt;&gt;Constants!$B$6,"",IF($AH235,Constants!$B$17*$AJ235,Constants!$B$18))</f>
        <v/>
      </c>
      <c r="AX235" s="130" t="str">
        <f aca="false">IF($BD235&lt;&gt;Constants!$B$6,"",Constants!$B$19*IF($AH235,$AI235,0))</f>
        <v/>
      </c>
      <c r="AY235" s="130" t="str">
        <f aca="false">IF($BD235&lt;&gt;Constants!$B$6,"",IF(AND($AH235,ISNUMBER($AK235)),Constants!$B$20*(Constants!$B$21-$AK235),0))</f>
        <v/>
      </c>
      <c r="AZ235" s="130" t="str">
        <f aca="false">IF($BD235&lt;&gt;Constants!$B$6,"",IF($AG235,0,Constants!$B$12)+IF($AF235,0,Constants!$B$13)+IF($Y235,0,Constants!$B$14))</f>
        <v/>
      </c>
      <c r="BA235" s="131" t="str">
        <f aca="false">IF($BD235&lt;&gt;Constants!$B$6,"",Constants!$B$16+SUM($AW235:$AZ235))</f>
        <v/>
      </c>
      <c r="BB235" s="130" t="str">
        <f aca="false">IF($BD235&lt;&gt;Constants!$B$6,"",IF($AH235,$AJ235,""))</f>
        <v/>
      </c>
      <c r="BC235" s="132" t="str">
        <f aca="false">IF($BD235&lt;&gt;Constants!$B$6,"",$AX235)</f>
        <v/>
      </c>
      <c r="BD235" s="127" t="str">
        <f aca="false">IF(ISBLANK($C235),"",IF($AL235,Constants!$B$9,IF(COUNTA($E235:$T235)=0,Constants!$B$8,IF(NOT($X235),Constants!$B$7,IF(OR($AM235,$AV235),Constants!$B$10,Constants!$B$6)))))</f>
        <v/>
      </c>
      <c r="BE235" s="127" t="str">
        <f aca="false">IF(ISBLANK($C235),"",IF($BD235&lt;&gt;Constants!$B$6,$BD235,Constants!$B$11))</f>
        <v/>
      </c>
      <c r="BF235" s="130" t="str">
        <f aca="false">IF($BD235&lt;&gt;Constants!$B$6,"",IF($AU235="-&gt;",$BA235,$AR235))</f>
        <v/>
      </c>
      <c r="BG235" s="130" t="str">
        <f aca="false">IF($BD235&lt;&gt;Constants!$B$6,"",IF($W235,0,Constants!$B$15))</f>
        <v/>
      </c>
      <c r="BH235" s="130" t="str">
        <f aca="false">IF(ISBLANK($C235),"",IF($BD235&lt;&gt;Constants!$B$6,$BD235,SUM($BF235:$BG235)))</f>
        <v/>
      </c>
      <c r="BI235" s="127" t="str">
        <f aca="false">IF(ISBLANK($C235),"",IF($BD235&lt;&gt;Constants!$B$6,$BD235,RANK($BH235,$BH$9:$BH$508,1)))</f>
        <v/>
      </c>
      <c r="BJ235" s="130" t="str">
        <f aca="false">IF($BD235&lt;&gt;Constants!$B$6,"",IF($AU235="-&gt;",$BB235,$AS235))</f>
        <v/>
      </c>
      <c r="BK235" s="127" t="str">
        <f aca="false">IF(ISBLANK($C235),"",IF($BD235&lt;&gt;Constants!$B$6,$BD235,IF(ISNUMBER($BJ235),RANK($BJ235,$BJ$9:$BJ$508,1),COUNT($BJ$9:$BJ$508)+1)))</f>
        <v/>
      </c>
      <c r="BL235" s="130" t="str">
        <f aca="false">IF($BD235&lt;&gt;Constants!$B$6,"",IF($AU235="-&gt;",$BC235,$AT235))</f>
        <v/>
      </c>
      <c r="BM235" s="127" t="str">
        <f aca="false">IF(ISBLANK($C235),"",IF($BD235&lt;&gt;Constants!$B$6,$BD235,IF(ISNUMBER($BL235),RANK($BL235,$BL$9:$BL$508,1),COUNT($BL$9:$BL$508)+1)))</f>
        <v/>
      </c>
      <c r="BN235" s="130" t="str">
        <f aca="false">IF($BD235&lt;&gt;Constants!$B$6,"",IF($AU235="-&gt;",$AS235,$BB235))</f>
        <v/>
      </c>
      <c r="BO235" s="127" t="str">
        <f aca="false">IF(ISBLANK($C235),"",IF($BD235&lt;&gt;Constants!$B$6,$BD235,IF(ISNUMBER($BN235),RANK($BN235,$BN$9:$BN$508,1),COUNT($BN$9:$BN$508)+1)))</f>
        <v/>
      </c>
      <c r="BP235" s="130" t="str">
        <f aca="false">IF($BD235&lt;&gt;Constants!$B$6,"",IF($AU235="-&gt;",$AT235,$BC235))</f>
        <v/>
      </c>
      <c r="BQ235" s="127" t="str">
        <f aca="false">IF(ISBLANK($C235),"",IF($BD235&lt;&gt;Constants!$B$6,$BD235,IF(ISNUMBER($BP235),RANK($BP235,$BP$9:$BP$508,1),COUNT($BP$9:$BP$508)+1)))</f>
        <v/>
      </c>
      <c r="BR235" s="127" t="str">
        <f aca="false">IF(ISBLANK($C235),"",IF($BD235&lt;&gt;Constants!$B$6,$BD235,COUNTIFS($BI$9:$BI$508,"&lt;"&amp;$BI235)+COUNTIFS($BI$9:$BI$508,$BI235,$BK$9:$BK$508,"&lt;"&amp;$BK235)+COUNTIFS($BI$9:$BI$508,$BI235,$BK$9:$BK$508,$BK235,$BM$9:$BM$508,"&lt;"&amp;$BM235)+COUNTIFS($BI$9:$BI$508,$BI235,$BK$9:$BK$508,$BK235,$BM$9:$BM$508,$BM235,$BO$9:$BO$508,"&lt;"&amp;$BO235)+COUNTIFS($BI$9:$BI$508,$BI235,$BK$9:$BK$508,$BK235,$BM$9:$BM$508,$BM235,$BO$9:$BO$508,$BO235,$BQ$9:$BQ$508,"&lt;"&amp;$BQ235)+1))</f>
        <v/>
      </c>
      <c r="BS235" s="127" t="str">
        <f aca="false">IF(ISBLANK($C235),"",IF($BD235&lt;&gt;Constants!$B$6,$BD235,$BI235-$BR235))</f>
        <v/>
      </c>
      <c r="BT235" s="133"/>
      <c r="BU235" s="134"/>
      <c r="BV235" s="134" t="str">
        <f aca="false">IF(ISBLANK($C235),"",IF($BD235&lt;&gt;Constants!$B$6,"",IF($AU235="-&gt;",2,1)))</f>
        <v/>
      </c>
      <c r="BW235" s="135" t="str">
        <f aca="false">IF(ISBLANK($C235),"",IF($BD235&lt;&gt;Constants!$B$6,"",IF($AU235="-&gt;",$AW235,$AN235)))</f>
        <v/>
      </c>
      <c r="BX235" s="135" t="str">
        <f aca="false">IF(ISBLANK($C235),"",IF($BD235&lt;&gt;Constants!$B$6,"",IF($AU235="-&gt;",$AX235,$AO235)))</f>
        <v/>
      </c>
      <c r="BY235" s="135" t="str">
        <f aca="false">IF(ISBLANK($C235),"",IF($BD235&lt;&gt;Constants!$B$6,"",IF($AU235="-&gt;",$AY235,$AP235)))</f>
        <v/>
      </c>
      <c r="BZ235" s="135" t="str">
        <f aca="false">IF(ISBLANK($C235),"",IF($BD235&lt;&gt;Constants!$B$6,"",IF($AU235="-&gt;",$AZ235,$AQ235)+$BG235))</f>
        <v/>
      </c>
      <c r="CA235" s="136" t="str">
        <f aca="false">IF(ISBLANK($C235),"",IF($BD235&lt;&gt;Constants!$B$6,$BD235,$BH235))</f>
        <v/>
      </c>
      <c r="CB235" s="137" t="str">
        <f aca="false">IF(ISBLANK($C235),"",$BE235)</f>
        <v/>
      </c>
      <c r="CC235" s="138" t="str">
        <f aca="false">IF(ISBLANK($C235),"",$BS235)</f>
        <v/>
      </c>
      <c r="CD235" s="138" t="str">
        <f aca="false">IF(ISBLANK($C235),"",$BR235)</f>
        <v/>
      </c>
      <c r="CE235" s="139" t="str">
        <f aca="false">IF(ISBLANK($C235),"",IF($CD235=Constants!$B$9,COUNTA($C$9:$C$508)+2,IF($CD235=Constants!$B$8,COUNTA($C$9:$C$508)+1,IF($CD235=Constants!$B$7,COUNTA($C$9:$C$508),$CD235))))</f>
        <v/>
      </c>
      <c r="CF235" s="9"/>
      <c r="CG235" s="140" t="n">
        <f aca="false">IF(OR(ISNUMBER($CD235),$CD235=Constants!$B$9,$CD235=Constants!$B$7,$CD235=Constants!$B$8),1,0)</f>
        <v>0</v>
      </c>
      <c r="CH235" s="140" t="n">
        <v>227</v>
      </c>
      <c r="CI235" s="140" t="str">
        <f aca="false">IF(ISBLANK($C235),"",IF(ISNUMBER($CE235),$CE235+ROW($B235)/1000,""))</f>
        <v/>
      </c>
      <c r="CJ235" s="140" t="str">
        <f aca="false">IF(ISNUMBER($CI235),RANK($CI235,$CI$9:$CI$508,1),"")</f>
        <v/>
      </c>
      <c r="CK235" s="140" t="str">
        <f aca="false">IF(ISBLANK($C235),"",$B235)</f>
        <v/>
      </c>
      <c r="CL235" s="140" t="str">
        <f aca="false">IF(ISBLANK($C235),"",$C235)</f>
        <v/>
      </c>
      <c r="CM235" s="140" t="str">
        <f aca="false">IF(ISBLANK($C235),"",$D235)</f>
        <v/>
      </c>
      <c r="CN235" s="141" t="str">
        <f aca="false">$CB235</f>
        <v/>
      </c>
      <c r="CO235" s="142" t="str">
        <f aca="false">$CA235</f>
        <v/>
      </c>
      <c r="CP235" s="140" t="str">
        <f aca="false">IF(ISBLANK($C235),"",$CD235)</f>
        <v/>
      </c>
      <c r="CQ235" s="143" t="str">
        <f aca="false">IF($CH235&gt;$CG$8,"",VLOOKUP($CH235,$CJ$9:$CP$508,7,FALSE()))</f>
        <v/>
      </c>
      <c r="CR235" s="144" t="str">
        <f aca="false">IF($CH235&gt;$CG$8,"",VLOOKUP($CH235,$CJ$9:$CP$508,2,FALSE()))</f>
        <v/>
      </c>
      <c r="CS235" s="144" t="str">
        <f aca="false">IF($CH235&gt;$CG$8,"",VLOOKUP($CH235,$CJ$9:$CP$508,3,FALSE()))</f>
        <v/>
      </c>
      <c r="CT235" s="144" t="str">
        <f aca="false">IF($CH235&gt;$CG$8,"",VLOOKUP($CH235,$CJ$9:$CP$508,4,FALSE()))</f>
        <v/>
      </c>
      <c r="CU235" s="144" t="str">
        <f aca="false">IF($CH235&gt;$CG$8,"",VLOOKUP($CH235,$CJ$9:$CP$508,5,FALSE()))</f>
        <v/>
      </c>
      <c r="CV235" s="145" t="str">
        <f aca="false">IF($CH235&gt;$CG$8,"",VLOOKUP($CH235,$CJ$9:$CP$508,6,FALSE()))</f>
        <v/>
      </c>
      <c r="CW235" s="71"/>
    </row>
    <row r="236" customFormat="false" ht="15.75" hidden="false" customHeight="false" outlineLevel="0" collapsed="false">
      <c r="A236" s="9"/>
      <c r="B236" s="150"/>
      <c r="C236" s="151"/>
      <c r="D236" s="152"/>
      <c r="E236" s="170"/>
      <c r="F236" s="154"/>
      <c r="G236" s="155"/>
      <c r="H236" s="171"/>
      <c r="I236" s="159"/>
      <c r="J236" s="120"/>
      <c r="K236" s="121"/>
      <c r="L236" s="122"/>
      <c r="M236" s="158"/>
      <c r="N236" s="159"/>
      <c r="O236" s="159"/>
      <c r="P236" s="120"/>
      <c r="Q236" s="122"/>
      <c r="R236" s="122"/>
      <c r="S236" s="158"/>
      <c r="T236" s="159"/>
      <c r="U236" s="126"/>
      <c r="V236" s="127"/>
      <c r="W236" s="127" t="str">
        <f aca="false">IF(ISBLANK($C236),"",IF(E236=Constants!$B$2,TRUE(),IF(E236=Constants!$B$3,FALSE(),TRUE())))</f>
        <v/>
      </c>
      <c r="X236" s="127" t="str">
        <f aca="false">IF(ISBLANK($C236),"",IF(F236=Constants!$B$2,TRUE(),IF(F236=Constants!$B$3,FALSE(),TRUE())))</f>
        <v/>
      </c>
      <c r="Y236" s="127" t="str">
        <f aca="false">IF(ISBLANK($C236),"",IF(G236=Constants!$B$2,TRUE(),IF(G236=Constants!$B$3,FALSE(),TRUE())))</f>
        <v/>
      </c>
      <c r="Z236" s="127" t="str">
        <f aca="false">IF(ISBLANK($C236),"",IF(H236=Constants!$B$2,TRUE(),IF(H236=Constants!$B$3,FALSE(),TRUE())))</f>
        <v/>
      </c>
      <c r="AA236" s="127" t="str">
        <f aca="false">IF(ISBLANK($C236),"",IF(I236=Constants!$B$2,TRUE(),IF(I236=Constants!$B$3,FALSE(),TRUE())))</f>
        <v/>
      </c>
      <c r="AB236" s="127" t="str">
        <f aca="false">IF(ISBLANK($C236),"",IF(J236=Constants!$B$4,TRUE(),IF(J236=Constants!$B$5,FALSE(),COUNTA(K236:M236)&gt;0)))</f>
        <v/>
      </c>
      <c r="AC236" s="128" t="str">
        <f aca="false">IF(ISBLANK($C236),"",IF(ISNUMBER(K236),IF(K236&gt;=0,K236,""),""))</f>
        <v/>
      </c>
      <c r="AD236" s="129" t="str">
        <f aca="false">IF(ISBLANK($C236),"",IF(ISNUMBER(L236),IF(L236&gt;=0,L236,""),""))</f>
        <v/>
      </c>
      <c r="AE236" s="127" t="str">
        <f aca="false">IF(ISBLANK($C236),"",IF(ISNUMBER(M236),IF(M236&gt;=0,MIN(M236,Constants!$B$22),""),""))</f>
        <v/>
      </c>
      <c r="AF236" s="127" t="str">
        <f aca="false">IF(ISBLANK($C236),"",IF(N236=Constants!$B$2,TRUE(),IF(N236=Constants!$B$3,FALSE(),TRUE())))</f>
        <v/>
      </c>
      <c r="AG236" s="127" t="str">
        <f aca="false">IF(ISBLANK($C236),"",IF(O236=Constants!$B$2,TRUE(),IF(O236=Constants!$B$3,FALSE(),TRUE())))</f>
        <v/>
      </c>
      <c r="AH236" s="127" t="str">
        <f aca="false">IF(ISBLANK($C236),"",IF(P236=Constants!$B$4,TRUE(),IF(P236=Constants!$B$5,FALSE(),COUNTA(Q236:S236)&gt;0)))</f>
        <v/>
      </c>
      <c r="AI236" s="128" t="str">
        <f aca="false">IF(ISBLANK($C236),"",IF(ISNUMBER(Q236),IF(Q236&gt;=0,Q236,""),""))</f>
        <v/>
      </c>
      <c r="AJ236" s="129" t="str">
        <f aca="false">IF(ISBLANK($C236),"",IF(ISNUMBER(R236),IF(R236&gt;=0,R236,""),""))</f>
        <v/>
      </c>
      <c r="AK236" s="127" t="str">
        <f aca="false">IF(ISBLANK($C236),"",IF(ISNUMBER(S236),IF(S236&gt;=0,MIN(S236,Constants!$B$22),""),""))</f>
        <v/>
      </c>
      <c r="AL236" s="127" t="str">
        <f aca="false">IF(ISBLANK($C236),"",IF(T236=Constants!$B$2,TRUE(),IF(T236=Constants!$B$3,FALSE(),FALSE())))</f>
        <v/>
      </c>
      <c r="AM236" s="126" t="str">
        <f aca="false">IF(ISBLANK($C236),"",AND($AB236,OR($AC236="",$AD236="",AND(NOT(ISBLANK($M236)),$AE236=""))))</f>
        <v/>
      </c>
      <c r="AN236" s="129" t="str">
        <f aca="false">IF($BD236&lt;&gt;Constants!$B$6,"",IF($AB236,Constants!$B$17*$AD236,Constants!$B$18))</f>
        <v/>
      </c>
      <c r="AO236" s="130" t="str">
        <f aca="false">IF($BD236&lt;&gt;Constants!$B$6,"",Constants!$B$19*IF($AB236,$AC236,0))</f>
        <v/>
      </c>
      <c r="AP236" s="130" t="str">
        <f aca="false">IF($BD236&lt;&gt;Constants!$B$6,"",IF(AND($AB236,ISNUMBER($AE236)),Constants!$B$20*(Constants!$B$21-$AE236),0))</f>
        <v/>
      </c>
      <c r="AQ236" s="130" t="str">
        <f aca="false">IF($BD236&lt;&gt;Constants!$B$6,"",IF($AA236,0,Constants!$B$12)+IF($Z236,0,Constants!$B$13)+IF($Y236,0,Constants!$B$14))</f>
        <v/>
      </c>
      <c r="AR236" s="131" t="str">
        <f aca="false">IF($BD236&lt;&gt;Constants!$B$6,"",Constants!$B$16+SUM($AN236:$AQ236))</f>
        <v/>
      </c>
      <c r="AS236" s="130" t="str">
        <f aca="false">IF($BD236&lt;&gt;Constants!$B$6,"",IF($AB236,$AD236,""))</f>
        <v/>
      </c>
      <c r="AT236" s="132" t="str">
        <f aca="false">IF($BD236&lt;&gt;Constants!$B$6,"",$AO236)</f>
        <v/>
      </c>
      <c r="AU236" s="127" t="str">
        <f aca="false">IF($BD236&lt;&gt;Constants!$B$6,"",IF(OR($BA236&lt;$AR236,AND($BA236=$AR236,OR(AND(ISNUMBER($BB236),OR(NOT(ISNUMBER($AS236)),$BB236&lt;$AS236)),AND(OR(AND($BB236="",$AS236=""),AND(ISNUMBER($BB236),ISNUMBER($AS236),$BB236=$AS236)),$BC236&lt;$AT236)))),"-&gt;","&lt;-"))</f>
        <v/>
      </c>
      <c r="AV236" s="126" t="str">
        <f aca="false">IF(ISBLANK($C236),"",AND($AH236,OR($AI236="",$AJ236="",AND(NOT(ISBLANK($S236)),$AK236=""))))</f>
        <v/>
      </c>
      <c r="AW236" s="129" t="str">
        <f aca="false">IF($BD236&lt;&gt;Constants!$B$6,"",IF($AH236,Constants!$B$17*$AJ236,Constants!$B$18))</f>
        <v/>
      </c>
      <c r="AX236" s="130" t="str">
        <f aca="false">IF($BD236&lt;&gt;Constants!$B$6,"",Constants!$B$19*IF($AH236,$AI236,0))</f>
        <v/>
      </c>
      <c r="AY236" s="130" t="str">
        <f aca="false">IF($BD236&lt;&gt;Constants!$B$6,"",IF(AND($AH236,ISNUMBER($AK236)),Constants!$B$20*(Constants!$B$21-$AK236),0))</f>
        <v/>
      </c>
      <c r="AZ236" s="130" t="str">
        <f aca="false">IF($BD236&lt;&gt;Constants!$B$6,"",IF($AG236,0,Constants!$B$12)+IF($AF236,0,Constants!$B$13)+IF($Y236,0,Constants!$B$14))</f>
        <v/>
      </c>
      <c r="BA236" s="131" t="str">
        <f aca="false">IF($BD236&lt;&gt;Constants!$B$6,"",Constants!$B$16+SUM($AW236:$AZ236))</f>
        <v/>
      </c>
      <c r="BB236" s="130" t="str">
        <f aca="false">IF($BD236&lt;&gt;Constants!$B$6,"",IF($AH236,$AJ236,""))</f>
        <v/>
      </c>
      <c r="BC236" s="132" t="str">
        <f aca="false">IF($BD236&lt;&gt;Constants!$B$6,"",$AX236)</f>
        <v/>
      </c>
      <c r="BD236" s="127" t="str">
        <f aca="false">IF(ISBLANK($C236),"",IF($AL236,Constants!$B$9,IF(COUNTA($E236:$T236)=0,Constants!$B$8,IF(NOT($X236),Constants!$B$7,IF(OR($AM236,$AV236),Constants!$B$10,Constants!$B$6)))))</f>
        <v/>
      </c>
      <c r="BE236" s="127" t="str">
        <f aca="false">IF(ISBLANK($C236),"",IF($BD236&lt;&gt;Constants!$B$6,$BD236,Constants!$B$11))</f>
        <v/>
      </c>
      <c r="BF236" s="130" t="str">
        <f aca="false">IF($BD236&lt;&gt;Constants!$B$6,"",IF($AU236="-&gt;",$BA236,$AR236))</f>
        <v/>
      </c>
      <c r="BG236" s="130" t="str">
        <f aca="false">IF($BD236&lt;&gt;Constants!$B$6,"",IF($W236,0,Constants!$B$15))</f>
        <v/>
      </c>
      <c r="BH236" s="130" t="str">
        <f aca="false">IF(ISBLANK($C236),"",IF($BD236&lt;&gt;Constants!$B$6,$BD236,SUM($BF236:$BG236)))</f>
        <v/>
      </c>
      <c r="BI236" s="127" t="str">
        <f aca="false">IF(ISBLANK($C236),"",IF($BD236&lt;&gt;Constants!$B$6,$BD236,RANK($BH236,$BH$9:$BH$508,1)))</f>
        <v/>
      </c>
      <c r="BJ236" s="130" t="str">
        <f aca="false">IF($BD236&lt;&gt;Constants!$B$6,"",IF($AU236="-&gt;",$BB236,$AS236))</f>
        <v/>
      </c>
      <c r="BK236" s="127" t="str">
        <f aca="false">IF(ISBLANK($C236),"",IF($BD236&lt;&gt;Constants!$B$6,$BD236,IF(ISNUMBER($BJ236),RANK($BJ236,$BJ$9:$BJ$508,1),COUNT($BJ$9:$BJ$508)+1)))</f>
        <v/>
      </c>
      <c r="BL236" s="130" t="str">
        <f aca="false">IF($BD236&lt;&gt;Constants!$B$6,"",IF($AU236="-&gt;",$BC236,$AT236))</f>
        <v/>
      </c>
      <c r="BM236" s="127" t="str">
        <f aca="false">IF(ISBLANK($C236),"",IF($BD236&lt;&gt;Constants!$B$6,$BD236,IF(ISNUMBER($BL236),RANK($BL236,$BL$9:$BL$508,1),COUNT($BL$9:$BL$508)+1)))</f>
        <v/>
      </c>
      <c r="BN236" s="130" t="str">
        <f aca="false">IF($BD236&lt;&gt;Constants!$B$6,"",IF($AU236="-&gt;",$AS236,$BB236))</f>
        <v/>
      </c>
      <c r="BO236" s="127" t="str">
        <f aca="false">IF(ISBLANK($C236),"",IF($BD236&lt;&gt;Constants!$B$6,$BD236,IF(ISNUMBER($BN236),RANK($BN236,$BN$9:$BN$508,1),COUNT($BN$9:$BN$508)+1)))</f>
        <v/>
      </c>
      <c r="BP236" s="130" t="str">
        <f aca="false">IF($BD236&lt;&gt;Constants!$B$6,"",IF($AU236="-&gt;",$AT236,$BC236))</f>
        <v/>
      </c>
      <c r="BQ236" s="127" t="str">
        <f aca="false">IF(ISBLANK($C236),"",IF($BD236&lt;&gt;Constants!$B$6,$BD236,IF(ISNUMBER($BP236),RANK($BP236,$BP$9:$BP$508,1),COUNT($BP$9:$BP$508)+1)))</f>
        <v/>
      </c>
      <c r="BR236" s="127" t="str">
        <f aca="false">IF(ISBLANK($C236),"",IF($BD236&lt;&gt;Constants!$B$6,$BD236,COUNTIFS($BI$9:$BI$508,"&lt;"&amp;$BI236)+COUNTIFS($BI$9:$BI$508,$BI236,$BK$9:$BK$508,"&lt;"&amp;$BK236)+COUNTIFS($BI$9:$BI$508,$BI236,$BK$9:$BK$508,$BK236,$BM$9:$BM$508,"&lt;"&amp;$BM236)+COUNTIFS($BI$9:$BI$508,$BI236,$BK$9:$BK$508,$BK236,$BM$9:$BM$508,$BM236,$BO$9:$BO$508,"&lt;"&amp;$BO236)+COUNTIFS($BI$9:$BI$508,$BI236,$BK$9:$BK$508,$BK236,$BM$9:$BM$508,$BM236,$BO$9:$BO$508,$BO236,$BQ$9:$BQ$508,"&lt;"&amp;$BQ236)+1))</f>
        <v/>
      </c>
      <c r="BS236" s="127" t="str">
        <f aca="false">IF(ISBLANK($C236),"",IF($BD236&lt;&gt;Constants!$B$6,$BD236,$BI236-$BR236))</f>
        <v/>
      </c>
      <c r="BT236" s="133"/>
      <c r="BU236" s="134"/>
      <c r="BV236" s="134" t="str">
        <f aca="false">IF(ISBLANK($C236),"",IF($BD236&lt;&gt;Constants!$B$6,"",IF($AU236="-&gt;",2,1)))</f>
        <v/>
      </c>
      <c r="BW236" s="135" t="str">
        <f aca="false">IF(ISBLANK($C236),"",IF($BD236&lt;&gt;Constants!$B$6,"",IF($AU236="-&gt;",$AW236,$AN236)))</f>
        <v/>
      </c>
      <c r="BX236" s="135" t="str">
        <f aca="false">IF(ISBLANK($C236),"",IF($BD236&lt;&gt;Constants!$B$6,"",IF($AU236="-&gt;",$AX236,$AO236)))</f>
        <v/>
      </c>
      <c r="BY236" s="135" t="str">
        <f aca="false">IF(ISBLANK($C236),"",IF($BD236&lt;&gt;Constants!$B$6,"",IF($AU236="-&gt;",$AY236,$AP236)))</f>
        <v/>
      </c>
      <c r="BZ236" s="135" t="str">
        <f aca="false">IF(ISBLANK($C236),"",IF($BD236&lt;&gt;Constants!$B$6,"",IF($AU236="-&gt;",$AZ236,$AQ236)+$BG236))</f>
        <v/>
      </c>
      <c r="CA236" s="136" t="str">
        <f aca="false">IF(ISBLANK($C236),"",IF($BD236&lt;&gt;Constants!$B$6,$BD236,$BH236))</f>
        <v/>
      </c>
      <c r="CB236" s="137" t="str">
        <f aca="false">IF(ISBLANK($C236),"",$BE236)</f>
        <v/>
      </c>
      <c r="CC236" s="138" t="str">
        <f aca="false">IF(ISBLANK($C236),"",$BS236)</f>
        <v/>
      </c>
      <c r="CD236" s="138" t="str">
        <f aca="false">IF(ISBLANK($C236),"",$BR236)</f>
        <v/>
      </c>
      <c r="CE236" s="139" t="str">
        <f aca="false">IF(ISBLANK($C236),"",IF($CD236=Constants!$B$9,COUNTA($C$9:$C$508)+2,IF($CD236=Constants!$B$8,COUNTA($C$9:$C$508)+1,IF($CD236=Constants!$B$7,COUNTA($C$9:$C$508),$CD236))))</f>
        <v/>
      </c>
      <c r="CF236" s="9"/>
      <c r="CG236" s="140" t="n">
        <f aca="false">IF(OR(ISNUMBER($CD236),$CD236=Constants!$B$9,$CD236=Constants!$B$7,$CD236=Constants!$B$8),1,0)</f>
        <v>0</v>
      </c>
      <c r="CH236" s="140" t="n">
        <v>228</v>
      </c>
      <c r="CI236" s="140" t="str">
        <f aca="false">IF(ISBLANK($C236),"",IF(ISNUMBER($CE236),$CE236+ROW($B236)/1000,""))</f>
        <v/>
      </c>
      <c r="CJ236" s="140" t="str">
        <f aca="false">IF(ISNUMBER($CI236),RANK($CI236,$CI$9:$CI$508,1),"")</f>
        <v/>
      </c>
      <c r="CK236" s="140" t="str">
        <f aca="false">IF(ISBLANK($C236),"",$B236)</f>
        <v/>
      </c>
      <c r="CL236" s="140" t="str">
        <f aca="false">IF(ISBLANK($C236),"",$C236)</f>
        <v/>
      </c>
      <c r="CM236" s="140" t="str">
        <f aca="false">IF(ISBLANK($C236),"",$D236)</f>
        <v/>
      </c>
      <c r="CN236" s="141" t="str">
        <f aca="false">$CB236</f>
        <v/>
      </c>
      <c r="CO236" s="142" t="str">
        <f aca="false">$CA236</f>
        <v/>
      </c>
      <c r="CP236" s="140" t="str">
        <f aca="false">IF(ISBLANK($C236),"",$CD236)</f>
        <v/>
      </c>
      <c r="CQ236" s="143" t="str">
        <f aca="false">IF($CH236&gt;$CG$8,"",VLOOKUP($CH236,$CJ$9:$CP$508,7,FALSE()))</f>
        <v/>
      </c>
      <c r="CR236" s="144" t="str">
        <f aca="false">IF($CH236&gt;$CG$8,"",VLOOKUP($CH236,$CJ$9:$CP$508,2,FALSE()))</f>
        <v/>
      </c>
      <c r="CS236" s="144" t="str">
        <f aca="false">IF($CH236&gt;$CG$8,"",VLOOKUP($CH236,$CJ$9:$CP$508,3,FALSE()))</f>
        <v/>
      </c>
      <c r="CT236" s="144" t="str">
        <f aca="false">IF($CH236&gt;$CG$8,"",VLOOKUP($CH236,$CJ$9:$CP$508,4,FALSE()))</f>
        <v/>
      </c>
      <c r="CU236" s="144" t="str">
        <f aca="false">IF($CH236&gt;$CG$8,"",VLOOKUP($CH236,$CJ$9:$CP$508,5,FALSE()))</f>
        <v/>
      </c>
      <c r="CV236" s="145" t="str">
        <f aca="false">IF($CH236&gt;$CG$8,"",VLOOKUP($CH236,$CJ$9:$CP$508,6,FALSE()))</f>
        <v/>
      </c>
      <c r="CW236" s="71"/>
    </row>
    <row r="237" customFormat="false" ht="15.75" hidden="false" customHeight="false" outlineLevel="0" collapsed="false">
      <c r="A237" s="9"/>
      <c r="B237" s="72"/>
      <c r="C237" s="73"/>
      <c r="D237" s="160"/>
      <c r="E237" s="168"/>
      <c r="F237" s="162"/>
      <c r="G237" s="163"/>
      <c r="H237" s="169"/>
      <c r="I237" s="167"/>
      <c r="J237" s="80"/>
      <c r="K237" s="81"/>
      <c r="L237" s="82"/>
      <c r="M237" s="166"/>
      <c r="N237" s="167"/>
      <c r="O237" s="167"/>
      <c r="P237" s="80"/>
      <c r="Q237" s="82"/>
      <c r="R237" s="82"/>
      <c r="S237" s="166"/>
      <c r="T237" s="167"/>
      <c r="U237" s="86"/>
      <c r="V237" s="87"/>
      <c r="W237" s="87" t="str">
        <f aca="false">IF(ISBLANK($C237),"",IF(E237=Constants!$B$2,TRUE(),IF(E237=Constants!$B$3,FALSE(),TRUE())))</f>
        <v/>
      </c>
      <c r="X237" s="87" t="str">
        <f aca="false">IF(ISBLANK($C237),"",IF(F237=Constants!$B$2,TRUE(),IF(F237=Constants!$B$3,FALSE(),TRUE())))</f>
        <v/>
      </c>
      <c r="Y237" s="87" t="str">
        <f aca="false">IF(ISBLANK($C237),"",IF(G237=Constants!$B$2,TRUE(),IF(G237=Constants!$B$3,FALSE(),TRUE())))</f>
        <v/>
      </c>
      <c r="Z237" s="87" t="str">
        <f aca="false">IF(ISBLANK($C237),"",IF(H237=Constants!$B$2,TRUE(),IF(H237=Constants!$B$3,FALSE(),TRUE())))</f>
        <v/>
      </c>
      <c r="AA237" s="87" t="str">
        <f aca="false">IF(ISBLANK($C237),"",IF(I237=Constants!$B$2,TRUE(),IF(I237=Constants!$B$3,FALSE(),TRUE())))</f>
        <v/>
      </c>
      <c r="AB237" s="87" t="str">
        <f aca="false">IF(ISBLANK($C237),"",IF(J237=Constants!$B$4,TRUE(),IF(J237=Constants!$B$5,FALSE(),COUNTA(K237:M237)&gt;0)))</f>
        <v/>
      </c>
      <c r="AC237" s="88" t="str">
        <f aca="false">IF(ISBLANK($C237),"",IF(ISNUMBER(K237),IF(K237&gt;=0,K237,""),""))</f>
        <v/>
      </c>
      <c r="AD237" s="89" t="str">
        <f aca="false">IF(ISBLANK($C237),"",IF(ISNUMBER(L237),IF(L237&gt;=0,L237,""),""))</f>
        <v/>
      </c>
      <c r="AE237" s="87" t="str">
        <f aca="false">IF(ISBLANK($C237),"",IF(ISNUMBER(M237),IF(M237&gt;=0,MIN(M237,Constants!$B$22),""),""))</f>
        <v/>
      </c>
      <c r="AF237" s="87" t="str">
        <f aca="false">IF(ISBLANK($C237),"",IF(N237=Constants!$B$2,TRUE(),IF(N237=Constants!$B$3,FALSE(),TRUE())))</f>
        <v/>
      </c>
      <c r="AG237" s="87" t="str">
        <f aca="false">IF(ISBLANK($C237),"",IF(O237=Constants!$B$2,TRUE(),IF(O237=Constants!$B$3,FALSE(),TRUE())))</f>
        <v/>
      </c>
      <c r="AH237" s="87" t="str">
        <f aca="false">IF(ISBLANK($C237),"",IF(P237=Constants!$B$4,TRUE(),IF(P237=Constants!$B$5,FALSE(),COUNTA(Q237:S237)&gt;0)))</f>
        <v/>
      </c>
      <c r="AI237" s="88" t="str">
        <f aca="false">IF(ISBLANK($C237),"",IF(ISNUMBER(Q237),IF(Q237&gt;=0,Q237,""),""))</f>
        <v/>
      </c>
      <c r="AJ237" s="89" t="str">
        <f aca="false">IF(ISBLANK($C237),"",IF(ISNUMBER(R237),IF(R237&gt;=0,R237,""),""))</f>
        <v/>
      </c>
      <c r="AK237" s="87" t="str">
        <f aca="false">IF(ISBLANK($C237),"",IF(ISNUMBER(S237),IF(S237&gt;=0,MIN(S237,Constants!$B$22),""),""))</f>
        <v/>
      </c>
      <c r="AL237" s="87" t="str">
        <f aca="false">IF(ISBLANK($C237),"",IF(T237=Constants!$B$2,TRUE(),IF(T237=Constants!$B$3,FALSE(),FALSE())))</f>
        <v/>
      </c>
      <c r="AM237" s="86" t="str">
        <f aca="false">IF(ISBLANK($C237),"",AND($AB237,OR($AC237="",$AD237="",AND(NOT(ISBLANK($M237)),$AE237=""))))</f>
        <v/>
      </c>
      <c r="AN237" s="89" t="str">
        <f aca="false">IF($BD237&lt;&gt;Constants!$B$6,"",IF($AB237,Constants!$B$17*$AD237,Constants!$B$18))</f>
        <v/>
      </c>
      <c r="AO237" s="91" t="str">
        <f aca="false">IF($BD237&lt;&gt;Constants!$B$6,"",Constants!$B$19*IF($AB237,$AC237,0))</f>
        <v/>
      </c>
      <c r="AP237" s="91" t="str">
        <f aca="false">IF($BD237&lt;&gt;Constants!$B$6,"",IF(AND($AB237,ISNUMBER($AE237)),Constants!$B$20*(Constants!$B$21-$AE237),0))</f>
        <v/>
      </c>
      <c r="AQ237" s="91" t="str">
        <f aca="false">IF($BD237&lt;&gt;Constants!$B$6,"",IF($AA237,0,Constants!$B$12)+IF($Z237,0,Constants!$B$13)+IF($Y237,0,Constants!$B$14))</f>
        <v/>
      </c>
      <c r="AR237" s="92" t="str">
        <f aca="false">IF($BD237&lt;&gt;Constants!$B$6,"",Constants!$B$16+SUM($AN237:$AQ237))</f>
        <v/>
      </c>
      <c r="AS237" s="91" t="str">
        <f aca="false">IF($BD237&lt;&gt;Constants!$B$6,"",IF($AB237,$AD237,""))</f>
        <v/>
      </c>
      <c r="AT237" s="93" t="str">
        <f aca="false">IF($BD237&lt;&gt;Constants!$B$6,"",$AO237)</f>
        <v/>
      </c>
      <c r="AU237" s="87" t="str">
        <f aca="false">IF($BD237&lt;&gt;Constants!$B$6,"",IF(OR($BA237&lt;$AR237,AND($BA237=$AR237,OR(AND(ISNUMBER($BB237),OR(NOT(ISNUMBER($AS237)),$BB237&lt;$AS237)),AND(OR(AND($BB237="",$AS237=""),AND(ISNUMBER($BB237),ISNUMBER($AS237),$BB237=$AS237)),$BC237&lt;$AT237)))),"-&gt;","&lt;-"))</f>
        <v/>
      </c>
      <c r="AV237" s="86" t="str">
        <f aca="false">IF(ISBLANK($C237),"",AND($AH237,OR($AI237="",$AJ237="",AND(NOT(ISBLANK($S237)),$AK237=""))))</f>
        <v/>
      </c>
      <c r="AW237" s="89" t="str">
        <f aca="false">IF($BD237&lt;&gt;Constants!$B$6,"",IF($AH237,Constants!$B$17*$AJ237,Constants!$B$18))</f>
        <v/>
      </c>
      <c r="AX237" s="91" t="str">
        <f aca="false">IF($BD237&lt;&gt;Constants!$B$6,"",Constants!$B$19*IF($AH237,$AI237,0))</f>
        <v/>
      </c>
      <c r="AY237" s="91" t="str">
        <f aca="false">IF($BD237&lt;&gt;Constants!$B$6,"",IF(AND($AH237,ISNUMBER($AK237)),Constants!$B$20*(Constants!$B$21-$AK237),0))</f>
        <v/>
      </c>
      <c r="AZ237" s="91" t="str">
        <f aca="false">IF($BD237&lt;&gt;Constants!$B$6,"",IF($AG237,0,Constants!$B$12)+IF($AF237,0,Constants!$B$13)+IF($Y237,0,Constants!$B$14))</f>
        <v/>
      </c>
      <c r="BA237" s="92" t="str">
        <f aca="false">IF($BD237&lt;&gt;Constants!$B$6,"",Constants!$B$16+SUM($AW237:$AZ237))</f>
        <v/>
      </c>
      <c r="BB237" s="91" t="str">
        <f aca="false">IF($BD237&lt;&gt;Constants!$B$6,"",IF($AH237,$AJ237,""))</f>
        <v/>
      </c>
      <c r="BC237" s="93" t="str">
        <f aca="false">IF($BD237&lt;&gt;Constants!$B$6,"",$AX237)</f>
        <v/>
      </c>
      <c r="BD237" s="87" t="str">
        <f aca="false">IF(ISBLANK($C237),"",IF($AL237,Constants!$B$9,IF(COUNTA($E237:$T237)=0,Constants!$B$8,IF(NOT($X237),Constants!$B$7,IF(OR($AM237,$AV237),Constants!$B$10,Constants!$B$6)))))</f>
        <v/>
      </c>
      <c r="BE237" s="87" t="str">
        <f aca="false">IF(ISBLANK($C237),"",IF($BD237&lt;&gt;Constants!$B$6,$BD237,Constants!$B$11))</f>
        <v/>
      </c>
      <c r="BF237" s="91" t="str">
        <f aca="false">IF($BD237&lt;&gt;Constants!$B$6,"",IF($AU237="-&gt;",$BA237,$AR237))</f>
        <v/>
      </c>
      <c r="BG237" s="91" t="str">
        <f aca="false">IF($BD237&lt;&gt;Constants!$B$6,"",IF($W237,0,Constants!$B$15))</f>
        <v/>
      </c>
      <c r="BH237" s="91" t="str">
        <f aca="false">IF(ISBLANK($C237),"",IF($BD237&lt;&gt;Constants!$B$6,$BD237,SUM($BF237:$BG237)))</f>
        <v/>
      </c>
      <c r="BI237" s="87" t="str">
        <f aca="false">IF(ISBLANK($C237),"",IF($BD237&lt;&gt;Constants!$B$6,$BD237,RANK($BH237,$BH$9:$BH$508,1)))</f>
        <v/>
      </c>
      <c r="BJ237" s="91" t="str">
        <f aca="false">IF($BD237&lt;&gt;Constants!$B$6,"",IF($AU237="-&gt;",$BB237,$AS237))</f>
        <v/>
      </c>
      <c r="BK237" s="87" t="str">
        <f aca="false">IF(ISBLANK($C237),"",IF($BD237&lt;&gt;Constants!$B$6,$BD237,IF(ISNUMBER($BJ237),RANK($BJ237,$BJ$9:$BJ$508,1),COUNT($BJ$9:$BJ$508)+1)))</f>
        <v/>
      </c>
      <c r="BL237" s="91" t="str">
        <f aca="false">IF($BD237&lt;&gt;Constants!$B$6,"",IF($AU237="-&gt;",$BC237,$AT237))</f>
        <v/>
      </c>
      <c r="BM237" s="87" t="str">
        <f aca="false">IF(ISBLANK($C237),"",IF($BD237&lt;&gt;Constants!$B$6,$BD237,IF(ISNUMBER($BL237),RANK($BL237,$BL$9:$BL$508,1),COUNT($BL$9:$BL$508)+1)))</f>
        <v/>
      </c>
      <c r="BN237" s="91" t="str">
        <f aca="false">IF($BD237&lt;&gt;Constants!$B$6,"",IF($AU237="-&gt;",$AS237,$BB237))</f>
        <v/>
      </c>
      <c r="BO237" s="87" t="str">
        <f aca="false">IF(ISBLANK($C237),"",IF($BD237&lt;&gt;Constants!$B$6,$BD237,IF(ISNUMBER($BN237),RANK($BN237,$BN$9:$BN$508,1),COUNT($BN$9:$BN$508)+1)))</f>
        <v/>
      </c>
      <c r="BP237" s="91" t="str">
        <f aca="false">IF($BD237&lt;&gt;Constants!$B$6,"",IF($AU237="-&gt;",$AT237,$BC237))</f>
        <v/>
      </c>
      <c r="BQ237" s="87" t="str">
        <f aca="false">IF(ISBLANK($C237),"",IF($BD237&lt;&gt;Constants!$B$6,$BD237,IF(ISNUMBER($BP237),RANK($BP237,$BP$9:$BP$508,1),COUNT($BP$9:$BP$508)+1)))</f>
        <v/>
      </c>
      <c r="BR237" s="87" t="str">
        <f aca="false">IF(ISBLANK($C237),"",IF($BD237&lt;&gt;Constants!$B$6,$BD237,COUNTIFS($BI$9:$BI$508,"&lt;"&amp;$BI237)+COUNTIFS($BI$9:$BI$508,$BI237,$BK$9:$BK$508,"&lt;"&amp;$BK237)+COUNTIFS($BI$9:$BI$508,$BI237,$BK$9:$BK$508,$BK237,$BM$9:$BM$508,"&lt;"&amp;$BM237)+COUNTIFS($BI$9:$BI$508,$BI237,$BK$9:$BK$508,$BK237,$BM$9:$BM$508,$BM237,$BO$9:$BO$508,"&lt;"&amp;$BO237)+COUNTIFS($BI$9:$BI$508,$BI237,$BK$9:$BK$508,$BK237,$BM$9:$BM$508,$BM237,$BO$9:$BO$508,$BO237,$BQ$9:$BQ$508,"&lt;"&amp;$BQ237)+1))</f>
        <v/>
      </c>
      <c r="BS237" s="87" t="str">
        <f aca="false">IF(ISBLANK($C237),"",IF($BD237&lt;&gt;Constants!$B$6,$BD237,$BI237-$BR237))</f>
        <v/>
      </c>
      <c r="BT237" s="94"/>
      <c r="BU237" s="95"/>
      <c r="BV237" s="95" t="str">
        <f aca="false">IF(ISBLANK($C237),"",IF($BD237&lt;&gt;Constants!$B$6,"",IF($AU237="-&gt;",2,1)))</f>
        <v/>
      </c>
      <c r="BW237" s="96" t="str">
        <f aca="false">IF(ISBLANK($C237),"",IF($BD237&lt;&gt;Constants!$B$6,"",IF($AU237="-&gt;",$AW237,$AN237)))</f>
        <v/>
      </c>
      <c r="BX237" s="96" t="str">
        <f aca="false">IF(ISBLANK($C237),"",IF($BD237&lt;&gt;Constants!$B$6,"",IF($AU237="-&gt;",$AX237,$AO237)))</f>
        <v/>
      </c>
      <c r="BY237" s="96" t="str">
        <f aca="false">IF(ISBLANK($C237),"",IF($BD237&lt;&gt;Constants!$B$6,"",IF($AU237="-&gt;",$AY237,$AP237)))</f>
        <v/>
      </c>
      <c r="BZ237" s="96" t="str">
        <f aca="false">IF(ISBLANK($C237),"",IF($BD237&lt;&gt;Constants!$B$6,"",IF($AU237="-&gt;",$AZ237,$AQ237)+$BG237))</f>
        <v/>
      </c>
      <c r="CA237" s="97" t="str">
        <f aca="false">IF(ISBLANK($C237),"",IF($BD237&lt;&gt;Constants!$B$6,$BD237,$BH237))</f>
        <v/>
      </c>
      <c r="CB237" s="98" t="str">
        <f aca="false">IF(ISBLANK($C237),"",$BE237)</f>
        <v/>
      </c>
      <c r="CC237" s="99" t="str">
        <f aca="false">IF(ISBLANK($C237),"",$BS237)</f>
        <v/>
      </c>
      <c r="CD237" s="99" t="str">
        <f aca="false">IF(ISBLANK($C237),"",$BR237)</f>
        <v/>
      </c>
      <c r="CE237" s="100" t="str">
        <f aca="false">IF(ISBLANK($C237),"",IF($CD237=Constants!$B$9,COUNTA($C$9:$C$508)+2,IF($CD237=Constants!$B$8,COUNTA($C$9:$C$508)+1,IF($CD237=Constants!$B$7,COUNTA($C$9:$C$508),$CD237))))</f>
        <v/>
      </c>
      <c r="CF237" s="9"/>
      <c r="CG237" s="101" t="n">
        <f aca="false">IF(OR(ISNUMBER($CD237),$CD237=Constants!$B$9,$CD237=Constants!$B$7,$CD237=Constants!$B$8),1,0)</f>
        <v>0</v>
      </c>
      <c r="CH237" s="101" t="n">
        <v>229</v>
      </c>
      <c r="CI237" s="101" t="str">
        <f aca="false">IF(ISBLANK($C237),"",IF(ISNUMBER($CE237),$CE237+ROW($B237)/1000,""))</f>
        <v/>
      </c>
      <c r="CJ237" s="101" t="str">
        <f aca="false">IF(ISNUMBER($CI237),RANK($CI237,$CI$9:$CI$508,1),"")</f>
        <v/>
      </c>
      <c r="CK237" s="101" t="str">
        <f aca="false">IF(ISBLANK($C237),"",$B237)</f>
        <v/>
      </c>
      <c r="CL237" s="101" t="str">
        <f aca="false">IF(ISBLANK($C237),"",$C237)</f>
        <v/>
      </c>
      <c r="CM237" s="101" t="str">
        <f aca="false">IF(ISBLANK($C237),"",$D237)</f>
        <v/>
      </c>
      <c r="CN237" s="102" t="str">
        <f aca="false">$CB237</f>
        <v/>
      </c>
      <c r="CO237" s="103" t="str">
        <f aca="false">$CA237</f>
        <v/>
      </c>
      <c r="CP237" s="101" t="str">
        <f aca="false">IF(ISBLANK($C237),"",$CD237)</f>
        <v/>
      </c>
      <c r="CQ237" s="104" t="str">
        <f aca="false">IF($CH237&gt;$CG$8,"",VLOOKUP($CH237,$CJ$9:$CP$508,7,FALSE()))</f>
        <v/>
      </c>
      <c r="CR237" s="105" t="str">
        <f aca="false">IF($CH237&gt;$CG$8,"",VLOOKUP($CH237,$CJ$9:$CP$508,2,FALSE()))</f>
        <v/>
      </c>
      <c r="CS237" s="105" t="str">
        <f aca="false">IF($CH237&gt;$CG$8,"",VLOOKUP($CH237,$CJ$9:$CP$508,3,FALSE()))</f>
        <v/>
      </c>
      <c r="CT237" s="105" t="str">
        <f aca="false">IF($CH237&gt;$CG$8,"",VLOOKUP($CH237,$CJ$9:$CP$508,4,FALSE()))</f>
        <v/>
      </c>
      <c r="CU237" s="105" t="str">
        <f aca="false">IF($CH237&gt;$CG$8,"",VLOOKUP($CH237,$CJ$9:$CP$508,5,FALSE()))</f>
        <v/>
      </c>
      <c r="CV237" s="106" t="str">
        <f aca="false">IF($CH237&gt;$CG$8,"",VLOOKUP($CH237,$CJ$9:$CP$508,6,FALSE()))</f>
        <v/>
      </c>
      <c r="CW237" s="71"/>
    </row>
    <row r="238" customFormat="false" ht="15.75" hidden="false" customHeight="false" outlineLevel="0" collapsed="false">
      <c r="A238" s="9"/>
      <c r="B238" s="72"/>
      <c r="C238" s="73"/>
      <c r="D238" s="160"/>
      <c r="E238" s="168"/>
      <c r="F238" s="162"/>
      <c r="G238" s="163"/>
      <c r="H238" s="169"/>
      <c r="I238" s="167"/>
      <c r="J238" s="80"/>
      <c r="K238" s="81"/>
      <c r="L238" s="82"/>
      <c r="M238" s="166"/>
      <c r="N238" s="167"/>
      <c r="O238" s="167"/>
      <c r="P238" s="80"/>
      <c r="Q238" s="82"/>
      <c r="R238" s="82"/>
      <c r="S238" s="166"/>
      <c r="T238" s="167"/>
      <c r="U238" s="86"/>
      <c r="V238" s="87"/>
      <c r="W238" s="87" t="str">
        <f aca="false">IF(ISBLANK($C238),"",IF(E238=Constants!$B$2,TRUE(),IF(E238=Constants!$B$3,FALSE(),TRUE())))</f>
        <v/>
      </c>
      <c r="X238" s="87" t="str">
        <f aca="false">IF(ISBLANK($C238),"",IF(F238=Constants!$B$2,TRUE(),IF(F238=Constants!$B$3,FALSE(),TRUE())))</f>
        <v/>
      </c>
      <c r="Y238" s="87" t="str">
        <f aca="false">IF(ISBLANK($C238),"",IF(G238=Constants!$B$2,TRUE(),IF(G238=Constants!$B$3,FALSE(),TRUE())))</f>
        <v/>
      </c>
      <c r="Z238" s="87" t="str">
        <f aca="false">IF(ISBLANK($C238),"",IF(H238=Constants!$B$2,TRUE(),IF(H238=Constants!$B$3,FALSE(),TRUE())))</f>
        <v/>
      </c>
      <c r="AA238" s="87" t="str">
        <f aca="false">IF(ISBLANK($C238),"",IF(I238=Constants!$B$2,TRUE(),IF(I238=Constants!$B$3,FALSE(),TRUE())))</f>
        <v/>
      </c>
      <c r="AB238" s="87" t="str">
        <f aca="false">IF(ISBLANK($C238),"",IF(J238=Constants!$B$4,TRUE(),IF(J238=Constants!$B$5,FALSE(),COUNTA(K238:M238)&gt;0)))</f>
        <v/>
      </c>
      <c r="AC238" s="88" t="str">
        <f aca="false">IF(ISBLANK($C238),"",IF(ISNUMBER(K238),IF(K238&gt;=0,K238,""),""))</f>
        <v/>
      </c>
      <c r="AD238" s="89" t="str">
        <f aca="false">IF(ISBLANK($C238),"",IF(ISNUMBER(L238),IF(L238&gt;=0,L238,""),""))</f>
        <v/>
      </c>
      <c r="AE238" s="87" t="str">
        <f aca="false">IF(ISBLANK($C238),"",IF(ISNUMBER(M238),IF(M238&gt;=0,MIN(M238,Constants!$B$22),""),""))</f>
        <v/>
      </c>
      <c r="AF238" s="87" t="str">
        <f aca="false">IF(ISBLANK($C238),"",IF(N238=Constants!$B$2,TRUE(),IF(N238=Constants!$B$3,FALSE(),TRUE())))</f>
        <v/>
      </c>
      <c r="AG238" s="87" t="str">
        <f aca="false">IF(ISBLANK($C238),"",IF(O238=Constants!$B$2,TRUE(),IF(O238=Constants!$B$3,FALSE(),TRUE())))</f>
        <v/>
      </c>
      <c r="AH238" s="87" t="str">
        <f aca="false">IF(ISBLANK($C238),"",IF(P238=Constants!$B$4,TRUE(),IF(P238=Constants!$B$5,FALSE(),COUNTA(Q238:S238)&gt;0)))</f>
        <v/>
      </c>
      <c r="AI238" s="88" t="str">
        <f aca="false">IF(ISBLANK($C238),"",IF(ISNUMBER(Q238),IF(Q238&gt;=0,Q238,""),""))</f>
        <v/>
      </c>
      <c r="AJ238" s="89" t="str">
        <f aca="false">IF(ISBLANK($C238),"",IF(ISNUMBER(R238),IF(R238&gt;=0,R238,""),""))</f>
        <v/>
      </c>
      <c r="AK238" s="87" t="str">
        <f aca="false">IF(ISBLANK($C238),"",IF(ISNUMBER(S238),IF(S238&gt;=0,MIN(S238,Constants!$B$22),""),""))</f>
        <v/>
      </c>
      <c r="AL238" s="87" t="str">
        <f aca="false">IF(ISBLANK($C238),"",IF(T238=Constants!$B$2,TRUE(),IF(T238=Constants!$B$3,FALSE(),FALSE())))</f>
        <v/>
      </c>
      <c r="AM238" s="86" t="str">
        <f aca="false">IF(ISBLANK($C238),"",AND($AB238,OR($AC238="",$AD238="",AND(NOT(ISBLANK($M238)),$AE238=""))))</f>
        <v/>
      </c>
      <c r="AN238" s="89" t="str">
        <f aca="false">IF($BD238&lt;&gt;Constants!$B$6,"",IF($AB238,Constants!$B$17*$AD238,Constants!$B$18))</f>
        <v/>
      </c>
      <c r="AO238" s="91" t="str">
        <f aca="false">IF($BD238&lt;&gt;Constants!$B$6,"",Constants!$B$19*IF($AB238,$AC238,0))</f>
        <v/>
      </c>
      <c r="AP238" s="91" t="str">
        <f aca="false">IF($BD238&lt;&gt;Constants!$B$6,"",IF(AND($AB238,ISNUMBER($AE238)),Constants!$B$20*(Constants!$B$21-$AE238),0))</f>
        <v/>
      </c>
      <c r="AQ238" s="91" t="str">
        <f aca="false">IF($BD238&lt;&gt;Constants!$B$6,"",IF($AA238,0,Constants!$B$12)+IF($Z238,0,Constants!$B$13)+IF($Y238,0,Constants!$B$14))</f>
        <v/>
      </c>
      <c r="AR238" s="92" t="str">
        <f aca="false">IF($BD238&lt;&gt;Constants!$B$6,"",Constants!$B$16+SUM($AN238:$AQ238))</f>
        <v/>
      </c>
      <c r="AS238" s="91" t="str">
        <f aca="false">IF($BD238&lt;&gt;Constants!$B$6,"",IF($AB238,$AD238,""))</f>
        <v/>
      </c>
      <c r="AT238" s="93" t="str">
        <f aca="false">IF($BD238&lt;&gt;Constants!$B$6,"",$AO238)</f>
        <v/>
      </c>
      <c r="AU238" s="87" t="str">
        <f aca="false">IF($BD238&lt;&gt;Constants!$B$6,"",IF(OR($BA238&lt;$AR238,AND($BA238=$AR238,OR(AND(ISNUMBER($BB238),OR(NOT(ISNUMBER($AS238)),$BB238&lt;$AS238)),AND(OR(AND($BB238="",$AS238=""),AND(ISNUMBER($BB238),ISNUMBER($AS238),$BB238=$AS238)),$BC238&lt;$AT238)))),"-&gt;","&lt;-"))</f>
        <v/>
      </c>
      <c r="AV238" s="86" t="str">
        <f aca="false">IF(ISBLANK($C238),"",AND($AH238,OR($AI238="",$AJ238="",AND(NOT(ISBLANK($S238)),$AK238=""))))</f>
        <v/>
      </c>
      <c r="AW238" s="89" t="str">
        <f aca="false">IF($BD238&lt;&gt;Constants!$B$6,"",IF($AH238,Constants!$B$17*$AJ238,Constants!$B$18))</f>
        <v/>
      </c>
      <c r="AX238" s="91" t="str">
        <f aca="false">IF($BD238&lt;&gt;Constants!$B$6,"",Constants!$B$19*IF($AH238,$AI238,0))</f>
        <v/>
      </c>
      <c r="AY238" s="91" t="str">
        <f aca="false">IF($BD238&lt;&gt;Constants!$B$6,"",IF(AND($AH238,ISNUMBER($AK238)),Constants!$B$20*(Constants!$B$21-$AK238),0))</f>
        <v/>
      </c>
      <c r="AZ238" s="91" t="str">
        <f aca="false">IF($BD238&lt;&gt;Constants!$B$6,"",IF($AG238,0,Constants!$B$12)+IF($AF238,0,Constants!$B$13)+IF($Y238,0,Constants!$B$14))</f>
        <v/>
      </c>
      <c r="BA238" s="92" t="str">
        <f aca="false">IF($BD238&lt;&gt;Constants!$B$6,"",Constants!$B$16+SUM($AW238:$AZ238))</f>
        <v/>
      </c>
      <c r="BB238" s="91" t="str">
        <f aca="false">IF($BD238&lt;&gt;Constants!$B$6,"",IF($AH238,$AJ238,""))</f>
        <v/>
      </c>
      <c r="BC238" s="93" t="str">
        <f aca="false">IF($BD238&lt;&gt;Constants!$B$6,"",$AX238)</f>
        <v/>
      </c>
      <c r="BD238" s="87" t="str">
        <f aca="false">IF(ISBLANK($C238),"",IF($AL238,Constants!$B$9,IF(COUNTA($E238:$T238)=0,Constants!$B$8,IF(NOT($X238),Constants!$B$7,IF(OR($AM238,$AV238),Constants!$B$10,Constants!$B$6)))))</f>
        <v/>
      </c>
      <c r="BE238" s="87" t="str">
        <f aca="false">IF(ISBLANK($C238),"",IF($BD238&lt;&gt;Constants!$B$6,$BD238,Constants!$B$11))</f>
        <v/>
      </c>
      <c r="BF238" s="91" t="str">
        <f aca="false">IF($BD238&lt;&gt;Constants!$B$6,"",IF($AU238="-&gt;",$BA238,$AR238))</f>
        <v/>
      </c>
      <c r="BG238" s="91" t="str">
        <f aca="false">IF($BD238&lt;&gt;Constants!$B$6,"",IF($W238,0,Constants!$B$15))</f>
        <v/>
      </c>
      <c r="BH238" s="91" t="str">
        <f aca="false">IF(ISBLANK($C238),"",IF($BD238&lt;&gt;Constants!$B$6,$BD238,SUM($BF238:$BG238)))</f>
        <v/>
      </c>
      <c r="BI238" s="87" t="str">
        <f aca="false">IF(ISBLANK($C238),"",IF($BD238&lt;&gt;Constants!$B$6,$BD238,RANK($BH238,$BH$9:$BH$508,1)))</f>
        <v/>
      </c>
      <c r="BJ238" s="91" t="str">
        <f aca="false">IF($BD238&lt;&gt;Constants!$B$6,"",IF($AU238="-&gt;",$BB238,$AS238))</f>
        <v/>
      </c>
      <c r="BK238" s="87" t="str">
        <f aca="false">IF(ISBLANK($C238),"",IF($BD238&lt;&gt;Constants!$B$6,$BD238,IF(ISNUMBER($BJ238),RANK($BJ238,$BJ$9:$BJ$508,1),COUNT($BJ$9:$BJ$508)+1)))</f>
        <v/>
      </c>
      <c r="BL238" s="91" t="str">
        <f aca="false">IF($BD238&lt;&gt;Constants!$B$6,"",IF($AU238="-&gt;",$BC238,$AT238))</f>
        <v/>
      </c>
      <c r="BM238" s="87" t="str">
        <f aca="false">IF(ISBLANK($C238),"",IF($BD238&lt;&gt;Constants!$B$6,$BD238,IF(ISNUMBER($BL238),RANK($BL238,$BL$9:$BL$508,1),COUNT($BL$9:$BL$508)+1)))</f>
        <v/>
      </c>
      <c r="BN238" s="91" t="str">
        <f aca="false">IF($BD238&lt;&gt;Constants!$B$6,"",IF($AU238="-&gt;",$AS238,$BB238))</f>
        <v/>
      </c>
      <c r="BO238" s="87" t="str">
        <f aca="false">IF(ISBLANK($C238),"",IF($BD238&lt;&gt;Constants!$B$6,$BD238,IF(ISNUMBER($BN238),RANK($BN238,$BN$9:$BN$508,1),COUNT($BN$9:$BN$508)+1)))</f>
        <v/>
      </c>
      <c r="BP238" s="91" t="str">
        <f aca="false">IF($BD238&lt;&gt;Constants!$B$6,"",IF($AU238="-&gt;",$AT238,$BC238))</f>
        <v/>
      </c>
      <c r="BQ238" s="87" t="str">
        <f aca="false">IF(ISBLANK($C238),"",IF($BD238&lt;&gt;Constants!$B$6,$BD238,IF(ISNUMBER($BP238),RANK($BP238,$BP$9:$BP$508,1),COUNT($BP$9:$BP$508)+1)))</f>
        <v/>
      </c>
      <c r="BR238" s="87" t="str">
        <f aca="false">IF(ISBLANK($C238),"",IF($BD238&lt;&gt;Constants!$B$6,$BD238,COUNTIFS($BI$9:$BI$508,"&lt;"&amp;$BI238)+COUNTIFS($BI$9:$BI$508,$BI238,$BK$9:$BK$508,"&lt;"&amp;$BK238)+COUNTIFS($BI$9:$BI$508,$BI238,$BK$9:$BK$508,$BK238,$BM$9:$BM$508,"&lt;"&amp;$BM238)+COUNTIFS($BI$9:$BI$508,$BI238,$BK$9:$BK$508,$BK238,$BM$9:$BM$508,$BM238,$BO$9:$BO$508,"&lt;"&amp;$BO238)+COUNTIFS($BI$9:$BI$508,$BI238,$BK$9:$BK$508,$BK238,$BM$9:$BM$508,$BM238,$BO$9:$BO$508,$BO238,$BQ$9:$BQ$508,"&lt;"&amp;$BQ238)+1))</f>
        <v/>
      </c>
      <c r="BS238" s="87" t="str">
        <f aca="false">IF(ISBLANK($C238),"",IF($BD238&lt;&gt;Constants!$B$6,$BD238,$BI238-$BR238))</f>
        <v/>
      </c>
      <c r="BT238" s="94"/>
      <c r="BU238" s="95"/>
      <c r="BV238" s="95" t="str">
        <f aca="false">IF(ISBLANK($C238),"",IF($BD238&lt;&gt;Constants!$B$6,"",IF($AU238="-&gt;",2,1)))</f>
        <v/>
      </c>
      <c r="BW238" s="96" t="str">
        <f aca="false">IF(ISBLANK($C238),"",IF($BD238&lt;&gt;Constants!$B$6,"",IF($AU238="-&gt;",$AW238,$AN238)))</f>
        <v/>
      </c>
      <c r="BX238" s="96" t="str">
        <f aca="false">IF(ISBLANK($C238),"",IF($BD238&lt;&gt;Constants!$B$6,"",IF($AU238="-&gt;",$AX238,$AO238)))</f>
        <v/>
      </c>
      <c r="BY238" s="96" t="str">
        <f aca="false">IF(ISBLANK($C238),"",IF($BD238&lt;&gt;Constants!$B$6,"",IF($AU238="-&gt;",$AY238,$AP238)))</f>
        <v/>
      </c>
      <c r="BZ238" s="96" t="str">
        <f aca="false">IF(ISBLANK($C238),"",IF($BD238&lt;&gt;Constants!$B$6,"",IF($AU238="-&gt;",$AZ238,$AQ238)+$BG238))</f>
        <v/>
      </c>
      <c r="CA238" s="97" t="str">
        <f aca="false">IF(ISBLANK($C238),"",IF($BD238&lt;&gt;Constants!$B$6,$BD238,$BH238))</f>
        <v/>
      </c>
      <c r="CB238" s="98" t="str">
        <f aca="false">IF(ISBLANK($C238),"",$BE238)</f>
        <v/>
      </c>
      <c r="CC238" s="99" t="str">
        <f aca="false">IF(ISBLANK($C238),"",$BS238)</f>
        <v/>
      </c>
      <c r="CD238" s="99" t="str">
        <f aca="false">IF(ISBLANK($C238),"",$BR238)</f>
        <v/>
      </c>
      <c r="CE238" s="100" t="str">
        <f aca="false">IF(ISBLANK($C238),"",IF($CD238=Constants!$B$9,COUNTA($C$9:$C$508)+2,IF($CD238=Constants!$B$8,COUNTA($C$9:$C$508)+1,IF($CD238=Constants!$B$7,COUNTA($C$9:$C$508),$CD238))))</f>
        <v/>
      </c>
      <c r="CF238" s="9"/>
      <c r="CG238" s="101" t="n">
        <f aca="false">IF(OR(ISNUMBER($CD238),$CD238=Constants!$B$9,$CD238=Constants!$B$7,$CD238=Constants!$B$8),1,0)</f>
        <v>0</v>
      </c>
      <c r="CH238" s="101" t="n">
        <v>230</v>
      </c>
      <c r="CI238" s="101" t="str">
        <f aca="false">IF(ISBLANK($C238),"",IF(ISNUMBER($CE238),$CE238+ROW($B238)/1000,""))</f>
        <v/>
      </c>
      <c r="CJ238" s="101" t="str">
        <f aca="false">IF(ISNUMBER($CI238),RANK($CI238,$CI$9:$CI$508,1),"")</f>
        <v/>
      </c>
      <c r="CK238" s="101" t="str">
        <f aca="false">IF(ISBLANK($C238),"",$B238)</f>
        <v/>
      </c>
      <c r="CL238" s="101" t="str">
        <f aca="false">IF(ISBLANK($C238),"",$C238)</f>
        <v/>
      </c>
      <c r="CM238" s="101" t="str">
        <f aca="false">IF(ISBLANK($C238),"",$D238)</f>
        <v/>
      </c>
      <c r="CN238" s="102" t="str">
        <f aca="false">$CB238</f>
        <v/>
      </c>
      <c r="CO238" s="103" t="str">
        <f aca="false">$CA238</f>
        <v/>
      </c>
      <c r="CP238" s="101" t="str">
        <f aca="false">IF(ISBLANK($C238),"",$CD238)</f>
        <v/>
      </c>
      <c r="CQ238" s="104" t="str">
        <f aca="false">IF($CH238&gt;$CG$8,"",VLOOKUP($CH238,$CJ$9:$CP$508,7,FALSE()))</f>
        <v/>
      </c>
      <c r="CR238" s="105" t="str">
        <f aca="false">IF($CH238&gt;$CG$8,"",VLOOKUP($CH238,$CJ$9:$CP$508,2,FALSE()))</f>
        <v/>
      </c>
      <c r="CS238" s="105" t="str">
        <f aca="false">IF($CH238&gt;$CG$8,"",VLOOKUP($CH238,$CJ$9:$CP$508,3,FALSE()))</f>
        <v/>
      </c>
      <c r="CT238" s="105" t="str">
        <f aca="false">IF($CH238&gt;$CG$8,"",VLOOKUP($CH238,$CJ$9:$CP$508,4,FALSE()))</f>
        <v/>
      </c>
      <c r="CU238" s="105" t="str">
        <f aca="false">IF($CH238&gt;$CG$8,"",VLOOKUP($CH238,$CJ$9:$CP$508,5,FALSE()))</f>
        <v/>
      </c>
      <c r="CV238" s="106" t="str">
        <f aca="false">IF($CH238&gt;$CG$8,"",VLOOKUP($CH238,$CJ$9:$CP$508,6,FALSE()))</f>
        <v/>
      </c>
      <c r="CW238" s="71"/>
    </row>
    <row r="239" customFormat="false" ht="15.75" hidden="false" customHeight="false" outlineLevel="0" collapsed="false">
      <c r="A239" s="9"/>
      <c r="B239" s="72"/>
      <c r="C239" s="73"/>
      <c r="D239" s="160"/>
      <c r="E239" s="168"/>
      <c r="F239" s="162"/>
      <c r="G239" s="163"/>
      <c r="H239" s="169"/>
      <c r="I239" s="167"/>
      <c r="J239" s="80"/>
      <c r="K239" s="81"/>
      <c r="L239" s="82"/>
      <c r="M239" s="166"/>
      <c r="N239" s="167"/>
      <c r="O239" s="167"/>
      <c r="P239" s="80"/>
      <c r="Q239" s="82"/>
      <c r="R239" s="82"/>
      <c r="S239" s="166"/>
      <c r="T239" s="167"/>
      <c r="U239" s="86"/>
      <c r="V239" s="87"/>
      <c r="W239" s="87" t="str">
        <f aca="false">IF(ISBLANK($C239),"",IF(E239=Constants!$B$2,TRUE(),IF(E239=Constants!$B$3,FALSE(),TRUE())))</f>
        <v/>
      </c>
      <c r="X239" s="87" t="str">
        <f aca="false">IF(ISBLANK($C239),"",IF(F239=Constants!$B$2,TRUE(),IF(F239=Constants!$B$3,FALSE(),TRUE())))</f>
        <v/>
      </c>
      <c r="Y239" s="87" t="str">
        <f aca="false">IF(ISBLANK($C239),"",IF(G239=Constants!$B$2,TRUE(),IF(G239=Constants!$B$3,FALSE(),TRUE())))</f>
        <v/>
      </c>
      <c r="Z239" s="87" t="str">
        <f aca="false">IF(ISBLANK($C239),"",IF(H239=Constants!$B$2,TRUE(),IF(H239=Constants!$B$3,FALSE(),TRUE())))</f>
        <v/>
      </c>
      <c r="AA239" s="87" t="str">
        <f aca="false">IF(ISBLANK($C239),"",IF(I239=Constants!$B$2,TRUE(),IF(I239=Constants!$B$3,FALSE(),TRUE())))</f>
        <v/>
      </c>
      <c r="AB239" s="87" t="str">
        <f aca="false">IF(ISBLANK($C239),"",IF(J239=Constants!$B$4,TRUE(),IF(J239=Constants!$B$5,FALSE(),COUNTA(K239:M239)&gt;0)))</f>
        <v/>
      </c>
      <c r="AC239" s="88" t="str">
        <f aca="false">IF(ISBLANK($C239),"",IF(ISNUMBER(K239),IF(K239&gt;=0,K239,""),""))</f>
        <v/>
      </c>
      <c r="AD239" s="89" t="str">
        <f aca="false">IF(ISBLANK($C239),"",IF(ISNUMBER(L239),IF(L239&gt;=0,L239,""),""))</f>
        <v/>
      </c>
      <c r="AE239" s="87" t="str">
        <f aca="false">IF(ISBLANK($C239),"",IF(ISNUMBER(M239),IF(M239&gt;=0,MIN(M239,Constants!$B$22),""),""))</f>
        <v/>
      </c>
      <c r="AF239" s="87" t="str">
        <f aca="false">IF(ISBLANK($C239),"",IF(N239=Constants!$B$2,TRUE(),IF(N239=Constants!$B$3,FALSE(),TRUE())))</f>
        <v/>
      </c>
      <c r="AG239" s="87" t="str">
        <f aca="false">IF(ISBLANK($C239),"",IF(O239=Constants!$B$2,TRUE(),IF(O239=Constants!$B$3,FALSE(),TRUE())))</f>
        <v/>
      </c>
      <c r="AH239" s="87" t="str">
        <f aca="false">IF(ISBLANK($C239),"",IF(P239=Constants!$B$4,TRUE(),IF(P239=Constants!$B$5,FALSE(),COUNTA(Q239:S239)&gt;0)))</f>
        <v/>
      </c>
      <c r="AI239" s="88" t="str">
        <f aca="false">IF(ISBLANK($C239),"",IF(ISNUMBER(Q239),IF(Q239&gt;=0,Q239,""),""))</f>
        <v/>
      </c>
      <c r="AJ239" s="89" t="str">
        <f aca="false">IF(ISBLANK($C239),"",IF(ISNUMBER(R239),IF(R239&gt;=0,R239,""),""))</f>
        <v/>
      </c>
      <c r="AK239" s="87" t="str">
        <f aca="false">IF(ISBLANK($C239),"",IF(ISNUMBER(S239),IF(S239&gt;=0,MIN(S239,Constants!$B$22),""),""))</f>
        <v/>
      </c>
      <c r="AL239" s="87" t="str">
        <f aca="false">IF(ISBLANK($C239),"",IF(T239=Constants!$B$2,TRUE(),IF(T239=Constants!$B$3,FALSE(),FALSE())))</f>
        <v/>
      </c>
      <c r="AM239" s="86" t="str">
        <f aca="false">IF(ISBLANK($C239),"",AND($AB239,OR($AC239="",$AD239="",AND(NOT(ISBLANK($M239)),$AE239=""))))</f>
        <v/>
      </c>
      <c r="AN239" s="89" t="str">
        <f aca="false">IF($BD239&lt;&gt;Constants!$B$6,"",IF($AB239,Constants!$B$17*$AD239,Constants!$B$18))</f>
        <v/>
      </c>
      <c r="AO239" s="91" t="str">
        <f aca="false">IF($BD239&lt;&gt;Constants!$B$6,"",Constants!$B$19*IF($AB239,$AC239,0))</f>
        <v/>
      </c>
      <c r="AP239" s="91" t="str">
        <f aca="false">IF($BD239&lt;&gt;Constants!$B$6,"",IF(AND($AB239,ISNUMBER($AE239)),Constants!$B$20*(Constants!$B$21-$AE239),0))</f>
        <v/>
      </c>
      <c r="AQ239" s="91" t="str">
        <f aca="false">IF($BD239&lt;&gt;Constants!$B$6,"",IF($AA239,0,Constants!$B$12)+IF($Z239,0,Constants!$B$13)+IF($Y239,0,Constants!$B$14))</f>
        <v/>
      </c>
      <c r="AR239" s="92" t="str">
        <f aca="false">IF($BD239&lt;&gt;Constants!$B$6,"",Constants!$B$16+SUM($AN239:$AQ239))</f>
        <v/>
      </c>
      <c r="AS239" s="91" t="str">
        <f aca="false">IF($BD239&lt;&gt;Constants!$B$6,"",IF($AB239,$AD239,""))</f>
        <v/>
      </c>
      <c r="AT239" s="93" t="str">
        <f aca="false">IF($BD239&lt;&gt;Constants!$B$6,"",$AO239)</f>
        <v/>
      </c>
      <c r="AU239" s="87" t="str">
        <f aca="false">IF($BD239&lt;&gt;Constants!$B$6,"",IF(OR($BA239&lt;$AR239,AND($BA239=$AR239,OR(AND(ISNUMBER($BB239),OR(NOT(ISNUMBER($AS239)),$BB239&lt;$AS239)),AND(OR(AND($BB239="",$AS239=""),AND(ISNUMBER($BB239),ISNUMBER($AS239),$BB239=$AS239)),$BC239&lt;$AT239)))),"-&gt;","&lt;-"))</f>
        <v/>
      </c>
      <c r="AV239" s="86" t="str">
        <f aca="false">IF(ISBLANK($C239),"",AND($AH239,OR($AI239="",$AJ239="",AND(NOT(ISBLANK($S239)),$AK239=""))))</f>
        <v/>
      </c>
      <c r="AW239" s="89" t="str">
        <f aca="false">IF($BD239&lt;&gt;Constants!$B$6,"",IF($AH239,Constants!$B$17*$AJ239,Constants!$B$18))</f>
        <v/>
      </c>
      <c r="AX239" s="91" t="str">
        <f aca="false">IF($BD239&lt;&gt;Constants!$B$6,"",Constants!$B$19*IF($AH239,$AI239,0))</f>
        <v/>
      </c>
      <c r="AY239" s="91" t="str">
        <f aca="false">IF($BD239&lt;&gt;Constants!$B$6,"",IF(AND($AH239,ISNUMBER($AK239)),Constants!$B$20*(Constants!$B$21-$AK239),0))</f>
        <v/>
      </c>
      <c r="AZ239" s="91" t="str">
        <f aca="false">IF($BD239&lt;&gt;Constants!$B$6,"",IF($AG239,0,Constants!$B$12)+IF($AF239,0,Constants!$B$13)+IF($Y239,0,Constants!$B$14))</f>
        <v/>
      </c>
      <c r="BA239" s="92" t="str">
        <f aca="false">IF($BD239&lt;&gt;Constants!$B$6,"",Constants!$B$16+SUM($AW239:$AZ239))</f>
        <v/>
      </c>
      <c r="BB239" s="91" t="str">
        <f aca="false">IF($BD239&lt;&gt;Constants!$B$6,"",IF($AH239,$AJ239,""))</f>
        <v/>
      </c>
      <c r="BC239" s="93" t="str">
        <f aca="false">IF($BD239&lt;&gt;Constants!$B$6,"",$AX239)</f>
        <v/>
      </c>
      <c r="BD239" s="87" t="str">
        <f aca="false">IF(ISBLANK($C239),"",IF($AL239,Constants!$B$9,IF(COUNTA($E239:$T239)=0,Constants!$B$8,IF(NOT($X239),Constants!$B$7,IF(OR($AM239,$AV239),Constants!$B$10,Constants!$B$6)))))</f>
        <v/>
      </c>
      <c r="BE239" s="87" t="str">
        <f aca="false">IF(ISBLANK($C239),"",IF($BD239&lt;&gt;Constants!$B$6,$BD239,Constants!$B$11))</f>
        <v/>
      </c>
      <c r="BF239" s="91" t="str">
        <f aca="false">IF($BD239&lt;&gt;Constants!$B$6,"",IF($AU239="-&gt;",$BA239,$AR239))</f>
        <v/>
      </c>
      <c r="BG239" s="91" t="str">
        <f aca="false">IF($BD239&lt;&gt;Constants!$B$6,"",IF($W239,0,Constants!$B$15))</f>
        <v/>
      </c>
      <c r="BH239" s="91" t="str">
        <f aca="false">IF(ISBLANK($C239),"",IF($BD239&lt;&gt;Constants!$B$6,$BD239,SUM($BF239:$BG239)))</f>
        <v/>
      </c>
      <c r="BI239" s="87" t="str">
        <f aca="false">IF(ISBLANK($C239),"",IF($BD239&lt;&gt;Constants!$B$6,$BD239,RANK($BH239,$BH$9:$BH$508,1)))</f>
        <v/>
      </c>
      <c r="BJ239" s="91" t="str">
        <f aca="false">IF($BD239&lt;&gt;Constants!$B$6,"",IF($AU239="-&gt;",$BB239,$AS239))</f>
        <v/>
      </c>
      <c r="BK239" s="87" t="str">
        <f aca="false">IF(ISBLANK($C239),"",IF($BD239&lt;&gt;Constants!$B$6,$BD239,IF(ISNUMBER($BJ239),RANK($BJ239,$BJ$9:$BJ$508,1),COUNT($BJ$9:$BJ$508)+1)))</f>
        <v/>
      </c>
      <c r="BL239" s="91" t="str">
        <f aca="false">IF($BD239&lt;&gt;Constants!$B$6,"",IF($AU239="-&gt;",$BC239,$AT239))</f>
        <v/>
      </c>
      <c r="BM239" s="87" t="str">
        <f aca="false">IF(ISBLANK($C239),"",IF($BD239&lt;&gt;Constants!$B$6,$BD239,IF(ISNUMBER($BL239),RANK($BL239,$BL$9:$BL$508,1),COUNT($BL$9:$BL$508)+1)))</f>
        <v/>
      </c>
      <c r="BN239" s="91" t="str">
        <f aca="false">IF($BD239&lt;&gt;Constants!$B$6,"",IF($AU239="-&gt;",$AS239,$BB239))</f>
        <v/>
      </c>
      <c r="BO239" s="87" t="str">
        <f aca="false">IF(ISBLANK($C239),"",IF($BD239&lt;&gt;Constants!$B$6,$BD239,IF(ISNUMBER($BN239),RANK($BN239,$BN$9:$BN$508,1),COUNT($BN$9:$BN$508)+1)))</f>
        <v/>
      </c>
      <c r="BP239" s="91" t="str">
        <f aca="false">IF($BD239&lt;&gt;Constants!$B$6,"",IF($AU239="-&gt;",$AT239,$BC239))</f>
        <v/>
      </c>
      <c r="BQ239" s="87" t="str">
        <f aca="false">IF(ISBLANK($C239),"",IF($BD239&lt;&gt;Constants!$B$6,$BD239,IF(ISNUMBER($BP239),RANK($BP239,$BP$9:$BP$508,1),COUNT($BP$9:$BP$508)+1)))</f>
        <v/>
      </c>
      <c r="BR239" s="87" t="str">
        <f aca="false">IF(ISBLANK($C239),"",IF($BD239&lt;&gt;Constants!$B$6,$BD239,COUNTIFS($BI$9:$BI$508,"&lt;"&amp;$BI239)+COUNTIFS($BI$9:$BI$508,$BI239,$BK$9:$BK$508,"&lt;"&amp;$BK239)+COUNTIFS($BI$9:$BI$508,$BI239,$BK$9:$BK$508,$BK239,$BM$9:$BM$508,"&lt;"&amp;$BM239)+COUNTIFS($BI$9:$BI$508,$BI239,$BK$9:$BK$508,$BK239,$BM$9:$BM$508,$BM239,$BO$9:$BO$508,"&lt;"&amp;$BO239)+COUNTIFS($BI$9:$BI$508,$BI239,$BK$9:$BK$508,$BK239,$BM$9:$BM$508,$BM239,$BO$9:$BO$508,$BO239,$BQ$9:$BQ$508,"&lt;"&amp;$BQ239)+1))</f>
        <v/>
      </c>
      <c r="BS239" s="87" t="str">
        <f aca="false">IF(ISBLANK($C239),"",IF($BD239&lt;&gt;Constants!$B$6,$BD239,$BI239-$BR239))</f>
        <v/>
      </c>
      <c r="BT239" s="94"/>
      <c r="BU239" s="95"/>
      <c r="BV239" s="95" t="str">
        <f aca="false">IF(ISBLANK($C239),"",IF($BD239&lt;&gt;Constants!$B$6,"",IF($AU239="-&gt;",2,1)))</f>
        <v/>
      </c>
      <c r="BW239" s="96" t="str">
        <f aca="false">IF(ISBLANK($C239),"",IF($BD239&lt;&gt;Constants!$B$6,"",IF($AU239="-&gt;",$AW239,$AN239)))</f>
        <v/>
      </c>
      <c r="BX239" s="96" t="str">
        <f aca="false">IF(ISBLANK($C239),"",IF($BD239&lt;&gt;Constants!$B$6,"",IF($AU239="-&gt;",$AX239,$AO239)))</f>
        <v/>
      </c>
      <c r="BY239" s="96" t="str">
        <f aca="false">IF(ISBLANK($C239),"",IF($BD239&lt;&gt;Constants!$B$6,"",IF($AU239="-&gt;",$AY239,$AP239)))</f>
        <v/>
      </c>
      <c r="BZ239" s="96" t="str">
        <f aca="false">IF(ISBLANK($C239),"",IF($BD239&lt;&gt;Constants!$B$6,"",IF($AU239="-&gt;",$AZ239,$AQ239)+$BG239))</f>
        <v/>
      </c>
      <c r="CA239" s="97" t="str">
        <f aca="false">IF(ISBLANK($C239),"",IF($BD239&lt;&gt;Constants!$B$6,$BD239,$BH239))</f>
        <v/>
      </c>
      <c r="CB239" s="98" t="str">
        <f aca="false">IF(ISBLANK($C239),"",$BE239)</f>
        <v/>
      </c>
      <c r="CC239" s="99" t="str">
        <f aca="false">IF(ISBLANK($C239),"",$BS239)</f>
        <v/>
      </c>
      <c r="CD239" s="99" t="str">
        <f aca="false">IF(ISBLANK($C239),"",$BR239)</f>
        <v/>
      </c>
      <c r="CE239" s="100" t="str">
        <f aca="false">IF(ISBLANK($C239),"",IF($CD239=Constants!$B$9,COUNTA($C$9:$C$508)+2,IF($CD239=Constants!$B$8,COUNTA($C$9:$C$508)+1,IF($CD239=Constants!$B$7,COUNTA($C$9:$C$508),$CD239))))</f>
        <v/>
      </c>
      <c r="CF239" s="9"/>
      <c r="CG239" s="101" t="n">
        <f aca="false">IF(OR(ISNUMBER($CD239),$CD239=Constants!$B$9,$CD239=Constants!$B$7,$CD239=Constants!$B$8),1,0)</f>
        <v>0</v>
      </c>
      <c r="CH239" s="101" t="n">
        <v>231</v>
      </c>
      <c r="CI239" s="101" t="str">
        <f aca="false">IF(ISBLANK($C239),"",IF(ISNUMBER($CE239),$CE239+ROW($B239)/1000,""))</f>
        <v/>
      </c>
      <c r="CJ239" s="101" t="str">
        <f aca="false">IF(ISNUMBER($CI239),RANK($CI239,$CI$9:$CI$508,1),"")</f>
        <v/>
      </c>
      <c r="CK239" s="101" t="str">
        <f aca="false">IF(ISBLANK($C239),"",$B239)</f>
        <v/>
      </c>
      <c r="CL239" s="101" t="str">
        <f aca="false">IF(ISBLANK($C239),"",$C239)</f>
        <v/>
      </c>
      <c r="CM239" s="101" t="str">
        <f aca="false">IF(ISBLANK($C239),"",$D239)</f>
        <v/>
      </c>
      <c r="CN239" s="102" t="str">
        <f aca="false">$CB239</f>
        <v/>
      </c>
      <c r="CO239" s="103" t="str">
        <f aca="false">$CA239</f>
        <v/>
      </c>
      <c r="CP239" s="101" t="str">
        <f aca="false">IF(ISBLANK($C239),"",$CD239)</f>
        <v/>
      </c>
      <c r="CQ239" s="104" t="str">
        <f aca="false">IF($CH239&gt;$CG$8,"",VLOOKUP($CH239,$CJ$9:$CP$508,7,FALSE()))</f>
        <v/>
      </c>
      <c r="CR239" s="105" t="str">
        <f aca="false">IF($CH239&gt;$CG$8,"",VLOOKUP($CH239,$CJ$9:$CP$508,2,FALSE()))</f>
        <v/>
      </c>
      <c r="CS239" s="105" t="str">
        <f aca="false">IF($CH239&gt;$CG$8,"",VLOOKUP($CH239,$CJ$9:$CP$508,3,FALSE()))</f>
        <v/>
      </c>
      <c r="CT239" s="105" t="str">
        <f aca="false">IF($CH239&gt;$CG$8,"",VLOOKUP($CH239,$CJ$9:$CP$508,4,FALSE()))</f>
        <v/>
      </c>
      <c r="CU239" s="105" t="str">
        <f aca="false">IF($CH239&gt;$CG$8,"",VLOOKUP($CH239,$CJ$9:$CP$508,5,FALSE()))</f>
        <v/>
      </c>
      <c r="CV239" s="106" t="str">
        <f aca="false">IF($CH239&gt;$CG$8,"",VLOOKUP($CH239,$CJ$9:$CP$508,6,FALSE()))</f>
        <v/>
      </c>
      <c r="CW239" s="71"/>
    </row>
    <row r="240" customFormat="false" ht="15.75" hidden="false" customHeight="false" outlineLevel="0" collapsed="false">
      <c r="A240" s="9"/>
      <c r="B240" s="150"/>
      <c r="C240" s="151"/>
      <c r="D240" s="152"/>
      <c r="E240" s="170"/>
      <c r="F240" s="154"/>
      <c r="G240" s="155"/>
      <c r="H240" s="171"/>
      <c r="I240" s="159"/>
      <c r="J240" s="120"/>
      <c r="K240" s="121"/>
      <c r="L240" s="122"/>
      <c r="M240" s="158"/>
      <c r="N240" s="159"/>
      <c r="O240" s="159"/>
      <c r="P240" s="120"/>
      <c r="Q240" s="122"/>
      <c r="R240" s="122"/>
      <c r="S240" s="158"/>
      <c r="T240" s="159"/>
      <c r="U240" s="126"/>
      <c r="V240" s="127"/>
      <c r="W240" s="127" t="str">
        <f aca="false">IF(ISBLANK($C240),"",IF(E240=Constants!$B$2,TRUE(),IF(E240=Constants!$B$3,FALSE(),TRUE())))</f>
        <v/>
      </c>
      <c r="X240" s="127" t="str">
        <f aca="false">IF(ISBLANK($C240),"",IF(F240=Constants!$B$2,TRUE(),IF(F240=Constants!$B$3,FALSE(),TRUE())))</f>
        <v/>
      </c>
      <c r="Y240" s="127" t="str">
        <f aca="false">IF(ISBLANK($C240),"",IF(G240=Constants!$B$2,TRUE(),IF(G240=Constants!$B$3,FALSE(),TRUE())))</f>
        <v/>
      </c>
      <c r="Z240" s="127" t="str">
        <f aca="false">IF(ISBLANK($C240),"",IF(H240=Constants!$B$2,TRUE(),IF(H240=Constants!$B$3,FALSE(),TRUE())))</f>
        <v/>
      </c>
      <c r="AA240" s="127" t="str">
        <f aca="false">IF(ISBLANK($C240),"",IF(I240=Constants!$B$2,TRUE(),IF(I240=Constants!$B$3,FALSE(),TRUE())))</f>
        <v/>
      </c>
      <c r="AB240" s="127" t="str">
        <f aca="false">IF(ISBLANK($C240),"",IF(J240=Constants!$B$4,TRUE(),IF(J240=Constants!$B$5,FALSE(),COUNTA(K240:M240)&gt;0)))</f>
        <v/>
      </c>
      <c r="AC240" s="128" t="str">
        <f aca="false">IF(ISBLANK($C240),"",IF(ISNUMBER(K240),IF(K240&gt;=0,K240,""),""))</f>
        <v/>
      </c>
      <c r="AD240" s="129" t="str">
        <f aca="false">IF(ISBLANK($C240),"",IF(ISNUMBER(L240),IF(L240&gt;=0,L240,""),""))</f>
        <v/>
      </c>
      <c r="AE240" s="127" t="str">
        <f aca="false">IF(ISBLANK($C240),"",IF(ISNUMBER(M240),IF(M240&gt;=0,MIN(M240,Constants!$B$22),""),""))</f>
        <v/>
      </c>
      <c r="AF240" s="127" t="str">
        <f aca="false">IF(ISBLANK($C240),"",IF(N240=Constants!$B$2,TRUE(),IF(N240=Constants!$B$3,FALSE(),TRUE())))</f>
        <v/>
      </c>
      <c r="AG240" s="127" t="str">
        <f aca="false">IF(ISBLANK($C240),"",IF(O240=Constants!$B$2,TRUE(),IF(O240=Constants!$B$3,FALSE(),TRUE())))</f>
        <v/>
      </c>
      <c r="AH240" s="127" t="str">
        <f aca="false">IF(ISBLANK($C240),"",IF(P240=Constants!$B$4,TRUE(),IF(P240=Constants!$B$5,FALSE(),COUNTA(Q240:S240)&gt;0)))</f>
        <v/>
      </c>
      <c r="AI240" s="128" t="str">
        <f aca="false">IF(ISBLANK($C240),"",IF(ISNUMBER(Q240),IF(Q240&gt;=0,Q240,""),""))</f>
        <v/>
      </c>
      <c r="AJ240" s="129" t="str">
        <f aca="false">IF(ISBLANK($C240),"",IF(ISNUMBER(R240),IF(R240&gt;=0,R240,""),""))</f>
        <v/>
      </c>
      <c r="AK240" s="127" t="str">
        <f aca="false">IF(ISBLANK($C240),"",IF(ISNUMBER(S240),IF(S240&gt;=0,MIN(S240,Constants!$B$22),""),""))</f>
        <v/>
      </c>
      <c r="AL240" s="127" t="str">
        <f aca="false">IF(ISBLANK($C240),"",IF(T240=Constants!$B$2,TRUE(),IF(T240=Constants!$B$3,FALSE(),FALSE())))</f>
        <v/>
      </c>
      <c r="AM240" s="126" t="str">
        <f aca="false">IF(ISBLANK($C240),"",AND($AB240,OR($AC240="",$AD240="",AND(NOT(ISBLANK($M240)),$AE240=""))))</f>
        <v/>
      </c>
      <c r="AN240" s="129" t="str">
        <f aca="false">IF($BD240&lt;&gt;Constants!$B$6,"",IF($AB240,Constants!$B$17*$AD240,Constants!$B$18))</f>
        <v/>
      </c>
      <c r="AO240" s="130" t="str">
        <f aca="false">IF($BD240&lt;&gt;Constants!$B$6,"",Constants!$B$19*IF($AB240,$AC240,0))</f>
        <v/>
      </c>
      <c r="AP240" s="130" t="str">
        <f aca="false">IF($BD240&lt;&gt;Constants!$B$6,"",IF(AND($AB240,ISNUMBER($AE240)),Constants!$B$20*(Constants!$B$21-$AE240),0))</f>
        <v/>
      </c>
      <c r="AQ240" s="130" t="str">
        <f aca="false">IF($BD240&lt;&gt;Constants!$B$6,"",IF($AA240,0,Constants!$B$12)+IF($Z240,0,Constants!$B$13)+IF($Y240,0,Constants!$B$14))</f>
        <v/>
      </c>
      <c r="AR240" s="131" t="str">
        <f aca="false">IF($BD240&lt;&gt;Constants!$B$6,"",Constants!$B$16+SUM($AN240:$AQ240))</f>
        <v/>
      </c>
      <c r="AS240" s="130" t="str">
        <f aca="false">IF($BD240&lt;&gt;Constants!$B$6,"",IF($AB240,$AD240,""))</f>
        <v/>
      </c>
      <c r="AT240" s="132" t="str">
        <f aca="false">IF($BD240&lt;&gt;Constants!$B$6,"",$AO240)</f>
        <v/>
      </c>
      <c r="AU240" s="127" t="str">
        <f aca="false">IF($BD240&lt;&gt;Constants!$B$6,"",IF(OR($BA240&lt;$AR240,AND($BA240=$AR240,OR(AND(ISNUMBER($BB240),OR(NOT(ISNUMBER($AS240)),$BB240&lt;$AS240)),AND(OR(AND($BB240="",$AS240=""),AND(ISNUMBER($BB240),ISNUMBER($AS240),$BB240=$AS240)),$BC240&lt;$AT240)))),"-&gt;","&lt;-"))</f>
        <v/>
      </c>
      <c r="AV240" s="126" t="str">
        <f aca="false">IF(ISBLANK($C240),"",AND($AH240,OR($AI240="",$AJ240="",AND(NOT(ISBLANK($S240)),$AK240=""))))</f>
        <v/>
      </c>
      <c r="AW240" s="129" t="str">
        <f aca="false">IF($BD240&lt;&gt;Constants!$B$6,"",IF($AH240,Constants!$B$17*$AJ240,Constants!$B$18))</f>
        <v/>
      </c>
      <c r="AX240" s="130" t="str">
        <f aca="false">IF($BD240&lt;&gt;Constants!$B$6,"",Constants!$B$19*IF($AH240,$AI240,0))</f>
        <v/>
      </c>
      <c r="AY240" s="130" t="str">
        <f aca="false">IF($BD240&lt;&gt;Constants!$B$6,"",IF(AND($AH240,ISNUMBER($AK240)),Constants!$B$20*(Constants!$B$21-$AK240),0))</f>
        <v/>
      </c>
      <c r="AZ240" s="130" t="str">
        <f aca="false">IF($BD240&lt;&gt;Constants!$B$6,"",IF($AG240,0,Constants!$B$12)+IF($AF240,0,Constants!$B$13)+IF($Y240,0,Constants!$B$14))</f>
        <v/>
      </c>
      <c r="BA240" s="131" t="str">
        <f aca="false">IF($BD240&lt;&gt;Constants!$B$6,"",Constants!$B$16+SUM($AW240:$AZ240))</f>
        <v/>
      </c>
      <c r="BB240" s="130" t="str">
        <f aca="false">IF($BD240&lt;&gt;Constants!$B$6,"",IF($AH240,$AJ240,""))</f>
        <v/>
      </c>
      <c r="BC240" s="132" t="str">
        <f aca="false">IF($BD240&lt;&gt;Constants!$B$6,"",$AX240)</f>
        <v/>
      </c>
      <c r="BD240" s="127" t="str">
        <f aca="false">IF(ISBLANK($C240),"",IF($AL240,Constants!$B$9,IF(COUNTA($E240:$T240)=0,Constants!$B$8,IF(NOT($X240),Constants!$B$7,IF(OR($AM240,$AV240),Constants!$B$10,Constants!$B$6)))))</f>
        <v/>
      </c>
      <c r="BE240" s="127" t="str">
        <f aca="false">IF(ISBLANK($C240),"",IF($BD240&lt;&gt;Constants!$B$6,$BD240,Constants!$B$11))</f>
        <v/>
      </c>
      <c r="BF240" s="130" t="str">
        <f aca="false">IF($BD240&lt;&gt;Constants!$B$6,"",IF($AU240="-&gt;",$BA240,$AR240))</f>
        <v/>
      </c>
      <c r="BG240" s="130" t="str">
        <f aca="false">IF($BD240&lt;&gt;Constants!$B$6,"",IF($W240,0,Constants!$B$15))</f>
        <v/>
      </c>
      <c r="BH240" s="130" t="str">
        <f aca="false">IF(ISBLANK($C240),"",IF($BD240&lt;&gt;Constants!$B$6,$BD240,SUM($BF240:$BG240)))</f>
        <v/>
      </c>
      <c r="BI240" s="127" t="str">
        <f aca="false">IF(ISBLANK($C240),"",IF($BD240&lt;&gt;Constants!$B$6,$BD240,RANK($BH240,$BH$9:$BH$508,1)))</f>
        <v/>
      </c>
      <c r="BJ240" s="130" t="str">
        <f aca="false">IF($BD240&lt;&gt;Constants!$B$6,"",IF($AU240="-&gt;",$BB240,$AS240))</f>
        <v/>
      </c>
      <c r="BK240" s="127" t="str">
        <f aca="false">IF(ISBLANK($C240),"",IF($BD240&lt;&gt;Constants!$B$6,$BD240,IF(ISNUMBER($BJ240),RANK($BJ240,$BJ$9:$BJ$508,1),COUNT($BJ$9:$BJ$508)+1)))</f>
        <v/>
      </c>
      <c r="BL240" s="130" t="str">
        <f aca="false">IF($BD240&lt;&gt;Constants!$B$6,"",IF($AU240="-&gt;",$BC240,$AT240))</f>
        <v/>
      </c>
      <c r="BM240" s="127" t="str">
        <f aca="false">IF(ISBLANK($C240),"",IF($BD240&lt;&gt;Constants!$B$6,$BD240,IF(ISNUMBER($BL240),RANK($BL240,$BL$9:$BL$508,1),COUNT($BL$9:$BL$508)+1)))</f>
        <v/>
      </c>
      <c r="BN240" s="130" t="str">
        <f aca="false">IF($BD240&lt;&gt;Constants!$B$6,"",IF($AU240="-&gt;",$AS240,$BB240))</f>
        <v/>
      </c>
      <c r="BO240" s="127" t="str">
        <f aca="false">IF(ISBLANK($C240),"",IF($BD240&lt;&gt;Constants!$B$6,$BD240,IF(ISNUMBER($BN240),RANK($BN240,$BN$9:$BN$508,1),COUNT($BN$9:$BN$508)+1)))</f>
        <v/>
      </c>
      <c r="BP240" s="130" t="str">
        <f aca="false">IF($BD240&lt;&gt;Constants!$B$6,"",IF($AU240="-&gt;",$AT240,$BC240))</f>
        <v/>
      </c>
      <c r="BQ240" s="127" t="str">
        <f aca="false">IF(ISBLANK($C240),"",IF($BD240&lt;&gt;Constants!$B$6,$BD240,IF(ISNUMBER($BP240),RANK($BP240,$BP$9:$BP$508,1),COUNT($BP$9:$BP$508)+1)))</f>
        <v/>
      </c>
      <c r="BR240" s="127" t="str">
        <f aca="false">IF(ISBLANK($C240),"",IF($BD240&lt;&gt;Constants!$B$6,$BD240,COUNTIFS($BI$9:$BI$508,"&lt;"&amp;$BI240)+COUNTIFS($BI$9:$BI$508,$BI240,$BK$9:$BK$508,"&lt;"&amp;$BK240)+COUNTIFS($BI$9:$BI$508,$BI240,$BK$9:$BK$508,$BK240,$BM$9:$BM$508,"&lt;"&amp;$BM240)+COUNTIFS($BI$9:$BI$508,$BI240,$BK$9:$BK$508,$BK240,$BM$9:$BM$508,$BM240,$BO$9:$BO$508,"&lt;"&amp;$BO240)+COUNTIFS($BI$9:$BI$508,$BI240,$BK$9:$BK$508,$BK240,$BM$9:$BM$508,$BM240,$BO$9:$BO$508,$BO240,$BQ$9:$BQ$508,"&lt;"&amp;$BQ240)+1))</f>
        <v/>
      </c>
      <c r="BS240" s="127" t="str">
        <f aca="false">IF(ISBLANK($C240),"",IF($BD240&lt;&gt;Constants!$B$6,$BD240,$BI240-$BR240))</f>
        <v/>
      </c>
      <c r="BT240" s="133"/>
      <c r="BU240" s="134"/>
      <c r="BV240" s="134" t="str">
        <f aca="false">IF(ISBLANK($C240),"",IF($BD240&lt;&gt;Constants!$B$6,"",IF($AU240="-&gt;",2,1)))</f>
        <v/>
      </c>
      <c r="BW240" s="135" t="str">
        <f aca="false">IF(ISBLANK($C240),"",IF($BD240&lt;&gt;Constants!$B$6,"",IF($AU240="-&gt;",$AW240,$AN240)))</f>
        <v/>
      </c>
      <c r="BX240" s="135" t="str">
        <f aca="false">IF(ISBLANK($C240),"",IF($BD240&lt;&gt;Constants!$B$6,"",IF($AU240="-&gt;",$AX240,$AO240)))</f>
        <v/>
      </c>
      <c r="BY240" s="135" t="str">
        <f aca="false">IF(ISBLANK($C240),"",IF($BD240&lt;&gt;Constants!$B$6,"",IF($AU240="-&gt;",$AY240,$AP240)))</f>
        <v/>
      </c>
      <c r="BZ240" s="135" t="str">
        <f aca="false">IF(ISBLANK($C240),"",IF($BD240&lt;&gt;Constants!$B$6,"",IF($AU240="-&gt;",$AZ240,$AQ240)+$BG240))</f>
        <v/>
      </c>
      <c r="CA240" s="136" t="str">
        <f aca="false">IF(ISBLANK($C240),"",IF($BD240&lt;&gt;Constants!$B$6,$BD240,$BH240))</f>
        <v/>
      </c>
      <c r="CB240" s="137" t="str">
        <f aca="false">IF(ISBLANK($C240),"",$BE240)</f>
        <v/>
      </c>
      <c r="CC240" s="138" t="str">
        <f aca="false">IF(ISBLANK($C240),"",$BS240)</f>
        <v/>
      </c>
      <c r="CD240" s="138" t="str">
        <f aca="false">IF(ISBLANK($C240),"",$BR240)</f>
        <v/>
      </c>
      <c r="CE240" s="139" t="str">
        <f aca="false">IF(ISBLANK($C240),"",IF($CD240=Constants!$B$9,COUNTA($C$9:$C$508)+2,IF($CD240=Constants!$B$8,COUNTA($C$9:$C$508)+1,IF($CD240=Constants!$B$7,COUNTA($C$9:$C$508),$CD240))))</f>
        <v/>
      </c>
      <c r="CF240" s="9"/>
      <c r="CG240" s="140" t="n">
        <f aca="false">IF(OR(ISNUMBER($CD240),$CD240=Constants!$B$9,$CD240=Constants!$B$7,$CD240=Constants!$B$8),1,0)</f>
        <v>0</v>
      </c>
      <c r="CH240" s="140" t="n">
        <v>232</v>
      </c>
      <c r="CI240" s="140" t="str">
        <f aca="false">IF(ISBLANK($C240),"",IF(ISNUMBER($CE240),$CE240+ROW($B240)/1000,""))</f>
        <v/>
      </c>
      <c r="CJ240" s="140" t="str">
        <f aca="false">IF(ISNUMBER($CI240),RANK($CI240,$CI$9:$CI$508,1),"")</f>
        <v/>
      </c>
      <c r="CK240" s="140" t="str">
        <f aca="false">IF(ISBLANK($C240),"",$B240)</f>
        <v/>
      </c>
      <c r="CL240" s="140" t="str">
        <f aca="false">IF(ISBLANK($C240),"",$C240)</f>
        <v/>
      </c>
      <c r="CM240" s="140" t="str">
        <f aca="false">IF(ISBLANK($C240),"",$D240)</f>
        <v/>
      </c>
      <c r="CN240" s="141" t="str">
        <f aca="false">$CB240</f>
        <v/>
      </c>
      <c r="CO240" s="142" t="str">
        <f aca="false">$CA240</f>
        <v/>
      </c>
      <c r="CP240" s="140" t="str">
        <f aca="false">IF(ISBLANK($C240),"",$CD240)</f>
        <v/>
      </c>
      <c r="CQ240" s="143" t="str">
        <f aca="false">IF($CH240&gt;$CG$8,"",VLOOKUP($CH240,$CJ$9:$CP$508,7,FALSE()))</f>
        <v/>
      </c>
      <c r="CR240" s="144" t="str">
        <f aca="false">IF($CH240&gt;$CG$8,"",VLOOKUP($CH240,$CJ$9:$CP$508,2,FALSE()))</f>
        <v/>
      </c>
      <c r="CS240" s="144" t="str">
        <f aca="false">IF($CH240&gt;$CG$8,"",VLOOKUP($CH240,$CJ$9:$CP$508,3,FALSE()))</f>
        <v/>
      </c>
      <c r="CT240" s="144" t="str">
        <f aca="false">IF($CH240&gt;$CG$8,"",VLOOKUP($CH240,$CJ$9:$CP$508,4,FALSE()))</f>
        <v/>
      </c>
      <c r="CU240" s="144" t="str">
        <f aca="false">IF($CH240&gt;$CG$8,"",VLOOKUP($CH240,$CJ$9:$CP$508,5,FALSE()))</f>
        <v/>
      </c>
      <c r="CV240" s="145" t="str">
        <f aca="false">IF($CH240&gt;$CG$8,"",VLOOKUP($CH240,$CJ$9:$CP$508,6,FALSE()))</f>
        <v/>
      </c>
      <c r="CW240" s="71"/>
    </row>
    <row r="241" customFormat="false" ht="15.75" hidden="false" customHeight="false" outlineLevel="0" collapsed="false">
      <c r="A241" s="9"/>
      <c r="B241" s="150"/>
      <c r="C241" s="151"/>
      <c r="D241" s="152"/>
      <c r="E241" s="170"/>
      <c r="F241" s="154"/>
      <c r="G241" s="155"/>
      <c r="H241" s="171"/>
      <c r="I241" s="159"/>
      <c r="J241" s="120"/>
      <c r="K241" s="121"/>
      <c r="L241" s="122"/>
      <c r="M241" s="158"/>
      <c r="N241" s="159"/>
      <c r="O241" s="159"/>
      <c r="P241" s="120"/>
      <c r="Q241" s="122"/>
      <c r="R241" s="122"/>
      <c r="S241" s="158"/>
      <c r="T241" s="159"/>
      <c r="U241" s="126"/>
      <c r="V241" s="127"/>
      <c r="W241" s="127" t="str">
        <f aca="false">IF(ISBLANK($C241),"",IF(E241=Constants!$B$2,TRUE(),IF(E241=Constants!$B$3,FALSE(),TRUE())))</f>
        <v/>
      </c>
      <c r="X241" s="127" t="str">
        <f aca="false">IF(ISBLANK($C241),"",IF(F241=Constants!$B$2,TRUE(),IF(F241=Constants!$B$3,FALSE(),TRUE())))</f>
        <v/>
      </c>
      <c r="Y241" s="127" t="str">
        <f aca="false">IF(ISBLANK($C241),"",IF(G241=Constants!$B$2,TRUE(),IF(G241=Constants!$B$3,FALSE(),TRUE())))</f>
        <v/>
      </c>
      <c r="Z241" s="127" t="str">
        <f aca="false">IF(ISBLANK($C241),"",IF(H241=Constants!$B$2,TRUE(),IF(H241=Constants!$B$3,FALSE(),TRUE())))</f>
        <v/>
      </c>
      <c r="AA241" s="127" t="str">
        <f aca="false">IF(ISBLANK($C241),"",IF(I241=Constants!$B$2,TRUE(),IF(I241=Constants!$B$3,FALSE(),TRUE())))</f>
        <v/>
      </c>
      <c r="AB241" s="127" t="str">
        <f aca="false">IF(ISBLANK($C241),"",IF(J241=Constants!$B$4,TRUE(),IF(J241=Constants!$B$5,FALSE(),COUNTA(K241:M241)&gt;0)))</f>
        <v/>
      </c>
      <c r="AC241" s="128" t="str">
        <f aca="false">IF(ISBLANK($C241),"",IF(ISNUMBER(K241),IF(K241&gt;=0,K241,""),""))</f>
        <v/>
      </c>
      <c r="AD241" s="129" t="str">
        <f aca="false">IF(ISBLANK($C241),"",IF(ISNUMBER(L241),IF(L241&gt;=0,L241,""),""))</f>
        <v/>
      </c>
      <c r="AE241" s="127" t="str">
        <f aca="false">IF(ISBLANK($C241),"",IF(ISNUMBER(M241),IF(M241&gt;=0,MIN(M241,Constants!$B$22),""),""))</f>
        <v/>
      </c>
      <c r="AF241" s="127" t="str">
        <f aca="false">IF(ISBLANK($C241),"",IF(N241=Constants!$B$2,TRUE(),IF(N241=Constants!$B$3,FALSE(),TRUE())))</f>
        <v/>
      </c>
      <c r="AG241" s="127" t="str">
        <f aca="false">IF(ISBLANK($C241),"",IF(O241=Constants!$B$2,TRUE(),IF(O241=Constants!$B$3,FALSE(),TRUE())))</f>
        <v/>
      </c>
      <c r="AH241" s="127" t="str">
        <f aca="false">IF(ISBLANK($C241),"",IF(P241=Constants!$B$4,TRUE(),IF(P241=Constants!$B$5,FALSE(),COUNTA(Q241:S241)&gt;0)))</f>
        <v/>
      </c>
      <c r="AI241" s="128" t="str">
        <f aca="false">IF(ISBLANK($C241),"",IF(ISNUMBER(Q241),IF(Q241&gt;=0,Q241,""),""))</f>
        <v/>
      </c>
      <c r="AJ241" s="129" t="str">
        <f aca="false">IF(ISBLANK($C241),"",IF(ISNUMBER(R241),IF(R241&gt;=0,R241,""),""))</f>
        <v/>
      </c>
      <c r="AK241" s="127" t="str">
        <f aca="false">IF(ISBLANK($C241),"",IF(ISNUMBER(S241),IF(S241&gt;=0,MIN(S241,Constants!$B$22),""),""))</f>
        <v/>
      </c>
      <c r="AL241" s="127" t="str">
        <f aca="false">IF(ISBLANK($C241),"",IF(T241=Constants!$B$2,TRUE(),IF(T241=Constants!$B$3,FALSE(),FALSE())))</f>
        <v/>
      </c>
      <c r="AM241" s="126" t="str">
        <f aca="false">IF(ISBLANK($C241),"",AND($AB241,OR($AC241="",$AD241="",AND(NOT(ISBLANK($M241)),$AE241=""))))</f>
        <v/>
      </c>
      <c r="AN241" s="129" t="str">
        <f aca="false">IF($BD241&lt;&gt;Constants!$B$6,"",IF($AB241,Constants!$B$17*$AD241,Constants!$B$18))</f>
        <v/>
      </c>
      <c r="AO241" s="130" t="str">
        <f aca="false">IF($BD241&lt;&gt;Constants!$B$6,"",Constants!$B$19*IF($AB241,$AC241,0))</f>
        <v/>
      </c>
      <c r="AP241" s="130" t="str">
        <f aca="false">IF($BD241&lt;&gt;Constants!$B$6,"",IF(AND($AB241,ISNUMBER($AE241)),Constants!$B$20*(Constants!$B$21-$AE241),0))</f>
        <v/>
      </c>
      <c r="AQ241" s="130" t="str">
        <f aca="false">IF($BD241&lt;&gt;Constants!$B$6,"",IF($AA241,0,Constants!$B$12)+IF($Z241,0,Constants!$B$13)+IF($Y241,0,Constants!$B$14))</f>
        <v/>
      </c>
      <c r="AR241" s="131" t="str">
        <f aca="false">IF($BD241&lt;&gt;Constants!$B$6,"",Constants!$B$16+SUM($AN241:$AQ241))</f>
        <v/>
      </c>
      <c r="AS241" s="130" t="str">
        <f aca="false">IF($BD241&lt;&gt;Constants!$B$6,"",IF($AB241,$AD241,""))</f>
        <v/>
      </c>
      <c r="AT241" s="132" t="str">
        <f aca="false">IF($BD241&lt;&gt;Constants!$B$6,"",$AO241)</f>
        <v/>
      </c>
      <c r="AU241" s="127" t="str">
        <f aca="false">IF($BD241&lt;&gt;Constants!$B$6,"",IF(OR($BA241&lt;$AR241,AND($BA241=$AR241,OR(AND(ISNUMBER($BB241),OR(NOT(ISNUMBER($AS241)),$BB241&lt;$AS241)),AND(OR(AND($BB241="",$AS241=""),AND(ISNUMBER($BB241),ISNUMBER($AS241),$BB241=$AS241)),$BC241&lt;$AT241)))),"-&gt;","&lt;-"))</f>
        <v/>
      </c>
      <c r="AV241" s="126" t="str">
        <f aca="false">IF(ISBLANK($C241),"",AND($AH241,OR($AI241="",$AJ241="",AND(NOT(ISBLANK($S241)),$AK241=""))))</f>
        <v/>
      </c>
      <c r="AW241" s="129" t="str">
        <f aca="false">IF($BD241&lt;&gt;Constants!$B$6,"",IF($AH241,Constants!$B$17*$AJ241,Constants!$B$18))</f>
        <v/>
      </c>
      <c r="AX241" s="130" t="str">
        <f aca="false">IF($BD241&lt;&gt;Constants!$B$6,"",Constants!$B$19*IF($AH241,$AI241,0))</f>
        <v/>
      </c>
      <c r="AY241" s="130" t="str">
        <f aca="false">IF($BD241&lt;&gt;Constants!$B$6,"",IF(AND($AH241,ISNUMBER($AK241)),Constants!$B$20*(Constants!$B$21-$AK241),0))</f>
        <v/>
      </c>
      <c r="AZ241" s="130" t="str">
        <f aca="false">IF($BD241&lt;&gt;Constants!$B$6,"",IF($AG241,0,Constants!$B$12)+IF($AF241,0,Constants!$B$13)+IF($Y241,0,Constants!$B$14))</f>
        <v/>
      </c>
      <c r="BA241" s="131" t="str">
        <f aca="false">IF($BD241&lt;&gt;Constants!$B$6,"",Constants!$B$16+SUM($AW241:$AZ241))</f>
        <v/>
      </c>
      <c r="BB241" s="130" t="str">
        <f aca="false">IF($BD241&lt;&gt;Constants!$B$6,"",IF($AH241,$AJ241,""))</f>
        <v/>
      </c>
      <c r="BC241" s="132" t="str">
        <f aca="false">IF($BD241&lt;&gt;Constants!$B$6,"",$AX241)</f>
        <v/>
      </c>
      <c r="BD241" s="127" t="str">
        <f aca="false">IF(ISBLANK($C241),"",IF($AL241,Constants!$B$9,IF(COUNTA($E241:$T241)=0,Constants!$B$8,IF(NOT($X241),Constants!$B$7,IF(OR($AM241,$AV241),Constants!$B$10,Constants!$B$6)))))</f>
        <v/>
      </c>
      <c r="BE241" s="127" t="str">
        <f aca="false">IF(ISBLANK($C241),"",IF($BD241&lt;&gt;Constants!$B$6,$BD241,Constants!$B$11))</f>
        <v/>
      </c>
      <c r="BF241" s="130" t="str">
        <f aca="false">IF($BD241&lt;&gt;Constants!$B$6,"",IF($AU241="-&gt;",$BA241,$AR241))</f>
        <v/>
      </c>
      <c r="BG241" s="130" t="str">
        <f aca="false">IF($BD241&lt;&gt;Constants!$B$6,"",IF($W241,0,Constants!$B$15))</f>
        <v/>
      </c>
      <c r="BH241" s="130" t="str">
        <f aca="false">IF(ISBLANK($C241),"",IF($BD241&lt;&gt;Constants!$B$6,$BD241,SUM($BF241:$BG241)))</f>
        <v/>
      </c>
      <c r="BI241" s="127" t="str">
        <f aca="false">IF(ISBLANK($C241),"",IF($BD241&lt;&gt;Constants!$B$6,$BD241,RANK($BH241,$BH$9:$BH$508,1)))</f>
        <v/>
      </c>
      <c r="BJ241" s="130" t="str">
        <f aca="false">IF($BD241&lt;&gt;Constants!$B$6,"",IF($AU241="-&gt;",$BB241,$AS241))</f>
        <v/>
      </c>
      <c r="BK241" s="127" t="str">
        <f aca="false">IF(ISBLANK($C241),"",IF($BD241&lt;&gt;Constants!$B$6,$BD241,IF(ISNUMBER($BJ241),RANK($BJ241,$BJ$9:$BJ$508,1),COUNT($BJ$9:$BJ$508)+1)))</f>
        <v/>
      </c>
      <c r="BL241" s="130" t="str">
        <f aca="false">IF($BD241&lt;&gt;Constants!$B$6,"",IF($AU241="-&gt;",$BC241,$AT241))</f>
        <v/>
      </c>
      <c r="BM241" s="127" t="str">
        <f aca="false">IF(ISBLANK($C241),"",IF($BD241&lt;&gt;Constants!$B$6,$BD241,IF(ISNUMBER($BL241),RANK($BL241,$BL$9:$BL$508,1),COUNT($BL$9:$BL$508)+1)))</f>
        <v/>
      </c>
      <c r="BN241" s="130" t="str">
        <f aca="false">IF($BD241&lt;&gt;Constants!$B$6,"",IF($AU241="-&gt;",$AS241,$BB241))</f>
        <v/>
      </c>
      <c r="BO241" s="127" t="str">
        <f aca="false">IF(ISBLANK($C241),"",IF($BD241&lt;&gt;Constants!$B$6,$BD241,IF(ISNUMBER($BN241),RANK($BN241,$BN$9:$BN$508,1),COUNT($BN$9:$BN$508)+1)))</f>
        <v/>
      </c>
      <c r="BP241" s="130" t="str">
        <f aca="false">IF($BD241&lt;&gt;Constants!$B$6,"",IF($AU241="-&gt;",$AT241,$BC241))</f>
        <v/>
      </c>
      <c r="BQ241" s="127" t="str">
        <f aca="false">IF(ISBLANK($C241),"",IF($BD241&lt;&gt;Constants!$B$6,$BD241,IF(ISNUMBER($BP241),RANK($BP241,$BP$9:$BP$508,1),COUNT($BP$9:$BP$508)+1)))</f>
        <v/>
      </c>
      <c r="BR241" s="127" t="str">
        <f aca="false">IF(ISBLANK($C241),"",IF($BD241&lt;&gt;Constants!$B$6,$BD241,COUNTIFS($BI$9:$BI$508,"&lt;"&amp;$BI241)+COUNTIFS($BI$9:$BI$508,$BI241,$BK$9:$BK$508,"&lt;"&amp;$BK241)+COUNTIFS($BI$9:$BI$508,$BI241,$BK$9:$BK$508,$BK241,$BM$9:$BM$508,"&lt;"&amp;$BM241)+COUNTIFS($BI$9:$BI$508,$BI241,$BK$9:$BK$508,$BK241,$BM$9:$BM$508,$BM241,$BO$9:$BO$508,"&lt;"&amp;$BO241)+COUNTIFS($BI$9:$BI$508,$BI241,$BK$9:$BK$508,$BK241,$BM$9:$BM$508,$BM241,$BO$9:$BO$508,$BO241,$BQ$9:$BQ$508,"&lt;"&amp;$BQ241)+1))</f>
        <v/>
      </c>
      <c r="BS241" s="127" t="str">
        <f aca="false">IF(ISBLANK($C241),"",IF($BD241&lt;&gt;Constants!$B$6,$BD241,$BI241-$BR241))</f>
        <v/>
      </c>
      <c r="BT241" s="133"/>
      <c r="BU241" s="134"/>
      <c r="BV241" s="134" t="str">
        <f aca="false">IF(ISBLANK($C241),"",IF($BD241&lt;&gt;Constants!$B$6,"",IF($AU241="-&gt;",2,1)))</f>
        <v/>
      </c>
      <c r="BW241" s="135" t="str">
        <f aca="false">IF(ISBLANK($C241),"",IF($BD241&lt;&gt;Constants!$B$6,"",IF($AU241="-&gt;",$AW241,$AN241)))</f>
        <v/>
      </c>
      <c r="BX241" s="135" t="str">
        <f aca="false">IF(ISBLANK($C241),"",IF($BD241&lt;&gt;Constants!$B$6,"",IF($AU241="-&gt;",$AX241,$AO241)))</f>
        <v/>
      </c>
      <c r="BY241" s="135" t="str">
        <f aca="false">IF(ISBLANK($C241),"",IF($BD241&lt;&gt;Constants!$B$6,"",IF($AU241="-&gt;",$AY241,$AP241)))</f>
        <v/>
      </c>
      <c r="BZ241" s="135" t="str">
        <f aca="false">IF(ISBLANK($C241),"",IF($BD241&lt;&gt;Constants!$B$6,"",IF($AU241="-&gt;",$AZ241,$AQ241)+$BG241))</f>
        <v/>
      </c>
      <c r="CA241" s="136" t="str">
        <f aca="false">IF(ISBLANK($C241),"",IF($BD241&lt;&gt;Constants!$B$6,$BD241,$BH241))</f>
        <v/>
      </c>
      <c r="CB241" s="137" t="str">
        <f aca="false">IF(ISBLANK($C241),"",$BE241)</f>
        <v/>
      </c>
      <c r="CC241" s="138" t="str">
        <f aca="false">IF(ISBLANK($C241),"",$BS241)</f>
        <v/>
      </c>
      <c r="CD241" s="138" t="str">
        <f aca="false">IF(ISBLANK($C241),"",$BR241)</f>
        <v/>
      </c>
      <c r="CE241" s="139" t="str">
        <f aca="false">IF(ISBLANK($C241),"",IF($CD241=Constants!$B$9,COUNTA($C$9:$C$508)+2,IF($CD241=Constants!$B$8,COUNTA($C$9:$C$508)+1,IF($CD241=Constants!$B$7,COUNTA($C$9:$C$508),$CD241))))</f>
        <v/>
      </c>
      <c r="CF241" s="9"/>
      <c r="CG241" s="140" t="n">
        <f aca="false">IF(OR(ISNUMBER($CD241),$CD241=Constants!$B$9,$CD241=Constants!$B$7,$CD241=Constants!$B$8),1,0)</f>
        <v>0</v>
      </c>
      <c r="CH241" s="140" t="n">
        <v>233</v>
      </c>
      <c r="CI241" s="140" t="str">
        <f aca="false">IF(ISBLANK($C241),"",IF(ISNUMBER($CE241),$CE241+ROW($B241)/1000,""))</f>
        <v/>
      </c>
      <c r="CJ241" s="140" t="str">
        <f aca="false">IF(ISNUMBER($CI241),RANK($CI241,$CI$9:$CI$508,1),"")</f>
        <v/>
      </c>
      <c r="CK241" s="140" t="str">
        <f aca="false">IF(ISBLANK($C241),"",$B241)</f>
        <v/>
      </c>
      <c r="CL241" s="140" t="str">
        <f aca="false">IF(ISBLANK($C241),"",$C241)</f>
        <v/>
      </c>
      <c r="CM241" s="140" t="str">
        <f aca="false">IF(ISBLANK($C241),"",$D241)</f>
        <v/>
      </c>
      <c r="CN241" s="141" t="str">
        <f aca="false">$CB241</f>
        <v/>
      </c>
      <c r="CO241" s="142" t="str">
        <f aca="false">$CA241</f>
        <v/>
      </c>
      <c r="CP241" s="140" t="str">
        <f aca="false">IF(ISBLANK($C241),"",$CD241)</f>
        <v/>
      </c>
      <c r="CQ241" s="143" t="str">
        <f aca="false">IF($CH241&gt;$CG$8,"",VLOOKUP($CH241,$CJ$9:$CP$508,7,FALSE()))</f>
        <v/>
      </c>
      <c r="CR241" s="144" t="str">
        <f aca="false">IF($CH241&gt;$CG$8,"",VLOOKUP($CH241,$CJ$9:$CP$508,2,FALSE()))</f>
        <v/>
      </c>
      <c r="CS241" s="144" t="str">
        <f aca="false">IF($CH241&gt;$CG$8,"",VLOOKUP($CH241,$CJ$9:$CP$508,3,FALSE()))</f>
        <v/>
      </c>
      <c r="CT241" s="144" t="str">
        <f aca="false">IF($CH241&gt;$CG$8,"",VLOOKUP($CH241,$CJ$9:$CP$508,4,FALSE()))</f>
        <v/>
      </c>
      <c r="CU241" s="144" t="str">
        <f aca="false">IF($CH241&gt;$CG$8,"",VLOOKUP($CH241,$CJ$9:$CP$508,5,FALSE()))</f>
        <v/>
      </c>
      <c r="CV241" s="145" t="str">
        <f aca="false">IF($CH241&gt;$CG$8,"",VLOOKUP($CH241,$CJ$9:$CP$508,6,FALSE()))</f>
        <v/>
      </c>
      <c r="CW241" s="71"/>
    </row>
    <row r="242" customFormat="false" ht="15.75" hidden="false" customHeight="false" outlineLevel="0" collapsed="false">
      <c r="A242" s="9"/>
      <c r="B242" s="150"/>
      <c r="C242" s="151"/>
      <c r="D242" s="152"/>
      <c r="E242" s="170"/>
      <c r="F242" s="154"/>
      <c r="G242" s="155"/>
      <c r="H242" s="171"/>
      <c r="I242" s="159"/>
      <c r="J242" s="120"/>
      <c r="K242" s="121"/>
      <c r="L242" s="122"/>
      <c r="M242" s="158"/>
      <c r="N242" s="159"/>
      <c r="O242" s="159"/>
      <c r="P242" s="120"/>
      <c r="Q242" s="122"/>
      <c r="R242" s="122"/>
      <c r="S242" s="158"/>
      <c r="T242" s="159"/>
      <c r="U242" s="126"/>
      <c r="V242" s="127"/>
      <c r="W242" s="127" t="str">
        <f aca="false">IF(ISBLANK($C242),"",IF(E242=Constants!$B$2,TRUE(),IF(E242=Constants!$B$3,FALSE(),TRUE())))</f>
        <v/>
      </c>
      <c r="X242" s="127" t="str">
        <f aca="false">IF(ISBLANK($C242),"",IF(F242=Constants!$B$2,TRUE(),IF(F242=Constants!$B$3,FALSE(),TRUE())))</f>
        <v/>
      </c>
      <c r="Y242" s="127" t="str">
        <f aca="false">IF(ISBLANK($C242),"",IF(G242=Constants!$B$2,TRUE(),IF(G242=Constants!$B$3,FALSE(),TRUE())))</f>
        <v/>
      </c>
      <c r="Z242" s="127" t="str">
        <f aca="false">IF(ISBLANK($C242),"",IF(H242=Constants!$B$2,TRUE(),IF(H242=Constants!$B$3,FALSE(),TRUE())))</f>
        <v/>
      </c>
      <c r="AA242" s="127" t="str">
        <f aca="false">IF(ISBLANK($C242),"",IF(I242=Constants!$B$2,TRUE(),IF(I242=Constants!$B$3,FALSE(),TRUE())))</f>
        <v/>
      </c>
      <c r="AB242" s="127" t="str">
        <f aca="false">IF(ISBLANK($C242),"",IF(J242=Constants!$B$4,TRUE(),IF(J242=Constants!$B$5,FALSE(),COUNTA(K242:M242)&gt;0)))</f>
        <v/>
      </c>
      <c r="AC242" s="128" t="str">
        <f aca="false">IF(ISBLANK($C242),"",IF(ISNUMBER(K242),IF(K242&gt;=0,K242,""),""))</f>
        <v/>
      </c>
      <c r="AD242" s="129" t="str">
        <f aca="false">IF(ISBLANK($C242),"",IF(ISNUMBER(L242),IF(L242&gt;=0,L242,""),""))</f>
        <v/>
      </c>
      <c r="AE242" s="127" t="str">
        <f aca="false">IF(ISBLANK($C242),"",IF(ISNUMBER(M242),IF(M242&gt;=0,MIN(M242,Constants!$B$22),""),""))</f>
        <v/>
      </c>
      <c r="AF242" s="127" t="str">
        <f aca="false">IF(ISBLANK($C242),"",IF(N242=Constants!$B$2,TRUE(),IF(N242=Constants!$B$3,FALSE(),TRUE())))</f>
        <v/>
      </c>
      <c r="AG242" s="127" t="str">
        <f aca="false">IF(ISBLANK($C242),"",IF(O242=Constants!$B$2,TRUE(),IF(O242=Constants!$B$3,FALSE(),TRUE())))</f>
        <v/>
      </c>
      <c r="AH242" s="127" t="str">
        <f aca="false">IF(ISBLANK($C242),"",IF(P242=Constants!$B$4,TRUE(),IF(P242=Constants!$B$5,FALSE(),COUNTA(Q242:S242)&gt;0)))</f>
        <v/>
      </c>
      <c r="AI242" s="128" t="str">
        <f aca="false">IF(ISBLANK($C242),"",IF(ISNUMBER(Q242),IF(Q242&gt;=0,Q242,""),""))</f>
        <v/>
      </c>
      <c r="AJ242" s="129" t="str">
        <f aca="false">IF(ISBLANK($C242),"",IF(ISNUMBER(R242),IF(R242&gt;=0,R242,""),""))</f>
        <v/>
      </c>
      <c r="AK242" s="127" t="str">
        <f aca="false">IF(ISBLANK($C242),"",IF(ISNUMBER(S242),IF(S242&gt;=0,MIN(S242,Constants!$B$22),""),""))</f>
        <v/>
      </c>
      <c r="AL242" s="127" t="str">
        <f aca="false">IF(ISBLANK($C242),"",IF(T242=Constants!$B$2,TRUE(),IF(T242=Constants!$B$3,FALSE(),FALSE())))</f>
        <v/>
      </c>
      <c r="AM242" s="126" t="str">
        <f aca="false">IF(ISBLANK($C242),"",AND($AB242,OR($AC242="",$AD242="",AND(NOT(ISBLANK($M242)),$AE242=""))))</f>
        <v/>
      </c>
      <c r="AN242" s="129" t="str">
        <f aca="false">IF($BD242&lt;&gt;Constants!$B$6,"",IF($AB242,Constants!$B$17*$AD242,Constants!$B$18))</f>
        <v/>
      </c>
      <c r="AO242" s="130" t="str">
        <f aca="false">IF($BD242&lt;&gt;Constants!$B$6,"",Constants!$B$19*IF($AB242,$AC242,0))</f>
        <v/>
      </c>
      <c r="AP242" s="130" t="str">
        <f aca="false">IF($BD242&lt;&gt;Constants!$B$6,"",IF(AND($AB242,ISNUMBER($AE242)),Constants!$B$20*(Constants!$B$21-$AE242),0))</f>
        <v/>
      </c>
      <c r="AQ242" s="130" t="str">
        <f aca="false">IF($BD242&lt;&gt;Constants!$B$6,"",IF($AA242,0,Constants!$B$12)+IF($Z242,0,Constants!$B$13)+IF($Y242,0,Constants!$B$14))</f>
        <v/>
      </c>
      <c r="AR242" s="131" t="str">
        <f aca="false">IF($BD242&lt;&gt;Constants!$B$6,"",Constants!$B$16+SUM($AN242:$AQ242))</f>
        <v/>
      </c>
      <c r="AS242" s="130" t="str">
        <f aca="false">IF($BD242&lt;&gt;Constants!$B$6,"",IF($AB242,$AD242,""))</f>
        <v/>
      </c>
      <c r="AT242" s="132" t="str">
        <f aca="false">IF($BD242&lt;&gt;Constants!$B$6,"",$AO242)</f>
        <v/>
      </c>
      <c r="AU242" s="127" t="str">
        <f aca="false">IF($BD242&lt;&gt;Constants!$B$6,"",IF(OR($BA242&lt;$AR242,AND($BA242=$AR242,OR(AND(ISNUMBER($BB242),OR(NOT(ISNUMBER($AS242)),$BB242&lt;$AS242)),AND(OR(AND($BB242="",$AS242=""),AND(ISNUMBER($BB242),ISNUMBER($AS242),$BB242=$AS242)),$BC242&lt;$AT242)))),"-&gt;","&lt;-"))</f>
        <v/>
      </c>
      <c r="AV242" s="126" t="str">
        <f aca="false">IF(ISBLANK($C242),"",AND($AH242,OR($AI242="",$AJ242="",AND(NOT(ISBLANK($S242)),$AK242=""))))</f>
        <v/>
      </c>
      <c r="AW242" s="129" t="str">
        <f aca="false">IF($BD242&lt;&gt;Constants!$B$6,"",IF($AH242,Constants!$B$17*$AJ242,Constants!$B$18))</f>
        <v/>
      </c>
      <c r="AX242" s="130" t="str">
        <f aca="false">IF($BD242&lt;&gt;Constants!$B$6,"",Constants!$B$19*IF($AH242,$AI242,0))</f>
        <v/>
      </c>
      <c r="AY242" s="130" t="str">
        <f aca="false">IF($BD242&lt;&gt;Constants!$B$6,"",IF(AND($AH242,ISNUMBER($AK242)),Constants!$B$20*(Constants!$B$21-$AK242),0))</f>
        <v/>
      </c>
      <c r="AZ242" s="130" t="str">
        <f aca="false">IF($BD242&lt;&gt;Constants!$B$6,"",IF($AG242,0,Constants!$B$12)+IF($AF242,0,Constants!$B$13)+IF($Y242,0,Constants!$B$14))</f>
        <v/>
      </c>
      <c r="BA242" s="131" t="str">
        <f aca="false">IF($BD242&lt;&gt;Constants!$B$6,"",Constants!$B$16+SUM($AW242:$AZ242))</f>
        <v/>
      </c>
      <c r="BB242" s="130" t="str">
        <f aca="false">IF($BD242&lt;&gt;Constants!$B$6,"",IF($AH242,$AJ242,""))</f>
        <v/>
      </c>
      <c r="BC242" s="132" t="str">
        <f aca="false">IF($BD242&lt;&gt;Constants!$B$6,"",$AX242)</f>
        <v/>
      </c>
      <c r="BD242" s="127" t="str">
        <f aca="false">IF(ISBLANK($C242),"",IF($AL242,Constants!$B$9,IF(COUNTA($E242:$T242)=0,Constants!$B$8,IF(NOT($X242),Constants!$B$7,IF(OR($AM242,$AV242),Constants!$B$10,Constants!$B$6)))))</f>
        <v/>
      </c>
      <c r="BE242" s="127" t="str">
        <f aca="false">IF(ISBLANK($C242),"",IF($BD242&lt;&gt;Constants!$B$6,$BD242,Constants!$B$11))</f>
        <v/>
      </c>
      <c r="BF242" s="130" t="str">
        <f aca="false">IF($BD242&lt;&gt;Constants!$B$6,"",IF($AU242="-&gt;",$BA242,$AR242))</f>
        <v/>
      </c>
      <c r="BG242" s="130" t="str">
        <f aca="false">IF($BD242&lt;&gt;Constants!$B$6,"",IF($W242,0,Constants!$B$15))</f>
        <v/>
      </c>
      <c r="BH242" s="130" t="str">
        <f aca="false">IF(ISBLANK($C242),"",IF($BD242&lt;&gt;Constants!$B$6,$BD242,SUM($BF242:$BG242)))</f>
        <v/>
      </c>
      <c r="BI242" s="127" t="str">
        <f aca="false">IF(ISBLANK($C242),"",IF($BD242&lt;&gt;Constants!$B$6,$BD242,RANK($BH242,$BH$9:$BH$508,1)))</f>
        <v/>
      </c>
      <c r="BJ242" s="130" t="str">
        <f aca="false">IF($BD242&lt;&gt;Constants!$B$6,"",IF($AU242="-&gt;",$BB242,$AS242))</f>
        <v/>
      </c>
      <c r="BK242" s="127" t="str">
        <f aca="false">IF(ISBLANK($C242),"",IF($BD242&lt;&gt;Constants!$B$6,$BD242,IF(ISNUMBER($BJ242),RANK($BJ242,$BJ$9:$BJ$508,1),COUNT($BJ$9:$BJ$508)+1)))</f>
        <v/>
      </c>
      <c r="BL242" s="130" t="str">
        <f aca="false">IF($BD242&lt;&gt;Constants!$B$6,"",IF($AU242="-&gt;",$BC242,$AT242))</f>
        <v/>
      </c>
      <c r="BM242" s="127" t="str">
        <f aca="false">IF(ISBLANK($C242),"",IF($BD242&lt;&gt;Constants!$B$6,$BD242,IF(ISNUMBER($BL242),RANK($BL242,$BL$9:$BL$508,1),COUNT($BL$9:$BL$508)+1)))</f>
        <v/>
      </c>
      <c r="BN242" s="130" t="str">
        <f aca="false">IF($BD242&lt;&gt;Constants!$B$6,"",IF($AU242="-&gt;",$AS242,$BB242))</f>
        <v/>
      </c>
      <c r="BO242" s="127" t="str">
        <f aca="false">IF(ISBLANK($C242),"",IF($BD242&lt;&gt;Constants!$B$6,$BD242,IF(ISNUMBER($BN242),RANK($BN242,$BN$9:$BN$508,1),COUNT($BN$9:$BN$508)+1)))</f>
        <v/>
      </c>
      <c r="BP242" s="130" t="str">
        <f aca="false">IF($BD242&lt;&gt;Constants!$B$6,"",IF($AU242="-&gt;",$AT242,$BC242))</f>
        <v/>
      </c>
      <c r="BQ242" s="127" t="str">
        <f aca="false">IF(ISBLANK($C242),"",IF($BD242&lt;&gt;Constants!$B$6,$BD242,IF(ISNUMBER($BP242),RANK($BP242,$BP$9:$BP$508,1),COUNT($BP$9:$BP$508)+1)))</f>
        <v/>
      </c>
      <c r="BR242" s="127" t="str">
        <f aca="false">IF(ISBLANK($C242),"",IF($BD242&lt;&gt;Constants!$B$6,$BD242,COUNTIFS($BI$9:$BI$508,"&lt;"&amp;$BI242)+COUNTIFS($BI$9:$BI$508,$BI242,$BK$9:$BK$508,"&lt;"&amp;$BK242)+COUNTIFS($BI$9:$BI$508,$BI242,$BK$9:$BK$508,$BK242,$BM$9:$BM$508,"&lt;"&amp;$BM242)+COUNTIFS($BI$9:$BI$508,$BI242,$BK$9:$BK$508,$BK242,$BM$9:$BM$508,$BM242,$BO$9:$BO$508,"&lt;"&amp;$BO242)+COUNTIFS($BI$9:$BI$508,$BI242,$BK$9:$BK$508,$BK242,$BM$9:$BM$508,$BM242,$BO$9:$BO$508,$BO242,$BQ$9:$BQ$508,"&lt;"&amp;$BQ242)+1))</f>
        <v/>
      </c>
      <c r="BS242" s="127" t="str">
        <f aca="false">IF(ISBLANK($C242),"",IF($BD242&lt;&gt;Constants!$B$6,$BD242,$BI242-$BR242))</f>
        <v/>
      </c>
      <c r="BT242" s="133"/>
      <c r="BU242" s="134"/>
      <c r="BV242" s="134" t="str">
        <f aca="false">IF(ISBLANK($C242),"",IF($BD242&lt;&gt;Constants!$B$6,"",IF($AU242="-&gt;",2,1)))</f>
        <v/>
      </c>
      <c r="BW242" s="135" t="str">
        <f aca="false">IF(ISBLANK($C242),"",IF($BD242&lt;&gt;Constants!$B$6,"",IF($AU242="-&gt;",$AW242,$AN242)))</f>
        <v/>
      </c>
      <c r="BX242" s="135" t="str">
        <f aca="false">IF(ISBLANK($C242),"",IF($BD242&lt;&gt;Constants!$B$6,"",IF($AU242="-&gt;",$AX242,$AO242)))</f>
        <v/>
      </c>
      <c r="BY242" s="135" t="str">
        <f aca="false">IF(ISBLANK($C242),"",IF($BD242&lt;&gt;Constants!$B$6,"",IF($AU242="-&gt;",$AY242,$AP242)))</f>
        <v/>
      </c>
      <c r="BZ242" s="135" t="str">
        <f aca="false">IF(ISBLANK($C242),"",IF($BD242&lt;&gt;Constants!$B$6,"",IF($AU242="-&gt;",$AZ242,$AQ242)+$BG242))</f>
        <v/>
      </c>
      <c r="CA242" s="136" t="str">
        <f aca="false">IF(ISBLANK($C242),"",IF($BD242&lt;&gt;Constants!$B$6,$BD242,$BH242))</f>
        <v/>
      </c>
      <c r="CB242" s="137" t="str">
        <f aca="false">IF(ISBLANK($C242),"",$BE242)</f>
        <v/>
      </c>
      <c r="CC242" s="138" t="str">
        <f aca="false">IF(ISBLANK($C242),"",$BS242)</f>
        <v/>
      </c>
      <c r="CD242" s="138" t="str">
        <f aca="false">IF(ISBLANK($C242),"",$BR242)</f>
        <v/>
      </c>
      <c r="CE242" s="139" t="str">
        <f aca="false">IF(ISBLANK($C242),"",IF($CD242=Constants!$B$9,COUNTA($C$9:$C$508)+2,IF($CD242=Constants!$B$8,COUNTA($C$9:$C$508)+1,IF($CD242=Constants!$B$7,COUNTA($C$9:$C$508),$CD242))))</f>
        <v/>
      </c>
      <c r="CF242" s="9"/>
      <c r="CG242" s="140" t="n">
        <f aca="false">IF(OR(ISNUMBER($CD242),$CD242=Constants!$B$9,$CD242=Constants!$B$7,$CD242=Constants!$B$8),1,0)</f>
        <v>0</v>
      </c>
      <c r="CH242" s="140" t="n">
        <v>234</v>
      </c>
      <c r="CI242" s="140" t="str">
        <f aca="false">IF(ISBLANK($C242),"",IF(ISNUMBER($CE242),$CE242+ROW($B242)/1000,""))</f>
        <v/>
      </c>
      <c r="CJ242" s="140" t="str">
        <f aca="false">IF(ISNUMBER($CI242),RANK($CI242,$CI$9:$CI$508,1),"")</f>
        <v/>
      </c>
      <c r="CK242" s="140" t="str">
        <f aca="false">IF(ISBLANK($C242),"",$B242)</f>
        <v/>
      </c>
      <c r="CL242" s="140" t="str">
        <f aca="false">IF(ISBLANK($C242),"",$C242)</f>
        <v/>
      </c>
      <c r="CM242" s="140" t="str">
        <f aca="false">IF(ISBLANK($C242),"",$D242)</f>
        <v/>
      </c>
      <c r="CN242" s="141" t="str">
        <f aca="false">$CB242</f>
        <v/>
      </c>
      <c r="CO242" s="142" t="str">
        <f aca="false">$CA242</f>
        <v/>
      </c>
      <c r="CP242" s="140" t="str">
        <f aca="false">IF(ISBLANK($C242),"",$CD242)</f>
        <v/>
      </c>
      <c r="CQ242" s="143" t="str">
        <f aca="false">IF($CH242&gt;$CG$8,"",VLOOKUP($CH242,$CJ$9:$CP$508,7,FALSE()))</f>
        <v/>
      </c>
      <c r="CR242" s="144" t="str">
        <f aca="false">IF($CH242&gt;$CG$8,"",VLOOKUP($CH242,$CJ$9:$CP$508,2,FALSE()))</f>
        <v/>
      </c>
      <c r="CS242" s="144" t="str">
        <f aca="false">IF($CH242&gt;$CG$8,"",VLOOKUP($CH242,$CJ$9:$CP$508,3,FALSE()))</f>
        <v/>
      </c>
      <c r="CT242" s="144" t="str">
        <f aca="false">IF($CH242&gt;$CG$8,"",VLOOKUP($CH242,$CJ$9:$CP$508,4,FALSE()))</f>
        <v/>
      </c>
      <c r="CU242" s="144" t="str">
        <f aca="false">IF($CH242&gt;$CG$8,"",VLOOKUP($CH242,$CJ$9:$CP$508,5,FALSE()))</f>
        <v/>
      </c>
      <c r="CV242" s="145" t="str">
        <f aca="false">IF($CH242&gt;$CG$8,"",VLOOKUP($CH242,$CJ$9:$CP$508,6,FALSE()))</f>
        <v/>
      </c>
      <c r="CW242" s="71"/>
    </row>
    <row r="243" customFormat="false" ht="15.75" hidden="false" customHeight="false" outlineLevel="0" collapsed="false">
      <c r="A243" s="9"/>
      <c r="B243" s="72"/>
      <c r="C243" s="73"/>
      <c r="D243" s="160"/>
      <c r="E243" s="168"/>
      <c r="F243" s="162"/>
      <c r="G243" s="163"/>
      <c r="H243" s="169"/>
      <c r="I243" s="167"/>
      <c r="J243" s="80"/>
      <c r="K243" s="81"/>
      <c r="L243" s="82"/>
      <c r="M243" s="166"/>
      <c r="N243" s="167"/>
      <c r="O243" s="167"/>
      <c r="P243" s="80"/>
      <c r="Q243" s="82"/>
      <c r="R243" s="82"/>
      <c r="S243" s="166"/>
      <c r="T243" s="167"/>
      <c r="U243" s="86"/>
      <c r="V243" s="87"/>
      <c r="W243" s="87" t="str">
        <f aca="false">IF(ISBLANK($C243),"",IF(E243=Constants!$B$2,TRUE(),IF(E243=Constants!$B$3,FALSE(),TRUE())))</f>
        <v/>
      </c>
      <c r="X243" s="87" t="str">
        <f aca="false">IF(ISBLANK($C243),"",IF(F243=Constants!$B$2,TRUE(),IF(F243=Constants!$B$3,FALSE(),TRUE())))</f>
        <v/>
      </c>
      <c r="Y243" s="87" t="str">
        <f aca="false">IF(ISBLANK($C243),"",IF(G243=Constants!$B$2,TRUE(),IF(G243=Constants!$B$3,FALSE(),TRUE())))</f>
        <v/>
      </c>
      <c r="Z243" s="87" t="str">
        <f aca="false">IF(ISBLANK($C243),"",IF(H243=Constants!$B$2,TRUE(),IF(H243=Constants!$B$3,FALSE(),TRUE())))</f>
        <v/>
      </c>
      <c r="AA243" s="87" t="str">
        <f aca="false">IF(ISBLANK($C243),"",IF(I243=Constants!$B$2,TRUE(),IF(I243=Constants!$B$3,FALSE(),TRUE())))</f>
        <v/>
      </c>
      <c r="AB243" s="87" t="str">
        <f aca="false">IF(ISBLANK($C243),"",IF(J243=Constants!$B$4,TRUE(),IF(J243=Constants!$B$5,FALSE(),COUNTA(K243:M243)&gt;0)))</f>
        <v/>
      </c>
      <c r="AC243" s="88" t="str">
        <f aca="false">IF(ISBLANK($C243),"",IF(ISNUMBER(K243),IF(K243&gt;=0,K243,""),""))</f>
        <v/>
      </c>
      <c r="AD243" s="89" t="str">
        <f aca="false">IF(ISBLANK($C243),"",IF(ISNUMBER(L243),IF(L243&gt;=0,L243,""),""))</f>
        <v/>
      </c>
      <c r="AE243" s="87" t="str">
        <f aca="false">IF(ISBLANK($C243),"",IF(ISNUMBER(M243),IF(M243&gt;=0,MIN(M243,Constants!$B$22),""),""))</f>
        <v/>
      </c>
      <c r="AF243" s="87" t="str">
        <f aca="false">IF(ISBLANK($C243),"",IF(N243=Constants!$B$2,TRUE(),IF(N243=Constants!$B$3,FALSE(),TRUE())))</f>
        <v/>
      </c>
      <c r="AG243" s="87" t="str">
        <f aca="false">IF(ISBLANK($C243),"",IF(O243=Constants!$B$2,TRUE(),IF(O243=Constants!$B$3,FALSE(),TRUE())))</f>
        <v/>
      </c>
      <c r="AH243" s="87" t="str">
        <f aca="false">IF(ISBLANK($C243),"",IF(P243=Constants!$B$4,TRUE(),IF(P243=Constants!$B$5,FALSE(),COUNTA(Q243:S243)&gt;0)))</f>
        <v/>
      </c>
      <c r="AI243" s="88" t="str">
        <f aca="false">IF(ISBLANK($C243),"",IF(ISNUMBER(Q243),IF(Q243&gt;=0,Q243,""),""))</f>
        <v/>
      </c>
      <c r="AJ243" s="89" t="str">
        <f aca="false">IF(ISBLANK($C243),"",IF(ISNUMBER(R243),IF(R243&gt;=0,R243,""),""))</f>
        <v/>
      </c>
      <c r="AK243" s="87" t="str">
        <f aca="false">IF(ISBLANK($C243),"",IF(ISNUMBER(S243),IF(S243&gt;=0,MIN(S243,Constants!$B$22),""),""))</f>
        <v/>
      </c>
      <c r="AL243" s="87" t="str">
        <f aca="false">IF(ISBLANK($C243),"",IF(T243=Constants!$B$2,TRUE(),IF(T243=Constants!$B$3,FALSE(),FALSE())))</f>
        <v/>
      </c>
      <c r="AM243" s="86" t="str">
        <f aca="false">IF(ISBLANK($C243),"",AND($AB243,OR($AC243="",$AD243="",AND(NOT(ISBLANK($M243)),$AE243=""))))</f>
        <v/>
      </c>
      <c r="AN243" s="89" t="str">
        <f aca="false">IF($BD243&lt;&gt;Constants!$B$6,"",IF($AB243,Constants!$B$17*$AD243,Constants!$B$18))</f>
        <v/>
      </c>
      <c r="AO243" s="91" t="str">
        <f aca="false">IF($BD243&lt;&gt;Constants!$B$6,"",Constants!$B$19*IF($AB243,$AC243,0))</f>
        <v/>
      </c>
      <c r="AP243" s="91" t="str">
        <f aca="false">IF($BD243&lt;&gt;Constants!$B$6,"",IF(AND($AB243,ISNUMBER($AE243)),Constants!$B$20*(Constants!$B$21-$AE243),0))</f>
        <v/>
      </c>
      <c r="AQ243" s="91" t="str">
        <f aca="false">IF($BD243&lt;&gt;Constants!$B$6,"",IF($AA243,0,Constants!$B$12)+IF($Z243,0,Constants!$B$13)+IF($Y243,0,Constants!$B$14))</f>
        <v/>
      </c>
      <c r="AR243" s="92" t="str">
        <f aca="false">IF($BD243&lt;&gt;Constants!$B$6,"",Constants!$B$16+SUM($AN243:$AQ243))</f>
        <v/>
      </c>
      <c r="AS243" s="91" t="str">
        <f aca="false">IF($BD243&lt;&gt;Constants!$B$6,"",IF($AB243,$AD243,""))</f>
        <v/>
      </c>
      <c r="AT243" s="93" t="str">
        <f aca="false">IF($BD243&lt;&gt;Constants!$B$6,"",$AO243)</f>
        <v/>
      </c>
      <c r="AU243" s="87" t="str">
        <f aca="false">IF($BD243&lt;&gt;Constants!$B$6,"",IF(OR($BA243&lt;$AR243,AND($BA243=$AR243,OR(AND(ISNUMBER($BB243),OR(NOT(ISNUMBER($AS243)),$BB243&lt;$AS243)),AND(OR(AND($BB243="",$AS243=""),AND(ISNUMBER($BB243),ISNUMBER($AS243),$BB243=$AS243)),$BC243&lt;$AT243)))),"-&gt;","&lt;-"))</f>
        <v/>
      </c>
      <c r="AV243" s="86" t="str">
        <f aca="false">IF(ISBLANK($C243),"",AND($AH243,OR($AI243="",$AJ243="",AND(NOT(ISBLANK($S243)),$AK243=""))))</f>
        <v/>
      </c>
      <c r="AW243" s="89" t="str">
        <f aca="false">IF($BD243&lt;&gt;Constants!$B$6,"",IF($AH243,Constants!$B$17*$AJ243,Constants!$B$18))</f>
        <v/>
      </c>
      <c r="AX243" s="91" t="str">
        <f aca="false">IF($BD243&lt;&gt;Constants!$B$6,"",Constants!$B$19*IF($AH243,$AI243,0))</f>
        <v/>
      </c>
      <c r="AY243" s="91" t="str">
        <f aca="false">IF($BD243&lt;&gt;Constants!$B$6,"",IF(AND($AH243,ISNUMBER($AK243)),Constants!$B$20*(Constants!$B$21-$AK243),0))</f>
        <v/>
      </c>
      <c r="AZ243" s="91" t="str">
        <f aca="false">IF($BD243&lt;&gt;Constants!$B$6,"",IF($AG243,0,Constants!$B$12)+IF($AF243,0,Constants!$B$13)+IF($Y243,0,Constants!$B$14))</f>
        <v/>
      </c>
      <c r="BA243" s="92" t="str">
        <f aca="false">IF($BD243&lt;&gt;Constants!$B$6,"",Constants!$B$16+SUM($AW243:$AZ243))</f>
        <v/>
      </c>
      <c r="BB243" s="91" t="str">
        <f aca="false">IF($BD243&lt;&gt;Constants!$B$6,"",IF($AH243,$AJ243,""))</f>
        <v/>
      </c>
      <c r="BC243" s="93" t="str">
        <f aca="false">IF($BD243&lt;&gt;Constants!$B$6,"",$AX243)</f>
        <v/>
      </c>
      <c r="BD243" s="87" t="str">
        <f aca="false">IF(ISBLANK($C243),"",IF($AL243,Constants!$B$9,IF(COUNTA($E243:$T243)=0,Constants!$B$8,IF(NOT($X243),Constants!$B$7,IF(OR($AM243,$AV243),Constants!$B$10,Constants!$B$6)))))</f>
        <v/>
      </c>
      <c r="BE243" s="87" t="str">
        <f aca="false">IF(ISBLANK($C243),"",IF($BD243&lt;&gt;Constants!$B$6,$BD243,Constants!$B$11))</f>
        <v/>
      </c>
      <c r="BF243" s="91" t="str">
        <f aca="false">IF($BD243&lt;&gt;Constants!$B$6,"",IF($AU243="-&gt;",$BA243,$AR243))</f>
        <v/>
      </c>
      <c r="BG243" s="91" t="str">
        <f aca="false">IF($BD243&lt;&gt;Constants!$B$6,"",IF($W243,0,Constants!$B$15))</f>
        <v/>
      </c>
      <c r="BH243" s="91" t="str">
        <f aca="false">IF(ISBLANK($C243),"",IF($BD243&lt;&gt;Constants!$B$6,$BD243,SUM($BF243:$BG243)))</f>
        <v/>
      </c>
      <c r="BI243" s="87" t="str">
        <f aca="false">IF(ISBLANK($C243),"",IF($BD243&lt;&gt;Constants!$B$6,$BD243,RANK($BH243,$BH$9:$BH$508,1)))</f>
        <v/>
      </c>
      <c r="BJ243" s="91" t="str">
        <f aca="false">IF($BD243&lt;&gt;Constants!$B$6,"",IF($AU243="-&gt;",$BB243,$AS243))</f>
        <v/>
      </c>
      <c r="BK243" s="87" t="str">
        <f aca="false">IF(ISBLANK($C243),"",IF($BD243&lt;&gt;Constants!$B$6,$BD243,IF(ISNUMBER($BJ243),RANK($BJ243,$BJ$9:$BJ$508,1),COUNT($BJ$9:$BJ$508)+1)))</f>
        <v/>
      </c>
      <c r="BL243" s="91" t="str">
        <f aca="false">IF($BD243&lt;&gt;Constants!$B$6,"",IF($AU243="-&gt;",$BC243,$AT243))</f>
        <v/>
      </c>
      <c r="BM243" s="87" t="str">
        <f aca="false">IF(ISBLANK($C243),"",IF($BD243&lt;&gt;Constants!$B$6,$BD243,IF(ISNUMBER($BL243),RANK($BL243,$BL$9:$BL$508,1),COUNT($BL$9:$BL$508)+1)))</f>
        <v/>
      </c>
      <c r="BN243" s="91" t="str">
        <f aca="false">IF($BD243&lt;&gt;Constants!$B$6,"",IF($AU243="-&gt;",$AS243,$BB243))</f>
        <v/>
      </c>
      <c r="BO243" s="87" t="str">
        <f aca="false">IF(ISBLANK($C243),"",IF($BD243&lt;&gt;Constants!$B$6,$BD243,IF(ISNUMBER($BN243),RANK($BN243,$BN$9:$BN$508,1),COUNT($BN$9:$BN$508)+1)))</f>
        <v/>
      </c>
      <c r="BP243" s="91" t="str">
        <f aca="false">IF($BD243&lt;&gt;Constants!$B$6,"",IF($AU243="-&gt;",$AT243,$BC243))</f>
        <v/>
      </c>
      <c r="BQ243" s="87" t="str">
        <f aca="false">IF(ISBLANK($C243),"",IF($BD243&lt;&gt;Constants!$B$6,$BD243,IF(ISNUMBER($BP243),RANK($BP243,$BP$9:$BP$508,1),COUNT($BP$9:$BP$508)+1)))</f>
        <v/>
      </c>
      <c r="BR243" s="87" t="str">
        <f aca="false">IF(ISBLANK($C243),"",IF($BD243&lt;&gt;Constants!$B$6,$BD243,COUNTIFS($BI$9:$BI$508,"&lt;"&amp;$BI243)+COUNTIFS($BI$9:$BI$508,$BI243,$BK$9:$BK$508,"&lt;"&amp;$BK243)+COUNTIFS($BI$9:$BI$508,$BI243,$BK$9:$BK$508,$BK243,$BM$9:$BM$508,"&lt;"&amp;$BM243)+COUNTIFS($BI$9:$BI$508,$BI243,$BK$9:$BK$508,$BK243,$BM$9:$BM$508,$BM243,$BO$9:$BO$508,"&lt;"&amp;$BO243)+COUNTIFS($BI$9:$BI$508,$BI243,$BK$9:$BK$508,$BK243,$BM$9:$BM$508,$BM243,$BO$9:$BO$508,$BO243,$BQ$9:$BQ$508,"&lt;"&amp;$BQ243)+1))</f>
        <v/>
      </c>
      <c r="BS243" s="87" t="str">
        <f aca="false">IF(ISBLANK($C243),"",IF($BD243&lt;&gt;Constants!$B$6,$BD243,$BI243-$BR243))</f>
        <v/>
      </c>
      <c r="BT243" s="94"/>
      <c r="BU243" s="95"/>
      <c r="BV243" s="95" t="str">
        <f aca="false">IF(ISBLANK($C243),"",IF($BD243&lt;&gt;Constants!$B$6,"",IF($AU243="-&gt;",2,1)))</f>
        <v/>
      </c>
      <c r="BW243" s="96" t="str">
        <f aca="false">IF(ISBLANK($C243),"",IF($BD243&lt;&gt;Constants!$B$6,"",IF($AU243="-&gt;",$AW243,$AN243)))</f>
        <v/>
      </c>
      <c r="BX243" s="96" t="str">
        <f aca="false">IF(ISBLANK($C243),"",IF($BD243&lt;&gt;Constants!$B$6,"",IF($AU243="-&gt;",$AX243,$AO243)))</f>
        <v/>
      </c>
      <c r="BY243" s="96" t="str">
        <f aca="false">IF(ISBLANK($C243),"",IF($BD243&lt;&gt;Constants!$B$6,"",IF($AU243="-&gt;",$AY243,$AP243)))</f>
        <v/>
      </c>
      <c r="BZ243" s="96" t="str">
        <f aca="false">IF(ISBLANK($C243),"",IF($BD243&lt;&gt;Constants!$B$6,"",IF($AU243="-&gt;",$AZ243,$AQ243)+$BG243))</f>
        <v/>
      </c>
      <c r="CA243" s="97" t="str">
        <f aca="false">IF(ISBLANK($C243),"",IF($BD243&lt;&gt;Constants!$B$6,$BD243,$BH243))</f>
        <v/>
      </c>
      <c r="CB243" s="98" t="str">
        <f aca="false">IF(ISBLANK($C243),"",$BE243)</f>
        <v/>
      </c>
      <c r="CC243" s="99" t="str">
        <f aca="false">IF(ISBLANK($C243),"",$BS243)</f>
        <v/>
      </c>
      <c r="CD243" s="99" t="str">
        <f aca="false">IF(ISBLANK($C243),"",$BR243)</f>
        <v/>
      </c>
      <c r="CE243" s="100" t="str">
        <f aca="false">IF(ISBLANK($C243),"",IF($CD243=Constants!$B$9,COUNTA($C$9:$C$508)+2,IF($CD243=Constants!$B$8,COUNTA($C$9:$C$508)+1,IF($CD243=Constants!$B$7,COUNTA($C$9:$C$508),$CD243))))</f>
        <v/>
      </c>
      <c r="CF243" s="9"/>
      <c r="CG243" s="101" t="n">
        <f aca="false">IF(OR(ISNUMBER($CD243),$CD243=Constants!$B$9,$CD243=Constants!$B$7,$CD243=Constants!$B$8),1,0)</f>
        <v>0</v>
      </c>
      <c r="CH243" s="101" t="n">
        <v>235</v>
      </c>
      <c r="CI243" s="101" t="str">
        <f aca="false">IF(ISBLANK($C243),"",IF(ISNUMBER($CE243),$CE243+ROW($B243)/1000,""))</f>
        <v/>
      </c>
      <c r="CJ243" s="101" t="str">
        <f aca="false">IF(ISNUMBER($CI243),RANK($CI243,$CI$9:$CI$508,1),"")</f>
        <v/>
      </c>
      <c r="CK243" s="101" t="str">
        <f aca="false">IF(ISBLANK($C243),"",$B243)</f>
        <v/>
      </c>
      <c r="CL243" s="101" t="str">
        <f aca="false">IF(ISBLANK($C243),"",$C243)</f>
        <v/>
      </c>
      <c r="CM243" s="101" t="str">
        <f aca="false">IF(ISBLANK($C243),"",$D243)</f>
        <v/>
      </c>
      <c r="CN243" s="102" t="str">
        <f aca="false">$CB243</f>
        <v/>
      </c>
      <c r="CO243" s="103" t="str">
        <f aca="false">$CA243</f>
        <v/>
      </c>
      <c r="CP243" s="101" t="str">
        <f aca="false">IF(ISBLANK($C243),"",$CD243)</f>
        <v/>
      </c>
      <c r="CQ243" s="104" t="str">
        <f aca="false">IF($CH243&gt;$CG$8,"",VLOOKUP($CH243,$CJ$9:$CP$508,7,FALSE()))</f>
        <v/>
      </c>
      <c r="CR243" s="105" t="str">
        <f aca="false">IF($CH243&gt;$CG$8,"",VLOOKUP($CH243,$CJ$9:$CP$508,2,FALSE()))</f>
        <v/>
      </c>
      <c r="CS243" s="105" t="str">
        <f aca="false">IF($CH243&gt;$CG$8,"",VLOOKUP($CH243,$CJ$9:$CP$508,3,FALSE()))</f>
        <v/>
      </c>
      <c r="CT243" s="105" t="str">
        <f aca="false">IF($CH243&gt;$CG$8,"",VLOOKUP($CH243,$CJ$9:$CP$508,4,FALSE()))</f>
        <v/>
      </c>
      <c r="CU243" s="105" t="str">
        <f aca="false">IF($CH243&gt;$CG$8,"",VLOOKUP($CH243,$CJ$9:$CP$508,5,FALSE()))</f>
        <v/>
      </c>
      <c r="CV243" s="106" t="str">
        <f aca="false">IF($CH243&gt;$CG$8,"",VLOOKUP($CH243,$CJ$9:$CP$508,6,FALSE()))</f>
        <v/>
      </c>
      <c r="CW243" s="71"/>
    </row>
    <row r="244" customFormat="false" ht="15.75" hidden="false" customHeight="false" outlineLevel="0" collapsed="false">
      <c r="A244" s="9"/>
      <c r="B244" s="72"/>
      <c r="C244" s="73"/>
      <c r="D244" s="160"/>
      <c r="E244" s="168"/>
      <c r="F244" s="162"/>
      <c r="G244" s="163"/>
      <c r="H244" s="169"/>
      <c r="I244" s="167"/>
      <c r="J244" s="80"/>
      <c r="K244" s="81"/>
      <c r="L244" s="82"/>
      <c r="M244" s="166"/>
      <c r="N244" s="167"/>
      <c r="O244" s="167"/>
      <c r="P244" s="80"/>
      <c r="Q244" s="82"/>
      <c r="R244" s="82"/>
      <c r="S244" s="166"/>
      <c r="T244" s="167"/>
      <c r="U244" s="86"/>
      <c r="V244" s="87"/>
      <c r="W244" s="87" t="str">
        <f aca="false">IF(ISBLANK($C244),"",IF(E244=Constants!$B$2,TRUE(),IF(E244=Constants!$B$3,FALSE(),TRUE())))</f>
        <v/>
      </c>
      <c r="X244" s="87" t="str">
        <f aca="false">IF(ISBLANK($C244),"",IF(F244=Constants!$B$2,TRUE(),IF(F244=Constants!$B$3,FALSE(),TRUE())))</f>
        <v/>
      </c>
      <c r="Y244" s="87" t="str">
        <f aca="false">IF(ISBLANK($C244),"",IF(G244=Constants!$B$2,TRUE(),IF(G244=Constants!$B$3,FALSE(),TRUE())))</f>
        <v/>
      </c>
      <c r="Z244" s="87" t="str">
        <f aca="false">IF(ISBLANK($C244),"",IF(H244=Constants!$B$2,TRUE(),IF(H244=Constants!$B$3,FALSE(),TRUE())))</f>
        <v/>
      </c>
      <c r="AA244" s="87" t="str">
        <f aca="false">IF(ISBLANK($C244),"",IF(I244=Constants!$B$2,TRUE(),IF(I244=Constants!$B$3,FALSE(),TRUE())))</f>
        <v/>
      </c>
      <c r="AB244" s="87" t="str">
        <f aca="false">IF(ISBLANK($C244),"",IF(J244=Constants!$B$4,TRUE(),IF(J244=Constants!$B$5,FALSE(),COUNTA(K244:M244)&gt;0)))</f>
        <v/>
      </c>
      <c r="AC244" s="88" t="str">
        <f aca="false">IF(ISBLANK($C244),"",IF(ISNUMBER(K244),IF(K244&gt;=0,K244,""),""))</f>
        <v/>
      </c>
      <c r="AD244" s="89" t="str">
        <f aca="false">IF(ISBLANK($C244),"",IF(ISNUMBER(L244),IF(L244&gt;=0,L244,""),""))</f>
        <v/>
      </c>
      <c r="AE244" s="87" t="str">
        <f aca="false">IF(ISBLANK($C244),"",IF(ISNUMBER(M244),IF(M244&gt;=0,MIN(M244,Constants!$B$22),""),""))</f>
        <v/>
      </c>
      <c r="AF244" s="87" t="str">
        <f aca="false">IF(ISBLANK($C244),"",IF(N244=Constants!$B$2,TRUE(),IF(N244=Constants!$B$3,FALSE(),TRUE())))</f>
        <v/>
      </c>
      <c r="AG244" s="87" t="str">
        <f aca="false">IF(ISBLANK($C244),"",IF(O244=Constants!$B$2,TRUE(),IF(O244=Constants!$B$3,FALSE(),TRUE())))</f>
        <v/>
      </c>
      <c r="AH244" s="87" t="str">
        <f aca="false">IF(ISBLANK($C244),"",IF(P244=Constants!$B$4,TRUE(),IF(P244=Constants!$B$5,FALSE(),COUNTA(Q244:S244)&gt;0)))</f>
        <v/>
      </c>
      <c r="AI244" s="88" t="str">
        <f aca="false">IF(ISBLANK($C244),"",IF(ISNUMBER(Q244),IF(Q244&gt;=0,Q244,""),""))</f>
        <v/>
      </c>
      <c r="AJ244" s="89" t="str">
        <f aca="false">IF(ISBLANK($C244),"",IF(ISNUMBER(R244),IF(R244&gt;=0,R244,""),""))</f>
        <v/>
      </c>
      <c r="AK244" s="87" t="str">
        <f aca="false">IF(ISBLANK($C244),"",IF(ISNUMBER(S244),IF(S244&gt;=0,MIN(S244,Constants!$B$22),""),""))</f>
        <v/>
      </c>
      <c r="AL244" s="87" t="str">
        <f aca="false">IF(ISBLANK($C244),"",IF(T244=Constants!$B$2,TRUE(),IF(T244=Constants!$B$3,FALSE(),FALSE())))</f>
        <v/>
      </c>
      <c r="AM244" s="86" t="str">
        <f aca="false">IF(ISBLANK($C244),"",AND($AB244,OR($AC244="",$AD244="",AND(NOT(ISBLANK($M244)),$AE244=""))))</f>
        <v/>
      </c>
      <c r="AN244" s="89" t="str">
        <f aca="false">IF($BD244&lt;&gt;Constants!$B$6,"",IF($AB244,Constants!$B$17*$AD244,Constants!$B$18))</f>
        <v/>
      </c>
      <c r="AO244" s="91" t="str">
        <f aca="false">IF($BD244&lt;&gt;Constants!$B$6,"",Constants!$B$19*IF($AB244,$AC244,0))</f>
        <v/>
      </c>
      <c r="AP244" s="91" t="str">
        <f aca="false">IF($BD244&lt;&gt;Constants!$B$6,"",IF(AND($AB244,ISNUMBER($AE244)),Constants!$B$20*(Constants!$B$21-$AE244),0))</f>
        <v/>
      </c>
      <c r="AQ244" s="91" t="str">
        <f aca="false">IF($BD244&lt;&gt;Constants!$B$6,"",IF($AA244,0,Constants!$B$12)+IF($Z244,0,Constants!$B$13)+IF($Y244,0,Constants!$B$14))</f>
        <v/>
      </c>
      <c r="AR244" s="92" t="str">
        <f aca="false">IF($BD244&lt;&gt;Constants!$B$6,"",Constants!$B$16+SUM($AN244:$AQ244))</f>
        <v/>
      </c>
      <c r="AS244" s="91" t="str">
        <f aca="false">IF($BD244&lt;&gt;Constants!$B$6,"",IF($AB244,$AD244,""))</f>
        <v/>
      </c>
      <c r="AT244" s="93" t="str">
        <f aca="false">IF($BD244&lt;&gt;Constants!$B$6,"",$AO244)</f>
        <v/>
      </c>
      <c r="AU244" s="87" t="str">
        <f aca="false">IF($BD244&lt;&gt;Constants!$B$6,"",IF(OR($BA244&lt;$AR244,AND($BA244=$AR244,OR(AND(ISNUMBER($BB244),OR(NOT(ISNUMBER($AS244)),$BB244&lt;$AS244)),AND(OR(AND($BB244="",$AS244=""),AND(ISNUMBER($BB244),ISNUMBER($AS244),$BB244=$AS244)),$BC244&lt;$AT244)))),"-&gt;","&lt;-"))</f>
        <v/>
      </c>
      <c r="AV244" s="86" t="str">
        <f aca="false">IF(ISBLANK($C244),"",AND($AH244,OR($AI244="",$AJ244="",AND(NOT(ISBLANK($S244)),$AK244=""))))</f>
        <v/>
      </c>
      <c r="AW244" s="89" t="str">
        <f aca="false">IF($BD244&lt;&gt;Constants!$B$6,"",IF($AH244,Constants!$B$17*$AJ244,Constants!$B$18))</f>
        <v/>
      </c>
      <c r="AX244" s="91" t="str">
        <f aca="false">IF($BD244&lt;&gt;Constants!$B$6,"",Constants!$B$19*IF($AH244,$AI244,0))</f>
        <v/>
      </c>
      <c r="AY244" s="91" t="str">
        <f aca="false">IF($BD244&lt;&gt;Constants!$B$6,"",IF(AND($AH244,ISNUMBER($AK244)),Constants!$B$20*(Constants!$B$21-$AK244),0))</f>
        <v/>
      </c>
      <c r="AZ244" s="91" t="str">
        <f aca="false">IF($BD244&lt;&gt;Constants!$B$6,"",IF($AG244,0,Constants!$B$12)+IF($AF244,0,Constants!$B$13)+IF($Y244,0,Constants!$B$14))</f>
        <v/>
      </c>
      <c r="BA244" s="92" t="str">
        <f aca="false">IF($BD244&lt;&gt;Constants!$B$6,"",Constants!$B$16+SUM($AW244:$AZ244))</f>
        <v/>
      </c>
      <c r="BB244" s="91" t="str">
        <f aca="false">IF($BD244&lt;&gt;Constants!$B$6,"",IF($AH244,$AJ244,""))</f>
        <v/>
      </c>
      <c r="BC244" s="93" t="str">
        <f aca="false">IF($BD244&lt;&gt;Constants!$B$6,"",$AX244)</f>
        <v/>
      </c>
      <c r="BD244" s="87" t="str">
        <f aca="false">IF(ISBLANK($C244),"",IF($AL244,Constants!$B$9,IF(COUNTA($E244:$T244)=0,Constants!$B$8,IF(NOT($X244),Constants!$B$7,IF(OR($AM244,$AV244),Constants!$B$10,Constants!$B$6)))))</f>
        <v/>
      </c>
      <c r="BE244" s="87" t="str">
        <f aca="false">IF(ISBLANK($C244),"",IF($BD244&lt;&gt;Constants!$B$6,$BD244,Constants!$B$11))</f>
        <v/>
      </c>
      <c r="BF244" s="91" t="str">
        <f aca="false">IF($BD244&lt;&gt;Constants!$B$6,"",IF($AU244="-&gt;",$BA244,$AR244))</f>
        <v/>
      </c>
      <c r="BG244" s="91" t="str">
        <f aca="false">IF($BD244&lt;&gt;Constants!$B$6,"",IF($W244,0,Constants!$B$15))</f>
        <v/>
      </c>
      <c r="BH244" s="91" t="str">
        <f aca="false">IF(ISBLANK($C244),"",IF($BD244&lt;&gt;Constants!$B$6,$BD244,SUM($BF244:$BG244)))</f>
        <v/>
      </c>
      <c r="BI244" s="87" t="str">
        <f aca="false">IF(ISBLANK($C244),"",IF($BD244&lt;&gt;Constants!$B$6,$BD244,RANK($BH244,$BH$9:$BH$508,1)))</f>
        <v/>
      </c>
      <c r="BJ244" s="91" t="str">
        <f aca="false">IF($BD244&lt;&gt;Constants!$B$6,"",IF($AU244="-&gt;",$BB244,$AS244))</f>
        <v/>
      </c>
      <c r="BK244" s="87" t="str">
        <f aca="false">IF(ISBLANK($C244),"",IF($BD244&lt;&gt;Constants!$B$6,$BD244,IF(ISNUMBER($BJ244),RANK($BJ244,$BJ$9:$BJ$508,1),COUNT($BJ$9:$BJ$508)+1)))</f>
        <v/>
      </c>
      <c r="BL244" s="91" t="str">
        <f aca="false">IF($BD244&lt;&gt;Constants!$B$6,"",IF($AU244="-&gt;",$BC244,$AT244))</f>
        <v/>
      </c>
      <c r="BM244" s="87" t="str">
        <f aca="false">IF(ISBLANK($C244),"",IF($BD244&lt;&gt;Constants!$B$6,$BD244,IF(ISNUMBER($BL244),RANK($BL244,$BL$9:$BL$508,1),COUNT($BL$9:$BL$508)+1)))</f>
        <v/>
      </c>
      <c r="BN244" s="91" t="str">
        <f aca="false">IF($BD244&lt;&gt;Constants!$B$6,"",IF($AU244="-&gt;",$AS244,$BB244))</f>
        <v/>
      </c>
      <c r="BO244" s="87" t="str">
        <f aca="false">IF(ISBLANK($C244),"",IF($BD244&lt;&gt;Constants!$B$6,$BD244,IF(ISNUMBER($BN244),RANK($BN244,$BN$9:$BN$508,1),COUNT($BN$9:$BN$508)+1)))</f>
        <v/>
      </c>
      <c r="BP244" s="91" t="str">
        <f aca="false">IF($BD244&lt;&gt;Constants!$B$6,"",IF($AU244="-&gt;",$AT244,$BC244))</f>
        <v/>
      </c>
      <c r="BQ244" s="87" t="str">
        <f aca="false">IF(ISBLANK($C244),"",IF($BD244&lt;&gt;Constants!$B$6,$BD244,IF(ISNUMBER($BP244),RANK($BP244,$BP$9:$BP$508,1),COUNT($BP$9:$BP$508)+1)))</f>
        <v/>
      </c>
      <c r="BR244" s="87" t="str">
        <f aca="false">IF(ISBLANK($C244),"",IF($BD244&lt;&gt;Constants!$B$6,$BD244,COUNTIFS($BI$9:$BI$508,"&lt;"&amp;$BI244)+COUNTIFS($BI$9:$BI$508,$BI244,$BK$9:$BK$508,"&lt;"&amp;$BK244)+COUNTIFS($BI$9:$BI$508,$BI244,$BK$9:$BK$508,$BK244,$BM$9:$BM$508,"&lt;"&amp;$BM244)+COUNTIFS($BI$9:$BI$508,$BI244,$BK$9:$BK$508,$BK244,$BM$9:$BM$508,$BM244,$BO$9:$BO$508,"&lt;"&amp;$BO244)+COUNTIFS($BI$9:$BI$508,$BI244,$BK$9:$BK$508,$BK244,$BM$9:$BM$508,$BM244,$BO$9:$BO$508,$BO244,$BQ$9:$BQ$508,"&lt;"&amp;$BQ244)+1))</f>
        <v/>
      </c>
      <c r="BS244" s="87" t="str">
        <f aca="false">IF(ISBLANK($C244),"",IF($BD244&lt;&gt;Constants!$B$6,$BD244,$BI244-$BR244))</f>
        <v/>
      </c>
      <c r="BT244" s="94"/>
      <c r="BU244" s="95"/>
      <c r="BV244" s="95" t="str">
        <f aca="false">IF(ISBLANK($C244),"",IF($BD244&lt;&gt;Constants!$B$6,"",IF($AU244="-&gt;",2,1)))</f>
        <v/>
      </c>
      <c r="BW244" s="96" t="str">
        <f aca="false">IF(ISBLANK($C244),"",IF($BD244&lt;&gt;Constants!$B$6,"",IF($AU244="-&gt;",$AW244,$AN244)))</f>
        <v/>
      </c>
      <c r="BX244" s="96" t="str">
        <f aca="false">IF(ISBLANK($C244),"",IF($BD244&lt;&gt;Constants!$B$6,"",IF($AU244="-&gt;",$AX244,$AO244)))</f>
        <v/>
      </c>
      <c r="BY244" s="96" t="str">
        <f aca="false">IF(ISBLANK($C244),"",IF($BD244&lt;&gt;Constants!$B$6,"",IF($AU244="-&gt;",$AY244,$AP244)))</f>
        <v/>
      </c>
      <c r="BZ244" s="96" t="str">
        <f aca="false">IF(ISBLANK($C244),"",IF($BD244&lt;&gt;Constants!$B$6,"",IF($AU244="-&gt;",$AZ244,$AQ244)+$BG244))</f>
        <v/>
      </c>
      <c r="CA244" s="97" t="str">
        <f aca="false">IF(ISBLANK($C244),"",IF($BD244&lt;&gt;Constants!$B$6,$BD244,$BH244))</f>
        <v/>
      </c>
      <c r="CB244" s="98" t="str">
        <f aca="false">IF(ISBLANK($C244),"",$BE244)</f>
        <v/>
      </c>
      <c r="CC244" s="99" t="str">
        <f aca="false">IF(ISBLANK($C244),"",$BS244)</f>
        <v/>
      </c>
      <c r="CD244" s="99" t="str">
        <f aca="false">IF(ISBLANK($C244),"",$BR244)</f>
        <v/>
      </c>
      <c r="CE244" s="100" t="str">
        <f aca="false">IF(ISBLANK($C244),"",IF($CD244=Constants!$B$9,COUNTA($C$9:$C$508)+2,IF($CD244=Constants!$B$8,COUNTA($C$9:$C$508)+1,IF($CD244=Constants!$B$7,COUNTA($C$9:$C$508),$CD244))))</f>
        <v/>
      </c>
      <c r="CF244" s="9"/>
      <c r="CG244" s="101" t="n">
        <f aca="false">IF(OR(ISNUMBER($CD244),$CD244=Constants!$B$9,$CD244=Constants!$B$7,$CD244=Constants!$B$8),1,0)</f>
        <v>0</v>
      </c>
      <c r="CH244" s="101" t="n">
        <v>236</v>
      </c>
      <c r="CI244" s="101" t="str">
        <f aca="false">IF(ISBLANK($C244),"",IF(ISNUMBER($CE244),$CE244+ROW($B244)/1000,""))</f>
        <v/>
      </c>
      <c r="CJ244" s="101" t="str">
        <f aca="false">IF(ISNUMBER($CI244),RANK($CI244,$CI$9:$CI$508,1),"")</f>
        <v/>
      </c>
      <c r="CK244" s="101" t="str">
        <f aca="false">IF(ISBLANK($C244),"",$B244)</f>
        <v/>
      </c>
      <c r="CL244" s="101" t="str">
        <f aca="false">IF(ISBLANK($C244),"",$C244)</f>
        <v/>
      </c>
      <c r="CM244" s="101" t="str">
        <f aca="false">IF(ISBLANK($C244),"",$D244)</f>
        <v/>
      </c>
      <c r="CN244" s="102" t="str">
        <f aca="false">$CB244</f>
        <v/>
      </c>
      <c r="CO244" s="103" t="str">
        <f aca="false">$CA244</f>
        <v/>
      </c>
      <c r="CP244" s="101" t="str">
        <f aca="false">IF(ISBLANK($C244),"",$CD244)</f>
        <v/>
      </c>
      <c r="CQ244" s="104" t="str">
        <f aca="false">IF($CH244&gt;$CG$8,"",VLOOKUP($CH244,$CJ$9:$CP$508,7,FALSE()))</f>
        <v/>
      </c>
      <c r="CR244" s="105" t="str">
        <f aca="false">IF($CH244&gt;$CG$8,"",VLOOKUP($CH244,$CJ$9:$CP$508,2,FALSE()))</f>
        <v/>
      </c>
      <c r="CS244" s="105" t="str">
        <f aca="false">IF($CH244&gt;$CG$8,"",VLOOKUP($CH244,$CJ$9:$CP$508,3,FALSE()))</f>
        <v/>
      </c>
      <c r="CT244" s="105" t="str">
        <f aca="false">IF($CH244&gt;$CG$8,"",VLOOKUP($CH244,$CJ$9:$CP$508,4,FALSE()))</f>
        <v/>
      </c>
      <c r="CU244" s="105" t="str">
        <f aca="false">IF($CH244&gt;$CG$8,"",VLOOKUP($CH244,$CJ$9:$CP$508,5,FALSE()))</f>
        <v/>
      </c>
      <c r="CV244" s="106" t="str">
        <f aca="false">IF($CH244&gt;$CG$8,"",VLOOKUP($CH244,$CJ$9:$CP$508,6,FALSE()))</f>
        <v/>
      </c>
      <c r="CW244" s="71"/>
    </row>
    <row r="245" customFormat="false" ht="15.75" hidden="false" customHeight="false" outlineLevel="0" collapsed="false">
      <c r="A245" s="9"/>
      <c r="B245" s="72"/>
      <c r="C245" s="73"/>
      <c r="D245" s="160"/>
      <c r="E245" s="168"/>
      <c r="F245" s="162"/>
      <c r="G245" s="163"/>
      <c r="H245" s="169"/>
      <c r="I245" s="167"/>
      <c r="J245" s="80"/>
      <c r="K245" s="81"/>
      <c r="L245" s="82"/>
      <c r="M245" s="166"/>
      <c r="N245" s="167"/>
      <c r="O245" s="167"/>
      <c r="P245" s="80"/>
      <c r="Q245" s="82"/>
      <c r="R245" s="82"/>
      <c r="S245" s="166"/>
      <c r="T245" s="167"/>
      <c r="U245" s="86"/>
      <c r="V245" s="87"/>
      <c r="W245" s="87" t="str">
        <f aca="false">IF(ISBLANK($C245),"",IF(E245=Constants!$B$2,TRUE(),IF(E245=Constants!$B$3,FALSE(),TRUE())))</f>
        <v/>
      </c>
      <c r="X245" s="87" t="str">
        <f aca="false">IF(ISBLANK($C245),"",IF(F245=Constants!$B$2,TRUE(),IF(F245=Constants!$B$3,FALSE(),TRUE())))</f>
        <v/>
      </c>
      <c r="Y245" s="87" t="str">
        <f aca="false">IF(ISBLANK($C245),"",IF(G245=Constants!$B$2,TRUE(),IF(G245=Constants!$B$3,FALSE(),TRUE())))</f>
        <v/>
      </c>
      <c r="Z245" s="87" t="str">
        <f aca="false">IF(ISBLANK($C245),"",IF(H245=Constants!$B$2,TRUE(),IF(H245=Constants!$B$3,FALSE(),TRUE())))</f>
        <v/>
      </c>
      <c r="AA245" s="87" t="str">
        <f aca="false">IF(ISBLANK($C245),"",IF(I245=Constants!$B$2,TRUE(),IF(I245=Constants!$B$3,FALSE(),TRUE())))</f>
        <v/>
      </c>
      <c r="AB245" s="87" t="str">
        <f aca="false">IF(ISBLANK($C245),"",IF(J245=Constants!$B$4,TRUE(),IF(J245=Constants!$B$5,FALSE(),COUNTA(K245:M245)&gt;0)))</f>
        <v/>
      </c>
      <c r="AC245" s="88" t="str">
        <f aca="false">IF(ISBLANK($C245),"",IF(ISNUMBER(K245),IF(K245&gt;=0,K245,""),""))</f>
        <v/>
      </c>
      <c r="AD245" s="89" t="str">
        <f aca="false">IF(ISBLANK($C245),"",IF(ISNUMBER(L245),IF(L245&gt;=0,L245,""),""))</f>
        <v/>
      </c>
      <c r="AE245" s="87" t="str">
        <f aca="false">IF(ISBLANK($C245),"",IF(ISNUMBER(M245),IF(M245&gt;=0,MIN(M245,Constants!$B$22),""),""))</f>
        <v/>
      </c>
      <c r="AF245" s="87" t="str">
        <f aca="false">IF(ISBLANK($C245),"",IF(N245=Constants!$B$2,TRUE(),IF(N245=Constants!$B$3,FALSE(),TRUE())))</f>
        <v/>
      </c>
      <c r="AG245" s="87" t="str">
        <f aca="false">IF(ISBLANK($C245),"",IF(O245=Constants!$B$2,TRUE(),IF(O245=Constants!$B$3,FALSE(),TRUE())))</f>
        <v/>
      </c>
      <c r="AH245" s="87" t="str">
        <f aca="false">IF(ISBLANK($C245),"",IF(P245=Constants!$B$4,TRUE(),IF(P245=Constants!$B$5,FALSE(),COUNTA(Q245:S245)&gt;0)))</f>
        <v/>
      </c>
      <c r="AI245" s="88" t="str">
        <f aca="false">IF(ISBLANK($C245),"",IF(ISNUMBER(Q245),IF(Q245&gt;=0,Q245,""),""))</f>
        <v/>
      </c>
      <c r="AJ245" s="89" t="str">
        <f aca="false">IF(ISBLANK($C245),"",IF(ISNUMBER(R245),IF(R245&gt;=0,R245,""),""))</f>
        <v/>
      </c>
      <c r="AK245" s="87" t="str">
        <f aca="false">IF(ISBLANK($C245),"",IF(ISNUMBER(S245),IF(S245&gt;=0,MIN(S245,Constants!$B$22),""),""))</f>
        <v/>
      </c>
      <c r="AL245" s="87" t="str">
        <f aca="false">IF(ISBLANK($C245),"",IF(T245=Constants!$B$2,TRUE(),IF(T245=Constants!$B$3,FALSE(),FALSE())))</f>
        <v/>
      </c>
      <c r="AM245" s="86" t="str">
        <f aca="false">IF(ISBLANK($C245),"",AND($AB245,OR($AC245="",$AD245="",AND(NOT(ISBLANK($M245)),$AE245=""))))</f>
        <v/>
      </c>
      <c r="AN245" s="89" t="str">
        <f aca="false">IF($BD245&lt;&gt;Constants!$B$6,"",IF($AB245,Constants!$B$17*$AD245,Constants!$B$18))</f>
        <v/>
      </c>
      <c r="AO245" s="91" t="str">
        <f aca="false">IF($BD245&lt;&gt;Constants!$B$6,"",Constants!$B$19*IF($AB245,$AC245,0))</f>
        <v/>
      </c>
      <c r="AP245" s="91" t="str">
        <f aca="false">IF($BD245&lt;&gt;Constants!$B$6,"",IF(AND($AB245,ISNUMBER($AE245)),Constants!$B$20*(Constants!$B$21-$AE245),0))</f>
        <v/>
      </c>
      <c r="AQ245" s="91" t="str">
        <f aca="false">IF($BD245&lt;&gt;Constants!$B$6,"",IF($AA245,0,Constants!$B$12)+IF($Z245,0,Constants!$B$13)+IF($Y245,0,Constants!$B$14))</f>
        <v/>
      </c>
      <c r="AR245" s="92" t="str">
        <f aca="false">IF($BD245&lt;&gt;Constants!$B$6,"",Constants!$B$16+SUM($AN245:$AQ245))</f>
        <v/>
      </c>
      <c r="AS245" s="91" t="str">
        <f aca="false">IF($BD245&lt;&gt;Constants!$B$6,"",IF($AB245,$AD245,""))</f>
        <v/>
      </c>
      <c r="AT245" s="93" t="str">
        <f aca="false">IF($BD245&lt;&gt;Constants!$B$6,"",$AO245)</f>
        <v/>
      </c>
      <c r="AU245" s="87" t="str">
        <f aca="false">IF($BD245&lt;&gt;Constants!$B$6,"",IF(OR($BA245&lt;$AR245,AND($BA245=$AR245,OR(AND(ISNUMBER($BB245),OR(NOT(ISNUMBER($AS245)),$BB245&lt;$AS245)),AND(OR(AND($BB245="",$AS245=""),AND(ISNUMBER($BB245),ISNUMBER($AS245),$BB245=$AS245)),$BC245&lt;$AT245)))),"-&gt;","&lt;-"))</f>
        <v/>
      </c>
      <c r="AV245" s="86" t="str">
        <f aca="false">IF(ISBLANK($C245),"",AND($AH245,OR($AI245="",$AJ245="",AND(NOT(ISBLANK($S245)),$AK245=""))))</f>
        <v/>
      </c>
      <c r="AW245" s="89" t="str">
        <f aca="false">IF($BD245&lt;&gt;Constants!$B$6,"",IF($AH245,Constants!$B$17*$AJ245,Constants!$B$18))</f>
        <v/>
      </c>
      <c r="AX245" s="91" t="str">
        <f aca="false">IF($BD245&lt;&gt;Constants!$B$6,"",Constants!$B$19*IF($AH245,$AI245,0))</f>
        <v/>
      </c>
      <c r="AY245" s="91" t="str">
        <f aca="false">IF($BD245&lt;&gt;Constants!$B$6,"",IF(AND($AH245,ISNUMBER($AK245)),Constants!$B$20*(Constants!$B$21-$AK245),0))</f>
        <v/>
      </c>
      <c r="AZ245" s="91" t="str">
        <f aca="false">IF($BD245&lt;&gt;Constants!$B$6,"",IF($AG245,0,Constants!$B$12)+IF($AF245,0,Constants!$B$13)+IF($Y245,0,Constants!$B$14))</f>
        <v/>
      </c>
      <c r="BA245" s="92" t="str">
        <f aca="false">IF($BD245&lt;&gt;Constants!$B$6,"",Constants!$B$16+SUM($AW245:$AZ245))</f>
        <v/>
      </c>
      <c r="BB245" s="91" t="str">
        <f aca="false">IF($BD245&lt;&gt;Constants!$B$6,"",IF($AH245,$AJ245,""))</f>
        <v/>
      </c>
      <c r="BC245" s="93" t="str">
        <f aca="false">IF($BD245&lt;&gt;Constants!$B$6,"",$AX245)</f>
        <v/>
      </c>
      <c r="BD245" s="87" t="str">
        <f aca="false">IF(ISBLANK($C245),"",IF($AL245,Constants!$B$9,IF(COUNTA($E245:$T245)=0,Constants!$B$8,IF(NOT($X245),Constants!$B$7,IF(OR($AM245,$AV245),Constants!$B$10,Constants!$B$6)))))</f>
        <v/>
      </c>
      <c r="BE245" s="87" t="str">
        <f aca="false">IF(ISBLANK($C245),"",IF($BD245&lt;&gt;Constants!$B$6,$BD245,Constants!$B$11))</f>
        <v/>
      </c>
      <c r="BF245" s="91" t="str">
        <f aca="false">IF($BD245&lt;&gt;Constants!$B$6,"",IF($AU245="-&gt;",$BA245,$AR245))</f>
        <v/>
      </c>
      <c r="BG245" s="91" t="str">
        <f aca="false">IF($BD245&lt;&gt;Constants!$B$6,"",IF($W245,0,Constants!$B$15))</f>
        <v/>
      </c>
      <c r="BH245" s="91" t="str">
        <f aca="false">IF(ISBLANK($C245),"",IF($BD245&lt;&gt;Constants!$B$6,$BD245,SUM($BF245:$BG245)))</f>
        <v/>
      </c>
      <c r="BI245" s="87" t="str">
        <f aca="false">IF(ISBLANK($C245),"",IF($BD245&lt;&gt;Constants!$B$6,$BD245,RANK($BH245,$BH$9:$BH$508,1)))</f>
        <v/>
      </c>
      <c r="BJ245" s="91" t="str">
        <f aca="false">IF($BD245&lt;&gt;Constants!$B$6,"",IF($AU245="-&gt;",$BB245,$AS245))</f>
        <v/>
      </c>
      <c r="BK245" s="87" t="str">
        <f aca="false">IF(ISBLANK($C245),"",IF($BD245&lt;&gt;Constants!$B$6,$BD245,IF(ISNUMBER($BJ245),RANK($BJ245,$BJ$9:$BJ$508,1),COUNT($BJ$9:$BJ$508)+1)))</f>
        <v/>
      </c>
      <c r="BL245" s="91" t="str">
        <f aca="false">IF($BD245&lt;&gt;Constants!$B$6,"",IF($AU245="-&gt;",$BC245,$AT245))</f>
        <v/>
      </c>
      <c r="BM245" s="87" t="str">
        <f aca="false">IF(ISBLANK($C245),"",IF($BD245&lt;&gt;Constants!$B$6,$BD245,IF(ISNUMBER($BL245),RANK($BL245,$BL$9:$BL$508,1),COUNT($BL$9:$BL$508)+1)))</f>
        <v/>
      </c>
      <c r="BN245" s="91" t="str">
        <f aca="false">IF($BD245&lt;&gt;Constants!$B$6,"",IF($AU245="-&gt;",$AS245,$BB245))</f>
        <v/>
      </c>
      <c r="BO245" s="87" t="str">
        <f aca="false">IF(ISBLANK($C245),"",IF($BD245&lt;&gt;Constants!$B$6,$BD245,IF(ISNUMBER($BN245),RANK($BN245,$BN$9:$BN$508,1),COUNT($BN$9:$BN$508)+1)))</f>
        <v/>
      </c>
      <c r="BP245" s="91" t="str">
        <f aca="false">IF($BD245&lt;&gt;Constants!$B$6,"",IF($AU245="-&gt;",$AT245,$BC245))</f>
        <v/>
      </c>
      <c r="BQ245" s="87" t="str">
        <f aca="false">IF(ISBLANK($C245),"",IF($BD245&lt;&gt;Constants!$B$6,$BD245,IF(ISNUMBER($BP245),RANK($BP245,$BP$9:$BP$508,1),COUNT($BP$9:$BP$508)+1)))</f>
        <v/>
      </c>
      <c r="BR245" s="87" t="str">
        <f aca="false">IF(ISBLANK($C245),"",IF($BD245&lt;&gt;Constants!$B$6,$BD245,COUNTIFS($BI$9:$BI$508,"&lt;"&amp;$BI245)+COUNTIFS($BI$9:$BI$508,$BI245,$BK$9:$BK$508,"&lt;"&amp;$BK245)+COUNTIFS($BI$9:$BI$508,$BI245,$BK$9:$BK$508,$BK245,$BM$9:$BM$508,"&lt;"&amp;$BM245)+COUNTIFS($BI$9:$BI$508,$BI245,$BK$9:$BK$508,$BK245,$BM$9:$BM$508,$BM245,$BO$9:$BO$508,"&lt;"&amp;$BO245)+COUNTIFS($BI$9:$BI$508,$BI245,$BK$9:$BK$508,$BK245,$BM$9:$BM$508,$BM245,$BO$9:$BO$508,$BO245,$BQ$9:$BQ$508,"&lt;"&amp;$BQ245)+1))</f>
        <v/>
      </c>
      <c r="BS245" s="87" t="str">
        <f aca="false">IF(ISBLANK($C245),"",IF($BD245&lt;&gt;Constants!$B$6,$BD245,$BI245-$BR245))</f>
        <v/>
      </c>
      <c r="BT245" s="94"/>
      <c r="BU245" s="95"/>
      <c r="BV245" s="95" t="str">
        <f aca="false">IF(ISBLANK($C245),"",IF($BD245&lt;&gt;Constants!$B$6,"",IF($AU245="-&gt;",2,1)))</f>
        <v/>
      </c>
      <c r="BW245" s="96" t="str">
        <f aca="false">IF(ISBLANK($C245),"",IF($BD245&lt;&gt;Constants!$B$6,"",IF($AU245="-&gt;",$AW245,$AN245)))</f>
        <v/>
      </c>
      <c r="BX245" s="96" t="str">
        <f aca="false">IF(ISBLANK($C245),"",IF($BD245&lt;&gt;Constants!$B$6,"",IF($AU245="-&gt;",$AX245,$AO245)))</f>
        <v/>
      </c>
      <c r="BY245" s="96" t="str">
        <f aca="false">IF(ISBLANK($C245),"",IF($BD245&lt;&gt;Constants!$B$6,"",IF($AU245="-&gt;",$AY245,$AP245)))</f>
        <v/>
      </c>
      <c r="BZ245" s="96" t="str">
        <f aca="false">IF(ISBLANK($C245),"",IF($BD245&lt;&gt;Constants!$B$6,"",IF($AU245="-&gt;",$AZ245,$AQ245)+$BG245))</f>
        <v/>
      </c>
      <c r="CA245" s="97" t="str">
        <f aca="false">IF(ISBLANK($C245),"",IF($BD245&lt;&gt;Constants!$B$6,$BD245,$BH245))</f>
        <v/>
      </c>
      <c r="CB245" s="98" t="str">
        <f aca="false">IF(ISBLANK($C245),"",$BE245)</f>
        <v/>
      </c>
      <c r="CC245" s="99" t="str">
        <f aca="false">IF(ISBLANK($C245),"",$BS245)</f>
        <v/>
      </c>
      <c r="CD245" s="99" t="str">
        <f aca="false">IF(ISBLANK($C245),"",$BR245)</f>
        <v/>
      </c>
      <c r="CE245" s="100" t="str">
        <f aca="false">IF(ISBLANK($C245),"",IF($CD245=Constants!$B$9,COUNTA($C$9:$C$508)+2,IF($CD245=Constants!$B$8,COUNTA($C$9:$C$508)+1,IF($CD245=Constants!$B$7,COUNTA($C$9:$C$508),$CD245))))</f>
        <v/>
      </c>
      <c r="CF245" s="9"/>
      <c r="CG245" s="101" t="n">
        <f aca="false">IF(OR(ISNUMBER($CD245),$CD245=Constants!$B$9,$CD245=Constants!$B$7,$CD245=Constants!$B$8),1,0)</f>
        <v>0</v>
      </c>
      <c r="CH245" s="101" t="n">
        <v>237</v>
      </c>
      <c r="CI245" s="101" t="str">
        <f aca="false">IF(ISBLANK($C245),"",IF(ISNUMBER($CE245),$CE245+ROW($B245)/1000,""))</f>
        <v/>
      </c>
      <c r="CJ245" s="101" t="str">
        <f aca="false">IF(ISNUMBER($CI245),RANK($CI245,$CI$9:$CI$508,1),"")</f>
        <v/>
      </c>
      <c r="CK245" s="101" t="str">
        <f aca="false">IF(ISBLANK($C245),"",$B245)</f>
        <v/>
      </c>
      <c r="CL245" s="101" t="str">
        <f aca="false">IF(ISBLANK($C245),"",$C245)</f>
        <v/>
      </c>
      <c r="CM245" s="101" t="str">
        <f aca="false">IF(ISBLANK($C245),"",$D245)</f>
        <v/>
      </c>
      <c r="CN245" s="102" t="str">
        <f aca="false">$CB245</f>
        <v/>
      </c>
      <c r="CO245" s="103" t="str">
        <f aca="false">$CA245</f>
        <v/>
      </c>
      <c r="CP245" s="101" t="str">
        <f aca="false">IF(ISBLANK($C245),"",$CD245)</f>
        <v/>
      </c>
      <c r="CQ245" s="104" t="str">
        <f aca="false">IF($CH245&gt;$CG$8,"",VLOOKUP($CH245,$CJ$9:$CP$508,7,FALSE()))</f>
        <v/>
      </c>
      <c r="CR245" s="105" t="str">
        <f aca="false">IF($CH245&gt;$CG$8,"",VLOOKUP($CH245,$CJ$9:$CP$508,2,FALSE()))</f>
        <v/>
      </c>
      <c r="CS245" s="105" t="str">
        <f aca="false">IF($CH245&gt;$CG$8,"",VLOOKUP($CH245,$CJ$9:$CP$508,3,FALSE()))</f>
        <v/>
      </c>
      <c r="CT245" s="105" t="str">
        <f aca="false">IF($CH245&gt;$CG$8,"",VLOOKUP($CH245,$CJ$9:$CP$508,4,FALSE()))</f>
        <v/>
      </c>
      <c r="CU245" s="105" t="str">
        <f aca="false">IF($CH245&gt;$CG$8,"",VLOOKUP($CH245,$CJ$9:$CP$508,5,FALSE()))</f>
        <v/>
      </c>
      <c r="CV245" s="106" t="str">
        <f aca="false">IF($CH245&gt;$CG$8,"",VLOOKUP($CH245,$CJ$9:$CP$508,6,FALSE()))</f>
        <v/>
      </c>
      <c r="CW245" s="71"/>
    </row>
    <row r="246" customFormat="false" ht="15.75" hidden="false" customHeight="false" outlineLevel="0" collapsed="false">
      <c r="A246" s="9"/>
      <c r="B246" s="150"/>
      <c r="C246" s="151"/>
      <c r="D246" s="152"/>
      <c r="E246" s="170"/>
      <c r="F246" s="154"/>
      <c r="G246" s="155"/>
      <c r="H246" s="171"/>
      <c r="I246" s="159"/>
      <c r="J246" s="120"/>
      <c r="K246" s="121"/>
      <c r="L246" s="122"/>
      <c r="M246" s="158"/>
      <c r="N246" s="159"/>
      <c r="O246" s="159"/>
      <c r="P246" s="120"/>
      <c r="Q246" s="122"/>
      <c r="R246" s="122"/>
      <c r="S246" s="158"/>
      <c r="T246" s="159"/>
      <c r="U246" s="126"/>
      <c r="V246" s="127"/>
      <c r="W246" s="127" t="str">
        <f aca="false">IF(ISBLANK($C246),"",IF(E246=Constants!$B$2,TRUE(),IF(E246=Constants!$B$3,FALSE(),TRUE())))</f>
        <v/>
      </c>
      <c r="X246" s="127" t="str">
        <f aca="false">IF(ISBLANK($C246),"",IF(F246=Constants!$B$2,TRUE(),IF(F246=Constants!$B$3,FALSE(),TRUE())))</f>
        <v/>
      </c>
      <c r="Y246" s="127" t="str">
        <f aca="false">IF(ISBLANK($C246),"",IF(G246=Constants!$B$2,TRUE(),IF(G246=Constants!$B$3,FALSE(),TRUE())))</f>
        <v/>
      </c>
      <c r="Z246" s="127" t="str">
        <f aca="false">IF(ISBLANK($C246),"",IF(H246=Constants!$B$2,TRUE(),IF(H246=Constants!$B$3,FALSE(),TRUE())))</f>
        <v/>
      </c>
      <c r="AA246" s="127" t="str">
        <f aca="false">IF(ISBLANK($C246),"",IF(I246=Constants!$B$2,TRUE(),IF(I246=Constants!$B$3,FALSE(),TRUE())))</f>
        <v/>
      </c>
      <c r="AB246" s="127" t="str">
        <f aca="false">IF(ISBLANK($C246),"",IF(J246=Constants!$B$4,TRUE(),IF(J246=Constants!$B$5,FALSE(),COUNTA(K246:M246)&gt;0)))</f>
        <v/>
      </c>
      <c r="AC246" s="128" t="str">
        <f aca="false">IF(ISBLANK($C246),"",IF(ISNUMBER(K246),IF(K246&gt;=0,K246,""),""))</f>
        <v/>
      </c>
      <c r="AD246" s="129" t="str">
        <f aca="false">IF(ISBLANK($C246),"",IF(ISNUMBER(L246),IF(L246&gt;=0,L246,""),""))</f>
        <v/>
      </c>
      <c r="AE246" s="127" t="str">
        <f aca="false">IF(ISBLANK($C246),"",IF(ISNUMBER(M246),IF(M246&gt;=0,MIN(M246,Constants!$B$22),""),""))</f>
        <v/>
      </c>
      <c r="AF246" s="127" t="str">
        <f aca="false">IF(ISBLANK($C246),"",IF(N246=Constants!$B$2,TRUE(),IF(N246=Constants!$B$3,FALSE(),TRUE())))</f>
        <v/>
      </c>
      <c r="AG246" s="127" t="str">
        <f aca="false">IF(ISBLANK($C246),"",IF(O246=Constants!$B$2,TRUE(),IF(O246=Constants!$B$3,FALSE(),TRUE())))</f>
        <v/>
      </c>
      <c r="AH246" s="127" t="str">
        <f aca="false">IF(ISBLANK($C246),"",IF(P246=Constants!$B$4,TRUE(),IF(P246=Constants!$B$5,FALSE(),COUNTA(Q246:S246)&gt;0)))</f>
        <v/>
      </c>
      <c r="AI246" s="128" t="str">
        <f aca="false">IF(ISBLANK($C246),"",IF(ISNUMBER(Q246),IF(Q246&gt;=0,Q246,""),""))</f>
        <v/>
      </c>
      <c r="AJ246" s="129" t="str">
        <f aca="false">IF(ISBLANK($C246),"",IF(ISNUMBER(R246),IF(R246&gt;=0,R246,""),""))</f>
        <v/>
      </c>
      <c r="AK246" s="127" t="str">
        <f aca="false">IF(ISBLANK($C246),"",IF(ISNUMBER(S246),IF(S246&gt;=0,MIN(S246,Constants!$B$22),""),""))</f>
        <v/>
      </c>
      <c r="AL246" s="127" t="str">
        <f aca="false">IF(ISBLANK($C246),"",IF(T246=Constants!$B$2,TRUE(),IF(T246=Constants!$B$3,FALSE(),FALSE())))</f>
        <v/>
      </c>
      <c r="AM246" s="126" t="str">
        <f aca="false">IF(ISBLANK($C246),"",AND($AB246,OR($AC246="",$AD246="",AND(NOT(ISBLANK($M246)),$AE246=""))))</f>
        <v/>
      </c>
      <c r="AN246" s="129" t="str">
        <f aca="false">IF($BD246&lt;&gt;Constants!$B$6,"",IF($AB246,Constants!$B$17*$AD246,Constants!$B$18))</f>
        <v/>
      </c>
      <c r="AO246" s="130" t="str">
        <f aca="false">IF($BD246&lt;&gt;Constants!$B$6,"",Constants!$B$19*IF($AB246,$AC246,0))</f>
        <v/>
      </c>
      <c r="AP246" s="130" t="str">
        <f aca="false">IF($BD246&lt;&gt;Constants!$B$6,"",IF(AND($AB246,ISNUMBER($AE246)),Constants!$B$20*(Constants!$B$21-$AE246),0))</f>
        <v/>
      </c>
      <c r="AQ246" s="130" t="str">
        <f aca="false">IF($BD246&lt;&gt;Constants!$B$6,"",IF($AA246,0,Constants!$B$12)+IF($Z246,0,Constants!$B$13)+IF($Y246,0,Constants!$B$14))</f>
        <v/>
      </c>
      <c r="AR246" s="131" t="str">
        <f aca="false">IF($BD246&lt;&gt;Constants!$B$6,"",Constants!$B$16+SUM($AN246:$AQ246))</f>
        <v/>
      </c>
      <c r="AS246" s="130" t="str">
        <f aca="false">IF($BD246&lt;&gt;Constants!$B$6,"",IF($AB246,$AD246,""))</f>
        <v/>
      </c>
      <c r="AT246" s="132" t="str">
        <f aca="false">IF($BD246&lt;&gt;Constants!$B$6,"",$AO246)</f>
        <v/>
      </c>
      <c r="AU246" s="127" t="str">
        <f aca="false">IF($BD246&lt;&gt;Constants!$B$6,"",IF(OR($BA246&lt;$AR246,AND($BA246=$AR246,OR(AND(ISNUMBER($BB246),OR(NOT(ISNUMBER($AS246)),$BB246&lt;$AS246)),AND(OR(AND($BB246="",$AS246=""),AND(ISNUMBER($BB246),ISNUMBER($AS246),$BB246=$AS246)),$BC246&lt;$AT246)))),"-&gt;","&lt;-"))</f>
        <v/>
      </c>
      <c r="AV246" s="126" t="str">
        <f aca="false">IF(ISBLANK($C246),"",AND($AH246,OR($AI246="",$AJ246="",AND(NOT(ISBLANK($S246)),$AK246=""))))</f>
        <v/>
      </c>
      <c r="AW246" s="129" t="str">
        <f aca="false">IF($BD246&lt;&gt;Constants!$B$6,"",IF($AH246,Constants!$B$17*$AJ246,Constants!$B$18))</f>
        <v/>
      </c>
      <c r="AX246" s="130" t="str">
        <f aca="false">IF($BD246&lt;&gt;Constants!$B$6,"",Constants!$B$19*IF($AH246,$AI246,0))</f>
        <v/>
      </c>
      <c r="AY246" s="130" t="str">
        <f aca="false">IF($BD246&lt;&gt;Constants!$B$6,"",IF(AND($AH246,ISNUMBER($AK246)),Constants!$B$20*(Constants!$B$21-$AK246),0))</f>
        <v/>
      </c>
      <c r="AZ246" s="130" t="str">
        <f aca="false">IF($BD246&lt;&gt;Constants!$B$6,"",IF($AG246,0,Constants!$B$12)+IF($AF246,0,Constants!$B$13)+IF($Y246,0,Constants!$B$14))</f>
        <v/>
      </c>
      <c r="BA246" s="131" t="str">
        <f aca="false">IF($BD246&lt;&gt;Constants!$B$6,"",Constants!$B$16+SUM($AW246:$AZ246))</f>
        <v/>
      </c>
      <c r="BB246" s="130" t="str">
        <f aca="false">IF($BD246&lt;&gt;Constants!$B$6,"",IF($AH246,$AJ246,""))</f>
        <v/>
      </c>
      <c r="BC246" s="132" t="str">
        <f aca="false">IF($BD246&lt;&gt;Constants!$B$6,"",$AX246)</f>
        <v/>
      </c>
      <c r="BD246" s="127" t="str">
        <f aca="false">IF(ISBLANK($C246),"",IF($AL246,Constants!$B$9,IF(COUNTA($E246:$T246)=0,Constants!$B$8,IF(NOT($X246),Constants!$B$7,IF(OR($AM246,$AV246),Constants!$B$10,Constants!$B$6)))))</f>
        <v/>
      </c>
      <c r="BE246" s="127" t="str">
        <f aca="false">IF(ISBLANK($C246),"",IF($BD246&lt;&gt;Constants!$B$6,$BD246,Constants!$B$11))</f>
        <v/>
      </c>
      <c r="BF246" s="130" t="str">
        <f aca="false">IF($BD246&lt;&gt;Constants!$B$6,"",IF($AU246="-&gt;",$BA246,$AR246))</f>
        <v/>
      </c>
      <c r="BG246" s="130" t="str">
        <f aca="false">IF($BD246&lt;&gt;Constants!$B$6,"",IF($W246,0,Constants!$B$15))</f>
        <v/>
      </c>
      <c r="BH246" s="130" t="str">
        <f aca="false">IF(ISBLANK($C246),"",IF($BD246&lt;&gt;Constants!$B$6,$BD246,SUM($BF246:$BG246)))</f>
        <v/>
      </c>
      <c r="BI246" s="127" t="str">
        <f aca="false">IF(ISBLANK($C246),"",IF($BD246&lt;&gt;Constants!$B$6,$BD246,RANK($BH246,$BH$9:$BH$508,1)))</f>
        <v/>
      </c>
      <c r="BJ246" s="130" t="str">
        <f aca="false">IF($BD246&lt;&gt;Constants!$B$6,"",IF($AU246="-&gt;",$BB246,$AS246))</f>
        <v/>
      </c>
      <c r="BK246" s="127" t="str">
        <f aca="false">IF(ISBLANK($C246),"",IF($BD246&lt;&gt;Constants!$B$6,$BD246,IF(ISNUMBER($BJ246),RANK($BJ246,$BJ$9:$BJ$508,1),COUNT($BJ$9:$BJ$508)+1)))</f>
        <v/>
      </c>
      <c r="BL246" s="130" t="str">
        <f aca="false">IF($BD246&lt;&gt;Constants!$B$6,"",IF($AU246="-&gt;",$BC246,$AT246))</f>
        <v/>
      </c>
      <c r="BM246" s="127" t="str">
        <f aca="false">IF(ISBLANK($C246),"",IF($BD246&lt;&gt;Constants!$B$6,$BD246,IF(ISNUMBER($BL246),RANK($BL246,$BL$9:$BL$508,1),COUNT($BL$9:$BL$508)+1)))</f>
        <v/>
      </c>
      <c r="BN246" s="130" t="str">
        <f aca="false">IF($BD246&lt;&gt;Constants!$B$6,"",IF($AU246="-&gt;",$AS246,$BB246))</f>
        <v/>
      </c>
      <c r="BO246" s="127" t="str">
        <f aca="false">IF(ISBLANK($C246),"",IF($BD246&lt;&gt;Constants!$B$6,$BD246,IF(ISNUMBER($BN246),RANK($BN246,$BN$9:$BN$508,1),COUNT($BN$9:$BN$508)+1)))</f>
        <v/>
      </c>
      <c r="BP246" s="130" t="str">
        <f aca="false">IF($BD246&lt;&gt;Constants!$B$6,"",IF($AU246="-&gt;",$AT246,$BC246))</f>
        <v/>
      </c>
      <c r="BQ246" s="127" t="str">
        <f aca="false">IF(ISBLANK($C246),"",IF($BD246&lt;&gt;Constants!$B$6,$BD246,IF(ISNUMBER($BP246),RANK($BP246,$BP$9:$BP$508,1),COUNT($BP$9:$BP$508)+1)))</f>
        <v/>
      </c>
      <c r="BR246" s="127" t="str">
        <f aca="false">IF(ISBLANK($C246),"",IF($BD246&lt;&gt;Constants!$B$6,$BD246,COUNTIFS($BI$9:$BI$508,"&lt;"&amp;$BI246)+COUNTIFS($BI$9:$BI$508,$BI246,$BK$9:$BK$508,"&lt;"&amp;$BK246)+COUNTIFS($BI$9:$BI$508,$BI246,$BK$9:$BK$508,$BK246,$BM$9:$BM$508,"&lt;"&amp;$BM246)+COUNTIFS($BI$9:$BI$508,$BI246,$BK$9:$BK$508,$BK246,$BM$9:$BM$508,$BM246,$BO$9:$BO$508,"&lt;"&amp;$BO246)+COUNTIFS($BI$9:$BI$508,$BI246,$BK$9:$BK$508,$BK246,$BM$9:$BM$508,$BM246,$BO$9:$BO$508,$BO246,$BQ$9:$BQ$508,"&lt;"&amp;$BQ246)+1))</f>
        <v/>
      </c>
      <c r="BS246" s="127" t="str">
        <f aca="false">IF(ISBLANK($C246),"",IF($BD246&lt;&gt;Constants!$B$6,$BD246,$BI246-$BR246))</f>
        <v/>
      </c>
      <c r="BT246" s="133"/>
      <c r="BU246" s="134"/>
      <c r="BV246" s="134" t="str">
        <f aca="false">IF(ISBLANK($C246),"",IF($BD246&lt;&gt;Constants!$B$6,"",IF($AU246="-&gt;",2,1)))</f>
        <v/>
      </c>
      <c r="BW246" s="135" t="str">
        <f aca="false">IF(ISBLANK($C246),"",IF($BD246&lt;&gt;Constants!$B$6,"",IF($AU246="-&gt;",$AW246,$AN246)))</f>
        <v/>
      </c>
      <c r="BX246" s="135" t="str">
        <f aca="false">IF(ISBLANK($C246),"",IF($BD246&lt;&gt;Constants!$B$6,"",IF($AU246="-&gt;",$AX246,$AO246)))</f>
        <v/>
      </c>
      <c r="BY246" s="135" t="str">
        <f aca="false">IF(ISBLANK($C246),"",IF($BD246&lt;&gt;Constants!$B$6,"",IF($AU246="-&gt;",$AY246,$AP246)))</f>
        <v/>
      </c>
      <c r="BZ246" s="135" t="str">
        <f aca="false">IF(ISBLANK($C246),"",IF($BD246&lt;&gt;Constants!$B$6,"",IF($AU246="-&gt;",$AZ246,$AQ246)+$BG246))</f>
        <v/>
      </c>
      <c r="CA246" s="136" t="str">
        <f aca="false">IF(ISBLANK($C246),"",IF($BD246&lt;&gt;Constants!$B$6,$BD246,$BH246))</f>
        <v/>
      </c>
      <c r="CB246" s="137" t="str">
        <f aca="false">IF(ISBLANK($C246),"",$BE246)</f>
        <v/>
      </c>
      <c r="CC246" s="138" t="str">
        <f aca="false">IF(ISBLANK($C246),"",$BS246)</f>
        <v/>
      </c>
      <c r="CD246" s="138" t="str">
        <f aca="false">IF(ISBLANK($C246),"",$BR246)</f>
        <v/>
      </c>
      <c r="CE246" s="139" t="str">
        <f aca="false">IF(ISBLANK($C246),"",IF($CD246=Constants!$B$9,COUNTA($C$9:$C$508)+2,IF($CD246=Constants!$B$8,COUNTA($C$9:$C$508)+1,IF($CD246=Constants!$B$7,COUNTA($C$9:$C$508),$CD246))))</f>
        <v/>
      </c>
      <c r="CF246" s="9"/>
      <c r="CG246" s="140" t="n">
        <f aca="false">IF(OR(ISNUMBER($CD246),$CD246=Constants!$B$9,$CD246=Constants!$B$7,$CD246=Constants!$B$8),1,0)</f>
        <v>0</v>
      </c>
      <c r="CH246" s="140" t="n">
        <v>238</v>
      </c>
      <c r="CI246" s="140" t="str">
        <f aca="false">IF(ISBLANK($C246),"",IF(ISNUMBER($CE246),$CE246+ROW($B246)/1000,""))</f>
        <v/>
      </c>
      <c r="CJ246" s="140" t="str">
        <f aca="false">IF(ISNUMBER($CI246),RANK($CI246,$CI$9:$CI$508,1),"")</f>
        <v/>
      </c>
      <c r="CK246" s="140" t="str">
        <f aca="false">IF(ISBLANK($C246),"",$B246)</f>
        <v/>
      </c>
      <c r="CL246" s="140" t="str">
        <f aca="false">IF(ISBLANK($C246),"",$C246)</f>
        <v/>
      </c>
      <c r="CM246" s="140" t="str">
        <f aca="false">IF(ISBLANK($C246),"",$D246)</f>
        <v/>
      </c>
      <c r="CN246" s="141" t="str">
        <f aca="false">$CB246</f>
        <v/>
      </c>
      <c r="CO246" s="142" t="str">
        <f aca="false">$CA246</f>
        <v/>
      </c>
      <c r="CP246" s="140" t="str">
        <f aca="false">IF(ISBLANK($C246),"",$CD246)</f>
        <v/>
      </c>
      <c r="CQ246" s="143" t="str">
        <f aca="false">IF($CH246&gt;$CG$8,"",VLOOKUP($CH246,$CJ$9:$CP$508,7,FALSE()))</f>
        <v/>
      </c>
      <c r="CR246" s="144" t="str">
        <f aca="false">IF($CH246&gt;$CG$8,"",VLOOKUP($CH246,$CJ$9:$CP$508,2,FALSE()))</f>
        <v/>
      </c>
      <c r="CS246" s="144" t="str">
        <f aca="false">IF($CH246&gt;$CG$8,"",VLOOKUP($CH246,$CJ$9:$CP$508,3,FALSE()))</f>
        <v/>
      </c>
      <c r="CT246" s="144" t="str">
        <f aca="false">IF($CH246&gt;$CG$8,"",VLOOKUP($CH246,$CJ$9:$CP$508,4,FALSE()))</f>
        <v/>
      </c>
      <c r="CU246" s="144" t="str">
        <f aca="false">IF($CH246&gt;$CG$8,"",VLOOKUP($CH246,$CJ$9:$CP$508,5,FALSE()))</f>
        <v/>
      </c>
      <c r="CV246" s="145" t="str">
        <f aca="false">IF($CH246&gt;$CG$8,"",VLOOKUP($CH246,$CJ$9:$CP$508,6,FALSE()))</f>
        <v/>
      </c>
      <c r="CW246" s="71"/>
    </row>
    <row r="247" customFormat="false" ht="15.75" hidden="false" customHeight="false" outlineLevel="0" collapsed="false">
      <c r="A247" s="9"/>
      <c r="B247" s="150"/>
      <c r="C247" s="151"/>
      <c r="D247" s="152"/>
      <c r="E247" s="170"/>
      <c r="F247" s="154"/>
      <c r="G247" s="155"/>
      <c r="H247" s="171"/>
      <c r="I247" s="159"/>
      <c r="J247" s="120"/>
      <c r="K247" s="121"/>
      <c r="L247" s="122"/>
      <c r="M247" s="158"/>
      <c r="N247" s="159"/>
      <c r="O247" s="159"/>
      <c r="P247" s="120"/>
      <c r="Q247" s="122"/>
      <c r="R247" s="122"/>
      <c r="S247" s="158"/>
      <c r="T247" s="159"/>
      <c r="U247" s="126"/>
      <c r="V247" s="127"/>
      <c r="W247" s="127" t="str">
        <f aca="false">IF(ISBLANK($C247),"",IF(E247=Constants!$B$2,TRUE(),IF(E247=Constants!$B$3,FALSE(),TRUE())))</f>
        <v/>
      </c>
      <c r="X247" s="127" t="str">
        <f aca="false">IF(ISBLANK($C247),"",IF(F247=Constants!$B$2,TRUE(),IF(F247=Constants!$B$3,FALSE(),TRUE())))</f>
        <v/>
      </c>
      <c r="Y247" s="127" t="str">
        <f aca="false">IF(ISBLANK($C247),"",IF(G247=Constants!$B$2,TRUE(),IF(G247=Constants!$B$3,FALSE(),TRUE())))</f>
        <v/>
      </c>
      <c r="Z247" s="127" t="str">
        <f aca="false">IF(ISBLANK($C247),"",IF(H247=Constants!$B$2,TRUE(),IF(H247=Constants!$B$3,FALSE(),TRUE())))</f>
        <v/>
      </c>
      <c r="AA247" s="127" t="str">
        <f aca="false">IF(ISBLANK($C247),"",IF(I247=Constants!$B$2,TRUE(),IF(I247=Constants!$B$3,FALSE(),TRUE())))</f>
        <v/>
      </c>
      <c r="AB247" s="127" t="str">
        <f aca="false">IF(ISBLANK($C247),"",IF(J247=Constants!$B$4,TRUE(),IF(J247=Constants!$B$5,FALSE(),COUNTA(K247:M247)&gt;0)))</f>
        <v/>
      </c>
      <c r="AC247" s="128" t="str">
        <f aca="false">IF(ISBLANK($C247),"",IF(ISNUMBER(K247),IF(K247&gt;=0,K247,""),""))</f>
        <v/>
      </c>
      <c r="AD247" s="129" t="str">
        <f aca="false">IF(ISBLANK($C247),"",IF(ISNUMBER(L247),IF(L247&gt;=0,L247,""),""))</f>
        <v/>
      </c>
      <c r="AE247" s="127" t="str">
        <f aca="false">IF(ISBLANK($C247),"",IF(ISNUMBER(M247),IF(M247&gt;=0,MIN(M247,Constants!$B$22),""),""))</f>
        <v/>
      </c>
      <c r="AF247" s="127" t="str">
        <f aca="false">IF(ISBLANK($C247),"",IF(N247=Constants!$B$2,TRUE(),IF(N247=Constants!$B$3,FALSE(),TRUE())))</f>
        <v/>
      </c>
      <c r="AG247" s="127" t="str">
        <f aca="false">IF(ISBLANK($C247),"",IF(O247=Constants!$B$2,TRUE(),IF(O247=Constants!$B$3,FALSE(),TRUE())))</f>
        <v/>
      </c>
      <c r="AH247" s="127" t="str">
        <f aca="false">IF(ISBLANK($C247),"",IF(P247=Constants!$B$4,TRUE(),IF(P247=Constants!$B$5,FALSE(),COUNTA(Q247:S247)&gt;0)))</f>
        <v/>
      </c>
      <c r="AI247" s="128" t="str">
        <f aca="false">IF(ISBLANK($C247),"",IF(ISNUMBER(Q247),IF(Q247&gt;=0,Q247,""),""))</f>
        <v/>
      </c>
      <c r="AJ247" s="129" t="str">
        <f aca="false">IF(ISBLANK($C247),"",IF(ISNUMBER(R247),IF(R247&gt;=0,R247,""),""))</f>
        <v/>
      </c>
      <c r="AK247" s="127" t="str">
        <f aca="false">IF(ISBLANK($C247),"",IF(ISNUMBER(S247),IF(S247&gt;=0,MIN(S247,Constants!$B$22),""),""))</f>
        <v/>
      </c>
      <c r="AL247" s="127" t="str">
        <f aca="false">IF(ISBLANK($C247),"",IF(T247=Constants!$B$2,TRUE(),IF(T247=Constants!$B$3,FALSE(),FALSE())))</f>
        <v/>
      </c>
      <c r="AM247" s="126" t="str">
        <f aca="false">IF(ISBLANK($C247),"",AND($AB247,OR($AC247="",$AD247="",AND(NOT(ISBLANK($M247)),$AE247=""))))</f>
        <v/>
      </c>
      <c r="AN247" s="129" t="str">
        <f aca="false">IF($BD247&lt;&gt;Constants!$B$6,"",IF($AB247,Constants!$B$17*$AD247,Constants!$B$18))</f>
        <v/>
      </c>
      <c r="AO247" s="130" t="str">
        <f aca="false">IF($BD247&lt;&gt;Constants!$B$6,"",Constants!$B$19*IF($AB247,$AC247,0))</f>
        <v/>
      </c>
      <c r="AP247" s="130" t="str">
        <f aca="false">IF($BD247&lt;&gt;Constants!$B$6,"",IF(AND($AB247,ISNUMBER($AE247)),Constants!$B$20*(Constants!$B$21-$AE247),0))</f>
        <v/>
      </c>
      <c r="AQ247" s="130" t="str">
        <f aca="false">IF($BD247&lt;&gt;Constants!$B$6,"",IF($AA247,0,Constants!$B$12)+IF($Z247,0,Constants!$B$13)+IF($Y247,0,Constants!$B$14))</f>
        <v/>
      </c>
      <c r="AR247" s="131" t="str">
        <f aca="false">IF($BD247&lt;&gt;Constants!$B$6,"",Constants!$B$16+SUM($AN247:$AQ247))</f>
        <v/>
      </c>
      <c r="AS247" s="130" t="str">
        <f aca="false">IF($BD247&lt;&gt;Constants!$B$6,"",IF($AB247,$AD247,""))</f>
        <v/>
      </c>
      <c r="AT247" s="132" t="str">
        <f aca="false">IF($BD247&lt;&gt;Constants!$B$6,"",$AO247)</f>
        <v/>
      </c>
      <c r="AU247" s="127" t="str">
        <f aca="false">IF($BD247&lt;&gt;Constants!$B$6,"",IF(OR($BA247&lt;$AR247,AND($BA247=$AR247,OR(AND(ISNUMBER($BB247),OR(NOT(ISNUMBER($AS247)),$BB247&lt;$AS247)),AND(OR(AND($BB247="",$AS247=""),AND(ISNUMBER($BB247),ISNUMBER($AS247),$BB247=$AS247)),$BC247&lt;$AT247)))),"-&gt;","&lt;-"))</f>
        <v/>
      </c>
      <c r="AV247" s="126" t="str">
        <f aca="false">IF(ISBLANK($C247),"",AND($AH247,OR($AI247="",$AJ247="",AND(NOT(ISBLANK($S247)),$AK247=""))))</f>
        <v/>
      </c>
      <c r="AW247" s="129" t="str">
        <f aca="false">IF($BD247&lt;&gt;Constants!$B$6,"",IF($AH247,Constants!$B$17*$AJ247,Constants!$B$18))</f>
        <v/>
      </c>
      <c r="AX247" s="130" t="str">
        <f aca="false">IF($BD247&lt;&gt;Constants!$B$6,"",Constants!$B$19*IF($AH247,$AI247,0))</f>
        <v/>
      </c>
      <c r="AY247" s="130" t="str">
        <f aca="false">IF($BD247&lt;&gt;Constants!$B$6,"",IF(AND($AH247,ISNUMBER($AK247)),Constants!$B$20*(Constants!$B$21-$AK247),0))</f>
        <v/>
      </c>
      <c r="AZ247" s="130" t="str">
        <f aca="false">IF($BD247&lt;&gt;Constants!$B$6,"",IF($AG247,0,Constants!$B$12)+IF($AF247,0,Constants!$B$13)+IF($Y247,0,Constants!$B$14))</f>
        <v/>
      </c>
      <c r="BA247" s="131" t="str">
        <f aca="false">IF($BD247&lt;&gt;Constants!$B$6,"",Constants!$B$16+SUM($AW247:$AZ247))</f>
        <v/>
      </c>
      <c r="BB247" s="130" t="str">
        <f aca="false">IF($BD247&lt;&gt;Constants!$B$6,"",IF($AH247,$AJ247,""))</f>
        <v/>
      </c>
      <c r="BC247" s="132" t="str">
        <f aca="false">IF($BD247&lt;&gt;Constants!$B$6,"",$AX247)</f>
        <v/>
      </c>
      <c r="BD247" s="127" t="str">
        <f aca="false">IF(ISBLANK($C247),"",IF($AL247,Constants!$B$9,IF(COUNTA($E247:$T247)=0,Constants!$B$8,IF(NOT($X247),Constants!$B$7,IF(OR($AM247,$AV247),Constants!$B$10,Constants!$B$6)))))</f>
        <v/>
      </c>
      <c r="BE247" s="127" t="str">
        <f aca="false">IF(ISBLANK($C247),"",IF($BD247&lt;&gt;Constants!$B$6,$BD247,Constants!$B$11))</f>
        <v/>
      </c>
      <c r="BF247" s="130" t="str">
        <f aca="false">IF($BD247&lt;&gt;Constants!$B$6,"",IF($AU247="-&gt;",$BA247,$AR247))</f>
        <v/>
      </c>
      <c r="BG247" s="130" t="str">
        <f aca="false">IF($BD247&lt;&gt;Constants!$B$6,"",IF($W247,0,Constants!$B$15))</f>
        <v/>
      </c>
      <c r="BH247" s="130" t="str">
        <f aca="false">IF(ISBLANK($C247),"",IF($BD247&lt;&gt;Constants!$B$6,$BD247,SUM($BF247:$BG247)))</f>
        <v/>
      </c>
      <c r="BI247" s="127" t="str">
        <f aca="false">IF(ISBLANK($C247),"",IF($BD247&lt;&gt;Constants!$B$6,$BD247,RANK($BH247,$BH$9:$BH$508,1)))</f>
        <v/>
      </c>
      <c r="BJ247" s="130" t="str">
        <f aca="false">IF($BD247&lt;&gt;Constants!$B$6,"",IF($AU247="-&gt;",$BB247,$AS247))</f>
        <v/>
      </c>
      <c r="BK247" s="127" t="str">
        <f aca="false">IF(ISBLANK($C247),"",IF($BD247&lt;&gt;Constants!$B$6,$BD247,IF(ISNUMBER($BJ247),RANK($BJ247,$BJ$9:$BJ$508,1),COUNT($BJ$9:$BJ$508)+1)))</f>
        <v/>
      </c>
      <c r="BL247" s="130" t="str">
        <f aca="false">IF($BD247&lt;&gt;Constants!$B$6,"",IF($AU247="-&gt;",$BC247,$AT247))</f>
        <v/>
      </c>
      <c r="BM247" s="127" t="str">
        <f aca="false">IF(ISBLANK($C247),"",IF($BD247&lt;&gt;Constants!$B$6,$BD247,IF(ISNUMBER($BL247),RANK($BL247,$BL$9:$BL$508,1),COUNT($BL$9:$BL$508)+1)))</f>
        <v/>
      </c>
      <c r="BN247" s="130" t="str">
        <f aca="false">IF($BD247&lt;&gt;Constants!$B$6,"",IF($AU247="-&gt;",$AS247,$BB247))</f>
        <v/>
      </c>
      <c r="BO247" s="127" t="str">
        <f aca="false">IF(ISBLANK($C247),"",IF($BD247&lt;&gt;Constants!$B$6,$BD247,IF(ISNUMBER($BN247),RANK($BN247,$BN$9:$BN$508,1),COUNT($BN$9:$BN$508)+1)))</f>
        <v/>
      </c>
      <c r="BP247" s="130" t="str">
        <f aca="false">IF($BD247&lt;&gt;Constants!$B$6,"",IF($AU247="-&gt;",$AT247,$BC247))</f>
        <v/>
      </c>
      <c r="BQ247" s="127" t="str">
        <f aca="false">IF(ISBLANK($C247),"",IF($BD247&lt;&gt;Constants!$B$6,$BD247,IF(ISNUMBER($BP247),RANK($BP247,$BP$9:$BP$508,1),COUNT($BP$9:$BP$508)+1)))</f>
        <v/>
      </c>
      <c r="BR247" s="127" t="str">
        <f aca="false">IF(ISBLANK($C247),"",IF($BD247&lt;&gt;Constants!$B$6,$BD247,COUNTIFS($BI$9:$BI$508,"&lt;"&amp;$BI247)+COUNTIFS($BI$9:$BI$508,$BI247,$BK$9:$BK$508,"&lt;"&amp;$BK247)+COUNTIFS($BI$9:$BI$508,$BI247,$BK$9:$BK$508,$BK247,$BM$9:$BM$508,"&lt;"&amp;$BM247)+COUNTIFS($BI$9:$BI$508,$BI247,$BK$9:$BK$508,$BK247,$BM$9:$BM$508,$BM247,$BO$9:$BO$508,"&lt;"&amp;$BO247)+COUNTIFS($BI$9:$BI$508,$BI247,$BK$9:$BK$508,$BK247,$BM$9:$BM$508,$BM247,$BO$9:$BO$508,$BO247,$BQ$9:$BQ$508,"&lt;"&amp;$BQ247)+1))</f>
        <v/>
      </c>
      <c r="BS247" s="127" t="str">
        <f aca="false">IF(ISBLANK($C247),"",IF($BD247&lt;&gt;Constants!$B$6,$BD247,$BI247-$BR247))</f>
        <v/>
      </c>
      <c r="BT247" s="133"/>
      <c r="BU247" s="134"/>
      <c r="BV247" s="134" t="str">
        <f aca="false">IF(ISBLANK($C247),"",IF($BD247&lt;&gt;Constants!$B$6,"",IF($AU247="-&gt;",2,1)))</f>
        <v/>
      </c>
      <c r="BW247" s="135" t="str">
        <f aca="false">IF(ISBLANK($C247),"",IF($BD247&lt;&gt;Constants!$B$6,"",IF($AU247="-&gt;",$AW247,$AN247)))</f>
        <v/>
      </c>
      <c r="BX247" s="135" t="str">
        <f aca="false">IF(ISBLANK($C247),"",IF($BD247&lt;&gt;Constants!$B$6,"",IF($AU247="-&gt;",$AX247,$AO247)))</f>
        <v/>
      </c>
      <c r="BY247" s="135" t="str">
        <f aca="false">IF(ISBLANK($C247),"",IF($BD247&lt;&gt;Constants!$B$6,"",IF($AU247="-&gt;",$AY247,$AP247)))</f>
        <v/>
      </c>
      <c r="BZ247" s="135" t="str">
        <f aca="false">IF(ISBLANK($C247),"",IF($BD247&lt;&gt;Constants!$B$6,"",IF($AU247="-&gt;",$AZ247,$AQ247)+$BG247))</f>
        <v/>
      </c>
      <c r="CA247" s="136" t="str">
        <f aca="false">IF(ISBLANK($C247),"",IF($BD247&lt;&gt;Constants!$B$6,$BD247,$BH247))</f>
        <v/>
      </c>
      <c r="CB247" s="137" t="str">
        <f aca="false">IF(ISBLANK($C247),"",$BE247)</f>
        <v/>
      </c>
      <c r="CC247" s="138" t="str">
        <f aca="false">IF(ISBLANK($C247),"",$BS247)</f>
        <v/>
      </c>
      <c r="CD247" s="138" t="str">
        <f aca="false">IF(ISBLANK($C247),"",$BR247)</f>
        <v/>
      </c>
      <c r="CE247" s="139" t="str">
        <f aca="false">IF(ISBLANK($C247),"",IF($CD247=Constants!$B$9,COUNTA($C$9:$C$508)+2,IF($CD247=Constants!$B$8,COUNTA($C$9:$C$508)+1,IF($CD247=Constants!$B$7,COUNTA($C$9:$C$508),$CD247))))</f>
        <v/>
      </c>
      <c r="CF247" s="9"/>
      <c r="CG247" s="140" t="n">
        <f aca="false">IF(OR(ISNUMBER($CD247),$CD247=Constants!$B$9,$CD247=Constants!$B$7,$CD247=Constants!$B$8),1,0)</f>
        <v>0</v>
      </c>
      <c r="CH247" s="140" t="n">
        <v>239</v>
      </c>
      <c r="CI247" s="140" t="str">
        <f aca="false">IF(ISBLANK($C247),"",IF(ISNUMBER($CE247),$CE247+ROW($B247)/1000,""))</f>
        <v/>
      </c>
      <c r="CJ247" s="140" t="str">
        <f aca="false">IF(ISNUMBER($CI247),RANK($CI247,$CI$9:$CI$508,1),"")</f>
        <v/>
      </c>
      <c r="CK247" s="140" t="str">
        <f aca="false">IF(ISBLANK($C247),"",$B247)</f>
        <v/>
      </c>
      <c r="CL247" s="140" t="str">
        <f aca="false">IF(ISBLANK($C247),"",$C247)</f>
        <v/>
      </c>
      <c r="CM247" s="140" t="str">
        <f aca="false">IF(ISBLANK($C247),"",$D247)</f>
        <v/>
      </c>
      <c r="CN247" s="141" t="str">
        <f aca="false">$CB247</f>
        <v/>
      </c>
      <c r="CO247" s="142" t="str">
        <f aca="false">$CA247</f>
        <v/>
      </c>
      <c r="CP247" s="140" t="str">
        <f aca="false">IF(ISBLANK($C247),"",$CD247)</f>
        <v/>
      </c>
      <c r="CQ247" s="143" t="str">
        <f aca="false">IF($CH247&gt;$CG$8,"",VLOOKUP($CH247,$CJ$9:$CP$508,7,FALSE()))</f>
        <v/>
      </c>
      <c r="CR247" s="144" t="str">
        <f aca="false">IF($CH247&gt;$CG$8,"",VLOOKUP($CH247,$CJ$9:$CP$508,2,FALSE()))</f>
        <v/>
      </c>
      <c r="CS247" s="144" t="str">
        <f aca="false">IF($CH247&gt;$CG$8,"",VLOOKUP($CH247,$CJ$9:$CP$508,3,FALSE()))</f>
        <v/>
      </c>
      <c r="CT247" s="144" t="str">
        <f aca="false">IF($CH247&gt;$CG$8,"",VLOOKUP($CH247,$CJ$9:$CP$508,4,FALSE()))</f>
        <v/>
      </c>
      <c r="CU247" s="144" t="str">
        <f aca="false">IF($CH247&gt;$CG$8,"",VLOOKUP($CH247,$CJ$9:$CP$508,5,FALSE()))</f>
        <v/>
      </c>
      <c r="CV247" s="145" t="str">
        <f aca="false">IF($CH247&gt;$CG$8,"",VLOOKUP($CH247,$CJ$9:$CP$508,6,FALSE()))</f>
        <v/>
      </c>
      <c r="CW247" s="71"/>
    </row>
    <row r="248" customFormat="false" ht="15.75" hidden="false" customHeight="false" outlineLevel="0" collapsed="false">
      <c r="A248" s="9"/>
      <c r="B248" s="150"/>
      <c r="C248" s="151"/>
      <c r="D248" s="152"/>
      <c r="E248" s="170"/>
      <c r="F248" s="154"/>
      <c r="G248" s="155"/>
      <c r="H248" s="171"/>
      <c r="I248" s="159"/>
      <c r="J248" s="120"/>
      <c r="K248" s="121"/>
      <c r="L248" s="122"/>
      <c r="M248" s="158"/>
      <c r="N248" s="159"/>
      <c r="O248" s="159"/>
      <c r="P248" s="120"/>
      <c r="Q248" s="122"/>
      <c r="R248" s="122"/>
      <c r="S248" s="158"/>
      <c r="T248" s="159"/>
      <c r="U248" s="126"/>
      <c r="V248" s="127"/>
      <c r="W248" s="127" t="str">
        <f aca="false">IF(ISBLANK($C248),"",IF(E248=Constants!$B$2,TRUE(),IF(E248=Constants!$B$3,FALSE(),TRUE())))</f>
        <v/>
      </c>
      <c r="X248" s="127" t="str">
        <f aca="false">IF(ISBLANK($C248),"",IF(F248=Constants!$B$2,TRUE(),IF(F248=Constants!$B$3,FALSE(),TRUE())))</f>
        <v/>
      </c>
      <c r="Y248" s="127" t="str">
        <f aca="false">IF(ISBLANK($C248),"",IF(G248=Constants!$B$2,TRUE(),IF(G248=Constants!$B$3,FALSE(),TRUE())))</f>
        <v/>
      </c>
      <c r="Z248" s="127" t="str">
        <f aca="false">IF(ISBLANK($C248),"",IF(H248=Constants!$B$2,TRUE(),IF(H248=Constants!$B$3,FALSE(),TRUE())))</f>
        <v/>
      </c>
      <c r="AA248" s="127" t="str">
        <f aca="false">IF(ISBLANK($C248),"",IF(I248=Constants!$B$2,TRUE(),IF(I248=Constants!$B$3,FALSE(),TRUE())))</f>
        <v/>
      </c>
      <c r="AB248" s="127" t="str">
        <f aca="false">IF(ISBLANK($C248),"",IF(J248=Constants!$B$4,TRUE(),IF(J248=Constants!$B$5,FALSE(),COUNTA(K248:M248)&gt;0)))</f>
        <v/>
      </c>
      <c r="AC248" s="128" t="str">
        <f aca="false">IF(ISBLANK($C248),"",IF(ISNUMBER(K248),IF(K248&gt;=0,K248,""),""))</f>
        <v/>
      </c>
      <c r="AD248" s="129" t="str">
        <f aca="false">IF(ISBLANK($C248),"",IF(ISNUMBER(L248),IF(L248&gt;=0,L248,""),""))</f>
        <v/>
      </c>
      <c r="AE248" s="127" t="str">
        <f aca="false">IF(ISBLANK($C248),"",IF(ISNUMBER(M248),IF(M248&gt;=0,MIN(M248,Constants!$B$22),""),""))</f>
        <v/>
      </c>
      <c r="AF248" s="127" t="str">
        <f aca="false">IF(ISBLANK($C248),"",IF(N248=Constants!$B$2,TRUE(),IF(N248=Constants!$B$3,FALSE(),TRUE())))</f>
        <v/>
      </c>
      <c r="AG248" s="127" t="str">
        <f aca="false">IF(ISBLANK($C248),"",IF(O248=Constants!$B$2,TRUE(),IF(O248=Constants!$B$3,FALSE(),TRUE())))</f>
        <v/>
      </c>
      <c r="AH248" s="127" t="str">
        <f aca="false">IF(ISBLANK($C248),"",IF(P248=Constants!$B$4,TRUE(),IF(P248=Constants!$B$5,FALSE(),COUNTA(Q248:S248)&gt;0)))</f>
        <v/>
      </c>
      <c r="AI248" s="128" t="str">
        <f aca="false">IF(ISBLANK($C248),"",IF(ISNUMBER(Q248),IF(Q248&gt;=0,Q248,""),""))</f>
        <v/>
      </c>
      <c r="AJ248" s="129" t="str">
        <f aca="false">IF(ISBLANK($C248),"",IF(ISNUMBER(R248),IF(R248&gt;=0,R248,""),""))</f>
        <v/>
      </c>
      <c r="AK248" s="127" t="str">
        <f aca="false">IF(ISBLANK($C248),"",IF(ISNUMBER(S248),IF(S248&gt;=0,MIN(S248,Constants!$B$22),""),""))</f>
        <v/>
      </c>
      <c r="AL248" s="127" t="str">
        <f aca="false">IF(ISBLANK($C248),"",IF(T248=Constants!$B$2,TRUE(),IF(T248=Constants!$B$3,FALSE(),FALSE())))</f>
        <v/>
      </c>
      <c r="AM248" s="126" t="str">
        <f aca="false">IF(ISBLANK($C248),"",AND($AB248,OR($AC248="",$AD248="",AND(NOT(ISBLANK($M248)),$AE248=""))))</f>
        <v/>
      </c>
      <c r="AN248" s="129" t="str">
        <f aca="false">IF($BD248&lt;&gt;Constants!$B$6,"",IF($AB248,Constants!$B$17*$AD248,Constants!$B$18))</f>
        <v/>
      </c>
      <c r="AO248" s="130" t="str">
        <f aca="false">IF($BD248&lt;&gt;Constants!$B$6,"",Constants!$B$19*IF($AB248,$AC248,0))</f>
        <v/>
      </c>
      <c r="AP248" s="130" t="str">
        <f aca="false">IF($BD248&lt;&gt;Constants!$B$6,"",IF(AND($AB248,ISNUMBER($AE248)),Constants!$B$20*(Constants!$B$21-$AE248),0))</f>
        <v/>
      </c>
      <c r="AQ248" s="130" t="str">
        <f aca="false">IF($BD248&lt;&gt;Constants!$B$6,"",IF($AA248,0,Constants!$B$12)+IF($Z248,0,Constants!$B$13)+IF($Y248,0,Constants!$B$14))</f>
        <v/>
      </c>
      <c r="AR248" s="131" t="str">
        <f aca="false">IF($BD248&lt;&gt;Constants!$B$6,"",Constants!$B$16+SUM($AN248:$AQ248))</f>
        <v/>
      </c>
      <c r="AS248" s="130" t="str">
        <f aca="false">IF($BD248&lt;&gt;Constants!$B$6,"",IF($AB248,$AD248,""))</f>
        <v/>
      </c>
      <c r="AT248" s="132" t="str">
        <f aca="false">IF($BD248&lt;&gt;Constants!$B$6,"",$AO248)</f>
        <v/>
      </c>
      <c r="AU248" s="127" t="str">
        <f aca="false">IF($BD248&lt;&gt;Constants!$B$6,"",IF(OR($BA248&lt;$AR248,AND($BA248=$AR248,OR(AND(ISNUMBER($BB248),OR(NOT(ISNUMBER($AS248)),$BB248&lt;$AS248)),AND(OR(AND($BB248="",$AS248=""),AND(ISNUMBER($BB248),ISNUMBER($AS248),$BB248=$AS248)),$BC248&lt;$AT248)))),"-&gt;","&lt;-"))</f>
        <v/>
      </c>
      <c r="AV248" s="126" t="str">
        <f aca="false">IF(ISBLANK($C248),"",AND($AH248,OR($AI248="",$AJ248="",AND(NOT(ISBLANK($S248)),$AK248=""))))</f>
        <v/>
      </c>
      <c r="AW248" s="129" t="str">
        <f aca="false">IF($BD248&lt;&gt;Constants!$B$6,"",IF($AH248,Constants!$B$17*$AJ248,Constants!$B$18))</f>
        <v/>
      </c>
      <c r="AX248" s="130" t="str">
        <f aca="false">IF($BD248&lt;&gt;Constants!$B$6,"",Constants!$B$19*IF($AH248,$AI248,0))</f>
        <v/>
      </c>
      <c r="AY248" s="130" t="str">
        <f aca="false">IF($BD248&lt;&gt;Constants!$B$6,"",IF(AND($AH248,ISNUMBER($AK248)),Constants!$B$20*(Constants!$B$21-$AK248),0))</f>
        <v/>
      </c>
      <c r="AZ248" s="130" t="str">
        <f aca="false">IF($BD248&lt;&gt;Constants!$B$6,"",IF($AG248,0,Constants!$B$12)+IF($AF248,0,Constants!$B$13)+IF($Y248,0,Constants!$B$14))</f>
        <v/>
      </c>
      <c r="BA248" s="131" t="str">
        <f aca="false">IF($BD248&lt;&gt;Constants!$B$6,"",Constants!$B$16+SUM($AW248:$AZ248))</f>
        <v/>
      </c>
      <c r="BB248" s="130" t="str">
        <f aca="false">IF($BD248&lt;&gt;Constants!$B$6,"",IF($AH248,$AJ248,""))</f>
        <v/>
      </c>
      <c r="BC248" s="132" t="str">
        <f aca="false">IF($BD248&lt;&gt;Constants!$B$6,"",$AX248)</f>
        <v/>
      </c>
      <c r="BD248" s="127" t="str">
        <f aca="false">IF(ISBLANK($C248),"",IF($AL248,Constants!$B$9,IF(COUNTA($E248:$T248)=0,Constants!$B$8,IF(NOT($X248),Constants!$B$7,IF(OR($AM248,$AV248),Constants!$B$10,Constants!$B$6)))))</f>
        <v/>
      </c>
      <c r="BE248" s="127" t="str">
        <f aca="false">IF(ISBLANK($C248),"",IF($BD248&lt;&gt;Constants!$B$6,$BD248,Constants!$B$11))</f>
        <v/>
      </c>
      <c r="BF248" s="130" t="str">
        <f aca="false">IF($BD248&lt;&gt;Constants!$B$6,"",IF($AU248="-&gt;",$BA248,$AR248))</f>
        <v/>
      </c>
      <c r="BG248" s="130" t="str">
        <f aca="false">IF($BD248&lt;&gt;Constants!$B$6,"",IF($W248,0,Constants!$B$15))</f>
        <v/>
      </c>
      <c r="BH248" s="130" t="str">
        <f aca="false">IF(ISBLANK($C248),"",IF($BD248&lt;&gt;Constants!$B$6,$BD248,SUM($BF248:$BG248)))</f>
        <v/>
      </c>
      <c r="BI248" s="127" t="str">
        <f aca="false">IF(ISBLANK($C248),"",IF($BD248&lt;&gt;Constants!$B$6,$BD248,RANK($BH248,$BH$9:$BH$508,1)))</f>
        <v/>
      </c>
      <c r="BJ248" s="130" t="str">
        <f aca="false">IF($BD248&lt;&gt;Constants!$B$6,"",IF($AU248="-&gt;",$BB248,$AS248))</f>
        <v/>
      </c>
      <c r="BK248" s="127" t="str">
        <f aca="false">IF(ISBLANK($C248),"",IF($BD248&lt;&gt;Constants!$B$6,$BD248,IF(ISNUMBER($BJ248),RANK($BJ248,$BJ$9:$BJ$508,1),COUNT($BJ$9:$BJ$508)+1)))</f>
        <v/>
      </c>
      <c r="BL248" s="130" t="str">
        <f aca="false">IF($BD248&lt;&gt;Constants!$B$6,"",IF($AU248="-&gt;",$BC248,$AT248))</f>
        <v/>
      </c>
      <c r="BM248" s="127" t="str">
        <f aca="false">IF(ISBLANK($C248),"",IF($BD248&lt;&gt;Constants!$B$6,$BD248,IF(ISNUMBER($BL248),RANK($BL248,$BL$9:$BL$508,1),COUNT($BL$9:$BL$508)+1)))</f>
        <v/>
      </c>
      <c r="BN248" s="130" t="str">
        <f aca="false">IF($BD248&lt;&gt;Constants!$B$6,"",IF($AU248="-&gt;",$AS248,$BB248))</f>
        <v/>
      </c>
      <c r="BO248" s="127" t="str">
        <f aca="false">IF(ISBLANK($C248),"",IF($BD248&lt;&gt;Constants!$B$6,$BD248,IF(ISNUMBER($BN248),RANK($BN248,$BN$9:$BN$508,1),COUNT($BN$9:$BN$508)+1)))</f>
        <v/>
      </c>
      <c r="BP248" s="130" t="str">
        <f aca="false">IF($BD248&lt;&gt;Constants!$B$6,"",IF($AU248="-&gt;",$AT248,$BC248))</f>
        <v/>
      </c>
      <c r="BQ248" s="127" t="str">
        <f aca="false">IF(ISBLANK($C248),"",IF($BD248&lt;&gt;Constants!$B$6,$BD248,IF(ISNUMBER($BP248),RANK($BP248,$BP$9:$BP$508,1),COUNT($BP$9:$BP$508)+1)))</f>
        <v/>
      </c>
      <c r="BR248" s="127" t="str">
        <f aca="false">IF(ISBLANK($C248),"",IF($BD248&lt;&gt;Constants!$B$6,$BD248,COUNTIFS($BI$9:$BI$508,"&lt;"&amp;$BI248)+COUNTIFS($BI$9:$BI$508,$BI248,$BK$9:$BK$508,"&lt;"&amp;$BK248)+COUNTIFS($BI$9:$BI$508,$BI248,$BK$9:$BK$508,$BK248,$BM$9:$BM$508,"&lt;"&amp;$BM248)+COUNTIFS($BI$9:$BI$508,$BI248,$BK$9:$BK$508,$BK248,$BM$9:$BM$508,$BM248,$BO$9:$BO$508,"&lt;"&amp;$BO248)+COUNTIFS($BI$9:$BI$508,$BI248,$BK$9:$BK$508,$BK248,$BM$9:$BM$508,$BM248,$BO$9:$BO$508,$BO248,$BQ$9:$BQ$508,"&lt;"&amp;$BQ248)+1))</f>
        <v/>
      </c>
      <c r="BS248" s="127" t="str">
        <f aca="false">IF(ISBLANK($C248),"",IF($BD248&lt;&gt;Constants!$B$6,$BD248,$BI248-$BR248))</f>
        <v/>
      </c>
      <c r="BT248" s="133"/>
      <c r="BU248" s="134"/>
      <c r="BV248" s="134" t="str">
        <f aca="false">IF(ISBLANK($C248),"",IF($BD248&lt;&gt;Constants!$B$6,"",IF($AU248="-&gt;",2,1)))</f>
        <v/>
      </c>
      <c r="BW248" s="135" t="str">
        <f aca="false">IF(ISBLANK($C248),"",IF($BD248&lt;&gt;Constants!$B$6,"",IF($AU248="-&gt;",$AW248,$AN248)))</f>
        <v/>
      </c>
      <c r="BX248" s="135" t="str">
        <f aca="false">IF(ISBLANK($C248),"",IF($BD248&lt;&gt;Constants!$B$6,"",IF($AU248="-&gt;",$AX248,$AO248)))</f>
        <v/>
      </c>
      <c r="BY248" s="135" t="str">
        <f aca="false">IF(ISBLANK($C248),"",IF($BD248&lt;&gt;Constants!$B$6,"",IF($AU248="-&gt;",$AY248,$AP248)))</f>
        <v/>
      </c>
      <c r="BZ248" s="135" t="str">
        <f aca="false">IF(ISBLANK($C248),"",IF($BD248&lt;&gt;Constants!$B$6,"",IF($AU248="-&gt;",$AZ248,$AQ248)+$BG248))</f>
        <v/>
      </c>
      <c r="CA248" s="136" t="str">
        <f aca="false">IF(ISBLANK($C248),"",IF($BD248&lt;&gt;Constants!$B$6,$BD248,$BH248))</f>
        <v/>
      </c>
      <c r="CB248" s="137" t="str">
        <f aca="false">IF(ISBLANK($C248),"",$BE248)</f>
        <v/>
      </c>
      <c r="CC248" s="138" t="str">
        <f aca="false">IF(ISBLANK($C248),"",$BS248)</f>
        <v/>
      </c>
      <c r="CD248" s="138" t="str">
        <f aca="false">IF(ISBLANK($C248),"",$BR248)</f>
        <v/>
      </c>
      <c r="CE248" s="139" t="str">
        <f aca="false">IF(ISBLANK($C248),"",IF($CD248=Constants!$B$9,COUNTA($C$9:$C$508)+2,IF($CD248=Constants!$B$8,COUNTA($C$9:$C$508)+1,IF($CD248=Constants!$B$7,COUNTA($C$9:$C$508),$CD248))))</f>
        <v/>
      </c>
      <c r="CF248" s="9"/>
      <c r="CG248" s="140" t="n">
        <f aca="false">IF(OR(ISNUMBER($CD248),$CD248=Constants!$B$9,$CD248=Constants!$B$7,$CD248=Constants!$B$8),1,0)</f>
        <v>0</v>
      </c>
      <c r="CH248" s="140" t="n">
        <v>240</v>
      </c>
      <c r="CI248" s="140" t="str">
        <f aca="false">IF(ISBLANK($C248),"",IF(ISNUMBER($CE248),$CE248+ROW($B248)/1000,""))</f>
        <v/>
      </c>
      <c r="CJ248" s="140" t="str">
        <f aca="false">IF(ISNUMBER($CI248),RANK($CI248,$CI$9:$CI$508,1),"")</f>
        <v/>
      </c>
      <c r="CK248" s="140" t="str">
        <f aca="false">IF(ISBLANK($C248),"",$B248)</f>
        <v/>
      </c>
      <c r="CL248" s="140" t="str">
        <f aca="false">IF(ISBLANK($C248),"",$C248)</f>
        <v/>
      </c>
      <c r="CM248" s="140" t="str">
        <f aca="false">IF(ISBLANK($C248),"",$D248)</f>
        <v/>
      </c>
      <c r="CN248" s="141" t="str">
        <f aca="false">$CB248</f>
        <v/>
      </c>
      <c r="CO248" s="142" t="str">
        <f aca="false">$CA248</f>
        <v/>
      </c>
      <c r="CP248" s="140" t="str">
        <f aca="false">IF(ISBLANK($C248),"",$CD248)</f>
        <v/>
      </c>
      <c r="CQ248" s="143" t="str">
        <f aca="false">IF($CH248&gt;$CG$8,"",VLOOKUP($CH248,$CJ$9:$CP$508,7,FALSE()))</f>
        <v/>
      </c>
      <c r="CR248" s="144" t="str">
        <f aca="false">IF($CH248&gt;$CG$8,"",VLOOKUP($CH248,$CJ$9:$CP$508,2,FALSE()))</f>
        <v/>
      </c>
      <c r="CS248" s="144" t="str">
        <f aca="false">IF($CH248&gt;$CG$8,"",VLOOKUP($CH248,$CJ$9:$CP$508,3,FALSE()))</f>
        <v/>
      </c>
      <c r="CT248" s="144" t="str">
        <f aca="false">IF($CH248&gt;$CG$8,"",VLOOKUP($CH248,$CJ$9:$CP$508,4,FALSE()))</f>
        <v/>
      </c>
      <c r="CU248" s="144" t="str">
        <f aca="false">IF($CH248&gt;$CG$8,"",VLOOKUP($CH248,$CJ$9:$CP$508,5,FALSE()))</f>
        <v/>
      </c>
      <c r="CV248" s="145" t="str">
        <f aca="false">IF($CH248&gt;$CG$8,"",VLOOKUP($CH248,$CJ$9:$CP$508,6,FALSE()))</f>
        <v/>
      </c>
      <c r="CW248" s="71"/>
    </row>
    <row r="249" customFormat="false" ht="15.75" hidden="false" customHeight="false" outlineLevel="0" collapsed="false">
      <c r="A249" s="9"/>
      <c r="B249" s="72"/>
      <c r="C249" s="73"/>
      <c r="D249" s="160"/>
      <c r="E249" s="168"/>
      <c r="F249" s="162"/>
      <c r="G249" s="163"/>
      <c r="H249" s="169"/>
      <c r="I249" s="167"/>
      <c r="J249" s="80"/>
      <c r="K249" s="81"/>
      <c r="L249" s="82"/>
      <c r="M249" s="166"/>
      <c r="N249" s="167"/>
      <c r="O249" s="167"/>
      <c r="P249" s="80"/>
      <c r="Q249" s="82"/>
      <c r="R249" s="82"/>
      <c r="S249" s="166"/>
      <c r="T249" s="167"/>
      <c r="U249" s="86"/>
      <c r="V249" s="87"/>
      <c r="W249" s="87" t="str">
        <f aca="false">IF(ISBLANK($C249),"",IF(E249=Constants!$B$2,TRUE(),IF(E249=Constants!$B$3,FALSE(),TRUE())))</f>
        <v/>
      </c>
      <c r="X249" s="87" t="str">
        <f aca="false">IF(ISBLANK($C249),"",IF(F249=Constants!$B$2,TRUE(),IF(F249=Constants!$B$3,FALSE(),TRUE())))</f>
        <v/>
      </c>
      <c r="Y249" s="87" t="str">
        <f aca="false">IF(ISBLANK($C249),"",IF(G249=Constants!$B$2,TRUE(),IF(G249=Constants!$B$3,FALSE(),TRUE())))</f>
        <v/>
      </c>
      <c r="Z249" s="87" t="str">
        <f aca="false">IF(ISBLANK($C249),"",IF(H249=Constants!$B$2,TRUE(),IF(H249=Constants!$B$3,FALSE(),TRUE())))</f>
        <v/>
      </c>
      <c r="AA249" s="87" t="str">
        <f aca="false">IF(ISBLANK($C249),"",IF(I249=Constants!$B$2,TRUE(),IF(I249=Constants!$B$3,FALSE(),TRUE())))</f>
        <v/>
      </c>
      <c r="AB249" s="87" t="str">
        <f aca="false">IF(ISBLANK($C249),"",IF(J249=Constants!$B$4,TRUE(),IF(J249=Constants!$B$5,FALSE(),COUNTA(K249:M249)&gt;0)))</f>
        <v/>
      </c>
      <c r="AC249" s="88" t="str">
        <f aca="false">IF(ISBLANK($C249),"",IF(ISNUMBER(K249),IF(K249&gt;=0,K249,""),""))</f>
        <v/>
      </c>
      <c r="AD249" s="89" t="str">
        <f aca="false">IF(ISBLANK($C249),"",IF(ISNUMBER(L249),IF(L249&gt;=0,L249,""),""))</f>
        <v/>
      </c>
      <c r="AE249" s="87" t="str">
        <f aca="false">IF(ISBLANK($C249),"",IF(ISNUMBER(M249),IF(M249&gt;=0,MIN(M249,Constants!$B$22),""),""))</f>
        <v/>
      </c>
      <c r="AF249" s="87" t="str">
        <f aca="false">IF(ISBLANK($C249),"",IF(N249=Constants!$B$2,TRUE(),IF(N249=Constants!$B$3,FALSE(),TRUE())))</f>
        <v/>
      </c>
      <c r="AG249" s="87" t="str">
        <f aca="false">IF(ISBLANK($C249),"",IF(O249=Constants!$B$2,TRUE(),IF(O249=Constants!$B$3,FALSE(),TRUE())))</f>
        <v/>
      </c>
      <c r="AH249" s="87" t="str">
        <f aca="false">IF(ISBLANK($C249),"",IF(P249=Constants!$B$4,TRUE(),IF(P249=Constants!$B$5,FALSE(),COUNTA(Q249:S249)&gt;0)))</f>
        <v/>
      </c>
      <c r="AI249" s="88" t="str">
        <f aca="false">IF(ISBLANK($C249),"",IF(ISNUMBER(Q249),IF(Q249&gt;=0,Q249,""),""))</f>
        <v/>
      </c>
      <c r="AJ249" s="89" t="str">
        <f aca="false">IF(ISBLANK($C249),"",IF(ISNUMBER(R249),IF(R249&gt;=0,R249,""),""))</f>
        <v/>
      </c>
      <c r="AK249" s="87" t="str">
        <f aca="false">IF(ISBLANK($C249),"",IF(ISNUMBER(S249),IF(S249&gt;=0,MIN(S249,Constants!$B$22),""),""))</f>
        <v/>
      </c>
      <c r="AL249" s="87" t="str">
        <f aca="false">IF(ISBLANK($C249),"",IF(T249=Constants!$B$2,TRUE(),IF(T249=Constants!$B$3,FALSE(),FALSE())))</f>
        <v/>
      </c>
      <c r="AM249" s="86" t="str">
        <f aca="false">IF(ISBLANK($C249),"",AND($AB249,OR($AC249="",$AD249="",AND(NOT(ISBLANK($M249)),$AE249=""))))</f>
        <v/>
      </c>
      <c r="AN249" s="89" t="str">
        <f aca="false">IF($BD249&lt;&gt;Constants!$B$6,"",IF($AB249,Constants!$B$17*$AD249,Constants!$B$18))</f>
        <v/>
      </c>
      <c r="AO249" s="91" t="str">
        <f aca="false">IF($BD249&lt;&gt;Constants!$B$6,"",Constants!$B$19*IF($AB249,$AC249,0))</f>
        <v/>
      </c>
      <c r="AP249" s="91" t="str">
        <f aca="false">IF($BD249&lt;&gt;Constants!$B$6,"",IF(AND($AB249,ISNUMBER($AE249)),Constants!$B$20*(Constants!$B$21-$AE249),0))</f>
        <v/>
      </c>
      <c r="AQ249" s="91" t="str">
        <f aca="false">IF($BD249&lt;&gt;Constants!$B$6,"",IF($AA249,0,Constants!$B$12)+IF($Z249,0,Constants!$B$13)+IF($Y249,0,Constants!$B$14))</f>
        <v/>
      </c>
      <c r="AR249" s="92" t="str">
        <f aca="false">IF($BD249&lt;&gt;Constants!$B$6,"",Constants!$B$16+SUM($AN249:$AQ249))</f>
        <v/>
      </c>
      <c r="AS249" s="91" t="str">
        <f aca="false">IF($BD249&lt;&gt;Constants!$B$6,"",IF($AB249,$AD249,""))</f>
        <v/>
      </c>
      <c r="AT249" s="93" t="str">
        <f aca="false">IF($BD249&lt;&gt;Constants!$B$6,"",$AO249)</f>
        <v/>
      </c>
      <c r="AU249" s="87" t="str">
        <f aca="false">IF($BD249&lt;&gt;Constants!$B$6,"",IF(OR($BA249&lt;$AR249,AND($BA249=$AR249,OR(AND(ISNUMBER($BB249),OR(NOT(ISNUMBER($AS249)),$BB249&lt;$AS249)),AND(OR(AND($BB249="",$AS249=""),AND(ISNUMBER($BB249),ISNUMBER($AS249),$BB249=$AS249)),$BC249&lt;$AT249)))),"-&gt;","&lt;-"))</f>
        <v/>
      </c>
      <c r="AV249" s="86" t="str">
        <f aca="false">IF(ISBLANK($C249),"",AND($AH249,OR($AI249="",$AJ249="",AND(NOT(ISBLANK($S249)),$AK249=""))))</f>
        <v/>
      </c>
      <c r="AW249" s="89" t="str">
        <f aca="false">IF($BD249&lt;&gt;Constants!$B$6,"",IF($AH249,Constants!$B$17*$AJ249,Constants!$B$18))</f>
        <v/>
      </c>
      <c r="AX249" s="91" t="str">
        <f aca="false">IF($BD249&lt;&gt;Constants!$B$6,"",Constants!$B$19*IF($AH249,$AI249,0))</f>
        <v/>
      </c>
      <c r="AY249" s="91" t="str">
        <f aca="false">IF($BD249&lt;&gt;Constants!$B$6,"",IF(AND($AH249,ISNUMBER($AK249)),Constants!$B$20*(Constants!$B$21-$AK249),0))</f>
        <v/>
      </c>
      <c r="AZ249" s="91" t="str">
        <f aca="false">IF($BD249&lt;&gt;Constants!$B$6,"",IF($AG249,0,Constants!$B$12)+IF($AF249,0,Constants!$B$13)+IF($Y249,0,Constants!$B$14))</f>
        <v/>
      </c>
      <c r="BA249" s="92" t="str">
        <f aca="false">IF($BD249&lt;&gt;Constants!$B$6,"",Constants!$B$16+SUM($AW249:$AZ249))</f>
        <v/>
      </c>
      <c r="BB249" s="91" t="str">
        <f aca="false">IF($BD249&lt;&gt;Constants!$B$6,"",IF($AH249,$AJ249,""))</f>
        <v/>
      </c>
      <c r="BC249" s="93" t="str">
        <f aca="false">IF($BD249&lt;&gt;Constants!$B$6,"",$AX249)</f>
        <v/>
      </c>
      <c r="BD249" s="87" t="str">
        <f aca="false">IF(ISBLANK($C249),"",IF($AL249,Constants!$B$9,IF(COUNTA($E249:$T249)=0,Constants!$B$8,IF(NOT($X249),Constants!$B$7,IF(OR($AM249,$AV249),Constants!$B$10,Constants!$B$6)))))</f>
        <v/>
      </c>
      <c r="BE249" s="87" t="str">
        <f aca="false">IF(ISBLANK($C249),"",IF($BD249&lt;&gt;Constants!$B$6,$BD249,Constants!$B$11))</f>
        <v/>
      </c>
      <c r="BF249" s="91" t="str">
        <f aca="false">IF($BD249&lt;&gt;Constants!$B$6,"",IF($AU249="-&gt;",$BA249,$AR249))</f>
        <v/>
      </c>
      <c r="BG249" s="91" t="str">
        <f aca="false">IF($BD249&lt;&gt;Constants!$B$6,"",IF($W249,0,Constants!$B$15))</f>
        <v/>
      </c>
      <c r="BH249" s="91" t="str">
        <f aca="false">IF(ISBLANK($C249),"",IF($BD249&lt;&gt;Constants!$B$6,$BD249,SUM($BF249:$BG249)))</f>
        <v/>
      </c>
      <c r="BI249" s="87" t="str">
        <f aca="false">IF(ISBLANK($C249),"",IF($BD249&lt;&gt;Constants!$B$6,$BD249,RANK($BH249,$BH$9:$BH$508,1)))</f>
        <v/>
      </c>
      <c r="BJ249" s="91" t="str">
        <f aca="false">IF($BD249&lt;&gt;Constants!$B$6,"",IF($AU249="-&gt;",$BB249,$AS249))</f>
        <v/>
      </c>
      <c r="BK249" s="87" t="str">
        <f aca="false">IF(ISBLANK($C249),"",IF($BD249&lt;&gt;Constants!$B$6,$BD249,IF(ISNUMBER($BJ249),RANK($BJ249,$BJ$9:$BJ$508,1),COUNT($BJ$9:$BJ$508)+1)))</f>
        <v/>
      </c>
      <c r="BL249" s="91" t="str">
        <f aca="false">IF($BD249&lt;&gt;Constants!$B$6,"",IF($AU249="-&gt;",$BC249,$AT249))</f>
        <v/>
      </c>
      <c r="BM249" s="87" t="str">
        <f aca="false">IF(ISBLANK($C249),"",IF($BD249&lt;&gt;Constants!$B$6,$BD249,IF(ISNUMBER($BL249),RANK($BL249,$BL$9:$BL$508,1),COUNT($BL$9:$BL$508)+1)))</f>
        <v/>
      </c>
      <c r="BN249" s="91" t="str">
        <f aca="false">IF($BD249&lt;&gt;Constants!$B$6,"",IF($AU249="-&gt;",$AS249,$BB249))</f>
        <v/>
      </c>
      <c r="BO249" s="87" t="str">
        <f aca="false">IF(ISBLANK($C249),"",IF($BD249&lt;&gt;Constants!$B$6,$BD249,IF(ISNUMBER($BN249),RANK($BN249,$BN$9:$BN$508,1),COUNT($BN$9:$BN$508)+1)))</f>
        <v/>
      </c>
      <c r="BP249" s="91" t="str">
        <f aca="false">IF($BD249&lt;&gt;Constants!$B$6,"",IF($AU249="-&gt;",$AT249,$BC249))</f>
        <v/>
      </c>
      <c r="BQ249" s="87" t="str">
        <f aca="false">IF(ISBLANK($C249),"",IF($BD249&lt;&gt;Constants!$B$6,$BD249,IF(ISNUMBER($BP249),RANK($BP249,$BP$9:$BP$508,1),COUNT($BP$9:$BP$508)+1)))</f>
        <v/>
      </c>
      <c r="BR249" s="87" t="str">
        <f aca="false">IF(ISBLANK($C249),"",IF($BD249&lt;&gt;Constants!$B$6,$BD249,COUNTIFS($BI$9:$BI$508,"&lt;"&amp;$BI249)+COUNTIFS($BI$9:$BI$508,$BI249,$BK$9:$BK$508,"&lt;"&amp;$BK249)+COUNTIFS($BI$9:$BI$508,$BI249,$BK$9:$BK$508,$BK249,$BM$9:$BM$508,"&lt;"&amp;$BM249)+COUNTIFS($BI$9:$BI$508,$BI249,$BK$9:$BK$508,$BK249,$BM$9:$BM$508,$BM249,$BO$9:$BO$508,"&lt;"&amp;$BO249)+COUNTIFS($BI$9:$BI$508,$BI249,$BK$9:$BK$508,$BK249,$BM$9:$BM$508,$BM249,$BO$9:$BO$508,$BO249,$BQ$9:$BQ$508,"&lt;"&amp;$BQ249)+1))</f>
        <v/>
      </c>
      <c r="BS249" s="87" t="str">
        <f aca="false">IF(ISBLANK($C249),"",IF($BD249&lt;&gt;Constants!$B$6,$BD249,$BI249-$BR249))</f>
        <v/>
      </c>
      <c r="BT249" s="94"/>
      <c r="BU249" s="95"/>
      <c r="BV249" s="95" t="str">
        <f aca="false">IF(ISBLANK($C249),"",IF($BD249&lt;&gt;Constants!$B$6,"",IF($AU249="-&gt;",2,1)))</f>
        <v/>
      </c>
      <c r="BW249" s="96" t="str">
        <f aca="false">IF(ISBLANK($C249),"",IF($BD249&lt;&gt;Constants!$B$6,"",IF($AU249="-&gt;",$AW249,$AN249)))</f>
        <v/>
      </c>
      <c r="BX249" s="96" t="str">
        <f aca="false">IF(ISBLANK($C249),"",IF($BD249&lt;&gt;Constants!$B$6,"",IF($AU249="-&gt;",$AX249,$AO249)))</f>
        <v/>
      </c>
      <c r="BY249" s="96" t="str">
        <f aca="false">IF(ISBLANK($C249),"",IF($BD249&lt;&gt;Constants!$B$6,"",IF($AU249="-&gt;",$AY249,$AP249)))</f>
        <v/>
      </c>
      <c r="BZ249" s="96" t="str">
        <f aca="false">IF(ISBLANK($C249),"",IF($BD249&lt;&gt;Constants!$B$6,"",IF($AU249="-&gt;",$AZ249,$AQ249)+$BG249))</f>
        <v/>
      </c>
      <c r="CA249" s="97" t="str">
        <f aca="false">IF(ISBLANK($C249),"",IF($BD249&lt;&gt;Constants!$B$6,$BD249,$BH249))</f>
        <v/>
      </c>
      <c r="CB249" s="98" t="str">
        <f aca="false">IF(ISBLANK($C249),"",$BE249)</f>
        <v/>
      </c>
      <c r="CC249" s="99" t="str">
        <f aca="false">IF(ISBLANK($C249),"",$BS249)</f>
        <v/>
      </c>
      <c r="CD249" s="99" t="str">
        <f aca="false">IF(ISBLANK($C249),"",$BR249)</f>
        <v/>
      </c>
      <c r="CE249" s="100" t="str">
        <f aca="false">IF(ISBLANK($C249),"",IF($CD249=Constants!$B$9,COUNTA($C$9:$C$508)+2,IF($CD249=Constants!$B$8,COUNTA($C$9:$C$508)+1,IF($CD249=Constants!$B$7,COUNTA($C$9:$C$508),$CD249))))</f>
        <v/>
      </c>
      <c r="CF249" s="9"/>
      <c r="CG249" s="101" t="n">
        <f aca="false">IF(OR(ISNUMBER($CD249),$CD249=Constants!$B$9,$CD249=Constants!$B$7,$CD249=Constants!$B$8),1,0)</f>
        <v>0</v>
      </c>
      <c r="CH249" s="101" t="n">
        <v>241</v>
      </c>
      <c r="CI249" s="101" t="str">
        <f aca="false">IF(ISBLANK($C249),"",IF(ISNUMBER($CE249),$CE249+ROW($B249)/1000,""))</f>
        <v/>
      </c>
      <c r="CJ249" s="101" t="str">
        <f aca="false">IF(ISNUMBER($CI249),RANK($CI249,$CI$9:$CI$508,1),"")</f>
        <v/>
      </c>
      <c r="CK249" s="101" t="str">
        <f aca="false">IF(ISBLANK($C249),"",$B249)</f>
        <v/>
      </c>
      <c r="CL249" s="101" t="str">
        <f aca="false">IF(ISBLANK($C249),"",$C249)</f>
        <v/>
      </c>
      <c r="CM249" s="101" t="str">
        <f aca="false">IF(ISBLANK($C249),"",$D249)</f>
        <v/>
      </c>
      <c r="CN249" s="102" t="str">
        <f aca="false">$CB249</f>
        <v/>
      </c>
      <c r="CO249" s="103" t="str">
        <f aca="false">$CA249</f>
        <v/>
      </c>
      <c r="CP249" s="101" t="str">
        <f aca="false">IF(ISBLANK($C249),"",$CD249)</f>
        <v/>
      </c>
      <c r="CQ249" s="104" t="str">
        <f aca="false">IF($CH249&gt;$CG$8,"",VLOOKUP($CH249,$CJ$9:$CP$508,7,FALSE()))</f>
        <v/>
      </c>
      <c r="CR249" s="105" t="str">
        <f aca="false">IF($CH249&gt;$CG$8,"",VLOOKUP($CH249,$CJ$9:$CP$508,2,FALSE()))</f>
        <v/>
      </c>
      <c r="CS249" s="105" t="str">
        <f aca="false">IF($CH249&gt;$CG$8,"",VLOOKUP($CH249,$CJ$9:$CP$508,3,FALSE()))</f>
        <v/>
      </c>
      <c r="CT249" s="105" t="str">
        <f aca="false">IF($CH249&gt;$CG$8,"",VLOOKUP($CH249,$CJ$9:$CP$508,4,FALSE()))</f>
        <v/>
      </c>
      <c r="CU249" s="105" t="str">
        <f aca="false">IF($CH249&gt;$CG$8,"",VLOOKUP($CH249,$CJ$9:$CP$508,5,FALSE()))</f>
        <v/>
      </c>
      <c r="CV249" s="106" t="str">
        <f aca="false">IF($CH249&gt;$CG$8,"",VLOOKUP($CH249,$CJ$9:$CP$508,6,FALSE()))</f>
        <v/>
      </c>
      <c r="CW249" s="71"/>
    </row>
    <row r="250" customFormat="false" ht="15.75" hidden="false" customHeight="false" outlineLevel="0" collapsed="false">
      <c r="A250" s="9"/>
      <c r="B250" s="72"/>
      <c r="C250" s="73"/>
      <c r="D250" s="160"/>
      <c r="E250" s="168"/>
      <c r="F250" s="162"/>
      <c r="G250" s="163"/>
      <c r="H250" s="169"/>
      <c r="I250" s="167"/>
      <c r="J250" s="80"/>
      <c r="K250" s="81"/>
      <c r="L250" s="82"/>
      <c r="M250" s="166"/>
      <c r="N250" s="167"/>
      <c r="O250" s="167"/>
      <c r="P250" s="80"/>
      <c r="Q250" s="82"/>
      <c r="R250" s="82"/>
      <c r="S250" s="166"/>
      <c r="T250" s="167"/>
      <c r="U250" s="86"/>
      <c r="V250" s="87"/>
      <c r="W250" s="87" t="str">
        <f aca="false">IF(ISBLANK($C250),"",IF(E250=Constants!$B$2,TRUE(),IF(E250=Constants!$B$3,FALSE(),TRUE())))</f>
        <v/>
      </c>
      <c r="X250" s="87" t="str">
        <f aca="false">IF(ISBLANK($C250),"",IF(F250=Constants!$B$2,TRUE(),IF(F250=Constants!$B$3,FALSE(),TRUE())))</f>
        <v/>
      </c>
      <c r="Y250" s="87" t="str">
        <f aca="false">IF(ISBLANK($C250),"",IF(G250=Constants!$B$2,TRUE(),IF(G250=Constants!$B$3,FALSE(),TRUE())))</f>
        <v/>
      </c>
      <c r="Z250" s="87" t="str">
        <f aca="false">IF(ISBLANK($C250),"",IF(H250=Constants!$B$2,TRUE(),IF(H250=Constants!$B$3,FALSE(),TRUE())))</f>
        <v/>
      </c>
      <c r="AA250" s="87" t="str">
        <f aca="false">IF(ISBLANK($C250),"",IF(I250=Constants!$B$2,TRUE(),IF(I250=Constants!$B$3,FALSE(),TRUE())))</f>
        <v/>
      </c>
      <c r="AB250" s="87" t="str">
        <f aca="false">IF(ISBLANK($C250),"",IF(J250=Constants!$B$4,TRUE(),IF(J250=Constants!$B$5,FALSE(),COUNTA(K250:M250)&gt;0)))</f>
        <v/>
      </c>
      <c r="AC250" s="88" t="str">
        <f aca="false">IF(ISBLANK($C250),"",IF(ISNUMBER(K250),IF(K250&gt;=0,K250,""),""))</f>
        <v/>
      </c>
      <c r="AD250" s="89" t="str">
        <f aca="false">IF(ISBLANK($C250),"",IF(ISNUMBER(L250),IF(L250&gt;=0,L250,""),""))</f>
        <v/>
      </c>
      <c r="AE250" s="87" t="str">
        <f aca="false">IF(ISBLANK($C250),"",IF(ISNUMBER(M250),IF(M250&gt;=0,MIN(M250,Constants!$B$22),""),""))</f>
        <v/>
      </c>
      <c r="AF250" s="87" t="str">
        <f aca="false">IF(ISBLANK($C250),"",IF(N250=Constants!$B$2,TRUE(),IF(N250=Constants!$B$3,FALSE(),TRUE())))</f>
        <v/>
      </c>
      <c r="AG250" s="87" t="str">
        <f aca="false">IF(ISBLANK($C250),"",IF(O250=Constants!$B$2,TRUE(),IF(O250=Constants!$B$3,FALSE(),TRUE())))</f>
        <v/>
      </c>
      <c r="AH250" s="87" t="str">
        <f aca="false">IF(ISBLANK($C250),"",IF(P250=Constants!$B$4,TRUE(),IF(P250=Constants!$B$5,FALSE(),COUNTA(Q250:S250)&gt;0)))</f>
        <v/>
      </c>
      <c r="AI250" s="88" t="str">
        <f aca="false">IF(ISBLANK($C250),"",IF(ISNUMBER(Q250),IF(Q250&gt;=0,Q250,""),""))</f>
        <v/>
      </c>
      <c r="AJ250" s="89" t="str">
        <f aca="false">IF(ISBLANK($C250),"",IF(ISNUMBER(R250),IF(R250&gt;=0,R250,""),""))</f>
        <v/>
      </c>
      <c r="AK250" s="87" t="str">
        <f aca="false">IF(ISBLANK($C250),"",IF(ISNUMBER(S250),IF(S250&gt;=0,MIN(S250,Constants!$B$22),""),""))</f>
        <v/>
      </c>
      <c r="AL250" s="87" t="str">
        <f aca="false">IF(ISBLANK($C250),"",IF(T250=Constants!$B$2,TRUE(),IF(T250=Constants!$B$3,FALSE(),FALSE())))</f>
        <v/>
      </c>
      <c r="AM250" s="86" t="str">
        <f aca="false">IF(ISBLANK($C250),"",AND($AB250,OR($AC250="",$AD250="",AND(NOT(ISBLANK($M250)),$AE250=""))))</f>
        <v/>
      </c>
      <c r="AN250" s="89" t="str">
        <f aca="false">IF($BD250&lt;&gt;Constants!$B$6,"",IF($AB250,Constants!$B$17*$AD250,Constants!$B$18))</f>
        <v/>
      </c>
      <c r="AO250" s="91" t="str">
        <f aca="false">IF($BD250&lt;&gt;Constants!$B$6,"",Constants!$B$19*IF($AB250,$AC250,0))</f>
        <v/>
      </c>
      <c r="AP250" s="91" t="str">
        <f aca="false">IF($BD250&lt;&gt;Constants!$B$6,"",IF(AND($AB250,ISNUMBER($AE250)),Constants!$B$20*(Constants!$B$21-$AE250),0))</f>
        <v/>
      </c>
      <c r="AQ250" s="91" t="str">
        <f aca="false">IF($BD250&lt;&gt;Constants!$B$6,"",IF($AA250,0,Constants!$B$12)+IF($Z250,0,Constants!$B$13)+IF($Y250,0,Constants!$B$14))</f>
        <v/>
      </c>
      <c r="AR250" s="92" t="str">
        <f aca="false">IF($BD250&lt;&gt;Constants!$B$6,"",Constants!$B$16+SUM($AN250:$AQ250))</f>
        <v/>
      </c>
      <c r="AS250" s="91" t="str">
        <f aca="false">IF($BD250&lt;&gt;Constants!$B$6,"",IF($AB250,$AD250,""))</f>
        <v/>
      </c>
      <c r="AT250" s="93" t="str">
        <f aca="false">IF($BD250&lt;&gt;Constants!$B$6,"",$AO250)</f>
        <v/>
      </c>
      <c r="AU250" s="87" t="str">
        <f aca="false">IF($BD250&lt;&gt;Constants!$B$6,"",IF(OR($BA250&lt;$AR250,AND($BA250=$AR250,OR(AND(ISNUMBER($BB250),OR(NOT(ISNUMBER($AS250)),$BB250&lt;$AS250)),AND(OR(AND($BB250="",$AS250=""),AND(ISNUMBER($BB250),ISNUMBER($AS250),$BB250=$AS250)),$BC250&lt;$AT250)))),"-&gt;","&lt;-"))</f>
        <v/>
      </c>
      <c r="AV250" s="86" t="str">
        <f aca="false">IF(ISBLANK($C250),"",AND($AH250,OR($AI250="",$AJ250="",AND(NOT(ISBLANK($S250)),$AK250=""))))</f>
        <v/>
      </c>
      <c r="AW250" s="89" t="str">
        <f aca="false">IF($BD250&lt;&gt;Constants!$B$6,"",IF($AH250,Constants!$B$17*$AJ250,Constants!$B$18))</f>
        <v/>
      </c>
      <c r="AX250" s="91" t="str">
        <f aca="false">IF($BD250&lt;&gt;Constants!$B$6,"",Constants!$B$19*IF($AH250,$AI250,0))</f>
        <v/>
      </c>
      <c r="AY250" s="91" t="str">
        <f aca="false">IF($BD250&lt;&gt;Constants!$B$6,"",IF(AND($AH250,ISNUMBER($AK250)),Constants!$B$20*(Constants!$B$21-$AK250),0))</f>
        <v/>
      </c>
      <c r="AZ250" s="91" t="str">
        <f aca="false">IF($BD250&lt;&gt;Constants!$B$6,"",IF($AG250,0,Constants!$B$12)+IF($AF250,0,Constants!$B$13)+IF($Y250,0,Constants!$B$14))</f>
        <v/>
      </c>
      <c r="BA250" s="92" t="str">
        <f aca="false">IF($BD250&lt;&gt;Constants!$B$6,"",Constants!$B$16+SUM($AW250:$AZ250))</f>
        <v/>
      </c>
      <c r="BB250" s="91" t="str">
        <f aca="false">IF($BD250&lt;&gt;Constants!$B$6,"",IF($AH250,$AJ250,""))</f>
        <v/>
      </c>
      <c r="BC250" s="93" t="str">
        <f aca="false">IF($BD250&lt;&gt;Constants!$B$6,"",$AX250)</f>
        <v/>
      </c>
      <c r="BD250" s="87" t="str">
        <f aca="false">IF(ISBLANK($C250),"",IF($AL250,Constants!$B$9,IF(COUNTA($E250:$T250)=0,Constants!$B$8,IF(NOT($X250),Constants!$B$7,IF(OR($AM250,$AV250),Constants!$B$10,Constants!$B$6)))))</f>
        <v/>
      </c>
      <c r="BE250" s="87" t="str">
        <f aca="false">IF(ISBLANK($C250),"",IF($BD250&lt;&gt;Constants!$B$6,$BD250,Constants!$B$11))</f>
        <v/>
      </c>
      <c r="BF250" s="91" t="str">
        <f aca="false">IF($BD250&lt;&gt;Constants!$B$6,"",IF($AU250="-&gt;",$BA250,$AR250))</f>
        <v/>
      </c>
      <c r="BG250" s="91" t="str">
        <f aca="false">IF($BD250&lt;&gt;Constants!$B$6,"",IF($W250,0,Constants!$B$15))</f>
        <v/>
      </c>
      <c r="BH250" s="91" t="str">
        <f aca="false">IF(ISBLANK($C250),"",IF($BD250&lt;&gt;Constants!$B$6,$BD250,SUM($BF250:$BG250)))</f>
        <v/>
      </c>
      <c r="BI250" s="87" t="str">
        <f aca="false">IF(ISBLANK($C250),"",IF($BD250&lt;&gt;Constants!$B$6,$BD250,RANK($BH250,$BH$9:$BH$508,1)))</f>
        <v/>
      </c>
      <c r="BJ250" s="91" t="str">
        <f aca="false">IF($BD250&lt;&gt;Constants!$B$6,"",IF($AU250="-&gt;",$BB250,$AS250))</f>
        <v/>
      </c>
      <c r="BK250" s="87" t="str">
        <f aca="false">IF(ISBLANK($C250),"",IF($BD250&lt;&gt;Constants!$B$6,$BD250,IF(ISNUMBER($BJ250),RANK($BJ250,$BJ$9:$BJ$508,1),COUNT($BJ$9:$BJ$508)+1)))</f>
        <v/>
      </c>
      <c r="BL250" s="91" t="str">
        <f aca="false">IF($BD250&lt;&gt;Constants!$B$6,"",IF($AU250="-&gt;",$BC250,$AT250))</f>
        <v/>
      </c>
      <c r="BM250" s="87" t="str">
        <f aca="false">IF(ISBLANK($C250),"",IF($BD250&lt;&gt;Constants!$B$6,$BD250,IF(ISNUMBER($BL250),RANK($BL250,$BL$9:$BL$508,1),COUNT($BL$9:$BL$508)+1)))</f>
        <v/>
      </c>
      <c r="BN250" s="91" t="str">
        <f aca="false">IF($BD250&lt;&gt;Constants!$B$6,"",IF($AU250="-&gt;",$AS250,$BB250))</f>
        <v/>
      </c>
      <c r="BO250" s="87" t="str">
        <f aca="false">IF(ISBLANK($C250),"",IF($BD250&lt;&gt;Constants!$B$6,$BD250,IF(ISNUMBER($BN250),RANK($BN250,$BN$9:$BN$508,1),COUNT($BN$9:$BN$508)+1)))</f>
        <v/>
      </c>
      <c r="BP250" s="91" t="str">
        <f aca="false">IF($BD250&lt;&gt;Constants!$B$6,"",IF($AU250="-&gt;",$AT250,$BC250))</f>
        <v/>
      </c>
      <c r="BQ250" s="87" t="str">
        <f aca="false">IF(ISBLANK($C250),"",IF($BD250&lt;&gt;Constants!$B$6,$BD250,IF(ISNUMBER($BP250),RANK($BP250,$BP$9:$BP$508,1),COUNT($BP$9:$BP$508)+1)))</f>
        <v/>
      </c>
      <c r="BR250" s="87" t="str">
        <f aca="false">IF(ISBLANK($C250),"",IF($BD250&lt;&gt;Constants!$B$6,$BD250,COUNTIFS($BI$9:$BI$508,"&lt;"&amp;$BI250)+COUNTIFS($BI$9:$BI$508,$BI250,$BK$9:$BK$508,"&lt;"&amp;$BK250)+COUNTIFS($BI$9:$BI$508,$BI250,$BK$9:$BK$508,$BK250,$BM$9:$BM$508,"&lt;"&amp;$BM250)+COUNTIFS($BI$9:$BI$508,$BI250,$BK$9:$BK$508,$BK250,$BM$9:$BM$508,$BM250,$BO$9:$BO$508,"&lt;"&amp;$BO250)+COUNTIFS($BI$9:$BI$508,$BI250,$BK$9:$BK$508,$BK250,$BM$9:$BM$508,$BM250,$BO$9:$BO$508,$BO250,$BQ$9:$BQ$508,"&lt;"&amp;$BQ250)+1))</f>
        <v/>
      </c>
      <c r="BS250" s="87" t="str">
        <f aca="false">IF(ISBLANK($C250),"",IF($BD250&lt;&gt;Constants!$B$6,$BD250,$BI250-$BR250))</f>
        <v/>
      </c>
      <c r="BT250" s="94"/>
      <c r="BU250" s="95"/>
      <c r="BV250" s="95" t="str">
        <f aca="false">IF(ISBLANK($C250),"",IF($BD250&lt;&gt;Constants!$B$6,"",IF($AU250="-&gt;",2,1)))</f>
        <v/>
      </c>
      <c r="BW250" s="96" t="str">
        <f aca="false">IF(ISBLANK($C250),"",IF($BD250&lt;&gt;Constants!$B$6,"",IF($AU250="-&gt;",$AW250,$AN250)))</f>
        <v/>
      </c>
      <c r="BX250" s="96" t="str">
        <f aca="false">IF(ISBLANK($C250),"",IF($BD250&lt;&gt;Constants!$B$6,"",IF($AU250="-&gt;",$AX250,$AO250)))</f>
        <v/>
      </c>
      <c r="BY250" s="96" t="str">
        <f aca="false">IF(ISBLANK($C250),"",IF($BD250&lt;&gt;Constants!$B$6,"",IF($AU250="-&gt;",$AY250,$AP250)))</f>
        <v/>
      </c>
      <c r="BZ250" s="96" t="str">
        <f aca="false">IF(ISBLANK($C250),"",IF($BD250&lt;&gt;Constants!$B$6,"",IF($AU250="-&gt;",$AZ250,$AQ250)+$BG250))</f>
        <v/>
      </c>
      <c r="CA250" s="97" t="str">
        <f aca="false">IF(ISBLANK($C250),"",IF($BD250&lt;&gt;Constants!$B$6,$BD250,$BH250))</f>
        <v/>
      </c>
      <c r="CB250" s="98" t="str">
        <f aca="false">IF(ISBLANK($C250),"",$BE250)</f>
        <v/>
      </c>
      <c r="CC250" s="99" t="str">
        <f aca="false">IF(ISBLANK($C250),"",$BS250)</f>
        <v/>
      </c>
      <c r="CD250" s="99" t="str">
        <f aca="false">IF(ISBLANK($C250),"",$BR250)</f>
        <v/>
      </c>
      <c r="CE250" s="100" t="str">
        <f aca="false">IF(ISBLANK($C250),"",IF($CD250=Constants!$B$9,COUNTA($C$9:$C$508)+2,IF($CD250=Constants!$B$8,COUNTA($C$9:$C$508)+1,IF($CD250=Constants!$B$7,COUNTA($C$9:$C$508),$CD250))))</f>
        <v/>
      </c>
      <c r="CF250" s="9"/>
      <c r="CG250" s="101" t="n">
        <f aca="false">IF(OR(ISNUMBER($CD250),$CD250=Constants!$B$9,$CD250=Constants!$B$7,$CD250=Constants!$B$8),1,0)</f>
        <v>0</v>
      </c>
      <c r="CH250" s="101" t="n">
        <v>242</v>
      </c>
      <c r="CI250" s="101" t="str">
        <f aca="false">IF(ISBLANK($C250),"",IF(ISNUMBER($CE250),$CE250+ROW($B250)/1000,""))</f>
        <v/>
      </c>
      <c r="CJ250" s="101" t="str">
        <f aca="false">IF(ISNUMBER($CI250),RANK($CI250,$CI$9:$CI$508,1),"")</f>
        <v/>
      </c>
      <c r="CK250" s="101" t="str">
        <f aca="false">IF(ISBLANK($C250),"",$B250)</f>
        <v/>
      </c>
      <c r="CL250" s="101" t="str">
        <f aca="false">IF(ISBLANK($C250),"",$C250)</f>
        <v/>
      </c>
      <c r="CM250" s="101" t="str">
        <f aca="false">IF(ISBLANK($C250),"",$D250)</f>
        <v/>
      </c>
      <c r="CN250" s="102" t="str">
        <f aca="false">$CB250</f>
        <v/>
      </c>
      <c r="CO250" s="103" t="str">
        <f aca="false">$CA250</f>
        <v/>
      </c>
      <c r="CP250" s="101" t="str">
        <f aca="false">IF(ISBLANK($C250),"",$CD250)</f>
        <v/>
      </c>
      <c r="CQ250" s="104" t="str">
        <f aca="false">IF($CH250&gt;$CG$8,"",VLOOKUP($CH250,$CJ$9:$CP$508,7,FALSE()))</f>
        <v/>
      </c>
      <c r="CR250" s="105" t="str">
        <f aca="false">IF($CH250&gt;$CG$8,"",VLOOKUP($CH250,$CJ$9:$CP$508,2,FALSE()))</f>
        <v/>
      </c>
      <c r="CS250" s="105" t="str">
        <f aca="false">IF($CH250&gt;$CG$8,"",VLOOKUP($CH250,$CJ$9:$CP$508,3,FALSE()))</f>
        <v/>
      </c>
      <c r="CT250" s="105" t="str">
        <f aca="false">IF($CH250&gt;$CG$8,"",VLOOKUP($CH250,$CJ$9:$CP$508,4,FALSE()))</f>
        <v/>
      </c>
      <c r="CU250" s="105" t="str">
        <f aca="false">IF($CH250&gt;$CG$8,"",VLOOKUP($CH250,$CJ$9:$CP$508,5,FALSE()))</f>
        <v/>
      </c>
      <c r="CV250" s="106" t="str">
        <f aca="false">IF($CH250&gt;$CG$8,"",VLOOKUP($CH250,$CJ$9:$CP$508,6,FALSE()))</f>
        <v/>
      </c>
      <c r="CW250" s="71"/>
    </row>
    <row r="251" customFormat="false" ht="15.75" hidden="false" customHeight="false" outlineLevel="0" collapsed="false">
      <c r="A251" s="9"/>
      <c r="B251" s="72"/>
      <c r="C251" s="73"/>
      <c r="D251" s="160"/>
      <c r="E251" s="168"/>
      <c r="F251" s="162"/>
      <c r="G251" s="163"/>
      <c r="H251" s="169"/>
      <c r="I251" s="167"/>
      <c r="J251" s="80"/>
      <c r="K251" s="81"/>
      <c r="L251" s="82"/>
      <c r="M251" s="166"/>
      <c r="N251" s="167"/>
      <c r="O251" s="167"/>
      <c r="P251" s="80"/>
      <c r="Q251" s="82"/>
      <c r="R251" s="82"/>
      <c r="S251" s="166"/>
      <c r="T251" s="167"/>
      <c r="U251" s="86"/>
      <c r="V251" s="87"/>
      <c r="W251" s="87" t="str">
        <f aca="false">IF(ISBLANK($C251),"",IF(E251=Constants!$B$2,TRUE(),IF(E251=Constants!$B$3,FALSE(),TRUE())))</f>
        <v/>
      </c>
      <c r="X251" s="87" t="str">
        <f aca="false">IF(ISBLANK($C251),"",IF(F251=Constants!$B$2,TRUE(),IF(F251=Constants!$B$3,FALSE(),TRUE())))</f>
        <v/>
      </c>
      <c r="Y251" s="87" t="str">
        <f aca="false">IF(ISBLANK($C251),"",IF(G251=Constants!$B$2,TRUE(),IF(G251=Constants!$B$3,FALSE(),TRUE())))</f>
        <v/>
      </c>
      <c r="Z251" s="87" t="str">
        <f aca="false">IF(ISBLANK($C251),"",IF(H251=Constants!$B$2,TRUE(),IF(H251=Constants!$B$3,FALSE(),TRUE())))</f>
        <v/>
      </c>
      <c r="AA251" s="87" t="str">
        <f aca="false">IF(ISBLANK($C251),"",IF(I251=Constants!$B$2,TRUE(),IF(I251=Constants!$B$3,FALSE(),TRUE())))</f>
        <v/>
      </c>
      <c r="AB251" s="87" t="str">
        <f aca="false">IF(ISBLANK($C251),"",IF(J251=Constants!$B$4,TRUE(),IF(J251=Constants!$B$5,FALSE(),COUNTA(K251:M251)&gt;0)))</f>
        <v/>
      </c>
      <c r="AC251" s="88" t="str">
        <f aca="false">IF(ISBLANK($C251),"",IF(ISNUMBER(K251),IF(K251&gt;=0,K251,""),""))</f>
        <v/>
      </c>
      <c r="AD251" s="89" t="str">
        <f aca="false">IF(ISBLANK($C251),"",IF(ISNUMBER(L251),IF(L251&gt;=0,L251,""),""))</f>
        <v/>
      </c>
      <c r="AE251" s="87" t="str">
        <f aca="false">IF(ISBLANK($C251),"",IF(ISNUMBER(M251),IF(M251&gt;=0,MIN(M251,Constants!$B$22),""),""))</f>
        <v/>
      </c>
      <c r="AF251" s="87" t="str">
        <f aca="false">IF(ISBLANK($C251),"",IF(N251=Constants!$B$2,TRUE(),IF(N251=Constants!$B$3,FALSE(),TRUE())))</f>
        <v/>
      </c>
      <c r="AG251" s="87" t="str">
        <f aca="false">IF(ISBLANK($C251),"",IF(O251=Constants!$B$2,TRUE(),IF(O251=Constants!$B$3,FALSE(),TRUE())))</f>
        <v/>
      </c>
      <c r="AH251" s="87" t="str">
        <f aca="false">IF(ISBLANK($C251),"",IF(P251=Constants!$B$4,TRUE(),IF(P251=Constants!$B$5,FALSE(),COUNTA(Q251:S251)&gt;0)))</f>
        <v/>
      </c>
      <c r="AI251" s="88" t="str">
        <f aca="false">IF(ISBLANK($C251),"",IF(ISNUMBER(Q251),IF(Q251&gt;=0,Q251,""),""))</f>
        <v/>
      </c>
      <c r="AJ251" s="89" t="str">
        <f aca="false">IF(ISBLANK($C251),"",IF(ISNUMBER(R251),IF(R251&gt;=0,R251,""),""))</f>
        <v/>
      </c>
      <c r="AK251" s="87" t="str">
        <f aca="false">IF(ISBLANK($C251),"",IF(ISNUMBER(S251),IF(S251&gt;=0,MIN(S251,Constants!$B$22),""),""))</f>
        <v/>
      </c>
      <c r="AL251" s="87" t="str">
        <f aca="false">IF(ISBLANK($C251),"",IF(T251=Constants!$B$2,TRUE(),IF(T251=Constants!$B$3,FALSE(),FALSE())))</f>
        <v/>
      </c>
      <c r="AM251" s="86" t="str">
        <f aca="false">IF(ISBLANK($C251),"",AND($AB251,OR($AC251="",$AD251="",AND(NOT(ISBLANK($M251)),$AE251=""))))</f>
        <v/>
      </c>
      <c r="AN251" s="89" t="str">
        <f aca="false">IF($BD251&lt;&gt;Constants!$B$6,"",IF($AB251,Constants!$B$17*$AD251,Constants!$B$18))</f>
        <v/>
      </c>
      <c r="AO251" s="91" t="str">
        <f aca="false">IF($BD251&lt;&gt;Constants!$B$6,"",Constants!$B$19*IF($AB251,$AC251,0))</f>
        <v/>
      </c>
      <c r="AP251" s="91" t="str">
        <f aca="false">IF($BD251&lt;&gt;Constants!$B$6,"",IF(AND($AB251,ISNUMBER($AE251)),Constants!$B$20*(Constants!$B$21-$AE251),0))</f>
        <v/>
      </c>
      <c r="AQ251" s="91" t="str">
        <f aca="false">IF($BD251&lt;&gt;Constants!$B$6,"",IF($AA251,0,Constants!$B$12)+IF($Z251,0,Constants!$B$13)+IF($Y251,0,Constants!$B$14))</f>
        <v/>
      </c>
      <c r="AR251" s="92" t="str">
        <f aca="false">IF($BD251&lt;&gt;Constants!$B$6,"",Constants!$B$16+SUM($AN251:$AQ251))</f>
        <v/>
      </c>
      <c r="AS251" s="91" t="str">
        <f aca="false">IF($BD251&lt;&gt;Constants!$B$6,"",IF($AB251,$AD251,""))</f>
        <v/>
      </c>
      <c r="AT251" s="93" t="str">
        <f aca="false">IF($BD251&lt;&gt;Constants!$B$6,"",$AO251)</f>
        <v/>
      </c>
      <c r="AU251" s="87" t="str">
        <f aca="false">IF($BD251&lt;&gt;Constants!$B$6,"",IF(OR($BA251&lt;$AR251,AND($BA251=$AR251,OR(AND(ISNUMBER($BB251),OR(NOT(ISNUMBER($AS251)),$BB251&lt;$AS251)),AND(OR(AND($BB251="",$AS251=""),AND(ISNUMBER($BB251),ISNUMBER($AS251),$BB251=$AS251)),$BC251&lt;$AT251)))),"-&gt;","&lt;-"))</f>
        <v/>
      </c>
      <c r="AV251" s="86" t="str">
        <f aca="false">IF(ISBLANK($C251),"",AND($AH251,OR($AI251="",$AJ251="",AND(NOT(ISBLANK($S251)),$AK251=""))))</f>
        <v/>
      </c>
      <c r="AW251" s="89" t="str">
        <f aca="false">IF($BD251&lt;&gt;Constants!$B$6,"",IF($AH251,Constants!$B$17*$AJ251,Constants!$B$18))</f>
        <v/>
      </c>
      <c r="AX251" s="91" t="str">
        <f aca="false">IF($BD251&lt;&gt;Constants!$B$6,"",Constants!$B$19*IF($AH251,$AI251,0))</f>
        <v/>
      </c>
      <c r="AY251" s="91" t="str">
        <f aca="false">IF($BD251&lt;&gt;Constants!$B$6,"",IF(AND($AH251,ISNUMBER($AK251)),Constants!$B$20*(Constants!$B$21-$AK251),0))</f>
        <v/>
      </c>
      <c r="AZ251" s="91" t="str">
        <f aca="false">IF($BD251&lt;&gt;Constants!$B$6,"",IF($AG251,0,Constants!$B$12)+IF($AF251,0,Constants!$B$13)+IF($Y251,0,Constants!$B$14))</f>
        <v/>
      </c>
      <c r="BA251" s="92" t="str">
        <f aca="false">IF($BD251&lt;&gt;Constants!$B$6,"",Constants!$B$16+SUM($AW251:$AZ251))</f>
        <v/>
      </c>
      <c r="BB251" s="91" t="str">
        <f aca="false">IF($BD251&lt;&gt;Constants!$B$6,"",IF($AH251,$AJ251,""))</f>
        <v/>
      </c>
      <c r="BC251" s="93" t="str">
        <f aca="false">IF($BD251&lt;&gt;Constants!$B$6,"",$AX251)</f>
        <v/>
      </c>
      <c r="BD251" s="87" t="str">
        <f aca="false">IF(ISBLANK($C251),"",IF($AL251,Constants!$B$9,IF(COUNTA($E251:$T251)=0,Constants!$B$8,IF(NOT($X251),Constants!$B$7,IF(OR($AM251,$AV251),Constants!$B$10,Constants!$B$6)))))</f>
        <v/>
      </c>
      <c r="BE251" s="87" t="str">
        <f aca="false">IF(ISBLANK($C251),"",IF($BD251&lt;&gt;Constants!$B$6,$BD251,Constants!$B$11))</f>
        <v/>
      </c>
      <c r="BF251" s="91" t="str">
        <f aca="false">IF($BD251&lt;&gt;Constants!$B$6,"",IF($AU251="-&gt;",$BA251,$AR251))</f>
        <v/>
      </c>
      <c r="BG251" s="91" t="str">
        <f aca="false">IF($BD251&lt;&gt;Constants!$B$6,"",IF($W251,0,Constants!$B$15))</f>
        <v/>
      </c>
      <c r="BH251" s="91" t="str">
        <f aca="false">IF(ISBLANK($C251),"",IF($BD251&lt;&gt;Constants!$B$6,$BD251,SUM($BF251:$BG251)))</f>
        <v/>
      </c>
      <c r="BI251" s="87" t="str">
        <f aca="false">IF(ISBLANK($C251),"",IF($BD251&lt;&gt;Constants!$B$6,$BD251,RANK($BH251,$BH$9:$BH$508,1)))</f>
        <v/>
      </c>
      <c r="BJ251" s="91" t="str">
        <f aca="false">IF($BD251&lt;&gt;Constants!$B$6,"",IF($AU251="-&gt;",$BB251,$AS251))</f>
        <v/>
      </c>
      <c r="BK251" s="87" t="str">
        <f aca="false">IF(ISBLANK($C251),"",IF($BD251&lt;&gt;Constants!$B$6,$BD251,IF(ISNUMBER($BJ251),RANK($BJ251,$BJ$9:$BJ$508,1),COUNT($BJ$9:$BJ$508)+1)))</f>
        <v/>
      </c>
      <c r="BL251" s="91" t="str">
        <f aca="false">IF($BD251&lt;&gt;Constants!$B$6,"",IF($AU251="-&gt;",$BC251,$AT251))</f>
        <v/>
      </c>
      <c r="BM251" s="87" t="str">
        <f aca="false">IF(ISBLANK($C251),"",IF($BD251&lt;&gt;Constants!$B$6,$BD251,IF(ISNUMBER($BL251),RANK($BL251,$BL$9:$BL$508,1),COUNT($BL$9:$BL$508)+1)))</f>
        <v/>
      </c>
      <c r="BN251" s="91" t="str">
        <f aca="false">IF($BD251&lt;&gt;Constants!$B$6,"",IF($AU251="-&gt;",$AS251,$BB251))</f>
        <v/>
      </c>
      <c r="BO251" s="87" t="str">
        <f aca="false">IF(ISBLANK($C251),"",IF($BD251&lt;&gt;Constants!$B$6,$BD251,IF(ISNUMBER($BN251),RANK($BN251,$BN$9:$BN$508,1),COUNT($BN$9:$BN$508)+1)))</f>
        <v/>
      </c>
      <c r="BP251" s="91" t="str">
        <f aca="false">IF($BD251&lt;&gt;Constants!$B$6,"",IF($AU251="-&gt;",$AT251,$BC251))</f>
        <v/>
      </c>
      <c r="BQ251" s="87" t="str">
        <f aca="false">IF(ISBLANK($C251),"",IF($BD251&lt;&gt;Constants!$B$6,$BD251,IF(ISNUMBER($BP251),RANK($BP251,$BP$9:$BP$508,1),COUNT($BP$9:$BP$508)+1)))</f>
        <v/>
      </c>
      <c r="BR251" s="87" t="str">
        <f aca="false">IF(ISBLANK($C251),"",IF($BD251&lt;&gt;Constants!$B$6,$BD251,COUNTIFS($BI$9:$BI$508,"&lt;"&amp;$BI251)+COUNTIFS($BI$9:$BI$508,$BI251,$BK$9:$BK$508,"&lt;"&amp;$BK251)+COUNTIFS($BI$9:$BI$508,$BI251,$BK$9:$BK$508,$BK251,$BM$9:$BM$508,"&lt;"&amp;$BM251)+COUNTIFS($BI$9:$BI$508,$BI251,$BK$9:$BK$508,$BK251,$BM$9:$BM$508,$BM251,$BO$9:$BO$508,"&lt;"&amp;$BO251)+COUNTIFS($BI$9:$BI$508,$BI251,$BK$9:$BK$508,$BK251,$BM$9:$BM$508,$BM251,$BO$9:$BO$508,$BO251,$BQ$9:$BQ$508,"&lt;"&amp;$BQ251)+1))</f>
        <v/>
      </c>
      <c r="BS251" s="87" t="str">
        <f aca="false">IF(ISBLANK($C251),"",IF($BD251&lt;&gt;Constants!$B$6,$BD251,$BI251-$BR251))</f>
        <v/>
      </c>
      <c r="BT251" s="94"/>
      <c r="BU251" s="95"/>
      <c r="BV251" s="95" t="str">
        <f aca="false">IF(ISBLANK($C251),"",IF($BD251&lt;&gt;Constants!$B$6,"",IF($AU251="-&gt;",2,1)))</f>
        <v/>
      </c>
      <c r="BW251" s="96" t="str">
        <f aca="false">IF(ISBLANK($C251),"",IF($BD251&lt;&gt;Constants!$B$6,"",IF($AU251="-&gt;",$AW251,$AN251)))</f>
        <v/>
      </c>
      <c r="BX251" s="96" t="str">
        <f aca="false">IF(ISBLANK($C251),"",IF($BD251&lt;&gt;Constants!$B$6,"",IF($AU251="-&gt;",$AX251,$AO251)))</f>
        <v/>
      </c>
      <c r="BY251" s="96" t="str">
        <f aca="false">IF(ISBLANK($C251),"",IF($BD251&lt;&gt;Constants!$B$6,"",IF($AU251="-&gt;",$AY251,$AP251)))</f>
        <v/>
      </c>
      <c r="BZ251" s="96" t="str">
        <f aca="false">IF(ISBLANK($C251),"",IF($BD251&lt;&gt;Constants!$B$6,"",IF($AU251="-&gt;",$AZ251,$AQ251)+$BG251))</f>
        <v/>
      </c>
      <c r="CA251" s="97" t="str">
        <f aca="false">IF(ISBLANK($C251),"",IF($BD251&lt;&gt;Constants!$B$6,$BD251,$BH251))</f>
        <v/>
      </c>
      <c r="CB251" s="98" t="str">
        <f aca="false">IF(ISBLANK($C251),"",$BE251)</f>
        <v/>
      </c>
      <c r="CC251" s="99" t="str">
        <f aca="false">IF(ISBLANK($C251),"",$BS251)</f>
        <v/>
      </c>
      <c r="CD251" s="99" t="str">
        <f aca="false">IF(ISBLANK($C251),"",$BR251)</f>
        <v/>
      </c>
      <c r="CE251" s="100" t="str">
        <f aca="false">IF(ISBLANK($C251),"",IF($CD251=Constants!$B$9,COUNTA($C$9:$C$508)+2,IF($CD251=Constants!$B$8,COUNTA($C$9:$C$508)+1,IF($CD251=Constants!$B$7,COUNTA($C$9:$C$508),$CD251))))</f>
        <v/>
      </c>
      <c r="CF251" s="9"/>
      <c r="CG251" s="101" t="n">
        <f aca="false">IF(OR(ISNUMBER($CD251),$CD251=Constants!$B$9,$CD251=Constants!$B$7,$CD251=Constants!$B$8),1,0)</f>
        <v>0</v>
      </c>
      <c r="CH251" s="101" t="n">
        <v>243</v>
      </c>
      <c r="CI251" s="101" t="str">
        <f aca="false">IF(ISBLANK($C251),"",IF(ISNUMBER($CE251),$CE251+ROW($B251)/1000,""))</f>
        <v/>
      </c>
      <c r="CJ251" s="101" t="str">
        <f aca="false">IF(ISNUMBER($CI251),RANK($CI251,$CI$9:$CI$508,1),"")</f>
        <v/>
      </c>
      <c r="CK251" s="101" t="str">
        <f aca="false">IF(ISBLANK($C251),"",$B251)</f>
        <v/>
      </c>
      <c r="CL251" s="101" t="str">
        <f aca="false">IF(ISBLANK($C251),"",$C251)</f>
        <v/>
      </c>
      <c r="CM251" s="101" t="str">
        <f aca="false">IF(ISBLANK($C251),"",$D251)</f>
        <v/>
      </c>
      <c r="CN251" s="102" t="str">
        <f aca="false">$CB251</f>
        <v/>
      </c>
      <c r="CO251" s="103" t="str">
        <f aca="false">$CA251</f>
        <v/>
      </c>
      <c r="CP251" s="101" t="str">
        <f aca="false">IF(ISBLANK($C251),"",$CD251)</f>
        <v/>
      </c>
      <c r="CQ251" s="104" t="str">
        <f aca="false">IF($CH251&gt;$CG$8,"",VLOOKUP($CH251,$CJ$9:$CP$508,7,FALSE()))</f>
        <v/>
      </c>
      <c r="CR251" s="105" t="str">
        <f aca="false">IF($CH251&gt;$CG$8,"",VLOOKUP($CH251,$CJ$9:$CP$508,2,FALSE()))</f>
        <v/>
      </c>
      <c r="CS251" s="105" t="str">
        <f aca="false">IF($CH251&gt;$CG$8,"",VLOOKUP($CH251,$CJ$9:$CP$508,3,FALSE()))</f>
        <v/>
      </c>
      <c r="CT251" s="105" t="str">
        <f aca="false">IF($CH251&gt;$CG$8,"",VLOOKUP($CH251,$CJ$9:$CP$508,4,FALSE()))</f>
        <v/>
      </c>
      <c r="CU251" s="105" t="str">
        <f aca="false">IF($CH251&gt;$CG$8,"",VLOOKUP($CH251,$CJ$9:$CP$508,5,FALSE()))</f>
        <v/>
      </c>
      <c r="CV251" s="106" t="str">
        <f aca="false">IF($CH251&gt;$CG$8,"",VLOOKUP($CH251,$CJ$9:$CP$508,6,FALSE()))</f>
        <v/>
      </c>
      <c r="CW251" s="71"/>
    </row>
    <row r="252" customFormat="false" ht="15.75" hidden="false" customHeight="false" outlineLevel="0" collapsed="false">
      <c r="A252" s="9"/>
      <c r="B252" s="150"/>
      <c r="C252" s="151"/>
      <c r="D252" s="152"/>
      <c r="E252" s="170"/>
      <c r="F252" s="154"/>
      <c r="G252" s="155"/>
      <c r="H252" s="171"/>
      <c r="I252" s="159"/>
      <c r="J252" s="120"/>
      <c r="K252" s="121"/>
      <c r="L252" s="122"/>
      <c r="M252" s="158"/>
      <c r="N252" s="159"/>
      <c r="O252" s="159"/>
      <c r="P252" s="120"/>
      <c r="Q252" s="122"/>
      <c r="R252" s="122"/>
      <c r="S252" s="158"/>
      <c r="T252" s="159"/>
      <c r="U252" s="126"/>
      <c r="V252" s="127"/>
      <c r="W252" s="127" t="str">
        <f aca="false">IF(ISBLANK($C252),"",IF(E252=Constants!$B$2,TRUE(),IF(E252=Constants!$B$3,FALSE(),TRUE())))</f>
        <v/>
      </c>
      <c r="X252" s="127" t="str">
        <f aca="false">IF(ISBLANK($C252),"",IF(F252=Constants!$B$2,TRUE(),IF(F252=Constants!$B$3,FALSE(),TRUE())))</f>
        <v/>
      </c>
      <c r="Y252" s="127" t="str">
        <f aca="false">IF(ISBLANK($C252),"",IF(G252=Constants!$B$2,TRUE(),IF(G252=Constants!$B$3,FALSE(),TRUE())))</f>
        <v/>
      </c>
      <c r="Z252" s="127" t="str">
        <f aca="false">IF(ISBLANK($C252),"",IF(H252=Constants!$B$2,TRUE(),IF(H252=Constants!$B$3,FALSE(),TRUE())))</f>
        <v/>
      </c>
      <c r="AA252" s="127" t="str">
        <f aca="false">IF(ISBLANK($C252),"",IF(I252=Constants!$B$2,TRUE(),IF(I252=Constants!$B$3,FALSE(),TRUE())))</f>
        <v/>
      </c>
      <c r="AB252" s="127" t="str">
        <f aca="false">IF(ISBLANK($C252),"",IF(J252=Constants!$B$4,TRUE(),IF(J252=Constants!$B$5,FALSE(),COUNTA(K252:M252)&gt;0)))</f>
        <v/>
      </c>
      <c r="AC252" s="128" t="str">
        <f aca="false">IF(ISBLANK($C252),"",IF(ISNUMBER(K252),IF(K252&gt;=0,K252,""),""))</f>
        <v/>
      </c>
      <c r="AD252" s="129" t="str">
        <f aca="false">IF(ISBLANK($C252),"",IF(ISNUMBER(L252),IF(L252&gt;=0,L252,""),""))</f>
        <v/>
      </c>
      <c r="AE252" s="127" t="str">
        <f aca="false">IF(ISBLANK($C252),"",IF(ISNUMBER(M252),IF(M252&gt;=0,MIN(M252,Constants!$B$22),""),""))</f>
        <v/>
      </c>
      <c r="AF252" s="127" t="str">
        <f aca="false">IF(ISBLANK($C252),"",IF(N252=Constants!$B$2,TRUE(),IF(N252=Constants!$B$3,FALSE(),TRUE())))</f>
        <v/>
      </c>
      <c r="AG252" s="127" t="str">
        <f aca="false">IF(ISBLANK($C252),"",IF(O252=Constants!$B$2,TRUE(),IF(O252=Constants!$B$3,FALSE(),TRUE())))</f>
        <v/>
      </c>
      <c r="AH252" s="127" t="str">
        <f aca="false">IF(ISBLANK($C252),"",IF(P252=Constants!$B$4,TRUE(),IF(P252=Constants!$B$5,FALSE(),COUNTA(Q252:S252)&gt;0)))</f>
        <v/>
      </c>
      <c r="AI252" s="128" t="str">
        <f aca="false">IF(ISBLANK($C252),"",IF(ISNUMBER(Q252),IF(Q252&gt;=0,Q252,""),""))</f>
        <v/>
      </c>
      <c r="AJ252" s="129" t="str">
        <f aca="false">IF(ISBLANK($C252),"",IF(ISNUMBER(R252),IF(R252&gt;=0,R252,""),""))</f>
        <v/>
      </c>
      <c r="AK252" s="127" t="str">
        <f aca="false">IF(ISBLANK($C252),"",IF(ISNUMBER(S252),IF(S252&gt;=0,MIN(S252,Constants!$B$22),""),""))</f>
        <v/>
      </c>
      <c r="AL252" s="127" t="str">
        <f aca="false">IF(ISBLANK($C252),"",IF(T252=Constants!$B$2,TRUE(),IF(T252=Constants!$B$3,FALSE(),FALSE())))</f>
        <v/>
      </c>
      <c r="AM252" s="126" t="str">
        <f aca="false">IF(ISBLANK($C252),"",AND($AB252,OR($AC252="",$AD252="",AND(NOT(ISBLANK($M252)),$AE252=""))))</f>
        <v/>
      </c>
      <c r="AN252" s="129" t="str">
        <f aca="false">IF($BD252&lt;&gt;Constants!$B$6,"",IF($AB252,Constants!$B$17*$AD252,Constants!$B$18))</f>
        <v/>
      </c>
      <c r="AO252" s="130" t="str">
        <f aca="false">IF($BD252&lt;&gt;Constants!$B$6,"",Constants!$B$19*IF($AB252,$AC252,0))</f>
        <v/>
      </c>
      <c r="AP252" s="130" t="str">
        <f aca="false">IF($BD252&lt;&gt;Constants!$B$6,"",IF(AND($AB252,ISNUMBER($AE252)),Constants!$B$20*(Constants!$B$21-$AE252),0))</f>
        <v/>
      </c>
      <c r="AQ252" s="130" t="str">
        <f aca="false">IF($BD252&lt;&gt;Constants!$B$6,"",IF($AA252,0,Constants!$B$12)+IF($Z252,0,Constants!$B$13)+IF($Y252,0,Constants!$B$14))</f>
        <v/>
      </c>
      <c r="AR252" s="131" t="str">
        <f aca="false">IF($BD252&lt;&gt;Constants!$B$6,"",Constants!$B$16+SUM($AN252:$AQ252))</f>
        <v/>
      </c>
      <c r="AS252" s="130" t="str">
        <f aca="false">IF($BD252&lt;&gt;Constants!$B$6,"",IF($AB252,$AD252,""))</f>
        <v/>
      </c>
      <c r="AT252" s="132" t="str">
        <f aca="false">IF($BD252&lt;&gt;Constants!$B$6,"",$AO252)</f>
        <v/>
      </c>
      <c r="AU252" s="127" t="str">
        <f aca="false">IF($BD252&lt;&gt;Constants!$B$6,"",IF(OR($BA252&lt;$AR252,AND($BA252=$AR252,OR(AND(ISNUMBER($BB252),OR(NOT(ISNUMBER($AS252)),$BB252&lt;$AS252)),AND(OR(AND($BB252="",$AS252=""),AND(ISNUMBER($BB252),ISNUMBER($AS252),$BB252=$AS252)),$BC252&lt;$AT252)))),"-&gt;","&lt;-"))</f>
        <v/>
      </c>
      <c r="AV252" s="126" t="str">
        <f aca="false">IF(ISBLANK($C252),"",AND($AH252,OR($AI252="",$AJ252="",AND(NOT(ISBLANK($S252)),$AK252=""))))</f>
        <v/>
      </c>
      <c r="AW252" s="129" t="str">
        <f aca="false">IF($BD252&lt;&gt;Constants!$B$6,"",IF($AH252,Constants!$B$17*$AJ252,Constants!$B$18))</f>
        <v/>
      </c>
      <c r="AX252" s="130" t="str">
        <f aca="false">IF($BD252&lt;&gt;Constants!$B$6,"",Constants!$B$19*IF($AH252,$AI252,0))</f>
        <v/>
      </c>
      <c r="AY252" s="130" t="str">
        <f aca="false">IF($BD252&lt;&gt;Constants!$B$6,"",IF(AND($AH252,ISNUMBER($AK252)),Constants!$B$20*(Constants!$B$21-$AK252),0))</f>
        <v/>
      </c>
      <c r="AZ252" s="130" t="str">
        <f aca="false">IF($BD252&lt;&gt;Constants!$B$6,"",IF($AG252,0,Constants!$B$12)+IF($AF252,0,Constants!$B$13)+IF($Y252,0,Constants!$B$14))</f>
        <v/>
      </c>
      <c r="BA252" s="131" t="str">
        <f aca="false">IF($BD252&lt;&gt;Constants!$B$6,"",Constants!$B$16+SUM($AW252:$AZ252))</f>
        <v/>
      </c>
      <c r="BB252" s="130" t="str">
        <f aca="false">IF($BD252&lt;&gt;Constants!$B$6,"",IF($AH252,$AJ252,""))</f>
        <v/>
      </c>
      <c r="BC252" s="132" t="str">
        <f aca="false">IF($BD252&lt;&gt;Constants!$B$6,"",$AX252)</f>
        <v/>
      </c>
      <c r="BD252" s="127" t="str">
        <f aca="false">IF(ISBLANK($C252),"",IF($AL252,Constants!$B$9,IF(COUNTA($E252:$T252)=0,Constants!$B$8,IF(NOT($X252),Constants!$B$7,IF(OR($AM252,$AV252),Constants!$B$10,Constants!$B$6)))))</f>
        <v/>
      </c>
      <c r="BE252" s="127" t="str">
        <f aca="false">IF(ISBLANK($C252),"",IF($BD252&lt;&gt;Constants!$B$6,$BD252,Constants!$B$11))</f>
        <v/>
      </c>
      <c r="BF252" s="130" t="str">
        <f aca="false">IF($BD252&lt;&gt;Constants!$B$6,"",IF($AU252="-&gt;",$BA252,$AR252))</f>
        <v/>
      </c>
      <c r="BG252" s="130" t="str">
        <f aca="false">IF($BD252&lt;&gt;Constants!$B$6,"",IF($W252,0,Constants!$B$15))</f>
        <v/>
      </c>
      <c r="BH252" s="130" t="str">
        <f aca="false">IF(ISBLANK($C252),"",IF($BD252&lt;&gt;Constants!$B$6,$BD252,SUM($BF252:$BG252)))</f>
        <v/>
      </c>
      <c r="BI252" s="127" t="str">
        <f aca="false">IF(ISBLANK($C252),"",IF($BD252&lt;&gt;Constants!$B$6,$BD252,RANK($BH252,$BH$9:$BH$508,1)))</f>
        <v/>
      </c>
      <c r="BJ252" s="130" t="str">
        <f aca="false">IF($BD252&lt;&gt;Constants!$B$6,"",IF($AU252="-&gt;",$BB252,$AS252))</f>
        <v/>
      </c>
      <c r="BK252" s="127" t="str">
        <f aca="false">IF(ISBLANK($C252),"",IF($BD252&lt;&gt;Constants!$B$6,$BD252,IF(ISNUMBER($BJ252),RANK($BJ252,$BJ$9:$BJ$508,1),COUNT($BJ$9:$BJ$508)+1)))</f>
        <v/>
      </c>
      <c r="BL252" s="130" t="str">
        <f aca="false">IF($BD252&lt;&gt;Constants!$B$6,"",IF($AU252="-&gt;",$BC252,$AT252))</f>
        <v/>
      </c>
      <c r="BM252" s="127" t="str">
        <f aca="false">IF(ISBLANK($C252),"",IF($BD252&lt;&gt;Constants!$B$6,$BD252,IF(ISNUMBER($BL252),RANK($BL252,$BL$9:$BL$508,1),COUNT($BL$9:$BL$508)+1)))</f>
        <v/>
      </c>
      <c r="BN252" s="130" t="str">
        <f aca="false">IF($BD252&lt;&gt;Constants!$B$6,"",IF($AU252="-&gt;",$AS252,$BB252))</f>
        <v/>
      </c>
      <c r="BO252" s="127" t="str">
        <f aca="false">IF(ISBLANK($C252),"",IF($BD252&lt;&gt;Constants!$B$6,$BD252,IF(ISNUMBER($BN252),RANK($BN252,$BN$9:$BN$508,1),COUNT($BN$9:$BN$508)+1)))</f>
        <v/>
      </c>
      <c r="BP252" s="130" t="str">
        <f aca="false">IF($BD252&lt;&gt;Constants!$B$6,"",IF($AU252="-&gt;",$AT252,$BC252))</f>
        <v/>
      </c>
      <c r="BQ252" s="127" t="str">
        <f aca="false">IF(ISBLANK($C252),"",IF($BD252&lt;&gt;Constants!$B$6,$BD252,IF(ISNUMBER($BP252),RANK($BP252,$BP$9:$BP$508,1),COUNT($BP$9:$BP$508)+1)))</f>
        <v/>
      </c>
      <c r="BR252" s="127" t="str">
        <f aca="false">IF(ISBLANK($C252),"",IF($BD252&lt;&gt;Constants!$B$6,$BD252,COUNTIFS($BI$9:$BI$508,"&lt;"&amp;$BI252)+COUNTIFS($BI$9:$BI$508,$BI252,$BK$9:$BK$508,"&lt;"&amp;$BK252)+COUNTIFS($BI$9:$BI$508,$BI252,$BK$9:$BK$508,$BK252,$BM$9:$BM$508,"&lt;"&amp;$BM252)+COUNTIFS($BI$9:$BI$508,$BI252,$BK$9:$BK$508,$BK252,$BM$9:$BM$508,$BM252,$BO$9:$BO$508,"&lt;"&amp;$BO252)+COUNTIFS($BI$9:$BI$508,$BI252,$BK$9:$BK$508,$BK252,$BM$9:$BM$508,$BM252,$BO$9:$BO$508,$BO252,$BQ$9:$BQ$508,"&lt;"&amp;$BQ252)+1))</f>
        <v/>
      </c>
      <c r="BS252" s="127" t="str">
        <f aca="false">IF(ISBLANK($C252),"",IF($BD252&lt;&gt;Constants!$B$6,$BD252,$BI252-$BR252))</f>
        <v/>
      </c>
      <c r="BT252" s="133"/>
      <c r="BU252" s="134"/>
      <c r="BV252" s="134" t="str">
        <f aca="false">IF(ISBLANK($C252),"",IF($BD252&lt;&gt;Constants!$B$6,"",IF($AU252="-&gt;",2,1)))</f>
        <v/>
      </c>
      <c r="BW252" s="135" t="str">
        <f aca="false">IF(ISBLANK($C252),"",IF($BD252&lt;&gt;Constants!$B$6,"",IF($AU252="-&gt;",$AW252,$AN252)))</f>
        <v/>
      </c>
      <c r="BX252" s="135" t="str">
        <f aca="false">IF(ISBLANK($C252),"",IF($BD252&lt;&gt;Constants!$B$6,"",IF($AU252="-&gt;",$AX252,$AO252)))</f>
        <v/>
      </c>
      <c r="BY252" s="135" t="str">
        <f aca="false">IF(ISBLANK($C252),"",IF($BD252&lt;&gt;Constants!$B$6,"",IF($AU252="-&gt;",$AY252,$AP252)))</f>
        <v/>
      </c>
      <c r="BZ252" s="135" t="str">
        <f aca="false">IF(ISBLANK($C252),"",IF($BD252&lt;&gt;Constants!$B$6,"",IF($AU252="-&gt;",$AZ252,$AQ252)+$BG252))</f>
        <v/>
      </c>
      <c r="CA252" s="136" t="str">
        <f aca="false">IF(ISBLANK($C252),"",IF($BD252&lt;&gt;Constants!$B$6,$BD252,$BH252))</f>
        <v/>
      </c>
      <c r="CB252" s="137" t="str">
        <f aca="false">IF(ISBLANK($C252),"",$BE252)</f>
        <v/>
      </c>
      <c r="CC252" s="138" t="str">
        <f aca="false">IF(ISBLANK($C252),"",$BS252)</f>
        <v/>
      </c>
      <c r="CD252" s="138" t="str">
        <f aca="false">IF(ISBLANK($C252),"",$BR252)</f>
        <v/>
      </c>
      <c r="CE252" s="139" t="str">
        <f aca="false">IF(ISBLANK($C252),"",IF($CD252=Constants!$B$9,COUNTA($C$9:$C$508)+2,IF($CD252=Constants!$B$8,COUNTA($C$9:$C$508)+1,IF($CD252=Constants!$B$7,COUNTA($C$9:$C$508),$CD252))))</f>
        <v/>
      </c>
      <c r="CF252" s="9"/>
      <c r="CG252" s="140" t="n">
        <f aca="false">IF(OR(ISNUMBER($CD252),$CD252=Constants!$B$9,$CD252=Constants!$B$7,$CD252=Constants!$B$8),1,0)</f>
        <v>0</v>
      </c>
      <c r="CH252" s="140" t="n">
        <v>244</v>
      </c>
      <c r="CI252" s="140" t="str">
        <f aca="false">IF(ISBLANK($C252),"",IF(ISNUMBER($CE252),$CE252+ROW($B252)/1000,""))</f>
        <v/>
      </c>
      <c r="CJ252" s="140" t="str">
        <f aca="false">IF(ISNUMBER($CI252),RANK($CI252,$CI$9:$CI$508,1),"")</f>
        <v/>
      </c>
      <c r="CK252" s="140" t="str">
        <f aca="false">IF(ISBLANK($C252),"",$B252)</f>
        <v/>
      </c>
      <c r="CL252" s="140" t="str">
        <f aca="false">IF(ISBLANK($C252),"",$C252)</f>
        <v/>
      </c>
      <c r="CM252" s="140" t="str">
        <f aca="false">IF(ISBLANK($C252),"",$D252)</f>
        <v/>
      </c>
      <c r="CN252" s="141" t="str">
        <f aca="false">$CB252</f>
        <v/>
      </c>
      <c r="CO252" s="142" t="str">
        <f aca="false">$CA252</f>
        <v/>
      </c>
      <c r="CP252" s="140" t="str">
        <f aca="false">IF(ISBLANK($C252),"",$CD252)</f>
        <v/>
      </c>
      <c r="CQ252" s="143" t="str">
        <f aca="false">IF($CH252&gt;$CG$8,"",VLOOKUP($CH252,$CJ$9:$CP$508,7,FALSE()))</f>
        <v/>
      </c>
      <c r="CR252" s="144" t="str">
        <f aca="false">IF($CH252&gt;$CG$8,"",VLOOKUP($CH252,$CJ$9:$CP$508,2,FALSE()))</f>
        <v/>
      </c>
      <c r="CS252" s="144" t="str">
        <f aca="false">IF($CH252&gt;$CG$8,"",VLOOKUP($CH252,$CJ$9:$CP$508,3,FALSE()))</f>
        <v/>
      </c>
      <c r="CT252" s="144" t="str">
        <f aca="false">IF($CH252&gt;$CG$8,"",VLOOKUP($CH252,$CJ$9:$CP$508,4,FALSE()))</f>
        <v/>
      </c>
      <c r="CU252" s="144" t="str">
        <f aca="false">IF($CH252&gt;$CG$8,"",VLOOKUP($CH252,$CJ$9:$CP$508,5,FALSE()))</f>
        <v/>
      </c>
      <c r="CV252" s="145" t="str">
        <f aca="false">IF($CH252&gt;$CG$8,"",VLOOKUP($CH252,$CJ$9:$CP$508,6,FALSE()))</f>
        <v/>
      </c>
      <c r="CW252" s="71"/>
    </row>
    <row r="253" customFormat="false" ht="15.75" hidden="false" customHeight="false" outlineLevel="0" collapsed="false">
      <c r="A253" s="9"/>
      <c r="B253" s="150"/>
      <c r="C253" s="151"/>
      <c r="D253" s="152"/>
      <c r="E253" s="170"/>
      <c r="F253" s="154"/>
      <c r="G253" s="155"/>
      <c r="H253" s="171"/>
      <c r="I253" s="159"/>
      <c r="J253" s="120"/>
      <c r="K253" s="121"/>
      <c r="L253" s="122"/>
      <c r="M253" s="158"/>
      <c r="N253" s="159"/>
      <c r="O253" s="159"/>
      <c r="P253" s="120"/>
      <c r="Q253" s="122"/>
      <c r="R253" s="122"/>
      <c r="S253" s="158"/>
      <c r="T253" s="159"/>
      <c r="U253" s="126"/>
      <c r="V253" s="127"/>
      <c r="W253" s="127" t="str">
        <f aca="false">IF(ISBLANK($C253),"",IF(E253=Constants!$B$2,TRUE(),IF(E253=Constants!$B$3,FALSE(),TRUE())))</f>
        <v/>
      </c>
      <c r="X253" s="127" t="str">
        <f aca="false">IF(ISBLANK($C253),"",IF(F253=Constants!$B$2,TRUE(),IF(F253=Constants!$B$3,FALSE(),TRUE())))</f>
        <v/>
      </c>
      <c r="Y253" s="127" t="str">
        <f aca="false">IF(ISBLANK($C253),"",IF(G253=Constants!$B$2,TRUE(),IF(G253=Constants!$B$3,FALSE(),TRUE())))</f>
        <v/>
      </c>
      <c r="Z253" s="127" t="str">
        <f aca="false">IF(ISBLANK($C253),"",IF(H253=Constants!$B$2,TRUE(),IF(H253=Constants!$B$3,FALSE(),TRUE())))</f>
        <v/>
      </c>
      <c r="AA253" s="127" t="str">
        <f aca="false">IF(ISBLANK($C253),"",IF(I253=Constants!$B$2,TRUE(),IF(I253=Constants!$B$3,FALSE(),TRUE())))</f>
        <v/>
      </c>
      <c r="AB253" s="127" t="str">
        <f aca="false">IF(ISBLANK($C253),"",IF(J253=Constants!$B$4,TRUE(),IF(J253=Constants!$B$5,FALSE(),COUNTA(K253:M253)&gt;0)))</f>
        <v/>
      </c>
      <c r="AC253" s="128" t="str">
        <f aca="false">IF(ISBLANK($C253),"",IF(ISNUMBER(K253),IF(K253&gt;=0,K253,""),""))</f>
        <v/>
      </c>
      <c r="AD253" s="129" t="str">
        <f aca="false">IF(ISBLANK($C253),"",IF(ISNUMBER(L253),IF(L253&gt;=0,L253,""),""))</f>
        <v/>
      </c>
      <c r="AE253" s="127" t="str">
        <f aca="false">IF(ISBLANK($C253),"",IF(ISNUMBER(M253),IF(M253&gt;=0,MIN(M253,Constants!$B$22),""),""))</f>
        <v/>
      </c>
      <c r="AF253" s="127" t="str">
        <f aca="false">IF(ISBLANK($C253),"",IF(N253=Constants!$B$2,TRUE(),IF(N253=Constants!$B$3,FALSE(),TRUE())))</f>
        <v/>
      </c>
      <c r="AG253" s="127" t="str">
        <f aca="false">IF(ISBLANK($C253),"",IF(O253=Constants!$B$2,TRUE(),IF(O253=Constants!$B$3,FALSE(),TRUE())))</f>
        <v/>
      </c>
      <c r="AH253" s="127" t="str">
        <f aca="false">IF(ISBLANK($C253),"",IF(P253=Constants!$B$4,TRUE(),IF(P253=Constants!$B$5,FALSE(),COUNTA(Q253:S253)&gt;0)))</f>
        <v/>
      </c>
      <c r="AI253" s="128" t="str">
        <f aca="false">IF(ISBLANK($C253),"",IF(ISNUMBER(Q253),IF(Q253&gt;=0,Q253,""),""))</f>
        <v/>
      </c>
      <c r="AJ253" s="129" t="str">
        <f aca="false">IF(ISBLANK($C253),"",IF(ISNUMBER(R253),IF(R253&gt;=0,R253,""),""))</f>
        <v/>
      </c>
      <c r="AK253" s="127" t="str">
        <f aca="false">IF(ISBLANK($C253),"",IF(ISNUMBER(S253),IF(S253&gt;=0,MIN(S253,Constants!$B$22),""),""))</f>
        <v/>
      </c>
      <c r="AL253" s="127" t="str">
        <f aca="false">IF(ISBLANK($C253),"",IF(T253=Constants!$B$2,TRUE(),IF(T253=Constants!$B$3,FALSE(),FALSE())))</f>
        <v/>
      </c>
      <c r="AM253" s="126" t="str">
        <f aca="false">IF(ISBLANK($C253),"",AND($AB253,OR($AC253="",$AD253="",AND(NOT(ISBLANK($M253)),$AE253=""))))</f>
        <v/>
      </c>
      <c r="AN253" s="129" t="str">
        <f aca="false">IF($BD253&lt;&gt;Constants!$B$6,"",IF($AB253,Constants!$B$17*$AD253,Constants!$B$18))</f>
        <v/>
      </c>
      <c r="AO253" s="130" t="str">
        <f aca="false">IF($BD253&lt;&gt;Constants!$B$6,"",Constants!$B$19*IF($AB253,$AC253,0))</f>
        <v/>
      </c>
      <c r="AP253" s="130" t="str">
        <f aca="false">IF($BD253&lt;&gt;Constants!$B$6,"",IF(AND($AB253,ISNUMBER($AE253)),Constants!$B$20*(Constants!$B$21-$AE253),0))</f>
        <v/>
      </c>
      <c r="AQ253" s="130" t="str">
        <f aca="false">IF($BD253&lt;&gt;Constants!$B$6,"",IF($AA253,0,Constants!$B$12)+IF($Z253,0,Constants!$B$13)+IF($Y253,0,Constants!$B$14))</f>
        <v/>
      </c>
      <c r="AR253" s="131" t="str">
        <f aca="false">IF($BD253&lt;&gt;Constants!$B$6,"",Constants!$B$16+SUM($AN253:$AQ253))</f>
        <v/>
      </c>
      <c r="AS253" s="130" t="str">
        <f aca="false">IF($BD253&lt;&gt;Constants!$B$6,"",IF($AB253,$AD253,""))</f>
        <v/>
      </c>
      <c r="AT253" s="132" t="str">
        <f aca="false">IF($BD253&lt;&gt;Constants!$B$6,"",$AO253)</f>
        <v/>
      </c>
      <c r="AU253" s="127" t="str">
        <f aca="false">IF($BD253&lt;&gt;Constants!$B$6,"",IF(OR($BA253&lt;$AR253,AND($BA253=$AR253,OR(AND(ISNUMBER($BB253),OR(NOT(ISNUMBER($AS253)),$BB253&lt;$AS253)),AND(OR(AND($BB253="",$AS253=""),AND(ISNUMBER($BB253),ISNUMBER($AS253),$BB253=$AS253)),$BC253&lt;$AT253)))),"-&gt;","&lt;-"))</f>
        <v/>
      </c>
      <c r="AV253" s="126" t="str">
        <f aca="false">IF(ISBLANK($C253),"",AND($AH253,OR($AI253="",$AJ253="",AND(NOT(ISBLANK($S253)),$AK253=""))))</f>
        <v/>
      </c>
      <c r="AW253" s="129" t="str">
        <f aca="false">IF($BD253&lt;&gt;Constants!$B$6,"",IF($AH253,Constants!$B$17*$AJ253,Constants!$B$18))</f>
        <v/>
      </c>
      <c r="AX253" s="130" t="str">
        <f aca="false">IF($BD253&lt;&gt;Constants!$B$6,"",Constants!$B$19*IF($AH253,$AI253,0))</f>
        <v/>
      </c>
      <c r="AY253" s="130" t="str">
        <f aca="false">IF($BD253&lt;&gt;Constants!$B$6,"",IF(AND($AH253,ISNUMBER($AK253)),Constants!$B$20*(Constants!$B$21-$AK253),0))</f>
        <v/>
      </c>
      <c r="AZ253" s="130" t="str">
        <f aca="false">IF($BD253&lt;&gt;Constants!$B$6,"",IF($AG253,0,Constants!$B$12)+IF($AF253,0,Constants!$B$13)+IF($Y253,0,Constants!$B$14))</f>
        <v/>
      </c>
      <c r="BA253" s="131" t="str">
        <f aca="false">IF($BD253&lt;&gt;Constants!$B$6,"",Constants!$B$16+SUM($AW253:$AZ253))</f>
        <v/>
      </c>
      <c r="BB253" s="130" t="str">
        <f aca="false">IF($BD253&lt;&gt;Constants!$B$6,"",IF($AH253,$AJ253,""))</f>
        <v/>
      </c>
      <c r="BC253" s="132" t="str">
        <f aca="false">IF($BD253&lt;&gt;Constants!$B$6,"",$AX253)</f>
        <v/>
      </c>
      <c r="BD253" s="127" t="str">
        <f aca="false">IF(ISBLANK($C253),"",IF($AL253,Constants!$B$9,IF(COUNTA($E253:$T253)=0,Constants!$B$8,IF(NOT($X253),Constants!$B$7,IF(OR($AM253,$AV253),Constants!$B$10,Constants!$B$6)))))</f>
        <v/>
      </c>
      <c r="BE253" s="127" t="str">
        <f aca="false">IF(ISBLANK($C253),"",IF($BD253&lt;&gt;Constants!$B$6,$BD253,Constants!$B$11))</f>
        <v/>
      </c>
      <c r="BF253" s="130" t="str">
        <f aca="false">IF($BD253&lt;&gt;Constants!$B$6,"",IF($AU253="-&gt;",$BA253,$AR253))</f>
        <v/>
      </c>
      <c r="BG253" s="130" t="str">
        <f aca="false">IF($BD253&lt;&gt;Constants!$B$6,"",IF($W253,0,Constants!$B$15))</f>
        <v/>
      </c>
      <c r="BH253" s="130" t="str">
        <f aca="false">IF(ISBLANK($C253),"",IF($BD253&lt;&gt;Constants!$B$6,$BD253,SUM($BF253:$BG253)))</f>
        <v/>
      </c>
      <c r="BI253" s="127" t="str">
        <f aca="false">IF(ISBLANK($C253),"",IF($BD253&lt;&gt;Constants!$B$6,$BD253,RANK($BH253,$BH$9:$BH$508,1)))</f>
        <v/>
      </c>
      <c r="BJ253" s="130" t="str">
        <f aca="false">IF($BD253&lt;&gt;Constants!$B$6,"",IF($AU253="-&gt;",$BB253,$AS253))</f>
        <v/>
      </c>
      <c r="BK253" s="127" t="str">
        <f aca="false">IF(ISBLANK($C253),"",IF($BD253&lt;&gt;Constants!$B$6,$BD253,IF(ISNUMBER($BJ253),RANK($BJ253,$BJ$9:$BJ$508,1),COUNT($BJ$9:$BJ$508)+1)))</f>
        <v/>
      </c>
      <c r="BL253" s="130" t="str">
        <f aca="false">IF($BD253&lt;&gt;Constants!$B$6,"",IF($AU253="-&gt;",$BC253,$AT253))</f>
        <v/>
      </c>
      <c r="BM253" s="127" t="str">
        <f aca="false">IF(ISBLANK($C253),"",IF($BD253&lt;&gt;Constants!$B$6,$BD253,IF(ISNUMBER($BL253),RANK($BL253,$BL$9:$BL$508,1),COUNT($BL$9:$BL$508)+1)))</f>
        <v/>
      </c>
      <c r="BN253" s="130" t="str">
        <f aca="false">IF($BD253&lt;&gt;Constants!$B$6,"",IF($AU253="-&gt;",$AS253,$BB253))</f>
        <v/>
      </c>
      <c r="BO253" s="127" t="str">
        <f aca="false">IF(ISBLANK($C253),"",IF($BD253&lt;&gt;Constants!$B$6,$BD253,IF(ISNUMBER($BN253),RANK($BN253,$BN$9:$BN$508,1),COUNT($BN$9:$BN$508)+1)))</f>
        <v/>
      </c>
      <c r="BP253" s="130" t="str">
        <f aca="false">IF($BD253&lt;&gt;Constants!$B$6,"",IF($AU253="-&gt;",$AT253,$BC253))</f>
        <v/>
      </c>
      <c r="BQ253" s="127" t="str">
        <f aca="false">IF(ISBLANK($C253),"",IF($BD253&lt;&gt;Constants!$B$6,$BD253,IF(ISNUMBER($BP253),RANK($BP253,$BP$9:$BP$508,1),COUNT($BP$9:$BP$508)+1)))</f>
        <v/>
      </c>
      <c r="BR253" s="127" t="str">
        <f aca="false">IF(ISBLANK($C253),"",IF($BD253&lt;&gt;Constants!$B$6,$BD253,COUNTIFS($BI$9:$BI$508,"&lt;"&amp;$BI253)+COUNTIFS($BI$9:$BI$508,$BI253,$BK$9:$BK$508,"&lt;"&amp;$BK253)+COUNTIFS($BI$9:$BI$508,$BI253,$BK$9:$BK$508,$BK253,$BM$9:$BM$508,"&lt;"&amp;$BM253)+COUNTIFS($BI$9:$BI$508,$BI253,$BK$9:$BK$508,$BK253,$BM$9:$BM$508,$BM253,$BO$9:$BO$508,"&lt;"&amp;$BO253)+COUNTIFS($BI$9:$BI$508,$BI253,$BK$9:$BK$508,$BK253,$BM$9:$BM$508,$BM253,$BO$9:$BO$508,$BO253,$BQ$9:$BQ$508,"&lt;"&amp;$BQ253)+1))</f>
        <v/>
      </c>
      <c r="BS253" s="127" t="str">
        <f aca="false">IF(ISBLANK($C253),"",IF($BD253&lt;&gt;Constants!$B$6,$BD253,$BI253-$BR253))</f>
        <v/>
      </c>
      <c r="BT253" s="133"/>
      <c r="BU253" s="134"/>
      <c r="BV253" s="134" t="str">
        <f aca="false">IF(ISBLANK($C253),"",IF($BD253&lt;&gt;Constants!$B$6,"",IF($AU253="-&gt;",2,1)))</f>
        <v/>
      </c>
      <c r="BW253" s="135" t="str">
        <f aca="false">IF(ISBLANK($C253),"",IF($BD253&lt;&gt;Constants!$B$6,"",IF($AU253="-&gt;",$AW253,$AN253)))</f>
        <v/>
      </c>
      <c r="BX253" s="135" t="str">
        <f aca="false">IF(ISBLANK($C253),"",IF($BD253&lt;&gt;Constants!$B$6,"",IF($AU253="-&gt;",$AX253,$AO253)))</f>
        <v/>
      </c>
      <c r="BY253" s="135" t="str">
        <f aca="false">IF(ISBLANK($C253),"",IF($BD253&lt;&gt;Constants!$B$6,"",IF($AU253="-&gt;",$AY253,$AP253)))</f>
        <v/>
      </c>
      <c r="BZ253" s="135" t="str">
        <f aca="false">IF(ISBLANK($C253),"",IF($BD253&lt;&gt;Constants!$B$6,"",IF($AU253="-&gt;",$AZ253,$AQ253)+$BG253))</f>
        <v/>
      </c>
      <c r="CA253" s="136" t="str">
        <f aca="false">IF(ISBLANK($C253),"",IF($BD253&lt;&gt;Constants!$B$6,$BD253,$BH253))</f>
        <v/>
      </c>
      <c r="CB253" s="137" t="str">
        <f aca="false">IF(ISBLANK($C253),"",$BE253)</f>
        <v/>
      </c>
      <c r="CC253" s="138" t="str">
        <f aca="false">IF(ISBLANK($C253),"",$BS253)</f>
        <v/>
      </c>
      <c r="CD253" s="138" t="str">
        <f aca="false">IF(ISBLANK($C253),"",$BR253)</f>
        <v/>
      </c>
      <c r="CE253" s="139" t="str">
        <f aca="false">IF(ISBLANK($C253),"",IF($CD253=Constants!$B$9,COUNTA($C$9:$C$508)+2,IF($CD253=Constants!$B$8,COUNTA($C$9:$C$508)+1,IF($CD253=Constants!$B$7,COUNTA($C$9:$C$508),$CD253))))</f>
        <v/>
      </c>
      <c r="CF253" s="9"/>
      <c r="CG253" s="140" t="n">
        <f aca="false">IF(OR(ISNUMBER($CD253),$CD253=Constants!$B$9,$CD253=Constants!$B$7,$CD253=Constants!$B$8),1,0)</f>
        <v>0</v>
      </c>
      <c r="CH253" s="140" t="n">
        <v>245</v>
      </c>
      <c r="CI253" s="140" t="str">
        <f aca="false">IF(ISBLANK($C253),"",IF(ISNUMBER($CE253),$CE253+ROW($B253)/1000,""))</f>
        <v/>
      </c>
      <c r="CJ253" s="140" t="str">
        <f aca="false">IF(ISNUMBER($CI253),RANK($CI253,$CI$9:$CI$508,1),"")</f>
        <v/>
      </c>
      <c r="CK253" s="140" t="str">
        <f aca="false">IF(ISBLANK($C253),"",$B253)</f>
        <v/>
      </c>
      <c r="CL253" s="140" t="str">
        <f aca="false">IF(ISBLANK($C253),"",$C253)</f>
        <v/>
      </c>
      <c r="CM253" s="140" t="str">
        <f aca="false">IF(ISBLANK($C253),"",$D253)</f>
        <v/>
      </c>
      <c r="CN253" s="141" t="str">
        <f aca="false">$CB253</f>
        <v/>
      </c>
      <c r="CO253" s="142" t="str">
        <f aca="false">$CA253</f>
        <v/>
      </c>
      <c r="CP253" s="140" t="str">
        <f aca="false">IF(ISBLANK($C253),"",$CD253)</f>
        <v/>
      </c>
      <c r="CQ253" s="143" t="str">
        <f aca="false">IF($CH253&gt;$CG$8,"",VLOOKUP($CH253,$CJ$9:$CP$508,7,FALSE()))</f>
        <v/>
      </c>
      <c r="CR253" s="144" t="str">
        <f aca="false">IF($CH253&gt;$CG$8,"",VLOOKUP($CH253,$CJ$9:$CP$508,2,FALSE()))</f>
        <v/>
      </c>
      <c r="CS253" s="144" t="str">
        <f aca="false">IF($CH253&gt;$CG$8,"",VLOOKUP($CH253,$CJ$9:$CP$508,3,FALSE()))</f>
        <v/>
      </c>
      <c r="CT253" s="144" t="str">
        <f aca="false">IF($CH253&gt;$CG$8,"",VLOOKUP($CH253,$CJ$9:$CP$508,4,FALSE()))</f>
        <v/>
      </c>
      <c r="CU253" s="144" t="str">
        <f aca="false">IF($CH253&gt;$CG$8,"",VLOOKUP($CH253,$CJ$9:$CP$508,5,FALSE()))</f>
        <v/>
      </c>
      <c r="CV253" s="145" t="str">
        <f aca="false">IF($CH253&gt;$CG$8,"",VLOOKUP($CH253,$CJ$9:$CP$508,6,FALSE()))</f>
        <v/>
      </c>
      <c r="CW253" s="71"/>
    </row>
    <row r="254" customFormat="false" ht="15.75" hidden="false" customHeight="false" outlineLevel="0" collapsed="false">
      <c r="A254" s="9"/>
      <c r="B254" s="150"/>
      <c r="C254" s="151"/>
      <c r="D254" s="152"/>
      <c r="E254" s="170"/>
      <c r="F254" s="154"/>
      <c r="G254" s="155"/>
      <c r="H254" s="171"/>
      <c r="I254" s="159"/>
      <c r="J254" s="120"/>
      <c r="K254" s="121"/>
      <c r="L254" s="122"/>
      <c r="M254" s="158"/>
      <c r="N254" s="159"/>
      <c r="O254" s="159"/>
      <c r="P254" s="120"/>
      <c r="Q254" s="122"/>
      <c r="R254" s="122"/>
      <c r="S254" s="158"/>
      <c r="T254" s="159"/>
      <c r="U254" s="126"/>
      <c r="V254" s="127"/>
      <c r="W254" s="127" t="str">
        <f aca="false">IF(ISBLANK($C254),"",IF(E254=Constants!$B$2,TRUE(),IF(E254=Constants!$B$3,FALSE(),TRUE())))</f>
        <v/>
      </c>
      <c r="X254" s="127" t="str">
        <f aca="false">IF(ISBLANK($C254),"",IF(F254=Constants!$B$2,TRUE(),IF(F254=Constants!$B$3,FALSE(),TRUE())))</f>
        <v/>
      </c>
      <c r="Y254" s="127" t="str">
        <f aca="false">IF(ISBLANK($C254),"",IF(G254=Constants!$B$2,TRUE(),IF(G254=Constants!$B$3,FALSE(),TRUE())))</f>
        <v/>
      </c>
      <c r="Z254" s="127" t="str">
        <f aca="false">IF(ISBLANK($C254),"",IF(H254=Constants!$B$2,TRUE(),IF(H254=Constants!$B$3,FALSE(),TRUE())))</f>
        <v/>
      </c>
      <c r="AA254" s="127" t="str">
        <f aca="false">IF(ISBLANK($C254),"",IF(I254=Constants!$B$2,TRUE(),IF(I254=Constants!$B$3,FALSE(),TRUE())))</f>
        <v/>
      </c>
      <c r="AB254" s="127" t="str">
        <f aca="false">IF(ISBLANK($C254),"",IF(J254=Constants!$B$4,TRUE(),IF(J254=Constants!$B$5,FALSE(),COUNTA(K254:M254)&gt;0)))</f>
        <v/>
      </c>
      <c r="AC254" s="128" t="str">
        <f aca="false">IF(ISBLANK($C254),"",IF(ISNUMBER(K254),IF(K254&gt;=0,K254,""),""))</f>
        <v/>
      </c>
      <c r="AD254" s="129" t="str">
        <f aca="false">IF(ISBLANK($C254),"",IF(ISNUMBER(L254),IF(L254&gt;=0,L254,""),""))</f>
        <v/>
      </c>
      <c r="AE254" s="127" t="str">
        <f aca="false">IF(ISBLANK($C254),"",IF(ISNUMBER(M254),IF(M254&gt;=0,MIN(M254,Constants!$B$22),""),""))</f>
        <v/>
      </c>
      <c r="AF254" s="127" t="str">
        <f aca="false">IF(ISBLANK($C254),"",IF(N254=Constants!$B$2,TRUE(),IF(N254=Constants!$B$3,FALSE(),TRUE())))</f>
        <v/>
      </c>
      <c r="AG254" s="127" t="str">
        <f aca="false">IF(ISBLANK($C254),"",IF(O254=Constants!$B$2,TRUE(),IF(O254=Constants!$B$3,FALSE(),TRUE())))</f>
        <v/>
      </c>
      <c r="AH254" s="127" t="str">
        <f aca="false">IF(ISBLANK($C254),"",IF(P254=Constants!$B$4,TRUE(),IF(P254=Constants!$B$5,FALSE(),COUNTA(Q254:S254)&gt;0)))</f>
        <v/>
      </c>
      <c r="AI254" s="128" t="str">
        <f aca="false">IF(ISBLANK($C254),"",IF(ISNUMBER(Q254),IF(Q254&gt;=0,Q254,""),""))</f>
        <v/>
      </c>
      <c r="AJ254" s="129" t="str">
        <f aca="false">IF(ISBLANK($C254),"",IF(ISNUMBER(R254),IF(R254&gt;=0,R254,""),""))</f>
        <v/>
      </c>
      <c r="AK254" s="127" t="str">
        <f aca="false">IF(ISBLANK($C254),"",IF(ISNUMBER(S254),IF(S254&gt;=0,MIN(S254,Constants!$B$22),""),""))</f>
        <v/>
      </c>
      <c r="AL254" s="127" t="str">
        <f aca="false">IF(ISBLANK($C254),"",IF(T254=Constants!$B$2,TRUE(),IF(T254=Constants!$B$3,FALSE(),FALSE())))</f>
        <v/>
      </c>
      <c r="AM254" s="126" t="str">
        <f aca="false">IF(ISBLANK($C254),"",AND($AB254,OR($AC254="",$AD254="",AND(NOT(ISBLANK($M254)),$AE254=""))))</f>
        <v/>
      </c>
      <c r="AN254" s="129" t="str">
        <f aca="false">IF($BD254&lt;&gt;Constants!$B$6,"",IF($AB254,Constants!$B$17*$AD254,Constants!$B$18))</f>
        <v/>
      </c>
      <c r="AO254" s="130" t="str">
        <f aca="false">IF($BD254&lt;&gt;Constants!$B$6,"",Constants!$B$19*IF($AB254,$AC254,0))</f>
        <v/>
      </c>
      <c r="AP254" s="130" t="str">
        <f aca="false">IF($BD254&lt;&gt;Constants!$B$6,"",IF(AND($AB254,ISNUMBER($AE254)),Constants!$B$20*(Constants!$B$21-$AE254),0))</f>
        <v/>
      </c>
      <c r="AQ254" s="130" t="str">
        <f aca="false">IF($BD254&lt;&gt;Constants!$B$6,"",IF($AA254,0,Constants!$B$12)+IF($Z254,0,Constants!$B$13)+IF($Y254,0,Constants!$B$14))</f>
        <v/>
      </c>
      <c r="AR254" s="131" t="str">
        <f aca="false">IF($BD254&lt;&gt;Constants!$B$6,"",Constants!$B$16+SUM($AN254:$AQ254))</f>
        <v/>
      </c>
      <c r="AS254" s="130" t="str">
        <f aca="false">IF($BD254&lt;&gt;Constants!$B$6,"",IF($AB254,$AD254,""))</f>
        <v/>
      </c>
      <c r="AT254" s="132" t="str">
        <f aca="false">IF($BD254&lt;&gt;Constants!$B$6,"",$AO254)</f>
        <v/>
      </c>
      <c r="AU254" s="127" t="str">
        <f aca="false">IF($BD254&lt;&gt;Constants!$B$6,"",IF(OR($BA254&lt;$AR254,AND($BA254=$AR254,OR(AND(ISNUMBER($BB254),OR(NOT(ISNUMBER($AS254)),$BB254&lt;$AS254)),AND(OR(AND($BB254="",$AS254=""),AND(ISNUMBER($BB254),ISNUMBER($AS254),$BB254=$AS254)),$BC254&lt;$AT254)))),"-&gt;","&lt;-"))</f>
        <v/>
      </c>
      <c r="AV254" s="126" t="str">
        <f aca="false">IF(ISBLANK($C254),"",AND($AH254,OR($AI254="",$AJ254="",AND(NOT(ISBLANK($S254)),$AK254=""))))</f>
        <v/>
      </c>
      <c r="AW254" s="129" t="str">
        <f aca="false">IF($BD254&lt;&gt;Constants!$B$6,"",IF($AH254,Constants!$B$17*$AJ254,Constants!$B$18))</f>
        <v/>
      </c>
      <c r="AX254" s="130" t="str">
        <f aca="false">IF($BD254&lt;&gt;Constants!$B$6,"",Constants!$B$19*IF($AH254,$AI254,0))</f>
        <v/>
      </c>
      <c r="AY254" s="130" t="str">
        <f aca="false">IF($BD254&lt;&gt;Constants!$B$6,"",IF(AND($AH254,ISNUMBER($AK254)),Constants!$B$20*(Constants!$B$21-$AK254),0))</f>
        <v/>
      </c>
      <c r="AZ254" s="130" t="str">
        <f aca="false">IF($BD254&lt;&gt;Constants!$B$6,"",IF($AG254,0,Constants!$B$12)+IF($AF254,0,Constants!$B$13)+IF($Y254,0,Constants!$B$14))</f>
        <v/>
      </c>
      <c r="BA254" s="131" t="str">
        <f aca="false">IF($BD254&lt;&gt;Constants!$B$6,"",Constants!$B$16+SUM($AW254:$AZ254))</f>
        <v/>
      </c>
      <c r="BB254" s="130" t="str">
        <f aca="false">IF($BD254&lt;&gt;Constants!$B$6,"",IF($AH254,$AJ254,""))</f>
        <v/>
      </c>
      <c r="BC254" s="132" t="str">
        <f aca="false">IF($BD254&lt;&gt;Constants!$B$6,"",$AX254)</f>
        <v/>
      </c>
      <c r="BD254" s="127" t="str">
        <f aca="false">IF(ISBLANK($C254),"",IF($AL254,Constants!$B$9,IF(COUNTA($E254:$T254)=0,Constants!$B$8,IF(NOT($X254),Constants!$B$7,IF(OR($AM254,$AV254),Constants!$B$10,Constants!$B$6)))))</f>
        <v/>
      </c>
      <c r="BE254" s="127" t="str">
        <f aca="false">IF(ISBLANK($C254),"",IF($BD254&lt;&gt;Constants!$B$6,$BD254,Constants!$B$11))</f>
        <v/>
      </c>
      <c r="BF254" s="130" t="str">
        <f aca="false">IF($BD254&lt;&gt;Constants!$B$6,"",IF($AU254="-&gt;",$BA254,$AR254))</f>
        <v/>
      </c>
      <c r="BG254" s="130" t="str">
        <f aca="false">IF($BD254&lt;&gt;Constants!$B$6,"",IF($W254,0,Constants!$B$15))</f>
        <v/>
      </c>
      <c r="BH254" s="130" t="str">
        <f aca="false">IF(ISBLANK($C254),"",IF($BD254&lt;&gt;Constants!$B$6,$BD254,SUM($BF254:$BG254)))</f>
        <v/>
      </c>
      <c r="BI254" s="127" t="str">
        <f aca="false">IF(ISBLANK($C254),"",IF($BD254&lt;&gt;Constants!$B$6,$BD254,RANK($BH254,$BH$9:$BH$508,1)))</f>
        <v/>
      </c>
      <c r="BJ254" s="130" t="str">
        <f aca="false">IF($BD254&lt;&gt;Constants!$B$6,"",IF($AU254="-&gt;",$BB254,$AS254))</f>
        <v/>
      </c>
      <c r="BK254" s="127" t="str">
        <f aca="false">IF(ISBLANK($C254),"",IF($BD254&lt;&gt;Constants!$B$6,$BD254,IF(ISNUMBER($BJ254),RANK($BJ254,$BJ$9:$BJ$508,1),COUNT($BJ$9:$BJ$508)+1)))</f>
        <v/>
      </c>
      <c r="BL254" s="130" t="str">
        <f aca="false">IF($BD254&lt;&gt;Constants!$B$6,"",IF($AU254="-&gt;",$BC254,$AT254))</f>
        <v/>
      </c>
      <c r="BM254" s="127" t="str">
        <f aca="false">IF(ISBLANK($C254),"",IF($BD254&lt;&gt;Constants!$B$6,$BD254,IF(ISNUMBER($BL254),RANK($BL254,$BL$9:$BL$508,1),COUNT($BL$9:$BL$508)+1)))</f>
        <v/>
      </c>
      <c r="BN254" s="130" t="str">
        <f aca="false">IF($BD254&lt;&gt;Constants!$B$6,"",IF($AU254="-&gt;",$AS254,$BB254))</f>
        <v/>
      </c>
      <c r="BO254" s="127" t="str">
        <f aca="false">IF(ISBLANK($C254),"",IF($BD254&lt;&gt;Constants!$B$6,$BD254,IF(ISNUMBER($BN254),RANK($BN254,$BN$9:$BN$508,1),COUNT($BN$9:$BN$508)+1)))</f>
        <v/>
      </c>
      <c r="BP254" s="130" t="str">
        <f aca="false">IF($BD254&lt;&gt;Constants!$B$6,"",IF($AU254="-&gt;",$AT254,$BC254))</f>
        <v/>
      </c>
      <c r="BQ254" s="127" t="str">
        <f aca="false">IF(ISBLANK($C254),"",IF($BD254&lt;&gt;Constants!$B$6,$BD254,IF(ISNUMBER($BP254),RANK($BP254,$BP$9:$BP$508,1),COUNT($BP$9:$BP$508)+1)))</f>
        <v/>
      </c>
      <c r="BR254" s="127" t="str">
        <f aca="false">IF(ISBLANK($C254),"",IF($BD254&lt;&gt;Constants!$B$6,$BD254,COUNTIFS($BI$9:$BI$508,"&lt;"&amp;$BI254)+COUNTIFS($BI$9:$BI$508,$BI254,$BK$9:$BK$508,"&lt;"&amp;$BK254)+COUNTIFS($BI$9:$BI$508,$BI254,$BK$9:$BK$508,$BK254,$BM$9:$BM$508,"&lt;"&amp;$BM254)+COUNTIFS($BI$9:$BI$508,$BI254,$BK$9:$BK$508,$BK254,$BM$9:$BM$508,$BM254,$BO$9:$BO$508,"&lt;"&amp;$BO254)+COUNTIFS($BI$9:$BI$508,$BI254,$BK$9:$BK$508,$BK254,$BM$9:$BM$508,$BM254,$BO$9:$BO$508,$BO254,$BQ$9:$BQ$508,"&lt;"&amp;$BQ254)+1))</f>
        <v/>
      </c>
      <c r="BS254" s="127" t="str">
        <f aca="false">IF(ISBLANK($C254),"",IF($BD254&lt;&gt;Constants!$B$6,$BD254,$BI254-$BR254))</f>
        <v/>
      </c>
      <c r="BT254" s="133"/>
      <c r="BU254" s="134"/>
      <c r="BV254" s="134" t="str">
        <f aca="false">IF(ISBLANK($C254),"",IF($BD254&lt;&gt;Constants!$B$6,"",IF($AU254="-&gt;",2,1)))</f>
        <v/>
      </c>
      <c r="BW254" s="135" t="str">
        <f aca="false">IF(ISBLANK($C254),"",IF($BD254&lt;&gt;Constants!$B$6,"",IF($AU254="-&gt;",$AW254,$AN254)))</f>
        <v/>
      </c>
      <c r="BX254" s="135" t="str">
        <f aca="false">IF(ISBLANK($C254),"",IF($BD254&lt;&gt;Constants!$B$6,"",IF($AU254="-&gt;",$AX254,$AO254)))</f>
        <v/>
      </c>
      <c r="BY254" s="135" t="str">
        <f aca="false">IF(ISBLANK($C254),"",IF($BD254&lt;&gt;Constants!$B$6,"",IF($AU254="-&gt;",$AY254,$AP254)))</f>
        <v/>
      </c>
      <c r="BZ254" s="135" t="str">
        <f aca="false">IF(ISBLANK($C254),"",IF($BD254&lt;&gt;Constants!$B$6,"",IF($AU254="-&gt;",$AZ254,$AQ254)+$BG254))</f>
        <v/>
      </c>
      <c r="CA254" s="136" t="str">
        <f aca="false">IF(ISBLANK($C254),"",IF($BD254&lt;&gt;Constants!$B$6,$BD254,$BH254))</f>
        <v/>
      </c>
      <c r="CB254" s="137" t="str">
        <f aca="false">IF(ISBLANK($C254),"",$BE254)</f>
        <v/>
      </c>
      <c r="CC254" s="138" t="str">
        <f aca="false">IF(ISBLANK($C254),"",$BS254)</f>
        <v/>
      </c>
      <c r="CD254" s="138" t="str">
        <f aca="false">IF(ISBLANK($C254),"",$BR254)</f>
        <v/>
      </c>
      <c r="CE254" s="139" t="str">
        <f aca="false">IF(ISBLANK($C254),"",IF($CD254=Constants!$B$9,COUNTA($C$9:$C$508)+2,IF($CD254=Constants!$B$8,COUNTA($C$9:$C$508)+1,IF($CD254=Constants!$B$7,COUNTA($C$9:$C$508),$CD254))))</f>
        <v/>
      </c>
      <c r="CF254" s="9"/>
      <c r="CG254" s="140" t="n">
        <f aca="false">IF(OR(ISNUMBER($CD254),$CD254=Constants!$B$9,$CD254=Constants!$B$7,$CD254=Constants!$B$8),1,0)</f>
        <v>0</v>
      </c>
      <c r="CH254" s="140" t="n">
        <v>246</v>
      </c>
      <c r="CI254" s="140" t="str">
        <f aca="false">IF(ISBLANK($C254),"",IF(ISNUMBER($CE254),$CE254+ROW($B254)/1000,""))</f>
        <v/>
      </c>
      <c r="CJ254" s="140" t="str">
        <f aca="false">IF(ISNUMBER($CI254),RANK($CI254,$CI$9:$CI$508,1),"")</f>
        <v/>
      </c>
      <c r="CK254" s="140" t="str">
        <f aca="false">IF(ISBLANK($C254),"",$B254)</f>
        <v/>
      </c>
      <c r="CL254" s="140" t="str">
        <f aca="false">IF(ISBLANK($C254),"",$C254)</f>
        <v/>
      </c>
      <c r="CM254" s="140" t="str">
        <f aca="false">IF(ISBLANK($C254),"",$D254)</f>
        <v/>
      </c>
      <c r="CN254" s="141" t="str">
        <f aca="false">$CB254</f>
        <v/>
      </c>
      <c r="CO254" s="142" t="str">
        <f aca="false">$CA254</f>
        <v/>
      </c>
      <c r="CP254" s="140" t="str">
        <f aca="false">IF(ISBLANK($C254),"",$CD254)</f>
        <v/>
      </c>
      <c r="CQ254" s="143" t="str">
        <f aca="false">IF($CH254&gt;$CG$8,"",VLOOKUP($CH254,$CJ$9:$CP$508,7,FALSE()))</f>
        <v/>
      </c>
      <c r="CR254" s="144" t="str">
        <f aca="false">IF($CH254&gt;$CG$8,"",VLOOKUP($CH254,$CJ$9:$CP$508,2,FALSE()))</f>
        <v/>
      </c>
      <c r="CS254" s="144" t="str">
        <f aca="false">IF($CH254&gt;$CG$8,"",VLOOKUP($CH254,$CJ$9:$CP$508,3,FALSE()))</f>
        <v/>
      </c>
      <c r="CT254" s="144" t="str">
        <f aca="false">IF($CH254&gt;$CG$8,"",VLOOKUP($CH254,$CJ$9:$CP$508,4,FALSE()))</f>
        <v/>
      </c>
      <c r="CU254" s="144" t="str">
        <f aca="false">IF($CH254&gt;$CG$8,"",VLOOKUP($CH254,$CJ$9:$CP$508,5,FALSE()))</f>
        <v/>
      </c>
      <c r="CV254" s="145" t="str">
        <f aca="false">IF($CH254&gt;$CG$8,"",VLOOKUP($CH254,$CJ$9:$CP$508,6,FALSE()))</f>
        <v/>
      </c>
      <c r="CW254" s="71"/>
    </row>
    <row r="255" customFormat="false" ht="15.75" hidden="false" customHeight="false" outlineLevel="0" collapsed="false">
      <c r="A255" s="9"/>
      <c r="B255" s="72"/>
      <c r="C255" s="73"/>
      <c r="D255" s="160"/>
      <c r="E255" s="168"/>
      <c r="F255" s="162"/>
      <c r="G255" s="163"/>
      <c r="H255" s="169"/>
      <c r="I255" s="167"/>
      <c r="J255" s="80"/>
      <c r="K255" s="81"/>
      <c r="L255" s="82"/>
      <c r="M255" s="166"/>
      <c r="N255" s="167"/>
      <c r="O255" s="167"/>
      <c r="P255" s="80"/>
      <c r="Q255" s="82"/>
      <c r="R255" s="82"/>
      <c r="S255" s="166"/>
      <c r="T255" s="167"/>
      <c r="U255" s="86"/>
      <c r="V255" s="87"/>
      <c r="W255" s="87" t="str">
        <f aca="false">IF(ISBLANK($C255),"",IF(E255=Constants!$B$2,TRUE(),IF(E255=Constants!$B$3,FALSE(),TRUE())))</f>
        <v/>
      </c>
      <c r="X255" s="87" t="str">
        <f aca="false">IF(ISBLANK($C255),"",IF(F255=Constants!$B$2,TRUE(),IF(F255=Constants!$B$3,FALSE(),TRUE())))</f>
        <v/>
      </c>
      <c r="Y255" s="87" t="str">
        <f aca="false">IF(ISBLANK($C255),"",IF(G255=Constants!$B$2,TRUE(),IF(G255=Constants!$B$3,FALSE(),TRUE())))</f>
        <v/>
      </c>
      <c r="Z255" s="87" t="str">
        <f aca="false">IF(ISBLANK($C255),"",IF(H255=Constants!$B$2,TRUE(),IF(H255=Constants!$B$3,FALSE(),TRUE())))</f>
        <v/>
      </c>
      <c r="AA255" s="87" t="str">
        <f aca="false">IF(ISBLANK($C255),"",IF(I255=Constants!$B$2,TRUE(),IF(I255=Constants!$B$3,FALSE(),TRUE())))</f>
        <v/>
      </c>
      <c r="AB255" s="87" t="str">
        <f aca="false">IF(ISBLANK($C255),"",IF(J255=Constants!$B$4,TRUE(),IF(J255=Constants!$B$5,FALSE(),COUNTA(K255:M255)&gt;0)))</f>
        <v/>
      </c>
      <c r="AC255" s="88" t="str">
        <f aca="false">IF(ISBLANK($C255),"",IF(ISNUMBER(K255),IF(K255&gt;=0,K255,""),""))</f>
        <v/>
      </c>
      <c r="AD255" s="89" t="str">
        <f aca="false">IF(ISBLANK($C255),"",IF(ISNUMBER(L255),IF(L255&gt;=0,L255,""),""))</f>
        <v/>
      </c>
      <c r="AE255" s="87" t="str">
        <f aca="false">IF(ISBLANK($C255),"",IF(ISNUMBER(M255),IF(M255&gt;=0,MIN(M255,Constants!$B$22),""),""))</f>
        <v/>
      </c>
      <c r="AF255" s="87" t="str">
        <f aca="false">IF(ISBLANK($C255),"",IF(N255=Constants!$B$2,TRUE(),IF(N255=Constants!$B$3,FALSE(),TRUE())))</f>
        <v/>
      </c>
      <c r="AG255" s="87" t="str">
        <f aca="false">IF(ISBLANK($C255),"",IF(O255=Constants!$B$2,TRUE(),IF(O255=Constants!$B$3,FALSE(),TRUE())))</f>
        <v/>
      </c>
      <c r="AH255" s="87" t="str">
        <f aca="false">IF(ISBLANK($C255),"",IF(P255=Constants!$B$4,TRUE(),IF(P255=Constants!$B$5,FALSE(),COUNTA(Q255:S255)&gt;0)))</f>
        <v/>
      </c>
      <c r="AI255" s="88" t="str">
        <f aca="false">IF(ISBLANK($C255),"",IF(ISNUMBER(Q255),IF(Q255&gt;=0,Q255,""),""))</f>
        <v/>
      </c>
      <c r="AJ255" s="89" t="str">
        <f aca="false">IF(ISBLANK($C255),"",IF(ISNUMBER(R255),IF(R255&gt;=0,R255,""),""))</f>
        <v/>
      </c>
      <c r="AK255" s="87" t="str">
        <f aca="false">IF(ISBLANK($C255),"",IF(ISNUMBER(S255),IF(S255&gt;=0,MIN(S255,Constants!$B$22),""),""))</f>
        <v/>
      </c>
      <c r="AL255" s="87" t="str">
        <f aca="false">IF(ISBLANK($C255),"",IF(T255=Constants!$B$2,TRUE(),IF(T255=Constants!$B$3,FALSE(),FALSE())))</f>
        <v/>
      </c>
      <c r="AM255" s="86" t="str">
        <f aca="false">IF(ISBLANK($C255),"",AND($AB255,OR($AC255="",$AD255="",AND(NOT(ISBLANK($M255)),$AE255=""))))</f>
        <v/>
      </c>
      <c r="AN255" s="89" t="str">
        <f aca="false">IF($BD255&lt;&gt;Constants!$B$6,"",IF($AB255,Constants!$B$17*$AD255,Constants!$B$18))</f>
        <v/>
      </c>
      <c r="AO255" s="91" t="str">
        <f aca="false">IF($BD255&lt;&gt;Constants!$B$6,"",Constants!$B$19*IF($AB255,$AC255,0))</f>
        <v/>
      </c>
      <c r="AP255" s="91" t="str">
        <f aca="false">IF($BD255&lt;&gt;Constants!$B$6,"",IF(AND($AB255,ISNUMBER($AE255)),Constants!$B$20*(Constants!$B$21-$AE255),0))</f>
        <v/>
      </c>
      <c r="AQ255" s="91" t="str">
        <f aca="false">IF($BD255&lt;&gt;Constants!$B$6,"",IF($AA255,0,Constants!$B$12)+IF($Z255,0,Constants!$B$13)+IF($Y255,0,Constants!$B$14))</f>
        <v/>
      </c>
      <c r="AR255" s="92" t="str">
        <f aca="false">IF($BD255&lt;&gt;Constants!$B$6,"",Constants!$B$16+SUM($AN255:$AQ255))</f>
        <v/>
      </c>
      <c r="AS255" s="91" t="str">
        <f aca="false">IF($BD255&lt;&gt;Constants!$B$6,"",IF($AB255,$AD255,""))</f>
        <v/>
      </c>
      <c r="AT255" s="93" t="str">
        <f aca="false">IF($BD255&lt;&gt;Constants!$B$6,"",$AO255)</f>
        <v/>
      </c>
      <c r="AU255" s="87" t="str">
        <f aca="false">IF($BD255&lt;&gt;Constants!$B$6,"",IF(OR($BA255&lt;$AR255,AND($BA255=$AR255,OR(AND(ISNUMBER($BB255),OR(NOT(ISNUMBER($AS255)),$BB255&lt;$AS255)),AND(OR(AND($BB255="",$AS255=""),AND(ISNUMBER($BB255),ISNUMBER($AS255),$BB255=$AS255)),$BC255&lt;$AT255)))),"-&gt;","&lt;-"))</f>
        <v/>
      </c>
      <c r="AV255" s="86" t="str">
        <f aca="false">IF(ISBLANK($C255),"",AND($AH255,OR($AI255="",$AJ255="",AND(NOT(ISBLANK($S255)),$AK255=""))))</f>
        <v/>
      </c>
      <c r="AW255" s="89" t="str">
        <f aca="false">IF($BD255&lt;&gt;Constants!$B$6,"",IF($AH255,Constants!$B$17*$AJ255,Constants!$B$18))</f>
        <v/>
      </c>
      <c r="AX255" s="91" t="str">
        <f aca="false">IF($BD255&lt;&gt;Constants!$B$6,"",Constants!$B$19*IF($AH255,$AI255,0))</f>
        <v/>
      </c>
      <c r="AY255" s="91" t="str">
        <f aca="false">IF($BD255&lt;&gt;Constants!$B$6,"",IF(AND($AH255,ISNUMBER($AK255)),Constants!$B$20*(Constants!$B$21-$AK255),0))</f>
        <v/>
      </c>
      <c r="AZ255" s="91" t="str">
        <f aca="false">IF($BD255&lt;&gt;Constants!$B$6,"",IF($AG255,0,Constants!$B$12)+IF($AF255,0,Constants!$B$13)+IF($Y255,0,Constants!$B$14))</f>
        <v/>
      </c>
      <c r="BA255" s="92" t="str">
        <f aca="false">IF($BD255&lt;&gt;Constants!$B$6,"",Constants!$B$16+SUM($AW255:$AZ255))</f>
        <v/>
      </c>
      <c r="BB255" s="91" t="str">
        <f aca="false">IF($BD255&lt;&gt;Constants!$B$6,"",IF($AH255,$AJ255,""))</f>
        <v/>
      </c>
      <c r="BC255" s="93" t="str">
        <f aca="false">IF($BD255&lt;&gt;Constants!$B$6,"",$AX255)</f>
        <v/>
      </c>
      <c r="BD255" s="87" t="str">
        <f aca="false">IF(ISBLANK($C255),"",IF($AL255,Constants!$B$9,IF(COUNTA($E255:$T255)=0,Constants!$B$8,IF(NOT($X255),Constants!$B$7,IF(OR($AM255,$AV255),Constants!$B$10,Constants!$B$6)))))</f>
        <v/>
      </c>
      <c r="BE255" s="87" t="str">
        <f aca="false">IF(ISBLANK($C255),"",IF($BD255&lt;&gt;Constants!$B$6,$BD255,Constants!$B$11))</f>
        <v/>
      </c>
      <c r="BF255" s="91" t="str">
        <f aca="false">IF($BD255&lt;&gt;Constants!$B$6,"",IF($AU255="-&gt;",$BA255,$AR255))</f>
        <v/>
      </c>
      <c r="BG255" s="91" t="str">
        <f aca="false">IF($BD255&lt;&gt;Constants!$B$6,"",IF($W255,0,Constants!$B$15))</f>
        <v/>
      </c>
      <c r="BH255" s="91" t="str">
        <f aca="false">IF(ISBLANK($C255),"",IF($BD255&lt;&gt;Constants!$B$6,$BD255,SUM($BF255:$BG255)))</f>
        <v/>
      </c>
      <c r="BI255" s="87" t="str">
        <f aca="false">IF(ISBLANK($C255),"",IF($BD255&lt;&gt;Constants!$B$6,$BD255,RANK($BH255,$BH$9:$BH$508,1)))</f>
        <v/>
      </c>
      <c r="BJ255" s="91" t="str">
        <f aca="false">IF($BD255&lt;&gt;Constants!$B$6,"",IF($AU255="-&gt;",$BB255,$AS255))</f>
        <v/>
      </c>
      <c r="BK255" s="87" t="str">
        <f aca="false">IF(ISBLANK($C255),"",IF($BD255&lt;&gt;Constants!$B$6,$BD255,IF(ISNUMBER($BJ255),RANK($BJ255,$BJ$9:$BJ$508,1),COUNT($BJ$9:$BJ$508)+1)))</f>
        <v/>
      </c>
      <c r="BL255" s="91" t="str">
        <f aca="false">IF($BD255&lt;&gt;Constants!$B$6,"",IF($AU255="-&gt;",$BC255,$AT255))</f>
        <v/>
      </c>
      <c r="BM255" s="87" t="str">
        <f aca="false">IF(ISBLANK($C255),"",IF($BD255&lt;&gt;Constants!$B$6,$BD255,IF(ISNUMBER($BL255),RANK($BL255,$BL$9:$BL$508,1),COUNT($BL$9:$BL$508)+1)))</f>
        <v/>
      </c>
      <c r="BN255" s="91" t="str">
        <f aca="false">IF($BD255&lt;&gt;Constants!$B$6,"",IF($AU255="-&gt;",$AS255,$BB255))</f>
        <v/>
      </c>
      <c r="BO255" s="87" t="str">
        <f aca="false">IF(ISBLANK($C255),"",IF($BD255&lt;&gt;Constants!$B$6,$BD255,IF(ISNUMBER($BN255),RANK($BN255,$BN$9:$BN$508,1),COUNT($BN$9:$BN$508)+1)))</f>
        <v/>
      </c>
      <c r="BP255" s="91" t="str">
        <f aca="false">IF($BD255&lt;&gt;Constants!$B$6,"",IF($AU255="-&gt;",$AT255,$BC255))</f>
        <v/>
      </c>
      <c r="BQ255" s="87" t="str">
        <f aca="false">IF(ISBLANK($C255),"",IF($BD255&lt;&gt;Constants!$B$6,$BD255,IF(ISNUMBER($BP255),RANK($BP255,$BP$9:$BP$508,1),COUNT($BP$9:$BP$508)+1)))</f>
        <v/>
      </c>
      <c r="BR255" s="87" t="str">
        <f aca="false">IF(ISBLANK($C255),"",IF($BD255&lt;&gt;Constants!$B$6,$BD255,COUNTIFS($BI$9:$BI$508,"&lt;"&amp;$BI255)+COUNTIFS($BI$9:$BI$508,$BI255,$BK$9:$BK$508,"&lt;"&amp;$BK255)+COUNTIFS($BI$9:$BI$508,$BI255,$BK$9:$BK$508,$BK255,$BM$9:$BM$508,"&lt;"&amp;$BM255)+COUNTIFS($BI$9:$BI$508,$BI255,$BK$9:$BK$508,$BK255,$BM$9:$BM$508,$BM255,$BO$9:$BO$508,"&lt;"&amp;$BO255)+COUNTIFS($BI$9:$BI$508,$BI255,$BK$9:$BK$508,$BK255,$BM$9:$BM$508,$BM255,$BO$9:$BO$508,$BO255,$BQ$9:$BQ$508,"&lt;"&amp;$BQ255)+1))</f>
        <v/>
      </c>
      <c r="BS255" s="87" t="str">
        <f aca="false">IF(ISBLANK($C255),"",IF($BD255&lt;&gt;Constants!$B$6,$BD255,$BI255-$BR255))</f>
        <v/>
      </c>
      <c r="BT255" s="94"/>
      <c r="BU255" s="95"/>
      <c r="BV255" s="95" t="str">
        <f aca="false">IF(ISBLANK($C255),"",IF($BD255&lt;&gt;Constants!$B$6,"",IF($AU255="-&gt;",2,1)))</f>
        <v/>
      </c>
      <c r="BW255" s="96" t="str">
        <f aca="false">IF(ISBLANK($C255),"",IF($BD255&lt;&gt;Constants!$B$6,"",IF($AU255="-&gt;",$AW255,$AN255)))</f>
        <v/>
      </c>
      <c r="BX255" s="96" t="str">
        <f aca="false">IF(ISBLANK($C255),"",IF($BD255&lt;&gt;Constants!$B$6,"",IF($AU255="-&gt;",$AX255,$AO255)))</f>
        <v/>
      </c>
      <c r="BY255" s="96" t="str">
        <f aca="false">IF(ISBLANK($C255),"",IF($BD255&lt;&gt;Constants!$B$6,"",IF($AU255="-&gt;",$AY255,$AP255)))</f>
        <v/>
      </c>
      <c r="BZ255" s="96" t="str">
        <f aca="false">IF(ISBLANK($C255),"",IF($BD255&lt;&gt;Constants!$B$6,"",IF($AU255="-&gt;",$AZ255,$AQ255)+$BG255))</f>
        <v/>
      </c>
      <c r="CA255" s="97" t="str">
        <f aca="false">IF(ISBLANK($C255),"",IF($BD255&lt;&gt;Constants!$B$6,$BD255,$BH255))</f>
        <v/>
      </c>
      <c r="CB255" s="98" t="str">
        <f aca="false">IF(ISBLANK($C255),"",$BE255)</f>
        <v/>
      </c>
      <c r="CC255" s="99" t="str">
        <f aca="false">IF(ISBLANK($C255),"",$BS255)</f>
        <v/>
      </c>
      <c r="CD255" s="99" t="str">
        <f aca="false">IF(ISBLANK($C255),"",$BR255)</f>
        <v/>
      </c>
      <c r="CE255" s="100" t="str">
        <f aca="false">IF(ISBLANK($C255),"",IF($CD255=Constants!$B$9,COUNTA($C$9:$C$508)+2,IF($CD255=Constants!$B$8,COUNTA($C$9:$C$508)+1,IF($CD255=Constants!$B$7,COUNTA($C$9:$C$508),$CD255))))</f>
        <v/>
      </c>
      <c r="CF255" s="9"/>
      <c r="CG255" s="101" t="n">
        <f aca="false">IF(OR(ISNUMBER($CD255),$CD255=Constants!$B$9,$CD255=Constants!$B$7,$CD255=Constants!$B$8),1,0)</f>
        <v>0</v>
      </c>
      <c r="CH255" s="101" t="n">
        <v>247</v>
      </c>
      <c r="CI255" s="101" t="str">
        <f aca="false">IF(ISBLANK($C255),"",IF(ISNUMBER($CE255),$CE255+ROW($B255)/1000,""))</f>
        <v/>
      </c>
      <c r="CJ255" s="101" t="str">
        <f aca="false">IF(ISNUMBER($CI255),RANK($CI255,$CI$9:$CI$508,1),"")</f>
        <v/>
      </c>
      <c r="CK255" s="101" t="str">
        <f aca="false">IF(ISBLANK($C255),"",$B255)</f>
        <v/>
      </c>
      <c r="CL255" s="101" t="str">
        <f aca="false">IF(ISBLANK($C255),"",$C255)</f>
        <v/>
      </c>
      <c r="CM255" s="101" t="str">
        <f aca="false">IF(ISBLANK($C255),"",$D255)</f>
        <v/>
      </c>
      <c r="CN255" s="102" t="str">
        <f aca="false">$CB255</f>
        <v/>
      </c>
      <c r="CO255" s="103" t="str">
        <f aca="false">$CA255</f>
        <v/>
      </c>
      <c r="CP255" s="101" t="str">
        <f aca="false">IF(ISBLANK($C255),"",$CD255)</f>
        <v/>
      </c>
      <c r="CQ255" s="104" t="str">
        <f aca="false">IF($CH255&gt;$CG$8,"",VLOOKUP($CH255,$CJ$9:$CP$508,7,FALSE()))</f>
        <v/>
      </c>
      <c r="CR255" s="105" t="str">
        <f aca="false">IF($CH255&gt;$CG$8,"",VLOOKUP($CH255,$CJ$9:$CP$508,2,FALSE()))</f>
        <v/>
      </c>
      <c r="CS255" s="105" t="str">
        <f aca="false">IF($CH255&gt;$CG$8,"",VLOOKUP($CH255,$CJ$9:$CP$508,3,FALSE()))</f>
        <v/>
      </c>
      <c r="CT255" s="105" t="str">
        <f aca="false">IF($CH255&gt;$CG$8,"",VLOOKUP($CH255,$CJ$9:$CP$508,4,FALSE()))</f>
        <v/>
      </c>
      <c r="CU255" s="105" t="str">
        <f aca="false">IF($CH255&gt;$CG$8,"",VLOOKUP($CH255,$CJ$9:$CP$508,5,FALSE()))</f>
        <v/>
      </c>
      <c r="CV255" s="106" t="str">
        <f aca="false">IF($CH255&gt;$CG$8,"",VLOOKUP($CH255,$CJ$9:$CP$508,6,FALSE()))</f>
        <v/>
      </c>
      <c r="CW255" s="71"/>
    </row>
    <row r="256" customFormat="false" ht="15.75" hidden="false" customHeight="false" outlineLevel="0" collapsed="false">
      <c r="A256" s="9"/>
      <c r="B256" s="72"/>
      <c r="C256" s="73"/>
      <c r="D256" s="160"/>
      <c r="E256" s="168"/>
      <c r="F256" s="162"/>
      <c r="G256" s="163"/>
      <c r="H256" s="169"/>
      <c r="I256" s="167"/>
      <c r="J256" s="80"/>
      <c r="K256" s="81"/>
      <c r="L256" s="82"/>
      <c r="M256" s="166"/>
      <c r="N256" s="167"/>
      <c r="O256" s="167"/>
      <c r="P256" s="80"/>
      <c r="Q256" s="82"/>
      <c r="R256" s="82"/>
      <c r="S256" s="166"/>
      <c r="T256" s="167"/>
      <c r="U256" s="86"/>
      <c r="V256" s="87"/>
      <c r="W256" s="87" t="str">
        <f aca="false">IF(ISBLANK($C256),"",IF(E256=Constants!$B$2,TRUE(),IF(E256=Constants!$B$3,FALSE(),TRUE())))</f>
        <v/>
      </c>
      <c r="X256" s="87" t="str">
        <f aca="false">IF(ISBLANK($C256),"",IF(F256=Constants!$B$2,TRUE(),IF(F256=Constants!$B$3,FALSE(),TRUE())))</f>
        <v/>
      </c>
      <c r="Y256" s="87" t="str">
        <f aca="false">IF(ISBLANK($C256),"",IF(G256=Constants!$B$2,TRUE(),IF(G256=Constants!$B$3,FALSE(),TRUE())))</f>
        <v/>
      </c>
      <c r="Z256" s="87" t="str">
        <f aca="false">IF(ISBLANK($C256),"",IF(H256=Constants!$B$2,TRUE(),IF(H256=Constants!$B$3,FALSE(),TRUE())))</f>
        <v/>
      </c>
      <c r="AA256" s="87" t="str">
        <f aca="false">IF(ISBLANK($C256),"",IF(I256=Constants!$B$2,TRUE(),IF(I256=Constants!$B$3,FALSE(),TRUE())))</f>
        <v/>
      </c>
      <c r="AB256" s="87" t="str">
        <f aca="false">IF(ISBLANK($C256),"",IF(J256=Constants!$B$4,TRUE(),IF(J256=Constants!$B$5,FALSE(),COUNTA(K256:M256)&gt;0)))</f>
        <v/>
      </c>
      <c r="AC256" s="88" t="str">
        <f aca="false">IF(ISBLANK($C256),"",IF(ISNUMBER(K256),IF(K256&gt;=0,K256,""),""))</f>
        <v/>
      </c>
      <c r="AD256" s="89" t="str">
        <f aca="false">IF(ISBLANK($C256),"",IF(ISNUMBER(L256),IF(L256&gt;=0,L256,""),""))</f>
        <v/>
      </c>
      <c r="AE256" s="87" t="str">
        <f aca="false">IF(ISBLANK($C256),"",IF(ISNUMBER(M256),IF(M256&gt;=0,MIN(M256,Constants!$B$22),""),""))</f>
        <v/>
      </c>
      <c r="AF256" s="87" t="str">
        <f aca="false">IF(ISBLANK($C256),"",IF(N256=Constants!$B$2,TRUE(),IF(N256=Constants!$B$3,FALSE(),TRUE())))</f>
        <v/>
      </c>
      <c r="AG256" s="87" t="str">
        <f aca="false">IF(ISBLANK($C256),"",IF(O256=Constants!$B$2,TRUE(),IF(O256=Constants!$B$3,FALSE(),TRUE())))</f>
        <v/>
      </c>
      <c r="AH256" s="87" t="str">
        <f aca="false">IF(ISBLANK($C256),"",IF(P256=Constants!$B$4,TRUE(),IF(P256=Constants!$B$5,FALSE(),COUNTA(Q256:S256)&gt;0)))</f>
        <v/>
      </c>
      <c r="AI256" s="88" t="str">
        <f aca="false">IF(ISBLANK($C256),"",IF(ISNUMBER(Q256),IF(Q256&gt;=0,Q256,""),""))</f>
        <v/>
      </c>
      <c r="AJ256" s="89" t="str">
        <f aca="false">IF(ISBLANK($C256),"",IF(ISNUMBER(R256),IF(R256&gt;=0,R256,""),""))</f>
        <v/>
      </c>
      <c r="AK256" s="87" t="str">
        <f aca="false">IF(ISBLANK($C256),"",IF(ISNUMBER(S256),IF(S256&gt;=0,MIN(S256,Constants!$B$22),""),""))</f>
        <v/>
      </c>
      <c r="AL256" s="87" t="str">
        <f aca="false">IF(ISBLANK($C256),"",IF(T256=Constants!$B$2,TRUE(),IF(T256=Constants!$B$3,FALSE(),FALSE())))</f>
        <v/>
      </c>
      <c r="AM256" s="86" t="str">
        <f aca="false">IF(ISBLANK($C256),"",AND($AB256,OR($AC256="",$AD256="",AND(NOT(ISBLANK($M256)),$AE256=""))))</f>
        <v/>
      </c>
      <c r="AN256" s="89" t="str">
        <f aca="false">IF($BD256&lt;&gt;Constants!$B$6,"",IF($AB256,Constants!$B$17*$AD256,Constants!$B$18))</f>
        <v/>
      </c>
      <c r="AO256" s="91" t="str">
        <f aca="false">IF($BD256&lt;&gt;Constants!$B$6,"",Constants!$B$19*IF($AB256,$AC256,0))</f>
        <v/>
      </c>
      <c r="AP256" s="91" t="str">
        <f aca="false">IF($BD256&lt;&gt;Constants!$B$6,"",IF(AND($AB256,ISNUMBER($AE256)),Constants!$B$20*(Constants!$B$21-$AE256),0))</f>
        <v/>
      </c>
      <c r="AQ256" s="91" t="str">
        <f aca="false">IF($BD256&lt;&gt;Constants!$B$6,"",IF($AA256,0,Constants!$B$12)+IF($Z256,0,Constants!$B$13)+IF($Y256,0,Constants!$B$14))</f>
        <v/>
      </c>
      <c r="AR256" s="92" t="str">
        <f aca="false">IF($BD256&lt;&gt;Constants!$B$6,"",Constants!$B$16+SUM($AN256:$AQ256))</f>
        <v/>
      </c>
      <c r="AS256" s="91" t="str">
        <f aca="false">IF($BD256&lt;&gt;Constants!$B$6,"",IF($AB256,$AD256,""))</f>
        <v/>
      </c>
      <c r="AT256" s="93" t="str">
        <f aca="false">IF($BD256&lt;&gt;Constants!$B$6,"",$AO256)</f>
        <v/>
      </c>
      <c r="AU256" s="87" t="str">
        <f aca="false">IF($BD256&lt;&gt;Constants!$B$6,"",IF(OR($BA256&lt;$AR256,AND($BA256=$AR256,OR(AND(ISNUMBER($BB256),OR(NOT(ISNUMBER($AS256)),$BB256&lt;$AS256)),AND(OR(AND($BB256="",$AS256=""),AND(ISNUMBER($BB256),ISNUMBER($AS256),$BB256=$AS256)),$BC256&lt;$AT256)))),"-&gt;","&lt;-"))</f>
        <v/>
      </c>
      <c r="AV256" s="86" t="str">
        <f aca="false">IF(ISBLANK($C256),"",AND($AH256,OR($AI256="",$AJ256="",AND(NOT(ISBLANK($S256)),$AK256=""))))</f>
        <v/>
      </c>
      <c r="AW256" s="89" t="str">
        <f aca="false">IF($BD256&lt;&gt;Constants!$B$6,"",IF($AH256,Constants!$B$17*$AJ256,Constants!$B$18))</f>
        <v/>
      </c>
      <c r="AX256" s="91" t="str">
        <f aca="false">IF($BD256&lt;&gt;Constants!$B$6,"",Constants!$B$19*IF($AH256,$AI256,0))</f>
        <v/>
      </c>
      <c r="AY256" s="91" t="str">
        <f aca="false">IF($BD256&lt;&gt;Constants!$B$6,"",IF(AND($AH256,ISNUMBER($AK256)),Constants!$B$20*(Constants!$B$21-$AK256),0))</f>
        <v/>
      </c>
      <c r="AZ256" s="91" t="str">
        <f aca="false">IF($BD256&lt;&gt;Constants!$B$6,"",IF($AG256,0,Constants!$B$12)+IF($AF256,0,Constants!$B$13)+IF($Y256,0,Constants!$B$14))</f>
        <v/>
      </c>
      <c r="BA256" s="92" t="str">
        <f aca="false">IF($BD256&lt;&gt;Constants!$B$6,"",Constants!$B$16+SUM($AW256:$AZ256))</f>
        <v/>
      </c>
      <c r="BB256" s="91" t="str">
        <f aca="false">IF($BD256&lt;&gt;Constants!$B$6,"",IF($AH256,$AJ256,""))</f>
        <v/>
      </c>
      <c r="BC256" s="93" t="str">
        <f aca="false">IF($BD256&lt;&gt;Constants!$B$6,"",$AX256)</f>
        <v/>
      </c>
      <c r="BD256" s="87" t="str">
        <f aca="false">IF(ISBLANK($C256),"",IF($AL256,Constants!$B$9,IF(COUNTA($E256:$T256)=0,Constants!$B$8,IF(NOT($X256),Constants!$B$7,IF(OR($AM256,$AV256),Constants!$B$10,Constants!$B$6)))))</f>
        <v/>
      </c>
      <c r="BE256" s="87" t="str">
        <f aca="false">IF(ISBLANK($C256),"",IF($BD256&lt;&gt;Constants!$B$6,$BD256,Constants!$B$11))</f>
        <v/>
      </c>
      <c r="BF256" s="91" t="str">
        <f aca="false">IF($BD256&lt;&gt;Constants!$B$6,"",IF($AU256="-&gt;",$BA256,$AR256))</f>
        <v/>
      </c>
      <c r="BG256" s="91" t="str">
        <f aca="false">IF($BD256&lt;&gt;Constants!$B$6,"",IF($W256,0,Constants!$B$15))</f>
        <v/>
      </c>
      <c r="BH256" s="91" t="str">
        <f aca="false">IF(ISBLANK($C256),"",IF($BD256&lt;&gt;Constants!$B$6,$BD256,SUM($BF256:$BG256)))</f>
        <v/>
      </c>
      <c r="BI256" s="87" t="str">
        <f aca="false">IF(ISBLANK($C256),"",IF($BD256&lt;&gt;Constants!$B$6,$BD256,RANK($BH256,$BH$9:$BH$508,1)))</f>
        <v/>
      </c>
      <c r="BJ256" s="91" t="str">
        <f aca="false">IF($BD256&lt;&gt;Constants!$B$6,"",IF($AU256="-&gt;",$BB256,$AS256))</f>
        <v/>
      </c>
      <c r="BK256" s="87" t="str">
        <f aca="false">IF(ISBLANK($C256),"",IF($BD256&lt;&gt;Constants!$B$6,$BD256,IF(ISNUMBER($BJ256),RANK($BJ256,$BJ$9:$BJ$508,1),COUNT($BJ$9:$BJ$508)+1)))</f>
        <v/>
      </c>
      <c r="BL256" s="91" t="str">
        <f aca="false">IF($BD256&lt;&gt;Constants!$B$6,"",IF($AU256="-&gt;",$BC256,$AT256))</f>
        <v/>
      </c>
      <c r="BM256" s="87" t="str">
        <f aca="false">IF(ISBLANK($C256),"",IF($BD256&lt;&gt;Constants!$B$6,$BD256,IF(ISNUMBER($BL256),RANK($BL256,$BL$9:$BL$508,1),COUNT($BL$9:$BL$508)+1)))</f>
        <v/>
      </c>
      <c r="BN256" s="91" t="str">
        <f aca="false">IF($BD256&lt;&gt;Constants!$B$6,"",IF($AU256="-&gt;",$AS256,$BB256))</f>
        <v/>
      </c>
      <c r="BO256" s="87" t="str">
        <f aca="false">IF(ISBLANK($C256),"",IF($BD256&lt;&gt;Constants!$B$6,$BD256,IF(ISNUMBER($BN256),RANK($BN256,$BN$9:$BN$508,1),COUNT($BN$9:$BN$508)+1)))</f>
        <v/>
      </c>
      <c r="BP256" s="91" t="str">
        <f aca="false">IF($BD256&lt;&gt;Constants!$B$6,"",IF($AU256="-&gt;",$AT256,$BC256))</f>
        <v/>
      </c>
      <c r="BQ256" s="87" t="str">
        <f aca="false">IF(ISBLANK($C256),"",IF($BD256&lt;&gt;Constants!$B$6,$BD256,IF(ISNUMBER($BP256),RANK($BP256,$BP$9:$BP$508,1),COUNT($BP$9:$BP$508)+1)))</f>
        <v/>
      </c>
      <c r="BR256" s="87" t="str">
        <f aca="false">IF(ISBLANK($C256),"",IF($BD256&lt;&gt;Constants!$B$6,$BD256,COUNTIFS($BI$9:$BI$508,"&lt;"&amp;$BI256)+COUNTIFS($BI$9:$BI$508,$BI256,$BK$9:$BK$508,"&lt;"&amp;$BK256)+COUNTIFS($BI$9:$BI$508,$BI256,$BK$9:$BK$508,$BK256,$BM$9:$BM$508,"&lt;"&amp;$BM256)+COUNTIFS($BI$9:$BI$508,$BI256,$BK$9:$BK$508,$BK256,$BM$9:$BM$508,$BM256,$BO$9:$BO$508,"&lt;"&amp;$BO256)+COUNTIFS($BI$9:$BI$508,$BI256,$BK$9:$BK$508,$BK256,$BM$9:$BM$508,$BM256,$BO$9:$BO$508,$BO256,$BQ$9:$BQ$508,"&lt;"&amp;$BQ256)+1))</f>
        <v/>
      </c>
      <c r="BS256" s="87" t="str">
        <f aca="false">IF(ISBLANK($C256),"",IF($BD256&lt;&gt;Constants!$B$6,$BD256,$BI256-$BR256))</f>
        <v/>
      </c>
      <c r="BT256" s="94"/>
      <c r="BU256" s="95"/>
      <c r="BV256" s="95" t="str">
        <f aca="false">IF(ISBLANK($C256),"",IF($BD256&lt;&gt;Constants!$B$6,"",IF($AU256="-&gt;",2,1)))</f>
        <v/>
      </c>
      <c r="BW256" s="96" t="str">
        <f aca="false">IF(ISBLANK($C256),"",IF($BD256&lt;&gt;Constants!$B$6,"",IF($AU256="-&gt;",$AW256,$AN256)))</f>
        <v/>
      </c>
      <c r="BX256" s="96" t="str">
        <f aca="false">IF(ISBLANK($C256),"",IF($BD256&lt;&gt;Constants!$B$6,"",IF($AU256="-&gt;",$AX256,$AO256)))</f>
        <v/>
      </c>
      <c r="BY256" s="96" t="str">
        <f aca="false">IF(ISBLANK($C256),"",IF($BD256&lt;&gt;Constants!$B$6,"",IF($AU256="-&gt;",$AY256,$AP256)))</f>
        <v/>
      </c>
      <c r="BZ256" s="96" t="str">
        <f aca="false">IF(ISBLANK($C256),"",IF($BD256&lt;&gt;Constants!$B$6,"",IF($AU256="-&gt;",$AZ256,$AQ256)+$BG256))</f>
        <v/>
      </c>
      <c r="CA256" s="97" t="str">
        <f aca="false">IF(ISBLANK($C256),"",IF($BD256&lt;&gt;Constants!$B$6,$BD256,$BH256))</f>
        <v/>
      </c>
      <c r="CB256" s="98" t="str">
        <f aca="false">IF(ISBLANK($C256),"",$BE256)</f>
        <v/>
      </c>
      <c r="CC256" s="99" t="str">
        <f aca="false">IF(ISBLANK($C256),"",$BS256)</f>
        <v/>
      </c>
      <c r="CD256" s="99" t="str">
        <f aca="false">IF(ISBLANK($C256),"",$BR256)</f>
        <v/>
      </c>
      <c r="CE256" s="100" t="str">
        <f aca="false">IF(ISBLANK($C256),"",IF($CD256=Constants!$B$9,COUNTA($C$9:$C$508)+2,IF($CD256=Constants!$B$8,COUNTA($C$9:$C$508)+1,IF($CD256=Constants!$B$7,COUNTA($C$9:$C$508),$CD256))))</f>
        <v/>
      </c>
      <c r="CF256" s="9"/>
      <c r="CG256" s="101" t="n">
        <f aca="false">IF(OR(ISNUMBER($CD256),$CD256=Constants!$B$9,$CD256=Constants!$B$7,$CD256=Constants!$B$8),1,0)</f>
        <v>0</v>
      </c>
      <c r="CH256" s="101" t="n">
        <v>248</v>
      </c>
      <c r="CI256" s="101" t="str">
        <f aca="false">IF(ISBLANK($C256),"",IF(ISNUMBER($CE256),$CE256+ROW($B256)/1000,""))</f>
        <v/>
      </c>
      <c r="CJ256" s="101" t="str">
        <f aca="false">IF(ISNUMBER($CI256),RANK($CI256,$CI$9:$CI$508,1),"")</f>
        <v/>
      </c>
      <c r="CK256" s="101" t="str">
        <f aca="false">IF(ISBLANK($C256),"",$B256)</f>
        <v/>
      </c>
      <c r="CL256" s="101" t="str">
        <f aca="false">IF(ISBLANK($C256),"",$C256)</f>
        <v/>
      </c>
      <c r="CM256" s="101" t="str">
        <f aca="false">IF(ISBLANK($C256),"",$D256)</f>
        <v/>
      </c>
      <c r="CN256" s="102" t="str">
        <f aca="false">$CB256</f>
        <v/>
      </c>
      <c r="CO256" s="103" t="str">
        <f aca="false">$CA256</f>
        <v/>
      </c>
      <c r="CP256" s="101" t="str">
        <f aca="false">IF(ISBLANK($C256),"",$CD256)</f>
        <v/>
      </c>
      <c r="CQ256" s="104" t="str">
        <f aca="false">IF($CH256&gt;$CG$8,"",VLOOKUP($CH256,$CJ$9:$CP$508,7,FALSE()))</f>
        <v/>
      </c>
      <c r="CR256" s="105" t="str">
        <f aca="false">IF($CH256&gt;$CG$8,"",VLOOKUP($CH256,$CJ$9:$CP$508,2,FALSE()))</f>
        <v/>
      </c>
      <c r="CS256" s="105" t="str">
        <f aca="false">IF($CH256&gt;$CG$8,"",VLOOKUP($CH256,$CJ$9:$CP$508,3,FALSE()))</f>
        <v/>
      </c>
      <c r="CT256" s="105" t="str">
        <f aca="false">IF($CH256&gt;$CG$8,"",VLOOKUP($CH256,$CJ$9:$CP$508,4,FALSE()))</f>
        <v/>
      </c>
      <c r="CU256" s="105" t="str">
        <f aca="false">IF($CH256&gt;$CG$8,"",VLOOKUP($CH256,$CJ$9:$CP$508,5,FALSE()))</f>
        <v/>
      </c>
      <c r="CV256" s="106" t="str">
        <f aca="false">IF($CH256&gt;$CG$8,"",VLOOKUP($CH256,$CJ$9:$CP$508,6,FALSE()))</f>
        <v/>
      </c>
      <c r="CW256" s="71"/>
    </row>
    <row r="257" customFormat="false" ht="15.75" hidden="false" customHeight="false" outlineLevel="0" collapsed="false">
      <c r="A257" s="9"/>
      <c r="B257" s="72"/>
      <c r="C257" s="73"/>
      <c r="D257" s="160"/>
      <c r="E257" s="168"/>
      <c r="F257" s="162"/>
      <c r="G257" s="163"/>
      <c r="H257" s="169"/>
      <c r="I257" s="167"/>
      <c r="J257" s="80"/>
      <c r="K257" s="81"/>
      <c r="L257" s="82"/>
      <c r="M257" s="166"/>
      <c r="N257" s="167"/>
      <c r="O257" s="167"/>
      <c r="P257" s="80"/>
      <c r="Q257" s="82"/>
      <c r="R257" s="82"/>
      <c r="S257" s="166"/>
      <c r="T257" s="167"/>
      <c r="U257" s="86"/>
      <c r="V257" s="87"/>
      <c r="W257" s="87" t="str">
        <f aca="false">IF(ISBLANK($C257),"",IF(E257=Constants!$B$2,TRUE(),IF(E257=Constants!$B$3,FALSE(),TRUE())))</f>
        <v/>
      </c>
      <c r="X257" s="87" t="str">
        <f aca="false">IF(ISBLANK($C257),"",IF(F257=Constants!$B$2,TRUE(),IF(F257=Constants!$B$3,FALSE(),TRUE())))</f>
        <v/>
      </c>
      <c r="Y257" s="87" t="str">
        <f aca="false">IF(ISBLANK($C257),"",IF(G257=Constants!$B$2,TRUE(),IF(G257=Constants!$B$3,FALSE(),TRUE())))</f>
        <v/>
      </c>
      <c r="Z257" s="87" t="str">
        <f aca="false">IF(ISBLANK($C257),"",IF(H257=Constants!$B$2,TRUE(),IF(H257=Constants!$B$3,FALSE(),TRUE())))</f>
        <v/>
      </c>
      <c r="AA257" s="87" t="str">
        <f aca="false">IF(ISBLANK($C257),"",IF(I257=Constants!$B$2,TRUE(),IF(I257=Constants!$B$3,FALSE(),TRUE())))</f>
        <v/>
      </c>
      <c r="AB257" s="87" t="str">
        <f aca="false">IF(ISBLANK($C257),"",IF(J257=Constants!$B$4,TRUE(),IF(J257=Constants!$B$5,FALSE(),COUNTA(K257:M257)&gt;0)))</f>
        <v/>
      </c>
      <c r="AC257" s="88" t="str">
        <f aca="false">IF(ISBLANK($C257),"",IF(ISNUMBER(K257),IF(K257&gt;=0,K257,""),""))</f>
        <v/>
      </c>
      <c r="AD257" s="89" t="str">
        <f aca="false">IF(ISBLANK($C257),"",IF(ISNUMBER(L257),IF(L257&gt;=0,L257,""),""))</f>
        <v/>
      </c>
      <c r="AE257" s="87" t="str">
        <f aca="false">IF(ISBLANK($C257),"",IF(ISNUMBER(M257),IF(M257&gt;=0,MIN(M257,Constants!$B$22),""),""))</f>
        <v/>
      </c>
      <c r="AF257" s="87" t="str">
        <f aca="false">IF(ISBLANK($C257),"",IF(N257=Constants!$B$2,TRUE(),IF(N257=Constants!$B$3,FALSE(),TRUE())))</f>
        <v/>
      </c>
      <c r="AG257" s="87" t="str">
        <f aca="false">IF(ISBLANK($C257),"",IF(O257=Constants!$B$2,TRUE(),IF(O257=Constants!$B$3,FALSE(),TRUE())))</f>
        <v/>
      </c>
      <c r="AH257" s="87" t="str">
        <f aca="false">IF(ISBLANK($C257),"",IF(P257=Constants!$B$4,TRUE(),IF(P257=Constants!$B$5,FALSE(),COUNTA(Q257:S257)&gt;0)))</f>
        <v/>
      </c>
      <c r="AI257" s="88" t="str">
        <f aca="false">IF(ISBLANK($C257),"",IF(ISNUMBER(Q257),IF(Q257&gt;=0,Q257,""),""))</f>
        <v/>
      </c>
      <c r="AJ257" s="89" t="str">
        <f aca="false">IF(ISBLANK($C257),"",IF(ISNUMBER(R257),IF(R257&gt;=0,R257,""),""))</f>
        <v/>
      </c>
      <c r="AK257" s="87" t="str">
        <f aca="false">IF(ISBLANK($C257),"",IF(ISNUMBER(S257),IF(S257&gt;=0,MIN(S257,Constants!$B$22),""),""))</f>
        <v/>
      </c>
      <c r="AL257" s="87" t="str">
        <f aca="false">IF(ISBLANK($C257),"",IF(T257=Constants!$B$2,TRUE(),IF(T257=Constants!$B$3,FALSE(),FALSE())))</f>
        <v/>
      </c>
      <c r="AM257" s="86" t="str">
        <f aca="false">IF(ISBLANK($C257),"",AND($AB257,OR($AC257="",$AD257="",AND(NOT(ISBLANK($M257)),$AE257=""))))</f>
        <v/>
      </c>
      <c r="AN257" s="89" t="str">
        <f aca="false">IF($BD257&lt;&gt;Constants!$B$6,"",IF($AB257,Constants!$B$17*$AD257,Constants!$B$18))</f>
        <v/>
      </c>
      <c r="AO257" s="91" t="str">
        <f aca="false">IF($BD257&lt;&gt;Constants!$B$6,"",Constants!$B$19*IF($AB257,$AC257,0))</f>
        <v/>
      </c>
      <c r="AP257" s="91" t="str">
        <f aca="false">IF($BD257&lt;&gt;Constants!$B$6,"",IF(AND($AB257,ISNUMBER($AE257)),Constants!$B$20*(Constants!$B$21-$AE257),0))</f>
        <v/>
      </c>
      <c r="AQ257" s="91" t="str">
        <f aca="false">IF($BD257&lt;&gt;Constants!$B$6,"",IF($AA257,0,Constants!$B$12)+IF($Z257,0,Constants!$B$13)+IF($Y257,0,Constants!$B$14))</f>
        <v/>
      </c>
      <c r="AR257" s="92" t="str">
        <f aca="false">IF($BD257&lt;&gt;Constants!$B$6,"",Constants!$B$16+SUM($AN257:$AQ257))</f>
        <v/>
      </c>
      <c r="AS257" s="91" t="str">
        <f aca="false">IF($BD257&lt;&gt;Constants!$B$6,"",IF($AB257,$AD257,""))</f>
        <v/>
      </c>
      <c r="AT257" s="93" t="str">
        <f aca="false">IF($BD257&lt;&gt;Constants!$B$6,"",$AO257)</f>
        <v/>
      </c>
      <c r="AU257" s="87" t="str">
        <f aca="false">IF($BD257&lt;&gt;Constants!$B$6,"",IF(OR($BA257&lt;$AR257,AND($BA257=$AR257,OR(AND(ISNUMBER($BB257),OR(NOT(ISNUMBER($AS257)),$BB257&lt;$AS257)),AND(OR(AND($BB257="",$AS257=""),AND(ISNUMBER($BB257),ISNUMBER($AS257),$BB257=$AS257)),$BC257&lt;$AT257)))),"-&gt;","&lt;-"))</f>
        <v/>
      </c>
      <c r="AV257" s="86" t="str">
        <f aca="false">IF(ISBLANK($C257),"",AND($AH257,OR($AI257="",$AJ257="",AND(NOT(ISBLANK($S257)),$AK257=""))))</f>
        <v/>
      </c>
      <c r="AW257" s="89" t="str">
        <f aca="false">IF($BD257&lt;&gt;Constants!$B$6,"",IF($AH257,Constants!$B$17*$AJ257,Constants!$B$18))</f>
        <v/>
      </c>
      <c r="AX257" s="91" t="str">
        <f aca="false">IF($BD257&lt;&gt;Constants!$B$6,"",Constants!$B$19*IF($AH257,$AI257,0))</f>
        <v/>
      </c>
      <c r="AY257" s="91" t="str">
        <f aca="false">IF($BD257&lt;&gt;Constants!$B$6,"",IF(AND($AH257,ISNUMBER($AK257)),Constants!$B$20*(Constants!$B$21-$AK257),0))</f>
        <v/>
      </c>
      <c r="AZ257" s="91" t="str">
        <f aca="false">IF($BD257&lt;&gt;Constants!$B$6,"",IF($AG257,0,Constants!$B$12)+IF($AF257,0,Constants!$B$13)+IF($Y257,0,Constants!$B$14))</f>
        <v/>
      </c>
      <c r="BA257" s="92" t="str">
        <f aca="false">IF($BD257&lt;&gt;Constants!$B$6,"",Constants!$B$16+SUM($AW257:$AZ257))</f>
        <v/>
      </c>
      <c r="BB257" s="91" t="str">
        <f aca="false">IF($BD257&lt;&gt;Constants!$B$6,"",IF($AH257,$AJ257,""))</f>
        <v/>
      </c>
      <c r="BC257" s="93" t="str">
        <f aca="false">IF($BD257&lt;&gt;Constants!$B$6,"",$AX257)</f>
        <v/>
      </c>
      <c r="BD257" s="87" t="str">
        <f aca="false">IF(ISBLANK($C257),"",IF($AL257,Constants!$B$9,IF(COUNTA($E257:$T257)=0,Constants!$B$8,IF(NOT($X257),Constants!$B$7,IF(OR($AM257,$AV257),Constants!$B$10,Constants!$B$6)))))</f>
        <v/>
      </c>
      <c r="BE257" s="87" t="str">
        <f aca="false">IF(ISBLANK($C257),"",IF($BD257&lt;&gt;Constants!$B$6,$BD257,Constants!$B$11))</f>
        <v/>
      </c>
      <c r="BF257" s="91" t="str">
        <f aca="false">IF($BD257&lt;&gt;Constants!$B$6,"",IF($AU257="-&gt;",$BA257,$AR257))</f>
        <v/>
      </c>
      <c r="BG257" s="91" t="str">
        <f aca="false">IF($BD257&lt;&gt;Constants!$B$6,"",IF($W257,0,Constants!$B$15))</f>
        <v/>
      </c>
      <c r="BH257" s="91" t="str">
        <f aca="false">IF(ISBLANK($C257),"",IF($BD257&lt;&gt;Constants!$B$6,$BD257,SUM($BF257:$BG257)))</f>
        <v/>
      </c>
      <c r="BI257" s="87" t="str">
        <f aca="false">IF(ISBLANK($C257),"",IF($BD257&lt;&gt;Constants!$B$6,$BD257,RANK($BH257,$BH$9:$BH$508,1)))</f>
        <v/>
      </c>
      <c r="BJ257" s="91" t="str">
        <f aca="false">IF($BD257&lt;&gt;Constants!$B$6,"",IF($AU257="-&gt;",$BB257,$AS257))</f>
        <v/>
      </c>
      <c r="BK257" s="87" t="str">
        <f aca="false">IF(ISBLANK($C257),"",IF($BD257&lt;&gt;Constants!$B$6,$BD257,IF(ISNUMBER($BJ257),RANK($BJ257,$BJ$9:$BJ$508,1),COUNT($BJ$9:$BJ$508)+1)))</f>
        <v/>
      </c>
      <c r="BL257" s="91" t="str">
        <f aca="false">IF($BD257&lt;&gt;Constants!$B$6,"",IF($AU257="-&gt;",$BC257,$AT257))</f>
        <v/>
      </c>
      <c r="BM257" s="87" t="str">
        <f aca="false">IF(ISBLANK($C257),"",IF($BD257&lt;&gt;Constants!$B$6,$BD257,IF(ISNUMBER($BL257),RANK($BL257,$BL$9:$BL$508,1),COUNT($BL$9:$BL$508)+1)))</f>
        <v/>
      </c>
      <c r="BN257" s="91" t="str">
        <f aca="false">IF($BD257&lt;&gt;Constants!$B$6,"",IF($AU257="-&gt;",$AS257,$BB257))</f>
        <v/>
      </c>
      <c r="BO257" s="87" t="str">
        <f aca="false">IF(ISBLANK($C257),"",IF($BD257&lt;&gt;Constants!$B$6,$BD257,IF(ISNUMBER($BN257),RANK($BN257,$BN$9:$BN$508,1),COUNT($BN$9:$BN$508)+1)))</f>
        <v/>
      </c>
      <c r="BP257" s="91" t="str">
        <f aca="false">IF($BD257&lt;&gt;Constants!$B$6,"",IF($AU257="-&gt;",$AT257,$BC257))</f>
        <v/>
      </c>
      <c r="BQ257" s="87" t="str">
        <f aca="false">IF(ISBLANK($C257),"",IF($BD257&lt;&gt;Constants!$B$6,$BD257,IF(ISNUMBER($BP257),RANK($BP257,$BP$9:$BP$508,1),COUNT($BP$9:$BP$508)+1)))</f>
        <v/>
      </c>
      <c r="BR257" s="87" t="str">
        <f aca="false">IF(ISBLANK($C257),"",IF($BD257&lt;&gt;Constants!$B$6,$BD257,COUNTIFS($BI$9:$BI$508,"&lt;"&amp;$BI257)+COUNTIFS($BI$9:$BI$508,$BI257,$BK$9:$BK$508,"&lt;"&amp;$BK257)+COUNTIFS($BI$9:$BI$508,$BI257,$BK$9:$BK$508,$BK257,$BM$9:$BM$508,"&lt;"&amp;$BM257)+COUNTIFS($BI$9:$BI$508,$BI257,$BK$9:$BK$508,$BK257,$BM$9:$BM$508,$BM257,$BO$9:$BO$508,"&lt;"&amp;$BO257)+COUNTIFS($BI$9:$BI$508,$BI257,$BK$9:$BK$508,$BK257,$BM$9:$BM$508,$BM257,$BO$9:$BO$508,$BO257,$BQ$9:$BQ$508,"&lt;"&amp;$BQ257)+1))</f>
        <v/>
      </c>
      <c r="BS257" s="87" t="str">
        <f aca="false">IF(ISBLANK($C257),"",IF($BD257&lt;&gt;Constants!$B$6,$BD257,$BI257-$BR257))</f>
        <v/>
      </c>
      <c r="BT257" s="94"/>
      <c r="BU257" s="95"/>
      <c r="BV257" s="95" t="str">
        <f aca="false">IF(ISBLANK($C257),"",IF($BD257&lt;&gt;Constants!$B$6,"",IF($AU257="-&gt;",2,1)))</f>
        <v/>
      </c>
      <c r="BW257" s="96" t="str">
        <f aca="false">IF(ISBLANK($C257),"",IF($BD257&lt;&gt;Constants!$B$6,"",IF($AU257="-&gt;",$AW257,$AN257)))</f>
        <v/>
      </c>
      <c r="BX257" s="96" t="str">
        <f aca="false">IF(ISBLANK($C257),"",IF($BD257&lt;&gt;Constants!$B$6,"",IF($AU257="-&gt;",$AX257,$AO257)))</f>
        <v/>
      </c>
      <c r="BY257" s="96" t="str">
        <f aca="false">IF(ISBLANK($C257),"",IF($BD257&lt;&gt;Constants!$B$6,"",IF($AU257="-&gt;",$AY257,$AP257)))</f>
        <v/>
      </c>
      <c r="BZ257" s="96" t="str">
        <f aca="false">IF(ISBLANK($C257),"",IF($BD257&lt;&gt;Constants!$B$6,"",IF($AU257="-&gt;",$AZ257,$AQ257)+$BG257))</f>
        <v/>
      </c>
      <c r="CA257" s="97" t="str">
        <f aca="false">IF(ISBLANK($C257),"",IF($BD257&lt;&gt;Constants!$B$6,$BD257,$BH257))</f>
        <v/>
      </c>
      <c r="CB257" s="98" t="str">
        <f aca="false">IF(ISBLANK($C257),"",$BE257)</f>
        <v/>
      </c>
      <c r="CC257" s="99" t="str">
        <f aca="false">IF(ISBLANK($C257),"",$BS257)</f>
        <v/>
      </c>
      <c r="CD257" s="99" t="str">
        <f aca="false">IF(ISBLANK($C257),"",$BR257)</f>
        <v/>
      </c>
      <c r="CE257" s="100" t="str">
        <f aca="false">IF(ISBLANK($C257),"",IF($CD257=Constants!$B$9,COUNTA($C$9:$C$508)+2,IF($CD257=Constants!$B$8,COUNTA($C$9:$C$508)+1,IF($CD257=Constants!$B$7,COUNTA($C$9:$C$508),$CD257))))</f>
        <v/>
      </c>
      <c r="CF257" s="9"/>
      <c r="CG257" s="101" t="n">
        <f aca="false">IF(OR(ISNUMBER($CD257),$CD257=Constants!$B$9,$CD257=Constants!$B$7,$CD257=Constants!$B$8),1,0)</f>
        <v>0</v>
      </c>
      <c r="CH257" s="101" t="n">
        <v>249</v>
      </c>
      <c r="CI257" s="101" t="str">
        <f aca="false">IF(ISBLANK($C257),"",IF(ISNUMBER($CE257),$CE257+ROW($B257)/1000,""))</f>
        <v/>
      </c>
      <c r="CJ257" s="101" t="str">
        <f aca="false">IF(ISNUMBER($CI257),RANK($CI257,$CI$9:$CI$508,1),"")</f>
        <v/>
      </c>
      <c r="CK257" s="101" t="str">
        <f aca="false">IF(ISBLANK($C257),"",$B257)</f>
        <v/>
      </c>
      <c r="CL257" s="101" t="str">
        <f aca="false">IF(ISBLANK($C257),"",$C257)</f>
        <v/>
      </c>
      <c r="CM257" s="101" t="str">
        <f aca="false">IF(ISBLANK($C257),"",$D257)</f>
        <v/>
      </c>
      <c r="CN257" s="102" t="str">
        <f aca="false">$CB257</f>
        <v/>
      </c>
      <c r="CO257" s="103" t="str">
        <f aca="false">$CA257</f>
        <v/>
      </c>
      <c r="CP257" s="101" t="str">
        <f aca="false">IF(ISBLANK($C257),"",$CD257)</f>
        <v/>
      </c>
      <c r="CQ257" s="104" t="str">
        <f aca="false">IF($CH257&gt;$CG$8,"",VLOOKUP($CH257,$CJ$9:$CP$508,7,FALSE()))</f>
        <v/>
      </c>
      <c r="CR257" s="105" t="str">
        <f aca="false">IF($CH257&gt;$CG$8,"",VLOOKUP($CH257,$CJ$9:$CP$508,2,FALSE()))</f>
        <v/>
      </c>
      <c r="CS257" s="105" t="str">
        <f aca="false">IF($CH257&gt;$CG$8,"",VLOOKUP($CH257,$CJ$9:$CP$508,3,FALSE()))</f>
        <v/>
      </c>
      <c r="CT257" s="105" t="str">
        <f aca="false">IF($CH257&gt;$CG$8,"",VLOOKUP($CH257,$CJ$9:$CP$508,4,FALSE()))</f>
        <v/>
      </c>
      <c r="CU257" s="105" t="str">
        <f aca="false">IF($CH257&gt;$CG$8,"",VLOOKUP($CH257,$CJ$9:$CP$508,5,FALSE()))</f>
        <v/>
      </c>
      <c r="CV257" s="106" t="str">
        <f aca="false">IF($CH257&gt;$CG$8,"",VLOOKUP($CH257,$CJ$9:$CP$508,6,FALSE()))</f>
        <v/>
      </c>
      <c r="CW257" s="71"/>
    </row>
    <row r="258" customFormat="false" ht="15.75" hidden="false" customHeight="false" outlineLevel="0" collapsed="false">
      <c r="A258" s="9"/>
      <c r="B258" s="150"/>
      <c r="C258" s="151"/>
      <c r="D258" s="152"/>
      <c r="E258" s="170"/>
      <c r="F258" s="154"/>
      <c r="G258" s="155"/>
      <c r="H258" s="171"/>
      <c r="I258" s="159"/>
      <c r="J258" s="120"/>
      <c r="K258" s="121"/>
      <c r="L258" s="122"/>
      <c r="M258" s="158"/>
      <c r="N258" s="159"/>
      <c r="O258" s="159"/>
      <c r="P258" s="120"/>
      <c r="Q258" s="122"/>
      <c r="R258" s="122"/>
      <c r="S258" s="158"/>
      <c r="T258" s="159"/>
      <c r="U258" s="126"/>
      <c r="V258" s="127"/>
      <c r="W258" s="127" t="str">
        <f aca="false">IF(ISBLANK($C258),"",IF(E258=Constants!$B$2,TRUE(),IF(E258=Constants!$B$3,FALSE(),TRUE())))</f>
        <v/>
      </c>
      <c r="X258" s="127" t="str">
        <f aca="false">IF(ISBLANK($C258),"",IF(F258=Constants!$B$2,TRUE(),IF(F258=Constants!$B$3,FALSE(),TRUE())))</f>
        <v/>
      </c>
      <c r="Y258" s="127" t="str">
        <f aca="false">IF(ISBLANK($C258),"",IF(G258=Constants!$B$2,TRUE(),IF(G258=Constants!$B$3,FALSE(),TRUE())))</f>
        <v/>
      </c>
      <c r="Z258" s="127" t="str">
        <f aca="false">IF(ISBLANK($C258),"",IF(H258=Constants!$B$2,TRUE(),IF(H258=Constants!$B$3,FALSE(),TRUE())))</f>
        <v/>
      </c>
      <c r="AA258" s="127" t="str">
        <f aca="false">IF(ISBLANK($C258),"",IF(I258=Constants!$B$2,TRUE(),IF(I258=Constants!$B$3,FALSE(),TRUE())))</f>
        <v/>
      </c>
      <c r="AB258" s="127" t="str">
        <f aca="false">IF(ISBLANK($C258),"",IF(J258=Constants!$B$4,TRUE(),IF(J258=Constants!$B$5,FALSE(),COUNTA(K258:M258)&gt;0)))</f>
        <v/>
      </c>
      <c r="AC258" s="128" t="str">
        <f aca="false">IF(ISBLANK($C258),"",IF(ISNUMBER(K258),IF(K258&gt;=0,K258,""),""))</f>
        <v/>
      </c>
      <c r="AD258" s="129" t="str">
        <f aca="false">IF(ISBLANK($C258),"",IF(ISNUMBER(L258),IF(L258&gt;=0,L258,""),""))</f>
        <v/>
      </c>
      <c r="AE258" s="127" t="str">
        <f aca="false">IF(ISBLANK($C258),"",IF(ISNUMBER(M258),IF(M258&gt;=0,MIN(M258,Constants!$B$22),""),""))</f>
        <v/>
      </c>
      <c r="AF258" s="127" t="str">
        <f aca="false">IF(ISBLANK($C258),"",IF(N258=Constants!$B$2,TRUE(),IF(N258=Constants!$B$3,FALSE(),TRUE())))</f>
        <v/>
      </c>
      <c r="AG258" s="127" t="str">
        <f aca="false">IF(ISBLANK($C258),"",IF(O258=Constants!$B$2,TRUE(),IF(O258=Constants!$B$3,FALSE(),TRUE())))</f>
        <v/>
      </c>
      <c r="AH258" s="127" t="str">
        <f aca="false">IF(ISBLANK($C258),"",IF(P258=Constants!$B$4,TRUE(),IF(P258=Constants!$B$5,FALSE(),COUNTA(Q258:S258)&gt;0)))</f>
        <v/>
      </c>
      <c r="AI258" s="128" t="str">
        <f aca="false">IF(ISBLANK($C258),"",IF(ISNUMBER(Q258),IF(Q258&gt;=0,Q258,""),""))</f>
        <v/>
      </c>
      <c r="AJ258" s="129" t="str">
        <f aca="false">IF(ISBLANK($C258),"",IF(ISNUMBER(R258),IF(R258&gt;=0,R258,""),""))</f>
        <v/>
      </c>
      <c r="AK258" s="127" t="str">
        <f aca="false">IF(ISBLANK($C258),"",IF(ISNUMBER(S258),IF(S258&gt;=0,MIN(S258,Constants!$B$22),""),""))</f>
        <v/>
      </c>
      <c r="AL258" s="127" t="str">
        <f aca="false">IF(ISBLANK($C258),"",IF(T258=Constants!$B$2,TRUE(),IF(T258=Constants!$B$3,FALSE(),FALSE())))</f>
        <v/>
      </c>
      <c r="AM258" s="126" t="str">
        <f aca="false">IF(ISBLANK($C258),"",AND($AB258,OR($AC258="",$AD258="",AND(NOT(ISBLANK($M258)),$AE258=""))))</f>
        <v/>
      </c>
      <c r="AN258" s="129" t="str">
        <f aca="false">IF($BD258&lt;&gt;Constants!$B$6,"",IF($AB258,Constants!$B$17*$AD258,Constants!$B$18))</f>
        <v/>
      </c>
      <c r="AO258" s="130" t="str">
        <f aca="false">IF($BD258&lt;&gt;Constants!$B$6,"",Constants!$B$19*IF($AB258,$AC258,0))</f>
        <v/>
      </c>
      <c r="AP258" s="130" t="str">
        <f aca="false">IF($BD258&lt;&gt;Constants!$B$6,"",IF(AND($AB258,ISNUMBER($AE258)),Constants!$B$20*(Constants!$B$21-$AE258),0))</f>
        <v/>
      </c>
      <c r="AQ258" s="130" t="str">
        <f aca="false">IF($BD258&lt;&gt;Constants!$B$6,"",IF($AA258,0,Constants!$B$12)+IF($Z258,0,Constants!$B$13)+IF($Y258,0,Constants!$B$14))</f>
        <v/>
      </c>
      <c r="AR258" s="131" t="str">
        <f aca="false">IF($BD258&lt;&gt;Constants!$B$6,"",Constants!$B$16+SUM($AN258:$AQ258))</f>
        <v/>
      </c>
      <c r="AS258" s="130" t="str">
        <f aca="false">IF($BD258&lt;&gt;Constants!$B$6,"",IF($AB258,$AD258,""))</f>
        <v/>
      </c>
      <c r="AT258" s="132" t="str">
        <f aca="false">IF($BD258&lt;&gt;Constants!$B$6,"",$AO258)</f>
        <v/>
      </c>
      <c r="AU258" s="127" t="str">
        <f aca="false">IF($BD258&lt;&gt;Constants!$B$6,"",IF(OR($BA258&lt;$AR258,AND($BA258=$AR258,OR(AND(ISNUMBER($BB258),OR(NOT(ISNUMBER($AS258)),$BB258&lt;$AS258)),AND(OR(AND($BB258="",$AS258=""),AND(ISNUMBER($BB258),ISNUMBER($AS258),$BB258=$AS258)),$BC258&lt;$AT258)))),"-&gt;","&lt;-"))</f>
        <v/>
      </c>
      <c r="AV258" s="126" t="str">
        <f aca="false">IF(ISBLANK($C258),"",AND($AH258,OR($AI258="",$AJ258="",AND(NOT(ISBLANK($S258)),$AK258=""))))</f>
        <v/>
      </c>
      <c r="AW258" s="129" t="str">
        <f aca="false">IF($BD258&lt;&gt;Constants!$B$6,"",IF($AH258,Constants!$B$17*$AJ258,Constants!$B$18))</f>
        <v/>
      </c>
      <c r="AX258" s="130" t="str">
        <f aca="false">IF($BD258&lt;&gt;Constants!$B$6,"",Constants!$B$19*IF($AH258,$AI258,0))</f>
        <v/>
      </c>
      <c r="AY258" s="130" t="str">
        <f aca="false">IF($BD258&lt;&gt;Constants!$B$6,"",IF(AND($AH258,ISNUMBER($AK258)),Constants!$B$20*(Constants!$B$21-$AK258),0))</f>
        <v/>
      </c>
      <c r="AZ258" s="130" t="str">
        <f aca="false">IF($BD258&lt;&gt;Constants!$B$6,"",IF($AG258,0,Constants!$B$12)+IF($AF258,0,Constants!$B$13)+IF($Y258,0,Constants!$B$14))</f>
        <v/>
      </c>
      <c r="BA258" s="131" t="str">
        <f aca="false">IF($BD258&lt;&gt;Constants!$B$6,"",Constants!$B$16+SUM($AW258:$AZ258))</f>
        <v/>
      </c>
      <c r="BB258" s="130" t="str">
        <f aca="false">IF($BD258&lt;&gt;Constants!$B$6,"",IF($AH258,$AJ258,""))</f>
        <v/>
      </c>
      <c r="BC258" s="132" t="str">
        <f aca="false">IF($BD258&lt;&gt;Constants!$B$6,"",$AX258)</f>
        <v/>
      </c>
      <c r="BD258" s="127" t="str">
        <f aca="false">IF(ISBLANK($C258),"",IF($AL258,Constants!$B$9,IF(COUNTA($E258:$T258)=0,Constants!$B$8,IF(NOT($X258),Constants!$B$7,IF(OR($AM258,$AV258),Constants!$B$10,Constants!$B$6)))))</f>
        <v/>
      </c>
      <c r="BE258" s="127" t="str">
        <f aca="false">IF(ISBLANK($C258),"",IF($BD258&lt;&gt;Constants!$B$6,$BD258,Constants!$B$11))</f>
        <v/>
      </c>
      <c r="BF258" s="130" t="str">
        <f aca="false">IF($BD258&lt;&gt;Constants!$B$6,"",IF($AU258="-&gt;",$BA258,$AR258))</f>
        <v/>
      </c>
      <c r="BG258" s="130" t="str">
        <f aca="false">IF($BD258&lt;&gt;Constants!$B$6,"",IF($W258,0,Constants!$B$15))</f>
        <v/>
      </c>
      <c r="BH258" s="130" t="str">
        <f aca="false">IF(ISBLANK($C258),"",IF($BD258&lt;&gt;Constants!$B$6,$BD258,SUM($BF258:$BG258)))</f>
        <v/>
      </c>
      <c r="BI258" s="127" t="str">
        <f aca="false">IF(ISBLANK($C258),"",IF($BD258&lt;&gt;Constants!$B$6,$BD258,RANK($BH258,$BH$9:$BH$508,1)))</f>
        <v/>
      </c>
      <c r="BJ258" s="130" t="str">
        <f aca="false">IF($BD258&lt;&gt;Constants!$B$6,"",IF($AU258="-&gt;",$BB258,$AS258))</f>
        <v/>
      </c>
      <c r="BK258" s="127" t="str">
        <f aca="false">IF(ISBLANK($C258),"",IF($BD258&lt;&gt;Constants!$B$6,$BD258,IF(ISNUMBER($BJ258),RANK($BJ258,$BJ$9:$BJ$508,1),COUNT($BJ$9:$BJ$508)+1)))</f>
        <v/>
      </c>
      <c r="BL258" s="130" t="str">
        <f aca="false">IF($BD258&lt;&gt;Constants!$B$6,"",IF($AU258="-&gt;",$BC258,$AT258))</f>
        <v/>
      </c>
      <c r="BM258" s="127" t="str">
        <f aca="false">IF(ISBLANK($C258),"",IF($BD258&lt;&gt;Constants!$B$6,$BD258,IF(ISNUMBER($BL258),RANK($BL258,$BL$9:$BL$508,1),COUNT($BL$9:$BL$508)+1)))</f>
        <v/>
      </c>
      <c r="BN258" s="130" t="str">
        <f aca="false">IF($BD258&lt;&gt;Constants!$B$6,"",IF($AU258="-&gt;",$AS258,$BB258))</f>
        <v/>
      </c>
      <c r="BO258" s="127" t="str">
        <f aca="false">IF(ISBLANK($C258),"",IF($BD258&lt;&gt;Constants!$B$6,$BD258,IF(ISNUMBER($BN258),RANK($BN258,$BN$9:$BN$508,1),COUNT($BN$9:$BN$508)+1)))</f>
        <v/>
      </c>
      <c r="BP258" s="130" t="str">
        <f aca="false">IF($BD258&lt;&gt;Constants!$B$6,"",IF($AU258="-&gt;",$AT258,$BC258))</f>
        <v/>
      </c>
      <c r="BQ258" s="127" t="str">
        <f aca="false">IF(ISBLANK($C258),"",IF($BD258&lt;&gt;Constants!$B$6,$BD258,IF(ISNUMBER($BP258),RANK($BP258,$BP$9:$BP$508,1),COUNT($BP$9:$BP$508)+1)))</f>
        <v/>
      </c>
      <c r="BR258" s="127" t="str">
        <f aca="false">IF(ISBLANK($C258),"",IF($BD258&lt;&gt;Constants!$B$6,$BD258,COUNTIFS($BI$9:$BI$508,"&lt;"&amp;$BI258)+COUNTIFS($BI$9:$BI$508,$BI258,$BK$9:$BK$508,"&lt;"&amp;$BK258)+COUNTIFS($BI$9:$BI$508,$BI258,$BK$9:$BK$508,$BK258,$BM$9:$BM$508,"&lt;"&amp;$BM258)+COUNTIFS($BI$9:$BI$508,$BI258,$BK$9:$BK$508,$BK258,$BM$9:$BM$508,$BM258,$BO$9:$BO$508,"&lt;"&amp;$BO258)+COUNTIFS($BI$9:$BI$508,$BI258,$BK$9:$BK$508,$BK258,$BM$9:$BM$508,$BM258,$BO$9:$BO$508,$BO258,$BQ$9:$BQ$508,"&lt;"&amp;$BQ258)+1))</f>
        <v/>
      </c>
      <c r="BS258" s="127" t="str">
        <f aca="false">IF(ISBLANK($C258),"",IF($BD258&lt;&gt;Constants!$B$6,$BD258,$BI258-$BR258))</f>
        <v/>
      </c>
      <c r="BT258" s="133"/>
      <c r="BU258" s="134"/>
      <c r="BV258" s="134" t="str">
        <f aca="false">IF(ISBLANK($C258),"",IF($BD258&lt;&gt;Constants!$B$6,"",IF($AU258="-&gt;",2,1)))</f>
        <v/>
      </c>
      <c r="BW258" s="135" t="str">
        <f aca="false">IF(ISBLANK($C258),"",IF($BD258&lt;&gt;Constants!$B$6,"",IF($AU258="-&gt;",$AW258,$AN258)))</f>
        <v/>
      </c>
      <c r="BX258" s="135" t="str">
        <f aca="false">IF(ISBLANK($C258),"",IF($BD258&lt;&gt;Constants!$B$6,"",IF($AU258="-&gt;",$AX258,$AO258)))</f>
        <v/>
      </c>
      <c r="BY258" s="135" t="str">
        <f aca="false">IF(ISBLANK($C258),"",IF($BD258&lt;&gt;Constants!$B$6,"",IF($AU258="-&gt;",$AY258,$AP258)))</f>
        <v/>
      </c>
      <c r="BZ258" s="135" t="str">
        <f aca="false">IF(ISBLANK($C258),"",IF($BD258&lt;&gt;Constants!$B$6,"",IF($AU258="-&gt;",$AZ258,$AQ258)+$BG258))</f>
        <v/>
      </c>
      <c r="CA258" s="136" t="str">
        <f aca="false">IF(ISBLANK($C258),"",IF($BD258&lt;&gt;Constants!$B$6,$BD258,$BH258))</f>
        <v/>
      </c>
      <c r="CB258" s="137" t="str">
        <f aca="false">IF(ISBLANK($C258),"",$BE258)</f>
        <v/>
      </c>
      <c r="CC258" s="138" t="str">
        <f aca="false">IF(ISBLANK($C258),"",$BS258)</f>
        <v/>
      </c>
      <c r="CD258" s="138" t="str">
        <f aca="false">IF(ISBLANK($C258),"",$BR258)</f>
        <v/>
      </c>
      <c r="CE258" s="139" t="str">
        <f aca="false">IF(ISBLANK($C258),"",IF($CD258=Constants!$B$9,COUNTA($C$9:$C$508)+2,IF($CD258=Constants!$B$8,COUNTA($C$9:$C$508)+1,IF($CD258=Constants!$B$7,COUNTA($C$9:$C$508),$CD258))))</f>
        <v/>
      </c>
      <c r="CF258" s="9"/>
      <c r="CG258" s="140" t="n">
        <f aca="false">IF(OR(ISNUMBER($CD258),$CD258=Constants!$B$9,$CD258=Constants!$B$7,$CD258=Constants!$B$8),1,0)</f>
        <v>0</v>
      </c>
      <c r="CH258" s="140" t="n">
        <v>250</v>
      </c>
      <c r="CI258" s="140" t="str">
        <f aca="false">IF(ISBLANK($C258),"",IF(ISNUMBER($CE258),$CE258+ROW($B258)/1000,""))</f>
        <v/>
      </c>
      <c r="CJ258" s="140" t="str">
        <f aca="false">IF(ISNUMBER($CI258),RANK($CI258,$CI$9:$CI$508,1),"")</f>
        <v/>
      </c>
      <c r="CK258" s="140" t="str">
        <f aca="false">IF(ISBLANK($C258),"",$B258)</f>
        <v/>
      </c>
      <c r="CL258" s="140" t="str">
        <f aca="false">IF(ISBLANK($C258),"",$C258)</f>
        <v/>
      </c>
      <c r="CM258" s="140" t="str">
        <f aca="false">IF(ISBLANK($C258),"",$D258)</f>
        <v/>
      </c>
      <c r="CN258" s="141" t="str">
        <f aca="false">$CB258</f>
        <v/>
      </c>
      <c r="CO258" s="142" t="str">
        <f aca="false">$CA258</f>
        <v/>
      </c>
      <c r="CP258" s="140" t="str">
        <f aca="false">IF(ISBLANK($C258),"",$CD258)</f>
        <v/>
      </c>
      <c r="CQ258" s="143" t="str">
        <f aca="false">IF($CH258&gt;$CG$8,"",VLOOKUP($CH258,$CJ$9:$CP$508,7,FALSE()))</f>
        <v/>
      </c>
      <c r="CR258" s="144" t="str">
        <f aca="false">IF($CH258&gt;$CG$8,"",VLOOKUP($CH258,$CJ$9:$CP$508,2,FALSE()))</f>
        <v/>
      </c>
      <c r="CS258" s="144" t="str">
        <f aca="false">IF($CH258&gt;$CG$8,"",VLOOKUP($CH258,$CJ$9:$CP$508,3,FALSE()))</f>
        <v/>
      </c>
      <c r="CT258" s="144" t="str">
        <f aca="false">IF($CH258&gt;$CG$8,"",VLOOKUP($CH258,$CJ$9:$CP$508,4,FALSE()))</f>
        <v/>
      </c>
      <c r="CU258" s="144" t="str">
        <f aca="false">IF($CH258&gt;$CG$8,"",VLOOKUP($CH258,$CJ$9:$CP$508,5,FALSE()))</f>
        <v/>
      </c>
      <c r="CV258" s="145" t="str">
        <f aca="false">IF($CH258&gt;$CG$8,"",VLOOKUP($CH258,$CJ$9:$CP$508,6,FALSE()))</f>
        <v/>
      </c>
      <c r="CW258" s="71"/>
    </row>
    <row r="259" customFormat="false" ht="15.75" hidden="false" customHeight="false" outlineLevel="0" collapsed="false">
      <c r="A259" s="9"/>
      <c r="B259" s="150"/>
      <c r="C259" s="151"/>
      <c r="D259" s="152"/>
      <c r="E259" s="170"/>
      <c r="F259" s="154"/>
      <c r="G259" s="155"/>
      <c r="H259" s="171"/>
      <c r="I259" s="159"/>
      <c r="J259" s="120"/>
      <c r="K259" s="121"/>
      <c r="L259" s="122"/>
      <c r="M259" s="158"/>
      <c r="N259" s="159"/>
      <c r="O259" s="159"/>
      <c r="P259" s="120"/>
      <c r="Q259" s="122"/>
      <c r="R259" s="122"/>
      <c r="S259" s="158"/>
      <c r="T259" s="159"/>
      <c r="U259" s="126"/>
      <c r="V259" s="127"/>
      <c r="W259" s="127" t="str">
        <f aca="false">IF(ISBLANK($C259),"",IF(E259=Constants!$B$2,TRUE(),IF(E259=Constants!$B$3,FALSE(),TRUE())))</f>
        <v/>
      </c>
      <c r="X259" s="127" t="str">
        <f aca="false">IF(ISBLANK($C259),"",IF(F259=Constants!$B$2,TRUE(),IF(F259=Constants!$B$3,FALSE(),TRUE())))</f>
        <v/>
      </c>
      <c r="Y259" s="127" t="str">
        <f aca="false">IF(ISBLANK($C259),"",IF(G259=Constants!$B$2,TRUE(),IF(G259=Constants!$B$3,FALSE(),TRUE())))</f>
        <v/>
      </c>
      <c r="Z259" s="127" t="str">
        <f aca="false">IF(ISBLANK($C259),"",IF(H259=Constants!$B$2,TRUE(),IF(H259=Constants!$B$3,FALSE(),TRUE())))</f>
        <v/>
      </c>
      <c r="AA259" s="127" t="str">
        <f aca="false">IF(ISBLANK($C259),"",IF(I259=Constants!$B$2,TRUE(),IF(I259=Constants!$B$3,FALSE(),TRUE())))</f>
        <v/>
      </c>
      <c r="AB259" s="127" t="str">
        <f aca="false">IF(ISBLANK($C259),"",IF(J259=Constants!$B$4,TRUE(),IF(J259=Constants!$B$5,FALSE(),COUNTA(K259:M259)&gt;0)))</f>
        <v/>
      </c>
      <c r="AC259" s="128" t="str">
        <f aca="false">IF(ISBLANK($C259),"",IF(ISNUMBER(K259),IF(K259&gt;=0,K259,""),""))</f>
        <v/>
      </c>
      <c r="AD259" s="129" t="str">
        <f aca="false">IF(ISBLANK($C259),"",IF(ISNUMBER(L259),IF(L259&gt;=0,L259,""),""))</f>
        <v/>
      </c>
      <c r="AE259" s="127" t="str">
        <f aca="false">IF(ISBLANK($C259),"",IF(ISNUMBER(M259),IF(M259&gt;=0,MIN(M259,Constants!$B$22),""),""))</f>
        <v/>
      </c>
      <c r="AF259" s="127" t="str">
        <f aca="false">IF(ISBLANK($C259),"",IF(N259=Constants!$B$2,TRUE(),IF(N259=Constants!$B$3,FALSE(),TRUE())))</f>
        <v/>
      </c>
      <c r="AG259" s="127" t="str">
        <f aca="false">IF(ISBLANK($C259),"",IF(O259=Constants!$B$2,TRUE(),IF(O259=Constants!$B$3,FALSE(),TRUE())))</f>
        <v/>
      </c>
      <c r="AH259" s="127" t="str">
        <f aca="false">IF(ISBLANK($C259),"",IF(P259=Constants!$B$4,TRUE(),IF(P259=Constants!$B$5,FALSE(),COUNTA(Q259:S259)&gt;0)))</f>
        <v/>
      </c>
      <c r="AI259" s="128" t="str">
        <f aca="false">IF(ISBLANK($C259),"",IF(ISNUMBER(Q259),IF(Q259&gt;=0,Q259,""),""))</f>
        <v/>
      </c>
      <c r="AJ259" s="129" t="str">
        <f aca="false">IF(ISBLANK($C259),"",IF(ISNUMBER(R259),IF(R259&gt;=0,R259,""),""))</f>
        <v/>
      </c>
      <c r="AK259" s="127" t="str">
        <f aca="false">IF(ISBLANK($C259),"",IF(ISNUMBER(S259),IF(S259&gt;=0,MIN(S259,Constants!$B$22),""),""))</f>
        <v/>
      </c>
      <c r="AL259" s="127" t="str">
        <f aca="false">IF(ISBLANK($C259),"",IF(T259=Constants!$B$2,TRUE(),IF(T259=Constants!$B$3,FALSE(),FALSE())))</f>
        <v/>
      </c>
      <c r="AM259" s="126" t="str">
        <f aca="false">IF(ISBLANK($C259),"",AND($AB259,OR($AC259="",$AD259="",AND(NOT(ISBLANK($M259)),$AE259=""))))</f>
        <v/>
      </c>
      <c r="AN259" s="129" t="str">
        <f aca="false">IF($BD259&lt;&gt;Constants!$B$6,"",IF($AB259,Constants!$B$17*$AD259,Constants!$B$18))</f>
        <v/>
      </c>
      <c r="AO259" s="130" t="str">
        <f aca="false">IF($BD259&lt;&gt;Constants!$B$6,"",Constants!$B$19*IF($AB259,$AC259,0))</f>
        <v/>
      </c>
      <c r="AP259" s="130" t="str">
        <f aca="false">IF($BD259&lt;&gt;Constants!$B$6,"",IF(AND($AB259,ISNUMBER($AE259)),Constants!$B$20*(Constants!$B$21-$AE259),0))</f>
        <v/>
      </c>
      <c r="AQ259" s="130" t="str">
        <f aca="false">IF($BD259&lt;&gt;Constants!$B$6,"",IF($AA259,0,Constants!$B$12)+IF($Z259,0,Constants!$B$13)+IF($Y259,0,Constants!$B$14))</f>
        <v/>
      </c>
      <c r="AR259" s="131" t="str">
        <f aca="false">IF($BD259&lt;&gt;Constants!$B$6,"",Constants!$B$16+SUM($AN259:$AQ259))</f>
        <v/>
      </c>
      <c r="AS259" s="130" t="str">
        <f aca="false">IF($BD259&lt;&gt;Constants!$B$6,"",IF($AB259,$AD259,""))</f>
        <v/>
      </c>
      <c r="AT259" s="132" t="str">
        <f aca="false">IF($BD259&lt;&gt;Constants!$B$6,"",$AO259)</f>
        <v/>
      </c>
      <c r="AU259" s="127" t="str">
        <f aca="false">IF($BD259&lt;&gt;Constants!$B$6,"",IF(OR($BA259&lt;$AR259,AND($BA259=$AR259,OR(AND(ISNUMBER($BB259),OR(NOT(ISNUMBER($AS259)),$BB259&lt;$AS259)),AND(OR(AND($BB259="",$AS259=""),AND(ISNUMBER($BB259),ISNUMBER($AS259),$BB259=$AS259)),$BC259&lt;$AT259)))),"-&gt;","&lt;-"))</f>
        <v/>
      </c>
      <c r="AV259" s="126" t="str">
        <f aca="false">IF(ISBLANK($C259),"",AND($AH259,OR($AI259="",$AJ259="",AND(NOT(ISBLANK($S259)),$AK259=""))))</f>
        <v/>
      </c>
      <c r="AW259" s="129" t="str">
        <f aca="false">IF($BD259&lt;&gt;Constants!$B$6,"",IF($AH259,Constants!$B$17*$AJ259,Constants!$B$18))</f>
        <v/>
      </c>
      <c r="AX259" s="130" t="str">
        <f aca="false">IF($BD259&lt;&gt;Constants!$B$6,"",Constants!$B$19*IF($AH259,$AI259,0))</f>
        <v/>
      </c>
      <c r="AY259" s="130" t="str">
        <f aca="false">IF($BD259&lt;&gt;Constants!$B$6,"",IF(AND($AH259,ISNUMBER($AK259)),Constants!$B$20*(Constants!$B$21-$AK259),0))</f>
        <v/>
      </c>
      <c r="AZ259" s="130" t="str">
        <f aca="false">IF($BD259&lt;&gt;Constants!$B$6,"",IF($AG259,0,Constants!$B$12)+IF($AF259,0,Constants!$B$13)+IF($Y259,0,Constants!$B$14))</f>
        <v/>
      </c>
      <c r="BA259" s="131" t="str">
        <f aca="false">IF($BD259&lt;&gt;Constants!$B$6,"",Constants!$B$16+SUM($AW259:$AZ259))</f>
        <v/>
      </c>
      <c r="BB259" s="130" t="str">
        <f aca="false">IF($BD259&lt;&gt;Constants!$B$6,"",IF($AH259,$AJ259,""))</f>
        <v/>
      </c>
      <c r="BC259" s="132" t="str">
        <f aca="false">IF($BD259&lt;&gt;Constants!$B$6,"",$AX259)</f>
        <v/>
      </c>
      <c r="BD259" s="127" t="str">
        <f aca="false">IF(ISBLANK($C259),"",IF($AL259,Constants!$B$9,IF(COUNTA($E259:$T259)=0,Constants!$B$8,IF(NOT($X259),Constants!$B$7,IF(OR($AM259,$AV259),Constants!$B$10,Constants!$B$6)))))</f>
        <v/>
      </c>
      <c r="BE259" s="127" t="str">
        <f aca="false">IF(ISBLANK($C259),"",IF($BD259&lt;&gt;Constants!$B$6,$BD259,Constants!$B$11))</f>
        <v/>
      </c>
      <c r="BF259" s="130" t="str">
        <f aca="false">IF($BD259&lt;&gt;Constants!$B$6,"",IF($AU259="-&gt;",$BA259,$AR259))</f>
        <v/>
      </c>
      <c r="BG259" s="130" t="str">
        <f aca="false">IF($BD259&lt;&gt;Constants!$B$6,"",IF($W259,0,Constants!$B$15))</f>
        <v/>
      </c>
      <c r="BH259" s="130" t="str">
        <f aca="false">IF(ISBLANK($C259),"",IF($BD259&lt;&gt;Constants!$B$6,$BD259,SUM($BF259:$BG259)))</f>
        <v/>
      </c>
      <c r="BI259" s="127" t="str">
        <f aca="false">IF(ISBLANK($C259),"",IF($BD259&lt;&gt;Constants!$B$6,$BD259,RANK($BH259,$BH$9:$BH$508,1)))</f>
        <v/>
      </c>
      <c r="BJ259" s="130" t="str">
        <f aca="false">IF($BD259&lt;&gt;Constants!$B$6,"",IF($AU259="-&gt;",$BB259,$AS259))</f>
        <v/>
      </c>
      <c r="BK259" s="127" t="str">
        <f aca="false">IF(ISBLANK($C259),"",IF($BD259&lt;&gt;Constants!$B$6,$BD259,IF(ISNUMBER($BJ259),RANK($BJ259,$BJ$9:$BJ$508,1),COUNT($BJ$9:$BJ$508)+1)))</f>
        <v/>
      </c>
      <c r="BL259" s="130" t="str">
        <f aca="false">IF($BD259&lt;&gt;Constants!$B$6,"",IF($AU259="-&gt;",$BC259,$AT259))</f>
        <v/>
      </c>
      <c r="BM259" s="127" t="str">
        <f aca="false">IF(ISBLANK($C259),"",IF($BD259&lt;&gt;Constants!$B$6,$BD259,IF(ISNUMBER($BL259),RANK($BL259,$BL$9:$BL$508,1),COUNT($BL$9:$BL$508)+1)))</f>
        <v/>
      </c>
      <c r="BN259" s="130" t="str">
        <f aca="false">IF($BD259&lt;&gt;Constants!$B$6,"",IF($AU259="-&gt;",$AS259,$BB259))</f>
        <v/>
      </c>
      <c r="BO259" s="127" t="str">
        <f aca="false">IF(ISBLANK($C259),"",IF($BD259&lt;&gt;Constants!$B$6,$BD259,IF(ISNUMBER($BN259),RANK($BN259,$BN$9:$BN$508,1),COUNT($BN$9:$BN$508)+1)))</f>
        <v/>
      </c>
      <c r="BP259" s="130" t="str">
        <f aca="false">IF($BD259&lt;&gt;Constants!$B$6,"",IF($AU259="-&gt;",$AT259,$BC259))</f>
        <v/>
      </c>
      <c r="BQ259" s="127" t="str">
        <f aca="false">IF(ISBLANK($C259),"",IF($BD259&lt;&gt;Constants!$B$6,$BD259,IF(ISNUMBER($BP259),RANK($BP259,$BP$9:$BP$508,1),COUNT($BP$9:$BP$508)+1)))</f>
        <v/>
      </c>
      <c r="BR259" s="127" t="str">
        <f aca="false">IF(ISBLANK($C259),"",IF($BD259&lt;&gt;Constants!$B$6,$BD259,COUNTIFS($BI$9:$BI$508,"&lt;"&amp;$BI259)+COUNTIFS($BI$9:$BI$508,$BI259,$BK$9:$BK$508,"&lt;"&amp;$BK259)+COUNTIFS($BI$9:$BI$508,$BI259,$BK$9:$BK$508,$BK259,$BM$9:$BM$508,"&lt;"&amp;$BM259)+COUNTIFS($BI$9:$BI$508,$BI259,$BK$9:$BK$508,$BK259,$BM$9:$BM$508,$BM259,$BO$9:$BO$508,"&lt;"&amp;$BO259)+COUNTIFS($BI$9:$BI$508,$BI259,$BK$9:$BK$508,$BK259,$BM$9:$BM$508,$BM259,$BO$9:$BO$508,$BO259,$BQ$9:$BQ$508,"&lt;"&amp;$BQ259)+1))</f>
        <v/>
      </c>
      <c r="BS259" s="127" t="str">
        <f aca="false">IF(ISBLANK($C259),"",IF($BD259&lt;&gt;Constants!$B$6,$BD259,$BI259-$BR259))</f>
        <v/>
      </c>
      <c r="BT259" s="133"/>
      <c r="BU259" s="134"/>
      <c r="BV259" s="134" t="str">
        <f aca="false">IF(ISBLANK($C259),"",IF($BD259&lt;&gt;Constants!$B$6,"",IF($AU259="-&gt;",2,1)))</f>
        <v/>
      </c>
      <c r="BW259" s="135" t="str">
        <f aca="false">IF(ISBLANK($C259),"",IF($BD259&lt;&gt;Constants!$B$6,"",IF($AU259="-&gt;",$AW259,$AN259)))</f>
        <v/>
      </c>
      <c r="BX259" s="135" t="str">
        <f aca="false">IF(ISBLANK($C259),"",IF($BD259&lt;&gt;Constants!$B$6,"",IF($AU259="-&gt;",$AX259,$AO259)))</f>
        <v/>
      </c>
      <c r="BY259" s="135" t="str">
        <f aca="false">IF(ISBLANK($C259),"",IF($BD259&lt;&gt;Constants!$B$6,"",IF($AU259="-&gt;",$AY259,$AP259)))</f>
        <v/>
      </c>
      <c r="BZ259" s="135" t="str">
        <f aca="false">IF(ISBLANK($C259),"",IF($BD259&lt;&gt;Constants!$B$6,"",IF($AU259="-&gt;",$AZ259,$AQ259)+$BG259))</f>
        <v/>
      </c>
      <c r="CA259" s="136" t="str">
        <f aca="false">IF(ISBLANK($C259),"",IF($BD259&lt;&gt;Constants!$B$6,$BD259,$BH259))</f>
        <v/>
      </c>
      <c r="CB259" s="137" t="str">
        <f aca="false">IF(ISBLANK($C259),"",$BE259)</f>
        <v/>
      </c>
      <c r="CC259" s="138" t="str">
        <f aca="false">IF(ISBLANK($C259),"",$BS259)</f>
        <v/>
      </c>
      <c r="CD259" s="138" t="str">
        <f aca="false">IF(ISBLANK($C259),"",$BR259)</f>
        <v/>
      </c>
      <c r="CE259" s="139" t="str">
        <f aca="false">IF(ISBLANK($C259),"",IF($CD259=Constants!$B$9,COUNTA($C$9:$C$508)+2,IF($CD259=Constants!$B$8,COUNTA($C$9:$C$508)+1,IF($CD259=Constants!$B$7,COUNTA($C$9:$C$508),$CD259))))</f>
        <v/>
      </c>
      <c r="CF259" s="9"/>
      <c r="CG259" s="140" t="n">
        <f aca="false">IF(OR(ISNUMBER($CD259),$CD259=Constants!$B$9,$CD259=Constants!$B$7,$CD259=Constants!$B$8),1,0)</f>
        <v>0</v>
      </c>
      <c r="CH259" s="140" t="n">
        <v>251</v>
      </c>
      <c r="CI259" s="140" t="str">
        <f aca="false">IF(ISBLANK($C259),"",IF(ISNUMBER($CE259),$CE259+ROW($B259)/1000,""))</f>
        <v/>
      </c>
      <c r="CJ259" s="140" t="str">
        <f aca="false">IF(ISNUMBER($CI259),RANK($CI259,$CI$9:$CI$508,1),"")</f>
        <v/>
      </c>
      <c r="CK259" s="140" t="str">
        <f aca="false">IF(ISBLANK($C259),"",$B259)</f>
        <v/>
      </c>
      <c r="CL259" s="140" t="str">
        <f aca="false">IF(ISBLANK($C259),"",$C259)</f>
        <v/>
      </c>
      <c r="CM259" s="140" t="str">
        <f aca="false">IF(ISBLANK($C259),"",$D259)</f>
        <v/>
      </c>
      <c r="CN259" s="141" t="str">
        <f aca="false">$CB259</f>
        <v/>
      </c>
      <c r="CO259" s="142" t="str">
        <f aca="false">$CA259</f>
        <v/>
      </c>
      <c r="CP259" s="140" t="str">
        <f aca="false">IF(ISBLANK($C259),"",$CD259)</f>
        <v/>
      </c>
      <c r="CQ259" s="143" t="str">
        <f aca="false">IF($CH259&gt;$CG$8,"",VLOOKUP($CH259,$CJ$9:$CP$508,7,FALSE()))</f>
        <v/>
      </c>
      <c r="CR259" s="144" t="str">
        <f aca="false">IF($CH259&gt;$CG$8,"",VLOOKUP($CH259,$CJ$9:$CP$508,2,FALSE()))</f>
        <v/>
      </c>
      <c r="CS259" s="144" t="str">
        <f aca="false">IF($CH259&gt;$CG$8,"",VLOOKUP($CH259,$CJ$9:$CP$508,3,FALSE()))</f>
        <v/>
      </c>
      <c r="CT259" s="144" t="str">
        <f aca="false">IF($CH259&gt;$CG$8,"",VLOOKUP($CH259,$CJ$9:$CP$508,4,FALSE()))</f>
        <v/>
      </c>
      <c r="CU259" s="144" t="str">
        <f aca="false">IF($CH259&gt;$CG$8,"",VLOOKUP($CH259,$CJ$9:$CP$508,5,FALSE()))</f>
        <v/>
      </c>
      <c r="CV259" s="145" t="str">
        <f aca="false">IF($CH259&gt;$CG$8,"",VLOOKUP($CH259,$CJ$9:$CP$508,6,FALSE()))</f>
        <v/>
      </c>
      <c r="CW259" s="71"/>
    </row>
    <row r="260" customFormat="false" ht="15.75" hidden="false" customHeight="false" outlineLevel="0" collapsed="false">
      <c r="A260" s="9"/>
      <c r="B260" s="150"/>
      <c r="C260" s="151"/>
      <c r="D260" s="152"/>
      <c r="E260" s="170"/>
      <c r="F260" s="154"/>
      <c r="G260" s="155"/>
      <c r="H260" s="171"/>
      <c r="I260" s="159"/>
      <c r="J260" s="120"/>
      <c r="K260" s="121"/>
      <c r="L260" s="122"/>
      <c r="M260" s="158"/>
      <c r="N260" s="159"/>
      <c r="O260" s="159"/>
      <c r="P260" s="120"/>
      <c r="Q260" s="122"/>
      <c r="R260" s="122"/>
      <c r="S260" s="158"/>
      <c r="T260" s="159"/>
      <c r="U260" s="126"/>
      <c r="V260" s="127"/>
      <c r="W260" s="127" t="str">
        <f aca="false">IF(ISBLANK($C260),"",IF(E260=Constants!$B$2,TRUE(),IF(E260=Constants!$B$3,FALSE(),TRUE())))</f>
        <v/>
      </c>
      <c r="X260" s="127" t="str">
        <f aca="false">IF(ISBLANK($C260),"",IF(F260=Constants!$B$2,TRUE(),IF(F260=Constants!$B$3,FALSE(),TRUE())))</f>
        <v/>
      </c>
      <c r="Y260" s="127" t="str">
        <f aca="false">IF(ISBLANK($C260),"",IF(G260=Constants!$B$2,TRUE(),IF(G260=Constants!$B$3,FALSE(),TRUE())))</f>
        <v/>
      </c>
      <c r="Z260" s="127" t="str">
        <f aca="false">IF(ISBLANK($C260),"",IF(H260=Constants!$B$2,TRUE(),IF(H260=Constants!$B$3,FALSE(),TRUE())))</f>
        <v/>
      </c>
      <c r="AA260" s="127" t="str">
        <f aca="false">IF(ISBLANK($C260),"",IF(I260=Constants!$B$2,TRUE(),IF(I260=Constants!$B$3,FALSE(),TRUE())))</f>
        <v/>
      </c>
      <c r="AB260" s="127" t="str">
        <f aca="false">IF(ISBLANK($C260),"",IF(J260=Constants!$B$4,TRUE(),IF(J260=Constants!$B$5,FALSE(),COUNTA(K260:M260)&gt;0)))</f>
        <v/>
      </c>
      <c r="AC260" s="128" t="str">
        <f aca="false">IF(ISBLANK($C260),"",IF(ISNUMBER(K260),IF(K260&gt;=0,K260,""),""))</f>
        <v/>
      </c>
      <c r="AD260" s="129" t="str">
        <f aca="false">IF(ISBLANK($C260),"",IF(ISNUMBER(L260),IF(L260&gt;=0,L260,""),""))</f>
        <v/>
      </c>
      <c r="AE260" s="127" t="str">
        <f aca="false">IF(ISBLANK($C260),"",IF(ISNUMBER(M260),IF(M260&gt;=0,MIN(M260,Constants!$B$22),""),""))</f>
        <v/>
      </c>
      <c r="AF260" s="127" t="str">
        <f aca="false">IF(ISBLANK($C260),"",IF(N260=Constants!$B$2,TRUE(),IF(N260=Constants!$B$3,FALSE(),TRUE())))</f>
        <v/>
      </c>
      <c r="AG260" s="127" t="str">
        <f aca="false">IF(ISBLANK($C260),"",IF(O260=Constants!$B$2,TRUE(),IF(O260=Constants!$B$3,FALSE(),TRUE())))</f>
        <v/>
      </c>
      <c r="AH260" s="127" t="str">
        <f aca="false">IF(ISBLANK($C260),"",IF(P260=Constants!$B$4,TRUE(),IF(P260=Constants!$B$5,FALSE(),COUNTA(Q260:S260)&gt;0)))</f>
        <v/>
      </c>
      <c r="AI260" s="128" t="str">
        <f aca="false">IF(ISBLANK($C260),"",IF(ISNUMBER(Q260),IF(Q260&gt;=0,Q260,""),""))</f>
        <v/>
      </c>
      <c r="AJ260" s="129" t="str">
        <f aca="false">IF(ISBLANK($C260),"",IF(ISNUMBER(R260),IF(R260&gt;=0,R260,""),""))</f>
        <v/>
      </c>
      <c r="AK260" s="127" t="str">
        <f aca="false">IF(ISBLANK($C260),"",IF(ISNUMBER(S260),IF(S260&gt;=0,MIN(S260,Constants!$B$22),""),""))</f>
        <v/>
      </c>
      <c r="AL260" s="127" t="str">
        <f aca="false">IF(ISBLANK($C260),"",IF(T260=Constants!$B$2,TRUE(),IF(T260=Constants!$B$3,FALSE(),FALSE())))</f>
        <v/>
      </c>
      <c r="AM260" s="126" t="str">
        <f aca="false">IF(ISBLANK($C260),"",AND($AB260,OR($AC260="",$AD260="",AND(NOT(ISBLANK($M260)),$AE260=""))))</f>
        <v/>
      </c>
      <c r="AN260" s="129" t="str">
        <f aca="false">IF($BD260&lt;&gt;Constants!$B$6,"",IF($AB260,Constants!$B$17*$AD260,Constants!$B$18))</f>
        <v/>
      </c>
      <c r="AO260" s="130" t="str">
        <f aca="false">IF($BD260&lt;&gt;Constants!$B$6,"",Constants!$B$19*IF($AB260,$AC260,0))</f>
        <v/>
      </c>
      <c r="AP260" s="130" t="str">
        <f aca="false">IF($BD260&lt;&gt;Constants!$B$6,"",IF(AND($AB260,ISNUMBER($AE260)),Constants!$B$20*(Constants!$B$21-$AE260),0))</f>
        <v/>
      </c>
      <c r="AQ260" s="130" t="str">
        <f aca="false">IF($BD260&lt;&gt;Constants!$B$6,"",IF($AA260,0,Constants!$B$12)+IF($Z260,0,Constants!$B$13)+IF($Y260,0,Constants!$B$14))</f>
        <v/>
      </c>
      <c r="AR260" s="131" t="str">
        <f aca="false">IF($BD260&lt;&gt;Constants!$B$6,"",Constants!$B$16+SUM($AN260:$AQ260))</f>
        <v/>
      </c>
      <c r="AS260" s="130" t="str">
        <f aca="false">IF($BD260&lt;&gt;Constants!$B$6,"",IF($AB260,$AD260,""))</f>
        <v/>
      </c>
      <c r="AT260" s="132" t="str">
        <f aca="false">IF($BD260&lt;&gt;Constants!$B$6,"",$AO260)</f>
        <v/>
      </c>
      <c r="AU260" s="127" t="str">
        <f aca="false">IF($BD260&lt;&gt;Constants!$B$6,"",IF(OR($BA260&lt;$AR260,AND($BA260=$AR260,OR(AND(ISNUMBER($BB260),OR(NOT(ISNUMBER($AS260)),$BB260&lt;$AS260)),AND(OR(AND($BB260="",$AS260=""),AND(ISNUMBER($BB260),ISNUMBER($AS260),$BB260=$AS260)),$BC260&lt;$AT260)))),"-&gt;","&lt;-"))</f>
        <v/>
      </c>
      <c r="AV260" s="126" t="str">
        <f aca="false">IF(ISBLANK($C260),"",AND($AH260,OR($AI260="",$AJ260="",AND(NOT(ISBLANK($S260)),$AK260=""))))</f>
        <v/>
      </c>
      <c r="AW260" s="129" t="str">
        <f aca="false">IF($BD260&lt;&gt;Constants!$B$6,"",IF($AH260,Constants!$B$17*$AJ260,Constants!$B$18))</f>
        <v/>
      </c>
      <c r="AX260" s="130" t="str">
        <f aca="false">IF($BD260&lt;&gt;Constants!$B$6,"",Constants!$B$19*IF($AH260,$AI260,0))</f>
        <v/>
      </c>
      <c r="AY260" s="130" t="str">
        <f aca="false">IF($BD260&lt;&gt;Constants!$B$6,"",IF(AND($AH260,ISNUMBER($AK260)),Constants!$B$20*(Constants!$B$21-$AK260),0))</f>
        <v/>
      </c>
      <c r="AZ260" s="130" t="str">
        <f aca="false">IF($BD260&lt;&gt;Constants!$B$6,"",IF($AG260,0,Constants!$B$12)+IF($AF260,0,Constants!$B$13)+IF($Y260,0,Constants!$B$14))</f>
        <v/>
      </c>
      <c r="BA260" s="131" t="str">
        <f aca="false">IF($BD260&lt;&gt;Constants!$B$6,"",Constants!$B$16+SUM($AW260:$AZ260))</f>
        <v/>
      </c>
      <c r="BB260" s="130" t="str">
        <f aca="false">IF($BD260&lt;&gt;Constants!$B$6,"",IF($AH260,$AJ260,""))</f>
        <v/>
      </c>
      <c r="BC260" s="132" t="str">
        <f aca="false">IF($BD260&lt;&gt;Constants!$B$6,"",$AX260)</f>
        <v/>
      </c>
      <c r="BD260" s="127" t="str">
        <f aca="false">IF(ISBLANK($C260),"",IF($AL260,Constants!$B$9,IF(COUNTA($E260:$T260)=0,Constants!$B$8,IF(NOT($X260),Constants!$B$7,IF(OR($AM260,$AV260),Constants!$B$10,Constants!$B$6)))))</f>
        <v/>
      </c>
      <c r="BE260" s="127" t="str">
        <f aca="false">IF(ISBLANK($C260),"",IF($BD260&lt;&gt;Constants!$B$6,$BD260,Constants!$B$11))</f>
        <v/>
      </c>
      <c r="BF260" s="130" t="str">
        <f aca="false">IF($BD260&lt;&gt;Constants!$B$6,"",IF($AU260="-&gt;",$BA260,$AR260))</f>
        <v/>
      </c>
      <c r="BG260" s="130" t="str">
        <f aca="false">IF($BD260&lt;&gt;Constants!$B$6,"",IF($W260,0,Constants!$B$15))</f>
        <v/>
      </c>
      <c r="BH260" s="130" t="str">
        <f aca="false">IF(ISBLANK($C260),"",IF($BD260&lt;&gt;Constants!$B$6,$BD260,SUM($BF260:$BG260)))</f>
        <v/>
      </c>
      <c r="BI260" s="127" t="str">
        <f aca="false">IF(ISBLANK($C260),"",IF($BD260&lt;&gt;Constants!$B$6,$BD260,RANK($BH260,$BH$9:$BH$508,1)))</f>
        <v/>
      </c>
      <c r="BJ260" s="130" t="str">
        <f aca="false">IF($BD260&lt;&gt;Constants!$B$6,"",IF($AU260="-&gt;",$BB260,$AS260))</f>
        <v/>
      </c>
      <c r="BK260" s="127" t="str">
        <f aca="false">IF(ISBLANK($C260),"",IF($BD260&lt;&gt;Constants!$B$6,$BD260,IF(ISNUMBER($BJ260),RANK($BJ260,$BJ$9:$BJ$508,1),COUNT($BJ$9:$BJ$508)+1)))</f>
        <v/>
      </c>
      <c r="BL260" s="130" t="str">
        <f aca="false">IF($BD260&lt;&gt;Constants!$B$6,"",IF($AU260="-&gt;",$BC260,$AT260))</f>
        <v/>
      </c>
      <c r="BM260" s="127" t="str">
        <f aca="false">IF(ISBLANK($C260),"",IF($BD260&lt;&gt;Constants!$B$6,$BD260,IF(ISNUMBER($BL260),RANK($BL260,$BL$9:$BL$508,1),COUNT($BL$9:$BL$508)+1)))</f>
        <v/>
      </c>
      <c r="BN260" s="130" t="str">
        <f aca="false">IF($BD260&lt;&gt;Constants!$B$6,"",IF($AU260="-&gt;",$AS260,$BB260))</f>
        <v/>
      </c>
      <c r="BO260" s="127" t="str">
        <f aca="false">IF(ISBLANK($C260),"",IF($BD260&lt;&gt;Constants!$B$6,$BD260,IF(ISNUMBER($BN260),RANK($BN260,$BN$9:$BN$508,1),COUNT($BN$9:$BN$508)+1)))</f>
        <v/>
      </c>
      <c r="BP260" s="130" t="str">
        <f aca="false">IF($BD260&lt;&gt;Constants!$B$6,"",IF($AU260="-&gt;",$AT260,$BC260))</f>
        <v/>
      </c>
      <c r="BQ260" s="127" t="str">
        <f aca="false">IF(ISBLANK($C260),"",IF($BD260&lt;&gt;Constants!$B$6,$BD260,IF(ISNUMBER($BP260),RANK($BP260,$BP$9:$BP$508,1),COUNT($BP$9:$BP$508)+1)))</f>
        <v/>
      </c>
      <c r="BR260" s="127" t="str">
        <f aca="false">IF(ISBLANK($C260),"",IF($BD260&lt;&gt;Constants!$B$6,$BD260,COUNTIFS($BI$9:$BI$508,"&lt;"&amp;$BI260)+COUNTIFS($BI$9:$BI$508,$BI260,$BK$9:$BK$508,"&lt;"&amp;$BK260)+COUNTIFS($BI$9:$BI$508,$BI260,$BK$9:$BK$508,$BK260,$BM$9:$BM$508,"&lt;"&amp;$BM260)+COUNTIFS($BI$9:$BI$508,$BI260,$BK$9:$BK$508,$BK260,$BM$9:$BM$508,$BM260,$BO$9:$BO$508,"&lt;"&amp;$BO260)+COUNTIFS($BI$9:$BI$508,$BI260,$BK$9:$BK$508,$BK260,$BM$9:$BM$508,$BM260,$BO$9:$BO$508,$BO260,$BQ$9:$BQ$508,"&lt;"&amp;$BQ260)+1))</f>
        <v/>
      </c>
      <c r="BS260" s="127" t="str">
        <f aca="false">IF(ISBLANK($C260),"",IF($BD260&lt;&gt;Constants!$B$6,$BD260,$BI260-$BR260))</f>
        <v/>
      </c>
      <c r="BT260" s="133"/>
      <c r="BU260" s="134"/>
      <c r="BV260" s="134" t="str">
        <f aca="false">IF(ISBLANK($C260),"",IF($BD260&lt;&gt;Constants!$B$6,"",IF($AU260="-&gt;",2,1)))</f>
        <v/>
      </c>
      <c r="BW260" s="135" t="str">
        <f aca="false">IF(ISBLANK($C260),"",IF($BD260&lt;&gt;Constants!$B$6,"",IF($AU260="-&gt;",$AW260,$AN260)))</f>
        <v/>
      </c>
      <c r="BX260" s="135" t="str">
        <f aca="false">IF(ISBLANK($C260),"",IF($BD260&lt;&gt;Constants!$B$6,"",IF($AU260="-&gt;",$AX260,$AO260)))</f>
        <v/>
      </c>
      <c r="BY260" s="135" t="str">
        <f aca="false">IF(ISBLANK($C260),"",IF($BD260&lt;&gt;Constants!$B$6,"",IF($AU260="-&gt;",$AY260,$AP260)))</f>
        <v/>
      </c>
      <c r="BZ260" s="135" t="str">
        <f aca="false">IF(ISBLANK($C260),"",IF($BD260&lt;&gt;Constants!$B$6,"",IF($AU260="-&gt;",$AZ260,$AQ260)+$BG260))</f>
        <v/>
      </c>
      <c r="CA260" s="136" t="str">
        <f aca="false">IF(ISBLANK($C260),"",IF($BD260&lt;&gt;Constants!$B$6,$BD260,$BH260))</f>
        <v/>
      </c>
      <c r="CB260" s="137" t="str">
        <f aca="false">IF(ISBLANK($C260),"",$BE260)</f>
        <v/>
      </c>
      <c r="CC260" s="138" t="str">
        <f aca="false">IF(ISBLANK($C260),"",$BS260)</f>
        <v/>
      </c>
      <c r="CD260" s="138" t="str">
        <f aca="false">IF(ISBLANK($C260),"",$BR260)</f>
        <v/>
      </c>
      <c r="CE260" s="139" t="str">
        <f aca="false">IF(ISBLANK($C260),"",IF($CD260=Constants!$B$9,COUNTA($C$9:$C$508)+2,IF($CD260=Constants!$B$8,COUNTA($C$9:$C$508)+1,IF($CD260=Constants!$B$7,COUNTA($C$9:$C$508),$CD260))))</f>
        <v/>
      </c>
      <c r="CF260" s="9"/>
      <c r="CG260" s="140" t="n">
        <f aca="false">IF(OR(ISNUMBER($CD260),$CD260=Constants!$B$9,$CD260=Constants!$B$7,$CD260=Constants!$B$8),1,0)</f>
        <v>0</v>
      </c>
      <c r="CH260" s="140" t="n">
        <v>252</v>
      </c>
      <c r="CI260" s="140" t="str">
        <f aca="false">IF(ISBLANK($C260),"",IF(ISNUMBER($CE260),$CE260+ROW($B260)/1000,""))</f>
        <v/>
      </c>
      <c r="CJ260" s="140" t="str">
        <f aca="false">IF(ISNUMBER($CI260),RANK($CI260,$CI$9:$CI$508,1),"")</f>
        <v/>
      </c>
      <c r="CK260" s="140" t="str">
        <f aca="false">IF(ISBLANK($C260),"",$B260)</f>
        <v/>
      </c>
      <c r="CL260" s="140" t="str">
        <f aca="false">IF(ISBLANK($C260),"",$C260)</f>
        <v/>
      </c>
      <c r="CM260" s="140" t="str">
        <f aca="false">IF(ISBLANK($C260),"",$D260)</f>
        <v/>
      </c>
      <c r="CN260" s="141" t="str">
        <f aca="false">$CB260</f>
        <v/>
      </c>
      <c r="CO260" s="142" t="str">
        <f aca="false">$CA260</f>
        <v/>
      </c>
      <c r="CP260" s="140" t="str">
        <f aca="false">IF(ISBLANK($C260),"",$CD260)</f>
        <v/>
      </c>
      <c r="CQ260" s="143" t="str">
        <f aca="false">IF($CH260&gt;$CG$8,"",VLOOKUP($CH260,$CJ$9:$CP$508,7,FALSE()))</f>
        <v/>
      </c>
      <c r="CR260" s="144" t="str">
        <f aca="false">IF($CH260&gt;$CG$8,"",VLOOKUP($CH260,$CJ$9:$CP$508,2,FALSE()))</f>
        <v/>
      </c>
      <c r="CS260" s="144" t="str">
        <f aca="false">IF($CH260&gt;$CG$8,"",VLOOKUP($CH260,$CJ$9:$CP$508,3,FALSE()))</f>
        <v/>
      </c>
      <c r="CT260" s="144" t="str">
        <f aca="false">IF($CH260&gt;$CG$8,"",VLOOKUP($CH260,$CJ$9:$CP$508,4,FALSE()))</f>
        <v/>
      </c>
      <c r="CU260" s="144" t="str">
        <f aca="false">IF($CH260&gt;$CG$8,"",VLOOKUP($CH260,$CJ$9:$CP$508,5,FALSE()))</f>
        <v/>
      </c>
      <c r="CV260" s="145" t="str">
        <f aca="false">IF($CH260&gt;$CG$8,"",VLOOKUP($CH260,$CJ$9:$CP$508,6,FALSE()))</f>
        <v/>
      </c>
      <c r="CW260" s="71"/>
    </row>
    <row r="261" customFormat="false" ht="15.75" hidden="false" customHeight="false" outlineLevel="0" collapsed="false">
      <c r="A261" s="9"/>
      <c r="B261" s="72"/>
      <c r="C261" s="73"/>
      <c r="D261" s="160"/>
      <c r="E261" s="168"/>
      <c r="F261" s="162"/>
      <c r="G261" s="163"/>
      <c r="H261" s="169"/>
      <c r="I261" s="167"/>
      <c r="J261" s="80"/>
      <c r="K261" s="81"/>
      <c r="L261" s="82"/>
      <c r="M261" s="166"/>
      <c r="N261" s="167"/>
      <c r="O261" s="167"/>
      <c r="P261" s="80"/>
      <c r="Q261" s="82"/>
      <c r="R261" s="82"/>
      <c r="S261" s="166"/>
      <c r="T261" s="167"/>
      <c r="U261" s="86"/>
      <c r="V261" s="87"/>
      <c r="W261" s="87" t="str">
        <f aca="false">IF(ISBLANK($C261),"",IF(E261=Constants!$B$2,TRUE(),IF(E261=Constants!$B$3,FALSE(),TRUE())))</f>
        <v/>
      </c>
      <c r="X261" s="87" t="str">
        <f aca="false">IF(ISBLANK($C261),"",IF(F261=Constants!$B$2,TRUE(),IF(F261=Constants!$B$3,FALSE(),TRUE())))</f>
        <v/>
      </c>
      <c r="Y261" s="87" t="str">
        <f aca="false">IF(ISBLANK($C261),"",IF(G261=Constants!$B$2,TRUE(),IF(G261=Constants!$B$3,FALSE(),TRUE())))</f>
        <v/>
      </c>
      <c r="Z261" s="87" t="str">
        <f aca="false">IF(ISBLANK($C261),"",IF(H261=Constants!$B$2,TRUE(),IF(H261=Constants!$B$3,FALSE(),TRUE())))</f>
        <v/>
      </c>
      <c r="AA261" s="87" t="str">
        <f aca="false">IF(ISBLANK($C261),"",IF(I261=Constants!$B$2,TRUE(),IF(I261=Constants!$B$3,FALSE(),TRUE())))</f>
        <v/>
      </c>
      <c r="AB261" s="87" t="str">
        <f aca="false">IF(ISBLANK($C261),"",IF(J261=Constants!$B$4,TRUE(),IF(J261=Constants!$B$5,FALSE(),COUNTA(K261:M261)&gt;0)))</f>
        <v/>
      </c>
      <c r="AC261" s="88" t="str">
        <f aca="false">IF(ISBLANK($C261),"",IF(ISNUMBER(K261),IF(K261&gt;=0,K261,""),""))</f>
        <v/>
      </c>
      <c r="AD261" s="89" t="str">
        <f aca="false">IF(ISBLANK($C261),"",IF(ISNUMBER(L261),IF(L261&gt;=0,L261,""),""))</f>
        <v/>
      </c>
      <c r="AE261" s="87" t="str">
        <f aca="false">IF(ISBLANK($C261),"",IF(ISNUMBER(M261),IF(M261&gt;=0,MIN(M261,Constants!$B$22),""),""))</f>
        <v/>
      </c>
      <c r="AF261" s="87" t="str">
        <f aca="false">IF(ISBLANK($C261),"",IF(N261=Constants!$B$2,TRUE(),IF(N261=Constants!$B$3,FALSE(),TRUE())))</f>
        <v/>
      </c>
      <c r="AG261" s="87" t="str">
        <f aca="false">IF(ISBLANK($C261),"",IF(O261=Constants!$B$2,TRUE(),IF(O261=Constants!$B$3,FALSE(),TRUE())))</f>
        <v/>
      </c>
      <c r="AH261" s="87" t="str">
        <f aca="false">IF(ISBLANK($C261),"",IF(P261=Constants!$B$4,TRUE(),IF(P261=Constants!$B$5,FALSE(),COUNTA(Q261:S261)&gt;0)))</f>
        <v/>
      </c>
      <c r="AI261" s="88" t="str">
        <f aca="false">IF(ISBLANK($C261),"",IF(ISNUMBER(Q261),IF(Q261&gt;=0,Q261,""),""))</f>
        <v/>
      </c>
      <c r="AJ261" s="89" t="str">
        <f aca="false">IF(ISBLANK($C261),"",IF(ISNUMBER(R261),IF(R261&gt;=0,R261,""),""))</f>
        <v/>
      </c>
      <c r="AK261" s="87" t="str">
        <f aca="false">IF(ISBLANK($C261),"",IF(ISNUMBER(S261),IF(S261&gt;=0,MIN(S261,Constants!$B$22),""),""))</f>
        <v/>
      </c>
      <c r="AL261" s="87" t="str">
        <f aca="false">IF(ISBLANK($C261),"",IF(T261=Constants!$B$2,TRUE(),IF(T261=Constants!$B$3,FALSE(),FALSE())))</f>
        <v/>
      </c>
      <c r="AM261" s="86" t="str">
        <f aca="false">IF(ISBLANK($C261),"",AND($AB261,OR($AC261="",$AD261="",AND(NOT(ISBLANK($M261)),$AE261=""))))</f>
        <v/>
      </c>
      <c r="AN261" s="89" t="str">
        <f aca="false">IF($BD261&lt;&gt;Constants!$B$6,"",IF($AB261,Constants!$B$17*$AD261,Constants!$B$18))</f>
        <v/>
      </c>
      <c r="AO261" s="91" t="str">
        <f aca="false">IF($BD261&lt;&gt;Constants!$B$6,"",Constants!$B$19*IF($AB261,$AC261,0))</f>
        <v/>
      </c>
      <c r="AP261" s="91" t="str">
        <f aca="false">IF($BD261&lt;&gt;Constants!$B$6,"",IF(AND($AB261,ISNUMBER($AE261)),Constants!$B$20*(Constants!$B$21-$AE261),0))</f>
        <v/>
      </c>
      <c r="AQ261" s="91" t="str">
        <f aca="false">IF($BD261&lt;&gt;Constants!$B$6,"",IF($AA261,0,Constants!$B$12)+IF($Z261,0,Constants!$B$13)+IF($Y261,0,Constants!$B$14))</f>
        <v/>
      </c>
      <c r="AR261" s="92" t="str">
        <f aca="false">IF($BD261&lt;&gt;Constants!$B$6,"",Constants!$B$16+SUM($AN261:$AQ261))</f>
        <v/>
      </c>
      <c r="AS261" s="91" t="str">
        <f aca="false">IF($BD261&lt;&gt;Constants!$B$6,"",IF($AB261,$AD261,""))</f>
        <v/>
      </c>
      <c r="AT261" s="93" t="str">
        <f aca="false">IF($BD261&lt;&gt;Constants!$B$6,"",$AO261)</f>
        <v/>
      </c>
      <c r="AU261" s="87" t="str">
        <f aca="false">IF($BD261&lt;&gt;Constants!$B$6,"",IF(OR($BA261&lt;$AR261,AND($BA261=$AR261,OR(AND(ISNUMBER($BB261),OR(NOT(ISNUMBER($AS261)),$BB261&lt;$AS261)),AND(OR(AND($BB261="",$AS261=""),AND(ISNUMBER($BB261),ISNUMBER($AS261),$BB261=$AS261)),$BC261&lt;$AT261)))),"-&gt;","&lt;-"))</f>
        <v/>
      </c>
      <c r="AV261" s="86" t="str">
        <f aca="false">IF(ISBLANK($C261),"",AND($AH261,OR($AI261="",$AJ261="",AND(NOT(ISBLANK($S261)),$AK261=""))))</f>
        <v/>
      </c>
      <c r="AW261" s="89" t="str">
        <f aca="false">IF($BD261&lt;&gt;Constants!$B$6,"",IF($AH261,Constants!$B$17*$AJ261,Constants!$B$18))</f>
        <v/>
      </c>
      <c r="AX261" s="91" t="str">
        <f aca="false">IF($BD261&lt;&gt;Constants!$B$6,"",Constants!$B$19*IF($AH261,$AI261,0))</f>
        <v/>
      </c>
      <c r="AY261" s="91" t="str">
        <f aca="false">IF($BD261&lt;&gt;Constants!$B$6,"",IF(AND($AH261,ISNUMBER($AK261)),Constants!$B$20*(Constants!$B$21-$AK261),0))</f>
        <v/>
      </c>
      <c r="AZ261" s="91" t="str">
        <f aca="false">IF($BD261&lt;&gt;Constants!$B$6,"",IF($AG261,0,Constants!$B$12)+IF($AF261,0,Constants!$B$13)+IF($Y261,0,Constants!$B$14))</f>
        <v/>
      </c>
      <c r="BA261" s="92" t="str">
        <f aca="false">IF($BD261&lt;&gt;Constants!$B$6,"",Constants!$B$16+SUM($AW261:$AZ261))</f>
        <v/>
      </c>
      <c r="BB261" s="91" t="str">
        <f aca="false">IF($BD261&lt;&gt;Constants!$B$6,"",IF($AH261,$AJ261,""))</f>
        <v/>
      </c>
      <c r="BC261" s="93" t="str">
        <f aca="false">IF($BD261&lt;&gt;Constants!$B$6,"",$AX261)</f>
        <v/>
      </c>
      <c r="BD261" s="87" t="str">
        <f aca="false">IF(ISBLANK($C261),"",IF($AL261,Constants!$B$9,IF(COUNTA($E261:$T261)=0,Constants!$B$8,IF(NOT($X261),Constants!$B$7,IF(OR($AM261,$AV261),Constants!$B$10,Constants!$B$6)))))</f>
        <v/>
      </c>
      <c r="BE261" s="87" t="str">
        <f aca="false">IF(ISBLANK($C261),"",IF($BD261&lt;&gt;Constants!$B$6,$BD261,Constants!$B$11))</f>
        <v/>
      </c>
      <c r="BF261" s="91" t="str">
        <f aca="false">IF($BD261&lt;&gt;Constants!$B$6,"",IF($AU261="-&gt;",$BA261,$AR261))</f>
        <v/>
      </c>
      <c r="BG261" s="91" t="str">
        <f aca="false">IF($BD261&lt;&gt;Constants!$B$6,"",IF($W261,0,Constants!$B$15))</f>
        <v/>
      </c>
      <c r="BH261" s="91" t="str">
        <f aca="false">IF(ISBLANK($C261),"",IF($BD261&lt;&gt;Constants!$B$6,$BD261,SUM($BF261:$BG261)))</f>
        <v/>
      </c>
      <c r="BI261" s="87" t="str">
        <f aca="false">IF(ISBLANK($C261),"",IF($BD261&lt;&gt;Constants!$B$6,$BD261,RANK($BH261,$BH$9:$BH$508,1)))</f>
        <v/>
      </c>
      <c r="BJ261" s="91" t="str">
        <f aca="false">IF($BD261&lt;&gt;Constants!$B$6,"",IF($AU261="-&gt;",$BB261,$AS261))</f>
        <v/>
      </c>
      <c r="BK261" s="87" t="str">
        <f aca="false">IF(ISBLANK($C261),"",IF($BD261&lt;&gt;Constants!$B$6,$BD261,IF(ISNUMBER($BJ261),RANK($BJ261,$BJ$9:$BJ$508,1),COUNT($BJ$9:$BJ$508)+1)))</f>
        <v/>
      </c>
      <c r="BL261" s="91" t="str">
        <f aca="false">IF($BD261&lt;&gt;Constants!$B$6,"",IF($AU261="-&gt;",$BC261,$AT261))</f>
        <v/>
      </c>
      <c r="BM261" s="87" t="str">
        <f aca="false">IF(ISBLANK($C261),"",IF($BD261&lt;&gt;Constants!$B$6,$BD261,IF(ISNUMBER($BL261),RANK($BL261,$BL$9:$BL$508,1),COUNT($BL$9:$BL$508)+1)))</f>
        <v/>
      </c>
      <c r="BN261" s="91" t="str">
        <f aca="false">IF($BD261&lt;&gt;Constants!$B$6,"",IF($AU261="-&gt;",$AS261,$BB261))</f>
        <v/>
      </c>
      <c r="BO261" s="87" t="str">
        <f aca="false">IF(ISBLANK($C261),"",IF($BD261&lt;&gt;Constants!$B$6,$BD261,IF(ISNUMBER($BN261),RANK($BN261,$BN$9:$BN$508,1),COUNT($BN$9:$BN$508)+1)))</f>
        <v/>
      </c>
      <c r="BP261" s="91" t="str">
        <f aca="false">IF($BD261&lt;&gt;Constants!$B$6,"",IF($AU261="-&gt;",$AT261,$BC261))</f>
        <v/>
      </c>
      <c r="BQ261" s="87" t="str">
        <f aca="false">IF(ISBLANK($C261),"",IF($BD261&lt;&gt;Constants!$B$6,$BD261,IF(ISNUMBER($BP261),RANK($BP261,$BP$9:$BP$508,1),COUNT($BP$9:$BP$508)+1)))</f>
        <v/>
      </c>
      <c r="BR261" s="87" t="str">
        <f aca="false">IF(ISBLANK($C261),"",IF($BD261&lt;&gt;Constants!$B$6,$BD261,COUNTIFS($BI$9:$BI$508,"&lt;"&amp;$BI261)+COUNTIFS($BI$9:$BI$508,$BI261,$BK$9:$BK$508,"&lt;"&amp;$BK261)+COUNTIFS($BI$9:$BI$508,$BI261,$BK$9:$BK$508,$BK261,$BM$9:$BM$508,"&lt;"&amp;$BM261)+COUNTIFS($BI$9:$BI$508,$BI261,$BK$9:$BK$508,$BK261,$BM$9:$BM$508,$BM261,$BO$9:$BO$508,"&lt;"&amp;$BO261)+COUNTIFS($BI$9:$BI$508,$BI261,$BK$9:$BK$508,$BK261,$BM$9:$BM$508,$BM261,$BO$9:$BO$508,$BO261,$BQ$9:$BQ$508,"&lt;"&amp;$BQ261)+1))</f>
        <v/>
      </c>
      <c r="BS261" s="87" t="str">
        <f aca="false">IF(ISBLANK($C261),"",IF($BD261&lt;&gt;Constants!$B$6,$BD261,$BI261-$BR261))</f>
        <v/>
      </c>
      <c r="BT261" s="94"/>
      <c r="BU261" s="95"/>
      <c r="BV261" s="95" t="str">
        <f aca="false">IF(ISBLANK($C261),"",IF($BD261&lt;&gt;Constants!$B$6,"",IF($AU261="-&gt;",2,1)))</f>
        <v/>
      </c>
      <c r="BW261" s="96" t="str">
        <f aca="false">IF(ISBLANK($C261),"",IF($BD261&lt;&gt;Constants!$B$6,"",IF($AU261="-&gt;",$AW261,$AN261)))</f>
        <v/>
      </c>
      <c r="BX261" s="96" t="str">
        <f aca="false">IF(ISBLANK($C261),"",IF($BD261&lt;&gt;Constants!$B$6,"",IF($AU261="-&gt;",$AX261,$AO261)))</f>
        <v/>
      </c>
      <c r="BY261" s="96" t="str">
        <f aca="false">IF(ISBLANK($C261),"",IF($BD261&lt;&gt;Constants!$B$6,"",IF($AU261="-&gt;",$AY261,$AP261)))</f>
        <v/>
      </c>
      <c r="BZ261" s="96" t="str">
        <f aca="false">IF(ISBLANK($C261),"",IF($BD261&lt;&gt;Constants!$B$6,"",IF($AU261="-&gt;",$AZ261,$AQ261)+$BG261))</f>
        <v/>
      </c>
      <c r="CA261" s="97" t="str">
        <f aca="false">IF(ISBLANK($C261),"",IF($BD261&lt;&gt;Constants!$B$6,$BD261,$BH261))</f>
        <v/>
      </c>
      <c r="CB261" s="98" t="str">
        <f aca="false">IF(ISBLANK($C261),"",$BE261)</f>
        <v/>
      </c>
      <c r="CC261" s="99" t="str">
        <f aca="false">IF(ISBLANK($C261),"",$BS261)</f>
        <v/>
      </c>
      <c r="CD261" s="99" t="str">
        <f aca="false">IF(ISBLANK($C261),"",$BR261)</f>
        <v/>
      </c>
      <c r="CE261" s="100" t="str">
        <f aca="false">IF(ISBLANK($C261),"",IF($CD261=Constants!$B$9,COUNTA($C$9:$C$508)+2,IF($CD261=Constants!$B$8,COUNTA($C$9:$C$508)+1,IF($CD261=Constants!$B$7,COUNTA($C$9:$C$508),$CD261))))</f>
        <v/>
      </c>
      <c r="CF261" s="9"/>
      <c r="CG261" s="101" t="n">
        <f aca="false">IF(OR(ISNUMBER($CD261),$CD261=Constants!$B$9,$CD261=Constants!$B$7,$CD261=Constants!$B$8),1,0)</f>
        <v>0</v>
      </c>
      <c r="CH261" s="101" t="n">
        <v>253</v>
      </c>
      <c r="CI261" s="101" t="str">
        <f aca="false">IF(ISBLANK($C261),"",IF(ISNUMBER($CE261),$CE261+ROW($B261)/1000,""))</f>
        <v/>
      </c>
      <c r="CJ261" s="101" t="str">
        <f aca="false">IF(ISNUMBER($CI261),RANK($CI261,$CI$9:$CI$508,1),"")</f>
        <v/>
      </c>
      <c r="CK261" s="101" t="str">
        <f aca="false">IF(ISBLANK($C261),"",$B261)</f>
        <v/>
      </c>
      <c r="CL261" s="101" t="str">
        <f aca="false">IF(ISBLANK($C261),"",$C261)</f>
        <v/>
      </c>
      <c r="CM261" s="101" t="str">
        <f aca="false">IF(ISBLANK($C261),"",$D261)</f>
        <v/>
      </c>
      <c r="CN261" s="102" t="str">
        <f aca="false">$CB261</f>
        <v/>
      </c>
      <c r="CO261" s="103" t="str">
        <f aca="false">$CA261</f>
        <v/>
      </c>
      <c r="CP261" s="101" t="str">
        <f aca="false">IF(ISBLANK($C261),"",$CD261)</f>
        <v/>
      </c>
      <c r="CQ261" s="104" t="str">
        <f aca="false">IF($CH261&gt;$CG$8,"",VLOOKUP($CH261,$CJ$9:$CP$508,7,FALSE()))</f>
        <v/>
      </c>
      <c r="CR261" s="105" t="str">
        <f aca="false">IF($CH261&gt;$CG$8,"",VLOOKUP($CH261,$CJ$9:$CP$508,2,FALSE()))</f>
        <v/>
      </c>
      <c r="CS261" s="105" t="str">
        <f aca="false">IF($CH261&gt;$CG$8,"",VLOOKUP($CH261,$CJ$9:$CP$508,3,FALSE()))</f>
        <v/>
      </c>
      <c r="CT261" s="105" t="str">
        <f aca="false">IF($CH261&gt;$CG$8,"",VLOOKUP($CH261,$CJ$9:$CP$508,4,FALSE()))</f>
        <v/>
      </c>
      <c r="CU261" s="105" t="str">
        <f aca="false">IF($CH261&gt;$CG$8,"",VLOOKUP($CH261,$CJ$9:$CP$508,5,FALSE()))</f>
        <v/>
      </c>
      <c r="CV261" s="106" t="str">
        <f aca="false">IF($CH261&gt;$CG$8,"",VLOOKUP($CH261,$CJ$9:$CP$508,6,FALSE()))</f>
        <v/>
      </c>
      <c r="CW261" s="71"/>
    </row>
    <row r="262" customFormat="false" ht="15.75" hidden="false" customHeight="false" outlineLevel="0" collapsed="false">
      <c r="A262" s="9"/>
      <c r="B262" s="72"/>
      <c r="C262" s="73"/>
      <c r="D262" s="160"/>
      <c r="E262" s="168"/>
      <c r="F262" s="162"/>
      <c r="G262" s="163"/>
      <c r="H262" s="169"/>
      <c r="I262" s="167"/>
      <c r="J262" s="80"/>
      <c r="K262" s="81"/>
      <c r="L262" s="82"/>
      <c r="M262" s="166"/>
      <c r="N262" s="167"/>
      <c r="O262" s="167"/>
      <c r="P262" s="80"/>
      <c r="Q262" s="82"/>
      <c r="R262" s="82"/>
      <c r="S262" s="166"/>
      <c r="T262" s="167"/>
      <c r="U262" s="86"/>
      <c r="V262" s="87"/>
      <c r="W262" s="87" t="str">
        <f aca="false">IF(ISBLANK($C262),"",IF(E262=Constants!$B$2,TRUE(),IF(E262=Constants!$B$3,FALSE(),TRUE())))</f>
        <v/>
      </c>
      <c r="X262" s="87" t="str">
        <f aca="false">IF(ISBLANK($C262),"",IF(F262=Constants!$B$2,TRUE(),IF(F262=Constants!$B$3,FALSE(),TRUE())))</f>
        <v/>
      </c>
      <c r="Y262" s="87" t="str">
        <f aca="false">IF(ISBLANK($C262),"",IF(G262=Constants!$B$2,TRUE(),IF(G262=Constants!$B$3,FALSE(),TRUE())))</f>
        <v/>
      </c>
      <c r="Z262" s="87" t="str">
        <f aca="false">IF(ISBLANK($C262),"",IF(H262=Constants!$B$2,TRUE(),IF(H262=Constants!$B$3,FALSE(),TRUE())))</f>
        <v/>
      </c>
      <c r="AA262" s="87" t="str">
        <f aca="false">IF(ISBLANK($C262),"",IF(I262=Constants!$B$2,TRUE(),IF(I262=Constants!$B$3,FALSE(),TRUE())))</f>
        <v/>
      </c>
      <c r="AB262" s="87" t="str">
        <f aca="false">IF(ISBLANK($C262),"",IF(J262=Constants!$B$4,TRUE(),IF(J262=Constants!$B$5,FALSE(),COUNTA(K262:M262)&gt;0)))</f>
        <v/>
      </c>
      <c r="AC262" s="88" t="str">
        <f aca="false">IF(ISBLANK($C262),"",IF(ISNUMBER(K262),IF(K262&gt;=0,K262,""),""))</f>
        <v/>
      </c>
      <c r="AD262" s="89" t="str">
        <f aca="false">IF(ISBLANK($C262),"",IF(ISNUMBER(L262),IF(L262&gt;=0,L262,""),""))</f>
        <v/>
      </c>
      <c r="AE262" s="87" t="str">
        <f aca="false">IF(ISBLANK($C262),"",IF(ISNUMBER(M262),IF(M262&gt;=0,MIN(M262,Constants!$B$22),""),""))</f>
        <v/>
      </c>
      <c r="AF262" s="87" t="str">
        <f aca="false">IF(ISBLANK($C262),"",IF(N262=Constants!$B$2,TRUE(),IF(N262=Constants!$B$3,FALSE(),TRUE())))</f>
        <v/>
      </c>
      <c r="AG262" s="87" t="str">
        <f aca="false">IF(ISBLANK($C262),"",IF(O262=Constants!$B$2,TRUE(),IF(O262=Constants!$B$3,FALSE(),TRUE())))</f>
        <v/>
      </c>
      <c r="AH262" s="87" t="str">
        <f aca="false">IF(ISBLANK($C262),"",IF(P262=Constants!$B$4,TRUE(),IF(P262=Constants!$B$5,FALSE(),COUNTA(Q262:S262)&gt;0)))</f>
        <v/>
      </c>
      <c r="AI262" s="88" t="str">
        <f aca="false">IF(ISBLANK($C262),"",IF(ISNUMBER(Q262),IF(Q262&gt;=0,Q262,""),""))</f>
        <v/>
      </c>
      <c r="AJ262" s="89" t="str">
        <f aca="false">IF(ISBLANK($C262),"",IF(ISNUMBER(R262),IF(R262&gt;=0,R262,""),""))</f>
        <v/>
      </c>
      <c r="AK262" s="87" t="str">
        <f aca="false">IF(ISBLANK($C262),"",IF(ISNUMBER(S262),IF(S262&gt;=0,MIN(S262,Constants!$B$22),""),""))</f>
        <v/>
      </c>
      <c r="AL262" s="87" t="str">
        <f aca="false">IF(ISBLANK($C262),"",IF(T262=Constants!$B$2,TRUE(),IF(T262=Constants!$B$3,FALSE(),FALSE())))</f>
        <v/>
      </c>
      <c r="AM262" s="86" t="str">
        <f aca="false">IF(ISBLANK($C262),"",AND($AB262,OR($AC262="",$AD262="",AND(NOT(ISBLANK($M262)),$AE262=""))))</f>
        <v/>
      </c>
      <c r="AN262" s="89" t="str">
        <f aca="false">IF($BD262&lt;&gt;Constants!$B$6,"",IF($AB262,Constants!$B$17*$AD262,Constants!$B$18))</f>
        <v/>
      </c>
      <c r="AO262" s="91" t="str">
        <f aca="false">IF($BD262&lt;&gt;Constants!$B$6,"",Constants!$B$19*IF($AB262,$AC262,0))</f>
        <v/>
      </c>
      <c r="AP262" s="91" t="str">
        <f aca="false">IF($BD262&lt;&gt;Constants!$B$6,"",IF(AND($AB262,ISNUMBER($AE262)),Constants!$B$20*(Constants!$B$21-$AE262),0))</f>
        <v/>
      </c>
      <c r="AQ262" s="91" t="str">
        <f aca="false">IF($BD262&lt;&gt;Constants!$B$6,"",IF($AA262,0,Constants!$B$12)+IF($Z262,0,Constants!$B$13)+IF($Y262,0,Constants!$B$14))</f>
        <v/>
      </c>
      <c r="AR262" s="92" t="str">
        <f aca="false">IF($BD262&lt;&gt;Constants!$B$6,"",Constants!$B$16+SUM($AN262:$AQ262))</f>
        <v/>
      </c>
      <c r="AS262" s="91" t="str">
        <f aca="false">IF($BD262&lt;&gt;Constants!$B$6,"",IF($AB262,$AD262,""))</f>
        <v/>
      </c>
      <c r="AT262" s="93" t="str">
        <f aca="false">IF($BD262&lt;&gt;Constants!$B$6,"",$AO262)</f>
        <v/>
      </c>
      <c r="AU262" s="87" t="str">
        <f aca="false">IF($BD262&lt;&gt;Constants!$B$6,"",IF(OR($BA262&lt;$AR262,AND($BA262=$AR262,OR(AND(ISNUMBER($BB262),OR(NOT(ISNUMBER($AS262)),$BB262&lt;$AS262)),AND(OR(AND($BB262="",$AS262=""),AND(ISNUMBER($BB262),ISNUMBER($AS262),$BB262=$AS262)),$BC262&lt;$AT262)))),"-&gt;","&lt;-"))</f>
        <v/>
      </c>
      <c r="AV262" s="86" t="str">
        <f aca="false">IF(ISBLANK($C262),"",AND($AH262,OR($AI262="",$AJ262="",AND(NOT(ISBLANK($S262)),$AK262=""))))</f>
        <v/>
      </c>
      <c r="AW262" s="89" t="str">
        <f aca="false">IF($BD262&lt;&gt;Constants!$B$6,"",IF($AH262,Constants!$B$17*$AJ262,Constants!$B$18))</f>
        <v/>
      </c>
      <c r="AX262" s="91" t="str">
        <f aca="false">IF($BD262&lt;&gt;Constants!$B$6,"",Constants!$B$19*IF($AH262,$AI262,0))</f>
        <v/>
      </c>
      <c r="AY262" s="91" t="str">
        <f aca="false">IF($BD262&lt;&gt;Constants!$B$6,"",IF(AND($AH262,ISNUMBER($AK262)),Constants!$B$20*(Constants!$B$21-$AK262),0))</f>
        <v/>
      </c>
      <c r="AZ262" s="91" t="str">
        <f aca="false">IF($BD262&lt;&gt;Constants!$B$6,"",IF($AG262,0,Constants!$B$12)+IF($AF262,0,Constants!$B$13)+IF($Y262,0,Constants!$B$14))</f>
        <v/>
      </c>
      <c r="BA262" s="92" t="str">
        <f aca="false">IF($BD262&lt;&gt;Constants!$B$6,"",Constants!$B$16+SUM($AW262:$AZ262))</f>
        <v/>
      </c>
      <c r="BB262" s="91" t="str">
        <f aca="false">IF($BD262&lt;&gt;Constants!$B$6,"",IF($AH262,$AJ262,""))</f>
        <v/>
      </c>
      <c r="BC262" s="93" t="str">
        <f aca="false">IF($BD262&lt;&gt;Constants!$B$6,"",$AX262)</f>
        <v/>
      </c>
      <c r="BD262" s="87" t="str">
        <f aca="false">IF(ISBLANK($C262),"",IF($AL262,Constants!$B$9,IF(COUNTA($E262:$T262)=0,Constants!$B$8,IF(NOT($X262),Constants!$B$7,IF(OR($AM262,$AV262),Constants!$B$10,Constants!$B$6)))))</f>
        <v/>
      </c>
      <c r="BE262" s="87" t="str">
        <f aca="false">IF(ISBLANK($C262),"",IF($BD262&lt;&gt;Constants!$B$6,$BD262,Constants!$B$11))</f>
        <v/>
      </c>
      <c r="BF262" s="91" t="str">
        <f aca="false">IF($BD262&lt;&gt;Constants!$B$6,"",IF($AU262="-&gt;",$BA262,$AR262))</f>
        <v/>
      </c>
      <c r="BG262" s="91" t="str">
        <f aca="false">IF($BD262&lt;&gt;Constants!$B$6,"",IF($W262,0,Constants!$B$15))</f>
        <v/>
      </c>
      <c r="BH262" s="91" t="str">
        <f aca="false">IF(ISBLANK($C262),"",IF($BD262&lt;&gt;Constants!$B$6,$BD262,SUM($BF262:$BG262)))</f>
        <v/>
      </c>
      <c r="BI262" s="87" t="str">
        <f aca="false">IF(ISBLANK($C262),"",IF($BD262&lt;&gt;Constants!$B$6,$BD262,RANK($BH262,$BH$9:$BH$508,1)))</f>
        <v/>
      </c>
      <c r="BJ262" s="91" t="str">
        <f aca="false">IF($BD262&lt;&gt;Constants!$B$6,"",IF($AU262="-&gt;",$BB262,$AS262))</f>
        <v/>
      </c>
      <c r="BK262" s="87" t="str">
        <f aca="false">IF(ISBLANK($C262),"",IF($BD262&lt;&gt;Constants!$B$6,$BD262,IF(ISNUMBER($BJ262),RANK($BJ262,$BJ$9:$BJ$508,1),COUNT($BJ$9:$BJ$508)+1)))</f>
        <v/>
      </c>
      <c r="BL262" s="91" t="str">
        <f aca="false">IF($BD262&lt;&gt;Constants!$B$6,"",IF($AU262="-&gt;",$BC262,$AT262))</f>
        <v/>
      </c>
      <c r="BM262" s="87" t="str">
        <f aca="false">IF(ISBLANK($C262),"",IF($BD262&lt;&gt;Constants!$B$6,$BD262,IF(ISNUMBER($BL262),RANK($BL262,$BL$9:$BL$508,1),COUNT($BL$9:$BL$508)+1)))</f>
        <v/>
      </c>
      <c r="BN262" s="91" t="str">
        <f aca="false">IF($BD262&lt;&gt;Constants!$B$6,"",IF($AU262="-&gt;",$AS262,$BB262))</f>
        <v/>
      </c>
      <c r="BO262" s="87" t="str">
        <f aca="false">IF(ISBLANK($C262),"",IF($BD262&lt;&gt;Constants!$B$6,$BD262,IF(ISNUMBER($BN262),RANK($BN262,$BN$9:$BN$508,1),COUNT($BN$9:$BN$508)+1)))</f>
        <v/>
      </c>
      <c r="BP262" s="91" t="str">
        <f aca="false">IF($BD262&lt;&gt;Constants!$B$6,"",IF($AU262="-&gt;",$AT262,$BC262))</f>
        <v/>
      </c>
      <c r="BQ262" s="87" t="str">
        <f aca="false">IF(ISBLANK($C262),"",IF($BD262&lt;&gt;Constants!$B$6,$BD262,IF(ISNUMBER($BP262),RANK($BP262,$BP$9:$BP$508,1),COUNT($BP$9:$BP$508)+1)))</f>
        <v/>
      </c>
      <c r="BR262" s="87" t="str">
        <f aca="false">IF(ISBLANK($C262),"",IF($BD262&lt;&gt;Constants!$B$6,$BD262,COUNTIFS($BI$9:$BI$508,"&lt;"&amp;$BI262)+COUNTIFS($BI$9:$BI$508,$BI262,$BK$9:$BK$508,"&lt;"&amp;$BK262)+COUNTIFS($BI$9:$BI$508,$BI262,$BK$9:$BK$508,$BK262,$BM$9:$BM$508,"&lt;"&amp;$BM262)+COUNTIFS($BI$9:$BI$508,$BI262,$BK$9:$BK$508,$BK262,$BM$9:$BM$508,$BM262,$BO$9:$BO$508,"&lt;"&amp;$BO262)+COUNTIFS($BI$9:$BI$508,$BI262,$BK$9:$BK$508,$BK262,$BM$9:$BM$508,$BM262,$BO$9:$BO$508,$BO262,$BQ$9:$BQ$508,"&lt;"&amp;$BQ262)+1))</f>
        <v/>
      </c>
      <c r="BS262" s="87" t="str">
        <f aca="false">IF(ISBLANK($C262),"",IF($BD262&lt;&gt;Constants!$B$6,$BD262,$BI262-$BR262))</f>
        <v/>
      </c>
      <c r="BT262" s="94"/>
      <c r="BU262" s="95"/>
      <c r="BV262" s="95" t="str">
        <f aca="false">IF(ISBLANK($C262),"",IF($BD262&lt;&gt;Constants!$B$6,"",IF($AU262="-&gt;",2,1)))</f>
        <v/>
      </c>
      <c r="BW262" s="96" t="str">
        <f aca="false">IF(ISBLANK($C262),"",IF($BD262&lt;&gt;Constants!$B$6,"",IF($AU262="-&gt;",$AW262,$AN262)))</f>
        <v/>
      </c>
      <c r="BX262" s="96" t="str">
        <f aca="false">IF(ISBLANK($C262),"",IF($BD262&lt;&gt;Constants!$B$6,"",IF($AU262="-&gt;",$AX262,$AO262)))</f>
        <v/>
      </c>
      <c r="BY262" s="96" t="str">
        <f aca="false">IF(ISBLANK($C262),"",IF($BD262&lt;&gt;Constants!$B$6,"",IF($AU262="-&gt;",$AY262,$AP262)))</f>
        <v/>
      </c>
      <c r="BZ262" s="96" t="str">
        <f aca="false">IF(ISBLANK($C262),"",IF($BD262&lt;&gt;Constants!$B$6,"",IF($AU262="-&gt;",$AZ262,$AQ262)+$BG262))</f>
        <v/>
      </c>
      <c r="CA262" s="97" t="str">
        <f aca="false">IF(ISBLANK($C262),"",IF($BD262&lt;&gt;Constants!$B$6,$BD262,$BH262))</f>
        <v/>
      </c>
      <c r="CB262" s="98" t="str">
        <f aca="false">IF(ISBLANK($C262),"",$BE262)</f>
        <v/>
      </c>
      <c r="CC262" s="99" t="str">
        <f aca="false">IF(ISBLANK($C262),"",$BS262)</f>
        <v/>
      </c>
      <c r="CD262" s="99" t="str">
        <f aca="false">IF(ISBLANK($C262),"",$BR262)</f>
        <v/>
      </c>
      <c r="CE262" s="100" t="str">
        <f aca="false">IF(ISBLANK($C262),"",IF($CD262=Constants!$B$9,COUNTA($C$9:$C$508)+2,IF($CD262=Constants!$B$8,COUNTA($C$9:$C$508)+1,IF($CD262=Constants!$B$7,COUNTA($C$9:$C$508),$CD262))))</f>
        <v/>
      </c>
      <c r="CF262" s="9"/>
      <c r="CG262" s="101" t="n">
        <f aca="false">IF(OR(ISNUMBER($CD262),$CD262=Constants!$B$9,$CD262=Constants!$B$7,$CD262=Constants!$B$8),1,0)</f>
        <v>0</v>
      </c>
      <c r="CH262" s="101" t="n">
        <v>254</v>
      </c>
      <c r="CI262" s="101" t="str">
        <f aca="false">IF(ISBLANK($C262),"",IF(ISNUMBER($CE262),$CE262+ROW($B262)/1000,""))</f>
        <v/>
      </c>
      <c r="CJ262" s="101" t="str">
        <f aca="false">IF(ISNUMBER($CI262),RANK($CI262,$CI$9:$CI$508,1),"")</f>
        <v/>
      </c>
      <c r="CK262" s="101" t="str">
        <f aca="false">IF(ISBLANK($C262),"",$B262)</f>
        <v/>
      </c>
      <c r="CL262" s="101" t="str">
        <f aca="false">IF(ISBLANK($C262),"",$C262)</f>
        <v/>
      </c>
      <c r="CM262" s="101" t="str">
        <f aca="false">IF(ISBLANK($C262),"",$D262)</f>
        <v/>
      </c>
      <c r="CN262" s="102" t="str">
        <f aca="false">$CB262</f>
        <v/>
      </c>
      <c r="CO262" s="103" t="str">
        <f aca="false">$CA262</f>
        <v/>
      </c>
      <c r="CP262" s="101" t="str">
        <f aca="false">IF(ISBLANK($C262),"",$CD262)</f>
        <v/>
      </c>
      <c r="CQ262" s="104" t="str">
        <f aca="false">IF($CH262&gt;$CG$8,"",VLOOKUP($CH262,$CJ$9:$CP$508,7,FALSE()))</f>
        <v/>
      </c>
      <c r="CR262" s="105" t="str">
        <f aca="false">IF($CH262&gt;$CG$8,"",VLOOKUP($CH262,$CJ$9:$CP$508,2,FALSE()))</f>
        <v/>
      </c>
      <c r="CS262" s="105" t="str">
        <f aca="false">IF($CH262&gt;$CG$8,"",VLOOKUP($CH262,$CJ$9:$CP$508,3,FALSE()))</f>
        <v/>
      </c>
      <c r="CT262" s="105" t="str">
        <f aca="false">IF($CH262&gt;$CG$8,"",VLOOKUP($CH262,$CJ$9:$CP$508,4,FALSE()))</f>
        <v/>
      </c>
      <c r="CU262" s="105" t="str">
        <f aca="false">IF($CH262&gt;$CG$8,"",VLOOKUP($CH262,$CJ$9:$CP$508,5,FALSE()))</f>
        <v/>
      </c>
      <c r="CV262" s="106" t="str">
        <f aca="false">IF($CH262&gt;$CG$8,"",VLOOKUP($CH262,$CJ$9:$CP$508,6,FALSE()))</f>
        <v/>
      </c>
      <c r="CW262" s="71"/>
    </row>
    <row r="263" customFormat="false" ht="15.75" hidden="false" customHeight="false" outlineLevel="0" collapsed="false">
      <c r="A263" s="9"/>
      <c r="B263" s="72"/>
      <c r="C263" s="73"/>
      <c r="D263" s="160"/>
      <c r="E263" s="168"/>
      <c r="F263" s="162"/>
      <c r="G263" s="163"/>
      <c r="H263" s="169"/>
      <c r="I263" s="167"/>
      <c r="J263" s="80"/>
      <c r="K263" s="81"/>
      <c r="L263" s="82"/>
      <c r="M263" s="166"/>
      <c r="N263" s="167"/>
      <c r="O263" s="167"/>
      <c r="P263" s="80"/>
      <c r="Q263" s="82"/>
      <c r="R263" s="82"/>
      <c r="S263" s="166"/>
      <c r="T263" s="167"/>
      <c r="U263" s="86"/>
      <c r="V263" s="87"/>
      <c r="W263" s="87" t="str">
        <f aca="false">IF(ISBLANK($C263),"",IF(E263=Constants!$B$2,TRUE(),IF(E263=Constants!$B$3,FALSE(),TRUE())))</f>
        <v/>
      </c>
      <c r="X263" s="87" t="str">
        <f aca="false">IF(ISBLANK($C263),"",IF(F263=Constants!$B$2,TRUE(),IF(F263=Constants!$B$3,FALSE(),TRUE())))</f>
        <v/>
      </c>
      <c r="Y263" s="87" t="str">
        <f aca="false">IF(ISBLANK($C263),"",IF(G263=Constants!$B$2,TRUE(),IF(G263=Constants!$B$3,FALSE(),TRUE())))</f>
        <v/>
      </c>
      <c r="Z263" s="87" t="str">
        <f aca="false">IF(ISBLANK($C263),"",IF(H263=Constants!$B$2,TRUE(),IF(H263=Constants!$B$3,FALSE(),TRUE())))</f>
        <v/>
      </c>
      <c r="AA263" s="87" t="str">
        <f aca="false">IF(ISBLANK($C263),"",IF(I263=Constants!$B$2,TRUE(),IF(I263=Constants!$B$3,FALSE(),TRUE())))</f>
        <v/>
      </c>
      <c r="AB263" s="87" t="str">
        <f aca="false">IF(ISBLANK($C263),"",IF(J263=Constants!$B$4,TRUE(),IF(J263=Constants!$B$5,FALSE(),COUNTA(K263:M263)&gt;0)))</f>
        <v/>
      </c>
      <c r="AC263" s="88" t="str">
        <f aca="false">IF(ISBLANK($C263),"",IF(ISNUMBER(K263),IF(K263&gt;=0,K263,""),""))</f>
        <v/>
      </c>
      <c r="AD263" s="89" t="str">
        <f aca="false">IF(ISBLANK($C263),"",IF(ISNUMBER(L263),IF(L263&gt;=0,L263,""),""))</f>
        <v/>
      </c>
      <c r="AE263" s="87" t="str">
        <f aca="false">IF(ISBLANK($C263),"",IF(ISNUMBER(M263),IF(M263&gt;=0,MIN(M263,Constants!$B$22),""),""))</f>
        <v/>
      </c>
      <c r="AF263" s="87" t="str">
        <f aca="false">IF(ISBLANK($C263),"",IF(N263=Constants!$B$2,TRUE(),IF(N263=Constants!$B$3,FALSE(),TRUE())))</f>
        <v/>
      </c>
      <c r="AG263" s="87" t="str">
        <f aca="false">IF(ISBLANK($C263),"",IF(O263=Constants!$B$2,TRUE(),IF(O263=Constants!$B$3,FALSE(),TRUE())))</f>
        <v/>
      </c>
      <c r="AH263" s="87" t="str">
        <f aca="false">IF(ISBLANK($C263),"",IF(P263=Constants!$B$4,TRUE(),IF(P263=Constants!$B$5,FALSE(),COUNTA(Q263:S263)&gt;0)))</f>
        <v/>
      </c>
      <c r="AI263" s="88" t="str">
        <f aca="false">IF(ISBLANK($C263),"",IF(ISNUMBER(Q263),IF(Q263&gt;=0,Q263,""),""))</f>
        <v/>
      </c>
      <c r="AJ263" s="89" t="str">
        <f aca="false">IF(ISBLANK($C263),"",IF(ISNUMBER(R263),IF(R263&gt;=0,R263,""),""))</f>
        <v/>
      </c>
      <c r="AK263" s="87" t="str">
        <f aca="false">IF(ISBLANK($C263),"",IF(ISNUMBER(S263),IF(S263&gt;=0,MIN(S263,Constants!$B$22),""),""))</f>
        <v/>
      </c>
      <c r="AL263" s="87" t="str">
        <f aca="false">IF(ISBLANK($C263),"",IF(T263=Constants!$B$2,TRUE(),IF(T263=Constants!$B$3,FALSE(),FALSE())))</f>
        <v/>
      </c>
      <c r="AM263" s="86" t="str">
        <f aca="false">IF(ISBLANK($C263),"",AND($AB263,OR($AC263="",$AD263="",AND(NOT(ISBLANK($M263)),$AE263=""))))</f>
        <v/>
      </c>
      <c r="AN263" s="89" t="str">
        <f aca="false">IF($BD263&lt;&gt;Constants!$B$6,"",IF($AB263,Constants!$B$17*$AD263,Constants!$B$18))</f>
        <v/>
      </c>
      <c r="AO263" s="91" t="str">
        <f aca="false">IF($BD263&lt;&gt;Constants!$B$6,"",Constants!$B$19*IF($AB263,$AC263,0))</f>
        <v/>
      </c>
      <c r="AP263" s="91" t="str">
        <f aca="false">IF($BD263&lt;&gt;Constants!$B$6,"",IF(AND($AB263,ISNUMBER($AE263)),Constants!$B$20*(Constants!$B$21-$AE263),0))</f>
        <v/>
      </c>
      <c r="AQ263" s="91" t="str">
        <f aca="false">IF($BD263&lt;&gt;Constants!$B$6,"",IF($AA263,0,Constants!$B$12)+IF($Z263,0,Constants!$B$13)+IF($Y263,0,Constants!$B$14))</f>
        <v/>
      </c>
      <c r="AR263" s="92" t="str">
        <f aca="false">IF($BD263&lt;&gt;Constants!$B$6,"",Constants!$B$16+SUM($AN263:$AQ263))</f>
        <v/>
      </c>
      <c r="AS263" s="91" t="str">
        <f aca="false">IF($BD263&lt;&gt;Constants!$B$6,"",IF($AB263,$AD263,""))</f>
        <v/>
      </c>
      <c r="AT263" s="93" t="str">
        <f aca="false">IF($BD263&lt;&gt;Constants!$B$6,"",$AO263)</f>
        <v/>
      </c>
      <c r="AU263" s="87" t="str">
        <f aca="false">IF($BD263&lt;&gt;Constants!$B$6,"",IF(OR($BA263&lt;$AR263,AND($BA263=$AR263,OR(AND(ISNUMBER($BB263),OR(NOT(ISNUMBER($AS263)),$BB263&lt;$AS263)),AND(OR(AND($BB263="",$AS263=""),AND(ISNUMBER($BB263),ISNUMBER($AS263),$BB263=$AS263)),$BC263&lt;$AT263)))),"-&gt;","&lt;-"))</f>
        <v/>
      </c>
      <c r="AV263" s="86" t="str">
        <f aca="false">IF(ISBLANK($C263),"",AND($AH263,OR($AI263="",$AJ263="",AND(NOT(ISBLANK($S263)),$AK263=""))))</f>
        <v/>
      </c>
      <c r="AW263" s="89" t="str">
        <f aca="false">IF($BD263&lt;&gt;Constants!$B$6,"",IF($AH263,Constants!$B$17*$AJ263,Constants!$B$18))</f>
        <v/>
      </c>
      <c r="AX263" s="91" t="str">
        <f aca="false">IF($BD263&lt;&gt;Constants!$B$6,"",Constants!$B$19*IF($AH263,$AI263,0))</f>
        <v/>
      </c>
      <c r="AY263" s="91" t="str">
        <f aca="false">IF($BD263&lt;&gt;Constants!$B$6,"",IF(AND($AH263,ISNUMBER($AK263)),Constants!$B$20*(Constants!$B$21-$AK263),0))</f>
        <v/>
      </c>
      <c r="AZ263" s="91" t="str">
        <f aca="false">IF($BD263&lt;&gt;Constants!$B$6,"",IF($AG263,0,Constants!$B$12)+IF($AF263,0,Constants!$B$13)+IF($Y263,0,Constants!$B$14))</f>
        <v/>
      </c>
      <c r="BA263" s="92" t="str">
        <f aca="false">IF($BD263&lt;&gt;Constants!$B$6,"",Constants!$B$16+SUM($AW263:$AZ263))</f>
        <v/>
      </c>
      <c r="BB263" s="91" t="str">
        <f aca="false">IF($BD263&lt;&gt;Constants!$B$6,"",IF($AH263,$AJ263,""))</f>
        <v/>
      </c>
      <c r="BC263" s="93" t="str">
        <f aca="false">IF($BD263&lt;&gt;Constants!$B$6,"",$AX263)</f>
        <v/>
      </c>
      <c r="BD263" s="87" t="str">
        <f aca="false">IF(ISBLANK($C263),"",IF($AL263,Constants!$B$9,IF(COUNTA($E263:$T263)=0,Constants!$B$8,IF(NOT($X263),Constants!$B$7,IF(OR($AM263,$AV263),Constants!$B$10,Constants!$B$6)))))</f>
        <v/>
      </c>
      <c r="BE263" s="87" t="str">
        <f aca="false">IF(ISBLANK($C263),"",IF($BD263&lt;&gt;Constants!$B$6,$BD263,Constants!$B$11))</f>
        <v/>
      </c>
      <c r="BF263" s="91" t="str">
        <f aca="false">IF($BD263&lt;&gt;Constants!$B$6,"",IF($AU263="-&gt;",$BA263,$AR263))</f>
        <v/>
      </c>
      <c r="BG263" s="91" t="str">
        <f aca="false">IF($BD263&lt;&gt;Constants!$B$6,"",IF($W263,0,Constants!$B$15))</f>
        <v/>
      </c>
      <c r="BH263" s="91" t="str">
        <f aca="false">IF(ISBLANK($C263),"",IF($BD263&lt;&gt;Constants!$B$6,$BD263,SUM($BF263:$BG263)))</f>
        <v/>
      </c>
      <c r="BI263" s="87" t="str">
        <f aca="false">IF(ISBLANK($C263),"",IF($BD263&lt;&gt;Constants!$B$6,$BD263,RANK($BH263,$BH$9:$BH$508,1)))</f>
        <v/>
      </c>
      <c r="BJ263" s="91" t="str">
        <f aca="false">IF($BD263&lt;&gt;Constants!$B$6,"",IF($AU263="-&gt;",$BB263,$AS263))</f>
        <v/>
      </c>
      <c r="BK263" s="87" t="str">
        <f aca="false">IF(ISBLANK($C263),"",IF($BD263&lt;&gt;Constants!$B$6,$BD263,IF(ISNUMBER($BJ263),RANK($BJ263,$BJ$9:$BJ$508,1),COUNT($BJ$9:$BJ$508)+1)))</f>
        <v/>
      </c>
      <c r="BL263" s="91" t="str">
        <f aca="false">IF($BD263&lt;&gt;Constants!$B$6,"",IF($AU263="-&gt;",$BC263,$AT263))</f>
        <v/>
      </c>
      <c r="BM263" s="87" t="str">
        <f aca="false">IF(ISBLANK($C263),"",IF($BD263&lt;&gt;Constants!$B$6,$BD263,IF(ISNUMBER($BL263),RANK($BL263,$BL$9:$BL$508,1),COUNT($BL$9:$BL$508)+1)))</f>
        <v/>
      </c>
      <c r="BN263" s="91" t="str">
        <f aca="false">IF($BD263&lt;&gt;Constants!$B$6,"",IF($AU263="-&gt;",$AS263,$BB263))</f>
        <v/>
      </c>
      <c r="BO263" s="87" t="str">
        <f aca="false">IF(ISBLANK($C263),"",IF($BD263&lt;&gt;Constants!$B$6,$BD263,IF(ISNUMBER($BN263),RANK($BN263,$BN$9:$BN$508,1),COUNT($BN$9:$BN$508)+1)))</f>
        <v/>
      </c>
      <c r="BP263" s="91" t="str">
        <f aca="false">IF($BD263&lt;&gt;Constants!$B$6,"",IF($AU263="-&gt;",$AT263,$BC263))</f>
        <v/>
      </c>
      <c r="BQ263" s="87" t="str">
        <f aca="false">IF(ISBLANK($C263),"",IF($BD263&lt;&gt;Constants!$B$6,$BD263,IF(ISNUMBER($BP263),RANK($BP263,$BP$9:$BP$508,1),COUNT($BP$9:$BP$508)+1)))</f>
        <v/>
      </c>
      <c r="BR263" s="87" t="str">
        <f aca="false">IF(ISBLANK($C263),"",IF($BD263&lt;&gt;Constants!$B$6,$BD263,COUNTIFS($BI$9:$BI$508,"&lt;"&amp;$BI263)+COUNTIFS($BI$9:$BI$508,$BI263,$BK$9:$BK$508,"&lt;"&amp;$BK263)+COUNTIFS($BI$9:$BI$508,$BI263,$BK$9:$BK$508,$BK263,$BM$9:$BM$508,"&lt;"&amp;$BM263)+COUNTIFS($BI$9:$BI$508,$BI263,$BK$9:$BK$508,$BK263,$BM$9:$BM$508,$BM263,$BO$9:$BO$508,"&lt;"&amp;$BO263)+COUNTIFS($BI$9:$BI$508,$BI263,$BK$9:$BK$508,$BK263,$BM$9:$BM$508,$BM263,$BO$9:$BO$508,$BO263,$BQ$9:$BQ$508,"&lt;"&amp;$BQ263)+1))</f>
        <v/>
      </c>
      <c r="BS263" s="87" t="str">
        <f aca="false">IF(ISBLANK($C263),"",IF($BD263&lt;&gt;Constants!$B$6,$BD263,$BI263-$BR263))</f>
        <v/>
      </c>
      <c r="BT263" s="94"/>
      <c r="BU263" s="95"/>
      <c r="BV263" s="95" t="str">
        <f aca="false">IF(ISBLANK($C263),"",IF($BD263&lt;&gt;Constants!$B$6,"",IF($AU263="-&gt;",2,1)))</f>
        <v/>
      </c>
      <c r="BW263" s="96" t="str">
        <f aca="false">IF(ISBLANK($C263),"",IF($BD263&lt;&gt;Constants!$B$6,"",IF($AU263="-&gt;",$AW263,$AN263)))</f>
        <v/>
      </c>
      <c r="BX263" s="96" t="str">
        <f aca="false">IF(ISBLANK($C263),"",IF($BD263&lt;&gt;Constants!$B$6,"",IF($AU263="-&gt;",$AX263,$AO263)))</f>
        <v/>
      </c>
      <c r="BY263" s="96" t="str">
        <f aca="false">IF(ISBLANK($C263),"",IF($BD263&lt;&gt;Constants!$B$6,"",IF($AU263="-&gt;",$AY263,$AP263)))</f>
        <v/>
      </c>
      <c r="BZ263" s="96" t="str">
        <f aca="false">IF(ISBLANK($C263),"",IF($BD263&lt;&gt;Constants!$B$6,"",IF($AU263="-&gt;",$AZ263,$AQ263)+$BG263))</f>
        <v/>
      </c>
      <c r="CA263" s="97" t="str">
        <f aca="false">IF(ISBLANK($C263),"",IF($BD263&lt;&gt;Constants!$B$6,$BD263,$BH263))</f>
        <v/>
      </c>
      <c r="CB263" s="98" t="str">
        <f aca="false">IF(ISBLANK($C263),"",$BE263)</f>
        <v/>
      </c>
      <c r="CC263" s="99" t="str">
        <f aca="false">IF(ISBLANK($C263),"",$BS263)</f>
        <v/>
      </c>
      <c r="CD263" s="99" t="str">
        <f aca="false">IF(ISBLANK($C263),"",$BR263)</f>
        <v/>
      </c>
      <c r="CE263" s="100" t="str">
        <f aca="false">IF(ISBLANK($C263),"",IF($CD263=Constants!$B$9,COUNTA($C$9:$C$508)+2,IF($CD263=Constants!$B$8,COUNTA($C$9:$C$508)+1,IF($CD263=Constants!$B$7,COUNTA($C$9:$C$508),$CD263))))</f>
        <v/>
      </c>
      <c r="CF263" s="9"/>
      <c r="CG263" s="101" t="n">
        <f aca="false">IF(OR(ISNUMBER($CD263),$CD263=Constants!$B$9,$CD263=Constants!$B$7,$CD263=Constants!$B$8),1,0)</f>
        <v>0</v>
      </c>
      <c r="CH263" s="101" t="n">
        <v>255</v>
      </c>
      <c r="CI263" s="101" t="str">
        <f aca="false">IF(ISBLANK($C263),"",IF(ISNUMBER($CE263),$CE263+ROW($B263)/1000,""))</f>
        <v/>
      </c>
      <c r="CJ263" s="101" t="str">
        <f aca="false">IF(ISNUMBER($CI263),RANK($CI263,$CI$9:$CI$508,1),"")</f>
        <v/>
      </c>
      <c r="CK263" s="101" t="str">
        <f aca="false">IF(ISBLANK($C263),"",$B263)</f>
        <v/>
      </c>
      <c r="CL263" s="101" t="str">
        <f aca="false">IF(ISBLANK($C263),"",$C263)</f>
        <v/>
      </c>
      <c r="CM263" s="101" t="str">
        <f aca="false">IF(ISBLANK($C263),"",$D263)</f>
        <v/>
      </c>
      <c r="CN263" s="102" t="str">
        <f aca="false">$CB263</f>
        <v/>
      </c>
      <c r="CO263" s="103" t="str">
        <f aca="false">$CA263</f>
        <v/>
      </c>
      <c r="CP263" s="101" t="str">
        <f aca="false">IF(ISBLANK($C263),"",$CD263)</f>
        <v/>
      </c>
      <c r="CQ263" s="104" t="str">
        <f aca="false">IF($CH263&gt;$CG$8,"",VLOOKUP($CH263,$CJ$9:$CP$508,7,FALSE()))</f>
        <v/>
      </c>
      <c r="CR263" s="105" t="str">
        <f aca="false">IF($CH263&gt;$CG$8,"",VLOOKUP($CH263,$CJ$9:$CP$508,2,FALSE()))</f>
        <v/>
      </c>
      <c r="CS263" s="105" t="str">
        <f aca="false">IF($CH263&gt;$CG$8,"",VLOOKUP($CH263,$CJ$9:$CP$508,3,FALSE()))</f>
        <v/>
      </c>
      <c r="CT263" s="105" t="str">
        <f aca="false">IF($CH263&gt;$CG$8,"",VLOOKUP($CH263,$CJ$9:$CP$508,4,FALSE()))</f>
        <v/>
      </c>
      <c r="CU263" s="105" t="str">
        <f aca="false">IF($CH263&gt;$CG$8,"",VLOOKUP($CH263,$CJ$9:$CP$508,5,FALSE()))</f>
        <v/>
      </c>
      <c r="CV263" s="106" t="str">
        <f aca="false">IF($CH263&gt;$CG$8,"",VLOOKUP($CH263,$CJ$9:$CP$508,6,FALSE()))</f>
        <v/>
      </c>
      <c r="CW263" s="71"/>
    </row>
    <row r="264" customFormat="false" ht="15.75" hidden="false" customHeight="false" outlineLevel="0" collapsed="false">
      <c r="A264" s="9"/>
      <c r="B264" s="150"/>
      <c r="C264" s="151"/>
      <c r="D264" s="152"/>
      <c r="E264" s="170"/>
      <c r="F264" s="154"/>
      <c r="G264" s="155"/>
      <c r="H264" s="171"/>
      <c r="I264" s="159"/>
      <c r="J264" s="120"/>
      <c r="K264" s="121"/>
      <c r="L264" s="122"/>
      <c r="M264" s="158"/>
      <c r="N264" s="159"/>
      <c r="O264" s="159"/>
      <c r="P264" s="120"/>
      <c r="Q264" s="122"/>
      <c r="R264" s="122"/>
      <c r="S264" s="158"/>
      <c r="T264" s="159"/>
      <c r="U264" s="126"/>
      <c r="V264" s="127"/>
      <c r="W264" s="127" t="str">
        <f aca="false">IF(ISBLANK($C264),"",IF(E264=Constants!$B$2,TRUE(),IF(E264=Constants!$B$3,FALSE(),TRUE())))</f>
        <v/>
      </c>
      <c r="X264" s="127" t="str">
        <f aca="false">IF(ISBLANK($C264),"",IF(F264=Constants!$B$2,TRUE(),IF(F264=Constants!$B$3,FALSE(),TRUE())))</f>
        <v/>
      </c>
      <c r="Y264" s="127" t="str">
        <f aca="false">IF(ISBLANK($C264),"",IF(G264=Constants!$B$2,TRUE(),IF(G264=Constants!$B$3,FALSE(),TRUE())))</f>
        <v/>
      </c>
      <c r="Z264" s="127" t="str">
        <f aca="false">IF(ISBLANK($C264),"",IF(H264=Constants!$B$2,TRUE(),IF(H264=Constants!$B$3,FALSE(),TRUE())))</f>
        <v/>
      </c>
      <c r="AA264" s="127" t="str">
        <f aca="false">IF(ISBLANK($C264),"",IF(I264=Constants!$B$2,TRUE(),IF(I264=Constants!$B$3,FALSE(),TRUE())))</f>
        <v/>
      </c>
      <c r="AB264" s="127" t="str">
        <f aca="false">IF(ISBLANK($C264),"",IF(J264=Constants!$B$4,TRUE(),IF(J264=Constants!$B$5,FALSE(),COUNTA(K264:M264)&gt;0)))</f>
        <v/>
      </c>
      <c r="AC264" s="128" t="str">
        <f aca="false">IF(ISBLANK($C264),"",IF(ISNUMBER(K264),IF(K264&gt;=0,K264,""),""))</f>
        <v/>
      </c>
      <c r="AD264" s="129" t="str">
        <f aca="false">IF(ISBLANK($C264),"",IF(ISNUMBER(L264),IF(L264&gt;=0,L264,""),""))</f>
        <v/>
      </c>
      <c r="AE264" s="127" t="str">
        <f aca="false">IF(ISBLANK($C264),"",IF(ISNUMBER(M264),IF(M264&gt;=0,MIN(M264,Constants!$B$22),""),""))</f>
        <v/>
      </c>
      <c r="AF264" s="127" t="str">
        <f aca="false">IF(ISBLANK($C264),"",IF(N264=Constants!$B$2,TRUE(),IF(N264=Constants!$B$3,FALSE(),TRUE())))</f>
        <v/>
      </c>
      <c r="AG264" s="127" t="str">
        <f aca="false">IF(ISBLANK($C264),"",IF(O264=Constants!$B$2,TRUE(),IF(O264=Constants!$B$3,FALSE(),TRUE())))</f>
        <v/>
      </c>
      <c r="AH264" s="127" t="str">
        <f aca="false">IF(ISBLANK($C264),"",IF(P264=Constants!$B$4,TRUE(),IF(P264=Constants!$B$5,FALSE(),COUNTA(Q264:S264)&gt;0)))</f>
        <v/>
      </c>
      <c r="AI264" s="128" t="str">
        <f aca="false">IF(ISBLANK($C264),"",IF(ISNUMBER(Q264),IF(Q264&gt;=0,Q264,""),""))</f>
        <v/>
      </c>
      <c r="AJ264" s="129" t="str">
        <f aca="false">IF(ISBLANK($C264),"",IF(ISNUMBER(R264),IF(R264&gt;=0,R264,""),""))</f>
        <v/>
      </c>
      <c r="AK264" s="127" t="str">
        <f aca="false">IF(ISBLANK($C264),"",IF(ISNUMBER(S264),IF(S264&gt;=0,MIN(S264,Constants!$B$22),""),""))</f>
        <v/>
      </c>
      <c r="AL264" s="127" t="str">
        <f aca="false">IF(ISBLANK($C264),"",IF(T264=Constants!$B$2,TRUE(),IF(T264=Constants!$B$3,FALSE(),FALSE())))</f>
        <v/>
      </c>
      <c r="AM264" s="126" t="str">
        <f aca="false">IF(ISBLANK($C264),"",AND($AB264,OR($AC264="",$AD264="",AND(NOT(ISBLANK($M264)),$AE264=""))))</f>
        <v/>
      </c>
      <c r="AN264" s="129" t="str">
        <f aca="false">IF($BD264&lt;&gt;Constants!$B$6,"",IF($AB264,Constants!$B$17*$AD264,Constants!$B$18))</f>
        <v/>
      </c>
      <c r="AO264" s="130" t="str">
        <f aca="false">IF($BD264&lt;&gt;Constants!$B$6,"",Constants!$B$19*IF($AB264,$AC264,0))</f>
        <v/>
      </c>
      <c r="AP264" s="130" t="str">
        <f aca="false">IF($BD264&lt;&gt;Constants!$B$6,"",IF(AND($AB264,ISNUMBER($AE264)),Constants!$B$20*(Constants!$B$21-$AE264),0))</f>
        <v/>
      </c>
      <c r="AQ264" s="130" t="str">
        <f aca="false">IF($BD264&lt;&gt;Constants!$B$6,"",IF($AA264,0,Constants!$B$12)+IF($Z264,0,Constants!$B$13)+IF($Y264,0,Constants!$B$14))</f>
        <v/>
      </c>
      <c r="AR264" s="131" t="str">
        <f aca="false">IF($BD264&lt;&gt;Constants!$B$6,"",Constants!$B$16+SUM($AN264:$AQ264))</f>
        <v/>
      </c>
      <c r="AS264" s="130" t="str">
        <f aca="false">IF($BD264&lt;&gt;Constants!$B$6,"",IF($AB264,$AD264,""))</f>
        <v/>
      </c>
      <c r="AT264" s="132" t="str">
        <f aca="false">IF($BD264&lt;&gt;Constants!$B$6,"",$AO264)</f>
        <v/>
      </c>
      <c r="AU264" s="127" t="str">
        <f aca="false">IF($BD264&lt;&gt;Constants!$B$6,"",IF(OR($BA264&lt;$AR264,AND($BA264=$AR264,OR(AND(ISNUMBER($BB264),OR(NOT(ISNUMBER($AS264)),$BB264&lt;$AS264)),AND(OR(AND($BB264="",$AS264=""),AND(ISNUMBER($BB264),ISNUMBER($AS264),$BB264=$AS264)),$BC264&lt;$AT264)))),"-&gt;","&lt;-"))</f>
        <v/>
      </c>
      <c r="AV264" s="126" t="str">
        <f aca="false">IF(ISBLANK($C264),"",AND($AH264,OR($AI264="",$AJ264="",AND(NOT(ISBLANK($S264)),$AK264=""))))</f>
        <v/>
      </c>
      <c r="AW264" s="129" t="str">
        <f aca="false">IF($BD264&lt;&gt;Constants!$B$6,"",IF($AH264,Constants!$B$17*$AJ264,Constants!$B$18))</f>
        <v/>
      </c>
      <c r="AX264" s="130" t="str">
        <f aca="false">IF($BD264&lt;&gt;Constants!$B$6,"",Constants!$B$19*IF($AH264,$AI264,0))</f>
        <v/>
      </c>
      <c r="AY264" s="130" t="str">
        <f aca="false">IF($BD264&lt;&gt;Constants!$B$6,"",IF(AND($AH264,ISNUMBER($AK264)),Constants!$B$20*(Constants!$B$21-$AK264),0))</f>
        <v/>
      </c>
      <c r="AZ264" s="130" t="str">
        <f aca="false">IF($BD264&lt;&gt;Constants!$B$6,"",IF($AG264,0,Constants!$B$12)+IF($AF264,0,Constants!$B$13)+IF($Y264,0,Constants!$B$14))</f>
        <v/>
      </c>
      <c r="BA264" s="131" t="str">
        <f aca="false">IF($BD264&lt;&gt;Constants!$B$6,"",Constants!$B$16+SUM($AW264:$AZ264))</f>
        <v/>
      </c>
      <c r="BB264" s="130" t="str">
        <f aca="false">IF($BD264&lt;&gt;Constants!$B$6,"",IF($AH264,$AJ264,""))</f>
        <v/>
      </c>
      <c r="BC264" s="132" t="str">
        <f aca="false">IF($BD264&lt;&gt;Constants!$B$6,"",$AX264)</f>
        <v/>
      </c>
      <c r="BD264" s="127" t="str">
        <f aca="false">IF(ISBLANK($C264),"",IF($AL264,Constants!$B$9,IF(COUNTA($E264:$T264)=0,Constants!$B$8,IF(NOT($X264),Constants!$B$7,IF(OR($AM264,$AV264),Constants!$B$10,Constants!$B$6)))))</f>
        <v/>
      </c>
      <c r="BE264" s="127" t="str">
        <f aca="false">IF(ISBLANK($C264),"",IF($BD264&lt;&gt;Constants!$B$6,$BD264,Constants!$B$11))</f>
        <v/>
      </c>
      <c r="BF264" s="130" t="str">
        <f aca="false">IF($BD264&lt;&gt;Constants!$B$6,"",IF($AU264="-&gt;",$BA264,$AR264))</f>
        <v/>
      </c>
      <c r="BG264" s="130" t="str">
        <f aca="false">IF($BD264&lt;&gt;Constants!$B$6,"",IF($W264,0,Constants!$B$15))</f>
        <v/>
      </c>
      <c r="BH264" s="130" t="str">
        <f aca="false">IF(ISBLANK($C264),"",IF($BD264&lt;&gt;Constants!$B$6,$BD264,SUM($BF264:$BG264)))</f>
        <v/>
      </c>
      <c r="BI264" s="127" t="str">
        <f aca="false">IF(ISBLANK($C264),"",IF($BD264&lt;&gt;Constants!$B$6,$BD264,RANK($BH264,$BH$9:$BH$508,1)))</f>
        <v/>
      </c>
      <c r="BJ264" s="130" t="str">
        <f aca="false">IF($BD264&lt;&gt;Constants!$B$6,"",IF($AU264="-&gt;",$BB264,$AS264))</f>
        <v/>
      </c>
      <c r="BK264" s="127" t="str">
        <f aca="false">IF(ISBLANK($C264),"",IF($BD264&lt;&gt;Constants!$B$6,$BD264,IF(ISNUMBER($BJ264),RANK($BJ264,$BJ$9:$BJ$508,1),COUNT($BJ$9:$BJ$508)+1)))</f>
        <v/>
      </c>
      <c r="BL264" s="130" t="str">
        <f aca="false">IF($BD264&lt;&gt;Constants!$B$6,"",IF($AU264="-&gt;",$BC264,$AT264))</f>
        <v/>
      </c>
      <c r="BM264" s="127" t="str">
        <f aca="false">IF(ISBLANK($C264),"",IF($BD264&lt;&gt;Constants!$B$6,$BD264,IF(ISNUMBER($BL264),RANK($BL264,$BL$9:$BL$508,1),COUNT($BL$9:$BL$508)+1)))</f>
        <v/>
      </c>
      <c r="BN264" s="130" t="str">
        <f aca="false">IF($BD264&lt;&gt;Constants!$B$6,"",IF($AU264="-&gt;",$AS264,$BB264))</f>
        <v/>
      </c>
      <c r="BO264" s="127" t="str">
        <f aca="false">IF(ISBLANK($C264),"",IF($BD264&lt;&gt;Constants!$B$6,$BD264,IF(ISNUMBER($BN264),RANK($BN264,$BN$9:$BN$508,1),COUNT($BN$9:$BN$508)+1)))</f>
        <v/>
      </c>
      <c r="BP264" s="130" t="str">
        <f aca="false">IF($BD264&lt;&gt;Constants!$B$6,"",IF($AU264="-&gt;",$AT264,$BC264))</f>
        <v/>
      </c>
      <c r="BQ264" s="127" t="str">
        <f aca="false">IF(ISBLANK($C264),"",IF($BD264&lt;&gt;Constants!$B$6,$BD264,IF(ISNUMBER($BP264),RANK($BP264,$BP$9:$BP$508,1),COUNT($BP$9:$BP$508)+1)))</f>
        <v/>
      </c>
      <c r="BR264" s="127" t="str">
        <f aca="false">IF(ISBLANK($C264),"",IF($BD264&lt;&gt;Constants!$B$6,$BD264,COUNTIFS($BI$9:$BI$508,"&lt;"&amp;$BI264)+COUNTIFS($BI$9:$BI$508,$BI264,$BK$9:$BK$508,"&lt;"&amp;$BK264)+COUNTIFS($BI$9:$BI$508,$BI264,$BK$9:$BK$508,$BK264,$BM$9:$BM$508,"&lt;"&amp;$BM264)+COUNTIFS($BI$9:$BI$508,$BI264,$BK$9:$BK$508,$BK264,$BM$9:$BM$508,$BM264,$BO$9:$BO$508,"&lt;"&amp;$BO264)+COUNTIFS($BI$9:$BI$508,$BI264,$BK$9:$BK$508,$BK264,$BM$9:$BM$508,$BM264,$BO$9:$BO$508,$BO264,$BQ$9:$BQ$508,"&lt;"&amp;$BQ264)+1))</f>
        <v/>
      </c>
      <c r="BS264" s="127" t="str">
        <f aca="false">IF(ISBLANK($C264),"",IF($BD264&lt;&gt;Constants!$B$6,$BD264,$BI264-$BR264))</f>
        <v/>
      </c>
      <c r="BT264" s="133"/>
      <c r="BU264" s="134"/>
      <c r="BV264" s="134" t="str">
        <f aca="false">IF(ISBLANK($C264),"",IF($BD264&lt;&gt;Constants!$B$6,"",IF($AU264="-&gt;",2,1)))</f>
        <v/>
      </c>
      <c r="BW264" s="135" t="str">
        <f aca="false">IF(ISBLANK($C264),"",IF($BD264&lt;&gt;Constants!$B$6,"",IF($AU264="-&gt;",$AW264,$AN264)))</f>
        <v/>
      </c>
      <c r="BX264" s="135" t="str">
        <f aca="false">IF(ISBLANK($C264),"",IF($BD264&lt;&gt;Constants!$B$6,"",IF($AU264="-&gt;",$AX264,$AO264)))</f>
        <v/>
      </c>
      <c r="BY264" s="135" t="str">
        <f aca="false">IF(ISBLANK($C264),"",IF($BD264&lt;&gt;Constants!$B$6,"",IF($AU264="-&gt;",$AY264,$AP264)))</f>
        <v/>
      </c>
      <c r="BZ264" s="135" t="str">
        <f aca="false">IF(ISBLANK($C264),"",IF($BD264&lt;&gt;Constants!$B$6,"",IF($AU264="-&gt;",$AZ264,$AQ264)+$BG264))</f>
        <v/>
      </c>
      <c r="CA264" s="136" t="str">
        <f aca="false">IF(ISBLANK($C264),"",IF($BD264&lt;&gt;Constants!$B$6,$BD264,$BH264))</f>
        <v/>
      </c>
      <c r="CB264" s="137" t="str">
        <f aca="false">IF(ISBLANK($C264),"",$BE264)</f>
        <v/>
      </c>
      <c r="CC264" s="138" t="str">
        <f aca="false">IF(ISBLANK($C264),"",$BS264)</f>
        <v/>
      </c>
      <c r="CD264" s="138" t="str">
        <f aca="false">IF(ISBLANK($C264),"",$BR264)</f>
        <v/>
      </c>
      <c r="CE264" s="139" t="str">
        <f aca="false">IF(ISBLANK($C264),"",IF($CD264=Constants!$B$9,COUNTA($C$9:$C$508)+2,IF($CD264=Constants!$B$8,COUNTA($C$9:$C$508)+1,IF($CD264=Constants!$B$7,COUNTA($C$9:$C$508),$CD264))))</f>
        <v/>
      </c>
      <c r="CF264" s="9"/>
      <c r="CG264" s="140" t="n">
        <f aca="false">IF(OR(ISNUMBER($CD264),$CD264=Constants!$B$9,$CD264=Constants!$B$7,$CD264=Constants!$B$8),1,0)</f>
        <v>0</v>
      </c>
      <c r="CH264" s="140" t="n">
        <v>256</v>
      </c>
      <c r="CI264" s="140" t="str">
        <f aca="false">IF(ISBLANK($C264),"",IF(ISNUMBER($CE264),$CE264+ROW($B264)/1000,""))</f>
        <v/>
      </c>
      <c r="CJ264" s="140" t="str">
        <f aca="false">IF(ISNUMBER($CI264),RANK($CI264,$CI$9:$CI$508,1),"")</f>
        <v/>
      </c>
      <c r="CK264" s="140" t="str">
        <f aca="false">IF(ISBLANK($C264),"",$B264)</f>
        <v/>
      </c>
      <c r="CL264" s="140" t="str">
        <f aca="false">IF(ISBLANK($C264),"",$C264)</f>
        <v/>
      </c>
      <c r="CM264" s="140" t="str">
        <f aca="false">IF(ISBLANK($C264),"",$D264)</f>
        <v/>
      </c>
      <c r="CN264" s="141" t="str">
        <f aca="false">$CB264</f>
        <v/>
      </c>
      <c r="CO264" s="142" t="str">
        <f aca="false">$CA264</f>
        <v/>
      </c>
      <c r="CP264" s="140" t="str">
        <f aca="false">IF(ISBLANK($C264),"",$CD264)</f>
        <v/>
      </c>
      <c r="CQ264" s="143" t="str">
        <f aca="false">IF($CH264&gt;$CG$8,"",VLOOKUP($CH264,$CJ$9:$CP$508,7,FALSE()))</f>
        <v/>
      </c>
      <c r="CR264" s="144" t="str">
        <f aca="false">IF($CH264&gt;$CG$8,"",VLOOKUP($CH264,$CJ$9:$CP$508,2,FALSE()))</f>
        <v/>
      </c>
      <c r="CS264" s="144" t="str">
        <f aca="false">IF($CH264&gt;$CG$8,"",VLOOKUP($CH264,$CJ$9:$CP$508,3,FALSE()))</f>
        <v/>
      </c>
      <c r="CT264" s="144" t="str">
        <f aca="false">IF($CH264&gt;$CG$8,"",VLOOKUP($CH264,$CJ$9:$CP$508,4,FALSE()))</f>
        <v/>
      </c>
      <c r="CU264" s="144" t="str">
        <f aca="false">IF($CH264&gt;$CG$8,"",VLOOKUP($CH264,$CJ$9:$CP$508,5,FALSE()))</f>
        <v/>
      </c>
      <c r="CV264" s="145" t="str">
        <f aca="false">IF($CH264&gt;$CG$8,"",VLOOKUP($CH264,$CJ$9:$CP$508,6,FALSE()))</f>
        <v/>
      </c>
      <c r="CW264" s="71"/>
    </row>
    <row r="265" customFormat="false" ht="15.75" hidden="false" customHeight="false" outlineLevel="0" collapsed="false">
      <c r="A265" s="9"/>
      <c r="B265" s="150"/>
      <c r="C265" s="151"/>
      <c r="D265" s="152"/>
      <c r="E265" s="170"/>
      <c r="F265" s="154"/>
      <c r="G265" s="155"/>
      <c r="H265" s="171"/>
      <c r="I265" s="159"/>
      <c r="J265" s="120"/>
      <c r="K265" s="121"/>
      <c r="L265" s="122"/>
      <c r="M265" s="158"/>
      <c r="N265" s="159"/>
      <c r="O265" s="159"/>
      <c r="P265" s="120"/>
      <c r="Q265" s="122"/>
      <c r="R265" s="122"/>
      <c r="S265" s="158"/>
      <c r="T265" s="159"/>
      <c r="U265" s="126"/>
      <c r="V265" s="127"/>
      <c r="W265" s="127" t="str">
        <f aca="false">IF(ISBLANK($C265),"",IF(E265=Constants!$B$2,TRUE(),IF(E265=Constants!$B$3,FALSE(),TRUE())))</f>
        <v/>
      </c>
      <c r="X265" s="127" t="str">
        <f aca="false">IF(ISBLANK($C265),"",IF(F265=Constants!$B$2,TRUE(),IF(F265=Constants!$B$3,FALSE(),TRUE())))</f>
        <v/>
      </c>
      <c r="Y265" s="127" t="str">
        <f aca="false">IF(ISBLANK($C265),"",IF(G265=Constants!$B$2,TRUE(),IF(G265=Constants!$B$3,FALSE(),TRUE())))</f>
        <v/>
      </c>
      <c r="Z265" s="127" t="str">
        <f aca="false">IF(ISBLANK($C265),"",IF(H265=Constants!$B$2,TRUE(),IF(H265=Constants!$B$3,FALSE(),TRUE())))</f>
        <v/>
      </c>
      <c r="AA265" s="127" t="str">
        <f aca="false">IF(ISBLANK($C265),"",IF(I265=Constants!$B$2,TRUE(),IF(I265=Constants!$B$3,FALSE(),TRUE())))</f>
        <v/>
      </c>
      <c r="AB265" s="127" t="str">
        <f aca="false">IF(ISBLANK($C265),"",IF(J265=Constants!$B$4,TRUE(),IF(J265=Constants!$B$5,FALSE(),COUNTA(K265:M265)&gt;0)))</f>
        <v/>
      </c>
      <c r="AC265" s="128" t="str">
        <f aca="false">IF(ISBLANK($C265),"",IF(ISNUMBER(K265),IF(K265&gt;=0,K265,""),""))</f>
        <v/>
      </c>
      <c r="AD265" s="129" t="str">
        <f aca="false">IF(ISBLANK($C265),"",IF(ISNUMBER(L265),IF(L265&gt;=0,L265,""),""))</f>
        <v/>
      </c>
      <c r="AE265" s="127" t="str">
        <f aca="false">IF(ISBLANK($C265),"",IF(ISNUMBER(M265),IF(M265&gt;=0,MIN(M265,Constants!$B$22),""),""))</f>
        <v/>
      </c>
      <c r="AF265" s="127" t="str">
        <f aca="false">IF(ISBLANK($C265),"",IF(N265=Constants!$B$2,TRUE(),IF(N265=Constants!$B$3,FALSE(),TRUE())))</f>
        <v/>
      </c>
      <c r="AG265" s="127" t="str">
        <f aca="false">IF(ISBLANK($C265),"",IF(O265=Constants!$B$2,TRUE(),IF(O265=Constants!$B$3,FALSE(),TRUE())))</f>
        <v/>
      </c>
      <c r="AH265" s="127" t="str">
        <f aca="false">IF(ISBLANK($C265),"",IF(P265=Constants!$B$4,TRUE(),IF(P265=Constants!$B$5,FALSE(),COUNTA(Q265:S265)&gt;0)))</f>
        <v/>
      </c>
      <c r="AI265" s="128" t="str">
        <f aca="false">IF(ISBLANK($C265),"",IF(ISNUMBER(Q265),IF(Q265&gt;=0,Q265,""),""))</f>
        <v/>
      </c>
      <c r="AJ265" s="129" t="str">
        <f aca="false">IF(ISBLANK($C265),"",IF(ISNUMBER(R265),IF(R265&gt;=0,R265,""),""))</f>
        <v/>
      </c>
      <c r="AK265" s="127" t="str">
        <f aca="false">IF(ISBLANK($C265),"",IF(ISNUMBER(S265),IF(S265&gt;=0,MIN(S265,Constants!$B$22),""),""))</f>
        <v/>
      </c>
      <c r="AL265" s="127" t="str">
        <f aca="false">IF(ISBLANK($C265),"",IF(T265=Constants!$B$2,TRUE(),IF(T265=Constants!$B$3,FALSE(),FALSE())))</f>
        <v/>
      </c>
      <c r="AM265" s="126" t="str">
        <f aca="false">IF(ISBLANK($C265),"",AND($AB265,OR($AC265="",$AD265="",AND(NOT(ISBLANK($M265)),$AE265=""))))</f>
        <v/>
      </c>
      <c r="AN265" s="129" t="str">
        <f aca="false">IF($BD265&lt;&gt;Constants!$B$6,"",IF($AB265,Constants!$B$17*$AD265,Constants!$B$18))</f>
        <v/>
      </c>
      <c r="AO265" s="130" t="str">
        <f aca="false">IF($BD265&lt;&gt;Constants!$B$6,"",Constants!$B$19*IF($AB265,$AC265,0))</f>
        <v/>
      </c>
      <c r="AP265" s="130" t="str">
        <f aca="false">IF($BD265&lt;&gt;Constants!$B$6,"",IF(AND($AB265,ISNUMBER($AE265)),Constants!$B$20*(Constants!$B$21-$AE265),0))</f>
        <v/>
      </c>
      <c r="AQ265" s="130" t="str">
        <f aca="false">IF($BD265&lt;&gt;Constants!$B$6,"",IF($AA265,0,Constants!$B$12)+IF($Z265,0,Constants!$B$13)+IF($Y265,0,Constants!$B$14))</f>
        <v/>
      </c>
      <c r="AR265" s="131" t="str">
        <f aca="false">IF($BD265&lt;&gt;Constants!$B$6,"",Constants!$B$16+SUM($AN265:$AQ265))</f>
        <v/>
      </c>
      <c r="AS265" s="130" t="str">
        <f aca="false">IF($BD265&lt;&gt;Constants!$B$6,"",IF($AB265,$AD265,""))</f>
        <v/>
      </c>
      <c r="AT265" s="132" t="str">
        <f aca="false">IF($BD265&lt;&gt;Constants!$B$6,"",$AO265)</f>
        <v/>
      </c>
      <c r="AU265" s="127" t="str">
        <f aca="false">IF($BD265&lt;&gt;Constants!$B$6,"",IF(OR($BA265&lt;$AR265,AND($BA265=$AR265,OR(AND(ISNUMBER($BB265),OR(NOT(ISNUMBER($AS265)),$BB265&lt;$AS265)),AND(OR(AND($BB265="",$AS265=""),AND(ISNUMBER($BB265),ISNUMBER($AS265),$BB265=$AS265)),$BC265&lt;$AT265)))),"-&gt;","&lt;-"))</f>
        <v/>
      </c>
      <c r="AV265" s="126" t="str">
        <f aca="false">IF(ISBLANK($C265),"",AND($AH265,OR($AI265="",$AJ265="",AND(NOT(ISBLANK($S265)),$AK265=""))))</f>
        <v/>
      </c>
      <c r="AW265" s="129" t="str">
        <f aca="false">IF($BD265&lt;&gt;Constants!$B$6,"",IF($AH265,Constants!$B$17*$AJ265,Constants!$B$18))</f>
        <v/>
      </c>
      <c r="AX265" s="130" t="str">
        <f aca="false">IF($BD265&lt;&gt;Constants!$B$6,"",Constants!$B$19*IF($AH265,$AI265,0))</f>
        <v/>
      </c>
      <c r="AY265" s="130" t="str">
        <f aca="false">IF($BD265&lt;&gt;Constants!$B$6,"",IF(AND($AH265,ISNUMBER($AK265)),Constants!$B$20*(Constants!$B$21-$AK265),0))</f>
        <v/>
      </c>
      <c r="AZ265" s="130" t="str">
        <f aca="false">IF($BD265&lt;&gt;Constants!$B$6,"",IF($AG265,0,Constants!$B$12)+IF($AF265,0,Constants!$B$13)+IF($Y265,0,Constants!$B$14))</f>
        <v/>
      </c>
      <c r="BA265" s="131" t="str">
        <f aca="false">IF($BD265&lt;&gt;Constants!$B$6,"",Constants!$B$16+SUM($AW265:$AZ265))</f>
        <v/>
      </c>
      <c r="BB265" s="130" t="str">
        <f aca="false">IF($BD265&lt;&gt;Constants!$B$6,"",IF($AH265,$AJ265,""))</f>
        <v/>
      </c>
      <c r="BC265" s="132" t="str">
        <f aca="false">IF($BD265&lt;&gt;Constants!$B$6,"",$AX265)</f>
        <v/>
      </c>
      <c r="BD265" s="127" t="str">
        <f aca="false">IF(ISBLANK($C265),"",IF($AL265,Constants!$B$9,IF(COUNTA($E265:$T265)=0,Constants!$B$8,IF(NOT($X265),Constants!$B$7,IF(OR($AM265,$AV265),Constants!$B$10,Constants!$B$6)))))</f>
        <v/>
      </c>
      <c r="BE265" s="127" t="str">
        <f aca="false">IF(ISBLANK($C265),"",IF($BD265&lt;&gt;Constants!$B$6,$BD265,Constants!$B$11))</f>
        <v/>
      </c>
      <c r="BF265" s="130" t="str">
        <f aca="false">IF($BD265&lt;&gt;Constants!$B$6,"",IF($AU265="-&gt;",$BA265,$AR265))</f>
        <v/>
      </c>
      <c r="BG265" s="130" t="str">
        <f aca="false">IF($BD265&lt;&gt;Constants!$B$6,"",IF($W265,0,Constants!$B$15))</f>
        <v/>
      </c>
      <c r="BH265" s="130" t="str">
        <f aca="false">IF(ISBLANK($C265),"",IF($BD265&lt;&gt;Constants!$B$6,$BD265,SUM($BF265:$BG265)))</f>
        <v/>
      </c>
      <c r="BI265" s="127" t="str">
        <f aca="false">IF(ISBLANK($C265),"",IF($BD265&lt;&gt;Constants!$B$6,$BD265,RANK($BH265,$BH$9:$BH$508,1)))</f>
        <v/>
      </c>
      <c r="BJ265" s="130" t="str">
        <f aca="false">IF($BD265&lt;&gt;Constants!$B$6,"",IF($AU265="-&gt;",$BB265,$AS265))</f>
        <v/>
      </c>
      <c r="BK265" s="127" t="str">
        <f aca="false">IF(ISBLANK($C265),"",IF($BD265&lt;&gt;Constants!$B$6,$BD265,IF(ISNUMBER($BJ265),RANK($BJ265,$BJ$9:$BJ$508,1),COUNT($BJ$9:$BJ$508)+1)))</f>
        <v/>
      </c>
      <c r="BL265" s="130" t="str">
        <f aca="false">IF($BD265&lt;&gt;Constants!$B$6,"",IF($AU265="-&gt;",$BC265,$AT265))</f>
        <v/>
      </c>
      <c r="BM265" s="127" t="str">
        <f aca="false">IF(ISBLANK($C265),"",IF($BD265&lt;&gt;Constants!$B$6,$BD265,IF(ISNUMBER($BL265),RANK($BL265,$BL$9:$BL$508,1),COUNT($BL$9:$BL$508)+1)))</f>
        <v/>
      </c>
      <c r="BN265" s="130" t="str">
        <f aca="false">IF($BD265&lt;&gt;Constants!$B$6,"",IF($AU265="-&gt;",$AS265,$BB265))</f>
        <v/>
      </c>
      <c r="BO265" s="127" t="str">
        <f aca="false">IF(ISBLANK($C265),"",IF($BD265&lt;&gt;Constants!$B$6,$BD265,IF(ISNUMBER($BN265),RANK($BN265,$BN$9:$BN$508,1),COUNT($BN$9:$BN$508)+1)))</f>
        <v/>
      </c>
      <c r="BP265" s="130" t="str">
        <f aca="false">IF($BD265&lt;&gt;Constants!$B$6,"",IF($AU265="-&gt;",$AT265,$BC265))</f>
        <v/>
      </c>
      <c r="BQ265" s="127" t="str">
        <f aca="false">IF(ISBLANK($C265),"",IF($BD265&lt;&gt;Constants!$B$6,$BD265,IF(ISNUMBER($BP265),RANK($BP265,$BP$9:$BP$508,1),COUNT($BP$9:$BP$508)+1)))</f>
        <v/>
      </c>
      <c r="BR265" s="127" t="str">
        <f aca="false">IF(ISBLANK($C265),"",IF($BD265&lt;&gt;Constants!$B$6,$BD265,COUNTIFS($BI$9:$BI$508,"&lt;"&amp;$BI265)+COUNTIFS($BI$9:$BI$508,$BI265,$BK$9:$BK$508,"&lt;"&amp;$BK265)+COUNTIFS($BI$9:$BI$508,$BI265,$BK$9:$BK$508,$BK265,$BM$9:$BM$508,"&lt;"&amp;$BM265)+COUNTIFS($BI$9:$BI$508,$BI265,$BK$9:$BK$508,$BK265,$BM$9:$BM$508,$BM265,$BO$9:$BO$508,"&lt;"&amp;$BO265)+COUNTIFS($BI$9:$BI$508,$BI265,$BK$9:$BK$508,$BK265,$BM$9:$BM$508,$BM265,$BO$9:$BO$508,$BO265,$BQ$9:$BQ$508,"&lt;"&amp;$BQ265)+1))</f>
        <v/>
      </c>
      <c r="BS265" s="127" t="str">
        <f aca="false">IF(ISBLANK($C265),"",IF($BD265&lt;&gt;Constants!$B$6,$BD265,$BI265-$BR265))</f>
        <v/>
      </c>
      <c r="BT265" s="133"/>
      <c r="BU265" s="134"/>
      <c r="BV265" s="134" t="str">
        <f aca="false">IF(ISBLANK($C265),"",IF($BD265&lt;&gt;Constants!$B$6,"",IF($AU265="-&gt;",2,1)))</f>
        <v/>
      </c>
      <c r="BW265" s="135" t="str">
        <f aca="false">IF(ISBLANK($C265),"",IF($BD265&lt;&gt;Constants!$B$6,"",IF($AU265="-&gt;",$AW265,$AN265)))</f>
        <v/>
      </c>
      <c r="BX265" s="135" t="str">
        <f aca="false">IF(ISBLANK($C265),"",IF($BD265&lt;&gt;Constants!$B$6,"",IF($AU265="-&gt;",$AX265,$AO265)))</f>
        <v/>
      </c>
      <c r="BY265" s="135" t="str">
        <f aca="false">IF(ISBLANK($C265),"",IF($BD265&lt;&gt;Constants!$B$6,"",IF($AU265="-&gt;",$AY265,$AP265)))</f>
        <v/>
      </c>
      <c r="BZ265" s="135" t="str">
        <f aca="false">IF(ISBLANK($C265),"",IF($BD265&lt;&gt;Constants!$B$6,"",IF($AU265="-&gt;",$AZ265,$AQ265)+$BG265))</f>
        <v/>
      </c>
      <c r="CA265" s="136" t="str">
        <f aca="false">IF(ISBLANK($C265),"",IF($BD265&lt;&gt;Constants!$B$6,$BD265,$BH265))</f>
        <v/>
      </c>
      <c r="CB265" s="137" t="str">
        <f aca="false">IF(ISBLANK($C265),"",$BE265)</f>
        <v/>
      </c>
      <c r="CC265" s="138" t="str">
        <f aca="false">IF(ISBLANK($C265),"",$BS265)</f>
        <v/>
      </c>
      <c r="CD265" s="138" t="str">
        <f aca="false">IF(ISBLANK($C265),"",$BR265)</f>
        <v/>
      </c>
      <c r="CE265" s="139" t="str">
        <f aca="false">IF(ISBLANK($C265),"",IF($CD265=Constants!$B$9,COUNTA($C$9:$C$508)+2,IF($CD265=Constants!$B$8,COUNTA($C$9:$C$508)+1,IF($CD265=Constants!$B$7,COUNTA($C$9:$C$508),$CD265))))</f>
        <v/>
      </c>
      <c r="CF265" s="9"/>
      <c r="CG265" s="140" t="n">
        <f aca="false">IF(OR(ISNUMBER($CD265),$CD265=Constants!$B$9,$CD265=Constants!$B$7,$CD265=Constants!$B$8),1,0)</f>
        <v>0</v>
      </c>
      <c r="CH265" s="140" t="n">
        <v>257</v>
      </c>
      <c r="CI265" s="140" t="str">
        <f aca="false">IF(ISBLANK($C265),"",IF(ISNUMBER($CE265),$CE265+ROW($B265)/1000,""))</f>
        <v/>
      </c>
      <c r="CJ265" s="140" t="str">
        <f aca="false">IF(ISNUMBER($CI265),RANK($CI265,$CI$9:$CI$508,1),"")</f>
        <v/>
      </c>
      <c r="CK265" s="140" t="str">
        <f aca="false">IF(ISBLANK($C265),"",$B265)</f>
        <v/>
      </c>
      <c r="CL265" s="140" t="str">
        <f aca="false">IF(ISBLANK($C265),"",$C265)</f>
        <v/>
      </c>
      <c r="CM265" s="140" t="str">
        <f aca="false">IF(ISBLANK($C265),"",$D265)</f>
        <v/>
      </c>
      <c r="CN265" s="141" t="str">
        <f aca="false">$CB265</f>
        <v/>
      </c>
      <c r="CO265" s="142" t="str">
        <f aca="false">$CA265</f>
        <v/>
      </c>
      <c r="CP265" s="140" t="str">
        <f aca="false">IF(ISBLANK($C265),"",$CD265)</f>
        <v/>
      </c>
      <c r="CQ265" s="143" t="str">
        <f aca="false">IF($CH265&gt;$CG$8,"",VLOOKUP($CH265,$CJ$9:$CP$508,7,FALSE()))</f>
        <v/>
      </c>
      <c r="CR265" s="144" t="str">
        <f aca="false">IF($CH265&gt;$CG$8,"",VLOOKUP($CH265,$CJ$9:$CP$508,2,FALSE()))</f>
        <v/>
      </c>
      <c r="CS265" s="144" t="str">
        <f aca="false">IF($CH265&gt;$CG$8,"",VLOOKUP($CH265,$CJ$9:$CP$508,3,FALSE()))</f>
        <v/>
      </c>
      <c r="CT265" s="144" t="str">
        <f aca="false">IF($CH265&gt;$CG$8,"",VLOOKUP($CH265,$CJ$9:$CP$508,4,FALSE()))</f>
        <v/>
      </c>
      <c r="CU265" s="144" t="str">
        <f aca="false">IF($CH265&gt;$CG$8,"",VLOOKUP($CH265,$CJ$9:$CP$508,5,FALSE()))</f>
        <v/>
      </c>
      <c r="CV265" s="145" t="str">
        <f aca="false">IF($CH265&gt;$CG$8,"",VLOOKUP($CH265,$CJ$9:$CP$508,6,FALSE()))</f>
        <v/>
      </c>
      <c r="CW265" s="71"/>
    </row>
    <row r="266" customFormat="false" ht="15.75" hidden="false" customHeight="false" outlineLevel="0" collapsed="false">
      <c r="A266" s="9"/>
      <c r="B266" s="150"/>
      <c r="C266" s="151"/>
      <c r="D266" s="152"/>
      <c r="E266" s="170"/>
      <c r="F266" s="154"/>
      <c r="G266" s="155"/>
      <c r="H266" s="171"/>
      <c r="I266" s="159"/>
      <c r="J266" s="120"/>
      <c r="K266" s="121"/>
      <c r="L266" s="122"/>
      <c r="M266" s="158"/>
      <c r="N266" s="159"/>
      <c r="O266" s="159"/>
      <c r="P266" s="120"/>
      <c r="Q266" s="122"/>
      <c r="R266" s="122"/>
      <c r="S266" s="158"/>
      <c r="T266" s="159"/>
      <c r="U266" s="126"/>
      <c r="V266" s="127"/>
      <c r="W266" s="127" t="str">
        <f aca="false">IF(ISBLANK($C266),"",IF(E266=Constants!$B$2,TRUE(),IF(E266=Constants!$B$3,FALSE(),TRUE())))</f>
        <v/>
      </c>
      <c r="X266" s="127" t="str">
        <f aca="false">IF(ISBLANK($C266),"",IF(F266=Constants!$B$2,TRUE(),IF(F266=Constants!$B$3,FALSE(),TRUE())))</f>
        <v/>
      </c>
      <c r="Y266" s="127" t="str">
        <f aca="false">IF(ISBLANK($C266),"",IF(G266=Constants!$B$2,TRUE(),IF(G266=Constants!$B$3,FALSE(),TRUE())))</f>
        <v/>
      </c>
      <c r="Z266" s="127" t="str">
        <f aca="false">IF(ISBLANK($C266),"",IF(H266=Constants!$B$2,TRUE(),IF(H266=Constants!$B$3,FALSE(),TRUE())))</f>
        <v/>
      </c>
      <c r="AA266" s="127" t="str">
        <f aca="false">IF(ISBLANK($C266),"",IF(I266=Constants!$B$2,TRUE(),IF(I266=Constants!$B$3,FALSE(),TRUE())))</f>
        <v/>
      </c>
      <c r="AB266" s="127" t="str">
        <f aca="false">IF(ISBLANK($C266),"",IF(J266=Constants!$B$4,TRUE(),IF(J266=Constants!$B$5,FALSE(),COUNTA(K266:M266)&gt;0)))</f>
        <v/>
      </c>
      <c r="AC266" s="128" t="str">
        <f aca="false">IF(ISBLANK($C266),"",IF(ISNUMBER(K266),IF(K266&gt;=0,K266,""),""))</f>
        <v/>
      </c>
      <c r="AD266" s="129" t="str">
        <f aca="false">IF(ISBLANK($C266),"",IF(ISNUMBER(L266),IF(L266&gt;=0,L266,""),""))</f>
        <v/>
      </c>
      <c r="AE266" s="127" t="str">
        <f aca="false">IF(ISBLANK($C266),"",IF(ISNUMBER(M266),IF(M266&gt;=0,MIN(M266,Constants!$B$22),""),""))</f>
        <v/>
      </c>
      <c r="AF266" s="127" t="str">
        <f aca="false">IF(ISBLANK($C266),"",IF(N266=Constants!$B$2,TRUE(),IF(N266=Constants!$B$3,FALSE(),TRUE())))</f>
        <v/>
      </c>
      <c r="AG266" s="127" t="str">
        <f aca="false">IF(ISBLANK($C266),"",IF(O266=Constants!$B$2,TRUE(),IF(O266=Constants!$B$3,FALSE(),TRUE())))</f>
        <v/>
      </c>
      <c r="AH266" s="127" t="str">
        <f aca="false">IF(ISBLANK($C266),"",IF(P266=Constants!$B$4,TRUE(),IF(P266=Constants!$B$5,FALSE(),COUNTA(Q266:S266)&gt;0)))</f>
        <v/>
      </c>
      <c r="AI266" s="128" t="str">
        <f aca="false">IF(ISBLANK($C266),"",IF(ISNUMBER(Q266),IF(Q266&gt;=0,Q266,""),""))</f>
        <v/>
      </c>
      <c r="AJ266" s="129" t="str">
        <f aca="false">IF(ISBLANK($C266),"",IF(ISNUMBER(R266),IF(R266&gt;=0,R266,""),""))</f>
        <v/>
      </c>
      <c r="AK266" s="127" t="str">
        <f aca="false">IF(ISBLANK($C266),"",IF(ISNUMBER(S266),IF(S266&gt;=0,MIN(S266,Constants!$B$22),""),""))</f>
        <v/>
      </c>
      <c r="AL266" s="127" t="str">
        <f aca="false">IF(ISBLANK($C266),"",IF(T266=Constants!$B$2,TRUE(),IF(T266=Constants!$B$3,FALSE(),FALSE())))</f>
        <v/>
      </c>
      <c r="AM266" s="126" t="str">
        <f aca="false">IF(ISBLANK($C266),"",AND($AB266,OR($AC266="",$AD266="",AND(NOT(ISBLANK($M266)),$AE266=""))))</f>
        <v/>
      </c>
      <c r="AN266" s="129" t="str">
        <f aca="false">IF($BD266&lt;&gt;Constants!$B$6,"",IF($AB266,Constants!$B$17*$AD266,Constants!$B$18))</f>
        <v/>
      </c>
      <c r="AO266" s="130" t="str">
        <f aca="false">IF($BD266&lt;&gt;Constants!$B$6,"",Constants!$B$19*IF($AB266,$AC266,0))</f>
        <v/>
      </c>
      <c r="AP266" s="130" t="str">
        <f aca="false">IF($BD266&lt;&gt;Constants!$B$6,"",IF(AND($AB266,ISNUMBER($AE266)),Constants!$B$20*(Constants!$B$21-$AE266),0))</f>
        <v/>
      </c>
      <c r="AQ266" s="130" t="str">
        <f aca="false">IF($BD266&lt;&gt;Constants!$B$6,"",IF($AA266,0,Constants!$B$12)+IF($Z266,0,Constants!$B$13)+IF($Y266,0,Constants!$B$14))</f>
        <v/>
      </c>
      <c r="AR266" s="131" t="str">
        <f aca="false">IF($BD266&lt;&gt;Constants!$B$6,"",Constants!$B$16+SUM($AN266:$AQ266))</f>
        <v/>
      </c>
      <c r="AS266" s="130" t="str">
        <f aca="false">IF($BD266&lt;&gt;Constants!$B$6,"",IF($AB266,$AD266,""))</f>
        <v/>
      </c>
      <c r="AT266" s="132" t="str">
        <f aca="false">IF($BD266&lt;&gt;Constants!$B$6,"",$AO266)</f>
        <v/>
      </c>
      <c r="AU266" s="127" t="str">
        <f aca="false">IF($BD266&lt;&gt;Constants!$B$6,"",IF(OR($BA266&lt;$AR266,AND($BA266=$AR266,OR(AND(ISNUMBER($BB266),OR(NOT(ISNUMBER($AS266)),$BB266&lt;$AS266)),AND(OR(AND($BB266="",$AS266=""),AND(ISNUMBER($BB266),ISNUMBER($AS266),$BB266=$AS266)),$BC266&lt;$AT266)))),"-&gt;","&lt;-"))</f>
        <v/>
      </c>
      <c r="AV266" s="126" t="str">
        <f aca="false">IF(ISBLANK($C266),"",AND($AH266,OR($AI266="",$AJ266="",AND(NOT(ISBLANK($S266)),$AK266=""))))</f>
        <v/>
      </c>
      <c r="AW266" s="129" t="str">
        <f aca="false">IF($BD266&lt;&gt;Constants!$B$6,"",IF($AH266,Constants!$B$17*$AJ266,Constants!$B$18))</f>
        <v/>
      </c>
      <c r="AX266" s="130" t="str">
        <f aca="false">IF($BD266&lt;&gt;Constants!$B$6,"",Constants!$B$19*IF($AH266,$AI266,0))</f>
        <v/>
      </c>
      <c r="AY266" s="130" t="str">
        <f aca="false">IF($BD266&lt;&gt;Constants!$B$6,"",IF(AND($AH266,ISNUMBER($AK266)),Constants!$B$20*(Constants!$B$21-$AK266),0))</f>
        <v/>
      </c>
      <c r="AZ266" s="130" t="str">
        <f aca="false">IF($BD266&lt;&gt;Constants!$B$6,"",IF($AG266,0,Constants!$B$12)+IF($AF266,0,Constants!$B$13)+IF($Y266,0,Constants!$B$14))</f>
        <v/>
      </c>
      <c r="BA266" s="131" t="str">
        <f aca="false">IF($BD266&lt;&gt;Constants!$B$6,"",Constants!$B$16+SUM($AW266:$AZ266))</f>
        <v/>
      </c>
      <c r="BB266" s="130" t="str">
        <f aca="false">IF($BD266&lt;&gt;Constants!$B$6,"",IF($AH266,$AJ266,""))</f>
        <v/>
      </c>
      <c r="BC266" s="132" t="str">
        <f aca="false">IF($BD266&lt;&gt;Constants!$B$6,"",$AX266)</f>
        <v/>
      </c>
      <c r="BD266" s="127" t="str">
        <f aca="false">IF(ISBLANK($C266),"",IF($AL266,Constants!$B$9,IF(COUNTA($E266:$T266)=0,Constants!$B$8,IF(NOT($X266),Constants!$B$7,IF(OR($AM266,$AV266),Constants!$B$10,Constants!$B$6)))))</f>
        <v/>
      </c>
      <c r="BE266" s="127" t="str">
        <f aca="false">IF(ISBLANK($C266),"",IF($BD266&lt;&gt;Constants!$B$6,$BD266,Constants!$B$11))</f>
        <v/>
      </c>
      <c r="BF266" s="130" t="str">
        <f aca="false">IF($BD266&lt;&gt;Constants!$B$6,"",IF($AU266="-&gt;",$BA266,$AR266))</f>
        <v/>
      </c>
      <c r="BG266" s="130" t="str">
        <f aca="false">IF($BD266&lt;&gt;Constants!$B$6,"",IF($W266,0,Constants!$B$15))</f>
        <v/>
      </c>
      <c r="BH266" s="130" t="str">
        <f aca="false">IF(ISBLANK($C266),"",IF($BD266&lt;&gt;Constants!$B$6,$BD266,SUM($BF266:$BG266)))</f>
        <v/>
      </c>
      <c r="BI266" s="127" t="str">
        <f aca="false">IF(ISBLANK($C266),"",IF($BD266&lt;&gt;Constants!$B$6,$BD266,RANK($BH266,$BH$9:$BH$508,1)))</f>
        <v/>
      </c>
      <c r="BJ266" s="130" t="str">
        <f aca="false">IF($BD266&lt;&gt;Constants!$B$6,"",IF($AU266="-&gt;",$BB266,$AS266))</f>
        <v/>
      </c>
      <c r="BK266" s="127" t="str">
        <f aca="false">IF(ISBLANK($C266),"",IF($BD266&lt;&gt;Constants!$B$6,$BD266,IF(ISNUMBER($BJ266),RANK($BJ266,$BJ$9:$BJ$508,1),COUNT($BJ$9:$BJ$508)+1)))</f>
        <v/>
      </c>
      <c r="BL266" s="130" t="str">
        <f aca="false">IF($BD266&lt;&gt;Constants!$B$6,"",IF($AU266="-&gt;",$BC266,$AT266))</f>
        <v/>
      </c>
      <c r="BM266" s="127" t="str">
        <f aca="false">IF(ISBLANK($C266),"",IF($BD266&lt;&gt;Constants!$B$6,$BD266,IF(ISNUMBER($BL266),RANK($BL266,$BL$9:$BL$508,1),COUNT($BL$9:$BL$508)+1)))</f>
        <v/>
      </c>
      <c r="BN266" s="130" t="str">
        <f aca="false">IF($BD266&lt;&gt;Constants!$B$6,"",IF($AU266="-&gt;",$AS266,$BB266))</f>
        <v/>
      </c>
      <c r="BO266" s="127" t="str">
        <f aca="false">IF(ISBLANK($C266),"",IF($BD266&lt;&gt;Constants!$B$6,$BD266,IF(ISNUMBER($BN266),RANK($BN266,$BN$9:$BN$508,1),COUNT($BN$9:$BN$508)+1)))</f>
        <v/>
      </c>
      <c r="BP266" s="130" t="str">
        <f aca="false">IF($BD266&lt;&gt;Constants!$B$6,"",IF($AU266="-&gt;",$AT266,$BC266))</f>
        <v/>
      </c>
      <c r="BQ266" s="127" t="str">
        <f aca="false">IF(ISBLANK($C266),"",IF($BD266&lt;&gt;Constants!$B$6,$BD266,IF(ISNUMBER($BP266),RANK($BP266,$BP$9:$BP$508,1),COUNT($BP$9:$BP$508)+1)))</f>
        <v/>
      </c>
      <c r="BR266" s="127" t="str">
        <f aca="false">IF(ISBLANK($C266),"",IF($BD266&lt;&gt;Constants!$B$6,$BD266,COUNTIFS($BI$9:$BI$508,"&lt;"&amp;$BI266)+COUNTIFS($BI$9:$BI$508,$BI266,$BK$9:$BK$508,"&lt;"&amp;$BK266)+COUNTIFS($BI$9:$BI$508,$BI266,$BK$9:$BK$508,$BK266,$BM$9:$BM$508,"&lt;"&amp;$BM266)+COUNTIFS($BI$9:$BI$508,$BI266,$BK$9:$BK$508,$BK266,$BM$9:$BM$508,$BM266,$BO$9:$BO$508,"&lt;"&amp;$BO266)+COUNTIFS($BI$9:$BI$508,$BI266,$BK$9:$BK$508,$BK266,$BM$9:$BM$508,$BM266,$BO$9:$BO$508,$BO266,$BQ$9:$BQ$508,"&lt;"&amp;$BQ266)+1))</f>
        <v/>
      </c>
      <c r="BS266" s="127" t="str">
        <f aca="false">IF(ISBLANK($C266),"",IF($BD266&lt;&gt;Constants!$B$6,$BD266,$BI266-$BR266))</f>
        <v/>
      </c>
      <c r="BT266" s="133"/>
      <c r="BU266" s="134"/>
      <c r="BV266" s="134" t="str">
        <f aca="false">IF(ISBLANK($C266),"",IF($BD266&lt;&gt;Constants!$B$6,"",IF($AU266="-&gt;",2,1)))</f>
        <v/>
      </c>
      <c r="BW266" s="135" t="str">
        <f aca="false">IF(ISBLANK($C266),"",IF($BD266&lt;&gt;Constants!$B$6,"",IF($AU266="-&gt;",$AW266,$AN266)))</f>
        <v/>
      </c>
      <c r="BX266" s="135" t="str">
        <f aca="false">IF(ISBLANK($C266),"",IF($BD266&lt;&gt;Constants!$B$6,"",IF($AU266="-&gt;",$AX266,$AO266)))</f>
        <v/>
      </c>
      <c r="BY266" s="135" t="str">
        <f aca="false">IF(ISBLANK($C266),"",IF($BD266&lt;&gt;Constants!$B$6,"",IF($AU266="-&gt;",$AY266,$AP266)))</f>
        <v/>
      </c>
      <c r="BZ266" s="135" t="str">
        <f aca="false">IF(ISBLANK($C266),"",IF($BD266&lt;&gt;Constants!$B$6,"",IF($AU266="-&gt;",$AZ266,$AQ266)+$BG266))</f>
        <v/>
      </c>
      <c r="CA266" s="136" t="str">
        <f aca="false">IF(ISBLANK($C266),"",IF($BD266&lt;&gt;Constants!$B$6,$BD266,$BH266))</f>
        <v/>
      </c>
      <c r="CB266" s="137" t="str">
        <f aca="false">IF(ISBLANK($C266),"",$BE266)</f>
        <v/>
      </c>
      <c r="CC266" s="138" t="str">
        <f aca="false">IF(ISBLANK($C266),"",$BS266)</f>
        <v/>
      </c>
      <c r="CD266" s="138" t="str">
        <f aca="false">IF(ISBLANK($C266),"",$BR266)</f>
        <v/>
      </c>
      <c r="CE266" s="139" t="str">
        <f aca="false">IF(ISBLANK($C266),"",IF($CD266=Constants!$B$9,COUNTA($C$9:$C$508)+2,IF($CD266=Constants!$B$8,COUNTA($C$9:$C$508)+1,IF($CD266=Constants!$B$7,COUNTA($C$9:$C$508),$CD266))))</f>
        <v/>
      </c>
      <c r="CF266" s="9"/>
      <c r="CG266" s="140" t="n">
        <f aca="false">IF(OR(ISNUMBER($CD266),$CD266=Constants!$B$9,$CD266=Constants!$B$7,$CD266=Constants!$B$8),1,0)</f>
        <v>0</v>
      </c>
      <c r="CH266" s="140" t="n">
        <v>258</v>
      </c>
      <c r="CI266" s="140" t="str">
        <f aca="false">IF(ISBLANK($C266),"",IF(ISNUMBER($CE266),$CE266+ROW($B266)/1000,""))</f>
        <v/>
      </c>
      <c r="CJ266" s="140" t="str">
        <f aca="false">IF(ISNUMBER($CI266),RANK($CI266,$CI$9:$CI$508,1),"")</f>
        <v/>
      </c>
      <c r="CK266" s="140" t="str">
        <f aca="false">IF(ISBLANK($C266),"",$B266)</f>
        <v/>
      </c>
      <c r="CL266" s="140" t="str">
        <f aca="false">IF(ISBLANK($C266),"",$C266)</f>
        <v/>
      </c>
      <c r="CM266" s="140" t="str">
        <f aca="false">IF(ISBLANK($C266),"",$D266)</f>
        <v/>
      </c>
      <c r="CN266" s="141" t="str">
        <f aca="false">$CB266</f>
        <v/>
      </c>
      <c r="CO266" s="142" t="str">
        <f aca="false">$CA266</f>
        <v/>
      </c>
      <c r="CP266" s="140" t="str">
        <f aca="false">IF(ISBLANK($C266),"",$CD266)</f>
        <v/>
      </c>
      <c r="CQ266" s="143" t="str">
        <f aca="false">IF($CH266&gt;$CG$8,"",VLOOKUP($CH266,$CJ$9:$CP$508,7,FALSE()))</f>
        <v/>
      </c>
      <c r="CR266" s="144" t="str">
        <f aca="false">IF($CH266&gt;$CG$8,"",VLOOKUP($CH266,$CJ$9:$CP$508,2,FALSE()))</f>
        <v/>
      </c>
      <c r="CS266" s="144" t="str">
        <f aca="false">IF($CH266&gt;$CG$8,"",VLOOKUP($CH266,$CJ$9:$CP$508,3,FALSE()))</f>
        <v/>
      </c>
      <c r="CT266" s="144" t="str">
        <f aca="false">IF($CH266&gt;$CG$8,"",VLOOKUP($CH266,$CJ$9:$CP$508,4,FALSE()))</f>
        <v/>
      </c>
      <c r="CU266" s="144" t="str">
        <f aca="false">IF($CH266&gt;$CG$8,"",VLOOKUP($CH266,$CJ$9:$CP$508,5,FALSE()))</f>
        <v/>
      </c>
      <c r="CV266" s="145" t="str">
        <f aca="false">IF($CH266&gt;$CG$8,"",VLOOKUP($CH266,$CJ$9:$CP$508,6,FALSE()))</f>
        <v/>
      </c>
      <c r="CW266" s="71"/>
    </row>
    <row r="267" customFormat="false" ht="15.75" hidden="false" customHeight="false" outlineLevel="0" collapsed="false">
      <c r="A267" s="9"/>
      <c r="B267" s="72"/>
      <c r="C267" s="73"/>
      <c r="D267" s="160"/>
      <c r="E267" s="168"/>
      <c r="F267" s="162"/>
      <c r="G267" s="163"/>
      <c r="H267" s="169"/>
      <c r="I267" s="167"/>
      <c r="J267" s="80"/>
      <c r="K267" s="81"/>
      <c r="L267" s="82"/>
      <c r="M267" s="166"/>
      <c r="N267" s="167"/>
      <c r="O267" s="167"/>
      <c r="P267" s="80"/>
      <c r="Q267" s="82"/>
      <c r="R267" s="82"/>
      <c r="S267" s="166"/>
      <c r="T267" s="167"/>
      <c r="U267" s="86"/>
      <c r="V267" s="87"/>
      <c r="W267" s="87" t="str">
        <f aca="false">IF(ISBLANK($C267),"",IF(E267=Constants!$B$2,TRUE(),IF(E267=Constants!$B$3,FALSE(),TRUE())))</f>
        <v/>
      </c>
      <c r="X267" s="87" t="str">
        <f aca="false">IF(ISBLANK($C267),"",IF(F267=Constants!$B$2,TRUE(),IF(F267=Constants!$B$3,FALSE(),TRUE())))</f>
        <v/>
      </c>
      <c r="Y267" s="87" t="str">
        <f aca="false">IF(ISBLANK($C267),"",IF(G267=Constants!$B$2,TRUE(),IF(G267=Constants!$B$3,FALSE(),TRUE())))</f>
        <v/>
      </c>
      <c r="Z267" s="87" t="str">
        <f aca="false">IF(ISBLANK($C267),"",IF(H267=Constants!$B$2,TRUE(),IF(H267=Constants!$B$3,FALSE(),TRUE())))</f>
        <v/>
      </c>
      <c r="AA267" s="87" t="str">
        <f aca="false">IF(ISBLANK($C267),"",IF(I267=Constants!$B$2,TRUE(),IF(I267=Constants!$B$3,FALSE(),TRUE())))</f>
        <v/>
      </c>
      <c r="AB267" s="87" t="str">
        <f aca="false">IF(ISBLANK($C267),"",IF(J267=Constants!$B$4,TRUE(),IF(J267=Constants!$B$5,FALSE(),COUNTA(K267:M267)&gt;0)))</f>
        <v/>
      </c>
      <c r="AC267" s="88" t="str">
        <f aca="false">IF(ISBLANK($C267),"",IF(ISNUMBER(K267),IF(K267&gt;=0,K267,""),""))</f>
        <v/>
      </c>
      <c r="AD267" s="89" t="str">
        <f aca="false">IF(ISBLANK($C267),"",IF(ISNUMBER(L267),IF(L267&gt;=0,L267,""),""))</f>
        <v/>
      </c>
      <c r="AE267" s="87" t="str">
        <f aca="false">IF(ISBLANK($C267),"",IF(ISNUMBER(M267),IF(M267&gt;=0,MIN(M267,Constants!$B$22),""),""))</f>
        <v/>
      </c>
      <c r="AF267" s="87" t="str">
        <f aca="false">IF(ISBLANK($C267),"",IF(N267=Constants!$B$2,TRUE(),IF(N267=Constants!$B$3,FALSE(),TRUE())))</f>
        <v/>
      </c>
      <c r="AG267" s="87" t="str">
        <f aca="false">IF(ISBLANK($C267),"",IF(O267=Constants!$B$2,TRUE(),IF(O267=Constants!$B$3,FALSE(),TRUE())))</f>
        <v/>
      </c>
      <c r="AH267" s="87" t="str">
        <f aca="false">IF(ISBLANK($C267),"",IF(P267=Constants!$B$4,TRUE(),IF(P267=Constants!$B$5,FALSE(),COUNTA(Q267:S267)&gt;0)))</f>
        <v/>
      </c>
      <c r="AI267" s="88" t="str">
        <f aca="false">IF(ISBLANK($C267),"",IF(ISNUMBER(Q267),IF(Q267&gt;=0,Q267,""),""))</f>
        <v/>
      </c>
      <c r="AJ267" s="89" t="str">
        <f aca="false">IF(ISBLANK($C267),"",IF(ISNUMBER(R267),IF(R267&gt;=0,R267,""),""))</f>
        <v/>
      </c>
      <c r="AK267" s="87" t="str">
        <f aca="false">IF(ISBLANK($C267),"",IF(ISNUMBER(S267),IF(S267&gt;=0,MIN(S267,Constants!$B$22),""),""))</f>
        <v/>
      </c>
      <c r="AL267" s="87" t="str">
        <f aca="false">IF(ISBLANK($C267),"",IF(T267=Constants!$B$2,TRUE(),IF(T267=Constants!$B$3,FALSE(),FALSE())))</f>
        <v/>
      </c>
      <c r="AM267" s="86" t="str">
        <f aca="false">IF(ISBLANK($C267),"",AND($AB267,OR($AC267="",$AD267="",AND(NOT(ISBLANK($M267)),$AE267=""))))</f>
        <v/>
      </c>
      <c r="AN267" s="89" t="str">
        <f aca="false">IF($BD267&lt;&gt;Constants!$B$6,"",IF($AB267,Constants!$B$17*$AD267,Constants!$B$18))</f>
        <v/>
      </c>
      <c r="AO267" s="91" t="str">
        <f aca="false">IF($BD267&lt;&gt;Constants!$B$6,"",Constants!$B$19*IF($AB267,$AC267,0))</f>
        <v/>
      </c>
      <c r="AP267" s="91" t="str">
        <f aca="false">IF($BD267&lt;&gt;Constants!$B$6,"",IF(AND($AB267,ISNUMBER($AE267)),Constants!$B$20*(Constants!$B$21-$AE267),0))</f>
        <v/>
      </c>
      <c r="AQ267" s="91" t="str">
        <f aca="false">IF($BD267&lt;&gt;Constants!$B$6,"",IF($AA267,0,Constants!$B$12)+IF($Z267,0,Constants!$B$13)+IF($Y267,0,Constants!$B$14))</f>
        <v/>
      </c>
      <c r="AR267" s="92" t="str">
        <f aca="false">IF($BD267&lt;&gt;Constants!$B$6,"",Constants!$B$16+SUM($AN267:$AQ267))</f>
        <v/>
      </c>
      <c r="AS267" s="91" t="str">
        <f aca="false">IF($BD267&lt;&gt;Constants!$B$6,"",IF($AB267,$AD267,""))</f>
        <v/>
      </c>
      <c r="AT267" s="93" t="str">
        <f aca="false">IF($BD267&lt;&gt;Constants!$B$6,"",$AO267)</f>
        <v/>
      </c>
      <c r="AU267" s="87" t="str">
        <f aca="false">IF($BD267&lt;&gt;Constants!$B$6,"",IF(OR($BA267&lt;$AR267,AND($BA267=$AR267,OR(AND(ISNUMBER($BB267),OR(NOT(ISNUMBER($AS267)),$BB267&lt;$AS267)),AND(OR(AND($BB267="",$AS267=""),AND(ISNUMBER($BB267),ISNUMBER($AS267),$BB267=$AS267)),$BC267&lt;$AT267)))),"-&gt;","&lt;-"))</f>
        <v/>
      </c>
      <c r="AV267" s="86" t="str">
        <f aca="false">IF(ISBLANK($C267),"",AND($AH267,OR($AI267="",$AJ267="",AND(NOT(ISBLANK($S267)),$AK267=""))))</f>
        <v/>
      </c>
      <c r="AW267" s="89" t="str">
        <f aca="false">IF($BD267&lt;&gt;Constants!$B$6,"",IF($AH267,Constants!$B$17*$AJ267,Constants!$B$18))</f>
        <v/>
      </c>
      <c r="AX267" s="91" t="str">
        <f aca="false">IF($BD267&lt;&gt;Constants!$B$6,"",Constants!$B$19*IF($AH267,$AI267,0))</f>
        <v/>
      </c>
      <c r="AY267" s="91" t="str">
        <f aca="false">IF($BD267&lt;&gt;Constants!$B$6,"",IF(AND($AH267,ISNUMBER($AK267)),Constants!$B$20*(Constants!$B$21-$AK267),0))</f>
        <v/>
      </c>
      <c r="AZ267" s="91" t="str">
        <f aca="false">IF($BD267&lt;&gt;Constants!$B$6,"",IF($AG267,0,Constants!$B$12)+IF($AF267,0,Constants!$B$13)+IF($Y267,0,Constants!$B$14))</f>
        <v/>
      </c>
      <c r="BA267" s="92" t="str">
        <f aca="false">IF($BD267&lt;&gt;Constants!$B$6,"",Constants!$B$16+SUM($AW267:$AZ267))</f>
        <v/>
      </c>
      <c r="BB267" s="91" t="str">
        <f aca="false">IF($BD267&lt;&gt;Constants!$B$6,"",IF($AH267,$AJ267,""))</f>
        <v/>
      </c>
      <c r="BC267" s="93" t="str">
        <f aca="false">IF($BD267&lt;&gt;Constants!$B$6,"",$AX267)</f>
        <v/>
      </c>
      <c r="BD267" s="87" t="str">
        <f aca="false">IF(ISBLANK($C267),"",IF($AL267,Constants!$B$9,IF(COUNTA($E267:$T267)=0,Constants!$B$8,IF(NOT($X267),Constants!$B$7,IF(OR($AM267,$AV267),Constants!$B$10,Constants!$B$6)))))</f>
        <v/>
      </c>
      <c r="BE267" s="87" t="str">
        <f aca="false">IF(ISBLANK($C267),"",IF($BD267&lt;&gt;Constants!$B$6,$BD267,Constants!$B$11))</f>
        <v/>
      </c>
      <c r="BF267" s="91" t="str">
        <f aca="false">IF($BD267&lt;&gt;Constants!$B$6,"",IF($AU267="-&gt;",$BA267,$AR267))</f>
        <v/>
      </c>
      <c r="BG267" s="91" t="str">
        <f aca="false">IF($BD267&lt;&gt;Constants!$B$6,"",IF($W267,0,Constants!$B$15))</f>
        <v/>
      </c>
      <c r="BH267" s="91" t="str">
        <f aca="false">IF(ISBLANK($C267),"",IF($BD267&lt;&gt;Constants!$B$6,$BD267,SUM($BF267:$BG267)))</f>
        <v/>
      </c>
      <c r="BI267" s="87" t="str">
        <f aca="false">IF(ISBLANK($C267),"",IF($BD267&lt;&gt;Constants!$B$6,$BD267,RANK($BH267,$BH$9:$BH$508,1)))</f>
        <v/>
      </c>
      <c r="BJ267" s="91" t="str">
        <f aca="false">IF($BD267&lt;&gt;Constants!$B$6,"",IF($AU267="-&gt;",$BB267,$AS267))</f>
        <v/>
      </c>
      <c r="BK267" s="87" t="str">
        <f aca="false">IF(ISBLANK($C267),"",IF($BD267&lt;&gt;Constants!$B$6,$BD267,IF(ISNUMBER($BJ267),RANK($BJ267,$BJ$9:$BJ$508,1),COUNT($BJ$9:$BJ$508)+1)))</f>
        <v/>
      </c>
      <c r="BL267" s="91" t="str">
        <f aca="false">IF($BD267&lt;&gt;Constants!$B$6,"",IF($AU267="-&gt;",$BC267,$AT267))</f>
        <v/>
      </c>
      <c r="BM267" s="87" t="str">
        <f aca="false">IF(ISBLANK($C267),"",IF($BD267&lt;&gt;Constants!$B$6,$BD267,IF(ISNUMBER($BL267),RANK($BL267,$BL$9:$BL$508,1),COUNT($BL$9:$BL$508)+1)))</f>
        <v/>
      </c>
      <c r="BN267" s="91" t="str">
        <f aca="false">IF($BD267&lt;&gt;Constants!$B$6,"",IF($AU267="-&gt;",$AS267,$BB267))</f>
        <v/>
      </c>
      <c r="BO267" s="87" t="str">
        <f aca="false">IF(ISBLANK($C267),"",IF($BD267&lt;&gt;Constants!$B$6,$BD267,IF(ISNUMBER($BN267),RANK($BN267,$BN$9:$BN$508,1),COUNT($BN$9:$BN$508)+1)))</f>
        <v/>
      </c>
      <c r="BP267" s="91" t="str">
        <f aca="false">IF($BD267&lt;&gt;Constants!$B$6,"",IF($AU267="-&gt;",$AT267,$BC267))</f>
        <v/>
      </c>
      <c r="BQ267" s="87" t="str">
        <f aca="false">IF(ISBLANK($C267),"",IF($BD267&lt;&gt;Constants!$B$6,$BD267,IF(ISNUMBER($BP267),RANK($BP267,$BP$9:$BP$508,1),COUNT($BP$9:$BP$508)+1)))</f>
        <v/>
      </c>
      <c r="BR267" s="87" t="str">
        <f aca="false">IF(ISBLANK($C267),"",IF($BD267&lt;&gt;Constants!$B$6,$BD267,COUNTIFS($BI$9:$BI$508,"&lt;"&amp;$BI267)+COUNTIFS($BI$9:$BI$508,$BI267,$BK$9:$BK$508,"&lt;"&amp;$BK267)+COUNTIFS($BI$9:$BI$508,$BI267,$BK$9:$BK$508,$BK267,$BM$9:$BM$508,"&lt;"&amp;$BM267)+COUNTIFS($BI$9:$BI$508,$BI267,$BK$9:$BK$508,$BK267,$BM$9:$BM$508,$BM267,$BO$9:$BO$508,"&lt;"&amp;$BO267)+COUNTIFS($BI$9:$BI$508,$BI267,$BK$9:$BK$508,$BK267,$BM$9:$BM$508,$BM267,$BO$9:$BO$508,$BO267,$BQ$9:$BQ$508,"&lt;"&amp;$BQ267)+1))</f>
        <v/>
      </c>
      <c r="BS267" s="87" t="str">
        <f aca="false">IF(ISBLANK($C267),"",IF($BD267&lt;&gt;Constants!$B$6,$BD267,$BI267-$BR267))</f>
        <v/>
      </c>
      <c r="BT267" s="94"/>
      <c r="BU267" s="95"/>
      <c r="BV267" s="95" t="str">
        <f aca="false">IF(ISBLANK($C267),"",IF($BD267&lt;&gt;Constants!$B$6,"",IF($AU267="-&gt;",2,1)))</f>
        <v/>
      </c>
      <c r="BW267" s="96" t="str">
        <f aca="false">IF(ISBLANK($C267),"",IF($BD267&lt;&gt;Constants!$B$6,"",IF($AU267="-&gt;",$AW267,$AN267)))</f>
        <v/>
      </c>
      <c r="BX267" s="96" t="str">
        <f aca="false">IF(ISBLANK($C267),"",IF($BD267&lt;&gt;Constants!$B$6,"",IF($AU267="-&gt;",$AX267,$AO267)))</f>
        <v/>
      </c>
      <c r="BY267" s="96" t="str">
        <f aca="false">IF(ISBLANK($C267),"",IF($BD267&lt;&gt;Constants!$B$6,"",IF($AU267="-&gt;",$AY267,$AP267)))</f>
        <v/>
      </c>
      <c r="BZ267" s="96" t="str">
        <f aca="false">IF(ISBLANK($C267),"",IF($BD267&lt;&gt;Constants!$B$6,"",IF($AU267="-&gt;",$AZ267,$AQ267)+$BG267))</f>
        <v/>
      </c>
      <c r="CA267" s="97" t="str">
        <f aca="false">IF(ISBLANK($C267),"",IF($BD267&lt;&gt;Constants!$B$6,$BD267,$BH267))</f>
        <v/>
      </c>
      <c r="CB267" s="98" t="str">
        <f aca="false">IF(ISBLANK($C267),"",$BE267)</f>
        <v/>
      </c>
      <c r="CC267" s="99" t="str">
        <f aca="false">IF(ISBLANK($C267),"",$BS267)</f>
        <v/>
      </c>
      <c r="CD267" s="99" t="str">
        <f aca="false">IF(ISBLANK($C267),"",$BR267)</f>
        <v/>
      </c>
      <c r="CE267" s="100" t="str">
        <f aca="false">IF(ISBLANK($C267),"",IF($CD267=Constants!$B$9,COUNTA($C$9:$C$508)+2,IF($CD267=Constants!$B$8,COUNTA($C$9:$C$508)+1,IF($CD267=Constants!$B$7,COUNTA($C$9:$C$508),$CD267))))</f>
        <v/>
      </c>
      <c r="CF267" s="9"/>
      <c r="CG267" s="101" t="n">
        <f aca="false">IF(OR(ISNUMBER($CD267),$CD267=Constants!$B$9,$CD267=Constants!$B$7,$CD267=Constants!$B$8),1,0)</f>
        <v>0</v>
      </c>
      <c r="CH267" s="101" t="n">
        <v>259</v>
      </c>
      <c r="CI267" s="101" t="str">
        <f aca="false">IF(ISBLANK($C267),"",IF(ISNUMBER($CE267),$CE267+ROW($B267)/1000,""))</f>
        <v/>
      </c>
      <c r="CJ267" s="101" t="str">
        <f aca="false">IF(ISNUMBER($CI267),RANK($CI267,$CI$9:$CI$508,1),"")</f>
        <v/>
      </c>
      <c r="CK267" s="101" t="str">
        <f aca="false">IF(ISBLANK($C267),"",$B267)</f>
        <v/>
      </c>
      <c r="CL267" s="101" t="str">
        <f aca="false">IF(ISBLANK($C267),"",$C267)</f>
        <v/>
      </c>
      <c r="CM267" s="101" t="str">
        <f aca="false">IF(ISBLANK($C267),"",$D267)</f>
        <v/>
      </c>
      <c r="CN267" s="102" t="str">
        <f aca="false">$CB267</f>
        <v/>
      </c>
      <c r="CO267" s="103" t="str">
        <f aca="false">$CA267</f>
        <v/>
      </c>
      <c r="CP267" s="101" t="str">
        <f aca="false">IF(ISBLANK($C267),"",$CD267)</f>
        <v/>
      </c>
      <c r="CQ267" s="104" t="str">
        <f aca="false">IF($CH267&gt;$CG$8,"",VLOOKUP($CH267,$CJ$9:$CP$508,7,FALSE()))</f>
        <v/>
      </c>
      <c r="CR267" s="105" t="str">
        <f aca="false">IF($CH267&gt;$CG$8,"",VLOOKUP($CH267,$CJ$9:$CP$508,2,FALSE()))</f>
        <v/>
      </c>
      <c r="CS267" s="105" t="str">
        <f aca="false">IF($CH267&gt;$CG$8,"",VLOOKUP($CH267,$CJ$9:$CP$508,3,FALSE()))</f>
        <v/>
      </c>
      <c r="CT267" s="105" t="str">
        <f aca="false">IF($CH267&gt;$CG$8,"",VLOOKUP($CH267,$CJ$9:$CP$508,4,FALSE()))</f>
        <v/>
      </c>
      <c r="CU267" s="105" t="str">
        <f aca="false">IF($CH267&gt;$CG$8,"",VLOOKUP($CH267,$CJ$9:$CP$508,5,FALSE()))</f>
        <v/>
      </c>
      <c r="CV267" s="106" t="str">
        <f aca="false">IF($CH267&gt;$CG$8,"",VLOOKUP($CH267,$CJ$9:$CP$508,6,FALSE()))</f>
        <v/>
      </c>
      <c r="CW267" s="71"/>
    </row>
    <row r="268" customFormat="false" ht="15.75" hidden="false" customHeight="false" outlineLevel="0" collapsed="false">
      <c r="A268" s="9"/>
      <c r="B268" s="72"/>
      <c r="C268" s="73"/>
      <c r="D268" s="160"/>
      <c r="E268" s="168"/>
      <c r="F268" s="162"/>
      <c r="G268" s="163"/>
      <c r="H268" s="169"/>
      <c r="I268" s="167"/>
      <c r="J268" s="80"/>
      <c r="K268" s="81"/>
      <c r="L268" s="82"/>
      <c r="M268" s="166"/>
      <c r="N268" s="167"/>
      <c r="O268" s="167"/>
      <c r="P268" s="80"/>
      <c r="Q268" s="82"/>
      <c r="R268" s="82"/>
      <c r="S268" s="166"/>
      <c r="T268" s="167"/>
      <c r="U268" s="86"/>
      <c r="V268" s="87"/>
      <c r="W268" s="87" t="str">
        <f aca="false">IF(ISBLANK($C268),"",IF(E268=Constants!$B$2,TRUE(),IF(E268=Constants!$B$3,FALSE(),TRUE())))</f>
        <v/>
      </c>
      <c r="X268" s="87" t="str">
        <f aca="false">IF(ISBLANK($C268),"",IF(F268=Constants!$B$2,TRUE(),IF(F268=Constants!$B$3,FALSE(),TRUE())))</f>
        <v/>
      </c>
      <c r="Y268" s="87" t="str">
        <f aca="false">IF(ISBLANK($C268),"",IF(G268=Constants!$B$2,TRUE(),IF(G268=Constants!$B$3,FALSE(),TRUE())))</f>
        <v/>
      </c>
      <c r="Z268" s="87" t="str">
        <f aca="false">IF(ISBLANK($C268),"",IF(H268=Constants!$B$2,TRUE(),IF(H268=Constants!$B$3,FALSE(),TRUE())))</f>
        <v/>
      </c>
      <c r="AA268" s="87" t="str">
        <f aca="false">IF(ISBLANK($C268),"",IF(I268=Constants!$B$2,TRUE(),IF(I268=Constants!$B$3,FALSE(),TRUE())))</f>
        <v/>
      </c>
      <c r="AB268" s="87" t="str">
        <f aca="false">IF(ISBLANK($C268),"",IF(J268=Constants!$B$4,TRUE(),IF(J268=Constants!$B$5,FALSE(),COUNTA(K268:M268)&gt;0)))</f>
        <v/>
      </c>
      <c r="AC268" s="88" t="str">
        <f aca="false">IF(ISBLANK($C268),"",IF(ISNUMBER(K268),IF(K268&gt;=0,K268,""),""))</f>
        <v/>
      </c>
      <c r="AD268" s="89" t="str">
        <f aca="false">IF(ISBLANK($C268),"",IF(ISNUMBER(L268),IF(L268&gt;=0,L268,""),""))</f>
        <v/>
      </c>
      <c r="AE268" s="87" t="str">
        <f aca="false">IF(ISBLANK($C268),"",IF(ISNUMBER(M268),IF(M268&gt;=0,MIN(M268,Constants!$B$22),""),""))</f>
        <v/>
      </c>
      <c r="AF268" s="87" t="str">
        <f aca="false">IF(ISBLANK($C268),"",IF(N268=Constants!$B$2,TRUE(),IF(N268=Constants!$B$3,FALSE(),TRUE())))</f>
        <v/>
      </c>
      <c r="AG268" s="87" t="str">
        <f aca="false">IF(ISBLANK($C268),"",IF(O268=Constants!$B$2,TRUE(),IF(O268=Constants!$B$3,FALSE(),TRUE())))</f>
        <v/>
      </c>
      <c r="AH268" s="87" t="str">
        <f aca="false">IF(ISBLANK($C268),"",IF(P268=Constants!$B$4,TRUE(),IF(P268=Constants!$B$5,FALSE(),COUNTA(Q268:S268)&gt;0)))</f>
        <v/>
      </c>
      <c r="AI268" s="88" t="str">
        <f aca="false">IF(ISBLANK($C268),"",IF(ISNUMBER(Q268),IF(Q268&gt;=0,Q268,""),""))</f>
        <v/>
      </c>
      <c r="AJ268" s="89" t="str">
        <f aca="false">IF(ISBLANK($C268),"",IF(ISNUMBER(R268),IF(R268&gt;=0,R268,""),""))</f>
        <v/>
      </c>
      <c r="AK268" s="87" t="str">
        <f aca="false">IF(ISBLANK($C268),"",IF(ISNUMBER(S268),IF(S268&gt;=0,MIN(S268,Constants!$B$22),""),""))</f>
        <v/>
      </c>
      <c r="AL268" s="87" t="str">
        <f aca="false">IF(ISBLANK($C268),"",IF(T268=Constants!$B$2,TRUE(),IF(T268=Constants!$B$3,FALSE(),FALSE())))</f>
        <v/>
      </c>
      <c r="AM268" s="86" t="str">
        <f aca="false">IF(ISBLANK($C268),"",AND($AB268,OR($AC268="",$AD268="",AND(NOT(ISBLANK($M268)),$AE268=""))))</f>
        <v/>
      </c>
      <c r="AN268" s="89" t="str">
        <f aca="false">IF($BD268&lt;&gt;Constants!$B$6,"",IF($AB268,Constants!$B$17*$AD268,Constants!$B$18))</f>
        <v/>
      </c>
      <c r="AO268" s="91" t="str">
        <f aca="false">IF($BD268&lt;&gt;Constants!$B$6,"",Constants!$B$19*IF($AB268,$AC268,0))</f>
        <v/>
      </c>
      <c r="AP268" s="91" t="str">
        <f aca="false">IF($BD268&lt;&gt;Constants!$B$6,"",IF(AND($AB268,ISNUMBER($AE268)),Constants!$B$20*(Constants!$B$21-$AE268),0))</f>
        <v/>
      </c>
      <c r="AQ268" s="91" t="str">
        <f aca="false">IF($BD268&lt;&gt;Constants!$B$6,"",IF($AA268,0,Constants!$B$12)+IF($Z268,0,Constants!$B$13)+IF($Y268,0,Constants!$B$14))</f>
        <v/>
      </c>
      <c r="AR268" s="92" t="str">
        <f aca="false">IF($BD268&lt;&gt;Constants!$B$6,"",Constants!$B$16+SUM($AN268:$AQ268))</f>
        <v/>
      </c>
      <c r="AS268" s="91" t="str">
        <f aca="false">IF($BD268&lt;&gt;Constants!$B$6,"",IF($AB268,$AD268,""))</f>
        <v/>
      </c>
      <c r="AT268" s="93" t="str">
        <f aca="false">IF($BD268&lt;&gt;Constants!$B$6,"",$AO268)</f>
        <v/>
      </c>
      <c r="AU268" s="87" t="str">
        <f aca="false">IF($BD268&lt;&gt;Constants!$B$6,"",IF(OR($BA268&lt;$AR268,AND($BA268=$AR268,OR(AND(ISNUMBER($BB268),OR(NOT(ISNUMBER($AS268)),$BB268&lt;$AS268)),AND(OR(AND($BB268="",$AS268=""),AND(ISNUMBER($BB268),ISNUMBER($AS268),$BB268=$AS268)),$BC268&lt;$AT268)))),"-&gt;","&lt;-"))</f>
        <v/>
      </c>
      <c r="AV268" s="86" t="str">
        <f aca="false">IF(ISBLANK($C268),"",AND($AH268,OR($AI268="",$AJ268="",AND(NOT(ISBLANK($S268)),$AK268=""))))</f>
        <v/>
      </c>
      <c r="AW268" s="89" t="str">
        <f aca="false">IF($BD268&lt;&gt;Constants!$B$6,"",IF($AH268,Constants!$B$17*$AJ268,Constants!$B$18))</f>
        <v/>
      </c>
      <c r="AX268" s="91" t="str">
        <f aca="false">IF($BD268&lt;&gt;Constants!$B$6,"",Constants!$B$19*IF($AH268,$AI268,0))</f>
        <v/>
      </c>
      <c r="AY268" s="91" t="str">
        <f aca="false">IF($BD268&lt;&gt;Constants!$B$6,"",IF(AND($AH268,ISNUMBER($AK268)),Constants!$B$20*(Constants!$B$21-$AK268),0))</f>
        <v/>
      </c>
      <c r="AZ268" s="91" t="str">
        <f aca="false">IF($BD268&lt;&gt;Constants!$B$6,"",IF($AG268,0,Constants!$B$12)+IF($AF268,0,Constants!$B$13)+IF($Y268,0,Constants!$B$14))</f>
        <v/>
      </c>
      <c r="BA268" s="92" t="str">
        <f aca="false">IF($BD268&lt;&gt;Constants!$B$6,"",Constants!$B$16+SUM($AW268:$AZ268))</f>
        <v/>
      </c>
      <c r="BB268" s="91" t="str">
        <f aca="false">IF($BD268&lt;&gt;Constants!$B$6,"",IF($AH268,$AJ268,""))</f>
        <v/>
      </c>
      <c r="BC268" s="93" t="str">
        <f aca="false">IF($BD268&lt;&gt;Constants!$B$6,"",$AX268)</f>
        <v/>
      </c>
      <c r="BD268" s="87" t="str">
        <f aca="false">IF(ISBLANK($C268),"",IF($AL268,Constants!$B$9,IF(COUNTA($E268:$T268)=0,Constants!$B$8,IF(NOT($X268),Constants!$B$7,IF(OR($AM268,$AV268),Constants!$B$10,Constants!$B$6)))))</f>
        <v/>
      </c>
      <c r="BE268" s="87" t="str">
        <f aca="false">IF(ISBLANK($C268),"",IF($BD268&lt;&gt;Constants!$B$6,$BD268,Constants!$B$11))</f>
        <v/>
      </c>
      <c r="BF268" s="91" t="str">
        <f aca="false">IF($BD268&lt;&gt;Constants!$B$6,"",IF($AU268="-&gt;",$BA268,$AR268))</f>
        <v/>
      </c>
      <c r="BG268" s="91" t="str">
        <f aca="false">IF($BD268&lt;&gt;Constants!$B$6,"",IF($W268,0,Constants!$B$15))</f>
        <v/>
      </c>
      <c r="BH268" s="91" t="str">
        <f aca="false">IF(ISBLANK($C268),"",IF($BD268&lt;&gt;Constants!$B$6,$BD268,SUM($BF268:$BG268)))</f>
        <v/>
      </c>
      <c r="BI268" s="87" t="str">
        <f aca="false">IF(ISBLANK($C268),"",IF($BD268&lt;&gt;Constants!$B$6,$BD268,RANK($BH268,$BH$9:$BH$508,1)))</f>
        <v/>
      </c>
      <c r="BJ268" s="91" t="str">
        <f aca="false">IF($BD268&lt;&gt;Constants!$B$6,"",IF($AU268="-&gt;",$BB268,$AS268))</f>
        <v/>
      </c>
      <c r="BK268" s="87" t="str">
        <f aca="false">IF(ISBLANK($C268),"",IF($BD268&lt;&gt;Constants!$B$6,$BD268,IF(ISNUMBER($BJ268),RANK($BJ268,$BJ$9:$BJ$508,1),COUNT($BJ$9:$BJ$508)+1)))</f>
        <v/>
      </c>
      <c r="BL268" s="91" t="str">
        <f aca="false">IF($BD268&lt;&gt;Constants!$B$6,"",IF($AU268="-&gt;",$BC268,$AT268))</f>
        <v/>
      </c>
      <c r="BM268" s="87" t="str">
        <f aca="false">IF(ISBLANK($C268),"",IF($BD268&lt;&gt;Constants!$B$6,$BD268,IF(ISNUMBER($BL268),RANK($BL268,$BL$9:$BL$508,1),COUNT($BL$9:$BL$508)+1)))</f>
        <v/>
      </c>
      <c r="BN268" s="91" t="str">
        <f aca="false">IF($BD268&lt;&gt;Constants!$B$6,"",IF($AU268="-&gt;",$AS268,$BB268))</f>
        <v/>
      </c>
      <c r="BO268" s="87" t="str">
        <f aca="false">IF(ISBLANK($C268),"",IF($BD268&lt;&gt;Constants!$B$6,$BD268,IF(ISNUMBER($BN268),RANK($BN268,$BN$9:$BN$508,1),COUNT($BN$9:$BN$508)+1)))</f>
        <v/>
      </c>
      <c r="BP268" s="91" t="str">
        <f aca="false">IF($BD268&lt;&gt;Constants!$B$6,"",IF($AU268="-&gt;",$AT268,$BC268))</f>
        <v/>
      </c>
      <c r="BQ268" s="87" t="str">
        <f aca="false">IF(ISBLANK($C268),"",IF($BD268&lt;&gt;Constants!$B$6,$BD268,IF(ISNUMBER($BP268),RANK($BP268,$BP$9:$BP$508,1),COUNT($BP$9:$BP$508)+1)))</f>
        <v/>
      </c>
      <c r="BR268" s="87" t="str">
        <f aca="false">IF(ISBLANK($C268),"",IF($BD268&lt;&gt;Constants!$B$6,$BD268,COUNTIFS($BI$9:$BI$508,"&lt;"&amp;$BI268)+COUNTIFS($BI$9:$BI$508,$BI268,$BK$9:$BK$508,"&lt;"&amp;$BK268)+COUNTIFS($BI$9:$BI$508,$BI268,$BK$9:$BK$508,$BK268,$BM$9:$BM$508,"&lt;"&amp;$BM268)+COUNTIFS($BI$9:$BI$508,$BI268,$BK$9:$BK$508,$BK268,$BM$9:$BM$508,$BM268,$BO$9:$BO$508,"&lt;"&amp;$BO268)+COUNTIFS($BI$9:$BI$508,$BI268,$BK$9:$BK$508,$BK268,$BM$9:$BM$508,$BM268,$BO$9:$BO$508,$BO268,$BQ$9:$BQ$508,"&lt;"&amp;$BQ268)+1))</f>
        <v/>
      </c>
      <c r="BS268" s="87" t="str">
        <f aca="false">IF(ISBLANK($C268),"",IF($BD268&lt;&gt;Constants!$B$6,$BD268,$BI268-$BR268))</f>
        <v/>
      </c>
      <c r="BT268" s="94"/>
      <c r="BU268" s="95"/>
      <c r="BV268" s="95" t="str">
        <f aca="false">IF(ISBLANK($C268),"",IF($BD268&lt;&gt;Constants!$B$6,"",IF($AU268="-&gt;",2,1)))</f>
        <v/>
      </c>
      <c r="BW268" s="96" t="str">
        <f aca="false">IF(ISBLANK($C268),"",IF($BD268&lt;&gt;Constants!$B$6,"",IF($AU268="-&gt;",$AW268,$AN268)))</f>
        <v/>
      </c>
      <c r="BX268" s="96" t="str">
        <f aca="false">IF(ISBLANK($C268),"",IF($BD268&lt;&gt;Constants!$B$6,"",IF($AU268="-&gt;",$AX268,$AO268)))</f>
        <v/>
      </c>
      <c r="BY268" s="96" t="str">
        <f aca="false">IF(ISBLANK($C268),"",IF($BD268&lt;&gt;Constants!$B$6,"",IF($AU268="-&gt;",$AY268,$AP268)))</f>
        <v/>
      </c>
      <c r="BZ268" s="96" t="str">
        <f aca="false">IF(ISBLANK($C268),"",IF($BD268&lt;&gt;Constants!$B$6,"",IF($AU268="-&gt;",$AZ268,$AQ268)+$BG268))</f>
        <v/>
      </c>
      <c r="CA268" s="97" t="str">
        <f aca="false">IF(ISBLANK($C268),"",IF($BD268&lt;&gt;Constants!$B$6,$BD268,$BH268))</f>
        <v/>
      </c>
      <c r="CB268" s="98" t="str">
        <f aca="false">IF(ISBLANK($C268),"",$BE268)</f>
        <v/>
      </c>
      <c r="CC268" s="99" t="str">
        <f aca="false">IF(ISBLANK($C268),"",$BS268)</f>
        <v/>
      </c>
      <c r="CD268" s="99" t="str">
        <f aca="false">IF(ISBLANK($C268),"",$BR268)</f>
        <v/>
      </c>
      <c r="CE268" s="100" t="str">
        <f aca="false">IF(ISBLANK($C268),"",IF($CD268=Constants!$B$9,COUNTA($C$9:$C$508)+2,IF($CD268=Constants!$B$8,COUNTA($C$9:$C$508)+1,IF($CD268=Constants!$B$7,COUNTA($C$9:$C$508),$CD268))))</f>
        <v/>
      </c>
      <c r="CF268" s="9"/>
      <c r="CG268" s="101" t="n">
        <f aca="false">IF(OR(ISNUMBER($CD268),$CD268=Constants!$B$9,$CD268=Constants!$B$7,$CD268=Constants!$B$8),1,0)</f>
        <v>0</v>
      </c>
      <c r="CH268" s="101" t="n">
        <v>260</v>
      </c>
      <c r="CI268" s="101" t="str">
        <f aca="false">IF(ISBLANK($C268),"",IF(ISNUMBER($CE268),$CE268+ROW($B268)/1000,""))</f>
        <v/>
      </c>
      <c r="CJ268" s="101" t="str">
        <f aca="false">IF(ISNUMBER($CI268),RANK($CI268,$CI$9:$CI$508,1),"")</f>
        <v/>
      </c>
      <c r="CK268" s="101" t="str">
        <f aca="false">IF(ISBLANK($C268),"",$B268)</f>
        <v/>
      </c>
      <c r="CL268" s="101" t="str">
        <f aca="false">IF(ISBLANK($C268),"",$C268)</f>
        <v/>
      </c>
      <c r="CM268" s="101" t="str">
        <f aca="false">IF(ISBLANK($C268),"",$D268)</f>
        <v/>
      </c>
      <c r="CN268" s="102" t="str">
        <f aca="false">$CB268</f>
        <v/>
      </c>
      <c r="CO268" s="103" t="str">
        <f aca="false">$CA268</f>
        <v/>
      </c>
      <c r="CP268" s="101" t="str">
        <f aca="false">IF(ISBLANK($C268),"",$CD268)</f>
        <v/>
      </c>
      <c r="CQ268" s="104" t="str">
        <f aca="false">IF($CH268&gt;$CG$8,"",VLOOKUP($CH268,$CJ$9:$CP$508,7,FALSE()))</f>
        <v/>
      </c>
      <c r="CR268" s="105" t="str">
        <f aca="false">IF($CH268&gt;$CG$8,"",VLOOKUP($CH268,$CJ$9:$CP$508,2,FALSE()))</f>
        <v/>
      </c>
      <c r="CS268" s="105" t="str">
        <f aca="false">IF($CH268&gt;$CG$8,"",VLOOKUP($CH268,$CJ$9:$CP$508,3,FALSE()))</f>
        <v/>
      </c>
      <c r="CT268" s="105" t="str">
        <f aca="false">IF($CH268&gt;$CG$8,"",VLOOKUP($CH268,$CJ$9:$CP$508,4,FALSE()))</f>
        <v/>
      </c>
      <c r="CU268" s="105" t="str">
        <f aca="false">IF($CH268&gt;$CG$8,"",VLOOKUP($CH268,$CJ$9:$CP$508,5,FALSE()))</f>
        <v/>
      </c>
      <c r="CV268" s="106" t="str">
        <f aca="false">IF($CH268&gt;$CG$8,"",VLOOKUP($CH268,$CJ$9:$CP$508,6,FALSE()))</f>
        <v/>
      </c>
      <c r="CW268" s="71"/>
    </row>
    <row r="269" customFormat="false" ht="15.75" hidden="false" customHeight="false" outlineLevel="0" collapsed="false">
      <c r="A269" s="9"/>
      <c r="B269" s="72"/>
      <c r="C269" s="73"/>
      <c r="D269" s="160"/>
      <c r="E269" s="168"/>
      <c r="F269" s="162"/>
      <c r="G269" s="163"/>
      <c r="H269" s="169"/>
      <c r="I269" s="167"/>
      <c r="J269" s="80"/>
      <c r="K269" s="81"/>
      <c r="L269" s="82"/>
      <c r="M269" s="166"/>
      <c r="N269" s="167"/>
      <c r="O269" s="167"/>
      <c r="P269" s="80"/>
      <c r="Q269" s="82"/>
      <c r="R269" s="82"/>
      <c r="S269" s="166"/>
      <c r="T269" s="167"/>
      <c r="U269" s="86"/>
      <c r="V269" s="87"/>
      <c r="W269" s="87" t="str">
        <f aca="false">IF(ISBLANK($C269),"",IF(E269=Constants!$B$2,TRUE(),IF(E269=Constants!$B$3,FALSE(),TRUE())))</f>
        <v/>
      </c>
      <c r="X269" s="87" t="str">
        <f aca="false">IF(ISBLANK($C269),"",IF(F269=Constants!$B$2,TRUE(),IF(F269=Constants!$B$3,FALSE(),TRUE())))</f>
        <v/>
      </c>
      <c r="Y269" s="87" t="str">
        <f aca="false">IF(ISBLANK($C269),"",IF(G269=Constants!$B$2,TRUE(),IF(G269=Constants!$B$3,FALSE(),TRUE())))</f>
        <v/>
      </c>
      <c r="Z269" s="87" t="str">
        <f aca="false">IF(ISBLANK($C269),"",IF(H269=Constants!$B$2,TRUE(),IF(H269=Constants!$B$3,FALSE(),TRUE())))</f>
        <v/>
      </c>
      <c r="AA269" s="87" t="str">
        <f aca="false">IF(ISBLANK($C269),"",IF(I269=Constants!$B$2,TRUE(),IF(I269=Constants!$B$3,FALSE(),TRUE())))</f>
        <v/>
      </c>
      <c r="AB269" s="87" t="str">
        <f aca="false">IF(ISBLANK($C269),"",IF(J269=Constants!$B$4,TRUE(),IF(J269=Constants!$B$5,FALSE(),COUNTA(K269:M269)&gt;0)))</f>
        <v/>
      </c>
      <c r="AC269" s="88" t="str">
        <f aca="false">IF(ISBLANK($C269),"",IF(ISNUMBER(K269),IF(K269&gt;=0,K269,""),""))</f>
        <v/>
      </c>
      <c r="AD269" s="89" t="str">
        <f aca="false">IF(ISBLANK($C269),"",IF(ISNUMBER(L269),IF(L269&gt;=0,L269,""),""))</f>
        <v/>
      </c>
      <c r="AE269" s="87" t="str">
        <f aca="false">IF(ISBLANK($C269),"",IF(ISNUMBER(M269),IF(M269&gt;=0,MIN(M269,Constants!$B$22),""),""))</f>
        <v/>
      </c>
      <c r="AF269" s="87" t="str">
        <f aca="false">IF(ISBLANK($C269),"",IF(N269=Constants!$B$2,TRUE(),IF(N269=Constants!$B$3,FALSE(),TRUE())))</f>
        <v/>
      </c>
      <c r="AG269" s="87" t="str">
        <f aca="false">IF(ISBLANK($C269),"",IF(O269=Constants!$B$2,TRUE(),IF(O269=Constants!$B$3,FALSE(),TRUE())))</f>
        <v/>
      </c>
      <c r="AH269" s="87" t="str">
        <f aca="false">IF(ISBLANK($C269),"",IF(P269=Constants!$B$4,TRUE(),IF(P269=Constants!$B$5,FALSE(),COUNTA(Q269:S269)&gt;0)))</f>
        <v/>
      </c>
      <c r="AI269" s="88" t="str">
        <f aca="false">IF(ISBLANK($C269),"",IF(ISNUMBER(Q269),IF(Q269&gt;=0,Q269,""),""))</f>
        <v/>
      </c>
      <c r="AJ269" s="89" t="str">
        <f aca="false">IF(ISBLANK($C269),"",IF(ISNUMBER(R269),IF(R269&gt;=0,R269,""),""))</f>
        <v/>
      </c>
      <c r="AK269" s="87" t="str">
        <f aca="false">IF(ISBLANK($C269),"",IF(ISNUMBER(S269),IF(S269&gt;=0,MIN(S269,Constants!$B$22),""),""))</f>
        <v/>
      </c>
      <c r="AL269" s="87" t="str">
        <f aca="false">IF(ISBLANK($C269),"",IF(T269=Constants!$B$2,TRUE(),IF(T269=Constants!$B$3,FALSE(),FALSE())))</f>
        <v/>
      </c>
      <c r="AM269" s="86" t="str">
        <f aca="false">IF(ISBLANK($C269),"",AND($AB269,OR($AC269="",$AD269="",AND(NOT(ISBLANK($M269)),$AE269=""))))</f>
        <v/>
      </c>
      <c r="AN269" s="89" t="str">
        <f aca="false">IF($BD269&lt;&gt;Constants!$B$6,"",IF($AB269,Constants!$B$17*$AD269,Constants!$B$18))</f>
        <v/>
      </c>
      <c r="AO269" s="91" t="str">
        <f aca="false">IF($BD269&lt;&gt;Constants!$B$6,"",Constants!$B$19*IF($AB269,$AC269,0))</f>
        <v/>
      </c>
      <c r="AP269" s="91" t="str">
        <f aca="false">IF($BD269&lt;&gt;Constants!$B$6,"",IF(AND($AB269,ISNUMBER($AE269)),Constants!$B$20*(Constants!$B$21-$AE269),0))</f>
        <v/>
      </c>
      <c r="AQ269" s="91" t="str">
        <f aca="false">IF($BD269&lt;&gt;Constants!$B$6,"",IF($AA269,0,Constants!$B$12)+IF($Z269,0,Constants!$B$13)+IF($Y269,0,Constants!$B$14))</f>
        <v/>
      </c>
      <c r="AR269" s="92" t="str">
        <f aca="false">IF($BD269&lt;&gt;Constants!$B$6,"",Constants!$B$16+SUM($AN269:$AQ269))</f>
        <v/>
      </c>
      <c r="AS269" s="91" t="str">
        <f aca="false">IF($BD269&lt;&gt;Constants!$B$6,"",IF($AB269,$AD269,""))</f>
        <v/>
      </c>
      <c r="AT269" s="93" t="str">
        <f aca="false">IF($BD269&lt;&gt;Constants!$B$6,"",$AO269)</f>
        <v/>
      </c>
      <c r="AU269" s="87" t="str">
        <f aca="false">IF($BD269&lt;&gt;Constants!$B$6,"",IF(OR($BA269&lt;$AR269,AND($BA269=$AR269,OR(AND(ISNUMBER($BB269),OR(NOT(ISNUMBER($AS269)),$BB269&lt;$AS269)),AND(OR(AND($BB269="",$AS269=""),AND(ISNUMBER($BB269),ISNUMBER($AS269),$BB269=$AS269)),$BC269&lt;$AT269)))),"-&gt;","&lt;-"))</f>
        <v/>
      </c>
      <c r="AV269" s="86" t="str">
        <f aca="false">IF(ISBLANK($C269),"",AND($AH269,OR($AI269="",$AJ269="",AND(NOT(ISBLANK($S269)),$AK269=""))))</f>
        <v/>
      </c>
      <c r="AW269" s="89" t="str">
        <f aca="false">IF($BD269&lt;&gt;Constants!$B$6,"",IF($AH269,Constants!$B$17*$AJ269,Constants!$B$18))</f>
        <v/>
      </c>
      <c r="AX269" s="91" t="str">
        <f aca="false">IF($BD269&lt;&gt;Constants!$B$6,"",Constants!$B$19*IF($AH269,$AI269,0))</f>
        <v/>
      </c>
      <c r="AY269" s="91" t="str">
        <f aca="false">IF($BD269&lt;&gt;Constants!$B$6,"",IF(AND($AH269,ISNUMBER($AK269)),Constants!$B$20*(Constants!$B$21-$AK269),0))</f>
        <v/>
      </c>
      <c r="AZ269" s="91" t="str">
        <f aca="false">IF($BD269&lt;&gt;Constants!$B$6,"",IF($AG269,0,Constants!$B$12)+IF($AF269,0,Constants!$B$13)+IF($Y269,0,Constants!$B$14))</f>
        <v/>
      </c>
      <c r="BA269" s="92" t="str">
        <f aca="false">IF($BD269&lt;&gt;Constants!$B$6,"",Constants!$B$16+SUM($AW269:$AZ269))</f>
        <v/>
      </c>
      <c r="BB269" s="91" t="str">
        <f aca="false">IF($BD269&lt;&gt;Constants!$B$6,"",IF($AH269,$AJ269,""))</f>
        <v/>
      </c>
      <c r="BC269" s="93" t="str">
        <f aca="false">IF($BD269&lt;&gt;Constants!$B$6,"",$AX269)</f>
        <v/>
      </c>
      <c r="BD269" s="87" t="str">
        <f aca="false">IF(ISBLANK($C269),"",IF($AL269,Constants!$B$9,IF(COUNTA($E269:$T269)=0,Constants!$B$8,IF(NOT($X269),Constants!$B$7,IF(OR($AM269,$AV269),Constants!$B$10,Constants!$B$6)))))</f>
        <v/>
      </c>
      <c r="BE269" s="87" t="str">
        <f aca="false">IF(ISBLANK($C269),"",IF($BD269&lt;&gt;Constants!$B$6,$BD269,Constants!$B$11))</f>
        <v/>
      </c>
      <c r="BF269" s="91" t="str">
        <f aca="false">IF($BD269&lt;&gt;Constants!$B$6,"",IF($AU269="-&gt;",$BA269,$AR269))</f>
        <v/>
      </c>
      <c r="BG269" s="91" t="str">
        <f aca="false">IF($BD269&lt;&gt;Constants!$B$6,"",IF($W269,0,Constants!$B$15))</f>
        <v/>
      </c>
      <c r="BH269" s="91" t="str">
        <f aca="false">IF(ISBLANK($C269),"",IF($BD269&lt;&gt;Constants!$B$6,$BD269,SUM($BF269:$BG269)))</f>
        <v/>
      </c>
      <c r="BI269" s="87" t="str">
        <f aca="false">IF(ISBLANK($C269),"",IF($BD269&lt;&gt;Constants!$B$6,$BD269,RANK($BH269,$BH$9:$BH$508,1)))</f>
        <v/>
      </c>
      <c r="BJ269" s="91" t="str">
        <f aca="false">IF($BD269&lt;&gt;Constants!$B$6,"",IF($AU269="-&gt;",$BB269,$AS269))</f>
        <v/>
      </c>
      <c r="BK269" s="87" t="str">
        <f aca="false">IF(ISBLANK($C269),"",IF($BD269&lt;&gt;Constants!$B$6,$BD269,IF(ISNUMBER($BJ269),RANK($BJ269,$BJ$9:$BJ$508,1),COUNT($BJ$9:$BJ$508)+1)))</f>
        <v/>
      </c>
      <c r="BL269" s="91" t="str">
        <f aca="false">IF($BD269&lt;&gt;Constants!$B$6,"",IF($AU269="-&gt;",$BC269,$AT269))</f>
        <v/>
      </c>
      <c r="BM269" s="87" t="str">
        <f aca="false">IF(ISBLANK($C269),"",IF($BD269&lt;&gt;Constants!$B$6,$BD269,IF(ISNUMBER($BL269),RANK($BL269,$BL$9:$BL$508,1),COUNT($BL$9:$BL$508)+1)))</f>
        <v/>
      </c>
      <c r="BN269" s="91" t="str">
        <f aca="false">IF($BD269&lt;&gt;Constants!$B$6,"",IF($AU269="-&gt;",$AS269,$BB269))</f>
        <v/>
      </c>
      <c r="BO269" s="87" t="str">
        <f aca="false">IF(ISBLANK($C269),"",IF($BD269&lt;&gt;Constants!$B$6,$BD269,IF(ISNUMBER($BN269),RANK($BN269,$BN$9:$BN$508,1),COUNT($BN$9:$BN$508)+1)))</f>
        <v/>
      </c>
      <c r="BP269" s="91" t="str">
        <f aca="false">IF($BD269&lt;&gt;Constants!$B$6,"",IF($AU269="-&gt;",$AT269,$BC269))</f>
        <v/>
      </c>
      <c r="BQ269" s="87" t="str">
        <f aca="false">IF(ISBLANK($C269),"",IF($BD269&lt;&gt;Constants!$B$6,$BD269,IF(ISNUMBER($BP269),RANK($BP269,$BP$9:$BP$508,1),COUNT($BP$9:$BP$508)+1)))</f>
        <v/>
      </c>
      <c r="BR269" s="87" t="str">
        <f aca="false">IF(ISBLANK($C269),"",IF($BD269&lt;&gt;Constants!$B$6,$BD269,COUNTIFS($BI$9:$BI$508,"&lt;"&amp;$BI269)+COUNTIFS($BI$9:$BI$508,$BI269,$BK$9:$BK$508,"&lt;"&amp;$BK269)+COUNTIFS($BI$9:$BI$508,$BI269,$BK$9:$BK$508,$BK269,$BM$9:$BM$508,"&lt;"&amp;$BM269)+COUNTIFS($BI$9:$BI$508,$BI269,$BK$9:$BK$508,$BK269,$BM$9:$BM$508,$BM269,$BO$9:$BO$508,"&lt;"&amp;$BO269)+COUNTIFS($BI$9:$BI$508,$BI269,$BK$9:$BK$508,$BK269,$BM$9:$BM$508,$BM269,$BO$9:$BO$508,$BO269,$BQ$9:$BQ$508,"&lt;"&amp;$BQ269)+1))</f>
        <v/>
      </c>
      <c r="BS269" s="87" t="str">
        <f aca="false">IF(ISBLANK($C269),"",IF($BD269&lt;&gt;Constants!$B$6,$BD269,$BI269-$BR269))</f>
        <v/>
      </c>
      <c r="BT269" s="94"/>
      <c r="BU269" s="95"/>
      <c r="BV269" s="95" t="str">
        <f aca="false">IF(ISBLANK($C269),"",IF($BD269&lt;&gt;Constants!$B$6,"",IF($AU269="-&gt;",2,1)))</f>
        <v/>
      </c>
      <c r="BW269" s="96" t="str">
        <f aca="false">IF(ISBLANK($C269),"",IF($BD269&lt;&gt;Constants!$B$6,"",IF($AU269="-&gt;",$AW269,$AN269)))</f>
        <v/>
      </c>
      <c r="BX269" s="96" t="str">
        <f aca="false">IF(ISBLANK($C269),"",IF($BD269&lt;&gt;Constants!$B$6,"",IF($AU269="-&gt;",$AX269,$AO269)))</f>
        <v/>
      </c>
      <c r="BY269" s="96" t="str">
        <f aca="false">IF(ISBLANK($C269),"",IF($BD269&lt;&gt;Constants!$B$6,"",IF($AU269="-&gt;",$AY269,$AP269)))</f>
        <v/>
      </c>
      <c r="BZ269" s="96" t="str">
        <f aca="false">IF(ISBLANK($C269),"",IF($BD269&lt;&gt;Constants!$B$6,"",IF($AU269="-&gt;",$AZ269,$AQ269)+$BG269))</f>
        <v/>
      </c>
      <c r="CA269" s="97" t="str">
        <f aca="false">IF(ISBLANK($C269),"",IF($BD269&lt;&gt;Constants!$B$6,$BD269,$BH269))</f>
        <v/>
      </c>
      <c r="CB269" s="98" t="str">
        <f aca="false">IF(ISBLANK($C269),"",$BE269)</f>
        <v/>
      </c>
      <c r="CC269" s="99" t="str">
        <f aca="false">IF(ISBLANK($C269),"",$BS269)</f>
        <v/>
      </c>
      <c r="CD269" s="99" t="str">
        <f aca="false">IF(ISBLANK($C269),"",$BR269)</f>
        <v/>
      </c>
      <c r="CE269" s="100" t="str">
        <f aca="false">IF(ISBLANK($C269),"",IF($CD269=Constants!$B$9,COUNTA($C$9:$C$508)+2,IF($CD269=Constants!$B$8,COUNTA($C$9:$C$508)+1,IF($CD269=Constants!$B$7,COUNTA($C$9:$C$508),$CD269))))</f>
        <v/>
      </c>
      <c r="CF269" s="9"/>
      <c r="CG269" s="101" t="n">
        <f aca="false">IF(OR(ISNUMBER($CD269),$CD269=Constants!$B$9,$CD269=Constants!$B$7,$CD269=Constants!$B$8),1,0)</f>
        <v>0</v>
      </c>
      <c r="CH269" s="101" t="n">
        <v>261</v>
      </c>
      <c r="CI269" s="101" t="str">
        <f aca="false">IF(ISBLANK($C269),"",IF(ISNUMBER($CE269),$CE269+ROW($B269)/1000,""))</f>
        <v/>
      </c>
      <c r="CJ269" s="101" t="str">
        <f aca="false">IF(ISNUMBER($CI269),RANK($CI269,$CI$9:$CI$508,1),"")</f>
        <v/>
      </c>
      <c r="CK269" s="101" t="str">
        <f aca="false">IF(ISBLANK($C269),"",$B269)</f>
        <v/>
      </c>
      <c r="CL269" s="101" t="str">
        <f aca="false">IF(ISBLANK($C269),"",$C269)</f>
        <v/>
      </c>
      <c r="CM269" s="101" t="str">
        <f aca="false">IF(ISBLANK($C269),"",$D269)</f>
        <v/>
      </c>
      <c r="CN269" s="102" t="str">
        <f aca="false">$CB269</f>
        <v/>
      </c>
      <c r="CO269" s="103" t="str">
        <f aca="false">$CA269</f>
        <v/>
      </c>
      <c r="CP269" s="101" t="str">
        <f aca="false">IF(ISBLANK($C269),"",$CD269)</f>
        <v/>
      </c>
      <c r="CQ269" s="104" t="str">
        <f aca="false">IF($CH269&gt;$CG$8,"",VLOOKUP($CH269,$CJ$9:$CP$508,7,FALSE()))</f>
        <v/>
      </c>
      <c r="CR269" s="105" t="str">
        <f aca="false">IF($CH269&gt;$CG$8,"",VLOOKUP($CH269,$CJ$9:$CP$508,2,FALSE()))</f>
        <v/>
      </c>
      <c r="CS269" s="105" t="str">
        <f aca="false">IF($CH269&gt;$CG$8,"",VLOOKUP($CH269,$CJ$9:$CP$508,3,FALSE()))</f>
        <v/>
      </c>
      <c r="CT269" s="105" t="str">
        <f aca="false">IF($CH269&gt;$CG$8,"",VLOOKUP($CH269,$CJ$9:$CP$508,4,FALSE()))</f>
        <v/>
      </c>
      <c r="CU269" s="105" t="str">
        <f aca="false">IF($CH269&gt;$CG$8,"",VLOOKUP($CH269,$CJ$9:$CP$508,5,FALSE()))</f>
        <v/>
      </c>
      <c r="CV269" s="106" t="str">
        <f aca="false">IF($CH269&gt;$CG$8,"",VLOOKUP($CH269,$CJ$9:$CP$508,6,FALSE()))</f>
        <v/>
      </c>
      <c r="CW269" s="71"/>
    </row>
    <row r="270" customFormat="false" ht="15.75" hidden="false" customHeight="false" outlineLevel="0" collapsed="false">
      <c r="A270" s="9"/>
      <c r="B270" s="150"/>
      <c r="C270" s="151"/>
      <c r="D270" s="152"/>
      <c r="E270" s="170"/>
      <c r="F270" s="154"/>
      <c r="G270" s="155"/>
      <c r="H270" s="171"/>
      <c r="I270" s="159"/>
      <c r="J270" s="120"/>
      <c r="K270" s="121"/>
      <c r="L270" s="122"/>
      <c r="M270" s="158"/>
      <c r="N270" s="159"/>
      <c r="O270" s="159"/>
      <c r="P270" s="120"/>
      <c r="Q270" s="122"/>
      <c r="R270" s="122"/>
      <c r="S270" s="158"/>
      <c r="T270" s="159"/>
      <c r="U270" s="126"/>
      <c r="V270" s="127"/>
      <c r="W270" s="127" t="str">
        <f aca="false">IF(ISBLANK($C270),"",IF(E270=Constants!$B$2,TRUE(),IF(E270=Constants!$B$3,FALSE(),TRUE())))</f>
        <v/>
      </c>
      <c r="X270" s="127" t="str">
        <f aca="false">IF(ISBLANK($C270),"",IF(F270=Constants!$B$2,TRUE(),IF(F270=Constants!$B$3,FALSE(),TRUE())))</f>
        <v/>
      </c>
      <c r="Y270" s="127" t="str">
        <f aca="false">IF(ISBLANK($C270),"",IF(G270=Constants!$B$2,TRUE(),IF(G270=Constants!$B$3,FALSE(),TRUE())))</f>
        <v/>
      </c>
      <c r="Z270" s="127" t="str">
        <f aca="false">IF(ISBLANK($C270),"",IF(H270=Constants!$B$2,TRUE(),IF(H270=Constants!$B$3,FALSE(),TRUE())))</f>
        <v/>
      </c>
      <c r="AA270" s="127" t="str">
        <f aca="false">IF(ISBLANK($C270),"",IF(I270=Constants!$B$2,TRUE(),IF(I270=Constants!$B$3,FALSE(),TRUE())))</f>
        <v/>
      </c>
      <c r="AB270" s="127" t="str">
        <f aca="false">IF(ISBLANK($C270),"",IF(J270=Constants!$B$4,TRUE(),IF(J270=Constants!$B$5,FALSE(),COUNTA(K270:M270)&gt;0)))</f>
        <v/>
      </c>
      <c r="AC270" s="128" t="str">
        <f aca="false">IF(ISBLANK($C270),"",IF(ISNUMBER(K270),IF(K270&gt;=0,K270,""),""))</f>
        <v/>
      </c>
      <c r="AD270" s="129" t="str">
        <f aca="false">IF(ISBLANK($C270),"",IF(ISNUMBER(L270),IF(L270&gt;=0,L270,""),""))</f>
        <v/>
      </c>
      <c r="AE270" s="127" t="str">
        <f aca="false">IF(ISBLANK($C270),"",IF(ISNUMBER(M270),IF(M270&gt;=0,MIN(M270,Constants!$B$22),""),""))</f>
        <v/>
      </c>
      <c r="AF270" s="127" t="str">
        <f aca="false">IF(ISBLANK($C270),"",IF(N270=Constants!$B$2,TRUE(),IF(N270=Constants!$B$3,FALSE(),TRUE())))</f>
        <v/>
      </c>
      <c r="AG270" s="127" t="str">
        <f aca="false">IF(ISBLANK($C270),"",IF(O270=Constants!$B$2,TRUE(),IF(O270=Constants!$B$3,FALSE(),TRUE())))</f>
        <v/>
      </c>
      <c r="AH270" s="127" t="str">
        <f aca="false">IF(ISBLANK($C270),"",IF(P270=Constants!$B$4,TRUE(),IF(P270=Constants!$B$5,FALSE(),COUNTA(Q270:S270)&gt;0)))</f>
        <v/>
      </c>
      <c r="AI270" s="128" t="str">
        <f aca="false">IF(ISBLANK($C270),"",IF(ISNUMBER(Q270),IF(Q270&gt;=0,Q270,""),""))</f>
        <v/>
      </c>
      <c r="AJ270" s="129" t="str">
        <f aca="false">IF(ISBLANK($C270),"",IF(ISNUMBER(R270),IF(R270&gt;=0,R270,""),""))</f>
        <v/>
      </c>
      <c r="AK270" s="127" t="str">
        <f aca="false">IF(ISBLANK($C270),"",IF(ISNUMBER(S270),IF(S270&gt;=0,MIN(S270,Constants!$B$22),""),""))</f>
        <v/>
      </c>
      <c r="AL270" s="127" t="str">
        <f aca="false">IF(ISBLANK($C270),"",IF(T270=Constants!$B$2,TRUE(),IF(T270=Constants!$B$3,FALSE(),FALSE())))</f>
        <v/>
      </c>
      <c r="AM270" s="126" t="str">
        <f aca="false">IF(ISBLANK($C270),"",AND($AB270,OR($AC270="",$AD270="",AND(NOT(ISBLANK($M270)),$AE270=""))))</f>
        <v/>
      </c>
      <c r="AN270" s="129" t="str">
        <f aca="false">IF($BD270&lt;&gt;Constants!$B$6,"",IF($AB270,Constants!$B$17*$AD270,Constants!$B$18))</f>
        <v/>
      </c>
      <c r="AO270" s="130" t="str">
        <f aca="false">IF($BD270&lt;&gt;Constants!$B$6,"",Constants!$B$19*IF($AB270,$AC270,0))</f>
        <v/>
      </c>
      <c r="AP270" s="130" t="str">
        <f aca="false">IF($BD270&lt;&gt;Constants!$B$6,"",IF(AND($AB270,ISNUMBER($AE270)),Constants!$B$20*(Constants!$B$21-$AE270),0))</f>
        <v/>
      </c>
      <c r="AQ270" s="130" t="str">
        <f aca="false">IF($BD270&lt;&gt;Constants!$B$6,"",IF($AA270,0,Constants!$B$12)+IF($Z270,0,Constants!$B$13)+IF($Y270,0,Constants!$B$14))</f>
        <v/>
      </c>
      <c r="AR270" s="131" t="str">
        <f aca="false">IF($BD270&lt;&gt;Constants!$B$6,"",Constants!$B$16+SUM($AN270:$AQ270))</f>
        <v/>
      </c>
      <c r="AS270" s="130" t="str">
        <f aca="false">IF($BD270&lt;&gt;Constants!$B$6,"",IF($AB270,$AD270,""))</f>
        <v/>
      </c>
      <c r="AT270" s="132" t="str">
        <f aca="false">IF($BD270&lt;&gt;Constants!$B$6,"",$AO270)</f>
        <v/>
      </c>
      <c r="AU270" s="127" t="str">
        <f aca="false">IF($BD270&lt;&gt;Constants!$B$6,"",IF(OR($BA270&lt;$AR270,AND($BA270=$AR270,OR(AND(ISNUMBER($BB270),OR(NOT(ISNUMBER($AS270)),$BB270&lt;$AS270)),AND(OR(AND($BB270="",$AS270=""),AND(ISNUMBER($BB270),ISNUMBER($AS270),$BB270=$AS270)),$BC270&lt;$AT270)))),"-&gt;","&lt;-"))</f>
        <v/>
      </c>
      <c r="AV270" s="126" t="str">
        <f aca="false">IF(ISBLANK($C270),"",AND($AH270,OR($AI270="",$AJ270="",AND(NOT(ISBLANK($S270)),$AK270=""))))</f>
        <v/>
      </c>
      <c r="AW270" s="129" t="str">
        <f aca="false">IF($BD270&lt;&gt;Constants!$B$6,"",IF($AH270,Constants!$B$17*$AJ270,Constants!$B$18))</f>
        <v/>
      </c>
      <c r="AX270" s="130" t="str">
        <f aca="false">IF($BD270&lt;&gt;Constants!$B$6,"",Constants!$B$19*IF($AH270,$AI270,0))</f>
        <v/>
      </c>
      <c r="AY270" s="130" t="str">
        <f aca="false">IF($BD270&lt;&gt;Constants!$B$6,"",IF(AND($AH270,ISNUMBER($AK270)),Constants!$B$20*(Constants!$B$21-$AK270),0))</f>
        <v/>
      </c>
      <c r="AZ270" s="130" t="str">
        <f aca="false">IF($BD270&lt;&gt;Constants!$B$6,"",IF($AG270,0,Constants!$B$12)+IF($AF270,0,Constants!$B$13)+IF($Y270,0,Constants!$B$14))</f>
        <v/>
      </c>
      <c r="BA270" s="131" t="str">
        <f aca="false">IF($BD270&lt;&gt;Constants!$B$6,"",Constants!$B$16+SUM($AW270:$AZ270))</f>
        <v/>
      </c>
      <c r="BB270" s="130" t="str">
        <f aca="false">IF($BD270&lt;&gt;Constants!$B$6,"",IF($AH270,$AJ270,""))</f>
        <v/>
      </c>
      <c r="BC270" s="132" t="str">
        <f aca="false">IF($BD270&lt;&gt;Constants!$B$6,"",$AX270)</f>
        <v/>
      </c>
      <c r="BD270" s="127" t="str">
        <f aca="false">IF(ISBLANK($C270),"",IF($AL270,Constants!$B$9,IF(COUNTA($E270:$T270)=0,Constants!$B$8,IF(NOT($X270),Constants!$B$7,IF(OR($AM270,$AV270),Constants!$B$10,Constants!$B$6)))))</f>
        <v/>
      </c>
      <c r="BE270" s="127" t="str">
        <f aca="false">IF(ISBLANK($C270),"",IF($BD270&lt;&gt;Constants!$B$6,$BD270,Constants!$B$11))</f>
        <v/>
      </c>
      <c r="BF270" s="130" t="str">
        <f aca="false">IF($BD270&lt;&gt;Constants!$B$6,"",IF($AU270="-&gt;",$BA270,$AR270))</f>
        <v/>
      </c>
      <c r="BG270" s="130" t="str">
        <f aca="false">IF($BD270&lt;&gt;Constants!$B$6,"",IF($W270,0,Constants!$B$15))</f>
        <v/>
      </c>
      <c r="BH270" s="130" t="str">
        <f aca="false">IF(ISBLANK($C270),"",IF($BD270&lt;&gt;Constants!$B$6,$BD270,SUM($BF270:$BG270)))</f>
        <v/>
      </c>
      <c r="BI270" s="127" t="str">
        <f aca="false">IF(ISBLANK($C270),"",IF($BD270&lt;&gt;Constants!$B$6,$BD270,RANK($BH270,$BH$9:$BH$508,1)))</f>
        <v/>
      </c>
      <c r="BJ270" s="130" t="str">
        <f aca="false">IF($BD270&lt;&gt;Constants!$B$6,"",IF($AU270="-&gt;",$BB270,$AS270))</f>
        <v/>
      </c>
      <c r="BK270" s="127" t="str">
        <f aca="false">IF(ISBLANK($C270),"",IF($BD270&lt;&gt;Constants!$B$6,$BD270,IF(ISNUMBER($BJ270),RANK($BJ270,$BJ$9:$BJ$508,1),COUNT($BJ$9:$BJ$508)+1)))</f>
        <v/>
      </c>
      <c r="BL270" s="130" t="str">
        <f aca="false">IF($BD270&lt;&gt;Constants!$B$6,"",IF($AU270="-&gt;",$BC270,$AT270))</f>
        <v/>
      </c>
      <c r="BM270" s="127" t="str">
        <f aca="false">IF(ISBLANK($C270),"",IF($BD270&lt;&gt;Constants!$B$6,$BD270,IF(ISNUMBER($BL270),RANK($BL270,$BL$9:$BL$508,1),COUNT($BL$9:$BL$508)+1)))</f>
        <v/>
      </c>
      <c r="BN270" s="130" t="str">
        <f aca="false">IF($BD270&lt;&gt;Constants!$B$6,"",IF($AU270="-&gt;",$AS270,$BB270))</f>
        <v/>
      </c>
      <c r="BO270" s="127" t="str">
        <f aca="false">IF(ISBLANK($C270),"",IF($BD270&lt;&gt;Constants!$B$6,$BD270,IF(ISNUMBER($BN270),RANK($BN270,$BN$9:$BN$508,1),COUNT($BN$9:$BN$508)+1)))</f>
        <v/>
      </c>
      <c r="BP270" s="130" t="str">
        <f aca="false">IF($BD270&lt;&gt;Constants!$B$6,"",IF($AU270="-&gt;",$AT270,$BC270))</f>
        <v/>
      </c>
      <c r="BQ270" s="127" t="str">
        <f aca="false">IF(ISBLANK($C270),"",IF($BD270&lt;&gt;Constants!$B$6,$BD270,IF(ISNUMBER($BP270),RANK($BP270,$BP$9:$BP$508,1),COUNT($BP$9:$BP$508)+1)))</f>
        <v/>
      </c>
      <c r="BR270" s="127" t="str">
        <f aca="false">IF(ISBLANK($C270),"",IF($BD270&lt;&gt;Constants!$B$6,$BD270,COUNTIFS($BI$9:$BI$508,"&lt;"&amp;$BI270)+COUNTIFS($BI$9:$BI$508,$BI270,$BK$9:$BK$508,"&lt;"&amp;$BK270)+COUNTIFS($BI$9:$BI$508,$BI270,$BK$9:$BK$508,$BK270,$BM$9:$BM$508,"&lt;"&amp;$BM270)+COUNTIFS($BI$9:$BI$508,$BI270,$BK$9:$BK$508,$BK270,$BM$9:$BM$508,$BM270,$BO$9:$BO$508,"&lt;"&amp;$BO270)+COUNTIFS($BI$9:$BI$508,$BI270,$BK$9:$BK$508,$BK270,$BM$9:$BM$508,$BM270,$BO$9:$BO$508,$BO270,$BQ$9:$BQ$508,"&lt;"&amp;$BQ270)+1))</f>
        <v/>
      </c>
      <c r="BS270" s="127" t="str">
        <f aca="false">IF(ISBLANK($C270),"",IF($BD270&lt;&gt;Constants!$B$6,$BD270,$BI270-$BR270))</f>
        <v/>
      </c>
      <c r="BT270" s="133"/>
      <c r="BU270" s="134"/>
      <c r="BV270" s="134" t="str">
        <f aca="false">IF(ISBLANK($C270),"",IF($BD270&lt;&gt;Constants!$B$6,"",IF($AU270="-&gt;",2,1)))</f>
        <v/>
      </c>
      <c r="BW270" s="135" t="str">
        <f aca="false">IF(ISBLANK($C270),"",IF($BD270&lt;&gt;Constants!$B$6,"",IF($AU270="-&gt;",$AW270,$AN270)))</f>
        <v/>
      </c>
      <c r="BX270" s="135" t="str">
        <f aca="false">IF(ISBLANK($C270),"",IF($BD270&lt;&gt;Constants!$B$6,"",IF($AU270="-&gt;",$AX270,$AO270)))</f>
        <v/>
      </c>
      <c r="BY270" s="135" t="str">
        <f aca="false">IF(ISBLANK($C270),"",IF($BD270&lt;&gt;Constants!$B$6,"",IF($AU270="-&gt;",$AY270,$AP270)))</f>
        <v/>
      </c>
      <c r="BZ270" s="135" t="str">
        <f aca="false">IF(ISBLANK($C270),"",IF($BD270&lt;&gt;Constants!$B$6,"",IF($AU270="-&gt;",$AZ270,$AQ270)+$BG270))</f>
        <v/>
      </c>
      <c r="CA270" s="136" t="str">
        <f aca="false">IF(ISBLANK($C270),"",IF($BD270&lt;&gt;Constants!$B$6,$BD270,$BH270))</f>
        <v/>
      </c>
      <c r="CB270" s="137" t="str">
        <f aca="false">IF(ISBLANK($C270),"",$BE270)</f>
        <v/>
      </c>
      <c r="CC270" s="138" t="str">
        <f aca="false">IF(ISBLANK($C270),"",$BS270)</f>
        <v/>
      </c>
      <c r="CD270" s="138" t="str">
        <f aca="false">IF(ISBLANK($C270),"",$BR270)</f>
        <v/>
      </c>
      <c r="CE270" s="139" t="str">
        <f aca="false">IF(ISBLANK($C270),"",IF($CD270=Constants!$B$9,COUNTA($C$9:$C$508)+2,IF($CD270=Constants!$B$8,COUNTA($C$9:$C$508)+1,IF($CD270=Constants!$B$7,COUNTA($C$9:$C$508),$CD270))))</f>
        <v/>
      </c>
      <c r="CF270" s="9"/>
      <c r="CG270" s="140" t="n">
        <f aca="false">IF(OR(ISNUMBER($CD270),$CD270=Constants!$B$9,$CD270=Constants!$B$7,$CD270=Constants!$B$8),1,0)</f>
        <v>0</v>
      </c>
      <c r="CH270" s="140" t="n">
        <v>262</v>
      </c>
      <c r="CI270" s="140" t="str">
        <f aca="false">IF(ISBLANK($C270),"",IF(ISNUMBER($CE270),$CE270+ROW($B270)/1000,""))</f>
        <v/>
      </c>
      <c r="CJ270" s="140" t="str">
        <f aca="false">IF(ISNUMBER($CI270),RANK($CI270,$CI$9:$CI$508,1),"")</f>
        <v/>
      </c>
      <c r="CK270" s="140" t="str">
        <f aca="false">IF(ISBLANK($C270),"",$B270)</f>
        <v/>
      </c>
      <c r="CL270" s="140" t="str">
        <f aca="false">IF(ISBLANK($C270),"",$C270)</f>
        <v/>
      </c>
      <c r="CM270" s="140" t="str">
        <f aca="false">IF(ISBLANK($C270),"",$D270)</f>
        <v/>
      </c>
      <c r="CN270" s="141" t="str">
        <f aca="false">$CB270</f>
        <v/>
      </c>
      <c r="CO270" s="142" t="str">
        <f aca="false">$CA270</f>
        <v/>
      </c>
      <c r="CP270" s="140" t="str">
        <f aca="false">IF(ISBLANK($C270),"",$CD270)</f>
        <v/>
      </c>
      <c r="CQ270" s="143" t="str">
        <f aca="false">IF($CH270&gt;$CG$8,"",VLOOKUP($CH270,$CJ$9:$CP$508,7,FALSE()))</f>
        <v/>
      </c>
      <c r="CR270" s="144" t="str">
        <f aca="false">IF($CH270&gt;$CG$8,"",VLOOKUP($CH270,$CJ$9:$CP$508,2,FALSE()))</f>
        <v/>
      </c>
      <c r="CS270" s="144" t="str">
        <f aca="false">IF($CH270&gt;$CG$8,"",VLOOKUP($CH270,$CJ$9:$CP$508,3,FALSE()))</f>
        <v/>
      </c>
      <c r="CT270" s="144" t="str">
        <f aca="false">IF($CH270&gt;$CG$8,"",VLOOKUP($CH270,$CJ$9:$CP$508,4,FALSE()))</f>
        <v/>
      </c>
      <c r="CU270" s="144" t="str">
        <f aca="false">IF($CH270&gt;$CG$8,"",VLOOKUP($CH270,$CJ$9:$CP$508,5,FALSE()))</f>
        <v/>
      </c>
      <c r="CV270" s="145" t="str">
        <f aca="false">IF($CH270&gt;$CG$8,"",VLOOKUP($CH270,$CJ$9:$CP$508,6,FALSE()))</f>
        <v/>
      </c>
      <c r="CW270" s="71"/>
    </row>
    <row r="271" customFormat="false" ht="15.75" hidden="false" customHeight="false" outlineLevel="0" collapsed="false">
      <c r="A271" s="9"/>
      <c r="B271" s="150"/>
      <c r="C271" s="151"/>
      <c r="D271" s="152"/>
      <c r="E271" s="170"/>
      <c r="F271" s="154"/>
      <c r="G271" s="155"/>
      <c r="H271" s="171"/>
      <c r="I271" s="159"/>
      <c r="J271" s="120"/>
      <c r="K271" s="121"/>
      <c r="L271" s="122"/>
      <c r="M271" s="158"/>
      <c r="N271" s="159"/>
      <c r="O271" s="159"/>
      <c r="P271" s="120"/>
      <c r="Q271" s="122"/>
      <c r="R271" s="122"/>
      <c r="S271" s="158"/>
      <c r="T271" s="159"/>
      <c r="U271" s="126"/>
      <c r="V271" s="127"/>
      <c r="W271" s="127" t="str">
        <f aca="false">IF(ISBLANK($C271),"",IF(E271=Constants!$B$2,TRUE(),IF(E271=Constants!$B$3,FALSE(),TRUE())))</f>
        <v/>
      </c>
      <c r="X271" s="127" t="str">
        <f aca="false">IF(ISBLANK($C271),"",IF(F271=Constants!$B$2,TRUE(),IF(F271=Constants!$B$3,FALSE(),TRUE())))</f>
        <v/>
      </c>
      <c r="Y271" s="127" t="str">
        <f aca="false">IF(ISBLANK($C271),"",IF(G271=Constants!$B$2,TRUE(),IF(G271=Constants!$B$3,FALSE(),TRUE())))</f>
        <v/>
      </c>
      <c r="Z271" s="127" t="str">
        <f aca="false">IF(ISBLANK($C271),"",IF(H271=Constants!$B$2,TRUE(),IF(H271=Constants!$B$3,FALSE(),TRUE())))</f>
        <v/>
      </c>
      <c r="AA271" s="127" t="str">
        <f aca="false">IF(ISBLANK($C271),"",IF(I271=Constants!$B$2,TRUE(),IF(I271=Constants!$B$3,FALSE(),TRUE())))</f>
        <v/>
      </c>
      <c r="AB271" s="127" t="str">
        <f aca="false">IF(ISBLANK($C271),"",IF(J271=Constants!$B$4,TRUE(),IF(J271=Constants!$B$5,FALSE(),COUNTA(K271:M271)&gt;0)))</f>
        <v/>
      </c>
      <c r="AC271" s="128" t="str">
        <f aca="false">IF(ISBLANK($C271),"",IF(ISNUMBER(K271),IF(K271&gt;=0,K271,""),""))</f>
        <v/>
      </c>
      <c r="AD271" s="129" t="str">
        <f aca="false">IF(ISBLANK($C271),"",IF(ISNUMBER(L271),IF(L271&gt;=0,L271,""),""))</f>
        <v/>
      </c>
      <c r="AE271" s="127" t="str">
        <f aca="false">IF(ISBLANK($C271),"",IF(ISNUMBER(M271),IF(M271&gt;=0,MIN(M271,Constants!$B$22),""),""))</f>
        <v/>
      </c>
      <c r="AF271" s="127" t="str">
        <f aca="false">IF(ISBLANK($C271),"",IF(N271=Constants!$B$2,TRUE(),IF(N271=Constants!$B$3,FALSE(),TRUE())))</f>
        <v/>
      </c>
      <c r="AG271" s="127" t="str">
        <f aca="false">IF(ISBLANK($C271),"",IF(O271=Constants!$B$2,TRUE(),IF(O271=Constants!$B$3,FALSE(),TRUE())))</f>
        <v/>
      </c>
      <c r="AH271" s="127" t="str">
        <f aca="false">IF(ISBLANK($C271),"",IF(P271=Constants!$B$4,TRUE(),IF(P271=Constants!$B$5,FALSE(),COUNTA(Q271:S271)&gt;0)))</f>
        <v/>
      </c>
      <c r="AI271" s="128" t="str">
        <f aca="false">IF(ISBLANK($C271),"",IF(ISNUMBER(Q271),IF(Q271&gt;=0,Q271,""),""))</f>
        <v/>
      </c>
      <c r="AJ271" s="129" t="str">
        <f aca="false">IF(ISBLANK($C271),"",IF(ISNUMBER(R271),IF(R271&gt;=0,R271,""),""))</f>
        <v/>
      </c>
      <c r="AK271" s="127" t="str">
        <f aca="false">IF(ISBLANK($C271),"",IF(ISNUMBER(S271),IF(S271&gt;=0,MIN(S271,Constants!$B$22),""),""))</f>
        <v/>
      </c>
      <c r="AL271" s="127" t="str">
        <f aca="false">IF(ISBLANK($C271),"",IF(T271=Constants!$B$2,TRUE(),IF(T271=Constants!$B$3,FALSE(),FALSE())))</f>
        <v/>
      </c>
      <c r="AM271" s="126" t="str">
        <f aca="false">IF(ISBLANK($C271),"",AND($AB271,OR($AC271="",$AD271="",AND(NOT(ISBLANK($M271)),$AE271=""))))</f>
        <v/>
      </c>
      <c r="AN271" s="129" t="str">
        <f aca="false">IF($BD271&lt;&gt;Constants!$B$6,"",IF($AB271,Constants!$B$17*$AD271,Constants!$B$18))</f>
        <v/>
      </c>
      <c r="AO271" s="130" t="str">
        <f aca="false">IF($BD271&lt;&gt;Constants!$B$6,"",Constants!$B$19*IF($AB271,$AC271,0))</f>
        <v/>
      </c>
      <c r="AP271" s="130" t="str">
        <f aca="false">IF($BD271&lt;&gt;Constants!$B$6,"",IF(AND($AB271,ISNUMBER($AE271)),Constants!$B$20*(Constants!$B$21-$AE271),0))</f>
        <v/>
      </c>
      <c r="AQ271" s="130" t="str">
        <f aca="false">IF($BD271&lt;&gt;Constants!$B$6,"",IF($AA271,0,Constants!$B$12)+IF($Z271,0,Constants!$B$13)+IF($Y271,0,Constants!$B$14))</f>
        <v/>
      </c>
      <c r="AR271" s="131" t="str">
        <f aca="false">IF($BD271&lt;&gt;Constants!$B$6,"",Constants!$B$16+SUM($AN271:$AQ271))</f>
        <v/>
      </c>
      <c r="AS271" s="130" t="str">
        <f aca="false">IF($BD271&lt;&gt;Constants!$B$6,"",IF($AB271,$AD271,""))</f>
        <v/>
      </c>
      <c r="AT271" s="132" t="str">
        <f aca="false">IF($BD271&lt;&gt;Constants!$B$6,"",$AO271)</f>
        <v/>
      </c>
      <c r="AU271" s="127" t="str">
        <f aca="false">IF($BD271&lt;&gt;Constants!$B$6,"",IF(OR($BA271&lt;$AR271,AND($BA271=$AR271,OR(AND(ISNUMBER($BB271),OR(NOT(ISNUMBER($AS271)),$BB271&lt;$AS271)),AND(OR(AND($BB271="",$AS271=""),AND(ISNUMBER($BB271),ISNUMBER($AS271),$BB271=$AS271)),$BC271&lt;$AT271)))),"-&gt;","&lt;-"))</f>
        <v/>
      </c>
      <c r="AV271" s="126" t="str">
        <f aca="false">IF(ISBLANK($C271),"",AND($AH271,OR($AI271="",$AJ271="",AND(NOT(ISBLANK($S271)),$AK271=""))))</f>
        <v/>
      </c>
      <c r="AW271" s="129" t="str">
        <f aca="false">IF($BD271&lt;&gt;Constants!$B$6,"",IF($AH271,Constants!$B$17*$AJ271,Constants!$B$18))</f>
        <v/>
      </c>
      <c r="AX271" s="130" t="str">
        <f aca="false">IF($BD271&lt;&gt;Constants!$B$6,"",Constants!$B$19*IF($AH271,$AI271,0))</f>
        <v/>
      </c>
      <c r="AY271" s="130" t="str">
        <f aca="false">IF($BD271&lt;&gt;Constants!$B$6,"",IF(AND($AH271,ISNUMBER($AK271)),Constants!$B$20*(Constants!$B$21-$AK271),0))</f>
        <v/>
      </c>
      <c r="AZ271" s="130" t="str">
        <f aca="false">IF($BD271&lt;&gt;Constants!$B$6,"",IF($AG271,0,Constants!$B$12)+IF($AF271,0,Constants!$B$13)+IF($Y271,0,Constants!$B$14))</f>
        <v/>
      </c>
      <c r="BA271" s="131" t="str">
        <f aca="false">IF($BD271&lt;&gt;Constants!$B$6,"",Constants!$B$16+SUM($AW271:$AZ271))</f>
        <v/>
      </c>
      <c r="BB271" s="130" t="str">
        <f aca="false">IF($BD271&lt;&gt;Constants!$B$6,"",IF($AH271,$AJ271,""))</f>
        <v/>
      </c>
      <c r="BC271" s="132" t="str">
        <f aca="false">IF($BD271&lt;&gt;Constants!$B$6,"",$AX271)</f>
        <v/>
      </c>
      <c r="BD271" s="127" t="str">
        <f aca="false">IF(ISBLANK($C271),"",IF($AL271,Constants!$B$9,IF(COUNTA($E271:$T271)=0,Constants!$B$8,IF(NOT($X271),Constants!$B$7,IF(OR($AM271,$AV271),Constants!$B$10,Constants!$B$6)))))</f>
        <v/>
      </c>
      <c r="BE271" s="127" t="str">
        <f aca="false">IF(ISBLANK($C271),"",IF($BD271&lt;&gt;Constants!$B$6,$BD271,Constants!$B$11))</f>
        <v/>
      </c>
      <c r="BF271" s="130" t="str">
        <f aca="false">IF($BD271&lt;&gt;Constants!$B$6,"",IF($AU271="-&gt;",$BA271,$AR271))</f>
        <v/>
      </c>
      <c r="BG271" s="130" t="str">
        <f aca="false">IF($BD271&lt;&gt;Constants!$B$6,"",IF($W271,0,Constants!$B$15))</f>
        <v/>
      </c>
      <c r="BH271" s="130" t="str">
        <f aca="false">IF(ISBLANK($C271),"",IF($BD271&lt;&gt;Constants!$B$6,$BD271,SUM($BF271:$BG271)))</f>
        <v/>
      </c>
      <c r="BI271" s="127" t="str">
        <f aca="false">IF(ISBLANK($C271),"",IF($BD271&lt;&gt;Constants!$B$6,$BD271,RANK($BH271,$BH$9:$BH$508,1)))</f>
        <v/>
      </c>
      <c r="BJ271" s="130" t="str">
        <f aca="false">IF($BD271&lt;&gt;Constants!$B$6,"",IF($AU271="-&gt;",$BB271,$AS271))</f>
        <v/>
      </c>
      <c r="BK271" s="127" t="str">
        <f aca="false">IF(ISBLANK($C271),"",IF($BD271&lt;&gt;Constants!$B$6,$BD271,IF(ISNUMBER($BJ271),RANK($BJ271,$BJ$9:$BJ$508,1),COUNT($BJ$9:$BJ$508)+1)))</f>
        <v/>
      </c>
      <c r="BL271" s="130" t="str">
        <f aca="false">IF($BD271&lt;&gt;Constants!$B$6,"",IF($AU271="-&gt;",$BC271,$AT271))</f>
        <v/>
      </c>
      <c r="BM271" s="127" t="str">
        <f aca="false">IF(ISBLANK($C271),"",IF($BD271&lt;&gt;Constants!$B$6,$BD271,IF(ISNUMBER($BL271),RANK($BL271,$BL$9:$BL$508,1),COUNT($BL$9:$BL$508)+1)))</f>
        <v/>
      </c>
      <c r="BN271" s="130" t="str">
        <f aca="false">IF($BD271&lt;&gt;Constants!$B$6,"",IF($AU271="-&gt;",$AS271,$BB271))</f>
        <v/>
      </c>
      <c r="BO271" s="127" t="str">
        <f aca="false">IF(ISBLANK($C271),"",IF($BD271&lt;&gt;Constants!$B$6,$BD271,IF(ISNUMBER($BN271),RANK($BN271,$BN$9:$BN$508,1),COUNT($BN$9:$BN$508)+1)))</f>
        <v/>
      </c>
      <c r="BP271" s="130" t="str">
        <f aca="false">IF($BD271&lt;&gt;Constants!$B$6,"",IF($AU271="-&gt;",$AT271,$BC271))</f>
        <v/>
      </c>
      <c r="BQ271" s="127" t="str">
        <f aca="false">IF(ISBLANK($C271),"",IF($BD271&lt;&gt;Constants!$B$6,$BD271,IF(ISNUMBER($BP271),RANK($BP271,$BP$9:$BP$508,1),COUNT($BP$9:$BP$508)+1)))</f>
        <v/>
      </c>
      <c r="BR271" s="127" t="str">
        <f aca="false">IF(ISBLANK($C271),"",IF($BD271&lt;&gt;Constants!$B$6,$BD271,COUNTIFS($BI$9:$BI$508,"&lt;"&amp;$BI271)+COUNTIFS($BI$9:$BI$508,$BI271,$BK$9:$BK$508,"&lt;"&amp;$BK271)+COUNTIFS($BI$9:$BI$508,$BI271,$BK$9:$BK$508,$BK271,$BM$9:$BM$508,"&lt;"&amp;$BM271)+COUNTIFS($BI$9:$BI$508,$BI271,$BK$9:$BK$508,$BK271,$BM$9:$BM$508,$BM271,$BO$9:$BO$508,"&lt;"&amp;$BO271)+COUNTIFS($BI$9:$BI$508,$BI271,$BK$9:$BK$508,$BK271,$BM$9:$BM$508,$BM271,$BO$9:$BO$508,$BO271,$BQ$9:$BQ$508,"&lt;"&amp;$BQ271)+1))</f>
        <v/>
      </c>
      <c r="BS271" s="127" t="str">
        <f aca="false">IF(ISBLANK($C271),"",IF($BD271&lt;&gt;Constants!$B$6,$BD271,$BI271-$BR271))</f>
        <v/>
      </c>
      <c r="BT271" s="133"/>
      <c r="BU271" s="134"/>
      <c r="BV271" s="134" t="str">
        <f aca="false">IF(ISBLANK($C271),"",IF($BD271&lt;&gt;Constants!$B$6,"",IF($AU271="-&gt;",2,1)))</f>
        <v/>
      </c>
      <c r="BW271" s="135" t="str">
        <f aca="false">IF(ISBLANK($C271),"",IF($BD271&lt;&gt;Constants!$B$6,"",IF($AU271="-&gt;",$AW271,$AN271)))</f>
        <v/>
      </c>
      <c r="BX271" s="135" t="str">
        <f aca="false">IF(ISBLANK($C271),"",IF($BD271&lt;&gt;Constants!$B$6,"",IF($AU271="-&gt;",$AX271,$AO271)))</f>
        <v/>
      </c>
      <c r="BY271" s="135" t="str">
        <f aca="false">IF(ISBLANK($C271),"",IF($BD271&lt;&gt;Constants!$B$6,"",IF($AU271="-&gt;",$AY271,$AP271)))</f>
        <v/>
      </c>
      <c r="BZ271" s="135" t="str">
        <f aca="false">IF(ISBLANK($C271),"",IF($BD271&lt;&gt;Constants!$B$6,"",IF($AU271="-&gt;",$AZ271,$AQ271)+$BG271))</f>
        <v/>
      </c>
      <c r="CA271" s="136" t="str">
        <f aca="false">IF(ISBLANK($C271),"",IF($BD271&lt;&gt;Constants!$B$6,$BD271,$BH271))</f>
        <v/>
      </c>
      <c r="CB271" s="137" t="str">
        <f aca="false">IF(ISBLANK($C271),"",$BE271)</f>
        <v/>
      </c>
      <c r="CC271" s="138" t="str">
        <f aca="false">IF(ISBLANK($C271),"",$BS271)</f>
        <v/>
      </c>
      <c r="CD271" s="138" t="str">
        <f aca="false">IF(ISBLANK($C271),"",$BR271)</f>
        <v/>
      </c>
      <c r="CE271" s="139" t="str">
        <f aca="false">IF(ISBLANK($C271),"",IF($CD271=Constants!$B$9,COUNTA($C$9:$C$508)+2,IF($CD271=Constants!$B$8,COUNTA($C$9:$C$508)+1,IF($CD271=Constants!$B$7,COUNTA($C$9:$C$508),$CD271))))</f>
        <v/>
      </c>
      <c r="CF271" s="9"/>
      <c r="CG271" s="140" t="n">
        <f aca="false">IF(OR(ISNUMBER($CD271),$CD271=Constants!$B$9,$CD271=Constants!$B$7,$CD271=Constants!$B$8),1,0)</f>
        <v>0</v>
      </c>
      <c r="CH271" s="140" t="n">
        <v>263</v>
      </c>
      <c r="CI271" s="140" t="str">
        <f aca="false">IF(ISBLANK($C271),"",IF(ISNUMBER($CE271),$CE271+ROW($B271)/1000,""))</f>
        <v/>
      </c>
      <c r="CJ271" s="140" t="str">
        <f aca="false">IF(ISNUMBER($CI271),RANK($CI271,$CI$9:$CI$508,1),"")</f>
        <v/>
      </c>
      <c r="CK271" s="140" t="str">
        <f aca="false">IF(ISBLANK($C271),"",$B271)</f>
        <v/>
      </c>
      <c r="CL271" s="140" t="str">
        <f aca="false">IF(ISBLANK($C271),"",$C271)</f>
        <v/>
      </c>
      <c r="CM271" s="140" t="str">
        <f aca="false">IF(ISBLANK($C271),"",$D271)</f>
        <v/>
      </c>
      <c r="CN271" s="141" t="str">
        <f aca="false">$CB271</f>
        <v/>
      </c>
      <c r="CO271" s="142" t="str">
        <f aca="false">$CA271</f>
        <v/>
      </c>
      <c r="CP271" s="140" t="str">
        <f aca="false">IF(ISBLANK($C271),"",$CD271)</f>
        <v/>
      </c>
      <c r="CQ271" s="143" t="str">
        <f aca="false">IF($CH271&gt;$CG$8,"",VLOOKUP($CH271,$CJ$9:$CP$508,7,FALSE()))</f>
        <v/>
      </c>
      <c r="CR271" s="144" t="str">
        <f aca="false">IF($CH271&gt;$CG$8,"",VLOOKUP($CH271,$CJ$9:$CP$508,2,FALSE()))</f>
        <v/>
      </c>
      <c r="CS271" s="144" t="str">
        <f aca="false">IF($CH271&gt;$CG$8,"",VLOOKUP($CH271,$CJ$9:$CP$508,3,FALSE()))</f>
        <v/>
      </c>
      <c r="CT271" s="144" t="str">
        <f aca="false">IF($CH271&gt;$CG$8,"",VLOOKUP($CH271,$CJ$9:$CP$508,4,FALSE()))</f>
        <v/>
      </c>
      <c r="CU271" s="144" t="str">
        <f aca="false">IF($CH271&gt;$CG$8,"",VLOOKUP($CH271,$CJ$9:$CP$508,5,FALSE()))</f>
        <v/>
      </c>
      <c r="CV271" s="145" t="str">
        <f aca="false">IF($CH271&gt;$CG$8,"",VLOOKUP($CH271,$CJ$9:$CP$508,6,FALSE()))</f>
        <v/>
      </c>
      <c r="CW271" s="71"/>
    </row>
    <row r="272" customFormat="false" ht="15.75" hidden="false" customHeight="false" outlineLevel="0" collapsed="false">
      <c r="A272" s="9"/>
      <c r="B272" s="150"/>
      <c r="C272" s="151"/>
      <c r="D272" s="152"/>
      <c r="E272" s="170"/>
      <c r="F272" s="154"/>
      <c r="G272" s="155"/>
      <c r="H272" s="171"/>
      <c r="I272" s="159"/>
      <c r="J272" s="120"/>
      <c r="K272" s="121"/>
      <c r="L272" s="122"/>
      <c r="M272" s="158"/>
      <c r="N272" s="159"/>
      <c r="O272" s="159"/>
      <c r="P272" s="120"/>
      <c r="Q272" s="122"/>
      <c r="R272" s="122"/>
      <c r="S272" s="158"/>
      <c r="T272" s="159"/>
      <c r="U272" s="126"/>
      <c r="V272" s="127"/>
      <c r="W272" s="127" t="str">
        <f aca="false">IF(ISBLANK($C272),"",IF(E272=Constants!$B$2,TRUE(),IF(E272=Constants!$B$3,FALSE(),TRUE())))</f>
        <v/>
      </c>
      <c r="X272" s="127" t="str">
        <f aca="false">IF(ISBLANK($C272),"",IF(F272=Constants!$B$2,TRUE(),IF(F272=Constants!$B$3,FALSE(),TRUE())))</f>
        <v/>
      </c>
      <c r="Y272" s="127" t="str">
        <f aca="false">IF(ISBLANK($C272),"",IF(G272=Constants!$B$2,TRUE(),IF(G272=Constants!$B$3,FALSE(),TRUE())))</f>
        <v/>
      </c>
      <c r="Z272" s="127" t="str">
        <f aca="false">IF(ISBLANK($C272),"",IF(H272=Constants!$B$2,TRUE(),IF(H272=Constants!$B$3,FALSE(),TRUE())))</f>
        <v/>
      </c>
      <c r="AA272" s="127" t="str">
        <f aca="false">IF(ISBLANK($C272),"",IF(I272=Constants!$B$2,TRUE(),IF(I272=Constants!$B$3,FALSE(),TRUE())))</f>
        <v/>
      </c>
      <c r="AB272" s="127" t="str">
        <f aca="false">IF(ISBLANK($C272),"",IF(J272=Constants!$B$4,TRUE(),IF(J272=Constants!$B$5,FALSE(),COUNTA(K272:M272)&gt;0)))</f>
        <v/>
      </c>
      <c r="AC272" s="128" t="str">
        <f aca="false">IF(ISBLANK($C272),"",IF(ISNUMBER(K272),IF(K272&gt;=0,K272,""),""))</f>
        <v/>
      </c>
      <c r="AD272" s="129" t="str">
        <f aca="false">IF(ISBLANK($C272),"",IF(ISNUMBER(L272),IF(L272&gt;=0,L272,""),""))</f>
        <v/>
      </c>
      <c r="AE272" s="127" t="str">
        <f aca="false">IF(ISBLANK($C272),"",IF(ISNUMBER(M272),IF(M272&gt;=0,MIN(M272,Constants!$B$22),""),""))</f>
        <v/>
      </c>
      <c r="AF272" s="127" t="str">
        <f aca="false">IF(ISBLANK($C272),"",IF(N272=Constants!$B$2,TRUE(),IF(N272=Constants!$B$3,FALSE(),TRUE())))</f>
        <v/>
      </c>
      <c r="AG272" s="127" t="str">
        <f aca="false">IF(ISBLANK($C272),"",IF(O272=Constants!$B$2,TRUE(),IF(O272=Constants!$B$3,FALSE(),TRUE())))</f>
        <v/>
      </c>
      <c r="AH272" s="127" t="str">
        <f aca="false">IF(ISBLANK($C272),"",IF(P272=Constants!$B$4,TRUE(),IF(P272=Constants!$B$5,FALSE(),COUNTA(Q272:S272)&gt;0)))</f>
        <v/>
      </c>
      <c r="AI272" s="128" t="str">
        <f aca="false">IF(ISBLANK($C272),"",IF(ISNUMBER(Q272),IF(Q272&gt;=0,Q272,""),""))</f>
        <v/>
      </c>
      <c r="AJ272" s="129" t="str">
        <f aca="false">IF(ISBLANK($C272),"",IF(ISNUMBER(R272),IF(R272&gt;=0,R272,""),""))</f>
        <v/>
      </c>
      <c r="AK272" s="127" t="str">
        <f aca="false">IF(ISBLANK($C272),"",IF(ISNUMBER(S272),IF(S272&gt;=0,MIN(S272,Constants!$B$22),""),""))</f>
        <v/>
      </c>
      <c r="AL272" s="127" t="str">
        <f aca="false">IF(ISBLANK($C272),"",IF(T272=Constants!$B$2,TRUE(),IF(T272=Constants!$B$3,FALSE(),FALSE())))</f>
        <v/>
      </c>
      <c r="AM272" s="126" t="str">
        <f aca="false">IF(ISBLANK($C272),"",AND($AB272,OR($AC272="",$AD272="",AND(NOT(ISBLANK($M272)),$AE272=""))))</f>
        <v/>
      </c>
      <c r="AN272" s="129" t="str">
        <f aca="false">IF($BD272&lt;&gt;Constants!$B$6,"",IF($AB272,Constants!$B$17*$AD272,Constants!$B$18))</f>
        <v/>
      </c>
      <c r="AO272" s="130" t="str">
        <f aca="false">IF($BD272&lt;&gt;Constants!$B$6,"",Constants!$B$19*IF($AB272,$AC272,0))</f>
        <v/>
      </c>
      <c r="AP272" s="130" t="str">
        <f aca="false">IF($BD272&lt;&gt;Constants!$B$6,"",IF(AND($AB272,ISNUMBER($AE272)),Constants!$B$20*(Constants!$B$21-$AE272),0))</f>
        <v/>
      </c>
      <c r="AQ272" s="130" t="str">
        <f aca="false">IF($BD272&lt;&gt;Constants!$B$6,"",IF($AA272,0,Constants!$B$12)+IF($Z272,0,Constants!$B$13)+IF($Y272,0,Constants!$B$14))</f>
        <v/>
      </c>
      <c r="AR272" s="131" t="str">
        <f aca="false">IF($BD272&lt;&gt;Constants!$B$6,"",Constants!$B$16+SUM($AN272:$AQ272))</f>
        <v/>
      </c>
      <c r="AS272" s="130" t="str">
        <f aca="false">IF($BD272&lt;&gt;Constants!$B$6,"",IF($AB272,$AD272,""))</f>
        <v/>
      </c>
      <c r="AT272" s="132" t="str">
        <f aca="false">IF($BD272&lt;&gt;Constants!$B$6,"",$AO272)</f>
        <v/>
      </c>
      <c r="AU272" s="127" t="str">
        <f aca="false">IF($BD272&lt;&gt;Constants!$B$6,"",IF(OR($BA272&lt;$AR272,AND($BA272=$AR272,OR(AND(ISNUMBER($BB272),OR(NOT(ISNUMBER($AS272)),$BB272&lt;$AS272)),AND(OR(AND($BB272="",$AS272=""),AND(ISNUMBER($BB272),ISNUMBER($AS272),$BB272=$AS272)),$BC272&lt;$AT272)))),"-&gt;","&lt;-"))</f>
        <v/>
      </c>
      <c r="AV272" s="126" t="str">
        <f aca="false">IF(ISBLANK($C272),"",AND($AH272,OR($AI272="",$AJ272="",AND(NOT(ISBLANK($S272)),$AK272=""))))</f>
        <v/>
      </c>
      <c r="AW272" s="129" t="str">
        <f aca="false">IF($BD272&lt;&gt;Constants!$B$6,"",IF($AH272,Constants!$B$17*$AJ272,Constants!$B$18))</f>
        <v/>
      </c>
      <c r="AX272" s="130" t="str">
        <f aca="false">IF($BD272&lt;&gt;Constants!$B$6,"",Constants!$B$19*IF($AH272,$AI272,0))</f>
        <v/>
      </c>
      <c r="AY272" s="130" t="str">
        <f aca="false">IF($BD272&lt;&gt;Constants!$B$6,"",IF(AND($AH272,ISNUMBER($AK272)),Constants!$B$20*(Constants!$B$21-$AK272),0))</f>
        <v/>
      </c>
      <c r="AZ272" s="130" t="str">
        <f aca="false">IF($BD272&lt;&gt;Constants!$B$6,"",IF($AG272,0,Constants!$B$12)+IF($AF272,0,Constants!$B$13)+IF($Y272,0,Constants!$B$14))</f>
        <v/>
      </c>
      <c r="BA272" s="131" t="str">
        <f aca="false">IF($BD272&lt;&gt;Constants!$B$6,"",Constants!$B$16+SUM($AW272:$AZ272))</f>
        <v/>
      </c>
      <c r="BB272" s="130" t="str">
        <f aca="false">IF($BD272&lt;&gt;Constants!$B$6,"",IF($AH272,$AJ272,""))</f>
        <v/>
      </c>
      <c r="BC272" s="132" t="str">
        <f aca="false">IF($BD272&lt;&gt;Constants!$B$6,"",$AX272)</f>
        <v/>
      </c>
      <c r="BD272" s="127" t="str">
        <f aca="false">IF(ISBLANK($C272),"",IF($AL272,Constants!$B$9,IF(COUNTA($E272:$T272)=0,Constants!$B$8,IF(NOT($X272),Constants!$B$7,IF(OR($AM272,$AV272),Constants!$B$10,Constants!$B$6)))))</f>
        <v/>
      </c>
      <c r="BE272" s="127" t="str">
        <f aca="false">IF(ISBLANK($C272),"",IF($BD272&lt;&gt;Constants!$B$6,$BD272,Constants!$B$11))</f>
        <v/>
      </c>
      <c r="BF272" s="130" t="str">
        <f aca="false">IF($BD272&lt;&gt;Constants!$B$6,"",IF($AU272="-&gt;",$BA272,$AR272))</f>
        <v/>
      </c>
      <c r="BG272" s="130" t="str">
        <f aca="false">IF($BD272&lt;&gt;Constants!$B$6,"",IF($W272,0,Constants!$B$15))</f>
        <v/>
      </c>
      <c r="BH272" s="130" t="str">
        <f aca="false">IF(ISBLANK($C272),"",IF($BD272&lt;&gt;Constants!$B$6,$BD272,SUM($BF272:$BG272)))</f>
        <v/>
      </c>
      <c r="BI272" s="127" t="str">
        <f aca="false">IF(ISBLANK($C272),"",IF($BD272&lt;&gt;Constants!$B$6,$BD272,RANK($BH272,$BH$9:$BH$508,1)))</f>
        <v/>
      </c>
      <c r="BJ272" s="130" t="str">
        <f aca="false">IF($BD272&lt;&gt;Constants!$B$6,"",IF($AU272="-&gt;",$BB272,$AS272))</f>
        <v/>
      </c>
      <c r="BK272" s="127" t="str">
        <f aca="false">IF(ISBLANK($C272),"",IF($BD272&lt;&gt;Constants!$B$6,$BD272,IF(ISNUMBER($BJ272),RANK($BJ272,$BJ$9:$BJ$508,1),COUNT($BJ$9:$BJ$508)+1)))</f>
        <v/>
      </c>
      <c r="BL272" s="130" t="str">
        <f aca="false">IF($BD272&lt;&gt;Constants!$B$6,"",IF($AU272="-&gt;",$BC272,$AT272))</f>
        <v/>
      </c>
      <c r="BM272" s="127" t="str">
        <f aca="false">IF(ISBLANK($C272),"",IF($BD272&lt;&gt;Constants!$B$6,$BD272,IF(ISNUMBER($BL272),RANK($BL272,$BL$9:$BL$508,1),COUNT($BL$9:$BL$508)+1)))</f>
        <v/>
      </c>
      <c r="BN272" s="130" t="str">
        <f aca="false">IF($BD272&lt;&gt;Constants!$B$6,"",IF($AU272="-&gt;",$AS272,$BB272))</f>
        <v/>
      </c>
      <c r="BO272" s="127" t="str">
        <f aca="false">IF(ISBLANK($C272),"",IF($BD272&lt;&gt;Constants!$B$6,$BD272,IF(ISNUMBER($BN272),RANK($BN272,$BN$9:$BN$508,1),COUNT($BN$9:$BN$508)+1)))</f>
        <v/>
      </c>
      <c r="BP272" s="130" t="str">
        <f aca="false">IF($BD272&lt;&gt;Constants!$B$6,"",IF($AU272="-&gt;",$AT272,$BC272))</f>
        <v/>
      </c>
      <c r="BQ272" s="127" t="str">
        <f aca="false">IF(ISBLANK($C272),"",IF($BD272&lt;&gt;Constants!$B$6,$BD272,IF(ISNUMBER($BP272),RANK($BP272,$BP$9:$BP$508,1),COUNT($BP$9:$BP$508)+1)))</f>
        <v/>
      </c>
      <c r="BR272" s="127" t="str">
        <f aca="false">IF(ISBLANK($C272),"",IF($BD272&lt;&gt;Constants!$B$6,$BD272,COUNTIFS($BI$9:$BI$508,"&lt;"&amp;$BI272)+COUNTIFS($BI$9:$BI$508,$BI272,$BK$9:$BK$508,"&lt;"&amp;$BK272)+COUNTIFS($BI$9:$BI$508,$BI272,$BK$9:$BK$508,$BK272,$BM$9:$BM$508,"&lt;"&amp;$BM272)+COUNTIFS($BI$9:$BI$508,$BI272,$BK$9:$BK$508,$BK272,$BM$9:$BM$508,$BM272,$BO$9:$BO$508,"&lt;"&amp;$BO272)+COUNTIFS($BI$9:$BI$508,$BI272,$BK$9:$BK$508,$BK272,$BM$9:$BM$508,$BM272,$BO$9:$BO$508,$BO272,$BQ$9:$BQ$508,"&lt;"&amp;$BQ272)+1))</f>
        <v/>
      </c>
      <c r="BS272" s="127" t="str">
        <f aca="false">IF(ISBLANK($C272),"",IF($BD272&lt;&gt;Constants!$B$6,$BD272,$BI272-$BR272))</f>
        <v/>
      </c>
      <c r="BT272" s="133"/>
      <c r="BU272" s="134"/>
      <c r="BV272" s="134" t="str">
        <f aca="false">IF(ISBLANK($C272),"",IF($BD272&lt;&gt;Constants!$B$6,"",IF($AU272="-&gt;",2,1)))</f>
        <v/>
      </c>
      <c r="BW272" s="135" t="str">
        <f aca="false">IF(ISBLANK($C272),"",IF($BD272&lt;&gt;Constants!$B$6,"",IF($AU272="-&gt;",$AW272,$AN272)))</f>
        <v/>
      </c>
      <c r="BX272" s="135" t="str">
        <f aca="false">IF(ISBLANK($C272),"",IF($BD272&lt;&gt;Constants!$B$6,"",IF($AU272="-&gt;",$AX272,$AO272)))</f>
        <v/>
      </c>
      <c r="BY272" s="135" t="str">
        <f aca="false">IF(ISBLANK($C272),"",IF($BD272&lt;&gt;Constants!$B$6,"",IF($AU272="-&gt;",$AY272,$AP272)))</f>
        <v/>
      </c>
      <c r="BZ272" s="135" t="str">
        <f aca="false">IF(ISBLANK($C272),"",IF($BD272&lt;&gt;Constants!$B$6,"",IF($AU272="-&gt;",$AZ272,$AQ272)+$BG272))</f>
        <v/>
      </c>
      <c r="CA272" s="136" t="str">
        <f aca="false">IF(ISBLANK($C272),"",IF($BD272&lt;&gt;Constants!$B$6,$BD272,$BH272))</f>
        <v/>
      </c>
      <c r="CB272" s="137" t="str">
        <f aca="false">IF(ISBLANK($C272),"",$BE272)</f>
        <v/>
      </c>
      <c r="CC272" s="138" t="str">
        <f aca="false">IF(ISBLANK($C272),"",$BS272)</f>
        <v/>
      </c>
      <c r="CD272" s="138" t="str">
        <f aca="false">IF(ISBLANK($C272),"",$BR272)</f>
        <v/>
      </c>
      <c r="CE272" s="139" t="str">
        <f aca="false">IF(ISBLANK($C272),"",IF($CD272=Constants!$B$9,COUNTA($C$9:$C$508)+2,IF($CD272=Constants!$B$8,COUNTA($C$9:$C$508)+1,IF($CD272=Constants!$B$7,COUNTA($C$9:$C$508),$CD272))))</f>
        <v/>
      </c>
      <c r="CF272" s="9"/>
      <c r="CG272" s="140" t="n">
        <f aca="false">IF(OR(ISNUMBER($CD272),$CD272=Constants!$B$9,$CD272=Constants!$B$7,$CD272=Constants!$B$8),1,0)</f>
        <v>0</v>
      </c>
      <c r="CH272" s="140" t="n">
        <v>264</v>
      </c>
      <c r="CI272" s="140" t="str">
        <f aca="false">IF(ISBLANK($C272),"",IF(ISNUMBER($CE272),$CE272+ROW($B272)/1000,""))</f>
        <v/>
      </c>
      <c r="CJ272" s="140" t="str">
        <f aca="false">IF(ISNUMBER($CI272),RANK($CI272,$CI$9:$CI$508,1),"")</f>
        <v/>
      </c>
      <c r="CK272" s="140" t="str">
        <f aca="false">IF(ISBLANK($C272),"",$B272)</f>
        <v/>
      </c>
      <c r="CL272" s="140" t="str">
        <f aca="false">IF(ISBLANK($C272),"",$C272)</f>
        <v/>
      </c>
      <c r="CM272" s="140" t="str">
        <f aca="false">IF(ISBLANK($C272),"",$D272)</f>
        <v/>
      </c>
      <c r="CN272" s="141" t="str">
        <f aca="false">$CB272</f>
        <v/>
      </c>
      <c r="CO272" s="142" t="str">
        <f aca="false">$CA272</f>
        <v/>
      </c>
      <c r="CP272" s="140" t="str">
        <f aca="false">IF(ISBLANK($C272),"",$CD272)</f>
        <v/>
      </c>
      <c r="CQ272" s="143" t="str">
        <f aca="false">IF($CH272&gt;$CG$8,"",VLOOKUP($CH272,$CJ$9:$CP$508,7,FALSE()))</f>
        <v/>
      </c>
      <c r="CR272" s="144" t="str">
        <f aca="false">IF($CH272&gt;$CG$8,"",VLOOKUP($CH272,$CJ$9:$CP$508,2,FALSE()))</f>
        <v/>
      </c>
      <c r="CS272" s="144" t="str">
        <f aca="false">IF($CH272&gt;$CG$8,"",VLOOKUP($CH272,$CJ$9:$CP$508,3,FALSE()))</f>
        <v/>
      </c>
      <c r="CT272" s="144" t="str">
        <f aca="false">IF($CH272&gt;$CG$8,"",VLOOKUP($CH272,$CJ$9:$CP$508,4,FALSE()))</f>
        <v/>
      </c>
      <c r="CU272" s="144" t="str">
        <f aca="false">IF($CH272&gt;$CG$8,"",VLOOKUP($CH272,$CJ$9:$CP$508,5,FALSE()))</f>
        <v/>
      </c>
      <c r="CV272" s="145" t="str">
        <f aca="false">IF($CH272&gt;$CG$8,"",VLOOKUP($CH272,$CJ$9:$CP$508,6,FALSE()))</f>
        <v/>
      </c>
      <c r="CW272" s="71"/>
    </row>
    <row r="273" customFormat="false" ht="15.75" hidden="false" customHeight="false" outlineLevel="0" collapsed="false">
      <c r="A273" s="9"/>
      <c r="B273" s="72"/>
      <c r="C273" s="73"/>
      <c r="D273" s="160"/>
      <c r="E273" s="168"/>
      <c r="F273" s="162"/>
      <c r="G273" s="163"/>
      <c r="H273" s="169"/>
      <c r="I273" s="167"/>
      <c r="J273" s="80"/>
      <c r="K273" s="81"/>
      <c r="L273" s="82"/>
      <c r="M273" s="166"/>
      <c r="N273" s="167"/>
      <c r="O273" s="167"/>
      <c r="P273" s="80"/>
      <c r="Q273" s="82"/>
      <c r="R273" s="82"/>
      <c r="S273" s="166"/>
      <c r="T273" s="167"/>
      <c r="U273" s="86"/>
      <c r="V273" s="87"/>
      <c r="W273" s="87" t="str">
        <f aca="false">IF(ISBLANK($C273),"",IF(E273=Constants!$B$2,TRUE(),IF(E273=Constants!$B$3,FALSE(),TRUE())))</f>
        <v/>
      </c>
      <c r="X273" s="87" t="str">
        <f aca="false">IF(ISBLANK($C273),"",IF(F273=Constants!$B$2,TRUE(),IF(F273=Constants!$B$3,FALSE(),TRUE())))</f>
        <v/>
      </c>
      <c r="Y273" s="87" t="str">
        <f aca="false">IF(ISBLANK($C273),"",IF(G273=Constants!$B$2,TRUE(),IF(G273=Constants!$B$3,FALSE(),TRUE())))</f>
        <v/>
      </c>
      <c r="Z273" s="87" t="str">
        <f aca="false">IF(ISBLANK($C273),"",IF(H273=Constants!$B$2,TRUE(),IF(H273=Constants!$B$3,FALSE(),TRUE())))</f>
        <v/>
      </c>
      <c r="AA273" s="87" t="str">
        <f aca="false">IF(ISBLANK($C273),"",IF(I273=Constants!$B$2,TRUE(),IF(I273=Constants!$B$3,FALSE(),TRUE())))</f>
        <v/>
      </c>
      <c r="AB273" s="87" t="str">
        <f aca="false">IF(ISBLANK($C273),"",IF(J273=Constants!$B$4,TRUE(),IF(J273=Constants!$B$5,FALSE(),COUNTA(K273:M273)&gt;0)))</f>
        <v/>
      </c>
      <c r="AC273" s="88" t="str">
        <f aca="false">IF(ISBLANK($C273),"",IF(ISNUMBER(K273),IF(K273&gt;=0,K273,""),""))</f>
        <v/>
      </c>
      <c r="AD273" s="89" t="str">
        <f aca="false">IF(ISBLANK($C273),"",IF(ISNUMBER(L273),IF(L273&gt;=0,L273,""),""))</f>
        <v/>
      </c>
      <c r="AE273" s="87" t="str">
        <f aca="false">IF(ISBLANK($C273),"",IF(ISNUMBER(M273),IF(M273&gt;=0,MIN(M273,Constants!$B$22),""),""))</f>
        <v/>
      </c>
      <c r="AF273" s="87" t="str">
        <f aca="false">IF(ISBLANK($C273),"",IF(N273=Constants!$B$2,TRUE(),IF(N273=Constants!$B$3,FALSE(),TRUE())))</f>
        <v/>
      </c>
      <c r="AG273" s="87" t="str">
        <f aca="false">IF(ISBLANK($C273),"",IF(O273=Constants!$B$2,TRUE(),IF(O273=Constants!$B$3,FALSE(),TRUE())))</f>
        <v/>
      </c>
      <c r="AH273" s="87" t="str">
        <f aca="false">IF(ISBLANK($C273),"",IF(P273=Constants!$B$4,TRUE(),IF(P273=Constants!$B$5,FALSE(),COUNTA(Q273:S273)&gt;0)))</f>
        <v/>
      </c>
      <c r="AI273" s="88" t="str">
        <f aca="false">IF(ISBLANK($C273),"",IF(ISNUMBER(Q273),IF(Q273&gt;=0,Q273,""),""))</f>
        <v/>
      </c>
      <c r="AJ273" s="89" t="str">
        <f aca="false">IF(ISBLANK($C273),"",IF(ISNUMBER(R273),IF(R273&gt;=0,R273,""),""))</f>
        <v/>
      </c>
      <c r="AK273" s="87" t="str">
        <f aca="false">IF(ISBLANK($C273),"",IF(ISNUMBER(S273),IF(S273&gt;=0,MIN(S273,Constants!$B$22),""),""))</f>
        <v/>
      </c>
      <c r="AL273" s="87" t="str">
        <f aca="false">IF(ISBLANK($C273),"",IF(T273=Constants!$B$2,TRUE(),IF(T273=Constants!$B$3,FALSE(),FALSE())))</f>
        <v/>
      </c>
      <c r="AM273" s="86" t="str">
        <f aca="false">IF(ISBLANK($C273),"",AND($AB273,OR($AC273="",$AD273="",AND(NOT(ISBLANK($M273)),$AE273=""))))</f>
        <v/>
      </c>
      <c r="AN273" s="89" t="str">
        <f aca="false">IF($BD273&lt;&gt;Constants!$B$6,"",IF($AB273,Constants!$B$17*$AD273,Constants!$B$18))</f>
        <v/>
      </c>
      <c r="AO273" s="91" t="str">
        <f aca="false">IF($BD273&lt;&gt;Constants!$B$6,"",Constants!$B$19*IF($AB273,$AC273,0))</f>
        <v/>
      </c>
      <c r="AP273" s="91" t="str">
        <f aca="false">IF($BD273&lt;&gt;Constants!$B$6,"",IF(AND($AB273,ISNUMBER($AE273)),Constants!$B$20*(Constants!$B$21-$AE273),0))</f>
        <v/>
      </c>
      <c r="AQ273" s="91" t="str">
        <f aca="false">IF($BD273&lt;&gt;Constants!$B$6,"",IF($AA273,0,Constants!$B$12)+IF($Z273,0,Constants!$B$13)+IF($Y273,0,Constants!$B$14))</f>
        <v/>
      </c>
      <c r="AR273" s="92" t="str">
        <f aca="false">IF($BD273&lt;&gt;Constants!$B$6,"",Constants!$B$16+SUM($AN273:$AQ273))</f>
        <v/>
      </c>
      <c r="AS273" s="91" t="str">
        <f aca="false">IF($BD273&lt;&gt;Constants!$B$6,"",IF($AB273,$AD273,""))</f>
        <v/>
      </c>
      <c r="AT273" s="93" t="str">
        <f aca="false">IF($BD273&lt;&gt;Constants!$B$6,"",$AO273)</f>
        <v/>
      </c>
      <c r="AU273" s="87" t="str">
        <f aca="false">IF($BD273&lt;&gt;Constants!$B$6,"",IF(OR($BA273&lt;$AR273,AND($BA273=$AR273,OR(AND(ISNUMBER($BB273),OR(NOT(ISNUMBER($AS273)),$BB273&lt;$AS273)),AND(OR(AND($BB273="",$AS273=""),AND(ISNUMBER($BB273),ISNUMBER($AS273),$BB273=$AS273)),$BC273&lt;$AT273)))),"-&gt;","&lt;-"))</f>
        <v/>
      </c>
      <c r="AV273" s="86" t="str">
        <f aca="false">IF(ISBLANK($C273),"",AND($AH273,OR($AI273="",$AJ273="",AND(NOT(ISBLANK($S273)),$AK273=""))))</f>
        <v/>
      </c>
      <c r="AW273" s="89" t="str">
        <f aca="false">IF($BD273&lt;&gt;Constants!$B$6,"",IF($AH273,Constants!$B$17*$AJ273,Constants!$B$18))</f>
        <v/>
      </c>
      <c r="AX273" s="91" t="str">
        <f aca="false">IF($BD273&lt;&gt;Constants!$B$6,"",Constants!$B$19*IF($AH273,$AI273,0))</f>
        <v/>
      </c>
      <c r="AY273" s="91" t="str">
        <f aca="false">IF($BD273&lt;&gt;Constants!$B$6,"",IF(AND($AH273,ISNUMBER($AK273)),Constants!$B$20*(Constants!$B$21-$AK273),0))</f>
        <v/>
      </c>
      <c r="AZ273" s="91" t="str">
        <f aca="false">IF($BD273&lt;&gt;Constants!$B$6,"",IF($AG273,0,Constants!$B$12)+IF($AF273,0,Constants!$B$13)+IF($Y273,0,Constants!$B$14))</f>
        <v/>
      </c>
      <c r="BA273" s="92" t="str">
        <f aca="false">IF($BD273&lt;&gt;Constants!$B$6,"",Constants!$B$16+SUM($AW273:$AZ273))</f>
        <v/>
      </c>
      <c r="BB273" s="91" t="str">
        <f aca="false">IF($BD273&lt;&gt;Constants!$B$6,"",IF($AH273,$AJ273,""))</f>
        <v/>
      </c>
      <c r="BC273" s="93" t="str">
        <f aca="false">IF($BD273&lt;&gt;Constants!$B$6,"",$AX273)</f>
        <v/>
      </c>
      <c r="BD273" s="87" t="str">
        <f aca="false">IF(ISBLANK($C273),"",IF($AL273,Constants!$B$9,IF(COUNTA($E273:$T273)=0,Constants!$B$8,IF(NOT($X273),Constants!$B$7,IF(OR($AM273,$AV273),Constants!$B$10,Constants!$B$6)))))</f>
        <v/>
      </c>
      <c r="BE273" s="87" t="str">
        <f aca="false">IF(ISBLANK($C273),"",IF($BD273&lt;&gt;Constants!$B$6,$BD273,Constants!$B$11))</f>
        <v/>
      </c>
      <c r="BF273" s="91" t="str">
        <f aca="false">IF($BD273&lt;&gt;Constants!$B$6,"",IF($AU273="-&gt;",$BA273,$AR273))</f>
        <v/>
      </c>
      <c r="BG273" s="91" t="str">
        <f aca="false">IF($BD273&lt;&gt;Constants!$B$6,"",IF($W273,0,Constants!$B$15))</f>
        <v/>
      </c>
      <c r="BH273" s="91" t="str">
        <f aca="false">IF(ISBLANK($C273),"",IF($BD273&lt;&gt;Constants!$B$6,$BD273,SUM($BF273:$BG273)))</f>
        <v/>
      </c>
      <c r="BI273" s="87" t="str">
        <f aca="false">IF(ISBLANK($C273),"",IF($BD273&lt;&gt;Constants!$B$6,$BD273,RANK($BH273,$BH$9:$BH$508,1)))</f>
        <v/>
      </c>
      <c r="BJ273" s="91" t="str">
        <f aca="false">IF($BD273&lt;&gt;Constants!$B$6,"",IF($AU273="-&gt;",$BB273,$AS273))</f>
        <v/>
      </c>
      <c r="BK273" s="87" t="str">
        <f aca="false">IF(ISBLANK($C273),"",IF($BD273&lt;&gt;Constants!$B$6,$BD273,IF(ISNUMBER($BJ273),RANK($BJ273,$BJ$9:$BJ$508,1),COUNT($BJ$9:$BJ$508)+1)))</f>
        <v/>
      </c>
      <c r="BL273" s="91" t="str">
        <f aca="false">IF($BD273&lt;&gt;Constants!$B$6,"",IF($AU273="-&gt;",$BC273,$AT273))</f>
        <v/>
      </c>
      <c r="BM273" s="87" t="str">
        <f aca="false">IF(ISBLANK($C273),"",IF($BD273&lt;&gt;Constants!$B$6,$BD273,IF(ISNUMBER($BL273),RANK($BL273,$BL$9:$BL$508,1),COUNT($BL$9:$BL$508)+1)))</f>
        <v/>
      </c>
      <c r="BN273" s="91" t="str">
        <f aca="false">IF($BD273&lt;&gt;Constants!$B$6,"",IF($AU273="-&gt;",$AS273,$BB273))</f>
        <v/>
      </c>
      <c r="BO273" s="87" t="str">
        <f aca="false">IF(ISBLANK($C273),"",IF($BD273&lt;&gt;Constants!$B$6,$BD273,IF(ISNUMBER($BN273),RANK($BN273,$BN$9:$BN$508,1),COUNT($BN$9:$BN$508)+1)))</f>
        <v/>
      </c>
      <c r="BP273" s="91" t="str">
        <f aca="false">IF($BD273&lt;&gt;Constants!$B$6,"",IF($AU273="-&gt;",$AT273,$BC273))</f>
        <v/>
      </c>
      <c r="BQ273" s="87" t="str">
        <f aca="false">IF(ISBLANK($C273),"",IF($BD273&lt;&gt;Constants!$B$6,$BD273,IF(ISNUMBER($BP273),RANK($BP273,$BP$9:$BP$508,1),COUNT($BP$9:$BP$508)+1)))</f>
        <v/>
      </c>
      <c r="BR273" s="87" t="str">
        <f aca="false">IF(ISBLANK($C273),"",IF($BD273&lt;&gt;Constants!$B$6,$BD273,COUNTIFS($BI$9:$BI$508,"&lt;"&amp;$BI273)+COUNTIFS($BI$9:$BI$508,$BI273,$BK$9:$BK$508,"&lt;"&amp;$BK273)+COUNTIFS($BI$9:$BI$508,$BI273,$BK$9:$BK$508,$BK273,$BM$9:$BM$508,"&lt;"&amp;$BM273)+COUNTIFS($BI$9:$BI$508,$BI273,$BK$9:$BK$508,$BK273,$BM$9:$BM$508,$BM273,$BO$9:$BO$508,"&lt;"&amp;$BO273)+COUNTIFS($BI$9:$BI$508,$BI273,$BK$9:$BK$508,$BK273,$BM$9:$BM$508,$BM273,$BO$9:$BO$508,$BO273,$BQ$9:$BQ$508,"&lt;"&amp;$BQ273)+1))</f>
        <v/>
      </c>
      <c r="BS273" s="87" t="str">
        <f aca="false">IF(ISBLANK($C273),"",IF($BD273&lt;&gt;Constants!$B$6,$BD273,$BI273-$BR273))</f>
        <v/>
      </c>
      <c r="BT273" s="94"/>
      <c r="BU273" s="95"/>
      <c r="BV273" s="95" t="str">
        <f aca="false">IF(ISBLANK($C273),"",IF($BD273&lt;&gt;Constants!$B$6,"",IF($AU273="-&gt;",2,1)))</f>
        <v/>
      </c>
      <c r="BW273" s="96" t="str">
        <f aca="false">IF(ISBLANK($C273),"",IF($BD273&lt;&gt;Constants!$B$6,"",IF($AU273="-&gt;",$AW273,$AN273)))</f>
        <v/>
      </c>
      <c r="BX273" s="96" t="str">
        <f aca="false">IF(ISBLANK($C273),"",IF($BD273&lt;&gt;Constants!$B$6,"",IF($AU273="-&gt;",$AX273,$AO273)))</f>
        <v/>
      </c>
      <c r="BY273" s="96" t="str">
        <f aca="false">IF(ISBLANK($C273),"",IF($BD273&lt;&gt;Constants!$B$6,"",IF($AU273="-&gt;",$AY273,$AP273)))</f>
        <v/>
      </c>
      <c r="BZ273" s="96" t="str">
        <f aca="false">IF(ISBLANK($C273),"",IF($BD273&lt;&gt;Constants!$B$6,"",IF($AU273="-&gt;",$AZ273,$AQ273)+$BG273))</f>
        <v/>
      </c>
      <c r="CA273" s="97" t="str">
        <f aca="false">IF(ISBLANK($C273),"",IF($BD273&lt;&gt;Constants!$B$6,$BD273,$BH273))</f>
        <v/>
      </c>
      <c r="CB273" s="98" t="str">
        <f aca="false">IF(ISBLANK($C273),"",$BE273)</f>
        <v/>
      </c>
      <c r="CC273" s="99" t="str">
        <f aca="false">IF(ISBLANK($C273),"",$BS273)</f>
        <v/>
      </c>
      <c r="CD273" s="99" t="str">
        <f aca="false">IF(ISBLANK($C273),"",$BR273)</f>
        <v/>
      </c>
      <c r="CE273" s="100" t="str">
        <f aca="false">IF(ISBLANK($C273),"",IF($CD273=Constants!$B$9,COUNTA($C$9:$C$508)+2,IF($CD273=Constants!$B$8,COUNTA($C$9:$C$508)+1,IF($CD273=Constants!$B$7,COUNTA($C$9:$C$508),$CD273))))</f>
        <v/>
      </c>
      <c r="CF273" s="9"/>
      <c r="CG273" s="101" t="n">
        <f aca="false">IF(OR(ISNUMBER($CD273),$CD273=Constants!$B$9,$CD273=Constants!$B$7,$CD273=Constants!$B$8),1,0)</f>
        <v>0</v>
      </c>
      <c r="CH273" s="101" t="n">
        <v>265</v>
      </c>
      <c r="CI273" s="101" t="str">
        <f aca="false">IF(ISBLANK($C273),"",IF(ISNUMBER($CE273),$CE273+ROW($B273)/1000,""))</f>
        <v/>
      </c>
      <c r="CJ273" s="101" t="str">
        <f aca="false">IF(ISNUMBER($CI273),RANK($CI273,$CI$9:$CI$508,1),"")</f>
        <v/>
      </c>
      <c r="CK273" s="101" t="str">
        <f aca="false">IF(ISBLANK($C273),"",$B273)</f>
        <v/>
      </c>
      <c r="CL273" s="101" t="str">
        <f aca="false">IF(ISBLANK($C273),"",$C273)</f>
        <v/>
      </c>
      <c r="CM273" s="101" t="str">
        <f aca="false">IF(ISBLANK($C273),"",$D273)</f>
        <v/>
      </c>
      <c r="CN273" s="102" t="str">
        <f aca="false">$CB273</f>
        <v/>
      </c>
      <c r="CO273" s="103" t="str">
        <f aca="false">$CA273</f>
        <v/>
      </c>
      <c r="CP273" s="101" t="str">
        <f aca="false">IF(ISBLANK($C273),"",$CD273)</f>
        <v/>
      </c>
      <c r="CQ273" s="104" t="str">
        <f aca="false">IF($CH273&gt;$CG$8,"",VLOOKUP($CH273,$CJ$9:$CP$508,7,FALSE()))</f>
        <v/>
      </c>
      <c r="CR273" s="105" t="str">
        <f aca="false">IF($CH273&gt;$CG$8,"",VLOOKUP($CH273,$CJ$9:$CP$508,2,FALSE()))</f>
        <v/>
      </c>
      <c r="CS273" s="105" t="str">
        <f aca="false">IF($CH273&gt;$CG$8,"",VLOOKUP($CH273,$CJ$9:$CP$508,3,FALSE()))</f>
        <v/>
      </c>
      <c r="CT273" s="105" t="str">
        <f aca="false">IF($CH273&gt;$CG$8,"",VLOOKUP($CH273,$CJ$9:$CP$508,4,FALSE()))</f>
        <v/>
      </c>
      <c r="CU273" s="105" t="str">
        <f aca="false">IF($CH273&gt;$CG$8,"",VLOOKUP($CH273,$CJ$9:$CP$508,5,FALSE()))</f>
        <v/>
      </c>
      <c r="CV273" s="106" t="str">
        <f aca="false">IF($CH273&gt;$CG$8,"",VLOOKUP($CH273,$CJ$9:$CP$508,6,FALSE()))</f>
        <v/>
      </c>
      <c r="CW273" s="71"/>
    </row>
    <row r="274" customFormat="false" ht="15.75" hidden="false" customHeight="false" outlineLevel="0" collapsed="false">
      <c r="A274" s="9"/>
      <c r="B274" s="72"/>
      <c r="C274" s="73"/>
      <c r="D274" s="160"/>
      <c r="E274" s="168"/>
      <c r="F274" s="162"/>
      <c r="G274" s="163"/>
      <c r="H274" s="169"/>
      <c r="I274" s="167"/>
      <c r="J274" s="80"/>
      <c r="K274" s="81"/>
      <c r="L274" s="82"/>
      <c r="M274" s="166"/>
      <c r="N274" s="167"/>
      <c r="O274" s="167"/>
      <c r="P274" s="80"/>
      <c r="Q274" s="82"/>
      <c r="R274" s="82"/>
      <c r="S274" s="166"/>
      <c r="T274" s="167"/>
      <c r="U274" s="86"/>
      <c r="V274" s="87"/>
      <c r="W274" s="87" t="str">
        <f aca="false">IF(ISBLANK($C274),"",IF(E274=Constants!$B$2,TRUE(),IF(E274=Constants!$B$3,FALSE(),TRUE())))</f>
        <v/>
      </c>
      <c r="X274" s="87" t="str">
        <f aca="false">IF(ISBLANK($C274),"",IF(F274=Constants!$B$2,TRUE(),IF(F274=Constants!$B$3,FALSE(),TRUE())))</f>
        <v/>
      </c>
      <c r="Y274" s="87" t="str">
        <f aca="false">IF(ISBLANK($C274),"",IF(G274=Constants!$B$2,TRUE(),IF(G274=Constants!$B$3,FALSE(),TRUE())))</f>
        <v/>
      </c>
      <c r="Z274" s="87" t="str">
        <f aca="false">IF(ISBLANK($C274),"",IF(H274=Constants!$B$2,TRUE(),IF(H274=Constants!$B$3,FALSE(),TRUE())))</f>
        <v/>
      </c>
      <c r="AA274" s="87" t="str">
        <f aca="false">IF(ISBLANK($C274),"",IF(I274=Constants!$B$2,TRUE(),IF(I274=Constants!$B$3,FALSE(),TRUE())))</f>
        <v/>
      </c>
      <c r="AB274" s="87" t="str">
        <f aca="false">IF(ISBLANK($C274),"",IF(J274=Constants!$B$4,TRUE(),IF(J274=Constants!$B$5,FALSE(),COUNTA(K274:M274)&gt;0)))</f>
        <v/>
      </c>
      <c r="AC274" s="88" t="str">
        <f aca="false">IF(ISBLANK($C274),"",IF(ISNUMBER(K274),IF(K274&gt;=0,K274,""),""))</f>
        <v/>
      </c>
      <c r="AD274" s="89" t="str">
        <f aca="false">IF(ISBLANK($C274),"",IF(ISNUMBER(L274),IF(L274&gt;=0,L274,""),""))</f>
        <v/>
      </c>
      <c r="AE274" s="87" t="str">
        <f aca="false">IF(ISBLANK($C274),"",IF(ISNUMBER(M274),IF(M274&gt;=0,MIN(M274,Constants!$B$22),""),""))</f>
        <v/>
      </c>
      <c r="AF274" s="87" t="str">
        <f aca="false">IF(ISBLANK($C274),"",IF(N274=Constants!$B$2,TRUE(),IF(N274=Constants!$B$3,FALSE(),TRUE())))</f>
        <v/>
      </c>
      <c r="AG274" s="87" t="str">
        <f aca="false">IF(ISBLANK($C274),"",IF(O274=Constants!$B$2,TRUE(),IF(O274=Constants!$B$3,FALSE(),TRUE())))</f>
        <v/>
      </c>
      <c r="AH274" s="87" t="str">
        <f aca="false">IF(ISBLANK($C274),"",IF(P274=Constants!$B$4,TRUE(),IF(P274=Constants!$B$5,FALSE(),COUNTA(Q274:S274)&gt;0)))</f>
        <v/>
      </c>
      <c r="AI274" s="88" t="str">
        <f aca="false">IF(ISBLANK($C274),"",IF(ISNUMBER(Q274),IF(Q274&gt;=0,Q274,""),""))</f>
        <v/>
      </c>
      <c r="AJ274" s="89" t="str">
        <f aca="false">IF(ISBLANK($C274),"",IF(ISNUMBER(R274),IF(R274&gt;=0,R274,""),""))</f>
        <v/>
      </c>
      <c r="AK274" s="87" t="str">
        <f aca="false">IF(ISBLANK($C274),"",IF(ISNUMBER(S274),IF(S274&gt;=0,MIN(S274,Constants!$B$22),""),""))</f>
        <v/>
      </c>
      <c r="AL274" s="87" t="str">
        <f aca="false">IF(ISBLANK($C274),"",IF(T274=Constants!$B$2,TRUE(),IF(T274=Constants!$B$3,FALSE(),FALSE())))</f>
        <v/>
      </c>
      <c r="AM274" s="86" t="str">
        <f aca="false">IF(ISBLANK($C274),"",AND($AB274,OR($AC274="",$AD274="",AND(NOT(ISBLANK($M274)),$AE274=""))))</f>
        <v/>
      </c>
      <c r="AN274" s="89" t="str">
        <f aca="false">IF($BD274&lt;&gt;Constants!$B$6,"",IF($AB274,Constants!$B$17*$AD274,Constants!$B$18))</f>
        <v/>
      </c>
      <c r="AO274" s="91" t="str">
        <f aca="false">IF($BD274&lt;&gt;Constants!$B$6,"",Constants!$B$19*IF($AB274,$AC274,0))</f>
        <v/>
      </c>
      <c r="AP274" s="91" t="str">
        <f aca="false">IF($BD274&lt;&gt;Constants!$B$6,"",IF(AND($AB274,ISNUMBER($AE274)),Constants!$B$20*(Constants!$B$21-$AE274),0))</f>
        <v/>
      </c>
      <c r="AQ274" s="91" t="str">
        <f aca="false">IF($BD274&lt;&gt;Constants!$B$6,"",IF($AA274,0,Constants!$B$12)+IF($Z274,0,Constants!$B$13)+IF($Y274,0,Constants!$B$14))</f>
        <v/>
      </c>
      <c r="AR274" s="92" t="str">
        <f aca="false">IF($BD274&lt;&gt;Constants!$B$6,"",Constants!$B$16+SUM($AN274:$AQ274))</f>
        <v/>
      </c>
      <c r="AS274" s="91" t="str">
        <f aca="false">IF($BD274&lt;&gt;Constants!$B$6,"",IF($AB274,$AD274,""))</f>
        <v/>
      </c>
      <c r="AT274" s="93" t="str">
        <f aca="false">IF($BD274&lt;&gt;Constants!$B$6,"",$AO274)</f>
        <v/>
      </c>
      <c r="AU274" s="87" t="str">
        <f aca="false">IF($BD274&lt;&gt;Constants!$B$6,"",IF(OR($BA274&lt;$AR274,AND($BA274=$AR274,OR(AND(ISNUMBER($BB274),OR(NOT(ISNUMBER($AS274)),$BB274&lt;$AS274)),AND(OR(AND($BB274="",$AS274=""),AND(ISNUMBER($BB274),ISNUMBER($AS274),$BB274=$AS274)),$BC274&lt;$AT274)))),"-&gt;","&lt;-"))</f>
        <v/>
      </c>
      <c r="AV274" s="86" t="str">
        <f aca="false">IF(ISBLANK($C274),"",AND($AH274,OR($AI274="",$AJ274="",AND(NOT(ISBLANK($S274)),$AK274=""))))</f>
        <v/>
      </c>
      <c r="AW274" s="89" t="str">
        <f aca="false">IF($BD274&lt;&gt;Constants!$B$6,"",IF($AH274,Constants!$B$17*$AJ274,Constants!$B$18))</f>
        <v/>
      </c>
      <c r="AX274" s="91" t="str">
        <f aca="false">IF($BD274&lt;&gt;Constants!$B$6,"",Constants!$B$19*IF($AH274,$AI274,0))</f>
        <v/>
      </c>
      <c r="AY274" s="91" t="str">
        <f aca="false">IF($BD274&lt;&gt;Constants!$B$6,"",IF(AND($AH274,ISNUMBER($AK274)),Constants!$B$20*(Constants!$B$21-$AK274),0))</f>
        <v/>
      </c>
      <c r="AZ274" s="91" t="str">
        <f aca="false">IF($BD274&lt;&gt;Constants!$B$6,"",IF($AG274,0,Constants!$B$12)+IF($AF274,0,Constants!$B$13)+IF($Y274,0,Constants!$B$14))</f>
        <v/>
      </c>
      <c r="BA274" s="92" t="str">
        <f aca="false">IF($BD274&lt;&gt;Constants!$B$6,"",Constants!$B$16+SUM($AW274:$AZ274))</f>
        <v/>
      </c>
      <c r="BB274" s="91" t="str">
        <f aca="false">IF($BD274&lt;&gt;Constants!$B$6,"",IF($AH274,$AJ274,""))</f>
        <v/>
      </c>
      <c r="BC274" s="93" t="str">
        <f aca="false">IF($BD274&lt;&gt;Constants!$B$6,"",$AX274)</f>
        <v/>
      </c>
      <c r="BD274" s="87" t="str">
        <f aca="false">IF(ISBLANK($C274),"",IF($AL274,Constants!$B$9,IF(COUNTA($E274:$T274)=0,Constants!$B$8,IF(NOT($X274),Constants!$B$7,IF(OR($AM274,$AV274),Constants!$B$10,Constants!$B$6)))))</f>
        <v/>
      </c>
      <c r="BE274" s="87" t="str">
        <f aca="false">IF(ISBLANK($C274),"",IF($BD274&lt;&gt;Constants!$B$6,$BD274,Constants!$B$11))</f>
        <v/>
      </c>
      <c r="BF274" s="91" t="str">
        <f aca="false">IF($BD274&lt;&gt;Constants!$B$6,"",IF($AU274="-&gt;",$BA274,$AR274))</f>
        <v/>
      </c>
      <c r="BG274" s="91" t="str">
        <f aca="false">IF($BD274&lt;&gt;Constants!$B$6,"",IF($W274,0,Constants!$B$15))</f>
        <v/>
      </c>
      <c r="BH274" s="91" t="str">
        <f aca="false">IF(ISBLANK($C274),"",IF($BD274&lt;&gt;Constants!$B$6,$BD274,SUM($BF274:$BG274)))</f>
        <v/>
      </c>
      <c r="BI274" s="87" t="str">
        <f aca="false">IF(ISBLANK($C274),"",IF($BD274&lt;&gt;Constants!$B$6,$BD274,RANK($BH274,$BH$9:$BH$508,1)))</f>
        <v/>
      </c>
      <c r="BJ274" s="91" t="str">
        <f aca="false">IF($BD274&lt;&gt;Constants!$B$6,"",IF($AU274="-&gt;",$BB274,$AS274))</f>
        <v/>
      </c>
      <c r="BK274" s="87" t="str">
        <f aca="false">IF(ISBLANK($C274),"",IF($BD274&lt;&gt;Constants!$B$6,$BD274,IF(ISNUMBER($BJ274),RANK($BJ274,$BJ$9:$BJ$508,1),COUNT($BJ$9:$BJ$508)+1)))</f>
        <v/>
      </c>
      <c r="BL274" s="91" t="str">
        <f aca="false">IF($BD274&lt;&gt;Constants!$B$6,"",IF($AU274="-&gt;",$BC274,$AT274))</f>
        <v/>
      </c>
      <c r="BM274" s="87" t="str">
        <f aca="false">IF(ISBLANK($C274),"",IF($BD274&lt;&gt;Constants!$B$6,$BD274,IF(ISNUMBER($BL274),RANK($BL274,$BL$9:$BL$508,1),COUNT($BL$9:$BL$508)+1)))</f>
        <v/>
      </c>
      <c r="BN274" s="91" t="str">
        <f aca="false">IF($BD274&lt;&gt;Constants!$B$6,"",IF($AU274="-&gt;",$AS274,$BB274))</f>
        <v/>
      </c>
      <c r="BO274" s="87" t="str">
        <f aca="false">IF(ISBLANK($C274),"",IF($BD274&lt;&gt;Constants!$B$6,$BD274,IF(ISNUMBER($BN274),RANK($BN274,$BN$9:$BN$508,1),COUNT($BN$9:$BN$508)+1)))</f>
        <v/>
      </c>
      <c r="BP274" s="91" t="str">
        <f aca="false">IF($BD274&lt;&gt;Constants!$B$6,"",IF($AU274="-&gt;",$AT274,$BC274))</f>
        <v/>
      </c>
      <c r="BQ274" s="87" t="str">
        <f aca="false">IF(ISBLANK($C274),"",IF($BD274&lt;&gt;Constants!$B$6,$BD274,IF(ISNUMBER($BP274),RANK($BP274,$BP$9:$BP$508,1),COUNT($BP$9:$BP$508)+1)))</f>
        <v/>
      </c>
      <c r="BR274" s="87" t="str">
        <f aca="false">IF(ISBLANK($C274),"",IF($BD274&lt;&gt;Constants!$B$6,$BD274,COUNTIFS($BI$9:$BI$508,"&lt;"&amp;$BI274)+COUNTIFS($BI$9:$BI$508,$BI274,$BK$9:$BK$508,"&lt;"&amp;$BK274)+COUNTIFS($BI$9:$BI$508,$BI274,$BK$9:$BK$508,$BK274,$BM$9:$BM$508,"&lt;"&amp;$BM274)+COUNTIFS($BI$9:$BI$508,$BI274,$BK$9:$BK$508,$BK274,$BM$9:$BM$508,$BM274,$BO$9:$BO$508,"&lt;"&amp;$BO274)+COUNTIFS($BI$9:$BI$508,$BI274,$BK$9:$BK$508,$BK274,$BM$9:$BM$508,$BM274,$BO$9:$BO$508,$BO274,$BQ$9:$BQ$508,"&lt;"&amp;$BQ274)+1))</f>
        <v/>
      </c>
      <c r="BS274" s="87" t="str">
        <f aca="false">IF(ISBLANK($C274),"",IF($BD274&lt;&gt;Constants!$B$6,$BD274,$BI274-$BR274))</f>
        <v/>
      </c>
      <c r="BT274" s="94"/>
      <c r="BU274" s="95"/>
      <c r="BV274" s="95" t="str">
        <f aca="false">IF(ISBLANK($C274),"",IF($BD274&lt;&gt;Constants!$B$6,"",IF($AU274="-&gt;",2,1)))</f>
        <v/>
      </c>
      <c r="BW274" s="96" t="str">
        <f aca="false">IF(ISBLANK($C274),"",IF($BD274&lt;&gt;Constants!$B$6,"",IF($AU274="-&gt;",$AW274,$AN274)))</f>
        <v/>
      </c>
      <c r="BX274" s="96" t="str">
        <f aca="false">IF(ISBLANK($C274),"",IF($BD274&lt;&gt;Constants!$B$6,"",IF($AU274="-&gt;",$AX274,$AO274)))</f>
        <v/>
      </c>
      <c r="BY274" s="96" t="str">
        <f aca="false">IF(ISBLANK($C274),"",IF($BD274&lt;&gt;Constants!$B$6,"",IF($AU274="-&gt;",$AY274,$AP274)))</f>
        <v/>
      </c>
      <c r="BZ274" s="96" t="str">
        <f aca="false">IF(ISBLANK($C274),"",IF($BD274&lt;&gt;Constants!$B$6,"",IF($AU274="-&gt;",$AZ274,$AQ274)+$BG274))</f>
        <v/>
      </c>
      <c r="CA274" s="97" t="str">
        <f aca="false">IF(ISBLANK($C274),"",IF($BD274&lt;&gt;Constants!$B$6,$BD274,$BH274))</f>
        <v/>
      </c>
      <c r="CB274" s="98" t="str">
        <f aca="false">IF(ISBLANK($C274),"",$BE274)</f>
        <v/>
      </c>
      <c r="CC274" s="99" t="str">
        <f aca="false">IF(ISBLANK($C274),"",$BS274)</f>
        <v/>
      </c>
      <c r="CD274" s="99" t="str">
        <f aca="false">IF(ISBLANK($C274),"",$BR274)</f>
        <v/>
      </c>
      <c r="CE274" s="100" t="str">
        <f aca="false">IF(ISBLANK($C274),"",IF($CD274=Constants!$B$9,COUNTA($C$9:$C$508)+2,IF($CD274=Constants!$B$8,COUNTA($C$9:$C$508)+1,IF($CD274=Constants!$B$7,COUNTA($C$9:$C$508),$CD274))))</f>
        <v/>
      </c>
      <c r="CF274" s="9"/>
      <c r="CG274" s="101" t="n">
        <f aca="false">IF(OR(ISNUMBER($CD274),$CD274=Constants!$B$9,$CD274=Constants!$B$7,$CD274=Constants!$B$8),1,0)</f>
        <v>0</v>
      </c>
      <c r="CH274" s="101" t="n">
        <v>266</v>
      </c>
      <c r="CI274" s="101" t="str">
        <f aca="false">IF(ISBLANK($C274),"",IF(ISNUMBER($CE274),$CE274+ROW($B274)/1000,""))</f>
        <v/>
      </c>
      <c r="CJ274" s="101" t="str">
        <f aca="false">IF(ISNUMBER($CI274),RANK($CI274,$CI$9:$CI$508,1),"")</f>
        <v/>
      </c>
      <c r="CK274" s="101" t="str">
        <f aca="false">IF(ISBLANK($C274),"",$B274)</f>
        <v/>
      </c>
      <c r="CL274" s="101" t="str">
        <f aca="false">IF(ISBLANK($C274),"",$C274)</f>
        <v/>
      </c>
      <c r="CM274" s="101" t="str">
        <f aca="false">IF(ISBLANK($C274),"",$D274)</f>
        <v/>
      </c>
      <c r="CN274" s="102" t="str">
        <f aca="false">$CB274</f>
        <v/>
      </c>
      <c r="CO274" s="103" t="str">
        <f aca="false">$CA274</f>
        <v/>
      </c>
      <c r="CP274" s="101" t="str">
        <f aca="false">IF(ISBLANK($C274),"",$CD274)</f>
        <v/>
      </c>
      <c r="CQ274" s="104" t="str">
        <f aca="false">IF($CH274&gt;$CG$8,"",VLOOKUP($CH274,$CJ$9:$CP$508,7,FALSE()))</f>
        <v/>
      </c>
      <c r="CR274" s="105" t="str">
        <f aca="false">IF($CH274&gt;$CG$8,"",VLOOKUP($CH274,$CJ$9:$CP$508,2,FALSE()))</f>
        <v/>
      </c>
      <c r="CS274" s="105" t="str">
        <f aca="false">IF($CH274&gt;$CG$8,"",VLOOKUP($CH274,$CJ$9:$CP$508,3,FALSE()))</f>
        <v/>
      </c>
      <c r="CT274" s="105" t="str">
        <f aca="false">IF($CH274&gt;$CG$8,"",VLOOKUP($CH274,$CJ$9:$CP$508,4,FALSE()))</f>
        <v/>
      </c>
      <c r="CU274" s="105" t="str">
        <f aca="false">IF($CH274&gt;$CG$8,"",VLOOKUP($CH274,$CJ$9:$CP$508,5,FALSE()))</f>
        <v/>
      </c>
      <c r="CV274" s="106" t="str">
        <f aca="false">IF($CH274&gt;$CG$8,"",VLOOKUP($CH274,$CJ$9:$CP$508,6,FALSE()))</f>
        <v/>
      </c>
      <c r="CW274" s="71"/>
    </row>
    <row r="275" customFormat="false" ht="15.75" hidden="false" customHeight="false" outlineLevel="0" collapsed="false">
      <c r="A275" s="9"/>
      <c r="B275" s="72"/>
      <c r="C275" s="73"/>
      <c r="D275" s="160"/>
      <c r="E275" s="168"/>
      <c r="F275" s="162"/>
      <c r="G275" s="163"/>
      <c r="H275" s="169"/>
      <c r="I275" s="167"/>
      <c r="J275" s="80"/>
      <c r="K275" s="81"/>
      <c r="L275" s="82"/>
      <c r="M275" s="166"/>
      <c r="N275" s="167"/>
      <c r="O275" s="167"/>
      <c r="P275" s="80"/>
      <c r="Q275" s="82"/>
      <c r="R275" s="82"/>
      <c r="S275" s="166"/>
      <c r="T275" s="167"/>
      <c r="U275" s="86"/>
      <c r="V275" s="87"/>
      <c r="W275" s="87" t="str">
        <f aca="false">IF(ISBLANK($C275),"",IF(E275=Constants!$B$2,TRUE(),IF(E275=Constants!$B$3,FALSE(),TRUE())))</f>
        <v/>
      </c>
      <c r="X275" s="87" t="str">
        <f aca="false">IF(ISBLANK($C275),"",IF(F275=Constants!$B$2,TRUE(),IF(F275=Constants!$B$3,FALSE(),TRUE())))</f>
        <v/>
      </c>
      <c r="Y275" s="87" t="str">
        <f aca="false">IF(ISBLANK($C275),"",IF(G275=Constants!$B$2,TRUE(),IF(G275=Constants!$B$3,FALSE(),TRUE())))</f>
        <v/>
      </c>
      <c r="Z275" s="87" t="str">
        <f aca="false">IF(ISBLANK($C275),"",IF(H275=Constants!$B$2,TRUE(),IF(H275=Constants!$B$3,FALSE(),TRUE())))</f>
        <v/>
      </c>
      <c r="AA275" s="87" t="str">
        <f aca="false">IF(ISBLANK($C275),"",IF(I275=Constants!$B$2,TRUE(),IF(I275=Constants!$B$3,FALSE(),TRUE())))</f>
        <v/>
      </c>
      <c r="AB275" s="87" t="str">
        <f aca="false">IF(ISBLANK($C275),"",IF(J275=Constants!$B$4,TRUE(),IF(J275=Constants!$B$5,FALSE(),COUNTA(K275:M275)&gt;0)))</f>
        <v/>
      </c>
      <c r="AC275" s="88" t="str">
        <f aca="false">IF(ISBLANK($C275),"",IF(ISNUMBER(K275),IF(K275&gt;=0,K275,""),""))</f>
        <v/>
      </c>
      <c r="AD275" s="89" t="str">
        <f aca="false">IF(ISBLANK($C275),"",IF(ISNUMBER(L275),IF(L275&gt;=0,L275,""),""))</f>
        <v/>
      </c>
      <c r="AE275" s="87" t="str">
        <f aca="false">IF(ISBLANK($C275),"",IF(ISNUMBER(M275),IF(M275&gt;=0,MIN(M275,Constants!$B$22),""),""))</f>
        <v/>
      </c>
      <c r="AF275" s="87" t="str">
        <f aca="false">IF(ISBLANK($C275),"",IF(N275=Constants!$B$2,TRUE(),IF(N275=Constants!$B$3,FALSE(),TRUE())))</f>
        <v/>
      </c>
      <c r="AG275" s="87" t="str">
        <f aca="false">IF(ISBLANK($C275),"",IF(O275=Constants!$B$2,TRUE(),IF(O275=Constants!$B$3,FALSE(),TRUE())))</f>
        <v/>
      </c>
      <c r="AH275" s="87" t="str">
        <f aca="false">IF(ISBLANK($C275),"",IF(P275=Constants!$B$4,TRUE(),IF(P275=Constants!$B$5,FALSE(),COUNTA(Q275:S275)&gt;0)))</f>
        <v/>
      </c>
      <c r="AI275" s="88" t="str">
        <f aca="false">IF(ISBLANK($C275),"",IF(ISNUMBER(Q275),IF(Q275&gt;=0,Q275,""),""))</f>
        <v/>
      </c>
      <c r="AJ275" s="89" t="str">
        <f aca="false">IF(ISBLANK($C275),"",IF(ISNUMBER(R275),IF(R275&gt;=0,R275,""),""))</f>
        <v/>
      </c>
      <c r="AK275" s="87" t="str">
        <f aca="false">IF(ISBLANK($C275),"",IF(ISNUMBER(S275),IF(S275&gt;=0,MIN(S275,Constants!$B$22),""),""))</f>
        <v/>
      </c>
      <c r="AL275" s="87" t="str">
        <f aca="false">IF(ISBLANK($C275),"",IF(T275=Constants!$B$2,TRUE(),IF(T275=Constants!$B$3,FALSE(),FALSE())))</f>
        <v/>
      </c>
      <c r="AM275" s="86" t="str">
        <f aca="false">IF(ISBLANK($C275),"",AND($AB275,OR($AC275="",$AD275="",AND(NOT(ISBLANK($M275)),$AE275=""))))</f>
        <v/>
      </c>
      <c r="AN275" s="89" t="str">
        <f aca="false">IF($BD275&lt;&gt;Constants!$B$6,"",IF($AB275,Constants!$B$17*$AD275,Constants!$B$18))</f>
        <v/>
      </c>
      <c r="AO275" s="91" t="str">
        <f aca="false">IF($BD275&lt;&gt;Constants!$B$6,"",Constants!$B$19*IF($AB275,$AC275,0))</f>
        <v/>
      </c>
      <c r="AP275" s="91" t="str">
        <f aca="false">IF($BD275&lt;&gt;Constants!$B$6,"",IF(AND($AB275,ISNUMBER($AE275)),Constants!$B$20*(Constants!$B$21-$AE275),0))</f>
        <v/>
      </c>
      <c r="AQ275" s="91" t="str">
        <f aca="false">IF($BD275&lt;&gt;Constants!$B$6,"",IF($AA275,0,Constants!$B$12)+IF($Z275,0,Constants!$B$13)+IF($Y275,0,Constants!$B$14))</f>
        <v/>
      </c>
      <c r="AR275" s="92" t="str">
        <f aca="false">IF($BD275&lt;&gt;Constants!$B$6,"",Constants!$B$16+SUM($AN275:$AQ275))</f>
        <v/>
      </c>
      <c r="AS275" s="91" t="str">
        <f aca="false">IF($BD275&lt;&gt;Constants!$B$6,"",IF($AB275,$AD275,""))</f>
        <v/>
      </c>
      <c r="AT275" s="93" t="str">
        <f aca="false">IF($BD275&lt;&gt;Constants!$B$6,"",$AO275)</f>
        <v/>
      </c>
      <c r="AU275" s="87" t="str">
        <f aca="false">IF($BD275&lt;&gt;Constants!$B$6,"",IF(OR($BA275&lt;$AR275,AND($BA275=$AR275,OR(AND(ISNUMBER($BB275),OR(NOT(ISNUMBER($AS275)),$BB275&lt;$AS275)),AND(OR(AND($BB275="",$AS275=""),AND(ISNUMBER($BB275),ISNUMBER($AS275),$BB275=$AS275)),$BC275&lt;$AT275)))),"-&gt;","&lt;-"))</f>
        <v/>
      </c>
      <c r="AV275" s="86" t="str">
        <f aca="false">IF(ISBLANK($C275),"",AND($AH275,OR($AI275="",$AJ275="",AND(NOT(ISBLANK($S275)),$AK275=""))))</f>
        <v/>
      </c>
      <c r="AW275" s="89" t="str">
        <f aca="false">IF($BD275&lt;&gt;Constants!$B$6,"",IF($AH275,Constants!$B$17*$AJ275,Constants!$B$18))</f>
        <v/>
      </c>
      <c r="AX275" s="91" t="str">
        <f aca="false">IF($BD275&lt;&gt;Constants!$B$6,"",Constants!$B$19*IF($AH275,$AI275,0))</f>
        <v/>
      </c>
      <c r="AY275" s="91" t="str">
        <f aca="false">IF($BD275&lt;&gt;Constants!$B$6,"",IF(AND($AH275,ISNUMBER($AK275)),Constants!$B$20*(Constants!$B$21-$AK275),0))</f>
        <v/>
      </c>
      <c r="AZ275" s="91" t="str">
        <f aca="false">IF($BD275&lt;&gt;Constants!$B$6,"",IF($AG275,0,Constants!$B$12)+IF($AF275,0,Constants!$B$13)+IF($Y275,0,Constants!$B$14))</f>
        <v/>
      </c>
      <c r="BA275" s="92" t="str">
        <f aca="false">IF($BD275&lt;&gt;Constants!$B$6,"",Constants!$B$16+SUM($AW275:$AZ275))</f>
        <v/>
      </c>
      <c r="BB275" s="91" t="str">
        <f aca="false">IF($BD275&lt;&gt;Constants!$B$6,"",IF($AH275,$AJ275,""))</f>
        <v/>
      </c>
      <c r="BC275" s="93" t="str">
        <f aca="false">IF($BD275&lt;&gt;Constants!$B$6,"",$AX275)</f>
        <v/>
      </c>
      <c r="BD275" s="87" t="str">
        <f aca="false">IF(ISBLANK($C275),"",IF($AL275,Constants!$B$9,IF(COUNTA($E275:$T275)=0,Constants!$B$8,IF(NOT($X275),Constants!$B$7,IF(OR($AM275,$AV275),Constants!$B$10,Constants!$B$6)))))</f>
        <v/>
      </c>
      <c r="BE275" s="87" t="str">
        <f aca="false">IF(ISBLANK($C275),"",IF($BD275&lt;&gt;Constants!$B$6,$BD275,Constants!$B$11))</f>
        <v/>
      </c>
      <c r="BF275" s="91" t="str">
        <f aca="false">IF($BD275&lt;&gt;Constants!$B$6,"",IF($AU275="-&gt;",$BA275,$AR275))</f>
        <v/>
      </c>
      <c r="BG275" s="91" t="str">
        <f aca="false">IF($BD275&lt;&gt;Constants!$B$6,"",IF($W275,0,Constants!$B$15))</f>
        <v/>
      </c>
      <c r="BH275" s="91" t="str">
        <f aca="false">IF(ISBLANK($C275),"",IF($BD275&lt;&gt;Constants!$B$6,$BD275,SUM($BF275:$BG275)))</f>
        <v/>
      </c>
      <c r="BI275" s="87" t="str">
        <f aca="false">IF(ISBLANK($C275),"",IF($BD275&lt;&gt;Constants!$B$6,$BD275,RANK($BH275,$BH$9:$BH$508,1)))</f>
        <v/>
      </c>
      <c r="BJ275" s="91" t="str">
        <f aca="false">IF($BD275&lt;&gt;Constants!$B$6,"",IF($AU275="-&gt;",$BB275,$AS275))</f>
        <v/>
      </c>
      <c r="BK275" s="87" t="str">
        <f aca="false">IF(ISBLANK($C275),"",IF($BD275&lt;&gt;Constants!$B$6,$BD275,IF(ISNUMBER($BJ275),RANK($BJ275,$BJ$9:$BJ$508,1),COUNT($BJ$9:$BJ$508)+1)))</f>
        <v/>
      </c>
      <c r="BL275" s="91" t="str">
        <f aca="false">IF($BD275&lt;&gt;Constants!$B$6,"",IF($AU275="-&gt;",$BC275,$AT275))</f>
        <v/>
      </c>
      <c r="BM275" s="87" t="str">
        <f aca="false">IF(ISBLANK($C275),"",IF($BD275&lt;&gt;Constants!$B$6,$BD275,IF(ISNUMBER($BL275),RANK($BL275,$BL$9:$BL$508,1),COUNT($BL$9:$BL$508)+1)))</f>
        <v/>
      </c>
      <c r="BN275" s="91" t="str">
        <f aca="false">IF($BD275&lt;&gt;Constants!$B$6,"",IF($AU275="-&gt;",$AS275,$BB275))</f>
        <v/>
      </c>
      <c r="BO275" s="87" t="str">
        <f aca="false">IF(ISBLANK($C275),"",IF($BD275&lt;&gt;Constants!$B$6,$BD275,IF(ISNUMBER($BN275),RANK($BN275,$BN$9:$BN$508,1),COUNT($BN$9:$BN$508)+1)))</f>
        <v/>
      </c>
      <c r="BP275" s="91" t="str">
        <f aca="false">IF($BD275&lt;&gt;Constants!$B$6,"",IF($AU275="-&gt;",$AT275,$BC275))</f>
        <v/>
      </c>
      <c r="BQ275" s="87" t="str">
        <f aca="false">IF(ISBLANK($C275),"",IF($BD275&lt;&gt;Constants!$B$6,$BD275,IF(ISNUMBER($BP275),RANK($BP275,$BP$9:$BP$508,1),COUNT($BP$9:$BP$508)+1)))</f>
        <v/>
      </c>
      <c r="BR275" s="87" t="str">
        <f aca="false">IF(ISBLANK($C275),"",IF($BD275&lt;&gt;Constants!$B$6,$BD275,COUNTIFS($BI$9:$BI$508,"&lt;"&amp;$BI275)+COUNTIFS($BI$9:$BI$508,$BI275,$BK$9:$BK$508,"&lt;"&amp;$BK275)+COUNTIFS($BI$9:$BI$508,$BI275,$BK$9:$BK$508,$BK275,$BM$9:$BM$508,"&lt;"&amp;$BM275)+COUNTIFS($BI$9:$BI$508,$BI275,$BK$9:$BK$508,$BK275,$BM$9:$BM$508,$BM275,$BO$9:$BO$508,"&lt;"&amp;$BO275)+COUNTIFS($BI$9:$BI$508,$BI275,$BK$9:$BK$508,$BK275,$BM$9:$BM$508,$BM275,$BO$9:$BO$508,$BO275,$BQ$9:$BQ$508,"&lt;"&amp;$BQ275)+1))</f>
        <v/>
      </c>
      <c r="BS275" s="87" t="str">
        <f aca="false">IF(ISBLANK($C275),"",IF($BD275&lt;&gt;Constants!$B$6,$BD275,$BI275-$BR275))</f>
        <v/>
      </c>
      <c r="BT275" s="94"/>
      <c r="BU275" s="95"/>
      <c r="BV275" s="95" t="str">
        <f aca="false">IF(ISBLANK($C275),"",IF($BD275&lt;&gt;Constants!$B$6,"",IF($AU275="-&gt;",2,1)))</f>
        <v/>
      </c>
      <c r="BW275" s="96" t="str">
        <f aca="false">IF(ISBLANK($C275),"",IF($BD275&lt;&gt;Constants!$B$6,"",IF($AU275="-&gt;",$AW275,$AN275)))</f>
        <v/>
      </c>
      <c r="BX275" s="96" t="str">
        <f aca="false">IF(ISBLANK($C275),"",IF($BD275&lt;&gt;Constants!$B$6,"",IF($AU275="-&gt;",$AX275,$AO275)))</f>
        <v/>
      </c>
      <c r="BY275" s="96" t="str">
        <f aca="false">IF(ISBLANK($C275),"",IF($BD275&lt;&gt;Constants!$B$6,"",IF($AU275="-&gt;",$AY275,$AP275)))</f>
        <v/>
      </c>
      <c r="BZ275" s="96" t="str">
        <f aca="false">IF(ISBLANK($C275),"",IF($BD275&lt;&gt;Constants!$B$6,"",IF($AU275="-&gt;",$AZ275,$AQ275)+$BG275))</f>
        <v/>
      </c>
      <c r="CA275" s="97" t="str">
        <f aca="false">IF(ISBLANK($C275),"",IF($BD275&lt;&gt;Constants!$B$6,$BD275,$BH275))</f>
        <v/>
      </c>
      <c r="CB275" s="98" t="str">
        <f aca="false">IF(ISBLANK($C275),"",$BE275)</f>
        <v/>
      </c>
      <c r="CC275" s="99" t="str">
        <f aca="false">IF(ISBLANK($C275),"",$BS275)</f>
        <v/>
      </c>
      <c r="CD275" s="99" t="str">
        <f aca="false">IF(ISBLANK($C275),"",$BR275)</f>
        <v/>
      </c>
      <c r="CE275" s="100" t="str">
        <f aca="false">IF(ISBLANK($C275),"",IF($CD275=Constants!$B$9,COUNTA($C$9:$C$508)+2,IF($CD275=Constants!$B$8,COUNTA($C$9:$C$508)+1,IF($CD275=Constants!$B$7,COUNTA($C$9:$C$508),$CD275))))</f>
        <v/>
      </c>
      <c r="CF275" s="9"/>
      <c r="CG275" s="101" t="n">
        <f aca="false">IF(OR(ISNUMBER($CD275),$CD275=Constants!$B$9,$CD275=Constants!$B$7,$CD275=Constants!$B$8),1,0)</f>
        <v>0</v>
      </c>
      <c r="CH275" s="101" t="n">
        <v>267</v>
      </c>
      <c r="CI275" s="101" t="str">
        <f aca="false">IF(ISBLANK($C275),"",IF(ISNUMBER($CE275),$CE275+ROW($B275)/1000,""))</f>
        <v/>
      </c>
      <c r="CJ275" s="101" t="str">
        <f aca="false">IF(ISNUMBER($CI275),RANK($CI275,$CI$9:$CI$508,1),"")</f>
        <v/>
      </c>
      <c r="CK275" s="101" t="str">
        <f aca="false">IF(ISBLANK($C275),"",$B275)</f>
        <v/>
      </c>
      <c r="CL275" s="101" t="str">
        <f aca="false">IF(ISBLANK($C275),"",$C275)</f>
        <v/>
      </c>
      <c r="CM275" s="101" t="str">
        <f aca="false">IF(ISBLANK($C275),"",$D275)</f>
        <v/>
      </c>
      <c r="CN275" s="102" t="str">
        <f aca="false">$CB275</f>
        <v/>
      </c>
      <c r="CO275" s="103" t="str">
        <f aca="false">$CA275</f>
        <v/>
      </c>
      <c r="CP275" s="101" t="str">
        <f aca="false">IF(ISBLANK($C275),"",$CD275)</f>
        <v/>
      </c>
      <c r="CQ275" s="104" t="str">
        <f aca="false">IF($CH275&gt;$CG$8,"",VLOOKUP($CH275,$CJ$9:$CP$508,7,FALSE()))</f>
        <v/>
      </c>
      <c r="CR275" s="105" t="str">
        <f aca="false">IF($CH275&gt;$CG$8,"",VLOOKUP($CH275,$CJ$9:$CP$508,2,FALSE()))</f>
        <v/>
      </c>
      <c r="CS275" s="105" t="str">
        <f aca="false">IF($CH275&gt;$CG$8,"",VLOOKUP($CH275,$CJ$9:$CP$508,3,FALSE()))</f>
        <v/>
      </c>
      <c r="CT275" s="105" t="str">
        <f aca="false">IF($CH275&gt;$CG$8,"",VLOOKUP($CH275,$CJ$9:$CP$508,4,FALSE()))</f>
        <v/>
      </c>
      <c r="CU275" s="105" t="str">
        <f aca="false">IF($CH275&gt;$CG$8,"",VLOOKUP($CH275,$CJ$9:$CP$508,5,FALSE()))</f>
        <v/>
      </c>
      <c r="CV275" s="106" t="str">
        <f aca="false">IF($CH275&gt;$CG$8,"",VLOOKUP($CH275,$CJ$9:$CP$508,6,FALSE()))</f>
        <v/>
      </c>
      <c r="CW275" s="71"/>
    </row>
    <row r="276" customFormat="false" ht="15.75" hidden="false" customHeight="false" outlineLevel="0" collapsed="false">
      <c r="A276" s="9"/>
      <c r="B276" s="150"/>
      <c r="C276" s="151"/>
      <c r="D276" s="152"/>
      <c r="E276" s="170"/>
      <c r="F276" s="154"/>
      <c r="G276" s="155"/>
      <c r="H276" s="171"/>
      <c r="I276" s="159"/>
      <c r="J276" s="120"/>
      <c r="K276" s="121"/>
      <c r="L276" s="122"/>
      <c r="M276" s="158"/>
      <c r="N276" s="159"/>
      <c r="O276" s="159"/>
      <c r="P276" s="120"/>
      <c r="Q276" s="122"/>
      <c r="R276" s="122"/>
      <c r="S276" s="158"/>
      <c r="T276" s="159"/>
      <c r="U276" s="126"/>
      <c r="V276" s="127"/>
      <c r="W276" s="127" t="str">
        <f aca="false">IF(ISBLANK($C276),"",IF(E276=Constants!$B$2,TRUE(),IF(E276=Constants!$B$3,FALSE(),TRUE())))</f>
        <v/>
      </c>
      <c r="X276" s="127" t="str">
        <f aca="false">IF(ISBLANK($C276),"",IF(F276=Constants!$B$2,TRUE(),IF(F276=Constants!$B$3,FALSE(),TRUE())))</f>
        <v/>
      </c>
      <c r="Y276" s="127" t="str">
        <f aca="false">IF(ISBLANK($C276),"",IF(G276=Constants!$B$2,TRUE(),IF(G276=Constants!$B$3,FALSE(),TRUE())))</f>
        <v/>
      </c>
      <c r="Z276" s="127" t="str">
        <f aca="false">IF(ISBLANK($C276),"",IF(H276=Constants!$B$2,TRUE(),IF(H276=Constants!$B$3,FALSE(),TRUE())))</f>
        <v/>
      </c>
      <c r="AA276" s="127" t="str">
        <f aca="false">IF(ISBLANK($C276),"",IF(I276=Constants!$B$2,TRUE(),IF(I276=Constants!$B$3,FALSE(),TRUE())))</f>
        <v/>
      </c>
      <c r="AB276" s="127" t="str">
        <f aca="false">IF(ISBLANK($C276),"",IF(J276=Constants!$B$4,TRUE(),IF(J276=Constants!$B$5,FALSE(),COUNTA(K276:M276)&gt;0)))</f>
        <v/>
      </c>
      <c r="AC276" s="128" t="str">
        <f aca="false">IF(ISBLANK($C276),"",IF(ISNUMBER(K276),IF(K276&gt;=0,K276,""),""))</f>
        <v/>
      </c>
      <c r="AD276" s="129" t="str">
        <f aca="false">IF(ISBLANK($C276),"",IF(ISNUMBER(L276),IF(L276&gt;=0,L276,""),""))</f>
        <v/>
      </c>
      <c r="AE276" s="127" t="str">
        <f aca="false">IF(ISBLANK($C276),"",IF(ISNUMBER(M276),IF(M276&gt;=0,MIN(M276,Constants!$B$22),""),""))</f>
        <v/>
      </c>
      <c r="AF276" s="127" t="str">
        <f aca="false">IF(ISBLANK($C276),"",IF(N276=Constants!$B$2,TRUE(),IF(N276=Constants!$B$3,FALSE(),TRUE())))</f>
        <v/>
      </c>
      <c r="AG276" s="127" t="str">
        <f aca="false">IF(ISBLANK($C276),"",IF(O276=Constants!$B$2,TRUE(),IF(O276=Constants!$B$3,FALSE(),TRUE())))</f>
        <v/>
      </c>
      <c r="AH276" s="127" t="str">
        <f aca="false">IF(ISBLANK($C276),"",IF(P276=Constants!$B$4,TRUE(),IF(P276=Constants!$B$5,FALSE(),COUNTA(Q276:S276)&gt;0)))</f>
        <v/>
      </c>
      <c r="AI276" s="128" t="str">
        <f aca="false">IF(ISBLANK($C276),"",IF(ISNUMBER(Q276),IF(Q276&gt;=0,Q276,""),""))</f>
        <v/>
      </c>
      <c r="AJ276" s="129" t="str">
        <f aca="false">IF(ISBLANK($C276),"",IF(ISNUMBER(R276),IF(R276&gt;=0,R276,""),""))</f>
        <v/>
      </c>
      <c r="AK276" s="127" t="str">
        <f aca="false">IF(ISBLANK($C276),"",IF(ISNUMBER(S276),IF(S276&gt;=0,MIN(S276,Constants!$B$22),""),""))</f>
        <v/>
      </c>
      <c r="AL276" s="127" t="str">
        <f aca="false">IF(ISBLANK($C276),"",IF(T276=Constants!$B$2,TRUE(),IF(T276=Constants!$B$3,FALSE(),FALSE())))</f>
        <v/>
      </c>
      <c r="AM276" s="126" t="str">
        <f aca="false">IF(ISBLANK($C276),"",AND($AB276,OR($AC276="",$AD276="",AND(NOT(ISBLANK($M276)),$AE276=""))))</f>
        <v/>
      </c>
      <c r="AN276" s="129" t="str">
        <f aca="false">IF($BD276&lt;&gt;Constants!$B$6,"",IF($AB276,Constants!$B$17*$AD276,Constants!$B$18))</f>
        <v/>
      </c>
      <c r="AO276" s="130" t="str">
        <f aca="false">IF($BD276&lt;&gt;Constants!$B$6,"",Constants!$B$19*IF($AB276,$AC276,0))</f>
        <v/>
      </c>
      <c r="AP276" s="130" t="str">
        <f aca="false">IF($BD276&lt;&gt;Constants!$B$6,"",IF(AND($AB276,ISNUMBER($AE276)),Constants!$B$20*(Constants!$B$21-$AE276),0))</f>
        <v/>
      </c>
      <c r="AQ276" s="130" t="str">
        <f aca="false">IF($BD276&lt;&gt;Constants!$B$6,"",IF($AA276,0,Constants!$B$12)+IF($Z276,0,Constants!$B$13)+IF($Y276,0,Constants!$B$14))</f>
        <v/>
      </c>
      <c r="AR276" s="131" t="str">
        <f aca="false">IF($BD276&lt;&gt;Constants!$B$6,"",Constants!$B$16+SUM($AN276:$AQ276))</f>
        <v/>
      </c>
      <c r="AS276" s="130" t="str">
        <f aca="false">IF($BD276&lt;&gt;Constants!$B$6,"",IF($AB276,$AD276,""))</f>
        <v/>
      </c>
      <c r="AT276" s="132" t="str">
        <f aca="false">IF($BD276&lt;&gt;Constants!$B$6,"",$AO276)</f>
        <v/>
      </c>
      <c r="AU276" s="127" t="str">
        <f aca="false">IF($BD276&lt;&gt;Constants!$B$6,"",IF(OR($BA276&lt;$AR276,AND($BA276=$AR276,OR(AND(ISNUMBER($BB276),OR(NOT(ISNUMBER($AS276)),$BB276&lt;$AS276)),AND(OR(AND($BB276="",$AS276=""),AND(ISNUMBER($BB276),ISNUMBER($AS276),$BB276=$AS276)),$BC276&lt;$AT276)))),"-&gt;","&lt;-"))</f>
        <v/>
      </c>
      <c r="AV276" s="126" t="str">
        <f aca="false">IF(ISBLANK($C276),"",AND($AH276,OR($AI276="",$AJ276="",AND(NOT(ISBLANK($S276)),$AK276=""))))</f>
        <v/>
      </c>
      <c r="AW276" s="129" t="str">
        <f aca="false">IF($BD276&lt;&gt;Constants!$B$6,"",IF($AH276,Constants!$B$17*$AJ276,Constants!$B$18))</f>
        <v/>
      </c>
      <c r="AX276" s="130" t="str">
        <f aca="false">IF($BD276&lt;&gt;Constants!$B$6,"",Constants!$B$19*IF($AH276,$AI276,0))</f>
        <v/>
      </c>
      <c r="AY276" s="130" t="str">
        <f aca="false">IF($BD276&lt;&gt;Constants!$B$6,"",IF(AND($AH276,ISNUMBER($AK276)),Constants!$B$20*(Constants!$B$21-$AK276),0))</f>
        <v/>
      </c>
      <c r="AZ276" s="130" t="str">
        <f aca="false">IF($BD276&lt;&gt;Constants!$B$6,"",IF($AG276,0,Constants!$B$12)+IF($AF276,0,Constants!$B$13)+IF($Y276,0,Constants!$B$14))</f>
        <v/>
      </c>
      <c r="BA276" s="131" t="str">
        <f aca="false">IF($BD276&lt;&gt;Constants!$B$6,"",Constants!$B$16+SUM($AW276:$AZ276))</f>
        <v/>
      </c>
      <c r="BB276" s="130" t="str">
        <f aca="false">IF($BD276&lt;&gt;Constants!$B$6,"",IF($AH276,$AJ276,""))</f>
        <v/>
      </c>
      <c r="BC276" s="132" t="str">
        <f aca="false">IF($BD276&lt;&gt;Constants!$B$6,"",$AX276)</f>
        <v/>
      </c>
      <c r="BD276" s="127" t="str">
        <f aca="false">IF(ISBLANK($C276),"",IF($AL276,Constants!$B$9,IF(COUNTA($E276:$T276)=0,Constants!$B$8,IF(NOT($X276),Constants!$B$7,IF(OR($AM276,$AV276),Constants!$B$10,Constants!$B$6)))))</f>
        <v/>
      </c>
      <c r="BE276" s="127" t="str">
        <f aca="false">IF(ISBLANK($C276),"",IF($BD276&lt;&gt;Constants!$B$6,$BD276,Constants!$B$11))</f>
        <v/>
      </c>
      <c r="BF276" s="130" t="str">
        <f aca="false">IF($BD276&lt;&gt;Constants!$B$6,"",IF($AU276="-&gt;",$BA276,$AR276))</f>
        <v/>
      </c>
      <c r="BG276" s="130" t="str">
        <f aca="false">IF($BD276&lt;&gt;Constants!$B$6,"",IF($W276,0,Constants!$B$15))</f>
        <v/>
      </c>
      <c r="BH276" s="130" t="str">
        <f aca="false">IF(ISBLANK($C276),"",IF($BD276&lt;&gt;Constants!$B$6,$BD276,SUM($BF276:$BG276)))</f>
        <v/>
      </c>
      <c r="BI276" s="127" t="str">
        <f aca="false">IF(ISBLANK($C276),"",IF($BD276&lt;&gt;Constants!$B$6,$BD276,RANK($BH276,$BH$9:$BH$508,1)))</f>
        <v/>
      </c>
      <c r="BJ276" s="130" t="str">
        <f aca="false">IF($BD276&lt;&gt;Constants!$B$6,"",IF($AU276="-&gt;",$BB276,$AS276))</f>
        <v/>
      </c>
      <c r="BK276" s="127" t="str">
        <f aca="false">IF(ISBLANK($C276),"",IF($BD276&lt;&gt;Constants!$B$6,$BD276,IF(ISNUMBER($BJ276),RANK($BJ276,$BJ$9:$BJ$508,1),COUNT($BJ$9:$BJ$508)+1)))</f>
        <v/>
      </c>
      <c r="BL276" s="130" t="str">
        <f aca="false">IF($BD276&lt;&gt;Constants!$B$6,"",IF($AU276="-&gt;",$BC276,$AT276))</f>
        <v/>
      </c>
      <c r="BM276" s="127" t="str">
        <f aca="false">IF(ISBLANK($C276),"",IF($BD276&lt;&gt;Constants!$B$6,$BD276,IF(ISNUMBER($BL276),RANK($BL276,$BL$9:$BL$508,1),COUNT($BL$9:$BL$508)+1)))</f>
        <v/>
      </c>
      <c r="BN276" s="130" t="str">
        <f aca="false">IF($BD276&lt;&gt;Constants!$B$6,"",IF($AU276="-&gt;",$AS276,$BB276))</f>
        <v/>
      </c>
      <c r="BO276" s="127" t="str">
        <f aca="false">IF(ISBLANK($C276),"",IF($BD276&lt;&gt;Constants!$B$6,$BD276,IF(ISNUMBER($BN276),RANK($BN276,$BN$9:$BN$508,1),COUNT($BN$9:$BN$508)+1)))</f>
        <v/>
      </c>
      <c r="BP276" s="130" t="str">
        <f aca="false">IF($BD276&lt;&gt;Constants!$B$6,"",IF($AU276="-&gt;",$AT276,$BC276))</f>
        <v/>
      </c>
      <c r="BQ276" s="127" t="str">
        <f aca="false">IF(ISBLANK($C276),"",IF($BD276&lt;&gt;Constants!$B$6,$BD276,IF(ISNUMBER($BP276),RANK($BP276,$BP$9:$BP$508,1),COUNT($BP$9:$BP$508)+1)))</f>
        <v/>
      </c>
      <c r="BR276" s="127" t="str">
        <f aca="false">IF(ISBLANK($C276),"",IF($BD276&lt;&gt;Constants!$B$6,$BD276,COUNTIFS($BI$9:$BI$508,"&lt;"&amp;$BI276)+COUNTIFS($BI$9:$BI$508,$BI276,$BK$9:$BK$508,"&lt;"&amp;$BK276)+COUNTIFS($BI$9:$BI$508,$BI276,$BK$9:$BK$508,$BK276,$BM$9:$BM$508,"&lt;"&amp;$BM276)+COUNTIFS($BI$9:$BI$508,$BI276,$BK$9:$BK$508,$BK276,$BM$9:$BM$508,$BM276,$BO$9:$BO$508,"&lt;"&amp;$BO276)+COUNTIFS($BI$9:$BI$508,$BI276,$BK$9:$BK$508,$BK276,$BM$9:$BM$508,$BM276,$BO$9:$BO$508,$BO276,$BQ$9:$BQ$508,"&lt;"&amp;$BQ276)+1))</f>
        <v/>
      </c>
      <c r="BS276" s="127" t="str">
        <f aca="false">IF(ISBLANK($C276),"",IF($BD276&lt;&gt;Constants!$B$6,$BD276,$BI276-$BR276))</f>
        <v/>
      </c>
      <c r="BT276" s="133"/>
      <c r="BU276" s="134"/>
      <c r="BV276" s="134" t="str">
        <f aca="false">IF(ISBLANK($C276),"",IF($BD276&lt;&gt;Constants!$B$6,"",IF($AU276="-&gt;",2,1)))</f>
        <v/>
      </c>
      <c r="BW276" s="135" t="str">
        <f aca="false">IF(ISBLANK($C276),"",IF($BD276&lt;&gt;Constants!$B$6,"",IF($AU276="-&gt;",$AW276,$AN276)))</f>
        <v/>
      </c>
      <c r="BX276" s="135" t="str">
        <f aca="false">IF(ISBLANK($C276),"",IF($BD276&lt;&gt;Constants!$B$6,"",IF($AU276="-&gt;",$AX276,$AO276)))</f>
        <v/>
      </c>
      <c r="BY276" s="135" t="str">
        <f aca="false">IF(ISBLANK($C276),"",IF($BD276&lt;&gt;Constants!$B$6,"",IF($AU276="-&gt;",$AY276,$AP276)))</f>
        <v/>
      </c>
      <c r="BZ276" s="135" t="str">
        <f aca="false">IF(ISBLANK($C276),"",IF($BD276&lt;&gt;Constants!$B$6,"",IF($AU276="-&gt;",$AZ276,$AQ276)+$BG276))</f>
        <v/>
      </c>
      <c r="CA276" s="136" t="str">
        <f aca="false">IF(ISBLANK($C276),"",IF($BD276&lt;&gt;Constants!$B$6,$BD276,$BH276))</f>
        <v/>
      </c>
      <c r="CB276" s="137" t="str">
        <f aca="false">IF(ISBLANK($C276),"",$BE276)</f>
        <v/>
      </c>
      <c r="CC276" s="138" t="str">
        <f aca="false">IF(ISBLANK($C276),"",$BS276)</f>
        <v/>
      </c>
      <c r="CD276" s="138" t="str">
        <f aca="false">IF(ISBLANK($C276),"",$BR276)</f>
        <v/>
      </c>
      <c r="CE276" s="139" t="str">
        <f aca="false">IF(ISBLANK($C276),"",IF($CD276=Constants!$B$9,COUNTA($C$9:$C$508)+2,IF($CD276=Constants!$B$8,COUNTA($C$9:$C$508)+1,IF($CD276=Constants!$B$7,COUNTA($C$9:$C$508),$CD276))))</f>
        <v/>
      </c>
      <c r="CF276" s="9"/>
      <c r="CG276" s="140" t="n">
        <f aca="false">IF(OR(ISNUMBER($CD276),$CD276=Constants!$B$9,$CD276=Constants!$B$7,$CD276=Constants!$B$8),1,0)</f>
        <v>0</v>
      </c>
      <c r="CH276" s="140" t="n">
        <v>268</v>
      </c>
      <c r="CI276" s="140" t="str">
        <f aca="false">IF(ISBLANK($C276),"",IF(ISNUMBER($CE276),$CE276+ROW($B276)/1000,""))</f>
        <v/>
      </c>
      <c r="CJ276" s="140" t="str">
        <f aca="false">IF(ISNUMBER($CI276),RANK($CI276,$CI$9:$CI$508,1),"")</f>
        <v/>
      </c>
      <c r="CK276" s="140" t="str">
        <f aca="false">IF(ISBLANK($C276),"",$B276)</f>
        <v/>
      </c>
      <c r="CL276" s="140" t="str">
        <f aca="false">IF(ISBLANK($C276),"",$C276)</f>
        <v/>
      </c>
      <c r="CM276" s="140" t="str">
        <f aca="false">IF(ISBLANK($C276),"",$D276)</f>
        <v/>
      </c>
      <c r="CN276" s="141" t="str">
        <f aca="false">$CB276</f>
        <v/>
      </c>
      <c r="CO276" s="142" t="str">
        <f aca="false">$CA276</f>
        <v/>
      </c>
      <c r="CP276" s="140" t="str">
        <f aca="false">IF(ISBLANK($C276),"",$CD276)</f>
        <v/>
      </c>
      <c r="CQ276" s="143" t="str">
        <f aca="false">IF($CH276&gt;$CG$8,"",VLOOKUP($CH276,$CJ$9:$CP$508,7,FALSE()))</f>
        <v/>
      </c>
      <c r="CR276" s="144" t="str">
        <f aca="false">IF($CH276&gt;$CG$8,"",VLOOKUP($CH276,$CJ$9:$CP$508,2,FALSE()))</f>
        <v/>
      </c>
      <c r="CS276" s="144" t="str">
        <f aca="false">IF($CH276&gt;$CG$8,"",VLOOKUP($CH276,$CJ$9:$CP$508,3,FALSE()))</f>
        <v/>
      </c>
      <c r="CT276" s="144" t="str">
        <f aca="false">IF($CH276&gt;$CG$8,"",VLOOKUP($CH276,$CJ$9:$CP$508,4,FALSE()))</f>
        <v/>
      </c>
      <c r="CU276" s="144" t="str">
        <f aca="false">IF($CH276&gt;$CG$8,"",VLOOKUP($CH276,$CJ$9:$CP$508,5,FALSE()))</f>
        <v/>
      </c>
      <c r="CV276" s="145" t="str">
        <f aca="false">IF($CH276&gt;$CG$8,"",VLOOKUP($CH276,$CJ$9:$CP$508,6,FALSE()))</f>
        <v/>
      </c>
      <c r="CW276" s="71"/>
    </row>
    <row r="277" customFormat="false" ht="15.75" hidden="false" customHeight="false" outlineLevel="0" collapsed="false">
      <c r="A277" s="9"/>
      <c r="B277" s="150"/>
      <c r="C277" s="151"/>
      <c r="D277" s="152"/>
      <c r="E277" s="170"/>
      <c r="F277" s="154"/>
      <c r="G277" s="155"/>
      <c r="H277" s="171"/>
      <c r="I277" s="159"/>
      <c r="J277" s="120"/>
      <c r="K277" s="121"/>
      <c r="L277" s="122"/>
      <c r="M277" s="158"/>
      <c r="N277" s="159"/>
      <c r="O277" s="159"/>
      <c r="P277" s="120"/>
      <c r="Q277" s="122"/>
      <c r="R277" s="122"/>
      <c r="S277" s="158"/>
      <c r="T277" s="159"/>
      <c r="U277" s="126"/>
      <c r="V277" s="127"/>
      <c r="W277" s="127" t="str">
        <f aca="false">IF(ISBLANK($C277),"",IF(E277=Constants!$B$2,TRUE(),IF(E277=Constants!$B$3,FALSE(),TRUE())))</f>
        <v/>
      </c>
      <c r="X277" s="127" t="str">
        <f aca="false">IF(ISBLANK($C277),"",IF(F277=Constants!$B$2,TRUE(),IF(F277=Constants!$B$3,FALSE(),TRUE())))</f>
        <v/>
      </c>
      <c r="Y277" s="127" t="str">
        <f aca="false">IF(ISBLANK($C277),"",IF(G277=Constants!$B$2,TRUE(),IF(G277=Constants!$B$3,FALSE(),TRUE())))</f>
        <v/>
      </c>
      <c r="Z277" s="127" t="str">
        <f aca="false">IF(ISBLANK($C277),"",IF(H277=Constants!$B$2,TRUE(),IF(H277=Constants!$B$3,FALSE(),TRUE())))</f>
        <v/>
      </c>
      <c r="AA277" s="127" t="str">
        <f aca="false">IF(ISBLANK($C277),"",IF(I277=Constants!$B$2,TRUE(),IF(I277=Constants!$B$3,FALSE(),TRUE())))</f>
        <v/>
      </c>
      <c r="AB277" s="127" t="str">
        <f aca="false">IF(ISBLANK($C277),"",IF(J277=Constants!$B$4,TRUE(),IF(J277=Constants!$B$5,FALSE(),COUNTA(K277:M277)&gt;0)))</f>
        <v/>
      </c>
      <c r="AC277" s="128" t="str">
        <f aca="false">IF(ISBLANK($C277),"",IF(ISNUMBER(K277),IF(K277&gt;=0,K277,""),""))</f>
        <v/>
      </c>
      <c r="AD277" s="129" t="str">
        <f aca="false">IF(ISBLANK($C277),"",IF(ISNUMBER(L277),IF(L277&gt;=0,L277,""),""))</f>
        <v/>
      </c>
      <c r="AE277" s="127" t="str">
        <f aca="false">IF(ISBLANK($C277),"",IF(ISNUMBER(M277),IF(M277&gt;=0,MIN(M277,Constants!$B$22),""),""))</f>
        <v/>
      </c>
      <c r="AF277" s="127" t="str">
        <f aca="false">IF(ISBLANK($C277),"",IF(N277=Constants!$B$2,TRUE(),IF(N277=Constants!$B$3,FALSE(),TRUE())))</f>
        <v/>
      </c>
      <c r="AG277" s="127" t="str">
        <f aca="false">IF(ISBLANK($C277),"",IF(O277=Constants!$B$2,TRUE(),IF(O277=Constants!$B$3,FALSE(),TRUE())))</f>
        <v/>
      </c>
      <c r="AH277" s="127" t="str">
        <f aca="false">IF(ISBLANK($C277),"",IF(P277=Constants!$B$4,TRUE(),IF(P277=Constants!$B$5,FALSE(),COUNTA(Q277:S277)&gt;0)))</f>
        <v/>
      </c>
      <c r="AI277" s="128" t="str">
        <f aca="false">IF(ISBLANK($C277),"",IF(ISNUMBER(Q277),IF(Q277&gt;=0,Q277,""),""))</f>
        <v/>
      </c>
      <c r="AJ277" s="129" t="str">
        <f aca="false">IF(ISBLANK($C277),"",IF(ISNUMBER(R277),IF(R277&gt;=0,R277,""),""))</f>
        <v/>
      </c>
      <c r="AK277" s="127" t="str">
        <f aca="false">IF(ISBLANK($C277),"",IF(ISNUMBER(S277),IF(S277&gt;=0,MIN(S277,Constants!$B$22),""),""))</f>
        <v/>
      </c>
      <c r="AL277" s="127" t="str">
        <f aca="false">IF(ISBLANK($C277),"",IF(T277=Constants!$B$2,TRUE(),IF(T277=Constants!$B$3,FALSE(),FALSE())))</f>
        <v/>
      </c>
      <c r="AM277" s="126" t="str">
        <f aca="false">IF(ISBLANK($C277),"",AND($AB277,OR($AC277="",$AD277="",AND(NOT(ISBLANK($M277)),$AE277=""))))</f>
        <v/>
      </c>
      <c r="AN277" s="129" t="str">
        <f aca="false">IF($BD277&lt;&gt;Constants!$B$6,"",IF($AB277,Constants!$B$17*$AD277,Constants!$B$18))</f>
        <v/>
      </c>
      <c r="AO277" s="130" t="str">
        <f aca="false">IF($BD277&lt;&gt;Constants!$B$6,"",Constants!$B$19*IF($AB277,$AC277,0))</f>
        <v/>
      </c>
      <c r="AP277" s="130" t="str">
        <f aca="false">IF($BD277&lt;&gt;Constants!$B$6,"",IF(AND($AB277,ISNUMBER($AE277)),Constants!$B$20*(Constants!$B$21-$AE277),0))</f>
        <v/>
      </c>
      <c r="AQ277" s="130" t="str">
        <f aca="false">IF($BD277&lt;&gt;Constants!$B$6,"",IF($AA277,0,Constants!$B$12)+IF($Z277,0,Constants!$B$13)+IF($Y277,0,Constants!$B$14))</f>
        <v/>
      </c>
      <c r="AR277" s="131" t="str">
        <f aca="false">IF($BD277&lt;&gt;Constants!$B$6,"",Constants!$B$16+SUM($AN277:$AQ277))</f>
        <v/>
      </c>
      <c r="AS277" s="130" t="str">
        <f aca="false">IF($BD277&lt;&gt;Constants!$B$6,"",IF($AB277,$AD277,""))</f>
        <v/>
      </c>
      <c r="AT277" s="132" t="str">
        <f aca="false">IF($BD277&lt;&gt;Constants!$B$6,"",$AO277)</f>
        <v/>
      </c>
      <c r="AU277" s="127" t="str">
        <f aca="false">IF($BD277&lt;&gt;Constants!$B$6,"",IF(OR($BA277&lt;$AR277,AND($BA277=$AR277,OR(AND(ISNUMBER($BB277),OR(NOT(ISNUMBER($AS277)),$BB277&lt;$AS277)),AND(OR(AND($BB277="",$AS277=""),AND(ISNUMBER($BB277),ISNUMBER($AS277),$BB277=$AS277)),$BC277&lt;$AT277)))),"-&gt;","&lt;-"))</f>
        <v/>
      </c>
      <c r="AV277" s="126" t="str">
        <f aca="false">IF(ISBLANK($C277),"",AND($AH277,OR($AI277="",$AJ277="",AND(NOT(ISBLANK($S277)),$AK277=""))))</f>
        <v/>
      </c>
      <c r="AW277" s="129" t="str">
        <f aca="false">IF($BD277&lt;&gt;Constants!$B$6,"",IF($AH277,Constants!$B$17*$AJ277,Constants!$B$18))</f>
        <v/>
      </c>
      <c r="AX277" s="130" t="str">
        <f aca="false">IF($BD277&lt;&gt;Constants!$B$6,"",Constants!$B$19*IF($AH277,$AI277,0))</f>
        <v/>
      </c>
      <c r="AY277" s="130" t="str">
        <f aca="false">IF($BD277&lt;&gt;Constants!$B$6,"",IF(AND($AH277,ISNUMBER($AK277)),Constants!$B$20*(Constants!$B$21-$AK277),0))</f>
        <v/>
      </c>
      <c r="AZ277" s="130" t="str">
        <f aca="false">IF($BD277&lt;&gt;Constants!$B$6,"",IF($AG277,0,Constants!$B$12)+IF($AF277,0,Constants!$B$13)+IF($Y277,0,Constants!$B$14))</f>
        <v/>
      </c>
      <c r="BA277" s="131" t="str">
        <f aca="false">IF($BD277&lt;&gt;Constants!$B$6,"",Constants!$B$16+SUM($AW277:$AZ277))</f>
        <v/>
      </c>
      <c r="BB277" s="130" t="str">
        <f aca="false">IF($BD277&lt;&gt;Constants!$B$6,"",IF($AH277,$AJ277,""))</f>
        <v/>
      </c>
      <c r="BC277" s="132" t="str">
        <f aca="false">IF($BD277&lt;&gt;Constants!$B$6,"",$AX277)</f>
        <v/>
      </c>
      <c r="BD277" s="127" t="str">
        <f aca="false">IF(ISBLANK($C277),"",IF($AL277,Constants!$B$9,IF(COUNTA($E277:$T277)=0,Constants!$B$8,IF(NOT($X277),Constants!$B$7,IF(OR($AM277,$AV277),Constants!$B$10,Constants!$B$6)))))</f>
        <v/>
      </c>
      <c r="BE277" s="127" t="str">
        <f aca="false">IF(ISBLANK($C277),"",IF($BD277&lt;&gt;Constants!$B$6,$BD277,Constants!$B$11))</f>
        <v/>
      </c>
      <c r="BF277" s="130" t="str">
        <f aca="false">IF($BD277&lt;&gt;Constants!$B$6,"",IF($AU277="-&gt;",$BA277,$AR277))</f>
        <v/>
      </c>
      <c r="BG277" s="130" t="str">
        <f aca="false">IF($BD277&lt;&gt;Constants!$B$6,"",IF($W277,0,Constants!$B$15))</f>
        <v/>
      </c>
      <c r="BH277" s="130" t="str">
        <f aca="false">IF(ISBLANK($C277),"",IF($BD277&lt;&gt;Constants!$B$6,$BD277,SUM($BF277:$BG277)))</f>
        <v/>
      </c>
      <c r="BI277" s="127" t="str">
        <f aca="false">IF(ISBLANK($C277),"",IF($BD277&lt;&gt;Constants!$B$6,$BD277,RANK($BH277,$BH$9:$BH$508,1)))</f>
        <v/>
      </c>
      <c r="BJ277" s="130" t="str">
        <f aca="false">IF($BD277&lt;&gt;Constants!$B$6,"",IF($AU277="-&gt;",$BB277,$AS277))</f>
        <v/>
      </c>
      <c r="BK277" s="127" t="str">
        <f aca="false">IF(ISBLANK($C277),"",IF($BD277&lt;&gt;Constants!$B$6,$BD277,IF(ISNUMBER($BJ277),RANK($BJ277,$BJ$9:$BJ$508,1),COUNT($BJ$9:$BJ$508)+1)))</f>
        <v/>
      </c>
      <c r="BL277" s="130" t="str">
        <f aca="false">IF($BD277&lt;&gt;Constants!$B$6,"",IF($AU277="-&gt;",$BC277,$AT277))</f>
        <v/>
      </c>
      <c r="BM277" s="127" t="str">
        <f aca="false">IF(ISBLANK($C277),"",IF($BD277&lt;&gt;Constants!$B$6,$BD277,IF(ISNUMBER($BL277),RANK($BL277,$BL$9:$BL$508,1),COUNT($BL$9:$BL$508)+1)))</f>
        <v/>
      </c>
      <c r="BN277" s="130" t="str">
        <f aca="false">IF($BD277&lt;&gt;Constants!$B$6,"",IF($AU277="-&gt;",$AS277,$BB277))</f>
        <v/>
      </c>
      <c r="BO277" s="127" t="str">
        <f aca="false">IF(ISBLANK($C277),"",IF($BD277&lt;&gt;Constants!$B$6,$BD277,IF(ISNUMBER($BN277),RANK($BN277,$BN$9:$BN$508,1),COUNT($BN$9:$BN$508)+1)))</f>
        <v/>
      </c>
      <c r="BP277" s="130" t="str">
        <f aca="false">IF($BD277&lt;&gt;Constants!$B$6,"",IF($AU277="-&gt;",$AT277,$BC277))</f>
        <v/>
      </c>
      <c r="BQ277" s="127" t="str">
        <f aca="false">IF(ISBLANK($C277),"",IF($BD277&lt;&gt;Constants!$B$6,$BD277,IF(ISNUMBER($BP277),RANK($BP277,$BP$9:$BP$508,1),COUNT($BP$9:$BP$508)+1)))</f>
        <v/>
      </c>
      <c r="BR277" s="127" t="str">
        <f aca="false">IF(ISBLANK($C277),"",IF($BD277&lt;&gt;Constants!$B$6,$BD277,COUNTIFS($BI$9:$BI$508,"&lt;"&amp;$BI277)+COUNTIFS($BI$9:$BI$508,$BI277,$BK$9:$BK$508,"&lt;"&amp;$BK277)+COUNTIFS($BI$9:$BI$508,$BI277,$BK$9:$BK$508,$BK277,$BM$9:$BM$508,"&lt;"&amp;$BM277)+COUNTIFS($BI$9:$BI$508,$BI277,$BK$9:$BK$508,$BK277,$BM$9:$BM$508,$BM277,$BO$9:$BO$508,"&lt;"&amp;$BO277)+COUNTIFS($BI$9:$BI$508,$BI277,$BK$9:$BK$508,$BK277,$BM$9:$BM$508,$BM277,$BO$9:$BO$508,$BO277,$BQ$9:$BQ$508,"&lt;"&amp;$BQ277)+1))</f>
        <v/>
      </c>
      <c r="BS277" s="127" t="str">
        <f aca="false">IF(ISBLANK($C277),"",IF($BD277&lt;&gt;Constants!$B$6,$BD277,$BI277-$BR277))</f>
        <v/>
      </c>
      <c r="BT277" s="133"/>
      <c r="BU277" s="134"/>
      <c r="BV277" s="134" t="str">
        <f aca="false">IF(ISBLANK($C277),"",IF($BD277&lt;&gt;Constants!$B$6,"",IF($AU277="-&gt;",2,1)))</f>
        <v/>
      </c>
      <c r="BW277" s="135" t="str">
        <f aca="false">IF(ISBLANK($C277),"",IF($BD277&lt;&gt;Constants!$B$6,"",IF($AU277="-&gt;",$AW277,$AN277)))</f>
        <v/>
      </c>
      <c r="BX277" s="135" t="str">
        <f aca="false">IF(ISBLANK($C277),"",IF($BD277&lt;&gt;Constants!$B$6,"",IF($AU277="-&gt;",$AX277,$AO277)))</f>
        <v/>
      </c>
      <c r="BY277" s="135" t="str">
        <f aca="false">IF(ISBLANK($C277),"",IF($BD277&lt;&gt;Constants!$B$6,"",IF($AU277="-&gt;",$AY277,$AP277)))</f>
        <v/>
      </c>
      <c r="BZ277" s="135" t="str">
        <f aca="false">IF(ISBLANK($C277),"",IF($BD277&lt;&gt;Constants!$B$6,"",IF($AU277="-&gt;",$AZ277,$AQ277)+$BG277))</f>
        <v/>
      </c>
      <c r="CA277" s="136" t="str">
        <f aca="false">IF(ISBLANK($C277),"",IF($BD277&lt;&gt;Constants!$B$6,$BD277,$BH277))</f>
        <v/>
      </c>
      <c r="CB277" s="137" t="str">
        <f aca="false">IF(ISBLANK($C277),"",$BE277)</f>
        <v/>
      </c>
      <c r="CC277" s="138" t="str">
        <f aca="false">IF(ISBLANK($C277),"",$BS277)</f>
        <v/>
      </c>
      <c r="CD277" s="138" t="str">
        <f aca="false">IF(ISBLANK($C277),"",$BR277)</f>
        <v/>
      </c>
      <c r="CE277" s="139" t="str">
        <f aca="false">IF(ISBLANK($C277),"",IF($CD277=Constants!$B$9,COUNTA($C$9:$C$508)+2,IF($CD277=Constants!$B$8,COUNTA($C$9:$C$508)+1,IF($CD277=Constants!$B$7,COUNTA($C$9:$C$508),$CD277))))</f>
        <v/>
      </c>
      <c r="CF277" s="9"/>
      <c r="CG277" s="140" t="n">
        <f aca="false">IF(OR(ISNUMBER($CD277),$CD277=Constants!$B$9,$CD277=Constants!$B$7,$CD277=Constants!$B$8),1,0)</f>
        <v>0</v>
      </c>
      <c r="CH277" s="140" t="n">
        <v>269</v>
      </c>
      <c r="CI277" s="140" t="str">
        <f aca="false">IF(ISBLANK($C277),"",IF(ISNUMBER($CE277),$CE277+ROW($B277)/1000,""))</f>
        <v/>
      </c>
      <c r="CJ277" s="140" t="str">
        <f aca="false">IF(ISNUMBER($CI277),RANK($CI277,$CI$9:$CI$508,1),"")</f>
        <v/>
      </c>
      <c r="CK277" s="140" t="str">
        <f aca="false">IF(ISBLANK($C277),"",$B277)</f>
        <v/>
      </c>
      <c r="CL277" s="140" t="str">
        <f aca="false">IF(ISBLANK($C277),"",$C277)</f>
        <v/>
      </c>
      <c r="CM277" s="140" t="str">
        <f aca="false">IF(ISBLANK($C277),"",$D277)</f>
        <v/>
      </c>
      <c r="CN277" s="141" t="str">
        <f aca="false">$CB277</f>
        <v/>
      </c>
      <c r="CO277" s="142" t="str">
        <f aca="false">$CA277</f>
        <v/>
      </c>
      <c r="CP277" s="140" t="str">
        <f aca="false">IF(ISBLANK($C277),"",$CD277)</f>
        <v/>
      </c>
      <c r="CQ277" s="143" t="str">
        <f aca="false">IF($CH277&gt;$CG$8,"",VLOOKUP($CH277,$CJ$9:$CP$508,7,FALSE()))</f>
        <v/>
      </c>
      <c r="CR277" s="144" t="str">
        <f aca="false">IF($CH277&gt;$CG$8,"",VLOOKUP($CH277,$CJ$9:$CP$508,2,FALSE()))</f>
        <v/>
      </c>
      <c r="CS277" s="144" t="str">
        <f aca="false">IF($CH277&gt;$CG$8,"",VLOOKUP($CH277,$CJ$9:$CP$508,3,FALSE()))</f>
        <v/>
      </c>
      <c r="CT277" s="144" t="str">
        <f aca="false">IF($CH277&gt;$CG$8,"",VLOOKUP($CH277,$CJ$9:$CP$508,4,FALSE()))</f>
        <v/>
      </c>
      <c r="CU277" s="144" t="str">
        <f aca="false">IF($CH277&gt;$CG$8,"",VLOOKUP($CH277,$CJ$9:$CP$508,5,FALSE()))</f>
        <v/>
      </c>
      <c r="CV277" s="145" t="str">
        <f aca="false">IF($CH277&gt;$CG$8,"",VLOOKUP($CH277,$CJ$9:$CP$508,6,FALSE()))</f>
        <v/>
      </c>
      <c r="CW277" s="71"/>
    </row>
    <row r="278" customFormat="false" ht="15.75" hidden="false" customHeight="false" outlineLevel="0" collapsed="false">
      <c r="A278" s="9"/>
      <c r="B278" s="150"/>
      <c r="C278" s="151"/>
      <c r="D278" s="152"/>
      <c r="E278" s="170"/>
      <c r="F278" s="154"/>
      <c r="G278" s="155"/>
      <c r="H278" s="171"/>
      <c r="I278" s="159"/>
      <c r="J278" s="120"/>
      <c r="K278" s="121"/>
      <c r="L278" s="122"/>
      <c r="M278" s="158"/>
      <c r="N278" s="159"/>
      <c r="O278" s="159"/>
      <c r="P278" s="120"/>
      <c r="Q278" s="122"/>
      <c r="R278" s="122"/>
      <c r="S278" s="158"/>
      <c r="T278" s="159"/>
      <c r="U278" s="126"/>
      <c r="V278" s="127"/>
      <c r="W278" s="127" t="str">
        <f aca="false">IF(ISBLANK($C278),"",IF(E278=Constants!$B$2,TRUE(),IF(E278=Constants!$B$3,FALSE(),TRUE())))</f>
        <v/>
      </c>
      <c r="X278" s="127" t="str">
        <f aca="false">IF(ISBLANK($C278),"",IF(F278=Constants!$B$2,TRUE(),IF(F278=Constants!$B$3,FALSE(),TRUE())))</f>
        <v/>
      </c>
      <c r="Y278" s="127" t="str">
        <f aca="false">IF(ISBLANK($C278),"",IF(G278=Constants!$B$2,TRUE(),IF(G278=Constants!$B$3,FALSE(),TRUE())))</f>
        <v/>
      </c>
      <c r="Z278" s="127" t="str">
        <f aca="false">IF(ISBLANK($C278),"",IF(H278=Constants!$B$2,TRUE(),IF(H278=Constants!$B$3,FALSE(),TRUE())))</f>
        <v/>
      </c>
      <c r="AA278" s="127" t="str">
        <f aca="false">IF(ISBLANK($C278),"",IF(I278=Constants!$B$2,TRUE(),IF(I278=Constants!$B$3,FALSE(),TRUE())))</f>
        <v/>
      </c>
      <c r="AB278" s="127" t="str">
        <f aca="false">IF(ISBLANK($C278),"",IF(J278=Constants!$B$4,TRUE(),IF(J278=Constants!$B$5,FALSE(),COUNTA(K278:M278)&gt;0)))</f>
        <v/>
      </c>
      <c r="AC278" s="128" t="str">
        <f aca="false">IF(ISBLANK($C278),"",IF(ISNUMBER(K278),IF(K278&gt;=0,K278,""),""))</f>
        <v/>
      </c>
      <c r="AD278" s="129" t="str">
        <f aca="false">IF(ISBLANK($C278),"",IF(ISNUMBER(L278),IF(L278&gt;=0,L278,""),""))</f>
        <v/>
      </c>
      <c r="AE278" s="127" t="str">
        <f aca="false">IF(ISBLANK($C278),"",IF(ISNUMBER(M278),IF(M278&gt;=0,MIN(M278,Constants!$B$22),""),""))</f>
        <v/>
      </c>
      <c r="AF278" s="127" t="str">
        <f aca="false">IF(ISBLANK($C278),"",IF(N278=Constants!$B$2,TRUE(),IF(N278=Constants!$B$3,FALSE(),TRUE())))</f>
        <v/>
      </c>
      <c r="AG278" s="127" t="str">
        <f aca="false">IF(ISBLANK($C278),"",IF(O278=Constants!$B$2,TRUE(),IF(O278=Constants!$B$3,FALSE(),TRUE())))</f>
        <v/>
      </c>
      <c r="AH278" s="127" t="str">
        <f aca="false">IF(ISBLANK($C278),"",IF(P278=Constants!$B$4,TRUE(),IF(P278=Constants!$B$5,FALSE(),COUNTA(Q278:S278)&gt;0)))</f>
        <v/>
      </c>
      <c r="AI278" s="128" t="str">
        <f aca="false">IF(ISBLANK($C278),"",IF(ISNUMBER(Q278),IF(Q278&gt;=0,Q278,""),""))</f>
        <v/>
      </c>
      <c r="AJ278" s="129" t="str">
        <f aca="false">IF(ISBLANK($C278),"",IF(ISNUMBER(R278),IF(R278&gt;=0,R278,""),""))</f>
        <v/>
      </c>
      <c r="AK278" s="127" t="str">
        <f aca="false">IF(ISBLANK($C278),"",IF(ISNUMBER(S278),IF(S278&gt;=0,MIN(S278,Constants!$B$22),""),""))</f>
        <v/>
      </c>
      <c r="AL278" s="127" t="str">
        <f aca="false">IF(ISBLANK($C278),"",IF(T278=Constants!$B$2,TRUE(),IF(T278=Constants!$B$3,FALSE(),FALSE())))</f>
        <v/>
      </c>
      <c r="AM278" s="126" t="str">
        <f aca="false">IF(ISBLANK($C278),"",AND($AB278,OR($AC278="",$AD278="",AND(NOT(ISBLANK($M278)),$AE278=""))))</f>
        <v/>
      </c>
      <c r="AN278" s="129" t="str">
        <f aca="false">IF($BD278&lt;&gt;Constants!$B$6,"",IF($AB278,Constants!$B$17*$AD278,Constants!$B$18))</f>
        <v/>
      </c>
      <c r="AO278" s="130" t="str">
        <f aca="false">IF($BD278&lt;&gt;Constants!$B$6,"",Constants!$B$19*IF($AB278,$AC278,0))</f>
        <v/>
      </c>
      <c r="AP278" s="130" t="str">
        <f aca="false">IF($BD278&lt;&gt;Constants!$B$6,"",IF(AND($AB278,ISNUMBER($AE278)),Constants!$B$20*(Constants!$B$21-$AE278),0))</f>
        <v/>
      </c>
      <c r="AQ278" s="130" t="str">
        <f aca="false">IF($BD278&lt;&gt;Constants!$B$6,"",IF($AA278,0,Constants!$B$12)+IF($Z278,0,Constants!$B$13)+IF($Y278,0,Constants!$B$14))</f>
        <v/>
      </c>
      <c r="AR278" s="131" t="str">
        <f aca="false">IF($BD278&lt;&gt;Constants!$B$6,"",Constants!$B$16+SUM($AN278:$AQ278))</f>
        <v/>
      </c>
      <c r="AS278" s="130" t="str">
        <f aca="false">IF($BD278&lt;&gt;Constants!$B$6,"",IF($AB278,$AD278,""))</f>
        <v/>
      </c>
      <c r="AT278" s="132" t="str">
        <f aca="false">IF($BD278&lt;&gt;Constants!$B$6,"",$AO278)</f>
        <v/>
      </c>
      <c r="AU278" s="127" t="str">
        <f aca="false">IF($BD278&lt;&gt;Constants!$B$6,"",IF(OR($BA278&lt;$AR278,AND($BA278=$AR278,OR(AND(ISNUMBER($BB278),OR(NOT(ISNUMBER($AS278)),$BB278&lt;$AS278)),AND(OR(AND($BB278="",$AS278=""),AND(ISNUMBER($BB278),ISNUMBER($AS278),$BB278=$AS278)),$BC278&lt;$AT278)))),"-&gt;","&lt;-"))</f>
        <v/>
      </c>
      <c r="AV278" s="126" t="str">
        <f aca="false">IF(ISBLANK($C278),"",AND($AH278,OR($AI278="",$AJ278="",AND(NOT(ISBLANK($S278)),$AK278=""))))</f>
        <v/>
      </c>
      <c r="AW278" s="129" t="str">
        <f aca="false">IF($BD278&lt;&gt;Constants!$B$6,"",IF($AH278,Constants!$B$17*$AJ278,Constants!$B$18))</f>
        <v/>
      </c>
      <c r="AX278" s="130" t="str">
        <f aca="false">IF($BD278&lt;&gt;Constants!$B$6,"",Constants!$B$19*IF($AH278,$AI278,0))</f>
        <v/>
      </c>
      <c r="AY278" s="130" t="str">
        <f aca="false">IF($BD278&lt;&gt;Constants!$B$6,"",IF(AND($AH278,ISNUMBER($AK278)),Constants!$B$20*(Constants!$B$21-$AK278),0))</f>
        <v/>
      </c>
      <c r="AZ278" s="130" t="str">
        <f aca="false">IF($BD278&lt;&gt;Constants!$B$6,"",IF($AG278,0,Constants!$B$12)+IF($AF278,0,Constants!$B$13)+IF($Y278,0,Constants!$B$14))</f>
        <v/>
      </c>
      <c r="BA278" s="131" t="str">
        <f aca="false">IF($BD278&lt;&gt;Constants!$B$6,"",Constants!$B$16+SUM($AW278:$AZ278))</f>
        <v/>
      </c>
      <c r="BB278" s="130" t="str">
        <f aca="false">IF($BD278&lt;&gt;Constants!$B$6,"",IF($AH278,$AJ278,""))</f>
        <v/>
      </c>
      <c r="BC278" s="132" t="str">
        <f aca="false">IF($BD278&lt;&gt;Constants!$B$6,"",$AX278)</f>
        <v/>
      </c>
      <c r="BD278" s="127" t="str">
        <f aca="false">IF(ISBLANK($C278),"",IF($AL278,Constants!$B$9,IF(COUNTA($E278:$T278)=0,Constants!$B$8,IF(NOT($X278),Constants!$B$7,IF(OR($AM278,$AV278),Constants!$B$10,Constants!$B$6)))))</f>
        <v/>
      </c>
      <c r="BE278" s="127" t="str">
        <f aca="false">IF(ISBLANK($C278),"",IF($BD278&lt;&gt;Constants!$B$6,$BD278,Constants!$B$11))</f>
        <v/>
      </c>
      <c r="BF278" s="130" t="str">
        <f aca="false">IF($BD278&lt;&gt;Constants!$B$6,"",IF($AU278="-&gt;",$BA278,$AR278))</f>
        <v/>
      </c>
      <c r="BG278" s="130" t="str">
        <f aca="false">IF($BD278&lt;&gt;Constants!$B$6,"",IF($W278,0,Constants!$B$15))</f>
        <v/>
      </c>
      <c r="BH278" s="130" t="str">
        <f aca="false">IF(ISBLANK($C278),"",IF($BD278&lt;&gt;Constants!$B$6,$BD278,SUM($BF278:$BG278)))</f>
        <v/>
      </c>
      <c r="BI278" s="127" t="str">
        <f aca="false">IF(ISBLANK($C278),"",IF($BD278&lt;&gt;Constants!$B$6,$BD278,RANK($BH278,$BH$9:$BH$508,1)))</f>
        <v/>
      </c>
      <c r="BJ278" s="130" t="str">
        <f aca="false">IF($BD278&lt;&gt;Constants!$B$6,"",IF($AU278="-&gt;",$BB278,$AS278))</f>
        <v/>
      </c>
      <c r="BK278" s="127" t="str">
        <f aca="false">IF(ISBLANK($C278),"",IF($BD278&lt;&gt;Constants!$B$6,$BD278,IF(ISNUMBER($BJ278),RANK($BJ278,$BJ$9:$BJ$508,1),COUNT($BJ$9:$BJ$508)+1)))</f>
        <v/>
      </c>
      <c r="BL278" s="130" t="str">
        <f aca="false">IF($BD278&lt;&gt;Constants!$B$6,"",IF($AU278="-&gt;",$BC278,$AT278))</f>
        <v/>
      </c>
      <c r="BM278" s="127" t="str">
        <f aca="false">IF(ISBLANK($C278),"",IF($BD278&lt;&gt;Constants!$B$6,$BD278,IF(ISNUMBER($BL278),RANK($BL278,$BL$9:$BL$508,1),COUNT($BL$9:$BL$508)+1)))</f>
        <v/>
      </c>
      <c r="BN278" s="130" t="str">
        <f aca="false">IF($BD278&lt;&gt;Constants!$B$6,"",IF($AU278="-&gt;",$AS278,$BB278))</f>
        <v/>
      </c>
      <c r="BO278" s="127" t="str">
        <f aca="false">IF(ISBLANK($C278),"",IF($BD278&lt;&gt;Constants!$B$6,$BD278,IF(ISNUMBER($BN278),RANK($BN278,$BN$9:$BN$508,1),COUNT($BN$9:$BN$508)+1)))</f>
        <v/>
      </c>
      <c r="BP278" s="130" t="str">
        <f aca="false">IF($BD278&lt;&gt;Constants!$B$6,"",IF($AU278="-&gt;",$AT278,$BC278))</f>
        <v/>
      </c>
      <c r="BQ278" s="127" t="str">
        <f aca="false">IF(ISBLANK($C278),"",IF($BD278&lt;&gt;Constants!$B$6,$BD278,IF(ISNUMBER($BP278),RANK($BP278,$BP$9:$BP$508,1),COUNT($BP$9:$BP$508)+1)))</f>
        <v/>
      </c>
      <c r="BR278" s="127" t="str">
        <f aca="false">IF(ISBLANK($C278),"",IF($BD278&lt;&gt;Constants!$B$6,$BD278,COUNTIFS($BI$9:$BI$508,"&lt;"&amp;$BI278)+COUNTIFS($BI$9:$BI$508,$BI278,$BK$9:$BK$508,"&lt;"&amp;$BK278)+COUNTIFS($BI$9:$BI$508,$BI278,$BK$9:$BK$508,$BK278,$BM$9:$BM$508,"&lt;"&amp;$BM278)+COUNTIFS($BI$9:$BI$508,$BI278,$BK$9:$BK$508,$BK278,$BM$9:$BM$508,$BM278,$BO$9:$BO$508,"&lt;"&amp;$BO278)+COUNTIFS($BI$9:$BI$508,$BI278,$BK$9:$BK$508,$BK278,$BM$9:$BM$508,$BM278,$BO$9:$BO$508,$BO278,$BQ$9:$BQ$508,"&lt;"&amp;$BQ278)+1))</f>
        <v/>
      </c>
      <c r="BS278" s="127" t="str">
        <f aca="false">IF(ISBLANK($C278),"",IF($BD278&lt;&gt;Constants!$B$6,$BD278,$BI278-$BR278))</f>
        <v/>
      </c>
      <c r="BT278" s="133"/>
      <c r="BU278" s="134"/>
      <c r="BV278" s="134" t="str">
        <f aca="false">IF(ISBLANK($C278),"",IF($BD278&lt;&gt;Constants!$B$6,"",IF($AU278="-&gt;",2,1)))</f>
        <v/>
      </c>
      <c r="BW278" s="135" t="str">
        <f aca="false">IF(ISBLANK($C278),"",IF($BD278&lt;&gt;Constants!$B$6,"",IF($AU278="-&gt;",$AW278,$AN278)))</f>
        <v/>
      </c>
      <c r="BX278" s="135" t="str">
        <f aca="false">IF(ISBLANK($C278),"",IF($BD278&lt;&gt;Constants!$B$6,"",IF($AU278="-&gt;",$AX278,$AO278)))</f>
        <v/>
      </c>
      <c r="BY278" s="135" t="str">
        <f aca="false">IF(ISBLANK($C278),"",IF($BD278&lt;&gt;Constants!$B$6,"",IF($AU278="-&gt;",$AY278,$AP278)))</f>
        <v/>
      </c>
      <c r="BZ278" s="135" t="str">
        <f aca="false">IF(ISBLANK($C278),"",IF($BD278&lt;&gt;Constants!$B$6,"",IF($AU278="-&gt;",$AZ278,$AQ278)+$BG278))</f>
        <v/>
      </c>
      <c r="CA278" s="136" t="str">
        <f aca="false">IF(ISBLANK($C278),"",IF($BD278&lt;&gt;Constants!$B$6,$BD278,$BH278))</f>
        <v/>
      </c>
      <c r="CB278" s="137" t="str">
        <f aca="false">IF(ISBLANK($C278),"",$BE278)</f>
        <v/>
      </c>
      <c r="CC278" s="138" t="str">
        <f aca="false">IF(ISBLANK($C278),"",$BS278)</f>
        <v/>
      </c>
      <c r="CD278" s="138" t="str">
        <f aca="false">IF(ISBLANK($C278),"",$BR278)</f>
        <v/>
      </c>
      <c r="CE278" s="139" t="str">
        <f aca="false">IF(ISBLANK($C278),"",IF($CD278=Constants!$B$9,COUNTA($C$9:$C$508)+2,IF($CD278=Constants!$B$8,COUNTA($C$9:$C$508)+1,IF($CD278=Constants!$B$7,COUNTA($C$9:$C$508),$CD278))))</f>
        <v/>
      </c>
      <c r="CF278" s="9"/>
      <c r="CG278" s="140" t="n">
        <f aca="false">IF(OR(ISNUMBER($CD278),$CD278=Constants!$B$9,$CD278=Constants!$B$7,$CD278=Constants!$B$8),1,0)</f>
        <v>0</v>
      </c>
      <c r="CH278" s="140" t="n">
        <v>270</v>
      </c>
      <c r="CI278" s="140" t="str">
        <f aca="false">IF(ISBLANK($C278),"",IF(ISNUMBER($CE278),$CE278+ROW($B278)/1000,""))</f>
        <v/>
      </c>
      <c r="CJ278" s="140" t="str">
        <f aca="false">IF(ISNUMBER($CI278),RANK($CI278,$CI$9:$CI$508,1),"")</f>
        <v/>
      </c>
      <c r="CK278" s="140" t="str">
        <f aca="false">IF(ISBLANK($C278),"",$B278)</f>
        <v/>
      </c>
      <c r="CL278" s="140" t="str">
        <f aca="false">IF(ISBLANK($C278),"",$C278)</f>
        <v/>
      </c>
      <c r="CM278" s="140" t="str">
        <f aca="false">IF(ISBLANK($C278),"",$D278)</f>
        <v/>
      </c>
      <c r="CN278" s="141" t="str">
        <f aca="false">$CB278</f>
        <v/>
      </c>
      <c r="CO278" s="142" t="str">
        <f aca="false">$CA278</f>
        <v/>
      </c>
      <c r="CP278" s="140" t="str">
        <f aca="false">IF(ISBLANK($C278),"",$CD278)</f>
        <v/>
      </c>
      <c r="CQ278" s="143" t="str">
        <f aca="false">IF($CH278&gt;$CG$8,"",VLOOKUP($CH278,$CJ$9:$CP$508,7,FALSE()))</f>
        <v/>
      </c>
      <c r="CR278" s="144" t="str">
        <f aca="false">IF($CH278&gt;$CG$8,"",VLOOKUP($CH278,$CJ$9:$CP$508,2,FALSE()))</f>
        <v/>
      </c>
      <c r="CS278" s="144" t="str">
        <f aca="false">IF($CH278&gt;$CG$8,"",VLOOKUP($CH278,$CJ$9:$CP$508,3,FALSE()))</f>
        <v/>
      </c>
      <c r="CT278" s="144" t="str">
        <f aca="false">IF($CH278&gt;$CG$8,"",VLOOKUP($CH278,$CJ$9:$CP$508,4,FALSE()))</f>
        <v/>
      </c>
      <c r="CU278" s="144" t="str">
        <f aca="false">IF($CH278&gt;$CG$8,"",VLOOKUP($CH278,$CJ$9:$CP$508,5,FALSE()))</f>
        <v/>
      </c>
      <c r="CV278" s="145" t="str">
        <f aca="false">IF($CH278&gt;$CG$8,"",VLOOKUP($CH278,$CJ$9:$CP$508,6,FALSE()))</f>
        <v/>
      </c>
      <c r="CW278" s="71"/>
    </row>
    <row r="279" customFormat="false" ht="15.75" hidden="false" customHeight="false" outlineLevel="0" collapsed="false">
      <c r="A279" s="9"/>
      <c r="B279" s="72"/>
      <c r="C279" s="73"/>
      <c r="D279" s="160"/>
      <c r="E279" s="168"/>
      <c r="F279" s="162"/>
      <c r="G279" s="163"/>
      <c r="H279" s="169"/>
      <c r="I279" s="167"/>
      <c r="J279" s="80"/>
      <c r="K279" s="81"/>
      <c r="L279" s="82"/>
      <c r="M279" s="166"/>
      <c r="N279" s="167"/>
      <c r="O279" s="167"/>
      <c r="P279" s="80"/>
      <c r="Q279" s="82"/>
      <c r="R279" s="82"/>
      <c r="S279" s="166"/>
      <c r="T279" s="167"/>
      <c r="U279" s="86"/>
      <c r="V279" s="87"/>
      <c r="W279" s="87" t="str">
        <f aca="false">IF(ISBLANK($C279),"",IF(E279=Constants!$B$2,TRUE(),IF(E279=Constants!$B$3,FALSE(),TRUE())))</f>
        <v/>
      </c>
      <c r="X279" s="87" t="str">
        <f aca="false">IF(ISBLANK($C279),"",IF(F279=Constants!$B$2,TRUE(),IF(F279=Constants!$B$3,FALSE(),TRUE())))</f>
        <v/>
      </c>
      <c r="Y279" s="87" t="str">
        <f aca="false">IF(ISBLANK($C279),"",IF(G279=Constants!$B$2,TRUE(),IF(G279=Constants!$B$3,FALSE(),TRUE())))</f>
        <v/>
      </c>
      <c r="Z279" s="87" t="str">
        <f aca="false">IF(ISBLANK($C279),"",IF(H279=Constants!$B$2,TRUE(),IF(H279=Constants!$B$3,FALSE(),TRUE())))</f>
        <v/>
      </c>
      <c r="AA279" s="87" t="str">
        <f aca="false">IF(ISBLANK($C279),"",IF(I279=Constants!$B$2,TRUE(),IF(I279=Constants!$B$3,FALSE(),TRUE())))</f>
        <v/>
      </c>
      <c r="AB279" s="87" t="str">
        <f aca="false">IF(ISBLANK($C279),"",IF(J279=Constants!$B$4,TRUE(),IF(J279=Constants!$B$5,FALSE(),COUNTA(K279:M279)&gt;0)))</f>
        <v/>
      </c>
      <c r="AC279" s="88" t="str">
        <f aca="false">IF(ISBLANK($C279),"",IF(ISNUMBER(K279),IF(K279&gt;=0,K279,""),""))</f>
        <v/>
      </c>
      <c r="AD279" s="89" t="str">
        <f aca="false">IF(ISBLANK($C279),"",IF(ISNUMBER(L279),IF(L279&gt;=0,L279,""),""))</f>
        <v/>
      </c>
      <c r="AE279" s="87" t="str">
        <f aca="false">IF(ISBLANK($C279),"",IF(ISNUMBER(M279),IF(M279&gt;=0,MIN(M279,Constants!$B$22),""),""))</f>
        <v/>
      </c>
      <c r="AF279" s="87" t="str">
        <f aca="false">IF(ISBLANK($C279),"",IF(N279=Constants!$B$2,TRUE(),IF(N279=Constants!$B$3,FALSE(),TRUE())))</f>
        <v/>
      </c>
      <c r="AG279" s="87" t="str">
        <f aca="false">IF(ISBLANK($C279),"",IF(O279=Constants!$B$2,TRUE(),IF(O279=Constants!$B$3,FALSE(),TRUE())))</f>
        <v/>
      </c>
      <c r="AH279" s="87" t="str">
        <f aca="false">IF(ISBLANK($C279),"",IF(P279=Constants!$B$4,TRUE(),IF(P279=Constants!$B$5,FALSE(),COUNTA(Q279:S279)&gt;0)))</f>
        <v/>
      </c>
      <c r="AI279" s="88" t="str">
        <f aca="false">IF(ISBLANK($C279),"",IF(ISNUMBER(Q279),IF(Q279&gt;=0,Q279,""),""))</f>
        <v/>
      </c>
      <c r="AJ279" s="89" t="str">
        <f aca="false">IF(ISBLANK($C279),"",IF(ISNUMBER(R279),IF(R279&gt;=0,R279,""),""))</f>
        <v/>
      </c>
      <c r="AK279" s="87" t="str">
        <f aca="false">IF(ISBLANK($C279),"",IF(ISNUMBER(S279),IF(S279&gt;=0,MIN(S279,Constants!$B$22),""),""))</f>
        <v/>
      </c>
      <c r="AL279" s="87" t="str">
        <f aca="false">IF(ISBLANK($C279),"",IF(T279=Constants!$B$2,TRUE(),IF(T279=Constants!$B$3,FALSE(),FALSE())))</f>
        <v/>
      </c>
      <c r="AM279" s="86" t="str">
        <f aca="false">IF(ISBLANK($C279),"",AND($AB279,OR($AC279="",$AD279="",AND(NOT(ISBLANK($M279)),$AE279=""))))</f>
        <v/>
      </c>
      <c r="AN279" s="89" t="str">
        <f aca="false">IF($BD279&lt;&gt;Constants!$B$6,"",IF($AB279,Constants!$B$17*$AD279,Constants!$B$18))</f>
        <v/>
      </c>
      <c r="AO279" s="91" t="str">
        <f aca="false">IF($BD279&lt;&gt;Constants!$B$6,"",Constants!$B$19*IF($AB279,$AC279,0))</f>
        <v/>
      </c>
      <c r="AP279" s="91" t="str">
        <f aca="false">IF($BD279&lt;&gt;Constants!$B$6,"",IF(AND($AB279,ISNUMBER($AE279)),Constants!$B$20*(Constants!$B$21-$AE279),0))</f>
        <v/>
      </c>
      <c r="AQ279" s="91" t="str">
        <f aca="false">IF($BD279&lt;&gt;Constants!$B$6,"",IF($AA279,0,Constants!$B$12)+IF($Z279,0,Constants!$B$13)+IF($Y279,0,Constants!$B$14))</f>
        <v/>
      </c>
      <c r="AR279" s="92" t="str">
        <f aca="false">IF($BD279&lt;&gt;Constants!$B$6,"",Constants!$B$16+SUM($AN279:$AQ279))</f>
        <v/>
      </c>
      <c r="AS279" s="91" t="str">
        <f aca="false">IF($BD279&lt;&gt;Constants!$B$6,"",IF($AB279,$AD279,""))</f>
        <v/>
      </c>
      <c r="AT279" s="93" t="str">
        <f aca="false">IF($BD279&lt;&gt;Constants!$B$6,"",$AO279)</f>
        <v/>
      </c>
      <c r="AU279" s="87" t="str">
        <f aca="false">IF($BD279&lt;&gt;Constants!$B$6,"",IF(OR($BA279&lt;$AR279,AND($BA279=$AR279,OR(AND(ISNUMBER($BB279),OR(NOT(ISNUMBER($AS279)),$BB279&lt;$AS279)),AND(OR(AND($BB279="",$AS279=""),AND(ISNUMBER($BB279),ISNUMBER($AS279),$BB279=$AS279)),$BC279&lt;$AT279)))),"-&gt;","&lt;-"))</f>
        <v/>
      </c>
      <c r="AV279" s="86" t="str">
        <f aca="false">IF(ISBLANK($C279),"",AND($AH279,OR($AI279="",$AJ279="",AND(NOT(ISBLANK($S279)),$AK279=""))))</f>
        <v/>
      </c>
      <c r="AW279" s="89" t="str">
        <f aca="false">IF($BD279&lt;&gt;Constants!$B$6,"",IF($AH279,Constants!$B$17*$AJ279,Constants!$B$18))</f>
        <v/>
      </c>
      <c r="AX279" s="91" t="str">
        <f aca="false">IF($BD279&lt;&gt;Constants!$B$6,"",Constants!$B$19*IF($AH279,$AI279,0))</f>
        <v/>
      </c>
      <c r="AY279" s="91" t="str">
        <f aca="false">IF($BD279&lt;&gt;Constants!$B$6,"",IF(AND($AH279,ISNUMBER($AK279)),Constants!$B$20*(Constants!$B$21-$AK279),0))</f>
        <v/>
      </c>
      <c r="AZ279" s="91" t="str">
        <f aca="false">IF($BD279&lt;&gt;Constants!$B$6,"",IF($AG279,0,Constants!$B$12)+IF($AF279,0,Constants!$B$13)+IF($Y279,0,Constants!$B$14))</f>
        <v/>
      </c>
      <c r="BA279" s="92" t="str">
        <f aca="false">IF($BD279&lt;&gt;Constants!$B$6,"",Constants!$B$16+SUM($AW279:$AZ279))</f>
        <v/>
      </c>
      <c r="BB279" s="91" t="str">
        <f aca="false">IF($BD279&lt;&gt;Constants!$B$6,"",IF($AH279,$AJ279,""))</f>
        <v/>
      </c>
      <c r="BC279" s="93" t="str">
        <f aca="false">IF($BD279&lt;&gt;Constants!$B$6,"",$AX279)</f>
        <v/>
      </c>
      <c r="BD279" s="87" t="str">
        <f aca="false">IF(ISBLANK($C279),"",IF($AL279,Constants!$B$9,IF(COUNTA($E279:$T279)=0,Constants!$B$8,IF(NOT($X279),Constants!$B$7,IF(OR($AM279,$AV279),Constants!$B$10,Constants!$B$6)))))</f>
        <v/>
      </c>
      <c r="BE279" s="87" t="str">
        <f aca="false">IF(ISBLANK($C279),"",IF($BD279&lt;&gt;Constants!$B$6,$BD279,Constants!$B$11))</f>
        <v/>
      </c>
      <c r="BF279" s="91" t="str">
        <f aca="false">IF($BD279&lt;&gt;Constants!$B$6,"",IF($AU279="-&gt;",$BA279,$AR279))</f>
        <v/>
      </c>
      <c r="BG279" s="91" t="str">
        <f aca="false">IF($BD279&lt;&gt;Constants!$B$6,"",IF($W279,0,Constants!$B$15))</f>
        <v/>
      </c>
      <c r="BH279" s="91" t="str">
        <f aca="false">IF(ISBLANK($C279),"",IF($BD279&lt;&gt;Constants!$B$6,$BD279,SUM($BF279:$BG279)))</f>
        <v/>
      </c>
      <c r="BI279" s="87" t="str">
        <f aca="false">IF(ISBLANK($C279),"",IF($BD279&lt;&gt;Constants!$B$6,$BD279,RANK($BH279,$BH$9:$BH$508,1)))</f>
        <v/>
      </c>
      <c r="BJ279" s="91" t="str">
        <f aca="false">IF($BD279&lt;&gt;Constants!$B$6,"",IF($AU279="-&gt;",$BB279,$AS279))</f>
        <v/>
      </c>
      <c r="BK279" s="87" t="str">
        <f aca="false">IF(ISBLANK($C279),"",IF($BD279&lt;&gt;Constants!$B$6,$BD279,IF(ISNUMBER($BJ279),RANK($BJ279,$BJ$9:$BJ$508,1),COUNT($BJ$9:$BJ$508)+1)))</f>
        <v/>
      </c>
      <c r="BL279" s="91" t="str">
        <f aca="false">IF($BD279&lt;&gt;Constants!$B$6,"",IF($AU279="-&gt;",$BC279,$AT279))</f>
        <v/>
      </c>
      <c r="BM279" s="87" t="str">
        <f aca="false">IF(ISBLANK($C279),"",IF($BD279&lt;&gt;Constants!$B$6,$BD279,IF(ISNUMBER($BL279),RANK($BL279,$BL$9:$BL$508,1),COUNT($BL$9:$BL$508)+1)))</f>
        <v/>
      </c>
      <c r="BN279" s="91" t="str">
        <f aca="false">IF($BD279&lt;&gt;Constants!$B$6,"",IF($AU279="-&gt;",$AS279,$BB279))</f>
        <v/>
      </c>
      <c r="BO279" s="87" t="str">
        <f aca="false">IF(ISBLANK($C279),"",IF($BD279&lt;&gt;Constants!$B$6,$BD279,IF(ISNUMBER($BN279),RANK($BN279,$BN$9:$BN$508,1),COUNT($BN$9:$BN$508)+1)))</f>
        <v/>
      </c>
      <c r="BP279" s="91" t="str">
        <f aca="false">IF($BD279&lt;&gt;Constants!$B$6,"",IF($AU279="-&gt;",$AT279,$BC279))</f>
        <v/>
      </c>
      <c r="BQ279" s="87" t="str">
        <f aca="false">IF(ISBLANK($C279),"",IF($BD279&lt;&gt;Constants!$B$6,$BD279,IF(ISNUMBER($BP279),RANK($BP279,$BP$9:$BP$508,1),COUNT($BP$9:$BP$508)+1)))</f>
        <v/>
      </c>
      <c r="BR279" s="87" t="str">
        <f aca="false">IF(ISBLANK($C279),"",IF($BD279&lt;&gt;Constants!$B$6,$BD279,COUNTIFS($BI$9:$BI$508,"&lt;"&amp;$BI279)+COUNTIFS($BI$9:$BI$508,$BI279,$BK$9:$BK$508,"&lt;"&amp;$BK279)+COUNTIFS($BI$9:$BI$508,$BI279,$BK$9:$BK$508,$BK279,$BM$9:$BM$508,"&lt;"&amp;$BM279)+COUNTIFS($BI$9:$BI$508,$BI279,$BK$9:$BK$508,$BK279,$BM$9:$BM$508,$BM279,$BO$9:$BO$508,"&lt;"&amp;$BO279)+COUNTIFS($BI$9:$BI$508,$BI279,$BK$9:$BK$508,$BK279,$BM$9:$BM$508,$BM279,$BO$9:$BO$508,$BO279,$BQ$9:$BQ$508,"&lt;"&amp;$BQ279)+1))</f>
        <v/>
      </c>
      <c r="BS279" s="87" t="str">
        <f aca="false">IF(ISBLANK($C279),"",IF($BD279&lt;&gt;Constants!$B$6,$BD279,$BI279-$BR279))</f>
        <v/>
      </c>
      <c r="BT279" s="94"/>
      <c r="BU279" s="95"/>
      <c r="BV279" s="95" t="str">
        <f aca="false">IF(ISBLANK($C279),"",IF($BD279&lt;&gt;Constants!$B$6,"",IF($AU279="-&gt;",2,1)))</f>
        <v/>
      </c>
      <c r="BW279" s="96" t="str">
        <f aca="false">IF(ISBLANK($C279),"",IF($BD279&lt;&gt;Constants!$B$6,"",IF($AU279="-&gt;",$AW279,$AN279)))</f>
        <v/>
      </c>
      <c r="BX279" s="96" t="str">
        <f aca="false">IF(ISBLANK($C279),"",IF($BD279&lt;&gt;Constants!$B$6,"",IF($AU279="-&gt;",$AX279,$AO279)))</f>
        <v/>
      </c>
      <c r="BY279" s="96" t="str">
        <f aca="false">IF(ISBLANK($C279),"",IF($BD279&lt;&gt;Constants!$B$6,"",IF($AU279="-&gt;",$AY279,$AP279)))</f>
        <v/>
      </c>
      <c r="BZ279" s="96" t="str">
        <f aca="false">IF(ISBLANK($C279),"",IF($BD279&lt;&gt;Constants!$B$6,"",IF($AU279="-&gt;",$AZ279,$AQ279)+$BG279))</f>
        <v/>
      </c>
      <c r="CA279" s="97" t="str">
        <f aca="false">IF(ISBLANK($C279),"",IF($BD279&lt;&gt;Constants!$B$6,$BD279,$BH279))</f>
        <v/>
      </c>
      <c r="CB279" s="98" t="str">
        <f aca="false">IF(ISBLANK($C279),"",$BE279)</f>
        <v/>
      </c>
      <c r="CC279" s="99" t="str">
        <f aca="false">IF(ISBLANK($C279),"",$BS279)</f>
        <v/>
      </c>
      <c r="CD279" s="99" t="str">
        <f aca="false">IF(ISBLANK($C279),"",$BR279)</f>
        <v/>
      </c>
      <c r="CE279" s="100" t="str">
        <f aca="false">IF(ISBLANK($C279),"",IF($CD279=Constants!$B$9,COUNTA($C$9:$C$508)+2,IF($CD279=Constants!$B$8,COUNTA($C$9:$C$508)+1,IF($CD279=Constants!$B$7,COUNTA($C$9:$C$508),$CD279))))</f>
        <v/>
      </c>
      <c r="CF279" s="9"/>
      <c r="CG279" s="101" t="n">
        <f aca="false">IF(OR(ISNUMBER($CD279),$CD279=Constants!$B$9,$CD279=Constants!$B$7,$CD279=Constants!$B$8),1,0)</f>
        <v>0</v>
      </c>
      <c r="CH279" s="101" t="n">
        <v>271</v>
      </c>
      <c r="CI279" s="101" t="str">
        <f aca="false">IF(ISBLANK($C279),"",IF(ISNUMBER($CE279),$CE279+ROW($B279)/1000,""))</f>
        <v/>
      </c>
      <c r="CJ279" s="101" t="str">
        <f aca="false">IF(ISNUMBER($CI279),RANK($CI279,$CI$9:$CI$508,1),"")</f>
        <v/>
      </c>
      <c r="CK279" s="101" t="str">
        <f aca="false">IF(ISBLANK($C279),"",$B279)</f>
        <v/>
      </c>
      <c r="CL279" s="101" t="str">
        <f aca="false">IF(ISBLANK($C279),"",$C279)</f>
        <v/>
      </c>
      <c r="CM279" s="101" t="str">
        <f aca="false">IF(ISBLANK($C279),"",$D279)</f>
        <v/>
      </c>
      <c r="CN279" s="102" t="str">
        <f aca="false">$CB279</f>
        <v/>
      </c>
      <c r="CO279" s="103" t="str">
        <f aca="false">$CA279</f>
        <v/>
      </c>
      <c r="CP279" s="101" t="str">
        <f aca="false">IF(ISBLANK($C279),"",$CD279)</f>
        <v/>
      </c>
      <c r="CQ279" s="104" t="str">
        <f aca="false">IF($CH279&gt;$CG$8,"",VLOOKUP($CH279,$CJ$9:$CP$508,7,FALSE()))</f>
        <v/>
      </c>
      <c r="CR279" s="105" t="str">
        <f aca="false">IF($CH279&gt;$CG$8,"",VLOOKUP($CH279,$CJ$9:$CP$508,2,FALSE()))</f>
        <v/>
      </c>
      <c r="CS279" s="105" t="str">
        <f aca="false">IF($CH279&gt;$CG$8,"",VLOOKUP($CH279,$CJ$9:$CP$508,3,FALSE()))</f>
        <v/>
      </c>
      <c r="CT279" s="105" t="str">
        <f aca="false">IF($CH279&gt;$CG$8,"",VLOOKUP($CH279,$CJ$9:$CP$508,4,FALSE()))</f>
        <v/>
      </c>
      <c r="CU279" s="105" t="str">
        <f aca="false">IF($CH279&gt;$CG$8,"",VLOOKUP($CH279,$CJ$9:$CP$508,5,FALSE()))</f>
        <v/>
      </c>
      <c r="CV279" s="106" t="str">
        <f aca="false">IF($CH279&gt;$CG$8,"",VLOOKUP($CH279,$CJ$9:$CP$508,6,FALSE()))</f>
        <v/>
      </c>
      <c r="CW279" s="71"/>
    </row>
    <row r="280" customFormat="false" ht="15.75" hidden="false" customHeight="false" outlineLevel="0" collapsed="false">
      <c r="A280" s="9"/>
      <c r="B280" s="72"/>
      <c r="C280" s="73"/>
      <c r="D280" s="160"/>
      <c r="E280" s="168"/>
      <c r="F280" s="162"/>
      <c r="G280" s="163"/>
      <c r="H280" s="169"/>
      <c r="I280" s="167"/>
      <c r="J280" s="80"/>
      <c r="K280" s="81"/>
      <c r="L280" s="82"/>
      <c r="M280" s="166"/>
      <c r="N280" s="167"/>
      <c r="O280" s="167"/>
      <c r="P280" s="80"/>
      <c r="Q280" s="82"/>
      <c r="R280" s="82"/>
      <c r="S280" s="166"/>
      <c r="T280" s="167"/>
      <c r="U280" s="86"/>
      <c r="V280" s="87"/>
      <c r="W280" s="87" t="str">
        <f aca="false">IF(ISBLANK($C280),"",IF(E280=Constants!$B$2,TRUE(),IF(E280=Constants!$B$3,FALSE(),TRUE())))</f>
        <v/>
      </c>
      <c r="X280" s="87" t="str">
        <f aca="false">IF(ISBLANK($C280),"",IF(F280=Constants!$B$2,TRUE(),IF(F280=Constants!$B$3,FALSE(),TRUE())))</f>
        <v/>
      </c>
      <c r="Y280" s="87" t="str">
        <f aca="false">IF(ISBLANK($C280),"",IF(G280=Constants!$B$2,TRUE(),IF(G280=Constants!$B$3,FALSE(),TRUE())))</f>
        <v/>
      </c>
      <c r="Z280" s="87" t="str">
        <f aca="false">IF(ISBLANK($C280),"",IF(H280=Constants!$B$2,TRUE(),IF(H280=Constants!$B$3,FALSE(),TRUE())))</f>
        <v/>
      </c>
      <c r="AA280" s="87" t="str">
        <f aca="false">IF(ISBLANK($C280),"",IF(I280=Constants!$B$2,TRUE(),IF(I280=Constants!$B$3,FALSE(),TRUE())))</f>
        <v/>
      </c>
      <c r="AB280" s="87" t="str">
        <f aca="false">IF(ISBLANK($C280),"",IF(J280=Constants!$B$4,TRUE(),IF(J280=Constants!$B$5,FALSE(),COUNTA(K280:M280)&gt;0)))</f>
        <v/>
      </c>
      <c r="AC280" s="88" t="str">
        <f aca="false">IF(ISBLANK($C280),"",IF(ISNUMBER(K280),IF(K280&gt;=0,K280,""),""))</f>
        <v/>
      </c>
      <c r="AD280" s="89" t="str">
        <f aca="false">IF(ISBLANK($C280),"",IF(ISNUMBER(L280),IF(L280&gt;=0,L280,""),""))</f>
        <v/>
      </c>
      <c r="AE280" s="87" t="str">
        <f aca="false">IF(ISBLANK($C280),"",IF(ISNUMBER(M280),IF(M280&gt;=0,MIN(M280,Constants!$B$22),""),""))</f>
        <v/>
      </c>
      <c r="AF280" s="87" t="str">
        <f aca="false">IF(ISBLANK($C280),"",IF(N280=Constants!$B$2,TRUE(),IF(N280=Constants!$B$3,FALSE(),TRUE())))</f>
        <v/>
      </c>
      <c r="AG280" s="87" t="str">
        <f aca="false">IF(ISBLANK($C280),"",IF(O280=Constants!$B$2,TRUE(),IF(O280=Constants!$B$3,FALSE(),TRUE())))</f>
        <v/>
      </c>
      <c r="AH280" s="87" t="str">
        <f aca="false">IF(ISBLANK($C280),"",IF(P280=Constants!$B$4,TRUE(),IF(P280=Constants!$B$5,FALSE(),COUNTA(Q280:S280)&gt;0)))</f>
        <v/>
      </c>
      <c r="AI280" s="88" t="str">
        <f aca="false">IF(ISBLANK($C280),"",IF(ISNUMBER(Q280),IF(Q280&gt;=0,Q280,""),""))</f>
        <v/>
      </c>
      <c r="AJ280" s="89" t="str">
        <f aca="false">IF(ISBLANK($C280),"",IF(ISNUMBER(R280),IF(R280&gt;=0,R280,""),""))</f>
        <v/>
      </c>
      <c r="AK280" s="87" t="str">
        <f aca="false">IF(ISBLANK($C280),"",IF(ISNUMBER(S280),IF(S280&gt;=0,MIN(S280,Constants!$B$22),""),""))</f>
        <v/>
      </c>
      <c r="AL280" s="87" t="str">
        <f aca="false">IF(ISBLANK($C280),"",IF(T280=Constants!$B$2,TRUE(),IF(T280=Constants!$B$3,FALSE(),FALSE())))</f>
        <v/>
      </c>
      <c r="AM280" s="86" t="str">
        <f aca="false">IF(ISBLANK($C280),"",AND($AB280,OR($AC280="",$AD280="",AND(NOT(ISBLANK($M280)),$AE280=""))))</f>
        <v/>
      </c>
      <c r="AN280" s="89" t="str">
        <f aca="false">IF($BD280&lt;&gt;Constants!$B$6,"",IF($AB280,Constants!$B$17*$AD280,Constants!$B$18))</f>
        <v/>
      </c>
      <c r="AO280" s="91" t="str">
        <f aca="false">IF($BD280&lt;&gt;Constants!$B$6,"",Constants!$B$19*IF($AB280,$AC280,0))</f>
        <v/>
      </c>
      <c r="AP280" s="91" t="str">
        <f aca="false">IF($BD280&lt;&gt;Constants!$B$6,"",IF(AND($AB280,ISNUMBER($AE280)),Constants!$B$20*(Constants!$B$21-$AE280),0))</f>
        <v/>
      </c>
      <c r="AQ280" s="91" t="str">
        <f aca="false">IF($BD280&lt;&gt;Constants!$B$6,"",IF($AA280,0,Constants!$B$12)+IF($Z280,0,Constants!$B$13)+IF($Y280,0,Constants!$B$14))</f>
        <v/>
      </c>
      <c r="AR280" s="92" t="str">
        <f aca="false">IF($BD280&lt;&gt;Constants!$B$6,"",Constants!$B$16+SUM($AN280:$AQ280))</f>
        <v/>
      </c>
      <c r="AS280" s="91" t="str">
        <f aca="false">IF($BD280&lt;&gt;Constants!$B$6,"",IF($AB280,$AD280,""))</f>
        <v/>
      </c>
      <c r="AT280" s="93" t="str">
        <f aca="false">IF($BD280&lt;&gt;Constants!$B$6,"",$AO280)</f>
        <v/>
      </c>
      <c r="AU280" s="87" t="str">
        <f aca="false">IF($BD280&lt;&gt;Constants!$B$6,"",IF(OR($BA280&lt;$AR280,AND($BA280=$AR280,OR(AND(ISNUMBER($BB280),OR(NOT(ISNUMBER($AS280)),$BB280&lt;$AS280)),AND(OR(AND($BB280="",$AS280=""),AND(ISNUMBER($BB280),ISNUMBER($AS280),$BB280=$AS280)),$BC280&lt;$AT280)))),"-&gt;","&lt;-"))</f>
        <v/>
      </c>
      <c r="AV280" s="86" t="str">
        <f aca="false">IF(ISBLANK($C280),"",AND($AH280,OR($AI280="",$AJ280="",AND(NOT(ISBLANK($S280)),$AK280=""))))</f>
        <v/>
      </c>
      <c r="AW280" s="89" t="str">
        <f aca="false">IF($BD280&lt;&gt;Constants!$B$6,"",IF($AH280,Constants!$B$17*$AJ280,Constants!$B$18))</f>
        <v/>
      </c>
      <c r="AX280" s="91" t="str">
        <f aca="false">IF($BD280&lt;&gt;Constants!$B$6,"",Constants!$B$19*IF($AH280,$AI280,0))</f>
        <v/>
      </c>
      <c r="AY280" s="91" t="str">
        <f aca="false">IF($BD280&lt;&gt;Constants!$B$6,"",IF(AND($AH280,ISNUMBER($AK280)),Constants!$B$20*(Constants!$B$21-$AK280),0))</f>
        <v/>
      </c>
      <c r="AZ280" s="91" t="str">
        <f aca="false">IF($BD280&lt;&gt;Constants!$B$6,"",IF($AG280,0,Constants!$B$12)+IF($AF280,0,Constants!$B$13)+IF($Y280,0,Constants!$B$14))</f>
        <v/>
      </c>
      <c r="BA280" s="92" t="str">
        <f aca="false">IF($BD280&lt;&gt;Constants!$B$6,"",Constants!$B$16+SUM($AW280:$AZ280))</f>
        <v/>
      </c>
      <c r="BB280" s="91" t="str">
        <f aca="false">IF($BD280&lt;&gt;Constants!$B$6,"",IF($AH280,$AJ280,""))</f>
        <v/>
      </c>
      <c r="BC280" s="93" t="str">
        <f aca="false">IF($BD280&lt;&gt;Constants!$B$6,"",$AX280)</f>
        <v/>
      </c>
      <c r="BD280" s="87" t="str">
        <f aca="false">IF(ISBLANK($C280),"",IF($AL280,Constants!$B$9,IF(COUNTA($E280:$T280)=0,Constants!$B$8,IF(NOT($X280),Constants!$B$7,IF(OR($AM280,$AV280),Constants!$B$10,Constants!$B$6)))))</f>
        <v/>
      </c>
      <c r="BE280" s="87" t="str">
        <f aca="false">IF(ISBLANK($C280),"",IF($BD280&lt;&gt;Constants!$B$6,$BD280,Constants!$B$11))</f>
        <v/>
      </c>
      <c r="BF280" s="91" t="str">
        <f aca="false">IF($BD280&lt;&gt;Constants!$B$6,"",IF($AU280="-&gt;",$BA280,$AR280))</f>
        <v/>
      </c>
      <c r="BG280" s="91" t="str">
        <f aca="false">IF($BD280&lt;&gt;Constants!$B$6,"",IF($W280,0,Constants!$B$15))</f>
        <v/>
      </c>
      <c r="BH280" s="91" t="str">
        <f aca="false">IF(ISBLANK($C280),"",IF($BD280&lt;&gt;Constants!$B$6,$BD280,SUM($BF280:$BG280)))</f>
        <v/>
      </c>
      <c r="BI280" s="87" t="str">
        <f aca="false">IF(ISBLANK($C280),"",IF($BD280&lt;&gt;Constants!$B$6,$BD280,RANK($BH280,$BH$9:$BH$508,1)))</f>
        <v/>
      </c>
      <c r="BJ280" s="91" t="str">
        <f aca="false">IF($BD280&lt;&gt;Constants!$B$6,"",IF($AU280="-&gt;",$BB280,$AS280))</f>
        <v/>
      </c>
      <c r="BK280" s="87" t="str">
        <f aca="false">IF(ISBLANK($C280),"",IF($BD280&lt;&gt;Constants!$B$6,$BD280,IF(ISNUMBER($BJ280),RANK($BJ280,$BJ$9:$BJ$508,1),COUNT($BJ$9:$BJ$508)+1)))</f>
        <v/>
      </c>
      <c r="BL280" s="91" t="str">
        <f aca="false">IF($BD280&lt;&gt;Constants!$B$6,"",IF($AU280="-&gt;",$BC280,$AT280))</f>
        <v/>
      </c>
      <c r="BM280" s="87" t="str">
        <f aca="false">IF(ISBLANK($C280),"",IF($BD280&lt;&gt;Constants!$B$6,$BD280,IF(ISNUMBER($BL280),RANK($BL280,$BL$9:$BL$508,1),COUNT($BL$9:$BL$508)+1)))</f>
        <v/>
      </c>
      <c r="BN280" s="91" t="str">
        <f aca="false">IF($BD280&lt;&gt;Constants!$B$6,"",IF($AU280="-&gt;",$AS280,$BB280))</f>
        <v/>
      </c>
      <c r="BO280" s="87" t="str">
        <f aca="false">IF(ISBLANK($C280),"",IF($BD280&lt;&gt;Constants!$B$6,$BD280,IF(ISNUMBER($BN280),RANK($BN280,$BN$9:$BN$508,1),COUNT($BN$9:$BN$508)+1)))</f>
        <v/>
      </c>
      <c r="BP280" s="91" t="str">
        <f aca="false">IF($BD280&lt;&gt;Constants!$B$6,"",IF($AU280="-&gt;",$AT280,$BC280))</f>
        <v/>
      </c>
      <c r="BQ280" s="87" t="str">
        <f aca="false">IF(ISBLANK($C280),"",IF($BD280&lt;&gt;Constants!$B$6,$BD280,IF(ISNUMBER($BP280),RANK($BP280,$BP$9:$BP$508,1),COUNT($BP$9:$BP$508)+1)))</f>
        <v/>
      </c>
      <c r="BR280" s="87" t="str">
        <f aca="false">IF(ISBLANK($C280),"",IF($BD280&lt;&gt;Constants!$B$6,$BD280,COUNTIFS($BI$9:$BI$508,"&lt;"&amp;$BI280)+COUNTIFS($BI$9:$BI$508,$BI280,$BK$9:$BK$508,"&lt;"&amp;$BK280)+COUNTIFS($BI$9:$BI$508,$BI280,$BK$9:$BK$508,$BK280,$BM$9:$BM$508,"&lt;"&amp;$BM280)+COUNTIFS($BI$9:$BI$508,$BI280,$BK$9:$BK$508,$BK280,$BM$9:$BM$508,$BM280,$BO$9:$BO$508,"&lt;"&amp;$BO280)+COUNTIFS($BI$9:$BI$508,$BI280,$BK$9:$BK$508,$BK280,$BM$9:$BM$508,$BM280,$BO$9:$BO$508,$BO280,$BQ$9:$BQ$508,"&lt;"&amp;$BQ280)+1))</f>
        <v/>
      </c>
      <c r="BS280" s="87" t="str">
        <f aca="false">IF(ISBLANK($C280),"",IF($BD280&lt;&gt;Constants!$B$6,$BD280,$BI280-$BR280))</f>
        <v/>
      </c>
      <c r="BT280" s="94"/>
      <c r="BU280" s="95"/>
      <c r="BV280" s="95" t="str">
        <f aca="false">IF(ISBLANK($C280),"",IF($BD280&lt;&gt;Constants!$B$6,"",IF($AU280="-&gt;",2,1)))</f>
        <v/>
      </c>
      <c r="BW280" s="96" t="str">
        <f aca="false">IF(ISBLANK($C280),"",IF($BD280&lt;&gt;Constants!$B$6,"",IF($AU280="-&gt;",$AW280,$AN280)))</f>
        <v/>
      </c>
      <c r="BX280" s="96" t="str">
        <f aca="false">IF(ISBLANK($C280),"",IF($BD280&lt;&gt;Constants!$B$6,"",IF($AU280="-&gt;",$AX280,$AO280)))</f>
        <v/>
      </c>
      <c r="BY280" s="96" t="str">
        <f aca="false">IF(ISBLANK($C280),"",IF($BD280&lt;&gt;Constants!$B$6,"",IF($AU280="-&gt;",$AY280,$AP280)))</f>
        <v/>
      </c>
      <c r="BZ280" s="96" t="str">
        <f aca="false">IF(ISBLANK($C280),"",IF($BD280&lt;&gt;Constants!$B$6,"",IF($AU280="-&gt;",$AZ280,$AQ280)+$BG280))</f>
        <v/>
      </c>
      <c r="CA280" s="97" t="str">
        <f aca="false">IF(ISBLANK($C280),"",IF($BD280&lt;&gt;Constants!$B$6,$BD280,$BH280))</f>
        <v/>
      </c>
      <c r="CB280" s="98" t="str">
        <f aca="false">IF(ISBLANK($C280),"",$BE280)</f>
        <v/>
      </c>
      <c r="CC280" s="99" t="str">
        <f aca="false">IF(ISBLANK($C280),"",$BS280)</f>
        <v/>
      </c>
      <c r="CD280" s="99" t="str">
        <f aca="false">IF(ISBLANK($C280),"",$BR280)</f>
        <v/>
      </c>
      <c r="CE280" s="100" t="str">
        <f aca="false">IF(ISBLANK($C280),"",IF($CD280=Constants!$B$9,COUNTA($C$9:$C$508)+2,IF($CD280=Constants!$B$8,COUNTA($C$9:$C$508)+1,IF($CD280=Constants!$B$7,COUNTA($C$9:$C$508),$CD280))))</f>
        <v/>
      </c>
      <c r="CF280" s="9"/>
      <c r="CG280" s="101" t="n">
        <f aca="false">IF(OR(ISNUMBER($CD280),$CD280=Constants!$B$9,$CD280=Constants!$B$7,$CD280=Constants!$B$8),1,0)</f>
        <v>0</v>
      </c>
      <c r="CH280" s="101" t="n">
        <v>272</v>
      </c>
      <c r="CI280" s="101" t="str">
        <f aca="false">IF(ISBLANK($C280),"",IF(ISNUMBER($CE280),$CE280+ROW($B280)/1000,""))</f>
        <v/>
      </c>
      <c r="CJ280" s="101" t="str">
        <f aca="false">IF(ISNUMBER($CI280),RANK($CI280,$CI$9:$CI$508,1),"")</f>
        <v/>
      </c>
      <c r="CK280" s="101" t="str">
        <f aca="false">IF(ISBLANK($C280),"",$B280)</f>
        <v/>
      </c>
      <c r="CL280" s="101" t="str">
        <f aca="false">IF(ISBLANK($C280),"",$C280)</f>
        <v/>
      </c>
      <c r="CM280" s="101" t="str">
        <f aca="false">IF(ISBLANK($C280),"",$D280)</f>
        <v/>
      </c>
      <c r="CN280" s="102" t="str">
        <f aca="false">$CB280</f>
        <v/>
      </c>
      <c r="CO280" s="103" t="str">
        <f aca="false">$CA280</f>
        <v/>
      </c>
      <c r="CP280" s="101" t="str">
        <f aca="false">IF(ISBLANK($C280),"",$CD280)</f>
        <v/>
      </c>
      <c r="CQ280" s="104" t="str">
        <f aca="false">IF($CH280&gt;$CG$8,"",VLOOKUP($CH280,$CJ$9:$CP$508,7,FALSE()))</f>
        <v/>
      </c>
      <c r="CR280" s="105" t="str">
        <f aca="false">IF($CH280&gt;$CG$8,"",VLOOKUP($CH280,$CJ$9:$CP$508,2,FALSE()))</f>
        <v/>
      </c>
      <c r="CS280" s="105" t="str">
        <f aca="false">IF($CH280&gt;$CG$8,"",VLOOKUP($CH280,$CJ$9:$CP$508,3,FALSE()))</f>
        <v/>
      </c>
      <c r="CT280" s="105" t="str">
        <f aca="false">IF($CH280&gt;$CG$8,"",VLOOKUP($CH280,$CJ$9:$CP$508,4,FALSE()))</f>
        <v/>
      </c>
      <c r="CU280" s="105" t="str">
        <f aca="false">IF($CH280&gt;$CG$8,"",VLOOKUP($CH280,$CJ$9:$CP$508,5,FALSE()))</f>
        <v/>
      </c>
      <c r="CV280" s="106" t="str">
        <f aca="false">IF($CH280&gt;$CG$8,"",VLOOKUP($CH280,$CJ$9:$CP$508,6,FALSE()))</f>
        <v/>
      </c>
      <c r="CW280" s="71"/>
    </row>
    <row r="281" customFormat="false" ht="15.75" hidden="false" customHeight="false" outlineLevel="0" collapsed="false">
      <c r="A281" s="9"/>
      <c r="B281" s="72"/>
      <c r="C281" s="73"/>
      <c r="D281" s="160"/>
      <c r="E281" s="168"/>
      <c r="F281" s="162"/>
      <c r="G281" s="163"/>
      <c r="H281" s="169"/>
      <c r="I281" s="167"/>
      <c r="J281" s="80"/>
      <c r="K281" s="81"/>
      <c r="L281" s="82"/>
      <c r="M281" s="166"/>
      <c r="N281" s="167"/>
      <c r="O281" s="167"/>
      <c r="P281" s="80"/>
      <c r="Q281" s="82"/>
      <c r="R281" s="82"/>
      <c r="S281" s="166"/>
      <c r="T281" s="167"/>
      <c r="U281" s="86"/>
      <c r="V281" s="87"/>
      <c r="W281" s="87" t="str">
        <f aca="false">IF(ISBLANK($C281),"",IF(E281=Constants!$B$2,TRUE(),IF(E281=Constants!$B$3,FALSE(),TRUE())))</f>
        <v/>
      </c>
      <c r="X281" s="87" t="str">
        <f aca="false">IF(ISBLANK($C281),"",IF(F281=Constants!$B$2,TRUE(),IF(F281=Constants!$B$3,FALSE(),TRUE())))</f>
        <v/>
      </c>
      <c r="Y281" s="87" t="str">
        <f aca="false">IF(ISBLANK($C281),"",IF(G281=Constants!$B$2,TRUE(),IF(G281=Constants!$B$3,FALSE(),TRUE())))</f>
        <v/>
      </c>
      <c r="Z281" s="87" t="str">
        <f aca="false">IF(ISBLANK($C281),"",IF(H281=Constants!$B$2,TRUE(),IF(H281=Constants!$B$3,FALSE(),TRUE())))</f>
        <v/>
      </c>
      <c r="AA281" s="87" t="str">
        <f aca="false">IF(ISBLANK($C281),"",IF(I281=Constants!$B$2,TRUE(),IF(I281=Constants!$B$3,FALSE(),TRUE())))</f>
        <v/>
      </c>
      <c r="AB281" s="87" t="str">
        <f aca="false">IF(ISBLANK($C281),"",IF(J281=Constants!$B$4,TRUE(),IF(J281=Constants!$B$5,FALSE(),COUNTA(K281:M281)&gt;0)))</f>
        <v/>
      </c>
      <c r="AC281" s="88" t="str">
        <f aca="false">IF(ISBLANK($C281),"",IF(ISNUMBER(K281),IF(K281&gt;=0,K281,""),""))</f>
        <v/>
      </c>
      <c r="AD281" s="89" t="str">
        <f aca="false">IF(ISBLANK($C281),"",IF(ISNUMBER(L281),IF(L281&gt;=0,L281,""),""))</f>
        <v/>
      </c>
      <c r="AE281" s="87" t="str">
        <f aca="false">IF(ISBLANK($C281),"",IF(ISNUMBER(M281),IF(M281&gt;=0,MIN(M281,Constants!$B$22),""),""))</f>
        <v/>
      </c>
      <c r="AF281" s="87" t="str">
        <f aca="false">IF(ISBLANK($C281),"",IF(N281=Constants!$B$2,TRUE(),IF(N281=Constants!$B$3,FALSE(),TRUE())))</f>
        <v/>
      </c>
      <c r="AG281" s="87" t="str">
        <f aca="false">IF(ISBLANK($C281),"",IF(O281=Constants!$B$2,TRUE(),IF(O281=Constants!$B$3,FALSE(),TRUE())))</f>
        <v/>
      </c>
      <c r="AH281" s="87" t="str">
        <f aca="false">IF(ISBLANK($C281),"",IF(P281=Constants!$B$4,TRUE(),IF(P281=Constants!$B$5,FALSE(),COUNTA(Q281:S281)&gt;0)))</f>
        <v/>
      </c>
      <c r="AI281" s="88" t="str">
        <f aca="false">IF(ISBLANK($C281),"",IF(ISNUMBER(Q281),IF(Q281&gt;=0,Q281,""),""))</f>
        <v/>
      </c>
      <c r="AJ281" s="89" t="str">
        <f aca="false">IF(ISBLANK($C281),"",IF(ISNUMBER(R281),IF(R281&gt;=0,R281,""),""))</f>
        <v/>
      </c>
      <c r="AK281" s="87" t="str">
        <f aca="false">IF(ISBLANK($C281),"",IF(ISNUMBER(S281),IF(S281&gt;=0,MIN(S281,Constants!$B$22),""),""))</f>
        <v/>
      </c>
      <c r="AL281" s="87" t="str">
        <f aca="false">IF(ISBLANK($C281),"",IF(T281=Constants!$B$2,TRUE(),IF(T281=Constants!$B$3,FALSE(),FALSE())))</f>
        <v/>
      </c>
      <c r="AM281" s="86" t="str">
        <f aca="false">IF(ISBLANK($C281),"",AND($AB281,OR($AC281="",$AD281="",AND(NOT(ISBLANK($M281)),$AE281=""))))</f>
        <v/>
      </c>
      <c r="AN281" s="89" t="str">
        <f aca="false">IF($BD281&lt;&gt;Constants!$B$6,"",IF($AB281,Constants!$B$17*$AD281,Constants!$B$18))</f>
        <v/>
      </c>
      <c r="AO281" s="91" t="str">
        <f aca="false">IF($BD281&lt;&gt;Constants!$B$6,"",Constants!$B$19*IF($AB281,$AC281,0))</f>
        <v/>
      </c>
      <c r="AP281" s="91" t="str">
        <f aca="false">IF($BD281&lt;&gt;Constants!$B$6,"",IF(AND($AB281,ISNUMBER($AE281)),Constants!$B$20*(Constants!$B$21-$AE281),0))</f>
        <v/>
      </c>
      <c r="AQ281" s="91" t="str">
        <f aca="false">IF($BD281&lt;&gt;Constants!$B$6,"",IF($AA281,0,Constants!$B$12)+IF($Z281,0,Constants!$B$13)+IF($Y281,0,Constants!$B$14))</f>
        <v/>
      </c>
      <c r="AR281" s="92" t="str">
        <f aca="false">IF($BD281&lt;&gt;Constants!$B$6,"",Constants!$B$16+SUM($AN281:$AQ281))</f>
        <v/>
      </c>
      <c r="AS281" s="91" t="str">
        <f aca="false">IF($BD281&lt;&gt;Constants!$B$6,"",IF($AB281,$AD281,""))</f>
        <v/>
      </c>
      <c r="AT281" s="93" t="str">
        <f aca="false">IF($BD281&lt;&gt;Constants!$B$6,"",$AO281)</f>
        <v/>
      </c>
      <c r="AU281" s="87" t="str">
        <f aca="false">IF($BD281&lt;&gt;Constants!$B$6,"",IF(OR($BA281&lt;$AR281,AND($BA281=$AR281,OR(AND(ISNUMBER($BB281),OR(NOT(ISNUMBER($AS281)),$BB281&lt;$AS281)),AND(OR(AND($BB281="",$AS281=""),AND(ISNUMBER($BB281),ISNUMBER($AS281),$BB281=$AS281)),$BC281&lt;$AT281)))),"-&gt;","&lt;-"))</f>
        <v/>
      </c>
      <c r="AV281" s="86" t="str">
        <f aca="false">IF(ISBLANK($C281),"",AND($AH281,OR($AI281="",$AJ281="",AND(NOT(ISBLANK($S281)),$AK281=""))))</f>
        <v/>
      </c>
      <c r="AW281" s="89" t="str">
        <f aca="false">IF($BD281&lt;&gt;Constants!$B$6,"",IF($AH281,Constants!$B$17*$AJ281,Constants!$B$18))</f>
        <v/>
      </c>
      <c r="AX281" s="91" t="str">
        <f aca="false">IF($BD281&lt;&gt;Constants!$B$6,"",Constants!$B$19*IF($AH281,$AI281,0))</f>
        <v/>
      </c>
      <c r="AY281" s="91" t="str">
        <f aca="false">IF($BD281&lt;&gt;Constants!$B$6,"",IF(AND($AH281,ISNUMBER($AK281)),Constants!$B$20*(Constants!$B$21-$AK281),0))</f>
        <v/>
      </c>
      <c r="AZ281" s="91" t="str">
        <f aca="false">IF($BD281&lt;&gt;Constants!$B$6,"",IF($AG281,0,Constants!$B$12)+IF($AF281,0,Constants!$B$13)+IF($Y281,0,Constants!$B$14))</f>
        <v/>
      </c>
      <c r="BA281" s="92" t="str">
        <f aca="false">IF($BD281&lt;&gt;Constants!$B$6,"",Constants!$B$16+SUM($AW281:$AZ281))</f>
        <v/>
      </c>
      <c r="BB281" s="91" t="str">
        <f aca="false">IF($BD281&lt;&gt;Constants!$B$6,"",IF($AH281,$AJ281,""))</f>
        <v/>
      </c>
      <c r="BC281" s="93" t="str">
        <f aca="false">IF($BD281&lt;&gt;Constants!$B$6,"",$AX281)</f>
        <v/>
      </c>
      <c r="BD281" s="87" t="str">
        <f aca="false">IF(ISBLANK($C281),"",IF($AL281,Constants!$B$9,IF(COUNTA($E281:$T281)=0,Constants!$B$8,IF(NOT($X281),Constants!$B$7,IF(OR($AM281,$AV281),Constants!$B$10,Constants!$B$6)))))</f>
        <v/>
      </c>
      <c r="BE281" s="87" t="str">
        <f aca="false">IF(ISBLANK($C281),"",IF($BD281&lt;&gt;Constants!$B$6,$BD281,Constants!$B$11))</f>
        <v/>
      </c>
      <c r="BF281" s="91" t="str">
        <f aca="false">IF($BD281&lt;&gt;Constants!$B$6,"",IF($AU281="-&gt;",$BA281,$AR281))</f>
        <v/>
      </c>
      <c r="BG281" s="91" t="str">
        <f aca="false">IF($BD281&lt;&gt;Constants!$B$6,"",IF($W281,0,Constants!$B$15))</f>
        <v/>
      </c>
      <c r="BH281" s="91" t="str">
        <f aca="false">IF(ISBLANK($C281),"",IF($BD281&lt;&gt;Constants!$B$6,$BD281,SUM($BF281:$BG281)))</f>
        <v/>
      </c>
      <c r="BI281" s="87" t="str">
        <f aca="false">IF(ISBLANK($C281),"",IF($BD281&lt;&gt;Constants!$B$6,$BD281,RANK($BH281,$BH$9:$BH$508,1)))</f>
        <v/>
      </c>
      <c r="BJ281" s="91" t="str">
        <f aca="false">IF($BD281&lt;&gt;Constants!$B$6,"",IF($AU281="-&gt;",$BB281,$AS281))</f>
        <v/>
      </c>
      <c r="BK281" s="87" t="str">
        <f aca="false">IF(ISBLANK($C281),"",IF($BD281&lt;&gt;Constants!$B$6,$BD281,IF(ISNUMBER($BJ281),RANK($BJ281,$BJ$9:$BJ$508,1),COUNT($BJ$9:$BJ$508)+1)))</f>
        <v/>
      </c>
      <c r="BL281" s="91" t="str">
        <f aca="false">IF($BD281&lt;&gt;Constants!$B$6,"",IF($AU281="-&gt;",$BC281,$AT281))</f>
        <v/>
      </c>
      <c r="BM281" s="87" t="str">
        <f aca="false">IF(ISBLANK($C281),"",IF($BD281&lt;&gt;Constants!$B$6,$BD281,IF(ISNUMBER($BL281),RANK($BL281,$BL$9:$BL$508,1),COUNT($BL$9:$BL$508)+1)))</f>
        <v/>
      </c>
      <c r="BN281" s="91" t="str">
        <f aca="false">IF($BD281&lt;&gt;Constants!$B$6,"",IF($AU281="-&gt;",$AS281,$BB281))</f>
        <v/>
      </c>
      <c r="BO281" s="87" t="str">
        <f aca="false">IF(ISBLANK($C281),"",IF($BD281&lt;&gt;Constants!$B$6,$BD281,IF(ISNUMBER($BN281),RANK($BN281,$BN$9:$BN$508,1),COUNT($BN$9:$BN$508)+1)))</f>
        <v/>
      </c>
      <c r="BP281" s="91" t="str">
        <f aca="false">IF($BD281&lt;&gt;Constants!$B$6,"",IF($AU281="-&gt;",$AT281,$BC281))</f>
        <v/>
      </c>
      <c r="BQ281" s="87" t="str">
        <f aca="false">IF(ISBLANK($C281),"",IF($BD281&lt;&gt;Constants!$B$6,$BD281,IF(ISNUMBER($BP281),RANK($BP281,$BP$9:$BP$508,1),COUNT($BP$9:$BP$508)+1)))</f>
        <v/>
      </c>
      <c r="BR281" s="87" t="str">
        <f aca="false">IF(ISBLANK($C281),"",IF($BD281&lt;&gt;Constants!$B$6,$BD281,COUNTIFS($BI$9:$BI$508,"&lt;"&amp;$BI281)+COUNTIFS($BI$9:$BI$508,$BI281,$BK$9:$BK$508,"&lt;"&amp;$BK281)+COUNTIFS($BI$9:$BI$508,$BI281,$BK$9:$BK$508,$BK281,$BM$9:$BM$508,"&lt;"&amp;$BM281)+COUNTIFS($BI$9:$BI$508,$BI281,$BK$9:$BK$508,$BK281,$BM$9:$BM$508,$BM281,$BO$9:$BO$508,"&lt;"&amp;$BO281)+COUNTIFS($BI$9:$BI$508,$BI281,$BK$9:$BK$508,$BK281,$BM$9:$BM$508,$BM281,$BO$9:$BO$508,$BO281,$BQ$9:$BQ$508,"&lt;"&amp;$BQ281)+1))</f>
        <v/>
      </c>
      <c r="BS281" s="87" t="str">
        <f aca="false">IF(ISBLANK($C281),"",IF($BD281&lt;&gt;Constants!$B$6,$BD281,$BI281-$BR281))</f>
        <v/>
      </c>
      <c r="BT281" s="94"/>
      <c r="BU281" s="95"/>
      <c r="BV281" s="95" t="str">
        <f aca="false">IF(ISBLANK($C281),"",IF($BD281&lt;&gt;Constants!$B$6,"",IF($AU281="-&gt;",2,1)))</f>
        <v/>
      </c>
      <c r="BW281" s="96" t="str">
        <f aca="false">IF(ISBLANK($C281),"",IF($BD281&lt;&gt;Constants!$B$6,"",IF($AU281="-&gt;",$AW281,$AN281)))</f>
        <v/>
      </c>
      <c r="BX281" s="96" t="str">
        <f aca="false">IF(ISBLANK($C281),"",IF($BD281&lt;&gt;Constants!$B$6,"",IF($AU281="-&gt;",$AX281,$AO281)))</f>
        <v/>
      </c>
      <c r="BY281" s="96" t="str">
        <f aca="false">IF(ISBLANK($C281),"",IF($BD281&lt;&gt;Constants!$B$6,"",IF($AU281="-&gt;",$AY281,$AP281)))</f>
        <v/>
      </c>
      <c r="BZ281" s="96" t="str">
        <f aca="false">IF(ISBLANK($C281),"",IF($BD281&lt;&gt;Constants!$B$6,"",IF($AU281="-&gt;",$AZ281,$AQ281)+$BG281))</f>
        <v/>
      </c>
      <c r="CA281" s="97" t="str">
        <f aca="false">IF(ISBLANK($C281),"",IF($BD281&lt;&gt;Constants!$B$6,$BD281,$BH281))</f>
        <v/>
      </c>
      <c r="CB281" s="98" t="str">
        <f aca="false">IF(ISBLANK($C281),"",$BE281)</f>
        <v/>
      </c>
      <c r="CC281" s="99" t="str">
        <f aca="false">IF(ISBLANK($C281),"",$BS281)</f>
        <v/>
      </c>
      <c r="CD281" s="99" t="str">
        <f aca="false">IF(ISBLANK($C281),"",$BR281)</f>
        <v/>
      </c>
      <c r="CE281" s="100" t="str">
        <f aca="false">IF(ISBLANK($C281),"",IF($CD281=Constants!$B$9,COUNTA($C$9:$C$508)+2,IF($CD281=Constants!$B$8,COUNTA($C$9:$C$508)+1,IF($CD281=Constants!$B$7,COUNTA($C$9:$C$508),$CD281))))</f>
        <v/>
      </c>
      <c r="CF281" s="9"/>
      <c r="CG281" s="101" t="n">
        <f aca="false">IF(OR(ISNUMBER($CD281),$CD281=Constants!$B$9,$CD281=Constants!$B$7,$CD281=Constants!$B$8),1,0)</f>
        <v>0</v>
      </c>
      <c r="CH281" s="101" t="n">
        <v>273</v>
      </c>
      <c r="CI281" s="101" t="str">
        <f aca="false">IF(ISBLANK($C281),"",IF(ISNUMBER($CE281),$CE281+ROW($B281)/1000,""))</f>
        <v/>
      </c>
      <c r="CJ281" s="101" t="str">
        <f aca="false">IF(ISNUMBER($CI281),RANK($CI281,$CI$9:$CI$508,1),"")</f>
        <v/>
      </c>
      <c r="CK281" s="101" t="str">
        <f aca="false">IF(ISBLANK($C281),"",$B281)</f>
        <v/>
      </c>
      <c r="CL281" s="101" t="str">
        <f aca="false">IF(ISBLANK($C281),"",$C281)</f>
        <v/>
      </c>
      <c r="CM281" s="101" t="str">
        <f aca="false">IF(ISBLANK($C281),"",$D281)</f>
        <v/>
      </c>
      <c r="CN281" s="102" t="str">
        <f aca="false">$CB281</f>
        <v/>
      </c>
      <c r="CO281" s="103" t="str">
        <f aca="false">$CA281</f>
        <v/>
      </c>
      <c r="CP281" s="101" t="str">
        <f aca="false">IF(ISBLANK($C281),"",$CD281)</f>
        <v/>
      </c>
      <c r="CQ281" s="104" t="str">
        <f aca="false">IF($CH281&gt;$CG$8,"",VLOOKUP($CH281,$CJ$9:$CP$508,7,FALSE()))</f>
        <v/>
      </c>
      <c r="CR281" s="105" t="str">
        <f aca="false">IF($CH281&gt;$CG$8,"",VLOOKUP($CH281,$CJ$9:$CP$508,2,FALSE()))</f>
        <v/>
      </c>
      <c r="CS281" s="105" t="str">
        <f aca="false">IF($CH281&gt;$CG$8,"",VLOOKUP($CH281,$CJ$9:$CP$508,3,FALSE()))</f>
        <v/>
      </c>
      <c r="CT281" s="105" t="str">
        <f aca="false">IF($CH281&gt;$CG$8,"",VLOOKUP($CH281,$CJ$9:$CP$508,4,FALSE()))</f>
        <v/>
      </c>
      <c r="CU281" s="105" t="str">
        <f aca="false">IF($CH281&gt;$CG$8,"",VLOOKUP($CH281,$CJ$9:$CP$508,5,FALSE()))</f>
        <v/>
      </c>
      <c r="CV281" s="106" t="str">
        <f aca="false">IF($CH281&gt;$CG$8,"",VLOOKUP($CH281,$CJ$9:$CP$508,6,FALSE()))</f>
        <v/>
      </c>
      <c r="CW281" s="71"/>
    </row>
    <row r="282" customFormat="false" ht="15.75" hidden="false" customHeight="false" outlineLevel="0" collapsed="false">
      <c r="A282" s="9"/>
      <c r="B282" s="150"/>
      <c r="C282" s="151"/>
      <c r="D282" s="152"/>
      <c r="E282" s="170"/>
      <c r="F282" s="154"/>
      <c r="G282" s="155"/>
      <c r="H282" s="171"/>
      <c r="I282" s="159"/>
      <c r="J282" s="120"/>
      <c r="K282" s="121"/>
      <c r="L282" s="122"/>
      <c r="M282" s="158"/>
      <c r="N282" s="159"/>
      <c r="O282" s="159"/>
      <c r="P282" s="120"/>
      <c r="Q282" s="122"/>
      <c r="R282" s="122"/>
      <c r="S282" s="158"/>
      <c r="T282" s="159"/>
      <c r="U282" s="126"/>
      <c r="V282" s="127"/>
      <c r="W282" s="127" t="str">
        <f aca="false">IF(ISBLANK($C282),"",IF(E282=Constants!$B$2,TRUE(),IF(E282=Constants!$B$3,FALSE(),TRUE())))</f>
        <v/>
      </c>
      <c r="X282" s="127" t="str">
        <f aca="false">IF(ISBLANK($C282),"",IF(F282=Constants!$B$2,TRUE(),IF(F282=Constants!$B$3,FALSE(),TRUE())))</f>
        <v/>
      </c>
      <c r="Y282" s="127" t="str">
        <f aca="false">IF(ISBLANK($C282),"",IF(G282=Constants!$B$2,TRUE(),IF(G282=Constants!$B$3,FALSE(),TRUE())))</f>
        <v/>
      </c>
      <c r="Z282" s="127" t="str">
        <f aca="false">IF(ISBLANK($C282),"",IF(H282=Constants!$B$2,TRUE(),IF(H282=Constants!$B$3,FALSE(),TRUE())))</f>
        <v/>
      </c>
      <c r="AA282" s="127" t="str">
        <f aca="false">IF(ISBLANK($C282),"",IF(I282=Constants!$B$2,TRUE(),IF(I282=Constants!$B$3,FALSE(),TRUE())))</f>
        <v/>
      </c>
      <c r="AB282" s="127" t="str">
        <f aca="false">IF(ISBLANK($C282),"",IF(J282=Constants!$B$4,TRUE(),IF(J282=Constants!$B$5,FALSE(),COUNTA(K282:M282)&gt;0)))</f>
        <v/>
      </c>
      <c r="AC282" s="128" t="str">
        <f aca="false">IF(ISBLANK($C282),"",IF(ISNUMBER(K282),IF(K282&gt;=0,K282,""),""))</f>
        <v/>
      </c>
      <c r="AD282" s="129" t="str">
        <f aca="false">IF(ISBLANK($C282),"",IF(ISNUMBER(L282),IF(L282&gt;=0,L282,""),""))</f>
        <v/>
      </c>
      <c r="AE282" s="127" t="str">
        <f aca="false">IF(ISBLANK($C282),"",IF(ISNUMBER(M282),IF(M282&gt;=0,MIN(M282,Constants!$B$22),""),""))</f>
        <v/>
      </c>
      <c r="AF282" s="127" t="str">
        <f aca="false">IF(ISBLANK($C282),"",IF(N282=Constants!$B$2,TRUE(),IF(N282=Constants!$B$3,FALSE(),TRUE())))</f>
        <v/>
      </c>
      <c r="AG282" s="127" t="str">
        <f aca="false">IF(ISBLANK($C282),"",IF(O282=Constants!$B$2,TRUE(),IF(O282=Constants!$B$3,FALSE(),TRUE())))</f>
        <v/>
      </c>
      <c r="AH282" s="127" t="str">
        <f aca="false">IF(ISBLANK($C282),"",IF(P282=Constants!$B$4,TRUE(),IF(P282=Constants!$B$5,FALSE(),COUNTA(Q282:S282)&gt;0)))</f>
        <v/>
      </c>
      <c r="AI282" s="128" t="str">
        <f aca="false">IF(ISBLANK($C282),"",IF(ISNUMBER(Q282),IF(Q282&gt;=0,Q282,""),""))</f>
        <v/>
      </c>
      <c r="AJ282" s="129" t="str">
        <f aca="false">IF(ISBLANK($C282),"",IF(ISNUMBER(R282),IF(R282&gt;=0,R282,""),""))</f>
        <v/>
      </c>
      <c r="AK282" s="127" t="str">
        <f aca="false">IF(ISBLANK($C282),"",IF(ISNUMBER(S282),IF(S282&gt;=0,MIN(S282,Constants!$B$22),""),""))</f>
        <v/>
      </c>
      <c r="AL282" s="127" t="str">
        <f aca="false">IF(ISBLANK($C282),"",IF(T282=Constants!$B$2,TRUE(),IF(T282=Constants!$B$3,FALSE(),FALSE())))</f>
        <v/>
      </c>
      <c r="AM282" s="126" t="str">
        <f aca="false">IF(ISBLANK($C282),"",AND($AB282,OR($AC282="",$AD282="",AND(NOT(ISBLANK($M282)),$AE282=""))))</f>
        <v/>
      </c>
      <c r="AN282" s="129" t="str">
        <f aca="false">IF($BD282&lt;&gt;Constants!$B$6,"",IF($AB282,Constants!$B$17*$AD282,Constants!$B$18))</f>
        <v/>
      </c>
      <c r="AO282" s="130" t="str">
        <f aca="false">IF($BD282&lt;&gt;Constants!$B$6,"",Constants!$B$19*IF($AB282,$AC282,0))</f>
        <v/>
      </c>
      <c r="AP282" s="130" t="str">
        <f aca="false">IF($BD282&lt;&gt;Constants!$B$6,"",IF(AND($AB282,ISNUMBER($AE282)),Constants!$B$20*(Constants!$B$21-$AE282),0))</f>
        <v/>
      </c>
      <c r="AQ282" s="130" t="str">
        <f aca="false">IF($BD282&lt;&gt;Constants!$B$6,"",IF($AA282,0,Constants!$B$12)+IF($Z282,0,Constants!$B$13)+IF($Y282,0,Constants!$B$14))</f>
        <v/>
      </c>
      <c r="AR282" s="131" t="str">
        <f aca="false">IF($BD282&lt;&gt;Constants!$B$6,"",Constants!$B$16+SUM($AN282:$AQ282))</f>
        <v/>
      </c>
      <c r="AS282" s="130" t="str">
        <f aca="false">IF($BD282&lt;&gt;Constants!$B$6,"",IF($AB282,$AD282,""))</f>
        <v/>
      </c>
      <c r="AT282" s="132" t="str">
        <f aca="false">IF($BD282&lt;&gt;Constants!$B$6,"",$AO282)</f>
        <v/>
      </c>
      <c r="AU282" s="127" t="str">
        <f aca="false">IF($BD282&lt;&gt;Constants!$B$6,"",IF(OR($BA282&lt;$AR282,AND($BA282=$AR282,OR(AND(ISNUMBER($BB282),OR(NOT(ISNUMBER($AS282)),$BB282&lt;$AS282)),AND(OR(AND($BB282="",$AS282=""),AND(ISNUMBER($BB282),ISNUMBER($AS282),$BB282=$AS282)),$BC282&lt;$AT282)))),"-&gt;","&lt;-"))</f>
        <v/>
      </c>
      <c r="AV282" s="126" t="str">
        <f aca="false">IF(ISBLANK($C282),"",AND($AH282,OR($AI282="",$AJ282="",AND(NOT(ISBLANK($S282)),$AK282=""))))</f>
        <v/>
      </c>
      <c r="AW282" s="129" t="str">
        <f aca="false">IF($BD282&lt;&gt;Constants!$B$6,"",IF($AH282,Constants!$B$17*$AJ282,Constants!$B$18))</f>
        <v/>
      </c>
      <c r="AX282" s="130" t="str">
        <f aca="false">IF($BD282&lt;&gt;Constants!$B$6,"",Constants!$B$19*IF($AH282,$AI282,0))</f>
        <v/>
      </c>
      <c r="AY282" s="130" t="str">
        <f aca="false">IF($BD282&lt;&gt;Constants!$B$6,"",IF(AND($AH282,ISNUMBER($AK282)),Constants!$B$20*(Constants!$B$21-$AK282),0))</f>
        <v/>
      </c>
      <c r="AZ282" s="130" t="str">
        <f aca="false">IF($BD282&lt;&gt;Constants!$B$6,"",IF($AG282,0,Constants!$B$12)+IF($AF282,0,Constants!$B$13)+IF($Y282,0,Constants!$B$14))</f>
        <v/>
      </c>
      <c r="BA282" s="131" t="str">
        <f aca="false">IF($BD282&lt;&gt;Constants!$B$6,"",Constants!$B$16+SUM($AW282:$AZ282))</f>
        <v/>
      </c>
      <c r="BB282" s="130" t="str">
        <f aca="false">IF($BD282&lt;&gt;Constants!$B$6,"",IF($AH282,$AJ282,""))</f>
        <v/>
      </c>
      <c r="BC282" s="132" t="str">
        <f aca="false">IF($BD282&lt;&gt;Constants!$B$6,"",$AX282)</f>
        <v/>
      </c>
      <c r="BD282" s="127" t="str">
        <f aca="false">IF(ISBLANK($C282),"",IF($AL282,Constants!$B$9,IF(COUNTA($E282:$T282)=0,Constants!$B$8,IF(NOT($X282),Constants!$B$7,IF(OR($AM282,$AV282),Constants!$B$10,Constants!$B$6)))))</f>
        <v/>
      </c>
      <c r="BE282" s="127" t="str">
        <f aca="false">IF(ISBLANK($C282),"",IF($BD282&lt;&gt;Constants!$B$6,$BD282,Constants!$B$11))</f>
        <v/>
      </c>
      <c r="BF282" s="130" t="str">
        <f aca="false">IF($BD282&lt;&gt;Constants!$B$6,"",IF($AU282="-&gt;",$BA282,$AR282))</f>
        <v/>
      </c>
      <c r="BG282" s="130" t="str">
        <f aca="false">IF($BD282&lt;&gt;Constants!$B$6,"",IF($W282,0,Constants!$B$15))</f>
        <v/>
      </c>
      <c r="BH282" s="130" t="str">
        <f aca="false">IF(ISBLANK($C282),"",IF($BD282&lt;&gt;Constants!$B$6,$BD282,SUM($BF282:$BG282)))</f>
        <v/>
      </c>
      <c r="BI282" s="127" t="str">
        <f aca="false">IF(ISBLANK($C282),"",IF($BD282&lt;&gt;Constants!$B$6,$BD282,RANK($BH282,$BH$9:$BH$508,1)))</f>
        <v/>
      </c>
      <c r="BJ282" s="130" t="str">
        <f aca="false">IF($BD282&lt;&gt;Constants!$B$6,"",IF($AU282="-&gt;",$BB282,$AS282))</f>
        <v/>
      </c>
      <c r="BK282" s="127" t="str">
        <f aca="false">IF(ISBLANK($C282),"",IF($BD282&lt;&gt;Constants!$B$6,$BD282,IF(ISNUMBER($BJ282),RANK($BJ282,$BJ$9:$BJ$508,1),COUNT($BJ$9:$BJ$508)+1)))</f>
        <v/>
      </c>
      <c r="BL282" s="130" t="str">
        <f aca="false">IF($BD282&lt;&gt;Constants!$B$6,"",IF($AU282="-&gt;",$BC282,$AT282))</f>
        <v/>
      </c>
      <c r="BM282" s="127" t="str">
        <f aca="false">IF(ISBLANK($C282),"",IF($BD282&lt;&gt;Constants!$B$6,$BD282,IF(ISNUMBER($BL282),RANK($BL282,$BL$9:$BL$508,1),COUNT($BL$9:$BL$508)+1)))</f>
        <v/>
      </c>
      <c r="BN282" s="130" t="str">
        <f aca="false">IF($BD282&lt;&gt;Constants!$B$6,"",IF($AU282="-&gt;",$AS282,$BB282))</f>
        <v/>
      </c>
      <c r="BO282" s="127" t="str">
        <f aca="false">IF(ISBLANK($C282),"",IF($BD282&lt;&gt;Constants!$B$6,$BD282,IF(ISNUMBER($BN282),RANK($BN282,$BN$9:$BN$508,1),COUNT($BN$9:$BN$508)+1)))</f>
        <v/>
      </c>
      <c r="BP282" s="130" t="str">
        <f aca="false">IF($BD282&lt;&gt;Constants!$B$6,"",IF($AU282="-&gt;",$AT282,$BC282))</f>
        <v/>
      </c>
      <c r="BQ282" s="127" t="str">
        <f aca="false">IF(ISBLANK($C282),"",IF($BD282&lt;&gt;Constants!$B$6,$BD282,IF(ISNUMBER($BP282),RANK($BP282,$BP$9:$BP$508,1),COUNT($BP$9:$BP$508)+1)))</f>
        <v/>
      </c>
      <c r="BR282" s="127" t="str">
        <f aca="false">IF(ISBLANK($C282),"",IF($BD282&lt;&gt;Constants!$B$6,$BD282,COUNTIFS($BI$9:$BI$508,"&lt;"&amp;$BI282)+COUNTIFS($BI$9:$BI$508,$BI282,$BK$9:$BK$508,"&lt;"&amp;$BK282)+COUNTIFS($BI$9:$BI$508,$BI282,$BK$9:$BK$508,$BK282,$BM$9:$BM$508,"&lt;"&amp;$BM282)+COUNTIFS($BI$9:$BI$508,$BI282,$BK$9:$BK$508,$BK282,$BM$9:$BM$508,$BM282,$BO$9:$BO$508,"&lt;"&amp;$BO282)+COUNTIFS($BI$9:$BI$508,$BI282,$BK$9:$BK$508,$BK282,$BM$9:$BM$508,$BM282,$BO$9:$BO$508,$BO282,$BQ$9:$BQ$508,"&lt;"&amp;$BQ282)+1))</f>
        <v/>
      </c>
      <c r="BS282" s="127" t="str">
        <f aca="false">IF(ISBLANK($C282),"",IF($BD282&lt;&gt;Constants!$B$6,$BD282,$BI282-$BR282))</f>
        <v/>
      </c>
      <c r="BT282" s="133"/>
      <c r="BU282" s="134"/>
      <c r="BV282" s="134" t="str">
        <f aca="false">IF(ISBLANK($C282),"",IF($BD282&lt;&gt;Constants!$B$6,"",IF($AU282="-&gt;",2,1)))</f>
        <v/>
      </c>
      <c r="BW282" s="135" t="str">
        <f aca="false">IF(ISBLANK($C282),"",IF($BD282&lt;&gt;Constants!$B$6,"",IF($AU282="-&gt;",$AW282,$AN282)))</f>
        <v/>
      </c>
      <c r="BX282" s="135" t="str">
        <f aca="false">IF(ISBLANK($C282),"",IF($BD282&lt;&gt;Constants!$B$6,"",IF($AU282="-&gt;",$AX282,$AO282)))</f>
        <v/>
      </c>
      <c r="BY282" s="135" t="str">
        <f aca="false">IF(ISBLANK($C282),"",IF($BD282&lt;&gt;Constants!$B$6,"",IF($AU282="-&gt;",$AY282,$AP282)))</f>
        <v/>
      </c>
      <c r="BZ282" s="135" t="str">
        <f aca="false">IF(ISBLANK($C282),"",IF($BD282&lt;&gt;Constants!$B$6,"",IF($AU282="-&gt;",$AZ282,$AQ282)+$BG282))</f>
        <v/>
      </c>
      <c r="CA282" s="136" t="str">
        <f aca="false">IF(ISBLANK($C282),"",IF($BD282&lt;&gt;Constants!$B$6,$BD282,$BH282))</f>
        <v/>
      </c>
      <c r="CB282" s="137" t="str">
        <f aca="false">IF(ISBLANK($C282),"",$BE282)</f>
        <v/>
      </c>
      <c r="CC282" s="138" t="str">
        <f aca="false">IF(ISBLANK($C282),"",$BS282)</f>
        <v/>
      </c>
      <c r="CD282" s="138" t="str">
        <f aca="false">IF(ISBLANK($C282),"",$BR282)</f>
        <v/>
      </c>
      <c r="CE282" s="139" t="str">
        <f aca="false">IF(ISBLANK($C282),"",IF($CD282=Constants!$B$9,COUNTA($C$9:$C$508)+2,IF($CD282=Constants!$B$8,COUNTA($C$9:$C$508)+1,IF($CD282=Constants!$B$7,COUNTA($C$9:$C$508),$CD282))))</f>
        <v/>
      </c>
      <c r="CF282" s="9"/>
      <c r="CG282" s="140" t="n">
        <f aca="false">IF(OR(ISNUMBER($CD282),$CD282=Constants!$B$9,$CD282=Constants!$B$7,$CD282=Constants!$B$8),1,0)</f>
        <v>0</v>
      </c>
      <c r="CH282" s="140" t="n">
        <v>274</v>
      </c>
      <c r="CI282" s="140" t="str">
        <f aca="false">IF(ISBLANK($C282),"",IF(ISNUMBER($CE282),$CE282+ROW($B282)/1000,""))</f>
        <v/>
      </c>
      <c r="CJ282" s="140" t="str">
        <f aca="false">IF(ISNUMBER($CI282),RANK($CI282,$CI$9:$CI$508,1),"")</f>
        <v/>
      </c>
      <c r="CK282" s="140" t="str">
        <f aca="false">IF(ISBLANK($C282),"",$B282)</f>
        <v/>
      </c>
      <c r="CL282" s="140" t="str">
        <f aca="false">IF(ISBLANK($C282),"",$C282)</f>
        <v/>
      </c>
      <c r="CM282" s="140" t="str">
        <f aca="false">IF(ISBLANK($C282),"",$D282)</f>
        <v/>
      </c>
      <c r="CN282" s="141" t="str">
        <f aca="false">$CB282</f>
        <v/>
      </c>
      <c r="CO282" s="142" t="str">
        <f aca="false">$CA282</f>
        <v/>
      </c>
      <c r="CP282" s="140" t="str">
        <f aca="false">IF(ISBLANK($C282),"",$CD282)</f>
        <v/>
      </c>
      <c r="CQ282" s="143" t="str">
        <f aca="false">IF($CH282&gt;$CG$8,"",VLOOKUP($CH282,$CJ$9:$CP$508,7,FALSE()))</f>
        <v/>
      </c>
      <c r="CR282" s="144" t="str">
        <f aca="false">IF($CH282&gt;$CG$8,"",VLOOKUP($CH282,$CJ$9:$CP$508,2,FALSE()))</f>
        <v/>
      </c>
      <c r="CS282" s="144" t="str">
        <f aca="false">IF($CH282&gt;$CG$8,"",VLOOKUP($CH282,$CJ$9:$CP$508,3,FALSE()))</f>
        <v/>
      </c>
      <c r="CT282" s="144" t="str">
        <f aca="false">IF($CH282&gt;$CG$8,"",VLOOKUP($CH282,$CJ$9:$CP$508,4,FALSE()))</f>
        <v/>
      </c>
      <c r="CU282" s="144" t="str">
        <f aca="false">IF($CH282&gt;$CG$8,"",VLOOKUP($CH282,$CJ$9:$CP$508,5,FALSE()))</f>
        <v/>
      </c>
      <c r="CV282" s="145" t="str">
        <f aca="false">IF($CH282&gt;$CG$8,"",VLOOKUP($CH282,$CJ$9:$CP$508,6,FALSE()))</f>
        <v/>
      </c>
      <c r="CW282" s="71"/>
    </row>
    <row r="283" customFormat="false" ht="15.75" hidden="false" customHeight="false" outlineLevel="0" collapsed="false">
      <c r="A283" s="9"/>
      <c r="B283" s="150"/>
      <c r="C283" s="151"/>
      <c r="D283" s="152"/>
      <c r="E283" s="170"/>
      <c r="F283" s="154"/>
      <c r="G283" s="155"/>
      <c r="H283" s="171"/>
      <c r="I283" s="159"/>
      <c r="J283" s="120"/>
      <c r="K283" s="121"/>
      <c r="L283" s="122"/>
      <c r="M283" s="158"/>
      <c r="N283" s="159"/>
      <c r="O283" s="159"/>
      <c r="P283" s="120"/>
      <c r="Q283" s="122"/>
      <c r="R283" s="122"/>
      <c r="S283" s="158"/>
      <c r="T283" s="159"/>
      <c r="U283" s="126"/>
      <c r="V283" s="127"/>
      <c r="W283" s="127" t="str">
        <f aca="false">IF(ISBLANK($C283),"",IF(E283=Constants!$B$2,TRUE(),IF(E283=Constants!$B$3,FALSE(),TRUE())))</f>
        <v/>
      </c>
      <c r="X283" s="127" t="str">
        <f aca="false">IF(ISBLANK($C283),"",IF(F283=Constants!$B$2,TRUE(),IF(F283=Constants!$B$3,FALSE(),TRUE())))</f>
        <v/>
      </c>
      <c r="Y283" s="127" t="str">
        <f aca="false">IF(ISBLANK($C283),"",IF(G283=Constants!$B$2,TRUE(),IF(G283=Constants!$B$3,FALSE(),TRUE())))</f>
        <v/>
      </c>
      <c r="Z283" s="127" t="str">
        <f aca="false">IF(ISBLANK($C283),"",IF(H283=Constants!$B$2,TRUE(),IF(H283=Constants!$B$3,FALSE(),TRUE())))</f>
        <v/>
      </c>
      <c r="AA283" s="127" t="str">
        <f aca="false">IF(ISBLANK($C283),"",IF(I283=Constants!$B$2,TRUE(),IF(I283=Constants!$B$3,FALSE(),TRUE())))</f>
        <v/>
      </c>
      <c r="AB283" s="127" t="str">
        <f aca="false">IF(ISBLANK($C283),"",IF(J283=Constants!$B$4,TRUE(),IF(J283=Constants!$B$5,FALSE(),COUNTA(K283:M283)&gt;0)))</f>
        <v/>
      </c>
      <c r="AC283" s="128" t="str">
        <f aca="false">IF(ISBLANK($C283),"",IF(ISNUMBER(K283),IF(K283&gt;=0,K283,""),""))</f>
        <v/>
      </c>
      <c r="AD283" s="129" t="str">
        <f aca="false">IF(ISBLANK($C283),"",IF(ISNUMBER(L283),IF(L283&gt;=0,L283,""),""))</f>
        <v/>
      </c>
      <c r="AE283" s="127" t="str">
        <f aca="false">IF(ISBLANK($C283),"",IF(ISNUMBER(M283),IF(M283&gt;=0,MIN(M283,Constants!$B$22),""),""))</f>
        <v/>
      </c>
      <c r="AF283" s="127" t="str">
        <f aca="false">IF(ISBLANK($C283),"",IF(N283=Constants!$B$2,TRUE(),IF(N283=Constants!$B$3,FALSE(),TRUE())))</f>
        <v/>
      </c>
      <c r="AG283" s="127" t="str">
        <f aca="false">IF(ISBLANK($C283),"",IF(O283=Constants!$B$2,TRUE(),IF(O283=Constants!$B$3,FALSE(),TRUE())))</f>
        <v/>
      </c>
      <c r="AH283" s="127" t="str">
        <f aca="false">IF(ISBLANK($C283),"",IF(P283=Constants!$B$4,TRUE(),IF(P283=Constants!$B$5,FALSE(),COUNTA(Q283:S283)&gt;0)))</f>
        <v/>
      </c>
      <c r="AI283" s="128" t="str">
        <f aca="false">IF(ISBLANK($C283),"",IF(ISNUMBER(Q283),IF(Q283&gt;=0,Q283,""),""))</f>
        <v/>
      </c>
      <c r="AJ283" s="129" t="str">
        <f aca="false">IF(ISBLANK($C283),"",IF(ISNUMBER(R283),IF(R283&gt;=0,R283,""),""))</f>
        <v/>
      </c>
      <c r="AK283" s="127" t="str">
        <f aca="false">IF(ISBLANK($C283),"",IF(ISNUMBER(S283),IF(S283&gt;=0,MIN(S283,Constants!$B$22),""),""))</f>
        <v/>
      </c>
      <c r="AL283" s="127" t="str">
        <f aca="false">IF(ISBLANK($C283),"",IF(T283=Constants!$B$2,TRUE(),IF(T283=Constants!$B$3,FALSE(),FALSE())))</f>
        <v/>
      </c>
      <c r="AM283" s="126" t="str">
        <f aca="false">IF(ISBLANK($C283),"",AND($AB283,OR($AC283="",$AD283="",AND(NOT(ISBLANK($M283)),$AE283=""))))</f>
        <v/>
      </c>
      <c r="AN283" s="129" t="str">
        <f aca="false">IF($BD283&lt;&gt;Constants!$B$6,"",IF($AB283,Constants!$B$17*$AD283,Constants!$B$18))</f>
        <v/>
      </c>
      <c r="AO283" s="130" t="str">
        <f aca="false">IF($BD283&lt;&gt;Constants!$B$6,"",Constants!$B$19*IF($AB283,$AC283,0))</f>
        <v/>
      </c>
      <c r="AP283" s="130" t="str">
        <f aca="false">IF($BD283&lt;&gt;Constants!$B$6,"",IF(AND($AB283,ISNUMBER($AE283)),Constants!$B$20*(Constants!$B$21-$AE283),0))</f>
        <v/>
      </c>
      <c r="AQ283" s="130" t="str">
        <f aca="false">IF($BD283&lt;&gt;Constants!$B$6,"",IF($AA283,0,Constants!$B$12)+IF($Z283,0,Constants!$B$13)+IF($Y283,0,Constants!$B$14))</f>
        <v/>
      </c>
      <c r="AR283" s="131" t="str">
        <f aca="false">IF($BD283&lt;&gt;Constants!$B$6,"",Constants!$B$16+SUM($AN283:$AQ283))</f>
        <v/>
      </c>
      <c r="AS283" s="130" t="str">
        <f aca="false">IF($BD283&lt;&gt;Constants!$B$6,"",IF($AB283,$AD283,""))</f>
        <v/>
      </c>
      <c r="AT283" s="132" t="str">
        <f aca="false">IF($BD283&lt;&gt;Constants!$B$6,"",$AO283)</f>
        <v/>
      </c>
      <c r="AU283" s="127" t="str">
        <f aca="false">IF($BD283&lt;&gt;Constants!$B$6,"",IF(OR($BA283&lt;$AR283,AND($BA283=$AR283,OR(AND(ISNUMBER($BB283),OR(NOT(ISNUMBER($AS283)),$BB283&lt;$AS283)),AND(OR(AND($BB283="",$AS283=""),AND(ISNUMBER($BB283),ISNUMBER($AS283),$BB283=$AS283)),$BC283&lt;$AT283)))),"-&gt;","&lt;-"))</f>
        <v/>
      </c>
      <c r="AV283" s="126" t="str">
        <f aca="false">IF(ISBLANK($C283),"",AND($AH283,OR($AI283="",$AJ283="",AND(NOT(ISBLANK($S283)),$AK283=""))))</f>
        <v/>
      </c>
      <c r="AW283" s="129" t="str">
        <f aca="false">IF($BD283&lt;&gt;Constants!$B$6,"",IF($AH283,Constants!$B$17*$AJ283,Constants!$B$18))</f>
        <v/>
      </c>
      <c r="AX283" s="130" t="str">
        <f aca="false">IF($BD283&lt;&gt;Constants!$B$6,"",Constants!$B$19*IF($AH283,$AI283,0))</f>
        <v/>
      </c>
      <c r="AY283" s="130" t="str">
        <f aca="false">IF($BD283&lt;&gt;Constants!$B$6,"",IF(AND($AH283,ISNUMBER($AK283)),Constants!$B$20*(Constants!$B$21-$AK283),0))</f>
        <v/>
      </c>
      <c r="AZ283" s="130" t="str">
        <f aca="false">IF($BD283&lt;&gt;Constants!$B$6,"",IF($AG283,0,Constants!$B$12)+IF($AF283,0,Constants!$B$13)+IF($Y283,0,Constants!$B$14))</f>
        <v/>
      </c>
      <c r="BA283" s="131" t="str">
        <f aca="false">IF($BD283&lt;&gt;Constants!$B$6,"",Constants!$B$16+SUM($AW283:$AZ283))</f>
        <v/>
      </c>
      <c r="BB283" s="130" t="str">
        <f aca="false">IF($BD283&lt;&gt;Constants!$B$6,"",IF($AH283,$AJ283,""))</f>
        <v/>
      </c>
      <c r="BC283" s="132" t="str">
        <f aca="false">IF($BD283&lt;&gt;Constants!$B$6,"",$AX283)</f>
        <v/>
      </c>
      <c r="BD283" s="127" t="str">
        <f aca="false">IF(ISBLANK($C283),"",IF($AL283,Constants!$B$9,IF(COUNTA($E283:$T283)=0,Constants!$B$8,IF(NOT($X283),Constants!$B$7,IF(OR($AM283,$AV283),Constants!$B$10,Constants!$B$6)))))</f>
        <v/>
      </c>
      <c r="BE283" s="127" t="str">
        <f aca="false">IF(ISBLANK($C283),"",IF($BD283&lt;&gt;Constants!$B$6,$BD283,Constants!$B$11))</f>
        <v/>
      </c>
      <c r="BF283" s="130" t="str">
        <f aca="false">IF($BD283&lt;&gt;Constants!$B$6,"",IF($AU283="-&gt;",$BA283,$AR283))</f>
        <v/>
      </c>
      <c r="BG283" s="130" t="str">
        <f aca="false">IF($BD283&lt;&gt;Constants!$B$6,"",IF($W283,0,Constants!$B$15))</f>
        <v/>
      </c>
      <c r="BH283" s="130" t="str">
        <f aca="false">IF(ISBLANK($C283),"",IF($BD283&lt;&gt;Constants!$B$6,$BD283,SUM($BF283:$BG283)))</f>
        <v/>
      </c>
      <c r="BI283" s="127" t="str">
        <f aca="false">IF(ISBLANK($C283),"",IF($BD283&lt;&gt;Constants!$B$6,$BD283,RANK($BH283,$BH$9:$BH$508,1)))</f>
        <v/>
      </c>
      <c r="BJ283" s="130" t="str">
        <f aca="false">IF($BD283&lt;&gt;Constants!$B$6,"",IF($AU283="-&gt;",$BB283,$AS283))</f>
        <v/>
      </c>
      <c r="BK283" s="127" t="str">
        <f aca="false">IF(ISBLANK($C283),"",IF($BD283&lt;&gt;Constants!$B$6,$BD283,IF(ISNUMBER($BJ283),RANK($BJ283,$BJ$9:$BJ$508,1),COUNT($BJ$9:$BJ$508)+1)))</f>
        <v/>
      </c>
      <c r="BL283" s="130" t="str">
        <f aca="false">IF($BD283&lt;&gt;Constants!$B$6,"",IF($AU283="-&gt;",$BC283,$AT283))</f>
        <v/>
      </c>
      <c r="BM283" s="127" t="str">
        <f aca="false">IF(ISBLANK($C283),"",IF($BD283&lt;&gt;Constants!$B$6,$BD283,IF(ISNUMBER($BL283),RANK($BL283,$BL$9:$BL$508,1),COUNT($BL$9:$BL$508)+1)))</f>
        <v/>
      </c>
      <c r="BN283" s="130" t="str">
        <f aca="false">IF($BD283&lt;&gt;Constants!$B$6,"",IF($AU283="-&gt;",$AS283,$BB283))</f>
        <v/>
      </c>
      <c r="BO283" s="127" t="str">
        <f aca="false">IF(ISBLANK($C283),"",IF($BD283&lt;&gt;Constants!$B$6,$BD283,IF(ISNUMBER($BN283),RANK($BN283,$BN$9:$BN$508,1),COUNT($BN$9:$BN$508)+1)))</f>
        <v/>
      </c>
      <c r="BP283" s="130" t="str">
        <f aca="false">IF($BD283&lt;&gt;Constants!$B$6,"",IF($AU283="-&gt;",$AT283,$BC283))</f>
        <v/>
      </c>
      <c r="BQ283" s="127" t="str">
        <f aca="false">IF(ISBLANK($C283),"",IF($BD283&lt;&gt;Constants!$B$6,$BD283,IF(ISNUMBER($BP283),RANK($BP283,$BP$9:$BP$508,1),COUNT($BP$9:$BP$508)+1)))</f>
        <v/>
      </c>
      <c r="BR283" s="127" t="str">
        <f aca="false">IF(ISBLANK($C283),"",IF($BD283&lt;&gt;Constants!$B$6,$BD283,COUNTIFS($BI$9:$BI$508,"&lt;"&amp;$BI283)+COUNTIFS($BI$9:$BI$508,$BI283,$BK$9:$BK$508,"&lt;"&amp;$BK283)+COUNTIFS($BI$9:$BI$508,$BI283,$BK$9:$BK$508,$BK283,$BM$9:$BM$508,"&lt;"&amp;$BM283)+COUNTIFS($BI$9:$BI$508,$BI283,$BK$9:$BK$508,$BK283,$BM$9:$BM$508,$BM283,$BO$9:$BO$508,"&lt;"&amp;$BO283)+COUNTIFS($BI$9:$BI$508,$BI283,$BK$9:$BK$508,$BK283,$BM$9:$BM$508,$BM283,$BO$9:$BO$508,$BO283,$BQ$9:$BQ$508,"&lt;"&amp;$BQ283)+1))</f>
        <v/>
      </c>
      <c r="BS283" s="127" t="str">
        <f aca="false">IF(ISBLANK($C283),"",IF($BD283&lt;&gt;Constants!$B$6,$BD283,$BI283-$BR283))</f>
        <v/>
      </c>
      <c r="BT283" s="133"/>
      <c r="BU283" s="134"/>
      <c r="BV283" s="134" t="str">
        <f aca="false">IF(ISBLANK($C283),"",IF($BD283&lt;&gt;Constants!$B$6,"",IF($AU283="-&gt;",2,1)))</f>
        <v/>
      </c>
      <c r="BW283" s="135" t="str">
        <f aca="false">IF(ISBLANK($C283),"",IF($BD283&lt;&gt;Constants!$B$6,"",IF($AU283="-&gt;",$AW283,$AN283)))</f>
        <v/>
      </c>
      <c r="BX283" s="135" t="str">
        <f aca="false">IF(ISBLANK($C283),"",IF($BD283&lt;&gt;Constants!$B$6,"",IF($AU283="-&gt;",$AX283,$AO283)))</f>
        <v/>
      </c>
      <c r="BY283" s="135" t="str">
        <f aca="false">IF(ISBLANK($C283),"",IF($BD283&lt;&gt;Constants!$B$6,"",IF($AU283="-&gt;",$AY283,$AP283)))</f>
        <v/>
      </c>
      <c r="BZ283" s="135" t="str">
        <f aca="false">IF(ISBLANK($C283),"",IF($BD283&lt;&gt;Constants!$B$6,"",IF($AU283="-&gt;",$AZ283,$AQ283)+$BG283))</f>
        <v/>
      </c>
      <c r="CA283" s="136" t="str">
        <f aca="false">IF(ISBLANK($C283),"",IF($BD283&lt;&gt;Constants!$B$6,$BD283,$BH283))</f>
        <v/>
      </c>
      <c r="CB283" s="137" t="str">
        <f aca="false">IF(ISBLANK($C283),"",$BE283)</f>
        <v/>
      </c>
      <c r="CC283" s="138" t="str">
        <f aca="false">IF(ISBLANK($C283),"",$BS283)</f>
        <v/>
      </c>
      <c r="CD283" s="138" t="str">
        <f aca="false">IF(ISBLANK($C283),"",$BR283)</f>
        <v/>
      </c>
      <c r="CE283" s="139" t="str">
        <f aca="false">IF(ISBLANK($C283),"",IF($CD283=Constants!$B$9,COUNTA($C$9:$C$508)+2,IF($CD283=Constants!$B$8,COUNTA($C$9:$C$508)+1,IF($CD283=Constants!$B$7,COUNTA($C$9:$C$508),$CD283))))</f>
        <v/>
      </c>
      <c r="CF283" s="9"/>
      <c r="CG283" s="140" t="n">
        <f aca="false">IF(OR(ISNUMBER($CD283),$CD283=Constants!$B$9,$CD283=Constants!$B$7,$CD283=Constants!$B$8),1,0)</f>
        <v>0</v>
      </c>
      <c r="CH283" s="140" t="n">
        <v>275</v>
      </c>
      <c r="CI283" s="140" t="str">
        <f aca="false">IF(ISBLANK($C283),"",IF(ISNUMBER($CE283),$CE283+ROW($B283)/1000,""))</f>
        <v/>
      </c>
      <c r="CJ283" s="140" t="str">
        <f aca="false">IF(ISNUMBER($CI283),RANK($CI283,$CI$9:$CI$508,1),"")</f>
        <v/>
      </c>
      <c r="CK283" s="140" t="str">
        <f aca="false">IF(ISBLANK($C283),"",$B283)</f>
        <v/>
      </c>
      <c r="CL283" s="140" t="str">
        <f aca="false">IF(ISBLANK($C283),"",$C283)</f>
        <v/>
      </c>
      <c r="CM283" s="140" t="str">
        <f aca="false">IF(ISBLANK($C283),"",$D283)</f>
        <v/>
      </c>
      <c r="CN283" s="141" t="str">
        <f aca="false">$CB283</f>
        <v/>
      </c>
      <c r="CO283" s="142" t="str">
        <f aca="false">$CA283</f>
        <v/>
      </c>
      <c r="CP283" s="140" t="str">
        <f aca="false">IF(ISBLANK($C283),"",$CD283)</f>
        <v/>
      </c>
      <c r="CQ283" s="143" t="str">
        <f aca="false">IF($CH283&gt;$CG$8,"",VLOOKUP($CH283,$CJ$9:$CP$508,7,FALSE()))</f>
        <v/>
      </c>
      <c r="CR283" s="144" t="str">
        <f aca="false">IF($CH283&gt;$CG$8,"",VLOOKUP($CH283,$CJ$9:$CP$508,2,FALSE()))</f>
        <v/>
      </c>
      <c r="CS283" s="144" t="str">
        <f aca="false">IF($CH283&gt;$CG$8,"",VLOOKUP($CH283,$CJ$9:$CP$508,3,FALSE()))</f>
        <v/>
      </c>
      <c r="CT283" s="144" t="str">
        <f aca="false">IF($CH283&gt;$CG$8,"",VLOOKUP($CH283,$CJ$9:$CP$508,4,FALSE()))</f>
        <v/>
      </c>
      <c r="CU283" s="144" t="str">
        <f aca="false">IF($CH283&gt;$CG$8,"",VLOOKUP($CH283,$CJ$9:$CP$508,5,FALSE()))</f>
        <v/>
      </c>
      <c r="CV283" s="145" t="str">
        <f aca="false">IF($CH283&gt;$CG$8,"",VLOOKUP($CH283,$CJ$9:$CP$508,6,FALSE()))</f>
        <v/>
      </c>
      <c r="CW283" s="71"/>
    </row>
    <row r="284" customFormat="false" ht="15.75" hidden="false" customHeight="false" outlineLevel="0" collapsed="false">
      <c r="A284" s="9"/>
      <c r="B284" s="150"/>
      <c r="C284" s="151"/>
      <c r="D284" s="152"/>
      <c r="E284" s="170"/>
      <c r="F284" s="154"/>
      <c r="G284" s="155"/>
      <c r="H284" s="171"/>
      <c r="I284" s="159"/>
      <c r="J284" s="120"/>
      <c r="K284" s="121"/>
      <c r="L284" s="122"/>
      <c r="M284" s="158"/>
      <c r="N284" s="159"/>
      <c r="O284" s="159"/>
      <c r="P284" s="120"/>
      <c r="Q284" s="122"/>
      <c r="R284" s="122"/>
      <c r="S284" s="158"/>
      <c r="T284" s="159"/>
      <c r="U284" s="126"/>
      <c r="V284" s="127"/>
      <c r="W284" s="127" t="str">
        <f aca="false">IF(ISBLANK($C284),"",IF(E284=Constants!$B$2,TRUE(),IF(E284=Constants!$B$3,FALSE(),TRUE())))</f>
        <v/>
      </c>
      <c r="X284" s="127" t="str">
        <f aca="false">IF(ISBLANK($C284),"",IF(F284=Constants!$B$2,TRUE(),IF(F284=Constants!$B$3,FALSE(),TRUE())))</f>
        <v/>
      </c>
      <c r="Y284" s="127" t="str">
        <f aca="false">IF(ISBLANK($C284),"",IF(G284=Constants!$B$2,TRUE(),IF(G284=Constants!$B$3,FALSE(),TRUE())))</f>
        <v/>
      </c>
      <c r="Z284" s="127" t="str">
        <f aca="false">IF(ISBLANK($C284),"",IF(H284=Constants!$B$2,TRUE(),IF(H284=Constants!$B$3,FALSE(),TRUE())))</f>
        <v/>
      </c>
      <c r="AA284" s="127" t="str">
        <f aca="false">IF(ISBLANK($C284),"",IF(I284=Constants!$B$2,TRUE(),IF(I284=Constants!$B$3,FALSE(),TRUE())))</f>
        <v/>
      </c>
      <c r="AB284" s="127" t="str">
        <f aca="false">IF(ISBLANK($C284),"",IF(J284=Constants!$B$4,TRUE(),IF(J284=Constants!$B$5,FALSE(),COUNTA(K284:M284)&gt;0)))</f>
        <v/>
      </c>
      <c r="AC284" s="128" t="str">
        <f aca="false">IF(ISBLANK($C284),"",IF(ISNUMBER(K284),IF(K284&gt;=0,K284,""),""))</f>
        <v/>
      </c>
      <c r="AD284" s="129" t="str">
        <f aca="false">IF(ISBLANK($C284),"",IF(ISNUMBER(L284),IF(L284&gt;=0,L284,""),""))</f>
        <v/>
      </c>
      <c r="AE284" s="127" t="str">
        <f aca="false">IF(ISBLANK($C284),"",IF(ISNUMBER(M284),IF(M284&gt;=0,MIN(M284,Constants!$B$22),""),""))</f>
        <v/>
      </c>
      <c r="AF284" s="127" t="str">
        <f aca="false">IF(ISBLANK($C284),"",IF(N284=Constants!$B$2,TRUE(),IF(N284=Constants!$B$3,FALSE(),TRUE())))</f>
        <v/>
      </c>
      <c r="AG284" s="127" t="str">
        <f aca="false">IF(ISBLANK($C284),"",IF(O284=Constants!$B$2,TRUE(),IF(O284=Constants!$B$3,FALSE(),TRUE())))</f>
        <v/>
      </c>
      <c r="AH284" s="127" t="str">
        <f aca="false">IF(ISBLANK($C284),"",IF(P284=Constants!$B$4,TRUE(),IF(P284=Constants!$B$5,FALSE(),COUNTA(Q284:S284)&gt;0)))</f>
        <v/>
      </c>
      <c r="AI284" s="128" t="str">
        <f aca="false">IF(ISBLANK($C284),"",IF(ISNUMBER(Q284),IF(Q284&gt;=0,Q284,""),""))</f>
        <v/>
      </c>
      <c r="AJ284" s="129" t="str">
        <f aca="false">IF(ISBLANK($C284),"",IF(ISNUMBER(R284),IF(R284&gt;=0,R284,""),""))</f>
        <v/>
      </c>
      <c r="AK284" s="127" t="str">
        <f aca="false">IF(ISBLANK($C284),"",IF(ISNUMBER(S284),IF(S284&gt;=0,MIN(S284,Constants!$B$22),""),""))</f>
        <v/>
      </c>
      <c r="AL284" s="127" t="str">
        <f aca="false">IF(ISBLANK($C284),"",IF(T284=Constants!$B$2,TRUE(),IF(T284=Constants!$B$3,FALSE(),FALSE())))</f>
        <v/>
      </c>
      <c r="AM284" s="126" t="str">
        <f aca="false">IF(ISBLANK($C284),"",AND($AB284,OR($AC284="",$AD284="",AND(NOT(ISBLANK($M284)),$AE284=""))))</f>
        <v/>
      </c>
      <c r="AN284" s="129" t="str">
        <f aca="false">IF($BD284&lt;&gt;Constants!$B$6,"",IF($AB284,Constants!$B$17*$AD284,Constants!$B$18))</f>
        <v/>
      </c>
      <c r="AO284" s="130" t="str">
        <f aca="false">IF($BD284&lt;&gt;Constants!$B$6,"",Constants!$B$19*IF($AB284,$AC284,0))</f>
        <v/>
      </c>
      <c r="AP284" s="130" t="str">
        <f aca="false">IF($BD284&lt;&gt;Constants!$B$6,"",IF(AND($AB284,ISNUMBER($AE284)),Constants!$B$20*(Constants!$B$21-$AE284),0))</f>
        <v/>
      </c>
      <c r="AQ284" s="130" t="str">
        <f aca="false">IF($BD284&lt;&gt;Constants!$B$6,"",IF($AA284,0,Constants!$B$12)+IF($Z284,0,Constants!$B$13)+IF($Y284,0,Constants!$B$14))</f>
        <v/>
      </c>
      <c r="AR284" s="131" t="str">
        <f aca="false">IF($BD284&lt;&gt;Constants!$B$6,"",Constants!$B$16+SUM($AN284:$AQ284))</f>
        <v/>
      </c>
      <c r="AS284" s="130" t="str">
        <f aca="false">IF($BD284&lt;&gt;Constants!$B$6,"",IF($AB284,$AD284,""))</f>
        <v/>
      </c>
      <c r="AT284" s="132" t="str">
        <f aca="false">IF($BD284&lt;&gt;Constants!$B$6,"",$AO284)</f>
        <v/>
      </c>
      <c r="AU284" s="127" t="str">
        <f aca="false">IF($BD284&lt;&gt;Constants!$B$6,"",IF(OR($BA284&lt;$AR284,AND($BA284=$AR284,OR(AND(ISNUMBER($BB284),OR(NOT(ISNUMBER($AS284)),$BB284&lt;$AS284)),AND(OR(AND($BB284="",$AS284=""),AND(ISNUMBER($BB284),ISNUMBER($AS284),$BB284=$AS284)),$BC284&lt;$AT284)))),"-&gt;","&lt;-"))</f>
        <v/>
      </c>
      <c r="AV284" s="126" t="str">
        <f aca="false">IF(ISBLANK($C284),"",AND($AH284,OR($AI284="",$AJ284="",AND(NOT(ISBLANK($S284)),$AK284=""))))</f>
        <v/>
      </c>
      <c r="AW284" s="129" t="str">
        <f aca="false">IF($BD284&lt;&gt;Constants!$B$6,"",IF($AH284,Constants!$B$17*$AJ284,Constants!$B$18))</f>
        <v/>
      </c>
      <c r="AX284" s="130" t="str">
        <f aca="false">IF($BD284&lt;&gt;Constants!$B$6,"",Constants!$B$19*IF($AH284,$AI284,0))</f>
        <v/>
      </c>
      <c r="AY284" s="130" t="str">
        <f aca="false">IF($BD284&lt;&gt;Constants!$B$6,"",IF(AND($AH284,ISNUMBER($AK284)),Constants!$B$20*(Constants!$B$21-$AK284),0))</f>
        <v/>
      </c>
      <c r="AZ284" s="130" t="str">
        <f aca="false">IF($BD284&lt;&gt;Constants!$B$6,"",IF($AG284,0,Constants!$B$12)+IF($AF284,0,Constants!$B$13)+IF($Y284,0,Constants!$B$14))</f>
        <v/>
      </c>
      <c r="BA284" s="131" t="str">
        <f aca="false">IF($BD284&lt;&gt;Constants!$B$6,"",Constants!$B$16+SUM($AW284:$AZ284))</f>
        <v/>
      </c>
      <c r="BB284" s="130" t="str">
        <f aca="false">IF($BD284&lt;&gt;Constants!$B$6,"",IF($AH284,$AJ284,""))</f>
        <v/>
      </c>
      <c r="BC284" s="132" t="str">
        <f aca="false">IF($BD284&lt;&gt;Constants!$B$6,"",$AX284)</f>
        <v/>
      </c>
      <c r="BD284" s="127" t="str">
        <f aca="false">IF(ISBLANK($C284),"",IF($AL284,Constants!$B$9,IF(COUNTA($E284:$T284)=0,Constants!$B$8,IF(NOT($X284),Constants!$B$7,IF(OR($AM284,$AV284),Constants!$B$10,Constants!$B$6)))))</f>
        <v/>
      </c>
      <c r="BE284" s="127" t="str">
        <f aca="false">IF(ISBLANK($C284),"",IF($BD284&lt;&gt;Constants!$B$6,$BD284,Constants!$B$11))</f>
        <v/>
      </c>
      <c r="BF284" s="130" t="str">
        <f aca="false">IF($BD284&lt;&gt;Constants!$B$6,"",IF($AU284="-&gt;",$BA284,$AR284))</f>
        <v/>
      </c>
      <c r="BG284" s="130" t="str">
        <f aca="false">IF($BD284&lt;&gt;Constants!$B$6,"",IF($W284,0,Constants!$B$15))</f>
        <v/>
      </c>
      <c r="BH284" s="130" t="str">
        <f aca="false">IF(ISBLANK($C284),"",IF($BD284&lt;&gt;Constants!$B$6,$BD284,SUM($BF284:$BG284)))</f>
        <v/>
      </c>
      <c r="BI284" s="127" t="str">
        <f aca="false">IF(ISBLANK($C284),"",IF($BD284&lt;&gt;Constants!$B$6,$BD284,RANK($BH284,$BH$9:$BH$508,1)))</f>
        <v/>
      </c>
      <c r="BJ284" s="130" t="str">
        <f aca="false">IF($BD284&lt;&gt;Constants!$B$6,"",IF($AU284="-&gt;",$BB284,$AS284))</f>
        <v/>
      </c>
      <c r="BK284" s="127" t="str">
        <f aca="false">IF(ISBLANK($C284),"",IF($BD284&lt;&gt;Constants!$B$6,$BD284,IF(ISNUMBER($BJ284),RANK($BJ284,$BJ$9:$BJ$508,1),COUNT($BJ$9:$BJ$508)+1)))</f>
        <v/>
      </c>
      <c r="BL284" s="130" t="str">
        <f aca="false">IF($BD284&lt;&gt;Constants!$B$6,"",IF($AU284="-&gt;",$BC284,$AT284))</f>
        <v/>
      </c>
      <c r="BM284" s="127" t="str">
        <f aca="false">IF(ISBLANK($C284),"",IF($BD284&lt;&gt;Constants!$B$6,$BD284,IF(ISNUMBER($BL284),RANK($BL284,$BL$9:$BL$508,1),COUNT($BL$9:$BL$508)+1)))</f>
        <v/>
      </c>
      <c r="BN284" s="130" t="str">
        <f aca="false">IF($BD284&lt;&gt;Constants!$B$6,"",IF($AU284="-&gt;",$AS284,$BB284))</f>
        <v/>
      </c>
      <c r="BO284" s="127" t="str">
        <f aca="false">IF(ISBLANK($C284),"",IF($BD284&lt;&gt;Constants!$B$6,$BD284,IF(ISNUMBER($BN284),RANK($BN284,$BN$9:$BN$508,1),COUNT($BN$9:$BN$508)+1)))</f>
        <v/>
      </c>
      <c r="BP284" s="130" t="str">
        <f aca="false">IF($BD284&lt;&gt;Constants!$B$6,"",IF($AU284="-&gt;",$AT284,$BC284))</f>
        <v/>
      </c>
      <c r="BQ284" s="127" t="str">
        <f aca="false">IF(ISBLANK($C284),"",IF($BD284&lt;&gt;Constants!$B$6,$BD284,IF(ISNUMBER($BP284),RANK($BP284,$BP$9:$BP$508,1),COUNT($BP$9:$BP$508)+1)))</f>
        <v/>
      </c>
      <c r="BR284" s="127" t="str">
        <f aca="false">IF(ISBLANK($C284),"",IF($BD284&lt;&gt;Constants!$B$6,$BD284,COUNTIFS($BI$9:$BI$508,"&lt;"&amp;$BI284)+COUNTIFS($BI$9:$BI$508,$BI284,$BK$9:$BK$508,"&lt;"&amp;$BK284)+COUNTIFS($BI$9:$BI$508,$BI284,$BK$9:$BK$508,$BK284,$BM$9:$BM$508,"&lt;"&amp;$BM284)+COUNTIFS($BI$9:$BI$508,$BI284,$BK$9:$BK$508,$BK284,$BM$9:$BM$508,$BM284,$BO$9:$BO$508,"&lt;"&amp;$BO284)+COUNTIFS($BI$9:$BI$508,$BI284,$BK$9:$BK$508,$BK284,$BM$9:$BM$508,$BM284,$BO$9:$BO$508,$BO284,$BQ$9:$BQ$508,"&lt;"&amp;$BQ284)+1))</f>
        <v/>
      </c>
      <c r="BS284" s="127" t="str">
        <f aca="false">IF(ISBLANK($C284),"",IF($BD284&lt;&gt;Constants!$B$6,$BD284,$BI284-$BR284))</f>
        <v/>
      </c>
      <c r="BT284" s="133"/>
      <c r="BU284" s="134"/>
      <c r="BV284" s="134" t="str">
        <f aca="false">IF(ISBLANK($C284),"",IF($BD284&lt;&gt;Constants!$B$6,"",IF($AU284="-&gt;",2,1)))</f>
        <v/>
      </c>
      <c r="BW284" s="135" t="str">
        <f aca="false">IF(ISBLANK($C284),"",IF($BD284&lt;&gt;Constants!$B$6,"",IF($AU284="-&gt;",$AW284,$AN284)))</f>
        <v/>
      </c>
      <c r="BX284" s="135" t="str">
        <f aca="false">IF(ISBLANK($C284),"",IF($BD284&lt;&gt;Constants!$B$6,"",IF($AU284="-&gt;",$AX284,$AO284)))</f>
        <v/>
      </c>
      <c r="BY284" s="135" t="str">
        <f aca="false">IF(ISBLANK($C284),"",IF($BD284&lt;&gt;Constants!$B$6,"",IF($AU284="-&gt;",$AY284,$AP284)))</f>
        <v/>
      </c>
      <c r="BZ284" s="135" t="str">
        <f aca="false">IF(ISBLANK($C284),"",IF($BD284&lt;&gt;Constants!$B$6,"",IF($AU284="-&gt;",$AZ284,$AQ284)+$BG284))</f>
        <v/>
      </c>
      <c r="CA284" s="136" t="str">
        <f aca="false">IF(ISBLANK($C284),"",IF($BD284&lt;&gt;Constants!$B$6,$BD284,$BH284))</f>
        <v/>
      </c>
      <c r="CB284" s="137" t="str">
        <f aca="false">IF(ISBLANK($C284),"",$BE284)</f>
        <v/>
      </c>
      <c r="CC284" s="138" t="str">
        <f aca="false">IF(ISBLANK($C284),"",$BS284)</f>
        <v/>
      </c>
      <c r="CD284" s="138" t="str">
        <f aca="false">IF(ISBLANK($C284),"",$BR284)</f>
        <v/>
      </c>
      <c r="CE284" s="139" t="str">
        <f aca="false">IF(ISBLANK($C284),"",IF($CD284=Constants!$B$9,COUNTA($C$9:$C$508)+2,IF($CD284=Constants!$B$8,COUNTA($C$9:$C$508)+1,IF($CD284=Constants!$B$7,COUNTA($C$9:$C$508),$CD284))))</f>
        <v/>
      </c>
      <c r="CF284" s="9"/>
      <c r="CG284" s="140" t="n">
        <f aca="false">IF(OR(ISNUMBER($CD284),$CD284=Constants!$B$9,$CD284=Constants!$B$7,$CD284=Constants!$B$8),1,0)</f>
        <v>0</v>
      </c>
      <c r="CH284" s="140" t="n">
        <v>276</v>
      </c>
      <c r="CI284" s="140" t="str">
        <f aca="false">IF(ISBLANK($C284),"",IF(ISNUMBER($CE284),$CE284+ROW($B284)/1000,""))</f>
        <v/>
      </c>
      <c r="CJ284" s="140" t="str">
        <f aca="false">IF(ISNUMBER($CI284),RANK($CI284,$CI$9:$CI$508,1),"")</f>
        <v/>
      </c>
      <c r="CK284" s="140" t="str">
        <f aca="false">IF(ISBLANK($C284),"",$B284)</f>
        <v/>
      </c>
      <c r="CL284" s="140" t="str">
        <f aca="false">IF(ISBLANK($C284),"",$C284)</f>
        <v/>
      </c>
      <c r="CM284" s="140" t="str">
        <f aca="false">IF(ISBLANK($C284),"",$D284)</f>
        <v/>
      </c>
      <c r="CN284" s="141" t="str">
        <f aca="false">$CB284</f>
        <v/>
      </c>
      <c r="CO284" s="142" t="str">
        <f aca="false">$CA284</f>
        <v/>
      </c>
      <c r="CP284" s="140" t="str">
        <f aca="false">IF(ISBLANK($C284),"",$CD284)</f>
        <v/>
      </c>
      <c r="CQ284" s="143" t="str">
        <f aca="false">IF($CH284&gt;$CG$8,"",VLOOKUP($CH284,$CJ$9:$CP$508,7,FALSE()))</f>
        <v/>
      </c>
      <c r="CR284" s="144" t="str">
        <f aca="false">IF($CH284&gt;$CG$8,"",VLOOKUP($CH284,$CJ$9:$CP$508,2,FALSE()))</f>
        <v/>
      </c>
      <c r="CS284" s="144" t="str">
        <f aca="false">IF($CH284&gt;$CG$8,"",VLOOKUP($CH284,$CJ$9:$CP$508,3,FALSE()))</f>
        <v/>
      </c>
      <c r="CT284" s="144" t="str">
        <f aca="false">IF($CH284&gt;$CG$8,"",VLOOKUP($CH284,$CJ$9:$CP$508,4,FALSE()))</f>
        <v/>
      </c>
      <c r="CU284" s="144" t="str">
        <f aca="false">IF($CH284&gt;$CG$8,"",VLOOKUP($CH284,$CJ$9:$CP$508,5,FALSE()))</f>
        <v/>
      </c>
      <c r="CV284" s="145" t="str">
        <f aca="false">IF($CH284&gt;$CG$8,"",VLOOKUP($CH284,$CJ$9:$CP$508,6,FALSE()))</f>
        <v/>
      </c>
      <c r="CW284" s="71"/>
    </row>
    <row r="285" customFormat="false" ht="15.75" hidden="false" customHeight="false" outlineLevel="0" collapsed="false">
      <c r="A285" s="9"/>
      <c r="B285" s="72"/>
      <c r="C285" s="73"/>
      <c r="D285" s="160"/>
      <c r="E285" s="168"/>
      <c r="F285" s="162"/>
      <c r="G285" s="163"/>
      <c r="H285" s="169"/>
      <c r="I285" s="167"/>
      <c r="J285" s="80"/>
      <c r="K285" s="81"/>
      <c r="L285" s="82"/>
      <c r="M285" s="166"/>
      <c r="N285" s="167"/>
      <c r="O285" s="167"/>
      <c r="P285" s="80"/>
      <c r="Q285" s="82"/>
      <c r="R285" s="82"/>
      <c r="S285" s="166"/>
      <c r="T285" s="167"/>
      <c r="U285" s="86"/>
      <c r="V285" s="87"/>
      <c r="W285" s="87" t="str">
        <f aca="false">IF(ISBLANK($C285),"",IF(E285=Constants!$B$2,TRUE(),IF(E285=Constants!$B$3,FALSE(),TRUE())))</f>
        <v/>
      </c>
      <c r="X285" s="87" t="str">
        <f aca="false">IF(ISBLANK($C285),"",IF(F285=Constants!$B$2,TRUE(),IF(F285=Constants!$B$3,FALSE(),TRUE())))</f>
        <v/>
      </c>
      <c r="Y285" s="87" t="str">
        <f aca="false">IF(ISBLANK($C285),"",IF(G285=Constants!$B$2,TRUE(),IF(G285=Constants!$B$3,FALSE(),TRUE())))</f>
        <v/>
      </c>
      <c r="Z285" s="87" t="str">
        <f aca="false">IF(ISBLANK($C285),"",IF(H285=Constants!$B$2,TRUE(),IF(H285=Constants!$B$3,FALSE(),TRUE())))</f>
        <v/>
      </c>
      <c r="AA285" s="87" t="str">
        <f aca="false">IF(ISBLANK($C285),"",IF(I285=Constants!$B$2,TRUE(),IF(I285=Constants!$B$3,FALSE(),TRUE())))</f>
        <v/>
      </c>
      <c r="AB285" s="87" t="str">
        <f aca="false">IF(ISBLANK($C285),"",IF(J285=Constants!$B$4,TRUE(),IF(J285=Constants!$B$5,FALSE(),COUNTA(K285:M285)&gt;0)))</f>
        <v/>
      </c>
      <c r="AC285" s="88" t="str">
        <f aca="false">IF(ISBLANK($C285),"",IF(ISNUMBER(K285),IF(K285&gt;=0,K285,""),""))</f>
        <v/>
      </c>
      <c r="AD285" s="89" t="str">
        <f aca="false">IF(ISBLANK($C285),"",IF(ISNUMBER(L285),IF(L285&gt;=0,L285,""),""))</f>
        <v/>
      </c>
      <c r="AE285" s="87" t="str">
        <f aca="false">IF(ISBLANK($C285),"",IF(ISNUMBER(M285),IF(M285&gt;=0,MIN(M285,Constants!$B$22),""),""))</f>
        <v/>
      </c>
      <c r="AF285" s="87" t="str">
        <f aca="false">IF(ISBLANK($C285),"",IF(N285=Constants!$B$2,TRUE(),IF(N285=Constants!$B$3,FALSE(),TRUE())))</f>
        <v/>
      </c>
      <c r="AG285" s="87" t="str">
        <f aca="false">IF(ISBLANK($C285),"",IF(O285=Constants!$B$2,TRUE(),IF(O285=Constants!$B$3,FALSE(),TRUE())))</f>
        <v/>
      </c>
      <c r="AH285" s="87" t="str">
        <f aca="false">IF(ISBLANK($C285),"",IF(P285=Constants!$B$4,TRUE(),IF(P285=Constants!$B$5,FALSE(),COUNTA(Q285:S285)&gt;0)))</f>
        <v/>
      </c>
      <c r="AI285" s="88" t="str">
        <f aca="false">IF(ISBLANK($C285),"",IF(ISNUMBER(Q285),IF(Q285&gt;=0,Q285,""),""))</f>
        <v/>
      </c>
      <c r="AJ285" s="89" t="str">
        <f aca="false">IF(ISBLANK($C285),"",IF(ISNUMBER(R285),IF(R285&gt;=0,R285,""),""))</f>
        <v/>
      </c>
      <c r="AK285" s="87" t="str">
        <f aca="false">IF(ISBLANK($C285),"",IF(ISNUMBER(S285),IF(S285&gt;=0,MIN(S285,Constants!$B$22),""),""))</f>
        <v/>
      </c>
      <c r="AL285" s="87" t="str">
        <f aca="false">IF(ISBLANK($C285),"",IF(T285=Constants!$B$2,TRUE(),IF(T285=Constants!$B$3,FALSE(),FALSE())))</f>
        <v/>
      </c>
      <c r="AM285" s="86" t="str">
        <f aca="false">IF(ISBLANK($C285),"",AND($AB285,OR($AC285="",$AD285="",AND(NOT(ISBLANK($M285)),$AE285=""))))</f>
        <v/>
      </c>
      <c r="AN285" s="89" t="str">
        <f aca="false">IF($BD285&lt;&gt;Constants!$B$6,"",IF($AB285,Constants!$B$17*$AD285,Constants!$B$18))</f>
        <v/>
      </c>
      <c r="AO285" s="91" t="str">
        <f aca="false">IF($BD285&lt;&gt;Constants!$B$6,"",Constants!$B$19*IF($AB285,$AC285,0))</f>
        <v/>
      </c>
      <c r="AP285" s="91" t="str">
        <f aca="false">IF($BD285&lt;&gt;Constants!$B$6,"",IF(AND($AB285,ISNUMBER($AE285)),Constants!$B$20*(Constants!$B$21-$AE285),0))</f>
        <v/>
      </c>
      <c r="AQ285" s="91" t="str">
        <f aca="false">IF($BD285&lt;&gt;Constants!$B$6,"",IF($AA285,0,Constants!$B$12)+IF($Z285,0,Constants!$B$13)+IF($Y285,0,Constants!$B$14))</f>
        <v/>
      </c>
      <c r="AR285" s="92" t="str">
        <f aca="false">IF($BD285&lt;&gt;Constants!$B$6,"",Constants!$B$16+SUM($AN285:$AQ285))</f>
        <v/>
      </c>
      <c r="AS285" s="91" t="str">
        <f aca="false">IF($BD285&lt;&gt;Constants!$B$6,"",IF($AB285,$AD285,""))</f>
        <v/>
      </c>
      <c r="AT285" s="93" t="str">
        <f aca="false">IF($BD285&lt;&gt;Constants!$B$6,"",$AO285)</f>
        <v/>
      </c>
      <c r="AU285" s="87" t="str">
        <f aca="false">IF($BD285&lt;&gt;Constants!$B$6,"",IF(OR($BA285&lt;$AR285,AND($BA285=$AR285,OR(AND(ISNUMBER($BB285),OR(NOT(ISNUMBER($AS285)),$BB285&lt;$AS285)),AND(OR(AND($BB285="",$AS285=""),AND(ISNUMBER($BB285),ISNUMBER($AS285),$BB285=$AS285)),$BC285&lt;$AT285)))),"-&gt;","&lt;-"))</f>
        <v/>
      </c>
      <c r="AV285" s="86" t="str">
        <f aca="false">IF(ISBLANK($C285),"",AND($AH285,OR($AI285="",$AJ285="",AND(NOT(ISBLANK($S285)),$AK285=""))))</f>
        <v/>
      </c>
      <c r="AW285" s="89" t="str">
        <f aca="false">IF($BD285&lt;&gt;Constants!$B$6,"",IF($AH285,Constants!$B$17*$AJ285,Constants!$B$18))</f>
        <v/>
      </c>
      <c r="AX285" s="91" t="str">
        <f aca="false">IF($BD285&lt;&gt;Constants!$B$6,"",Constants!$B$19*IF($AH285,$AI285,0))</f>
        <v/>
      </c>
      <c r="AY285" s="91" t="str">
        <f aca="false">IF($BD285&lt;&gt;Constants!$B$6,"",IF(AND($AH285,ISNUMBER($AK285)),Constants!$B$20*(Constants!$B$21-$AK285),0))</f>
        <v/>
      </c>
      <c r="AZ285" s="91" t="str">
        <f aca="false">IF($BD285&lt;&gt;Constants!$B$6,"",IF($AG285,0,Constants!$B$12)+IF($AF285,0,Constants!$B$13)+IF($Y285,0,Constants!$B$14))</f>
        <v/>
      </c>
      <c r="BA285" s="92" t="str">
        <f aca="false">IF($BD285&lt;&gt;Constants!$B$6,"",Constants!$B$16+SUM($AW285:$AZ285))</f>
        <v/>
      </c>
      <c r="BB285" s="91" t="str">
        <f aca="false">IF($BD285&lt;&gt;Constants!$B$6,"",IF($AH285,$AJ285,""))</f>
        <v/>
      </c>
      <c r="BC285" s="93" t="str">
        <f aca="false">IF($BD285&lt;&gt;Constants!$B$6,"",$AX285)</f>
        <v/>
      </c>
      <c r="BD285" s="87" t="str">
        <f aca="false">IF(ISBLANK($C285),"",IF($AL285,Constants!$B$9,IF(COUNTA($E285:$T285)=0,Constants!$B$8,IF(NOT($X285),Constants!$B$7,IF(OR($AM285,$AV285),Constants!$B$10,Constants!$B$6)))))</f>
        <v/>
      </c>
      <c r="BE285" s="87" t="str">
        <f aca="false">IF(ISBLANK($C285),"",IF($BD285&lt;&gt;Constants!$B$6,$BD285,Constants!$B$11))</f>
        <v/>
      </c>
      <c r="BF285" s="91" t="str">
        <f aca="false">IF($BD285&lt;&gt;Constants!$B$6,"",IF($AU285="-&gt;",$BA285,$AR285))</f>
        <v/>
      </c>
      <c r="BG285" s="91" t="str">
        <f aca="false">IF($BD285&lt;&gt;Constants!$B$6,"",IF($W285,0,Constants!$B$15))</f>
        <v/>
      </c>
      <c r="BH285" s="91" t="str">
        <f aca="false">IF(ISBLANK($C285),"",IF($BD285&lt;&gt;Constants!$B$6,$BD285,SUM($BF285:$BG285)))</f>
        <v/>
      </c>
      <c r="BI285" s="87" t="str">
        <f aca="false">IF(ISBLANK($C285),"",IF($BD285&lt;&gt;Constants!$B$6,$BD285,RANK($BH285,$BH$9:$BH$508,1)))</f>
        <v/>
      </c>
      <c r="BJ285" s="91" t="str">
        <f aca="false">IF($BD285&lt;&gt;Constants!$B$6,"",IF($AU285="-&gt;",$BB285,$AS285))</f>
        <v/>
      </c>
      <c r="BK285" s="87" t="str">
        <f aca="false">IF(ISBLANK($C285),"",IF($BD285&lt;&gt;Constants!$B$6,$BD285,IF(ISNUMBER($BJ285),RANK($BJ285,$BJ$9:$BJ$508,1),COUNT($BJ$9:$BJ$508)+1)))</f>
        <v/>
      </c>
      <c r="BL285" s="91" t="str">
        <f aca="false">IF($BD285&lt;&gt;Constants!$B$6,"",IF($AU285="-&gt;",$BC285,$AT285))</f>
        <v/>
      </c>
      <c r="BM285" s="87" t="str">
        <f aca="false">IF(ISBLANK($C285),"",IF($BD285&lt;&gt;Constants!$B$6,$BD285,IF(ISNUMBER($BL285),RANK($BL285,$BL$9:$BL$508,1),COUNT($BL$9:$BL$508)+1)))</f>
        <v/>
      </c>
      <c r="BN285" s="91" t="str">
        <f aca="false">IF($BD285&lt;&gt;Constants!$B$6,"",IF($AU285="-&gt;",$AS285,$BB285))</f>
        <v/>
      </c>
      <c r="BO285" s="87" t="str">
        <f aca="false">IF(ISBLANK($C285),"",IF($BD285&lt;&gt;Constants!$B$6,$BD285,IF(ISNUMBER($BN285),RANK($BN285,$BN$9:$BN$508,1),COUNT($BN$9:$BN$508)+1)))</f>
        <v/>
      </c>
      <c r="BP285" s="91" t="str">
        <f aca="false">IF($BD285&lt;&gt;Constants!$B$6,"",IF($AU285="-&gt;",$AT285,$BC285))</f>
        <v/>
      </c>
      <c r="BQ285" s="87" t="str">
        <f aca="false">IF(ISBLANK($C285),"",IF($BD285&lt;&gt;Constants!$B$6,$BD285,IF(ISNUMBER($BP285),RANK($BP285,$BP$9:$BP$508,1),COUNT($BP$9:$BP$508)+1)))</f>
        <v/>
      </c>
      <c r="BR285" s="87" t="str">
        <f aca="false">IF(ISBLANK($C285),"",IF($BD285&lt;&gt;Constants!$B$6,$BD285,COUNTIFS($BI$9:$BI$508,"&lt;"&amp;$BI285)+COUNTIFS($BI$9:$BI$508,$BI285,$BK$9:$BK$508,"&lt;"&amp;$BK285)+COUNTIFS($BI$9:$BI$508,$BI285,$BK$9:$BK$508,$BK285,$BM$9:$BM$508,"&lt;"&amp;$BM285)+COUNTIFS($BI$9:$BI$508,$BI285,$BK$9:$BK$508,$BK285,$BM$9:$BM$508,$BM285,$BO$9:$BO$508,"&lt;"&amp;$BO285)+COUNTIFS($BI$9:$BI$508,$BI285,$BK$9:$BK$508,$BK285,$BM$9:$BM$508,$BM285,$BO$9:$BO$508,$BO285,$BQ$9:$BQ$508,"&lt;"&amp;$BQ285)+1))</f>
        <v/>
      </c>
      <c r="BS285" s="87" t="str">
        <f aca="false">IF(ISBLANK($C285),"",IF($BD285&lt;&gt;Constants!$B$6,$BD285,$BI285-$BR285))</f>
        <v/>
      </c>
      <c r="BT285" s="94"/>
      <c r="BU285" s="95"/>
      <c r="BV285" s="95" t="str">
        <f aca="false">IF(ISBLANK($C285),"",IF($BD285&lt;&gt;Constants!$B$6,"",IF($AU285="-&gt;",2,1)))</f>
        <v/>
      </c>
      <c r="BW285" s="96" t="str">
        <f aca="false">IF(ISBLANK($C285),"",IF($BD285&lt;&gt;Constants!$B$6,"",IF($AU285="-&gt;",$AW285,$AN285)))</f>
        <v/>
      </c>
      <c r="BX285" s="96" t="str">
        <f aca="false">IF(ISBLANK($C285),"",IF($BD285&lt;&gt;Constants!$B$6,"",IF($AU285="-&gt;",$AX285,$AO285)))</f>
        <v/>
      </c>
      <c r="BY285" s="96" t="str">
        <f aca="false">IF(ISBLANK($C285),"",IF($BD285&lt;&gt;Constants!$B$6,"",IF($AU285="-&gt;",$AY285,$AP285)))</f>
        <v/>
      </c>
      <c r="BZ285" s="96" t="str">
        <f aca="false">IF(ISBLANK($C285),"",IF($BD285&lt;&gt;Constants!$B$6,"",IF($AU285="-&gt;",$AZ285,$AQ285)+$BG285))</f>
        <v/>
      </c>
      <c r="CA285" s="97" t="str">
        <f aca="false">IF(ISBLANK($C285),"",IF($BD285&lt;&gt;Constants!$B$6,$BD285,$BH285))</f>
        <v/>
      </c>
      <c r="CB285" s="98" t="str">
        <f aca="false">IF(ISBLANK($C285),"",$BE285)</f>
        <v/>
      </c>
      <c r="CC285" s="99" t="str">
        <f aca="false">IF(ISBLANK($C285),"",$BS285)</f>
        <v/>
      </c>
      <c r="CD285" s="99" t="str">
        <f aca="false">IF(ISBLANK($C285),"",$BR285)</f>
        <v/>
      </c>
      <c r="CE285" s="100" t="str">
        <f aca="false">IF(ISBLANK($C285),"",IF($CD285=Constants!$B$9,COUNTA($C$9:$C$508)+2,IF($CD285=Constants!$B$8,COUNTA($C$9:$C$508)+1,IF($CD285=Constants!$B$7,COUNTA($C$9:$C$508),$CD285))))</f>
        <v/>
      </c>
      <c r="CF285" s="9"/>
      <c r="CG285" s="101" t="n">
        <f aca="false">IF(OR(ISNUMBER($CD285),$CD285=Constants!$B$9,$CD285=Constants!$B$7,$CD285=Constants!$B$8),1,0)</f>
        <v>0</v>
      </c>
      <c r="CH285" s="101" t="n">
        <v>277</v>
      </c>
      <c r="CI285" s="101" t="str">
        <f aca="false">IF(ISBLANK($C285),"",IF(ISNUMBER($CE285),$CE285+ROW($B285)/1000,""))</f>
        <v/>
      </c>
      <c r="CJ285" s="101" t="str">
        <f aca="false">IF(ISNUMBER($CI285),RANK($CI285,$CI$9:$CI$508,1),"")</f>
        <v/>
      </c>
      <c r="CK285" s="101" t="str">
        <f aca="false">IF(ISBLANK($C285),"",$B285)</f>
        <v/>
      </c>
      <c r="CL285" s="101" t="str">
        <f aca="false">IF(ISBLANK($C285),"",$C285)</f>
        <v/>
      </c>
      <c r="CM285" s="101" t="str">
        <f aca="false">IF(ISBLANK($C285),"",$D285)</f>
        <v/>
      </c>
      <c r="CN285" s="102" t="str">
        <f aca="false">$CB285</f>
        <v/>
      </c>
      <c r="CO285" s="103" t="str">
        <f aca="false">$CA285</f>
        <v/>
      </c>
      <c r="CP285" s="101" t="str">
        <f aca="false">IF(ISBLANK($C285),"",$CD285)</f>
        <v/>
      </c>
      <c r="CQ285" s="104" t="str">
        <f aca="false">IF($CH285&gt;$CG$8,"",VLOOKUP($CH285,$CJ$9:$CP$508,7,FALSE()))</f>
        <v/>
      </c>
      <c r="CR285" s="105" t="str">
        <f aca="false">IF($CH285&gt;$CG$8,"",VLOOKUP($CH285,$CJ$9:$CP$508,2,FALSE()))</f>
        <v/>
      </c>
      <c r="CS285" s="105" t="str">
        <f aca="false">IF($CH285&gt;$CG$8,"",VLOOKUP($CH285,$CJ$9:$CP$508,3,FALSE()))</f>
        <v/>
      </c>
      <c r="CT285" s="105" t="str">
        <f aca="false">IF($CH285&gt;$CG$8,"",VLOOKUP($CH285,$CJ$9:$CP$508,4,FALSE()))</f>
        <v/>
      </c>
      <c r="CU285" s="105" t="str">
        <f aca="false">IF($CH285&gt;$CG$8,"",VLOOKUP($CH285,$CJ$9:$CP$508,5,FALSE()))</f>
        <v/>
      </c>
      <c r="CV285" s="106" t="str">
        <f aca="false">IF($CH285&gt;$CG$8,"",VLOOKUP($CH285,$CJ$9:$CP$508,6,FALSE()))</f>
        <v/>
      </c>
      <c r="CW285" s="71"/>
    </row>
    <row r="286" customFormat="false" ht="15.75" hidden="false" customHeight="false" outlineLevel="0" collapsed="false">
      <c r="A286" s="9"/>
      <c r="B286" s="72"/>
      <c r="C286" s="73"/>
      <c r="D286" s="160"/>
      <c r="E286" s="168"/>
      <c r="F286" s="162"/>
      <c r="G286" s="163"/>
      <c r="H286" s="169"/>
      <c r="I286" s="167"/>
      <c r="J286" s="80"/>
      <c r="K286" s="81"/>
      <c r="L286" s="82"/>
      <c r="M286" s="166"/>
      <c r="N286" s="167"/>
      <c r="O286" s="167"/>
      <c r="P286" s="80"/>
      <c r="Q286" s="82"/>
      <c r="R286" s="82"/>
      <c r="S286" s="166"/>
      <c r="T286" s="167"/>
      <c r="U286" s="86"/>
      <c r="V286" s="87"/>
      <c r="W286" s="87" t="str">
        <f aca="false">IF(ISBLANK($C286),"",IF(E286=Constants!$B$2,TRUE(),IF(E286=Constants!$B$3,FALSE(),TRUE())))</f>
        <v/>
      </c>
      <c r="X286" s="87" t="str">
        <f aca="false">IF(ISBLANK($C286),"",IF(F286=Constants!$B$2,TRUE(),IF(F286=Constants!$B$3,FALSE(),TRUE())))</f>
        <v/>
      </c>
      <c r="Y286" s="87" t="str">
        <f aca="false">IF(ISBLANK($C286),"",IF(G286=Constants!$B$2,TRUE(),IF(G286=Constants!$B$3,FALSE(),TRUE())))</f>
        <v/>
      </c>
      <c r="Z286" s="87" t="str">
        <f aca="false">IF(ISBLANK($C286),"",IF(H286=Constants!$B$2,TRUE(),IF(H286=Constants!$B$3,FALSE(),TRUE())))</f>
        <v/>
      </c>
      <c r="AA286" s="87" t="str">
        <f aca="false">IF(ISBLANK($C286),"",IF(I286=Constants!$B$2,TRUE(),IF(I286=Constants!$B$3,FALSE(),TRUE())))</f>
        <v/>
      </c>
      <c r="AB286" s="87" t="str">
        <f aca="false">IF(ISBLANK($C286),"",IF(J286=Constants!$B$4,TRUE(),IF(J286=Constants!$B$5,FALSE(),COUNTA(K286:M286)&gt;0)))</f>
        <v/>
      </c>
      <c r="AC286" s="88" t="str">
        <f aca="false">IF(ISBLANK($C286),"",IF(ISNUMBER(K286),IF(K286&gt;=0,K286,""),""))</f>
        <v/>
      </c>
      <c r="AD286" s="89" t="str">
        <f aca="false">IF(ISBLANK($C286),"",IF(ISNUMBER(L286),IF(L286&gt;=0,L286,""),""))</f>
        <v/>
      </c>
      <c r="AE286" s="87" t="str">
        <f aca="false">IF(ISBLANK($C286),"",IF(ISNUMBER(M286),IF(M286&gt;=0,MIN(M286,Constants!$B$22),""),""))</f>
        <v/>
      </c>
      <c r="AF286" s="87" t="str">
        <f aca="false">IF(ISBLANK($C286),"",IF(N286=Constants!$B$2,TRUE(),IF(N286=Constants!$B$3,FALSE(),TRUE())))</f>
        <v/>
      </c>
      <c r="AG286" s="87" t="str">
        <f aca="false">IF(ISBLANK($C286),"",IF(O286=Constants!$B$2,TRUE(),IF(O286=Constants!$B$3,FALSE(),TRUE())))</f>
        <v/>
      </c>
      <c r="AH286" s="87" t="str">
        <f aca="false">IF(ISBLANK($C286),"",IF(P286=Constants!$B$4,TRUE(),IF(P286=Constants!$B$5,FALSE(),COUNTA(Q286:S286)&gt;0)))</f>
        <v/>
      </c>
      <c r="AI286" s="88" t="str">
        <f aca="false">IF(ISBLANK($C286),"",IF(ISNUMBER(Q286),IF(Q286&gt;=0,Q286,""),""))</f>
        <v/>
      </c>
      <c r="AJ286" s="89" t="str">
        <f aca="false">IF(ISBLANK($C286),"",IF(ISNUMBER(R286),IF(R286&gt;=0,R286,""),""))</f>
        <v/>
      </c>
      <c r="AK286" s="87" t="str">
        <f aca="false">IF(ISBLANK($C286),"",IF(ISNUMBER(S286),IF(S286&gt;=0,MIN(S286,Constants!$B$22),""),""))</f>
        <v/>
      </c>
      <c r="AL286" s="87" t="str">
        <f aca="false">IF(ISBLANK($C286),"",IF(T286=Constants!$B$2,TRUE(),IF(T286=Constants!$B$3,FALSE(),FALSE())))</f>
        <v/>
      </c>
      <c r="AM286" s="86" t="str">
        <f aca="false">IF(ISBLANK($C286),"",AND($AB286,OR($AC286="",$AD286="",AND(NOT(ISBLANK($M286)),$AE286=""))))</f>
        <v/>
      </c>
      <c r="AN286" s="89" t="str">
        <f aca="false">IF($BD286&lt;&gt;Constants!$B$6,"",IF($AB286,Constants!$B$17*$AD286,Constants!$B$18))</f>
        <v/>
      </c>
      <c r="AO286" s="91" t="str">
        <f aca="false">IF($BD286&lt;&gt;Constants!$B$6,"",Constants!$B$19*IF($AB286,$AC286,0))</f>
        <v/>
      </c>
      <c r="AP286" s="91" t="str">
        <f aca="false">IF($BD286&lt;&gt;Constants!$B$6,"",IF(AND($AB286,ISNUMBER($AE286)),Constants!$B$20*(Constants!$B$21-$AE286),0))</f>
        <v/>
      </c>
      <c r="AQ286" s="91" t="str">
        <f aca="false">IF($BD286&lt;&gt;Constants!$B$6,"",IF($AA286,0,Constants!$B$12)+IF($Z286,0,Constants!$B$13)+IF($Y286,0,Constants!$B$14))</f>
        <v/>
      </c>
      <c r="AR286" s="92" t="str">
        <f aca="false">IF($BD286&lt;&gt;Constants!$B$6,"",Constants!$B$16+SUM($AN286:$AQ286))</f>
        <v/>
      </c>
      <c r="AS286" s="91" t="str">
        <f aca="false">IF($BD286&lt;&gt;Constants!$B$6,"",IF($AB286,$AD286,""))</f>
        <v/>
      </c>
      <c r="AT286" s="93" t="str">
        <f aca="false">IF($BD286&lt;&gt;Constants!$B$6,"",$AO286)</f>
        <v/>
      </c>
      <c r="AU286" s="87" t="str">
        <f aca="false">IF($BD286&lt;&gt;Constants!$B$6,"",IF(OR($BA286&lt;$AR286,AND($BA286=$AR286,OR(AND(ISNUMBER($BB286),OR(NOT(ISNUMBER($AS286)),$BB286&lt;$AS286)),AND(OR(AND($BB286="",$AS286=""),AND(ISNUMBER($BB286),ISNUMBER($AS286),$BB286=$AS286)),$BC286&lt;$AT286)))),"-&gt;","&lt;-"))</f>
        <v/>
      </c>
      <c r="AV286" s="86" t="str">
        <f aca="false">IF(ISBLANK($C286),"",AND($AH286,OR($AI286="",$AJ286="",AND(NOT(ISBLANK($S286)),$AK286=""))))</f>
        <v/>
      </c>
      <c r="AW286" s="89" t="str">
        <f aca="false">IF($BD286&lt;&gt;Constants!$B$6,"",IF($AH286,Constants!$B$17*$AJ286,Constants!$B$18))</f>
        <v/>
      </c>
      <c r="AX286" s="91" t="str">
        <f aca="false">IF($BD286&lt;&gt;Constants!$B$6,"",Constants!$B$19*IF($AH286,$AI286,0))</f>
        <v/>
      </c>
      <c r="AY286" s="91" t="str">
        <f aca="false">IF($BD286&lt;&gt;Constants!$B$6,"",IF(AND($AH286,ISNUMBER($AK286)),Constants!$B$20*(Constants!$B$21-$AK286),0))</f>
        <v/>
      </c>
      <c r="AZ286" s="91" t="str">
        <f aca="false">IF($BD286&lt;&gt;Constants!$B$6,"",IF($AG286,0,Constants!$B$12)+IF($AF286,0,Constants!$B$13)+IF($Y286,0,Constants!$B$14))</f>
        <v/>
      </c>
      <c r="BA286" s="92" t="str">
        <f aca="false">IF($BD286&lt;&gt;Constants!$B$6,"",Constants!$B$16+SUM($AW286:$AZ286))</f>
        <v/>
      </c>
      <c r="BB286" s="91" t="str">
        <f aca="false">IF($BD286&lt;&gt;Constants!$B$6,"",IF($AH286,$AJ286,""))</f>
        <v/>
      </c>
      <c r="BC286" s="93" t="str">
        <f aca="false">IF($BD286&lt;&gt;Constants!$B$6,"",$AX286)</f>
        <v/>
      </c>
      <c r="BD286" s="87" t="str">
        <f aca="false">IF(ISBLANK($C286),"",IF($AL286,Constants!$B$9,IF(COUNTA($E286:$T286)=0,Constants!$B$8,IF(NOT($X286),Constants!$B$7,IF(OR($AM286,$AV286),Constants!$B$10,Constants!$B$6)))))</f>
        <v/>
      </c>
      <c r="BE286" s="87" t="str">
        <f aca="false">IF(ISBLANK($C286),"",IF($BD286&lt;&gt;Constants!$B$6,$BD286,Constants!$B$11))</f>
        <v/>
      </c>
      <c r="BF286" s="91" t="str">
        <f aca="false">IF($BD286&lt;&gt;Constants!$B$6,"",IF($AU286="-&gt;",$BA286,$AR286))</f>
        <v/>
      </c>
      <c r="BG286" s="91" t="str">
        <f aca="false">IF($BD286&lt;&gt;Constants!$B$6,"",IF($W286,0,Constants!$B$15))</f>
        <v/>
      </c>
      <c r="BH286" s="91" t="str">
        <f aca="false">IF(ISBLANK($C286),"",IF($BD286&lt;&gt;Constants!$B$6,$BD286,SUM($BF286:$BG286)))</f>
        <v/>
      </c>
      <c r="BI286" s="87" t="str">
        <f aca="false">IF(ISBLANK($C286),"",IF($BD286&lt;&gt;Constants!$B$6,$BD286,RANK($BH286,$BH$9:$BH$508,1)))</f>
        <v/>
      </c>
      <c r="BJ286" s="91" t="str">
        <f aca="false">IF($BD286&lt;&gt;Constants!$B$6,"",IF($AU286="-&gt;",$BB286,$AS286))</f>
        <v/>
      </c>
      <c r="BK286" s="87" t="str">
        <f aca="false">IF(ISBLANK($C286),"",IF($BD286&lt;&gt;Constants!$B$6,$BD286,IF(ISNUMBER($BJ286),RANK($BJ286,$BJ$9:$BJ$508,1),COUNT($BJ$9:$BJ$508)+1)))</f>
        <v/>
      </c>
      <c r="BL286" s="91" t="str">
        <f aca="false">IF($BD286&lt;&gt;Constants!$B$6,"",IF($AU286="-&gt;",$BC286,$AT286))</f>
        <v/>
      </c>
      <c r="BM286" s="87" t="str">
        <f aca="false">IF(ISBLANK($C286),"",IF($BD286&lt;&gt;Constants!$B$6,$BD286,IF(ISNUMBER($BL286),RANK($BL286,$BL$9:$BL$508,1),COUNT($BL$9:$BL$508)+1)))</f>
        <v/>
      </c>
      <c r="BN286" s="91" t="str">
        <f aca="false">IF($BD286&lt;&gt;Constants!$B$6,"",IF($AU286="-&gt;",$AS286,$BB286))</f>
        <v/>
      </c>
      <c r="BO286" s="87" t="str">
        <f aca="false">IF(ISBLANK($C286),"",IF($BD286&lt;&gt;Constants!$B$6,$BD286,IF(ISNUMBER($BN286),RANK($BN286,$BN$9:$BN$508,1),COUNT($BN$9:$BN$508)+1)))</f>
        <v/>
      </c>
      <c r="BP286" s="91" t="str">
        <f aca="false">IF($BD286&lt;&gt;Constants!$B$6,"",IF($AU286="-&gt;",$AT286,$BC286))</f>
        <v/>
      </c>
      <c r="BQ286" s="87" t="str">
        <f aca="false">IF(ISBLANK($C286),"",IF($BD286&lt;&gt;Constants!$B$6,$BD286,IF(ISNUMBER($BP286),RANK($BP286,$BP$9:$BP$508,1),COUNT($BP$9:$BP$508)+1)))</f>
        <v/>
      </c>
      <c r="BR286" s="87" t="str">
        <f aca="false">IF(ISBLANK($C286),"",IF($BD286&lt;&gt;Constants!$B$6,$BD286,COUNTIFS($BI$9:$BI$508,"&lt;"&amp;$BI286)+COUNTIFS($BI$9:$BI$508,$BI286,$BK$9:$BK$508,"&lt;"&amp;$BK286)+COUNTIFS($BI$9:$BI$508,$BI286,$BK$9:$BK$508,$BK286,$BM$9:$BM$508,"&lt;"&amp;$BM286)+COUNTIFS($BI$9:$BI$508,$BI286,$BK$9:$BK$508,$BK286,$BM$9:$BM$508,$BM286,$BO$9:$BO$508,"&lt;"&amp;$BO286)+COUNTIFS($BI$9:$BI$508,$BI286,$BK$9:$BK$508,$BK286,$BM$9:$BM$508,$BM286,$BO$9:$BO$508,$BO286,$BQ$9:$BQ$508,"&lt;"&amp;$BQ286)+1))</f>
        <v/>
      </c>
      <c r="BS286" s="87" t="str">
        <f aca="false">IF(ISBLANK($C286),"",IF($BD286&lt;&gt;Constants!$B$6,$BD286,$BI286-$BR286))</f>
        <v/>
      </c>
      <c r="BT286" s="94"/>
      <c r="BU286" s="95"/>
      <c r="BV286" s="95" t="str">
        <f aca="false">IF(ISBLANK($C286),"",IF($BD286&lt;&gt;Constants!$B$6,"",IF($AU286="-&gt;",2,1)))</f>
        <v/>
      </c>
      <c r="BW286" s="96" t="str">
        <f aca="false">IF(ISBLANK($C286),"",IF($BD286&lt;&gt;Constants!$B$6,"",IF($AU286="-&gt;",$AW286,$AN286)))</f>
        <v/>
      </c>
      <c r="BX286" s="96" t="str">
        <f aca="false">IF(ISBLANK($C286),"",IF($BD286&lt;&gt;Constants!$B$6,"",IF($AU286="-&gt;",$AX286,$AO286)))</f>
        <v/>
      </c>
      <c r="BY286" s="96" t="str">
        <f aca="false">IF(ISBLANK($C286),"",IF($BD286&lt;&gt;Constants!$B$6,"",IF($AU286="-&gt;",$AY286,$AP286)))</f>
        <v/>
      </c>
      <c r="BZ286" s="96" t="str">
        <f aca="false">IF(ISBLANK($C286),"",IF($BD286&lt;&gt;Constants!$B$6,"",IF($AU286="-&gt;",$AZ286,$AQ286)+$BG286))</f>
        <v/>
      </c>
      <c r="CA286" s="97" t="str">
        <f aca="false">IF(ISBLANK($C286),"",IF($BD286&lt;&gt;Constants!$B$6,$BD286,$BH286))</f>
        <v/>
      </c>
      <c r="CB286" s="98" t="str">
        <f aca="false">IF(ISBLANK($C286),"",$BE286)</f>
        <v/>
      </c>
      <c r="CC286" s="99" t="str">
        <f aca="false">IF(ISBLANK($C286),"",$BS286)</f>
        <v/>
      </c>
      <c r="CD286" s="99" t="str">
        <f aca="false">IF(ISBLANK($C286),"",$BR286)</f>
        <v/>
      </c>
      <c r="CE286" s="100" t="str">
        <f aca="false">IF(ISBLANK($C286),"",IF($CD286=Constants!$B$9,COUNTA($C$9:$C$508)+2,IF($CD286=Constants!$B$8,COUNTA($C$9:$C$508)+1,IF($CD286=Constants!$B$7,COUNTA($C$9:$C$508),$CD286))))</f>
        <v/>
      </c>
      <c r="CF286" s="9"/>
      <c r="CG286" s="101" t="n">
        <f aca="false">IF(OR(ISNUMBER($CD286),$CD286=Constants!$B$9,$CD286=Constants!$B$7,$CD286=Constants!$B$8),1,0)</f>
        <v>0</v>
      </c>
      <c r="CH286" s="101" t="n">
        <v>278</v>
      </c>
      <c r="CI286" s="101" t="str">
        <f aca="false">IF(ISBLANK($C286),"",IF(ISNUMBER($CE286),$CE286+ROW($B286)/1000,""))</f>
        <v/>
      </c>
      <c r="CJ286" s="101" t="str">
        <f aca="false">IF(ISNUMBER($CI286),RANK($CI286,$CI$9:$CI$508,1),"")</f>
        <v/>
      </c>
      <c r="CK286" s="101" t="str">
        <f aca="false">IF(ISBLANK($C286),"",$B286)</f>
        <v/>
      </c>
      <c r="CL286" s="101" t="str">
        <f aca="false">IF(ISBLANK($C286),"",$C286)</f>
        <v/>
      </c>
      <c r="CM286" s="101" t="str">
        <f aca="false">IF(ISBLANK($C286),"",$D286)</f>
        <v/>
      </c>
      <c r="CN286" s="102" t="str">
        <f aca="false">$CB286</f>
        <v/>
      </c>
      <c r="CO286" s="103" t="str">
        <f aca="false">$CA286</f>
        <v/>
      </c>
      <c r="CP286" s="101" t="str">
        <f aca="false">IF(ISBLANK($C286),"",$CD286)</f>
        <v/>
      </c>
      <c r="CQ286" s="104" t="str">
        <f aca="false">IF($CH286&gt;$CG$8,"",VLOOKUP($CH286,$CJ$9:$CP$508,7,FALSE()))</f>
        <v/>
      </c>
      <c r="CR286" s="105" t="str">
        <f aca="false">IF($CH286&gt;$CG$8,"",VLOOKUP($CH286,$CJ$9:$CP$508,2,FALSE()))</f>
        <v/>
      </c>
      <c r="CS286" s="105" t="str">
        <f aca="false">IF($CH286&gt;$CG$8,"",VLOOKUP($CH286,$CJ$9:$CP$508,3,FALSE()))</f>
        <v/>
      </c>
      <c r="CT286" s="105" t="str">
        <f aca="false">IF($CH286&gt;$CG$8,"",VLOOKUP($CH286,$CJ$9:$CP$508,4,FALSE()))</f>
        <v/>
      </c>
      <c r="CU286" s="105" t="str">
        <f aca="false">IF($CH286&gt;$CG$8,"",VLOOKUP($CH286,$CJ$9:$CP$508,5,FALSE()))</f>
        <v/>
      </c>
      <c r="CV286" s="106" t="str">
        <f aca="false">IF($CH286&gt;$CG$8,"",VLOOKUP($CH286,$CJ$9:$CP$508,6,FALSE()))</f>
        <v/>
      </c>
      <c r="CW286" s="71"/>
    </row>
    <row r="287" customFormat="false" ht="15.75" hidden="false" customHeight="false" outlineLevel="0" collapsed="false">
      <c r="A287" s="9"/>
      <c r="B287" s="72"/>
      <c r="C287" s="73"/>
      <c r="D287" s="160"/>
      <c r="E287" s="168"/>
      <c r="F287" s="162"/>
      <c r="G287" s="163"/>
      <c r="H287" s="169"/>
      <c r="I287" s="167"/>
      <c r="J287" s="80"/>
      <c r="K287" s="81"/>
      <c r="L287" s="82"/>
      <c r="M287" s="166"/>
      <c r="N287" s="167"/>
      <c r="O287" s="167"/>
      <c r="P287" s="80"/>
      <c r="Q287" s="82"/>
      <c r="R287" s="82"/>
      <c r="S287" s="166"/>
      <c r="T287" s="167"/>
      <c r="U287" s="86"/>
      <c r="V287" s="87"/>
      <c r="W287" s="87" t="str">
        <f aca="false">IF(ISBLANK($C287),"",IF(E287=Constants!$B$2,TRUE(),IF(E287=Constants!$B$3,FALSE(),TRUE())))</f>
        <v/>
      </c>
      <c r="X287" s="87" t="str">
        <f aca="false">IF(ISBLANK($C287),"",IF(F287=Constants!$B$2,TRUE(),IF(F287=Constants!$B$3,FALSE(),TRUE())))</f>
        <v/>
      </c>
      <c r="Y287" s="87" t="str">
        <f aca="false">IF(ISBLANK($C287),"",IF(G287=Constants!$B$2,TRUE(),IF(G287=Constants!$B$3,FALSE(),TRUE())))</f>
        <v/>
      </c>
      <c r="Z287" s="87" t="str">
        <f aca="false">IF(ISBLANK($C287),"",IF(H287=Constants!$B$2,TRUE(),IF(H287=Constants!$B$3,FALSE(),TRUE())))</f>
        <v/>
      </c>
      <c r="AA287" s="87" t="str">
        <f aca="false">IF(ISBLANK($C287),"",IF(I287=Constants!$B$2,TRUE(),IF(I287=Constants!$B$3,FALSE(),TRUE())))</f>
        <v/>
      </c>
      <c r="AB287" s="87" t="str">
        <f aca="false">IF(ISBLANK($C287),"",IF(J287=Constants!$B$4,TRUE(),IF(J287=Constants!$B$5,FALSE(),COUNTA(K287:M287)&gt;0)))</f>
        <v/>
      </c>
      <c r="AC287" s="88" t="str">
        <f aca="false">IF(ISBLANK($C287),"",IF(ISNUMBER(K287),IF(K287&gt;=0,K287,""),""))</f>
        <v/>
      </c>
      <c r="AD287" s="89" t="str">
        <f aca="false">IF(ISBLANK($C287),"",IF(ISNUMBER(L287),IF(L287&gt;=0,L287,""),""))</f>
        <v/>
      </c>
      <c r="AE287" s="87" t="str">
        <f aca="false">IF(ISBLANK($C287),"",IF(ISNUMBER(M287),IF(M287&gt;=0,MIN(M287,Constants!$B$22),""),""))</f>
        <v/>
      </c>
      <c r="AF287" s="87" t="str">
        <f aca="false">IF(ISBLANK($C287),"",IF(N287=Constants!$B$2,TRUE(),IF(N287=Constants!$B$3,FALSE(),TRUE())))</f>
        <v/>
      </c>
      <c r="AG287" s="87" t="str">
        <f aca="false">IF(ISBLANK($C287),"",IF(O287=Constants!$B$2,TRUE(),IF(O287=Constants!$B$3,FALSE(),TRUE())))</f>
        <v/>
      </c>
      <c r="AH287" s="87" t="str">
        <f aca="false">IF(ISBLANK($C287),"",IF(P287=Constants!$B$4,TRUE(),IF(P287=Constants!$B$5,FALSE(),COUNTA(Q287:S287)&gt;0)))</f>
        <v/>
      </c>
      <c r="AI287" s="88" t="str">
        <f aca="false">IF(ISBLANK($C287),"",IF(ISNUMBER(Q287),IF(Q287&gt;=0,Q287,""),""))</f>
        <v/>
      </c>
      <c r="AJ287" s="89" t="str">
        <f aca="false">IF(ISBLANK($C287),"",IF(ISNUMBER(R287),IF(R287&gt;=0,R287,""),""))</f>
        <v/>
      </c>
      <c r="AK287" s="87" t="str">
        <f aca="false">IF(ISBLANK($C287),"",IF(ISNUMBER(S287),IF(S287&gt;=0,MIN(S287,Constants!$B$22),""),""))</f>
        <v/>
      </c>
      <c r="AL287" s="87" t="str">
        <f aca="false">IF(ISBLANK($C287),"",IF(T287=Constants!$B$2,TRUE(),IF(T287=Constants!$B$3,FALSE(),FALSE())))</f>
        <v/>
      </c>
      <c r="AM287" s="86" t="str">
        <f aca="false">IF(ISBLANK($C287),"",AND($AB287,OR($AC287="",$AD287="",AND(NOT(ISBLANK($M287)),$AE287=""))))</f>
        <v/>
      </c>
      <c r="AN287" s="89" t="str">
        <f aca="false">IF($BD287&lt;&gt;Constants!$B$6,"",IF($AB287,Constants!$B$17*$AD287,Constants!$B$18))</f>
        <v/>
      </c>
      <c r="AO287" s="91" t="str">
        <f aca="false">IF($BD287&lt;&gt;Constants!$B$6,"",Constants!$B$19*IF($AB287,$AC287,0))</f>
        <v/>
      </c>
      <c r="AP287" s="91" t="str">
        <f aca="false">IF($BD287&lt;&gt;Constants!$B$6,"",IF(AND($AB287,ISNUMBER($AE287)),Constants!$B$20*(Constants!$B$21-$AE287),0))</f>
        <v/>
      </c>
      <c r="AQ287" s="91" t="str">
        <f aca="false">IF($BD287&lt;&gt;Constants!$B$6,"",IF($AA287,0,Constants!$B$12)+IF($Z287,0,Constants!$B$13)+IF($Y287,0,Constants!$B$14))</f>
        <v/>
      </c>
      <c r="AR287" s="92" t="str">
        <f aca="false">IF($BD287&lt;&gt;Constants!$B$6,"",Constants!$B$16+SUM($AN287:$AQ287))</f>
        <v/>
      </c>
      <c r="AS287" s="91" t="str">
        <f aca="false">IF($BD287&lt;&gt;Constants!$B$6,"",IF($AB287,$AD287,""))</f>
        <v/>
      </c>
      <c r="AT287" s="93" t="str">
        <f aca="false">IF($BD287&lt;&gt;Constants!$B$6,"",$AO287)</f>
        <v/>
      </c>
      <c r="AU287" s="87" t="str">
        <f aca="false">IF($BD287&lt;&gt;Constants!$B$6,"",IF(OR($BA287&lt;$AR287,AND($BA287=$AR287,OR(AND(ISNUMBER($BB287),OR(NOT(ISNUMBER($AS287)),$BB287&lt;$AS287)),AND(OR(AND($BB287="",$AS287=""),AND(ISNUMBER($BB287),ISNUMBER($AS287),$BB287=$AS287)),$BC287&lt;$AT287)))),"-&gt;","&lt;-"))</f>
        <v/>
      </c>
      <c r="AV287" s="86" t="str">
        <f aca="false">IF(ISBLANK($C287),"",AND($AH287,OR($AI287="",$AJ287="",AND(NOT(ISBLANK($S287)),$AK287=""))))</f>
        <v/>
      </c>
      <c r="AW287" s="89" t="str">
        <f aca="false">IF($BD287&lt;&gt;Constants!$B$6,"",IF($AH287,Constants!$B$17*$AJ287,Constants!$B$18))</f>
        <v/>
      </c>
      <c r="AX287" s="91" t="str">
        <f aca="false">IF($BD287&lt;&gt;Constants!$B$6,"",Constants!$B$19*IF($AH287,$AI287,0))</f>
        <v/>
      </c>
      <c r="AY287" s="91" t="str">
        <f aca="false">IF($BD287&lt;&gt;Constants!$B$6,"",IF(AND($AH287,ISNUMBER($AK287)),Constants!$B$20*(Constants!$B$21-$AK287),0))</f>
        <v/>
      </c>
      <c r="AZ287" s="91" t="str">
        <f aca="false">IF($BD287&lt;&gt;Constants!$B$6,"",IF($AG287,0,Constants!$B$12)+IF($AF287,0,Constants!$B$13)+IF($Y287,0,Constants!$B$14))</f>
        <v/>
      </c>
      <c r="BA287" s="92" t="str">
        <f aca="false">IF($BD287&lt;&gt;Constants!$B$6,"",Constants!$B$16+SUM($AW287:$AZ287))</f>
        <v/>
      </c>
      <c r="BB287" s="91" t="str">
        <f aca="false">IF($BD287&lt;&gt;Constants!$B$6,"",IF($AH287,$AJ287,""))</f>
        <v/>
      </c>
      <c r="BC287" s="93" t="str">
        <f aca="false">IF($BD287&lt;&gt;Constants!$B$6,"",$AX287)</f>
        <v/>
      </c>
      <c r="BD287" s="87" t="str">
        <f aca="false">IF(ISBLANK($C287),"",IF($AL287,Constants!$B$9,IF(COUNTA($E287:$T287)=0,Constants!$B$8,IF(NOT($X287),Constants!$B$7,IF(OR($AM287,$AV287),Constants!$B$10,Constants!$B$6)))))</f>
        <v/>
      </c>
      <c r="BE287" s="87" t="str">
        <f aca="false">IF(ISBLANK($C287),"",IF($BD287&lt;&gt;Constants!$B$6,$BD287,Constants!$B$11))</f>
        <v/>
      </c>
      <c r="BF287" s="91" t="str">
        <f aca="false">IF($BD287&lt;&gt;Constants!$B$6,"",IF($AU287="-&gt;",$BA287,$AR287))</f>
        <v/>
      </c>
      <c r="BG287" s="91" t="str">
        <f aca="false">IF($BD287&lt;&gt;Constants!$B$6,"",IF($W287,0,Constants!$B$15))</f>
        <v/>
      </c>
      <c r="BH287" s="91" t="str">
        <f aca="false">IF(ISBLANK($C287),"",IF($BD287&lt;&gt;Constants!$B$6,$BD287,SUM($BF287:$BG287)))</f>
        <v/>
      </c>
      <c r="BI287" s="87" t="str">
        <f aca="false">IF(ISBLANK($C287),"",IF($BD287&lt;&gt;Constants!$B$6,$BD287,RANK($BH287,$BH$9:$BH$508,1)))</f>
        <v/>
      </c>
      <c r="BJ287" s="91" t="str">
        <f aca="false">IF($BD287&lt;&gt;Constants!$B$6,"",IF($AU287="-&gt;",$BB287,$AS287))</f>
        <v/>
      </c>
      <c r="BK287" s="87" t="str">
        <f aca="false">IF(ISBLANK($C287),"",IF($BD287&lt;&gt;Constants!$B$6,$BD287,IF(ISNUMBER($BJ287),RANK($BJ287,$BJ$9:$BJ$508,1),COUNT($BJ$9:$BJ$508)+1)))</f>
        <v/>
      </c>
      <c r="BL287" s="91" t="str">
        <f aca="false">IF($BD287&lt;&gt;Constants!$B$6,"",IF($AU287="-&gt;",$BC287,$AT287))</f>
        <v/>
      </c>
      <c r="BM287" s="87" t="str">
        <f aca="false">IF(ISBLANK($C287),"",IF($BD287&lt;&gt;Constants!$B$6,$BD287,IF(ISNUMBER($BL287),RANK($BL287,$BL$9:$BL$508,1),COUNT($BL$9:$BL$508)+1)))</f>
        <v/>
      </c>
      <c r="BN287" s="91" t="str">
        <f aca="false">IF($BD287&lt;&gt;Constants!$B$6,"",IF($AU287="-&gt;",$AS287,$BB287))</f>
        <v/>
      </c>
      <c r="BO287" s="87" t="str">
        <f aca="false">IF(ISBLANK($C287),"",IF($BD287&lt;&gt;Constants!$B$6,$BD287,IF(ISNUMBER($BN287),RANK($BN287,$BN$9:$BN$508,1),COUNT($BN$9:$BN$508)+1)))</f>
        <v/>
      </c>
      <c r="BP287" s="91" t="str">
        <f aca="false">IF($BD287&lt;&gt;Constants!$B$6,"",IF($AU287="-&gt;",$AT287,$BC287))</f>
        <v/>
      </c>
      <c r="BQ287" s="87" t="str">
        <f aca="false">IF(ISBLANK($C287),"",IF($BD287&lt;&gt;Constants!$B$6,$BD287,IF(ISNUMBER($BP287),RANK($BP287,$BP$9:$BP$508,1),COUNT($BP$9:$BP$508)+1)))</f>
        <v/>
      </c>
      <c r="BR287" s="87" t="str">
        <f aca="false">IF(ISBLANK($C287),"",IF($BD287&lt;&gt;Constants!$B$6,$BD287,COUNTIFS($BI$9:$BI$508,"&lt;"&amp;$BI287)+COUNTIFS($BI$9:$BI$508,$BI287,$BK$9:$BK$508,"&lt;"&amp;$BK287)+COUNTIFS($BI$9:$BI$508,$BI287,$BK$9:$BK$508,$BK287,$BM$9:$BM$508,"&lt;"&amp;$BM287)+COUNTIFS($BI$9:$BI$508,$BI287,$BK$9:$BK$508,$BK287,$BM$9:$BM$508,$BM287,$BO$9:$BO$508,"&lt;"&amp;$BO287)+COUNTIFS($BI$9:$BI$508,$BI287,$BK$9:$BK$508,$BK287,$BM$9:$BM$508,$BM287,$BO$9:$BO$508,$BO287,$BQ$9:$BQ$508,"&lt;"&amp;$BQ287)+1))</f>
        <v/>
      </c>
      <c r="BS287" s="87" t="str">
        <f aca="false">IF(ISBLANK($C287),"",IF($BD287&lt;&gt;Constants!$B$6,$BD287,$BI287-$BR287))</f>
        <v/>
      </c>
      <c r="BT287" s="94"/>
      <c r="BU287" s="95"/>
      <c r="BV287" s="95" t="str">
        <f aca="false">IF(ISBLANK($C287),"",IF($BD287&lt;&gt;Constants!$B$6,"",IF($AU287="-&gt;",2,1)))</f>
        <v/>
      </c>
      <c r="BW287" s="96" t="str">
        <f aca="false">IF(ISBLANK($C287),"",IF($BD287&lt;&gt;Constants!$B$6,"",IF($AU287="-&gt;",$AW287,$AN287)))</f>
        <v/>
      </c>
      <c r="BX287" s="96" t="str">
        <f aca="false">IF(ISBLANK($C287),"",IF($BD287&lt;&gt;Constants!$B$6,"",IF($AU287="-&gt;",$AX287,$AO287)))</f>
        <v/>
      </c>
      <c r="BY287" s="96" t="str">
        <f aca="false">IF(ISBLANK($C287),"",IF($BD287&lt;&gt;Constants!$B$6,"",IF($AU287="-&gt;",$AY287,$AP287)))</f>
        <v/>
      </c>
      <c r="BZ287" s="96" t="str">
        <f aca="false">IF(ISBLANK($C287),"",IF($BD287&lt;&gt;Constants!$B$6,"",IF($AU287="-&gt;",$AZ287,$AQ287)+$BG287))</f>
        <v/>
      </c>
      <c r="CA287" s="97" t="str">
        <f aca="false">IF(ISBLANK($C287),"",IF($BD287&lt;&gt;Constants!$B$6,$BD287,$BH287))</f>
        <v/>
      </c>
      <c r="CB287" s="98" t="str">
        <f aca="false">IF(ISBLANK($C287),"",$BE287)</f>
        <v/>
      </c>
      <c r="CC287" s="99" t="str">
        <f aca="false">IF(ISBLANK($C287),"",$BS287)</f>
        <v/>
      </c>
      <c r="CD287" s="99" t="str">
        <f aca="false">IF(ISBLANK($C287),"",$BR287)</f>
        <v/>
      </c>
      <c r="CE287" s="100" t="str">
        <f aca="false">IF(ISBLANK($C287),"",IF($CD287=Constants!$B$9,COUNTA($C$9:$C$508)+2,IF($CD287=Constants!$B$8,COUNTA($C$9:$C$508)+1,IF($CD287=Constants!$B$7,COUNTA($C$9:$C$508),$CD287))))</f>
        <v/>
      </c>
      <c r="CF287" s="9"/>
      <c r="CG287" s="101" t="n">
        <f aca="false">IF(OR(ISNUMBER($CD287),$CD287=Constants!$B$9,$CD287=Constants!$B$7,$CD287=Constants!$B$8),1,0)</f>
        <v>0</v>
      </c>
      <c r="CH287" s="101" t="n">
        <v>279</v>
      </c>
      <c r="CI287" s="101" t="str">
        <f aca="false">IF(ISBLANK($C287),"",IF(ISNUMBER($CE287),$CE287+ROW($B287)/1000,""))</f>
        <v/>
      </c>
      <c r="CJ287" s="101" t="str">
        <f aca="false">IF(ISNUMBER($CI287),RANK($CI287,$CI$9:$CI$508,1),"")</f>
        <v/>
      </c>
      <c r="CK287" s="101" t="str">
        <f aca="false">IF(ISBLANK($C287),"",$B287)</f>
        <v/>
      </c>
      <c r="CL287" s="101" t="str">
        <f aca="false">IF(ISBLANK($C287),"",$C287)</f>
        <v/>
      </c>
      <c r="CM287" s="101" t="str">
        <f aca="false">IF(ISBLANK($C287),"",$D287)</f>
        <v/>
      </c>
      <c r="CN287" s="102" t="str">
        <f aca="false">$CB287</f>
        <v/>
      </c>
      <c r="CO287" s="103" t="str">
        <f aca="false">$CA287</f>
        <v/>
      </c>
      <c r="CP287" s="101" t="str">
        <f aca="false">IF(ISBLANK($C287),"",$CD287)</f>
        <v/>
      </c>
      <c r="CQ287" s="104" t="str">
        <f aca="false">IF($CH287&gt;$CG$8,"",VLOOKUP($CH287,$CJ$9:$CP$508,7,FALSE()))</f>
        <v/>
      </c>
      <c r="CR287" s="105" t="str">
        <f aca="false">IF($CH287&gt;$CG$8,"",VLOOKUP($CH287,$CJ$9:$CP$508,2,FALSE()))</f>
        <v/>
      </c>
      <c r="CS287" s="105" t="str">
        <f aca="false">IF($CH287&gt;$CG$8,"",VLOOKUP($CH287,$CJ$9:$CP$508,3,FALSE()))</f>
        <v/>
      </c>
      <c r="CT287" s="105" t="str">
        <f aca="false">IF($CH287&gt;$CG$8,"",VLOOKUP($CH287,$CJ$9:$CP$508,4,FALSE()))</f>
        <v/>
      </c>
      <c r="CU287" s="105" t="str">
        <f aca="false">IF($CH287&gt;$CG$8,"",VLOOKUP($CH287,$CJ$9:$CP$508,5,FALSE()))</f>
        <v/>
      </c>
      <c r="CV287" s="106" t="str">
        <f aca="false">IF($CH287&gt;$CG$8,"",VLOOKUP($CH287,$CJ$9:$CP$508,6,FALSE()))</f>
        <v/>
      </c>
      <c r="CW287" s="71"/>
    </row>
    <row r="288" customFormat="false" ht="15.75" hidden="false" customHeight="false" outlineLevel="0" collapsed="false">
      <c r="A288" s="9"/>
      <c r="B288" s="150"/>
      <c r="C288" s="151"/>
      <c r="D288" s="152"/>
      <c r="E288" s="170"/>
      <c r="F288" s="154"/>
      <c r="G288" s="155"/>
      <c r="H288" s="171"/>
      <c r="I288" s="159"/>
      <c r="J288" s="120"/>
      <c r="K288" s="121"/>
      <c r="L288" s="122"/>
      <c r="M288" s="158"/>
      <c r="N288" s="159"/>
      <c r="O288" s="159"/>
      <c r="P288" s="120"/>
      <c r="Q288" s="122"/>
      <c r="R288" s="122"/>
      <c r="S288" s="158"/>
      <c r="T288" s="159"/>
      <c r="U288" s="126"/>
      <c r="V288" s="127"/>
      <c r="W288" s="127" t="str">
        <f aca="false">IF(ISBLANK($C288),"",IF(E288=Constants!$B$2,TRUE(),IF(E288=Constants!$B$3,FALSE(),TRUE())))</f>
        <v/>
      </c>
      <c r="X288" s="127" t="str">
        <f aca="false">IF(ISBLANK($C288),"",IF(F288=Constants!$B$2,TRUE(),IF(F288=Constants!$B$3,FALSE(),TRUE())))</f>
        <v/>
      </c>
      <c r="Y288" s="127" t="str">
        <f aca="false">IF(ISBLANK($C288),"",IF(G288=Constants!$B$2,TRUE(),IF(G288=Constants!$B$3,FALSE(),TRUE())))</f>
        <v/>
      </c>
      <c r="Z288" s="127" t="str">
        <f aca="false">IF(ISBLANK($C288),"",IF(H288=Constants!$B$2,TRUE(),IF(H288=Constants!$B$3,FALSE(),TRUE())))</f>
        <v/>
      </c>
      <c r="AA288" s="127" t="str">
        <f aca="false">IF(ISBLANK($C288),"",IF(I288=Constants!$B$2,TRUE(),IF(I288=Constants!$B$3,FALSE(),TRUE())))</f>
        <v/>
      </c>
      <c r="AB288" s="127" t="str">
        <f aca="false">IF(ISBLANK($C288),"",IF(J288=Constants!$B$4,TRUE(),IF(J288=Constants!$B$5,FALSE(),COUNTA(K288:M288)&gt;0)))</f>
        <v/>
      </c>
      <c r="AC288" s="128" t="str">
        <f aca="false">IF(ISBLANK($C288),"",IF(ISNUMBER(K288),IF(K288&gt;=0,K288,""),""))</f>
        <v/>
      </c>
      <c r="AD288" s="129" t="str">
        <f aca="false">IF(ISBLANK($C288),"",IF(ISNUMBER(L288),IF(L288&gt;=0,L288,""),""))</f>
        <v/>
      </c>
      <c r="AE288" s="127" t="str">
        <f aca="false">IF(ISBLANK($C288),"",IF(ISNUMBER(M288),IF(M288&gt;=0,MIN(M288,Constants!$B$22),""),""))</f>
        <v/>
      </c>
      <c r="AF288" s="127" t="str">
        <f aca="false">IF(ISBLANK($C288),"",IF(N288=Constants!$B$2,TRUE(),IF(N288=Constants!$B$3,FALSE(),TRUE())))</f>
        <v/>
      </c>
      <c r="AG288" s="127" t="str">
        <f aca="false">IF(ISBLANK($C288),"",IF(O288=Constants!$B$2,TRUE(),IF(O288=Constants!$B$3,FALSE(),TRUE())))</f>
        <v/>
      </c>
      <c r="AH288" s="127" t="str">
        <f aca="false">IF(ISBLANK($C288),"",IF(P288=Constants!$B$4,TRUE(),IF(P288=Constants!$B$5,FALSE(),COUNTA(Q288:S288)&gt;0)))</f>
        <v/>
      </c>
      <c r="AI288" s="128" t="str">
        <f aca="false">IF(ISBLANK($C288),"",IF(ISNUMBER(Q288),IF(Q288&gt;=0,Q288,""),""))</f>
        <v/>
      </c>
      <c r="AJ288" s="129" t="str">
        <f aca="false">IF(ISBLANK($C288),"",IF(ISNUMBER(R288),IF(R288&gt;=0,R288,""),""))</f>
        <v/>
      </c>
      <c r="AK288" s="127" t="str">
        <f aca="false">IF(ISBLANK($C288),"",IF(ISNUMBER(S288),IF(S288&gt;=0,MIN(S288,Constants!$B$22),""),""))</f>
        <v/>
      </c>
      <c r="AL288" s="127" t="str">
        <f aca="false">IF(ISBLANK($C288),"",IF(T288=Constants!$B$2,TRUE(),IF(T288=Constants!$B$3,FALSE(),FALSE())))</f>
        <v/>
      </c>
      <c r="AM288" s="126" t="str">
        <f aca="false">IF(ISBLANK($C288),"",AND($AB288,OR($AC288="",$AD288="",AND(NOT(ISBLANK($M288)),$AE288=""))))</f>
        <v/>
      </c>
      <c r="AN288" s="129" t="str">
        <f aca="false">IF($BD288&lt;&gt;Constants!$B$6,"",IF($AB288,Constants!$B$17*$AD288,Constants!$B$18))</f>
        <v/>
      </c>
      <c r="AO288" s="130" t="str">
        <f aca="false">IF($BD288&lt;&gt;Constants!$B$6,"",Constants!$B$19*IF($AB288,$AC288,0))</f>
        <v/>
      </c>
      <c r="AP288" s="130" t="str">
        <f aca="false">IF($BD288&lt;&gt;Constants!$B$6,"",IF(AND($AB288,ISNUMBER($AE288)),Constants!$B$20*(Constants!$B$21-$AE288),0))</f>
        <v/>
      </c>
      <c r="AQ288" s="130" t="str">
        <f aca="false">IF($BD288&lt;&gt;Constants!$B$6,"",IF($AA288,0,Constants!$B$12)+IF($Z288,0,Constants!$B$13)+IF($Y288,0,Constants!$B$14))</f>
        <v/>
      </c>
      <c r="AR288" s="131" t="str">
        <f aca="false">IF($BD288&lt;&gt;Constants!$B$6,"",Constants!$B$16+SUM($AN288:$AQ288))</f>
        <v/>
      </c>
      <c r="AS288" s="130" t="str">
        <f aca="false">IF($BD288&lt;&gt;Constants!$B$6,"",IF($AB288,$AD288,""))</f>
        <v/>
      </c>
      <c r="AT288" s="132" t="str">
        <f aca="false">IF($BD288&lt;&gt;Constants!$B$6,"",$AO288)</f>
        <v/>
      </c>
      <c r="AU288" s="127" t="str">
        <f aca="false">IF($BD288&lt;&gt;Constants!$B$6,"",IF(OR($BA288&lt;$AR288,AND($BA288=$AR288,OR(AND(ISNUMBER($BB288),OR(NOT(ISNUMBER($AS288)),$BB288&lt;$AS288)),AND(OR(AND($BB288="",$AS288=""),AND(ISNUMBER($BB288),ISNUMBER($AS288),$BB288=$AS288)),$BC288&lt;$AT288)))),"-&gt;","&lt;-"))</f>
        <v/>
      </c>
      <c r="AV288" s="126" t="str">
        <f aca="false">IF(ISBLANK($C288),"",AND($AH288,OR($AI288="",$AJ288="",AND(NOT(ISBLANK($S288)),$AK288=""))))</f>
        <v/>
      </c>
      <c r="AW288" s="129" t="str">
        <f aca="false">IF($BD288&lt;&gt;Constants!$B$6,"",IF($AH288,Constants!$B$17*$AJ288,Constants!$B$18))</f>
        <v/>
      </c>
      <c r="AX288" s="130" t="str">
        <f aca="false">IF($BD288&lt;&gt;Constants!$B$6,"",Constants!$B$19*IF($AH288,$AI288,0))</f>
        <v/>
      </c>
      <c r="AY288" s="130" t="str">
        <f aca="false">IF($BD288&lt;&gt;Constants!$B$6,"",IF(AND($AH288,ISNUMBER($AK288)),Constants!$B$20*(Constants!$B$21-$AK288),0))</f>
        <v/>
      </c>
      <c r="AZ288" s="130" t="str">
        <f aca="false">IF($BD288&lt;&gt;Constants!$B$6,"",IF($AG288,0,Constants!$B$12)+IF($AF288,0,Constants!$B$13)+IF($Y288,0,Constants!$B$14))</f>
        <v/>
      </c>
      <c r="BA288" s="131" t="str">
        <f aca="false">IF($BD288&lt;&gt;Constants!$B$6,"",Constants!$B$16+SUM($AW288:$AZ288))</f>
        <v/>
      </c>
      <c r="BB288" s="130" t="str">
        <f aca="false">IF($BD288&lt;&gt;Constants!$B$6,"",IF($AH288,$AJ288,""))</f>
        <v/>
      </c>
      <c r="BC288" s="132" t="str">
        <f aca="false">IF($BD288&lt;&gt;Constants!$B$6,"",$AX288)</f>
        <v/>
      </c>
      <c r="BD288" s="127" t="str">
        <f aca="false">IF(ISBLANK($C288),"",IF($AL288,Constants!$B$9,IF(COUNTA($E288:$T288)=0,Constants!$B$8,IF(NOT($X288),Constants!$B$7,IF(OR($AM288,$AV288),Constants!$B$10,Constants!$B$6)))))</f>
        <v/>
      </c>
      <c r="BE288" s="127" t="str">
        <f aca="false">IF(ISBLANK($C288),"",IF($BD288&lt;&gt;Constants!$B$6,$BD288,Constants!$B$11))</f>
        <v/>
      </c>
      <c r="BF288" s="130" t="str">
        <f aca="false">IF($BD288&lt;&gt;Constants!$B$6,"",IF($AU288="-&gt;",$BA288,$AR288))</f>
        <v/>
      </c>
      <c r="BG288" s="130" t="str">
        <f aca="false">IF($BD288&lt;&gt;Constants!$B$6,"",IF($W288,0,Constants!$B$15))</f>
        <v/>
      </c>
      <c r="BH288" s="130" t="str">
        <f aca="false">IF(ISBLANK($C288),"",IF($BD288&lt;&gt;Constants!$B$6,$BD288,SUM($BF288:$BG288)))</f>
        <v/>
      </c>
      <c r="BI288" s="127" t="str">
        <f aca="false">IF(ISBLANK($C288),"",IF($BD288&lt;&gt;Constants!$B$6,$BD288,RANK($BH288,$BH$9:$BH$508,1)))</f>
        <v/>
      </c>
      <c r="BJ288" s="130" t="str">
        <f aca="false">IF($BD288&lt;&gt;Constants!$B$6,"",IF($AU288="-&gt;",$BB288,$AS288))</f>
        <v/>
      </c>
      <c r="BK288" s="127" t="str">
        <f aca="false">IF(ISBLANK($C288),"",IF($BD288&lt;&gt;Constants!$B$6,$BD288,IF(ISNUMBER($BJ288),RANK($BJ288,$BJ$9:$BJ$508,1),COUNT($BJ$9:$BJ$508)+1)))</f>
        <v/>
      </c>
      <c r="BL288" s="130" t="str">
        <f aca="false">IF($BD288&lt;&gt;Constants!$B$6,"",IF($AU288="-&gt;",$BC288,$AT288))</f>
        <v/>
      </c>
      <c r="BM288" s="127" t="str">
        <f aca="false">IF(ISBLANK($C288),"",IF($BD288&lt;&gt;Constants!$B$6,$BD288,IF(ISNUMBER($BL288),RANK($BL288,$BL$9:$BL$508,1),COUNT($BL$9:$BL$508)+1)))</f>
        <v/>
      </c>
      <c r="BN288" s="130" t="str">
        <f aca="false">IF($BD288&lt;&gt;Constants!$B$6,"",IF($AU288="-&gt;",$AS288,$BB288))</f>
        <v/>
      </c>
      <c r="BO288" s="127" t="str">
        <f aca="false">IF(ISBLANK($C288),"",IF($BD288&lt;&gt;Constants!$B$6,$BD288,IF(ISNUMBER($BN288),RANK($BN288,$BN$9:$BN$508,1),COUNT($BN$9:$BN$508)+1)))</f>
        <v/>
      </c>
      <c r="BP288" s="130" t="str">
        <f aca="false">IF($BD288&lt;&gt;Constants!$B$6,"",IF($AU288="-&gt;",$AT288,$BC288))</f>
        <v/>
      </c>
      <c r="BQ288" s="127" t="str">
        <f aca="false">IF(ISBLANK($C288),"",IF($BD288&lt;&gt;Constants!$B$6,$BD288,IF(ISNUMBER($BP288),RANK($BP288,$BP$9:$BP$508,1),COUNT($BP$9:$BP$508)+1)))</f>
        <v/>
      </c>
      <c r="BR288" s="127" t="str">
        <f aca="false">IF(ISBLANK($C288),"",IF($BD288&lt;&gt;Constants!$B$6,$BD288,COUNTIFS($BI$9:$BI$508,"&lt;"&amp;$BI288)+COUNTIFS($BI$9:$BI$508,$BI288,$BK$9:$BK$508,"&lt;"&amp;$BK288)+COUNTIFS($BI$9:$BI$508,$BI288,$BK$9:$BK$508,$BK288,$BM$9:$BM$508,"&lt;"&amp;$BM288)+COUNTIFS($BI$9:$BI$508,$BI288,$BK$9:$BK$508,$BK288,$BM$9:$BM$508,$BM288,$BO$9:$BO$508,"&lt;"&amp;$BO288)+COUNTIFS($BI$9:$BI$508,$BI288,$BK$9:$BK$508,$BK288,$BM$9:$BM$508,$BM288,$BO$9:$BO$508,$BO288,$BQ$9:$BQ$508,"&lt;"&amp;$BQ288)+1))</f>
        <v/>
      </c>
      <c r="BS288" s="127" t="str">
        <f aca="false">IF(ISBLANK($C288),"",IF($BD288&lt;&gt;Constants!$B$6,$BD288,$BI288-$BR288))</f>
        <v/>
      </c>
      <c r="BT288" s="133"/>
      <c r="BU288" s="134"/>
      <c r="BV288" s="134" t="str">
        <f aca="false">IF(ISBLANK($C288),"",IF($BD288&lt;&gt;Constants!$B$6,"",IF($AU288="-&gt;",2,1)))</f>
        <v/>
      </c>
      <c r="BW288" s="135" t="str">
        <f aca="false">IF(ISBLANK($C288),"",IF($BD288&lt;&gt;Constants!$B$6,"",IF($AU288="-&gt;",$AW288,$AN288)))</f>
        <v/>
      </c>
      <c r="BX288" s="135" t="str">
        <f aca="false">IF(ISBLANK($C288),"",IF($BD288&lt;&gt;Constants!$B$6,"",IF($AU288="-&gt;",$AX288,$AO288)))</f>
        <v/>
      </c>
      <c r="BY288" s="135" t="str">
        <f aca="false">IF(ISBLANK($C288),"",IF($BD288&lt;&gt;Constants!$B$6,"",IF($AU288="-&gt;",$AY288,$AP288)))</f>
        <v/>
      </c>
      <c r="BZ288" s="135" t="str">
        <f aca="false">IF(ISBLANK($C288),"",IF($BD288&lt;&gt;Constants!$B$6,"",IF($AU288="-&gt;",$AZ288,$AQ288)+$BG288))</f>
        <v/>
      </c>
      <c r="CA288" s="136" t="str">
        <f aca="false">IF(ISBLANK($C288),"",IF($BD288&lt;&gt;Constants!$B$6,$BD288,$BH288))</f>
        <v/>
      </c>
      <c r="CB288" s="137" t="str">
        <f aca="false">IF(ISBLANK($C288),"",$BE288)</f>
        <v/>
      </c>
      <c r="CC288" s="138" t="str">
        <f aca="false">IF(ISBLANK($C288),"",$BS288)</f>
        <v/>
      </c>
      <c r="CD288" s="138" t="str">
        <f aca="false">IF(ISBLANK($C288),"",$BR288)</f>
        <v/>
      </c>
      <c r="CE288" s="139" t="str">
        <f aca="false">IF(ISBLANK($C288),"",IF($CD288=Constants!$B$9,COUNTA($C$9:$C$508)+2,IF($CD288=Constants!$B$8,COUNTA($C$9:$C$508)+1,IF($CD288=Constants!$B$7,COUNTA($C$9:$C$508),$CD288))))</f>
        <v/>
      </c>
      <c r="CF288" s="9"/>
      <c r="CG288" s="140" t="n">
        <f aca="false">IF(OR(ISNUMBER($CD288),$CD288=Constants!$B$9,$CD288=Constants!$B$7,$CD288=Constants!$B$8),1,0)</f>
        <v>0</v>
      </c>
      <c r="CH288" s="140" t="n">
        <v>280</v>
      </c>
      <c r="CI288" s="140" t="str">
        <f aca="false">IF(ISBLANK($C288),"",IF(ISNUMBER($CE288),$CE288+ROW($B288)/1000,""))</f>
        <v/>
      </c>
      <c r="CJ288" s="140" t="str">
        <f aca="false">IF(ISNUMBER($CI288),RANK($CI288,$CI$9:$CI$508,1),"")</f>
        <v/>
      </c>
      <c r="CK288" s="140" t="str">
        <f aca="false">IF(ISBLANK($C288),"",$B288)</f>
        <v/>
      </c>
      <c r="CL288" s="140" t="str">
        <f aca="false">IF(ISBLANK($C288),"",$C288)</f>
        <v/>
      </c>
      <c r="CM288" s="140" t="str">
        <f aca="false">IF(ISBLANK($C288),"",$D288)</f>
        <v/>
      </c>
      <c r="CN288" s="141" t="str">
        <f aca="false">$CB288</f>
        <v/>
      </c>
      <c r="CO288" s="142" t="str">
        <f aca="false">$CA288</f>
        <v/>
      </c>
      <c r="CP288" s="140" t="str">
        <f aca="false">IF(ISBLANK($C288),"",$CD288)</f>
        <v/>
      </c>
      <c r="CQ288" s="143" t="str">
        <f aca="false">IF($CH288&gt;$CG$8,"",VLOOKUP($CH288,$CJ$9:$CP$508,7,FALSE()))</f>
        <v/>
      </c>
      <c r="CR288" s="144" t="str">
        <f aca="false">IF($CH288&gt;$CG$8,"",VLOOKUP($CH288,$CJ$9:$CP$508,2,FALSE()))</f>
        <v/>
      </c>
      <c r="CS288" s="144" t="str">
        <f aca="false">IF($CH288&gt;$CG$8,"",VLOOKUP($CH288,$CJ$9:$CP$508,3,FALSE()))</f>
        <v/>
      </c>
      <c r="CT288" s="144" t="str">
        <f aca="false">IF($CH288&gt;$CG$8,"",VLOOKUP($CH288,$CJ$9:$CP$508,4,FALSE()))</f>
        <v/>
      </c>
      <c r="CU288" s="144" t="str">
        <f aca="false">IF($CH288&gt;$CG$8,"",VLOOKUP($CH288,$CJ$9:$CP$508,5,FALSE()))</f>
        <v/>
      </c>
      <c r="CV288" s="145" t="str">
        <f aca="false">IF($CH288&gt;$CG$8,"",VLOOKUP($CH288,$CJ$9:$CP$508,6,FALSE()))</f>
        <v/>
      </c>
      <c r="CW288" s="71"/>
    </row>
    <row r="289" customFormat="false" ht="15.75" hidden="false" customHeight="false" outlineLevel="0" collapsed="false">
      <c r="A289" s="9"/>
      <c r="B289" s="150"/>
      <c r="C289" s="151"/>
      <c r="D289" s="152"/>
      <c r="E289" s="170"/>
      <c r="F289" s="154"/>
      <c r="G289" s="155"/>
      <c r="H289" s="171"/>
      <c r="I289" s="159"/>
      <c r="J289" s="120"/>
      <c r="K289" s="121"/>
      <c r="L289" s="122"/>
      <c r="M289" s="158"/>
      <c r="N289" s="159"/>
      <c r="O289" s="159"/>
      <c r="P289" s="120"/>
      <c r="Q289" s="122"/>
      <c r="R289" s="122"/>
      <c r="S289" s="158"/>
      <c r="T289" s="159"/>
      <c r="U289" s="126"/>
      <c r="V289" s="127"/>
      <c r="W289" s="127" t="str">
        <f aca="false">IF(ISBLANK($C289),"",IF(E289=Constants!$B$2,TRUE(),IF(E289=Constants!$B$3,FALSE(),TRUE())))</f>
        <v/>
      </c>
      <c r="X289" s="127" t="str">
        <f aca="false">IF(ISBLANK($C289),"",IF(F289=Constants!$B$2,TRUE(),IF(F289=Constants!$B$3,FALSE(),TRUE())))</f>
        <v/>
      </c>
      <c r="Y289" s="127" t="str">
        <f aca="false">IF(ISBLANK($C289),"",IF(G289=Constants!$B$2,TRUE(),IF(G289=Constants!$B$3,FALSE(),TRUE())))</f>
        <v/>
      </c>
      <c r="Z289" s="127" t="str">
        <f aca="false">IF(ISBLANK($C289),"",IF(H289=Constants!$B$2,TRUE(),IF(H289=Constants!$B$3,FALSE(),TRUE())))</f>
        <v/>
      </c>
      <c r="AA289" s="127" t="str">
        <f aca="false">IF(ISBLANK($C289),"",IF(I289=Constants!$B$2,TRUE(),IF(I289=Constants!$B$3,FALSE(),TRUE())))</f>
        <v/>
      </c>
      <c r="AB289" s="127" t="str">
        <f aca="false">IF(ISBLANK($C289),"",IF(J289=Constants!$B$4,TRUE(),IF(J289=Constants!$B$5,FALSE(),COUNTA(K289:M289)&gt;0)))</f>
        <v/>
      </c>
      <c r="AC289" s="128" t="str">
        <f aca="false">IF(ISBLANK($C289),"",IF(ISNUMBER(K289),IF(K289&gt;=0,K289,""),""))</f>
        <v/>
      </c>
      <c r="AD289" s="129" t="str">
        <f aca="false">IF(ISBLANK($C289),"",IF(ISNUMBER(L289),IF(L289&gt;=0,L289,""),""))</f>
        <v/>
      </c>
      <c r="AE289" s="127" t="str">
        <f aca="false">IF(ISBLANK($C289),"",IF(ISNUMBER(M289),IF(M289&gt;=0,MIN(M289,Constants!$B$22),""),""))</f>
        <v/>
      </c>
      <c r="AF289" s="127" t="str">
        <f aca="false">IF(ISBLANK($C289),"",IF(N289=Constants!$B$2,TRUE(),IF(N289=Constants!$B$3,FALSE(),TRUE())))</f>
        <v/>
      </c>
      <c r="AG289" s="127" t="str">
        <f aca="false">IF(ISBLANK($C289),"",IF(O289=Constants!$B$2,TRUE(),IF(O289=Constants!$B$3,FALSE(),TRUE())))</f>
        <v/>
      </c>
      <c r="AH289" s="127" t="str">
        <f aca="false">IF(ISBLANK($C289),"",IF(P289=Constants!$B$4,TRUE(),IF(P289=Constants!$B$5,FALSE(),COUNTA(Q289:S289)&gt;0)))</f>
        <v/>
      </c>
      <c r="AI289" s="128" t="str">
        <f aca="false">IF(ISBLANK($C289),"",IF(ISNUMBER(Q289),IF(Q289&gt;=0,Q289,""),""))</f>
        <v/>
      </c>
      <c r="AJ289" s="129" t="str">
        <f aca="false">IF(ISBLANK($C289),"",IF(ISNUMBER(R289),IF(R289&gt;=0,R289,""),""))</f>
        <v/>
      </c>
      <c r="AK289" s="127" t="str">
        <f aca="false">IF(ISBLANK($C289),"",IF(ISNUMBER(S289),IF(S289&gt;=0,MIN(S289,Constants!$B$22),""),""))</f>
        <v/>
      </c>
      <c r="AL289" s="127" t="str">
        <f aca="false">IF(ISBLANK($C289),"",IF(T289=Constants!$B$2,TRUE(),IF(T289=Constants!$B$3,FALSE(),FALSE())))</f>
        <v/>
      </c>
      <c r="AM289" s="126" t="str">
        <f aca="false">IF(ISBLANK($C289),"",AND($AB289,OR($AC289="",$AD289="",AND(NOT(ISBLANK($M289)),$AE289=""))))</f>
        <v/>
      </c>
      <c r="AN289" s="129" t="str">
        <f aca="false">IF($BD289&lt;&gt;Constants!$B$6,"",IF($AB289,Constants!$B$17*$AD289,Constants!$B$18))</f>
        <v/>
      </c>
      <c r="AO289" s="130" t="str">
        <f aca="false">IF($BD289&lt;&gt;Constants!$B$6,"",Constants!$B$19*IF($AB289,$AC289,0))</f>
        <v/>
      </c>
      <c r="AP289" s="130" t="str">
        <f aca="false">IF($BD289&lt;&gt;Constants!$B$6,"",IF(AND($AB289,ISNUMBER($AE289)),Constants!$B$20*(Constants!$B$21-$AE289),0))</f>
        <v/>
      </c>
      <c r="AQ289" s="130" t="str">
        <f aca="false">IF($BD289&lt;&gt;Constants!$B$6,"",IF($AA289,0,Constants!$B$12)+IF($Z289,0,Constants!$B$13)+IF($Y289,0,Constants!$B$14))</f>
        <v/>
      </c>
      <c r="AR289" s="131" t="str">
        <f aca="false">IF($BD289&lt;&gt;Constants!$B$6,"",Constants!$B$16+SUM($AN289:$AQ289))</f>
        <v/>
      </c>
      <c r="AS289" s="130" t="str">
        <f aca="false">IF($BD289&lt;&gt;Constants!$B$6,"",IF($AB289,$AD289,""))</f>
        <v/>
      </c>
      <c r="AT289" s="132" t="str">
        <f aca="false">IF($BD289&lt;&gt;Constants!$B$6,"",$AO289)</f>
        <v/>
      </c>
      <c r="AU289" s="127" t="str">
        <f aca="false">IF($BD289&lt;&gt;Constants!$B$6,"",IF(OR($BA289&lt;$AR289,AND($BA289=$AR289,OR(AND(ISNUMBER($BB289),OR(NOT(ISNUMBER($AS289)),$BB289&lt;$AS289)),AND(OR(AND($BB289="",$AS289=""),AND(ISNUMBER($BB289),ISNUMBER($AS289),$BB289=$AS289)),$BC289&lt;$AT289)))),"-&gt;","&lt;-"))</f>
        <v/>
      </c>
      <c r="AV289" s="126" t="str">
        <f aca="false">IF(ISBLANK($C289),"",AND($AH289,OR($AI289="",$AJ289="",AND(NOT(ISBLANK($S289)),$AK289=""))))</f>
        <v/>
      </c>
      <c r="AW289" s="129" t="str">
        <f aca="false">IF($BD289&lt;&gt;Constants!$B$6,"",IF($AH289,Constants!$B$17*$AJ289,Constants!$B$18))</f>
        <v/>
      </c>
      <c r="AX289" s="130" t="str">
        <f aca="false">IF($BD289&lt;&gt;Constants!$B$6,"",Constants!$B$19*IF($AH289,$AI289,0))</f>
        <v/>
      </c>
      <c r="AY289" s="130" t="str">
        <f aca="false">IF($BD289&lt;&gt;Constants!$B$6,"",IF(AND($AH289,ISNUMBER($AK289)),Constants!$B$20*(Constants!$B$21-$AK289),0))</f>
        <v/>
      </c>
      <c r="AZ289" s="130" t="str">
        <f aca="false">IF($BD289&lt;&gt;Constants!$B$6,"",IF($AG289,0,Constants!$B$12)+IF($AF289,0,Constants!$B$13)+IF($Y289,0,Constants!$B$14))</f>
        <v/>
      </c>
      <c r="BA289" s="131" t="str">
        <f aca="false">IF($BD289&lt;&gt;Constants!$B$6,"",Constants!$B$16+SUM($AW289:$AZ289))</f>
        <v/>
      </c>
      <c r="BB289" s="130" t="str">
        <f aca="false">IF($BD289&lt;&gt;Constants!$B$6,"",IF($AH289,$AJ289,""))</f>
        <v/>
      </c>
      <c r="BC289" s="132" t="str">
        <f aca="false">IF($BD289&lt;&gt;Constants!$B$6,"",$AX289)</f>
        <v/>
      </c>
      <c r="BD289" s="127" t="str">
        <f aca="false">IF(ISBLANK($C289),"",IF($AL289,Constants!$B$9,IF(COUNTA($E289:$T289)=0,Constants!$B$8,IF(NOT($X289),Constants!$B$7,IF(OR($AM289,$AV289),Constants!$B$10,Constants!$B$6)))))</f>
        <v/>
      </c>
      <c r="BE289" s="127" t="str">
        <f aca="false">IF(ISBLANK($C289),"",IF($BD289&lt;&gt;Constants!$B$6,$BD289,Constants!$B$11))</f>
        <v/>
      </c>
      <c r="BF289" s="130" t="str">
        <f aca="false">IF($BD289&lt;&gt;Constants!$B$6,"",IF($AU289="-&gt;",$BA289,$AR289))</f>
        <v/>
      </c>
      <c r="BG289" s="130" t="str">
        <f aca="false">IF($BD289&lt;&gt;Constants!$B$6,"",IF($W289,0,Constants!$B$15))</f>
        <v/>
      </c>
      <c r="BH289" s="130" t="str">
        <f aca="false">IF(ISBLANK($C289),"",IF($BD289&lt;&gt;Constants!$B$6,$BD289,SUM($BF289:$BG289)))</f>
        <v/>
      </c>
      <c r="BI289" s="127" t="str">
        <f aca="false">IF(ISBLANK($C289),"",IF($BD289&lt;&gt;Constants!$B$6,$BD289,RANK($BH289,$BH$9:$BH$508,1)))</f>
        <v/>
      </c>
      <c r="BJ289" s="130" t="str">
        <f aca="false">IF($BD289&lt;&gt;Constants!$B$6,"",IF($AU289="-&gt;",$BB289,$AS289))</f>
        <v/>
      </c>
      <c r="BK289" s="127" t="str">
        <f aca="false">IF(ISBLANK($C289),"",IF($BD289&lt;&gt;Constants!$B$6,$BD289,IF(ISNUMBER($BJ289),RANK($BJ289,$BJ$9:$BJ$508,1),COUNT($BJ$9:$BJ$508)+1)))</f>
        <v/>
      </c>
      <c r="BL289" s="130" t="str">
        <f aca="false">IF($BD289&lt;&gt;Constants!$B$6,"",IF($AU289="-&gt;",$BC289,$AT289))</f>
        <v/>
      </c>
      <c r="BM289" s="127" t="str">
        <f aca="false">IF(ISBLANK($C289),"",IF($BD289&lt;&gt;Constants!$B$6,$BD289,IF(ISNUMBER($BL289),RANK($BL289,$BL$9:$BL$508,1),COUNT($BL$9:$BL$508)+1)))</f>
        <v/>
      </c>
      <c r="BN289" s="130" t="str">
        <f aca="false">IF($BD289&lt;&gt;Constants!$B$6,"",IF($AU289="-&gt;",$AS289,$BB289))</f>
        <v/>
      </c>
      <c r="BO289" s="127" t="str">
        <f aca="false">IF(ISBLANK($C289),"",IF($BD289&lt;&gt;Constants!$B$6,$BD289,IF(ISNUMBER($BN289),RANK($BN289,$BN$9:$BN$508,1),COUNT($BN$9:$BN$508)+1)))</f>
        <v/>
      </c>
      <c r="BP289" s="130" t="str">
        <f aca="false">IF($BD289&lt;&gt;Constants!$B$6,"",IF($AU289="-&gt;",$AT289,$BC289))</f>
        <v/>
      </c>
      <c r="BQ289" s="127" t="str">
        <f aca="false">IF(ISBLANK($C289),"",IF($BD289&lt;&gt;Constants!$B$6,$BD289,IF(ISNUMBER($BP289),RANK($BP289,$BP$9:$BP$508,1),COUNT($BP$9:$BP$508)+1)))</f>
        <v/>
      </c>
      <c r="BR289" s="127" t="str">
        <f aca="false">IF(ISBLANK($C289),"",IF($BD289&lt;&gt;Constants!$B$6,$BD289,COUNTIFS($BI$9:$BI$508,"&lt;"&amp;$BI289)+COUNTIFS($BI$9:$BI$508,$BI289,$BK$9:$BK$508,"&lt;"&amp;$BK289)+COUNTIFS($BI$9:$BI$508,$BI289,$BK$9:$BK$508,$BK289,$BM$9:$BM$508,"&lt;"&amp;$BM289)+COUNTIFS($BI$9:$BI$508,$BI289,$BK$9:$BK$508,$BK289,$BM$9:$BM$508,$BM289,$BO$9:$BO$508,"&lt;"&amp;$BO289)+COUNTIFS($BI$9:$BI$508,$BI289,$BK$9:$BK$508,$BK289,$BM$9:$BM$508,$BM289,$BO$9:$BO$508,$BO289,$BQ$9:$BQ$508,"&lt;"&amp;$BQ289)+1))</f>
        <v/>
      </c>
      <c r="BS289" s="127" t="str">
        <f aca="false">IF(ISBLANK($C289),"",IF($BD289&lt;&gt;Constants!$B$6,$BD289,$BI289-$BR289))</f>
        <v/>
      </c>
      <c r="BT289" s="133"/>
      <c r="BU289" s="134"/>
      <c r="BV289" s="134" t="str">
        <f aca="false">IF(ISBLANK($C289),"",IF($BD289&lt;&gt;Constants!$B$6,"",IF($AU289="-&gt;",2,1)))</f>
        <v/>
      </c>
      <c r="BW289" s="135" t="str">
        <f aca="false">IF(ISBLANK($C289),"",IF($BD289&lt;&gt;Constants!$B$6,"",IF($AU289="-&gt;",$AW289,$AN289)))</f>
        <v/>
      </c>
      <c r="BX289" s="135" t="str">
        <f aca="false">IF(ISBLANK($C289),"",IF($BD289&lt;&gt;Constants!$B$6,"",IF($AU289="-&gt;",$AX289,$AO289)))</f>
        <v/>
      </c>
      <c r="BY289" s="135" t="str">
        <f aca="false">IF(ISBLANK($C289),"",IF($BD289&lt;&gt;Constants!$B$6,"",IF($AU289="-&gt;",$AY289,$AP289)))</f>
        <v/>
      </c>
      <c r="BZ289" s="135" t="str">
        <f aca="false">IF(ISBLANK($C289),"",IF($BD289&lt;&gt;Constants!$B$6,"",IF($AU289="-&gt;",$AZ289,$AQ289)+$BG289))</f>
        <v/>
      </c>
      <c r="CA289" s="136" t="str">
        <f aca="false">IF(ISBLANK($C289),"",IF($BD289&lt;&gt;Constants!$B$6,$BD289,$BH289))</f>
        <v/>
      </c>
      <c r="CB289" s="137" t="str">
        <f aca="false">IF(ISBLANK($C289),"",$BE289)</f>
        <v/>
      </c>
      <c r="CC289" s="138" t="str">
        <f aca="false">IF(ISBLANK($C289),"",$BS289)</f>
        <v/>
      </c>
      <c r="CD289" s="138" t="str">
        <f aca="false">IF(ISBLANK($C289),"",$BR289)</f>
        <v/>
      </c>
      <c r="CE289" s="139" t="str">
        <f aca="false">IF(ISBLANK($C289),"",IF($CD289=Constants!$B$9,COUNTA($C$9:$C$508)+2,IF($CD289=Constants!$B$8,COUNTA($C$9:$C$508)+1,IF($CD289=Constants!$B$7,COUNTA($C$9:$C$508),$CD289))))</f>
        <v/>
      </c>
      <c r="CF289" s="9"/>
      <c r="CG289" s="140" t="n">
        <f aca="false">IF(OR(ISNUMBER($CD289),$CD289=Constants!$B$9,$CD289=Constants!$B$7,$CD289=Constants!$B$8),1,0)</f>
        <v>0</v>
      </c>
      <c r="CH289" s="140" t="n">
        <v>281</v>
      </c>
      <c r="CI289" s="140" t="str">
        <f aca="false">IF(ISBLANK($C289),"",IF(ISNUMBER($CE289),$CE289+ROW($B289)/1000,""))</f>
        <v/>
      </c>
      <c r="CJ289" s="140" t="str">
        <f aca="false">IF(ISNUMBER($CI289),RANK($CI289,$CI$9:$CI$508,1),"")</f>
        <v/>
      </c>
      <c r="CK289" s="140" t="str">
        <f aca="false">IF(ISBLANK($C289),"",$B289)</f>
        <v/>
      </c>
      <c r="CL289" s="140" t="str">
        <f aca="false">IF(ISBLANK($C289),"",$C289)</f>
        <v/>
      </c>
      <c r="CM289" s="140" t="str">
        <f aca="false">IF(ISBLANK($C289),"",$D289)</f>
        <v/>
      </c>
      <c r="CN289" s="141" t="str">
        <f aca="false">$CB289</f>
        <v/>
      </c>
      <c r="CO289" s="142" t="str">
        <f aca="false">$CA289</f>
        <v/>
      </c>
      <c r="CP289" s="140" t="str">
        <f aca="false">IF(ISBLANK($C289),"",$CD289)</f>
        <v/>
      </c>
      <c r="CQ289" s="143" t="str">
        <f aca="false">IF($CH289&gt;$CG$8,"",VLOOKUP($CH289,$CJ$9:$CP$508,7,FALSE()))</f>
        <v/>
      </c>
      <c r="CR289" s="144" t="str">
        <f aca="false">IF($CH289&gt;$CG$8,"",VLOOKUP($CH289,$CJ$9:$CP$508,2,FALSE()))</f>
        <v/>
      </c>
      <c r="CS289" s="144" t="str">
        <f aca="false">IF($CH289&gt;$CG$8,"",VLOOKUP($CH289,$CJ$9:$CP$508,3,FALSE()))</f>
        <v/>
      </c>
      <c r="CT289" s="144" t="str">
        <f aca="false">IF($CH289&gt;$CG$8,"",VLOOKUP($CH289,$CJ$9:$CP$508,4,FALSE()))</f>
        <v/>
      </c>
      <c r="CU289" s="144" t="str">
        <f aca="false">IF($CH289&gt;$CG$8,"",VLOOKUP($CH289,$CJ$9:$CP$508,5,FALSE()))</f>
        <v/>
      </c>
      <c r="CV289" s="145" t="str">
        <f aca="false">IF($CH289&gt;$CG$8,"",VLOOKUP($CH289,$CJ$9:$CP$508,6,FALSE()))</f>
        <v/>
      </c>
      <c r="CW289" s="71"/>
    </row>
    <row r="290" customFormat="false" ht="15.75" hidden="false" customHeight="false" outlineLevel="0" collapsed="false">
      <c r="A290" s="9"/>
      <c r="B290" s="150"/>
      <c r="C290" s="151"/>
      <c r="D290" s="152"/>
      <c r="E290" s="170"/>
      <c r="F290" s="154"/>
      <c r="G290" s="155"/>
      <c r="H290" s="171"/>
      <c r="I290" s="159"/>
      <c r="J290" s="120"/>
      <c r="K290" s="121"/>
      <c r="L290" s="122"/>
      <c r="M290" s="158"/>
      <c r="N290" s="159"/>
      <c r="O290" s="159"/>
      <c r="P290" s="120"/>
      <c r="Q290" s="122"/>
      <c r="R290" s="122"/>
      <c r="S290" s="158"/>
      <c r="T290" s="159"/>
      <c r="U290" s="126"/>
      <c r="V290" s="127"/>
      <c r="W290" s="127" t="str">
        <f aca="false">IF(ISBLANK($C290),"",IF(E290=Constants!$B$2,TRUE(),IF(E290=Constants!$B$3,FALSE(),TRUE())))</f>
        <v/>
      </c>
      <c r="X290" s="127" t="str">
        <f aca="false">IF(ISBLANK($C290),"",IF(F290=Constants!$B$2,TRUE(),IF(F290=Constants!$B$3,FALSE(),TRUE())))</f>
        <v/>
      </c>
      <c r="Y290" s="127" t="str">
        <f aca="false">IF(ISBLANK($C290),"",IF(G290=Constants!$B$2,TRUE(),IF(G290=Constants!$B$3,FALSE(),TRUE())))</f>
        <v/>
      </c>
      <c r="Z290" s="127" t="str">
        <f aca="false">IF(ISBLANK($C290),"",IF(H290=Constants!$B$2,TRUE(),IF(H290=Constants!$B$3,FALSE(),TRUE())))</f>
        <v/>
      </c>
      <c r="AA290" s="127" t="str">
        <f aca="false">IF(ISBLANK($C290),"",IF(I290=Constants!$B$2,TRUE(),IF(I290=Constants!$B$3,FALSE(),TRUE())))</f>
        <v/>
      </c>
      <c r="AB290" s="127" t="str">
        <f aca="false">IF(ISBLANK($C290),"",IF(J290=Constants!$B$4,TRUE(),IF(J290=Constants!$B$5,FALSE(),COUNTA(K290:M290)&gt;0)))</f>
        <v/>
      </c>
      <c r="AC290" s="128" t="str">
        <f aca="false">IF(ISBLANK($C290),"",IF(ISNUMBER(K290),IF(K290&gt;=0,K290,""),""))</f>
        <v/>
      </c>
      <c r="AD290" s="129" t="str">
        <f aca="false">IF(ISBLANK($C290),"",IF(ISNUMBER(L290),IF(L290&gt;=0,L290,""),""))</f>
        <v/>
      </c>
      <c r="AE290" s="127" t="str">
        <f aca="false">IF(ISBLANK($C290),"",IF(ISNUMBER(M290),IF(M290&gt;=0,MIN(M290,Constants!$B$22),""),""))</f>
        <v/>
      </c>
      <c r="AF290" s="127" t="str">
        <f aca="false">IF(ISBLANK($C290),"",IF(N290=Constants!$B$2,TRUE(),IF(N290=Constants!$B$3,FALSE(),TRUE())))</f>
        <v/>
      </c>
      <c r="AG290" s="127" t="str">
        <f aca="false">IF(ISBLANK($C290),"",IF(O290=Constants!$B$2,TRUE(),IF(O290=Constants!$B$3,FALSE(),TRUE())))</f>
        <v/>
      </c>
      <c r="AH290" s="127" t="str">
        <f aca="false">IF(ISBLANK($C290),"",IF(P290=Constants!$B$4,TRUE(),IF(P290=Constants!$B$5,FALSE(),COUNTA(Q290:S290)&gt;0)))</f>
        <v/>
      </c>
      <c r="AI290" s="128" t="str">
        <f aca="false">IF(ISBLANK($C290),"",IF(ISNUMBER(Q290),IF(Q290&gt;=0,Q290,""),""))</f>
        <v/>
      </c>
      <c r="AJ290" s="129" t="str">
        <f aca="false">IF(ISBLANK($C290),"",IF(ISNUMBER(R290),IF(R290&gt;=0,R290,""),""))</f>
        <v/>
      </c>
      <c r="AK290" s="127" t="str">
        <f aca="false">IF(ISBLANK($C290),"",IF(ISNUMBER(S290),IF(S290&gt;=0,MIN(S290,Constants!$B$22),""),""))</f>
        <v/>
      </c>
      <c r="AL290" s="127" t="str">
        <f aca="false">IF(ISBLANK($C290),"",IF(T290=Constants!$B$2,TRUE(),IF(T290=Constants!$B$3,FALSE(),FALSE())))</f>
        <v/>
      </c>
      <c r="AM290" s="126" t="str">
        <f aca="false">IF(ISBLANK($C290),"",AND($AB290,OR($AC290="",$AD290="",AND(NOT(ISBLANK($M290)),$AE290=""))))</f>
        <v/>
      </c>
      <c r="AN290" s="129" t="str">
        <f aca="false">IF($BD290&lt;&gt;Constants!$B$6,"",IF($AB290,Constants!$B$17*$AD290,Constants!$B$18))</f>
        <v/>
      </c>
      <c r="AO290" s="130" t="str">
        <f aca="false">IF($BD290&lt;&gt;Constants!$B$6,"",Constants!$B$19*IF($AB290,$AC290,0))</f>
        <v/>
      </c>
      <c r="AP290" s="130" t="str">
        <f aca="false">IF($BD290&lt;&gt;Constants!$B$6,"",IF(AND($AB290,ISNUMBER($AE290)),Constants!$B$20*(Constants!$B$21-$AE290),0))</f>
        <v/>
      </c>
      <c r="AQ290" s="130" t="str">
        <f aca="false">IF($BD290&lt;&gt;Constants!$B$6,"",IF($AA290,0,Constants!$B$12)+IF($Z290,0,Constants!$B$13)+IF($Y290,0,Constants!$B$14))</f>
        <v/>
      </c>
      <c r="AR290" s="131" t="str">
        <f aca="false">IF($BD290&lt;&gt;Constants!$B$6,"",Constants!$B$16+SUM($AN290:$AQ290))</f>
        <v/>
      </c>
      <c r="AS290" s="130" t="str">
        <f aca="false">IF($BD290&lt;&gt;Constants!$B$6,"",IF($AB290,$AD290,""))</f>
        <v/>
      </c>
      <c r="AT290" s="132" t="str">
        <f aca="false">IF($BD290&lt;&gt;Constants!$B$6,"",$AO290)</f>
        <v/>
      </c>
      <c r="AU290" s="127" t="str">
        <f aca="false">IF($BD290&lt;&gt;Constants!$B$6,"",IF(OR($BA290&lt;$AR290,AND($BA290=$AR290,OR(AND(ISNUMBER($BB290),OR(NOT(ISNUMBER($AS290)),$BB290&lt;$AS290)),AND(OR(AND($BB290="",$AS290=""),AND(ISNUMBER($BB290),ISNUMBER($AS290),$BB290=$AS290)),$BC290&lt;$AT290)))),"-&gt;","&lt;-"))</f>
        <v/>
      </c>
      <c r="AV290" s="126" t="str">
        <f aca="false">IF(ISBLANK($C290),"",AND($AH290,OR($AI290="",$AJ290="",AND(NOT(ISBLANK($S290)),$AK290=""))))</f>
        <v/>
      </c>
      <c r="AW290" s="129" t="str">
        <f aca="false">IF($BD290&lt;&gt;Constants!$B$6,"",IF($AH290,Constants!$B$17*$AJ290,Constants!$B$18))</f>
        <v/>
      </c>
      <c r="AX290" s="130" t="str">
        <f aca="false">IF($BD290&lt;&gt;Constants!$B$6,"",Constants!$B$19*IF($AH290,$AI290,0))</f>
        <v/>
      </c>
      <c r="AY290" s="130" t="str">
        <f aca="false">IF($BD290&lt;&gt;Constants!$B$6,"",IF(AND($AH290,ISNUMBER($AK290)),Constants!$B$20*(Constants!$B$21-$AK290),0))</f>
        <v/>
      </c>
      <c r="AZ290" s="130" t="str">
        <f aca="false">IF($BD290&lt;&gt;Constants!$B$6,"",IF($AG290,0,Constants!$B$12)+IF($AF290,0,Constants!$B$13)+IF($Y290,0,Constants!$B$14))</f>
        <v/>
      </c>
      <c r="BA290" s="131" t="str">
        <f aca="false">IF($BD290&lt;&gt;Constants!$B$6,"",Constants!$B$16+SUM($AW290:$AZ290))</f>
        <v/>
      </c>
      <c r="BB290" s="130" t="str">
        <f aca="false">IF($BD290&lt;&gt;Constants!$B$6,"",IF($AH290,$AJ290,""))</f>
        <v/>
      </c>
      <c r="BC290" s="132" t="str">
        <f aca="false">IF($BD290&lt;&gt;Constants!$B$6,"",$AX290)</f>
        <v/>
      </c>
      <c r="BD290" s="127" t="str">
        <f aca="false">IF(ISBLANK($C290),"",IF($AL290,Constants!$B$9,IF(COUNTA($E290:$T290)=0,Constants!$B$8,IF(NOT($X290),Constants!$B$7,IF(OR($AM290,$AV290),Constants!$B$10,Constants!$B$6)))))</f>
        <v/>
      </c>
      <c r="BE290" s="127" t="str">
        <f aca="false">IF(ISBLANK($C290),"",IF($BD290&lt;&gt;Constants!$B$6,$BD290,Constants!$B$11))</f>
        <v/>
      </c>
      <c r="BF290" s="130" t="str">
        <f aca="false">IF($BD290&lt;&gt;Constants!$B$6,"",IF($AU290="-&gt;",$BA290,$AR290))</f>
        <v/>
      </c>
      <c r="BG290" s="130" t="str">
        <f aca="false">IF($BD290&lt;&gt;Constants!$B$6,"",IF($W290,0,Constants!$B$15))</f>
        <v/>
      </c>
      <c r="BH290" s="130" t="str">
        <f aca="false">IF(ISBLANK($C290),"",IF($BD290&lt;&gt;Constants!$B$6,$BD290,SUM($BF290:$BG290)))</f>
        <v/>
      </c>
      <c r="BI290" s="127" t="str">
        <f aca="false">IF(ISBLANK($C290),"",IF($BD290&lt;&gt;Constants!$B$6,$BD290,RANK($BH290,$BH$9:$BH$508,1)))</f>
        <v/>
      </c>
      <c r="BJ290" s="130" t="str">
        <f aca="false">IF($BD290&lt;&gt;Constants!$B$6,"",IF($AU290="-&gt;",$BB290,$AS290))</f>
        <v/>
      </c>
      <c r="BK290" s="127" t="str">
        <f aca="false">IF(ISBLANK($C290),"",IF($BD290&lt;&gt;Constants!$B$6,$BD290,IF(ISNUMBER($BJ290),RANK($BJ290,$BJ$9:$BJ$508,1),COUNT($BJ$9:$BJ$508)+1)))</f>
        <v/>
      </c>
      <c r="BL290" s="130" t="str">
        <f aca="false">IF($BD290&lt;&gt;Constants!$B$6,"",IF($AU290="-&gt;",$BC290,$AT290))</f>
        <v/>
      </c>
      <c r="BM290" s="127" t="str">
        <f aca="false">IF(ISBLANK($C290),"",IF($BD290&lt;&gt;Constants!$B$6,$BD290,IF(ISNUMBER($BL290),RANK($BL290,$BL$9:$BL$508,1),COUNT($BL$9:$BL$508)+1)))</f>
        <v/>
      </c>
      <c r="BN290" s="130" t="str">
        <f aca="false">IF($BD290&lt;&gt;Constants!$B$6,"",IF($AU290="-&gt;",$AS290,$BB290))</f>
        <v/>
      </c>
      <c r="BO290" s="127" t="str">
        <f aca="false">IF(ISBLANK($C290),"",IF($BD290&lt;&gt;Constants!$B$6,$BD290,IF(ISNUMBER($BN290),RANK($BN290,$BN$9:$BN$508,1),COUNT($BN$9:$BN$508)+1)))</f>
        <v/>
      </c>
      <c r="BP290" s="130" t="str">
        <f aca="false">IF($BD290&lt;&gt;Constants!$B$6,"",IF($AU290="-&gt;",$AT290,$BC290))</f>
        <v/>
      </c>
      <c r="BQ290" s="127" t="str">
        <f aca="false">IF(ISBLANK($C290),"",IF($BD290&lt;&gt;Constants!$B$6,$BD290,IF(ISNUMBER($BP290),RANK($BP290,$BP$9:$BP$508,1),COUNT($BP$9:$BP$508)+1)))</f>
        <v/>
      </c>
      <c r="BR290" s="127" t="str">
        <f aca="false">IF(ISBLANK($C290),"",IF($BD290&lt;&gt;Constants!$B$6,$BD290,COUNTIFS($BI$9:$BI$508,"&lt;"&amp;$BI290)+COUNTIFS($BI$9:$BI$508,$BI290,$BK$9:$BK$508,"&lt;"&amp;$BK290)+COUNTIFS($BI$9:$BI$508,$BI290,$BK$9:$BK$508,$BK290,$BM$9:$BM$508,"&lt;"&amp;$BM290)+COUNTIFS($BI$9:$BI$508,$BI290,$BK$9:$BK$508,$BK290,$BM$9:$BM$508,$BM290,$BO$9:$BO$508,"&lt;"&amp;$BO290)+COUNTIFS($BI$9:$BI$508,$BI290,$BK$9:$BK$508,$BK290,$BM$9:$BM$508,$BM290,$BO$9:$BO$508,$BO290,$BQ$9:$BQ$508,"&lt;"&amp;$BQ290)+1))</f>
        <v/>
      </c>
      <c r="BS290" s="127" t="str">
        <f aca="false">IF(ISBLANK($C290),"",IF($BD290&lt;&gt;Constants!$B$6,$BD290,$BI290-$BR290))</f>
        <v/>
      </c>
      <c r="BT290" s="133"/>
      <c r="BU290" s="134"/>
      <c r="BV290" s="134" t="str">
        <f aca="false">IF(ISBLANK($C290),"",IF($BD290&lt;&gt;Constants!$B$6,"",IF($AU290="-&gt;",2,1)))</f>
        <v/>
      </c>
      <c r="BW290" s="135" t="str">
        <f aca="false">IF(ISBLANK($C290),"",IF($BD290&lt;&gt;Constants!$B$6,"",IF($AU290="-&gt;",$AW290,$AN290)))</f>
        <v/>
      </c>
      <c r="BX290" s="135" t="str">
        <f aca="false">IF(ISBLANK($C290),"",IF($BD290&lt;&gt;Constants!$B$6,"",IF($AU290="-&gt;",$AX290,$AO290)))</f>
        <v/>
      </c>
      <c r="BY290" s="135" t="str">
        <f aca="false">IF(ISBLANK($C290),"",IF($BD290&lt;&gt;Constants!$B$6,"",IF($AU290="-&gt;",$AY290,$AP290)))</f>
        <v/>
      </c>
      <c r="BZ290" s="135" t="str">
        <f aca="false">IF(ISBLANK($C290),"",IF($BD290&lt;&gt;Constants!$B$6,"",IF($AU290="-&gt;",$AZ290,$AQ290)+$BG290))</f>
        <v/>
      </c>
      <c r="CA290" s="136" t="str">
        <f aca="false">IF(ISBLANK($C290),"",IF($BD290&lt;&gt;Constants!$B$6,$BD290,$BH290))</f>
        <v/>
      </c>
      <c r="CB290" s="137" t="str">
        <f aca="false">IF(ISBLANK($C290),"",$BE290)</f>
        <v/>
      </c>
      <c r="CC290" s="138" t="str">
        <f aca="false">IF(ISBLANK($C290),"",$BS290)</f>
        <v/>
      </c>
      <c r="CD290" s="138" t="str">
        <f aca="false">IF(ISBLANK($C290),"",$BR290)</f>
        <v/>
      </c>
      <c r="CE290" s="139" t="str">
        <f aca="false">IF(ISBLANK($C290),"",IF($CD290=Constants!$B$9,COUNTA($C$9:$C$508)+2,IF($CD290=Constants!$B$8,COUNTA($C$9:$C$508)+1,IF($CD290=Constants!$B$7,COUNTA($C$9:$C$508),$CD290))))</f>
        <v/>
      </c>
      <c r="CF290" s="9"/>
      <c r="CG290" s="140" t="n">
        <f aca="false">IF(OR(ISNUMBER($CD290),$CD290=Constants!$B$9,$CD290=Constants!$B$7,$CD290=Constants!$B$8),1,0)</f>
        <v>0</v>
      </c>
      <c r="CH290" s="140" t="n">
        <v>282</v>
      </c>
      <c r="CI290" s="140" t="str">
        <f aca="false">IF(ISBLANK($C290),"",IF(ISNUMBER($CE290),$CE290+ROW($B290)/1000,""))</f>
        <v/>
      </c>
      <c r="CJ290" s="140" t="str">
        <f aca="false">IF(ISNUMBER($CI290),RANK($CI290,$CI$9:$CI$508,1),"")</f>
        <v/>
      </c>
      <c r="CK290" s="140" t="str">
        <f aca="false">IF(ISBLANK($C290),"",$B290)</f>
        <v/>
      </c>
      <c r="CL290" s="140" t="str">
        <f aca="false">IF(ISBLANK($C290),"",$C290)</f>
        <v/>
      </c>
      <c r="CM290" s="140" t="str">
        <f aca="false">IF(ISBLANK($C290),"",$D290)</f>
        <v/>
      </c>
      <c r="CN290" s="141" t="str">
        <f aca="false">$CB290</f>
        <v/>
      </c>
      <c r="CO290" s="142" t="str">
        <f aca="false">$CA290</f>
        <v/>
      </c>
      <c r="CP290" s="140" t="str">
        <f aca="false">IF(ISBLANK($C290),"",$CD290)</f>
        <v/>
      </c>
      <c r="CQ290" s="143" t="str">
        <f aca="false">IF($CH290&gt;$CG$8,"",VLOOKUP($CH290,$CJ$9:$CP$508,7,FALSE()))</f>
        <v/>
      </c>
      <c r="CR290" s="144" t="str">
        <f aca="false">IF($CH290&gt;$CG$8,"",VLOOKUP($CH290,$CJ$9:$CP$508,2,FALSE()))</f>
        <v/>
      </c>
      <c r="CS290" s="144" t="str">
        <f aca="false">IF($CH290&gt;$CG$8,"",VLOOKUP($CH290,$CJ$9:$CP$508,3,FALSE()))</f>
        <v/>
      </c>
      <c r="CT290" s="144" t="str">
        <f aca="false">IF($CH290&gt;$CG$8,"",VLOOKUP($CH290,$CJ$9:$CP$508,4,FALSE()))</f>
        <v/>
      </c>
      <c r="CU290" s="144" t="str">
        <f aca="false">IF($CH290&gt;$CG$8,"",VLOOKUP($CH290,$CJ$9:$CP$508,5,FALSE()))</f>
        <v/>
      </c>
      <c r="CV290" s="145" t="str">
        <f aca="false">IF($CH290&gt;$CG$8,"",VLOOKUP($CH290,$CJ$9:$CP$508,6,FALSE()))</f>
        <v/>
      </c>
      <c r="CW290" s="71"/>
    </row>
    <row r="291" customFormat="false" ht="15.75" hidden="false" customHeight="false" outlineLevel="0" collapsed="false">
      <c r="A291" s="9"/>
      <c r="B291" s="72"/>
      <c r="C291" s="73"/>
      <c r="D291" s="160"/>
      <c r="E291" s="168"/>
      <c r="F291" s="162"/>
      <c r="G291" s="163"/>
      <c r="H291" s="169"/>
      <c r="I291" s="167"/>
      <c r="J291" s="80"/>
      <c r="K291" s="81"/>
      <c r="L291" s="82"/>
      <c r="M291" s="166"/>
      <c r="N291" s="167"/>
      <c r="O291" s="167"/>
      <c r="P291" s="80"/>
      <c r="Q291" s="82"/>
      <c r="R291" s="82"/>
      <c r="S291" s="166"/>
      <c r="T291" s="167"/>
      <c r="U291" s="86"/>
      <c r="V291" s="87"/>
      <c r="W291" s="87" t="str">
        <f aca="false">IF(ISBLANK($C291),"",IF(E291=Constants!$B$2,TRUE(),IF(E291=Constants!$B$3,FALSE(),TRUE())))</f>
        <v/>
      </c>
      <c r="X291" s="87" t="str">
        <f aca="false">IF(ISBLANK($C291),"",IF(F291=Constants!$B$2,TRUE(),IF(F291=Constants!$B$3,FALSE(),TRUE())))</f>
        <v/>
      </c>
      <c r="Y291" s="87" t="str">
        <f aca="false">IF(ISBLANK($C291),"",IF(G291=Constants!$B$2,TRUE(),IF(G291=Constants!$B$3,FALSE(),TRUE())))</f>
        <v/>
      </c>
      <c r="Z291" s="87" t="str">
        <f aca="false">IF(ISBLANK($C291),"",IF(H291=Constants!$B$2,TRUE(),IF(H291=Constants!$B$3,FALSE(),TRUE())))</f>
        <v/>
      </c>
      <c r="AA291" s="87" t="str">
        <f aca="false">IF(ISBLANK($C291),"",IF(I291=Constants!$B$2,TRUE(),IF(I291=Constants!$B$3,FALSE(),TRUE())))</f>
        <v/>
      </c>
      <c r="AB291" s="87" t="str">
        <f aca="false">IF(ISBLANK($C291),"",IF(J291=Constants!$B$4,TRUE(),IF(J291=Constants!$B$5,FALSE(),COUNTA(K291:M291)&gt;0)))</f>
        <v/>
      </c>
      <c r="AC291" s="88" t="str">
        <f aca="false">IF(ISBLANK($C291),"",IF(ISNUMBER(K291),IF(K291&gt;=0,K291,""),""))</f>
        <v/>
      </c>
      <c r="AD291" s="89" t="str">
        <f aca="false">IF(ISBLANK($C291),"",IF(ISNUMBER(L291),IF(L291&gt;=0,L291,""),""))</f>
        <v/>
      </c>
      <c r="AE291" s="87" t="str">
        <f aca="false">IF(ISBLANK($C291),"",IF(ISNUMBER(M291),IF(M291&gt;=0,MIN(M291,Constants!$B$22),""),""))</f>
        <v/>
      </c>
      <c r="AF291" s="87" t="str">
        <f aca="false">IF(ISBLANK($C291),"",IF(N291=Constants!$B$2,TRUE(),IF(N291=Constants!$B$3,FALSE(),TRUE())))</f>
        <v/>
      </c>
      <c r="AG291" s="87" t="str">
        <f aca="false">IF(ISBLANK($C291),"",IF(O291=Constants!$B$2,TRUE(),IF(O291=Constants!$B$3,FALSE(),TRUE())))</f>
        <v/>
      </c>
      <c r="AH291" s="87" t="str">
        <f aca="false">IF(ISBLANK($C291),"",IF(P291=Constants!$B$4,TRUE(),IF(P291=Constants!$B$5,FALSE(),COUNTA(Q291:S291)&gt;0)))</f>
        <v/>
      </c>
      <c r="AI291" s="88" t="str">
        <f aca="false">IF(ISBLANK($C291),"",IF(ISNUMBER(Q291),IF(Q291&gt;=0,Q291,""),""))</f>
        <v/>
      </c>
      <c r="AJ291" s="89" t="str">
        <f aca="false">IF(ISBLANK($C291),"",IF(ISNUMBER(R291),IF(R291&gt;=0,R291,""),""))</f>
        <v/>
      </c>
      <c r="AK291" s="87" t="str">
        <f aca="false">IF(ISBLANK($C291),"",IF(ISNUMBER(S291),IF(S291&gt;=0,MIN(S291,Constants!$B$22),""),""))</f>
        <v/>
      </c>
      <c r="AL291" s="87" t="str">
        <f aca="false">IF(ISBLANK($C291),"",IF(T291=Constants!$B$2,TRUE(),IF(T291=Constants!$B$3,FALSE(),FALSE())))</f>
        <v/>
      </c>
      <c r="AM291" s="86" t="str">
        <f aca="false">IF(ISBLANK($C291),"",AND($AB291,OR($AC291="",$AD291="",AND(NOT(ISBLANK($M291)),$AE291=""))))</f>
        <v/>
      </c>
      <c r="AN291" s="89" t="str">
        <f aca="false">IF($BD291&lt;&gt;Constants!$B$6,"",IF($AB291,Constants!$B$17*$AD291,Constants!$B$18))</f>
        <v/>
      </c>
      <c r="AO291" s="91" t="str">
        <f aca="false">IF($BD291&lt;&gt;Constants!$B$6,"",Constants!$B$19*IF($AB291,$AC291,0))</f>
        <v/>
      </c>
      <c r="AP291" s="91" t="str">
        <f aca="false">IF($BD291&lt;&gt;Constants!$B$6,"",IF(AND($AB291,ISNUMBER($AE291)),Constants!$B$20*(Constants!$B$21-$AE291),0))</f>
        <v/>
      </c>
      <c r="AQ291" s="91" t="str">
        <f aca="false">IF($BD291&lt;&gt;Constants!$B$6,"",IF($AA291,0,Constants!$B$12)+IF($Z291,0,Constants!$B$13)+IF($Y291,0,Constants!$B$14))</f>
        <v/>
      </c>
      <c r="AR291" s="92" t="str">
        <f aca="false">IF($BD291&lt;&gt;Constants!$B$6,"",Constants!$B$16+SUM($AN291:$AQ291))</f>
        <v/>
      </c>
      <c r="AS291" s="91" t="str">
        <f aca="false">IF($BD291&lt;&gt;Constants!$B$6,"",IF($AB291,$AD291,""))</f>
        <v/>
      </c>
      <c r="AT291" s="93" t="str">
        <f aca="false">IF($BD291&lt;&gt;Constants!$B$6,"",$AO291)</f>
        <v/>
      </c>
      <c r="AU291" s="87" t="str">
        <f aca="false">IF($BD291&lt;&gt;Constants!$B$6,"",IF(OR($BA291&lt;$AR291,AND($BA291=$AR291,OR(AND(ISNUMBER($BB291),OR(NOT(ISNUMBER($AS291)),$BB291&lt;$AS291)),AND(OR(AND($BB291="",$AS291=""),AND(ISNUMBER($BB291),ISNUMBER($AS291),$BB291=$AS291)),$BC291&lt;$AT291)))),"-&gt;","&lt;-"))</f>
        <v/>
      </c>
      <c r="AV291" s="86" t="str">
        <f aca="false">IF(ISBLANK($C291),"",AND($AH291,OR($AI291="",$AJ291="",AND(NOT(ISBLANK($S291)),$AK291=""))))</f>
        <v/>
      </c>
      <c r="AW291" s="89" t="str">
        <f aca="false">IF($BD291&lt;&gt;Constants!$B$6,"",IF($AH291,Constants!$B$17*$AJ291,Constants!$B$18))</f>
        <v/>
      </c>
      <c r="AX291" s="91" t="str">
        <f aca="false">IF($BD291&lt;&gt;Constants!$B$6,"",Constants!$B$19*IF($AH291,$AI291,0))</f>
        <v/>
      </c>
      <c r="AY291" s="91" t="str">
        <f aca="false">IF($BD291&lt;&gt;Constants!$B$6,"",IF(AND($AH291,ISNUMBER($AK291)),Constants!$B$20*(Constants!$B$21-$AK291),0))</f>
        <v/>
      </c>
      <c r="AZ291" s="91" t="str">
        <f aca="false">IF($BD291&lt;&gt;Constants!$B$6,"",IF($AG291,0,Constants!$B$12)+IF($AF291,0,Constants!$B$13)+IF($Y291,0,Constants!$B$14))</f>
        <v/>
      </c>
      <c r="BA291" s="92" t="str">
        <f aca="false">IF($BD291&lt;&gt;Constants!$B$6,"",Constants!$B$16+SUM($AW291:$AZ291))</f>
        <v/>
      </c>
      <c r="BB291" s="91" t="str">
        <f aca="false">IF($BD291&lt;&gt;Constants!$B$6,"",IF($AH291,$AJ291,""))</f>
        <v/>
      </c>
      <c r="BC291" s="93" t="str">
        <f aca="false">IF($BD291&lt;&gt;Constants!$B$6,"",$AX291)</f>
        <v/>
      </c>
      <c r="BD291" s="87" t="str">
        <f aca="false">IF(ISBLANK($C291),"",IF($AL291,Constants!$B$9,IF(COUNTA($E291:$T291)=0,Constants!$B$8,IF(NOT($X291),Constants!$B$7,IF(OR($AM291,$AV291),Constants!$B$10,Constants!$B$6)))))</f>
        <v/>
      </c>
      <c r="BE291" s="87" t="str">
        <f aca="false">IF(ISBLANK($C291),"",IF($BD291&lt;&gt;Constants!$B$6,$BD291,Constants!$B$11))</f>
        <v/>
      </c>
      <c r="BF291" s="91" t="str">
        <f aca="false">IF($BD291&lt;&gt;Constants!$B$6,"",IF($AU291="-&gt;",$BA291,$AR291))</f>
        <v/>
      </c>
      <c r="BG291" s="91" t="str">
        <f aca="false">IF($BD291&lt;&gt;Constants!$B$6,"",IF($W291,0,Constants!$B$15))</f>
        <v/>
      </c>
      <c r="BH291" s="91" t="str">
        <f aca="false">IF(ISBLANK($C291),"",IF($BD291&lt;&gt;Constants!$B$6,$BD291,SUM($BF291:$BG291)))</f>
        <v/>
      </c>
      <c r="BI291" s="87" t="str">
        <f aca="false">IF(ISBLANK($C291),"",IF($BD291&lt;&gt;Constants!$B$6,$BD291,RANK($BH291,$BH$9:$BH$508,1)))</f>
        <v/>
      </c>
      <c r="BJ291" s="91" t="str">
        <f aca="false">IF($BD291&lt;&gt;Constants!$B$6,"",IF($AU291="-&gt;",$BB291,$AS291))</f>
        <v/>
      </c>
      <c r="BK291" s="87" t="str">
        <f aca="false">IF(ISBLANK($C291),"",IF($BD291&lt;&gt;Constants!$B$6,$BD291,IF(ISNUMBER($BJ291),RANK($BJ291,$BJ$9:$BJ$508,1),COUNT($BJ$9:$BJ$508)+1)))</f>
        <v/>
      </c>
      <c r="BL291" s="91" t="str">
        <f aca="false">IF($BD291&lt;&gt;Constants!$B$6,"",IF($AU291="-&gt;",$BC291,$AT291))</f>
        <v/>
      </c>
      <c r="BM291" s="87" t="str">
        <f aca="false">IF(ISBLANK($C291),"",IF($BD291&lt;&gt;Constants!$B$6,$BD291,IF(ISNUMBER($BL291),RANK($BL291,$BL$9:$BL$508,1),COUNT($BL$9:$BL$508)+1)))</f>
        <v/>
      </c>
      <c r="BN291" s="91" t="str">
        <f aca="false">IF($BD291&lt;&gt;Constants!$B$6,"",IF($AU291="-&gt;",$AS291,$BB291))</f>
        <v/>
      </c>
      <c r="BO291" s="87" t="str">
        <f aca="false">IF(ISBLANK($C291),"",IF($BD291&lt;&gt;Constants!$B$6,$BD291,IF(ISNUMBER($BN291),RANK($BN291,$BN$9:$BN$508,1),COUNT($BN$9:$BN$508)+1)))</f>
        <v/>
      </c>
      <c r="BP291" s="91" t="str">
        <f aca="false">IF($BD291&lt;&gt;Constants!$B$6,"",IF($AU291="-&gt;",$AT291,$BC291))</f>
        <v/>
      </c>
      <c r="BQ291" s="87" t="str">
        <f aca="false">IF(ISBLANK($C291),"",IF($BD291&lt;&gt;Constants!$B$6,$BD291,IF(ISNUMBER($BP291),RANK($BP291,$BP$9:$BP$508,1),COUNT($BP$9:$BP$508)+1)))</f>
        <v/>
      </c>
      <c r="BR291" s="87" t="str">
        <f aca="false">IF(ISBLANK($C291),"",IF($BD291&lt;&gt;Constants!$B$6,$BD291,COUNTIFS($BI$9:$BI$508,"&lt;"&amp;$BI291)+COUNTIFS($BI$9:$BI$508,$BI291,$BK$9:$BK$508,"&lt;"&amp;$BK291)+COUNTIFS($BI$9:$BI$508,$BI291,$BK$9:$BK$508,$BK291,$BM$9:$BM$508,"&lt;"&amp;$BM291)+COUNTIFS($BI$9:$BI$508,$BI291,$BK$9:$BK$508,$BK291,$BM$9:$BM$508,$BM291,$BO$9:$BO$508,"&lt;"&amp;$BO291)+COUNTIFS($BI$9:$BI$508,$BI291,$BK$9:$BK$508,$BK291,$BM$9:$BM$508,$BM291,$BO$9:$BO$508,$BO291,$BQ$9:$BQ$508,"&lt;"&amp;$BQ291)+1))</f>
        <v/>
      </c>
      <c r="BS291" s="87" t="str">
        <f aca="false">IF(ISBLANK($C291),"",IF($BD291&lt;&gt;Constants!$B$6,$BD291,$BI291-$BR291))</f>
        <v/>
      </c>
      <c r="BT291" s="94"/>
      <c r="BU291" s="95"/>
      <c r="BV291" s="95" t="str">
        <f aca="false">IF(ISBLANK($C291),"",IF($BD291&lt;&gt;Constants!$B$6,"",IF($AU291="-&gt;",2,1)))</f>
        <v/>
      </c>
      <c r="BW291" s="96" t="str">
        <f aca="false">IF(ISBLANK($C291),"",IF($BD291&lt;&gt;Constants!$B$6,"",IF($AU291="-&gt;",$AW291,$AN291)))</f>
        <v/>
      </c>
      <c r="BX291" s="96" t="str">
        <f aca="false">IF(ISBLANK($C291),"",IF($BD291&lt;&gt;Constants!$B$6,"",IF($AU291="-&gt;",$AX291,$AO291)))</f>
        <v/>
      </c>
      <c r="BY291" s="96" t="str">
        <f aca="false">IF(ISBLANK($C291),"",IF($BD291&lt;&gt;Constants!$B$6,"",IF($AU291="-&gt;",$AY291,$AP291)))</f>
        <v/>
      </c>
      <c r="BZ291" s="96" t="str">
        <f aca="false">IF(ISBLANK($C291),"",IF($BD291&lt;&gt;Constants!$B$6,"",IF($AU291="-&gt;",$AZ291,$AQ291)+$BG291))</f>
        <v/>
      </c>
      <c r="CA291" s="97" t="str">
        <f aca="false">IF(ISBLANK($C291),"",IF($BD291&lt;&gt;Constants!$B$6,$BD291,$BH291))</f>
        <v/>
      </c>
      <c r="CB291" s="98" t="str">
        <f aca="false">IF(ISBLANK($C291),"",$BE291)</f>
        <v/>
      </c>
      <c r="CC291" s="99" t="str">
        <f aca="false">IF(ISBLANK($C291),"",$BS291)</f>
        <v/>
      </c>
      <c r="CD291" s="99" t="str">
        <f aca="false">IF(ISBLANK($C291),"",$BR291)</f>
        <v/>
      </c>
      <c r="CE291" s="100" t="str">
        <f aca="false">IF(ISBLANK($C291),"",IF($CD291=Constants!$B$9,COUNTA($C$9:$C$508)+2,IF($CD291=Constants!$B$8,COUNTA($C$9:$C$508)+1,IF($CD291=Constants!$B$7,COUNTA($C$9:$C$508),$CD291))))</f>
        <v/>
      </c>
      <c r="CF291" s="9"/>
      <c r="CG291" s="101" t="n">
        <f aca="false">IF(OR(ISNUMBER($CD291),$CD291=Constants!$B$9,$CD291=Constants!$B$7,$CD291=Constants!$B$8),1,0)</f>
        <v>0</v>
      </c>
      <c r="CH291" s="101" t="n">
        <v>283</v>
      </c>
      <c r="CI291" s="101" t="str">
        <f aca="false">IF(ISBLANK($C291),"",IF(ISNUMBER($CE291),$CE291+ROW($B291)/1000,""))</f>
        <v/>
      </c>
      <c r="CJ291" s="101" t="str">
        <f aca="false">IF(ISNUMBER($CI291),RANK($CI291,$CI$9:$CI$508,1),"")</f>
        <v/>
      </c>
      <c r="CK291" s="101" t="str">
        <f aca="false">IF(ISBLANK($C291),"",$B291)</f>
        <v/>
      </c>
      <c r="CL291" s="101" t="str">
        <f aca="false">IF(ISBLANK($C291),"",$C291)</f>
        <v/>
      </c>
      <c r="CM291" s="101" t="str">
        <f aca="false">IF(ISBLANK($C291),"",$D291)</f>
        <v/>
      </c>
      <c r="CN291" s="102" t="str">
        <f aca="false">$CB291</f>
        <v/>
      </c>
      <c r="CO291" s="103" t="str">
        <f aca="false">$CA291</f>
        <v/>
      </c>
      <c r="CP291" s="101" t="str">
        <f aca="false">IF(ISBLANK($C291),"",$CD291)</f>
        <v/>
      </c>
      <c r="CQ291" s="104" t="str">
        <f aca="false">IF($CH291&gt;$CG$8,"",VLOOKUP($CH291,$CJ$9:$CP$508,7,FALSE()))</f>
        <v/>
      </c>
      <c r="CR291" s="105" t="str">
        <f aca="false">IF($CH291&gt;$CG$8,"",VLOOKUP($CH291,$CJ$9:$CP$508,2,FALSE()))</f>
        <v/>
      </c>
      <c r="CS291" s="105" t="str">
        <f aca="false">IF($CH291&gt;$CG$8,"",VLOOKUP($CH291,$CJ$9:$CP$508,3,FALSE()))</f>
        <v/>
      </c>
      <c r="CT291" s="105" t="str">
        <f aca="false">IF($CH291&gt;$CG$8,"",VLOOKUP($CH291,$CJ$9:$CP$508,4,FALSE()))</f>
        <v/>
      </c>
      <c r="CU291" s="105" t="str">
        <f aca="false">IF($CH291&gt;$CG$8,"",VLOOKUP($CH291,$CJ$9:$CP$508,5,FALSE()))</f>
        <v/>
      </c>
      <c r="CV291" s="106" t="str">
        <f aca="false">IF($CH291&gt;$CG$8,"",VLOOKUP($CH291,$CJ$9:$CP$508,6,FALSE()))</f>
        <v/>
      </c>
      <c r="CW291" s="71"/>
    </row>
    <row r="292" customFormat="false" ht="15.75" hidden="false" customHeight="false" outlineLevel="0" collapsed="false">
      <c r="A292" s="9"/>
      <c r="B292" s="72"/>
      <c r="C292" s="73"/>
      <c r="D292" s="160"/>
      <c r="E292" s="168"/>
      <c r="F292" s="162"/>
      <c r="G292" s="163"/>
      <c r="H292" s="169"/>
      <c r="I292" s="167"/>
      <c r="J292" s="80"/>
      <c r="K292" s="81"/>
      <c r="L292" s="82"/>
      <c r="M292" s="166"/>
      <c r="N292" s="167"/>
      <c r="O292" s="167"/>
      <c r="P292" s="80"/>
      <c r="Q292" s="82"/>
      <c r="R292" s="82"/>
      <c r="S292" s="166"/>
      <c r="T292" s="167"/>
      <c r="U292" s="86"/>
      <c r="V292" s="87"/>
      <c r="W292" s="87" t="str">
        <f aca="false">IF(ISBLANK($C292),"",IF(E292=Constants!$B$2,TRUE(),IF(E292=Constants!$B$3,FALSE(),TRUE())))</f>
        <v/>
      </c>
      <c r="X292" s="87" t="str">
        <f aca="false">IF(ISBLANK($C292),"",IF(F292=Constants!$B$2,TRUE(),IF(F292=Constants!$B$3,FALSE(),TRUE())))</f>
        <v/>
      </c>
      <c r="Y292" s="87" t="str">
        <f aca="false">IF(ISBLANK($C292),"",IF(G292=Constants!$B$2,TRUE(),IF(G292=Constants!$B$3,FALSE(),TRUE())))</f>
        <v/>
      </c>
      <c r="Z292" s="87" t="str">
        <f aca="false">IF(ISBLANK($C292),"",IF(H292=Constants!$B$2,TRUE(),IF(H292=Constants!$B$3,FALSE(),TRUE())))</f>
        <v/>
      </c>
      <c r="AA292" s="87" t="str">
        <f aca="false">IF(ISBLANK($C292),"",IF(I292=Constants!$B$2,TRUE(),IF(I292=Constants!$B$3,FALSE(),TRUE())))</f>
        <v/>
      </c>
      <c r="AB292" s="87" t="str">
        <f aca="false">IF(ISBLANK($C292),"",IF(J292=Constants!$B$4,TRUE(),IF(J292=Constants!$B$5,FALSE(),COUNTA(K292:M292)&gt;0)))</f>
        <v/>
      </c>
      <c r="AC292" s="88" t="str">
        <f aca="false">IF(ISBLANK($C292),"",IF(ISNUMBER(K292),IF(K292&gt;=0,K292,""),""))</f>
        <v/>
      </c>
      <c r="AD292" s="89" t="str">
        <f aca="false">IF(ISBLANK($C292),"",IF(ISNUMBER(L292),IF(L292&gt;=0,L292,""),""))</f>
        <v/>
      </c>
      <c r="AE292" s="87" t="str">
        <f aca="false">IF(ISBLANK($C292),"",IF(ISNUMBER(M292),IF(M292&gt;=0,MIN(M292,Constants!$B$22),""),""))</f>
        <v/>
      </c>
      <c r="AF292" s="87" t="str">
        <f aca="false">IF(ISBLANK($C292),"",IF(N292=Constants!$B$2,TRUE(),IF(N292=Constants!$B$3,FALSE(),TRUE())))</f>
        <v/>
      </c>
      <c r="AG292" s="87" t="str">
        <f aca="false">IF(ISBLANK($C292),"",IF(O292=Constants!$B$2,TRUE(),IF(O292=Constants!$B$3,FALSE(),TRUE())))</f>
        <v/>
      </c>
      <c r="AH292" s="87" t="str">
        <f aca="false">IF(ISBLANK($C292),"",IF(P292=Constants!$B$4,TRUE(),IF(P292=Constants!$B$5,FALSE(),COUNTA(Q292:S292)&gt;0)))</f>
        <v/>
      </c>
      <c r="AI292" s="88" t="str">
        <f aca="false">IF(ISBLANK($C292),"",IF(ISNUMBER(Q292),IF(Q292&gt;=0,Q292,""),""))</f>
        <v/>
      </c>
      <c r="AJ292" s="89" t="str">
        <f aca="false">IF(ISBLANK($C292),"",IF(ISNUMBER(R292),IF(R292&gt;=0,R292,""),""))</f>
        <v/>
      </c>
      <c r="AK292" s="87" t="str">
        <f aca="false">IF(ISBLANK($C292),"",IF(ISNUMBER(S292),IF(S292&gt;=0,MIN(S292,Constants!$B$22),""),""))</f>
        <v/>
      </c>
      <c r="AL292" s="87" t="str">
        <f aca="false">IF(ISBLANK($C292),"",IF(T292=Constants!$B$2,TRUE(),IF(T292=Constants!$B$3,FALSE(),FALSE())))</f>
        <v/>
      </c>
      <c r="AM292" s="86" t="str">
        <f aca="false">IF(ISBLANK($C292),"",AND($AB292,OR($AC292="",$AD292="",AND(NOT(ISBLANK($M292)),$AE292=""))))</f>
        <v/>
      </c>
      <c r="AN292" s="89" t="str">
        <f aca="false">IF($BD292&lt;&gt;Constants!$B$6,"",IF($AB292,Constants!$B$17*$AD292,Constants!$B$18))</f>
        <v/>
      </c>
      <c r="AO292" s="91" t="str">
        <f aca="false">IF($BD292&lt;&gt;Constants!$B$6,"",Constants!$B$19*IF($AB292,$AC292,0))</f>
        <v/>
      </c>
      <c r="AP292" s="91" t="str">
        <f aca="false">IF($BD292&lt;&gt;Constants!$B$6,"",IF(AND($AB292,ISNUMBER($AE292)),Constants!$B$20*(Constants!$B$21-$AE292),0))</f>
        <v/>
      </c>
      <c r="AQ292" s="91" t="str">
        <f aca="false">IF($BD292&lt;&gt;Constants!$B$6,"",IF($AA292,0,Constants!$B$12)+IF($Z292,0,Constants!$B$13)+IF($Y292,0,Constants!$B$14))</f>
        <v/>
      </c>
      <c r="AR292" s="92" t="str">
        <f aca="false">IF($BD292&lt;&gt;Constants!$B$6,"",Constants!$B$16+SUM($AN292:$AQ292))</f>
        <v/>
      </c>
      <c r="AS292" s="91" t="str">
        <f aca="false">IF($BD292&lt;&gt;Constants!$B$6,"",IF($AB292,$AD292,""))</f>
        <v/>
      </c>
      <c r="AT292" s="93" t="str">
        <f aca="false">IF($BD292&lt;&gt;Constants!$B$6,"",$AO292)</f>
        <v/>
      </c>
      <c r="AU292" s="87" t="str">
        <f aca="false">IF($BD292&lt;&gt;Constants!$B$6,"",IF(OR($BA292&lt;$AR292,AND($BA292=$AR292,OR(AND(ISNUMBER($BB292),OR(NOT(ISNUMBER($AS292)),$BB292&lt;$AS292)),AND(OR(AND($BB292="",$AS292=""),AND(ISNUMBER($BB292),ISNUMBER($AS292),$BB292=$AS292)),$BC292&lt;$AT292)))),"-&gt;","&lt;-"))</f>
        <v/>
      </c>
      <c r="AV292" s="86" t="str">
        <f aca="false">IF(ISBLANK($C292),"",AND($AH292,OR($AI292="",$AJ292="",AND(NOT(ISBLANK($S292)),$AK292=""))))</f>
        <v/>
      </c>
      <c r="AW292" s="89" t="str">
        <f aca="false">IF($BD292&lt;&gt;Constants!$B$6,"",IF($AH292,Constants!$B$17*$AJ292,Constants!$B$18))</f>
        <v/>
      </c>
      <c r="AX292" s="91" t="str">
        <f aca="false">IF($BD292&lt;&gt;Constants!$B$6,"",Constants!$B$19*IF($AH292,$AI292,0))</f>
        <v/>
      </c>
      <c r="AY292" s="91" t="str">
        <f aca="false">IF($BD292&lt;&gt;Constants!$B$6,"",IF(AND($AH292,ISNUMBER($AK292)),Constants!$B$20*(Constants!$B$21-$AK292),0))</f>
        <v/>
      </c>
      <c r="AZ292" s="91" t="str">
        <f aca="false">IF($BD292&lt;&gt;Constants!$B$6,"",IF($AG292,0,Constants!$B$12)+IF($AF292,0,Constants!$B$13)+IF($Y292,0,Constants!$B$14))</f>
        <v/>
      </c>
      <c r="BA292" s="92" t="str">
        <f aca="false">IF($BD292&lt;&gt;Constants!$B$6,"",Constants!$B$16+SUM($AW292:$AZ292))</f>
        <v/>
      </c>
      <c r="BB292" s="91" t="str">
        <f aca="false">IF($BD292&lt;&gt;Constants!$B$6,"",IF($AH292,$AJ292,""))</f>
        <v/>
      </c>
      <c r="BC292" s="93" t="str">
        <f aca="false">IF($BD292&lt;&gt;Constants!$B$6,"",$AX292)</f>
        <v/>
      </c>
      <c r="BD292" s="87" t="str">
        <f aca="false">IF(ISBLANK($C292),"",IF($AL292,Constants!$B$9,IF(COUNTA($E292:$T292)=0,Constants!$B$8,IF(NOT($X292),Constants!$B$7,IF(OR($AM292,$AV292),Constants!$B$10,Constants!$B$6)))))</f>
        <v/>
      </c>
      <c r="BE292" s="87" t="str">
        <f aca="false">IF(ISBLANK($C292),"",IF($BD292&lt;&gt;Constants!$B$6,$BD292,Constants!$B$11))</f>
        <v/>
      </c>
      <c r="BF292" s="91" t="str">
        <f aca="false">IF($BD292&lt;&gt;Constants!$B$6,"",IF($AU292="-&gt;",$BA292,$AR292))</f>
        <v/>
      </c>
      <c r="BG292" s="91" t="str">
        <f aca="false">IF($BD292&lt;&gt;Constants!$B$6,"",IF($W292,0,Constants!$B$15))</f>
        <v/>
      </c>
      <c r="BH292" s="91" t="str">
        <f aca="false">IF(ISBLANK($C292),"",IF($BD292&lt;&gt;Constants!$B$6,$BD292,SUM($BF292:$BG292)))</f>
        <v/>
      </c>
      <c r="BI292" s="87" t="str">
        <f aca="false">IF(ISBLANK($C292),"",IF($BD292&lt;&gt;Constants!$B$6,$BD292,RANK($BH292,$BH$9:$BH$508,1)))</f>
        <v/>
      </c>
      <c r="BJ292" s="91" t="str">
        <f aca="false">IF($BD292&lt;&gt;Constants!$B$6,"",IF($AU292="-&gt;",$BB292,$AS292))</f>
        <v/>
      </c>
      <c r="BK292" s="87" t="str">
        <f aca="false">IF(ISBLANK($C292),"",IF($BD292&lt;&gt;Constants!$B$6,$BD292,IF(ISNUMBER($BJ292),RANK($BJ292,$BJ$9:$BJ$508,1),COUNT($BJ$9:$BJ$508)+1)))</f>
        <v/>
      </c>
      <c r="BL292" s="91" t="str">
        <f aca="false">IF($BD292&lt;&gt;Constants!$B$6,"",IF($AU292="-&gt;",$BC292,$AT292))</f>
        <v/>
      </c>
      <c r="BM292" s="87" t="str">
        <f aca="false">IF(ISBLANK($C292),"",IF($BD292&lt;&gt;Constants!$B$6,$BD292,IF(ISNUMBER($BL292),RANK($BL292,$BL$9:$BL$508,1),COUNT($BL$9:$BL$508)+1)))</f>
        <v/>
      </c>
      <c r="BN292" s="91" t="str">
        <f aca="false">IF($BD292&lt;&gt;Constants!$B$6,"",IF($AU292="-&gt;",$AS292,$BB292))</f>
        <v/>
      </c>
      <c r="BO292" s="87" t="str">
        <f aca="false">IF(ISBLANK($C292),"",IF($BD292&lt;&gt;Constants!$B$6,$BD292,IF(ISNUMBER($BN292),RANK($BN292,$BN$9:$BN$508,1),COUNT($BN$9:$BN$508)+1)))</f>
        <v/>
      </c>
      <c r="BP292" s="91" t="str">
        <f aca="false">IF($BD292&lt;&gt;Constants!$B$6,"",IF($AU292="-&gt;",$AT292,$BC292))</f>
        <v/>
      </c>
      <c r="BQ292" s="87" t="str">
        <f aca="false">IF(ISBLANK($C292),"",IF($BD292&lt;&gt;Constants!$B$6,$BD292,IF(ISNUMBER($BP292),RANK($BP292,$BP$9:$BP$508,1),COUNT($BP$9:$BP$508)+1)))</f>
        <v/>
      </c>
      <c r="BR292" s="87" t="str">
        <f aca="false">IF(ISBLANK($C292),"",IF($BD292&lt;&gt;Constants!$B$6,$BD292,COUNTIFS($BI$9:$BI$508,"&lt;"&amp;$BI292)+COUNTIFS($BI$9:$BI$508,$BI292,$BK$9:$BK$508,"&lt;"&amp;$BK292)+COUNTIFS($BI$9:$BI$508,$BI292,$BK$9:$BK$508,$BK292,$BM$9:$BM$508,"&lt;"&amp;$BM292)+COUNTIFS($BI$9:$BI$508,$BI292,$BK$9:$BK$508,$BK292,$BM$9:$BM$508,$BM292,$BO$9:$BO$508,"&lt;"&amp;$BO292)+COUNTIFS($BI$9:$BI$508,$BI292,$BK$9:$BK$508,$BK292,$BM$9:$BM$508,$BM292,$BO$9:$BO$508,$BO292,$BQ$9:$BQ$508,"&lt;"&amp;$BQ292)+1))</f>
        <v/>
      </c>
      <c r="BS292" s="87" t="str">
        <f aca="false">IF(ISBLANK($C292),"",IF($BD292&lt;&gt;Constants!$B$6,$BD292,$BI292-$BR292))</f>
        <v/>
      </c>
      <c r="BT292" s="94"/>
      <c r="BU292" s="95"/>
      <c r="BV292" s="95" t="str">
        <f aca="false">IF(ISBLANK($C292),"",IF($BD292&lt;&gt;Constants!$B$6,"",IF($AU292="-&gt;",2,1)))</f>
        <v/>
      </c>
      <c r="BW292" s="96" t="str">
        <f aca="false">IF(ISBLANK($C292),"",IF($BD292&lt;&gt;Constants!$B$6,"",IF($AU292="-&gt;",$AW292,$AN292)))</f>
        <v/>
      </c>
      <c r="BX292" s="96" t="str">
        <f aca="false">IF(ISBLANK($C292),"",IF($BD292&lt;&gt;Constants!$B$6,"",IF($AU292="-&gt;",$AX292,$AO292)))</f>
        <v/>
      </c>
      <c r="BY292" s="96" t="str">
        <f aca="false">IF(ISBLANK($C292),"",IF($BD292&lt;&gt;Constants!$B$6,"",IF($AU292="-&gt;",$AY292,$AP292)))</f>
        <v/>
      </c>
      <c r="BZ292" s="96" t="str">
        <f aca="false">IF(ISBLANK($C292),"",IF($BD292&lt;&gt;Constants!$B$6,"",IF($AU292="-&gt;",$AZ292,$AQ292)+$BG292))</f>
        <v/>
      </c>
      <c r="CA292" s="97" t="str">
        <f aca="false">IF(ISBLANK($C292),"",IF($BD292&lt;&gt;Constants!$B$6,$BD292,$BH292))</f>
        <v/>
      </c>
      <c r="CB292" s="98" t="str">
        <f aca="false">IF(ISBLANK($C292),"",$BE292)</f>
        <v/>
      </c>
      <c r="CC292" s="99" t="str">
        <f aca="false">IF(ISBLANK($C292),"",$BS292)</f>
        <v/>
      </c>
      <c r="CD292" s="99" t="str">
        <f aca="false">IF(ISBLANK($C292),"",$BR292)</f>
        <v/>
      </c>
      <c r="CE292" s="100" t="str">
        <f aca="false">IF(ISBLANK($C292),"",IF($CD292=Constants!$B$9,COUNTA($C$9:$C$508)+2,IF($CD292=Constants!$B$8,COUNTA($C$9:$C$508)+1,IF($CD292=Constants!$B$7,COUNTA($C$9:$C$508),$CD292))))</f>
        <v/>
      </c>
      <c r="CF292" s="9"/>
      <c r="CG292" s="101" t="n">
        <f aca="false">IF(OR(ISNUMBER($CD292),$CD292=Constants!$B$9,$CD292=Constants!$B$7,$CD292=Constants!$B$8),1,0)</f>
        <v>0</v>
      </c>
      <c r="CH292" s="101" t="n">
        <v>284</v>
      </c>
      <c r="CI292" s="101" t="str">
        <f aca="false">IF(ISBLANK($C292),"",IF(ISNUMBER($CE292),$CE292+ROW($B292)/1000,""))</f>
        <v/>
      </c>
      <c r="CJ292" s="101" t="str">
        <f aca="false">IF(ISNUMBER($CI292),RANK($CI292,$CI$9:$CI$508,1),"")</f>
        <v/>
      </c>
      <c r="CK292" s="101" t="str">
        <f aca="false">IF(ISBLANK($C292),"",$B292)</f>
        <v/>
      </c>
      <c r="CL292" s="101" t="str">
        <f aca="false">IF(ISBLANK($C292),"",$C292)</f>
        <v/>
      </c>
      <c r="CM292" s="101" t="str">
        <f aca="false">IF(ISBLANK($C292),"",$D292)</f>
        <v/>
      </c>
      <c r="CN292" s="102" t="str">
        <f aca="false">$CB292</f>
        <v/>
      </c>
      <c r="CO292" s="103" t="str">
        <f aca="false">$CA292</f>
        <v/>
      </c>
      <c r="CP292" s="101" t="str">
        <f aca="false">IF(ISBLANK($C292),"",$CD292)</f>
        <v/>
      </c>
      <c r="CQ292" s="104" t="str">
        <f aca="false">IF($CH292&gt;$CG$8,"",VLOOKUP($CH292,$CJ$9:$CP$508,7,FALSE()))</f>
        <v/>
      </c>
      <c r="CR292" s="105" t="str">
        <f aca="false">IF($CH292&gt;$CG$8,"",VLOOKUP($CH292,$CJ$9:$CP$508,2,FALSE()))</f>
        <v/>
      </c>
      <c r="CS292" s="105" t="str">
        <f aca="false">IF($CH292&gt;$CG$8,"",VLOOKUP($CH292,$CJ$9:$CP$508,3,FALSE()))</f>
        <v/>
      </c>
      <c r="CT292" s="105" t="str">
        <f aca="false">IF($CH292&gt;$CG$8,"",VLOOKUP($CH292,$CJ$9:$CP$508,4,FALSE()))</f>
        <v/>
      </c>
      <c r="CU292" s="105" t="str">
        <f aca="false">IF($CH292&gt;$CG$8,"",VLOOKUP($CH292,$CJ$9:$CP$508,5,FALSE()))</f>
        <v/>
      </c>
      <c r="CV292" s="106" t="str">
        <f aca="false">IF($CH292&gt;$CG$8,"",VLOOKUP($CH292,$CJ$9:$CP$508,6,FALSE()))</f>
        <v/>
      </c>
      <c r="CW292" s="71"/>
    </row>
    <row r="293" customFormat="false" ht="15.75" hidden="false" customHeight="false" outlineLevel="0" collapsed="false">
      <c r="A293" s="9"/>
      <c r="B293" s="72"/>
      <c r="C293" s="73"/>
      <c r="D293" s="160"/>
      <c r="E293" s="168"/>
      <c r="F293" s="162"/>
      <c r="G293" s="163"/>
      <c r="H293" s="169"/>
      <c r="I293" s="167"/>
      <c r="J293" s="80"/>
      <c r="K293" s="81"/>
      <c r="L293" s="82"/>
      <c r="M293" s="166"/>
      <c r="N293" s="167"/>
      <c r="O293" s="167"/>
      <c r="P293" s="80"/>
      <c r="Q293" s="82"/>
      <c r="R293" s="82"/>
      <c r="S293" s="166"/>
      <c r="T293" s="167"/>
      <c r="U293" s="86"/>
      <c r="V293" s="87"/>
      <c r="W293" s="87" t="str">
        <f aca="false">IF(ISBLANK($C293),"",IF(E293=Constants!$B$2,TRUE(),IF(E293=Constants!$B$3,FALSE(),TRUE())))</f>
        <v/>
      </c>
      <c r="X293" s="87" t="str">
        <f aca="false">IF(ISBLANK($C293),"",IF(F293=Constants!$B$2,TRUE(),IF(F293=Constants!$B$3,FALSE(),TRUE())))</f>
        <v/>
      </c>
      <c r="Y293" s="87" t="str">
        <f aca="false">IF(ISBLANK($C293),"",IF(G293=Constants!$B$2,TRUE(),IF(G293=Constants!$B$3,FALSE(),TRUE())))</f>
        <v/>
      </c>
      <c r="Z293" s="87" t="str">
        <f aca="false">IF(ISBLANK($C293),"",IF(H293=Constants!$B$2,TRUE(),IF(H293=Constants!$B$3,FALSE(),TRUE())))</f>
        <v/>
      </c>
      <c r="AA293" s="87" t="str">
        <f aca="false">IF(ISBLANK($C293),"",IF(I293=Constants!$B$2,TRUE(),IF(I293=Constants!$B$3,FALSE(),TRUE())))</f>
        <v/>
      </c>
      <c r="AB293" s="87" t="str">
        <f aca="false">IF(ISBLANK($C293),"",IF(J293=Constants!$B$4,TRUE(),IF(J293=Constants!$B$5,FALSE(),COUNTA(K293:M293)&gt;0)))</f>
        <v/>
      </c>
      <c r="AC293" s="88" t="str">
        <f aca="false">IF(ISBLANK($C293),"",IF(ISNUMBER(K293),IF(K293&gt;=0,K293,""),""))</f>
        <v/>
      </c>
      <c r="AD293" s="89" t="str">
        <f aca="false">IF(ISBLANK($C293),"",IF(ISNUMBER(L293),IF(L293&gt;=0,L293,""),""))</f>
        <v/>
      </c>
      <c r="AE293" s="87" t="str">
        <f aca="false">IF(ISBLANK($C293),"",IF(ISNUMBER(M293),IF(M293&gt;=0,MIN(M293,Constants!$B$22),""),""))</f>
        <v/>
      </c>
      <c r="AF293" s="87" t="str">
        <f aca="false">IF(ISBLANK($C293),"",IF(N293=Constants!$B$2,TRUE(),IF(N293=Constants!$B$3,FALSE(),TRUE())))</f>
        <v/>
      </c>
      <c r="AG293" s="87" t="str">
        <f aca="false">IF(ISBLANK($C293),"",IF(O293=Constants!$B$2,TRUE(),IF(O293=Constants!$B$3,FALSE(),TRUE())))</f>
        <v/>
      </c>
      <c r="AH293" s="87" t="str">
        <f aca="false">IF(ISBLANK($C293),"",IF(P293=Constants!$B$4,TRUE(),IF(P293=Constants!$B$5,FALSE(),COUNTA(Q293:S293)&gt;0)))</f>
        <v/>
      </c>
      <c r="AI293" s="88" t="str">
        <f aca="false">IF(ISBLANK($C293),"",IF(ISNUMBER(Q293),IF(Q293&gt;=0,Q293,""),""))</f>
        <v/>
      </c>
      <c r="AJ293" s="89" t="str">
        <f aca="false">IF(ISBLANK($C293),"",IF(ISNUMBER(R293),IF(R293&gt;=0,R293,""),""))</f>
        <v/>
      </c>
      <c r="AK293" s="87" t="str">
        <f aca="false">IF(ISBLANK($C293),"",IF(ISNUMBER(S293),IF(S293&gt;=0,MIN(S293,Constants!$B$22),""),""))</f>
        <v/>
      </c>
      <c r="AL293" s="87" t="str">
        <f aca="false">IF(ISBLANK($C293),"",IF(T293=Constants!$B$2,TRUE(),IF(T293=Constants!$B$3,FALSE(),FALSE())))</f>
        <v/>
      </c>
      <c r="AM293" s="86" t="str">
        <f aca="false">IF(ISBLANK($C293),"",AND($AB293,OR($AC293="",$AD293="",AND(NOT(ISBLANK($M293)),$AE293=""))))</f>
        <v/>
      </c>
      <c r="AN293" s="89" t="str">
        <f aca="false">IF($BD293&lt;&gt;Constants!$B$6,"",IF($AB293,Constants!$B$17*$AD293,Constants!$B$18))</f>
        <v/>
      </c>
      <c r="AO293" s="91" t="str">
        <f aca="false">IF($BD293&lt;&gt;Constants!$B$6,"",Constants!$B$19*IF($AB293,$AC293,0))</f>
        <v/>
      </c>
      <c r="AP293" s="91" t="str">
        <f aca="false">IF($BD293&lt;&gt;Constants!$B$6,"",IF(AND($AB293,ISNUMBER($AE293)),Constants!$B$20*(Constants!$B$21-$AE293),0))</f>
        <v/>
      </c>
      <c r="AQ293" s="91" t="str">
        <f aca="false">IF($BD293&lt;&gt;Constants!$B$6,"",IF($AA293,0,Constants!$B$12)+IF($Z293,0,Constants!$B$13)+IF($Y293,0,Constants!$B$14))</f>
        <v/>
      </c>
      <c r="AR293" s="92" t="str">
        <f aca="false">IF($BD293&lt;&gt;Constants!$B$6,"",Constants!$B$16+SUM($AN293:$AQ293))</f>
        <v/>
      </c>
      <c r="AS293" s="91" t="str">
        <f aca="false">IF($BD293&lt;&gt;Constants!$B$6,"",IF($AB293,$AD293,""))</f>
        <v/>
      </c>
      <c r="AT293" s="93" t="str">
        <f aca="false">IF($BD293&lt;&gt;Constants!$B$6,"",$AO293)</f>
        <v/>
      </c>
      <c r="AU293" s="87" t="str">
        <f aca="false">IF($BD293&lt;&gt;Constants!$B$6,"",IF(OR($BA293&lt;$AR293,AND($BA293=$AR293,OR(AND(ISNUMBER($BB293),OR(NOT(ISNUMBER($AS293)),$BB293&lt;$AS293)),AND(OR(AND($BB293="",$AS293=""),AND(ISNUMBER($BB293),ISNUMBER($AS293),$BB293=$AS293)),$BC293&lt;$AT293)))),"-&gt;","&lt;-"))</f>
        <v/>
      </c>
      <c r="AV293" s="86" t="str">
        <f aca="false">IF(ISBLANK($C293),"",AND($AH293,OR($AI293="",$AJ293="",AND(NOT(ISBLANK($S293)),$AK293=""))))</f>
        <v/>
      </c>
      <c r="AW293" s="89" t="str">
        <f aca="false">IF($BD293&lt;&gt;Constants!$B$6,"",IF($AH293,Constants!$B$17*$AJ293,Constants!$B$18))</f>
        <v/>
      </c>
      <c r="AX293" s="91" t="str">
        <f aca="false">IF($BD293&lt;&gt;Constants!$B$6,"",Constants!$B$19*IF($AH293,$AI293,0))</f>
        <v/>
      </c>
      <c r="AY293" s="91" t="str">
        <f aca="false">IF($BD293&lt;&gt;Constants!$B$6,"",IF(AND($AH293,ISNUMBER($AK293)),Constants!$B$20*(Constants!$B$21-$AK293),0))</f>
        <v/>
      </c>
      <c r="AZ293" s="91" t="str">
        <f aca="false">IF($BD293&lt;&gt;Constants!$B$6,"",IF($AG293,0,Constants!$B$12)+IF($AF293,0,Constants!$B$13)+IF($Y293,0,Constants!$B$14))</f>
        <v/>
      </c>
      <c r="BA293" s="92" t="str">
        <f aca="false">IF($BD293&lt;&gt;Constants!$B$6,"",Constants!$B$16+SUM($AW293:$AZ293))</f>
        <v/>
      </c>
      <c r="BB293" s="91" t="str">
        <f aca="false">IF($BD293&lt;&gt;Constants!$B$6,"",IF($AH293,$AJ293,""))</f>
        <v/>
      </c>
      <c r="BC293" s="93" t="str">
        <f aca="false">IF($BD293&lt;&gt;Constants!$B$6,"",$AX293)</f>
        <v/>
      </c>
      <c r="BD293" s="87" t="str">
        <f aca="false">IF(ISBLANK($C293),"",IF($AL293,Constants!$B$9,IF(COUNTA($E293:$T293)=0,Constants!$B$8,IF(NOT($X293),Constants!$B$7,IF(OR($AM293,$AV293),Constants!$B$10,Constants!$B$6)))))</f>
        <v/>
      </c>
      <c r="BE293" s="87" t="str">
        <f aca="false">IF(ISBLANK($C293),"",IF($BD293&lt;&gt;Constants!$B$6,$BD293,Constants!$B$11))</f>
        <v/>
      </c>
      <c r="BF293" s="91" t="str">
        <f aca="false">IF($BD293&lt;&gt;Constants!$B$6,"",IF($AU293="-&gt;",$BA293,$AR293))</f>
        <v/>
      </c>
      <c r="BG293" s="91" t="str">
        <f aca="false">IF($BD293&lt;&gt;Constants!$B$6,"",IF($W293,0,Constants!$B$15))</f>
        <v/>
      </c>
      <c r="BH293" s="91" t="str">
        <f aca="false">IF(ISBLANK($C293),"",IF($BD293&lt;&gt;Constants!$B$6,$BD293,SUM($BF293:$BG293)))</f>
        <v/>
      </c>
      <c r="BI293" s="87" t="str">
        <f aca="false">IF(ISBLANK($C293),"",IF($BD293&lt;&gt;Constants!$B$6,$BD293,RANK($BH293,$BH$9:$BH$508,1)))</f>
        <v/>
      </c>
      <c r="BJ293" s="91" t="str">
        <f aca="false">IF($BD293&lt;&gt;Constants!$B$6,"",IF($AU293="-&gt;",$BB293,$AS293))</f>
        <v/>
      </c>
      <c r="BK293" s="87" t="str">
        <f aca="false">IF(ISBLANK($C293),"",IF($BD293&lt;&gt;Constants!$B$6,$BD293,IF(ISNUMBER($BJ293),RANK($BJ293,$BJ$9:$BJ$508,1),COUNT($BJ$9:$BJ$508)+1)))</f>
        <v/>
      </c>
      <c r="BL293" s="91" t="str">
        <f aca="false">IF($BD293&lt;&gt;Constants!$B$6,"",IF($AU293="-&gt;",$BC293,$AT293))</f>
        <v/>
      </c>
      <c r="BM293" s="87" t="str">
        <f aca="false">IF(ISBLANK($C293),"",IF($BD293&lt;&gt;Constants!$B$6,$BD293,IF(ISNUMBER($BL293),RANK($BL293,$BL$9:$BL$508,1),COUNT($BL$9:$BL$508)+1)))</f>
        <v/>
      </c>
      <c r="BN293" s="91" t="str">
        <f aca="false">IF($BD293&lt;&gt;Constants!$B$6,"",IF($AU293="-&gt;",$AS293,$BB293))</f>
        <v/>
      </c>
      <c r="BO293" s="87" t="str">
        <f aca="false">IF(ISBLANK($C293),"",IF($BD293&lt;&gt;Constants!$B$6,$BD293,IF(ISNUMBER($BN293),RANK($BN293,$BN$9:$BN$508,1),COUNT($BN$9:$BN$508)+1)))</f>
        <v/>
      </c>
      <c r="BP293" s="91" t="str">
        <f aca="false">IF($BD293&lt;&gt;Constants!$B$6,"",IF($AU293="-&gt;",$AT293,$BC293))</f>
        <v/>
      </c>
      <c r="BQ293" s="87" t="str">
        <f aca="false">IF(ISBLANK($C293),"",IF($BD293&lt;&gt;Constants!$B$6,$BD293,IF(ISNUMBER($BP293),RANK($BP293,$BP$9:$BP$508,1),COUNT($BP$9:$BP$508)+1)))</f>
        <v/>
      </c>
      <c r="BR293" s="87" t="str">
        <f aca="false">IF(ISBLANK($C293),"",IF($BD293&lt;&gt;Constants!$B$6,$BD293,COUNTIFS($BI$9:$BI$508,"&lt;"&amp;$BI293)+COUNTIFS($BI$9:$BI$508,$BI293,$BK$9:$BK$508,"&lt;"&amp;$BK293)+COUNTIFS($BI$9:$BI$508,$BI293,$BK$9:$BK$508,$BK293,$BM$9:$BM$508,"&lt;"&amp;$BM293)+COUNTIFS($BI$9:$BI$508,$BI293,$BK$9:$BK$508,$BK293,$BM$9:$BM$508,$BM293,$BO$9:$BO$508,"&lt;"&amp;$BO293)+COUNTIFS($BI$9:$BI$508,$BI293,$BK$9:$BK$508,$BK293,$BM$9:$BM$508,$BM293,$BO$9:$BO$508,$BO293,$BQ$9:$BQ$508,"&lt;"&amp;$BQ293)+1))</f>
        <v/>
      </c>
      <c r="BS293" s="87" t="str">
        <f aca="false">IF(ISBLANK($C293),"",IF($BD293&lt;&gt;Constants!$B$6,$BD293,$BI293-$BR293))</f>
        <v/>
      </c>
      <c r="BT293" s="94"/>
      <c r="BU293" s="95"/>
      <c r="BV293" s="95" t="str">
        <f aca="false">IF(ISBLANK($C293),"",IF($BD293&lt;&gt;Constants!$B$6,"",IF($AU293="-&gt;",2,1)))</f>
        <v/>
      </c>
      <c r="BW293" s="96" t="str">
        <f aca="false">IF(ISBLANK($C293),"",IF($BD293&lt;&gt;Constants!$B$6,"",IF($AU293="-&gt;",$AW293,$AN293)))</f>
        <v/>
      </c>
      <c r="BX293" s="96" t="str">
        <f aca="false">IF(ISBLANK($C293),"",IF($BD293&lt;&gt;Constants!$B$6,"",IF($AU293="-&gt;",$AX293,$AO293)))</f>
        <v/>
      </c>
      <c r="BY293" s="96" t="str">
        <f aca="false">IF(ISBLANK($C293),"",IF($BD293&lt;&gt;Constants!$B$6,"",IF($AU293="-&gt;",$AY293,$AP293)))</f>
        <v/>
      </c>
      <c r="BZ293" s="96" t="str">
        <f aca="false">IF(ISBLANK($C293),"",IF($BD293&lt;&gt;Constants!$B$6,"",IF($AU293="-&gt;",$AZ293,$AQ293)+$BG293))</f>
        <v/>
      </c>
      <c r="CA293" s="97" t="str">
        <f aca="false">IF(ISBLANK($C293),"",IF($BD293&lt;&gt;Constants!$B$6,$BD293,$BH293))</f>
        <v/>
      </c>
      <c r="CB293" s="98" t="str">
        <f aca="false">IF(ISBLANK($C293),"",$BE293)</f>
        <v/>
      </c>
      <c r="CC293" s="99" t="str">
        <f aca="false">IF(ISBLANK($C293),"",$BS293)</f>
        <v/>
      </c>
      <c r="CD293" s="99" t="str">
        <f aca="false">IF(ISBLANK($C293),"",$BR293)</f>
        <v/>
      </c>
      <c r="CE293" s="100" t="str">
        <f aca="false">IF(ISBLANK($C293),"",IF($CD293=Constants!$B$9,COUNTA($C$9:$C$508)+2,IF($CD293=Constants!$B$8,COUNTA($C$9:$C$508)+1,IF($CD293=Constants!$B$7,COUNTA($C$9:$C$508),$CD293))))</f>
        <v/>
      </c>
      <c r="CF293" s="9"/>
      <c r="CG293" s="101" t="n">
        <f aca="false">IF(OR(ISNUMBER($CD293),$CD293=Constants!$B$9,$CD293=Constants!$B$7,$CD293=Constants!$B$8),1,0)</f>
        <v>0</v>
      </c>
      <c r="CH293" s="101" t="n">
        <v>285</v>
      </c>
      <c r="CI293" s="101" t="str">
        <f aca="false">IF(ISBLANK($C293),"",IF(ISNUMBER($CE293),$CE293+ROW($B293)/1000,""))</f>
        <v/>
      </c>
      <c r="CJ293" s="101" t="str">
        <f aca="false">IF(ISNUMBER($CI293),RANK($CI293,$CI$9:$CI$508,1),"")</f>
        <v/>
      </c>
      <c r="CK293" s="101" t="str">
        <f aca="false">IF(ISBLANK($C293),"",$B293)</f>
        <v/>
      </c>
      <c r="CL293" s="101" t="str">
        <f aca="false">IF(ISBLANK($C293),"",$C293)</f>
        <v/>
      </c>
      <c r="CM293" s="101" t="str">
        <f aca="false">IF(ISBLANK($C293),"",$D293)</f>
        <v/>
      </c>
      <c r="CN293" s="102" t="str">
        <f aca="false">$CB293</f>
        <v/>
      </c>
      <c r="CO293" s="103" t="str">
        <f aca="false">$CA293</f>
        <v/>
      </c>
      <c r="CP293" s="101" t="str">
        <f aca="false">IF(ISBLANK($C293),"",$CD293)</f>
        <v/>
      </c>
      <c r="CQ293" s="104" t="str">
        <f aca="false">IF($CH293&gt;$CG$8,"",VLOOKUP($CH293,$CJ$9:$CP$508,7,FALSE()))</f>
        <v/>
      </c>
      <c r="CR293" s="105" t="str">
        <f aca="false">IF($CH293&gt;$CG$8,"",VLOOKUP($CH293,$CJ$9:$CP$508,2,FALSE()))</f>
        <v/>
      </c>
      <c r="CS293" s="105" t="str">
        <f aca="false">IF($CH293&gt;$CG$8,"",VLOOKUP($CH293,$CJ$9:$CP$508,3,FALSE()))</f>
        <v/>
      </c>
      <c r="CT293" s="105" t="str">
        <f aca="false">IF($CH293&gt;$CG$8,"",VLOOKUP($CH293,$CJ$9:$CP$508,4,FALSE()))</f>
        <v/>
      </c>
      <c r="CU293" s="105" t="str">
        <f aca="false">IF($CH293&gt;$CG$8,"",VLOOKUP($CH293,$CJ$9:$CP$508,5,FALSE()))</f>
        <v/>
      </c>
      <c r="CV293" s="106" t="str">
        <f aca="false">IF($CH293&gt;$CG$8,"",VLOOKUP($CH293,$CJ$9:$CP$508,6,FALSE()))</f>
        <v/>
      </c>
      <c r="CW293" s="71"/>
    </row>
    <row r="294" customFormat="false" ht="15.75" hidden="false" customHeight="false" outlineLevel="0" collapsed="false">
      <c r="A294" s="9"/>
      <c r="B294" s="150"/>
      <c r="C294" s="151"/>
      <c r="D294" s="152"/>
      <c r="E294" s="170"/>
      <c r="F294" s="154"/>
      <c r="G294" s="155"/>
      <c r="H294" s="171"/>
      <c r="I294" s="159"/>
      <c r="J294" s="120"/>
      <c r="K294" s="121"/>
      <c r="L294" s="122"/>
      <c r="M294" s="158"/>
      <c r="N294" s="159"/>
      <c r="O294" s="159"/>
      <c r="P294" s="120"/>
      <c r="Q294" s="122"/>
      <c r="R294" s="122"/>
      <c r="S294" s="158"/>
      <c r="T294" s="159"/>
      <c r="U294" s="126"/>
      <c r="V294" s="127"/>
      <c r="W294" s="127" t="str">
        <f aca="false">IF(ISBLANK($C294),"",IF(E294=Constants!$B$2,TRUE(),IF(E294=Constants!$B$3,FALSE(),TRUE())))</f>
        <v/>
      </c>
      <c r="X294" s="127" t="str">
        <f aca="false">IF(ISBLANK($C294),"",IF(F294=Constants!$B$2,TRUE(),IF(F294=Constants!$B$3,FALSE(),TRUE())))</f>
        <v/>
      </c>
      <c r="Y294" s="127" t="str">
        <f aca="false">IF(ISBLANK($C294),"",IF(G294=Constants!$B$2,TRUE(),IF(G294=Constants!$B$3,FALSE(),TRUE())))</f>
        <v/>
      </c>
      <c r="Z294" s="127" t="str">
        <f aca="false">IF(ISBLANK($C294),"",IF(H294=Constants!$B$2,TRUE(),IF(H294=Constants!$B$3,FALSE(),TRUE())))</f>
        <v/>
      </c>
      <c r="AA294" s="127" t="str">
        <f aca="false">IF(ISBLANK($C294),"",IF(I294=Constants!$B$2,TRUE(),IF(I294=Constants!$B$3,FALSE(),TRUE())))</f>
        <v/>
      </c>
      <c r="AB294" s="127" t="str">
        <f aca="false">IF(ISBLANK($C294),"",IF(J294=Constants!$B$4,TRUE(),IF(J294=Constants!$B$5,FALSE(),COUNTA(K294:M294)&gt;0)))</f>
        <v/>
      </c>
      <c r="AC294" s="128" t="str">
        <f aca="false">IF(ISBLANK($C294),"",IF(ISNUMBER(K294),IF(K294&gt;=0,K294,""),""))</f>
        <v/>
      </c>
      <c r="AD294" s="129" t="str">
        <f aca="false">IF(ISBLANK($C294),"",IF(ISNUMBER(L294),IF(L294&gt;=0,L294,""),""))</f>
        <v/>
      </c>
      <c r="AE294" s="127" t="str">
        <f aca="false">IF(ISBLANK($C294),"",IF(ISNUMBER(M294),IF(M294&gt;=0,MIN(M294,Constants!$B$22),""),""))</f>
        <v/>
      </c>
      <c r="AF294" s="127" t="str">
        <f aca="false">IF(ISBLANK($C294),"",IF(N294=Constants!$B$2,TRUE(),IF(N294=Constants!$B$3,FALSE(),TRUE())))</f>
        <v/>
      </c>
      <c r="AG294" s="127" t="str">
        <f aca="false">IF(ISBLANK($C294),"",IF(O294=Constants!$B$2,TRUE(),IF(O294=Constants!$B$3,FALSE(),TRUE())))</f>
        <v/>
      </c>
      <c r="AH294" s="127" t="str">
        <f aca="false">IF(ISBLANK($C294),"",IF(P294=Constants!$B$4,TRUE(),IF(P294=Constants!$B$5,FALSE(),COUNTA(Q294:S294)&gt;0)))</f>
        <v/>
      </c>
      <c r="AI294" s="128" t="str">
        <f aca="false">IF(ISBLANK($C294),"",IF(ISNUMBER(Q294),IF(Q294&gt;=0,Q294,""),""))</f>
        <v/>
      </c>
      <c r="AJ294" s="129" t="str">
        <f aca="false">IF(ISBLANK($C294),"",IF(ISNUMBER(R294),IF(R294&gt;=0,R294,""),""))</f>
        <v/>
      </c>
      <c r="AK294" s="127" t="str">
        <f aca="false">IF(ISBLANK($C294),"",IF(ISNUMBER(S294),IF(S294&gt;=0,MIN(S294,Constants!$B$22),""),""))</f>
        <v/>
      </c>
      <c r="AL294" s="127" t="str">
        <f aca="false">IF(ISBLANK($C294),"",IF(T294=Constants!$B$2,TRUE(),IF(T294=Constants!$B$3,FALSE(),FALSE())))</f>
        <v/>
      </c>
      <c r="AM294" s="126" t="str">
        <f aca="false">IF(ISBLANK($C294),"",AND($AB294,OR($AC294="",$AD294="",AND(NOT(ISBLANK($M294)),$AE294=""))))</f>
        <v/>
      </c>
      <c r="AN294" s="129" t="str">
        <f aca="false">IF($BD294&lt;&gt;Constants!$B$6,"",IF($AB294,Constants!$B$17*$AD294,Constants!$B$18))</f>
        <v/>
      </c>
      <c r="AO294" s="130" t="str">
        <f aca="false">IF($BD294&lt;&gt;Constants!$B$6,"",Constants!$B$19*IF($AB294,$AC294,0))</f>
        <v/>
      </c>
      <c r="AP294" s="130" t="str">
        <f aca="false">IF($BD294&lt;&gt;Constants!$B$6,"",IF(AND($AB294,ISNUMBER($AE294)),Constants!$B$20*(Constants!$B$21-$AE294),0))</f>
        <v/>
      </c>
      <c r="AQ294" s="130" t="str">
        <f aca="false">IF($BD294&lt;&gt;Constants!$B$6,"",IF($AA294,0,Constants!$B$12)+IF($Z294,0,Constants!$B$13)+IF($Y294,0,Constants!$B$14))</f>
        <v/>
      </c>
      <c r="AR294" s="131" t="str">
        <f aca="false">IF($BD294&lt;&gt;Constants!$B$6,"",Constants!$B$16+SUM($AN294:$AQ294))</f>
        <v/>
      </c>
      <c r="AS294" s="130" t="str">
        <f aca="false">IF($BD294&lt;&gt;Constants!$B$6,"",IF($AB294,$AD294,""))</f>
        <v/>
      </c>
      <c r="AT294" s="132" t="str">
        <f aca="false">IF($BD294&lt;&gt;Constants!$B$6,"",$AO294)</f>
        <v/>
      </c>
      <c r="AU294" s="127" t="str">
        <f aca="false">IF($BD294&lt;&gt;Constants!$B$6,"",IF(OR($BA294&lt;$AR294,AND($BA294=$AR294,OR(AND(ISNUMBER($BB294),OR(NOT(ISNUMBER($AS294)),$BB294&lt;$AS294)),AND(OR(AND($BB294="",$AS294=""),AND(ISNUMBER($BB294),ISNUMBER($AS294),$BB294=$AS294)),$BC294&lt;$AT294)))),"-&gt;","&lt;-"))</f>
        <v/>
      </c>
      <c r="AV294" s="126" t="str">
        <f aca="false">IF(ISBLANK($C294),"",AND($AH294,OR($AI294="",$AJ294="",AND(NOT(ISBLANK($S294)),$AK294=""))))</f>
        <v/>
      </c>
      <c r="AW294" s="129" t="str">
        <f aca="false">IF($BD294&lt;&gt;Constants!$B$6,"",IF($AH294,Constants!$B$17*$AJ294,Constants!$B$18))</f>
        <v/>
      </c>
      <c r="AX294" s="130" t="str">
        <f aca="false">IF($BD294&lt;&gt;Constants!$B$6,"",Constants!$B$19*IF($AH294,$AI294,0))</f>
        <v/>
      </c>
      <c r="AY294" s="130" t="str">
        <f aca="false">IF($BD294&lt;&gt;Constants!$B$6,"",IF(AND($AH294,ISNUMBER($AK294)),Constants!$B$20*(Constants!$B$21-$AK294),0))</f>
        <v/>
      </c>
      <c r="AZ294" s="130" t="str">
        <f aca="false">IF($BD294&lt;&gt;Constants!$B$6,"",IF($AG294,0,Constants!$B$12)+IF($AF294,0,Constants!$B$13)+IF($Y294,0,Constants!$B$14))</f>
        <v/>
      </c>
      <c r="BA294" s="131" t="str">
        <f aca="false">IF($BD294&lt;&gt;Constants!$B$6,"",Constants!$B$16+SUM($AW294:$AZ294))</f>
        <v/>
      </c>
      <c r="BB294" s="130" t="str">
        <f aca="false">IF($BD294&lt;&gt;Constants!$B$6,"",IF($AH294,$AJ294,""))</f>
        <v/>
      </c>
      <c r="BC294" s="132" t="str">
        <f aca="false">IF($BD294&lt;&gt;Constants!$B$6,"",$AX294)</f>
        <v/>
      </c>
      <c r="BD294" s="127" t="str">
        <f aca="false">IF(ISBLANK($C294),"",IF($AL294,Constants!$B$9,IF(COUNTA($E294:$T294)=0,Constants!$B$8,IF(NOT($X294),Constants!$B$7,IF(OR($AM294,$AV294),Constants!$B$10,Constants!$B$6)))))</f>
        <v/>
      </c>
      <c r="BE294" s="127" t="str">
        <f aca="false">IF(ISBLANK($C294),"",IF($BD294&lt;&gt;Constants!$B$6,$BD294,Constants!$B$11))</f>
        <v/>
      </c>
      <c r="BF294" s="130" t="str">
        <f aca="false">IF($BD294&lt;&gt;Constants!$B$6,"",IF($AU294="-&gt;",$BA294,$AR294))</f>
        <v/>
      </c>
      <c r="BG294" s="130" t="str">
        <f aca="false">IF($BD294&lt;&gt;Constants!$B$6,"",IF($W294,0,Constants!$B$15))</f>
        <v/>
      </c>
      <c r="BH294" s="130" t="str">
        <f aca="false">IF(ISBLANK($C294),"",IF($BD294&lt;&gt;Constants!$B$6,$BD294,SUM($BF294:$BG294)))</f>
        <v/>
      </c>
      <c r="BI294" s="127" t="str">
        <f aca="false">IF(ISBLANK($C294),"",IF($BD294&lt;&gt;Constants!$B$6,$BD294,RANK($BH294,$BH$9:$BH$508,1)))</f>
        <v/>
      </c>
      <c r="BJ294" s="130" t="str">
        <f aca="false">IF($BD294&lt;&gt;Constants!$B$6,"",IF($AU294="-&gt;",$BB294,$AS294))</f>
        <v/>
      </c>
      <c r="BK294" s="127" t="str">
        <f aca="false">IF(ISBLANK($C294),"",IF($BD294&lt;&gt;Constants!$B$6,$BD294,IF(ISNUMBER($BJ294),RANK($BJ294,$BJ$9:$BJ$508,1),COUNT($BJ$9:$BJ$508)+1)))</f>
        <v/>
      </c>
      <c r="BL294" s="130" t="str">
        <f aca="false">IF($BD294&lt;&gt;Constants!$B$6,"",IF($AU294="-&gt;",$BC294,$AT294))</f>
        <v/>
      </c>
      <c r="BM294" s="127" t="str">
        <f aca="false">IF(ISBLANK($C294),"",IF($BD294&lt;&gt;Constants!$B$6,$BD294,IF(ISNUMBER($BL294),RANK($BL294,$BL$9:$BL$508,1),COUNT($BL$9:$BL$508)+1)))</f>
        <v/>
      </c>
      <c r="BN294" s="130" t="str">
        <f aca="false">IF($BD294&lt;&gt;Constants!$B$6,"",IF($AU294="-&gt;",$AS294,$BB294))</f>
        <v/>
      </c>
      <c r="BO294" s="127" t="str">
        <f aca="false">IF(ISBLANK($C294),"",IF($BD294&lt;&gt;Constants!$B$6,$BD294,IF(ISNUMBER($BN294),RANK($BN294,$BN$9:$BN$508,1),COUNT($BN$9:$BN$508)+1)))</f>
        <v/>
      </c>
      <c r="BP294" s="130" t="str">
        <f aca="false">IF($BD294&lt;&gt;Constants!$B$6,"",IF($AU294="-&gt;",$AT294,$BC294))</f>
        <v/>
      </c>
      <c r="BQ294" s="127" t="str">
        <f aca="false">IF(ISBLANK($C294),"",IF($BD294&lt;&gt;Constants!$B$6,$BD294,IF(ISNUMBER($BP294),RANK($BP294,$BP$9:$BP$508,1),COUNT($BP$9:$BP$508)+1)))</f>
        <v/>
      </c>
      <c r="BR294" s="127" t="str">
        <f aca="false">IF(ISBLANK($C294),"",IF($BD294&lt;&gt;Constants!$B$6,$BD294,COUNTIFS($BI$9:$BI$508,"&lt;"&amp;$BI294)+COUNTIFS($BI$9:$BI$508,$BI294,$BK$9:$BK$508,"&lt;"&amp;$BK294)+COUNTIFS($BI$9:$BI$508,$BI294,$BK$9:$BK$508,$BK294,$BM$9:$BM$508,"&lt;"&amp;$BM294)+COUNTIFS($BI$9:$BI$508,$BI294,$BK$9:$BK$508,$BK294,$BM$9:$BM$508,$BM294,$BO$9:$BO$508,"&lt;"&amp;$BO294)+COUNTIFS($BI$9:$BI$508,$BI294,$BK$9:$BK$508,$BK294,$BM$9:$BM$508,$BM294,$BO$9:$BO$508,$BO294,$BQ$9:$BQ$508,"&lt;"&amp;$BQ294)+1))</f>
        <v/>
      </c>
      <c r="BS294" s="127" t="str">
        <f aca="false">IF(ISBLANK($C294),"",IF($BD294&lt;&gt;Constants!$B$6,$BD294,$BI294-$BR294))</f>
        <v/>
      </c>
      <c r="BT294" s="133"/>
      <c r="BU294" s="134"/>
      <c r="BV294" s="134" t="str">
        <f aca="false">IF(ISBLANK($C294),"",IF($BD294&lt;&gt;Constants!$B$6,"",IF($AU294="-&gt;",2,1)))</f>
        <v/>
      </c>
      <c r="BW294" s="135" t="str">
        <f aca="false">IF(ISBLANK($C294),"",IF($BD294&lt;&gt;Constants!$B$6,"",IF($AU294="-&gt;",$AW294,$AN294)))</f>
        <v/>
      </c>
      <c r="BX294" s="135" t="str">
        <f aca="false">IF(ISBLANK($C294),"",IF($BD294&lt;&gt;Constants!$B$6,"",IF($AU294="-&gt;",$AX294,$AO294)))</f>
        <v/>
      </c>
      <c r="BY294" s="135" t="str">
        <f aca="false">IF(ISBLANK($C294),"",IF($BD294&lt;&gt;Constants!$B$6,"",IF($AU294="-&gt;",$AY294,$AP294)))</f>
        <v/>
      </c>
      <c r="BZ294" s="135" t="str">
        <f aca="false">IF(ISBLANK($C294),"",IF($BD294&lt;&gt;Constants!$B$6,"",IF($AU294="-&gt;",$AZ294,$AQ294)+$BG294))</f>
        <v/>
      </c>
      <c r="CA294" s="136" t="str">
        <f aca="false">IF(ISBLANK($C294),"",IF($BD294&lt;&gt;Constants!$B$6,$BD294,$BH294))</f>
        <v/>
      </c>
      <c r="CB294" s="137" t="str">
        <f aca="false">IF(ISBLANK($C294),"",$BE294)</f>
        <v/>
      </c>
      <c r="CC294" s="138" t="str">
        <f aca="false">IF(ISBLANK($C294),"",$BS294)</f>
        <v/>
      </c>
      <c r="CD294" s="138" t="str">
        <f aca="false">IF(ISBLANK($C294),"",$BR294)</f>
        <v/>
      </c>
      <c r="CE294" s="139" t="str">
        <f aca="false">IF(ISBLANK($C294),"",IF($CD294=Constants!$B$9,COUNTA($C$9:$C$508)+2,IF($CD294=Constants!$B$8,COUNTA($C$9:$C$508)+1,IF($CD294=Constants!$B$7,COUNTA($C$9:$C$508),$CD294))))</f>
        <v/>
      </c>
      <c r="CF294" s="9"/>
      <c r="CG294" s="140" t="n">
        <f aca="false">IF(OR(ISNUMBER($CD294),$CD294=Constants!$B$9,$CD294=Constants!$B$7,$CD294=Constants!$B$8),1,0)</f>
        <v>0</v>
      </c>
      <c r="CH294" s="140" t="n">
        <v>286</v>
      </c>
      <c r="CI294" s="140" t="str">
        <f aca="false">IF(ISBLANK($C294),"",IF(ISNUMBER($CE294),$CE294+ROW($B294)/1000,""))</f>
        <v/>
      </c>
      <c r="CJ294" s="140" t="str">
        <f aca="false">IF(ISNUMBER($CI294),RANK($CI294,$CI$9:$CI$508,1),"")</f>
        <v/>
      </c>
      <c r="CK294" s="140" t="str">
        <f aca="false">IF(ISBLANK($C294),"",$B294)</f>
        <v/>
      </c>
      <c r="CL294" s="140" t="str">
        <f aca="false">IF(ISBLANK($C294),"",$C294)</f>
        <v/>
      </c>
      <c r="CM294" s="140" t="str">
        <f aca="false">IF(ISBLANK($C294),"",$D294)</f>
        <v/>
      </c>
      <c r="CN294" s="141" t="str">
        <f aca="false">$CB294</f>
        <v/>
      </c>
      <c r="CO294" s="142" t="str">
        <f aca="false">$CA294</f>
        <v/>
      </c>
      <c r="CP294" s="140" t="str">
        <f aca="false">IF(ISBLANK($C294),"",$CD294)</f>
        <v/>
      </c>
      <c r="CQ294" s="143" t="str">
        <f aca="false">IF($CH294&gt;$CG$8,"",VLOOKUP($CH294,$CJ$9:$CP$508,7,FALSE()))</f>
        <v/>
      </c>
      <c r="CR294" s="144" t="str">
        <f aca="false">IF($CH294&gt;$CG$8,"",VLOOKUP($CH294,$CJ$9:$CP$508,2,FALSE()))</f>
        <v/>
      </c>
      <c r="CS294" s="144" t="str">
        <f aca="false">IF($CH294&gt;$CG$8,"",VLOOKUP($CH294,$CJ$9:$CP$508,3,FALSE()))</f>
        <v/>
      </c>
      <c r="CT294" s="144" t="str">
        <f aca="false">IF($CH294&gt;$CG$8,"",VLOOKUP($CH294,$CJ$9:$CP$508,4,FALSE()))</f>
        <v/>
      </c>
      <c r="CU294" s="144" t="str">
        <f aca="false">IF($CH294&gt;$CG$8,"",VLOOKUP($CH294,$CJ$9:$CP$508,5,FALSE()))</f>
        <v/>
      </c>
      <c r="CV294" s="145" t="str">
        <f aca="false">IF($CH294&gt;$CG$8,"",VLOOKUP($CH294,$CJ$9:$CP$508,6,FALSE()))</f>
        <v/>
      </c>
      <c r="CW294" s="71"/>
    </row>
    <row r="295" customFormat="false" ht="15.75" hidden="false" customHeight="false" outlineLevel="0" collapsed="false">
      <c r="A295" s="9"/>
      <c r="B295" s="150"/>
      <c r="C295" s="151"/>
      <c r="D295" s="152"/>
      <c r="E295" s="170"/>
      <c r="F295" s="154"/>
      <c r="G295" s="155"/>
      <c r="H295" s="171"/>
      <c r="I295" s="159"/>
      <c r="J295" s="120"/>
      <c r="K295" s="121"/>
      <c r="L295" s="122"/>
      <c r="M295" s="158"/>
      <c r="N295" s="159"/>
      <c r="O295" s="159"/>
      <c r="P295" s="120"/>
      <c r="Q295" s="122"/>
      <c r="R295" s="122"/>
      <c r="S295" s="158"/>
      <c r="T295" s="159"/>
      <c r="U295" s="126"/>
      <c r="V295" s="127"/>
      <c r="W295" s="127" t="str">
        <f aca="false">IF(ISBLANK($C295),"",IF(E295=Constants!$B$2,TRUE(),IF(E295=Constants!$B$3,FALSE(),TRUE())))</f>
        <v/>
      </c>
      <c r="X295" s="127" t="str">
        <f aca="false">IF(ISBLANK($C295),"",IF(F295=Constants!$B$2,TRUE(),IF(F295=Constants!$B$3,FALSE(),TRUE())))</f>
        <v/>
      </c>
      <c r="Y295" s="127" t="str">
        <f aca="false">IF(ISBLANK($C295),"",IF(G295=Constants!$B$2,TRUE(),IF(G295=Constants!$B$3,FALSE(),TRUE())))</f>
        <v/>
      </c>
      <c r="Z295" s="127" t="str">
        <f aca="false">IF(ISBLANK($C295),"",IF(H295=Constants!$B$2,TRUE(),IF(H295=Constants!$B$3,FALSE(),TRUE())))</f>
        <v/>
      </c>
      <c r="AA295" s="127" t="str">
        <f aca="false">IF(ISBLANK($C295),"",IF(I295=Constants!$B$2,TRUE(),IF(I295=Constants!$B$3,FALSE(),TRUE())))</f>
        <v/>
      </c>
      <c r="AB295" s="127" t="str">
        <f aca="false">IF(ISBLANK($C295),"",IF(J295=Constants!$B$4,TRUE(),IF(J295=Constants!$B$5,FALSE(),COUNTA(K295:M295)&gt;0)))</f>
        <v/>
      </c>
      <c r="AC295" s="128" t="str">
        <f aca="false">IF(ISBLANK($C295),"",IF(ISNUMBER(K295),IF(K295&gt;=0,K295,""),""))</f>
        <v/>
      </c>
      <c r="AD295" s="129" t="str">
        <f aca="false">IF(ISBLANK($C295),"",IF(ISNUMBER(L295),IF(L295&gt;=0,L295,""),""))</f>
        <v/>
      </c>
      <c r="AE295" s="127" t="str">
        <f aca="false">IF(ISBLANK($C295),"",IF(ISNUMBER(M295),IF(M295&gt;=0,MIN(M295,Constants!$B$22),""),""))</f>
        <v/>
      </c>
      <c r="AF295" s="127" t="str">
        <f aca="false">IF(ISBLANK($C295),"",IF(N295=Constants!$B$2,TRUE(),IF(N295=Constants!$B$3,FALSE(),TRUE())))</f>
        <v/>
      </c>
      <c r="AG295" s="127" t="str">
        <f aca="false">IF(ISBLANK($C295),"",IF(O295=Constants!$B$2,TRUE(),IF(O295=Constants!$B$3,FALSE(),TRUE())))</f>
        <v/>
      </c>
      <c r="AH295" s="127" t="str">
        <f aca="false">IF(ISBLANK($C295),"",IF(P295=Constants!$B$4,TRUE(),IF(P295=Constants!$B$5,FALSE(),COUNTA(Q295:S295)&gt;0)))</f>
        <v/>
      </c>
      <c r="AI295" s="128" t="str">
        <f aca="false">IF(ISBLANK($C295),"",IF(ISNUMBER(Q295),IF(Q295&gt;=0,Q295,""),""))</f>
        <v/>
      </c>
      <c r="AJ295" s="129" t="str">
        <f aca="false">IF(ISBLANK($C295),"",IF(ISNUMBER(R295),IF(R295&gt;=0,R295,""),""))</f>
        <v/>
      </c>
      <c r="AK295" s="127" t="str">
        <f aca="false">IF(ISBLANK($C295),"",IF(ISNUMBER(S295),IF(S295&gt;=0,MIN(S295,Constants!$B$22),""),""))</f>
        <v/>
      </c>
      <c r="AL295" s="127" t="str">
        <f aca="false">IF(ISBLANK($C295),"",IF(T295=Constants!$B$2,TRUE(),IF(T295=Constants!$B$3,FALSE(),FALSE())))</f>
        <v/>
      </c>
      <c r="AM295" s="126" t="str">
        <f aca="false">IF(ISBLANK($C295),"",AND($AB295,OR($AC295="",$AD295="",AND(NOT(ISBLANK($M295)),$AE295=""))))</f>
        <v/>
      </c>
      <c r="AN295" s="129" t="str">
        <f aca="false">IF($BD295&lt;&gt;Constants!$B$6,"",IF($AB295,Constants!$B$17*$AD295,Constants!$B$18))</f>
        <v/>
      </c>
      <c r="AO295" s="130" t="str">
        <f aca="false">IF($BD295&lt;&gt;Constants!$B$6,"",Constants!$B$19*IF($AB295,$AC295,0))</f>
        <v/>
      </c>
      <c r="AP295" s="130" t="str">
        <f aca="false">IF($BD295&lt;&gt;Constants!$B$6,"",IF(AND($AB295,ISNUMBER($AE295)),Constants!$B$20*(Constants!$B$21-$AE295),0))</f>
        <v/>
      </c>
      <c r="AQ295" s="130" t="str">
        <f aca="false">IF($BD295&lt;&gt;Constants!$B$6,"",IF($AA295,0,Constants!$B$12)+IF($Z295,0,Constants!$B$13)+IF($Y295,0,Constants!$B$14))</f>
        <v/>
      </c>
      <c r="AR295" s="131" t="str">
        <f aca="false">IF($BD295&lt;&gt;Constants!$B$6,"",Constants!$B$16+SUM($AN295:$AQ295))</f>
        <v/>
      </c>
      <c r="AS295" s="130" t="str">
        <f aca="false">IF($BD295&lt;&gt;Constants!$B$6,"",IF($AB295,$AD295,""))</f>
        <v/>
      </c>
      <c r="AT295" s="132" t="str">
        <f aca="false">IF($BD295&lt;&gt;Constants!$B$6,"",$AO295)</f>
        <v/>
      </c>
      <c r="AU295" s="127" t="str">
        <f aca="false">IF($BD295&lt;&gt;Constants!$B$6,"",IF(OR($BA295&lt;$AR295,AND($BA295=$AR295,OR(AND(ISNUMBER($BB295),OR(NOT(ISNUMBER($AS295)),$BB295&lt;$AS295)),AND(OR(AND($BB295="",$AS295=""),AND(ISNUMBER($BB295),ISNUMBER($AS295),$BB295=$AS295)),$BC295&lt;$AT295)))),"-&gt;","&lt;-"))</f>
        <v/>
      </c>
      <c r="AV295" s="126" t="str">
        <f aca="false">IF(ISBLANK($C295),"",AND($AH295,OR($AI295="",$AJ295="",AND(NOT(ISBLANK($S295)),$AK295=""))))</f>
        <v/>
      </c>
      <c r="AW295" s="129" t="str">
        <f aca="false">IF($BD295&lt;&gt;Constants!$B$6,"",IF($AH295,Constants!$B$17*$AJ295,Constants!$B$18))</f>
        <v/>
      </c>
      <c r="AX295" s="130" t="str">
        <f aca="false">IF($BD295&lt;&gt;Constants!$B$6,"",Constants!$B$19*IF($AH295,$AI295,0))</f>
        <v/>
      </c>
      <c r="AY295" s="130" t="str">
        <f aca="false">IF($BD295&lt;&gt;Constants!$B$6,"",IF(AND($AH295,ISNUMBER($AK295)),Constants!$B$20*(Constants!$B$21-$AK295),0))</f>
        <v/>
      </c>
      <c r="AZ295" s="130" t="str">
        <f aca="false">IF($BD295&lt;&gt;Constants!$B$6,"",IF($AG295,0,Constants!$B$12)+IF($AF295,0,Constants!$B$13)+IF($Y295,0,Constants!$B$14))</f>
        <v/>
      </c>
      <c r="BA295" s="131" t="str">
        <f aca="false">IF($BD295&lt;&gt;Constants!$B$6,"",Constants!$B$16+SUM($AW295:$AZ295))</f>
        <v/>
      </c>
      <c r="BB295" s="130" t="str">
        <f aca="false">IF($BD295&lt;&gt;Constants!$B$6,"",IF($AH295,$AJ295,""))</f>
        <v/>
      </c>
      <c r="BC295" s="132" t="str">
        <f aca="false">IF($BD295&lt;&gt;Constants!$B$6,"",$AX295)</f>
        <v/>
      </c>
      <c r="BD295" s="127" t="str">
        <f aca="false">IF(ISBLANK($C295),"",IF($AL295,Constants!$B$9,IF(COUNTA($E295:$T295)=0,Constants!$B$8,IF(NOT($X295),Constants!$B$7,IF(OR($AM295,$AV295),Constants!$B$10,Constants!$B$6)))))</f>
        <v/>
      </c>
      <c r="BE295" s="127" t="str">
        <f aca="false">IF(ISBLANK($C295),"",IF($BD295&lt;&gt;Constants!$B$6,$BD295,Constants!$B$11))</f>
        <v/>
      </c>
      <c r="BF295" s="130" t="str">
        <f aca="false">IF($BD295&lt;&gt;Constants!$B$6,"",IF($AU295="-&gt;",$BA295,$AR295))</f>
        <v/>
      </c>
      <c r="BG295" s="130" t="str">
        <f aca="false">IF($BD295&lt;&gt;Constants!$B$6,"",IF($W295,0,Constants!$B$15))</f>
        <v/>
      </c>
      <c r="BH295" s="130" t="str">
        <f aca="false">IF(ISBLANK($C295),"",IF($BD295&lt;&gt;Constants!$B$6,$BD295,SUM($BF295:$BG295)))</f>
        <v/>
      </c>
      <c r="BI295" s="127" t="str">
        <f aca="false">IF(ISBLANK($C295),"",IF($BD295&lt;&gt;Constants!$B$6,$BD295,RANK($BH295,$BH$9:$BH$508,1)))</f>
        <v/>
      </c>
      <c r="BJ295" s="130" t="str">
        <f aca="false">IF($BD295&lt;&gt;Constants!$B$6,"",IF($AU295="-&gt;",$BB295,$AS295))</f>
        <v/>
      </c>
      <c r="BK295" s="127" t="str">
        <f aca="false">IF(ISBLANK($C295),"",IF($BD295&lt;&gt;Constants!$B$6,$BD295,IF(ISNUMBER($BJ295),RANK($BJ295,$BJ$9:$BJ$508,1),COUNT($BJ$9:$BJ$508)+1)))</f>
        <v/>
      </c>
      <c r="BL295" s="130" t="str">
        <f aca="false">IF($BD295&lt;&gt;Constants!$B$6,"",IF($AU295="-&gt;",$BC295,$AT295))</f>
        <v/>
      </c>
      <c r="BM295" s="127" t="str">
        <f aca="false">IF(ISBLANK($C295),"",IF($BD295&lt;&gt;Constants!$B$6,$BD295,IF(ISNUMBER($BL295),RANK($BL295,$BL$9:$BL$508,1),COUNT($BL$9:$BL$508)+1)))</f>
        <v/>
      </c>
      <c r="BN295" s="130" t="str">
        <f aca="false">IF($BD295&lt;&gt;Constants!$B$6,"",IF($AU295="-&gt;",$AS295,$BB295))</f>
        <v/>
      </c>
      <c r="BO295" s="127" t="str">
        <f aca="false">IF(ISBLANK($C295),"",IF($BD295&lt;&gt;Constants!$B$6,$BD295,IF(ISNUMBER($BN295),RANK($BN295,$BN$9:$BN$508,1),COUNT($BN$9:$BN$508)+1)))</f>
        <v/>
      </c>
      <c r="BP295" s="130" t="str">
        <f aca="false">IF($BD295&lt;&gt;Constants!$B$6,"",IF($AU295="-&gt;",$AT295,$BC295))</f>
        <v/>
      </c>
      <c r="BQ295" s="127" t="str">
        <f aca="false">IF(ISBLANK($C295),"",IF($BD295&lt;&gt;Constants!$B$6,$BD295,IF(ISNUMBER($BP295),RANK($BP295,$BP$9:$BP$508,1),COUNT($BP$9:$BP$508)+1)))</f>
        <v/>
      </c>
      <c r="BR295" s="127" t="str">
        <f aca="false">IF(ISBLANK($C295),"",IF($BD295&lt;&gt;Constants!$B$6,$BD295,COUNTIFS($BI$9:$BI$508,"&lt;"&amp;$BI295)+COUNTIFS($BI$9:$BI$508,$BI295,$BK$9:$BK$508,"&lt;"&amp;$BK295)+COUNTIFS($BI$9:$BI$508,$BI295,$BK$9:$BK$508,$BK295,$BM$9:$BM$508,"&lt;"&amp;$BM295)+COUNTIFS($BI$9:$BI$508,$BI295,$BK$9:$BK$508,$BK295,$BM$9:$BM$508,$BM295,$BO$9:$BO$508,"&lt;"&amp;$BO295)+COUNTIFS($BI$9:$BI$508,$BI295,$BK$9:$BK$508,$BK295,$BM$9:$BM$508,$BM295,$BO$9:$BO$508,$BO295,$BQ$9:$BQ$508,"&lt;"&amp;$BQ295)+1))</f>
        <v/>
      </c>
      <c r="BS295" s="127" t="str">
        <f aca="false">IF(ISBLANK($C295),"",IF($BD295&lt;&gt;Constants!$B$6,$BD295,$BI295-$BR295))</f>
        <v/>
      </c>
      <c r="BT295" s="133"/>
      <c r="BU295" s="134"/>
      <c r="BV295" s="134" t="str">
        <f aca="false">IF(ISBLANK($C295),"",IF($BD295&lt;&gt;Constants!$B$6,"",IF($AU295="-&gt;",2,1)))</f>
        <v/>
      </c>
      <c r="BW295" s="135" t="str">
        <f aca="false">IF(ISBLANK($C295),"",IF($BD295&lt;&gt;Constants!$B$6,"",IF($AU295="-&gt;",$AW295,$AN295)))</f>
        <v/>
      </c>
      <c r="BX295" s="135" t="str">
        <f aca="false">IF(ISBLANK($C295),"",IF($BD295&lt;&gt;Constants!$B$6,"",IF($AU295="-&gt;",$AX295,$AO295)))</f>
        <v/>
      </c>
      <c r="BY295" s="135" t="str">
        <f aca="false">IF(ISBLANK($C295),"",IF($BD295&lt;&gt;Constants!$B$6,"",IF($AU295="-&gt;",$AY295,$AP295)))</f>
        <v/>
      </c>
      <c r="BZ295" s="135" t="str">
        <f aca="false">IF(ISBLANK($C295),"",IF($BD295&lt;&gt;Constants!$B$6,"",IF($AU295="-&gt;",$AZ295,$AQ295)+$BG295))</f>
        <v/>
      </c>
      <c r="CA295" s="136" t="str">
        <f aca="false">IF(ISBLANK($C295),"",IF($BD295&lt;&gt;Constants!$B$6,$BD295,$BH295))</f>
        <v/>
      </c>
      <c r="CB295" s="137" t="str">
        <f aca="false">IF(ISBLANK($C295),"",$BE295)</f>
        <v/>
      </c>
      <c r="CC295" s="138" t="str">
        <f aca="false">IF(ISBLANK($C295),"",$BS295)</f>
        <v/>
      </c>
      <c r="CD295" s="138" t="str">
        <f aca="false">IF(ISBLANK($C295),"",$BR295)</f>
        <v/>
      </c>
      <c r="CE295" s="139" t="str">
        <f aca="false">IF(ISBLANK($C295),"",IF($CD295=Constants!$B$9,COUNTA($C$9:$C$508)+2,IF($CD295=Constants!$B$8,COUNTA($C$9:$C$508)+1,IF($CD295=Constants!$B$7,COUNTA($C$9:$C$508),$CD295))))</f>
        <v/>
      </c>
      <c r="CF295" s="9"/>
      <c r="CG295" s="140" t="n">
        <f aca="false">IF(OR(ISNUMBER($CD295),$CD295=Constants!$B$9,$CD295=Constants!$B$7,$CD295=Constants!$B$8),1,0)</f>
        <v>0</v>
      </c>
      <c r="CH295" s="140" t="n">
        <v>287</v>
      </c>
      <c r="CI295" s="140" t="str">
        <f aca="false">IF(ISBLANK($C295),"",IF(ISNUMBER($CE295),$CE295+ROW($B295)/1000,""))</f>
        <v/>
      </c>
      <c r="CJ295" s="140" t="str">
        <f aca="false">IF(ISNUMBER($CI295),RANK($CI295,$CI$9:$CI$508,1),"")</f>
        <v/>
      </c>
      <c r="CK295" s="140" t="str">
        <f aca="false">IF(ISBLANK($C295),"",$B295)</f>
        <v/>
      </c>
      <c r="CL295" s="140" t="str">
        <f aca="false">IF(ISBLANK($C295),"",$C295)</f>
        <v/>
      </c>
      <c r="CM295" s="140" t="str">
        <f aca="false">IF(ISBLANK($C295),"",$D295)</f>
        <v/>
      </c>
      <c r="CN295" s="141" t="str">
        <f aca="false">$CB295</f>
        <v/>
      </c>
      <c r="CO295" s="142" t="str">
        <f aca="false">$CA295</f>
        <v/>
      </c>
      <c r="CP295" s="140" t="str">
        <f aca="false">IF(ISBLANK($C295),"",$CD295)</f>
        <v/>
      </c>
      <c r="CQ295" s="143" t="str">
        <f aca="false">IF($CH295&gt;$CG$8,"",VLOOKUP($CH295,$CJ$9:$CP$508,7,FALSE()))</f>
        <v/>
      </c>
      <c r="CR295" s="144" t="str">
        <f aca="false">IF($CH295&gt;$CG$8,"",VLOOKUP($CH295,$CJ$9:$CP$508,2,FALSE()))</f>
        <v/>
      </c>
      <c r="CS295" s="144" t="str">
        <f aca="false">IF($CH295&gt;$CG$8,"",VLOOKUP($CH295,$CJ$9:$CP$508,3,FALSE()))</f>
        <v/>
      </c>
      <c r="CT295" s="144" t="str">
        <f aca="false">IF($CH295&gt;$CG$8,"",VLOOKUP($CH295,$CJ$9:$CP$508,4,FALSE()))</f>
        <v/>
      </c>
      <c r="CU295" s="144" t="str">
        <f aca="false">IF($CH295&gt;$CG$8,"",VLOOKUP($CH295,$CJ$9:$CP$508,5,FALSE()))</f>
        <v/>
      </c>
      <c r="CV295" s="145" t="str">
        <f aca="false">IF($CH295&gt;$CG$8,"",VLOOKUP($CH295,$CJ$9:$CP$508,6,FALSE()))</f>
        <v/>
      </c>
      <c r="CW295" s="71"/>
    </row>
    <row r="296" customFormat="false" ht="15.75" hidden="false" customHeight="false" outlineLevel="0" collapsed="false">
      <c r="A296" s="9"/>
      <c r="B296" s="150"/>
      <c r="C296" s="151"/>
      <c r="D296" s="152"/>
      <c r="E296" s="170"/>
      <c r="F296" s="154"/>
      <c r="G296" s="155"/>
      <c r="H296" s="171"/>
      <c r="I296" s="159"/>
      <c r="J296" s="120"/>
      <c r="K296" s="121"/>
      <c r="L296" s="122"/>
      <c r="M296" s="158"/>
      <c r="N296" s="159"/>
      <c r="O296" s="159"/>
      <c r="P296" s="120"/>
      <c r="Q296" s="122"/>
      <c r="R296" s="122"/>
      <c r="S296" s="158"/>
      <c r="T296" s="159"/>
      <c r="U296" s="126"/>
      <c r="V296" s="127"/>
      <c r="W296" s="127" t="str">
        <f aca="false">IF(ISBLANK($C296),"",IF(E296=Constants!$B$2,TRUE(),IF(E296=Constants!$B$3,FALSE(),TRUE())))</f>
        <v/>
      </c>
      <c r="X296" s="127" t="str">
        <f aca="false">IF(ISBLANK($C296),"",IF(F296=Constants!$B$2,TRUE(),IF(F296=Constants!$B$3,FALSE(),TRUE())))</f>
        <v/>
      </c>
      <c r="Y296" s="127" t="str">
        <f aca="false">IF(ISBLANK($C296),"",IF(G296=Constants!$B$2,TRUE(),IF(G296=Constants!$B$3,FALSE(),TRUE())))</f>
        <v/>
      </c>
      <c r="Z296" s="127" t="str">
        <f aca="false">IF(ISBLANK($C296),"",IF(H296=Constants!$B$2,TRUE(),IF(H296=Constants!$B$3,FALSE(),TRUE())))</f>
        <v/>
      </c>
      <c r="AA296" s="127" t="str">
        <f aca="false">IF(ISBLANK($C296),"",IF(I296=Constants!$B$2,TRUE(),IF(I296=Constants!$B$3,FALSE(),TRUE())))</f>
        <v/>
      </c>
      <c r="AB296" s="127" t="str">
        <f aca="false">IF(ISBLANK($C296),"",IF(J296=Constants!$B$4,TRUE(),IF(J296=Constants!$B$5,FALSE(),COUNTA(K296:M296)&gt;0)))</f>
        <v/>
      </c>
      <c r="AC296" s="128" t="str">
        <f aca="false">IF(ISBLANK($C296),"",IF(ISNUMBER(K296),IF(K296&gt;=0,K296,""),""))</f>
        <v/>
      </c>
      <c r="AD296" s="129" t="str">
        <f aca="false">IF(ISBLANK($C296),"",IF(ISNUMBER(L296),IF(L296&gt;=0,L296,""),""))</f>
        <v/>
      </c>
      <c r="AE296" s="127" t="str">
        <f aca="false">IF(ISBLANK($C296),"",IF(ISNUMBER(M296),IF(M296&gt;=0,MIN(M296,Constants!$B$22),""),""))</f>
        <v/>
      </c>
      <c r="AF296" s="127" t="str">
        <f aca="false">IF(ISBLANK($C296),"",IF(N296=Constants!$B$2,TRUE(),IF(N296=Constants!$B$3,FALSE(),TRUE())))</f>
        <v/>
      </c>
      <c r="AG296" s="127" t="str">
        <f aca="false">IF(ISBLANK($C296),"",IF(O296=Constants!$B$2,TRUE(),IF(O296=Constants!$B$3,FALSE(),TRUE())))</f>
        <v/>
      </c>
      <c r="AH296" s="127" t="str">
        <f aca="false">IF(ISBLANK($C296),"",IF(P296=Constants!$B$4,TRUE(),IF(P296=Constants!$B$5,FALSE(),COUNTA(Q296:S296)&gt;0)))</f>
        <v/>
      </c>
      <c r="AI296" s="128" t="str">
        <f aca="false">IF(ISBLANK($C296),"",IF(ISNUMBER(Q296),IF(Q296&gt;=0,Q296,""),""))</f>
        <v/>
      </c>
      <c r="AJ296" s="129" t="str">
        <f aca="false">IF(ISBLANK($C296),"",IF(ISNUMBER(R296),IF(R296&gt;=0,R296,""),""))</f>
        <v/>
      </c>
      <c r="AK296" s="127" t="str">
        <f aca="false">IF(ISBLANK($C296),"",IF(ISNUMBER(S296),IF(S296&gt;=0,MIN(S296,Constants!$B$22),""),""))</f>
        <v/>
      </c>
      <c r="AL296" s="127" t="str">
        <f aca="false">IF(ISBLANK($C296),"",IF(T296=Constants!$B$2,TRUE(),IF(T296=Constants!$B$3,FALSE(),FALSE())))</f>
        <v/>
      </c>
      <c r="AM296" s="126" t="str">
        <f aca="false">IF(ISBLANK($C296),"",AND($AB296,OR($AC296="",$AD296="",AND(NOT(ISBLANK($M296)),$AE296=""))))</f>
        <v/>
      </c>
      <c r="AN296" s="129" t="str">
        <f aca="false">IF($BD296&lt;&gt;Constants!$B$6,"",IF($AB296,Constants!$B$17*$AD296,Constants!$B$18))</f>
        <v/>
      </c>
      <c r="AO296" s="130" t="str">
        <f aca="false">IF($BD296&lt;&gt;Constants!$B$6,"",Constants!$B$19*IF($AB296,$AC296,0))</f>
        <v/>
      </c>
      <c r="AP296" s="130" t="str">
        <f aca="false">IF($BD296&lt;&gt;Constants!$B$6,"",IF(AND($AB296,ISNUMBER($AE296)),Constants!$B$20*(Constants!$B$21-$AE296),0))</f>
        <v/>
      </c>
      <c r="AQ296" s="130" t="str">
        <f aca="false">IF($BD296&lt;&gt;Constants!$B$6,"",IF($AA296,0,Constants!$B$12)+IF($Z296,0,Constants!$B$13)+IF($Y296,0,Constants!$B$14))</f>
        <v/>
      </c>
      <c r="AR296" s="131" t="str">
        <f aca="false">IF($BD296&lt;&gt;Constants!$B$6,"",Constants!$B$16+SUM($AN296:$AQ296))</f>
        <v/>
      </c>
      <c r="AS296" s="130" t="str">
        <f aca="false">IF($BD296&lt;&gt;Constants!$B$6,"",IF($AB296,$AD296,""))</f>
        <v/>
      </c>
      <c r="AT296" s="132" t="str">
        <f aca="false">IF($BD296&lt;&gt;Constants!$B$6,"",$AO296)</f>
        <v/>
      </c>
      <c r="AU296" s="127" t="str">
        <f aca="false">IF($BD296&lt;&gt;Constants!$B$6,"",IF(OR($BA296&lt;$AR296,AND($BA296=$AR296,OR(AND(ISNUMBER($BB296),OR(NOT(ISNUMBER($AS296)),$BB296&lt;$AS296)),AND(OR(AND($BB296="",$AS296=""),AND(ISNUMBER($BB296),ISNUMBER($AS296),$BB296=$AS296)),$BC296&lt;$AT296)))),"-&gt;","&lt;-"))</f>
        <v/>
      </c>
      <c r="AV296" s="126" t="str">
        <f aca="false">IF(ISBLANK($C296),"",AND($AH296,OR($AI296="",$AJ296="",AND(NOT(ISBLANK($S296)),$AK296=""))))</f>
        <v/>
      </c>
      <c r="AW296" s="129" t="str">
        <f aca="false">IF($BD296&lt;&gt;Constants!$B$6,"",IF($AH296,Constants!$B$17*$AJ296,Constants!$B$18))</f>
        <v/>
      </c>
      <c r="AX296" s="130" t="str">
        <f aca="false">IF($BD296&lt;&gt;Constants!$B$6,"",Constants!$B$19*IF($AH296,$AI296,0))</f>
        <v/>
      </c>
      <c r="AY296" s="130" t="str">
        <f aca="false">IF($BD296&lt;&gt;Constants!$B$6,"",IF(AND($AH296,ISNUMBER($AK296)),Constants!$B$20*(Constants!$B$21-$AK296),0))</f>
        <v/>
      </c>
      <c r="AZ296" s="130" t="str">
        <f aca="false">IF($BD296&lt;&gt;Constants!$B$6,"",IF($AG296,0,Constants!$B$12)+IF($AF296,0,Constants!$B$13)+IF($Y296,0,Constants!$B$14))</f>
        <v/>
      </c>
      <c r="BA296" s="131" t="str">
        <f aca="false">IF($BD296&lt;&gt;Constants!$B$6,"",Constants!$B$16+SUM($AW296:$AZ296))</f>
        <v/>
      </c>
      <c r="BB296" s="130" t="str">
        <f aca="false">IF($BD296&lt;&gt;Constants!$B$6,"",IF($AH296,$AJ296,""))</f>
        <v/>
      </c>
      <c r="BC296" s="132" t="str">
        <f aca="false">IF($BD296&lt;&gt;Constants!$B$6,"",$AX296)</f>
        <v/>
      </c>
      <c r="BD296" s="127" t="str">
        <f aca="false">IF(ISBLANK($C296),"",IF($AL296,Constants!$B$9,IF(COUNTA($E296:$T296)=0,Constants!$B$8,IF(NOT($X296),Constants!$B$7,IF(OR($AM296,$AV296),Constants!$B$10,Constants!$B$6)))))</f>
        <v/>
      </c>
      <c r="BE296" s="127" t="str">
        <f aca="false">IF(ISBLANK($C296),"",IF($BD296&lt;&gt;Constants!$B$6,$BD296,Constants!$B$11))</f>
        <v/>
      </c>
      <c r="BF296" s="130" t="str">
        <f aca="false">IF($BD296&lt;&gt;Constants!$B$6,"",IF($AU296="-&gt;",$BA296,$AR296))</f>
        <v/>
      </c>
      <c r="BG296" s="130" t="str">
        <f aca="false">IF($BD296&lt;&gt;Constants!$B$6,"",IF($W296,0,Constants!$B$15))</f>
        <v/>
      </c>
      <c r="BH296" s="130" t="str">
        <f aca="false">IF(ISBLANK($C296),"",IF($BD296&lt;&gt;Constants!$B$6,$BD296,SUM($BF296:$BG296)))</f>
        <v/>
      </c>
      <c r="BI296" s="127" t="str">
        <f aca="false">IF(ISBLANK($C296),"",IF($BD296&lt;&gt;Constants!$B$6,$BD296,RANK($BH296,$BH$9:$BH$508,1)))</f>
        <v/>
      </c>
      <c r="BJ296" s="130" t="str">
        <f aca="false">IF($BD296&lt;&gt;Constants!$B$6,"",IF($AU296="-&gt;",$BB296,$AS296))</f>
        <v/>
      </c>
      <c r="BK296" s="127" t="str">
        <f aca="false">IF(ISBLANK($C296),"",IF($BD296&lt;&gt;Constants!$B$6,$BD296,IF(ISNUMBER($BJ296),RANK($BJ296,$BJ$9:$BJ$508,1),COUNT($BJ$9:$BJ$508)+1)))</f>
        <v/>
      </c>
      <c r="BL296" s="130" t="str">
        <f aca="false">IF($BD296&lt;&gt;Constants!$B$6,"",IF($AU296="-&gt;",$BC296,$AT296))</f>
        <v/>
      </c>
      <c r="BM296" s="127" t="str">
        <f aca="false">IF(ISBLANK($C296),"",IF($BD296&lt;&gt;Constants!$B$6,$BD296,IF(ISNUMBER($BL296),RANK($BL296,$BL$9:$BL$508,1),COUNT($BL$9:$BL$508)+1)))</f>
        <v/>
      </c>
      <c r="BN296" s="130" t="str">
        <f aca="false">IF($BD296&lt;&gt;Constants!$B$6,"",IF($AU296="-&gt;",$AS296,$BB296))</f>
        <v/>
      </c>
      <c r="BO296" s="127" t="str">
        <f aca="false">IF(ISBLANK($C296),"",IF($BD296&lt;&gt;Constants!$B$6,$BD296,IF(ISNUMBER($BN296),RANK($BN296,$BN$9:$BN$508,1),COUNT($BN$9:$BN$508)+1)))</f>
        <v/>
      </c>
      <c r="BP296" s="130" t="str">
        <f aca="false">IF($BD296&lt;&gt;Constants!$B$6,"",IF($AU296="-&gt;",$AT296,$BC296))</f>
        <v/>
      </c>
      <c r="BQ296" s="127" t="str">
        <f aca="false">IF(ISBLANK($C296),"",IF($BD296&lt;&gt;Constants!$B$6,$BD296,IF(ISNUMBER($BP296),RANK($BP296,$BP$9:$BP$508,1),COUNT($BP$9:$BP$508)+1)))</f>
        <v/>
      </c>
      <c r="BR296" s="127" t="str">
        <f aca="false">IF(ISBLANK($C296),"",IF($BD296&lt;&gt;Constants!$B$6,$BD296,COUNTIFS($BI$9:$BI$508,"&lt;"&amp;$BI296)+COUNTIFS($BI$9:$BI$508,$BI296,$BK$9:$BK$508,"&lt;"&amp;$BK296)+COUNTIFS($BI$9:$BI$508,$BI296,$BK$9:$BK$508,$BK296,$BM$9:$BM$508,"&lt;"&amp;$BM296)+COUNTIFS($BI$9:$BI$508,$BI296,$BK$9:$BK$508,$BK296,$BM$9:$BM$508,$BM296,$BO$9:$BO$508,"&lt;"&amp;$BO296)+COUNTIFS($BI$9:$BI$508,$BI296,$BK$9:$BK$508,$BK296,$BM$9:$BM$508,$BM296,$BO$9:$BO$508,$BO296,$BQ$9:$BQ$508,"&lt;"&amp;$BQ296)+1))</f>
        <v/>
      </c>
      <c r="BS296" s="127" t="str">
        <f aca="false">IF(ISBLANK($C296),"",IF($BD296&lt;&gt;Constants!$B$6,$BD296,$BI296-$BR296))</f>
        <v/>
      </c>
      <c r="BT296" s="133"/>
      <c r="BU296" s="134"/>
      <c r="BV296" s="134" t="str">
        <f aca="false">IF(ISBLANK($C296),"",IF($BD296&lt;&gt;Constants!$B$6,"",IF($AU296="-&gt;",2,1)))</f>
        <v/>
      </c>
      <c r="BW296" s="135" t="str">
        <f aca="false">IF(ISBLANK($C296),"",IF($BD296&lt;&gt;Constants!$B$6,"",IF($AU296="-&gt;",$AW296,$AN296)))</f>
        <v/>
      </c>
      <c r="BX296" s="135" t="str">
        <f aca="false">IF(ISBLANK($C296),"",IF($BD296&lt;&gt;Constants!$B$6,"",IF($AU296="-&gt;",$AX296,$AO296)))</f>
        <v/>
      </c>
      <c r="BY296" s="135" t="str">
        <f aca="false">IF(ISBLANK($C296),"",IF($BD296&lt;&gt;Constants!$B$6,"",IF($AU296="-&gt;",$AY296,$AP296)))</f>
        <v/>
      </c>
      <c r="BZ296" s="135" t="str">
        <f aca="false">IF(ISBLANK($C296),"",IF($BD296&lt;&gt;Constants!$B$6,"",IF($AU296="-&gt;",$AZ296,$AQ296)+$BG296))</f>
        <v/>
      </c>
      <c r="CA296" s="136" t="str">
        <f aca="false">IF(ISBLANK($C296),"",IF($BD296&lt;&gt;Constants!$B$6,$BD296,$BH296))</f>
        <v/>
      </c>
      <c r="CB296" s="137" t="str">
        <f aca="false">IF(ISBLANK($C296),"",$BE296)</f>
        <v/>
      </c>
      <c r="CC296" s="138" t="str">
        <f aca="false">IF(ISBLANK($C296),"",$BS296)</f>
        <v/>
      </c>
      <c r="CD296" s="138" t="str">
        <f aca="false">IF(ISBLANK($C296),"",$BR296)</f>
        <v/>
      </c>
      <c r="CE296" s="139" t="str">
        <f aca="false">IF(ISBLANK($C296),"",IF($CD296=Constants!$B$9,COUNTA($C$9:$C$508)+2,IF($CD296=Constants!$B$8,COUNTA($C$9:$C$508)+1,IF($CD296=Constants!$B$7,COUNTA($C$9:$C$508),$CD296))))</f>
        <v/>
      </c>
      <c r="CF296" s="9"/>
      <c r="CG296" s="140" t="n">
        <f aca="false">IF(OR(ISNUMBER($CD296),$CD296=Constants!$B$9,$CD296=Constants!$B$7,$CD296=Constants!$B$8),1,0)</f>
        <v>0</v>
      </c>
      <c r="CH296" s="140" t="n">
        <v>288</v>
      </c>
      <c r="CI296" s="140" t="str">
        <f aca="false">IF(ISBLANK($C296),"",IF(ISNUMBER($CE296),$CE296+ROW($B296)/1000,""))</f>
        <v/>
      </c>
      <c r="CJ296" s="140" t="str">
        <f aca="false">IF(ISNUMBER($CI296),RANK($CI296,$CI$9:$CI$508,1),"")</f>
        <v/>
      </c>
      <c r="CK296" s="140" t="str">
        <f aca="false">IF(ISBLANK($C296),"",$B296)</f>
        <v/>
      </c>
      <c r="CL296" s="140" t="str">
        <f aca="false">IF(ISBLANK($C296),"",$C296)</f>
        <v/>
      </c>
      <c r="CM296" s="140" t="str">
        <f aca="false">IF(ISBLANK($C296),"",$D296)</f>
        <v/>
      </c>
      <c r="CN296" s="141" t="str">
        <f aca="false">$CB296</f>
        <v/>
      </c>
      <c r="CO296" s="142" t="str">
        <f aca="false">$CA296</f>
        <v/>
      </c>
      <c r="CP296" s="140" t="str">
        <f aca="false">IF(ISBLANK($C296),"",$CD296)</f>
        <v/>
      </c>
      <c r="CQ296" s="143" t="str">
        <f aca="false">IF($CH296&gt;$CG$8,"",VLOOKUP($CH296,$CJ$9:$CP$508,7,FALSE()))</f>
        <v/>
      </c>
      <c r="CR296" s="144" t="str">
        <f aca="false">IF($CH296&gt;$CG$8,"",VLOOKUP($CH296,$CJ$9:$CP$508,2,FALSE()))</f>
        <v/>
      </c>
      <c r="CS296" s="144" t="str">
        <f aca="false">IF($CH296&gt;$CG$8,"",VLOOKUP($CH296,$CJ$9:$CP$508,3,FALSE()))</f>
        <v/>
      </c>
      <c r="CT296" s="144" t="str">
        <f aca="false">IF($CH296&gt;$CG$8,"",VLOOKUP($CH296,$CJ$9:$CP$508,4,FALSE()))</f>
        <v/>
      </c>
      <c r="CU296" s="144" t="str">
        <f aca="false">IF($CH296&gt;$CG$8,"",VLOOKUP($CH296,$CJ$9:$CP$508,5,FALSE()))</f>
        <v/>
      </c>
      <c r="CV296" s="145" t="str">
        <f aca="false">IF($CH296&gt;$CG$8,"",VLOOKUP($CH296,$CJ$9:$CP$508,6,FALSE()))</f>
        <v/>
      </c>
      <c r="CW296" s="71"/>
    </row>
    <row r="297" customFormat="false" ht="15.75" hidden="false" customHeight="false" outlineLevel="0" collapsed="false">
      <c r="A297" s="9"/>
      <c r="B297" s="72"/>
      <c r="C297" s="73"/>
      <c r="D297" s="160"/>
      <c r="E297" s="168"/>
      <c r="F297" s="162"/>
      <c r="G297" s="163"/>
      <c r="H297" s="169"/>
      <c r="I297" s="167"/>
      <c r="J297" s="80"/>
      <c r="K297" s="81"/>
      <c r="L297" s="82"/>
      <c r="M297" s="166"/>
      <c r="N297" s="167"/>
      <c r="O297" s="167"/>
      <c r="P297" s="80"/>
      <c r="Q297" s="82"/>
      <c r="R297" s="82"/>
      <c r="S297" s="166"/>
      <c r="T297" s="167"/>
      <c r="U297" s="86"/>
      <c r="V297" s="87"/>
      <c r="W297" s="87" t="str">
        <f aca="false">IF(ISBLANK($C297),"",IF(E297=Constants!$B$2,TRUE(),IF(E297=Constants!$B$3,FALSE(),TRUE())))</f>
        <v/>
      </c>
      <c r="X297" s="87" t="str">
        <f aca="false">IF(ISBLANK($C297),"",IF(F297=Constants!$B$2,TRUE(),IF(F297=Constants!$B$3,FALSE(),TRUE())))</f>
        <v/>
      </c>
      <c r="Y297" s="87" t="str">
        <f aca="false">IF(ISBLANK($C297),"",IF(G297=Constants!$B$2,TRUE(),IF(G297=Constants!$B$3,FALSE(),TRUE())))</f>
        <v/>
      </c>
      <c r="Z297" s="87" t="str">
        <f aca="false">IF(ISBLANK($C297),"",IF(H297=Constants!$B$2,TRUE(),IF(H297=Constants!$B$3,FALSE(),TRUE())))</f>
        <v/>
      </c>
      <c r="AA297" s="87" t="str">
        <f aca="false">IF(ISBLANK($C297),"",IF(I297=Constants!$B$2,TRUE(),IF(I297=Constants!$B$3,FALSE(),TRUE())))</f>
        <v/>
      </c>
      <c r="AB297" s="87" t="str">
        <f aca="false">IF(ISBLANK($C297),"",IF(J297=Constants!$B$4,TRUE(),IF(J297=Constants!$B$5,FALSE(),COUNTA(K297:M297)&gt;0)))</f>
        <v/>
      </c>
      <c r="AC297" s="88" t="str">
        <f aca="false">IF(ISBLANK($C297),"",IF(ISNUMBER(K297),IF(K297&gt;=0,K297,""),""))</f>
        <v/>
      </c>
      <c r="AD297" s="89" t="str">
        <f aca="false">IF(ISBLANK($C297),"",IF(ISNUMBER(L297),IF(L297&gt;=0,L297,""),""))</f>
        <v/>
      </c>
      <c r="AE297" s="87" t="str">
        <f aca="false">IF(ISBLANK($C297),"",IF(ISNUMBER(M297),IF(M297&gt;=0,MIN(M297,Constants!$B$22),""),""))</f>
        <v/>
      </c>
      <c r="AF297" s="87" t="str">
        <f aca="false">IF(ISBLANK($C297),"",IF(N297=Constants!$B$2,TRUE(),IF(N297=Constants!$B$3,FALSE(),TRUE())))</f>
        <v/>
      </c>
      <c r="AG297" s="87" t="str">
        <f aca="false">IF(ISBLANK($C297),"",IF(O297=Constants!$B$2,TRUE(),IF(O297=Constants!$B$3,FALSE(),TRUE())))</f>
        <v/>
      </c>
      <c r="AH297" s="87" t="str">
        <f aca="false">IF(ISBLANK($C297),"",IF(P297=Constants!$B$4,TRUE(),IF(P297=Constants!$B$5,FALSE(),COUNTA(Q297:S297)&gt;0)))</f>
        <v/>
      </c>
      <c r="AI297" s="88" t="str">
        <f aca="false">IF(ISBLANK($C297),"",IF(ISNUMBER(Q297),IF(Q297&gt;=0,Q297,""),""))</f>
        <v/>
      </c>
      <c r="AJ297" s="89" t="str">
        <f aca="false">IF(ISBLANK($C297),"",IF(ISNUMBER(R297),IF(R297&gt;=0,R297,""),""))</f>
        <v/>
      </c>
      <c r="AK297" s="87" t="str">
        <f aca="false">IF(ISBLANK($C297),"",IF(ISNUMBER(S297),IF(S297&gt;=0,MIN(S297,Constants!$B$22),""),""))</f>
        <v/>
      </c>
      <c r="AL297" s="87" t="str">
        <f aca="false">IF(ISBLANK($C297),"",IF(T297=Constants!$B$2,TRUE(),IF(T297=Constants!$B$3,FALSE(),FALSE())))</f>
        <v/>
      </c>
      <c r="AM297" s="86" t="str">
        <f aca="false">IF(ISBLANK($C297),"",AND($AB297,OR($AC297="",$AD297="",AND(NOT(ISBLANK($M297)),$AE297=""))))</f>
        <v/>
      </c>
      <c r="AN297" s="89" t="str">
        <f aca="false">IF($BD297&lt;&gt;Constants!$B$6,"",IF($AB297,Constants!$B$17*$AD297,Constants!$B$18))</f>
        <v/>
      </c>
      <c r="AO297" s="91" t="str">
        <f aca="false">IF($BD297&lt;&gt;Constants!$B$6,"",Constants!$B$19*IF($AB297,$AC297,0))</f>
        <v/>
      </c>
      <c r="AP297" s="91" t="str">
        <f aca="false">IF($BD297&lt;&gt;Constants!$B$6,"",IF(AND($AB297,ISNUMBER($AE297)),Constants!$B$20*(Constants!$B$21-$AE297),0))</f>
        <v/>
      </c>
      <c r="AQ297" s="91" t="str">
        <f aca="false">IF($BD297&lt;&gt;Constants!$B$6,"",IF($AA297,0,Constants!$B$12)+IF($Z297,0,Constants!$B$13)+IF($Y297,0,Constants!$B$14))</f>
        <v/>
      </c>
      <c r="AR297" s="92" t="str">
        <f aca="false">IF($BD297&lt;&gt;Constants!$B$6,"",Constants!$B$16+SUM($AN297:$AQ297))</f>
        <v/>
      </c>
      <c r="AS297" s="91" t="str">
        <f aca="false">IF($BD297&lt;&gt;Constants!$B$6,"",IF($AB297,$AD297,""))</f>
        <v/>
      </c>
      <c r="AT297" s="93" t="str">
        <f aca="false">IF($BD297&lt;&gt;Constants!$B$6,"",$AO297)</f>
        <v/>
      </c>
      <c r="AU297" s="87" t="str">
        <f aca="false">IF($BD297&lt;&gt;Constants!$B$6,"",IF(OR($BA297&lt;$AR297,AND($BA297=$AR297,OR(AND(ISNUMBER($BB297),OR(NOT(ISNUMBER($AS297)),$BB297&lt;$AS297)),AND(OR(AND($BB297="",$AS297=""),AND(ISNUMBER($BB297),ISNUMBER($AS297),$BB297=$AS297)),$BC297&lt;$AT297)))),"-&gt;","&lt;-"))</f>
        <v/>
      </c>
      <c r="AV297" s="86" t="str">
        <f aca="false">IF(ISBLANK($C297),"",AND($AH297,OR($AI297="",$AJ297="",AND(NOT(ISBLANK($S297)),$AK297=""))))</f>
        <v/>
      </c>
      <c r="AW297" s="89" t="str">
        <f aca="false">IF($BD297&lt;&gt;Constants!$B$6,"",IF($AH297,Constants!$B$17*$AJ297,Constants!$B$18))</f>
        <v/>
      </c>
      <c r="AX297" s="91" t="str">
        <f aca="false">IF($BD297&lt;&gt;Constants!$B$6,"",Constants!$B$19*IF($AH297,$AI297,0))</f>
        <v/>
      </c>
      <c r="AY297" s="91" t="str">
        <f aca="false">IF($BD297&lt;&gt;Constants!$B$6,"",IF(AND($AH297,ISNUMBER($AK297)),Constants!$B$20*(Constants!$B$21-$AK297),0))</f>
        <v/>
      </c>
      <c r="AZ297" s="91" t="str">
        <f aca="false">IF($BD297&lt;&gt;Constants!$B$6,"",IF($AG297,0,Constants!$B$12)+IF($AF297,0,Constants!$B$13)+IF($Y297,0,Constants!$B$14))</f>
        <v/>
      </c>
      <c r="BA297" s="92" t="str">
        <f aca="false">IF($BD297&lt;&gt;Constants!$B$6,"",Constants!$B$16+SUM($AW297:$AZ297))</f>
        <v/>
      </c>
      <c r="BB297" s="91" t="str">
        <f aca="false">IF($BD297&lt;&gt;Constants!$B$6,"",IF($AH297,$AJ297,""))</f>
        <v/>
      </c>
      <c r="BC297" s="93" t="str">
        <f aca="false">IF($BD297&lt;&gt;Constants!$B$6,"",$AX297)</f>
        <v/>
      </c>
      <c r="BD297" s="87" t="str">
        <f aca="false">IF(ISBLANK($C297),"",IF($AL297,Constants!$B$9,IF(COUNTA($E297:$T297)=0,Constants!$B$8,IF(NOT($X297),Constants!$B$7,IF(OR($AM297,$AV297),Constants!$B$10,Constants!$B$6)))))</f>
        <v/>
      </c>
      <c r="BE297" s="87" t="str">
        <f aca="false">IF(ISBLANK($C297),"",IF($BD297&lt;&gt;Constants!$B$6,$BD297,Constants!$B$11))</f>
        <v/>
      </c>
      <c r="BF297" s="91" t="str">
        <f aca="false">IF($BD297&lt;&gt;Constants!$B$6,"",IF($AU297="-&gt;",$BA297,$AR297))</f>
        <v/>
      </c>
      <c r="BG297" s="91" t="str">
        <f aca="false">IF($BD297&lt;&gt;Constants!$B$6,"",IF($W297,0,Constants!$B$15))</f>
        <v/>
      </c>
      <c r="BH297" s="91" t="str">
        <f aca="false">IF(ISBLANK($C297),"",IF($BD297&lt;&gt;Constants!$B$6,$BD297,SUM($BF297:$BG297)))</f>
        <v/>
      </c>
      <c r="BI297" s="87" t="str">
        <f aca="false">IF(ISBLANK($C297),"",IF($BD297&lt;&gt;Constants!$B$6,$BD297,RANK($BH297,$BH$9:$BH$508,1)))</f>
        <v/>
      </c>
      <c r="BJ297" s="91" t="str">
        <f aca="false">IF($BD297&lt;&gt;Constants!$B$6,"",IF($AU297="-&gt;",$BB297,$AS297))</f>
        <v/>
      </c>
      <c r="BK297" s="87" t="str">
        <f aca="false">IF(ISBLANK($C297),"",IF($BD297&lt;&gt;Constants!$B$6,$BD297,IF(ISNUMBER($BJ297),RANK($BJ297,$BJ$9:$BJ$508,1),COUNT($BJ$9:$BJ$508)+1)))</f>
        <v/>
      </c>
      <c r="BL297" s="91" t="str">
        <f aca="false">IF($BD297&lt;&gt;Constants!$B$6,"",IF($AU297="-&gt;",$BC297,$AT297))</f>
        <v/>
      </c>
      <c r="BM297" s="87" t="str">
        <f aca="false">IF(ISBLANK($C297),"",IF($BD297&lt;&gt;Constants!$B$6,$BD297,IF(ISNUMBER($BL297),RANK($BL297,$BL$9:$BL$508,1),COUNT($BL$9:$BL$508)+1)))</f>
        <v/>
      </c>
      <c r="BN297" s="91" t="str">
        <f aca="false">IF($BD297&lt;&gt;Constants!$B$6,"",IF($AU297="-&gt;",$AS297,$BB297))</f>
        <v/>
      </c>
      <c r="BO297" s="87" t="str">
        <f aca="false">IF(ISBLANK($C297),"",IF($BD297&lt;&gt;Constants!$B$6,$BD297,IF(ISNUMBER($BN297),RANK($BN297,$BN$9:$BN$508,1),COUNT($BN$9:$BN$508)+1)))</f>
        <v/>
      </c>
      <c r="BP297" s="91" t="str">
        <f aca="false">IF($BD297&lt;&gt;Constants!$B$6,"",IF($AU297="-&gt;",$AT297,$BC297))</f>
        <v/>
      </c>
      <c r="BQ297" s="87" t="str">
        <f aca="false">IF(ISBLANK($C297),"",IF($BD297&lt;&gt;Constants!$B$6,$BD297,IF(ISNUMBER($BP297),RANK($BP297,$BP$9:$BP$508,1),COUNT($BP$9:$BP$508)+1)))</f>
        <v/>
      </c>
      <c r="BR297" s="87" t="str">
        <f aca="false">IF(ISBLANK($C297),"",IF($BD297&lt;&gt;Constants!$B$6,$BD297,COUNTIFS($BI$9:$BI$508,"&lt;"&amp;$BI297)+COUNTIFS($BI$9:$BI$508,$BI297,$BK$9:$BK$508,"&lt;"&amp;$BK297)+COUNTIFS($BI$9:$BI$508,$BI297,$BK$9:$BK$508,$BK297,$BM$9:$BM$508,"&lt;"&amp;$BM297)+COUNTIFS($BI$9:$BI$508,$BI297,$BK$9:$BK$508,$BK297,$BM$9:$BM$508,$BM297,$BO$9:$BO$508,"&lt;"&amp;$BO297)+COUNTIFS($BI$9:$BI$508,$BI297,$BK$9:$BK$508,$BK297,$BM$9:$BM$508,$BM297,$BO$9:$BO$508,$BO297,$BQ$9:$BQ$508,"&lt;"&amp;$BQ297)+1))</f>
        <v/>
      </c>
      <c r="BS297" s="87" t="str">
        <f aca="false">IF(ISBLANK($C297),"",IF($BD297&lt;&gt;Constants!$B$6,$BD297,$BI297-$BR297))</f>
        <v/>
      </c>
      <c r="BT297" s="94"/>
      <c r="BU297" s="95"/>
      <c r="BV297" s="95" t="str">
        <f aca="false">IF(ISBLANK($C297),"",IF($BD297&lt;&gt;Constants!$B$6,"",IF($AU297="-&gt;",2,1)))</f>
        <v/>
      </c>
      <c r="BW297" s="96" t="str">
        <f aca="false">IF(ISBLANK($C297),"",IF($BD297&lt;&gt;Constants!$B$6,"",IF($AU297="-&gt;",$AW297,$AN297)))</f>
        <v/>
      </c>
      <c r="BX297" s="96" t="str">
        <f aca="false">IF(ISBLANK($C297),"",IF($BD297&lt;&gt;Constants!$B$6,"",IF($AU297="-&gt;",$AX297,$AO297)))</f>
        <v/>
      </c>
      <c r="BY297" s="96" t="str">
        <f aca="false">IF(ISBLANK($C297),"",IF($BD297&lt;&gt;Constants!$B$6,"",IF($AU297="-&gt;",$AY297,$AP297)))</f>
        <v/>
      </c>
      <c r="BZ297" s="96" t="str">
        <f aca="false">IF(ISBLANK($C297),"",IF($BD297&lt;&gt;Constants!$B$6,"",IF($AU297="-&gt;",$AZ297,$AQ297)+$BG297))</f>
        <v/>
      </c>
      <c r="CA297" s="97" t="str">
        <f aca="false">IF(ISBLANK($C297),"",IF($BD297&lt;&gt;Constants!$B$6,$BD297,$BH297))</f>
        <v/>
      </c>
      <c r="CB297" s="98" t="str">
        <f aca="false">IF(ISBLANK($C297),"",$BE297)</f>
        <v/>
      </c>
      <c r="CC297" s="99" t="str">
        <f aca="false">IF(ISBLANK($C297),"",$BS297)</f>
        <v/>
      </c>
      <c r="CD297" s="99" t="str">
        <f aca="false">IF(ISBLANK($C297),"",$BR297)</f>
        <v/>
      </c>
      <c r="CE297" s="100" t="str">
        <f aca="false">IF(ISBLANK($C297),"",IF($CD297=Constants!$B$9,COUNTA($C$9:$C$508)+2,IF($CD297=Constants!$B$8,COUNTA($C$9:$C$508)+1,IF($CD297=Constants!$B$7,COUNTA($C$9:$C$508),$CD297))))</f>
        <v/>
      </c>
      <c r="CF297" s="9"/>
      <c r="CG297" s="101" t="n">
        <f aca="false">IF(OR(ISNUMBER($CD297),$CD297=Constants!$B$9,$CD297=Constants!$B$7,$CD297=Constants!$B$8),1,0)</f>
        <v>0</v>
      </c>
      <c r="CH297" s="101" t="n">
        <v>289</v>
      </c>
      <c r="CI297" s="101" t="str">
        <f aca="false">IF(ISBLANK($C297),"",IF(ISNUMBER($CE297),$CE297+ROW($B297)/1000,""))</f>
        <v/>
      </c>
      <c r="CJ297" s="101" t="str">
        <f aca="false">IF(ISNUMBER($CI297),RANK($CI297,$CI$9:$CI$508,1),"")</f>
        <v/>
      </c>
      <c r="CK297" s="101" t="str">
        <f aca="false">IF(ISBLANK($C297),"",$B297)</f>
        <v/>
      </c>
      <c r="CL297" s="101" t="str">
        <f aca="false">IF(ISBLANK($C297),"",$C297)</f>
        <v/>
      </c>
      <c r="CM297" s="101" t="str">
        <f aca="false">IF(ISBLANK($C297),"",$D297)</f>
        <v/>
      </c>
      <c r="CN297" s="102" t="str">
        <f aca="false">$CB297</f>
        <v/>
      </c>
      <c r="CO297" s="103" t="str">
        <f aca="false">$CA297</f>
        <v/>
      </c>
      <c r="CP297" s="101" t="str">
        <f aca="false">IF(ISBLANK($C297),"",$CD297)</f>
        <v/>
      </c>
      <c r="CQ297" s="104" t="str">
        <f aca="false">IF($CH297&gt;$CG$8,"",VLOOKUP($CH297,$CJ$9:$CP$508,7,FALSE()))</f>
        <v/>
      </c>
      <c r="CR297" s="105" t="str">
        <f aca="false">IF($CH297&gt;$CG$8,"",VLOOKUP($CH297,$CJ$9:$CP$508,2,FALSE()))</f>
        <v/>
      </c>
      <c r="CS297" s="105" t="str">
        <f aca="false">IF($CH297&gt;$CG$8,"",VLOOKUP($CH297,$CJ$9:$CP$508,3,FALSE()))</f>
        <v/>
      </c>
      <c r="CT297" s="105" t="str">
        <f aca="false">IF($CH297&gt;$CG$8,"",VLOOKUP($CH297,$CJ$9:$CP$508,4,FALSE()))</f>
        <v/>
      </c>
      <c r="CU297" s="105" t="str">
        <f aca="false">IF($CH297&gt;$CG$8,"",VLOOKUP($CH297,$CJ$9:$CP$508,5,FALSE()))</f>
        <v/>
      </c>
      <c r="CV297" s="106" t="str">
        <f aca="false">IF($CH297&gt;$CG$8,"",VLOOKUP($CH297,$CJ$9:$CP$508,6,FALSE()))</f>
        <v/>
      </c>
      <c r="CW297" s="71"/>
    </row>
    <row r="298" customFormat="false" ht="15.75" hidden="false" customHeight="false" outlineLevel="0" collapsed="false">
      <c r="A298" s="9"/>
      <c r="B298" s="72"/>
      <c r="C298" s="73"/>
      <c r="D298" s="160"/>
      <c r="E298" s="168"/>
      <c r="F298" s="162"/>
      <c r="G298" s="163"/>
      <c r="H298" s="169"/>
      <c r="I298" s="167"/>
      <c r="J298" s="80"/>
      <c r="K298" s="81"/>
      <c r="L298" s="82"/>
      <c r="M298" s="166"/>
      <c r="N298" s="167"/>
      <c r="O298" s="167"/>
      <c r="P298" s="80"/>
      <c r="Q298" s="82"/>
      <c r="R298" s="82"/>
      <c r="S298" s="166"/>
      <c r="T298" s="167"/>
      <c r="U298" s="86"/>
      <c r="V298" s="87"/>
      <c r="W298" s="87" t="str">
        <f aca="false">IF(ISBLANK($C298),"",IF(E298=Constants!$B$2,TRUE(),IF(E298=Constants!$B$3,FALSE(),TRUE())))</f>
        <v/>
      </c>
      <c r="X298" s="87" t="str">
        <f aca="false">IF(ISBLANK($C298),"",IF(F298=Constants!$B$2,TRUE(),IF(F298=Constants!$B$3,FALSE(),TRUE())))</f>
        <v/>
      </c>
      <c r="Y298" s="87" t="str">
        <f aca="false">IF(ISBLANK($C298),"",IF(G298=Constants!$B$2,TRUE(),IF(G298=Constants!$B$3,FALSE(),TRUE())))</f>
        <v/>
      </c>
      <c r="Z298" s="87" t="str">
        <f aca="false">IF(ISBLANK($C298),"",IF(H298=Constants!$B$2,TRUE(),IF(H298=Constants!$B$3,FALSE(),TRUE())))</f>
        <v/>
      </c>
      <c r="AA298" s="87" t="str">
        <f aca="false">IF(ISBLANK($C298),"",IF(I298=Constants!$B$2,TRUE(),IF(I298=Constants!$B$3,FALSE(),TRUE())))</f>
        <v/>
      </c>
      <c r="AB298" s="87" t="str">
        <f aca="false">IF(ISBLANK($C298),"",IF(J298=Constants!$B$4,TRUE(),IF(J298=Constants!$B$5,FALSE(),COUNTA(K298:M298)&gt;0)))</f>
        <v/>
      </c>
      <c r="AC298" s="88" t="str">
        <f aca="false">IF(ISBLANK($C298),"",IF(ISNUMBER(K298),IF(K298&gt;=0,K298,""),""))</f>
        <v/>
      </c>
      <c r="AD298" s="89" t="str">
        <f aca="false">IF(ISBLANK($C298),"",IF(ISNUMBER(L298),IF(L298&gt;=0,L298,""),""))</f>
        <v/>
      </c>
      <c r="AE298" s="87" t="str">
        <f aca="false">IF(ISBLANK($C298),"",IF(ISNUMBER(M298),IF(M298&gt;=0,MIN(M298,Constants!$B$22),""),""))</f>
        <v/>
      </c>
      <c r="AF298" s="87" t="str">
        <f aca="false">IF(ISBLANK($C298),"",IF(N298=Constants!$B$2,TRUE(),IF(N298=Constants!$B$3,FALSE(),TRUE())))</f>
        <v/>
      </c>
      <c r="AG298" s="87" t="str">
        <f aca="false">IF(ISBLANK($C298),"",IF(O298=Constants!$B$2,TRUE(),IF(O298=Constants!$B$3,FALSE(),TRUE())))</f>
        <v/>
      </c>
      <c r="AH298" s="87" t="str">
        <f aca="false">IF(ISBLANK($C298),"",IF(P298=Constants!$B$4,TRUE(),IF(P298=Constants!$B$5,FALSE(),COUNTA(Q298:S298)&gt;0)))</f>
        <v/>
      </c>
      <c r="AI298" s="88" t="str">
        <f aca="false">IF(ISBLANK($C298),"",IF(ISNUMBER(Q298),IF(Q298&gt;=0,Q298,""),""))</f>
        <v/>
      </c>
      <c r="AJ298" s="89" t="str">
        <f aca="false">IF(ISBLANK($C298),"",IF(ISNUMBER(R298),IF(R298&gt;=0,R298,""),""))</f>
        <v/>
      </c>
      <c r="AK298" s="87" t="str">
        <f aca="false">IF(ISBLANK($C298),"",IF(ISNUMBER(S298),IF(S298&gt;=0,MIN(S298,Constants!$B$22),""),""))</f>
        <v/>
      </c>
      <c r="AL298" s="87" t="str">
        <f aca="false">IF(ISBLANK($C298),"",IF(T298=Constants!$B$2,TRUE(),IF(T298=Constants!$B$3,FALSE(),FALSE())))</f>
        <v/>
      </c>
      <c r="AM298" s="86" t="str">
        <f aca="false">IF(ISBLANK($C298),"",AND($AB298,OR($AC298="",$AD298="",AND(NOT(ISBLANK($M298)),$AE298=""))))</f>
        <v/>
      </c>
      <c r="AN298" s="89" t="str">
        <f aca="false">IF($BD298&lt;&gt;Constants!$B$6,"",IF($AB298,Constants!$B$17*$AD298,Constants!$B$18))</f>
        <v/>
      </c>
      <c r="AO298" s="91" t="str">
        <f aca="false">IF($BD298&lt;&gt;Constants!$B$6,"",Constants!$B$19*IF($AB298,$AC298,0))</f>
        <v/>
      </c>
      <c r="AP298" s="91" t="str">
        <f aca="false">IF($BD298&lt;&gt;Constants!$B$6,"",IF(AND($AB298,ISNUMBER($AE298)),Constants!$B$20*(Constants!$B$21-$AE298),0))</f>
        <v/>
      </c>
      <c r="AQ298" s="91" t="str">
        <f aca="false">IF($BD298&lt;&gt;Constants!$B$6,"",IF($AA298,0,Constants!$B$12)+IF($Z298,0,Constants!$B$13)+IF($Y298,0,Constants!$B$14))</f>
        <v/>
      </c>
      <c r="AR298" s="92" t="str">
        <f aca="false">IF($BD298&lt;&gt;Constants!$B$6,"",Constants!$B$16+SUM($AN298:$AQ298))</f>
        <v/>
      </c>
      <c r="AS298" s="91" t="str">
        <f aca="false">IF($BD298&lt;&gt;Constants!$B$6,"",IF($AB298,$AD298,""))</f>
        <v/>
      </c>
      <c r="AT298" s="93" t="str">
        <f aca="false">IF($BD298&lt;&gt;Constants!$B$6,"",$AO298)</f>
        <v/>
      </c>
      <c r="AU298" s="87" t="str">
        <f aca="false">IF($BD298&lt;&gt;Constants!$B$6,"",IF(OR($BA298&lt;$AR298,AND($BA298=$AR298,OR(AND(ISNUMBER($BB298),OR(NOT(ISNUMBER($AS298)),$BB298&lt;$AS298)),AND(OR(AND($BB298="",$AS298=""),AND(ISNUMBER($BB298),ISNUMBER($AS298),$BB298=$AS298)),$BC298&lt;$AT298)))),"-&gt;","&lt;-"))</f>
        <v/>
      </c>
      <c r="AV298" s="86" t="str">
        <f aca="false">IF(ISBLANK($C298),"",AND($AH298,OR($AI298="",$AJ298="",AND(NOT(ISBLANK($S298)),$AK298=""))))</f>
        <v/>
      </c>
      <c r="AW298" s="89" t="str">
        <f aca="false">IF($BD298&lt;&gt;Constants!$B$6,"",IF($AH298,Constants!$B$17*$AJ298,Constants!$B$18))</f>
        <v/>
      </c>
      <c r="AX298" s="91" t="str">
        <f aca="false">IF($BD298&lt;&gt;Constants!$B$6,"",Constants!$B$19*IF($AH298,$AI298,0))</f>
        <v/>
      </c>
      <c r="AY298" s="91" t="str">
        <f aca="false">IF($BD298&lt;&gt;Constants!$B$6,"",IF(AND($AH298,ISNUMBER($AK298)),Constants!$B$20*(Constants!$B$21-$AK298),0))</f>
        <v/>
      </c>
      <c r="AZ298" s="91" t="str">
        <f aca="false">IF($BD298&lt;&gt;Constants!$B$6,"",IF($AG298,0,Constants!$B$12)+IF($AF298,0,Constants!$B$13)+IF($Y298,0,Constants!$B$14))</f>
        <v/>
      </c>
      <c r="BA298" s="92" t="str">
        <f aca="false">IF($BD298&lt;&gt;Constants!$B$6,"",Constants!$B$16+SUM($AW298:$AZ298))</f>
        <v/>
      </c>
      <c r="BB298" s="91" t="str">
        <f aca="false">IF($BD298&lt;&gt;Constants!$B$6,"",IF($AH298,$AJ298,""))</f>
        <v/>
      </c>
      <c r="BC298" s="93" t="str">
        <f aca="false">IF($BD298&lt;&gt;Constants!$B$6,"",$AX298)</f>
        <v/>
      </c>
      <c r="BD298" s="87" t="str">
        <f aca="false">IF(ISBLANK($C298),"",IF($AL298,Constants!$B$9,IF(COUNTA($E298:$T298)=0,Constants!$B$8,IF(NOT($X298),Constants!$B$7,IF(OR($AM298,$AV298),Constants!$B$10,Constants!$B$6)))))</f>
        <v/>
      </c>
      <c r="BE298" s="87" t="str">
        <f aca="false">IF(ISBLANK($C298),"",IF($BD298&lt;&gt;Constants!$B$6,$BD298,Constants!$B$11))</f>
        <v/>
      </c>
      <c r="BF298" s="91" t="str">
        <f aca="false">IF($BD298&lt;&gt;Constants!$B$6,"",IF($AU298="-&gt;",$BA298,$AR298))</f>
        <v/>
      </c>
      <c r="BG298" s="91" t="str">
        <f aca="false">IF($BD298&lt;&gt;Constants!$B$6,"",IF($W298,0,Constants!$B$15))</f>
        <v/>
      </c>
      <c r="BH298" s="91" t="str">
        <f aca="false">IF(ISBLANK($C298),"",IF($BD298&lt;&gt;Constants!$B$6,$BD298,SUM($BF298:$BG298)))</f>
        <v/>
      </c>
      <c r="BI298" s="87" t="str">
        <f aca="false">IF(ISBLANK($C298),"",IF($BD298&lt;&gt;Constants!$B$6,$BD298,RANK($BH298,$BH$9:$BH$508,1)))</f>
        <v/>
      </c>
      <c r="BJ298" s="91" t="str">
        <f aca="false">IF($BD298&lt;&gt;Constants!$B$6,"",IF($AU298="-&gt;",$BB298,$AS298))</f>
        <v/>
      </c>
      <c r="BK298" s="87" t="str">
        <f aca="false">IF(ISBLANK($C298),"",IF($BD298&lt;&gt;Constants!$B$6,$BD298,IF(ISNUMBER($BJ298),RANK($BJ298,$BJ$9:$BJ$508,1),COUNT($BJ$9:$BJ$508)+1)))</f>
        <v/>
      </c>
      <c r="BL298" s="91" t="str">
        <f aca="false">IF($BD298&lt;&gt;Constants!$B$6,"",IF($AU298="-&gt;",$BC298,$AT298))</f>
        <v/>
      </c>
      <c r="BM298" s="87" t="str">
        <f aca="false">IF(ISBLANK($C298),"",IF($BD298&lt;&gt;Constants!$B$6,$BD298,IF(ISNUMBER($BL298),RANK($BL298,$BL$9:$BL$508,1),COUNT($BL$9:$BL$508)+1)))</f>
        <v/>
      </c>
      <c r="BN298" s="91" t="str">
        <f aca="false">IF($BD298&lt;&gt;Constants!$B$6,"",IF($AU298="-&gt;",$AS298,$BB298))</f>
        <v/>
      </c>
      <c r="BO298" s="87" t="str">
        <f aca="false">IF(ISBLANK($C298),"",IF($BD298&lt;&gt;Constants!$B$6,$BD298,IF(ISNUMBER($BN298),RANK($BN298,$BN$9:$BN$508,1),COUNT($BN$9:$BN$508)+1)))</f>
        <v/>
      </c>
      <c r="BP298" s="91" t="str">
        <f aca="false">IF($BD298&lt;&gt;Constants!$B$6,"",IF($AU298="-&gt;",$AT298,$BC298))</f>
        <v/>
      </c>
      <c r="BQ298" s="87" t="str">
        <f aca="false">IF(ISBLANK($C298),"",IF($BD298&lt;&gt;Constants!$B$6,$BD298,IF(ISNUMBER($BP298),RANK($BP298,$BP$9:$BP$508,1),COUNT($BP$9:$BP$508)+1)))</f>
        <v/>
      </c>
      <c r="BR298" s="87" t="str">
        <f aca="false">IF(ISBLANK($C298),"",IF($BD298&lt;&gt;Constants!$B$6,$BD298,COUNTIFS($BI$9:$BI$508,"&lt;"&amp;$BI298)+COUNTIFS($BI$9:$BI$508,$BI298,$BK$9:$BK$508,"&lt;"&amp;$BK298)+COUNTIFS($BI$9:$BI$508,$BI298,$BK$9:$BK$508,$BK298,$BM$9:$BM$508,"&lt;"&amp;$BM298)+COUNTIFS($BI$9:$BI$508,$BI298,$BK$9:$BK$508,$BK298,$BM$9:$BM$508,$BM298,$BO$9:$BO$508,"&lt;"&amp;$BO298)+COUNTIFS($BI$9:$BI$508,$BI298,$BK$9:$BK$508,$BK298,$BM$9:$BM$508,$BM298,$BO$9:$BO$508,$BO298,$BQ$9:$BQ$508,"&lt;"&amp;$BQ298)+1))</f>
        <v/>
      </c>
      <c r="BS298" s="87" t="str">
        <f aca="false">IF(ISBLANK($C298),"",IF($BD298&lt;&gt;Constants!$B$6,$BD298,$BI298-$BR298))</f>
        <v/>
      </c>
      <c r="BT298" s="94"/>
      <c r="BU298" s="95"/>
      <c r="BV298" s="95" t="str">
        <f aca="false">IF(ISBLANK($C298),"",IF($BD298&lt;&gt;Constants!$B$6,"",IF($AU298="-&gt;",2,1)))</f>
        <v/>
      </c>
      <c r="BW298" s="96" t="str">
        <f aca="false">IF(ISBLANK($C298),"",IF($BD298&lt;&gt;Constants!$B$6,"",IF($AU298="-&gt;",$AW298,$AN298)))</f>
        <v/>
      </c>
      <c r="BX298" s="96" t="str">
        <f aca="false">IF(ISBLANK($C298),"",IF($BD298&lt;&gt;Constants!$B$6,"",IF($AU298="-&gt;",$AX298,$AO298)))</f>
        <v/>
      </c>
      <c r="BY298" s="96" t="str">
        <f aca="false">IF(ISBLANK($C298),"",IF($BD298&lt;&gt;Constants!$B$6,"",IF($AU298="-&gt;",$AY298,$AP298)))</f>
        <v/>
      </c>
      <c r="BZ298" s="96" t="str">
        <f aca="false">IF(ISBLANK($C298),"",IF($BD298&lt;&gt;Constants!$B$6,"",IF($AU298="-&gt;",$AZ298,$AQ298)+$BG298))</f>
        <v/>
      </c>
      <c r="CA298" s="97" t="str">
        <f aca="false">IF(ISBLANK($C298),"",IF($BD298&lt;&gt;Constants!$B$6,$BD298,$BH298))</f>
        <v/>
      </c>
      <c r="CB298" s="98" t="str">
        <f aca="false">IF(ISBLANK($C298),"",$BE298)</f>
        <v/>
      </c>
      <c r="CC298" s="99" t="str">
        <f aca="false">IF(ISBLANK($C298),"",$BS298)</f>
        <v/>
      </c>
      <c r="CD298" s="99" t="str">
        <f aca="false">IF(ISBLANK($C298),"",$BR298)</f>
        <v/>
      </c>
      <c r="CE298" s="100" t="str">
        <f aca="false">IF(ISBLANK($C298),"",IF($CD298=Constants!$B$9,COUNTA($C$9:$C$508)+2,IF($CD298=Constants!$B$8,COUNTA($C$9:$C$508)+1,IF($CD298=Constants!$B$7,COUNTA($C$9:$C$508),$CD298))))</f>
        <v/>
      </c>
      <c r="CF298" s="9"/>
      <c r="CG298" s="101" t="n">
        <f aca="false">IF(OR(ISNUMBER($CD298),$CD298=Constants!$B$9,$CD298=Constants!$B$7,$CD298=Constants!$B$8),1,0)</f>
        <v>0</v>
      </c>
      <c r="CH298" s="101" t="n">
        <v>290</v>
      </c>
      <c r="CI298" s="101" t="str">
        <f aca="false">IF(ISBLANK($C298),"",IF(ISNUMBER($CE298),$CE298+ROW($B298)/1000,""))</f>
        <v/>
      </c>
      <c r="CJ298" s="101" t="str">
        <f aca="false">IF(ISNUMBER($CI298),RANK($CI298,$CI$9:$CI$508,1),"")</f>
        <v/>
      </c>
      <c r="CK298" s="101" t="str">
        <f aca="false">IF(ISBLANK($C298),"",$B298)</f>
        <v/>
      </c>
      <c r="CL298" s="101" t="str">
        <f aca="false">IF(ISBLANK($C298),"",$C298)</f>
        <v/>
      </c>
      <c r="CM298" s="101" t="str">
        <f aca="false">IF(ISBLANK($C298),"",$D298)</f>
        <v/>
      </c>
      <c r="CN298" s="102" t="str">
        <f aca="false">$CB298</f>
        <v/>
      </c>
      <c r="CO298" s="103" t="str">
        <f aca="false">$CA298</f>
        <v/>
      </c>
      <c r="CP298" s="101" t="str">
        <f aca="false">IF(ISBLANK($C298),"",$CD298)</f>
        <v/>
      </c>
      <c r="CQ298" s="104" t="str">
        <f aca="false">IF($CH298&gt;$CG$8,"",VLOOKUP($CH298,$CJ$9:$CP$508,7,FALSE()))</f>
        <v/>
      </c>
      <c r="CR298" s="105" t="str">
        <f aca="false">IF($CH298&gt;$CG$8,"",VLOOKUP($CH298,$CJ$9:$CP$508,2,FALSE()))</f>
        <v/>
      </c>
      <c r="CS298" s="105" t="str">
        <f aca="false">IF($CH298&gt;$CG$8,"",VLOOKUP($CH298,$CJ$9:$CP$508,3,FALSE()))</f>
        <v/>
      </c>
      <c r="CT298" s="105" t="str">
        <f aca="false">IF($CH298&gt;$CG$8,"",VLOOKUP($CH298,$CJ$9:$CP$508,4,FALSE()))</f>
        <v/>
      </c>
      <c r="CU298" s="105" t="str">
        <f aca="false">IF($CH298&gt;$CG$8,"",VLOOKUP($CH298,$CJ$9:$CP$508,5,FALSE()))</f>
        <v/>
      </c>
      <c r="CV298" s="106" t="str">
        <f aca="false">IF($CH298&gt;$CG$8,"",VLOOKUP($CH298,$CJ$9:$CP$508,6,FALSE()))</f>
        <v/>
      </c>
      <c r="CW298" s="71"/>
    </row>
    <row r="299" customFormat="false" ht="15.75" hidden="false" customHeight="false" outlineLevel="0" collapsed="false">
      <c r="A299" s="9"/>
      <c r="B299" s="72"/>
      <c r="C299" s="73"/>
      <c r="D299" s="160"/>
      <c r="E299" s="168"/>
      <c r="F299" s="162"/>
      <c r="G299" s="163"/>
      <c r="H299" s="169"/>
      <c r="I299" s="167"/>
      <c r="J299" s="80"/>
      <c r="K299" s="81"/>
      <c r="L299" s="82"/>
      <c r="M299" s="166"/>
      <c r="N299" s="167"/>
      <c r="O299" s="167"/>
      <c r="P299" s="80"/>
      <c r="Q299" s="82"/>
      <c r="R299" s="82"/>
      <c r="S299" s="166"/>
      <c r="T299" s="167"/>
      <c r="U299" s="86"/>
      <c r="V299" s="87"/>
      <c r="W299" s="87" t="str">
        <f aca="false">IF(ISBLANK($C299),"",IF(E299=Constants!$B$2,TRUE(),IF(E299=Constants!$B$3,FALSE(),TRUE())))</f>
        <v/>
      </c>
      <c r="X299" s="87" t="str">
        <f aca="false">IF(ISBLANK($C299),"",IF(F299=Constants!$B$2,TRUE(),IF(F299=Constants!$B$3,FALSE(),TRUE())))</f>
        <v/>
      </c>
      <c r="Y299" s="87" t="str">
        <f aca="false">IF(ISBLANK($C299),"",IF(G299=Constants!$B$2,TRUE(),IF(G299=Constants!$B$3,FALSE(),TRUE())))</f>
        <v/>
      </c>
      <c r="Z299" s="87" t="str">
        <f aca="false">IF(ISBLANK($C299),"",IF(H299=Constants!$B$2,TRUE(),IF(H299=Constants!$B$3,FALSE(),TRUE())))</f>
        <v/>
      </c>
      <c r="AA299" s="87" t="str">
        <f aca="false">IF(ISBLANK($C299),"",IF(I299=Constants!$B$2,TRUE(),IF(I299=Constants!$B$3,FALSE(),TRUE())))</f>
        <v/>
      </c>
      <c r="AB299" s="87" t="str">
        <f aca="false">IF(ISBLANK($C299),"",IF(J299=Constants!$B$4,TRUE(),IF(J299=Constants!$B$5,FALSE(),COUNTA(K299:M299)&gt;0)))</f>
        <v/>
      </c>
      <c r="AC299" s="88" t="str">
        <f aca="false">IF(ISBLANK($C299),"",IF(ISNUMBER(K299),IF(K299&gt;=0,K299,""),""))</f>
        <v/>
      </c>
      <c r="AD299" s="89" t="str">
        <f aca="false">IF(ISBLANK($C299),"",IF(ISNUMBER(L299),IF(L299&gt;=0,L299,""),""))</f>
        <v/>
      </c>
      <c r="AE299" s="87" t="str">
        <f aca="false">IF(ISBLANK($C299),"",IF(ISNUMBER(M299),IF(M299&gt;=0,MIN(M299,Constants!$B$22),""),""))</f>
        <v/>
      </c>
      <c r="AF299" s="87" t="str">
        <f aca="false">IF(ISBLANK($C299),"",IF(N299=Constants!$B$2,TRUE(),IF(N299=Constants!$B$3,FALSE(),TRUE())))</f>
        <v/>
      </c>
      <c r="AG299" s="87" t="str">
        <f aca="false">IF(ISBLANK($C299),"",IF(O299=Constants!$B$2,TRUE(),IF(O299=Constants!$B$3,FALSE(),TRUE())))</f>
        <v/>
      </c>
      <c r="AH299" s="87" t="str">
        <f aca="false">IF(ISBLANK($C299),"",IF(P299=Constants!$B$4,TRUE(),IF(P299=Constants!$B$5,FALSE(),COUNTA(Q299:S299)&gt;0)))</f>
        <v/>
      </c>
      <c r="AI299" s="88" t="str">
        <f aca="false">IF(ISBLANK($C299),"",IF(ISNUMBER(Q299),IF(Q299&gt;=0,Q299,""),""))</f>
        <v/>
      </c>
      <c r="AJ299" s="89" t="str">
        <f aca="false">IF(ISBLANK($C299),"",IF(ISNUMBER(R299),IF(R299&gt;=0,R299,""),""))</f>
        <v/>
      </c>
      <c r="AK299" s="87" t="str">
        <f aca="false">IF(ISBLANK($C299),"",IF(ISNUMBER(S299),IF(S299&gt;=0,MIN(S299,Constants!$B$22),""),""))</f>
        <v/>
      </c>
      <c r="AL299" s="87" t="str">
        <f aca="false">IF(ISBLANK($C299),"",IF(T299=Constants!$B$2,TRUE(),IF(T299=Constants!$B$3,FALSE(),FALSE())))</f>
        <v/>
      </c>
      <c r="AM299" s="86" t="str">
        <f aca="false">IF(ISBLANK($C299),"",AND($AB299,OR($AC299="",$AD299="",AND(NOT(ISBLANK($M299)),$AE299=""))))</f>
        <v/>
      </c>
      <c r="AN299" s="89" t="str">
        <f aca="false">IF($BD299&lt;&gt;Constants!$B$6,"",IF($AB299,Constants!$B$17*$AD299,Constants!$B$18))</f>
        <v/>
      </c>
      <c r="AO299" s="91" t="str">
        <f aca="false">IF($BD299&lt;&gt;Constants!$B$6,"",Constants!$B$19*IF($AB299,$AC299,0))</f>
        <v/>
      </c>
      <c r="AP299" s="91" t="str">
        <f aca="false">IF($BD299&lt;&gt;Constants!$B$6,"",IF(AND($AB299,ISNUMBER($AE299)),Constants!$B$20*(Constants!$B$21-$AE299),0))</f>
        <v/>
      </c>
      <c r="AQ299" s="91" t="str">
        <f aca="false">IF($BD299&lt;&gt;Constants!$B$6,"",IF($AA299,0,Constants!$B$12)+IF($Z299,0,Constants!$B$13)+IF($Y299,0,Constants!$B$14))</f>
        <v/>
      </c>
      <c r="AR299" s="92" t="str">
        <f aca="false">IF($BD299&lt;&gt;Constants!$B$6,"",Constants!$B$16+SUM($AN299:$AQ299))</f>
        <v/>
      </c>
      <c r="AS299" s="91" t="str">
        <f aca="false">IF($BD299&lt;&gt;Constants!$B$6,"",IF($AB299,$AD299,""))</f>
        <v/>
      </c>
      <c r="AT299" s="93" t="str">
        <f aca="false">IF($BD299&lt;&gt;Constants!$B$6,"",$AO299)</f>
        <v/>
      </c>
      <c r="AU299" s="87" t="str">
        <f aca="false">IF($BD299&lt;&gt;Constants!$B$6,"",IF(OR($BA299&lt;$AR299,AND($BA299=$AR299,OR(AND(ISNUMBER($BB299),OR(NOT(ISNUMBER($AS299)),$BB299&lt;$AS299)),AND(OR(AND($BB299="",$AS299=""),AND(ISNUMBER($BB299),ISNUMBER($AS299),$BB299=$AS299)),$BC299&lt;$AT299)))),"-&gt;","&lt;-"))</f>
        <v/>
      </c>
      <c r="AV299" s="86" t="str">
        <f aca="false">IF(ISBLANK($C299),"",AND($AH299,OR($AI299="",$AJ299="",AND(NOT(ISBLANK($S299)),$AK299=""))))</f>
        <v/>
      </c>
      <c r="AW299" s="89" t="str">
        <f aca="false">IF($BD299&lt;&gt;Constants!$B$6,"",IF($AH299,Constants!$B$17*$AJ299,Constants!$B$18))</f>
        <v/>
      </c>
      <c r="AX299" s="91" t="str">
        <f aca="false">IF($BD299&lt;&gt;Constants!$B$6,"",Constants!$B$19*IF($AH299,$AI299,0))</f>
        <v/>
      </c>
      <c r="AY299" s="91" t="str">
        <f aca="false">IF($BD299&lt;&gt;Constants!$B$6,"",IF(AND($AH299,ISNUMBER($AK299)),Constants!$B$20*(Constants!$B$21-$AK299),0))</f>
        <v/>
      </c>
      <c r="AZ299" s="91" t="str">
        <f aca="false">IF($BD299&lt;&gt;Constants!$B$6,"",IF($AG299,0,Constants!$B$12)+IF($AF299,0,Constants!$B$13)+IF($Y299,0,Constants!$B$14))</f>
        <v/>
      </c>
      <c r="BA299" s="92" t="str">
        <f aca="false">IF($BD299&lt;&gt;Constants!$B$6,"",Constants!$B$16+SUM($AW299:$AZ299))</f>
        <v/>
      </c>
      <c r="BB299" s="91" t="str">
        <f aca="false">IF($BD299&lt;&gt;Constants!$B$6,"",IF($AH299,$AJ299,""))</f>
        <v/>
      </c>
      <c r="BC299" s="93" t="str">
        <f aca="false">IF($BD299&lt;&gt;Constants!$B$6,"",$AX299)</f>
        <v/>
      </c>
      <c r="BD299" s="87" t="str">
        <f aca="false">IF(ISBLANK($C299),"",IF($AL299,Constants!$B$9,IF(COUNTA($E299:$T299)=0,Constants!$B$8,IF(NOT($X299),Constants!$B$7,IF(OR($AM299,$AV299),Constants!$B$10,Constants!$B$6)))))</f>
        <v/>
      </c>
      <c r="BE299" s="87" t="str">
        <f aca="false">IF(ISBLANK($C299),"",IF($BD299&lt;&gt;Constants!$B$6,$BD299,Constants!$B$11))</f>
        <v/>
      </c>
      <c r="BF299" s="91" t="str">
        <f aca="false">IF($BD299&lt;&gt;Constants!$B$6,"",IF($AU299="-&gt;",$BA299,$AR299))</f>
        <v/>
      </c>
      <c r="BG299" s="91" t="str">
        <f aca="false">IF($BD299&lt;&gt;Constants!$B$6,"",IF($W299,0,Constants!$B$15))</f>
        <v/>
      </c>
      <c r="BH299" s="91" t="str">
        <f aca="false">IF(ISBLANK($C299),"",IF($BD299&lt;&gt;Constants!$B$6,$BD299,SUM($BF299:$BG299)))</f>
        <v/>
      </c>
      <c r="BI299" s="87" t="str">
        <f aca="false">IF(ISBLANK($C299),"",IF($BD299&lt;&gt;Constants!$B$6,$BD299,RANK($BH299,$BH$9:$BH$508,1)))</f>
        <v/>
      </c>
      <c r="BJ299" s="91" t="str">
        <f aca="false">IF($BD299&lt;&gt;Constants!$B$6,"",IF($AU299="-&gt;",$BB299,$AS299))</f>
        <v/>
      </c>
      <c r="BK299" s="87" t="str">
        <f aca="false">IF(ISBLANK($C299),"",IF($BD299&lt;&gt;Constants!$B$6,$BD299,IF(ISNUMBER($BJ299),RANK($BJ299,$BJ$9:$BJ$508,1),COUNT($BJ$9:$BJ$508)+1)))</f>
        <v/>
      </c>
      <c r="BL299" s="91" t="str">
        <f aca="false">IF($BD299&lt;&gt;Constants!$B$6,"",IF($AU299="-&gt;",$BC299,$AT299))</f>
        <v/>
      </c>
      <c r="BM299" s="87" t="str">
        <f aca="false">IF(ISBLANK($C299),"",IF($BD299&lt;&gt;Constants!$B$6,$BD299,IF(ISNUMBER($BL299),RANK($BL299,$BL$9:$BL$508,1),COUNT($BL$9:$BL$508)+1)))</f>
        <v/>
      </c>
      <c r="BN299" s="91" t="str">
        <f aca="false">IF($BD299&lt;&gt;Constants!$B$6,"",IF($AU299="-&gt;",$AS299,$BB299))</f>
        <v/>
      </c>
      <c r="BO299" s="87" t="str">
        <f aca="false">IF(ISBLANK($C299),"",IF($BD299&lt;&gt;Constants!$B$6,$BD299,IF(ISNUMBER($BN299),RANK($BN299,$BN$9:$BN$508,1),COUNT($BN$9:$BN$508)+1)))</f>
        <v/>
      </c>
      <c r="BP299" s="91" t="str">
        <f aca="false">IF($BD299&lt;&gt;Constants!$B$6,"",IF($AU299="-&gt;",$AT299,$BC299))</f>
        <v/>
      </c>
      <c r="BQ299" s="87" t="str">
        <f aca="false">IF(ISBLANK($C299),"",IF($BD299&lt;&gt;Constants!$B$6,$BD299,IF(ISNUMBER($BP299),RANK($BP299,$BP$9:$BP$508,1),COUNT($BP$9:$BP$508)+1)))</f>
        <v/>
      </c>
      <c r="BR299" s="87" t="str">
        <f aca="false">IF(ISBLANK($C299),"",IF($BD299&lt;&gt;Constants!$B$6,$BD299,COUNTIFS($BI$9:$BI$508,"&lt;"&amp;$BI299)+COUNTIFS($BI$9:$BI$508,$BI299,$BK$9:$BK$508,"&lt;"&amp;$BK299)+COUNTIFS($BI$9:$BI$508,$BI299,$BK$9:$BK$508,$BK299,$BM$9:$BM$508,"&lt;"&amp;$BM299)+COUNTIFS($BI$9:$BI$508,$BI299,$BK$9:$BK$508,$BK299,$BM$9:$BM$508,$BM299,$BO$9:$BO$508,"&lt;"&amp;$BO299)+COUNTIFS($BI$9:$BI$508,$BI299,$BK$9:$BK$508,$BK299,$BM$9:$BM$508,$BM299,$BO$9:$BO$508,$BO299,$BQ$9:$BQ$508,"&lt;"&amp;$BQ299)+1))</f>
        <v/>
      </c>
      <c r="BS299" s="87" t="str">
        <f aca="false">IF(ISBLANK($C299),"",IF($BD299&lt;&gt;Constants!$B$6,$BD299,$BI299-$BR299))</f>
        <v/>
      </c>
      <c r="BT299" s="94"/>
      <c r="BU299" s="95"/>
      <c r="BV299" s="95" t="str">
        <f aca="false">IF(ISBLANK($C299),"",IF($BD299&lt;&gt;Constants!$B$6,"",IF($AU299="-&gt;",2,1)))</f>
        <v/>
      </c>
      <c r="BW299" s="96" t="str">
        <f aca="false">IF(ISBLANK($C299),"",IF($BD299&lt;&gt;Constants!$B$6,"",IF($AU299="-&gt;",$AW299,$AN299)))</f>
        <v/>
      </c>
      <c r="BX299" s="96" t="str">
        <f aca="false">IF(ISBLANK($C299),"",IF($BD299&lt;&gt;Constants!$B$6,"",IF($AU299="-&gt;",$AX299,$AO299)))</f>
        <v/>
      </c>
      <c r="BY299" s="96" t="str">
        <f aca="false">IF(ISBLANK($C299),"",IF($BD299&lt;&gt;Constants!$B$6,"",IF($AU299="-&gt;",$AY299,$AP299)))</f>
        <v/>
      </c>
      <c r="BZ299" s="96" t="str">
        <f aca="false">IF(ISBLANK($C299),"",IF($BD299&lt;&gt;Constants!$B$6,"",IF($AU299="-&gt;",$AZ299,$AQ299)+$BG299))</f>
        <v/>
      </c>
      <c r="CA299" s="97" t="str">
        <f aca="false">IF(ISBLANK($C299),"",IF($BD299&lt;&gt;Constants!$B$6,$BD299,$BH299))</f>
        <v/>
      </c>
      <c r="CB299" s="98" t="str">
        <f aca="false">IF(ISBLANK($C299),"",$BE299)</f>
        <v/>
      </c>
      <c r="CC299" s="99" t="str">
        <f aca="false">IF(ISBLANK($C299),"",$BS299)</f>
        <v/>
      </c>
      <c r="CD299" s="99" t="str">
        <f aca="false">IF(ISBLANK($C299),"",$BR299)</f>
        <v/>
      </c>
      <c r="CE299" s="100" t="str">
        <f aca="false">IF(ISBLANK($C299),"",IF($CD299=Constants!$B$9,COUNTA($C$9:$C$508)+2,IF($CD299=Constants!$B$8,COUNTA($C$9:$C$508)+1,IF($CD299=Constants!$B$7,COUNTA($C$9:$C$508),$CD299))))</f>
        <v/>
      </c>
      <c r="CF299" s="9"/>
      <c r="CG299" s="101" t="n">
        <f aca="false">IF(OR(ISNUMBER($CD299),$CD299=Constants!$B$9,$CD299=Constants!$B$7,$CD299=Constants!$B$8),1,0)</f>
        <v>0</v>
      </c>
      <c r="CH299" s="101" t="n">
        <v>291</v>
      </c>
      <c r="CI299" s="101" t="str">
        <f aca="false">IF(ISBLANK($C299),"",IF(ISNUMBER($CE299),$CE299+ROW($B299)/1000,""))</f>
        <v/>
      </c>
      <c r="CJ299" s="101" t="str">
        <f aca="false">IF(ISNUMBER($CI299),RANK($CI299,$CI$9:$CI$508,1),"")</f>
        <v/>
      </c>
      <c r="CK299" s="101" t="str">
        <f aca="false">IF(ISBLANK($C299),"",$B299)</f>
        <v/>
      </c>
      <c r="CL299" s="101" t="str">
        <f aca="false">IF(ISBLANK($C299),"",$C299)</f>
        <v/>
      </c>
      <c r="CM299" s="101" t="str">
        <f aca="false">IF(ISBLANK($C299),"",$D299)</f>
        <v/>
      </c>
      <c r="CN299" s="102" t="str">
        <f aca="false">$CB299</f>
        <v/>
      </c>
      <c r="CO299" s="103" t="str">
        <f aca="false">$CA299</f>
        <v/>
      </c>
      <c r="CP299" s="101" t="str">
        <f aca="false">IF(ISBLANK($C299),"",$CD299)</f>
        <v/>
      </c>
      <c r="CQ299" s="104" t="str">
        <f aca="false">IF($CH299&gt;$CG$8,"",VLOOKUP($CH299,$CJ$9:$CP$508,7,FALSE()))</f>
        <v/>
      </c>
      <c r="CR299" s="105" t="str">
        <f aca="false">IF($CH299&gt;$CG$8,"",VLOOKUP($CH299,$CJ$9:$CP$508,2,FALSE()))</f>
        <v/>
      </c>
      <c r="CS299" s="105" t="str">
        <f aca="false">IF($CH299&gt;$CG$8,"",VLOOKUP($CH299,$CJ$9:$CP$508,3,FALSE()))</f>
        <v/>
      </c>
      <c r="CT299" s="105" t="str">
        <f aca="false">IF($CH299&gt;$CG$8,"",VLOOKUP($CH299,$CJ$9:$CP$508,4,FALSE()))</f>
        <v/>
      </c>
      <c r="CU299" s="105" t="str">
        <f aca="false">IF($CH299&gt;$CG$8,"",VLOOKUP($CH299,$CJ$9:$CP$508,5,FALSE()))</f>
        <v/>
      </c>
      <c r="CV299" s="106" t="str">
        <f aca="false">IF($CH299&gt;$CG$8,"",VLOOKUP($CH299,$CJ$9:$CP$508,6,FALSE()))</f>
        <v/>
      </c>
      <c r="CW299" s="71"/>
    </row>
    <row r="300" customFormat="false" ht="15.75" hidden="false" customHeight="false" outlineLevel="0" collapsed="false">
      <c r="A300" s="9"/>
      <c r="B300" s="150"/>
      <c r="C300" s="151"/>
      <c r="D300" s="152"/>
      <c r="E300" s="170"/>
      <c r="F300" s="154"/>
      <c r="G300" s="155"/>
      <c r="H300" s="171"/>
      <c r="I300" s="159"/>
      <c r="J300" s="120"/>
      <c r="K300" s="121"/>
      <c r="L300" s="122"/>
      <c r="M300" s="158"/>
      <c r="N300" s="159"/>
      <c r="O300" s="159"/>
      <c r="P300" s="120"/>
      <c r="Q300" s="122"/>
      <c r="R300" s="122"/>
      <c r="S300" s="158"/>
      <c r="T300" s="159"/>
      <c r="U300" s="126"/>
      <c r="V300" s="127"/>
      <c r="W300" s="127" t="str">
        <f aca="false">IF(ISBLANK($C300),"",IF(E300=Constants!$B$2,TRUE(),IF(E300=Constants!$B$3,FALSE(),TRUE())))</f>
        <v/>
      </c>
      <c r="X300" s="127" t="str">
        <f aca="false">IF(ISBLANK($C300),"",IF(F300=Constants!$B$2,TRUE(),IF(F300=Constants!$B$3,FALSE(),TRUE())))</f>
        <v/>
      </c>
      <c r="Y300" s="127" t="str">
        <f aca="false">IF(ISBLANK($C300),"",IF(G300=Constants!$B$2,TRUE(),IF(G300=Constants!$B$3,FALSE(),TRUE())))</f>
        <v/>
      </c>
      <c r="Z300" s="127" t="str">
        <f aca="false">IF(ISBLANK($C300),"",IF(H300=Constants!$B$2,TRUE(),IF(H300=Constants!$B$3,FALSE(),TRUE())))</f>
        <v/>
      </c>
      <c r="AA300" s="127" t="str">
        <f aca="false">IF(ISBLANK($C300),"",IF(I300=Constants!$B$2,TRUE(),IF(I300=Constants!$B$3,FALSE(),TRUE())))</f>
        <v/>
      </c>
      <c r="AB300" s="127" t="str">
        <f aca="false">IF(ISBLANK($C300),"",IF(J300=Constants!$B$4,TRUE(),IF(J300=Constants!$B$5,FALSE(),COUNTA(K300:M300)&gt;0)))</f>
        <v/>
      </c>
      <c r="AC300" s="128" t="str">
        <f aca="false">IF(ISBLANK($C300),"",IF(ISNUMBER(K300),IF(K300&gt;=0,K300,""),""))</f>
        <v/>
      </c>
      <c r="AD300" s="129" t="str">
        <f aca="false">IF(ISBLANK($C300),"",IF(ISNUMBER(L300),IF(L300&gt;=0,L300,""),""))</f>
        <v/>
      </c>
      <c r="AE300" s="127" t="str">
        <f aca="false">IF(ISBLANK($C300),"",IF(ISNUMBER(M300),IF(M300&gt;=0,MIN(M300,Constants!$B$22),""),""))</f>
        <v/>
      </c>
      <c r="AF300" s="127" t="str">
        <f aca="false">IF(ISBLANK($C300),"",IF(N300=Constants!$B$2,TRUE(),IF(N300=Constants!$B$3,FALSE(),TRUE())))</f>
        <v/>
      </c>
      <c r="AG300" s="127" t="str">
        <f aca="false">IF(ISBLANK($C300),"",IF(O300=Constants!$B$2,TRUE(),IF(O300=Constants!$B$3,FALSE(),TRUE())))</f>
        <v/>
      </c>
      <c r="AH300" s="127" t="str">
        <f aca="false">IF(ISBLANK($C300),"",IF(P300=Constants!$B$4,TRUE(),IF(P300=Constants!$B$5,FALSE(),COUNTA(Q300:S300)&gt;0)))</f>
        <v/>
      </c>
      <c r="AI300" s="128" t="str">
        <f aca="false">IF(ISBLANK($C300),"",IF(ISNUMBER(Q300),IF(Q300&gt;=0,Q300,""),""))</f>
        <v/>
      </c>
      <c r="AJ300" s="129" t="str">
        <f aca="false">IF(ISBLANK($C300),"",IF(ISNUMBER(R300),IF(R300&gt;=0,R300,""),""))</f>
        <v/>
      </c>
      <c r="AK300" s="127" t="str">
        <f aca="false">IF(ISBLANK($C300),"",IF(ISNUMBER(S300),IF(S300&gt;=0,MIN(S300,Constants!$B$22),""),""))</f>
        <v/>
      </c>
      <c r="AL300" s="127" t="str">
        <f aca="false">IF(ISBLANK($C300),"",IF(T300=Constants!$B$2,TRUE(),IF(T300=Constants!$B$3,FALSE(),FALSE())))</f>
        <v/>
      </c>
      <c r="AM300" s="126" t="str">
        <f aca="false">IF(ISBLANK($C300),"",AND($AB300,OR($AC300="",$AD300="",AND(NOT(ISBLANK($M300)),$AE300=""))))</f>
        <v/>
      </c>
      <c r="AN300" s="129" t="str">
        <f aca="false">IF($BD300&lt;&gt;Constants!$B$6,"",IF($AB300,Constants!$B$17*$AD300,Constants!$B$18))</f>
        <v/>
      </c>
      <c r="AO300" s="130" t="str">
        <f aca="false">IF($BD300&lt;&gt;Constants!$B$6,"",Constants!$B$19*IF($AB300,$AC300,0))</f>
        <v/>
      </c>
      <c r="AP300" s="130" t="str">
        <f aca="false">IF($BD300&lt;&gt;Constants!$B$6,"",IF(AND($AB300,ISNUMBER($AE300)),Constants!$B$20*(Constants!$B$21-$AE300),0))</f>
        <v/>
      </c>
      <c r="AQ300" s="130" t="str">
        <f aca="false">IF($BD300&lt;&gt;Constants!$B$6,"",IF($AA300,0,Constants!$B$12)+IF($Z300,0,Constants!$B$13)+IF($Y300,0,Constants!$B$14))</f>
        <v/>
      </c>
      <c r="AR300" s="131" t="str">
        <f aca="false">IF($BD300&lt;&gt;Constants!$B$6,"",Constants!$B$16+SUM($AN300:$AQ300))</f>
        <v/>
      </c>
      <c r="AS300" s="130" t="str">
        <f aca="false">IF($BD300&lt;&gt;Constants!$B$6,"",IF($AB300,$AD300,""))</f>
        <v/>
      </c>
      <c r="AT300" s="132" t="str">
        <f aca="false">IF($BD300&lt;&gt;Constants!$B$6,"",$AO300)</f>
        <v/>
      </c>
      <c r="AU300" s="127" t="str">
        <f aca="false">IF($BD300&lt;&gt;Constants!$B$6,"",IF(OR($BA300&lt;$AR300,AND($BA300=$AR300,OR(AND(ISNUMBER($BB300),OR(NOT(ISNUMBER($AS300)),$BB300&lt;$AS300)),AND(OR(AND($BB300="",$AS300=""),AND(ISNUMBER($BB300),ISNUMBER($AS300),$BB300=$AS300)),$BC300&lt;$AT300)))),"-&gt;","&lt;-"))</f>
        <v/>
      </c>
      <c r="AV300" s="126" t="str">
        <f aca="false">IF(ISBLANK($C300),"",AND($AH300,OR($AI300="",$AJ300="",AND(NOT(ISBLANK($S300)),$AK300=""))))</f>
        <v/>
      </c>
      <c r="AW300" s="129" t="str">
        <f aca="false">IF($BD300&lt;&gt;Constants!$B$6,"",IF($AH300,Constants!$B$17*$AJ300,Constants!$B$18))</f>
        <v/>
      </c>
      <c r="AX300" s="130" t="str">
        <f aca="false">IF($BD300&lt;&gt;Constants!$B$6,"",Constants!$B$19*IF($AH300,$AI300,0))</f>
        <v/>
      </c>
      <c r="AY300" s="130" t="str">
        <f aca="false">IF($BD300&lt;&gt;Constants!$B$6,"",IF(AND($AH300,ISNUMBER($AK300)),Constants!$B$20*(Constants!$B$21-$AK300),0))</f>
        <v/>
      </c>
      <c r="AZ300" s="130" t="str">
        <f aca="false">IF($BD300&lt;&gt;Constants!$B$6,"",IF($AG300,0,Constants!$B$12)+IF($AF300,0,Constants!$B$13)+IF($Y300,0,Constants!$B$14))</f>
        <v/>
      </c>
      <c r="BA300" s="131" t="str">
        <f aca="false">IF($BD300&lt;&gt;Constants!$B$6,"",Constants!$B$16+SUM($AW300:$AZ300))</f>
        <v/>
      </c>
      <c r="BB300" s="130" t="str">
        <f aca="false">IF($BD300&lt;&gt;Constants!$B$6,"",IF($AH300,$AJ300,""))</f>
        <v/>
      </c>
      <c r="BC300" s="132" t="str">
        <f aca="false">IF($BD300&lt;&gt;Constants!$B$6,"",$AX300)</f>
        <v/>
      </c>
      <c r="BD300" s="127" t="str">
        <f aca="false">IF(ISBLANK($C300),"",IF($AL300,Constants!$B$9,IF(COUNTA($E300:$T300)=0,Constants!$B$8,IF(NOT($X300),Constants!$B$7,IF(OR($AM300,$AV300),Constants!$B$10,Constants!$B$6)))))</f>
        <v/>
      </c>
      <c r="BE300" s="127" t="str">
        <f aca="false">IF(ISBLANK($C300),"",IF($BD300&lt;&gt;Constants!$B$6,$BD300,Constants!$B$11))</f>
        <v/>
      </c>
      <c r="BF300" s="130" t="str">
        <f aca="false">IF($BD300&lt;&gt;Constants!$B$6,"",IF($AU300="-&gt;",$BA300,$AR300))</f>
        <v/>
      </c>
      <c r="BG300" s="130" t="str">
        <f aca="false">IF($BD300&lt;&gt;Constants!$B$6,"",IF($W300,0,Constants!$B$15))</f>
        <v/>
      </c>
      <c r="BH300" s="130" t="str">
        <f aca="false">IF(ISBLANK($C300),"",IF($BD300&lt;&gt;Constants!$B$6,$BD300,SUM($BF300:$BG300)))</f>
        <v/>
      </c>
      <c r="BI300" s="127" t="str">
        <f aca="false">IF(ISBLANK($C300),"",IF($BD300&lt;&gt;Constants!$B$6,$BD300,RANK($BH300,$BH$9:$BH$508,1)))</f>
        <v/>
      </c>
      <c r="BJ300" s="130" t="str">
        <f aca="false">IF($BD300&lt;&gt;Constants!$B$6,"",IF($AU300="-&gt;",$BB300,$AS300))</f>
        <v/>
      </c>
      <c r="BK300" s="127" t="str">
        <f aca="false">IF(ISBLANK($C300),"",IF($BD300&lt;&gt;Constants!$B$6,$BD300,IF(ISNUMBER($BJ300),RANK($BJ300,$BJ$9:$BJ$508,1),COUNT($BJ$9:$BJ$508)+1)))</f>
        <v/>
      </c>
      <c r="BL300" s="130" t="str">
        <f aca="false">IF($BD300&lt;&gt;Constants!$B$6,"",IF($AU300="-&gt;",$BC300,$AT300))</f>
        <v/>
      </c>
      <c r="BM300" s="127" t="str">
        <f aca="false">IF(ISBLANK($C300),"",IF($BD300&lt;&gt;Constants!$B$6,$BD300,IF(ISNUMBER($BL300),RANK($BL300,$BL$9:$BL$508,1),COUNT($BL$9:$BL$508)+1)))</f>
        <v/>
      </c>
      <c r="BN300" s="130" t="str">
        <f aca="false">IF($BD300&lt;&gt;Constants!$B$6,"",IF($AU300="-&gt;",$AS300,$BB300))</f>
        <v/>
      </c>
      <c r="BO300" s="127" t="str">
        <f aca="false">IF(ISBLANK($C300),"",IF($BD300&lt;&gt;Constants!$B$6,$BD300,IF(ISNUMBER($BN300),RANK($BN300,$BN$9:$BN$508,1),COUNT($BN$9:$BN$508)+1)))</f>
        <v/>
      </c>
      <c r="BP300" s="130" t="str">
        <f aca="false">IF($BD300&lt;&gt;Constants!$B$6,"",IF($AU300="-&gt;",$AT300,$BC300))</f>
        <v/>
      </c>
      <c r="BQ300" s="127" t="str">
        <f aca="false">IF(ISBLANK($C300),"",IF($BD300&lt;&gt;Constants!$B$6,$BD300,IF(ISNUMBER($BP300),RANK($BP300,$BP$9:$BP$508,1),COUNT($BP$9:$BP$508)+1)))</f>
        <v/>
      </c>
      <c r="BR300" s="127" t="str">
        <f aca="false">IF(ISBLANK($C300),"",IF($BD300&lt;&gt;Constants!$B$6,$BD300,COUNTIFS($BI$9:$BI$508,"&lt;"&amp;$BI300)+COUNTIFS($BI$9:$BI$508,$BI300,$BK$9:$BK$508,"&lt;"&amp;$BK300)+COUNTIFS($BI$9:$BI$508,$BI300,$BK$9:$BK$508,$BK300,$BM$9:$BM$508,"&lt;"&amp;$BM300)+COUNTIFS($BI$9:$BI$508,$BI300,$BK$9:$BK$508,$BK300,$BM$9:$BM$508,$BM300,$BO$9:$BO$508,"&lt;"&amp;$BO300)+COUNTIFS($BI$9:$BI$508,$BI300,$BK$9:$BK$508,$BK300,$BM$9:$BM$508,$BM300,$BO$9:$BO$508,$BO300,$BQ$9:$BQ$508,"&lt;"&amp;$BQ300)+1))</f>
        <v/>
      </c>
      <c r="BS300" s="127" t="str">
        <f aca="false">IF(ISBLANK($C300),"",IF($BD300&lt;&gt;Constants!$B$6,$BD300,$BI300-$BR300))</f>
        <v/>
      </c>
      <c r="BT300" s="133"/>
      <c r="BU300" s="134"/>
      <c r="BV300" s="134" t="str">
        <f aca="false">IF(ISBLANK($C300),"",IF($BD300&lt;&gt;Constants!$B$6,"",IF($AU300="-&gt;",2,1)))</f>
        <v/>
      </c>
      <c r="BW300" s="135" t="str">
        <f aca="false">IF(ISBLANK($C300),"",IF($BD300&lt;&gt;Constants!$B$6,"",IF($AU300="-&gt;",$AW300,$AN300)))</f>
        <v/>
      </c>
      <c r="BX300" s="135" t="str">
        <f aca="false">IF(ISBLANK($C300),"",IF($BD300&lt;&gt;Constants!$B$6,"",IF($AU300="-&gt;",$AX300,$AO300)))</f>
        <v/>
      </c>
      <c r="BY300" s="135" t="str">
        <f aca="false">IF(ISBLANK($C300),"",IF($BD300&lt;&gt;Constants!$B$6,"",IF($AU300="-&gt;",$AY300,$AP300)))</f>
        <v/>
      </c>
      <c r="BZ300" s="135" t="str">
        <f aca="false">IF(ISBLANK($C300),"",IF($BD300&lt;&gt;Constants!$B$6,"",IF($AU300="-&gt;",$AZ300,$AQ300)+$BG300))</f>
        <v/>
      </c>
      <c r="CA300" s="136" t="str">
        <f aca="false">IF(ISBLANK($C300),"",IF($BD300&lt;&gt;Constants!$B$6,$BD300,$BH300))</f>
        <v/>
      </c>
      <c r="CB300" s="137" t="str">
        <f aca="false">IF(ISBLANK($C300),"",$BE300)</f>
        <v/>
      </c>
      <c r="CC300" s="138" t="str">
        <f aca="false">IF(ISBLANK($C300),"",$BS300)</f>
        <v/>
      </c>
      <c r="CD300" s="138" t="str">
        <f aca="false">IF(ISBLANK($C300),"",$BR300)</f>
        <v/>
      </c>
      <c r="CE300" s="139" t="str">
        <f aca="false">IF(ISBLANK($C300),"",IF($CD300=Constants!$B$9,COUNTA($C$9:$C$508)+2,IF($CD300=Constants!$B$8,COUNTA($C$9:$C$508)+1,IF($CD300=Constants!$B$7,COUNTA($C$9:$C$508),$CD300))))</f>
        <v/>
      </c>
      <c r="CF300" s="9"/>
      <c r="CG300" s="140" t="n">
        <f aca="false">IF(OR(ISNUMBER($CD300),$CD300=Constants!$B$9,$CD300=Constants!$B$7,$CD300=Constants!$B$8),1,0)</f>
        <v>0</v>
      </c>
      <c r="CH300" s="140" t="n">
        <v>292</v>
      </c>
      <c r="CI300" s="140" t="str">
        <f aca="false">IF(ISBLANK($C300),"",IF(ISNUMBER($CE300),$CE300+ROW($B300)/1000,""))</f>
        <v/>
      </c>
      <c r="CJ300" s="140" t="str">
        <f aca="false">IF(ISNUMBER($CI300),RANK($CI300,$CI$9:$CI$508,1),"")</f>
        <v/>
      </c>
      <c r="CK300" s="140" t="str">
        <f aca="false">IF(ISBLANK($C300),"",$B300)</f>
        <v/>
      </c>
      <c r="CL300" s="140" t="str">
        <f aca="false">IF(ISBLANK($C300),"",$C300)</f>
        <v/>
      </c>
      <c r="CM300" s="140" t="str">
        <f aca="false">IF(ISBLANK($C300),"",$D300)</f>
        <v/>
      </c>
      <c r="CN300" s="141" t="str">
        <f aca="false">$CB300</f>
        <v/>
      </c>
      <c r="CO300" s="142" t="str">
        <f aca="false">$CA300</f>
        <v/>
      </c>
      <c r="CP300" s="140" t="str">
        <f aca="false">IF(ISBLANK($C300),"",$CD300)</f>
        <v/>
      </c>
      <c r="CQ300" s="143" t="str">
        <f aca="false">IF($CH300&gt;$CG$8,"",VLOOKUP($CH300,$CJ$9:$CP$508,7,FALSE()))</f>
        <v/>
      </c>
      <c r="CR300" s="144" t="str">
        <f aca="false">IF($CH300&gt;$CG$8,"",VLOOKUP($CH300,$CJ$9:$CP$508,2,FALSE()))</f>
        <v/>
      </c>
      <c r="CS300" s="144" t="str">
        <f aca="false">IF($CH300&gt;$CG$8,"",VLOOKUP($CH300,$CJ$9:$CP$508,3,FALSE()))</f>
        <v/>
      </c>
      <c r="CT300" s="144" t="str">
        <f aca="false">IF($CH300&gt;$CG$8,"",VLOOKUP($CH300,$CJ$9:$CP$508,4,FALSE()))</f>
        <v/>
      </c>
      <c r="CU300" s="144" t="str">
        <f aca="false">IF($CH300&gt;$CG$8,"",VLOOKUP($CH300,$CJ$9:$CP$508,5,FALSE()))</f>
        <v/>
      </c>
      <c r="CV300" s="145" t="str">
        <f aca="false">IF($CH300&gt;$CG$8,"",VLOOKUP($CH300,$CJ$9:$CP$508,6,FALSE()))</f>
        <v/>
      </c>
      <c r="CW300" s="71"/>
    </row>
    <row r="301" customFormat="false" ht="15.75" hidden="false" customHeight="false" outlineLevel="0" collapsed="false">
      <c r="A301" s="9"/>
      <c r="B301" s="150"/>
      <c r="C301" s="151"/>
      <c r="D301" s="152"/>
      <c r="E301" s="170"/>
      <c r="F301" s="154"/>
      <c r="G301" s="155"/>
      <c r="H301" s="171"/>
      <c r="I301" s="159"/>
      <c r="J301" s="120"/>
      <c r="K301" s="121"/>
      <c r="L301" s="122"/>
      <c r="M301" s="158"/>
      <c r="N301" s="159"/>
      <c r="O301" s="159"/>
      <c r="P301" s="120"/>
      <c r="Q301" s="122"/>
      <c r="R301" s="122"/>
      <c r="S301" s="158"/>
      <c r="T301" s="159"/>
      <c r="U301" s="126"/>
      <c r="V301" s="127"/>
      <c r="W301" s="127" t="str">
        <f aca="false">IF(ISBLANK($C301),"",IF(E301=Constants!$B$2,TRUE(),IF(E301=Constants!$B$3,FALSE(),TRUE())))</f>
        <v/>
      </c>
      <c r="X301" s="127" t="str">
        <f aca="false">IF(ISBLANK($C301),"",IF(F301=Constants!$B$2,TRUE(),IF(F301=Constants!$B$3,FALSE(),TRUE())))</f>
        <v/>
      </c>
      <c r="Y301" s="127" t="str">
        <f aca="false">IF(ISBLANK($C301),"",IF(G301=Constants!$B$2,TRUE(),IF(G301=Constants!$B$3,FALSE(),TRUE())))</f>
        <v/>
      </c>
      <c r="Z301" s="127" t="str">
        <f aca="false">IF(ISBLANK($C301),"",IF(H301=Constants!$B$2,TRUE(),IF(H301=Constants!$B$3,FALSE(),TRUE())))</f>
        <v/>
      </c>
      <c r="AA301" s="127" t="str">
        <f aca="false">IF(ISBLANK($C301),"",IF(I301=Constants!$B$2,TRUE(),IF(I301=Constants!$B$3,FALSE(),TRUE())))</f>
        <v/>
      </c>
      <c r="AB301" s="127" t="str">
        <f aca="false">IF(ISBLANK($C301),"",IF(J301=Constants!$B$4,TRUE(),IF(J301=Constants!$B$5,FALSE(),COUNTA(K301:M301)&gt;0)))</f>
        <v/>
      </c>
      <c r="AC301" s="128" t="str">
        <f aca="false">IF(ISBLANK($C301),"",IF(ISNUMBER(K301),IF(K301&gt;=0,K301,""),""))</f>
        <v/>
      </c>
      <c r="AD301" s="129" t="str">
        <f aca="false">IF(ISBLANK($C301),"",IF(ISNUMBER(L301),IF(L301&gt;=0,L301,""),""))</f>
        <v/>
      </c>
      <c r="AE301" s="127" t="str">
        <f aca="false">IF(ISBLANK($C301),"",IF(ISNUMBER(M301),IF(M301&gt;=0,MIN(M301,Constants!$B$22),""),""))</f>
        <v/>
      </c>
      <c r="AF301" s="127" t="str">
        <f aca="false">IF(ISBLANK($C301),"",IF(N301=Constants!$B$2,TRUE(),IF(N301=Constants!$B$3,FALSE(),TRUE())))</f>
        <v/>
      </c>
      <c r="AG301" s="127" t="str">
        <f aca="false">IF(ISBLANK($C301),"",IF(O301=Constants!$B$2,TRUE(),IF(O301=Constants!$B$3,FALSE(),TRUE())))</f>
        <v/>
      </c>
      <c r="AH301" s="127" t="str">
        <f aca="false">IF(ISBLANK($C301),"",IF(P301=Constants!$B$4,TRUE(),IF(P301=Constants!$B$5,FALSE(),COUNTA(Q301:S301)&gt;0)))</f>
        <v/>
      </c>
      <c r="AI301" s="128" t="str">
        <f aca="false">IF(ISBLANK($C301),"",IF(ISNUMBER(Q301),IF(Q301&gt;=0,Q301,""),""))</f>
        <v/>
      </c>
      <c r="AJ301" s="129" t="str">
        <f aca="false">IF(ISBLANK($C301),"",IF(ISNUMBER(R301),IF(R301&gt;=0,R301,""),""))</f>
        <v/>
      </c>
      <c r="AK301" s="127" t="str">
        <f aca="false">IF(ISBLANK($C301),"",IF(ISNUMBER(S301),IF(S301&gt;=0,MIN(S301,Constants!$B$22),""),""))</f>
        <v/>
      </c>
      <c r="AL301" s="127" t="str">
        <f aca="false">IF(ISBLANK($C301),"",IF(T301=Constants!$B$2,TRUE(),IF(T301=Constants!$B$3,FALSE(),FALSE())))</f>
        <v/>
      </c>
      <c r="AM301" s="126" t="str">
        <f aca="false">IF(ISBLANK($C301),"",AND($AB301,OR($AC301="",$AD301="",AND(NOT(ISBLANK($M301)),$AE301=""))))</f>
        <v/>
      </c>
      <c r="AN301" s="129" t="str">
        <f aca="false">IF($BD301&lt;&gt;Constants!$B$6,"",IF($AB301,Constants!$B$17*$AD301,Constants!$B$18))</f>
        <v/>
      </c>
      <c r="AO301" s="130" t="str">
        <f aca="false">IF($BD301&lt;&gt;Constants!$B$6,"",Constants!$B$19*IF($AB301,$AC301,0))</f>
        <v/>
      </c>
      <c r="AP301" s="130" t="str">
        <f aca="false">IF($BD301&lt;&gt;Constants!$B$6,"",IF(AND($AB301,ISNUMBER($AE301)),Constants!$B$20*(Constants!$B$21-$AE301),0))</f>
        <v/>
      </c>
      <c r="AQ301" s="130" t="str">
        <f aca="false">IF($BD301&lt;&gt;Constants!$B$6,"",IF($AA301,0,Constants!$B$12)+IF($Z301,0,Constants!$B$13)+IF($Y301,0,Constants!$B$14))</f>
        <v/>
      </c>
      <c r="AR301" s="131" t="str">
        <f aca="false">IF($BD301&lt;&gt;Constants!$B$6,"",Constants!$B$16+SUM($AN301:$AQ301))</f>
        <v/>
      </c>
      <c r="AS301" s="130" t="str">
        <f aca="false">IF($BD301&lt;&gt;Constants!$B$6,"",IF($AB301,$AD301,""))</f>
        <v/>
      </c>
      <c r="AT301" s="132" t="str">
        <f aca="false">IF($BD301&lt;&gt;Constants!$B$6,"",$AO301)</f>
        <v/>
      </c>
      <c r="AU301" s="127" t="str">
        <f aca="false">IF($BD301&lt;&gt;Constants!$B$6,"",IF(OR($BA301&lt;$AR301,AND($BA301=$AR301,OR(AND(ISNUMBER($BB301),OR(NOT(ISNUMBER($AS301)),$BB301&lt;$AS301)),AND(OR(AND($BB301="",$AS301=""),AND(ISNUMBER($BB301),ISNUMBER($AS301),$BB301=$AS301)),$BC301&lt;$AT301)))),"-&gt;","&lt;-"))</f>
        <v/>
      </c>
      <c r="AV301" s="126" t="str">
        <f aca="false">IF(ISBLANK($C301),"",AND($AH301,OR($AI301="",$AJ301="",AND(NOT(ISBLANK($S301)),$AK301=""))))</f>
        <v/>
      </c>
      <c r="AW301" s="129" t="str">
        <f aca="false">IF($BD301&lt;&gt;Constants!$B$6,"",IF($AH301,Constants!$B$17*$AJ301,Constants!$B$18))</f>
        <v/>
      </c>
      <c r="AX301" s="130" t="str">
        <f aca="false">IF($BD301&lt;&gt;Constants!$B$6,"",Constants!$B$19*IF($AH301,$AI301,0))</f>
        <v/>
      </c>
      <c r="AY301" s="130" t="str">
        <f aca="false">IF($BD301&lt;&gt;Constants!$B$6,"",IF(AND($AH301,ISNUMBER($AK301)),Constants!$B$20*(Constants!$B$21-$AK301),0))</f>
        <v/>
      </c>
      <c r="AZ301" s="130" t="str">
        <f aca="false">IF($BD301&lt;&gt;Constants!$B$6,"",IF($AG301,0,Constants!$B$12)+IF($AF301,0,Constants!$B$13)+IF($Y301,0,Constants!$B$14))</f>
        <v/>
      </c>
      <c r="BA301" s="131" t="str">
        <f aca="false">IF($BD301&lt;&gt;Constants!$B$6,"",Constants!$B$16+SUM($AW301:$AZ301))</f>
        <v/>
      </c>
      <c r="BB301" s="130" t="str">
        <f aca="false">IF($BD301&lt;&gt;Constants!$B$6,"",IF($AH301,$AJ301,""))</f>
        <v/>
      </c>
      <c r="BC301" s="132" t="str">
        <f aca="false">IF($BD301&lt;&gt;Constants!$B$6,"",$AX301)</f>
        <v/>
      </c>
      <c r="BD301" s="127" t="str">
        <f aca="false">IF(ISBLANK($C301),"",IF($AL301,Constants!$B$9,IF(COUNTA($E301:$T301)=0,Constants!$B$8,IF(NOT($X301),Constants!$B$7,IF(OR($AM301,$AV301),Constants!$B$10,Constants!$B$6)))))</f>
        <v/>
      </c>
      <c r="BE301" s="127" t="str">
        <f aca="false">IF(ISBLANK($C301),"",IF($BD301&lt;&gt;Constants!$B$6,$BD301,Constants!$B$11))</f>
        <v/>
      </c>
      <c r="BF301" s="130" t="str">
        <f aca="false">IF($BD301&lt;&gt;Constants!$B$6,"",IF($AU301="-&gt;",$BA301,$AR301))</f>
        <v/>
      </c>
      <c r="BG301" s="130" t="str">
        <f aca="false">IF($BD301&lt;&gt;Constants!$B$6,"",IF($W301,0,Constants!$B$15))</f>
        <v/>
      </c>
      <c r="BH301" s="130" t="str">
        <f aca="false">IF(ISBLANK($C301),"",IF($BD301&lt;&gt;Constants!$B$6,$BD301,SUM($BF301:$BG301)))</f>
        <v/>
      </c>
      <c r="BI301" s="127" t="str">
        <f aca="false">IF(ISBLANK($C301),"",IF($BD301&lt;&gt;Constants!$B$6,$BD301,RANK($BH301,$BH$9:$BH$508,1)))</f>
        <v/>
      </c>
      <c r="BJ301" s="130" t="str">
        <f aca="false">IF($BD301&lt;&gt;Constants!$B$6,"",IF($AU301="-&gt;",$BB301,$AS301))</f>
        <v/>
      </c>
      <c r="BK301" s="127" t="str">
        <f aca="false">IF(ISBLANK($C301),"",IF($BD301&lt;&gt;Constants!$B$6,$BD301,IF(ISNUMBER($BJ301),RANK($BJ301,$BJ$9:$BJ$508,1),COUNT($BJ$9:$BJ$508)+1)))</f>
        <v/>
      </c>
      <c r="BL301" s="130" t="str">
        <f aca="false">IF($BD301&lt;&gt;Constants!$B$6,"",IF($AU301="-&gt;",$BC301,$AT301))</f>
        <v/>
      </c>
      <c r="BM301" s="127" t="str">
        <f aca="false">IF(ISBLANK($C301),"",IF($BD301&lt;&gt;Constants!$B$6,$BD301,IF(ISNUMBER($BL301),RANK($BL301,$BL$9:$BL$508,1),COUNT($BL$9:$BL$508)+1)))</f>
        <v/>
      </c>
      <c r="BN301" s="130" t="str">
        <f aca="false">IF($BD301&lt;&gt;Constants!$B$6,"",IF($AU301="-&gt;",$AS301,$BB301))</f>
        <v/>
      </c>
      <c r="BO301" s="127" t="str">
        <f aca="false">IF(ISBLANK($C301),"",IF($BD301&lt;&gt;Constants!$B$6,$BD301,IF(ISNUMBER($BN301),RANK($BN301,$BN$9:$BN$508,1),COUNT($BN$9:$BN$508)+1)))</f>
        <v/>
      </c>
      <c r="BP301" s="130" t="str">
        <f aca="false">IF($BD301&lt;&gt;Constants!$B$6,"",IF($AU301="-&gt;",$AT301,$BC301))</f>
        <v/>
      </c>
      <c r="BQ301" s="127" t="str">
        <f aca="false">IF(ISBLANK($C301),"",IF($BD301&lt;&gt;Constants!$B$6,$BD301,IF(ISNUMBER($BP301),RANK($BP301,$BP$9:$BP$508,1),COUNT($BP$9:$BP$508)+1)))</f>
        <v/>
      </c>
      <c r="BR301" s="127" t="str">
        <f aca="false">IF(ISBLANK($C301),"",IF($BD301&lt;&gt;Constants!$B$6,$BD301,COUNTIFS($BI$9:$BI$508,"&lt;"&amp;$BI301)+COUNTIFS($BI$9:$BI$508,$BI301,$BK$9:$BK$508,"&lt;"&amp;$BK301)+COUNTIFS($BI$9:$BI$508,$BI301,$BK$9:$BK$508,$BK301,$BM$9:$BM$508,"&lt;"&amp;$BM301)+COUNTIFS($BI$9:$BI$508,$BI301,$BK$9:$BK$508,$BK301,$BM$9:$BM$508,$BM301,$BO$9:$BO$508,"&lt;"&amp;$BO301)+COUNTIFS($BI$9:$BI$508,$BI301,$BK$9:$BK$508,$BK301,$BM$9:$BM$508,$BM301,$BO$9:$BO$508,$BO301,$BQ$9:$BQ$508,"&lt;"&amp;$BQ301)+1))</f>
        <v/>
      </c>
      <c r="BS301" s="127" t="str">
        <f aca="false">IF(ISBLANK($C301),"",IF($BD301&lt;&gt;Constants!$B$6,$BD301,$BI301-$BR301))</f>
        <v/>
      </c>
      <c r="BT301" s="133"/>
      <c r="BU301" s="134"/>
      <c r="BV301" s="134" t="str">
        <f aca="false">IF(ISBLANK($C301),"",IF($BD301&lt;&gt;Constants!$B$6,"",IF($AU301="-&gt;",2,1)))</f>
        <v/>
      </c>
      <c r="BW301" s="135" t="str">
        <f aca="false">IF(ISBLANK($C301),"",IF($BD301&lt;&gt;Constants!$B$6,"",IF($AU301="-&gt;",$AW301,$AN301)))</f>
        <v/>
      </c>
      <c r="BX301" s="135" t="str">
        <f aca="false">IF(ISBLANK($C301),"",IF($BD301&lt;&gt;Constants!$B$6,"",IF($AU301="-&gt;",$AX301,$AO301)))</f>
        <v/>
      </c>
      <c r="BY301" s="135" t="str">
        <f aca="false">IF(ISBLANK($C301),"",IF($BD301&lt;&gt;Constants!$B$6,"",IF($AU301="-&gt;",$AY301,$AP301)))</f>
        <v/>
      </c>
      <c r="BZ301" s="135" t="str">
        <f aca="false">IF(ISBLANK($C301),"",IF($BD301&lt;&gt;Constants!$B$6,"",IF($AU301="-&gt;",$AZ301,$AQ301)+$BG301))</f>
        <v/>
      </c>
      <c r="CA301" s="136" t="str">
        <f aca="false">IF(ISBLANK($C301),"",IF($BD301&lt;&gt;Constants!$B$6,$BD301,$BH301))</f>
        <v/>
      </c>
      <c r="CB301" s="137" t="str">
        <f aca="false">IF(ISBLANK($C301),"",$BE301)</f>
        <v/>
      </c>
      <c r="CC301" s="138" t="str">
        <f aca="false">IF(ISBLANK($C301),"",$BS301)</f>
        <v/>
      </c>
      <c r="CD301" s="138" t="str">
        <f aca="false">IF(ISBLANK($C301),"",$BR301)</f>
        <v/>
      </c>
      <c r="CE301" s="139" t="str">
        <f aca="false">IF(ISBLANK($C301),"",IF($CD301=Constants!$B$9,COUNTA($C$9:$C$508)+2,IF($CD301=Constants!$B$8,COUNTA($C$9:$C$508)+1,IF($CD301=Constants!$B$7,COUNTA($C$9:$C$508),$CD301))))</f>
        <v/>
      </c>
      <c r="CF301" s="9"/>
      <c r="CG301" s="140" t="n">
        <f aca="false">IF(OR(ISNUMBER($CD301),$CD301=Constants!$B$9,$CD301=Constants!$B$7,$CD301=Constants!$B$8),1,0)</f>
        <v>0</v>
      </c>
      <c r="CH301" s="140" t="n">
        <v>293</v>
      </c>
      <c r="CI301" s="140" t="str">
        <f aca="false">IF(ISBLANK($C301),"",IF(ISNUMBER($CE301),$CE301+ROW($B301)/1000,""))</f>
        <v/>
      </c>
      <c r="CJ301" s="140" t="str">
        <f aca="false">IF(ISNUMBER($CI301),RANK($CI301,$CI$9:$CI$508,1),"")</f>
        <v/>
      </c>
      <c r="CK301" s="140" t="str">
        <f aca="false">IF(ISBLANK($C301),"",$B301)</f>
        <v/>
      </c>
      <c r="CL301" s="140" t="str">
        <f aca="false">IF(ISBLANK($C301),"",$C301)</f>
        <v/>
      </c>
      <c r="CM301" s="140" t="str">
        <f aca="false">IF(ISBLANK($C301),"",$D301)</f>
        <v/>
      </c>
      <c r="CN301" s="141" t="str">
        <f aca="false">$CB301</f>
        <v/>
      </c>
      <c r="CO301" s="142" t="str">
        <f aca="false">$CA301</f>
        <v/>
      </c>
      <c r="CP301" s="140" t="str">
        <f aca="false">IF(ISBLANK($C301),"",$CD301)</f>
        <v/>
      </c>
      <c r="CQ301" s="143" t="str">
        <f aca="false">IF($CH301&gt;$CG$8,"",VLOOKUP($CH301,$CJ$9:$CP$508,7,FALSE()))</f>
        <v/>
      </c>
      <c r="CR301" s="144" t="str">
        <f aca="false">IF($CH301&gt;$CG$8,"",VLOOKUP($CH301,$CJ$9:$CP$508,2,FALSE()))</f>
        <v/>
      </c>
      <c r="CS301" s="144" t="str">
        <f aca="false">IF($CH301&gt;$CG$8,"",VLOOKUP($CH301,$CJ$9:$CP$508,3,FALSE()))</f>
        <v/>
      </c>
      <c r="CT301" s="144" t="str">
        <f aca="false">IF($CH301&gt;$CG$8,"",VLOOKUP($CH301,$CJ$9:$CP$508,4,FALSE()))</f>
        <v/>
      </c>
      <c r="CU301" s="144" t="str">
        <f aca="false">IF($CH301&gt;$CG$8,"",VLOOKUP($CH301,$CJ$9:$CP$508,5,FALSE()))</f>
        <v/>
      </c>
      <c r="CV301" s="145" t="str">
        <f aca="false">IF($CH301&gt;$CG$8,"",VLOOKUP($CH301,$CJ$9:$CP$508,6,FALSE()))</f>
        <v/>
      </c>
      <c r="CW301" s="71"/>
    </row>
    <row r="302" customFormat="false" ht="15.75" hidden="false" customHeight="false" outlineLevel="0" collapsed="false">
      <c r="A302" s="9"/>
      <c r="B302" s="150"/>
      <c r="C302" s="151"/>
      <c r="D302" s="152"/>
      <c r="E302" s="170"/>
      <c r="F302" s="154"/>
      <c r="G302" s="155"/>
      <c r="H302" s="171"/>
      <c r="I302" s="159"/>
      <c r="J302" s="120"/>
      <c r="K302" s="121"/>
      <c r="L302" s="122"/>
      <c r="M302" s="158"/>
      <c r="N302" s="159"/>
      <c r="O302" s="159"/>
      <c r="P302" s="120"/>
      <c r="Q302" s="122"/>
      <c r="R302" s="122"/>
      <c r="S302" s="158"/>
      <c r="T302" s="159"/>
      <c r="U302" s="126"/>
      <c r="V302" s="127"/>
      <c r="W302" s="127" t="str">
        <f aca="false">IF(ISBLANK($C302),"",IF(E302=Constants!$B$2,TRUE(),IF(E302=Constants!$B$3,FALSE(),TRUE())))</f>
        <v/>
      </c>
      <c r="X302" s="127" t="str">
        <f aca="false">IF(ISBLANK($C302),"",IF(F302=Constants!$B$2,TRUE(),IF(F302=Constants!$B$3,FALSE(),TRUE())))</f>
        <v/>
      </c>
      <c r="Y302" s="127" t="str">
        <f aca="false">IF(ISBLANK($C302),"",IF(G302=Constants!$B$2,TRUE(),IF(G302=Constants!$B$3,FALSE(),TRUE())))</f>
        <v/>
      </c>
      <c r="Z302" s="127" t="str">
        <f aca="false">IF(ISBLANK($C302),"",IF(H302=Constants!$B$2,TRUE(),IF(H302=Constants!$B$3,FALSE(),TRUE())))</f>
        <v/>
      </c>
      <c r="AA302" s="127" t="str">
        <f aca="false">IF(ISBLANK($C302),"",IF(I302=Constants!$B$2,TRUE(),IF(I302=Constants!$B$3,FALSE(),TRUE())))</f>
        <v/>
      </c>
      <c r="AB302" s="127" t="str">
        <f aca="false">IF(ISBLANK($C302),"",IF(J302=Constants!$B$4,TRUE(),IF(J302=Constants!$B$5,FALSE(),COUNTA(K302:M302)&gt;0)))</f>
        <v/>
      </c>
      <c r="AC302" s="128" t="str">
        <f aca="false">IF(ISBLANK($C302),"",IF(ISNUMBER(K302),IF(K302&gt;=0,K302,""),""))</f>
        <v/>
      </c>
      <c r="AD302" s="129" t="str">
        <f aca="false">IF(ISBLANK($C302),"",IF(ISNUMBER(L302),IF(L302&gt;=0,L302,""),""))</f>
        <v/>
      </c>
      <c r="AE302" s="127" t="str">
        <f aca="false">IF(ISBLANK($C302),"",IF(ISNUMBER(M302),IF(M302&gt;=0,MIN(M302,Constants!$B$22),""),""))</f>
        <v/>
      </c>
      <c r="AF302" s="127" t="str">
        <f aca="false">IF(ISBLANK($C302),"",IF(N302=Constants!$B$2,TRUE(),IF(N302=Constants!$B$3,FALSE(),TRUE())))</f>
        <v/>
      </c>
      <c r="AG302" s="127" t="str">
        <f aca="false">IF(ISBLANK($C302),"",IF(O302=Constants!$B$2,TRUE(),IF(O302=Constants!$B$3,FALSE(),TRUE())))</f>
        <v/>
      </c>
      <c r="AH302" s="127" t="str">
        <f aca="false">IF(ISBLANK($C302),"",IF(P302=Constants!$B$4,TRUE(),IF(P302=Constants!$B$5,FALSE(),COUNTA(Q302:S302)&gt;0)))</f>
        <v/>
      </c>
      <c r="AI302" s="128" t="str">
        <f aca="false">IF(ISBLANK($C302),"",IF(ISNUMBER(Q302),IF(Q302&gt;=0,Q302,""),""))</f>
        <v/>
      </c>
      <c r="AJ302" s="129" t="str">
        <f aca="false">IF(ISBLANK($C302),"",IF(ISNUMBER(R302),IF(R302&gt;=0,R302,""),""))</f>
        <v/>
      </c>
      <c r="AK302" s="127" t="str">
        <f aca="false">IF(ISBLANK($C302),"",IF(ISNUMBER(S302),IF(S302&gt;=0,MIN(S302,Constants!$B$22),""),""))</f>
        <v/>
      </c>
      <c r="AL302" s="127" t="str">
        <f aca="false">IF(ISBLANK($C302),"",IF(T302=Constants!$B$2,TRUE(),IF(T302=Constants!$B$3,FALSE(),FALSE())))</f>
        <v/>
      </c>
      <c r="AM302" s="126" t="str">
        <f aca="false">IF(ISBLANK($C302),"",AND($AB302,OR($AC302="",$AD302="",AND(NOT(ISBLANK($M302)),$AE302=""))))</f>
        <v/>
      </c>
      <c r="AN302" s="129" t="str">
        <f aca="false">IF($BD302&lt;&gt;Constants!$B$6,"",IF($AB302,Constants!$B$17*$AD302,Constants!$B$18))</f>
        <v/>
      </c>
      <c r="AO302" s="130" t="str">
        <f aca="false">IF($BD302&lt;&gt;Constants!$B$6,"",Constants!$B$19*IF($AB302,$AC302,0))</f>
        <v/>
      </c>
      <c r="AP302" s="130" t="str">
        <f aca="false">IF($BD302&lt;&gt;Constants!$B$6,"",IF(AND($AB302,ISNUMBER($AE302)),Constants!$B$20*(Constants!$B$21-$AE302),0))</f>
        <v/>
      </c>
      <c r="AQ302" s="130" t="str">
        <f aca="false">IF($BD302&lt;&gt;Constants!$B$6,"",IF($AA302,0,Constants!$B$12)+IF($Z302,0,Constants!$B$13)+IF($Y302,0,Constants!$B$14))</f>
        <v/>
      </c>
      <c r="AR302" s="131" t="str">
        <f aca="false">IF($BD302&lt;&gt;Constants!$B$6,"",Constants!$B$16+SUM($AN302:$AQ302))</f>
        <v/>
      </c>
      <c r="AS302" s="130" t="str">
        <f aca="false">IF($BD302&lt;&gt;Constants!$B$6,"",IF($AB302,$AD302,""))</f>
        <v/>
      </c>
      <c r="AT302" s="132" t="str">
        <f aca="false">IF($BD302&lt;&gt;Constants!$B$6,"",$AO302)</f>
        <v/>
      </c>
      <c r="AU302" s="127" t="str">
        <f aca="false">IF($BD302&lt;&gt;Constants!$B$6,"",IF(OR($BA302&lt;$AR302,AND($BA302=$AR302,OR(AND(ISNUMBER($BB302),OR(NOT(ISNUMBER($AS302)),$BB302&lt;$AS302)),AND(OR(AND($BB302="",$AS302=""),AND(ISNUMBER($BB302),ISNUMBER($AS302),$BB302=$AS302)),$BC302&lt;$AT302)))),"-&gt;","&lt;-"))</f>
        <v/>
      </c>
      <c r="AV302" s="126" t="str">
        <f aca="false">IF(ISBLANK($C302),"",AND($AH302,OR($AI302="",$AJ302="",AND(NOT(ISBLANK($S302)),$AK302=""))))</f>
        <v/>
      </c>
      <c r="AW302" s="129" t="str">
        <f aca="false">IF($BD302&lt;&gt;Constants!$B$6,"",IF($AH302,Constants!$B$17*$AJ302,Constants!$B$18))</f>
        <v/>
      </c>
      <c r="AX302" s="130" t="str">
        <f aca="false">IF($BD302&lt;&gt;Constants!$B$6,"",Constants!$B$19*IF($AH302,$AI302,0))</f>
        <v/>
      </c>
      <c r="AY302" s="130" t="str">
        <f aca="false">IF($BD302&lt;&gt;Constants!$B$6,"",IF(AND($AH302,ISNUMBER($AK302)),Constants!$B$20*(Constants!$B$21-$AK302),0))</f>
        <v/>
      </c>
      <c r="AZ302" s="130" t="str">
        <f aca="false">IF($BD302&lt;&gt;Constants!$B$6,"",IF($AG302,0,Constants!$B$12)+IF($AF302,0,Constants!$B$13)+IF($Y302,0,Constants!$B$14))</f>
        <v/>
      </c>
      <c r="BA302" s="131" t="str">
        <f aca="false">IF($BD302&lt;&gt;Constants!$B$6,"",Constants!$B$16+SUM($AW302:$AZ302))</f>
        <v/>
      </c>
      <c r="BB302" s="130" t="str">
        <f aca="false">IF($BD302&lt;&gt;Constants!$B$6,"",IF($AH302,$AJ302,""))</f>
        <v/>
      </c>
      <c r="BC302" s="132" t="str">
        <f aca="false">IF($BD302&lt;&gt;Constants!$B$6,"",$AX302)</f>
        <v/>
      </c>
      <c r="BD302" s="127" t="str">
        <f aca="false">IF(ISBLANK($C302),"",IF($AL302,Constants!$B$9,IF(COUNTA($E302:$T302)=0,Constants!$B$8,IF(NOT($X302),Constants!$B$7,IF(OR($AM302,$AV302),Constants!$B$10,Constants!$B$6)))))</f>
        <v/>
      </c>
      <c r="BE302" s="127" t="str">
        <f aca="false">IF(ISBLANK($C302),"",IF($BD302&lt;&gt;Constants!$B$6,$BD302,Constants!$B$11))</f>
        <v/>
      </c>
      <c r="BF302" s="130" t="str">
        <f aca="false">IF($BD302&lt;&gt;Constants!$B$6,"",IF($AU302="-&gt;",$BA302,$AR302))</f>
        <v/>
      </c>
      <c r="BG302" s="130" t="str">
        <f aca="false">IF($BD302&lt;&gt;Constants!$B$6,"",IF($W302,0,Constants!$B$15))</f>
        <v/>
      </c>
      <c r="BH302" s="130" t="str">
        <f aca="false">IF(ISBLANK($C302),"",IF($BD302&lt;&gt;Constants!$B$6,$BD302,SUM($BF302:$BG302)))</f>
        <v/>
      </c>
      <c r="BI302" s="127" t="str">
        <f aca="false">IF(ISBLANK($C302),"",IF($BD302&lt;&gt;Constants!$B$6,$BD302,RANK($BH302,$BH$9:$BH$508,1)))</f>
        <v/>
      </c>
      <c r="BJ302" s="130" t="str">
        <f aca="false">IF($BD302&lt;&gt;Constants!$B$6,"",IF($AU302="-&gt;",$BB302,$AS302))</f>
        <v/>
      </c>
      <c r="BK302" s="127" t="str">
        <f aca="false">IF(ISBLANK($C302),"",IF($BD302&lt;&gt;Constants!$B$6,$BD302,IF(ISNUMBER($BJ302),RANK($BJ302,$BJ$9:$BJ$508,1),COUNT($BJ$9:$BJ$508)+1)))</f>
        <v/>
      </c>
      <c r="BL302" s="130" t="str">
        <f aca="false">IF($BD302&lt;&gt;Constants!$B$6,"",IF($AU302="-&gt;",$BC302,$AT302))</f>
        <v/>
      </c>
      <c r="BM302" s="127" t="str">
        <f aca="false">IF(ISBLANK($C302),"",IF($BD302&lt;&gt;Constants!$B$6,$BD302,IF(ISNUMBER($BL302),RANK($BL302,$BL$9:$BL$508,1),COUNT($BL$9:$BL$508)+1)))</f>
        <v/>
      </c>
      <c r="BN302" s="130" t="str">
        <f aca="false">IF($BD302&lt;&gt;Constants!$B$6,"",IF($AU302="-&gt;",$AS302,$BB302))</f>
        <v/>
      </c>
      <c r="BO302" s="127" t="str">
        <f aca="false">IF(ISBLANK($C302),"",IF($BD302&lt;&gt;Constants!$B$6,$BD302,IF(ISNUMBER($BN302),RANK($BN302,$BN$9:$BN$508,1),COUNT($BN$9:$BN$508)+1)))</f>
        <v/>
      </c>
      <c r="BP302" s="130" t="str">
        <f aca="false">IF($BD302&lt;&gt;Constants!$B$6,"",IF($AU302="-&gt;",$AT302,$BC302))</f>
        <v/>
      </c>
      <c r="BQ302" s="127" t="str">
        <f aca="false">IF(ISBLANK($C302),"",IF($BD302&lt;&gt;Constants!$B$6,$BD302,IF(ISNUMBER($BP302),RANK($BP302,$BP$9:$BP$508,1),COUNT($BP$9:$BP$508)+1)))</f>
        <v/>
      </c>
      <c r="BR302" s="127" t="str">
        <f aca="false">IF(ISBLANK($C302),"",IF($BD302&lt;&gt;Constants!$B$6,$BD302,COUNTIFS($BI$9:$BI$508,"&lt;"&amp;$BI302)+COUNTIFS($BI$9:$BI$508,$BI302,$BK$9:$BK$508,"&lt;"&amp;$BK302)+COUNTIFS($BI$9:$BI$508,$BI302,$BK$9:$BK$508,$BK302,$BM$9:$BM$508,"&lt;"&amp;$BM302)+COUNTIFS($BI$9:$BI$508,$BI302,$BK$9:$BK$508,$BK302,$BM$9:$BM$508,$BM302,$BO$9:$BO$508,"&lt;"&amp;$BO302)+COUNTIFS($BI$9:$BI$508,$BI302,$BK$9:$BK$508,$BK302,$BM$9:$BM$508,$BM302,$BO$9:$BO$508,$BO302,$BQ$9:$BQ$508,"&lt;"&amp;$BQ302)+1))</f>
        <v/>
      </c>
      <c r="BS302" s="127" t="str">
        <f aca="false">IF(ISBLANK($C302),"",IF($BD302&lt;&gt;Constants!$B$6,$BD302,$BI302-$BR302))</f>
        <v/>
      </c>
      <c r="BT302" s="133"/>
      <c r="BU302" s="134"/>
      <c r="BV302" s="134" t="str">
        <f aca="false">IF(ISBLANK($C302),"",IF($BD302&lt;&gt;Constants!$B$6,"",IF($AU302="-&gt;",2,1)))</f>
        <v/>
      </c>
      <c r="BW302" s="135" t="str">
        <f aca="false">IF(ISBLANK($C302),"",IF($BD302&lt;&gt;Constants!$B$6,"",IF($AU302="-&gt;",$AW302,$AN302)))</f>
        <v/>
      </c>
      <c r="BX302" s="135" t="str">
        <f aca="false">IF(ISBLANK($C302),"",IF($BD302&lt;&gt;Constants!$B$6,"",IF($AU302="-&gt;",$AX302,$AO302)))</f>
        <v/>
      </c>
      <c r="BY302" s="135" t="str">
        <f aca="false">IF(ISBLANK($C302),"",IF($BD302&lt;&gt;Constants!$B$6,"",IF($AU302="-&gt;",$AY302,$AP302)))</f>
        <v/>
      </c>
      <c r="BZ302" s="135" t="str">
        <f aca="false">IF(ISBLANK($C302),"",IF($BD302&lt;&gt;Constants!$B$6,"",IF($AU302="-&gt;",$AZ302,$AQ302)+$BG302))</f>
        <v/>
      </c>
      <c r="CA302" s="136" t="str">
        <f aca="false">IF(ISBLANK($C302),"",IF($BD302&lt;&gt;Constants!$B$6,$BD302,$BH302))</f>
        <v/>
      </c>
      <c r="CB302" s="137" t="str">
        <f aca="false">IF(ISBLANK($C302),"",$BE302)</f>
        <v/>
      </c>
      <c r="CC302" s="138" t="str">
        <f aca="false">IF(ISBLANK($C302),"",$BS302)</f>
        <v/>
      </c>
      <c r="CD302" s="138" t="str">
        <f aca="false">IF(ISBLANK($C302),"",$BR302)</f>
        <v/>
      </c>
      <c r="CE302" s="139" t="str">
        <f aca="false">IF(ISBLANK($C302),"",IF($CD302=Constants!$B$9,COUNTA($C$9:$C$508)+2,IF($CD302=Constants!$B$8,COUNTA($C$9:$C$508)+1,IF($CD302=Constants!$B$7,COUNTA($C$9:$C$508),$CD302))))</f>
        <v/>
      </c>
      <c r="CF302" s="9"/>
      <c r="CG302" s="140" t="n">
        <f aca="false">IF(OR(ISNUMBER($CD302),$CD302=Constants!$B$9,$CD302=Constants!$B$7,$CD302=Constants!$B$8),1,0)</f>
        <v>0</v>
      </c>
      <c r="CH302" s="140" t="n">
        <v>294</v>
      </c>
      <c r="CI302" s="140" t="str">
        <f aca="false">IF(ISBLANK($C302),"",IF(ISNUMBER($CE302),$CE302+ROW($B302)/1000,""))</f>
        <v/>
      </c>
      <c r="CJ302" s="140" t="str">
        <f aca="false">IF(ISNUMBER($CI302),RANK($CI302,$CI$9:$CI$508,1),"")</f>
        <v/>
      </c>
      <c r="CK302" s="140" t="str">
        <f aca="false">IF(ISBLANK($C302),"",$B302)</f>
        <v/>
      </c>
      <c r="CL302" s="140" t="str">
        <f aca="false">IF(ISBLANK($C302),"",$C302)</f>
        <v/>
      </c>
      <c r="CM302" s="140" t="str">
        <f aca="false">IF(ISBLANK($C302),"",$D302)</f>
        <v/>
      </c>
      <c r="CN302" s="141" t="str">
        <f aca="false">$CB302</f>
        <v/>
      </c>
      <c r="CO302" s="142" t="str">
        <f aca="false">$CA302</f>
        <v/>
      </c>
      <c r="CP302" s="140" t="str">
        <f aca="false">IF(ISBLANK($C302),"",$CD302)</f>
        <v/>
      </c>
      <c r="CQ302" s="143" t="str">
        <f aca="false">IF($CH302&gt;$CG$8,"",VLOOKUP($CH302,$CJ$9:$CP$508,7,FALSE()))</f>
        <v/>
      </c>
      <c r="CR302" s="144" t="str">
        <f aca="false">IF($CH302&gt;$CG$8,"",VLOOKUP($CH302,$CJ$9:$CP$508,2,FALSE()))</f>
        <v/>
      </c>
      <c r="CS302" s="144" t="str">
        <f aca="false">IF($CH302&gt;$CG$8,"",VLOOKUP($CH302,$CJ$9:$CP$508,3,FALSE()))</f>
        <v/>
      </c>
      <c r="CT302" s="144" t="str">
        <f aca="false">IF($CH302&gt;$CG$8,"",VLOOKUP($CH302,$CJ$9:$CP$508,4,FALSE()))</f>
        <v/>
      </c>
      <c r="CU302" s="144" t="str">
        <f aca="false">IF($CH302&gt;$CG$8,"",VLOOKUP($CH302,$CJ$9:$CP$508,5,FALSE()))</f>
        <v/>
      </c>
      <c r="CV302" s="145" t="str">
        <f aca="false">IF($CH302&gt;$CG$8,"",VLOOKUP($CH302,$CJ$9:$CP$508,6,FALSE()))</f>
        <v/>
      </c>
      <c r="CW302" s="71"/>
    </row>
    <row r="303" customFormat="false" ht="15.75" hidden="false" customHeight="false" outlineLevel="0" collapsed="false">
      <c r="A303" s="9"/>
      <c r="B303" s="72"/>
      <c r="C303" s="73"/>
      <c r="D303" s="160"/>
      <c r="E303" s="168"/>
      <c r="F303" s="162"/>
      <c r="G303" s="163"/>
      <c r="H303" s="169"/>
      <c r="I303" s="167"/>
      <c r="J303" s="80"/>
      <c r="K303" s="81"/>
      <c r="L303" s="82"/>
      <c r="M303" s="166"/>
      <c r="N303" s="167"/>
      <c r="O303" s="167"/>
      <c r="P303" s="80"/>
      <c r="Q303" s="82"/>
      <c r="R303" s="82"/>
      <c r="S303" s="166"/>
      <c r="T303" s="167"/>
      <c r="U303" s="86"/>
      <c r="V303" s="87"/>
      <c r="W303" s="87" t="str">
        <f aca="false">IF(ISBLANK($C303),"",IF(E303=Constants!$B$2,TRUE(),IF(E303=Constants!$B$3,FALSE(),TRUE())))</f>
        <v/>
      </c>
      <c r="X303" s="87" t="str">
        <f aca="false">IF(ISBLANK($C303),"",IF(F303=Constants!$B$2,TRUE(),IF(F303=Constants!$B$3,FALSE(),TRUE())))</f>
        <v/>
      </c>
      <c r="Y303" s="87" t="str">
        <f aca="false">IF(ISBLANK($C303),"",IF(G303=Constants!$B$2,TRUE(),IF(G303=Constants!$B$3,FALSE(),TRUE())))</f>
        <v/>
      </c>
      <c r="Z303" s="87" t="str">
        <f aca="false">IF(ISBLANK($C303),"",IF(H303=Constants!$B$2,TRUE(),IF(H303=Constants!$B$3,FALSE(),TRUE())))</f>
        <v/>
      </c>
      <c r="AA303" s="87" t="str">
        <f aca="false">IF(ISBLANK($C303),"",IF(I303=Constants!$B$2,TRUE(),IF(I303=Constants!$B$3,FALSE(),TRUE())))</f>
        <v/>
      </c>
      <c r="AB303" s="87" t="str">
        <f aca="false">IF(ISBLANK($C303),"",IF(J303=Constants!$B$4,TRUE(),IF(J303=Constants!$B$5,FALSE(),COUNTA(K303:M303)&gt;0)))</f>
        <v/>
      </c>
      <c r="AC303" s="88" t="str">
        <f aca="false">IF(ISBLANK($C303),"",IF(ISNUMBER(K303),IF(K303&gt;=0,K303,""),""))</f>
        <v/>
      </c>
      <c r="AD303" s="89" t="str">
        <f aca="false">IF(ISBLANK($C303),"",IF(ISNUMBER(L303),IF(L303&gt;=0,L303,""),""))</f>
        <v/>
      </c>
      <c r="AE303" s="87" t="str">
        <f aca="false">IF(ISBLANK($C303),"",IF(ISNUMBER(M303),IF(M303&gt;=0,MIN(M303,Constants!$B$22),""),""))</f>
        <v/>
      </c>
      <c r="AF303" s="87" t="str">
        <f aca="false">IF(ISBLANK($C303),"",IF(N303=Constants!$B$2,TRUE(),IF(N303=Constants!$B$3,FALSE(),TRUE())))</f>
        <v/>
      </c>
      <c r="AG303" s="87" t="str">
        <f aca="false">IF(ISBLANK($C303),"",IF(O303=Constants!$B$2,TRUE(),IF(O303=Constants!$B$3,FALSE(),TRUE())))</f>
        <v/>
      </c>
      <c r="AH303" s="87" t="str">
        <f aca="false">IF(ISBLANK($C303),"",IF(P303=Constants!$B$4,TRUE(),IF(P303=Constants!$B$5,FALSE(),COUNTA(Q303:S303)&gt;0)))</f>
        <v/>
      </c>
      <c r="AI303" s="88" t="str">
        <f aca="false">IF(ISBLANK($C303),"",IF(ISNUMBER(Q303),IF(Q303&gt;=0,Q303,""),""))</f>
        <v/>
      </c>
      <c r="AJ303" s="89" t="str">
        <f aca="false">IF(ISBLANK($C303),"",IF(ISNUMBER(R303),IF(R303&gt;=0,R303,""),""))</f>
        <v/>
      </c>
      <c r="AK303" s="87" t="str">
        <f aca="false">IF(ISBLANK($C303),"",IF(ISNUMBER(S303),IF(S303&gt;=0,MIN(S303,Constants!$B$22),""),""))</f>
        <v/>
      </c>
      <c r="AL303" s="87" t="str">
        <f aca="false">IF(ISBLANK($C303),"",IF(T303=Constants!$B$2,TRUE(),IF(T303=Constants!$B$3,FALSE(),FALSE())))</f>
        <v/>
      </c>
      <c r="AM303" s="86" t="str">
        <f aca="false">IF(ISBLANK($C303),"",AND($AB303,OR($AC303="",$AD303="",AND(NOT(ISBLANK($M303)),$AE303=""))))</f>
        <v/>
      </c>
      <c r="AN303" s="89" t="str">
        <f aca="false">IF($BD303&lt;&gt;Constants!$B$6,"",IF($AB303,Constants!$B$17*$AD303,Constants!$B$18))</f>
        <v/>
      </c>
      <c r="AO303" s="91" t="str">
        <f aca="false">IF($BD303&lt;&gt;Constants!$B$6,"",Constants!$B$19*IF($AB303,$AC303,0))</f>
        <v/>
      </c>
      <c r="AP303" s="91" t="str">
        <f aca="false">IF($BD303&lt;&gt;Constants!$B$6,"",IF(AND($AB303,ISNUMBER($AE303)),Constants!$B$20*(Constants!$B$21-$AE303),0))</f>
        <v/>
      </c>
      <c r="AQ303" s="91" t="str">
        <f aca="false">IF($BD303&lt;&gt;Constants!$B$6,"",IF($AA303,0,Constants!$B$12)+IF($Z303,0,Constants!$B$13)+IF($Y303,0,Constants!$B$14))</f>
        <v/>
      </c>
      <c r="AR303" s="92" t="str">
        <f aca="false">IF($BD303&lt;&gt;Constants!$B$6,"",Constants!$B$16+SUM($AN303:$AQ303))</f>
        <v/>
      </c>
      <c r="AS303" s="91" t="str">
        <f aca="false">IF($BD303&lt;&gt;Constants!$B$6,"",IF($AB303,$AD303,""))</f>
        <v/>
      </c>
      <c r="AT303" s="93" t="str">
        <f aca="false">IF($BD303&lt;&gt;Constants!$B$6,"",$AO303)</f>
        <v/>
      </c>
      <c r="AU303" s="87" t="str">
        <f aca="false">IF($BD303&lt;&gt;Constants!$B$6,"",IF(OR($BA303&lt;$AR303,AND($BA303=$AR303,OR(AND(ISNUMBER($BB303),OR(NOT(ISNUMBER($AS303)),$BB303&lt;$AS303)),AND(OR(AND($BB303="",$AS303=""),AND(ISNUMBER($BB303),ISNUMBER($AS303),$BB303=$AS303)),$BC303&lt;$AT303)))),"-&gt;","&lt;-"))</f>
        <v/>
      </c>
      <c r="AV303" s="86" t="str">
        <f aca="false">IF(ISBLANK($C303),"",AND($AH303,OR($AI303="",$AJ303="",AND(NOT(ISBLANK($S303)),$AK303=""))))</f>
        <v/>
      </c>
      <c r="AW303" s="89" t="str">
        <f aca="false">IF($BD303&lt;&gt;Constants!$B$6,"",IF($AH303,Constants!$B$17*$AJ303,Constants!$B$18))</f>
        <v/>
      </c>
      <c r="AX303" s="91" t="str">
        <f aca="false">IF($BD303&lt;&gt;Constants!$B$6,"",Constants!$B$19*IF($AH303,$AI303,0))</f>
        <v/>
      </c>
      <c r="AY303" s="91" t="str">
        <f aca="false">IF($BD303&lt;&gt;Constants!$B$6,"",IF(AND($AH303,ISNUMBER($AK303)),Constants!$B$20*(Constants!$B$21-$AK303),0))</f>
        <v/>
      </c>
      <c r="AZ303" s="91" t="str">
        <f aca="false">IF($BD303&lt;&gt;Constants!$B$6,"",IF($AG303,0,Constants!$B$12)+IF($AF303,0,Constants!$B$13)+IF($Y303,0,Constants!$B$14))</f>
        <v/>
      </c>
      <c r="BA303" s="92" t="str">
        <f aca="false">IF($BD303&lt;&gt;Constants!$B$6,"",Constants!$B$16+SUM($AW303:$AZ303))</f>
        <v/>
      </c>
      <c r="BB303" s="91" t="str">
        <f aca="false">IF($BD303&lt;&gt;Constants!$B$6,"",IF($AH303,$AJ303,""))</f>
        <v/>
      </c>
      <c r="BC303" s="93" t="str">
        <f aca="false">IF($BD303&lt;&gt;Constants!$B$6,"",$AX303)</f>
        <v/>
      </c>
      <c r="BD303" s="87" t="str">
        <f aca="false">IF(ISBLANK($C303),"",IF($AL303,Constants!$B$9,IF(COUNTA($E303:$T303)=0,Constants!$B$8,IF(NOT($X303),Constants!$B$7,IF(OR($AM303,$AV303),Constants!$B$10,Constants!$B$6)))))</f>
        <v/>
      </c>
      <c r="BE303" s="87" t="str">
        <f aca="false">IF(ISBLANK($C303),"",IF($BD303&lt;&gt;Constants!$B$6,$BD303,Constants!$B$11))</f>
        <v/>
      </c>
      <c r="BF303" s="91" t="str">
        <f aca="false">IF($BD303&lt;&gt;Constants!$B$6,"",IF($AU303="-&gt;",$BA303,$AR303))</f>
        <v/>
      </c>
      <c r="BG303" s="91" t="str">
        <f aca="false">IF($BD303&lt;&gt;Constants!$B$6,"",IF($W303,0,Constants!$B$15))</f>
        <v/>
      </c>
      <c r="BH303" s="91" t="str">
        <f aca="false">IF(ISBLANK($C303),"",IF($BD303&lt;&gt;Constants!$B$6,$BD303,SUM($BF303:$BG303)))</f>
        <v/>
      </c>
      <c r="BI303" s="87" t="str">
        <f aca="false">IF(ISBLANK($C303),"",IF($BD303&lt;&gt;Constants!$B$6,$BD303,RANK($BH303,$BH$9:$BH$508,1)))</f>
        <v/>
      </c>
      <c r="BJ303" s="91" t="str">
        <f aca="false">IF($BD303&lt;&gt;Constants!$B$6,"",IF($AU303="-&gt;",$BB303,$AS303))</f>
        <v/>
      </c>
      <c r="BK303" s="87" t="str">
        <f aca="false">IF(ISBLANK($C303),"",IF($BD303&lt;&gt;Constants!$B$6,$BD303,IF(ISNUMBER($BJ303),RANK($BJ303,$BJ$9:$BJ$508,1),COUNT($BJ$9:$BJ$508)+1)))</f>
        <v/>
      </c>
      <c r="BL303" s="91" t="str">
        <f aca="false">IF($BD303&lt;&gt;Constants!$B$6,"",IF($AU303="-&gt;",$BC303,$AT303))</f>
        <v/>
      </c>
      <c r="BM303" s="87" t="str">
        <f aca="false">IF(ISBLANK($C303),"",IF($BD303&lt;&gt;Constants!$B$6,$BD303,IF(ISNUMBER($BL303),RANK($BL303,$BL$9:$BL$508,1),COUNT($BL$9:$BL$508)+1)))</f>
        <v/>
      </c>
      <c r="BN303" s="91" t="str">
        <f aca="false">IF($BD303&lt;&gt;Constants!$B$6,"",IF($AU303="-&gt;",$AS303,$BB303))</f>
        <v/>
      </c>
      <c r="BO303" s="87" t="str">
        <f aca="false">IF(ISBLANK($C303),"",IF($BD303&lt;&gt;Constants!$B$6,$BD303,IF(ISNUMBER($BN303),RANK($BN303,$BN$9:$BN$508,1),COUNT($BN$9:$BN$508)+1)))</f>
        <v/>
      </c>
      <c r="BP303" s="91" t="str">
        <f aca="false">IF($BD303&lt;&gt;Constants!$B$6,"",IF($AU303="-&gt;",$AT303,$BC303))</f>
        <v/>
      </c>
      <c r="BQ303" s="87" t="str">
        <f aca="false">IF(ISBLANK($C303),"",IF($BD303&lt;&gt;Constants!$B$6,$BD303,IF(ISNUMBER($BP303),RANK($BP303,$BP$9:$BP$508,1),COUNT($BP$9:$BP$508)+1)))</f>
        <v/>
      </c>
      <c r="BR303" s="87" t="str">
        <f aca="false">IF(ISBLANK($C303),"",IF($BD303&lt;&gt;Constants!$B$6,$BD303,COUNTIFS($BI$9:$BI$508,"&lt;"&amp;$BI303)+COUNTIFS($BI$9:$BI$508,$BI303,$BK$9:$BK$508,"&lt;"&amp;$BK303)+COUNTIFS($BI$9:$BI$508,$BI303,$BK$9:$BK$508,$BK303,$BM$9:$BM$508,"&lt;"&amp;$BM303)+COUNTIFS($BI$9:$BI$508,$BI303,$BK$9:$BK$508,$BK303,$BM$9:$BM$508,$BM303,$BO$9:$BO$508,"&lt;"&amp;$BO303)+COUNTIFS($BI$9:$BI$508,$BI303,$BK$9:$BK$508,$BK303,$BM$9:$BM$508,$BM303,$BO$9:$BO$508,$BO303,$BQ$9:$BQ$508,"&lt;"&amp;$BQ303)+1))</f>
        <v/>
      </c>
      <c r="BS303" s="87" t="str">
        <f aca="false">IF(ISBLANK($C303),"",IF($BD303&lt;&gt;Constants!$B$6,$BD303,$BI303-$BR303))</f>
        <v/>
      </c>
      <c r="BT303" s="94"/>
      <c r="BU303" s="95"/>
      <c r="BV303" s="95" t="str">
        <f aca="false">IF(ISBLANK($C303),"",IF($BD303&lt;&gt;Constants!$B$6,"",IF($AU303="-&gt;",2,1)))</f>
        <v/>
      </c>
      <c r="BW303" s="96" t="str">
        <f aca="false">IF(ISBLANK($C303),"",IF($BD303&lt;&gt;Constants!$B$6,"",IF($AU303="-&gt;",$AW303,$AN303)))</f>
        <v/>
      </c>
      <c r="BX303" s="96" t="str">
        <f aca="false">IF(ISBLANK($C303),"",IF($BD303&lt;&gt;Constants!$B$6,"",IF($AU303="-&gt;",$AX303,$AO303)))</f>
        <v/>
      </c>
      <c r="BY303" s="96" t="str">
        <f aca="false">IF(ISBLANK($C303),"",IF($BD303&lt;&gt;Constants!$B$6,"",IF($AU303="-&gt;",$AY303,$AP303)))</f>
        <v/>
      </c>
      <c r="BZ303" s="96" t="str">
        <f aca="false">IF(ISBLANK($C303),"",IF($BD303&lt;&gt;Constants!$B$6,"",IF($AU303="-&gt;",$AZ303,$AQ303)+$BG303))</f>
        <v/>
      </c>
      <c r="CA303" s="97" t="str">
        <f aca="false">IF(ISBLANK($C303),"",IF($BD303&lt;&gt;Constants!$B$6,$BD303,$BH303))</f>
        <v/>
      </c>
      <c r="CB303" s="98" t="str">
        <f aca="false">IF(ISBLANK($C303),"",$BE303)</f>
        <v/>
      </c>
      <c r="CC303" s="99" t="str">
        <f aca="false">IF(ISBLANK($C303),"",$BS303)</f>
        <v/>
      </c>
      <c r="CD303" s="99" t="str">
        <f aca="false">IF(ISBLANK($C303),"",$BR303)</f>
        <v/>
      </c>
      <c r="CE303" s="100" t="str">
        <f aca="false">IF(ISBLANK($C303),"",IF($CD303=Constants!$B$9,COUNTA($C$9:$C$508)+2,IF($CD303=Constants!$B$8,COUNTA($C$9:$C$508)+1,IF($CD303=Constants!$B$7,COUNTA($C$9:$C$508),$CD303))))</f>
        <v/>
      </c>
      <c r="CF303" s="9"/>
      <c r="CG303" s="101" t="n">
        <f aca="false">IF(OR(ISNUMBER($CD303),$CD303=Constants!$B$9,$CD303=Constants!$B$7,$CD303=Constants!$B$8),1,0)</f>
        <v>0</v>
      </c>
      <c r="CH303" s="101" t="n">
        <v>295</v>
      </c>
      <c r="CI303" s="101" t="str">
        <f aca="false">IF(ISBLANK($C303),"",IF(ISNUMBER($CE303),$CE303+ROW($B303)/1000,""))</f>
        <v/>
      </c>
      <c r="CJ303" s="101" t="str">
        <f aca="false">IF(ISNUMBER($CI303),RANK($CI303,$CI$9:$CI$508,1),"")</f>
        <v/>
      </c>
      <c r="CK303" s="101" t="str">
        <f aca="false">IF(ISBLANK($C303),"",$B303)</f>
        <v/>
      </c>
      <c r="CL303" s="101" t="str">
        <f aca="false">IF(ISBLANK($C303),"",$C303)</f>
        <v/>
      </c>
      <c r="CM303" s="101" t="str">
        <f aca="false">IF(ISBLANK($C303),"",$D303)</f>
        <v/>
      </c>
      <c r="CN303" s="102" t="str">
        <f aca="false">$CB303</f>
        <v/>
      </c>
      <c r="CO303" s="103" t="str">
        <f aca="false">$CA303</f>
        <v/>
      </c>
      <c r="CP303" s="101" t="str">
        <f aca="false">IF(ISBLANK($C303),"",$CD303)</f>
        <v/>
      </c>
      <c r="CQ303" s="104" t="str">
        <f aca="false">IF($CH303&gt;$CG$8,"",VLOOKUP($CH303,$CJ$9:$CP$508,7,FALSE()))</f>
        <v/>
      </c>
      <c r="CR303" s="105" t="str">
        <f aca="false">IF($CH303&gt;$CG$8,"",VLOOKUP($CH303,$CJ$9:$CP$508,2,FALSE()))</f>
        <v/>
      </c>
      <c r="CS303" s="105" t="str">
        <f aca="false">IF($CH303&gt;$CG$8,"",VLOOKUP($CH303,$CJ$9:$CP$508,3,FALSE()))</f>
        <v/>
      </c>
      <c r="CT303" s="105" t="str">
        <f aca="false">IF($CH303&gt;$CG$8,"",VLOOKUP($CH303,$CJ$9:$CP$508,4,FALSE()))</f>
        <v/>
      </c>
      <c r="CU303" s="105" t="str">
        <f aca="false">IF($CH303&gt;$CG$8,"",VLOOKUP($CH303,$CJ$9:$CP$508,5,FALSE()))</f>
        <v/>
      </c>
      <c r="CV303" s="106" t="str">
        <f aca="false">IF($CH303&gt;$CG$8,"",VLOOKUP($CH303,$CJ$9:$CP$508,6,FALSE()))</f>
        <v/>
      </c>
      <c r="CW303" s="71"/>
    </row>
    <row r="304" customFormat="false" ht="15.75" hidden="false" customHeight="false" outlineLevel="0" collapsed="false">
      <c r="A304" s="9"/>
      <c r="B304" s="72"/>
      <c r="C304" s="73"/>
      <c r="D304" s="160"/>
      <c r="E304" s="168"/>
      <c r="F304" s="162"/>
      <c r="G304" s="163"/>
      <c r="H304" s="169"/>
      <c r="I304" s="167"/>
      <c r="J304" s="80"/>
      <c r="K304" s="81"/>
      <c r="L304" s="82"/>
      <c r="M304" s="166"/>
      <c r="N304" s="167"/>
      <c r="O304" s="167"/>
      <c r="P304" s="80"/>
      <c r="Q304" s="82"/>
      <c r="R304" s="82"/>
      <c r="S304" s="166"/>
      <c r="T304" s="167"/>
      <c r="U304" s="86"/>
      <c r="V304" s="87"/>
      <c r="W304" s="87" t="str">
        <f aca="false">IF(ISBLANK($C304),"",IF(E304=Constants!$B$2,TRUE(),IF(E304=Constants!$B$3,FALSE(),TRUE())))</f>
        <v/>
      </c>
      <c r="X304" s="87" t="str">
        <f aca="false">IF(ISBLANK($C304),"",IF(F304=Constants!$B$2,TRUE(),IF(F304=Constants!$B$3,FALSE(),TRUE())))</f>
        <v/>
      </c>
      <c r="Y304" s="87" t="str">
        <f aca="false">IF(ISBLANK($C304),"",IF(G304=Constants!$B$2,TRUE(),IF(G304=Constants!$B$3,FALSE(),TRUE())))</f>
        <v/>
      </c>
      <c r="Z304" s="87" t="str">
        <f aca="false">IF(ISBLANK($C304),"",IF(H304=Constants!$B$2,TRUE(),IF(H304=Constants!$B$3,FALSE(),TRUE())))</f>
        <v/>
      </c>
      <c r="AA304" s="87" t="str">
        <f aca="false">IF(ISBLANK($C304),"",IF(I304=Constants!$B$2,TRUE(),IF(I304=Constants!$B$3,FALSE(),TRUE())))</f>
        <v/>
      </c>
      <c r="AB304" s="87" t="str">
        <f aca="false">IF(ISBLANK($C304),"",IF(J304=Constants!$B$4,TRUE(),IF(J304=Constants!$B$5,FALSE(),COUNTA(K304:M304)&gt;0)))</f>
        <v/>
      </c>
      <c r="AC304" s="88" t="str">
        <f aca="false">IF(ISBLANK($C304),"",IF(ISNUMBER(K304),IF(K304&gt;=0,K304,""),""))</f>
        <v/>
      </c>
      <c r="AD304" s="89" t="str">
        <f aca="false">IF(ISBLANK($C304),"",IF(ISNUMBER(L304),IF(L304&gt;=0,L304,""),""))</f>
        <v/>
      </c>
      <c r="AE304" s="87" t="str">
        <f aca="false">IF(ISBLANK($C304),"",IF(ISNUMBER(M304),IF(M304&gt;=0,MIN(M304,Constants!$B$22),""),""))</f>
        <v/>
      </c>
      <c r="AF304" s="87" t="str">
        <f aca="false">IF(ISBLANK($C304),"",IF(N304=Constants!$B$2,TRUE(),IF(N304=Constants!$B$3,FALSE(),TRUE())))</f>
        <v/>
      </c>
      <c r="AG304" s="87" t="str">
        <f aca="false">IF(ISBLANK($C304),"",IF(O304=Constants!$B$2,TRUE(),IF(O304=Constants!$B$3,FALSE(),TRUE())))</f>
        <v/>
      </c>
      <c r="AH304" s="87" t="str">
        <f aca="false">IF(ISBLANK($C304),"",IF(P304=Constants!$B$4,TRUE(),IF(P304=Constants!$B$5,FALSE(),COUNTA(Q304:S304)&gt;0)))</f>
        <v/>
      </c>
      <c r="AI304" s="88" t="str">
        <f aca="false">IF(ISBLANK($C304),"",IF(ISNUMBER(Q304),IF(Q304&gt;=0,Q304,""),""))</f>
        <v/>
      </c>
      <c r="AJ304" s="89" t="str">
        <f aca="false">IF(ISBLANK($C304),"",IF(ISNUMBER(R304),IF(R304&gt;=0,R304,""),""))</f>
        <v/>
      </c>
      <c r="AK304" s="87" t="str">
        <f aca="false">IF(ISBLANK($C304),"",IF(ISNUMBER(S304),IF(S304&gt;=0,MIN(S304,Constants!$B$22),""),""))</f>
        <v/>
      </c>
      <c r="AL304" s="87" t="str">
        <f aca="false">IF(ISBLANK($C304),"",IF(T304=Constants!$B$2,TRUE(),IF(T304=Constants!$B$3,FALSE(),FALSE())))</f>
        <v/>
      </c>
      <c r="AM304" s="86" t="str">
        <f aca="false">IF(ISBLANK($C304),"",AND($AB304,OR($AC304="",$AD304="",AND(NOT(ISBLANK($M304)),$AE304=""))))</f>
        <v/>
      </c>
      <c r="AN304" s="89" t="str">
        <f aca="false">IF($BD304&lt;&gt;Constants!$B$6,"",IF($AB304,Constants!$B$17*$AD304,Constants!$B$18))</f>
        <v/>
      </c>
      <c r="AO304" s="91" t="str">
        <f aca="false">IF($BD304&lt;&gt;Constants!$B$6,"",Constants!$B$19*IF($AB304,$AC304,0))</f>
        <v/>
      </c>
      <c r="AP304" s="91" t="str">
        <f aca="false">IF($BD304&lt;&gt;Constants!$B$6,"",IF(AND($AB304,ISNUMBER($AE304)),Constants!$B$20*(Constants!$B$21-$AE304),0))</f>
        <v/>
      </c>
      <c r="AQ304" s="91" t="str">
        <f aca="false">IF($BD304&lt;&gt;Constants!$B$6,"",IF($AA304,0,Constants!$B$12)+IF($Z304,0,Constants!$B$13)+IF($Y304,0,Constants!$B$14))</f>
        <v/>
      </c>
      <c r="AR304" s="92" t="str">
        <f aca="false">IF($BD304&lt;&gt;Constants!$B$6,"",Constants!$B$16+SUM($AN304:$AQ304))</f>
        <v/>
      </c>
      <c r="AS304" s="91" t="str">
        <f aca="false">IF($BD304&lt;&gt;Constants!$B$6,"",IF($AB304,$AD304,""))</f>
        <v/>
      </c>
      <c r="AT304" s="93" t="str">
        <f aca="false">IF($BD304&lt;&gt;Constants!$B$6,"",$AO304)</f>
        <v/>
      </c>
      <c r="AU304" s="87" t="str">
        <f aca="false">IF($BD304&lt;&gt;Constants!$B$6,"",IF(OR($BA304&lt;$AR304,AND($BA304=$AR304,OR(AND(ISNUMBER($BB304),OR(NOT(ISNUMBER($AS304)),$BB304&lt;$AS304)),AND(OR(AND($BB304="",$AS304=""),AND(ISNUMBER($BB304),ISNUMBER($AS304),$BB304=$AS304)),$BC304&lt;$AT304)))),"-&gt;","&lt;-"))</f>
        <v/>
      </c>
      <c r="AV304" s="86" t="str">
        <f aca="false">IF(ISBLANK($C304),"",AND($AH304,OR($AI304="",$AJ304="",AND(NOT(ISBLANK($S304)),$AK304=""))))</f>
        <v/>
      </c>
      <c r="AW304" s="89" t="str">
        <f aca="false">IF($BD304&lt;&gt;Constants!$B$6,"",IF($AH304,Constants!$B$17*$AJ304,Constants!$B$18))</f>
        <v/>
      </c>
      <c r="AX304" s="91" t="str">
        <f aca="false">IF($BD304&lt;&gt;Constants!$B$6,"",Constants!$B$19*IF($AH304,$AI304,0))</f>
        <v/>
      </c>
      <c r="AY304" s="91" t="str">
        <f aca="false">IF($BD304&lt;&gt;Constants!$B$6,"",IF(AND($AH304,ISNUMBER($AK304)),Constants!$B$20*(Constants!$B$21-$AK304),0))</f>
        <v/>
      </c>
      <c r="AZ304" s="91" t="str">
        <f aca="false">IF($BD304&lt;&gt;Constants!$B$6,"",IF($AG304,0,Constants!$B$12)+IF($AF304,0,Constants!$B$13)+IF($Y304,0,Constants!$B$14))</f>
        <v/>
      </c>
      <c r="BA304" s="92" t="str">
        <f aca="false">IF($BD304&lt;&gt;Constants!$B$6,"",Constants!$B$16+SUM($AW304:$AZ304))</f>
        <v/>
      </c>
      <c r="BB304" s="91" t="str">
        <f aca="false">IF($BD304&lt;&gt;Constants!$B$6,"",IF($AH304,$AJ304,""))</f>
        <v/>
      </c>
      <c r="BC304" s="93" t="str">
        <f aca="false">IF($BD304&lt;&gt;Constants!$B$6,"",$AX304)</f>
        <v/>
      </c>
      <c r="BD304" s="87" t="str">
        <f aca="false">IF(ISBLANK($C304),"",IF($AL304,Constants!$B$9,IF(COUNTA($E304:$T304)=0,Constants!$B$8,IF(NOT($X304),Constants!$B$7,IF(OR($AM304,$AV304),Constants!$B$10,Constants!$B$6)))))</f>
        <v/>
      </c>
      <c r="BE304" s="87" t="str">
        <f aca="false">IF(ISBLANK($C304),"",IF($BD304&lt;&gt;Constants!$B$6,$BD304,Constants!$B$11))</f>
        <v/>
      </c>
      <c r="BF304" s="91" t="str">
        <f aca="false">IF($BD304&lt;&gt;Constants!$B$6,"",IF($AU304="-&gt;",$BA304,$AR304))</f>
        <v/>
      </c>
      <c r="BG304" s="91" t="str">
        <f aca="false">IF($BD304&lt;&gt;Constants!$B$6,"",IF($W304,0,Constants!$B$15))</f>
        <v/>
      </c>
      <c r="BH304" s="91" t="str">
        <f aca="false">IF(ISBLANK($C304),"",IF($BD304&lt;&gt;Constants!$B$6,$BD304,SUM($BF304:$BG304)))</f>
        <v/>
      </c>
      <c r="BI304" s="87" t="str">
        <f aca="false">IF(ISBLANK($C304),"",IF($BD304&lt;&gt;Constants!$B$6,$BD304,RANK($BH304,$BH$9:$BH$508,1)))</f>
        <v/>
      </c>
      <c r="BJ304" s="91" t="str">
        <f aca="false">IF($BD304&lt;&gt;Constants!$B$6,"",IF($AU304="-&gt;",$BB304,$AS304))</f>
        <v/>
      </c>
      <c r="BK304" s="87" t="str">
        <f aca="false">IF(ISBLANK($C304),"",IF($BD304&lt;&gt;Constants!$B$6,$BD304,IF(ISNUMBER($BJ304),RANK($BJ304,$BJ$9:$BJ$508,1),COUNT($BJ$9:$BJ$508)+1)))</f>
        <v/>
      </c>
      <c r="BL304" s="91" t="str">
        <f aca="false">IF($BD304&lt;&gt;Constants!$B$6,"",IF($AU304="-&gt;",$BC304,$AT304))</f>
        <v/>
      </c>
      <c r="BM304" s="87" t="str">
        <f aca="false">IF(ISBLANK($C304),"",IF($BD304&lt;&gt;Constants!$B$6,$BD304,IF(ISNUMBER($BL304),RANK($BL304,$BL$9:$BL$508,1),COUNT($BL$9:$BL$508)+1)))</f>
        <v/>
      </c>
      <c r="BN304" s="91" t="str">
        <f aca="false">IF($BD304&lt;&gt;Constants!$B$6,"",IF($AU304="-&gt;",$AS304,$BB304))</f>
        <v/>
      </c>
      <c r="BO304" s="87" t="str">
        <f aca="false">IF(ISBLANK($C304),"",IF($BD304&lt;&gt;Constants!$B$6,$BD304,IF(ISNUMBER($BN304),RANK($BN304,$BN$9:$BN$508,1),COUNT($BN$9:$BN$508)+1)))</f>
        <v/>
      </c>
      <c r="BP304" s="91" t="str">
        <f aca="false">IF($BD304&lt;&gt;Constants!$B$6,"",IF($AU304="-&gt;",$AT304,$BC304))</f>
        <v/>
      </c>
      <c r="BQ304" s="87" t="str">
        <f aca="false">IF(ISBLANK($C304),"",IF($BD304&lt;&gt;Constants!$B$6,$BD304,IF(ISNUMBER($BP304),RANK($BP304,$BP$9:$BP$508,1),COUNT($BP$9:$BP$508)+1)))</f>
        <v/>
      </c>
      <c r="BR304" s="87" t="str">
        <f aca="false">IF(ISBLANK($C304),"",IF($BD304&lt;&gt;Constants!$B$6,$BD304,COUNTIFS($BI$9:$BI$508,"&lt;"&amp;$BI304)+COUNTIFS($BI$9:$BI$508,$BI304,$BK$9:$BK$508,"&lt;"&amp;$BK304)+COUNTIFS($BI$9:$BI$508,$BI304,$BK$9:$BK$508,$BK304,$BM$9:$BM$508,"&lt;"&amp;$BM304)+COUNTIFS($BI$9:$BI$508,$BI304,$BK$9:$BK$508,$BK304,$BM$9:$BM$508,$BM304,$BO$9:$BO$508,"&lt;"&amp;$BO304)+COUNTIFS($BI$9:$BI$508,$BI304,$BK$9:$BK$508,$BK304,$BM$9:$BM$508,$BM304,$BO$9:$BO$508,$BO304,$BQ$9:$BQ$508,"&lt;"&amp;$BQ304)+1))</f>
        <v/>
      </c>
      <c r="BS304" s="87" t="str">
        <f aca="false">IF(ISBLANK($C304),"",IF($BD304&lt;&gt;Constants!$B$6,$BD304,$BI304-$BR304))</f>
        <v/>
      </c>
      <c r="BT304" s="94"/>
      <c r="BU304" s="95"/>
      <c r="BV304" s="95" t="str">
        <f aca="false">IF(ISBLANK($C304),"",IF($BD304&lt;&gt;Constants!$B$6,"",IF($AU304="-&gt;",2,1)))</f>
        <v/>
      </c>
      <c r="BW304" s="96" t="str">
        <f aca="false">IF(ISBLANK($C304),"",IF($BD304&lt;&gt;Constants!$B$6,"",IF($AU304="-&gt;",$AW304,$AN304)))</f>
        <v/>
      </c>
      <c r="BX304" s="96" t="str">
        <f aca="false">IF(ISBLANK($C304),"",IF($BD304&lt;&gt;Constants!$B$6,"",IF($AU304="-&gt;",$AX304,$AO304)))</f>
        <v/>
      </c>
      <c r="BY304" s="96" t="str">
        <f aca="false">IF(ISBLANK($C304),"",IF($BD304&lt;&gt;Constants!$B$6,"",IF($AU304="-&gt;",$AY304,$AP304)))</f>
        <v/>
      </c>
      <c r="BZ304" s="96" t="str">
        <f aca="false">IF(ISBLANK($C304),"",IF($BD304&lt;&gt;Constants!$B$6,"",IF($AU304="-&gt;",$AZ304,$AQ304)+$BG304))</f>
        <v/>
      </c>
      <c r="CA304" s="97" t="str">
        <f aca="false">IF(ISBLANK($C304),"",IF($BD304&lt;&gt;Constants!$B$6,$BD304,$BH304))</f>
        <v/>
      </c>
      <c r="CB304" s="98" t="str">
        <f aca="false">IF(ISBLANK($C304),"",$BE304)</f>
        <v/>
      </c>
      <c r="CC304" s="99" t="str">
        <f aca="false">IF(ISBLANK($C304),"",$BS304)</f>
        <v/>
      </c>
      <c r="CD304" s="99" t="str">
        <f aca="false">IF(ISBLANK($C304),"",$BR304)</f>
        <v/>
      </c>
      <c r="CE304" s="100" t="str">
        <f aca="false">IF(ISBLANK($C304),"",IF($CD304=Constants!$B$9,COUNTA($C$9:$C$508)+2,IF($CD304=Constants!$B$8,COUNTA($C$9:$C$508)+1,IF($CD304=Constants!$B$7,COUNTA($C$9:$C$508),$CD304))))</f>
        <v/>
      </c>
      <c r="CF304" s="9"/>
      <c r="CG304" s="101" t="n">
        <f aca="false">IF(OR(ISNUMBER($CD304),$CD304=Constants!$B$9,$CD304=Constants!$B$7,$CD304=Constants!$B$8),1,0)</f>
        <v>0</v>
      </c>
      <c r="CH304" s="101" t="n">
        <v>296</v>
      </c>
      <c r="CI304" s="101" t="str">
        <f aca="false">IF(ISBLANK($C304),"",IF(ISNUMBER($CE304),$CE304+ROW($B304)/1000,""))</f>
        <v/>
      </c>
      <c r="CJ304" s="101" t="str">
        <f aca="false">IF(ISNUMBER($CI304),RANK($CI304,$CI$9:$CI$508,1),"")</f>
        <v/>
      </c>
      <c r="CK304" s="101" t="str">
        <f aca="false">IF(ISBLANK($C304),"",$B304)</f>
        <v/>
      </c>
      <c r="CL304" s="101" t="str">
        <f aca="false">IF(ISBLANK($C304),"",$C304)</f>
        <v/>
      </c>
      <c r="CM304" s="101" t="str">
        <f aca="false">IF(ISBLANK($C304),"",$D304)</f>
        <v/>
      </c>
      <c r="CN304" s="102" t="str">
        <f aca="false">$CB304</f>
        <v/>
      </c>
      <c r="CO304" s="103" t="str">
        <f aca="false">$CA304</f>
        <v/>
      </c>
      <c r="CP304" s="101" t="str">
        <f aca="false">IF(ISBLANK($C304),"",$CD304)</f>
        <v/>
      </c>
      <c r="CQ304" s="104" t="str">
        <f aca="false">IF($CH304&gt;$CG$8,"",VLOOKUP($CH304,$CJ$9:$CP$508,7,FALSE()))</f>
        <v/>
      </c>
      <c r="CR304" s="105" t="str">
        <f aca="false">IF($CH304&gt;$CG$8,"",VLOOKUP($CH304,$CJ$9:$CP$508,2,FALSE()))</f>
        <v/>
      </c>
      <c r="CS304" s="105" t="str">
        <f aca="false">IF($CH304&gt;$CG$8,"",VLOOKUP($CH304,$CJ$9:$CP$508,3,FALSE()))</f>
        <v/>
      </c>
      <c r="CT304" s="105" t="str">
        <f aca="false">IF($CH304&gt;$CG$8,"",VLOOKUP($CH304,$CJ$9:$CP$508,4,FALSE()))</f>
        <v/>
      </c>
      <c r="CU304" s="105" t="str">
        <f aca="false">IF($CH304&gt;$CG$8,"",VLOOKUP($CH304,$CJ$9:$CP$508,5,FALSE()))</f>
        <v/>
      </c>
      <c r="CV304" s="106" t="str">
        <f aca="false">IF($CH304&gt;$CG$8,"",VLOOKUP($CH304,$CJ$9:$CP$508,6,FALSE()))</f>
        <v/>
      </c>
      <c r="CW304" s="71"/>
    </row>
    <row r="305" customFormat="false" ht="15.75" hidden="false" customHeight="false" outlineLevel="0" collapsed="false">
      <c r="A305" s="9"/>
      <c r="B305" s="72"/>
      <c r="C305" s="73"/>
      <c r="D305" s="160"/>
      <c r="E305" s="168"/>
      <c r="F305" s="162"/>
      <c r="G305" s="163"/>
      <c r="H305" s="169"/>
      <c r="I305" s="167"/>
      <c r="J305" s="80"/>
      <c r="K305" s="81"/>
      <c r="L305" s="82"/>
      <c r="M305" s="166"/>
      <c r="N305" s="167"/>
      <c r="O305" s="167"/>
      <c r="P305" s="80"/>
      <c r="Q305" s="82"/>
      <c r="R305" s="82"/>
      <c r="S305" s="166"/>
      <c r="T305" s="167"/>
      <c r="U305" s="86"/>
      <c r="V305" s="87"/>
      <c r="W305" s="87" t="str">
        <f aca="false">IF(ISBLANK($C305),"",IF(E305=Constants!$B$2,TRUE(),IF(E305=Constants!$B$3,FALSE(),TRUE())))</f>
        <v/>
      </c>
      <c r="X305" s="87" t="str">
        <f aca="false">IF(ISBLANK($C305),"",IF(F305=Constants!$B$2,TRUE(),IF(F305=Constants!$B$3,FALSE(),TRUE())))</f>
        <v/>
      </c>
      <c r="Y305" s="87" t="str">
        <f aca="false">IF(ISBLANK($C305),"",IF(G305=Constants!$B$2,TRUE(),IF(G305=Constants!$B$3,FALSE(),TRUE())))</f>
        <v/>
      </c>
      <c r="Z305" s="87" t="str">
        <f aca="false">IF(ISBLANK($C305),"",IF(H305=Constants!$B$2,TRUE(),IF(H305=Constants!$B$3,FALSE(),TRUE())))</f>
        <v/>
      </c>
      <c r="AA305" s="87" t="str">
        <f aca="false">IF(ISBLANK($C305),"",IF(I305=Constants!$B$2,TRUE(),IF(I305=Constants!$B$3,FALSE(),TRUE())))</f>
        <v/>
      </c>
      <c r="AB305" s="87" t="str">
        <f aca="false">IF(ISBLANK($C305),"",IF(J305=Constants!$B$4,TRUE(),IF(J305=Constants!$B$5,FALSE(),COUNTA(K305:M305)&gt;0)))</f>
        <v/>
      </c>
      <c r="AC305" s="88" t="str">
        <f aca="false">IF(ISBLANK($C305),"",IF(ISNUMBER(K305),IF(K305&gt;=0,K305,""),""))</f>
        <v/>
      </c>
      <c r="AD305" s="89" t="str">
        <f aca="false">IF(ISBLANK($C305),"",IF(ISNUMBER(L305),IF(L305&gt;=0,L305,""),""))</f>
        <v/>
      </c>
      <c r="AE305" s="87" t="str">
        <f aca="false">IF(ISBLANK($C305),"",IF(ISNUMBER(M305),IF(M305&gt;=0,MIN(M305,Constants!$B$22),""),""))</f>
        <v/>
      </c>
      <c r="AF305" s="87" t="str">
        <f aca="false">IF(ISBLANK($C305),"",IF(N305=Constants!$B$2,TRUE(),IF(N305=Constants!$B$3,FALSE(),TRUE())))</f>
        <v/>
      </c>
      <c r="AG305" s="87" t="str">
        <f aca="false">IF(ISBLANK($C305),"",IF(O305=Constants!$B$2,TRUE(),IF(O305=Constants!$B$3,FALSE(),TRUE())))</f>
        <v/>
      </c>
      <c r="AH305" s="87" t="str">
        <f aca="false">IF(ISBLANK($C305),"",IF(P305=Constants!$B$4,TRUE(),IF(P305=Constants!$B$5,FALSE(),COUNTA(Q305:S305)&gt;0)))</f>
        <v/>
      </c>
      <c r="AI305" s="88" t="str">
        <f aca="false">IF(ISBLANK($C305),"",IF(ISNUMBER(Q305),IF(Q305&gt;=0,Q305,""),""))</f>
        <v/>
      </c>
      <c r="AJ305" s="89" t="str">
        <f aca="false">IF(ISBLANK($C305),"",IF(ISNUMBER(R305),IF(R305&gt;=0,R305,""),""))</f>
        <v/>
      </c>
      <c r="AK305" s="87" t="str">
        <f aca="false">IF(ISBLANK($C305),"",IF(ISNUMBER(S305),IF(S305&gt;=0,MIN(S305,Constants!$B$22),""),""))</f>
        <v/>
      </c>
      <c r="AL305" s="87" t="str">
        <f aca="false">IF(ISBLANK($C305),"",IF(T305=Constants!$B$2,TRUE(),IF(T305=Constants!$B$3,FALSE(),FALSE())))</f>
        <v/>
      </c>
      <c r="AM305" s="86" t="str">
        <f aca="false">IF(ISBLANK($C305),"",AND($AB305,OR($AC305="",$AD305="",AND(NOT(ISBLANK($M305)),$AE305=""))))</f>
        <v/>
      </c>
      <c r="AN305" s="89" t="str">
        <f aca="false">IF($BD305&lt;&gt;Constants!$B$6,"",IF($AB305,Constants!$B$17*$AD305,Constants!$B$18))</f>
        <v/>
      </c>
      <c r="AO305" s="91" t="str">
        <f aca="false">IF($BD305&lt;&gt;Constants!$B$6,"",Constants!$B$19*IF($AB305,$AC305,0))</f>
        <v/>
      </c>
      <c r="AP305" s="91" t="str">
        <f aca="false">IF($BD305&lt;&gt;Constants!$B$6,"",IF(AND($AB305,ISNUMBER($AE305)),Constants!$B$20*(Constants!$B$21-$AE305),0))</f>
        <v/>
      </c>
      <c r="AQ305" s="91" t="str">
        <f aca="false">IF($BD305&lt;&gt;Constants!$B$6,"",IF($AA305,0,Constants!$B$12)+IF($Z305,0,Constants!$B$13)+IF($Y305,0,Constants!$B$14))</f>
        <v/>
      </c>
      <c r="AR305" s="92" t="str">
        <f aca="false">IF($BD305&lt;&gt;Constants!$B$6,"",Constants!$B$16+SUM($AN305:$AQ305))</f>
        <v/>
      </c>
      <c r="AS305" s="91" t="str">
        <f aca="false">IF($BD305&lt;&gt;Constants!$B$6,"",IF($AB305,$AD305,""))</f>
        <v/>
      </c>
      <c r="AT305" s="93" t="str">
        <f aca="false">IF($BD305&lt;&gt;Constants!$B$6,"",$AO305)</f>
        <v/>
      </c>
      <c r="AU305" s="87" t="str">
        <f aca="false">IF($BD305&lt;&gt;Constants!$B$6,"",IF(OR($BA305&lt;$AR305,AND($BA305=$AR305,OR(AND(ISNUMBER($BB305),OR(NOT(ISNUMBER($AS305)),$BB305&lt;$AS305)),AND(OR(AND($BB305="",$AS305=""),AND(ISNUMBER($BB305),ISNUMBER($AS305),$BB305=$AS305)),$BC305&lt;$AT305)))),"-&gt;","&lt;-"))</f>
        <v/>
      </c>
      <c r="AV305" s="86" t="str">
        <f aca="false">IF(ISBLANK($C305),"",AND($AH305,OR($AI305="",$AJ305="",AND(NOT(ISBLANK($S305)),$AK305=""))))</f>
        <v/>
      </c>
      <c r="AW305" s="89" t="str">
        <f aca="false">IF($BD305&lt;&gt;Constants!$B$6,"",IF($AH305,Constants!$B$17*$AJ305,Constants!$B$18))</f>
        <v/>
      </c>
      <c r="AX305" s="91" t="str">
        <f aca="false">IF($BD305&lt;&gt;Constants!$B$6,"",Constants!$B$19*IF($AH305,$AI305,0))</f>
        <v/>
      </c>
      <c r="AY305" s="91" t="str">
        <f aca="false">IF($BD305&lt;&gt;Constants!$B$6,"",IF(AND($AH305,ISNUMBER($AK305)),Constants!$B$20*(Constants!$B$21-$AK305),0))</f>
        <v/>
      </c>
      <c r="AZ305" s="91" t="str">
        <f aca="false">IF($BD305&lt;&gt;Constants!$B$6,"",IF($AG305,0,Constants!$B$12)+IF($AF305,0,Constants!$B$13)+IF($Y305,0,Constants!$B$14))</f>
        <v/>
      </c>
      <c r="BA305" s="92" t="str">
        <f aca="false">IF($BD305&lt;&gt;Constants!$B$6,"",Constants!$B$16+SUM($AW305:$AZ305))</f>
        <v/>
      </c>
      <c r="BB305" s="91" t="str">
        <f aca="false">IF($BD305&lt;&gt;Constants!$B$6,"",IF($AH305,$AJ305,""))</f>
        <v/>
      </c>
      <c r="BC305" s="93" t="str">
        <f aca="false">IF($BD305&lt;&gt;Constants!$B$6,"",$AX305)</f>
        <v/>
      </c>
      <c r="BD305" s="87" t="str">
        <f aca="false">IF(ISBLANK($C305),"",IF($AL305,Constants!$B$9,IF(COUNTA($E305:$T305)=0,Constants!$B$8,IF(NOT($X305),Constants!$B$7,IF(OR($AM305,$AV305),Constants!$B$10,Constants!$B$6)))))</f>
        <v/>
      </c>
      <c r="BE305" s="87" t="str">
        <f aca="false">IF(ISBLANK($C305),"",IF($BD305&lt;&gt;Constants!$B$6,$BD305,Constants!$B$11))</f>
        <v/>
      </c>
      <c r="BF305" s="91" t="str">
        <f aca="false">IF($BD305&lt;&gt;Constants!$B$6,"",IF($AU305="-&gt;",$BA305,$AR305))</f>
        <v/>
      </c>
      <c r="BG305" s="91" t="str">
        <f aca="false">IF($BD305&lt;&gt;Constants!$B$6,"",IF($W305,0,Constants!$B$15))</f>
        <v/>
      </c>
      <c r="BH305" s="91" t="str">
        <f aca="false">IF(ISBLANK($C305),"",IF($BD305&lt;&gt;Constants!$B$6,$BD305,SUM($BF305:$BG305)))</f>
        <v/>
      </c>
      <c r="BI305" s="87" t="str">
        <f aca="false">IF(ISBLANK($C305),"",IF($BD305&lt;&gt;Constants!$B$6,$BD305,RANK($BH305,$BH$9:$BH$508,1)))</f>
        <v/>
      </c>
      <c r="BJ305" s="91" t="str">
        <f aca="false">IF($BD305&lt;&gt;Constants!$B$6,"",IF($AU305="-&gt;",$BB305,$AS305))</f>
        <v/>
      </c>
      <c r="BK305" s="87" t="str">
        <f aca="false">IF(ISBLANK($C305),"",IF($BD305&lt;&gt;Constants!$B$6,$BD305,IF(ISNUMBER($BJ305),RANK($BJ305,$BJ$9:$BJ$508,1),COUNT($BJ$9:$BJ$508)+1)))</f>
        <v/>
      </c>
      <c r="BL305" s="91" t="str">
        <f aca="false">IF($BD305&lt;&gt;Constants!$B$6,"",IF($AU305="-&gt;",$BC305,$AT305))</f>
        <v/>
      </c>
      <c r="BM305" s="87" t="str">
        <f aca="false">IF(ISBLANK($C305),"",IF($BD305&lt;&gt;Constants!$B$6,$BD305,IF(ISNUMBER($BL305),RANK($BL305,$BL$9:$BL$508,1),COUNT($BL$9:$BL$508)+1)))</f>
        <v/>
      </c>
      <c r="BN305" s="91" t="str">
        <f aca="false">IF($BD305&lt;&gt;Constants!$B$6,"",IF($AU305="-&gt;",$AS305,$BB305))</f>
        <v/>
      </c>
      <c r="BO305" s="87" t="str">
        <f aca="false">IF(ISBLANK($C305),"",IF($BD305&lt;&gt;Constants!$B$6,$BD305,IF(ISNUMBER($BN305),RANK($BN305,$BN$9:$BN$508,1),COUNT($BN$9:$BN$508)+1)))</f>
        <v/>
      </c>
      <c r="BP305" s="91" t="str">
        <f aca="false">IF($BD305&lt;&gt;Constants!$B$6,"",IF($AU305="-&gt;",$AT305,$BC305))</f>
        <v/>
      </c>
      <c r="BQ305" s="87" t="str">
        <f aca="false">IF(ISBLANK($C305),"",IF($BD305&lt;&gt;Constants!$B$6,$BD305,IF(ISNUMBER($BP305),RANK($BP305,$BP$9:$BP$508,1),COUNT($BP$9:$BP$508)+1)))</f>
        <v/>
      </c>
      <c r="BR305" s="87" t="str">
        <f aca="false">IF(ISBLANK($C305),"",IF($BD305&lt;&gt;Constants!$B$6,$BD305,COUNTIFS($BI$9:$BI$508,"&lt;"&amp;$BI305)+COUNTIFS($BI$9:$BI$508,$BI305,$BK$9:$BK$508,"&lt;"&amp;$BK305)+COUNTIFS($BI$9:$BI$508,$BI305,$BK$9:$BK$508,$BK305,$BM$9:$BM$508,"&lt;"&amp;$BM305)+COUNTIFS($BI$9:$BI$508,$BI305,$BK$9:$BK$508,$BK305,$BM$9:$BM$508,$BM305,$BO$9:$BO$508,"&lt;"&amp;$BO305)+COUNTIFS($BI$9:$BI$508,$BI305,$BK$9:$BK$508,$BK305,$BM$9:$BM$508,$BM305,$BO$9:$BO$508,$BO305,$BQ$9:$BQ$508,"&lt;"&amp;$BQ305)+1))</f>
        <v/>
      </c>
      <c r="BS305" s="87" t="str">
        <f aca="false">IF(ISBLANK($C305),"",IF($BD305&lt;&gt;Constants!$B$6,$BD305,$BI305-$BR305))</f>
        <v/>
      </c>
      <c r="BT305" s="94"/>
      <c r="BU305" s="95"/>
      <c r="BV305" s="95" t="str">
        <f aca="false">IF(ISBLANK($C305),"",IF($BD305&lt;&gt;Constants!$B$6,"",IF($AU305="-&gt;",2,1)))</f>
        <v/>
      </c>
      <c r="BW305" s="96" t="str">
        <f aca="false">IF(ISBLANK($C305),"",IF($BD305&lt;&gt;Constants!$B$6,"",IF($AU305="-&gt;",$AW305,$AN305)))</f>
        <v/>
      </c>
      <c r="BX305" s="96" t="str">
        <f aca="false">IF(ISBLANK($C305),"",IF($BD305&lt;&gt;Constants!$B$6,"",IF($AU305="-&gt;",$AX305,$AO305)))</f>
        <v/>
      </c>
      <c r="BY305" s="96" t="str">
        <f aca="false">IF(ISBLANK($C305),"",IF($BD305&lt;&gt;Constants!$B$6,"",IF($AU305="-&gt;",$AY305,$AP305)))</f>
        <v/>
      </c>
      <c r="BZ305" s="96" t="str">
        <f aca="false">IF(ISBLANK($C305),"",IF($BD305&lt;&gt;Constants!$B$6,"",IF($AU305="-&gt;",$AZ305,$AQ305)+$BG305))</f>
        <v/>
      </c>
      <c r="CA305" s="97" t="str">
        <f aca="false">IF(ISBLANK($C305),"",IF($BD305&lt;&gt;Constants!$B$6,$BD305,$BH305))</f>
        <v/>
      </c>
      <c r="CB305" s="98" t="str">
        <f aca="false">IF(ISBLANK($C305),"",$BE305)</f>
        <v/>
      </c>
      <c r="CC305" s="99" t="str">
        <f aca="false">IF(ISBLANK($C305),"",$BS305)</f>
        <v/>
      </c>
      <c r="CD305" s="99" t="str">
        <f aca="false">IF(ISBLANK($C305),"",$BR305)</f>
        <v/>
      </c>
      <c r="CE305" s="100" t="str">
        <f aca="false">IF(ISBLANK($C305),"",IF($CD305=Constants!$B$9,COUNTA($C$9:$C$508)+2,IF($CD305=Constants!$B$8,COUNTA($C$9:$C$508)+1,IF($CD305=Constants!$B$7,COUNTA($C$9:$C$508),$CD305))))</f>
        <v/>
      </c>
      <c r="CF305" s="9"/>
      <c r="CG305" s="101" t="n">
        <f aca="false">IF(OR(ISNUMBER($CD305),$CD305=Constants!$B$9,$CD305=Constants!$B$7,$CD305=Constants!$B$8),1,0)</f>
        <v>0</v>
      </c>
      <c r="CH305" s="101" t="n">
        <v>297</v>
      </c>
      <c r="CI305" s="101" t="str">
        <f aca="false">IF(ISBLANK($C305),"",IF(ISNUMBER($CE305),$CE305+ROW($B305)/1000,""))</f>
        <v/>
      </c>
      <c r="CJ305" s="101" t="str">
        <f aca="false">IF(ISNUMBER($CI305),RANK($CI305,$CI$9:$CI$508,1),"")</f>
        <v/>
      </c>
      <c r="CK305" s="101" t="str">
        <f aca="false">IF(ISBLANK($C305),"",$B305)</f>
        <v/>
      </c>
      <c r="CL305" s="101" t="str">
        <f aca="false">IF(ISBLANK($C305),"",$C305)</f>
        <v/>
      </c>
      <c r="CM305" s="101" t="str">
        <f aca="false">IF(ISBLANK($C305),"",$D305)</f>
        <v/>
      </c>
      <c r="CN305" s="102" t="str">
        <f aca="false">$CB305</f>
        <v/>
      </c>
      <c r="CO305" s="103" t="str">
        <f aca="false">$CA305</f>
        <v/>
      </c>
      <c r="CP305" s="101" t="str">
        <f aca="false">IF(ISBLANK($C305),"",$CD305)</f>
        <v/>
      </c>
      <c r="CQ305" s="104" t="str">
        <f aca="false">IF($CH305&gt;$CG$8,"",VLOOKUP($CH305,$CJ$9:$CP$508,7,FALSE()))</f>
        <v/>
      </c>
      <c r="CR305" s="105" t="str">
        <f aca="false">IF($CH305&gt;$CG$8,"",VLOOKUP($CH305,$CJ$9:$CP$508,2,FALSE()))</f>
        <v/>
      </c>
      <c r="CS305" s="105" t="str">
        <f aca="false">IF($CH305&gt;$CG$8,"",VLOOKUP($CH305,$CJ$9:$CP$508,3,FALSE()))</f>
        <v/>
      </c>
      <c r="CT305" s="105" t="str">
        <f aca="false">IF($CH305&gt;$CG$8,"",VLOOKUP($CH305,$CJ$9:$CP$508,4,FALSE()))</f>
        <v/>
      </c>
      <c r="CU305" s="105" t="str">
        <f aca="false">IF($CH305&gt;$CG$8,"",VLOOKUP($CH305,$CJ$9:$CP$508,5,FALSE()))</f>
        <v/>
      </c>
      <c r="CV305" s="106" t="str">
        <f aca="false">IF($CH305&gt;$CG$8,"",VLOOKUP($CH305,$CJ$9:$CP$508,6,FALSE()))</f>
        <v/>
      </c>
      <c r="CW305" s="71"/>
    </row>
    <row r="306" customFormat="false" ht="15.75" hidden="false" customHeight="false" outlineLevel="0" collapsed="false">
      <c r="A306" s="9"/>
      <c r="B306" s="150"/>
      <c r="C306" s="151"/>
      <c r="D306" s="152"/>
      <c r="E306" s="170"/>
      <c r="F306" s="154"/>
      <c r="G306" s="155"/>
      <c r="H306" s="171"/>
      <c r="I306" s="159"/>
      <c r="J306" s="120"/>
      <c r="K306" s="121"/>
      <c r="L306" s="122"/>
      <c r="M306" s="158"/>
      <c r="N306" s="159"/>
      <c r="O306" s="159"/>
      <c r="P306" s="120"/>
      <c r="Q306" s="122"/>
      <c r="R306" s="122"/>
      <c r="S306" s="158"/>
      <c r="T306" s="159"/>
      <c r="U306" s="126"/>
      <c r="V306" s="127"/>
      <c r="W306" s="127" t="str">
        <f aca="false">IF(ISBLANK($C306),"",IF(E306=Constants!$B$2,TRUE(),IF(E306=Constants!$B$3,FALSE(),TRUE())))</f>
        <v/>
      </c>
      <c r="X306" s="127" t="str">
        <f aca="false">IF(ISBLANK($C306),"",IF(F306=Constants!$B$2,TRUE(),IF(F306=Constants!$B$3,FALSE(),TRUE())))</f>
        <v/>
      </c>
      <c r="Y306" s="127" t="str">
        <f aca="false">IF(ISBLANK($C306),"",IF(G306=Constants!$B$2,TRUE(),IF(G306=Constants!$B$3,FALSE(),TRUE())))</f>
        <v/>
      </c>
      <c r="Z306" s="127" t="str">
        <f aca="false">IF(ISBLANK($C306),"",IF(H306=Constants!$B$2,TRUE(),IF(H306=Constants!$B$3,FALSE(),TRUE())))</f>
        <v/>
      </c>
      <c r="AA306" s="127" t="str">
        <f aca="false">IF(ISBLANK($C306),"",IF(I306=Constants!$B$2,TRUE(),IF(I306=Constants!$B$3,FALSE(),TRUE())))</f>
        <v/>
      </c>
      <c r="AB306" s="127" t="str">
        <f aca="false">IF(ISBLANK($C306),"",IF(J306=Constants!$B$4,TRUE(),IF(J306=Constants!$B$5,FALSE(),COUNTA(K306:M306)&gt;0)))</f>
        <v/>
      </c>
      <c r="AC306" s="128" t="str">
        <f aca="false">IF(ISBLANK($C306),"",IF(ISNUMBER(K306),IF(K306&gt;=0,K306,""),""))</f>
        <v/>
      </c>
      <c r="AD306" s="129" t="str">
        <f aca="false">IF(ISBLANK($C306),"",IF(ISNUMBER(L306),IF(L306&gt;=0,L306,""),""))</f>
        <v/>
      </c>
      <c r="AE306" s="127" t="str">
        <f aca="false">IF(ISBLANK($C306),"",IF(ISNUMBER(M306),IF(M306&gt;=0,MIN(M306,Constants!$B$22),""),""))</f>
        <v/>
      </c>
      <c r="AF306" s="127" t="str">
        <f aca="false">IF(ISBLANK($C306),"",IF(N306=Constants!$B$2,TRUE(),IF(N306=Constants!$B$3,FALSE(),TRUE())))</f>
        <v/>
      </c>
      <c r="AG306" s="127" t="str">
        <f aca="false">IF(ISBLANK($C306),"",IF(O306=Constants!$B$2,TRUE(),IF(O306=Constants!$B$3,FALSE(),TRUE())))</f>
        <v/>
      </c>
      <c r="AH306" s="127" t="str">
        <f aca="false">IF(ISBLANK($C306),"",IF(P306=Constants!$B$4,TRUE(),IF(P306=Constants!$B$5,FALSE(),COUNTA(Q306:S306)&gt;0)))</f>
        <v/>
      </c>
      <c r="AI306" s="128" t="str">
        <f aca="false">IF(ISBLANK($C306),"",IF(ISNUMBER(Q306),IF(Q306&gt;=0,Q306,""),""))</f>
        <v/>
      </c>
      <c r="AJ306" s="129" t="str">
        <f aca="false">IF(ISBLANK($C306),"",IF(ISNUMBER(R306),IF(R306&gt;=0,R306,""),""))</f>
        <v/>
      </c>
      <c r="AK306" s="127" t="str">
        <f aca="false">IF(ISBLANK($C306),"",IF(ISNUMBER(S306),IF(S306&gt;=0,MIN(S306,Constants!$B$22),""),""))</f>
        <v/>
      </c>
      <c r="AL306" s="127" t="str">
        <f aca="false">IF(ISBLANK($C306),"",IF(T306=Constants!$B$2,TRUE(),IF(T306=Constants!$B$3,FALSE(),FALSE())))</f>
        <v/>
      </c>
      <c r="AM306" s="126" t="str">
        <f aca="false">IF(ISBLANK($C306),"",AND($AB306,OR($AC306="",$AD306="",AND(NOT(ISBLANK($M306)),$AE306=""))))</f>
        <v/>
      </c>
      <c r="AN306" s="129" t="str">
        <f aca="false">IF($BD306&lt;&gt;Constants!$B$6,"",IF($AB306,Constants!$B$17*$AD306,Constants!$B$18))</f>
        <v/>
      </c>
      <c r="AO306" s="130" t="str">
        <f aca="false">IF($BD306&lt;&gt;Constants!$B$6,"",Constants!$B$19*IF($AB306,$AC306,0))</f>
        <v/>
      </c>
      <c r="AP306" s="130" t="str">
        <f aca="false">IF($BD306&lt;&gt;Constants!$B$6,"",IF(AND($AB306,ISNUMBER($AE306)),Constants!$B$20*(Constants!$B$21-$AE306),0))</f>
        <v/>
      </c>
      <c r="AQ306" s="130" t="str">
        <f aca="false">IF($BD306&lt;&gt;Constants!$B$6,"",IF($AA306,0,Constants!$B$12)+IF($Z306,0,Constants!$B$13)+IF($Y306,0,Constants!$B$14))</f>
        <v/>
      </c>
      <c r="AR306" s="131" t="str">
        <f aca="false">IF($BD306&lt;&gt;Constants!$B$6,"",Constants!$B$16+SUM($AN306:$AQ306))</f>
        <v/>
      </c>
      <c r="AS306" s="130" t="str">
        <f aca="false">IF($BD306&lt;&gt;Constants!$B$6,"",IF($AB306,$AD306,""))</f>
        <v/>
      </c>
      <c r="AT306" s="132" t="str">
        <f aca="false">IF($BD306&lt;&gt;Constants!$B$6,"",$AO306)</f>
        <v/>
      </c>
      <c r="AU306" s="127" t="str">
        <f aca="false">IF($BD306&lt;&gt;Constants!$B$6,"",IF(OR($BA306&lt;$AR306,AND($BA306=$AR306,OR(AND(ISNUMBER($BB306),OR(NOT(ISNUMBER($AS306)),$BB306&lt;$AS306)),AND(OR(AND($BB306="",$AS306=""),AND(ISNUMBER($BB306),ISNUMBER($AS306),$BB306=$AS306)),$BC306&lt;$AT306)))),"-&gt;","&lt;-"))</f>
        <v/>
      </c>
      <c r="AV306" s="126" t="str">
        <f aca="false">IF(ISBLANK($C306),"",AND($AH306,OR($AI306="",$AJ306="",AND(NOT(ISBLANK($S306)),$AK306=""))))</f>
        <v/>
      </c>
      <c r="AW306" s="129" t="str">
        <f aca="false">IF($BD306&lt;&gt;Constants!$B$6,"",IF($AH306,Constants!$B$17*$AJ306,Constants!$B$18))</f>
        <v/>
      </c>
      <c r="AX306" s="130" t="str">
        <f aca="false">IF($BD306&lt;&gt;Constants!$B$6,"",Constants!$B$19*IF($AH306,$AI306,0))</f>
        <v/>
      </c>
      <c r="AY306" s="130" t="str">
        <f aca="false">IF($BD306&lt;&gt;Constants!$B$6,"",IF(AND($AH306,ISNUMBER($AK306)),Constants!$B$20*(Constants!$B$21-$AK306),0))</f>
        <v/>
      </c>
      <c r="AZ306" s="130" t="str">
        <f aca="false">IF($BD306&lt;&gt;Constants!$B$6,"",IF($AG306,0,Constants!$B$12)+IF($AF306,0,Constants!$B$13)+IF($Y306,0,Constants!$B$14))</f>
        <v/>
      </c>
      <c r="BA306" s="131" t="str">
        <f aca="false">IF($BD306&lt;&gt;Constants!$B$6,"",Constants!$B$16+SUM($AW306:$AZ306))</f>
        <v/>
      </c>
      <c r="BB306" s="130" t="str">
        <f aca="false">IF($BD306&lt;&gt;Constants!$B$6,"",IF($AH306,$AJ306,""))</f>
        <v/>
      </c>
      <c r="BC306" s="132" t="str">
        <f aca="false">IF($BD306&lt;&gt;Constants!$B$6,"",$AX306)</f>
        <v/>
      </c>
      <c r="BD306" s="127" t="str">
        <f aca="false">IF(ISBLANK($C306),"",IF($AL306,Constants!$B$9,IF(COUNTA($E306:$T306)=0,Constants!$B$8,IF(NOT($X306),Constants!$B$7,IF(OR($AM306,$AV306),Constants!$B$10,Constants!$B$6)))))</f>
        <v/>
      </c>
      <c r="BE306" s="127" t="str">
        <f aca="false">IF(ISBLANK($C306),"",IF($BD306&lt;&gt;Constants!$B$6,$BD306,Constants!$B$11))</f>
        <v/>
      </c>
      <c r="BF306" s="130" t="str">
        <f aca="false">IF($BD306&lt;&gt;Constants!$B$6,"",IF($AU306="-&gt;",$BA306,$AR306))</f>
        <v/>
      </c>
      <c r="BG306" s="130" t="str">
        <f aca="false">IF($BD306&lt;&gt;Constants!$B$6,"",IF($W306,0,Constants!$B$15))</f>
        <v/>
      </c>
      <c r="BH306" s="130" t="str">
        <f aca="false">IF(ISBLANK($C306),"",IF($BD306&lt;&gt;Constants!$B$6,$BD306,SUM($BF306:$BG306)))</f>
        <v/>
      </c>
      <c r="BI306" s="127" t="str">
        <f aca="false">IF(ISBLANK($C306),"",IF($BD306&lt;&gt;Constants!$B$6,$BD306,RANK($BH306,$BH$9:$BH$508,1)))</f>
        <v/>
      </c>
      <c r="BJ306" s="130" t="str">
        <f aca="false">IF($BD306&lt;&gt;Constants!$B$6,"",IF($AU306="-&gt;",$BB306,$AS306))</f>
        <v/>
      </c>
      <c r="BK306" s="127" t="str">
        <f aca="false">IF(ISBLANK($C306),"",IF($BD306&lt;&gt;Constants!$B$6,$BD306,IF(ISNUMBER($BJ306),RANK($BJ306,$BJ$9:$BJ$508,1),COUNT($BJ$9:$BJ$508)+1)))</f>
        <v/>
      </c>
      <c r="BL306" s="130" t="str">
        <f aca="false">IF($BD306&lt;&gt;Constants!$B$6,"",IF($AU306="-&gt;",$BC306,$AT306))</f>
        <v/>
      </c>
      <c r="BM306" s="127" t="str">
        <f aca="false">IF(ISBLANK($C306),"",IF($BD306&lt;&gt;Constants!$B$6,$BD306,IF(ISNUMBER($BL306),RANK($BL306,$BL$9:$BL$508,1),COUNT($BL$9:$BL$508)+1)))</f>
        <v/>
      </c>
      <c r="BN306" s="130" t="str">
        <f aca="false">IF($BD306&lt;&gt;Constants!$B$6,"",IF($AU306="-&gt;",$AS306,$BB306))</f>
        <v/>
      </c>
      <c r="BO306" s="127" t="str">
        <f aca="false">IF(ISBLANK($C306),"",IF($BD306&lt;&gt;Constants!$B$6,$BD306,IF(ISNUMBER($BN306),RANK($BN306,$BN$9:$BN$508,1),COUNT($BN$9:$BN$508)+1)))</f>
        <v/>
      </c>
      <c r="BP306" s="130" t="str">
        <f aca="false">IF($BD306&lt;&gt;Constants!$B$6,"",IF($AU306="-&gt;",$AT306,$BC306))</f>
        <v/>
      </c>
      <c r="BQ306" s="127" t="str">
        <f aca="false">IF(ISBLANK($C306),"",IF($BD306&lt;&gt;Constants!$B$6,$BD306,IF(ISNUMBER($BP306),RANK($BP306,$BP$9:$BP$508,1),COUNT($BP$9:$BP$508)+1)))</f>
        <v/>
      </c>
      <c r="BR306" s="127" t="str">
        <f aca="false">IF(ISBLANK($C306),"",IF($BD306&lt;&gt;Constants!$B$6,$BD306,COUNTIFS($BI$9:$BI$508,"&lt;"&amp;$BI306)+COUNTIFS($BI$9:$BI$508,$BI306,$BK$9:$BK$508,"&lt;"&amp;$BK306)+COUNTIFS($BI$9:$BI$508,$BI306,$BK$9:$BK$508,$BK306,$BM$9:$BM$508,"&lt;"&amp;$BM306)+COUNTIFS($BI$9:$BI$508,$BI306,$BK$9:$BK$508,$BK306,$BM$9:$BM$508,$BM306,$BO$9:$BO$508,"&lt;"&amp;$BO306)+COUNTIFS($BI$9:$BI$508,$BI306,$BK$9:$BK$508,$BK306,$BM$9:$BM$508,$BM306,$BO$9:$BO$508,$BO306,$BQ$9:$BQ$508,"&lt;"&amp;$BQ306)+1))</f>
        <v/>
      </c>
      <c r="BS306" s="127" t="str">
        <f aca="false">IF(ISBLANK($C306),"",IF($BD306&lt;&gt;Constants!$B$6,$BD306,$BI306-$BR306))</f>
        <v/>
      </c>
      <c r="BT306" s="133"/>
      <c r="BU306" s="134"/>
      <c r="BV306" s="134" t="str">
        <f aca="false">IF(ISBLANK($C306),"",IF($BD306&lt;&gt;Constants!$B$6,"",IF($AU306="-&gt;",2,1)))</f>
        <v/>
      </c>
      <c r="BW306" s="135" t="str">
        <f aca="false">IF(ISBLANK($C306),"",IF($BD306&lt;&gt;Constants!$B$6,"",IF($AU306="-&gt;",$AW306,$AN306)))</f>
        <v/>
      </c>
      <c r="BX306" s="135" t="str">
        <f aca="false">IF(ISBLANK($C306),"",IF($BD306&lt;&gt;Constants!$B$6,"",IF($AU306="-&gt;",$AX306,$AO306)))</f>
        <v/>
      </c>
      <c r="BY306" s="135" t="str">
        <f aca="false">IF(ISBLANK($C306),"",IF($BD306&lt;&gt;Constants!$B$6,"",IF($AU306="-&gt;",$AY306,$AP306)))</f>
        <v/>
      </c>
      <c r="BZ306" s="135" t="str">
        <f aca="false">IF(ISBLANK($C306),"",IF($BD306&lt;&gt;Constants!$B$6,"",IF($AU306="-&gt;",$AZ306,$AQ306)+$BG306))</f>
        <v/>
      </c>
      <c r="CA306" s="136" t="str">
        <f aca="false">IF(ISBLANK($C306),"",IF($BD306&lt;&gt;Constants!$B$6,$BD306,$BH306))</f>
        <v/>
      </c>
      <c r="CB306" s="137" t="str">
        <f aca="false">IF(ISBLANK($C306),"",$BE306)</f>
        <v/>
      </c>
      <c r="CC306" s="138" t="str">
        <f aca="false">IF(ISBLANK($C306),"",$BS306)</f>
        <v/>
      </c>
      <c r="CD306" s="138" t="str">
        <f aca="false">IF(ISBLANK($C306),"",$BR306)</f>
        <v/>
      </c>
      <c r="CE306" s="139" t="str">
        <f aca="false">IF(ISBLANK($C306),"",IF($CD306=Constants!$B$9,COUNTA($C$9:$C$508)+2,IF($CD306=Constants!$B$8,COUNTA($C$9:$C$508)+1,IF($CD306=Constants!$B$7,COUNTA($C$9:$C$508),$CD306))))</f>
        <v/>
      </c>
      <c r="CF306" s="9"/>
      <c r="CG306" s="140" t="n">
        <f aca="false">IF(OR(ISNUMBER($CD306),$CD306=Constants!$B$9,$CD306=Constants!$B$7,$CD306=Constants!$B$8),1,0)</f>
        <v>0</v>
      </c>
      <c r="CH306" s="140" t="n">
        <v>298</v>
      </c>
      <c r="CI306" s="140" t="str">
        <f aca="false">IF(ISBLANK($C306),"",IF(ISNUMBER($CE306),$CE306+ROW($B306)/1000,""))</f>
        <v/>
      </c>
      <c r="CJ306" s="140" t="str">
        <f aca="false">IF(ISNUMBER($CI306),RANK($CI306,$CI$9:$CI$508,1),"")</f>
        <v/>
      </c>
      <c r="CK306" s="140" t="str">
        <f aca="false">IF(ISBLANK($C306),"",$B306)</f>
        <v/>
      </c>
      <c r="CL306" s="140" t="str">
        <f aca="false">IF(ISBLANK($C306),"",$C306)</f>
        <v/>
      </c>
      <c r="CM306" s="140" t="str">
        <f aca="false">IF(ISBLANK($C306),"",$D306)</f>
        <v/>
      </c>
      <c r="CN306" s="141" t="str">
        <f aca="false">$CB306</f>
        <v/>
      </c>
      <c r="CO306" s="142" t="str">
        <f aca="false">$CA306</f>
        <v/>
      </c>
      <c r="CP306" s="140" t="str">
        <f aca="false">IF(ISBLANK($C306),"",$CD306)</f>
        <v/>
      </c>
      <c r="CQ306" s="143" t="str">
        <f aca="false">IF($CH306&gt;$CG$8,"",VLOOKUP($CH306,$CJ$9:$CP$508,7,FALSE()))</f>
        <v/>
      </c>
      <c r="CR306" s="144" t="str">
        <f aca="false">IF($CH306&gt;$CG$8,"",VLOOKUP($CH306,$CJ$9:$CP$508,2,FALSE()))</f>
        <v/>
      </c>
      <c r="CS306" s="144" t="str">
        <f aca="false">IF($CH306&gt;$CG$8,"",VLOOKUP($CH306,$CJ$9:$CP$508,3,FALSE()))</f>
        <v/>
      </c>
      <c r="CT306" s="144" t="str">
        <f aca="false">IF($CH306&gt;$CG$8,"",VLOOKUP($CH306,$CJ$9:$CP$508,4,FALSE()))</f>
        <v/>
      </c>
      <c r="CU306" s="144" t="str">
        <f aca="false">IF($CH306&gt;$CG$8,"",VLOOKUP($CH306,$CJ$9:$CP$508,5,FALSE()))</f>
        <v/>
      </c>
      <c r="CV306" s="145" t="str">
        <f aca="false">IF($CH306&gt;$CG$8,"",VLOOKUP($CH306,$CJ$9:$CP$508,6,FALSE()))</f>
        <v/>
      </c>
      <c r="CW306" s="71"/>
    </row>
    <row r="307" customFormat="false" ht="15.75" hidden="false" customHeight="false" outlineLevel="0" collapsed="false">
      <c r="A307" s="9"/>
      <c r="B307" s="150"/>
      <c r="C307" s="151"/>
      <c r="D307" s="152"/>
      <c r="E307" s="170"/>
      <c r="F307" s="154"/>
      <c r="G307" s="155"/>
      <c r="H307" s="171"/>
      <c r="I307" s="159"/>
      <c r="J307" s="120"/>
      <c r="K307" s="121"/>
      <c r="L307" s="122"/>
      <c r="M307" s="158"/>
      <c r="N307" s="159"/>
      <c r="O307" s="159"/>
      <c r="P307" s="120"/>
      <c r="Q307" s="122"/>
      <c r="R307" s="122"/>
      <c r="S307" s="158"/>
      <c r="T307" s="159"/>
      <c r="U307" s="126"/>
      <c r="V307" s="127"/>
      <c r="W307" s="127" t="str">
        <f aca="false">IF(ISBLANK($C307),"",IF(E307=Constants!$B$2,TRUE(),IF(E307=Constants!$B$3,FALSE(),TRUE())))</f>
        <v/>
      </c>
      <c r="X307" s="127" t="str">
        <f aca="false">IF(ISBLANK($C307),"",IF(F307=Constants!$B$2,TRUE(),IF(F307=Constants!$B$3,FALSE(),TRUE())))</f>
        <v/>
      </c>
      <c r="Y307" s="127" t="str">
        <f aca="false">IF(ISBLANK($C307),"",IF(G307=Constants!$B$2,TRUE(),IF(G307=Constants!$B$3,FALSE(),TRUE())))</f>
        <v/>
      </c>
      <c r="Z307" s="127" t="str">
        <f aca="false">IF(ISBLANK($C307),"",IF(H307=Constants!$B$2,TRUE(),IF(H307=Constants!$B$3,FALSE(),TRUE())))</f>
        <v/>
      </c>
      <c r="AA307" s="127" t="str">
        <f aca="false">IF(ISBLANK($C307),"",IF(I307=Constants!$B$2,TRUE(),IF(I307=Constants!$B$3,FALSE(),TRUE())))</f>
        <v/>
      </c>
      <c r="AB307" s="127" t="str">
        <f aca="false">IF(ISBLANK($C307),"",IF(J307=Constants!$B$4,TRUE(),IF(J307=Constants!$B$5,FALSE(),COUNTA(K307:M307)&gt;0)))</f>
        <v/>
      </c>
      <c r="AC307" s="128" t="str">
        <f aca="false">IF(ISBLANK($C307),"",IF(ISNUMBER(K307),IF(K307&gt;=0,K307,""),""))</f>
        <v/>
      </c>
      <c r="AD307" s="129" t="str">
        <f aca="false">IF(ISBLANK($C307),"",IF(ISNUMBER(L307),IF(L307&gt;=0,L307,""),""))</f>
        <v/>
      </c>
      <c r="AE307" s="127" t="str">
        <f aca="false">IF(ISBLANK($C307),"",IF(ISNUMBER(M307),IF(M307&gt;=0,MIN(M307,Constants!$B$22),""),""))</f>
        <v/>
      </c>
      <c r="AF307" s="127" t="str">
        <f aca="false">IF(ISBLANK($C307),"",IF(N307=Constants!$B$2,TRUE(),IF(N307=Constants!$B$3,FALSE(),TRUE())))</f>
        <v/>
      </c>
      <c r="AG307" s="127" t="str">
        <f aca="false">IF(ISBLANK($C307),"",IF(O307=Constants!$B$2,TRUE(),IF(O307=Constants!$B$3,FALSE(),TRUE())))</f>
        <v/>
      </c>
      <c r="AH307" s="127" t="str">
        <f aca="false">IF(ISBLANK($C307),"",IF(P307=Constants!$B$4,TRUE(),IF(P307=Constants!$B$5,FALSE(),COUNTA(Q307:S307)&gt;0)))</f>
        <v/>
      </c>
      <c r="AI307" s="128" t="str">
        <f aca="false">IF(ISBLANK($C307),"",IF(ISNUMBER(Q307),IF(Q307&gt;=0,Q307,""),""))</f>
        <v/>
      </c>
      <c r="AJ307" s="129" t="str">
        <f aca="false">IF(ISBLANK($C307),"",IF(ISNUMBER(R307),IF(R307&gt;=0,R307,""),""))</f>
        <v/>
      </c>
      <c r="AK307" s="127" t="str">
        <f aca="false">IF(ISBLANK($C307),"",IF(ISNUMBER(S307),IF(S307&gt;=0,MIN(S307,Constants!$B$22),""),""))</f>
        <v/>
      </c>
      <c r="AL307" s="127" t="str">
        <f aca="false">IF(ISBLANK($C307),"",IF(T307=Constants!$B$2,TRUE(),IF(T307=Constants!$B$3,FALSE(),FALSE())))</f>
        <v/>
      </c>
      <c r="AM307" s="126" t="str">
        <f aca="false">IF(ISBLANK($C307),"",AND($AB307,OR($AC307="",$AD307="",AND(NOT(ISBLANK($M307)),$AE307=""))))</f>
        <v/>
      </c>
      <c r="AN307" s="129" t="str">
        <f aca="false">IF($BD307&lt;&gt;Constants!$B$6,"",IF($AB307,Constants!$B$17*$AD307,Constants!$B$18))</f>
        <v/>
      </c>
      <c r="AO307" s="130" t="str">
        <f aca="false">IF($BD307&lt;&gt;Constants!$B$6,"",Constants!$B$19*IF($AB307,$AC307,0))</f>
        <v/>
      </c>
      <c r="AP307" s="130" t="str">
        <f aca="false">IF($BD307&lt;&gt;Constants!$B$6,"",IF(AND($AB307,ISNUMBER($AE307)),Constants!$B$20*(Constants!$B$21-$AE307),0))</f>
        <v/>
      </c>
      <c r="AQ307" s="130" t="str">
        <f aca="false">IF($BD307&lt;&gt;Constants!$B$6,"",IF($AA307,0,Constants!$B$12)+IF($Z307,0,Constants!$B$13)+IF($Y307,0,Constants!$B$14))</f>
        <v/>
      </c>
      <c r="AR307" s="131" t="str">
        <f aca="false">IF($BD307&lt;&gt;Constants!$B$6,"",Constants!$B$16+SUM($AN307:$AQ307))</f>
        <v/>
      </c>
      <c r="AS307" s="130" t="str">
        <f aca="false">IF($BD307&lt;&gt;Constants!$B$6,"",IF($AB307,$AD307,""))</f>
        <v/>
      </c>
      <c r="AT307" s="132" t="str">
        <f aca="false">IF($BD307&lt;&gt;Constants!$B$6,"",$AO307)</f>
        <v/>
      </c>
      <c r="AU307" s="127" t="str">
        <f aca="false">IF($BD307&lt;&gt;Constants!$B$6,"",IF(OR($BA307&lt;$AR307,AND($BA307=$AR307,OR(AND(ISNUMBER($BB307),OR(NOT(ISNUMBER($AS307)),$BB307&lt;$AS307)),AND(OR(AND($BB307="",$AS307=""),AND(ISNUMBER($BB307),ISNUMBER($AS307),$BB307=$AS307)),$BC307&lt;$AT307)))),"-&gt;","&lt;-"))</f>
        <v/>
      </c>
      <c r="AV307" s="126" t="str">
        <f aca="false">IF(ISBLANK($C307),"",AND($AH307,OR($AI307="",$AJ307="",AND(NOT(ISBLANK($S307)),$AK307=""))))</f>
        <v/>
      </c>
      <c r="AW307" s="129" t="str">
        <f aca="false">IF($BD307&lt;&gt;Constants!$B$6,"",IF($AH307,Constants!$B$17*$AJ307,Constants!$B$18))</f>
        <v/>
      </c>
      <c r="AX307" s="130" t="str">
        <f aca="false">IF($BD307&lt;&gt;Constants!$B$6,"",Constants!$B$19*IF($AH307,$AI307,0))</f>
        <v/>
      </c>
      <c r="AY307" s="130" t="str">
        <f aca="false">IF($BD307&lt;&gt;Constants!$B$6,"",IF(AND($AH307,ISNUMBER($AK307)),Constants!$B$20*(Constants!$B$21-$AK307),0))</f>
        <v/>
      </c>
      <c r="AZ307" s="130" t="str">
        <f aca="false">IF($BD307&lt;&gt;Constants!$B$6,"",IF($AG307,0,Constants!$B$12)+IF($AF307,0,Constants!$B$13)+IF($Y307,0,Constants!$B$14))</f>
        <v/>
      </c>
      <c r="BA307" s="131" t="str">
        <f aca="false">IF($BD307&lt;&gt;Constants!$B$6,"",Constants!$B$16+SUM($AW307:$AZ307))</f>
        <v/>
      </c>
      <c r="BB307" s="130" t="str">
        <f aca="false">IF($BD307&lt;&gt;Constants!$B$6,"",IF($AH307,$AJ307,""))</f>
        <v/>
      </c>
      <c r="BC307" s="132" t="str">
        <f aca="false">IF($BD307&lt;&gt;Constants!$B$6,"",$AX307)</f>
        <v/>
      </c>
      <c r="BD307" s="127" t="str">
        <f aca="false">IF(ISBLANK($C307),"",IF($AL307,Constants!$B$9,IF(COUNTA($E307:$T307)=0,Constants!$B$8,IF(NOT($X307),Constants!$B$7,IF(OR($AM307,$AV307),Constants!$B$10,Constants!$B$6)))))</f>
        <v/>
      </c>
      <c r="BE307" s="127" t="str">
        <f aca="false">IF(ISBLANK($C307),"",IF($BD307&lt;&gt;Constants!$B$6,$BD307,Constants!$B$11))</f>
        <v/>
      </c>
      <c r="BF307" s="130" t="str">
        <f aca="false">IF($BD307&lt;&gt;Constants!$B$6,"",IF($AU307="-&gt;",$BA307,$AR307))</f>
        <v/>
      </c>
      <c r="BG307" s="130" t="str">
        <f aca="false">IF($BD307&lt;&gt;Constants!$B$6,"",IF($W307,0,Constants!$B$15))</f>
        <v/>
      </c>
      <c r="BH307" s="130" t="str">
        <f aca="false">IF(ISBLANK($C307),"",IF($BD307&lt;&gt;Constants!$B$6,$BD307,SUM($BF307:$BG307)))</f>
        <v/>
      </c>
      <c r="BI307" s="127" t="str">
        <f aca="false">IF(ISBLANK($C307),"",IF($BD307&lt;&gt;Constants!$B$6,$BD307,RANK($BH307,$BH$9:$BH$508,1)))</f>
        <v/>
      </c>
      <c r="BJ307" s="130" t="str">
        <f aca="false">IF($BD307&lt;&gt;Constants!$B$6,"",IF($AU307="-&gt;",$BB307,$AS307))</f>
        <v/>
      </c>
      <c r="BK307" s="127" t="str">
        <f aca="false">IF(ISBLANK($C307),"",IF($BD307&lt;&gt;Constants!$B$6,$BD307,IF(ISNUMBER($BJ307),RANK($BJ307,$BJ$9:$BJ$508,1),COUNT($BJ$9:$BJ$508)+1)))</f>
        <v/>
      </c>
      <c r="BL307" s="130" t="str">
        <f aca="false">IF($BD307&lt;&gt;Constants!$B$6,"",IF($AU307="-&gt;",$BC307,$AT307))</f>
        <v/>
      </c>
      <c r="BM307" s="127" t="str">
        <f aca="false">IF(ISBLANK($C307),"",IF($BD307&lt;&gt;Constants!$B$6,$BD307,IF(ISNUMBER($BL307),RANK($BL307,$BL$9:$BL$508,1),COUNT($BL$9:$BL$508)+1)))</f>
        <v/>
      </c>
      <c r="BN307" s="130" t="str">
        <f aca="false">IF($BD307&lt;&gt;Constants!$B$6,"",IF($AU307="-&gt;",$AS307,$BB307))</f>
        <v/>
      </c>
      <c r="BO307" s="127" t="str">
        <f aca="false">IF(ISBLANK($C307),"",IF($BD307&lt;&gt;Constants!$B$6,$BD307,IF(ISNUMBER($BN307),RANK($BN307,$BN$9:$BN$508,1),COUNT($BN$9:$BN$508)+1)))</f>
        <v/>
      </c>
      <c r="BP307" s="130" t="str">
        <f aca="false">IF($BD307&lt;&gt;Constants!$B$6,"",IF($AU307="-&gt;",$AT307,$BC307))</f>
        <v/>
      </c>
      <c r="BQ307" s="127" t="str">
        <f aca="false">IF(ISBLANK($C307),"",IF($BD307&lt;&gt;Constants!$B$6,$BD307,IF(ISNUMBER($BP307),RANK($BP307,$BP$9:$BP$508,1),COUNT($BP$9:$BP$508)+1)))</f>
        <v/>
      </c>
      <c r="BR307" s="127" t="str">
        <f aca="false">IF(ISBLANK($C307),"",IF($BD307&lt;&gt;Constants!$B$6,$BD307,COUNTIFS($BI$9:$BI$508,"&lt;"&amp;$BI307)+COUNTIFS($BI$9:$BI$508,$BI307,$BK$9:$BK$508,"&lt;"&amp;$BK307)+COUNTIFS($BI$9:$BI$508,$BI307,$BK$9:$BK$508,$BK307,$BM$9:$BM$508,"&lt;"&amp;$BM307)+COUNTIFS($BI$9:$BI$508,$BI307,$BK$9:$BK$508,$BK307,$BM$9:$BM$508,$BM307,$BO$9:$BO$508,"&lt;"&amp;$BO307)+COUNTIFS($BI$9:$BI$508,$BI307,$BK$9:$BK$508,$BK307,$BM$9:$BM$508,$BM307,$BO$9:$BO$508,$BO307,$BQ$9:$BQ$508,"&lt;"&amp;$BQ307)+1))</f>
        <v/>
      </c>
      <c r="BS307" s="127" t="str">
        <f aca="false">IF(ISBLANK($C307),"",IF($BD307&lt;&gt;Constants!$B$6,$BD307,$BI307-$BR307))</f>
        <v/>
      </c>
      <c r="BT307" s="133"/>
      <c r="BU307" s="134"/>
      <c r="BV307" s="134" t="str">
        <f aca="false">IF(ISBLANK($C307),"",IF($BD307&lt;&gt;Constants!$B$6,"",IF($AU307="-&gt;",2,1)))</f>
        <v/>
      </c>
      <c r="BW307" s="135" t="str">
        <f aca="false">IF(ISBLANK($C307),"",IF($BD307&lt;&gt;Constants!$B$6,"",IF($AU307="-&gt;",$AW307,$AN307)))</f>
        <v/>
      </c>
      <c r="BX307" s="135" t="str">
        <f aca="false">IF(ISBLANK($C307),"",IF($BD307&lt;&gt;Constants!$B$6,"",IF($AU307="-&gt;",$AX307,$AO307)))</f>
        <v/>
      </c>
      <c r="BY307" s="135" t="str">
        <f aca="false">IF(ISBLANK($C307),"",IF($BD307&lt;&gt;Constants!$B$6,"",IF($AU307="-&gt;",$AY307,$AP307)))</f>
        <v/>
      </c>
      <c r="BZ307" s="135" t="str">
        <f aca="false">IF(ISBLANK($C307),"",IF($BD307&lt;&gt;Constants!$B$6,"",IF($AU307="-&gt;",$AZ307,$AQ307)+$BG307))</f>
        <v/>
      </c>
      <c r="CA307" s="136" t="str">
        <f aca="false">IF(ISBLANK($C307),"",IF($BD307&lt;&gt;Constants!$B$6,$BD307,$BH307))</f>
        <v/>
      </c>
      <c r="CB307" s="137" t="str">
        <f aca="false">IF(ISBLANK($C307),"",$BE307)</f>
        <v/>
      </c>
      <c r="CC307" s="138" t="str">
        <f aca="false">IF(ISBLANK($C307),"",$BS307)</f>
        <v/>
      </c>
      <c r="CD307" s="138" t="str">
        <f aca="false">IF(ISBLANK($C307),"",$BR307)</f>
        <v/>
      </c>
      <c r="CE307" s="139" t="str">
        <f aca="false">IF(ISBLANK($C307),"",IF($CD307=Constants!$B$9,COUNTA($C$9:$C$508)+2,IF($CD307=Constants!$B$8,COUNTA($C$9:$C$508)+1,IF($CD307=Constants!$B$7,COUNTA($C$9:$C$508),$CD307))))</f>
        <v/>
      </c>
      <c r="CF307" s="9"/>
      <c r="CG307" s="140" t="n">
        <f aca="false">IF(OR(ISNUMBER($CD307),$CD307=Constants!$B$9,$CD307=Constants!$B$7,$CD307=Constants!$B$8),1,0)</f>
        <v>0</v>
      </c>
      <c r="CH307" s="140" t="n">
        <v>299</v>
      </c>
      <c r="CI307" s="140" t="str">
        <f aca="false">IF(ISBLANK($C307),"",IF(ISNUMBER($CE307),$CE307+ROW($B307)/1000,""))</f>
        <v/>
      </c>
      <c r="CJ307" s="140" t="str">
        <f aca="false">IF(ISNUMBER($CI307),RANK($CI307,$CI$9:$CI$508,1),"")</f>
        <v/>
      </c>
      <c r="CK307" s="140" t="str">
        <f aca="false">IF(ISBLANK($C307),"",$B307)</f>
        <v/>
      </c>
      <c r="CL307" s="140" t="str">
        <f aca="false">IF(ISBLANK($C307),"",$C307)</f>
        <v/>
      </c>
      <c r="CM307" s="140" t="str">
        <f aca="false">IF(ISBLANK($C307),"",$D307)</f>
        <v/>
      </c>
      <c r="CN307" s="141" t="str">
        <f aca="false">$CB307</f>
        <v/>
      </c>
      <c r="CO307" s="142" t="str">
        <f aca="false">$CA307</f>
        <v/>
      </c>
      <c r="CP307" s="140" t="str">
        <f aca="false">IF(ISBLANK($C307),"",$CD307)</f>
        <v/>
      </c>
      <c r="CQ307" s="143" t="str">
        <f aca="false">IF($CH307&gt;$CG$8,"",VLOOKUP($CH307,$CJ$9:$CP$508,7,FALSE()))</f>
        <v/>
      </c>
      <c r="CR307" s="144" t="str">
        <f aca="false">IF($CH307&gt;$CG$8,"",VLOOKUP($CH307,$CJ$9:$CP$508,2,FALSE()))</f>
        <v/>
      </c>
      <c r="CS307" s="144" t="str">
        <f aca="false">IF($CH307&gt;$CG$8,"",VLOOKUP($CH307,$CJ$9:$CP$508,3,FALSE()))</f>
        <v/>
      </c>
      <c r="CT307" s="144" t="str">
        <f aca="false">IF($CH307&gt;$CG$8,"",VLOOKUP($CH307,$CJ$9:$CP$508,4,FALSE()))</f>
        <v/>
      </c>
      <c r="CU307" s="144" t="str">
        <f aca="false">IF($CH307&gt;$CG$8,"",VLOOKUP($CH307,$CJ$9:$CP$508,5,FALSE()))</f>
        <v/>
      </c>
      <c r="CV307" s="145" t="str">
        <f aca="false">IF($CH307&gt;$CG$8,"",VLOOKUP($CH307,$CJ$9:$CP$508,6,FALSE()))</f>
        <v/>
      </c>
      <c r="CW307" s="71"/>
    </row>
    <row r="308" customFormat="false" ht="15.75" hidden="false" customHeight="false" outlineLevel="0" collapsed="false">
      <c r="A308" s="9"/>
      <c r="B308" s="150"/>
      <c r="C308" s="151"/>
      <c r="D308" s="152"/>
      <c r="E308" s="170"/>
      <c r="F308" s="154"/>
      <c r="G308" s="155"/>
      <c r="H308" s="171"/>
      <c r="I308" s="159"/>
      <c r="J308" s="120"/>
      <c r="K308" s="121"/>
      <c r="L308" s="122"/>
      <c r="M308" s="158"/>
      <c r="N308" s="159"/>
      <c r="O308" s="159"/>
      <c r="P308" s="120"/>
      <c r="Q308" s="122"/>
      <c r="R308" s="122"/>
      <c r="S308" s="158"/>
      <c r="T308" s="159"/>
      <c r="U308" s="126"/>
      <c r="V308" s="127"/>
      <c r="W308" s="127" t="str">
        <f aca="false">IF(ISBLANK($C308),"",IF(E308=Constants!$B$2,TRUE(),IF(E308=Constants!$B$3,FALSE(),TRUE())))</f>
        <v/>
      </c>
      <c r="X308" s="127" t="str">
        <f aca="false">IF(ISBLANK($C308),"",IF(F308=Constants!$B$2,TRUE(),IF(F308=Constants!$B$3,FALSE(),TRUE())))</f>
        <v/>
      </c>
      <c r="Y308" s="127" t="str">
        <f aca="false">IF(ISBLANK($C308),"",IF(G308=Constants!$B$2,TRUE(),IF(G308=Constants!$B$3,FALSE(),TRUE())))</f>
        <v/>
      </c>
      <c r="Z308" s="127" t="str">
        <f aca="false">IF(ISBLANK($C308),"",IF(H308=Constants!$B$2,TRUE(),IF(H308=Constants!$B$3,FALSE(),TRUE())))</f>
        <v/>
      </c>
      <c r="AA308" s="127" t="str">
        <f aca="false">IF(ISBLANK($C308),"",IF(I308=Constants!$B$2,TRUE(),IF(I308=Constants!$B$3,FALSE(),TRUE())))</f>
        <v/>
      </c>
      <c r="AB308" s="127" t="str">
        <f aca="false">IF(ISBLANK($C308),"",IF(J308=Constants!$B$4,TRUE(),IF(J308=Constants!$B$5,FALSE(),COUNTA(K308:M308)&gt;0)))</f>
        <v/>
      </c>
      <c r="AC308" s="128" t="str">
        <f aca="false">IF(ISBLANK($C308),"",IF(ISNUMBER(K308),IF(K308&gt;=0,K308,""),""))</f>
        <v/>
      </c>
      <c r="AD308" s="129" t="str">
        <f aca="false">IF(ISBLANK($C308),"",IF(ISNUMBER(L308),IF(L308&gt;=0,L308,""),""))</f>
        <v/>
      </c>
      <c r="AE308" s="127" t="str">
        <f aca="false">IF(ISBLANK($C308),"",IF(ISNUMBER(M308),IF(M308&gt;=0,MIN(M308,Constants!$B$22),""),""))</f>
        <v/>
      </c>
      <c r="AF308" s="127" t="str">
        <f aca="false">IF(ISBLANK($C308),"",IF(N308=Constants!$B$2,TRUE(),IF(N308=Constants!$B$3,FALSE(),TRUE())))</f>
        <v/>
      </c>
      <c r="AG308" s="127" t="str">
        <f aca="false">IF(ISBLANK($C308),"",IF(O308=Constants!$B$2,TRUE(),IF(O308=Constants!$B$3,FALSE(),TRUE())))</f>
        <v/>
      </c>
      <c r="AH308" s="127" t="str">
        <f aca="false">IF(ISBLANK($C308),"",IF(P308=Constants!$B$4,TRUE(),IF(P308=Constants!$B$5,FALSE(),COUNTA(Q308:S308)&gt;0)))</f>
        <v/>
      </c>
      <c r="AI308" s="128" t="str">
        <f aca="false">IF(ISBLANK($C308),"",IF(ISNUMBER(Q308),IF(Q308&gt;=0,Q308,""),""))</f>
        <v/>
      </c>
      <c r="AJ308" s="129" t="str">
        <f aca="false">IF(ISBLANK($C308),"",IF(ISNUMBER(R308),IF(R308&gt;=0,R308,""),""))</f>
        <v/>
      </c>
      <c r="AK308" s="127" t="str">
        <f aca="false">IF(ISBLANK($C308),"",IF(ISNUMBER(S308),IF(S308&gt;=0,MIN(S308,Constants!$B$22),""),""))</f>
        <v/>
      </c>
      <c r="AL308" s="127" t="str">
        <f aca="false">IF(ISBLANK($C308),"",IF(T308=Constants!$B$2,TRUE(),IF(T308=Constants!$B$3,FALSE(),FALSE())))</f>
        <v/>
      </c>
      <c r="AM308" s="126" t="str">
        <f aca="false">IF(ISBLANK($C308),"",AND($AB308,OR($AC308="",$AD308="",AND(NOT(ISBLANK($M308)),$AE308=""))))</f>
        <v/>
      </c>
      <c r="AN308" s="129" t="str">
        <f aca="false">IF($BD308&lt;&gt;Constants!$B$6,"",IF($AB308,Constants!$B$17*$AD308,Constants!$B$18))</f>
        <v/>
      </c>
      <c r="AO308" s="130" t="str">
        <f aca="false">IF($BD308&lt;&gt;Constants!$B$6,"",Constants!$B$19*IF($AB308,$AC308,0))</f>
        <v/>
      </c>
      <c r="AP308" s="130" t="str">
        <f aca="false">IF($BD308&lt;&gt;Constants!$B$6,"",IF(AND($AB308,ISNUMBER($AE308)),Constants!$B$20*(Constants!$B$21-$AE308),0))</f>
        <v/>
      </c>
      <c r="AQ308" s="130" t="str">
        <f aca="false">IF($BD308&lt;&gt;Constants!$B$6,"",IF($AA308,0,Constants!$B$12)+IF($Z308,0,Constants!$B$13)+IF($Y308,0,Constants!$B$14))</f>
        <v/>
      </c>
      <c r="AR308" s="131" t="str">
        <f aca="false">IF($BD308&lt;&gt;Constants!$B$6,"",Constants!$B$16+SUM($AN308:$AQ308))</f>
        <v/>
      </c>
      <c r="AS308" s="130" t="str">
        <f aca="false">IF($BD308&lt;&gt;Constants!$B$6,"",IF($AB308,$AD308,""))</f>
        <v/>
      </c>
      <c r="AT308" s="132" t="str">
        <f aca="false">IF($BD308&lt;&gt;Constants!$B$6,"",$AO308)</f>
        <v/>
      </c>
      <c r="AU308" s="127" t="str">
        <f aca="false">IF($BD308&lt;&gt;Constants!$B$6,"",IF(OR($BA308&lt;$AR308,AND($BA308=$AR308,OR(AND(ISNUMBER($BB308),OR(NOT(ISNUMBER($AS308)),$BB308&lt;$AS308)),AND(OR(AND($BB308="",$AS308=""),AND(ISNUMBER($BB308),ISNUMBER($AS308),$BB308=$AS308)),$BC308&lt;$AT308)))),"-&gt;","&lt;-"))</f>
        <v/>
      </c>
      <c r="AV308" s="126" t="str">
        <f aca="false">IF(ISBLANK($C308),"",AND($AH308,OR($AI308="",$AJ308="",AND(NOT(ISBLANK($S308)),$AK308=""))))</f>
        <v/>
      </c>
      <c r="AW308" s="129" t="str">
        <f aca="false">IF($BD308&lt;&gt;Constants!$B$6,"",IF($AH308,Constants!$B$17*$AJ308,Constants!$B$18))</f>
        <v/>
      </c>
      <c r="AX308" s="130" t="str">
        <f aca="false">IF($BD308&lt;&gt;Constants!$B$6,"",Constants!$B$19*IF($AH308,$AI308,0))</f>
        <v/>
      </c>
      <c r="AY308" s="130" t="str">
        <f aca="false">IF($BD308&lt;&gt;Constants!$B$6,"",IF(AND($AH308,ISNUMBER($AK308)),Constants!$B$20*(Constants!$B$21-$AK308),0))</f>
        <v/>
      </c>
      <c r="AZ308" s="130" t="str">
        <f aca="false">IF($BD308&lt;&gt;Constants!$B$6,"",IF($AG308,0,Constants!$B$12)+IF($AF308,0,Constants!$B$13)+IF($Y308,0,Constants!$B$14))</f>
        <v/>
      </c>
      <c r="BA308" s="131" t="str">
        <f aca="false">IF($BD308&lt;&gt;Constants!$B$6,"",Constants!$B$16+SUM($AW308:$AZ308))</f>
        <v/>
      </c>
      <c r="BB308" s="130" t="str">
        <f aca="false">IF($BD308&lt;&gt;Constants!$B$6,"",IF($AH308,$AJ308,""))</f>
        <v/>
      </c>
      <c r="BC308" s="132" t="str">
        <f aca="false">IF($BD308&lt;&gt;Constants!$B$6,"",$AX308)</f>
        <v/>
      </c>
      <c r="BD308" s="127" t="str">
        <f aca="false">IF(ISBLANK($C308),"",IF($AL308,Constants!$B$9,IF(COUNTA($E308:$T308)=0,Constants!$B$8,IF(NOT($X308),Constants!$B$7,IF(OR($AM308,$AV308),Constants!$B$10,Constants!$B$6)))))</f>
        <v/>
      </c>
      <c r="BE308" s="127" t="str">
        <f aca="false">IF(ISBLANK($C308),"",IF($BD308&lt;&gt;Constants!$B$6,$BD308,Constants!$B$11))</f>
        <v/>
      </c>
      <c r="BF308" s="130" t="str">
        <f aca="false">IF($BD308&lt;&gt;Constants!$B$6,"",IF($AU308="-&gt;",$BA308,$AR308))</f>
        <v/>
      </c>
      <c r="BG308" s="130" t="str">
        <f aca="false">IF($BD308&lt;&gt;Constants!$B$6,"",IF($W308,0,Constants!$B$15))</f>
        <v/>
      </c>
      <c r="BH308" s="130" t="str">
        <f aca="false">IF(ISBLANK($C308),"",IF($BD308&lt;&gt;Constants!$B$6,$BD308,SUM($BF308:$BG308)))</f>
        <v/>
      </c>
      <c r="BI308" s="127" t="str">
        <f aca="false">IF(ISBLANK($C308),"",IF($BD308&lt;&gt;Constants!$B$6,$BD308,RANK($BH308,$BH$9:$BH$508,1)))</f>
        <v/>
      </c>
      <c r="BJ308" s="130" t="str">
        <f aca="false">IF($BD308&lt;&gt;Constants!$B$6,"",IF($AU308="-&gt;",$BB308,$AS308))</f>
        <v/>
      </c>
      <c r="BK308" s="127" t="str">
        <f aca="false">IF(ISBLANK($C308),"",IF($BD308&lt;&gt;Constants!$B$6,$BD308,IF(ISNUMBER($BJ308),RANK($BJ308,$BJ$9:$BJ$508,1),COUNT($BJ$9:$BJ$508)+1)))</f>
        <v/>
      </c>
      <c r="BL308" s="130" t="str">
        <f aca="false">IF($BD308&lt;&gt;Constants!$B$6,"",IF($AU308="-&gt;",$BC308,$AT308))</f>
        <v/>
      </c>
      <c r="BM308" s="127" t="str">
        <f aca="false">IF(ISBLANK($C308),"",IF($BD308&lt;&gt;Constants!$B$6,$BD308,IF(ISNUMBER($BL308),RANK($BL308,$BL$9:$BL$508,1),COUNT($BL$9:$BL$508)+1)))</f>
        <v/>
      </c>
      <c r="BN308" s="130" t="str">
        <f aca="false">IF($BD308&lt;&gt;Constants!$B$6,"",IF($AU308="-&gt;",$AS308,$BB308))</f>
        <v/>
      </c>
      <c r="BO308" s="127" t="str">
        <f aca="false">IF(ISBLANK($C308),"",IF($BD308&lt;&gt;Constants!$B$6,$BD308,IF(ISNUMBER($BN308),RANK($BN308,$BN$9:$BN$508,1),COUNT($BN$9:$BN$508)+1)))</f>
        <v/>
      </c>
      <c r="BP308" s="130" t="str">
        <f aca="false">IF($BD308&lt;&gt;Constants!$B$6,"",IF($AU308="-&gt;",$AT308,$BC308))</f>
        <v/>
      </c>
      <c r="BQ308" s="127" t="str">
        <f aca="false">IF(ISBLANK($C308),"",IF($BD308&lt;&gt;Constants!$B$6,$BD308,IF(ISNUMBER($BP308),RANK($BP308,$BP$9:$BP$508,1),COUNT($BP$9:$BP$508)+1)))</f>
        <v/>
      </c>
      <c r="BR308" s="127" t="str">
        <f aca="false">IF(ISBLANK($C308),"",IF($BD308&lt;&gt;Constants!$B$6,$BD308,COUNTIFS($BI$9:$BI$508,"&lt;"&amp;$BI308)+COUNTIFS($BI$9:$BI$508,$BI308,$BK$9:$BK$508,"&lt;"&amp;$BK308)+COUNTIFS($BI$9:$BI$508,$BI308,$BK$9:$BK$508,$BK308,$BM$9:$BM$508,"&lt;"&amp;$BM308)+COUNTIFS($BI$9:$BI$508,$BI308,$BK$9:$BK$508,$BK308,$BM$9:$BM$508,$BM308,$BO$9:$BO$508,"&lt;"&amp;$BO308)+COUNTIFS($BI$9:$BI$508,$BI308,$BK$9:$BK$508,$BK308,$BM$9:$BM$508,$BM308,$BO$9:$BO$508,$BO308,$BQ$9:$BQ$508,"&lt;"&amp;$BQ308)+1))</f>
        <v/>
      </c>
      <c r="BS308" s="127" t="str">
        <f aca="false">IF(ISBLANK($C308),"",IF($BD308&lt;&gt;Constants!$B$6,$BD308,$BI308-$BR308))</f>
        <v/>
      </c>
      <c r="BT308" s="133"/>
      <c r="BU308" s="134"/>
      <c r="BV308" s="134" t="str">
        <f aca="false">IF(ISBLANK($C308),"",IF($BD308&lt;&gt;Constants!$B$6,"",IF($AU308="-&gt;",2,1)))</f>
        <v/>
      </c>
      <c r="BW308" s="135" t="str">
        <f aca="false">IF(ISBLANK($C308),"",IF($BD308&lt;&gt;Constants!$B$6,"",IF($AU308="-&gt;",$AW308,$AN308)))</f>
        <v/>
      </c>
      <c r="BX308" s="135" t="str">
        <f aca="false">IF(ISBLANK($C308),"",IF($BD308&lt;&gt;Constants!$B$6,"",IF($AU308="-&gt;",$AX308,$AO308)))</f>
        <v/>
      </c>
      <c r="BY308" s="135" t="str">
        <f aca="false">IF(ISBLANK($C308),"",IF($BD308&lt;&gt;Constants!$B$6,"",IF($AU308="-&gt;",$AY308,$AP308)))</f>
        <v/>
      </c>
      <c r="BZ308" s="135" t="str">
        <f aca="false">IF(ISBLANK($C308),"",IF($BD308&lt;&gt;Constants!$B$6,"",IF($AU308="-&gt;",$AZ308,$AQ308)+$BG308))</f>
        <v/>
      </c>
      <c r="CA308" s="136" t="str">
        <f aca="false">IF(ISBLANK($C308),"",IF($BD308&lt;&gt;Constants!$B$6,$BD308,$BH308))</f>
        <v/>
      </c>
      <c r="CB308" s="137" t="str">
        <f aca="false">IF(ISBLANK($C308),"",$BE308)</f>
        <v/>
      </c>
      <c r="CC308" s="138" t="str">
        <f aca="false">IF(ISBLANK($C308),"",$BS308)</f>
        <v/>
      </c>
      <c r="CD308" s="138" t="str">
        <f aca="false">IF(ISBLANK($C308),"",$BR308)</f>
        <v/>
      </c>
      <c r="CE308" s="139" t="str">
        <f aca="false">IF(ISBLANK($C308),"",IF($CD308=Constants!$B$9,COUNTA($C$9:$C$508)+2,IF($CD308=Constants!$B$8,COUNTA($C$9:$C$508)+1,IF($CD308=Constants!$B$7,COUNTA($C$9:$C$508),$CD308))))</f>
        <v/>
      </c>
      <c r="CF308" s="9"/>
      <c r="CG308" s="140" t="n">
        <f aca="false">IF(OR(ISNUMBER($CD308),$CD308=Constants!$B$9,$CD308=Constants!$B$7,$CD308=Constants!$B$8),1,0)</f>
        <v>0</v>
      </c>
      <c r="CH308" s="140" t="n">
        <v>300</v>
      </c>
      <c r="CI308" s="140" t="str">
        <f aca="false">IF(ISBLANK($C308),"",IF(ISNUMBER($CE308),$CE308+ROW($B308)/1000,""))</f>
        <v/>
      </c>
      <c r="CJ308" s="140" t="str">
        <f aca="false">IF(ISNUMBER($CI308),RANK($CI308,$CI$9:$CI$508,1),"")</f>
        <v/>
      </c>
      <c r="CK308" s="140" t="str">
        <f aca="false">IF(ISBLANK($C308),"",$B308)</f>
        <v/>
      </c>
      <c r="CL308" s="140" t="str">
        <f aca="false">IF(ISBLANK($C308),"",$C308)</f>
        <v/>
      </c>
      <c r="CM308" s="140" t="str">
        <f aca="false">IF(ISBLANK($C308),"",$D308)</f>
        <v/>
      </c>
      <c r="CN308" s="141" t="str">
        <f aca="false">$CB308</f>
        <v/>
      </c>
      <c r="CO308" s="142" t="str">
        <f aca="false">$CA308</f>
        <v/>
      </c>
      <c r="CP308" s="140" t="str">
        <f aca="false">IF(ISBLANK($C308),"",$CD308)</f>
        <v/>
      </c>
      <c r="CQ308" s="143" t="str">
        <f aca="false">IF($CH308&gt;$CG$8,"",VLOOKUP($CH308,$CJ$9:$CP$508,7,FALSE()))</f>
        <v/>
      </c>
      <c r="CR308" s="144" t="str">
        <f aca="false">IF($CH308&gt;$CG$8,"",VLOOKUP($CH308,$CJ$9:$CP$508,2,FALSE()))</f>
        <v/>
      </c>
      <c r="CS308" s="144" t="str">
        <f aca="false">IF($CH308&gt;$CG$8,"",VLOOKUP($CH308,$CJ$9:$CP$508,3,FALSE()))</f>
        <v/>
      </c>
      <c r="CT308" s="144" t="str">
        <f aca="false">IF($CH308&gt;$CG$8,"",VLOOKUP($CH308,$CJ$9:$CP$508,4,FALSE()))</f>
        <v/>
      </c>
      <c r="CU308" s="144" t="str">
        <f aca="false">IF($CH308&gt;$CG$8,"",VLOOKUP($CH308,$CJ$9:$CP$508,5,FALSE()))</f>
        <v/>
      </c>
      <c r="CV308" s="145" t="str">
        <f aca="false">IF($CH308&gt;$CG$8,"",VLOOKUP($CH308,$CJ$9:$CP$508,6,FALSE()))</f>
        <v/>
      </c>
      <c r="CW308" s="71"/>
    </row>
    <row r="309" customFormat="false" ht="15.75" hidden="false" customHeight="false" outlineLevel="0" collapsed="false">
      <c r="A309" s="9"/>
      <c r="B309" s="72"/>
      <c r="C309" s="73"/>
      <c r="D309" s="160"/>
      <c r="E309" s="168"/>
      <c r="F309" s="162"/>
      <c r="G309" s="163"/>
      <c r="H309" s="169"/>
      <c r="I309" s="167"/>
      <c r="J309" s="80"/>
      <c r="K309" s="81"/>
      <c r="L309" s="82"/>
      <c r="M309" s="166"/>
      <c r="N309" s="167"/>
      <c r="O309" s="167"/>
      <c r="P309" s="80"/>
      <c r="Q309" s="82"/>
      <c r="R309" s="82"/>
      <c r="S309" s="166"/>
      <c r="T309" s="167"/>
      <c r="U309" s="86"/>
      <c r="V309" s="87"/>
      <c r="W309" s="87" t="str">
        <f aca="false">IF(ISBLANK($C309),"",IF(E309=Constants!$B$2,TRUE(),IF(E309=Constants!$B$3,FALSE(),TRUE())))</f>
        <v/>
      </c>
      <c r="X309" s="87" t="str">
        <f aca="false">IF(ISBLANK($C309),"",IF(F309=Constants!$B$2,TRUE(),IF(F309=Constants!$B$3,FALSE(),TRUE())))</f>
        <v/>
      </c>
      <c r="Y309" s="87" t="str">
        <f aca="false">IF(ISBLANK($C309),"",IF(G309=Constants!$B$2,TRUE(),IF(G309=Constants!$B$3,FALSE(),TRUE())))</f>
        <v/>
      </c>
      <c r="Z309" s="87" t="str">
        <f aca="false">IF(ISBLANK($C309),"",IF(H309=Constants!$B$2,TRUE(),IF(H309=Constants!$B$3,FALSE(),TRUE())))</f>
        <v/>
      </c>
      <c r="AA309" s="87" t="str">
        <f aca="false">IF(ISBLANK($C309),"",IF(I309=Constants!$B$2,TRUE(),IF(I309=Constants!$B$3,FALSE(),TRUE())))</f>
        <v/>
      </c>
      <c r="AB309" s="87" t="str">
        <f aca="false">IF(ISBLANK($C309),"",IF(J309=Constants!$B$4,TRUE(),IF(J309=Constants!$B$5,FALSE(),COUNTA(K309:M309)&gt;0)))</f>
        <v/>
      </c>
      <c r="AC309" s="88" t="str">
        <f aca="false">IF(ISBLANK($C309),"",IF(ISNUMBER(K309),IF(K309&gt;=0,K309,""),""))</f>
        <v/>
      </c>
      <c r="AD309" s="89" t="str">
        <f aca="false">IF(ISBLANK($C309),"",IF(ISNUMBER(L309),IF(L309&gt;=0,L309,""),""))</f>
        <v/>
      </c>
      <c r="AE309" s="87" t="str">
        <f aca="false">IF(ISBLANK($C309),"",IF(ISNUMBER(M309),IF(M309&gt;=0,MIN(M309,Constants!$B$22),""),""))</f>
        <v/>
      </c>
      <c r="AF309" s="87" t="str">
        <f aca="false">IF(ISBLANK($C309),"",IF(N309=Constants!$B$2,TRUE(),IF(N309=Constants!$B$3,FALSE(),TRUE())))</f>
        <v/>
      </c>
      <c r="AG309" s="87" t="str">
        <f aca="false">IF(ISBLANK($C309),"",IF(O309=Constants!$B$2,TRUE(),IF(O309=Constants!$B$3,FALSE(),TRUE())))</f>
        <v/>
      </c>
      <c r="AH309" s="87" t="str">
        <f aca="false">IF(ISBLANK($C309),"",IF(P309=Constants!$B$4,TRUE(),IF(P309=Constants!$B$5,FALSE(),COUNTA(Q309:S309)&gt;0)))</f>
        <v/>
      </c>
      <c r="AI309" s="88" t="str">
        <f aca="false">IF(ISBLANK($C309),"",IF(ISNUMBER(Q309),IF(Q309&gt;=0,Q309,""),""))</f>
        <v/>
      </c>
      <c r="AJ309" s="89" t="str">
        <f aca="false">IF(ISBLANK($C309),"",IF(ISNUMBER(R309),IF(R309&gt;=0,R309,""),""))</f>
        <v/>
      </c>
      <c r="AK309" s="87" t="str">
        <f aca="false">IF(ISBLANK($C309),"",IF(ISNUMBER(S309),IF(S309&gt;=0,MIN(S309,Constants!$B$22),""),""))</f>
        <v/>
      </c>
      <c r="AL309" s="87" t="str">
        <f aca="false">IF(ISBLANK($C309),"",IF(T309=Constants!$B$2,TRUE(),IF(T309=Constants!$B$3,FALSE(),FALSE())))</f>
        <v/>
      </c>
      <c r="AM309" s="86" t="str">
        <f aca="false">IF(ISBLANK($C309),"",AND($AB309,OR($AC309="",$AD309="",AND(NOT(ISBLANK($M309)),$AE309=""))))</f>
        <v/>
      </c>
      <c r="AN309" s="89" t="str">
        <f aca="false">IF($BD309&lt;&gt;Constants!$B$6,"",IF($AB309,Constants!$B$17*$AD309,Constants!$B$18))</f>
        <v/>
      </c>
      <c r="AO309" s="91" t="str">
        <f aca="false">IF($BD309&lt;&gt;Constants!$B$6,"",Constants!$B$19*IF($AB309,$AC309,0))</f>
        <v/>
      </c>
      <c r="AP309" s="91" t="str">
        <f aca="false">IF($BD309&lt;&gt;Constants!$B$6,"",IF(AND($AB309,ISNUMBER($AE309)),Constants!$B$20*(Constants!$B$21-$AE309),0))</f>
        <v/>
      </c>
      <c r="AQ309" s="91" t="str">
        <f aca="false">IF($BD309&lt;&gt;Constants!$B$6,"",IF($AA309,0,Constants!$B$12)+IF($Z309,0,Constants!$B$13)+IF($Y309,0,Constants!$B$14))</f>
        <v/>
      </c>
      <c r="AR309" s="92" t="str">
        <f aca="false">IF($BD309&lt;&gt;Constants!$B$6,"",Constants!$B$16+SUM($AN309:$AQ309))</f>
        <v/>
      </c>
      <c r="AS309" s="91" t="str">
        <f aca="false">IF($BD309&lt;&gt;Constants!$B$6,"",IF($AB309,$AD309,""))</f>
        <v/>
      </c>
      <c r="AT309" s="93" t="str">
        <f aca="false">IF($BD309&lt;&gt;Constants!$B$6,"",$AO309)</f>
        <v/>
      </c>
      <c r="AU309" s="87" t="str">
        <f aca="false">IF($BD309&lt;&gt;Constants!$B$6,"",IF(OR($BA309&lt;$AR309,AND($BA309=$AR309,OR(AND(ISNUMBER($BB309),OR(NOT(ISNUMBER($AS309)),$BB309&lt;$AS309)),AND(OR(AND($BB309="",$AS309=""),AND(ISNUMBER($BB309),ISNUMBER($AS309),$BB309=$AS309)),$BC309&lt;$AT309)))),"-&gt;","&lt;-"))</f>
        <v/>
      </c>
      <c r="AV309" s="86" t="str">
        <f aca="false">IF(ISBLANK($C309),"",AND($AH309,OR($AI309="",$AJ309="",AND(NOT(ISBLANK($S309)),$AK309=""))))</f>
        <v/>
      </c>
      <c r="AW309" s="89" t="str">
        <f aca="false">IF($BD309&lt;&gt;Constants!$B$6,"",IF($AH309,Constants!$B$17*$AJ309,Constants!$B$18))</f>
        <v/>
      </c>
      <c r="AX309" s="91" t="str">
        <f aca="false">IF($BD309&lt;&gt;Constants!$B$6,"",Constants!$B$19*IF($AH309,$AI309,0))</f>
        <v/>
      </c>
      <c r="AY309" s="91" t="str">
        <f aca="false">IF($BD309&lt;&gt;Constants!$B$6,"",IF(AND($AH309,ISNUMBER($AK309)),Constants!$B$20*(Constants!$B$21-$AK309),0))</f>
        <v/>
      </c>
      <c r="AZ309" s="91" t="str">
        <f aca="false">IF($BD309&lt;&gt;Constants!$B$6,"",IF($AG309,0,Constants!$B$12)+IF($AF309,0,Constants!$B$13)+IF($Y309,0,Constants!$B$14))</f>
        <v/>
      </c>
      <c r="BA309" s="92" t="str">
        <f aca="false">IF($BD309&lt;&gt;Constants!$B$6,"",Constants!$B$16+SUM($AW309:$AZ309))</f>
        <v/>
      </c>
      <c r="BB309" s="91" t="str">
        <f aca="false">IF($BD309&lt;&gt;Constants!$B$6,"",IF($AH309,$AJ309,""))</f>
        <v/>
      </c>
      <c r="BC309" s="93" t="str">
        <f aca="false">IF($BD309&lt;&gt;Constants!$B$6,"",$AX309)</f>
        <v/>
      </c>
      <c r="BD309" s="87" t="str">
        <f aca="false">IF(ISBLANK($C309),"",IF($AL309,Constants!$B$9,IF(COUNTA($E309:$T309)=0,Constants!$B$8,IF(NOT($X309),Constants!$B$7,IF(OR($AM309,$AV309),Constants!$B$10,Constants!$B$6)))))</f>
        <v/>
      </c>
      <c r="BE309" s="87" t="str">
        <f aca="false">IF(ISBLANK($C309),"",IF($BD309&lt;&gt;Constants!$B$6,$BD309,Constants!$B$11))</f>
        <v/>
      </c>
      <c r="BF309" s="91" t="str">
        <f aca="false">IF($BD309&lt;&gt;Constants!$B$6,"",IF($AU309="-&gt;",$BA309,$AR309))</f>
        <v/>
      </c>
      <c r="BG309" s="91" t="str">
        <f aca="false">IF($BD309&lt;&gt;Constants!$B$6,"",IF($W309,0,Constants!$B$15))</f>
        <v/>
      </c>
      <c r="BH309" s="91" t="str">
        <f aca="false">IF(ISBLANK($C309),"",IF($BD309&lt;&gt;Constants!$B$6,$BD309,SUM($BF309:$BG309)))</f>
        <v/>
      </c>
      <c r="BI309" s="87" t="str">
        <f aca="false">IF(ISBLANK($C309),"",IF($BD309&lt;&gt;Constants!$B$6,$BD309,RANK($BH309,$BH$9:$BH$508,1)))</f>
        <v/>
      </c>
      <c r="BJ309" s="91" t="str">
        <f aca="false">IF($BD309&lt;&gt;Constants!$B$6,"",IF($AU309="-&gt;",$BB309,$AS309))</f>
        <v/>
      </c>
      <c r="BK309" s="87" t="str">
        <f aca="false">IF(ISBLANK($C309),"",IF($BD309&lt;&gt;Constants!$B$6,$BD309,IF(ISNUMBER($BJ309),RANK($BJ309,$BJ$9:$BJ$508,1),COUNT($BJ$9:$BJ$508)+1)))</f>
        <v/>
      </c>
      <c r="BL309" s="91" t="str">
        <f aca="false">IF($BD309&lt;&gt;Constants!$B$6,"",IF($AU309="-&gt;",$BC309,$AT309))</f>
        <v/>
      </c>
      <c r="BM309" s="87" t="str">
        <f aca="false">IF(ISBLANK($C309),"",IF($BD309&lt;&gt;Constants!$B$6,$BD309,IF(ISNUMBER($BL309),RANK($BL309,$BL$9:$BL$508,1),COUNT($BL$9:$BL$508)+1)))</f>
        <v/>
      </c>
      <c r="BN309" s="91" t="str">
        <f aca="false">IF($BD309&lt;&gt;Constants!$B$6,"",IF($AU309="-&gt;",$AS309,$BB309))</f>
        <v/>
      </c>
      <c r="BO309" s="87" t="str">
        <f aca="false">IF(ISBLANK($C309),"",IF($BD309&lt;&gt;Constants!$B$6,$BD309,IF(ISNUMBER($BN309),RANK($BN309,$BN$9:$BN$508,1),COUNT($BN$9:$BN$508)+1)))</f>
        <v/>
      </c>
      <c r="BP309" s="91" t="str">
        <f aca="false">IF($BD309&lt;&gt;Constants!$B$6,"",IF($AU309="-&gt;",$AT309,$BC309))</f>
        <v/>
      </c>
      <c r="BQ309" s="87" t="str">
        <f aca="false">IF(ISBLANK($C309),"",IF($BD309&lt;&gt;Constants!$B$6,$BD309,IF(ISNUMBER($BP309),RANK($BP309,$BP$9:$BP$508,1),COUNT($BP$9:$BP$508)+1)))</f>
        <v/>
      </c>
      <c r="BR309" s="87" t="str">
        <f aca="false">IF(ISBLANK($C309),"",IF($BD309&lt;&gt;Constants!$B$6,$BD309,COUNTIFS($BI$9:$BI$508,"&lt;"&amp;$BI309)+COUNTIFS($BI$9:$BI$508,$BI309,$BK$9:$BK$508,"&lt;"&amp;$BK309)+COUNTIFS($BI$9:$BI$508,$BI309,$BK$9:$BK$508,$BK309,$BM$9:$BM$508,"&lt;"&amp;$BM309)+COUNTIFS($BI$9:$BI$508,$BI309,$BK$9:$BK$508,$BK309,$BM$9:$BM$508,$BM309,$BO$9:$BO$508,"&lt;"&amp;$BO309)+COUNTIFS($BI$9:$BI$508,$BI309,$BK$9:$BK$508,$BK309,$BM$9:$BM$508,$BM309,$BO$9:$BO$508,$BO309,$BQ$9:$BQ$508,"&lt;"&amp;$BQ309)+1))</f>
        <v/>
      </c>
      <c r="BS309" s="87" t="str">
        <f aca="false">IF(ISBLANK($C309),"",IF($BD309&lt;&gt;Constants!$B$6,$BD309,$BI309-$BR309))</f>
        <v/>
      </c>
      <c r="BT309" s="94"/>
      <c r="BU309" s="95"/>
      <c r="BV309" s="95" t="str">
        <f aca="false">IF(ISBLANK($C309),"",IF($BD309&lt;&gt;Constants!$B$6,"",IF($AU309="-&gt;",2,1)))</f>
        <v/>
      </c>
      <c r="BW309" s="96" t="str">
        <f aca="false">IF(ISBLANK($C309),"",IF($BD309&lt;&gt;Constants!$B$6,"",IF($AU309="-&gt;",$AW309,$AN309)))</f>
        <v/>
      </c>
      <c r="BX309" s="96" t="str">
        <f aca="false">IF(ISBLANK($C309),"",IF($BD309&lt;&gt;Constants!$B$6,"",IF($AU309="-&gt;",$AX309,$AO309)))</f>
        <v/>
      </c>
      <c r="BY309" s="96" t="str">
        <f aca="false">IF(ISBLANK($C309),"",IF($BD309&lt;&gt;Constants!$B$6,"",IF($AU309="-&gt;",$AY309,$AP309)))</f>
        <v/>
      </c>
      <c r="BZ309" s="96" t="str">
        <f aca="false">IF(ISBLANK($C309),"",IF($BD309&lt;&gt;Constants!$B$6,"",IF($AU309="-&gt;",$AZ309,$AQ309)+$BG309))</f>
        <v/>
      </c>
      <c r="CA309" s="97" t="str">
        <f aca="false">IF(ISBLANK($C309),"",IF($BD309&lt;&gt;Constants!$B$6,$BD309,$BH309))</f>
        <v/>
      </c>
      <c r="CB309" s="98" t="str">
        <f aca="false">IF(ISBLANK($C309),"",$BE309)</f>
        <v/>
      </c>
      <c r="CC309" s="99" t="str">
        <f aca="false">IF(ISBLANK($C309),"",$BS309)</f>
        <v/>
      </c>
      <c r="CD309" s="99" t="str">
        <f aca="false">IF(ISBLANK($C309),"",$BR309)</f>
        <v/>
      </c>
      <c r="CE309" s="100" t="str">
        <f aca="false">IF(ISBLANK($C309),"",IF($CD309=Constants!$B$9,COUNTA($C$9:$C$508)+2,IF($CD309=Constants!$B$8,COUNTA($C$9:$C$508)+1,IF($CD309=Constants!$B$7,COUNTA($C$9:$C$508),$CD309))))</f>
        <v/>
      </c>
      <c r="CF309" s="9"/>
      <c r="CG309" s="101" t="n">
        <f aca="false">IF(OR(ISNUMBER($CD309),$CD309=Constants!$B$9,$CD309=Constants!$B$7,$CD309=Constants!$B$8),1,0)</f>
        <v>0</v>
      </c>
      <c r="CH309" s="101" t="n">
        <v>301</v>
      </c>
      <c r="CI309" s="101" t="str">
        <f aca="false">IF(ISBLANK($C309),"",IF(ISNUMBER($CE309),$CE309+ROW($B309)/1000,""))</f>
        <v/>
      </c>
      <c r="CJ309" s="101" t="str">
        <f aca="false">IF(ISNUMBER($CI309),RANK($CI309,$CI$9:$CI$508,1),"")</f>
        <v/>
      </c>
      <c r="CK309" s="101" t="str">
        <f aca="false">IF(ISBLANK($C309),"",$B309)</f>
        <v/>
      </c>
      <c r="CL309" s="101" t="str">
        <f aca="false">IF(ISBLANK($C309),"",$C309)</f>
        <v/>
      </c>
      <c r="CM309" s="101" t="str">
        <f aca="false">IF(ISBLANK($C309),"",$D309)</f>
        <v/>
      </c>
      <c r="CN309" s="102" t="str">
        <f aca="false">$CB309</f>
        <v/>
      </c>
      <c r="CO309" s="103" t="str">
        <f aca="false">$CA309</f>
        <v/>
      </c>
      <c r="CP309" s="101" t="str">
        <f aca="false">IF(ISBLANK($C309),"",$CD309)</f>
        <v/>
      </c>
      <c r="CQ309" s="104" t="str">
        <f aca="false">IF($CH309&gt;$CG$8,"",VLOOKUP($CH309,$CJ$9:$CP$508,7,FALSE()))</f>
        <v/>
      </c>
      <c r="CR309" s="105" t="str">
        <f aca="false">IF($CH309&gt;$CG$8,"",VLOOKUP($CH309,$CJ$9:$CP$508,2,FALSE()))</f>
        <v/>
      </c>
      <c r="CS309" s="105" t="str">
        <f aca="false">IF($CH309&gt;$CG$8,"",VLOOKUP($CH309,$CJ$9:$CP$508,3,FALSE()))</f>
        <v/>
      </c>
      <c r="CT309" s="105" t="str">
        <f aca="false">IF($CH309&gt;$CG$8,"",VLOOKUP($CH309,$CJ$9:$CP$508,4,FALSE()))</f>
        <v/>
      </c>
      <c r="CU309" s="105" t="str">
        <f aca="false">IF($CH309&gt;$CG$8,"",VLOOKUP($CH309,$CJ$9:$CP$508,5,FALSE()))</f>
        <v/>
      </c>
      <c r="CV309" s="106" t="str">
        <f aca="false">IF($CH309&gt;$CG$8,"",VLOOKUP($CH309,$CJ$9:$CP$508,6,FALSE()))</f>
        <v/>
      </c>
      <c r="CW309" s="71"/>
    </row>
    <row r="310" customFormat="false" ht="15.75" hidden="false" customHeight="false" outlineLevel="0" collapsed="false">
      <c r="A310" s="9"/>
      <c r="B310" s="72"/>
      <c r="C310" s="73"/>
      <c r="D310" s="160"/>
      <c r="E310" s="168"/>
      <c r="F310" s="162"/>
      <c r="G310" s="163"/>
      <c r="H310" s="169"/>
      <c r="I310" s="167"/>
      <c r="J310" s="80"/>
      <c r="K310" s="81"/>
      <c r="L310" s="82"/>
      <c r="M310" s="166"/>
      <c r="N310" s="167"/>
      <c r="O310" s="167"/>
      <c r="P310" s="80"/>
      <c r="Q310" s="82"/>
      <c r="R310" s="82"/>
      <c r="S310" s="166"/>
      <c r="T310" s="167"/>
      <c r="U310" s="86"/>
      <c r="V310" s="87"/>
      <c r="W310" s="87" t="str">
        <f aca="false">IF(ISBLANK($C310),"",IF(E310=Constants!$B$2,TRUE(),IF(E310=Constants!$B$3,FALSE(),TRUE())))</f>
        <v/>
      </c>
      <c r="X310" s="87" t="str">
        <f aca="false">IF(ISBLANK($C310),"",IF(F310=Constants!$B$2,TRUE(),IF(F310=Constants!$B$3,FALSE(),TRUE())))</f>
        <v/>
      </c>
      <c r="Y310" s="87" t="str">
        <f aca="false">IF(ISBLANK($C310),"",IF(G310=Constants!$B$2,TRUE(),IF(G310=Constants!$B$3,FALSE(),TRUE())))</f>
        <v/>
      </c>
      <c r="Z310" s="87" t="str">
        <f aca="false">IF(ISBLANK($C310),"",IF(H310=Constants!$B$2,TRUE(),IF(H310=Constants!$B$3,FALSE(),TRUE())))</f>
        <v/>
      </c>
      <c r="AA310" s="87" t="str">
        <f aca="false">IF(ISBLANK($C310),"",IF(I310=Constants!$B$2,TRUE(),IF(I310=Constants!$B$3,FALSE(),TRUE())))</f>
        <v/>
      </c>
      <c r="AB310" s="87" t="str">
        <f aca="false">IF(ISBLANK($C310),"",IF(J310=Constants!$B$4,TRUE(),IF(J310=Constants!$B$5,FALSE(),COUNTA(K310:M310)&gt;0)))</f>
        <v/>
      </c>
      <c r="AC310" s="88" t="str">
        <f aca="false">IF(ISBLANK($C310),"",IF(ISNUMBER(K310),IF(K310&gt;=0,K310,""),""))</f>
        <v/>
      </c>
      <c r="AD310" s="89" t="str">
        <f aca="false">IF(ISBLANK($C310),"",IF(ISNUMBER(L310),IF(L310&gt;=0,L310,""),""))</f>
        <v/>
      </c>
      <c r="AE310" s="87" t="str">
        <f aca="false">IF(ISBLANK($C310),"",IF(ISNUMBER(M310),IF(M310&gt;=0,MIN(M310,Constants!$B$22),""),""))</f>
        <v/>
      </c>
      <c r="AF310" s="87" t="str">
        <f aca="false">IF(ISBLANK($C310),"",IF(N310=Constants!$B$2,TRUE(),IF(N310=Constants!$B$3,FALSE(),TRUE())))</f>
        <v/>
      </c>
      <c r="AG310" s="87" t="str">
        <f aca="false">IF(ISBLANK($C310),"",IF(O310=Constants!$B$2,TRUE(),IF(O310=Constants!$B$3,FALSE(),TRUE())))</f>
        <v/>
      </c>
      <c r="AH310" s="87" t="str">
        <f aca="false">IF(ISBLANK($C310),"",IF(P310=Constants!$B$4,TRUE(),IF(P310=Constants!$B$5,FALSE(),COUNTA(Q310:S310)&gt;0)))</f>
        <v/>
      </c>
      <c r="AI310" s="88" t="str">
        <f aca="false">IF(ISBLANK($C310),"",IF(ISNUMBER(Q310),IF(Q310&gt;=0,Q310,""),""))</f>
        <v/>
      </c>
      <c r="AJ310" s="89" t="str">
        <f aca="false">IF(ISBLANK($C310),"",IF(ISNUMBER(R310),IF(R310&gt;=0,R310,""),""))</f>
        <v/>
      </c>
      <c r="AK310" s="87" t="str">
        <f aca="false">IF(ISBLANK($C310),"",IF(ISNUMBER(S310),IF(S310&gt;=0,MIN(S310,Constants!$B$22),""),""))</f>
        <v/>
      </c>
      <c r="AL310" s="87" t="str">
        <f aca="false">IF(ISBLANK($C310),"",IF(T310=Constants!$B$2,TRUE(),IF(T310=Constants!$B$3,FALSE(),FALSE())))</f>
        <v/>
      </c>
      <c r="AM310" s="86" t="str">
        <f aca="false">IF(ISBLANK($C310),"",AND($AB310,OR($AC310="",$AD310="",AND(NOT(ISBLANK($M310)),$AE310=""))))</f>
        <v/>
      </c>
      <c r="AN310" s="89" t="str">
        <f aca="false">IF($BD310&lt;&gt;Constants!$B$6,"",IF($AB310,Constants!$B$17*$AD310,Constants!$B$18))</f>
        <v/>
      </c>
      <c r="AO310" s="91" t="str">
        <f aca="false">IF($BD310&lt;&gt;Constants!$B$6,"",Constants!$B$19*IF($AB310,$AC310,0))</f>
        <v/>
      </c>
      <c r="AP310" s="91" t="str">
        <f aca="false">IF($BD310&lt;&gt;Constants!$B$6,"",IF(AND($AB310,ISNUMBER($AE310)),Constants!$B$20*(Constants!$B$21-$AE310),0))</f>
        <v/>
      </c>
      <c r="AQ310" s="91" t="str">
        <f aca="false">IF($BD310&lt;&gt;Constants!$B$6,"",IF($AA310,0,Constants!$B$12)+IF($Z310,0,Constants!$B$13)+IF($Y310,0,Constants!$B$14))</f>
        <v/>
      </c>
      <c r="AR310" s="92" t="str">
        <f aca="false">IF($BD310&lt;&gt;Constants!$B$6,"",Constants!$B$16+SUM($AN310:$AQ310))</f>
        <v/>
      </c>
      <c r="AS310" s="91" t="str">
        <f aca="false">IF($BD310&lt;&gt;Constants!$B$6,"",IF($AB310,$AD310,""))</f>
        <v/>
      </c>
      <c r="AT310" s="93" t="str">
        <f aca="false">IF($BD310&lt;&gt;Constants!$B$6,"",$AO310)</f>
        <v/>
      </c>
      <c r="AU310" s="87" t="str">
        <f aca="false">IF($BD310&lt;&gt;Constants!$B$6,"",IF(OR($BA310&lt;$AR310,AND($BA310=$AR310,OR(AND(ISNUMBER($BB310),OR(NOT(ISNUMBER($AS310)),$BB310&lt;$AS310)),AND(OR(AND($BB310="",$AS310=""),AND(ISNUMBER($BB310),ISNUMBER($AS310),$BB310=$AS310)),$BC310&lt;$AT310)))),"-&gt;","&lt;-"))</f>
        <v/>
      </c>
      <c r="AV310" s="86" t="str">
        <f aca="false">IF(ISBLANK($C310),"",AND($AH310,OR($AI310="",$AJ310="",AND(NOT(ISBLANK($S310)),$AK310=""))))</f>
        <v/>
      </c>
      <c r="AW310" s="89" t="str">
        <f aca="false">IF($BD310&lt;&gt;Constants!$B$6,"",IF($AH310,Constants!$B$17*$AJ310,Constants!$B$18))</f>
        <v/>
      </c>
      <c r="AX310" s="91" t="str">
        <f aca="false">IF($BD310&lt;&gt;Constants!$B$6,"",Constants!$B$19*IF($AH310,$AI310,0))</f>
        <v/>
      </c>
      <c r="AY310" s="91" t="str">
        <f aca="false">IF($BD310&lt;&gt;Constants!$B$6,"",IF(AND($AH310,ISNUMBER($AK310)),Constants!$B$20*(Constants!$B$21-$AK310),0))</f>
        <v/>
      </c>
      <c r="AZ310" s="91" t="str">
        <f aca="false">IF($BD310&lt;&gt;Constants!$B$6,"",IF($AG310,0,Constants!$B$12)+IF($AF310,0,Constants!$B$13)+IF($Y310,0,Constants!$B$14))</f>
        <v/>
      </c>
      <c r="BA310" s="92" t="str">
        <f aca="false">IF($BD310&lt;&gt;Constants!$B$6,"",Constants!$B$16+SUM($AW310:$AZ310))</f>
        <v/>
      </c>
      <c r="BB310" s="91" t="str">
        <f aca="false">IF($BD310&lt;&gt;Constants!$B$6,"",IF($AH310,$AJ310,""))</f>
        <v/>
      </c>
      <c r="BC310" s="93" t="str">
        <f aca="false">IF($BD310&lt;&gt;Constants!$B$6,"",$AX310)</f>
        <v/>
      </c>
      <c r="BD310" s="87" t="str">
        <f aca="false">IF(ISBLANK($C310),"",IF($AL310,Constants!$B$9,IF(COUNTA($E310:$T310)=0,Constants!$B$8,IF(NOT($X310),Constants!$B$7,IF(OR($AM310,$AV310),Constants!$B$10,Constants!$B$6)))))</f>
        <v/>
      </c>
      <c r="BE310" s="87" t="str">
        <f aca="false">IF(ISBLANK($C310),"",IF($BD310&lt;&gt;Constants!$B$6,$BD310,Constants!$B$11))</f>
        <v/>
      </c>
      <c r="BF310" s="91" t="str">
        <f aca="false">IF($BD310&lt;&gt;Constants!$B$6,"",IF($AU310="-&gt;",$BA310,$AR310))</f>
        <v/>
      </c>
      <c r="BG310" s="91" t="str">
        <f aca="false">IF($BD310&lt;&gt;Constants!$B$6,"",IF($W310,0,Constants!$B$15))</f>
        <v/>
      </c>
      <c r="BH310" s="91" t="str">
        <f aca="false">IF(ISBLANK($C310),"",IF($BD310&lt;&gt;Constants!$B$6,$BD310,SUM($BF310:$BG310)))</f>
        <v/>
      </c>
      <c r="BI310" s="87" t="str">
        <f aca="false">IF(ISBLANK($C310),"",IF($BD310&lt;&gt;Constants!$B$6,$BD310,RANK($BH310,$BH$9:$BH$508,1)))</f>
        <v/>
      </c>
      <c r="BJ310" s="91" t="str">
        <f aca="false">IF($BD310&lt;&gt;Constants!$B$6,"",IF($AU310="-&gt;",$BB310,$AS310))</f>
        <v/>
      </c>
      <c r="BK310" s="87" t="str">
        <f aca="false">IF(ISBLANK($C310),"",IF($BD310&lt;&gt;Constants!$B$6,$BD310,IF(ISNUMBER($BJ310),RANK($BJ310,$BJ$9:$BJ$508,1),COUNT($BJ$9:$BJ$508)+1)))</f>
        <v/>
      </c>
      <c r="BL310" s="91" t="str">
        <f aca="false">IF($BD310&lt;&gt;Constants!$B$6,"",IF($AU310="-&gt;",$BC310,$AT310))</f>
        <v/>
      </c>
      <c r="BM310" s="87" t="str">
        <f aca="false">IF(ISBLANK($C310),"",IF($BD310&lt;&gt;Constants!$B$6,$BD310,IF(ISNUMBER($BL310),RANK($BL310,$BL$9:$BL$508,1),COUNT($BL$9:$BL$508)+1)))</f>
        <v/>
      </c>
      <c r="BN310" s="91" t="str">
        <f aca="false">IF($BD310&lt;&gt;Constants!$B$6,"",IF($AU310="-&gt;",$AS310,$BB310))</f>
        <v/>
      </c>
      <c r="BO310" s="87" t="str">
        <f aca="false">IF(ISBLANK($C310),"",IF($BD310&lt;&gt;Constants!$B$6,$BD310,IF(ISNUMBER($BN310),RANK($BN310,$BN$9:$BN$508,1),COUNT($BN$9:$BN$508)+1)))</f>
        <v/>
      </c>
      <c r="BP310" s="91" t="str">
        <f aca="false">IF($BD310&lt;&gt;Constants!$B$6,"",IF($AU310="-&gt;",$AT310,$BC310))</f>
        <v/>
      </c>
      <c r="BQ310" s="87" t="str">
        <f aca="false">IF(ISBLANK($C310),"",IF($BD310&lt;&gt;Constants!$B$6,$BD310,IF(ISNUMBER($BP310),RANK($BP310,$BP$9:$BP$508,1),COUNT($BP$9:$BP$508)+1)))</f>
        <v/>
      </c>
      <c r="BR310" s="87" t="str">
        <f aca="false">IF(ISBLANK($C310),"",IF($BD310&lt;&gt;Constants!$B$6,$BD310,COUNTIFS($BI$9:$BI$508,"&lt;"&amp;$BI310)+COUNTIFS($BI$9:$BI$508,$BI310,$BK$9:$BK$508,"&lt;"&amp;$BK310)+COUNTIFS($BI$9:$BI$508,$BI310,$BK$9:$BK$508,$BK310,$BM$9:$BM$508,"&lt;"&amp;$BM310)+COUNTIFS($BI$9:$BI$508,$BI310,$BK$9:$BK$508,$BK310,$BM$9:$BM$508,$BM310,$BO$9:$BO$508,"&lt;"&amp;$BO310)+COUNTIFS($BI$9:$BI$508,$BI310,$BK$9:$BK$508,$BK310,$BM$9:$BM$508,$BM310,$BO$9:$BO$508,$BO310,$BQ$9:$BQ$508,"&lt;"&amp;$BQ310)+1))</f>
        <v/>
      </c>
      <c r="BS310" s="87" t="str">
        <f aca="false">IF(ISBLANK($C310),"",IF($BD310&lt;&gt;Constants!$B$6,$BD310,$BI310-$BR310))</f>
        <v/>
      </c>
      <c r="BT310" s="94"/>
      <c r="BU310" s="95"/>
      <c r="BV310" s="95" t="str">
        <f aca="false">IF(ISBLANK($C310),"",IF($BD310&lt;&gt;Constants!$B$6,"",IF($AU310="-&gt;",2,1)))</f>
        <v/>
      </c>
      <c r="BW310" s="96" t="str">
        <f aca="false">IF(ISBLANK($C310),"",IF($BD310&lt;&gt;Constants!$B$6,"",IF($AU310="-&gt;",$AW310,$AN310)))</f>
        <v/>
      </c>
      <c r="BX310" s="96" t="str">
        <f aca="false">IF(ISBLANK($C310),"",IF($BD310&lt;&gt;Constants!$B$6,"",IF($AU310="-&gt;",$AX310,$AO310)))</f>
        <v/>
      </c>
      <c r="BY310" s="96" t="str">
        <f aca="false">IF(ISBLANK($C310),"",IF($BD310&lt;&gt;Constants!$B$6,"",IF($AU310="-&gt;",$AY310,$AP310)))</f>
        <v/>
      </c>
      <c r="BZ310" s="96" t="str">
        <f aca="false">IF(ISBLANK($C310),"",IF($BD310&lt;&gt;Constants!$B$6,"",IF($AU310="-&gt;",$AZ310,$AQ310)+$BG310))</f>
        <v/>
      </c>
      <c r="CA310" s="97" t="str">
        <f aca="false">IF(ISBLANK($C310),"",IF($BD310&lt;&gt;Constants!$B$6,$BD310,$BH310))</f>
        <v/>
      </c>
      <c r="CB310" s="98" t="str">
        <f aca="false">IF(ISBLANK($C310),"",$BE310)</f>
        <v/>
      </c>
      <c r="CC310" s="99" t="str">
        <f aca="false">IF(ISBLANK($C310),"",$BS310)</f>
        <v/>
      </c>
      <c r="CD310" s="99" t="str">
        <f aca="false">IF(ISBLANK($C310),"",$BR310)</f>
        <v/>
      </c>
      <c r="CE310" s="100" t="str">
        <f aca="false">IF(ISBLANK($C310),"",IF($CD310=Constants!$B$9,COUNTA($C$9:$C$508)+2,IF($CD310=Constants!$B$8,COUNTA($C$9:$C$508)+1,IF($CD310=Constants!$B$7,COUNTA($C$9:$C$508),$CD310))))</f>
        <v/>
      </c>
      <c r="CF310" s="9"/>
      <c r="CG310" s="101" t="n">
        <f aca="false">IF(OR(ISNUMBER($CD310),$CD310=Constants!$B$9,$CD310=Constants!$B$7,$CD310=Constants!$B$8),1,0)</f>
        <v>0</v>
      </c>
      <c r="CH310" s="101" t="n">
        <v>302</v>
      </c>
      <c r="CI310" s="101" t="str">
        <f aca="false">IF(ISBLANK($C310),"",IF(ISNUMBER($CE310),$CE310+ROW($B310)/1000,""))</f>
        <v/>
      </c>
      <c r="CJ310" s="101" t="str">
        <f aca="false">IF(ISNUMBER($CI310),RANK($CI310,$CI$9:$CI$508,1),"")</f>
        <v/>
      </c>
      <c r="CK310" s="101" t="str">
        <f aca="false">IF(ISBLANK($C310),"",$B310)</f>
        <v/>
      </c>
      <c r="CL310" s="101" t="str">
        <f aca="false">IF(ISBLANK($C310),"",$C310)</f>
        <v/>
      </c>
      <c r="CM310" s="101" t="str">
        <f aca="false">IF(ISBLANK($C310),"",$D310)</f>
        <v/>
      </c>
      <c r="CN310" s="102" t="str">
        <f aca="false">$CB310</f>
        <v/>
      </c>
      <c r="CO310" s="103" t="str">
        <f aca="false">$CA310</f>
        <v/>
      </c>
      <c r="CP310" s="101" t="str">
        <f aca="false">IF(ISBLANK($C310),"",$CD310)</f>
        <v/>
      </c>
      <c r="CQ310" s="104" t="str">
        <f aca="false">IF($CH310&gt;$CG$8,"",VLOOKUP($CH310,$CJ$9:$CP$508,7,FALSE()))</f>
        <v/>
      </c>
      <c r="CR310" s="105" t="str">
        <f aca="false">IF($CH310&gt;$CG$8,"",VLOOKUP($CH310,$CJ$9:$CP$508,2,FALSE()))</f>
        <v/>
      </c>
      <c r="CS310" s="105" t="str">
        <f aca="false">IF($CH310&gt;$CG$8,"",VLOOKUP($CH310,$CJ$9:$CP$508,3,FALSE()))</f>
        <v/>
      </c>
      <c r="CT310" s="105" t="str">
        <f aca="false">IF($CH310&gt;$CG$8,"",VLOOKUP($CH310,$CJ$9:$CP$508,4,FALSE()))</f>
        <v/>
      </c>
      <c r="CU310" s="105" t="str">
        <f aca="false">IF($CH310&gt;$CG$8,"",VLOOKUP($CH310,$CJ$9:$CP$508,5,FALSE()))</f>
        <v/>
      </c>
      <c r="CV310" s="106" t="str">
        <f aca="false">IF($CH310&gt;$CG$8,"",VLOOKUP($CH310,$CJ$9:$CP$508,6,FALSE()))</f>
        <v/>
      </c>
      <c r="CW310" s="71"/>
    </row>
    <row r="311" customFormat="false" ht="15.75" hidden="false" customHeight="false" outlineLevel="0" collapsed="false">
      <c r="A311" s="9"/>
      <c r="B311" s="72"/>
      <c r="C311" s="73"/>
      <c r="D311" s="160"/>
      <c r="E311" s="168"/>
      <c r="F311" s="162"/>
      <c r="G311" s="163"/>
      <c r="H311" s="169"/>
      <c r="I311" s="167"/>
      <c r="J311" s="80"/>
      <c r="K311" s="81"/>
      <c r="L311" s="82"/>
      <c r="M311" s="166"/>
      <c r="N311" s="167"/>
      <c r="O311" s="167"/>
      <c r="P311" s="80"/>
      <c r="Q311" s="82"/>
      <c r="R311" s="82"/>
      <c r="S311" s="166"/>
      <c r="T311" s="167"/>
      <c r="U311" s="86"/>
      <c r="V311" s="87"/>
      <c r="W311" s="87" t="str">
        <f aca="false">IF(ISBLANK($C311),"",IF(E311=Constants!$B$2,TRUE(),IF(E311=Constants!$B$3,FALSE(),TRUE())))</f>
        <v/>
      </c>
      <c r="X311" s="87" t="str">
        <f aca="false">IF(ISBLANK($C311),"",IF(F311=Constants!$B$2,TRUE(),IF(F311=Constants!$B$3,FALSE(),TRUE())))</f>
        <v/>
      </c>
      <c r="Y311" s="87" t="str">
        <f aca="false">IF(ISBLANK($C311),"",IF(G311=Constants!$B$2,TRUE(),IF(G311=Constants!$B$3,FALSE(),TRUE())))</f>
        <v/>
      </c>
      <c r="Z311" s="87" t="str">
        <f aca="false">IF(ISBLANK($C311),"",IF(H311=Constants!$B$2,TRUE(),IF(H311=Constants!$B$3,FALSE(),TRUE())))</f>
        <v/>
      </c>
      <c r="AA311" s="87" t="str">
        <f aca="false">IF(ISBLANK($C311),"",IF(I311=Constants!$B$2,TRUE(),IF(I311=Constants!$B$3,FALSE(),TRUE())))</f>
        <v/>
      </c>
      <c r="AB311" s="87" t="str">
        <f aca="false">IF(ISBLANK($C311),"",IF(J311=Constants!$B$4,TRUE(),IF(J311=Constants!$B$5,FALSE(),COUNTA(K311:M311)&gt;0)))</f>
        <v/>
      </c>
      <c r="AC311" s="88" t="str">
        <f aca="false">IF(ISBLANK($C311),"",IF(ISNUMBER(K311),IF(K311&gt;=0,K311,""),""))</f>
        <v/>
      </c>
      <c r="AD311" s="89" t="str">
        <f aca="false">IF(ISBLANK($C311),"",IF(ISNUMBER(L311),IF(L311&gt;=0,L311,""),""))</f>
        <v/>
      </c>
      <c r="AE311" s="87" t="str">
        <f aca="false">IF(ISBLANK($C311),"",IF(ISNUMBER(M311),IF(M311&gt;=0,MIN(M311,Constants!$B$22),""),""))</f>
        <v/>
      </c>
      <c r="AF311" s="87" t="str">
        <f aca="false">IF(ISBLANK($C311),"",IF(N311=Constants!$B$2,TRUE(),IF(N311=Constants!$B$3,FALSE(),TRUE())))</f>
        <v/>
      </c>
      <c r="AG311" s="87" t="str">
        <f aca="false">IF(ISBLANK($C311),"",IF(O311=Constants!$B$2,TRUE(),IF(O311=Constants!$B$3,FALSE(),TRUE())))</f>
        <v/>
      </c>
      <c r="AH311" s="87" t="str">
        <f aca="false">IF(ISBLANK($C311),"",IF(P311=Constants!$B$4,TRUE(),IF(P311=Constants!$B$5,FALSE(),COUNTA(Q311:S311)&gt;0)))</f>
        <v/>
      </c>
      <c r="AI311" s="88" t="str">
        <f aca="false">IF(ISBLANK($C311),"",IF(ISNUMBER(Q311),IF(Q311&gt;=0,Q311,""),""))</f>
        <v/>
      </c>
      <c r="AJ311" s="89" t="str">
        <f aca="false">IF(ISBLANK($C311),"",IF(ISNUMBER(R311),IF(R311&gt;=0,R311,""),""))</f>
        <v/>
      </c>
      <c r="AK311" s="87" t="str">
        <f aca="false">IF(ISBLANK($C311),"",IF(ISNUMBER(S311),IF(S311&gt;=0,MIN(S311,Constants!$B$22),""),""))</f>
        <v/>
      </c>
      <c r="AL311" s="87" t="str">
        <f aca="false">IF(ISBLANK($C311),"",IF(T311=Constants!$B$2,TRUE(),IF(T311=Constants!$B$3,FALSE(),FALSE())))</f>
        <v/>
      </c>
      <c r="AM311" s="86" t="str">
        <f aca="false">IF(ISBLANK($C311),"",AND($AB311,OR($AC311="",$AD311="",AND(NOT(ISBLANK($M311)),$AE311=""))))</f>
        <v/>
      </c>
      <c r="AN311" s="89" t="str">
        <f aca="false">IF($BD311&lt;&gt;Constants!$B$6,"",IF($AB311,Constants!$B$17*$AD311,Constants!$B$18))</f>
        <v/>
      </c>
      <c r="AO311" s="91" t="str">
        <f aca="false">IF($BD311&lt;&gt;Constants!$B$6,"",Constants!$B$19*IF($AB311,$AC311,0))</f>
        <v/>
      </c>
      <c r="AP311" s="91" t="str">
        <f aca="false">IF($BD311&lt;&gt;Constants!$B$6,"",IF(AND($AB311,ISNUMBER($AE311)),Constants!$B$20*(Constants!$B$21-$AE311),0))</f>
        <v/>
      </c>
      <c r="AQ311" s="91" t="str">
        <f aca="false">IF($BD311&lt;&gt;Constants!$B$6,"",IF($AA311,0,Constants!$B$12)+IF($Z311,0,Constants!$B$13)+IF($Y311,0,Constants!$B$14))</f>
        <v/>
      </c>
      <c r="AR311" s="92" t="str">
        <f aca="false">IF($BD311&lt;&gt;Constants!$B$6,"",Constants!$B$16+SUM($AN311:$AQ311))</f>
        <v/>
      </c>
      <c r="AS311" s="91" t="str">
        <f aca="false">IF($BD311&lt;&gt;Constants!$B$6,"",IF($AB311,$AD311,""))</f>
        <v/>
      </c>
      <c r="AT311" s="93" t="str">
        <f aca="false">IF($BD311&lt;&gt;Constants!$B$6,"",$AO311)</f>
        <v/>
      </c>
      <c r="AU311" s="87" t="str">
        <f aca="false">IF($BD311&lt;&gt;Constants!$B$6,"",IF(OR($BA311&lt;$AR311,AND($BA311=$AR311,OR(AND(ISNUMBER($BB311),OR(NOT(ISNUMBER($AS311)),$BB311&lt;$AS311)),AND(OR(AND($BB311="",$AS311=""),AND(ISNUMBER($BB311),ISNUMBER($AS311),$BB311=$AS311)),$BC311&lt;$AT311)))),"-&gt;","&lt;-"))</f>
        <v/>
      </c>
      <c r="AV311" s="86" t="str">
        <f aca="false">IF(ISBLANK($C311),"",AND($AH311,OR($AI311="",$AJ311="",AND(NOT(ISBLANK($S311)),$AK311=""))))</f>
        <v/>
      </c>
      <c r="AW311" s="89" t="str">
        <f aca="false">IF($BD311&lt;&gt;Constants!$B$6,"",IF($AH311,Constants!$B$17*$AJ311,Constants!$B$18))</f>
        <v/>
      </c>
      <c r="AX311" s="91" t="str">
        <f aca="false">IF($BD311&lt;&gt;Constants!$B$6,"",Constants!$B$19*IF($AH311,$AI311,0))</f>
        <v/>
      </c>
      <c r="AY311" s="91" t="str">
        <f aca="false">IF($BD311&lt;&gt;Constants!$B$6,"",IF(AND($AH311,ISNUMBER($AK311)),Constants!$B$20*(Constants!$B$21-$AK311),0))</f>
        <v/>
      </c>
      <c r="AZ311" s="91" t="str">
        <f aca="false">IF($BD311&lt;&gt;Constants!$B$6,"",IF($AG311,0,Constants!$B$12)+IF($AF311,0,Constants!$B$13)+IF($Y311,0,Constants!$B$14))</f>
        <v/>
      </c>
      <c r="BA311" s="92" t="str">
        <f aca="false">IF($BD311&lt;&gt;Constants!$B$6,"",Constants!$B$16+SUM($AW311:$AZ311))</f>
        <v/>
      </c>
      <c r="BB311" s="91" t="str">
        <f aca="false">IF($BD311&lt;&gt;Constants!$B$6,"",IF($AH311,$AJ311,""))</f>
        <v/>
      </c>
      <c r="BC311" s="93" t="str">
        <f aca="false">IF($BD311&lt;&gt;Constants!$B$6,"",$AX311)</f>
        <v/>
      </c>
      <c r="BD311" s="87" t="str">
        <f aca="false">IF(ISBLANK($C311),"",IF($AL311,Constants!$B$9,IF(COUNTA($E311:$T311)=0,Constants!$B$8,IF(NOT($X311),Constants!$B$7,IF(OR($AM311,$AV311),Constants!$B$10,Constants!$B$6)))))</f>
        <v/>
      </c>
      <c r="BE311" s="87" t="str">
        <f aca="false">IF(ISBLANK($C311),"",IF($BD311&lt;&gt;Constants!$B$6,$BD311,Constants!$B$11))</f>
        <v/>
      </c>
      <c r="BF311" s="91" t="str">
        <f aca="false">IF($BD311&lt;&gt;Constants!$B$6,"",IF($AU311="-&gt;",$BA311,$AR311))</f>
        <v/>
      </c>
      <c r="BG311" s="91" t="str">
        <f aca="false">IF($BD311&lt;&gt;Constants!$B$6,"",IF($W311,0,Constants!$B$15))</f>
        <v/>
      </c>
      <c r="BH311" s="91" t="str">
        <f aca="false">IF(ISBLANK($C311),"",IF($BD311&lt;&gt;Constants!$B$6,$BD311,SUM($BF311:$BG311)))</f>
        <v/>
      </c>
      <c r="BI311" s="87" t="str">
        <f aca="false">IF(ISBLANK($C311),"",IF($BD311&lt;&gt;Constants!$B$6,$BD311,RANK($BH311,$BH$9:$BH$508,1)))</f>
        <v/>
      </c>
      <c r="BJ311" s="91" t="str">
        <f aca="false">IF($BD311&lt;&gt;Constants!$B$6,"",IF($AU311="-&gt;",$BB311,$AS311))</f>
        <v/>
      </c>
      <c r="BK311" s="87" t="str">
        <f aca="false">IF(ISBLANK($C311),"",IF($BD311&lt;&gt;Constants!$B$6,$BD311,IF(ISNUMBER($BJ311),RANK($BJ311,$BJ$9:$BJ$508,1),COUNT($BJ$9:$BJ$508)+1)))</f>
        <v/>
      </c>
      <c r="BL311" s="91" t="str">
        <f aca="false">IF($BD311&lt;&gt;Constants!$B$6,"",IF($AU311="-&gt;",$BC311,$AT311))</f>
        <v/>
      </c>
      <c r="BM311" s="87" t="str">
        <f aca="false">IF(ISBLANK($C311),"",IF($BD311&lt;&gt;Constants!$B$6,$BD311,IF(ISNUMBER($BL311),RANK($BL311,$BL$9:$BL$508,1),COUNT($BL$9:$BL$508)+1)))</f>
        <v/>
      </c>
      <c r="BN311" s="91" t="str">
        <f aca="false">IF($BD311&lt;&gt;Constants!$B$6,"",IF($AU311="-&gt;",$AS311,$BB311))</f>
        <v/>
      </c>
      <c r="BO311" s="87" t="str">
        <f aca="false">IF(ISBLANK($C311),"",IF($BD311&lt;&gt;Constants!$B$6,$BD311,IF(ISNUMBER($BN311),RANK($BN311,$BN$9:$BN$508,1),COUNT($BN$9:$BN$508)+1)))</f>
        <v/>
      </c>
      <c r="BP311" s="91" t="str">
        <f aca="false">IF($BD311&lt;&gt;Constants!$B$6,"",IF($AU311="-&gt;",$AT311,$BC311))</f>
        <v/>
      </c>
      <c r="BQ311" s="87" t="str">
        <f aca="false">IF(ISBLANK($C311),"",IF($BD311&lt;&gt;Constants!$B$6,$BD311,IF(ISNUMBER($BP311),RANK($BP311,$BP$9:$BP$508,1),COUNT($BP$9:$BP$508)+1)))</f>
        <v/>
      </c>
      <c r="BR311" s="87" t="str">
        <f aca="false">IF(ISBLANK($C311),"",IF($BD311&lt;&gt;Constants!$B$6,$BD311,COUNTIFS($BI$9:$BI$508,"&lt;"&amp;$BI311)+COUNTIFS($BI$9:$BI$508,$BI311,$BK$9:$BK$508,"&lt;"&amp;$BK311)+COUNTIFS($BI$9:$BI$508,$BI311,$BK$9:$BK$508,$BK311,$BM$9:$BM$508,"&lt;"&amp;$BM311)+COUNTIFS($BI$9:$BI$508,$BI311,$BK$9:$BK$508,$BK311,$BM$9:$BM$508,$BM311,$BO$9:$BO$508,"&lt;"&amp;$BO311)+COUNTIFS($BI$9:$BI$508,$BI311,$BK$9:$BK$508,$BK311,$BM$9:$BM$508,$BM311,$BO$9:$BO$508,$BO311,$BQ$9:$BQ$508,"&lt;"&amp;$BQ311)+1))</f>
        <v/>
      </c>
      <c r="BS311" s="87" t="str">
        <f aca="false">IF(ISBLANK($C311),"",IF($BD311&lt;&gt;Constants!$B$6,$BD311,$BI311-$BR311))</f>
        <v/>
      </c>
      <c r="BT311" s="94"/>
      <c r="BU311" s="95"/>
      <c r="BV311" s="95" t="str">
        <f aca="false">IF(ISBLANK($C311),"",IF($BD311&lt;&gt;Constants!$B$6,"",IF($AU311="-&gt;",2,1)))</f>
        <v/>
      </c>
      <c r="BW311" s="96" t="str">
        <f aca="false">IF(ISBLANK($C311),"",IF($BD311&lt;&gt;Constants!$B$6,"",IF($AU311="-&gt;",$AW311,$AN311)))</f>
        <v/>
      </c>
      <c r="BX311" s="96" t="str">
        <f aca="false">IF(ISBLANK($C311),"",IF($BD311&lt;&gt;Constants!$B$6,"",IF($AU311="-&gt;",$AX311,$AO311)))</f>
        <v/>
      </c>
      <c r="BY311" s="96" t="str">
        <f aca="false">IF(ISBLANK($C311),"",IF($BD311&lt;&gt;Constants!$B$6,"",IF($AU311="-&gt;",$AY311,$AP311)))</f>
        <v/>
      </c>
      <c r="BZ311" s="96" t="str">
        <f aca="false">IF(ISBLANK($C311),"",IF($BD311&lt;&gt;Constants!$B$6,"",IF($AU311="-&gt;",$AZ311,$AQ311)+$BG311))</f>
        <v/>
      </c>
      <c r="CA311" s="97" t="str">
        <f aca="false">IF(ISBLANK($C311),"",IF($BD311&lt;&gt;Constants!$B$6,$BD311,$BH311))</f>
        <v/>
      </c>
      <c r="CB311" s="98" t="str">
        <f aca="false">IF(ISBLANK($C311),"",$BE311)</f>
        <v/>
      </c>
      <c r="CC311" s="99" t="str">
        <f aca="false">IF(ISBLANK($C311),"",$BS311)</f>
        <v/>
      </c>
      <c r="CD311" s="99" t="str">
        <f aca="false">IF(ISBLANK($C311),"",$BR311)</f>
        <v/>
      </c>
      <c r="CE311" s="100" t="str">
        <f aca="false">IF(ISBLANK($C311),"",IF($CD311=Constants!$B$9,COUNTA($C$9:$C$508)+2,IF($CD311=Constants!$B$8,COUNTA($C$9:$C$508)+1,IF($CD311=Constants!$B$7,COUNTA($C$9:$C$508),$CD311))))</f>
        <v/>
      </c>
      <c r="CF311" s="9"/>
      <c r="CG311" s="101" t="n">
        <f aca="false">IF(OR(ISNUMBER($CD311),$CD311=Constants!$B$9,$CD311=Constants!$B$7,$CD311=Constants!$B$8),1,0)</f>
        <v>0</v>
      </c>
      <c r="CH311" s="101" t="n">
        <v>303</v>
      </c>
      <c r="CI311" s="101" t="str">
        <f aca="false">IF(ISBLANK($C311),"",IF(ISNUMBER($CE311),$CE311+ROW($B311)/1000,""))</f>
        <v/>
      </c>
      <c r="CJ311" s="101" t="str">
        <f aca="false">IF(ISNUMBER($CI311),RANK($CI311,$CI$9:$CI$508,1),"")</f>
        <v/>
      </c>
      <c r="CK311" s="101" t="str">
        <f aca="false">IF(ISBLANK($C311),"",$B311)</f>
        <v/>
      </c>
      <c r="CL311" s="101" t="str">
        <f aca="false">IF(ISBLANK($C311),"",$C311)</f>
        <v/>
      </c>
      <c r="CM311" s="101" t="str">
        <f aca="false">IF(ISBLANK($C311),"",$D311)</f>
        <v/>
      </c>
      <c r="CN311" s="102" t="str">
        <f aca="false">$CB311</f>
        <v/>
      </c>
      <c r="CO311" s="103" t="str">
        <f aca="false">$CA311</f>
        <v/>
      </c>
      <c r="CP311" s="101" t="str">
        <f aca="false">IF(ISBLANK($C311),"",$CD311)</f>
        <v/>
      </c>
      <c r="CQ311" s="104" t="str">
        <f aca="false">IF($CH311&gt;$CG$8,"",VLOOKUP($CH311,$CJ$9:$CP$508,7,FALSE()))</f>
        <v/>
      </c>
      <c r="CR311" s="105" t="str">
        <f aca="false">IF($CH311&gt;$CG$8,"",VLOOKUP($CH311,$CJ$9:$CP$508,2,FALSE()))</f>
        <v/>
      </c>
      <c r="CS311" s="105" t="str">
        <f aca="false">IF($CH311&gt;$CG$8,"",VLOOKUP($CH311,$CJ$9:$CP$508,3,FALSE()))</f>
        <v/>
      </c>
      <c r="CT311" s="105" t="str">
        <f aca="false">IF($CH311&gt;$CG$8,"",VLOOKUP($CH311,$CJ$9:$CP$508,4,FALSE()))</f>
        <v/>
      </c>
      <c r="CU311" s="105" t="str">
        <f aca="false">IF($CH311&gt;$CG$8,"",VLOOKUP($CH311,$CJ$9:$CP$508,5,FALSE()))</f>
        <v/>
      </c>
      <c r="CV311" s="106" t="str">
        <f aca="false">IF($CH311&gt;$CG$8,"",VLOOKUP($CH311,$CJ$9:$CP$508,6,FALSE()))</f>
        <v/>
      </c>
      <c r="CW311" s="71"/>
    </row>
    <row r="312" customFormat="false" ht="15.75" hidden="false" customHeight="false" outlineLevel="0" collapsed="false">
      <c r="A312" s="9"/>
      <c r="B312" s="150"/>
      <c r="C312" s="151"/>
      <c r="D312" s="152"/>
      <c r="E312" s="170"/>
      <c r="F312" s="154"/>
      <c r="G312" s="155"/>
      <c r="H312" s="171"/>
      <c r="I312" s="159"/>
      <c r="J312" s="120"/>
      <c r="K312" s="121"/>
      <c r="L312" s="122"/>
      <c r="M312" s="158"/>
      <c r="N312" s="159"/>
      <c r="O312" s="159"/>
      <c r="P312" s="120"/>
      <c r="Q312" s="122"/>
      <c r="R312" s="122"/>
      <c r="S312" s="158"/>
      <c r="T312" s="159"/>
      <c r="U312" s="126"/>
      <c r="V312" s="127"/>
      <c r="W312" s="127" t="str">
        <f aca="false">IF(ISBLANK($C312),"",IF(E312=Constants!$B$2,TRUE(),IF(E312=Constants!$B$3,FALSE(),TRUE())))</f>
        <v/>
      </c>
      <c r="X312" s="127" t="str">
        <f aca="false">IF(ISBLANK($C312),"",IF(F312=Constants!$B$2,TRUE(),IF(F312=Constants!$B$3,FALSE(),TRUE())))</f>
        <v/>
      </c>
      <c r="Y312" s="127" t="str">
        <f aca="false">IF(ISBLANK($C312),"",IF(G312=Constants!$B$2,TRUE(),IF(G312=Constants!$B$3,FALSE(),TRUE())))</f>
        <v/>
      </c>
      <c r="Z312" s="127" t="str">
        <f aca="false">IF(ISBLANK($C312),"",IF(H312=Constants!$B$2,TRUE(),IF(H312=Constants!$B$3,FALSE(),TRUE())))</f>
        <v/>
      </c>
      <c r="AA312" s="127" t="str">
        <f aca="false">IF(ISBLANK($C312),"",IF(I312=Constants!$B$2,TRUE(),IF(I312=Constants!$B$3,FALSE(),TRUE())))</f>
        <v/>
      </c>
      <c r="AB312" s="127" t="str">
        <f aca="false">IF(ISBLANK($C312),"",IF(J312=Constants!$B$4,TRUE(),IF(J312=Constants!$B$5,FALSE(),COUNTA(K312:M312)&gt;0)))</f>
        <v/>
      </c>
      <c r="AC312" s="128" t="str">
        <f aca="false">IF(ISBLANK($C312),"",IF(ISNUMBER(K312),IF(K312&gt;=0,K312,""),""))</f>
        <v/>
      </c>
      <c r="AD312" s="129" t="str">
        <f aca="false">IF(ISBLANK($C312),"",IF(ISNUMBER(L312),IF(L312&gt;=0,L312,""),""))</f>
        <v/>
      </c>
      <c r="AE312" s="127" t="str">
        <f aca="false">IF(ISBLANK($C312),"",IF(ISNUMBER(M312),IF(M312&gt;=0,MIN(M312,Constants!$B$22),""),""))</f>
        <v/>
      </c>
      <c r="AF312" s="127" t="str">
        <f aca="false">IF(ISBLANK($C312),"",IF(N312=Constants!$B$2,TRUE(),IF(N312=Constants!$B$3,FALSE(),TRUE())))</f>
        <v/>
      </c>
      <c r="AG312" s="127" t="str">
        <f aca="false">IF(ISBLANK($C312),"",IF(O312=Constants!$B$2,TRUE(),IF(O312=Constants!$B$3,FALSE(),TRUE())))</f>
        <v/>
      </c>
      <c r="AH312" s="127" t="str">
        <f aca="false">IF(ISBLANK($C312),"",IF(P312=Constants!$B$4,TRUE(),IF(P312=Constants!$B$5,FALSE(),COUNTA(Q312:S312)&gt;0)))</f>
        <v/>
      </c>
      <c r="AI312" s="128" t="str">
        <f aca="false">IF(ISBLANK($C312),"",IF(ISNUMBER(Q312),IF(Q312&gt;=0,Q312,""),""))</f>
        <v/>
      </c>
      <c r="AJ312" s="129" t="str">
        <f aca="false">IF(ISBLANK($C312),"",IF(ISNUMBER(R312),IF(R312&gt;=0,R312,""),""))</f>
        <v/>
      </c>
      <c r="AK312" s="127" t="str">
        <f aca="false">IF(ISBLANK($C312),"",IF(ISNUMBER(S312),IF(S312&gt;=0,MIN(S312,Constants!$B$22),""),""))</f>
        <v/>
      </c>
      <c r="AL312" s="127" t="str">
        <f aca="false">IF(ISBLANK($C312),"",IF(T312=Constants!$B$2,TRUE(),IF(T312=Constants!$B$3,FALSE(),FALSE())))</f>
        <v/>
      </c>
      <c r="AM312" s="126" t="str">
        <f aca="false">IF(ISBLANK($C312),"",AND($AB312,OR($AC312="",$AD312="",AND(NOT(ISBLANK($M312)),$AE312=""))))</f>
        <v/>
      </c>
      <c r="AN312" s="129" t="str">
        <f aca="false">IF($BD312&lt;&gt;Constants!$B$6,"",IF($AB312,Constants!$B$17*$AD312,Constants!$B$18))</f>
        <v/>
      </c>
      <c r="AO312" s="130" t="str">
        <f aca="false">IF($BD312&lt;&gt;Constants!$B$6,"",Constants!$B$19*IF($AB312,$AC312,0))</f>
        <v/>
      </c>
      <c r="AP312" s="130" t="str">
        <f aca="false">IF($BD312&lt;&gt;Constants!$B$6,"",IF(AND($AB312,ISNUMBER($AE312)),Constants!$B$20*(Constants!$B$21-$AE312),0))</f>
        <v/>
      </c>
      <c r="AQ312" s="130" t="str">
        <f aca="false">IF($BD312&lt;&gt;Constants!$B$6,"",IF($AA312,0,Constants!$B$12)+IF($Z312,0,Constants!$B$13)+IF($Y312,0,Constants!$B$14))</f>
        <v/>
      </c>
      <c r="AR312" s="131" t="str">
        <f aca="false">IF($BD312&lt;&gt;Constants!$B$6,"",Constants!$B$16+SUM($AN312:$AQ312))</f>
        <v/>
      </c>
      <c r="AS312" s="130" t="str">
        <f aca="false">IF($BD312&lt;&gt;Constants!$B$6,"",IF($AB312,$AD312,""))</f>
        <v/>
      </c>
      <c r="AT312" s="132" t="str">
        <f aca="false">IF($BD312&lt;&gt;Constants!$B$6,"",$AO312)</f>
        <v/>
      </c>
      <c r="AU312" s="127" t="str">
        <f aca="false">IF($BD312&lt;&gt;Constants!$B$6,"",IF(OR($BA312&lt;$AR312,AND($BA312=$AR312,OR(AND(ISNUMBER($BB312),OR(NOT(ISNUMBER($AS312)),$BB312&lt;$AS312)),AND(OR(AND($BB312="",$AS312=""),AND(ISNUMBER($BB312),ISNUMBER($AS312),$BB312=$AS312)),$BC312&lt;$AT312)))),"-&gt;","&lt;-"))</f>
        <v/>
      </c>
      <c r="AV312" s="126" t="str">
        <f aca="false">IF(ISBLANK($C312),"",AND($AH312,OR($AI312="",$AJ312="",AND(NOT(ISBLANK($S312)),$AK312=""))))</f>
        <v/>
      </c>
      <c r="AW312" s="129" t="str">
        <f aca="false">IF($BD312&lt;&gt;Constants!$B$6,"",IF($AH312,Constants!$B$17*$AJ312,Constants!$B$18))</f>
        <v/>
      </c>
      <c r="AX312" s="130" t="str">
        <f aca="false">IF($BD312&lt;&gt;Constants!$B$6,"",Constants!$B$19*IF($AH312,$AI312,0))</f>
        <v/>
      </c>
      <c r="AY312" s="130" t="str">
        <f aca="false">IF($BD312&lt;&gt;Constants!$B$6,"",IF(AND($AH312,ISNUMBER($AK312)),Constants!$B$20*(Constants!$B$21-$AK312),0))</f>
        <v/>
      </c>
      <c r="AZ312" s="130" t="str">
        <f aca="false">IF($BD312&lt;&gt;Constants!$B$6,"",IF($AG312,0,Constants!$B$12)+IF($AF312,0,Constants!$B$13)+IF($Y312,0,Constants!$B$14))</f>
        <v/>
      </c>
      <c r="BA312" s="131" t="str">
        <f aca="false">IF($BD312&lt;&gt;Constants!$B$6,"",Constants!$B$16+SUM($AW312:$AZ312))</f>
        <v/>
      </c>
      <c r="BB312" s="130" t="str">
        <f aca="false">IF($BD312&lt;&gt;Constants!$B$6,"",IF($AH312,$AJ312,""))</f>
        <v/>
      </c>
      <c r="BC312" s="132" t="str">
        <f aca="false">IF($BD312&lt;&gt;Constants!$B$6,"",$AX312)</f>
        <v/>
      </c>
      <c r="BD312" s="127" t="str">
        <f aca="false">IF(ISBLANK($C312),"",IF($AL312,Constants!$B$9,IF(COUNTA($E312:$T312)=0,Constants!$B$8,IF(NOT($X312),Constants!$B$7,IF(OR($AM312,$AV312),Constants!$B$10,Constants!$B$6)))))</f>
        <v/>
      </c>
      <c r="BE312" s="127" t="str">
        <f aca="false">IF(ISBLANK($C312),"",IF($BD312&lt;&gt;Constants!$B$6,$BD312,Constants!$B$11))</f>
        <v/>
      </c>
      <c r="BF312" s="130" t="str">
        <f aca="false">IF($BD312&lt;&gt;Constants!$B$6,"",IF($AU312="-&gt;",$BA312,$AR312))</f>
        <v/>
      </c>
      <c r="BG312" s="130" t="str">
        <f aca="false">IF($BD312&lt;&gt;Constants!$B$6,"",IF($W312,0,Constants!$B$15))</f>
        <v/>
      </c>
      <c r="BH312" s="130" t="str">
        <f aca="false">IF(ISBLANK($C312),"",IF($BD312&lt;&gt;Constants!$B$6,$BD312,SUM($BF312:$BG312)))</f>
        <v/>
      </c>
      <c r="BI312" s="127" t="str">
        <f aca="false">IF(ISBLANK($C312),"",IF($BD312&lt;&gt;Constants!$B$6,$BD312,RANK($BH312,$BH$9:$BH$508,1)))</f>
        <v/>
      </c>
      <c r="BJ312" s="130" t="str">
        <f aca="false">IF($BD312&lt;&gt;Constants!$B$6,"",IF($AU312="-&gt;",$BB312,$AS312))</f>
        <v/>
      </c>
      <c r="BK312" s="127" t="str">
        <f aca="false">IF(ISBLANK($C312),"",IF($BD312&lt;&gt;Constants!$B$6,$BD312,IF(ISNUMBER($BJ312),RANK($BJ312,$BJ$9:$BJ$508,1),COUNT($BJ$9:$BJ$508)+1)))</f>
        <v/>
      </c>
      <c r="BL312" s="130" t="str">
        <f aca="false">IF($BD312&lt;&gt;Constants!$B$6,"",IF($AU312="-&gt;",$BC312,$AT312))</f>
        <v/>
      </c>
      <c r="BM312" s="127" t="str">
        <f aca="false">IF(ISBLANK($C312),"",IF($BD312&lt;&gt;Constants!$B$6,$BD312,IF(ISNUMBER($BL312),RANK($BL312,$BL$9:$BL$508,1),COUNT($BL$9:$BL$508)+1)))</f>
        <v/>
      </c>
      <c r="BN312" s="130" t="str">
        <f aca="false">IF($BD312&lt;&gt;Constants!$B$6,"",IF($AU312="-&gt;",$AS312,$BB312))</f>
        <v/>
      </c>
      <c r="BO312" s="127" t="str">
        <f aca="false">IF(ISBLANK($C312),"",IF($BD312&lt;&gt;Constants!$B$6,$BD312,IF(ISNUMBER($BN312),RANK($BN312,$BN$9:$BN$508,1),COUNT($BN$9:$BN$508)+1)))</f>
        <v/>
      </c>
      <c r="BP312" s="130" t="str">
        <f aca="false">IF($BD312&lt;&gt;Constants!$B$6,"",IF($AU312="-&gt;",$AT312,$BC312))</f>
        <v/>
      </c>
      <c r="BQ312" s="127" t="str">
        <f aca="false">IF(ISBLANK($C312),"",IF($BD312&lt;&gt;Constants!$B$6,$BD312,IF(ISNUMBER($BP312),RANK($BP312,$BP$9:$BP$508,1),COUNT($BP$9:$BP$508)+1)))</f>
        <v/>
      </c>
      <c r="BR312" s="127" t="str">
        <f aca="false">IF(ISBLANK($C312),"",IF($BD312&lt;&gt;Constants!$B$6,$BD312,COUNTIFS($BI$9:$BI$508,"&lt;"&amp;$BI312)+COUNTIFS($BI$9:$BI$508,$BI312,$BK$9:$BK$508,"&lt;"&amp;$BK312)+COUNTIFS($BI$9:$BI$508,$BI312,$BK$9:$BK$508,$BK312,$BM$9:$BM$508,"&lt;"&amp;$BM312)+COUNTIFS($BI$9:$BI$508,$BI312,$BK$9:$BK$508,$BK312,$BM$9:$BM$508,$BM312,$BO$9:$BO$508,"&lt;"&amp;$BO312)+COUNTIFS($BI$9:$BI$508,$BI312,$BK$9:$BK$508,$BK312,$BM$9:$BM$508,$BM312,$BO$9:$BO$508,$BO312,$BQ$9:$BQ$508,"&lt;"&amp;$BQ312)+1))</f>
        <v/>
      </c>
      <c r="BS312" s="127" t="str">
        <f aca="false">IF(ISBLANK($C312),"",IF($BD312&lt;&gt;Constants!$B$6,$BD312,$BI312-$BR312))</f>
        <v/>
      </c>
      <c r="BT312" s="133"/>
      <c r="BU312" s="134"/>
      <c r="BV312" s="134" t="str">
        <f aca="false">IF(ISBLANK($C312),"",IF($BD312&lt;&gt;Constants!$B$6,"",IF($AU312="-&gt;",2,1)))</f>
        <v/>
      </c>
      <c r="BW312" s="135" t="str">
        <f aca="false">IF(ISBLANK($C312),"",IF($BD312&lt;&gt;Constants!$B$6,"",IF($AU312="-&gt;",$AW312,$AN312)))</f>
        <v/>
      </c>
      <c r="BX312" s="135" t="str">
        <f aca="false">IF(ISBLANK($C312),"",IF($BD312&lt;&gt;Constants!$B$6,"",IF($AU312="-&gt;",$AX312,$AO312)))</f>
        <v/>
      </c>
      <c r="BY312" s="135" t="str">
        <f aca="false">IF(ISBLANK($C312),"",IF($BD312&lt;&gt;Constants!$B$6,"",IF($AU312="-&gt;",$AY312,$AP312)))</f>
        <v/>
      </c>
      <c r="BZ312" s="135" t="str">
        <f aca="false">IF(ISBLANK($C312),"",IF($BD312&lt;&gt;Constants!$B$6,"",IF($AU312="-&gt;",$AZ312,$AQ312)+$BG312))</f>
        <v/>
      </c>
      <c r="CA312" s="136" t="str">
        <f aca="false">IF(ISBLANK($C312),"",IF($BD312&lt;&gt;Constants!$B$6,$BD312,$BH312))</f>
        <v/>
      </c>
      <c r="CB312" s="137" t="str">
        <f aca="false">IF(ISBLANK($C312),"",$BE312)</f>
        <v/>
      </c>
      <c r="CC312" s="138" t="str">
        <f aca="false">IF(ISBLANK($C312),"",$BS312)</f>
        <v/>
      </c>
      <c r="CD312" s="138" t="str">
        <f aca="false">IF(ISBLANK($C312),"",$BR312)</f>
        <v/>
      </c>
      <c r="CE312" s="139" t="str">
        <f aca="false">IF(ISBLANK($C312),"",IF($CD312=Constants!$B$9,COUNTA($C$9:$C$508)+2,IF($CD312=Constants!$B$8,COUNTA($C$9:$C$508)+1,IF($CD312=Constants!$B$7,COUNTA($C$9:$C$508),$CD312))))</f>
        <v/>
      </c>
      <c r="CF312" s="9"/>
      <c r="CG312" s="140" t="n">
        <f aca="false">IF(OR(ISNUMBER($CD312),$CD312=Constants!$B$9,$CD312=Constants!$B$7,$CD312=Constants!$B$8),1,0)</f>
        <v>0</v>
      </c>
      <c r="CH312" s="140" t="n">
        <v>304</v>
      </c>
      <c r="CI312" s="140" t="str">
        <f aca="false">IF(ISBLANK($C312),"",IF(ISNUMBER($CE312),$CE312+ROW($B312)/1000,""))</f>
        <v/>
      </c>
      <c r="CJ312" s="140" t="str">
        <f aca="false">IF(ISNUMBER($CI312),RANK($CI312,$CI$9:$CI$508,1),"")</f>
        <v/>
      </c>
      <c r="CK312" s="140" t="str">
        <f aca="false">IF(ISBLANK($C312),"",$B312)</f>
        <v/>
      </c>
      <c r="CL312" s="140" t="str">
        <f aca="false">IF(ISBLANK($C312),"",$C312)</f>
        <v/>
      </c>
      <c r="CM312" s="140" t="str">
        <f aca="false">IF(ISBLANK($C312),"",$D312)</f>
        <v/>
      </c>
      <c r="CN312" s="141" t="str">
        <f aca="false">$CB312</f>
        <v/>
      </c>
      <c r="CO312" s="142" t="str">
        <f aca="false">$CA312</f>
        <v/>
      </c>
      <c r="CP312" s="140" t="str">
        <f aca="false">IF(ISBLANK($C312),"",$CD312)</f>
        <v/>
      </c>
      <c r="CQ312" s="143" t="str">
        <f aca="false">IF($CH312&gt;$CG$8,"",VLOOKUP($CH312,$CJ$9:$CP$508,7,FALSE()))</f>
        <v/>
      </c>
      <c r="CR312" s="144" t="str">
        <f aca="false">IF($CH312&gt;$CG$8,"",VLOOKUP($CH312,$CJ$9:$CP$508,2,FALSE()))</f>
        <v/>
      </c>
      <c r="CS312" s="144" t="str">
        <f aca="false">IF($CH312&gt;$CG$8,"",VLOOKUP($CH312,$CJ$9:$CP$508,3,FALSE()))</f>
        <v/>
      </c>
      <c r="CT312" s="144" t="str">
        <f aca="false">IF($CH312&gt;$CG$8,"",VLOOKUP($CH312,$CJ$9:$CP$508,4,FALSE()))</f>
        <v/>
      </c>
      <c r="CU312" s="144" t="str">
        <f aca="false">IF($CH312&gt;$CG$8,"",VLOOKUP($CH312,$CJ$9:$CP$508,5,FALSE()))</f>
        <v/>
      </c>
      <c r="CV312" s="145" t="str">
        <f aca="false">IF($CH312&gt;$CG$8,"",VLOOKUP($CH312,$CJ$9:$CP$508,6,FALSE()))</f>
        <v/>
      </c>
      <c r="CW312" s="71"/>
    </row>
    <row r="313" customFormat="false" ht="15.75" hidden="false" customHeight="false" outlineLevel="0" collapsed="false">
      <c r="A313" s="9"/>
      <c r="B313" s="150"/>
      <c r="C313" s="151"/>
      <c r="D313" s="152"/>
      <c r="E313" s="170"/>
      <c r="F313" s="154"/>
      <c r="G313" s="155"/>
      <c r="H313" s="171"/>
      <c r="I313" s="159"/>
      <c r="J313" s="120"/>
      <c r="K313" s="121"/>
      <c r="L313" s="122"/>
      <c r="M313" s="158"/>
      <c r="N313" s="159"/>
      <c r="O313" s="159"/>
      <c r="P313" s="120"/>
      <c r="Q313" s="122"/>
      <c r="R313" s="122"/>
      <c r="S313" s="158"/>
      <c r="T313" s="159"/>
      <c r="U313" s="126"/>
      <c r="V313" s="127"/>
      <c r="W313" s="127" t="str">
        <f aca="false">IF(ISBLANK($C313),"",IF(E313=Constants!$B$2,TRUE(),IF(E313=Constants!$B$3,FALSE(),TRUE())))</f>
        <v/>
      </c>
      <c r="X313" s="127" t="str">
        <f aca="false">IF(ISBLANK($C313),"",IF(F313=Constants!$B$2,TRUE(),IF(F313=Constants!$B$3,FALSE(),TRUE())))</f>
        <v/>
      </c>
      <c r="Y313" s="127" t="str">
        <f aca="false">IF(ISBLANK($C313),"",IF(G313=Constants!$B$2,TRUE(),IF(G313=Constants!$B$3,FALSE(),TRUE())))</f>
        <v/>
      </c>
      <c r="Z313" s="127" t="str">
        <f aca="false">IF(ISBLANK($C313),"",IF(H313=Constants!$B$2,TRUE(),IF(H313=Constants!$B$3,FALSE(),TRUE())))</f>
        <v/>
      </c>
      <c r="AA313" s="127" t="str">
        <f aca="false">IF(ISBLANK($C313),"",IF(I313=Constants!$B$2,TRUE(),IF(I313=Constants!$B$3,FALSE(),TRUE())))</f>
        <v/>
      </c>
      <c r="AB313" s="127" t="str">
        <f aca="false">IF(ISBLANK($C313),"",IF(J313=Constants!$B$4,TRUE(),IF(J313=Constants!$B$5,FALSE(),COUNTA(K313:M313)&gt;0)))</f>
        <v/>
      </c>
      <c r="AC313" s="128" t="str">
        <f aca="false">IF(ISBLANK($C313),"",IF(ISNUMBER(K313),IF(K313&gt;=0,K313,""),""))</f>
        <v/>
      </c>
      <c r="AD313" s="129" t="str">
        <f aca="false">IF(ISBLANK($C313),"",IF(ISNUMBER(L313),IF(L313&gt;=0,L313,""),""))</f>
        <v/>
      </c>
      <c r="AE313" s="127" t="str">
        <f aca="false">IF(ISBLANK($C313),"",IF(ISNUMBER(M313),IF(M313&gt;=0,MIN(M313,Constants!$B$22),""),""))</f>
        <v/>
      </c>
      <c r="AF313" s="127" t="str">
        <f aca="false">IF(ISBLANK($C313),"",IF(N313=Constants!$B$2,TRUE(),IF(N313=Constants!$B$3,FALSE(),TRUE())))</f>
        <v/>
      </c>
      <c r="AG313" s="127" t="str">
        <f aca="false">IF(ISBLANK($C313),"",IF(O313=Constants!$B$2,TRUE(),IF(O313=Constants!$B$3,FALSE(),TRUE())))</f>
        <v/>
      </c>
      <c r="AH313" s="127" t="str">
        <f aca="false">IF(ISBLANK($C313),"",IF(P313=Constants!$B$4,TRUE(),IF(P313=Constants!$B$5,FALSE(),COUNTA(Q313:S313)&gt;0)))</f>
        <v/>
      </c>
      <c r="AI313" s="128" t="str">
        <f aca="false">IF(ISBLANK($C313),"",IF(ISNUMBER(Q313),IF(Q313&gt;=0,Q313,""),""))</f>
        <v/>
      </c>
      <c r="AJ313" s="129" t="str">
        <f aca="false">IF(ISBLANK($C313),"",IF(ISNUMBER(R313),IF(R313&gt;=0,R313,""),""))</f>
        <v/>
      </c>
      <c r="AK313" s="127" t="str">
        <f aca="false">IF(ISBLANK($C313),"",IF(ISNUMBER(S313),IF(S313&gt;=0,MIN(S313,Constants!$B$22),""),""))</f>
        <v/>
      </c>
      <c r="AL313" s="127" t="str">
        <f aca="false">IF(ISBLANK($C313),"",IF(T313=Constants!$B$2,TRUE(),IF(T313=Constants!$B$3,FALSE(),FALSE())))</f>
        <v/>
      </c>
      <c r="AM313" s="126" t="str">
        <f aca="false">IF(ISBLANK($C313),"",AND($AB313,OR($AC313="",$AD313="",AND(NOT(ISBLANK($M313)),$AE313=""))))</f>
        <v/>
      </c>
      <c r="AN313" s="129" t="str">
        <f aca="false">IF($BD313&lt;&gt;Constants!$B$6,"",IF($AB313,Constants!$B$17*$AD313,Constants!$B$18))</f>
        <v/>
      </c>
      <c r="AO313" s="130" t="str">
        <f aca="false">IF($BD313&lt;&gt;Constants!$B$6,"",Constants!$B$19*IF($AB313,$AC313,0))</f>
        <v/>
      </c>
      <c r="AP313" s="130" t="str">
        <f aca="false">IF($BD313&lt;&gt;Constants!$B$6,"",IF(AND($AB313,ISNUMBER($AE313)),Constants!$B$20*(Constants!$B$21-$AE313),0))</f>
        <v/>
      </c>
      <c r="AQ313" s="130" t="str">
        <f aca="false">IF($BD313&lt;&gt;Constants!$B$6,"",IF($AA313,0,Constants!$B$12)+IF($Z313,0,Constants!$B$13)+IF($Y313,0,Constants!$B$14))</f>
        <v/>
      </c>
      <c r="AR313" s="131" t="str">
        <f aca="false">IF($BD313&lt;&gt;Constants!$B$6,"",Constants!$B$16+SUM($AN313:$AQ313))</f>
        <v/>
      </c>
      <c r="AS313" s="130" t="str">
        <f aca="false">IF($BD313&lt;&gt;Constants!$B$6,"",IF($AB313,$AD313,""))</f>
        <v/>
      </c>
      <c r="AT313" s="132" t="str">
        <f aca="false">IF($BD313&lt;&gt;Constants!$B$6,"",$AO313)</f>
        <v/>
      </c>
      <c r="AU313" s="127" t="str">
        <f aca="false">IF($BD313&lt;&gt;Constants!$B$6,"",IF(OR($BA313&lt;$AR313,AND($BA313=$AR313,OR(AND(ISNUMBER($BB313),OR(NOT(ISNUMBER($AS313)),$BB313&lt;$AS313)),AND(OR(AND($BB313="",$AS313=""),AND(ISNUMBER($BB313),ISNUMBER($AS313),$BB313=$AS313)),$BC313&lt;$AT313)))),"-&gt;","&lt;-"))</f>
        <v/>
      </c>
      <c r="AV313" s="126" t="str">
        <f aca="false">IF(ISBLANK($C313),"",AND($AH313,OR($AI313="",$AJ313="",AND(NOT(ISBLANK($S313)),$AK313=""))))</f>
        <v/>
      </c>
      <c r="AW313" s="129" t="str">
        <f aca="false">IF($BD313&lt;&gt;Constants!$B$6,"",IF($AH313,Constants!$B$17*$AJ313,Constants!$B$18))</f>
        <v/>
      </c>
      <c r="AX313" s="130" t="str">
        <f aca="false">IF($BD313&lt;&gt;Constants!$B$6,"",Constants!$B$19*IF($AH313,$AI313,0))</f>
        <v/>
      </c>
      <c r="AY313" s="130" t="str">
        <f aca="false">IF($BD313&lt;&gt;Constants!$B$6,"",IF(AND($AH313,ISNUMBER($AK313)),Constants!$B$20*(Constants!$B$21-$AK313),0))</f>
        <v/>
      </c>
      <c r="AZ313" s="130" t="str">
        <f aca="false">IF($BD313&lt;&gt;Constants!$B$6,"",IF($AG313,0,Constants!$B$12)+IF($AF313,0,Constants!$B$13)+IF($Y313,0,Constants!$B$14))</f>
        <v/>
      </c>
      <c r="BA313" s="131" t="str">
        <f aca="false">IF($BD313&lt;&gt;Constants!$B$6,"",Constants!$B$16+SUM($AW313:$AZ313))</f>
        <v/>
      </c>
      <c r="BB313" s="130" t="str">
        <f aca="false">IF($BD313&lt;&gt;Constants!$B$6,"",IF($AH313,$AJ313,""))</f>
        <v/>
      </c>
      <c r="BC313" s="132" t="str">
        <f aca="false">IF($BD313&lt;&gt;Constants!$B$6,"",$AX313)</f>
        <v/>
      </c>
      <c r="BD313" s="127" t="str">
        <f aca="false">IF(ISBLANK($C313),"",IF($AL313,Constants!$B$9,IF(COUNTA($E313:$T313)=0,Constants!$B$8,IF(NOT($X313),Constants!$B$7,IF(OR($AM313,$AV313),Constants!$B$10,Constants!$B$6)))))</f>
        <v/>
      </c>
      <c r="BE313" s="127" t="str">
        <f aca="false">IF(ISBLANK($C313),"",IF($BD313&lt;&gt;Constants!$B$6,$BD313,Constants!$B$11))</f>
        <v/>
      </c>
      <c r="BF313" s="130" t="str">
        <f aca="false">IF($BD313&lt;&gt;Constants!$B$6,"",IF($AU313="-&gt;",$BA313,$AR313))</f>
        <v/>
      </c>
      <c r="BG313" s="130" t="str">
        <f aca="false">IF($BD313&lt;&gt;Constants!$B$6,"",IF($W313,0,Constants!$B$15))</f>
        <v/>
      </c>
      <c r="BH313" s="130" t="str">
        <f aca="false">IF(ISBLANK($C313),"",IF($BD313&lt;&gt;Constants!$B$6,$BD313,SUM($BF313:$BG313)))</f>
        <v/>
      </c>
      <c r="BI313" s="127" t="str">
        <f aca="false">IF(ISBLANK($C313),"",IF($BD313&lt;&gt;Constants!$B$6,$BD313,RANK($BH313,$BH$9:$BH$508,1)))</f>
        <v/>
      </c>
      <c r="BJ313" s="130" t="str">
        <f aca="false">IF($BD313&lt;&gt;Constants!$B$6,"",IF($AU313="-&gt;",$BB313,$AS313))</f>
        <v/>
      </c>
      <c r="BK313" s="127" t="str">
        <f aca="false">IF(ISBLANK($C313),"",IF($BD313&lt;&gt;Constants!$B$6,$BD313,IF(ISNUMBER($BJ313),RANK($BJ313,$BJ$9:$BJ$508,1),COUNT($BJ$9:$BJ$508)+1)))</f>
        <v/>
      </c>
      <c r="BL313" s="130" t="str">
        <f aca="false">IF($BD313&lt;&gt;Constants!$B$6,"",IF($AU313="-&gt;",$BC313,$AT313))</f>
        <v/>
      </c>
      <c r="BM313" s="127" t="str">
        <f aca="false">IF(ISBLANK($C313),"",IF($BD313&lt;&gt;Constants!$B$6,$BD313,IF(ISNUMBER($BL313),RANK($BL313,$BL$9:$BL$508,1),COUNT($BL$9:$BL$508)+1)))</f>
        <v/>
      </c>
      <c r="BN313" s="130" t="str">
        <f aca="false">IF($BD313&lt;&gt;Constants!$B$6,"",IF($AU313="-&gt;",$AS313,$BB313))</f>
        <v/>
      </c>
      <c r="BO313" s="127" t="str">
        <f aca="false">IF(ISBLANK($C313),"",IF($BD313&lt;&gt;Constants!$B$6,$BD313,IF(ISNUMBER($BN313),RANK($BN313,$BN$9:$BN$508,1),COUNT($BN$9:$BN$508)+1)))</f>
        <v/>
      </c>
      <c r="BP313" s="130" t="str">
        <f aca="false">IF($BD313&lt;&gt;Constants!$B$6,"",IF($AU313="-&gt;",$AT313,$BC313))</f>
        <v/>
      </c>
      <c r="BQ313" s="127" t="str">
        <f aca="false">IF(ISBLANK($C313),"",IF($BD313&lt;&gt;Constants!$B$6,$BD313,IF(ISNUMBER($BP313),RANK($BP313,$BP$9:$BP$508,1),COUNT($BP$9:$BP$508)+1)))</f>
        <v/>
      </c>
      <c r="BR313" s="127" t="str">
        <f aca="false">IF(ISBLANK($C313),"",IF($BD313&lt;&gt;Constants!$B$6,$BD313,COUNTIFS($BI$9:$BI$508,"&lt;"&amp;$BI313)+COUNTIFS($BI$9:$BI$508,$BI313,$BK$9:$BK$508,"&lt;"&amp;$BK313)+COUNTIFS($BI$9:$BI$508,$BI313,$BK$9:$BK$508,$BK313,$BM$9:$BM$508,"&lt;"&amp;$BM313)+COUNTIFS($BI$9:$BI$508,$BI313,$BK$9:$BK$508,$BK313,$BM$9:$BM$508,$BM313,$BO$9:$BO$508,"&lt;"&amp;$BO313)+COUNTIFS($BI$9:$BI$508,$BI313,$BK$9:$BK$508,$BK313,$BM$9:$BM$508,$BM313,$BO$9:$BO$508,$BO313,$BQ$9:$BQ$508,"&lt;"&amp;$BQ313)+1))</f>
        <v/>
      </c>
      <c r="BS313" s="127" t="str">
        <f aca="false">IF(ISBLANK($C313),"",IF($BD313&lt;&gt;Constants!$B$6,$BD313,$BI313-$BR313))</f>
        <v/>
      </c>
      <c r="BT313" s="133"/>
      <c r="BU313" s="134"/>
      <c r="BV313" s="134" t="str">
        <f aca="false">IF(ISBLANK($C313),"",IF($BD313&lt;&gt;Constants!$B$6,"",IF($AU313="-&gt;",2,1)))</f>
        <v/>
      </c>
      <c r="BW313" s="135" t="str">
        <f aca="false">IF(ISBLANK($C313),"",IF($BD313&lt;&gt;Constants!$B$6,"",IF($AU313="-&gt;",$AW313,$AN313)))</f>
        <v/>
      </c>
      <c r="BX313" s="135" t="str">
        <f aca="false">IF(ISBLANK($C313),"",IF($BD313&lt;&gt;Constants!$B$6,"",IF($AU313="-&gt;",$AX313,$AO313)))</f>
        <v/>
      </c>
      <c r="BY313" s="135" t="str">
        <f aca="false">IF(ISBLANK($C313),"",IF($BD313&lt;&gt;Constants!$B$6,"",IF($AU313="-&gt;",$AY313,$AP313)))</f>
        <v/>
      </c>
      <c r="BZ313" s="135" t="str">
        <f aca="false">IF(ISBLANK($C313),"",IF($BD313&lt;&gt;Constants!$B$6,"",IF($AU313="-&gt;",$AZ313,$AQ313)+$BG313))</f>
        <v/>
      </c>
      <c r="CA313" s="136" t="str">
        <f aca="false">IF(ISBLANK($C313),"",IF($BD313&lt;&gt;Constants!$B$6,$BD313,$BH313))</f>
        <v/>
      </c>
      <c r="CB313" s="137" t="str">
        <f aca="false">IF(ISBLANK($C313),"",$BE313)</f>
        <v/>
      </c>
      <c r="CC313" s="138" t="str">
        <f aca="false">IF(ISBLANK($C313),"",$BS313)</f>
        <v/>
      </c>
      <c r="CD313" s="138" t="str">
        <f aca="false">IF(ISBLANK($C313),"",$BR313)</f>
        <v/>
      </c>
      <c r="CE313" s="139" t="str">
        <f aca="false">IF(ISBLANK($C313),"",IF($CD313=Constants!$B$9,COUNTA($C$9:$C$508)+2,IF($CD313=Constants!$B$8,COUNTA($C$9:$C$508)+1,IF($CD313=Constants!$B$7,COUNTA($C$9:$C$508),$CD313))))</f>
        <v/>
      </c>
      <c r="CF313" s="9"/>
      <c r="CG313" s="140" t="n">
        <f aca="false">IF(OR(ISNUMBER($CD313),$CD313=Constants!$B$9,$CD313=Constants!$B$7,$CD313=Constants!$B$8),1,0)</f>
        <v>0</v>
      </c>
      <c r="CH313" s="140" t="n">
        <v>305</v>
      </c>
      <c r="CI313" s="140" t="str">
        <f aca="false">IF(ISBLANK($C313),"",IF(ISNUMBER($CE313),$CE313+ROW($B313)/1000,""))</f>
        <v/>
      </c>
      <c r="CJ313" s="140" t="str">
        <f aca="false">IF(ISNUMBER($CI313),RANK($CI313,$CI$9:$CI$508,1),"")</f>
        <v/>
      </c>
      <c r="CK313" s="140" t="str">
        <f aca="false">IF(ISBLANK($C313),"",$B313)</f>
        <v/>
      </c>
      <c r="CL313" s="140" t="str">
        <f aca="false">IF(ISBLANK($C313),"",$C313)</f>
        <v/>
      </c>
      <c r="CM313" s="140" t="str">
        <f aca="false">IF(ISBLANK($C313),"",$D313)</f>
        <v/>
      </c>
      <c r="CN313" s="141" t="str">
        <f aca="false">$CB313</f>
        <v/>
      </c>
      <c r="CO313" s="142" t="str">
        <f aca="false">$CA313</f>
        <v/>
      </c>
      <c r="CP313" s="140" t="str">
        <f aca="false">IF(ISBLANK($C313),"",$CD313)</f>
        <v/>
      </c>
      <c r="CQ313" s="143" t="str">
        <f aca="false">IF($CH313&gt;$CG$8,"",VLOOKUP($CH313,$CJ$9:$CP$508,7,FALSE()))</f>
        <v/>
      </c>
      <c r="CR313" s="144" t="str">
        <f aca="false">IF($CH313&gt;$CG$8,"",VLOOKUP($CH313,$CJ$9:$CP$508,2,FALSE()))</f>
        <v/>
      </c>
      <c r="CS313" s="144" t="str">
        <f aca="false">IF($CH313&gt;$CG$8,"",VLOOKUP($CH313,$CJ$9:$CP$508,3,FALSE()))</f>
        <v/>
      </c>
      <c r="CT313" s="144" t="str">
        <f aca="false">IF($CH313&gt;$CG$8,"",VLOOKUP($CH313,$CJ$9:$CP$508,4,FALSE()))</f>
        <v/>
      </c>
      <c r="CU313" s="144" t="str">
        <f aca="false">IF($CH313&gt;$CG$8,"",VLOOKUP($CH313,$CJ$9:$CP$508,5,FALSE()))</f>
        <v/>
      </c>
      <c r="CV313" s="145" t="str">
        <f aca="false">IF($CH313&gt;$CG$8,"",VLOOKUP($CH313,$CJ$9:$CP$508,6,FALSE()))</f>
        <v/>
      </c>
      <c r="CW313" s="71"/>
    </row>
    <row r="314" customFormat="false" ht="15.75" hidden="false" customHeight="false" outlineLevel="0" collapsed="false">
      <c r="A314" s="9"/>
      <c r="B314" s="150"/>
      <c r="C314" s="151"/>
      <c r="D314" s="152"/>
      <c r="E314" s="170"/>
      <c r="F314" s="154"/>
      <c r="G314" s="155"/>
      <c r="H314" s="171"/>
      <c r="I314" s="159"/>
      <c r="J314" s="120"/>
      <c r="K314" s="121"/>
      <c r="L314" s="122"/>
      <c r="M314" s="158"/>
      <c r="N314" s="159"/>
      <c r="O314" s="159"/>
      <c r="P314" s="120"/>
      <c r="Q314" s="122"/>
      <c r="R314" s="122"/>
      <c r="S314" s="158"/>
      <c r="T314" s="159"/>
      <c r="U314" s="126"/>
      <c r="V314" s="127"/>
      <c r="W314" s="127" t="str">
        <f aca="false">IF(ISBLANK($C314),"",IF(E314=Constants!$B$2,TRUE(),IF(E314=Constants!$B$3,FALSE(),TRUE())))</f>
        <v/>
      </c>
      <c r="X314" s="127" t="str">
        <f aca="false">IF(ISBLANK($C314),"",IF(F314=Constants!$B$2,TRUE(),IF(F314=Constants!$B$3,FALSE(),TRUE())))</f>
        <v/>
      </c>
      <c r="Y314" s="127" t="str">
        <f aca="false">IF(ISBLANK($C314),"",IF(G314=Constants!$B$2,TRUE(),IF(G314=Constants!$B$3,FALSE(),TRUE())))</f>
        <v/>
      </c>
      <c r="Z314" s="127" t="str">
        <f aca="false">IF(ISBLANK($C314),"",IF(H314=Constants!$B$2,TRUE(),IF(H314=Constants!$B$3,FALSE(),TRUE())))</f>
        <v/>
      </c>
      <c r="AA314" s="127" t="str">
        <f aca="false">IF(ISBLANK($C314),"",IF(I314=Constants!$B$2,TRUE(),IF(I314=Constants!$B$3,FALSE(),TRUE())))</f>
        <v/>
      </c>
      <c r="AB314" s="127" t="str">
        <f aca="false">IF(ISBLANK($C314),"",IF(J314=Constants!$B$4,TRUE(),IF(J314=Constants!$B$5,FALSE(),COUNTA(K314:M314)&gt;0)))</f>
        <v/>
      </c>
      <c r="AC314" s="128" t="str">
        <f aca="false">IF(ISBLANK($C314),"",IF(ISNUMBER(K314),IF(K314&gt;=0,K314,""),""))</f>
        <v/>
      </c>
      <c r="AD314" s="129" t="str">
        <f aca="false">IF(ISBLANK($C314),"",IF(ISNUMBER(L314),IF(L314&gt;=0,L314,""),""))</f>
        <v/>
      </c>
      <c r="AE314" s="127" t="str">
        <f aca="false">IF(ISBLANK($C314),"",IF(ISNUMBER(M314),IF(M314&gt;=0,MIN(M314,Constants!$B$22),""),""))</f>
        <v/>
      </c>
      <c r="AF314" s="127" t="str">
        <f aca="false">IF(ISBLANK($C314),"",IF(N314=Constants!$B$2,TRUE(),IF(N314=Constants!$B$3,FALSE(),TRUE())))</f>
        <v/>
      </c>
      <c r="AG314" s="127" t="str">
        <f aca="false">IF(ISBLANK($C314),"",IF(O314=Constants!$B$2,TRUE(),IF(O314=Constants!$B$3,FALSE(),TRUE())))</f>
        <v/>
      </c>
      <c r="AH314" s="127" t="str">
        <f aca="false">IF(ISBLANK($C314),"",IF(P314=Constants!$B$4,TRUE(),IF(P314=Constants!$B$5,FALSE(),COUNTA(Q314:S314)&gt;0)))</f>
        <v/>
      </c>
      <c r="AI314" s="128" t="str">
        <f aca="false">IF(ISBLANK($C314),"",IF(ISNUMBER(Q314),IF(Q314&gt;=0,Q314,""),""))</f>
        <v/>
      </c>
      <c r="AJ314" s="129" t="str">
        <f aca="false">IF(ISBLANK($C314),"",IF(ISNUMBER(R314),IF(R314&gt;=0,R314,""),""))</f>
        <v/>
      </c>
      <c r="AK314" s="127" t="str">
        <f aca="false">IF(ISBLANK($C314),"",IF(ISNUMBER(S314),IF(S314&gt;=0,MIN(S314,Constants!$B$22),""),""))</f>
        <v/>
      </c>
      <c r="AL314" s="127" t="str">
        <f aca="false">IF(ISBLANK($C314),"",IF(T314=Constants!$B$2,TRUE(),IF(T314=Constants!$B$3,FALSE(),FALSE())))</f>
        <v/>
      </c>
      <c r="AM314" s="126" t="str">
        <f aca="false">IF(ISBLANK($C314),"",AND($AB314,OR($AC314="",$AD314="",AND(NOT(ISBLANK($M314)),$AE314=""))))</f>
        <v/>
      </c>
      <c r="AN314" s="129" t="str">
        <f aca="false">IF($BD314&lt;&gt;Constants!$B$6,"",IF($AB314,Constants!$B$17*$AD314,Constants!$B$18))</f>
        <v/>
      </c>
      <c r="AO314" s="130" t="str">
        <f aca="false">IF($BD314&lt;&gt;Constants!$B$6,"",Constants!$B$19*IF($AB314,$AC314,0))</f>
        <v/>
      </c>
      <c r="AP314" s="130" t="str">
        <f aca="false">IF($BD314&lt;&gt;Constants!$B$6,"",IF(AND($AB314,ISNUMBER($AE314)),Constants!$B$20*(Constants!$B$21-$AE314),0))</f>
        <v/>
      </c>
      <c r="AQ314" s="130" t="str">
        <f aca="false">IF($BD314&lt;&gt;Constants!$B$6,"",IF($AA314,0,Constants!$B$12)+IF($Z314,0,Constants!$B$13)+IF($Y314,0,Constants!$B$14))</f>
        <v/>
      </c>
      <c r="AR314" s="131" t="str">
        <f aca="false">IF($BD314&lt;&gt;Constants!$B$6,"",Constants!$B$16+SUM($AN314:$AQ314))</f>
        <v/>
      </c>
      <c r="AS314" s="130" t="str">
        <f aca="false">IF($BD314&lt;&gt;Constants!$B$6,"",IF($AB314,$AD314,""))</f>
        <v/>
      </c>
      <c r="AT314" s="132" t="str">
        <f aca="false">IF($BD314&lt;&gt;Constants!$B$6,"",$AO314)</f>
        <v/>
      </c>
      <c r="AU314" s="127" t="str">
        <f aca="false">IF($BD314&lt;&gt;Constants!$B$6,"",IF(OR($BA314&lt;$AR314,AND($BA314=$AR314,OR(AND(ISNUMBER($BB314),OR(NOT(ISNUMBER($AS314)),$BB314&lt;$AS314)),AND(OR(AND($BB314="",$AS314=""),AND(ISNUMBER($BB314),ISNUMBER($AS314),$BB314=$AS314)),$BC314&lt;$AT314)))),"-&gt;","&lt;-"))</f>
        <v/>
      </c>
      <c r="AV314" s="126" t="str">
        <f aca="false">IF(ISBLANK($C314),"",AND($AH314,OR($AI314="",$AJ314="",AND(NOT(ISBLANK($S314)),$AK314=""))))</f>
        <v/>
      </c>
      <c r="AW314" s="129" t="str">
        <f aca="false">IF($BD314&lt;&gt;Constants!$B$6,"",IF($AH314,Constants!$B$17*$AJ314,Constants!$B$18))</f>
        <v/>
      </c>
      <c r="AX314" s="130" t="str">
        <f aca="false">IF($BD314&lt;&gt;Constants!$B$6,"",Constants!$B$19*IF($AH314,$AI314,0))</f>
        <v/>
      </c>
      <c r="AY314" s="130" t="str">
        <f aca="false">IF($BD314&lt;&gt;Constants!$B$6,"",IF(AND($AH314,ISNUMBER($AK314)),Constants!$B$20*(Constants!$B$21-$AK314),0))</f>
        <v/>
      </c>
      <c r="AZ314" s="130" t="str">
        <f aca="false">IF($BD314&lt;&gt;Constants!$B$6,"",IF($AG314,0,Constants!$B$12)+IF($AF314,0,Constants!$B$13)+IF($Y314,0,Constants!$B$14))</f>
        <v/>
      </c>
      <c r="BA314" s="131" t="str">
        <f aca="false">IF($BD314&lt;&gt;Constants!$B$6,"",Constants!$B$16+SUM($AW314:$AZ314))</f>
        <v/>
      </c>
      <c r="BB314" s="130" t="str">
        <f aca="false">IF($BD314&lt;&gt;Constants!$B$6,"",IF($AH314,$AJ314,""))</f>
        <v/>
      </c>
      <c r="BC314" s="132" t="str">
        <f aca="false">IF($BD314&lt;&gt;Constants!$B$6,"",$AX314)</f>
        <v/>
      </c>
      <c r="BD314" s="127" t="str">
        <f aca="false">IF(ISBLANK($C314),"",IF($AL314,Constants!$B$9,IF(COUNTA($E314:$T314)=0,Constants!$B$8,IF(NOT($X314),Constants!$B$7,IF(OR($AM314,$AV314),Constants!$B$10,Constants!$B$6)))))</f>
        <v/>
      </c>
      <c r="BE314" s="127" t="str">
        <f aca="false">IF(ISBLANK($C314),"",IF($BD314&lt;&gt;Constants!$B$6,$BD314,Constants!$B$11))</f>
        <v/>
      </c>
      <c r="BF314" s="130" t="str">
        <f aca="false">IF($BD314&lt;&gt;Constants!$B$6,"",IF($AU314="-&gt;",$BA314,$AR314))</f>
        <v/>
      </c>
      <c r="BG314" s="130" t="str">
        <f aca="false">IF($BD314&lt;&gt;Constants!$B$6,"",IF($W314,0,Constants!$B$15))</f>
        <v/>
      </c>
      <c r="BH314" s="130" t="str">
        <f aca="false">IF(ISBLANK($C314),"",IF($BD314&lt;&gt;Constants!$B$6,$BD314,SUM($BF314:$BG314)))</f>
        <v/>
      </c>
      <c r="BI314" s="127" t="str">
        <f aca="false">IF(ISBLANK($C314),"",IF($BD314&lt;&gt;Constants!$B$6,$BD314,RANK($BH314,$BH$9:$BH$508,1)))</f>
        <v/>
      </c>
      <c r="BJ314" s="130" t="str">
        <f aca="false">IF($BD314&lt;&gt;Constants!$B$6,"",IF($AU314="-&gt;",$BB314,$AS314))</f>
        <v/>
      </c>
      <c r="BK314" s="127" t="str">
        <f aca="false">IF(ISBLANK($C314),"",IF($BD314&lt;&gt;Constants!$B$6,$BD314,IF(ISNUMBER($BJ314),RANK($BJ314,$BJ$9:$BJ$508,1),COUNT($BJ$9:$BJ$508)+1)))</f>
        <v/>
      </c>
      <c r="BL314" s="130" t="str">
        <f aca="false">IF($BD314&lt;&gt;Constants!$B$6,"",IF($AU314="-&gt;",$BC314,$AT314))</f>
        <v/>
      </c>
      <c r="BM314" s="127" t="str">
        <f aca="false">IF(ISBLANK($C314),"",IF($BD314&lt;&gt;Constants!$B$6,$BD314,IF(ISNUMBER($BL314),RANK($BL314,$BL$9:$BL$508,1),COUNT($BL$9:$BL$508)+1)))</f>
        <v/>
      </c>
      <c r="BN314" s="130" t="str">
        <f aca="false">IF($BD314&lt;&gt;Constants!$B$6,"",IF($AU314="-&gt;",$AS314,$BB314))</f>
        <v/>
      </c>
      <c r="BO314" s="127" t="str">
        <f aca="false">IF(ISBLANK($C314),"",IF($BD314&lt;&gt;Constants!$B$6,$BD314,IF(ISNUMBER($BN314),RANK($BN314,$BN$9:$BN$508,1),COUNT($BN$9:$BN$508)+1)))</f>
        <v/>
      </c>
      <c r="BP314" s="130" t="str">
        <f aca="false">IF($BD314&lt;&gt;Constants!$B$6,"",IF($AU314="-&gt;",$AT314,$BC314))</f>
        <v/>
      </c>
      <c r="BQ314" s="127" t="str">
        <f aca="false">IF(ISBLANK($C314),"",IF($BD314&lt;&gt;Constants!$B$6,$BD314,IF(ISNUMBER($BP314),RANK($BP314,$BP$9:$BP$508,1),COUNT($BP$9:$BP$508)+1)))</f>
        <v/>
      </c>
      <c r="BR314" s="127" t="str">
        <f aca="false">IF(ISBLANK($C314),"",IF($BD314&lt;&gt;Constants!$B$6,$BD314,COUNTIFS($BI$9:$BI$508,"&lt;"&amp;$BI314)+COUNTIFS($BI$9:$BI$508,$BI314,$BK$9:$BK$508,"&lt;"&amp;$BK314)+COUNTIFS($BI$9:$BI$508,$BI314,$BK$9:$BK$508,$BK314,$BM$9:$BM$508,"&lt;"&amp;$BM314)+COUNTIFS($BI$9:$BI$508,$BI314,$BK$9:$BK$508,$BK314,$BM$9:$BM$508,$BM314,$BO$9:$BO$508,"&lt;"&amp;$BO314)+COUNTIFS($BI$9:$BI$508,$BI314,$BK$9:$BK$508,$BK314,$BM$9:$BM$508,$BM314,$BO$9:$BO$508,$BO314,$BQ$9:$BQ$508,"&lt;"&amp;$BQ314)+1))</f>
        <v/>
      </c>
      <c r="BS314" s="127" t="str">
        <f aca="false">IF(ISBLANK($C314),"",IF($BD314&lt;&gt;Constants!$B$6,$BD314,$BI314-$BR314))</f>
        <v/>
      </c>
      <c r="BT314" s="133"/>
      <c r="BU314" s="134"/>
      <c r="BV314" s="134" t="str">
        <f aca="false">IF(ISBLANK($C314),"",IF($BD314&lt;&gt;Constants!$B$6,"",IF($AU314="-&gt;",2,1)))</f>
        <v/>
      </c>
      <c r="BW314" s="135" t="str">
        <f aca="false">IF(ISBLANK($C314),"",IF($BD314&lt;&gt;Constants!$B$6,"",IF($AU314="-&gt;",$AW314,$AN314)))</f>
        <v/>
      </c>
      <c r="BX314" s="135" t="str">
        <f aca="false">IF(ISBLANK($C314),"",IF($BD314&lt;&gt;Constants!$B$6,"",IF($AU314="-&gt;",$AX314,$AO314)))</f>
        <v/>
      </c>
      <c r="BY314" s="135" t="str">
        <f aca="false">IF(ISBLANK($C314),"",IF($BD314&lt;&gt;Constants!$B$6,"",IF($AU314="-&gt;",$AY314,$AP314)))</f>
        <v/>
      </c>
      <c r="BZ314" s="135" t="str">
        <f aca="false">IF(ISBLANK($C314),"",IF($BD314&lt;&gt;Constants!$B$6,"",IF($AU314="-&gt;",$AZ314,$AQ314)+$BG314))</f>
        <v/>
      </c>
      <c r="CA314" s="136" t="str">
        <f aca="false">IF(ISBLANK($C314),"",IF($BD314&lt;&gt;Constants!$B$6,$BD314,$BH314))</f>
        <v/>
      </c>
      <c r="CB314" s="137" t="str">
        <f aca="false">IF(ISBLANK($C314),"",$BE314)</f>
        <v/>
      </c>
      <c r="CC314" s="138" t="str">
        <f aca="false">IF(ISBLANK($C314),"",$BS314)</f>
        <v/>
      </c>
      <c r="CD314" s="138" t="str">
        <f aca="false">IF(ISBLANK($C314),"",$BR314)</f>
        <v/>
      </c>
      <c r="CE314" s="139" t="str">
        <f aca="false">IF(ISBLANK($C314),"",IF($CD314=Constants!$B$9,COUNTA($C$9:$C$508)+2,IF($CD314=Constants!$B$8,COUNTA($C$9:$C$508)+1,IF($CD314=Constants!$B$7,COUNTA($C$9:$C$508),$CD314))))</f>
        <v/>
      </c>
      <c r="CF314" s="9"/>
      <c r="CG314" s="140" t="n">
        <f aca="false">IF(OR(ISNUMBER($CD314),$CD314=Constants!$B$9,$CD314=Constants!$B$7,$CD314=Constants!$B$8),1,0)</f>
        <v>0</v>
      </c>
      <c r="CH314" s="140" t="n">
        <v>306</v>
      </c>
      <c r="CI314" s="140" t="str">
        <f aca="false">IF(ISBLANK($C314),"",IF(ISNUMBER($CE314),$CE314+ROW($B314)/1000,""))</f>
        <v/>
      </c>
      <c r="CJ314" s="140" t="str">
        <f aca="false">IF(ISNUMBER($CI314),RANK($CI314,$CI$9:$CI$508,1),"")</f>
        <v/>
      </c>
      <c r="CK314" s="140" t="str">
        <f aca="false">IF(ISBLANK($C314),"",$B314)</f>
        <v/>
      </c>
      <c r="CL314" s="140" t="str">
        <f aca="false">IF(ISBLANK($C314),"",$C314)</f>
        <v/>
      </c>
      <c r="CM314" s="140" t="str">
        <f aca="false">IF(ISBLANK($C314),"",$D314)</f>
        <v/>
      </c>
      <c r="CN314" s="141" t="str">
        <f aca="false">$CB314</f>
        <v/>
      </c>
      <c r="CO314" s="142" t="str">
        <f aca="false">$CA314</f>
        <v/>
      </c>
      <c r="CP314" s="140" t="str">
        <f aca="false">IF(ISBLANK($C314),"",$CD314)</f>
        <v/>
      </c>
      <c r="CQ314" s="143" t="str">
        <f aca="false">IF($CH314&gt;$CG$8,"",VLOOKUP($CH314,$CJ$9:$CP$508,7,FALSE()))</f>
        <v/>
      </c>
      <c r="CR314" s="144" t="str">
        <f aca="false">IF($CH314&gt;$CG$8,"",VLOOKUP($CH314,$CJ$9:$CP$508,2,FALSE()))</f>
        <v/>
      </c>
      <c r="CS314" s="144" t="str">
        <f aca="false">IF($CH314&gt;$CG$8,"",VLOOKUP($CH314,$CJ$9:$CP$508,3,FALSE()))</f>
        <v/>
      </c>
      <c r="CT314" s="144" t="str">
        <f aca="false">IF($CH314&gt;$CG$8,"",VLOOKUP($CH314,$CJ$9:$CP$508,4,FALSE()))</f>
        <v/>
      </c>
      <c r="CU314" s="144" t="str">
        <f aca="false">IF($CH314&gt;$CG$8,"",VLOOKUP($CH314,$CJ$9:$CP$508,5,FALSE()))</f>
        <v/>
      </c>
      <c r="CV314" s="145" t="str">
        <f aca="false">IF($CH314&gt;$CG$8,"",VLOOKUP($CH314,$CJ$9:$CP$508,6,FALSE()))</f>
        <v/>
      </c>
      <c r="CW314" s="71"/>
    </row>
    <row r="315" customFormat="false" ht="15.75" hidden="false" customHeight="false" outlineLevel="0" collapsed="false">
      <c r="A315" s="9"/>
      <c r="B315" s="72"/>
      <c r="C315" s="73"/>
      <c r="D315" s="160"/>
      <c r="E315" s="168"/>
      <c r="F315" s="162"/>
      <c r="G315" s="163"/>
      <c r="H315" s="169"/>
      <c r="I315" s="167"/>
      <c r="J315" s="80"/>
      <c r="K315" s="81"/>
      <c r="L315" s="82"/>
      <c r="M315" s="166"/>
      <c r="N315" s="167"/>
      <c r="O315" s="167"/>
      <c r="P315" s="80"/>
      <c r="Q315" s="82"/>
      <c r="R315" s="82"/>
      <c r="S315" s="166"/>
      <c r="T315" s="167"/>
      <c r="U315" s="86"/>
      <c r="V315" s="87"/>
      <c r="W315" s="87" t="str">
        <f aca="false">IF(ISBLANK($C315),"",IF(E315=Constants!$B$2,TRUE(),IF(E315=Constants!$B$3,FALSE(),TRUE())))</f>
        <v/>
      </c>
      <c r="X315" s="87" t="str">
        <f aca="false">IF(ISBLANK($C315),"",IF(F315=Constants!$B$2,TRUE(),IF(F315=Constants!$B$3,FALSE(),TRUE())))</f>
        <v/>
      </c>
      <c r="Y315" s="87" t="str">
        <f aca="false">IF(ISBLANK($C315),"",IF(G315=Constants!$B$2,TRUE(),IF(G315=Constants!$B$3,FALSE(),TRUE())))</f>
        <v/>
      </c>
      <c r="Z315" s="87" t="str">
        <f aca="false">IF(ISBLANK($C315),"",IF(H315=Constants!$B$2,TRUE(),IF(H315=Constants!$B$3,FALSE(),TRUE())))</f>
        <v/>
      </c>
      <c r="AA315" s="87" t="str">
        <f aca="false">IF(ISBLANK($C315),"",IF(I315=Constants!$B$2,TRUE(),IF(I315=Constants!$B$3,FALSE(),TRUE())))</f>
        <v/>
      </c>
      <c r="AB315" s="87" t="str">
        <f aca="false">IF(ISBLANK($C315),"",IF(J315=Constants!$B$4,TRUE(),IF(J315=Constants!$B$5,FALSE(),COUNTA(K315:M315)&gt;0)))</f>
        <v/>
      </c>
      <c r="AC315" s="88" t="str">
        <f aca="false">IF(ISBLANK($C315),"",IF(ISNUMBER(K315),IF(K315&gt;=0,K315,""),""))</f>
        <v/>
      </c>
      <c r="AD315" s="89" t="str">
        <f aca="false">IF(ISBLANK($C315),"",IF(ISNUMBER(L315),IF(L315&gt;=0,L315,""),""))</f>
        <v/>
      </c>
      <c r="AE315" s="87" t="str">
        <f aca="false">IF(ISBLANK($C315),"",IF(ISNUMBER(M315),IF(M315&gt;=0,MIN(M315,Constants!$B$22),""),""))</f>
        <v/>
      </c>
      <c r="AF315" s="87" t="str">
        <f aca="false">IF(ISBLANK($C315),"",IF(N315=Constants!$B$2,TRUE(),IF(N315=Constants!$B$3,FALSE(),TRUE())))</f>
        <v/>
      </c>
      <c r="AG315" s="87" t="str">
        <f aca="false">IF(ISBLANK($C315),"",IF(O315=Constants!$B$2,TRUE(),IF(O315=Constants!$B$3,FALSE(),TRUE())))</f>
        <v/>
      </c>
      <c r="AH315" s="87" t="str">
        <f aca="false">IF(ISBLANK($C315),"",IF(P315=Constants!$B$4,TRUE(),IF(P315=Constants!$B$5,FALSE(),COUNTA(Q315:S315)&gt;0)))</f>
        <v/>
      </c>
      <c r="AI315" s="88" t="str">
        <f aca="false">IF(ISBLANK($C315),"",IF(ISNUMBER(Q315),IF(Q315&gt;=0,Q315,""),""))</f>
        <v/>
      </c>
      <c r="AJ315" s="89" t="str">
        <f aca="false">IF(ISBLANK($C315),"",IF(ISNUMBER(R315),IF(R315&gt;=0,R315,""),""))</f>
        <v/>
      </c>
      <c r="AK315" s="87" t="str">
        <f aca="false">IF(ISBLANK($C315),"",IF(ISNUMBER(S315),IF(S315&gt;=0,MIN(S315,Constants!$B$22),""),""))</f>
        <v/>
      </c>
      <c r="AL315" s="87" t="str">
        <f aca="false">IF(ISBLANK($C315),"",IF(T315=Constants!$B$2,TRUE(),IF(T315=Constants!$B$3,FALSE(),FALSE())))</f>
        <v/>
      </c>
      <c r="AM315" s="86" t="str">
        <f aca="false">IF(ISBLANK($C315),"",AND($AB315,OR($AC315="",$AD315="",AND(NOT(ISBLANK($M315)),$AE315=""))))</f>
        <v/>
      </c>
      <c r="AN315" s="89" t="str">
        <f aca="false">IF($BD315&lt;&gt;Constants!$B$6,"",IF($AB315,Constants!$B$17*$AD315,Constants!$B$18))</f>
        <v/>
      </c>
      <c r="AO315" s="91" t="str">
        <f aca="false">IF($BD315&lt;&gt;Constants!$B$6,"",Constants!$B$19*IF($AB315,$AC315,0))</f>
        <v/>
      </c>
      <c r="AP315" s="91" t="str">
        <f aca="false">IF($BD315&lt;&gt;Constants!$B$6,"",IF(AND($AB315,ISNUMBER($AE315)),Constants!$B$20*(Constants!$B$21-$AE315),0))</f>
        <v/>
      </c>
      <c r="AQ315" s="91" t="str">
        <f aca="false">IF($BD315&lt;&gt;Constants!$B$6,"",IF($AA315,0,Constants!$B$12)+IF($Z315,0,Constants!$B$13)+IF($Y315,0,Constants!$B$14))</f>
        <v/>
      </c>
      <c r="AR315" s="92" t="str">
        <f aca="false">IF($BD315&lt;&gt;Constants!$B$6,"",Constants!$B$16+SUM($AN315:$AQ315))</f>
        <v/>
      </c>
      <c r="AS315" s="91" t="str">
        <f aca="false">IF($BD315&lt;&gt;Constants!$B$6,"",IF($AB315,$AD315,""))</f>
        <v/>
      </c>
      <c r="AT315" s="93" t="str">
        <f aca="false">IF($BD315&lt;&gt;Constants!$B$6,"",$AO315)</f>
        <v/>
      </c>
      <c r="AU315" s="87" t="str">
        <f aca="false">IF($BD315&lt;&gt;Constants!$B$6,"",IF(OR($BA315&lt;$AR315,AND($BA315=$AR315,OR(AND(ISNUMBER($BB315),OR(NOT(ISNUMBER($AS315)),$BB315&lt;$AS315)),AND(OR(AND($BB315="",$AS315=""),AND(ISNUMBER($BB315),ISNUMBER($AS315),$BB315=$AS315)),$BC315&lt;$AT315)))),"-&gt;","&lt;-"))</f>
        <v/>
      </c>
      <c r="AV315" s="86" t="str">
        <f aca="false">IF(ISBLANK($C315),"",AND($AH315,OR($AI315="",$AJ315="",AND(NOT(ISBLANK($S315)),$AK315=""))))</f>
        <v/>
      </c>
      <c r="AW315" s="89" t="str">
        <f aca="false">IF($BD315&lt;&gt;Constants!$B$6,"",IF($AH315,Constants!$B$17*$AJ315,Constants!$B$18))</f>
        <v/>
      </c>
      <c r="AX315" s="91" t="str">
        <f aca="false">IF($BD315&lt;&gt;Constants!$B$6,"",Constants!$B$19*IF($AH315,$AI315,0))</f>
        <v/>
      </c>
      <c r="AY315" s="91" t="str">
        <f aca="false">IF($BD315&lt;&gt;Constants!$B$6,"",IF(AND($AH315,ISNUMBER($AK315)),Constants!$B$20*(Constants!$B$21-$AK315),0))</f>
        <v/>
      </c>
      <c r="AZ315" s="91" t="str">
        <f aca="false">IF($BD315&lt;&gt;Constants!$B$6,"",IF($AG315,0,Constants!$B$12)+IF($AF315,0,Constants!$B$13)+IF($Y315,0,Constants!$B$14))</f>
        <v/>
      </c>
      <c r="BA315" s="92" t="str">
        <f aca="false">IF($BD315&lt;&gt;Constants!$B$6,"",Constants!$B$16+SUM($AW315:$AZ315))</f>
        <v/>
      </c>
      <c r="BB315" s="91" t="str">
        <f aca="false">IF($BD315&lt;&gt;Constants!$B$6,"",IF($AH315,$AJ315,""))</f>
        <v/>
      </c>
      <c r="BC315" s="93" t="str">
        <f aca="false">IF($BD315&lt;&gt;Constants!$B$6,"",$AX315)</f>
        <v/>
      </c>
      <c r="BD315" s="87" t="str">
        <f aca="false">IF(ISBLANK($C315),"",IF($AL315,Constants!$B$9,IF(COUNTA($E315:$T315)=0,Constants!$B$8,IF(NOT($X315),Constants!$B$7,IF(OR($AM315,$AV315),Constants!$B$10,Constants!$B$6)))))</f>
        <v/>
      </c>
      <c r="BE315" s="87" t="str">
        <f aca="false">IF(ISBLANK($C315),"",IF($BD315&lt;&gt;Constants!$B$6,$BD315,Constants!$B$11))</f>
        <v/>
      </c>
      <c r="BF315" s="91" t="str">
        <f aca="false">IF($BD315&lt;&gt;Constants!$B$6,"",IF($AU315="-&gt;",$BA315,$AR315))</f>
        <v/>
      </c>
      <c r="BG315" s="91" t="str">
        <f aca="false">IF($BD315&lt;&gt;Constants!$B$6,"",IF($W315,0,Constants!$B$15))</f>
        <v/>
      </c>
      <c r="BH315" s="91" t="str">
        <f aca="false">IF(ISBLANK($C315),"",IF($BD315&lt;&gt;Constants!$B$6,$BD315,SUM($BF315:$BG315)))</f>
        <v/>
      </c>
      <c r="BI315" s="87" t="str">
        <f aca="false">IF(ISBLANK($C315),"",IF($BD315&lt;&gt;Constants!$B$6,$BD315,RANK($BH315,$BH$9:$BH$508,1)))</f>
        <v/>
      </c>
      <c r="BJ315" s="91" t="str">
        <f aca="false">IF($BD315&lt;&gt;Constants!$B$6,"",IF($AU315="-&gt;",$BB315,$AS315))</f>
        <v/>
      </c>
      <c r="BK315" s="87" t="str">
        <f aca="false">IF(ISBLANK($C315),"",IF($BD315&lt;&gt;Constants!$B$6,$BD315,IF(ISNUMBER($BJ315),RANK($BJ315,$BJ$9:$BJ$508,1),COUNT($BJ$9:$BJ$508)+1)))</f>
        <v/>
      </c>
      <c r="BL315" s="91" t="str">
        <f aca="false">IF($BD315&lt;&gt;Constants!$B$6,"",IF($AU315="-&gt;",$BC315,$AT315))</f>
        <v/>
      </c>
      <c r="BM315" s="87" t="str">
        <f aca="false">IF(ISBLANK($C315),"",IF($BD315&lt;&gt;Constants!$B$6,$BD315,IF(ISNUMBER($BL315),RANK($BL315,$BL$9:$BL$508,1),COUNT($BL$9:$BL$508)+1)))</f>
        <v/>
      </c>
      <c r="BN315" s="91" t="str">
        <f aca="false">IF($BD315&lt;&gt;Constants!$B$6,"",IF($AU315="-&gt;",$AS315,$BB315))</f>
        <v/>
      </c>
      <c r="BO315" s="87" t="str">
        <f aca="false">IF(ISBLANK($C315),"",IF($BD315&lt;&gt;Constants!$B$6,$BD315,IF(ISNUMBER($BN315),RANK($BN315,$BN$9:$BN$508,1),COUNT($BN$9:$BN$508)+1)))</f>
        <v/>
      </c>
      <c r="BP315" s="91" t="str">
        <f aca="false">IF($BD315&lt;&gt;Constants!$B$6,"",IF($AU315="-&gt;",$AT315,$BC315))</f>
        <v/>
      </c>
      <c r="BQ315" s="87" t="str">
        <f aca="false">IF(ISBLANK($C315),"",IF($BD315&lt;&gt;Constants!$B$6,$BD315,IF(ISNUMBER($BP315),RANK($BP315,$BP$9:$BP$508,1),COUNT($BP$9:$BP$508)+1)))</f>
        <v/>
      </c>
      <c r="BR315" s="87" t="str">
        <f aca="false">IF(ISBLANK($C315),"",IF($BD315&lt;&gt;Constants!$B$6,$BD315,COUNTIFS($BI$9:$BI$508,"&lt;"&amp;$BI315)+COUNTIFS($BI$9:$BI$508,$BI315,$BK$9:$BK$508,"&lt;"&amp;$BK315)+COUNTIFS($BI$9:$BI$508,$BI315,$BK$9:$BK$508,$BK315,$BM$9:$BM$508,"&lt;"&amp;$BM315)+COUNTIFS($BI$9:$BI$508,$BI315,$BK$9:$BK$508,$BK315,$BM$9:$BM$508,$BM315,$BO$9:$BO$508,"&lt;"&amp;$BO315)+COUNTIFS($BI$9:$BI$508,$BI315,$BK$9:$BK$508,$BK315,$BM$9:$BM$508,$BM315,$BO$9:$BO$508,$BO315,$BQ$9:$BQ$508,"&lt;"&amp;$BQ315)+1))</f>
        <v/>
      </c>
      <c r="BS315" s="87" t="str">
        <f aca="false">IF(ISBLANK($C315),"",IF($BD315&lt;&gt;Constants!$B$6,$BD315,$BI315-$BR315))</f>
        <v/>
      </c>
      <c r="BT315" s="94"/>
      <c r="BU315" s="95"/>
      <c r="BV315" s="95" t="str">
        <f aca="false">IF(ISBLANK($C315),"",IF($BD315&lt;&gt;Constants!$B$6,"",IF($AU315="-&gt;",2,1)))</f>
        <v/>
      </c>
      <c r="BW315" s="96" t="str">
        <f aca="false">IF(ISBLANK($C315),"",IF($BD315&lt;&gt;Constants!$B$6,"",IF($AU315="-&gt;",$AW315,$AN315)))</f>
        <v/>
      </c>
      <c r="BX315" s="96" t="str">
        <f aca="false">IF(ISBLANK($C315),"",IF($BD315&lt;&gt;Constants!$B$6,"",IF($AU315="-&gt;",$AX315,$AO315)))</f>
        <v/>
      </c>
      <c r="BY315" s="96" t="str">
        <f aca="false">IF(ISBLANK($C315),"",IF($BD315&lt;&gt;Constants!$B$6,"",IF($AU315="-&gt;",$AY315,$AP315)))</f>
        <v/>
      </c>
      <c r="BZ315" s="96" t="str">
        <f aca="false">IF(ISBLANK($C315),"",IF($BD315&lt;&gt;Constants!$B$6,"",IF($AU315="-&gt;",$AZ315,$AQ315)+$BG315))</f>
        <v/>
      </c>
      <c r="CA315" s="97" t="str">
        <f aca="false">IF(ISBLANK($C315),"",IF($BD315&lt;&gt;Constants!$B$6,$BD315,$BH315))</f>
        <v/>
      </c>
      <c r="CB315" s="98" t="str">
        <f aca="false">IF(ISBLANK($C315),"",$BE315)</f>
        <v/>
      </c>
      <c r="CC315" s="99" t="str">
        <f aca="false">IF(ISBLANK($C315),"",$BS315)</f>
        <v/>
      </c>
      <c r="CD315" s="99" t="str">
        <f aca="false">IF(ISBLANK($C315),"",$BR315)</f>
        <v/>
      </c>
      <c r="CE315" s="100" t="str">
        <f aca="false">IF(ISBLANK($C315),"",IF($CD315=Constants!$B$9,COUNTA($C$9:$C$508)+2,IF($CD315=Constants!$B$8,COUNTA($C$9:$C$508)+1,IF($CD315=Constants!$B$7,COUNTA($C$9:$C$508),$CD315))))</f>
        <v/>
      </c>
      <c r="CF315" s="9"/>
      <c r="CG315" s="101" t="n">
        <f aca="false">IF(OR(ISNUMBER($CD315),$CD315=Constants!$B$9,$CD315=Constants!$B$7,$CD315=Constants!$B$8),1,0)</f>
        <v>0</v>
      </c>
      <c r="CH315" s="101" t="n">
        <v>307</v>
      </c>
      <c r="CI315" s="101" t="str">
        <f aca="false">IF(ISBLANK($C315),"",IF(ISNUMBER($CE315),$CE315+ROW($B315)/1000,""))</f>
        <v/>
      </c>
      <c r="CJ315" s="101" t="str">
        <f aca="false">IF(ISNUMBER($CI315),RANK($CI315,$CI$9:$CI$508,1),"")</f>
        <v/>
      </c>
      <c r="CK315" s="101" t="str">
        <f aca="false">IF(ISBLANK($C315),"",$B315)</f>
        <v/>
      </c>
      <c r="CL315" s="101" t="str">
        <f aca="false">IF(ISBLANK($C315),"",$C315)</f>
        <v/>
      </c>
      <c r="CM315" s="101" t="str">
        <f aca="false">IF(ISBLANK($C315),"",$D315)</f>
        <v/>
      </c>
      <c r="CN315" s="102" t="str">
        <f aca="false">$CB315</f>
        <v/>
      </c>
      <c r="CO315" s="103" t="str">
        <f aca="false">$CA315</f>
        <v/>
      </c>
      <c r="CP315" s="101" t="str">
        <f aca="false">IF(ISBLANK($C315),"",$CD315)</f>
        <v/>
      </c>
      <c r="CQ315" s="104" t="str">
        <f aca="false">IF($CH315&gt;$CG$8,"",VLOOKUP($CH315,$CJ$9:$CP$508,7,FALSE()))</f>
        <v/>
      </c>
      <c r="CR315" s="105" t="str">
        <f aca="false">IF($CH315&gt;$CG$8,"",VLOOKUP($CH315,$CJ$9:$CP$508,2,FALSE()))</f>
        <v/>
      </c>
      <c r="CS315" s="105" t="str">
        <f aca="false">IF($CH315&gt;$CG$8,"",VLOOKUP($CH315,$CJ$9:$CP$508,3,FALSE()))</f>
        <v/>
      </c>
      <c r="CT315" s="105" t="str">
        <f aca="false">IF($CH315&gt;$CG$8,"",VLOOKUP($CH315,$CJ$9:$CP$508,4,FALSE()))</f>
        <v/>
      </c>
      <c r="CU315" s="105" t="str">
        <f aca="false">IF($CH315&gt;$CG$8,"",VLOOKUP($CH315,$CJ$9:$CP$508,5,FALSE()))</f>
        <v/>
      </c>
      <c r="CV315" s="106" t="str">
        <f aca="false">IF($CH315&gt;$CG$8,"",VLOOKUP($CH315,$CJ$9:$CP$508,6,FALSE()))</f>
        <v/>
      </c>
      <c r="CW315" s="71"/>
    </row>
    <row r="316" customFormat="false" ht="15.75" hidden="false" customHeight="false" outlineLevel="0" collapsed="false">
      <c r="A316" s="9"/>
      <c r="B316" s="72"/>
      <c r="C316" s="73"/>
      <c r="D316" s="160"/>
      <c r="E316" s="168"/>
      <c r="F316" s="162"/>
      <c r="G316" s="163"/>
      <c r="H316" s="169"/>
      <c r="I316" s="167"/>
      <c r="J316" s="80"/>
      <c r="K316" s="81"/>
      <c r="L316" s="82"/>
      <c r="M316" s="166"/>
      <c r="N316" s="167"/>
      <c r="O316" s="167"/>
      <c r="P316" s="80"/>
      <c r="Q316" s="82"/>
      <c r="R316" s="82"/>
      <c r="S316" s="166"/>
      <c r="T316" s="167"/>
      <c r="U316" s="86"/>
      <c r="V316" s="87"/>
      <c r="W316" s="87" t="str">
        <f aca="false">IF(ISBLANK($C316),"",IF(E316=Constants!$B$2,TRUE(),IF(E316=Constants!$B$3,FALSE(),TRUE())))</f>
        <v/>
      </c>
      <c r="X316" s="87" t="str">
        <f aca="false">IF(ISBLANK($C316),"",IF(F316=Constants!$B$2,TRUE(),IF(F316=Constants!$B$3,FALSE(),TRUE())))</f>
        <v/>
      </c>
      <c r="Y316" s="87" t="str">
        <f aca="false">IF(ISBLANK($C316),"",IF(G316=Constants!$B$2,TRUE(),IF(G316=Constants!$B$3,FALSE(),TRUE())))</f>
        <v/>
      </c>
      <c r="Z316" s="87" t="str">
        <f aca="false">IF(ISBLANK($C316),"",IF(H316=Constants!$B$2,TRUE(),IF(H316=Constants!$B$3,FALSE(),TRUE())))</f>
        <v/>
      </c>
      <c r="AA316" s="87" t="str">
        <f aca="false">IF(ISBLANK($C316),"",IF(I316=Constants!$B$2,TRUE(),IF(I316=Constants!$B$3,FALSE(),TRUE())))</f>
        <v/>
      </c>
      <c r="AB316" s="87" t="str">
        <f aca="false">IF(ISBLANK($C316),"",IF(J316=Constants!$B$4,TRUE(),IF(J316=Constants!$B$5,FALSE(),COUNTA(K316:M316)&gt;0)))</f>
        <v/>
      </c>
      <c r="AC316" s="88" t="str">
        <f aca="false">IF(ISBLANK($C316),"",IF(ISNUMBER(K316),IF(K316&gt;=0,K316,""),""))</f>
        <v/>
      </c>
      <c r="AD316" s="89" t="str">
        <f aca="false">IF(ISBLANK($C316),"",IF(ISNUMBER(L316),IF(L316&gt;=0,L316,""),""))</f>
        <v/>
      </c>
      <c r="AE316" s="87" t="str">
        <f aca="false">IF(ISBLANK($C316),"",IF(ISNUMBER(M316),IF(M316&gt;=0,MIN(M316,Constants!$B$22),""),""))</f>
        <v/>
      </c>
      <c r="AF316" s="87" t="str">
        <f aca="false">IF(ISBLANK($C316),"",IF(N316=Constants!$B$2,TRUE(),IF(N316=Constants!$B$3,FALSE(),TRUE())))</f>
        <v/>
      </c>
      <c r="AG316" s="87" t="str">
        <f aca="false">IF(ISBLANK($C316),"",IF(O316=Constants!$B$2,TRUE(),IF(O316=Constants!$B$3,FALSE(),TRUE())))</f>
        <v/>
      </c>
      <c r="AH316" s="87" t="str">
        <f aca="false">IF(ISBLANK($C316),"",IF(P316=Constants!$B$4,TRUE(),IF(P316=Constants!$B$5,FALSE(),COUNTA(Q316:S316)&gt;0)))</f>
        <v/>
      </c>
      <c r="AI316" s="88" t="str">
        <f aca="false">IF(ISBLANK($C316),"",IF(ISNUMBER(Q316),IF(Q316&gt;=0,Q316,""),""))</f>
        <v/>
      </c>
      <c r="AJ316" s="89" t="str">
        <f aca="false">IF(ISBLANK($C316),"",IF(ISNUMBER(R316),IF(R316&gt;=0,R316,""),""))</f>
        <v/>
      </c>
      <c r="AK316" s="87" t="str">
        <f aca="false">IF(ISBLANK($C316),"",IF(ISNUMBER(S316),IF(S316&gt;=0,MIN(S316,Constants!$B$22),""),""))</f>
        <v/>
      </c>
      <c r="AL316" s="87" t="str">
        <f aca="false">IF(ISBLANK($C316),"",IF(T316=Constants!$B$2,TRUE(),IF(T316=Constants!$B$3,FALSE(),FALSE())))</f>
        <v/>
      </c>
      <c r="AM316" s="86" t="str">
        <f aca="false">IF(ISBLANK($C316),"",AND($AB316,OR($AC316="",$AD316="",AND(NOT(ISBLANK($M316)),$AE316=""))))</f>
        <v/>
      </c>
      <c r="AN316" s="89" t="str">
        <f aca="false">IF($BD316&lt;&gt;Constants!$B$6,"",IF($AB316,Constants!$B$17*$AD316,Constants!$B$18))</f>
        <v/>
      </c>
      <c r="AO316" s="91" t="str">
        <f aca="false">IF($BD316&lt;&gt;Constants!$B$6,"",Constants!$B$19*IF($AB316,$AC316,0))</f>
        <v/>
      </c>
      <c r="AP316" s="91" t="str">
        <f aca="false">IF($BD316&lt;&gt;Constants!$B$6,"",IF(AND($AB316,ISNUMBER($AE316)),Constants!$B$20*(Constants!$B$21-$AE316),0))</f>
        <v/>
      </c>
      <c r="AQ316" s="91" t="str">
        <f aca="false">IF($BD316&lt;&gt;Constants!$B$6,"",IF($AA316,0,Constants!$B$12)+IF($Z316,0,Constants!$B$13)+IF($Y316,0,Constants!$B$14))</f>
        <v/>
      </c>
      <c r="AR316" s="92" t="str">
        <f aca="false">IF($BD316&lt;&gt;Constants!$B$6,"",Constants!$B$16+SUM($AN316:$AQ316))</f>
        <v/>
      </c>
      <c r="AS316" s="91" t="str">
        <f aca="false">IF($BD316&lt;&gt;Constants!$B$6,"",IF($AB316,$AD316,""))</f>
        <v/>
      </c>
      <c r="AT316" s="93" t="str">
        <f aca="false">IF($BD316&lt;&gt;Constants!$B$6,"",$AO316)</f>
        <v/>
      </c>
      <c r="AU316" s="87" t="str">
        <f aca="false">IF($BD316&lt;&gt;Constants!$B$6,"",IF(OR($BA316&lt;$AR316,AND($BA316=$AR316,OR(AND(ISNUMBER($BB316),OR(NOT(ISNUMBER($AS316)),$BB316&lt;$AS316)),AND(OR(AND($BB316="",$AS316=""),AND(ISNUMBER($BB316),ISNUMBER($AS316),$BB316=$AS316)),$BC316&lt;$AT316)))),"-&gt;","&lt;-"))</f>
        <v/>
      </c>
      <c r="AV316" s="86" t="str">
        <f aca="false">IF(ISBLANK($C316),"",AND($AH316,OR($AI316="",$AJ316="",AND(NOT(ISBLANK($S316)),$AK316=""))))</f>
        <v/>
      </c>
      <c r="AW316" s="89" t="str">
        <f aca="false">IF($BD316&lt;&gt;Constants!$B$6,"",IF($AH316,Constants!$B$17*$AJ316,Constants!$B$18))</f>
        <v/>
      </c>
      <c r="AX316" s="91" t="str">
        <f aca="false">IF($BD316&lt;&gt;Constants!$B$6,"",Constants!$B$19*IF($AH316,$AI316,0))</f>
        <v/>
      </c>
      <c r="AY316" s="91" t="str">
        <f aca="false">IF($BD316&lt;&gt;Constants!$B$6,"",IF(AND($AH316,ISNUMBER($AK316)),Constants!$B$20*(Constants!$B$21-$AK316),0))</f>
        <v/>
      </c>
      <c r="AZ316" s="91" t="str">
        <f aca="false">IF($BD316&lt;&gt;Constants!$B$6,"",IF($AG316,0,Constants!$B$12)+IF($AF316,0,Constants!$B$13)+IF($Y316,0,Constants!$B$14))</f>
        <v/>
      </c>
      <c r="BA316" s="92" t="str">
        <f aca="false">IF($BD316&lt;&gt;Constants!$B$6,"",Constants!$B$16+SUM($AW316:$AZ316))</f>
        <v/>
      </c>
      <c r="BB316" s="91" t="str">
        <f aca="false">IF($BD316&lt;&gt;Constants!$B$6,"",IF($AH316,$AJ316,""))</f>
        <v/>
      </c>
      <c r="BC316" s="93" t="str">
        <f aca="false">IF($BD316&lt;&gt;Constants!$B$6,"",$AX316)</f>
        <v/>
      </c>
      <c r="BD316" s="87" t="str">
        <f aca="false">IF(ISBLANK($C316),"",IF($AL316,Constants!$B$9,IF(COUNTA($E316:$T316)=0,Constants!$B$8,IF(NOT($X316),Constants!$B$7,IF(OR($AM316,$AV316),Constants!$B$10,Constants!$B$6)))))</f>
        <v/>
      </c>
      <c r="BE316" s="87" t="str">
        <f aca="false">IF(ISBLANK($C316),"",IF($BD316&lt;&gt;Constants!$B$6,$BD316,Constants!$B$11))</f>
        <v/>
      </c>
      <c r="BF316" s="91" t="str">
        <f aca="false">IF($BD316&lt;&gt;Constants!$B$6,"",IF($AU316="-&gt;",$BA316,$AR316))</f>
        <v/>
      </c>
      <c r="BG316" s="91" t="str">
        <f aca="false">IF($BD316&lt;&gt;Constants!$B$6,"",IF($W316,0,Constants!$B$15))</f>
        <v/>
      </c>
      <c r="BH316" s="91" t="str">
        <f aca="false">IF(ISBLANK($C316),"",IF($BD316&lt;&gt;Constants!$B$6,$BD316,SUM($BF316:$BG316)))</f>
        <v/>
      </c>
      <c r="BI316" s="87" t="str">
        <f aca="false">IF(ISBLANK($C316),"",IF($BD316&lt;&gt;Constants!$B$6,$BD316,RANK($BH316,$BH$9:$BH$508,1)))</f>
        <v/>
      </c>
      <c r="BJ316" s="91" t="str">
        <f aca="false">IF($BD316&lt;&gt;Constants!$B$6,"",IF($AU316="-&gt;",$BB316,$AS316))</f>
        <v/>
      </c>
      <c r="BK316" s="87" t="str">
        <f aca="false">IF(ISBLANK($C316),"",IF($BD316&lt;&gt;Constants!$B$6,$BD316,IF(ISNUMBER($BJ316),RANK($BJ316,$BJ$9:$BJ$508,1),COUNT($BJ$9:$BJ$508)+1)))</f>
        <v/>
      </c>
      <c r="BL316" s="91" t="str">
        <f aca="false">IF($BD316&lt;&gt;Constants!$B$6,"",IF($AU316="-&gt;",$BC316,$AT316))</f>
        <v/>
      </c>
      <c r="BM316" s="87" t="str">
        <f aca="false">IF(ISBLANK($C316),"",IF($BD316&lt;&gt;Constants!$B$6,$BD316,IF(ISNUMBER($BL316),RANK($BL316,$BL$9:$BL$508,1),COUNT($BL$9:$BL$508)+1)))</f>
        <v/>
      </c>
      <c r="BN316" s="91" t="str">
        <f aca="false">IF($BD316&lt;&gt;Constants!$B$6,"",IF($AU316="-&gt;",$AS316,$BB316))</f>
        <v/>
      </c>
      <c r="BO316" s="87" t="str">
        <f aca="false">IF(ISBLANK($C316),"",IF($BD316&lt;&gt;Constants!$B$6,$BD316,IF(ISNUMBER($BN316),RANK($BN316,$BN$9:$BN$508,1),COUNT($BN$9:$BN$508)+1)))</f>
        <v/>
      </c>
      <c r="BP316" s="91" t="str">
        <f aca="false">IF($BD316&lt;&gt;Constants!$B$6,"",IF($AU316="-&gt;",$AT316,$BC316))</f>
        <v/>
      </c>
      <c r="BQ316" s="87" t="str">
        <f aca="false">IF(ISBLANK($C316),"",IF($BD316&lt;&gt;Constants!$B$6,$BD316,IF(ISNUMBER($BP316),RANK($BP316,$BP$9:$BP$508,1),COUNT($BP$9:$BP$508)+1)))</f>
        <v/>
      </c>
      <c r="BR316" s="87" t="str">
        <f aca="false">IF(ISBLANK($C316),"",IF($BD316&lt;&gt;Constants!$B$6,$BD316,COUNTIFS($BI$9:$BI$508,"&lt;"&amp;$BI316)+COUNTIFS($BI$9:$BI$508,$BI316,$BK$9:$BK$508,"&lt;"&amp;$BK316)+COUNTIFS($BI$9:$BI$508,$BI316,$BK$9:$BK$508,$BK316,$BM$9:$BM$508,"&lt;"&amp;$BM316)+COUNTIFS($BI$9:$BI$508,$BI316,$BK$9:$BK$508,$BK316,$BM$9:$BM$508,$BM316,$BO$9:$BO$508,"&lt;"&amp;$BO316)+COUNTIFS($BI$9:$BI$508,$BI316,$BK$9:$BK$508,$BK316,$BM$9:$BM$508,$BM316,$BO$9:$BO$508,$BO316,$BQ$9:$BQ$508,"&lt;"&amp;$BQ316)+1))</f>
        <v/>
      </c>
      <c r="BS316" s="87" t="str">
        <f aca="false">IF(ISBLANK($C316),"",IF($BD316&lt;&gt;Constants!$B$6,$BD316,$BI316-$BR316))</f>
        <v/>
      </c>
      <c r="BT316" s="94"/>
      <c r="BU316" s="95"/>
      <c r="BV316" s="95" t="str">
        <f aca="false">IF(ISBLANK($C316),"",IF($BD316&lt;&gt;Constants!$B$6,"",IF($AU316="-&gt;",2,1)))</f>
        <v/>
      </c>
      <c r="BW316" s="96" t="str">
        <f aca="false">IF(ISBLANK($C316),"",IF($BD316&lt;&gt;Constants!$B$6,"",IF($AU316="-&gt;",$AW316,$AN316)))</f>
        <v/>
      </c>
      <c r="BX316" s="96" t="str">
        <f aca="false">IF(ISBLANK($C316),"",IF($BD316&lt;&gt;Constants!$B$6,"",IF($AU316="-&gt;",$AX316,$AO316)))</f>
        <v/>
      </c>
      <c r="BY316" s="96" t="str">
        <f aca="false">IF(ISBLANK($C316),"",IF($BD316&lt;&gt;Constants!$B$6,"",IF($AU316="-&gt;",$AY316,$AP316)))</f>
        <v/>
      </c>
      <c r="BZ316" s="96" t="str">
        <f aca="false">IF(ISBLANK($C316),"",IF($BD316&lt;&gt;Constants!$B$6,"",IF($AU316="-&gt;",$AZ316,$AQ316)+$BG316))</f>
        <v/>
      </c>
      <c r="CA316" s="97" t="str">
        <f aca="false">IF(ISBLANK($C316),"",IF($BD316&lt;&gt;Constants!$B$6,$BD316,$BH316))</f>
        <v/>
      </c>
      <c r="CB316" s="98" t="str">
        <f aca="false">IF(ISBLANK($C316),"",$BE316)</f>
        <v/>
      </c>
      <c r="CC316" s="99" t="str">
        <f aca="false">IF(ISBLANK($C316),"",$BS316)</f>
        <v/>
      </c>
      <c r="CD316" s="99" t="str">
        <f aca="false">IF(ISBLANK($C316),"",$BR316)</f>
        <v/>
      </c>
      <c r="CE316" s="100" t="str">
        <f aca="false">IF(ISBLANK($C316),"",IF($CD316=Constants!$B$9,COUNTA($C$9:$C$508)+2,IF($CD316=Constants!$B$8,COUNTA($C$9:$C$508)+1,IF($CD316=Constants!$B$7,COUNTA($C$9:$C$508),$CD316))))</f>
        <v/>
      </c>
      <c r="CF316" s="9"/>
      <c r="CG316" s="101" t="n">
        <f aca="false">IF(OR(ISNUMBER($CD316),$CD316=Constants!$B$9,$CD316=Constants!$B$7,$CD316=Constants!$B$8),1,0)</f>
        <v>0</v>
      </c>
      <c r="CH316" s="101" t="n">
        <v>308</v>
      </c>
      <c r="CI316" s="101" t="str">
        <f aca="false">IF(ISBLANK($C316),"",IF(ISNUMBER($CE316),$CE316+ROW($B316)/1000,""))</f>
        <v/>
      </c>
      <c r="CJ316" s="101" t="str">
        <f aca="false">IF(ISNUMBER($CI316),RANK($CI316,$CI$9:$CI$508,1),"")</f>
        <v/>
      </c>
      <c r="CK316" s="101" t="str">
        <f aca="false">IF(ISBLANK($C316),"",$B316)</f>
        <v/>
      </c>
      <c r="CL316" s="101" t="str">
        <f aca="false">IF(ISBLANK($C316),"",$C316)</f>
        <v/>
      </c>
      <c r="CM316" s="101" t="str">
        <f aca="false">IF(ISBLANK($C316),"",$D316)</f>
        <v/>
      </c>
      <c r="CN316" s="102" t="str">
        <f aca="false">$CB316</f>
        <v/>
      </c>
      <c r="CO316" s="103" t="str">
        <f aca="false">$CA316</f>
        <v/>
      </c>
      <c r="CP316" s="101" t="str">
        <f aca="false">IF(ISBLANK($C316),"",$CD316)</f>
        <v/>
      </c>
      <c r="CQ316" s="104" t="str">
        <f aca="false">IF($CH316&gt;$CG$8,"",VLOOKUP($CH316,$CJ$9:$CP$508,7,FALSE()))</f>
        <v/>
      </c>
      <c r="CR316" s="105" t="str">
        <f aca="false">IF($CH316&gt;$CG$8,"",VLOOKUP($CH316,$CJ$9:$CP$508,2,FALSE()))</f>
        <v/>
      </c>
      <c r="CS316" s="105" t="str">
        <f aca="false">IF($CH316&gt;$CG$8,"",VLOOKUP($CH316,$CJ$9:$CP$508,3,FALSE()))</f>
        <v/>
      </c>
      <c r="CT316" s="105" t="str">
        <f aca="false">IF($CH316&gt;$CG$8,"",VLOOKUP($CH316,$CJ$9:$CP$508,4,FALSE()))</f>
        <v/>
      </c>
      <c r="CU316" s="105" t="str">
        <f aca="false">IF($CH316&gt;$CG$8,"",VLOOKUP($CH316,$CJ$9:$CP$508,5,FALSE()))</f>
        <v/>
      </c>
      <c r="CV316" s="106" t="str">
        <f aca="false">IF($CH316&gt;$CG$8,"",VLOOKUP($CH316,$CJ$9:$CP$508,6,FALSE()))</f>
        <v/>
      </c>
      <c r="CW316" s="71"/>
    </row>
    <row r="317" customFormat="false" ht="15.75" hidden="false" customHeight="false" outlineLevel="0" collapsed="false">
      <c r="A317" s="9"/>
      <c r="B317" s="72"/>
      <c r="C317" s="73"/>
      <c r="D317" s="160"/>
      <c r="E317" s="168"/>
      <c r="F317" s="162"/>
      <c r="G317" s="163"/>
      <c r="H317" s="169"/>
      <c r="I317" s="167"/>
      <c r="J317" s="80"/>
      <c r="K317" s="81"/>
      <c r="L317" s="82"/>
      <c r="M317" s="166"/>
      <c r="N317" s="167"/>
      <c r="O317" s="167"/>
      <c r="P317" s="80"/>
      <c r="Q317" s="82"/>
      <c r="R317" s="82"/>
      <c r="S317" s="166"/>
      <c r="T317" s="167"/>
      <c r="U317" s="86"/>
      <c r="V317" s="87"/>
      <c r="W317" s="87" t="str">
        <f aca="false">IF(ISBLANK($C317),"",IF(E317=Constants!$B$2,TRUE(),IF(E317=Constants!$B$3,FALSE(),TRUE())))</f>
        <v/>
      </c>
      <c r="X317" s="87" t="str">
        <f aca="false">IF(ISBLANK($C317),"",IF(F317=Constants!$B$2,TRUE(),IF(F317=Constants!$B$3,FALSE(),TRUE())))</f>
        <v/>
      </c>
      <c r="Y317" s="87" t="str">
        <f aca="false">IF(ISBLANK($C317),"",IF(G317=Constants!$B$2,TRUE(),IF(G317=Constants!$B$3,FALSE(),TRUE())))</f>
        <v/>
      </c>
      <c r="Z317" s="87" t="str">
        <f aca="false">IF(ISBLANK($C317),"",IF(H317=Constants!$B$2,TRUE(),IF(H317=Constants!$B$3,FALSE(),TRUE())))</f>
        <v/>
      </c>
      <c r="AA317" s="87" t="str">
        <f aca="false">IF(ISBLANK($C317),"",IF(I317=Constants!$B$2,TRUE(),IF(I317=Constants!$B$3,FALSE(),TRUE())))</f>
        <v/>
      </c>
      <c r="AB317" s="87" t="str">
        <f aca="false">IF(ISBLANK($C317),"",IF(J317=Constants!$B$4,TRUE(),IF(J317=Constants!$B$5,FALSE(),COUNTA(K317:M317)&gt;0)))</f>
        <v/>
      </c>
      <c r="AC317" s="88" t="str">
        <f aca="false">IF(ISBLANK($C317),"",IF(ISNUMBER(K317),IF(K317&gt;=0,K317,""),""))</f>
        <v/>
      </c>
      <c r="AD317" s="89" t="str">
        <f aca="false">IF(ISBLANK($C317),"",IF(ISNUMBER(L317),IF(L317&gt;=0,L317,""),""))</f>
        <v/>
      </c>
      <c r="AE317" s="87" t="str">
        <f aca="false">IF(ISBLANK($C317),"",IF(ISNUMBER(M317),IF(M317&gt;=0,MIN(M317,Constants!$B$22),""),""))</f>
        <v/>
      </c>
      <c r="AF317" s="87" t="str">
        <f aca="false">IF(ISBLANK($C317),"",IF(N317=Constants!$B$2,TRUE(),IF(N317=Constants!$B$3,FALSE(),TRUE())))</f>
        <v/>
      </c>
      <c r="AG317" s="87" t="str">
        <f aca="false">IF(ISBLANK($C317),"",IF(O317=Constants!$B$2,TRUE(),IF(O317=Constants!$B$3,FALSE(),TRUE())))</f>
        <v/>
      </c>
      <c r="AH317" s="87" t="str">
        <f aca="false">IF(ISBLANK($C317),"",IF(P317=Constants!$B$4,TRUE(),IF(P317=Constants!$B$5,FALSE(),COUNTA(Q317:S317)&gt;0)))</f>
        <v/>
      </c>
      <c r="AI317" s="88" t="str">
        <f aca="false">IF(ISBLANK($C317),"",IF(ISNUMBER(Q317),IF(Q317&gt;=0,Q317,""),""))</f>
        <v/>
      </c>
      <c r="AJ317" s="89" t="str">
        <f aca="false">IF(ISBLANK($C317),"",IF(ISNUMBER(R317),IF(R317&gt;=0,R317,""),""))</f>
        <v/>
      </c>
      <c r="AK317" s="87" t="str">
        <f aca="false">IF(ISBLANK($C317),"",IF(ISNUMBER(S317),IF(S317&gt;=0,MIN(S317,Constants!$B$22),""),""))</f>
        <v/>
      </c>
      <c r="AL317" s="87" t="str">
        <f aca="false">IF(ISBLANK($C317),"",IF(T317=Constants!$B$2,TRUE(),IF(T317=Constants!$B$3,FALSE(),FALSE())))</f>
        <v/>
      </c>
      <c r="AM317" s="86" t="str">
        <f aca="false">IF(ISBLANK($C317),"",AND($AB317,OR($AC317="",$AD317="",AND(NOT(ISBLANK($M317)),$AE317=""))))</f>
        <v/>
      </c>
      <c r="AN317" s="89" t="str">
        <f aca="false">IF($BD317&lt;&gt;Constants!$B$6,"",IF($AB317,Constants!$B$17*$AD317,Constants!$B$18))</f>
        <v/>
      </c>
      <c r="AO317" s="91" t="str">
        <f aca="false">IF($BD317&lt;&gt;Constants!$B$6,"",Constants!$B$19*IF($AB317,$AC317,0))</f>
        <v/>
      </c>
      <c r="AP317" s="91" t="str">
        <f aca="false">IF($BD317&lt;&gt;Constants!$B$6,"",IF(AND($AB317,ISNUMBER($AE317)),Constants!$B$20*(Constants!$B$21-$AE317),0))</f>
        <v/>
      </c>
      <c r="AQ317" s="91" t="str">
        <f aca="false">IF($BD317&lt;&gt;Constants!$B$6,"",IF($AA317,0,Constants!$B$12)+IF($Z317,0,Constants!$B$13)+IF($Y317,0,Constants!$B$14))</f>
        <v/>
      </c>
      <c r="AR317" s="92" t="str">
        <f aca="false">IF($BD317&lt;&gt;Constants!$B$6,"",Constants!$B$16+SUM($AN317:$AQ317))</f>
        <v/>
      </c>
      <c r="AS317" s="91" t="str">
        <f aca="false">IF($BD317&lt;&gt;Constants!$B$6,"",IF($AB317,$AD317,""))</f>
        <v/>
      </c>
      <c r="AT317" s="93" t="str">
        <f aca="false">IF($BD317&lt;&gt;Constants!$B$6,"",$AO317)</f>
        <v/>
      </c>
      <c r="AU317" s="87" t="str">
        <f aca="false">IF($BD317&lt;&gt;Constants!$B$6,"",IF(OR($BA317&lt;$AR317,AND($BA317=$AR317,OR(AND(ISNUMBER($BB317),OR(NOT(ISNUMBER($AS317)),$BB317&lt;$AS317)),AND(OR(AND($BB317="",$AS317=""),AND(ISNUMBER($BB317),ISNUMBER($AS317),$BB317=$AS317)),$BC317&lt;$AT317)))),"-&gt;","&lt;-"))</f>
        <v/>
      </c>
      <c r="AV317" s="86" t="str">
        <f aca="false">IF(ISBLANK($C317),"",AND($AH317,OR($AI317="",$AJ317="",AND(NOT(ISBLANK($S317)),$AK317=""))))</f>
        <v/>
      </c>
      <c r="AW317" s="89" t="str">
        <f aca="false">IF($BD317&lt;&gt;Constants!$B$6,"",IF($AH317,Constants!$B$17*$AJ317,Constants!$B$18))</f>
        <v/>
      </c>
      <c r="AX317" s="91" t="str">
        <f aca="false">IF($BD317&lt;&gt;Constants!$B$6,"",Constants!$B$19*IF($AH317,$AI317,0))</f>
        <v/>
      </c>
      <c r="AY317" s="91" t="str">
        <f aca="false">IF($BD317&lt;&gt;Constants!$B$6,"",IF(AND($AH317,ISNUMBER($AK317)),Constants!$B$20*(Constants!$B$21-$AK317),0))</f>
        <v/>
      </c>
      <c r="AZ317" s="91" t="str">
        <f aca="false">IF($BD317&lt;&gt;Constants!$B$6,"",IF($AG317,0,Constants!$B$12)+IF($AF317,0,Constants!$B$13)+IF($Y317,0,Constants!$B$14))</f>
        <v/>
      </c>
      <c r="BA317" s="92" t="str">
        <f aca="false">IF($BD317&lt;&gt;Constants!$B$6,"",Constants!$B$16+SUM($AW317:$AZ317))</f>
        <v/>
      </c>
      <c r="BB317" s="91" t="str">
        <f aca="false">IF($BD317&lt;&gt;Constants!$B$6,"",IF($AH317,$AJ317,""))</f>
        <v/>
      </c>
      <c r="BC317" s="93" t="str">
        <f aca="false">IF($BD317&lt;&gt;Constants!$B$6,"",$AX317)</f>
        <v/>
      </c>
      <c r="BD317" s="87" t="str">
        <f aca="false">IF(ISBLANK($C317),"",IF($AL317,Constants!$B$9,IF(COUNTA($E317:$T317)=0,Constants!$B$8,IF(NOT($X317),Constants!$B$7,IF(OR($AM317,$AV317),Constants!$B$10,Constants!$B$6)))))</f>
        <v/>
      </c>
      <c r="BE317" s="87" t="str">
        <f aca="false">IF(ISBLANK($C317),"",IF($BD317&lt;&gt;Constants!$B$6,$BD317,Constants!$B$11))</f>
        <v/>
      </c>
      <c r="BF317" s="91" t="str">
        <f aca="false">IF($BD317&lt;&gt;Constants!$B$6,"",IF($AU317="-&gt;",$BA317,$AR317))</f>
        <v/>
      </c>
      <c r="BG317" s="91" t="str">
        <f aca="false">IF($BD317&lt;&gt;Constants!$B$6,"",IF($W317,0,Constants!$B$15))</f>
        <v/>
      </c>
      <c r="BH317" s="91" t="str">
        <f aca="false">IF(ISBLANK($C317),"",IF($BD317&lt;&gt;Constants!$B$6,$BD317,SUM($BF317:$BG317)))</f>
        <v/>
      </c>
      <c r="BI317" s="87" t="str">
        <f aca="false">IF(ISBLANK($C317),"",IF($BD317&lt;&gt;Constants!$B$6,$BD317,RANK($BH317,$BH$9:$BH$508,1)))</f>
        <v/>
      </c>
      <c r="BJ317" s="91" t="str">
        <f aca="false">IF($BD317&lt;&gt;Constants!$B$6,"",IF($AU317="-&gt;",$BB317,$AS317))</f>
        <v/>
      </c>
      <c r="BK317" s="87" t="str">
        <f aca="false">IF(ISBLANK($C317),"",IF($BD317&lt;&gt;Constants!$B$6,$BD317,IF(ISNUMBER($BJ317),RANK($BJ317,$BJ$9:$BJ$508,1),COUNT($BJ$9:$BJ$508)+1)))</f>
        <v/>
      </c>
      <c r="BL317" s="91" t="str">
        <f aca="false">IF($BD317&lt;&gt;Constants!$B$6,"",IF($AU317="-&gt;",$BC317,$AT317))</f>
        <v/>
      </c>
      <c r="BM317" s="87" t="str">
        <f aca="false">IF(ISBLANK($C317),"",IF($BD317&lt;&gt;Constants!$B$6,$BD317,IF(ISNUMBER($BL317),RANK($BL317,$BL$9:$BL$508,1),COUNT($BL$9:$BL$508)+1)))</f>
        <v/>
      </c>
      <c r="BN317" s="91" t="str">
        <f aca="false">IF($BD317&lt;&gt;Constants!$B$6,"",IF($AU317="-&gt;",$AS317,$BB317))</f>
        <v/>
      </c>
      <c r="BO317" s="87" t="str">
        <f aca="false">IF(ISBLANK($C317),"",IF($BD317&lt;&gt;Constants!$B$6,$BD317,IF(ISNUMBER($BN317),RANK($BN317,$BN$9:$BN$508,1),COUNT($BN$9:$BN$508)+1)))</f>
        <v/>
      </c>
      <c r="BP317" s="91" t="str">
        <f aca="false">IF($BD317&lt;&gt;Constants!$B$6,"",IF($AU317="-&gt;",$AT317,$BC317))</f>
        <v/>
      </c>
      <c r="BQ317" s="87" t="str">
        <f aca="false">IF(ISBLANK($C317),"",IF($BD317&lt;&gt;Constants!$B$6,$BD317,IF(ISNUMBER($BP317),RANK($BP317,$BP$9:$BP$508,1),COUNT($BP$9:$BP$508)+1)))</f>
        <v/>
      </c>
      <c r="BR317" s="87" t="str">
        <f aca="false">IF(ISBLANK($C317),"",IF($BD317&lt;&gt;Constants!$B$6,$BD317,COUNTIFS($BI$9:$BI$508,"&lt;"&amp;$BI317)+COUNTIFS($BI$9:$BI$508,$BI317,$BK$9:$BK$508,"&lt;"&amp;$BK317)+COUNTIFS($BI$9:$BI$508,$BI317,$BK$9:$BK$508,$BK317,$BM$9:$BM$508,"&lt;"&amp;$BM317)+COUNTIFS($BI$9:$BI$508,$BI317,$BK$9:$BK$508,$BK317,$BM$9:$BM$508,$BM317,$BO$9:$BO$508,"&lt;"&amp;$BO317)+COUNTIFS($BI$9:$BI$508,$BI317,$BK$9:$BK$508,$BK317,$BM$9:$BM$508,$BM317,$BO$9:$BO$508,$BO317,$BQ$9:$BQ$508,"&lt;"&amp;$BQ317)+1))</f>
        <v/>
      </c>
      <c r="BS317" s="87" t="str">
        <f aca="false">IF(ISBLANK($C317),"",IF($BD317&lt;&gt;Constants!$B$6,$BD317,$BI317-$BR317))</f>
        <v/>
      </c>
      <c r="BT317" s="94"/>
      <c r="BU317" s="95"/>
      <c r="BV317" s="95" t="str">
        <f aca="false">IF(ISBLANK($C317),"",IF($BD317&lt;&gt;Constants!$B$6,"",IF($AU317="-&gt;",2,1)))</f>
        <v/>
      </c>
      <c r="BW317" s="96" t="str">
        <f aca="false">IF(ISBLANK($C317),"",IF($BD317&lt;&gt;Constants!$B$6,"",IF($AU317="-&gt;",$AW317,$AN317)))</f>
        <v/>
      </c>
      <c r="BX317" s="96" t="str">
        <f aca="false">IF(ISBLANK($C317),"",IF($BD317&lt;&gt;Constants!$B$6,"",IF($AU317="-&gt;",$AX317,$AO317)))</f>
        <v/>
      </c>
      <c r="BY317" s="96" t="str">
        <f aca="false">IF(ISBLANK($C317),"",IF($BD317&lt;&gt;Constants!$B$6,"",IF($AU317="-&gt;",$AY317,$AP317)))</f>
        <v/>
      </c>
      <c r="BZ317" s="96" t="str">
        <f aca="false">IF(ISBLANK($C317),"",IF($BD317&lt;&gt;Constants!$B$6,"",IF($AU317="-&gt;",$AZ317,$AQ317)+$BG317))</f>
        <v/>
      </c>
      <c r="CA317" s="97" t="str">
        <f aca="false">IF(ISBLANK($C317),"",IF($BD317&lt;&gt;Constants!$B$6,$BD317,$BH317))</f>
        <v/>
      </c>
      <c r="CB317" s="98" t="str">
        <f aca="false">IF(ISBLANK($C317),"",$BE317)</f>
        <v/>
      </c>
      <c r="CC317" s="99" t="str">
        <f aca="false">IF(ISBLANK($C317),"",$BS317)</f>
        <v/>
      </c>
      <c r="CD317" s="99" t="str">
        <f aca="false">IF(ISBLANK($C317),"",$BR317)</f>
        <v/>
      </c>
      <c r="CE317" s="100" t="str">
        <f aca="false">IF(ISBLANK($C317),"",IF($CD317=Constants!$B$9,COUNTA($C$9:$C$508)+2,IF($CD317=Constants!$B$8,COUNTA($C$9:$C$508)+1,IF($CD317=Constants!$B$7,COUNTA($C$9:$C$508),$CD317))))</f>
        <v/>
      </c>
      <c r="CF317" s="9"/>
      <c r="CG317" s="101" t="n">
        <f aca="false">IF(OR(ISNUMBER($CD317),$CD317=Constants!$B$9,$CD317=Constants!$B$7,$CD317=Constants!$B$8),1,0)</f>
        <v>0</v>
      </c>
      <c r="CH317" s="101" t="n">
        <v>309</v>
      </c>
      <c r="CI317" s="101" t="str">
        <f aca="false">IF(ISBLANK($C317),"",IF(ISNUMBER($CE317),$CE317+ROW($B317)/1000,""))</f>
        <v/>
      </c>
      <c r="CJ317" s="101" t="str">
        <f aca="false">IF(ISNUMBER($CI317),RANK($CI317,$CI$9:$CI$508,1),"")</f>
        <v/>
      </c>
      <c r="CK317" s="101" t="str">
        <f aca="false">IF(ISBLANK($C317),"",$B317)</f>
        <v/>
      </c>
      <c r="CL317" s="101" t="str">
        <f aca="false">IF(ISBLANK($C317),"",$C317)</f>
        <v/>
      </c>
      <c r="CM317" s="101" t="str">
        <f aca="false">IF(ISBLANK($C317),"",$D317)</f>
        <v/>
      </c>
      <c r="CN317" s="102" t="str">
        <f aca="false">$CB317</f>
        <v/>
      </c>
      <c r="CO317" s="103" t="str">
        <f aca="false">$CA317</f>
        <v/>
      </c>
      <c r="CP317" s="101" t="str">
        <f aca="false">IF(ISBLANK($C317),"",$CD317)</f>
        <v/>
      </c>
      <c r="CQ317" s="104" t="str">
        <f aca="false">IF($CH317&gt;$CG$8,"",VLOOKUP($CH317,$CJ$9:$CP$508,7,FALSE()))</f>
        <v/>
      </c>
      <c r="CR317" s="105" t="str">
        <f aca="false">IF($CH317&gt;$CG$8,"",VLOOKUP($CH317,$CJ$9:$CP$508,2,FALSE()))</f>
        <v/>
      </c>
      <c r="CS317" s="105" t="str">
        <f aca="false">IF($CH317&gt;$CG$8,"",VLOOKUP($CH317,$CJ$9:$CP$508,3,FALSE()))</f>
        <v/>
      </c>
      <c r="CT317" s="105" t="str">
        <f aca="false">IF($CH317&gt;$CG$8,"",VLOOKUP($CH317,$CJ$9:$CP$508,4,FALSE()))</f>
        <v/>
      </c>
      <c r="CU317" s="105" t="str">
        <f aca="false">IF($CH317&gt;$CG$8,"",VLOOKUP($CH317,$CJ$9:$CP$508,5,FALSE()))</f>
        <v/>
      </c>
      <c r="CV317" s="106" t="str">
        <f aca="false">IF($CH317&gt;$CG$8,"",VLOOKUP($CH317,$CJ$9:$CP$508,6,FALSE()))</f>
        <v/>
      </c>
      <c r="CW317" s="71"/>
    </row>
    <row r="318" customFormat="false" ht="15.75" hidden="false" customHeight="false" outlineLevel="0" collapsed="false">
      <c r="A318" s="9"/>
      <c r="B318" s="150"/>
      <c r="C318" s="151"/>
      <c r="D318" s="152"/>
      <c r="E318" s="170"/>
      <c r="F318" s="154"/>
      <c r="G318" s="155"/>
      <c r="H318" s="171"/>
      <c r="I318" s="159"/>
      <c r="J318" s="120"/>
      <c r="K318" s="121"/>
      <c r="L318" s="122"/>
      <c r="M318" s="158"/>
      <c r="N318" s="159"/>
      <c r="O318" s="159"/>
      <c r="P318" s="120"/>
      <c r="Q318" s="122"/>
      <c r="R318" s="122"/>
      <c r="S318" s="158"/>
      <c r="T318" s="159"/>
      <c r="U318" s="126"/>
      <c r="V318" s="127"/>
      <c r="W318" s="127" t="str">
        <f aca="false">IF(ISBLANK($C318),"",IF(E318=Constants!$B$2,TRUE(),IF(E318=Constants!$B$3,FALSE(),TRUE())))</f>
        <v/>
      </c>
      <c r="X318" s="127" t="str">
        <f aca="false">IF(ISBLANK($C318),"",IF(F318=Constants!$B$2,TRUE(),IF(F318=Constants!$B$3,FALSE(),TRUE())))</f>
        <v/>
      </c>
      <c r="Y318" s="127" t="str">
        <f aca="false">IF(ISBLANK($C318),"",IF(G318=Constants!$B$2,TRUE(),IF(G318=Constants!$B$3,FALSE(),TRUE())))</f>
        <v/>
      </c>
      <c r="Z318" s="127" t="str">
        <f aca="false">IF(ISBLANK($C318),"",IF(H318=Constants!$B$2,TRUE(),IF(H318=Constants!$B$3,FALSE(),TRUE())))</f>
        <v/>
      </c>
      <c r="AA318" s="127" t="str">
        <f aca="false">IF(ISBLANK($C318),"",IF(I318=Constants!$B$2,TRUE(),IF(I318=Constants!$B$3,FALSE(),TRUE())))</f>
        <v/>
      </c>
      <c r="AB318" s="127" t="str">
        <f aca="false">IF(ISBLANK($C318),"",IF(J318=Constants!$B$4,TRUE(),IF(J318=Constants!$B$5,FALSE(),COUNTA(K318:M318)&gt;0)))</f>
        <v/>
      </c>
      <c r="AC318" s="128" t="str">
        <f aca="false">IF(ISBLANK($C318),"",IF(ISNUMBER(K318),IF(K318&gt;=0,K318,""),""))</f>
        <v/>
      </c>
      <c r="AD318" s="129" t="str">
        <f aca="false">IF(ISBLANK($C318),"",IF(ISNUMBER(L318),IF(L318&gt;=0,L318,""),""))</f>
        <v/>
      </c>
      <c r="AE318" s="127" t="str">
        <f aca="false">IF(ISBLANK($C318),"",IF(ISNUMBER(M318),IF(M318&gt;=0,MIN(M318,Constants!$B$22),""),""))</f>
        <v/>
      </c>
      <c r="AF318" s="127" t="str">
        <f aca="false">IF(ISBLANK($C318),"",IF(N318=Constants!$B$2,TRUE(),IF(N318=Constants!$B$3,FALSE(),TRUE())))</f>
        <v/>
      </c>
      <c r="AG318" s="127" t="str">
        <f aca="false">IF(ISBLANK($C318),"",IF(O318=Constants!$B$2,TRUE(),IF(O318=Constants!$B$3,FALSE(),TRUE())))</f>
        <v/>
      </c>
      <c r="AH318" s="127" t="str">
        <f aca="false">IF(ISBLANK($C318),"",IF(P318=Constants!$B$4,TRUE(),IF(P318=Constants!$B$5,FALSE(),COUNTA(Q318:S318)&gt;0)))</f>
        <v/>
      </c>
      <c r="AI318" s="128" t="str">
        <f aca="false">IF(ISBLANK($C318),"",IF(ISNUMBER(Q318),IF(Q318&gt;=0,Q318,""),""))</f>
        <v/>
      </c>
      <c r="AJ318" s="129" t="str">
        <f aca="false">IF(ISBLANK($C318),"",IF(ISNUMBER(R318),IF(R318&gt;=0,R318,""),""))</f>
        <v/>
      </c>
      <c r="AK318" s="127" t="str">
        <f aca="false">IF(ISBLANK($C318),"",IF(ISNUMBER(S318),IF(S318&gt;=0,MIN(S318,Constants!$B$22),""),""))</f>
        <v/>
      </c>
      <c r="AL318" s="127" t="str">
        <f aca="false">IF(ISBLANK($C318),"",IF(T318=Constants!$B$2,TRUE(),IF(T318=Constants!$B$3,FALSE(),FALSE())))</f>
        <v/>
      </c>
      <c r="AM318" s="126" t="str">
        <f aca="false">IF(ISBLANK($C318),"",AND($AB318,OR($AC318="",$AD318="",AND(NOT(ISBLANK($M318)),$AE318=""))))</f>
        <v/>
      </c>
      <c r="AN318" s="129" t="str">
        <f aca="false">IF($BD318&lt;&gt;Constants!$B$6,"",IF($AB318,Constants!$B$17*$AD318,Constants!$B$18))</f>
        <v/>
      </c>
      <c r="AO318" s="130" t="str">
        <f aca="false">IF($BD318&lt;&gt;Constants!$B$6,"",Constants!$B$19*IF($AB318,$AC318,0))</f>
        <v/>
      </c>
      <c r="AP318" s="130" t="str">
        <f aca="false">IF($BD318&lt;&gt;Constants!$B$6,"",IF(AND($AB318,ISNUMBER($AE318)),Constants!$B$20*(Constants!$B$21-$AE318),0))</f>
        <v/>
      </c>
      <c r="AQ318" s="130" t="str">
        <f aca="false">IF($BD318&lt;&gt;Constants!$B$6,"",IF($AA318,0,Constants!$B$12)+IF($Z318,0,Constants!$B$13)+IF($Y318,0,Constants!$B$14))</f>
        <v/>
      </c>
      <c r="AR318" s="131" t="str">
        <f aca="false">IF($BD318&lt;&gt;Constants!$B$6,"",Constants!$B$16+SUM($AN318:$AQ318))</f>
        <v/>
      </c>
      <c r="AS318" s="130" t="str">
        <f aca="false">IF($BD318&lt;&gt;Constants!$B$6,"",IF($AB318,$AD318,""))</f>
        <v/>
      </c>
      <c r="AT318" s="132" t="str">
        <f aca="false">IF($BD318&lt;&gt;Constants!$B$6,"",$AO318)</f>
        <v/>
      </c>
      <c r="AU318" s="127" t="str">
        <f aca="false">IF($BD318&lt;&gt;Constants!$B$6,"",IF(OR($BA318&lt;$AR318,AND($BA318=$AR318,OR(AND(ISNUMBER($BB318),OR(NOT(ISNUMBER($AS318)),$BB318&lt;$AS318)),AND(OR(AND($BB318="",$AS318=""),AND(ISNUMBER($BB318),ISNUMBER($AS318),$BB318=$AS318)),$BC318&lt;$AT318)))),"-&gt;","&lt;-"))</f>
        <v/>
      </c>
      <c r="AV318" s="126" t="str">
        <f aca="false">IF(ISBLANK($C318),"",AND($AH318,OR($AI318="",$AJ318="",AND(NOT(ISBLANK($S318)),$AK318=""))))</f>
        <v/>
      </c>
      <c r="AW318" s="129" t="str">
        <f aca="false">IF($BD318&lt;&gt;Constants!$B$6,"",IF($AH318,Constants!$B$17*$AJ318,Constants!$B$18))</f>
        <v/>
      </c>
      <c r="AX318" s="130" t="str">
        <f aca="false">IF($BD318&lt;&gt;Constants!$B$6,"",Constants!$B$19*IF($AH318,$AI318,0))</f>
        <v/>
      </c>
      <c r="AY318" s="130" t="str">
        <f aca="false">IF($BD318&lt;&gt;Constants!$B$6,"",IF(AND($AH318,ISNUMBER($AK318)),Constants!$B$20*(Constants!$B$21-$AK318),0))</f>
        <v/>
      </c>
      <c r="AZ318" s="130" t="str">
        <f aca="false">IF($BD318&lt;&gt;Constants!$B$6,"",IF($AG318,0,Constants!$B$12)+IF($AF318,0,Constants!$B$13)+IF($Y318,0,Constants!$B$14))</f>
        <v/>
      </c>
      <c r="BA318" s="131" t="str">
        <f aca="false">IF($BD318&lt;&gt;Constants!$B$6,"",Constants!$B$16+SUM($AW318:$AZ318))</f>
        <v/>
      </c>
      <c r="BB318" s="130" t="str">
        <f aca="false">IF($BD318&lt;&gt;Constants!$B$6,"",IF($AH318,$AJ318,""))</f>
        <v/>
      </c>
      <c r="BC318" s="132" t="str">
        <f aca="false">IF($BD318&lt;&gt;Constants!$B$6,"",$AX318)</f>
        <v/>
      </c>
      <c r="BD318" s="127" t="str">
        <f aca="false">IF(ISBLANK($C318),"",IF($AL318,Constants!$B$9,IF(COUNTA($E318:$T318)=0,Constants!$B$8,IF(NOT($X318),Constants!$B$7,IF(OR($AM318,$AV318),Constants!$B$10,Constants!$B$6)))))</f>
        <v/>
      </c>
      <c r="BE318" s="127" t="str">
        <f aca="false">IF(ISBLANK($C318),"",IF($BD318&lt;&gt;Constants!$B$6,$BD318,Constants!$B$11))</f>
        <v/>
      </c>
      <c r="BF318" s="130" t="str">
        <f aca="false">IF($BD318&lt;&gt;Constants!$B$6,"",IF($AU318="-&gt;",$BA318,$AR318))</f>
        <v/>
      </c>
      <c r="BG318" s="130" t="str">
        <f aca="false">IF($BD318&lt;&gt;Constants!$B$6,"",IF($W318,0,Constants!$B$15))</f>
        <v/>
      </c>
      <c r="BH318" s="130" t="str">
        <f aca="false">IF(ISBLANK($C318),"",IF($BD318&lt;&gt;Constants!$B$6,$BD318,SUM($BF318:$BG318)))</f>
        <v/>
      </c>
      <c r="BI318" s="127" t="str">
        <f aca="false">IF(ISBLANK($C318),"",IF($BD318&lt;&gt;Constants!$B$6,$BD318,RANK($BH318,$BH$9:$BH$508,1)))</f>
        <v/>
      </c>
      <c r="BJ318" s="130" t="str">
        <f aca="false">IF($BD318&lt;&gt;Constants!$B$6,"",IF($AU318="-&gt;",$BB318,$AS318))</f>
        <v/>
      </c>
      <c r="BK318" s="127" t="str">
        <f aca="false">IF(ISBLANK($C318),"",IF($BD318&lt;&gt;Constants!$B$6,$BD318,IF(ISNUMBER($BJ318),RANK($BJ318,$BJ$9:$BJ$508,1),COUNT($BJ$9:$BJ$508)+1)))</f>
        <v/>
      </c>
      <c r="BL318" s="130" t="str">
        <f aca="false">IF($BD318&lt;&gt;Constants!$B$6,"",IF($AU318="-&gt;",$BC318,$AT318))</f>
        <v/>
      </c>
      <c r="BM318" s="127" t="str">
        <f aca="false">IF(ISBLANK($C318),"",IF($BD318&lt;&gt;Constants!$B$6,$BD318,IF(ISNUMBER($BL318),RANK($BL318,$BL$9:$BL$508,1),COUNT($BL$9:$BL$508)+1)))</f>
        <v/>
      </c>
      <c r="BN318" s="130" t="str">
        <f aca="false">IF($BD318&lt;&gt;Constants!$B$6,"",IF($AU318="-&gt;",$AS318,$BB318))</f>
        <v/>
      </c>
      <c r="BO318" s="127" t="str">
        <f aca="false">IF(ISBLANK($C318),"",IF($BD318&lt;&gt;Constants!$B$6,$BD318,IF(ISNUMBER($BN318),RANK($BN318,$BN$9:$BN$508,1),COUNT($BN$9:$BN$508)+1)))</f>
        <v/>
      </c>
      <c r="BP318" s="130" t="str">
        <f aca="false">IF($BD318&lt;&gt;Constants!$B$6,"",IF($AU318="-&gt;",$AT318,$BC318))</f>
        <v/>
      </c>
      <c r="BQ318" s="127" t="str">
        <f aca="false">IF(ISBLANK($C318),"",IF($BD318&lt;&gt;Constants!$B$6,$BD318,IF(ISNUMBER($BP318),RANK($BP318,$BP$9:$BP$508,1),COUNT($BP$9:$BP$508)+1)))</f>
        <v/>
      </c>
      <c r="BR318" s="127" t="str">
        <f aca="false">IF(ISBLANK($C318),"",IF($BD318&lt;&gt;Constants!$B$6,$BD318,COUNTIFS($BI$9:$BI$508,"&lt;"&amp;$BI318)+COUNTIFS($BI$9:$BI$508,$BI318,$BK$9:$BK$508,"&lt;"&amp;$BK318)+COUNTIFS($BI$9:$BI$508,$BI318,$BK$9:$BK$508,$BK318,$BM$9:$BM$508,"&lt;"&amp;$BM318)+COUNTIFS($BI$9:$BI$508,$BI318,$BK$9:$BK$508,$BK318,$BM$9:$BM$508,$BM318,$BO$9:$BO$508,"&lt;"&amp;$BO318)+COUNTIFS($BI$9:$BI$508,$BI318,$BK$9:$BK$508,$BK318,$BM$9:$BM$508,$BM318,$BO$9:$BO$508,$BO318,$BQ$9:$BQ$508,"&lt;"&amp;$BQ318)+1))</f>
        <v/>
      </c>
      <c r="BS318" s="127" t="str">
        <f aca="false">IF(ISBLANK($C318),"",IF($BD318&lt;&gt;Constants!$B$6,$BD318,$BI318-$BR318))</f>
        <v/>
      </c>
      <c r="BT318" s="133"/>
      <c r="BU318" s="134"/>
      <c r="BV318" s="134" t="str">
        <f aca="false">IF(ISBLANK($C318),"",IF($BD318&lt;&gt;Constants!$B$6,"",IF($AU318="-&gt;",2,1)))</f>
        <v/>
      </c>
      <c r="BW318" s="135" t="str">
        <f aca="false">IF(ISBLANK($C318),"",IF($BD318&lt;&gt;Constants!$B$6,"",IF($AU318="-&gt;",$AW318,$AN318)))</f>
        <v/>
      </c>
      <c r="BX318" s="135" t="str">
        <f aca="false">IF(ISBLANK($C318),"",IF($BD318&lt;&gt;Constants!$B$6,"",IF($AU318="-&gt;",$AX318,$AO318)))</f>
        <v/>
      </c>
      <c r="BY318" s="135" t="str">
        <f aca="false">IF(ISBLANK($C318),"",IF($BD318&lt;&gt;Constants!$B$6,"",IF($AU318="-&gt;",$AY318,$AP318)))</f>
        <v/>
      </c>
      <c r="BZ318" s="135" t="str">
        <f aca="false">IF(ISBLANK($C318),"",IF($BD318&lt;&gt;Constants!$B$6,"",IF($AU318="-&gt;",$AZ318,$AQ318)+$BG318))</f>
        <v/>
      </c>
      <c r="CA318" s="136" t="str">
        <f aca="false">IF(ISBLANK($C318),"",IF($BD318&lt;&gt;Constants!$B$6,$BD318,$BH318))</f>
        <v/>
      </c>
      <c r="CB318" s="137" t="str">
        <f aca="false">IF(ISBLANK($C318),"",$BE318)</f>
        <v/>
      </c>
      <c r="CC318" s="138" t="str">
        <f aca="false">IF(ISBLANK($C318),"",$BS318)</f>
        <v/>
      </c>
      <c r="CD318" s="138" t="str">
        <f aca="false">IF(ISBLANK($C318),"",$BR318)</f>
        <v/>
      </c>
      <c r="CE318" s="139" t="str">
        <f aca="false">IF(ISBLANK($C318),"",IF($CD318=Constants!$B$9,COUNTA($C$9:$C$508)+2,IF($CD318=Constants!$B$8,COUNTA($C$9:$C$508)+1,IF($CD318=Constants!$B$7,COUNTA($C$9:$C$508),$CD318))))</f>
        <v/>
      </c>
      <c r="CF318" s="9"/>
      <c r="CG318" s="140" t="n">
        <f aca="false">IF(OR(ISNUMBER($CD318),$CD318=Constants!$B$9,$CD318=Constants!$B$7,$CD318=Constants!$B$8),1,0)</f>
        <v>0</v>
      </c>
      <c r="CH318" s="140" t="n">
        <v>310</v>
      </c>
      <c r="CI318" s="140" t="str">
        <f aca="false">IF(ISBLANK($C318),"",IF(ISNUMBER($CE318),$CE318+ROW($B318)/1000,""))</f>
        <v/>
      </c>
      <c r="CJ318" s="140" t="str">
        <f aca="false">IF(ISNUMBER($CI318),RANK($CI318,$CI$9:$CI$508,1),"")</f>
        <v/>
      </c>
      <c r="CK318" s="140" t="str">
        <f aca="false">IF(ISBLANK($C318),"",$B318)</f>
        <v/>
      </c>
      <c r="CL318" s="140" t="str">
        <f aca="false">IF(ISBLANK($C318),"",$C318)</f>
        <v/>
      </c>
      <c r="CM318" s="140" t="str">
        <f aca="false">IF(ISBLANK($C318),"",$D318)</f>
        <v/>
      </c>
      <c r="CN318" s="141" t="str">
        <f aca="false">$CB318</f>
        <v/>
      </c>
      <c r="CO318" s="142" t="str">
        <f aca="false">$CA318</f>
        <v/>
      </c>
      <c r="CP318" s="140" t="str">
        <f aca="false">IF(ISBLANK($C318),"",$CD318)</f>
        <v/>
      </c>
      <c r="CQ318" s="143" t="str">
        <f aca="false">IF($CH318&gt;$CG$8,"",VLOOKUP($CH318,$CJ$9:$CP$508,7,FALSE()))</f>
        <v/>
      </c>
      <c r="CR318" s="144" t="str">
        <f aca="false">IF($CH318&gt;$CG$8,"",VLOOKUP($CH318,$CJ$9:$CP$508,2,FALSE()))</f>
        <v/>
      </c>
      <c r="CS318" s="144" t="str">
        <f aca="false">IF($CH318&gt;$CG$8,"",VLOOKUP($CH318,$CJ$9:$CP$508,3,FALSE()))</f>
        <v/>
      </c>
      <c r="CT318" s="144" t="str">
        <f aca="false">IF($CH318&gt;$CG$8,"",VLOOKUP($CH318,$CJ$9:$CP$508,4,FALSE()))</f>
        <v/>
      </c>
      <c r="CU318" s="144" t="str">
        <f aca="false">IF($CH318&gt;$CG$8,"",VLOOKUP($CH318,$CJ$9:$CP$508,5,FALSE()))</f>
        <v/>
      </c>
      <c r="CV318" s="145" t="str">
        <f aca="false">IF($CH318&gt;$CG$8,"",VLOOKUP($CH318,$CJ$9:$CP$508,6,FALSE()))</f>
        <v/>
      </c>
      <c r="CW318" s="71"/>
    </row>
    <row r="319" customFormat="false" ht="15.75" hidden="false" customHeight="false" outlineLevel="0" collapsed="false">
      <c r="A319" s="9"/>
      <c r="B319" s="150"/>
      <c r="C319" s="151"/>
      <c r="D319" s="152"/>
      <c r="E319" s="170"/>
      <c r="F319" s="154"/>
      <c r="G319" s="155"/>
      <c r="H319" s="171"/>
      <c r="I319" s="159"/>
      <c r="J319" s="120"/>
      <c r="K319" s="121"/>
      <c r="L319" s="122"/>
      <c r="M319" s="158"/>
      <c r="N319" s="159"/>
      <c r="O319" s="159"/>
      <c r="P319" s="120"/>
      <c r="Q319" s="122"/>
      <c r="R319" s="122"/>
      <c r="S319" s="158"/>
      <c r="T319" s="159"/>
      <c r="U319" s="126"/>
      <c r="V319" s="127"/>
      <c r="W319" s="127" t="str">
        <f aca="false">IF(ISBLANK($C319),"",IF(E319=Constants!$B$2,TRUE(),IF(E319=Constants!$B$3,FALSE(),TRUE())))</f>
        <v/>
      </c>
      <c r="X319" s="127" t="str">
        <f aca="false">IF(ISBLANK($C319),"",IF(F319=Constants!$B$2,TRUE(),IF(F319=Constants!$B$3,FALSE(),TRUE())))</f>
        <v/>
      </c>
      <c r="Y319" s="127" t="str">
        <f aca="false">IF(ISBLANK($C319),"",IF(G319=Constants!$B$2,TRUE(),IF(G319=Constants!$B$3,FALSE(),TRUE())))</f>
        <v/>
      </c>
      <c r="Z319" s="127" t="str">
        <f aca="false">IF(ISBLANK($C319),"",IF(H319=Constants!$B$2,TRUE(),IF(H319=Constants!$B$3,FALSE(),TRUE())))</f>
        <v/>
      </c>
      <c r="AA319" s="127" t="str">
        <f aca="false">IF(ISBLANK($C319),"",IF(I319=Constants!$B$2,TRUE(),IF(I319=Constants!$B$3,FALSE(),TRUE())))</f>
        <v/>
      </c>
      <c r="AB319" s="127" t="str">
        <f aca="false">IF(ISBLANK($C319),"",IF(J319=Constants!$B$4,TRUE(),IF(J319=Constants!$B$5,FALSE(),COUNTA(K319:M319)&gt;0)))</f>
        <v/>
      </c>
      <c r="AC319" s="128" t="str">
        <f aca="false">IF(ISBLANK($C319),"",IF(ISNUMBER(K319),IF(K319&gt;=0,K319,""),""))</f>
        <v/>
      </c>
      <c r="AD319" s="129" t="str">
        <f aca="false">IF(ISBLANK($C319),"",IF(ISNUMBER(L319),IF(L319&gt;=0,L319,""),""))</f>
        <v/>
      </c>
      <c r="AE319" s="127" t="str">
        <f aca="false">IF(ISBLANK($C319),"",IF(ISNUMBER(M319),IF(M319&gt;=0,MIN(M319,Constants!$B$22),""),""))</f>
        <v/>
      </c>
      <c r="AF319" s="127" t="str">
        <f aca="false">IF(ISBLANK($C319),"",IF(N319=Constants!$B$2,TRUE(),IF(N319=Constants!$B$3,FALSE(),TRUE())))</f>
        <v/>
      </c>
      <c r="AG319" s="127" t="str">
        <f aca="false">IF(ISBLANK($C319),"",IF(O319=Constants!$B$2,TRUE(),IF(O319=Constants!$B$3,FALSE(),TRUE())))</f>
        <v/>
      </c>
      <c r="AH319" s="127" t="str">
        <f aca="false">IF(ISBLANK($C319),"",IF(P319=Constants!$B$4,TRUE(),IF(P319=Constants!$B$5,FALSE(),COUNTA(Q319:S319)&gt;0)))</f>
        <v/>
      </c>
      <c r="AI319" s="128" t="str">
        <f aca="false">IF(ISBLANK($C319),"",IF(ISNUMBER(Q319),IF(Q319&gt;=0,Q319,""),""))</f>
        <v/>
      </c>
      <c r="AJ319" s="129" t="str">
        <f aca="false">IF(ISBLANK($C319),"",IF(ISNUMBER(R319),IF(R319&gt;=0,R319,""),""))</f>
        <v/>
      </c>
      <c r="AK319" s="127" t="str">
        <f aca="false">IF(ISBLANK($C319),"",IF(ISNUMBER(S319),IF(S319&gt;=0,MIN(S319,Constants!$B$22),""),""))</f>
        <v/>
      </c>
      <c r="AL319" s="127" t="str">
        <f aca="false">IF(ISBLANK($C319),"",IF(T319=Constants!$B$2,TRUE(),IF(T319=Constants!$B$3,FALSE(),FALSE())))</f>
        <v/>
      </c>
      <c r="AM319" s="126" t="str">
        <f aca="false">IF(ISBLANK($C319),"",AND($AB319,OR($AC319="",$AD319="",AND(NOT(ISBLANK($M319)),$AE319=""))))</f>
        <v/>
      </c>
      <c r="AN319" s="129" t="str">
        <f aca="false">IF($BD319&lt;&gt;Constants!$B$6,"",IF($AB319,Constants!$B$17*$AD319,Constants!$B$18))</f>
        <v/>
      </c>
      <c r="AO319" s="130" t="str">
        <f aca="false">IF($BD319&lt;&gt;Constants!$B$6,"",Constants!$B$19*IF($AB319,$AC319,0))</f>
        <v/>
      </c>
      <c r="AP319" s="130" t="str">
        <f aca="false">IF($BD319&lt;&gt;Constants!$B$6,"",IF(AND($AB319,ISNUMBER($AE319)),Constants!$B$20*(Constants!$B$21-$AE319),0))</f>
        <v/>
      </c>
      <c r="AQ319" s="130" t="str">
        <f aca="false">IF($BD319&lt;&gt;Constants!$B$6,"",IF($AA319,0,Constants!$B$12)+IF($Z319,0,Constants!$B$13)+IF($Y319,0,Constants!$B$14))</f>
        <v/>
      </c>
      <c r="AR319" s="131" t="str">
        <f aca="false">IF($BD319&lt;&gt;Constants!$B$6,"",Constants!$B$16+SUM($AN319:$AQ319))</f>
        <v/>
      </c>
      <c r="AS319" s="130" t="str">
        <f aca="false">IF($BD319&lt;&gt;Constants!$B$6,"",IF($AB319,$AD319,""))</f>
        <v/>
      </c>
      <c r="AT319" s="132" t="str">
        <f aca="false">IF($BD319&lt;&gt;Constants!$B$6,"",$AO319)</f>
        <v/>
      </c>
      <c r="AU319" s="127" t="str">
        <f aca="false">IF($BD319&lt;&gt;Constants!$B$6,"",IF(OR($BA319&lt;$AR319,AND($BA319=$AR319,OR(AND(ISNUMBER($BB319),OR(NOT(ISNUMBER($AS319)),$BB319&lt;$AS319)),AND(OR(AND($BB319="",$AS319=""),AND(ISNUMBER($BB319),ISNUMBER($AS319),$BB319=$AS319)),$BC319&lt;$AT319)))),"-&gt;","&lt;-"))</f>
        <v/>
      </c>
      <c r="AV319" s="126" t="str">
        <f aca="false">IF(ISBLANK($C319),"",AND($AH319,OR($AI319="",$AJ319="",AND(NOT(ISBLANK($S319)),$AK319=""))))</f>
        <v/>
      </c>
      <c r="AW319" s="129" t="str">
        <f aca="false">IF($BD319&lt;&gt;Constants!$B$6,"",IF($AH319,Constants!$B$17*$AJ319,Constants!$B$18))</f>
        <v/>
      </c>
      <c r="AX319" s="130" t="str">
        <f aca="false">IF($BD319&lt;&gt;Constants!$B$6,"",Constants!$B$19*IF($AH319,$AI319,0))</f>
        <v/>
      </c>
      <c r="AY319" s="130" t="str">
        <f aca="false">IF($BD319&lt;&gt;Constants!$B$6,"",IF(AND($AH319,ISNUMBER($AK319)),Constants!$B$20*(Constants!$B$21-$AK319),0))</f>
        <v/>
      </c>
      <c r="AZ319" s="130" t="str">
        <f aca="false">IF($BD319&lt;&gt;Constants!$B$6,"",IF($AG319,0,Constants!$B$12)+IF($AF319,0,Constants!$B$13)+IF($Y319,0,Constants!$B$14))</f>
        <v/>
      </c>
      <c r="BA319" s="131" t="str">
        <f aca="false">IF($BD319&lt;&gt;Constants!$B$6,"",Constants!$B$16+SUM($AW319:$AZ319))</f>
        <v/>
      </c>
      <c r="BB319" s="130" t="str">
        <f aca="false">IF($BD319&lt;&gt;Constants!$B$6,"",IF($AH319,$AJ319,""))</f>
        <v/>
      </c>
      <c r="BC319" s="132" t="str">
        <f aca="false">IF($BD319&lt;&gt;Constants!$B$6,"",$AX319)</f>
        <v/>
      </c>
      <c r="BD319" s="127" t="str">
        <f aca="false">IF(ISBLANK($C319),"",IF($AL319,Constants!$B$9,IF(COUNTA($E319:$T319)=0,Constants!$B$8,IF(NOT($X319),Constants!$B$7,IF(OR($AM319,$AV319),Constants!$B$10,Constants!$B$6)))))</f>
        <v/>
      </c>
      <c r="BE319" s="127" t="str">
        <f aca="false">IF(ISBLANK($C319),"",IF($BD319&lt;&gt;Constants!$B$6,$BD319,Constants!$B$11))</f>
        <v/>
      </c>
      <c r="BF319" s="130" t="str">
        <f aca="false">IF($BD319&lt;&gt;Constants!$B$6,"",IF($AU319="-&gt;",$BA319,$AR319))</f>
        <v/>
      </c>
      <c r="BG319" s="130" t="str">
        <f aca="false">IF($BD319&lt;&gt;Constants!$B$6,"",IF($W319,0,Constants!$B$15))</f>
        <v/>
      </c>
      <c r="BH319" s="130" t="str">
        <f aca="false">IF(ISBLANK($C319),"",IF($BD319&lt;&gt;Constants!$B$6,$BD319,SUM($BF319:$BG319)))</f>
        <v/>
      </c>
      <c r="BI319" s="127" t="str">
        <f aca="false">IF(ISBLANK($C319),"",IF($BD319&lt;&gt;Constants!$B$6,$BD319,RANK($BH319,$BH$9:$BH$508,1)))</f>
        <v/>
      </c>
      <c r="BJ319" s="130" t="str">
        <f aca="false">IF($BD319&lt;&gt;Constants!$B$6,"",IF($AU319="-&gt;",$BB319,$AS319))</f>
        <v/>
      </c>
      <c r="BK319" s="127" t="str">
        <f aca="false">IF(ISBLANK($C319),"",IF($BD319&lt;&gt;Constants!$B$6,$BD319,IF(ISNUMBER($BJ319),RANK($BJ319,$BJ$9:$BJ$508,1),COUNT($BJ$9:$BJ$508)+1)))</f>
        <v/>
      </c>
      <c r="BL319" s="130" t="str">
        <f aca="false">IF($BD319&lt;&gt;Constants!$B$6,"",IF($AU319="-&gt;",$BC319,$AT319))</f>
        <v/>
      </c>
      <c r="BM319" s="127" t="str">
        <f aca="false">IF(ISBLANK($C319),"",IF($BD319&lt;&gt;Constants!$B$6,$BD319,IF(ISNUMBER($BL319),RANK($BL319,$BL$9:$BL$508,1),COUNT($BL$9:$BL$508)+1)))</f>
        <v/>
      </c>
      <c r="BN319" s="130" t="str">
        <f aca="false">IF($BD319&lt;&gt;Constants!$B$6,"",IF($AU319="-&gt;",$AS319,$BB319))</f>
        <v/>
      </c>
      <c r="BO319" s="127" t="str">
        <f aca="false">IF(ISBLANK($C319),"",IF($BD319&lt;&gt;Constants!$B$6,$BD319,IF(ISNUMBER($BN319),RANK($BN319,$BN$9:$BN$508,1),COUNT($BN$9:$BN$508)+1)))</f>
        <v/>
      </c>
      <c r="BP319" s="130" t="str">
        <f aca="false">IF($BD319&lt;&gt;Constants!$B$6,"",IF($AU319="-&gt;",$AT319,$BC319))</f>
        <v/>
      </c>
      <c r="BQ319" s="127" t="str">
        <f aca="false">IF(ISBLANK($C319),"",IF($BD319&lt;&gt;Constants!$B$6,$BD319,IF(ISNUMBER($BP319),RANK($BP319,$BP$9:$BP$508,1),COUNT($BP$9:$BP$508)+1)))</f>
        <v/>
      </c>
      <c r="BR319" s="127" t="str">
        <f aca="false">IF(ISBLANK($C319),"",IF($BD319&lt;&gt;Constants!$B$6,$BD319,COUNTIFS($BI$9:$BI$508,"&lt;"&amp;$BI319)+COUNTIFS($BI$9:$BI$508,$BI319,$BK$9:$BK$508,"&lt;"&amp;$BK319)+COUNTIFS($BI$9:$BI$508,$BI319,$BK$9:$BK$508,$BK319,$BM$9:$BM$508,"&lt;"&amp;$BM319)+COUNTIFS($BI$9:$BI$508,$BI319,$BK$9:$BK$508,$BK319,$BM$9:$BM$508,$BM319,$BO$9:$BO$508,"&lt;"&amp;$BO319)+COUNTIFS($BI$9:$BI$508,$BI319,$BK$9:$BK$508,$BK319,$BM$9:$BM$508,$BM319,$BO$9:$BO$508,$BO319,$BQ$9:$BQ$508,"&lt;"&amp;$BQ319)+1))</f>
        <v/>
      </c>
      <c r="BS319" s="127" t="str">
        <f aca="false">IF(ISBLANK($C319),"",IF($BD319&lt;&gt;Constants!$B$6,$BD319,$BI319-$BR319))</f>
        <v/>
      </c>
      <c r="BT319" s="133"/>
      <c r="BU319" s="134"/>
      <c r="BV319" s="134" t="str">
        <f aca="false">IF(ISBLANK($C319),"",IF($BD319&lt;&gt;Constants!$B$6,"",IF($AU319="-&gt;",2,1)))</f>
        <v/>
      </c>
      <c r="BW319" s="135" t="str">
        <f aca="false">IF(ISBLANK($C319),"",IF($BD319&lt;&gt;Constants!$B$6,"",IF($AU319="-&gt;",$AW319,$AN319)))</f>
        <v/>
      </c>
      <c r="BX319" s="135" t="str">
        <f aca="false">IF(ISBLANK($C319),"",IF($BD319&lt;&gt;Constants!$B$6,"",IF($AU319="-&gt;",$AX319,$AO319)))</f>
        <v/>
      </c>
      <c r="BY319" s="135" t="str">
        <f aca="false">IF(ISBLANK($C319),"",IF($BD319&lt;&gt;Constants!$B$6,"",IF($AU319="-&gt;",$AY319,$AP319)))</f>
        <v/>
      </c>
      <c r="BZ319" s="135" t="str">
        <f aca="false">IF(ISBLANK($C319),"",IF($BD319&lt;&gt;Constants!$B$6,"",IF($AU319="-&gt;",$AZ319,$AQ319)+$BG319))</f>
        <v/>
      </c>
      <c r="CA319" s="136" t="str">
        <f aca="false">IF(ISBLANK($C319),"",IF($BD319&lt;&gt;Constants!$B$6,$BD319,$BH319))</f>
        <v/>
      </c>
      <c r="CB319" s="137" t="str">
        <f aca="false">IF(ISBLANK($C319),"",$BE319)</f>
        <v/>
      </c>
      <c r="CC319" s="138" t="str">
        <f aca="false">IF(ISBLANK($C319),"",$BS319)</f>
        <v/>
      </c>
      <c r="CD319" s="138" t="str">
        <f aca="false">IF(ISBLANK($C319),"",$BR319)</f>
        <v/>
      </c>
      <c r="CE319" s="139" t="str">
        <f aca="false">IF(ISBLANK($C319),"",IF($CD319=Constants!$B$9,COUNTA($C$9:$C$508)+2,IF($CD319=Constants!$B$8,COUNTA($C$9:$C$508)+1,IF($CD319=Constants!$B$7,COUNTA($C$9:$C$508),$CD319))))</f>
        <v/>
      </c>
      <c r="CF319" s="9"/>
      <c r="CG319" s="140" t="n">
        <f aca="false">IF(OR(ISNUMBER($CD319),$CD319=Constants!$B$9,$CD319=Constants!$B$7,$CD319=Constants!$B$8),1,0)</f>
        <v>0</v>
      </c>
      <c r="CH319" s="140" t="n">
        <v>311</v>
      </c>
      <c r="CI319" s="140" t="str">
        <f aca="false">IF(ISBLANK($C319),"",IF(ISNUMBER($CE319),$CE319+ROW($B319)/1000,""))</f>
        <v/>
      </c>
      <c r="CJ319" s="140" t="str">
        <f aca="false">IF(ISNUMBER($CI319),RANK($CI319,$CI$9:$CI$508,1),"")</f>
        <v/>
      </c>
      <c r="CK319" s="140" t="str">
        <f aca="false">IF(ISBLANK($C319),"",$B319)</f>
        <v/>
      </c>
      <c r="CL319" s="140" t="str">
        <f aca="false">IF(ISBLANK($C319),"",$C319)</f>
        <v/>
      </c>
      <c r="CM319" s="140" t="str">
        <f aca="false">IF(ISBLANK($C319),"",$D319)</f>
        <v/>
      </c>
      <c r="CN319" s="141" t="str">
        <f aca="false">$CB319</f>
        <v/>
      </c>
      <c r="CO319" s="142" t="str">
        <f aca="false">$CA319</f>
        <v/>
      </c>
      <c r="CP319" s="140" t="str">
        <f aca="false">IF(ISBLANK($C319),"",$CD319)</f>
        <v/>
      </c>
      <c r="CQ319" s="143" t="str">
        <f aca="false">IF($CH319&gt;$CG$8,"",VLOOKUP($CH319,$CJ$9:$CP$508,7,FALSE()))</f>
        <v/>
      </c>
      <c r="CR319" s="144" t="str">
        <f aca="false">IF($CH319&gt;$CG$8,"",VLOOKUP($CH319,$CJ$9:$CP$508,2,FALSE()))</f>
        <v/>
      </c>
      <c r="CS319" s="144" t="str">
        <f aca="false">IF($CH319&gt;$CG$8,"",VLOOKUP($CH319,$CJ$9:$CP$508,3,FALSE()))</f>
        <v/>
      </c>
      <c r="CT319" s="144" t="str">
        <f aca="false">IF($CH319&gt;$CG$8,"",VLOOKUP($CH319,$CJ$9:$CP$508,4,FALSE()))</f>
        <v/>
      </c>
      <c r="CU319" s="144" t="str">
        <f aca="false">IF($CH319&gt;$CG$8,"",VLOOKUP($CH319,$CJ$9:$CP$508,5,FALSE()))</f>
        <v/>
      </c>
      <c r="CV319" s="145" t="str">
        <f aca="false">IF($CH319&gt;$CG$8,"",VLOOKUP($CH319,$CJ$9:$CP$508,6,FALSE()))</f>
        <v/>
      </c>
      <c r="CW319" s="71"/>
    </row>
    <row r="320" customFormat="false" ht="15.75" hidden="false" customHeight="false" outlineLevel="0" collapsed="false">
      <c r="A320" s="9"/>
      <c r="B320" s="150"/>
      <c r="C320" s="151"/>
      <c r="D320" s="152"/>
      <c r="E320" s="170"/>
      <c r="F320" s="154"/>
      <c r="G320" s="155"/>
      <c r="H320" s="171"/>
      <c r="I320" s="159"/>
      <c r="J320" s="120"/>
      <c r="K320" s="121"/>
      <c r="L320" s="122"/>
      <c r="M320" s="158"/>
      <c r="N320" s="159"/>
      <c r="O320" s="159"/>
      <c r="P320" s="120"/>
      <c r="Q320" s="122"/>
      <c r="R320" s="122"/>
      <c r="S320" s="158"/>
      <c r="T320" s="159"/>
      <c r="U320" s="126"/>
      <c r="V320" s="127"/>
      <c r="W320" s="127" t="str">
        <f aca="false">IF(ISBLANK($C320),"",IF(E320=Constants!$B$2,TRUE(),IF(E320=Constants!$B$3,FALSE(),TRUE())))</f>
        <v/>
      </c>
      <c r="X320" s="127" t="str">
        <f aca="false">IF(ISBLANK($C320),"",IF(F320=Constants!$B$2,TRUE(),IF(F320=Constants!$B$3,FALSE(),TRUE())))</f>
        <v/>
      </c>
      <c r="Y320" s="127" t="str">
        <f aca="false">IF(ISBLANK($C320),"",IF(G320=Constants!$B$2,TRUE(),IF(G320=Constants!$B$3,FALSE(),TRUE())))</f>
        <v/>
      </c>
      <c r="Z320" s="127" t="str">
        <f aca="false">IF(ISBLANK($C320),"",IF(H320=Constants!$B$2,TRUE(),IF(H320=Constants!$B$3,FALSE(),TRUE())))</f>
        <v/>
      </c>
      <c r="AA320" s="127" t="str">
        <f aca="false">IF(ISBLANK($C320),"",IF(I320=Constants!$B$2,TRUE(),IF(I320=Constants!$B$3,FALSE(),TRUE())))</f>
        <v/>
      </c>
      <c r="AB320" s="127" t="str">
        <f aca="false">IF(ISBLANK($C320),"",IF(J320=Constants!$B$4,TRUE(),IF(J320=Constants!$B$5,FALSE(),COUNTA(K320:M320)&gt;0)))</f>
        <v/>
      </c>
      <c r="AC320" s="128" t="str">
        <f aca="false">IF(ISBLANK($C320),"",IF(ISNUMBER(K320),IF(K320&gt;=0,K320,""),""))</f>
        <v/>
      </c>
      <c r="AD320" s="129" t="str">
        <f aca="false">IF(ISBLANK($C320),"",IF(ISNUMBER(L320),IF(L320&gt;=0,L320,""),""))</f>
        <v/>
      </c>
      <c r="AE320" s="127" t="str">
        <f aca="false">IF(ISBLANK($C320),"",IF(ISNUMBER(M320),IF(M320&gt;=0,MIN(M320,Constants!$B$22),""),""))</f>
        <v/>
      </c>
      <c r="AF320" s="127" t="str">
        <f aca="false">IF(ISBLANK($C320),"",IF(N320=Constants!$B$2,TRUE(),IF(N320=Constants!$B$3,FALSE(),TRUE())))</f>
        <v/>
      </c>
      <c r="AG320" s="127" t="str">
        <f aca="false">IF(ISBLANK($C320),"",IF(O320=Constants!$B$2,TRUE(),IF(O320=Constants!$B$3,FALSE(),TRUE())))</f>
        <v/>
      </c>
      <c r="AH320" s="127" t="str">
        <f aca="false">IF(ISBLANK($C320),"",IF(P320=Constants!$B$4,TRUE(),IF(P320=Constants!$B$5,FALSE(),COUNTA(Q320:S320)&gt;0)))</f>
        <v/>
      </c>
      <c r="AI320" s="128" t="str">
        <f aca="false">IF(ISBLANK($C320),"",IF(ISNUMBER(Q320),IF(Q320&gt;=0,Q320,""),""))</f>
        <v/>
      </c>
      <c r="AJ320" s="129" t="str">
        <f aca="false">IF(ISBLANK($C320),"",IF(ISNUMBER(R320),IF(R320&gt;=0,R320,""),""))</f>
        <v/>
      </c>
      <c r="AK320" s="127" t="str">
        <f aca="false">IF(ISBLANK($C320),"",IF(ISNUMBER(S320),IF(S320&gt;=0,MIN(S320,Constants!$B$22),""),""))</f>
        <v/>
      </c>
      <c r="AL320" s="127" t="str">
        <f aca="false">IF(ISBLANK($C320),"",IF(T320=Constants!$B$2,TRUE(),IF(T320=Constants!$B$3,FALSE(),FALSE())))</f>
        <v/>
      </c>
      <c r="AM320" s="126" t="str">
        <f aca="false">IF(ISBLANK($C320),"",AND($AB320,OR($AC320="",$AD320="",AND(NOT(ISBLANK($M320)),$AE320=""))))</f>
        <v/>
      </c>
      <c r="AN320" s="129" t="str">
        <f aca="false">IF($BD320&lt;&gt;Constants!$B$6,"",IF($AB320,Constants!$B$17*$AD320,Constants!$B$18))</f>
        <v/>
      </c>
      <c r="AO320" s="130" t="str">
        <f aca="false">IF($BD320&lt;&gt;Constants!$B$6,"",Constants!$B$19*IF($AB320,$AC320,0))</f>
        <v/>
      </c>
      <c r="AP320" s="130" t="str">
        <f aca="false">IF($BD320&lt;&gt;Constants!$B$6,"",IF(AND($AB320,ISNUMBER($AE320)),Constants!$B$20*(Constants!$B$21-$AE320),0))</f>
        <v/>
      </c>
      <c r="AQ320" s="130" t="str">
        <f aca="false">IF($BD320&lt;&gt;Constants!$B$6,"",IF($AA320,0,Constants!$B$12)+IF($Z320,0,Constants!$B$13)+IF($Y320,0,Constants!$B$14))</f>
        <v/>
      </c>
      <c r="AR320" s="131" t="str">
        <f aca="false">IF($BD320&lt;&gt;Constants!$B$6,"",Constants!$B$16+SUM($AN320:$AQ320))</f>
        <v/>
      </c>
      <c r="AS320" s="130" t="str">
        <f aca="false">IF($BD320&lt;&gt;Constants!$B$6,"",IF($AB320,$AD320,""))</f>
        <v/>
      </c>
      <c r="AT320" s="132" t="str">
        <f aca="false">IF($BD320&lt;&gt;Constants!$B$6,"",$AO320)</f>
        <v/>
      </c>
      <c r="AU320" s="127" t="str">
        <f aca="false">IF($BD320&lt;&gt;Constants!$B$6,"",IF(OR($BA320&lt;$AR320,AND($BA320=$AR320,OR(AND(ISNUMBER($BB320),OR(NOT(ISNUMBER($AS320)),$BB320&lt;$AS320)),AND(OR(AND($BB320="",$AS320=""),AND(ISNUMBER($BB320),ISNUMBER($AS320),$BB320=$AS320)),$BC320&lt;$AT320)))),"-&gt;","&lt;-"))</f>
        <v/>
      </c>
      <c r="AV320" s="126" t="str">
        <f aca="false">IF(ISBLANK($C320),"",AND($AH320,OR($AI320="",$AJ320="",AND(NOT(ISBLANK($S320)),$AK320=""))))</f>
        <v/>
      </c>
      <c r="AW320" s="129" t="str">
        <f aca="false">IF($BD320&lt;&gt;Constants!$B$6,"",IF($AH320,Constants!$B$17*$AJ320,Constants!$B$18))</f>
        <v/>
      </c>
      <c r="AX320" s="130" t="str">
        <f aca="false">IF($BD320&lt;&gt;Constants!$B$6,"",Constants!$B$19*IF($AH320,$AI320,0))</f>
        <v/>
      </c>
      <c r="AY320" s="130" t="str">
        <f aca="false">IF($BD320&lt;&gt;Constants!$B$6,"",IF(AND($AH320,ISNUMBER($AK320)),Constants!$B$20*(Constants!$B$21-$AK320),0))</f>
        <v/>
      </c>
      <c r="AZ320" s="130" t="str">
        <f aca="false">IF($BD320&lt;&gt;Constants!$B$6,"",IF($AG320,0,Constants!$B$12)+IF($AF320,0,Constants!$B$13)+IF($Y320,0,Constants!$B$14))</f>
        <v/>
      </c>
      <c r="BA320" s="131" t="str">
        <f aca="false">IF($BD320&lt;&gt;Constants!$B$6,"",Constants!$B$16+SUM($AW320:$AZ320))</f>
        <v/>
      </c>
      <c r="BB320" s="130" t="str">
        <f aca="false">IF($BD320&lt;&gt;Constants!$B$6,"",IF($AH320,$AJ320,""))</f>
        <v/>
      </c>
      <c r="BC320" s="132" t="str">
        <f aca="false">IF($BD320&lt;&gt;Constants!$B$6,"",$AX320)</f>
        <v/>
      </c>
      <c r="BD320" s="127" t="str">
        <f aca="false">IF(ISBLANK($C320),"",IF($AL320,Constants!$B$9,IF(COUNTA($E320:$T320)=0,Constants!$B$8,IF(NOT($X320),Constants!$B$7,IF(OR($AM320,$AV320),Constants!$B$10,Constants!$B$6)))))</f>
        <v/>
      </c>
      <c r="BE320" s="127" t="str">
        <f aca="false">IF(ISBLANK($C320),"",IF($BD320&lt;&gt;Constants!$B$6,$BD320,Constants!$B$11))</f>
        <v/>
      </c>
      <c r="BF320" s="130" t="str">
        <f aca="false">IF($BD320&lt;&gt;Constants!$B$6,"",IF($AU320="-&gt;",$BA320,$AR320))</f>
        <v/>
      </c>
      <c r="BG320" s="130" t="str">
        <f aca="false">IF($BD320&lt;&gt;Constants!$B$6,"",IF($W320,0,Constants!$B$15))</f>
        <v/>
      </c>
      <c r="BH320" s="130" t="str">
        <f aca="false">IF(ISBLANK($C320),"",IF($BD320&lt;&gt;Constants!$B$6,$BD320,SUM($BF320:$BG320)))</f>
        <v/>
      </c>
      <c r="BI320" s="127" t="str">
        <f aca="false">IF(ISBLANK($C320),"",IF($BD320&lt;&gt;Constants!$B$6,$BD320,RANK($BH320,$BH$9:$BH$508,1)))</f>
        <v/>
      </c>
      <c r="BJ320" s="130" t="str">
        <f aca="false">IF($BD320&lt;&gt;Constants!$B$6,"",IF($AU320="-&gt;",$BB320,$AS320))</f>
        <v/>
      </c>
      <c r="BK320" s="127" t="str">
        <f aca="false">IF(ISBLANK($C320),"",IF($BD320&lt;&gt;Constants!$B$6,$BD320,IF(ISNUMBER($BJ320),RANK($BJ320,$BJ$9:$BJ$508,1),COUNT($BJ$9:$BJ$508)+1)))</f>
        <v/>
      </c>
      <c r="BL320" s="130" t="str">
        <f aca="false">IF($BD320&lt;&gt;Constants!$B$6,"",IF($AU320="-&gt;",$BC320,$AT320))</f>
        <v/>
      </c>
      <c r="BM320" s="127" t="str">
        <f aca="false">IF(ISBLANK($C320),"",IF($BD320&lt;&gt;Constants!$B$6,$BD320,IF(ISNUMBER($BL320),RANK($BL320,$BL$9:$BL$508,1),COUNT($BL$9:$BL$508)+1)))</f>
        <v/>
      </c>
      <c r="BN320" s="130" t="str">
        <f aca="false">IF($BD320&lt;&gt;Constants!$B$6,"",IF($AU320="-&gt;",$AS320,$BB320))</f>
        <v/>
      </c>
      <c r="BO320" s="127" t="str">
        <f aca="false">IF(ISBLANK($C320),"",IF($BD320&lt;&gt;Constants!$B$6,$BD320,IF(ISNUMBER($BN320),RANK($BN320,$BN$9:$BN$508,1),COUNT($BN$9:$BN$508)+1)))</f>
        <v/>
      </c>
      <c r="BP320" s="130" t="str">
        <f aca="false">IF($BD320&lt;&gt;Constants!$B$6,"",IF($AU320="-&gt;",$AT320,$BC320))</f>
        <v/>
      </c>
      <c r="BQ320" s="127" t="str">
        <f aca="false">IF(ISBLANK($C320),"",IF($BD320&lt;&gt;Constants!$B$6,$BD320,IF(ISNUMBER($BP320),RANK($BP320,$BP$9:$BP$508,1),COUNT($BP$9:$BP$508)+1)))</f>
        <v/>
      </c>
      <c r="BR320" s="127" t="str">
        <f aca="false">IF(ISBLANK($C320),"",IF($BD320&lt;&gt;Constants!$B$6,$BD320,COUNTIFS($BI$9:$BI$508,"&lt;"&amp;$BI320)+COUNTIFS($BI$9:$BI$508,$BI320,$BK$9:$BK$508,"&lt;"&amp;$BK320)+COUNTIFS($BI$9:$BI$508,$BI320,$BK$9:$BK$508,$BK320,$BM$9:$BM$508,"&lt;"&amp;$BM320)+COUNTIFS($BI$9:$BI$508,$BI320,$BK$9:$BK$508,$BK320,$BM$9:$BM$508,$BM320,$BO$9:$BO$508,"&lt;"&amp;$BO320)+COUNTIFS($BI$9:$BI$508,$BI320,$BK$9:$BK$508,$BK320,$BM$9:$BM$508,$BM320,$BO$9:$BO$508,$BO320,$BQ$9:$BQ$508,"&lt;"&amp;$BQ320)+1))</f>
        <v/>
      </c>
      <c r="BS320" s="127" t="str">
        <f aca="false">IF(ISBLANK($C320),"",IF($BD320&lt;&gt;Constants!$B$6,$BD320,$BI320-$BR320))</f>
        <v/>
      </c>
      <c r="BT320" s="133"/>
      <c r="BU320" s="134"/>
      <c r="BV320" s="134" t="str">
        <f aca="false">IF(ISBLANK($C320),"",IF($BD320&lt;&gt;Constants!$B$6,"",IF($AU320="-&gt;",2,1)))</f>
        <v/>
      </c>
      <c r="BW320" s="135" t="str">
        <f aca="false">IF(ISBLANK($C320),"",IF($BD320&lt;&gt;Constants!$B$6,"",IF($AU320="-&gt;",$AW320,$AN320)))</f>
        <v/>
      </c>
      <c r="BX320" s="135" t="str">
        <f aca="false">IF(ISBLANK($C320),"",IF($BD320&lt;&gt;Constants!$B$6,"",IF($AU320="-&gt;",$AX320,$AO320)))</f>
        <v/>
      </c>
      <c r="BY320" s="135" t="str">
        <f aca="false">IF(ISBLANK($C320),"",IF($BD320&lt;&gt;Constants!$B$6,"",IF($AU320="-&gt;",$AY320,$AP320)))</f>
        <v/>
      </c>
      <c r="BZ320" s="135" t="str">
        <f aca="false">IF(ISBLANK($C320),"",IF($BD320&lt;&gt;Constants!$B$6,"",IF($AU320="-&gt;",$AZ320,$AQ320)+$BG320))</f>
        <v/>
      </c>
      <c r="CA320" s="136" t="str">
        <f aca="false">IF(ISBLANK($C320),"",IF($BD320&lt;&gt;Constants!$B$6,$BD320,$BH320))</f>
        <v/>
      </c>
      <c r="CB320" s="137" t="str">
        <f aca="false">IF(ISBLANK($C320),"",$BE320)</f>
        <v/>
      </c>
      <c r="CC320" s="138" t="str">
        <f aca="false">IF(ISBLANK($C320),"",$BS320)</f>
        <v/>
      </c>
      <c r="CD320" s="138" t="str">
        <f aca="false">IF(ISBLANK($C320),"",$BR320)</f>
        <v/>
      </c>
      <c r="CE320" s="139" t="str">
        <f aca="false">IF(ISBLANK($C320),"",IF($CD320=Constants!$B$9,COUNTA($C$9:$C$508)+2,IF($CD320=Constants!$B$8,COUNTA($C$9:$C$508)+1,IF($CD320=Constants!$B$7,COUNTA($C$9:$C$508),$CD320))))</f>
        <v/>
      </c>
      <c r="CF320" s="9"/>
      <c r="CG320" s="140" t="n">
        <f aca="false">IF(OR(ISNUMBER($CD320),$CD320=Constants!$B$9,$CD320=Constants!$B$7,$CD320=Constants!$B$8),1,0)</f>
        <v>0</v>
      </c>
      <c r="CH320" s="140" t="n">
        <v>312</v>
      </c>
      <c r="CI320" s="140" t="str">
        <f aca="false">IF(ISBLANK($C320),"",IF(ISNUMBER($CE320),$CE320+ROW($B320)/1000,""))</f>
        <v/>
      </c>
      <c r="CJ320" s="140" t="str">
        <f aca="false">IF(ISNUMBER($CI320),RANK($CI320,$CI$9:$CI$508,1),"")</f>
        <v/>
      </c>
      <c r="CK320" s="140" t="str">
        <f aca="false">IF(ISBLANK($C320),"",$B320)</f>
        <v/>
      </c>
      <c r="CL320" s="140" t="str">
        <f aca="false">IF(ISBLANK($C320),"",$C320)</f>
        <v/>
      </c>
      <c r="CM320" s="140" t="str">
        <f aca="false">IF(ISBLANK($C320),"",$D320)</f>
        <v/>
      </c>
      <c r="CN320" s="141" t="str">
        <f aca="false">$CB320</f>
        <v/>
      </c>
      <c r="CO320" s="142" t="str">
        <f aca="false">$CA320</f>
        <v/>
      </c>
      <c r="CP320" s="140" t="str">
        <f aca="false">IF(ISBLANK($C320),"",$CD320)</f>
        <v/>
      </c>
      <c r="CQ320" s="143" t="str">
        <f aca="false">IF($CH320&gt;$CG$8,"",VLOOKUP($CH320,$CJ$9:$CP$508,7,FALSE()))</f>
        <v/>
      </c>
      <c r="CR320" s="144" t="str">
        <f aca="false">IF($CH320&gt;$CG$8,"",VLOOKUP($CH320,$CJ$9:$CP$508,2,FALSE()))</f>
        <v/>
      </c>
      <c r="CS320" s="144" t="str">
        <f aca="false">IF($CH320&gt;$CG$8,"",VLOOKUP($CH320,$CJ$9:$CP$508,3,FALSE()))</f>
        <v/>
      </c>
      <c r="CT320" s="144" t="str">
        <f aca="false">IF($CH320&gt;$CG$8,"",VLOOKUP($CH320,$CJ$9:$CP$508,4,FALSE()))</f>
        <v/>
      </c>
      <c r="CU320" s="144" t="str">
        <f aca="false">IF($CH320&gt;$CG$8,"",VLOOKUP($CH320,$CJ$9:$CP$508,5,FALSE()))</f>
        <v/>
      </c>
      <c r="CV320" s="145" t="str">
        <f aca="false">IF($CH320&gt;$CG$8,"",VLOOKUP($CH320,$CJ$9:$CP$508,6,FALSE()))</f>
        <v/>
      </c>
      <c r="CW320" s="71"/>
    </row>
    <row r="321" customFormat="false" ht="15.75" hidden="false" customHeight="false" outlineLevel="0" collapsed="false">
      <c r="A321" s="9"/>
      <c r="B321" s="72"/>
      <c r="C321" s="73"/>
      <c r="D321" s="160"/>
      <c r="E321" s="168"/>
      <c r="F321" s="162"/>
      <c r="G321" s="163"/>
      <c r="H321" s="169"/>
      <c r="I321" s="167"/>
      <c r="J321" s="80"/>
      <c r="K321" s="81"/>
      <c r="L321" s="82"/>
      <c r="M321" s="166"/>
      <c r="N321" s="167"/>
      <c r="O321" s="167"/>
      <c r="P321" s="80"/>
      <c r="Q321" s="82"/>
      <c r="R321" s="82"/>
      <c r="S321" s="166"/>
      <c r="T321" s="167"/>
      <c r="U321" s="86"/>
      <c r="V321" s="87"/>
      <c r="W321" s="87" t="str">
        <f aca="false">IF(ISBLANK($C321),"",IF(E321=Constants!$B$2,TRUE(),IF(E321=Constants!$B$3,FALSE(),TRUE())))</f>
        <v/>
      </c>
      <c r="X321" s="87" t="str">
        <f aca="false">IF(ISBLANK($C321),"",IF(F321=Constants!$B$2,TRUE(),IF(F321=Constants!$B$3,FALSE(),TRUE())))</f>
        <v/>
      </c>
      <c r="Y321" s="87" t="str">
        <f aca="false">IF(ISBLANK($C321),"",IF(G321=Constants!$B$2,TRUE(),IF(G321=Constants!$B$3,FALSE(),TRUE())))</f>
        <v/>
      </c>
      <c r="Z321" s="87" t="str">
        <f aca="false">IF(ISBLANK($C321),"",IF(H321=Constants!$B$2,TRUE(),IF(H321=Constants!$B$3,FALSE(),TRUE())))</f>
        <v/>
      </c>
      <c r="AA321" s="87" t="str">
        <f aca="false">IF(ISBLANK($C321),"",IF(I321=Constants!$B$2,TRUE(),IF(I321=Constants!$B$3,FALSE(),TRUE())))</f>
        <v/>
      </c>
      <c r="AB321" s="87" t="str">
        <f aca="false">IF(ISBLANK($C321),"",IF(J321=Constants!$B$4,TRUE(),IF(J321=Constants!$B$5,FALSE(),COUNTA(K321:M321)&gt;0)))</f>
        <v/>
      </c>
      <c r="AC321" s="88" t="str">
        <f aca="false">IF(ISBLANK($C321),"",IF(ISNUMBER(K321),IF(K321&gt;=0,K321,""),""))</f>
        <v/>
      </c>
      <c r="AD321" s="89" t="str">
        <f aca="false">IF(ISBLANK($C321),"",IF(ISNUMBER(L321),IF(L321&gt;=0,L321,""),""))</f>
        <v/>
      </c>
      <c r="AE321" s="87" t="str">
        <f aca="false">IF(ISBLANK($C321),"",IF(ISNUMBER(M321),IF(M321&gt;=0,MIN(M321,Constants!$B$22),""),""))</f>
        <v/>
      </c>
      <c r="AF321" s="87" t="str">
        <f aca="false">IF(ISBLANK($C321),"",IF(N321=Constants!$B$2,TRUE(),IF(N321=Constants!$B$3,FALSE(),TRUE())))</f>
        <v/>
      </c>
      <c r="AG321" s="87" t="str">
        <f aca="false">IF(ISBLANK($C321),"",IF(O321=Constants!$B$2,TRUE(),IF(O321=Constants!$B$3,FALSE(),TRUE())))</f>
        <v/>
      </c>
      <c r="AH321" s="87" t="str">
        <f aca="false">IF(ISBLANK($C321),"",IF(P321=Constants!$B$4,TRUE(),IF(P321=Constants!$B$5,FALSE(),COUNTA(Q321:S321)&gt;0)))</f>
        <v/>
      </c>
      <c r="AI321" s="88" t="str">
        <f aca="false">IF(ISBLANK($C321),"",IF(ISNUMBER(Q321),IF(Q321&gt;=0,Q321,""),""))</f>
        <v/>
      </c>
      <c r="AJ321" s="89" t="str">
        <f aca="false">IF(ISBLANK($C321),"",IF(ISNUMBER(R321),IF(R321&gt;=0,R321,""),""))</f>
        <v/>
      </c>
      <c r="AK321" s="87" t="str">
        <f aca="false">IF(ISBLANK($C321),"",IF(ISNUMBER(S321),IF(S321&gt;=0,MIN(S321,Constants!$B$22),""),""))</f>
        <v/>
      </c>
      <c r="AL321" s="87" t="str">
        <f aca="false">IF(ISBLANK($C321),"",IF(T321=Constants!$B$2,TRUE(),IF(T321=Constants!$B$3,FALSE(),FALSE())))</f>
        <v/>
      </c>
      <c r="AM321" s="86" t="str">
        <f aca="false">IF(ISBLANK($C321),"",AND($AB321,OR($AC321="",$AD321="",AND(NOT(ISBLANK($M321)),$AE321=""))))</f>
        <v/>
      </c>
      <c r="AN321" s="89" t="str">
        <f aca="false">IF($BD321&lt;&gt;Constants!$B$6,"",IF($AB321,Constants!$B$17*$AD321,Constants!$B$18))</f>
        <v/>
      </c>
      <c r="AO321" s="91" t="str">
        <f aca="false">IF($BD321&lt;&gt;Constants!$B$6,"",Constants!$B$19*IF($AB321,$AC321,0))</f>
        <v/>
      </c>
      <c r="AP321" s="91" t="str">
        <f aca="false">IF($BD321&lt;&gt;Constants!$B$6,"",IF(AND($AB321,ISNUMBER($AE321)),Constants!$B$20*(Constants!$B$21-$AE321),0))</f>
        <v/>
      </c>
      <c r="AQ321" s="91" t="str">
        <f aca="false">IF($BD321&lt;&gt;Constants!$B$6,"",IF($AA321,0,Constants!$B$12)+IF($Z321,0,Constants!$B$13)+IF($Y321,0,Constants!$B$14))</f>
        <v/>
      </c>
      <c r="AR321" s="92" t="str">
        <f aca="false">IF($BD321&lt;&gt;Constants!$B$6,"",Constants!$B$16+SUM($AN321:$AQ321))</f>
        <v/>
      </c>
      <c r="AS321" s="91" t="str">
        <f aca="false">IF($BD321&lt;&gt;Constants!$B$6,"",IF($AB321,$AD321,""))</f>
        <v/>
      </c>
      <c r="AT321" s="93" t="str">
        <f aca="false">IF($BD321&lt;&gt;Constants!$B$6,"",$AO321)</f>
        <v/>
      </c>
      <c r="AU321" s="87" t="str">
        <f aca="false">IF($BD321&lt;&gt;Constants!$B$6,"",IF(OR($BA321&lt;$AR321,AND($BA321=$AR321,OR(AND(ISNUMBER($BB321),OR(NOT(ISNUMBER($AS321)),$BB321&lt;$AS321)),AND(OR(AND($BB321="",$AS321=""),AND(ISNUMBER($BB321),ISNUMBER($AS321),$BB321=$AS321)),$BC321&lt;$AT321)))),"-&gt;","&lt;-"))</f>
        <v/>
      </c>
      <c r="AV321" s="86" t="str">
        <f aca="false">IF(ISBLANK($C321),"",AND($AH321,OR($AI321="",$AJ321="",AND(NOT(ISBLANK($S321)),$AK321=""))))</f>
        <v/>
      </c>
      <c r="AW321" s="89" t="str">
        <f aca="false">IF($BD321&lt;&gt;Constants!$B$6,"",IF($AH321,Constants!$B$17*$AJ321,Constants!$B$18))</f>
        <v/>
      </c>
      <c r="AX321" s="91" t="str">
        <f aca="false">IF($BD321&lt;&gt;Constants!$B$6,"",Constants!$B$19*IF($AH321,$AI321,0))</f>
        <v/>
      </c>
      <c r="AY321" s="91" t="str">
        <f aca="false">IF($BD321&lt;&gt;Constants!$B$6,"",IF(AND($AH321,ISNUMBER($AK321)),Constants!$B$20*(Constants!$B$21-$AK321),0))</f>
        <v/>
      </c>
      <c r="AZ321" s="91" t="str">
        <f aca="false">IF($BD321&lt;&gt;Constants!$B$6,"",IF($AG321,0,Constants!$B$12)+IF($AF321,0,Constants!$B$13)+IF($Y321,0,Constants!$B$14))</f>
        <v/>
      </c>
      <c r="BA321" s="92" t="str">
        <f aca="false">IF($BD321&lt;&gt;Constants!$B$6,"",Constants!$B$16+SUM($AW321:$AZ321))</f>
        <v/>
      </c>
      <c r="BB321" s="91" t="str">
        <f aca="false">IF($BD321&lt;&gt;Constants!$B$6,"",IF($AH321,$AJ321,""))</f>
        <v/>
      </c>
      <c r="BC321" s="93" t="str">
        <f aca="false">IF($BD321&lt;&gt;Constants!$B$6,"",$AX321)</f>
        <v/>
      </c>
      <c r="BD321" s="87" t="str">
        <f aca="false">IF(ISBLANK($C321),"",IF($AL321,Constants!$B$9,IF(COUNTA($E321:$T321)=0,Constants!$B$8,IF(NOT($X321),Constants!$B$7,IF(OR($AM321,$AV321),Constants!$B$10,Constants!$B$6)))))</f>
        <v/>
      </c>
      <c r="BE321" s="87" t="str">
        <f aca="false">IF(ISBLANK($C321),"",IF($BD321&lt;&gt;Constants!$B$6,$BD321,Constants!$B$11))</f>
        <v/>
      </c>
      <c r="BF321" s="91" t="str">
        <f aca="false">IF($BD321&lt;&gt;Constants!$B$6,"",IF($AU321="-&gt;",$BA321,$AR321))</f>
        <v/>
      </c>
      <c r="BG321" s="91" t="str">
        <f aca="false">IF($BD321&lt;&gt;Constants!$B$6,"",IF($W321,0,Constants!$B$15))</f>
        <v/>
      </c>
      <c r="BH321" s="91" t="str">
        <f aca="false">IF(ISBLANK($C321),"",IF($BD321&lt;&gt;Constants!$B$6,$BD321,SUM($BF321:$BG321)))</f>
        <v/>
      </c>
      <c r="BI321" s="87" t="str">
        <f aca="false">IF(ISBLANK($C321),"",IF($BD321&lt;&gt;Constants!$B$6,$BD321,RANK($BH321,$BH$9:$BH$508,1)))</f>
        <v/>
      </c>
      <c r="BJ321" s="91" t="str">
        <f aca="false">IF($BD321&lt;&gt;Constants!$B$6,"",IF($AU321="-&gt;",$BB321,$AS321))</f>
        <v/>
      </c>
      <c r="BK321" s="87" t="str">
        <f aca="false">IF(ISBLANK($C321),"",IF($BD321&lt;&gt;Constants!$B$6,$BD321,IF(ISNUMBER($BJ321),RANK($BJ321,$BJ$9:$BJ$508,1),COUNT($BJ$9:$BJ$508)+1)))</f>
        <v/>
      </c>
      <c r="BL321" s="91" t="str">
        <f aca="false">IF($BD321&lt;&gt;Constants!$B$6,"",IF($AU321="-&gt;",$BC321,$AT321))</f>
        <v/>
      </c>
      <c r="BM321" s="87" t="str">
        <f aca="false">IF(ISBLANK($C321),"",IF($BD321&lt;&gt;Constants!$B$6,$BD321,IF(ISNUMBER($BL321),RANK($BL321,$BL$9:$BL$508,1),COUNT($BL$9:$BL$508)+1)))</f>
        <v/>
      </c>
      <c r="BN321" s="91" t="str">
        <f aca="false">IF($BD321&lt;&gt;Constants!$B$6,"",IF($AU321="-&gt;",$AS321,$BB321))</f>
        <v/>
      </c>
      <c r="BO321" s="87" t="str">
        <f aca="false">IF(ISBLANK($C321),"",IF($BD321&lt;&gt;Constants!$B$6,$BD321,IF(ISNUMBER($BN321),RANK($BN321,$BN$9:$BN$508,1),COUNT($BN$9:$BN$508)+1)))</f>
        <v/>
      </c>
      <c r="BP321" s="91" t="str">
        <f aca="false">IF($BD321&lt;&gt;Constants!$B$6,"",IF($AU321="-&gt;",$AT321,$BC321))</f>
        <v/>
      </c>
      <c r="BQ321" s="87" t="str">
        <f aca="false">IF(ISBLANK($C321),"",IF($BD321&lt;&gt;Constants!$B$6,$BD321,IF(ISNUMBER($BP321),RANK($BP321,$BP$9:$BP$508,1),COUNT($BP$9:$BP$508)+1)))</f>
        <v/>
      </c>
      <c r="BR321" s="87" t="str">
        <f aca="false">IF(ISBLANK($C321),"",IF($BD321&lt;&gt;Constants!$B$6,$BD321,COUNTIFS($BI$9:$BI$508,"&lt;"&amp;$BI321)+COUNTIFS($BI$9:$BI$508,$BI321,$BK$9:$BK$508,"&lt;"&amp;$BK321)+COUNTIFS($BI$9:$BI$508,$BI321,$BK$9:$BK$508,$BK321,$BM$9:$BM$508,"&lt;"&amp;$BM321)+COUNTIFS($BI$9:$BI$508,$BI321,$BK$9:$BK$508,$BK321,$BM$9:$BM$508,$BM321,$BO$9:$BO$508,"&lt;"&amp;$BO321)+COUNTIFS($BI$9:$BI$508,$BI321,$BK$9:$BK$508,$BK321,$BM$9:$BM$508,$BM321,$BO$9:$BO$508,$BO321,$BQ$9:$BQ$508,"&lt;"&amp;$BQ321)+1))</f>
        <v/>
      </c>
      <c r="BS321" s="87" t="str">
        <f aca="false">IF(ISBLANK($C321),"",IF($BD321&lt;&gt;Constants!$B$6,$BD321,$BI321-$BR321))</f>
        <v/>
      </c>
      <c r="BT321" s="94"/>
      <c r="BU321" s="95"/>
      <c r="BV321" s="95" t="str">
        <f aca="false">IF(ISBLANK($C321),"",IF($BD321&lt;&gt;Constants!$B$6,"",IF($AU321="-&gt;",2,1)))</f>
        <v/>
      </c>
      <c r="BW321" s="96" t="str">
        <f aca="false">IF(ISBLANK($C321),"",IF($BD321&lt;&gt;Constants!$B$6,"",IF($AU321="-&gt;",$AW321,$AN321)))</f>
        <v/>
      </c>
      <c r="BX321" s="96" t="str">
        <f aca="false">IF(ISBLANK($C321),"",IF($BD321&lt;&gt;Constants!$B$6,"",IF($AU321="-&gt;",$AX321,$AO321)))</f>
        <v/>
      </c>
      <c r="BY321" s="96" t="str">
        <f aca="false">IF(ISBLANK($C321),"",IF($BD321&lt;&gt;Constants!$B$6,"",IF($AU321="-&gt;",$AY321,$AP321)))</f>
        <v/>
      </c>
      <c r="BZ321" s="96" t="str">
        <f aca="false">IF(ISBLANK($C321),"",IF($BD321&lt;&gt;Constants!$B$6,"",IF($AU321="-&gt;",$AZ321,$AQ321)+$BG321))</f>
        <v/>
      </c>
      <c r="CA321" s="97" t="str">
        <f aca="false">IF(ISBLANK($C321),"",IF($BD321&lt;&gt;Constants!$B$6,$BD321,$BH321))</f>
        <v/>
      </c>
      <c r="CB321" s="98" t="str">
        <f aca="false">IF(ISBLANK($C321),"",$BE321)</f>
        <v/>
      </c>
      <c r="CC321" s="99" t="str">
        <f aca="false">IF(ISBLANK($C321),"",$BS321)</f>
        <v/>
      </c>
      <c r="CD321" s="99" t="str">
        <f aca="false">IF(ISBLANK($C321),"",$BR321)</f>
        <v/>
      </c>
      <c r="CE321" s="100" t="str">
        <f aca="false">IF(ISBLANK($C321),"",IF($CD321=Constants!$B$9,COUNTA($C$9:$C$508)+2,IF($CD321=Constants!$B$8,COUNTA($C$9:$C$508)+1,IF($CD321=Constants!$B$7,COUNTA($C$9:$C$508),$CD321))))</f>
        <v/>
      </c>
      <c r="CF321" s="9"/>
      <c r="CG321" s="101" t="n">
        <f aca="false">IF(OR(ISNUMBER($CD321),$CD321=Constants!$B$9,$CD321=Constants!$B$7,$CD321=Constants!$B$8),1,0)</f>
        <v>0</v>
      </c>
      <c r="CH321" s="101" t="n">
        <v>313</v>
      </c>
      <c r="CI321" s="101" t="str">
        <f aca="false">IF(ISBLANK($C321),"",IF(ISNUMBER($CE321),$CE321+ROW($B321)/1000,""))</f>
        <v/>
      </c>
      <c r="CJ321" s="101" t="str">
        <f aca="false">IF(ISNUMBER($CI321),RANK($CI321,$CI$9:$CI$508,1),"")</f>
        <v/>
      </c>
      <c r="CK321" s="101" t="str">
        <f aca="false">IF(ISBLANK($C321),"",$B321)</f>
        <v/>
      </c>
      <c r="CL321" s="101" t="str">
        <f aca="false">IF(ISBLANK($C321),"",$C321)</f>
        <v/>
      </c>
      <c r="CM321" s="101" t="str">
        <f aca="false">IF(ISBLANK($C321),"",$D321)</f>
        <v/>
      </c>
      <c r="CN321" s="102" t="str">
        <f aca="false">$CB321</f>
        <v/>
      </c>
      <c r="CO321" s="103" t="str">
        <f aca="false">$CA321</f>
        <v/>
      </c>
      <c r="CP321" s="101" t="str">
        <f aca="false">IF(ISBLANK($C321),"",$CD321)</f>
        <v/>
      </c>
      <c r="CQ321" s="104" t="str">
        <f aca="false">IF($CH321&gt;$CG$8,"",VLOOKUP($CH321,$CJ$9:$CP$508,7,FALSE()))</f>
        <v/>
      </c>
      <c r="CR321" s="105" t="str">
        <f aca="false">IF($CH321&gt;$CG$8,"",VLOOKUP($CH321,$CJ$9:$CP$508,2,FALSE()))</f>
        <v/>
      </c>
      <c r="CS321" s="105" t="str">
        <f aca="false">IF($CH321&gt;$CG$8,"",VLOOKUP($CH321,$CJ$9:$CP$508,3,FALSE()))</f>
        <v/>
      </c>
      <c r="CT321" s="105" t="str">
        <f aca="false">IF($CH321&gt;$CG$8,"",VLOOKUP($CH321,$CJ$9:$CP$508,4,FALSE()))</f>
        <v/>
      </c>
      <c r="CU321" s="105" t="str">
        <f aca="false">IF($CH321&gt;$CG$8,"",VLOOKUP($CH321,$CJ$9:$CP$508,5,FALSE()))</f>
        <v/>
      </c>
      <c r="CV321" s="106" t="str">
        <f aca="false">IF($CH321&gt;$CG$8,"",VLOOKUP($CH321,$CJ$9:$CP$508,6,FALSE()))</f>
        <v/>
      </c>
      <c r="CW321" s="71"/>
    </row>
    <row r="322" customFormat="false" ht="15.75" hidden="false" customHeight="false" outlineLevel="0" collapsed="false">
      <c r="A322" s="9"/>
      <c r="B322" s="72"/>
      <c r="C322" s="73"/>
      <c r="D322" s="160"/>
      <c r="E322" s="168"/>
      <c r="F322" s="162"/>
      <c r="G322" s="163"/>
      <c r="H322" s="169"/>
      <c r="I322" s="167"/>
      <c r="J322" s="80"/>
      <c r="K322" s="81"/>
      <c r="L322" s="82"/>
      <c r="M322" s="166"/>
      <c r="N322" s="167"/>
      <c r="O322" s="167"/>
      <c r="P322" s="80"/>
      <c r="Q322" s="82"/>
      <c r="R322" s="82"/>
      <c r="S322" s="166"/>
      <c r="T322" s="167"/>
      <c r="U322" s="86"/>
      <c r="V322" s="87"/>
      <c r="W322" s="87" t="str">
        <f aca="false">IF(ISBLANK($C322),"",IF(E322=Constants!$B$2,TRUE(),IF(E322=Constants!$B$3,FALSE(),TRUE())))</f>
        <v/>
      </c>
      <c r="X322" s="87" t="str">
        <f aca="false">IF(ISBLANK($C322),"",IF(F322=Constants!$B$2,TRUE(),IF(F322=Constants!$B$3,FALSE(),TRUE())))</f>
        <v/>
      </c>
      <c r="Y322" s="87" t="str">
        <f aca="false">IF(ISBLANK($C322),"",IF(G322=Constants!$B$2,TRUE(),IF(G322=Constants!$B$3,FALSE(),TRUE())))</f>
        <v/>
      </c>
      <c r="Z322" s="87" t="str">
        <f aca="false">IF(ISBLANK($C322),"",IF(H322=Constants!$B$2,TRUE(),IF(H322=Constants!$B$3,FALSE(),TRUE())))</f>
        <v/>
      </c>
      <c r="AA322" s="87" t="str">
        <f aca="false">IF(ISBLANK($C322),"",IF(I322=Constants!$B$2,TRUE(),IF(I322=Constants!$B$3,FALSE(),TRUE())))</f>
        <v/>
      </c>
      <c r="AB322" s="87" t="str">
        <f aca="false">IF(ISBLANK($C322),"",IF(J322=Constants!$B$4,TRUE(),IF(J322=Constants!$B$5,FALSE(),COUNTA(K322:M322)&gt;0)))</f>
        <v/>
      </c>
      <c r="AC322" s="88" t="str">
        <f aca="false">IF(ISBLANK($C322),"",IF(ISNUMBER(K322),IF(K322&gt;=0,K322,""),""))</f>
        <v/>
      </c>
      <c r="AD322" s="89" t="str">
        <f aca="false">IF(ISBLANK($C322),"",IF(ISNUMBER(L322),IF(L322&gt;=0,L322,""),""))</f>
        <v/>
      </c>
      <c r="AE322" s="87" t="str">
        <f aca="false">IF(ISBLANK($C322),"",IF(ISNUMBER(M322),IF(M322&gt;=0,MIN(M322,Constants!$B$22),""),""))</f>
        <v/>
      </c>
      <c r="AF322" s="87" t="str">
        <f aca="false">IF(ISBLANK($C322),"",IF(N322=Constants!$B$2,TRUE(),IF(N322=Constants!$B$3,FALSE(),TRUE())))</f>
        <v/>
      </c>
      <c r="AG322" s="87" t="str">
        <f aca="false">IF(ISBLANK($C322),"",IF(O322=Constants!$B$2,TRUE(),IF(O322=Constants!$B$3,FALSE(),TRUE())))</f>
        <v/>
      </c>
      <c r="AH322" s="87" t="str">
        <f aca="false">IF(ISBLANK($C322),"",IF(P322=Constants!$B$4,TRUE(),IF(P322=Constants!$B$5,FALSE(),COUNTA(Q322:S322)&gt;0)))</f>
        <v/>
      </c>
      <c r="AI322" s="88" t="str">
        <f aca="false">IF(ISBLANK($C322),"",IF(ISNUMBER(Q322),IF(Q322&gt;=0,Q322,""),""))</f>
        <v/>
      </c>
      <c r="AJ322" s="89" t="str">
        <f aca="false">IF(ISBLANK($C322),"",IF(ISNUMBER(R322),IF(R322&gt;=0,R322,""),""))</f>
        <v/>
      </c>
      <c r="AK322" s="87" t="str">
        <f aca="false">IF(ISBLANK($C322),"",IF(ISNUMBER(S322),IF(S322&gt;=0,MIN(S322,Constants!$B$22),""),""))</f>
        <v/>
      </c>
      <c r="AL322" s="87" t="str">
        <f aca="false">IF(ISBLANK($C322),"",IF(T322=Constants!$B$2,TRUE(),IF(T322=Constants!$B$3,FALSE(),FALSE())))</f>
        <v/>
      </c>
      <c r="AM322" s="86" t="str">
        <f aca="false">IF(ISBLANK($C322),"",AND($AB322,OR($AC322="",$AD322="",AND(NOT(ISBLANK($M322)),$AE322=""))))</f>
        <v/>
      </c>
      <c r="AN322" s="89" t="str">
        <f aca="false">IF($BD322&lt;&gt;Constants!$B$6,"",IF($AB322,Constants!$B$17*$AD322,Constants!$B$18))</f>
        <v/>
      </c>
      <c r="AO322" s="91" t="str">
        <f aca="false">IF($BD322&lt;&gt;Constants!$B$6,"",Constants!$B$19*IF($AB322,$AC322,0))</f>
        <v/>
      </c>
      <c r="AP322" s="91" t="str">
        <f aca="false">IF($BD322&lt;&gt;Constants!$B$6,"",IF(AND($AB322,ISNUMBER($AE322)),Constants!$B$20*(Constants!$B$21-$AE322),0))</f>
        <v/>
      </c>
      <c r="AQ322" s="91" t="str">
        <f aca="false">IF($BD322&lt;&gt;Constants!$B$6,"",IF($AA322,0,Constants!$B$12)+IF($Z322,0,Constants!$B$13)+IF($Y322,0,Constants!$B$14))</f>
        <v/>
      </c>
      <c r="AR322" s="92" t="str">
        <f aca="false">IF($BD322&lt;&gt;Constants!$B$6,"",Constants!$B$16+SUM($AN322:$AQ322))</f>
        <v/>
      </c>
      <c r="AS322" s="91" t="str">
        <f aca="false">IF($BD322&lt;&gt;Constants!$B$6,"",IF($AB322,$AD322,""))</f>
        <v/>
      </c>
      <c r="AT322" s="93" t="str">
        <f aca="false">IF($BD322&lt;&gt;Constants!$B$6,"",$AO322)</f>
        <v/>
      </c>
      <c r="AU322" s="87" t="str">
        <f aca="false">IF($BD322&lt;&gt;Constants!$B$6,"",IF(OR($BA322&lt;$AR322,AND($BA322=$AR322,OR(AND(ISNUMBER($BB322),OR(NOT(ISNUMBER($AS322)),$BB322&lt;$AS322)),AND(OR(AND($BB322="",$AS322=""),AND(ISNUMBER($BB322),ISNUMBER($AS322),$BB322=$AS322)),$BC322&lt;$AT322)))),"-&gt;","&lt;-"))</f>
        <v/>
      </c>
      <c r="AV322" s="86" t="str">
        <f aca="false">IF(ISBLANK($C322),"",AND($AH322,OR($AI322="",$AJ322="",AND(NOT(ISBLANK($S322)),$AK322=""))))</f>
        <v/>
      </c>
      <c r="AW322" s="89" t="str">
        <f aca="false">IF($BD322&lt;&gt;Constants!$B$6,"",IF($AH322,Constants!$B$17*$AJ322,Constants!$B$18))</f>
        <v/>
      </c>
      <c r="AX322" s="91" t="str">
        <f aca="false">IF($BD322&lt;&gt;Constants!$B$6,"",Constants!$B$19*IF($AH322,$AI322,0))</f>
        <v/>
      </c>
      <c r="AY322" s="91" t="str">
        <f aca="false">IF($BD322&lt;&gt;Constants!$B$6,"",IF(AND($AH322,ISNUMBER($AK322)),Constants!$B$20*(Constants!$B$21-$AK322),0))</f>
        <v/>
      </c>
      <c r="AZ322" s="91" t="str">
        <f aca="false">IF($BD322&lt;&gt;Constants!$B$6,"",IF($AG322,0,Constants!$B$12)+IF($AF322,0,Constants!$B$13)+IF($Y322,0,Constants!$B$14))</f>
        <v/>
      </c>
      <c r="BA322" s="92" t="str">
        <f aca="false">IF($BD322&lt;&gt;Constants!$B$6,"",Constants!$B$16+SUM($AW322:$AZ322))</f>
        <v/>
      </c>
      <c r="BB322" s="91" t="str">
        <f aca="false">IF($BD322&lt;&gt;Constants!$B$6,"",IF($AH322,$AJ322,""))</f>
        <v/>
      </c>
      <c r="BC322" s="93" t="str">
        <f aca="false">IF($BD322&lt;&gt;Constants!$B$6,"",$AX322)</f>
        <v/>
      </c>
      <c r="BD322" s="87" t="str">
        <f aca="false">IF(ISBLANK($C322),"",IF($AL322,Constants!$B$9,IF(COUNTA($E322:$T322)=0,Constants!$B$8,IF(NOT($X322),Constants!$B$7,IF(OR($AM322,$AV322),Constants!$B$10,Constants!$B$6)))))</f>
        <v/>
      </c>
      <c r="BE322" s="87" t="str">
        <f aca="false">IF(ISBLANK($C322),"",IF($BD322&lt;&gt;Constants!$B$6,$BD322,Constants!$B$11))</f>
        <v/>
      </c>
      <c r="BF322" s="91" t="str">
        <f aca="false">IF($BD322&lt;&gt;Constants!$B$6,"",IF($AU322="-&gt;",$BA322,$AR322))</f>
        <v/>
      </c>
      <c r="BG322" s="91" t="str">
        <f aca="false">IF($BD322&lt;&gt;Constants!$B$6,"",IF($W322,0,Constants!$B$15))</f>
        <v/>
      </c>
      <c r="BH322" s="91" t="str">
        <f aca="false">IF(ISBLANK($C322),"",IF($BD322&lt;&gt;Constants!$B$6,$BD322,SUM($BF322:$BG322)))</f>
        <v/>
      </c>
      <c r="BI322" s="87" t="str">
        <f aca="false">IF(ISBLANK($C322),"",IF($BD322&lt;&gt;Constants!$B$6,$BD322,RANK($BH322,$BH$9:$BH$508,1)))</f>
        <v/>
      </c>
      <c r="BJ322" s="91" t="str">
        <f aca="false">IF($BD322&lt;&gt;Constants!$B$6,"",IF($AU322="-&gt;",$BB322,$AS322))</f>
        <v/>
      </c>
      <c r="BK322" s="87" t="str">
        <f aca="false">IF(ISBLANK($C322),"",IF($BD322&lt;&gt;Constants!$B$6,$BD322,IF(ISNUMBER($BJ322),RANK($BJ322,$BJ$9:$BJ$508,1),COUNT($BJ$9:$BJ$508)+1)))</f>
        <v/>
      </c>
      <c r="BL322" s="91" t="str">
        <f aca="false">IF($BD322&lt;&gt;Constants!$B$6,"",IF($AU322="-&gt;",$BC322,$AT322))</f>
        <v/>
      </c>
      <c r="BM322" s="87" t="str">
        <f aca="false">IF(ISBLANK($C322),"",IF($BD322&lt;&gt;Constants!$B$6,$BD322,IF(ISNUMBER($BL322),RANK($BL322,$BL$9:$BL$508,1),COUNT($BL$9:$BL$508)+1)))</f>
        <v/>
      </c>
      <c r="BN322" s="91" t="str">
        <f aca="false">IF($BD322&lt;&gt;Constants!$B$6,"",IF($AU322="-&gt;",$AS322,$BB322))</f>
        <v/>
      </c>
      <c r="BO322" s="87" t="str">
        <f aca="false">IF(ISBLANK($C322),"",IF($BD322&lt;&gt;Constants!$B$6,$BD322,IF(ISNUMBER($BN322),RANK($BN322,$BN$9:$BN$508,1),COUNT($BN$9:$BN$508)+1)))</f>
        <v/>
      </c>
      <c r="BP322" s="91" t="str">
        <f aca="false">IF($BD322&lt;&gt;Constants!$B$6,"",IF($AU322="-&gt;",$AT322,$BC322))</f>
        <v/>
      </c>
      <c r="BQ322" s="87" t="str">
        <f aca="false">IF(ISBLANK($C322),"",IF($BD322&lt;&gt;Constants!$B$6,$BD322,IF(ISNUMBER($BP322),RANK($BP322,$BP$9:$BP$508,1),COUNT($BP$9:$BP$508)+1)))</f>
        <v/>
      </c>
      <c r="BR322" s="87" t="str">
        <f aca="false">IF(ISBLANK($C322),"",IF($BD322&lt;&gt;Constants!$B$6,$BD322,COUNTIFS($BI$9:$BI$508,"&lt;"&amp;$BI322)+COUNTIFS($BI$9:$BI$508,$BI322,$BK$9:$BK$508,"&lt;"&amp;$BK322)+COUNTIFS($BI$9:$BI$508,$BI322,$BK$9:$BK$508,$BK322,$BM$9:$BM$508,"&lt;"&amp;$BM322)+COUNTIFS($BI$9:$BI$508,$BI322,$BK$9:$BK$508,$BK322,$BM$9:$BM$508,$BM322,$BO$9:$BO$508,"&lt;"&amp;$BO322)+COUNTIFS($BI$9:$BI$508,$BI322,$BK$9:$BK$508,$BK322,$BM$9:$BM$508,$BM322,$BO$9:$BO$508,$BO322,$BQ$9:$BQ$508,"&lt;"&amp;$BQ322)+1))</f>
        <v/>
      </c>
      <c r="BS322" s="87" t="str">
        <f aca="false">IF(ISBLANK($C322),"",IF($BD322&lt;&gt;Constants!$B$6,$BD322,$BI322-$BR322))</f>
        <v/>
      </c>
      <c r="BT322" s="94"/>
      <c r="BU322" s="95"/>
      <c r="BV322" s="95" t="str">
        <f aca="false">IF(ISBLANK($C322),"",IF($BD322&lt;&gt;Constants!$B$6,"",IF($AU322="-&gt;",2,1)))</f>
        <v/>
      </c>
      <c r="BW322" s="96" t="str">
        <f aca="false">IF(ISBLANK($C322),"",IF($BD322&lt;&gt;Constants!$B$6,"",IF($AU322="-&gt;",$AW322,$AN322)))</f>
        <v/>
      </c>
      <c r="BX322" s="96" t="str">
        <f aca="false">IF(ISBLANK($C322),"",IF($BD322&lt;&gt;Constants!$B$6,"",IF($AU322="-&gt;",$AX322,$AO322)))</f>
        <v/>
      </c>
      <c r="BY322" s="96" t="str">
        <f aca="false">IF(ISBLANK($C322),"",IF($BD322&lt;&gt;Constants!$B$6,"",IF($AU322="-&gt;",$AY322,$AP322)))</f>
        <v/>
      </c>
      <c r="BZ322" s="96" t="str">
        <f aca="false">IF(ISBLANK($C322),"",IF($BD322&lt;&gt;Constants!$B$6,"",IF($AU322="-&gt;",$AZ322,$AQ322)+$BG322))</f>
        <v/>
      </c>
      <c r="CA322" s="97" t="str">
        <f aca="false">IF(ISBLANK($C322),"",IF($BD322&lt;&gt;Constants!$B$6,$BD322,$BH322))</f>
        <v/>
      </c>
      <c r="CB322" s="98" t="str">
        <f aca="false">IF(ISBLANK($C322),"",$BE322)</f>
        <v/>
      </c>
      <c r="CC322" s="99" t="str">
        <f aca="false">IF(ISBLANK($C322),"",$BS322)</f>
        <v/>
      </c>
      <c r="CD322" s="99" t="str">
        <f aca="false">IF(ISBLANK($C322),"",$BR322)</f>
        <v/>
      </c>
      <c r="CE322" s="100" t="str">
        <f aca="false">IF(ISBLANK($C322),"",IF($CD322=Constants!$B$9,COUNTA($C$9:$C$508)+2,IF($CD322=Constants!$B$8,COUNTA($C$9:$C$508)+1,IF($CD322=Constants!$B$7,COUNTA($C$9:$C$508),$CD322))))</f>
        <v/>
      </c>
      <c r="CF322" s="9"/>
      <c r="CG322" s="101" t="n">
        <f aca="false">IF(OR(ISNUMBER($CD322),$CD322=Constants!$B$9,$CD322=Constants!$B$7,$CD322=Constants!$B$8),1,0)</f>
        <v>0</v>
      </c>
      <c r="CH322" s="101" t="n">
        <v>314</v>
      </c>
      <c r="CI322" s="101" t="str">
        <f aca="false">IF(ISBLANK($C322),"",IF(ISNUMBER($CE322),$CE322+ROW($B322)/1000,""))</f>
        <v/>
      </c>
      <c r="CJ322" s="101" t="str">
        <f aca="false">IF(ISNUMBER($CI322),RANK($CI322,$CI$9:$CI$508,1),"")</f>
        <v/>
      </c>
      <c r="CK322" s="101" t="str">
        <f aca="false">IF(ISBLANK($C322),"",$B322)</f>
        <v/>
      </c>
      <c r="CL322" s="101" t="str">
        <f aca="false">IF(ISBLANK($C322),"",$C322)</f>
        <v/>
      </c>
      <c r="CM322" s="101" t="str">
        <f aca="false">IF(ISBLANK($C322),"",$D322)</f>
        <v/>
      </c>
      <c r="CN322" s="102" t="str">
        <f aca="false">$CB322</f>
        <v/>
      </c>
      <c r="CO322" s="103" t="str">
        <f aca="false">$CA322</f>
        <v/>
      </c>
      <c r="CP322" s="101" t="str">
        <f aca="false">IF(ISBLANK($C322),"",$CD322)</f>
        <v/>
      </c>
      <c r="CQ322" s="104" t="str">
        <f aca="false">IF($CH322&gt;$CG$8,"",VLOOKUP($CH322,$CJ$9:$CP$508,7,FALSE()))</f>
        <v/>
      </c>
      <c r="CR322" s="105" t="str">
        <f aca="false">IF($CH322&gt;$CG$8,"",VLOOKUP($CH322,$CJ$9:$CP$508,2,FALSE()))</f>
        <v/>
      </c>
      <c r="CS322" s="105" t="str">
        <f aca="false">IF($CH322&gt;$CG$8,"",VLOOKUP($CH322,$CJ$9:$CP$508,3,FALSE()))</f>
        <v/>
      </c>
      <c r="CT322" s="105" t="str">
        <f aca="false">IF($CH322&gt;$CG$8,"",VLOOKUP($CH322,$CJ$9:$CP$508,4,FALSE()))</f>
        <v/>
      </c>
      <c r="CU322" s="105" t="str">
        <f aca="false">IF($CH322&gt;$CG$8,"",VLOOKUP($CH322,$CJ$9:$CP$508,5,FALSE()))</f>
        <v/>
      </c>
      <c r="CV322" s="106" t="str">
        <f aca="false">IF($CH322&gt;$CG$8,"",VLOOKUP($CH322,$CJ$9:$CP$508,6,FALSE()))</f>
        <v/>
      </c>
      <c r="CW322" s="71"/>
    </row>
    <row r="323" customFormat="false" ht="15.75" hidden="false" customHeight="false" outlineLevel="0" collapsed="false">
      <c r="A323" s="9"/>
      <c r="B323" s="72"/>
      <c r="C323" s="73"/>
      <c r="D323" s="160"/>
      <c r="E323" s="168"/>
      <c r="F323" s="162"/>
      <c r="G323" s="163"/>
      <c r="H323" s="169"/>
      <c r="I323" s="167"/>
      <c r="J323" s="80"/>
      <c r="K323" s="81"/>
      <c r="L323" s="82"/>
      <c r="M323" s="166"/>
      <c r="N323" s="167"/>
      <c r="O323" s="167"/>
      <c r="P323" s="80"/>
      <c r="Q323" s="82"/>
      <c r="R323" s="82"/>
      <c r="S323" s="166"/>
      <c r="T323" s="167"/>
      <c r="U323" s="86"/>
      <c r="V323" s="87"/>
      <c r="W323" s="87" t="str">
        <f aca="false">IF(ISBLANK($C323),"",IF(E323=Constants!$B$2,TRUE(),IF(E323=Constants!$B$3,FALSE(),TRUE())))</f>
        <v/>
      </c>
      <c r="X323" s="87" t="str">
        <f aca="false">IF(ISBLANK($C323),"",IF(F323=Constants!$B$2,TRUE(),IF(F323=Constants!$B$3,FALSE(),TRUE())))</f>
        <v/>
      </c>
      <c r="Y323" s="87" t="str">
        <f aca="false">IF(ISBLANK($C323),"",IF(G323=Constants!$B$2,TRUE(),IF(G323=Constants!$B$3,FALSE(),TRUE())))</f>
        <v/>
      </c>
      <c r="Z323" s="87" t="str">
        <f aca="false">IF(ISBLANK($C323),"",IF(H323=Constants!$B$2,TRUE(),IF(H323=Constants!$B$3,FALSE(),TRUE())))</f>
        <v/>
      </c>
      <c r="AA323" s="87" t="str">
        <f aca="false">IF(ISBLANK($C323),"",IF(I323=Constants!$B$2,TRUE(),IF(I323=Constants!$B$3,FALSE(),TRUE())))</f>
        <v/>
      </c>
      <c r="AB323" s="87" t="str">
        <f aca="false">IF(ISBLANK($C323),"",IF(J323=Constants!$B$4,TRUE(),IF(J323=Constants!$B$5,FALSE(),COUNTA(K323:M323)&gt;0)))</f>
        <v/>
      </c>
      <c r="AC323" s="88" t="str">
        <f aca="false">IF(ISBLANK($C323),"",IF(ISNUMBER(K323),IF(K323&gt;=0,K323,""),""))</f>
        <v/>
      </c>
      <c r="AD323" s="89" t="str">
        <f aca="false">IF(ISBLANK($C323),"",IF(ISNUMBER(L323),IF(L323&gt;=0,L323,""),""))</f>
        <v/>
      </c>
      <c r="AE323" s="87" t="str">
        <f aca="false">IF(ISBLANK($C323),"",IF(ISNUMBER(M323),IF(M323&gt;=0,MIN(M323,Constants!$B$22),""),""))</f>
        <v/>
      </c>
      <c r="AF323" s="87" t="str">
        <f aca="false">IF(ISBLANK($C323),"",IF(N323=Constants!$B$2,TRUE(),IF(N323=Constants!$B$3,FALSE(),TRUE())))</f>
        <v/>
      </c>
      <c r="AG323" s="87" t="str">
        <f aca="false">IF(ISBLANK($C323),"",IF(O323=Constants!$B$2,TRUE(),IF(O323=Constants!$B$3,FALSE(),TRUE())))</f>
        <v/>
      </c>
      <c r="AH323" s="87" t="str">
        <f aca="false">IF(ISBLANK($C323),"",IF(P323=Constants!$B$4,TRUE(),IF(P323=Constants!$B$5,FALSE(),COUNTA(Q323:S323)&gt;0)))</f>
        <v/>
      </c>
      <c r="AI323" s="88" t="str">
        <f aca="false">IF(ISBLANK($C323),"",IF(ISNUMBER(Q323),IF(Q323&gt;=0,Q323,""),""))</f>
        <v/>
      </c>
      <c r="AJ323" s="89" t="str">
        <f aca="false">IF(ISBLANK($C323),"",IF(ISNUMBER(R323),IF(R323&gt;=0,R323,""),""))</f>
        <v/>
      </c>
      <c r="AK323" s="87" t="str">
        <f aca="false">IF(ISBLANK($C323),"",IF(ISNUMBER(S323),IF(S323&gt;=0,MIN(S323,Constants!$B$22),""),""))</f>
        <v/>
      </c>
      <c r="AL323" s="87" t="str">
        <f aca="false">IF(ISBLANK($C323),"",IF(T323=Constants!$B$2,TRUE(),IF(T323=Constants!$B$3,FALSE(),FALSE())))</f>
        <v/>
      </c>
      <c r="AM323" s="86" t="str">
        <f aca="false">IF(ISBLANK($C323),"",AND($AB323,OR($AC323="",$AD323="",AND(NOT(ISBLANK($M323)),$AE323=""))))</f>
        <v/>
      </c>
      <c r="AN323" s="89" t="str">
        <f aca="false">IF($BD323&lt;&gt;Constants!$B$6,"",IF($AB323,Constants!$B$17*$AD323,Constants!$B$18))</f>
        <v/>
      </c>
      <c r="AO323" s="91" t="str">
        <f aca="false">IF($BD323&lt;&gt;Constants!$B$6,"",Constants!$B$19*IF($AB323,$AC323,0))</f>
        <v/>
      </c>
      <c r="AP323" s="91" t="str">
        <f aca="false">IF($BD323&lt;&gt;Constants!$B$6,"",IF(AND($AB323,ISNUMBER($AE323)),Constants!$B$20*(Constants!$B$21-$AE323),0))</f>
        <v/>
      </c>
      <c r="AQ323" s="91" t="str">
        <f aca="false">IF($BD323&lt;&gt;Constants!$B$6,"",IF($AA323,0,Constants!$B$12)+IF($Z323,0,Constants!$B$13)+IF($Y323,0,Constants!$B$14))</f>
        <v/>
      </c>
      <c r="AR323" s="92" t="str">
        <f aca="false">IF($BD323&lt;&gt;Constants!$B$6,"",Constants!$B$16+SUM($AN323:$AQ323))</f>
        <v/>
      </c>
      <c r="AS323" s="91" t="str">
        <f aca="false">IF($BD323&lt;&gt;Constants!$B$6,"",IF($AB323,$AD323,""))</f>
        <v/>
      </c>
      <c r="AT323" s="93" t="str">
        <f aca="false">IF($BD323&lt;&gt;Constants!$B$6,"",$AO323)</f>
        <v/>
      </c>
      <c r="AU323" s="87" t="str">
        <f aca="false">IF($BD323&lt;&gt;Constants!$B$6,"",IF(OR($BA323&lt;$AR323,AND($BA323=$AR323,OR(AND(ISNUMBER($BB323),OR(NOT(ISNUMBER($AS323)),$BB323&lt;$AS323)),AND(OR(AND($BB323="",$AS323=""),AND(ISNUMBER($BB323),ISNUMBER($AS323),$BB323=$AS323)),$BC323&lt;$AT323)))),"-&gt;","&lt;-"))</f>
        <v/>
      </c>
      <c r="AV323" s="86" t="str">
        <f aca="false">IF(ISBLANK($C323),"",AND($AH323,OR($AI323="",$AJ323="",AND(NOT(ISBLANK($S323)),$AK323=""))))</f>
        <v/>
      </c>
      <c r="AW323" s="89" t="str">
        <f aca="false">IF($BD323&lt;&gt;Constants!$B$6,"",IF($AH323,Constants!$B$17*$AJ323,Constants!$B$18))</f>
        <v/>
      </c>
      <c r="AX323" s="91" t="str">
        <f aca="false">IF($BD323&lt;&gt;Constants!$B$6,"",Constants!$B$19*IF($AH323,$AI323,0))</f>
        <v/>
      </c>
      <c r="AY323" s="91" t="str">
        <f aca="false">IF($BD323&lt;&gt;Constants!$B$6,"",IF(AND($AH323,ISNUMBER($AK323)),Constants!$B$20*(Constants!$B$21-$AK323),0))</f>
        <v/>
      </c>
      <c r="AZ323" s="91" t="str">
        <f aca="false">IF($BD323&lt;&gt;Constants!$B$6,"",IF($AG323,0,Constants!$B$12)+IF($AF323,0,Constants!$B$13)+IF($Y323,0,Constants!$B$14))</f>
        <v/>
      </c>
      <c r="BA323" s="92" t="str">
        <f aca="false">IF($BD323&lt;&gt;Constants!$B$6,"",Constants!$B$16+SUM($AW323:$AZ323))</f>
        <v/>
      </c>
      <c r="BB323" s="91" t="str">
        <f aca="false">IF($BD323&lt;&gt;Constants!$B$6,"",IF($AH323,$AJ323,""))</f>
        <v/>
      </c>
      <c r="BC323" s="93" t="str">
        <f aca="false">IF($BD323&lt;&gt;Constants!$B$6,"",$AX323)</f>
        <v/>
      </c>
      <c r="BD323" s="87" t="str">
        <f aca="false">IF(ISBLANK($C323),"",IF($AL323,Constants!$B$9,IF(COUNTA($E323:$T323)=0,Constants!$B$8,IF(NOT($X323),Constants!$B$7,IF(OR($AM323,$AV323),Constants!$B$10,Constants!$B$6)))))</f>
        <v/>
      </c>
      <c r="BE323" s="87" t="str">
        <f aca="false">IF(ISBLANK($C323),"",IF($BD323&lt;&gt;Constants!$B$6,$BD323,Constants!$B$11))</f>
        <v/>
      </c>
      <c r="BF323" s="91" t="str">
        <f aca="false">IF($BD323&lt;&gt;Constants!$B$6,"",IF($AU323="-&gt;",$BA323,$AR323))</f>
        <v/>
      </c>
      <c r="BG323" s="91" t="str">
        <f aca="false">IF($BD323&lt;&gt;Constants!$B$6,"",IF($W323,0,Constants!$B$15))</f>
        <v/>
      </c>
      <c r="BH323" s="91" t="str">
        <f aca="false">IF(ISBLANK($C323),"",IF($BD323&lt;&gt;Constants!$B$6,$BD323,SUM($BF323:$BG323)))</f>
        <v/>
      </c>
      <c r="BI323" s="87" t="str">
        <f aca="false">IF(ISBLANK($C323),"",IF($BD323&lt;&gt;Constants!$B$6,$BD323,RANK($BH323,$BH$9:$BH$508,1)))</f>
        <v/>
      </c>
      <c r="BJ323" s="91" t="str">
        <f aca="false">IF($BD323&lt;&gt;Constants!$B$6,"",IF($AU323="-&gt;",$BB323,$AS323))</f>
        <v/>
      </c>
      <c r="BK323" s="87" t="str">
        <f aca="false">IF(ISBLANK($C323),"",IF($BD323&lt;&gt;Constants!$B$6,$BD323,IF(ISNUMBER($BJ323),RANK($BJ323,$BJ$9:$BJ$508,1),COUNT($BJ$9:$BJ$508)+1)))</f>
        <v/>
      </c>
      <c r="BL323" s="91" t="str">
        <f aca="false">IF($BD323&lt;&gt;Constants!$B$6,"",IF($AU323="-&gt;",$BC323,$AT323))</f>
        <v/>
      </c>
      <c r="BM323" s="87" t="str">
        <f aca="false">IF(ISBLANK($C323),"",IF($BD323&lt;&gt;Constants!$B$6,$BD323,IF(ISNUMBER($BL323),RANK($BL323,$BL$9:$BL$508,1),COUNT($BL$9:$BL$508)+1)))</f>
        <v/>
      </c>
      <c r="BN323" s="91" t="str">
        <f aca="false">IF($BD323&lt;&gt;Constants!$B$6,"",IF($AU323="-&gt;",$AS323,$BB323))</f>
        <v/>
      </c>
      <c r="BO323" s="87" t="str">
        <f aca="false">IF(ISBLANK($C323),"",IF($BD323&lt;&gt;Constants!$B$6,$BD323,IF(ISNUMBER($BN323),RANK($BN323,$BN$9:$BN$508,1),COUNT($BN$9:$BN$508)+1)))</f>
        <v/>
      </c>
      <c r="BP323" s="91" t="str">
        <f aca="false">IF($BD323&lt;&gt;Constants!$B$6,"",IF($AU323="-&gt;",$AT323,$BC323))</f>
        <v/>
      </c>
      <c r="BQ323" s="87" t="str">
        <f aca="false">IF(ISBLANK($C323),"",IF($BD323&lt;&gt;Constants!$B$6,$BD323,IF(ISNUMBER($BP323),RANK($BP323,$BP$9:$BP$508,1),COUNT($BP$9:$BP$508)+1)))</f>
        <v/>
      </c>
      <c r="BR323" s="87" t="str">
        <f aca="false">IF(ISBLANK($C323),"",IF($BD323&lt;&gt;Constants!$B$6,$BD323,COUNTIFS($BI$9:$BI$508,"&lt;"&amp;$BI323)+COUNTIFS($BI$9:$BI$508,$BI323,$BK$9:$BK$508,"&lt;"&amp;$BK323)+COUNTIFS($BI$9:$BI$508,$BI323,$BK$9:$BK$508,$BK323,$BM$9:$BM$508,"&lt;"&amp;$BM323)+COUNTIFS($BI$9:$BI$508,$BI323,$BK$9:$BK$508,$BK323,$BM$9:$BM$508,$BM323,$BO$9:$BO$508,"&lt;"&amp;$BO323)+COUNTIFS($BI$9:$BI$508,$BI323,$BK$9:$BK$508,$BK323,$BM$9:$BM$508,$BM323,$BO$9:$BO$508,$BO323,$BQ$9:$BQ$508,"&lt;"&amp;$BQ323)+1))</f>
        <v/>
      </c>
      <c r="BS323" s="87" t="str">
        <f aca="false">IF(ISBLANK($C323),"",IF($BD323&lt;&gt;Constants!$B$6,$BD323,$BI323-$BR323))</f>
        <v/>
      </c>
      <c r="BT323" s="94"/>
      <c r="BU323" s="95"/>
      <c r="BV323" s="95" t="str">
        <f aca="false">IF(ISBLANK($C323),"",IF($BD323&lt;&gt;Constants!$B$6,"",IF($AU323="-&gt;",2,1)))</f>
        <v/>
      </c>
      <c r="BW323" s="96" t="str">
        <f aca="false">IF(ISBLANK($C323),"",IF($BD323&lt;&gt;Constants!$B$6,"",IF($AU323="-&gt;",$AW323,$AN323)))</f>
        <v/>
      </c>
      <c r="BX323" s="96" t="str">
        <f aca="false">IF(ISBLANK($C323),"",IF($BD323&lt;&gt;Constants!$B$6,"",IF($AU323="-&gt;",$AX323,$AO323)))</f>
        <v/>
      </c>
      <c r="BY323" s="96" t="str">
        <f aca="false">IF(ISBLANK($C323),"",IF($BD323&lt;&gt;Constants!$B$6,"",IF($AU323="-&gt;",$AY323,$AP323)))</f>
        <v/>
      </c>
      <c r="BZ323" s="96" t="str">
        <f aca="false">IF(ISBLANK($C323),"",IF($BD323&lt;&gt;Constants!$B$6,"",IF($AU323="-&gt;",$AZ323,$AQ323)+$BG323))</f>
        <v/>
      </c>
      <c r="CA323" s="97" t="str">
        <f aca="false">IF(ISBLANK($C323),"",IF($BD323&lt;&gt;Constants!$B$6,$BD323,$BH323))</f>
        <v/>
      </c>
      <c r="CB323" s="98" t="str">
        <f aca="false">IF(ISBLANK($C323),"",$BE323)</f>
        <v/>
      </c>
      <c r="CC323" s="99" t="str">
        <f aca="false">IF(ISBLANK($C323),"",$BS323)</f>
        <v/>
      </c>
      <c r="CD323" s="99" t="str">
        <f aca="false">IF(ISBLANK($C323),"",$BR323)</f>
        <v/>
      </c>
      <c r="CE323" s="100" t="str">
        <f aca="false">IF(ISBLANK($C323),"",IF($CD323=Constants!$B$9,COUNTA($C$9:$C$508)+2,IF($CD323=Constants!$B$8,COUNTA($C$9:$C$508)+1,IF($CD323=Constants!$B$7,COUNTA($C$9:$C$508),$CD323))))</f>
        <v/>
      </c>
      <c r="CF323" s="9"/>
      <c r="CG323" s="101" t="n">
        <f aca="false">IF(OR(ISNUMBER($CD323),$CD323=Constants!$B$9,$CD323=Constants!$B$7,$CD323=Constants!$B$8),1,0)</f>
        <v>0</v>
      </c>
      <c r="CH323" s="101" t="n">
        <v>315</v>
      </c>
      <c r="CI323" s="101" t="str">
        <f aca="false">IF(ISBLANK($C323),"",IF(ISNUMBER($CE323),$CE323+ROW($B323)/1000,""))</f>
        <v/>
      </c>
      <c r="CJ323" s="101" t="str">
        <f aca="false">IF(ISNUMBER($CI323),RANK($CI323,$CI$9:$CI$508,1),"")</f>
        <v/>
      </c>
      <c r="CK323" s="101" t="str">
        <f aca="false">IF(ISBLANK($C323),"",$B323)</f>
        <v/>
      </c>
      <c r="CL323" s="101" t="str">
        <f aca="false">IF(ISBLANK($C323),"",$C323)</f>
        <v/>
      </c>
      <c r="CM323" s="101" t="str">
        <f aca="false">IF(ISBLANK($C323),"",$D323)</f>
        <v/>
      </c>
      <c r="CN323" s="102" t="str">
        <f aca="false">$CB323</f>
        <v/>
      </c>
      <c r="CO323" s="103" t="str">
        <f aca="false">$CA323</f>
        <v/>
      </c>
      <c r="CP323" s="101" t="str">
        <f aca="false">IF(ISBLANK($C323),"",$CD323)</f>
        <v/>
      </c>
      <c r="CQ323" s="104" t="str">
        <f aca="false">IF($CH323&gt;$CG$8,"",VLOOKUP($CH323,$CJ$9:$CP$508,7,FALSE()))</f>
        <v/>
      </c>
      <c r="CR323" s="105" t="str">
        <f aca="false">IF($CH323&gt;$CG$8,"",VLOOKUP($CH323,$CJ$9:$CP$508,2,FALSE()))</f>
        <v/>
      </c>
      <c r="CS323" s="105" t="str">
        <f aca="false">IF($CH323&gt;$CG$8,"",VLOOKUP($CH323,$CJ$9:$CP$508,3,FALSE()))</f>
        <v/>
      </c>
      <c r="CT323" s="105" t="str">
        <f aca="false">IF($CH323&gt;$CG$8,"",VLOOKUP($CH323,$CJ$9:$CP$508,4,FALSE()))</f>
        <v/>
      </c>
      <c r="CU323" s="105" t="str">
        <f aca="false">IF($CH323&gt;$CG$8,"",VLOOKUP($CH323,$CJ$9:$CP$508,5,FALSE()))</f>
        <v/>
      </c>
      <c r="CV323" s="106" t="str">
        <f aca="false">IF($CH323&gt;$CG$8,"",VLOOKUP($CH323,$CJ$9:$CP$508,6,FALSE()))</f>
        <v/>
      </c>
      <c r="CW323" s="71"/>
    </row>
    <row r="324" customFormat="false" ht="15.75" hidden="false" customHeight="false" outlineLevel="0" collapsed="false">
      <c r="A324" s="9"/>
      <c r="B324" s="150"/>
      <c r="C324" s="151"/>
      <c r="D324" s="152"/>
      <c r="E324" s="170"/>
      <c r="F324" s="154"/>
      <c r="G324" s="155"/>
      <c r="H324" s="171"/>
      <c r="I324" s="159"/>
      <c r="J324" s="120"/>
      <c r="K324" s="121"/>
      <c r="L324" s="122"/>
      <c r="M324" s="158"/>
      <c r="N324" s="159"/>
      <c r="O324" s="159"/>
      <c r="P324" s="120"/>
      <c r="Q324" s="122"/>
      <c r="R324" s="122"/>
      <c r="S324" s="158"/>
      <c r="T324" s="159"/>
      <c r="U324" s="126"/>
      <c r="V324" s="127"/>
      <c r="W324" s="127" t="str">
        <f aca="false">IF(ISBLANK($C324),"",IF(E324=Constants!$B$2,TRUE(),IF(E324=Constants!$B$3,FALSE(),TRUE())))</f>
        <v/>
      </c>
      <c r="X324" s="127" t="str">
        <f aca="false">IF(ISBLANK($C324),"",IF(F324=Constants!$B$2,TRUE(),IF(F324=Constants!$B$3,FALSE(),TRUE())))</f>
        <v/>
      </c>
      <c r="Y324" s="127" t="str">
        <f aca="false">IF(ISBLANK($C324),"",IF(G324=Constants!$B$2,TRUE(),IF(G324=Constants!$B$3,FALSE(),TRUE())))</f>
        <v/>
      </c>
      <c r="Z324" s="127" t="str">
        <f aca="false">IF(ISBLANK($C324),"",IF(H324=Constants!$B$2,TRUE(),IF(H324=Constants!$B$3,FALSE(),TRUE())))</f>
        <v/>
      </c>
      <c r="AA324" s="127" t="str">
        <f aca="false">IF(ISBLANK($C324),"",IF(I324=Constants!$B$2,TRUE(),IF(I324=Constants!$B$3,FALSE(),TRUE())))</f>
        <v/>
      </c>
      <c r="AB324" s="127" t="str">
        <f aca="false">IF(ISBLANK($C324),"",IF(J324=Constants!$B$4,TRUE(),IF(J324=Constants!$B$5,FALSE(),COUNTA(K324:M324)&gt;0)))</f>
        <v/>
      </c>
      <c r="AC324" s="128" t="str">
        <f aca="false">IF(ISBLANK($C324),"",IF(ISNUMBER(K324),IF(K324&gt;=0,K324,""),""))</f>
        <v/>
      </c>
      <c r="AD324" s="129" t="str">
        <f aca="false">IF(ISBLANK($C324),"",IF(ISNUMBER(L324),IF(L324&gt;=0,L324,""),""))</f>
        <v/>
      </c>
      <c r="AE324" s="127" t="str">
        <f aca="false">IF(ISBLANK($C324),"",IF(ISNUMBER(M324),IF(M324&gt;=0,MIN(M324,Constants!$B$22),""),""))</f>
        <v/>
      </c>
      <c r="AF324" s="127" t="str">
        <f aca="false">IF(ISBLANK($C324),"",IF(N324=Constants!$B$2,TRUE(),IF(N324=Constants!$B$3,FALSE(),TRUE())))</f>
        <v/>
      </c>
      <c r="AG324" s="127" t="str">
        <f aca="false">IF(ISBLANK($C324),"",IF(O324=Constants!$B$2,TRUE(),IF(O324=Constants!$B$3,FALSE(),TRUE())))</f>
        <v/>
      </c>
      <c r="AH324" s="127" t="str">
        <f aca="false">IF(ISBLANK($C324),"",IF(P324=Constants!$B$4,TRUE(),IF(P324=Constants!$B$5,FALSE(),COUNTA(Q324:S324)&gt;0)))</f>
        <v/>
      </c>
      <c r="AI324" s="128" t="str">
        <f aca="false">IF(ISBLANK($C324),"",IF(ISNUMBER(Q324),IF(Q324&gt;=0,Q324,""),""))</f>
        <v/>
      </c>
      <c r="AJ324" s="129" t="str">
        <f aca="false">IF(ISBLANK($C324),"",IF(ISNUMBER(R324),IF(R324&gt;=0,R324,""),""))</f>
        <v/>
      </c>
      <c r="AK324" s="127" t="str">
        <f aca="false">IF(ISBLANK($C324),"",IF(ISNUMBER(S324),IF(S324&gt;=0,MIN(S324,Constants!$B$22),""),""))</f>
        <v/>
      </c>
      <c r="AL324" s="127" t="str">
        <f aca="false">IF(ISBLANK($C324),"",IF(T324=Constants!$B$2,TRUE(),IF(T324=Constants!$B$3,FALSE(),FALSE())))</f>
        <v/>
      </c>
      <c r="AM324" s="126" t="str">
        <f aca="false">IF(ISBLANK($C324),"",AND($AB324,OR($AC324="",$AD324="",AND(NOT(ISBLANK($M324)),$AE324=""))))</f>
        <v/>
      </c>
      <c r="AN324" s="129" t="str">
        <f aca="false">IF($BD324&lt;&gt;Constants!$B$6,"",IF($AB324,Constants!$B$17*$AD324,Constants!$B$18))</f>
        <v/>
      </c>
      <c r="AO324" s="130" t="str">
        <f aca="false">IF($BD324&lt;&gt;Constants!$B$6,"",Constants!$B$19*IF($AB324,$AC324,0))</f>
        <v/>
      </c>
      <c r="AP324" s="130" t="str">
        <f aca="false">IF($BD324&lt;&gt;Constants!$B$6,"",IF(AND($AB324,ISNUMBER($AE324)),Constants!$B$20*(Constants!$B$21-$AE324),0))</f>
        <v/>
      </c>
      <c r="AQ324" s="130" t="str">
        <f aca="false">IF($BD324&lt;&gt;Constants!$B$6,"",IF($AA324,0,Constants!$B$12)+IF($Z324,0,Constants!$B$13)+IF($Y324,0,Constants!$B$14))</f>
        <v/>
      </c>
      <c r="AR324" s="131" t="str">
        <f aca="false">IF($BD324&lt;&gt;Constants!$B$6,"",Constants!$B$16+SUM($AN324:$AQ324))</f>
        <v/>
      </c>
      <c r="AS324" s="130" t="str">
        <f aca="false">IF($BD324&lt;&gt;Constants!$B$6,"",IF($AB324,$AD324,""))</f>
        <v/>
      </c>
      <c r="AT324" s="132" t="str">
        <f aca="false">IF($BD324&lt;&gt;Constants!$B$6,"",$AO324)</f>
        <v/>
      </c>
      <c r="AU324" s="127" t="str">
        <f aca="false">IF($BD324&lt;&gt;Constants!$B$6,"",IF(OR($BA324&lt;$AR324,AND($BA324=$AR324,OR(AND(ISNUMBER($BB324),OR(NOT(ISNUMBER($AS324)),$BB324&lt;$AS324)),AND(OR(AND($BB324="",$AS324=""),AND(ISNUMBER($BB324),ISNUMBER($AS324),$BB324=$AS324)),$BC324&lt;$AT324)))),"-&gt;","&lt;-"))</f>
        <v/>
      </c>
      <c r="AV324" s="126" t="str">
        <f aca="false">IF(ISBLANK($C324),"",AND($AH324,OR($AI324="",$AJ324="",AND(NOT(ISBLANK($S324)),$AK324=""))))</f>
        <v/>
      </c>
      <c r="AW324" s="129" t="str">
        <f aca="false">IF($BD324&lt;&gt;Constants!$B$6,"",IF($AH324,Constants!$B$17*$AJ324,Constants!$B$18))</f>
        <v/>
      </c>
      <c r="AX324" s="130" t="str">
        <f aca="false">IF($BD324&lt;&gt;Constants!$B$6,"",Constants!$B$19*IF($AH324,$AI324,0))</f>
        <v/>
      </c>
      <c r="AY324" s="130" t="str">
        <f aca="false">IF($BD324&lt;&gt;Constants!$B$6,"",IF(AND($AH324,ISNUMBER($AK324)),Constants!$B$20*(Constants!$B$21-$AK324),0))</f>
        <v/>
      </c>
      <c r="AZ324" s="130" t="str">
        <f aca="false">IF($BD324&lt;&gt;Constants!$B$6,"",IF($AG324,0,Constants!$B$12)+IF($AF324,0,Constants!$B$13)+IF($Y324,0,Constants!$B$14))</f>
        <v/>
      </c>
      <c r="BA324" s="131" t="str">
        <f aca="false">IF($BD324&lt;&gt;Constants!$B$6,"",Constants!$B$16+SUM($AW324:$AZ324))</f>
        <v/>
      </c>
      <c r="BB324" s="130" t="str">
        <f aca="false">IF($BD324&lt;&gt;Constants!$B$6,"",IF($AH324,$AJ324,""))</f>
        <v/>
      </c>
      <c r="BC324" s="132" t="str">
        <f aca="false">IF($BD324&lt;&gt;Constants!$B$6,"",$AX324)</f>
        <v/>
      </c>
      <c r="BD324" s="127" t="str">
        <f aca="false">IF(ISBLANK($C324),"",IF($AL324,Constants!$B$9,IF(COUNTA($E324:$T324)=0,Constants!$B$8,IF(NOT($X324),Constants!$B$7,IF(OR($AM324,$AV324),Constants!$B$10,Constants!$B$6)))))</f>
        <v/>
      </c>
      <c r="BE324" s="127" t="str">
        <f aca="false">IF(ISBLANK($C324),"",IF($BD324&lt;&gt;Constants!$B$6,$BD324,Constants!$B$11))</f>
        <v/>
      </c>
      <c r="BF324" s="130" t="str">
        <f aca="false">IF($BD324&lt;&gt;Constants!$B$6,"",IF($AU324="-&gt;",$BA324,$AR324))</f>
        <v/>
      </c>
      <c r="BG324" s="130" t="str">
        <f aca="false">IF($BD324&lt;&gt;Constants!$B$6,"",IF($W324,0,Constants!$B$15))</f>
        <v/>
      </c>
      <c r="BH324" s="130" t="str">
        <f aca="false">IF(ISBLANK($C324),"",IF($BD324&lt;&gt;Constants!$B$6,$BD324,SUM($BF324:$BG324)))</f>
        <v/>
      </c>
      <c r="BI324" s="127" t="str">
        <f aca="false">IF(ISBLANK($C324),"",IF($BD324&lt;&gt;Constants!$B$6,$BD324,RANK($BH324,$BH$9:$BH$508,1)))</f>
        <v/>
      </c>
      <c r="BJ324" s="130" t="str">
        <f aca="false">IF($BD324&lt;&gt;Constants!$B$6,"",IF($AU324="-&gt;",$BB324,$AS324))</f>
        <v/>
      </c>
      <c r="BK324" s="127" t="str">
        <f aca="false">IF(ISBLANK($C324),"",IF($BD324&lt;&gt;Constants!$B$6,$BD324,IF(ISNUMBER($BJ324),RANK($BJ324,$BJ$9:$BJ$508,1),COUNT($BJ$9:$BJ$508)+1)))</f>
        <v/>
      </c>
      <c r="BL324" s="130" t="str">
        <f aca="false">IF($BD324&lt;&gt;Constants!$B$6,"",IF($AU324="-&gt;",$BC324,$AT324))</f>
        <v/>
      </c>
      <c r="BM324" s="127" t="str">
        <f aca="false">IF(ISBLANK($C324),"",IF($BD324&lt;&gt;Constants!$B$6,$BD324,IF(ISNUMBER($BL324),RANK($BL324,$BL$9:$BL$508,1),COUNT($BL$9:$BL$508)+1)))</f>
        <v/>
      </c>
      <c r="BN324" s="130" t="str">
        <f aca="false">IF($BD324&lt;&gt;Constants!$B$6,"",IF($AU324="-&gt;",$AS324,$BB324))</f>
        <v/>
      </c>
      <c r="BO324" s="127" t="str">
        <f aca="false">IF(ISBLANK($C324),"",IF($BD324&lt;&gt;Constants!$B$6,$BD324,IF(ISNUMBER($BN324),RANK($BN324,$BN$9:$BN$508,1),COUNT($BN$9:$BN$508)+1)))</f>
        <v/>
      </c>
      <c r="BP324" s="130" t="str">
        <f aca="false">IF($BD324&lt;&gt;Constants!$B$6,"",IF($AU324="-&gt;",$AT324,$BC324))</f>
        <v/>
      </c>
      <c r="BQ324" s="127" t="str">
        <f aca="false">IF(ISBLANK($C324),"",IF($BD324&lt;&gt;Constants!$B$6,$BD324,IF(ISNUMBER($BP324),RANK($BP324,$BP$9:$BP$508,1),COUNT($BP$9:$BP$508)+1)))</f>
        <v/>
      </c>
      <c r="BR324" s="127" t="str">
        <f aca="false">IF(ISBLANK($C324),"",IF($BD324&lt;&gt;Constants!$B$6,$BD324,COUNTIFS($BI$9:$BI$508,"&lt;"&amp;$BI324)+COUNTIFS($BI$9:$BI$508,$BI324,$BK$9:$BK$508,"&lt;"&amp;$BK324)+COUNTIFS($BI$9:$BI$508,$BI324,$BK$9:$BK$508,$BK324,$BM$9:$BM$508,"&lt;"&amp;$BM324)+COUNTIFS($BI$9:$BI$508,$BI324,$BK$9:$BK$508,$BK324,$BM$9:$BM$508,$BM324,$BO$9:$BO$508,"&lt;"&amp;$BO324)+COUNTIFS($BI$9:$BI$508,$BI324,$BK$9:$BK$508,$BK324,$BM$9:$BM$508,$BM324,$BO$9:$BO$508,$BO324,$BQ$9:$BQ$508,"&lt;"&amp;$BQ324)+1))</f>
        <v/>
      </c>
      <c r="BS324" s="127" t="str">
        <f aca="false">IF(ISBLANK($C324),"",IF($BD324&lt;&gt;Constants!$B$6,$BD324,$BI324-$BR324))</f>
        <v/>
      </c>
      <c r="BT324" s="133"/>
      <c r="BU324" s="134"/>
      <c r="BV324" s="134" t="str">
        <f aca="false">IF(ISBLANK($C324),"",IF($BD324&lt;&gt;Constants!$B$6,"",IF($AU324="-&gt;",2,1)))</f>
        <v/>
      </c>
      <c r="BW324" s="135" t="str">
        <f aca="false">IF(ISBLANK($C324),"",IF($BD324&lt;&gt;Constants!$B$6,"",IF($AU324="-&gt;",$AW324,$AN324)))</f>
        <v/>
      </c>
      <c r="BX324" s="135" t="str">
        <f aca="false">IF(ISBLANK($C324),"",IF($BD324&lt;&gt;Constants!$B$6,"",IF($AU324="-&gt;",$AX324,$AO324)))</f>
        <v/>
      </c>
      <c r="BY324" s="135" t="str">
        <f aca="false">IF(ISBLANK($C324),"",IF($BD324&lt;&gt;Constants!$B$6,"",IF($AU324="-&gt;",$AY324,$AP324)))</f>
        <v/>
      </c>
      <c r="BZ324" s="135" t="str">
        <f aca="false">IF(ISBLANK($C324),"",IF($BD324&lt;&gt;Constants!$B$6,"",IF($AU324="-&gt;",$AZ324,$AQ324)+$BG324))</f>
        <v/>
      </c>
      <c r="CA324" s="136" t="str">
        <f aca="false">IF(ISBLANK($C324),"",IF($BD324&lt;&gt;Constants!$B$6,$BD324,$BH324))</f>
        <v/>
      </c>
      <c r="CB324" s="137" t="str">
        <f aca="false">IF(ISBLANK($C324),"",$BE324)</f>
        <v/>
      </c>
      <c r="CC324" s="138" t="str">
        <f aca="false">IF(ISBLANK($C324),"",$BS324)</f>
        <v/>
      </c>
      <c r="CD324" s="138" t="str">
        <f aca="false">IF(ISBLANK($C324),"",$BR324)</f>
        <v/>
      </c>
      <c r="CE324" s="139" t="str">
        <f aca="false">IF(ISBLANK($C324),"",IF($CD324=Constants!$B$9,COUNTA($C$9:$C$508)+2,IF($CD324=Constants!$B$8,COUNTA($C$9:$C$508)+1,IF($CD324=Constants!$B$7,COUNTA($C$9:$C$508),$CD324))))</f>
        <v/>
      </c>
      <c r="CF324" s="9"/>
      <c r="CG324" s="140" t="n">
        <f aca="false">IF(OR(ISNUMBER($CD324),$CD324=Constants!$B$9,$CD324=Constants!$B$7,$CD324=Constants!$B$8),1,0)</f>
        <v>0</v>
      </c>
      <c r="CH324" s="140" t="n">
        <v>316</v>
      </c>
      <c r="CI324" s="140" t="str">
        <f aca="false">IF(ISBLANK($C324),"",IF(ISNUMBER($CE324),$CE324+ROW($B324)/1000,""))</f>
        <v/>
      </c>
      <c r="CJ324" s="140" t="str">
        <f aca="false">IF(ISNUMBER($CI324),RANK($CI324,$CI$9:$CI$508,1),"")</f>
        <v/>
      </c>
      <c r="CK324" s="140" t="str">
        <f aca="false">IF(ISBLANK($C324),"",$B324)</f>
        <v/>
      </c>
      <c r="CL324" s="140" t="str">
        <f aca="false">IF(ISBLANK($C324),"",$C324)</f>
        <v/>
      </c>
      <c r="CM324" s="140" t="str">
        <f aca="false">IF(ISBLANK($C324),"",$D324)</f>
        <v/>
      </c>
      <c r="CN324" s="141" t="str">
        <f aca="false">$CB324</f>
        <v/>
      </c>
      <c r="CO324" s="142" t="str">
        <f aca="false">$CA324</f>
        <v/>
      </c>
      <c r="CP324" s="140" t="str">
        <f aca="false">IF(ISBLANK($C324),"",$CD324)</f>
        <v/>
      </c>
      <c r="CQ324" s="143" t="str">
        <f aca="false">IF($CH324&gt;$CG$8,"",VLOOKUP($CH324,$CJ$9:$CP$508,7,FALSE()))</f>
        <v/>
      </c>
      <c r="CR324" s="144" t="str">
        <f aca="false">IF($CH324&gt;$CG$8,"",VLOOKUP($CH324,$CJ$9:$CP$508,2,FALSE()))</f>
        <v/>
      </c>
      <c r="CS324" s="144" t="str">
        <f aca="false">IF($CH324&gt;$CG$8,"",VLOOKUP($CH324,$CJ$9:$CP$508,3,FALSE()))</f>
        <v/>
      </c>
      <c r="CT324" s="144" t="str">
        <f aca="false">IF($CH324&gt;$CG$8,"",VLOOKUP($CH324,$CJ$9:$CP$508,4,FALSE()))</f>
        <v/>
      </c>
      <c r="CU324" s="144" t="str">
        <f aca="false">IF($CH324&gt;$CG$8,"",VLOOKUP($CH324,$CJ$9:$CP$508,5,FALSE()))</f>
        <v/>
      </c>
      <c r="CV324" s="145" t="str">
        <f aca="false">IF($CH324&gt;$CG$8,"",VLOOKUP($CH324,$CJ$9:$CP$508,6,FALSE()))</f>
        <v/>
      </c>
      <c r="CW324" s="71"/>
    </row>
    <row r="325" customFormat="false" ht="15.75" hidden="false" customHeight="false" outlineLevel="0" collapsed="false">
      <c r="A325" s="9"/>
      <c r="B325" s="150"/>
      <c r="C325" s="151"/>
      <c r="D325" s="152"/>
      <c r="E325" s="170"/>
      <c r="F325" s="154"/>
      <c r="G325" s="155"/>
      <c r="H325" s="171"/>
      <c r="I325" s="159"/>
      <c r="J325" s="120"/>
      <c r="K325" s="121"/>
      <c r="L325" s="122"/>
      <c r="M325" s="158"/>
      <c r="N325" s="159"/>
      <c r="O325" s="159"/>
      <c r="P325" s="120"/>
      <c r="Q325" s="122"/>
      <c r="R325" s="122"/>
      <c r="S325" s="158"/>
      <c r="T325" s="159"/>
      <c r="U325" s="126"/>
      <c r="V325" s="127"/>
      <c r="W325" s="127" t="str">
        <f aca="false">IF(ISBLANK($C325),"",IF(E325=Constants!$B$2,TRUE(),IF(E325=Constants!$B$3,FALSE(),TRUE())))</f>
        <v/>
      </c>
      <c r="X325" s="127" t="str">
        <f aca="false">IF(ISBLANK($C325),"",IF(F325=Constants!$B$2,TRUE(),IF(F325=Constants!$B$3,FALSE(),TRUE())))</f>
        <v/>
      </c>
      <c r="Y325" s="127" t="str">
        <f aca="false">IF(ISBLANK($C325),"",IF(G325=Constants!$B$2,TRUE(),IF(G325=Constants!$B$3,FALSE(),TRUE())))</f>
        <v/>
      </c>
      <c r="Z325" s="127" t="str">
        <f aca="false">IF(ISBLANK($C325),"",IF(H325=Constants!$B$2,TRUE(),IF(H325=Constants!$B$3,FALSE(),TRUE())))</f>
        <v/>
      </c>
      <c r="AA325" s="127" t="str">
        <f aca="false">IF(ISBLANK($C325),"",IF(I325=Constants!$B$2,TRUE(),IF(I325=Constants!$B$3,FALSE(),TRUE())))</f>
        <v/>
      </c>
      <c r="AB325" s="127" t="str">
        <f aca="false">IF(ISBLANK($C325),"",IF(J325=Constants!$B$4,TRUE(),IF(J325=Constants!$B$5,FALSE(),COUNTA(K325:M325)&gt;0)))</f>
        <v/>
      </c>
      <c r="AC325" s="128" t="str">
        <f aca="false">IF(ISBLANK($C325),"",IF(ISNUMBER(K325),IF(K325&gt;=0,K325,""),""))</f>
        <v/>
      </c>
      <c r="AD325" s="129" t="str">
        <f aca="false">IF(ISBLANK($C325),"",IF(ISNUMBER(L325),IF(L325&gt;=0,L325,""),""))</f>
        <v/>
      </c>
      <c r="AE325" s="127" t="str">
        <f aca="false">IF(ISBLANK($C325),"",IF(ISNUMBER(M325),IF(M325&gt;=0,MIN(M325,Constants!$B$22),""),""))</f>
        <v/>
      </c>
      <c r="AF325" s="127" t="str">
        <f aca="false">IF(ISBLANK($C325),"",IF(N325=Constants!$B$2,TRUE(),IF(N325=Constants!$B$3,FALSE(),TRUE())))</f>
        <v/>
      </c>
      <c r="AG325" s="127" t="str">
        <f aca="false">IF(ISBLANK($C325),"",IF(O325=Constants!$B$2,TRUE(),IF(O325=Constants!$B$3,FALSE(),TRUE())))</f>
        <v/>
      </c>
      <c r="AH325" s="127" t="str">
        <f aca="false">IF(ISBLANK($C325),"",IF(P325=Constants!$B$4,TRUE(),IF(P325=Constants!$B$5,FALSE(),COUNTA(Q325:S325)&gt;0)))</f>
        <v/>
      </c>
      <c r="AI325" s="128" t="str">
        <f aca="false">IF(ISBLANK($C325),"",IF(ISNUMBER(Q325),IF(Q325&gt;=0,Q325,""),""))</f>
        <v/>
      </c>
      <c r="AJ325" s="129" t="str">
        <f aca="false">IF(ISBLANK($C325),"",IF(ISNUMBER(R325),IF(R325&gt;=0,R325,""),""))</f>
        <v/>
      </c>
      <c r="AK325" s="127" t="str">
        <f aca="false">IF(ISBLANK($C325),"",IF(ISNUMBER(S325),IF(S325&gt;=0,MIN(S325,Constants!$B$22),""),""))</f>
        <v/>
      </c>
      <c r="AL325" s="127" t="str">
        <f aca="false">IF(ISBLANK($C325),"",IF(T325=Constants!$B$2,TRUE(),IF(T325=Constants!$B$3,FALSE(),FALSE())))</f>
        <v/>
      </c>
      <c r="AM325" s="126" t="str">
        <f aca="false">IF(ISBLANK($C325),"",AND($AB325,OR($AC325="",$AD325="",AND(NOT(ISBLANK($M325)),$AE325=""))))</f>
        <v/>
      </c>
      <c r="AN325" s="129" t="str">
        <f aca="false">IF($BD325&lt;&gt;Constants!$B$6,"",IF($AB325,Constants!$B$17*$AD325,Constants!$B$18))</f>
        <v/>
      </c>
      <c r="AO325" s="130" t="str">
        <f aca="false">IF($BD325&lt;&gt;Constants!$B$6,"",Constants!$B$19*IF($AB325,$AC325,0))</f>
        <v/>
      </c>
      <c r="AP325" s="130" t="str">
        <f aca="false">IF($BD325&lt;&gt;Constants!$B$6,"",IF(AND($AB325,ISNUMBER($AE325)),Constants!$B$20*(Constants!$B$21-$AE325),0))</f>
        <v/>
      </c>
      <c r="AQ325" s="130" t="str">
        <f aca="false">IF($BD325&lt;&gt;Constants!$B$6,"",IF($AA325,0,Constants!$B$12)+IF($Z325,0,Constants!$B$13)+IF($Y325,0,Constants!$B$14))</f>
        <v/>
      </c>
      <c r="AR325" s="131" t="str">
        <f aca="false">IF($BD325&lt;&gt;Constants!$B$6,"",Constants!$B$16+SUM($AN325:$AQ325))</f>
        <v/>
      </c>
      <c r="AS325" s="130" t="str">
        <f aca="false">IF($BD325&lt;&gt;Constants!$B$6,"",IF($AB325,$AD325,""))</f>
        <v/>
      </c>
      <c r="AT325" s="132" t="str">
        <f aca="false">IF($BD325&lt;&gt;Constants!$B$6,"",$AO325)</f>
        <v/>
      </c>
      <c r="AU325" s="127" t="str">
        <f aca="false">IF($BD325&lt;&gt;Constants!$B$6,"",IF(OR($BA325&lt;$AR325,AND($BA325=$AR325,OR(AND(ISNUMBER($BB325),OR(NOT(ISNUMBER($AS325)),$BB325&lt;$AS325)),AND(OR(AND($BB325="",$AS325=""),AND(ISNUMBER($BB325),ISNUMBER($AS325),$BB325=$AS325)),$BC325&lt;$AT325)))),"-&gt;","&lt;-"))</f>
        <v/>
      </c>
      <c r="AV325" s="126" t="str">
        <f aca="false">IF(ISBLANK($C325),"",AND($AH325,OR($AI325="",$AJ325="",AND(NOT(ISBLANK($S325)),$AK325=""))))</f>
        <v/>
      </c>
      <c r="AW325" s="129" t="str">
        <f aca="false">IF($BD325&lt;&gt;Constants!$B$6,"",IF($AH325,Constants!$B$17*$AJ325,Constants!$B$18))</f>
        <v/>
      </c>
      <c r="AX325" s="130" t="str">
        <f aca="false">IF($BD325&lt;&gt;Constants!$B$6,"",Constants!$B$19*IF($AH325,$AI325,0))</f>
        <v/>
      </c>
      <c r="AY325" s="130" t="str">
        <f aca="false">IF($BD325&lt;&gt;Constants!$B$6,"",IF(AND($AH325,ISNUMBER($AK325)),Constants!$B$20*(Constants!$B$21-$AK325),0))</f>
        <v/>
      </c>
      <c r="AZ325" s="130" t="str">
        <f aca="false">IF($BD325&lt;&gt;Constants!$B$6,"",IF($AG325,0,Constants!$B$12)+IF($AF325,0,Constants!$B$13)+IF($Y325,0,Constants!$B$14))</f>
        <v/>
      </c>
      <c r="BA325" s="131" t="str">
        <f aca="false">IF($BD325&lt;&gt;Constants!$B$6,"",Constants!$B$16+SUM($AW325:$AZ325))</f>
        <v/>
      </c>
      <c r="BB325" s="130" t="str">
        <f aca="false">IF($BD325&lt;&gt;Constants!$B$6,"",IF($AH325,$AJ325,""))</f>
        <v/>
      </c>
      <c r="BC325" s="132" t="str">
        <f aca="false">IF($BD325&lt;&gt;Constants!$B$6,"",$AX325)</f>
        <v/>
      </c>
      <c r="BD325" s="127" t="str">
        <f aca="false">IF(ISBLANK($C325),"",IF($AL325,Constants!$B$9,IF(COUNTA($E325:$T325)=0,Constants!$B$8,IF(NOT($X325),Constants!$B$7,IF(OR($AM325,$AV325),Constants!$B$10,Constants!$B$6)))))</f>
        <v/>
      </c>
      <c r="BE325" s="127" t="str">
        <f aca="false">IF(ISBLANK($C325),"",IF($BD325&lt;&gt;Constants!$B$6,$BD325,Constants!$B$11))</f>
        <v/>
      </c>
      <c r="BF325" s="130" t="str">
        <f aca="false">IF($BD325&lt;&gt;Constants!$B$6,"",IF($AU325="-&gt;",$BA325,$AR325))</f>
        <v/>
      </c>
      <c r="BG325" s="130" t="str">
        <f aca="false">IF($BD325&lt;&gt;Constants!$B$6,"",IF($W325,0,Constants!$B$15))</f>
        <v/>
      </c>
      <c r="BH325" s="130" t="str">
        <f aca="false">IF(ISBLANK($C325),"",IF($BD325&lt;&gt;Constants!$B$6,$BD325,SUM($BF325:$BG325)))</f>
        <v/>
      </c>
      <c r="BI325" s="127" t="str">
        <f aca="false">IF(ISBLANK($C325),"",IF($BD325&lt;&gt;Constants!$B$6,$BD325,RANK($BH325,$BH$9:$BH$508,1)))</f>
        <v/>
      </c>
      <c r="BJ325" s="130" t="str">
        <f aca="false">IF($BD325&lt;&gt;Constants!$B$6,"",IF($AU325="-&gt;",$BB325,$AS325))</f>
        <v/>
      </c>
      <c r="BK325" s="127" t="str">
        <f aca="false">IF(ISBLANK($C325),"",IF($BD325&lt;&gt;Constants!$B$6,$BD325,IF(ISNUMBER($BJ325),RANK($BJ325,$BJ$9:$BJ$508,1),COUNT($BJ$9:$BJ$508)+1)))</f>
        <v/>
      </c>
      <c r="BL325" s="130" t="str">
        <f aca="false">IF($BD325&lt;&gt;Constants!$B$6,"",IF($AU325="-&gt;",$BC325,$AT325))</f>
        <v/>
      </c>
      <c r="BM325" s="127" t="str">
        <f aca="false">IF(ISBLANK($C325),"",IF($BD325&lt;&gt;Constants!$B$6,$BD325,IF(ISNUMBER($BL325),RANK($BL325,$BL$9:$BL$508,1),COUNT($BL$9:$BL$508)+1)))</f>
        <v/>
      </c>
      <c r="BN325" s="130" t="str">
        <f aca="false">IF($BD325&lt;&gt;Constants!$B$6,"",IF($AU325="-&gt;",$AS325,$BB325))</f>
        <v/>
      </c>
      <c r="BO325" s="127" t="str">
        <f aca="false">IF(ISBLANK($C325),"",IF($BD325&lt;&gt;Constants!$B$6,$BD325,IF(ISNUMBER($BN325),RANK($BN325,$BN$9:$BN$508,1),COUNT($BN$9:$BN$508)+1)))</f>
        <v/>
      </c>
      <c r="BP325" s="130" t="str">
        <f aca="false">IF($BD325&lt;&gt;Constants!$B$6,"",IF($AU325="-&gt;",$AT325,$BC325))</f>
        <v/>
      </c>
      <c r="BQ325" s="127" t="str">
        <f aca="false">IF(ISBLANK($C325),"",IF($BD325&lt;&gt;Constants!$B$6,$BD325,IF(ISNUMBER($BP325),RANK($BP325,$BP$9:$BP$508,1),COUNT($BP$9:$BP$508)+1)))</f>
        <v/>
      </c>
      <c r="BR325" s="127" t="str">
        <f aca="false">IF(ISBLANK($C325),"",IF($BD325&lt;&gt;Constants!$B$6,$BD325,COUNTIFS($BI$9:$BI$508,"&lt;"&amp;$BI325)+COUNTIFS($BI$9:$BI$508,$BI325,$BK$9:$BK$508,"&lt;"&amp;$BK325)+COUNTIFS($BI$9:$BI$508,$BI325,$BK$9:$BK$508,$BK325,$BM$9:$BM$508,"&lt;"&amp;$BM325)+COUNTIFS($BI$9:$BI$508,$BI325,$BK$9:$BK$508,$BK325,$BM$9:$BM$508,$BM325,$BO$9:$BO$508,"&lt;"&amp;$BO325)+COUNTIFS($BI$9:$BI$508,$BI325,$BK$9:$BK$508,$BK325,$BM$9:$BM$508,$BM325,$BO$9:$BO$508,$BO325,$BQ$9:$BQ$508,"&lt;"&amp;$BQ325)+1))</f>
        <v/>
      </c>
      <c r="BS325" s="127" t="str">
        <f aca="false">IF(ISBLANK($C325),"",IF($BD325&lt;&gt;Constants!$B$6,$BD325,$BI325-$BR325))</f>
        <v/>
      </c>
      <c r="BT325" s="133"/>
      <c r="BU325" s="134"/>
      <c r="BV325" s="134" t="str">
        <f aca="false">IF(ISBLANK($C325),"",IF($BD325&lt;&gt;Constants!$B$6,"",IF($AU325="-&gt;",2,1)))</f>
        <v/>
      </c>
      <c r="BW325" s="135" t="str">
        <f aca="false">IF(ISBLANK($C325),"",IF($BD325&lt;&gt;Constants!$B$6,"",IF($AU325="-&gt;",$AW325,$AN325)))</f>
        <v/>
      </c>
      <c r="BX325" s="135" t="str">
        <f aca="false">IF(ISBLANK($C325),"",IF($BD325&lt;&gt;Constants!$B$6,"",IF($AU325="-&gt;",$AX325,$AO325)))</f>
        <v/>
      </c>
      <c r="BY325" s="135" t="str">
        <f aca="false">IF(ISBLANK($C325),"",IF($BD325&lt;&gt;Constants!$B$6,"",IF($AU325="-&gt;",$AY325,$AP325)))</f>
        <v/>
      </c>
      <c r="BZ325" s="135" t="str">
        <f aca="false">IF(ISBLANK($C325),"",IF($BD325&lt;&gt;Constants!$B$6,"",IF($AU325="-&gt;",$AZ325,$AQ325)+$BG325))</f>
        <v/>
      </c>
      <c r="CA325" s="136" t="str">
        <f aca="false">IF(ISBLANK($C325),"",IF($BD325&lt;&gt;Constants!$B$6,$BD325,$BH325))</f>
        <v/>
      </c>
      <c r="CB325" s="137" t="str">
        <f aca="false">IF(ISBLANK($C325),"",$BE325)</f>
        <v/>
      </c>
      <c r="CC325" s="138" t="str">
        <f aca="false">IF(ISBLANK($C325),"",$BS325)</f>
        <v/>
      </c>
      <c r="CD325" s="138" t="str">
        <f aca="false">IF(ISBLANK($C325),"",$BR325)</f>
        <v/>
      </c>
      <c r="CE325" s="139" t="str">
        <f aca="false">IF(ISBLANK($C325),"",IF($CD325=Constants!$B$9,COUNTA($C$9:$C$508)+2,IF($CD325=Constants!$B$8,COUNTA($C$9:$C$508)+1,IF($CD325=Constants!$B$7,COUNTA($C$9:$C$508),$CD325))))</f>
        <v/>
      </c>
      <c r="CF325" s="9"/>
      <c r="CG325" s="140" t="n">
        <f aca="false">IF(OR(ISNUMBER($CD325),$CD325=Constants!$B$9,$CD325=Constants!$B$7,$CD325=Constants!$B$8),1,0)</f>
        <v>0</v>
      </c>
      <c r="CH325" s="140" t="n">
        <v>317</v>
      </c>
      <c r="CI325" s="140" t="str">
        <f aca="false">IF(ISBLANK($C325),"",IF(ISNUMBER($CE325),$CE325+ROW($B325)/1000,""))</f>
        <v/>
      </c>
      <c r="CJ325" s="140" t="str">
        <f aca="false">IF(ISNUMBER($CI325),RANK($CI325,$CI$9:$CI$508,1),"")</f>
        <v/>
      </c>
      <c r="CK325" s="140" t="str">
        <f aca="false">IF(ISBLANK($C325),"",$B325)</f>
        <v/>
      </c>
      <c r="CL325" s="140" t="str">
        <f aca="false">IF(ISBLANK($C325),"",$C325)</f>
        <v/>
      </c>
      <c r="CM325" s="140" t="str">
        <f aca="false">IF(ISBLANK($C325),"",$D325)</f>
        <v/>
      </c>
      <c r="CN325" s="141" t="str">
        <f aca="false">$CB325</f>
        <v/>
      </c>
      <c r="CO325" s="142" t="str">
        <f aca="false">$CA325</f>
        <v/>
      </c>
      <c r="CP325" s="140" t="str">
        <f aca="false">IF(ISBLANK($C325),"",$CD325)</f>
        <v/>
      </c>
      <c r="CQ325" s="143" t="str">
        <f aca="false">IF($CH325&gt;$CG$8,"",VLOOKUP($CH325,$CJ$9:$CP$508,7,FALSE()))</f>
        <v/>
      </c>
      <c r="CR325" s="144" t="str">
        <f aca="false">IF($CH325&gt;$CG$8,"",VLOOKUP($CH325,$CJ$9:$CP$508,2,FALSE()))</f>
        <v/>
      </c>
      <c r="CS325" s="144" t="str">
        <f aca="false">IF($CH325&gt;$CG$8,"",VLOOKUP($CH325,$CJ$9:$CP$508,3,FALSE()))</f>
        <v/>
      </c>
      <c r="CT325" s="144" t="str">
        <f aca="false">IF($CH325&gt;$CG$8,"",VLOOKUP($CH325,$CJ$9:$CP$508,4,FALSE()))</f>
        <v/>
      </c>
      <c r="CU325" s="144" t="str">
        <f aca="false">IF($CH325&gt;$CG$8,"",VLOOKUP($CH325,$CJ$9:$CP$508,5,FALSE()))</f>
        <v/>
      </c>
      <c r="CV325" s="145" t="str">
        <f aca="false">IF($CH325&gt;$CG$8,"",VLOOKUP($CH325,$CJ$9:$CP$508,6,FALSE()))</f>
        <v/>
      </c>
      <c r="CW325" s="71"/>
    </row>
    <row r="326" customFormat="false" ht="15.75" hidden="false" customHeight="false" outlineLevel="0" collapsed="false">
      <c r="A326" s="9"/>
      <c r="B326" s="150"/>
      <c r="C326" s="151"/>
      <c r="D326" s="152"/>
      <c r="E326" s="170"/>
      <c r="F326" s="154"/>
      <c r="G326" s="155"/>
      <c r="H326" s="171"/>
      <c r="I326" s="159"/>
      <c r="J326" s="120"/>
      <c r="K326" s="121"/>
      <c r="L326" s="122"/>
      <c r="M326" s="158"/>
      <c r="N326" s="159"/>
      <c r="O326" s="159"/>
      <c r="P326" s="120"/>
      <c r="Q326" s="122"/>
      <c r="R326" s="122"/>
      <c r="S326" s="158"/>
      <c r="T326" s="159"/>
      <c r="U326" s="126"/>
      <c r="V326" s="127"/>
      <c r="W326" s="127" t="str">
        <f aca="false">IF(ISBLANK($C326),"",IF(E326=Constants!$B$2,TRUE(),IF(E326=Constants!$B$3,FALSE(),TRUE())))</f>
        <v/>
      </c>
      <c r="X326" s="127" t="str">
        <f aca="false">IF(ISBLANK($C326),"",IF(F326=Constants!$B$2,TRUE(),IF(F326=Constants!$B$3,FALSE(),TRUE())))</f>
        <v/>
      </c>
      <c r="Y326" s="127" t="str">
        <f aca="false">IF(ISBLANK($C326),"",IF(G326=Constants!$B$2,TRUE(),IF(G326=Constants!$B$3,FALSE(),TRUE())))</f>
        <v/>
      </c>
      <c r="Z326" s="127" t="str">
        <f aca="false">IF(ISBLANK($C326),"",IF(H326=Constants!$B$2,TRUE(),IF(H326=Constants!$B$3,FALSE(),TRUE())))</f>
        <v/>
      </c>
      <c r="AA326" s="127" t="str">
        <f aca="false">IF(ISBLANK($C326),"",IF(I326=Constants!$B$2,TRUE(),IF(I326=Constants!$B$3,FALSE(),TRUE())))</f>
        <v/>
      </c>
      <c r="AB326" s="127" t="str">
        <f aca="false">IF(ISBLANK($C326),"",IF(J326=Constants!$B$4,TRUE(),IF(J326=Constants!$B$5,FALSE(),COUNTA(K326:M326)&gt;0)))</f>
        <v/>
      </c>
      <c r="AC326" s="128" t="str">
        <f aca="false">IF(ISBLANK($C326),"",IF(ISNUMBER(K326),IF(K326&gt;=0,K326,""),""))</f>
        <v/>
      </c>
      <c r="AD326" s="129" t="str">
        <f aca="false">IF(ISBLANK($C326),"",IF(ISNUMBER(L326),IF(L326&gt;=0,L326,""),""))</f>
        <v/>
      </c>
      <c r="AE326" s="127" t="str">
        <f aca="false">IF(ISBLANK($C326),"",IF(ISNUMBER(M326),IF(M326&gt;=0,MIN(M326,Constants!$B$22),""),""))</f>
        <v/>
      </c>
      <c r="AF326" s="127" t="str">
        <f aca="false">IF(ISBLANK($C326),"",IF(N326=Constants!$B$2,TRUE(),IF(N326=Constants!$B$3,FALSE(),TRUE())))</f>
        <v/>
      </c>
      <c r="AG326" s="127" t="str">
        <f aca="false">IF(ISBLANK($C326),"",IF(O326=Constants!$B$2,TRUE(),IF(O326=Constants!$B$3,FALSE(),TRUE())))</f>
        <v/>
      </c>
      <c r="AH326" s="127" t="str">
        <f aca="false">IF(ISBLANK($C326),"",IF(P326=Constants!$B$4,TRUE(),IF(P326=Constants!$B$5,FALSE(),COUNTA(Q326:S326)&gt;0)))</f>
        <v/>
      </c>
      <c r="AI326" s="128" t="str">
        <f aca="false">IF(ISBLANK($C326),"",IF(ISNUMBER(Q326),IF(Q326&gt;=0,Q326,""),""))</f>
        <v/>
      </c>
      <c r="AJ326" s="129" t="str">
        <f aca="false">IF(ISBLANK($C326),"",IF(ISNUMBER(R326),IF(R326&gt;=0,R326,""),""))</f>
        <v/>
      </c>
      <c r="AK326" s="127" t="str">
        <f aca="false">IF(ISBLANK($C326),"",IF(ISNUMBER(S326),IF(S326&gt;=0,MIN(S326,Constants!$B$22),""),""))</f>
        <v/>
      </c>
      <c r="AL326" s="127" t="str">
        <f aca="false">IF(ISBLANK($C326),"",IF(T326=Constants!$B$2,TRUE(),IF(T326=Constants!$B$3,FALSE(),FALSE())))</f>
        <v/>
      </c>
      <c r="AM326" s="126" t="str">
        <f aca="false">IF(ISBLANK($C326),"",AND($AB326,OR($AC326="",$AD326="",AND(NOT(ISBLANK($M326)),$AE326=""))))</f>
        <v/>
      </c>
      <c r="AN326" s="129" t="str">
        <f aca="false">IF($BD326&lt;&gt;Constants!$B$6,"",IF($AB326,Constants!$B$17*$AD326,Constants!$B$18))</f>
        <v/>
      </c>
      <c r="AO326" s="130" t="str">
        <f aca="false">IF($BD326&lt;&gt;Constants!$B$6,"",Constants!$B$19*IF($AB326,$AC326,0))</f>
        <v/>
      </c>
      <c r="AP326" s="130" t="str">
        <f aca="false">IF($BD326&lt;&gt;Constants!$B$6,"",IF(AND($AB326,ISNUMBER($AE326)),Constants!$B$20*(Constants!$B$21-$AE326),0))</f>
        <v/>
      </c>
      <c r="AQ326" s="130" t="str">
        <f aca="false">IF($BD326&lt;&gt;Constants!$B$6,"",IF($AA326,0,Constants!$B$12)+IF($Z326,0,Constants!$B$13)+IF($Y326,0,Constants!$B$14))</f>
        <v/>
      </c>
      <c r="AR326" s="131" t="str">
        <f aca="false">IF($BD326&lt;&gt;Constants!$B$6,"",Constants!$B$16+SUM($AN326:$AQ326))</f>
        <v/>
      </c>
      <c r="AS326" s="130" t="str">
        <f aca="false">IF($BD326&lt;&gt;Constants!$B$6,"",IF($AB326,$AD326,""))</f>
        <v/>
      </c>
      <c r="AT326" s="132" t="str">
        <f aca="false">IF($BD326&lt;&gt;Constants!$B$6,"",$AO326)</f>
        <v/>
      </c>
      <c r="AU326" s="127" t="str">
        <f aca="false">IF($BD326&lt;&gt;Constants!$B$6,"",IF(OR($BA326&lt;$AR326,AND($BA326=$AR326,OR(AND(ISNUMBER($BB326),OR(NOT(ISNUMBER($AS326)),$BB326&lt;$AS326)),AND(OR(AND($BB326="",$AS326=""),AND(ISNUMBER($BB326),ISNUMBER($AS326),$BB326=$AS326)),$BC326&lt;$AT326)))),"-&gt;","&lt;-"))</f>
        <v/>
      </c>
      <c r="AV326" s="126" t="str">
        <f aca="false">IF(ISBLANK($C326),"",AND($AH326,OR($AI326="",$AJ326="",AND(NOT(ISBLANK($S326)),$AK326=""))))</f>
        <v/>
      </c>
      <c r="AW326" s="129" t="str">
        <f aca="false">IF($BD326&lt;&gt;Constants!$B$6,"",IF($AH326,Constants!$B$17*$AJ326,Constants!$B$18))</f>
        <v/>
      </c>
      <c r="AX326" s="130" t="str">
        <f aca="false">IF($BD326&lt;&gt;Constants!$B$6,"",Constants!$B$19*IF($AH326,$AI326,0))</f>
        <v/>
      </c>
      <c r="AY326" s="130" t="str">
        <f aca="false">IF($BD326&lt;&gt;Constants!$B$6,"",IF(AND($AH326,ISNUMBER($AK326)),Constants!$B$20*(Constants!$B$21-$AK326),0))</f>
        <v/>
      </c>
      <c r="AZ326" s="130" t="str">
        <f aca="false">IF($BD326&lt;&gt;Constants!$B$6,"",IF($AG326,0,Constants!$B$12)+IF($AF326,0,Constants!$B$13)+IF($Y326,0,Constants!$B$14))</f>
        <v/>
      </c>
      <c r="BA326" s="131" t="str">
        <f aca="false">IF($BD326&lt;&gt;Constants!$B$6,"",Constants!$B$16+SUM($AW326:$AZ326))</f>
        <v/>
      </c>
      <c r="BB326" s="130" t="str">
        <f aca="false">IF($BD326&lt;&gt;Constants!$B$6,"",IF($AH326,$AJ326,""))</f>
        <v/>
      </c>
      <c r="BC326" s="132" t="str">
        <f aca="false">IF($BD326&lt;&gt;Constants!$B$6,"",$AX326)</f>
        <v/>
      </c>
      <c r="BD326" s="127" t="str">
        <f aca="false">IF(ISBLANK($C326),"",IF($AL326,Constants!$B$9,IF(COUNTA($E326:$T326)=0,Constants!$B$8,IF(NOT($X326),Constants!$B$7,IF(OR($AM326,$AV326),Constants!$B$10,Constants!$B$6)))))</f>
        <v/>
      </c>
      <c r="BE326" s="127" t="str">
        <f aca="false">IF(ISBLANK($C326),"",IF($BD326&lt;&gt;Constants!$B$6,$BD326,Constants!$B$11))</f>
        <v/>
      </c>
      <c r="BF326" s="130" t="str">
        <f aca="false">IF($BD326&lt;&gt;Constants!$B$6,"",IF($AU326="-&gt;",$BA326,$AR326))</f>
        <v/>
      </c>
      <c r="BG326" s="130" t="str">
        <f aca="false">IF($BD326&lt;&gt;Constants!$B$6,"",IF($W326,0,Constants!$B$15))</f>
        <v/>
      </c>
      <c r="BH326" s="130" t="str">
        <f aca="false">IF(ISBLANK($C326),"",IF($BD326&lt;&gt;Constants!$B$6,$BD326,SUM($BF326:$BG326)))</f>
        <v/>
      </c>
      <c r="BI326" s="127" t="str">
        <f aca="false">IF(ISBLANK($C326),"",IF($BD326&lt;&gt;Constants!$B$6,$BD326,RANK($BH326,$BH$9:$BH$508,1)))</f>
        <v/>
      </c>
      <c r="BJ326" s="130" t="str">
        <f aca="false">IF($BD326&lt;&gt;Constants!$B$6,"",IF($AU326="-&gt;",$BB326,$AS326))</f>
        <v/>
      </c>
      <c r="BK326" s="127" t="str">
        <f aca="false">IF(ISBLANK($C326),"",IF($BD326&lt;&gt;Constants!$B$6,$BD326,IF(ISNUMBER($BJ326),RANK($BJ326,$BJ$9:$BJ$508,1),COUNT($BJ$9:$BJ$508)+1)))</f>
        <v/>
      </c>
      <c r="BL326" s="130" t="str">
        <f aca="false">IF($BD326&lt;&gt;Constants!$B$6,"",IF($AU326="-&gt;",$BC326,$AT326))</f>
        <v/>
      </c>
      <c r="BM326" s="127" t="str">
        <f aca="false">IF(ISBLANK($C326),"",IF($BD326&lt;&gt;Constants!$B$6,$BD326,IF(ISNUMBER($BL326),RANK($BL326,$BL$9:$BL$508,1),COUNT($BL$9:$BL$508)+1)))</f>
        <v/>
      </c>
      <c r="BN326" s="130" t="str">
        <f aca="false">IF($BD326&lt;&gt;Constants!$B$6,"",IF($AU326="-&gt;",$AS326,$BB326))</f>
        <v/>
      </c>
      <c r="BO326" s="127" t="str">
        <f aca="false">IF(ISBLANK($C326),"",IF($BD326&lt;&gt;Constants!$B$6,$BD326,IF(ISNUMBER($BN326),RANK($BN326,$BN$9:$BN$508,1),COUNT($BN$9:$BN$508)+1)))</f>
        <v/>
      </c>
      <c r="BP326" s="130" t="str">
        <f aca="false">IF($BD326&lt;&gt;Constants!$B$6,"",IF($AU326="-&gt;",$AT326,$BC326))</f>
        <v/>
      </c>
      <c r="BQ326" s="127" t="str">
        <f aca="false">IF(ISBLANK($C326),"",IF($BD326&lt;&gt;Constants!$B$6,$BD326,IF(ISNUMBER($BP326),RANK($BP326,$BP$9:$BP$508,1),COUNT($BP$9:$BP$508)+1)))</f>
        <v/>
      </c>
      <c r="BR326" s="127" t="str">
        <f aca="false">IF(ISBLANK($C326),"",IF($BD326&lt;&gt;Constants!$B$6,$BD326,COUNTIFS($BI$9:$BI$508,"&lt;"&amp;$BI326)+COUNTIFS($BI$9:$BI$508,$BI326,$BK$9:$BK$508,"&lt;"&amp;$BK326)+COUNTIFS($BI$9:$BI$508,$BI326,$BK$9:$BK$508,$BK326,$BM$9:$BM$508,"&lt;"&amp;$BM326)+COUNTIFS($BI$9:$BI$508,$BI326,$BK$9:$BK$508,$BK326,$BM$9:$BM$508,$BM326,$BO$9:$BO$508,"&lt;"&amp;$BO326)+COUNTIFS($BI$9:$BI$508,$BI326,$BK$9:$BK$508,$BK326,$BM$9:$BM$508,$BM326,$BO$9:$BO$508,$BO326,$BQ$9:$BQ$508,"&lt;"&amp;$BQ326)+1))</f>
        <v/>
      </c>
      <c r="BS326" s="127" t="str">
        <f aca="false">IF(ISBLANK($C326),"",IF($BD326&lt;&gt;Constants!$B$6,$BD326,$BI326-$BR326))</f>
        <v/>
      </c>
      <c r="BT326" s="133"/>
      <c r="BU326" s="134"/>
      <c r="BV326" s="134" t="str">
        <f aca="false">IF(ISBLANK($C326),"",IF($BD326&lt;&gt;Constants!$B$6,"",IF($AU326="-&gt;",2,1)))</f>
        <v/>
      </c>
      <c r="BW326" s="135" t="str">
        <f aca="false">IF(ISBLANK($C326),"",IF($BD326&lt;&gt;Constants!$B$6,"",IF($AU326="-&gt;",$AW326,$AN326)))</f>
        <v/>
      </c>
      <c r="BX326" s="135" t="str">
        <f aca="false">IF(ISBLANK($C326),"",IF($BD326&lt;&gt;Constants!$B$6,"",IF($AU326="-&gt;",$AX326,$AO326)))</f>
        <v/>
      </c>
      <c r="BY326" s="135" t="str">
        <f aca="false">IF(ISBLANK($C326),"",IF($BD326&lt;&gt;Constants!$B$6,"",IF($AU326="-&gt;",$AY326,$AP326)))</f>
        <v/>
      </c>
      <c r="BZ326" s="135" t="str">
        <f aca="false">IF(ISBLANK($C326),"",IF($BD326&lt;&gt;Constants!$B$6,"",IF($AU326="-&gt;",$AZ326,$AQ326)+$BG326))</f>
        <v/>
      </c>
      <c r="CA326" s="136" t="str">
        <f aca="false">IF(ISBLANK($C326),"",IF($BD326&lt;&gt;Constants!$B$6,$BD326,$BH326))</f>
        <v/>
      </c>
      <c r="CB326" s="137" t="str">
        <f aca="false">IF(ISBLANK($C326),"",$BE326)</f>
        <v/>
      </c>
      <c r="CC326" s="138" t="str">
        <f aca="false">IF(ISBLANK($C326),"",$BS326)</f>
        <v/>
      </c>
      <c r="CD326" s="138" t="str">
        <f aca="false">IF(ISBLANK($C326),"",$BR326)</f>
        <v/>
      </c>
      <c r="CE326" s="139" t="str">
        <f aca="false">IF(ISBLANK($C326),"",IF($CD326=Constants!$B$9,COUNTA($C$9:$C$508)+2,IF($CD326=Constants!$B$8,COUNTA($C$9:$C$508)+1,IF($CD326=Constants!$B$7,COUNTA($C$9:$C$508),$CD326))))</f>
        <v/>
      </c>
      <c r="CF326" s="9"/>
      <c r="CG326" s="140" t="n">
        <f aca="false">IF(OR(ISNUMBER($CD326),$CD326=Constants!$B$9,$CD326=Constants!$B$7,$CD326=Constants!$B$8),1,0)</f>
        <v>0</v>
      </c>
      <c r="CH326" s="140" t="n">
        <v>318</v>
      </c>
      <c r="CI326" s="140" t="str">
        <f aca="false">IF(ISBLANK($C326),"",IF(ISNUMBER($CE326),$CE326+ROW($B326)/1000,""))</f>
        <v/>
      </c>
      <c r="CJ326" s="140" t="str">
        <f aca="false">IF(ISNUMBER($CI326),RANK($CI326,$CI$9:$CI$508,1),"")</f>
        <v/>
      </c>
      <c r="CK326" s="140" t="str">
        <f aca="false">IF(ISBLANK($C326),"",$B326)</f>
        <v/>
      </c>
      <c r="CL326" s="140" t="str">
        <f aca="false">IF(ISBLANK($C326),"",$C326)</f>
        <v/>
      </c>
      <c r="CM326" s="140" t="str">
        <f aca="false">IF(ISBLANK($C326),"",$D326)</f>
        <v/>
      </c>
      <c r="CN326" s="141" t="str">
        <f aca="false">$CB326</f>
        <v/>
      </c>
      <c r="CO326" s="142" t="str">
        <f aca="false">$CA326</f>
        <v/>
      </c>
      <c r="CP326" s="140" t="str">
        <f aca="false">IF(ISBLANK($C326),"",$CD326)</f>
        <v/>
      </c>
      <c r="CQ326" s="143" t="str">
        <f aca="false">IF($CH326&gt;$CG$8,"",VLOOKUP($CH326,$CJ$9:$CP$508,7,FALSE()))</f>
        <v/>
      </c>
      <c r="CR326" s="144" t="str">
        <f aca="false">IF($CH326&gt;$CG$8,"",VLOOKUP($CH326,$CJ$9:$CP$508,2,FALSE()))</f>
        <v/>
      </c>
      <c r="CS326" s="144" t="str">
        <f aca="false">IF($CH326&gt;$CG$8,"",VLOOKUP($CH326,$CJ$9:$CP$508,3,FALSE()))</f>
        <v/>
      </c>
      <c r="CT326" s="144" t="str">
        <f aca="false">IF($CH326&gt;$CG$8,"",VLOOKUP($CH326,$CJ$9:$CP$508,4,FALSE()))</f>
        <v/>
      </c>
      <c r="CU326" s="144" t="str">
        <f aca="false">IF($CH326&gt;$CG$8,"",VLOOKUP($CH326,$CJ$9:$CP$508,5,FALSE()))</f>
        <v/>
      </c>
      <c r="CV326" s="145" t="str">
        <f aca="false">IF($CH326&gt;$CG$8,"",VLOOKUP($CH326,$CJ$9:$CP$508,6,FALSE()))</f>
        <v/>
      </c>
      <c r="CW326" s="71"/>
    </row>
    <row r="327" customFormat="false" ht="15.75" hidden="false" customHeight="false" outlineLevel="0" collapsed="false">
      <c r="A327" s="9"/>
      <c r="B327" s="72"/>
      <c r="C327" s="73"/>
      <c r="D327" s="160"/>
      <c r="E327" s="168"/>
      <c r="F327" s="162"/>
      <c r="G327" s="163"/>
      <c r="H327" s="169"/>
      <c r="I327" s="167"/>
      <c r="J327" s="80"/>
      <c r="K327" s="81"/>
      <c r="L327" s="82"/>
      <c r="M327" s="166"/>
      <c r="N327" s="167"/>
      <c r="O327" s="167"/>
      <c r="P327" s="80"/>
      <c r="Q327" s="82"/>
      <c r="R327" s="82"/>
      <c r="S327" s="166"/>
      <c r="T327" s="167"/>
      <c r="U327" s="86"/>
      <c r="V327" s="87"/>
      <c r="W327" s="87" t="str">
        <f aca="false">IF(ISBLANK($C327),"",IF(E327=Constants!$B$2,TRUE(),IF(E327=Constants!$B$3,FALSE(),TRUE())))</f>
        <v/>
      </c>
      <c r="X327" s="87" t="str">
        <f aca="false">IF(ISBLANK($C327),"",IF(F327=Constants!$B$2,TRUE(),IF(F327=Constants!$B$3,FALSE(),TRUE())))</f>
        <v/>
      </c>
      <c r="Y327" s="87" t="str">
        <f aca="false">IF(ISBLANK($C327),"",IF(G327=Constants!$B$2,TRUE(),IF(G327=Constants!$B$3,FALSE(),TRUE())))</f>
        <v/>
      </c>
      <c r="Z327" s="87" t="str">
        <f aca="false">IF(ISBLANK($C327),"",IF(H327=Constants!$B$2,TRUE(),IF(H327=Constants!$B$3,FALSE(),TRUE())))</f>
        <v/>
      </c>
      <c r="AA327" s="87" t="str">
        <f aca="false">IF(ISBLANK($C327),"",IF(I327=Constants!$B$2,TRUE(),IF(I327=Constants!$B$3,FALSE(),TRUE())))</f>
        <v/>
      </c>
      <c r="AB327" s="87" t="str">
        <f aca="false">IF(ISBLANK($C327),"",IF(J327=Constants!$B$4,TRUE(),IF(J327=Constants!$B$5,FALSE(),COUNTA(K327:M327)&gt;0)))</f>
        <v/>
      </c>
      <c r="AC327" s="88" t="str">
        <f aca="false">IF(ISBLANK($C327),"",IF(ISNUMBER(K327),IF(K327&gt;=0,K327,""),""))</f>
        <v/>
      </c>
      <c r="AD327" s="89" t="str">
        <f aca="false">IF(ISBLANK($C327),"",IF(ISNUMBER(L327),IF(L327&gt;=0,L327,""),""))</f>
        <v/>
      </c>
      <c r="AE327" s="87" t="str">
        <f aca="false">IF(ISBLANK($C327),"",IF(ISNUMBER(M327),IF(M327&gt;=0,MIN(M327,Constants!$B$22),""),""))</f>
        <v/>
      </c>
      <c r="AF327" s="87" t="str">
        <f aca="false">IF(ISBLANK($C327),"",IF(N327=Constants!$B$2,TRUE(),IF(N327=Constants!$B$3,FALSE(),TRUE())))</f>
        <v/>
      </c>
      <c r="AG327" s="87" t="str">
        <f aca="false">IF(ISBLANK($C327),"",IF(O327=Constants!$B$2,TRUE(),IF(O327=Constants!$B$3,FALSE(),TRUE())))</f>
        <v/>
      </c>
      <c r="AH327" s="87" t="str">
        <f aca="false">IF(ISBLANK($C327),"",IF(P327=Constants!$B$4,TRUE(),IF(P327=Constants!$B$5,FALSE(),COUNTA(Q327:S327)&gt;0)))</f>
        <v/>
      </c>
      <c r="AI327" s="88" t="str">
        <f aca="false">IF(ISBLANK($C327),"",IF(ISNUMBER(Q327),IF(Q327&gt;=0,Q327,""),""))</f>
        <v/>
      </c>
      <c r="AJ327" s="89" t="str">
        <f aca="false">IF(ISBLANK($C327),"",IF(ISNUMBER(R327),IF(R327&gt;=0,R327,""),""))</f>
        <v/>
      </c>
      <c r="AK327" s="87" t="str">
        <f aca="false">IF(ISBLANK($C327),"",IF(ISNUMBER(S327),IF(S327&gt;=0,MIN(S327,Constants!$B$22),""),""))</f>
        <v/>
      </c>
      <c r="AL327" s="87" t="str">
        <f aca="false">IF(ISBLANK($C327),"",IF(T327=Constants!$B$2,TRUE(),IF(T327=Constants!$B$3,FALSE(),FALSE())))</f>
        <v/>
      </c>
      <c r="AM327" s="86" t="str">
        <f aca="false">IF(ISBLANK($C327),"",AND($AB327,OR($AC327="",$AD327="",AND(NOT(ISBLANK($M327)),$AE327=""))))</f>
        <v/>
      </c>
      <c r="AN327" s="89" t="str">
        <f aca="false">IF($BD327&lt;&gt;Constants!$B$6,"",IF($AB327,Constants!$B$17*$AD327,Constants!$B$18))</f>
        <v/>
      </c>
      <c r="AO327" s="91" t="str">
        <f aca="false">IF($BD327&lt;&gt;Constants!$B$6,"",Constants!$B$19*IF($AB327,$AC327,0))</f>
        <v/>
      </c>
      <c r="AP327" s="91" t="str">
        <f aca="false">IF($BD327&lt;&gt;Constants!$B$6,"",IF(AND($AB327,ISNUMBER($AE327)),Constants!$B$20*(Constants!$B$21-$AE327),0))</f>
        <v/>
      </c>
      <c r="AQ327" s="91" t="str">
        <f aca="false">IF($BD327&lt;&gt;Constants!$B$6,"",IF($AA327,0,Constants!$B$12)+IF($Z327,0,Constants!$B$13)+IF($Y327,0,Constants!$B$14))</f>
        <v/>
      </c>
      <c r="AR327" s="92" t="str">
        <f aca="false">IF($BD327&lt;&gt;Constants!$B$6,"",Constants!$B$16+SUM($AN327:$AQ327))</f>
        <v/>
      </c>
      <c r="AS327" s="91" t="str">
        <f aca="false">IF($BD327&lt;&gt;Constants!$B$6,"",IF($AB327,$AD327,""))</f>
        <v/>
      </c>
      <c r="AT327" s="93" t="str">
        <f aca="false">IF($BD327&lt;&gt;Constants!$B$6,"",$AO327)</f>
        <v/>
      </c>
      <c r="AU327" s="87" t="str">
        <f aca="false">IF($BD327&lt;&gt;Constants!$B$6,"",IF(OR($BA327&lt;$AR327,AND($BA327=$AR327,OR(AND(ISNUMBER($BB327),OR(NOT(ISNUMBER($AS327)),$BB327&lt;$AS327)),AND(OR(AND($BB327="",$AS327=""),AND(ISNUMBER($BB327),ISNUMBER($AS327),$BB327=$AS327)),$BC327&lt;$AT327)))),"-&gt;","&lt;-"))</f>
        <v/>
      </c>
      <c r="AV327" s="86" t="str">
        <f aca="false">IF(ISBLANK($C327),"",AND($AH327,OR($AI327="",$AJ327="",AND(NOT(ISBLANK($S327)),$AK327=""))))</f>
        <v/>
      </c>
      <c r="AW327" s="89" t="str">
        <f aca="false">IF($BD327&lt;&gt;Constants!$B$6,"",IF($AH327,Constants!$B$17*$AJ327,Constants!$B$18))</f>
        <v/>
      </c>
      <c r="AX327" s="91" t="str">
        <f aca="false">IF($BD327&lt;&gt;Constants!$B$6,"",Constants!$B$19*IF($AH327,$AI327,0))</f>
        <v/>
      </c>
      <c r="AY327" s="91" t="str">
        <f aca="false">IF($BD327&lt;&gt;Constants!$B$6,"",IF(AND($AH327,ISNUMBER($AK327)),Constants!$B$20*(Constants!$B$21-$AK327),0))</f>
        <v/>
      </c>
      <c r="AZ327" s="91" t="str">
        <f aca="false">IF($BD327&lt;&gt;Constants!$B$6,"",IF($AG327,0,Constants!$B$12)+IF($AF327,0,Constants!$B$13)+IF($Y327,0,Constants!$B$14))</f>
        <v/>
      </c>
      <c r="BA327" s="92" t="str">
        <f aca="false">IF($BD327&lt;&gt;Constants!$B$6,"",Constants!$B$16+SUM($AW327:$AZ327))</f>
        <v/>
      </c>
      <c r="BB327" s="91" t="str">
        <f aca="false">IF($BD327&lt;&gt;Constants!$B$6,"",IF($AH327,$AJ327,""))</f>
        <v/>
      </c>
      <c r="BC327" s="93" t="str">
        <f aca="false">IF($BD327&lt;&gt;Constants!$B$6,"",$AX327)</f>
        <v/>
      </c>
      <c r="BD327" s="87" t="str">
        <f aca="false">IF(ISBLANK($C327),"",IF($AL327,Constants!$B$9,IF(COUNTA($E327:$T327)=0,Constants!$B$8,IF(NOT($X327),Constants!$B$7,IF(OR($AM327,$AV327),Constants!$B$10,Constants!$B$6)))))</f>
        <v/>
      </c>
      <c r="BE327" s="87" t="str">
        <f aca="false">IF(ISBLANK($C327),"",IF($BD327&lt;&gt;Constants!$B$6,$BD327,Constants!$B$11))</f>
        <v/>
      </c>
      <c r="BF327" s="91" t="str">
        <f aca="false">IF($BD327&lt;&gt;Constants!$B$6,"",IF($AU327="-&gt;",$BA327,$AR327))</f>
        <v/>
      </c>
      <c r="BG327" s="91" t="str">
        <f aca="false">IF($BD327&lt;&gt;Constants!$B$6,"",IF($W327,0,Constants!$B$15))</f>
        <v/>
      </c>
      <c r="BH327" s="91" t="str">
        <f aca="false">IF(ISBLANK($C327),"",IF($BD327&lt;&gt;Constants!$B$6,$BD327,SUM($BF327:$BG327)))</f>
        <v/>
      </c>
      <c r="BI327" s="87" t="str">
        <f aca="false">IF(ISBLANK($C327),"",IF($BD327&lt;&gt;Constants!$B$6,$BD327,RANK($BH327,$BH$9:$BH$508,1)))</f>
        <v/>
      </c>
      <c r="BJ327" s="91" t="str">
        <f aca="false">IF($BD327&lt;&gt;Constants!$B$6,"",IF($AU327="-&gt;",$BB327,$AS327))</f>
        <v/>
      </c>
      <c r="BK327" s="87" t="str">
        <f aca="false">IF(ISBLANK($C327),"",IF($BD327&lt;&gt;Constants!$B$6,$BD327,IF(ISNUMBER($BJ327),RANK($BJ327,$BJ$9:$BJ$508,1),COUNT($BJ$9:$BJ$508)+1)))</f>
        <v/>
      </c>
      <c r="BL327" s="91" t="str">
        <f aca="false">IF($BD327&lt;&gt;Constants!$B$6,"",IF($AU327="-&gt;",$BC327,$AT327))</f>
        <v/>
      </c>
      <c r="BM327" s="87" t="str">
        <f aca="false">IF(ISBLANK($C327),"",IF($BD327&lt;&gt;Constants!$B$6,$BD327,IF(ISNUMBER($BL327),RANK($BL327,$BL$9:$BL$508,1),COUNT($BL$9:$BL$508)+1)))</f>
        <v/>
      </c>
      <c r="BN327" s="91" t="str">
        <f aca="false">IF($BD327&lt;&gt;Constants!$B$6,"",IF($AU327="-&gt;",$AS327,$BB327))</f>
        <v/>
      </c>
      <c r="BO327" s="87" t="str">
        <f aca="false">IF(ISBLANK($C327),"",IF($BD327&lt;&gt;Constants!$B$6,$BD327,IF(ISNUMBER($BN327),RANK($BN327,$BN$9:$BN$508,1),COUNT($BN$9:$BN$508)+1)))</f>
        <v/>
      </c>
      <c r="BP327" s="91" t="str">
        <f aca="false">IF($BD327&lt;&gt;Constants!$B$6,"",IF($AU327="-&gt;",$AT327,$BC327))</f>
        <v/>
      </c>
      <c r="BQ327" s="87" t="str">
        <f aca="false">IF(ISBLANK($C327),"",IF($BD327&lt;&gt;Constants!$B$6,$BD327,IF(ISNUMBER($BP327),RANK($BP327,$BP$9:$BP$508,1),COUNT($BP$9:$BP$508)+1)))</f>
        <v/>
      </c>
      <c r="BR327" s="87" t="str">
        <f aca="false">IF(ISBLANK($C327),"",IF($BD327&lt;&gt;Constants!$B$6,$BD327,COUNTIFS($BI$9:$BI$508,"&lt;"&amp;$BI327)+COUNTIFS($BI$9:$BI$508,$BI327,$BK$9:$BK$508,"&lt;"&amp;$BK327)+COUNTIFS($BI$9:$BI$508,$BI327,$BK$9:$BK$508,$BK327,$BM$9:$BM$508,"&lt;"&amp;$BM327)+COUNTIFS($BI$9:$BI$508,$BI327,$BK$9:$BK$508,$BK327,$BM$9:$BM$508,$BM327,$BO$9:$BO$508,"&lt;"&amp;$BO327)+COUNTIFS($BI$9:$BI$508,$BI327,$BK$9:$BK$508,$BK327,$BM$9:$BM$508,$BM327,$BO$9:$BO$508,$BO327,$BQ$9:$BQ$508,"&lt;"&amp;$BQ327)+1))</f>
        <v/>
      </c>
      <c r="BS327" s="87" t="str">
        <f aca="false">IF(ISBLANK($C327),"",IF($BD327&lt;&gt;Constants!$B$6,$BD327,$BI327-$BR327))</f>
        <v/>
      </c>
      <c r="BT327" s="94"/>
      <c r="BU327" s="95"/>
      <c r="BV327" s="95" t="str">
        <f aca="false">IF(ISBLANK($C327),"",IF($BD327&lt;&gt;Constants!$B$6,"",IF($AU327="-&gt;",2,1)))</f>
        <v/>
      </c>
      <c r="BW327" s="96" t="str">
        <f aca="false">IF(ISBLANK($C327),"",IF($BD327&lt;&gt;Constants!$B$6,"",IF($AU327="-&gt;",$AW327,$AN327)))</f>
        <v/>
      </c>
      <c r="BX327" s="96" t="str">
        <f aca="false">IF(ISBLANK($C327),"",IF($BD327&lt;&gt;Constants!$B$6,"",IF($AU327="-&gt;",$AX327,$AO327)))</f>
        <v/>
      </c>
      <c r="BY327" s="96" t="str">
        <f aca="false">IF(ISBLANK($C327),"",IF($BD327&lt;&gt;Constants!$B$6,"",IF($AU327="-&gt;",$AY327,$AP327)))</f>
        <v/>
      </c>
      <c r="BZ327" s="96" t="str">
        <f aca="false">IF(ISBLANK($C327),"",IF($BD327&lt;&gt;Constants!$B$6,"",IF($AU327="-&gt;",$AZ327,$AQ327)+$BG327))</f>
        <v/>
      </c>
      <c r="CA327" s="97" t="str">
        <f aca="false">IF(ISBLANK($C327),"",IF($BD327&lt;&gt;Constants!$B$6,$BD327,$BH327))</f>
        <v/>
      </c>
      <c r="CB327" s="98" t="str">
        <f aca="false">IF(ISBLANK($C327),"",$BE327)</f>
        <v/>
      </c>
      <c r="CC327" s="99" t="str">
        <f aca="false">IF(ISBLANK($C327),"",$BS327)</f>
        <v/>
      </c>
      <c r="CD327" s="99" t="str">
        <f aca="false">IF(ISBLANK($C327),"",$BR327)</f>
        <v/>
      </c>
      <c r="CE327" s="100" t="str">
        <f aca="false">IF(ISBLANK($C327),"",IF($CD327=Constants!$B$9,COUNTA($C$9:$C$508)+2,IF($CD327=Constants!$B$8,COUNTA($C$9:$C$508)+1,IF($CD327=Constants!$B$7,COUNTA($C$9:$C$508),$CD327))))</f>
        <v/>
      </c>
      <c r="CF327" s="9"/>
      <c r="CG327" s="101" t="n">
        <f aca="false">IF(OR(ISNUMBER($CD327),$CD327=Constants!$B$9,$CD327=Constants!$B$7,$CD327=Constants!$B$8),1,0)</f>
        <v>0</v>
      </c>
      <c r="CH327" s="101" t="n">
        <v>319</v>
      </c>
      <c r="CI327" s="101" t="str">
        <f aca="false">IF(ISBLANK($C327),"",IF(ISNUMBER($CE327),$CE327+ROW($B327)/1000,""))</f>
        <v/>
      </c>
      <c r="CJ327" s="101" t="str">
        <f aca="false">IF(ISNUMBER($CI327),RANK($CI327,$CI$9:$CI$508,1),"")</f>
        <v/>
      </c>
      <c r="CK327" s="101" t="str">
        <f aca="false">IF(ISBLANK($C327),"",$B327)</f>
        <v/>
      </c>
      <c r="CL327" s="101" t="str">
        <f aca="false">IF(ISBLANK($C327),"",$C327)</f>
        <v/>
      </c>
      <c r="CM327" s="101" t="str">
        <f aca="false">IF(ISBLANK($C327),"",$D327)</f>
        <v/>
      </c>
      <c r="CN327" s="102" t="str">
        <f aca="false">$CB327</f>
        <v/>
      </c>
      <c r="CO327" s="103" t="str">
        <f aca="false">$CA327</f>
        <v/>
      </c>
      <c r="CP327" s="101" t="str">
        <f aca="false">IF(ISBLANK($C327),"",$CD327)</f>
        <v/>
      </c>
      <c r="CQ327" s="104" t="str">
        <f aca="false">IF($CH327&gt;$CG$8,"",VLOOKUP($CH327,$CJ$9:$CP$508,7,FALSE()))</f>
        <v/>
      </c>
      <c r="CR327" s="105" t="str">
        <f aca="false">IF($CH327&gt;$CG$8,"",VLOOKUP($CH327,$CJ$9:$CP$508,2,FALSE()))</f>
        <v/>
      </c>
      <c r="CS327" s="105" t="str">
        <f aca="false">IF($CH327&gt;$CG$8,"",VLOOKUP($CH327,$CJ$9:$CP$508,3,FALSE()))</f>
        <v/>
      </c>
      <c r="CT327" s="105" t="str">
        <f aca="false">IF($CH327&gt;$CG$8,"",VLOOKUP($CH327,$CJ$9:$CP$508,4,FALSE()))</f>
        <v/>
      </c>
      <c r="CU327" s="105" t="str">
        <f aca="false">IF($CH327&gt;$CG$8,"",VLOOKUP($CH327,$CJ$9:$CP$508,5,FALSE()))</f>
        <v/>
      </c>
      <c r="CV327" s="106" t="str">
        <f aca="false">IF($CH327&gt;$CG$8,"",VLOOKUP($CH327,$CJ$9:$CP$508,6,FALSE()))</f>
        <v/>
      </c>
      <c r="CW327" s="71"/>
    </row>
    <row r="328" customFormat="false" ht="15.75" hidden="false" customHeight="false" outlineLevel="0" collapsed="false">
      <c r="A328" s="9"/>
      <c r="B328" s="72"/>
      <c r="C328" s="73"/>
      <c r="D328" s="160"/>
      <c r="E328" s="168"/>
      <c r="F328" s="162"/>
      <c r="G328" s="163"/>
      <c r="H328" s="169"/>
      <c r="I328" s="167"/>
      <c r="J328" s="80"/>
      <c r="K328" s="81"/>
      <c r="L328" s="82"/>
      <c r="M328" s="166"/>
      <c r="N328" s="167"/>
      <c r="O328" s="167"/>
      <c r="P328" s="80"/>
      <c r="Q328" s="82"/>
      <c r="R328" s="82"/>
      <c r="S328" s="166"/>
      <c r="T328" s="167"/>
      <c r="U328" s="86"/>
      <c r="V328" s="87"/>
      <c r="W328" s="87" t="str">
        <f aca="false">IF(ISBLANK($C328),"",IF(E328=Constants!$B$2,TRUE(),IF(E328=Constants!$B$3,FALSE(),TRUE())))</f>
        <v/>
      </c>
      <c r="X328" s="87" t="str">
        <f aca="false">IF(ISBLANK($C328),"",IF(F328=Constants!$B$2,TRUE(),IF(F328=Constants!$B$3,FALSE(),TRUE())))</f>
        <v/>
      </c>
      <c r="Y328" s="87" t="str">
        <f aca="false">IF(ISBLANK($C328),"",IF(G328=Constants!$B$2,TRUE(),IF(G328=Constants!$B$3,FALSE(),TRUE())))</f>
        <v/>
      </c>
      <c r="Z328" s="87" t="str">
        <f aca="false">IF(ISBLANK($C328),"",IF(H328=Constants!$B$2,TRUE(),IF(H328=Constants!$B$3,FALSE(),TRUE())))</f>
        <v/>
      </c>
      <c r="AA328" s="87" t="str">
        <f aca="false">IF(ISBLANK($C328),"",IF(I328=Constants!$B$2,TRUE(),IF(I328=Constants!$B$3,FALSE(),TRUE())))</f>
        <v/>
      </c>
      <c r="AB328" s="87" t="str">
        <f aca="false">IF(ISBLANK($C328),"",IF(J328=Constants!$B$4,TRUE(),IF(J328=Constants!$B$5,FALSE(),COUNTA(K328:M328)&gt;0)))</f>
        <v/>
      </c>
      <c r="AC328" s="88" t="str">
        <f aca="false">IF(ISBLANK($C328),"",IF(ISNUMBER(K328),IF(K328&gt;=0,K328,""),""))</f>
        <v/>
      </c>
      <c r="AD328" s="89" t="str">
        <f aca="false">IF(ISBLANK($C328),"",IF(ISNUMBER(L328),IF(L328&gt;=0,L328,""),""))</f>
        <v/>
      </c>
      <c r="AE328" s="87" t="str">
        <f aca="false">IF(ISBLANK($C328),"",IF(ISNUMBER(M328),IF(M328&gt;=0,MIN(M328,Constants!$B$22),""),""))</f>
        <v/>
      </c>
      <c r="AF328" s="87" t="str">
        <f aca="false">IF(ISBLANK($C328),"",IF(N328=Constants!$B$2,TRUE(),IF(N328=Constants!$B$3,FALSE(),TRUE())))</f>
        <v/>
      </c>
      <c r="AG328" s="87" t="str">
        <f aca="false">IF(ISBLANK($C328),"",IF(O328=Constants!$B$2,TRUE(),IF(O328=Constants!$B$3,FALSE(),TRUE())))</f>
        <v/>
      </c>
      <c r="AH328" s="87" t="str">
        <f aca="false">IF(ISBLANK($C328),"",IF(P328=Constants!$B$4,TRUE(),IF(P328=Constants!$B$5,FALSE(),COUNTA(Q328:S328)&gt;0)))</f>
        <v/>
      </c>
      <c r="AI328" s="88" t="str">
        <f aca="false">IF(ISBLANK($C328),"",IF(ISNUMBER(Q328),IF(Q328&gt;=0,Q328,""),""))</f>
        <v/>
      </c>
      <c r="AJ328" s="89" t="str">
        <f aca="false">IF(ISBLANK($C328),"",IF(ISNUMBER(R328),IF(R328&gt;=0,R328,""),""))</f>
        <v/>
      </c>
      <c r="AK328" s="87" t="str">
        <f aca="false">IF(ISBLANK($C328),"",IF(ISNUMBER(S328),IF(S328&gt;=0,MIN(S328,Constants!$B$22),""),""))</f>
        <v/>
      </c>
      <c r="AL328" s="87" t="str">
        <f aca="false">IF(ISBLANK($C328),"",IF(T328=Constants!$B$2,TRUE(),IF(T328=Constants!$B$3,FALSE(),FALSE())))</f>
        <v/>
      </c>
      <c r="AM328" s="86" t="str">
        <f aca="false">IF(ISBLANK($C328),"",AND($AB328,OR($AC328="",$AD328="",AND(NOT(ISBLANK($M328)),$AE328=""))))</f>
        <v/>
      </c>
      <c r="AN328" s="89" t="str">
        <f aca="false">IF($BD328&lt;&gt;Constants!$B$6,"",IF($AB328,Constants!$B$17*$AD328,Constants!$B$18))</f>
        <v/>
      </c>
      <c r="AO328" s="91" t="str">
        <f aca="false">IF($BD328&lt;&gt;Constants!$B$6,"",Constants!$B$19*IF($AB328,$AC328,0))</f>
        <v/>
      </c>
      <c r="AP328" s="91" t="str">
        <f aca="false">IF($BD328&lt;&gt;Constants!$B$6,"",IF(AND($AB328,ISNUMBER($AE328)),Constants!$B$20*(Constants!$B$21-$AE328),0))</f>
        <v/>
      </c>
      <c r="AQ328" s="91" t="str">
        <f aca="false">IF($BD328&lt;&gt;Constants!$B$6,"",IF($AA328,0,Constants!$B$12)+IF($Z328,0,Constants!$B$13)+IF($Y328,0,Constants!$B$14))</f>
        <v/>
      </c>
      <c r="AR328" s="92" t="str">
        <f aca="false">IF($BD328&lt;&gt;Constants!$B$6,"",Constants!$B$16+SUM($AN328:$AQ328))</f>
        <v/>
      </c>
      <c r="AS328" s="91" t="str">
        <f aca="false">IF($BD328&lt;&gt;Constants!$B$6,"",IF($AB328,$AD328,""))</f>
        <v/>
      </c>
      <c r="AT328" s="93" t="str">
        <f aca="false">IF($BD328&lt;&gt;Constants!$B$6,"",$AO328)</f>
        <v/>
      </c>
      <c r="AU328" s="87" t="str">
        <f aca="false">IF($BD328&lt;&gt;Constants!$B$6,"",IF(OR($BA328&lt;$AR328,AND($BA328=$AR328,OR(AND(ISNUMBER($BB328),OR(NOT(ISNUMBER($AS328)),$BB328&lt;$AS328)),AND(OR(AND($BB328="",$AS328=""),AND(ISNUMBER($BB328),ISNUMBER($AS328),$BB328=$AS328)),$BC328&lt;$AT328)))),"-&gt;","&lt;-"))</f>
        <v/>
      </c>
      <c r="AV328" s="86" t="str">
        <f aca="false">IF(ISBLANK($C328),"",AND($AH328,OR($AI328="",$AJ328="",AND(NOT(ISBLANK($S328)),$AK328=""))))</f>
        <v/>
      </c>
      <c r="AW328" s="89" t="str">
        <f aca="false">IF($BD328&lt;&gt;Constants!$B$6,"",IF($AH328,Constants!$B$17*$AJ328,Constants!$B$18))</f>
        <v/>
      </c>
      <c r="AX328" s="91" t="str">
        <f aca="false">IF($BD328&lt;&gt;Constants!$B$6,"",Constants!$B$19*IF($AH328,$AI328,0))</f>
        <v/>
      </c>
      <c r="AY328" s="91" t="str">
        <f aca="false">IF($BD328&lt;&gt;Constants!$B$6,"",IF(AND($AH328,ISNUMBER($AK328)),Constants!$B$20*(Constants!$B$21-$AK328),0))</f>
        <v/>
      </c>
      <c r="AZ328" s="91" t="str">
        <f aca="false">IF($BD328&lt;&gt;Constants!$B$6,"",IF($AG328,0,Constants!$B$12)+IF($AF328,0,Constants!$B$13)+IF($Y328,0,Constants!$B$14))</f>
        <v/>
      </c>
      <c r="BA328" s="92" t="str">
        <f aca="false">IF($BD328&lt;&gt;Constants!$B$6,"",Constants!$B$16+SUM($AW328:$AZ328))</f>
        <v/>
      </c>
      <c r="BB328" s="91" t="str">
        <f aca="false">IF($BD328&lt;&gt;Constants!$B$6,"",IF($AH328,$AJ328,""))</f>
        <v/>
      </c>
      <c r="BC328" s="93" t="str">
        <f aca="false">IF($BD328&lt;&gt;Constants!$B$6,"",$AX328)</f>
        <v/>
      </c>
      <c r="BD328" s="87" t="str">
        <f aca="false">IF(ISBLANK($C328),"",IF($AL328,Constants!$B$9,IF(COUNTA($E328:$T328)=0,Constants!$B$8,IF(NOT($X328),Constants!$B$7,IF(OR($AM328,$AV328),Constants!$B$10,Constants!$B$6)))))</f>
        <v/>
      </c>
      <c r="BE328" s="87" t="str">
        <f aca="false">IF(ISBLANK($C328),"",IF($BD328&lt;&gt;Constants!$B$6,$BD328,Constants!$B$11))</f>
        <v/>
      </c>
      <c r="BF328" s="91" t="str">
        <f aca="false">IF($BD328&lt;&gt;Constants!$B$6,"",IF($AU328="-&gt;",$BA328,$AR328))</f>
        <v/>
      </c>
      <c r="BG328" s="91" t="str">
        <f aca="false">IF($BD328&lt;&gt;Constants!$B$6,"",IF($W328,0,Constants!$B$15))</f>
        <v/>
      </c>
      <c r="BH328" s="91" t="str">
        <f aca="false">IF(ISBLANK($C328),"",IF($BD328&lt;&gt;Constants!$B$6,$BD328,SUM($BF328:$BG328)))</f>
        <v/>
      </c>
      <c r="BI328" s="87" t="str">
        <f aca="false">IF(ISBLANK($C328),"",IF($BD328&lt;&gt;Constants!$B$6,$BD328,RANK($BH328,$BH$9:$BH$508,1)))</f>
        <v/>
      </c>
      <c r="BJ328" s="91" t="str">
        <f aca="false">IF($BD328&lt;&gt;Constants!$B$6,"",IF($AU328="-&gt;",$BB328,$AS328))</f>
        <v/>
      </c>
      <c r="BK328" s="87" t="str">
        <f aca="false">IF(ISBLANK($C328),"",IF($BD328&lt;&gt;Constants!$B$6,$BD328,IF(ISNUMBER($BJ328),RANK($BJ328,$BJ$9:$BJ$508,1),COUNT($BJ$9:$BJ$508)+1)))</f>
        <v/>
      </c>
      <c r="BL328" s="91" t="str">
        <f aca="false">IF($BD328&lt;&gt;Constants!$B$6,"",IF($AU328="-&gt;",$BC328,$AT328))</f>
        <v/>
      </c>
      <c r="BM328" s="87" t="str">
        <f aca="false">IF(ISBLANK($C328),"",IF($BD328&lt;&gt;Constants!$B$6,$BD328,IF(ISNUMBER($BL328),RANK($BL328,$BL$9:$BL$508,1),COUNT($BL$9:$BL$508)+1)))</f>
        <v/>
      </c>
      <c r="BN328" s="91" t="str">
        <f aca="false">IF($BD328&lt;&gt;Constants!$B$6,"",IF($AU328="-&gt;",$AS328,$BB328))</f>
        <v/>
      </c>
      <c r="BO328" s="87" t="str">
        <f aca="false">IF(ISBLANK($C328),"",IF($BD328&lt;&gt;Constants!$B$6,$BD328,IF(ISNUMBER($BN328),RANK($BN328,$BN$9:$BN$508,1),COUNT($BN$9:$BN$508)+1)))</f>
        <v/>
      </c>
      <c r="BP328" s="91" t="str">
        <f aca="false">IF($BD328&lt;&gt;Constants!$B$6,"",IF($AU328="-&gt;",$AT328,$BC328))</f>
        <v/>
      </c>
      <c r="BQ328" s="87" t="str">
        <f aca="false">IF(ISBLANK($C328),"",IF($BD328&lt;&gt;Constants!$B$6,$BD328,IF(ISNUMBER($BP328),RANK($BP328,$BP$9:$BP$508,1),COUNT($BP$9:$BP$508)+1)))</f>
        <v/>
      </c>
      <c r="BR328" s="87" t="str">
        <f aca="false">IF(ISBLANK($C328),"",IF($BD328&lt;&gt;Constants!$B$6,$BD328,COUNTIFS($BI$9:$BI$508,"&lt;"&amp;$BI328)+COUNTIFS($BI$9:$BI$508,$BI328,$BK$9:$BK$508,"&lt;"&amp;$BK328)+COUNTIFS($BI$9:$BI$508,$BI328,$BK$9:$BK$508,$BK328,$BM$9:$BM$508,"&lt;"&amp;$BM328)+COUNTIFS($BI$9:$BI$508,$BI328,$BK$9:$BK$508,$BK328,$BM$9:$BM$508,$BM328,$BO$9:$BO$508,"&lt;"&amp;$BO328)+COUNTIFS($BI$9:$BI$508,$BI328,$BK$9:$BK$508,$BK328,$BM$9:$BM$508,$BM328,$BO$9:$BO$508,$BO328,$BQ$9:$BQ$508,"&lt;"&amp;$BQ328)+1))</f>
        <v/>
      </c>
      <c r="BS328" s="87" t="str">
        <f aca="false">IF(ISBLANK($C328),"",IF($BD328&lt;&gt;Constants!$B$6,$BD328,$BI328-$BR328))</f>
        <v/>
      </c>
      <c r="BT328" s="94"/>
      <c r="BU328" s="95"/>
      <c r="BV328" s="95" t="str">
        <f aca="false">IF(ISBLANK($C328),"",IF($BD328&lt;&gt;Constants!$B$6,"",IF($AU328="-&gt;",2,1)))</f>
        <v/>
      </c>
      <c r="BW328" s="96" t="str">
        <f aca="false">IF(ISBLANK($C328),"",IF($BD328&lt;&gt;Constants!$B$6,"",IF($AU328="-&gt;",$AW328,$AN328)))</f>
        <v/>
      </c>
      <c r="BX328" s="96" t="str">
        <f aca="false">IF(ISBLANK($C328),"",IF($BD328&lt;&gt;Constants!$B$6,"",IF($AU328="-&gt;",$AX328,$AO328)))</f>
        <v/>
      </c>
      <c r="BY328" s="96" t="str">
        <f aca="false">IF(ISBLANK($C328),"",IF($BD328&lt;&gt;Constants!$B$6,"",IF($AU328="-&gt;",$AY328,$AP328)))</f>
        <v/>
      </c>
      <c r="BZ328" s="96" t="str">
        <f aca="false">IF(ISBLANK($C328),"",IF($BD328&lt;&gt;Constants!$B$6,"",IF($AU328="-&gt;",$AZ328,$AQ328)+$BG328))</f>
        <v/>
      </c>
      <c r="CA328" s="97" t="str">
        <f aca="false">IF(ISBLANK($C328),"",IF($BD328&lt;&gt;Constants!$B$6,$BD328,$BH328))</f>
        <v/>
      </c>
      <c r="CB328" s="98" t="str">
        <f aca="false">IF(ISBLANK($C328),"",$BE328)</f>
        <v/>
      </c>
      <c r="CC328" s="99" t="str">
        <f aca="false">IF(ISBLANK($C328),"",$BS328)</f>
        <v/>
      </c>
      <c r="CD328" s="99" t="str">
        <f aca="false">IF(ISBLANK($C328),"",$BR328)</f>
        <v/>
      </c>
      <c r="CE328" s="100" t="str">
        <f aca="false">IF(ISBLANK($C328),"",IF($CD328=Constants!$B$9,COUNTA($C$9:$C$508)+2,IF($CD328=Constants!$B$8,COUNTA($C$9:$C$508)+1,IF($CD328=Constants!$B$7,COUNTA($C$9:$C$508),$CD328))))</f>
        <v/>
      </c>
      <c r="CF328" s="9"/>
      <c r="CG328" s="101" t="n">
        <f aca="false">IF(OR(ISNUMBER($CD328),$CD328=Constants!$B$9,$CD328=Constants!$B$7,$CD328=Constants!$B$8),1,0)</f>
        <v>0</v>
      </c>
      <c r="CH328" s="101" t="n">
        <v>320</v>
      </c>
      <c r="CI328" s="101" t="str">
        <f aca="false">IF(ISBLANK($C328),"",IF(ISNUMBER($CE328),$CE328+ROW($B328)/1000,""))</f>
        <v/>
      </c>
      <c r="CJ328" s="101" t="str">
        <f aca="false">IF(ISNUMBER($CI328),RANK($CI328,$CI$9:$CI$508,1),"")</f>
        <v/>
      </c>
      <c r="CK328" s="101" t="str">
        <f aca="false">IF(ISBLANK($C328),"",$B328)</f>
        <v/>
      </c>
      <c r="CL328" s="101" t="str">
        <f aca="false">IF(ISBLANK($C328),"",$C328)</f>
        <v/>
      </c>
      <c r="CM328" s="101" t="str">
        <f aca="false">IF(ISBLANK($C328),"",$D328)</f>
        <v/>
      </c>
      <c r="CN328" s="102" t="str">
        <f aca="false">$CB328</f>
        <v/>
      </c>
      <c r="CO328" s="103" t="str">
        <f aca="false">$CA328</f>
        <v/>
      </c>
      <c r="CP328" s="101" t="str">
        <f aca="false">IF(ISBLANK($C328),"",$CD328)</f>
        <v/>
      </c>
      <c r="CQ328" s="104" t="str">
        <f aca="false">IF($CH328&gt;$CG$8,"",VLOOKUP($CH328,$CJ$9:$CP$508,7,FALSE()))</f>
        <v/>
      </c>
      <c r="CR328" s="105" t="str">
        <f aca="false">IF($CH328&gt;$CG$8,"",VLOOKUP($CH328,$CJ$9:$CP$508,2,FALSE()))</f>
        <v/>
      </c>
      <c r="CS328" s="105" t="str">
        <f aca="false">IF($CH328&gt;$CG$8,"",VLOOKUP($CH328,$CJ$9:$CP$508,3,FALSE()))</f>
        <v/>
      </c>
      <c r="CT328" s="105" t="str">
        <f aca="false">IF($CH328&gt;$CG$8,"",VLOOKUP($CH328,$CJ$9:$CP$508,4,FALSE()))</f>
        <v/>
      </c>
      <c r="CU328" s="105" t="str">
        <f aca="false">IF($CH328&gt;$CG$8,"",VLOOKUP($CH328,$CJ$9:$CP$508,5,FALSE()))</f>
        <v/>
      </c>
      <c r="CV328" s="106" t="str">
        <f aca="false">IF($CH328&gt;$CG$8,"",VLOOKUP($CH328,$CJ$9:$CP$508,6,FALSE()))</f>
        <v/>
      </c>
      <c r="CW328" s="71"/>
    </row>
    <row r="329" customFormat="false" ht="15.75" hidden="false" customHeight="false" outlineLevel="0" collapsed="false">
      <c r="A329" s="9"/>
      <c r="B329" s="72"/>
      <c r="C329" s="73"/>
      <c r="D329" s="160"/>
      <c r="E329" s="168"/>
      <c r="F329" s="162"/>
      <c r="G329" s="163"/>
      <c r="H329" s="169"/>
      <c r="I329" s="167"/>
      <c r="J329" s="80"/>
      <c r="K329" s="81"/>
      <c r="L329" s="82"/>
      <c r="M329" s="166"/>
      <c r="N329" s="167"/>
      <c r="O329" s="167"/>
      <c r="P329" s="80"/>
      <c r="Q329" s="82"/>
      <c r="R329" s="82"/>
      <c r="S329" s="166"/>
      <c r="T329" s="167"/>
      <c r="U329" s="86"/>
      <c r="V329" s="87"/>
      <c r="W329" s="87" t="str">
        <f aca="false">IF(ISBLANK($C329),"",IF(E329=Constants!$B$2,TRUE(),IF(E329=Constants!$B$3,FALSE(),TRUE())))</f>
        <v/>
      </c>
      <c r="X329" s="87" t="str">
        <f aca="false">IF(ISBLANK($C329),"",IF(F329=Constants!$B$2,TRUE(),IF(F329=Constants!$B$3,FALSE(),TRUE())))</f>
        <v/>
      </c>
      <c r="Y329" s="87" t="str">
        <f aca="false">IF(ISBLANK($C329),"",IF(G329=Constants!$B$2,TRUE(),IF(G329=Constants!$B$3,FALSE(),TRUE())))</f>
        <v/>
      </c>
      <c r="Z329" s="87" t="str">
        <f aca="false">IF(ISBLANK($C329),"",IF(H329=Constants!$B$2,TRUE(),IF(H329=Constants!$B$3,FALSE(),TRUE())))</f>
        <v/>
      </c>
      <c r="AA329" s="87" t="str">
        <f aca="false">IF(ISBLANK($C329),"",IF(I329=Constants!$B$2,TRUE(),IF(I329=Constants!$B$3,FALSE(),TRUE())))</f>
        <v/>
      </c>
      <c r="AB329" s="87" t="str">
        <f aca="false">IF(ISBLANK($C329),"",IF(J329=Constants!$B$4,TRUE(),IF(J329=Constants!$B$5,FALSE(),COUNTA(K329:M329)&gt;0)))</f>
        <v/>
      </c>
      <c r="AC329" s="88" t="str">
        <f aca="false">IF(ISBLANK($C329),"",IF(ISNUMBER(K329),IF(K329&gt;=0,K329,""),""))</f>
        <v/>
      </c>
      <c r="AD329" s="89" t="str">
        <f aca="false">IF(ISBLANK($C329),"",IF(ISNUMBER(L329),IF(L329&gt;=0,L329,""),""))</f>
        <v/>
      </c>
      <c r="AE329" s="87" t="str">
        <f aca="false">IF(ISBLANK($C329),"",IF(ISNUMBER(M329),IF(M329&gt;=0,MIN(M329,Constants!$B$22),""),""))</f>
        <v/>
      </c>
      <c r="AF329" s="87" t="str">
        <f aca="false">IF(ISBLANK($C329),"",IF(N329=Constants!$B$2,TRUE(),IF(N329=Constants!$B$3,FALSE(),TRUE())))</f>
        <v/>
      </c>
      <c r="AG329" s="87" t="str">
        <f aca="false">IF(ISBLANK($C329),"",IF(O329=Constants!$B$2,TRUE(),IF(O329=Constants!$B$3,FALSE(),TRUE())))</f>
        <v/>
      </c>
      <c r="AH329" s="87" t="str">
        <f aca="false">IF(ISBLANK($C329),"",IF(P329=Constants!$B$4,TRUE(),IF(P329=Constants!$B$5,FALSE(),COUNTA(Q329:S329)&gt;0)))</f>
        <v/>
      </c>
      <c r="AI329" s="88" t="str">
        <f aca="false">IF(ISBLANK($C329),"",IF(ISNUMBER(Q329),IF(Q329&gt;=0,Q329,""),""))</f>
        <v/>
      </c>
      <c r="AJ329" s="89" t="str">
        <f aca="false">IF(ISBLANK($C329),"",IF(ISNUMBER(R329),IF(R329&gt;=0,R329,""),""))</f>
        <v/>
      </c>
      <c r="AK329" s="87" t="str">
        <f aca="false">IF(ISBLANK($C329),"",IF(ISNUMBER(S329),IF(S329&gt;=0,MIN(S329,Constants!$B$22),""),""))</f>
        <v/>
      </c>
      <c r="AL329" s="87" t="str">
        <f aca="false">IF(ISBLANK($C329),"",IF(T329=Constants!$B$2,TRUE(),IF(T329=Constants!$B$3,FALSE(),FALSE())))</f>
        <v/>
      </c>
      <c r="AM329" s="86" t="str">
        <f aca="false">IF(ISBLANK($C329),"",AND($AB329,OR($AC329="",$AD329="",AND(NOT(ISBLANK($M329)),$AE329=""))))</f>
        <v/>
      </c>
      <c r="AN329" s="89" t="str">
        <f aca="false">IF($BD329&lt;&gt;Constants!$B$6,"",IF($AB329,Constants!$B$17*$AD329,Constants!$B$18))</f>
        <v/>
      </c>
      <c r="AO329" s="91" t="str">
        <f aca="false">IF($BD329&lt;&gt;Constants!$B$6,"",Constants!$B$19*IF($AB329,$AC329,0))</f>
        <v/>
      </c>
      <c r="AP329" s="91" t="str">
        <f aca="false">IF($BD329&lt;&gt;Constants!$B$6,"",IF(AND($AB329,ISNUMBER($AE329)),Constants!$B$20*(Constants!$B$21-$AE329),0))</f>
        <v/>
      </c>
      <c r="AQ329" s="91" t="str">
        <f aca="false">IF($BD329&lt;&gt;Constants!$B$6,"",IF($AA329,0,Constants!$B$12)+IF($Z329,0,Constants!$B$13)+IF($Y329,0,Constants!$B$14))</f>
        <v/>
      </c>
      <c r="AR329" s="92" t="str">
        <f aca="false">IF($BD329&lt;&gt;Constants!$B$6,"",Constants!$B$16+SUM($AN329:$AQ329))</f>
        <v/>
      </c>
      <c r="AS329" s="91" t="str">
        <f aca="false">IF($BD329&lt;&gt;Constants!$B$6,"",IF($AB329,$AD329,""))</f>
        <v/>
      </c>
      <c r="AT329" s="93" t="str">
        <f aca="false">IF($BD329&lt;&gt;Constants!$B$6,"",$AO329)</f>
        <v/>
      </c>
      <c r="AU329" s="87" t="str">
        <f aca="false">IF($BD329&lt;&gt;Constants!$B$6,"",IF(OR($BA329&lt;$AR329,AND($BA329=$AR329,OR(AND(ISNUMBER($BB329),OR(NOT(ISNUMBER($AS329)),$BB329&lt;$AS329)),AND(OR(AND($BB329="",$AS329=""),AND(ISNUMBER($BB329),ISNUMBER($AS329),$BB329=$AS329)),$BC329&lt;$AT329)))),"-&gt;","&lt;-"))</f>
        <v/>
      </c>
      <c r="AV329" s="86" t="str">
        <f aca="false">IF(ISBLANK($C329),"",AND($AH329,OR($AI329="",$AJ329="",AND(NOT(ISBLANK($S329)),$AK329=""))))</f>
        <v/>
      </c>
      <c r="AW329" s="89" t="str">
        <f aca="false">IF($BD329&lt;&gt;Constants!$B$6,"",IF($AH329,Constants!$B$17*$AJ329,Constants!$B$18))</f>
        <v/>
      </c>
      <c r="AX329" s="91" t="str">
        <f aca="false">IF($BD329&lt;&gt;Constants!$B$6,"",Constants!$B$19*IF($AH329,$AI329,0))</f>
        <v/>
      </c>
      <c r="AY329" s="91" t="str">
        <f aca="false">IF($BD329&lt;&gt;Constants!$B$6,"",IF(AND($AH329,ISNUMBER($AK329)),Constants!$B$20*(Constants!$B$21-$AK329),0))</f>
        <v/>
      </c>
      <c r="AZ329" s="91" t="str">
        <f aca="false">IF($BD329&lt;&gt;Constants!$B$6,"",IF($AG329,0,Constants!$B$12)+IF($AF329,0,Constants!$B$13)+IF($Y329,0,Constants!$B$14))</f>
        <v/>
      </c>
      <c r="BA329" s="92" t="str">
        <f aca="false">IF($BD329&lt;&gt;Constants!$B$6,"",Constants!$B$16+SUM($AW329:$AZ329))</f>
        <v/>
      </c>
      <c r="BB329" s="91" t="str">
        <f aca="false">IF($BD329&lt;&gt;Constants!$B$6,"",IF($AH329,$AJ329,""))</f>
        <v/>
      </c>
      <c r="BC329" s="93" t="str">
        <f aca="false">IF($BD329&lt;&gt;Constants!$B$6,"",$AX329)</f>
        <v/>
      </c>
      <c r="BD329" s="87" t="str">
        <f aca="false">IF(ISBLANK($C329),"",IF($AL329,Constants!$B$9,IF(COUNTA($E329:$T329)=0,Constants!$B$8,IF(NOT($X329),Constants!$B$7,IF(OR($AM329,$AV329),Constants!$B$10,Constants!$B$6)))))</f>
        <v/>
      </c>
      <c r="BE329" s="87" t="str">
        <f aca="false">IF(ISBLANK($C329),"",IF($BD329&lt;&gt;Constants!$B$6,$BD329,Constants!$B$11))</f>
        <v/>
      </c>
      <c r="BF329" s="91" t="str">
        <f aca="false">IF($BD329&lt;&gt;Constants!$B$6,"",IF($AU329="-&gt;",$BA329,$AR329))</f>
        <v/>
      </c>
      <c r="BG329" s="91" t="str">
        <f aca="false">IF($BD329&lt;&gt;Constants!$B$6,"",IF($W329,0,Constants!$B$15))</f>
        <v/>
      </c>
      <c r="BH329" s="91" t="str">
        <f aca="false">IF(ISBLANK($C329),"",IF($BD329&lt;&gt;Constants!$B$6,$BD329,SUM($BF329:$BG329)))</f>
        <v/>
      </c>
      <c r="BI329" s="87" t="str">
        <f aca="false">IF(ISBLANK($C329),"",IF($BD329&lt;&gt;Constants!$B$6,$BD329,RANK($BH329,$BH$9:$BH$508,1)))</f>
        <v/>
      </c>
      <c r="BJ329" s="91" t="str">
        <f aca="false">IF($BD329&lt;&gt;Constants!$B$6,"",IF($AU329="-&gt;",$BB329,$AS329))</f>
        <v/>
      </c>
      <c r="BK329" s="87" t="str">
        <f aca="false">IF(ISBLANK($C329),"",IF($BD329&lt;&gt;Constants!$B$6,$BD329,IF(ISNUMBER($BJ329),RANK($BJ329,$BJ$9:$BJ$508,1),COUNT($BJ$9:$BJ$508)+1)))</f>
        <v/>
      </c>
      <c r="BL329" s="91" t="str">
        <f aca="false">IF($BD329&lt;&gt;Constants!$B$6,"",IF($AU329="-&gt;",$BC329,$AT329))</f>
        <v/>
      </c>
      <c r="BM329" s="87" t="str">
        <f aca="false">IF(ISBLANK($C329),"",IF($BD329&lt;&gt;Constants!$B$6,$BD329,IF(ISNUMBER($BL329),RANK($BL329,$BL$9:$BL$508,1),COUNT($BL$9:$BL$508)+1)))</f>
        <v/>
      </c>
      <c r="BN329" s="91" t="str">
        <f aca="false">IF($BD329&lt;&gt;Constants!$B$6,"",IF($AU329="-&gt;",$AS329,$BB329))</f>
        <v/>
      </c>
      <c r="BO329" s="87" t="str">
        <f aca="false">IF(ISBLANK($C329),"",IF($BD329&lt;&gt;Constants!$B$6,$BD329,IF(ISNUMBER($BN329),RANK($BN329,$BN$9:$BN$508,1),COUNT($BN$9:$BN$508)+1)))</f>
        <v/>
      </c>
      <c r="BP329" s="91" t="str">
        <f aca="false">IF($BD329&lt;&gt;Constants!$B$6,"",IF($AU329="-&gt;",$AT329,$BC329))</f>
        <v/>
      </c>
      <c r="BQ329" s="87" t="str">
        <f aca="false">IF(ISBLANK($C329),"",IF($BD329&lt;&gt;Constants!$B$6,$BD329,IF(ISNUMBER($BP329),RANK($BP329,$BP$9:$BP$508,1),COUNT($BP$9:$BP$508)+1)))</f>
        <v/>
      </c>
      <c r="BR329" s="87" t="str">
        <f aca="false">IF(ISBLANK($C329),"",IF($BD329&lt;&gt;Constants!$B$6,$BD329,COUNTIFS($BI$9:$BI$508,"&lt;"&amp;$BI329)+COUNTIFS($BI$9:$BI$508,$BI329,$BK$9:$BK$508,"&lt;"&amp;$BK329)+COUNTIFS($BI$9:$BI$508,$BI329,$BK$9:$BK$508,$BK329,$BM$9:$BM$508,"&lt;"&amp;$BM329)+COUNTIFS($BI$9:$BI$508,$BI329,$BK$9:$BK$508,$BK329,$BM$9:$BM$508,$BM329,$BO$9:$BO$508,"&lt;"&amp;$BO329)+COUNTIFS($BI$9:$BI$508,$BI329,$BK$9:$BK$508,$BK329,$BM$9:$BM$508,$BM329,$BO$9:$BO$508,$BO329,$BQ$9:$BQ$508,"&lt;"&amp;$BQ329)+1))</f>
        <v/>
      </c>
      <c r="BS329" s="87" t="str">
        <f aca="false">IF(ISBLANK($C329),"",IF($BD329&lt;&gt;Constants!$B$6,$BD329,$BI329-$BR329))</f>
        <v/>
      </c>
      <c r="BT329" s="94"/>
      <c r="BU329" s="95"/>
      <c r="BV329" s="95" t="str">
        <f aca="false">IF(ISBLANK($C329),"",IF($BD329&lt;&gt;Constants!$B$6,"",IF($AU329="-&gt;",2,1)))</f>
        <v/>
      </c>
      <c r="BW329" s="96" t="str">
        <f aca="false">IF(ISBLANK($C329),"",IF($BD329&lt;&gt;Constants!$B$6,"",IF($AU329="-&gt;",$AW329,$AN329)))</f>
        <v/>
      </c>
      <c r="BX329" s="96" t="str">
        <f aca="false">IF(ISBLANK($C329),"",IF($BD329&lt;&gt;Constants!$B$6,"",IF($AU329="-&gt;",$AX329,$AO329)))</f>
        <v/>
      </c>
      <c r="BY329" s="96" t="str">
        <f aca="false">IF(ISBLANK($C329),"",IF($BD329&lt;&gt;Constants!$B$6,"",IF($AU329="-&gt;",$AY329,$AP329)))</f>
        <v/>
      </c>
      <c r="BZ329" s="96" t="str">
        <f aca="false">IF(ISBLANK($C329),"",IF($BD329&lt;&gt;Constants!$B$6,"",IF($AU329="-&gt;",$AZ329,$AQ329)+$BG329))</f>
        <v/>
      </c>
      <c r="CA329" s="97" t="str">
        <f aca="false">IF(ISBLANK($C329),"",IF($BD329&lt;&gt;Constants!$B$6,$BD329,$BH329))</f>
        <v/>
      </c>
      <c r="CB329" s="98" t="str">
        <f aca="false">IF(ISBLANK($C329),"",$BE329)</f>
        <v/>
      </c>
      <c r="CC329" s="99" t="str">
        <f aca="false">IF(ISBLANK($C329),"",$BS329)</f>
        <v/>
      </c>
      <c r="CD329" s="99" t="str">
        <f aca="false">IF(ISBLANK($C329),"",$BR329)</f>
        <v/>
      </c>
      <c r="CE329" s="100" t="str">
        <f aca="false">IF(ISBLANK($C329),"",IF($CD329=Constants!$B$9,COUNTA($C$9:$C$508)+2,IF($CD329=Constants!$B$8,COUNTA($C$9:$C$508)+1,IF($CD329=Constants!$B$7,COUNTA($C$9:$C$508),$CD329))))</f>
        <v/>
      </c>
      <c r="CF329" s="9"/>
      <c r="CG329" s="101" t="n">
        <f aca="false">IF(OR(ISNUMBER($CD329),$CD329=Constants!$B$9,$CD329=Constants!$B$7,$CD329=Constants!$B$8),1,0)</f>
        <v>0</v>
      </c>
      <c r="CH329" s="101" t="n">
        <v>321</v>
      </c>
      <c r="CI329" s="101" t="str">
        <f aca="false">IF(ISBLANK($C329),"",IF(ISNUMBER($CE329),$CE329+ROW($B329)/1000,""))</f>
        <v/>
      </c>
      <c r="CJ329" s="101" t="str">
        <f aca="false">IF(ISNUMBER($CI329),RANK($CI329,$CI$9:$CI$508,1),"")</f>
        <v/>
      </c>
      <c r="CK329" s="101" t="str">
        <f aca="false">IF(ISBLANK($C329),"",$B329)</f>
        <v/>
      </c>
      <c r="CL329" s="101" t="str">
        <f aca="false">IF(ISBLANK($C329),"",$C329)</f>
        <v/>
      </c>
      <c r="CM329" s="101" t="str">
        <f aca="false">IF(ISBLANK($C329),"",$D329)</f>
        <v/>
      </c>
      <c r="CN329" s="102" t="str">
        <f aca="false">$CB329</f>
        <v/>
      </c>
      <c r="CO329" s="103" t="str">
        <f aca="false">$CA329</f>
        <v/>
      </c>
      <c r="CP329" s="101" t="str">
        <f aca="false">IF(ISBLANK($C329),"",$CD329)</f>
        <v/>
      </c>
      <c r="CQ329" s="104" t="str">
        <f aca="false">IF($CH329&gt;$CG$8,"",VLOOKUP($CH329,$CJ$9:$CP$508,7,FALSE()))</f>
        <v/>
      </c>
      <c r="CR329" s="105" t="str">
        <f aca="false">IF($CH329&gt;$CG$8,"",VLOOKUP($CH329,$CJ$9:$CP$508,2,FALSE()))</f>
        <v/>
      </c>
      <c r="CS329" s="105" t="str">
        <f aca="false">IF($CH329&gt;$CG$8,"",VLOOKUP($CH329,$CJ$9:$CP$508,3,FALSE()))</f>
        <v/>
      </c>
      <c r="CT329" s="105" t="str">
        <f aca="false">IF($CH329&gt;$CG$8,"",VLOOKUP($CH329,$CJ$9:$CP$508,4,FALSE()))</f>
        <v/>
      </c>
      <c r="CU329" s="105" t="str">
        <f aca="false">IF($CH329&gt;$CG$8,"",VLOOKUP($CH329,$CJ$9:$CP$508,5,FALSE()))</f>
        <v/>
      </c>
      <c r="CV329" s="106" t="str">
        <f aca="false">IF($CH329&gt;$CG$8,"",VLOOKUP($CH329,$CJ$9:$CP$508,6,FALSE()))</f>
        <v/>
      </c>
      <c r="CW329" s="71"/>
    </row>
    <row r="330" customFormat="false" ht="15.75" hidden="false" customHeight="false" outlineLevel="0" collapsed="false">
      <c r="A330" s="9"/>
      <c r="B330" s="150"/>
      <c r="C330" s="151"/>
      <c r="D330" s="152"/>
      <c r="E330" s="170"/>
      <c r="F330" s="154"/>
      <c r="G330" s="155"/>
      <c r="H330" s="171"/>
      <c r="I330" s="159"/>
      <c r="J330" s="120"/>
      <c r="K330" s="121"/>
      <c r="L330" s="122"/>
      <c r="M330" s="158"/>
      <c r="N330" s="159"/>
      <c r="O330" s="159"/>
      <c r="P330" s="120"/>
      <c r="Q330" s="122"/>
      <c r="R330" s="122"/>
      <c r="S330" s="158"/>
      <c r="T330" s="159"/>
      <c r="U330" s="126"/>
      <c r="V330" s="127"/>
      <c r="W330" s="127" t="str">
        <f aca="false">IF(ISBLANK($C330),"",IF(E330=Constants!$B$2,TRUE(),IF(E330=Constants!$B$3,FALSE(),TRUE())))</f>
        <v/>
      </c>
      <c r="X330" s="127" t="str">
        <f aca="false">IF(ISBLANK($C330),"",IF(F330=Constants!$B$2,TRUE(),IF(F330=Constants!$B$3,FALSE(),TRUE())))</f>
        <v/>
      </c>
      <c r="Y330" s="127" t="str">
        <f aca="false">IF(ISBLANK($C330),"",IF(G330=Constants!$B$2,TRUE(),IF(G330=Constants!$B$3,FALSE(),TRUE())))</f>
        <v/>
      </c>
      <c r="Z330" s="127" t="str">
        <f aca="false">IF(ISBLANK($C330),"",IF(H330=Constants!$B$2,TRUE(),IF(H330=Constants!$B$3,FALSE(),TRUE())))</f>
        <v/>
      </c>
      <c r="AA330" s="127" t="str">
        <f aca="false">IF(ISBLANK($C330),"",IF(I330=Constants!$B$2,TRUE(),IF(I330=Constants!$B$3,FALSE(),TRUE())))</f>
        <v/>
      </c>
      <c r="AB330" s="127" t="str">
        <f aca="false">IF(ISBLANK($C330),"",IF(J330=Constants!$B$4,TRUE(),IF(J330=Constants!$B$5,FALSE(),COUNTA(K330:M330)&gt;0)))</f>
        <v/>
      </c>
      <c r="AC330" s="128" t="str">
        <f aca="false">IF(ISBLANK($C330),"",IF(ISNUMBER(K330),IF(K330&gt;=0,K330,""),""))</f>
        <v/>
      </c>
      <c r="AD330" s="129" t="str">
        <f aca="false">IF(ISBLANK($C330),"",IF(ISNUMBER(L330),IF(L330&gt;=0,L330,""),""))</f>
        <v/>
      </c>
      <c r="AE330" s="127" t="str">
        <f aca="false">IF(ISBLANK($C330),"",IF(ISNUMBER(M330),IF(M330&gt;=0,MIN(M330,Constants!$B$22),""),""))</f>
        <v/>
      </c>
      <c r="AF330" s="127" t="str">
        <f aca="false">IF(ISBLANK($C330),"",IF(N330=Constants!$B$2,TRUE(),IF(N330=Constants!$B$3,FALSE(),TRUE())))</f>
        <v/>
      </c>
      <c r="AG330" s="127" t="str">
        <f aca="false">IF(ISBLANK($C330),"",IF(O330=Constants!$B$2,TRUE(),IF(O330=Constants!$B$3,FALSE(),TRUE())))</f>
        <v/>
      </c>
      <c r="AH330" s="127" t="str">
        <f aca="false">IF(ISBLANK($C330),"",IF(P330=Constants!$B$4,TRUE(),IF(P330=Constants!$B$5,FALSE(),COUNTA(Q330:S330)&gt;0)))</f>
        <v/>
      </c>
      <c r="AI330" s="128" t="str">
        <f aca="false">IF(ISBLANK($C330),"",IF(ISNUMBER(Q330),IF(Q330&gt;=0,Q330,""),""))</f>
        <v/>
      </c>
      <c r="AJ330" s="129" t="str">
        <f aca="false">IF(ISBLANK($C330),"",IF(ISNUMBER(R330),IF(R330&gt;=0,R330,""),""))</f>
        <v/>
      </c>
      <c r="AK330" s="127" t="str">
        <f aca="false">IF(ISBLANK($C330),"",IF(ISNUMBER(S330),IF(S330&gt;=0,MIN(S330,Constants!$B$22),""),""))</f>
        <v/>
      </c>
      <c r="AL330" s="127" t="str">
        <f aca="false">IF(ISBLANK($C330),"",IF(T330=Constants!$B$2,TRUE(),IF(T330=Constants!$B$3,FALSE(),FALSE())))</f>
        <v/>
      </c>
      <c r="AM330" s="126" t="str">
        <f aca="false">IF(ISBLANK($C330),"",AND($AB330,OR($AC330="",$AD330="",AND(NOT(ISBLANK($M330)),$AE330=""))))</f>
        <v/>
      </c>
      <c r="AN330" s="129" t="str">
        <f aca="false">IF($BD330&lt;&gt;Constants!$B$6,"",IF($AB330,Constants!$B$17*$AD330,Constants!$B$18))</f>
        <v/>
      </c>
      <c r="AO330" s="130" t="str">
        <f aca="false">IF($BD330&lt;&gt;Constants!$B$6,"",Constants!$B$19*IF($AB330,$AC330,0))</f>
        <v/>
      </c>
      <c r="AP330" s="130" t="str">
        <f aca="false">IF($BD330&lt;&gt;Constants!$B$6,"",IF(AND($AB330,ISNUMBER($AE330)),Constants!$B$20*(Constants!$B$21-$AE330),0))</f>
        <v/>
      </c>
      <c r="AQ330" s="130" t="str">
        <f aca="false">IF($BD330&lt;&gt;Constants!$B$6,"",IF($AA330,0,Constants!$B$12)+IF($Z330,0,Constants!$B$13)+IF($Y330,0,Constants!$B$14))</f>
        <v/>
      </c>
      <c r="AR330" s="131" t="str">
        <f aca="false">IF($BD330&lt;&gt;Constants!$B$6,"",Constants!$B$16+SUM($AN330:$AQ330))</f>
        <v/>
      </c>
      <c r="AS330" s="130" t="str">
        <f aca="false">IF($BD330&lt;&gt;Constants!$B$6,"",IF($AB330,$AD330,""))</f>
        <v/>
      </c>
      <c r="AT330" s="132" t="str">
        <f aca="false">IF($BD330&lt;&gt;Constants!$B$6,"",$AO330)</f>
        <v/>
      </c>
      <c r="AU330" s="127" t="str">
        <f aca="false">IF($BD330&lt;&gt;Constants!$B$6,"",IF(OR($BA330&lt;$AR330,AND($BA330=$AR330,OR(AND(ISNUMBER($BB330),OR(NOT(ISNUMBER($AS330)),$BB330&lt;$AS330)),AND(OR(AND($BB330="",$AS330=""),AND(ISNUMBER($BB330),ISNUMBER($AS330),$BB330=$AS330)),$BC330&lt;$AT330)))),"-&gt;","&lt;-"))</f>
        <v/>
      </c>
      <c r="AV330" s="126" t="str">
        <f aca="false">IF(ISBLANK($C330),"",AND($AH330,OR($AI330="",$AJ330="",AND(NOT(ISBLANK($S330)),$AK330=""))))</f>
        <v/>
      </c>
      <c r="AW330" s="129" t="str">
        <f aca="false">IF($BD330&lt;&gt;Constants!$B$6,"",IF($AH330,Constants!$B$17*$AJ330,Constants!$B$18))</f>
        <v/>
      </c>
      <c r="AX330" s="130" t="str">
        <f aca="false">IF($BD330&lt;&gt;Constants!$B$6,"",Constants!$B$19*IF($AH330,$AI330,0))</f>
        <v/>
      </c>
      <c r="AY330" s="130" t="str">
        <f aca="false">IF($BD330&lt;&gt;Constants!$B$6,"",IF(AND($AH330,ISNUMBER($AK330)),Constants!$B$20*(Constants!$B$21-$AK330),0))</f>
        <v/>
      </c>
      <c r="AZ330" s="130" t="str">
        <f aca="false">IF($BD330&lt;&gt;Constants!$B$6,"",IF($AG330,0,Constants!$B$12)+IF($AF330,0,Constants!$B$13)+IF($Y330,0,Constants!$B$14))</f>
        <v/>
      </c>
      <c r="BA330" s="131" t="str">
        <f aca="false">IF($BD330&lt;&gt;Constants!$B$6,"",Constants!$B$16+SUM($AW330:$AZ330))</f>
        <v/>
      </c>
      <c r="BB330" s="130" t="str">
        <f aca="false">IF($BD330&lt;&gt;Constants!$B$6,"",IF($AH330,$AJ330,""))</f>
        <v/>
      </c>
      <c r="BC330" s="132" t="str">
        <f aca="false">IF($BD330&lt;&gt;Constants!$B$6,"",$AX330)</f>
        <v/>
      </c>
      <c r="BD330" s="127" t="str">
        <f aca="false">IF(ISBLANK($C330),"",IF($AL330,Constants!$B$9,IF(COUNTA($E330:$T330)=0,Constants!$B$8,IF(NOT($X330),Constants!$B$7,IF(OR($AM330,$AV330),Constants!$B$10,Constants!$B$6)))))</f>
        <v/>
      </c>
      <c r="BE330" s="127" t="str">
        <f aca="false">IF(ISBLANK($C330),"",IF($BD330&lt;&gt;Constants!$B$6,$BD330,Constants!$B$11))</f>
        <v/>
      </c>
      <c r="BF330" s="130" t="str">
        <f aca="false">IF($BD330&lt;&gt;Constants!$B$6,"",IF($AU330="-&gt;",$BA330,$AR330))</f>
        <v/>
      </c>
      <c r="BG330" s="130" t="str">
        <f aca="false">IF($BD330&lt;&gt;Constants!$B$6,"",IF($W330,0,Constants!$B$15))</f>
        <v/>
      </c>
      <c r="BH330" s="130" t="str">
        <f aca="false">IF(ISBLANK($C330),"",IF($BD330&lt;&gt;Constants!$B$6,$BD330,SUM($BF330:$BG330)))</f>
        <v/>
      </c>
      <c r="BI330" s="127" t="str">
        <f aca="false">IF(ISBLANK($C330),"",IF($BD330&lt;&gt;Constants!$B$6,$BD330,RANK($BH330,$BH$9:$BH$508,1)))</f>
        <v/>
      </c>
      <c r="BJ330" s="130" t="str">
        <f aca="false">IF($BD330&lt;&gt;Constants!$B$6,"",IF($AU330="-&gt;",$BB330,$AS330))</f>
        <v/>
      </c>
      <c r="BK330" s="127" t="str">
        <f aca="false">IF(ISBLANK($C330),"",IF($BD330&lt;&gt;Constants!$B$6,$BD330,IF(ISNUMBER($BJ330),RANK($BJ330,$BJ$9:$BJ$508,1),COUNT($BJ$9:$BJ$508)+1)))</f>
        <v/>
      </c>
      <c r="BL330" s="130" t="str">
        <f aca="false">IF($BD330&lt;&gt;Constants!$B$6,"",IF($AU330="-&gt;",$BC330,$AT330))</f>
        <v/>
      </c>
      <c r="BM330" s="127" t="str">
        <f aca="false">IF(ISBLANK($C330),"",IF($BD330&lt;&gt;Constants!$B$6,$BD330,IF(ISNUMBER($BL330),RANK($BL330,$BL$9:$BL$508,1),COUNT($BL$9:$BL$508)+1)))</f>
        <v/>
      </c>
      <c r="BN330" s="130" t="str">
        <f aca="false">IF($BD330&lt;&gt;Constants!$B$6,"",IF($AU330="-&gt;",$AS330,$BB330))</f>
        <v/>
      </c>
      <c r="BO330" s="127" t="str">
        <f aca="false">IF(ISBLANK($C330),"",IF($BD330&lt;&gt;Constants!$B$6,$BD330,IF(ISNUMBER($BN330),RANK($BN330,$BN$9:$BN$508,1),COUNT($BN$9:$BN$508)+1)))</f>
        <v/>
      </c>
      <c r="BP330" s="130" t="str">
        <f aca="false">IF($BD330&lt;&gt;Constants!$B$6,"",IF($AU330="-&gt;",$AT330,$BC330))</f>
        <v/>
      </c>
      <c r="BQ330" s="127" t="str">
        <f aca="false">IF(ISBLANK($C330),"",IF($BD330&lt;&gt;Constants!$B$6,$BD330,IF(ISNUMBER($BP330),RANK($BP330,$BP$9:$BP$508,1),COUNT($BP$9:$BP$508)+1)))</f>
        <v/>
      </c>
      <c r="BR330" s="127" t="str">
        <f aca="false">IF(ISBLANK($C330),"",IF($BD330&lt;&gt;Constants!$B$6,$BD330,COUNTIFS($BI$9:$BI$508,"&lt;"&amp;$BI330)+COUNTIFS($BI$9:$BI$508,$BI330,$BK$9:$BK$508,"&lt;"&amp;$BK330)+COUNTIFS($BI$9:$BI$508,$BI330,$BK$9:$BK$508,$BK330,$BM$9:$BM$508,"&lt;"&amp;$BM330)+COUNTIFS($BI$9:$BI$508,$BI330,$BK$9:$BK$508,$BK330,$BM$9:$BM$508,$BM330,$BO$9:$BO$508,"&lt;"&amp;$BO330)+COUNTIFS($BI$9:$BI$508,$BI330,$BK$9:$BK$508,$BK330,$BM$9:$BM$508,$BM330,$BO$9:$BO$508,$BO330,$BQ$9:$BQ$508,"&lt;"&amp;$BQ330)+1))</f>
        <v/>
      </c>
      <c r="BS330" s="127" t="str">
        <f aca="false">IF(ISBLANK($C330),"",IF($BD330&lt;&gt;Constants!$B$6,$BD330,$BI330-$BR330))</f>
        <v/>
      </c>
      <c r="BT330" s="133"/>
      <c r="BU330" s="134"/>
      <c r="BV330" s="134" t="str">
        <f aca="false">IF(ISBLANK($C330),"",IF($BD330&lt;&gt;Constants!$B$6,"",IF($AU330="-&gt;",2,1)))</f>
        <v/>
      </c>
      <c r="BW330" s="135" t="str">
        <f aca="false">IF(ISBLANK($C330),"",IF($BD330&lt;&gt;Constants!$B$6,"",IF($AU330="-&gt;",$AW330,$AN330)))</f>
        <v/>
      </c>
      <c r="BX330" s="135" t="str">
        <f aca="false">IF(ISBLANK($C330),"",IF($BD330&lt;&gt;Constants!$B$6,"",IF($AU330="-&gt;",$AX330,$AO330)))</f>
        <v/>
      </c>
      <c r="BY330" s="135" t="str">
        <f aca="false">IF(ISBLANK($C330),"",IF($BD330&lt;&gt;Constants!$B$6,"",IF($AU330="-&gt;",$AY330,$AP330)))</f>
        <v/>
      </c>
      <c r="BZ330" s="135" t="str">
        <f aca="false">IF(ISBLANK($C330),"",IF($BD330&lt;&gt;Constants!$B$6,"",IF($AU330="-&gt;",$AZ330,$AQ330)+$BG330))</f>
        <v/>
      </c>
      <c r="CA330" s="136" t="str">
        <f aca="false">IF(ISBLANK($C330),"",IF($BD330&lt;&gt;Constants!$B$6,$BD330,$BH330))</f>
        <v/>
      </c>
      <c r="CB330" s="137" t="str">
        <f aca="false">IF(ISBLANK($C330),"",$BE330)</f>
        <v/>
      </c>
      <c r="CC330" s="138" t="str">
        <f aca="false">IF(ISBLANK($C330),"",$BS330)</f>
        <v/>
      </c>
      <c r="CD330" s="138" t="str">
        <f aca="false">IF(ISBLANK($C330),"",$BR330)</f>
        <v/>
      </c>
      <c r="CE330" s="139" t="str">
        <f aca="false">IF(ISBLANK($C330),"",IF($CD330=Constants!$B$9,COUNTA($C$9:$C$508)+2,IF($CD330=Constants!$B$8,COUNTA($C$9:$C$508)+1,IF($CD330=Constants!$B$7,COUNTA($C$9:$C$508),$CD330))))</f>
        <v/>
      </c>
      <c r="CF330" s="9"/>
      <c r="CG330" s="140" t="n">
        <f aca="false">IF(OR(ISNUMBER($CD330),$CD330=Constants!$B$9,$CD330=Constants!$B$7,$CD330=Constants!$B$8),1,0)</f>
        <v>0</v>
      </c>
      <c r="CH330" s="140" t="n">
        <v>322</v>
      </c>
      <c r="CI330" s="140" t="str">
        <f aca="false">IF(ISBLANK($C330),"",IF(ISNUMBER($CE330),$CE330+ROW($B330)/1000,""))</f>
        <v/>
      </c>
      <c r="CJ330" s="140" t="str">
        <f aca="false">IF(ISNUMBER($CI330),RANK($CI330,$CI$9:$CI$508,1),"")</f>
        <v/>
      </c>
      <c r="CK330" s="140" t="str">
        <f aca="false">IF(ISBLANK($C330),"",$B330)</f>
        <v/>
      </c>
      <c r="CL330" s="140" t="str">
        <f aca="false">IF(ISBLANK($C330),"",$C330)</f>
        <v/>
      </c>
      <c r="CM330" s="140" t="str">
        <f aca="false">IF(ISBLANK($C330),"",$D330)</f>
        <v/>
      </c>
      <c r="CN330" s="141" t="str">
        <f aca="false">$CB330</f>
        <v/>
      </c>
      <c r="CO330" s="142" t="str">
        <f aca="false">$CA330</f>
        <v/>
      </c>
      <c r="CP330" s="140" t="str">
        <f aca="false">IF(ISBLANK($C330),"",$CD330)</f>
        <v/>
      </c>
      <c r="CQ330" s="143" t="str">
        <f aca="false">IF($CH330&gt;$CG$8,"",VLOOKUP($CH330,$CJ$9:$CP$508,7,FALSE()))</f>
        <v/>
      </c>
      <c r="CR330" s="144" t="str">
        <f aca="false">IF($CH330&gt;$CG$8,"",VLOOKUP($CH330,$CJ$9:$CP$508,2,FALSE()))</f>
        <v/>
      </c>
      <c r="CS330" s="144" t="str">
        <f aca="false">IF($CH330&gt;$CG$8,"",VLOOKUP($CH330,$CJ$9:$CP$508,3,FALSE()))</f>
        <v/>
      </c>
      <c r="CT330" s="144" t="str">
        <f aca="false">IF($CH330&gt;$CG$8,"",VLOOKUP($CH330,$CJ$9:$CP$508,4,FALSE()))</f>
        <v/>
      </c>
      <c r="CU330" s="144" t="str">
        <f aca="false">IF($CH330&gt;$CG$8,"",VLOOKUP($CH330,$CJ$9:$CP$508,5,FALSE()))</f>
        <v/>
      </c>
      <c r="CV330" s="145" t="str">
        <f aca="false">IF($CH330&gt;$CG$8,"",VLOOKUP($CH330,$CJ$9:$CP$508,6,FALSE()))</f>
        <v/>
      </c>
      <c r="CW330" s="71"/>
    </row>
    <row r="331" customFormat="false" ht="15.75" hidden="false" customHeight="false" outlineLevel="0" collapsed="false">
      <c r="A331" s="9"/>
      <c r="B331" s="150"/>
      <c r="C331" s="151"/>
      <c r="D331" s="152"/>
      <c r="E331" s="170"/>
      <c r="F331" s="154"/>
      <c r="G331" s="155"/>
      <c r="H331" s="171"/>
      <c r="I331" s="159"/>
      <c r="J331" s="120"/>
      <c r="K331" s="121"/>
      <c r="L331" s="122"/>
      <c r="M331" s="158"/>
      <c r="N331" s="159"/>
      <c r="O331" s="159"/>
      <c r="P331" s="120"/>
      <c r="Q331" s="122"/>
      <c r="R331" s="122"/>
      <c r="S331" s="158"/>
      <c r="T331" s="159"/>
      <c r="U331" s="126"/>
      <c r="V331" s="127"/>
      <c r="W331" s="127" t="str">
        <f aca="false">IF(ISBLANK($C331),"",IF(E331=Constants!$B$2,TRUE(),IF(E331=Constants!$B$3,FALSE(),TRUE())))</f>
        <v/>
      </c>
      <c r="X331" s="127" t="str">
        <f aca="false">IF(ISBLANK($C331),"",IF(F331=Constants!$B$2,TRUE(),IF(F331=Constants!$B$3,FALSE(),TRUE())))</f>
        <v/>
      </c>
      <c r="Y331" s="127" t="str">
        <f aca="false">IF(ISBLANK($C331),"",IF(G331=Constants!$B$2,TRUE(),IF(G331=Constants!$B$3,FALSE(),TRUE())))</f>
        <v/>
      </c>
      <c r="Z331" s="127" t="str">
        <f aca="false">IF(ISBLANK($C331),"",IF(H331=Constants!$B$2,TRUE(),IF(H331=Constants!$B$3,FALSE(),TRUE())))</f>
        <v/>
      </c>
      <c r="AA331" s="127" t="str">
        <f aca="false">IF(ISBLANK($C331),"",IF(I331=Constants!$B$2,TRUE(),IF(I331=Constants!$B$3,FALSE(),TRUE())))</f>
        <v/>
      </c>
      <c r="AB331" s="127" t="str">
        <f aca="false">IF(ISBLANK($C331),"",IF(J331=Constants!$B$4,TRUE(),IF(J331=Constants!$B$5,FALSE(),COUNTA(K331:M331)&gt;0)))</f>
        <v/>
      </c>
      <c r="AC331" s="128" t="str">
        <f aca="false">IF(ISBLANK($C331),"",IF(ISNUMBER(K331),IF(K331&gt;=0,K331,""),""))</f>
        <v/>
      </c>
      <c r="AD331" s="129" t="str">
        <f aca="false">IF(ISBLANK($C331),"",IF(ISNUMBER(L331),IF(L331&gt;=0,L331,""),""))</f>
        <v/>
      </c>
      <c r="AE331" s="127" t="str">
        <f aca="false">IF(ISBLANK($C331),"",IF(ISNUMBER(M331),IF(M331&gt;=0,MIN(M331,Constants!$B$22),""),""))</f>
        <v/>
      </c>
      <c r="AF331" s="127" t="str">
        <f aca="false">IF(ISBLANK($C331),"",IF(N331=Constants!$B$2,TRUE(),IF(N331=Constants!$B$3,FALSE(),TRUE())))</f>
        <v/>
      </c>
      <c r="AG331" s="127" t="str">
        <f aca="false">IF(ISBLANK($C331),"",IF(O331=Constants!$B$2,TRUE(),IF(O331=Constants!$B$3,FALSE(),TRUE())))</f>
        <v/>
      </c>
      <c r="AH331" s="127" t="str">
        <f aca="false">IF(ISBLANK($C331),"",IF(P331=Constants!$B$4,TRUE(),IF(P331=Constants!$B$5,FALSE(),COUNTA(Q331:S331)&gt;0)))</f>
        <v/>
      </c>
      <c r="AI331" s="128" t="str">
        <f aca="false">IF(ISBLANK($C331),"",IF(ISNUMBER(Q331),IF(Q331&gt;=0,Q331,""),""))</f>
        <v/>
      </c>
      <c r="AJ331" s="129" t="str">
        <f aca="false">IF(ISBLANK($C331),"",IF(ISNUMBER(R331),IF(R331&gt;=0,R331,""),""))</f>
        <v/>
      </c>
      <c r="AK331" s="127" t="str">
        <f aca="false">IF(ISBLANK($C331),"",IF(ISNUMBER(S331),IF(S331&gt;=0,MIN(S331,Constants!$B$22),""),""))</f>
        <v/>
      </c>
      <c r="AL331" s="127" t="str">
        <f aca="false">IF(ISBLANK($C331),"",IF(T331=Constants!$B$2,TRUE(),IF(T331=Constants!$B$3,FALSE(),FALSE())))</f>
        <v/>
      </c>
      <c r="AM331" s="126" t="str">
        <f aca="false">IF(ISBLANK($C331),"",AND($AB331,OR($AC331="",$AD331="",AND(NOT(ISBLANK($M331)),$AE331=""))))</f>
        <v/>
      </c>
      <c r="AN331" s="129" t="str">
        <f aca="false">IF($BD331&lt;&gt;Constants!$B$6,"",IF($AB331,Constants!$B$17*$AD331,Constants!$B$18))</f>
        <v/>
      </c>
      <c r="AO331" s="130" t="str">
        <f aca="false">IF($BD331&lt;&gt;Constants!$B$6,"",Constants!$B$19*IF($AB331,$AC331,0))</f>
        <v/>
      </c>
      <c r="AP331" s="130" t="str">
        <f aca="false">IF($BD331&lt;&gt;Constants!$B$6,"",IF(AND($AB331,ISNUMBER($AE331)),Constants!$B$20*(Constants!$B$21-$AE331),0))</f>
        <v/>
      </c>
      <c r="AQ331" s="130" t="str">
        <f aca="false">IF($BD331&lt;&gt;Constants!$B$6,"",IF($AA331,0,Constants!$B$12)+IF($Z331,0,Constants!$B$13)+IF($Y331,0,Constants!$B$14))</f>
        <v/>
      </c>
      <c r="AR331" s="131" t="str">
        <f aca="false">IF($BD331&lt;&gt;Constants!$B$6,"",Constants!$B$16+SUM($AN331:$AQ331))</f>
        <v/>
      </c>
      <c r="AS331" s="130" t="str">
        <f aca="false">IF($BD331&lt;&gt;Constants!$B$6,"",IF($AB331,$AD331,""))</f>
        <v/>
      </c>
      <c r="AT331" s="132" t="str">
        <f aca="false">IF($BD331&lt;&gt;Constants!$B$6,"",$AO331)</f>
        <v/>
      </c>
      <c r="AU331" s="127" t="str">
        <f aca="false">IF($BD331&lt;&gt;Constants!$B$6,"",IF(OR($BA331&lt;$AR331,AND($BA331=$AR331,OR(AND(ISNUMBER($BB331),OR(NOT(ISNUMBER($AS331)),$BB331&lt;$AS331)),AND(OR(AND($BB331="",$AS331=""),AND(ISNUMBER($BB331),ISNUMBER($AS331),$BB331=$AS331)),$BC331&lt;$AT331)))),"-&gt;","&lt;-"))</f>
        <v/>
      </c>
      <c r="AV331" s="126" t="str">
        <f aca="false">IF(ISBLANK($C331),"",AND($AH331,OR($AI331="",$AJ331="",AND(NOT(ISBLANK($S331)),$AK331=""))))</f>
        <v/>
      </c>
      <c r="AW331" s="129" t="str">
        <f aca="false">IF($BD331&lt;&gt;Constants!$B$6,"",IF($AH331,Constants!$B$17*$AJ331,Constants!$B$18))</f>
        <v/>
      </c>
      <c r="AX331" s="130" t="str">
        <f aca="false">IF($BD331&lt;&gt;Constants!$B$6,"",Constants!$B$19*IF($AH331,$AI331,0))</f>
        <v/>
      </c>
      <c r="AY331" s="130" t="str">
        <f aca="false">IF($BD331&lt;&gt;Constants!$B$6,"",IF(AND($AH331,ISNUMBER($AK331)),Constants!$B$20*(Constants!$B$21-$AK331),0))</f>
        <v/>
      </c>
      <c r="AZ331" s="130" t="str">
        <f aca="false">IF($BD331&lt;&gt;Constants!$B$6,"",IF($AG331,0,Constants!$B$12)+IF($AF331,0,Constants!$B$13)+IF($Y331,0,Constants!$B$14))</f>
        <v/>
      </c>
      <c r="BA331" s="131" t="str">
        <f aca="false">IF($BD331&lt;&gt;Constants!$B$6,"",Constants!$B$16+SUM($AW331:$AZ331))</f>
        <v/>
      </c>
      <c r="BB331" s="130" t="str">
        <f aca="false">IF($BD331&lt;&gt;Constants!$B$6,"",IF($AH331,$AJ331,""))</f>
        <v/>
      </c>
      <c r="BC331" s="132" t="str">
        <f aca="false">IF($BD331&lt;&gt;Constants!$B$6,"",$AX331)</f>
        <v/>
      </c>
      <c r="BD331" s="127" t="str">
        <f aca="false">IF(ISBLANK($C331),"",IF($AL331,Constants!$B$9,IF(COUNTA($E331:$T331)=0,Constants!$B$8,IF(NOT($X331),Constants!$B$7,IF(OR($AM331,$AV331),Constants!$B$10,Constants!$B$6)))))</f>
        <v/>
      </c>
      <c r="BE331" s="127" t="str">
        <f aca="false">IF(ISBLANK($C331),"",IF($BD331&lt;&gt;Constants!$B$6,$BD331,Constants!$B$11))</f>
        <v/>
      </c>
      <c r="BF331" s="130" t="str">
        <f aca="false">IF($BD331&lt;&gt;Constants!$B$6,"",IF($AU331="-&gt;",$BA331,$AR331))</f>
        <v/>
      </c>
      <c r="BG331" s="130" t="str">
        <f aca="false">IF($BD331&lt;&gt;Constants!$B$6,"",IF($W331,0,Constants!$B$15))</f>
        <v/>
      </c>
      <c r="BH331" s="130" t="str">
        <f aca="false">IF(ISBLANK($C331),"",IF($BD331&lt;&gt;Constants!$B$6,$BD331,SUM($BF331:$BG331)))</f>
        <v/>
      </c>
      <c r="BI331" s="127" t="str">
        <f aca="false">IF(ISBLANK($C331),"",IF($BD331&lt;&gt;Constants!$B$6,$BD331,RANK($BH331,$BH$9:$BH$508,1)))</f>
        <v/>
      </c>
      <c r="BJ331" s="130" t="str">
        <f aca="false">IF($BD331&lt;&gt;Constants!$B$6,"",IF($AU331="-&gt;",$BB331,$AS331))</f>
        <v/>
      </c>
      <c r="BK331" s="127" t="str">
        <f aca="false">IF(ISBLANK($C331),"",IF($BD331&lt;&gt;Constants!$B$6,$BD331,IF(ISNUMBER($BJ331),RANK($BJ331,$BJ$9:$BJ$508,1),COUNT($BJ$9:$BJ$508)+1)))</f>
        <v/>
      </c>
      <c r="BL331" s="130" t="str">
        <f aca="false">IF($BD331&lt;&gt;Constants!$B$6,"",IF($AU331="-&gt;",$BC331,$AT331))</f>
        <v/>
      </c>
      <c r="BM331" s="127" t="str">
        <f aca="false">IF(ISBLANK($C331),"",IF($BD331&lt;&gt;Constants!$B$6,$BD331,IF(ISNUMBER($BL331),RANK($BL331,$BL$9:$BL$508,1),COUNT($BL$9:$BL$508)+1)))</f>
        <v/>
      </c>
      <c r="BN331" s="130" t="str">
        <f aca="false">IF($BD331&lt;&gt;Constants!$B$6,"",IF($AU331="-&gt;",$AS331,$BB331))</f>
        <v/>
      </c>
      <c r="BO331" s="127" t="str">
        <f aca="false">IF(ISBLANK($C331),"",IF($BD331&lt;&gt;Constants!$B$6,$BD331,IF(ISNUMBER($BN331),RANK($BN331,$BN$9:$BN$508,1),COUNT($BN$9:$BN$508)+1)))</f>
        <v/>
      </c>
      <c r="BP331" s="130" t="str">
        <f aca="false">IF($BD331&lt;&gt;Constants!$B$6,"",IF($AU331="-&gt;",$AT331,$BC331))</f>
        <v/>
      </c>
      <c r="BQ331" s="127" t="str">
        <f aca="false">IF(ISBLANK($C331),"",IF($BD331&lt;&gt;Constants!$B$6,$BD331,IF(ISNUMBER($BP331),RANK($BP331,$BP$9:$BP$508,1),COUNT($BP$9:$BP$508)+1)))</f>
        <v/>
      </c>
      <c r="BR331" s="127" t="str">
        <f aca="false">IF(ISBLANK($C331),"",IF($BD331&lt;&gt;Constants!$B$6,$BD331,COUNTIFS($BI$9:$BI$508,"&lt;"&amp;$BI331)+COUNTIFS($BI$9:$BI$508,$BI331,$BK$9:$BK$508,"&lt;"&amp;$BK331)+COUNTIFS($BI$9:$BI$508,$BI331,$BK$9:$BK$508,$BK331,$BM$9:$BM$508,"&lt;"&amp;$BM331)+COUNTIFS($BI$9:$BI$508,$BI331,$BK$9:$BK$508,$BK331,$BM$9:$BM$508,$BM331,$BO$9:$BO$508,"&lt;"&amp;$BO331)+COUNTIFS($BI$9:$BI$508,$BI331,$BK$9:$BK$508,$BK331,$BM$9:$BM$508,$BM331,$BO$9:$BO$508,$BO331,$BQ$9:$BQ$508,"&lt;"&amp;$BQ331)+1))</f>
        <v/>
      </c>
      <c r="BS331" s="127" t="str">
        <f aca="false">IF(ISBLANK($C331),"",IF($BD331&lt;&gt;Constants!$B$6,$BD331,$BI331-$BR331))</f>
        <v/>
      </c>
      <c r="BT331" s="133"/>
      <c r="BU331" s="134"/>
      <c r="BV331" s="134" t="str">
        <f aca="false">IF(ISBLANK($C331),"",IF($BD331&lt;&gt;Constants!$B$6,"",IF($AU331="-&gt;",2,1)))</f>
        <v/>
      </c>
      <c r="BW331" s="135" t="str">
        <f aca="false">IF(ISBLANK($C331),"",IF($BD331&lt;&gt;Constants!$B$6,"",IF($AU331="-&gt;",$AW331,$AN331)))</f>
        <v/>
      </c>
      <c r="BX331" s="135" t="str">
        <f aca="false">IF(ISBLANK($C331),"",IF($BD331&lt;&gt;Constants!$B$6,"",IF($AU331="-&gt;",$AX331,$AO331)))</f>
        <v/>
      </c>
      <c r="BY331" s="135" t="str">
        <f aca="false">IF(ISBLANK($C331),"",IF($BD331&lt;&gt;Constants!$B$6,"",IF($AU331="-&gt;",$AY331,$AP331)))</f>
        <v/>
      </c>
      <c r="BZ331" s="135" t="str">
        <f aca="false">IF(ISBLANK($C331),"",IF($BD331&lt;&gt;Constants!$B$6,"",IF($AU331="-&gt;",$AZ331,$AQ331)+$BG331))</f>
        <v/>
      </c>
      <c r="CA331" s="136" t="str">
        <f aca="false">IF(ISBLANK($C331),"",IF($BD331&lt;&gt;Constants!$B$6,$BD331,$BH331))</f>
        <v/>
      </c>
      <c r="CB331" s="137" t="str">
        <f aca="false">IF(ISBLANK($C331),"",$BE331)</f>
        <v/>
      </c>
      <c r="CC331" s="138" t="str">
        <f aca="false">IF(ISBLANK($C331),"",$BS331)</f>
        <v/>
      </c>
      <c r="CD331" s="138" t="str">
        <f aca="false">IF(ISBLANK($C331),"",$BR331)</f>
        <v/>
      </c>
      <c r="CE331" s="139" t="str">
        <f aca="false">IF(ISBLANK($C331),"",IF($CD331=Constants!$B$9,COUNTA($C$9:$C$508)+2,IF($CD331=Constants!$B$8,COUNTA($C$9:$C$508)+1,IF($CD331=Constants!$B$7,COUNTA($C$9:$C$508),$CD331))))</f>
        <v/>
      </c>
      <c r="CF331" s="9"/>
      <c r="CG331" s="140" t="n">
        <f aca="false">IF(OR(ISNUMBER($CD331),$CD331=Constants!$B$9,$CD331=Constants!$B$7,$CD331=Constants!$B$8),1,0)</f>
        <v>0</v>
      </c>
      <c r="CH331" s="140" t="n">
        <v>323</v>
      </c>
      <c r="CI331" s="140" t="str">
        <f aca="false">IF(ISBLANK($C331),"",IF(ISNUMBER($CE331),$CE331+ROW($B331)/1000,""))</f>
        <v/>
      </c>
      <c r="CJ331" s="140" t="str">
        <f aca="false">IF(ISNUMBER($CI331),RANK($CI331,$CI$9:$CI$508,1),"")</f>
        <v/>
      </c>
      <c r="CK331" s="140" t="str">
        <f aca="false">IF(ISBLANK($C331),"",$B331)</f>
        <v/>
      </c>
      <c r="CL331" s="140" t="str">
        <f aca="false">IF(ISBLANK($C331),"",$C331)</f>
        <v/>
      </c>
      <c r="CM331" s="140" t="str">
        <f aca="false">IF(ISBLANK($C331),"",$D331)</f>
        <v/>
      </c>
      <c r="CN331" s="141" t="str">
        <f aca="false">$CB331</f>
        <v/>
      </c>
      <c r="CO331" s="142" t="str">
        <f aca="false">$CA331</f>
        <v/>
      </c>
      <c r="CP331" s="140" t="str">
        <f aca="false">IF(ISBLANK($C331),"",$CD331)</f>
        <v/>
      </c>
      <c r="CQ331" s="143" t="str">
        <f aca="false">IF($CH331&gt;$CG$8,"",VLOOKUP($CH331,$CJ$9:$CP$508,7,FALSE()))</f>
        <v/>
      </c>
      <c r="CR331" s="144" t="str">
        <f aca="false">IF($CH331&gt;$CG$8,"",VLOOKUP($CH331,$CJ$9:$CP$508,2,FALSE()))</f>
        <v/>
      </c>
      <c r="CS331" s="144" t="str">
        <f aca="false">IF($CH331&gt;$CG$8,"",VLOOKUP($CH331,$CJ$9:$CP$508,3,FALSE()))</f>
        <v/>
      </c>
      <c r="CT331" s="144" t="str">
        <f aca="false">IF($CH331&gt;$CG$8,"",VLOOKUP($CH331,$CJ$9:$CP$508,4,FALSE()))</f>
        <v/>
      </c>
      <c r="CU331" s="144" t="str">
        <f aca="false">IF($CH331&gt;$CG$8,"",VLOOKUP($CH331,$CJ$9:$CP$508,5,FALSE()))</f>
        <v/>
      </c>
      <c r="CV331" s="145" t="str">
        <f aca="false">IF($CH331&gt;$CG$8,"",VLOOKUP($CH331,$CJ$9:$CP$508,6,FALSE()))</f>
        <v/>
      </c>
      <c r="CW331" s="71"/>
    </row>
    <row r="332" customFormat="false" ht="15.75" hidden="false" customHeight="false" outlineLevel="0" collapsed="false">
      <c r="A332" s="9"/>
      <c r="B332" s="150"/>
      <c r="C332" s="151"/>
      <c r="D332" s="152"/>
      <c r="E332" s="170"/>
      <c r="F332" s="154"/>
      <c r="G332" s="155"/>
      <c r="H332" s="171"/>
      <c r="I332" s="159"/>
      <c r="J332" s="120"/>
      <c r="K332" s="121"/>
      <c r="L332" s="122"/>
      <c r="M332" s="158"/>
      <c r="N332" s="159"/>
      <c r="O332" s="159"/>
      <c r="P332" s="120"/>
      <c r="Q332" s="122"/>
      <c r="R332" s="122"/>
      <c r="S332" s="158"/>
      <c r="T332" s="159"/>
      <c r="U332" s="126"/>
      <c r="V332" s="127"/>
      <c r="W332" s="127" t="str">
        <f aca="false">IF(ISBLANK($C332),"",IF(E332=Constants!$B$2,TRUE(),IF(E332=Constants!$B$3,FALSE(),TRUE())))</f>
        <v/>
      </c>
      <c r="X332" s="127" t="str">
        <f aca="false">IF(ISBLANK($C332),"",IF(F332=Constants!$B$2,TRUE(),IF(F332=Constants!$B$3,FALSE(),TRUE())))</f>
        <v/>
      </c>
      <c r="Y332" s="127" t="str">
        <f aca="false">IF(ISBLANK($C332),"",IF(G332=Constants!$B$2,TRUE(),IF(G332=Constants!$B$3,FALSE(),TRUE())))</f>
        <v/>
      </c>
      <c r="Z332" s="127" t="str">
        <f aca="false">IF(ISBLANK($C332),"",IF(H332=Constants!$B$2,TRUE(),IF(H332=Constants!$B$3,FALSE(),TRUE())))</f>
        <v/>
      </c>
      <c r="AA332" s="127" t="str">
        <f aca="false">IF(ISBLANK($C332),"",IF(I332=Constants!$B$2,TRUE(),IF(I332=Constants!$B$3,FALSE(),TRUE())))</f>
        <v/>
      </c>
      <c r="AB332" s="127" t="str">
        <f aca="false">IF(ISBLANK($C332),"",IF(J332=Constants!$B$4,TRUE(),IF(J332=Constants!$B$5,FALSE(),COUNTA(K332:M332)&gt;0)))</f>
        <v/>
      </c>
      <c r="AC332" s="128" t="str">
        <f aca="false">IF(ISBLANK($C332),"",IF(ISNUMBER(K332),IF(K332&gt;=0,K332,""),""))</f>
        <v/>
      </c>
      <c r="AD332" s="129" t="str">
        <f aca="false">IF(ISBLANK($C332),"",IF(ISNUMBER(L332),IF(L332&gt;=0,L332,""),""))</f>
        <v/>
      </c>
      <c r="AE332" s="127" t="str">
        <f aca="false">IF(ISBLANK($C332),"",IF(ISNUMBER(M332),IF(M332&gt;=0,MIN(M332,Constants!$B$22),""),""))</f>
        <v/>
      </c>
      <c r="AF332" s="127" t="str">
        <f aca="false">IF(ISBLANK($C332),"",IF(N332=Constants!$B$2,TRUE(),IF(N332=Constants!$B$3,FALSE(),TRUE())))</f>
        <v/>
      </c>
      <c r="AG332" s="127" t="str">
        <f aca="false">IF(ISBLANK($C332),"",IF(O332=Constants!$B$2,TRUE(),IF(O332=Constants!$B$3,FALSE(),TRUE())))</f>
        <v/>
      </c>
      <c r="AH332" s="127" t="str">
        <f aca="false">IF(ISBLANK($C332),"",IF(P332=Constants!$B$4,TRUE(),IF(P332=Constants!$B$5,FALSE(),COUNTA(Q332:S332)&gt;0)))</f>
        <v/>
      </c>
      <c r="AI332" s="128" t="str">
        <f aca="false">IF(ISBLANK($C332),"",IF(ISNUMBER(Q332),IF(Q332&gt;=0,Q332,""),""))</f>
        <v/>
      </c>
      <c r="AJ332" s="129" t="str">
        <f aca="false">IF(ISBLANK($C332),"",IF(ISNUMBER(R332),IF(R332&gt;=0,R332,""),""))</f>
        <v/>
      </c>
      <c r="AK332" s="127" t="str">
        <f aca="false">IF(ISBLANK($C332),"",IF(ISNUMBER(S332),IF(S332&gt;=0,MIN(S332,Constants!$B$22),""),""))</f>
        <v/>
      </c>
      <c r="AL332" s="127" t="str">
        <f aca="false">IF(ISBLANK($C332),"",IF(T332=Constants!$B$2,TRUE(),IF(T332=Constants!$B$3,FALSE(),FALSE())))</f>
        <v/>
      </c>
      <c r="AM332" s="126" t="str">
        <f aca="false">IF(ISBLANK($C332),"",AND($AB332,OR($AC332="",$AD332="",AND(NOT(ISBLANK($M332)),$AE332=""))))</f>
        <v/>
      </c>
      <c r="AN332" s="129" t="str">
        <f aca="false">IF($BD332&lt;&gt;Constants!$B$6,"",IF($AB332,Constants!$B$17*$AD332,Constants!$B$18))</f>
        <v/>
      </c>
      <c r="AO332" s="130" t="str">
        <f aca="false">IF($BD332&lt;&gt;Constants!$B$6,"",Constants!$B$19*IF($AB332,$AC332,0))</f>
        <v/>
      </c>
      <c r="AP332" s="130" t="str">
        <f aca="false">IF($BD332&lt;&gt;Constants!$B$6,"",IF(AND($AB332,ISNUMBER($AE332)),Constants!$B$20*(Constants!$B$21-$AE332),0))</f>
        <v/>
      </c>
      <c r="AQ332" s="130" t="str">
        <f aca="false">IF($BD332&lt;&gt;Constants!$B$6,"",IF($AA332,0,Constants!$B$12)+IF($Z332,0,Constants!$B$13)+IF($Y332,0,Constants!$B$14))</f>
        <v/>
      </c>
      <c r="AR332" s="131" t="str">
        <f aca="false">IF($BD332&lt;&gt;Constants!$B$6,"",Constants!$B$16+SUM($AN332:$AQ332))</f>
        <v/>
      </c>
      <c r="AS332" s="130" t="str">
        <f aca="false">IF($BD332&lt;&gt;Constants!$B$6,"",IF($AB332,$AD332,""))</f>
        <v/>
      </c>
      <c r="AT332" s="132" t="str">
        <f aca="false">IF($BD332&lt;&gt;Constants!$B$6,"",$AO332)</f>
        <v/>
      </c>
      <c r="AU332" s="127" t="str">
        <f aca="false">IF($BD332&lt;&gt;Constants!$B$6,"",IF(OR($BA332&lt;$AR332,AND($BA332=$AR332,OR(AND(ISNUMBER($BB332),OR(NOT(ISNUMBER($AS332)),$BB332&lt;$AS332)),AND(OR(AND($BB332="",$AS332=""),AND(ISNUMBER($BB332),ISNUMBER($AS332),$BB332=$AS332)),$BC332&lt;$AT332)))),"-&gt;","&lt;-"))</f>
        <v/>
      </c>
      <c r="AV332" s="126" t="str">
        <f aca="false">IF(ISBLANK($C332),"",AND($AH332,OR($AI332="",$AJ332="",AND(NOT(ISBLANK($S332)),$AK332=""))))</f>
        <v/>
      </c>
      <c r="AW332" s="129" t="str">
        <f aca="false">IF($BD332&lt;&gt;Constants!$B$6,"",IF($AH332,Constants!$B$17*$AJ332,Constants!$B$18))</f>
        <v/>
      </c>
      <c r="AX332" s="130" t="str">
        <f aca="false">IF($BD332&lt;&gt;Constants!$B$6,"",Constants!$B$19*IF($AH332,$AI332,0))</f>
        <v/>
      </c>
      <c r="AY332" s="130" t="str">
        <f aca="false">IF($BD332&lt;&gt;Constants!$B$6,"",IF(AND($AH332,ISNUMBER($AK332)),Constants!$B$20*(Constants!$B$21-$AK332),0))</f>
        <v/>
      </c>
      <c r="AZ332" s="130" t="str">
        <f aca="false">IF($BD332&lt;&gt;Constants!$B$6,"",IF($AG332,0,Constants!$B$12)+IF($AF332,0,Constants!$B$13)+IF($Y332,0,Constants!$B$14))</f>
        <v/>
      </c>
      <c r="BA332" s="131" t="str">
        <f aca="false">IF($BD332&lt;&gt;Constants!$B$6,"",Constants!$B$16+SUM($AW332:$AZ332))</f>
        <v/>
      </c>
      <c r="BB332" s="130" t="str">
        <f aca="false">IF($BD332&lt;&gt;Constants!$B$6,"",IF($AH332,$AJ332,""))</f>
        <v/>
      </c>
      <c r="BC332" s="132" t="str">
        <f aca="false">IF($BD332&lt;&gt;Constants!$B$6,"",$AX332)</f>
        <v/>
      </c>
      <c r="BD332" s="127" t="str">
        <f aca="false">IF(ISBLANK($C332),"",IF($AL332,Constants!$B$9,IF(COUNTA($E332:$T332)=0,Constants!$B$8,IF(NOT($X332),Constants!$B$7,IF(OR($AM332,$AV332),Constants!$B$10,Constants!$B$6)))))</f>
        <v/>
      </c>
      <c r="BE332" s="127" t="str">
        <f aca="false">IF(ISBLANK($C332),"",IF($BD332&lt;&gt;Constants!$B$6,$BD332,Constants!$B$11))</f>
        <v/>
      </c>
      <c r="BF332" s="130" t="str">
        <f aca="false">IF($BD332&lt;&gt;Constants!$B$6,"",IF($AU332="-&gt;",$BA332,$AR332))</f>
        <v/>
      </c>
      <c r="BG332" s="130" t="str">
        <f aca="false">IF($BD332&lt;&gt;Constants!$B$6,"",IF($W332,0,Constants!$B$15))</f>
        <v/>
      </c>
      <c r="BH332" s="130" t="str">
        <f aca="false">IF(ISBLANK($C332),"",IF($BD332&lt;&gt;Constants!$B$6,$BD332,SUM($BF332:$BG332)))</f>
        <v/>
      </c>
      <c r="BI332" s="127" t="str">
        <f aca="false">IF(ISBLANK($C332),"",IF($BD332&lt;&gt;Constants!$B$6,$BD332,RANK($BH332,$BH$9:$BH$508,1)))</f>
        <v/>
      </c>
      <c r="BJ332" s="130" t="str">
        <f aca="false">IF($BD332&lt;&gt;Constants!$B$6,"",IF($AU332="-&gt;",$BB332,$AS332))</f>
        <v/>
      </c>
      <c r="BK332" s="127" t="str">
        <f aca="false">IF(ISBLANK($C332),"",IF($BD332&lt;&gt;Constants!$B$6,$BD332,IF(ISNUMBER($BJ332),RANK($BJ332,$BJ$9:$BJ$508,1),COUNT($BJ$9:$BJ$508)+1)))</f>
        <v/>
      </c>
      <c r="BL332" s="130" t="str">
        <f aca="false">IF($BD332&lt;&gt;Constants!$B$6,"",IF($AU332="-&gt;",$BC332,$AT332))</f>
        <v/>
      </c>
      <c r="BM332" s="127" t="str">
        <f aca="false">IF(ISBLANK($C332),"",IF($BD332&lt;&gt;Constants!$B$6,$BD332,IF(ISNUMBER($BL332),RANK($BL332,$BL$9:$BL$508,1),COUNT($BL$9:$BL$508)+1)))</f>
        <v/>
      </c>
      <c r="BN332" s="130" t="str">
        <f aca="false">IF($BD332&lt;&gt;Constants!$B$6,"",IF($AU332="-&gt;",$AS332,$BB332))</f>
        <v/>
      </c>
      <c r="BO332" s="127" t="str">
        <f aca="false">IF(ISBLANK($C332),"",IF($BD332&lt;&gt;Constants!$B$6,$BD332,IF(ISNUMBER($BN332),RANK($BN332,$BN$9:$BN$508,1),COUNT($BN$9:$BN$508)+1)))</f>
        <v/>
      </c>
      <c r="BP332" s="130" t="str">
        <f aca="false">IF($BD332&lt;&gt;Constants!$B$6,"",IF($AU332="-&gt;",$AT332,$BC332))</f>
        <v/>
      </c>
      <c r="BQ332" s="127" t="str">
        <f aca="false">IF(ISBLANK($C332),"",IF($BD332&lt;&gt;Constants!$B$6,$BD332,IF(ISNUMBER($BP332),RANK($BP332,$BP$9:$BP$508,1),COUNT($BP$9:$BP$508)+1)))</f>
        <v/>
      </c>
      <c r="BR332" s="127" t="str">
        <f aca="false">IF(ISBLANK($C332),"",IF($BD332&lt;&gt;Constants!$B$6,$BD332,COUNTIFS($BI$9:$BI$508,"&lt;"&amp;$BI332)+COUNTIFS($BI$9:$BI$508,$BI332,$BK$9:$BK$508,"&lt;"&amp;$BK332)+COUNTIFS($BI$9:$BI$508,$BI332,$BK$9:$BK$508,$BK332,$BM$9:$BM$508,"&lt;"&amp;$BM332)+COUNTIFS($BI$9:$BI$508,$BI332,$BK$9:$BK$508,$BK332,$BM$9:$BM$508,$BM332,$BO$9:$BO$508,"&lt;"&amp;$BO332)+COUNTIFS($BI$9:$BI$508,$BI332,$BK$9:$BK$508,$BK332,$BM$9:$BM$508,$BM332,$BO$9:$BO$508,$BO332,$BQ$9:$BQ$508,"&lt;"&amp;$BQ332)+1))</f>
        <v/>
      </c>
      <c r="BS332" s="127" t="str">
        <f aca="false">IF(ISBLANK($C332),"",IF($BD332&lt;&gt;Constants!$B$6,$BD332,$BI332-$BR332))</f>
        <v/>
      </c>
      <c r="BT332" s="133"/>
      <c r="BU332" s="134"/>
      <c r="BV332" s="134" t="str">
        <f aca="false">IF(ISBLANK($C332),"",IF($BD332&lt;&gt;Constants!$B$6,"",IF($AU332="-&gt;",2,1)))</f>
        <v/>
      </c>
      <c r="BW332" s="135" t="str">
        <f aca="false">IF(ISBLANK($C332),"",IF($BD332&lt;&gt;Constants!$B$6,"",IF($AU332="-&gt;",$AW332,$AN332)))</f>
        <v/>
      </c>
      <c r="BX332" s="135" t="str">
        <f aca="false">IF(ISBLANK($C332),"",IF($BD332&lt;&gt;Constants!$B$6,"",IF($AU332="-&gt;",$AX332,$AO332)))</f>
        <v/>
      </c>
      <c r="BY332" s="135" t="str">
        <f aca="false">IF(ISBLANK($C332),"",IF($BD332&lt;&gt;Constants!$B$6,"",IF($AU332="-&gt;",$AY332,$AP332)))</f>
        <v/>
      </c>
      <c r="BZ332" s="135" t="str">
        <f aca="false">IF(ISBLANK($C332),"",IF($BD332&lt;&gt;Constants!$B$6,"",IF($AU332="-&gt;",$AZ332,$AQ332)+$BG332))</f>
        <v/>
      </c>
      <c r="CA332" s="136" t="str">
        <f aca="false">IF(ISBLANK($C332),"",IF($BD332&lt;&gt;Constants!$B$6,$BD332,$BH332))</f>
        <v/>
      </c>
      <c r="CB332" s="137" t="str">
        <f aca="false">IF(ISBLANK($C332),"",$BE332)</f>
        <v/>
      </c>
      <c r="CC332" s="138" t="str">
        <f aca="false">IF(ISBLANK($C332),"",$BS332)</f>
        <v/>
      </c>
      <c r="CD332" s="138" t="str">
        <f aca="false">IF(ISBLANK($C332),"",$BR332)</f>
        <v/>
      </c>
      <c r="CE332" s="139" t="str">
        <f aca="false">IF(ISBLANK($C332),"",IF($CD332=Constants!$B$9,COUNTA($C$9:$C$508)+2,IF($CD332=Constants!$B$8,COUNTA($C$9:$C$508)+1,IF($CD332=Constants!$B$7,COUNTA($C$9:$C$508),$CD332))))</f>
        <v/>
      </c>
      <c r="CF332" s="9"/>
      <c r="CG332" s="140" t="n">
        <f aca="false">IF(OR(ISNUMBER($CD332),$CD332=Constants!$B$9,$CD332=Constants!$B$7,$CD332=Constants!$B$8),1,0)</f>
        <v>0</v>
      </c>
      <c r="CH332" s="140" t="n">
        <v>324</v>
      </c>
      <c r="CI332" s="140" t="str">
        <f aca="false">IF(ISBLANK($C332),"",IF(ISNUMBER($CE332),$CE332+ROW($B332)/1000,""))</f>
        <v/>
      </c>
      <c r="CJ332" s="140" t="str">
        <f aca="false">IF(ISNUMBER($CI332),RANK($CI332,$CI$9:$CI$508,1),"")</f>
        <v/>
      </c>
      <c r="CK332" s="140" t="str">
        <f aca="false">IF(ISBLANK($C332),"",$B332)</f>
        <v/>
      </c>
      <c r="CL332" s="140" t="str">
        <f aca="false">IF(ISBLANK($C332),"",$C332)</f>
        <v/>
      </c>
      <c r="CM332" s="140" t="str">
        <f aca="false">IF(ISBLANK($C332),"",$D332)</f>
        <v/>
      </c>
      <c r="CN332" s="141" t="str">
        <f aca="false">$CB332</f>
        <v/>
      </c>
      <c r="CO332" s="142" t="str">
        <f aca="false">$CA332</f>
        <v/>
      </c>
      <c r="CP332" s="140" t="str">
        <f aca="false">IF(ISBLANK($C332),"",$CD332)</f>
        <v/>
      </c>
      <c r="CQ332" s="143" t="str">
        <f aca="false">IF($CH332&gt;$CG$8,"",VLOOKUP($CH332,$CJ$9:$CP$508,7,FALSE()))</f>
        <v/>
      </c>
      <c r="CR332" s="144" t="str">
        <f aca="false">IF($CH332&gt;$CG$8,"",VLOOKUP($CH332,$CJ$9:$CP$508,2,FALSE()))</f>
        <v/>
      </c>
      <c r="CS332" s="144" t="str">
        <f aca="false">IF($CH332&gt;$CG$8,"",VLOOKUP($CH332,$CJ$9:$CP$508,3,FALSE()))</f>
        <v/>
      </c>
      <c r="CT332" s="144" t="str">
        <f aca="false">IF($CH332&gt;$CG$8,"",VLOOKUP($CH332,$CJ$9:$CP$508,4,FALSE()))</f>
        <v/>
      </c>
      <c r="CU332" s="144" t="str">
        <f aca="false">IF($CH332&gt;$CG$8,"",VLOOKUP($CH332,$CJ$9:$CP$508,5,FALSE()))</f>
        <v/>
      </c>
      <c r="CV332" s="145" t="str">
        <f aca="false">IF($CH332&gt;$CG$8,"",VLOOKUP($CH332,$CJ$9:$CP$508,6,FALSE()))</f>
        <v/>
      </c>
      <c r="CW332" s="71"/>
    </row>
    <row r="333" customFormat="false" ht="15.75" hidden="false" customHeight="false" outlineLevel="0" collapsed="false">
      <c r="A333" s="9"/>
      <c r="B333" s="72"/>
      <c r="C333" s="73"/>
      <c r="D333" s="160"/>
      <c r="E333" s="168"/>
      <c r="F333" s="162"/>
      <c r="G333" s="163"/>
      <c r="H333" s="169"/>
      <c r="I333" s="167"/>
      <c r="J333" s="80"/>
      <c r="K333" s="81"/>
      <c r="L333" s="82"/>
      <c r="M333" s="166"/>
      <c r="N333" s="167"/>
      <c r="O333" s="167"/>
      <c r="P333" s="80"/>
      <c r="Q333" s="82"/>
      <c r="R333" s="82"/>
      <c r="S333" s="166"/>
      <c r="T333" s="167"/>
      <c r="U333" s="86"/>
      <c r="V333" s="87"/>
      <c r="W333" s="87" t="str">
        <f aca="false">IF(ISBLANK($C333),"",IF(E333=Constants!$B$2,TRUE(),IF(E333=Constants!$B$3,FALSE(),TRUE())))</f>
        <v/>
      </c>
      <c r="X333" s="87" t="str">
        <f aca="false">IF(ISBLANK($C333),"",IF(F333=Constants!$B$2,TRUE(),IF(F333=Constants!$B$3,FALSE(),TRUE())))</f>
        <v/>
      </c>
      <c r="Y333" s="87" t="str">
        <f aca="false">IF(ISBLANK($C333),"",IF(G333=Constants!$B$2,TRUE(),IF(G333=Constants!$B$3,FALSE(),TRUE())))</f>
        <v/>
      </c>
      <c r="Z333" s="87" t="str">
        <f aca="false">IF(ISBLANK($C333),"",IF(H333=Constants!$B$2,TRUE(),IF(H333=Constants!$B$3,FALSE(),TRUE())))</f>
        <v/>
      </c>
      <c r="AA333" s="87" t="str">
        <f aca="false">IF(ISBLANK($C333),"",IF(I333=Constants!$B$2,TRUE(),IF(I333=Constants!$B$3,FALSE(),TRUE())))</f>
        <v/>
      </c>
      <c r="AB333" s="87" t="str">
        <f aca="false">IF(ISBLANK($C333),"",IF(J333=Constants!$B$4,TRUE(),IF(J333=Constants!$B$5,FALSE(),COUNTA(K333:M333)&gt;0)))</f>
        <v/>
      </c>
      <c r="AC333" s="88" t="str">
        <f aca="false">IF(ISBLANK($C333),"",IF(ISNUMBER(K333),IF(K333&gt;=0,K333,""),""))</f>
        <v/>
      </c>
      <c r="AD333" s="89" t="str">
        <f aca="false">IF(ISBLANK($C333),"",IF(ISNUMBER(L333),IF(L333&gt;=0,L333,""),""))</f>
        <v/>
      </c>
      <c r="AE333" s="87" t="str">
        <f aca="false">IF(ISBLANK($C333),"",IF(ISNUMBER(M333),IF(M333&gt;=0,MIN(M333,Constants!$B$22),""),""))</f>
        <v/>
      </c>
      <c r="AF333" s="87" t="str">
        <f aca="false">IF(ISBLANK($C333),"",IF(N333=Constants!$B$2,TRUE(),IF(N333=Constants!$B$3,FALSE(),TRUE())))</f>
        <v/>
      </c>
      <c r="AG333" s="87" t="str">
        <f aca="false">IF(ISBLANK($C333),"",IF(O333=Constants!$B$2,TRUE(),IF(O333=Constants!$B$3,FALSE(),TRUE())))</f>
        <v/>
      </c>
      <c r="AH333" s="87" t="str">
        <f aca="false">IF(ISBLANK($C333),"",IF(P333=Constants!$B$4,TRUE(),IF(P333=Constants!$B$5,FALSE(),COUNTA(Q333:S333)&gt;0)))</f>
        <v/>
      </c>
      <c r="AI333" s="88" t="str">
        <f aca="false">IF(ISBLANK($C333),"",IF(ISNUMBER(Q333),IF(Q333&gt;=0,Q333,""),""))</f>
        <v/>
      </c>
      <c r="AJ333" s="89" t="str">
        <f aca="false">IF(ISBLANK($C333),"",IF(ISNUMBER(R333),IF(R333&gt;=0,R333,""),""))</f>
        <v/>
      </c>
      <c r="AK333" s="87" t="str">
        <f aca="false">IF(ISBLANK($C333),"",IF(ISNUMBER(S333),IF(S333&gt;=0,MIN(S333,Constants!$B$22),""),""))</f>
        <v/>
      </c>
      <c r="AL333" s="87" t="str">
        <f aca="false">IF(ISBLANK($C333),"",IF(T333=Constants!$B$2,TRUE(),IF(T333=Constants!$B$3,FALSE(),FALSE())))</f>
        <v/>
      </c>
      <c r="AM333" s="86" t="str">
        <f aca="false">IF(ISBLANK($C333),"",AND($AB333,OR($AC333="",$AD333="",AND(NOT(ISBLANK($M333)),$AE333=""))))</f>
        <v/>
      </c>
      <c r="AN333" s="89" t="str">
        <f aca="false">IF($BD333&lt;&gt;Constants!$B$6,"",IF($AB333,Constants!$B$17*$AD333,Constants!$B$18))</f>
        <v/>
      </c>
      <c r="AO333" s="91" t="str">
        <f aca="false">IF($BD333&lt;&gt;Constants!$B$6,"",Constants!$B$19*IF($AB333,$AC333,0))</f>
        <v/>
      </c>
      <c r="AP333" s="91" t="str">
        <f aca="false">IF($BD333&lt;&gt;Constants!$B$6,"",IF(AND($AB333,ISNUMBER($AE333)),Constants!$B$20*(Constants!$B$21-$AE333),0))</f>
        <v/>
      </c>
      <c r="AQ333" s="91" t="str">
        <f aca="false">IF($BD333&lt;&gt;Constants!$B$6,"",IF($AA333,0,Constants!$B$12)+IF($Z333,0,Constants!$B$13)+IF($Y333,0,Constants!$B$14))</f>
        <v/>
      </c>
      <c r="AR333" s="92" t="str">
        <f aca="false">IF($BD333&lt;&gt;Constants!$B$6,"",Constants!$B$16+SUM($AN333:$AQ333))</f>
        <v/>
      </c>
      <c r="AS333" s="91" t="str">
        <f aca="false">IF($BD333&lt;&gt;Constants!$B$6,"",IF($AB333,$AD333,""))</f>
        <v/>
      </c>
      <c r="AT333" s="93" t="str">
        <f aca="false">IF($BD333&lt;&gt;Constants!$B$6,"",$AO333)</f>
        <v/>
      </c>
      <c r="AU333" s="87" t="str">
        <f aca="false">IF($BD333&lt;&gt;Constants!$B$6,"",IF(OR($BA333&lt;$AR333,AND($BA333=$AR333,OR(AND(ISNUMBER($BB333),OR(NOT(ISNUMBER($AS333)),$BB333&lt;$AS333)),AND(OR(AND($BB333="",$AS333=""),AND(ISNUMBER($BB333),ISNUMBER($AS333),$BB333=$AS333)),$BC333&lt;$AT333)))),"-&gt;","&lt;-"))</f>
        <v/>
      </c>
      <c r="AV333" s="86" t="str">
        <f aca="false">IF(ISBLANK($C333),"",AND($AH333,OR($AI333="",$AJ333="",AND(NOT(ISBLANK($S333)),$AK333=""))))</f>
        <v/>
      </c>
      <c r="AW333" s="89" t="str">
        <f aca="false">IF($BD333&lt;&gt;Constants!$B$6,"",IF($AH333,Constants!$B$17*$AJ333,Constants!$B$18))</f>
        <v/>
      </c>
      <c r="AX333" s="91" t="str">
        <f aca="false">IF($BD333&lt;&gt;Constants!$B$6,"",Constants!$B$19*IF($AH333,$AI333,0))</f>
        <v/>
      </c>
      <c r="AY333" s="91" t="str">
        <f aca="false">IF($BD333&lt;&gt;Constants!$B$6,"",IF(AND($AH333,ISNUMBER($AK333)),Constants!$B$20*(Constants!$B$21-$AK333),0))</f>
        <v/>
      </c>
      <c r="AZ333" s="91" t="str">
        <f aca="false">IF($BD333&lt;&gt;Constants!$B$6,"",IF($AG333,0,Constants!$B$12)+IF($AF333,0,Constants!$B$13)+IF($Y333,0,Constants!$B$14))</f>
        <v/>
      </c>
      <c r="BA333" s="92" t="str">
        <f aca="false">IF($BD333&lt;&gt;Constants!$B$6,"",Constants!$B$16+SUM($AW333:$AZ333))</f>
        <v/>
      </c>
      <c r="BB333" s="91" t="str">
        <f aca="false">IF($BD333&lt;&gt;Constants!$B$6,"",IF($AH333,$AJ333,""))</f>
        <v/>
      </c>
      <c r="BC333" s="93" t="str">
        <f aca="false">IF($BD333&lt;&gt;Constants!$B$6,"",$AX333)</f>
        <v/>
      </c>
      <c r="BD333" s="87" t="str">
        <f aca="false">IF(ISBLANK($C333),"",IF($AL333,Constants!$B$9,IF(COUNTA($E333:$T333)=0,Constants!$B$8,IF(NOT($X333),Constants!$B$7,IF(OR($AM333,$AV333),Constants!$B$10,Constants!$B$6)))))</f>
        <v/>
      </c>
      <c r="BE333" s="87" t="str">
        <f aca="false">IF(ISBLANK($C333),"",IF($BD333&lt;&gt;Constants!$B$6,$BD333,Constants!$B$11))</f>
        <v/>
      </c>
      <c r="BF333" s="91" t="str">
        <f aca="false">IF($BD333&lt;&gt;Constants!$B$6,"",IF($AU333="-&gt;",$BA333,$AR333))</f>
        <v/>
      </c>
      <c r="BG333" s="91" t="str">
        <f aca="false">IF($BD333&lt;&gt;Constants!$B$6,"",IF($W333,0,Constants!$B$15))</f>
        <v/>
      </c>
      <c r="BH333" s="91" t="str">
        <f aca="false">IF(ISBLANK($C333),"",IF($BD333&lt;&gt;Constants!$B$6,$BD333,SUM($BF333:$BG333)))</f>
        <v/>
      </c>
      <c r="BI333" s="87" t="str">
        <f aca="false">IF(ISBLANK($C333),"",IF($BD333&lt;&gt;Constants!$B$6,$BD333,RANK($BH333,$BH$9:$BH$508,1)))</f>
        <v/>
      </c>
      <c r="BJ333" s="91" t="str">
        <f aca="false">IF($BD333&lt;&gt;Constants!$B$6,"",IF($AU333="-&gt;",$BB333,$AS333))</f>
        <v/>
      </c>
      <c r="BK333" s="87" t="str">
        <f aca="false">IF(ISBLANK($C333),"",IF($BD333&lt;&gt;Constants!$B$6,$BD333,IF(ISNUMBER($BJ333),RANK($BJ333,$BJ$9:$BJ$508,1),COUNT($BJ$9:$BJ$508)+1)))</f>
        <v/>
      </c>
      <c r="BL333" s="91" t="str">
        <f aca="false">IF($BD333&lt;&gt;Constants!$B$6,"",IF($AU333="-&gt;",$BC333,$AT333))</f>
        <v/>
      </c>
      <c r="BM333" s="87" t="str">
        <f aca="false">IF(ISBLANK($C333),"",IF($BD333&lt;&gt;Constants!$B$6,$BD333,IF(ISNUMBER($BL333),RANK($BL333,$BL$9:$BL$508,1),COUNT($BL$9:$BL$508)+1)))</f>
        <v/>
      </c>
      <c r="BN333" s="91" t="str">
        <f aca="false">IF($BD333&lt;&gt;Constants!$B$6,"",IF($AU333="-&gt;",$AS333,$BB333))</f>
        <v/>
      </c>
      <c r="BO333" s="87" t="str">
        <f aca="false">IF(ISBLANK($C333),"",IF($BD333&lt;&gt;Constants!$B$6,$BD333,IF(ISNUMBER($BN333),RANK($BN333,$BN$9:$BN$508,1),COUNT($BN$9:$BN$508)+1)))</f>
        <v/>
      </c>
      <c r="BP333" s="91" t="str">
        <f aca="false">IF($BD333&lt;&gt;Constants!$B$6,"",IF($AU333="-&gt;",$AT333,$BC333))</f>
        <v/>
      </c>
      <c r="BQ333" s="87" t="str">
        <f aca="false">IF(ISBLANK($C333),"",IF($BD333&lt;&gt;Constants!$B$6,$BD333,IF(ISNUMBER($BP333),RANK($BP333,$BP$9:$BP$508,1),COUNT($BP$9:$BP$508)+1)))</f>
        <v/>
      </c>
      <c r="BR333" s="87" t="str">
        <f aca="false">IF(ISBLANK($C333),"",IF($BD333&lt;&gt;Constants!$B$6,$BD333,COUNTIFS($BI$9:$BI$508,"&lt;"&amp;$BI333)+COUNTIFS($BI$9:$BI$508,$BI333,$BK$9:$BK$508,"&lt;"&amp;$BK333)+COUNTIFS($BI$9:$BI$508,$BI333,$BK$9:$BK$508,$BK333,$BM$9:$BM$508,"&lt;"&amp;$BM333)+COUNTIFS($BI$9:$BI$508,$BI333,$BK$9:$BK$508,$BK333,$BM$9:$BM$508,$BM333,$BO$9:$BO$508,"&lt;"&amp;$BO333)+COUNTIFS($BI$9:$BI$508,$BI333,$BK$9:$BK$508,$BK333,$BM$9:$BM$508,$BM333,$BO$9:$BO$508,$BO333,$BQ$9:$BQ$508,"&lt;"&amp;$BQ333)+1))</f>
        <v/>
      </c>
      <c r="BS333" s="87" t="str">
        <f aca="false">IF(ISBLANK($C333),"",IF($BD333&lt;&gt;Constants!$B$6,$BD333,$BI333-$BR333))</f>
        <v/>
      </c>
      <c r="BT333" s="94"/>
      <c r="BU333" s="95"/>
      <c r="BV333" s="95" t="str">
        <f aca="false">IF(ISBLANK($C333),"",IF($BD333&lt;&gt;Constants!$B$6,"",IF($AU333="-&gt;",2,1)))</f>
        <v/>
      </c>
      <c r="BW333" s="96" t="str">
        <f aca="false">IF(ISBLANK($C333),"",IF($BD333&lt;&gt;Constants!$B$6,"",IF($AU333="-&gt;",$AW333,$AN333)))</f>
        <v/>
      </c>
      <c r="BX333" s="96" t="str">
        <f aca="false">IF(ISBLANK($C333),"",IF($BD333&lt;&gt;Constants!$B$6,"",IF($AU333="-&gt;",$AX333,$AO333)))</f>
        <v/>
      </c>
      <c r="BY333" s="96" t="str">
        <f aca="false">IF(ISBLANK($C333),"",IF($BD333&lt;&gt;Constants!$B$6,"",IF($AU333="-&gt;",$AY333,$AP333)))</f>
        <v/>
      </c>
      <c r="BZ333" s="96" t="str">
        <f aca="false">IF(ISBLANK($C333),"",IF($BD333&lt;&gt;Constants!$B$6,"",IF($AU333="-&gt;",$AZ333,$AQ333)+$BG333))</f>
        <v/>
      </c>
      <c r="CA333" s="97" t="str">
        <f aca="false">IF(ISBLANK($C333),"",IF($BD333&lt;&gt;Constants!$B$6,$BD333,$BH333))</f>
        <v/>
      </c>
      <c r="CB333" s="98" t="str">
        <f aca="false">IF(ISBLANK($C333),"",$BE333)</f>
        <v/>
      </c>
      <c r="CC333" s="99" t="str">
        <f aca="false">IF(ISBLANK($C333),"",$BS333)</f>
        <v/>
      </c>
      <c r="CD333" s="99" t="str">
        <f aca="false">IF(ISBLANK($C333),"",$BR333)</f>
        <v/>
      </c>
      <c r="CE333" s="100" t="str">
        <f aca="false">IF(ISBLANK($C333),"",IF($CD333=Constants!$B$9,COUNTA($C$9:$C$508)+2,IF($CD333=Constants!$B$8,COUNTA($C$9:$C$508)+1,IF($CD333=Constants!$B$7,COUNTA($C$9:$C$508),$CD333))))</f>
        <v/>
      </c>
      <c r="CF333" s="9"/>
      <c r="CG333" s="101" t="n">
        <f aca="false">IF(OR(ISNUMBER($CD333),$CD333=Constants!$B$9,$CD333=Constants!$B$7,$CD333=Constants!$B$8),1,0)</f>
        <v>0</v>
      </c>
      <c r="CH333" s="101" t="n">
        <v>325</v>
      </c>
      <c r="CI333" s="101" t="str">
        <f aca="false">IF(ISBLANK($C333),"",IF(ISNUMBER($CE333),$CE333+ROW($B333)/1000,""))</f>
        <v/>
      </c>
      <c r="CJ333" s="101" t="str">
        <f aca="false">IF(ISNUMBER($CI333),RANK($CI333,$CI$9:$CI$508,1),"")</f>
        <v/>
      </c>
      <c r="CK333" s="101" t="str">
        <f aca="false">IF(ISBLANK($C333),"",$B333)</f>
        <v/>
      </c>
      <c r="CL333" s="101" t="str">
        <f aca="false">IF(ISBLANK($C333),"",$C333)</f>
        <v/>
      </c>
      <c r="CM333" s="101" t="str">
        <f aca="false">IF(ISBLANK($C333),"",$D333)</f>
        <v/>
      </c>
      <c r="CN333" s="102" t="str">
        <f aca="false">$CB333</f>
        <v/>
      </c>
      <c r="CO333" s="103" t="str">
        <f aca="false">$CA333</f>
        <v/>
      </c>
      <c r="CP333" s="101" t="str">
        <f aca="false">IF(ISBLANK($C333),"",$CD333)</f>
        <v/>
      </c>
      <c r="CQ333" s="104" t="str">
        <f aca="false">IF($CH333&gt;$CG$8,"",VLOOKUP($CH333,$CJ$9:$CP$508,7,FALSE()))</f>
        <v/>
      </c>
      <c r="CR333" s="105" t="str">
        <f aca="false">IF($CH333&gt;$CG$8,"",VLOOKUP($CH333,$CJ$9:$CP$508,2,FALSE()))</f>
        <v/>
      </c>
      <c r="CS333" s="105" t="str">
        <f aca="false">IF($CH333&gt;$CG$8,"",VLOOKUP($CH333,$CJ$9:$CP$508,3,FALSE()))</f>
        <v/>
      </c>
      <c r="CT333" s="105" t="str">
        <f aca="false">IF($CH333&gt;$CG$8,"",VLOOKUP($CH333,$CJ$9:$CP$508,4,FALSE()))</f>
        <v/>
      </c>
      <c r="CU333" s="105" t="str">
        <f aca="false">IF($CH333&gt;$CG$8,"",VLOOKUP($CH333,$CJ$9:$CP$508,5,FALSE()))</f>
        <v/>
      </c>
      <c r="CV333" s="106" t="str">
        <f aca="false">IF($CH333&gt;$CG$8,"",VLOOKUP($CH333,$CJ$9:$CP$508,6,FALSE()))</f>
        <v/>
      </c>
      <c r="CW333" s="71"/>
    </row>
    <row r="334" customFormat="false" ht="15.75" hidden="false" customHeight="false" outlineLevel="0" collapsed="false">
      <c r="A334" s="9"/>
      <c r="B334" s="72"/>
      <c r="C334" s="73"/>
      <c r="D334" s="160"/>
      <c r="E334" s="168"/>
      <c r="F334" s="162"/>
      <c r="G334" s="163"/>
      <c r="H334" s="169"/>
      <c r="I334" s="167"/>
      <c r="J334" s="80"/>
      <c r="K334" s="81"/>
      <c r="L334" s="82"/>
      <c r="M334" s="166"/>
      <c r="N334" s="167"/>
      <c r="O334" s="167"/>
      <c r="P334" s="80"/>
      <c r="Q334" s="82"/>
      <c r="R334" s="82"/>
      <c r="S334" s="166"/>
      <c r="T334" s="167"/>
      <c r="U334" s="86"/>
      <c r="V334" s="87"/>
      <c r="W334" s="87" t="str">
        <f aca="false">IF(ISBLANK($C334),"",IF(E334=Constants!$B$2,TRUE(),IF(E334=Constants!$B$3,FALSE(),TRUE())))</f>
        <v/>
      </c>
      <c r="X334" s="87" t="str">
        <f aca="false">IF(ISBLANK($C334),"",IF(F334=Constants!$B$2,TRUE(),IF(F334=Constants!$B$3,FALSE(),TRUE())))</f>
        <v/>
      </c>
      <c r="Y334" s="87" t="str">
        <f aca="false">IF(ISBLANK($C334),"",IF(G334=Constants!$B$2,TRUE(),IF(G334=Constants!$B$3,FALSE(),TRUE())))</f>
        <v/>
      </c>
      <c r="Z334" s="87" t="str">
        <f aca="false">IF(ISBLANK($C334),"",IF(H334=Constants!$B$2,TRUE(),IF(H334=Constants!$B$3,FALSE(),TRUE())))</f>
        <v/>
      </c>
      <c r="AA334" s="87" t="str">
        <f aca="false">IF(ISBLANK($C334),"",IF(I334=Constants!$B$2,TRUE(),IF(I334=Constants!$B$3,FALSE(),TRUE())))</f>
        <v/>
      </c>
      <c r="AB334" s="87" t="str">
        <f aca="false">IF(ISBLANK($C334),"",IF(J334=Constants!$B$4,TRUE(),IF(J334=Constants!$B$5,FALSE(),COUNTA(K334:M334)&gt;0)))</f>
        <v/>
      </c>
      <c r="AC334" s="88" t="str">
        <f aca="false">IF(ISBLANK($C334),"",IF(ISNUMBER(K334),IF(K334&gt;=0,K334,""),""))</f>
        <v/>
      </c>
      <c r="AD334" s="89" t="str">
        <f aca="false">IF(ISBLANK($C334),"",IF(ISNUMBER(L334),IF(L334&gt;=0,L334,""),""))</f>
        <v/>
      </c>
      <c r="AE334" s="87" t="str">
        <f aca="false">IF(ISBLANK($C334),"",IF(ISNUMBER(M334),IF(M334&gt;=0,MIN(M334,Constants!$B$22),""),""))</f>
        <v/>
      </c>
      <c r="AF334" s="87" t="str">
        <f aca="false">IF(ISBLANK($C334),"",IF(N334=Constants!$B$2,TRUE(),IF(N334=Constants!$B$3,FALSE(),TRUE())))</f>
        <v/>
      </c>
      <c r="AG334" s="87" t="str">
        <f aca="false">IF(ISBLANK($C334),"",IF(O334=Constants!$B$2,TRUE(),IF(O334=Constants!$B$3,FALSE(),TRUE())))</f>
        <v/>
      </c>
      <c r="AH334" s="87" t="str">
        <f aca="false">IF(ISBLANK($C334),"",IF(P334=Constants!$B$4,TRUE(),IF(P334=Constants!$B$5,FALSE(),COUNTA(Q334:S334)&gt;0)))</f>
        <v/>
      </c>
      <c r="AI334" s="88" t="str">
        <f aca="false">IF(ISBLANK($C334),"",IF(ISNUMBER(Q334),IF(Q334&gt;=0,Q334,""),""))</f>
        <v/>
      </c>
      <c r="AJ334" s="89" t="str">
        <f aca="false">IF(ISBLANK($C334),"",IF(ISNUMBER(R334),IF(R334&gt;=0,R334,""),""))</f>
        <v/>
      </c>
      <c r="AK334" s="87" t="str">
        <f aca="false">IF(ISBLANK($C334),"",IF(ISNUMBER(S334),IF(S334&gt;=0,MIN(S334,Constants!$B$22),""),""))</f>
        <v/>
      </c>
      <c r="AL334" s="87" t="str">
        <f aca="false">IF(ISBLANK($C334),"",IF(T334=Constants!$B$2,TRUE(),IF(T334=Constants!$B$3,FALSE(),FALSE())))</f>
        <v/>
      </c>
      <c r="AM334" s="86" t="str">
        <f aca="false">IF(ISBLANK($C334),"",AND($AB334,OR($AC334="",$AD334="",AND(NOT(ISBLANK($M334)),$AE334=""))))</f>
        <v/>
      </c>
      <c r="AN334" s="89" t="str">
        <f aca="false">IF($BD334&lt;&gt;Constants!$B$6,"",IF($AB334,Constants!$B$17*$AD334,Constants!$B$18))</f>
        <v/>
      </c>
      <c r="AO334" s="91" t="str">
        <f aca="false">IF($BD334&lt;&gt;Constants!$B$6,"",Constants!$B$19*IF($AB334,$AC334,0))</f>
        <v/>
      </c>
      <c r="AP334" s="91" t="str">
        <f aca="false">IF($BD334&lt;&gt;Constants!$B$6,"",IF(AND($AB334,ISNUMBER($AE334)),Constants!$B$20*(Constants!$B$21-$AE334),0))</f>
        <v/>
      </c>
      <c r="AQ334" s="91" t="str">
        <f aca="false">IF($BD334&lt;&gt;Constants!$B$6,"",IF($AA334,0,Constants!$B$12)+IF($Z334,0,Constants!$B$13)+IF($Y334,0,Constants!$B$14))</f>
        <v/>
      </c>
      <c r="AR334" s="92" t="str">
        <f aca="false">IF($BD334&lt;&gt;Constants!$B$6,"",Constants!$B$16+SUM($AN334:$AQ334))</f>
        <v/>
      </c>
      <c r="AS334" s="91" t="str">
        <f aca="false">IF($BD334&lt;&gt;Constants!$B$6,"",IF($AB334,$AD334,""))</f>
        <v/>
      </c>
      <c r="AT334" s="93" t="str">
        <f aca="false">IF($BD334&lt;&gt;Constants!$B$6,"",$AO334)</f>
        <v/>
      </c>
      <c r="AU334" s="87" t="str">
        <f aca="false">IF($BD334&lt;&gt;Constants!$B$6,"",IF(OR($BA334&lt;$AR334,AND($BA334=$AR334,OR(AND(ISNUMBER($BB334),OR(NOT(ISNUMBER($AS334)),$BB334&lt;$AS334)),AND(OR(AND($BB334="",$AS334=""),AND(ISNUMBER($BB334),ISNUMBER($AS334),$BB334=$AS334)),$BC334&lt;$AT334)))),"-&gt;","&lt;-"))</f>
        <v/>
      </c>
      <c r="AV334" s="86" t="str">
        <f aca="false">IF(ISBLANK($C334),"",AND($AH334,OR($AI334="",$AJ334="",AND(NOT(ISBLANK($S334)),$AK334=""))))</f>
        <v/>
      </c>
      <c r="AW334" s="89" t="str">
        <f aca="false">IF($BD334&lt;&gt;Constants!$B$6,"",IF($AH334,Constants!$B$17*$AJ334,Constants!$B$18))</f>
        <v/>
      </c>
      <c r="AX334" s="91" t="str">
        <f aca="false">IF($BD334&lt;&gt;Constants!$B$6,"",Constants!$B$19*IF($AH334,$AI334,0))</f>
        <v/>
      </c>
      <c r="AY334" s="91" t="str">
        <f aca="false">IF($BD334&lt;&gt;Constants!$B$6,"",IF(AND($AH334,ISNUMBER($AK334)),Constants!$B$20*(Constants!$B$21-$AK334),0))</f>
        <v/>
      </c>
      <c r="AZ334" s="91" t="str">
        <f aca="false">IF($BD334&lt;&gt;Constants!$B$6,"",IF($AG334,0,Constants!$B$12)+IF($AF334,0,Constants!$B$13)+IF($Y334,0,Constants!$B$14))</f>
        <v/>
      </c>
      <c r="BA334" s="92" t="str">
        <f aca="false">IF($BD334&lt;&gt;Constants!$B$6,"",Constants!$B$16+SUM($AW334:$AZ334))</f>
        <v/>
      </c>
      <c r="BB334" s="91" t="str">
        <f aca="false">IF($BD334&lt;&gt;Constants!$B$6,"",IF($AH334,$AJ334,""))</f>
        <v/>
      </c>
      <c r="BC334" s="93" t="str">
        <f aca="false">IF($BD334&lt;&gt;Constants!$B$6,"",$AX334)</f>
        <v/>
      </c>
      <c r="BD334" s="87" t="str">
        <f aca="false">IF(ISBLANK($C334),"",IF($AL334,Constants!$B$9,IF(COUNTA($E334:$T334)=0,Constants!$B$8,IF(NOT($X334),Constants!$B$7,IF(OR($AM334,$AV334),Constants!$B$10,Constants!$B$6)))))</f>
        <v/>
      </c>
      <c r="BE334" s="87" t="str">
        <f aca="false">IF(ISBLANK($C334),"",IF($BD334&lt;&gt;Constants!$B$6,$BD334,Constants!$B$11))</f>
        <v/>
      </c>
      <c r="BF334" s="91" t="str">
        <f aca="false">IF($BD334&lt;&gt;Constants!$B$6,"",IF($AU334="-&gt;",$BA334,$AR334))</f>
        <v/>
      </c>
      <c r="BG334" s="91" t="str">
        <f aca="false">IF($BD334&lt;&gt;Constants!$B$6,"",IF($W334,0,Constants!$B$15))</f>
        <v/>
      </c>
      <c r="BH334" s="91" t="str">
        <f aca="false">IF(ISBLANK($C334),"",IF($BD334&lt;&gt;Constants!$B$6,$BD334,SUM($BF334:$BG334)))</f>
        <v/>
      </c>
      <c r="BI334" s="87" t="str">
        <f aca="false">IF(ISBLANK($C334),"",IF($BD334&lt;&gt;Constants!$B$6,$BD334,RANK($BH334,$BH$9:$BH$508,1)))</f>
        <v/>
      </c>
      <c r="BJ334" s="91" t="str">
        <f aca="false">IF($BD334&lt;&gt;Constants!$B$6,"",IF($AU334="-&gt;",$BB334,$AS334))</f>
        <v/>
      </c>
      <c r="BK334" s="87" t="str">
        <f aca="false">IF(ISBLANK($C334),"",IF($BD334&lt;&gt;Constants!$B$6,$BD334,IF(ISNUMBER($BJ334),RANK($BJ334,$BJ$9:$BJ$508,1),COUNT($BJ$9:$BJ$508)+1)))</f>
        <v/>
      </c>
      <c r="BL334" s="91" t="str">
        <f aca="false">IF($BD334&lt;&gt;Constants!$B$6,"",IF($AU334="-&gt;",$BC334,$AT334))</f>
        <v/>
      </c>
      <c r="BM334" s="87" t="str">
        <f aca="false">IF(ISBLANK($C334),"",IF($BD334&lt;&gt;Constants!$B$6,$BD334,IF(ISNUMBER($BL334),RANK($BL334,$BL$9:$BL$508,1),COUNT($BL$9:$BL$508)+1)))</f>
        <v/>
      </c>
      <c r="BN334" s="91" t="str">
        <f aca="false">IF($BD334&lt;&gt;Constants!$B$6,"",IF($AU334="-&gt;",$AS334,$BB334))</f>
        <v/>
      </c>
      <c r="BO334" s="87" t="str">
        <f aca="false">IF(ISBLANK($C334),"",IF($BD334&lt;&gt;Constants!$B$6,$BD334,IF(ISNUMBER($BN334),RANK($BN334,$BN$9:$BN$508,1),COUNT($BN$9:$BN$508)+1)))</f>
        <v/>
      </c>
      <c r="BP334" s="91" t="str">
        <f aca="false">IF($BD334&lt;&gt;Constants!$B$6,"",IF($AU334="-&gt;",$AT334,$BC334))</f>
        <v/>
      </c>
      <c r="BQ334" s="87" t="str">
        <f aca="false">IF(ISBLANK($C334),"",IF($BD334&lt;&gt;Constants!$B$6,$BD334,IF(ISNUMBER($BP334),RANK($BP334,$BP$9:$BP$508,1),COUNT($BP$9:$BP$508)+1)))</f>
        <v/>
      </c>
      <c r="BR334" s="87" t="str">
        <f aca="false">IF(ISBLANK($C334),"",IF($BD334&lt;&gt;Constants!$B$6,$BD334,COUNTIFS($BI$9:$BI$508,"&lt;"&amp;$BI334)+COUNTIFS($BI$9:$BI$508,$BI334,$BK$9:$BK$508,"&lt;"&amp;$BK334)+COUNTIFS($BI$9:$BI$508,$BI334,$BK$9:$BK$508,$BK334,$BM$9:$BM$508,"&lt;"&amp;$BM334)+COUNTIFS($BI$9:$BI$508,$BI334,$BK$9:$BK$508,$BK334,$BM$9:$BM$508,$BM334,$BO$9:$BO$508,"&lt;"&amp;$BO334)+COUNTIFS($BI$9:$BI$508,$BI334,$BK$9:$BK$508,$BK334,$BM$9:$BM$508,$BM334,$BO$9:$BO$508,$BO334,$BQ$9:$BQ$508,"&lt;"&amp;$BQ334)+1))</f>
        <v/>
      </c>
      <c r="BS334" s="87" t="str">
        <f aca="false">IF(ISBLANK($C334),"",IF($BD334&lt;&gt;Constants!$B$6,$BD334,$BI334-$BR334))</f>
        <v/>
      </c>
      <c r="BT334" s="94"/>
      <c r="BU334" s="95"/>
      <c r="BV334" s="95" t="str">
        <f aca="false">IF(ISBLANK($C334),"",IF($BD334&lt;&gt;Constants!$B$6,"",IF($AU334="-&gt;",2,1)))</f>
        <v/>
      </c>
      <c r="BW334" s="96" t="str">
        <f aca="false">IF(ISBLANK($C334),"",IF($BD334&lt;&gt;Constants!$B$6,"",IF($AU334="-&gt;",$AW334,$AN334)))</f>
        <v/>
      </c>
      <c r="BX334" s="96" t="str">
        <f aca="false">IF(ISBLANK($C334),"",IF($BD334&lt;&gt;Constants!$B$6,"",IF($AU334="-&gt;",$AX334,$AO334)))</f>
        <v/>
      </c>
      <c r="BY334" s="96" t="str">
        <f aca="false">IF(ISBLANK($C334),"",IF($BD334&lt;&gt;Constants!$B$6,"",IF($AU334="-&gt;",$AY334,$AP334)))</f>
        <v/>
      </c>
      <c r="BZ334" s="96" t="str">
        <f aca="false">IF(ISBLANK($C334),"",IF($BD334&lt;&gt;Constants!$B$6,"",IF($AU334="-&gt;",$AZ334,$AQ334)+$BG334))</f>
        <v/>
      </c>
      <c r="CA334" s="97" t="str">
        <f aca="false">IF(ISBLANK($C334),"",IF($BD334&lt;&gt;Constants!$B$6,$BD334,$BH334))</f>
        <v/>
      </c>
      <c r="CB334" s="98" t="str">
        <f aca="false">IF(ISBLANK($C334),"",$BE334)</f>
        <v/>
      </c>
      <c r="CC334" s="99" t="str">
        <f aca="false">IF(ISBLANK($C334),"",$BS334)</f>
        <v/>
      </c>
      <c r="CD334" s="99" t="str">
        <f aca="false">IF(ISBLANK($C334),"",$BR334)</f>
        <v/>
      </c>
      <c r="CE334" s="100" t="str">
        <f aca="false">IF(ISBLANK($C334),"",IF($CD334=Constants!$B$9,COUNTA($C$9:$C$508)+2,IF($CD334=Constants!$B$8,COUNTA($C$9:$C$508)+1,IF($CD334=Constants!$B$7,COUNTA($C$9:$C$508),$CD334))))</f>
        <v/>
      </c>
      <c r="CF334" s="9"/>
      <c r="CG334" s="101" t="n">
        <f aca="false">IF(OR(ISNUMBER($CD334),$CD334=Constants!$B$9,$CD334=Constants!$B$7,$CD334=Constants!$B$8),1,0)</f>
        <v>0</v>
      </c>
      <c r="CH334" s="101" t="n">
        <v>326</v>
      </c>
      <c r="CI334" s="101" t="str">
        <f aca="false">IF(ISBLANK($C334),"",IF(ISNUMBER($CE334),$CE334+ROW($B334)/1000,""))</f>
        <v/>
      </c>
      <c r="CJ334" s="101" t="str">
        <f aca="false">IF(ISNUMBER($CI334),RANK($CI334,$CI$9:$CI$508,1),"")</f>
        <v/>
      </c>
      <c r="CK334" s="101" t="str">
        <f aca="false">IF(ISBLANK($C334),"",$B334)</f>
        <v/>
      </c>
      <c r="CL334" s="101" t="str">
        <f aca="false">IF(ISBLANK($C334),"",$C334)</f>
        <v/>
      </c>
      <c r="CM334" s="101" t="str">
        <f aca="false">IF(ISBLANK($C334),"",$D334)</f>
        <v/>
      </c>
      <c r="CN334" s="102" t="str">
        <f aca="false">$CB334</f>
        <v/>
      </c>
      <c r="CO334" s="103" t="str">
        <f aca="false">$CA334</f>
        <v/>
      </c>
      <c r="CP334" s="101" t="str">
        <f aca="false">IF(ISBLANK($C334),"",$CD334)</f>
        <v/>
      </c>
      <c r="CQ334" s="104" t="str">
        <f aca="false">IF($CH334&gt;$CG$8,"",VLOOKUP($CH334,$CJ$9:$CP$508,7,FALSE()))</f>
        <v/>
      </c>
      <c r="CR334" s="105" t="str">
        <f aca="false">IF($CH334&gt;$CG$8,"",VLOOKUP($CH334,$CJ$9:$CP$508,2,FALSE()))</f>
        <v/>
      </c>
      <c r="CS334" s="105" t="str">
        <f aca="false">IF($CH334&gt;$CG$8,"",VLOOKUP($CH334,$CJ$9:$CP$508,3,FALSE()))</f>
        <v/>
      </c>
      <c r="CT334" s="105" t="str">
        <f aca="false">IF($CH334&gt;$CG$8,"",VLOOKUP($CH334,$CJ$9:$CP$508,4,FALSE()))</f>
        <v/>
      </c>
      <c r="CU334" s="105" t="str">
        <f aca="false">IF($CH334&gt;$CG$8,"",VLOOKUP($CH334,$CJ$9:$CP$508,5,FALSE()))</f>
        <v/>
      </c>
      <c r="CV334" s="106" t="str">
        <f aca="false">IF($CH334&gt;$CG$8,"",VLOOKUP($CH334,$CJ$9:$CP$508,6,FALSE()))</f>
        <v/>
      </c>
      <c r="CW334" s="71"/>
    </row>
    <row r="335" customFormat="false" ht="15.75" hidden="false" customHeight="false" outlineLevel="0" collapsed="false">
      <c r="A335" s="9"/>
      <c r="B335" s="72"/>
      <c r="C335" s="73"/>
      <c r="D335" s="160"/>
      <c r="E335" s="168"/>
      <c r="F335" s="162"/>
      <c r="G335" s="163"/>
      <c r="H335" s="169"/>
      <c r="I335" s="167"/>
      <c r="J335" s="80"/>
      <c r="K335" s="81"/>
      <c r="L335" s="82"/>
      <c r="M335" s="166"/>
      <c r="N335" s="167"/>
      <c r="O335" s="167"/>
      <c r="P335" s="80"/>
      <c r="Q335" s="82"/>
      <c r="R335" s="82"/>
      <c r="S335" s="166"/>
      <c r="T335" s="167"/>
      <c r="U335" s="86"/>
      <c r="V335" s="87"/>
      <c r="W335" s="87" t="str">
        <f aca="false">IF(ISBLANK($C335),"",IF(E335=Constants!$B$2,TRUE(),IF(E335=Constants!$B$3,FALSE(),TRUE())))</f>
        <v/>
      </c>
      <c r="X335" s="87" t="str">
        <f aca="false">IF(ISBLANK($C335),"",IF(F335=Constants!$B$2,TRUE(),IF(F335=Constants!$B$3,FALSE(),TRUE())))</f>
        <v/>
      </c>
      <c r="Y335" s="87" t="str">
        <f aca="false">IF(ISBLANK($C335),"",IF(G335=Constants!$B$2,TRUE(),IF(G335=Constants!$B$3,FALSE(),TRUE())))</f>
        <v/>
      </c>
      <c r="Z335" s="87" t="str">
        <f aca="false">IF(ISBLANK($C335),"",IF(H335=Constants!$B$2,TRUE(),IF(H335=Constants!$B$3,FALSE(),TRUE())))</f>
        <v/>
      </c>
      <c r="AA335" s="87" t="str">
        <f aca="false">IF(ISBLANK($C335),"",IF(I335=Constants!$B$2,TRUE(),IF(I335=Constants!$B$3,FALSE(),TRUE())))</f>
        <v/>
      </c>
      <c r="AB335" s="87" t="str">
        <f aca="false">IF(ISBLANK($C335),"",IF(J335=Constants!$B$4,TRUE(),IF(J335=Constants!$B$5,FALSE(),COUNTA(K335:M335)&gt;0)))</f>
        <v/>
      </c>
      <c r="AC335" s="88" t="str">
        <f aca="false">IF(ISBLANK($C335),"",IF(ISNUMBER(K335),IF(K335&gt;=0,K335,""),""))</f>
        <v/>
      </c>
      <c r="AD335" s="89" t="str">
        <f aca="false">IF(ISBLANK($C335),"",IF(ISNUMBER(L335),IF(L335&gt;=0,L335,""),""))</f>
        <v/>
      </c>
      <c r="AE335" s="87" t="str">
        <f aca="false">IF(ISBLANK($C335),"",IF(ISNUMBER(M335),IF(M335&gt;=0,MIN(M335,Constants!$B$22),""),""))</f>
        <v/>
      </c>
      <c r="AF335" s="87" t="str">
        <f aca="false">IF(ISBLANK($C335),"",IF(N335=Constants!$B$2,TRUE(),IF(N335=Constants!$B$3,FALSE(),TRUE())))</f>
        <v/>
      </c>
      <c r="AG335" s="87" t="str">
        <f aca="false">IF(ISBLANK($C335),"",IF(O335=Constants!$B$2,TRUE(),IF(O335=Constants!$B$3,FALSE(),TRUE())))</f>
        <v/>
      </c>
      <c r="AH335" s="87" t="str">
        <f aca="false">IF(ISBLANK($C335),"",IF(P335=Constants!$B$4,TRUE(),IF(P335=Constants!$B$5,FALSE(),COUNTA(Q335:S335)&gt;0)))</f>
        <v/>
      </c>
      <c r="AI335" s="88" t="str">
        <f aca="false">IF(ISBLANK($C335),"",IF(ISNUMBER(Q335),IF(Q335&gt;=0,Q335,""),""))</f>
        <v/>
      </c>
      <c r="AJ335" s="89" t="str">
        <f aca="false">IF(ISBLANK($C335),"",IF(ISNUMBER(R335),IF(R335&gt;=0,R335,""),""))</f>
        <v/>
      </c>
      <c r="AK335" s="87" t="str">
        <f aca="false">IF(ISBLANK($C335),"",IF(ISNUMBER(S335),IF(S335&gt;=0,MIN(S335,Constants!$B$22),""),""))</f>
        <v/>
      </c>
      <c r="AL335" s="87" t="str">
        <f aca="false">IF(ISBLANK($C335),"",IF(T335=Constants!$B$2,TRUE(),IF(T335=Constants!$B$3,FALSE(),FALSE())))</f>
        <v/>
      </c>
      <c r="AM335" s="86" t="str">
        <f aca="false">IF(ISBLANK($C335),"",AND($AB335,OR($AC335="",$AD335="",AND(NOT(ISBLANK($M335)),$AE335=""))))</f>
        <v/>
      </c>
      <c r="AN335" s="89" t="str">
        <f aca="false">IF($BD335&lt;&gt;Constants!$B$6,"",IF($AB335,Constants!$B$17*$AD335,Constants!$B$18))</f>
        <v/>
      </c>
      <c r="AO335" s="91" t="str">
        <f aca="false">IF($BD335&lt;&gt;Constants!$B$6,"",Constants!$B$19*IF($AB335,$AC335,0))</f>
        <v/>
      </c>
      <c r="AP335" s="91" t="str">
        <f aca="false">IF($BD335&lt;&gt;Constants!$B$6,"",IF(AND($AB335,ISNUMBER($AE335)),Constants!$B$20*(Constants!$B$21-$AE335),0))</f>
        <v/>
      </c>
      <c r="AQ335" s="91" t="str">
        <f aca="false">IF($BD335&lt;&gt;Constants!$B$6,"",IF($AA335,0,Constants!$B$12)+IF($Z335,0,Constants!$B$13)+IF($Y335,0,Constants!$B$14))</f>
        <v/>
      </c>
      <c r="AR335" s="92" t="str">
        <f aca="false">IF($BD335&lt;&gt;Constants!$B$6,"",Constants!$B$16+SUM($AN335:$AQ335))</f>
        <v/>
      </c>
      <c r="AS335" s="91" t="str">
        <f aca="false">IF($BD335&lt;&gt;Constants!$B$6,"",IF($AB335,$AD335,""))</f>
        <v/>
      </c>
      <c r="AT335" s="93" t="str">
        <f aca="false">IF($BD335&lt;&gt;Constants!$B$6,"",$AO335)</f>
        <v/>
      </c>
      <c r="AU335" s="87" t="str">
        <f aca="false">IF($BD335&lt;&gt;Constants!$B$6,"",IF(OR($BA335&lt;$AR335,AND($BA335=$AR335,OR(AND(ISNUMBER($BB335),OR(NOT(ISNUMBER($AS335)),$BB335&lt;$AS335)),AND(OR(AND($BB335="",$AS335=""),AND(ISNUMBER($BB335),ISNUMBER($AS335),$BB335=$AS335)),$BC335&lt;$AT335)))),"-&gt;","&lt;-"))</f>
        <v/>
      </c>
      <c r="AV335" s="86" t="str">
        <f aca="false">IF(ISBLANK($C335),"",AND($AH335,OR($AI335="",$AJ335="",AND(NOT(ISBLANK($S335)),$AK335=""))))</f>
        <v/>
      </c>
      <c r="AW335" s="89" t="str">
        <f aca="false">IF($BD335&lt;&gt;Constants!$B$6,"",IF($AH335,Constants!$B$17*$AJ335,Constants!$B$18))</f>
        <v/>
      </c>
      <c r="AX335" s="91" t="str">
        <f aca="false">IF($BD335&lt;&gt;Constants!$B$6,"",Constants!$B$19*IF($AH335,$AI335,0))</f>
        <v/>
      </c>
      <c r="AY335" s="91" t="str">
        <f aca="false">IF($BD335&lt;&gt;Constants!$B$6,"",IF(AND($AH335,ISNUMBER($AK335)),Constants!$B$20*(Constants!$B$21-$AK335),0))</f>
        <v/>
      </c>
      <c r="AZ335" s="91" t="str">
        <f aca="false">IF($BD335&lt;&gt;Constants!$B$6,"",IF($AG335,0,Constants!$B$12)+IF($AF335,0,Constants!$B$13)+IF($Y335,0,Constants!$B$14))</f>
        <v/>
      </c>
      <c r="BA335" s="92" t="str">
        <f aca="false">IF($BD335&lt;&gt;Constants!$B$6,"",Constants!$B$16+SUM($AW335:$AZ335))</f>
        <v/>
      </c>
      <c r="BB335" s="91" t="str">
        <f aca="false">IF($BD335&lt;&gt;Constants!$B$6,"",IF($AH335,$AJ335,""))</f>
        <v/>
      </c>
      <c r="BC335" s="93" t="str">
        <f aca="false">IF($BD335&lt;&gt;Constants!$B$6,"",$AX335)</f>
        <v/>
      </c>
      <c r="BD335" s="87" t="str">
        <f aca="false">IF(ISBLANK($C335),"",IF($AL335,Constants!$B$9,IF(COUNTA($E335:$T335)=0,Constants!$B$8,IF(NOT($X335),Constants!$B$7,IF(OR($AM335,$AV335),Constants!$B$10,Constants!$B$6)))))</f>
        <v/>
      </c>
      <c r="BE335" s="87" t="str">
        <f aca="false">IF(ISBLANK($C335),"",IF($BD335&lt;&gt;Constants!$B$6,$BD335,Constants!$B$11))</f>
        <v/>
      </c>
      <c r="BF335" s="91" t="str">
        <f aca="false">IF($BD335&lt;&gt;Constants!$B$6,"",IF($AU335="-&gt;",$BA335,$AR335))</f>
        <v/>
      </c>
      <c r="BG335" s="91" t="str">
        <f aca="false">IF($BD335&lt;&gt;Constants!$B$6,"",IF($W335,0,Constants!$B$15))</f>
        <v/>
      </c>
      <c r="BH335" s="91" t="str">
        <f aca="false">IF(ISBLANK($C335),"",IF($BD335&lt;&gt;Constants!$B$6,$BD335,SUM($BF335:$BG335)))</f>
        <v/>
      </c>
      <c r="BI335" s="87" t="str">
        <f aca="false">IF(ISBLANK($C335),"",IF($BD335&lt;&gt;Constants!$B$6,$BD335,RANK($BH335,$BH$9:$BH$508,1)))</f>
        <v/>
      </c>
      <c r="BJ335" s="91" t="str">
        <f aca="false">IF($BD335&lt;&gt;Constants!$B$6,"",IF($AU335="-&gt;",$BB335,$AS335))</f>
        <v/>
      </c>
      <c r="BK335" s="87" t="str">
        <f aca="false">IF(ISBLANK($C335),"",IF($BD335&lt;&gt;Constants!$B$6,$BD335,IF(ISNUMBER($BJ335),RANK($BJ335,$BJ$9:$BJ$508,1),COUNT($BJ$9:$BJ$508)+1)))</f>
        <v/>
      </c>
      <c r="BL335" s="91" t="str">
        <f aca="false">IF($BD335&lt;&gt;Constants!$B$6,"",IF($AU335="-&gt;",$BC335,$AT335))</f>
        <v/>
      </c>
      <c r="BM335" s="87" t="str">
        <f aca="false">IF(ISBLANK($C335),"",IF($BD335&lt;&gt;Constants!$B$6,$BD335,IF(ISNUMBER($BL335),RANK($BL335,$BL$9:$BL$508,1),COUNT($BL$9:$BL$508)+1)))</f>
        <v/>
      </c>
      <c r="BN335" s="91" t="str">
        <f aca="false">IF($BD335&lt;&gt;Constants!$B$6,"",IF($AU335="-&gt;",$AS335,$BB335))</f>
        <v/>
      </c>
      <c r="BO335" s="87" t="str">
        <f aca="false">IF(ISBLANK($C335),"",IF($BD335&lt;&gt;Constants!$B$6,$BD335,IF(ISNUMBER($BN335),RANK($BN335,$BN$9:$BN$508,1),COUNT($BN$9:$BN$508)+1)))</f>
        <v/>
      </c>
      <c r="BP335" s="91" t="str">
        <f aca="false">IF($BD335&lt;&gt;Constants!$B$6,"",IF($AU335="-&gt;",$AT335,$BC335))</f>
        <v/>
      </c>
      <c r="BQ335" s="87" t="str">
        <f aca="false">IF(ISBLANK($C335),"",IF($BD335&lt;&gt;Constants!$B$6,$BD335,IF(ISNUMBER($BP335),RANK($BP335,$BP$9:$BP$508,1),COUNT($BP$9:$BP$508)+1)))</f>
        <v/>
      </c>
      <c r="BR335" s="87" t="str">
        <f aca="false">IF(ISBLANK($C335),"",IF($BD335&lt;&gt;Constants!$B$6,$BD335,COUNTIFS($BI$9:$BI$508,"&lt;"&amp;$BI335)+COUNTIFS($BI$9:$BI$508,$BI335,$BK$9:$BK$508,"&lt;"&amp;$BK335)+COUNTIFS($BI$9:$BI$508,$BI335,$BK$9:$BK$508,$BK335,$BM$9:$BM$508,"&lt;"&amp;$BM335)+COUNTIFS($BI$9:$BI$508,$BI335,$BK$9:$BK$508,$BK335,$BM$9:$BM$508,$BM335,$BO$9:$BO$508,"&lt;"&amp;$BO335)+COUNTIFS($BI$9:$BI$508,$BI335,$BK$9:$BK$508,$BK335,$BM$9:$BM$508,$BM335,$BO$9:$BO$508,$BO335,$BQ$9:$BQ$508,"&lt;"&amp;$BQ335)+1))</f>
        <v/>
      </c>
      <c r="BS335" s="87" t="str">
        <f aca="false">IF(ISBLANK($C335),"",IF($BD335&lt;&gt;Constants!$B$6,$BD335,$BI335-$BR335))</f>
        <v/>
      </c>
      <c r="BT335" s="94"/>
      <c r="BU335" s="95"/>
      <c r="BV335" s="95" t="str">
        <f aca="false">IF(ISBLANK($C335),"",IF($BD335&lt;&gt;Constants!$B$6,"",IF($AU335="-&gt;",2,1)))</f>
        <v/>
      </c>
      <c r="BW335" s="96" t="str">
        <f aca="false">IF(ISBLANK($C335),"",IF($BD335&lt;&gt;Constants!$B$6,"",IF($AU335="-&gt;",$AW335,$AN335)))</f>
        <v/>
      </c>
      <c r="BX335" s="96" t="str">
        <f aca="false">IF(ISBLANK($C335),"",IF($BD335&lt;&gt;Constants!$B$6,"",IF($AU335="-&gt;",$AX335,$AO335)))</f>
        <v/>
      </c>
      <c r="BY335" s="96" t="str">
        <f aca="false">IF(ISBLANK($C335),"",IF($BD335&lt;&gt;Constants!$B$6,"",IF($AU335="-&gt;",$AY335,$AP335)))</f>
        <v/>
      </c>
      <c r="BZ335" s="96" t="str">
        <f aca="false">IF(ISBLANK($C335),"",IF($BD335&lt;&gt;Constants!$B$6,"",IF($AU335="-&gt;",$AZ335,$AQ335)+$BG335))</f>
        <v/>
      </c>
      <c r="CA335" s="97" t="str">
        <f aca="false">IF(ISBLANK($C335),"",IF($BD335&lt;&gt;Constants!$B$6,$BD335,$BH335))</f>
        <v/>
      </c>
      <c r="CB335" s="98" t="str">
        <f aca="false">IF(ISBLANK($C335),"",$BE335)</f>
        <v/>
      </c>
      <c r="CC335" s="99" t="str">
        <f aca="false">IF(ISBLANK($C335),"",$BS335)</f>
        <v/>
      </c>
      <c r="CD335" s="99" t="str">
        <f aca="false">IF(ISBLANK($C335),"",$BR335)</f>
        <v/>
      </c>
      <c r="CE335" s="100" t="str">
        <f aca="false">IF(ISBLANK($C335),"",IF($CD335=Constants!$B$9,COUNTA($C$9:$C$508)+2,IF($CD335=Constants!$B$8,COUNTA($C$9:$C$508)+1,IF($CD335=Constants!$B$7,COUNTA($C$9:$C$508),$CD335))))</f>
        <v/>
      </c>
      <c r="CF335" s="9"/>
      <c r="CG335" s="101" t="n">
        <f aca="false">IF(OR(ISNUMBER($CD335),$CD335=Constants!$B$9,$CD335=Constants!$B$7,$CD335=Constants!$B$8),1,0)</f>
        <v>0</v>
      </c>
      <c r="CH335" s="101" t="n">
        <v>327</v>
      </c>
      <c r="CI335" s="101" t="str">
        <f aca="false">IF(ISBLANK($C335),"",IF(ISNUMBER($CE335),$CE335+ROW($B335)/1000,""))</f>
        <v/>
      </c>
      <c r="CJ335" s="101" t="str">
        <f aca="false">IF(ISNUMBER($CI335),RANK($CI335,$CI$9:$CI$508,1),"")</f>
        <v/>
      </c>
      <c r="CK335" s="101" t="str">
        <f aca="false">IF(ISBLANK($C335),"",$B335)</f>
        <v/>
      </c>
      <c r="CL335" s="101" t="str">
        <f aca="false">IF(ISBLANK($C335),"",$C335)</f>
        <v/>
      </c>
      <c r="CM335" s="101" t="str">
        <f aca="false">IF(ISBLANK($C335),"",$D335)</f>
        <v/>
      </c>
      <c r="CN335" s="102" t="str">
        <f aca="false">$CB335</f>
        <v/>
      </c>
      <c r="CO335" s="103" t="str">
        <f aca="false">$CA335</f>
        <v/>
      </c>
      <c r="CP335" s="101" t="str">
        <f aca="false">IF(ISBLANK($C335),"",$CD335)</f>
        <v/>
      </c>
      <c r="CQ335" s="104" t="str">
        <f aca="false">IF($CH335&gt;$CG$8,"",VLOOKUP($CH335,$CJ$9:$CP$508,7,FALSE()))</f>
        <v/>
      </c>
      <c r="CR335" s="105" t="str">
        <f aca="false">IF($CH335&gt;$CG$8,"",VLOOKUP($CH335,$CJ$9:$CP$508,2,FALSE()))</f>
        <v/>
      </c>
      <c r="CS335" s="105" t="str">
        <f aca="false">IF($CH335&gt;$CG$8,"",VLOOKUP($CH335,$CJ$9:$CP$508,3,FALSE()))</f>
        <v/>
      </c>
      <c r="CT335" s="105" t="str">
        <f aca="false">IF($CH335&gt;$CG$8,"",VLOOKUP($CH335,$CJ$9:$CP$508,4,FALSE()))</f>
        <v/>
      </c>
      <c r="CU335" s="105" t="str">
        <f aca="false">IF($CH335&gt;$CG$8,"",VLOOKUP($CH335,$CJ$9:$CP$508,5,FALSE()))</f>
        <v/>
      </c>
      <c r="CV335" s="106" t="str">
        <f aca="false">IF($CH335&gt;$CG$8,"",VLOOKUP($CH335,$CJ$9:$CP$508,6,FALSE()))</f>
        <v/>
      </c>
      <c r="CW335" s="71"/>
    </row>
    <row r="336" customFormat="false" ht="15.75" hidden="false" customHeight="false" outlineLevel="0" collapsed="false">
      <c r="A336" s="9"/>
      <c r="B336" s="150"/>
      <c r="C336" s="151"/>
      <c r="D336" s="152"/>
      <c r="E336" s="170"/>
      <c r="F336" s="154"/>
      <c r="G336" s="155"/>
      <c r="H336" s="171"/>
      <c r="I336" s="159"/>
      <c r="J336" s="120"/>
      <c r="K336" s="121"/>
      <c r="L336" s="122"/>
      <c r="M336" s="158"/>
      <c r="N336" s="159"/>
      <c r="O336" s="159"/>
      <c r="P336" s="120"/>
      <c r="Q336" s="122"/>
      <c r="R336" s="122"/>
      <c r="S336" s="158"/>
      <c r="T336" s="159"/>
      <c r="U336" s="126"/>
      <c r="V336" s="127"/>
      <c r="W336" s="127" t="str">
        <f aca="false">IF(ISBLANK($C336),"",IF(E336=Constants!$B$2,TRUE(),IF(E336=Constants!$B$3,FALSE(),TRUE())))</f>
        <v/>
      </c>
      <c r="X336" s="127" t="str">
        <f aca="false">IF(ISBLANK($C336),"",IF(F336=Constants!$B$2,TRUE(),IF(F336=Constants!$B$3,FALSE(),TRUE())))</f>
        <v/>
      </c>
      <c r="Y336" s="127" t="str">
        <f aca="false">IF(ISBLANK($C336),"",IF(G336=Constants!$B$2,TRUE(),IF(G336=Constants!$B$3,FALSE(),TRUE())))</f>
        <v/>
      </c>
      <c r="Z336" s="127" t="str">
        <f aca="false">IF(ISBLANK($C336),"",IF(H336=Constants!$B$2,TRUE(),IF(H336=Constants!$B$3,FALSE(),TRUE())))</f>
        <v/>
      </c>
      <c r="AA336" s="127" t="str">
        <f aca="false">IF(ISBLANK($C336),"",IF(I336=Constants!$B$2,TRUE(),IF(I336=Constants!$B$3,FALSE(),TRUE())))</f>
        <v/>
      </c>
      <c r="AB336" s="127" t="str">
        <f aca="false">IF(ISBLANK($C336),"",IF(J336=Constants!$B$4,TRUE(),IF(J336=Constants!$B$5,FALSE(),COUNTA(K336:M336)&gt;0)))</f>
        <v/>
      </c>
      <c r="AC336" s="128" t="str">
        <f aca="false">IF(ISBLANK($C336),"",IF(ISNUMBER(K336),IF(K336&gt;=0,K336,""),""))</f>
        <v/>
      </c>
      <c r="AD336" s="129" t="str">
        <f aca="false">IF(ISBLANK($C336),"",IF(ISNUMBER(L336),IF(L336&gt;=0,L336,""),""))</f>
        <v/>
      </c>
      <c r="AE336" s="127" t="str">
        <f aca="false">IF(ISBLANK($C336),"",IF(ISNUMBER(M336),IF(M336&gt;=0,MIN(M336,Constants!$B$22),""),""))</f>
        <v/>
      </c>
      <c r="AF336" s="127" t="str">
        <f aca="false">IF(ISBLANK($C336),"",IF(N336=Constants!$B$2,TRUE(),IF(N336=Constants!$B$3,FALSE(),TRUE())))</f>
        <v/>
      </c>
      <c r="AG336" s="127" t="str">
        <f aca="false">IF(ISBLANK($C336),"",IF(O336=Constants!$B$2,TRUE(),IF(O336=Constants!$B$3,FALSE(),TRUE())))</f>
        <v/>
      </c>
      <c r="AH336" s="127" t="str">
        <f aca="false">IF(ISBLANK($C336),"",IF(P336=Constants!$B$4,TRUE(),IF(P336=Constants!$B$5,FALSE(),COUNTA(Q336:S336)&gt;0)))</f>
        <v/>
      </c>
      <c r="AI336" s="128" t="str">
        <f aca="false">IF(ISBLANK($C336),"",IF(ISNUMBER(Q336),IF(Q336&gt;=0,Q336,""),""))</f>
        <v/>
      </c>
      <c r="AJ336" s="129" t="str">
        <f aca="false">IF(ISBLANK($C336),"",IF(ISNUMBER(R336),IF(R336&gt;=0,R336,""),""))</f>
        <v/>
      </c>
      <c r="AK336" s="127" t="str">
        <f aca="false">IF(ISBLANK($C336),"",IF(ISNUMBER(S336),IF(S336&gt;=0,MIN(S336,Constants!$B$22),""),""))</f>
        <v/>
      </c>
      <c r="AL336" s="127" t="str">
        <f aca="false">IF(ISBLANK($C336),"",IF(T336=Constants!$B$2,TRUE(),IF(T336=Constants!$B$3,FALSE(),FALSE())))</f>
        <v/>
      </c>
      <c r="AM336" s="126" t="str">
        <f aca="false">IF(ISBLANK($C336),"",AND($AB336,OR($AC336="",$AD336="",AND(NOT(ISBLANK($M336)),$AE336=""))))</f>
        <v/>
      </c>
      <c r="AN336" s="129" t="str">
        <f aca="false">IF($BD336&lt;&gt;Constants!$B$6,"",IF($AB336,Constants!$B$17*$AD336,Constants!$B$18))</f>
        <v/>
      </c>
      <c r="AO336" s="130" t="str">
        <f aca="false">IF($BD336&lt;&gt;Constants!$B$6,"",Constants!$B$19*IF($AB336,$AC336,0))</f>
        <v/>
      </c>
      <c r="AP336" s="130" t="str">
        <f aca="false">IF($BD336&lt;&gt;Constants!$B$6,"",IF(AND($AB336,ISNUMBER($AE336)),Constants!$B$20*(Constants!$B$21-$AE336),0))</f>
        <v/>
      </c>
      <c r="AQ336" s="130" t="str">
        <f aca="false">IF($BD336&lt;&gt;Constants!$B$6,"",IF($AA336,0,Constants!$B$12)+IF($Z336,0,Constants!$B$13)+IF($Y336,0,Constants!$B$14))</f>
        <v/>
      </c>
      <c r="AR336" s="131" t="str">
        <f aca="false">IF($BD336&lt;&gt;Constants!$B$6,"",Constants!$B$16+SUM($AN336:$AQ336))</f>
        <v/>
      </c>
      <c r="AS336" s="130" t="str">
        <f aca="false">IF($BD336&lt;&gt;Constants!$B$6,"",IF($AB336,$AD336,""))</f>
        <v/>
      </c>
      <c r="AT336" s="132" t="str">
        <f aca="false">IF($BD336&lt;&gt;Constants!$B$6,"",$AO336)</f>
        <v/>
      </c>
      <c r="AU336" s="127" t="str">
        <f aca="false">IF($BD336&lt;&gt;Constants!$B$6,"",IF(OR($BA336&lt;$AR336,AND($BA336=$AR336,OR(AND(ISNUMBER($BB336),OR(NOT(ISNUMBER($AS336)),$BB336&lt;$AS336)),AND(OR(AND($BB336="",$AS336=""),AND(ISNUMBER($BB336),ISNUMBER($AS336),$BB336=$AS336)),$BC336&lt;$AT336)))),"-&gt;","&lt;-"))</f>
        <v/>
      </c>
      <c r="AV336" s="126" t="str">
        <f aca="false">IF(ISBLANK($C336),"",AND($AH336,OR($AI336="",$AJ336="",AND(NOT(ISBLANK($S336)),$AK336=""))))</f>
        <v/>
      </c>
      <c r="AW336" s="129" t="str">
        <f aca="false">IF($BD336&lt;&gt;Constants!$B$6,"",IF($AH336,Constants!$B$17*$AJ336,Constants!$B$18))</f>
        <v/>
      </c>
      <c r="AX336" s="130" t="str">
        <f aca="false">IF($BD336&lt;&gt;Constants!$B$6,"",Constants!$B$19*IF($AH336,$AI336,0))</f>
        <v/>
      </c>
      <c r="AY336" s="130" t="str">
        <f aca="false">IF($BD336&lt;&gt;Constants!$B$6,"",IF(AND($AH336,ISNUMBER($AK336)),Constants!$B$20*(Constants!$B$21-$AK336),0))</f>
        <v/>
      </c>
      <c r="AZ336" s="130" t="str">
        <f aca="false">IF($BD336&lt;&gt;Constants!$B$6,"",IF($AG336,0,Constants!$B$12)+IF($AF336,0,Constants!$B$13)+IF($Y336,0,Constants!$B$14))</f>
        <v/>
      </c>
      <c r="BA336" s="131" t="str">
        <f aca="false">IF($BD336&lt;&gt;Constants!$B$6,"",Constants!$B$16+SUM($AW336:$AZ336))</f>
        <v/>
      </c>
      <c r="BB336" s="130" t="str">
        <f aca="false">IF($BD336&lt;&gt;Constants!$B$6,"",IF($AH336,$AJ336,""))</f>
        <v/>
      </c>
      <c r="BC336" s="132" t="str">
        <f aca="false">IF($BD336&lt;&gt;Constants!$B$6,"",$AX336)</f>
        <v/>
      </c>
      <c r="BD336" s="127" t="str">
        <f aca="false">IF(ISBLANK($C336),"",IF($AL336,Constants!$B$9,IF(COUNTA($E336:$T336)=0,Constants!$B$8,IF(NOT($X336),Constants!$B$7,IF(OR($AM336,$AV336),Constants!$B$10,Constants!$B$6)))))</f>
        <v/>
      </c>
      <c r="BE336" s="127" t="str">
        <f aca="false">IF(ISBLANK($C336),"",IF($BD336&lt;&gt;Constants!$B$6,$BD336,Constants!$B$11))</f>
        <v/>
      </c>
      <c r="BF336" s="130" t="str">
        <f aca="false">IF($BD336&lt;&gt;Constants!$B$6,"",IF($AU336="-&gt;",$BA336,$AR336))</f>
        <v/>
      </c>
      <c r="BG336" s="130" t="str">
        <f aca="false">IF($BD336&lt;&gt;Constants!$B$6,"",IF($W336,0,Constants!$B$15))</f>
        <v/>
      </c>
      <c r="BH336" s="130" t="str">
        <f aca="false">IF(ISBLANK($C336),"",IF($BD336&lt;&gt;Constants!$B$6,$BD336,SUM($BF336:$BG336)))</f>
        <v/>
      </c>
      <c r="BI336" s="127" t="str">
        <f aca="false">IF(ISBLANK($C336),"",IF($BD336&lt;&gt;Constants!$B$6,$BD336,RANK($BH336,$BH$9:$BH$508,1)))</f>
        <v/>
      </c>
      <c r="BJ336" s="130" t="str">
        <f aca="false">IF($BD336&lt;&gt;Constants!$B$6,"",IF($AU336="-&gt;",$BB336,$AS336))</f>
        <v/>
      </c>
      <c r="BK336" s="127" t="str">
        <f aca="false">IF(ISBLANK($C336),"",IF($BD336&lt;&gt;Constants!$B$6,$BD336,IF(ISNUMBER($BJ336),RANK($BJ336,$BJ$9:$BJ$508,1),COUNT($BJ$9:$BJ$508)+1)))</f>
        <v/>
      </c>
      <c r="BL336" s="130" t="str">
        <f aca="false">IF($BD336&lt;&gt;Constants!$B$6,"",IF($AU336="-&gt;",$BC336,$AT336))</f>
        <v/>
      </c>
      <c r="BM336" s="127" t="str">
        <f aca="false">IF(ISBLANK($C336),"",IF($BD336&lt;&gt;Constants!$B$6,$BD336,IF(ISNUMBER($BL336),RANK($BL336,$BL$9:$BL$508,1),COUNT($BL$9:$BL$508)+1)))</f>
        <v/>
      </c>
      <c r="BN336" s="130" t="str">
        <f aca="false">IF($BD336&lt;&gt;Constants!$B$6,"",IF($AU336="-&gt;",$AS336,$BB336))</f>
        <v/>
      </c>
      <c r="BO336" s="127" t="str">
        <f aca="false">IF(ISBLANK($C336),"",IF($BD336&lt;&gt;Constants!$B$6,$BD336,IF(ISNUMBER($BN336),RANK($BN336,$BN$9:$BN$508,1),COUNT($BN$9:$BN$508)+1)))</f>
        <v/>
      </c>
      <c r="BP336" s="130" t="str">
        <f aca="false">IF($BD336&lt;&gt;Constants!$B$6,"",IF($AU336="-&gt;",$AT336,$BC336))</f>
        <v/>
      </c>
      <c r="BQ336" s="127" t="str">
        <f aca="false">IF(ISBLANK($C336),"",IF($BD336&lt;&gt;Constants!$B$6,$BD336,IF(ISNUMBER($BP336),RANK($BP336,$BP$9:$BP$508,1),COUNT($BP$9:$BP$508)+1)))</f>
        <v/>
      </c>
      <c r="BR336" s="127" t="str">
        <f aca="false">IF(ISBLANK($C336),"",IF($BD336&lt;&gt;Constants!$B$6,$BD336,COUNTIFS($BI$9:$BI$508,"&lt;"&amp;$BI336)+COUNTIFS($BI$9:$BI$508,$BI336,$BK$9:$BK$508,"&lt;"&amp;$BK336)+COUNTIFS($BI$9:$BI$508,$BI336,$BK$9:$BK$508,$BK336,$BM$9:$BM$508,"&lt;"&amp;$BM336)+COUNTIFS($BI$9:$BI$508,$BI336,$BK$9:$BK$508,$BK336,$BM$9:$BM$508,$BM336,$BO$9:$BO$508,"&lt;"&amp;$BO336)+COUNTIFS($BI$9:$BI$508,$BI336,$BK$9:$BK$508,$BK336,$BM$9:$BM$508,$BM336,$BO$9:$BO$508,$BO336,$BQ$9:$BQ$508,"&lt;"&amp;$BQ336)+1))</f>
        <v/>
      </c>
      <c r="BS336" s="127" t="str">
        <f aca="false">IF(ISBLANK($C336),"",IF($BD336&lt;&gt;Constants!$B$6,$BD336,$BI336-$BR336))</f>
        <v/>
      </c>
      <c r="BT336" s="133"/>
      <c r="BU336" s="134"/>
      <c r="BV336" s="134" t="str">
        <f aca="false">IF(ISBLANK($C336),"",IF($BD336&lt;&gt;Constants!$B$6,"",IF($AU336="-&gt;",2,1)))</f>
        <v/>
      </c>
      <c r="BW336" s="135" t="str">
        <f aca="false">IF(ISBLANK($C336),"",IF($BD336&lt;&gt;Constants!$B$6,"",IF($AU336="-&gt;",$AW336,$AN336)))</f>
        <v/>
      </c>
      <c r="BX336" s="135" t="str">
        <f aca="false">IF(ISBLANK($C336),"",IF($BD336&lt;&gt;Constants!$B$6,"",IF($AU336="-&gt;",$AX336,$AO336)))</f>
        <v/>
      </c>
      <c r="BY336" s="135" t="str">
        <f aca="false">IF(ISBLANK($C336),"",IF($BD336&lt;&gt;Constants!$B$6,"",IF($AU336="-&gt;",$AY336,$AP336)))</f>
        <v/>
      </c>
      <c r="BZ336" s="135" t="str">
        <f aca="false">IF(ISBLANK($C336),"",IF($BD336&lt;&gt;Constants!$B$6,"",IF($AU336="-&gt;",$AZ336,$AQ336)+$BG336))</f>
        <v/>
      </c>
      <c r="CA336" s="136" t="str">
        <f aca="false">IF(ISBLANK($C336),"",IF($BD336&lt;&gt;Constants!$B$6,$BD336,$BH336))</f>
        <v/>
      </c>
      <c r="CB336" s="137" t="str">
        <f aca="false">IF(ISBLANK($C336),"",$BE336)</f>
        <v/>
      </c>
      <c r="CC336" s="138" t="str">
        <f aca="false">IF(ISBLANK($C336),"",$BS336)</f>
        <v/>
      </c>
      <c r="CD336" s="138" t="str">
        <f aca="false">IF(ISBLANK($C336),"",$BR336)</f>
        <v/>
      </c>
      <c r="CE336" s="139" t="str">
        <f aca="false">IF(ISBLANK($C336),"",IF($CD336=Constants!$B$9,COUNTA($C$9:$C$508)+2,IF($CD336=Constants!$B$8,COUNTA($C$9:$C$508)+1,IF($CD336=Constants!$B$7,COUNTA($C$9:$C$508),$CD336))))</f>
        <v/>
      </c>
      <c r="CF336" s="9"/>
      <c r="CG336" s="140" t="n">
        <f aca="false">IF(OR(ISNUMBER($CD336),$CD336=Constants!$B$9,$CD336=Constants!$B$7,$CD336=Constants!$B$8),1,0)</f>
        <v>0</v>
      </c>
      <c r="CH336" s="140" t="n">
        <v>328</v>
      </c>
      <c r="CI336" s="140" t="str">
        <f aca="false">IF(ISBLANK($C336),"",IF(ISNUMBER($CE336),$CE336+ROW($B336)/1000,""))</f>
        <v/>
      </c>
      <c r="CJ336" s="140" t="str">
        <f aca="false">IF(ISNUMBER($CI336),RANK($CI336,$CI$9:$CI$508,1),"")</f>
        <v/>
      </c>
      <c r="CK336" s="140" t="str">
        <f aca="false">IF(ISBLANK($C336),"",$B336)</f>
        <v/>
      </c>
      <c r="CL336" s="140" t="str">
        <f aca="false">IF(ISBLANK($C336),"",$C336)</f>
        <v/>
      </c>
      <c r="CM336" s="140" t="str">
        <f aca="false">IF(ISBLANK($C336),"",$D336)</f>
        <v/>
      </c>
      <c r="CN336" s="141" t="str">
        <f aca="false">$CB336</f>
        <v/>
      </c>
      <c r="CO336" s="142" t="str">
        <f aca="false">$CA336</f>
        <v/>
      </c>
      <c r="CP336" s="140" t="str">
        <f aca="false">IF(ISBLANK($C336),"",$CD336)</f>
        <v/>
      </c>
      <c r="CQ336" s="143" t="str">
        <f aca="false">IF($CH336&gt;$CG$8,"",VLOOKUP($CH336,$CJ$9:$CP$508,7,FALSE()))</f>
        <v/>
      </c>
      <c r="CR336" s="144" t="str">
        <f aca="false">IF($CH336&gt;$CG$8,"",VLOOKUP($CH336,$CJ$9:$CP$508,2,FALSE()))</f>
        <v/>
      </c>
      <c r="CS336" s="144" t="str">
        <f aca="false">IF($CH336&gt;$CG$8,"",VLOOKUP($CH336,$CJ$9:$CP$508,3,FALSE()))</f>
        <v/>
      </c>
      <c r="CT336" s="144" t="str">
        <f aca="false">IF($CH336&gt;$CG$8,"",VLOOKUP($CH336,$CJ$9:$CP$508,4,FALSE()))</f>
        <v/>
      </c>
      <c r="CU336" s="144" t="str">
        <f aca="false">IF($CH336&gt;$CG$8,"",VLOOKUP($CH336,$CJ$9:$CP$508,5,FALSE()))</f>
        <v/>
      </c>
      <c r="CV336" s="145" t="str">
        <f aca="false">IF($CH336&gt;$CG$8,"",VLOOKUP($CH336,$CJ$9:$CP$508,6,FALSE()))</f>
        <v/>
      </c>
      <c r="CW336" s="71"/>
    </row>
    <row r="337" customFormat="false" ht="15.75" hidden="false" customHeight="false" outlineLevel="0" collapsed="false">
      <c r="A337" s="9"/>
      <c r="B337" s="150"/>
      <c r="C337" s="151"/>
      <c r="D337" s="152"/>
      <c r="E337" s="170"/>
      <c r="F337" s="154"/>
      <c r="G337" s="155"/>
      <c r="H337" s="171"/>
      <c r="I337" s="159"/>
      <c r="J337" s="120"/>
      <c r="K337" s="121"/>
      <c r="L337" s="122"/>
      <c r="M337" s="158"/>
      <c r="N337" s="159"/>
      <c r="O337" s="159"/>
      <c r="P337" s="120"/>
      <c r="Q337" s="122"/>
      <c r="R337" s="122"/>
      <c r="S337" s="158"/>
      <c r="T337" s="159"/>
      <c r="U337" s="126"/>
      <c r="V337" s="127"/>
      <c r="W337" s="127" t="str">
        <f aca="false">IF(ISBLANK($C337),"",IF(E337=Constants!$B$2,TRUE(),IF(E337=Constants!$B$3,FALSE(),TRUE())))</f>
        <v/>
      </c>
      <c r="X337" s="127" t="str">
        <f aca="false">IF(ISBLANK($C337),"",IF(F337=Constants!$B$2,TRUE(),IF(F337=Constants!$B$3,FALSE(),TRUE())))</f>
        <v/>
      </c>
      <c r="Y337" s="127" t="str">
        <f aca="false">IF(ISBLANK($C337),"",IF(G337=Constants!$B$2,TRUE(),IF(G337=Constants!$B$3,FALSE(),TRUE())))</f>
        <v/>
      </c>
      <c r="Z337" s="127" t="str">
        <f aca="false">IF(ISBLANK($C337),"",IF(H337=Constants!$B$2,TRUE(),IF(H337=Constants!$B$3,FALSE(),TRUE())))</f>
        <v/>
      </c>
      <c r="AA337" s="127" t="str">
        <f aca="false">IF(ISBLANK($C337),"",IF(I337=Constants!$B$2,TRUE(),IF(I337=Constants!$B$3,FALSE(),TRUE())))</f>
        <v/>
      </c>
      <c r="AB337" s="127" t="str">
        <f aca="false">IF(ISBLANK($C337),"",IF(J337=Constants!$B$4,TRUE(),IF(J337=Constants!$B$5,FALSE(),COUNTA(K337:M337)&gt;0)))</f>
        <v/>
      </c>
      <c r="AC337" s="128" t="str">
        <f aca="false">IF(ISBLANK($C337),"",IF(ISNUMBER(K337),IF(K337&gt;=0,K337,""),""))</f>
        <v/>
      </c>
      <c r="AD337" s="129" t="str">
        <f aca="false">IF(ISBLANK($C337),"",IF(ISNUMBER(L337),IF(L337&gt;=0,L337,""),""))</f>
        <v/>
      </c>
      <c r="AE337" s="127" t="str">
        <f aca="false">IF(ISBLANK($C337),"",IF(ISNUMBER(M337),IF(M337&gt;=0,MIN(M337,Constants!$B$22),""),""))</f>
        <v/>
      </c>
      <c r="AF337" s="127" t="str">
        <f aca="false">IF(ISBLANK($C337),"",IF(N337=Constants!$B$2,TRUE(),IF(N337=Constants!$B$3,FALSE(),TRUE())))</f>
        <v/>
      </c>
      <c r="AG337" s="127" t="str">
        <f aca="false">IF(ISBLANK($C337),"",IF(O337=Constants!$B$2,TRUE(),IF(O337=Constants!$B$3,FALSE(),TRUE())))</f>
        <v/>
      </c>
      <c r="AH337" s="127" t="str">
        <f aca="false">IF(ISBLANK($C337),"",IF(P337=Constants!$B$4,TRUE(),IF(P337=Constants!$B$5,FALSE(),COUNTA(Q337:S337)&gt;0)))</f>
        <v/>
      </c>
      <c r="AI337" s="128" t="str">
        <f aca="false">IF(ISBLANK($C337),"",IF(ISNUMBER(Q337),IF(Q337&gt;=0,Q337,""),""))</f>
        <v/>
      </c>
      <c r="AJ337" s="129" t="str">
        <f aca="false">IF(ISBLANK($C337),"",IF(ISNUMBER(R337),IF(R337&gt;=0,R337,""),""))</f>
        <v/>
      </c>
      <c r="AK337" s="127" t="str">
        <f aca="false">IF(ISBLANK($C337),"",IF(ISNUMBER(S337),IF(S337&gt;=0,MIN(S337,Constants!$B$22),""),""))</f>
        <v/>
      </c>
      <c r="AL337" s="127" t="str">
        <f aca="false">IF(ISBLANK($C337),"",IF(T337=Constants!$B$2,TRUE(),IF(T337=Constants!$B$3,FALSE(),FALSE())))</f>
        <v/>
      </c>
      <c r="AM337" s="126" t="str">
        <f aca="false">IF(ISBLANK($C337),"",AND($AB337,OR($AC337="",$AD337="",AND(NOT(ISBLANK($M337)),$AE337=""))))</f>
        <v/>
      </c>
      <c r="AN337" s="129" t="str">
        <f aca="false">IF($BD337&lt;&gt;Constants!$B$6,"",IF($AB337,Constants!$B$17*$AD337,Constants!$B$18))</f>
        <v/>
      </c>
      <c r="AO337" s="130" t="str">
        <f aca="false">IF($BD337&lt;&gt;Constants!$B$6,"",Constants!$B$19*IF($AB337,$AC337,0))</f>
        <v/>
      </c>
      <c r="AP337" s="130" t="str">
        <f aca="false">IF($BD337&lt;&gt;Constants!$B$6,"",IF(AND($AB337,ISNUMBER($AE337)),Constants!$B$20*(Constants!$B$21-$AE337),0))</f>
        <v/>
      </c>
      <c r="AQ337" s="130" t="str">
        <f aca="false">IF($BD337&lt;&gt;Constants!$B$6,"",IF($AA337,0,Constants!$B$12)+IF($Z337,0,Constants!$B$13)+IF($Y337,0,Constants!$B$14))</f>
        <v/>
      </c>
      <c r="AR337" s="131" t="str">
        <f aca="false">IF($BD337&lt;&gt;Constants!$B$6,"",Constants!$B$16+SUM($AN337:$AQ337))</f>
        <v/>
      </c>
      <c r="AS337" s="130" t="str">
        <f aca="false">IF($BD337&lt;&gt;Constants!$B$6,"",IF($AB337,$AD337,""))</f>
        <v/>
      </c>
      <c r="AT337" s="132" t="str">
        <f aca="false">IF($BD337&lt;&gt;Constants!$B$6,"",$AO337)</f>
        <v/>
      </c>
      <c r="AU337" s="127" t="str">
        <f aca="false">IF($BD337&lt;&gt;Constants!$B$6,"",IF(OR($BA337&lt;$AR337,AND($BA337=$AR337,OR(AND(ISNUMBER($BB337),OR(NOT(ISNUMBER($AS337)),$BB337&lt;$AS337)),AND(OR(AND($BB337="",$AS337=""),AND(ISNUMBER($BB337),ISNUMBER($AS337),$BB337=$AS337)),$BC337&lt;$AT337)))),"-&gt;","&lt;-"))</f>
        <v/>
      </c>
      <c r="AV337" s="126" t="str">
        <f aca="false">IF(ISBLANK($C337),"",AND($AH337,OR($AI337="",$AJ337="",AND(NOT(ISBLANK($S337)),$AK337=""))))</f>
        <v/>
      </c>
      <c r="AW337" s="129" t="str">
        <f aca="false">IF($BD337&lt;&gt;Constants!$B$6,"",IF($AH337,Constants!$B$17*$AJ337,Constants!$B$18))</f>
        <v/>
      </c>
      <c r="AX337" s="130" t="str">
        <f aca="false">IF($BD337&lt;&gt;Constants!$B$6,"",Constants!$B$19*IF($AH337,$AI337,0))</f>
        <v/>
      </c>
      <c r="AY337" s="130" t="str">
        <f aca="false">IF($BD337&lt;&gt;Constants!$B$6,"",IF(AND($AH337,ISNUMBER($AK337)),Constants!$B$20*(Constants!$B$21-$AK337),0))</f>
        <v/>
      </c>
      <c r="AZ337" s="130" t="str">
        <f aca="false">IF($BD337&lt;&gt;Constants!$B$6,"",IF($AG337,0,Constants!$B$12)+IF($AF337,0,Constants!$B$13)+IF($Y337,0,Constants!$B$14))</f>
        <v/>
      </c>
      <c r="BA337" s="131" t="str">
        <f aca="false">IF($BD337&lt;&gt;Constants!$B$6,"",Constants!$B$16+SUM($AW337:$AZ337))</f>
        <v/>
      </c>
      <c r="BB337" s="130" t="str">
        <f aca="false">IF($BD337&lt;&gt;Constants!$B$6,"",IF($AH337,$AJ337,""))</f>
        <v/>
      </c>
      <c r="BC337" s="132" t="str">
        <f aca="false">IF($BD337&lt;&gt;Constants!$B$6,"",$AX337)</f>
        <v/>
      </c>
      <c r="BD337" s="127" t="str">
        <f aca="false">IF(ISBLANK($C337),"",IF($AL337,Constants!$B$9,IF(COUNTA($E337:$T337)=0,Constants!$B$8,IF(NOT($X337),Constants!$B$7,IF(OR($AM337,$AV337),Constants!$B$10,Constants!$B$6)))))</f>
        <v/>
      </c>
      <c r="BE337" s="127" t="str">
        <f aca="false">IF(ISBLANK($C337),"",IF($BD337&lt;&gt;Constants!$B$6,$BD337,Constants!$B$11))</f>
        <v/>
      </c>
      <c r="BF337" s="130" t="str">
        <f aca="false">IF($BD337&lt;&gt;Constants!$B$6,"",IF($AU337="-&gt;",$BA337,$AR337))</f>
        <v/>
      </c>
      <c r="BG337" s="130" t="str">
        <f aca="false">IF($BD337&lt;&gt;Constants!$B$6,"",IF($W337,0,Constants!$B$15))</f>
        <v/>
      </c>
      <c r="BH337" s="130" t="str">
        <f aca="false">IF(ISBLANK($C337),"",IF($BD337&lt;&gt;Constants!$B$6,$BD337,SUM($BF337:$BG337)))</f>
        <v/>
      </c>
      <c r="BI337" s="127" t="str">
        <f aca="false">IF(ISBLANK($C337),"",IF($BD337&lt;&gt;Constants!$B$6,$BD337,RANK($BH337,$BH$9:$BH$508,1)))</f>
        <v/>
      </c>
      <c r="BJ337" s="130" t="str">
        <f aca="false">IF($BD337&lt;&gt;Constants!$B$6,"",IF($AU337="-&gt;",$BB337,$AS337))</f>
        <v/>
      </c>
      <c r="BK337" s="127" t="str">
        <f aca="false">IF(ISBLANK($C337),"",IF($BD337&lt;&gt;Constants!$B$6,$BD337,IF(ISNUMBER($BJ337),RANK($BJ337,$BJ$9:$BJ$508,1),COUNT($BJ$9:$BJ$508)+1)))</f>
        <v/>
      </c>
      <c r="BL337" s="130" t="str">
        <f aca="false">IF($BD337&lt;&gt;Constants!$B$6,"",IF($AU337="-&gt;",$BC337,$AT337))</f>
        <v/>
      </c>
      <c r="BM337" s="127" t="str">
        <f aca="false">IF(ISBLANK($C337),"",IF($BD337&lt;&gt;Constants!$B$6,$BD337,IF(ISNUMBER($BL337),RANK($BL337,$BL$9:$BL$508,1),COUNT($BL$9:$BL$508)+1)))</f>
        <v/>
      </c>
      <c r="BN337" s="130" t="str">
        <f aca="false">IF($BD337&lt;&gt;Constants!$B$6,"",IF($AU337="-&gt;",$AS337,$BB337))</f>
        <v/>
      </c>
      <c r="BO337" s="127" t="str">
        <f aca="false">IF(ISBLANK($C337),"",IF($BD337&lt;&gt;Constants!$B$6,$BD337,IF(ISNUMBER($BN337),RANK($BN337,$BN$9:$BN$508,1),COUNT($BN$9:$BN$508)+1)))</f>
        <v/>
      </c>
      <c r="BP337" s="130" t="str">
        <f aca="false">IF($BD337&lt;&gt;Constants!$B$6,"",IF($AU337="-&gt;",$AT337,$BC337))</f>
        <v/>
      </c>
      <c r="BQ337" s="127" t="str">
        <f aca="false">IF(ISBLANK($C337),"",IF($BD337&lt;&gt;Constants!$B$6,$BD337,IF(ISNUMBER($BP337),RANK($BP337,$BP$9:$BP$508,1),COUNT($BP$9:$BP$508)+1)))</f>
        <v/>
      </c>
      <c r="BR337" s="127" t="str">
        <f aca="false">IF(ISBLANK($C337),"",IF($BD337&lt;&gt;Constants!$B$6,$BD337,COUNTIFS($BI$9:$BI$508,"&lt;"&amp;$BI337)+COUNTIFS($BI$9:$BI$508,$BI337,$BK$9:$BK$508,"&lt;"&amp;$BK337)+COUNTIFS($BI$9:$BI$508,$BI337,$BK$9:$BK$508,$BK337,$BM$9:$BM$508,"&lt;"&amp;$BM337)+COUNTIFS($BI$9:$BI$508,$BI337,$BK$9:$BK$508,$BK337,$BM$9:$BM$508,$BM337,$BO$9:$BO$508,"&lt;"&amp;$BO337)+COUNTIFS($BI$9:$BI$508,$BI337,$BK$9:$BK$508,$BK337,$BM$9:$BM$508,$BM337,$BO$9:$BO$508,$BO337,$BQ$9:$BQ$508,"&lt;"&amp;$BQ337)+1))</f>
        <v/>
      </c>
      <c r="BS337" s="127" t="str">
        <f aca="false">IF(ISBLANK($C337),"",IF($BD337&lt;&gt;Constants!$B$6,$BD337,$BI337-$BR337))</f>
        <v/>
      </c>
      <c r="BT337" s="133"/>
      <c r="BU337" s="134"/>
      <c r="BV337" s="134" t="str">
        <f aca="false">IF(ISBLANK($C337),"",IF($BD337&lt;&gt;Constants!$B$6,"",IF($AU337="-&gt;",2,1)))</f>
        <v/>
      </c>
      <c r="BW337" s="135" t="str">
        <f aca="false">IF(ISBLANK($C337),"",IF($BD337&lt;&gt;Constants!$B$6,"",IF($AU337="-&gt;",$AW337,$AN337)))</f>
        <v/>
      </c>
      <c r="BX337" s="135" t="str">
        <f aca="false">IF(ISBLANK($C337),"",IF($BD337&lt;&gt;Constants!$B$6,"",IF($AU337="-&gt;",$AX337,$AO337)))</f>
        <v/>
      </c>
      <c r="BY337" s="135" t="str">
        <f aca="false">IF(ISBLANK($C337),"",IF($BD337&lt;&gt;Constants!$B$6,"",IF($AU337="-&gt;",$AY337,$AP337)))</f>
        <v/>
      </c>
      <c r="BZ337" s="135" t="str">
        <f aca="false">IF(ISBLANK($C337),"",IF($BD337&lt;&gt;Constants!$B$6,"",IF($AU337="-&gt;",$AZ337,$AQ337)+$BG337))</f>
        <v/>
      </c>
      <c r="CA337" s="136" t="str">
        <f aca="false">IF(ISBLANK($C337),"",IF($BD337&lt;&gt;Constants!$B$6,$BD337,$BH337))</f>
        <v/>
      </c>
      <c r="CB337" s="137" t="str">
        <f aca="false">IF(ISBLANK($C337),"",$BE337)</f>
        <v/>
      </c>
      <c r="CC337" s="138" t="str">
        <f aca="false">IF(ISBLANK($C337),"",$BS337)</f>
        <v/>
      </c>
      <c r="CD337" s="138" t="str">
        <f aca="false">IF(ISBLANK($C337),"",$BR337)</f>
        <v/>
      </c>
      <c r="CE337" s="139" t="str">
        <f aca="false">IF(ISBLANK($C337),"",IF($CD337=Constants!$B$9,COUNTA($C$9:$C$508)+2,IF($CD337=Constants!$B$8,COUNTA($C$9:$C$508)+1,IF($CD337=Constants!$B$7,COUNTA($C$9:$C$508),$CD337))))</f>
        <v/>
      </c>
      <c r="CF337" s="9"/>
      <c r="CG337" s="140" t="n">
        <f aca="false">IF(OR(ISNUMBER($CD337),$CD337=Constants!$B$9,$CD337=Constants!$B$7,$CD337=Constants!$B$8),1,0)</f>
        <v>0</v>
      </c>
      <c r="CH337" s="140" t="n">
        <v>329</v>
      </c>
      <c r="CI337" s="140" t="str">
        <f aca="false">IF(ISBLANK($C337),"",IF(ISNUMBER($CE337),$CE337+ROW($B337)/1000,""))</f>
        <v/>
      </c>
      <c r="CJ337" s="140" t="str">
        <f aca="false">IF(ISNUMBER($CI337),RANK($CI337,$CI$9:$CI$508,1),"")</f>
        <v/>
      </c>
      <c r="CK337" s="140" t="str">
        <f aca="false">IF(ISBLANK($C337),"",$B337)</f>
        <v/>
      </c>
      <c r="CL337" s="140" t="str">
        <f aca="false">IF(ISBLANK($C337),"",$C337)</f>
        <v/>
      </c>
      <c r="CM337" s="140" t="str">
        <f aca="false">IF(ISBLANK($C337),"",$D337)</f>
        <v/>
      </c>
      <c r="CN337" s="141" t="str">
        <f aca="false">$CB337</f>
        <v/>
      </c>
      <c r="CO337" s="142" t="str">
        <f aca="false">$CA337</f>
        <v/>
      </c>
      <c r="CP337" s="140" t="str">
        <f aca="false">IF(ISBLANK($C337),"",$CD337)</f>
        <v/>
      </c>
      <c r="CQ337" s="143" t="str">
        <f aca="false">IF($CH337&gt;$CG$8,"",VLOOKUP($CH337,$CJ$9:$CP$508,7,FALSE()))</f>
        <v/>
      </c>
      <c r="CR337" s="144" t="str">
        <f aca="false">IF($CH337&gt;$CG$8,"",VLOOKUP($CH337,$CJ$9:$CP$508,2,FALSE()))</f>
        <v/>
      </c>
      <c r="CS337" s="144" t="str">
        <f aca="false">IF($CH337&gt;$CG$8,"",VLOOKUP($CH337,$CJ$9:$CP$508,3,FALSE()))</f>
        <v/>
      </c>
      <c r="CT337" s="144" t="str">
        <f aca="false">IF($CH337&gt;$CG$8,"",VLOOKUP($CH337,$CJ$9:$CP$508,4,FALSE()))</f>
        <v/>
      </c>
      <c r="CU337" s="144" t="str">
        <f aca="false">IF($CH337&gt;$CG$8,"",VLOOKUP($CH337,$CJ$9:$CP$508,5,FALSE()))</f>
        <v/>
      </c>
      <c r="CV337" s="145" t="str">
        <f aca="false">IF($CH337&gt;$CG$8,"",VLOOKUP($CH337,$CJ$9:$CP$508,6,FALSE()))</f>
        <v/>
      </c>
      <c r="CW337" s="71"/>
    </row>
    <row r="338" customFormat="false" ht="15.75" hidden="false" customHeight="false" outlineLevel="0" collapsed="false">
      <c r="A338" s="9"/>
      <c r="B338" s="150"/>
      <c r="C338" s="151"/>
      <c r="D338" s="152"/>
      <c r="E338" s="170"/>
      <c r="F338" s="154"/>
      <c r="G338" s="155"/>
      <c r="H338" s="171"/>
      <c r="I338" s="159"/>
      <c r="J338" s="120"/>
      <c r="K338" s="121"/>
      <c r="L338" s="122"/>
      <c r="M338" s="158"/>
      <c r="N338" s="159"/>
      <c r="O338" s="159"/>
      <c r="P338" s="120"/>
      <c r="Q338" s="122"/>
      <c r="R338" s="122"/>
      <c r="S338" s="158"/>
      <c r="T338" s="159"/>
      <c r="U338" s="126"/>
      <c r="V338" s="127"/>
      <c r="W338" s="127" t="str">
        <f aca="false">IF(ISBLANK($C338),"",IF(E338=Constants!$B$2,TRUE(),IF(E338=Constants!$B$3,FALSE(),TRUE())))</f>
        <v/>
      </c>
      <c r="X338" s="127" t="str">
        <f aca="false">IF(ISBLANK($C338),"",IF(F338=Constants!$B$2,TRUE(),IF(F338=Constants!$B$3,FALSE(),TRUE())))</f>
        <v/>
      </c>
      <c r="Y338" s="127" t="str">
        <f aca="false">IF(ISBLANK($C338),"",IF(G338=Constants!$B$2,TRUE(),IF(G338=Constants!$B$3,FALSE(),TRUE())))</f>
        <v/>
      </c>
      <c r="Z338" s="127" t="str">
        <f aca="false">IF(ISBLANK($C338),"",IF(H338=Constants!$B$2,TRUE(),IF(H338=Constants!$B$3,FALSE(),TRUE())))</f>
        <v/>
      </c>
      <c r="AA338" s="127" t="str">
        <f aca="false">IF(ISBLANK($C338),"",IF(I338=Constants!$B$2,TRUE(),IF(I338=Constants!$B$3,FALSE(),TRUE())))</f>
        <v/>
      </c>
      <c r="AB338" s="127" t="str">
        <f aca="false">IF(ISBLANK($C338),"",IF(J338=Constants!$B$4,TRUE(),IF(J338=Constants!$B$5,FALSE(),COUNTA(K338:M338)&gt;0)))</f>
        <v/>
      </c>
      <c r="AC338" s="128" t="str">
        <f aca="false">IF(ISBLANK($C338),"",IF(ISNUMBER(K338),IF(K338&gt;=0,K338,""),""))</f>
        <v/>
      </c>
      <c r="AD338" s="129" t="str">
        <f aca="false">IF(ISBLANK($C338),"",IF(ISNUMBER(L338),IF(L338&gt;=0,L338,""),""))</f>
        <v/>
      </c>
      <c r="AE338" s="127" t="str">
        <f aca="false">IF(ISBLANK($C338),"",IF(ISNUMBER(M338),IF(M338&gt;=0,MIN(M338,Constants!$B$22),""),""))</f>
        <v/>
      </c>
      <c r="AF338" s="127" t="str">
        <f aca="false">IF(ISBLANK($C338),"",IF(N338=Constants!$B$2,TRUE(),IF(N338=Constants!$B$3,FALSE(),TRUE())))</f>
        <v/>
      </c>
      <c r="AG338" s="127" t="str">
        <f aca="false">IF(ISBLANK($C338),"",IF(O338=Constants!$B$2,TRUE(),IF(O338=Constants!$B$3,FALSE(),TRUE())))</f>
        <v/>
      </c>
      <c r="AH338" s="127" t="str">
        <f aca="false">IF(ISBLANK($C338),"",IF(P338=Constants!$B$4,TRUE(),IF(P338=Constants!$B$5,FALSE(),COUNTA(Q338:S338)&gt;0)))</f>
        <v/>
      </c>
      <c r="AI338" s="128" t="str">
        <f aca="false">IF(ISBLANK($C338),"",IF(ISNUMBER(Q338),IF(Q338&gt;=0,Q338,""),""))</f>
        <v/>
      </c>
      <c r="AJ338" s="129" t="str">
        <f aca="false">IF(ISBLANK($C338),"",IF(ISNUMBER(R338),IF(R338&gt;=0,R338,""),""))</f>
        <v/>
      </c>
      <c r="AK338" s="127" t="str">
        <f aca="false">IF(ISBLANK($C338),"",IF(ISNUMBER(S338),IF(S338&gt;=0,MIN(S338,Constants!$B$22),""),""))</f>
        <v/>
      </c>
      <c r="AL338" s="127" t="str">
        <f aca="false">IF(ISBLANK($C338),"",IF(T338=Constants!$B$2,TRUE(),IF(T338=Constants!$B$3,FALSE(),FALSE())))</f>
        <v/>
      </c>
      <c r="AM338" s="126" t="str">
        <f aca="false">IF(ISBLANK($C338),"",AND($AB338,OR($AC338="",$AD338="",AND(NOT(ISBLANK($M338)),$AE338=""))))</f>
        <v/>
      </c>
      <c r="AN338" s="129" t="str">
        <f aca="false">IF($BD338&lt;&gt;Constants!$B$6,"",IF($AB338,Constants!$B$17*$AD338,Constants!$B$18))</f>
        <v/>
      </c>
      <c r="AO338" s="130" t="str">
        <f aca="false">IF($BD338&lt;&gt;Constants!$B$6,"",Constants!$B$19*IF($AB338,$AC338,0))</f>
        <v/>
      </c>
      <c r="AP338" s="130" t="str">
        <f aca="false">IF($BD338&lt;&gt;Constants!$B$6,"",IF(AND($AB338,ISNUMBER($AE338)),Constants!$B$20*(Constants!$B$21-$AE338),0))</f>
        <v/>
      </c>
      <c r="AQ338" s="130" t="str">
        <f aca="false">IF($BD338&lt;&gt;Constants!$B$6,"",IF($AA338,0,Constants!$B$12)+IF($Z338,0,Constants!$B$13)+IF($Y338,0,Constants!$B$14))</f>
        <v/>
      </c>
      <c r="AR338" s="131" t="str">
        <f aca="false">IF($BD338&lt;&gt;Constants!$B$6,"",Constants!$B$16+SUM($AN338:$AQ338))</f>
        <v/>
      </c>
      <c r="AS338" s="130" t="str">
        <f aca="false">IF($BD338&lt;&gt;Constants!$B$6,"",IF($AB338,$AD338,""))</f>
        <v/>
      </c>
      <c r="AT338" s="132" t="str">
        <f aca="false">IF($BD338&lt;&gt;Constants!$B$6,"",$AO338)</f>
        <v/>
      </c>
      <c r="AU338" s="127" t="str">
        <f aca="false">IF($BD338&lt;&gt;Constants!$B$6,"",IF(OR($BA338&lt;$AR338,AND($BA338=$AR338,OR(AND(ISNUMBER($BB338),OR(NOT(ISNUMBER($AS338)),$BB338&lt;$AS338)),AND(OR(AND($BB338="",$AS338=""),AND(ISNUMBER($BB338),ISNUMBER($AS338),$BB338=$AS338)),$BC338&lt;$AT338)))),"-&gt;","&lt;-"))</f>
        <v/>
      </c>
      <c r="AV338" s="126" t="str">
        <f aca="false">IF(ISBLANK($C338),"",AND($AH338,OR($AI338="",$AJ338="",AND(NOT(ISBLANK($S338)),$AK338=""))))</f>
        <v/>
      </c>
      <c r="AW338" s="129" t="str">
        <f aca="false">IF($BD338&lt;&gt;Constants!$B$6,"",IF($AH338,Constants!$B$17*$AJ338,Constants!$B$18))</f>
        <v/>
      </c>
      <c r="AX338" s="130" t="str">
        <f aca="false">IF($BD338&lt;&gt;Constants!$B$6,"",Constants!$B$19*IF($AH338,$AI338,0))</f>
        <v/>
      </c>
      <c r="AY338" s="130" t="str">
        <f aca="false">IF($BD338&lt;&gt;Constants!$B$6,"",IF(AND($AH338,ISNUMBER($AK338)),Constants!$B$20*(Constants!$B$21-$AK338),0))</f>
        <v/>
      </c>
      <c r="AZ338" s="130" t="str">
        <f aca="false">IF($BD338&lt;&gt;Constants!$B$6,"",IF($AG338,0,Constants!$B$12)+IF($AF338,0,Constants!$B$13)+IF($Y338,0,Constants!$B$14))</f>
        <v/>
      </c>
      <c r="BA338" s="131" t="str">
        <f aca="false">IF($BD338&lt;&gt;Constants!$B$6,"",Constants!$B$16+SUM($AW338:$AZ338))</f>
        <v/>
      </c>
      <c r="BB338" s="130" t="str">
        <f aca="false">IF($BD338&lt;&gt;Constants!$B$6,"",IF($AH338,$AJ338,""))</f>
        <v/>
      </c>
      <c r="BC338" s="132" t="str">
        <f aca="false">IF($BD338&lt;&gt;Constants!$B$6,"",$AX338)</f>
        <v/>
      </c>
      <c r="BD338" s="127" t="str">
        <f aca="false">IF(ISBLANK($C338),"",IF($AL338,Constants!$B$9,IF(COUNTA($E338:$T338)=0,Constants!$B$8,IF(NOT($X338),Constants!$B$7,IF(OR($AM338,$AV338),Constants!$B$10,Constants!$B$6)))))</f>
        <v/>
      </c>
      <c r="BE338" s="127" t="str">
        <f aca="false">IF(ISBLANK($C338),"",IF($BD338&lt;&gt;Constants!$B$6,$BD338,Constants!$B$11))</f>
        <v/>
      </c>
      <c r="BF338" s="130" t="str">
        <f aca="false">IF($BD338&lt;&gt;Constants!$B$6,"",IF($AU338="-&gt;",$BA338,$AR338))</f>
        <v/>
      </c>
      <c r="BG338" s="130" t="str">
        <f aca="false">IF($BD338&lt;&gt;Constants!$B$6,"",IF($W338,0,Constants!$B$15))</f>
        <v/>
      </c>
      <c r="BH338" s="130" t="str">
        <f aca="false">IF(ISBLANK($C338),"",IF($BD338&lt;&gt;Constants!$B$6,$BD338,SUM($BF338:$BG338)))</f>
        <v/>
      </c>
      <c r="BI338" s="127" t="str">
        <f aca="false">IF(ISBLANK($C338),"",IF($BD338&lt;&gt;Constants!$B$6,$BD338,RANK($BH338,$BH$9:$BH$508,1)))</f>
        <v/>
      </c>
      <c r="BJ338" s="130" t="str">
        <f aca="false">IF($BD338&lt;&gt;Constants!$B$6,"",IF($AU338="-&gt;",$BB338,$AS338))</f>
        <v/>
      </c>
      <c r="BK338" s="127" t="str">
        <f aca="false">IF(ISBLANK($C338),"",IF($BD338&lt;&gt;Constants!$B$6,$BD338,IF(ISNUMBER($BJ338),RANK($BJ338,$BJ$9:$BJ$508,1),COUNT($BJ$9:$BJ$508)+1)))</f>
        <v/>
      </c>
      <c r="BL338" s="130" t="str">
        <f aca="false">IF($BD338&lt;&gt;Constants!$B$6,"",IF($AU338="-&gt;",$BC338,$AT338))</f>
        <v/>
      </c>
      <c r="BM338" s="127" t="str">
        <f aca="false">IF(ISBLANK($C338),"",IF($BD338&lt;&gt;Constants!$B$6,$BD338,IF(ISNUMBER($BL338),RANK($BL338,$BL$9:$BL$508,1),COUNT($BL$9:$BL$508)+1)))</f>
        <v/>
      </c>
      <c r="BN338" s="130" t="str">
        <f aca="false">IF($BD338&lt;&gt;Constants!$B$6,"",IF($AU338="-&gt;",$AS338,$BB338))</f>
        <v/>
      </c>
      <c r="BO338" s="127" t="str">
        <f aca="false">IF(ISBLANK($C338),"",IF($BD338&lt;&gt;Constants!$B$6,$BD338,IF(ISNUMBER($BN338),RANK($BN338,$BN$9:$BN$508,1),COUNT($BN$9:$BN$508)+1)))</f>
        <v/>
      </c>
      <c r="BP338" s="130" t="str">
        <f aca="false">IF($BD338&lt;&gt;Constants!$B$6,"",IF($AU338="-&gt;",$AT338,$BC338))</f>
        <v/>
      </c>
      <c r="BQ338" s="127" t="str">
        <f aca="false">IF(ISBLANK($C338),"",IF($BD338&lt;&gt;Constants!$B$6,$BD338,IF(ISNUMBER($BP338),RANK($BP338,$BP$9:$BP$508,1),COUNT($BP$9:$BP$508)+1)))</f>
        <v/>
      </c>
      <c r="BR338" s="127" t="str">
        <f aca="false">IF(ISBLANK($C338),"",IF($BD338&lt;&gt;Constants!$B$6,$BD338,COUNTIFS($BI$9:$BI$508,"&lt;"&amp;$BI338)+COUNTIFS($BI$9:$BI$508,$BI338,$BK$9:$BK$508,"&lt;"&amp;$BK338)+COUNTIFS($BI$9:$BI$508,$BI338,$BK$9:$BK$508,$BK338,$BM$9:$BM$508,"&lt;"&amp;$BM338)+COUNTIFS($BI$9:$BI$508,$BI338,$BK$9:$BK$508,$BK338,$BM$9:$BM$508,$BM338,$BO$9:$BO$508,"&lt;"&amp;$BO338)+COUNTIFS($BI$9:$BI$508,$BI338,$BK$9:$BK$508,$BK338,$BM$9:$BM$508,$BM338,$BO$9:$BO$508,$BO338,$BQ$9:$BQ$508,"&lt;"&amp;$BQ338)+1))</f>
        <v/>
      </c>
      <c r="BS338" s="127" t="str">
        <f aca="false">IF(ISBLANK($C338),"",IF($BD338&lt;&gt;Constants!$B$6,$BD338,$BI338-$BR338))</f>
        <v/>
      </c>
      <c r="BT338" s="133"/>
      <c r="BU338" s="134"/>
      <c r="BV338" s="134" t="str">
        <f aca="false">IF(ISBLANK($C338),"",IF($BD338&lt;&gt;Constants!$B$6,"",IF($AU338="-&gt;",2,1)))</f>
        <v/>
      </c>
      <c r="BW338" s="135" t="str">
        <f aca="false">IF(ISBLANK($C338),"",IF($BD338&lt;&gt;Constants!$B$6,"",IF($AU338="-&gt;",$AW338,$AN338)))</f>
        <v/>
      </c>
      <c r="BX338" s="135" t="str">
        <f aca="false">IF(ISBLANK($C338),"",IF($BD338&lt;&gt;Constants!$B$6,"",IF($AU338="-&gt;",$AX338,$AO338)))</f>
        <v/>
      </c>
      <c r="BY338" s="135" t="str">
        <f aca="false">IF(ISBLANK($C338),"",IF($BD338&lt;&gt;Constants!$B$6,"",IF($AU338="-&gt;",$AY338,$AP338)))</f>
        <v/>
      </c>
      <c r="BZ338" s="135" t="str">
        <f aca="false">IF(ISBLANK($C338),"",IF($BD338&lt;&gt;Constants!$B$6,"",IF($AU338="-&gt;",$AZ338,$AQ338)+$BG338))</f>
        <v/>
      </c>
      <c r="CA338" s="136" t="str">
        <f aca="false">IF(ISBLANK($C338),"",IF($BD338&lt;&gt;Constants!$B$6,$BD338,$BH338))</f>
        <v/>
      </c>
      <c r="CB338" s="137" t="str">
        <f aca="false">IF(ISBLANK($C338),"",$BE338)</f>
        <v/>
      </c>
      <c r="CC338" s="138" t="str">
        <f aca="false">IF(ISBLANK($C338),"",$BS338)</f>
        <v/>
      </c>
      <c r="CD338" s="138" t="str">
        <f aca="false">IF(ISBLANK($C338),"",$BR338)</f>
        <v/>
      </c>
      <c r="CE338" s="139" t="str">
        <f aca="false">IF(ISBLANK($C338),"",IF($CD338=Constants!$B$9,COUNTA($C$9:$C$508)+2,IF($CD338=Constants!$B$8,COUNTA($C$9:$C$508)+1,IF($CD338=Constants!$B$7,COUNTA($C$9:$C$508),$CD338))))</f>
        <v/>
      </c>
      <c r="CF338" s="9"/>
      <c r="CG338" s="140" t="n">
        <f aca="false">IF(OR(ISNUMBER($CD338),$CD338=Constants!$B$9,$CD338=Constants!$B$7,$CD338=Constants!$B$8),1,0)</f>
        <v>0</v>
      </c>
      <c r="CH338" s="140" t="n">
        <v>330</v>
      </c>
      <c r="CI338" s="140" t="str">
        <f aca="false">IF(ISBLANK($C338),"",IF(ISNUMBER($CE338),$CE338+ROW($B338)/1000,""))</f>
        <v/>
      </c>
      <c r="CJ338" s="140" t="str">
        <f aca="false">IF(ISNUMBER($CI338),RANK($CI338,$CI$9:$CI$508,1),"")</f>
        <v/>
      </c>
      <c r="CK338" s="140" t="str">
        <f aca="false">IF(ISBLANK($C338),"",$B338)</f>
        <v/>
      </c>
      <c r="CL338" s="140" t="str">
        <f aca="false">IF(ISBLANK($C338),"",$C338)</f>
        <v/>
      </c>
      <c r="CM338" s="140" t="str">
        <f aca="false">IF(ISBLANK($C338),"",$D338)</f>
        <v/>
      </c>
      <c r="CN338" s="141" t="str">
        <f aca="false">$CB338</f>
        <v/>
      </c>
      <c r="CO338" s="142" t="str">
        <f aca="false">$CA338</f>
        <v/>
      </c>
      <c r="CP338" s="140" t="str">
        <f aca="false">IF(ISBLANK($C338),"",$CD338)</f>
        <v/>
      </c>
      <c r="CQ338" s="143" t="str">
        <f aca="false">IF($CH338&gt;$CG$8,"",VLOOKUP($CH338,$CJ$9:$CP$508,7,FALSE()))</f>
        <v/>
      </c>
      <c r="CR338" s="144" t="str">
        <f aca="false">IF($CH338&gt;$CG$8,"",VLOOKUP($CH338,$CJ$9:$CP$508,2,FALSE()))</f>
        <v/>
      </c>
      <c r="CS338" s="144" t="str">
        <f aca="false">IF($CH338&gt;$CG$8,"",VLOOKUP($CH338,$CJ$9:$CP$508,3,FALSE()))</f>
        <v/>
      </c>
      <c r="CT338" s="144" t="str">
        <f aca="false">IF($CH338&gt;$CG$8,"",VLOOKUP($CH338,$CJ$9:$CP$508,4,FALSE()))</f>
        <v/>
      </c>
      <c r="CU338" s="144" t="str">
        <f aca="false">IF($CH338&gt;$CG$8,"",VLOOKUP($CH338,$CJ$9:$CP$508,5,FALSE()))</f>
        <v/>
      </c>
      <c r="CV338" s="145" t="str">
        <f aca="false">IF($CH338&gt;$CG$8,"",VLOOKUP($CH338,$CJ$9:$CP$508,6,FALSE()))</f>
        <v/>
      </c>
      <c r="CW338" s="71"/>
    </row>
    <row r="339" customFormat="false" ht="15.75" hidden="false" customHeight="false" outlineLevel="0" collapsed="false">
      <c r="A339" s="9"/>
      <c r="B339" s="72"/>
      <c r="C339" s="73"/>
      <c r="D339" s="160"/>
      <c r="E339" s="168"/>
      <c r="F339" s="162"/>
      <c r="G339" s="163"/>
      <c r="H339" s="169"/>
      <c r="I339" s="167"/>
      <c r="J339" s="80"/>
      <c r="K339" s="81"/>
      <c r="L339" s="82"/>
      <c r="M339" s="166"/>
      <c r="N339" s="167"/>
      <c r="O339" s="167"/>
      <c r="P339" s="80"/>
      <c r="Q339" s="82"/>
      <c r="R339" s="82"/>
      <c r="S339" s="166"/>
      <c r="T339" s="167"/>
      <c r="U339" s="86"/>
      <c r="V339" s="87"/>
      <c r="W339" s="87" t="str">
        <f aca="false">IF(ISBLANK($C339),"",IF(E339=Constants!$B$2,TRUE(),IF(E339=Constants!$B$3,FALSE(),TRUE())))</f>
        <v/>
      </c>
      <c r="X339" s="87" t="str">
        <f aca="false">IF(ISBLANK($C339),"",IF(F339=Constants!$B$2,TRUE(),IF(F339=Constants!$B$3,FALSE(),TRUE())))</f>
        <v/>
      </c>
      <c r="Y339" s="87" t="str">
        <f aca="false">IF(ISBLANK($C339),"",IF(G339=Constants!$B$2,TRUE(),IF(G339=Constants!$B$3,FALSE(),TRUE())))</f>
        <v/>
      </c>
      <c r="Z339" s="87" t="str">
        <f aca="false">IF(ISBLANK($C339),"",IF(H339=Constants!$B$2,TRUE(),IF(H339=Constants!$B$3,FALSE(),TRUE())))</f>
        <v/>
      </c>
      <c r="AA339" s="87" t="str">
        <f aca="false">IF(ISBLANK($C339),"",IF(I339=Constants!$B$2,TRUE(),IF(I339=Constants!$B$3,FALSE(),TRUE())))</f>
        <v/>
      </c>
      <c r="AB339" s="87" t="str">
        <f aca="false">IF(ISBLANK($C339),"",IF(J339=Constants!$B$4,TRUE(),IF(J339=Constants!$B$5,FALSE(),COUNTA(K339:M339)&gt;0)))</f>
        <v/>
      </c>
      <c r="AC339" s="88" t="str">
        <f aca="false">IF(ISBLANK($C339),"",IF(ISNUMBER(K339),IF(K339&gt;=0,K339,""),""))</f>
        <v/>
      </c>
      <c r="AD339" s="89" t="str">
        <f aca="false">IF(ISBLANK($C339),"",IF(ISNUMBER(L339),IF(L339&gt;=0,L339,""),""))</f>
        <v/>
      </c>
      <c r="AE339" s="87" t="str">
        <f aca="false">IF(ISBLANK($C339),"",IF(ISNUMBER(M339),IF(M339&gt;=0,MIN(M339,Constants!$B$22),""),""))</f>
        <v/>
      </c>
      <c r="AF339" s="87" t="str">
        <f aca="false">IF(ISBLANK($C339),"",IF(N339=Constants!$B$2,TRUE(),IF(N339=Constants!$B$3,FALSE(),TRUE())))</f>
        <v/>
      </c>
      <c r="AG339" s="87" t="str">
        <f aca="false">IF(ISBLANK($C339),"",IF(O339=Constants!$B$2,TRUE(),IF(O339=Constants!$B$3,FALSE(),TRUE())))</f>
        <v/>
      </c>
      <c r="AH339" s="87" t="str">
        <f aca="false">IF(ISBLANK($C339),"",IF(P339=Constants!$B$4,TRUE(),IF(P339=Constants!$B$5,FALSE(),COUNTA(Q339:S339)&gt;0)))</f>
        <v/>
      </c>
      <c r="AI339" s="88" t="str">
        <f aca="false">IF(ISBLANK($C339),"",IF(ISNUMBER(Q339),IF(Q339&gt;=0,Q339,""),""))</f>
        <v/>
      </c>
      <c r="AJ339" s="89" t="str">
        <f aca="false">IF(ISBLANK($C339),"",IF(ISNUMBER(R339),IF(R339&gt;=0,R339,""),""))</f>
        <v/>
      </c>
      <c r="AK339" s="87" t="str">
        <f aca="false">IF(ISBLANK($C339),"",IF(ISNUMBER(S339),IF(S339&gt;=0,MIN(S339,Constants!$B$22),""),""))</f>
        <v/>
      </c>
      <c r="AL339" s="87" t="str">
        <f aca="false">IF(ISBLANK($C339),"",IF(T339=Constants!$B$2,TRUE(),IF(T339=Constants!$B$3,FALSE(),FALSE())))</f>
        <v/>
      </c>
      <c r="AM339" s="86" t="str">
        <f aca="false">IF(ISBLANK($C339),"",AND($AB339,OR($AC339="",$AD339="",AND(NOT(ISBLANK($M339)),$AE339=""))))</f>
        <v/>
      </c>
      <c r="AN339" s="89" t="str">
        <f aca="false">IF($BD339&lt;&gt;Constants!$B$6,"",IF($AB339,Constants!$B$17*$AD339,Constants!$B$18))</f>
        <v/>
      </c>
      <c r="AO339" s="91" t="str">
        <f aca="false">IF($BD339&lt;&gt;Constants!$B$6,"",Constants!$B$19*IF($AB339,$AC339,0))</f>
        <v/>
      </c>
      <c r="AP339" s="91" t="str">
        <f aca="false">IF($BD339&lt;&gt;Constants!$B$6,"",IF(AND($AB339,ISNUMBER($AE339)),Constants!$B$20*(Constants!$B$21-$AE339),0))</f>
        <v/>
      </c>
      <c r="AQ339" s="91" t="str">
        <f aca="false">IF($BD339&lt;&gt;Constants!$B$6,"",IF($AA339,0,Constants!$B$12)+IF($Z339,0,Constants!$B$13)+IF($Y339,0,Constants!$B$14))</f>
        <v/>
      </c>
      <c r="AR339" s="92" t="str">
        <f aca="false">IF($BD339&lt;&gt;Constants!$B$6,"",Constants!$B$16+SUM($AN339:$AQ339))</f>
        <v/>
      </c>
      <c r="AS339" s="91" t="str">
        <f aca="false">IF($BD339&lt;&gt;Constants!$B$6,"",IF($AB339,$AD339,""))</f>
        <v/>
      </c>
      <c r="AT339" s="93" t="str">
        <f aca="false">IF($BD339&lt;&gt;Constants!$B$6,"",$AO339)</f>
        <v/>
      </c>
      <c r="AU339" s="87" t="str">
        <f aca="false">IF($BD339&lt;&gt;Constants!$B$6,"",IF(OR($BA339&lt;$AR339,AND($BA339=$AR339,OR(AND(ISNUMBER($BB339),OR(NOT(ISNUMBER($AS339)),$BB339&lt;$AS339)),AND(OR(AND($BB339="",$AS339=""),AND(ISNUMBER($BB339),ISNUMBER($AS339),$BB339=$AS339)),$BC339&lt;$AT339)))),"-&gt;","&lt;-"))</f>
        <v/>
      </c>
      <c r="AV339" s="86" t="str">
        <f aca="false">IF(ISBLANK($C339),"",AND($AH339,OR($AI339="",$AJ339="",AND(NOT(ISBLANK($S339)),$AK339=""))))</f>
        <v/>
      </c>
      <c r="AW339" s="89" t="str">
        <f aca="false">IF($BD339&lt;&gt;Constants!$B$6,"",IF($AH339,Constants!$B$17*$AJ339,Constants!$B$18))</f>
        <v/>
      </c>
      <c r="AX339" s="91" t="str">
        <f aca="false">IF($BD339&lt;&gt;Constants!$B$6,"",Constants!$B$19*IF($AH339,$AI339,0))</f>
        <v/>
      </c>
      <c r="AY339" s="91" t="str">
        <f aca="false">IF($BD339&lt;&gt;Constants!$B$6,"",IF(AND($AH339,ISNUMBER($AK339)),Constants!$B$20*(Constants!$B$21-$AK339),0))</f>
        <v/>
      </c>
      <c r="AZ339" s="91" t="str">
        <f aca="false">IF($BD339&lt;&gt;Constants!$B$6,"",IF($AG339,0,Constants!$B$12)+IF($AF339,0,Constants!$B$13)+IF($Y339,0,Constants!$B$14))</f>
        <v/>
      </c>
      <c r="BA339" s="92" t="str">
        <f aca="false">IF($BD339&lt;&gt;Constants!$B$6,"",Constants!$B$16+SUM($AW339:$AZ339))</f>
        <v/>
      </c>
      <c r="BB339" s="91" t="str">
        <f aca="false">IF($BD339&lt;&gt;Constants!$B$6,"",IF($AH339,$AJ339,""))</f>
        <v/>
      </c>
      <c r="BC339" s="93" t="str">
        <f aca="false">IF($BD339&lt;&gt;Constants!$B$6,"",$AX339)</f>
        <v/>
      </c>
      <c r="BD339" s="87" t="str">
        <f aca="false">IF(ISBLANK($C339),"",IF($AL339,Constants!$B$9,IF(COUNTA($E339:$T339)=0,Constants!$B$8,IF(NOT($X339),Constants!$B$7,IF(OR($AM339,$AV339),Constants!$B$10,Constants!$B$6)))))</f>
        <v/>
      </c>
      <c r="BE339" s="87" t="str">
        <f aca="false">IF(ISBLANK($C339),"",IF($BD339&lt;&gt;Constants!$B$6,$BD339,Constants!$B$11))</f>
        <v/>
      </c>
      <c r="BF339" s="91" t="str">
        <f aca="false">IF($BD339&lt;&gt;Constants!$B$6,"",IF($AU339="-&gt;",$BA339,$AR339))</f>
        <v/>
      </c>
      <c r="BG339" s="91" t="str">
        <f aca="false">IF($BD339&lt;&gt;Constants!$B$6,"",IF($W339,0,Constants!$B$15))</f>
        <v/>
      </c>
      <c r="BH339" s="91" t="str">
        <f aca="false">IF(ISBLANK($C339),"",IF($BD339&lt;&gt;Constants!$B$6,$BD339,SUM($BF339:$BG339)))</f>
        <v/>
      </c>
      <c r="BI339" s="87" t="str">
        <f aca="false">IF(ISBLANK($C339),"",IF($BD339&lt;&gt;Constants!$B$6,$BD339,RANK($BH339,$BH$9:$BH$508,1)))</f>
        <v/>
      </c>
      <c r="BJ339" s="91" t="str">
        <f aca="false">IF($BD339&lt;&gt;Constants!$B$6,"",IF($AU339="-&gt;",$BB339,$AS339))</f>
        <v/>
      </c>
      <c r="BK339" s="87" t="str">
        <f aca="false">IF(ISBLANK($C339),"",IF($BD339&lt;&gt;Constants!$B$6,$BD339,IF(ISNUMBER($BJ339),RANK($BJ339,$BJ$9:$BJ$508,1),COUNT($BJ$9:$BJ$508)+1)))</f>
        <v/>
      </c>
      <c r="BL339" s="91" t="str">
        <f aca="false">IF($BD339&lt;&gt;Constants!$B$6,"",IF($AU339="-&gt;",$BC339,$AT339))</f>
        <v/>
      </c>
      <c r="BM339" s="87" t="str">
        <f aca="false">IF(ISBLANK($C339),"",IF($BD339&lt;&gt;Constants!$B$6,$BD339,IF(ISNUMBER($BL339),RANK($BL339,$BL$9:$BL$508,1),COUNT($BL$9:$BL$508)+1)))</f>
        <v/>
      </c>
      <c r="BN339" s="91" t="str">
        <f aca="false">IF($BD339&lt;&gt;Constants!$B$6,"",IF($AU339="-&gt;",$AS339,$BB339))</f>
        <v/>
      </c>
      <c r="BO339" s="87" t="str">
        <f aca="false">IF(ISBLANK($C339),"",IF($BD339&lt;&gt;Constants!$B$6,$BD339,IF(ISNUMBER($BN339),RANK($BN339,$BN$9:$BN$508,1),COUNT($BN$9:$BN$508)+1)))</f>
        <v/>
      </c>
      <c r="BP339" s="91" t="str">
        <f aca="false">IF($BD339&lt;&gt;Constants!$B$6,"",IF($AU339="-&gt;",$AT339,$BC339))</f>
        <v/>
      </c>
      <c r="BQ339" s="87" t="str">
        <f aca="false">IF(ISBLANK($C339),"",IF($BD339&lt;&gt;Constants!$B$6,$BD339,IF(ISNUMBER($BP339),RANK($BP339,$BP$9:$BP$508,1),COUNT($BP$9:$BP$508)+1)))</f>
        <v/>
      </c>
      <c r="BR339" s="87" t="str">
        <f aca="false">IF(ISBLANK($C339),"",IF($BD339&lt;&gt;Constants!$B$6,$BD339,COUNTIFS($BI$9:$BI$508,"&lt;"&amp;$BI339)+COUNTIFS($BI$9:$BI$508,$BI339,$BK$9:$BK$508,"&lt;"&amp;$BK339)+COUNTIFS($BI$9:$BI$508,$BI339,$BK$9:$BK$508,$BK339,$BM$9:$BM$508,"&lt;"&amp;$BM339)+COUNTIFS($BI$9:$BI$508,$BI339,$BK$9:$BK$508,$BK339,$BM$9:$BM$508,$BM339,$BO$9:$BO$508,"&lt;"&amp;$BO339)+COUNTIFS($BI$9:$BI$508,$BI339,$BK$9:$BK$508,$BK339,$BM$9:$BM$508,$BM339,$BO$9:$BO$508,$BO339,$BQ$9:$BQ$508,"&lt;"&amp;$BQ339)+1))</f>
        <v/>
      </c>
      <c r="BS339" s="87" t="str">
        <f aca="false">IF(ISBLANK($C339),"",IF($BD339&lt;&gt;Constants!$B$6,$BD339,$BI339-$BR339))</f>
        <v/>
      </c>
      <c r="BT339" s="94"/>
      <c r="BU339" s="95"/>
      <c r="BV339" s="95" t="str">
        <f aca="false">IF(ISBLANK($C339),"",IF($BD339&lt;&gt;Constants!$B$6,"",IF($AU339="-&gt;",2,1)))</f>
        <v/>
      </c>
      <c r="BW339" s="96" t="str">
        <f aca="false">IF(ISBLANK($C339),"",IF($BD339&lt;&gt;Constants!$B$6,"",IF($AU339="-&gt;",$AW339,$AN339)))</f>
        <v/>
      </c>
      <c r="BX339" s="96" t="str">
        <f aca="false">IF(ISBLANK($C339),"",IF($BD339&lt;&gt;Constants!$B$6,"",IF($AU339="-&gt;",$AX339,$AO339)))</f>
        <v/>
      </c>
      <c r="BY339" s="96" t="str">
        <f aca="false">IF(ISBLANK($C339),"",IF($BD339&lt;&gt;Constants!$B$6,"",IF($AU339="-&gt;",$AY339,$AP339)))</f>
        <v/>
      </c>
      <c r="BZ339" s="96" t="str">
        <f aca="false">IF(ISBLANK($C339),"",IF($BD339&lt;&gt;Constants!$B$6,"",IF($AU339="-&gt;",$AZ339,$AQ339)+$BG339))</f>
        <v/>
      </c>
      <c r="CA339" s="97" t="str">
        <f aca="false">IF(ISBLANK($C339),"",IF($BD339&lt;&gt;Constants!$B$6,$BD339,$BH339))</f>
        <v/>
      </c>
      <c r="CB339" s="98" t="str">
        <f aca="false">IF(ISBLANK($C339),"",$BE339)</f>
        <v/>
      </c>
      <c r="CC339" s="99" t="str">
        <f aca="false">IF(ISBLANK($C339),"",$BS339)</f>
        <v/>
      </c>
      <c r="CD339" s="99" t="str">
        <f aca="false">IF(ISBLANK($C339),"",$BR339)</f>
        <v/>
      </c>
      <c r="CE339" s="100" t="str">
        <f aca="false">IF(ISBLANK($C339),"",IF($CD339=Constants!$B$9,COUNTA($C$9:$C$508)+2,IF($CD339=Constants!$B$8,COUNTA($C$9:$C$508)+1,IF($CD339=Constants!$B$7,COUNTA($C$9:$C$508),$CD339))))</f>
        <v/>
      </c>
      <c r="CF339" s="9"/>
      <c r="CG339" s="101" t="n">
        <f aca="false">IF(OR(ISNUMBER($CD339),$CD339=Constants!$B$9,$CD339=Constants!$B$7,$CD339=Constants!$B$8),1,0)</f>
        <v>0</v>
      </c>
      <c r="CH339" s="101" t="n">
        <v>331</v>
      </c>
      <c r="CI339" s="101" t="str">
        <f aca="false">IF(ISBLANK($C339),"",IF(ISNUMBER($CE339),$CE339+ROW($B339)/1000,""))</f>
        <v/>
      </c>
      <c r="CJ339" s="101" t="str">
        <f aca="false">IF(ISNUMBER($CI339),RANK($CI339,$CI$9:$CI$508,1),"")</f>
        <v/>
      </c>
      <c r="CK339" s="101" t="str">
        <f aca="false">IF(ISBLANK($C339),"",$B339)</f>
        <v/>
      </c>
      <c r="CL339" s="101" t="str">
        <f aca="false">IF(ISBLANK($C339),"",$C339)</f>
        <v/>
      </c>
      <c r="CM339" s="101" t="str">
        <f aca="false">IF(ISBLANK($C339),"",$D339)</f>
        <v/>
      </c>
      <c r="CN339" s="102" t="str">
        <f aca="false">$CB339</f>
        <v/>
      </c>
      <c r="CO339" s="103" t="str">
        <f aca="false">$CA339</f>
        <v/>
      </c>
      <c r="CP339" s="101" t="str">
        <f aca="false">IF(ISBLANK($C339),"",$CD339)</f>
        <v/>
      </c>
      <c r="CQ339" s="104" t="str">
        <f aca="false">IF($CH339&gt;$CG$8,"",VLOOKUP($CH339,$CJ$9:$CP$508,7,FALSE()))</f>
        <v/>
      </c>
      <c r="CR339" s="105" t="str">
        <f aca="false">IF($CH339&gt;$CG$8,"",VLOOKUP($CH339,$CJ$9:$CP$508,2,FALSE()))</f>
        <v/>
      </c>
      <c r="CS339" s="105" t="str">
        <f aca="false">IF($CH339&gt;$CG$8,"",VLOOKUP($CH339,$CJ$9:$CP$508,3,FALSE()))</f>
        <v/>
      </c>
      <c r="CT339" s="105" t="str">
        <f aca="false">IF($CH339&gt;$CG$8,"",VLOOKUP($CH339,$CJ$9:$CP$508,4,FALSE()))</f>
        <v/>
      </c>
      <c r="CU339" s="105" t="str">
        <f aca="false">IF($CH339&gt;$CG$8,"",VLOOKUP($CH339,$CJ$9:$CP$508,5,FALSE()))</f>
        <v/>
      </c>
      <c r="CV339" s="106" t="str">
        <f aca="false">IF($CH339&gt;$CG$8,"",VLOOKUP($CH339,$CJ$9:$CP$508,6,FALSE()))</f>
        <v/>
      </c>
      <c r="CW339" s="71"/>
    </row>
    <row r="340" customFormat="false" ht="15.75" hidden="false" customHeight="false" outlineLevel="0" collapsed="false">
      <c r="A340" s="9"/>
      <c r="B340" s="72"/>
      <c r="C340" s="73"/>
      <c r="D340" s="160"/>
      <c r="E340" s="168"/>
      <c r="F340" s="162"/>
      <c r="G340" s="163"/>
      <c r="H340" s="169"/>
      <c r="I340" s="167"/>
      <c r="J340" s="80"/>
      <c r="K340" s="81"/>
      <c r="L340" s="82"/>
      <c r="M340" s="166"/>
      <c r="N340" s="167"/>
      <c r="O340" s="167"/>
      <c r="P340" s="80"/>
      <c r="Q340" s="82"/>
      <c r="R340" s="82"/>
      <c r="S340" s="166"/>
      <c r="T340" s="167"/>
      <c r="U340" s="86"/>
      <c r="V340" s="87"/>
      <c r="W340" s="87" t="str">
        <f aca="false">IF(ISBLANK($C340),"",IF(E340=Constants!$B$2,TRUE(),IF(E340=Constants!$B$3,FALSE(),TRUE())))</f>
        <v/>
      </c>
      <c r="X340" s="87" t="str">
        <f aca="false">IF(ISBLANK($C340),"",IF(F340=Constants!$B$2,TRUE(),IF(F340=Constants!$B$3,FALSE(),TRUE())))</f>
        <v/>
      </c>
      <c r="Y340" s="87" t="str">
        <f aca="false">IF(ISBLANK($C340),"",IF(G340=Constants!$B$2,TRUE(),IF(G340=Constants!$B$3,FALSE(),TRUE())))</f>
        <v/>
      </c>
      <c r="Z340" s="87" t="str">
        <f aca="false">IF(ISBLANK($C340),"",IF(H340=Constants!$B$2,TRUE(),IF(H340=Constants!$B$3,FALSE(),TRUE())))</f>
        <v/>
      </c>
      <c r="AA340" s="87" t="str">
        <f aca="false">IF(ISBLANK($C340),"",IF(I340=Constants!$B$2,TRUE(),IF(I340=Constants!$B$3,FALSE(),TRUE())))</f>
        <v/>
      </c>
      <c r="AB340" s="87" t="str">
        <f aca="false">IF(ISBLANK($C340),"",IF(J340=Constants!$B$4,TRUE(),IF(J340=Constants!$B$5,FALSE(),COUNTA(K340:M340)&gt;0)))</f>
        <v/>
      </c>
      <c r="AC340" s="88" t="str">
        <f aca="false">IF(ISBLANK($C340),"",IF(ISNUMBER(K340),IF(K340&gt;=0,K340,""),""))</f>
        <v/>
      </c>
      <c r="AD340" s="89" t="str">
        <f aca="false">IF(ISBLANK($C340),"",IF(ISNUMBER(L340),IF(L340&gt;=0,L340,""),""))</f>
        <v/>
      </c>
      <c r="AE340" s="87" t="str">
        <f aca="false">IF(ISBLANK($C340),"",IF(ISNUMBER(M340),IF(M340&gt;=0,MIN(M340,Constants!$B$22),""),""))</f>
        <v/>
      </c>
      <c r="AF340" s="87" t="str">
        <f aca="false">IF(ISBLANK($C340),"",IF(N340=Constants!$B$2,TRUE(),IF(N340=Constants!$B$3,FALSE(),TRUE())))</f>
        <v/>
      </c>
      <c r="AG340" s="87" t="str">
        <f aca="false">IF(ISBLANK($C340),"",IF(O340=Constants!$B$2,TRUE(),IF(O340=Constants!$B$3,FALSE(),TRUE())))</f>
        <v/>
      </c>
      <c r="AH340" s="87" t="str">
        <f aca="false">IF(ISBLANK($C340),"",IF(P340=Constants!$B$4,TRUE(),IF(P340=Constants!$B$5,FALSE(),COUNTA(Q340:S340)&gt;0)))</f>
        <v/>
      </c>
      <c r="AI340" s="88" t="str">
        <f aca="false">IF(ISBLANK($C340),"",IF(ISNUMBER(Q340),IF(Q340&gt;=0,Q340,""),""))</f>
        <v/>
      </c>
      <c r="AJ340" s="89" t="str">
        <f aca="false">IF(ISBLANK($C340),"",IF(ISNUMBER(R340),IF(R340&gt;=0,R340,""),""))</f>
        <v/>
      </c>
      <c r="AK340" s="87" t="str">
        <f aca="false">IF(ISBLANK($C340),"",IF(ISNUMBER(S340),IF(S340&gt;=0,MIN(S340,Constants!$B$22),""),""))</f>
        <v/>
      </c>
      <c r="AL340" s="87" t="str">
        <f aca="false">IF(ISBLANK($C340),"",IF(T340=Constants!$B$2,TRUE(),IF(T340=Constants!$B$3,FALSE(),FALSE())))</f>
        <v/>
      </c>
      <c r="AM340" s="86" t="str">
        <f aca="false">IF(ISBLANK($C340),"",AND($AB340,OR($AC340="",$AD340="",AND(NOT(ISBLANK($M340)),$AE340=""))))</f>
        <v/>
      </c>
      <c r="AN340" s="89" t="str">
        <f aca="false">IF($BD340&lt;&gt;Constants!$B$6,"",IF($AB340,Constants!$B$17*$AD340,Constants!$B$18))</f>
        <v/>
      </c>
      <c r="AO340" s="91" t="str">
        <f aca="false">IF($BD340&lt;&gt;Constants!$B$6,"",Constants!$B$19*IF($AB340,$AC340,0))</f>
        <v/>
      </c>
      <c r="AP340" s="91" t="str">
        <f aca="false">IF($BD340&lt;&gt;Constants!$B$6,"",IF(AND($AB340,ISNUMBER($AE340)),Constants!$B$20*(Constants!$B$21-$AE340),0))</f>
        <v/>
      </c>
      <c r="AQ340" s="91" t="str">
        <f aca="false">IF($BD340&lt;&gt;Constants!$B$6,"",IF($AA340,0,Constants!$B$12)+IF($Z340,0,Constants!$B$13)+IF($Y340,0,Constants!$B$14))</f>
        <v/>
      </c>
      <c r="AR340" s="92" t="str">
        <f aca="false">IF($BD340&lt;&gt;Constants!$B$6,"",Constants!$B$16+SUM($AN340:$AQ340))</f>
        <v/>
      </c>
      <c r="AS340" s="91" t="str">
        <f aca="false">IF($BD340&lt;&gt;Constants!$B$6,"",IF($AB340,$AD340,""))</f>
        <v/>
      </c>
      <c r="AT340" s="93" t="str">
        <f aca="false">IF($BD340&lt;&gt;Constants!$B$6,"",$AO340)</f>
        <v/>
      </c>
      <c r="AU340" s="87" t="str">
        <f aca="false">IF($BD340&lt;&gt;Constants!$B$6,"",IF(OR($BA340&lt;$AR340,AND($BA340=$AR340,OR(AND(ISNUMBER($BB340),OR(NOT(ISNUMBER($AS340)),$BB340&lt;$AS340)),AND(OR(AND($BB340="",$AS340=""),AND(ISNUMBER($BB340),ISNUMBER($AS340),$BB340=$AS340)),$BC340&lt;$AT340)))),"-&gt;","&lt;-"))</f>
        <v/>
      </c>
      <c r="AV340" s="86" t="str">
        <f aca="false">IF(ISBLANK($C340),"",AND($AH340,OR($AI340="",$AJ340="",AND(NOT(ISBLANK($S340)),$AK340=""))))</f>
        <v/>
      </c>
      <c r="AW340" s="89" t="str">
        <f aca="false">IF($BD340&lt;&gt;Constants!$B$6,"",IF($AH340,Constants!$B$17*$AJ340,Constants!$B$18))</f>
        <v/>
      </c>
      <c r="AX340" s="91" t="str">
        <f aca="false">IF($BD340&lt;&gt;Constants!$B$6,"",Constants!$B$19*IF($AH340,$AI340,0))</f>
        <v/>
      </c>
      <c r="AY340" s="91" t="str">
        <f aca="false">IF($BD340&lt;&gt;Constants!$B$6,"",IF(AND($AH340,ISNUMBER($AK340)),Constants!$B$20*(Constants!$B$21-$AK340),0))</f>
        <v/>
      </c>
      <c r="AZ340" s="91" t="str">
        <f aca="false">IF($BD340&lt;&gt;Constants!$B$6,"",IF($AG340,0,Constants!$B$12)+IF($AF340,0,Constants!$B$13)+IF($Y340,0,Constants!$B$14))</f>
        <v/>
      </c>
      <c r="BA340" s="92" t="str">
        <f aca="false">IF($BD340&lt;&gt;Constants!$B$6,"",Constants!$B$16+SUM($AW340:$AZ340))</f>
        <v/>
      </c>
      <c r="BB340" s="91" t="str">
        <f aca="false">IF($BD340&lt;&gt;Constants!$B$6,"",IF($AH340,$AJ340,""))</f>
        <v/>
      </c>
      <c r="BC340" s="93" t="str">
        <f aca="false">IF($BD340&lt;&gt;Constants!$B$6,"",$AX340)</f>
        <v/>
      </c>
      <c r="BD340" s="87" t="str">
        <f aca="false">IF(ISBLANK($C340),"",IF($AL340,Constants!$B$9,IF(COUNTA($E340:$T340)=0,Constants!$B$8,IF(NOT($X340),Constants!$B$7,IF(OR($AM340,$AV340),Constants!$B$10,Constants!$B$6)))))</f>
        <v/>
      </c>
      <c r="BE340" s="87" t="str">
        <f aca="false">IF(ISBLANK($C340),"",IF($BD340&lt;&gt;Constants!$B$6,$BD340,Constants!$B$11))</f>
        <v/>
      </c>
      <c r="BF340" s="91" t="str">
        <f aca="false">IF($BD340&lt;&gt;Constants!$B$6,"",IF($AU340="-&gt;",$BA340,$AR340))</f>
        <v/>
      </c>
      <c r="BG340" s="91" t="str">
        <f aca="false">IF($BD340&lt;&gt;Constants!$B$6,"",IF($W340,0,Constants!$B$15))</f>
        <v/>
      </c>
      <c r="BH340" s="91" t="str">
        <f aca="false">IF(ISBLANK($C340),"",IF($BD340&lt;&gt;Constants!$B$6,$BD340,SUM($BF340:$BG340)))</f>
        <v/>
      </c>
      <c r="BI340" s="87" t="str">
        <f aca="false">IF(ISBLANK($C340),"",IF($BD340&lt;&gt;Constants!$B$6,$BD340,RANK($BH340,$BH$9:$BH$508,1)))</f>
        <v/>
      </c>
      <c r="BJ340" s="91" t="str">
        <f aca="false">IF($BD340&lt;&gt;Constants!$B$6,"",IF($AU340="-&gt;",$BB340,$AS340))</f>
        <v/>
      </c>
      <c r="BK340" s="87" t="str">
        <f aca="false">IF(ISBLANK($C340),"",IF($BD340&lt;&gt;Constants!$B$6,$BD340,IF(ISNUMBER($BJ340),RANK($BJ340,$BJ$9:$BJ$508,1),COUNT($BJ$9:$BJ$508)+1)))</f>
        <v/>
      </c>
      <c r="BL340" s="91" t="str">
        <f aca="false">IF($BD340&lt;&gt;Constants!$B$6,"",IF($AU340="-&gt;",$BC340,$AT340))</f>
        <v/>
      </c>
      <c r="BM340" s="87" t="str">
        <f aca="false">IF(ISBLANK($C340),"",IF($BD340&lt;&gt;Constants!$B$6,$BD340,IF(ISNUMBER($BL340),RANK($BL340,$BL$9:$BL$508,1),COUNT($BL$9:$BL$508)+1)))</f>
        <v/>
      </c>
      <c r="BN340" s="91" t="str">
        <f aca="false">IF($BD340&lt;&gt;Constants!$B$6,"",IF($AU340="-&gt;",$AS340,$BB340))</f>
        <v/>
      </c>
      <c r="BO340" s="87" t="str">
        <f aca="false">IF(ISBLANK($C340),"",IF($BD340&lt;&gt;Constants!$B$6,$BD340,IF(ISNUMBER($BN340),RANK($BN340,$BN$9:$BN$508,1),COUNT($BN$9:$BN$508)+1)))</f>
        <v/>
      </c>
      <c r="BP340" s="91" t="str">
        <f aca="false">IF($BD340&lt;&gt;Constants!$B$6,"",IF($AU340="-&gt;",$AT340,$BC340))</f>
        <v/>
      </c>
      <c r="BQ340" s="87" t="str">
        <f aca="false">IF(ISBLANK($C340),"",IF($BD340&lt;&gt;Constants!$B$6,$BD340,IF(ISNUMBER($BP340),RANK($BP340,$BP$9:$BP$508,1),COUNT($BP$9:$BP$508)+1)))</f>
        <v/>
      </c>
      <c r="BR340" s="87" t="str">
        <f aca="false">IF(ISBLANK($C340),"",IF($BD340&lt;&gt;Constants!$B$6,$BD340,COUNTIFS($BI$9:$BI$508,"&lt;"&amp;$BI340)+COUNTIFS($BI$9:$BI$508,$BI340,$BK$9:$BK$508,"&lt;"&amp;$BK340)+COUNTIFS($BI$9:$BI$508,$BI340,$BK$9:$BK$508,$BK340,$BM$9:$BM$508,"&lt;"&amp;$BM340)+COUNTIFS($BI$9:$BI$508,$BI340,$BK$9:$BK$508,$BK340,$BM$9:$BM$508,$BM340,$BO$9:$BO$508,"&lt;"&amp;$BO340)+COUNTIFS($BI$9:$BI$508,$BI340,$BK$9:$BK$508,$BK340,$BM$9:$BM$508,$BM340,$BO$9:$BO$508,$BO340,$BQ$9:$BQ$508,"&lt;"&amp;$BQ340)+1))</f>
        <v/>
      </c>
      <c r="BS340" s="87" t="str">
        <f aca="false">IF(ISBLANK($C340),"",IF($BD340&lt;&gt;Constants!$B$6,$BD340,$BI340-$BR340))</f>
        <v/>
      </c>
      <c r="BT340" s="94"/>
      <c r="BU340" s="95"/>
      <c r="BV340" s="95" t="str">
        <f aca="false">IF(ISBLANK($C340),"",IF($BD340&lt;&gt;Constants!$B$6,"",IF($AU340="-&gt;",2,1)))</f>
        <v/>
      </c>
      <c r="BW340" s="96" t="str">
        <f aca="false">IF(ISBLANK($C340),"",IF($BD340&lt;&gt;Constants!$B$6,"",IF($AU340="-&gt;",$AW340,$AN340)))</f>
        <v/>
      </c>
      <c r="BX340" s="96" t="str">
        <f aca="false">IF(ISBLANK($C340),"",IF($BD340&lt;&gt;Constants!$B$6,"",IF($AU340="-&gt;",$AX340,$AO340)))</f>
        <v/>
      </c>
      <c r="BY340" s="96" t="str">
        <f aca="false">IF(ISBLANK($C340),"",IF($BD340&lt;&gt;Constants!$B$6,"",IF($AU340="-&gt;",$AY340,$AP340)))</f>
        <v/>
      </c>
      <c r="BZ340" s="96" t="str">
        <f aca="false">IF(ISBLANK($C340),"",IF($BD340&lt;&gt;Constants!$B$6,"",IF($AU340="-&gt;",$AZ340,$AQ340)+$BG340))</f>
        <v/>
      </c>
      <c r="CA340" s="97" t="str">
        <f aca="false">IF(ISBLANK($C340),"",IF($BD340&lt;&gt;Constants!$B$6,$BD340,$BH340))</f>
        <v/>
      </c>
      <c r="CB340" s="98" t="str">
        <f aca="false">IF(ISBLANK($C340),"",$BE340)</f>
        <v/>
      </c>
      <c r="CC340" s="99" t="str">
        <f aca="false">IF(ISBLANK($C340),"",$BS340)</f>
        <v/>
      </c>
      <c r="CD340" s="99" t="str">
        <f aca="false">IF(ISBLANK($C340),"",$BR340)</f>
        <v/>
      </c>
      <c r="CE340" s="100" t="str">
        <f aca="false">IF(ISBLANK($C340),"",IF($CD340=Constants!$B$9,COUNTA($C$9:$C$508)+2,IF($CD340=Constants!$B$8,COUNTA($C$9:$C$508)+1,IF($CD340=Constants!$B$7,COUNTA($C$9:$C$508),$CD340))))</f>
        <v/>
      </c>
      <c r="CF340" s="9"/>
      <c r="CG340" s="101" t="n">
        <f aca="false">IF(OR(ISNUMBER($CD340),$CD340=Constants!$B$9,$CD340=Constants!$B$7,$CD340=Constants!$B$8),1,0)</f>
        <v>0</v>
      </c>
      <c r="CH340" s="101" t="n">
        <v>332</v>
      </c>
      <c r="CI340" s="101" t="str">
        <f aca="false">IF(ISBLANK($C340),"",IF(ISNUMBER($CE340),$CE340+ROW($B340)/1000,""))</f>
        <v/>
      </c>
      <c r="CJ340" s="101" t="str">
        <f aca="false">IF(ISNUMBER($CI340),RANK($CI340,$CI$9:$CI$508,1),"")</f>
        <v/>
      </c>
      <c r="CK340" s="101" t="str">
        <f aca="false">IF(ISBLANK($C340),"",$B340)</f>
        <v/>
      </c>
      <c r="CL340" s="101" t="str">
        <f aca="false">IF(ISBLANK($C340),"",$C340)</f>
        <v/>
      </c>
      <c r="CM340" s="101" t="str">
        <f aca="false">IF(ISBLANK($C340),"",$D340)</f>
        <v/>
      </c>
      <c r="CN340" s="102" t="str">
        <f aca="false">$CB340</f>
        <v/>
      </c>
      <c r="CO340" s="103" t="str">
        <f aca="false">$CA340</f>
        <v/>
      </c>
      <c r="CP340" s="101" t="str">
        <f aca="false">IF(ISBLANK($C340),"",$CD340)</f>
        <v/>
      </c>
      <c r="CQ340" s="104" t="str">
        <f aca="false">IF($CH340&gt;$CG$8,"",VLOOKUP($CH340,$CJ$9:$CP$508,7,FALSE()))</f>
        <v/>
      </c>
      <c r="CR340" s="105" t="str">
        <f aca="false">IF($CH340&gt;$CG$8,"",VLOOKUP($CH340,$CJ$9:$CP$508,2,FALSE()))</f>
        <v/>
      </c>
      <c r="CS340" s="105" t="str">
        <f aca="false">IF($CH340&gt;$CG$8,"",VLOOKUP($CH340,$CJ$9:$CP$508,3,FALSE()))</f>
        <v/>
      </c>
      <c r="CT340" s="105" t="str">
        <f aca="false">IF($CH340&gt;$CG$8,"",VLOOKUP($CH340,$CJ$9:$CP$508,4,FALSE()))</f>
        <v/>
      </c>
      <c r="CU340" s="105" t="str">
        <f aca="false">IF($CH340&gt;$CG$8,"",VLOOKUP($CH340,$CJ$9:$CP$508,5,FALSE()))</f>
        <v/>
      </c>
      <c r="CV340" s="106" t="str">
        <f aca="false">IF($CH340&gt;$CG$8,"",VLOOKUP($CH340,$CJ$9:$CP$508,6,FALSE()))</f>
        <v/>
      </c>
      <c r="CW340" s="71"/>
    </row>
    <row r="341" customFormat="false" ht="15.75" hidden="false" customHeight="false" outlineLevel="0" collapsed="false">
      <c r="A341" s="9"/>
      <c r="B341" s="72"/>
      <c r="C341" s="73"/>
      <c r="D341" s="160"/>
      <c r="E341" s="168"/>
      <c r="F341" s="162"/>
      <c r="G341" s="163"/>
      <c r="H341" s="169"/>
      <c r="I341" s="167"/>
      <c r="J341" s="80"/>
      <c r="K341" s="81"/>
      <c r="L341" s="82"/>
      <c r="M341" s="166"/>
      <c r="N341" s="167"/>
      <c r="O341" s="167"/>
      <c r="P341" s="80"/>
      <c r="Q341" s="82"/>
      <c r="R341" s="82"/>
      <c r="S341" s="166"/>
      <c r="T341" s="167"/>
      <c r="U341" s="86"/>
      <c r="V341" s="87"/>
      <c r="W341" s="87" t="str">
        <f aca="false">IF(ISBLANK($C341),"",IF(E341=Constants!$B$2,TRUE(),IF(E341=Constants!$B$3,FALSE(),TRUE())))</f>
        <v/>
      </c>
      <c r="X341" s="87" t="str">
        <f aca="false">IF(ISBLANK($C341),"",IF(F341=Constants!$B$2,TRUE(),IF(F341=Constants!$B$3,FALSE(),TRUE())))</f>
        <v/>
      </c>
      <c r="Y341" s="87" t="str">
        <f aca="false">IF(ISBLANK($C341),"",IF(G341=Constants!$B$2,TRUE(),IF(G341=Constants!$B$3,FALSE(),TRUE())))</f>
        <v/>
      </c>
      <c r="Z341" s="87" t="str">
        <f aca="false">IF(ISBLANK($C341),"",IF(H341=Constants!$B$2,TRUE(),IF(H341=Constants!$B$3,FALSE(),TRUE())))</f>
        <v/>
      </c>
      <c r="AA341" s="87" t="str">
        <f aca="false">IF(ISBLANK($C341),"",IF(I341=Constants!$B$2,TRUE(),IF(I341=Constants!$B$3,FALSE(),TRUE())))</f>
        <v/>
      </c>
      <c r="AB341" s="87" t="str">
        <f aca="false">IF(ISBLANK($C341),"",IF(J341=Constants!$B$4,TRUE(),IF(J341=Constants!$B$5,FALSE(),COUNTA(K341:M341)&gt;0)))</f>
        <v/>
      </c>
      <c r="AC341" s="88" t="str">
        <f aca="false">IF(ISBLANK($C341),"",IF(ISNUMBER(K341),IF(K341&gt;=0,K341,""),""))</f>
        <v/>
      </c>
      <c r="AD341" s="89" t="str">
        <f aca="false">IF(ISBLANK($C341),"",IF(ISNUMBER(L341),IF(L341&gt;=0,L341,""),""))</f>
        <v/>
      </c>
      <c r="AE341" s="87" t="str">
        <f aca="false">IF(ISBLANK($C341),"",IF(ISNUMBER(M341),IF(M341&gt;=0,MIN(M341,Constants!$B$22),""),""))</f>
        <v/>
      </c>
      <c r="AF341" s="87" t="str">
        <f aca="false">IF(ISBLANK($C341),"",IF(N341=Constants!$B$2,TRUE(),IF(N341=Constants!$B$3,FALSE(),TRUE())))</f>
        <v/>
      </c>
      <c r="AG341" s="87" t="str">
        <f aca="false">IF(ISBLANK($C341),"",IF(O341=Constants!$B$2,TRUE(),IF(O341=Constants!$B$3,FALSE(),TRUE())))</f>
        <v/>
      </c>
      <c r="AH341" s="87" t="str">
        <f aca="false">IF(ISBLANK($C341),"",IF(P341=Constants!$B$4,TRUE(),IF(P341=Constants!$B$5,FALSE(),COUNTA(Q341:S341)&gt;0)))</f>
        <v/>
      </c>
      <c r="AI341" s="88" t="str">
        <f aca="false">IF(ISBLANK($C341),"",IF(ISNUMBER(Q341),IF(Q341&gt;=0,Q341,""),""))</f>
        <v/>
      </c>
      <c r="AJ341" s="89" t="str">
        <f aca="false">IF(ISBLANK($C341),"",IF(ISNUMBER(R341),IF(R341&gt;=0,R341,""),""))</f>
        <v/>
      </c>
      <c r="AK341" s="87" t="str">
        <f aca="false">IF(ISBLANK($C341),"",IF(ISNUMBER(S341),IF(S341&gt;=0,MIN(S341,Constants!$B$22),""),""))</f>
        <v/>
      </c>
      <c r="AL341" s="87" t="str">
        <f aca="false">IF(ISBLANK($C341),"",IF(T341=Constants!$B$2,TRUE(),IF(T341=Constants!$B$3,FALSE(),FALSE())))</f>
        <v/>
      </c>
      <c r="AM341" s="86" t="str">
        <f aca="false">IF(ISBLANK($C341),"",AND($AB341,OR($AC341="",$AD341="",AND(NOT(ISBLANK($M341)),$AE341=""))))</f>
        <v/>
      </c>
      <c r="AN341" s="89" t="str">
        <f aca="false">IF($BD341&lt;&gt;Constants!$B$6,"",IF($AB341,Constants!$B$17*$AD341,Constants!$B$18))</f>
        <v/>
      </c>
      <c r="AO341" s="91" t="str">
        <f aca="false">IF($BD341&lt;&gt;Constants!$B$6,"",Constants!$B$19*IF($AB341,$AC341,0))</f>
        <v/>
      </c>
      <c r="AP341" s="91" t="str">
        <f aca="false">IF($BD341&lt;&gt;Constants!$B$6,"",IF(AND($AB341,ISNUMBER($AE341)),Constants!$B$20*(Constants!$B$21-$AE341),0))</f>
        <v/>
      </c>
      <c r="AQ341" s="91" t="str">
        <f aca="false">IF($BD341&lt;&gt;Constants!$B$6,"",IF($AA341,0,Constants!$B$12)+IF($Z341,0,Constants!$B$13)+IF($Y341,0,Constants!$B$14))</f>
        <v/>
      </c>
      <c r="AR341" s="92" t="str">
        <f aca="false">IF($BD341&lt;&gt;Constants!$B$6,"",Constants!$B$16+SUM($AN341:$AQ341))</f>
        <v/>
      </c>
      <c r="AS341" s="91" t="str">
        <f aca="false">IF($BD341&lt;&gt;Constants!$B$6,"",IF($AB341,$AD341,""))</f>
        <v/>
      </c>
      <c r="AT341" s="93" t="str">
        <f aca="false">IF($BD341&lt;&gt;Constants!$B$6,"",$AO341)</f>
        <v/>
      </c>
      <c r="AU341" s="87" t="str">
        <f aca="false">IF($BD341&lt;&gt;Constants!$B$6,"",IF(OR($BA341&lt;$AR341,AND($BA341=$AR341,OR(AND(ISNUMBER($BB341),OR(NOT(ISNUMBER($AS341)),$BB341&lt;$AS341)),AND(OR(AND($BB341="",$AS341=""),AND(ISNUMBER($BB341),ISNUMBER($AS341),$BB341=$AS341)),$BC341&lt;$AT341)))),"-&gt;","&lt;-"))</f>
        <v/>
      </c>
      <c r="AV341" s="86" t="str">
        <f aca="false">IF(ISBLANK($C341),"",AND($AH341,OR($AI341="",$AJ341="",AND(NOT(ISBLANK($S341)),$AK341=""))))</f>
        <v/>
      </c>
      <c r="AW341" s="89" t="str">
        <f aca="false">IF($BD341&lt;&gt;Constants!$B$6,"",IF($AH341,Constants!$B$17*$AJ341,Constants!$B$18))</f>
        <v/>
      </c>
      <c r="AX341" s="91" t="str">
        <f aca="false">IF($BD341&lt;&gt;Constants!$B$6,"",Constants!$B$19*IF($AH341,$AI341,0))</f>
        <v/>
      </c>
      <c r="AY341" s="91" t="str">
        <f aca="false">IF($BD341&lt;&gt;Constants!$B$6,"",IF(AND($AH341,ISNUMBER($AK341)),Constants!$B$20*(Constants!$B$21-$AK341),0))</f>
        <v/>
      </c>
      <c r="AZ341" s="91" t="str">
        <f aca="false">IF($BD341&lt;&gt;Constants!$B$6,"",IF($AG341,0,Constants!$B$12)+IF($AF341,0,Constants!$B$13)+IF($Y341,0,Constants!$B$14))</f>
        <v/>
      </c>
      <c r="BA341" s="92" t="str">
        <f aca="false">IF($BD341&lt;&gt;Constants!$B$6,"",Constants!$B$16+SUM($AW341:$AZ341))</f>
        <v/>
      </c>
      <c r="BB341" s="91" t="str">
        <f aca="false">IF($BD341&lt;&gt;Constants!$B$6,"",IF($AH341,$AJ341,""))</f>
        <v/>
      </c>
      <c r="BC341" s="93" t="str">
        <f aca="false">IF($BD341&lt;&gt;Constants!$B$6,"",$AX341)</f>
        <v/>
      </c>
      <c r="BD341" s="87" t="str">
        <f aca="false">IF(ISBLANK($C341),"",IF($AL341,Constants!$B$9,IF(COUNTA($E341:$T341)=0,Constants!$B$8,IF(NOT($X341),Constants!$B$7,IF(OR($AM341,$AV341),Constants!$B$10,Constants!$B$6)))))</f>
        <v/>
      </c>
      <c r="BE341" s="87" t="str">
        <f aca="false">IF(ISBLANK($C341),"",IF($BD341&lt;&gt;Constants!$B$6,$BD341,Constants!$B$11))</f>
        <v/>
      </c>
      <c r="BF341" s="91" t="str">
        <f aca="false">IF($BD341&lt;&gt;Constants!$B$6,"",IF($AU341="-&gt;",$BA341,$AR341))</f>
        <v/>
      </c>
      <c r="BG341" s="91" t="str">
        <f aca="false">IF($BD341&lt;&gt;Constants!$B$6,"",IF($W341,0,Constants!$B$15))</f>
        <v/>
      </c>
      <c r="BH341" s="91" t="str">
        <f aca="false">IF(ISBLANK($C341),"",IF($BD341&lt;&gt;Constants!$B$6,$BD341,SUM($BF341:$BG341)))</f>
        <v/>
      </c>
      <c r="BI341" s="87" t="str">
        <f aca="false">IF(ISBLANK($C341),"",IF($BD341&lt;&gt;Constants!$B$6,$BD341,RANK($BH341,$BH$9:$BH$508,1)))</f>
        <v/>
      </c>
      <c r="BJ341" s="91" t="str">
        <f aca="false">IF($BD341&lt;&gt;Constants!$B$6,"",IF($AU341="-&gt;",$BB341,$AS341))</f>
        <v/>
      </c>
      <c r="BK341" s="87" t="str">
        <f aca="false">IF(ISBLANK($C341),"",IF($BD341&lt;&gt;Constants!$B$6,$BD341,IF(ISNUMBER($BJ341),RANK($BJ341,$BJ$9:$BJ$508,1),COUNT($BJ$9:$BJ$508)+1)))</f>
        <v/>
      </c>
      <c r="BL341" s="91" t="str">
        <f aca="false">IF($BD341&lt;&gt;Constants!$B$6,"",IF($AU341="-&gt;",$BC341,$AT341))</f>
        <v/>
      </c>
      <c r="BM341" s="87" t="str">
        <f aca="false">IF(ISBLANK($C341),"",IF($BD341&lt;&gt;Constants!$B$6,$BD341,IF(ISNUMBER($BL341),RANK($BL341,$BL$9:$BL$508,1),COUNT($BL$9:$BL$508)+1)))</f>
        <v/>
      </c>
      <c r="BN341" s="91" t="str">
        <f aca="false">IF($BD341&lt;&gt;Constants!$B$6,"",IF($AU341="-&gt;",$AS341,$BB341))</f>
        <v/>
      </c>
      <c r="BO341" s="87" t="str">
        <f aca="false">IF(ISBLANK($C341),"",IF($BD341&lt;&gt;Constants!$B$6,$BD341,IF(ISNUMBER($BN341),RANK($BN341,$BN$9:$BN$508,1),COUNT($BN$9:$BN$508)+1)))</f>
        <v/>
      </c>
      <c r="BP341" s="91" t="str">
        <f aca="false">IF($BD341&lt;&gt;Constants!$B$6,"",IF($AU341="-&gt;",$AT341,$BC341))</f>
        <v/>
      </c>
      <c r="BQ341" s="87" t="str">
        <f aca="false">IF(ISBLANK($C341),"",IF($BD341&lt;&gt;Constants!$B$6,$BD341,IF(ISNUMBER($BP341),RANK($BP341,$BP$9:$BP$508,1),COUNT($BP$9:$BP$508)+1)))</f>
        <v/>
      </c>
      <c r="BR341" s="87" t="str">
        <f aca="false">IF(ISBLANK($C341),"",IF($BD341&lt;&gt;Constants!$B$6,$BD341,COUNTIFS($BI$9:$BI$508,"&lt;"&amp;$BI341)+COUNTIFS($BI$9:$BI$508,$BI341,$BK$9:$BK$508,"&lt;"&amp;$BK341)+COUNTIFS($BI$9:$BI$508,$BI341,$BK$9:$BK$508,$BK341,$BM$9:$BM$508,"&lt;"&amp;$BM341)+COUNTIFS($BI$9:$BI$508,$BI341,$BK$9:$BK$508,$BK341,$BM$9:$BM$508,$BM341,$BO$9:$BO$508,"&lt;"&amp;$BO341)+COUNTIFS($BI$9:$BI$508,$BI341,$BK$9:$BK$508,$BK341,$BM$9:$BM$508,$BM341,$BO$9:$BO$508,$BO341,$BQ$9:$BQ$508,"&lt;"&amp;$BQ341)+1))</f>
        <v/>
      </c>
      <c r="BS341" s="87" t="str">
        <f aca="false">IF(ISBLANK($C341),"",IF($BD341&lt;&gt;Constants!$B$6,$BD341,$BI341-$BR341))</f>
        <v/>
      </c>
      <c r="BT341" s="94"/>
      <c r="BU341" s="95"/>
      <c r="BV341" s="95" t="str">
        <f aca="false">IF(ISBLANK($C341),"",IF($BD341&lt;&gt;Constants!$B$6,"",IF($AU341="-&gt;",2,1)))</f>
        <v/>
      </c>
      <c r="BW341" s="96" t="str">
        <f aca="false">IF(ISBLANK($C341),"",IF($BD341&lt;&gt;Constants!$B$6,"",IF($AU341="-&gt;",$AW341,$AN341)))</f>
        <v/>
      </c>
      <c r="BX341" s="96" t="str">
        <f aca="false">IF(ISBLANK($C341),"",IF($BD341&lt;&gt;Constants!$B$6,"",IF($AU341="-&gt;",$AX341,$AO341)))</f>
        <v/>
      </c>
      <c r="BY341" s="96" t="str">
        <f aca="false">IF(ISBLANK($C341),"",IF($BD341&lt;&gt;Constants!$B$6,"",IF($AU341="-&gt;",$AY341,$AP341)))</f>
        <v/>
      </c>
      <c r="BZ341" s="96" t="str">
        <f aca="false">IF(ISBLANK($C341),"",IF($BD341&lt;&gt;Constants!$B$6,"",IF($AU341="-&gt;",$AZ341,$AQ341)+$BG341))</f>
        <v/>
      </c>
      <c r="CA341" s="97" t="str">
        <f aca="false">IF(ISBLANK($C341),"",IF($BD341&lt;&gt;Constants!$B$6,$BD341,$BH341))</f>
        <v/>
      </c>
      <c r="CB341" s="98" t="str">
        <f aca="false">IF(ISBLANK($C341),"",$BE341)</f>
        <v/>
      </c>
      <c r="CC341" s="99" t="str">
        <f aca="false">IF(ISBLANK($C341),"",$BS341)</f>
        <v/>
      </c>
      <c r="CD341" s="99" t="str">
        <f aca="false">IF(ISBLANK($C341),"",$BR341)</f>
        <v/>
      </c>
      <c r="CE341" s="100" t="str">
        <f aca="false">IF(ISBLANK($C341),"",IF($CD341=Constants!$B$9,COUNTA($C$9:$C$508)+2,IF($CD341=Constants!$B$8,COUNTA($C$9:$C$508)+1,IF($CD341=Constants!$B$7,COUNTA($C$9:$C$508),$CD341))))</f>
        <v/>
      </c>
      <c r="CF341" s="9"/>
      <c r="CG341" s="101" t="n">
        <f aca="false">IF(OR(ISNUMBER($CD341),$CD341=Constants!$B$9,$CD341=Constants!$B$7,$CD341=Constants!$B$8),1,0)</f>
        <v>0</v>
      </c>
      <c r="CH341" s="101" t="n">
        <v>333</v>
      </c>
      <c r="CI341" s="101" t="str">
        <f aca="false">IF(ISBLANK($C341),"",IF(ISNUMBER($CE341),$CE341+ROW($B341)/1000,""))</f>
        <v/>
      </c>
      <c r="CJ341" s="101" t="str">
        <f aca="false">IF(ISNUMBER($CI341),RANK($CI341,$CI$9:$CI$508,1),"")</f>
        <v/>
      </c>
      <c r="CK341" s="101" t="str">
        <f aca="false">IF(ISBLANK($C341),"",$B341)</f>
        <v/>
      </c>
      <c r="CL341" s="101" t="str">
        <f aca="false">IF(ISBLANK($C341),"",$C341)</f>
        <v/>
      </c>
      <c r="CM341" s="101" t="str">
        <f aca="false">IF(ISBLANK($C341),"",$D341)</f>
        <v/>
      </c>
      <c r="CN341" s="102" t="str">
        <f aca="false">$CB341</f>
        <v/>
      </c>
      <c r="CO341" s="103" t="str">
        <f aca="false">$CA341</f>
        <v/>
      </c>
      <c r="CP341" s="101" t="str">
        <f aca="false">IF(ISBLANK($C341),"",$CD341)</f>
        <v/>
      </c>
      <c r="CQ341" s="104" t="str">
        <f aca="false">IF($CH341&gt;$CG$8,"",VLOOKUP($CH341,$CJ$9:$CP$508,7,FALSE()))</f>
        <v/>
      </c>
      <c r="CR341" s="105" t="str">
        <f aca="false">IF($CH341&gt;$CG$8,"",VLOOKUP($CH341,$CJ$9:$CP$508,2,FALSE()))</f>
        <v/>
      </c>
      <c r="CS341" s="105" t="str">
        <f aca="false">IF($CH341&gt;$CG$8,"",VLOOKUP($CH341,$CJ$9:$CP$508,3,FALSE()))</f>
        <v/>
      </c>
      <c r="CT341" s="105" t="str">
        <f aca="false">IF($CH341&gt;$CG$8,"",VLOOKUP($CH341,$CJ$9:$CP$508,4,FALSE()))</f>
        <v/>
      </c>
      <c r="CU341" s="105" t="str">
        <f aca="false">IF($CH341&gt;$CG$8,"",VLOOKUP($CH341,$CJ$9:$CP$508,5,FALSE()))</f>
        <v/>
      </c>
      <c r="CV341" s="106" t="str">
        <f aca="false">IF($CH341&gt;$CG$8,"",VLOOKUP($CH341,$CJ$9:$CP$508,6,FALSE()))</f>
        <v/>
      </c>
      <c r="CW341" s="71"/>
    </row>
    <row r="342" customFormat="false" ht="15.75" hidden="false" customHeight="false" outlineLevel="0" collapsed="false">
      <c r="A342" s="9"/>
      <c r="B342" s="150"/>
      <c r="C342" s="151"/>
      <c r="D342" s="152"/>
      <c r="E342" s="170"/>
      <c r="F342" s="154"/>
      <c r="G342" s="155"/>
      <c r="H342" s="171"/>
      <c r="I342" s="159"/>
      <c r="J342" s="120"/>
      <c r="K342" s="121"/>
      <c r="L342" s="122"/>
      <c r="M342" s="158"/>
      <c r="N342" s="159"/>
      <c r="O342" s="159"/>
      <c r="P342" s="120"/>
      <c r="Q342" s="122"/>
      <c r="R342" s="122"/>
      <c r="S342" s="158"/>
      <c r="T342" s="159"/>
      <c r="U342" s="126"/>
      <c r="V342" s="127"/>
      <c r="W342" s="127" t="str">
        <f aca="false">IF(ISBLANK($C342),"",IF(E342=Constants!$B$2,TRUE(),IF(E342=Constants!$B$3,FALSE(),TRUE())))</f>
        <v/>
      </c>
      <c r="X342" s="127" t="str">
        <f aca="false">IF(ISBLANK($C342),"",IF(F342=Constants!$B$2,TRUE(),IF(F342=Constants!$B$3,FALSE(),TRUE())))</f>
        <v/>
      </c>
      <c r="Y342" s="127" t="str">
        <f aca="false">IF(ISBLANK($C342),"",IF(G342=Constants!$B$2,TRUE(),IF(G342=Constants!$B$3,FALSE(),TRUE())))</f>
        <v/>
      </c>
      <c r="Z342" s="127" t="str">
        <f aca="false">IF(ISBLANK($C342),"",IF(H342=Constants!$B$2,TRUE(),IF(H342=Constants!$B$3,FALSE(),TRUE())))</f>
        <v/>
      </c>
      <c r="AA342" s="127" t="str">
        <f aca="false">IF(ISBLANK($C342),"",IF(I342=Constants!$B$2,TRUE(),IF(I342=Constants!$B$3,FALSE(),TRUE())))</f>
        <v/>
      </c>
      <c r="AB342" s="127" t="str">
        <f aca="false">IF(ISBLANK($C342),"",IF(J342=Constants!$B$4,TRUE(),IF(J342=Constants!$B$5,FALSE(),COUNTA(K342:M342)&gt;0)))</f>
        <v/>
      </c>
      <c r="AC342" s="128" t="str">
        <f aca="false">IF(ISBLANK($C342),"",IF(ISNUMBER(K342),IF(K342&gt;=0,K342,""),""))</f>
        <v/>
      </c>
      <c r="AD342" s="129" t="str">
        <f aca="false">IF(ISBLANK($C342),"",IF(ISNUMBER(L342),IF(L342&gt;=0,L342,""),""))</f>
        <v/>
      </c>
      <c r="AE342" s="127" t="str">
        <f aca="false">IF(ISBLANK($C342),"",IF(ISNUMBER(M342),IF(M342&gt;=0,MIN(M342,Constants!$B$22),""),""))</f>
        <v/>
      </c>
      <c r="AF342" s="127" t="str">
        <f aca="false">IF(ISBLANK($C342),"",IF(N342=Constants!$B$2,TRUE(),IF(N342=Constants!$B$3,FALSE(),TRUE())))</f>
        <v/>
      </c>
      <c r="AG342" s="127" t="str">
        <f aca="false">IF(ISBLANK($C342),"",IF(O342=Constants!$B$2,TRUE(),IF(O342=Constants!$B$3,FALSE(),TRUE())))</f>
        <v/>
      </c>
      <c r="AH342" s="127" t="str">
        <f aca="false">IF(ISBLANK($C342),"",IF(P342=Constants!$B$4,TRUE(),IF(P342=Constants!$B$5,FALSE(),COUNTA(Q342:S342)&gt;0)))</f>
        <v/>
      </c>
      <c r="AI342" s="128" t="str">
        <f aca="false">IF(ISBLANK($C342),"",IF(ISNUMBER(Q342),IF(Q342&gt;=0,Q342,""),""))</f>
        <v/>
      </c>
      <c r="AJ342" s="129" t="str">
        <f aca="false">IF(ISBLANK($C342),"",IF(ISNUMBER(R342),IF(R342&gt;=0,R342,""),""))</f>
        <v/>
      </c>
      <c r="AK342" s="127" t="str">
        <f aca="false">IF(ISBLANK($C342),"",IF(ISNUMBER(S342),IF(S342&gt;=0,MIN(S342,Constants!$B$22),""),""))</f>
        <v/>
      </c>
      <c r="AL342" s="127" t="str">
        <f aca="false">IF(ISBLANK($C342),"",IF(T342=Constants!$B$2,TRUE(),IF(T342=Constants!$B$3,FALSE(),FALSE())))</f>
        <v/>
      </c>
      <c r="AM342" s="126" t="str">
        <f aca="false">IF(ISBLANK($C342),"",AND($AB342,OR($AC342="",$AD342="",AND(NOT(ISBLANK($M342)),$AE342=""))))</f>
        <v/>
      </c>
      <c r="AN342" s="129" t="str">
        <f aca="false">IF($BD342&lt;&gt;Constants!$B$6,"",IF($AB342,Constants!$B$17*$AD342,Constants!$B$18))</f>
        <v/>
      </c>
      <c r="AO342" s="130" t="str">
        <f aca="false">IF($BD342&lt;&gt;Constants!$B$6,"",Constants!$B$19*IF($AB342,$AC342,0))</f>
        <v/>
      </c>
      <c r="AP342" s="130" t="str">
        <f aca="false">IF($BD342&lt;&gt;Constants!$B$6,"",IF(AND($AB342,ISNUMBER($AE342)),Constants!$B$20*(Constants!$B$21-$AE342),0))</f>
        <v/>
      </c>
      <c r="AQ342" s="130" t="str">
        <f aca="false">IF($BD342&lt;&gt;Constants!$B$6,"",IF($AA342,0,Constants!$B$12)+IF($Z342,0,Constants!$B$13)+IF($Y342,0,Constants!$B$14))</f>
        <v/>
      </c>
      <c r="AR342" s="131" t="str">
        <f aca="false">IF($BD342&lt;&gt;Constants!$B$6,"",Constants!$B$16+SUM($AN342:$AQ342))</f>
        <v/>
      </c>
      <c r="AS342" s="130" t="str">
        <f aca="false">IF($BD342&lt;&gt;Constants!$B$6,"",IF($AB342,$AD342,""))</f>
        <v/>
      </c>
      <c r="AT342" s="132" t="str">
        <f aca="false">IF($BD342&lt;&gt;Constants!$B$6,"",$AO342)</f>
        <v/>
      </c>
      <c r="AU342" s="127" t="str">
        <f aca="false">IF($BD342&lt;&gt;Constants!$B$6,"",IF(OR($BA342&lt;$AR342,AND($BA342=$AR342,OR(AND(ISNUMBER($BB342),OR(NOT(ISNUMBER($AS342)),$BB342&lt;$AS342)),AND(OR(AND($BB342="",$AS342=""),AND(ISNUMBER($BB342),ISNUMBER($AS342),$BB342=$AS342)),$BC342&lt;$AT342)))),"-&gt;","&lt;-"))</f>
        <v/>
      </c>
      <c r="AV342" s="126" t="str">
        <f aca="false">IF(ISBLANK($C342),"",AND($AH342,OR($AI342="",$AJ342="",AND(NOT(ISBLANK($S342)),$AK342=""))))</f>
        <v/>
      </c>
      <c r="AW342" s="129" t="str">
        <f aca="false">IF($BD342&lt;&gt;Constants!$B$6,"",IF($AH342,Constants!$B$17*$AJ342,Constants!$B$18))</f>
        <v/>
      </c>
      <c r="AX342" s="130" t="str">
        <f aca="false">IF($BD342&lt;&gt;Constants!$B$6,"",Constants!$B$19*IF($AH342,$AI342,0))</f>
        <v/>
      </c>
      <c r="AY342" s="130" t="str">
        <f aca="false">IF($BD342&lt;&gt;Constants!$B$6,"",IF(AND($AH342,ISNUMBER($AK342)),Constants!$B$20*(Constants!$B$21-$AK342),0))</f>
        <v/>
      </c>
      <c r="AZ342" s="130" t="str">
        <f aca="false">IF($BD342&lt;&gt;Constants!$B$6,"",IF($AG342,0,Constants!$B$12)+IF($AF342,0,Constants!$B$13)+IF($Y342,0,Constants!$B$14))</f>
        <v/>
      </c>
      <c r="BA342" s="131" t="str">
        <f aca="false">IF($BD342&lt;&gt;Constants!$B$6,"",Constants!$B$16+SUM($AW342:$AZ342))</f>
        <v/>
      </c>
      <c r="BB342" s="130" t="str">
        <f aca="false">IF($BD342&lt;&gt;Constants!$B$6,"",IF($AH342,$AJ342,""))</f>
        <v/>
      </c>
      <c r="BC342" s="132" t="str">
        <f aca="false">IF($BD342&lt;&gt;Constants!$B$6,"",$AX342)</f>
        <v/>
      </c>
      <c r="BD342" s="127" t="str">
        <f aca="false">IF(ISBLANK($C342),"",IF($AL342,Constants!$B$9,IF(COUNTA($E342:$T342)=0,Constants!$B$8,IF(NOT($X342),Constants!$B$7,IF(OR($AM342,$AV342),Constants!$B$10,Constants!$B$6)))))</f>
        <v/>
      </c>
      <c r="BE342" s="127" t="str">
        <f aca="false">IF(ISBLANK($C342),"",IF($BD342&lt;&gt;Constants!$B$6,$BD342,Constants!$B$11))</f>
        <v/>
      </c>
      <c r="BF342" s="130" t="str">
        <f aca="false">IF($BD342&lt;&gt;Constants!$B$6,"",IF($AU342="-&gt;",$BA342,$AR342))</f>
        <v/>
      </c>
      <c r="BG342" s="130" t="str">
        <f aca="false">IF($BD342&lt;&gt;Constants!$B$6,"",IF($W342,0,Constants!$B$15))</f>
        <v/>
      </c>
      <c r="BH342" s="130" t="str">
        <f aca="false">IF(ISBLANK($C342),"",IF($BD342&lt;&gt;Constants!$B$6,$BD342,SUM($BF342:$BG342)))</f>
        <v/>
      </c>
      <c r="BI342" s="127" t="str">
        <f aca="false">IF(ISBLANK($C342),"",IF($BD342&lt;&gt;Constants!$B$6,$BD342,RANK($BH342,$BH$9:$BH$508,1)))</f>
        <v/>
      </c>
      <c r="BJ342" s="130" t="str">
        <f aca="false">IF($BD342&lt;&gt;Constants!$B$6,"",IF($AU342="-&gt;",$BB342,$AS342))</f>
        <v/>
      </c>
      <c r="BK342" s="127" t="str">
        <f aca="false">IF(ISBLANK($C342),"",IF($BD342&lt;&gt;Constants!$B$6,$BD342,IF(ISNUMBER($BJ342),RANK($BJ342,$BJ$9:$BJ$508,1),COUNT($BJ$9:$BJ$508)+1)))</f>
        <v/>
      </c>
      <c r="BL342" s="130" t="str">
        <f aca="false">IF($BD342&lt;&gt;Constants!$B$6,"",IF($AU342="-&gt;",$BC342,$AT342))</f>
        <v/>
      </c>
      <c r="BM342" s="127" t="str">
        <f aca="false">IF(ISBLANK($C342),"",IF($BD342&lt;&gt;Constants!$B$6,$BD342,IF(ISNUMBER($BL342),RANK($BL342,$BL$9:$BL$508,1),COUNT($BL$9:$BL$508)+1)))</f>
        <v/>
      </c>
      <c r="BN342" s="130" t="str">
        <f aca="false">IF($BD342&lt;&gt;Constants!$B$6,"",IF($AU342="-&gt;",$AS342,$BB342))</f>
        <v/>
      </c>
      <c r="BO342" s="127" t="str">
        <f aca="false">IF(ISBLANK($C342),"",IF($BD342&lt;&gt;Constants!$B$6,$BD342,IF(ISNUMBER($BN342),RANK($BN342,$BN$9:$BN$508,1),COUNT($BN$9:$BN$508)+1)))</f>
        <v/>
      </c>
      <c r="BP342" s="130" t="str">
        <f aca="false">IF($BD342&lt;&gt;Constants!$B$6,"",IF($AU342="-&gt;",$AT342,$BC342))</f>
        <v/>
      </c>
      <c r="BQ342" s="127" t="str">
        <f aca="false">IF(ISBLANK($C342),"",IF($BD342&lt;&gt;Constants!$B$6,$BD342,IF(ISNUMBER($BP342),RANK($BP342,$BP$9:$BP$508,1),COUNT($BP$9:$BP$508)+1)))</f>
        <v/>
      </c>
      <c r="BR342" s="127" t="str">
        <f aca="false">IF(ISBLANK($C342),"",IF($BD342&lt;&gt;Constants!$B$6,$BD342,COUNTIFS($BI$9:$BI$508,"&lt;"&amp;$BI342)+COUNTIFS($BI$9:$BI$508,$BI342,$BK$9:$BK$508,"&lt;"&amp;$BK342)+COUNTIFS($BI$9:$BI$508,$BI342,$BK$9:$BK$508,$BK342,$BM$9:$BM$508,"&lt;"&amp;$BM342)+COUNTIFS($BI$9:$BI$508,$BI342,$BK$9:$BK$508,$BK342,$BM$9:$BM$508,$BM342,$BO$9:$BO$508,"&lt;"&amp;$BO342)+COUNTIFS($BI$9:$BI$508,$BI342,$BK$9:$BK$508,$BK342,$BM$9:$BM$508,$BM342,$BO$9:$BO$508,$BO342,$BQ$9:$BQ$508,"&lt;"&amp;$BQ342)+1))</f>
        <v/>
      </c>
      <c r="BS342" s="127" t="str">
        <f aca="false">IF(ISBLANK($C342),"",IF($BD342&lt;&gt;Constants!$B$6,$BD342,$BI342-$BR342))</f>
        <v/>
      </c>
      <c r="BT342" s="133"/>
      <c r="BU342" s="134"/>
      <c r="BV342" s="134" t="str">
        <f aca="false">IF(ISBLANK($C342),"",IF($BD342&lt;&gt;Constants!$B$6,"",IF($AU342="-&gt;",2,1)))</f>
        <v/>
      </c>
      <c r="BW342" s="135" t="str">
        <f aca="false">IF(ISBLANK($C342),"",IF($BD342&lt;&gt;Constants!$B$6,"",IF($AU342="-&gt;",$AW342,$AN342)))</f>
        <v/>
      </c>
      <c r="BX342" s="135" t="str">
        <f aca="false">IF(ISBLANK($C342),"",IF($BD342&lt;&gt;Constants!$B$6,"",IF($AU342="-&gt;",$AX342,$AO342)))</f>
        <v/>
      </c>
      <c r="BY342" s="135" t="str">
        <f aca="false">IF(ISBLANK($C342),"",IF($BD342&lt;&gt;Constants!$B$6,"",IF($AU342="-&gt;",$AY342,$AP342)))</f>
        <v/>
      </c>
      <c r="BZ342" s="135" t="str">
        <f aca="false">IF(ISBLANK($C342),"",IF($BD342&lt;&gt;Constants!$B$6,"",IF($AU342="-&gt;",$AZ342,$AQ342)+$BG342))</f>
        <v/>
      </c>
      <c r="CA342" s="136" t="str">
        <f aca="false">IF(ISBLANK($C342),"",IF($BD342&lt;&gt;Constants!$B$6,$BD342,$BH342))</f>
        <v/>
      </c>
      <c r="CB342" s="137" t="str">
        <f aca="false">IF(ISBLANK($C342),"",$BE342)</f>
        <v/>
      </c>
      <c r="CC342" s="138" t="str">
        <f aca="false">IF(ISBLANK($C342),"",$BS342)</f>
        <v/>
      </c>
      <c r="CD342" s="138" t="str">
        <f aca="false">IF(ISBLANK($C342),"",$BR342)</f>
        <v/>
      </c>
      <c r="CE342" s="139" t="str">
        <f aca="false">IF(ISBLANK($C342),"",IF($CD342=Constants!$B$9,COUNTA($C$9:$C$508)+2,IF($CD342=Constants!$B$8,COUNTA($C$9:$C$508)+1,IF($CD342=Constants!$B$7,COUNTA($C$9:$C$508),$CD342))))</f>
        <v/>
      </c>
      <c r="CF342" s="9"/>
      <c r="CG342" s="140" t="n">
        <f aca="false">IF(OR(ISNUMBER($CD342),$CD342=Constants!$B$9,$CD342=Constants!$B$7,$CD342=Constants!$B$8),1,0)</f>
        <v>0</v>
      </c>
      <c r="CH342" s="140" t="n">
        <v>334</v>
      </c>
      <c r="CI342" s="140" t="str">
        <f aca="false">IF(ISBLANK($C342),"",IF(ISNUMBER($CE342),$CE342+ROW($B342)/1000,""))</f>
        <v/>
      </c>
      <c r="CJ342" s="140" t="str">
        <f aca="false">IF(ISNUMBER($CI342),RANK($CI342,$CI$9:$CI$508,1),"")</f>
        <v/>
      </c>
      <c r="CK342" s="140" t="str">
        <f aca="false">IF(ISBLANK($C342),"",$B342)</f>
        <v/>
      </c>
      <c r="CL342" s="140" t="str">
        <f aca="false">IF(ISBLANK($C342),"",$C342)</f>
        <v/>
      </c>
      <c r="CM342" s="140" t="str">
        <f aca="false">IF(ISBLANK($C342),"",$D342)</f>
        <v/>
      </c>
      <c r="CN342" s="141" t="str">
        <f aca="false">$CB342</f>
        <v/>
      </c>
      <c r="CO342" s="142" t="str">
        <f aca="false">$CA342</f>
        <v/>
      </c>
      <c r="CP342" s="140" t="str">
        <f aca="false">IF(ISBLANK($C342),"",$CD342)</f>
        <v/>
      </c>
      <c r="CQ342" s="143" t="str">
        <f aca="false">IF($CH342&gt;$CG$8,"",VLOOKUP($CH342,$CJ$9:$CP$508,7,FALSE()))</f>
        <v/>
      </c>
      <c r="CR342" s="144" t="str">
        <f aca="false">IF($CH342&gt;$CG$8,"",VLOOKUP($CH342,$CJ$9:$CP$508,2,FALSE()))</f>
        <v/>
      </c>
      <c r="CS342" s="144" t="str">
        <f aca="false">IF($CH342&gt;$CG$8,"",VLOOKUP($CH342,$CJ$9:$CP$508,3,FALSE()))</f>
        <v/>
      </c>
      <c r="CT342" s="144" t="str">
        <f aca="false">IF($CH342&gt;$CG$8,"",VLOOKUP($CH342,$CJ$9:$CP$508,4,FALSE()))</f>
        <v/>
      </c>
      <c r="CU342" s="144" t="str">
        <f aca="false">IF($CH342&gt;$CG$8,"",VLOOKUP($CH342,$CJ$9:$CP$508,5,FALSE()))</f>
        <v/>
      </c>
      <c r="CV342" s="145" t="str">
        <f aca="false">IF($CH342&gt;$CG$8,"",VLOOKUP($CH342,$CJ$9:$CP$508,6,FALSE()))</f>
        <v/>
      </c>
      <c r="CW342" s="71"/>
    </row>
    <row r="343" customFormat="false" ht="15.75" hidden="false" customHeight="false" outlineLevel="0" collapsed="false">
      <c r="A343" s="9"/>
      <c r="B343" s="150"/>
      <c r="C343" s="151"/>
      <c r="D343" s="152"/>
      <c r="E343" s="170"/>
      <c r="F343" s="154"/>
      <c r="G343" s="155"/>
      <c r="H343" s="171"/>
      <c r="I343" s="159"/>
      <c r="J343" s="120"/>
      <c r="K343" s="121"/>
      <c r="L343" s="122"/>
      <c r="M343" s="158"/>
      <c r="N343" s="159"/>
      <c r="O343" s="159"/>
      <c r="P343" s="120"/>
      <c r="Q343" s="122"/>
      <c r="R343" s="122"/>
      <c r="S343" s="158"/>
      <c r="T343" s="159"/>
      <c r="U343" s="126"/>
      <c r="V343" s="127"/>
      <c r="W343" s="127" t="str">
        <f aca="false">IF(ISBLANK($C343),"",IF(E343=Constants!$B$2,TRUE(),IF(E343=Constants!$B$3,FALSE(),TRUE())))</f>
        <v/>
      </c>
      <c r="X343" s="127" t="str">
        <f aca="false">IF(ISBLANK($C343),"",IF(F343=Constants!$B$2,TRUE(),IF(F343=Constants!$B$3,FALSE(),TRUE())))</f>
        <v/>
      </c>
      <c r="Y343" s="127" t="str">
        <f aca="false">IF(ISBLANK($C343),"",IF(G343=Constants!$B$2,TRUE(),IF(G343=Constants!$B$3,FALSE(),TRUE())))</f>
        <v/>
      </c>
      <c r="Z343" s="127" t="str">
        <f aca="false">IF(ISBLANK($C343),"",IF(H343=Constants!$B$2,TRUE(),IF(H343=Constants!$B$3,FALSE(),TRUE())))</f>
        <v/>
      </c>
      <c r="AA343" s="127" t="str">
        <f aca="false">IF(ISBLANK($C343),"",IF(I343=Constants!$B$2,TRUE(),IF(I343=Constants!$B$3,FALSE(),TRUE())))</f>
        <v/>
      </c>
      <c r="AB343" s="127" t="str">
        <f aca="false">IF(ISBLANK($C343),"",IF(J343=Constants!$B$4,TRUE(),IF(J343=Constants!$B$5,FALSE(),COUNTA(K343:M343)&gt;0)))</f>
        <v/>
      </c>
      <c r="AC343" s="128" t="str">
        <f aca="false">IF(ISBLANK($C343),"",IF(ISNUMBER(K343),IF(K343&gt;=0,K343,""),""))</f>
        <v/>
      </c>
      <c r="AD343" s="129" t="str">
        <f aca="false">IF(ISBLANK($C343),"",IF(ISNUMBER(L343),IF(L343&gt;=0,L343,""),""))</f>
        <v/>
      </c>
      <c r="AE343" s="127" t="str">
        <f aca="false">IF(ISBLANK($C343),"",IF(ISNUMBER(M343),IF(M343&gt;=0,MIN(M343,Constants!$B$22),""),""))</f>
        <v/>
      </c>
      <c r="AF343" s="127" t="str">
        <f aca="false">IF(ISBLANK($C343),"",IF(N343=Constants!$B$2,TRUE(),IF(N343=Constants!$B$3,FALSE(),TRUE())))</f>
        <v/>
      </c>
      <c r="AG343" s="127" t="str">
        <f aca="false">IF(ISBLANK($C343),"",IF(O343=Constants!$B$2,TRUE(),IF(O343=Constants!$B$3,FALSE(),TRUE())))</f>
        <v/>
      </c>
      <c r="AH343" s="127" t="str">
        <f aca="false">IF(ISBLANK($C343),"",IF(P343=Constants!$B$4,TRUE(),IF(P343=Constants!$B$5,FALSE(),COUNTA(Q343:S343)&gt;0)))</f>
        <v/>
      </c>
      <c r="AI343" s="128" t="str">
        <f aca="false">IF(ISBLANK($C343),"",IF(ISNUMBER(Q343),IF(Q343&gt;=0,Q343,""),""))</f>
        <v/>
      </c>
      <c r="AJ343" s="129" t="str">
        <f aca="false">IF(ISBLANK($C343),"",IF(ISNUMBER(R343),IF(R343&gt;=0,R343,""),""))</f>
        <v/>
      </c>
      <c r="AK343" s="127" t="str">
        <f aca="false">IF(ISBLANK($C343),"",IF(ISNUMBER(S343),IF(S343&gt;=0,MIN(S343,Constants!$B$22),""),""))</f>
        <v/>
      </c>
      <c r="AL343" s="127" t="str">
        <f aca="false">IF(ISBLANK($C343),"",IF(T343=Constants!$B$2,TRUE(),IF(T343=Constants!$B$3,FALSE(),FALSE())))</f>
        <v/>
      </c>
      <c r="AM343" s="126" t="str">
        <f aca="false">IF(ISBLANK($C343),"",AND($AB343,OR($AC343="",$AD343="",AND(NOT(ISBLANK($M343)),$AE343=""))))</f>
        <v/>
      </c>
      <c r="AN343" s="129" t="str">
        <f aca="false">IF($BD343&lt;&gt;Constants!$B$6,"",IF($AB343,Constants!$B$17*$AD343,Constants!$B$18))</f>
        <v/>
      </c>
      <c r="AO343" s="130" t="str">
        <f aca="false">IF($BD343&lt;&gt;Constants!$B$6,"",Constants!$B$19*IF($AB343,$AC343,0))</f>
        <v/>
      </c>
      <c r="AP343" s="130" t="str">
        <f aca="false">IF($BD343&lt;&gt;Constants!$B$6,"",IF(AND($AB343,ISNUMBER($AE343)),Constants!$B$20*(Constants!$B$21-$AE343),0))</f>
        <v/>
      </c>
      <c r="AQ343" s="130" t="str">
        <f aca="false">IF($BD343&lt;&gt;Constants!$B$6,"",IF($AA343,0,Constants!$B$12)+IF($Z343,0,Constants!$B$13)+IF($Y343,0,Constants!$B$14))</f>
        <v/>
      </c>
      <c r="AR343" s="131" t="str">
        <f aca="false">IF($BD343&lt;&gt;Constants!$B$6,"",Constants!$B$16+SUM($AN343:$AQ343))</f>
        <v/>
      </c>
      <c r="AS343" s="130" t="str">
        <f aca="false">IF($BD343&lt;&gt;Constants!$B$6,"",IF($AB343,$AD343,""))</f>
        <v/>
      </c>
      <c r="AT343" s="132" t="str">
        <f aca="false">IF($BD343&lt;&gt;Constants!$B$6,"",$AO343)</f>
        <v/>
      </c>
      <c r="AU343" s="127" t="str">
        <f aca="false">IF($BD343&lt;&gt;Constants!$B$6,"",IF(OR($BA343&lt;$AR343,AND($BA343=$AR343,OR(AND(ISNUMBER($BB343),OR(NOT(ISNUMBER($AS343)),$BB343&lt;$AS343)),AND(OR(AND($BB343="",$AS343=""),AND(ISNUMBER($BB343),ISNUMBER($AS343),$BB343=$AS343)),$BC343&lt;$AT343)))),"-&gt;","&lt;-"))</f>
        <v/>
      </c>
      <c r="AV343" s="126" t="str">
        <f aca="false">IF(ISBLANK($C343),"",AND($AH343,OR($AI343="",$AJ343="",AND(NOT(ISBLANK($S343)),$AK343=""))))</f>
        <v/>
      </c>
      <c r="AW343" s="129" t="str">
        <f aca="false">IF($BD343&lt;&gt;Constants!$B$6,"",IF($AH343,Constants!$B$17*$AJ343,Constants!$B$18))</f>
        <v/>
      </c>
      <c r="AX343" s="130" t="str">
        <f aca="false">IF($BD343&lt;&gt;Constants!$B$6,"",Constants!$B$19*IF($AH343,$AI343,0))</f>
        <v/>
      </c>
      <c r="AY343" s="130" t="str">
        <f aca="false">IF($BD343&lt;&gt;Constants!$B$6,"",IF(AND($AH343,ISNUMBER($AK343)),Constants!$B$20*(Constants!$B$21-$AK343),0))</f>
        <v/>
      </c>
      <c r="AZ343" s="130" t="str">
        <f aca="false">IF($BD343&lt;&gt;Constants!$B$6,"",IF($AG343,0,Constants!$B$12)+IF($AF343,0,Constants!$B$13)+IF($Y343,0,Constants!$B$14))</f>
        <v/>
      </c>
      <c r="BA343" s="131" t="str">
        <f aca="false">IF($BD343&lt;&gt;Constants!$B$6,"",Constants!$B$16+SUM($AW343:$AZ343))</f>
        <v/>
      </c>
      <c r="BB343" s="130" t="str">
        <f aca="false">IF($BD343&lt;&gt;Constants!$B$6,"",IF($AH343,$AJ343,""))</f>
        <v/>
      </c>
      <c r="BC343" s="132" t="str">
        <f aca="false">IF($BD343&lt;&gt;Constants!$B$6,"",$AX343)</f>
        <v/>
      </c>
      <c r="BD343" s="127" t="str">
        <f aca="false">IF(ISBLANK($C343),"",IF($AL343,Constants!$B$9,IF(COUNTA($E343:$T343)=0,Constants!$B$8,IF(NOT($X343),Constants!$B$7,IF(OR($AM343,$AV343),Constants!$B$10,Constants!$B$6)))))</f>
        <v/>
      </c>
      <c r="BE343" s="127" t="str">
        <f aca="false">IF(ISBLANK($C343),"",IF($BD343&lt;&gt;Constants!$B$6,$BD343,Constants!$B$11))</f>
        <v/>
      </c>
      <c r="BF343" s="130" t="str">
        <f aca="false">IF($BD343&lt;&gt;Constants!$B$6,"",IF($AU343="-&gt;",$BA343,$AR343))</f>
        <v/>
      </c>
      <c r="BG343" s="130" t="str">
        <f aca="false">IF($BD343&lt;&gt;Constants!$B$6,"",IF($W343,0,Constants!$B$15))</f>
        <v/>
      </c>
      <c r="BH343" s="130" t="str">
        <f aca="false">IF(ISBLANK($C343),"",IF($BD343&lt;&gt;Constants!$B$6,$BD343,SUM($BF343:$BG343)))</f>
        <v/>
      </c>
      <c r="BI343" s="127" t="str">
        <f aca="false">IF(ISBLANK($C343),"",IF($BD343&lt;&gt;Constants!$B$6,$BD343,RANK($BH343,$BH$9:$BH$508,1)))</f>
        <v/>
      </c>
      <c r="BJ343" s="130" t="str">
        <f aca="false">IF($BD343&lt;&gt;Constants!$B$6,"",IF($AU343="-&gt;",$BB343,$AS343))</f>
        <v/>
      </c>
      <c r="BK343" s="127" t="str">
        <f aca="false">IF(ISBLANK($C343),"",IF($BD343&lt;&gt;Constants!$B$6,$BD343,IF(ISNUMBER($BJ343),RANK($BJ343,$BJ$9:$BJ$508,1),COUNT($BJ$9:$BJ$508)+1)))</f>
        <v/>
      </c>
      <c r="BL343" s="130" t="str">
        <f aca="false">IF($BD343&lt;&gt;Constants!$B$6,"",IF($AU343="-&gt;",$BC343,$AT343))</f>
        <v/>
      </c>
      <c r="BM343" s="127" t="str">
        <f aca="false">IF(ISBLANK($C343),"",IF($BD343&lt;&gt;Constants!$B$6,$BD343,IF(ISNUMBER($BL343),RANK($BL343,$BL$9:$BL$508,1),COUNT($BL$9:$BL$508)+1)))</f>
        <v/>
      </c>
      <c r="BN343" s="130" t="str">
        <f aca="false">IF($BD343&lt;&gt;Constants!$B$6,"",IF($AU343="-&gt;",$AS343,$BB343))</f>
        <v/>
      </c>
      <c r="BO343" s="127" t="str">
        <f aca="false">IF(ISBLANK($C343),"",IF($BD343&lt;&gt;Constants!$B$6,$BD343,IF(ISNUMBER($BN343),RANK($BN343,$BN$9:$BN$508,1),COUNT($BN$9:$BN$508)+1)))</f>
        <v/>
      </c>
      <c r="BP343" s="130" t="str">
        <f aca="false">IF($BD343&lt;&gt;Constants!$B$6,"",IF($AU343="-&gt;",$AT343,$BC343))</f>
        <v/>
      </c>
      <c r="BQ343" s="127" t="str">
        <f aca="false">IF(ISBLANK($C343),"",IF($BD343&lt;&gt;Constants!$B$6,$BD343,IF(ISNUMBER($BP343),RANK($BP343,$BP$9:$BP$508,1),COUNT($BP$9:$BP$508)+1)))</f>
        <v/>
      </c>
      <c r="BR343" s="127" t="str">
        <f aca="false">IF(ISBLANK($C343),"",IF($BD343&lt;&gt;Constants!$B$6,$BD343,COUNTIFS($BI$9:$BI$508,"&lt;"&amp;$BI343)+COUNTIFS($BI$9:$BI$508,$BI343,$BK$9:$BK$508,"&lt;"&amp;$BK343)+COUNTIFS($BI$9:$BI$508,$BI343,$BK$9:$BK$508,$BK343,$BM$9:$BM$508,"&lt;"&amp;$BM343)+COUNTIFS($BI$9:$BI$508,$BI343,$BK$9:$BK$508,$BK343,$BM$9:$BM$508,$BM343,$BO$9:$BO$508,"&lt;"&amp;$BO343)+COUNTIFS($BI$9:$BI$508,$BI343,$BK$9:$BK$508,$BK343,$BM$9:$BM$508,$BM343,$BO$9:$BO$508,$BO343,$BQ$9:$BQ$508,"&lt;"&amp;$BQ343)+1))</f>
        <v/>
      </c>
      <c r="BS343" s="127" t="str">
        <f aca="false">IF(ISBLANK($C343),"",IF($BD343&lt;&gt;Constants!$B$6,$BD343,$BI343-$BR343))</f>
        <v/>
      </c>
      <c r="BT343" s="133"/>
      <c r="BU343" s="134"/>
      <c r="BV343" s="134" t="str">
        <f aca="false">IF(ISBLANK($C343),"",IF($BD343&lt;&gt;Constants!$B$6,"",IF($AU343="-&gt;",2,1)))</f>
        <v/>
      </c>
      <c r="BW343" s="135" t="str">
        <f aca="false">IF(ISBLANK($C343),"",IF($BD343&lt;&gt;Constants!$B$6,"",IF($AU343="-&gt;",$AW343,$AN343)))</f>
        <v/>
      </c>
      <c r="BX343" s="135" t="str">
        <f aca="false">IF(ISBLANK($C343),"",IF($BD343&lt;&gt;Constants!$B$6,"",IF($AU343="-&gt;",$AX343,$AO343)))</f>
        <v/>
      </c>
      <c r="BY343" s="135" t="str">
        <f aca="false">IF(ISBLANK($C343),"",IF($BD343&lt;&gt;Constants!$B$6,"",IF($AU343="-&gt;",$AY343,$AP343)))</f>
        <v/>
      </c>
      <c r="BZ343" s="135" t="str">
        <f aca="false">IF(ISBLANK($C343),"",IF($BD343&lt;&gt;Constants!$B$6,"",IF($AU343="-&gt;",$AZ343,$AQ343)+$BG343))</f>
        <v/>
      </c>
      <c r="CA343" s="136" t="str">
        <f aca="false">IF(ISBLANK($C343),"",IF($BD343&lt;&gt;Constants!$B$6,$BD343,$BH343))</f>
        <v/>
      </c>
      <c r="CB343" s="137" t="str">
        <f aca="false">IF(ISBLANK($C343),"",$BE343)</f>
        <v/>
      </c>
      <c r="CC343" s="138" t="str">
        <f aca="false">IF(ISBLANK($C343),"",$BS343)</f>
        <v/>
      </c>
      <c r="CD343" s="138" t="str">
        <f aca="false">IF(ISBLANK($C343),"",$BR343)</f>
        <v/>
      </c>
      <c r="CE343" s="139" t="str">
        <f aca="false">IF(ISBLANK($C343),"",IF($CD343=Constants!$B$9,COUNTA($C$9:$C$508)+2,IF($CD343=Constants!$B$8,COUNTA($C$9:$C$508)+1,IF($CD343=Constants!$B$7,COUNTA($C$9:$C$508),$CD343))))</f>
        <v/>
      </c>
      <c r="CF343" s="9"/>
      <c r="CG343" s="140" t="n">
        <f aca="false">IF(OR(ISNUMBER($CD343),$CD343=Constants!$B$9,$CD343=Constants!$B$7,$CD343=Constants!$B$8),1,0)</f>
        <v>0</v>
      </c>
      <c r="CH343" s="140" t="n">
        <v>335</v>
      </c>
      <c r="CI343" s="140" t="str">
        <f aca="false">IF(ISBLANK($C343),"",IF(ISNUMBER($CE343),$CE343+ROW($B343)/1000,""))</f>
        <v/>
      </c>
      <c r="CJ343" s="140" t="str">
        <f aca="false">IF(ISNUMBER($CI343),RANK($CI343,$CI$9:$CI$508,1),"")</f>
        <v/>
      </c>
      <c r="CK343" s="140" t="str">
        <f aca="false">IF(ISBLANK($C343),"",$B343)</f>
        <v/>
      </c>
      <c r="CL343" s="140" t="str">
        <f aca="false">IF(ISBLANK($C343),"",$C343)</f>
        <v/>
      </c>
      <c r="CM343" s="140" t="str">
        <f aca="false">IF(ISBLANK($C343),"",$D343)</f>
        <v/>
      </c>
      <c r="CN343" s="141" t="str">
        <f aca="false">$CB343</f>
        <v/>
      </c>
      <c r="CO343" s="142" t="str">
        <f aca="false">$CA343</f>
        <v/>
      </c>
      <c r="CP343" s="140" t="str">
        <f aca="false">IF(ISBLANK($C343),"",$CD343)</f>
        <v/>
      </c>
      <c r="CQ343" s="143" t="str">
        <f aca="false">IF($CH343&gt;$CG$8,"",VLOOKUP($CH343,$CJ$9:$CP$508,7,FALSE()))</f>
        <v/>
      </c>
      <c r="CR343" s="144" t="str">
        <f aca="false">IF($CH343&gt;$CG$8,"",VLOOKUP($CH343,$CJ$9:$CP$508,2,FALSE()))</f>
        <v/>
      </c>
      <c r="CS343" s="144" t="str">
        <f aca="false">IF($CH343&gt;$CG$8,"",VLOOKUP($CH343,$CJ$9:$CP$508,3,FALSE()))</f>
        <v/>
      </c>
      <c r="CT343" s="144" t="str">
        <f aca="false">IF($CH343&gt;$CG$8,"",VLOOKUP($CH343,$CJ$9:$CP$508,4,FALSE()))</f>
        <v/>
      </c>
      <c r="CU343" s="144" t="str">
        <f aca="false">IF($CH343&gt;$CG$8,"",VLOOKUP($CH343,$CJ$9:$CP$508,5,FALSE()))</f>
        <v/>
      </c>
      <c r="CV343" s="145" t="str">
        <f aca="false">IF($CH343&gt;$CG$8,"",VLOOKUP($CH343,$CJ$9:$CP$508,6,FALSE()))</f>
        <v/>
      </c>
      <c r="CW343" s="71"/>
    </row>
    <row r="344" customFormat="false" ht="15.75" hidden="false" customHeight="false" outlineLevel="0" collapsed="false">
      <c r="A344" s="9"/>
      <c r="B344" s="150"/>
      <c r="C344" s="151"/>
      <c r="D344" s="152"/>
      <c r="E344" s="170"/>
      <c r="F344" s="154"/>
      <c r="G344" s="155"/>
      <c r="H344" s="171"/>
      <c r="I344" s="159"/>
      <c r="J344" s="120"/>
      <c r="K344" s="121"/>
      <c r="L344" s="122"/>
      <c r="M344" s="158"/>
      <c r="N344" s="159"/>
      <c r="O344" s="159"/>
      <c r="P344" s="120"/>
      <c r="Q344" s="122"/>
      <c r="R344" s="122"/>
      <c r="S344" s="158"/>
      <c r="T344" s="159"/>
      <c r="U344" s="126"/>
      <c r="V344" s="127"/>
      <c r="W344" s="127" t="str">
        <f aca="false">IF(ISBLANK($C344),"",IF(E344=Constants!$B$2,TRUE(),IF(E344=Constants!$B$3,FALSE(),TRUE())))</f>
        <v/>
      </c>
      <c r="X344" s="127" t="str">
        <f aca="false">IF(ISBLANK($C344),"",IF(F344=Constants!$B$2,TRUE(),IF(F344=Constants!$B$3,FALSE(),TRUE())))</f>
        <v/>
      </c>
      <c r="Y344" s="127" t="str">
        <f aca="false">IF(ISBLANK($C344),"",IF(G344=Constants!$B$2,TRUE(),IF(G344=Constants!$B$3,FALSE(),TRUE())))</f>
        <v/>
      </c>
      <c r="Z344" s="127" t="str">
        <f aca="false">IF(ISBLANK($C344),"",IF(H344=Constants!$B$2,TRUE(),IF(H344=Constants!$B$3,FALSE(),TRUE())))</f>
        <v/>
      </c>
      <c r="AA344" s="127" t="str">
        <f aca="false">IF(ISBLANK($C344),"",IF(I344=Constants!$B$2,TRUE(),IF(I344=Constants!$B$3,FALSE(),TRUE())))</f>
        <v/>
      </c>
      <c r="AB344" s="127" t="str">
        <f aca="false">IF(ISBLANK($C344),"",IF(J344=Constants!$B$4,TRUE(),IF(J344=Constants!$B$5,FALSE(),COUNTA(K344:M344)&gt;0)))</f>
        <v/>
      </c>
      <c r="AC344" s="128" t="str">
        <f aca="false">IF(ISBLANK($C344),"",IF(ISNUMBER(K344),IF(K344&gt;=0,K344,""),""))</f>
        <v/>
      </c>
      <c r="AD344" s="129" t="str">
        <f aca="false">IF(ISBLANK($C344),"",IF(ISNUMBER(L344),IF(L344&gt;=0,L344,""),""))</f>
        <v/>
      </c>
      <c r="AE344" s="127" t="str">
        <f aca="false">IF(ISBLANK($C344),"",IF(ISNUMBER(M344),IF(M344&gt;=0,MIN(M344,Constants!$B$22),""),""))</f>
        <v/>
      </c>
      <c r="AF344" s="127" t="str">
        <f aca="false">IF(ISBLANK($C344),"",IF(N344=Constants!$B$2,TRUE(),IF(N344=Constants!$B$3,FALSE(),TRUE())))</f>
        <v/>
      </c>
      <c r="AG344" s="127" t="str">
        <f aca="false">IF(ISBLANK($C344),"",IF(O344=Constants!$B$2,TRUE(),IF(O344=Constants!$B$3,FALSE(),TRUE())))</f>
        <v/>
      </c>
      <c r="AH344" s="127" t="str">
        <f aca="false">IF(ISBLANK($C344),"",IF(P344=Constants!$B$4,TRUE(),IF(P344=Constants!$B$5,FALSE(),COUNTA(Q344:S344)&gt;0)))</f>
        <v/>
      </c>
      <c r="AI344" s="128" t="str">
        <f aca="false">IF(ISBLANK($C344),"",IF(ISNUMBER(Q344),IF(Q344&gt;=0,Q344,""),""))</f>
        <v/>
      </c>
      <c r="AJ344" s="129" t="str">
        <f aca="false">IF(ISBLANK($C344),"",IF(ISNUMBER(R344),IF(R344&gt;=0,R344,""),""))</f>
        <v/>
      </c>
      <c r="AK344" s="127" t="str">
        <f aca="false">IF(ISBLANK($C344),"",IF(ISNUMBER(S344),IF(S344&gt;=0,MIN(S344,Constants!$B$22),""),""))</f>
        <v/>
      </c>
      <c r="AL344" s="127" t="str">
        <f aca="false">IF(ISBLANK($C344),"",IF(T344=Constants!$B$2,TRUE(),IF(T344=Constants!$B$3,FALSE(),FALSE())))</f>
        <v/>
      </c>
      <c r="AM344" s="126" t="str">
        <f aca="false">IF(ISBLANK($C344),"",AND($AB344,OR($AC344="",$AD344="",AND(NOT(ISBLANK($M344)),$AE344=""))))</f>
        <v/>
      </c>
      <c r="AN344" s="129" t="str">
        <f aca="false">IF($BD344&lt;&gt;Constants!$B$6,"",IF($AB344,Constants!$B$17*$AD344,Constants!$B$18))</f>
        <v/>
      </c>
      <c r="AO344" s="130" t="str">
        <f aca="false">IF($BD344&lt;&gt;Constants!$B$6,"",Constants!$B$19*IF($AB344,$AC344,0))</f>
        <v/>
      </c>
      <c r="AP344" s="130" t="str">
        <f aca="false">IF($BD344&lt;&gt;Constants!$B$6,"",IF(AND($AB344,ISNUMBER($AE344)),Constants!$B$20*(Constants!$B$21-$AE344),0))</f>
        <v/>
      </c>
      <c r="AQ344" s="130" t="str">
        <f aca="false">IF($BD344&lt;&gt;Constants!$B$6,"",IF($AA344,0,Constants!$B$12)+IF($Z344,0,Constants!$B$13)+IF($Y344,0,Constants!$B$14))</f>
        <v/>
      </c>
      <c r="AR344" s="131" t="str">
        <f aca="false">IF($BD344&lt;&gt;Constants!$B$6,"",Constants!$B$16+SUM($AN344:$AQ344))</f>
        <v/>
      </c>
      <c r="AS344" s="130" t="str">
        <f aca="false">IF($BD344&lt;&gt;Constants!$B$6,"",IF($AB344,$AD344,""))</f>
        <v/>
      </c>
      <c r="AT344" s="132" t="str">
        <f aca="false">IF($BD344&lt;&gt;Constants!$B$6,"",$AO344)</f>
        <v/>
      </c>
      <c r="AU344" s="127" t="str">
        <f aca="false">IF($BD344&lt;&gt;Constants!$B$6,"",IF(OR($BA344&lt;$AR344,AND($BA344=$AR344,OR(AND(ISNUMBER($BB344),OR(NOT(ISNUMBER($AS344)),$BB344&lt;$AS344)),AND(OR(AND($BB344="",$AS344=""),AND(ISNUMBER($BB344),ISNUMBER($AS344),$BB344=$AS344)),$BC344&lt;$AT344)))),"-&gt;","&lt;-"))</f>
        <v/>
      </c>
      <c r="AV344" s="126" t="str">
        <f aca="false">IF(ISBLANK($C344),"",AND($AH344,OR($AI344="",$AJ344="",AND(NOT(ISBLANK($S344)),$AK344=""))))</f>
        <v/>
      </c>
      <c r="AW344" s="129" t="str">
        <f aca="false">IF($BD344&lt;&gt;Constants!$B$6,"",IF($AH344,Constants!$B$17*$AJ344,Constants!$B$18))</f>
        <v/>
      </c>
      <c r="AX344" s="130" t="str">
        <f aca="false">IF($BD344&lt;&gt;Constants!$B$6,"",Constants!$B$19*IF($AH344,$AI344,0))</f>
        <v/>
      </c>
      <c r="AY344" s="130" t="str">
        <f aca="false">IF($BD344&lt;&gt;Constants!$B$6,"",IF(AND($AH344,ISNUMBER($AK344)),Constants!$B$20*(Constants!$B$21-$AK344),0))</f>
        <v/>
      </c>
      <c r="AZ344" s="130" t="str">
        <f aca="false">IF($BD344&lt;&gt;Constants!$B$6,"",IF($AG344,0,Constants!$B$12)+IF($AF344,0,Constants!$B$13)+IF($Y344,0,Constants!$B$14))</f>
        <v/>
      </c>
      <c r="BA344" s="131" t="str">
        <f aca="false">IF($BD344&lt;&gt;Constants!$B$6,"",Constants!$B$16+SUM($AW344:$AZ344))</f>
        <v/>
      </c>
      <c r="BB344" s="130" t="str">
        <f aca="false">IF($BD344&lt;&gt;Constants!$B$6,"",IF($AH344,$AJ344,""))</f>
        <v/>
      </c>
      <c r="BC344" s="132" t="str">
        <f aca="false">IF($BD344&lt;&gt;Constants!$B$6,"",$AX344)</f>
        <v/>
      </c>
      <c r="BD344" s="127" t="str">
        <f aca="false">IF(ISBLANK($C344),"",IF($AL344,Constants!$B$9,IF(COUNTA($E344:$T344)=0,Constants!$B$8,IF(NOT($X344),Constants!$B$7,IF(OR($AM344,$AV344),Constants!$B$10,Constants!$B$6)))))</f>
        <v/>
      </c>
      <c r="BE344" s="127" t="str">
        <f aca="false">IF(ISBLANK($C344),"",IF($BD344&lt;&gt;Constants!$B$6,$BD344,Constants!$B$11))</f>
        <v/>
      </c>
      <c r="BF344" s="130" t="str">
        <f aca="false">IF($BD344&lt;&gt;Constants!$B$6,"",IF($AU344="-&gt;",$BA344,$AR344))</f>
        <v/>
      </c>
      <c r="BG344" s="130" t="str">
        <f aca="false">IF($BD344&lt;&gt;Constants!$B$6,"",IF($W344,0,Constants!$B$15))</f>
        <v/>
      </c>
      <c r="BH344" s="130" t="str">
        <f aca="false">IF(ISBLANK($C344),"",IF($BD344&lt;&gt;Constants!$B$6,$BD344,SUM($BF344:$BG344)))</f>
        <v/>
      </c>
      <c r="BI344" s="127" t="str">
        <f aca="false">IF(ISBLANK($C344),"",IF($BD344&lt;&gt;Constants!$B$6,$BD344,RANK($BH344,$BH$9:$BH$508,1)))</f>
        <v/>
      </c>
      <c r="BJ344" s="130" t="str">
        <f aca="false">IF($BD344&lt;&gt;Constants!$B$6,"",IF($AU344="-&gt;",$BB344,$AS344))</f>
        <v/>
      </c>
      <c r="BK344" s="127" t="str">
        <f aca="false">IF(ISBLANK($C344),"",IF($BD344&lt;&gt;Constants!$B$6,$BD344,IF(ISNUMBER($BJ344),RANK($BJ344,$BJ$9:$BJ$508,1),COUNT($BJ$9:$BJ$508)+1)))</f>
        <v/>
      </c>
      <c r="BL344" s="130" t="str">
        <f aca="false">IF($BD344&lt;&gt;Constants!$B$6,"",IF($AU344="-&gt;",$BC344,$AT344))</f>
        <v/>
      </c>
      <c r="BM344" s="127" t="str">
        <f aca="false">IF(ISBLANK($C344),"",IF($BD344&lt;&gt;Constants!$B$6,$BD344,IF(ISNUMBER($BL344),RANK($BL344,$BL$9:$BL$508,1),COUNT($BL$9:$BL$508)+1)))</f>
        <v/>
      </c>
      <c r="BN344" s="130" t="str">
        <f aca="false">IF($BD344&lt;&gt;Constants!$B$6,"",IF($AU344="-&gt;",$AS344,$BB344))</f>
        <v/>
      </c>
      <c r="BO344" s="127" t="str">
        <f aca="false">IF(ISBLANK($C344),"",IF($BD344&lt;&gt;Constants!$B$6,$BD344,IF(ISNUMBER($BN344),RANK($BN344,$BN$9:$BN$508,1),COUNT($BN$9:$BN$508)+1)))</f>
        <v/>
      </c>
      <c r="BP344" s="130" t="str">
        <f aca="false">IF($BD344&lt;&gt;Constants!$B$6,"",IF($AU344="-&gt;",$AT344,$BC344))</f>
        <v/>
      </c>
      <c r="BQ344" s="127" t="str">
        <f aca="false">IF(ISBLANK($C344),"",IF($BD344&lt;&gt;Constants!$B$6,$BD344,IF(ISNUMBER($BP344),RANK($BP344,$BP$9:$BP$508,1),COUNT($BP$9:$BP$508)+1)))</f>
        <v/>
      </c>
      <c r="BR344" s="127" t="str">
        <f aca="false">IF(ISBLANK($C344),"",IF($BD344&lt;&gt;Constants!$B$6,$BD344,COUNTIFS($BI$9:$BI$508,"&lt;"&amp;$BI344)+COUNTIFS($BI$9:$BI$508,$BI344,$BK$9:$BK$508,"&lt;"&amp;$BK344)+COUNTIFS($BI$9:$BI$508,$BI344,$BK$9:$BK$508,$BK344,$BM$9:$BM$508,"&lt;"&amp;$BM344)+COUNTIFS($BI$9:$BI$508,$BI344,$BK$9:$BK$508,$BK344,$BM$9:$BM$508,$BM344,$BO$9:$BO$508,"&lt;"&amp;$BO344)+COUNTIFS($BI$9:$BI$508,$BI344,$BK$9:$BK$508,$BK344,$BM$9:$BM$508,$BM344,$BO$9:$BO$508,$BO344,$BQ$9:$BQ$508,"&lt;"&amp;$BQ344)+1))</f>
        <v/>
      </c>
      <c r="BS344" s="127" t="str">
        <f aca="false">IF(ISBLANK($C344),"",IF($BD344&lt;&gt;Constants!$B$6,$BD344,$BI344-$BR344))</f>
        <v/>
      </c>
      <c r="BT344" s="133"/>
      <c r="BU344" s="134"/>
      <c r="BV344" s="134" t="str">
        <f aca="false">IF(ISBLANK($C344),"",IF($BD344&lt;&gt;Constants!$B$6,"",IF($AU344="-&gt;",2,1)))</f>
        <v/>
      </c>
      <c r="BW344" s="135" t="str">
        <f aca="false">IF(ISBLANK($C344),"",IF($BD344&lt;&gt;Constants!$B$6,"",IF($AU344="-&gt;",$AW344,$AN344)))</f>
        <v/>
      </c>
      <c r="BX344" s="135" t="str">
        <f aca="false">IF(ISBLANK($C344),"",IF($BD344&lt;&gt;Constants!$B$6,"",IF($AU344="-&gt;",$AX344,$AO344)))</f>
        <v/>
      </c>
      <c r="BY344" s="135" t="str">
        <f aca="false">IF(ISBLANK($C344),"",IF($BD344&lt;&gt;Constants!$B$6,"",IF($AU344="-&gt;",$AY344,$AP344)))</f>
        <v/>
      </c>
      <c r="BZ344" s="135" t="str">
        <f aca="false">IF(ISBLANK($C344),"",IF($BD344&lt;&gt;Constants!$B$6,"",IF($AU344="-&gt;",$AZ344,$AQ344)+$BG344))</f>
        <v/>
      </c>
      <c r="CA344" s="136" t="str">
        <f aca="false">IF(ISBLANK($C344),"",IF($BD344&lt;&gt;Constants!$B$6,$BD344,$BH344))</f>
        <v/>
      </c>
      <c r="CB344" s="137" t="str">
        <f aca="false">IF(ISBLANK($C344),"",$BE344)</f>
        <v/>
      </c>
      <c r="CC344" s="138" t="str">
        <f aca="false">IF(ISBLANK($C344),"",$BS344)</f>
        <v/>
      </c>
      <c r="CD344" s="138" t="str">
        <f aca="false">IF(ISBLANK($C344),"",$BR344)</f>
        <v/>
      </c>
      <c r="CE344" s="139" t="str">
        <f aca="false">IF(ISBLANK($C344),"",IF($CD344=Constants!$B$9,COUNTA($C$9:$C$508)+2,IF($CD344=Constants!$B$8,COUNTA($C$9:$C$508)+1,IF($CD344=Constants!$B$7,COUNTA($C$9:$C$508),$CD344))))</f>
        <v/>
      </c>
      <c r="CF344" s="9"/>
      <c r="CG344" s="140" t="n">
        <f aca="false">IF(OR(ISNUMBER($CD344),$CD344=Constants!$B$9,$CD344=Constants!$B$7,$CD344=Constants!$B$8),1,0)</f>
        <v>0</v>
      </c>
      <c r="CH344" s="140" t="n">
        <v>336</v>
      </c>
      <c r="CI344" s="140" t="str">
        <f aca="false">IF(ISBLANK($C344),"",IF(ISNUMBER($CE344),$CE344+ROW($B344)/1000,""))</f>
        <v/>
      </c>
      <c r="CJ344" s="140" t="str">
        <f aca="false">IF(ISNUMBER($CI344),RANK($CI344,$CI$9:$CI$508,1),"")</f>
        <v/>
      </c>
      <c r="CK344" s="140" t="str">
        <f aca="false">IF(ISBLANK($C344),"",$B344)</f>
        <v/>
      </c>
      <c r="CL344" s="140" t="str">
        <f aca="false">IF(ISBLANK($C344),"",$C344)</f>
        <v/>
      </c>
      <c r="CM344" s="140" t="str">
        <f aca="false">IF(ISBLANK($C344),"",$D344)</f>
        <v/>
      </c>
      <c r="CN344" s="141" t="str">
        <f aca="false">$CB344</f>
        <v/>
      </c>
      <c r="CO344" s="142" t="str">
        <f aca="false">$CA344</f>
        <v/>
      </c>
      <c r="CP344" s="140" t="str">
        <f aca="false">IF(ISBLANK($C344),"",$CD344)</f>
        <v/>
      </c>
      <c r="CQ344" s="143" t="str">
        <f aca="false">IF($CH344&gt;$CG$8,"",VLOOKUP($CH344,$CJ$9:$CP$508,7,FALSE()))</f>
        <v/>
      </c>
      <c r="CR344" s="144" t="str">
        <f aca="false">IF($CH344&gt;$CG$8,"",VLOOKUP($CH344,$CJ$9:$CP$508,2,FALSE()))</f>
        <v/>
      </c>
      <c r="CS344" s="144" t="str">
        <f aca="false">IF($CH344&gt;$CG$8,"",VLOOKUP($CH344,$CJ$9:$CP$508,3,FALSE()))</f>
        <v/>
      </c>
      <c r="CT344" s="144" t="str">
        <f aca="false">IF($CH344&gt;$CG$8,"",VLOOKUP($CH344,$CJ$9:$CP$508,4,FALSE()))</f>
        <v/>
      </c>
      <c r="CU344" s="144" t="str">
        <f aca="false">IF($CH344&gt;$CG$8,"",VLOOKUP($CH344,$CJ$9:$CP$508,5,FALSE()))</f>
        <v/>
      </c>
      <c r="CV344" s="145" t="str">
        <f aca="false">IF($CH344&gt;$CG$8,"",VLOOKUP($CH344,$CJ$9:$CP$508,6,FALSE()))</f>
        <v/>
      </c>
      <c r="CW344" s="71"/>
    </row>
    <row r="345" customFormat="false" ht="15.75" hidden="false" customHeight="false" outlineLevel="0" collapsed="false">
      <c r="A345" s="9"/>
      <c r="B345" s="72"/>
      <c r="C345" s="73"/>
      <c r="D345" s="160"/>
      <c r="E345" s="168"/>
      <c r="F345" s="162"/>
      <c r="G345" s="163"/>
      <c r="H345" s="169"/>
      <c r="I345" s="167"/>
      <c r="J345" s="80"/>
      <c r="K345" s="81"/>
      <c r="L345" s="82"/>
      <c r="M345" s="166"/>
      <c r="N345" s="167"/>
      <c r="O345" s="167"/>
      <c r="P345" s="80"/>
      <c r="Q345" s="82"/>
      <c r="R345" s="82"/>
      <c r="S345" s="166"/>
      <c r="T345" s="167"/>
      <c r="U345" s="86"/>
      <c r="V345" s="87"/>
      <c r="W345" s="87" t="str">
        <f aca="false">IF(ISBLANK($C345),"",IF(E345=Constants!$B$2,TRUE(),IF(E345=Constants!$B$3,FALSE(),TRUE())))</f>
        <v/>
      </c>
      <c r="X345" s="87" t="str">
        <f aca="false">IF(ISBLANK($C345),"",IF(F345=Constants!$B$2,TRUE(),IF(F345=Constants!$B$3,FALSE(),TRUE())))</f>
        <v/>
      </c>
      <c r="Y345" s="87" t="str">
        <f aca="false">IF(ISBLANK($C345),"",IF(G345=Constants!$B$2,TRUE(),IF(G345=Constants!$B$3,FALSE(),TRUE())))</f>
        <v/>
      </c>
      <c r="Z345" s="87" t="str">
        <f aca="false">IF(ISBLANK($C345),"",IF(H345=Constants!$B$2,TRUE(),IF(H345=Constants!$B$3,FALSE(),TRUE())))</f>
        <v/>
      </c>
      <c r="AA345" s="87" t="str">
        <f aca="false">IF(ISBLANK($C345),"",IF(I345=Constants!$B$2,TRUE(),IF(I345=Constants!$B$3,FALSE(),TRUE())))</f>
        <v/>
      </c>
      <c r="AB345" s="87" t="str">
        <f aca="false">IF(ISBLANK($C345),"",IF(J345=Constants!$B$4,TRUE(),IF(J345=Constants!$B$5,FALSE(),COUNTA(K345:M345)&gt;0)))</f>
        <v/>
      </c>
      <c r="AC345" s="88" t="str">
        <f aca="false">IF(ISBLANK($C345),"",IF(ISNUMBER(K345),IF(K345&gt;=0,K345,""),""))</f>
        <v/>
      </c>
      <c r="AD345" s="89" t="str">
        <f aca="false">IF(ISBLANK($C345),"",IF(ISNUMBER(L345),IF(L345&gt;=0,L345,""),""))</f>
        <v/>
      </c>
      <c r="AE345" s="87" t="str">
        <f aca="false">IF(ISBLANK($C345),"",IF(ISNUMBER(M345),IF(M345&gt;=0,MIN(M345,Constants!$B$22),""),""))</f>
        <v/>
      </c>
      <c r="AF345" s="87" t="str">
        <f aca="false">IF(ISBLANK($C345),"",IF(N345=Constants!$B$2,TRUE(),IF(N345=Constants!$B$3,FALSE(),TRUE())))</f>
        <v/>
      </c>
      <c r="AG345" s="87" t="str">
        <f aca="false">IF(ISBLANK($C345),"",IF(O345=Constants!$B$2,TRUE(),IF(O345=Constants!$B$3,FALSE(),TRUE())))</f>
        <v/>
      </c>
      <c r="AH345" s="87" t="str">
        <f aca="false">IF(ISBLANK($C345),"",IF(P345=Constants!$B$4,TRUE(),IF(P345=Constants!$B$5,FALSE(),COUNTA(Q345:S345)&gt;0)))</f>
        <v/>
      </c>
      <c r="AI345" s="88" t="str">
        <f aca="false">IF(ISBLANK($C345),"",IF(ISNUMBER(Q345),IF(Q345&gt;=0,Q345,""),""))</f>
        <v/>
      </c>
      <c r="AJ345" s="89" t="str">
        <f aca="false">IF(ISBLANK($C345),"",IF(ISNUMBER(R345),IF(R345&gt;=0,R345,""),""))</f>
        <v/>
      </c>
      <c r="AK345" s="87" t="str">
        <f aca="false">IF(ISBLANK($C345),"",IF(ISNUMBER(S345),IF(S345&gt;=0,MIN(S345,Constants!$B$22),""),""))</f>
        <v/>
      </c>
      <c r="AL345" s="87" t="str">
        <f aca="false">IF(ISBLANK($C345),"",IF(T345=Constants!$B$2,TRUE(),IF(T345=Constants!$B$3,FALSE(),FALSE())))</f>
        <v/>
      </c>
      <c r="AM345" s="86" t="str">
        <f aca="false">IF(ISBLANK($C345),"",AND($AB345,OR($AC345="",$AD345="",AND(NOT(ISBLANK($M345)),$AE345=""))))</f>
        <v/>
      </c>
      <c r="AN345" s="89" t="str">
        <f aca="false">IF($BD345&lt;&gt;Constants!$B$6,"",IF($AB345,Constants!$B$17*$AD345,Constants!$B$18))</f>
        <v/>
      </c>
      <c r="AO345" s="91" t="str">
        <f aca="false">IF($BD345&lt;&gt;Constants!$B$6,"",Constants!$B$19*IF($AB345,$AC345,0))</f>
        <v/>
      </c>
      <c r="AP345" s="91" t="str">
        <f aca="false">IF($BD345&lt;&gt;Constants!$B$6,"",IF(AND($AB345,ISNUMBER($AE345)),Constants!$B$20*(Constants!$B$21-$AE345),0))</f>
        <v/>
      </c>
      <c r="AQ345" s="91" t="str">
        <f aca="false">IF($BD345&lt;&gt;Constants!$B$6,"",IF($AA345,0,Constants!$B$12)+IF($Z345,0,Constants!$B$13)+IF($Y345,0,Constants!$B$14))</f>
        <v/>
      </c>
      <c r="AR345" s="92" t="str">
        <f aca="false">IF($BD345&lt;&gt;Constants!$B$6,"",Constants!$B$16+SUM($AN345:$AQ345))</f>
        <v/>
      </c>
      <c r="AS345" s="91" t="str">
        <f aca="false">IF($BD345&lt;&gt;Constants!$B$6,"",IF($AB345,$AD345,""))</f>
        <v/>
      </c>
      <c r="AT345" s="93" t="str">
        <f aca="false">IF($BD345&lt;&gt;Constants!$B$6,"",$AO345)</f>
        <v/>
      </c>
      <c r="AU345" s="87" t="str">
        <f aca="false">IF($BD345&lt;&gt;Constants!$B$6,"",IF(OR($BA345&lt;$AR345,AND($BA345=$AR345,OR(AND(ISNUMBER($BB345),OR(NOT(ISNUMBER($AS345)),$BB345&lt;$AS345)),AND(OR(AND($BB345="",$AS345=""),AND(ISNUMBER($BB345),ISNUMBER($AS345),$BB345=$AS345)),$BC345&lt;$AT345)))),"-&gt;","&lt;-"))</f>
        <v/>
      </c>
      <c r="AV345" s="86" t="str">
        <f aca="false">IF(ISBLANK($C345),"",AND($AH345,OR($AI345="",$AJ345="",AND(NOT(ISBLANK($S345)),$AK345=""))))</f>
        <v/>
      </c>
      <c r="AW345" s="89" t="str">
        <f aca="false">IF($BD345&lt;&gt;Constants!$B$6,"",IF($AH345,Constants!$B$17*$AJ345,Constants!$B$18))</f>
        <v/>
      </c>
      <c r="AX345" s="91" t="str">
        <f aca="false">IF($BD345&lt;&gt;Constants!$B$6,"",Constants!$B$19*IF($AH345,$AI345,0))</f>
        <v/>
      </c>
      <c r="AY345" s="91" t="str">
        <f aca="false">IF($BD345&lt;&gt;Constants!$B$6,"",IF(AND($AH345,ISNUMBER($AK345)),Constants!$B$20*(Constants!$B$21-$AK345),0))</f>
        <v/>
      </c>
      <c r="AZ345" s="91" t="str">
        <f aca="false">IF($BD345&lt;&gt;Constants!$B$6,"",IF($AG345,0,Constants!$B$12)+IF($AF345,0,Constants!$B$13)+IF($Y345,0,Constants!$B$14))</f>
        <v/>
      </c>
      <c r="BA345" s="92" t="str">
        <f aca="false">IF($BD345&lt;&gt;Constants!$B$6,"",Constants!$B$16+SUM($AW345:$AZ345))</f>
        <v/>
      </c>
      <c r="BB345" s="91" t="str">
        <f aca="false">IF($BD345&lt;&gt;Constants!$B$6,"",IF($AH345,$AJ345,""))</f>
        <v/>
      </c>
      <c r="BC345" s="93" t="str">
        <f aca="false">IF($BD345&lt;&gt;Constants!$B$6,"",$AX345)</f>
        <v/>
      </c>
      <c r="BD345" s="87" t="str">
        <f aca="false">IF(ISBLANK($C345),"",IF($AL345,Constants!$B$9,IF(COUNTA($E345:$T345)=0,Constants!$B$8,IF(NOT($X345),Constants!$B$7,IF(OR($AM345,$AV345),Constants!$B$10,Constants!$B$6)))))</f>
        <v/>
      </c>
      <c r="BE345" s="87" t="str">
        <f aca="false">IF(ISBLANK($C345),"",IF($BD345&lt;&gt;Constants!$B$6,$BD345,Constants!$B$11))</f>
        <v/>
      </c>
      <c r="BF345" s="91" t="str">
        <f aca="false">IF($BD345&lt;&gt;Constants!$B$6,"",IF($AU345="-&gt;",$BA345,$AR345))</f>
        <v/>
      </c>
      <c r="BG345" s="91" t="str">
        <f aca="false">IF($BD345&lt;&gt;Constants!$B$6,"",IF($W345,0,Constants!$B$15))</f>
        <v/>
      </c>
      <c r="BH345" s="91" t="str">
        <f aca="false">IF(ISBLANK($C345),"",IF($BD345&lt;&gt;Constants!$B$6,$BD345,SUM($BF345:$BG345)))</f>
        <v/>
      </c>
      <c r="BI345" s="87" t="str">
        <f aca="false">IF(ISBLANK($C345),"",IF($BD345&lt;&gt;Constants!$B$6,$BD345,RANK($BH345,$BH$9:$BH$508,1)))</f>
        <v/>
      </c>
      <c r="BJ345" s="91" t="str">
        <f aca="false">IF($BD345&lt;&gt;Constants!$B$6,"",IF($AU345="-&gt;",$BB345,$AS345))</f>
        <v/>
      </c>
      <c r="BK345" s="87" t="str">
        <f aca="false">IF(ISBLANK($C345),"",IF($BD345&lt;&gt;Constants!$B$6,$BD345,IF(ISNUMBER($BJ345),RANK($BJ345,$BJ$9:$BJ$508,1),COUNT($BJ$9:$BJ$508)+1)))</f>
        <v/>
      </c>
      <c r="BL345" s="91" t="str">
        <f aca="false">IF($BD345&lt;&gt;Constants!$B$6,"",IF($AU345="-&gt;",$BC345,$AT345))</f>
        <v/>
      </c>
      <c r="BM345" s="87" t="str">
        <f aca="false">IF(ISBLANK($C345),"",IF($BD345&lt;&gt;Constants!$B$6,$BD345,IF(ISNUMBER($BL345),RANK($BL345,$BL$9:$BL$508,1),COUNT($BL$9:$BL$508)+1)))</f>
        <v/>
      </c>
      <c r="BN345" s="91" t="str">
        <f aca="false">IF($BD345&lt;&gt;Constants!$B$6,"",IF($AU345="-&gt;",$AS345,$BB345))</f>
        <v/>
      </c>
      <c r="BO345" s="87" t="str">
        <f aca="false">IF(ISBLANK($C345),"",IF($BD345&lt;&gt;Constants!$B$6,$BD345,IF(ISNUMBER($BN345),RANK($BN345,$BN$9:$BN$508,1),COUNT($BN$9:$BN$508)+1)))</f>
        <v/>
      </c>
      <c r="BP345" s="91" t="str">
        <f aca="false">IF($BD345&lt;&gt;Constants!$B$6,"",IF($AU345="-&gt;",$AT345,$BC345))</f>
        <v/>
      </c>
      <c r="BQ345" s="87" t="str">
        <f aca="false">IF(ISBLANK($C345),"",IF($BD345&lt;&gt;Constants!$B$6,$BD345,IF(ISNUMBER($BP345),RANK($BP345,$BP$9:$BP$508,1),COUNT($BP$9:$BP$508)+1)))</f>
        <v/>
      </c>
      <c r="BR345" s="87" t="str">
        <f aca="false">IF(ISBLANK($C345),"",IF($BD345&lt;&gt;Constants!$B$6,$BD345,COUNTIFS($BI$9:$BI$508,"&lt;"&amp;$BI345)+COUNTIFS($BI$9:$BI$508,$BI345,$BK$9:$BK$508,"&lt;"&amp;$BK345)+COUNTIFS($BI$9:$BI$508,$BI345,$BK$9:$BK$508,$BK345,$BM$9:$BM$508,"&lt;"&amp;$BM345)+COUNTIFS($BI$9:$BI$508,$BI345,$BK$9:$BK$508,$BK345,$BM$9:$BM$508,$BM345,$BO$9:$BO$508,"&lt;"&amp;$BO345)+COUNTIFS($BI$9:$BI$508,$BI345,$BK$9:$BK$508,$BK345,$BM$9:$BM$508,$BM345,$BO$9:$BO$508,$BO345,$BQ$9:$BQ$508,"&lt;"&amp;$BQ345)+1))</f>
        <v/>
      </c>
      <c r="BS345" s="87" t="str">
        <f aca="false">IF(ISBLANK($C345),"",IF($BD345&lt;&gt;Constants!$B$6,$BD345,$BI345-$BR345))</f>
        <v/>
      </c>
      <c r="BT345" s="94"/>
      <c r="BU345" s="95"/>
      <c r="BV345" s="95" t="str">
        <f aca="false">IF(ISBLANK($C345),"",IF($BD345&lt;&gt;Constants!$B$6,"",IF($AU345="-&gt;",2,1)))</f>
        <v/>
      </c>
      <c r="BW345" s="96" t="str">
        <f aca="false">IF(ISBLANK($C345),"",IF($BD345&lt;&gt;Constants!$B$6,"",IF($AU345="-&gt;",$AW345,$AN345)))</f>
        <v/>
      </c>
      <c r="BX345" s="96" t="str">
        <f aca="false">IF(ISBLANK($C345),"",IF($BD345&lt;&gt;Constants!$B$6,"",IF($AU345="-&gt;",$AX345,$AO345)))</f>
        <v/>
      </c>
      <c r="BY345" s="96" t="str">
        <f aca="false">IF(ISBLANK($C345),"",IF($BD345&lt;&gt;Constants!$B$6,"",IF($AU345="-&gt;",$AY345,$AP345)))</f>
        <v/>
      </c>
      <c r="BZ345" s="96" t="str">
        <f aca="false">IF(ISBLANK($C345),"",IF($BD345&lt;&gt;Constants!$B$6,"",IF($AU345="-&gt;",$AZ345,$AQ345)+$BG345))</f>
        <v/>
      </c>
      <c r="CA345" s="97" t="str">
        <f aca="false">IF(ISBLANK($C345),"",IF($BD345&lt;&gt;Constants!$B$6,$BD345,$BH345))</f>
        <v/>
      </c>
      <c r="CB345" s="98" t="str">
        <f aca="false">IF(ISBLANK($C345),"",$BE345)</f>
        <v/>
      </c>
      <c r="CC345" s="99" t="str">
        <f aca="false">IF(ISBLANK($C345),"",$BS345)</f>
        <v/>
      </c>
      <c r="CD345" s="99" t="str">
        <f aca="false">IF(ISBLANK($C345),"",$BR345)</f>
        <v/>
      </c>
      <c r="CE345" s="100" t="str">
        <f aca="false">IF(ISBLANK($C345),"",IF($CD345=Constants!$B$9,COUNTA($C$9:$C$508)+2,IF($CD345=Constants!$B$8,COUNTA($C$9:$C$508)+1,IF($CD345=Constants!$B$7,COUNTA($C$9:$C$508),$CD345))))</f>
        <v/>
      </c>
      <c r="CF345" s="9"/>
      <c r="CG345" s="101" t="n">
        <f aca="false">IF(OR(ISNUMBER($CD345),$CD345=Constants!$B$9,$CD345=Constants!$B$7,$CD345=Constants!$B$8),1,0)</f>
        <v>0</v>
      </c>
      <c r="CH345" s="101" t="n">
        <v>337</v>
      </c>
      <c r="CI345" s="101" t="str">
        <f aca="false">IF(ISBLANK($C345),"",IF(ISNUMBER($CE345),$CE345+ROW($B345)/1000,""))</f>
        <v/>
      </c>
      <c r="CJ345" s="101" t="str">
        <f aca="false">IF(ISNUMBER($CI345),RANK($CI345,$CI$9:$CI$508,1),"")</f>
        <v/>
      </c>
      <c r="CK345" s="101" t="str">
        <f aca="false">IF(ISBLANK($C345),"",$B345)</f>
        <v/>
      </c>
      <c r="CL345" s="101" t="str">
        <f aca="false">IF(ISBLANK($C345),"",$C345)</f>
        <v/>
      </c>
      <c r="CM345" s="101" t="str">
        <f aca="false">IF(ISBLANK($C345),"",$D345)</f>
        <v/>
      </c>
      <c r="CN345" s="102" t="str">
        <f aca="false">$CB345</f>
        <v/>
      </c>
      <c r="CO345" s="103" t="str">
        <f aca="false">$CA345</f>
        <v/>
      </c>
      <c r="CP345" s="101" t="str">
        <f aca="false">IF(ISBLANK($C345),"",$CD345)</f>
        <v/>
      </c>
      <c r="CQ345" s="104" t="str">
        <f aca="false">IF($CH345&gt;$CG$8,"",VLOOKUP($CH345,$CJ$9:$CP$508,7,FALSE()))</f>
        <v/>
      </c>
      <c r="CR345" s="105" t="str">
        <f aca="false">IF($CH345&gt;$CG$8,"",VLOOKUP($CH345,$CJ$9:$CP$508,2,FALSE()))</f>
        <v/>
      </c>
      <c r="CS345" s="105" t="str">
        <f aca="false">IF($CH345&gt;$CG$8,"",VLOOKUP($CH345,$CJ$9:$CP$508,3,FALSE()))</f>
        <v/>
      </c>
      <c r="CT345" s="105" t="str">
        <f aca="false">IF($CH345&gt;$CG$8,"",VLOOKUP($CH345,$CJ$9:$CP$508,4,FALSE()))</f>
        <v/>
      </c>
      <c r="CU345" s="105" t="str">
        <f aca="false">IF($CH345&gt;$CG$8,"",VLOOKUP($CH345,$CJ$9:$CP$508,5,FALSE()))</f>
        <v/>
      </c>
      <c r="CV345" s="106" t="str">
        <f aca="false">IF($CH345&gt;$CG$8,"",VLOOKUP($CH345,$CJ$9:$CP$508,6,FALSE()))</f>
        <v/>
      </c>
      <c r="CW345" s="71"/>
    </row>
    <row r="346" customFormat="false" ht="15.75" hidden="false" customHeight="false" outlineLevel="0" collapsed="false">
      <c r="A346" s="9"/>
      <c r="B346" s="72"/>
      <c r="C346" s="73"/>
      <c r="D346" s="160"/>
      <c r="E346" s="168"/>
      <c r="F346" s="162"/>
      <c r="G346" s="163"/>
      <c r="H346" s="169"/>
      <c r="I346" s="167"/>
      <c r="J346" s="80"/>
      <c r="K346" s="81"/>
      <c r="L346" s="82"/>
      <c r="M346" s="166"/>
      <c r="N346" s="167"/>
      <c r="O346" s="167"/>
      <c r="P346" s="80"/>
      <c r="Q346" s="82"/>
      <c r="R346" s="82"/>
      <c r="S346" s="166"/>
      <c r="T346" s="167"/>
      <c r="U346" s="86"/>
      <c r="V346" s="87"/>
      <c r="W346" s="87" t="str">
        <f aca="false">IF(ISBLANK($C346),"",IF(E346=Constants!$B$2,TRUE(),IF(E346=Constants!$B$3,FALSE(),TRUE())))</f>
        <v/>
      </c>
      <c r="X346" s="87" t="str">
        <f aca="false">IF(ISBLANK($C346),"",IF(F346=Constants!$B$2,TRUE(),IF(F346=Constants!$B$3,FALSE(),TRUE())))</f>
        <v/>
      </c>
      <c r="Y346" s="87" t="str">
        <f aca="false">IF(ISBLANK($C346),"",IF(G346=Constants!$B$2,TRUE(),IF(G346=Constants!$B$3,FALSE(),TRUE())))</f>
        <v/>
      </c>
      <c r="Z346" s="87" t="str">
        <f aca="false">IF(ISBLANK($C346),"",IF(H346=Constants!$B$2,TRUE(),IF(H346=Constants!$B$3,FALSE(),TRUE())))</f>
        <v/>
      </c>
      <c r="AA346" s="87" t="str">
        <f aca="false">IF(ISBLANK($C346),"",IF(I346=Constants!$B$2,TRUE(),IF(I346=Constants!$B$3,FALSE(),TRUE())))</f>
        <v/>
      </c>
      <c r="AB346" s="87" t="str">
        <f aca="false">IF(ISBLANK($C346),"",IF(J346=Constants!$B$4,TRUE(),IF(J346=Constants!$B$5,FALSE(),COUNTA(K346:M346)&gt;0)))</f>
        <v/>
      </c>
      <c r="AC346" s="88" t="str">
        <f aca="false">IF(ISBLANK($C346),"",IF(ISNUMBER(K346),IF(K346&gt;=0,K346,""),""))</f>
        <v/>
      </c>
      <c r="AD346" s="89" t="str">
        <f aca="false">IF(ISBLANK($C346),"",IF(ISNUMBER(L346),IF(L346&gt;=0,L346,""),""))</f>
        <v/>
      </c>
      <c r="AE346" s="87" t="str">
        <f aca="false">IF(ISBLANK($C346),"",IF(ISNUMBER(M346),IF(M346&gt;=0,MIN(M346,Constants!$B$22),""),""))</f>
        <v/>
      </c>
      <c r="AF346" s="87" t="str">
        <f aca="false">IF(ISBLANK($C346),"",IF(N346=Constants!$B$2,TRUE(),IF(N346=Constants!$B$3,FALSE(),TRUE())))</f>
        <v/>
      </c>
      <c r="AG346" s="87" t="str">
        <f aca="false">IF(ISBLANK($C346),"",IF(O346=Constants!$B$2,TRUE(),IF(O346=Constants!$B$3,FALSE(),TRUE())))</f>
        <v/>
      </c>
      <c r="AH346" s="87" t="str">
        <f aca="false">IF(ISBLANK($C346),"",IF(P346=Constants!$B$4,TRUE(),IF(P346=Constants!$B$5,FALSE(),COUNTA(Q346:S346)&gt;0)))</f>
        <v/>
      </c>
      <c r="AI346" s="88" t="str">
        <f aca="false">IF(ISBLANK($C346),"",IF(ISNUMBER(Q346),IF(Q346&gt;=0,Q346,""),""))</f>
        <v/>
      </c>
      <c r="AJ346" s="89" t="str">
        <f aca="false">IF(ISBLANK($C346),"",IF(ISNUMBER(R346),IF(R346&gt;=0,R346,""),""))</f>
        <v/>
      </c>
      <c r="AK346" s="87" t="str">
        <f aca="false">IF(ISBLANK($C346),"",IF(ISNUMBER(S346),IF(S346&gt;=0,MIN(S346,Constants!$B$22),""),""))</f>
        <v/>
      </c>
      <c r="AL346" s="87" t="str">
        <f aca="false">IF(ISBLANK($C346),"",IF(T346=Constants!$B$2,TRUE(),IF(T346=Constants!$B$3,FALSE(),FALSE())))</f>
        <v/>
      </c>
      <c r="AM346" s="86" t="str">
        <f aca="false">IF(ISBLANK($C346),"",AND($AB346,OR($AC346="",$AD346="",AND(NOT(ISBLANK($M346)),$AE346=""))))</f>
        <v/>
      </c>
      <c r="AN346" s="89" t="str">
        <f aca="false">IF($BD346&lt;&gt;Constants!$B$6,"",IF($AB346,Constants!$B$17*$AD346,Constants!$B$18))</f>
        <v/>
      </c>
      <c r="AO346" s="91" t="str">
        <f aca="false">IF($BD346&lt;&gt;Constants!$B$6,"",Constants!$B$19*IF($AB346,$AC346,0))</f>
        <v/>
      </c>
      <c r="AP346" s="91" t="str">
        <f aca="false">IF($BD346&lt;&gt;Constants!$B$6,"",IF(AND($AB346,ISNUMBER($AE346)),Constants!$B$20*(Constants!$B$21-$AE346),0))</f>
        <v/>
      </c>
      <c r="AQ346" s="91" t="str">
        <f aca="false">IF($BD346&lt;&gt;Constants!$B$6,"",IF($AA346,0,Constants!$B$12)+IF($Z346,0,Constants!$B$13)+IF($Y346,0,Constants!$B$14))</f>
        <v/>
      </c>
      <c r="AR346" s="92" t="str">
        <f aca="false">IF($BD346&lt;&gt;Constants!$B$6,"",Constants!$B$16+SUM($AN346:$AQ346))</f>
        <v/>
      </c>
      <c r="AS346" s="91" t="str">
        <f aca="false">IF($BD346&lt;&gt;Constants!$B$6,"",IF($AB346,$AD346,""))</f>
        <v/>
      </c>
      <c r="AT346" s="93" t="str">
        <f aca="false">IF($BD346&lt;&gt;Constants!$B$6,"",$AO346)</f>
        <v/>
      </c>
      <c r="AU346" s="87" t="str">
        <f aca="false">IF($BD346&lt;&gt;Constants!$B$6,"",IF(OR($BA346&lt;$AR346,AND($BA346=$AR346,OR(AND(ISNUMBER($BB346),OR(NOT(ISNUMBER($AS346)),$BB346&lt;$AS346)),AND(OR(AND($BB346="",$AS346=""),AND(ISNUMBER($BB346),ISNUMBER($AS346),$BB346=$AS346)),$BC346&lt;$AT346)))),"-&gt;","&lt;-"))</f>
        <v/>
      </c>
      <c r="AV346" s="86" t="str">
        <f aca="false">IF(ISBLANK($C346),"",AND($AH346,OR($AI346="",$AJ346="",AND(NOT(ISBLANK($S346)),$AK346=""))))</f>
        <v/>
      </c>
      <c r="AW346" s="89" t="str">
        <f aca="false">IF($BD346&lt;&gt;Constants!$B$6,"",IF($AH346,Constants!$B$17*$AJ346,Constants!$B$18))</f>
        <v/>
      </c>
      <c r="AX346" s="91" t="str">
        <f aca="false">IF($BD346&lt;&gt;Constants!$B$6,"",Constants!$B$19*IF($AH346,$AI346,0))</f>
        <v/>
      </c>
      <c r="AY346" s="91" t="str">
        <f aca="false">IF($BD346&lt;&gt;Constants!$B$6,"",IF(AND($AH346,ISNUMBER($AK346)),Constants!$B$20*(Constants!$B$21-$AK346),0))</f>
        <v/>
      </c>
      <c r="AZ346" s="91" t="str">
        <f aca="false">IF($BD346&lt;&gt;Constants!$B$6,"",IF($AG346,0,Constants!$B$12)+IF($AF346,0,Constants!$B$13)+IF($Y346,0,Constants!$B$14))</f>
        <v/>
      </c>
      <c r="BA346" s="92" t="str">
        <f aca="false">IF($BD346&lt;&gt;Constants!$B$6,"",Constants!$B$16+SUM($AW346:$AZ346))</f>
        <v/>
      </c>
      <c r="BB346" s="91" t="str">
        <f aca="false">IF($BD346&lt;&gt;Constants!$B$6,"",IF($AH346,$AJ346,""))</f>
        <v/>
      </c>
      <c r="BC346" s="93" t="str">
        <f aca="false">IF($BD346&lt;&gt;Constants!$B$6,"",$AX346)</f>
        <v/>
      </c>
      <c r="BD346" s="87" t="str">
        <f aca="false">IF(ISBLANK($C346),"",IF($AL346,Constants!$B$9,IF(COUNTA($E346:$T346)=0,Constants!$B$8,IF(NOT($X346),Constants!$B$7,IF(OR($AM346,$AV346),Constants!$B$10,Constants!$B$6)))))</f>
        <v/>
      </c>
      <c r="BE346" s="87" t="str">
        <f aca="false">IF(ISBLANK($C346),"",IF($BD346&lt;&gt;Constants!$B$6,$BD346,Constants!$B$11))</f>
        <v/>
      </c>
      <c r="BF346" s="91" t="str">
        <f aca="false">IF($BD346&lt;&gt;Constants!$B$6,"",IF($AU346="-&gt;",$BA346,$AR346))</f>
        <v/>
      </c>
      <c r="BG346" s="91" t="str">
        <f aca="false">IF($BD346&lt;&gt;Constants!$B$6,"",IF($W346,0,Constants!$B$15))</f>
        <v/>
      </c>
      <c r="BH346" s="91" t="str">
        <f aca="false">IF(ISBLANK($C346),"",IF($BD346&lt;&gt;Constants!$B$6,$BD346,SUM($BF346:$BG346)))</f>
        <v/>
      </c>
      <c r="BI346" s="87" t="str">
        <f aca="false">IF(ISBLANK($C346),"",IF($BD346&lt;&gt;Constants!$B$6,$BD346,RANK($BH346,$BH$9:$BH$508,1)))</f>
        <v/>
      </c>
      <c r="BJ346" s="91" t="str">
        <f aca="false">IF($BD346&lt;&gt;Constants!$B$6,"",IF($AU346="-&gt;",$BB346,$AS346))</f>
        <v/>
      </c>
      <c r="BK346" s="87" t="str">
        <f aca="false">IF(ISBLANK($C346),"",IF($BD346&lt;&gt;Constants!$B$6,$BD346,IF(ISNUMBER($BJ346),RANK($BJ346,$BJ$9:$BJ$508,1),COUNT($BJ$9:$BJ$508)+1)))</f>
        <v/>
      </c>
      <c r="BL346" s="91" t="str">
        <f aca="false">IF($BD346&lt;&gt;Constants!$B$6,"",IF($AU346="-&gt;",$BC346,$AT346))</f>
        <v/>
      </c>
      <c r="BM346" s="87" t="str">
        <f aca="false">IF(ISBLANK($C346),"",IF($BD346&lt;&gt;Constants!$B$6,$BD346,IF(ISNUMBER($BL346),RANK($BL346,$BL$9:$BL$508,1),COUNT($BL$9:$BL$508)+1)))</f>
        <v/>
      </c>
      <c r="BN346" s="91" t="str">
        <f aca="false">IF($BD346&lt;&gt;Constants!$B$6,"",IF($AU346="-&gt;",$AS346,$BB346))</f>
        <v/>
      </c>
      <c r="BO346" s="87" t="str">
        <f aca="false">IF(ISBLANK($C346),"",IF($BD346&lt;&gt;Constants!$B$6,$BD346,IF(ISNUMBER($BN346),RANK($BN346,$BN$9:$BN$508,1),COUNT($BN$9:$BN$508)+1)))</f>
        <v/>
      </c>
      <c r="BP346" s="91" t="str">
        <f aca="false">IF($BD346&lt;&gt;Constants!$B$6,"",IF($AU346="-&gt;",$AT346,$BC346))</f>
        <v/>
      </c>
      <c r="BQ346" s="87" t="str">
        <f aca="false">IF(ISBLANK($C346),"",IF($BD346&lt;&gt;Constants!$B$6,$BD346,IF(ISNUMBER($BP346),RANK($BP346,$BP$9:$BP$508,1),COUNT($BP$9:$BP$508)+1)))</f>
        <v/>
      </c>
      <c r="BR346" s="87" t="str">
        <f aca="false">IF(ISBLANK($C346),"",IF($BD346&lt;&gt;Constants!$B$6,$BD346,COUNTIFS($BI$9:$BI$508,"&lt;"&amp;$BI346)+COUNTIFS($BI$9:$BI$508,$BI346,$BK$9:$BK$508,"&lt;"&amp;$BK346)+COUNTIFS($BI$9:$BI$508,$BI346,$BK$9:$BK$508,$BK346,$BM$9:$BM$508,"&lt;"&amp;$BM346)+COUNTIFS($BI$9:$BI$508,$BI346,$BK$9:$BK$508,$BK346,$BM$9:$BM$508,$BM346,$BO$9:$BO$508,"&lt;"&amp;$BO346)+COUNTIFS($BI$9:$BI$508,$BI346,$BK$9:$BK$508,$BK346,$BM$9:$BM$508,$BM346,$BO$9:$BO$508,$BO346,$BQ$9:$BQ$508,"&lt;"&amp;$BQ346)+1))</f>
        <v/>
      </c>
      <c r="BS346" s="87" t="str">
        <f aca="false">IF(ISBLANK($C346),"",IF($BD346&lt;&gt;Constants!$B$6,$BD346,$BI346-$BR346))</f>
        <v/>
      </c>
      <c r="BT346" s="94"/>
      <c r="BU346" s="95"/>
      <c r="BV346" s="95" t="str">
        <f aca="false">IF(ISBLANK($C346),"",IF($BD346&lt;&gt;Constants!$B$6,"",IF($AU346="-&gt;",2,1)))</f>
        <v/>
      </c>
      <c r="BW346" s="96" t="str">
        <f aca="false">IF(ISBLANK($C346),"",IF($BD346&lt;&gt;Constants!$B$6,"",IF($AU346="-&gt;",$AW346,$AN346)))</f>
        <v/>
      </c>
      <c r="BX346" s="96" t="str">
        <f aca="false">IF(ISBLANK($C346),"",IF($BD346&lt;&gt;Constants!$B$6,"",IF($AU346="-&gt;",$AX346,$AO346)))</f>
        <v/>
      </c>
      <c r="BY346" s="96" t="str">
        <f aca="false">IF(ISBLANK($C346),"",IF($BD346&lt;&gt;Constants!$B$6,"",IF($AU346="-&gt;",$AY346,$AP346)))</f>
        <v/>
      </c>
      <c r="BZ346" s="96" t="str">
        <f aca="false">IF(ISBLANK($C346),"",IF($BD346&lt;&gt;Constants!$B$6,"",IF($AU346="-&gt;",$AZ346,$AQ346)+$BG346))</f>
        <v/>
      </c>
      <c r="CA346" s="97" t="str">
        <f aca="false">IF(ISBLANK($C346),"",IF($BD346&lt;&gt;Constants!$B$6,$BD346,$BH346))</f>
        <v/>
      </c>
      <c r="CB346" s="98" t="str">
        <f aca="false">IF(ISBLANK($C346),"",$BE346)</f>
        <v/>
      </c>
      <c r="CC346" s="99" t="str">
        <f aca="false">IF(ISBLANK($C346),"",$BS346)</f>
        <v/>
      </c>
      <c r="CD346" s="99" t="str">
        <f aca="false">IF(ISBLANK($C346),"",$BR346)</f>
        <v/>
      </c>
      <c r="CE346" s="100" t="str">
        <f aca="false">IF(ISBLANK($C346),"",IF($CD346=Constants!$B$9,COUNTA($C$9:$C$508)+2,IF($CD346=Constants!$B$8,COUNTA($C$9:$C$508)+1,IF($CD346=Constants!$B$7,COUNTA($C$9:$C$508),$CD346))))</f>
        <v/>
      </c>
      <c r="CF346" s="9"/>
      <c r="CG346" s="101" t="n">
        <f aca="false">IF(OR(ISNUMBER($CD346),$CD346=Constants!$B$9,$CD346=Constants!$B$7,$CD346=Constants!$B$8),1,0)</f>
        <v>0</v>
      </c>
      <c r="CH346" s="101" t="n">
        <v>338</v>
      </c>
      <c r="CI346" s="101" t="str">
        <f aca="false">IF(ISBLANK($C346),"",IF(ISNUMBER($CE346),$CE346+ROW($B346)/1000,""))</f>
        <v/>
      </c>
      <c r="CJ346" s="101" t="str">
        <f aca="false">IF(ISNUMBER($CI346),RANK($CI346,$CI$9:$CI$508,1),"")</f>
        <v/>
      </c>
      <c r="CK346" s="101" t="str">
        <f aca="false">IF(ISBLANK($C346),"",$B346)</f>
        <v/>
      </c>
      <c r="CL346" s="101" t="str">
        <f aca="false">IF(ISBLANK($C346),"",$C346)</f>
        <v/>
      </c>
      <c r="CM346" s="101" t="str">
        <f aca="false">IF(ISBLANK($C346),"",$D346)</f>
        <v/>
      </c>
      <c r="CN346" s="102" t="str">
        <f aca="false">$CB346</f>
        <v/>
      </c>
      <c r="CO346" s="103" t="str">
        <f aca="false">$CA346</f>
        <v/>
      </c>
      <c r="CP346" s="101" t="str">
        <f aca="false">IF(ISBLANK($C346),"",$CD346)</f>
        <v/>
      </c>
      <c r="CQ346" s="104" t="str">
        <f aca="false">IF($CH346&gt;$CG$8,"",VLOOKUP($CH346,$CJ$9:$CP$508,7,FALSE()))</f>
        <v/>
      </c>
      <c r="CR346" s="105" t="str">
        <f aca="false">IF($CH346&gt;$CG$8,"",VLOOKUP($CH346,$CJ$9:$CP$508,2,FALSE()))</f>
        <v/>
      </c>
      <c r="CS346" s="105" t="str">
        <f aca="false">IF($CH346&gt;$CG$8,"",VLOOKUP($CH346,$CJ$9:$CP$508,3,FALSE()))</f>
        <v/>
      </c>
      <c r="CT346" s="105" t="str">
        <f aca="false">IF($CH346&gt;$CG$8,"",VLOOKUP($CH346,$CJ$9:$CP$508,4,FALSE()))</f>
        <v/>
      </c>
      <c r="CU346" s="105" t="str">
        <f aca="false">IF($CH346&gt;$CG$8,"",VLOOKUP($CH346,$CJ$9:$CP$508,5,FALSE()))</f>
        <v/>
      </c>
      <c r="CV346" s="106" t="str">
        <f aca="false">IF($CH346&gt;$CG$8,"",VLOOKUP($CH346,$CJ$9:$CP$508,6,FALSE()))</f>
        <v/>
      </c>
      <c r="CW346" s="71"/>
    </row>
    <row r="347" customFormat="false" ht="15.75" hidden="false" customHeight="false" outlineLevel="0" collapsed="false">
      <c r="A347" s="9"/>
      <c r="B347" s="72"/>
      <c r="C347" s="73"/>
      <c r="D347" s="160"/>
      <c r="E347" s="168"/>
      <c r="F347" s="162"/>
      <c r="G347" s="163"/>
      <c r="H347" s="169"/>
      <c r="I347" s="167"/>
      <c r="J347" s="80"/>
      <c r="K347" s="81"/>
      <c r="L347" s="82"/>
      <c r="M347" s="166"/>
      <c r="N347" s="167"/>
      <c r="O347" s="167"/>
      <c r="P347" s="80"/>
      <c r="Q347" s="82"/>
      <c r="R347" s="82"/>
      <c r="S347" s="166"/>
      <c r="T347" s="167"/>
      <c r="U347" s="86"/>
      <c r="V347" s="87"/>
      <c r="W347" s="87" t="str">
        <f aca="false">IF(ISBLANK($C347),"",IF(E347=Constants!$B$2,TRUE(),IF(E347=Constants!$B$3,FALSE(),TRUE())))</f>
        <v/>
      </c>
      <c r="X347" s="87" t="str">
        <f aca="false">IF(ISBLANK($C347),"",IF(F347=Constants!$B$2,TRUE(),IF(F347=Constants!$B$3,FALSE(),TRUE())))</f>
        <v/>
      </c>
      <c r="Y347" s="87" t="str">
        <f aca="false">IF(ISBLANK($C347),"",IF(G347=Constants!$B$2,TRUE(),IF(G347=Constants!$B$3,FALSE(),TRUE())))</f>
        <v/>
      </c>
      <c r="Z347" s="87" t="str">
        <f aca="false">IF(ISBLANK($C347),"",IF(H347=Constants!$B$2,TRUE(),IF(H347=Constants!$B$3,FALSE(),TRUE())))</f>
        <v/>
      </c>
      <c r="AA347" s="87" t="str">
        <f aca="false">IF(ISBLANK($C347),"",IF(I347=Constants!$B$2,TRUE(),IF(I347=Constants!$B$3,FALSE(),TRUE())))</f>
        <v/>
      </c>
      <c r="AB347" s="87" t="str">
        <f aca="false">IF(ISBLANK($C347),"",IF(J347=Constants!$B$4,TRUE(),IF(J347=Constants!$B$5,FALSE(),COUNTA(K347:M347)&gt;0)))</f>
        <v/>
      </c>
      <c r="AC347" s="88" t="str">
        <f aca="false">IF(ISBLANK($C347),"",IF(ISNUMBER(K347),IF(K347&gt;=0,K347,""),""))</f>
        <v/>
      </c>
      <c r="AD347" s="89" t="str">
        <f aca="false">IF(ISBLANK($C347),"",IF(ISNUMBER(L347),IF(L347&gt;=0,L347,""),""))</f>
        <v/>
      </c>
      <c r="AE347" s="87" t="str">
        <f aca="false">IF(ISBLANK($C347),"",IF(ISNUMBER(M347),IF(M347&gt;=0,MIN(M347,Constants!$B$22),""),""))</f>
        <v/>
      </c>
      <c r="AF347" s="87" t="str">
        <f aca="false">IF(ISBLANK($C347),"",IF(N347=Constants!$B$2,TRUE(),IF(N347=Constants!$B$3,FALSE(),TRUE())))</f>
        <v/>
      </c>
      <c r="AG347" s="87" t="str">
        <f aca="false">IF(ISBLANK($C347),"",IF(O347=Constants!$B$2,TRUE(),IF(O347=Constants!$B$3,FALSE(),TRUE())))</f>
        <v/>
      </c>
      <c r="AH347" s="87" t="str">
        <f aca="false">IF(ISBLANK($C347),"",IF(P347=Constants!$B$4,TRUE(),IF(P347=Constants!$B$5,FALSE(),COUNTA(Q347:S347)&gt;0)))</f>
        <v/>
      </c>
      <c r="AI347" s="88" t="str">
        <f aca="false">IF(ISBLANK($C347),"",IF(ISNUMBER(Q347),IF(Q347&gt;=0,Q347,""),""))</f>
        <v/>
      </c>
      <c r="AJ347" s="89" t="str">
        <f aca="false">IF(ISBLANK($C347),"",IF(ISNUMBER(R347),IF(R347&gt;=0,R347,""),""))</f>
        <v/>
      </c>
      <c r="AK347" s="87" t="str">
        <f aca="false">IF(ISBLANK($C347),"",IF(ISNUMBER(S347),IF(S347&gt;=0,MIN(S347,Constants!$B$22),""),""))</f>
        <v/>
      </c>
      <c r="AL347" s="87" t="str">
        <f aca="false">IF(ISBLANK($C347),"",IF(T347=Constants!$B$2,TRUE(),IF(T347=Constants!$B$3,FALSE(),FALSE())))</f>
        <v/>
      </c>
      <c r="AM347" s="86" t="str">
        <f aca="false">IF(ISBLANK($C347),"",AND($AB347,OR($AC347="",$AD347="",AND(NOT(ISBLANK($M347)),$AE347=""))))</f>
        <v/>
      </c>
      <c r="AN347" s="89" t="str">
        <f aca="false">IF($BD347&lt;&gt;Constants!$B$6,"",IF($AB347,Constants!$B$17*$AD347,Constants!$B$18))</f>
        <v/>
      </c>
      <c r="AO347" s="91" t="str">
        <f aca="false">IF($BD347&lt;&gt;Constants!$B$6,"",Constants!$B$19*IF($AB347,$AC347,0))</f>
        <v/>
      </c>
      <c r="AP347" s="91" t="str">
        <f aca="false">IF($BD347&lt;&gt;Constants!$B$6,"",IF(AND($AB347,ISNUMBER($AE347)),Constants!$B$20*(Constants!$B$21-$AE347),0))</f>
        <v/>
      </c>
      <c r="AQ347" s="91" t="str">
        <f aca="false">IF($BD347&lt;&gt;Constants!$B$6,"",IF($AA347,0,Constants!$B$12)+IF($Z347,0,Constants!$B$13)+IF($Y347,0,Constants!$B$14))</f>
        <v/>
      </c>
      <c r="AR347" s="92" t="str">
        <f aca="false">IF($BD347&lt;&gt;Constants!$B$6,"",Constants!$B$16+SUM($AN347:$AQ347))</f>
        <v/>
      </c>
      <c r="AS347" s="91" t="str">
        <f aca="false">IF($BD347&lt;&gt;Constants!$B$6,"",IF($AB347,$AD347,""))</f>
        <v/>
      </c>
      <c r="AT347" s="93" t="str">
        <f aca="false">IF($BD347&lt;&gt;Constants!$B$6,"",$AO347)</f>
        <v/>
      </c>
      <c r="AU347" s="87" t="str">
        <f aca="false">IF($BD347&lt;&gt;Constants!$B$6,"",IF(OR($BA347&lt;$AR347,AND($BA347=$AR347,OR(AND(ISNUMBER($BB347),OR(NOT(ISNUMBER($AS347)),$BB347&lt;$AS347)),AND(OR(AND($BB347="",$AS347=""),AND(ISNUMBER($BB347),ISNUMBER($AS347),$BB347=$AS347)),$BC347&lt;$AT347)))),"-&gt;","&lt;-"))</f>
        <v/>
      </c>
      <c r="AV347" s="86" t="str">
        <f aca="false">IF(ISBLANK($C347),"",AND($AH347,OR($AI347="",$AJ347="",AND(NOT(ISBLANK($S347)),$AK347=""))))</f>
        <v/>
      </c>
      <c r="AW347" s="89" t="str">
        <f aca="false">IF($BD347&lt;&gt;Constants!$B$6,"",IF($AH347,Constants!$B$17*$AJ347,Constants!$B$18))</f>
        <v/>
      </c>
      <c r="AX347" s="91" t="str">
        <f aca="false">IF($BD347&lt;&gt;Constants!$B$6,"",Constants!$B$19*IF($AH347,$AI347,0))</f>
        <v/>
      </c>
      <c r="AY347" s="91" t="str">
        <f aca="false">IF($BD347&lt;&gt;Constants!$B$6,"",IF(AND($AH347,ISNUMBER($AK347)),Constants!$B$20*(Constants!$B$21-$AK347),0))</f>
        <v/>
      </c>
      <c r="AZ347" s="91" t="str">
        <f aca="false">IF($BD347&lt;&gt;Constants!$B$6,"",IF($AG347,0,Constants!$B$12)+IF($AF347,0,Constants!$B$13)+IF($Y347,0,Constants!$B$14))</f>
        <v/>
      </c>
      <c r="BA347" s="92" t="str">
        <f aca="false">IF($BD347&lt;&gt;Constants!$B$6,"",Constants!$B$16+SUM($AW347:$AZ347))</f>
        <v/>
      </c>
      <c r="BB347" s="91" t="str">
        <f aca="false">IF($BD347&lt;&gt;Constants!$B$6,"",IF($AH347,$AJ347,""))</f>
        <v/>
      </c>
      <c r="BC347" s="93" t="str">
        <f aca="false">IF($BD347&lt;&gt;Constants!$B$6,"",$AX347)</f>
        <v/>
      </c>
      <c r="BD347" s="87" t="str">
        <f aca="false">IF(ISBLANK($C347),"",IF($AL347,Constants!$B$9,IF(COUNTA($E347:$T347)=0,Constants!$B$8,IF(NOT($X347),Constants!$B$7,IF(OR($AM347,$AV347),Constants!$B$10,Constants!$B$6)))))</f>
        <v/>
      </c>
      <c r="BE347" s="87" t="str">
        <f aca="false">IF(ISBLANK($C347),"",IF($BD347&lt;&gt;Constants!$B$6,$BD347,Constants!$B$11))</f>
        <v/>
      </c>
      <c r="BF347" s="91" t="str">
        <f aca="false">IF($BD347&lt;&gt;Constants!$B$6,"",IF($AU347="-&gt;",$BA347,$AR347))</f>
        <v/>
      </c>
      <c r="BG347" s="91" t="str">
        <f aca="false">IF($BD347&lt;&gt;Constants!$B$6,"",IF($W347,0,Constants!$B$15))</f>
        <v/>
      </c>
      <c r="BH347" s="91" t="str">
        <f aca="false">IF(ISBLANK($C347),"",IF($BD347&lt;&gt;Constants!$B$6,$BD347,SUM($BF347:$BG347)))</f>
        <v/>
      </c>
      <c r="BI347" s="87" t="str">
        <f aca="false">IF(ISBLANK($C347),"",IF($BD347&lt;&gt;Constants!$B$6,$BD347,RANK($BH347,$BH$9:$BH$508,1)))</f>
        <v/>
      </c>
      <c r="BJ347" s="91" t="str">
        <f aca="false">IF($BD347&lt;&gt;Constants!$B$6,"",IF($AU347="-&gt;",$BB347,$AS347))</f>
        <v/>
      </c>
      <c r="BK347" s="87" t="str">
        <f aca="false">IF(ISBLANK($C347),"",IF($BD347&lt;&gt;Constants!$B$6,$BD347,IF(ISNUMBER($BJ347),RANK($BJ347,$BJ$9:$BJ$508,1),COUNT($BJ$9:$BJ$508)+1)))</f>
        <v/>
      </c>
      <c r="BL347" s="91" t="str">
        <f aca="false">IF($BD347&lt;&gt;Constants!$B$6,"",IF($AU347="-&gt;",$BC347,$AT347))</f>
        <v/>
      </c>
      <c r="BM347" s="87" t="str">
        <f aca="false">IF(ISBLANK($C347),"",IF($BD347&lt;&gt;Constants!$B$6,$BD347,IF(ISNUMBER($BL347),RANK($BL347,$BL$9:$BL$508,1),COUNT($BL$9:$BL$508)+1)))</f>
        <v/>
      </c>
      <c r="BN347" s="91" t="str">
        <f aca="false">IF($BD347&lt;&gt;Constants!$B$6,"",IF($AU347="-&gt;",$AS347,$BB347))</f>
        <v/>
      </c>
      <c r="BO347" s="87" t="str">
        <f aca="false">IF(ISBLANK($C347),"",IF($BD347&lt;&gt;Constants!$B$6,$BD347,IF(ISNUMBER($BN347),RANK($BN347,$BN$9:$BN$508,1),COUNT($BN$9:$BN$508)+1)))</f>
        <v/>
      </c>
      <c r="BP347" s="91" t="str">
        <f aca="false">IF($BD347&lt;&gt;Constants!$B$6,"",IF($AU347="-&gt;",$AT347,$BC347))</f>
        <v/>
      </c>
      <c r="BQ347" s="87" t="str">
        <f aca="false">IF(ISBLANK($C347),"",IF($BD347&lt;&gt;Constants!$B$6,$BD347,IF(ISNUMBER($BP347),RANK($BP347,$BP$9:$BP$508,1),COUNT($BP$9:$BP$508)+1)))</f>
        <v/>
      </c>
      <c r="BR347" s="87" t="str">
        <f aca="false">IF(ISBLANK($C347),"",IF($BD347&lt;&gt;Constants!$B$6,$BD347,COUNTIFS($BI$9:$BI$508,"&lt;"&amp;$BI347)+COUNTIFS($BI$9:$BI$508,$BI347,$BK$9:$BK$508,"&lt;"&amp;$BK347)+COUNTIFS($BI$9:$BI$508,$BI347,$BK$9:$BK$508,$BK347,$BM$9:$BM$508,"&lt;"&amp;$BM347)+COUNTIFS($BI$9:$BI$508,$BI347,$BK$9:$BK$508,$BK347,$BM$9:$BM$508,$BM347,$BO$9:$BO$508,"&lt;"&amp;$BO347)+COUNTIFS($BI$9:$BI$508,$BI347,$BK$9:$BK$508,$BK347,$BM$9:$BM$508,$BM347,$BO$9:$BO$508,$BO347,$BQ$9:$BQ$508,"&lt;"&amp;$BQ347)+1))</f>
        <v/>
      </c>
      <c r="BS347" s="87" t="str">
        <f aca="false">IF(ISBLANK($C347),"",IF($BD347&lt;&gt;Constants!$B$6,$BD347,$BI347-$BR347))</f>
        <v/>
      </c>
      <c r="BT347" s="94"/>
      <c r="BU347" s="95"/>
      <c r="BV347" s="95" t="str">
        <f aca="false">IF(ISBLANK($C347),"",IF($BD347&lt;&gt;Constants!$B$6,"",IF($AU347="-&gt;",2,1)))</f>
        <v/>
      </c>
      <c r="BW347" s="96" t="str">
        <f aca="false">IF(ISBLANK($C347),"",IF($BD347&lt;&gt;Constants!$B$6,"",IF($AU347="-&gt;",$AW347,$AN347)))</f>
        <v/>
      </c>
      <c r="BX347" s="96" t="str">
        <f aca="false">IF(ISBLANK($C347),"",IF($BD347&lt;&gt;Constants!$B$6,"",IF($AU347="-&gt;",$AX347,$AO347)))</f>
        <v/>
      </c>
      <c r="BY347" s="96" t="str">
        <f aca="false">IF(ISBLANK($C347),"",IF($BD347&lt;&gt;Constants!$B$6,"",IF($AU347="-&gt;",$AY347,$AP347)))</f>
        <v/>
      </c>
      <c r="BZ347" s="96" t="str">
        <f aca="false">IF(ISBLANK($C347),"",IF($BD347&lt;&gt;Constants!$B$6,"",IF($AU347="-&gt;",$AZ347,$AQ347)+$BG347))</f>
        <v/>
      </c>
      <c r="CA347" s="97" t="str">
        <f aca="false">IF(ISBLANK($C347),"",IF($BD347&lt;&gt;Constants!$B$6,$BD347,$BH347))</f>
        <v/>
      </c>
      <c r="CB347" s="98" t="str">
        <f aca="false">IF(ISBLANK($C347),"",$BE347)</f>
        <v/>
      </c>
      <c r="CC347" s="99" t="str">
        <f aca="false">IF(ISBLANK($C347),"",$BS347)</f>
        <v/>
      </c>
      <c r="CD347" s="99" t="str">
        <f aca="false">IF(ISBLANK($C347),"",$BR347)</f>
        <v/>
      </c>
      <c r="CE347" s="100" t="str">
        <f aca="false">IF(ISBLANK($C347),"",IF($CD347=Constants!$B$9,COUNTA($C$9:$C$508)+2,IF($CD347=Constants!$B$8,COUNTA($C$9:$C$508)+1,IF($CD347=Constants!$B$7,COUNTA($C$9:$C$508),$CD347))))</f>
        <v/>
      </c>
      <c r="CF347" s="9"/>
      <c r="CG347" s="101" t="n">
        <f aca="false">IF(OR(ISNUMBER($CD347),$CD347=Constants!$B$9,$CD347=Constants!$B$7,$CD347=Constants!$B$8),1,0)</f>
        <v>0</v>
      </c>
      <c r="CH347" s="101" t="n">
        <v>339</v>
      </c>
      <c r="CI347" s="101" t="str">
        <f aca="false">IF(ISBLANK($C347),"",IF(ISNUMBER($CE347),$CE347+ROW($B347)/1000,""))</f>
        <v/>
      </c>
      <c r="CJ347" s="101" t="str">
        <f aca="false">IF(ISNUMBER($CI347),RANK($CI347,$CI$9:$CI$508,1),"")</f>
        <v/>
      </c>
      <c r="CK347" s="101" t="str">
        <f aca="false">IF(ISBLANK($C347),"",$B347)</f>
        <v/>
      </c>
      <c r="CL347" s="101" t="str">
        <f aca="false">IF(ISBLANK($C347),"",$C347)</f>
        <v/>
      </c>
      <c r="CM347" s="101" t="str">
        <f aca="false">IF(ISBLANK($C347),"",$D347)</f>
        <v/>
      </c>
      <c r="CN347" s="102" t="str">
        <f aca="false">$CB347</f>
        <v/>
      </c>
      <c r="CO347" s="103" t="str">
        <f aca="false">$CA347</f>
        <v/>
      </c>
      <c r="CP347" s="101" t="str">
        <f aca="false">IF(ISBLANK($C347),"",$CD347)</f>
        <v/>
      </c>
      <c r="CQ347" s="104" t="str">
        <f aca="false">IF($CH347&gt;$CG$8,"",VLOOKUP($CH347,$CJ$9:$CP$508,7,FALSE()))</f>
        <v/>
      </c>
      <c r="CR347" s="105" t="str">
        <f aca="false">IF($CH347&gt;$CG$8,"",VLOOKUP($CH347,$CJ$9:$CP$508,2,FALSE()))</f>
        <v/>
      </c>
      <c r="CS347" s="105" t="str">
        <f aca="false">IF($CH347&gt;$CG$8,"",VLOOKUP($CH347,$CJ$9:$CP$508,3,FALSE()))</f>
        <v/>
      </c>
      <c r="CT347" s="105" t="str">
        <f aca="false">IF($CH347&gt;$CG$8,"",VLOOKUP($CH347,$CJ$9:$CP$508,4,FALSE()))</f>
        <v/>
      </c>
      <c r="CU347" s="105" t="str">
        <f aca="false">IF($CH347&gt;$CG$8,"",VLOOKUP($CH347,$CJ$9:$CP$508,5,FALSE()))</f>
        <v/>
      </c>
      <c r="CV347" s="106" t="str">
        <f aca="false">IF($CH347&gt;$CG$8,"",VLOOKUP($CH347,$CJ$9:$CP$508,6,FALSE()))</f>
        <v/>
      </c>
      <c r="CW347" s="71"/>
    </row>
    <row r="348" customFormat="false" ht="15.75" hidden="false" customHeight="false" outlineLevel="0" collapsed="false">
      <c r="A348" s="9"/>
      <c r="B348" s="150"/>
      <c r="C348" s="151"/>
      <c r="D348" s="152"/>
      <c r="E348" s="170"/>
      <c r="F348" s="154"/>
      <c r="G348" s="155"/>
      <c r="H348" s="171"/>
      <c r="I348" s="159"/>
      <c r="J348" s="120"/>
      <c r="K348" s="121"/>
      <c r="L348" s="122"/>
      <c r="M348" s="158"/>
      <c r="N348" s="159"/>
      <c r="O348" s="159"/>
      <c r="P348" s="120"/>
      <c r="Q348" s="122"/>
      <c r="R348" s="122"/>
      <c r="S348" s="158"/>
      <c r="T348" s="159"/>
      <c r="U348" s="126"/>
      <c r="V348" s="127"/>
      <c r="W348" s="127" t="str">
        <f aca="false">IF(ISBLANK($C348),"",IF(E348=Constants!$B$2,TRUE(),IF(E348=Constants!$B$3,FALSE(),TRUE())))</f>
        <v/>
      </c>
      <c r="X348" s="127" t="str">
        <f aca="false">IF(ISBLANK($C348),"",IF(F348=Constants!$B$2,TRUE(),IF(F348=Constants!$B$3,FALSE(),TRUE())))</f>
        <v/>
      </c>
      <c r="Y348" s="127" t="str">
        <f aca="false">IF(ISBLANK($C348),"",IF(G348=Constants!$B$2,TRUE(),IF(G348=Constants!$B$3,FALSE(),TRUE())))</f>
        <v/>
      </c>
      <c r="Z348" s="127" t="str">
        <f aca="false">IF(ISBLANK($C348),"",IF(H348=Constants!$B$2,TRUE(),IF(H348=Constants!$B$3,FALSE(),TRUE())))</f>
        <v/>
      </c>
      <c r="AA348" s="127" t="str">
        <f aca="false">IF(ISBLANK($C348),"",IF(I348=Constants!$B$2,TRUE(),IF(I348=Constants!$B$3,FALSE(),TRUE())))</f>
        <v/>
      </c>
      <c r="AB348" s="127" t="str">
        <f aca="false">IF(ISBLANK($C348),"",IF(J348=Constants!$B$4,TRUE(),IF(J348=Constants!$B$5,FALSE(),COUNTA(K348:M348)&gt;0)))</f>
        <v/>
      </c>
      <c r="AC348" s="128" t="str">
        <f aca="false">IF(ISBLANK($C348),"",IF(ISNUMBER(K348),IF(K348&gt;=0,K348,""),""))</f>
        <v/>
      </c>
      <c r="AD348" s="129" t="str">
        <f aca="false">IF(ISBLANK($C348),"",IF(ISNUMBER(L348),IF(L348&gt;=0,L348,""),""))</f>
        <v/>
      </c>
      <c r="AE348" s="127" t="str">
        <f aca="false">IF(ISBLANK($C348),"",IF(ISNUMBER(M348),IF(M348&gt;=0,MIN(M348,Constants!$B$22),""),""))</f>
        <v/>
      </c>
      <c r="AF348" s="127" t="str">
        <f aca="false">IF(ISBLANK($C348),"",IF(N348=Constants!$B$2,TRUE(),IF(N348=Constants!$B$3,FALSE(),TRUE())))</f>
        <v/>
      </c>
      <c r="AG348" s="127" t="str">
        <f aca="false">IF(ISBLANK($C348),"",IF(O348=Constants!$B$2,TRUE(),IF(O348=Constants!$B$3,FALSE(),TRUE())))</f>
        <v/>
      </c>
      <c r="AH348" s="127" t="str">
        <f aca="false">IF(ISBLANK($C348),"",IF(P348=Constants!$B$4,TRUE(),IF(P348=Constants!$B$5,FALSE(),COUNTA(Q348:S348)&gt;0)))</f>
        <v/>
      </c>
      <c r="AI348" s="128" t="str">
        <f aca="false">IF(ISBLANK($C348),"",IF(ISNUMBER(Q348),IF(Q348&gt;=0,Q348,""),""))</f>
        <v/>
      </c>
      <c r="AJ348" s="129" t="str">
        <f aca="false">IF(ISBLANK($C348),"",IF(ISNUMBER(R348),IF(R348&gt;=0,R348,""),""))</f>
        <v/>
      </c>
      <c r="AK348" s="127" t="str">
        <f aca="false">IF(ISBLANK($C348),"",IF(ISNUMBER(S348),IF(S348&gt;=0,MIN(S348,Constants!$B$22),""),""))</f>
        <v/>
      </c>
      <c r="AL348" s="127" t="str">
        <f aca="false">IF(ISBLANK($C348),"",IF(T348=Constants!$B$2,TRUE(),IF(T348=Constants!$B$3,FALSE(),FALSE())))</f>
        <v/>
      </c>
      <c r="AM348" s="126" t="str">
        <f aca="false">IF(ISBLANK($C348),"",AND($AB348,OR($AC348="",$AD348="",AND(NOT(ISBLANK($M348)),$AE348=""))))</f>
        <v/>
      </c>
      <c r="AN348" s="129" t="str">
        <f aca="false">IF($BD348&lt;&gt;Constants!$B$6,"",IF($AB348,Constants!$B$17*$AD348,Constants!$B$18))</f>
        <v/>
      </c>
      <c r="AO348" s="130" t="str">
        <f aca="false">IF($BD348&lt;&gt;Constants!$B$6,"",Constants!$B$19*IF($AB348,$AC348,0))</f>
        <v/>
      </c>
      <c r="AP348" s="130" t="str">
        <f aca="false">IF($BD348&lt;&gt;Constants!$B$6,"",IF(AND($AB348,ISNUMBER($AE348)),Constants!$B$20*(Constants!$B$21-$AE348),0))</f>
        <v/>
      </c>
      <c r="AQ348" s="130" t="str">
        <f aca="false">IF($BD348&lt;&gt;Constants!$B$6,"",IF($AA348,0,Constants!$B$12)+IF($Z348,0,Constants!$B$13)+IF($Y348,0,Constants!$B$14))</f>
        <v/>
      </c>
      <c r="AR348" s="131" t="str">
        <f aca="false">IF($BD348&lt;&gt;Constants!$B$6,"",Constants!$B$16+SUM($AN348:$AQ348))</f>
        <v/>
      </c>
      <c r="AS348" s="130" t="str">
        <f aca="false">IF($BD348&lt;&gt;Constants!$B$6,"",IF($AB348,$AD348,""))</f>
        <v/>
      </c>
      <c r="AT348" s="132" t="str">
        <f aca="false">IF($BD348&lt;&gt;Constants!$B$6,"",$AO348)</f>
        <v/>
      </c>
      <c r="AU348" s="127" t="str">
        <f aca="false">IF($BD348&lt;&gt;Constants!$B$6,"",IF(OR($BA348&lt;$AR348,AND($BA348=$AR348,OR(AND(ISNUMBER($BB348),OR(NOT(ISNUMBER($AS348)),$BB348&lt;$AS348)),AND(OR(AND($BB348="",$AS348=""),AND(ISNUMBER($BB348),ISNUMBER($AS348),$BB348=$AS348)),$BC348&lt;$AT348)))),"-&gt;","&lt;-"))</f>
        <v/>
      </c>
      <c r="AV348" s="126" t="str">
        <f aca="false">IF(ISBLANK($C348),"",AND($AH348,OR($AI348="",$AJ348="",AND(NOT(ISBLANK($S348)),$AK348=""))))</f>
        <v/>
      </c>
      <c r="AW348" s="129" t="str">
        <f aca="false">IF($BD348&lt;&gt;Constants!$B$6,"",IF($AH348,Constants!$B$17*$AJ348,Constants!$B$18))</f>
        <v/>
      </c>
      <c r="AX348" s="130" t="str">
        <f aca="false">IF($BD348&lt;&gt;Constants!$B$6,"",Constants!$B$19*IF($AH348,$AI348,0))</f>
        <v/>
      </c>
      <c r="AY348" s="130" t="str">
        <f aca="false">IF($BD348&lt;&gt;Constants!$B$6,"",IF(AND($AH348,ISNUMBER($AK348)),Constants!$B$20*(Constants!$B$21-$AK348),0))</f>
        <v/>
      </c>
      <c r="AZ348" s="130" t="str">
        <f aca="false">IF($BD348&lt;&gt;Constants!$B$6,"",IF($AG348,0,Constants!$B$12)+IF($AF348,0,Constants!$B$13)+IF($Y348,0,Constants!$B$14))</f>
        <v/>
      </c>
      <c r="BA348" s="131" t="str">
        <f aca="false">IF($BD348&lt;&gt;Constants!$B$6,"",Constants!$B$16+SUM($AW348:$AZ348))</f>
        <v/>
      </c>
      <c r="BB348" s="130" t="str">
        <f aca="false">IF($BD348&lt;&gt;Constants!$B$6,"",IF($AH348,$AJ348,""))</f>
        <v/>
      </c>
      <c r="BC348" s="132" t="str">
        <f aca="false">IF($BD348&lt;&gt;Constants!$B$6,"",$AX348)</f>
        <v/>
      </c>
      <c r="BD348" s="127" t="str">
        <f aca="false">IF(ISBLANK($C348),"",IF($AL348,Constants!$B$9,IF(COUNTA($E348:$T348)=0,Constants!$B$8,IF(NOT($X348),Constants!$B$7,IF(OR($AM348,$AV348),Constants!$B$10,Constants!$B$6)))))</f>
        <v/>
      </c>
      <c r="BE348" s="127" t="str">
        <f aca="false">IF(ISBLANK($C348),"",IF($BD348&lt;&gt;Constants!$B$6,$BD348,Constants!$B$11))</f>
        <v/>
      </c>
      <c r="BF348" s="130" t="str">
        <f aca="false">IF($BD348&lt;&gt;Constants!$B$6,"",IF($AU348="-&gt;",$BA348,$AR348))</f>
        <v/>
      </c>
      <c r="BG348" s="130" t="str">
        <f aca="false">IF($BD348&lt;&gt;Constants!$B$6,"",IF($W348,0,Constants!$B$15))</f>
        <v/>
      </c>
      <c r="BH348" s="130" t="str">
        <f aca="false">IF(ISBLANK($C348),"",IF($BD348&lt;&gt;Constants!$B$6,$BD348,SUM($BF348:$BG348)))</f>
        <v/>
      </c>
      <c r="BI348" s="127" t="str">
        <f aca="false">IF(ISBLANK($C348),"",IF($BD348&lt;&gt;Constants!$B$6,$BD348,RANK($BH348,$BH$9:$BH$508,1)))</f>
        <v/>
      </c>
      <c r="BJ348" s="130" t="str">
        <f aca="false">IF($BD348&lt;&gt;Constants!$B$6,"",IF($AU348="-&gt;",$BB348,$AS348))</f>
        <v/>
      </c>
      <c r="BK348" s="127" t="str">
        <f aca="false">IF(ISBLANK($C348),"",IF($BD348&lt;&gt;Constants!$B$6,$BD348,IF(ISNUMBER($BJ348),RANK($BJ348,$BJ$9:$BJ$508,1),COUNT($BJ$9:$BJ$508)+1)))</f>
        <v/>
      </c>
      <c r="BL348" s="130" t="str">
        <f aca="false">IF($BD348&lt;&gt;Constants!$B$6,"",IF($AU348="-&gt;",$BC348,$AT348))</f>
        <v/>
      </c>
      <c r="BM348" s="127" t="str">
        <f aca="false">IF(ISBLANK($C348),"",IF($BD348&lt;&gt;Constants!$B$6,$BD348,IF(ISNUMBER($BL348),RANK($BL348,$BL$9:$BL$508,1),COUNT($BL$9:$BL$508)+1)))</f>
        <v/>
      </c>
      <c r="BN348" s="130" t="str">
        <f aca="false">IF($BD348&lt;&gt;Constants!$B$6,"",IF($AU348="-&gt;",$AS348,$BB348))</f>
        <v/>
      </c>
      <c r="BO348" s="127" t="str">
        <f aca="false">IF(ISBLANK($C348),"",IF($BD348&lt;&gt;Constants!$B$6,$BD348,IF(ISNUMBER($BN348),RANK($BN348,$BN$9:$BN$508,1),COUNT($BN$9:$BN$508)+1)))</f>
        <v/>
      </c>
      <c r="BP348" s="130" t="str">
        <f aca="false">IF($BD348&lt;&gt;Constants!$B$6,"",IF($AU348="-&gt;",$AT348,$BC348))</f>
        <v/>
      </c>
      <c r="BQ348" s="127" t="str">
        <f aca="false">IF(ISBLANK($C348),"",IF($BD348&lt;&gt;Constants!$B$6,$BD348,IF(ISNUMBER($BP348),RANK($BP348,$BP$9:$BP$508,1),COUNT($BP$9:$BP$508)+1)))</f>
        <v/>
      </c>
      <c r="BR348" s="127" t="str">
        <f aca="false">IF(ISBLANK($C348),"",IF($BD348&lt;&gt;Constants!$B$6,$BD348,COUNTIFS($BI$9:$BI$508,"&lt;"&amp;$BI348)+COUNTIFS($BI$9:$BI$508,$BI348,$BK$9:$BK$508,"&lt;"&amp;$BK348)+COUNTIFS($BI$9:$BI$508,$BI348,$BK$9:$BK$508,$BK348,$BM$9:$BM$508,"&lt;"&amp;$BM348)+COUNTIFS($BI$9:$BI$508,$BI348,$BK$9:$BK$508,$BK348,$BM$9:$BM$508,$BM348,$BO$9:$BO$508,"&lt;"&amp;$BO348)+COUNTIFS($BI$9:$BI$508,$BI348,$BK$9:$BK$508,$BK348,$BM$9:$BM$508,$BM348,$BO$9:$BO$508,$BO348,$BQ$9:$BQ$508,"&lt;"&amp;$BQ348)+1))</f>
        <v/>
      </c>
      <c r="BS348" s="127" t="str">
        <f aca="false">IF(ISBLANK($C348),"",IF($BD348&lt;&gt;Constants!$B$6,$BD348,$BI348-$BR348))</f>
        <v/>
      </c>
      <c r="BT348" s="133"/>
      <c r="BU348" s="134"/>
      <c r="BV348" s="134" t="str">
        <f aca="false">IF(ISBLANK($C348),"",IF($BD348&lt;&gt;Constants!$B$6,"",IF($AU348="-&gt;",2,1)))</f>
        <v/>
      </c>
      <c r="BW348" s="135" t="str">
        <f aca="false">IF(ISBLANK($C348),"",IF($BD348&lt;&gt;Constants!$B$6,"",IF($AU348="-&gt;",$AW348,$AN348)))</f>
        <v/>
      </c>
      <c r="BX348" s="135" t="str">
        <f aca="false">IF(ISBLANK($C348),"",IF($BD348&lt;&gt;Constants!$B$6,"",IF($AU348="-&gt;",$AX348,$AO348)))</f>
        <v/>
      </c>
      <c r="BY348" s="135" t="str">
        <f aca="false">IF(ISBLANK($C348),"",IF($BD348&lt;&gt;Constants!$B$6,"",IF($AU348="-&gt;",$AY348,$AP348)))</f>
        <v/>
      </c>
      <c r="BZ348" s="135" t="str">
        <f aca="false">IF(ISBLANK($C348),"",IF($BD348&lt;&gt;Constants!$B$6,"",IF($AU348="-&gt;",$AZ348,$AQ348)+$BG348))</f>
        <v/>
      </c>
      <c r="CA348" s="136" t="str">
        <f aca="false">IF(ISBLANK($C348),"",IF($BD348&lt;&gt;Constants!$B$6,$BD348,$BH348))</f>
        <v/>
      </c>
      <c r="CB348" s="137" t="str">
        <f aca="false">IF(ISBLANK($C348),"",$BE348)</f>
        <v/>
      </c>
      <c r="CC348" s="138" t="str">
        <f aca="false">IF(ISBLANK($C348),"",$BS348)</f>
        <v/>
      </c>
      <c r="CD348" s="138" t="str">
        <f aca="false">IF(ISBLANK($C348),"",$BR348)</f>
        <v/>
      </c>
      <c r="CE348" s="139" t="str">
        <f aca="false">IF(ISBLANK($C348),"",IF($CD348=Constants!$B$9,COUNTA($C$9:$C$508)+2,IF($CD348=Constants!$B$8,COUNTA($C$9:$C$508)+1,IF($CD348=Constants!$B$7,COUNTA($C$9:$C$508),$CD348))))</f>
        <v/>
      </c>
      <c r="CF348" s="9"/>
      <c r="CG348" s="140" t="n">
        <f aca="false">IF(OR(ISNUMBER($CD348),$CD348=Constants!$B$9,$CD348=Constants!$B$7,$CD348=Constants!$B$8),1,0)</f>
        <v>0</v>
      </c>
      <c r="CH348" s="140" t="n">
        <v>340</v>
      </c>
      <c r="CI348" s="140" t="str">
        <f aca="false">IF(ISBLANK($C348),"",IF(ISNUMBER($CE348),$CE348+ROW($B348)/1000,""))</f>
        <v/>
      </c>
      <c r="CJ348" s="140" t="str">
        <f aca="false">IF(ISNUMBER($CI348),RANK($CI348,$CI$9:$CI$508,1),"")</f>
        <v/>
      </c>
      <c r="CK348" s="140" t="str">
        <f aca="false">IF(ISBLANK($C348),"",$B348)</f>
        <v/>
      </c>
      <c r="CL348" s="140" t="str">
        <f aca="false">IF(ISBLANK($C348),"",$C348)</f>
        <v/>
      </c>
      <c r="CM348" s="140" t="str">
        <f aca="false">IF(ISBLANK($C348),"",$D348)</f>
        <v/>
      </c>
      <c r="CN348" s="141" t="str">
        <f aca="false">$CB348</f>
        <v/>
      </c>
      <c r="CO348" s="142" t="str">
        <f aca="false">$CA348</f>
        <v/>
      </c>
      <c r="CP348" s="140" t="str">
        <f aca="false">IF(ISBLANK($C348),"",$CD348)</f>
        <v/>
      </c>
      <c r="CQ348" s="143" t="str">
        <f aca="false">IF($CH348&gt;$CG$8,"",VLOOKUP($CH348,$CJ$9:$CP$508,7,FALSE()))</f>
        <v/>
      </c>
      <c r="CR348" s="144" t="str">
        <f aca="false">IF($CH348&gt;$CG$8,"",VLOOKUP($CH348,$CJ$9:$CP$508,2,FALSE()))</f>
        <v/>
      </c>
      <c r="CS348" s="144" t="str">
        <f aca="false">IF($CH348&gt;$CG$8,"",VLOOKUP($CH348,$CJ$9:$CP$508,3,FALSE()))</f>
        <v/>
      </c>
      <c r="CT348" s="144" t="str">
        <f aca="false">IF($CH348&gt;$CG$8,"",VLOOKUP($CH348,$CJ$9:$CP$508,4,FALSE()))</f>
        <v/>
      </c>
      <c r="CU348" s="144" t="str">
        <f aca="false">IF($CH348&gt;$CG$8,"",VLOOKUP($CH348,$CJ$9:$CP$508,5,FALSE()))</f>
        <v/>
      </c>
      <c r="CV348" s="145" t="str">
        <f aca="false">IF($CH348&gt;$CG$8,"",VLOOKUP($CH348,$CJ$9:$CP$508,6,FALSE()))</f>
        <v/>
      </c>
      <c r="CW348" s="71"/>
    </row>
    <row r="349" customFormat="false" ht="15.75" hidden="false" customHeight="false" outlineLevel="0" collapsed="false">
      <c r="A349" s="9"/>
      <c r="B349" s="150"/>
      <c r="C349" s="151"/>
      <c r="D349" s="152"/>
      <c r="E349" s="170"/>
      <c r="F349" s="154"/>
      <c r="G349" s="155"/>
      <c r="H349" s="171"/>
      <c r="I349" s="159"/>
      <c r="J349" s="120"/>
      <c r="K349" s="121"/>
      <c r="L349" s="122"/>
      <c r="M349" s="158"/>
      <c r="N349" s="159"/>
      <c r="O349" s="159"/>
      <c r="P349" s="120"/>
      <c r="Q349" s="122"/>
      <c r="R349" s="122"/>
      <c r="S349" s="158"/>
      <c r="T349" s="159"/>
      <c r="U349" s="126"/>
      <c r="V349" s="127"/>
      <c r="W349" s="127" t="str">
        <f aca="false">IF(ISBLANK($C349),"",IF(E349=Constants!$B$2,TRUE(),IF(E349=Constants!$B$3,FALSE(),TRUE())))</f>
        <v/>
      </c>
      <c r="X349" s="127" t="str">
        <f aca="false">IF(ISBLANK($C349),"",IF(F349=Constants!$B$2,TRUE(),IF(F349=Constants!$B$3,FALSE(),TRUE())))</f>
        <v/>
      </c>
      <c r="Y349" s="127" t="str">
        <f aca="false">IF(ISBLANK($C349),"",IF(G349=Constants!$B$2,TRUE(),IF(G349=Constants!$B$3,FALSE(),TRUE())))</f>
        <v/>
      </c>
      <c r="Z349" s="127" t="str">
        <f aca="false">IF(ISBLANK($C349),"",IF(H349=Constants!$B$2,TRUE(),IF(H349=Constants!$B$3,FALSE(),TRUE())))</f>
        <v/>
      </c>
      <c r="AA349" s="127" t="str">
        <f aca="false">IF(ISBLANK($C349),"",IF(I349=Constants!$B$2,TRUE(),IF(I349=Constants!$B$3,FALSE(),TRUE())))</f>
        <v/>
      </c>
      <c r="AB349" s="127" t="str">
        <f aca="false">IF(ISBLANK($C349),"",IF(J349=Constants!$B$4,TRUE(),IF(J349=Constants!$B$5,FALSE(),COUNTA(K349:M349)&gt;0)))</f>
        <v/>
      </c>
      <c r="AC349" s="128" t="str">
        <f aca="false">IF(ISBLANK($C349),"",IF(ISNUMBER(K349),IF(K349&gt;=0,K349,""),""))</f>
        <v/>
      </c>
      <c r="AD349" s="129" t="str">
        <f aca="false">IF(ISBLANK($C349),"",IF(ISNUMBER(L349),IF(L349&gt;=0,L349,""),""))</f>
        <v/>
      </c>
      <c r="AE349" s="127" t="str">
        <f aca="false">IF(ISBLANK($C349),"",IF(ISNUMBER(M349),IF(M349&gt;=0,MIN(M349,Constants!$B$22),""),""))</f>
        <v/>
      </c>
      <c r="AF349" s="127" t="str">
        <f aca="false">IF(ISBLANK($C349),"",IF(N349=Constants!$B$2,TRUE(),IF(N349=Constants!$B$3,FALSE(),TRUE())))</f>
        <v/>
      </c>
      <c r="AG349" s="127" t="str">
        <f aca="false">IF(ISBLANK($C349),"",IF(O349=Constants!$B$2,TRUE(),IF(O349=Constants!$B$3,FALSE(),TRUE())))</f>
        <v/>
      </c>
      <c r="AH349" s="127" t="str">
        <f aca="false">IF(ISBLANK($C349),"",IF(P349=Constants!$B$4,TRUE(),IF(P349=Constants!$B$5,FALSE(),COUNTA(Q349:S349)&gt;0)))</f>
        <v/>
      </c>
      <c r="AI349" s="128" t="str">
        <f aca="false">IF(ISBLANK($C349),"",IF(ISNUMBER(Q349),IF(Q349&gt;=0,Q349,""),""))</f>
        <v/>
      </c>
      <c r="AJ349" s="129" t="str">
        <f aca="false">IF(ISBLANK($C349),"",IF(ISNUMBER(R349),IF(R349&gt;=0,R349,""),""))</f>
        <v/>
      </c>
      <c r="AK349" s="127" t="str">
        <f aca="false">IF(ISBLANK($C349),"",IF(ISNUMBER(S349),IF(S349&gt;=0,MIN(S349,Constants!$B$22),""),""))</f>
        <v/>
      </c>
      <c r="AL349" s="127" t="str">
        <f aca="false">IF(ISBLANK($C349),"",IF(T349=Constants!$B$2,TRUE(),IF(T349=Constants!$B$3,FALSE(),FALSE())))</f>
        <v/>
      </c>
      <c r="AM349" s="126" t="str">
        <f aca="false">IF(ISBLANK($C349),"",AND($AB349,OR($AC349="",$AD349="",AND(NOT(ISBLANK($M349)),$AE349=""))))</f>
        <v/>
      </c>
      <c r="AN349" s="129" t="str">
        <f aca="false">IF($BD349&lt;&gt;Constants!$B$6,"",IF($AB349,Constants!$B$17*$AD349,Constants!$B$18))</f>
        <v/>
      </c>
      <c r="AO349" s="130" t="str">
        <f aca="false">IF($BD349&lt;&gt;Constants!$B$6,"",Constants!$B$19*IF($AB349,$AC349,0))</f>
        <v/>
      </c>
      <c r="AP349" s="130" t="str">
        <f aca="false">IF($BD349&lt;&gt;Constants!$B$6,"",IF(AND($AB349,ISNUMBER($AE349)),Constants!$B$20*(Constants!$B$21-$AE349),0))</f>
        <v/>
      </c>
      <c r="AQ349" s="130" t="str">
        <f aca="false">IF($BD349&lt;&gt;Constants!$B$6,"",IF($AA349,0,Constants!$B$12)+IF($Z349,0,Constants!$B$13)+IF($Y349,0,Constants!$B$14))</f>
        <v/>
      </c>
      <c r="AR349" s="131" t="str">
        <f aca="false">IF($BD349&lt;&gt;Constants!$B$6,"",Constants!$B$16+SUM($AN349:$AQ349))</f>
        <v/>
      </c>
      <c r="AS349" s="130" t="str">
        <f aca="false">IF($BD349&lt;&gt;Constants!$B$6,"",IF($AB349,$AD349,""))</f>
        <v/>
      </c>
      <c r="AT349" s="132" t="str">
        <f aca="false">IF($BD349&lt;&gt;Constants!$B$6,"",$AO349)</f>
        <v/>
      </c>
      <c r="AU349" s="127" t="str">
        <f aca="false">IF($BD349&lt;&gt;Constants!$B$6,"",IF(OR($BA349&lt;$AR349,AND($BA349=$AR349,OR(AND(ISNUMBER($BB349),OR(NOT(ISNUMBER($AS349)),$BB349&lt;$AS349)),AND(OR(AND($BB349="",$AS349=""),AND(ISNUMBER($BB349),ISNUMBER($AS349),$BB349=$AS349)),$BC349&lt;$AT349)))),"-&gt;","&lt;-"))</f>
        <v/>
      </c>
      <c r="AV349" s="126" t="str">
        <f aca="false">IF(ISBLANK($C349),"",AND($AH349,OR($AI349="",$AJ349="",AND(NOT(ISBLANK($S349)),$AK349=""))))</f>
        <v/>
      </c>
      <c r="AW349" s="129" t="str">
        <f aca="false">IF($BD349&lt;&gt;Constants!$B$6,"",IF($AH349,Constants!$B$17*$AJ349,Constants!$B$18))</f>
        <v/>
      </c>
      <c r="AX349" s="130" t="str">
        <f aca="false">IF($BD349&lt;&gt;Constants!$B$6,"",Constants!$B$19*IF($AH349,$AI349,0))</f>
        <v/>
      </c>
      <c r="AY349" s="130" t="str">
        <f aca="false">IF($BD349&lt;&gt;Constants!$B$6,"",IF(AND($AH349,ISNUMBER($AK349)),Constants!$B$20*(Constants!$B$21-$AK349),0))</f>
        <v/>
      </c>
      <c r="AZ349" s="130" t="str">
        <f aca="false">IF($BD349&lt;&gt;Constants!$B$6,"",IF($AG349,0,Constants!$B$12)+IF($AF349,0,Constants!$B$13)+IF($Y349,0,Constants!$B$14))</f>
        <v/>
      </c>
      <c r="BA349" s="131" t="str">
        <f aca="false">IF($BD349&lt;&gt;Constants!$B$6,"",Constants!$B$16+SUM($AW349:$AZ349))</f>
        <v/>
      </c>
      <c r="BB349" s="130" t="str">
        <f aca="false">IF($BD349&lt;&gt;Constants!$B$6,"",IF($AH349,$AJ349,""))</f>
        <v/>
      </c>
      <c r="BC349" s="132" t="str">
        <f aca="false">IF($BD349&lt;&gt;Constants!$B$6,"",$AX349)</f>
        <v/>
      </c>
      <c r="BD349" s="127" t="str">
        <f aca="false">IF(ISBLANK($C349),"",IF($AL349,Constants!$B$9,IF(COUNTA($E349:$T349)=0,Constants!$B$8,IF(NOT($X349),Constants!$B$7,IF(OR($AM349,$AV349),Constants!$B$10,Constants!$B$6)))))</f>
        <v/>
      </c>
      <c r="BE349" s="127" t="str">
        <f aca="false">IF(ISBLANK($C349),"",IF($BD349&lt;&gt;Constants!$B$6,$BD349,Constants!$B$11))</f>
        <v/>
      </c>
      <c r="BF349" s="130" t="str">
        <f aca="false">IF($BD349&lt;&gt;Constants!$B$6,"",IF($AU349="-&gt;",$BA349,$AR349))</f>
        <v/>
      </c>
      <c r="BG349" s="130" t="str">
        <f aca="false">IF($BD349&lt;&gt;Constants!$B$6,"",IF($W349,0,Constants!$B$15))</f>
        <v/>
      </c>
      <c r="BH349" s="130" t="str">
        <f aca="false">IF(ISBLANK($C349),"",IF($BD349&lt;&gt;Constants!$B$6,$BD349,SUM($BF349:$BG349)))</f>
        <v/>
      </c>
      <c r="BI349" s="127" t="str">
        <f aca="false">IF(ISBLANK($C349),"",IF($BD349&lt;&gt;Constants!$B$6,$BD349,RANK($BH349,$BH$9:$BH$508,1)))</f>
        <v/>
      </c>
      <c r="BJ349" s="130" t="str">
        <f aca="false">IF($BD349&lt;&gt;Constants!$B$6,"",IF($AU349="-&gt;",$BB349,$AS349))</f>
        <v/>
      </c>
      <c r="BK349" s="127" t="str">
        <f aca="false">IF(ISBLANK($C349),"",IF($BD349&lt;&gt;Constants!$B$6,$BD349,IF(ISNUMBER($BJ349),RANK($BJ349,$BJ$9:$BJ$508,1),COUNT($BJ$9:$BJ$508)+1)))</f>
        <v/>
      </c>
      <c r="BL349" s="130" t="str">
        <f aca="false">IF($BD349&lt;&gt;Constants!$B$6,"",IF($AU349="-&gt;",$BC349,$AT349))</f>
        <v/>
      </c>
      <c r="BM349" s="127" t="str">
        <f aca="false">IF(ISBLANK($C349),"",IF($BD349&lt;&gt;Constants!$B$6,$BD349,IF(ISNUMBER($BL349),RANK($BL349,$BL$9:$BL$508,1),COUNT($BL$9:$BL$508)+1)))</f>
        <v/>
      </c>
      <c r="BN349" s="130" t="str">
        <f aca="false">IF($BD349&lt;&gt;Constants!$B$6,"",IF($AU349="-&gt;",$AS349,$BB349))</f>
        <v/>
      </c>
      <c r="BO349" s="127" t="str">
        <f aca="false">IF(ISBLANK($C349),"",IF($BD349&lt;&gt;Constants!$B$6,$BD349,IF(ISNUMBER($BN349),RANK($BN349,$BN$9:$BN$508,1),COUNT($BN$9:$BN$508)+1)))</f>
        <v/>
      </c>
      <c r="BP349" s="130" t="str">
        <f aca="false">IF($BD349&lt;&gt;Constants!$B$6,"",IF($AU349="-&gt;",$AT349,$BC349))</f>
        <v/>
      </c>
      <c r="BQ349" s="127" t="str">
        <f aca="false">IF(ISBLANK($C349),"",IF($BD349&lt;&gt;Constants!$B$6,$BD349,IF(ISNUMBER($BP349),RANK($BP349,$BP$9:$BP$508,1),COUNT($BP$9:$BP$508)+1)))</f>
        <v/>
      </c>
      <c r="BR349" s="127" t="str">
        <f aca="false">IF(ISBLANK($C349),"",IF($BD349&lt;&gt;Constants!$B$6,$BD349,COUNTIFS($BI$9:$BI$508,"&lt;"&amp;$BI349)+COUNTIFS($BI$9:$BI$508,$BI349,$BK$9:$BK$508,"&lt;"&amp;$BK349)+COUNTIFS($BI$9:$BI$508,$BI349,$BK$9:$BK$508,$BK349,$BM$9:$BM$508,"&lt;"&amp;$BM349)+COUNTIFS($BI$9:$BI$508,$BI349,$BK$9:$BK$508,$BK349,$BM$9:$BM$508,$BM349,$BO$9:$BO$508,"&lt;"&amp;$BO349)+COUNTIFS($BI$9:$BI$508,$BI349,$BK$9:$BK$508,$BK349,$BM$9:$BM$508,$BM349,$BO$9:$BO$508,$BO349,$BQ$9:$BQ$508,"&lt;"&amp;$BQ349)+1))</f>
        <v/>
      </c>
      <c r="BS349" s="127" t="str">
        <f aca="false">IF(ISBLANK($C349),"",IF($BD349&lt;&gt;Constants!$B$6,$BD349,$BI349-$BR349))</f>
        <v/>
      </c>
      <c r="BT349" s="133"/>
      <c r="BU349" s="134"/>
      <c r="BV349" s="134" t="str">
        <f aca="false">IF(ISBLANK($C349),"",IF($BD349&lt;&gt;Constants!$B$6,"",IF($AU349="-&gt;",2,1)))</f>
        <v/>
      </c>
      <c r="BW349" s="135" t="str">
        <f aca="false">IF(ISBLANK($C349),"",IF($BD349&lt;&gt;Constants!$B$6,"",IF($AU349="-&gt;",$AW349,$AN349)))</f>
        <v/>
      </c>
      <c r="BX349" s="135" t="str">
        <f aca="false">IF(ISBLANK($C349),"",IF($BD349&lt;&gt;Constants!$B$6,"",IF($AU349="-&gt;",$AX349,$AO349)))</f>
        <v/>
      </c>
      <c r="BY349" s="135" t="str">
        <f aca="false">IF(ISBLANK($C349),"",IF($BD349&lt;&gt;Constants!$B$6,"",IF($AU349="-&gt;",$AY349,$AP349)))</f>
        <v/>
      </c>
      <c r="BZ349" s="135" t="str">
        <f aca="false">IF(ISBLANK($C349),"",IF($BD349&lt;&gt;Constants!$B$6,"",IF($AU349="-&gt;",$AZ349,$AQ349)+$BG349))</f>
        <v/>
      </c>
      <c r="CA349" s="136" t="str">
        <f aca="false">IF(ISBLANK($C349),"",IF($BD349&lt;&gt;Constants!$B$6,$BD349,$BH349))</f>
        <v/>
      </c>
      <c r="CB349" s="137" t="str">
        <f aca="false">IF(ISBLANK($C349),"",$BE349)</f>
        <v/>
      </c>
      <c r="CC349" s="138" t="str">
        <f aca="false">IF(ISBLANK($C349),"",$BS349)</f>
        <v/>
      </c>
      <c r="CD349" s="138" t="str">
        <f aca="false">IF(ISBLANK($C349),"",$BR349)</f>
        <v/>
      </c>
      <c r="CE349" s="139" t="str">
        <f aca="false">IF(ISBLANK($C349),"",IF($CD349=Constants!$B$9,COUNTA($C$9:$C$508)+2,IF($CD349=Constants!$B$8,COUNTA($C$9:$C$508)+1,IF($CD349=Constants!$B$7,COUNTA($C$9:$C$508),$CD349))))</f>
        <v/>
      </c>
      <c r="CF349" s="9"/>
      <c r="CG349" s="140" t="n">
        <f aca="false">IF(OR(ISNUMBER($CD349),$CD349=Constants!$B$9,$CD349=Constants!$B$7,$CD349=Constants!$B$8),1,0)</f>
        <v>0</v>
      </c>
      <c r="CH349" s="140" t="n">
        <v>341</v>
      </c>
      <c r="CI349" s="140" t="str">
        <f aca="false">IF(ISBLANK($C349),"",IF(ISNUMBER($CE349),$CE349+ROW($B349)/1000,""))</f>
        <v/>
      </c>
      <c r="CJ349" s="140" t="str">
        <f aca="false">IF(ISNUMBER($CI349),RANK($CI349,$CI$9:$CI$508,1),"")</f>
        <v/>
      </c>
      <c r="CK349" s="140" t="str">
        <f aca="false">IF(ISBLANK($C349),"",$B349)</f>
        <v/>
      </c>
      <c r="CL349" s="140" t="str">
        <f aca="false">IF(ISBLANK($C349),"",$C349)</f>
        <v/>
      </c>
      <c r="CM349" s="140" t="str">
        <f aca="false">IF(ISBLANK($C349),"",$D349)</f>
        <v/>
      </c>
      <c r="CN349" s="141" t="str">
        <f aca="false">$CB349</f>
        <v/>
      </c>
      <c r="CO349" s="142" t="str">
        <f aca="false">$CA349</f>
        <v/>
      </c>
      <c r="CP349" s="140" t="str">
        <f aca="false">IF(ISBLANK($C349),"",$CD349)</f>
        <v/>
      </c>
      <c r="CQ349" s="143" t="str">
        <f aca="false">IF($CH349&gt;$CG$8,"",VLOOKUP($CH349,$CJ$9:$CP$508,7,FALSE()))</f>
        <v/>
      </c>
      <c r="CR349" s="144" t="str">
        <f aca="false">IF($CH349&gt;$CG$8,"",VLOOKUP($CH349,$CJ$9:$CP$508,2,FALSE()))</f>
        <v/>
      </c>
      <c r="CS349" s="144" t="str">
        <f aca="false">IF($CH349&gt;$CG$8,"",VLOOKUP($CH349,$CJ$9:$CP$508,3,FALSE()))</f>
        <v/>
      </c>
      <c r="CT349" s="144" t="str">
        <f aca="false">IF($CH349&gt;$CG$8,"",VLOOKUP($CH349,$CJ$9:$CP$508,4,FALSE()))</f>
        <v/>
      </c>
      <c r="CU349" s="144" t="str">
        <f aca="false">IF($CH349&gt;$CG$8,"",VLOOKUP($CH349,$CJ$9:$CP$508,5,FALSE()))</f>
        <v/>
      </c>
      <c r="CV349" s="145" t="str">
        <f aca="false">IF($CH349&gt;$CG$8,"",VLOOKUP($CH349,$CJ$9:$CP$508,6,FALSE()))</f>
        <v/>
      </c>
      <c r="CW349" s="71"/>
    </row>
    <row r="350" customFormat="false" ht="15.75" hidden="false" customHeight="false" outlineLevel="0" collapsed="false">
      <c r="A350" s="9"/>
      <c r="B350" s="150"/>
      <c r="C350" s="151"/>
      <c r="D350" s="152"/>
      <c r="E350" s="170"/>
      <c r="F350" s="154"/>
      <c r="G350" s="155"/>
      <c r="H350" s="171"/>
      <c r="I350" s="159"/>
      <c r="J350" s="120"/>
      <c r="K350" s="121"/>
      <c r="L350" s="122"/>
      <c r="M350" s="158"/>
      <c r="N350" s="159"/>
      <c r="O350" s="159"/>
      <c r="P350" s="120"/>
      <c r="Q350" s="122"/>
      <c r="R350" s="122"/>
      <c r="S350" s="158"/>
      <c r="T350" s="159"/>
      <c r="U350" s="126"/>
      <c r="V350" s="127"/>
      <c r="W350" s="127" t="str">
        <f aca="false">IF(ISBLANK($C350),"",IF(E350=Constants!$B$2,TRUE(),IF(E350=Constants!$B$3,FALSE(),TRUE())))</f>
        <v/>
      </c>
      <c r="X350" s="127" t="str">
        <f aca="false">IF(ISBLANK($C350),"",IF(F350=Constants!$B$2,TRUE(),IF(F350=Constants!$B$3,FALSE(),TRUE())))</f>
        <v/>
      </c>
      <c r="Y350" s="127" t="str">
        <f aca="false">IF(ISBLANK($C350),"",IF(G350=Constants!$B$2,TRUE(),IF(G350=Constants!$B$3,FALSE(),TRUE())))</f>
        <v/>
      </c>
      <c r="Z350" s="127" t="str">
        <f aca="false">IF(ISBLANK($C350),"",IF(H350=Constants!$B$2,TRUE(),IF(H350=Constants!$B$3,FALSE(),TRUE())))</f>
        <v/>
      </c>
      <c r="AA350" s="127" t="str">
        <f aca="false">IF(ISBLANK($C350),"",IF(I350=Constants!$B$2,TRUE(),IF(I350=Constants!$B$3,FALSE(),TRUE())))</f>
        <v/>
      </c>
      <c r="AB350" s="127" t="str">
        <f aca="false">IF(ISBLANK($C350),"",IF(J350=Constants!$B$4,TRUE(),IF(J350=Constants!$B$5,FALSE(),COUNTA(K350:M350)&gt;0)))</f>
        <v/>
      </c>
      <c r="AC350" s="128" t="str">
        <f aca="false">IF(ISBLANK($C350),"",IF(ISNUMBER(K350),IF(K350&gt;=0,K350,""),""))</f>
        <v/>
      </c>
      <c r="AD350" s="129" t="str">
        <f aca="false">IF(ISBLANK($C350),"",IF(ISNUMBER(L350),IF(L350&gt;=0,L350,""),""))</f>
        <v/>
      </c>
      <c r="AE350" s="127" t="str">
        <f aca="false">IF(ISBLANK($C350),"",IF(ISNUMBER(M350),IF(M350&gt;=0,MIN(M350,Constants!$B$22),""),""))</f>
        <v/>
      </c>
      <c r="AF350" s="127" t="str">
        <f aca="false">IF(ISBLANK($C350),"",IF(N350=Constants!$B$2,TRUE(),IF(N350=Constants!$B$3,FALSE(),TRUE())))</f>
        <v/>
      </c>
      <c r="AG350" s="127" t="str">
        <f aca="false">IF(ISBLANK($C350),"",IF(O350=Constants!$B$2,TRUE(),IF(O350=Constants!$B$3,FALSE(),TRUE())))</f>
        <v/>
      </c>
      <c r="AH350" s="127" t="str">
        <f aca="false">IF(ISBLANK($C350),"",IF(P350=Constants!$B$4,TRUE(),IF(P350=Constants!$B$5,FALSE(),COUNTA(Q350:S350)&gt;0)))</f>
        <v/>
      </c>
      <c r="AI350" s="128" t="str">
        <f aca="false">IF(ISBLANK($C350),"",IF(ISNUMBER(Q350),IF(Q350&gt;=0,Q350,""),""))</f>
        <v/>
      </c>
      <c r="AJ350" s="129" t="str">
        <f aca="false">IF(ISBLANK($C350),"",IF(ISNUMBER(R350),IF(R350&gt;=0,R350,""),""))</f>
        <v/>
      </c>
      <c r="AK350" s="127" t="str">
        <f aca="false">IF(ISBLANK($C350),"",IF(ISNUMBER(S350),IF(S350&gt;=0,MIN(S350,Constants!$B$22),""),""))</f>
        <v/>
      </c>
      <c r="AL350" s="127" t="str">
        <f aca="false">IF(ISBLANK($C350),"",IF(T350=Constants!$B$2,TRUE(),IF(T350=Constants!$B$3,FALSE(),FALSE())))</f>
        <v/>
      </c>
      <c r="AM350" s="126" t="str">
        <f aca="false">IF(ISBLANK($C350),"",AND($AB350,OR($AC350="",$AD350="",AND(NOT(ISBLANK($M350)),$AE350=""))))</f>
        <v/>
      </c>
      <c r="AN350" s="129" t="str">
        <f aca="false">IF($BD350&lt;&gt;Constants!$B$6,"",IF($AB350,Constants!$B$17*$AD350,Constants!$B$18))</f>
        <v/>
      </c>
      <c r="AO350" s="130" t="str">
        <f aca="false">IF($BD350&lt;&gt;Constants!$B$6,"",Constants!$B$19*IF($AB350,$AC350,0))</f>
        <v/>
      </c>
      <c r="AP350" s="130" t="str">
        <f aca="false">IF($BD350&lt;&gt;Constants!$B$6,"",IF(AND($AB350,ISNUMBER($AE350)),Constants!$B$20*(Constants!$B$21-$AE350),0))</f>
        <v/>
      </c>
      <c r="AQ350" s="130" t="str">
        <f aca="false">IF($BD350&lt;&gt;Constants!$B$6,"",IF($AA350,0,Constants!$B$12)+IF($Z350,0,Constants!$B$13)+IF($Y350,0,Constants!$B$14))</f>
        <v/>
      </c>
      <c r="AR350" s="131" t="str">
        <f aca="false">IF($BD350&lt;&gt;Constants!$B$6,"",Constants!$B$16+SUM($AN350:$AQ350))</f>
        <v/>
      </c>
      <c r="AS350" s="130" t="str">
        <f aca="false">IF($BD350&lt;&gt;Constants!$B$6,"",IF($AB350,$AD350,""))</f>
        <v/>
      </c>
      <c r="AT350" s="132" t="str">
        <f aca="false">IF($BD350&lt;&gt;Constants!$B$6,"",$AO350)</f>
        <v/>
      </c>
      <c r="AU350" s="127" t="str">
        <f aca="false">IF($BD350&lt;&gt;Constants!$B$6,"",IF(OR($BA350&lt;$AR350,AND($BA350=$AR350,OR(AND(ISNUMBER($BB350),OR(NOT(ISNUMBER($AS350)),$BB350&lt;$AS350)),AND(OR(AND($BB350="",$AS350=""),AND(ISNUMBER($BB350),ISNUMBER($AS350),$BB350=$AS350)),$BC350&lt;$AT350)))),"-&gt;","&lt;-"))</f>
        <v/>
      </c>
      <c r="AV350" s="126" t="str">
        <f aca="false">IF(ISBLANK($C350),"",AND($AH350,OR($AI350="",$AJ350="",AND(NOT(ISBLANK($S350)),$AK350=""))))</f>
        <v/>
      </c>
      <c r="AW350" s="129" t="str">
        <f aca="false">IF($BD350&lt;&gt;Constants!$B$6,"",IF($AH350,Constants!$B$17*$AJ350,Constants!$B$18))</f>
        <v/>
      </c>
      <c r="AX350" s="130" t="str">
        <f aca="false">IF($BD350&lt;&gt;Constants!$B$6,"",Constants!$B$19*IF($AH350,$AI350,0))</f>
        <v/>
      </c>
      <c r="AY350" s="130" t="str">
        <f aca="false">IF($BD350&lt;&gt;Constants!$B$6,"",IF(AND($AH350,ISNUMBER($AK350)),Constants!$B$20*(Constants!$B$21-$AK350),0))</f>
        <v/>
      </c>
      <c r="AZ350" s="130" t="str">
        <f aca="false">IF($BD350&lt;&gt;Constants!$B$6,"",IF($AG350,0,Constants!$B$12)+IF($AF350,0,Constants!$B$13)+IF($Y350,0,Constants!$B$14))</f>
        <v/>
      </c>
      <c r="BA350" s="131" t="str">
        <f aca="false">IF($BD350&lt;&gt;Constants!$B$6,"",Constants!$B$16+SUM($AW350:$AZ350))</f>
        <v/>
      </c>
      <c r="BB350" s="130" t="str">
        <f aca="false">IF($BD350&lt;&gt;Constants!$B$6,"",IF($AH350,$AJ350,""))</f>
        <v/>
      </c>
      <c r="BC350" s="132" t="str">
        <f aca="false">IF($BD350&lt;&gt;Constants!$B$6,"",$AX350)</f>
        <v/>
      </c>
      <c r="BD350" s="127" t="str">
        <f aca="false">IF(ISBLANK($C350),"",IF($AL350,Constants!$B$9,IF(COUNTA($E350:$T350)=0,Constants!$B$8,IF(NOT($X350),Constants!$B$7,IF(OR($AM350,$AV350),Constants!$B$10,Constants!$B$6)))))</f>
        <v/>
      </c>
      <c r="BE350" s="127" t="str">
        <f aca="false">IF(ISBLANK($C350),"",IF($BD350&lt;&gt;Constants!$B$6,$BD350,Constants!$B$11))</f>
        <v/>
      </c>
      <c r="BF350" s="130" t="str">
        <f aca="false">IF($BD350&lt;&gt;Constants!$B$6,"",IF($AU350="-&gt;",$BA350,$AR350))</f>
        <v/>
      </c>
      <c r="BG350" s="130" t="str">
        <f aca="false">IF($BD350&lt;&gt;Constants!$B$6,"",IF($W350,0,Constants!$B$15))</f>
        <v/>
      </c>
      <c r="BH350" s="130" t="str">
        <f aca="false">IF(ISBLANK($C350),"",IF($BD350&lt;&gt;Constants!$B$6,$BD350,SUM($BF350:$BG350)))</f>
        <v/>
      </c>
      <c r="BI350" s="127" t="str">
        <f aca="false">IF(ISBLANK($C350),"",IF($BD350&lt;&gt;Constants!$B$6,$BD350,RANK($BH350,$BH$9:$BH$508,1)))</f>
        <v/>
      </c>
      <c r="BJ350" s="130" t="str">
        <f aca="false">IF($BD350&lt;&gt;Constants!$B$6,"",IF($AU350="-&gt;",$BB350,$AS350))</f>
        <v/>
      </c>
      <c r="BK350" s="127" t="str">
        <f aca="false">IF(ISBLANK($C350),"",IF($BD350&lt;&gt;Constants!$B$6,$BD350,IF(ISNUMBER($BJ350),RANK($BJ350,$BJ$9:$BJ$508,1),COUNT($BJ$9:$BJ$508)+1)))</f>
        <v/>
      </c>
      <c r="BL350" s="130" t="str">
        <f aca="false">IF($BD350&lt;&gt;Constants!$B$6,"",IF($AU350="-&gt;",$BC350,$AT350))</f>
        <v/>
      </c>
      <c r="BM350" s="127" t="str">
        <f aca="false">IF(ISBLANK($C350),"",IF($BD350&lt;&gt;Constants!$B$6,$BD350,IF(ISNUMBER($BL350),RANK($BL350,$BL$9:$BL$508,1),COUNT($BL$9:$BL$508)+1)))</f>
        <v/>
      </c>
      <c r="BN350" s="130" t="str">
        <f aca="false">IF($BD350&lt;&gt;Constants!$B$6,"",IF($AU350="-&gt;",$AS350,$BB350))</f>
        <v/>
      </c>
      <c r="BO350" s="127" t="str">
        <f aca="false">IF(ISBLANK($C350),"",IF($BD350&lt;&gt;Constants!$B$6,$BD350,IF(ISNUMBER($BN350),RANK($BN350,$BN$9:$BN$508,1),COUNT($BN$9:$BN$508)+1)))</f>
        <v/>
      </c>
      <c r="BP350" s="130" t="str">
        <f aca="false">IF($BD350&lt;&gt;Constants!$B$6,"",IF($AU350="-&gt;",$AT350,$BC350))</f>
        <v/>
      </c>
      <c r="BQ350" s="127" t="str">
        <f aca="false">IF(ISBLANK($C350),"",IF($BD350&lt;&gt;Constants!$B$6,$BD350,IF(ISNUMBER($BP350),RANK($BP350,$BP$9:$BP$508,1),COUNT($BP$9:$BP$508)+1)))</f>
        <v/>
      </c>
      <c r="BR350" s="127" t="str">
        <f aca="false">IF(ISBLANK($C350),"",IF($BD350&lt;&gt;Constants!$B$6,$BD350,COUNTIFS($BI$9:$BI$508,"&lt;"&amp;$BI350)+COUNTIFS($BI$9:$BI$508,$BI350,$BK$9:$BK$508,"&lt;"&amp;$BK350)+COUNTIFS($BI$9:$BI$508,$BI350,$BK$9:$BK$508,$BK350,$BM$9:$BM$508,"&lt;"&amp;$BM350)+COUNTIFS($BI$9:$BI$508,$BI350,$BK$9:$BK$508,$BK350,$BM$9:$BM$508,$BM350,$BO$9:$BO$508,"&lt;"&amp;$BO350)+COUNTIFS($BI$9:$BI$508,$BI350,$BK$9:$BK$508,$BK350,$BM$9:$BM$508,$BM350,$BO$9:$BO$508,$BO350,$BQ$9:$BQ$508,"&lt;"&amp;$BQ350)+1))</f>
        <v/>
      </c>
      <c r="BS350" s="127" t="str">
        <f aca="false">IF(ISBLANK($C350),"",IF($BD350&lt;&gt;Constants!$B$6,$BD350,$BI350-$BR350))</f>
        <v/>
      </c>
      <c r="BT350" s="133"/>
      <c r="BU350" s="134"/>
      <c r="BV350" s="134" t="str">
        <f aca="false">IF(ISBLANK($C350),"",IF($BD350&lt;&gt;Constants!$B$6,"",IF($AU350="-&gt;",2,1)))</f>
        <v/>
      </c>
      <c r="BW350" s="135" t="str">
        <f aca="false">IF(ISBLANK($C350),"",IF($BD350&lt;&gt;Constants!$B$6,"",IF($AU350="-&gt;",$AW350,$AN350)))</f>
        <v/>
      </c>
      <c r="BX350" s="135" t="str">
        <f aca="false">IF(ISBLANK($C350),"",IF($BD350&lt;&gt;Constants!$B$6,"",IF($AU350="-&gt;",$AX350,$AO350)))</f>
        <v/>
      </c>
      <c r="BY350" s="135" t="str">
        <f aca="false">IF(ISBLANK($C350),"",IF($BD350&lt;&gt;Constants!$B$6,"",IF($AU350="-&gt;",$AY350,$AP350)))</f>
        <v/>
      </c>
      <c r="BZ350" s="135" t="str">
        <f aca="false">IF(ISBLANK($C350),"",IF($BD350&lt;&gt;Constants!$B$6,"",IF($AU350="-&gt;",$AZ350,$AQ350)+$BG350))</f>
        <v/>
      </c>
      <c r="CA350" s="136" t="str">
        <f aca="false">IF(ISBLANK($C350),"",IF($BD350&lt;&gt;Constants!$B$6,$BD350,$BH350))</f>
        <v/>
      </c>
      <c r="CB350" s="137" t="str">
        <f aca="false">IF(ISBLANK($C350),"",$BE350)</f>
        <v/>
      </c>
      <c r="CC350" s="138" t="str">
        <f aca="false">IF(ISBLANK($C350),"",$BS350)</f>
        <v/>
      </c>
      <c r="CD350" s="138" t="str">
        <f aca="false">IF(ISBLANK($C350),"",$BR350)</f>
        <v/>
      </c>
      <c r="CE350" s="139" t="str">
        <f aca="false">IF(ISBLANK($C350),"",IF($CD350=Constants!$B$9,COUNTA($C$9:$C$508)+2,IF($CD350=Constants!$B$8,COUNTA($C$9:$C$508)+1,IF($CD350=Constants!$B$7,COUNTA($C$9:$C$508),$CD350))))</f>
        <v/>
      </c>
      <c r="CF350" s="9"/>
      <c r="CG350" s="140" t="n">
        <f aca="false">IF(OR(ISNUMBER($CD350),$CD350=Constants!$B$9,$CD350=Constants!$B$7,$CD350=Constants!$B$8),1,0)</f>
        <v>0</v>
      </c>
      <c r="CH350" s="140" t="n">
        <v>342</v>
      </c>
      <c r="CI350" s="140" t="str">
        <f aca="false">IF(ISBLANK($C350),"",IF(ISNUMBER($CE350),$CE350+ROW($B350)/1000,""))</f>
        <v/>
      </c>
      <c r="CJ350" s="140" t="str">
        <f aca="false">IF(ISNUMBER($CI350),RANK($CI350,$CI$9:$CI$508,1),"")</f>
        <v/>
      </c>
      <c r="CK350" s="140" t="str">
        <f aca="false">IF(ISBLANK($C350),"",$B350)</f>
        <v/>
      </c>
      <c r="CL350" s="140" t="str">
        <f aca="false">IF(ISBLANK($C350),"",$C350)</f>
        <v/>
      </c>
      <c r="CM350" s="140" t="str">
        <f aca="false">IF(ISBLANK($C350),"",$D350)</f>
        <v/>
      </c>
      <c r="CN350" s="141" t="str">
        <f aca="false">$CB350</f>
        <v/>
      </c>
      <c r="CO350" s="142" t="str">
        <f aca="false">$CA350</f>
        <v/>
      </c>
      <c r="CP350" s="140" t="str">
        <f aca="false">IF(ISBLANK($C350),"",$CD350)</f>
        <v/>
      </c>
      <c r="CQ350" s="143" t="str">
        <f aca="false">IF($CH350&gt;$CG$8,"",VLOOKUP($CH350,$CJ$9:$CP$508,7,FALSE()))</f>
        <v/>
      </c>
      <c r="CR350" s="144" t="str">
        <f aca="false">IF($CH350&gt;$CG$8,"",VLOOKUP($CH350,$CJ$9:$CP$508,2,FALSE()))</f>
        <v/>
      </c>
      <c r="CS350" s="144" t="str">
        <f aca="false">IF($CH350&gt;$CG$8,"",VLOOKUP($CH350,$CJ$9:$CP$508,3,FALSE()))</f>
        <v/>
      </c>
      <c r="CT350" s="144" t="str">
        <f aca="false">IF($CH350&gt;$CG$8,"",VLOOKUP($CH350,$CJ$9:$CP$508,4,FALSE()))</f>
        <v/>
      </c>
      <c r="CU350" s="144" t="str">
        <f aca="false">IF($CH350&gt;$CG$8,"",VLOOKUP($CH350,$CJ$9:$CP$508,5,FALSE()))</f>
        <v/>
      </c>
      <c r="CV350" s="145" t="str">
        <f aca="false">IF($CH350&gt;$CG$8,"",VLOOKUP($CH350,$CJ$9:$CP$508,6,FALSE()))</f>
        <v/>
      </c>
      <c r="CW350" s="71"/>
    </row>
    <row r="351" customFormat="false" ht="15.75" hidden="false" customHeight="false" outlineLevel="0" collapsed="false">
      <c r="A351" s="9"/>
      <c r="B351" s="72"/>
      <c r="C351" s="73"/>
      <c r="D351" s="160"/>
      <c r="E351" s="168"/>
      <c r="F351" s="162"/>
      <c r="G351" s="163"/>
      <c r="H351" s="169"/>
      <c r="I351" s="167"/>
      <c r="J351" s="80"/>
      <c r="K351" s="81"/>
      <c r="L351" s="82"/>
      <c r="M351" s="166"/>
      <c r="N351" s="167"/>
      <c r="O351" s="167"/>
      <c r="P351" s="80"/>
      <c r="Q351" s="82"/>
      <c r="R351" s="82"/>
      <c r="S351" s="166"/>
      <c r="T351" s="167"/>
      <c r="U351" s="86"/>
      <c r="V351" s="87"/>
      <c r="W351" s="87" t="str">
        <f aca="false">IF(ISBLANK($C351),"",IF(E351=Constants!$B$2,TRUE(),IF(E351=Constants!$B$3,FALSE(),TRUE())))</f>
        <v/>
      </c>
      <c r="X351" s="87" t="str">
        <f aca="false">IF(ISBLANK($C351),"",IF(F351=Constants!$B$2,TRUE(),IF(F351=Constants!$B$3,FALSE(),TRUE())))</f>
        <v/>
      </c>
      <c r="Y351" s="87" t="str">
        <f aca="false">IF(ISBLANK($C351),"",IF(G351=Constants!$B$2,TRUE(),IF(G351=Constants!$B$3,FALSE(),TRUE())))</f>
        <v/>
      </c>
      <c r="Z351" s="87" t="str">
        <f aca="false">IF(ISBLANK($C351),"",IF(H351=Constants!$B$2,TRUE(),IF(H351=Constants!$B$3,FALSE(),TRUE())))</f>
        <v/>
      </c>
      <c r="AA351" s="87" t="str">
        <f aca="false">IF(ISBLANK($C351),"",IF(I351=Constants!$B$2,TRUE(),IF(I351=Constants!$B$3,FALSE(),TRUE())))</f>
        <v/>
      </c>
      <c r="AB351" s="87" t="str">
        <f aca="false">IF(ISBLANK($C351),"",IF(J351=Constants!$B$4,TRUE(),IF(J351=Constants!$B$5,FALSE(),COUNTA(K351:M351)&gt;0)))</f>
        <v/>
      </c>
      <c r="AC351" s="88" t="str">
        <f aca="false">IF(ISBLANK($C351),"",IF(ISNUMBER(K351),IF(K351&gt;=0,K351,""),""))</f>
        <v/>
      </c>
      <c r="AD351" s="89" t="str">
        <f aca="false">IF(ISBLANK($C351),"",IF(ISNUMBER(L351),IF(L351&gt;=0,L351,""),""))</f>
        <v/>
      </c>
      <c r="AE351" s="87" t="str">
        <f aca="false">IF(ISBLANK($C351),"",IF(ISNUMBER(M351),IF(M351&gt;=0,MIN(M351,Constants!$B$22),""),""))</f>
        <v/>
      </c>
      <c r="AF351" s="87" t="str">
        <f aca="false">IF(ISBLANK($C351),"",IF(N351=Constants!$B$2,TRUE(),IF(N351=Constants!$B$3,FALSE(),TRUE())))</f>
        <v/>
      </c>
      <c r="AG351" s="87" t="str">
        <f aca="false">IF(ISBLANK($C351),"",IF(O351=Constants!$B$2,TRUE(),IF(O351=Constants!$B$3,FALSE(),TRUE())))</f>
        <v/>
      </c>
      <c r="AH351" s="87" t="str">
        <f aca="false">IF(ISBLANK($C351),"",IF(P351=Constants!$B$4,TRUE(),IF(P351=Constants!$B$5,FALSE(),COUNTA(Q351:S351)&gt;0)))</f>
        <v/>
      </c>
      <c r="AI351" s="88" t="str">
        <f aca="false">IF(ISBLANK($C351),"",IF(ISNUMBER(Q351),IF(Q351&gt;=0,Q351,""),""))</f>
        <v/>
      </c>
      <c r="AJ351" s="89" t="str">
        <f aca="false">IF(ISBLANK($C351),"",IF(ISNUMBER(R351),IF(R351&gt;=0,R351,""),""))</f>
        <v/>
      </c>
      <c r="AK351" s="87" t="str">
        <f aca="false">IF(ISBLANK($C351),"",IF(ISNUMBER(S351),IF(S351&gt;=0,MIN(S351,Constants!$B$22),""),""))</f>
        <v/>
      </c>
      <c r="AL351" s="87" t="str">
        <f aca="false">IF(ISBLANK($C351),"",IF(T351=Constants!$B$2,TRUE(),IF(T351=Constants!$B$3,FALSE(),FALSE())))</f>
        <v/>
      </c>
      <c r="AM351" s="86" t="str">
        <f aca="false">IF(ISBLANK($C351),"",AND($AB351,OR($AC351="",$AD351="",AND(NOT(ISBLANK($M351)),$AE351=""))))</f>
        <v/>
      </c>
      <c r="AN351" s="89" t="str">
        <f aca="false">IF($BD351&lt;&gt;Constants!$B$6,"",IF($AB351,Constants!$B$17*$AD351,Constants!$B$18))</f>
        <v/>
      </c>
      <c r="AO351" s="91" t="str">
        <f aca="false">IF($BD351&lt;&gt;Constants!$B$6,"",Constants!$B$19*IF($AB351,$AC351,0))</f>
        <v/>
      </c>
      <c r="AP351" s="91" t="str">
        <f aca="false">IF($BD351&lt;&gt;Constants!$B$6,"",IF(AND($AB351,ISNUMBER($AE351)),Constants!$B$20*(Constants!$B$21-$AE351),0))</f>
        <v/>
      </c>
      <c r="AQ351" s="91" t="str">
        <f aca="false">IF($BD351&lt;&gt;Constants!$B$6,"",IF($AA351,0,Constants!$B$12)+IF($Z351,0,Constants!$B$13)+IF($Y351,0,Constants!$B$14))</f>
        <v/>
      </c>
      <c r="AR351" s="92" t="str">
        <f aca="false">IF($BD351&lt;&gt;Constants!$B$6,"",Constants!$B$16+SUM($AN351:$AQ351))</f>
        <v/>
      </c>
      <c r="AS351" s="91" t="str">
        <f aca="false">IF($BD351&lt;&gt;Constants!$B$6,"",IF($AB351,$AD351,""))</f>
        <v/>
      </c>
      <c r="AT351" s="93" t="str">
        <f aca="false">IF($BD351&lt;&gt;Constants!$B$6,"",$AO351)</f>
        <v/>
      </c>
      <c r="AU351" s="87" t="str">
        <f aca="false">IF($BD351&lt;&gt;Constants!$B$6,"",IF(OR($BA351&lt;$AR351,AND($BA351=$AR351,OR(AND(ISNUMBER($BB351),OR(NOT(ISNUMBER($AS351)),$BB351&lt;$AS351)),AND(OR(AND($BB351="",$AS351=""),AND(ISNUMBER($BB351),ISNUMBER($AS351),$BB351=$AS351)),$BC351&lt;$AT351)))),"-&gt;","&lt;-"))</f>
        <v/>
      </c>
      <c r="AV351" s="86" t="str">
        <f aca="false">IF(ISBLANK($C351),"",AND($AH351,OR($AI351="",$AJ351="",AND(NOT(ISBLANK($S351)),$AK351=""))))</f>
        <v/>
      </c>
      <c r="AW351" s="89" t="str">
        <f aca="false">IF($BD351&lt;&gt;Constants!$B$6,"",IF($AH351,Constants!$B$17*$AJ351,Constants!$B$18))</f>
        <v/>
      </c>
      <c r="AX351" s="91" t="str">
        <f aca="false">IF($BD351&lt;&gt;Constants!$B$6,"",Constants!$B$19*IF($AH351,$AI351,0))</f>
        <v/>
      </c>
      <c r="AY351" s="91" t="str">
        <f aca="false">IF($BD351&lt;&gt;Constants!$B$6,"",IF(AND($AH351,ISNUMBER($AK351)),Constants!$B$20*(Constants!$B$21-$AK351),0))</f>
        <v/>
      </c>
      <c r="AZ351" s="91" t="str">
        <f aca="false">IF($BD351&lt;&gt;Constants!$B$6,"",IF($AG351,0,Constants!$B$12)+IF($AF351,0,Constants!$B$13)+IF($Y351,0,Constants!$B$14))</f>
        <v/>
      </c>
      <c r="BA351" s="92" t="str">
        <f aca="false">IF($BD351&lt;&gt;Constants!$B$6,"",Constants!$B$16+SUM($AW351:$AZ351))</f>
        <v/>
      </c>
      <c r="BB351" s="91" t="str">
        <f aca="false">IF($BD351&lt;&gt;Constants!$B$6,"",IF($AH351,$AJ351,""))</f>
        <v/>
      </c>
      <c r="BC351" s="93" t="str">
        <f aca="false">IF($BD351&lt;&gt;Constants!$B$6,"",$AX351)</f>
        <v/>
      </c>
      <c r="BD351" s="87" t="str">
        <f aca="false">IF(ISBLANK($C351),"",IF($AL351,Constants!$B$9,IF(COUNTA($E351:$T351)=0,Constants!$B$8,IF(NOT($X351),Constants!$B$7,IF(OR($AM351,$AV351),Constants!$B$10,Constants!$B$6)))))</f>
        <v/>
      </c>
      <c r="BE351" s="87" t="str">
        <f aca="false">IF(ISBLANK($C351),"",IF($BD351&lt;&gt;Constants!$B$6,$BD351,Constants!$B$11))</f>
        <v/>
      </c>
      <c r="BF351" s="91" t="str">
        <f aca="false">IF($BD351&lt;&gt;Constants!$B$6,"",IF($AU351="-&gt;",$BA351,$AR351))</f>
        <v/>
      </c>
      <c r="BG351" s="91" t="str">
        <f aca="false">IF($BD351&lt;&gt;Constants!$B$6,"",IF($W351,0,Constants!$B$15))</f>
        <v/>
      </c>
      <c r="BH351" s="91" t="str">
        <f aca="false">IF(ISBLANK($C351),"",IF($BD351&lt;&gt;Constants!$B$6,$BD351,SUM($BF351:$BG351)))</f>
        <v/>
      </c>
      <c r="BI351" s="87" t="str">
        <f aca="false">IF(ISBLANK($C351),"",IF($BD351&lt;&gt;Constants!$B$6,$BD351,RANK($BH351,$BH$9:$BH$508,1)))</f>
        <v/>
      </c>
      <c r="BJ351" s="91" t="str">
        <f aca="false">IF($BD351&lt;&gt;Constants!$B$6,"",IF($AU351="-&gt;",$BB351,$AS351))</f>
        <v/>
      </c>
      <c r="BK351" s="87" t="str">
        <f aca="false">IF(ISBLANK($C351),"",IF($BD351&lt;&gt;Constants!$B$6,$BD351,IF(ISNUMBER($BJ351),RANK($BJ351,$BJ$9:$BJ$508,1),COUNT($BJ$9:$BJ$508)+1)))</f>
        <v/>
      </c>
      <c r="BL351" s="91" t="str">
        <f aca="false">IF($BD351&lt;&gt;Constants!$B$6,"",IF($AU351="-&gt;",$BC351,$AT351))</f>
        <v/>
      </c>
      <c r="BM351" s="87" t="str">
        <f aca="false">IF(ISBLANK($C351),"",IF($BD351&lt;&gt;Constants!$B$6,$BD351,IF(ISNUMBER($BL351),RANK($BL351,$BL$9:$BL$508,1),COUNT($BL$9:$BL$508)+1)))</f>
        <v/>
      </c>
      <c r="BN351" s="91" t="str">
        <f aca="false">IF($BD351&lt;&gt;Constants!$B$6,"",IF($AU351="-&gt;",$AS351,$BB351))</f>
        <v/>
      </c>
      <c r="BO351" s="87" t="str">
        <f aca="false">IF(ISBLANK($C351),"",IF($BD351&lt;&gt;Constants!$B$6,$BD351,IF(ISNUMBER($BN351),RANK($BN351,$BN$9:$BN$508,1),COUNT($BN$9:$BN$508)+1)))</f>
        <v/>
      </c>
      <c r="BP351" s="91" t="str">
        <f aca="false">IF($BD351&lt;&gt;Constants!$B$6,"",IF($AU351="-&gt;",$AT351,$BC351))</f>
        <v/>
      </c>
      <c r="BQ351" s="87" t="str">
        <f aca="false">IF(ISBLANK($C351),"",IF($BD351&lt;&gt;Constants!$B$6,$BD351,IF(ISNUMBER($BP351),RANK($BP351,$BP$9:$BP$508,1),COUNT($BP$9:$BP$508)+1)))</f>
        <v/>
      </c>
      <c r="BR351" s="87" t="str">
        <f aca="false">IF(ISBLANK($C351),"",IF($BD351&lt;&gt;Constants!$B$6,$BD351,COUNTIFS($BI$9:$BI$508,"&lt;"&amp;$BI351)+COUNTIFS($BI$9:$BI$508,$BI351,$BK$9:$BK$508,"&lt;"&amp;$BK351)+COUNTIFS($BI$9:$BI$508,$BI351,$BK$9:$BK$508,$BK351,$BM$9:$BM$508,"&lt;"&amp;$BM351)+COUNTIFS($BI$9:$BI$508,$BI351,$BK$9:$BK$508,$BK351,$BM$9:$BM$508,$BM351,$BO$9:$BO$508,"&lt;"&amp;$BO351)+COUNTIFS($BI$9:$BI$508,$BI351,$BK$9:$BK$508,$BK351,$BM$9:$BM$508,$BM351,$BO$9:$BO$508,$BO351,$BQ$9:$BQ$508,"&lt;"&amp;$BQ351)+1))</f>
        <v/>
      </c>
      <c r="BS351" s="87" t="str">
        <f aca="false">IF(ISBLANK($C351),"",IF($BD351&lt;&gt;Constants!$B$6,$BD351,$BI351-$BR351))</f>
        <v/>
      </c>
      <c r="BT351" s="94"/>
      <c r="BU351" s="95"/>
      <c r="BV351" s="95" t="str">
        <f aca="false">IF(ISBLANK($C351),"",IF($BD351&lt;&gt;Constants!$B$6,"",IF($AU351="-&gt;",2,1)))</f>
        <v/>
      </c>
      <c r="BW351" s="96" t="str">
        <f aca="false">IF(ISBLANK($C351),"",IF($BD351&lt;&gt;Constants!$B$6,"",IF($AU351="-&gt;",$AW351,$AN351)))</f>
        <v/>
      </c>
      <c r="BX351" s="96" t="str">
        <f aca="false">IF(ISBLANK($C351),"",IF($BD351&lt;&gt;Constants!$B$6,"",IF($AU351="-&gt;",$AX351,$AO351)))</f>
        <v/>
      </c>
      <c r="BY351" s="96" t="str">
        <f aca="false">IF(ISBLANK($C351),"",IF($BD351&lt;&gt;Constants!$B$6,"",IF($AU351="-&gt;",$AY351,$AP351)))</f>
        <v/>
      </c>
      <c r="BZ351" s="96" t="str">
        <f aca="false">IF(ISBLANK($C351),"",IF($BD351&lt;&gt;Constants!$B$6,"",IF($AU351="-&gt;",$AZ351,$AQ351)+$BG351))</f>
        <v/>
      </c>
      <c r="CA351" s="97" t="str">
        <f aca="false">IF(ISBLANK($C351),"",IF($BD351&lt;&gt;Constants!$B$6,$BD351,$BH351))</f>
        <v/>
      </c>
      <c r="CB351" s="98" t="str">
        <f aca="false">IF(ISBLANK($C351),"",$BE351)</f>
        <v/>
      </c>
      <c r="CC351" s="99" t="str">
        <f aca="false">IF(ISBLANK($C351),"",$BS351)</f>
        <v/>
      </c>
      <c r="CD351" s="99" t="str">
        <f aca="false">IF(ISBLANK($C351),"",$BR351)</f>
        <v/>
      </c>
      <c r="CE351" s="100" t="str">
        <f aca="false">IF(ISBLANK($C351),"",IF($CD351=Constants!$B$9,COUNTA($C$9:$C$508)+2,IF($CD351=Constants!$B$8,COUNTA($C$9:$C$508)+1,IF($CD351=Constants!$B$7,COUNTA($C$9:$C$508),$CD351))))</f>
        <v/>
      </c>
      <c r="CF351" s="9"/>
      <c r="CG351" s="101" t="n">
        <f aca="false">IF(OR(ISNUMBER($CD351),$CD351=Constants!$B$9,$CD351=Constants!$B$7,$CD351=Constants!$B$8),1,0)</f>
        <v>0</v>
      </c>
      <c r="CH351" s="101" t="n">
        <v>343</v>
      </c>
      <c r="CI351" s="101" t="str">
        <f aca="false">IF(ISBLANK($C351),"",IF(ISNUMBER($CE351),$CE351+ROW($B351)/1000,""))</f>
        <v/>
      </c>
      <c r="CJ351" s="101" t="str">
        <f aca="false">IF(ISNUMBER($CI351),RANK($CI351,$CI$9:$CI$508,1),"")</f>
        <v/>
      </c>
      <c r="CK351" s="101" t="str">
        <f aca="false">IF(ISBLANK($C351),"",$B351)</f>
        <v/>
      </c>
      <c r="CL351" s="101" t="str">
        <f aca="false">IF(ISBLANK($C351),"",$C351)</f>
        <v/>
      </c>
      <c r="CM351" s="101" t="str">
        <f aca="false">IF(ISBLANK($C351),"",$D351)</f>
        <v/>
      </c>
      <c r="CN351" s="102" t="str">
        <f aca="false">$CB351</f>
        <v/>
      </c>
      <c r="CO351" s="103" t="str">
        <f aca="false">$CA351</f>
        <v/>
      </c>
      <c r="CP351" s="101" t="str">
        <f aca="false">IF(ISBLANK($C351),"",$CD351)</f>
        <v/>
      </c>
      <c r="CQ351" s="104" t="str">
        <f aca="false">IF($CH351&gt;$CG$8,"",VLOOKUP($CH351,$CJ$9:$CP$508,7,FALSE()))</f>
        <v/>
      </c>
      <c r="CR351" s="105" t="str">
        <f aca="false">IF($CH351&gt;$CG$8,"",VLOOKUP($CH351,$CJ$9:$CP$508,2,FALSE()))</f>
        <v/>
      </c>
      <c r="CS351" s="105" t="str">
        <f aca="false">IF($CH351&gt;$CG$8,"",VLOOKUP($CH351,$CJ$9:$CP$508,3,FALSE()))</f>
        <v/>
      </c>
      <c r="CT351" s="105" t="str">
        <f aca="false">IF($CH351&gt;$CG$8,"",VLOOKUP($CH351,$CJ$9:$CP$508,4,FALSE()))</f>
        <v/>
      </c>
      <c r="CU351" s="105" t="str">
        <f aca="false">IF($CH351&gt;$CG$8,"",VLOOKUP($CH351,$CJ$9:$CP$508,5,FALSE()))</f>
        <v/>
      </c>
      <c r="CV351" s="106" t="str">
        <f aca="false">IF($CH351&gt;$CG$8,"",VLOOKUP($CH351,$CJ$9:$CP$508,6,FALSE()))</f>
        <v/>
      </c>
      <c r="CW351" s="71"/>
    </row>
    <row r="352" customFormat="false" ht="15.75" hidden="false" customHeight="false" outlineLevel="0" collapsed="false">
      <c r="A352" s="9"/>
      <c r="B352" s="72"/>
      <c r="C352" s="73"/>
      <c r="D352" s="160"/>
      <c r="E352" s="168"/>
      <c r="F352" s="162"/>
      <c r="G352" s="163"/>
      <c r="H352" s="169"/>
      <c r="I352" s="167"/>
      <c r="J352" s="80"/>
      <c r="K352" s="81"/>
      <c r="L352" s="82"/>
      <c r="M352" s="166"/>
      <c r="N352" s="167"/>
      <c r="O352" s="167"/>
      <c r="P352" s="80"/>
      <c r="Q352" s="82"/>
      <c r="R352" s="82"/>
      <c r="S352" s="166"/>
      <c r="T352" s="167"/>
      <c r="U352" s="86"/>
      <c r="V352" s="87"/>
      <c r="W352" s="87" t="str">
        <f aca="false">IF(ISBLANK($C352),"",IF(E352=Constants!$B$2,TRUE(),IF(E352=Constants!$B$3,FALSE(),TRUE())))</f>
        <v/>
      </c>
      <c r="X352" s="87" t="str">
        <f aca="false">IF(ISBLANK($C352),"",IF(F352=Constants!$B$2,TRUE(),IF(F352=Constants!$B$3,FALSE(),TRUE())))</f>
        <v/>
      </c>
      <c r="Y352" s="87" t="str">
        <f aca="false">IF(ISBLANK($C352),"",IF(G352=Constants!$B$2,TRUE(),IF(G352=Constants!$B$3,FALSE(),TRUE())))</f>
        <v/>
      </c>
      <c r="Z352" s="87" t="str">
        <f aca="false">IF(ISBLANK($C352),"",IF(H352=Constants!$B$2,TRUE(),IF(H352=Constants!$B$3,FALSE(),TRUE())))</f>
        <v/>
      </c>
      <c r="AA352" s="87" t="str">
        <f aca="false">IF(ISBLANK($C352),"",IF(I352=Constants!$B$2,TRUE(),IF(I352=Constants!$B$3,FALSE(),TRUE())))</f>
        <v/>
      </c>
      <c r="AB352" s="87" t="str">
        <f aca="false">IF(ISBLANK($C352),"",IF(J352=Constants!$B$4,TRUE(),IF(J352=Constants!$B$5,FALSE(),COUNTA(K352:M352)&gt;0)))</f>
        <v/>
      </c>
      <c r="AC352" s="88" t="str">
        <f aca="false">IF(ISBLANK($C352),"",IF(ISNUMBER(K352),IF(K352&gt;=0,K352,""),""))</f>
        <v/>
      </c>
      <c r="AD352" s="89" t="str">
        <f aca="false">IF(ISBLANK($C352),"",IF(ISNUMBER(L352),IF(L352&gt;=0,L352,""),""))</f>
        <v/>
      </c>
      <c r="AE352" s="87" t="str">
        <f aca="false">IF(ISBLANK($C352),"",IF(ISNUMBER(M352),IF(M352&gt;=0,MIN(M352,Constants!$B$22),""),""))</f>
        <v/>
      </c>
      <c r="AF352" s="87" t="str">
        <f aca="false">IF(ISBLANK($C352),"",IF(N352=Constants!$B$2,TRUE(),IF(N352=Constants!$B$3,FALSE(),TRUE())))</f>
        <v/>
      </c>
      <c r="AG352" s="87" t="str">
        <f aca="false">IF(ISBLANK($C352),"",IF(O352=Constants!$B$2,TRUE(),IF(O352=Constants!$B$3,FALSE(),TRUE())))</f>
        <v/>
      </c>
      <c r="AH352" s="87" t="str">
        <f aca="false">IF(ISBLANK($C352),"",IF(P352=Constants!$B$4,TRUE(),IF(P352=Constants!$B$5,FALSE(),COUNTA(Q352:S352)&gt;0)))</f>
        <v/>
      </c>
      <c r="AI352" s="88" t="str">
        <f aca="false">IF(ISBLANK($C352),"",IF(ISNUMBER(Q352),IF(Q352&gt;=0,Q352,""),""))</f>
        <v/>
      </c>
      <c r="AJ352" s="89" t="str">
        <f aca="false">IF(ISBLANK($C352),"",IF(ISNUMBER(R352),IF(R352&gt;=0,R352,""),""))</f>
        <v/>
      </c>
      <c r="AK352" s="87" t="str">
        <f aca="false">IF(ISBLANK($C352),"",IF(ISNUMBER(S352),IF(S352&gt;=0,MIN(S352,Constants!$B$22),""),""))</f>
        <v/>
      </c>
      <c r="AL352" s="87" t="str">
        <f aca="false">IF(ISBLANK($C352),"",IF(T352=Constants!$B$2,TRUE(),IF(T352=Constants!$B$3,FALSE(),FALSE())))</f>
        <v/>
      </c>
      <c r="AM352" s="86" t="str">
        <f aca="false">IF(ISBLANK($C352),"",AND($AB352,OR($AC352="",$AD352="",AND(NOT(ISBLANK($M352)),$AE352=""))))</f>
        <v/>
      </c>
      <c r="AN352" s="89" t="str">
        <f aca="false">IF($BD352&lt;&gt;Constants!$B$6,"",IF($AB352,Constants!$B$17*$AD352,Constants!$B$18))</f>
        <v/>
      </c>
      <c r="AO352" s="91" t="str">
        <f aca="false">IF($BD352&lt;&gt;Constants!$B$6,"",Constants!$B$19*IF($AB352,$AC352,0))</f>
        <v/>
      </c>
      <c r="AP352" s="91" t="str">
        <f aca="false">IF($BD352&lt;&gt;Constants!$B$6,"",IF(AND($AB352,ISNUMBER($AE352)),Constants!$B$20*(Constants!$B$21-$AE352),0))</f>
        <v/>
      </c>
      <c r="AQ352" s="91" t="str">
        <f aca="false">IF($BD352&lt;&gt;Constants!$B$6,"",IF($AA352,0,Constants!$B$12)+IF($Z352,0,Constants!$B$13)+IF($Y352,0,Constants!$B$14))</f>
        <v/>
      </c>
      <c r="AR352" s="92" t="str">
        <f aca="false">IF($BD352&lt;&gt;Constants!$B$6,"",Constants!$B$16+SUM($AN352:$AQ352))</f>
        <v/>
      </c>
      <c r="AS352" s="91" t="str">
        <f aca="false">IF($BD352&lt;&gt;Constants!$B$6,"",IF($AB352,$AD352,""))</f>
        <v/>
      </c>
      <c r="AT352" s="93" t="str">
        <f aca="false">IF($BD352&lt;&gt;Constants!$B$6,"",$AO352)</f>
        <v/>
      </c>
      <c r="AU352" s="87" t="str">
        <f aca="false">IF($BD352&lt;&gt;Constants!$B$6,"",IF(OR($BA352&lt;$AR352,AND($BA352=$AR352,OR(AND(ISNUMBER($BB352),OR(NOT(ISNUMBER($AS352)),$BB352&lt;$AS352)),AND(OR(AND($BB352="",$AS352=""),AND(ISNUMBER($BB352),ISNUMBER($AS352),$BB352=$AS352)),$BC352&lt;$AT352)))),"-&gt;","&lt;-"))</f>
        <v/>
      </c>
      <c r="AV352" s="86" t="str">
        <f aca="false">IF(ISBLANK($C352),"",AND($AH352,OR($AI352="",$AJ352="",AND(NOT(ISBLANK($S352)),$AK352=""))))</f>
        <v/>
      </c>
      <c r="AW352" s="89" t="str">
        <f aca="false">IF($BD352&lt;&gt;Constants!$B$6,"",IF($AH352,Constants!$B$17*$AJ352,Constants!$B$18))</f>
        <v/>
      </c>
      <c r="AX352" s="91" t="str">
        <f aca="false">IF($BD352&lt;&gt;Constants!$B$6,"",Constants!$B$19*IF($AH352,$AI352,0))</f>
        <v/>
      </c>
      <c r="AY352" s="91" t="str">
        <f aca="false">IF($BD352&lt;&gt;Constants!$B$6,"",IF(AND($AH352,ISNUMBER($AK352)),Constants!$B$20*(Constants!$B$21-$AK352),0))</f>
        <v/>
      </c>
      <c r="AZ352" s="91" t="str">
        <f aca="false">IF($BD352&lt;&gt;Constants!$B$6,"",IF($AG352,0,Constants!$B$12)+IF($AF352,0,Constants!$B$13)+IF($Y352,0,Constants!$B$14))</f>
        <v/>
      </c>
      <c r="BA352" s="92" t="str">
        <f aca="false">IF($BD352&lt;&gt;Constants!$B$6,"",Constants!$B$16+SUM($AW352:$AZ352))</f>
        <v/>
      </c>
      <c r="BB352" s="91" t="str">
        <f aca="false">IF($BD352&lt;&gt;Constants!$B$6,"",IF($AH352,$AJ352,""))</f>
        <v/>
      </c>
      <c r="BC352" s="93" t="str">
        <f aca="false">IF($BD352&lt;&gt;Constants!$B$6,"",$AX352)</f>
        <v/>
      </c>
      <c r="BD352" s="87" t="str">
        <f aca="false">IF(ISBLANK($C352),"",IF($AL352,Constants!$B$9,IF(COUNTA($E352:$T352)=0,Constants!$B$8,IF(NOT($X352),Constants!$B$7,IF(OR($AM352,$AV352),Constants!$B$10,Constants!$B$6)))))</f>
        <v/>
      </c>
      <c r="BE352" s="87" t="str">
        <f aca="false">IF(ISBLANK($C352),"",IF($BD352&lt;&gt;Constants!$B$6,$BD352,Constants!$B$11))</f>
        <v/>
      </c>
      <c r="BF352" s="91" t="str">
        <f aca="false">IF($BD352&lt;&gt;Constants!$B$6,"",IF($AU352="-&gt;",$BA352,$AR352))</f>
        <v/>
      </c>
      <c r="BG352" s="91" t="str">
        <f aca="false">IF($BD352&lt;&gt;Constants!$B$6,"",IF($W352,0,Constants!$B$15))</f>
        <v/>
      </c>
      <c r="BH352" s="91" t="str">
        <f aca="false">IF(ISBLANK($C352),"",IF($BD352&lt;&gt;Constants!$B$6,$BD352,SUM($BF352:$BG352)))</f>
        <v/>
      </c>
      <c r="BI352" s="87" t="str">
        <f aca="false">IF(ISBLANK($C352),"",IF($BD352&lt;&gt;Constants!$B$6,$BD352,RANK($BH352,$BH$9:$BH$508,1)))</f>
        <v/>
      </c>
      <c r="BJ352" s="91" t="str">
        <f aca="false">IF($BD352&lt;&gt;Constants!$B$6,"",IF($AU352="-&gt;",$BB352,$AS352))</f>
        <v/>
      </c>
      <c r="BK352" s="87" t="str">
        <f aca="false">IF(ISBLANK($C352),"",IF($BD352&lt;&gt;Constants!$B$6,$BD352,IF(ISNUMBER($BJ352),RANK($BJ352,$BJ$9:$BJ$508,1),COUNT($BJ$9:$BJ$508)+1)))</f>
        <v/>
      </c>
      <c r="BL352" s="91" t="str">
        <f aca="false">IF($BD352&lt;&gt;Constants!$B$6,"",IF($AU352="-&gt;",$BC352,$AT352))</f>
        <v/>
      </c>
      <c r="BM352" s="87" t="str">
        <f aca="false">IF(ISBLANK($C352),"",IF($BD352&lt;&gt;Constants!$B$6,$BD352,IF(ISNUMBER($BL352),RANK($BL352,$BL$9:$BL$508,1),COUNT($BL$9:$BL$508)+1)))</f>
        <v/>
      </c>
      <c r="BN352" s="91" t="str">
        <f aca="false">IF($BD352&lt;&gt;Constants!$B$6,"",IF($AU352="-&gt;",$AS352,$BB352))</f>
        <v/>
      </c>
      <c r="BO352" s="87" t="str">
        <f aca="false">IF(ISBLANK($C352),"",IF($BD352&lt;&gt;Constants!$B$6,$BD352,IF(ISNUMBER($BN352),RANK($BN352,$BN$9:$BN$508,1),COUNT($BN$9:$BN$508)+1)))</f>
        <v/>
      </c>
      <c r="BP352" s="91" t="str">
        <f aca="false">IF($BD352&lt;&gt;Constants!$B$6,"",IF($AU352="-&gt;",$AT352,$BC352))</f>
        <v/>
      </c>
      <c r="BQ352" s="87" t="str">
        <f aca="false">IF(ISBLANK($C352),"",IF($BD352&lt;&gt;Constants!$B$6,$BD352,IF(ISNUMBER($BP352),RANK($BP352,$BP$9:$BP$508,1),COUNT($BP$9:$BP$508)+1)))</f>
        <v/>
      </c>
      <c r="BR352" s="87" t="str">
        <f aca="false">IF(ISBLANK($C352),"",IF($BD352&lt;&gt;Constants!$B$6,$BD352,COUNTIFS($BI$9:$BI$508,"&lt;"&amp;$BI352)+COUNTIFS($BI$9:$BI$508,$BI352,$BK$9:$BK$508,"&lt;"&amp;$BK352)+COUNTIFS($BI$9:$BI$508,$BI352,$BK$9:$BK$508,$BK352,$BM$9:$BM$508,"&lt;"&amp;$BM352)+COUNTIFS($BI$9:$BI$508,$BI352,$BK$9:$BK$508,$BK352,$BM$9:$BM$508,$BM352,$BO$9:$BO$508,"&lt;"&amp;$BO352)+COUNTIFS($BI$9:$BI$508,$BI352,$BK$9:$BK$508,$BK352,$BM$9:$BM$508,$BM352,$BO$9:$BO$508,$BO352,$BQ$9:$BQ$508,"&lt;"&amp;$BQ352)+1))</f>
        <v/>
      </c>
      <c r="BS352" s="87" t="str">
        <f aca="false">IF(ISBLANK($C352),"",IF($BD352&lt;&gt;Constants!$B$6,$BD352,$BI352-$BR352))</f>
        <v/>
      </c>
      <c r="BT352" s="94"/>
      <c r="BU352" s="95"/>
      <c r="BV352" s="95" t="str">
        <f aca="false">IF(ISBLANK($C352),"",IF($BD352&lt;&gt;Constants!$B$6,"",IF($AU352="-&gt;",2,1)))</f>
        <v/>
      </c>
      <c r="BW352" s="96" t="str">
        <f aca="false">IF(ISBLANK($C352),"",IF($BD352&lt;&gt;Constants!$B$6,"",IF($AU352="-&gt;",$AW352,$AN352)))</f>
        <v/>
      </c>
      <c r="BX352" s="96" t="str">
        <f aca="false">IF(ISBLANK($C352),"",IF($BD352&lt;&gt;Constants!$B$6,"",IF($AU352="-&gt;",$AX352,$AO352)))</f>
        <v/>
      </c>
      <c r="BY352" s="96" t="str">
        <f aca="false">IF(ISBLANK($C352),"",IF($BD352&lt;&gt;Constants!$B$6,"",IF($AU352="-&gt;",$AY352,$AP352)))</f>
        <v/>
      </c>
      <c r="BZ352" s="96" t="str">
        <f aca="false">IF(ISBLANK($C352),"",IF($BD352&lt;&gt;Constants!$B$6,"",IF($AU352="-&gt;",$AZ352,$AQ352)+$BG352))</f>
        <v/>
      </c>
      <c r="CA352" s="97" t="str">
        <f aca="false">IF(ISBLANK($C352),"",IF($BD352&lt;&gt;Constants!$B$6,$BD352,$BH352))</f>
        <v/>
      </c>
      <c r="CB352" s="98" t="str">
        <f aca="false">IF(ISBLANK($C352),"",$BE352)</f>
        <v/>
      </c>
      <c r="CC352" s="99" t="str">
        <f aca="false">IF(ISBLANK($C352),"",$BS352)</f>
        <v/>
      </c>
      <c r="CD352" s="99" t="str">
        <f aca="false">IF(ISBLANK($C352),"",$BR352)</f>
        <v/>
      </c>
      <c r="CE352" s="100" t="str">
        <f aca="false">IF(ISBLANK($C352),"",IF($CD352=Constants!$B$9,COUNTA($C$9:$C$508)+2,IF($CD352=Constants!$B$8,COUNTA($C$9:$C$508)+1,IF($CD352=Constants!$B$7,COUNTA($C$9:$C$508),$CD352))))</f>
        <v/>
      </c>
      <c r="CF352" s="9"/>
      <c r="CG352" s="101" t="n">
        <f aca="false">IF(OR(ISNUMBER($CD352),$CD352=Constants!$B$9,$CD352=Constants!$B$7,$CD352=Constants!$B$8),1,0)</f>
        <v>0</v>
      </c>
      <c r="CH352" s="101" t="n">
        <v>344</v>
      </c>
      <c r="CI352" s="101" t="str">
        <f aca="false">IF(ISBLANK($C352),"",IF(ISNUMBER($CE352),$CE352+ROW($B352)/1000,""))</f>
        <v/>
      </c>
      <c r="CJ352" s="101" t="str">
        <f aca="false">IF(ISNUMBER($CI352),RANK($CI352,$CI$9:$CI$508,1),"")</f>
        <v/>
      </c>
      <c r="CK352" s="101" t="str">
        <f aca="false">IF(ISBLANK($C352),"",$B352)</f>
        <v/>
      </c>
      <c r="CL352" s="101" t="str">
        <f aca="false">IF(ISBLANK($C352),"",$C352)</f>
        <v/>
      </c>
      <c r="CM352" s="101" t="str">
        <f aca="false">IF(ISBLANK($C352),"",$D352)</f>
        <v/>
      </c>
      <c r="CN352" s="102" t="str">
        <f aca="false">$CB352</f>
        <v/>
      </c>
      <c r="CO352" s="103" t="str">
        <f aca="false">$CA352</f>
        <v/>
      </c>
      <c r="CP352" s="101" t="str">
        <f aca="false">IF(ISBLANK($C352),"",$CD352)</f>
        <v/>
      </c>
      <c r="CQ352" s="104" t="str">
        <f aca="false">IF($CH352&gt;$CG$8,"",VLOOKUP($CH352,$CJ$9:$CP$508,7,FALSE()))</f>
        <v/>
      </c>
      <c r="CR352" s="105" t="str">
        <f aca="false">IF($CH352&gt;$CG$8,"",VLOOKUP($CH352,$CJ$9:$CP$508,2,FALSE()))</f>
        <v/>
      </c>
      <c r="CS352" s="105" t="str">
        <f aca="false">IF($CH352&gt;$CG$8,"",VLOOKUP($CH352,$CJ$9:$CP$508,3,FALSE()))</f>
        <v/>
      </c>
      <c r="CT352" s="105" t="str">
        <f aca="false">IF($CH352&gt;$CG$8,"",VLOOKUP($CH352,$CJ$9:$CP$508,4,FALSE()))</f>
        <v/>
      </c>
      <c r="CU352" s="105" t="str">
        <f aca="false">IF($CH352&gt;$CG$8,"",VLOOKUP($CH352,$CJ$9:$CP$508,5,FALSE()))</f>
        <v/>
      </c>
      <c r="CV352" s="106" t="str">
        <f aca="false">IF($CH352&gt;$CG$8,"",VLOOKUP($CH352,$CJ$9:$CP$508,6,FALSE()))</f>
        <v/>
      </c>
      <c r="CW352" s="71"/>
    </row>
    <row r="353" customFormat="false" ht="15.75" hidden="false" customHeight="false" outlineLevel="0" collapsed="false">
      <c r="A353" s="9"/>
      <c r="B353" s="72"/>
      <c r="C353" s="73"/>
      <c r="D353" s="160"/>
      <c r="E353" s="168"/>
      <c r="F353" s="162"/>
      <c r="G353" s="163"/>
      <c r="H353" s="169"/>
      <c r="I353" s="167"/>
      <c r="J353" s="80"/>
      <c r="K353" s="81"/>
      <c r="L353" s="82"/>
      <c r="M353" s="166"/>
      <c r="N353" s="167"/>
      <c r="O353" s="167"/>
      <c r="P353" s="80"/>
      <c r="Q353" s="82"/>
      <c r="R353" s="82"/>
      <c r="S353" s="166"/>
      <c r="T353" s="167"/>
      <c r="U353" s="86"/>
      <c r="V353" s="87"/>
      <c r="W353" s="87" t="str">
        <f aca="false">IF(ISBLANK($C353),"",IF(E353=Constants!$B$2,TRUE(),IF(E353=Constants!$B$3,FALSE(),TRUE())))</f>
        <v/>
      </c>
      <c r="X353" s="87" t="str">
        <f aca="false">IF(ISBLANK($C353),"",IF(F353=Constants!$B$2,TRUE(),IF(F353=Constants!$B$3,FALSE(),TRUE())))</f>
        <v/>
      </c>
      <c r="Y353" s="87" t="str">
        <f aca="false">IF(ISBLANK($C353),"",IF(G353=Constants!$B$2,TRUE(),IF(G353=Constants!$B$3,FALSE(),TRUE())))</f>
        <v/>
      </c>
      <c r="Z353" s="87" t="str">
        <f aca="false">IF(ISBLANK($C353),"",IF(H353=Constants!$B$2,TRUE(),IF(H353=Constants!$B$3,FALSE(),TRUE())))</f>
        <v/>
      </c>
      <c r="AA353" s="87" t="str">
        <f aca="false">IF(ISBLANK($C353),"",IF(I353=Constants!$B$2,TRUE(),IF(I353=Constants!$B$3,FALSE(),TRUE())))</f>
        <v/>
      </c>
      <c r="AB353" s="87" t="str">
        <f aca="false">IF(ISBLANK($C353),"",IF(J353=Constants!$B$4,TRUE(),IF(J353=Constants!$B$5,FALSE(),COUNTA(K353:M353)&gt;0)))</f>
        <v/>
      </c>
      <c r="AC353" s="88" t="str">
        <f aca="false">IF(ISBLANK($C353),"",IF(ISNUMBER(K353),IF(K353&gt;=0,K353,""),""))</f>
        <v/>
      </c>
      <c r="AD353" s="89" t="str">
        <f aca="false">IF(ISBLANK($C353),"",IF(ISNUMBER(L353),IF(L353&gt;=0,L353,""),""))</f>
        <v/>
      </c>
      <c r="AE353" s="87" t="str">
        <f aca="false">IF(ISBLANK($C353),"",IF(ISNUMBER(M353),IF(M353&gt;=0,MIN(M353,Constants!$B$22),""),""))</f>
        <v/>
      </c>
      <c r="AF353" s="87" t="str">
        <f aca="false">IF(ISBLANK($C353),"",IF(N353=Constants!$B$2,TRUE(),IF(N353=Constants!$B$3,FALSE(),TRUE())))</f>
        <v/>
      </c>
      <c r="AG353" s="87" t="str">
        <f aca="false">IF(ISBLANK($C353),"",IF(O353=Constants!$B$2,TRUE(),IF(O353=Constants!$B$3,FALSE(),TRUE())))</f>
        <v/>
      </c>
      <c r="AH353" s="87" t="str">
        <f aca="false">IF(ISBLANK($C353),"",IF(P353=Constants!$B$4,TRUE(),IF(P353=Constants!$B$5,FALSE(),COUNTA(Q353:S353)&gt;0)))</f>
        <v/>
      </c>
      <c r="AI353" s="88" t="str">
        <f aca="false">IF(ISBLANK($C353),"",IF(ISNUMBER(Q353),IF(Q353&gt;=0,Q353,""),""))</f>
        <v/>
      </c>
      <c r="AJ353" s="89" t="str">
        <f aca="false">IF(ISBLANK($C353),"",IF(ISNUMBER(R353),IF(R353&gt;=0,R353,""),""))</f>
        <v/>
      </c>
      <c r="AK353" s="87" t="str">
        <f aca="false">IF(ISBLANK($C353),"",IF(ISNUMBER(S353),IF(S353&gt;=0,MIN(S353,Constants!$B$22),""),""))</f>
        <v/>
      </c>
      <c r="AL353" s="87" t="str">
        <f aca="false">IF(ISBLANK($C353),"",IF(T353=Constants!$B$2,TRUE(),IF(T353=Constants!$B$3,FALSE(),FALSE())))</f>
        <v/>
      </c>
      <c r="AM353" s="86" t="str">
        <f aca="false">IF(ISBLANK($C353),"",AND($AB353,OR($AC353="",$AD353="",AND(NOT(ISBLANK($M353)),$AE353=""))))</f>
        <v/>
      </c>
      <c r="AN353" s="89" t="str">
        <f aca="false">IF($BD353&lt;&gt;Constants!$B$6,"",IF($AB353,Constants!$B$17*$AD353,Constants!$B$18))</f>
        <v/>
      </c>
      <c r="AO353" s="91" t="str">
        <f aca="false">IF($BD353&lt;&gt;Constants!$B$6,"",Constants!$B$19*IF($AB353,$AC353,0))</f>
        <v/>
      </c>
      <c r="AP353" s="91" t="str">
        <f aca="false">IF($BD353&lt;&gt;Constants!$B$6,"",IF(AND($AB353,ISNUMBER($AE353)),Constants!$B$20*(Constants!$B$21-$AE353),0))</f>
        <v/>
      </c>
      <c r="AQ353" s="91" t="str">
        <f aca="false">IF($BD353&lt;&gt;Constants!$B$6,"",IF($AA353,0,Constants!$B$12)+IF($Z353,0,Constants!$B$13)+IF($Y353,0,Constants!$B$14))</f>
        <v/>
      </c>
      <c r="AR353" s="92" t="str">
        <f aca="false">IF($BD353&lt;&gt;Constants!$B$6,"",Constants!$B$16+SUM($AN353:$AQ353))</f>
        <v/>
      </c>
      <c r="AS353" s="91" t="str">
        <f aca="false">IF($BD353&lt;&gt;Constants!$B$6,"",IF($AB353,$AD353,""))</f>
        <v/>
      </c>
      <c r="AT353" s="93" t="str">
        <f aca="false">IF($BD353&lt;&gt;Constants!$B$6,"",$AO353)</f>
        <v/>
      </c>
      <c r="AU353" s="87" t="str">
        <f aca="false">IF($BD353&lt;&gt;Constants!$B$6,"",IF(OR($BA353&lt;$AR353,AND($BA353=$AR353,OR(AND(ISNUMBER($BB353),OR(NOT(ISNUMBER($AS353)),$BB353&lt;$AS353)),AND(OR(AND($BB353="",$AS353=""),AND(ISNUMBER($BB353),ISNUMBER($AS353),$BB353=$AS353)),$BC353&lt;$AT353)))),"-&gt;","&lt;-"))</f>
        <v/>
      </c>
      <c r="AV353" s="86" t="str">
        <f aca="false">IF(ISBLANK($C353),"",AND($AH353,OR($AI353="",$AJ353="",AND(NOT(ISBLANK($S353)),$AK353=""))))</f>
        <v/>
      </c>
      <c r="AW353" s="89" t="str">
        <f aca="false">IF($BD353&lt;&gt;Constants!$B$6,"",IF($AH353,Constants!$B$17*$AJ353,Constants!$B$18))</f>
        <v/>
      </c>
      <c r="AX353" s="91" t="str">
        <f aca="false">IF($BD353&lt;&gt;Constants!$B$6,"",Constants!$B$19*IF($AH353,$AI353,0))</f>
        <v/>
      </c>
      <c r="AY353" s="91" t="str">
        <f aca="false">IF($BD353&lt;&gt;Constants!$B$6,"",IF(AND($AH353,ISNUMBER($AK353)),Constants!$B$20*(Constants!$B$21-$AK353),0))</f>
        <v/>
      </c>
      <c r="AZ353" s="91" t="str">
        <f aca="false">IF($BD353&lt;&gt;Constants!$B$6,"",IF($AG353,0,Constants!$B$12)+IF($AF353,0,Constants!$B$13)+IF($Y353,0,Constants!$B$14))</f>
        <v/>
      </c>
      <c r="BA353" s="92" t="str">
        <f aca="false">IF($BD353&lt;&gt;Constants!$B$6,"",Constants!$B$16+SUM($AW353:$AZ353))</f>
        <v/>
      </c>
      <c r="BB353" s="91" t="str">
        <f aca="false">IF($BD353&lt;&gt;Constants!$B$6,"",IF($AH353,$AJ353,""))</f>
        <v/>
      </c>
      <c r="BC353" s="93" t="str">
        <f aca="false">IF($BD353&lt;&gt;Constants!$B$6,"",$AX353)</f>
        <v/>
      </c>
      <c r="BD353" s="87" t="str">
        <f aca="false">IF(ISBLANK($C353),"",IF($AL353,Constants!$B$9,IF(COUNTA($E353:$T353)=0,Constants!$B$8,IF(NOT($X353),Constants!$B$7,IF(OR($AM353,$AV353),Constants!$B$10,Constants!$B$6)))))</f>
        <v/>
      </c>
      <c r="BE353" s="87" t="str">
        <f aca="false">IF(ISBLANK($C353),"",IF($BD353&lt;&gt;Constants!$B$6,$BD353,Constants!$B$11))</f>
        <v/>
      </c>
      <c r="BF353" s="91" t="str">
        <f aca="false">IF($BD353&lt;&gt;Constants!$B$6,"",IF($AU353="-&gt;",$BA353,$AR353))</f>
        <v/>
      </c>
      <c r="BG353" s="91" t="str">
        <f aca="false">IF($BD353&lt;&gt;Constants!$B$6,"",IF($W353,0,Constants!$B$15))</f>
        <v/>
      </c>
      <c r="BH353" s="91" t="str">
        <f aca="false">IF(ISBLANK($C353),"",IF($BD353&lt;&gt;Constants!$B$6,$BD353,SUM($BF353:$BG353)))</f>
        <v/>
      </c>
      <c r="BI353" s="87" t="str">
        <f aca="false">IF(ISBLANK($C353),"",IF($BD353&lt;&gt;Constants!$B$6,$BD353,RANK($BH353,$BH$9:$BH$508,1)))</f>
        <v/>
      </c>
      <c r="BJ353" s="91" t="str">
        <f aca="false">IF($BD353&lt;&gt;Constants!$B$6,"",IF($AU353="-&gt;",$BB353,$AS353))</f>
        <v/>
      </c>
      <c r="BK353" s="87" t="str">
        <f aca="false">IF(ISBLANK($C353),"",IF($BD353&lt;&gt;Constants!$B$6,$BD353,IF(ISNUMBER($BJ353),RANK($BJ353,$BJ$9:$BJ$508,1),COUNT($BJ$9:$BJ$508)+1)))</f>
        <v/>
      </c>
      <c r="BL353" s="91" t="str">
        <f aca="false">IF($BD353&lt;&gt;Constants!$B$6,"",IF($AU353="-&gt;",$BC353,$AT353))</f>
        <v/>
      </c>
      <c r="BM353" s="87" t="str">
        <f aca="false">IF(ISBLANK($C353),"",IF($BD353&lt;&gt;Constants!$B$6,$BD353,IF(ISNUMBER($BL353),RANK($BL353,$BL$9:$BL$508,1),COUNT($BL$9:$BL$508)+1)))</f>
        <v/>
      </c>
      <c r="BN353" s="91" t="str">
        <f aca="false">IF($BD353&lt;&gt;Constants!$B$6,"",IF($AU353="-&gt;",$AS353,$BB353))</f>
        <v/>
      </c>
      <c r="BO353" s="87" t="str">
        <f aca="false">IF(ISBLANK($C353),"",IF($BD353&lt;&gt;Constants!$B$6,$BD353,IF(ISNUMBER($BN353),RANK($BN353,$BN$9:$BN$508,1),COUNT($BN$9:$BN$508)+1)))</f>
        <v/>
      </c>
      <c r="BP353" s="91" t="str">
        <f aca="false">IF($BD353&lt;&gt;Constants!$B$6,"",IF($AU353="-&gt;",$AT353,$BC353))</f>
        <v/>
      </c>
      <c r="BQ353" s="87" t="str">
        <f aca="false">IF(ISBLANK($C353),"",IF($BD353&lt;&gt;Constants!$B$6,$BD353,IF(ISNUMBER($BP353),RANK($BP353,$BP$9:$BP$508,1),COUNT($BP$9:$BP$508)+1)))</f>
        <v/>
      </c>
      <c r="BR353" s="87" t="str">
        <f aca="false">IF(ISBLANK($C353),"",IF($BD353&lt;&gt;Constants!$B$6,$BD353,COUNTIFS($BI$9:$BI$508,"&lt;"&amp;$BI353)+COUNTIFS($BI$9:$BI$508,$BI353,$BK$9:$BK$508,"&lt;"&amp;$BK353)+COUNTIFS($BI$9:$BI$508,$BI353,$BK$9:$BK$508,$BK353,$BM$9:$BM$508,"&lt;"&amp;$BM353)+COUNTIFS($BI$9:$BI$508,$BI353,$BK$9:$BK$508,$BK353,$BM$9:$BM$508,$BM353,$BO$9:$BO$508,"&lt;"&amp;$BO353)+COUNTIFS($BI$9:$BI$508,$BI353,$BK$9:$BK$508,$BK353,$BM$9:$BM$508,$BM353,$BO$9:$BO$508,$BO353,$BQ$9:$BQ$508,"&lt;"&amp;$BQ353)+1))</f>
        <v/>
      </c>
      <c r="BS353" s="87" t="str">
        <f aca="false">IF(ISBLANK($C353),"",IF($BD353&lt;&gt;Constants!$B$6,$BD353,$BI353-$BR353))</f>
        <v/>
      </c>
      <c r="BT353" s="94"/>
      <c r="BU353" s="95"/>
      <c r="BV353" s="95" t="str">
        <f aca="false">IF(ISBLANK($C353),"",IF($BD353&lt;&gt;Constants!$B$6,"",IF($AU353="-&gt;",2,1)))</f>
        <v/>
      </c>
      <c r="BW353" s="96" t="str">
        <f aca="false">IF(ISBLANK($C353),"",IF($BD353&lt;&gt;Constants!$B$6,"",IF($AU353="-&gt;",$AW353,$AN353)))</f>
        <v/>
      </c>
      <c r="BX353" s="96" t="str">
        <f aca="false">IF(ISBLANK($C353),"",IF($BD353&lt;&gt;Constants!$B$6,"",IF($AU353="-&gt;",$AX353,$AO353)))</f>
        <v/>
      </c>
      <c r="BY353" s="96" t="str">
        <f aca="false">IF(ISBLANK($C353),"",IF($BD353&lt;&gt;Constants!$B$6,"",IF($AU353="-&gt;",$AY353,$AP353)))</f>
        <v/>
      </c>
      <c r="BZ353" s="96" t="str">
        <f aca="false">IF(ISBLANK($C353),"",IF($BD353&lt;&gt;Constants!$B$6,"",IF($AU353="-&gt;",$AZ353,$AQ353)+$BG353))</f>
        <v/>
      </c>
      <c r="CA353" s="97" t="str">
        <f aca="false">IF(ISBLANK($C353),"",IF($BD353&lt;&gt;Constants!$B$6,$BD353,$BH353))</f>
        <v/>
      </c>
      <c r="CB353" s="98" t="str">
        <f aca="false">IF(ISBLANK($C353),"",$BE353)</f>
        <v/>
      </c>
      <c r="CC353" s="99" t="str">
        <f aca="false">IF(ISBLANK($C353),"",$BS353)</f>
        <v/>
      </c>
      <c r="CD353" s="99" t="str">
        <f aca="false">IF(ISBLANK($C353),"",$BR353)</f>
        <v/>
      </c>
      <c r="CE353" s="100" t="str">
        <f aca="false">IF(ISBLANK($C353),"",IF($CD353=Constants!$B$9,COUNTA($C$9:$C$508)+2,IF($CD353=Constants!$B$8,COUNTA($C$9:$C$508)+1,IF($CD353=Constants!$B$7,COUNTA($C$9:$C$508),$CD353))))</f>
        <v/>
      </c>
      <c r="CF353" s="9"/>
      <c r="CG353" s="101" t="n">
        <f aca="false">IF(OR(ISNUMBER($CD353),$CD353=Constants!$B$9,$CD353=Constants!$B$7,$CD353=Constants!$B$8),1,0)</f>
        <v>0</v>
      </c>
      <c r="CH353" s="101" t="n">
        <v>345</v>
      </c>
      <c r="CI353" s="101" t="str">
        <f aca="false">IF(ISBLANK($C353),"",IF(ISNUMBER($CE353),$CE353+ROW($B353)/1000,""))</f>
        <v/>
      </c>
      <c r="CJ353" s="101" t="str">
        <f aca="false">IF(ISNUMBER($CI353),RANK($CI353,$CI$9:$CI$508,1),"")</f>
        <v/>
      </c>
      <c r="CK353" s="101" t="str">
        <f aca="false">IF(ISBLANK($C353),"",$B353)</f>
        <v/>
      </c>
      <c r="CL353" s="101" t="str">
        <f aca="false">IF(ISBLANK($C353),"",$C353)</f>
        <v/>
      </c>
      <c r="CM353" s="101" t="str">
        <f aca="false">IF(ISBLANK($C353),"",$D353)</f>
        <v/>
      </c>
      <c r="CN353" s="102" t="str">
        <f aca="false">$CB353</f>
        <v/>
      </c>
      <c r="CO353" s="103" t="str">
        <f aca="false">$CA353</f>
        <v/>
      </c>
      <c r="CP353" s="101" t="str">
        <f aca="false">IF(ISBLANK($C353),"",$CD353)</f>
        <v/>
      </c>
      <c r="CQ353" s="104" t="str">
        <f aca="false">IF($CH353&gt;$CG$8,"",VLOOKUP($CH353,$CJ$9:$CP$508,7,FALSE()))</f>
        <v/>
      </c>
      <c r="CR353" s="105" t="str">
        <f aca="false">IF($CH353&gt;$CG$8,"",VLOOKUP($CH353,$CJ$9:$CP$508,2,FALSE()))</f>
        <v/>
      </c>
      <c r="CS353" s="105" t="str">
        <f aca="false">IF($CH353&gt;$CG$8,"",VLOOKUP($CH353,$CJ$9:$CP$508,3,FALSE()))</f>
        <v/>
      </c>
      <c r="CT353" s="105" t="str">
        <f aca="false">IF($CH353&gt;$CG$8,"",VLOOKUP($CH353,$CJ$9:$CP$508,4,FALSE()))</f>
        <v/>
      </c>
      <c r="CU353" s="105" t="str">
        <f aca="false">IF($CH353&gt;$CG$8,"",VLOOKUP($CH353,$CJ$9:$CP$508,5,FALSE()))</f>
        <v/>
      </c>
      <c r="CV353" s="106" t="str">
        <f aca="false">IF($CH353&gt;$CG$8,"",VLOOKUP($CH353,$CJ$9:$CP$508,6,FALSE()))</f>
        <v/>
      </c>
      <c r="CW353" s="71"/>
    </row>
    <row r="354" customFormat="false" ht="15.75" hidden="false" customHeight="false" outlineLevel="0" collapsed="false">
      <c r="A354" s="9"/>
      <c r="B354" s="150"/>
      <c r="C354" s="151"/>
      <c r="D354" s="152"/>
      <c r="E354" s="170"/>
      <c r="F354" s="154"/>
      <c r="G354" s="155"/>
      <c r="H354" s="171"/>
      <c r="I354" s="159"/>
      <c r="J354" s="120"/>
      <c r="K354" s="121"/>
      <c r="L354" s="122"/>
      <c r="M354" s="158"/>
      <c r="N354" s="159"/>
      <c r="O354" s="159"/>
      <c r="P354" s="120"/>
      <c r="Q354" s="122"/>
      <c r="R354" s="122"/>
      <c r="S354" s="158"/>
      <c r="T354" s="159"/>
      <c r="U354" s="126"/>
      <c r="V354" s="127"/>
      <c r="W354" s="127" t="str">
        <f aca="false">IF(ISBLANK($C354),"",IF(E354=Constants!$B$2,TRUE(),IF(E354=Constants!$B$3,FALSE(),TRUE())))</f>
        <v/>
      </c>
      <c r="X354" s="127" t="str">
        <f aca="false">IF(ISBLANK($C354),"",IF(F354=Constants!$B$2,TRUE(),IF(F354=Constants!$B$3,FALSE(),TRUE())))</f>
        <v/>
      </c>
      <c r="Y354" s="127" t="str">
        <f aca="false">IF(ISBLANK($C354),"",IF(G354=Constants!$B$2,TRUE(),IF(G354=Constants!$B$3,FALSE(),TRUE())))</f>
        <v/>
      </c>
      <c r="Z354" s="127" t="str">
        <f aca="false">IF(ISBLANK($C354),"",IF(H354=Constants!$B$2,TRUE(),IF(H354=Constants!$B$3,FALSE(),TRUE())))</f>
        <v/>
      </c>
      <c r="AA354" s="127" t="str">
        <f aca="false">IF(ISBLANK($C354),"",IF(I354=Constants!$B$2,TRUE(),IF(I354=Constants!$B$3,FALSE(),TRUE())))</f>
        <v/>
      </c>
      <c r="AB354" s="127" t="str">
        <f aca="false">IF(ISBLANK($C354),"",IF(J354=Constants!$B$4,TRUE(),IF(J354=Constants!$B$5,FALSE(),COUNTA(K354:M354)&gt;0)))</f>
        <v/>
      </c>
      <c r="AC354" s="128" t="str">
        <f aca="false">IF(ISBLANK($C354),"",IF(ISNUMBER(K354),IF(K354&gt;=0,K354,""),""))</f>
        <v/>
      </c>
      <c r="AD354" s="129" t="str">
        <f aca="false">IF(ISBLANK($C354),"",IF(ISNUMBER(L354),IF(L354&gt;=0,L354,""),""))</f>
        <v/>
      </c>
      <c r="AE354" s="127" t="str">
        <f aca="false">IF(ISBLANK($C354),"",IF(ISNUMBER(M354),IF(M354&gt;=0,MIN(M354,Constants!$B$22),""),""))</f>
        <v/>
      </c>
      <c r="AF354" s="127" t="str">
        <f aca="false">IF(ISBLANK($C354),"",IF(N354=Constants!$B$2,TRUE(),IF(N354=Constants!$B$3,FALSE(),TRUE())))</f>
        <v/>
      </c>
      <c r="AG354" s="127" t="str">
        <f aca="false">IF(ISBLANK($C354),"",IF(O354=Constants!$B$2,TRUE(),IF(O354=Constants!$B$3,FALSE(),TRUE())))</f>
        <v/>
      </c>
      <c r="AH354" s="127" t="str">
        <f aca="false">IF(ISBLANK($C354),"",IF(P354=Constants!$B$4,TRUE(),IF(P354=Constants!$B$5,FALSE(),COUNTA(Q354:S354)&gt;0)))</f>
        <v/>
      </c>
      <c r="AI354" s="128" t="str">
        <f aca="false">IF(ISBLANK($C354),"",IF(ISNUMBER(Q354),IF(Q354&gt;=0,Q354,""),""))</f>
        <v/>
      </c>
      <c r="AJ354" s="129" t="str">
        <f aca="false">IF(ISBLANK($C354),"",IF(ISNUMBER(R354),IF(R354&gt;=0,R354,""),""))</f>
        <v/>
      </c>
      <c r="AK354" s="127" t="str">
        <f aca="false">IF(ISBLANK($C354),"",IF(ISNUMBER(S354),IF(S354&gt;=0,MIN(S354,Constants!$B$22),""),""))</f>
        <v/>
      </c>
      <c r="AL354" s="127" t="str">
        <f aca="false">IF(ISBLANK($C354),"",IF(T354=Constants!$B$2,TRUE(),IF(T354=Constants!$B$3,FALSE(),FALSE())))</f>
        <v/>
      </c>
      <c r="AM354" s="126" t="str">
        <f aca="false">IF(ISBLANK($C354),"",AND($AB354,OR($AC354="",$AD354="",AND(NOT(ISBLANK($M354)),$AE354=""))))</f>
        <v/>
      </c>
      <c r="AN354" s="129" t="str">
        <f aca="false">IF($BD354&lt;&gt;Constants!$B$6,"",IF($AB354,Constants!$B$17*$AD354,Constants!$B$18))</f>
        <v/>
      </c>
      <c r="AO354" s="130" t="str">
        <f aca="false">IF($BD354&lt;&gt;Constants!$B$6,"",Constants!$B$19*IF($AB354,$AC354,0))</f>
        <v/>
      </c>
      <c r="AP354" s="130" t="str">
        <f aca="false">IF($BD354&lt;&gt;Constants!$B$6,"",IF(AND($AB354,ISNUMBER($AE354)),Constants!$B$20*(Constants!$B$21-$AE354),0))</f>
        <v/>
      </c>
      <c r="AQ354" s="130" t="str">
        <f aca="false">IF($BD354&lt;&gt;Constants!$B$6,"",IF($AA354,0,Constants!$B$12)+IF($Z354,0,Constants!$B$13)+IF($Y354,0,Constants!$B$14))</f>
        <v/>
      </c>
      <c r="AR354" s="131" t="str">
        <f aca="false">IF($BD354&lt;&gt;Constants!$B$6,"",Constants!$B$16+SUM($AN354:$AQ354))</f>
        <v/>
      </c>
      <c r="AS354" s="130" t="str">
        <f aca="false">IF($BD354&lt;&gt;Constants!$B$6,"",IF($AB354,$AD354,""))</f>
        <v/>
      </c>
      <c r="AT354" s="132" t="str">
        <f aca="false">IF($BD354&lt;&gt;Constants!$B$6,"",$AO354)</f>
        <v/>
      </c>
      <c r="AU354" s="127" t="str">
        <f aca="false">IF($BD354&lt;&gt;Constants!$B$6,"",IF(OR($BA354&lt;$AR354,AND($BA354=$AR354,OR(AND(ISNUMBER($BB354),OR(NOT(ISNUMBER($AS354)),$BB354&lt;$AS354)),AND(OR(AND($BB354="",$AS354=""),AND(ISNUMBER($BB354),ISNUMBER($AS354),$BB354=$AS354)),$BC354&lt;$AT354)))),"-&gt;","&lt;-"))</f>
        <v/>
      </c>
      <c r="AV354" s="126" t="str">
        <f aca="false">IF(ISBLANK($C354),"",AND($AH354,OR($AI354="",$AJ354="",AND(NOT(ISBLANK($S354)),$AK354=""))))</f>
        <v/>
      </c>
      <c r="AW354" s="129" t="str">
        <f aca="false">IF($BD354&lt;&gt;Constants!$B$6,"",IF($AH354,Constants!$B$17*$AJ354,Constants!$B$18))</f>
        <v/>
      </c>
      <c r="AX354" s="130" t="str">
        <f aca="false">IF($BD354&lt;&gt;Constants!$B$6,"",Constants!$B$19*IF($AH354,$AI354,0))</f>
        <v/>
      </c>
      <c r="AY354" s="130" t="str">
        <f aca="false">IF($BD354&lt;&gt;Constants!$B$6,"",IF(AND($AH354,ISNUMBER($AK354)),Constants!$B$20*(Constants!$B$21-$AK354),0))</f>
        <v/>
      </c>
      <c r="AZ354" s="130" t="str">
        <f aca="false">IF($BD354&lt;&gt;Constants!$B$6,"",IF($AG354,0,Constants!$B$12)+IF($AF354,0,Constants!$B$13)+IF($Y354,0,Constants!$B$14))</f>
        <v/>
      </c>
      <c r="BA354" s="131" t="str">
        <f aca="false">IF($BD354&lt;&gt;Constants!$B$6,"",Constants!$B$16+SUM($AW354:$AZ354))</f>
        <v/>
      </c>
      <c r="BB354" s="130" t="str">
        <f aca="false">IF($BD354&lt;&gt;Constants!$B$6,"",IF($AH354,$AJ354,""))</f>
        <v/>
      </c>
      <c r="BC354" s="132" t="str">
        <f aca="false">IF($BD354&lt;&gt;Constants!$B$6,"",$AX354)</f>
        <v/>
      </c>
      <c r="BD354" s="127" t="str">
        <f aca="false">IF(ISBLANK($C354),"",IF($AL354,Constants!$B$9,IF(COUNTA($E354:$T354)=0,Constants!$B$8,IF(NOT($X354),Constants!$B$7,IF(OR($AM354,$AV354),Constants!$B$10,Constants!$B$6)))))</f>
        <v/>
      </c>
      <c r="BE354" s="127" t="str">
        <f aca="false">IF(ISBLANK($C354),"",IF($BD354&lt;&gt;Constants!$B$6,$BD354,Constants!$B$11))</f>
        <v/>
      </c>
      <c r="BF354" s="130" t="str">
        <f aca="false">IF($BD354&lt;&gt;Constants!$B$6,"",IF($AU354="-&gt;",$BA354,$AR354))</f>
        <v/>
      </c>
      <c r="BG354" s="130" t="str">
        <f aca="false">IF($BD354&lt;&gt;Constants!$B$6,"",IF($W354,0,Constants!$B$15))</f>
        <v/>
      </c>
      <c r="BH354" s="130" t="str">
        <f aca="false">IF(ISBLANK($C354),"",IF($BD354&lt;&gt;Constants!$B$6,$BD354,SUM($BF354:$BG354)))</f>
        <v/>
      </c>
      <c r="BI354" s="127" t="str">
        <f aca="false">IF(ISBLANK($C354),"",IF($BD354&lt;&gt;Constants!$B$6,$BD354,RANK($BH354,$BH$9:$BH$508,1)))</f>
        <v/>
      </c>
      <c r="BJ354" s="130" t="str">
        <f aca="false">IF($BD354&lt;&gt;Constants!$B$6,"",IF($AU354="-&gt;",$BB354,$AS354))</f>
        <v/>
      </c>
      <c r="BK354" s="127" t="str">
        <f aca="false">IF(ISBLANK($C354),"",IF($BD354&lt;&gt;Constants!$B$6,$BD354,IF(ISNUMBER($BJ354),RANK($BJ354,$BJ$9:$BJ$508,1),COUNT($BJ$9:$BJ$508)+1)))</f>
        <v/>
      </c>
      <c r="BL354" s="130" t="str">
        <f aca="false">IF($BD354&lt;&gt;Constants!$B$6,"",IF($AU354="-&gt;",$BC354,$AT354))</f>
        <v/>
      </c>
      <c r="BM354" s="127" t="str">
        <f aca="false">IF(ISBLANK($C354),"",IF($BD354&lt;&gt;Constants!$B$6,$BD354,IF(ISNUMBER($BL354),RANK($BL354,$BL$9:$BL$508,1),COUNT($BL$9:$BL$508)+1)))</f>
        <v/>
      </c>
      <c r="BN354" s="130" t="str">
        <f aca="false">IF($BD354&lt;&gt;Constants!$B$6,"",IF($AU354="-&gt;",$AS354,$BB354))</f>
        <v/>
      </c>
      <c r="BO354" s="127" t="str">
        <f aca="false">IF(ISBLANK($C354),"",IF($BD354&lt;&gt;Constants!$B$6,$BD354,IF(ISNUMBER($BN354),RANK($BN354,$BN$9:$BN$508,1),COUNT($BN$9:$BN$508)+1)))</f>
        <v/>
      </c>
      <c r="BP354" s="130" t="str">
        <f aca="false">IF($BD354&lt;&gt;Constants!$B$6,"",IF($AU354="-&gt;",$AT354,$BC354))</f>
        <v/>
      </c>
      <c r="BQ354" s="127" t="str">
        <f aca="false">IF(ISBLANK($C354),"",IF($BD354&lt;&gt;Constants!$B$6,$BD354,IF(ISNUMBER($BP354),RANK($BP354,$BP$9:$BP$508,1),COUNT($BP$9:$BP$508)+1)))</f>
        <v/>
      </c>
      <c r="BR354" s="127" t="str">
        <f aca="false">IF(ISBLANK($C354),"",IF($BD354&lt;&gt;Constants!$B$6,$BD354,COUNTIFS($BI$9:$BI$508,"&lt;"&amp;$BI354)+COUNTIFS($BI$9:$BI$508,$BI354,$BK$9:$BK$508,"&lt;"&amp;$BK354)+COUNTIFS($BI$9:$BI$508,$BI354,$BK$9:$BK$508,$BK354,$BM$9:$BM$508,"&lt;"&amp;$BM354)+COUNTIFS($BI$9:$BI$508,$BI354,$BK$9:$BK$508,$BK354,$BM$9:$BM$508,$BM354,$BO$9:$BO$508,"&lt;"&amp;$BO354)+COUNTIFS($BI$9:$BI$508,$BI354,$BK$9:$BK$508,$BK354,$BM$9:$BM$508,$BM354,$BO$9:$BO$508,$BO354,$BQ$9:$BQ$508,"&lt;"&amp;$BQ354)+1))</f>
        <v/>
      </c>
      <c r="BS354" s="127" t="str">
        <f aca="false">IF(ISBLANK($C354),"",IF($BD354&lt;&gt;Constants!$B$6,$BD354,$BI354-$BR354))</f>
        <v/>
      </c>
      <c r="BT354" s="133"/>
      <c r="BU354" s="134"/>
      <c r="BV354" s="134" t="str">
        <f aca="false">IF(ISBLANK($C354),"",IF($BD354&lt;&gt;Constants!$B$6,"",IF($AU354="-&gt;",2,1)))</f>
        <v/>
      </c>
      <c r="BW354" s="135" t="str">
        <f aca="false">IF(ISBLANK($C354),"",IF($BD354&lt;&gt;Constants!$B$6,"",IF($AU354="-&gt;",$AW354,$AN354)))</f>
        <v/>
      </c>
      <c r="BX354" s="135" t="str">
        <f aca="false">IF(ISBLANK($C354),"",IF($BD354&lt;&gt;Constants!$B$6,"",IF($AU354="-&gt;",$AX354,$AO354)))</f>
        <v/>
      </c>
      <c r="BY354" s="135" t="str">
        <f aca="false">IF(ISBLANK($C354),"",IF($BD354&lt;&gt;Constants!$B$6,"",IF($AU354="-&gt;",$AY354,$AP354)))</f>
        <v/>
      </c>
      <c r="BZ354" s="135" t="str">
        <f aca="false">IF(ISBLANK($C354),"",IF($BD354&lt;&gt;Constants!$B$6,"",IF($AU354="-&gt;",$AZ354,$AQ354)+$BG354))</f>
        <v/>
      </c>
      <c r="CA354" s="136" t="str">
        <f aca="false">IF(ISBLANK($C354),"",IF($BD354&lt;&gt;Constants!$B$6,$BD354,$BH354))</f>
        <v/>
      </c>
      <c r="CB354" s="137" t="str">
        <f aca="false">IF(ISBLANK($C354),"",$BE354)</f>
        <v/>
      </c>
      <c r="CC354" s="138" t="str">
        <f aca="false">IF(ISBLANK($C354),"",$BS354)</f>
        <v/>
      </c>
      <c r="CD354" s="138" t="str">
        <f aca="false">IF(ISBLANK($C354),"",$BR354)</f>
        <v/>
      </c>
      <c r="CE354" s="139" t="str">
        <f aca="false">IF(ISBLANK($C354),"",IF($CD354=Constants!$B$9,COUNTA($C$9:$C$508)+2,IF($CD354=Constants!$B$8,COUNTA($C$9:$C$508)+1,IF($CD354=Constants!$B$7,COUNTA($C$9:$C$508),$CD354))))</f>
        <v/>
      </c>
      <c r="CF354" s="9"/>
      <c r="CG354" s="140" t="n">
        <f aca="false">IF(OR(ISNUMBER($CD354),$CD354=Constants!$B$9,$CD354=Constants!$B$7,$CD354=Constants!$B$8),1,0)</f>
        <v>0</v>
      </c>
      <c r="CH354" s="140" t="n">
        <v>346</v>
      </c>
      <c r="CI354" s="140" t="str">
        <f aca="false">IF(ISBLANK($C354),"",IF(ISNUMBER($CE354),$CE354+ROW($B354)/1000,""))</f>
        <v/>
      </c>
      <c r="CJ354" s="140" t="str">
        <f aca="false">IF(ISNUMBER($CI354),RANK($CI354,$CI$9:$CI$508,1),"")</f>
        <v/>
      </c>
      <c r="CK354" s="140" t="str">
        <f aca="false">IF(ISBLANK($C354),"",$B354)</f>
        <v/>
      </c>
      <c r="CL354" s="140" t="str">
        <f aca="false">IF(ISBLANK($C354),"",$C354)</f>
        <v/>
      </c>
      <c r="CM354" s="140" t="str">
        <f aca="false">IF(ISBLANK($C354),"",$D354)</f>
        <v/>
      </c>
      <c r="CN354" s="141" t="str">
        <f aca="false">$CB354</f>
        <v/>
      </c>
      <c r="CO354" s="142" t="str">
        <f aca="false">$CA354</f>
        <v/>
      </c>
      <c r="CP354" s="140" t="str">
        <f aca="false">IF(ISBLANK($C354),"",$CD354)</f>
        <v/>
      </c>
      <c r="CQ354" s="143" t="str">
        <f aca="false">IF($CH354&gt;$CG$8,"",VLOOKUP($CH354,$CJ$9:$CP$508,7,FALSE()))</f>
        <v/>
      </c>
      <c r="CR354" s="144" t="str">
        <f aca="false">IF($CH354&gt;$CG$8,"",VLOOKUP($CH354,$CJ$9:$CP$508,2,FALSE()))</f>
        <v/>
      </c>
      <c r="CS354" s="144" t="str">
        <f aca="false">IF($CH354&gt;$CG$8,"",VLOOKUP($CH354,$CJ$9:$CP$508,3,FALSE()))</f>
        <v/>
      </c>
      <c r="CT354" s="144" t="str">
        <f aca="false">IF($CH354&gt;$CG$8,"",VLOOKUP($CH354,$CJ$9:$CP$508,4,FALSE()))</f>
        <v/>
      </c>
      <c r="CU354" s="144" t="str">
        <f aca="false">IF($CH354&gt;$CG$8,"",VLOOKUP($CH354,$CJ$9:$CP$508,5,FALSE()))</f>
        <v/>
      </c>
      <c r="CV354" s="145" t="str">
        <f aca="false">IF($CH354&gt;$CG$8,"",VLOOKUP($CH354,$CJ$9:$CP$508,6,FALSE()))</f>
        <v/>
      </c>
      <c r="CW354" s="71"/>
    </row>
    <row r="355" customFormat="false" ht="15.75" hidden="false" customHeight="false" outlineLevel="0" collapsed="false">
      <c r="A355" s="9"/>
      <c r="B355" s="150"/>
      <c r="C355" s="151"/>
      <c r="D355" s="152"/>
      <c r="E355" s="170"/>
      <c r="F355" s="154"/>
      <c r="G355" s="155"/>
      <c r="H355" s="171"/>
      <c r="I355" s="159"/>
      <c r="J355" s="120"/>
      <c r="K355" s="121"/>
      <c r="L355" s="122"/>
      <c r="M355" s="158"/>
      <c r="N355" s="159"/>
      <c r="O355" s="159"/>
      <c r="P355" s="120"/>
      <c r="Q355" s="122"/>
      <c r="R355" s="122"/>
      <c r="S355" s="158"/>
      <c r="T355" s="159"/>
      <c r="U355" s="126"/>
      <c r="V355" s="127"/>
      <c r="W355" s="127" t="str">
        <f aca="false">IF(ISBLANK($C355),"",IF(E355=Constants!$B$2,TRUE(),IF(E355=Constants!$B$3,FALSE(),TRUE())))</f>
        <v/>
      </c>
      <c r="X355" s="127" t="str">
        <f aca="false">IF(ISBLANK($C355),"",IF(F355=Constants!$B$2,TRUE(),IF(F355=Constants!$B$3,FALSE(),TRUE())))</f>
        <v/>
      </c>
      <c r="Y355" s="127" t="str">
        <f aca="false">IF(ISBLANK($C355),"",IF(G355=Constants!$B$2,TRUE(),IF(G355=Constants!$B$3,FALSE(),TRUE())))</f>
        <v/>
      </c>
      <c r="Z355" s="127" t="str">
        <f aca="false">IF(ISBLANK($C355),"",IF(H355=Constants!$B$2,TRUE(),IF(H355=Constants!$B$3,FALSE(),TRUE())))</f>
        <v/>
      </c>
      <c r="AA355" s="127" t="str">
        <f aca="false">IF(ISBLANK($C355),"",IF(I355=Constants!$B$2,TRUE(),IF(I355=Constants!$B$3,FALSE(),TRUE())))</f>
        <v/>
      </c>
      <c r="AB355" s="127" t="str">
        <f aca="false">IF(ISBLANK($C355),"",IF(J355=Constants!$B$4,TRUE(),IF(J355=Constants!$B$5,FALSE(),COUNTA(K355:M355)&gt;0)))</f>
        <v/>
      </c>
      <c r="AC355" s="128" t="str">
        <f aca="false">IF(ISBLANK($C355),"",IF(ISNUMBER(K355),IF(K355&gt;=0,K355,""),""))</f>
        <v/>
      </c>
      <c r="AD355" s="129" t="str">
        <f aca="false">IF(ISBLANK($C355),"",IF(ISNUMBER(L355),IF(L355&gt;=0,L355,""),""))</f>
        <v/>
      </c>
      <c r="AE355" s="127" t="str">
        <f aca="false">IF(ISBLANK($C355),"",IF(ISNUMBER(M355),IF(M355&gt;=0,MIN(M355,Constants!$B$22),""),""))</f>
        <v/>
      </c>
      <c r="AF355" s="127" t="str">
        <f aca="false">IF(ISBLANK($C355),"",IF(N355=Constants!$B$2,TRUE(),IF(N355=Constants!$B$3,FALSE(),TRUE())))</f>
        <v/>
      </c>
      <c r="AG355" s="127" t="str">
        <f aca="false">IF(ISBLANK($C355),"",IF(O355=Constants!$B$2,TRUE(),IF(O355=Constants!$B$3,FALSE(),TRUE())))</f>
        <v/>
      </c>
      <c r="AH355" s="127" t="str">
        <f aca="false">IF(ISBLANK($C355),"",IF(P355=Constants!$B$4,TRUE(),IF(P355=Constants!$B$5,FALSE(),COUNTA(Q355:S355)&gt;0)))</f>
        <v/>
      </c>
      <c r="AI355" s="128" t="str">
        <f aca="false">IF(ISBLANK($C355),"",IF(ISNUMBER(Q355),IF(Q355&gt;=0,Q355,""),""))</f>
        <v/>
      </c>
      <c r="AJ355" s="129" t="str">
        <f aca="false">IF(ISBLANK($C355),"",IF(ISNUMBER(R355),IF(R355&gt;=0,R355,""),""))</f>
        <v/>
      </c>
      <c r="AK355" s="127" t="str">
        <f aca="false">IF(ISBLANK($C355),"",IF(ISNUMBER(S355),IF(S355&gt;=0,MIN(S355,Constants!$B$22),""),""))</f>
        <v/>
      </c>
      <c r="AL355" s="127" t="str">
        <f aca="false">IF(ISBLANK($C355),"",IF(T355=Constants!$B$2,TRUE(),IF(T355=Constants!$B$3,FALSE(),FALSE())))</f>
        <v/>
      </c>
      <c r="AM355" s="126" t="str">
        <f aca="false">IF(ISBLANK($C355),"",AND($AB355,OR($AC355="",$AD355="",AND(NOT(ISBLANK($M355)),$AE355=""))))</f>
        <v/>
      </c>
      <c r="AN355" s="129" t="str">
        <f aca="false">IF($BD355&lt;&gt;Constants!$B$6,"",IF($AB355,Constants!$B$17*$AD355,Constants!$B$18))</f>
        <v/>
      </c>
      <c r="AO355" s="130" t="str">
        <f aca="false">IF($BD355&lt;&gt;Constants!$B$6,"",Constants!$B$19*IF($AB355,$AC355,0))</f>
        <v/>
      </c>
      <c r="AP355" s="130" t="str">
        <f aca="false">IF($BD355&lt;&gt;Constants!$B$6,"",IF(AND($AB355,ISNUMBER($AE355)),Constants!$B$20*(Constants!$B$21-$AE355),0))</f>
        <v/>
      </c>
      <c r="AQ355" s="130" t="str">
        <f aca="false">IF($BD355&lt;&gt;Constants!$B$6,"",IF($AA355,0,Constants!$B$12)+IF($Z355,0,Constants!$B$13)+IF($Y355,0,Constants!$B$14))</f>
        <v/>
      </c>
      <c r="AR355" s="131" t="str">
        <f aca="false">IF($BD355&lt;&gt;Constants!$B$6,"",Constants!$B$16+SUM($AN355:$AQ355))</f>
        <v/>
      </c>
      <c r="AS355" s="130" t="str">
        <f aca="false">IF($BD355&lt;&gt;Constants!$B$6,"",IF($AB355,$AD355,""))</f>
        <v/>
      </c>
      <c r="AT355" s="132" t="str">
        <f aca="false">IF($BD355&lt;&gt;Constants!$B$6,"",$AO355)</f>
        <v/>
      </c>
      <c r="AU355" s="127" t="str">
        <f aca="false">IF($BD355&lt;&gt;Constants!$B$6,"",IF(OR($BA355&lt;$AR355,AND($BA355=$AR355,OR(AND(ISNUMBER($BB355),OR(NOT(ISNUMBER($AS355)),$BB355&lt;$AS355)),AND(OR(AND($BB355="",$AS355=""),AND(ISNUMBER($BB355),ISNUMBER($AS355),$BB355=$AS355)),$BC355&lt;$AT355)))),"-&gt;","&lt;-"))</f>
        <v/>
      </c>
      <c r="AV355" s="126" t="str">
        <f aca="false">IF(ISBLANK($C355),"",AND($AH355,OR($AI355="",$AJ355="",AND(NOT(ISBLANK($S355)),$AK355=""))))</f>
        <v/>
      </c>
      <c r="AW355" s="129" t="str">
        <f aca="false">IF($BD355&lt;&gt;Constants!$B$6,"",IF($AH355,Constants!$B$17*$AJ355,Constants!$B$18))</f>
        <v/>
      </c>
      <c r="AX355" s="130" t="str">
        <f aca="false">IF($BD355&lt;&gt;Constants!$B$6,"",Constants!$B$19*IF($AH355,$AI355,0))</f>
        <v/>
      </c>
      <c r="AY355" s="130" t="str">
        <f aca="false">IF($BD355&lt;&gt;Constants!$B$6,"",IF(AND($AH355,ISNUMBER($AK355)),Constants!$B$20*(Constants!$B$21-$AK355),0))</f>
        <v/>
      </c>
      <c r="AZ355" s="130" t="str">
        <f aca="false">IF($BD355&lt;&gt;Constants!$B$6,"",IF($AG355,0,Constants!$B$12)+IF($AF355,0,Constants!$B$13)+IF($Y355,0,Constants!$B$14))</f>
        <v/>
      </c>
      <c r="BA355" s="131" t="str">
        <f aca="false">IF($BD355&lt;&gt;Constants!$B$6,"",Constants!$B$16+SUM($AW355:$AZ355))</f>
        <v/>
      </c>
      <c r="BB355" s="130" t="str">
        <f aca="false">IF($BD355&lt;&gt;Constants!$B$6,"",IF($AH355,$AJ355,""))</f>
        <v/>
      </c>
      <c r="BC355" s="132" t="str">
        <f aca="false">IF($BD355&lt;&gt;Constants!$B$6,"",$AX355)</f>
        <v/>
      </c>
      <c r="BD355" s="127" t="str">
        <f aca="false">IF(ISBLANK($C355),"",IF($AL355,Constants!$B$9,IF(COUNTA($E355:$T355)=0,Constants!$B$8,IF(NOT($X355),Constants!$B$7,IF(OR($AM355,$AV355),Constants!$B$10,Constants!$B$6)))))</f>
        <v/>
      </c>
      <c r="BE355" s="127" t="str">
        <f aca="false">IF(ISBLANK($C355),"",IF($BD355&lt;&gt;Constants!$B$6,$BD355,Constants!$B$11))</f>
        <v/>
      </c>
      <c r="BF355" s="130" t="str">
        <f aca="false">IF($BD355&lt;&gt;Constants!$B$6,"",IF($AU355="-&gt;",$BA355,$AR355))</f>
        <v/>
      </c>
      <c r="BG355" s="130" t="str">
        <f aca="false">IF($BD355&lt;&gt;Constants!$B$6,"",IF($W355,0,Constants!$B$15))</f>
        <v/>
      </c>
      <c r="BH355" s="130" t="str">
        <f aca="false">IF(ISBLANK($C355),"",IF($BD355&lt;&gt;Constants!$B$6,$BD355,SUM($BF355:$BG355)))</f>
        <v/>
      </c>
      <c r="BI355" s="127" t="str">
        <f aca="false">IF(ISBLANK($C355),"",IF($BD355&lt;&gt;Constants!$B$6,$BD355,RANK($BH355,$BH$9:$BH$508,1)))</f>
        <v/>
      </c>
      <c r="BJ355" s="130" t="str">
        <f aca="false">IF($BD355&lt;&gt;Constants!$B$6,"",IF($AU355="-&gt;",$BB355,$AS355))</f>
        <v/>
      </c>
      <c r="BK355" s="127" t="str">
        <f aca="false">IF(ISBLANK($C355),"",IF($BD355&lt;&gt;Constants!$B$6,$BD355,IF(ISNUMBER($BJ355),RANK($BJ355,$BJ$9:$BJ$508,1),COUNT($BJ$9:$BJ$508)+1)))</f>
        <v/>
      </c>
      <c r="BL355" s="130" t="str">
        <f aca="false">IF($BD355&lt;&gt;Constants!$B$6,"",IF($AU355="-&gt;",$BC355,$AT355))</f>
        <v/>
      </c>
      <c r="BM355" s="127" t="str">
        <f aca="false">IF(ISBLANK($C355),"",IF($BD355&lt;&gt;Constants!$B$6,$BD355,IF(ISNUMBER($BL355),RANK($BL355,$BL$9:$BL$508,1),COUNT($BL$9:$BL$508)+1)))</f>
        <v/>
      </c>
      <c r="BN355" s="130" t="str">
        <f aca="false">IF($BD355&lt;&gt;Constants!$B$6,"",IF($AU355="-&gt;",$AS355,$BB355))</f>
        <v/>
      </c>
      <c r="BO355" s="127" t="str">
        <f aca="false">IF(ISBLANK($C355),"",IF($BD355&lt;&gt;Constants!$B$6,$BD355,IF(ISNUMBER($BN355),RANK($BN355,$BN$9:$BN$508,1),COUNT($BN$9:$BN$508)+1)))</f>
        <v/>
      </c>
      <c r="BP355" s="130" t="str">
        <f aca="false">IF($BD355&lt;&gt;Constants!$B$6,"",IF($AU355="-&gt;",$AT355,$BC355))</f>
        <v/>
      </c>
      <c r="BQ355" s="127" t="str">
        <f aca="false">IF(ISBLANK($C355),"",IF($BD355&lt;&gt;Constants!$B$6,$BD355,IF(ISNUMBER($BP355),RANK($BP355,$BP$9:$BP$508,1),COUNT($BP$9:$BP$508)+1)))</f>
        <v/>
      </c>
      <c r="BR355" s="127" t="str">
        <f aca="false">IF(ISBLANK($C355),"",IF($BD355&lt;&gt;Constants!$B$6,$BD355,COUNTIFS($BI$9:$BI$508,"&lt;"&amp;$BI355)+COUNTIFS($BI$9:$BI$508,$BI355,$BK$9:$BK$508,"&lt;"&amp;$BK355)+COUNTIFS($BI$9:$BI$508,$BI355,$BK$9:$BK$508,$BK355,$BM$9:$BM$508,"&lt;"&amp;$BM355)+COUNTIFS($BI$9:$BI$508,$BI355,$BK$9:$BK$508,$BK355,$BM$9:$BM$508,$BM355,$BO$9:$BO$508,"&lt;"&amp;$BO355)+COUNTIFS($BI$9:$BI$508,$BI355,$BK$9:$BK$508,$BK355,$BM$9:$BM$508,$BM355,$BO$9:$BO$508,$BO355,$BQ$9:$BQ$508,"&lt;"&amp;$BQ355)+1))</f>
        <v/>
      </c>
      <c r="BS355" s="127" t="str">
        <f aca="false">IF(ISBLANK($C355),"",IF($BD355&lt;&gt;Constants!$B$6,$BD355,$BI355-$BR355))</f>
        <v/>
      </c>
      <c r="BT355" s="133"/>
      <c r="BU355" s="134"/>
      <c r="BV355" s="134" t="str">
        <f aca="false">IF(ISBLANK($C355),"",IF($BD355&lt;&gt;Constants!$B$6,"",IF($AU355="-&gt;",2,1)))</f>
        <v/>
      </c>
      <c r="BW355" s="135" t="str">
        <f aca="false">IF(ISBLANK($C355),"",IF($BD355&lt;&gt;Constants!$B$6,"",IF($AU355="-&gt;",$AW355,$AN355)))</f>
        <v/>
      </c>
      <c r="BX355" s="135" t="str">
        <f aca="false">IF(ISBLANK($C355),"",IF($BD355&lt;&gt;Constants!$B$6,"",IF($AU355="-&gt;",$AX355,$AO355)))</f>
        <v/>
      </c>
      <c r="BY355" s="135" t="str">
        <f aca="false">IF(ISBLANK($C355),"",IF($BD355&lt;&gt;Constants!$B$6,"",IF($AU355="-&gt;",$AY355,$AP355)))</f>
        <v/>
      </c>
      <c r="BZ355" s="135" t="str">
        <f aca="false">IF(ISBLANK($C355),"",IF($BD355&lt;&gt;Constants!$B$6,"",IF($AU355="-&gt;",$AZ355,$AQ355)+$BG355))</f>
        <v/>
      </c>
      <c r="CA355" s="136" t="str">
        <f aca="false">IF(ISBLANK($C355),"",IF($BD355&lt;&gt;Constants!$B$6,$BD355,$BH355))</f>
        <v/>
      </c>
      <c r="CB355" s="137" t="str">
        <f aca="false">IF(ISBLANK($C355),"",$BE355)</f>
        <v/>
      </c>
      <c r="CC355" s="138" t="str">
        <f aca="false">IF(ISBLANK($C355),"",$BS355)</f>
        <v/>
      </c>
      <c r="CD355" s="138" t="str">
        <f aca="false">IF(ISBLANK($C355),"",$BR355)</f>
        <v/>
      </c>
      <c r="CE355" s="139" t="str">
        <f aca="false">IF(ISBLANK($C355),"",IF($CD355=Constants!$B$9,COUNTA($C$9:$C$508)+2,IF($CD355=Constants!$B$8,COUNTA($C$9:$C$508)+1,IF($CD355=Constants!$B$7,COUNTA($C$9:$C$508),$CD355))))</f>
        <v/>
      </c>
      <c r="CF355" s="9"/>
      <c r="CG355" s="140" t="n">
        <f aca="false">IF(OR(ISNUMBER($CD355),$CD355=Constants!$B$9,$CD355=Constants!$B$7,$CD355=Constants!$B$8),1,0)</f>
        <v>0</v>
      </c>
      <c r="CH355" s="140" t="n">
        <v>347</v>
      </c>
      <c r="CI355" s="140" t="str">
        <f aca="false">IF(ISBLANK($C355),"",IF(ISNUMBER($CE355),$CE355+ROW($B355)/1000,""))</f>
        <v/>
      </c>
      <c r="CJ355" s="140" t="str">
        <f aca="false">IF(ISNUMBER($CI355),RANK($CI355,$CI$9:$CI$508,1),"")</f>
        <v/>
      </c>
      <c r="CK355" s="140" t="str">
        <f aca="false">IF(ISBLANK($C355),"",$B355)</f>
        <v/>
      </c>
      <c r="CL355" s="140" t="str">
        <f aca="false">IF(ISBLANK($C355),"",$C355)</f>
        <v/>
      </c>
      <c r="CM355" s="140" t="str">
        <f aca="false">IF(ISBLANK($C355),"",$D355)</f>
        <v/>
      </c>
      <c r="CN355" s="141" t="str">
        <f aca="false">$CB355</f>
        <v/>
      </c>
      <c r="CO355" s="142" t="str">
        <f aca="false">$CA355</f>
        <v/>
      </c>
      <c r="CP355" s="140" t="str">
        <f aca="false">IF(ISBLANK($C355),"",$CD355)</f>
        <v/>
      </c>
      <c r="CQ355" s="143" t="str">
        <f aca="false">IF($CH355&gt;$CG$8,"",VLOOKUP($CH355,$CJ$9:$CP$508,7,FALSE()))</f>
        <v/>
      </c>
      <c r="CR355" s="144" t="str">
        <f aca="false">IF($CH355&gt;$CG$8,"",VLOOKUP($CH355,$CJ$9:$CP$508,2,FALSE()))</f>
        <v/>
      </c>
      <c r="CS355" s="144" t="str">
        <f aca="false">IF($CH355&gt;$CG$8,"",VLOOKUP($CH355,$CJ$9:$CP$508,3,FALSE()))</f>
        <v/>
      </c>
      <c r="CT355" s="144" t="str">
        <f aca="false">IF($CH355&gt;$CG$8,"",VLOOKUP($CH355,$CJ$9:$CP$508,4,FALSE()))</f>
        <v/>
      </c>
      <c r="CU355" s="144" t="str">
        <f aca="false">IF($CH355&gt;$CG$8,"",VLOOKUP($CH355,$CJ$9:$CP$508,5,FALSE()))</f>
        <v/>
      </c>
      <c r="CV355" s="145" t="str">
        <f aca="false">IF($CH355&gt;$CG$8,"",VLOOKUP($CH355,$CJ$9:$CP$508,6,FALSE()))</f>
        <v/>
      </c>
      <c r="CW355" s="71"/>
    </row>
    <row r="356" customFormat="false" ht="15.75" hidden="false" customHeight="false" outlineLevel="0" collapsed="false">
      <c r="A356" s="9"/>
      <c r="B356" s="150"/>
      <c r="C356" s="151"/>
      <c r="D356" s="152"/>
      <c r="E356" s="170"/>
      <c r="F356" s="154"/>
      <c r="G356" s="155"/>
      <c r="H356" s="171"/>
      <c r="I356" s="159"/>
      <c r="J356" s="120"/>
      <c r="K356" s="121"/>
      <c r="L356" s="122"/>
      <c r="M356" s="158"/>
      <c r="N356" s="159"/>
      <c r="O356" s="159"/>
      <c r="P356" s="120"/>
      <c r="Q356" s="122"/>
      <c r="R356" s="122"/>
      <c r="S356" s="158"/>
      <c r="T356" s="159"/>
      <c r="U356" s="126"/>
      <c r="V356" s="127"/>
      <c r="W356" s="127" t="str">
        <f aca="false">IF(ISBLANK($C356),"",IF(E356=Constants!$B$2,TRUE(),IF(E356=Constants!$B$3,FALSE(),TRUE())))</f>
        <v/>
      </c>
      <c r="X356" s="127" t="str">
        <f aca="false">IF(ISBLANK($C356),"",IF(F356=Constants!$B$2,TRUE(),IF(F356=Constants!$B$3,FALSE(),TRUE())))</f>
        <v/>
      </c>
      <c r="Y356" s="127" t="str">
        <f aca="false">IF(ISBLANK($C356),"",IF(G356=Constants!$B$2,TRUE(),IF(G356=Constants!$B$3,FALSE(),TRUE())))</f>
        <v/>
      </c>
      <c r="Z356" s="127" t="str">
        <f aca="false">IF(ISBLANK($C356),"",IF(H356=Constants!$B$2,TRUE(),IF(H356=Constants!$B$3,FALSE(),TRUE())))</f>
        <v/>
      </c>
      <c r="AA356" s="127" t="str">
        <f aca="false">IF(ISBLANK($C356),"",IF(I356=Constants!$B$2,TRUE(),IF(I356=Constants!$B$3,FALSE(),TRUE())))</f>
        <v/>
      </c>
      <c r="AB356" s="127" t="str">
        <f aca="false">IF(ISBLANK($C356),"",IF(J356=Constants!$B$4,TRUE(),IF(J356=Constants!$B$5,FALSE(),COUNTA(K356:M356)&gt;0)))</f>
        <v/>
      </c>
      <c r="AC356" s="128" t="str">
        <f aca="false">IF(ISBLANK($C356),"",IF(ISNUMBER(K356),IF(K356&gt;=0,K356,""),""))</f>
        <v/>
      </c>
      <c r="AD356" s="129" t="str">
        <f aca="false">IF(ISBLANK($C356),"",IF(ISNUMBER(L356),IF(L356&gt;=0,L356,""),""))</f>
        <v/>
      </c>
      <c r="AE356" s="127" t="str">
        <f aca="false">IF(ISBLANK($C356),"",IF(ISNUMBER(M356),IF(M356&gt;=0,MIN(M356,Constants!$B$22),""),""))</f>
        <v/>
      </c>
      <c r="AF356" s="127" t="str">
        <f aca="false">IF(ISBLANK($C356),"",IF(N356=Constants!$B$2,TRUE(),IF(N356=Constants!$B$3,FALSE(),TRUE())))</f>
        <v/>
      </c>
      <c r="AG356" s="127" t="str">
        <f aca="false">IF(ISBLANK($C356),"",IF(O356=Constants!$B$2,TRUE(),IF(O356=Constants!$B$3,FALSE(),TRUE())))</f>
        <v/>
      </c>
      <c r="AH356" s="127" t="str">
        <f aca="false">IF(ISBLANK($C356),"",IF(P356=Constants!$B$4,TRUE(),IF(P356=Constants!$B$5,FALSE(),COUNTA(Q356:S356)&gt;0)))</f>
        <v/>
      </c>
      <c r="AI356" s="128" t="str">
        <f aca="false">IF(ISBLANK($C356),"",IF(ISNUMBER(Q356),IF(Q356&gt;=0,Q356,""),""))</f>
        <v/>
      </c>
      <c r="AJ356" s="129" t="str">
        <f aca="false">IF(ISBLANK($C356),"",IF(ISNUMBER(R356),IF(R356&gt;=0,R356,""),""))</f>
        <v/>
      </c>
      <c r="AK356" s="127" t="str">
        <f aca="false">IF(ISBLANK($C356),"",IF(ISNUMBER(S356),IF(S356&gt;=0,MIN(S356,Constants!$B$22),""),""))</f>
        <v/>
      </c>
      <c r="AL356" s="127" t="str">
        <f aca="false">IF(ISBLANK($C356),"",IF(T356=Constants!$B$2,TRUE(),IF(T356=Constants!$B$3,FALSE(),FALSE())))</f>
        <v/>
      </c>
      <c r="AM356" s="126" t="str">
        <f aca="false">IF(ISBLANK($C356),"",AND($AB356,OR($AC356="",$AD356="",AND(NOT(ISBLANK($M356)),$AE356=""))))</f>
        <v/>
      </c>
      <c r="AN356" s="129" t="str">
        <f aca="false">IF($BD356&lt;&gt;Constants!$B$6,"",IF($AB356,Constants!$B$17*$AD356,Constants!$B$18))</f>
        <v/>
      </c>
      <c r="AO356" s="130" t="str">
        <f aca="false">IF($BD356&lt;&gt;Constants!$B$6,"",Constants!$B$19*IF($AB356,$AC356,0))</f>
        <v/>
      </c>
      <c r="AP356" s="130" t="str">
        <f aca="false">IF($BD356&lt;&gt;Constants!$B$6,"",IF(AND($AB356,ISNUMBER($AE356)),Constants!$B$20*(Constants!$B$21-$AE356),0))</f>
        <v/>
      </c>
      <c r="AQ356" s="130" t="str">
        <f aca="false">IF($BD356&lt;&gt;Constants!$B$6,"",IF($AA356,0,Constants!$B$12)+IF($Z356,0,Constants!$B$13)+IF($Y356,0,Constants!$B$14))</f>
        <v/>
      </c>
      <c r="AR356" s="131" t="str">
        <f aca="false">IF($BD356&lt;&gt;Constants!$B$6,"",Constants!$B$16+SUM($AN356:$AQ356))</f>
        <v/>
      </c>
      <c r="AS356" s="130" t="str">
        <f aca="false">IF($BD356&lt;&gt;Constants!$B$6,"",IF($AB356,$AD356,""))</f>
        <v/>
      </c>
      <c r="AT356" s="132" t="str">
        <f aca="false">IF($BD356&lt;&gt;Constants!$B$6,"",$AO356)</f>
        <v/>
      </c>
      <c r="AU356" s="127" t="str">
        <f aca="false">IF($BD356&lt;&gt;Constants!$B$6,"",IF(OR($BA356&lt;$AR356,AND($BA356=$AR356,OR(AND(ISNUMBER($BB356),OR(NOT(ISNUMBER($AS356)),$BB356&lt;$AS356)),AND(OR(AND($BB356="",$AS356=""),AND(ISNUMBER($BB356),ISNUMBER($AS356),$BB356=$AS356)),$BC356&lt;$AT356)))),"-&gt;","&lt;-"))</f>
        <v/>
      </c>
      <c r="AV356" s="126" t="str">
        <f aca="false">IF(ISBLANK($C356),"",AND($AH356,OR($AI356="",$AJ356="",AND(NOT(ISBLANK($S356)),$AK356=""))))</f>
        <v/>
      </c>
      <c r="AW356" s="129" t="str">
        <f aca="false">IF($BD356&lt;&gt;Constants!$B$6,"",IF($AH356,Constants!$B$17*$AJ356,Constants!$B$18))</f>
        <v/>
      </c>
      <c r="AX356" s="130" t="str">
        <f aca="false">IF($BD356&lt;&gt;Constants!$B$6,"",Constants!$B$19*IF($AH356,$AI356,0))</f>
        <v/>
      </c>
      <c r="AY356" s="130" t="str">
        <f aca="false">IF($BD356&lt;&gt;Constants!$B$6,"",IF(AND($AH356,ISNUMBER($AK356)),Constants!$B$20*(Constants!$B$21-$AK356),0))</f>
        <v/>
      </c>
      <c r="AZ356" s="130" t="str">
        <f aca="false">IF($BD356&lt;&gt;Constants!$B$6,"",IF($AG356,0,Constants!$B$12)+IF($AF356,0,Constants!$B$13)+IF($Y356,0,Constants!$B$14))</f>
        <v/>
      </c>
      <c r="BA356" s="131" t="str">
        <f aca="false">IF($BD356&lt;&gt;Constants!$B$6,"",Constants!$B$16+SUM($AW356:$AZ356))</f>
        <v/>
      </c>
      <c r="BB356" s="130" t="str">
        <f aca="false">IF($BD356&lt;&gt;Constants!$B$6,"",IF($AH356,$AJ356,""))</f>
        <v/>
      </c>
      <c r="BC356" s="132" t="str">
        <f aca="false">IF($BD356&lt;&gt;Constants!$B$6,"",$AX356)</f>
        <v/>
      </c>
      <c r="BD356" s="127" t="str">
        <f aca="false">IF(ISBLANK($C356),"",IF($AL356,Constants!$B$9,IF(COUNTA($E356:$T356)=0,Constants!$B$8,IF(NOT($X356),Constants!$B$7,IF(OR($AM356,$AV356),Constants!$B$10,Constants!$B$6)))))</f>
        <v/>
      </c>
      <c r="BE356" s="127" t="str">
        <f aca="false">IF(ISBLANK($C356),"",IF($BD356&lt;&gt;Constants!$B$6,$BD356,Constants!$B$11))</f>
        <v/>
      </c>
      <c r="BF356" s="130" t="str">
        <f aca="false">IF($BD356&lt;&gt;Constants!$B$6,"",IF($AU356="-&gt;",$BA356,$AR356))</f>
        <v/>
      </c>
      <c r="BG356" s="130" t="str">
        <f aca="false">IF($BD356&lt;&gt;Constants!$B$6,"",IF($W356,0,Constants!$B$15))</f>
        <v/>
      </c>
      <c r="BH356" s="130" t="str">
        <f aca="false">IF(ISBLANK($C356),"",IF($BD356&lt;&gt;Constants!$B$6,$BD356,SUM($BF356:$BG356)))</f>
        <v/>
      </c>
      <c r="BI356" s="127" t="str">
        <f aca="false">IF(ISBLANK($C356),"",IF($BD356&lt;&gt;Constants!$B$6,$BD356,RANK($BH356,$BH$9:$BH$508,1)))</f>
        <v/>
      </c>
      <c r="BJ356" s="130" t="str">
        <f aca="false">IF($BD356&lt;&gt;Constants!$B$6,"",IF($AU356="-&gt;",$BB356,$AS356))</f>
        <v/>
      </c>
      <c r="BK356" s="127" t="str">
        <f aca="false">IF(ISBLANK($C356),"",IF($BD356&lt;&gt;Constants!$B$6,$BD356,IF(ISNUMBER($BJ356),RANK($BJ356,$BJ$9:$BJ$508,1),COUNT($BJ$9:$BJ$508)+1)))</f>
        <v/>
      </c>
      <c r="BL356" s="130" t="str">
        <f aca="false">IF($BD356&lt;&gt;Constants!$B$6,"",IF($AU356="-&gt;",$BC356,$AT356))</f>
        <v/>
      </c>
      <c r="BM356" s="127" t="str">
        <f aca="false">IF(ISBLANK($C356),"",IF($BD356&lt;&gt;Constants!$B$6,$BD356,IF(ISNUMBER($BL356),RANK($BL356,$BL$9:$BL$508,1),COUNT($BL$9:$BL$508)+1)))</f>
        <v/>
      </c>
      <c r="BN356" s="130" t="str">
        <f aca="false">IF($BD356&lt;&gt;Constants!$B$6,"",IF($AU356="-&gt;",$AS356,$BB356))</f>
        <v/>
      </c>
      <c r="BO356" s="127" t="str">
        <f aca="false">IF(ISBLANK($C356),"",IF($BD356&lt;&gt;Constants!$B$6,$BD356,IF(ISNUMBER($BN356),RANK($BN356,$BN$9:$BN$508,1),COUNT($BN$9:$BN$508)+1)))</f>
        <v/>
      </c>
      <c r="BP356" s="130" t="str">
        <f aca="false">IF($BD356&lt;&gt;Constants!$B$6,"",IF($AU356="-&gt;",$AT356,$BC356))</f>
        <v/>
      </c>
      <c r="BQ356" s="127" t="str">
        <f aca="false">IF(ISBLANK($C356),"",IF($BD356&lt;&gt;Constants!$B$6,$BD356,IF(ISNUMBER($BP356),RANK($BP356,$BP$9:$BP$508,1),COUNT($BP$9:$BP$508)+1)))</f>
        <v/>
      </c>
      <c r="BR356" s="127" t="str">
        <f aca="false">IF(ISBLANK($C356),"",IF($BD356&lt;&gt;Constants!$B$6,$BD356,COUNTIFS($BI$9:$BI$508,"&lt;"&amp;$BI356)+COUNTIFS($BI$9:$BI$508,$BI356,$BK$9:$BK$508,"&lt;"&amp;$BK356)+COUNTIFS($BI$9:$BI$508,$BI356,$BK$9:$BK$508,$BK356,$BM$9:$BM$508,"&lt;"&amp;$BM356)+COUNTIFS($BI$9:$BI$508,$BI356,$BK$9:$BK$508,$BK356,$BM$9:$BM$508,$BM356,$BO$9:$BO$508,"&lt;"&amp;$BO356)+COUNTIFS($BI$9:$BI$508,$BI356,$BK$9:$BK$508,$BK356,$BM$9:$BM$508,$BM356,$BO$9:$BO$508,$BO356,$BQ$9:$BQ$508,"&lt;"&amp;$BQ356)+1))</f>
        <v/>
      </c>
      <c r="BS356" s="127" t="str">
        <f aca="false">IF(ISBLANK($C356),"",IF($BD356&lt;&gt;Constants!$B$6,$BD356,$BI356-$BR356))</f>
        <v/>
      </c>
      <c r="BT356" s="133"/>
      <c r="BU356" s="134"/>
      <c r="BV356" s="134" t="str">
        <f aca="false">IF(ISBLANK($C356),"",IF($BD356&lt;&gt;Constants!$B$6,"",IF($AU356="-&gt;",2,1)))</f>
        <v/>
      </c>
      <c r="BW356" s="135" t="str">
        <f aca="false">IF(ISBLANK($C356),"",IF($BD356&lt;&gt;Constants!$B$6,"",IF($AU356="-&gt;",$AW356,$AN356)))</f>
        <v/>
      </c>
      <c r="BX356" s="135" t="str">
        <f aca="false">IF(ISBLANK($C356),"",IF($BD356&lt;&gt;Constants!$B$6,"",IF($AU356="-&gt;",$AX356,$AO356)))</f>
        <v/>
      </c>
      <c r="BY356" s="135" t="str">
        <f aca="false">IF(ISBLANK($C356),"",IF($BD356&lt;&gt;Constants!$B$6,"",IF($AU356="-&gt;",$AY356,$AP356)))</f>
        <v/>
      </c>
      <c r="BZ356" s="135" t="str">
        <f aca="false">IF(ISBLANK($C356),"",IF($BD356&lt;&gt;Constants!$B$6,"",IF($AU356="-&gt;",$AZ356,$AQ356)+$BG356))</f>
        <v/>
      </c>
      <c r="CA356" s="136" t="str">
        <f aca="false">IF(ISBLANK($C356),"",IF($BD356&lt;&gt;Constants!$B$6,$BD356,$BH356))</f>
        <v/>
      </c>
      <c r="CB356" s="137" t="str">
        <f aca="false">IF(ISBLANK($C356),"",$BE356)</f>
        <v/>
      </c>
      <c r="CC356" s="138" t="str">
        <f aca="false">IF(ISBLANK($C356),"",$BS356)</f>
        <v/>
      </c>
      <c r="CD356" s="138" t="str">
        <f aca="false">IF(ISBLANK($C356),"",$BR356)</f>
        <v/>
      </c>
      <c r="CE356" s="139" t="str">
        <f aca="false">IF(ISBLANK($C356),"",IF($CD356=Constants!$B$9,COUNTA($C$9:$C$508)+2,IF($CD356=Constants!$B$8,COUNTA($C$9:$C$508)+1,IF($CD356=Constants!$B$7,COUNTA($C$9:$C$508),$CD356))))</f>
        <v/>
      </c>
      <c r="CF356" s="9"/>
      <c r="CG356" s="140" t="n">
        <f aca="false">IF(OR(ISNUMBER($CD356),$CD356=Constants!$B$9,$CD356=Constants!$B$7,$CD356=Constants!$B$8),1,0)</f>
        <v>0</v>
      </c>
      <c r="CH356" s="140" t="n">
        <v>348</v>
      </c>
      <c r="CI356" s="140" t="str">
        <f aca="false">IF(ISBLANK($C356),"",IF(ISNUMBER($CE356),$CE356+ROW($B356)/1000,""))</f>
        <v/>
      </c>
      <c r="CJ356" s="140" t="str">
        <f aca="false">IF(ISNUMBER($CI356),RANK($CI356,$CI$9:$CI$508,1),"")</f>
        <v/>
      </c>
      <c r="CK356" s="140" t="str">
        <f aca="false">IF(ISBLANK($C356),"",$B356)</f>
        <v/>
      </c>
      <c r="CL356" s="140" t="str">
        <f aca="false">IF(ISBLANK($C356),"",$C356)</f>
        <v/>
      </c>
      <c r="CM356" s="140" t="str">
        <f aca="false">IF(ISBLANK($C356),"",$D356)</f>
        <v/>
      </c>
      <c r="CN356" s="141" t="str">
        <f aca="false">$CB356</f>
        <v/>
      </c>
      <c r="CO356" s="142" t="str">
        <f aca="false">$CA356</f>
        <v/>
      </c>
      <c r="CP356" s="140" t="str">
        <f aca="false">IF(ISBLANK($C356),"",$CD356)</f>
        <v/>
      </c>
      <c r="CQ356" s="143" t="str">
        <f aca="false">IF($CH356&gt;$CG$8,"",VLOOKUP($CH356,$CJ$9:$CP$508,7,FALSE()))</f>
        <v/>
      </c>
      <c r="CR356" s="144" t="str">
        <f aca="false">IF($CH356&gt;$CG$8,"",VLOOKUP($CH356,$CJ$9:$CP$508,2,FALSE()))</f>
        <v/>
      </c>
      <c r="CS356" s="144" t="str">
        <f aca="false">IF($CH356&gt;$CG$8,"",VLOOKUP($CH356,$CJ$9:$CP$508,3,FALSE()))</f>
        <v/>
      </c>
      <c r="CT356" s="144" t="str">
        <f aca="false">IF($CH356&gt;$CG$8,"",VLOOKUP($CH356,$CJ$9:$CP$508,4,FALSE()))</f>
        <v/>
      </c>
      <c r="CU356" s="144" t="str">
        <f aca="false">IF($CH356&gt;$CG$8,"",VLOOKUP($CH356,$CJ$9:$CP$508,5,FALSE()))</f>
        <v/>
      </c>
      <c r="CV356" s="145" t="str">
        <f aca="false">IF($CH356&gt;$CG$8,"",VLOOKUP($CH356,$CJ$9:$CP$508,6,FALSE()))</f>
        <v/>
      </c>
      <c r="CW356" s="71"/>
    </row>
    <row r="357" customFormat="false" ht="15.75" hidden="false" customHeight="false" outlineLevel="0" collapsed="false">
      <c r="A357" s="9"/>
      <c r="B357" s="72"/>
      <c r="C357" s="73"/>
      <c r="D357" s="160"/>
      <c r="E357" s="168"/>
      <c r="F357" s="162"/>
      <c r="G357" s="163"/>
      <c r="H357" s="169"/>
      <c r="I357" s="167"/>
      <c r="J357" s="80"/>
      <c r="K357" s="81"/>
      <c r="L357" s="82"/>
      <c r="M357" s="166"/>
      <c r="N357" s="167"/>
      <c r="O357" s="167"/>
      <c r="P357" s="80"/>
      <c r="Q357" s="82"/>
      <c r="R357" s="82"/>
      <c r="S357" s="166"/>
      <c r="T357" s="167"/>
      <c r="U357" s="86"/>
      <c r="V357" s="87"/>
      <c r="W357" s="87" t="str">
        <f aca="false">IF(ISBLANK($C357),"",IF(E357=Constants!$B$2,TRUE(),IF(E357=Constants!$B$3,FALSE(),TRUE())))</f>
        <v/>
      </c>
      <c r="X357" s="87" t="str">
        <f aca="false">IF(ISBLANK($C357),"",IF(F357=Constants!$B$2,TRUE(),IF(F357=Constants!$B$3,FALSE(),TRUE())))</f>
        <v/>
      </c>
      <c r="Y357" s="87" t="str">
        <f aca="false">IF(ISBLANK($C357),"",IF(G357=Constants!$B$2,TRUE(),IF(G357=Constants!$B$3,FALSE(),TRUE())))</f>
        <v/>
      </c>
      <c r="Z357" s="87" t="str">
        <f aca="false">IF(ISBLANK($C357),"",IF(H357=Constants!$B$2,TRUE(),IF(H357=Constants!$B$3,FALSE(),TRUE())))</f>
        <v/>
      </c>
      <c r="AA357" s="87" t="str">
        <f aca="false">IF(ISBLANK($C357),"",IF(I357=Constants!$B$2,TRUE(),IF(I357=Constants!$B$3,FALSE(),TRUE())))</f>
        <v/>
      </c>
      <c r="AB357" s="87" t="str">
        <f aca="false">IF(ISBLANK($C357),"",IF(J357=Constants!$B$4,TRUE(),IF(J357=Constants!$B$5,FALSE(),COUNTA(K357:M357)&gt;0)))</f>
        <v/>
      </c>
      <c r="AC357" s="88" t="str">
        <f aca="false">IF(ISBLANK($C357),"",IF(ISNUMBER(K357),IF(K357&gt;=0,K357,""),""))</f>
        <v/>
      </c>
      <c r="AD357" s="89" t="str">
        <f aca="false">IF(ISBLANK($C357),"",IF(ISNUMBER(L357),IF(L357&gt;=0,L357,""),""))</f>
        <v/>
      </c>
      <c r="AE357" s="87" t="str">
        <f aca="false">IF(ISBLANK($C357),"",IF(ISNUMBER(M357),IF(M357&gt;=0,MIN(M357,Constants!$B$22),""),""))</f>
        <v/>
      </c>
      <c r="AF357" s="87" t="str">
        <f aca="false">IF(ISBLANK($C357),"",IF(N357=Constants!$B$2,TRUE(),IF(N357=Constants!$B$3,FALSE(),TRUE())))</f>
        <v/>
      </c>
      <c r="AG357" s="87" t="str">
        <f aca="false">IF(ISBLANK($C357),"",IF(O357=Constants!$B$2,TRUE(),IF(O357=Constants!$B$3,FALSE(),TRUE())))</f>
        <v/>
      </c>
      <c r="AH357" s="87" t="str">
        <f aca="false">IF(ISBLANK($C357),"",IF(P357=Constants!$B$4,TRUE(),IF(P357=Constants!$B$5,FALSE(),COUNTA(Q357:S357)&gt;0)))</f>
        <v/>
      </c>
      <c r="AI357" s="88" t="str">
        <f aca="false">IF(ISBLANK($C357),"",IF(ISNUMBER(Q357),IF(Q357&gt;=0,Q357,""),""))</f>
        <v/>
      </c>
      <c r="AJ357" s="89" t="str">
        <f aca="false">IF(ISBLANK($C357),"",IF(ISNUMBER(R357),IF(R357&gt;=0,R357,""),""))</f>
        <v/>
      </c>
      <c r="AK357" s="87" t="str">
        <f aca="false">IF(ISBLANK($C357),"",IF(ISNUMBER(S357),IF(S357&gt;=0,MIN(S357,Constants!$B$22),""),""))</f>
        <v/>
      </c>
      <c r="AL357" s="87" t="str">
        <f aca="false">IF(ISBLANK($C357),"",IF(T357=Constants!$B$2,TRUE(),IF(T357=Constants!$B$3,FALSE(),FALSE())))</f>
        <v/>
      </c>
      <c r="AM357" s="86" t="str">
        <f aca="false">IF(ISBLANK($C357),"",AND($AB357,OR($AC357="",$AD357="",AND(NOT(ISBLANK($M357)),$AE357=""))))</f>
        <v/>
      </c>
      <c r="AN357" s="89" t="str">
        <f aca="false">IF($BD357&lt;&gt;Constants!$B$6,"",IF($AB357,Constants!$B$17*$AD357,Constants!$B$18))</f>
        <v/>
      </c>
      <c r="AO357" s="91" t="str">
        <f aca="false">IF($BD357&lt;&gt;Constants!$B$6,"",Constants!$B$19*IF($AB357,$AC357,0))</f>
        <v/>
      </c>
      <c r="AP357" s="91" t="str">
        <f aca="false">IF($BD357&lt;&gt;Constants!$B$6,"",IF(AND($AB357,ISNUMBER($AE357)),Constants!$B$20*(Constants!$B$21-$AE357),0))</f>
        <v/>
      </c>
      <c r="AQ357" s="91" t="str">
        <f aca="false">IF($BD357&lt;&gt;Constants!$B$6,"",IF($AA357,0,Constants!$B$12)+IF($Z357,0,Constants!$B$13)+IF($Y357,0,Constants!$B$14))</f>
        <v/>
      </c>
      <c r="AR357" s="92" t="str">
        <f aca="false">IF($BD357&lt;&gt;Constants!$B$6,"",Constants!$B$16+SUM($AN357:$AQ357))</f>
        <v/>
      </c>
      <c r="AS357" s="91" t="str">
        <f aca="false">IF($BD357&lt;&gt;Constants!$B$6,"",IF($AB357,$AD357,""))</f>
        <v/>
      </c>
      <c r="AT357" s="93" t="str">
        <f aca="false">IF($BD357&lt;&gt;Constants!$B$6,"",$AO357)</f>
        <v/>
      </c>
      <c r="AU357" s="87" t="str">
        <f aca="false">IF($BD357&lt;&gt;Constants!$B$6,"",IF(OR($BA357&lt;$AR357,AND($BA357=$AR357,OR(AND(ISNUMBER($BB357),OR(NOT(ISNUMBER($AS357)),$BB357&lt;$AS357)),AND(OR(AND($BB357="",$AS357=""),AND(ISNUMBER($BB357),ISNUMBER($AS357),$BB357=$AS357)),$BC357&lt;$AT357)))),"-&gt;","&lt;-"))</f>
        <v/>
      </c>
      <c r="AV357" s="86" t="str">
        <f aca="false">IF(ISBLANK($C357),"",AND($AH357,OR($AI357="",$AJ357="",AND(NOT(ISBLANK($S357)),$AK357=""))))</f>
        <v/>
      </c>
      <c r="AW357" s="89" t="str">
        <f aca="false">IF($BD357&lt;&gt;Constants!$B$6,"",IF($AH357,Constants!$B$17*$AJ357,Constants!$B$18))</f>
        <v/>
      </c>
      <c r="AX357" s="91" t="str">
        <f aca="false">IF($BD357&lt;&gt;Constants!$B$6,"",Constants!$B$19*IF($AH357,$AI357,0))</f>
        <v/>
      </c>
      <c r="AY357" s="91" t="str">
        <f aca="false">IF($BD357&lt;&gt;Constants!$B$6,"",IF(AND($AH357,ISNUMBER($AK357)),Constants!$B$20*(Constants!$B$21-$AK357),0))</f>
        <v/>
      </c>
      <c r="AZ357" s="91" t="str">
        <f aca="false">IF($BD357&lt;&gt;Constants!$B$6,"",IF($AG357,0,Constants!$B$12)+IF($AF357,0,Constants!$B$13)+IF($Y357,0,Constants!$B$14))</f>
        <v/>
      </c>
      <c r="BA357" s="92" t="str">
        <f aca="false">IF($BD357&lt;&gt;Constants!$B$6,"",Constants!$B$16+SUM($AW357:$AZ357))</f>
        <v/>
      </c>
      <c r="BB357" s="91" t="str">
        <f aca="false">IF($BD357&lt;&gt;Constants!$B$6,"",IF($AH357,$AJ357,""))</f>
        <v/>
      </c>
      <c r="BC357" s="93" t="str">
        <f aca="false">IF($BD357&lt;&gt;Constants!$B$6,"",$AX357)</f>
        <v/>
      </c>
      <c r="BD357" s="87" t="str">
        <f aca="false">IF(ISBLANK($C357),"",IF($AL357,Constants!$B$9,IF(COUNTA($E357:$T357)=0,Constants!$B$8,IF(NOT($X357),Constants!$B$7,IF(OR($AM357,$AV357),Constants!$B$10,Constants!$B$6)))))</f>
        <v/>
      </c>
      <c r="BE357" s="87" t="str">
        <f aca="false">IF(ISBLANK($C357),"",IF($BD357&lt;&gt;Constants!$B$6,$BD357,Constants!$B$11))</f>
        <v/>
      </c>
      <c r="BF357" s="91" t="str">
        <f aca="false">IF($BD357&lt;&gt;Constants!$B$6,"",IF($AU357="-&gt;",$BA357,$AR357))</f>
        <v/>
      </c>
      <c r="BG357" s="91" t="str">
        <f aca="false">IF($BD357&lt;&gt;Constants!$B$6,"",IF($W357,0,Constants!$B$15))</f>
        <v/>
      </c>
      <c r="BH357" s="91" t="str">
        <f aca="false">IF(ISBLANK($C357),"",IF($BD357&lt;&gt;Constants!$B$6,$BD357,SUM($BF357:$BG357)))</f>
        <v/>
      </c>
      <c r="BI357" s="87" t="str">
        <f aca="false">IF(ISBLANK($C357),"",IF($BD357&lt;&gt;Constants!$B$6,$BD357,RANK($BH357,$BH$9:$BH$508,1)))</f>
        <v/>
      </c>
      <c r="BJ357" s="91" t="str">
        <f aca="false">IF($BD357&lt;&gt;Constants!$B$6,"",IF($AU357="-&gt;",$BB357,$AS357))</f>
        <v/>
      </c>
      <c r="BK357" s="87" t="str">
        <f aca="false">IF(ISBLANK($C357),"",IF($BD357&lt;&gt;Constants!$B$6,$BD357,IF(ISNUMBER($BJ357),RANK($BJ357,$BJ$9:$BJ$508,1),COUNT($BJ$9:$BJ$508)+1)))</f>
        <v/>
      </c>
      <c r="BL357" s="91" t="str">
        <f aca="false">IF($BD357&lt;&gt;Constants!$B$6,"",IF($AU357="-&gt;",$BC357,$AT357))</f>
        <v/>
      </c>
      <c r="BM357" s="87" t="str">
        <f aca="false">IF(ISBLANK($C357),"",IF($BD357&lt;&gt;Constants!$B$6,$BD357,IF(ISNUMBER($BL357),RANK($BL357,$BL$9:$BL$508,1),COUNT($BL$9:$BL$508)+1)))</f>
        <v/>
      </c>
      <c r="BN357" s="91" t="str">
        <f aca="false">IF($BD357&lt;&gt;Constants!$B$6,"",IF($AU357="-&gt;",$AS357,$BB357))</f>
        <v/>
      </c>
      <c r="BO357" s="87" t="str">
        <f aca="false">IF(ISBLANK($C357),"",IF($BD357&lt;&gt;Constants!$B$6,$BD357,IF(ISNUMBER($BN357),RANK($BN357,$BN$9:$BN$508,1),COUNT($BN$9:$BN$508)+1)))</f>
        <v/>
      </c>
      <c r="BP357" s="91" t="str">
        <f aca="false">IF($BD357&lt;&gt;Constants!$B$6,"",IF($AU357="-&gt;",$AT357,$BC357))</f>
        <v/>
      </c>
      <c r="BQ357" s="87" t="str">
        <f aca="false">IF(ISBLANK($C357),"",IF($BD357&lt;&gt;Constants!$B$6,$BD357,IF(ISNUMBER($BP357),RANK($BP357,$BP$9:$BP$508,1),COUNT($BP$9:$BP$508)+1)))</f>
        <v/>
      </c>
      <c r="BR357" s="87" t="str">
        <f aca="false">IF(ISBLANK($C357),"",IF($BD357&lt;&gt;Constants!$B$6,$BD357,COUNTIFS($BI$9:$BI$508,"&lt;"&amp;$BI357)+COUNTIFS($BI$9:$BI$508,$BI357,$BK$9:$BK$508,"&lt;"&amp;$BK357)+COUNTIFS($BI$9:$BI$508,$BI357,$BK$9:$BK$508,$BK357,$BM$9:$BM$508,"&lt;"&amp;$BM357)+COUNTIFS($BI$9:$BI$508,$BI357,$BK$9:$BK$508,$BK357,$BM$9:$BM$508,$BM357,$BO$9:$BO$508,"&lt;"&amp;$BO357)+COUNTIFS($BI$9:$BI$508,$BI357,$BK$9:$BK$508,$BK357,$BM$9:$BM$508,$BM357,$BO$9:$BO$508,$BO357,$BQ$9:$BQ$508,"&lt;"&amp;$BQ357)+1))</f>
        <v/>
      </c>
      <c r="BS357" s="87" t="str">
        <f aca="false">IF(ISBLANK($C357),"",IF($BD357&lt;&gt;Constants!$B$6,$BD357,$BI357-$BR357))</f>
        <v/>
      </c>
      <c r="BT357" s="94"/>
      <c r="BU357" s="95"/>
      <c r="BV357" s="95" t="str">
        <f aca="false">IF(ISBLANK($C357),"",IF($BD357&lt;&gt;Constants!$B$6,"",IF($AU357="-&gt;",2,1)))</f>
        <v/>
      </c>
      <c r="BW357" s="96" t="str">
        <f aca="false">IF(ISBLANK($C357),"",IF($BD357&lt;&gt;Constants!$B$6,"",IF($AU357="-&gt;",$AW357,$AN357)))</f>
        <v/>
      </c>
      <c r="BX357" s="96" t="str">
        <f aca="false">IF(ISBLANK($C357),"",IF($BD357&lt;&gt;Constants!$B$6,"",IF($AU357="-&gt;",$AX357,$AO357)))</f>
        <v/>
      </c>
      <c r="BY357" s="96" t="str">
        <f aca="false">IF(ISBLANK($C357),"",IF($BD357&lt;&gt;Constants!$B$6,"",IF($AU357="-&gt;",$AY357,$AP357)))</f>
        <v/>
      </c>
      <c r="BZ357" s="96" t="str">
        <f aca="false">IF(ISBLANK($C357),"",IF($BD357&lt;&gt;Constants!$B$6,"",IF($AU357="-&gt;",$AZ357,$AQ357)+$BG357))</f>
        <v/>
      </c>
      <c r="CA357" s="97" t="str">
        <f aca="false">IF(ISBLANK($C357),"",IF($BD357&lt;&gt;Constants!$B$6,$BD357,$BH357))</f>
        <v/>
      </c>
      <c r="CB357" s="98" t="str">
        <f aca="false">IF(ISBLANK($C357),"",$BE357)</f>
        <v/>
      </c>
      <c r="CC357" s="99" t="str">
        <f aca="false">IF(ISBLANK($C357),"",$BS357)</f>
        <v/>
      </c>
      <c r="CD357" s="99" t="str">
        <f aca="false">IF(ISBLANK($C357),"",$BR357)</f>
        <v/>
      </c>
      <c r="CE357" s="100" t="str">
        <f aca="false">IF(ISBLANK($C357),"",IF($CD357=Constants!$B$9,COUNTA($C$9:$C$508)+2,IF($CD357=Constants!$B$8,COUNTA($C$9:$C$508)+1,IF($CD357=Constants!$B$7,COUNTA($C$9:$C$508),$CD357))))</f>
        <v/>
      </c>
      <c r="CF357" s="9"/>
      <c r="CG357" s="101" t="n">
        <f aca="false">IF(OR(ISNUMBER($CD357),$CD357=Constants!$B$9,$CD357=Constants!$B$7,$CD357=Constants!$B$8),1,0)</f>
        <v>0</v>
      </c>
      <c r="CH357" s="101" t="n">
        <v>349</v>
      </c>
      <c r="CI357" s="101" t="str">
        <f aca="false">IF(ISBLANK($C357),"",IF(ISNUMBER($CE357),$CE357+ROW($B357)/1000,""))</f>
        <v/>
      </c>
      <c r="CJ357" s="101" t="str">
        <f aca="false">IF(ISNUMBER($CI357),RANK($CI357,$CI$9:$CI$508,1),"")</f>
        <v/>
      </c>
      <c r="CK357" s="101" t="str">
        <f aca="false">IF(ISBLANK($C357),"",$B357)</f>
        <v/>
      </c>
      <c r="CL357" s="101" t="str">
        <f aca="false">IF(ISBLANK($C357),"",$C357)</f>
        <v/>
      </c>
      <c r="CM357" s="101" t="str">
        <f aca="false">IF(ISBLANK($C357),"",$D357)</f>
        <v/>
      </c>
      <c r="CN357" s="102" t="str">
        <f aca="false">$CB357</f>
        <v/>
      </c>
      <c r="CO357" s="103" t="str">
        <f aca="false">$CA357</f>
        <v/>
      </c>
      <c r="CP357" s="101" t="str">
        <f aca="false">IF(ISBLANK($C357),"",$CD357)</f>
        <v/>
      </c>
      <c r="CQ357" s="104" t="str">
        <f aca="false">IF($CH357&gt;$CG$8,"",VLOOKUP($CH357,$CJ$9:$CP$508,7,FALSE()))</f>
        <v/>
      </c>
      <c r="CR357" s="105" t="str">
        <f aca="false">IF($CH357&gt;$CG$8,"",VLOOKUP($CH357,$CJ$9:$CP$508,2,FALSE()))</f>
        <v/>
      </c>
      <c r="CS357" s="105" t="str">
        <f aca="false">IF($CH357&gt;$CG$8,"",VLOOKUP($CH357,$CJ$9:$CP$508,3,FALSE()))</f>
        <v/>
      </c>
      <c r="CT357" s="105" t="str">
        <f aca="false">IF($CH357&gt;$CG$8,"",VLOOKUP($CH357,$CJ$9:$CP$508,4,FALSE()))</f>
        <v/>
      </c>
      <c r="CU357" s="105" t="str">
        <f aca="false">IF($CH357&gt;$CG$8,"",VLOOKUP($CH357,$CJ$9:$CP$508,5,FALSE()))</f>
        <v/>
      </c>
      <c r="CV357" s="106" t="str">
        <f aca="false">IF($CH357&gt;$CG$8,"",VLOOKUP($CH357,$CJ$9:$CP$508,6,FALSE()))</f>
        <v/>
      </c>
      <c r="CW357" s="71"/>
    </row>
    <row r="358" customFormat="false" ht="15.75" hidden="false" customHeight="false" outlineLevel="0" collapsed="false">
      <c r="A358" s="9"/>
      <c r="B358" s="72"/>
      <c r="C358" s="73"/>
      <c r="D358" s="160"/>
      <c r="E358" s="168"/>
      <c r="F358" s="162"/>
      <c r="G358" s="163"/>
      <c r="H358" s="169"/>
      <c r="I358" s="167"/>
      <c r="J358" s="80"/>
      <c r="K358" s="81"/>
      <c r="L358" s="82"/>
      <c r="M358" s="166"/>
      <c r="N358" s="167"/>
      <c r="O358" s="167"/>
      <c r="P358" s="80"/>
      <c r="Q358" s="82"/>
      <c r="R358" s="82"/>
      <c r="S358" s="166"/>
      <c r="T358" s="167"/>
      <c r="U358" s="86"/>
      <c r="V358" s="87"/>
      <c r="W358" s="87" t="str">
        <f aca="false">IF(ISBLANK($C358),"",IF(E358=Constants!$B$2,TRUE(),IF(E358=Constants!$B$3,FALSE(),TRUE())))</f>
        <v/>
      </c>
      <c r="X358" s="87" t="str">
        <f aca="false">IF(ISBLANK($C358),"",IF(F358=Constants!$B$2,TRUE(),IF(F358=Constants!$B$3,FALSE(),TRUE())))</f>
        <v/>
      </c>
      <c r="Y358" s="87" t="str">
        <f aca="false">IF(ISBLANK($C358),"",IF(G358=Constants!$B$2,TRUE(),IF(G358=Constants!$B$3,FALSE(),TRUE())))</f>
        <v/>
      </c>
      <c r="Z358" s="87" t="str">
        <f aca="false">IF(ISBLANK($C358),"",IF(H358=Constants!$B$2,TRUE(),IF(H358=Constants!$B$3,FALSE(),TRUE())))</f>
        <v/>
      </c>
      <c r="AA358" s="87" t="str">
        <f aca="false">IF(ISBLANK($C358),"",IF(I358=Constants!$B$2,TRUE(),IF(I358=Constants!$B$3,FALSE(),TRUE())))</f>
        <v/>
      </c>
      <c r="AB358" s="87" t="str">
        <f aca="false">IF(ISBLANK($C358),"",IF(J358=Constants!$B$4,TRUE(),IF(J358=Constants!$B$5,FALSE(),COUNTA(K358:M358)&gt;0)))</f>
        <v/>
      </c>
      <c r="AC358" s="88" t="str">
        <f aca="false">IF(ISBLANK($C358),"",IF(ISNUMBER(K358),IF(K358&gt;=0,K358,""),""))</f>
        <v/>
      </c>
      <c r="AD358" s="89" t="str">
        <f aca="false">IF(ISBLANK($C358),"",IF(ISNUMBER(L358),IF(L358&gt;=0,L358,""),""))</f>
        <v/>
      </c>
      <c r="AE358" s="87" t="str">
        <f aca="false">IF(ISBLANK($C358),"",IF(ISNUMBER(M358),IF(M358&gt;=0,MIN(M358,Constants!$B$22),""),""))</f>
        <v/>
      </c>
      <c r="AF358" s="87" t="str">
        <f aca="false">IF(ISBLANK($C358),"",IF(N358=Constants!$B$2,TRUE(),IF(N358=Constants!$B$3,FALSE(),TRUE())))</f>
        <v/>
      </c>
      <c r="AG358" s="87" t="str">
        <f aca="false">IF(ISBLANK($C358),"",IF(O358=Constants!$B$2,TRUE(),IF(O358=Constants!$B$3,FALSE(),TRUE())))</f>
        <v/>
      </c>
      <c r="AH358" s="87" t="str">
        <f aca="false">IF(ISBLANK($C358),"",IF(P358=Constants!$B$4,TRUE(),IF(P358=Constants!$B$5,FALSE(),COUNTA(Q358:S358)&gt;0)))</f>
        <v/>
      </c>
      <c r="AI358" s="88" t="str">
        <f aca="false">IF(ISBLANK($C358),"",IF(ISNUMBER(Q358),IF(Q358&gt;=0,Q358,""),""))</f>
        <v/>
      </c>
      <c r="AJ358" s="89" t="str">
        <f aca="false">IF(ISBLANK($C358),"",IF(ISNUMBER(R358),IF(R358&gt;=0,R358,""),""))</f>
        <v/>
      </c>
      <c r="AK358" s="87" t="str">
        <f aca="false">IF(ISBLANK($C358),"",IF(ISNUMBER(S358),IF(S358&gt;=0,MIN(S358,Constants!$B$22),""),""))</f>
        <v/>
      </c>
      <c r="AL358" s="87" t="str">
        <f aca="false">IF(ISBLANK($C358),"",IF(T358=Constants!$B$2,TRUE(),IF(T358=Constants!$B$3,FALSE(),FALSE())))</f>
        <v/>
      </c>
      <c r="AM358" s="86" t="str">
        <f aca="false">IF(ISBLANK($C358),"",AND($AB358,OR($AC358="",$AD358="",AND(NOT(ISBLANK($M358)),$AE358=""))))</f>
        <v/>
      </c>
      <c r="AN358" s="89" t="str">
        <f aca="false">IF($BD358&lt;&gt;Constants!$B$6,"",IF($AB358,Constants!$B$17*$AD358,Constants!$B$18))</f>
        <v/>
      </c>
      <c r="AO358" s="91" t="str">
        <f aca="false">IF($BD358&lt;&gt;Constants!$B$6,"",Constants!$B$19*IF($AB358,$AC358,0))</f>
        <v/>
      </c>
      <c r="AP358" s="91" t="str">
        <f aca="false">IF($BD358&lt;&gt;Constants!$B$6,"",IF(AND($AB358,ISNUMBER($AE358)),Constants!$B$20*(Constants!$B$21-$AE358),0))</f>
        <v/>
      </c>
      <c r="AQ358" s="91" t="str">
        <f aca="false">IF($BD358&lt;&gt;Constants!$B$6,"",IF($AA358,0,Constants!$B$12)+IF($Z358,0,Constants!$B$13)+IF($Y358,0,Constants!$B$14))</f>
        <v/>
      </c>
      <c r="AR358" s="92" t="str">
        <f aca="false">IF($BD358&lt;&gt;Constants!$B$6,"",Constants!$B$16+SUM($AN358:$AQ358))</f>
        <v/>
      </c>
      <c r="AS358" s="91" t="str">
        <f aca="false">IF($BD358&lt;&gt;Constants!$B$6,"",IF($AB358,$AD358,""))</f>
        <v/>
      </c>
      <c r="AT358" s="93" t="str">
        <f aca="false">IF($BD358&lt;&gt;Constants!$B$6,"",$AO358)</f>
        <v/>
      </c>
      <c r="AU358" s="87" t="str">
        <f aca="false">IF($BD358&lt;&gt;Constants!$B$6,"",IF(OR($BA358&lt;$AR358,AND($BA358=$AR358,OR(AND(ISNUMBER($BB358),OR(NOT(ISNUMBER($AS358)),$BB358&lt;$AS358)),AND(OR(AND($BB358="",$AS358=""),AND(ISNUMBER($BB358),ISNUMBER($AS358),$BB358=$AS358)),$BC358&lt;$AT358)))),"-&gt;","&lt;-"))</f>
        <v/>
      </c>
      <c r="AV358" s="86" t="str">
        <f aca="false">IF(ISBLANK($C358),"",AND($AH358,OR($AI358="",$AJ358="",AND(NOT(ISBLANK($S358)),$AK358=""))))</f>
        <v/>
      </c>
      <c r="AW358" s="89" t="str">
        <f aca="false">IF($BD358&lt;&gt;Constants!$B$6,"",IF($AH358,Constants!$B$17*$AJ358,Constants!$B$18))</f>
        <v/>
      </c>
      <c r="AX358" s="91" t="str">
        <f aca="false">IF($BD358&lt;&gt;Constants!$B$6,"",Constants!$B$19*IF($AH358,$AI358,0))</f>
        <v/>
      </c>
      <c r="AY358" s="91" t="str">
        <f aca="false">IF($BD358&lt;&gt;Constants!$B$6,"",IF(AND($AH358,ISNUMBER($AK358)),Constants!$B$20*(Constants!$B$21-$AK358),0))</f>
        <v/>
      </c>
      <c r="AZ358" s="91" t="str">
        <f aca="false">IF($BD358&lt;&gt;Constants!$B$6,"",IF($AG358,0,Constants!$B$12)+IF($AF358,0,Constants!$B$13)+IF($Y358,0,Constants!$B$14))</f>
        <v/>
      </c>
      <c r="BA358" s="92" t="str">
        <f aca="false">IF($BD358&lt;&gt;Constants!$B$6,"",Constants!$B$16+SUM($AW358:$AZ358))</f>
        <v/>
      </c>
      <c r="BB358" s="91" t="str">
        <f aca="false">IF($BD358&lt;&gt;Constants!$B$6,"",IF($AH358,$AJ358,""))</f>
        <v/>
      </c>
      <c r="BC358" s="93" t="str">
        <f aca="false">IF($BD358&lt;&gt;Constants!$B$6,"",$AX358)</f>
        <v/>
      </c>
      <c r="BD358" s="87" t="str">
        <f aca="false">IF(ISBLANK($C358),"",IF($AL358,Constants!$B$9,IF(COUNTA($E358:$T358)=0,Constants!$B$8,IF(NOT($X358),Constants!$B$7,IF(OR($AM358,$AV358),Constants!$B$10,Constants!$B$6)))))</f>
        <v/>
      </c>
      <c r="BE358" s="87" t="str">
        <f aca="false">IF(ISBLANK($C358),"",IF($BD358&lt;&gt;Constants!$B$6,$BD358,Constants!$B$11))</f>
        <v/>
      </c>
      <c r="BF358" s="91" t="str">
        <f aca="false">IF($BD358&lt;&gt;Constants!$B$6,"",IF($AU358="-&gt;",$BA358,$AR358))</f>
        <v/>
      </c>
      <c r="BG358" s="91" t="str">
        <f aca="false">IF($BD358&lt;&gt;Constants!$B$6,"",IF($W358,0,Constants!$B$15))</f>
        <v/>
      </c>
      <c r="BH358" s="91" t="str">
        <f aca="false">IF(ISBLANK($C358),"",IF($BD358&lt;&gt;Constants!$B$6,$BD358,SUM($BF358:$BG358)))</f>
        <v/>
      </c>
      <c r="BI358" s="87" t="str">
        <f aca="false">IF(ISBLANK($C358),"",IF($BD358&lt;&gt;Constants!$B$6,$BD358,RANK($BH358,$BH$9:$BH$508,1)))</f>
        <v/>
      </c>
      <c r="BJ358" s="91" t="str">
        <f aca="false">IF($BD358&lt;&gt;Constants!$B$6,"",IF($AU358="-&gt;",$BB358,$AS358))</f>
        <v/>
      </c>
      <c r="BK358" s="87" t="str">
        <f aca="false">IF(ISBLANK($C358),"",IF($BD358&lt;&gt;Constants!$B$6,$BD358,IF(ISNUMBER($BJ358),RANK($BJ358,$BJ$9:$BJ$508,1),COUNT($BJ$9:$BJ$508)+1)))</f>
        <v/>
      </c>
      <c r="BL358" s="91" t="str">
        <f aca="false">IF($BD358&lt;&gt;Constants!$B$6,"",IF($AU358="-&gt;",$BC358,$AT358))</f>
        <v/>
      </c>
      <c r="BM358" s="87" t="str">
        <f aca="false">IF(ISBLANK($C358),"",IF($BD358&lt;&gt;Constants!$B$6,$BD358,IF(ISNUMBER($BL358),RANK($BL358,$BL$9:$BL$508,1),COUNT($BL$9:$BL$508)+1)))</f>
        <v/>
      </c>
      <c r="BN358" s="91" t="str">
        <f aca="false">IF($BD358&lt;&gt;Constants!$B$6,"",IF($AU358="-&gt;",$AS358,$BB358))</f>
        <v/>
      </c>
      <c r="BO358" s="87" t="str">
        <f aca="false">IF(ISBLANK($C358),"",IF($BD358&lt;&gt;Constants!$B$6,$BD358,IF(ISNUMBER($BN358),RANK($BN358,$BN$9:$BN$508,1),COUNT($BN$9:$BN$508)+1)))</f>
        <v/>
      </c>
      <c r="BP358" s="91" t="str">
        <f aca="false">IF($BD358&lt;&gt;Constants!$B$6,"",IF($AU358="-&gt;",$AT358,$BC358))</f>
        <v/>
      </c>
      <c r="BQ358" s="87" t="str">
        <f aca="false">IF(ISBLANK($C358),"",IF($BD358&lt;&gt;Constants!$B$6,$BD358,IF(ISNUMBER($BP358),RANK($BP358,$BP$9:$BP$508,1),COUNT($BP$9:$BP$508)+1)))</f>
        <v/>
      </c>
      <c r="BR358" s="87" t="str">
        <f aca="false">IF(ISBLANK($C358),"",IF($BD358&lt;&gt;Constants!$B$6,$BD358,COUNTIFS($BI$9:$BI$508,"&lt;"&amp;$BI358)+COUNTIFS($BI$9:$BI$508,$BI358,$BK$9:$BK$508,"&lt;"&amp;$BK358)+COUNTIFS($BI$9:$BI$508,$BI358,$BK$9:$BK$508,$BK358,$BM$9:$BM$508,"&lt;"&amp;$BM358)+COUNTIFS($BI$9:$BI$508,$BI358,$BK$9:$BK$508,$BK358,$BM$9:$BM$508,$BM358,$BO$9:$BO$508,"&lt;"&amp;$BO358)+COUNTIFS($BI$9:$BI$508,$BI358,$BK$9:$BK$508,$BK358,$BM$9:$BM$508,$BM358,$BO$9:$BO$508,$BO358,$BQ$9:$BQ$508,"&lt;"&amp;$BQ358)+1))</f>
        <v/>
      </c>
      <c r="BS358" s="87" t="str">
        <f aca="false">IF(ISBLANK($C358),"",IF($BD358&lt;&gt;Constants!$B$6,$BD358,$BI358-$BR358))</f>
        <v/>
      </c>
      <c r="BT358" s="94"/>
      <c r="BU358" s="95"/>
      <c r="BV358" s="95" t="str">
        <f aca="false">IF(ISBLANK($C358),"",IF($BD358&lt;&gt;Constants!$B$6,"",IF($AU358="-&gt;",2,1)))</f>
        <v/>
      </c>
      <c r="BW358" s="96" t="str">
        <f aca="false">IF(ISBLANK($C358),"",IF($BD358&lt;&gt;Constants!$B$6,"",IF($AU358="-&gt;",$AW358,$AN358)))</f>
        <v/>
      </c>
      <c r="BX358" s="96" t="str">
        <f aca="false">IF(ISBLANK($C358),"",IF($BD358&lt;&gt;Constants!$B$6,"",IF($AU358="-&gt;",$AX358,$AO358)))</f>
        <v/>
      </c>
      <c r="BY358" s="96" t="str">
        <f aca="false">IF(ISBLANK($C358),"",IF($BD358&lt;&gt;Constants!$B$6,"",IF($AU358="-&gt;",$AY358,$AP358)))</f>
        <v/>
      </c>
      <c r="BZ358" s="96" t="str">
        <f aca="false">IF(ISBLANK($C358),"",IF($BD358&lt;&gt;Constants!$B$6,"",IF($AU358="-&gt;",$AZ358,$AQ358)+$BG358))</f>
        <v/>
      </c>
      <c r="CA358" s="97" t="str">
        <f aca="false">IF(ISBLANK($C358),"",IF($BD358&lt;&gt;Constants!$B$6,$BD358,$BH358))</f>
        <v/>
      </c>
      <c r="CB358" s="98" t="str">
        <f aca="false">IF(ISBLANK($C358),"",$BE358)</f>
        <v/>
      </c>
      <c r="CC358" s="99" t="str">
        <f aca="false">IF(ISBLANK($C358),"",$BS358)</f>
        <v/>
      </c>
      <c r="CD358" s="99" t="str">
        <f aca="false">IF(ISBLANK($C358),"",$BR358)</f>
        <v/>
      </c>
      <c r="CE358" s="100" t="str">
        <f aca="false">IF(ISBLANK($C358),"",IF($CD358=Constants!$B$9,COUNTA($C$9:$C$508)+2,IF($CD358=Constants!$B$8,COUNTA($C$9:$C$508)+1,IF($CD358=Constants!$B$7,COUNTA($C$9:$C$508),$CD358))))</f>
        <v/>
      </c>
      <c r="CF358" s="9"/>
      <c r="CG358" s="101" t="n">
        <f aca="false">IF(OR(ISNUMBER($CD358),$CD358=Constants!$B$9,$CD358=Constants!$B$7,$CD358=Constants!$B$8),1,0)</f>
        <v>0</v>
      </c>
      <c r="CH358" s="101" t="n">
        <v>350</v>
      </c>
      <c r="CI358" s="101" t="str">
        <f aca="false">IF(ISBLANK($C358),"",IF(ISNUMBER($CE358),$CE358+ROW($B358)/1000,""))</f>
        <v/>
      </c>
      <c r="CJ358" s="101" t="str">
        <f aca="false">IF(ISNUMBER($CI358),RANK($CI358,$CI$9:$CI$508,1),"")</f>
        <v/>
      </c>
      <c r="CK358" s="101" t="str">
        <f aca="false">IF(ISBLANK($C358),"",$B358)</f>
        <v/>
      </c>
      <c r="CL358" s="101" t="str">
        <f aca="false">IF(ISBLANK($C358),"",$C358)</f>
        <v/>
      </c>
      <c r="CM358" s="101" t="str">
        <f aca="false">IF(ISBLANK($C358),"",$D358)</f>
        <v/>
      </c>
      <c r="CN358" s="102" t="str">
        <f aca="false">$CB358</f>
        <v/>
      </c>
      <c r="CO358" s="103" t="str">
        <f aca="false">$CA358</f>
        <v/>
      </c>
      <c r="CP358" s="101" t="str">
        <f aca="false">IF(ISBLANK($C358),"",$CD358)</f>
        <v/>
      </c>
      <c r="CQ358" s="104" t="str">
        <f aca="false">IF($CH358&gt;$CG$8,"",VLOOKUP($CH358,$CJ$9:$CP$508,7,FALSE()))</f>
        <v/>
      </c>
      <c r="CR358" s="105" t="str">
        <f aca="false">IF($CH358&gt;$CG$8,"",VLOOKUP($CH358,$CJ$9:$CP$508,2,FALSE()))</f>
        <v/>
      </c>
      <c r="CS358" s="105" t="str">
        <f aca="false">IF($CH358&gt;$CG$8,"",VLOOKUP($CH358,$CJ$9:$CP$508,3,FALSE()))</f>
        <v/>
      </c>
      <c r="CT358" s="105" t="str">
        <f aca="false">IF($CH358&gt;$CG$8,"",VLOOKUP($CH358,$CJ$9:$CP$508,4,FALSE()))</f>
        <v/>
      </c>
      <c r="CU358" s="105" t="str">
        <f aca="false">IF($CH358&gt;$CG$8,"",VLOOKUP($CH358,$CJ$9:$CP$508,5,FALSE()))</f>
        <v/>
      </c>
      <c r="CV358" s="106" t="str">
        <f aca="false">IF($CH358&gt;$CG$8,"",VLOOKUP($CH358,$CJ$9:$CP$508,6,FALSE()))</f>
        <v/>
      </c>
      <c r="CW358" s="71"/>
    </row>
    <row r="359" customFormat="false" ht="15.75" hidden="false" customHeight="false" outlineLevel="0" collapsed="false">
      <c r="A359" s="9"/>
      <c r="B359" s="72"/>
      <c r="C359" s="73"/>
      <c r="D359" s="160"/>
      <c r="E359" s="168"/>
      <c r="F359" s="162"/>
      <c r="G359" s="163"/>
      <c r="H359" s="169"/>
      <c r="I359" s="167"/>
      <c r="J359" s="80"/>
      <c r="K359" s="81"/>
      <c r="L359" s="82"/>
      <c r="M359" s="166"/>
      <c r="N359" s="167"/>
      <c r="O359" s="167"/>
      <c r="P359" s="80"/>
      <c r="Q359" s="82"/>
      <c r="R359" s="82"/>
      <c r="S359" s="166"/>
      <c r="T359" s="167"/>
      <c r="U359" s="86"/>
      <c r="V359" s="87"/>
      <c r="W359" s="87" t="str">
        <f aca="false">IF(ISBLANK($C359),"",IF(E359=Constants!$B$2,TRUE(),IF(E359=Constants!$B$3,FALSE(),TRUE())))</f>
        <v/>
      </c>
      <c r="X359" s="87" t="str">
        <f aca="false">IF(ISBLANK($C359),"",IF(F359=Constants!$B$2,TRUE(),IF(F359=Constants!$B$3,FALSE(),TRUE())))</f>
        <v/>
      </c>
      <c r="Y359" s="87" t="str">
        <f aca="false">IF(ISBLANK($C359),"",IF(G359=Constants!$B$2,TRUE(),IF(G359=Constants!$B$3,FALSE(),TRUE())))</f>
        <v/>
      </c>
      <c r="Z359" s="87" t="str">
        <f aca="false">IF(ISBLANK($C359),"",IF(H359=Constants!$B$2,TRUE(),IF(H359=Constants!$B$3,FALSE(),TRUE())))</f>
        <v/>
      </c>
      <c r="AA359" s="87" t="str">
        <f aca="false">IF(ISBLANK($C359),"",IF(I359=Constants!$B$2,TRUE(),IF(I359=Constants!$B$3,FALSE(),TRUE())))</f>
        <v/>
      </c>
      <c r="AB359" s="87" t="str">
        <f aca="false">IF(ISBLANK($C359),"",IF(J359=Constants!$B$4,TRUE(),IF(J359=Constants!$B$5,FALSE(),COUNTA(K359:M359)&gt;0)))</f>
        <v/>
      </c>
      <c r="AC359" s="88" t="str">
        <f aca="false">IF(ISBLANK($C359),"",IF(ISNUMBER(K359),IF(K359&gt;=0,K359,""),""))</f>
        <v/>
      </c>
      <c r="AD359" s="89" t="str">
        <f aca="false">IF(ISBLANK($C359),"",IF(ISNUMBER(L359),IF(L359&gt;=0,L359,""),""))</f>
        <v/>
      </c>
      <c r="AE359" s="87" t="str">
        <f aca="false">IF(ISBLANK($C359),"",IF(ISNUMBER(M359),IF(M359&gt;=0,MIN(M359,Constants!$B$22),""),""))</f>
        <v/>
      </c>
      <c r="AF359" s="87" t="str">
        <f aca="false">IF(ISBLANK($C359),"",IF(N359=Constants!$B$2,TRUE(),IF(N359=Constants!$B$3,FALSE(),TRUE())))</f>
        <v/>
      </c>
      <c r="AG359" s="87" t="str">
        <f aca="false">IF(ISBLANK($C359),"",IF(O359=Constants!$B$2,TRUE(),IF(O359=Constants!$B$3,FALSE(),TRUE())))</f>
        <v/>
      </c>
      <c r="AH359" s="87" t="str">
        <f aca="false">IF(ISBLANK($C359),"",IF(P359=Constants!$B$4,TRUE(),IF(P359=Constants!$B$5,FALSE(),COUNTA(Q359:S359)&gt;0)))</f>
        <v/>
      </c>
      <c r="AI359" s="88" t="str">
        <f aca="false">IF(ISBLANK($C359),"",IF(ISNUMBER(Q359),IF(Q359&gt;=0,Q359,""),""))</f>
        <v/>
      </c>
      <c r="AJ359" s="89" t="str">
        <f aca="false">IF(ISBLANK($C359),"",IF(ISNUMBER(R359),IF(R359&gt;=0,R359,""),""))</f>
        <v/>
      </c>
      <c r="AK359" s="87" t="str">
        <f aca="false">IF(ISBLANK($C359),"",IF(ISNUMBER(S359),IF(S359&gt;=0,MIN(S359,Constants!$B$22),""),""))</f>
        <v/>
      </c>
      <c r="AL359" s="87" t="str">
        <f aca="false">IF(ISBLANK($C359),"",IF(T359=Constants!$B$2,TRUE(),IF(T359=Constants!$B$3,FALSE(),FALSE())))</f>
        <v/>
      </c>
      <c r="AM359" s="86" t="str">
        <f aca="false">IF(ISBLANK($C359),"",AND($AB359,OR($AC359="",$AD359="",AND(NOT(ISBLANK($M359)),$AE359=""))))</f>
        <v/>
      </c>
      <c r="AN359" s="89" t="str">
        <f aca="false">IF($BD359&lt;&gt;Constants!$B$6,"",IF($AB359,Constants!$B$17*$AD359,Constants!$B$18))</f>
        <v/>
      </c>
      <c r="AO359" s="91" t="str">
        <f aca="false">IF($BD359&lt;&gt;Constants!$B$6,"",Constants!$B$19*IF($AB359,$AC359,0))</f>
        <v/>
      </c>
      <c r="AP359" s="91" t="str">
        <f aca="false">IF($BD359&lt;&gt;Constants!$B$6,"",IF(AND($AB359,ISNUMBER($AE359)),Constants!$B$20*(Constants!$B$21-$AE359),0))</f>
        <v/>
      </c>
      <c r="AQ359" s="91" t="str">
        <f aca="false">IF($BD359&lt;&gt;Constants!$B$6,"",IF($AA359,0,Constants!$B$12)+IF($Z359,0,Constants!$B$13)+IF($Y359,0,Constants!$B$14))</f>
        <v/>
      </c>
      <c r="AR359" s="92" t="str">
        <f aca="false">IF($BD359&lt;&gt;Constants!$B$6,"",Constants!$B$16+SUM($AN359:$AQ359))</f>
        <v/>
      </c>
      <c r="AS359" s="91" t="str">
        <f aca="false">IF($BD359&lt;&gt;Constants!$B$6,"",IF($AB359,$AD359,""))</f>
        <v/>
      </c>
      <c r="AT359" s="93" t="str">
        <f aca="false">IF($BD359&lt;&gt;Constants!$B$6,"",$AO359)</f>
        <v/>
      </c>
      <c r="AU359" s="87" t="str">
        <f aca="false">IF($BD359&lt;&gt;Constants!$B$6,"",IF(OR($BA359&lt;$AR359,AND($BA359=$AR359,OR(AND(ISNUMBER($BB359),OR(NOT(ISNUMBER($AS359)),$BB359&lt;$AS359)),AND(OR(AND($BB359="",$AS359=""),AND(ISNUMBER($BB359),ISNUMBER($AS359),$BB359=$AS359)),$BC359&lt;$AT359)))),"-&gt;","&lt;-"))</f>
        <v/>
      </c>
      <c r="AV359" s="86" t="str">
        <f aca="false">IF(ISBLANK($C359),"",AND($AH359,OR($AI359="",$AJ359="",AND(NOT(ISBLANK($S359)),$AK359=""))))</f>
        <v/>
      </c>
      <c r="AW359" s="89" t="str">
        <f aca="false">IF($BD359&lt;&gt;Constants!$B$6,"",IF($AH359,Constants!$B$17*$AJ359,Constants!$B$18))</f>
        <v/>
      </c>
      <c r="AX359" s="91" t="str">
        <f aca="false">IF($BD359&lt;&gt;Constants!$B$6,"",Constants!$B$19*IF($AH359,$AI359,0))</f>
        <v/>
      </c>
      <c r="AY359" s="91" t="str">
        <f aca="false">IF($BD359&lt;&gt;Constants!$B$6,"",IF(AND($AH359,ISNUMBER($AK359)),Constants!$B$20*(Constants!$B$21-$AK359),0))</f>
        <v/>
      </c>
      <c r="AZ359" s="91" t="str">
        <f aca="false">IF($BD359&lt;&gt;Constants!$B$6,"",IF($AG359,0,Constants!$B$12)+IF($AF359,0,Constants!$B$13)+IF($Y359,0,Constants!$B$14))</f>
        <v/>
      </c>
      <c r="BA359" s="92" t="str">
        <f aca="false">IF($BD359&lt;&gt;Constants!$B$6,"",Constants!$B$16+SUM($AW359:$AZ359))</f>
        <v/>
      </c>
      <c r="BB359" s="91" t="str">
        <f aca="false">IF($BD359&lt;&gt;Constants!$B$6,"",IF($AH359,$AJ359,""))</f>
        <v/>
      </c>
      <c r="BC359" s="93" t="str">
        <f aca="false">IF($BD359&lt;&gt;Constants!$B$6,"",$AX359)</f>
        <v/>
      </c>
      <c r="BD359" s="87" t="str">
        <f aca="false">IF(ISBLANK($C359),"",IF($AL359,Constants!$B$9,IF(COUNTA($E359:$T359)=0,Constants!$B$8,IF(NOT($X359),Constants!$B$7,IF(OR($AM359,$AV359),Constants!$B$10,Constants!$B$6)))))</f>
        <v/>
      </c>
      <c r="BE359" s="87" t="str">
        <f aca="false">IF(ISBLANK($C359),"",IF($BD359&lt;&gt;Constants!$B$6,$BD359,Constants!$B$11))</f>
        <v/>
      </c>
      <c r="BF359" s="91" t="str">
        <f aca="false">IF($BD359&lt;&gt;Constants!$B$6,"",IF($AU359="-&gt;",$BA359,$AR359))</f>
        <v/>
      </c>
      <c r="BG359" s="91" t="str">
        <f aca="false">IF($BD359&lt;&gt;Constants!$B$6,"",IF($W359,0,Constants!$B$15))</f>
        <v/>
      </c>
      <c r="BH359" s="91" t="str">
        <f aca="false">IF(ISBLANK($C359),"",IF($BD359&lt;&gt;Constants!$B$6,$BD359,SUM($BF359:$BG359)))</f>
        <v/>
      </c>
      <c r="BI359" s="87" t="str">
        <f aca="false">IF(ISBLANK($C359),"",IF($BD359&lt;&gt;Constants!$B$6,$BD359,RANK($BH359,$BH$9:$BH$508,1)))</f>
        <v/>
      </c>
      <c r="BJ359" s="91" t="str">
        <f aca="false">IF($BD359&lt;&gt;Constants!$B$6,"",IF($AU359="-&gt;",$BB359,$AS359))</f>
        <v/>
      </c>
      <c r="BK359" s="87" t="str">
        <f aca="false">IF(ISBLANK($C359),"",IF($BD359&lt;&gt;Constants!$B$6,$BD359,IF(ISNUMBER($BJ359),RANK($BJ359,$BJ$9:$BJ$508,1),COUNT($BJ$9:$BJ$508)+1)))</f>
        <v/>
      </c>
      <c r="BL359" s="91" t="str">
        <f aca="false">IF($BD359&lt;&gt;Constants!$B$6,"",IF($AU359="-&gt;",$BC359,$AT359))</f>
        <v/>
      </c>
      <c r="BM359" s="87" t="str">
        <f aca="false">IF(ISBLANK($C359),"",IF($BD359&lt;&gt;Constants!$B$6,$BD359,IF(ISNUMBER($BL359),RANK($BL359,$BL$9:$BL$508,1),COUNT($BL$9:$BL$508)+1)))</f>
        <v/>
      </c>
      <c r="BN359" s="91" t="str">
        <f aca="false">IF($BD359&lt;&gt;Constants!$B$6,"",IF($AU359="-&gt;",$AS359,$BB359))</f>
        <v/>
      </c>
      <c r="BO359" s="87" t="str">
        <f aca="false">IF(ISBLANK($C359),"",IF($BD359&lt;&gt;Constants!$B$6,$BD359,IF(ISNUMBER($BN359),RANK($BN359,$BN$9:$BN$508,1),COUNT($BN$9:$BN$508)+1)))</f>
        <v/>
      </c>
      <c r="BP359" s="91" t="str">
        <f aca="false">IF($BD359&lt;&gt;Constants!$B$6,"",IF($AU359="-&gt;",$AT359,$BC359))</f>
        <v/>
      </c>
      <c r="BQ359" s="87" t="str">
        <f aca="false">IF(ISBLANK($C359),"",IF($BD359&lt;&gt;Constants!$B$6,$BD359,IF(ISNUMBER($BP359),RANK($BP359,$BP$9:$BP$508,1),COUNT($BP$9:$BP$508)+1)))</f>
        <v/>
      </c>
      <c r="BR359" s="87" t="str">
        <f aca="false">IF(ISBLANK($C359),"",IF($BD359&lt;&gt;Constants!$B$6,$BD359,COUNTIFS($BI$9:$BI$508,"&lt;"&amp;$BI359)+COUNTIFS($BI$9:$BI$508,$BI359,$BK$9:$BK$508,"&lt;"&amp;$BK359)+COUNTIFS($BI$9:$BI$508,$BI359,$BK$9:$BK$508,$BK359,$BM$9:$BM$508,"&lt;"&amp;$BM359)+COUNTIFS($BI$9:$BI$508,$BI359,$BK$9:$BK$508,$BK359,$BM$9:$BM$508,$BM359,$BO$9:$BO$508,"&lt;"&amp;$BO359)+COUNTIFS($BI$9:$BI$508,$BI359,$BK$9:$BK$508,$BK359,$BM$9:$BM$508,$BM359,$BO$9:$BO$508,$BO359,$BQ$9:$BQ$508,"&lt;"&amp;$BQ359)+1))</f>
        <v/>
      </c>
      <c r="BS359" s="87" t="str">
        <f aca="false">IF(ISBLANK($C359),"",IF($BD359&lt;&gt;Constants!$B$6,$BD359,$BI359-$BR359))</f>
        <v/>
      </c>
      <c r="BT359" s="94"/>
      <c r="BU359" s="95"/>
      <c r="BV359" s="95" t="str">
        <f aca="false">IF(ISBLANK($C359),"",IF($BD359&lt;&gt;Constants!$B$6,"",IF($AU359="-&gt;",2,1)))</f>
        <v/>
      </c>
      <c r="BW359" s="96" t="str">
        <f aca="false">IF(ISBLANK($C359),"",IF($BD359&lt;&gt;Constants!$B$6,"",IF($AU359="-&gt;",$AW359,$AN359)))</f>
        <v/>
      </c>
      <c r="BX359" s="96" t="str">
        <f aca="false">IF(ISBLANK($C359),"",IF($BD359&lt;&gt;Constants!$B$6,"",IF($AU359="-&gt;",$AX359,$AO359)))</f>
        <v/>
      </c>
      <c r="BY359" s="96" t="str">
        <f aca="false">IF(ISBLANK($C359),"",IF($BD359&lt;&gt;Constants!$B$6,"",IF($AU359="-&gt;",$AY359,$AP359)))</f>
        <v/>
      </c>
      <c r="BZ359" s="96" t="str">
        <f aca="false">IF(ISBLANK($C359),"",IF($BD359&lt;&gt;Constants!$B$6,"",IF($AU359="-&gt;",$AZ359,$AQ359)+$BG359))</f>
        <v/>
      </c>
      <c r="CA359" s="97" t="str">
        <f aca="false">IF(ISBLANK($C359),"",IF($BD359&lt;&gt;Constants!$B$6,$BD359,$BH359))</f>
        <v/>
      </c>
      <c r="CB359" s="98" t="str">
        <f aca="false">IF(ISBLANK($C359),"",$BE359)</f>
        <v/>
      </c>
      <c r="CC359" s="99" t="str">
        <f aca="false">IF(ISBLANK($C359),"",$BS359)</f>
        <v/>
      </c>
      <c r="CD359" s="99" t="str">
        <f aca="false">IF(ISBLANK($C359),"",$BR359)</f>
        <v/>
      </c>
      <c r="CE359" s="100" t="str">
        <f aca="false">IF(ISBLANK($C359),"",IF($CD359=Constants!$B$9,COUNTA($C$9:$C$508)+2,IF($CD359=Constants!$B$8,COUNTA($C$9:$C$508)+1,IF($CD359=Constants!$B$7,COUNTA($C$9:$C$508),$CD359))))</f>
        <v/>
      </c>
      <c r="CF359" s="9"/>
      <c r="CG359" s="101" t="n">
        <f aca="false">IF(OR(ISNUMBER($CD359),$CD359=Constants!$B$9,$CD359=Constants!$B$7,$CD359=Constants!$B$8),1,0)</f>
        <v>0</v>
      </c>
      <c r="CH359" s="101" t="n">
        <v>351</v>
      </c>
      <c r="CI359" s="101" t="str">
        <f aca="false">IF(ISBLANK($C359),"",IF(ISNUMBER($CE359),$CE359+ROW($B359)/1000,""))</f>
        <v/>
      </c>
      <c r="CJ359" s="101" t="str">
        <f aca="false">IF(ISNUMBER($CI359),RANK($CI359,$CI$9:$CI$508,1),"")</f>
        <v/>
      </c>
      <c r="CK359" s="101" t="str">
        <f aca="false">IF(ISBLANK($C359),"",$B359)</f>
        <v/>
      </c>
      <c r="CL359" s="101" t="str">
        <f aca="false">IF(ISBLANK($C359),"",$C359)</f>
        <v/>
      </c>
      <c r="CM359" s="101" t="str">
        <f aca="false">IF(ISBLANK($C359),"",$D359)</f>
        <v/>
      </c>
      <c r="CN359" s="102" t="str">
        <f aca="false">$CB359</f>
        <v/>
      </c>
      <c r="CO359" s="103" t="str">
        <f aca="false">$CA359</f>
        <v/>
      </c>
      <c r="CP359" s="101" t="str">
        <f aca="false">IF(ISBLANK($C359),"",$CD359)</f>
        <v/>
      </c>
      <c r="CQ359" s="104" t="str">
        <f aca="false">IF($CH359&gt;$CG$8,"",VLOOKUP($CH359,$CJ$9:$CP$508,7,FALSE()))</f>
        <v/>
      </c>
      <c r="CR359" s="105" t="str">
        <f aca="false">IF($CH359&gt;$CG$8,"",VLOOKUP($CH359,$CJ$9:$CP$508,2,FALSE()))</f>
        <v/>
      </c>
      <c r="CS359" s="105" t="str">
        <f aca="false">IF($CH359&gt;$CG$8,"",VLOOKUP($CH359,$CJ$9:$CP$508,3,FALSE()))</f>
        <v/>
      </c>
      <c r="CT359" s="105" t="str">
        <f aca="false">IF($CH359&gt;$CG$8,"",VLOOKUP($CH359,$CJ$9:$CP$508,4,FALSE()))</f>
        <v/>
      </c>
      <c r="CU359" s="105" t="str">
        <f aca="false">IF($CH359&gt;$CG$8,"",VLOOKUP($CH359,$CJ$9:$CP$508,5,FALSE()))</f>
        <v/>
      </c>
      <c r="CV359" s="106" t="str">
        <f aca="false">IF($CH359&gt;$CG$8,"",VLOOKUP($CH359,$CJ$9:$CP$508,6,FALSE()))</f>
        <v/>
      </c>
      <c r="CW359" s="71"/>
    </row>
    <row r="360" customFormat="false" ht="15.75" hidden="false" customHeight="false" outlineLevel="0" collapsed="false">
      <c r="A360" s="9"/>
      <c r="B360" s="150"/>
      <c r="C360" s="151"/>
      <c r="D360" s="152"/>
      <c r="E360" s="170"/>
      <c r="F360" s="154"/>
      <c r="G360" s="155"/>
      <c r="H360" s="171"/>
      <c r="I360" s="159"/>
      <c r="J360" s="120"/>
      <c r="K360" s="121"/>
      <c r="L360" s="122"/>
      <c r="M360" s="158"/>
      <c r="N360" s="159"/>
      <c r="O360" s="159"/>
      <c r="P360" s="120"/>
      <c r="Q360" s="122"/>
      <c r="R360" s="122"/>
      <c r="S360" s="158"/>
      <c r="T360" s="159"/>
      <c r="U360" s="126"/>
      <c r="V360" s="127"/>
      <c r="W360" s="127" t="str">
        <f aca="false">IF(ISBLANK($C360),"",IF(E360=Constants!$B$2,TRUE(),IF(E360=Constants!$B$3,FALSE(),TRUE())))</f>
        <v/>
      </c>
      <c r="X360" s="127" t="str">
        <f aca="false">IF(ISBLANK($C360),"",IF(F360=Constants!$B$2,TRUE(),IF(F360=Constants!$B$3,FALSE(),TRUE())))</f>
        <v/>
      </c>
      <c r="Y360" s="127" t="str">
        <f aca="false">IF(ISBLANK($C360),"",IF(G360=Constants!$B$2,TRUE(),IF(G360=Constants!$B$3,FALSE(),TRUE())))</f>
        <v/>
      </c>
      <c r="Z360" s="127" t="str">
        <f aca="false">IF(ISBLANK($C360),"",IF(H360=Constants!$B$2,TRUE(),IF(H360=Constants!$B$3,FALSE(),TRUE())))</f>
        <v/>
      </c>
      <c r="AA360" s="127" t="str">
        <f aca="false">IF(ISBLANK($C360),"",IF(I360=Constants!$B$2,TRUE(),IF(I360=Constants!$B$3,FALSE(),TRUE())))</f>
        <v/>
      </c>
      <c r="AB360" s="127" t="str">
        <f aca="false">IF(ISBLANK($C360),"",IF(J360=Constants!$B$4,TRUE(),IF(J360=Constants!$B$5,FALSE(),COUNTA(K360:M360)&gt;0)))</f>
        <v/>
      </c>
      <c r="AC360" s="128" t="str">
        <f aca="false">IF(ISBLANK($C360),"",IF(ISNUMBER(K360),IF(K360&gt;=0,K360,""),""))</f>
        <v/>
      </c>
      <c r="AD360" s="129" t="str">
        <f aca="false">IF(ISBLANK($C360),"",IF(ISNUMBER(L360),IF(L360&gt;=0,L360,""),""))</f>
        <v/>
      </c>
      <c r="AE360" s="127" t="str">
        <f aca="false">IF(ISBLANK($C360),"",IF(ISNUMBER(M360),IF(M360&gt;=0,MIN(M360,Constants!$B$22),""),""))</f>
        <v/>
      </c>
      <c r="AF360" s="127" t="str">
        <f aca="false">IF(ISBLANK($C360),"",IF(N360=Constants!$B$2,TRUE(),IF(N360=Constants!$B$3,FALSE(),TRUE())))</f>
        <v/>
      </c>
      <c r="AG360" s="127" t="str">
        <f aca="false">IF(ISBLANK($C360),"",IF(O360=Constants!$B$2,TRUE(),IF(O360=Constants!$B$3,FALSE(),TRUE())))</f>
        <v/>
      </c>
      <c r="AH360" s="127" t="str">
        <f aca="false">IF(ISBLANK($C360),"",IF(P360=Constants!$B$4,TRUE(),IF(P360=Constants!$B$5,FALSE(),COUNTA(Q360:S360)&gt;0)))</f>
        <v/>
      </c>
      <c r="AI360" s="128" t="str">
        <f aca="false">IF(ISBLANK($C360),"",IF(ISNUMBER(Q360),IF(Q360&gt;=0,Q360,""),""))</f>
        <v/>
      </c>
      <c r="AJ360" s="129" t="str">
        <f aca="false">IF(ISBLANK($C360),"",IF(ISNUMBER(R360),IF(R360&gt;=0,R360,""),""))</f>
        <v/>
      </c>
      <c r="AK360" s="127" t="str">
        <f aca="false">IF(ISBLANK($C360),"",IF(ISNUMBER(S360),IF(S360&gt;=0,MIN(S360,Constants!$B$22),""),""))</f>
        <v/>
      </c>
      <c r="AL360" s="127" t="str">
        <f aca="false">IF(ISBLANK($C360),"",IF(T360=Constants!$B$2,TRUE(),IF(T360=Constants!$B$3,FALSE(),FALSE())))</f>
        <v/>
      </c>
      <c r="AM360" s="126" t="str">
        <f aca="false">IF(ISBLANK($C360),"",AND($AB360,OR($AC360="",$AD360="",AND(NOT(ISBLANK($M360)),$AE360=""))))</f>
        <v/>
      </c>
      <c r="AN360" s="129" t="str">
        <f aca="false">IF($BD360&lt;&gt;Constants!$B$6,"",IF($AB360,Constants!$B$17*$AD360,Constants!$B$18))</f>
        <v/>
      </c>
      <c r="AO360" s="130" t="str">
        <f aca="false">IF($BD360&lt;&gt;Constants!$B$6,"",Constants!$B$19*IF($AB360,$AC360,0))</f>
        <v/>
      </c>
      <c r="AP360" s="130" t="str">
        <f aca="false">IF($BD360&lt;&gt;Constants!$B$6,"",IF(AND($AB360,ISNUMBER($AE360)),Constants!$B$20*(Constants!$B$21-$AE360),0))</f>
        <v/>
      </c>
      <c r="AQ360" s="130" t="str">
        <f aca="false">IF($BD360&lt;&gt;Constants!$B$6,"",IF($AA360,0,Constants!$B$12)+IF($Z360,0,Constants!$B$13)+IF($Y360,0,Constants!$B$14))</f>
        <v/>
      </c>
      <c r="AR360" s="131" t="str">
        <f aca="false">IF($BD360&lt;&gt;Constants!$B$6,"",Constants!$B$16+SUM($AN360:$AQ360))</f>
        <v/>
      </c>
      <c r="AS360" s="130" t="str">
        <f aca="false">IF($BD360&lt;&gt;Constants!$B$6,"",IF($AB360,$AD360,""))</f>
        <v/>
      </c>
      <c r="AT360" s="132" t="str">
        <f aca="false">IF($BD360&lt;&gt;Constants!$B$6,"",$AO360)</f>
        <v/>
      </c>
      <c r="AU360" s="127" t="str">
        <f aca="false">IF($BD360&lt;&gt;Constants!$B$6,"",IF(OR($BA360&lt;$AR360,AND($BA360=$AR360,OR(AND(ISNUMBER($BB360),OR(NOT(ISNUMBER($AS360)),$BB360&lt;$AS360)),AND(OR(AND($BB360="",$AS360=""),AND(ISNUMBER($BB360),ISNUMBER($AS360),$BB360=$AS360)),$BC360&lt;$AT360)))),"-&gt;","&lt;-"))</f>
        <v/>
      </c>
      <c r="AV360" s="126" t="str">
        <f aca="false">IF(ISBLANK($C360),"",AND($AH360,OR($AI360="",$AJ360="",AND(NOT(ISBLANK($S360)),$AK360=""))))</f>
        <v/>
      </c>
      <c r="AW360" s="129" t="str">
        <f aca="false">IF($BD360&lt;&gt;Constants!$B$6,"",IF($AH360,Constants!$B$17*$AJ360,Constants!$B$18))</f>
        <v/>
      </c>
      <c r="AX360" s="130" t="str">
        <f aca="false">IF($BD360&lt;&gt;Constants!$B$6,"",Constants!$B$19*IF($AH360,$AI360,0))</f>
        <v/>
      </c>
      <c r="AY360" s="130" t="str">
        <f aca="false">IF($BD360&lt;&gt;Constants!$B$6,"",IF(AND($AH360,ISNUMBER($AK360)),Constants!$B$20*(Constants!$B$21-$AK360),0))</f>
        <v/>
      </c>
      <c r="AZ360" s="130" t="str">
        <f aca="false">IF($BD360&lt;&gt;Constants!$B$6,"",IF($AG360,0,Constants!$B$12)+IF($AF360,0,Constants!$B$13)+IF($Y360,0,Constants!$B$14))</f>
        <v/>
      </c>
      <c r="BA360" s="131" t="str">
        <f aca="false">IF($BD360&lt;&gt;Constants!$B$6,"",Constants!$B$16+SUM($AW360:$AZ360))</f>
        <v/>
      </c>
      <c r="BB360" s="130" t="str">
        <f aca="false">IF($BD360&lt;&gt;Constants!$B$6,"",IF($AH360,$AJ360,""))</f>
        <v/>
      </c>
      <c r="BC360" s="132" t="str">
        <f aca="false">IF($BD360&lt;&gt;Constants!$B$6,"",$AX360)</f>
        <v/>
      </c>
      <c r="BD360" s="127" t="str">
        <f aca="false">IF(ISBLANK($C360),"",IF($AL360,Constants!$B$9,IF(COUNTA($E360:$T360)=0,Constants!$B$8,IF(NOT($X360),Constants!$B$7,IF(OR($AM360,$AV360),Constants!$B$10,Constants!$B$6)))))</f>
        <v/>
      </c>
      <c r="BE360" s="127" t="str">
        <f aca="false">IF(ISBLANK($C360),"",IF($BD360&lt;&gt;Constants!$B$6,$BD360,Constants!$B$11))</f>
        <v/>
      </c>
      <c r="BF360" s="130" t="str">
        <f aca="false">IF($BD360&lt;&gt;Constants!$B$6,"",IF($AU360="-&gt;",$BA360,$AR360))</f>
        <v/>
      </c>
      <c r="BG360" s="130" t="str">
        <f aca="false">IF($BD360&lt;&gt;Constants!$B$6,"",IF($W360,0,Constants!$B$15))</f>
        <v/>
      </c>
      <c r="BH360" s="130" t="str">
        <f aca="false">IF(ISBLANK($C360),"",IF($BD360&lt;&gt;Constants!$B$6,$BD360,SUM($BF360:$BG360)))</f>
        <v/>
      </c>
      <c r="BI360" s="127" t="str">
        <f aca="false">IF(ISBLANK($C360),"",IF($BD360&lt;&gt;Constants!$B$6,$BD360,RANK($BH360,$BH$9:$BH$508,1)))</f>
        <v/>
      </c>
      <c r="BJ360" s="130" t="str">
        <f aca="false">IF($BD360&lt;&gt;Constants!$B$6,"",IF($AU360="-&gt;",$BB360,$AS360))</f>
        <v/>
      </c>
      <c r="BK360" s="127" t="str">
        <f aca="false">IF(ISBLANK($C360),"",IF($BD360&lt;&gt;Constants!$B$6,$BD360,IF(ISNUMBER($BJ360),RANK($BJ360,$BJ$9:$BJ$508,1),COUNT($BJ$9:$BJ$508)+1)))</f>
        <v/>
      </c>
      <c r="BL360" s="130" t="str">
        <f aca="false">IF($BD360&lt;&gt;Constants!$B$6,"",IF($AU360="-&gt;",$BC360,$AT360))</f>
        <v/>
      </c>
      <c r="BM360" s="127" t="str">
        <f aca="false">IF(ISBLANK($C360),"",IF($BD360&lt;&gt;Constants!$B$6,$BD360,IF(ISNUMBER($BL360),RANK($BL360,$BL$9:$BL$508,1),COUNT($BL$9:$BL$508)+1)))</f>
        <v/>
      </c>
      <c r="BN360" s="130" t="str">
        <f aca="false">IF($BD360&lt;&gt;Constants!$B$6,"",IF($AU360="-&gt;",$AS360,$BB360))</f>
        <v/>
      </c>
      <c r="BO360" s="127" t="str">
        <f aca="false">IF(ISBLANK($C360),"",IF($BD360&lt;&gt;Constants!$B$6,$BD360,IF(ISNUMBER($BN360),RANK($BN360,$BN$9:$BN$508,1),COUNT($BN$9:$BN$508)+1)))</f>
        <v/>
      </c>
      <c r="BP360" s="130" t="str">
        <f aca="false">IF($BD360&lt;&gt;Constants!$B$6,"",IF($AU360="-&gt;",$AT360,$BC360))</f>
        <v/>
      </c>
      <c r="BQ360" s="127" t="str">
        <f aca="false">IF(ISBLANK($C360),"",IF($BD360&lt;&gt;Constants!$B$6,$BD360,IF(ISNUMBER($BP360),RANK($BP360,$BP$9:$BP$508,1),COUNT($BP$9:$BP$508)+1)))</f>
        <v/>
      </c>
      <c r="BR360" s="127" t="str">
        <f aca="false">IF(ISBLANK($C360),"",IF($BD360&lt;&gt;Constants!$B$6,$BD360,COUNTIFS($BI$9:$BI$508,"&lt;"&amp;$BI360)+COUNTIFS($BI$9:$BI$508,$BI360,$BK$9:$BK$508,"&lt;"&amp;$BK360)+COUNTIFS($BI$9:$BI$508,$BI360,$BK$9:$BK$508,$BK360,$BM$9:$BM$508,"&lt;"&amp;$BM360)+COUNTIFS($BI$9:$BI$508,$BI360,$BK$9:$BK$508,$BK360,$BM$9:$BM$508,$BM360,$BO$9:$BO$508,"&lt;"&amp;$BO360)+COUNTIFS($BI$9:$BI$508,$BI360,$BK$9:$BK$508,$BK360,$BM$9:$BM$508,$BM360,$BO$9:$BO$508,$BO360,$BQ$9:$BQ$508,"&lt;"&amp;$BQ360)+1))</f>
        <v/>
      </c>
      <c r="BS360" s="127" t="str">
        <f aca="false">IF(ISBLANK($C360),"",IF($BD360&lt;&gt;Constants!$B$6,$BD360,$BI360-$BR360))</f>
        <v/>
      </c>
      <c r="BT360" s="133"/>
      <c r="BU360" s="134"/>
      <c r="BV360" s="134" t="str">
        <f aca="false">IF(ISBLANK($C360),"",IF($BD360&lt;&gt;Constants!$B$6,"",IF($AU360="-&gt;",2,1)))</f>
        <v/>
      </c>
      <c r="BW360" s="135" t="str">
        <f aca="false">IF(ISBLANK($C360),"",IF($BD360&lt;&gt;Constants!$B$6,"",IF($AU360="-&gt;",$AW360,$AN360)))</f>
        <v/>
      </c>
      <c r="BX360" s="135" t="str">
        <f aca="false">IF(ISBLANK($C360),"",IF($BD360&lt;&gt;Constants!$B$6,"",IF($AU360="-&gt;",$AX360,$AO360)))</f>
        <v/>
      </c>
      <c r="BY360" s="135" t="str">
        <f aca="false">IF(ISBLANK($C360),"",IF($BD360&lt;&gt;Constants!$B$6,"",IF($AU360="-&gt;",$AY360,$AP360)))</f>
        <v/>
      </c>
      <c r="BZ360" s="135" t="str">
        <f aca="false">IF(ISBLANK($C360),"",IF($BD360&lt;&gt;Constants!$B$6,"",IF($AU360="-&gt;",$AZ360,$AQ360)+$BG360))</f>
        <v/>
      </c>
      <c r="CA360" s="136" t="str">
        <f aca="false">IF(ISBLANK($C360),"",IF($BD360&lt;&gt;Constants!$B$6,$BD360,$BH360))</f>
        <v/>
      </c>
      <c r="CB360" s="137" t="str">
        <f aca="false">IF(ISBLANK($C360),"",$BE360)</f>
        <v/>
      </c>
      <c r="CC360" s="138" t="str">
        <f aca="false">IF(ISBLANK($C360),"",$BS360)</f>
        <v/>
      </c>
      <c r="CD360" s="138" t="str">
        <f aca="false">IF(ISBLANK($C360),"",$BR360)</f>
        <v/>
      </c>
      <c r="CE360" s="139" t="str">
        <f aca="false">IF(ISBLANK($C360),"",IF($CD360=Constants!$B$9,COUNTA($C$9:$C$508)+2,IF($CD360=Constants!$B$8,COUNTA($C$9:$C$508)+1,IF($CD360=Constants!$B$7,COUNTA($C$9:$C$508),$CD360))))</f>
        <v/>
      </c>
      <c r="CF360" s="9"/>
      <c r="CG360" s="140" t="n">
        <f aca="false">IF(OR(ISNUMBER($CD360),$CD360=Constants!$B$9,$CD360=Constants!$B$7,$CD360=Constants!$B$8),1,0)</f>
        <v>0</v>
      </c>
      <c r="CH360" s="140" t="n">
        <v>352</v>
      </c>
      <c r="CI360" s="140" t="str">
        <f aca="false">IF(ISBLANK($C360),"",IF(ISNUMBER($CE360),$CE360+ROW($B360)/1000,""))</f>
        <v/>
      </c>
      <c r="CJ360" s="140" t="str">
        <f aca="false">IF(ISNUMBER($CI360),RANK($CI360,$CI$9:$CI$508,1),"")</f>
        <v/>
      </c>
      <c r="CK360" s="140" t="str">
        <f aca="false">IF(ISBLANK($C360),"",$B360)</f>
        <v/>
      </c>
      <c r="CL360" s="140" t="str">
        <f aca="false">IF(ISBLANK($C360),"",$C360)</f>
        <v/>
      </c>
      <c r="CM360" s="140" t="str">
        <f aca="false">IF(ISBLANK($C360),"",$D360)</f>
        <v/>
      </c>
      <c r="CN360" s="141" t="str">
        <f aca="false">$CB360</f>
        <v/>
      </c>
      <c r="CO360" s="142" t="str">
        <f aca="false">$CA360</f>
        <v/>
      </c>
      <c r="CP360" s="140" t="str">
        <f aca="false">IF(ISBLANK($C360),"",$CD360)</f>
        <v/>
      </c>
      <c r="CQ360" s="143" t="str">
        <f aca="false">IF($CH360&gt;$CG$8,"",VLOOKUP($CH360,$CJ$9:$CP$508,7,FALSE()))</f>
        <v/>
      </c>
      <c r="CR360" s="144" t="str">
        <f aca="false">IF($CH360&gt;$CG$8,"",VLOOKUP($CH360,$CJ$9:$CP$508,2,FALSE()))</f>
        <v/>
      </c>
      <c r="CS360" s="144" t="str">
        <f aca="false">IF($CH360&gt;$CG$8,"",VLOOKUP($CH360,$CJ$9:$CP$508,3,FALSE()))</f>
        <v/>
      </c>
      <c r="CT360" s="144" t="str">
        <f aca="false">IF($CH360&gt;$CG$8,"",VLOOKUP($CH360,$CJ$9:$CP$508,4,FALSE()))</f>
        <v/>
      </c>
      <c r="CU360" s="144" t="str">
        <f aca="false">IF($CH360&gt;$CG$8,"",VLOOKUP($CH360,$CJ$9:$CP$508,5,FALSE()))</f>
        <v/>
      </c>
      <c r="CV360" s="145" t="str">
        <f aca="false">IF($CH360&gt;$CG$8,"",VLOOKUP($CH360,$CJ$9:$CP$508,6,FALSE()))</f>
        <v/>
      </c>
      <c r="CW360" s="71"/>
    </row>
    <row r="361" customFormat="false" ht="15.75" hidden="false" customHeight="false" outlineLevel="0" collapsed="false">
      <c r="A361" s="9"/>
      <c r="B361" s="150"/>
      <c r="C361" s="151"/>
      <c r="D361" s="152"/>
      <c r="E361" s="170"/>
      <c r="F361" s="154"/>
      <c r="G361" s="155"/>
      <c r="H361" s="171"/>
      <c r="I361" s="159"/>
      <c r="J361" s="120"/>
      <c r="K361" s="121"/>
      <c r="L361" s="122"/>
      <c r="M361" s="158"/>
      <c r="N361" s="159"/>
      <c r="O361" s="159"/>
      <c r="P361" s="120"/>
      <c r="Q361" s="122"/>
      <c r="R361" s="122"/>
      <c r="S361" s="158"/>
      <c r="T361" s="159"/>
      <c r="U361" s="126"/>
      <c r="V361" s="127"/>
      <c r="W361" s="127" t="str">
        <f aca="false">IF(ISBLANK($C361),"",IF(E361=Constants!$B$2,TRUE(),IF(E361=Constants!$B$3,FALSE(),TRUE())))</f>
        <v/>
      </c>
      <c r="X361" s="127" t="str">
        <f aca="false">IF(ISBLANK($C361),"",IF(F361=Constants!$B$2,TRUE(),IF(F361=Constants!$B$3,FALSE(),TRUE())))</f>
        <v/>
      </c>
      <c r="Y361" s="127" t="str">
        <f aca="false">IF(ISBLANK($C361),"",IF(G361=Constants!$B$2,TRUE(),IF(G361=Constants!$B$3,FALSE(),TRUE())))</f>
        <v/>
      </c>
      <c r="Z361" s="127" t="str">
        <f aca="false">IF(ISBLANK($C361),"",IF(H361=Constants!$B$2,TRUE(),IF(H361=Constants!$B$3,FALSE(),TRUE())))</f>
        <v/>
      </c>
      <c r="AA361" s="127" t="str">
        <f aca="false">IF(ISBLANK($C361),"",IF(I361=Constants!$B$2,TRUE(),IF(I361=Constants!$B$3,FALSE(),TRUE())))</f>
        <v/>
      </c>
      <c r="AB361" s="127" t="str">
        <f aca="false">IF(ISBLANK($C361),"",IF(J361=Constants!$B$4,TRUE(),IF(J361=Constants!$B$5,FALSE(),COUNTA(K361:M361)&gt;0)))</f>
        <v/>
      </c>
      <c r="AC361" s="128" t="str">
        <f aca="false">IF(ISBLANK($C361),"",IF(ISNUMBER(K361),IF(K361&gt;=0,K361,""),""))</f>
        <v/>
      </c>
      <c r="AD361" s="129" t="str">
        <f aca="false">IF(ISBLANK($C361),"",IF(ISNUMBER(L361),IF(L361&gt;=0,L361,""),""))</f>
        <v/>
      </c>
      <c r="AE361" s="127" t="str">
        <f aca="false">IF(ISBLANK($C361),"",IF(ISNUMBER(M361),IF(M361&gt;=0,MIN(M361,Constants!$B$22),""),""))</f>
        <v/>
      </c>
      <c r="AF361" s="127" t="str">
        <f aca="false">IF(ISBLANK($C361),"",IF(N361=Constants!$B$2,TRUE(),IF(N361=Constants!$B$3,FALSE(),TRUE())))</f>
        <v/>
      </c>
      <c r="AG361" s="127" t="str">
        <f aca="false">IF(ISBLANK($C361),"",IF(O361=Constants!$B$2,TRUE(),IF(O361=Constants!$B$3,FALSE(),TRUE())))</f>
        <v/>
      </c>
      <c r="AH361" s="127" t="str">
        <f aca="false">IF(ISBLANK($C361),"",IF(P361=Constants!$B$4,TRUE(),IF(P361=Constants!$B$5,FALSE(),COUNTA(Q361:S361)&gt;0)))</f>
        <v/>
      </c>
      <c r="AI361" s="128" t="str">
        <f aca="false">IF(ISBLANK($C361),"",IF(ISNUMBER(Q361),IF(Q361&gt;=0,Q361,""),""))</f>
        <v/>
      </c>
      <c r="AJ361" s="129" t="str">
        <f aca="false">IF(ISBLANK($C361),"",IF(ISNUMBER(R361),IF(R361&gt;=0,R361,""),""))</f>
        <v/>
      </c>
      <c r="AK361" s="127" t="str">
        <f aca="false">IF(ISBLANK($C361),"",IF(ISNUMBER(S361),IF(S361&gt;=0,MIN(S361,Constants!$B$22),""),""))</f>
        <v/>
      </c>
      <c r="AL361" s="127" t="str">
        <f aca="false">IF(ISBLANK($C361),"",IF(T361=Constants!$B$2,TRUE(),IF(T361=Constants!$B$3,FALSE(),FALSE())))</f>
        <v/>
      </c>
      <c r="AM361" s="126" t="str">
        <f aca="false">IF(ISBLANK($C361),"",AND($AB361,OR($AC361="",$AD361="",AND(NOT(ISBLANK($M361)),$AE361=""))))</f>
        <v/>
      </c>
      <c r="AN361" s="129" t="str">
        <f aca="false">IF($BD361&lt;&gt;Constants!$B$6,"",IF($AB361,Constants!$B$17*$AD361,Constants!$B$18))</f>
        <v/>
      </c>
      <c r="AO361" s="130" t="str">
        <f aca="false">IF($BD361&lt;&gt;Constants!$B$6,"",Constants!$B$19*IF($AB361,$AC361,0))</f>
        <v/>
      </c>
      <c r="AP361" s="130" t="str">
        <f aca="false">IF($BD361&lt;&gt;Constants!$B$6,"",IF(AND($AB361,ISNUMBER($AE361)),Constants!$B$20*(Constants!$B$21-$AE361),0))</f>
        <v/>
      </c>
      <c r="AQ361" s="130" t="str">
        <f aca="false">IF($BD361&lt;&gt;Constants!$B$6,"",IF($AA361,0,Constants!$B$12)+IF($Z361,0,Constants!$B$13)+IF($Y361,0,Constants!$B$14))</f>
        <v/>
      </c>
      <c r="AR361" s="131" t="str">
        <f aca="false">IF($BD361&lt;&gt;Constants!$B$6,"",Constants!$B$16+SUM($AN361:$AQ361))</f>
        <v/>
      </c>
      <c r="AS361" s="130" t="str">
        <f aca="false">IF($BD361&lt;&gt;Constants!$B$6,"",IF($AB361,$AD361,""))</f>
        <v/>
      </c>
      <c r="AT361" s="132" t="str">
        <f aca="false">IF($BD361&lt;&gt;Constants!$B$6,"",$AO361)</f>
        <v/>
      </c>
      <c r="AU361" s="127" t="str">
        <f aca="false">IF($BD361&lt;&gt;Constants!$B$6,"",IF(OR($BA361&lt;$AR361,AND($BA361=$AR361,OR(AND(ISNUMBER($BB361),OR(NOT(ISNUMBER($AS361)),$BB361&lt;$AS361)),AND(OR(AND($BB361="",$AS361=""),AND(ISNUMBER($BB361),ISNUMBER($AS361),$BB361=$AS361)),$BC361&lt;$AT361)))),"-&gt;","&lt;-"))</f>
        <v/>
      </c>
      <c r="AV361" s="126" t="str">
        <f aca="false">IF(ISBLANK($C361),"",AND($AH361,OR($AI361="",$AJ361="",AND(NOT(ISBLANK($S361)),$AK361=""))))</f>
        <v/>
      </c>
      <c r="AW361" s="129" t="str">
        <f aca="false">IF($BD361&lt;&gt;Constants!$B$6,"",IF($AH361,Constants!$B$17*$AJ361,Constants!$B$18))</f>
        <v/>
      </c>
      <c r="AX361" s="130" t="str">
        <f aca="false">IF($BD361&lt;&gt;Constants!$B$6,"",Constants!$B$19*IF($AH361,$AI361,0))</f>
        <v/>
      </c>
      <c r="AY361" s="130" t="str">
        <f aca="false">IF($BD361&lt;&gt;Constants!$B$6,"",IF(AND($AH361,ISNUMBER($AK361)),Constants!$B$20*(Constants!$B$21-$AK361),0))</f>
        <v/>
      </c>
      <c r="AZ361" s="130" t="str">
        <f aca="false">IF($BD361&lt;&gt;Constants!$B$6,"",IF($AG361,0,Constants!$B$12)+IF($AF361,0,Constants!$B$13)+IF($Y361,0,Constants!$B$14))</f>
        <v/>
      </c>
      <c r="BA361" s="131" t="str">
        <f aca="false">IF($BD361&lt;&gt;Constants!$B$6,"",Constants!$B$16+SUM($AW361:$AZ361))</f>
        <v/>
      </c>
      <c r="BB361" s="130" t="str">
        <f aca="false">IF($BD361&lt;&gt;Constants!$B$6,"",IF($AH361,$AJ361,""))</f>
        <v/>
      </c>
      <c r="BC361" s="132" t="str">
        <f aca="false">IF($BD361&lt;&gt;Constants!$B$6,"",$AX361)</f>
        <v/>
      </c>
      <c r="BD361" s="127" t="str">
        <f aca="false">IF(ISBLANK($C361),"",IF($AL361,Constants!$B$9,IF(COUNTA($E361:$T361)=0,Constants!$B$8,IF(NOT($X361),Constants!$B$7,IF(OR($AM361,$AV361),Constants!$B$10,Constants!$B$6)))))</f>
        <v/>
      </c>
      <c r="BE361" s="127" t="str">
        <f aca="false">IF(ISBLANK($C361),"",IF($BD361&lt;&gt;Constants!$B$6,$BD361,Constants!$B$11))</f>
        <v/>
      </c>
      <c r="BF361" s="130" t="str">
        <f aca="false">IF($BD361&lt;&gt;Constants!$B$6,"",IF($AU361="-&gt;",$BA361,$AR361))</f>
        <v/>
      </c>
      <c r="BG361" s="130" t="str">
        <f aca="false">IF($BD361&lt;&gt;Constants!$B$6,"",IF($W361,0,Constants!$B$15))</f>
        <v/>
      </c>
      <c r="BH361" s="130" t="str">
        <f aca="false">IF(ISBLANK($C361),"",IF($BD361&lt;&gt;Constants!$B$6,$BD361,SUM($BF361:$BG361)))</f>
        <v/>
      </c>
      <c r="BI361" s="127" t="str">
        <f aca="false">IF(ISBLANK($C361),"",IF($BD361&lt;&gt;Constants!$B$6,$BD361,RANK($BH361,$BH$9:$BH$508,1)))</f>
        <v/>
      </c>
      <c r="BJ361" s="130" t="str">
        <f aca="false">IF($BD361&lt;&gt;Constants!$B$6,"",IF($AU361="-&gt;",$BB361,$AS361))</f>
        <v/>
      </c>
      <c r="BK361" s="127" t="str">
        <f aca="false">IF(ISBLANK($C361),"",IF($BD361&lt;&gt;Constants!$B$6,$BD361,IF(ISNUMBER($BJ361),RANK($BJ361,$BJ$9:$BJ$508,1),COUNT($BJ$9:$BJ$508)+1)))</f>
        <v/>
      </c>
      <c r="BL361" s="130" t="str">
        <f aca="false">IF($BD361&lt;&gt;Constants!$B$6,"",IF($AU361="-&gt;",$BC361,$AT361))</f>
        <v/>
      </c>
      <c r="BM361" s="127" t="str">
        <f aca="false">IF(ISBLANK($C361),"",IF($BD361&lt;&gt;Constants!$B$6,$BD361,IF(ISNUMBER($BL361),RANK($BL361,$BL$9:$BL$508,1),COUNT($BL$9:$BL$508)+1)))</f>
        <v/>
      </c>
      <c r="BN361" s="130" t="str">
        <f aca="false">IF($BD361&lt;&gt;Constants!$B$6,"",IF($AU361="-&gt;",$AS361,$BB361))</f>
        <v/>
      </c>
      <c r="BO361" s="127" t="str">
        <f aca="false">IF(ISBLANK($C361),"",IF($BD361&lt;&gt;Constants!$B$6,$BD361,IF(ISNUMBER($BN361),RANK($BN361,$BN$9:$BN$508,1),COUNT($BN$9:$BN$508)+1)))</f>
        <v/>
      </c>
      <c r="BP361" s="130" t="str">
        <f aca="false">IF($BD361&lt;&gt;Constants!$B$6,"",IF($AU361="-&gt;",$AT361,$BC361))</f>
        <v/>
      </c>
      <c r="BQ361" s="127" t="str">
        <f aca="false">IF(ISBLANK($C361),"",IF($BD361&lt;&gt;Constants!$B$6,$BD361,IF(ISNUMBER($BP361),RANK($BP361,$BP$9:$BP$508,1),COUNT($BP$9:$BP$508)+1)))</f>
        <v/>
      </c>
      <c r="BR361" s="127" t="str">
        <f aca="false">IF(ISBLANK($C361),"",IF($BD361&lt;&gt;Constants!$B$6,$BD361,COUNTIFS($BI$9:$BI$508,"&lt;"&amp;$BI361)+COUNTIFS($BI$9:$BI$508,$BI361,$BK$9:$BK$508,"&lt;"&amp;$BK361)+COUNTIFS($BI$9:$BI$508,$BI361,$BK$9:$BK$508,$BK361,$BM$9:$BM$508,"&lt;"&amp;$BM361)+COUNTIFS($BI$9:$BI$508,$BI361,$BK$9:$BK$508,$BK361,$BM$9:$BM$508,$BM361,$BO$9:$BO$508,"&lt;"&amp;$BO361)+COUNTIFS($BI$9:$BI$508,$BI361,$BK$9:$BK$508,$BK361,$BM$9:$BM$508,$BM361,$BO$9:$BO$508,$BO361,$BQ$9:$BQ$508,"&lt;"&amp;$BQ361)+1))</f>
        <v/>
      </c>
      <c r="BS361" s="127" t="str">
        <f aca="false">IF(ISBLANK($C361),"",IF($BD361&lt;&gt;Constants!$B$6,$BD361,$BI361-$BR361))</f>
        <v/>
      </c>
      <c r="BT361" s="133"/>
      <c r="BU361" s="134"/>
      <c r="BV361" s="134" t="str">
        <f aca="false">IF(ISBLANK($C361),"",IF($BD361&lt;&gt;Constants!$B$6,"",IF($AU361="-&gt;",2,1)))</f>
        <v/>
      </c>
      <c r="BW361" s="135" t="str">
        <f aca="false">IF(ISBLANK($C361),"",IF($BD361&lt;&gt;Constants!$B$6,"",IF($AU361="-&gt;",$AW361,$AN361)))</f>
        <v/>
      </c>
      <c r="BX361" s="135" t="str">
        <f aca="false">IF(ISBLANK($C361),"",IF($BD361&lt;&gt;Constants!$B$6,"",IF($AU361="-&gt;",$AX361,$AO361)))</f>
        <v/>
      </c>
      <c r="BY361" s="135" t="str">
        <f aca="false">IF(ISBLANK($C361),"",IF($BD361&lt;&gt;Constants!$B$6,"",IF($AU361="-&gt;",$AY361,$AP361)))</f>
        <v/>
      </c>
      <c r="BZ361" s="135" t="str">
        <f aca="false">IF(ISBLANK($C361),"",IF($BD361&lt;&gt;Constants!$B$6,"",IF($AU361="-&gt;",$AZ361,$AQ361)+$BG361))</f>
        <v/>
      </c>
      <c r="CA361" s="136" t="str">
        <f aca="false">IF(ISBLANK($C361),"",IF($BD361&lt;&gt;Constants!$B$6,$BD361,$BH361))</f>
        <v/>
      </c>
      <c r="CB361" s="137" t="str">
        <f aca="false">IF(ISBLANK($C361),"",$BE361)</f>
        <v/>
      </c>
      <c r="CC361" s="138" t="str">
        <f aca="false">IF(ISBLANK($C361),"",$BS361)</f>
        <v/>
      </c>
      <c r="CD361" s="138" t="str">
        <f aca="false">IF(ISBLANK($C361),"",$BR361)</f>
        <v/>
      </c>
      <c r="CE361" s="139" t="str">
        <f aca="false">IF(ISBLANK($C361),"",IF($CD361=Constants!$B$9,COUNTA($C$9:$C$508)+2,IF($CD361=Constants!$B$8,COUNTA($C$9:$C$508)+1,IF($CD361=Constants!$B$7,COUNTA($C$9:$C$508),$CD361))))</f>
        <v/>
      </c>
      <c r="CF361" s="9"/>
      <c r="CG361" s="140" t="n">
        <f aca="false">IF(OR(ISNUMBER($CD361),$CD361=Constants!$B$9,$CD361=Constants!$B$7,$CD361=Constants!$B$8),1,0)</f>
        <v>0</v>
      </c>
      <c r="CH361" s="140" t="n">
        <v>353</v>
      </c>
      <c r="CI361" s="140" t="str">
        <f aca="false">IF(ISBLANK($C361),"",IF(ISNUMBER($CE361),$CE361+ROW($B361)/1000,""))</f>
        <v/>
      </c>
      <c r="CJ361" s="140" t="str">
        <f aca="false">IF(ISNUMBER($CI361),RANK($CI361,$CI$9:$CI$508,1),"")</f>
        <v/>
      </c>
      <c r="CK361" s="140" t="str">
        <f aca="false">IF(ISBLANK($C361),"",$B361)</f>
        <v/>
      </c>
      <c r="CL361" s="140" t="str">
        <f aca="false">IF(ISBLANK($C361),"",$C361)</f>
        <v/>
      </c>
      <c r="CM361" s="140" t="str">
        <f aca="false">IF(ISBLANK($C361),"",$D361)</f>
        <v/>
      </c>
      <c r="CN361" s="141" t="str">
        <f aca="false">$CB361</f>
        <v/>
      </c>
      <c r="CO361" s="142" t="str">
        <f aca="false">$CA361</f>
        <v/>
      </c>
      <c r="CP361" s="140" t="str">
        <f aca="false">IF(ISBLANK($C361),"",$CD361)</f>
        <v/>
      </c>
      <c r="CQ361" s="143" t="str">
        <f aca="false">IF($CH361&gt;$CG$8,"",VLOOKUP($CH361,$CJ$9:$CP$508,7,FALSE()))</f>
        <v/>
      </c>
      <c r="CR361" s="144" t="str">
        <f aca="false">IF($CH361&gt;$CG$8,"",VLOOKUP($CH361,$CJ$9:$CP$508,2,FALSE()))</f>
        <v/>
      </c>
      <c r="CS361" s="144" t="str">
        <f aca="false">IF($CH361&gt;$CG$8,"",VLOOKUP($CH361,$CJ$9:$CP$508,3,FALSE()))</f>
        <v/>
      </c>
      <c r="CT361" s="144" t="str">
        <f aca="false">IF($CH361&gt;$CG$8,"",VLOOKUP($CH361,$CJ$9:$CP$508,4,FALSE()))</f>
        <v/>
      </c>
      <c r="CU361" s="144" t="str">
        <f aca="false">IF($CH361&gt;$CG$8,"",VLOOKUP($CH361,$CJ$9:$CP$508,5,FALSE()))</f>
        <v/>
      </c>
      <c r="CV361" s="145" t="str">
        <f aca="false">IF($CH361&gt;$CG$8,"",VLOOKUP($CH361,$CJ$9:$CP$508,6,FALSE()))</f>
        <v/>
      </c>
      <c r="CW361" s="71"/>
    </row>
    <row r="362" customFormat="false" ht="15.75" hidden="false" customHeight="false" outlineLevel="0" collapsed="false">
      <c r="A362" s="9"/>
      <c r="B362" s="150"/>
      <c r="C362" s="151"/>
      <c r="D362" s="152"/>
      <c r="E362" s="170"/>
      <c r="F362" s="154"/>
      <c r="G362" s="155"/>
      <c r="H362" s="171"/>
      <c r="I362" s="159"/>
      <c r="J362" s="120"/>
      <c r="K362" s="121"/>
      <c r="L362" s="122"/>
      <c r="M362" s="158"/>
      <c r="N362" s="159"/>
      <c r="O362" s="159"/>
      <c r="P362" s="120"/>
      <c r="Q362" s="122"/>
      <c r="R362" s="122"/>
      <c r="S362" s="158"/>
      <c r="T362" s="159"/>
      <c r="U362" s="126"/>
      <c r="V362" s="127"/>
      <c r="W362" s="127" t="str">
        <f aca="false">IF(ISBLANK($C362),"",IF(E362=Constants!$B$2,TRUE(),IF(E362=Constants!$B$3,FALSE(),TRUE())))</f>
        <v/>
      </c>
      <c r="X362" s="127" t="str">
        <f aca="false">IF(ISBLANK($C362),"",IF(F362=Constants!$B$2,TRUE(),IF(F362=Constants!$B$3,FALSE(),TRUE())))</f>
        <v/>
      </c>
      <c r="Y362" s="127" t="str">
        <f aca="false">IF(ISBLANK($C362),"",IF(G362=Constants!$B$2,TRUE(),IF(G362=Constants!$B$3,FALSE(),TRUE())))</f>
        <v/>
      </c>
      <c r="Z362" s="127" t="str">
        <f aca="false">IF(ISBLANK($C362),"",IF(H362=Constants!$B$2,TRUE(),IF(H362=Constants!$B$3,FALSE(),TRUE())))</f>
        <v/>
      </c>
      <c r="AA362" s="127" t="str">
        <f aca="false">IF(ISBLANK($C362),"",IF(I362=Constants!$B$2,TRUE(),IF(I362=Constants!$B$3,FALSE(),TRUE())))</f>
        <v/>
      </c>
      <c r="AB362" s="127" t="str">
        <f aca="false">IF(ISBLANK($C362),"",IF(J362=Constants!$B$4,TRUE(),IF(J362=Constants!$B$5,FALSE(),COUNTA(K362:M362)&gt;0)))</f>
        <v/>
      </c>
      <c r="AC362" s="128" t="str">
        <f aca="false">IF(ISBLANK($C362),"",IF(ISNUMBER(K362),IF(K362&gt;=0,K362,""),""))</f>
        <v/>
      </c>
      <c r="AD362" s="129" t="str">
        <f aca="false">IF(ISBLANK($C362),"",IF(ISNUMBER(L362),IF(L362&gt;=0,L362,""),""))</f>
        <v/>
      </c>
      <c r="AE362" s="127" t="str">
        <f aca="false">IF(ISBLANK($C362),"",IF(ISNUMBER(M362),IF(M362&gt;=0,MIN(M362,Constants!$B$22),""),""))</f>
        <v/>
      </c>
      <c r="AF362" s="127" t="str">
        <f aca="false">IF(ISBLANK($C362),"",IF(N362=Constants!$B$2,TRUE(),IF(N362=Constants!$B$3,FALSE(),TRUE())))</f>
        <v/>
      </c>
      <c r="AG362" s="127" t="str">
        <f aca="false">IF(ISBLANK($C362),"",IF(O362=Constants!$B$2,TRUE(),IF(O362=Constants!$B$3,FALSE(),TRUE())))</f>
        <v/>
      </c>
      <c r="AH362" s="127" t="str">
        <f aca="false">IF(ISBLANK($C362),"",IF(P362=Constants!$B$4,TRUE(),IF(P362=Constants!$B$5,FALSE(),COUNTA(Q362:S362)&gt;0)))</f>
        <v/>
      </c>
      <c r="AI362" s="128" t="str">
        <f aca="false">IF(ISBLANK($C362),"",IF(ISNUMBER(Q362),IF(Q362&gt;=0,Q362,""),""))</f>
        <v/>
      </c>
      <c r="AJ362" s="129" t="str">
        <f aca="false">IF(ISBLANK($C362),"",IF(ISNUMBER(R362),IF(R362&gt;=0,R362,""),""))</f>
        <v/>
      </c>
      <c r="AK362" s="127" t="str">
        <f aca="false">IF(ISBLANK($C362),"",IF(ISNUMBER(S362),IF(S362&gt;=0,MIN(S362,Constants!$B$22),""),""))</f>
        <v/>
      </c>
      <c r="AL362" s="127" t="str">
        <f aca="false">IF(ISBLANK($C362),"",IF(T362=Constants!$B$2,TRUE(),IF(T362=Constants!$B$3,FALSE(),FALSE())))</f>
        <v/>
      </c>
      <c r="AM362" s="126" t="str">
        <f aca="false">IF(ISBLANK($C362),"",AND($AB362,OR($AC362="",$AD362="",AND(NOT(ISBLANK($M362)),$AE362=""))))</f>
        <v/>
      </c>
      <c r="AN362" s="129" t="str">
        <f aca="false">IF($BD362&lt;&gt;Constants!$B$6,"",IF($AB362,Constants!$B$17*$AD362,Constants!$B$18))</f>
        <v/>
      </c>
      <c r="AO362" s="130" t="str">
        <f aca="false">IF($BD362&lt;&gt;Constants!$B$6,"",Constants!$B$19*IF($AB362,$AC362,0))</f>
        <v/>
      </c>
      <c r="AP362" s="130" t="str">
        <f aca="false">IF($BD362&lt;&gt;Constants!$B$6,"",IF(AND($AB362,ISNUMBER($AE362)),Constants!$B$20*(Constants!$B$21-$AE362),0))</f>
        <v/>
      </c>
      <c r="AQ362" s="130" t="str">
        <f aca="false">IF($BD362&lt;&gt;Constants!$B$6,"",IF($AA362,0,Constants!$B$12)+IF($Z362,0,Constants!$B$13)+IF($Y362,0,Constants!$B$14))</f>
        <v/>
      </c>
      <c r="AR362" s="131" t="str">
        <f aca="false">IF($BD362&lt;&gt;Constants!$B$6,"",Constants!$B$16+SUM($AN362:$AQ362))</f>
        <v/>
      </c>
      <c r="AS362" s="130" t="str">
        <f aca="false">IF($BD362&lt;&gt;Constants!$B$6,"",IF($AB362,$AD362,""))</f>
        <v/>
      </c>
      <c r="AT362" s="132" t="str">
        <f aca="false">IF($BD362&lt;&gt;Constants!$B$6,"",$AO362)</f>
        <v/>
      </c>
      <c r="AU362" s="127" t="str">
        <f aca="false">IF($BD362&lt;&gt;Constants!$B$6,"",IF(OR($BA362&lt;$AR362,AND($BA362=$AR362,OR(AND(ISNUMBER($BB362),OR(NOT(ISNUMBER($AS362)),$BB362&lt;$AS362)),AND(OR(AND($BB362="",$AS362=""),AND(ISNUMBER($BB362),ISNUMBER($AS362),$BB362=$AS362)),$BC362&lt;$AT362)))),"-&gt;","&lt;-"))</f>
        <v/>
      </c>
      <c r="AV362" s="126" t="str">
        <f aca="false">IF(ISBLANK($C362),"",AND($AH362,OR($AI362="",$AJ362="",AND(NOT(ISBLANK($S362)),$AK362=""))))</f>
        <v/>
      </c>
      <c r="AW362" s="129" t="str">
        <f aca="false">IF($BD362&lt;&gt;Constants!$B$6,"",IF($AH362,Constants!$B$17*$AJ362,Constants!$B$18))</f>
        <v/>
      </c>
      <c r="AX362" s="130" t="str">
        <f aca="false">IF($BD362&lt;&gt;Constants!$B$6,"",Constants!$B$19*IF($AH362,$AI362,0))</f>
        <v/>
      </c>
      <c r="AY362" s="130" t="str">
        <f aca="false">IF($BD362&lt;&gt;Constants!$B$6,"",IF(AND($AH362,ISNUMBER($AK362)),Constants!$B$20*(Constants!$B$21-$AK362),0))</f>
        <v/>
      </c>
      <c r="AZ362" s="130" t="str">
        <f aca="false">IF($BD362&lt;&gt;Constants!$B$6,"",IF($AG362,0,Constants!$B$12)+IF($AF362,0,Constants!$B$13)+IF($Y362,0,Constants!$B$14))</f>
        <v/>
      </c>
      <c r="BA362" s="131" t="str">
        <f aca="false">IF($BD362&lt;&gt;Constants!$B$6,"",Constants!$B$16+SUM($AW362:$AZ362))</f>
        <v/>
      </c>
      <c r="BB362" s="130" t="str">
        <f aca="false">IF($BD362&lt;&gt;Constants!$B$6,"",IF($AH362,$AJ362,""))</f>
        <v/>
      </c>
      <c r="BC362" s="132" t="str">
        <f aca="false">IF($BD362&lt;&gt;Constants!$B$6,"",$AX362)</f>
        <v/>
      </c>
      <c r="BD362" s="127" t="str">
        <f aca="false">IF(ISBLANK($C362),"",IF($AL362,Constants!$B$9,IF(COUNTA($E362:$T362)=0,Constants!$B$8,IF(NOT($X362),Constants!$B$7,IF(OR($AM362,$AV362),Constants!$B$10,Constants!$B$6)))))</f>
        <v/>
      </c>
      <c r="BE362" s="127" t="str">
        <f aca="false">IF(ISBLANK($C362),"",IF($BD362&lt;&gt;Constants!$B$6,$BD362,Constants!$B$11))</f>
        <v/>
      </c>
      <c r="BF362" s="130" t="str">
        <f aca="false">IF($BD362&lt;&gt;Constants!$B$6,"",IF($AU362="-&gt;",$BA362,$AR362))</f>
        <v/>
      </c>
      <c r="BG362" s="130" t="str">
        <f aca="false">IF($BD362&lt;&gt;Constants!$B$6,"",IF($W362,0,Constants!$B$15))</f>
        <v/>
      </c>
      <c r="BH362" s="130" t="str">
        <f aca="false">IF(ISBLANK($C362),"",IF($BD362&lt;&gt;Constants!$B$6,$BD362,SUM($BF362:$BG362)))</f>
        <v/>
      </c>
      <c r="BI362" s="127" t="str">
        <f aca="false">IF(ISBLANK($C362),"",IF($BD362&lt;&gt;Constants!$B$6,$BD362,RANK($BH362,$BH$9:$BH$508,1)))</f>
        <v/>
      </c>
      <c r="BJ362" s="130" t="str">
        <f aca="false">IF($BD362&lt;&gt;Constants!$B$6,"",IF($AU362="-&gt;",$BB362,$AS362))</f>
        <v/>
      </c>
      <c r="BK362" s="127" t="str">
        <f aca="false">IF(ISBLANK($C362),"",IF($BD362&lt;&gt;Constants!$B$6,$BD362,IF(ISNUMBER($BJ362),RANK($BJ362,$BJ$9:$BJ$508,1),COUNT($BJ$9:$BJ$508)+1)))</f>
        <v/>
      </c>
      <c r="BL362" s="130" t="str">
        <f aca="false">IF($BD362&lt;&gt;Constants!$B$6,"",IF($AU362="-&gt;",$BC362,$AT362))</f>
        <v/>
      </c>
      <c r="BM362" s="127" t="str">
        <f aca="false">IF(ISBLANK($C362),"",IF($BD362&lt;&gt;Constants!$B$6,$BD362,IF(ISNUMBER($BL362),RANK($BL362,$BL$9:$BL$508,1),COUNT($BL$9:$BL$508)+1)))</f>
        <v/>
      </c>
      <c r="BN362" s="130" t="str">
        <f aca="false">IF($BD362&lt;&gt;Constants!$B$6,"",IF($AU362="-&gt;",$AS362,$BB362))</f>
        <v/>
      </c>
      <c r="BO362" s="127" t="str">
        <f aca="false">IF(ISBLANK($C362),"",IF($BD362&lt;&gt;Constants!$B$6,$BD362,IF(ISNUMBER($BN362),RANK($BN362,$BN$9:$BN$508,1),COUNT($BN$9:$BN$508)+1)))</f>
        <v/>
      </c>
      <c r="BP362" s="130" t="str">
        <f aca="false">IF($BD362&lt;&gt;Constants!$B$6,"",IF($AU362="-&gt;",$AT362,$BC362))</f>
        <v/>
      </c>
      <c r="BQ362" s="127" t="str">
        <f aca="false">IF(ISBLANK($C362),"",IF($BD362&lt;&gt;Constants!$B$6,$BD362,IF(ISNUMBER($BP362),RANK($BP362,$BP$9:$BP$508,1),COUNT($BP$9:$BP$508)+1)))</f>
        <v/>
      </c>
      <c r="BR362" s="127" t="str">
        <f aca="false">IF(ISBLANK($C362),"",IF($BD362&lt;&gt;Constants!$B$6,$BD362,COUNTIFS($BI$9:$BI$508,"&lt;"&amp;$BI362)+COUNTIFS($BI$9:$BI$508,$BI362,$BK$9:$BK$508,"&lt;"&amp;$BK362)+COUNTIFS($BI$9:$BI$508,$BI362,$BK$9:$BK$508,$BK362,$BM$9:$BM$508,"&lt;"&amp;$BM362)+COUNTIFS($BI$9:$BI$508,$BI362,$BK$9:$BK$508,$BK362,$BM$9:$BM$508,$BM362,$BO$9:$BO$508,"&lt;"&amp;$BO362)+COUNTIFS($BI$9:$BI$508,$BI362,$BK$9:$BK$508,$BK362,$BM$9:$BM$508,$BM362,$BO$9:$BO$508,$BO362,$BQ$9:$BQ$508,"&lt;"&amp;$BQ362)+1))</f>
        <v/>
      </c>
      <c r="BS362" s="127" t="str">
        <f aca="false">IF(ISBLANK($C362),"",IF($BD362&lt;&gt;Constants!$B$6,$BD362,$BI362-$BR362))</f>
        <v/>
      </c>
      <c r="BT362" s="133"/>
      <c r="BU362" s="134"/>
      <c r="BV362" s="134" t="str">
        <f aca="false">IF(ISBLANK($C362),"",IF($BD362&lt;&gt;Constants!$B$6,"",IF($AU362="-&gt;",2,1)))</f>
        <v/>
      </c>
      <c r="BW362" s="135" t="str">
        <f aca="false">IF(ISBLANK($C362),"",IF($BD362&lt;&gt;Constants!$B$6,"",IF($AU362="-&gt;",$AW362,$AN362)))</f>
        <v/>
      </c>
      <c r="BX362" s="135" t="str">
        <f aca="false">IF(ISBLANK($C362),"",IF($BD362&lt;&gt;Constants!$B$6,"",IF($AU362="-&gt;",$AX362,$AO362)))</f>
        <v/>
      </c>
      <c r="BY362" s="135" t="str">
        <f aca="false">IF(ISBLANK($C362),"",IF($BD362&lt;&gt;Constants!$B$6,"",IF($AU362="-&gt;",$AY362,$AP362)))</f>
        <v/>
      </c>
      <c r="BZ362" s="135" t="str">
        <f aca="false">IF(ISBLANK($C362),"",IF($BD362&lt;&gt;Constants!$B$6,"",IF($AU362="-&gt;",$AZ362,$AQ362)+$BG362))</f>
        <v/>
      </c>
      <c r="CA362" s="136" t="str">
        <f aca="false">IF(ISBLANK($C362),"",IF($BD362&lt;&gt;Constants!$B$6,$BD362,$BH362))</f>
        <v/>
      </c>
      <c r="CB362" s="137" t="str">
        <f aca="false">IF(ISBLANK($C362),"",$BE362)</f>
        <v/>
      </c>
      <c r="CC362" s="138" t="str">
        <f aca="false">IF(ISBLANK($C362),"",$BS362)</f>
        <v/>
      </c>
      <c r="CD362" s="138" t="str">
        <f aca="false">IF(ISBLANK($C362),"",$BR362)</f>
        <v/>
      </c>
      <c r="CE362" s="139" t="str">
        <f aca="false">IF(ISBLANK($C362),"",IF($CD362=Constants!$B$9,COUNTA($C$9:$C$508)+2,IF($CD362=Constants!$B$8,COUNTA($C$9:$C$508)+1,IF($CD362=Constants!$B$7,COUNTA($C$9:$C$508),$CD362))))</f>
        <v/>
      </c>
      <c r="CF362" s="9"/>
      <c r="CG362" s="140" t="n">
        <f aca="false">IF(OR(ISNUMBER($CD362),$CD362=Constants!$B$9,$CD362=Constants!$B$7,$CD362=Constants!$B$8),1,0)</f>
        <v>0</v>
      </c>
      <c r="CH362" s="140" t="n">
        <v>354</v>
      </c>
      <c r="CI362" s="140" t="str">
        <f aca="false">IF(ISBLANK($C362),"",IF(ISNUMBER($CE362),$CE362+ROW($B362)/1000,""))</f>
        <v/>
      </c>
      <c r="CJ362" s="140" t="str">
        <f aca="false">IF(ISNUMBER($CI362),RANK($CI362,$CI$9:$CI$508,1),"")</f>
        <v/>
      </c>
      <c r="CK362" s="140" t="str">
        <f aca="false">IF(ISBLANK($C362),"",$B362)</f>
        <v/>
      </c>
      <c r="CL362" s="140" t="str">
        <f aca="false">IF(ISBLANK($C362),"",$C362)</f>
        <v/>
      </c>
      <c r="CM362" s="140" t="str">
        <f aca="false">IF(ISBLANK($C362),"",$D362)</f>
        <v/>
      </c>
      <c r="CN362" s="141" t="str">
        <f aca="false">$CB362</f>
        <v/>
      </c>
      <c r="CO362" s="142" t="str">
        <f aca="false">$CA362</f>
        <v/>
      </c>
      <c r="CP362" s="140" t="str">
        <f aca="false">IF(ISBLANK($C362),"",$CD362)</f>
        <v/>
      </c>
      <c r="CQ362" s="143" t="str">
        <f aca="false">IF($CH362&gt;$CG$8,"",VLOOKUP($CH362,$CJ$9:$CP$508,7,FALSE()))</f>
        <v/>
      </c>
      <c r="CR362" s="144" t="str">
        <f aca="false">IF($CH362&gt;$CG$8,"",VLOOKUP($CH362,$CJ$9:$CP$508,2,FALSE()))</f>
        <v/>
      </c>
      <c r="CS362" s="144" t="str">
        <f aca="false">IF($CH362&gt;$CG$8,"",VLOOKUP($CH362,$CJ$9:$CP$508,3,FALSE()))</f>
        <v/>
      </c>
      <c r="CT362" s="144" t="str">
        <f aca="false">IF($CH362&gt;$CG$8,"",VLOOKUP($CH362,$CJ$9:$CP$508,4,FALSE()))</f>
        <v/>
      </c>
      <c r="CU362" s="144" t="str">
        <f aca="false">IF($CH362&gt;$CG$8,"",VLOOKUP($CH362,$CJ$9:$CP$508,5,FALSE()))</f>
        <v/>
      </c>
      <c r="CV362" s="145" t="str">
        <f aca="false">IF($CH362&gt;$CG$8,"",VLOOKUP($CH362,$CJ$9:$CP$508,6,FALSE()))</f>
        <v/>
      </c>
      <c r="CW362" s="71"/>
    </row>
    <row r="363" customFormat="false" ht="15.75" hidden="false" customHeight="false" outlineLevel="0" collapsed="false">
      <c r="A363" s="9"/>
      <c r="B363" s="72"/>
      <c r="C363" s="73"/>
      <c r="D363" s="160"/>
      <c r="E363" s="168"/>
      <c r="F363" s="162"/>
      <c r="G363" s="163"/>
      <c r="H363" s="169"/>
      <c r="I363" s="167"/>
      <c r="J363" s="80"/>
      <c r="K363" s="81"/>
      <c r="L363" s="82"/>
      <c r="M363" s="166"/>
      <c r="N363" s="167"/>
      <c r="O363" s="167"/>
      <c r="P363" s="80"/>
      <c r="Q363" s="82"/>
      <c r="R363" s="82"/>
      <c r="S363" s="166"/>
      <c r="T363" s="167"/>
      <c r="U363" s="86"/>
      <c r="V363" s="87"/>
      <c r="W363" s="87" t="str">
        <f aca="false">IF(ISBLANK($C363),"",IF(E363=Constants!$B$2,TRUE(),IF(E363=Constants!$B$3,FALSE(),TRUE())))</f>
        <v/>
      </c>
      <c r="X363" s="87" t="str">
        <f aca="false">IF(ISBLANK($C363),"",IF(F363=Constants!$B$2,TRUE(),IF(F363=Constants!$B$3,FALSE(),TRUE())))</f>
        <v/>
      </c>
      <c r="Y363" s="87" t="str">
        <f aca="false">IF(ISBLANK($C363),"",IF(G363=Constants!$B$2,TRUE(),IF(G363=Constants!$B$3,FALSE(),TRUE())))</f>
        <v/>
      </c>
      <c r="Z363" s="87" t="str">
        <f aca="false">IF(ISBLANK($C363),"",IF(H363=Constants!$B$2,TRUE(),IF(H363=Constants!$B$3,FALSE(),TRUE())))</f>
        <v/>
      </c>
      <c r="AA363" s="87" t="str">
        <f aca="false">IF(ISBLANK($C363),"",IF(I363=Constants!$B$2,TRUE(),IF(I363=Constants!$B$3,FALSE(),TRUE())))</f>
        <v/>
      </c>
      <c r="AB363" s="87" t="str">
        <f aca="false">IF(ISBLANK($C363),"",IF(J363=Constants!$B$4,TRUE(),IF(J363=Constants!$B$5,FALSE(),COUNTA(K363:M363)&gt;0)))</f>
        <v/>
      </c>
      <c r="AC363" s="88" t="str">
        <f aca="false">IF(ISBLANK($C363),"",IF(ISNUMBER(K363),IF(K363&gt;=0,K363,""),""))</f>
        <v/>
      </c>
      <c r="AD363" s="89" t="str">
        <f aca="false">IF(ISBLANK($C363),"",IF(ISNUMBER(L363),IF(L363&gt;=0,L363,""),""))</f>
        <v/>
      </c>
      <c r="AE363" s="87" t="str">
        <f aca="false">IF(ISBLANK($C363),"",IF(ISNUMBER(M363),IF(M363&gt;=0,MIN(M363,Constants!$B$22),""),""))</f>
        <v/>
      </c>
      <c r="AF363" s="87" t="str">
        <f aca="false">IF(ISBLANK($C363),"",IF(N363=Constants!$B$2,TRUE(),IF(N363=Constants!$B$3,FALSE(),TRUE())))</f>
        <v/>
      </c>
      <c r="AG363" s="87" t="str">
        <f aca="false">IF(ISBLANK($C363),"",IF(O363=Constants!$B$2,TRUE(),IF(O363=Constants!$B$3,FALSE(),TRUE())))</f>
        <v/>
      </c>
      <c r="AH363" s="87" t="str">
        <f aca="false">IF(ISBLANK($C363),"",IF(P363=Constants!$B$4,TRUE(),IF(P363=Constants!$B$5,FALSE(),COUNTA(Q363:S363)&gt;0)))</f>
        <v/>
      </c>
      <c r="AI363" s="88" t="str">
        <f aca="false">IF(ISBLANK($C363),"",IF(ISNUMBER(Q363),IF(Q363&gt;=0,Q363,""),""))</f>
        <v/>
      </c>
      <c r="AJ363" s="89" t="str">
        <f aca="false">IF(ISBLANK($C363),"",IF(ISNUMBER(R363),IF(R363&gt;=0,R363,""),""))</f>
        <v/>
      </c>
      <c r="AK363" s="87" t="str">
        <f aca="false">IF(ISBLANK($C363),"",IF(ISNUMBER(S363),IF(S363&gt;=0,MIN(S363,Constants!$B$22),""),""))</f>
        <v/>
      </c>
      <c r="AL363" s="87" t="str">
        <f aca="false">IF(ISBLANK($C363),"",IF(T363=Constants!$B$2,TRUE(),IF(T363=Constants!$B$3,FALSE(),FALSE())))</f>
        <v/>
      </c>
      <c r="AM363" s="86" t="str">
        <f aca="false">IF(ISBLANK($C363),"",AND($AB363,OR($AC363="",$AD363="",AND(NOT(ISBLANK($M363)),$AE363=""))))</f>
        <v/>
      </c>
      <c r="AN363" s="89" t="str">
        <f aca="false">IF($BD363&lt;&gt;Constants!$B$6,"",IF($AB363,Constants!$B$17*$AD363,Constants!$B$18))</f>
        <v/>
      </c>
      <c r="AO363" s="91" t="str">
        <f aca="false">IF($BD363&lt;&gt;Constants!$B$6,"",Constants!$B$19*IF($AB363,$AC363,0))</f>
        <v/>
      </c>
      <c r="AP363" s="91" t="str">
        <f aca="false">IF($BD363&lt;&gt;Constants!$B$6,"",IF(AND($AB363,ISNUMBER($AE363)),Constants!$B$20*(Constants!$B$21-$AE363),0))</f>
        <v/>
      </c>
      <c r="AQ363" s="91" t="str">
        <f aca="false">IF($BD363&lt;&gt;Constants!$B$6,"",IF($AA363,0,Constants!$B$12)+IF($Z363,0,Constants!$B$13)+IF($Y363,0,Constants!$B$14))</f>
        <v/>
      </c>
      <c r="AR363" s="92" t="str">
        <f aca="false">IF($BD363&lt;&gt;Constants!$B$6,"",Constants!$B$16+SUM($AN363:$AQ363))</f>
        <v/>
      </c>
      <c r="AS363" s="91" t="str">
        <f aca="false">IF($BD363&lt;&gt;Constants!$B$6,"",IF($AB363,$AD363,""))</f>
        <v/>
      </c>
      <c r="AT363" s="93" t="str">
        <f aca="false">IF($BD363&lt;&gt;Constants!$B$6,"",$AO363)</f>
        <v/>
      </c>
      <c r="AU363" s="87" t="str">
        <f aca="false">IF($BD363&lt;&gt;Constants!$B$6,"",IF(OR($BA363&lt;$AR363,AND($BA363=$AR363,OR(AND(ISNUMBER($BB363),OR(NOT(ISNUMBER($AS363)),$BB363&lt;$AS363)),AND(OR(AND($BB363="",$AS363=""),AND(ISNUMBER($BB363),ISNUMBER($AS363),$BB363=$AS363)),$BC363&lt;$AT363)))),"-&gt;","&lt;-"))</f>
        <v/>
      </c>
      <c r="AV363" s="86" t="str">
        <f aca="false">IF(ISBLANK($C363),"",AND($AH363,OR($AI363="",$AJ363="",AND(NOT(ISBLANK($S363)),$AK363=""))))</f>
        <v/>
      </c>
      <c r="AW363" s="89" t="str">
        <f aca="false">IF($BD363&lt;&gt;Constants!$B$6,"",IF($AH363,Constants!$B$17*$AJ363,Constants!$B$18))</f>
        <v/>
      </c>
      <c r="AX363" s="91" t="str">
        <f aca="false">IF($BD363&lt;&gt;Constants!$B$6,"",Constants!$B$19*IF($AH363,$AI363,0))</f>
        <v/>
      </c>
      <c r="AY363" s="91" t="str">
        <f aca="false">IF($BD363&lt;&gt;Constants!$B$6,"",IF(AND($AH363,ISNUMBER($AK363)),Constants!$B$20*(Constants!$B$21-$AK363),0))</f>
        <v/>
      </c>
      <c r="AZ363" s="91" t="str">
        <f aca="false">IF($BD363&lt;&gt;Constants!$B$6,"",IF($AG363,0,Constants!$B$12)+IF($AF363,0,Constants!$B$13)+IF($Y363,0,Constants!$B$14))</f>
        <v/>
      </c>
      <c r="BA363" s="92" t="str">
        <f aca="false">IF($BD363&lt;&gt;Constants!$B$6,"",Constants!$B$16+SUM($AW363:$AZ363))</f>
        <v/>
      </c>
      <c r="BB363" s="91" t="str">
        <f aca="false">IF($BD363&lt;&gt;Constants!$B$6,"",IF($AH363,$AJ363,""))</f>
        <v/>
      </c>
      <c r="BC363" s="93" t="str">
        <f aca="false">IF($BD363&lt;&gt;Constants!$B$6,"",$AX363)</f>
        <v/>
      </c>
      <c r="BD363" s="87" t="str">
        <f aca="false">IF(ISBLANK($C363),"",IF($AL363,Constants!$B$9,IF(COUNTA($E363:$T363)=0,Constants!$B$8,IF(NOT($X363),Constants!$B$7,IF(OR($AM363,$AV363),Constants!$B$10,Constants!$B$6)))))</f>
        <v/>
      </c>
      <c r="BE363" s="87" t="str">
        <f aca="false">IF(ISBLANK($C363),"",IF($BD363&lt;&gt;Constants!$B$6,$BD363,Constants!$B$11))</f>
        <v/>
      </c>
      <c r="BF363" s="91" t="str">
        <f aca="false">IF($BD363&lt;&gt;Constants!$B$6,"",IF($AU363="-&gt;",$BA363,$AR363))</f>
        <v/>
      </c>
      <c r="BG363" s="91" t="str">
        <f aca="false">IF($BD363&lt;&gt;Constants!$B$6,"",IF($W363,0,Constants!$B$15))</f>
        <v/>
      </c>
      <c r="BH363" s="91" t="str">
        <f aca="false">IF(ISBLANK($C363),"",IF($BD363&lt;&gt;Constants!$B$6,$BD363,SUM($BF363:$BG363)))</f>
        <v/>
      </c>
      <c r="BI363" s="87" t="str">
        <f aca="false">IF(ISBLANK($C363),"",IF($BD363&lt;&gt;Constants!$B$6,$BD363,RANK($BH363,$BH$9:$BH$508,1)))</f>
        <v/>
      </c>
      <c r="BJ363" s="91" t="str">
        <f aca="false">IF($BD363&lt;&gt;Constants!$B$6,"",IF($AU363="-&gt;",$BB363,$AS363))</f>
        <v/>
      </c>
      <c r="BK363" s="87" t="str">
        <f aca="false">IF(ISBLANK($C363),"",IF($BD363&lt;&gt;Constants!$B$6,$BD363,IF(ISNUMBER($BJ363),RANK($BJ363,$BJ$9:$BJ$508,1),COUNT($BJ$9:$BJ$508)+1)))</f>
        <v/>
      </c>
      <c r="BL363" s="91" t="str">
        <f aca="false">IF($BD363&lt;&gt;Constants!$B$6,"",IF($AU363="-&gt;",$BC363,$AT363))</f>
        <v/>
      </c>
      <c r="BM363" s="87" t="str">
        <f aca="false">IF(ISBLANK($C363),"",IF($BD363&lt;&gt;Constants!$B$6,$BD363,IF(ISNUMBER($BL363),RANK($BL363,$BL$9:$BL$508,1),COUNT($BL$9:$BL$508)+1)))</f>
        <v/>
      </c>
      <c r="BN363" s="91" t="str">
        <f aca="false">IF($BD363&lt;&gt;Constants!$B$6,"",IF($AU363="-&gt;",$AS363,$BB363))</f>
        <v/>
      </c>
      <c r="BO363" s="87" t="str">
        <f aca="false">IF(ISBLANK($C363),"",IF($BD363&lt;&gt;Constants!$B$6,$BD363,IF(ISNUMBER($BN363),RANK($BN363,$BN$9:$BN$508,1),COUNT($BN$9:$BN$508)+1)))</f>
        <v/>
      </c>
      <c r="BP363" s="91" t="str">
        <f aca="false">IF($BD363&lt;&gt;Constants!$B$6,"",IF($AU363="-&gt;",$AT363,$BC363))</f>
        <v/>
      </c>
      <c r="BQ363" s="87" t="str">
        <f aca="false">IF(ISBLANK($C363),"",IF($BD363&lt;&gt;Constants!$B$6,$BD363,IF(ISNUMBER($BP363),RANK($BP363,$BP$9:$BP$508,1),COUNT($BP$9:$BP$508)+1)))</f>
        <v/>
      </c>
      <c r="BR363" s="87" t="str">
        <f aca="false">IF(ISBLANK($C363),"",IF($BD363&lt;&gt;Constants!$B$6,$BD363,COUNTIFS($BI$9:$BI$508,"&lt;"&amp;$BI363)+COUNTIFS($BI$9:$BI$508,$BI363,$BK$9:$BK$508,"&lt;"&amp;$BK363)+COUNTIFS($BI$9:$BI$508,$BI363,$BK$9:$BK$508,$BK363,$BM$9:$BM$508,"&lt;"&amp;$BM363)+COUNTIFS($BI$9:$BI$508,$BI363,$BK$9:$BK$508,$BK363,$BM$9:$BM$508,$BM363,$BO$9:$BO$508,"&lt;"&amp;$BO363)+COUNTIFS($BI$9:$BI$508,$BI363,$BK$9:$BK$508,$BK363,$BM$9:$BM$508,$BM363,$BO$9:$BO$508,$BO363,$BQ$9:$BQ$508,"&lt;"&amp;$BQ363)+1))</f>
        <v/>
      </c>
      <c r="BS363" s="87" t="str">
        <f aca="false">IF(ISBLANK($C363),"",IF($BD363&lt;&gt;Constants!$B$6,$BD363,$BI363-$BR363))</f>
        <v/>
      </c>
      <c r="BT363" s="94"/>
      <c r="BU363" s="95"/>
      <c r="BV363" s="95" t="str">
        <f aca="false">IF(ISBLANK($C363),"",IF($BD363&lt;&gt;Constants!$B$6,"",IF($AU363="-&gt;",2,1)))</f>
        <v/>
      </c>
      <c r="BW363" s="96" t="str">
        <f aca="false">IF(ISBLANK($C363),"",IF($BD363&lt;&gt;Constants!$B$6,"",IF($AU363="-&gt;",$AW363,$AN363)))</f>
        <v/>
      </c>
      <c r="BX363" s="96" t="str">
        <f aca="false">IF(ISBLANK($C363),"",IF($BD363&lt;&gt;Constants!$B$6,"",IF($AU363="-&gt;",$AX363,$AO363)))</f>
        <v/>
      </c>
      <c r="BY363" s="96" t="str">
        <f aca="false">IF(ISBLANK($C363),"",IF($BD363&lt;&gt;Constants!$B$6,"",IF($AU363="-&gt;",$AY363,$AP363)))</f>
        <v/>
      </c>
      <c r="BZ363" s="96" t="str">
        <f aca="false">IF(ISBLANK($C363),"",IF($BD363&lt;&gt;Constants!$B$6,"",IF($AU363="-&gt;",$AZ363,$AQ363)+$BG363))</f>
        <v/>
      </c>
      <c r="CA363" s="97" t="str">
        <f aca="false">IF(ISBLANK($C363),"",IF($BD363&lt;&gt;Constants!$B$6,$BD363,$BH363))</f>
        <v/>
      </c>
      <c r="CB363" s="98" t="str">
        <f aca="false">IF(ISBLANK($C363),"",$BE363)</f>
        <v/>
      </c>
      <c r="CC363" s="99" t="str">
        <f aca="false">IF(ISBLANK($C363),"",$BS363)</f>
        <v/>
      </c>
      <c r="CD363" s="99" t="str">
        <f aca="false">IF(ISBLANK($C363),"",$BR363)</f>
        <v/>
      </c>
      <c r="CE363" s="100" t="str">
        <f aca="false">IF(ISBLANK($C363),"",IF($CD363=Constants!$B$9,COUNTA($C$9:$C$508)+2,IF($CD363=Constants!$B$8,COUNTA($C$9:$C$508)+1,IF($CD363=Constants!$B$7,COUNTA($C$9:$C$508),$CD363))))</f>
        <v/>
      </c>
      <c r="CF363" s="9"/>
      <c r="CG363" s="101" t="n">
        <f aca="false">IF(OR(ISNUMBER($CD363),$CD363=Constants!$B$9,$CD363=Constants!$B$7,$CD363=Constants!$B$8),1,0)</f>
        <v>0</v>
      </c>
      <c r="CH363" s="101" t="n">
        <v>355</v>
      </c>
      <c r="CI363" s="101" t="str">
        <f aca="false">IF(ISBLANK($C363),"",IF(ISNUMBER($CE363),$CE363+ROW($B363)/1000,""))</f>
        <v/>
      </c>
      <c r="CJ363" s="101" t="str">
        <f aca="false">IF(ISNUMBER($CI363),RANK($CI363,$CI$9:$CI$508,1),"")</f>
        <v/>
      </c>
      <c r="CK363" s="101" t="str">
        <f aca="false">IF(ISBLANK($C363),"",$B363)</f>
        <v/>
      </c>
      <c r="CL363" s="101" t="str">
        <f aca="false">IF(ISBLANK($C363),"",$C363)</f>
        <v/>
      </c>
      <c r="CM363" s="101" t="str">
        <f aca="false">IF(ISBLANK($C363),"",$D363)</f>
        <v/>
      </c>
      <c r="CN363" s="102" t="str">
        <f aca="false">$CB363</f>
        <v/>
      </c>
      <c r="CO363" s="103" t="str">
        <f aca="false">$CA363</f>
        <v/>
      </c>
      <c r="CP363" s="101" t="str">
        <f aca="false">IF(ISBLANK($C363),"",$CD363)</f>
        <v/>
      </c>
      <c r="CQ363" s="104" t="str">
        <f aca="false">IF($CH363&gt;$CG$8,"",VLOOKUP($CH363,$CJ$9:$CP$508,7,FALSE()))</f>
        <v/>
      </c>
      <c r="CR363" s="105" t="str">
        <f aca="false">IF($CH363&gt;$CG$8,"",VLOOKUP($CH363,$CJ$9:$CP$508,2,FALSE()))</f>
        <v/>
      </c>
      <c r="CS363" s="105" t="str">
        <f aca="false">IF($CH363&gt;$CG$8,"",VLOOKUP($CH363,$CJ$9:$CP$508,3,FALSE()))</f>
        <v/>
      </c>
      <c r="CT363" s="105" t="str">
        <f aca="false">IF($CH363&gt;$CG$8,"",VLOOKUP($CH363,$CJ$9:$CP$508,4,FALSE()))</f>
        <v/>
      </c>
      <c r="CU363" s="105" t="str">
        <f aca="false">IF($CH363&gt;$CG$8,"",VLOOKUP($CH363,$CJ$9:$CP$508,5,FALSE()))</f>
        <v/>
      </c>
      <c r="CV363" s="106" t="str">
        <f aca="false">IF($CH363&gt;$CG$8,"",VLOOKUP($CH363,$CJ$9:$CP$508,6,FALSE()))</f>
        <v/>
      </c>
      <c r="CW363" s="71"/>
    </row>
    <row r="364" customFormat="false" ht="15.75" hidden="false" customHeight="false" outlineLevel="0" collapsed="false">
      <c r="A364" s="9"/>
      <c r="B364" s="72"/>
      <c r="C364" s="73"/>
      <c r="D364" s="160"/>
      <c r="E364" s="168"/>
      <c r="F364" s="162"/>
      <c r="G364" s="163"/>
      <c r="H364" s="169"/>
      <c r="I364" s="167"/>
      <c r="J364" s="80"/>
      <c r="K364" s="81"/>
      <c r="L364" s="82"/>
      <c r="M364" s="166"/>
      <c r="N364" s="167"/>
      <c r="O364" s="167"/>
      <c r="P364" s="80"/>
      <c r="Q364" s="82"/>
      <c r="R364" s="82"/>
      <c r="S364" s="166"/>
      <c r="T364" s="167"/>
      <c r="U364" s="86"/>
      <c r="V364" s="87"/>
      <c r="W364" s="87" t="str">
        <f aca="false">IF(ISBLANK($C364),"",IF(E364=Constants!$B$2,TRUE(),IF(E364=Constants!$B$3,FALSE(),TRUE())))</f>
        <v/>
      </c>
      <c r="X364" s="87" t="str">
        <f aca="false">IF(ISBLANK($C364),"",IF(F364=Constants!$B$2,TRUE(),IF(F364=Constants!$B$3,FALSE(),TRUE())))</f>
        <v/>
      </c>
      <c r="Y364" s="87" t="str">
        <f aca="false">IF(ISBLANK($C364),"",IF(G364=Constants!$B$2,TRUE(),IF(G364=Constants!$B$3,FALSE(),TRUE())))</f>
        <v/>
      </c>
      <c r="Z364" s="87" t="str">
        <f aca="false">IF(ISBLANK($C364),"",IF(H364=Constants!$B$2,TRUE(),IF(H364=Constants!$B$3,FALSE(),TRUE())))</f>
        <v/>
      </c>
      <c r="AA364" s="87" t="str">
        <f aca="false">IF(ISBLANK($C364),"",IF(I364=Constants!$B$2,TRUE(),IF(I364=Constants!$B$3,FALSE(),TRUE())))</f>
        <v/>
      </c>
      <c r="AB364" s="87" t="str">
        <f aca="false">IF(ISBLANK($C364),"",IF(J364=Constants!$B$4,TRUE(),IF(J364=Constants!$B$5,FALSE(),COUNTA(K364:M364)&gt;0)))</f>
        <v/>
      </c>
      <c r="AC364" s="88" t="str">
        <f aca="false">IF(ISBLANK($C364),"",IF(ISNUMBER(K364),IF(K364&gt;=0,K364,""),""))</f>
        <v/>
      </c>
      <c r="AD364" s="89" t="str">
        <f aca="false">IF(ISBLANK($C364),"",IF(ISNUMBER(L364),IF(L364&gt;=0,L364,""),""))</f>
        <v/>
      </c>
      <c r="AE364" s="87" t="str">
        <f aca="false">IF(ISBLANK($C364),"",IF(ISNUMBER(M364),IF(M364&gt;=0,MIN(M364,Constants!$B$22),""),""))</f>
        <v/>
      </c>
      <c r="AF364" s="87" t="str">
        <f aca="false">IF(ISBLANK($C364),"",IF(N364=Constants!$B$2,TRUE(),IF(N364=Constants!$B$3,FALSE(),TRUE())))</f>
        <v/>
      </c>
      <c r="AG364" s="87" t="str">
        <f aca="false">IF(ISBLANK($C364),"",IF(O364=Constants!$B$2,TRUE(),IF(O364=Constants!$B$3,FALSE(),TRUE())))</f>
        <v/>
      </c>
      <c r="AH364" s="87" t="str">
        <f aca="false">IF(ISBLANK($C364),"",IF(P364=Constants!$B$4,TRUE(),IF(P364=Constants!$B$5,FALSE(),COUNTA(Q364:S364)&gt;0)))</f>
        <v/>
      </c>
      <c r="AI364" s="88" t="str">
        <f aca="false">IF(ISBLANK($C364),"",IF(ISNUMBER(Q364),IF(Q364&gt;=0,Q364,""),""))</f>
        <v/>
      </c>
      <c r="AJ364" s="89" t="str">
        <f aca="false">IF(ISBLANK($C364),"",IF(ISNUMBER(R364),IF(R364&gt;=0,R364,""),""))</f>
        <v/>
      </c>
      <c r="AK364" s="87" t="str">
        <f aca="false">IF(ISBLANK($C364),"",IF(ISNUMBER(S364),IF(S364&gt;=0,MIN(S364,Constants!$B$22),""),""))</f>
        <v/>
      </c>
      <c r="AL364" s="87" t="str">
        <f aca="false">IF(ISBLANK($C364),"",IF(T364=Constants!$B$2,TRUE(),IF(T364=Constants!$B$3,FALSE(),FALSE())))</f>
        <v/>
      </c>
      <c r="AM364" s="86" t="str">
        <f aca="false">IF(ISBLANK($C364),"",AND($AB364,OR($AC364="",$AD364="",AND(NOT(ISBLANK($M364)),$AE364=""))))</f>
        <v/>
      </c>
      <c r="AN364" s="89" t="str">
        <f aca="false">IF($BD364&lt;&gt;Constants!$B$6,"",IF($AB364,Constants!$B$17*$AD364,Constants!$B$18))</f>
        <v/>
      </c>
      <c r="AO364" s="91" t="str">
        <f aca="false">IF($BD364&lt;&gt;Constants!$B$6,"",Constants!$B$19*IF($AB364,$AC364,0))</f>
        <v/>
      </c>
      <c r="AP364" s="91" t="str">
        <f aca="false">IF($BD364&lt;&gt;Constants!$B$6,"",IF(AND($AB364,ISNUMBER($AE364)),Constants!$B$20*(Constants!$B$21-$AE364),0))</f>
        <v/>
      </c>
      <c r="AQ364" s="91" t="str">
        <f aca="false">IF($BD364&lt;&gt;Constants!$B$6,"",IF($AA364,0,Constants!$B$12)+IF($Z364,0,Constants!$B$13)+IF($Y364,0,Constants!$B$14))</f>
        <v/>
      </c>
      <c r="AR364" s="92" t="str">
        <f aca="false">IF($BD364&lt;&gt;Constants!$B$6,"",Constants!$B$16+SUM($AN364:$AQ364))</f>
        <v/>
      </c>
      <c r="AS364" s="91" t="str">
        <f aca="false">IF($BD364&lt;&gt;Constants!$B$6,"",IF($AB364,$AD364,""))</f>
        <v/>
      </c>
      <c r="AT364" s="93" t="str">
        <f aca="false">IF($BD364&lt;&gt;Constants!$B$6,"",$AO364)</f>
        <v/>
      </c>
      <c r="AU364" s="87" t="str">
        <f aca="false">IF($BD364&lt;&gt;Constants!$B$6,"",IF(OR($BA364&lt;$AR364,AND($BA364=$AR364,OR(AND(ISNUMBER($BB364),OR(NOT(ISNUMBER($AS364)),$BB364&lt;$AS364)),AND(OR(AND($BB364="",$AS364=""),AND(ISNUMBER($BB364),ISNUMBER($AS364),$BB364=$AS364)),$BC364&lt;$AT364)))),"-&gt;","&lt;-"))</f>
        <v/>
      </c>
      <c r="AV364" s="86" t="str">
        <f aca="false">IF(ISBLANK($C364),"",AND($AH364,OR($AI364="",$AJ364="",AND(NOT(ISBLANK($S364)),$AK364=""))))</f>
        <v/>
      </c>
      <c r="AW364" s="89" t="str">
        <f aca="false">IF($BD364&lt;&gt;Constants!$B$6,"",IF($AH364,Constants!$B$17*$AJ364,Constants!$B$18))</f>
        <v/>
      </c>
      <c r="AX364" s="91" t="str">
        <f aca="false">IF($BD364&lt;&gt;Constants!$B$6,"",Constants!$B$19*IF($AH364,$AI364,0))</f>
        <v/>
      </c>
      <c r="AY364" s="91" t="str">
        <f aca="false">IF($BD364&lt;&gt;Constants!$B$6,"",IF(AND($AH364,ISNUMBER($AK364)),Constants!$B$20*(Constants!$B$21-$AK364),0))</f>
        <v/>
      </c>
      <c r="AZ364" s="91" t="str">
        <f aca="false">IF($BD364&lt;&gt;Constants!$B$6,"",IF($AG364,0,Constants!$B$12)+IF($AF364,0,Constants!$B$13)+IF($Y364,0,Constants!$B$14))</f>
        <v/>
      </c>
      <c r="BA364" s="92" t="str">
        <f aca="false">IF($BD364&lt;&gt;Constants!$B$6,"",Constants!$B$16+SUM($AW364:$AZ364))</f>
        <v/>
      </c>
      <c r="BB364" s="91" t="str">
        <f aca="false">IF($BD364&lt;&gt;Constants!$B$6,"",IF($AH364,$AJ364,""))</f>
        <v/>
      </c>
      <c r="BC364" s="93" t="str">
        <f aca="false">IF($BD364&lt;&gt;Constants!$B$6,"",$AX364)</f>
        <v/>
      </c>
      <c r="BD364" s="87" t="str">
        <f aca="false">IF(ISBLANK($C364),"",IF($AL364,Constants!$B$9,IF(COUNTA($E364:$T364)=0,Constants!$B$8,IF(NOT($X364),Constants!$B$7,IF(OR($AM364,$AV364),Constants!$B$10,Constants!$B$6)))))</f>
        <v/>
      </c>
      <c r="BE364" s="87" t="str">
        <f aca="false">IF(ISBLANK($C364),"",IF($BD364&lt;&gt;Constants!$B$6,$BD364,Constants!$B$11))</f>
        <v/>
      </c>
      <c r="BF364" s="91" t="str">
        <f aca="false">IF($BD364&lt;&gt;Constants!$B$6,"",IF($AU364="-&gt;",$BA364,$AR364))</f>
        <v/>
      </c>
      <c r="BG364" s="91" t="str">
        <f aca="false">IF($BD364&lt;&gt;Constants!$B$6,"",IF($W364,0,Constants!$B$15))</f>
        <v/>
      </c>
      <c r="BH364" s="91" t="str">
        <f aca="false">IF(ISBLANK($C364),"",IF($BD364&lt;&gt;Constants!$B$6,$BD364,SUM($BF364:$BG364)))</f>
        <v/>
      </c>
      <c r="BI364" s="87" t="str">
        <f aca="false">IF(ISBLANK($C364),"",IF($BD364&lt;&gt;Constants!$B$6,$BD364,RANK($BH364,$BH$9:$BH$508,1)))</f>
        <v/>
      </c>
      <c r="BJ364" s="91" t="str">
        <f aca="false">IF($BD364&lt;&gt;Constants!$B$6,"",IF($AU364="-&gt;",$BB364,$AS364))</f>
        <v/>
      </c>
      <c r="BK364" s="87" t="str">
        <f aca="false">IF(ISBLANK($C364),"",IF($BD364&lt;&gt;Constants!$B$6,$BD364,IF(ISNUMBER($BJ364),RANK($BJ364,$BJ$9:$BJ$508,1),COUNT($BJ$9:$BJ$508)+1)))</f>
        <v/>
      </c>
      <c r="BL364" s="91" t="str">
        <f aca="false">IF($BD364&lt;&gt;Constants!$B$6,"",IF($AU364="-&gt;",$BC364,$AT364))</f>
        <v/>
      </c>
      <c r="BM364" s="87" t="str">
        <f aca="false">IF(ISBLANK($C364),"",IF($BD364&lt;&gt;Constants!$B$6,$BD364,IF(ISNUMBER($BL364),RANK($BL364,$BL$9:$BL$508,1),COUNT($BL$9:$BL$508)+1)))</f>
        <v/>
      </c>
      <c r="BN364" s="91" t="str">
        <f aca="false">IF($BD364&lt;&gt;Constants!$B$6,"",IF($AU364="-&gt;",$AS364,$BB364))</f>
        <v/>
      </c>
      <c r="BO364" s="87" t="str">
        <f aca="false">IF(ISBLANK($C364),"",IF($BD364&lt;&gt;Constants!$B$6,$BD364,IF(ISNUMBER($BN364),RANK($BN364,$BN$9:$BN$508,1),COUNT($BN$9:$BN$508)+1)))</f>
        <v/>
      </c>
      <c r="BP364" s="91" t="str">
        <f aca="false">IF($BD364&lt;&gt;Constants!$B$6,"",IF($AU364="-&gt;",$AT364,$BC364))</f>
        <v/>
      </c>
      <c r="BQ364" s="87" t="str">
        <f aca="false">IF(ISBLANK($C364),"",IF($BD364&lt;&gt;Constants!$B$6,$BD364,IF(ISNUMBER($BP364),RANK($BP364,$BP$9:$BP$508,1),COUNT($BP$9:$BP$508)+1)))</f>
        <v/>
      </c>
      <c r="BR364" s="87" t="str">
        <f aca="false">IF(ISBLANK($C364),"",IF($BD364&lt;&gt;Constants!$B$6,$BD364,COUNTIFS($BI$9:$BI$508,"&lt;"&amp;$BI364)+COUNTIFS($BI$9:$BI$508,$BI364,$BK$9:$BK$508,"&lt;"&amp;$BK364)+COUNTIFS($BI$9:$BI$508,$BI364,$BK$9:$BK$508,$BK364,$BM$9:$BM$508,"&lt;"&amp;$BM364)+COUNTIFS($BI$9:$BI$508,$BI364,$BK$9:$BK$508,$BK364,$BM$9:$BM$508,$BM364,$BO$9:$BO$508,"&lt;"&amp;$BO364)+COUNTIFS($BI$9:$BI$508,$BI364,$BK$9:$BK$508,$BK364,$BM$9:$BM$508,$BM364,$BO$9:$BO$508,$BO364,$BQ$9:$BQ$508,"&lt;"&amp;$BQ364)+1))</f>
        <v/>
      </c>
      <c r="BS364" s="87" t="str">
        <f aca="false">IF(ISBLANK($C364),"",IF($BD364&lt;&gt;Constants!$B$6,$BD364,$BI364-$BR364))</f>
        <v/>
      </c>
      <c r="BT364" s="94"/>
      <c r="BU364" s="95"/>
      <c r="BV364" s="95" t="str">
        <f aca="false">IF(ISBLANK($C364),"",IF($BD364&lt;&gt;Constants!$B$6,"",IF($AU364="-&gt;",2,1)))</f>
        <v/>
      </c>
      <c r="BW364" s="96" t="str">
        <f aca="false">IF(ISBLANK($C364),"",IF($BD364&lt;&gt;Constants!$B$6,"",IF($AU364="-&gt;",$AW364,$AN364)))</f>
        <v/>
      </c>
      <c r="BX364" s="96" t="str">
        <f aca="false">IF(ISBLANK($C364),"",IF($BD364&lt;&gt;Constants!$B$6,"",IF($AU364="-&gt;",$AX364,$AO364)))</f>
        <v/>
      </c>
      <c r="BY364" s="96" t="str">
        <f aca="false">IF(ISBLANK($C364),"",IF($BD364&lt;&gt;Constants!$B$6,"",IF($AU364="-&gt;",$AY364,$AP364)))</f>
        <v/>
      </c>
      <c r="BZ364" s="96" t="str">
        <f aca="false">IF(ISBLANK($C364),"",IF($BD364&lt;&gt;Constants!$B$6,"",IF($AU364="-&gt;",$AZ364,$AQ364)+$BG364))</f>
        <v/>
      </c>
      <c r="CA364" s="97" t="str">
        <f aca="false">IF(ISBLANK($C364),"",IF($BD364&lt;&gt;Constants!$B$6,$BD364,$BH364))</f>
        <v/>
      </c>
      <c r="CB364" s="98" t="str">
        <f aca="false">IF(ISBLANK($C364),"",$BE364)</f>
        <v/>
      </c>
      <c r="CC364" s="99" t="str">
        <f aca="false">IF(ISBLANK($C364),"",$BS364)</f>
        <v/>
      </c>
      <c r="CD364" s="99" t="str">
        <f aca="false">IF(ISBLANK($C364),"",$BR364)</f>
        <v/>
      </c>
      <c r="CE364" s="100" t="str">
        <f aca="false">IF(ISBLANK($C364),"",IF($CD364=Constants!$B$9,COUNTA($C$9:$C$508)+2,IF($CD364=Constants!$B$8,COUNTA($C$9:$C$508)+1,IF($CD364=Constants!$B$7,COUNTA($C$9:$C$508),$CD364))))</f>
        <v/>
      </c>
      <c r="CF364" s="9"/>
      <c r="CG364" s="101" t="n">
        <f aca="false">IF(OR(ISNUMBER($CD364),$CD364=Constants!$B$9,$CD364=Constants!$B$7,$CD364=Constants!$B$8),1,0)</f>
        <v>0</v>
      </c>
      <c r="CH364" s="101" t="n">
        <v>356</v>
      </c>
      <c r="CI364" s="101" t="str">
        <f aca="false">IF(ISBLANK($C364),"",IF(ISNUMBER($CE364),$CE364+ROW($B364)/1000,""))</f>
        <v/>
      </c>
      <c r="CJ364" s="101" t="str">
        <f aca="false">IF(ISNUMBER($CI364),RANK($CI364,$CI$9:$CI$508,1),"")</f>
        <v/>
      </c>
      <c r="CK364" s="101" t="str">
        <f aca="false">IF(ISBLANK($C364),"",$B364)</f>
        <v/>
      </c>
      <c r="CL364" s="101" t="str">
        <f aca="false">IF(ISBLANK($C364),"",$C364)</f>
        <v/>
      </c>
      <c r="CM364" s="101" t="str">
        <f aca="false">IF(ISBLANK($C364),"",$D364)</f>
        <v/>
      </c>
      <c r="CN364" s="102" t="str">
        <f aca="false">$CB364</f>
        <v/>
      </c>
      <c r="CO364" s="103" t="str">
        <f aca="false">$CA364</f>
        <v/>
      </c>
      <c r="CP364" s="101" t="str">
        <f aca="false">IF(ISBLANK($C364),"",$CD364)</f>
        <v/>
      </c>
      <c r="CQ364" s="104" t="str">
        <f aca="false">IF($CH364&gt;$CG$8,"",VLOOKUP($CH364,$CJ$9:$CP$508,7,FALSE()))</f>
        <v/>
      </c>
      <c r="CR364" s="105" t="str">
        <f aca="false">IF($CH364&gt;$CG$8,"",VLOOKUP($CH364,$CJ$9:$CP$508,2,FALSE()))</f>
        <v/>
      </c>
      <c r="CS364" s="105" t="str">
        <f aca="false">IF($CH364&gt;$CG$8,"",VLOOKUP($CH364,$CJ$9:$CP$508,3,FALSE()))</f>
        <v/>
      </c>
      <c r="CT364" s="105" t="str">
        <f aca="false">IF($CH364&gt;$CG$8,"",VLOOKUP($CH364,$CJ$9:$CP$508,4,FALSE()))</f>
        <v/>
      </c>
      <c r="CU364" s="105" t="str">
        <f aca="false">IF($CH364&gt;$CG$8,"",VLOOKUP($CH364,$CJ$9:$CP$508,5,FALSE()))</f>
        <v/>
      </c>
      <c r="CV364" s="106" t="str">
        <f aca="false">IF($CH364&gt;$CG$8,"",VLOOKUP($CH364,$CJ$9:$CP$508,6,FALSE()))</f>
        <v/>
      </c>
      <c r="CW364" s="71"/>
    </row>
    <row r="365" customFormat="false" ht="15.75" hidden="false" customHeight="false" outlineLevel="0" collapsed="false">
      <c r="A365" s="9"/>
      <c r="B365" s="72"/>
      <c r="C365" s="73"/>
      <c r="D365" s="160"/>
      <c r="E365" s="168"/>
      <c r="F365" s="162"/>
      <c r="G365" s="163"/>
      <c r="H365" s="169"/>
      <c r="I365" s="167"/>
      <c r="J365" s="80"/>
      <c r="K365" s="81"/>
      <c r="L365" s="82"/>
      <c r="M365" s="166"/>
      <c r="N365" s="167"/>
      <c r="O365" s="167"/>
      <c r="P365" s="80"/>
      <c r="Q365" s="82"/>
      <c r="R365" s="82"/>
      <c r="S365" s="166"/>
      <c r="T365" s="167"/>
      <c r="U365" s="86"/>
      <c r="V365" s="87"/>
      <c r="W365" s="87" t="str">
        <f aca="false">IF(ISBLANK($C365),"",IF(E365=Constants!$B$2,TRUE(),IF(E365=Constants!$B$3,FALSE(),TRUE())))</f>
        <v/>
      </c>
      <c r="X365" s="87" t="str">
        <f aca="false">IF(ISBLANK($C365),"",IF(F365=Constants!$B$2,TRUE(),IF(F365=Constants!$B$3,FALSE(),TRUE())))</f>
        <v/>
      </c>
      <c r="Y365" s="87" t="str">
        <f aca="false">IF(ISBLANK($C365),"",IF(G365=Constants!$B$2,TRUE(),IF(G365=Constants!$B$3,FALSE(),TRUE())))</f>
        <v/>
      </c>
      <c r="Z365" s="87" t="str">
        <f aca="false">IF(ISBLANK($C365),"",IF(H365=Constants!$B$2,TRUE(),IF(H365=Constants!$B$3,FALSE(),TRUE())))</f>
        <v/>
      </c>
      <c r="AA365" s="87" t="str">
        <f aca="false">IF(ISBLANK($C365),"",IF(I365=Constants!$B$2,TRUE(),IF(I365=Constants!$B$3,FALSE(),TRUE())))</f>
        <v/>
      </c>
      <c r="AB365" s="87" t="str">
        <f aca="false">IF(ISBLANK($C365),"",IF(J365=Constants!$B$4,TRUE(),IF(J365=Constants!$B$5,FALSE(),COUNTA(K365:M365)&gt;0)))</f>
        <v/>
      </c>
      <c r="AC365" s="88" t="str">
        <f aca="false">IF(ISBLANK($C365),"",IF(ISNUMBER(K365),IF(K365&gt;=0,K365,""),""))</f>
        <v/>
      </c>
      <c r="AD365" s="89" t="str">
        <f aca="false">IF(ISBLANK($C365),"",IF(ISNUMBER(L365),IF(L365&gt;=0,L365,""),""))</f>
        <v/>
      </c>
      <c r="AE365" s="87" t="str">
        <f aca="false">IF(ISBLANK($C365),"",IF(ISNUMBER(M365),IF(M365&gt;=0,MIN(M365,Constants!$B$22),""),""))</f>
        <v/>
      </c>
      <c r="AF365" s="87" t="str">
        <f aca="false">IF(ISBLANK($C365),"",IF(N365=Constants!$B$2,TRUE(),IF(N365=Constants!$B$3,FALSE(),TRUE())))</f>
        <v/>
      </c>
      <c r="AG365" s="87" t="str">
        <f aca="false">IF(ISBLANK($C365),"",IF(O365=Constants!$B$2,TRUE(),IF(O365=Constants!$B$3,FALSE(),TRUE())))</f>
        <v/>
      </c>
      <c r="AH365" s="87" t="str">
        <f aca="false">IF(ISBLANK($C365),"",IF(P365=Constants!$B$4,TRUE(),IF(P365=Constants!$B$5,FALSE(),COUNTA(Q365:S365)&gt;0)))</f>
        <v/>
      </c>
      <c r="AI365" s="88" t="str">
        <f aca="false">IF(ISBLANK($C365),"",IF(ISNUMBER(Q365),IF(Q365&gt;=0,Q365,""),""))</f>
        <v/>
      </c>
      <c r="AJ365" s="89" t="str">
        <f aca="false">IF(ISBLANK($C365),"",IF(ISNUMBER(R365),IF(R365&gt;=0,R365,""),""))</f>
        <v/>
      </c>
      <c r="AK365" s="87" t="str">
        <f aca="false">IF(ISBLANK($C365),"",IF(ISNUMBER(S365),IF(S365&gt;=0,MIN(S365,Constants!$B$22),""),""))</f>
        <v/>
      </c>
      <c r="AL365" s="87" t="str">
        <f aca="false">IF(ISBLANK($C365),"",IF(T365=Constants!$B$2,TRUE(),IF(T365=Constants!$B$3,FALSE(),FALSE())))</f>
        <v/>
      </c>
      <c r="AM365" s="86" t="str">
        <f aca="false">IF(ISBLANK($C365),"",AND($AB365,OR($AC365="",$AD365="",AND(NOT(ISBLANK($M365)),$AE365=""))))</f>
        <v/>
      </c>
      <c r="AN365" s="89" t="str">
        <f aca="false">IF($BD365&lt;&gt;Constants!$B$6,"",IF($AB365,Constants!$B$17*$AD365,Constants!$B$18))</f>
        <v/>
      </c>
      <c r="AO365" s="91" t="str">
        <f aca="false">IF($BD365&lt;&gt;Constants!$B$6,"",Constants!$B$19*IF($AB365,$AC365,0))</f>
        <v/>
      </c>
      <c r="AP365" s="91" t="str">
        <f aca="false">IF($BD365&lt;&gt;Constants!$B$6,"",IF(AND($AB365,ISNUMBER($AE365)),Constants!$B$20*(Constants!$B$21-$AE365),0))</f>
        <v/>
      </c>
      <c r="AQ365" s="91" t="str">
        <f aca="false">IF($BD365&lt;&gt;Constants!$B$6,"",IF($AA365,0,Constants!$B$12)+IF($Z365,0,Constants!$B$13)+IF($Y365,0,Constants!$B$14))</f>
        <v/>
      </c>
      <c r="AR365" s="92" t="str">
        <f aca="false">IF($BD365&lt;&gt;Constants!$B$6,"",Constants!$B$16+SUM($AN365:$AQ365))</f>
        <v/>
      </c>
      <c r="AS365" s="91" t="str">
        <f aca="false">IF($BD365&lt;&gt;Constants!$B$6,"",IF($AB365,$AD365,""))</f>
        <v/>
      </c>
      <c r="AT365" s="93" t="str">
        <f aca="false">IF($BD365&lt;&gt;Constants!$B$6,"",$AO365)</f>
        <v/>
      </c>
      <c r="AU365" s="87" t="str">
        <f aca="false">IF($BD365&lt;&gt;Constants!$B$6,"",IF(OR($BA365&lt;$AR365,AND($BA365=$AR365,OR(AND(ISNUMBER($BB365),OR(NOT(ISNUMBER($AS365)),$BB365&lt;$AS365)),AND(OR(AND($BB365="",$AS365=""),AND(ISNUMBER($BB365),ISNUMBER($AS365),$BB365=$AS365)),$BC365&lt;$AT365)))),"-&gt;","&lt;-"))</f>
        <v/>
      </c>
      <c r="AV365" s="86" t="str">
        <f aca="false">IF(ISBLANK($C365),"",AND($AH365,OR($AI365="",$AJ365="",AND(NOT(ISBLANK($S365)),$AK365=""))))</f>
        <v/>
      </c>
      <c r="AW365" s="89" t="str">
        <f aca="false">IF($BD365&lt;&gt;Constants!$B$6,"",IF($AH365,Constants!$B$17*$AJ365,Constants!$B$18))</f>
        <v/>
      </c>
      <c r="AX365" s="91" t="str">
        <f aca="false">IF($BD365&lt;&gt;Constants!$B$6,"",Constants!$B$19*IF($AH365,$AI365,0))</f>
        <v/>
      </c>
      <c r="AY365" s="91" t="str">
        <f aca="false">IF($BD365&lt;&gt;Constants!$B$6,"",IF(AND($AH365,ISNUMBER($AK365)),Constants!$B$20*(Constants!$B$21-$AK365),0))</f>
        <v/>
      </c>
      <c r="AZ365" s="91" t="str">
        <f aca="false">IF($BD365&lt;&gt;Constants!$B$6,"",IF($AG365,0,Constants!$B$12)+IF($AF365,0,Constants!$B$13)+IF($Y365,0,Constants!$B$14))</f>
        <v/>
      </c>
      <c r="BA365" s="92" t="str">
        <f aca="false">IF($BD365&lt;&gt;Constants!$B$6,"",Constants!$B$16+SUM($AW365:$AZ365))</f>
        <v/>
      </c>
      <c r="BB365" s="91" t="str">
        <f aca="false">IF($BD365&lt;&gt;Constants!$B$6,"",IF($AH365,$AJ365,""))</f>
        <v/>
      </c>
      <c r="BC365" s="93" t="str">
        <f aca="false">IF($BD365&lt;&gt;Constants!$B$6,"",$AX365)</f>
        <v/>
      </c>
      <c r="BD365" s="87" t="str">
        <f aca="false">IF(ISBLANK($C365),"",IF($AL365,Constants!$B$9,IF(COUNTA($E365:$T365)=0,Constants!$B$8,IF(NOT($X365),Constants!$B$7,IF(OR($AM365,$AV365),Constants!$B$10,Constants!$B$6)))))</f>
        <v/>
      </c>
      <c r="BE365" s="87" t="str">
        <f aca="false">IF(ISBLANK($C365),"",IF($BD365&lt;&gt;Constants!$B$6,$BD365,Constants!$B$11))</f>
        <v/>
      </c>
      <c r="BF365" s="91" t="str">
        <f aca="false">IF($BD365&lt;&gt;Constants!$B$6,"",IF($AU365="-&gt;",$BA365,$AR365))</f>
        <v/>
      </c>
      <c r="BG365" s="91" t="str">
        <f aca="false">IF($BD365&lt;&gt;Constants!$B$6,"",IF($W365,0,Constants!$B$15))</f>
        <v/>
      </c>
      <c r="BH365" s="91" t="str">
        <f aca="false">IF(ISBLANK($C365),"",IF($BD365&lt;&gt;Constants!$B$6,$BD365,SUM($BF365:$BG365)))</f>
        <v/>
      </c>
      <c r="BI365" s="87" t="str">
        <f aca="false">IF(ISBLANK($C365),"",IF($BD365&lt;&gt;Constants!$B$6,$BD365,RANK($BH365,$BH$9:$BH$508,1)))</f>
        <v/>
      </c>
      <c r="BJ365" s="91" t="str">
        <f aca="false">IF($BD365&lt;&gt;Constants!$B$6,"",IF($AU365="-&gt;",$BB365,$AS365))</f>
        <v/>
      </c>
      <c r="BK365" s="87" t="str">
        <f aca="false">IF(ISBLANK($C365),"",IF($BD365&lt;&gt;Constants!$B$6,$BD365,IF(ISNUMBER($BJ365),RANK($BJ365,$BJ$9:$BJ$508,1),COUNT($BJ$9:$BJ$508)+1)))</f>
        <v/>
      </c>
      <c r="BL365" s="91" t="str">
        <f aca="false">IF($BD365&lt;&gt;Constants!$B$6,"",IF($AU365="-&gt;",$BC365,$AT365))</f>
        <v/>
      </c>
      <c r="BM365" s="87" t="str">
        <f aca="false">IF(ISBLANK($C365),"",IF($BD365&lt;&gt;Constants!$B$6,$BD365,IF(ISNUMBER($BL365),RANK($BL365,$BL$9:$BL$508,1),COUNT($BL$9:$BL$508)+1)))</f>
        <v/>
      </c>
      <c r="BN365" s="91" t="str">
        <f aca="false">IF($BD365&lt;&gt;Constants!$B$6,"",IF($AU365="-&gt;",$AS365,$BB365))</f>
        <v/>
      </c>
      <c r="BO365" s="87" t="str">
        <f aca="false">IF(ISBLANK($C365),"",IF($BD365&lt;&gt;Constants!$B$6,$BD365,IF(ISNUMBER($BN365),RANK($BN365,$BN$9:$BN$508,1),COUNT($BN$9:$BN$508)+1)))</f>
        <v/>
      </c>
      <c r="BP365" s="91" t="str">
        <f aca="false">IF($BD365&lt;&gt;Constants!$B$6,"",IF($AU365="-&gt;",$AT365,$BC365))</f>
        <v/>
      </c>
      <c r="BQ365" s="87" t="str">
        <f aca="false">IF(ISBLANK($C365),"",IF($BD365&lt;&gt;Constants!$B$6,$BD365,IF(ISNUMBER($BP365),RANK($BP365,$BP$9:$BP$508,1),COUNT($BP$9:$BP$508)+1)))</f>
        <v/>
      </c>
      <c r="BR365" s="87" t="str">
        <f aca="false">IF(ISBLANK($C365),"",IF($BD365&lt;&gt;Constants!$B$6,$BD365,COUNTIFS($BI$9:$BI$508,"&lt;"&amp;$BI365)+COUNTIFS($BI$9:$BI$508,$BI365,$BK$9:$BK$508,"&lt;"&amp;$BK365)+COUNTIFS($BI$9:$BI$508,$BI365,$BK$9:$BK$508,$BK365,$BM$9:$BM$508,"&lt;"&amp;$BM365)+COUNTIFS($BI$9:$BI$508,$BI365,$BK$9:$BK$508,$BK365,$BM$9:$BM$508,$BM365,$BO$9:$BO$508,"&lt;"&amp;$BO365)+COUNTIFS($BI$9:$BI$508,$BI365,$BK$9:$BK$508,$BK365,$BM$9:$BM$508,$BM365,$BO$9:$BO$508,$BO365,$BQ$9:$BQ$508,"&lt;"&amp;$BQ365)+1))</f>
        <v/>
      </c>
      <c r="BS365" s="87" t="str">
        <f aca="false">IF(ISBLANK($C365),"",IF($BD365&lt;&gt;Constants!$B$6,$BD365,$BI365-$BR365))</f>
        <v/>
      </c>
      <c r="BT365" s="94"/>
      <c r="BU365" s="95"/>
      <c r="BV365" s="95" t="str">
        <f aca="false">IF(ISBLANK($C365),"",IF($BD365&lt;&gt;Constants!$B$6,"",IF($AU365="-&gt;",2,1)))</f>
        <v/>
      </c>
      <c r="BW365" s="96" t="str">
        <f aca="false">IF(ISBLANK($C365),"",IF($BD365&lt;&gt;Constants!$B$6,"",IF($AU365="-&gt;",$AW365,$AN365)))</f>
        <v/>
      </c>
      <c r="BX365" s="96" t="str">
        <f aca="false">IF(ISBLANK($C365),"",IF($BD365&lt;&gt;Constants!$B$6,"",IF($AU365="-&gt;",$AX365,$AO365)))</f>
        <v/>
      </c>
      <c r="BY365" s="96" t="str">
        <f aca="false">IF(ISBLANK($C365),"",IF($BD365&lt;&gt;Constants!$B$6,"",IF($AU365="-&gt;",$AY365,$AP365)))</f>
        <v/>
      </c>
      <c r="BZ365" s="96" t="str">
        <f aca="false">IF(ISBLANK($C365),"",IF($BD365&lt;&gt;Constants!$B$6,"",IF($AU365="-&gt;",$AZ365,$AQ365)+$BG365))</f>
        <v/>
      </c>
      <c r="CA365" s="97" t="str">
        <f aca="false">IF(ISBLANK($C365),"",IF($BD365&lt;&gt;Constants!$B$6,$BD365,$BH365))</f>
        <v/>
      </c>
      <c r="CB365" s="98" t="str">
        <f aca="false">IF(ISBLANK($C365),"",$BE365)</f>
        <v/>
      </c>
      <c r="CC365" s="99" t="str">
        <f aca="false">IF(ISBLANK($C365),"",$BS365)</f>
        <v/>
      </c>
      <c r="CD365" s="99" t="str">
        <f aca="false">IF(ISBLANK($C365),"",$BR365)</f>
        <v/>
      </c>
      <c r="CE365" s="100" t="str">
        <f aca="false">IF(ISBLANK($C365),"",IF($CD365=Constants!$B$9,COUNTA($C$9:$C$508)+2,IF($CD365=Constants!$B$8,COUNTA($C$9:$C$508)+1,IF($CD365=Constants!$B$7,COUNTA($C$9:$C$508),$CD365))))</f>
        <v/>
      </c>
      <c r="CF365" s="9"/>
      <c r="CG365" s="101" t="n">
        <f aca="false">IF(OR(ISNUMBER($CD365),$CD365=Constants!$B$9,$CD365=Constants!$B$7,$CD365=Constants!$B$8),1,0)</f>
        <v>0</v>
      </c>
      <c r="CH365" s="101" t="n">
        <v>357</v>
      </c>
      <c r="CI365" s="101" t="str">
        <f aca="false">IF(ISBLANK($C365),"",IF(ISNUMBER($CE365),$CE365+ROW($B365)/1000,""))</f>
        <v/>
      </c>
      <c r="CJ365" s="101" t="str">
        <f aca="false">IF(ISNUMBER($CI365),RANK($CI365,$CI$9:$CI$508,1),"")</f>
        <v/>
      </c>
      <c r="CK365" s="101" t="str">
        <f aca="false">IF(ISBLANK($C365),"",$B365)</f>
        <v/>
      </c>
      <c r="CL365" s="101" t="str">
        <f aca="false">IF(ISBLANK($C365),"",$C365)</f>
        <v/>
      </c>
      <c r="CM365" s="101" t="str">
        <f aca="false">IF(ISBLANK($C365),"",$D365)</f>
        <v/>
      </c>
      <c r="CN365" s="102" t="str">
        <f aca="false">$CB365</f>
        <v/>
      </c>
      <c r="CO365" s="103" t="str">
        <f aca="false">$CA365</f>
        <v/>
      </c>
      <c r="CP365" s="101" t="str">
        <f aca="false">IF(ISBLANK($C365),"",$CD365)</f>
        <v/>
      </c>
      <c r="CQ365" s="104" t="str">
        <f aca="false">IF($CH365&gt;$CG$8,"",VLOOKUP($CH365,$CJ$9:$CP$508,7,FALSE()))</f>
        <v/>
      </c>
      <c r="CR365" s="105" t="str">
        <f aca="false">IF($CH365&gt;$CG$8,"",VLOOKUP($CH365,$CJ$9:$CP$508,2,FALSE()))</f>
        <v/>
      </c>
      <c r="CS365" s="105" t="str">
        <f aca="false">IF($CH365&gt;$CG$8,"",VLOOKUP($CH365,$CJ$9:$CP$508,3,FALSE()))</f>
        <v/>
      </c>
      <c r="CT365" s="105" t="str">
        <f aca="false">IF($CH365&gt;$CG$8,"",VLOOKUP($CH365,$CJ$9:$CP$508,4,FALSE()))</f>
        <v/>
      </c>
      <c r="CU365" s="105" t="str">
        <f aca="false">IF($CH365&gt;$CG$8,"",VLOOKUP($CH365,$CJ$9:$CP$508,5,FALSE()))</f>
        <v/>
      </c>
      <c r="CV365" s="106" t="str">
        <f aca="false">IF($CH365&gt;$CG$8,"",VLOOKUP($CH365,$CJ$9:$CP$508,6,FALSE()))</f>
        <v/>
      </c>
      <c r="CW365" s="71"/>
    </row>
    <row r="366" customFormat="false" ht="15.75" hidden="false" customHeight="false" outlineLevel="0" collapsed="false">
      <c r="A366" s="9"/>
      <c r="B366" s="150"/>
      <c r="C366" s="151"/>
      <c r="D366" s="152"/>
      <c r="E366" s="170"/>
      <c r="F366" s="154"/>
      <c r="G366" s="155"/>
      <c r="H366" s="171"/>
      <c r="I366" s="159"/>
      <c r="J366" s="120"/>
      <c r="K366" s="121"/>
      <c r="L366" s="122"/>
      <c r="M366" s="158"/>
      <c r="N366" s="159"/>
      <c r="O366" s="159"/>
      <c r="P366" s="120"/>
      <c r="Q366" s="122"/>
      <c r="R366" s="122"/>
      <c r="S366" s="158"/>
      <c r="T366" s="159"/>
      <c r="U366" s="126"/>
      <c r="V366" s="127"/>
      <c r="W366" s="127" t="str">
        <f aca="false">IF(ISBLANK($C366),"",IF(E366=Constants!$B$2,TRUE(),IF(E366=Constants!$B$3,FALSE(),TRUE())))</f>
        <v/>
      </c>
      <c r="X366" s="127" t="str">
        <f aca="false">IF(ISBLANK($C366),"",IF(F366=Constants!$B$2,TRUE(),IF(F366=Constants!$B$3,FALSE(),TRUE())))</f>
        <v/>
      </c>
      <c r="Y366" s="127" t="str">
        <f aca="false">IF(ISBLANK($C366),"",IF(G366=Constants!$B$2,TRUE(),IF(G366=Constants!$B$3,FALSE(),TRUE())))</f>
        <v/>
      </c>
      <c r="Z366" s="127" t="str">
        <f aca="false">IF(ISBLANK($C366),"",IF(H366=Constants!$B$2,TRUE(),IF(H366=Constants!$B$3,FALSE(),TRUE())))</f>
        <v/>
      </c>
      <c r="AA366" s="127" t="str">
        <f aca="false">IF(ISBLANK($C366),"",IF(I366=Constants!$B$2,TRUE(),IF(I366=Constants!$B$3,FALSE(),TRUE())))</f>
        <v/>
      </c>
      <c r="AB366" s="127" t="str">
        <f aca="false">IF(ISBLANK($C366),"",IF(J366=Constants!$B$4,TRUE(),IF(J366=Constants!$B$5,FALSE(),COUNTA(K366:M366)&gt;0)))</f>
        <v/>
      </c>
      <c r="AC366" s="128" t="str">
        <f aca="false">IF(ISBLANK($C366),"",IF(ISNUMBER(K366),IF(K366&gt;=0,K366,""),""))</f>
        <v/>
      </c>
      <c r="AD366" s="129" t="str">
        <f aca="false">IF(ISBLANK($C366),"",IF(ISNUMBER(L366),IF(L366&gt;=0,L366,""),""))</f>
        <v/>
      </c>
      <c r="AE366" s="127" t="str">
        <f aca="false">IF(ISBLANK($C366),"",IF(ISNUMBER(M366),IF(M366&gt;=0,MIN(M366,Constants!$B$22),""),""))</f>
        <v/>
      </c>
      <c r="AF366" s="127" t="str">
        <f aca="false">IF(ISBLANK($C366),"",IF(N366=Constants!$B$2,TRUE(),IF(N366=Constants!$B$3,FALSE(),TRUE())))</f>
        <v/>
      </c>
      <c r="AG366" s="127" t="str">
        <f aca="false">IF(ISBLANK($C366),"",IF(O366=Constants!$B$2,TRUE(),IF(O366=Constants!$B$3,FALSE(),TRUE())))</f>
        <v/>
      </c>
      <c r="AH366" s="127" t="str">
        <f aca="false">IF(ISBLANK($C366),"",IF(P366=Constants!$B$4,TRUE(),IF(P366=Constants!$B$5,FALSE(),COUNTA(Q366:S366)&gt;0)))</f>
        <v/>
      </c>
      <c r="AI366" s="128" t="str">
        <f aca="false">IF(ISBLANK($C366),"",IF(ISNUMBER(Q366),IF(Q366&gt;=0,Q366,""),""))</f>
        <v/>
      </c>
      <c r="AJ366" s="129" t="str">
        <f aca="false">IF(ISBLANK($C366),"",IF(ISNUMBER(R366),IF(R366&gt;=0,R366,""),""))</f>
        <v/>
      </c>
      <c r="AK366" s="127" t="str">
        <f aca="false">IF(ISBLANK($C366),"",IF(ISNUMBER(S366),IF(S366&gt;=0,MIN(S366,Constants!$B$22),""),""))</f>
        <v/>
      </c>
      <c r="AL366" s="127" t="str">
        <f aca="false">IF(ISBLANK($C366),"",IF(T366=Constants!$B$2,TRUE(),IF(T366=Constants!$B$3,FALSE(),FALSE())))</f>
        <v/>
      </c>
      <c r="AM366" s="126" t="str">
        <f aca="false">IF(ISBLANK($C366),"",AND($AB366,OR($AC366="",$AD366="",AND(NOT(ISBLANK($M366)),$AE366=""))))</f>
        <v/>
      </c>
      <c r="AN366" s="129" t="str">
        <f aca="false">IF($BD366&lt;&gt;Constants!$B$6,"",IF($AB366,Constants!$B$17*$AD366,Constants!$B$18))</f>
        <v/>
      </c>
      <c r="AO366" s="130" t="str">
        <f aca="false">IF($BD366&lt;&gt;Constants!$B$6,"",Constants!$B$19*IF($AB366,$AC366,0))</f>
        <v/>
      </c>
      <c r="AP366" s="130" t="str">
        <f aca="false">IF($BD366&lt;&gt;Constants!$B$6,"",IF(AND($AB366,ISNUMBER($AE366)),Constants!$B$20*(Constants!$B$21-$AE366),0))</f>
        <v/>
      </c>
      <c r="AQ366" s="130" t="str">
        <f aca="false">IF($BD366&lt;&gt;Constants!$B$6,"",IF($AA366,0,Constants!$B$12)+IF($Z366,0,Constants!$B$13)+IF($Y366,0,Constants!$B$14))</f>
        <v/>
      </c>
      <c r="AR366" s="131" t="str">
        <f aca="false">IF($BD366&lt;&gt;Constants!$B$6,"",Constants!$B$16+SUM($AN366:$AQ366))</f>
        <v/>
      </c>
      <c r="AS366" s="130" t="str">
        <f aca="false">IF($BD366&lt;&gt;Constants!$B$6,"",IF($AB366,$AD366,""))</f>
        <v/>
      </c>
      <c r="AT366" s="132" t="str">
        <f aca="false">IF($BD366&lt;&gt;Constants!$B$6,"",$AO366)</f>
        <v/>
      </c>
      <c r="AU366" s="127" t="str">
        <f aca="false">IF($BD366&lt;&gt;Constants!$B$6,"",IF(OR($BA366&lt;$AR366,AND($BA366=$AR366,OR(AND(ISNUMBER($BB366),OR(NOT(ISNUMBER($AS366)),$BB366&lt;$AS366)),AND(OR(AND($BB366="",$AS366=""),AND(ISNUMBER($BB366),ISNUMBER($AS366),$BB366=$AS366)),$BC366&lt;$AT366)))),"-&gt;","&lt;-"))</f>
        <v/>
      </c>
      <c r="AV366" s="126" t="str">
        <f aca="false">IF(ISBLANK($C366),"",AND($AH366,OR($AI366="",$AJ366="",AND(NOT(ISBLANK($S366)),$AK366=""))))</f>
        <v/>
      </c>
      <c r="AW366" s="129" t="str">
        <f aca="false">IF($BD366&lt;&gt;Constants!$B$6,"",IF($AH366,Constants!$B$17*$AJ366,Constants!$B$18))</f>
        <v/>
      </c>
      <c r="AX366" s="130" t="str">
        <f aca="false">IF($BD366&lt;&gt;Constants!$B$6,"",Constants!$B$19*IF($AH366,$AI366,0))</f>
        <v/>
      </c>
      <c r="AY366" s="130" t="str">
        <f aca="false">IF($BD366&lt;&gt;Constants!$B$6,"",IF(AND($AH366,ISNUMBER($AK366)),Constants!$B$20*(Constants!$B$21-$AK366),0))</f>
        <v/>
      </c>
      <c r="AZ366" s="130" t="str">
        <f aca="false">IF($BD366&lt;&gt;Constants!$B$6,"",IF($AG366,0,Constants!$B$12)+IF($AF366,0,Constants!$B$13)+IF($Y366,0,Constants!$B$14))</f>
        <v/>
      </c>
      <c r="BA366" s="131" t="str">
        <f aca="false">IF($BD366&lt;&gt;Constants!$B$6,"",Constants!$B$16+SUM($AW366:$AZ366))</f>
        <v/>
      </c>
      <c r="BB366" s="130" t="str">
        <f aca="false">IF($BD366&lt;&gt;Constants!$B$6,"",IF($AH366,$AJ366,""))</f>
        <v/>
      </c>
      <c r="BC366" s="132" t="str">
        <f aca="false">IF($BD366&lt;&gt;Constants!$B$6,"",$AX366)</f>
        <v/>
      </c>
      <c r="BD366" s="127" t="str">
        <f aca="false">IF(ISBLANK($C366),"",IF($AL366,Constants!$B$9,IF(COUNTA($E366:$T366)=0,Constants!$B$8,IF(NOT($X366),Constants!$B$7,IF(OR($AM366,$AV366),Constants!$B$10,Constants!$B$6)))))</f>
        <v/>
      </c>
      <c r="BE366" s="127" t="str">
        <f aca="false">IF(ISBLANK($C366),"",IF($BD366&lt;&gt;Constants!$B$6,$BD366,Constants!$B$11))</f>
        <v/>
      </c>
      <c r="BF366" s="130" t="str">
        <f aca="false">IF($BD366&lt;&gt;Constants!$B$6,"",IF($AU366="-&gt;",$BA366,$AR366))</f>
        <v/>
      </c>
      <c r="BG366" s="130" t="str">
        <f aca="false">IF($BD366&lt;&gt;Constants!$B$6,"",IF($W366,0,Constants!$B$15))</f>
        <v/>
      </c>
      <c r="BH366" s="130" t="str">
        <f aca="false">IF(ISBLANK($C366),"",IF($BD366&lt;&gt;Constants!$B$6,$BD366,SUM($BF366:$BG366)))</f>
        <v/>
      </c>
      <c r="BI366" s="127" t="str">
        <f aca="false">IF(ISBLANK($C366),"",IF($BD366&lt;&gt;Constants!$B$6,$BD366,RANK($BH366,$BH$9:$BH$508,1)))</f>
        <v/>
      </c>
      <c r="BJ366" s="130" t="str">
        <f aca="false">IF($BD366&lt;&gt;Constants!$B$6,"",IF($AU366="-&gt;",$BB366,$AS366))</f>
        <v/>
      </c>
      <c r="BK366" s="127" t="str">
        <f aca="false">IF(ISBLANK($C366),"",IF($BD366&lt;&gt;Constants!$B$6,$BD366,IF(ISNUMBER($BJ366),RANK($BJ366,$BJ$9:$BJ$508,1),COUNT($BJ$9:$BJ$508)+1)))</f>
        <v/>
      </c>
      <c r="BL366" s="130" t="str">
        <f aca="false">IF($BD366&lt;&gt;Constants!$B$6,"",IF($AU366="-&gt;",$BC366,$AT366))</f>
        <v/>
      </c>
      <c r="BM366" s="127" t="str">
        <f aca="false">IF(ISBLANK($C366),"",IF($BD366&lt;&gt;Constants!$B$6,$BD366,IF(ISNUMBER($BL366),RANK($BL366,$BL$9:$BL$508,1),COUNT($BL$9:$BL$508)+1)))</f>
        <v/>
      </c>
      <c r="BN366" s="130" t="str">
        <f aca="false">IF($BD366&lt;&gt;Constants!$B$6,"",IF($AU366="-&gt;",$AS366,$BB366))</f>
        <v/>
      </c>
      <c r="BO366" s="127" t="str">
        <f aca="false">IF(ISBLANK($C366),"",IF($BD366&lt;&gt;Constants!$B$6,$BD366,IF(ISNUMBER($BN366),RANK($BN366,$BN$9:$BN$508,1),COUNT($BN$9:$BN$508)+1)))</f>
        <v/>
      </c>
      <c r="BP366" s="130" t="str">
        <f aca="false">IF($BD366&lt;&gt;Constants!$B$6,"",IF($AU366="-&gt;",$AT366,$BC366))</f>
        <v/>
      </c>
      <c r="BQ366" s="127" t="str">
        <f aca="false">IF(ISBLANK($C366),"",IF($BD366&lt;&gt;Constants!$B$6,$BD366,IF(ISNUMBER($BP366),RANK($BP366,$BP$9:$BP$508,1),COUNT($BP$9:$BP$508)+1)))</f>
        <v/>
      </c>
      <c r="BR366" s="127" t="str">
        <f aca="false">IF(ISBLANK($C366),"",IF($BD366&lt;&gt;Constants!$B$6,$BD366,COUNTIFS($BI$9:$BI$508,"&lt;"&amp;$BI366)+COUNTIFS($BI$9:$BI$508,$BI366,$BK$9:$BK$508,"&lt;"&amp;$BK366)+COUNTIFS($BI$9:$BI$508,$BI366,$BK$9:$BK$508,$BK366,$BM$9:$BM$508,"&lt;"&amp;$BM366)+COUNTIFS($BI$9:$BI$508,$BI366,$BK$9:$BK$508,$BK366,$BM$9:$BM$508,$BM366,$BO$9:$BO$508,"&lt;"&amp;$BO366)+COUNTIFS($BI$9:$BI$508,$BI366,$BK$9:$BK$508,$BK366,$BM$9:$BM$508,$BM366,$BO$9:$BO$508,$BO366,$BQ$9:$BQ$508,"&lt;"&amp;$BQ366)+1))</f>
        <v/>
      </c>
      <c r="BS366" s="127" t="str">
        <f aca="false">IF(ISBLANK($C366),"",IF($BD366&lt;&gt;Constants!$B$6,$BD366,$BI366-$BR366))</f>
        <v/>
      </c>
      <c r="BT366" s="133"/>
      <c r="BU366" s="134"/>
      <c r="BV366" s="134" t="str">
        <f aca="false">IF(ISBLANK($C366),"",IF($BD366&lt;&gt;Constants!$B$6,"",IF($AU366="-&gt;",2,1)))</f>
        <v/>
      </c>
      <c r="BW366" s="135" t="str">
        <f aca="false">IF(ISBLANK($C366),"",IF($BD366&lt;&gt;Constants!$B$6,"",IF($AU366="-&gt;",$AW366,$AN366)))</f>
        <v/>
      </c>
      <c r="BX366" s="135" t="str">
        <f aca="false">IF(ISBLANK($C366),"",IF($BD366&lt;&gt;Constants!$B$6,"",IF($AU366="-&gt;",$AX366,$AO366)))</f>
        <v/>
      </c>
      <c r="BY366" s="135" t="str">
        <f aca="false">IF(ISBLANK($C366),"",IF($BD366&lt;&gt;Constants!$B$6,"",IF($AU366="-&gt;",$AY366,$AP366)))</f>
        <v/>
      </c>
      <c r="BZ366" s="135" t="str">
        <f aca="false">IF(ISBLANK($C366),"",IF($BD366&lt;&gt;Constants!$B$6,"",IF($AU366="-&gt;",$AZ366,$AQ366)+$BG366))</f>
        <v/>
      </c>
      <c r="CA366" s="136" t="str">
        <f aca="false">IF(ISBLANK($C366),"",IF($BD366&lt;&gt;Constants!$B$6,$BD366,$BH366))</f>
        <v/>
      </c>
      <c r="CB366" s="137" t="str">
        <f aca="false">IF(ISBLANK($C366),"",$BE366)</f>
        <v/>
      </c>
      <c r="CC366" s="138" t="str">
        <f aca="false">IF(ISBLANK($C366),"",$BS366)</f>
        <v/>
      </c>
      <c r="CD366" s="138" t="str">
        <f aca="false">IF(ISBLANK($C366),"",$BR366)</f>
        <v/>
      </c>
      <c r="CE366" s="139" t="str">
        <f aca="false">IF(ISBLANK($C366),"",IF($CD366=Constants!$B$9,COUNTA($C$9:$C$508)+2,IF($CD366=Constants!$B$8,COUNTA($C$9:$C$508)+1,IF($CD366=Constants!$B$7,COUNTA($C$9:$C$508),$CD366))))</f>
        <v/>
      </c>
      <c r="CF366" s="9"/>
      <c r="CG366" s="140" t="n">
        <f aca="false">IF(OR(ISNUMBER($CD366),$CD366=Constants!$B$9,$CD366=Constants!$B$7,$CD366=Constants!$B$8),1,0)</f>
        <v>0</v>
      </c>
      <c r="CH366" s="140" t="n">
        <v>358</v>
      </c>
      <c r="CI366" s="140" t="str">
        <f aca="false">IF(ISBLANK($C366),"",IF(ISNUMBER($CE366),$CE366+ROW($B366)/1000,""))</f>
        <v/>
      </c>
      <c r="CJ366" s="140" t="str">
        <f aca="false">IF(ISNUMBER($CI366),RANK($CI366,$CI$9:$CI$508,1),"")</f>
        <v/>
      </c>
      <c r="CK366" s="140" t="str">
        <f aca="false">IF(ISBLANK($C366),"",$B366)</f>
        <v/>
      </c>
      <c r="CL366" s="140" t="str">
        <f aca="false">IF(ISBLANK($C366),"",$C366)</f>
        <v/>
      </c>
      <c r="CM366" s="140" t="str">
        <f aca="false">IF(ISBLANK($C366),"",$D366)</f>
        <v/>
      </c>
      <c r="CN366" s="141" t="str">
        <f aca="false">$CB366</f>
        <v/>
      </c>
      <c r="CO366" s="142" t="str">
        <f aca="false">$CA366</f>
        <v/>
      </c>
      <c r="CP366" s="140" t="str">
        <f aca="false">IF(ISBLANK($C366),"",$CD366)</f>
        <v/>
      </c>
      <c r="CQ366" s="143" t="str">
        <f aca="false">IF($CH366&gt;$CG$8,"",VLOOKUP($CH366,$CJ$9:$CP$508,7,FALSE()))</f>
        <v/>
      </c>
      <c r="CR366" s="144" t="str">
        <f aca="false">IF($CH366&gt;$CG$8,"",VLOOKUP($CH366,$CJ$9:$CP$508,2,FALSE()))</f>
        <v/>
      </c>
      <c r="CS366" s="144" t="str">
        <f aca="false">IF($CH366&gt;$CG$8,"",VLOOKUP($CH366,$CJ$9:$CP$508,3,FALSE()))</f>
        <v/>
      </c>
      <c r="CT366" s="144" t="str">
        <f aca="false">IF($CH366&gt;$CG$8,"",VLOOKUP($CH366,$CJ$9:$CP$508,4,FALSE()))</f>
        <v/>
      </c>
      <c r="CU366" s="144" t="str">
        <f aca="false">IF($CH366&gt;$CG$8,"",VLOOKUP($CH366,$CJ$9:$CP$508,5,FALSE()))</f>
        <v/>
      </c>
      <c r="CV366" s="145" t="str">
        <f aca="false">IF($CH366&gt;$CG$8,"",VLOOKUP($CH366,$CJ$9:$CP$508,6,FALSE()))</f>
        <v/>
      </c>
      <c r="CW366" s="71"/>
    </row>
    <row r="367" customFormat="false" ht="15.75" hidden="false" customHeight="false" outlineLevel="0" collapsed="false">
      <c r="A367" s="9"/>
      <c r="B367" s="150"/>
      <c r="C367" s="151"/>
      <c r="D367" s="152"/>
      <c r="E367" s="170"/>
      <c r="F367" s="154"/>
      <c r="G367" s="155"/>
      <c r="H367" s="171"/>
      <c r="I367" s="159"/>
      <c r="J367" s="120"/>
      <c r="K367" s="121"/>
      <c r="L367" s="122"/>
      <c r="M367" s="158"/>
      <c r="N367" s="159"/>
      <c r="O367" s="159"/>
      <c r="P367" s="120"/>
      <c r="Q367" s="122"/>
      <c r="R367" s="122"/>
      <c r="S367" s="158"/>
      <c r="T367" s="159"/>
      <c r="U367" s="126"/>
      <c r="V367" s="127"/>
      <c r="W367" s="127" t="str">
        <f aca="false">IF(ISBLANK($C367),"",IF(E367=Constants!$B$2,TRUE(),IF(E367=Constants!$B$3,FALSE(),TRUE())))</f>
        <v/>
      </c>
      <c r="X367" s="127" t="str">
        <f aca="false">IF(ISBLANK($C367),"",IF(F367=Constants!$B$2,TRUE(),IF(F367=Constants!$B$3,FALSE(),TRUE())))</f>
        <v/>
      </c>
      <c r="Y367" s="127" t="str">
        <f aca="false">IF(ISBLANK($C367),"",IF(G367=Constants!$B$2,TRUE(),IF(G367=Constants!$B$3,FALSE(),TRUE())))</f>
        <v/>
      </c>
      <c r="Z367" s="127" t="str">
        <f aca="false">IF(ISBLANK($C367),"",IF(H367=Constants!$B$2,TRUE(),IF(H367=Constants!$B$3,FALSE(),TRUE())))</f>
        <v/>
      </c>
      <c r="AA367" s="127" t="str">
        <f aca="false">IF(ISBLANK($C367),"",IF(I367=Constants!$B$2,TRUE(),IF(I367=Constants!$B$3,FALSE(),TRUE())))</f>
        <v/>
      </c>
      <c r="AB367" s="127" t="str">
        <f aca="false">IF(ISBLANK($C367),"",IF(J367=Constants!$B$4,TRUE(),IF(J367=Constants!$B$5,FALSE(),COUNTA(K367:M367)&gt;0)))</f>
        <v/>
      </c>
      <c r="AC367" s="128" t="str">
        <f aca="false">IF(ISBLANK($C367),"",IF(ISNUMBER(K367),IF(K367&gt;=0,K367,""),""))</f>
        <v/>
      </c>
      <c r="AD367" s="129" t="str">
        <f aca="false">IF(ISBLANK($C367),"",IF(ISNUMBER(L367),IF(L367&gt;=0,L367,""),""))</f>
        <v/>
      </c>
      <c r="AE367" s="127" t="str">
        <f aca="false">IF(ISBLANK($C367),"",IF(ISNUMBER(M367),IF(M367&gt;=0,MIN(M367,Constants!$B$22),""),""))</f>
        <v/>
      </c>
      <c r="AF367" s="127" t="str">
        <f aca="false">IF(ISBLANK($C367),"",IF(N367=Constants!$B$2,TRUE(),IF(N367=Constants!$B$3,FALSE(),TRUE())))</f>
        <v/>
      </c>
      <c r="AG367" s="127" t="str">
        <f aca="false">IF(ISBLANK($C367),"",IF(O367=Constants!$B$2,TRUE(),IF(O367=Constants!$B$3,FALSE(),TRUE())))</f>
        <v/>
      </c>
      <c r="AH367" s="127" t="str">
        <f aca="false">IF(ISBLANK($C367),"",IF(P367=Constants!$B$4,TRUE(),IF(P367=Constants!$B$5,FALSE(),COUNTA(Q367:S367)&gt;0)))</f>
        <v/>
      </c>
      <c r="AI367" s="128" t="str">
        <f aca="false">IF(ISBLANK($C367),"",IF(ISNUMBER(Q367),IF(Q367&gt;=0,Q367,""),""))</f>
        <v/>
      </c>
      <c r="AJ367" s="129" t="str">
        <f aca="false">IF(ISBLANK($C367),"",IF(ISNUMBER(R367),IF(R367&gt;=0,R367,""),""))</f>
        <v/>
      </c>
      <c r="AK367" s="127" t="str">
        <f aca="false">IF(ISBLANK($C367),"",IF(ISNUMBER(S367),IF(S367&gt;=0,MIN(S367,Constants!$B$22),""),""))</f>
        <v/>
      </c>
      <c r="AL367" s="127" t="str">
        <f aca="false">IF(ISBLANK($C367),"",IF(T367=Constants!$B$2,TRUE(),IF(T367=Constants!$B$3,FALSE(),FALSE())))</f>
        <v/>
      </c>
      <c r="AM367" s="126" t="str">
        <f aca="false">IF(ISBLANK($C367),"",AND($AB367,OR($AC367="",$AD367="",AND(NOT(ISBLANK($M367)),$AE367=""))))</f>
        <v/>
      </c>
      <c r="AN367" s="129" t="str">
        <f aca="false">IF($BD367&lt;&gt;Constants!$B$6,"",IF($AB367,Constants!$B$17*$AD367,Constants!$B$18))</f>
        <v/>
      </c>
      <c r="AO367" s="130" t="str">
        <f aca="false">IF($BD367&lt;&gt;Constants!$B$6,"",Constants!$B$19*IF($AB367,$AC367,0))</f>
        <v/>
      </c>
      <c r="AP367" s="130" t="str">
        <f aca="false">IF($BD367&lt;&gt;Constants!$B$6,"",IF(AND($AB367,ISNUMBER($AE367)),Constants!$B$20*(Constants!$B$21-$AE367),0))</f>
        <v/>
      </c>
      <c r="AQ367" s="130" t="str">
        <f aca="false">IF($BD367&lt;&gt;Constants!$B$6,"",IF($AA367,0,Constants!$B$12)+IF($Z367,0,Constants!$B$13)+IF($Y367,0,Constants!$B$14))</f>
        <v/>
      </c>
      <c r="AR367" s="131" t="str">
        <f aca="false">IF($BD367&lt;&gt;Constants!$B$6,"",Constants!$B$16+SUM($AN367:$AQ367))</f>
        <v/>
      </c>
      <c r="AS367" s="130" t="str">
        <f aca="false">IF($BD367&lt;&gt;Constants!$B$6,"",IF($AB367,$AD367,""))</f>
        <v/>
      </c>
      <c r="AT367" s="132" t="str">
        <f aca="false">IF($BD367&lt;&gt;Constants!$B$6,"",$AO367)</f>
        <v/>
      </c>
      <c r="AU367" s="127" t="str">
        <f aca="false">IF($BD367&lt;&gt;Constants!$B$6,"",IF(OR($BA367&lt;$AR367,AND($BA367=$AR367,OR(AND(ISNUMBER($BB367),OR(NOT(ISNUMBER($AS367)),$BB367&lt;$AS367)),AND(OR(AND($BB367="",$AS367=""),AND(ISNUMBER($BB367),ISNUMBER($AS367),$BB367=$AS367)),$BC367&lt;$AT367)))),"-&gt;","&lt;-"))</f>
        <v/>
      </c>
      <c r="AV367" s="126" t="str">
        <f aca="false">IF(ISBLANK($C367),"",AND($AH367,OR($AI367="",$AJ367="",AND(NOT(ISBLANK($S367)),$AK367=""))))</f>
        <v/>
      </c>
      <c r="AW367" s="129" t="str">
        <f aca="false">IF($BD367&lt;&gt;Constants!$B$6,"",IF($AH367,Constants!$B$17*$AJ367,Constants!$B$18))</f>
        <v/>
      </c>
      <c r="AX367" s="130" t="str">
        <f aca="false">IF($BD367&lt;&gt;Constants!$B$6,"",Constants!$B$19*IF($AH367,$AI367,0))</f>
        <v/>
      </c>
      <c r="AY367" s="130" t="str">
        <f aca="false">IF($BD367&lt;&gt;Constants!$B$6,"",IF(AND($AH367,ISNUMBER($AK367)),Constants!$B$20*(Constants!$B$21-$AK367),0))</f>
        <v/>
      </c>
      <c r="AZ367" s="130" t="str">
        <f aca="false">IF($BD367&lt;&gt;Constants!$B$6,"",IF($AG367,0,Constants!$B$12)+IF($AF367,0,Constants!$B$13)+IF($Y367,0,Constants!$B$14))</f>
        <v/>
      </c>
      <c r="BA367" s="131" t="str">
        <f aca="false">IF($BD367&lt;&gt;Constants!$B$6,"",Constants!$B$16+SUM($AW367:$AZ367))</f>
        <v/>
      </c>
      <c r="BB367" s="130" t="str">
        <f aca="false">IF($BD367&lt;&gt;Constants!$B$6,"",IF($AH367,$AJ367,""))</f>
        <v/>
      </c>
      <c r="BC367" s="132" t="str">
        <f aca="false">IF($BD367&lt;&gt;Constants!$B$6,"",$AX367)</f>
        <v/>
      </c>
      <c r="BD367" s="127" t="str">
        <f aca="false">IF(ISBLANK($C367),"",IF($AL367,Constants!$B$9,IF(COUNTA($E367:$T367)=0,Constants!$B$8,IF(NOT($X367),Constants!$B$7,IF(OR($AM367,$AV367),Constants!$B$10,Constants!$B$6)))))</f>
        <v/>
      </c>
      <c r="BE367" s="127" t="str">
        <f aca="false">IF(ISBLANK($C367),"",IF($BD367&lt;&gt;Constants!$B$6,$BD367,Constants!$B$11))</f>
        <v/>
      </c>
      <c r="BF367" s="130" t="str">
        <f aca="false">IF($BD367&lt;&gt;Constants!$B$6,"",IF($AU367="-&gt;",$BA367,$AR367))</f>
        <v/>
      </c>
      <c r="BG367" s="130" t="str">
        <f aca="false">IF($BD367&lt;&gt;Constants!$B$6,"",IF($W367,0,Constants!$B$15))</f>
        <v/>
      </c>
      <c r="BH367" s="130" t="str">
        <f aca="false">IF(ISBLANK($C367),"",IF($BD367&lt;&gt;Constants!$B$6,$BD367,SUM($BF367:$BG367)))</f>
        <v/>
      </c>
      <c r="BI367" s="127" t="str">
        <f aca="false">IF(ISBLANK($C367),"",IF($BD367&lt;&gt;Constants!$B$6,$BD367,RANK($BH367,$BH$9:$BH$508,1)))</f>
        <v/>
      </c>
      <c r="BJ367" s="130" t="str">
        <f aca="false">IF($BD367&lt;&gt;Constants!$B$6,"",IF($AU367="-&gt;",$BB367,$AS367))</f>
        <v/>
      </c>
      <c r="BK367" s="127" t="str">
        <f aca="false">IF(ISBLANK($C367),"",IF($BD367&lt;&gt;Constants!$B$6,$BD367,IF(ISNUMBER($BJ367),RANK($BJ367,$BJ$9:$BJ$508,1),COUNT($BJ$9:$BJ$508)+1)))</f>
        <v/>
      </c>
      <c r="BL367" s="130" t="str">
        <f aca="false">IF($BD367&lt;&gt;Constants!$B$6,"",IF($AU367="-&gt;",$BC367,$AT367))</f>
        <v/>
      </c>
      <c r="BM367" s="127" t="str">
        <f aca="false">IF(ISBLANK($C367),"",IF($BD367&lt;&gt;Constants!$B$6,$BD367,IF(ISNUMBER($BL367),RANK($BL367,$BL$9:$BL$508,1),COUNT($BL$9:$BL$508)+1)))</f>
        <v/>
      </c>
      <c r="BN367" s="130" t="str">
        <f aca="false">IF($BD367&lt;&gt;Constants!$B$6,"",IF($AU367="-&gt;",$AS367,$BB367))</f>
        <v/>
      </c>
      <c r="BO367" s="127" t="str">
        <f aca="false">IF(ISBLANK($C367),"",IF($BD367&lt;&gt;Constants!$B$6,$BD367,IF(ISNUMBER($BN367),RANK($BN367,$BN$9:$BN$508,1),COUNT($BN$9:$BN$508)+1)))</f>
        <v/>
      </c>
      <c r="BP367" s="130" t="str">
        <f aca="false">IF($BD367&lt;&gt;Constants!$B$6,"",IF($AU367="-&gt;",$AT367,$BC367))</f>
        <v/>
      </c>
      <c r="BQ367" s="127" t="str">
        <f aca="false">IF(ISBLANK($C367),"",IF($BD367&lt;&gt;Constants!$B$6,$BD367,IF(ISNUMBER($BP367),RANK($BP367,$BP$9:$BP$508,1),COUNT($BP$9:$BP$508)+1)))</f>
        <v/>
      </c>
      <c r="BR367" s="127" t="str">
        <f aca="false">IF(ISBLANK($C367),"",IF($BD367&lt;&gt;Constants!$B$6,$BD367,COUNTIFS($BI$9:$BI$508,"&lt;"&amp;$BI367)+COUNTIFS($BI$9:$BI$508,$BI367,$BK$9:$BK$508,"&lt;"&amp;$BK367)+COUNTIFS($BI$9:$BI$508,$BI367,$BK$9:$BK$508,$BK367,$BM$9:$BM$508,"&lt;"&amp;$BM367)+COUNTIFS($BI$9:$BI$508,$BI367,$BK$9:$BK$508,$BK367,$BM$9:$BM$508,$BM367,$BO$9:$BO$508,"&lt;"&amp;$BO367)+COUNTIFS($BI$9:$BI$508,$BI367,$BK$9:$BK$508,$BK367,$BM$9:$BM$508,$BM367,$BO$9:$BO$508,$BO367,$BQ$9:$BQ$508,"&lt;"&amp;$BQ367)+1))</f>
        <v/>
      </c>
      <c r="BS367" s="127" t="str">
        <f aca="false">IF(ISBLANK($C367),"",IF($BD367&lt;&gt;Constants!$B$6,$BD367,$BI367-$BR367))</f>
        <v/>
      </c>
      <c r="BT367" s="133"/>
      <c r="BU367" s="134"/>
      <c r="BV367" s="134" t="str">
        <f aca="false">IF(ISBLANK($C367),"",IF($BD367&lt;&gt;Constants!$B$6,"",IF($AU367="-&gt;",2,1)))</f>
        <v/>
      </c>
      <c r="BW367" s="135" t="str">
        <f aca="false">IF(ISBLANK($C367),"",IF($BD367&lt;&gt;Constants!$B$6,"",IF($AU367="-&gt;",$AW367,$AN367)))</f>
        <v/>
      </c>
      <c r="BX367" s="135" t="str">
        <f aca="false">IF(ISBLANK($C367),"",IF($BD367&lt;&gt;Constants!$B$6,"",IF($AU367="-&gt;",$AX367,$AO367)))</f>
        <v/>
      </c>
      <c r="BY367" s="135" t="str">
        <f aca="false">IF(ISBLANK($C367),"",IF($BD367&lt;&gt;Constants!$B$6,"",IF($AU367="-&gt;",$AY367,$AP367)))</f>
        <v/>
      </c>
      <c r="BZ367" s="135" t="str">
        <f aca="false">IF(ISBLANK($C367),"",IF($BD367&lt;&gt;Constants!$B$6,"",IF($AU367="-&gt;",$AZ367,$AQ367)+$BG367))</f>
        <v/>
      </c>
      <c r="CA367" s="136" t="str">
        <f aca="false">IF(ISBLANK($C367),"",IF($BD367&lt;&gt;Constants!$B$6,$BD367,$BH367))</f>
        <v/>
      </c>
      <c r="CB367" s="137" t="str">
        <f aca="false">IF(ISBLANK($C367),"",$BE367)</f>
        <v/>
      </c>
      <c r="CC367" s="138" t="str">
        <f aca="false">IF(ISBLANK($C367),"",$BS367)</f>
        <v/>
      </c>
      <c r="CD367" s="138" t="str">
        <f aca="false">IF(ISBLANK($C367),"",$BR367)</f>
        <v/>
      </c>
      <c r="CE367" s="139" t="str">
        <f aca="false">IF(ISBLANK($C367),"",IF($CD367=Constants!$B$9,COUNTA($C$9:$C$508)+2,IF($CD367=Constants!$B$8,COUNTA($C$9:$C$508)+1,IF($CD367=Constants!$B$7,COUNTA($C$9:$C$508),$CD367))))</f>
        <v/>
      </c>
      <c r="CF367" s="9"/>
      <c r="CG367" s="140" t="n">
        <f aca="false">IF(OR(ISNUMBER($CD367),$CD367=Constants!$B$9,$CD367=Constants!$B$7,$CD367=Constants!$B$8),1,0)</f>
        <v>0</v>
      </c>
      <c r="CH367" s="140" t="n">
        <v>359</v>
      </c>
      <c r="CI367" s="140" t="str">
        <f aca="false">IF(ISBLANK($C367),"",IF(ISNUMBER($CE367),$CE367+ROW($B367)/1000,""))</f>
        <v/>
      </c>
      <c r="CJ367" s="140" t="str">
        <f aca="false">IF(ISNUMBER($CI367),RANK($CI367,$CI$9:$CI$508,1),"")</f>
        <v/>
      </c>
      <c r="CK367" s="140" t="str">
        <f aca="false">IF(ISBLANK($C367),"",$B367)</f>
        <v/>
      </c>
      <c r="CL367" s="140" t="str">
        <f aca="false">IF(ISBLANK($C367),"",$C367)</f>
        <v/>
      </c>
      <c r="CM367" s="140" t="str">
        <f aca="false">IF(ISBLANK($C367),"",$D367)</f>
        <v/>
      </c>
      <c r="CN367" s="141" t="str">
        <f aca="false">$CB367</f>
        <v/>
      </c>
      <c r="CO367" s="142" t="str">
        <f aca="false">$CA367</f>
        <v/>
      </c>
      <c r="CP367" s="140" t="str">
        <f aca="false">IF(ISBLANK($C367),"",$CD367)</f>
        <v/>
      </c>
      <c r="CQ367" s="143" t="str">
        <f aca="false">IF($CH367&gt;$CG$8,"",VLOOKUP($CH367,$CJ$9:$CP$508,7,FALSE()))</f>
        <v/>
      </c>
      <c r="CR367" s="144" t="str">
        <f aca="false">IF($CH367&gt;$CG$8,"",VLOOKUP($CH367,$CJ$9:$CP$508,2,FALSE()))</f>
        <v/>
      </c>
      <c r="CS367" s="144" t="str">
        <f aca="false">IF($CH367&gt;$CG$8,"",VLOOKUP($CH367,$CJ$9:$CP$508,3,FALSE()))</f>
        <v/>
      </c>
      <c r="CT367" s="144" t="str">
        <f aca="false">IF($CH367&gt;$CG$8,"",VLOOKUP($CH367,$CJ$9:$CP$508,4,FALSE()))</f>
        <v/>
      </c>
      <c r="CU367" s="144" t="str">
        <f aca="false">IF($CH367&gt;$CG$8,"",VLOOKUP($CH367,$CJ$9:$CP$508,5,FALSE()))</f>
        <v/>
      </c>
      <c r="CV367" s="145" t="str">
        <f aca="false">IF($CH367&gt;$CG$8,"",VLOOKUP($CH367,$CJ$9:$CP$508,6,FALSE()))</f>
        <v/>
      </c>
      <c r="CW367" s="71"/>
    </row>
    <row r="368" customFormat="false" ht="15.75" hidden="false" customHeight="false" outlineLevel="0" collapsed="false">
      <c r="A368" s="9"/>
      <c r="B368" s="150"/>
      <c r="C368" s="151"/>
      <c r="D368" s="152"/>
      <c r="E368" s="170"/>
      <c r="F368" s="154"/>
      <c r="G368" s="155"/>
      <c r="H368" s="171"/>
      <c r="I368" s="159"/>
      <c r="J368" s="120"/>
      <c r="K368" s="121"/>
      <c r="L368" s="122"/>
      <c r="M368" s="158"/>
      <c r="N368" s="159"/>
      <c r="O368" s="159"/>
      <c r="P368" s="120"/>
      <c r="Q368" s="122"/>
      <c r="R368" s="122"/>
      <c r="S368" s="158"/>
      <c r="T368" s="159"/>
      <c r="U368" s="126"/>
      <c r="V368" s="127"/>
      <c r="W368" s="127" t="str">
        <f aca="false">IF(ISBLANK($C368),"",IF(E368=Constants!$B$2,TRUE(),IF(E368=Constants!$B$3,FALSE(),TRUE())))</f>
        <v/>
      </c>
      <c r="X368" s="127" t="str">
        <f aca="false">IF(ISBLANK($C368),"",IF(F368=Constants!$B$2,TRUE(),IF(F368=Constants!$B$3,FALSE(),TRUE())))</f>
        <v/>
      </c>
      <c r="Y368" s="127" t="str">
        <f aca="false">IF(ISBLANK($C368),"",IF(G368=Constants!$B$2,TRUE(),IF(G368=Constants!$B$3,FALSE(),TRUE())))</f>
        <v/>
      </c>
      <c r="Z368" s="127" t="str">
        <f aca="false">IF(ISBLANK($C368),"",IF(H368=Constants!$B$2,TRUE(),IF(H368=Constants!$B$3,FALSE(),TRUE())))</f>
        <v/>
      </c>
      <c r="AA368" s="127" t="str">
        <f aca="false">IF(ISBLANK($C368),"",IF(I368=Constants!$B$2,TRUE(),IF(I368=Constants!$B$3,FALSE(),TRUE())))</f>
        <v/>
      </c>
      <c r="AB368" s="127" t="str">
        <f aca="false">IF(ISBLANK($C368),"",IF(J368=Constants!$B$4,TRUE(),IF(J368=Constants!$B$5,FALSE(),COUNTA(K368:M368)&gt;0)))</f>
        <v/>
      </c>
      <c r="AC368" s="128" t="str">
        <f aca="false">IF(ISBLANK($C368),"",IF(ISNUMBER(K368),IF(K368&gt;=0,K368,""),""))</f>
        <v/>
      </c>
      <c r="AD368" s="129" t="str">
        <f aca="false">IF(ISBLANK($C368),"",IF(ISNUMBER(L368),IF(L368&gt;=0,L368,""),""))</f>
        <v/>
      </c>
      <c r="AE368" s="127" t="str">
        <f aca="false">IF(ISBLANK($C368),"",IF(ISNUMBER(M368),IF(M368&gt;=0,MIN(M368,Constants!$B$22),""),""))</f>
        <v/>
      </c>
      <c r="AF368" s="127" t="str">
        <f aca="false">IF(ISBLANK($C368),"",IF(N368=Constants!$B$2,TRUE(),IF(N368=Constants!$B$3,FALSE(),TRUE())))</f>
        <v/>
      </c>
      <c r="AG368" s="127" t="str">
        <f aca="false">IF(ISBLANK($C368),"",IF(O368=Constants!$B$2,TRUE(),IF(O368=Constants!$B$3,FALSE(),TRUE())))</f>
        <v/>
      </c>
      <c r="AH368" s="127" t="str">
        <f aca="false">IF(ISBLANK($C368),"",IF(P368=Constants!$B$4,TRUE(),IF(P368=Constants!$B$5,FALSE(),COUNTA(Q368:S368)&gt;0)))</f>
        <v/>
      </c>
      <c r="AI368" s="128" t="str">
        <f aca="false">IF(ISBLANK($C368),"",IF(ISNUMBER(Q368),IF(Q368&gt;=0,Q368,""),""))</f>
        <v/>
      </c>
      <c r="AJ368" s="129" t="str">
        <f aca="false">IF(ISBLANK($C368),"",IF(ISNUMBER(R368),IF(R368&gt;=0,R368,""),""))</f>
        <v/>
      </c>
      <c r="AK368" s="127" t="str">
        <f aca="false">IF(ISBLANK($C368),"",IF(ISNUMBER(S368),IF(S368&gt;=0,MIN(S368,Constants!$B$22),""),""))</f>
        <v/>
      </c>
      <c r="AL368" s="127" t="str">
        <f aca="false">IF(ISBLANK($C368),"",IF(T368=Constants!$B$2,TRUE(),IF(T368=Constants!$B$3,FALSE(),FALSE())))</f>
        <v/>
      </c>
      <c r="AM368" s="126" t="str">
        <f aca="false">IF(ISBLANK($C368),"",AND($AB368,OR($AC368="",$AD368="",AND(NOT(ISBLANK($M368)),$AE368=""))))</f>
        <v/>
      </c>
      <c r="AN368" s="129" t="str">
        <f aca="false">IF($BD368&lt;&gt;Constants!$B$6,"",IF($AB368,Constants!$B$17*$AD368,Constants!$B$18))</f>
        <v/>
      </c>
      <c r="AO368" s="130" t="str">
        <f aca="false">IF($BD368&lt;&gt;Constants!$B$6,"",Constants!$B$19*IF($AB368,$AC368,0))</f>
        <v/>
      </c>
      <c r="AP368" s="130" t="str">
        <f aca="false">IF($BD368&lt;&gt;Constants!$B$6,"",IF(AND($AB368,ISNUMBER($AE368)),Constants!$B$20*(Constants!$B$21-$AE368),0))</f>
        <v/>
      </c>
      <c r="AQ368" s="130" t="str">
        <f aca="false">IF($BD368&lt;&gt;Constants!$B$6,"",IF($AA368,0,Constants!$B$12)+IF($Z368,0,Constants!$B$13)+IF($Y368,0,Constants!$B$14))</f>
        <v/>
      </c>
      <c r="AR368" s="131" t="str">
        <f aca="false">IF($BD368&lt;&gt;Constants!$B$6,"",Constants!$B$16+SUM($AN368:$AQ368))</f>
        <v/>
      </c>
      <c r="AS368" s="130" t="str">
        <f aca="false">IF($BD368&lt;&gt;Constants!$B$6,"",IF($AB368,$AD368,""))</f>
        <v/>
      </c>
      <c r="AT368" s="132" t="str">
        <f aca="false">IF($BD368&lt;&gt;Constants!$B$6,"",$AO368)</f>
        <v/>
      </c>
      <c r="AU368" s="127" t="str">
        <f aca="false">IF($BD368&lt;&gt;Constants!$B$6,"",IF(OR($BA368&lt;$AR368,AND($BA368=$AR368,OR(AND(ISNUMBER($BB368),OR(NOT(ISNUMBER($AS368)),$BB368&lt;$AS368)),AND(OR(AND($BB368="",$AS368=""),AND(ISNUMBER($BB368),ISNUMBER($AS368),$BB368=$AS368)),$BC368&lt;$AT368)))),"-&gt;","&lt;-"))</f>
        <v/>
      </c>
      <c r="AV368" s="126" t="str">
        <f aca="false">IF(ISBLANK($C368),"",AND($AH368,OR($AI368="",$AJ368="",AND(NOT(ISBLANK($S368)),$AK368=""))))</f>
        <v/>
      </c>
      <c r="AW368" s="129" t="str">
        <f aca="false">IF($BD368&lt;&gt;Constants!$B$6,"",IF($AH368,Constants!$B$17*$AJ368,Constants!$B$18))</f>
        <v/>
      </c>
      <c r="AX368" s="130" t="str">
        <f aca="false">IF($BD368&lt;&gt;Constants!$B$6,"",Constants!$B$19*IF($AH368,$AI368,0))</f>
        <v/>
      </c>
      <c r="AY368" s="130" t="str">
        <f aca="false">IF($BD368&lt;&gt;Constants!$B$6,"",IF(AND($AH368,ISNUMBER($AK368)),Constants!$B$20*(Constants!$B$21-$AK368),0))</f>
        <v/>
      </c>
      <c r="AZ368" s="130" t="str">
        <f aca="false">IF($BD368&lt;&gt;Constants!$B$6,"",IF($AG368,0,Constants!$B$12)+IF($AF368,0,Constants!$B$13)+IF($Y368,0,Constants!$B$14))</f>
        <v/>
      </c>
      <c r="BA368" s="131" t="str">
        <f aca="false">IF($BD368&lt;&gt;Constants!$B$6,"",Constants!$B$16+SUM($AW368:$AZ368))</f>
        <v/>
      </c>
      <c r="BB368" s="130" t="str">
        <f aca="false">IF($BD368&lt;&gt;Constants!$B$6,"",IF($AH368,$AJ368,""))</f>
        <v/>
      </c>
      <c r="BC368" s="132" t="str">
        <f aca="false">IF($BD368&lt;&gt;Constants!$B$6,"",$AX368)</f>
        <v/>
      </c>
      <c r="BD368" s="127" t="str">
        <f aca="false">IF(ISBLANK($C368),"",IF($AL368,Constants!$B$9,IF(COUNTA($E368:$T368)=0,Constants!$B$8,IF(NOT($X368),Constants!$B$7,IF(OR($AM368,$AV368),Constants!$B$10,Constants!$B$6)))))</f>
        <v/>
      </c>
      <c r="BE368" s="127" t="str">
        <f aca="false">IF(ISBLANK($C368),"",IF($BD368&lt;&gt;Constants!$B$6,$BD368,Constants!$B$11))</f>
        <v/>
      </c>
      <c r="BF368" s="130" t="str">
        <f aca="false">IF($BD368&lt;&gt;Constants!$B$6,"",IF($AU368="-&gt;",$BA368,$AR368))</f>
        <v/>
      </c>
      <c r="BG368" s="130" t="str">
        <f aca="false">IF($BD368&lt;&gt;Constants!$B$6,"",IF($W368,0,Constants!$B$15))</f>
        <v/>
      </c>
      <c r="BH368" s="130" t="str">
        <f aca="false">IF(ISBLANK($C368),"",IF($BD368&lt;&gt;Constants!$B$6,$BD368,SUM($BF368:$BG368)))</f>
        <v/>
      </c>
      <c r="BI368" s="127" t="str">
        <f aca="false">IF(ISBLANK($C368),"",IF($BD368&lt;&gt;Constants!$B$6,$BD368,RANK($BH368,$BH$9:$BH$508,1)))</f>
        <v/>
      </c>
      <c r="BJ368" s="130" t="str">
        <f aca="false">IF($BD368&lt;&gt;Constants!$B$6,"",IF($AU368="-&gt;",$BB368,$AS368))</f>
        <v/>
      </c>
      <c r="BK368" s="127" t="str">
        <f aca="false">IF(ISBLANK($C368),"",IF($BD368&lt;&gt;Constants!$B$6,$BD368,IF(ISNUMBER($BJ368),RANK($BJ368,$BJ$9:$BJ$508,1),COUNT($BJ$9:$BJ$508)+1)))</f>
        <v/>
      </c>
      <c r="BL368" s="130" t="str">
        <f aca="false">IF($BD368&lt;&gt;Constants!$B$6,"",IF($AU368="-&gt;",$BC368,$AT368))</f>
        <v/>
      </c>
      <c r="BM368" s="127" t="str">
        <f aca="false">IF(ISBLANK($C368),"",IF($BD368&lt;&gt;Constants!$B$6,$BD368,IF(ISNUMBER($BL368),RANK($BL368,$BL$9:$BL$508,1),COUNT($BL$9:$BL$508)+1)))</f>
        <v/>
      </c>
      <c r="BN368" s="130" t="str">
        <f aca="false">IF($BD368&lt;&gt;Constants!$B$6,"",IF($AU368="-&gt;",$AS368,$BB368))</f>
        <v/>
      </c>
      <c r="BO368" s="127" t="str">
        <f aca="false">IF(ISBLANK($C368),"",IF($BD368&lt;&gt;Constants!$B$6,$BD368,IF(ISNUMBER($BN368),RANK($BN368,$BN$9:$BN$508,1),COUNT($BN$9:$BN$508)+1)))</f>
        <v/>
      </c>
      <c r="BP368" s="130" t="str">
        <f aca="false">IF($BD368&lt;&gt;Constants!$B$6,"",IF($AU368="-&gt;",$AT368,$BC368))</f>
        <v/>
      </c>
      <c r="BQ368" s="127" t="str">
        <f aca="false">IF(ISBLANK($C368),"",IF($BD368&lt;&gt;Constants!$B$6,$BD368,IF(ISNUMBER($BP368),RANK($BP368,$BP$9:$BP$508,1),COUNT($BP$9:$BP$508)+1)))</f>
        <v/>
      </c>
      <c r="BR368" s="127" t="str">
        <f aca="false">IF(ISBLANK($C368),"",IF($BD368&lt;&gt;Constants!$B$6,$BD368,COUNTIFS($BI$9:$BI$508,"&lt;"&amp;$BI368)+COUNTIFS($BI$9:$BI$508,$BI368,$BK$9:$BK$508,"&lt;"&amp;$BK368)+COUNTIFS($BI$9:$BI$508,$BI368,$BK$9:$BK$508,$BK368,$BM$9:$BM$508,"&lt;"&amp;$BM368)+COUNTIFS($BI$9:$BI$508,$BI368,$BK$9:$BK$508,$BK368,$BM$9:$BM$508,$BM368,$BO$9:$BO$508,"&lt;"&amp;$BO368)+COUNTIFS($BI$9:$BI$508,$BI368,$BK$9:$BK$508,$BK368,$BM$9:$BM$508,$BM368,$BO$9:$BO$508,$BO368,$BQ$9:$BQ$508,"&lt;"&amp;$BQ368)+1))</f>
        <v/>
      </c>
      <c r="BS368" s="127" t="str">
        <f aca="false">IF(ISBLANK($C368),"",IF($BD368&lt;&gt;Constants!$B$6,$BD368,$BI368-$BR368))</f>
        <v/>
      </c>
      <c r="BT368" s="133"/>
      <c r="BU368" s="134"/>
      <c r="BV368" s="134" t="str">
        <f aca="false">IF(ISBLANK($C368),"",IF($BD368&lt;&gt;Constants!$B$6,"",IF($AU368="-&gt;",2,1)))</f>
        <v/>
      </c>
      <c r="BW368" s="135" t="str">
        <f aca="false">IF(ISBLANK($C368),"",IF($BD368&lt;&gt;Constants!$B$6,"",IF($AU368="-&gt;",$AW368,$AN368)))</f>
        <v/>
      </c>
      <c r="BX368" s="135" t="str">
        <f aca="false">IF(ISBLANK($C368),"",IF($BD368&lt;&gt;Constants!$B$6,"",IF($AU368="-&gt;",$AX368,$AO368)))</f>
        <v/>
      </c>
      <c r="BY368" s="135" t="str">
        <f aca="false">IF(ISBLANK($C368),"",IF($BD368&lt;&gt;Constants!$B$6,"",IF($AU368="-&gt;",$AY368,$AP368)))</f>
        <v/>
      </c>
      <c r="BZ368" s="135" t="str">
        <f aca="false">IF(ISBLANK($C368),"",IF($BD368&lt;&gt;Constants!$B$6,"",IF($AU368="-&gt;",$AZ368,$AQ368)+$BG368))</f>
        <v/>
      </c>
      <c r="CA368" s="136" t="str">
        <f aca="false">IF(ISBLANK($C368),"",IF($BD368&lt;&gt;Constants!$B$6,$BD368,$BH368))</f>
        <v/>
      </c>
      <c r="CB368" s="137" t="str">
        <f aca="false">IF(ISBLANK($C368),"",$BE368)</f>
        <v/>
      </c>
      <c r="CC368" s="138" t="str">
        <f aca="false">IF(ISBLANK($C368),"",$BS368)</f>
        <v/>
      </c>
      <c r="CD368" s="138" t="str">
        <f aca="false">IF(ISBLANK($C368),"",$BR368)</f>
        <v/>
      </c>
      <c r="CE368" s="139" t="str">
        <f aca="false">IF(ISBLANK($C368),"",IF($CD368=Constants!$B$9,COUNTA($C$9:$C$508)+2,IF($CD368=Constants!$B$8,COUNTA($C$9:$C$508)+1,IF($CD368=Constants!$B$7,COUNTA($C$9:$C$508),$CD368))))</f>
        <v/>
      </c>
      <c r="CF368" s="9"/>
      <c r="CG368" s="140" t="n">
        <f aca="false">IF(OR(ISNUMBER($CD368),$CD368=Constants!$B$9,$CD368=Constants!$B$7,$CD368=Constants!$B$8),1,0)</f>
        <v>0</v>
      </c>
      <c r="CH368" s="140" t="n">
        <v>360</v>
      </c>
      <c r="CI368" s="140" t="str">
        <f aca="false">IF(ISBLANK($C368),"",IF(ISNUMBER($CE368),$CE368+ROW($B368)/1000,""))</f>
        <v/>
      </c>
      <c r="CJ368" s="140" t="str">
        <f aca="false">IF(ISNUMBER($CI368),RANK($CI368,$CI$9:$CI$508,1),"")</f>
        <v/>
      </c>
      <c r="CK368" s="140" t="str">
        <f aca="false">IF(ISBLANK($C368),"",$B368)</f>
        <v/>
      </c>
      <c r="CL368" s="140" t="str">
        <f aca="false">IF(ISBLANK($C368),"",$C368)</f>
        <v/>
      </c>
      <c r="CM368" s="140" t="str">
        <f aca="false">IF(ISBLANK($C368),"",$D368)</f>
        <v/>
      </c>
      <c r="CN368" s="141" t="str">
        <f aca="false">$CB368</f>
        <v/>
      </c>
      <c r="CO368" s="142" t="str">
        <f aca="false">$CA368</f>
        <v/>
      </c>
      <c r="CP368" s="140" t="str">
        <f aca="false">IF(ISBLANK($C368),"",$CD368)</f>
        <v/>
      </c>
      <c r="CQ368" s="143" t="str">
        <f aca="false">IF($CH368&gt;$CG$8,"",VLOOKUP($CH368,$CJ$9:$CP$508,7,FALSE()))</f>
        <v/>
      </c>
      <c r="CR368" s="144" t="str">
        <f aca="false">IF($CH368&gt;$CG$8,"",VLOOKUP($CH368,$CJ$9:$CP$508,2,FALSE()))</f>
        <v/>
      </c>
      <c r="CS368" s="144" t="str">
        <f aca="false">IF($CH368&gt;$CG$8,"",VLOOKUP($CH368,$CJ$9:$CP$508,3,FALSE()))</f>
        <v/>
      </c>
      <c r="CT368" s="144" t="str">
        <f aca="false">IF($CH368&gt;$CG$8,"",VLOOKUP($CH368,$CJ$9:$CP$508,4,FALSE()))</f>
        <v/>
      </c>
      <c r="CU368" s="144" t="str">
        <f aca="false">IF($CH368&gt;$CG$8,"",VLOOKUP($CH368,$CJ$9:$CP$508,5,FALSE()))</f>
        <v/>
      </c>
      <c r="CV368" s="145" t="str">
        <f aca="false">IF($CH368&gt;$CG$8,"",VLOOKUP($CH368,$CJ$9:$CP$508,6,FALSE()))</f>
        <v/>
      </c>
      <c r="CW368" s="71"/>
    </row>
    <row r="369" customFormat="false" ht="15.75" hidden="false" customHeight="false" outlineLevel="0" collapsed="false">
      <c r="A369" s="9"/>
      <c r="B369" s="72"/>
      <c r="C369" s="73"/>
      <c r="D369" s="160"/>
      <c r="E369" s="168"/>
      <c r="F369" s="162"/>
      <c r="G369" s="163"/>
      <c r="H369" s="169"/>
      <c r="I369" s="167"/>
      <c r="J369" s="80"/>
      <c r="K369" s="81"/>
      <c r="L369" s="82"/>
      <c r="M369" s="166"/>
      <c r="N369" s="167"/>
      <c r="O369" s="167"/>
      <c r="P369" s="80"/>
      <c r="Q369" s="82"/>
      <c r="R369" s="82"/>
      <c r="S369" s="166"/>
      <c r="T369" s="167"/>
      <c r="U369" s="86"/>
      <c r="V369" s="87"/>
      <c r="W369" s="87" t="str">
        <f aca="false">IF(ISBLANK($C369),"",IF(E369=Constants!$B$2,TRUE(),IF(E369=Constants!$B$3,FALSE(),TRUE())))</f>
        <v/>
      </c>
      <c r="X369" s="87" t="str">
        <f aca="false">IF(ISBLANK($C369),"",IF(F369=Constants!$B$2,TRUE(),IF(F369=Constants!$B$3,FALSE(),TRUE())))</f>
        <v/>
      </c>
      <c r="Y369" s="87" t="str">
        <f aca="false">IF(ISBLANK($C369),"",IF(G369=Constants!$B$2,TRUE(),IF(G369=Constants!$B$3,FALSE(),TRUE())))</f>
        <v/>
      </c>
      <c r="Z369" s="87" t="str">
        <f aca="false">IF(ISBLANK($C369),"",IF(H369=Constants!$B$2,TRUE(),IF(H369=Constants!$B$3,FALSE(),TRUE())))</f>
        <v/>
      </c>
      <c r="AA369" s="87" t="str">
        <f aca="false">IF(ISBLANK($C369),"",IF(I369=Constants!$B$2,TRUE(),IF(I369=Constants!$B$3,FALSE(),TRUE())))</f>
        <v/>
      </c>
      <c r="AB369" s="87" t="str">
        <f aca="false">IF(ISBLANK($C369),"",IF(J369=Constants!$B$4,TRUE(),IF(J369=Constants!$B$5,FALSE(),COUNTA(K369:M369)&gt;0)))</f>
        <v/>
      </c>
      <c r="AC369" s="88" t="str">
        <f aca="false">IF(ISBLANK($C369),"",IF(ISNUMBER(K369),IF(K369&gt;=0,K369,""),""))</f>
        <v/>
      </c>
      <c r="AD369" s="89" t="str">
        <f aca="false">IF(ISBLANK($C369),"",IF(ISNUMBER(L369),IF(L369&gt;=0,L369,""),""))</f>
        <v/>
      </c>
      <c r="AE369" s="87" t="str">
        <f aca="false">IF(ISBLANK($C369),"",IF(ISNUMBER(M369),IF(M369&gt;=0,MIN(M369,Constants!$B$22),""),""))</f>
        <v/>
      </c>
      <c r="AF369" s="87" t="str">
        <f aca="false">IF(ISBLANK($C369),"",IF(N369=Constants!$B$2,TRUE(),IF(N369=Constants!$B$3,FALSE(),TRUE())))</f>
        <v/>
      </c>
      <c r="AG369" s="87" t="str">
        <f aca="false">IF(ISBLANK($C369),"",IF(O369=Constants!$B$2,TRUE(),IF(O369=Constants!$B$3,FALSE(),TRUE())))</f>
        <v/>
      </c>
      <c r="AH369" s="87" t="str">
        <f aca="false">IF(ISBLANK($C369),"",IF(P369=Constants!$B$4,TRUE(),IF(P369=Constants!$B$5,FALSE(),COUNTA(Q369:S369)&gt;0)))</f>
        <v/>
      </c>
      <c r="AI369" s="88" t="str">
        <f aca="false">IF(ISBLANK($C369),"",IF(ISNUMBER(Q369),IF(Q369&gt;=0,Q369,""),""))</f>
        <v/>
      </c>
      <c r="AJ369" s="89" t="str">
        <f aca="false">IF(ISBLANK($C369),"",IF(ISNUMBER(R369),IF(R369&gt;=0,R369,""),""))</f>
        <v/>
      </c>
      <c r="AK369" s="87" t="str">
        <f aca="false">IF(ISBLANK($C369),"",IF(ISNUMBER(S369),IF(S369&gt;=0,MIN(S369,Constants!$B$22),""),""))</f>
        <v/>
      </c>
      <c r="AL369" s="87" t="str">
        <f aca="false">IF(ISBLANK($C369),"",IF(T369=Constants!$B$2,TRUE(),IF(T369=Constants!$B$3,FALSE(),FALSE())))</f>
        <v/>
      </c>
      <c r="AM369" s="86" t="str">
        <f aca="false">IF(ISBLANK($C369),"",AND($AB369,OR($AC369="",$AD369="",AND(NOT(ISBLANK($M369)),$AE369=""))))</f>
        <v/>
      </c>
      <c r="AN369" s="89" t="str">
        <f aca="false">IF($BD369&lt;&gt;Constants!$B$6,"",IF($AB369,Constants!$B$17*$AD369,Constants!$B$18))</f>
        <v/>
      </c>
      <c r="AO369" s="91" t="str">
        <f aca="false">IF($BD369&lt;&gt;Constants!$B$6,"",Constants!$B$19*IF($AB369,$AC369,0))</f>
        <v/>
      </c>
      <c r="AP369" s="91" t="str">
        <f aca="false">IF($BD369&lt;&gt;Constants!$B$6,"",IF(AND($AB369,ISNUMBER($AE369)),Constants!$B$20*(Constants!$B$21-$AE369),0))</f>
        <v/>
      </c>
      <c r="AQ369" s="91" t="str">
        <f aca="false">IF($BD369&lt;&gt;Constants!$B$6,"",IF($AA369,0,Constants!$B$12)+IF($Z369,0,Constants!$B$13)+IF($Y369,0,Constants!$B$14))</f>
        <v/>
      </c>
      <c r="AR369" s="92" t="str">
        <f aca="false">IF($BD369&lt;&gt;Constants!$B$6,"",Constants!$B$16+SUM($AN369:$AQ369))</f>
        <v/>
      </c>
      <c r="AS369" s="91" t="str">
        <f aca="false">IF($BD369&lt;&gt;Constants!$B$6,"",IF($AB369,$AD369,""))</f>
        <v/>
      </c>
      <c r="AT369" s="93" t="str">
        <f aca="false">IF($BD369&lt;&gt;Constants!$B$6,"",$AO369)</f>
        <v/>
      </c>
      <c r="AU369" s="87" t="str">
        <f aca="false">IF($BD369&lt;&gt;Constants!$B$6,"",IF(OR($BA369&lt;$AR369,AND($BA369=$AR369,OR(AND(ISNUMBER($BB369),OR(NOT(ISNUMBER($AS369)),$BB369&lt;$AS369)),AND(OR(AND($BB369="",$AS369=""),AND(ISNUMBER($BB369),ISNUMBER($AS369),$BB369=$AS369)),$BC369&lt;$AT369)))),"-&gt;","&lt;-"))</f>
        <v/>
      </c>
      <c r="AV369" s="86" t="str">
        <f aca="false">IF(ISBLANK($C369),"",AND($AH369,OR($AI369="",$AJ369="",AND(NOT(ISBLANK($S369)),$AK369=""))))</f>
        <v/>
      </c>
      <c r="AW369" s="89" t="str">
        <f aca="false">IF($BD369&lt;&gt;Constants!$B$6,"",IF($AH369,Constants!$B$17*$AJ369,Constants!$B$18))</f>
        <v/>
      </c>
      <c r="AX369" s="91" t="str">
        <f aca="false">IF($BD369&lt;&gt;Constants!$B$6,"",Constants!$B$19*IF($AH369,$AI369,0))</f>
        <v/>
      </c>
      <c r="AY369" s="91" t="str">
        <f aca="false">IF($BD369&lt;&gt;Constants!$B$6,"",IF(AND($AH369,ISNUMBER($AK369)),Constants!$B$20*(Constants!$B$21-$AK369),0))</f>
        <v/>
      </c>
      <c r="AZ369" s="91" t="str">
        <f aca="false">IF($BD369&lt;&gt;Constants!$B$6,"",IF($AG369,0,Constants!$B$12)+IF($AF369,0,Constants!$B$13)+IF($Y369,0,Constants!$B$14))</f>
        <v/>
      </c>
      <c r="BA369" s="92" t="str">
        <f aca="false">IF($BD369&lt;&gt;Constants!$B$6,"",Constants!$B$16+SUM($AW369:$AZ369))</f>
        <v/>
      </c>
      <c r="BB369" s="91" t="str">
        <f aca="false">IF($BD369&lt;&gt;Constants!$B$6,"",IF($AH369,$AJ369,""))</f>
        <v/>
      </c>
      <c r="BC369" s="93" t="str">
        <f aca="false">IF($BD369&lt;&gt;Constants!$B$6,"",$AX369)</f>
        <v/>
      </c>
      <c r="BD369" s="87" t="str">
        <f aca="false">IF(ISBLANK($C369),"",IF($AL369,Constants!$B$9,IF(COUNTA($E369:$T369)=0,Constants!$B$8,IF(NOT($X369),Constants!$B$7,IF(OR($AM369,$AV369),Constants!$B$10,Constants!$B$6)))))</f>
        <v/>
      </c>
      <c r="BE369" s="87" t="str">
        <f aca="false">IF(ISBLANK($C369),"",IF($BD369&lt;&gt;Constants!$B$6,$BD369,Constants!$B$11))</f>
        <v/>
      </c>
      <c r="BF369" s="91" t="str">
        <f aca="false">IF($BD369&lt;&gt;Constants!$B$6,"",IF($AU369="-&gt;",$BA369,$AR369))</f>
        <v/>
      </c>
      <c r="BG369" s="91" t="str">
        <f aca="false">IF($BD369&lt;&gt;Constants!$B$6,"",IF($W369,0,Constants!$B$15))</f>
        <v/>
      </c>
      <c r="BH369" s="91" t="str">
        <f aca="false">IF(ISBLANK($C369),"",IF($BD369&lt;&gt;Constants!$B$6,$BD369,SUM($BF369:$BG369)))</f>
        <v/>
      </c>
      <c r="BI369" s="87" t="str">
        <f aca="false">IF(ISBLANK($C369),"",IF($BD369&lt;&gt;Constants!$B$6,$BD369,RANK($BH369,$BH$9:$BH$508,1)))</f>
        <v/>
      </c>
      <c r="BJ369" s="91" t="str">
        <f aca="false">IF($BD369&lt;&gt;Constants!$B$6,"",IF($AU369="-&gt;",$BB369,$AS369))</f>
        <v/>
      </c>
      <c r="BK369" s="87" t="str">
        <f aca="false">IF(ISBLANK($C369),"",IF($BD369&lt;&gt;Constants!$B$6,$BD369,IF(ISNUMBER($BJ369),RANK($BJ369,$BJ$9:$BJ$508,1),COUNT($BJ$9:$BJ$508)+1)))</f>
        <v/>
      </c>
      <c r="BL369" s="91" t="str">
        <f aca="false">IF($BD369&lt;&gt;Constants!$B$6,"",IF($AU369="-&gt;",$BC369,$AT369))</f>
        <v/>
      </c>
      <c r="BM369" s="87" t="str">
        <f aca="false">IF(ISBLANK($C369),"",IF($BD369&lt;&gt;Constants!$B$6,$BD369,IF(ISNUMBER($BL369),RANK($BL369,$BL$9:$BL$508,1),COUNT($BL$9:$BL$508)+1)))</f>
        <v/>
      </c>
      <c r="BN369" s="91" t="str">
        <f aca="false">IF($BD369&lt;&gt;Constants!$B$6,"",IF($AU369="-&gt;",$AS369,$BB369))</f>
        <v/>
      </c>
      <c r="BO369" s="87" t="str">
        <f aca="false">IF(ISBLANK($C369),"",IF($BD369&lt;&gt;Constants!$B$6,$BD369,IF(ISNUMBER($BN369),RANK($BN369,$BN$9:$BN$508,1),COUNT($BN$9:$BN$508)+1)))</f>
        <v/>
      </c>
      <c r="BP369" s="91" t="str">
        <f aca="false">IF($BD369&lt;&gt;Constants!$B$6,"",IF($AU369="-&gt;",$AT369,$BC369))</f>
        <v/>
      </c>
      <c r="BQ369" s="87" t="str">
        <f aca="false">IF(ISBLANK($C369),"",IF($BD369&lt;&gt;Constants!$B$6,$BD369,IF(ISNUMBER($BP369),RANK($BP369,$BP$9:$BP$508,1),COUNT($BP$9:$BP$508)+1)))</f>
        <v/>
      </c>
      <c r="BR369" s="87" t="str">
        <f aca="false">IF(ISBLANK($C369),"",IF($BD369&lt;&gt;Constants!$B$6,$BD369,COUNTIFS($BI$9:$BI$508,"&lt;"&amp;$BI369)+COUNTIFS($BI$9:$BI$508,$BI369,$BK$9:$BK$508,"&lt;"&amp;$BK369)+COUNTIFS($BI$9:$BI$508,$BI369,$BK$9:$BK$508,$BK369,$BM$9:$BM$508,"&lt;"&amp;$BM369)+COUNTIFS($BI$9:$BI$508,$BI369,$BK$9:$BK$508,$BK369,$BM$9:$BM$508,$BM369,$BO$9:$BO$508,"&lt;"&amp;$BO369)+COUNTIFS($BI$9:$BI$508,$BI369,$BK$9:$BK$508,$BK369,$BM$9:$BM$508,$BM369,$BO$9:$BO$508,$BO369,$BQ$9:$BQ$508,"&lt;"&amp;$BQ369)+1))</f>
        <v/>
      </c>
      <c r="BS369" s="87" t="str">
        <f aca="false">IF(ISBLANK($C369),"",IF($BD369&lt;&gt;Constants!$B$6,$BD369,$BI369-$BR369))</f>
        <v/>
      </c>
      <c r="BT369" s="94"/>
      <c r="BU369" s="95"/>
      <c r="BV369" s="95" t="str">
        <f aca="false">IF(ISBLANK($C369),"",IF($BD369&lt;&gt;Constants!$B$6,"",IF($AU369="-&gt;",2,1)))</f>
        <v/>
      </c>
      <c r="BW369" s="96" t="str">
        <f aca="false">IF(ISBLANK($C369),"",IF($BD369&lt;&gt;Constants!$B$6,"",IF($AU369="-&gt;",$AW369,$AN369)))</f>
        <v/>
      </c>
      <c r="BX369" s="96" t="str">
        <f aca="false">IF(ISBLANK($C369),"",IF($BD369&lt;&gt;Constants!$B$6,"",IF($AU369="-&gt;",$AX369,$AO369)))</f>
        <v/>
      </c>
      <c r="BY369" s="96" t="str">
        <f aca="false">IF(ISBLANK($C369),"",IF($BD369&lt;&gt;Constants!$B$6,"",IF($AU369="-&gt;",$AY369,$AP369)))</f>
        <v/>
      </c>
      <c r="BZ369" s="96" t="str">
        <f aca="false">IF(ISBLANK($C369),"",IF($BD369&lt;&gt;Constants!$B$6,"",IF($AU369="-&gt;",$AZ369,$AQ369)+$BG369))</f>
        <v/>
      </c>
      <c r="CA369" s="97" t="str">
        <f aca="false">IF(ISBLANK($C369),"",IF($BD369&lt;&gt;Constants!$B$6,$BD369,$BH369))</f>
        <v/>
      </c>
      <c r="CB369" s="98" t="str">
        <f aca="false">IF(ISBLANK($C369),"",$BE369)</f>
        <v/>
      </c>
      <c r="CC369" s="99" t="str">
        <f aca="false">IF(ISBLANK($C369),"",$BS369)</f>
        <v/>
      </c>
      <c r="CD369" s="99" t="str">
        <f aca="false">IF(ISBLANK($C369),"",$BR369)</f>
        <v/>
      </c>
      <c r="CE369" s="100" t="str">
        <f aca="false">IF(ISBLANK($C369),"",IF($CD369=Constants!$B$9,COUNTA($C$9:$C$508)+2,IF($CD369=Constants!$B$8,COUNTA($C$9:$C$508)+1,IF($CD369=Constants!$B$7,COUNTA($C$9:$C$508),$CD369))))</f>
        <v/>
      </c>
      <c r="CF369" s="9"/>
      <c r="CG369" s="101" t="n">
        <f aca="false">IF(OR(ISNUMBER($CD369),$CD369=Constants!$B$9,$CD369=Constants!$B$7,$CD369=Constants!$B$8),1,0)</f>
        <v>0</v>
      </c>
      <c r="CH369" s="101" t="n">
        <v>361</v>
      </c>
      <c r="CI369" s="101" t="str">
        <f aca="false">IF(ISBLANK($C369),"",IF(ISNUMBER($CE369),$CE369+ROW($B369)/1000,""))</f>
        <v/>
      </c>
      <c r="CJ369" s="101" t="str">
        <f aca="false">IF(ISNUMBER($CI369),RANK($CI369,$CI$9:$CI$508,1),"")</f>
        <v/>
      </c>
      <c r="CK369" s="101" t="str">
        <f aca="false">IF(ISBLANK($C369),"",$B369)</f>
        <v/>
      </c>
      <c r="CL369" s="101" t="str">
        <f aca="false">IF(ISBLANK($C369),"",$C369)</f>
        <v/>
      </c>
      <c r="CM369" s="101" t="str">
        <f aca="false">IF(ISBLANK($C369),"",$D369)</f>
        <v/>
      </c>
      <c r="CN369" s="102" t="str">
        <f aca="false">$CB369</f>
        <v/>
      </c>
      <c r="CO369" s="103" t="str">
        <f aca="false">$CA369</f>
        <v/>
      </c>
      <c r="CP369" s="101" t="str">
        <f aca="false">IF(ISBLANK($C369),"",$CD369)</f>
        <v/>
      </c>
      <c r="CQ369" s="104" t="str">
        <f aca="false">IF($CH369&gt;$CG$8,"",VLOOKUP($CH369,$CJ$9:$CP$508,7,FALSE()))</f>
        <v/>
      </c>
      <c r="CR369" s="105" t="str">
        <f aca="false">IF($CH369&gt;$CG$8,"",VLOOKUP($CH369,$CJ$9:$CP$508,2,FALSE()))</f>
        <v/>
      </c>
      <c r="CS369" s="105" t="str">
        <f aca="false">IF($CH369&gt;$CG$8,"",VLOOKUP($CH369,$CJ$9:$CP$508,3,FALSE()))</f>
        <v/>
      </c>
      <c r="CT369" s="105" t="str">
        <f aca="false">IF($CH369&gt;$CG$8,"",VLOOKUP($CH369,$CJ$9:$CP$508,4,FALSE()))</f>
        <v/>
      </c>
      <c r="CU369" s="105" t="str">
        <f aca="false">IF($CH369&gt;$CG$8,"",VLOOKUP($CH369,$CJ$9:$CP$508,5,FALSE()))</f>
        <v/>
      </c>
      <c r="CV369" s="106" t="str">
        <f aca="false">IF($CH369&gt;$CG$8,"",VLOOKUP($CH369,$CJ$9:$CP$508,6,FALSE()))</f>
        <v/>
      </c>
      <c r="CW369" s="71"/>
    </row>
    <row r="370" customFormat="false" ht="15.75" hidden="false" customHeight="false" outlineLevel="0" collapsed="false">
      <c r="A370" s="9"/>
      <c r="B370" s="72"/>
      <c r="C370" s="73"/>
      <c r="D370" s="160"/>
      <c r="E370" s="168"/>
      <c r="F370" s="162"/>
      <c r="G370" s="163"/>
      <c r="H370" s="169"/>
      <c r="I370" s="167"/>
      <c r="J370" s="80"/>
      <c r="K370" s="81"/>
      <c r="L370" s="82"/>
      <c r="M370" s="166"/>
      <c r="N370" s="167"/>
      <c r="O370" s="167"/>
      <c r="P370" s="80"/>
      <c r="Q370" s="82"/>
      <c r="R370" s="82"/>
      <c r="S370" s="166"/>
      <c r="T370" s="167"/>
      <c r="U370" s="86"/>
      <c r="V370" s="87"/>
      <c r="W370" s="87" t="str">
        <f aca="false">IF(ISBLANK($C370),"",IF(E370=Constants!$B$2,TRUE(),IF(E370=Constants!$B$3,FALSE(),TRUE())))</f>
        <v/>
      </c>
      <c r="X370" s="87" t="str">
        <f aca="false">IF(ISBLANK($C370),"",IF(F370=Constants!$B$2,TRUE(),IF(F370=Constants!$B$3,FALSE(),TRUE())))</f>
        <v/>
      </c>
      <c r="Y370" s="87" t="str">
        <f aca="false">IF(ISBLANK($C370),"",IF(G370=Constants!$B$2,TRUE(),IF(G370=Constants!$B$3,FALSE(),TRUE())))</f>
        <v/>
      </c>
      <c r="Z370" s="87" t="str">
        <f aca="false">IF(ISBLANK($C370),"",IF(H370=Constants!$B$2,TRUE(),IF(H370=Constants!$B$3,FALSE(),TRUE())))</f>
        <v/>
      </c>
      <c r="AA370" s="87" t="str">
        <f aca="false">IF(ISBLANK($C370),"",IF(I370=Constants!$B$2,TRUE(),IF(I370=Constants!$B$3,FALSE(),TRUE())))</f>
        <v/>
      </c>
      <c r="AB370" s="87" t="str">
        <f aca="false">IF(ISBLANK($C370),"",IF(J370=Constants!$B$4,TRUE(),IF(J370=Constants!$B$5,FALSE(),COUNTA(K370:M370)&gt;0)))</f>
        <v/>
      </c>
      <c r="AC370" s="88" t="str">
        <f aca="false">IF(ISBLANK($C370),"",IF(ISNUMBER(K370),IF(K370&gt;=0,K370,""),""))</f>
        <v/>
      </c>
      <c r="AD370" s="89" t="str">
        <f aca="false">IF(ISBLANK($C370),"",IF(ISNUMBER(L370),IF(L370&gt;=0,L370,""),""))</f>
        <v/>
      </c>
      <c r="AE370" s="87" t="str">
        <f aca="false">IF(ISBLANK($C370),"",IF(ISNUMBER(M370),IF(M370&gt;=0,MIN(M370,Constants!$B$22),""),""))</f>
        <v/>
      </c>
      <c r="AF370" s="87" t="str">
        <f aca="false">IF(ISBLANK($C370),"",IF(N370=Constants!$B$2,TRUE(),IF(N370=Constants!$B$3,FALSE(),TRUE())))</f>
        <v/>
      </c>
      <c r="AG370" s="87" t="str">
        <f aca="false">IF(ISBLANK($C370),"",IF(O370=Constants!$B$2,TRUE(),IF(O370=Constants!$B$3,FALSE(),TRUE())))</f>
        <v/>
      </c>
      <c r="AH370" s="87" t="str">
        <f aca="false">IF(ISBLANK($C370),"",IF(P370=Constants!$B$4,TRUE(),IF(P370=Constants!$B$5,FALSE(),COUNTA(Q370:S370)&gt;0)))</f>
        <v/>
      </c>
      <c r="AI370" s="88" t="str">
        <f aca="false">IF(ISBLANK($C370),"",IF(ISNUMBER(Q370),IF(Q370&gt;=0,Q370,""),""))</f>
        <v/>
      </c>
      <c r="AJ370" s="89" t="str">
        <f aca="false">IF(ISBLANK($C370),"",IF(ISNUMBER(R370),IF(R370&gt;=0,R370,""),""))</f>
        <v/>
      </c>
      <c r="AK370" s="87" t="str">
        <f aca="false">IF(ISBLANK($C370),"",IF(ISNUMBER(S370),IF(S370&gt;=0,MIN(S370,Constants!$B$22),""),""))</f>
        <v/>
      </c>
      <c r="AL370" s="87" t="str">
        <f aca="false">IF(ISBLANK($C370),"",IF(T370=Constants!$B$2,TRUE(),IF(T370=Constants!$B$3,FALSE(),FALSE())))</f>
        <v/>
      </c>
      <c r="AM370" s="86" t="str">
        <f aca="false">IF(ISBLANK($C370),"",AND($AB370,OR($AC370="",$AD370="",AND(NOT(ISBLANK($M370)),$AE370=""))))</f>
        <v/>
      </c>
      <c r="AN370" s="89" t="str">
        <f aca="false">IF($BD370&lt;&gt;Constants!$B$6,"",IF($AB370,Constants!$B$17*$AD370,Constants!$B$18))</f>
        <v/>
      </c>
      <c r="AO370" s="91" t="str">
        <f aca="false">IF($BD370&lt;&gt;Constants!$B$6,"",Constants!$B$19*IF($AB370,$AC370,0))</f>
        <v/>
      </c>
      <c r="AP370" s="91" t="str">
        <f aca="false">IF($BD370&lt;&gt;Constants!$B$6,"",IF(AND($AB370,ISNUMBER($AE370)),Constants!$B$20*(Constants!$B$21-$AE370),0))</f>
        <v/>
      </c>
      <c r="AQ370" s="91" t="str">
        <f aca="false">IF($BD370&lt;&gt;Constants!$B$6,"",IF($AA370,0,Constants!$B$12)+IF($Z370,0,Constants!$B$13)+IF($Y370,0,Constants!$B$14))</f>
        <v/>
      </c>
      <c r="AR370" s="92" t="str">
        <f aca="false">IF($BD370&lt;&gt;Constants!$B$6,"",Constants!$B$16+SUM($AN370:$AQ370))</f>
        <v/>
      </c>
      <c r="AS370" s="91" t="str">
        <f aca="false">IF($BD370&lt;&gt;Constants!$B$6,"",IF($AB370,$AD370,""))</f>
        <v/>
      </c>
      <c r="AT370" s="93" t="str">
        <f aca="false">IF($BD370&lt;&gt;Constants!$B$6,"",$AO370)</f>
        <v/>
      </c>
      <c r="AU370" s="87" t="str">
        <f aca="false">IF($BD370&lt;&gt;Constants!$B$6,"",IF(OR($BA370&lt;$AR370,AND($BA370=$AR370,OR(AND(ISNUMBER($BB370),OR(NOT(ISNUMBER($AS370)),$BB370&lt;$AS370)),AND(OR(AND($BB370="",$AS370=""),AND(ISNUMBER($BB370),ISNUMBER($AS370),$BB370=$AS370)),$BC370&lt;$AT370)))),"-&gt;","&lt;-"))</f>
        <v/>
      </c>
      <c r="AV370" s="86" t="str">
        <f aca="false">IF(ISBLANK($C370),"",AND($AH370,OR($AI370="",$AJ370="",AND(NOT(ISBLANK($S370)),$AK370=""))))</f>
        <v/>
      </c>
      <c r="AW370" s="89" t="str">
        <f aca="false">IF($BD370&lt;&gt;Constants!$B$6,"",IF($AH370,Constants!$B$17*$AJ370,Constants!$B$18))</f>
        <v/>
      </c>
      <c r="AX370" s="91" t="str">
        <f aca="false">IF($BD370&lt;&gt;Constants!$B$6,"",Constants!$B$19*IF($AH370,$AI370,0))</f>
        <v/>
      </c>
      <c r="AY370" s="91" t="str">
        <f aca="false">IF($BD370&lt;&gt;Constants!$B$6,"",IF(AND($AH370,ISNUMBER($AK370)),Constants!$B$20*(Constants!$B$21-$AK370),0))</f>
        <v/>
      </c>
      <c r="AZ370" s="91" t="str">
        <f aca="false">IF($BD370&lt;&gt;Constants!$B$6,"",IF($AG370,0,Constants!$B$12)+IF($AF370,0,Constants!$B$13)+IF($Y370,0,Constants!$B$14))</f>
        <v/>
      </c>
      <c r="BA370" s="92" t="str">
        <f aca="false">IF($BD370&lt;&gt;Constants!$B$6,"",Constants!$B$16+SUM($AW370:$AZ370))</f>
        <v/>
      </c>
      <c r="BB370" s="91" t="str">
        <f aca="false">IF($BD370&lt;&gt;Constants!$B$6,"",IF($AH370,$AJ370,""))</f>
        <v/>
      </c>
      <c r="BC370" s="93" t="str">
        <f aca="false">IF($BD370&lt;&gt;Constants!$B$6,"",$AX370)</f>
        <v/>
      </c>
      <c r="BD370" s="87" t="str">
        <f aca="false">IF(ISBLANK($C370),"",IF($AL370,Constants!$B$9,IF(COUNTA($E370:$T370)=0,Constants!$B$8,IF(NOT($X370),Constants!$B$7,IF(OR($AM370,$AV370),Constants!$B$10,Constants!$B$6)))))</f>
        <v/>
      </c>
      <c r="BE370" s="87" t="str">
        <f aca="false">IF(ISBLANK($C370),"",IF($BD370&lt;&gt;Constants!$B$6,$BD370,Constants!$B$11))</f>
        <v/>
      </c>
      <c r="BF370" s="91" t="str">
        <f aca="false">IF($BD370&lt;&gt;Constants!$B$6,"",IF($AU370="-&gt;",$BA370,$AR370))</f>
        <v/>
      </c>
      <c r="BG370" s="91" t="str">
        <f aca="false">IF($BD370&lt;&gt;Constants!$B$6,"",IF($W370,0,Constants!$B$15))</f>
        <v/>
      </c>
      <c r="BH370" s="91" t="str">
        <f aca="false">IF(ISBLANK($C370),"",IF($BD370&lt;&gt;Constants!$B$6,$BD370,SUM($BF370:$BG370)))</f>
        <v/>
      </c>
      <c r="BI370" s="87" t="str">
        <f aca="false">IF(ISBLANK($C370),"",IF($BD370&lt;&gt;Constants!$B$6,$BD370,RANK($BH370,$BH$9:$BH$508,1)))</f>
        <v/>
      </c>
      <c r="BJ370" s="91" t="str">
        <f aca="false">IF($BD370&lt;&gt;Constants!$B$6,"",IF($AU370="-&gt;",$BB370,$AS370))</f>
        <v/>
      </c>
      <c r="BK370" s="87" t="str">
        <f aca="false">IF(ISBLANK($C370),"",IF($BD370&lt;&gt;Constants!$B$6,$BD370,IF(ISNUMBER($BJ370),RANK($BJ370,$BJ$9:$BJ$508,1),COUNT($BJ$9:$BJ$508)+1)))</f>
        <v/>
      </c>
      <c r="BL370" s="91" t="str">
        <f aca="false">IF($BD370&lt;&gt;Constants!$B$6,"",IF($AU370="-&gt;",$BC370,$AT370))</f>
        <v/>
      </c>
      <c r="BM370" s="87" t="str">
        <f aca="false">IF(ISBLANK($C370),"",IF($BD370&lt;&gt;Constants!$B$6,$BD370,IF(ISNUMBER($BL370),RANK($BL370,$BL$9:$BL$508,1),COUNT($BL$9:$BL$508)+1)))</f>
        <v/>
      </c>
      <c r="BN370" s="91" t="str">
        <f aca="false">IF($BD370&lt;&gt;Constants!$B$6,"",IF($AU370="-&gt;",$AS370,$BB370))</f>
        <v/>
      </c>
      <c r="BO370" s="87" t="str">
        <f aca="false">IF(ISBLANK($C370),"",IF($BD370&lt;&gt;Constants!$B$6,$BD370,IF(ISNUMBER($BN370),RANK($BN370,$BN$9:$BN$508,1),COUNT($BN$9:$BN$508)+1)))</f>
        <v/>
      </c>
      <c r="BP370" s="91" t="str">
        <f aca="false">IF($BD370&lt;&gt;Constants!$B$6,"",IF($AU370="-&gt;",$AT370,$BC370))</f>
        <v/>
      </c>
      <c r="BQ370" s="87" t="str">
        <f aca="false">IF(ISBLANK($C370),"",IF($BD370&lt;&gt;Constants!$B$6,$BD370,IF(ISNUMBER($BP370),RANK($BP370,$BP$9:$BP$508,1),COUNT($BP$9:$BP$508)+1)))</f>
        <v/>
      </c>
      <c r="BR370" s="87" t="str">
        <f aca="false">IF(ISBLANK($C370),"",IF($BD370&lt;&gt;Constants!$B$6,$BD370,COUNTIFS($BI$9:$BI$508,"&lt;"&amp;$BI370)+COUNTIFS($BI$9:$BI$508,$BI370,$BK$9:$BK$508,"&lt;"&amp;$BK370)+COUNTIFS($BI$9:$BI$508,$BI370,$BK$9:$BK$508,$BK370,$BM$9:$BM$508,"&lt;"&amp;$BM370)+COUNTIFS($BI$9:$BI$508,$BI370,$BK$9:$BK$508,$BK370,$BM$9:$BM$508,$BM370,$BO$9:$BO$508,"&lt;"&amp;$BO370)+COUNTIFS($BI$9:$BI$508,$BI370,$BK$9:$BK$508,$BK370,$BM$9:$BM$508,$BM370,$BO$9:$BO$508,$BO370,$BQ$9:$BQ$508,"&lt;"&amp;$BQ370)+1))</f>
        <v/>
      </c>
      <c r="BS370" s="87" t="str">
        <f aca="false">IF(ISBLANK($C370),"",IF($BD370&lt;&gt;Constants!$B$6,$BD370,$BI370-$BR370))</f>
        <v/>
      </c>
      <c r="BT370" s="94"/>
      <c r="BU370" s="95"/>
      <c r="BV370" s="95" t="str">
        <f aca="false">IF(ISBLANK($C370),"",IF($BD370&lt;&gt;Constants!$B$6,"",IF($AU370="-&gt;",2,1)))</f>
        <v/>
      </c>
      <c r="BW370" s="96" t="str">
        <f aca="false">IF(ISBLANK($C370),"",IF($BD370&lt;&gt;Constants!$B$6,"",IF($AU370="-&gt;",$AW370,$AN370)))</f>
        <v/>
      </c>
      <c r="BX370" s="96" t="str">
        <f aca="false">IF(ISBLANK($C370),"",IF($BD370&lt;&gt;Constants!$B$6,"",IF($AU370="-&gt;",$AX370,$AO370)))</f>
        <v/>
      </c>
      <c r="BY370" s="96" t="str">
        <f aca="false">IF(ISBLANK($C370),"",IF($BD370&lt;&gt;Constants!$B$6,"",IF($AU370="-&gt;",$AY370,$AP370)))</f>
        <v/>
      </c>
      <c r="BZ370" s="96" t="str">
        <f aca="false">IF(ISBLANK($C370),"",IF($BD370&lt;&gt;Constants!$B$6,"",IF($AU370="-&gt;",$AZ370,$AQ370)+$BG370))</f>
        <v/>
      </c>
      <c r="CA370" s="97" t="str">
        <f aca="false">IF(ISBLANK($C370),"",IF($BD370&lt;&gt;Constants!$B$6,$BD370,$BH370))</f>
        <v/>
      </c>
      <c r="CB370" s="98" t="str">
        <f aca="false">IF(ISBLANK($C370),"",$BE370)</f>
        <v/>
      </c>
      <c r="CC370" s="99" t="str">
        <f aca="false">IF(ISBLANK($C370),"",$BS370)</f>
        <v/>
      </c>
      <c r="CD370" s="99" t="str">
        <f aca="false">IF(ISBLANK($C370),"",$BR370)</f>
        <v/>
      </c>
      <c r="CE370" s="100" t="str">
        <f aca="false">IF(ISBLANK($C370),"",IF($CD370=Constants!$B$9,COUNTA($C$9:$C$508)+2,IF($CD370=Constants!$B$8,COUNTA($C$9:$C$508)+1,IF($CD370=Constants!$B$7,COUNTA($C$9:$C$508),$CD370))))</f>
        <v/>
      </c>
      <c r="CF370" s="9"/>
      <c r="CG370" s="101" t="n">
        <f aca="false">IF(OR(ISNUMBER($CD370),$CD370=Constants!$B$9,$CD370=Constants!$B$7,$CD370=Constants!$B$8),1,0)</f>
        <v>0</v>
      </c>
      <c r="CH370" s="101" t="n">
        <v>362</v>
      </c>
      <c r="CI370" s="101" t="str">
        <f aca="false">IF(ISBLANK($C370),"",IF(ISNUMBER($CE370),$CE370+ROW($B370)/1000,""))</f>
        <v/>
      </c>
      <c r="CJ370" s="101" t="str">
        <f aca="false">IF(ISNUMBER($CI370),RANK($CI370,$CI$9:$CI$508,1),"")</f>
        <v/>
      </c>
      <c r="CK370" s="101" t="str">
        <f aca="false">IF(ISBLANK($C370),"",$B370)</f>
        <v/>
      </c>
      <c r="CL370" s="101" t="str">
        <f aca="false">IF(ISBLANK($C370),"",$C370)</f>
        <v/>
      </c>
      <c r="CM370" s="101" t="str">
        <f aca="false">IF(ISBLANK($C370),"",$D370)</f>
        <v/>
      </c>
      <c r="CN370" s="102" t="str">
        <f aca="false">$CB370</f>
        <v/>
      </c>
      <c r="CO370" s="103" t="str">
        <f aca="false">$CA370</f>
        <v/>
      </c>
      <c r="CP370" s="101" t="str">
        <f aca="false">IF(ISBLANK($C370),"",$CD370)</f>
        <v/>
      </c>
      <c r="CQ370" s="104" t="str">
        <f aca="false">IF($CH370&gt;$CG$8,"",VLOOKUP($CH370,$CJ$9:$CP$508,7,FALSE()))</f>
        <v/>
      </c>
      <c r="CR370" s="105" t="str">
        <f aca="false">IF($CH370&gt;$CG$8,"",VLOOKUP($CH370,$CJ$9:$CP$508,2,FALSE()))</f>
        <v/>
      </c>
      <c r="CS370" s="105" t="str">
        <f aca="false">IF($CH370&gt;$CG$8,"",VLOOKUP($CH370,$CJ$9:$CP$508,3,FALSE()))</f>
        <v/>
      </c>
      <c r="CT370" s="105" t="str">
        <f aca="false">IF($CH370&gt;$CG$8,"",VLOOKUP($CH370,$CJ$9:$CP$508,4,FALSE()))</f>
        <v/>
      </c>
      <c r="CU370" s="105" t="str">
        <f aca="false">IF($CH370&gt;$CG$8,"",VLOOKUP($CH370,$CJ$9:$CP$508,5,FALSE()))</f>
        <v/>
      </c>
      <c r="CV370" s="106" t="str">
        <f aca="false">IF($CH370&gt;$CG$8,"",VLOOKUP($CH370,$CJ$9:$CP$508,6,FALSE()))</f>
        <v/>
      </c>
      <c r="CW370" s="71"/>
    </row>
    <row r="371" customFormat="false" ht="15.75" hidden="false" customHeight="false" outlineLevel="0" collapsed="false">
      <c r="A371" s="9"/>
      <c r="B371" s="72"/>
      <c r="C371" s="73"/>
      <c r="D371" s="160"/>
      <c r="E371" s="168"/>
      <c r="F371" s="162"/>
      <c r="G371" s="163"/>
      <c r="H371" s="169"/>
      <c r="I371" s="167"/>
      <c r="J371" s="80"/>
      <c r="K371" s="81"/>
      <c r="L371" s="82"/>
      <c r="M371" s="166"/>
      <c r="N371" s="167"/>
      <c r="O371" s="167"/>
      <c r="P371" s="80"/>
      <c r="Q371" s="82"/>
      <c r="R371" s="82"/>
      <c r="S371" s="166"/>
      <c r="T371" s="167"/>
      <c r="U371" s="86"/>
      <c r="V371" s="87"/>
      <c r="W371" s="87" t="str">
        <f aca="false">IF(ISBLANK($C371),"",IF(E371=Constants!$B$2,TRUE(),IF(E371=Constants!$B$3,FALSE(),TRUE())))</f>
        <v/>
      </c>
      <c r="X371" s="87" t="str">
        <f aca="false">IF(ISBLANK($C371),"",IF(F371=Constants!$B$2,TRUE(),IF(F371=Constants!$B$3,FALSE(),TRUE())))</f>
        <v/>
      </c>
      <c r="Y371" s="87" t="str">
        <f aca="false">IF(ISBLANK($C371),"",IF(G371=Constants!$B$2,TRUE(),IF(G371=Constants!$B$3,FALSE(),TRUE())))</f>
        <v/>
      </c>
      <c r="Z371" s="87" t="str">
        <f aca="false">IF(ISBLANK($C371),"",IF(H371=Constants!$B$2,TRUE(),IF(H371=Constants!$B$3,FALSE(),TRUE())))</f>
        <v/>
      </c>
      <c r="AA371" s="87" t="str">
        <f aca="false">IF(ISBLANK($C371),"",IF(I371=Constants!$B$2,TRUE(),IF(I371=Constants!$B$3,FALSE(),TRUE())))</f>
        <v/>
      </c>
      <c r="AB371" s="87" t="str">
        <f aca="false">IF(ISBLANK($C371),"",IF(J371=Constants!$B$4,TRUE(),IF(J371=Constants!$B$5,FALSE(),COUNTA(K371:M371)&gt;0)))</f>
        <v/>
      </c>
      <c r="AC371" s="88" t="str">
        <f aca="false">IF(ISBLANK($C371),"",IF(ISNUMBER(K371),IF(K371&gt;=0,K371,""),""))</f>
        <v/>
      </c>
      <c r="AD371" s="89" t="str">
        <f aca="false">IF(ISBLANK($C371),"",IF(ISNUMBER(L371),IF(L371&gt;=0,L371,""),""))</f>
        <v/>
      </c>
      <c r="AE371" s="87" t="str">
        <f aca="false">IF(ISBLANK($C371),"",IF(ISNUMBER(M371),IF(M371&gt;=0,MIN(M371,Constants!$B$22),""),""))</f>
        <v/>
      </c>
      <c r="AF371" s="87" t="str">
        <f aca="false">IF(ISBLANK($C371),"",IF(N371=Constants!$B$2,TRUE(),IF(N371=Constants!$B$3,FALSE(),TRUE())))</f>
        <v/>
      </c>
      <c r="AG371" s="87" t="str">
        <f aca="false">IF(ISBLANK($C371),"",IF(O371=Constants!$B$2,TRUE(),IF(O371=Constants!$B$3,FALSE(),TRUE())))</f>
        <v/>
      </c>
      <c r="AH371" s="87" t="str">
        <f aca="false">IF(ISBLANK($C371),"",IF(P371=Constants!$B$4,TRUE(),IF(P371=Constants!$B$5,FALSE(),COUNTA(Q371:S371)&gt;0)))</f>
        <v/>
      </c>
      <c r="AI371" s="88" t="str">
        <f aca="false">IF(ISBLANK($C371),"",IF(ISNUMBER(Q371),IF(Q371&gt;=0,Q371,""),""))</f>
        <v/>
      </c>
      <c r="AJ371" s="89" t="str">
        <f aca="false">IF(ISBLANK($C371),"",IF(ISNUMBER(R371),IF(R371&gt;=0,R371,""),""))</f>
        <v/>
      </c>
      <c r="AK371" s="87" t="str">
        <f aca="false">IF(ISBLANK($C371),"",IF(ISNUMBER(S371),IF(S371&gt;=0,MIN(S371,Constants!$B$22),""),""))</f>
        <v/>
      </c>
      <c r="AL371" s="87" t="str">
        <f aca="false">IF(ISBLANK($C371),"",IF(T371=Constants!$B$2,TRUE(),IF(T371=Constants!$B$3,FALSE(),FALSE())))</f>
        <v/>
      </c>
      <c r="AM371" s="86" t="str">
        <f aca="false">IF(ISBLANK($C371),"",AND($AB371,OR($AC371="",$AD371="",AND(NOT(ISBLANK($M371)),$AE371=""))))</f>
        <v/>
      </c>
      <c r="AN371" s="89" t="str">
        <f aca="false">IF($BD371&lt;&gt;Constants!$B$6,"",IF($AB371,Constants!$B$17*$AD371,Constants!$B$18))</f>
        <v/>
      </c>
      <c r="AO371" s="91" t="str">
        <f aca="false">IF($BD371&lt;&gt;Constants!$B$6,"",Constants!$B$19*IF($AB371,$AC371,0))</f>
        <v/>
      </c>
      <c r="AP371" s="91" t="str">
        <f aca="false">IF($BD371&lt;&gt;Constants!$B$6,"",IF(AND($AB371,ISNUMBER($AE371)),Constants!$B$20*(Constants!$B$21-$AE371),0))</f>
        <v/>
      </c>
      <c r="AQ371" s="91" t="str">
        <f aca="false">IF($BD371&lt;&gt;Constants!$B$6,"",IF($AA371,0,Constants!$B$12)+IF($Z371,0,Constants!$B$13)+IF($Y371,0,Constants!$B$14))</f>
        <v/>
      </c>
      <c r="AR371" s="92" t="str">
        <f aca="false">IF($BD371&lt;&gt;Constants!$B$6,"",Constants!$B$16+SUM($AN371:$AQ371))</f>
        <v/>
      </c>
      <c r="AS371" s="91" t="str">
        <f aca="false">IF($BD371&lt;&gt;Constants!$B$6,"",IF($AB371,$AD371,""))</f>
        <v/>
      </c>
      <c r="AT371" s="93" t="str">
        <f aca="false">IF($BD371&lt;&gt;Constants!$B$6,"",$AO371)</f>
        <v/>
      </c>
      <c r="AU371" s="87" t="str">
        <f aca="false">IF($BD371&lt;&gt;Constants!$B$6,"",IF(OR($BA371&lt;$AR371,AND($BA371=$AR371,OR(AND(ISNUMBER($BB371),OR(NOT(ISNUMBER($AS371)),$BB371&lt;$AS371)),AND(OR(AND($BB371="",$AS371=""),AND(ISNUMBER($BB371),ISNUMBER($AS371),$BB371=$AS371)),$BC371&lt;$AT371)))),"-&gt;","&lt;-"))</f>
        <v/>
      </c>
      <c r="AV371" s="86" t="str">
        <f aca="false">IF(ISBLANK($C371),"",AND($AH371,OR($AI371="",$AJ371="",AND(NOT(ISBLANK($S371)),$AK371=""))))</f>
        <v/>
      </c>
      <c r="AW371" s="89" t="str">
        <f aca="false">IF($BD371&lt;&gt;Constants!$B$6,"",IF($AH371,Constants!$B$17*$AJ371,Constants!$B$18))</f>
        <v/>
      </c>
      <c r="AX371" s="91" t="str">
        <f aca="false">IF($BD371&lt;&gt;Constants!$B$6,"",Constants!$B$19*IF($AH371,$AI371,0))</f>
        <v/>
      </c>
      <c r="AY371" s="91" t="str">
        <f aca="false">IF($BD371&lt;&gt;Constants!$B$6,"",IF(AND($AH371,ISNUMBER($AK371)),Constants!$B$20*(Constants!$B$21-$AK371),0))</f>
        <v/>
      </c>
      <c r="AZ371" s="91" t="str">
        <f aca="false">IF($BD371&lt;&gt;Constants!$B$6,"",IF($AG371,0,Constants!$B$12)+IF($AF371,0,Constants!$B$13)+IF($Y371,0,Constants!$B$14))</f>
        <v/>
      </c>
      <c r="BA371" s="92" t="str">
        <f aca="false">IF($BD371&lt;&gt;Constants!$B$6,"",Constants!$B$16+SUM($AW371:$AZ371))</f>
        <v/>
      </c>
      <c r="BB371" s="91" t="str">
        <f aca="false">IF($BD371&lt;&gt;Constants!$B$6,"",IF($AH371,$AJ371,""))</f>
        <v/>
      </c>
      <c r="BC371" s="93" t="str">
        <f aca="false">IF($BD371&lt;&gt;Constants!$B$6,"",$AX371)</f>
        <v/>
      </c>
      <c r="BD371" s="87" t="str">
        <f aca="false">IF(ISBLANK($C371),"",IF($AL371,Constants!$B$9,IF(COUNTA($E371:$T371)=0,Constants!$B$8,IF(NOT($X371),Constants!$B$7,IF(OR($AM371,$AV371),Constants!$B$10,Constants!$B$6)))))</f>
        <v/>
      </c>
      <c r="BE371" s="87" t="str">
        <f aca="false">IF(ISBLANK($C371),"",IF($BD371&lt;&gt;Constants!$B$6,$BD371,Constants!$B$11))</f>
        <v/>
      </c>
      <c r="BF371" s="91" t="str">
        <f aca="false">IF($BD371&lt;&gt;Constants!$B$6,"",IF($AU371="-&gt;",$BA371,$AR371))</f>
        <v/>
      </c>
      <c r="BG371" s="91" t="str">
        <f aca="false">IF($BD371&lt;&gt;Constants!$B$6,"",IF($W371,0,Constants!$B$15))</f>
        <v/>
      </c>
      <c r="BH371" s="91" t="str">
        <f aca="false">IF(ISBLANK($C371),"",IF($BD371&lt;&gt;Constants!$B$6,$BD371,SUM($BF371:$BG371)))</f>
        <v/>
      </c>
      <c r="BI371" s="87" t="str">
        <f aca="false">IF(ISBLANK($C371),"",IF($BD371&lt;&gt;Constants!$B$6,$BD371,RANK($BH371,$BH$9:$BH$508,1)))</f>
        <v/>
      </c>
      <c r="BJ371" s="91" t="str">
        <f aca="false">IF($BD371&lt;&gt;Constants!$B$6,"",IF($AU371="-&gt;",$BB371,$AS371))</f>
        <v/>
      </c>
      <c r="BK371" s="87" t="str">
        <f aca="false">IF(ISBLANK($C371),"",IF($BD371&lt;&gt;Constants!$B$6,$BD371,IF(ISNUMBER($BJ371),RANK($BJ371,$BJ$9:$BJ$508,1),COUNT($BJ$9:$BJ$508)+1)))</f>
        <v/>
      </c>
      <c r="BL371" s="91" t="str">
        <f aca="false">IF($BD371&lt;&gt;Constants!$B$6,"",IF($AU371="-&gt;",$BC371,$AT371))</f>
        <v/>
      </c>
      <c r="BM371" s="87" t="str">
        <f aca="false">IF(ISBLANK($C371),"",IF($BD371&lt;&gt;Constants!$B$6,$BD371,IF(ISNUMBER($BL371),RANK($BL371,$BL$9:$BL$508,1),COUNT($BL$9:$BL$508)+1)))</f>
        <v/>
      </c>
      <c r="BN371" s="91" t="str">
        <f aca="false">IF($BD371&lt;&gt;Constants!$B$6,"",IF($AU371="-&gt;",$AS371,$BB371))</f>
        <v/>
      </c>
      <c r="BO371" s="87" t="str">
        <f aca="false">IF(ISBLANK($C371),"",IF($BD371&lt;&gt;Constants!$B$6,$BD371,IF(ISNUMBER($BN371),RANK($BN371,$BN$9:$BN$508,1),COUNT($BN$9:$BN$508)+1)))</f>
        <v/>
      </c>
      <c r="BP371" s="91" t="str">
        <f aca="false">IF($BD371&lt;&gt;Constants!$B$6,"",IF($AU371="-&gt;",$AT371,$BC371))</f>
        <v/>
      </c>
      <c r="BQ371" s="87" t="str">
        <f aca="false">IF(ISBLANK($C371),"",IF($BD371&lt;&gt;Constants!$B$6,$BD371,IF(ISNUMBER($BP371),RANK($BP371,$BP$9:$BP$508,1),COUNT($BP$9:$BP$508)+1)))</f>
        <v/>
      </c>
      <c r="BR371" s="87" t="str">
        <f aca="false">IF(ISBLANK($C371),"",IF($BD371&lt;&gt;Constants!$B$6,$BD371,COUNTIFS($BI$9:$BI$508,"&lt;"&amp;$BI371)+COUNTIFS($BI$9:$BI$508,$BI371,$BK$9:$BK$508,"&lt;"&amp;$BK371)+COUNTIFS($BI$9:$BI$508,$BI371,$BK$9:$BK$508,$BK371,$BM$9:$BM$508,"&lt;"&amp;$BM371)+COUNTIFS($BI$9:$BI$508,$BI371,$BK$9:$BK$508,$BK371,$BM$9:$BM$508,$BM371,$BO$9:$BO$508,"&lt;"&amp;$BO371)+COUNTIFS($BI$9:$BI$508,$BI371,$BK$9:$BK$508,$BK371,$BM$9:$BM$508,$BM371,$BO$9:$BO$508,$BO371,$BQ$9:$BQ$508,"&lt;"&amp;$BQ371)+1))</f>
        <v/>
      </c>
      <c r="BS371" s="87" t="str">
        <f aca="false">IF(ISBLANK($C371),"",IF($BD371&lt;&gt;Constants!$B$6,$BD371,$BI371-$BR371))</f>
        <v/>
      </c>
      <c r="BT371" s="94"/>
      <c r="BU371" s="95"/>
      <c r="BV371" s="95" t="str">
        <f aca="false">IF(ISBLANK($C371),"",IF($BD371&lt;&gt;Constants!$B$6,"",IF($AU371="-&gt;",2,1)))</f>
        <v/>
      </c>
      <c r="BW371" s="96" t="str">
        <f aca="false">IF(ISBLANK($C371),"",IF($BD371&lt;&gt;Constants!$B$6,"",IF($AU371="-&gt;",$AW371,$AN371)))</f>
        <v/>
      </c>
      <c r="BX371" s="96" t="str">
        <f aca="false">IF(ISBLANK($C371),"",IF($BD371&lt;&gt;Constants!$B$6,"",IF($AU371="-&gt;",$AX371,$AO371)))</f>
        <v/>
      </c>
      <c r="BY371" s="96" t="str">
        <f aca="false">IF(ISBLANK($C371),"",IF($BD371&lt;&gt;Constants!$B$6,"",IF($AU371="-&gt;",$AY371,$AP371)))</f>
        <v/>
      </c>
      <c r="BZ371" s="96" t="str">
        <f aca="false">IF(ISBLANK($C371),"",IF($BD371&lt;&gt;Constants!$B$6,"",IF($AU371="-&gt;",$AZ371,$AQ371)+$BG371))</f>
        <v/>
      </c>
      <c r="CA371" s="97" t="str">
        <f aca="false">IF(ISBLANK($C371),"",IF($BD371&lt;&gt;Constants!$B$6,$BD371,$BH371))</f>
        <v/>
      </c>
      <c r="CB371" s="98" t="str">
        <f aca="false">IF(ISBLANK($C371),"",$BE371)</f>
        <v/>
      </c>
      <c r="CC371" s="99" t="str">
        <f aca="false">IF(ISBLANK($C371),"",$BS371)</f>
        <v/>
      </c>
      <c r="CD371" s="99" t="str">
        <f aca="false">IF(ISBLANK($C371),"",$BR371)</f>
        <v/>
      </c>
      <c r="CE371" s="100" t="str">
        <f aca="false">IF(ISBLANK($C371),"",IF($CD371=Constants!$B$9,COUNTA($C$9:$C$508)+2,IF($CD371=Constants!$B$8,COUNTA($C$9:$C$508)+1,IF($CD371=Constants!$B$7,COUNTA($C$9:$C$508),$CD371))))</f>
        <v/>
      </c>
      <c r="CF371" s="9"/>
      <c r="CG371" s="101" t="n">
        <f aca="false">IF(OR(ISNUMBER($CD371),$CD371=Constants!$B$9,$CD371=Constants!$B$7,$CD371=Constants!$B$8),1,0)</f>
        <v>0</v>
      </c>
      <c r="CH371" s="101" t="n">
        <v>363</v>
      </c>
      <c r="CI371" s="101" t="str">
        <f aca="false">IF(ISBLANK($C371),"",IF(ISNUMBER($CE371),$CE371+ROW($B371)/1000,""))</f>
        <v/>
      </c>
      <c r="CJ371" s="101" t="str">
        <f aca="false">IF(ISNUMBER($CI371),RANK($CI371,$CI$9:$CI$508,1),"")</f>
        <v/>
      </c>
      <c r="CK371" s="101" t="str">
        <f aca="false">IF(ISBLANK($C371),"",$B371)</f>
        <v/>
      </c>
      <c r="CL371" s="101" t="str">
        <f aca="false">IF(ISBLANK($C371),"",$C371)</f>
        <v/>
      </c>
      <c r="CM371" s="101" t="str">
        <f aca="false">IF(ISBLANK($C371),"",$D371)</f>
        <v/>
      </c>
      <c r="CN371" s="102" t="str">
        <f aca="false">$CB371</f>
        <v/>
      </c>
      <c r="CO371" s="103" t="str">
        <f aca="false">$CA371</f>
        <v/>
      </c>
      <c r="CP371" s="101" t="str">
        <f aca="false">IF(ISBLANK($C371),"",$CD371)</f>
        <v/>
      </c>
      <c r="CQ371" s="104" t="str">
        <f aca="false">IF($CH371&gt;$CG$8,"",VLOOKUP($CH371,$CJ$9:$CP$508,7,FALSE()))</f>
        <v/>
      </c>
      <c r="CR371" s="105" t="str">
        <f aca="false">IF($CH371&gt;$CG$8,"",VLOOKUP($CH371,$CJ$9:$CP$508,2,FALSE()))</f>
        <v/>
      </c>
      <c r="CS371" s="105" t="str">
        <f aca="false">IF($CH371&gt;$CG$8,"",VLOOKUP($CH371,$CJ$9:$CP$508,3,FALSE()))</f>
        <v/>
      </c>
      <c r="CT371" s="105" t="str">
        <f aca="false">IF($CH371&gt;$CG$8,"",VLOOKUP($CH371,$CJ$9:$CP$508,4,FALSE()))</f>
        <v/>
      </c>
      <c r="CU371" s="105" t="str">
        <f aca="false">IF($CH371&gt;$CG$8,"",VLOOKUP($CH371,$CJ$9:$CP$508,5,FALSE()))</f>
        <v/>
      </c>
      <c r="CV371" s="106" t="str">
        <f aca="false">IF($CH371&gt;$CG$8,"",VLOOKUP($CH371,$CJ$9:$CP$508,6,FALSE()))</f>
        <v/>
      </c>
      <c r="CW371" s="71"/>
    </row>
    <row r="372" customFormat="false" ht="15.75" hidden="false" customHeight="false" outlineLevel="0" collapsed="false">
      <c r="A372" s="9"/>
      <c r="B372" s="150"/>
      <c r="C372" s="151"/>
      <c r="D372" s="152"/>
      <c r="E372" s="170"/>
      <c r="F372" s="154"/>
      <c r="G372" s="155"/>
      <c r="H372" s="171"/>
      <c r="I372" s="159"/>
      <c r="J372" s="120"/>
      <c r="K372" s="121"/>
      <c r="L372" s="122"/>
      <c r="M372" s="158"/>
      <c r="N372" s="159"/>
      <c r="O372" s="159"/>
      <c r="P372" s="120"/>
      <c r="Q372" s="122"/>
      <c r="R372" s="122"/>
      <c r="S372" s="158"/>
      <c r="T372" s="159"/>
      <c r="U372" s="126"/>
      <c r="V372" s="127"/>
      <c r="W372" s="127" t="str">
        <f aca="false">IF(ISBLANK($C372),"",IF(E372=Constants!$B$2,TRUE(),IF(E372=Constants!$B$3,FALSE(),TRUE())))</f>
        <v/>
      </c>
      <c r="X372" s="127" t="str">
        <f aca="false">IF(ISBLANK($C372),"",IF(F372=Constants!$B$2,TRUE(),IF(F372=Constants!$B$3,FALSE(),TRUE())))</f>
        <v/>
      </c>
      <c r="Y372" s="127" t="str">
        <f aca="false">IF(ISBLANK($C372),"",IF(G372=Constants!$B$2,TRUE(),IF(G372=Constants!$B$3,FALSE(),TRUE())))</f>
        <v/>
      </c>
      <c r="Z372" s="127" t="str">
        <f aca="false">IF(ISBLANK($C372),"",IF(H372=Constants!$B$2,TRUE(),IF(H372=Constants!$B$3,FALSE(),TRUE())))</f>
        <v/>
      </c>
      <c r="AA372" s="127" t="str">
        <f aca="false">IF(ISBLANK($C372),"",IF(I372=Constants!$B$2,TRUE(),IF(I372=Constants!$B$3,FALSE(),TRUE())))</f>
        <v/>
      </c>
      <c r="AB372" s="127" t="str">
        <f aca="false">IF(ISBLANK($C372),"",IF(J372=Constants!$B$4,TRUE(),IF(J372=Constants!$B$5,FALSE(),COUNTA(K372:M372)&gt;0)))</f>
        <v/>
      </c>
      <c r="AC372" s="128" t="str">
        <f aca="false">IF(ISBLANK($C372),"",IF(ISNUMBER(K372),IF(K372&gt;=0,K372,""),""))</f>
        <v/>
      </c>
      <c r="AD372" s="129" t="str">
        <f aca="false">IF(ISBLANK($C372),"",IF(ISNUMBER(L372),IF(L372&gt;=0,L372,""),""))</f>
        <v/>
      </c>
      <c r="AE372" s="127" t="str">
        <f aca="false">IF(ISBLANK($C372),"",IF(ISNUMBER(M372),IF(M372&gt;=0,MIN(M372,Constants!$B$22),""),""))</f>
        <v/>
      </c>
      <c r="AF372" s="127" t="str">
        <f aca="false">IF(ISBLANK($C372),"",IF(N372=Constants!$B$2,TRUE(),IF(N372=Constants!$B$3,FALSE(),TRUE())))</f>
        <v/>
      </c>
      <c r="AG372" s="127" t="str">
        <f aca="false">IF(ISBLANK($C372),"",IF(O372=Constants!$B$2,TRUE(),IF(O372=Constants!$B$3,FALSE(),TRUE())))</f>
        <v/>
      </c>
      <c r="AH372" s="127" t="str">
        <f aca="false">IF(ISBLANK($C372),"",IF(P372=Constants!$B$4,TRUE(),IF(P372=Constants!$B$5,FALSE(),COUNTA(Q372:S372)&gt;0)))</f>
        <v/>
      </c>
      <c r="AI372" s="128" t="str">
        <f aca="false">IF(ISBLANK($C372),"",IF(ISNUMBER(Q372),IF(Q372&gt;=0,Q372,""),""))</f>
        <v/>
      </c>
      <c r="AJ372" s="129" t="str">
        <f aca="false">IF(ISBLANK($C372),"",IF(ISNUMBER(R372),IF(R372&gt;=0,R372,""),""))</f>
        <v/>
      </c>
      <c r="AK372" s="127" t="str">
        <f aca="false">IF(ISBLANK($C372),"",IF(ISNUMBER(S372),IF(S372&gt;=0,MIN(S372,Constants!$B$22),""),""))</f>
        <v/>
      </c>
      <c r="AL372" s="127" t="str">
        <f aca="false">IF(ISBLANK($C372),"",IF(T372=Constants!$B$2,TRUE(),IF(T372=Constants!$B$3,FALSE(),FALSE())))</f>
        <v/>
      </c>
      <c r="AM372" s="126" t="str">
        <f aca="false">IF(ISBLANK($C372),"",AND($AB372,OR($AC372="",$AD372="",AND(NOT(ISBLANK($M372)),$AE372=""))))</f>
        <v/>
      </c>
      <c r="AN372" s="129" t="str">
        <f aca="false">IF($BD372&lt;&gt;Constants!$B$6,"",IF($AB372,Constants!$B$17*$AD372,Constants!$B$18))</f>
        <v/>
      </c>
      <c r="AO372" s="130" t="str">
        <f aca="false">IF($BD372&lt;&gt;Constants!$B$6,"",Constants!$B$19*IF($AB372,$AC372,0))</f>
        <v/>
      </c>
      <c r="AP372" s="130" t="str">
        <f aca="false">IF($BD372&lt;&gt;Constants!$B$6,"",IF(AND($AB372,ISNUMBER($AE372)),Constants!$B$20*(Constants!$B$21-$AE372),0))</f>
        <v/>
      </c>
      <c r="AQ372" s="130" t="str">
        <f aca="false">IF($BD372&lt;&gt;Constants!$B$6,"",IF($AA372,0,Constants!$B$12)+IF($Z372,0,Constants!$B$13)+IF($Y372,0,Constants!$B$14))</f>
        <v/>
      </c>
      <c r="AR372" s="131" t="str">
        <f aca="false">IF($BD372&lt;&gt;Constants!$B$6,"",Constants!$B$16+SUM($AN372:$AQ372))</f>
        <v/>
      </c>
      <c r="AS372" s="130" t="str">
        <f aca="false">IF($BD372&lt;&gt;Constants!$B$6,"",IF($AB372,$AD372,""))</f>
        <v/>
      </c>
      <c r="AT372" s="132" t="str">
        <f aca="false">IF($BD372&lt;&gt;Constants!$B$6,"",$AO372)</f>
        <v/>
      </c>
      <c r="AU372" s="127" t="str">
        <f aca="false">IF($BD372&lt;&gt;Constants!$B$6,"",IF(OR($BA372&lt;$AR372,AND($BA372=$AR372,OR(AND(ISNUMBER($BB372),OR(NOT(ISNUMBER($AS372)),$BB372&lt;$AS372)),AND(OR(AND($BB372="",$AS372=""),AND(ISNUMBER($BB372),ISNUMBER($AS372),$BB372=$AS372)),$BC372&lt;$AT372)))),"-&gt;","&lt;-"))</f>
        <v/>
      </c>
      <c r="AV372" s="126" t="str">
        <f aca="false">IF(ISBLANK($C372),"",AND($AH372,OR($AI372="",$AJ372="",AND(NOT(ISBLANK($S372)),$AK372=""))))</f>
        <v/>
      </c>
      <c r="AW372" s="129" t="str">
        <f aca="false">IF($BD372&lt;&gt;Constants!$B$6,"",IF($AH372,Constants!$B$17*$AJ372,Constants!$B$18))</f>
        <v/>
      </c>
      <c r="AX372" s="130" t="str">
        <f aca="false">IF($BD372&lt;&gt;Constants!$B$6,"",Constants!$B$19*IF($AH372,$AI372,0))</f>
        <v/>
      </c>
      <c r="AY372" s="130" t="str">
        <f aca="false">IF($BD372&lt;&gt;Constants!$B$6,"",IF(AND($AH372,ISNUMBER($AK372)),Constants!$B$20*(Constants!$B$21-$AK372),0))</f>
        <v/>
      </c>
      <c r="AZ372" s="130" t="str">
        <f aca="false">IF($BD372&lt;&gt;Constants!$B$6,"",IF($AG372,0,Constants!$B$12)+IF($AF372,0,Constants!$B$13)+IF($Y372,0,Constants!$B$14))</f>
        <v/>
      </c>
      <c r="BA372" s="131" t="str">
        <f aca="false">IF($BD372&lt;&gt;Constants!$B$6,"",Constants!$B$16+SUM($AW372:$AZ372))</f>
        <v/>
      </c>
      <c r="BB372" s="130" t="str">
        <f aca="false">IF($BD372&lt;&gt;Constants!$B$6,"",IF($AH372,$AJ372,""))</f>
        <v/>
      </c>
      <c r="BC372" s="132" t="str">
        <f aca="false">IF($BD372&lt;&gt;Constants!$B$6,"",$AX372)</f>
        <v/>
      </c>
      <c r="BD372" s="127" t="str">
        <f aca="false">IF(ISBLANK($C372),"",IF($AL372,Constants!$B$9,IF(COUNTA($E372:$T372)=0,Constants!$B$8,IF(NOT($X372),Constants!$B$7,IF(OR($AM372,$AV372),Constants!$B$10,Constants!$B$6)))))</f>
        <v/>
      </c>
      <c r="BE372" s="127" t="str">
        <f aca="false">IF(ISBLANK($C372),"",IF($BD372&lt;&gt;Constants!$B$6,$BD372,Constants!$B$11))</f>
        <v/>
      </c>
      <c r="BF372" s="130" t="str">
        <f aca="false">IF($BD372&lt;&gt;Constants!$B$6,"",IF($AU372="-&gt;",$BA372,$AR372))</f>
        <v/>
      </c>
      <c r="BG372" s="130" t="str">
        <f aca="false">IF($BD372&lt;&gt;Constants!$B$6,"",IF($W372,0,Constants!$B$15))</f>
        <v/>
      </c>
      <c r="BH372" s="130" t="str">
        <f aca="false">IF(ISBLANK($C372),"",IF($BD372&lt;&gt;Constants!$B$6,$BD372,SUM($BF372:$BG372)))</f>
        <v/>
      </c>
      <c r="BI372" s="127" t="str">
        <f aca="false">IF(ISBLANK($C372),"",IF($BD372&lt;&gt;Constants!$B$6,$BD372,RANK($BH372,$BH$9:$BH$508,1)))</f>
        <v/>
      </c>
      <c r="BJ372" s="130" t="str">
        <f aca="false">IF($BD372&lt;&gt;Constants!$B$6,"",IF($AU372="-&gt;",$BB372,$AS372))</f>
        <v/>
      </c>
      <c r="BK372" s="127" t="str">
        <f aca="false">IF(ISBLANK($C372),"",IF($BD372&lt;&gt;Constants!$B$6,$BD372,IF(ISNUMBER($BJ372),RANK($BJ372,$BJ$9:$BJ$508,1),COUNT($BJ$9:$BJ$508)+1)))</f>
        <v/>
      </c>
      <c r="BL372" s="130" t="str">
        <f aca="false">IF($BD372&lt;&gt;Constants!$B$6,"",IF($AU372="-&gt;",$BC372,$AT372))</f>
        <v/>
      </c>
      <c r="BM372" s="127" t="str">
        <f aca="false">IF(ISBLANK($C372),"",IF($BD372&lt;&gt;Constants!$B$6,$BD372,IF(ISNUMBER($BL372),RANK($BL372,$BL$9:$BL$508,1),COUNT($BL$9:$BL$508)+1)))</f>
        <v/>
      </c>
      <c r="BN372" s="130" t="str">
        <f aca="false">IF($BD372&lt;&gt;Constants!$B$6,"",IF($AU372="-&gt;",$AS372,$BB372))</f>
        <v/>
      </c>
      <c r="BO372" s="127" t="str">
        <f aca="false">IF(ISBLANK($C372),"",IF($BD372&lt;&gt;Constants!$B$6,$BD372,IF(ISNUMBER($BN372),RANK($BN372,$BN$9:$BN$508,1),COUNT($BN$9:$BN$508)+1)))</f>
        <v/>
      </c>
      <c r="BP372" s="130" t="str">
        <f aca="false">IF($BD372&lt;&gt;Constants!$B$6,"",IF($AU372="-&gt;",$AT372,$BC372))</f>
        <v/>
      </c>
      <c r="BQ372" s="127" t="str">
        <f aca="false">IF(ISBLANK($C372),"",IF($BD372&lt;&gt;Constants!$B$6,$BD372,IF(ISNUMBER($BP372),RANK($BP372,$BP$9:$BP$508,1),COUNT($BP$9:$BP$508)+1)))</f>
        <v/>
      </c>
      <c r="BR372" s="127" t="str">
        <f aca="false">IF(ISBLANK($C372),"",IF($BD372&lt;&gt;Constants!$B$6,$BD372,COUNTIFS($BI$9:$BI$508,"&lt;"&amp;$BI372)+COUNTIFS($BI$9:$BI$508,$BI372,$BK$9:$BK$508,"&lt;"&amp;$BK372)+COUNTIFS($BI$9:$BI$508,$BI372,$BK$9:$BK$508,$BK372,$BM$9:$BM$508,"&lt;"&amp;$BM372)+COUNTIFS($BI$9:$BI$508,$BI372,$BK$9:$BK$508,$BK372,$BM$9:$BM$508,$BM372,$BO$9:$BO$508,"&lt;"&amp;$BO372)+COUNTIFS($BI$9:$BI$508,$BI372,$BK$9:$BK$508,$BK372,$BM$9:$BM$508,$BM372,$BO$9:$BO$508,$BO372,$BQ$9:$BQ$508,"&lt;"&amp;$BQ372)+1))</f>
        <v/>
      </c>
      <c r="BS372" s="127" t="str">
        <f aca="false">IF(ISBLANK($C372),"",IF($BD372&lt;&gt;Constants!$B$6,$BD372,$BI372-$BR372))</f>
        <v/>
      </c>
      <c r="BT372" s="133"/>
      <c r="BU372" s="134"/>
      <c r="BV372" s="134" t="str">
        <f aca="false">IF(ISBLANK($C372),"",IF($BD372&lt;&gt;Constants!$B$6,"",IF($AU372="-&gt;",2,1)))</f>
        <v/>
      </c>
      <c r="BW372" s="135" t="str">
        <f aca="false">IF(ISBLANK($C372),"",IF($BD372&lt;&gt;Constants!$B$6,"",IF($AU372="-&gt;",$AW372,$AN372)))</f>
        <v/>
      </c>
      <c r="BX372" s="135" t="str">
        <f aca="false">IF(ISBLANK($C372),"",IF($BD372&lt;&gt;Constants!$B$6,"",IF($AU372="-&gt;",$AX372,$AO372)))</f>
        <v/>
      </c>
      <c r="BY372" s="135" t="str">
        <f aca="false">IF(ISBLANK($C372),"",IF($BD372&lt;&gt;Constants!$B$6,"",IF($AU372="-&gt;",$AY372,$AP372)))</f>
        <v/>
      </c>
      <c r="BZ372" s="135" t="str">
        <f aca="false">IF(ISBLANK($C372),"",IF($BD372&lt;&gt;Constants!$B$6,"",IF($AU372="-&gt;",$AZ372,$AQ372)+$BG372))</f>
        <v/>
      </c>
      <c r="CA372" s="136" t="str">
        <f aca="false">IF(ISBLANK($C372),"",IF($BD372&lt;&gt;Constants!$B$6,$BD372,$BH372))</f>
        <v/>
      </c>
      <c r="CB372" s="137" t="str">
        <f aca="false">IF(ISBLANK($C372),"",$BE372)</f>
        <v/>
      </c>
      <c r="CC372" s="138" t="str">
        <f aca="false">IF(ISBLANK($C372),"",$BS372)</f>
        <v/>
      </c>
      <c r="CD372" s="138" t="str">
        <f aca="false">IF(ISBLANK($C372),"",$BR372)</f>
        <v/>
      </c>
      <c r="CE372" s="139" t="str">
        <f aca="false">IF(ISBLANK($C372),"",IF($CD372=Constants!$B$9,COUNTA($C$9:$C$508)+2,IF($CD372=Constants!$B$8,COUNTA($C$9:$C$508)+1,IF($CD372=Constants!$B$7,COUNTA($C$9:$C$508),$CD372))))</f>
        <v/>
      </c>
      <c r="CF372" s="9"/>
      <c r="CG372" s="140" t="n">
        <f aca="false">IF(OR(ISNUMBER($CD372),$CD372=Constants!$B$9,$CD372=Constants!$B$7,$CD372=Constants!$B$8),1,0)</f>
        <v>0</v>
      </c>
      <c r="CH372" s="140" t="n">
        <v>364</v>
      </c>
      <c r="CI372" s="140" t="str">
        <f aca="false">IF(ISBLANK($C372),"",IF(ISNUMBER($CE372),$CE372+ROW($B372)/1000,""))</f>
        <v/>
      </c>
      <c r="CJ372" s="140" t="str">
        <f aca="false">IF(ISNUMBER($CI372),RANK($CI372,$CI$9:$CI$508,1),"")</f>
        <v/>
      </c>
      <c r="CK372" s="140" t="str">
        <f aca="false">IF(ISBLANK($C372),"",$B372)</f>
        <v/>
      </c>
      <c r="CL372" s="140" t="str">
        <f aca="false">IF(ISBLANK($C372),"",$C372)</f>
        <v/>
      </c>
      <c r="CM372" s="140" t="str">
        <f aca="false">IF(ISBLANK($C372),"",$D372)</f>
        <v/>
      </c>
      <c r="CN372" s="141" t="str">
        <f aca="false">$CB372</f>
        <v/>
      </c>
      <c r="CO372" s="142" t="str">
        <f aca="false">$CA372</f>
        <v/>
      </c>
      <c r="CP372" s="140" t="str">
        <f aca="false">IF(ISBLANK($C372),"",$CD372)</f>
        <v/>
      </c>
      <c r="CQ372" s="143" t="str">
        <f aca="false">IF($CH372&gt;$CG$8,"",VLOOKUP($CH372,$CJ$9:$CP$508,7,FALSE()))</f>
        <v/>
      </c>
      <c r="CR372" s="144" t="str">
        <f aca="false">IF($CH372&gt;$CG$8,"",VLOOKUP($CH372,$CJ$9:$CP$508,2,FALSE()))</f>
        <v/>
      </c>
      <c r="CS372" s="144" t="str">
        <f aca="false">IF($CH372&gt;$CG$8,"",VLOOKUP($CH372,$CJ$9:$CP$508,3,FALSE()))</f>
        <v/>
      </c>
      <c r="CT372" s="144" t="str">
        <f aca="false">IF($CH372&gt;$CG$8,"",VLOOKUP($CH372,$CJ$9:$CP$508,4,FALSE()))</f>
        <v/>
      </c>
      <c r="CU372" s="144" t="str">
        <f aca="false">IF($CH372&gt;$CG$8,"",VLOOKUP($CH372,$CJ$9:$CP$508,5,FALSE()))</f>
        <v/>
      </c>
      <c r="CV372" s="145" t="str">
        <f aca="false">IF($CH372&gt;$CG$8,"",VLOOKUP($CH372,$CJ$9:$CP$508,6,FALSE()))</f>
        <v/>
      </c>
      <c r="CW372" s="71"/>
    </row>
    <row r="373" customFormat="false" ht="15.75" hidden="false" customHeight="false" outlineLevel="0" collapsed="false">
      <c r="A373" s="9"/>
      <c r="B373" s="150"/>
      <c r="C373" s="151"/>
      <c r="D373" s="152"/>
      <c r="E373" s="170"/>
      <c r="F373" s="154"/>
      <c r="G373" s="155"/>
      <c r="H373" s="171"/>
      <c r="I373" s="159"/>
      <c r="J373" s="120"/>
      <c r="K373" s="121"/>
      <c r="L373" s="122"/>
      <c r="M373" s="158"/>
      <c r="N373" s="159"/>
      <c r="O373" s="159"/>
      <c r="P373" s="120"/>
      <c r="Q373" s="122"/>
      <c r="R373" s="122"/>
      <c r="S373" s="158"/>
      <c r="T373" s="159"/>
      <c r="U373" s="126"/>
      <c r="V373" s="127"/>
      <c r="W373" s="127" t="str">
        <f aca="false">IF(ISBLANK($C373),"",IF(E373=Constants!$B$2,TRUE(),IF(E373=Constants!$B$3,FALSE(),TRUE())))</f>
        <v/>
      </c>
      <c r="X373" s="127" t="str">
        <f aca="false">IF(ISBLANK($C373),"",IF(F373=Constants!$B$2,TRUE(),IF(F373=Constants!$B$3,FALSE(),TRUE())))</f>
        <v/>
      </c>
      <c r="Y373" s="127" t="str">
        <f aca="false">IF(ISBLANK($C373),"",IF(G373=Constants!$B$2,TRUE(),IF(G373=Constants!$B$3,FALSE(),TRUE())))</f>
        <v/>
      </c>
      <c r="Z373" s="127" t="str">
        <f aca="false">IF(ISBLANK($C373),"",IF(H373=Constants!$B$2,TRUE(),IF(H373=Constants!$B$3,FALSE(),TRUE())))</f>
        <v/>
      </c>
      <c r="AA373" s="127" t="str">
        <f aca="false">IF(ISBLANK($C373),"",IF(I373=Constants!$B$2,TRUE(),IF(I373=Constants!$B$3,FALSE(),TRUE())))</f>
        <v/>
      </c>
      <c r="AB373" s="127" t="str">
        <f aca="false">IF(ISBLANK($C373),"",IF(J373=Constants!$B$4,TRUE(),IF(J373=Constants!$B$5,FALSE(),COUNTA(K373:M373)&gt;0)))</f>
        <v/>
      </c>
      <c r="AC373" s="128" t="str">
        <f aca="false">IF(ISBLANK($C373),"",IF(ISNUMBER(K373),IF(K373&gt;=0,K373,""),""))</f>
        <v/>
      </c>
      <c r="AD373" s="129" t="str">
        <f aca="false">IF(ISBLANK($C373),"",IF(ISNUMBER(L373),IF(L373&gt;=0,L373,""),""))</f>
        <v/>
      </c>
      <c r="AE373" s="127" t="str">
        <f aca="false">IF(ISBLANK($C373),"",IF(ISNUMBER(M373),IF(M373&gt;=0,MIN(M373,Constants!$B$22),""),""))</f>
        <v/>
      </c>
      <c r="AF373" s="127" t="str">
        <f aca="false">IF(ISBLANK($C373),"",IF(N373=Constants!$B$2,TRUE(),IF(N373=Constants!$B$3,FALSE(),TRUE())))</f>
        <v/>
      </c>
      <c r="AG373" s="127" t="str">
        <f aca="false">IF(ISBLANK($C373),"",IF(O373=Constants!$B$2,TRUE(),IF(O373=Constants!$B$3,FALSE(),TRUE())))</f>
        <v/>
      </c>
      <c r="AH373" s="127" t="str">
        <f aca="false">IF(ISBLANK($C373),"",IF(P373=Constants!$B$4,TRUE(),IF(P373=Constants!$B$5,FALSE(),COUNTA(Q373:S373)&gt;0)))</f>
        <v/>
      </c>
      <c r="AI373" s="128" t="str">
        <f aca="false">IF(ISBLANK($C373),"",IF(ISNUMBER(Q373),IF(Q373&gt;=0,Q373,""),""))</f>
        <v/>
      </c>
      <c r="AJ373" s="129" t="str">
        <f aca="false">IF(ISBLANK($C373),"",IF(ISNUMBER(R373),IF(R373&gt;=0,R373,""),""))</f>
        <v/>
      </c>
      <c r="AK373" s="127" t="str">
        <f aca="false">IF(ISBLANK($C373),"",IF(ISNUMBER(S373),IF(S373&gt;=0,MIN(S373,Constants!$B$22),""),""))</f>
        <v/>
      </c>
      <c r="AL373" s="127" t="str">
        <f aca="false">IF(ISBLANK($C373),"",IF(T373=Constants!$B$2,TRUE(),IF(T373=Constants!$B$3,FALSE(),FALSE())))</f>
        <v/>
      </c>
      <c r="AM373" s="126" t="str">
        <f aca="false">IF(ISBLANK($C373),"",AND($AB373,OR($AC373="",$AD373="",AND(NOT(ISBLANK($M373)),$AE373=""))))</f>
        <v/>
      </c>
      <c r="AN373" s="129" t="str">
        <f aca="false">IF($BD373&lt;&gt;Constants!$B$6,"",IF($AB373,Constants!$B$17*$AD373,Constants!$B$18))</f>
        <v/>
      </c>
      <c r="AO373" s="130" t="str">
        <f aca="false">IF($BD373&lt;&gt;Constants!$B$6,"",Constants!$B$19*IF($AB373,$AC373,0))</f>
        <v/>
      </c>
      <c r="AP373" s="130" t="str">
        <f aca="false">IF($BD373&lt;&gt;Constants!$B$6,"",IF(AND($AB373,ISNUMBER($AE373)),Constants!$B$20*(Constants!$B$21-$AE373),0))</f>
        <v/>
      </c>
      <c r="AQ373" s="130" t="str">
        <f aca="false">IF($BD373&lt;&gt;Constants!$B$6,"",IF($AA373,0,Constants!$B$12)+IF($Z373,0,Constants!$B$13)+IF($Y373,0,Constants!$B$14))</f>
        <v/>
      </c>
      <c r="AR373" s="131" t="str">
        <f aca="false">IF($BD373&lt;&gt;Constants!$B$6,"",Constants!$B$16+SUM($AN373:$AQ373))</f>
        <v/>
      </c>
      <c r="AS373" s="130" t="str">
        <f aca="false">IF($BD373&lt;&gt;Constants!$B$6,"",IF($AB373,$AD373,""))</f>
        <v/>
      </c>
      <c r="AT373" s="132" t="str">
        <f aca="false">IF($BD373&lt;&gt;Constants!$B$6,"",$AO373)</f>
        <v/>
      </c>
      <c r="AU373" s="127" t="str">
        <f aca="false">IF($BD373&lt;&gt;Constants!$B$6,"",IF(OR($BA373&lt;$AR373,AND($BA373=$AR373,OR(AND(ISNUMBER($BB373),OR(NOT(ISNUMBER($AS373)),$BB373&lt;$AS373)),AND(OR(AND($BB373="",$AS373=""),AND(ISNUMBER($BB373),ISNUMBER($AS373),$BB373=$AS373)),$BC373&lt;$AT373)))),"-&gt;","&lt;-"))</f>
        <v/>
      </c>
      <c r="AV373" s="126" t="str">
        <f aca="false">IF(ISBLANK($C373),"",AND($AH373,OR($AI373="",$AJ373="",AND(NOT(ISBLANK($S373)),$AK373=""))))</f>
        <v/>
      </c>
      <c r="AW373" s="129" t="str">
        <f aca="false">IF($BD373&lt;&gt;Constants!$B$6,"",IF($AH373,Constants!$B$17*$AJ373,Constants!$B$18))</f>
        <v/>
      </c>
      <c r="AX373" s="130" t="str">
        <f aca="false">IF($BD373&lt;&gt;Constants!$B$6,"",Constants!$B$19*IF($AH373,$AI373,0))</f>
        <v/>
      </c>
      <c r="AY373" s="130" t="str">
        <f aca="false">IF($BD373&lt;&gt;Constants!$B$6,"",IF(AND($AH373,ISNUMBER($AK373)),Constants!$B$20*(Constants!$B$21-$AK373),0))</f>
        <v/>
      </c>
      <c r="AZ373" s="130" t="str">
        <f aca="false">IF($BD373&lt;&gt;Constants!$B$6,"",IF($AG373,0,Constants!$B$12)+IF($AF373,0,Constants!$B$13)+IF($Y373,0,Constants!$B$14))</f>
        <v/>
      </c>
      <c r="BA373" s="131" t="str">
        <f aca="false">IF($BD373&lt;&gt;Constants!$B$6,"",Constants!$B$16+SUM($AW373:$AZ373))</f>
        <v/>
      </c>
      <c r="BB373" s="130" t="str">
        <f aca="false">IF($BD373&lt;&gt;Constants!$B$6,"",IF($AH373,$AJ373,""))</f>
        <v/>
      </c>
      <c r="BC373" s="132" t="str">
        <f aca="false">IF($BD373&lt;&gt;Constants!$B$6,"",$AX373)</f>
        <v/>
      </c>
      <c r="BD373" s="127" t="str">
        <f aca="false">IF(ISBLANK($C373),"",IF($AL373,Constants!$B$9,IF(COUNTA($E373:$T373)=0,Constants!$B$8,IF(NOT($X373),Constants!$B$7,IF(OR($AM373,$AV373),Constants!$B$10,Constants!$B$6)))))</f>
        <v/>
      </c>
      <c r="BE373" s="127" t="str">
        <f aca="false">IF(ISBLANK($C373),"",IF($BD373&lt;&gt;Constants!$B$6,$BD373,Constants!$B$11))</f>
        <v/>
      </c>
      <c r="BF373" s="130" t="str">
        <f aca="false">IF($BD373&lt;&gt;Constants!$B$6,"",IF($AU373="-&gt;",$BA373,$AR373))</f>
        <v/>
      </c>
      <c r="BG373" s="130" t="str">
        <f aca="false">IF($BD373&lt;&gt;Constants!$B$6,"",IF($W373,0,Constants!$B$15))</f>
        <v/>
      </c>
      <c r="BH373" s="130" t="str">
        <f aca="false">IF(ISBLANK($C373),"",IF($BD373&lt;&gt;Constants!$B$6,$BD373,SUM($BF373:$BG373)))</f>
        <v/>
      </c>
      <c r="BI373" s="127" t="str">
        <f aca="false">IF(ISBLANK($C373),"",IF($BD373&lt;&gt;Constants!$B$6,$BD373,RANK($BH373,$BH$9:$BH$508,1)))</f>
        <v/>
      </c>
      <c r="BJ373" s="130" t="str">
        <f aca="false">IF($BD373&lt;&gt;Constants!$B$6,"",IF($AU373="-&gt;",$BB373,$AS373))</f>
        <v/>
      </c>
      <c r="BK373" s="127" t="str">
        <f aca="false">IF(ISBLANK($C373),"",IF($BD373&lt;&gt;Constants!$B$6,$BD373,IF(ISNUMBER($BJ373),RANK($BJ373,$BJ$9:$BJ$508,1),COUNT($BJ$9:$BJ$508)+1)))</f>
        <v/>
      </c>
      <c r="BL373" s="130" t="str">
        <f aca="false">IF($BD373&lt;&gt;Constants!$B$6,"",IF($AU373="-&gt;",$BC373,$AT373))</f>
        <v/>
      </c>
      <c r="BM373" s="127" t="str">
        <f aca="false">IF(ISBLANK($C373),"",IF($BD373&lt;&gt;Constants!$B$6,$BD373,IF(ISNUMBER($BL373),RANK($BL373,$BL$9:$BL$508,1),COUNT($BL$9:$BL$508)+1)))</f>
        <v/>
      </c>
      <c r="BN373" s="130" t="str">
        <f aca="false">IF($BD373&lt;&gt;Constants!$B$6,"",IF($AU373="-&gt;",$AS373,$BB373))</f>
        <v/>
      </c>
      <c r="BO373" s="127" t="str">
        <f aca="false">IF(ISBLANK($C373),"",IF($BD373&lt;&gt;Constants!$B$6,$BD373,IF(ISNUMBER($BN373),RANK($BN373,$BN$9:$BN$508,1),COUNT($BN$9:$BN$508)+1)))</f>
        <v/>
      </c>
      <c r="BP373" s="130" t="str">
        <f aca="false">IF($BD373&lt;&gt;Constants!$B$6,"",IF($AU373="-&gt;",$AT373,$BC373))</f>
        <v/>
      </c>
      <c r="BQ373" s="127" t="str">
        <f aca="false">IF(ISBLANK($C373),"",IF($BD373&lt;&gt;Constants!$B$6,$BD373,IF(ISNUMBER($BP373),RANK($BP373,$BP$9:$BP$508,1),COUNT($BP$9:$BP$508)+1)))</f>
        <v/>
      </c>
      <c r="BR373" s="127" t="str">
        <f aca="false">IF(ISBLANK($C373),"",IF($BD373&lt;&gt;Constants!$B$6,$BD373,COUNTIFS($BI$9:$BI$508,"&lt;"&amp;$BI373)+COUNTIFS($BI$9:$BI$508,$BI373,$BK$9:$BK$508,"&lt;"&amp;$BK373)+COUNTIFS($BI$9:$BI$508,$BI373,$BK$9:$BK$508,$BK373,$BM$9:$BM$508,"&lt;"&amp;$BM373)+COUNTIFS($BI$9:$BI$508,$BI373,$BK$9:$BK$508,$BK373,$BM$9:$BM$508,$BM373,$BO$9:$BO$508,"&lt;"&amp;$BO373)+COUNTIFS($BI$9:$BI$508,$BI373,$BK$9:$BK$508,$BK373,$BM$9:$BM$508,$BM373,$BO$9:$BO$508,$BO373,$BQ$9:$BQ$508,"&lt;"&amp;$BQ373)+1))</f>
        <v/>
      </c>
      <c r="BS373" s="127" t="str">
        <f aca="false">IF(ISBLANK($C373),"",IF($BD373&lt;&gt;Constants!$B$6,$BD373,$BI373-$BR373))</f>
        <v/>
      </c>
      <c r="BT373" s="133"/>
      <c r="BU373" s="134"/>
      <c r="BV373" s="134" t="str">
        <f aca="false">IF(ISBLANK($C373),"",IF($BD373&lt;&gt;Constants!$B$6,"",IF($AU373="-&gt;",2,1)))</f>
        <v/>
      </c>
      <c r="BW373" s="135" t="str">
        <f aca="false">IF(ISBLANK($C373),"",IF($BD373&lt;&gt;Constants!$B$6,"",IF($AU373="-&gt;",$AW373,$AN373)))</f>
        <v/>
      </c>
      <c r="BX373" s="135" t="str">
        <f aca="false">IF(ISBLANK($C373),"",IF($BD373&lt;&gt;Constants!$B$6,"",IF($AU373="-&gt;",$AX373,$AO373)))</f>
        <v/>
      </c>
      <c r="BY373" s="135" t="str">
        <f aca="false">IF(ISBLANK($C373),"",IF($BD373&lt;&gt;Constants!$B$6,"",IF($AU373="-&gt;",$AY373,$AP373)))</f>
        <v/>
      </c>
      <c r="BZ373" s="135" t="str">
        <f aca="false">IF(ISBLANK($C373),"",IF($BD373&lt;&gt;Constants!$B$6,"",IF($AU373="-&gt;",$AZ373,$AQ373)+$BG373))</f>
        <v/>
      </c>
      <c r="CA373" s="136" t="str">
        <f aca="false">IF(ISBLANK($C373),"",IF($BD373&lt;&gt;Constants!$B$6,$BD373,$BH373))</f>
        <v/>
      </c>
      <c r="CB373" s="137" t="str">
        <f aca="false">IF(ISBLANK($C373),"",$BE373)</f>
        <v/>
      </c>
      <c r="CC373" s="138" t="str">
        <f aca="false">IF(ISBLANK($C373),"",$BS373)</f>
        <v/>
      </c>
      <c r="CD373" s="138" t="str">
        <f aca="false">IF(ISBLANK($C373),"",$BR373)</f>
        <v/>
      </c>
      <c r="CE373" s="139" t="str">
        <f aca="false">IF(ISBLANK($C373),"",IF($CD373=Constants!$B$9,COUNTA($C$9:$C$508)+2,IF($CD373=Constants!$B$8,COUNTA($C$9:$C$508)+1,IF($CD373=Constants!$B$7,COUNTA($C$9:$C$508),$CD373))))</f>
        <v/>
      </c>
      <c r="CF373" s="9"/>
      <c r="CG373" s="140" t="n">
        <f aca="false">IF(OR(ISNUMBER($CD373),$CD373=Constants!$B$9,$CD373=Constants!$B$7,$CD373=Constants!$B$8),1,0)</f>
        <v>0</v>
      </c>
      <c r="CH373" s="140" t="n">
        <v>365</v>
      </c>
      <c r="CI373" s="140" t="str">
        <f aca="false">IF(ISBLANK($C373),"",IF(ISNUMBER($CE373),$CE373+ROW($B373)/1000,""))</f>
        <v/>
      </c>
      <c r="CJ373" s="140" t="str">
        <f aca="false">IF(ISNUMBER($CI373),RANK($CI373,$CI$9:$CI$508,1),"")</f>
        <v/>
      </c>
      <c r="CK373" s="140" t="str">
        <f aca="false">IF(ISBLANK($C373),"",$B373)</f>
        <v/>
      </c>
      <c r="CL373" s="140" t="str">
        <f aca="false">IF(ISBLANK($C373),"",$C373)</f>
        <v/>
      </c>
      <c r="CM373" s="140" t="str">
        <f aca="false">IF(ISBLANK($C373),"",$D373)</f>
        <v/>
      </c>
      <c r="CN373" s="141" t="str">
        <f aca="false">$CB373</f>
        <v/>
      </c>
      <c r="CO373" s="142" t="str">
        <f aca="false">$CA373</f>
        <v/>
      </c>
      <c r="CP373" s="140" t="str">
        <f aca="false">IF(ISBLANK($C373),"",$CD373)</f>
        <v/>
      </c>
      <c r="CQ373" s="143" t="str">
        <f aca="false">IF($CH373&gt;$CG$8,"",VLOOKUP($CH373,$CJ$9:$CP$508,7,FALSE()))</f>
        <v/>
      </c>
      <c r="CR373" s="144" t="str">
        <f aca="false">IF($CH373&gt;$CG$8,"",VLOOKUP($CH373,$CJ$9:$CP$508,2,FALSE()))</f>
        <v/>
      </c>
      <c r="CS373" s="144" t="str">
        <f aca="false">IF($CH373&gt;$CG$8,"",VLOOKUP($CH373,$CJ$9:$CP$508,3,FALSE()))</f>
        <v/>
      </c>
      <c r="CT373" s="144" t="str">
        <f aca="false">IF($CH373&gt;$CG$8,"",VLOOKUP($CH373,$CJ$9:$CP$508,4,FALSE()))</f>
        <v/>
      </c>
      <c r="CU373" s="144" t="str">
        <f aca="false">IF($CH373&gt;$CG$8,"",VLOOKUP($CH373,$CJ$9:$CP$508,5,FALSE()))</f>
        <v/>
      </c>
      <c r="CV373" s="145" t="str">
        <f aca="false">IF($CH373&gt;$CG$8,"",VLOOKUP($CH373,$CJ$9:$CP$508,6,FALSE()))</f>
        <v/>
      </c>
      <c r="CW373" s="71"/>
    </row>
    <row r="374" customFormat="false" ht="15.75" hidden="false" customHeight="false" outlineLevel="0" collapsed="false">
      <c r="A374" s="9"/>
      <c r="B374" s="150"/>
      <c r="C374" s="151"/>
      <c r="D374" s="152"/>
      <c r="E374" s="170"/>
      <c r="F374" s="154"/>
      <c r="G374" s="155"/>
      <c r="H374" s="171"/>
      <c r="I374" s="159"/>
      <c r="J374" s="120"/>
      <c r="K374" s="121"/>
      <c r="L374" s="122"/>
      <c r="M374" s="158"/>
      <c r="N374" s="159"/>
      <c r="O374" s="159"/>
      <c r="P374" s="120"/>
      <c r="Q374" s="122"/>
      <c r="R374" s="122"/>
      <c r="S374" s="158"/>
      <c r="T374" s="159"/>
      <c r="U374" s="126"/>
      <c r="V374" s="127"/>
      <c r="W374" s="127" t="str">
        <f aca="false">IF(ISBLANK($C374),"",IF(E374=Constants!$B$2,TRUE(),IF(E374=Constants!$B$3,FALSE(),TRUE())))</f>
        <v/>
      </c>
      <c r="X374" s="127" t="str">
        <f aca="false">IF(ISBLANK($C374),"",IF(F374=Constants!$B$2,TRUE(),IF(F374=Constants!$B$3,FALSE(),TRUE())))</f>
        <v/>
      </c>
      <c r="Y374" s="127" t="str">
        <f aca="false">IF(ISBLANK($C374),"",IF(G374=Constants!$B$2,TRUE(),IF(G374=Constants!$B$3,FALSE(),TRUE())))</f>
        <v/>
      </c>
      <c r="Z374" s="127" t="str">
        <f aca="false">IF(ISBLANK($C374),"",IF(H374=Constants!$B$2,TRUE(),IF(H374=Constants!$B$3,FALSE(),TRUE())))</f>
        <v/>
      </c>
      <c r="AA374" s="127" t="str">
        <f aca="false">IF(ISBLANK($C374),"",IF(I374=Constants!$B$2,TRUE(),IF(I374=Constants!$B$3,FALSE(),TRUE())))</f>
        <v/>
      </c>
      <c r="AB374" s="127" t="str">
        <f aca="false">IF(ISBLANK($C374),"",IF(J374=Constants!$B$4,TRUE(),IF(J374=Constants!$B$5,FALSE(),COUNTA(K374:M374)&gt;0)))</f>
        <v/>
      </c>
      <c r="AC374" s="128" t="str">
        <f aca="false">IF(ISBLANK($C374),"",IF(ISNUMBER(K374),IF(K374&gt;=0,K374,""),""))</f>
        <v/>
      </c>
      <c r="AD374" s="129" t="str">
        <f aca="false">IF(ISBLANK($C374),"",IF(ISNUMBER(L374),IF(L374&gt;=0,L374,""),""))</f>
        <v/>
      </c>
      <c r="AE374" s="127" t="str">
        <f aca="false">IF(ISBLANK($C374),"",IF(ISNUMBER(M374),IF(M374&gt;=0,MIN(M374,Constants!$B$22),""),""))</f>
        <v/>
      </c>
      <c r="AF374" s="127" t="str">
        <f aca="false">IF(ISBLANK($C374),"",IF(N374=Constants!$B$2,TRUE(),IF(N374=Constants!$B$3,FALSE(),TRUE())))</f>
        <v/>
      </c>
      <c r="AG374" s="127" t="str">
        <f aca="false">IF(ISBLANK($C374),"",IF(O374=Constants!$B$2,TRUE(),IF(O374=Constants!$B$3,FALSE(),TRUE())))</f>
        <v/>
      </c>
      <c r="AH374" s="127" t="str">
        <f aca="false">IF(ISBLANK($C374),"",IF(P374=Constants!$B$4,TRUE(),IF(P374=Constants!$B$5,FALSE(),COUNTA(Q374:S374)&gt;0)))</f>
        <v/>
      </c>
      <c r="AI374" s="128" t="str">
        <f aca="false">IF(ISBLANK($C374),"",IF(ISNUMBER(Q374),IF(Q374&gt;=0,Q374,""),""))</f>
        <v/>
      </c>
      <c r="AJ374" s="129" t="str">
        <f aca="false">IF(ISBLANK($C374),"",IF(ISNUMBER(R374),IF(R374&gt;=0,R374,""),""))</f>
        <v/>
      </c>
      <c r="AK374" s="127" t="str">
        <f aca="false">IF(ISBLANK($C374),"",IF(ISNUMBER(S374),IF(S374&gt;=0,MIN(S374,Constants!$B$22),""),""))</f>
        <v/>
      </c>
      <c r="AL374" s="127" t="str">
        <f aca="false">IF(ISBLANK($C374),"",IF(T374=Constants!$B$2,TRUE(),IF(T374=Constants!$B$3,FALSE(),FALSE())))</f>
        <v/>
      </c>
      <c r="AM374" s="126" t="str">
        <f aca="false">IF(ISBLANK($C374),"",AND($AB374,OR($AC374="",$AD374="",AND(NOT(ISBLANK($M374)),$AE374=""))))</f>
        <v/>
      </c>
      <c r="AN374" s="129" t="str">
        <f aca="false">IF($BD374&lt;&gt;Constants!$B$6,"",IF($AB374,Constants!$B$17*$AD374,Constants!$B$18))</f>
        <v/>
      </c>
      <c r="AO374" s="130" t="str">
        <f aca="false">IF($BD374&lt;&gt;Constants!$B$6,"",Constants!$B$19*IF($AB374,$AC374,0))</f>
        <v/>
      </c>
      <c r="AP374" s="130" t="str">
        <f aca="false">IF($BD374&lt;&gt;Constants!$B$6,"",IF(AND($AB374,ISNUMBER($AE374)),Constants!$B$20*(Constants!$B$21-$AE374),0))</f>
        <v/>
      </c>
      <c r="AQ374" s="130" t="str">
        <f aca="false">IF($BD374&lt;&gt;Constants!$B$6,"",IF($AA374,0,Constants!$B$12)+IF($Z374,0,Constants!$B$13)+IF($Y374,0,Constants!$B$14))</f>
        <v/>
      </c>
      <c r="AR374" s="131" t="str">
        <f aca="false">IF($BD374&lt;&gt;Constants!$B$6,"",Constants!$B$16+SUM($AN374:$AQ374))</f>
        <v/>
      </c>
      <c r="AS374" s="130" t="str">
        <f aca="false">IF($BD374&lt;&gt;Constants!$B$6,"",IF($AB374,$AD374,""))</f>
        <v/>
      </c>
      <c r="AT374" s="132" t="str">
        <f aca="false">IF($BD374&lt;&gt;Constants!$B$6,"",$AO374)</f>
        <v/>
      </c>
      <c r="AU374" s="127" t="str">
        <f aca="false">IF($BD374&lt;&gt;Constants!$B$6,"",IF(OR($BA374&lt;$AR374,AND($BA374=$AR374,OR(AND(ISNUMBER($BB374),OR(NOT(ISNUMBER($AS374)),$BB374&lt;$AS374)),AND(OR(AND($BB374="",$AS374=""),AND(ISNUMBER($BB374),ISNUMBER($AS374),$BB374=$AS374)),$BC374&lt;$AT374)))),"-&gt;","&lt;-"))</f>
        <v/>
      </c>
      <c r="AV374" s="126" t="str">
        <f aca="false">IF(ISBLANK($C374),"",AND($AH374,OR($AI374="",$AJ374="",AND(NOT(ISBLANK($S374)),$AK374=""))))</f>
        <v/>
      </c>
      <c r="AW374" s="129" t="str">
        <f aca="false">IF($BD374&lt;&gt;Constants!$B$6,"",IF($AH374,Constants!$B$17*$AJ374,Constants!$B$18))</f>
        <v/>
      </c>
      <c r="AX374" s="130" t="str">
        <f aca="false">IF($BD374&lt;&gt;Constants!$B$6,"",Constants!$B$19*IF($AH374,$AI374,0))</f>
        <v/>
      </c>
      <c r="AY374" s="130" t="str">
        <f aca="false">IF($BD374&lt;&gt;Constants!$B$6,"",IF(AND($AH374,ISNUMBER($AK374)),Constants!$B$20*(Constants!$B$21-$AK374),0))</f>
        <v/>
      </c>
      <c r="AZ374" s="130" t="str">
        <f aca="false">IF($BD374&lt;&gt;Constants!$B$6,"",IF($AG374,0,Constants!$B$12)+IF($AF374,0,Constants!$B$13)+IF($Y374,0,Constants!$B$14))</f>
        <v/>
      </c>
      <c r="BA374" s="131" t="str">
        <f aca="false">IF($BD374&lt;&gt;Constants!$B$6,"",Constants!$B$16+SUM($AW374:$AZ374))</f>
        <v/>
      </c>
      <c r="BB374" s="130" t="str">
        <f aca="false">IF($BD374&lt;&gt;Constants!$B$6,"",IF($AH374,$AJ374,""))</f>
        <v/>
      </c>
      <c r="BC374" s="132" t="str">
        <f aca="false">IF($BD374&lt;&gt;Constants!$B$6,"",$AX374)</f>
        <v/>
      </c>
      <c r="BD374" s="127" t="str">
        <f aca="false">IF(ISBLANK($C374),"",IF($AL374,Constants!$B$9,IF(COUNTA($E374:$T374)=0,Constants!$B$8,IF(NOT($X374),Constants!$B$7,IF(OR($AM374,$AV374),Constants!$B$10,Constants!$B$6)))))</f>
        <v/>
      </c>
      <c r="BE374" s="127" t="str">
        <f aca="false">IF(ISBLANK($C374),"",IF($BD374&lt;&gt;Constants!$B$6,$BD374,Constants!$B$11))</f>
        <v/>
      </c>
      <c r="BF374" s="130" t="str">
        <f aca="false">IF($BD374&lt;&gt;Constants!$B$6,"",IF($AU374="-&gt;",$BA374,$AR374))</f>
        <v/>
      </c>
      <c r="BG374" s="130" t="str">
        <f aca="false">IF($BD374&lt;&gt;Constants!$B$6,"",IF($W374,0,Constants!$B$15))</f>
        <v/>
      </c>
      <c r="BH374" s="130" t="str">
        <f aca="false">IF(ISBLANK($C374),"",IF($BD374&lt;&gt;Constants!$B$6,$BD374,SUM($BF374:$BG374)))</f>
        <v/>
      </c>
      <c r="BI374" s="127" t="str">
        <f aca="false">IF(ISBLANK($C374),"",IF($BD374&lt;&gt;Constants!$B$6,$BD374,RANK($BH374,$BH$9:$BH$508,1)))</f>
        <v/>
      </c>
      <c r="BJ374" s="130" t="str">
        <f aca="false">IF($BD374&lt;&gt;Constants!$B$6,"",IF($AU374="-&gt;",$BB374,$AS374))</f>
        <v/>
      </c>
      <c r="BK374" s="127" t="str">
        <f aca="false">IF(ISBLANK($C374),"",IF($BD374&lt;&gt;Constants!$B$6,$BD374,IF(ISNUMBER($BJ374),RANK($BJ374,$BJ$9:$BJ$508,1),COUNT($BJ$9:$BJ$508)+1)))</f>
        <v/>
      </c>
      <c r="BL374" s="130" t="str">
        <f aca="false">IF($BD374&lt;&gt;Constants!$B$6,"",IF($AU374="-&gt;",$BC374,$AT374))</f>
        <v/>
      </c>
      <c r="BM374" s="127" t="str">
        <f aca="false">IF(ISBLANK($C374),"",IF($BD374&lt;&gt;Constants!$B$6,$BD374,IF(ISNUMBER($BL374),RANK($BL374,$BL$9:$BL$508,1),COUNT($BL$9:$BL$508)+1)))</f>
        <v/>
      </c>
      <c r="BN374" s="130" t="str">
        <f aca="false">IF($BD374&lt;&gt;Constants!$B$6,"",IF($AU374="-&gt;",$AS374,$BB374))</f>
        <v/>
      </c>
      <c r="BO374" s="127" t="str">
        <f aca="false">IF(ISBLANK($C374),"",IF($BD374&lt;&gt;Constants!$B$6,$BD374,IF(ISNUMBER($BN374),RANK($BN374,$BN$9:$BN$508,1),COUNT($BN$9:$BN$508)+1)))</f>
        <v/>
      </c>
      <c r="BP374" s="130" t="str">
        <f aca="false">IF($BD374&lt;&gt;Constants!$B$6,"",IF($AU374="-&gt;",$AT374,$BC374))</f>
        <v/>
      </c>
      <c r="BQ374" s="127" t="str">
        <f aca="false">IF(ISBLANK($C374),"",IF($BD374&lt;&gt;Constants!$B$6,$BD374,IF(ISNUMBER($BP374),RANK($BP374,$BP$9:$BP$508,1),COUNT($BP$9:$BP$508)+1)))</f>
        <v/>
      </c>
      <c r="BR374" s="127" t="str">
        <f aca="false">IF(ISBLANK($C374),"",IF($BD374&lt;&gt;Constants!$B$6,$BD374,COUNTIFS($BI$9:$BI$508,"&lt;"&amp;$BI374)+COUNTIFS($BI$9:$BI$508,$BI374,$BK$9:$BK$508,"&lt;"&amp;$BK374)+COUNTIFS($BI$9:$BI$508,$BI374,$BK$9:$BK$508,$BK374,$BM$9:$BM$508,"&lt;"&amp;$BM374)+COUNTIFS($BI$9:$BI$508,$BI374,$BK$9:$BK$508,$BK374,$BM$9:$BM$508,$BM374,$BO$9:$BO$508,"&lt;"&amp;$BO374)+COUNTIFS($BI$9:$BI$508,$BI374,$BK$9:$BK$508,$BK374,$BM$9:$BM$508,$BM374,$BO$9:$BO$508,$BO374,$BQ$9:$BQ$508,"&lt;"&amp;$BQ374)+1))</f>
        <v/>
      </c>
      <c r="BS374" s="127" t="str">
        <f aca="false">IF(ISBLANK($C374),"",IF($BD374&lt;&gt;Constants!$B$6,$BD374,$BI374-$BR374))</f>
        <v/>
      </c>
      <c r="BT374" s="133"/>
      <c r="BU374" s="134"/>
      <c r="BV374" s="134" t="str">
        <f aca="false">IF(ISBLANK($C374),"",IF($BD374&lt;&gt;Constants!$B$6,"",IF($AU374="-&gt;",2,1)))</f>
        <v/>
      </c>
      <c r="BW374" s="135" t="str">
        <f aca="false">IF(ISBLANK($C374),"",IF($BD374&lt;&gt;Constants!$B$6,"",IF($AU374="-&gt;",$AW374,$AN374)))</f>
        <v/>
      </c>
      <c r="BX374" s="135" t="str">
        <f aca="false">IF(ISBLANK($C374),"",IF($BD374&lt;&gt;Constants!$B$6,"",IF($AU374="-&gt;",$AX374,$AO374)))</f>
        <v/>
      </c>
      <c r="BY374" s="135" t="str">
        <f aca="false">IF(ISBLANK($C374),"",IF($BD374&lt;&gt;Constants!$B$6,"",IF($AU374="-&gt;",$AY374,$AP374)))</f>
        <v/>
      </c>
      <c r="BZ374" s="135" t="str">
        <f aca="false">IF(ISBLANK($C374),"",IF($BD374&lt;&gt;Constants!$B$6,"",IF($AU374="-&gt;",$AZ374,$AQ374)+$BG374))</f>
        <v/>
      </c>
      <c r="CA374" s="136" t="str">
        <f aca="false">IF(ISBLANK($C374),"",IF($BD374&lt;&gt;Constants!$B$6,$BD374,$BH374))</f>
        <v/>
      </c>
      <c r="CB374" s="137" t="str">
        <f aca="false">IF(ISBLANK($C374),"",$BE374)</f>
        <v/>
      </c>
      <c r="CC374" s="138" t="str">
        <f aca="false">IF(ISBLANK($C374),"",$BS374)</f>
        <v/>
      </c>
      <c r="CD374" s="138" t="str">
        <f aca="false">IF(ISBLANK($C374),"",$BR374)</f>
        <v/>
      </c>
      <c r="CE374" s="139" t="str">
        <f aca="false">IF(ISBLANK($C374),"",IF($CD374=Constants!$B$9,COUNTA($C$9:$C$508)+2,IF($CD374=Constants!$B$8,COUNTA($C$9:$C$508)+1,IF($CD374=Constants!$B$7,COUNTA($C$9:$C$508),$CD374))))</f>
        <v/>
      </c>
      <c r="CF374" s="9"/>
      <c r="CG374" s="140" t="n">
        <f aca="false">IF(OR(ISNUMBER($CD374),$CD374=Constants!$B$9,$CD374=Constants!$B$7,$CD374=Constants!$B$8),1,0)</f>
        <v>0</v>
      </c>
      <c r="CH374" s="140" t="n">
        <v>366</v>
      </c>
      <c r="CI374" s="140" t="str">
        <f aca="false">IF(ISBLANK($C374),"",IF(ISNUMBER($CE374),$CE374+ROW($B374)/1000,""))</f>
        <v/>
      </c>
      <c r="CJ374" s="140" t="str">
        <f aca="false">IF(ISNUMBER($CI374),RANK($CI374,$CI$9:$CI$508,1),"")</f>
        <v/>
      </c>
      <c r="CK374" s="140" t="str">
        <f aca="false">IF(ISBLANK($C374),"",$B374)</f>
        <v/>
      </c>
      <c r="CL374" s="140" t="str">
        <f aca="false">IF(ISBLANK($C374),"",$C374)</f>
        <v/>
      </c>
      <c r="CM374" s="140" t="str">
        <f aca="false">IF(ISBLANK($C374),"",$D374)</f>
        <v/>
      </c>
      <c r="CN374" s="141" t="str">
        <f aca="false">$CB374</f>
        <v/>
      </c>
      <c r="CO374" s="142" t="str">
        <f aca="false">$CA374</f>
        <v/>
      </c>
      <c r="CP374" s="140" t="str">
        <f aca="false">IF(ISBLANK($C374),"",$CD374)</f>
        <v/>
      </c>
      <c r="CQ374" s="143" t="str">
        <f aca="false">IF($CH374&gt;$CG$8,"",VLOOKUP($CH374,$CJ$9:$CP$508,7,FALSE()))</f>
        <v/>
      </c>
      <c r="CR374" s="144" t="str">
        <f aca="false">IF($CH374&gt;$CG$8,"",VLOOKUP($CH374,$CJ$9:$CP$508,2,FALSE()))</f>
        <v/>
      </c>
      <c r="CS374" s="144" t="str">
        <f aca="false">IF($CH374&gt;$CG$8,"",VLOOKUP($CH374,$CJ$9:$CP$508,3,FALSE()))</f>
        <v/>
      </c>
      <c r="CT374" s="144" t="str">
        <f aca="false">IF($CH374&gt;$CG$8,"",VLOOKUP($CH374,$CJ$9:$CP$508,4,FALSE()))</f>
        <v/>
      </c>
      <c r="CU374" s="144" t="str">
        <f aca="false">IF($CH374&gt;$CG$8,"",VLOOKUP($CH374,$CJ$9:$CP$508,5,FALSE()))</f>
        <v/>
      </c>
      <c r="CV374" s="145" t="str">
        <f aca="false">IF($CH374&gt;$CG$8,"",VLOOKUP($CH374,$CJ$9:$CP$508,6,FALSE()))</f>
        <v/>
      </c>
      <c r="CW374" s="71"/>
    </row>
    <row r="375" customFormat="false" ht="15.75" hidden="false" customHeight="false" outlineLevel="0" collapsed="false">
      <c r="A375" s="9"/>
      <c r="B375" s="72"/>
      <c r="C375" s="73"/>
      <c r="D375" s="160"/>
      <c r="E375" s="168"/>
      <c r="F375" s="162"/>
      <c r="G375" s="163"/>
      <c r="H375" s="169"/>
      <c r="I375" s="167"/>
      <c r="J375" s="80"/>
      <c r="K375" s="81"/>
      <c r="L375" s="82"/>
      <c r="M375" s="166"/>
      <c r="N375" s="167"/>
      <c r="O375" s="167"/>
      <c r="P375" s="80"/>
      <c r="Q375" s="82"/>
      <c r="R375" s="82"/>
      <c r="S375" s="166"/>
      <c r="T375" s="167"/>
      <c r="U375" s="86"/>
      <c r="V375" s="87"/>
      <c r="W375" s="87" t="str">
        <f aca="false">IF(ISBLANK($C375),"",IF(E375=Constants!$B$2,TRUE(),IF(E375=Constants!$B$3,FALSE(),TRUE())))</f>
        <v/>
      </c>
      <c r="X375" s="87" t="str">
        <f aca="false">IF(ISBLANK($C375),"",IF(F375=Constants!$B$2,TRUE(),IF(F375=Constants!$B$3,FALSE(),TRUE())))</f>
        <v/>
      </c>
      <c r="Y375" s="87" t="str">
        <f aca="false">IF(ISBLANK($C375),"",IF(G375=Constants!$B$2,TRUE(),IF(G375=Constants!$B$3,FALSE(),TRUE())))</f>
        <v/>
      </c>
      <c r="Z375" s="87" t="str">
        <f aca="false">IF(ISBLANK($C375),"",IF(H375=Constants!$B$2,TRUE(),IF(H375=Constants!$B$3,FALSE(),TRUE())))</f>
        <v/>
      </c>
      <c r="AA375" s="87" t="str">
        <f aca="false">IF(ISBLANK($C375),"",IF(I375=Constants!$B$2,TRUE(),IF(I375=Constants!$B$3,FALSE(),TRUE())))</f>
        <v/>
      </c>
      <c r="AB375" s="87" t="str">
        <f aca="false">IF(ISBLANK($C375),"",IF(J375=Constants!$B$4,TRUE(),IF(J375=Constants!$B$5,FALSE(),COUNTA(K375:M375)&gt;0)))</f>
        <v/>
      </c>
      <c r="AC375" s="88" t="str">
        <f aca="false">IF(ISBLANK($C375),"",IF(ISNUMBER(K375),IF(K375&gt;=0,K375,""),""))</f>
        <v/>
      </c>
      <c r="AD375" s="89" t="str">
        <f aca="false">IF(ISBLANK($C375),"",IF(ISNUMBER(L375),IF(L375&gt;=0,L375,""),""))</f>
        <v/>
      </c>
      <c r="AE375" s="87" t="str">
        <f aca="false">IF(ISBLANK($C375),"",IF(ISNUMBER(M375),IF(M375&gt;=0,MIN(M375,Constants!$B$22),""),""))</f>
        <v/>
      </c>
      <c r="AF375" s="87" t="str">
        <f aca="false">IF(ISBLANK($C375),"",IF(N375=Constants!$B$2,TRUE(),IF(N375=Constants!$B$3,FALSE(),TRUE())))</f>
        <v/>
      </c>
      <c r="AG375" s="87" t="str">
        <f aca="false">IF(ISBLANK($C375),"",IF(O375=Constants!$B$2,TRUE(),IF(O375=Constants!$B$3,FALSE(),TRUE())))</f>
        <v/>
      </c>
      <c r="AH375" s="87" t="str">
        <f aca="false">IF(ISBLANK($C375),"",IF(P375=Constants!$B$4,TRUE(),IF(P375=Constants!$B$5,FALSE(),COUNTA(Q375:S375)&gt;0)))</f>
        <v/>
      </c>
      <c r="AI375" s="88" t="str">
        <f aca="false">IF(ISBLANK($C375),"",IF(ISNUMBER(Q375),IF(Q375&gt;=0,Q375,""),""))</f>
        <v/>
      </c>
      <c r="AJ375" s="89" t="str">
        <f aca="false">IF(ISBLANK($C375),"",IF(ISNUMBER(R375),IF(R375&gt;=0,R375,""),""))</f>
        <v/>
      </c>
      <c r="AK375" s="87" t="str">
        <f aca="false">IF(ISBLANK($C375),"",IF(ISNUMBER(S375),IF(S375&gt;=0,MIN(S375,Constants!$B$22),""),""))</f>
        <v/>
      </c>
      <c r="AL375" s="87" t="str">
        <f aca="false">IF(ISBLANK($C375),"",IF(T375=Constants!$B$2,TRUE(),IF(T375=Constants!$B$3,FALSE(),FALSE())))</f>
        <v/>
      </c>
      <c r="AM375" s="86" t="str">
        <f aca="false">IF(ISBLANK($C375),"",AND($AB375,OR($AC375="",$AD375="",AND(NOT(ISBLANK($M375)),$AE375=""))))</f>
        <v/>
      </c>
      <c r="AN375" s="89" t="str">
        <f aca="false">IF($BD375&lt;&gt;Constants!$B$6,"",IF($AB375,Constants!$B$17*$AD375,Constants!$B$18))</f>
        <v/>
      </c>
      <c r="AO375" s="91" t="str">
        <f aca="false">IF($BD375&lt;&gt;Constants!$B$6,"",Constants!$B$19*IF($AB375,$AC375,0))</f>
        <v/>
      </c>
      <c r="AP375" s="91" t="str">
        <f aca="false">IF($BD375&lt;&gt;Constants!$B$6,"",IF(AND($AB375,ISNUMBER($AE375)),Constants!$B$20*(Constants!$B$21-$AE375),0))</f>
        <v/>
      </c>
      <c r="AQ375" s="91" t="str">
        <f aca="false">IF($BD375&lt;&gt;Constants!$B$6,"",IF($AA375,0,Constants!$B$12)+IF($Z375,0,Constants!$B$13)+IF($Y375,0,Constants!$B$14))</f>
        <v/>
      </c>
      <c r="AR375" s="92" t="str">
        <f aca="false">IF($BD375&lt;&gt;Constants!$B$6,"",Constants!$B$16+SUM($AN375:$AQ375))</f>
        <v/>
      </c>
      <c r="AS375" s="91" t="str">
        <f aca="false">IF($BD375&lt;&gt;Constants!$B$6,"",IF($AB375,$AD375,""))</f>
        <v/>
      </c>
      <c r="AT375" s="93" t="str">
        <f aca="false">IF($BD375&lt;&gt;Constants!$B$6,"",$AO375)</f>
        <v/>
      </c>
      <c r="AU375" s="87" t="str">
        <f aca="false">IF($BD375&lt;&gt;Constants!$B$6,"",IF(OR($BA375&lt;$AR375,AND($BA375=$AR375,OR(AND(ISNUMBER($BB375),OR(NOT(ISNUMBER($AS375)),$BB375&lt;$AS375)),AND(OR(AND($BB375="",$AS375=""),AND(ISNUMBER($BB375),ISNUMBER($AS375),$BB375=$AS375)),$BC375&lt;$AT375)))),"-&gt;","&lt;-"))</f>
        <v/>
      </c>
      <c r="AV375" s="86" t="str">
        <f aca="false">IF(ISBLANK($C375),"",AND($AH375,OR($AI375="",$AJ375="",AND(NOT(ISBLANK($S375)),$AK375=""))))</f>
        <v/>
      </c>
      <c r="AW375" s="89" t="str">
        <f aca="false">IF($BD375&lt;&gt;Constants!$B$6,"",IF($AH375,Constants!$B$17*$AJ375,Constants!$B$18))</f>
        <v/>
      </c>
      <c r="AX375" s="91" t="str">
        <f aca="false">IF($BD375&lt;&gt;Constants!$B$6,"",Constants!$B$19*IF($AH375,$AI375,0))</f>
        <v/>
      </c>
      <c r="AY375" s="91" t="str">
        <f aca="false">IF($BD375&lt;&gt;Constants!$B$6,"",IF(AND($AH375,ISNUMBER($AK375)),Constants!$B$20*(Constants!$B$21-$AK375),0))</f>
        <v/>
      </c>
      <c r="AZ375" s="91" t="str">
        <f aca="false">IF($BD375&lt;&gt;Constants!$B$6,"",IF($AG375,0,Constants!$B$12)+IF($AF375,0,Constants!$B$13)+IF($Y375,0,Constants!$B$14))</f>
        <v/>
      </c>
      <c r="BA375" s="92" t="str">
        <f aca="false">IF($BD375&lt;&gt;Constants!$B$6,"",Constants!$B$16+SUM($AW375:$AZ375))</f>
        <v/>
      </c>
      <c r="BB375" s="91" t="str">
        <f aca="false">IF($BD375&lt;&gt;Constants!$B$6,"",IF($AH375,$AJ375,""))</f>
        <v/>
      </c>
      <c r="BC375" s="93" t="str">
        <f aca="false">IF($BD375&lt;&gt;Constants!$B$6,"",$AX375)</f>
        <v/>
      </c>
      <c r="BD375" s="87" t="str">
        <f aca="false">IF(ISBLANK($C375),"",IF($AL375,Constants!$B$9,IF(COUNTA($E375:$T375)=0,Constants!$B$8,IF(NOT($X375),Constants!$B$7,IF(OR($AM375,$AV375),Constants!$B$10,Constants!$B$6)))))</f>
        <v/>
      </c>
      <c r="BE375" s="87" t="str">
        <f aca="false">IF(ISBLANK($C375),"",IF($BD375&lt;&gt;Constants!$B$6,$BD375,Constants!$B$11))</f>
        <v/>
      </c>
      <c r="BF375" s="91" t="str">
        <f aca="false">IF($BD375&lt;&gt;Constants!$B$6,"",IF($AU375="-&gt;",$BA375,$AR375))</f>
        <v/>
      </c>
      <c r="BG375" s="91" t="str">
        <f aca="false">IF($BD375&lt;&gt;Constants!$B$6,"",IF($W375,0,Constants!$B$15))</f>
        <v/>
      </c>
      <c r="BH375" s="91" t="str">
        <f aca="false">IF(ISBLANK($C375),"",IF($BD375&lt;&gt;Constants!$B$6,$BD375,SUM($BF375:$BG375)))</f>
        <v/>
      </c>
      <c r="BI375" s="87" t="str">
        <f aca="false">IF(ISBLANK($C375),"",IF($BD375&lt;&gt;Constants!$B$6,$BD375,RANK($BH375,$BH$9:$BH$508,1)))</f>
        <v/>
      </c>
      <c r="BJ375" s="91" t="str">
        <f aca="false">IF($BD375&lt;&gt;Constants!$B$6,"",IF($AU375="-&gt;",$BB375,$AS375))</f>
        <v/>
      </c>
      <c r="BK375" s="87" t="str">
        <f aca="false">IF(ISBLANK($C375),"",IF($BD375&lt;&gt;Constants!$B$6,$BD375,IF(ISNUMBER($BJ375),RANK($BJ375,$BJ$9:$BJ$508,1),COUNT($BJ$9:$BJ$508)+1)))</f>
        <v/>
      </c>
      <c r="BL375" s="91" t="str">
        <f aca="false">IF($BD375&lt;&gt;Constants!$B$6,"",IF($AU375="-&gt;",$BC375,$AT375))</f>
        <v/>
      </c>
      <c r="BM375" s="87" t="str">
        <f aca="false">IF(ISBLANK($C375),"",IF($BD375&lt;&gt;Constants!$B$6,$BD375,IF(ISNUMBER($BL375),RANK($BL375,$BL$9:$BL$508,1),COUNT($BL$9:$BL$508)+1)))</f>
        <v/>
      </c>
      <c r="BN375" s="91" t="str">
        <f aca="false">IF($BD375&lt;&gt;Constants!$B$6,"",IF($AU375="-&gt;",$AS375,$BB375))</f>
        <v/>
      </c>
      <c r="BO375" s="87" t="str">
        <f aca="false">IF(ISBLANK($C375),"",IF($BD375&lt;&gt;Constants!$B$6,$BD375,IF(ISNUMBER($BN375),RANK($BN375,$BN$9:$BN$508,1),COUNT($BN$9:$BN$508)+1)))</f>
        <v/>
      </c>
      <c r="BP375" s="91" t="str">
        <f aca="false">IF($BD375&lt;&gt;Constants!$B$6,"",IF($AU375="-&gt;",$AT375,$BC375))</f>
        <v/>
      </c>
      <c r="BQ375" s="87" t="str">
        <f aca="false">IF(ISBLANK($C375),"",IF($BD375&lt;&gt;Constants!$B$6,$BD375,IF(ISNUMBER($BP375),RANK($BP375,$BP$9:$BP$508,1),COUNT($BP$9:$BP$508)+1)))</f>
        <v/>
      </c>
      <c r="BR375" s="87" t="str">
        <f aca="false">IF(ISBLANK($C375),"",IF($BD375&lt;&gt;Constants!$B$6,$BD375,COUNTIFS($BI$9:$BI$508,"&lt;"&amp;$BI375)+COUNTIFS($BI$9:$BI$508,$BI375,$BK$9:$BK$508,"&lt;"&amp;$BK375)+COUNTIFS($BI$9:$BI$508,$BI375,$BK$9:$BK$508,$BK375,$BM$9:$BM$508,"&lt;"&amp;$BM375)+COUNTIFS($BI$9:$BI$508,$BI375,$BK$9:$BK$508,$BK375,$BM$9:$BM$508,$BM375,$BO$9:$BO$508,"&lt;"&amp;$BO375)+COUNTIFS($BI$9:$BI$508,$BI375,$BK$9:$BK$508,$BK375,$BM$9:$BM$508,$BM375,$BO$9:$BO$508,$BO375,$BQ$9:$BQ$508,"&lt;"&amp;$BQ375)+1))</f>
        <v/>
      </c>
      <c r="BS375" s="87" t="str">
        <f aca="false">IF(ISBLANK($C375),"",IF($BD375&lt;&gt;Constants!$B$6,$BD375,$BI375-$BR375))</f>
        <v/>
      </c>
      <c r="BT375" s="94"/>
      <c r="BU375" s="95"/>
      <c r="BV375" s="95" t="str">
        <f aca="false">IF(ISBLANK($C375),"",IF($BD375&lt;&gt;Constants!$B$6,"",IF($AU375="-&gt;",2,1)))</f>
        <v/>
      </c>
      <c r="BW375" s="96" t="str">
        <f aca="false">IF(ISBLANK($C375),"",IF($BD375&lt;&gt;Constants!$B$6,"",IF($AU375="-&gt;",$AW375,$AN375)))</f>
        <v/>
      </c>
      <c r="BX375" s="96" t="str">
        <f aca="false">IF(ISBLANK($C375),"",IF($BD375&lt;&gt;Constants!$B$6,"",IF($AU375="-&gt;",$AX375,$AO375)))</f>
        <v/>
      </c>
      <c r="BY375" s="96" t="str">
        <f aca="false">IF(ISBLANK($C375),"",IF($BD375&lt;&gt;Constants!$B$6,"",IF($AU375="-&gt;",$AY375,$AP375)))</f>
        <v/>
      </c>
      <c r="BZ375" s="96" t="str">
        <f aca="false">IF(ISBLANK($C375),"",IF($BD375&lt;&gt;Constants!$B$6,"",IF($AU375="-&gt;",$AZ375,$AQ375)+$BG375))</f>
        <v/>
      </c>
      <c r="CA375" s="97" t="str">
        <f aca="false">IF(ISBLANK($C375),"",IF($BD375&lt;&gt;Constants!$B$6,$BD375,$BH375))</f>
        <v/>
      </c>
      <c r="CB375" s="98" t="str">
        <f aca="false">IF(ISBLANK($C375),"",$BE375)</f>
        <v/>
      </c>
      <c r="CC375" s="99" t="str">
        <f aca="false">IF(ISBLANK($C375),"",$BS375)</f>
        <v/>
      </c>
      <c r="CD375" s="99" t="str">
        <f aca="false">IF(ISBLANK($C375),"",$BR375)</f>
        <v/>
      </c>
      <c r="CE375" s="100" t="str">
        <f aca="false">IF(ISBLANK($C375),"",IF($CD375=Constants!$B$9,COUNTA($C$9:$C$508)+2,IF($CD375=Constants!$B$8,COUNTA($C$9:$C$508)+1,IF($CD375=Constants!$B$7,COUNTA($C$9:$C$508),$CD375))))</f>
        <v/>
      </c>
      <c r="CF375" s="9"/>
      <c r="CG375" s="101" t="n">
        <f aca="false">IF(OR(ISNUMBER($CD375),$CD375=Constants!$B$9,$CD375=Constants!$B$7,$CD375=Constants!$B$8),1,0)</f>
        <v>0</v>
      </c>
      <c r="CH375" s="101" t="n">
        <v>367</v>
      </c>
      <c r="CI375" s="101" t="str">
        <f aca="false">IF(ISBLANK($C375),"",IF(ISNUMBER($CE375),$CE375+ROW($B375)/1000,""))</f>
        <v/>
      </c>
      <c r="CJ375" s="101" t="str">
        <f aca="false">IF(ISNUMBER($CI375),RANK($CI375,$CI$9:$CI$508,1),"")</f>
        <v/>
      </c>
      <c r="CK375" s="101" t="str">
        <f aca="false">IF(ISBLANK($C375),"",$B375)</f>
        <v/>
      </c>
      <c r="CL375" s="101" t="str">
        <f aca="false">IF(ISBLANK($C375),"",$C375)</f>
        <v/>
      </c>
      <c r="CM375" s="101" t="str">
        <f aca="false">IF(ISBLANK($C375),"",$D375)</f>
        <v/>
      </c>
      <c r="CN375" s="102" t="str">
        <f aca="false">$CB375</f>
        <v/>
      </c>
      <c r="CO375" s="103" t="str">
        <f aca="false">$CA375</f>
        <v/>
      </c>
      <c r="CP375" s="101" t="str">
        <f aca="false">IF(ISBLANK($C375),"",$CD375)</f>
        <v/>
      </c>
      <c r="CQ375" s="104" t="str">
        <f aca="false">IF($CH375&gt;$CG$8,"",VLOOKUP($CH375,$CJ$9:$CP$508,7,FALSE()))</f>
        <v/>
      </c>
      <c r="CR375" s="105" t="str">
        <f aca="false">IF($CH375&gt;$CG$8,"",VLOOKUP($CH375,$CJ$9:$CP$508,2,FALSE()))</f>
        <v/>
      </c>
      <c r="CS375" s="105" t="str">
        <f aca="false">IF($CH375&gt;$CG$8,"",VLOOKUP($CH375,$CJ$9:$CP$508,3,FALSE()))</f>
        <v/>
      </c>
      <c r="CT375" s="105" t="str">
        <f aca="false">IF($CH375&gt;$CG$8,"",VLOOKUP($CH375,$CJ$9:$CP$508,4,FALSE()))</f>
        <v/>
      </c>
      <c r="CU375" s="105" t="str">
        <f aca="false">IF($CH375&gt;$CG$8,"",VLOOKUP($CH375,$CJ$9:$CP$508,5,FALSE()))</f>
        <v/>
      </c>
      <c r="CV375" s="106" t="str">
        <f aca="false">IF($CH375&gt;$CG$8,"",VLOOKUP($CH375,$CJ$9:$CP$508,6,FALSE()))</f>
        <v/>
      </c>
      <c r="CW375" s="71"/>
    </row>
    <row r="376" customFormat="false" ht="15.75" hidden="false" customHeight="false" outlineLevel="0" collapsed="false">
      <c r="A376" s="9"/>
      <c r="B376" s="72"/>
      <c r="C376" s="73"/>
      <c r="D376" s="160"/>
      <c r="E376" s="168"/>
      <c r="F376" s="162"/>
      <c r="G376" s="163"/>
      <c r="H376" s="169"/>
      <c r="I376" s="167"/>
      <c r="J376" s="80"/>
      <c r="K376" s="81"/>
      <c r="L376" s="82"/>
      <c r="M376" s="166"/>
      <c r="N376" s="167"/>
      <c r="O376" s="167"/>
      <c r="P376" s="80"/>
      <c r="Q376" s="82"/>
      <c r="R376" s="82"/>
      <c r="S376" s="166"/>
      <c r="T376" s="167"/>
      <c r="U376" s="86"/>
      <c r="V376" s="87"/>
      <c r="W376" s="87" t="str">
        <f aca="false">IF(ISBLANK($C376),"",IF(E376=Constants!$B$2,TRUE(),IF(E376=Constants!$B$3,FALSE(),TRUE())))</f>
        <v/>
      </c>
      <c r="X376" s="87" t="str">
        <f aca="false">IF(ISBLANK($C376),"",IF(F376=Constants!$B$2,TRUE(),IF(F376=Constants!$B$3,FALSE(),TRUE())))</f>
        <v/>
      </c>
      <c r="Y376" s="87" t="str">
        <f aca="false">IF(ISBLANK($C376),"",IF(G376=Constants!$B$2,TRUE(),IF(G376=Constants!$B$3,FALSE(),TRUE())))</f>
        <v/>
      </c>
      <c r="Z376" s="87" t="str">
        <f aca="false">IF(ISBLANK($C376),"",IF(H376=Constants!$B$2,TRUE(),IF(H376=Constants!$B$3,FALSE(),TRUE())))</f>
        <v/>
      </c>
      <c r="AA376" s="87" t="str">
        <f aca="false">IF(ISBLANK($C376),"",IF(I376=Constants!$B$2,TRUE(),IF(I376=Constants!$B$3,FALSE(),TRUE())))</f>
        <v/>
      </c>
      <c r="AB376" s="87" t="str">
        <f aca="false">IF(ISBLANK($C376),"",IF(J376=Constants!$B$4,TRUE(),IF(J376=Constants!$B$5,FALSE(),COUNTA(K376:M376)&gt;0)))</f>
        <v/>
      </c>
      <c r="AC376" s="88" t="str">
        <f aca="false">IF(ISBLANK($C376),"",IF(ISNUMBER(K376),IF(K376&gt;=0,K376,""),""))</f>
        <v/>
      </c>
      <c r="AD376" s="89" t="str">
        <f aca="false">IF(ISBLANK($C376),"",IF(ISNUMBER(L376),IF(L376&gt;=0,L376,""),""))</f>
        <v/>
      </c>
      <c r="AE376" s="87" t="str">
        <f aca="false">IF(ISBLANK($C376),"",IF(ISNUMBER(M376),IF(M376&gt;=0,MIN(M376,Constants!$B$22),""),""))</f>
        <v/>
      </c>
      <c r="AF376" s="87" t="str">
        <f aca="false">IF(ISBLANK($C376),"",IF(N376=Constants!$B$2,TRUE(),IF(N376=Constants!$B$3,FALSE(),TRUE())))</f>
        <v/>
      </c>
      <c r="AG376" s="87" t="str">
        <f aca="false">IF(ISBLANK($C376),"",IF(O376=Constants!$B$2,TRUE(),IF(O376=Constants!$B$3,FALSE(),TRUE())))</f>
        <v/>
      </c>
      <c r="AH376" s="87" t="str">
        <f aca="false">IF(ISBLANK($C376),"",IF(P376=Constants!$B$4,TRUE(),IF(P376=Constants!$B$5,FALSE(),COUNTA(Q376:S376)&gt;0)))</f>
        <v/>
      </c>
      <c r="AI376" s="88" t="str">
        <f aca="false">IF(ISBLANK($C376),"",IF(ISNUMBER(Q376),IF(Q376&gt;=0,Q376,""),""))</f>
        <v/>
      </c>
      <c r="AJ376" s="89" t="str">
        <f aca="false">IF(ISBLANK($C376),"",IF(ISNUMBER(R376),IF(R376&gt;=0,R376,""),""))</f>
        <v/>
      </c>
      <c r="AK376" s="87" t="str">
        <f aca="false">IF(ISBLANK($C376),"",IF(ISNUMBER(S376),IF(S376&gt;=0,MIN(S376,Constants!$B$22),""),""))</f>
        <v/>
      </c>
      <c r="AL376" s="87" t="str">
        <f aca="false">IF(ISBLANK($C376),"",IF(T376=Constants!$B$2,TRUE(),IF(T376=Constants!$B$3,FALSE(),FALSE())))</f>
        <v/>
      </c>
      <c r="AM376" s="86" t="str">
        <f aca="false">IF(ISBLANK($C376),"",AND($AB376,OR($AC376="",$AD376="",AND(NOT(ISBLANK($M376)),$AE376=""))))</f>
        <v/>
      </c>
      <c r="AN376" s="89" t="str">
        <f aca="false">IF($BD376&lt;&gt;Constants!$B$6,"",IF($AB376,Constants!$B$17*$AD376,Constants!$B$18))</f>
        <v/>
      </c>
      <c r="AO376" s="91" t="str">
        <f aca="false">IF($BD376&lt;&gt;Constants!$B$6,"",Constants!$B$19*IF($AB376,$AC376,0))</f>
        <v/>
      </c>
      <c r="AP376" s="91" t="str">
        <f aca="false">IF($BD376&lt;&gt;Constants!$B$6,"",IF(AND($AB376,ISNUMBER($AE376)),Constants!$B$20*(Constants!$B$21-$AE376),0))</f>
        <v/>
      </c>
      <c r="AQ376" s="91" t="str">
        <f aca="false">IF($BD376&lt;&gt;Constants!$B$6,"",IF($AA376,0,Constants!$B$12)+IF($Z376,0,Constants!$B$13)+IF($Y376,0,Constants!$B$14))</f>
        <v/>
      </c>
      <c r="AR376" s="92" t="str">
        <f aca="false">IF($BD376&lt;&gt;Constants!$B$6,"",Constants!$B$16+SUM($AN376:$AQ376))</f>
        <v/>
      </c>
      <c r="AS376" s="91" t="str">
        <f aca="false">IF($BD376&lt;&gt;Constants!$B$6,"",IF($AB376,$AD376,""))</f>
        <v/>
      </c>
      <c r="AT376" s="93" t="str">
        <f aca="false">IF($BD376&lt;&gt;Constants!$B$6,"",$AO376)</f>
        <v/>
      </c>
      <c r="AU376" s="87" t="str">
        <f aca="false">IF($BD376&lt;&gt;Constants!$B$6,"",IF(OR($BA376&lt;$AR376,AND($BA376=$AR376,OR(AND(ISNUMBER($BB376),OR(NOT(ISNUMBER($AS376)),$BB376&lt;$AS376)),AND(OR(AND($BB376="",$AS376=""),AND(ISNUMBER($BB376),ISNUMBER($AS376),$BB376=$AS376)),$BC376&lt;$AT376)))),"-&gt;","&lt;-"))</f>
        <v/>
      </c>
      <c r="AV376" s="86" t="str">
        <f aca="false">IF(ISBLANK($C376),"",AND($AH376,OR($AI376="",$AJ376="",AND(NOT(ISBLANK($S376)),$AK376=""))))</f>
        <v/>
      </c>
      <c r="AW376" s="89" t="str">
        <f aca="false">IF($BD376&lt;&gt;Constants!$B$6,"",IF($AH376,Constants!$B$17*$AJ376,Constants!$B$18))</f>
        <v/>
      </c>
      <c r="AX376" s="91" t="str">
        <f aca="false">IF($BD376&lt;&gt;Constants!$B$6,"",Constants!$B$19*IF($AH376,$AI376,0))</f>
        <v/>
      </c>
      <c r="AY376" s="91" t="str">
        <f aca="false">IF($BD376&lt;&gt;Constants!$B$6,"",IF(AND($AH376,ISNUMBER($AK376)),Constants!$B$20*(Constants!$B$21-$AK376),0))</f>
        <v/>
      </c>
      <c r="AZ376" s="91" t="str">
        <f aca="false">IF($BD376&lt;&gt;Constants!$B$6,"",IF($AG376,0,Constants!$B$12)+IF($AF376,0,Constants!$B$13)+IF($Y376,0,Constants!$B$14))</f>
        <v/>
      </c>
      <c r="BA376" s="92" t="str">
        <f aca="false">IF($BD376&lt;&gt;Constants!$B$6,"",Constants!$B$16+SUM($AW376:$AZ376))</f>
        <v/>
      </c>
      <c r="BB376" s="91" t="str">
        <f aca="false">IF($BD376&lt;&gt;Constants!$B$6,"",IF($AH376,$AJ376,""))</f>
        <v/>
      </c>
      <c r="BC376" s="93" t="str">
        <f aca="false">IF($BD376&lt;&gt;Constants!$B$6,"",$AX376)</f>
        <v/>
      </c>
      <c r="BD376" s="87" t="str">
        <f aca="false">IF(ISBLANK($C376),"",IF($AL376,Constants!$B$9,IF(COUNTA($E376:$T376)=0,Constants!$B$8,IF(NOT($X376),Constants!$B$7,IF(OR($AM376,$AV376),Constants!$B$10,Constants!$B$6)))))</f>
        <v/>
      </c>
      <c r="BE376" s="87" t="str">
        <f aca="false">IF(ISBLANK($C376),"",IF($BD376&lt;&gt;Constants!$B$6,$BD376,Constants!$B$11))</f>
        <v/>
      </c>
      <c r="BF376" s="91" t="str">
        <f aca="false">IF($BD376&lt;&gt;Constants!$B$6,"",IF($AU376="-&gt;",$BA376,$AR376))</f>
        <v/>
      </c>
      <c r="BG376" s="91" t="str">
        <f aca="false">IF($BD376&lt;&gt;Constants!$B$6,"",IF($W376,0,Constants!$B$15))</f>
        <v/>
      </c>
      <c r="BH376" s="91" t="str">
        <f aca="false">IF(ISBLANK($C376),"",IF($BD376&lt;&gt;Constants!$B$6,$BD376,SUM($BF376:$BG376)))</f>
        <v/>
      </c>
      <c r="BI376" s="87" t="str">
        <f aca="false">IF(ISBLANK($C376),"",IF($BD376&lt;&gt;Constants!$B$6,$BD376,RANK($BH376,$BH$9:$BH$508,1)))</f>
        <v/>
      </c>
      <c r="BJ376" s="91" t="str">
        <f aca="false">IF($BD376&lt;&gt;Constants!$B$6,"",IF($AU376="-&gt;",$BB376,$AS376))</f>
        <v/>
      </c>
      <c r="BK376" s="87" t="str">
        <f aca="false">IF(ISBLANK($C376),"",IF($BD376&lt;&gt;Constants!$B$6,$BD376,IF(ISNUMBER($BJ376),RANK($BJ376,$BJ$9:$BJ$508,1),COUNT($BJ$9:$BJ$508)+1)))</f>
        <v/>
      </c>
      <c r="BL376" s="91" t="str">
        <f aca="false">IF($BD376&lt;&gt;Constants!$B$6,"",IF($AU376="-&gt;",$BC376,$AT376))</f>
        <v/>
      </c>
      <c r="BM376" s="87" t="str">
        <f aca="false">IF(ISBLANK($C376),"",IF($BD376&lt;&gt;Constants!$B$6,$BD376,IF(ISNUMBER($BL376),RANK($BL376,$BL$9:$BL$508,1),COUNT($BL$9:$BL$508)+1)))</f>
        <v/>
      </c>
      <c r="BN376" s="91" t="str">
        <f aca="false">IF($BD376&lt;&gt;Constants!$B$6,"",IF($AU376="-&gt;",$AS376,$BB376))</f>
        <v/>
      </c>
      <c r="BO376" s="87" t="str">
        <f aca="false">IF(ISBLANK($C376),"",IF($BD376&lt;&gt;Constants!$B$6,$BD376,IF(ISNUMBER($BN376),RANK($BN376,$BN$9:$BN$508,1),COUNT($BN$9:$BN$508)+1)))</f>
        <v/>
      </c>
      <c r="BP376" s="91" t="str">
        <f aca="false">IF($BD376&lt;&gt;Constants!$B$6,"",IF($AU376="-&gt;",$AT376,$BC376))</f>
        <v/>
      </c>
      <c r="BQ376" s="87" t="str">
        <f aca="false">IF(ISBLANK($C376),"",IF($BD376&lt;&gt;Constants!$B$6,$BD376,IF(ISNUMBER($BP376),RANK($BP376,$BP$9:$BP$508,1),COUNT($BP$9:$BP$508)+1)))</f>
        <v/>
      </c>
      <c r="BR376" s="87" t="str">
        <f aca="false">IF(ISBLANK($C376),"",IF($BD376&lt;&gt;Constants!$B$6,$BD376,COUNTIFS($BI$9:$BI$508,"&lt;"&amp;$BI376)+COUNTIFS($BI$9:$BI$508,$BI376,$BK$9:$BK$508,"&lt;"&amp;$BK376)+COUNTIFS($BI$9:$BI$508,$BI376,$BK$9:$BK$508,$BK376,$BM$9:$BM$508,"&lt;"&amp;$BM376)+COUNTIFS($BI$9:$BI$508,$BI376,$BK$9:$BK$508,$BK376,$BM$9:$BM$508,$BM376,$BO$9:$BO$508,"&lt;"&amp;$BO376)+COUNTIFS($BI$9:$BI$508,$BI376,$BK$9:$BK$508,$BK376,$BM$9:$BM$508,$BM376,$BO$9:$BO$508,$BO376,$BQ$9:$BQ$508,"&lt;"&amp;$BQ376)+1))</f>
        <v/>
      </c>
      <c r="BS376" s="87" t="str">
        <f aca="false">IF(ISBLANK($C376),"",IF($BD376&lt;&gt;Constants!$B$6,$BD376,$BI376-$BR376))</f>
        <v/>
      </c>
      <c r="BT376" s="94"/>
      <c r="BU376" s="95"/>
      <c r="BV376" s="95" t="str">
        <f aca="false">IF(ISBLANK($C376),"",IF($BD376&lt;&gt;Constants!$B$6,"",IF($AU376="-&gt;",2,1)))</f>
        <v/>
      </c>
      <c r="BW376" s="96" t="str">
        <f aca="false">IF(ISBLANK($C376),"",IF($BD376&lt;&gt;Constants!$B$6,"",IF($AU376="-&gt;",$AW376,$AN376)))</f>
        <v/>
      </c>
      <c r="BX376" s="96" t="str">
        <f aca="false">IF(ISBLANK($C376),"",IF($BD376&lt;&gt;Constants!$B$6,"",IF($AU376="-&gt;",$AX376,$AO376)))</f>
        <v/>
      </c>
      <c r="BY376" s="96" t="str">
        <f aca="false">IF(ISBLANK($C376),"",IF($BD376&lt;&gt;Constants!$B$6,"",IF($AU376="-&gt;",$AY376,$AP376)))</f>
        <v/>
      </c>
      <c r="BZ376" s="96" t="str">
        <f aca="false">IF(ISBLANK($C376),"",IF($BD376&lt;&gt;Constants!$B$6,"",IF($AU376="-&gt;",$AZ376,$AQ376)+$BG376))</f>
        <v/>
      </c>
      <c r="CA376" s="97" t="str">
        <f aca="false">IF(ISBLANK($C376),"",IF($BD376&lt;&gt;Constants!$B$6,$BD376,$BH376))</f>
        <v/>
      </c>
      <c r="CB376" s="98" t="str">
        <f aca="false">IF(ISBLANK($C376),"",$BE376)</f>
        <v/>
      </c>
      <c r="CC376" s="99" t="str">
        <f aca="false">IF(ISBLANK($C376),"",$BS376)</f>
        <v/>
      </c>
      <c r="CD376" s="99" t="str">
        <f aca="false">IF(ISBLANK($C376),"",$BR376)</f>
        <v/>
      </c>
      <c r="CE376" s="100" t="str">
        <f aca="false">IF(ISBLANK($C376),"",IF($CD376=Constants!$B$9,COUNTA($C$9:$C$508)+2,IF($CD376=Constants!$B$8,COUNTA($C$9:$C$508)+1,IF($CD376=Constants!$B$7,COUNTA($C$9:$C$508),$CD376))))</f>
        <v/>
      </c>
      <c r="CF376" s="9"/>
      <c r="CG376" s="101" t="n">
        <f aca="false">IF(OR(ISNUMBER($CD376),$CD376=Constants!$B$9,$CD376=Constants!$B$7,$CD376=Constants!$B$8),1,0)</f>
        <v>0</v>
      </c>
      <c r="CH376" s="101" t="n">
        <v>368</v>
      </c>
      <c r="CI376" s="101" t="str">
        <f aca="false">IF(ISBLANK($C376),"",IF(ISNUMBER($CE376),$CE376+ROW($B376)/1000,""))</f>
        <v/>
      </c>
      <c r="CJ376" s="101" t="str">
        <f aca="false">IF(ISNUMBER($CI376),RANK($CI376,$CI$9:$CI$508,1),"")</f>
        <v/>
      </c>
      <c r="CK376" s="101" t="str">
        <f aca="false">IF(ISBLANK($C376),"",$B376)</f>
        <v/>
      </c>
      <c r="CL376" s="101" t="str">
        <f aca="false">IF(ISBLANK($C376),"",$C376)</f>
        <v/>
      </c>
      <c r="CM376" s="101" t="str">
        <f aca="false">IF(ISBLANK($C376),"",$D376)</f>
        <v/>
      </c>
      <c r="CN376" s="102" t="str">
        <f aca="false">$CB376</f>
        <v/>
      </c>
      <c r="CO376" s="103" t="str">
        <f aca="false">$CA376</f>
        <v/>
      </c>
      <c r="CP376" s="101" t="str">
        <f aca="false">IF(ISBLANK($C376),"",$CD376)</f>
        <v/>
      </c>
      <c r="CQ376" s="104" t="str">
        <f aca="false">IF($CH376&gt;$CG$8,"",VLOOKUP($CH376,$CJ$9:$CP$508,7,FALSE()))</f>
        <v/>
      </c>
      <c r="CR376" s="105" t="str">
        <f aca="false">IF($CH376&gt;$CG$8,"",VLOOKUP($CH376,$CJ$9:$CP$508,2,FALSE()))</f>
        <v/>
      </c>
      <c r="CS376" s="105" t="str">
        <f aca="false">IF($CH376&gt;$CG$8,"",VLOOKUP($CH376,$CJ$9:$CP$508,3,FALSE()))</f>
        <v/>
      </c>
      <c r="CT376" s="105" t="str">
        <f aca="false">IF($CH376&gt;$CG$8,"",VLOOKUP($CH376,$CJ$9:$CP$508,4,FALSE()))</f>
        <v/>
      </c>
      <c r="CU376" s="105" t="str">
        <f aca="false">IF($CH376&gt;$CG$8,"",VLOOKUP($CH376,$CJ$9:$CP$508,5,FALSE()))</f>
        <v/>
      </c>
      <c r="CV376" s="106" t="str">
        <f aca="false">IF($CH376&gt;$CG$8,"",VLOOKUP($CH376,$CJ$9:$CP$508,6,FALSE()))</f>
        <v/>
      </c>
      <c r="CW376" s="71"/>
    </row>
    <row r="377" customFormat="false" ht="15.75" hidden="false" customHeight="false" outlineLevel="0" collapsed="false">
      <c r="A377" s="9"/>
      <c r="B377" s="72"/>
      <c r="C377" s="73"/>
      <c r="D377" s="160"/>
      <c r="E377" s="168"/>
      <c r="F377" s="162"/>
      <c r="G377" s="163"/>
      <c r="H377" s="169"/>
      <c r="I377" s="167"/>
      <c r="J377" s="80"/>
      <c r="K377" s="81"/>
      <c r="L377" s="82"/>
      <c r="M377" s="166"/>
      <c r="N377" s="167"/>
      <c r="O377" s="167"/>
      <c r="P377" s="80"/>
      <c r="Q377" s="82"/>
      <c r="R377" s="82"/>
      <c r="S377" s="166"/>
      <c r="T377" s="167"/>
      <c r="U377" s="86"/>
      <c r="V377" s="87"/>
      <c r="W377" s="87" t="str">
        <f aca="false">IF(ISBLANK($C377),"",IF(E377=Constants!$B$2,TRUE(),IF(E377=Constants!$B$3,FALSE(),TRUE())))</f>
        <v/>
      </c>
      <c r="X377" s="87" t="str">
        <f aca="false">IF(ISBLANK($C377),"",IF(F377=Constants!$B$2,TRUE(),IF(F377=Constants!$B$3,FALSE(),TRUE())))</f>
        <v/>
      </c>
      <c r="Y377" s="87" t="str">
        <f aca="false">IF(ISBLANK($C377),"",IF(G377=Constants!$B$2,TRUE(),IF(G377=Constants!$B$3,FALSE(),TRUE())))</f>
        <v/>
      </c>
      <c r="Z377" s="87" t="str">
        <f aca="false">IF(ISBLANK($C377),"",IF(H377=Constants!$B$2,TRUE(),IF(H377=Constants!$B$3,FALSE(),TRUE())))</f>
        <v/>
      </c>
      <c r="AA377" s="87" t="str">
        <f aca="false">IF(ISBLANK($C377),"",IF(I377=Constants!$B$2,TRUE(),IF(I377=Constants!$B$3,FALSE(),TRUE())))</f>
        <v/>
      </c>
      <c r="AB377" s="87" t="str">
        <f aca="false">IF(ISBLANK($C377),"",IF(J377=Constants!$B$4,TRUE(),IF(J377=Constants!$B$5,FALSE(),COUNTA(K377:M377)&gt;0)))</f>
        <v/>
      </c>
      <c r="AC377" s="88" t="str">
        <f aca="false">IF(ISBLANK($C377),"",IF(ISNUMBER(K377),IF(K377&gt;=0,K377,""),""))</f>
        <v/>
      </c>
      <c r="AD377" s="89" t="str">
        <f aca="false">IF(ISBLANK($C377),"",IF(ISNUMBER(L377),IF(L377&gt;=0,L377,""),""))</f>
        <v/>
      </c>
      <c r="AE377" s="87" t="str">
        <f aca="false">IF(ISBLANK($C377),"",IF(ISNUMBER(M377),IF(M377&gt;=0,MIN(M377,Constants!$B$22),""),""))</f>
        <v/>
      </c>
      <c r="AF377" s="87" t="str">
        <f aca="false">IF(ISBLANK($C377),"",IF(N377=Constants!$B$2,TRUE(),IF(N377=Constants!$B$3,FALSE(),TRUE())))</f>
        <v/>
      </c>
      <c r="AG377" s="87" t="str">
        <f aca="false">IF(ISBLANK($C377),"",IF(O377=Constants!$B$2,TRUE(),IF(O377=Constants!$B$3,FALSE(),TRUE())))</f>
        <v/>
      </c>
      <c r="AH377" s="87" t="str">
        <f aca="false">IF(ISBLANK($C377),"",IF(P377=Constants!$B$4,TRUE(),IF(P377=Constants!$B$5,FALSE(),COUNTA(Q377:S377)&gt;0)))</f>
        <v/>
      </c>
      <c r="AI377" s="88" t="str">
        <f aca="false">IF(ISBLANK($C377),"",IF(ISNUMBER(Q377),IF(Q377&gt;=0,Q377,""),""))</f>
        <v/>
      </c>
      <c r="AJ377" s="89" t="str">
        <f aca="false">IF(ISBLANK($C377),"",IF(ISNUMBER(R377),IF(R377&gt;=0,R377,""),""))</f>
        <v/>
      </c>
      <c r="AK377" s="87" t="str">
        <f aca="false">IF(ISBLANK($C377),"",IF(ISNUMBER(S377),IF(S377&gt;=0,MIN(S377,Constants!$B$22),""),""))</f>
        <v/>
      </c>
      <c r="AL377" s="87" t="str">
        <f aca="false">IF(ISBLANK($C377),"",IF(T377=Constants!$B$2,TRUE(),IF(T377=Constants!$B$3,FALSE(),FALSE())))</f>
        <v/>
      </c>
      <c r="AM377" s="86" t="str">
        <f aca="false">IF(ISBLANK($C377),"",AND($AB377,OR($AC377="",$AD377="",AND(NOT(ISBLANK($M377)),$AE377=""))))</f>
        <v/>
      </c>
      <c r="AN377" s="89" t="str">
        <f aca="false">IF($BD377&lt;&gt;Constants!$B$6,"",IF($AB377,Constants!$B$17*$AD377,Constants!$B$18))</f>
        <v/>
      </c>
      <c r="AO377" s="91" t="str">
        <f aca="false">IF($BD377&lt;&gt;Constants!$B$6,"",Constants!$B$19*IF($AB377,$AC377,0))</f>
        <v/>
      </c>
      <c r="AP377" s="91" t="str">
        <f aca="false">IF($BD377&lt;&gt;Constants!$B$6,"",IF(AND($AB377,ISNUMBER($AE377)),Constants!$B$20*(Constants!$B$21-$AE377),0))</f>
        <v/>
      </c>
      <c r="AQ377" s="91" t="str">
        <f aca="false">IF($BD377&lt;&gt;Constants!$B$6,"",IF($AA377,0,Constants!$B$12)+IF($Z377,0,Constants!$B$13)+IF($Y377,0,Constants!$B$14))</f>
        <v/>
      </c>
      <c r="AR377" s="92" t="str">
        <f aca="false">IF($BD377&lt;&gt;Constants!$B$6,"",Constants!$B$16+SUM($AN377:$AQ377))</f>
        <v/>
      </c>
      <c r="AS377" s="91" t="str">
        <f aca="false">IF($BD377&lt;&gt;Constants!$B$6,"",IF($AB377,$AD377,""))</f>
        <v/>
      </c>
      <c r="AT377" s="93" t="str">
        <f aca="false">IF($BD377&lt;&gt;Constants!$B$6,"",$AO377)</f>
        <v/>
      </c>
      <c r="AU377" s="87" t="str">
        <f aca="false">IF($BD377&lt;&gt;Constants!$B$6,"",IF(OR($BA377&lt;$AR377,AND($BA377=$AR377,OR(AND(ISNUMBER($BB377),OR(NOT(ISNUMBER($AS377)),$BB377&lt;$AS377)),AND(OR(AND($BB377="",$AS377=""),AND(ISNUMBER($BB377),ISNUMBER($AS377),$BB377=$AS377)),$BC377&lt;$AT377)))),"-&gt;","&lt;-"))</f>
        <v/>
      </c>
      <c r="AV377" s="86" t="str">
        <f aca="false">IF(ISBLANK($C377),"",AND($AH377,OR($AI377="",$AJ377="",AND(NOT(ISBLANK($S377)),$AK377=""))))</f>
        <v/>
      </c>
      <c r="AW377" s="89" t="str">
        <f aca="false">IF($BD377&lt;&gt;Constants!$B$6,"",IF($AH377,Constants!$B$17*$AJ377,Constants!$B$18))</f>
        <v/>
      </c>
      <c r="AX377" s="91" t="str">
        <f aca="false">IF($BD377&lt;&gt;Constants!$B$6,"",Constants!$B$19*IF($AH377,$AI377,0))</f>
        <v/>
      </c>
      <c r="AY377" s="91" t="str">
        <f aca="false">IF($BD377&lt;&gt;Constants!$B$6,"",IF(AND($AH377,ISNUMBER($AK377)),Constants!$B$20*(Constants!$B$21-$AK377),0))</f>
        <v/>
      </c>
      <c r="AZ377" s="91" t="str">
        <f aca="false">IF($BD377&lt;&gt;Constants!$B$6,"",IF($AG377,0,Constants!$B$12)+IF($AF377,0,Constants!$B$13)+IF($Y377,0,Constants!$B$14))</f>
        <v/>
      </c>
      <c r="BA377" s="92" t="str">
        <f aca="false">IF($BD377&lt;&gt;Constants!$B$6,"",Constants!$B$16+SUM($AW377:$AZ377))</f>
        <v/>
      </c>
      <c r="BB377" s="91" t="str">
        <f aca="false">IF($BD377&lt;&gt;Constants!$B$6,"",IF($AH377,$AJ377,""))</f>
        <v/>
      </c>
      <c r="BC377" s="93" t="str">
        <f aca="false">IF($BD377&lt;&gt;Constants!$B$6,"",$AX377)</f>
        <v/>
      </c>
      <c r="BD377" s="87" t="str">
        <f aca="false">IF(ISBLANK($C377),"",IF($AL377,Constants!$B$9,IF(COUNTA($E377:$T377)=0,Constants!$B$8,IF(NOT($X377),Constants!$B$7,IF(OR($AM377,$AV377),Constants!$B$10,Constants!$B$6)))))</f>
        <v/>
      </c>
      <c r="BE377" s="87" t="str">
        <f aca="false">IF(ISBLANK($C377),"",IF($BD377&lt;&gt;Constants!$B$6,$BD377,Constants!$B$11))</f>
        <v/>
      </c>
      <c r="BF377" s="91" t="str">
        <f aca="false">IF($BD377&lt;&gt;Constants!$B$6,"",IF($AU377="-&gt;",$BA377,$AR377))</f>
        <v/>
      </c>
      <c r="BG377" s="91" t="str">
        <f aca="false">IF($BD377&lt;&gt;Constants!$B$6,"",IF($W377,0,Constants!$B$15))</f>
        <v/>
      </c>
      <c r="BH377" s="91" t="str">
        <f aca="false">IF(ISBLANK($C377),"",IF($BD377&lt;&gt;Constants!$B$6,$BD377,SUM($BF377:$BG377)))</f>
        <v/>
      </c>
      <c r="BI377" s="87" t="str">
        <f aca="false">IF(ISBLANK($C377),"",IF($BD377&lt;&gt;Constants!$B$6,$BD377,RANK($BH377,$BH$9:$BH$508,1)))</f>
        <v/>
      </c>
      <c r="BJ377" s="91" t="str">
        <f aca="false">IF($BD377&lt;&gt;Constants!$B$6,"",IF($AU377="-&gt;",$BB377,$AS377))</f>
        <v/>
      </c>
      <c r="BK377" s="87" t="str">
        <f aca="false">IF(ISBLANK($C377),"",IF($BD377&lt;&gt;Constants!$B$6,$BD377,IF(ISNUMBER($BJ377),RANK($BJ377,$BJ$9:$BJ$508,1),COUNT($BJ$9:$BJ$508)+1)))</f>
        <v/>
      </c>
      <c r="BL377" s="91" t="str">
        <f aca="false">IF($BD377&lt;&gt;Constants!$B$6,"",IF($AU377="-&gt;",$BC377,$AT377))</f>
        <v/>
      </c>
      <c r="BM377" s="87" t="str">
        <f aca="false">IF(ISBLANK($C377),"",IF($BD377&lt;&gt;Constants!$B$6,$BD377,IF(ISNUMBER($BL377),RANK($BL377,$BL$9:$BL$508,1),COUNT($BL$9:$BL$508)+1)))</f>
        <v/>
      </c>
      <c r="BN377" s="91" t="str">
        <f aca="false">IF($BD377&lt;&gt;Constants!$B$6,"",IF($AU377="-&gt;",$AS377,$BB377))</f>
        <v/>
      </c>
      <c r="BO377" s="87" t="str">
        <f aca="false">IF(ISBLANK($C377),"",IF($BD377&lt;&gt;Constants!$B$6,$BD377,IF(ISNUMBER($BN377),RANK($BN377,$BN$9:$BN$508,1),COUNT($BN$9:$BN$508)+1)))</f>
        <v/>
      </c>
      <c r="BP377" s="91" t="str">
        <f aca="false">IF($BD377&lt;&gt;Constants!$B$6,"",IF($AU377="-&gt;",$AT377,$BC377))</f>
        <v/>
      </c>
      <c r="BQ377" s="87" t="str">
        <f aca="false">IF(ISBLANK($C377),"",IF($BD377&lt;&gt;Constants!$B$6,$BD377,IF(ISNUMBER($BP377),RANK($BP377,$BP$9:$BP$508,1),COUNT($BP$9:$BP$508)+1)))</f>
        <v/>
      </c>
      <c r="BR377" s="87" t="str">
        <f aca="false">IF(ISBLANK($C377),"",IF($BD377&lt;&gt;Constants!$B$6,$BD377,COUNTIFS($BI$9:$BI$508,"&lt;"&amp;$BI377)+COUNTIFS($BI$9:$BI$508,$BI377,$BK$9:$BK$508,"&lt;"&amp;$BK377)+COUNTIFS($BI$9:$BI$508,$BI377,$BK$9:$BK$508,$BK377,$BM$9:$BM$508,"&lt;"&amp;$BM377)+COUNTIFS($BI$9:$BI$508,$BI377,$BK$9:$BK$508,$BK377,$BM$9:$BM$508,$BM377,$BO$9:$BO$508,"&lt;"&amp;$BO377)+COUNTIFS($BI$9:$BI$508,$BI377,$BK$9:$BK$508,$BK377,$BM$9:$BM$508,$BM377,$BO$9:$BO$508,$BO377,$BQ$9:$BQ$508,"&lt;"&amp;$BQ377)+1))</f>
        <v/>
      </c>
      <c r="BS377" s="87" t="str">
        <f aca="false">IF(ISBLANK($C377),"",IF($BD377&lt;&gt;Constants!$B$6,$BD377,$BI377-$BR377))</f>
        <v/>
      </c>
      <c r="BT377" s="94"/>
      <c r="BU377" s="95"/>
      <c r="BV377" s="95" t="str">
        <f aca="false">IF(ISBLANK($C377),"",IF($BD377&lt;&gt;Constants!$B$6,"",IF($AU377="-&gt;",2,1)))</f>
        <v/>
      </c>
      <c r="BW377" s="96" t="str">
        <f aca="false">IF(ISBLANK($C377),"",IF($BD377&lt;&gt;Constants!$B$6,"",IF($AU377="-&gt;",$AW377,$AN377)))</f>
        <v/>
      </c>
      <c r="BX377" s="96" t="str">
        <f aca="false">IF(ISBLANK($C377),"",IF($BD377&lt;&gt;Constants!$B$6,"",IF($AU377="-&gt;",$AX377,$AO377)))</f>
        <v/>
      </c>
      <c r="BY377" s="96" t="str">
        <f aca="false">IF(ISBLANK($C377),"",IF($BD377&lt;&gt;Constants!$B$6,"",IF($AU377="-&gt;",$AY377,$AP377)))</f>
        <v/>
      </c>
      <c r="BZ377" s="96" t="str">
        <f aca="false">IF(ISBLANK($C377),"",IF($BD377&lt;&gt;Constants!$B$6,"",IF($AU377="-&gt;",$AZ377,$AQ377)+$BG377))</f>
        <v/>
      </c>
      <c r="CA377" s="97" t="str">
        <f aca="false">IF(ISBLANK($C377),"",IF($BD377&lt;&gt;Constants!$B$6,$BD377,$BH377))</f>
        <v/>
      </c>
      <c r="CB377" s="98" t="str">
        <f aca="false">IF(ISBLANK($C377),"",$BE377)</f>
        <v/>
      </c>
      <c r="CC377" s="99" t="str">
        <f aca="false">IF(ISBLANK($C377),"",$BS377)</f>
        <v/>
      </c>
      <c r="CD377" s="99" t="str">
        <f aca="false">IF(ISBLANK($C377),"",$BR377)</f>
        <v/>
      </c>
      <c r="CE377" s="100" t="str">
        <f aca="false">IF(ISBLANK($C377),"",IF($CD377=Constants!$B$9,COUNTA($C$9:$C$508)+2,IF($CD377=Constants!$B$8,COUNTA($C$9:$C$508)+1,IF($CD377=Constants!$B$7,COUNTA($C$9:$C$508),$CD377))))</f>
        <v/>
      </c>
      <c r="CF377" s="9"/>
      <c r="CG377" s="101" t="n">
        <f aca="false">IF(OR(ISNUMBER($CD377),$CD377=Constants!$B$9,$CD377=Constants!$B$7,$CD377=Constants!$B$8),1,0)</f>
        <v>0</v>
      </c>
      <c r="CH377" s="101" t="n">
        <v>369</v>
      </c>
      <c r="CI377" s="101" t="str">
        <f aca="false">IF(ISBLANK($C377),"",IF(ISNUMBER($CE377),$CE377+ROW($B377)/1000,""))</f>
        <v/>
      </c>
      <c r="CJ377" s="101" t="str">
        <f aca="false">IF(ISNUMBER($CI377),RANK($CI377,$CI$9:$CI$508,1),"")</f>
        <v/>
      </c>
      <c r="CK377" s="101" t="str">
        <f aca="false">IF(ISBLANK($C377),"",$B377)</f>
        <v/>
      </c>
      <c r="CL377" s="101" t="str">
        <f aca="false">IF(ISBLANK($C377),"",$C377)</f>
        <v/>
      </c>
      <c r="CM377" s="101" t="str">
        <f aca="false">IF(ISBLANK($C377),"",$D377)</f>
        <v/>
      </c>
      <c r="CN377" s="102" t="str">
        <f aca="false">$CB377</f>
        <v/>
      </c>
      <c r="CO377" s="103" t="str">
        <f aca="false">$CA377</f>
        <v/>
      </c>
      <c r="CP377" s="101" t="str">
        <f aca="false">IF(ISBLANK($C377),"",$CD377)</f>
        <v/>
      </c>
      <c r="CQ377" s="104" t="str">
        <f aca="false">IF($CH377&gt;$CG$8,"",VLOOKUP($CH377,$CJ$9:$CP$508,7,FALSE()))</f>
        <v/>
      </c>
      <c r="CR377" s="105" t="str">
        <f aca="false">IF($CH377&gt;$CG$8,"",VLOOKUP($CH377,$CJ$9:$CP$508,2,FALSE()))</f>
        <v/>
      </c>
      <c r="CS377" s="105" t="str">
        <f aca="false">IF($CH377&gt;$CG$8,"",VLOOKUP($CH377,$CJ$9:$CP$508,3,FALSE()))</f>
        <v/>
      </c>
      <c r="CT377" s="105" t="str">
        <f aca="false">IF($CH377&gt;$CG$8,"",VLOOKUP($CH377,$CJ$9:$CP$508,4,FALSE()))</f>
        <v/>
      </c>
      <c r="CU377" s="105" t="str">
        <f aca="false">IF($CH377&gt;$CG$8,"",VLOOKUP($CH377,$CJ$9:$CP$508,5,FALSE()))</f>
        <v/>
      </c>
      <c r="CV377" s="106" t="str">
        <f aca="false">IF($CH377&gt;$CG$8,"",VLOOKUP($CH377,$CJ$9:$CP$508,6,FALSE()))</f>
        <v/>
      </c>
      <c r="CW377" s="71"/>
    </row>
    <row r="378" customFormat="false" ht="15.75" hidden="false" customHeight="false" outlineLevel="0" collapsed="false">
      <c r="A378" s="9"/>
      <c r="B378" s="150"/>
      <c r="C378" s="151"/>
      <c r="D378" s="152"/>
      <c r="E378" s="170"/>
      <c r="F378" s="154"/>
      <c r="G378" s="155"/>
      <c r="H378" s="171"/>
      <c r="I378" s="159"/>
      <c r="J378" s="120"/>
      <c r="K378" s="121"/>
      <c r="L378" s="122"/>
      <c r="M378" s="158"/>
      <c r="N378" s="159"/>
      <c r="O378" s="159"/>
      <c r="P378" s="120"/>
      <c r="Q378" s="122"/>
      <c r="R378" s="122"/>
      <c r="S378" s="158"/>
      <c r="T378" s="159"/>
      <c r="U378" s="126"/>
      <c r="V378" s="127"/>
      <c r="W378" s="127" t="str">
        <f aca="false">IF(ISBLANK($C378),"",IF(E378=Constants!$B$2,TRUE(),IF(E378=Constants!$B$3,FALSE(),TRUE())))</f>
        <v/>
      </c>
      <c r="X378" s="127" t="str">
        <f aca="false">IF(ISBLANK($C378),"",IF(F378=Constants!$B$2,TRUE(),IF(F378=Constants!$B$3,FALSE(),TRUE())))</f>
        <v/>
      </c>
      <c r="Y378" s="127" t="str">
        <f aca="false">IF(ISBLANK($C378),"",IF(G378=Constants!$B$2,TRUE(),IF(G378=Constants!$B$3,FALSE(),TRUE())))</f>
        <v/>
      </c>
      <c r="Z378" s="127" t="str">
        <f aca="false">IF(ISBLANK($C378),"",IF(H378=Constants!$B$2,TRUE(),IF(H378=Constants!$B$3,FALSE(),TRUE())))</f>
        <v/>
      </c>
      <c r="AA378" s="127" t="str">
        <f aca="false">IF(ISBLANK($C378),"",IF(I378=Constants!$B$2,TRUE(),IF(I378=Constants!$B$3,FALSE(),TRUE())))</f>
        <v/>
      </c>
      <c r="AB378" s="127" t="str">
        <f aca="false">IF(ISBLANK($C378),"",IF(J378=Constants!$B$4,TRUE(),IF(J378=Constants!$B$5,FALSE(),COUNTA(K378:M378)&gt;0)))</f>
        <v/>
      </c>
      <c r="AC378" s="128" t="str">
        <f aca="false">IF(ISBLANK($C378),"",IF(ISNUMBER(K378),IF(K378&gt;=0,K378,""),""))</f>
        <v/>
      </c>
      <c r="AD378" s="129" t="str">
        <f aca="false">IF(ISBLANK($C378),"",IF(ISNUMBER(L378),IF(L378&gt;=0,L378,""),""))</f>
        <v/>
      </c>
      <c r="AE378" s="127" t="str">
        <f aca="false">IF(ISBLANK($C378),"",IF(ISNUMBER(M378),IF(M378&gt;=0,MIN(M378,Constants!$B$22),""),""))</f>
        <v/>
      </c>
      <c r="AF378" s="127" t="str">
        <f aca="false">IF(ISBLANK($C378),"",IF(N378=Constants!$B$2,TRUE(),IF(N378=Constants!$B$3,FALSE(),TRUE())))</f>
        <v/>
      </c>
      <c r="AG378" s="127" t="str">
        <f aca="false">IF(ISBLANK($C378),"",IF(O378=Constants!$B$2,TRUE(),IF(O378=Constants!$B$3,FALSE(),TRUE())))</f>
        <v/>
      </c>
      <c r="AH378" s="127" t="str">
        <f aca="false">IF(ISBLANK($C378),"",IF(P378=Constants!$B$4,TRUE(),IF(P378=Constants!$B$5,FALSE(),COUNTA(Q378:S378)&gt;0)))</f>
        <v/>
      </c>
      <c r="AI378" s="128" t="str">
        <f aca="false">IF(ISBLANK($C378),"",IF(ISNUMBER(Q378),IF(Q378&gt;=0,Q378,""),""))</f>
        <v/>
      </c>
      <c r="AJ378" s="129" t="str">
        <f aca="false">IF(ISBLANK($C378),"",IF(ISNUMBER(R378),IF(R378&gt;=0,R378,""),""))</f>
        <v/>
      </c>
      <c r="AK378" s="127" t="str">
        <f aca="false">IF(ISBLANK($C378),"",IF(ISNUMBER(S378),IF(S378&gt;=0,MIN(S378,Constants!$B$22),""),""))</f>
        <v/>
      </c>
      <c r="AL378" s="127" t="str">
        <f aca="false">IF(ISBLANK($C378),"",IF(T378=Constants!$B$2,TRUE(),IF(T378=Constants!$B$3,FALSE(),FALSE())))</f>
        <v/>
      </c>
      <c r="AM378" s="126" t="str">
        <f aca="false">IF(ISBLANK($C378),"",AND($AB378,OR($AC378="",$AD378="",AND(NOT(ISBLANK($M378)),$AE378=""))))</f>
        <v/>
      </c>
      <c r="AN378" s="129" t="str">
        <f aca="false">IF($BD378&lt;&gt;Constants!$B$6,"",IF($AB378,Constants!$B$17*$AD378,Constants!$B$18))</f>
        <v/>
      </c>
      <c r="AO378" s="130" t="str">
        <f aca="false">IF($BD378&lt;&gt;Constants!$B$6,"",Constants!$B$19*IF($AB378,$AC378,0))</f>
        <v/>
      </c>
      <c r="AP378" s="130" t="str">
        <f aca="false">IF($BD378&lt;&gt;Constants!$B$6,"",IF(AND($AB378,ISNUMBER($AE378)),Constants!$B$20*(Constants!$B$21-$AE378),0))</f>
        <v/>
      </c>
      <c r="AQ378" s="130" t="str">
        <f aca="false">IF($BD378&lt;&gt;Constants!$B$6,"",IF($AA378,0,Constants!$B$12)+IF($Z378,0,Constants!$B$13)+IF($Y378,0,Constants!$B$14))</f>
        <v/>
      </c>
      <c r="AR378" s="131" t="str">
        <f aca="false">IF($BD378&lt;&gt;Constants!$B$6,"",Constants!$B$16+SUM($AN378:$AQ378))</f>
        <v/>
      </c>
      <c r="AS378" s="130" t="str">
        <f aca="false">IF($BD378&lt;&gt;Constants!$B$6,"",IF($AB378,$AD378,""))</f>
        <v/>
      </c>
      <c r="AT378" s="132" t="str">
        <f aca="false">IF($BD378&lt;&gt;Constants!$B$6,"",$AO378)</f>
        <v/>
      </c>
      <c r="AU378" s="127" t="str">
        <f aca="false">IF($BD378&lt;&gt;Constants!$B$6,"",IF(OR($BA378&lt;$AR378,AND($BA378=$AR378,OR(AND(ISNUMBER($BB378),OR(NOT(ISNUMBER($AS378)),$BB378&lt;$AS378)),AND(OR(AND($BB378="",$AS378=""),AND(ISNUMBER($BB378),ISNUMBER($AS378),$BB378=$AS378)),$BC378&lt;$AT378)))),"-&gt;","&lt;-"))</f>
        <v/>
      </c>
      <c r="AV378" s="126" t="str">
        <f aca="false">IF(ISBLANK($C378),"",AND($AH378,OR($AI378="",$AJ378="",AND(NOT(ISBLANK($S378)),$AK378=""))))</f>
        <v/>
      </c>
      <c r="AW378" s="129" t="str">
        <f aca="false">IF($BD378&lt;&gt;Constants!$B$6,"",IF($AH378,Constants!$B$17*$AJ378,Constants!$B$18))</f>
        <v/>
      </c>
      <c r="AX378" s="130" t="str">
        <f aca="false">IF($BD378&lt;&gt;Constants!$B$6,"",Constants!$B$19*IF($AH378,$AI378,0))</f>
        <v/>
      </c>
      <c r="AY378" s="130" t="str">
        <f aca="false">IF($BD378&lt;&gt;Constants!$B$6,"",IF(AND($AH378,ISNUMBER($AK378)),Constants!$B$20*(Constants!$B$21-$AK378),0))</f>
        <v/>
      </c>
      <c r="AZ378" s="130" t="str">
        <f aca="false">IF($BD378&lt;&gt;Constants!$B$6,"",IF($AG378,0,Constants!$B$12)+IF($AF378,0,Constants!$B$13)+IF($Y378,0,Constants!$B$14))</f>
        <v/>
      </c>
      <c r="BA378" s="131" t="str">
        <f aca="false">IF($BD378&lt;&gt;Constants!$B$6,"",Constants!$B$16+SUM($AW378:$AZ378))</f>
        <v/>
      </c>
      <c r="BB378" s="130" t="str">
        <f aca="false">IF($BD378&lt;&gt;Constants!$B$6,"",IF($AH378,$AJ378,""))</f>
        <v/>
      </c>
      <c r="BC378" s="132" t="str">
        <f aca="false">IF($BD378&lt;&gt;Constants!$B$6,"",$AX378)</f>
        <v/>
      </c>
      <c r="BD378" s="127" t="str">
        <f aca="false">IF(ISBLANK($C378),"",IF($AL378,Constants!$B$9,IF(COUNTA($E378:$T378)=0,Constants!$B$8,IF(NOT($X378),Constants!$B$7,IF(OR($AM378,$AV378),Constants!$B$10,Constants!$B$6)))))</f>
        <v/>
      </c>
      <c r="BE378" s="127" t="str">
        <f aca="false">IF(ISBLANK($C378),"",IF($BD378&lt;&gt;Constants!$B$6,$BD378,Constants!$B$11))</f>
        <v/>
      </c>
      <c r="BF378" s="130" t="str">
        <f aca="false">IF($BD378&lt;&gt;Constants!$B$6,"",IF($AU378="-&gt;",$BA378,$AR378))</f>
        <v/>
      </c>
      <c r="BG378" s="130" t="str">
        <f aca="false">IF($BD378&lt;&gt;Constants!$B$6,"",IF($W378,0,Constants!$B$15))</f>
        <v/>
      </c>
      <c r="BH378" s="130" t="str">
        <f aca="false">IF(ISBLANK($C378),"",IF($BD378&lt;&gt;Constants!$B$6,$BD378,SUM($BF378:$BG378)))</f>
        <v/>
      </c>
      <c r="BI378" s="127" t="str">
        <f aca="false">IF(ISBLANK($C378),"",IF($BD378&lt;&gt;Constants!$B$6,$BD378,RANK($BH378,$BH$9:$BH$508,1)))</f>
        <v/>
      </c>
      <c r="BJ378" s="130" t="str">
        <f aca="false">IF($BD378&lt;&gt;Constants!$B$6,"",IF($AU378="-&gt;",$BB378,$AS378))</f>
        <v/>
      </c>
      <c r="BK378" s="127" t="str">
        <f aca="false">IF(ISBLANK($C378),"",IF($BD378&lt;&gt;Constants!$B$6,$BD378,IF(ISNUMBER($BJ378),RANK($BJ378,$BJ$9:$BJ$508,1),COUNT($BJ$9:$BJ$508)+1)))</f>
        <v/>
      </c>
      <c r="BL378" s="130" t="str">
        <f aca="false">IF($BD378&lt;&gt;Constants!$B$6,"",IF($AU378="-&gt;",$BC378,$AT378))</f>
        <v/>
      </c>
      <c r="BM378" s="127" t="str">
        <f aca="false">IF(ISBLANK($C378),"",IF($BD378&lt;&gt;Constants!$B$6,$BD378,IF(ISNUMBER($BL378),RANK($BL378,$BL$9:$BL$508,1),COUNT($BL$9:$BL$508)+1)))</f>
        <v/>
      </c>
      <c r="BN378" s="130" t="str">
        <f aca="false">IF($BD378&lt;&gt;Constants!$B$6,"",IF($AU378="-&gt;",$AS378,$BB378))</f>
        <v/>
      </c>
      <c r="BO378" s="127" t="str">
        <f aca="false">IF(ISBLANK($C378),"",IF($BD378&lt;&gt;Constants!$B$6,$BD378,IF(ISNUMBER($BN378),RANK($BN378,$BN$9:$BN$508,1),COUNT($BN$9:$BN$508)+1)))</f>
        <v/>
      </c>
      <c r="BP378" s="130" t="str">
        <f aca="false">IF($BD378&lt;&gt;Constants!$B$6,"",IF($AU378="-&gt;",$AT378,$BC378))</f>
        <v/>
      </c>
      <c r="BQ378" s="127" t="str">
        <f aca="false">IF(ISBLANK($C378),"",IF($BD378&lt;&gt;Constants!$B$6,$BD378,IF(ISNUMBER($BP378),RANK($BP378,$BP$9:$BP$508,1),COUNT($BP$9:$BP$508)+1)))</f>
        <v/>
      </c>
      <c r="BR378" s="127" t="str">
        <f aca="false">IF(ISBLANK($C378),"",IF($BD378&lt;&gt;Constants!$B$6,$BD378,COUNTIFS($BI$9:$BI$508,"&lt;"&amp;$BI378)+COUNTIFS($BI$9:$BI$508,$BI378,$BK$9:$BK$508,"&lt;"&amp;$BK378)+COUNTIFS($BI$9:$BI$508,$BI378,$BK$9:$BK$508,$BK378,$BM$9:$BM$508,"&lt;"&amp;$BM378)+COUNTIFS($BI$9:$BI$508,$BI378,$BK$9:$BK$508,$BK378,$BM$9:$BM$508,$BM378,$BO$9:$BO$508,"&lt;"&amp;$BO378)+COUNTIFS($BI$9:$BI$508,$BI378,$BK$9:$BK$508,$BK378,$BM$9:$BM$508,$BM378,$BO$9:$BO$508,$BO378,$BQ$9:$BQ$508,"&lt;"&amp;$BQ378)+1))</f>
        <v/>
      </c>
      <c r="BS378" s="127" t="str">
        <f aca="false">IF(ISBLANK($C378),"",IF($BD378&lt;&gt;Constants!$B$6,$BD378,$BI378-$BR378))</f>
        <v/>
      </c>
      <c r="BT378" s="133"/>
      <c r="BU378" s="134"/>
      <c r="BV378" s="134" t="str">
        <f aca="false">IF(ISBLANK($C378),"",IF($BD378&lt;&gt;Constants!$B$6,"",IF($AU378="-&gt;",2,1)))</f>
        <v/>
      </c>
      <c r="BW378" s="135" t="str">
        <f aca="false">IF(ISBLANK($C378),"",IF($BD378&lt;&gt;Constants!$B$6,"",IF($AU378="-&gt;",$AW378,$AN378)))</f>
        <v/>
      </c>
      <c r="BX378" s="135" t="str">
        <f aca="false">IF(ISBLANK($C378),"",IF($BD378&lt;&gt;Constants!$B$6,"",IF($AU378="-&gt;",$AX378,$AO378)))</f>
        <v/>
      </c>
      <c r="BY378" s="135" t="str">
        <f aca="false">IF(ISBLANK($C378),"",IF($BD378&lt;&gt;Constants!$B$6,"",IF($AU378="-&gt;",$AY378,$AP378)))</f>
        <v/>
      </c>
      <c r="BZ378" s="135" t="str">
        <f aca="false">IF(ISBLANK($C378),"",IF($BD378&lt;&gt;Constants!$B$6,"",IF($AU378="-&gt;",$AZ378,$AQ378)+$BG378))</f>
        <v/>
      </c>
      <c r="CA378" s="136" t="str">
        <f aca="false">IF(ISBLANK($C378),"",IF($BD378&lt;&gt;Constants!$B$6,$BD378,$BH378))</f>
        <v/>
      </c>
      <c r="CB378" s="137" t="str">
        <f aca="false">IF(ISBLANK($C378),"",$BE378)</f>
        <v/>
      </c>
      <c r="CC378" s="138" t="str">
        <f aca="false">IF(ISBLANK($C378),"",$BS378)</f>
        <v/>
      </c>
      <c r="CD378" s="138" t="str">
        <f aca="false">IF(ISBLANK($C378),"",$BR378)</f>
        <v/>
      </c>
      <c r="CE378" s="139" t="str">
        <f aca="false">IF(ISBLANK($C378),"",IF($CD378=Constants!$B$9,COUNTA($C$9:$C$508)+2,IF($CD378=Constants!$B$8,COUNTA($C$9:$C$508)+1,IF($CD378=Constants!$B$7,COUNTA($C$9:$C$508),$CD378))))</f>
        <v/>
      </c>
      <c r="CF378" s="9"/>
      <c r="CG378" s="140" t="n">
        <f aca="false">IF(OR(ISNUMBER($CD378),$CD378=Constants!$B$9,$CD378=Constants!$B$7,$CD378=Constants!$B$8),1,0)</f>
        <v>0</v>
      </c>
      <c r="CH378" s="140" t="n">
        <v>370</v>
      </c>
      <c r="CI378" s="140" t="str">
        <f aca="false">IF(ISBLANK($C378),"",IF(ISNUMBER($CE378),$CE378+ROW($B378)/1000,""))</f>
        <v/>
      </c>
      <c r="CJ378" s="140" t="str">
        <f aca="false">IF(ISNUMBER($CI378),RANK($CI378,$CI$9:$CI$508,1),"")</f>
        <v/>
      </c>
      <c r="CK378" s="140" t="str">
        <f aca="false">IF(ISBLANK($C378),"",$B378)</f>
        <v/>
      </c>
      <c r="CL378" s="140" t="str">
        <f aca="false">IF(ISBLANK($C378),"",$C378)</f>
        <v/>
      </c>
      <c r="CM378" s="140" t="str">
        <f aca="false">IF(ISBLANK($C378),"",$D378)</f>
        <v/>
      </c>
      <c r="CN378" s="141" t="str">
        <f aca="false">$CB378</f>
        <v/>
      </c>
      <c r="CO378" s="142" t="str">
        <f aca="false">$CA378</f>
        <v/>
      </c>
      <c r="CP378" s="140" t="str">
        <f aca="false">IF(ISBLANK($C378),"",$CD378)</f>
        <v/>
      </c>
      <c r="CQ378" s="143" t="str">
        <f aca="false">IF($CH378&gt;$CG$8,"",VLOOKUP($CH378,$CJ$9:$CP$508,7,FALSE()))</f>
        <v/>
      </c>
      <c r="CR378" s="144" t="str">
        <f aca="false">IF($CH378&gt;$CG$8,"",VLOOKUP($CH378,$CJ$9:$CP$508,2,FALSE()))</f>
        <v/>
      </c>
      <c r="CS378" s="144" t="str">
        <f aca="false">IF($CH378&gt;$CG$8,"",VLOOKUP($CH378,$CJ$9:$CP$508,3,FALSE()))</f>
        <v/>
      </c>
      <c r="CT378" s="144" t="str">
        <f aca="false">IF($CH378&gt;$CG$8,"",VLOOKUP($CH378,$CJ$9:$CP$508,4,FALSE()))</f>
        <v/>
      </c>
      <c r="CU378" s="144" t="str">
        <f aca="false">IF($CH378&gt;$CG$8,"",VLOOKUP($CH378,$CJ$9:$CP$508,5,FALSE()))</f>
        <v/>
      </c>
      <c r="CV378" s="145" t="str">
        <f aca="false">IF($CH378&gt;$CG$8,"",VLOOKUP($CH378,$CJ$9:$CP$508,6,FALSE()))</f>
        <v/>
      </c>
      <c r="CW378" s="71"/>
    </row>
    <row r="379" customFormat="false" ht="15.75" hidden="false" customHeight="false" outlineLevel="0" collapsed="false">
      <c r="A379" s="9"/>
      <c r="B379" s="150"/>
      <c r="C379" s="151"/>
      <c r="D379" s="152"/>
      <c r="E379" s="170"/>
      <c r="F379" s="154"/>
      <c r="G379" s="155"/>
      <c r="H379" s="171"/>
      <c r="I379" s="159"/>
      <c r="J379" s="120"/>
      <c r="K379" s="121"/>
      <c r="L379" s="122"/>
      <c r="M379" s="158"/>
      <c r="N379" s="159"/>
      <c r="O379" s="159"/>
      <c r="P379" s="120"/>
      <c r="Q379" s="122"/>
      <c r="R379" s="122"/>
      <c r="S379" s="158"/>
      <c r="T379" s="159"/>
      <c r="U379" s="126"/>
      <c r="V379" s="127"/>
      <c r="W379" s="127" t="str">
        <f aca="false">IF(ISBLANK($C379),"",IF(E379=Constants!$B$2,TRUE(),IF(E379=Constants!$B$3,FALSE(),TRUE())))</f>
        <v/>
      </c>
      <c r="X379" s="127" t="str">
        <f aca="false">IF(ISBLANK($C379),"",IF(F379=Constants!$B$2,TRUE(),IF(F379=Constants!$B$3,FALSE(),TRUE())))</f>
        <v/>
      </c>
      <c r="Y379" s="127" t="str">
        <f aca="false">IF(ISBLANK($C379),"",IF(G379=Constants!$B$2,TRUE(),IF(G379=Constants!$B$3,FALSE(),TRUE())))</f>
        <v/>
      </c>
      <c r="Z379" s="127" t="str">
        <f aca="false">IF(ISBLANK($C379),"",IF(H379=Constants!$B$2,TRUE(),IF(H379=Constants!$B$3,FALSE(),TRUE())))</f>
        <v/>
      </c>
      <c r="AA379" s="127" t="str">
        <f aca="false">IF(ISBLANK($C379),"",IF(I379=Constants!$B$2,TRUE(),IF(I379=Constants!$B$3,FALSE(),TRUE())))</f>
        <v/>
      </c>
      <c r="AB379" s="127" t="str">
        <f aca="false">IF(ISBLANK($C379),"",IF(J379=Constants!$B$4,TRUE(),IF(J379=Constants!$B$5,FALSE(),COUNTA(K379:M379)&gt;0)))</f>
        <v/>
      </c>
      <c r="AC379" s="128" t="str">
        <f aca="false">IF(ISBLANK($C379),"",IF(ISNUMBER(K379),IF(K379&gt;=0,K379,""),""))</f>
        <v/>
      </c>
      <c r="AD379" s="129" t="str">
        <f aca="false">IF(ISBLANK($C379),"",IF(ISNUMBER(L379),IF(L379&gt;=0,L379,""),""))</f>
        <v/>
      </c>
      <c r="AE379" s="127" t="str">
        <f aca="false">IF(ISBLANK($C379),"",IF(ISNUMBER(M379),IF(M379&gt;=0,MIN(M379,Constants!$B$22),""),""))</f>
        <v/>
      </c>
      <c r="AF379" s="127" t="str">
        <f aca="false">IF(ISBLANK($C379),"",IF(N379=Constants!$B$2,TRUE(),IF(N379=Constants!$B$3,FALSE(),TRUE())))</f>
        <v/>
      </c>
      <c r="AG379" s="127" t="str">
        <f aca="false">IF(ISBLANK($C379),"",IF(O379=Constants!$B$2,TRUE(),IF(O379=Constants!$B$3,FALSE(),TRUE())))</f>
        <v/>
      </c>
      <c r="AH379" s="127" t="str">
        <f aca="false">IF(ISBLANK($C379),"",IF(P379=Constants!$B$4,TRUE(),IF(P379=Constants!$B$5,FALSE(),COUNTA(Q379:S379)&gt;0)))</f>
        <v/>
      </c>
      <c r="AI379" s="128" t="str">
        <f aca="false">IF(ISBLANK($C379),"",IF(ISNUMBER(Q379),IF(Q379&gt;=0,Q379,""),""))</f>
        <v/>
      </c>
      <c r="AJ379" s="129" t="str">
        <f aca="false">IF(ISBLANK($C379),"",IF(ISNUMBER(R379),IF(R379&gt;=0,R379,""),""))</f>
        <v/>
      </c>
      <c r="AK379" s="127" t="str">
        <f aca="false">IF(ISBLANK($C379),"",IF(ISNUMBER(S379),IF(S379&gt;=0,MIN(S379,Constants!$B$22),""),""))</f>
        <v/>
      </c>
      <c r="AL379" s="127" t="str">
        <f aca="false">IF(ISBLANK($C379),"",IF(T379=Constants!$B$2,TRUE(),IF(T379=Constants!$B$3,FALSE(),FALSE())))</f>
        <v/>
      </c>
      <c r="AM379" s="126" t="str">
        <f aca="false">IF(ISBLANK($C379),"",AND($AB379,OR($AC379="",$AD379="",AND(NOT(ISBLANK($M379)),$AE379=""))))</f>
        <v/>
      </c>
      <c r="AN379" s="129" t="str">
        <f aca="false">IF($BD379&lt;&gt;Constants!$B$6,"",IF($AB379,Constants!$B$17*$AD379,Constants!$B$18))</f>
        <v/>
      </c>
      <c r="AO379" s="130" t="str">
        <f aca="false">IF($BD379&lt;&gt;Constants!$B$6,"",Constants!$B$19*IF($AB379,$AC379,0))</f>
        <v/>
      </c>
      <c r="AP379" s="130" t="str">
        <f aca="false">IF($BD379&lt;&gt;Constants!$B$6,"",IF(AND($AB379,ISNUMBER($AE379)),Constants!$B$20*(Constants!$B$21-$AE379),0))</f>
        <v/>
      </c>
      <c r="AQ379" s="130" t="str">
        <f aca="false">IF($BD379&lt;&gt;Constants!$B$6,"",IF($AA379,0,Constants!$B$12)+IF($Z379,0,Constants!$B$13)+IF($Y379,0,Constants!$B$14))</f>
        <v/>
      </c>
      <c r="AR379" s="131" t="str">
        <f aca="false">IF($BD379&lt;&gt;Constants!$B$6,"",Constants!$B$16+SUM($AN379:$AQ379))</f>
        <v/>
      </c>
      <c r="AS379" s="130" t="str">
        <f aca="false">IF($BD379&lt;&gt;Constants!$B$6,"",IF($AB379,$AD379,""))</f>
        <v/>
      </c>
      <c r="AT379" s="132" t="str">
        <f aca="false">IF($BD379&lt;&gt;Constants!$B$6,"",$AO379)</f>
        <v/>
      </c>
      <c r="AU379" s="127" t="str">
        <f aca="false">IF($BD379&lt;&gt;Constants!$B$6,"",IF(OR($BA379&lt;$AR379,AND($BA379=$AR379,OR(AND(ISNUMBER($BB379),OR(NOT(ISNUMBER($AS379)),$BB379&lt;$AS379)),AND(OR(AND($BB379="",$AS379=""),AND(ISNUMBER($BB379),ISNUMBER($AS379),$BB379=$AS379)),$BC379&lt;$AT379)))),"-&gt;","&lt;-"))</f>
        <v/>
      </c>
      <c r="AV379" s="126" t="str">
        <f aca="false">IF(ISBLANK($C379),"",AND($AH379,OR($AI379="",$AJ379="",AND(NOT(ISBLANK($S379)),$AK379=""))))</f>
        <v/>
      </c>
      <c r="AW379" s="129" t="str">
        <f aca="false">IF($BD379&lt;&gt;Constants!$B$6,"",IF($AH379,Constants!$B$17*$AJ379,Constants!$B$18))</f>
        <v/>
      </c>
      <c r="AX379" s="130" t="str">
        <f aca="false">IF($BD379&lt;&gt;Constants!$B$6,"",Constants!$B$19*IF($AH379,$AI379,0))</f>
        <v/>
      </c>
      <c r="AY379" s="130" t="str">
        <f aca="false">IF($BD379&lt;&gt;Constants!$B$6,"",IF(AND($AH379,ISNUMBER($AK379)),Constants!$B$20*(Constants!$B$21-$AK379),0))</f>
        <v/>
      </c>
      <c r="AZ379" s="130" t="str">
        <f aca="false">IF($BD379&lt;&gt;Constants!$B$6,"",IF($AG379,0,Constants!$B$12)+IF($AF379,0,Constants!$B$13)+IF($Y379,0,Constants!$B$14))</f>
        <v/>
      </c>
      <c r="BA379" s="131" t="str">
        <f aca="false">IF($BD379&lt;&gt;Constants!$B$6,"",Constants!$B$16+SUM($AW379:$AZ379))</f>
        <v/>
      </c>
      <c r="BB379" s="130" t="str">
        <f aca="false">IF($BD379&lt;&gt;Constants!$B$6,"",IF($AH379,$AJ379,""))</f>
        <v/>
      </c>
      <c r="BC379" s="132" t="str">
        <f aca="false">IF($BD379&lt;&gt;Constants!$B$6,"",$AX379)</f>
        <v/>
      </c>
      <c r="BD379" s="127" t="str">
        <f aca="false">IF(ISBLANK($C379),"",IF($AL379,Constants!$B$9,IF(COUNTA($E379:$T379)=0,Constants!$B$8,IF(NOT($X379),Constants!$B$7,IF(OR($AM379,$AV379),Constants!$B$10,Constants!$B$6)))))</f>
        <v/>
      </c>
      <c r="BE379" s="127" t="str">
        <f aca="false">IF(ISBLANK($C379),"",IF($BD379&lt;&gt;Constants!$B$6,$BD379,Constants!$B$11))</f>
        <v/>
      </c>
      <c r="BF379" s="130" t="str">
        <f aca="false">IF($BD379&lt;&gt;Constants!$B$6,"",IF($AU379="-&gt;",$BA379,$AR379))</f>
        <v/>
      </c>
      <c r="BG379" s="130" t="str">
        <f aca="false">IF($BD379&lt;&gt;Constants!$B$6,"",IF($W379,0,Constants!$B$15))</f>
        <v/>
      </c>
      <c r="BH379" s="130" t="str">
        <f aca="false">IF(ISBLANK($C379),"",IF($BD379&lt;&gt;Constants!$B$6,$BD379,SUM($BF379:$BG379)))</f>
        <v/>
      </c>
      <c r="BI379" s="127" t="str">
        <f aca="false">IF(ISBLANK($C379),"",IF($BD379&lt;&gt;Constants!$B$6,$BD379,RANK($BH379,$BH$9:$BH$508,1)))</f>
        <v/>
      </c>
      <c r="BJ379" s="130" t="str">
        <f aca="false">IF($BD379&lt;&gt;Constants!$B$6,"",IF($AU379="-&gt;",$BB379,$AS379))</f>
        <v/>
      </c>
      <c r="BK379" s="127" t="str">
        <f aca="false">IF(ISBLANK($C379),"",IF($BD379&lt;&gt;Constants!$B$6,$BD379,IF(ISNUMBER($BJ379),RANK($BJ379,$BJ$9:$BJ$508,1),COUNT($BJ$9:$BJ$508)+1)))</f>
        <v/>
      </c>
      <c r="BL379" s="130" t="str">
        <f aca="false">IF($BD379&lt;&gt;Constants!$B$6,"",IF($AU379="-&gt;",$BC379,$AT379))</f>
        <v/>
      </c>
      <c r="BM379" s="127" t="str">
        <f aca="false">IF(ISBLANK($C379),"",IF($BD379&lt;&gt;Constants!$B$6,$BD379,IF(ISNUMBER($BL379),RANK($BL379,$BL$9:$BL$508,1),COUNT($BL$9:$BL$508)+1)))</f>
        <v/>
      </c>
      <c r="BN379" s="130" t="str">
        <f aca="false">IF($BD379&lt;&gt;Constants!$B$6,"",IF($AU379="-&gt;",$AS379,$BB379))</f>
        <v/>
      </c>
      <c r="BO379" s="127" t="str">
        <f aca="false">IF(ISBLANK($C379),"",IF($BD379&lt;&gt;Constants!$B$6,$BD379,IF(ISNUMBER($BN379),RANK($BN379,$BN$9:$BN$508,1),COUNT($BN$9:$BN$508)+1)))</f>
        <v/>
      </c>
      <c r="BP379" s="130" t="str">
        <f aca="false">IF($BD379&lt;&gt;Constants!$B$6,"",IF($AU379="-&gt;",$AT379,$BC379))</f>
        <v/>
      </c>
      <c r="BQ379" s="127" t="str">
        <f aca="false">IF(ISBLANK($C379),"",IF($BD379&lt;&gt;Constants!$B$6,$BD379,IF(ISNUMBER($BP379),RANK($BP379,$BP$9:$BP$508,1),COUNT($BP$9:$BP$508)+1)))</f>
        <v/>
      </c>
      <c r="BR379" s="127" t="str">
        <f aca="false">IF(ISBLANK($C379),"",IF($BD379&lt;&gt;Constants!$B$6,$BD379,COUNTIFS($BI$9:$BI$508,"&lt;"&amp;$BI379)+COUNTIFS($BI$9:$BI$508,$BI379,$BK$9:$BK$508,"&lt;"&amp;$BK379)+COUNTIFS($BI$9:$BI$508,$BI379,$BK$9:$BK$508,$BK379,$BM$9:$BM$508,"&lt;"&amp;$BM379)+COUNTIFS($BI$9:$BI$508,$BI379,$BK$9:$BK$508,$BK379,$BM$9:$BM$508,$BM379,$BO$9:$BO$508,"&lt;"&amp;$BO379)+COUNTIFS($BI$9:$BI$508,$BI379,$BK$9:$BK$508,$BK379,$BM$9:$BM$508,$BM379,$BO$9:$BO$508,$BO379,$BQ$9:$BQ$508,"&lt;"&amp;$BQ379)+1))</f>
        <v/>
      </c>
      <c r="BS379" s="127" t="str">
        <f aca="false">IF(ISBLANK($C379),"",IF($BD379&lt;&gt;Constants!$B$6,$BD379,$BI379-$BR379))</f>
        <v/>
      </c>
      <c r="BT379" s="133"/>
      <c r="BU379" s="134"/>
      <c r="BV379" s="134" t="str">
        <f aca="false">IF(ISBLANK($C379),"",IF($BD379&lt;&gt;Constants!$B$6,"",IF($AU379="-&gt;",2,1)))</f>
        <v/>
      </c>
      <c r="BW379" s="135" t="str">
        <f aca="false">IF(ISBLANK($C379),"",IF($BD379&lt;&gt;Constants!$B$6,"",IF($AU379="-&gt;",$AW379,$AN379)))</f>
        <v/>
      </c>
      <c r="BX379" s="135" t="str">
        <f aca="false">IF(ISBLANK($C379),"",IF($BD379&lt;&gt;Constants!$B$6,"",IF($AU379="-&gt;",$AX379,$AO379)))</f>
        <v/>
      </c>
      <c r="BY379" s="135" t="str">
        <f aca="false">IF(ISBLANK($C379),"",IF($BD379&lt;&gt;Constants!$B$6,"",IF($AU379="-&gt;",$AY379,$AP379)))</f>
        <v/>
      </c>
      <c r="BZ379" s="135" t="str">
        <f aca="false">IF(ISBLANK($C379),"",IF($BD379&lt;&gt;Constants!$B$6,"",IF($AU379="-&gt;",$AZ379,$AQ379)+$BG379))</f>
        <v/>
      </c>
      <c r="CA379" s="136" t="str">
        <f aca="false">IF(ISBLANK($C379),"",IF($BD379&lt;&gt;Constants!$B$6,$BD379,$BH379))</f>
        <v/>
      </c>
      <c r="CB379" s="137" t="str">
        <f aca="false">IF(ISBLANK($C379),"",$BE379)</f>
        <v/>
      </c>
      <c r="CC379" s="138" t="str">
        <f aca="false">IF(ISBLANK($C379),"",$BS379)</f>
        <v/>
      </c>
      <c r="CD379" s="138" t="str">
        <f aca="false">IF(ISBLANK($C379),"",$BR379)</f>
        <v/>
      </c>
      <c r="CE379" s="139" t="str">
        <f aca="false">IF(ISBLANK($C379),"",IF($CD379=Constants!$B$9,COUNTA($C$9:$C$508)+2,IF($CD379=Constants!$B$8,COUNTA($C$9:$C$508)+1,IF($CD379=Constants!$B$7,COUNTA($C$9:$C$508),$CD379))))</f>
        <v/>
      </c>
      <c r="CF379" s="9"/>
      <c r="CG379" s="140" t="n">
        <f aca="false">IF(OR(ISNUMBER($CD379),$CD379=Constants!$B$9,$CD379=Constants!$B$7,$CD379=Constants!$B$8),1,0)</f>
        <v>0</v>
      </c>
      <c r="CH379" s="140" t="n">
        <v>371</v>
      </c>
      <c r="CI379" s="140" t="str">
        <f aca="false">IF(ISBLANK($C379),"",IF(ISNUMBER($CE379),$CE379+ROW($B379)/1000,""))</f>
        <v/>
      </c>
      <c r="CJ379" s="140" t="str">
        <f aca="false">IF(ISNUMBER($CI379),RANK($CI379,$CI$9:$CI$508,1),"")</f>
        <v/>
      </c>
      <c r="CK379" s="140" t="str">
        <f aca="false">IF(ISBLANK($C379),"",$B379)</f>
        <v/>
      </c>
      <c r="CL379" s="140" t="str">
        <f aca="false">IF(ISBLANK($C379),"",$C379)</f>
        <v/>
      </c>
      <c r="CM379" s="140" t="str">
        <f aca="false">IF(ISBLANK($C379),"",$D379)</f>
        <v/>
      </c>
      <c r="CN379" s="141" t="str">
        <f aca="false">$CB379</f>
        <v/>
      </c>
      <c r="CO379" s="142" t="str">
        <f aca="false">$CA379</f>
        <v/>
      </c>
      <c r="CP379" s="140" t="str">
        <f aca="false">IF(ISBLANK($C379),"",$CD379)</f>
        <v/>
      </c>
      <c r="CQ379" s="143" t="str">
        <f aca="false">IF($CH379&gt;$CG$8,"",VLOOKUP($CH379,$CJ$9:$CP$508,7,FALSE()))</f>
        <v/>
      </c>
      <c r="CR379" s="144" t="str">
        <f aca="false">IF($CH379&gt;$CG$8,"",VLOOKUP($CH379,$CJ$9:$CP$508,2,FALSE()))</f>
        <v/>
      </c>
      <c r="CS379" s="144" t="str">
        <f aca="false">IF($CH379&gt;$CG$8,"",VLOOKUP($CH379,$CJ$9:$CP$508,3,FALSE()))</f>
        <v/>
      </c>
      <c r="CT379" s="144" t="str">
        <f aca="false">IF($CH379&gt;$CG$8,"",VLOOKUP($CH379,$CJ$9:$CP$508,4,FALSE()))</f>
        <v/>
      </c>
      <c r="CU379" s="144" t="str">
        <f aca="false">IF($CH379&gt;$CG$8,"",VLOOKUP($CH379,$CJ$9:$CP$508,5,FALSE()))</f>
        <v/>
      </c>
      <c r="CV379" s="145" t="str">
        <f aca="false">IF($CH379&gt;$CG$8,"",VLOOKUP($CH379,$CJ$9:$CP$508,6,FALSE()))</f>
        <v/>
      </c>
      <c r="CW379" s="71"/>
    </row>
    <row r="380" customFormat="false" ht="15.75" hidden="false" customHeight="false" outlineLevel="0" collapsed="false">
      <c r="A380" s="9"/>
      <c r="B380" s="150"/>
      <c r="C380" s="151"/>
      <c r="D380" s="152"/>
      <c r="E380" s="170"/>
      <c r="F380" s="154"/>
      <c r="G380" s="155"/>
      <c r="H380" s="171"/>
      <c r="I380" s="159"/>
      <c r="J380" s="120"/>
      <c r="K380" s="121"/>
      <c r="L380" s="122"/>
      <c r="M380" s="158"/>
      <c r="N380" s="159"/>
      <c r="O380" s="159"/>
      <c r="P380" s="120"/>
      <c r="Q380" s="122"/>
      <c r="R380" s="122"/>
      <c r="S380" s="158"/>
      <c r="T380" s="159"/>
      <c r="U380" s="126"/>
      <c r="V380" s="127"/>
      <c r="W380" s="127" t="str">
        <f aca="false">IF(ISBLANK($C380),"",IF(E380=Constants!$B$2,TRUE(),IF(E380=Constants!$B$3,FALSE(),TRUE())))</f>
        <v/>
      </c>
      <c r="X380" s="127" t="str">
        <f aca="false">IF(ISBLANK($C380),"",IF(F380=Constants!$B$2,TRUE(),IF(F380=Constants!$B$3,FALSE(),TRUE())))</f>
        <v/>
      </c>
      <c r="Y380" s="127" t="str">
        <f aca="false">IF(ISBLANK($C380),"",IF(G380=Constants!$B$2,TRUE(),IF(G380=Constants!$B$3,FALSE(),TRUE())))</f>
        <v/>
      </c>
      <c r="Z380" s="127" t="str">
        <f aca="false">IF(ISBLANK($C380),"",IF(H380=Constants!$B$2,TRUE(),IF(H380=Constants!$B$3,FALSE(),TRUE())))</f>
        <v/>
      </c>
      <c r="AA380" s="127" t="str">
        <f aca="false">IF(ISBLANK($C380),"",IF(I380=Constants!$B$2,TRUE(),IF(I380=Constants!$B$3,FALSE(),TRUE())))</f>
        <v/>
      </c>
      <c r="AB380" s="127" t="str">
        <f aca="false">IF(ISBLANK($C380),"",IF(J380=Constants!$B$4,TRUE(),IF(J380=Constants!$B$5,FALSE(),COUNTA(K380:M380)&gt;0)))</f>
        <v/>
      </c>
      <c r="AC380" s="128" t="str">
        <f aca="false">IF(ISBLANK($C380),"",IF(ISNUMBER(K380),IF(K380&gt;=0,K380,""),""))</f>
        <v/>
      </c>
      <c r="AD380" s="129" t="str">
        <f aca="false">IF(ISBLANK($C380),"",IF(ISNUMBER(L380),IF(L380&gt;=0,L380,""),""))</f>
        <v/>
      </c>
      <c r="AE380" s="127" t="str">
        <f aca="false">IF(ISBLANK($C380),"",IF(ISNUMBER(M380),IF(M380&gt;=0,MIN(M380,Constants!$B$22),""),""))</f>
        <v/>
      </c>
      <c r="AF380" s="127" t="str">
        <f aca="false">IF(ISBLANK($C380),"",IF(N380=Constants!$B$2,TRUE(),IF(N380=Constants!$B$3,FALSE(),TRUE())))</f>
        <v/>
      </c>
      <c r="AG380" s="127" t="str">
        <f aca="false">IF(ISBLANK($C380),"",IF(O380=Constants!$B$2,TRUE(),IF(O380=Constants!$B$3,FALSE(),TRUE())))</f>
        <v/>
      </c>
      <c r="AH380" s="127" t="str">
        <f aca="false">IF(ISBLANK($C380),"",IF(P380=Constants!$B$4,TRUE(),IF(P380=Constants!$B$5,FALSE(),COUNTA(Q380:S380)&gt;0)))</f>
        <v/>
      </c>
      <c r="AI380" s="128" t="str">
        <f aca="false">IF(ISBLANK($C380),"",IF(ISNUMBER(Q380),IF(Q380&gt;=0,Q380,""),""))</f>
        <v/>
      </c>
      <c r="AJ380" s="129" t="str">
        <f aca="false">IF(ISBLANK($C380),"",IF(ISNUMBER(R380),IF(R380&gt;=0,R380,""),""))</f>
        <v/>
      </c>
      <c r="AK380" s="127" t="str">
        <f aca="false">IF(ISBLANK($C380),"",IF(ISNUMBER(S380),IF(S380&gt;=0,MIN(S380,Constants!$B$22),""),""))</f>
        <v/>
      </c>
      <c r="AL380" s="127" t="str">
        <f aca="false">IF(ISBLANK($C380),"",IF(T380=Constants!$B$2,TRUE(),IF(T380=Constants!$B$3,FALSE(),FALSE())))</f>
        <v/>
      </c>
      <c r="AM380" s="126" t="str">
        <f aca="false">IF(ISBLANK($C380),"",AND($AB380,OR($AC380="",$AD380="",AND(NOT(ISBLANK($M380)),$AE380=""))))</f>
        <v/>
      </c>
      <c r="AN380" s="129" t="str">
        <f aca="false">IF($BD380&lt;&gt;Constants!$B$6,"",IF($AB380,Constants!$B$17*$AD380,Constants!$B$18))</f>
        <v/>
      </c>
      <c r="AO380" s="130" t="str">
        <f aca="false">IF($BD380&lt;&gt;Constants!$B$6,"",Constants!$B$19*IF($AB380,$AC380,0))</f>
        <v/>
      </c>
      <c r="AP380" s="130" t="str">
        <f aca="false">IF($BD380&lt;&gt;Constants!$B$6,"",IF(AND($AB380,ISNUMBER($AE380)),Constants!$B$20*(Constants!$B$21-$AE380),0))</f>
        <v/>
      </c>
      <c r="AQ380" s="130" t="str">
        <f aca="false">IF($BD380&lt;&gt;Constants!$B$6,"",IF($AA380,0,Constants!$B$12)+IF($Z380,0,Constants!$B$13)+IF($Y380,0,Constants!$B$14))</f>
        <v/>
      </c>
      <c r="AR380" s="131" t="str">
        <f aca="false">IF($BD380&lt;&gt;Constants!$B$6,"",Constants!$B$16+SUM($AN380:$AQ380))</f>
        <v/>
      </c>
      <c r="AS380" s="130" t="str">
        <f aca="false">IF($BD380&lt;&gt;Constants!$B$6,"",IF($AB380,$AD380,""))</f>
        <v/>
      </c>
      <c r="AT380" s="132" t="str">
        <f aca="false">IF($BD380&lt;&gt;Constants!$B$6,"",$AO380)</f>
        <v/>
      </c>
      <c r="AU380" s="127" t="str">
        <f aca="false">IF($BD380&lt;&gt;Constants!$B$6,"",IF(OR($BA380&lt;$AR380,AND($BA380=$AR380,OR(AND(ISNUMBER($BB380),OR(NOT(ISNUMBER($AS380)),$BB380&lt;$AS380)),AND(OR(AND($BB380="",$AS380=""),AND(ISNUMBER($BB380),ISNUMBER($AS380),$BB380=$AS380)),$BC380&lt;$AT380)))),"-&gt;","&lt;-"))</f>
        <v/>
      </c>
      <c r="AV380" s="126" t="str">
        <f aca="false">IF(ISBLANK($C380),"",AND($AH380,OR($AI380="",$AJ380="",AND(NOT(ISBLANK($S380)),$AK380=""))))</f>
        <v/>
      </c>
      <c r="AW380" s="129" t="str">
        <f aca="false">IF($BD380&lt;&gt;Constants!$B$6,"",IF($AH380,Constants!$B$17*$AJ380,Constants!$B$18))</f>
        <v/>
      </c>
      <c r="AX380" s="130" t="str">
        <f aca="false">IF($BD380&lt;&gt;Constants!$B$6,"",Constants!$B$19*IF($AH380,$AI380,0))</f>
        <v/>
      </c>
      <c r="AY380" s="130" t="str">
        <f aca="false">IF($BD380&lt;&gt;Constants!$B$6,"",IF(AND($AH380,ISNUMBER($AK380)),Constants!$B$20*(Constants!$B$21-$AK380),0))</f>
        <v/>
      </c>
      <c r="AZ380" s="130" t="str">
        <f aca="false">IF($BD380&lt;&gt;Constants!$B$6,"",IF($AG380,0,Constants!$B$12)+IF($AF380,0,Constants!$B$13)+IF($Y380,0,Constants!$B$14))</f>
        <v/>
      </c>
      <c r="BA380" s="131" t="str">
        <f aca="false">IF($BD380&lt;&gt;Constants!$B$6,"",Constants!$B$16+SUM($AW380:$AZ380))</f>
        <v/>
      </c>
      <c r="BB380" s="130" t="str">
        <f aca="false">IF($BD380&lt;&gt;Constants!$B$6,"",IF($AH380,$AJ380,""))</f>
        <v/>
      </c>
      <c r="BC380" s="132" t="str">
        <f aca="false">IF($BD380&lt;&gt;Constants!$B$6,"",$AX380)</f>
        <v/>
      </c>
      <c r="BD380" s="127" t="str">
        <f aca="false">IF(ISBLANK($C380),"",IF($AL380,Constants!$B$9,IF(COUNTA($E380:$T380)=0,Constants!$B$8,IF(NOT($X380),Constants!$B$7,IF(OR($AM380,$AV380),Constants!$B$10,Constants!$B$6)))))</f>
        <v/>
      </c>
      <c r="BE380" s="127" t="str">
        <f aca="false">IF(ISBLANK($C380),"",IF($BD380&lt;&gt;Constants!$B$6,$BD380,Constants!$B$11))</f>
        <v/>
      </c>
      <c r="BF380" s="130" t="str">
        <f aca="false">IF($BD380&lt;&gt;Constants!$B$6,"",IF($AU380="-&gt;",$BA380,$AR380))</f>
        <v/>
      </c>
      <c r="BG380" s="130" t="str">
        <f aca="false">IF($BD380&lt;&gt;Constants!$B$6,"",IF($W380,0,Constants!$B$15))</f>
        <v/>
      </c>
      <c r="BH380" s="130" t="str">
        <f aca="false">IF(ISBLANK($C380),"",IF($BD380&lt;&gt;Constants!$B$6,$BD380,SUM($BF380:$BG380)))</f>
        <v/>
      </c>
      <c r="BI380" s="127" t="str">
        <f aca="false">IF(ISBLANK($C380),"",IF($BD380&lt;&gt;Constants!$B$6,$BD380,RANK($BH380,$BH$9:$BH$508,1)))</f>
        <v/>
      </c>
      <c r="BJ380" s="130" t="str">
        <f aca="false">IF($BD380&lt;&gt;Constants!$B$6,"",IF($AU380="-&gt;",$BB380,$AS380))</f>
        <v/>
      </c>
      <c r="BK380" s="127" t="str">
        <f aca="false">IF(ISBLANK($C380),"",IF($BD380&lt;&gt;Constants!$B$6,$BD380,IF(ISNUMBER($BJ380),RANK($BJ380,$BJ$9:$BJ$508,1),COUNT($BJ$9:$BJ$508)+1)))</f>
        <v/>
      </c>
      <c r="BL380" s="130" t="str">
        <f aca="false">IF($BD380&lt;&gt;Constants!$B$6,"",IF($AU380="-&gt;",$BC380,$AT380))</f>
        <v/>
      </c>
      <c r="BM380" s="127" t="str">
        <f aca="false">IF(ISBLANK($C380),"",IF($BD380&lt;&gt;Constants!$B$6,$BD380,IF(ISNUMBER($BL380),RANK($BL380,$BL$9:$BL$508,1),COUNT($BL$9:$BL$508)+1)))</f>
        <v/>
      </c>
      <c r="BN380" s="130" t="str">
        <f aca="false">IF($BD380&lt;&gt;Constants!$B$6,"",IF($AU380="-&gt;",$AS380,$BB380))</f>
        <v/>
      </c>
      <c r="BO380" s="127" t="str">
        <f aca="false">IF(ISBLANK($C380),"",IF($BD380&lt;&gt;Constants!$B$6,$BD380,IF(ISNUMBER($BN380),RANK($BN380,$BN$9:$BN$508,1),COUNT($BN$9:$BN$508)+1)))</f>
        <v/>
      </c>
      <c r="BP380" s="130" t="str">
        <f aca="false">IF($BD380&lt;&gt;Constants!$B$6,"",IF($AU380="-&gt;",$AT380,$BC380))</f>
        <v/>
      </c>
      <c r="BQ380" s="127" t="str">
        <f aca="false">IF(ISBLANK($C380),"",IF($BD380&lt;&gt;Constants!$B$6,$BD380,IF(ISNUMBER($BP380),RANK($BP380,$BP$9:$BP$508,1),COUNT($BP$9:$BP$508)+1)))</f>
        <v/>
      </c>
      <c r="BR380" s="127" t="str">
        <f aca="false">IF(ISBLANK($C380),"",IF($BD380&lt;&gt;Constants!$B$6,$BD380,COUNTIFS($BI$9:$BI$508,"&lt;"&amp;$BI380)+COUNTIFS($BI$9:$BI$508,$BI380,$BK$9:$BK$508,"&lt;"&amp;$BK380)+COUNTIFS($BI$9:$BI$508,$BI380,$BK$9:$BK$508,$BK380,$BM$9:$BM$508,"&lt;"&amp;$BM380)+COUNTIFS($BI$9:$BI$508,$BI380,$BK$9:$BK$508,$BK380,$BM$9:$BM$508,$BM380,$BO$9:$BO$508,"&lt;"&amp;$BO380)+COUNTIFS($BI$9:$BI$508,$BI380,$BK$9:$BK$508,$BK380,$BM$9:$BM$508,$BM380,$BO$9:$BO$508,$BO380,$BQ$9:$BQ$508,"&lt;"&amp;$BQ380)+1))</f>
        <v/>
      </c>
      <c r="BS380" s="127" t="str">
        <f aca="false">IF(ISBLANK($C380),"",IF($BD380&lt;&gt;Constants!$B$6,$BD380,$BI380-$BR380))</f>
        <v/>
      </c>
      <c r="BT380" s="133"/>
      <c r="BU380" s="134"/>
      <c r="BV380" s="134" t="str">
        <f aca="false">IF(ISBLANK($C380),"",IF($BD380&lt;&gt;Constants!$B$6,"",IF($AU380="-&gt;",2,1)))</f>
        <v/>
      </c>
      <c r="BW380" s="135" t="str">
        <f aca="false">IF(ISBLANK($C380),"",IF($BD380&lt;&gt;Constants!$B$6,"",IF($AU380="-&gt;",$AW380,$AN380)))</f>
        <v/>
      </c>
      <c r="BX380" s="135" t="str">
        <f aca="false">IF(ISBLANK($C380),"",IF($BD380&lt;&gt;Constants!$B$6,"",IF($AU380="-&gt;",$AX380,$AO380)))</f>
        <v/>
      </c>
      <c r="BY380" s="135" t="str">
        <f aca="false">IF(ISBLANK($C380),"",IF($BD380&lt;&gt;Constants!$B$6,"",IF($AU380="-&gt;",$AY380,$AP380)))</f>
        <v/>
      </c>
      <c r="BZ380" s="135" t="str">
        <f aca="false">IF(ISBLANK($C380),"",IF($BD380&lt;&gt;Constants!$B$6,"",IF($AU380="-&gt;",$AZ380,$AQ380)+$BG380))</f>
        <v/>
      </c>
      <c r="CA380" s="136" t="str">
        <f aca="false">IF(ISBLANK($C380),"",IF($BD380&lt;&gt;Constants!$B$6,$BD380,$BH380))</f>
        <v/>
      </c>
      <c r="CB380" s="137" t="str">
        <f aca="false">IF(ISBLANK($C380),"",$BE380)</f>
        <v/>
      </c>
      <c r="CC380" s="138" t="str">
        <f aca="false">IF(ISBLANK($C380),"",$BS380)</f>
        <v/>
      </c>
      <c r="CD380" s="138" t="str">
        <f aca="false">IF(ISBLANK($C380),"",$BR380)</f>
        <v/>
      </c>
      <c r="CE380" s="139" t="str">
        <f aca="false">IF(ISBLANK($C380),"",IF($CD380=Constants!$B$9,COUNTA($C$9:$C$508)+2,IF($CD380=Constants!$B$8,COUNTA($C$9:$C$508)+1,IF($CD380=Constants!$B$7,COUNTA($C$9:$C$508),$CD380))))</f>
        <v/>
      </c>
      <c r="CF380" s="9"/>
      <c r="CG380" s="140" t="n">
        <f aca="false">IF(OR(ISNUMBER($CD380),$CD380=Constants!$B$9,$CD380=Constants!$B$7,$CD380=Constants!$B$8),1,0)</f>
        <v>0</v>
      </c>
      <c r="CH380" s="140" t="n">
        <v>372</v>
      </c>
      <c r="CI380" s="140" t="str">
        <f aca="false">IF(ISBLANK($C380),"",IF(ISNUMBER($CE380),$CE380+ROW($B380)/1000,""))</f>
        <v/>
      </c>
      <c r="CJ380" s="140" t="str">
        <f aca="false">IF(ISNUMBER($CI380),RANK($CI380,$CI$9:$CI$508,1),"")</f>
        <v/>
      </c>
      <c r="CK380" s="140" t="str">
        <f aca="false">IF(ISBLANK($C380),"",$B380)</f>
        <v/>
      </c>
      <c r="CL380" s="140" t="str">
        <f aca="false">IF(ISBLANK($C380),"",$C380)</f>
        <v/>
      </c>
      <c r="CM380" s="140" t="str">
        <f aca="false">IF(ISBLANK($C380),"",$D380)</f>
        <v/>
      </c>
      <c r="CN380" s="141" t="str">
        <f aca="false">$CB380</f>
        <v/>
      </c>
      <c r="CO380" s="142" t="str">
        <f aca="false">$CA380</f>
        <v/>
      </c>
      <c r="CP380" s="140" t="str">
        <f aca="false">IF(ISBLANK($C380),"",$CD380)</f>
        <v/>
      </c>
      <c r="CQ380" s="143" t="str">
        <f aca="false">IF($CH380&gt;$CG$8,"",VLOOKUP($CH380,$CJ$9:$CP$508,7,FALSE()))</f>
        <v/>
      </c>
      <c r="CR380" s="144" t="str">
        <f aca="false">IF($CH380&gt;$CG$8,"",VLOOKUP($CH380,$CJ$9:$CP$508,2,FALSE()))</f>
        <v/>
      </c>
      <c r="CS380" s="144" t="str">
        <f aca="false">IF($CH380&gt;$CG$8,"",VLOOKUP($CH380,$CJ$9:$CP$508,3,FALSE()))</f>
        <v/>
      </c>
      <c r="CT380" s="144" t="str">
        <f aca="false">IF($CH380&gt;$CG$8,"",VLOOKUP($CH380,$CJ$9:$CP$508,4,FALSE()))</f>
        <v/>
      </c>
      <c r="CU380" s="144" t="str">
        <f aca="false">IF($CH380&gt;$CG$8,"",VLOOKUP($CH380,$CJ$9:$CP$508,5,FALSE()))</f>
        <v/>
      </c>
      <c r="CV380" s="145" t="str">
        <f aca="false">IF($CH380&gt;$CG$8,"",VLOOKUP($CH380,$CJ$9:$CP$508,6,FALSE()))</f>
        <v/>
      </c>
      <c r="CW380" s="71"/>
    </row>
    <row r="381" customFormat="false" ht="15.75" hidden="false" customHeight="false" outlineLevel="0" collapsed="false">
      <c r="A381" s="9"/>
      <c r="B381" s="72"/>
      <c r="C381" s="73"/>
      <c r="D381" s="160"/>
      <c r="E381" s="168"/>
      <c r="F381" s="162"/>
      <c r="G381" s="163"/>
      <c r="H381" s="169"/>
      <c r="I381" s="167"/>
      <c r="J381" s="80"/>
      <c r="K381" s="81"/>
      <c r="L381" s="82"/>
      <c r="M381" s="166"/>
      <c r="N381" s="167"/>
      <c r="O381" s="167"/>
      <c r="P381" s="80"/>
      <c r="Q381" s="82"/>
      <c r="R381" s="82"/>
      <c r="S381" s="166"/>
      <c r="T381" s="167"/>
      <c r="U381" s="86"/>
      <c r="V381" s="87"/>
      <c r="W381" s="87" t="str">
        <f aca="false">IF(ISBLANK($C381),"",IF(E381=Constants!$B$2,TRUE(),IF(E381=Constants!$B$3,FALSE(),TRUE())))</f>
        <v/>
      </c>
      <c r="X381" s="87" t="str">
        <f aca="false">IF(ISBLANK($C381),"",IF(F381=Constants!$B$2,TRUE(),IF(F381=Constants!$B$3,FALSE(),TRUE())))</f>
        <v/>
      </c>
      <c r="Y381" s="87" t="str">
        <f aca="false">IF(ISBLANK($C381),"",IF(G381=Constants!$B$2,TRUE(),IF(G381=Constants!$B$3,FALSE(),TRUE())))</f>
        <v/>
      </c>
      <c r="Z381" s="87" t="str">
        <f aca="false">IF(ISBLANK($C381),"",IF(H381=Constants!$B$2,TRUE(),IF(H381=Constants!$B$3,FALSE(),TRUE())))</f>
        <v/>
      </c>
      <c r="AA381" s="87" t="str">
        <f aca="false">IF(ISBLANK($C381),"",IF(I381=Constants!$B$2,TRUE(),IF(I381=Constants!$B$3,FALSE(),TRUE())))</f>
        <v/>
      </c>
      <c r="AB381" s="87" t="str">
        <f aca="false">IF(ISBLANK($C381),"",IF(J381=Constants!$B$4,TRUE(),IF(J381=Constants!$B$5,FALSE(),COUNTA(K381:M381)&gt;0)))</f>
        <v/>
      </c>
      <c r="AC381" s="88" t="str">
        <f aca="false">IF(ISBLANK($C381),"",IF(ISNUMBER(K381),IF(K381&gt;=0,K381,""),""))</f>
        <v/>
      </c>
      <c r="AD381" s="89" t="str">
        <f aca="false">IF(ISBLANK($C381),"",IF(ISNUMBER(L381),IF(L381&gt;=0,L381,""),""))</f>
        <v/>
      </c>
      <c r="AE381" s="87" t="str">
        <f aca="false">IF(ISBLANK($C381),"",IF(ISNUMBER(M381),IF(M381&gt;=0,MIN(M381,Constants!$B$22),""),""))</f>
        <v/>
      </c>
      <c r="AF381" s="87" t="str">
        <f aca="false">IF(ISBLANK($C381),"",IF(N381=Constants!$B$2,TRUE(),IF(N381=Constants!$B$3,FALSE(),TRUE())))</f>
        <v/>
      </c>
      <c r="AG381" s="87" t="str">
        <f aca="false">IF(ISBLANK($C381),"",IF(O381=Constants!$B$2,TRUE(),IF(O381=Constants!$B$3,FALSE(),TRUE())))</f>
        <v/>
      </c>
      <c r="AH381" s="87" t="str">
        <f aca="false">IF(ISBLANK($C381),"",IF(P381=Constants!$B$4,TRUE(),IF(P381=Constants!$B$5,FALSE(),COUNTA(Q381:S381)&gt;0)))</f>
        <v/>
      </c>
      <c r="AI381" s="88" t="str">
        <f aca="false">IF(ISBLANK($C381),"",IF(ISNUMBER(Q381),IF(Q381&gt;=0,Q381,""),""))</f>
        <v/>
      </c>
      <c r="AJ381" s="89" t="str">
        <f aca="false">IF(ISBLANK($C381),"",IF(ISNUMBER(R381),IF(R381&gt;=0,R381,""),""))</f>
        <v/>
      </c>
      <c r="AK381" s="87" t="str">
        <f aca="false">IF(ISBLANK($C381),"",IF(ISNUMBER(S381),IF(S381&gt;=0,MIN(S381,Constants!$B$22),""),""))</f>
        <v/>
      </c>
      <c r="AL381" s="87" t="str">
        <f aca="false">IF(ISBLANK($C381),"",IF(T381=Constants!$B$2,TRUE(),IF(T381=Constants!$B$3,FALSE(),FALSE())))</f>
        <v/>
      </c>
      <c r="AM381" s="86" t="str">
        <f aca="false">IF(ISBLANK($C381),"",AND($AB381,OR($AC381="",$AD381="",AND(NOT(ISBLANK($M381)),$AE381=""))))</f>
        <v/>
      </c>
      <c r="AN381" s="89" t="str">
        <f aca="false">IF($BD381&lt;&gt;Constants!$B$6,"",IF($AB381,Constants!$B$17*$AD381,Constants!$B$18))</f>
        <v/>
      </c>
      <c r="AO381" s="91" t="str">
        <f aca="false">IF($BD381&lt;&gt;Constants!$B$6,"",Constants!$B$19*IF($AB381,$AC381,0))</f>
        <v/>
      </c>
      <c r="AP381" s="91" t="str">
        <f aca="false">IF($BD381&lt;&gt;Constants!$B$6,"",IF(AND($AB381,ISNUMBER($AE381)),Constants!$B$20*(Constants!$B$21-$AE381),0))</f>
        <v/>
      </c>
      <c r="AQ381" s="91" t="str">
        <f aca="false">IF($BD381&lt;&gt;Constants!$B$6,"",IF($AA381,0,Constants!$B$12)+IF($Z381,0,Constants!$B$13)+IF($Y381,0,Constants!$B$14))</f>
        <v/>
      </c>
      <c r="AR381" s="92" t="str">
        <f aca="false">IF($BD381&lt;&gt;Constants!$B$6,"",Constants!$B$16+SUM($AN381:$AQ381))</f>
        <v/>
      </c>
      <c r="AS381" s="91" t="str">
        <f aca="false">IF($BD381&lt;&gt;Constants!$B$6,"",IF($AB381,$AD381,""))</f>
        <v/>
      </c>
      <c r="AT381" s="93" t="str">
        <f aca="false">IF($BD381&lt;&gt;Constants!$B$6,"",$AO381)</f>
        <v/>
      </c>
      <c r="AU381" s="87" t="str">
        <f aca="false">IF($BD381&lt;&gt;Constants!$B$6,"",IF(OR($BA381&lt;$AR381,AND($BA381=$AR381,OR(AND(ISNUMBER($BB381),OR(NOT(ISNUMBER($AS381)),$BB381&lt;$AS381)),AND(OR(AND($BB381="",$AS381=""),AND(ISNUMBER($BB381),ISNUMBER($AS381),$BB381=$AS381)),$BC381&lt;$AT381)))),"-&gt;","&lt;-"))</f>
        <v/>
      </c>
      <c r="AV381" s="86" t="str">
        <f aca="false">IF(ISBLANK($C381),"",AND($AH381,OR($AI381="",$AJ381="",AND(NOT(ISBLANK($S381)),$AK381=""))))</f>
        <v/>
      </c>
      <c r="AW381" s="89" t="str">
        <f aca="false">IF($BD381&lt;&gt;Constants!$B$6,"",IF($AH381,Constants!$B$17*$AJ381,Constants!$B$18))</f>
        <v/>
      </c>
      <c r="AX381" s="91" t="str">
        <f aca="false">IF($BD381&lt;&gt;Constants!$B$6,"",Constants!$B$19*IF($AH381,$AI381,0))</f>
        <v/>
      </c>
      <c r="AY381" s="91" t="str">
        <f aca="false">IF($BD381&lt;&gt;Constants!$B$6,"",IF(AND($AH381,ISNUMBER($AK381)),Constants!$B$20*(Constants!$B$21-$AK381),0))</f>
        <v/>
      </c>
      <c r="AZ381" s="91" t="str">
        <f aca="false">IF($BD381&lt;&gt;Constants!$B$6,"",IF($AG381,0,Constants!$B$12)+IF($AF381,0,Constants!$B$13)+IF($Y381,0,Constants!$B$14))</f>
        <v/>
      </c>
      <c r="BA381" s="92" t="str">
        <f aca="false">IF($BD381&lt;&gt;Constants!$B$6,"",Constants!$B$16+SUM($AW381:$AZ381))</f>
        <v/>
      </c>
      <c r="BB381" s="91" t="str">
        <f aca="false">IF($BD381&lt;&gt;Constants!$B$6,"",IF($AH381,$AJ381,""))</f>
        <v/>
      </c>
      <c r="BC381" s="93" t="str">
        <f aca="false">IF($BD381&lt;&gt;Constants!$B$6,"",$AX381)</f>
        <v/>
      </c>
      <c r="BD381" s="87" t="str">
        <f aca="false">IF(ISBLANK($C381),"",IF($AL381,Constants!$B$9,IF(COUNTA($E381:$T381)=0,Constants!$B$8,IF(NOT($X381),Constants!$B$7,IF(OR($AM381,$AV381),Constants!$B$10,Constants!$B$6)))))</f>
        <v/>
      </c>
      <c r="BE381" s="87" t="str">
        <f aca="false">IF(ISBLANK($C381),"",IF($BD381&lt;&gt;Constants!$B$6,$BD381,Constants!$B$11))</f>
        <v/>
      </c>
      <c r="BF381" s="91" t="str">
        <f aca="false">IF($BD381&lt;&gt;Constants!$B$6,"",IF($AU381="-&gt;",$BA381,$AR381))</f>
        <v/>
      </c>
      <c r="BG381" s="91" t="str">
        <f aca="false">IF($BD381&lt;&gt;Constants!$B$6,"",IF($W381,0,Constants!$B$15))</f>
        <v/>
      </c>
      <c r="BH381" s="91" t="str">
        <f aca="false">IF(ISBLANK($C381),"",IF($BD381&lt;&gt;Constants!$B$6,$BD381,SUM($BF381:$BG381)))</f>
        <v/>
      </c>
      <c r="BI381" s="87" t="str">
        <f aca="false">IF(ISBLANK($C381),"",IF($BD381&lt;&gt;Constants!$B$6,$BD381,RANK($BH381,$BH$9:$BH$508,1)))</f>
        <v/>
      </c>
      <c r="BJ381" s="91" t="str">
        <f aca="false">IF($BD381&lt;&gt;Constants!$B$6,"",IF($AU381="-&gt;",$BB381,$AS381))</f>
        <v/>
      </c>
      <c r="BK381" s="87" t="str">
        <f aca="false">IF(ISBLANK($C381),"",IF($BD381&lt;&gt;Constants!$B$6,$BD381,IF(ISNUMBER($BJ381),RANK($BJ381,$BJ$9:$BJ$508,1),COUNT($BJ$9:$BJ$508)+1)))</f>
        <v/>
      </c>
      <c r="BL381" s="91" t="str">
        <f aca="false">IF($BD381&lt;&gt;Constants!$B$6,"",IF($AU381="-&gt;",$BC381,$AT381))</f>
        <v/>
      </c>
      <c r="BM381" s="87" t="str">
        <f aca="false">IF(ISBLANK($C381),"",IF($BD381&lt;&gt;Constants!$B$6,$BD381,IF(ISNUMBER($BL381),RANK($BL381,$BL$9:$BL$508,1),COUNT($BL$9:$BL$508)+1)))</f>
        <v/>
      </c>
      <c r="BN381" s="91" t="str">
        <f aca="false">IF($BD381&lt;&gt;Constants!$B$6,"",IF($AU381="-&gt;",$AS381,$BB381))</f>
        <v/>
      </c>
      <c r="BO381" s="87" t="str">
        <f aca="false">IF(ISBLANK($C381),"",IF($BD381&lt;&gt;Constants!$B$6,$BD381,IF(ISNUMBER($BN381),RANK($BN381,$BN$9:$BN$508,1),COUNT($BN$9:$BN$508)+1)))</f>
        <v/>
      </c>
      <c r="BP381" s="91" t="str">
        <f aca="false">IF($BD381&lt;&gt;Constants!$B$6,"",IF($AU381="-&gt;",$AT381,$BC381))</f>
        <v/>
      </c>
      <c r="BQ381" s="87" t="str">
        <f aca="false">IF(ISBLANK($C381),"",IF($BD381&lt;&gt;Constants!$B$6,$BD381,IF(ISNUMBER($BP381),RANK($BP381,$BP$9:$BP$508,1),COUNT($BP$9:$BP$508)+1)))</f>
        <v/>
      </c>
      <c r="BR381" s="87" t="str">
        <f aca="false">IF(ISBLANK($C381),"",IF($BD381&lt;&gt;Constants!$B$6,$BD381,COUNTIFS($BI$9:$BI$508,"&lt;"&amp;$BI381)+COUNTIFS($BI$9:$BI$508,$BI381,$BK$9:$BK$508,"&lt;"&amp;$BK381)+COUNTIFS($BI$9:$BI$508,$BI381,$BK$9:$BK$508,$BK381,$BM$9:$BM$508,"&lt;"&amp;$BM381)+COUNTIFS($BI$9:$BI$508,$BI381,$BK$9:$BK$508,$BK381,$BM$9:$BM$508,$BM381,$BO$9:$BO$508,"&lt;"&amp;$BO381)+COUNTIFS($BI$9:$BI$508,$BI381,$BK$9:$BK$508,$BK381,$BM$9:$BM$508,$BM381,$BO$9:$BO$508,$BO381,$BQ$9:$BQ$508,"&lt;"&amp;$BQ381)+1))</f>
        <v/>
      </c>
      <c r="BS381" s="87" t="str">
        <f aca="false">IF(ISBLANK($C381),"",IF($BD381&lt;&gt;Constants!$B$6,$BD381,$BI381-$BR381))</f>
        <v/>
      </c>
      <c r="BT381" s="94"/>
      <c r="BU381" s="95"/>
      <c r="BV381" s="95" t="str">
        <f aca="false">IF(ISBLANK($C381),"",IF($BD381&lt;&gt;Constants!$B$6,"",IF($AU381="-&gt;",2,1)))</f>
        <v/>
      </c>
      <c r="BW381" s="96" t="str">
        <f aca="false">IF(ISBLANK($C381),"",IF($BD381&lt;&gt;Constants!$B$6,"",IF($AU381="-&gt;",$AW381,$AN381)))</f>
        <v/>
      </c>
      <c r="BX381" s="96" t="str">
        <f aca="false">IF(ISBLANK($C381),"",IF($BD381&lt;&gt;Constants!$B$6,"",IF($AU381="-&gt;",$AX381,$AO381)))</f>
        <v/>
      </c>
      <c r="BY381" s="96" t="str">
        <f aca="false">IF(ISBLANK($C381),"",IF($BD381&lt;&gt;Constants!$B$6,"",IF($AU381="-&gt;",$AY381,$AP381)))</f>
        <v/>
      </c>
      <c r="BZ381" s="96" t="str">
        <f aca="false">IF(ISBLANK($C381),"",IF($BD381&lt;&gt;Constants!$B$6,"",IF($AU381="-&gt;",$AZ381,$AQ381)+$BG381))</f>
        <v/>
      </c>
      <c r="CA381" s="97" t="str">
        <f aca="false">IF(ISBLANK($C381),"",IF($BD381&lt;&gt;Constants!$B$6,$BD381,$BH381))</f>
        <v/>
      </c>
      <c r="CB381" s="98" t="str">
        <f aca="false">IF(ISBLANK($C381),"",$BE381)</f>
        <v/>
      </c>
      <c r="CC381" s="99" t="str">
        <f aca="false">IF(ISBLANK($C381),"",$BS381)</f>
        <v/>
      </c>
      <c r="CD381" s="99" t="str">
        <f aca="false">IF(ISBLANK($C381),"",$BR381)</f>
        <v/>
      </c>
      <c r="CE381" s="100" t="str">
        <f aca="false">IF(ISBLANK($C381),"",IF($CD381=Constants!$B$9,COUNTA($C$9:$C$508)+2,IF($CD381=Constants!$B$8,COUNTA($C$9:$C$508)+1,IF($CD381=Constants!$B$7,COUNTA($C$9:$C$508),$CD381))))</f>
        <v/>
      </c>
      <c r="CF381" s="9"/>
      <c r="CG381" s="101" t="n">
        <f aca="false">IF(OR(ISNUMBER($CD381),$CD381=Constants!$B$9,$CD381=Constants!$B$7,$CD381=Constants!$B$8),1,0)</f>
        <v>0</v>
      </c>
      <c r="CH381" s="101" t="n">
        <v>373</v>
      </c>
      <c r="CI381" s="101" t="str">
        <f aca="false">IF(ISBLANK($C381),"",IF(ISNUMBER($CE381),$CE381+ROW($B381)/1000,""))</f>
        <v/>
      </c>
      <c r="CJ381" s="101" t="str">
        <f aca="false">IF(ISNUMBER($CI381),RANK($CI381,$CI$9:$CI$508,1),"")</f>
        <v/>
      </c>
      <c r="CK381" s="101" t="str">
        <f aca="false">IF(ISBLANK($C381),"",$B381)</f>
        <v/>
      </c>
      <c r="CL381" s="101" t="str">
        <f aca="false">IF(ISBLANK($C381),"",$C381)</f>
        <v/>
      </c>
      <c r="CM381" s="101" t="str">
        <f aca="false">IF(ISBLANK($C381),"",$D381)</f>
        <v/>
      </c>
      <c r="CN381" s="102" t="str">
        <f aca="false">$CB381</f>
        <v/>
      </c>
      <c r="CO381" s="103" t="str">
        <f aca="false">$CA381</f>
        <v/>
      </c>
      <c r="CP381" s="101" t="str">
        <f aca="false">IF(ISBLANK($C381),"",$CD381)</f>
        <v/>
      </c>
      <c r="CQ381" s="104" t="str">
        <f aca="false">IF($CH381&gt;$CG$8,"",VLOOKUP($CH381,$CJ$9:$CP$508,7,FALSE()))</f>
        <v/>
      </c>
      <c r="CR381" s="105" t="str">
        <f aca="false">IF($CH381&gt;$CG$8,"",VLOOKUP($CH381,$CJ$9:$CP$508,2,FALSE()))</f>
        <v/>
      </c>
      <c r="CS381" s="105" t="str">
        <f aca="false">IF($CH381&gt;$CG$8,"",VLOOKUP($CH381,$CJ$9:$CP$508,3,FALSE()))</f>
        <v/>
      </c>
      <c r="CT381" s="105" t="str">
        <f aca="false">IF($CH381&gt;$CG$8,"",VLOOKUP($CH381,$CJ$9:$CP$508,4,FALSE()))</f>
        <v/>
      </c>
      <c r="CU381" s="105" t="str">
        <f aca="false">IF($CH381&gt;$CG$8,"",VLOOKUP($CH381,$CJ$9:$CP$508,5,FALSE()))</f>
        <v/>
      </c>
      <c r="CV381" s="106" t="str">
        <f aca="false">IF($CH381&gt;$CG$8,"",VLOOKUP($CH381,$CJ$9:$CP$508,6,FALSE()))</f>
        <v/>
      </c>
      <c r="CW381" s="71"/>
    </row>
    <row r="382" customFormat="false" ht="15.75" hidden="false" customHeight="false" outlineLevel="0" collapsed="false">
      <c r="A382" s="9"/>
      <c r="B382" s="72"/>
      <c r="C382" s="73"/>
      <c r="D382" s="160"/>
      <c r="E382" s="168"/>
      <c r="F382" s="162"/>
      <c r="G382" s="163"/>
      <c r="H382" s="169"/>
      <c r="I382" s="167"/>
      <c r="J382" s="80"/>
      <c r="K382" s="81"/>
      <c r="L382" s="82"/>
      <c r="M382" s="166"/>
      <c r="N382" s="167"/>
      <c r="O382" s="167"/>
      <c r="P382" s="80"/>
      <c r="Q382" s="82"/>
      <c r="R382" s="82"/>
      <c r="S382" s="166"/>
      <c r="T382" s="167"/>
      <c r="U382" s="86"/>
      <c r="V382" s="87"/>
      <c r="W382" s="87" t="str">
        <f aca="false">IF(ISBLANK($C382),"",IF(E382=Constants!$B$2,TRUE(),IF(E382=Constants!$B$3,FALSE(),TRUE())))</f>
        <v/>
      </c>
      <c r="X382" s="87" t="str">
        <f aca="false">IF(ISBLANK($C382),"",IF(F382=Constants!$B$2,TRUE(),IF(F382=Constants!$B$3,FALSE(),TRUE())))</f>
        <v/>
      </c>
      <c r="Y382" s="87" t="str">
        <f aca="false">IF(ISBLANK($C382),"",IF(G382=Constants!$B$2,TRUE(),IF(G382=Constants!$B$3,FALSE(),TRUE())))</f>
        <v/>
      </c>
      <c r="Z382" s="87" t="str">
        <f aca="false">IF(ISBLANK($C382),"",IF(H382=Constants!$B$2,TRUE(),IF(H382=Constants!$B$3,FALSE(),TRUE())))</f>
        <v/>
      </c>
      <c r="AA382" s="87" t="str">
        <f aca="false">IF(ISBLANK($C382),"",IF(I382=Constants!$B$2,TRUE(),IF(I382=Constants!$B$3,FALSE(),TRUE())))</f>
        <v/>
      </c>
      <c r="AB382" s="87" t="str">
        <f aca="false">IF(ISBLANK($C382),"",IF(J382=Constants!$B$4,TRUE(),IF(J382=Constants!$B$5,FALSE(),COUNTA(K382:M382)&gt;0)))</f>
        <v/>
      </c>
      <c r="AC382" s="88" t="str">
        <f aca="false">IF(ISBLANK($C382),"",IF(ISNUMBER(K382),IF(K382&gt;=0,K382,""),""))</f>
        <v/>
      </c>
      <c r="AD382" s="89" t="str">
        <f aca="false">IF(ISBLANK($C382),"",IF(ISNUMBER(L382),IF(L382&gt;=0,L382,""),""))</f>
        <v/>
      </c>
      <c r="AE382" s="87" t="str">
        <f aca="false">IF(ISBLANK($C382),"",IF(ISNUMBER(M382),IF(M382&gt;=0,MIN(M382,Constants!$B$22),""),""))</f>
        <v/>
      </c>
      <c r="AF382" s="87" t="str">
        <f aca="false">IF(ISBLANK($C382),"",IF(N382=Constants!$B$2,TRUE(),IF(N382=Constants!$B$3,FALSE(),TRUE())))</f>
        <v/>
      </c>
      <c r="AG382" s="87" t="str">
        <f aca="false">IF(ISBLANK($C382),"",IF(O382=Constants!$B$2,TRUE(),IF(O382=Constants!$B$3,FALSE(),TRUE())))</f>
        <v/>
      </c>
      <c r="AH382" s="87" t="str">
        <f aca="false">IF(ISBLANK($C382),"",IF(P382=Constants!$B$4,TRUE(),IF(P382=Constants!$B$5,FALSE(),COUNTA(Q382:S382)&gt;0)))</f>
        <v/>
      </c>
      <c r="AI382" s="88" t="str">
        <f aca="false">IF(ISBLANK($C382),"",IF(ISNUMBER(Q382),IF(Q382&gt;=0,Q382,""),""))</f>
        <v/>
      </c>
      <c r="AJ382" s="89" t="str">
        <f aca="false">IF(ISBLANK($C382),"",IF(ISNUMBER(R382),IF(R382&gt;=0,R382,""),""))</f>
        <v/>
      </c>
      <c r="AK382" s="87" t="str">
        <f aca="false">IF(ISBLANK($C382),"",IF(ISNUMBER(S382),IF(S382&gt;=0,MIN(S382,Constants!$B$22),""),""))</f>
        <v/>
      </c>
      <c r="AL382" s="87" t="str">
        <f aca="false">IF(ISBLANK($C382),"",IF(T382=Constants!$B$2,TRUE(),IF(T382=Constants!$B$3,FALSE(),FALSE())))</f>
        <v/>
      </c>
      <c r="AM382" s="86" t="str">
        <f aca="false">IF(ISBLANK($C382),"",AND($AB382,OR($AC382="",$AD382="",AND(NOT(ISBLANK($M382)),$AE382=""))))</f>
        <v/>
      </c>
      <c r="AN382" s="89" t="str">
        <f aca="false">IF($BD382&lt;&gt;Constants!$B$6,"",IF($AB382,Constants!$B$17*$AD382,Constants!$B$18))</f>
        <v/>
      </c>
      <c r="AO382" s="91" t="str">
        <f aca="false">IF($BD382&lt;&gt;Constants!$B$6,"",Constants!$B$19*IF($AB382,$AC382,0))</f>
        <v/>
      </c>
      <c r="AP382" s="91" t="str">
        <f aca="false">IF($BD382&lt;&gt;Constants!$B$6,"",IF(AND($AB382,ISNUMBER($AE382)),Constants!$B$20*(Constants!$B$21-$AE382),0))</f>
        <v/>
      </c>
      <c r="AQ382" s="91" t="str">
        <f aca="false">IF($BD382&lt;&gt;Constants!$B$6,"",IF($AA382,0,Constants!$B$12)+IF($Z382,0,Constants!$B$13)+IF($Y382,0,Constants!$B$14))</f>
        <v/>
      </c>
      <c r="AR382" s="92" t="str">
        <f aca="false">IF($BD382&lt;&gt;Constants!$B$6,"",Constants!$B$16+SUM($AN382:$AQ382))</f>
        <v/>
      </c>
      <c r="AS382" s="91" t="str">
        <f aca="false">IF($BD382&lt;&gt;Constants!$B$6,"",IF($AB382,$AD382,""))</f>
        <v/>
      </c>
      <c r="AT382" s="93" t="str">
        <f aca="false">IF($BD382&lt;&gt;Constants!$B$6,"",$AO382)</f>
        <v/>
      </c>
      <c r="AU382" s="87" t="str">
        <f aca="false">IF($BD382&lt;&gt;Constants!$B$6,"",IF(OR($BA382&lt;$AR382,AND($BA382=$AR382,OR(AND(ISNUMBER($BB382),OR(NOT(ISNUMBER($AS382)),$BB382&lt;$AS382)),AND(OR(AND($BB382="",$AS382=""),AND(ISNUMBER($BB382),ISNUMBER($AS382),$BB382=$AS382)),$BC382&lt;$AT382)))),"-&gt;","&lt;-"))</f>
        <v/>
      </c>
      <c r="AV382" s="86" t="str">
        <f aca="false">IF(ISBLANK($C382),"",AND($AH382,OR($AI382="",$AJ382="",AND(NOT(ISBLANK($S382)),$AK382=""))))</f>
        <v/>
      </c>
      <c r="AW382" s="89" t="str">
        <f aca="false">IF($BD382&lt;&gt;Constants!$B$6,"",IF($AH382,Constants!$B$17*$AJ382,Constants!$B$18))</f>
        <v/>
      </c>
      <c r="AX382" s="91" t="str">
        <f aca="false">IF($BD382&lt;&gt;Constants!$B$6,"",Constants!$B$19*IF($AH382,$AI382,0))</f>
        <v/>
      </c>
      <c r="AY382" s="91" t="str">
        <f aca="false">IF($BD382&lt;&gt;Constants!$B$6,"",IF(AND($AH382,ISNUMBER($AK382)),Constants!$B$20*(Constants!$B$21-$AK382),0))</f>
        <v/>
      </c>
      <c r="AZ382" s="91" t="str">
        <f aca="false">IF($BD382&lt;&gt;Constants!$B$6,"",IF($AG382,0,Constants!$B$12)+IF($AF382,0,Constants!$B$13)+IF($Y382,0,Constants!$B$14))</f>
        <v/>
      </c>
      <c r="BA382" s="92" t="str">
        <f aca="false">IF($BD382&lt;&gt;Constants!$B$6,"",Constants!$B$16+SUM($AW382:$AZ382))</f>
        <v/>
      </c>
      <c r="BB382" s="91" t="str">
        <f aca="false">IF($BD382&lt;&gt;Constants!$B$6,"",IF($AH382,$AJ382,""))</f>
        <v/>
      </c>
      <c r="BC382" s="93" t="str">
        <f aca="false">IF($BD382&lt;&gt;Constants!$B$6,"",$AX382)</f>
        <v/>
      </c>
      <c r="BD382" s="87" t="str">
        <f aca="false">IF(ISBLANK($C382),"",IF($AL382,Constants!$B$9,IF(COUNTA($E382:$T382)=0,Constants!$B$8,IF(NOT($X382),Constants!$B$7,IF(OR($AM382,$AV382),Constants!$B$10,Constants!$B$6)))))</f>
        <v/>
      </c>
      <c r="BE382" s="87" t="str">
        <f aca="false">IF(ISBLANK($C382),"",IF($BD382&lt;&gt;Constants!$B$6,$BD382,Constants!$B$11))</f>
        <v/>
      </c>
      <c r="BF382" s="91" t="str">
        <f aca="false">IF($BD382&lt;&gt;Constants!$B$6,"",IF($AU382="-&gt;",$BA382,$AR382))</f>
        <v/>
      </c>
      <c r="BG382" s="91" t="str">
        <f aca="false">IF($BD382&lt;&gt;Constants!$B$6,"",IF($W382,0,Constants!$B$15))</f>
        <v/>
      </c>
      <c r="BH382" s="91" t="str">
        <f aca="false">IF(ISBLANK($C382),"",IF($BD382&lt;&gt;Constants!$B$6,$BD382,SUM($BF382:$BG382)))</f>
        <v/>
      </c>
      <c r="BI382" s="87" t="str">
        <f aca="false">IF(ISBLANK($C382),"",IF($BD382&lt;&gt;Constants!$B$6,$BD382,RANK($BH382,$BH$9:$BH$508,1)))</f>
        <v/>
      </c>
      <c r="BJ382" s="91" t="str">
        <f aca="false">IF($BD382&lt;&gt;Constants!$B$6,"",IF($AU382="-&gt;",$BB382,$AS382))</f>
        <v/>
      </c>
      <c r="BK382" s="87" t="str">
        <f aca="false">IF(ISBLANK($C382),"",IF($BD382&lt;&gt;Constants!$B$6,$BD382,IF(ISNUMBER($BJ382),RANK($BJ382,$BJ$9:$BJ$508,1),COUNT($BJ$9:$BJ$508)+1)))</f>
        <v/>
      </c>
      <c r="BL382" s="91" t="str">
        <f aca="false">IF($BD382&lt;&gt;Constants!$B$6,"",IF($AU382="-&gt;",$BC382,$AT382))</f>
        <v/>
      </c>
      <c r="BM382" s="87" t="str">
        <f aca="false">IF(ISBLANK($C382),"",IF($BD382&lt;&gt;Constants!$B$6,$BD382,IF(ISNUMBER($BL382),RANK($BL382,$BL$9:$BL$508,1),COUNT($BL$9:$BL$508)+1)))</f>
        <v/>
      </c>
      <c r="BN382" s="91" t="str">
        <f aca="false">IF($BD382&lt;&gt;Constants!$B$6,"",IF($AU382="-&gt;",$AS382,$BB382))</f>
        <v/>
      </c>
      <c r="BO382" s="87" t="str">
        <f aca="false">IF(ISBLANK($C382),"",IF($BD382&lt;&gt;Constants!$B$6,$BD382,IF(ISNUMBER($BN382),RANK($BN382,$BN$9:$BN$508,1),COUNT($BN$9:$BN$508)+1)))</f>
        <v/>
      </c>
      <c r="BP382" s="91" t="str">
        <f aca="false">IF($BD382&lt;&gt;Constants!$B$6,"",IF($AU382="-&gt;",$AT382,$BC382))</f>
        <v/>
      </c>
      <c r="BQ382" s="87" t="str">
        <f aca="false">IF(ISBLANK($C382),"",IF($BD382&lt;&gt;Constants!$B$6,$BD382,IF(ISNUMBER($BP382),RANK($BP382,$BP$9:$BP$508,1),COUNT($BP$9:$BP$508)+1)))</f>
        <v/>
      </c>
      <c r="BR382" s="87" t="str">
        <f aca="false">IF(ISBLANK($C382),"",IF($BD382&lt;&gt;Constants!$B$6,$BD382,COUNTIFS($BI$9:$BI$508,"&lt;"&amp;$BI382)+COUNTIFS($BI$9:$BI$508,$BI382,$BK$9:$BK$508,"&lt;"&amp;$BK382)+COUNTIFS($BI$9:$BI$508,$BI382,$BK$9:$BK$508,$BK382,$BM$9:$BM$508,"&lt;"&amp;$BM382)+COUNTIFS($BI$9:$BI$508,$BI382,$BK$9:$BK$508,$BK382,$BM$9:$BM$508,$BM382,$BO$9:$BO$508,"&lt;"&amp;$BO382)+COUNTIFS($BI$9:$BI$508,$BI382,$BK$9:$BK$508,$BK382,$BM$9:$BM$508,$BM382,$BO$9:$BO$508,$BO382,$BQ$9:$BQ$508,"&lt;"&amp;$BQ382)+1))</f>
        <v/>
      </c>
      <c r="BS382" s="87" t="str">
        <f aca="false">IF(ISBLANK($C382),"",IF($BD382&lt;&gt;Constants!$B$6,$BD382,$BI382-$BR382))</f>
        <v/>
      </c>
      <c r="BT382" s="94"/>
      <c r="BU382" s="95"/>
      <c r="BV382" s="95" t="str">
        <f aca="false">IF(ISBLANK($C382),"",IF($BD382&lt;&gt;Constants!$B$6,"",IF($AU382="-&gt;",2,1)))</f>
        <v/>
      </c>
      <c r="BW382" s="96" t="str">
        <f aca="false">IF(ISBLANK($C382),"",IF($BD382&lt;&gt;Constants!$B$6,"",IF($AU382="-&gt;",$AW382,$AN382)))</f>
        <v/>
      </c>
      <c r="BX382" s="96" t="str">
        <f aca="false">IF(ISBLANK($C382),"",IF($BD382&lt;&gt;Constants!$B$6,"",IF($AU382="-&gt;",$AX382,$AO382)))</f>
        <v/>
      </c>
      <c r="BY382" s="96" t="str">
        <f aca="false">IF(ISBLANK($C382),"",IF($BD382&lt;&gt;Constants!$B$6,"",IF($AU382="-&gt;",$AY382,$AP382)))</f>
        <v/>
      </c>
      <c r="BZ382" s="96" t="str">
        <f aca="false">IF(ISBLANK($C382),"",IF($BD382&lt;&gt;Constants!$B$6,"",IF($AU382="-&gt;",$AZ382,$AQ382)+$BG382))</f>
        <v/>
      </c>
      <c r="CA382" s="97" t="str">
        <f aca="false">IF(ISBLANK($C382),"",IF($BD382&lt;&gt;Constants!$B$6,$BD382,$BH382))</f>
        <v/>
      </c>
      <c r="CB382" s="98" t="str">
        <f aca="false">IF(ISBLANK($C382),"",$BE382)</f>
        <v/>
      </c>
      <c r="CC382" s="99" t="str">
        <f aca="false">IF(ISBLANK($C382),"",$BS382)</f>
        <v/>
      </c>
      <c r="CD382" s="99" t="str">
        <f aca="false">IF(ISBLANK($C382),"",$BR382)</f>
        <v/>
      </c>
      <c r="CE382" s="100" t="str">
        <f aca="false">IF(ISBLANK($C382),"",IF($CD382=Constants!$B$9,COUNTA($C$9:$C$508)+2,IF($CD382=Constants!$B$8,COUNTA($C$9:$C$508)+1,IF($CD382=Constants!$B$7,COUNTA($C$9:$C$508),$CD382))))</f>
        <v/>
      </c>
      <c r="CF382" s="9"/>
      <c r="CG382" s="101" t="n">
        <f aca="false">IF(OR(ISNUMBER($CD382),$CD382=Constants!$B$9,$CD382=Constants!$B$7,$CD382=Constants!$B$8),1,0)</f>
        <v>0</v>
      </c>
      <c r="CH382" s="101" t="n">
        <v>374</v>
      </c>
      <c r="CI382" s="101" t="str">
        <f aca="false">IF(ISBLANK($C382),"",IF(ISNUMBER($CE382),$CE382+ROW($B382)/1000,""))</f>
        <v/>
      </c>
      <c r="CJ382" s="101" t="str">
        <f aca="false">IF(ISNUMBER($CI382),RANK($CI382,$CI$9:$CI$508,1),"")</f>
        <v/>
      </c>
      <c r="CK382" s="101" t="str">
        <f aca="false">IF(ISBLANK($C382),"",$B382)</f>
        <v/>
      </c>
      <c r="CL382" s="101" t="str">
        <f aca="false">IF(ISBLANK($C382),"",$C382)</f>
        <v/>
      </c>
      <c r="CM382" s="101" t="str">
        <f aca="false">IF(ISBLANK($C382),"",$D382)</f>
        <v/>
      </c>
      <c r="CN382" s="102" t="str">
        <f aca="false">$CB382</f>
        <v/>
      </c>
      <c r="CO382" s="103" t="str">
        <f aca="false">$CA382</f>
        <v/>
      </c>
      <c r="CP382" s="101" t="str">
        <f aca="false">IF(ISBLANK($C382),"",$CD382)</f>
        <v/>
      </c>
      <c r="CQ382" s="104" t="str">
        <f aca="false">IF($CH382&gt;$CG$8,"",VLOOKUP($CH382,$CJ$9:$CP$508,7,FALSE()))</f>
        <v/>
      </c>
      <c r="CR382" s="105" t="str">
        <f aca="false">IF($CH382&gt;$CG$8,"",VLOOKUP($CH382,$CJ$9:$CP$508,2,FALSE()))</f>
        <v/>
      </c>
      <c r="CS382" s="105" t="str">
        <f aca="false">IF($CH382&gt;$CG$8,"",VLOOKUP($CH382,$CJ$9:$CP$508,3,FALSE()))</f>
        <v/>
      </c>
      <c r="CT382" s="105" t="str">
        <f aca="false">IF($CH382&gt;$CG$8,"",VLOOKUP($CH382,$CJ$9:$CP$508,4,FALSE()))</f>
        <v/>
      </c>
      <c r="CU382" s="105" t="str">
        <f aca="false">IF($CH382&gt;$CG$8,"",VLOOKUP($CH382,$CJ$9:$CP$508,5,FALSE()))</f>
        <v/>
      </c>
      <c r="CV382" s="106" t="str">
        <f aca="false">IF($CH382&gt;$CG$8,"",VLOOKUP($CH382,$CJ$9:$CP$508,6,FALSE()))</f>
        <v/>
      </c>
      <c r="CW382" s="71"/>
    </row>
    <row r="383" customFormat="false" ht="15.75" hidden="false" customHeight="false" outlineLevel="0" collapsed="false">
      <c r="A383" s="9"/>
      <c r="B383" s="72"/>
      <c r="C383" s="73"/>
      <c r="D383" s="160"/>
      <c r="E383" s="168"/>
      <c r="F383" s="162"/>
      <c r="G383" s="163"/>
      <c r="H383" s="169"/>
      <c r="I383" s="167"/>
      <c r="J383" s="80"/>
      <c r="K383" s="81"/>
      <c r="L383" s="82"/>
      <c r="M383" s="166"/>
      <c r="N383" s="167"/>
      <c r="O383" s="167"/>
      <c r="P383" s="80"/>
      <c r="Q383" s="82"/>
      <c r="R383" s="82"/>
      <c r="S383" s="166"/>
      <c r="T383" s="167"/>
      <c r="U383" s="86"/>
      <c r="V383" s="87"/>
      <c r="W383" s="87" t="str">
        <f aca="false">IF(ISBLANK($C383),"",IF(E383=Constants!$B$2,TRUE(),IF(E383=Constants!$B$3,FALSE(),TRUE())))</f>
        <v/>
      </c>
      <c r="X383" s="87" t="str">
        <f aca="false">IF(ISBLANK($C383),"",IF(F383=Constants!$B$2,TRUE(),IF(F383=Constants!$B$3,FALSE(),TRUE())))</f>
        <v/>
      </c>
      <c r="Y383" s="87" t="str">
        <f aca="false">IF(ISBLANK($C383),"",IF(G383=Constants!$B$2,TRUE(),IF(G383=Constants!$B$3,FALSE(),TRUE())))</f>
        <v/>
      </c>
      <c r="Z383" s="87" t="str">
        <f aca="false">IF(ISBLANK($C383),"",IF(H383=Constants!$B$2,TRUE(),IF(H383=Constants!$B$3,FALSE(),TRUE())))</f>
        <v/>
      </c>
      <c r="AA383" s="87" t="str">
        <f aca="false">IF(ISBLANK($C383),"",IF(I383=Constants!$B$2,TRUE(),IF(I383=Constants!$B$3,FALSE(),TRUE())))</f>
        <v/>
      </c>
      <c r="AB383" s="87" t="str">
        <f aca="false">IF(ISBLANK($C383),"",IF(J383=Constants!$B$4,TRUE(),IF(J383=Constants!$B$5,FALSE(),COUNTA(K383:M383)&gt;0)))</f>
        <v/>
      </c>
      <c r="AC383" s="88" t="str">
        <f aca="false">IF(ISBLANK($C383),"",IF(ISNUMBER(K383),IF(K383&gt;=0,K383,""),""))</f>
        <v/>
      </c>
      <c r="AD383" s="89" t="str">
        <f aca="false">IF(ISBLANK($C383),"",IF(ISNUMBER(L383),IF(L383&gt;=0,L383,""),""))</f>
        <v/>
      </c>
      <c r="AE383" s="87" t="str">
        <f aca="false">IF(ISBLANK($C383),"",IF(ISNUMBER(M383),IF(M383&gt;=0,MIN(M383,Constants!$B$22),""),""))</f>
        <v/>
      </c>
      <c r="AF383" s="87" t="str">
        <f aca="false">IF(ISBLANK($C383),"",IF(N383=Constants!$B$2,TRUE(),IF(N383=Constants!$B$3,FALSE(),TRUE())))</f>
        <v/>
      </c>
      <c r="AG383" s="87" t="str">
        <f aca="false">IF(ISBLANK($C383),"",IF(O383=Constants!$B$2,TRUE(),IF(O383=Constants!$B$3,FALSE(),TRUE())))</f>
        <v/>
      </c>
      <c r="AH383" s="87" t="str">
        <f aca="false">IF(ISBLANK($C383),"",IF(P383=Constants!$B$4,TRUE(),IF(P383=Constants!$B$5,FALSE(),COUNTA(Q383:S383)&gt;0)))</f>
        <v/>
      </c>
      <c r="AI383" s="88" t="str">
        <f aca="false">IF(ISBLANK($C383),"",IF(ISNUMBER(Q383),IF(Q383&gt;=0,Q383,""),""))</f>
        <v/>
      </c>
      <c r="AJ383" s="89" t="str">
        <f aca="false">IF(ISBLANK($C383),"",IF(ISNUMBER(R383),IF(R383&gt;=0,R383,""),""))</f>
        <v/>
      </c>
      <c r="AK383" s="87" t="str">
        <f aca="false">IF(ISBLANK($C383),"",IF(ISNUMBER(S383),IF(S383&gt;=0,MIN(S383,Constants!$B$22),""),""))</f>
        <v/>
      </c>
      <c r="AL383" s="87" t="str">
        <f aca="false">IF(ISBLANK($C383),"",IF(T383=Constants!$B$2,TRUE(),IF(T383=Constants!$B$3,FALSE(),FALSE())))</f>
        <v/>
      </c>
      <c r="AM383" s="86" t="str">
        <f aca="false">IF(ISBLANK($C383),"",AND($AB383,OR($AC383="",$AD383="",AND(NOT(ISBLANK($M383)),$AE383=""))))</f>
        <v/>
      </c>
      <c r="AN383" s="89" t="str">
        <f aca="false">IF($BD383&lt;&gt;Constants!$B$6,"",IF($AB383,Constants!$B$17*$AD383,Constants!$B$18))</f>
        <v/>
      </c>
      <c r="AO383" s="91" t="str">
        <f aca="false">IF($BD383&lt;&gt;Constants!$B$6,"",Constants!$B$19*IF($AB383,$AC383,0))</f>
        <v/>
      </c>
      <c r="AP383" s="91" t="str">
        <f aca="false">IF($BD383&lt;&gt;Constants!$B$6,"",IF(AND($AB383,ISNUMBER($AE383)),Constants!$B$20*(Constants!$B$21-$AE383),0))</f>
        <v/>
      </c>
      <c r="AQ383" s="91" t="str">
        <f aca="false">IF($BD383&lt;&gt;Constants!$B$6,"",IF($AA383,0,Constants!$B$12)+IF($Z383,0,Constants!$B$13)+IF($Y383,0,Constants!$B$14))</f>
        <v/>
      </c>
      <c r="AR383" s="92" t="str">
        <f aca="false">IF($BD383&lt;&gt;Constants!$B$6,"",Constants!$B$16+SUM($AN383:$AQ383))</f>
        <v/>
      </c>
      <c r="AS383" s="91" t="str">
        <f aca="false">IF($BD383&lt;&gt;Constants!$B$6,"",IF($AB383,$AD383,""))</f>
        <v/>
      </c>
      <c r="AT383" s="93" t="str">
        <f aca="false">IF($BD383&lt;&gt;Constants!$B$6,"",$AO383)</f>
        <v/>
      </c>
      <c r="AU383" s="87" t="str">
        <f aca="false">IF($BD383&lt;&gt;Constants!$B$6,"",IF(OR($BA383&lt;$AR383,AND($BA383=$AR383,OR(AND(ISNUMBER($BB383),OR(NOT(ISNUMBER($AS383)),$BB383&lt;$AS383)),AND(OR(AND($BB383="",$AS383=""),AND(ISNUMBER($BB383),ISNUMBER($AS383),$BB383=$AS383)),$BC383&lt;$AT383)))),"-&gt;","&lt;-"))</f>
        <v/>
      </c>
      <c r="AV383" s="86" t="str">
        <f aca="false">IF(ISBLANK($C383),"",AND($AH383,OR($AI383="",$AJ383="",AND(NOT(ISBLANK($S383)),$AK383=""))))</f>
        <v/>
      </c>
      <c r="AW383" s="89" t="str">
        <f aca="false">IF($BD383&lt;&gt;Constants!$B$6,"",IF($AH383,Constants!$B$17*$AJ383,Constants!$B$18))</f>
        <v/>
      </c>
      <c r="AX383" s="91" t="str">
        <f aca="false">IF($BD383&lt;&gt;Constants!$B$6,"",Constants!$B$19*IF($AH383,$AI383,0))</f>
        <v/>
      </c>
      <c r="AY383" s="91" t="str">
        <f aca="false">IF($BD383&lt;&gt;Constants!$B$6,"",IF(AND($AH383,ISNUMBER($AK383)),Constants!$B$20*(Constants!$B$21-$AK383),0))</f>
        <v/>
      </c>
      <c r="AZ383" s="91" t="str">
        <f aca="false">IF($BD383&lt;&gt;Constants!$B$6,"",IF($AG383,0,Constants!$B$12)+IF($AF383,0,Constants!$B$13)+IF($Y383,0,Constants!$B$14))</f>
        <v/>
      </c>
      <c r="BA383" s="92" t="str">
        <f aca="false">IF($BD383&lt;&gt;Constants!$B$6,"",Constants!$B$16+SUM($AW383:$AZ383))</f>
        <v/>
      </c>
      <c r="BB383" s="91" t="str">
        <f aca="false">IF($BD383&lt;&gt;Constants!$B$6,"",IF($AH383,$AJ383,""))</f>
        <v/>
      </c>
      <c r="BC383" s="93" t="str">
        <f aca="false">IF($BD383&lt;&gt;Constants!$B$6,"",$AX383)</f>
        <v/>
      </c>
      <c r="BD383" s="87" t="str">
        <f aca="false">IF(ISBLANK($C383),"",IF($AL383,Constants!$B$9,IF(COUNTA($E383:$T383)=0,Constants!$B$8,IF(NOT($X383),Constants!$B$7,IF(OR($AM383,$AV383),Constants!$B$10,Constants!$B$6)))))</f>
        <v/>
      </c>
      <c r="BE383" s="87" t="str">
        <f aca="false">IF(ISBLANK($C383),"",IF($BD383&lt;&gt;Constants!$B$6,$BD383,Constants!$B$11))</f>
        <v/>
      </c>
      <c r="BF383" s="91" t="str">
        <f aca="false">IF($BD383&lt;&gt;Constants!$B$6,"",IF($AU383="-&gt;",$BA383,$AR383))</f>
        <v/>
      </c>
      <c r="BG383" s="91" t="str">
        <f aca="false">IF($BD383&lt;&gt;Constants!$B$6,"",IF($W383,0,Constants!$B$15))</f>
        <v/>
      </c>
      <c r="BH383" s="91" t="str">
        <f aca="false">IF(ISBLANK($C383),"",IF($BD383&lt;&gt;Constants!$B$6,$BD383,SUM($BF383:$BG383)))</f>
        <v/>
      </c>
      <c r="BI383" s="87" t="str">
        <f aca="false">IF(ISBLANK($C383),"",IF($BD383&lt;&gt;Constants!$B$6,$BD383,RANK($BH383,$BH$9:$BH$508,1)))</f>
        <v/>
      </c>
      <c r="BJ383" s="91" t="str">
        <f aca="false">IF($BD383&lt;&gt;Constants!$B$6,"",IF($AU383="-&gt;",$BB383,$AS383))</f>
        <v/>
      </c>
      <c r="BK383" s="87" t="str">
        <f aca="false">IF(ISBLANK($C383),"",IF($BD383&lt;&gt;Constants!$B$6,$BD383,IF(ISNUMBER($BJ383),RANK($BJ383,$BJ$9:$BJ$508,1),COUNT($BJ$9:$BJ$508)+1)))</f>
        <v/>
      </c>
      <c r="BL383" s="91" t="str">
        <f aca="false">IF($BD383&lt;&gt;Constants!$B$6,"",IF($AU383="-&gt;",$BC383,$AT383))</f>
        <v/>
      </c>
      <c r="BM383" s="87" t="str">
        <f aca="false">IF(ISBLANK($C383),"",IF($BD383&lt;&gt;Constants!$B$6,$BD383,IF(ISNUMBER($BL383),RANK($BL383,$BL$9:$BL$508,1),COUNT($BL$9:$BL$508)+1)))</f>
        <v/>
      </c>
      <c r="BN383" s="91" t="str">
        <f aca="false">IF($BD383&lt;&gt;Constants!$B$6,"",IF($AU383="-&gt;",$AS383,$BB383))</f>
        <v/>
      </c>
      <c r="BO383" s="87" t="str">
        <f aca="false">IF(ISBLANK($C383),"",IF($BD383&lt;&gt;Constants!$B$6,$BD383,IF(ISNUMBER($BN383),RANK($BN383,$BN$9:$BN$508,1),COUNT($BN$9:$BN$508)+1)))</f>
        <v/>
      </c>
      <c r="BP383" s="91" t="str">
        <f aca="false">IF($BD383&lt;&gt;Constants!$B$6,"",IF($AU383="-&gt;",$AT383,$BC383))</f>
        <v/>
      </c>
      <c r="BQ383" s="87" t="str">
        <f aca="false">IF(ISBLANK($C383),"",IF($BD383&lt;&gt;Constants!$B$6,$BD383,IF(ISNUMBER($BP383),RANK($BP383,$BP$9:$BP$508,1),COUNT($BP$9:$BP$508)+1)))</f>
        <v/>
      </c>
      <c r="BR383" s="87" t="str">
        <f aca="false">IF(ISBLANK($C383),"",IF($BD383&lt;&gt;Constants!$B$6,$BD383,COUNTIFS($BI$9:$BI$508,"&lt;"&amp;$BI383)+COUNTIFS($BI$9:$BI$508,$BI383,$BK$9:$BK$508,"&lt;"&amp;$BK383)+COUNTIFS($BI$9:$BI$508,$BI383,$BK$9:$BK$508,$BK383,$BM$9:$BM$508,"&lt;"&amp;$BM383)+COUNTIFS($BI$9:$BI$508,$BI383,$BK$9:$BK$508,$BK383,$BM$9:$BM$508,$BM383,$BO$9:$BO$508,"&lt;"&amp;$BO383)+COUNTIFS($BI$9:$BI$508,$BI383,$BK$9:$BK$508,$BK383,$BM$9:$BM$508,$BM383,$BO$9:$BO$508,$BO383,$BQ$9:$BQ$508,"&lt;"&amp;$BQ383)+1))</f>
        <v/>
      </c>
      <c r="BS383" s="87" t="str">
        <f aca="false">IF(ISBLANK($C383),"",IF($BD383&lt;&gt;Constants!$B$6,$BD383,$BI383-$BR383))</f>
        <v/>
      </c>
      <c r="BT383" s="94"/>
      <c r="BU383" s="95"/>
      <c r="BV383" s="95" t="str">
        <f aca="false">IF(ISBLANK($C383),"",IF($BD383&lt;&gt;Constants!$B$6,"",IF($AU383="-&gt;",2,1)))</f>
        <v/>
      </c>
      <c r="BW383" s="96" t="str">
        <f aca="false">IF(ISBLANK($C383),"",IF($BD383&lt;&gt;Constants!$B$6,"",IF($AU383="-&gt;",$AW383,$AN383)))</f>
        <v/>
      </c>
      <c r="BX383" s="96" t="str">
        <f aca="false">IF(ISBLANK($C383),"",IF($BD383&lt;&gt;Constants!$B$6,"",IF($AU383="-&gt;",$AX383,$AO383)))</f>
        <v/>
      </c>
      <c r="BY383" s="96" t="str">
        <f aca="false">IF(ISBLANK($C383),"",IF($BD383&lt;&gt;Constants!$B$6,"",IF($AU383="-&gt;",$AY383,$AP383)))</f>
        <v/>
      </c>
      <c r="BZ383" s="96" t="str">
        <f aca="false">IF(ISBLANK($C383),"",IF($BD383&lt;&gt;Constants!$B$6,"",IF($AU383="-&gt;",$AZ383,$AQ383)+$BG383))</f>
        <v/>
      </c>
      <c r="CA383" s="97" t="str">
        <f aca="false">IF(ISBLANK($C383),"",IF($BD383&lt;&gt;Constants!$B$6,$BD383,$BH383))</f>
        <v/>
      </c>
      <c r="CB383" s="98" t="str">
        <f aca="false">IF(ISBLANK($C383),"",$BE383)</f>
        <v/>
      </c>
      <c r="CC383" s="99" t="str">
        <f aca="false">IF(ISBLANK($C383),"",$BS383)</f>
        <v/>
      </c>
      <c r="CD383" s="99" t="str">
        <f aca="false">IF(ISBLANK($C383),"",$BR383)</f>
        <v/>
      </c>
      <c r="CE383" s="100" t="str">
        <f aca="false">IF(ISBLANK($C383),"",IF($CD383=Constants!$B$9,COUNTA($C$9:$C$508)+2,IF($CD383=Constants!$B$8,COUNTA($C$9:$C$508)+1,IF($CD383=Constants!$B$7,COUNTA($C$9:$C$508),$CD383))))</f>
        <v/>
      </c>
      <c r="CF383" s="9"/>
      <c r="CG383" s="101" t="n">
        <f aca="false">IF(OR(ISNUMBER($CD383),$CD383=Constants!$B$9,$CD383=Constants!$B$7,$CD383=Constants!$B$8),1,0)</f>
        <v>0</v>
      </c>
      <c r="CH383" s="101" t="n">
        <v>375</v>
      </c>
      <c r="CI383" s="101" t="str">
        <f aca="false">IF(ISBLANK($C383),"",IF(ISNUMBER($CE383),$CE383+ROW($B383)/1000,""))</f>
        <v/>
      </c>
      <c r="CJ383" s="101" t="str">
        <f aca="false">IF(ISNUMBER($CI383),RANK($CI383,$CI$9:$CI$508,1),"")</f>
        <v/>
      </c>
      <c r="CK383" s="101" t="str">
        <f aca="false">IF(ISBLANK($C383),"",$B383)</f>
        <v/>
      </c>
      <c r="CL383" s="101" t="str">
        <f aca="false">IF(ISBLANK($C383),"",$C383)</f>
        <v/>
      </c>
      <c r="CM383" s="101" t="str">
        <f aca="false">IF(ISBLANK($C383),"",$D383)</f>
        <v/>
      </c>
      <c r="CN383" s="102" t="str">
        <f aca="false">$CB383</f>
        <v/>
      </c>
      <c r="CO383" s="103" t="str">
        <f aca="false">$CA383</f>
        <v/>
      </c>
      <c r="CP383" s="101" t="str">
        <f aca="false">IF(ISBLANK($C383),"",$CD383)</f>
        <v/>
      </c>
      <c r="CQ383" s="104" t="str">
        <f aca="false">IF($CH383&gt;$CG$8,"",VLOOKUP($CH383,$CJ$9:$CP$508,7,FALSE()))</f>
        <v/>
      </c>
      <c r="CR383" s="105" t="str">
        <f aca="false">IF($CH383&gt;$CG$8,"",VLOOKUP($CH383,$CJ$9:$CP$508,2,FALSE()))</f>
        <v/>
      </c>
      <c r="CS383" s="105" t="str">
        <f aca="false">IF($CH383&gt;$CG$8,"",VLOOKUP($CH383,$CJ$9:$CP$508,3,FALSE()))</f>
        <v/>
      </c>
      <c r="CT383" s="105" t="str">
        <f aca="false">IF($CH383&gt;$CG$8,"",VLOOKUP($CH383,$CJ$9:$CP$508,4,FALSE()))</f>
        <v/>
      </c>
      <c r="CU383" s="105" t="str">
        <f aca="false">IF($CH383&gt;$CG$8,"",VLOOKUP($CH383,$CJ$9:$CP$508,5,FALSE()))</f>
        <v/>
      </c>
      <c r="CV383" s="106" t="str">
        <f aca="false">IF($CH383&gt;$CG$8,"",VLOOKUP($CH383,$CJ$9:$CP$508,6,FALSE()))</f>
        <v/>
      </c>
      <c r="CW383" s="71"/>
    </row>
    <row r="384" customFormat="false" ht="15.75" hidden="false" customHeight="false" outlineLevel="0" collapsed="false">
      <c r="A384" s="9"/>
      <c r="B384" s="150"/>
      <c r="C384" s="151"/>
      <c r="D384" s="152"/>
      <c r="E384" s="170"/>
      <c r="F384" s="154"/>
      <c r="G384" s="155"/>
      <c r="H384" s="171"/>
      <c r="I384" s="159"/>
      <c r="J384" s="120"/>
      <c r="K384" s="121"/>
      <c r="L384" s="122"/>
      <c r="M384" s="158"/>
      <c r="N384" s="159"/>
      <c r="O384" s="159"/>
      <c r="P384" s="120"/>
      <c r="Q384" s="122"/>
      <c r="R384" s="122"/>
      <c r="S384" s="158"/>
      <c r="T384" s="159"/>
      <c r="U384" s="126"/>
      <c r="V384" s="127"/>
      <c r="W384" s="127" t="str">
        <f aca="false">IF(ISBLANK($C384),"",IF(E384=Constants!$B$2,TRUE(),IF(E384=Constants!$B$3,FALSE(),TRUE())))</f>
        <v/>
      </c>
      <c r="X384" s="127" t="str">
        <f aca="false">IF(ISBLANK($C384),"",IF(F384=Constants!$B$2,TRUE(),IF(F384=Constants!$B$3,FALSE(),TRUE())))</f>
        <v/>
      </c>
      <c r="Y384" s="127" t="str">
        <f aca="false">IF(ISBLANK($C384),"",IF(G384=Constants!$B$2,TRUE(),IF(G384=Constants!$B$3,FALSE(),TRUE())))</f>
        <v/>
      </c>
      <c r="Z384" s="127" t="str">
        <f aca="false">IF(ISBLANK($C384),"",IF(H384=Constants!$B$2,TRUE(),IF(H384=Constants!$B$3,FALSE(),TRUE())))</f>
        <v/>
      </c>
      <c r="AA384" s="127" t="str">
        <f aca="false">IF(ISBLANK($C384),"",IF(I384=Constants!$B$2,TRUE(),IF(I384=Constants!$B$3,FALSE(),TRUE())))</f>
        <v/>
      </c>
      <c r="AB384" s="127" t="str">
        <f aca="false">IF(ISBLANK($C384),"",IF(J384=Constants!$B$4,TRUE(),IF(J384=Constants!$B$5,FALSE(),COUNTA(K384:M384)&gt;0)))</f>
        <v/>
      </c>
      <c r="AC384" s="128" t="str">
        <f aca="false">IF(ISBLANK($C384),"",IF(ISNUMBER(K384),IF(K384&gt;=0,K384,""),""))</f>
        <v/>
      </c>
      <c r="AD384" s="129" t="str">
        <f aca="false">IF(ISBLANK($C384),"",IF(ISNUMBER(L384),IF(L384&gt;=0,L384,""),""))</f>
        <v/>
      </c>
      <c r="AE384" s="127" t="str">
        <f aca="false">IF(ISBLANK($C384),"",IF(ISNUMBER(M384),IF(M384&gt;=0,MIN(M384,Constants!$B$22),""),""))</f>
        <v/>
      </c>
      <c r="AF384" s="127" t="str">
        <f aca="false">IF(ISBLANK($C384),"",IF(N384=Constants!$B$2,TRUE(),IF(N384=Constants!$B$3,FALSE(),TRUE())))</f>
        <v/>
      </c>
      <c r="AG384" s="127" t="str">
        <f aca="false">IF(ISBLANK($C384),"",IF(O384=Constants!$B$2,TRUE(),IF(O384=Constants!$B$3,FALSE(),TRUE())))</f>
        <v/>
      </c>
      <c r="AH384" s="127" t="str">
        <f aca="false">IF(ISBLANK($C384),"",IF(P384=Constants!$B$4,TRUE(),IF(P384=Constants!$B$5,FALSE(),COUNTA(Q384:S384)&gt;0)))</f>
        <v/>
      </c>
      <c r="AI384" s="128" t="str">
        <f aca="false">IF(ISBLANK($C384),"",IF(ISNUMBER(Q384),IF(Q384&gt;=0,Q384,""),""))</f>
        <v/>
      </c>
      <c r="AJ384" s="129" t="str">
        <f aca="false">IF(ISBLANK($C384),"",IF(ISNUMBER(R384),IF(R384&gt;=0,R384,""),""))</f>
        <v/>
      </c>
      <c r="AK384" s="127" t="str">
        <f aca="false">IF(ISBLANK($C384),"",IF(ISNUMBER(S384),IF(S384&gt;=0,MIN(S384,Constants!$B$22),""),""))</f>
        <v/>
      </c>
      <c r="AL384" s="127" t="str">
        <f aca="false">IF(ISBLANK($C384),"",IF(T384=Constants!$B$2,TRUE(),IF(T384=Constants!$B$3,FALSE(),FALSE())))</f>
        <v/>
      </c>
      <c r="AM384" s="126" t="str">
        <f aca="false">IF(ISBLANK($C384),"",AND($AB384,OR($AC384="",$AD384="",AND(NOT(ISBLANK($M384)),$AE384=""))))</f>
        <v/>
      </c>
      <c r="AN384" s="129" t="str">
        <f aca="false">IF($BD384&lt;&gt;Constants!$B$6,"",IF($AB384,Constants!$B$17*$AD384,Constants!$B$18))</f>
        <v/>
      </c>
      <c r="AO384" s="130" t="str">
        <f aca="false">IF($BD384&lt;&gt;Constants!$B$6,"",Constants!$B$19*IF($AB384,$AC384,0))</f>
        <v/>
      </c>
      <c r="AP384" s="130" t="str">
        <f aca="false">IF($BD384&lt;&gt;Constants!$B$6,"",IF(AND($AB384,ISNUMBER($AE384)),Constants!$B$20*(Constants!$B$21-$AE384),0))</f>
        <v/>
      </c>
      <c r="AQ384" s="130" t="str">
        <f aca="false">IF($BD384&lt;&gt;Constants!$B$6,"",IF($AA384,0,Constants!$B$12)+IF($Z384,0,Constants!$B$13)+IF($Y384,0,Constants!$B$14))</f>
        <v/>
      </c>
      <c r="AR384" s="131" t="str">
        <f aca="false">IF($BD384&lt;&gt;Constants!$B$6,"",Constants!$B$16+SUM($AN384:$AQ384))</f>
        <v/>
      </c>
      <c r="AS384" s="130" t="str">
        <f aca="false">IF($BD384&lt;&gt;Constants!$B$6,"",IF($AB384,$AD384,""))</f>
        <v/>
      </c>
      <c r="AT384" s="132" t="str">
        <f aca="false">IF($BD384&lt;&gt;Constants!$B$6,"",$AO384)</f>
        <v/>
      </c>
      <c r="AU384" s="127" t="str">
        <f aca="false">IF($BD384&lt;&gt;Constants!$B$6,"",IF(OR($BA384&lt;$AR384,AND($BA384=$AR384,OR(AND(ISNUMBER($BB384),OR(NOT(ISNUMBER($AS384)),$BB384&lt;$AS384)),AND(OR(AND($BB384="",$AS384=""),AND(ISNUMBER($BB384),ISNUMBER($AS384),$BB384=$AS384)),$BC384&lt;$AT384)))),"-&gt;","&lt;-"))</f>
        <v/>
      </c>
      <c r="AV384" s="126" t="str">
        <f aca="false">IF(ISBLANK($C384),"",AND($AH384,OR($AI384="",$AJ384="",AND(NOT(ISBLANK($S384)),$AK384=""))))</f>
        <v/>
      </c>
      <c r="AW384" s="129" t="str">
        <f aca="false">IF($BD384&lt;&gt;Constants!$B$6,"",IF($AH384,Constants!$B$17*$AJ384,Constants!$B$18))</f>
        <v/>
      </c>
      <c r="AX384" s="130" t="str">
        <f aca="false">IF($BD384&lt;&gt;Constants!$B$6,"",Constants!$B$19*IF($AH384,$AI384,0))</f>
        <v/>
      </c>
      <c r="AY384" s="130" t="str">
        <f aca="false">IF($BD384&lt;&gt;Constants!$B$6,"",IF(AND($AH384,ISNUMBER($AK384)),Constants!$B$20*(Constants!$B$21-$AK384),0))</f>
        <v/>
      </c>
      <c r="AZ384" s="130" t="str">
        <f aca="false">IF($BD384&lt;&gt;Constants!$B$6,"",IF($AG384,0,Constants!$B$12)+IF($AF384,0,Constants!$B$13)+IF($Y384,0,Constants!$B$14))</f>
        <v/>
      </c>
      <c r="BA384" s="131" t="str">
        <f aca="false">IF($BD384&lt;&gt;Constants!$B$6,"",Constants!$B$16+SUM($AW384:$AZ384))</f>
        <v/>
      </c>
      <c r="BB384" s="130" t="str">
        <f aca="false">IF($BD384&lt;&gt;Constants!$B$6,"",IF($AH384,$AJ384,""))</f>
        <v/>
      </c>
      <c r="BC384" s="132" t="str">
        <f aca="false">IF($BD384&lt;&gt;Constants!$B$6,"",$AX384)</f>
        <v/>
      </c>
      <c r="BD384" s="127" t="str">
        <f aca="false">IF(ISBLANK($C384),"",IF($AL384,Constants!$B$9,IF(COUNTA($E384:$T384)=0,Constants!$B$8,IF(NOT($X384),Constants!$B$7,IF(OR($AM384,$AV384),Constants!$B$10,Constants!$B$6)))))</f>
        <v/>
      </c>
      <c r="BE384" s="127" t="str">
        <f aca="false">IF(ISBLANK($C384),"",IF($BD384&lt;&gt;Constants!$B$6,$BD384,Constants!$B$11))</f>
        <v/>
      </c>
      <c r="BF384" s="130" t="str">
        <f aca="false">IF($BD384&lt;&gt;Constants!$B$6,"",IF($AU384="-&gt;",$BA384,$AR384))</f>
        <v/>
      </c>
      <c r="BG384" s="130" t="str">
        <f aca="false">IF($BD384&lt;&gt;Constants!$B$6,"",IF($W384,0,Constants!$B$15))</f>
        <v/>
      </c>
      <c r="BH384" s="130" t="str">
        <f aca="false">IF(ISBLANK($C384),"",IF($BD384&lt;&gt;Constants!$B$6,$BD384,SUM($BF384:$BG384)))</f>
        <v/>
      </c>
      <c r="BI384" s="127" t="str">
        <f aca="false">IF(ISBLANK($C384),"",IF($BD384&lt;&gt;Constants!$B$6,$BD384,RANK($BH384,$BH$9:$BH$508,1)))</f>
        <v/>
      </c>
      <c r="BJ384" s="130" t="str">
        <f aca="false">IF($BD384&lt;&gt;Constants!$B$6,"",IF($AU384="-&gt;",$BB384,$AS384))</f>
        <v/>
      </c>
      <c r="BK384" s="127" t="str">
        <f aca="false">IF(ISBLANK($C384),"",IF($BD384&lt;&gt;Constants!$B$6,$BD384,IF(ISNUMBER($BJ384),RANK($BJ384,$BJ$9:$BJ$508,1),COUNT($BJ$9:$BJ$508)+1)))</f>
        <v/>
      </c>
      <c r="BL384" s="130" t="str">
        <f aca="false">IF($BD384&lt;&gt;Constants!$B$6,"",IF($AU384="-&gt;",$BC384,$AT384))</f>
        <v/>
      </c>
      <c r="BM384" s="127" t="str">
        <f aca="false">IF(ISBLANK($C384),"",IF($BD384&lt;&gt;Constants!$B$6,$BD384,IF(ISNUMBER($BL384),RANK($BL384,$BL$9:$BL$508,1),COUNT($BL$9:$BL$508)+1)))</f>
        <v/>
      </c>
      <c r="BN384" s="130" t="str">
        <f aca="false">IF($BD384&lt;&gt;Constants!$B$6,"",IF($AU384="-&gt;",$AS384,$BB384))</f>
        <v/>
      </c>
      <c r="BO384" s="127" t="str">
        <f aca="false">IF(ISBLANK($C384),"",IF($BD384&lt;&gt;Constants!$B$6,$BD384,IF(ISNUMBER($BN384),RANK($BN384,$BN$9:$BN$508,1),COUNT($BN$9:$BN$508)+1)))</f>
        <v/>
      </c>
      <c r="BP384" s="130" t="str">
        <f aca="false">IF($BD384&lt;&gt;Constants!$B$6,"",IF($AU384="-&gt;",$AT384,$BC384))</f>
        <v/>
      </c>
      <c r="BQ384" s="127" t="str">
        <f aca="false">IF(ISBLANK($C384),"",IF($BD384&lt;&gt;Constants!$B$6,$BD384,IF(ISNUMBER($BP384),RANK($BP384,$BP$9:$BP$508,1),COUNT($BP$9:$BP$508)+1)))</f>
        <v/>
      </c>
      <c r="BR384" s="127" t="str">
        <f aca="false">IF(ISBLANK($C384),"",IF($BD384&lt;&gt;Constants!$B$6,$BD384,COUNTIFS($BI$9:$BI$508,"&lt;"&amp;$BI384)+COUNTIFS($BI$9:$BI$508,$BI384,$BK$9:$BK$508,"&lt;"&amp;$BK384)+COUNTIFS($BI$9:$BI$508,$BI384,$BK$9:$BK$508,$BK384,$BM$9:$BM$508,"&lt;"&amp;$BM384)+COUNTIFS($BI$9:$BI$508,$BI384,$BK$9:$BK$508,$BK384,$BM$9:$BM$508,$BM384,$BO$9:$BO$508,"&lt;"&amp;$BO384)+COUNTIFS($BI$9:$BI$508,$BI384,$BK$9:$BK$508,$BK384,$BM$9:$BM$508,$BM384,$BO$9:$BO$508,$BO384,$BQ$9:$BQ$508,"&lt;"&amp;$BQ384)+1))</f>
        <v/>
      </c>
      <c r="BS384" s="127" t="str">
        <f aca="false">IF(ISBLANK($C384),"",IF($BD384&lt;&gt;Constants!$B$6,$BD384,$BI384-$BR384))</f>
        <v/>
      </c>
      <c r="BT384" s="133"/>
      <c r="BU384" s="134"/>
      <c r="BV384" s="134" t="str">
        <f aca="false">IF(ISBLANK($C384),"",IF($BD384&lt;&gt;Constants!$B$6,"",IF($AU384="-&gt;",2,1)))</f>
        <v/>
      </c>
      <c r="BW384" s="135" t="str">
        <f aca="false">IF(ISBLANK($C384),"",IF($BD384&lt;&gt;Constants!$B$6,"",IF($AU384="-&gt;",$AW384,$AN384)))</f>
        <v/>
      </c>
      <c r="BX384" s="135" t="str">
        <f aca="false">IF(ISBLANK($C384),"",IF($BD384&lt;&gt;Constants!$B$6,"",IF($AU384="-&gt;",$AX384,$AO384)))</f>
        <v/>
      </c>
      <c r="BY384" s="135" t="str">
        <f aca="false">IF(ISBLANK($C384),"",IF($BD384&lt;&gt;Constants!$B$6,"",IF($AU384="-&gt;",$AY384,$AP384)))</f>
        <v/>
      </c>
      <c r="BZ384" s="135" t="str">
        <f aca="false">IF(ISBLANK($C384),"",IF($BD384&lt;&gt;Constants!$B$6,"",IF($AU384="-&gt;",$AZ384,$AQ384)+$BG384))</f>
        <v/>
      </c>
      <c r="CA384" s="136" t="str">
        <f aca="false">IF(ISBLANK($C384),"",IF($BD384&lt;&gt;Constants!$B$6,$BD384,$BH384))</f>
        <v/>
      </c>
      <c r="CB384" s="137" t="str">
        <f aca="false">IF(ISBLANK($C384),"",$BE384)</f>
        <v/>
      </c>
      <c r="CC384" s="138" t="str">
        <f aca="false">IF(ISBLANK($C384),"",$BS384)</f>
        <v/>
      </c>
      <c r="CD384" s="138" t="str">
        <f aca="false">IF(ISBLANK($C384),"",$BR384)</f>
        <v/>
      </c>
      <c r="CE384" s="139" t="str">
        <f aca="false">IF(ISBLANK($C384),"",IF($CD384=Constants!$B$9,COUNTA($C$9:$C$508)+2,IF($CD384=Constants!$B$8,COUNTA($C$9:$C$508)+1,IF($CD384=Constants!$B$7,COUNTA($C$9:$C$508),$CD384))))</f>
        <v/>
      </c>
      <c r="CF384" s="9"/>
      <c r="CG384" s="140" t="n">
        <f aca="false">IF(OR(ISNUMBER($CD384),$CD384=Constants!$B$9,$CD384=Constants!$B$7,$CD384=Constants!$B$8),1,0)</f>
        <v>0</v>
      </c>
      <c r="CH384" s="140" t="n">
        <v>376</v>
      </c>
      <c r="CI384" s="140" t="str">
        <f aca="false">IF(ISBLANK($C384),"",IF(ISNUMBER($CE384),$CE384+ROW($B384)/1000,""))</f>
        <v/>
      </c>
      <c r="CJ384" s="140" t="str">
        <f aca="false">IF(ISNUMBER($CI384),RANK($CI384,$CI$9:$CI$508,1),"")</f>
        <v/>
      </c>
      <c r="CK384" s="140" t="str">
        <f aca="false">IF(ISBLANK($C384),"",$B384)</f>
        <v/>
      </c>
      <c r="CL384" s="140" t="str">
        <f aca="false">IF(ISBLANK($C384),"",$C384)</f>
        <v/>
      </c>
      <c r="CM384" s="140" t="str">
        <f aca="false">IF(ISBLANK($C384),"",$D384)</f>
        <v/>
      </c>
      <c r="CN384" s="141" t="str">
        <f aca="false">$CB384</f>
        <v/>
      </c>
      <c r="CO384" s="142" t="str">
        <f aca="false">$CA384</f>
        <v/>
      </c>
      <c r="CP384" s="140" t="str">
        <f aca="false">IF(ISBLANK($C384),"",$CD384)</f>
        <v/>
      </c>
      <c r="CQ384" s="143" t="str">
        <f aca="false">IF($CH384&gt;$CG$8,"",VLOOKUP($CH384,$CJ$9:$CP$508,7,FALSE()))</f>
        <v/>
      </c>
      <c r="CR384" s="144" t="str">
        <f aca="false">IF($CH384&gt;$CG$8,"",VLOOKUP($CH384,$CJ$9:$CP$508,2,FALSE()))</f>
        <v/>
      </c>
      <c r="CS384" s="144" t="str">
        <f aca="false">IF($CH384&gt;$CG$8,"",VLOOKUP($CH384,$CJ$9:$CP$508,3,FALSE()))</f>
        <v/>
      </c>
      <c r="CT384" s="144" t="str">
        <f aca="false">IF($CH384&gt;$CG$8,"",VLOOKUP($CH384,$CJ$9:$CP$508,4,FALSE()))</f>
        <v/>
      </c>
      <c r="CU384" s="144" t="str">
        <f aca="false">IF($CH384&gt;$CG$8,"",VLOOKUP($CH384,$CJ$9:$CP$508,5,FALSE()))</f>
        <v/>
      </c>
      <c r="CV384" s="145" t="str">
        <f aca="false">IF($CH384&gt;$CG$8,"",VLOOKUP($CH384,$CJ$9:$CP$508,6,FALSE()))</f>
        <v/>
      </c>
      <c r="CW384" s="71"/>
    </row>
    <row r="385" customFormat="false" ht="15.75" hidden="false" customHeight="false" outlineLevel="0" collapsed="false">
      <c r="A385" s="9"/>
      <c r="B385" s="150"/>
      <c r="C385" s="151"/>
      <c r="D385" s="152"/>
      <c r="E385" s="170"/>
      <c r="F385" s="154"/>
      <c r="G385" s="155"/>
      <c r="H385" s="171"/>
      <c r="I385" s="159"/>
      <c r="J385" s="120"/>
      <c r="K385" s="121"/>
      <c r="L385" s="122"/>
      <c r="M385" s="158"/>
      <c r="N385" s="159"/>
      <c r="O385" s="159"/>
      <c r="P385" s="120"/>
      <c r="Q385" s="122"/>
      <c r="R385" s="122"/>
      <c r="S385" s="158"/>
      <c r="T385" s="159"/>
      <c r="U385" s="126"/>
      <c r="V385" s="127"/>
      <c r="W385" s="127" t="str">
        <f aca="false">IF(ISBLANK($C385),"",IF(E385=Constants!$B$2,TRUE(),IF(E385=Constants!$B$3,FALSE(),TRUE())))</f>
        <v/>
      </c>
      <c r="X385" s="127" t="str">
        <f aca="false">IF(ISBLANK($C385),"",IF(F385=Constants!$B$2,TRUE(),IF(F385=Constants!$B$3,FALSE(),TRUE())))</f>
        <v/>
      </c>
      <c r="Y385" s="127" t="str">
        <f aca="false">IF(ISBLANK($C385),"",IF(G385=Constants!$B$2,TRUE(),IF(G385=Constants!$B$3,FALSE(),TRUE())))</f>
        <v/>
      </c>
      <c r="Z385" s="127" t="str">
        <f aca="false">IF(ISBLANK($C385),"",IF(H385=Constants!$B$2,TRUE(),IF(H385=Constants!$B$3,FALSE(),TRUE())))</f>
        <v/>
      </c>
      <c r="AA385" s="127" t="str">
        <f aca="false">IF(ISBLANK($C385),"",IF(I385=Constants!$B$2,TRUE(),IF(I385=Constants!$B$3,FALSE(),TRUE())))</f>
        <v/>
      </c>
      <c r="AB385" s="127" t="str">
        <f aca="false">IF(ISBLANK($C385),"",IF(J385=Constants!$B$4,TRUE(),IF(J385=Constants!$B$5,FALSE(),COUNTA(K385:M385)&gt;0)))</f>
        <v/>
      </c>
      <c r="AC385" s="128" t="str">
        <f aca="false">IF(ISBLANK($C385),"",IF(ISNUMBER(K385),IF(K385&gt;=0,K385,""),""))</f>
        <v/>
      </c>
      <c r="AD385" s="129" t="str">
        <f aca="false">IF(ISBLANK($C385),"",IF(ISNUMBER(L385),IF(L385&gt;=0,L385,""),""))</f>
        <v/>
      </c>
      <c r="AE385" s="127" t="str">
        <f aca="false">IF(ISBLANK($C385),"",IF(ISNUMBER(M385),IF(M385&gt;=0,MIN(M385,Constants!$B$22),""),""))</f>
        <v/>
      </c>
      <c r="AF385" s="127" t="str">
        <f aca="false">IF(ISBLANK($C385),"",IF(N385=Constants!$B$2,TRUE(),IF(N385=Constants!$B$3,FALSE(),TRUE())))</f>
        <v/>
      </c>
      <c r="AG385" s="127" t="str">
        <f aca="false">IF(ISBLANK($C385),"",IF(O385=Constants!$B$2,TRUE(),IF(O385=Constants!$B$3,FALSE(),TRUE())))</f>
        <v/>
      </c>
      <c r="AH385" s="127" t="str">
        <f aca="false">IF(ISBLANK($C385),"",IF(P385=Constants!$B$4,TRUE(),IF(P385=Constants!$B$5,FALSE(),COUNTA(Q385:S385)&gt;0)))</f>
        <v/>
      </c>
      <c r="AI385" s="128" t="str">
        <f aca="false">IF(ISBLANK($C385),"",IF(ISNUMBER(Q385),IF(Q385&gt;=0,Q385,""),""))</f>
        <v/>
      </c>
      <c r="AJ385" s="129" t="str">
        <f aca="false">IF(ISBLANK($C385),"",IF(ISNUMBER(R385),IF(R385&gt;=0,R385,""),""))</f>
        <v/>
      </c>
      <c r="AK385" s="127" t="str">
        <f aca="false">IF(ISBLANK($C385),"",IF(ISNUMBER(S385),IF(S385&gt;=0,MIN(S385,Constants!$B$22),""),""))</f>
        <v/>
      </c>
      <c r="AL385" s="127" t="str">
        <f aca="false">IF(ISBLANK($C385),"",IF(T385=Constants!$B$2,TRUE(),IF(T385=Constants!$B$3,FALSE(),FALSE())))</f>
        <v/>
      </c>
      <c r="AM385" s="126" t="str">
        <f aca="false">IF(ISBLANK($C385),"",AND($AB385,OR($AC385="",$AD385="",AND(NOT(ISBLANK($M385)),$AE385=""))))</f>
        <v/>
      </c>
      <c r="AN385" s="129" t="str">
        <f aca="false">IF($BD385&lt;&gt;Constants!$B$6,"",IF($AB385,Constants!$B$17*$AD385,Constants!$B$18))</f>
        <v/>
      </c>
      <c r="AO385" s="130" t="str">
        <f aca="false">IF($BD385&lt;&gt;Constants!$B$6,"",Constants!$B$19*IF($AB385,$AC385,0))</f>
        <v/>
      </c>
      <c r="AP385" s="130" t="str">
        <f aca="false">IF($BD385&lt;&gt;Constants!$B$6,"",IF(AND($AB385,ISNUMBER($AE385)),Constants!$B$20*(Constants!$B$21-$AE385),0))</f>
        <v/>
      </c>
      <c r="AQ385" s="130" t="str">
        <f aca="false">IF($BD385&lt;&gt;Constants!$B$6,"",IF($AA385,0,Constants!$B$12)+IF($Z385,0,Constants!$B$13)+IF($Y385,0,Constants!$B$14))</f>
        <v/>
      </c>
      <c r="AR385" s="131" t="str">
        <f aca="false">IF($BD385&lt;&gt;Constants!$B$6,"",Constants!$B$16+SUM($AN385:$AQ385))</f>
        <v/>
      </c>
      <c r="AS385" s="130" t="str">
        <f aca="false">IF($BD385&lt;&gt;Constants!$B$6,"",IF($AB385,$AD385,""))</f>
        <v/>
      </c>
      <c r="AT385" s="132" t="str">
        <f aca="false">IF($BD385&lt;&gt;Constants!$B$6,"",$AO385)</f>
        <v/>
      </c>
      <c r="AU385" s="127" t="str">
        <f aca="false">IF($BD385&lt;&gt;Constants!$B$6,"",IF(OR($BA385&lt;$AR385,AND($BA385=$AR385,OR(AND(ISNUMBER($BB385),OR(NOT(ISNUMBER($AS385)),$BB385&lt;$AS385)),AND(OR(AND($BB385="",$AS385=""),AND(ISNUMBER($BB385),ISNUMBER($AS385),$BB385=$AS385)),$BC385&lt;$AT385)))),"-&gt;","&lt;-"))</f>
        <v/>
      </c>
      <c r="AV385" s="126" t="str">
        <f aca="false">IF(ISBLANK($C385),"",AND($AH385,OR($AI385="",$AJ385="",AND(NOT(ISBLANK($S385)),$AK385=""))))</f>
        <v/>
      </c>
      <c r="AW385" s="129" t="str">
        <f aca="false">IF($BD385&lt;&gt;Constants!$B$6,"",IF($AH385,Constants!$B$17*$AJ385,Constants!$B$18))</f>
        <v/>
      </c>
      <c r="AX385" s="130" t="str">
        <f aca="false">IF($BD385&lt;&gt;Constants!$B$6,"",Constants!$B$19*IF($AH385,$AI385,0))</f>
        <v/>
      </c>
      <c r="AY385" s="130" t="str">
        <f aca="false">IF($BD385&lt;&gt;Constants!$B$6,"",IF(AND($AH385,ISNUMBER($AK385)),Constants!$B$20*(Constants!$B$21-$AK385),0))</f>
        <v/>
      </c>
      <c r="AZ385" s="130" t="str">
        <f aca="false">IF($BD385&lt;&gt;Constants!$B$6,"",IF($AG385,0,Constants!$B$12)+IF($AF385,0,Constants!$B$13)+IF($Y385,0,Constants!$B$14))</f>
        <v/>
      </c>
      <c r="BA385" s="131" t="str">
        <f aca="false">IF($BD385&lt;&gt;Constants!$B$6,"",Constants!$B$16+SUM($AW385:$AZ385))</f>
        <v/>
      </c>
      <c r="BB385" s="130" t="str">
        <f aca="false">IF($BD385&lt;&gt;Constants!$B$6,"",IF($AH385,$AJ385,""))</f>
        <v/>
      </c>
      <c r="BC385" s="132" t="str">
        <f aca="false">IF($BD385&lt;&gt;Constants!$B$6,"",$AX385)</f>
        <v/>
      </c>
      <c r="BD385" s="127" t="str">
        <f aca="false">IF(ISBLANK($C385),"",IF($AL385,Constants!$B$9,IF(COUNTA($E385:$T385)=0,Constants!$B$8,IF(NOT($X385),Constants!$B$7,IF(OR($AM385,$AV385),Constants!$B$10,Constants!$B$6)))))</f>
        <v/>
      </c>
      <c r="BE385" s="127" t="str">
        <f aca="false">IF(ISBLANK($C385),"",IF($BD385&lt;&gt;Constants!$B$6,$BD385,Constants!$B$11))</f>
        <v/>
      </c>
      <c r="BF385" s="130" t="str">
        <f aca="false">IF($BD385&lt;&gt;Constants!$B$6,"",IF($AU385="-&gt;",$BA385,$AR385))</f>
        <v/>
      </c>
      <c r="BG385" s="130" t="str">
        <f aca="false">IF($BD385&lt;&gt;Constants!$B$6,"",IF($W385,0,Constants!$B$15))</f>
        <v/>
      </c>
      <c r="BH385" s="130" t="str">
        <f aca="false">IF(ISBLANK($C385),"",IF($BD385&lt;&gt;Constants!$B$6,$BD385,SUM($BF385:$BG385)))</f>
        <v/>
      </c>
      <c r="BI385" s="127" t="str">
        <f aca="false">IF(ISBLANK($C385),"",IF($BD385&lt;&gt;Constants!$B$6,$BD385,RANK($BH385,$BH$9:$BH$508,1)))</f>
        <v/>
      </c>
      <c r="BJ385" s="130" t="str">
        <f aca="false">IF($BD385&lt;&gt;Constants!$B$6,"",IF($AU385="-&gt;",$BB385,$AS385))</f>
        <v/>
      </c>
      <c r="BK385" s="127" t="str">
        <f aca="false">IF(ISBLANK($C385),"",IF($BD385&lt;&gt;Constants!$B$6,$BD385,IF(ISNUMBER($BJ385),RANK($BJ385,$BJ$9:$BJ$508,1),COUNT($BJ$9:$BJ$508)+1)))</f>
        <v/>
      </c>
      <c r="BL385" s="130" t="str">
        <f aca="false">IF($BD385&lt;&gt;Constants!$B$6,"",IF($AU385="-&gt;",$BC385,$AT385))</f>
        <v/>
      </c>
      <c r="BM385" s="127" t="str">
        <f aca="false">IF(ISBLANK($C385),"",IF($BD385&lt;&gt;Constants!$B$6,$BD385,IF(ISNUMBER($BL385),RANK($BL385,$BL$9:$BL$508,1),COUNT($BL$9:$BL$508)+1)))</f>
        <v/>
      </c>
      <c r="BN385" s="130" t="str">
        <f aca="false">IF($BD385&lt;&gt;Constants!$B$6,"",IF($AU385="-&gt;",$AS385,$BB385))</f>
        <v/>
      </c>
      <c r="BO385" s="127" t="str">
        <f aca="false">IF(ISBLANK($C385),"",IF($BD385&lt;&gt;Constants!$B$6,$BD385,IF(ISNUMBER($BN385),RANK($BN385,$BN$9:$BN$508,1),COUNT($BN$9:$BN$508)+1)))</f>
        <v/>
      </c>
      <c r="BP385" s="130" t="str">
        <f aca="false">IF($BD385&lt;&gt;Constants!$B$6,"",IF($AU385="-&gt;",$AT385,$BC385))</f>
        <v/>
      </c>
      <c r="BQ385" s="127" t="str">
        <f aca="false">IF(ISBLANK($C385),"",IF($BD385&lt;&gt;Constants!$B$6,$BD385,IF(ISNUMBER($BP385),RANK($BP385,$BP$9:$BP$508,1),COUNT($BP$9:$BP$508)+1)))</f>
        <v/>
      </c>
      <c r="BR385" s="127" t="str">
        <f aca="false">IF(ISBLANK($C385),"",IF($BD385&lt;&gt;Constants!$B$6,$BD385,COUNTIFS($BI$9:$BI$508,"&lt;"&amp;$BI385)+COUNTIFS($BI$9:$BI$508,$BI385,$BK$9:$BK$508,"&lt;"&amp;$BK385)+COUNTIFS($BI$9:$BI$508,$BI385,$BK$9:$BK$508,$BK385,$BM$9:$BM$508,"&lt;"&amp;$BM385)+COUNTIFS($BI$9:$BI$508,$BI385,$BK$9:$BK$508,$BK385,$BM$9:$BM$508,$BM385,$BO$9:$BO$508,"&lt;"&amp;$BO385)+COUNTIFS($BI$9:$BI$508,$BI385,$BK$9:$BK$508,$BK385,$BM$9:$BM$508,$BM385,$BO$9:$BO$508,$BO385,$BQ$9:$BQ$508,"&lt;"&amp;$BQ385)+1))</f>
        <v/>
      </c>
      <c r="BS385" s="127" t="str">
        <f aca="false">IF(ISBLANK($C385),"",IF($BD385&lt;&gt;Constants!$B$6,$BD385,$BI385-$BR385))</f>
        <v/>
      </c>
      <c r="BT385" s="133"/>
      <c r="BU385" s="134"/>
      <c r="BV385" s="134" t="str">
        <f aca="false">IF(ISBLANK($C385),"",IF($BD385&lt;&gt;Constants!$B$6,"",IF($AU385="-&gt;",2,1)))</f>
        <v/>
      </c>
      <c r="BW385" s="135" t="str">
        <f aca="false">IF(ISBLANK($C385),"",IF($BD385&lt;&gt;Constants!$B$6,"",IF($AU385="-&gt;",$AW385,$AN385)))</f>
        <v/>
      </c>
      <c r="BX385" s="135" t="str">
        <f aca="false">IF(ISBLANK($C385),"",IF($BD385&lt;&gt;Constants!$B$6,"",IF($AU385="-&gt;",$AX385,$AO385)))</f>
        <v/>
      </c>
      <c r="BY385" s="135" t="str">
        <f aca="false">IF(ISBLANK($C385),"",IF($BD385&lt;&gt;Constants!$B$6,"",IF($AU385="-&gt;",$AY385,$AP385)))</f>
        <v/>
      </c>
      <c r="BZ385" s="135" t="str">
        <f aca="false">IF(ISBLANK($C385),"",IF($BD385&lt;&gt;Constants!$B$6,"",IF($AU385="-&gt;",$AZ385,$AQ385)+$BG385))</f>
        <v/>
      </c>
      <c r="CA385" s="136" t="str">
        <f aca="false">IF(ISBLANK($C385),"",IF($BD385&lt;&gt;Constants!$B$6,$BD385,$BH385))</f>
        <v/>
      </c>
      <c r="CB385" s="137" t="str">
        <f aca="false">IF(ISBLANK($C385),"",$BE385)</f>
        <v/>
      </c>
      <c r="CC385" s="138" t="str">
        <f aca="false">IF(ISBLANK($C385),"",$BS385)</f>
        <v/>
      </c>
      <c r="CD385" s="138" t="str">
        <f aca="false">IF(ISBLANK($C385),"",$BR385)</f>
        <v/>
      </c>
      <c r="CE385" s="139" t="str">
        <f aca="false">IF(ISBLANK($C385),"",IF($CD385=Constants!$B$9,COUNTA($C$9:$C$508)+2,IF($CD385=Constants!$B$8,COUNTA($C$9:$C$508)+1,IF($CD385=Constants!$B$7,COUNTA($C$9:$C$508),$CD385))))</f>
        <v/>
      </c>
      <c r="CF385" s="9"/>
      <c r="CG385" s="140" t="n">
        <f aca="false">IF(OR(ISNUMBER($CD385),$CD385=Constants!$B$9,$CD385=Constants!$B$7,$CD385=Constants!$B$8),1,0)</f>
        <v>0</v>
      </c>
      <c r="CH385" s="140" t="n">
        <v>377</v>
      </c>
      <c r="CI385" s="140" t="str">
        <f aca="false">IF(ISBLANK($C385),"",IF(ISNUMBER($CE385),$CE385+ROW($B385)/1000,""))</f>
        <v/>
      </c>
      <c r="CJ385" s="140" t="str">
        <f aca="false">IF(ISNUMBER($CI385),RANK($CI385,$CI$9:$CI$508,1),"")</f>
        <v/>
      </c>
      <c r="CK385" s="140" t="str">
        <f aca="false">IF(ISBLANK($C385),"",$B385)</f>
        <v/>
      </c>
      <c r="CL385" s="140" t="str">
        <f aca="false">IF(ISBLANK($C385),"",$C385)</f>
        <v/>
      </c>
      <c r="CM385" s="140" t="str">
        <f aca="false">IF(ISBLANK($C385),"",$D385)</f>
        <v/>
      </c>
      <c r="CN385" s="141" t="str">
        <f aca="false">$CB385</f>
        <v/>
      </c>
      <c r="CO385" s="142" t="str">
        <f aca="false">$CA385</f>
        <v/>
      </c>
      <c r="CP385" s="140" t="str">
        <f aca="false">IF(ISBLANK($C385),"",$CD385)</f>
        <v/>
      </c>
      <c r="CQ385" s="143" t="str">
        <f aca="false">IF($CH385&gt;$CG$8,"",VLOOKUP($CH385,$CJ$9:$CP$508,7,FALSE()))</f>
        <v/>
      </c>
      <c r="CR385" s="144" t="str">
        <f aca="false">IF($CH385&gt;$CG$8,"",VLOOKUP($CH385,$CJ$9:$CP$508,2,FALSE()))</f>
        <v/>
      </c>
      <c r="CS385" s="144" t="str">
        <f aca="false">IF($CH385&gt;$CG$8,"",VLOOKUP($CH385,$CJ$9:$CP$508,3,FALSE()))</f>
        <v/>
      </c>
      <c r="CT385" s="144" t="str">
        <f aca="false">IF($CH385&gt;$CG$8,"",VLOOKUP($CH385,$CJ$9:$CP$508,4,FALSE()))</f>
        <v/>
      </c>
      <c r="CU385" s="144" t="str">
        <f aca="false">IF($CH385&gt;$CG$8,"",VLOOKUP($CH385,$CJ$9:$CP$508,5,FALSE()))</f>
        <v/>
      </c>
      <c r="CV385" s="145" t="str">
        <f aca="false">IF($CH385&gt;$CG$8,"",VLOOKUP($CH385,$CJ$9:$CP$508,6,FALSE()))</f>
        <v/>
      </c>
      <c r="CW385" s="71"/>
    </row>
    <row r="386" customFormat="false" ht="15.75" hidden="false" customHeight="false" outlineLevel="0" collapsed="false">
      <c r="A386" s="9"/>
      <c r="B386" s="150"/>
      <c r="C386" s="151"/>
      <c r="D386" s="152"/>
      <c r="E386" s="170"/>
      <c r="F386" s="154"/>
      <c r="G386" s="155"/>
      <c r="H386" s="171"/>
      <c r="I386" s="159"/>
      <c r="J386" s="120"/>
      <c r="K386" s="121"/>
      <c r="L386" s="122"/>
      <c r="M386" s="158"/>
      <c r="N386" s="159"/>
      <c r="O386" s="159"/>
      <c r="P386" s="120"/>
      <c r="Q386" s="122"/>
      <c r="R386" s="122"/>
      <c r="S386" s="158"/>
      <c r="T386" s="159"/>
      <c r="U386" s="126"/>
      <c r="V386" s="127"/>
      <c r="W386" s="127" t="str">
        <f aca="false">IF(ISBLANK($C386),"",IF(E386=Constants!$B$2,TRUE(),IF(E386=Constants!$B$3,FALSE(),TRUE())))</f>
        <v/>
      </c>
      <c r="X386" s="127" t="str">
        <f aca="false">IF(ISBLANK($C386),"",IF(F386=Constants!$B$2,TRUE(),IF(F386=Constants!$B$3,FALSE(),TRUE())))</f>
        <v/>
      </c>
      <c r="Y386" s="127" t="str">
        <f aca="false">IF(ISBLANK($C386),"",IF(G386=Constants!$B$2,TRUE(),IF(G386=Constants!$B$3,FALSE(),TRUE())))</f>
        <v/>
      </c>
      <c r="Z386" s="127" t="str">
        <f aca="false">IF(ISBLANK($C386),"",IF(H386=Constants!$B$2,TRUE(),IF(H386=Constants!$B$3,FALSE(),TRUE())))</f>
        <v/>
      </c>
      <c r="AA386" s="127" t="str">
        <f aca="false">IF(ISBLANK($C386),"",IF(I386=Constants!$B$2,TRUE(),IF(I386=Constants!$B$3,FALSE(),TRUE())))</f>
        <v/>
      </c>
      <c r="AB386" s="127" t="str">
        <f aca="false">IF(ISBLANK($C386),"",IF(J386=Constants!$B$4,TRUE(),IF(J386=Constants!$B$5,FALSE(),COUNTA(K386:M386)&gt;0)))</f>
        <v/>
      </c>
      <c r="AC386" s="128" t="str">
        <f aca="false">IF(ISBLANK($C386),"",IF(ISNUMBER(K386),IF(K386&gt;=0,K386,""),""))</f>
        <v/>
      </c>
      <c r="AD386" s="129" t="str">
        <f aca="false">IF(ISBLANK($C386),"",IF(ISNUMBER(L386),IF(L386&gt;=0,L386,""),""))</f>
        <v/>
      </c>
      <c r="AE386" s="127" t="str">
        <f aca="false">IF(ISBLANK($C386),"",IF(ISNUMBER(M386),IF(M386&gt;=0,MIN(M386,Constants!$B$22),""),""))</f>
        <v/>
      </c>
      <c r="AF386" s="127" t="str">
        <f aca="false">IF(ISBLANK($C386),"",IF(N386=Constants!$B$2,TRUE(),IF(N386=Constants!$B$3,FALSE(),TRUE())))</f>
        <v/>
      </c>
      <c r="AG386" s="127" t="str">
        <f aca="false">IF(ISBLANK($C386),"",IF(O386=Constants!$B$2,TRUE(),IF(O386=Constants!$B$3,FALSE(),TRUE())))</f>
        <v/>
      </c>
      <c r="AH386" s="127" t="str">
        <f aca="false">IF(ISBLANK($C386),"",IF(P386=Constants!$B$4,TRUE(),IF(P386=Constants!$B$5,FALSE(),COUNTA(Q386:S386)&gt;0)))</f>
        <v/>
      </c>
      <c r="AI386" s="128" t="str">
        <f aca="false">IF(ISBLANK($C386),"",IF(ISNUMBER(Q386),IF(Q386&gt;=0,Q386,""),""))</f>
        <v/>
      </c>
      <c r="AJ386" s="129" t="str">
        <f aca="false">IF(ISBLANK($C386),"",IF(ISNUMBER(R386),IF(R386&gt;=0,R386,""),""))</f>
        <v/>
      </c>
      <c r="AK386" s="127" t="str">
        <f aca="false">IF(ISBLANK($C386),"",IF(ISNUMBER(S386),IF(S386&gt;=0,MIN(S386,Constants!$B$22),""),""))</f>
        <v/>
      </c>
      <c r="AL386" s="127" t="str">
        <f aca="false">IF(ISBLANK($C386),"",IF(T386=Constants!$B$2,TRUE(),IF(T386=Constants!$B$3,FALSE(),FALSE())))</f>
        <v/>
      </c>
      <c r="AM386" s="126" t="str">
        <f aca="false">IF(ISBLANK($C386),"",AND($AB386,OR($AC386="",$AD386="",AND(NOT(ISBLANK($M386)),$AE386=""))))</f>
        <v/>
      </c>
      <c r="AN386" s="129" t="str">
        <f aca="false">IF($BD386&lt;&gt;Constants!$B$6,"",IF($AB386,Constants!$B$17*$AD386,Constants!$B$18))</f>
        <v/>
      </c>
      <c r="AO386" s="130" t="str">
        <f aca="false">IF($BD386&lt;&gt;Constants!$B$6,"",Constants!$B$19*IF($AB386,$AC386,0))</f>
        <v/>
      </c>
      <c r="AP386" s="130" t="str">
        <f aca="false">IF($BD386&lt;&gt;Constants!$B$6,"",IF(AND($AB386,ISNUMBER($AE386)),Constants!$B$20*(Constants!$B$21-$AE386),0))</f>
        <v/>
      </c>
      <c r="AQ386" s="130" t="str">
        <f aca="false">IF($BD386&lt;&gt;Constants!$B$6,"",IF($AA386,0,Constants!$B$12)+IF($Z386,0,Constants!$B$13)+IF($Y386,0,Constants!$B$14))</f>
        <v/>
      </c>
      <c r="AR386" s="131" t="str">
        <f aca="false">IF($BD386&lt;&gt;Constants!$B$6,"",Constants!$B$16+SUM($AN386:$AQ386))</f>
        <v/>
      </c>
      <c r="AS386" s="130" t="str">
        <f aca="false">IF($BD386&lt;&gt;Constants!$B$6,"",IF($AB386,$AD386,""))</f>
        <v/>
      </c>
      <c r="AT386" s="132" t="str">
        <f aca="false">IF($BD386&lt;&gt;Constants!$B$6,"",$AO386)</f>
        <v/>
      </c>
      <c r="AU386" s="127" t="str">
        <f aca="false">IF($BD386&lt;&gt;Constants!$B$6,"",IF(OR($BA386&lt;$AR386,AND($BA386=$AR386,OR(AND(ISNUMBER($BB386),OR(NOT(ISNUMBER($AS386)),$BB386&lt;$AS386)),AND(OR(AND($BB386="",$AS386=""),AND(ISNUMBER($BB386),ISNUMBER($AS386),$BB386=$AS386)),$BC386&lt;$AT386)))),"-&gt;","&lt;-"))</f>
        <v/>
      </c>
      <c r="AV386" s="126" t="str">
        <f aca="false">IF(ISBLANK($C386),"",AND($AH386,OR($AI386="",$AJ386="",AND(NOT(ISBLANK($S386)),$AK386=""))))</f>
        <v/>
      </c>
      <c r="AW386" s="129" t="str">
        <f aca="false">IF($BD386&lt;&gt;Constants!$B$6,"",IF($AH386,Constants!$B$17*$AJ386,Constants!$B$18))</f>
        <v/>
      </c>
      <c r="AX386" s="130" t="str">
        <f aca="false">IF($BD386&lt;&gt;Constants!$B$6,"",Constants!$B$19*IF($AH386,$AI386,0))</f>
        <v/>
      </c>
      <c r="AY386" s="130" t="str">
        <f aca="false">IF($BD386&lt;&gt;Constants!$B$6,"",IF(AND($AH386,ISNUMBER($AK386)),Constants!$B$20*(Constants!$B$21-$AK386),0))</f>
        <v/>
      </c>
      <c r="AZ386" s="130" t="str">
        <f aca="false">IF($BD386&lt;&gt;Constants!$B$6,"",IF($AG386,0,Constants!$B$12)+IF($AF386,0,Constants!$B$13)+IF($Y386,0,Constants!$B$14))</f>
        <v/>
      </c>
      <c r="BA386" s="131" t="str">
        <f aca="false">IF($BD386&lt;&gt;Constants!$B$6,"",Constants!$B$16+SUM($AW386:$AZ386))</f>
        <v/>
      </c>
      <c r="BB386" s="130" t="str">
        <f aca="false">IF($BD386&lt;&gt;Constants!$B$6,"",IF($AH386,$AJ386,""))</f>
        <v/>
      </c>
      <c r="BC386" s="132" t="str">
        <f aca="false">IF($BD386&lt;&gt;Constants!$B$6,"",$AX386)</f>
        <v/>
      </c>
      <c r="BD386" s="127" t="str">
        <f aca="false">IF(ISBLANK($C386),"",IF($AL386,Constants!$B$9,IF(COUNTA($E386:$T386)=0,Constants!$B$8,IF(NOT($X386),Constants!$B$7,IF(OR($AM386,$AV386),Constants!$B$10,Constants!$B$6)))))</f>
        <v/>
      </c>
      <c r="BE386" s="127" t="str">
        <f aca="false">IF(ISBLANK($C386),"",IF($BD386&lt;&gt;Constants!$B$6,$BD386,Constants!$B$11))</f>
        <v/>
      </c>
      <c r="BF386" s="130" t="str">
        <f aca="false">IF($BD386&lt;&gt;Constants!$B$6,"",IF($AU386="-&gt;",$BA386,$AR386))</f>
        <v/>
      </c>
      <c r="BG386" s="130" t="str">
        <f aca="false">IF($BD386&lt;&gt;Constants!$B$6,"",IF($W386,0,Constants!$B$15))</f>
        <v/>
      </c>
      <c r="BH386" s="130" t="str">
        <f aca="false">IF(ISBLANK($C386),"",IF($BD386&lt;&gt;Constants!$B$6,$BD386,SUM($BF386:$BG386)))</f>
        <v/>
      </c>
      <c r="BI386" s="127" t="str">
        <f aca="false">IF(ISBLANK($C386),"",IF($BD386&lt;&gt;Constants!$B$6,$BD386,RANK($BH386,$BH$9:$BH$508,1)))</f>
        <v/>
      </c>
      <c r="BJ386" s="130" t="str">
        <f aca="false">IF($BD386&lt;&gt;Constants!$B$6,"",IF($AU386="-&gt;",$BB386,$AS386))</f>
        <v/>
      </c>
      <c r="BK386" s="127" t="str">
        <f aca="false">IF(ISBLANK($C386),"",IF($BD386&lt;&gt;Constants!$B$6,$BD386,IF(ISNUMBER($BJ386),RANK($BJ386,$BJ$9:$BJ$508,1),COUNT($BJ$9:$BJ$508)+1)))</f>
        <v/>
      </c>
      <c r="BL386" s="130" t="str">
        <f aca="false">IF($BD386&lt;&gt;Constants!$B$6,"",IF($AU386="-&gt;",$BC386,$AT386))</f>
        <v/>
      </c>
      <c r="BM386" s="127" t="str">
        <f aca="false">IF(ISBLANK($C386),"",IF($BD386&lt;&gt;Constants!$B$6,$BD386,IF(ISNUMBER($BL386),RANK($BL386,$BL$9:$BL$508,1),COUNT($BL$9:$BL$508)+1)))</f>
        <v/>
      </c>
      <c r="BN386" s="130" t="str">
        <f aca="false">IF($BD386&lt;&gt;Constants!$B$6,"",IF($AU386="-&gt;",$AS386,$BB386))</f>
        <v/>
      </c>
      <c r="BO386" s="127" t="str">
        <f aca="false">IF(ISBLANK($C386),"",IF($BD386&lt;&gt;Constants!$B$6,$BD386,IF(ISNUMBER($BN386),RANK($BN386,$BN$9:$BN$508,1),COUNT($BN$9:$BN$508)+1)))</f>
        <v/>
      </c>
      <c r="BP386" s="130" t="str">
        <f aca="false">IF($BD386&lt;&gt;Constants!$B$6,"",IF($AU386="-&gt;",$AT386,$BC386))</f>
        <v/>
      </c>
      <c r="BQ386" s="127" t="str">
        <f aca="false">IF(ISBLANK($C386),"",IF($BD386&lt;&gt;Constants!$B$6,$BD386,IF(ISNUMBER($BP386),RANK($BP386,$BP$9:$BP$508,1),COUNT($BP$9:$BP$508)+1)))</f>
        <v/>
      </c>
      <c r="BR386" s="127" t="str">
        <f aca="false">IF(ISBLANK($C386),"",IF($BD386&lt;&gt;Constants!$B$6,$BD386,COUNTIFS($BI$9:$BI$508,"&lt;"&amp;$BI386)+COUNTIFS($BI$9:$BI$508,$BI386,$BK$9:$BK$508,"&lt;"&amp;$BK386)+COUNTIFS($BI$9:$BI$508,$BI386,$BK$9:$BK$508,$BK386,$BM$9:$BM$508,"&lt;"&amp;$BM386)+COUNTIFS($BI$9:$BI$508,$BI386,$BK$9:$BK$508,$BK386,$BM$9:$BM$508,$BM386,$BO$9:$BO$508,"&lt;"&amp;$BO386)+COUNTIFS($BI$9:$BI$508,$BI386,$BK$9:$BK$508,$BK386,$BM$9:$BM$508,$BM386,$BO$9:$BO$508,$BO386,$BQ$9:$BQ$508,"&lt;"&amp;$BQ386)+1))</f>
        <v/>
      </c>
      <c r="BS386" s="127" t="str">
        <f aca="false">IF(ISBLANK($C386),"",IF($BD386&lt;&gt;Constants!$B$6,$BD386,$BI386-$BR386))</f>
        <v/>
      </c>
      <c r="BT386" s="133"/>
      <c r="BU386" s="134"/>
      <c r="BV386" s="134" t="str">
        <f aca="false">IF(ISBLANK($C386),"",IF($BD386&lt;&gt;Constants!$B$6,"",IF($AU386="-&gt;",2,1)))</f>
        <v/>
      </c>
      <c r="BW386" s="135" t="str">
        <f aca="false">IF(ISBLANK($C386),"",IF($BD386&lt;&gt;Constants!$B$6,"",IF($AU386="-&gt;",$AW386,$AN386)))</f>
        <v/>
      </c>
      <c r="BX386" s="135" t="str">
        <f aca="false">IF(ISBLANK($C386),"",IF($BD386&lt;&gt;Constants!$B$6,"",IF($AU386="-&gt;",$AX386,$AO386)))</f>
        <v/>
      </c>
      <c r="BY386" s="135" t="str">
        <f aca="false">IF(ISBLANK($C386),"",IF($BD386&lt;&gt;Constants!$B$6,"",IF($AU386="-&gt;",$AY386,$AP386)))</f>
        <v/>
      </c>
      <c r="BZ386" s="135" t="str">
        <f aca="false">IF(ISBLANK($C386),"",IF($BD386&lt;&gt;Constants!$B$6,"",IF($AU386="-&gt;",$AZ386,$AQ386)+$BG386))</f>
        <v/>
      </c>
      <c r="CA386" s="136" t="str">
        <f aca="false">IF(ISBLANK($C386),"",IF($BD386&lt;&gt;Constants!$B$6,$BD386,$BH386))</f>
        <v/>
      </c>
      <c r="CB386" s="137" t="str">
        <f aca="false">IF(ISBLANK($C386),"",$BE386)</f>
        <v/>
      </c>
      <c r="CC386" s="138" t="str">
        <f aca="false">IF(ISBLANK($C386),"",$BS386)</f>
        <v/>
      </c>
      <c r="CD386" s="138" t="str">
        <f aca="false">IF(ISBLANK($C386),"",$BR386)</f>
        <v/>
      </c>
      <c r="CE386" s="139" t="str">
        <f aca="false">IF(ISBLANK($C386),"",IF($CD386=Constants!$B$9,COUNTA($C$9:$C$508)+2,IF($CD386=Constants!$B$8,COUNTA($C$9:$C$508)+1,IF($CD386=Constants!$B$7,COUNTA($C$9:$C$508),$CD386))))</f>
        <v/>
      </c>
      <c r="CF386" s="9"/>
      <c r="CG386" s="140" t="n">
        <f aca="false">IF(OR(ISNUMBER($CD386),$CD386=Constants!$B$9,$CD386=Constants!$B$7,$CD386=Constants!$B$8),1,0)</f>
        <v>0</v>
      </c>
      <c r="CH386" s="140" t="n">
        <v>378</v>
      </c>
      <c r="CI386" s="140" t="str">
        <f aca="false">IF(ISBLANK($C386),"",IF(ISNUMBER($CE386),$CE386+ROW($B386)/1000,""))</f>
        <v/>
      </c>
      <c r="CJ386" s="140" t="str">
        <f aca="false">IF(ISNUMBER($CI386),RANK($CI386,$CI$9:$CI$508,1),"")</f>
        <v/>
      </c>
      <c r="CK386" s="140" t="str">
        <f aca="false">IF(ISBLANK($C386),"",$B386)</f>
        <v/>
      </c>
      <c r="CL386" s="140" t="str">
        <f aca="false">IF(ISBLANK($C386),"",$C386)</f>
        <v/>
      </c>
      <c r="CM386" s="140" t="str">
        <f aca="false">IF(ISBLANK($C386),"",$D386)</f>
        <v/>
      </c>
      <c r="CN386" s="141" t="str">
        <f aca="false">$CB386</f>
        <v/>
      </c>
      <c r="CO386" s="142" t="str">
        <f aca="false">$CA386</f>
        <v/>
      </c>
      <c r="CP386" s="140" t="str">
        <f aca="false">IF(ISBLANK($C386),"",$CD386)</f>
        <v/>
      </c>
      <c r="CQ386" s="143" t="str">
        <f aca="false">IF($CH386&gt;$CG$8,"",VLOOKUP($CH386,$CJ$9:$CP$508,7,FALSE()))</f>
        <v/>
      </c>
      <c r="CR386" s="144" t="str">
        <f aca="false">IF($CH386&gt;$CG$8,"",VLOOKUP($CH386,$CJ$9:$CP$508,2,FALSE()))</f>
        <v/>
      </c>
      <c r="CS386" s="144" t="str">
        <f aca="false">IF($CH386&gt;$CG$8,"",VLOOKUP($CH386,$CJ$9:$CP$508,3,FALSE()))</f>
        <v/>
      </c>
      <c r="CT386" s="144" t="str">
        <f aca="false">IF($CH386&gt;$CG$8,"",VLOOKUP($CH386,$CJ$9:$CP$508,4,FALSE()))</f>
        <v/>
      </c>
      <c r="CU386" s="144" t="str">
        <f aca="false">IF($CH386&gt;$CG$8,"",VLOOKUP($CH386,$CJ$9:$CP$508,5,FALSE()))</f>
        <v/>
      </c>
      <c r="CV386" s="145" t="str">
        <f aca="false">IF($CH386&gt;$CG$8,"",VLOOKUP($CH386,$CJ$9:$CP$508,6,FALSE()))</f>
        <v/>
      </c>
      <c r="CW386" s="71"/>
    </row>
    <row r="387" customFormat="false" ht="15.75" hidden="false" customHeight="false" outlineLevel="0" collapsed="false">
      <c r="A387" s="9"/>
      <c r="B387" s="72"/>
      <c r="C387" s="73"/>
      <c r="D387" s="160"/>
      <c r="E387" s="168"/>
      <c r="F387" s="162"/>
      <c r="G387" s="163"/>
      <c r="H387" s="169"/>
      <c r="I387" s="167"/>
      <c r="J387" s="80"/>
      <c r="K387" s="81"/>
      <c r="L387" s="82"/>
      <c r="M387" s="166"/>
      <c r="N387" s="167"/>
      <c r="O387" s="167"/>
      <c r="P387" s="80"/>
      <c r="Q387" s="82"/>
      <c r="R387" s="82"/>
      <c r="S387" s="166"/>
      <c r="T387" s="167"/>
      <c r="U387" s="86"/>
      <c r="V387" s="87"/>
      <c r="W387" s="87" t="str">
        <f aca="false">IF(ISBLANK($C387),"",IF(E387=Constants!$B$2,TRUE(),IF(E387=Constants!$B$3,FALSE(),TRUE())))</f>
        <v/>
      </c>
      <c r="X387" s="87" t="str">
        <f aca="false">IF(ISBLANK($C387),"",IF(F387=Constants!$B$2,TRUE(),IF(F387=Constants!$B$3,FALSE(),TRUE())))</f>
        <v/>
      </c>
      <c r="Y387" s="87" t="str">
        <f aca="false">IF(ISBLANK($C387),"",IF(G387=Constants!$B$2,TRUE(),IF(G387=Constants!$B$3,FALSE(),TRUE())))</f>
        <v/>
      </c>
      <c r="Z387" s="87" t="str">
        <f aca="false">IF(ISBLANK($C387),"",IF(H387=Constants!$B$2,TRUE(),IF(H387=Constants!$B$3,FALSE(),TRUE())))</f>
        <v/>
      </c>
      <c r="AA387" s="87" t="str">
        <f aca="false">IF(ISBLANK($C387),"",IF(I387=Constants!$B$2,TRUE(),IF(I387=Constants!$B$3,FALSE(),TRUE())))</f>
        <v/>
      </c>
      <c r="AB387" s="87" t="str">
        <f aca="false">IF(ISBLANK($C387),"",IF(J387=Constants!$B$4,TRUE(),IF(J387=Constants!$B$5,FALSE(),COUNTA(K387:M387)&gt;0)))</f>
        <v/>
      </c>
      <c r="AC387" s="88" t="str">
        <f aca="false">IF(ISBLANK($C387),"",IF(ISNUMBER(K387),IF(K387&gt;=0,K387,""),""))</f>
        <v/>
      </c>
      <c r="AD387" s="89" t="str">
        <f aca="false">IF(ISBLANK($C387),"",IF(ISNUMBER(L387),IF(L387&gt;=0,L387,""),""))</f>
        <v/>
      </c>
      <c r="AE387" s="87" t="str">
        <f aca="false">IF(ISBLANK($C387),"",IF(ISNUMBER(M387),IF(M387&gt;=0,MIN(M387,Constants!$B$22),""),""))</f>
        <v/>
      </c>
      <c r="AF387" s="87" t="str">
        <f aca="false">IF(ISBLANK($C387),"",IF(N387=Constants!$B$2,TRUE(),IF(N387=Constants!$B$3,FALSE(),TRUE())))</f>
        <v/>
      </c>
      <c r="AG387" s="87" t="str">
        <f aca="false">IF(ISBLANK($C387),"",IF(O387=Constants!$B$2,TRUE(),IF(O387=Constants!$B$3,FALSE(),TRUE())))</f>
        <v/>
      </c>
      <c r="AH387" s="87" t="str">
        <f aca="false">IF(ISBLANK($C387),"",IF(P387=Constants!$B$4,TRUE(),IF(P387=Constants!$B$5,FALSE(),COUNTA(Q387:S387)&gt;0)))</f>
        <v/>
      </c>
      <c r="AI387" s="88" t="str">
        <f aca="false">IF(ISBLANK($C387),"",IF(ISNUMBER(Q387),IF(Q387&gt;=0,Q387,""),""))</f>
        <v/>
      </c>
      <c r="AJ387" s="89" t="str">
        <f aca="false">IF(ISBLANK($C387),"",IF(ISNUMBER(R387),IF(R387&gt;=0,R387,""),""))</f>
        <v/>
      </c>
      <c r="AK387" s="87" t="str">
        <f aca="false">IF(ISBLANK($C387),"",IF(ISNUMBER(S387),IF(S387&gt;=0,MIN(S387,Constants!$B$22),""),""))</f>
        <v/>
      </c>
      <c r="AL387" s="87" t="str">
        <f aca="false">IF(ISBLANK($C387),"",IF(T387=Constants!$B$2,TRUE(),IF(T387=Constants!$B$3,FALSE(),FALSE())))</f>
        <v/>
      </c>
      <c r="AM387" s="86" t="str">
        <f aca="false">IF(ISBLANK($C387),"",AND($AB387,OR($AC387="",$AD387="",AND(NOT(ISBLANK($M387)),$AE387=""))))</f>
        <v/>
      </c>
      <c r="AN387" s="89" t="str">
        <f aca="false">IF($BD387&lt;&gt;Constants!$B$6,"",IF($AB387,Constants!$B$17*$AD387,Constants!$B$18))</f>
        <v/>
      </c>
      <c r="AO387" s="91" t="str">
        <f aca="false">IF($BD387&lt;&gt;Constants!$B$6,"",Constants!$B$19*IF($AB387,$AC387,0))</f>
        <v/>
      </c>
      <c r="AP387" s="91" t="str">
        <f aca="false">IF($BD387&lt;&gt;Constants!$B$6,"",IF(AND($AB387,ISNUMBER($AE387)),Constants!$B$20*(Constants!$B$21-$AE387),0))</f>
        <v/>
      </c>
      <c r="AQ387" s="91" t="str">
        <f aca="false">IF($BD387&lt;&gt;Constants!$B$6,"",IF($AA387,0,Constants!$B$12)+IF($Z387,0,Constants!$B$13)+IF($Y387,0,Constants!$B$14))</f>
        <v/>
      </c>
      <c r="AR387" s="92" t="str">
        <f aca="false">IF($BD387&lt;&gt;Constants!$B$6,"",Constants!$B$16+SUM($AN387:$AQ387))</f>
        <v/>
      </c>
      <c r="AS387" s="91" t="str">
        <f aca="false">IF($BD387&lt;&gt;Constants!$B$6,"",IF($AB387,$AD387,""))</f>
        <v/>
      </c>
      <c r="AT387" s="93" t="str">
        <f aca="false">IF($BD387&lt;&gt;Constants!$B$6,"",$AO387)</f>
        <v/>
      </c>
      <c r="AU387" s="87" t="str">
        <f aca="false">IF($BD387&lt;&gt;Constants!$B$6,"",IF(OR($BA387&lt;$AR387,AND($BA387=$AR387,OR(AND(ISNUMBER($BB387),OR(NOT(ISNUMBER($AS387)),$BB387&lt;$AS387)),AND(OR(AND($BB387="",$AS387=""),AND(ISNUMBER($BB387),ISNUMBER($AS387),$BB387=$AS387)),$BC387&lt;$AT387)))),"-&gt;","&lt;-"))</f>
        <v/>
      </c>
      <c r="AV387" s="86" t="str">
        <f aca="false">IF(ISBLANK($C387),"",AND($AH387,OR($AI387="",$AJ387="",AND(NOT(ISBLANK($S387)),$AK387=""))))</f>
        <v/>
      </c>
      <c r="AW387" s="89" t="str">
        <f aca="false">IF($BD387&lt;&gt;Constants!$B$6,"",IF($AH387,Constants!$B$17*$AJ387,Constants!$B$18))</f>
        <v/>
      </c>
      <c r="AX387" s="91" t="str">
        <f aca="false">IF($BD387&lt;&gt;Constants!$B$6,"",Constants!$B$19*IF($AH387,$AI387,0))</f>
        <v/>
      </c>
      <c r="AY387" s="91" t="str">
        <f aca="false">IF($BD387&lt;&gt;Constants!$B$6,"",IF(AND($AH387,ISNUMBER($AK387)),Constants!$B$20*(Constants!$B$21-$AK387),0))</f>
        <v/>
      </c>
      <c r="AZ387" s="91" t="str">
        <f aca="false">IF($BD387&lt;&gt;Constants!$B$6,"",IF($AG387,0,Constants!$B$12)+IF($AF387,0,Constants!$B$13)+IF($Y387,0,Constants!$B$14))</f>
        <v/>
      </c>
      <c r="BA387" s="92" t="str">
        <f aca="false">IF($BD387&lt;&gt;Constants!$B$6,"",Constants!$B$16+SUM($AW387:$AZ387))</f>
        <v/>
      </c>
      <c r="BB387" s="91" t="str">
        <f aca="false">IF($BD387&lt;&gt;Constants!$B$6,"",IF($AH387,$AJ387,""))</f>
        <v/>
      </c>
      <c r="BC387" s="93" t="str">
        <f aca="false">IF($BD387&lt;&gt;Constants!$B$6,"",$AX387)</f>
        <v/>
      </c>
      <c r="BD387" s="87" t="str">
        <f aca="false">IF(ISBLANK($C387),"",IF($AL387,Constants!$B$9,IF(COUNTA($E387:$T387)=0,Constants!$B$8,IF(NOT($X387),Constants!$B$7,IF(OR($AM387,$AV387),Constants!$B$10,Constants!$B$6)))))</f>
        <v/>
      </c>
      <c r="BE387" s="87" t="str">
        <f aca="false">IF(ISBLANK($C387),"",IF($BD387&lt;&gt;Constants!$B$6,$BD387,Constants!$B$11))</f>
        <v/>
      </c>
      <c r="BF387" s="91" t="str">
        <f aca="false">IF($BD387&lt;&gt;Constants!$B$6,"",IF($AU387="-&gt;",$BA387,$AR387))</f>
        <v/>
      </c>
      <c r="BG387" s="91" t="str">
        <f aca="false">IF($BD387&lt;&gt;Constants!$B$6,"",IF($W387,0,Constants!$B$15))</f>
        <v/>
      </c>
      <c r="BH387" s="91" t="str">
        <f aca="false">IF(ISBLANK($C387),"",IF($BD387&lt;&gt;Constants!$B$6,$BD387,SUM($BF387:$BG387)))</f>
        <v/>
      </c>
      <c r="BI387" s="87" t="str">
        <f aca="false">IF(ISBLANK($C387),"",IF($BD387&lt;&gt;Constants!$B$6,$BD387,RANK($BH387,$BH$9:$BH$508,1)))</f>
        <v/>
      </c>
      <c r="BJ387" s="91" t="str">
        <f aca="false">IF($BD387&lt;&gt;Constants!$B$6,"",IF($AU387="-&gt;",$BB387,$AS387))</f>
        <v/>
      </c>
      <c r="BK387" s="87" t="str">
        <f aca="false">IF(ISBLANK($C387),"",IF($BD387&lt;&gt;Constants!$B$6,$BD387,IF(ISNUMBER($BJ387),RANK($BJ387,$BJ$9:$BJ$508,1),COUNT($BJ$9:$BJ$508)+1)))</f>
        <v/>
      </c>
      <c r="BL387" s="91" t="str">
        <f aca="false">IF($BD387&lt;&gt;Constants!$B$6,"",IF($AU387="-&gt;",$BC387,$AT387))</f>
        <v/>
      </c>
      <c r="BM387" s="87" t="str">
        <f aca="false">IF(ISBLANK($C387),"",IF($BD387&lt;&gt;Constants!$B$6,$BD387,IF(ISNUMBER($BL387),RANK($BL387,$BL$9:$BL$508,1),COUNT($BL$9:$BL$508)+1)))</f>
        <v/>
      </c>
      <c r="BN387" s="91" t="str">
        <f aca="false">IF($BD387&lt;&gt;Constants!$B$6,"",IF($AU387="-&gt;",$AS387,$BB387))</f>
        <v/>
      </c>
      <c r="BO387" s="87" t="str">
        <f aca="false">IF(ISBLANK($C387),"",IF($BD387&lt;&gt;Constants!$B$6,$BD387,IF(ISNUMBER($BN387),RANK($BN387,$BN$9:$BN$508,1),COUNT($BN$9:$BN$508)+1)))</f>
        <v/>
      </c>
      <c r="BP387" s="91" t="str">
        <f aca="false">IF($BD387&lt;&gt;Constants!$B$6,"",IF($AU387="-&gt;",$AT387,$BC387))</f>
        <v/>
      </c>
      <c r="BQ387" s="87" t="str">
        <f aca="false">IF(ISBLANK($C387),"",IF($BD387&lt;&gt;Constants!$B$6,$BD387,IF(ISNUMBER($BP387),RANK($BP387,$BP$9:$BP$508,1),COUNT($BP$9:$BP$508)+1)))</f>
        <v/>
      </c>
      <c r="BR387" s="87" t="str">
        <f aca="false">IF(ISBLANK($C387),"",IF($BD387&lt;&gt;Constants!$B$6,$BD387,COUNTIFS($BI$9:$BI$508,"&lt;"&amp;$BI387)+COUNTIFS($BI$9:$BI$508,$BI387,$BK$9:$BK$508,"&lt;"&amp;$BK387)+COUNTIFS($BI$9:$BI$508,$BI387,$BK$9:$BK$508,$BK387,$BM$9:$BM$508,"&lt;"&amp;$BM387)+COUNTIFS($BI$9:$BI$508,$BI387,$BK$9:$BK$508,$BK387,$BM$9:$BM$508,$BM387,$BO$9:$BO$508,"&lt;"&amp;$BO387)+COUNTIFS($BI$9:$BI$508,$BI387,$BK$9:$BK$508,$BK387,$BM$9:$BM$508,$BM387,$BO$9:$BO$508,$BO387,$BQ$9:$BQ$508,"&lt;"&amp;$BQ387)+1))</f>
        <v/>
      </c>
      <c r="BS387" s="87" t="str">
        <f aca="false">IF(ISBLANK($C387),"",IF($BD387&lt;&gt;Constants!$B$6,$BD387,$BI387-$BR387))</f>
        <v/>
      </c>
      <c r="BT387" s="94"/>
      <c r="BU387" s="95"/>
      <c r="BV387" s="95" t="str">
        <f aca="false">IF(ISBLANK($C387),"",IF($BD387&lt;&gt;Constants!$B$6,"",IF($AU387="-&gt;",2,1)))</f>
        <v/>
      </c>
      <c r="BW387" s="96" t="str">
        <f aca="false">IF(ISBLANK($C387),"",IF($BD387&lt;&gt;Constants!$B$6,"",IF($AU387="-&gt;",$AW387,$AN387)))</f>
        <v/>
      </c>
      <c r="BX387" s="96" t="str">
        <f aca="false">IF(ISBLANK($C387),"",IF($BD387&lt;&gt;Constants!$B$6,"",IF($AU387="-&gt;",$AX387,$AO387)))</f>
        <v/>
      </c>
      <c r="BY387" s="96" t="str">
        <f aca="false">IF(ISBLANK($C387),"",IF($BD387&lt;&gt;Constants!$B$6,"",IF($AU387="-&gt;",$AY387,$AP387)))</f>
        <v/>
      </c>
      <c r="BZ387" s="96" t="str">
        <f aca="false">IF(ISBLANK($C387),"",IF($BD387&lt;&gt;Constants!$B$6,"",IF($AU387="-&gt;",$AZ387,$AQ387)+$BG387))</f>
        <v/>
      </c>
      <c r="CA387" s="97" t="str">
        <f aca="false">IF(ISBLANK($C387),"",IF($BD387&lt;&gt;Constants!$B$6,$BD387,$BH387))</f>
        <v/>
      </c>
      <c r="CB387" s="98" t="str">
        <f aca="false">IF(ISBLANK($C387),"",$BE387)</f>
        <v/>
      </c>
      <c r="CC387" s="99" t="str">
        <f aca="false">IF(ISBLANK($C387),"",$BS387)</f>
        <v/>
      </c>
      <c r="CD387" s="99" t="str">
        <f aca="false">IF(ISBLANK($C387),"",$BR387)</f>
        <v/>
      </c>
      <c r="CE387" s="100" t="str">
        <f aca="false">IF(ISBLANK($C387),"",IF($CD387=Constants!$B$9,COUNTA($C$9:$C$508)+2,IF($CD387=Constants!$B$8,COUNTA($C$9:$C$508)+1,IF($CD387=Constants!$B$7,COUNTA($C$9:$C$508),$CD387))))</f>
        <v/>
      </c>
      <c r="CF387" s="9"/>
      <c r="CG387" s="101" t="n">
        <f aca="false">IF(OR(ISNUMBER($CD387),$CD387=Constants!$B$9,$CD387=Constants!$B$7,$CD387=Constants!$B$8),1,0)</f>
        <v>0</v>
      </c>
      <c r="CH387" s="101" t="n">
        <v>379</v>
      </c>
      <c r="CI387" s="101" t="str">
        <f aca="false">IF(ISBLANK($C387),"",IF(ISNUMBER($CE387),$CE387+ROW($B387)/1000,""))</f>
        <v/>
      </c>
      <c r="CJ387" s="101" t="str">
        <f aca="false">IF(ISNUMBER($CI387),RANK($CI387,$CI$9:$CI$508,1),"")</f>
        <v/>
      </c>
      <c r="CK387" s="101" t="str">
        <f aca="false">IF(ISBLANK($C387),"",$B387)</f>
        <v/>
      </c>
      <c r="CL387" s="101" t="str">
        <f aca="false">IF(ISBLANK($C387),"",$C387)</f>
        <v/>
      </c>
      <c r="CM387" s="101" t="str">
        <f aca="false">IF(ISBLANK($C387),"",$D387)</f>
        <v/>
      </c>
      <c r="CN387" s="102" t="str">
        <f aca="false">$CB387</f>
        <v/>
      </c>
      <c r="CO387" s="103" t="str">
        <f aca="false">$CA387</f>
        <v/>
      </c>
      <c r="CP387" s="101" t="str">
        <f aca="false">IF(ISBLANK($C387),"",$CD387)</f>
        <v/>
      </c>
      <c r="CQ387" s="104" t="str">
        <f aca="false">IF($CH387&gt;$CG$8,"",VLOOKUP($CH387,$CJ$9:$CP$508,7,FALSE()))</f>
        <v/>
      </c>
      <c r="CR387" s="105" t="str">
        <f aca="false">IF($CH387&gt;$CG$8,"",VLOOKUP($CH387,$CJ$9:$CP$508,2,FALSE()))</f>
        <v/>
      </c>
      <c r="CS387" s="105" t="str">
        <f aca="false">IF($CH387&gt;$CG$8,"",VLOOKUP($CH387,$CJ$9:$CP$508,3,FALSE()))</f>
        <v/>
      </c>
      <c r="CT387" s="105" t="str">
        <f aca="false">IF($CH387&gt;$CG$8,"",VLOOKUP($CH387,$CJ$9:$CP$508,4,FALSE()))</f>
        <v/>
      </c>
      <c r="CU387" s="105" t="str">
        <f aca="false">IF($CH387&gt;$CG$8,"",VLOOKUP($CH387,$CJ$9:$CP$508,5,FALSE()))</f>
        <v/>
      </c>
      <c r="CV387" s="106" t="str">
        <f aca="false">IF($CH387&gt;$CG$8,"",VLOOKUP($CH387,$CJ$9:$CP$508,6,FALSE()))</f>
        <v/>
      </c>
      <c r="CW387" s="71"/>
    </row>
    <row r="388" customFormat="false" ht="15.75" hidden="false" customHeight="false" outlineLevel="0" collapsed="false">
      <c r="A388" s="9"/>
      <c r="B388" s="72"/>
      <c r="C388" s="73"/>
      <c r="D388" s="160"/>
      <c r="E388" s="168"/>
      <c r="F388" s="162"/>
      <c r="G388" s="163"/>
      <c r="H388" s="169"/>
      <c r="I388" s="167"/>
      <c r="J388" s="80"/>
      <c r="K388" s="81"/>
      <c r="L388" s="82"/>
      <c r="M388" s="166"/>
      <c r="N388" s="167"/>
      <c r="O388" s="167"/>
      <c r="P388" s="80"/>
      <c r="Q388" s="82"/>
      <c r="R388" s="82"/>
      <c r="S388" s="166"/>
      <c r="T388" s="167"/>
      <c r="U388" s="86"/>
      <c r="V388" s="87"/>
      <c r="W388" s="87" t="str">
        <f aca="false">IF(ISBLANK($C388),"",IF(E388=Constants!$B$2,TRUE(),IF(E388=Constants!$B$3,FALSE(),TRUE())))</f>
        <v/>
      </c>
      <c r="X388" s="87" t="str">
        <f aca="false">IF(ISBLANK($C388),"",IF(F388=Constants!$B$2,TRUE(),IF(F388=Constants!$B$3,FALSE(),TRUE())))</f>
        <v/>
      </c>
      <c r="Y388" s="87" t="str">
        <f aca="false">IF(ISBLANK($C388),"",IF(G388=Constants!$B$2,TRUE(),IF(G388=Constants!$B$3,FALSE(),TRUE())))</f>
        <v/>
      </c>
      <c r="Z388" s="87" t="str">
        <f aca="false">IF(ISBLANK($C388),"",IF(H388=Constants!$B$2,TRUE(),IF(H388=Constants!$B$3,FALSE(),TRUE())))</f>
        <v/>
      </c>
      <c r="AA388" s="87" t="str">
        <f aca="false">IF(ISBLANK($C388),"",IF(I388=Constants!$B$2,TRUE(),IF(I388=Constants!$B$3,FALSE(),TRUE())))</f>
        <v/>
      </c>
      <c r="AB388" s="87" t="str">
        <f aca="false">IF(ISBLANK($C388),"",IF(J388=Constants!$B$4,TRUE(),IF(J388=Constants!$B$5,FALSE(),COUNTA(K388:M388)&gt;0)))</f>
        <v/>
      </c>
      <c r="AC388" s="88" t="str">
        <f aca="false">IF(ISBLANK($C388),"",IF(ISNUMBER(K388),IF(K388&gt;=0,K388,""),""))</f>
        <v/>
      </c>
      <c r="AD388" s="89" t="str">
        <f aca="false">IF(ISBLANK($C388),"",IF(ISNUMBER(L388),IF(L388&gt;=0,L388,""),""))</f>
        <v/>
      </c>
      <c r="AE388" s="87" t="str">
        <f aca="false">IF(ISBLANK($C388),"",IF(ISNUMBER(M388),IF(M388&gt;=0,MIN(M388,Constants!$B$22),""),""))</f>
        <v/>
      </c>
      <c r="AF388" s="87" t="str">
        <f aca="false">IF(ISBLANK($C388),"",IF(N388=Constants!$B$2,TRUE(),IF(N388=Constants!$B$3,FALSE(),TRUE())))</f>
        <v/>
      </c>
      <c r="AG388" s="87" t="str">
        <f aca="false">IF(ISBLANK($C388),"",IF(O388=Constants!$B$2,TRUE(),IF(O388=Constants!$B$3,FALSE(),TRUE())))</f>
        <v/>
      </c>
      <c r="AH388" s="87" t="str">
        <f aca="false">IF(ISBLANK($C388),"",IF(P388=Constants!$B$4,TRUE(),IF(P388=Constants!$B$5,FALSE(),COUNTA(Q388:S388)&gt;0)))</f>
        <v/>
      </c>
      <c r="AI388" s="88" t="str">
        <f aca="false">IF(ISBLANK($C388),"",IF(ISNUMBER(Q388),IF(Q388&gt;=0,Q388,""),""))</f>
        <v/>
      </c>
      <c r="AJ388" s="89" t="str">
        <f aca="false">IF(ISBLANK($C388),"",IF(ISNUMBER(R388),IF(R388&gt;=0,R388,""),""))</f>
        <v/>
      </c>
      <c r="AK388" s="87" t="str">
        <f aca="false">IF(ISBLANK($C388),"",IF(ISNUMBER(S388),IF(S388&gt;=0,MIN(S388,Constants!$B$22),""),""))</f>
        <v/>
      </c>
      <c r="AL388" s="87" t="str">
        <f aca="false">IF(ISBLANK($C388),"",IF(T388=Constants!$B$2,TRUE(),IF(T388=Constants!$B$3,FALSE(),FALSE())))</f>
        <v/>
      </c>
      <c r="AM388" s="86" t="str">
        <f aca="false">IF(ISBLANK($C388),"",AND($AB388,OR($AC388="",$AD388="",AND(NOT(ISBLANK($M388)),$AE388=""))))</f>
        <v/>
      </c>
      <c r="AN388" s="89" t="str">
        <f aca="false">IF($BD388&lt;&gt;Constants!$B$6,"",IF($AB388,Constants!$B$17*$AD388,Constants!$B$18))</f>
        <v/>
      </c>
      <c r="AO388" s="91" t="str">
        <f aca="false">IF($BD388&lt;&gt;Constants!$B$6,"",Constants!$B$19*IF($AB388,$AC388,0))</f>
        <v/>
      </c>
      <c r="AP388" s="91" t="str">
        <f aca="false">IF($BD388&lt;&gt;Constants!$B$6,"",IF(AND($AB388,ISNUMBER($AE388)),Constants!$B$20*(Constants!$B$21-$AE388),0))</f>
        <v/>
      </c>
      <c r="AQ388" s="91" t="str">
        <f aca="false">IF($BD388&lt;&gt;Constants!$B$6,"",IF($AA388,0,Constants!$B$12)+IF($Z388,0,Constants!$B$13)+IF($Y388,0,Constants!$B$14))</f>
        <v/>
      </c>
      <c r="AR388" s="92" t="str">
        <f aca="false">IF($BD388&lt;&gt;Constants!$B$6,"",Constants!$B$16+SUM($AN388:$AQ388))</f>
        <v/>
      </c>
      <c r="AS388" s="91" t="str">
        <f aca="false">IF($BD388&lt;&gt;Constants!$B$6,"",IF($AB388,$AD388,""))</f>
        <v/>
      </c>
      <c r="AT388" s="93" t="str">
        <f aca="false">IF($BD388&lt;&gt;Constants!$B$6,"",$AO388)</f>
        <v/>
      </c>
      <c r="AU388" s="87" t="str">
        <f aca="false">IF($BD388&lt;&gt;Constants!$B$6,"",IF(OR($BA388&lt;$AR388,AND($BA388=$AR388,OR(AND(ISNUMBER($BB388),OR(NOT(ISNUMBER($AS388)),$BB388&lt;$AS388)),AND(OR(AND($BB388="",$AS388=""),AND(ISNUMBER($BB388),ISNUMBER($AS388),$BB388=$AS388)),$BC388&lt;$AT388)))),"-&gt;","&lt;-"))</f>
        <v/>
      </c>
      <c r="AV388" s="86" t="str">
        <f aca="false">IF(ISBLANK($C388),"",AND($AH388,OR($AI388="",$AJ388="",AND(NOT(ISBLANK($S388)),$AK388=""))))</f>
        <v/>
      </c>
      <c r="AW388" s="89" t="str">
        <f aca="false">IF($BD388&lt;&gt;Constants!$B$6,"",IF($AH388,Constants!$B$17*$AJ388,Constants!$B$18))</f>
        <v/>
      </c>
      <c r="AX388" s="91" t="str">
        <f aca="false">IF($BD388&lt;&gt;Constants!$B$6,"",Constants!$B$19*IF($AH388,$AI388,0))</f>
        <v/>
      </c>
      <c r="AY388" s="91" t="str">
        <f aca="false">IF($BD388&lt;&gt;Constants!$B$6,"",IF(AND($AH388,ISNUMBER($AK388)),Constants!$B$20*(Constants!$B$21-$AK388),0))</f>
        <v/>
      </c>
      <c r="AZ388" s="91" t="str">
        <f aca="false">IF($BD388&lt;&gt;Constants!$B$6,"",IF($AG388,0,Constants!$B$12)+IF($AF388,0,Constants!$B$13)+IF($Y388,0,Constants!$B$14))</f>
        <v/>
      </c>
      <c r="BA388" s="92" t="str">
        <f aca="false">IF($BD388&lt;&gt;Constants!$B$6,"",Constants!$B$16+SUM($AW388:$AZ388))</f>
        <v/>
      </c>
      <c r="BB388" s="91" t="str">
        <f aca="false">IF($BD388&lt;&gt;Constants!$B$6,"",IF($AH388,$AJ388,""))</f>
        <v/>
      </c>
      <c r="BC388" s="93" t="str">
        <f aca="false">IF($BD388&lt;&gt;Constants!$B$6,"",$AX388)</f>
        <v/>
      </c>
      <c r="BD388" s="87" t="str">
        <f aca="false">IF(ISBLANK($C388),"",IF($AL388,Constants!$B$9,IF(COUNTA($E388:$T388)=0,Constants!$B$8,IF(NOT($X388),Constants!$B$7,IF(OR($AM388,$AV388),Constants!$B$10,Constants!$B$6)))))</f>
        <v/>
      </c>
      <c r="BE388" s="87" t="str">
        <f aca="false">IF(ISBLANK($C388),"",IF($BD388&lt;&gt;Constants!$B$6,$BD388,Constants!$B$11))</f>
        <v/>
      </c>
      <c r="BF388" s="91" t="str">
        <f aca="false">IF($BD388&lt;&gt;Constants!$B$6,"",IF($AU388="-&gt;",$BA388,$AR388))</f>
        <v/>
      </c>
      <c r="BG388" s="91" t="str">
        <f aca="false">IF($BD388&lt;&gt;Constants!$B$6,"",IF($W388,0,Constants!$B$15))</f>
        <v/>
      </c>
      <c r="BH388" s="91" t="str">
        <f aca="false">IF(ISBLANK($C388),"",IF($BD388&lt;&gt;Constants!$B$6,$BD388,SUM($BF388:$BG388)))</f>
        <v/>
      </c>
      <c r="BI388" s="87" t="str">
        <f aca="false">IF(ISBLANK($C388),"",IF($BD388&lt;&gt;Constants!$B$6,$BD388,RANK($BH388,$BH$9:$BH$508,1)))</f>
        <v/>
      </c>
      <c r="BJ388" s="91" t="str">
        <f aca="false">IF($BD388&lt;&gt;Constants!$B$6,"",IF($AU388="-&gt;",$BB388,$AS388))</f>
        <v/>
      </c>
      <c r="BK388" s="87" t="str">
        <f aca="false">IF(ISBLANK($C388),"",IF($BD388&lt;&gt;Constants!$B$6,$BD388,IF(ISNUMBER($BJ388),RANK($BJ388,$BJ$9:$BJ$508,1),COUNT($BJ$9:$BJ$508)+1)))</f>
        <v/>
      </c>
      <c r="BL388" s="91" t="str">
        <f aca="false">IF($BD388&lt;&gt;Constants!$B$6,"",IF($AU388="-&gt;",$BC388,$AT388))</f>
        <v/>
      </c>
      <c r="BM388" s="87" t="str">
        <f aca="false">IF(ISBLANK($C388),"",IF($BD388&lt;&gt;Constants!$B$6,$BD388,IF(ISNUMBER($BL388),RANK($BL388,$BL$9:$BL$508,1),COUNT($BL$9:$BL$508)+1)))</f>
        <v/>
      </c>
      <c r="BN388" s="91" t="str">
        <f aca="false">IF($BD388&lt;&gt;Constants!$B$6,"",IF($AU388="-&gt;",$AS388,$BB388))</f>
        <v/>
      </c>
      <c r="BO388" s="87" t="str">
        <f aca="false">IF(ISBLANK($C388),"",IF($BD388&lt;&gt;Constants!$B$6,$BD388,IF(ISNUMBER($BN388),RANK($BN388,$BN$9:$BN$508,1),COUNT($BN$9:$BN$508)+1)))</f>
        <v/>
      </c>
      <c r="BP388" s="91" t="str">
        <f aca="false">IF($BD388&lt;&gt;Constants!$B$6,"",IF($AU388="-&gt;",$AT388,$BC388))</f>
        <v/>
      </c>
      <c r="BQ388" s="87" t="str">
        <f aca="false">IF(ISBLANK($C388),"",IF($BD388&lt;&gt;Constants!$B$6,$BD388,IF(ISNUMBER($BP388),RANK($BP388,$BP$9:$BP$508,1),COUNT($BP$9:$BP$508)+1)))</f>
        <v/>
      </c>
      <c r="BR388" s="87" t="str">
        <f aca="false">IF(ISBLANK($C388),"",IF($BD388&lt;&gt;Constants!$B$6,$BD388,COUNTIFS($BI$9:$BI$508,"&lt;"&amp;$BI388)+COUNTIFS($BI$9:$BI$508,$BI388,$BK$9:$BK$508,"&lt;"&amp;$BK388)+COUNTIFS($BI$9:$BI$508,$BI388,$BK$9:$BK$508,$BK388,$BM$9:$BM$508,"&lt;"&amp;$BM388)+COUNTIFS($BI$9:$BI$508,$BI388,$BK$9:$BK$508,$BK388,$BM$9:$BM$508,$BM388,$BO$9:$BO$508,"&lt;"&amp;$BO388)+COUNTIFS($BI$9:$BI$508,$BI388,$BK$9:$BK$508,$BK388,$BM$9:$BM$508,$BM388,$BO$9:$BO$508,$BO388,$BQ$9:$BQ$508,"&lt;"&amp;$BQ388)+1))</f>
        <v/>
      </c>
      <c r="BS388" s="87" t="str">
        <f aca="false">IF(ISBLANK($C388),"",IF($BD388&lt;&gt;Constants!$B$6,$BD388,$BI388-$BR388))</f>
        <v/>
      </c>
      <c r="BT388" s="94"/>
      <c r="BU388" s="95"/>
      <c r="BV388" s="95" t="str">
        <f aca="false">IF(ISBLANK($C388),"",IF($BD388&lt;&gt;Constants!$B$6,"",IF($AU388="-&gt;",2,1)))</f>
        <v/>
      </c>
      <c r="BW388" s="96" t="str">
        <f aca="false">IF(ISBLANK($C388),"",IF($BD388&lt;&gt;Constants!$B$6,"",IF($AU388="-&gt;",$AW388,$AN388)))</f>
        <v/>
      </c>
      <c r="BX388" s="96" t="str">
        <f aca="false">IF(ISBLANK($C388),"",IF($BD388&lt;&gt;Constants!$B$6,"",IF($AU388="-&gt;",$AX388,$AO388)))</f>
        <v/>
      </c>
      <c r="BY388" s="96" t="str">
        <f aca="false">IF(ISBLANK($C388),"",IF($BD388&lt;&gt;Constants!$B$6,"",IF($AU388="-&gt;",$AY388,$AP388)))</f>
        <v/>
      </c>
      <c r="BZ388" s="96" t="str">
        <f aca="false">IF(ISBLANK($C388),"",IF($BD388&lt;&gt;Constants!$B$6,"",IF($AU388="-&gt;",$AZ388,$AQ388)+$BG388))</f>
        <v/>
      </c>
      <c r="CA388" s="97" t="str">
        <f aca="false">IF(ISBLANK($C388),"",IF($BD388&lt;&gt;Constants!$B$6,$BD388,$BH388))</f>
        <v/>
      </c>
      <c r="CB388" s="98" t="str">
        <f aca="false">IF(ISBLANK($C388),"",$BE388)</f>
        <v/>
      </c>
      <c r="CC388" s="99" t="str">
        <f aca="false">IF(ISBLANK($C388),"",$BS388)</f>
        <v/>
      </c>
      <c r="CD388" s="99" t="str">
        <f aca="false">IF(ISBLANK($C388),"",$BR388)</f>
        <v/>
      </c>
      <c r="CE388" s="100" t="str">
        <f aca="false">IF(ISBLANK($C388),"",IF($CD388=Constants!$B$9,COUNTA($C$9:$C$508)+2,IF($CD388=Constants!$B$8,COUNTA($C$9:$C$508)+1,IF($CD388=Constants!$B$7,COUNTA($C$9:$C$508),$CD388))))</f>
        <v/>
      </c>
      <c r="CF388" s="9"/>
      <c r="CG388" s="101" t="n">
        <f aca="false">IF(OR(ISNUMBER($CD388),$CD388=Constants!$B$9,$CD388=Constants!$B$7,$CD388=Constants!$B$8),1,0)</f>
        <v>0</v>
      </c>
      <c r="CH388" s="101" t="n">
        <v>380</v>
      </c>
      <c r="CI388" s="101" t="str">
        <f aca="false">IF(ISBLANK($C388),"",IF(ISNUMBER($CE388),$CE388+ROW($B388)/1000,""))</f>
        <v/>
      </c>
      <c r="CJ388" s="101" t="str">
        <f aca="false">IF(ISNUMBER($CI388),RANK($CI388,$CI$9:$CI$508,1),"")</f>
        <v/>
      </c>
      <c r="CK388" s="101" t="str">
        <f aca="false">IF(ISBLANK($C388),"",$B388)</f>
        <v/>
      </c>
      <c r="CL388" s="101" t="str">
        <f aca="false">IF(ISBLANK($C388),"",$C388)</f>
        <v/>
      </c>
      <c r="CM388" s="101" t="str">
        <f aca="false">IF(ISBLANK($C388),"",$D388)</f>
        <v/>
      </c>
      <c r="CN388" s="102" t="str">
        <f aca="false">$CB388</f>
        <v/>
      </c>
      <c r="CO388" s="103" t="str">
        <f aca="false">$CA388</f>
        <v/>
      </c>
      <c r="CP388" s="101" t="str">
        <f aca="false">IF(ISBLANK($C388),"",$CD388)</f>
        <v/>
      </c>
      <c r="CQ388" s="104" t="str">
        <f aca="false">IF($CH388&gt;$CG$8,"",VLOOKUP($CH388,$CJ$9:$CP$508,7,FALSE()))</f>
        <v/>
      </c>
      <c r="CR388" s="105" t="str">
        <f aca="false">IF($CH388&gt;$CG$8,"",VLOOKUP($CH388,$CJ$9:$CP$508,2,FALSE()))</f>
        <v/>
      </c>
      <c r="CS388" s="105" t="str">
        <f aca="false">IF($CH388&gt;$CG$8,"",VLOOKUP($CH388,$CJ$9:$CP$508,3,FALSE()))</f>
        <v/>
      </c>
      <c r="CT388" s="105" t="str">
        <f aca="false">IF($CH388&gt;$CG$8,"",VLOOKUP($CH388,$CJ$9:$CP$508,4,FALSE()))</f>
        <v/>
      </c>
      <c r="CU388" s="105" t="str">
        <f aca="false">IF($CH388&gt;$CG$8,"",VLOOKUP($CH388,$CJ$9:$CP$508,5,FALSE()))</f>
        <v/>
      </c>
      <c r="CV388" s="106" t="str">
        <f aca="false">IF($CH388&gt;$CG$8,"",VLOOKUP($CH388,$CJ$9:$CP$508,6,FALSE()))</f>
        <v/>
      </c>
      <c r="CW388" s="71"/>
    </row>
    <row r="389" customFormat="false" ht="15.75" hidden="false" customHeight="false" outlineLevel="0" collapsed="false">
      <c r="A389" s="9"/>
      <c r="B389" s="72"/>
      <c r="C389" s="73"/>
      <c r="D389" s="160"/>
      <c r="E389" s="168"/>
      <c r="F389" s="162"/>
      <c r="G389" s="163"/>
      <c r="H389" s="169"/>
      <c r="I389" s="167"/>
      <c r="J389" s="80"/>
      <c r="K389" s="81"/>
      <c r="L389" s="82"/>
      <c r="M389" s="166"/>
      <c r="N389" s="167"/>
      <c r="O389" s="167"/>
      <c r="P389" s="80"/>
      <c r="Q389" s="82"/>
      <c r="R389" s="82"/>
      <c r="S389" s="166"/>
      <c r="T389" s="167"/>
      <c r="U389" s="86"/>
      <c r="V389" s="87"/>
      <c r="W389" s="87" t="str">
        <f aca="false">IF(ISBLANK($C389),"",IF(E389=Constants!$B$2,TRUE(),IF(E389=Constants!$B$3,FALSE(),TRUE())))</f>
        <v/>
      </c>
      <c r="X389" s="87" t="str">
        <f aca="false">IF(ISBLANK($C389),"",IF(F389=Constants!$B$2,TRUE(),IF(F389=Constants!$B$3,FALSE(),TRUE())))</f>
        <v/>
      </c>
      <c r="Y389" s="87" t="str">
        <f aca="false">IF(ISBLANK($C389),"",IF(G389=Constants!$B$2,TRUE(),IF(G389=Constants!$B$3,FALSE(),TRUE())))</f>
        <v/>
      </c>
      <c r="Z389" s="87" t="str">
        <f aca="false">IF(ISBLANK($C389),"",IF(H389=Constants!$B$2,TRUE(),IF(H389=Constants!$B$3,FALSE(),TRUE())))</f>
        <v/>
      </c>
      <c r="AA389" s="87" t="str">
        <f aca="false">IF(ISBLANK($C389),"",IF(I389=Constants!$B$2,TRUE(),IF(I389=Constants!$B$3,FALSE(),TRUE())))</f>
        <v/>
      </c>
      <c r="AB389" s="87" t="str">
        <f aca="false">IF(ISBLANK($C389),"",IF(J389=Constants!$B$4,TRUE(),IF(J389=Constants!$B$5,FALSE(),COUNTA(K389:M389)&gt;0)))</f>
        <v/>
      </c>
      <c r="AC389" s="88" t="str">
        <f aca="false">IF(ISBLANK($C389),"",IF(ISNUMBER(K389),IF(K389&gt;=0,K389,""),""))</f>
        <v/>
      </c>
      <c r="AD389" s="89" t="str">
        <f aca="false">IF(ISBLANK($C389),"",IF(ISNUMBER(L389),IF(L389&gt;=0,L389,""),""))</f>
        <v/>
      </c>
      <c r="AE389" s="87" t="str">
        <f aca="false">IF(ISBLANK($C389),"",IF(ISNUMBER(M389),IF(M389&gt;=0,MIN(M389,Constants!$B$22),""),""))</f>
        <v/>
      </c>
      <c r="AF389" s="87" t="str">
        <f aca="false">IF(ISBLANK($C389),"",IF(N389=Constants!$B$2,TRUE(),IF(N389=Constants!$B$3,FALSE(),TRUE())))</f>
        <v/>
      </c>
      <c r="AG389" s="87" t="str">
        <f aca="false">IF(ISBLANK($C389),"",IF(O389=Constants!$B$2,TRUE(),IF(O389=Constants!$B$3,FALSE(),TRUE())))</f>
        <v/>
      </c>
      <c r="AH389" s="87" t="str">
        <f aca="false">IF(ISBLANK($C389),"",IF(P389=Constants!$B$4,TRUE(),IF(P389=Constants!$B$5,FALSE(),COUNTA(Q389:S389)&gt;0)))</f>
        <v/>
      </c>
      <c r="AI389" s="88" t="str">
        <f aca="false">IF(ISBLANK($C389),"",IF(ISNUMBER(Q389),IF(Q389&gt;=0,Q389,""),""))</f>
        <v/>
      </c>
      <c r="AJ389" s="89" t="str">
        <f aca="false">IF(ISBLANK($C389),"",IF(ISNUMBER(R389),IF(R389&gt;=0,R389,""),""))</f>
        <v/>
      </c>
      <c r="AK389" s="87" t="str">
        <f aca="false">IF(ISBLANK($C389),"",IF(ISNUMBER(S389),IF(S389&gt;=0,MIN(S389,Constants!$B$22),""),""))</f>
        <v/>
      </c>
      <c r="AL389" s="87" t="str">
        <f aca="false">IF(ISBLANK($C389),"",IF(T389=Constants!$B$2,TRUE(),IF(T389=Constants!$B$3,FALSE(),FALSE())))</f>
        <v/>
      </c>
      <c r="AM389" s="86" t="str">
        <f aca="false">IF(ISBLANK($C389),"",AND($AB389,OR($AC389="",$AD389="",AND(NOT(ISBLANK($M389)),$AE389=""))))</f>
        <v/>
      </c>
      <c r="AN389" s="89" t="str">
        <f aca="false">IF($BD389&lt;&gt;Constants!$B$6,"",IF($AB389,Constants!$B$17*$AD389,Constants!$B$18))</f>
        <v/>
      </c>
      <c r="AO389" s="91" t="str">
        <f aca="false">IF($BD389&lt;&gt;Constants!$B$6,"",Constants!$B$19*IF($AB389,$AC389,0))</f>
        <v/>
      </c>
      <c r="AP389" s="91" t="str">
        <f aca="false">IF($BD389&lt;&gt;Constants!$B$6,"",IF(AND($AB389,ISNUMBER($AE389)),Constants!$B$20*(Constants!$B$21-$AE389),0))</f>
        <v/>
      </c>
      <c r="AQ389" s="91" t="str">
        <f aca="false">IF($BD389&lt;&gt;Constants!$B$6,"",IF($AA389,0,Constants!$B$12)+IF($Z389,0,Constants!$B$13)+IF($Y389,0,Constants!$B$14))</f>
        <v/>
      </c>
      <c r="AR389" s="92" t="str">
        <f aca="false">IF($BD389&lt;&gt;Constants!$B$6,"",Constants!$B$16+SUM($AN389:$AQ389))</f>
        <v/>
      </c>
      <c r="AS389" s="91" t="str">
        <f aca="false">IF($BD389&lt;&gt;Constants!$B$6,"",IF($AB389,$AD389,""))</f>
        <v/>
      </c>
      <c r="AT389" s="93" t="str">
        <f aca="false">IF($BD389&lt;&gt;Constants!$B$6,"",$AO389)</f>
        <v/>
      </c>
      <c r="AU389" s="87" t="str">
        <f aca="false">IF($BD389&lt;&gt;Constants!$B$6,"",IF(OR($BA389&lt;$AR389,AND($BA389=$AR389,OR(AND(ISNUMBER($BB389),OR(NOT(ISNUMBER($AS389)),$BB389&lt;$AS389)),AND(OR(AND($BB389="",$AS389=""),AND(ISNUMBER($BB389),ISNUMBER($AS389),$BB389=$AS389)),$BC389&lt;$AT389)))),"-&gt;","&lt;-"))</f>
        <v/>
      </c>
      <c r="AV389" s="86" t="str">
        <f aca="false">IF(ISBLANK($C389),"",AND($AH389,OR($AI389="",$AJ389="",AND(NOT(ISBLANK($S389)),$AK389=""))))</f>
        <v/>
      </c>
      <c r="AW389" s="89" t="str">
        <f aca="false">IF($BD389&lt;&gt;Constants!$B$6,"",IF($AH389,Constants!$B$17*$AJ389,Constants!$B$18))</f>
        <v/>
      </c>
      <c r="AX389" s="91" t="str">
        <f aca="false">IF($BD389&lt;&gt;Constants!$B$6,"",Constants!$B$19*IF($AH389,$AI389,0))</f>
        <v/>
      </c>
      <c r="AY389" s="91" t="str">
        <f aca="false">IF($BD389&lt;&gt;Constants!$B$6,"",IF(AND($AH389,ISNUMBER($AK389)),Constants!$B$20*(Constants!$B$21-$AK389),0))</f>
        <v/>
      </c>
      <c r="AZ389" s="91" t="str">
        <f aca="false">IF($BD389&lt;&gt;Constants!$B$6,"",IF($AG389,0,Constants!$B$12)+IF($AF389,0,Constants!$B$13)+IF($Y389,0,Constants!$B$14))</f>
        <v/>
      </c>
      <c r="BA389" s="92" t="str">
        <f aca="false">IF($BD389&lt;&gt;Constants!$B$6,"",Constants!$B$16+SUM($AW389:$AZ389))</f>
        <v/>
      </c>
      <c r="BB389" s="91" t="str">
        <f aca="false">IF($BD389&lt;&gt;Constants!$B$6,"",IF($AH389,$AJ389,""))</f>
        <v/>
      </c>
      <c r="BC389" s="93" t="str">
        <f aca="false">IF($BD389&lt;&gt;Constants!$B$6,"",$AX389)</f>
        <v/>
      </c>
      <c r="BD389" s="87" t="str">
        <f aca="false">IF(ISBLANK($C389),"",IF($AL389,Constants!$B$9,IF(COUNTA($E389:$T389)=0,Constants!$B$8,IF(NOT($X389),Constants!$B$7,IF(OR($AM389,$AV389),Constants!$B$10,Constants!$B$6)))))</f>
        <v/>
      </c>
      <c r="BE389" s="87" t="str">
        <f aca="false">IF(ISBLANK($C389),"",IF($BD389&lt;&gt;Constants!$B$6,$BD389,Constants!$B$11))</f>
        <v/>
      </c>
      <c r="BF389" s="91" t="str">
        <f aca="false">IF($BD389&lt;&gt;Constants!$B$6,"",IF($AU389="-&gt;",$BA389,$AR389))</f>
        <v/>
      </c>
      <c r="BG389" s="91" t="str">
        <f aca="false">IF($BD389&lt;&gt;Constants!$B$6,"",IF($W389,0,Constants!$B$15))</f>
        <v/>
      </c>
      <c r="BH389" s="91" t="str">
        <f aca="false">IF(ISBLANK($C389),"",IF($BD389&lt;&gt;Constants!$B$6,$BD389,SUM($BF389:$BG389)))</f>
        <v/>
      </c>
      <c r="BI389" s="87" t="str">
        <f aca="false">IF(ISBLANK($C389),"",IF($BD389&lt;&gt;Constants!$B$6,$BD389,RANK($BH389,$BH$9:$BH$508,1)))</f>
        <v/>
      </c>
      <c r="BJ389" s="91" t="str">
        <f aca="false">IF($BD389&lt;&gt;Constants!$B$6,"",IF($AU389="-&gt;",$BB389,$AS389))</f>
        <v/>
      </c>
      <c r="BK389" s="87" t="str">
        <f aca="false">IF(ISBLANK($C389),"",IF($BD389&lt;&gt;Constants!$B$6,$BD389,IF(ISNUMBER($BJ389),RANK($BJ389,$BJ$9:$BJ$508,1),COUNT($BJ$9:$BJ$508)+1)))</f>
        <v/>
      </c>
      <c r="BL389" s="91" t="str">
        <f aca="false">IF($BD389&lt;&gt;Constants!$B$6,"",IF($AU389="-&gt;",$BC389,$AT389))</f>
        <v/>
      </c>
      <c r="BM389" s="87" t="str">
        <f aca="false">IF(ISBLANK($C389),"",IF($BD389&lt;&gt;Constants!$B$6,$BD389,IF(ISNUMBER($BL389),RANK($BL389,$BL$9:$BL$508,1),COUNT($BL$9:$BL$508)+1)))</f>
        <v/>
      </c>
      <c r="BN389" s="91" t="str">
        <f aca="false">IF($BD389&lt;&gt;Constants!$B$6,"",IF($AU389="-&gt;",$AS389,$BB389))</f>
        <v/>
      </c>
      <c r="BO389" s="87" t="str">
        <f aca="false">IF(ISBLANK($C389),"",IF($BD389&lt;&gt;Constants!$B$6,$BD389,IF(ISNUMBER($BN389),RANK($BN389,$BN$9:$BN$508,1),COUNT($BN$9:$BN$508)+1)))</f>
        <v/>
      </c>
      <c r="BP389" s="91" t="str">
        <f aca="false">IF($BD389&lt;&gt;Constants!$B$6,"",IF($AU389="-&gt;",$AT389,$BC389))</f>
        <v/>
      </c>
      <c r="BQ389" s="87" t="str">
        <f aca="false">IF(ISBLANK($C389),"",IF($BD389&lt;&gt;Constants!$B$6,$BD389,IF(ISNUMBER($BP389),RANK($BP389,$BP$9:$BP$508,1),COUNT($BP$9:$BP$508)+1)))</f>
        <v/>
      </c>
      <c r="BR389" s="87" t="str">
        <f aca="false">IF(ISBLANK($C389),"",IF($BD389&lt;&gt;Constants!$B$6,$BD389,COUNTIFS($BI$9:$BI$508,"&lt;"&amp;$BI389)+COUNTIFS($BI$9:$BI$508,$BI389,$BK$9:$BK$508,"&lt;"&amp;$BK389)+COUNTIFS($BI$9:$BI$508,$BI389,$BK$9:$BK$508,$BK389,$BM$9:$BM$508,"&lt;"&amp;$BM389)+COUNTIFS($BI$9:$BI$508,$BI389,$BK$9:$BK$508,$BK389,$BM$9:$BM$508,$BM389,$BO$9:$BO$508,"&lt;"&amp;$BO389)+COUNTIFS($BI$9:$BI$508,$BI389,$BK$9:$BK$508,$BK389,$BM$9:$BM$508,$BM389,$BO$9:$BO$508,$BO389,$BQ$9:$BQ$508,"&lt;"&amp;$BQ389)+1))</f>
        <v/>
      </c>
      <c r="BS389" s="87" t="str">
        <f aca="false">IF(ISBLANK($C389),"",IF($BD389&lt;&gt;Constants!$B$6,$BD389,$BI389-$BR389))</f>
        <v/>
      </c>
      <c r="BT389" s="94"/>
      <c r="BU389" s="95"/>
      <c r="BV389" s="95" t="str">
        <f aca="false">IF(ISBLANK($C389),"",IF($BD389&lt;&gt;Constants!$B$6,"",IF($AU389="-&gt;",2,1)))</f>
        <v/>
      </c>
      <c r="BW389" s="96" t="str">
        <f aca="false">IF(ISBLANK($C389),"",IF($BD389&lt;&gt;Constants!$B$6,"",IF($AU389="-&gt;",$AW389,$AN389)))</f>
        <v/>
      </c>
      <c r="BX389" s="96" t="str">
        <f aca="false">IF(ISBLANK($C389),"",IF($BD389&lt;&gt;Constants!$B$6,"",IF($AU389="-&gt;",$AX389,$AO389)))</f>
        <v/>
      </c>
      <c r="BY389" s="96" t="str">
        <f aca="false">IF(ISBLANK($C389),"",IF($BD389&lt;&gt;Constants!$B$6,"",IF($AU389="-&gt;",$AY389,$AP389)))</f>
        <v/>
      </c>
      <c r="BZ389" s="96" t="str">
        <f aca="false">IF(ISBLANK($C389),"",IF($BD389&lt;&gt;Constants!$B$6,"",IF($AU389="-&gt;",$AZ389,$AQ389)+$BG389))</f>
        <v/>
      </c>
      <c r="CA389" s="97" t="str">
        <f aca="false">IF(ISBLANK($C389),"",IF($BD389&lt;&gt;Constants!$B$6,$BD389,$BH389))</f>
        <v/>
      </c>
      <c r="CB389" s="98" t="str">
        <f aca="false">IF(ISBLANK($C389),"",$BE389)</f>
        <v/>
      </c>
      <c r="CC389" s="99" t="str">
        <f aca="false">IF(ISBLANK($C389),"",$BS389)</f>
        <v/>
      </c>
      <c r="CD389" s="99" t="str">
        <f aca="false">IF(ISBLANK($C389),"",$BR389)</f>
        <v/>
      </c>
      <c r="CE389" s="100" t="str">
        <f aca="false">IF(ISBLANK($C389),"",IF($CD389=Constants!$B$9,COUNTA($C$9:$C$508)+2,IF($CD389=Constants!$B$8,COUNTA($C$9:$C$508)+1,IF($CD389=Constants!$B$7,COUNTA($C$9:$C$508),$CD389))))</f>
        <v/>
      </c>
      <c r="CF389" s="9"/>
      <c r="CG389" s="101" t="n">
        <f aca="false">IF(OR(ISNUMBER($CD389),$CD389=Constants!$B$9,$CD389=Constants!$B$7,$CD389=Constants!$B$8),1,0)</f>
        <v>0</v>
      </c>
      <c r="CH389" s="101" t="n">
        <v>381</v>
      </c>
      <c r="CI389" s="101" t="str">
        <f aca="false">IF(ISBLANK($C389),"",IF(ISNUMBER($CE389),$CE389+ROW($B389)/1000,""))</f>
        <v/>
      </c>
      <c r="CJ389" s="101" t="str">
        <f aca="false">IF(ISNUMBER($CI389),RANK($CI389,$CI$9:$CI$508,1),"")</f>
        <v/>
      </c>
      <c r="CK389" s="101" t="str">
        <f aca="false">IF(ISBLANK($C389),"",$B389)</f>
        <v/>
      </c>
      <c r="CL389" s="101" t="str">
        <f aca="false">IF(ISBLANK($C389),"",$C389)</f>
        <v/>
      </c>
      <c r="CM389" s="101" t="str">
        <f aca="false">IF(ISBLANK($C389),"",$D389)</f>
        <v/>
      </c>
      <c r="CN389" s="102" t="str">
        <f aca="false">$CB389</f>
        <v/>
      </c>
      <c r="CO389" s="103" t="str">
        <f aca="false">$CA389</f>
        <v/>
      </c>
      <c r="CP389" s="101" t="str">
        <f aca="false">IF(ISBLANK($C389),"",$CD389)</f>
        <v/>
      </c>
      <c r="CQ389" s="104" t="str">
        <f aca="false">IF($CH389&gt;$CG$8,"",VLOOKUP($CH389,$CJ$9:$CP$508,7,FALSE()))</f>
        <v/>
      </c>
      <c r="CR389" s="105" t="str">
        <f aca="false">IF($CH389&gt;$CG$8,"",VLOOKUP($CH389,$CJ$9:$CP$508,2,FALSE()))</f>
        <v/>
      </c>
      <c r="CS389" s="105" t="str">
        <f aca="false">IF($CH389&gt;$CG$8,"",VLOOKUP($CH389,$CJ$9:$CP$508,3,FALSE()))</f>
        <v/>
      </c>
      <c r="CT389" s="105" t="str">
        <f aca="false">IF($CH389&gt;$CG$8,"",VLOOKUP($CH389,$CJ$9:$CP$508,4,FALSE()))</f>
        <v/>
      </c>
      <c r="CU389" s="105" t="str">
        <f aca="false">IF($CH389&gt;$CG$8,"",VLOOKUP($CH389,$CJ$9:$CP$508,5,FALSE()))</f>
        <v/>
      </c>
      <c r="CV389" s="106" t="str">
        <f aca="false">IF($CH389&gt;$CG$8,"",VLOOKUP($CH389,$CJ$9:$CP$508,6,FALSE()))</f>
        <v/>
      </c>
      <c r="CW389" s="71"/>
    </row>
    <row r="390" customFormat="false" ht="15.75" hidden="false" customHeight="false" outlineLevel="0" collapsed="false">
      <c r="A390" s="9"/>
      <c r="B390" s="150"/>
      <c r="C390" s="151"/>
      <c r="D390" s="152"/>
      <c r="E390" s="170"/>
      <c r="F390" s="154"/>
      <c r="G390" s="155"/>
      <c r="H390" s="171"/>
      <c r="I390" s="159"/>
      <c r="J390" s="120"/>
      <c r="K390" s="121"/>
      <c r="L390" s="122"/>
      <c r="M390" s="158"/>
      <c r="N390" s="159"/>
      <c r="O390" s="159"/>
      <c r="P390" s="120"/>
      <c r="Q390" s="122"/>
      <c r="R390" s="122"/>
      <c r="S390" s="158"/>
      <c r="T390" s="159"/>
      <c r="U390" s="126"/>
      <c r="V390" s="127"/>
      <c r="W390" s="127" t="str">
        <f aca="false">IF(ISBLANK($C390),"",IF(E390=Constants!$B$2,TRUE(),IF(E390=Constants!$B$3,FALSE(),TRUE())))</f>
        <v/>
      </c>
      <c r="X390" s="127" t="str">
        <f aca="false">IF(ISBLANK($C390),"",IF(F390=Constants!$B$2,TRUE(),IF(F390=Constants!$B$3,FALSE(),TRUE())))</f>
        <v/>
      </c>
      <c r="Y390" s="127" t="str">
        <f aca="false">IF(ISBLANK($C390),"",IF(G390=Constants!$B$2,TRUE(),IF(G390=Constants!$B$3,FALSE(),TRUE())))</f>
        <v/>
      </c>
      <c r="Z390" s="127" t="str">
        <f aca="false">IF(ISBLANK($C390),"",IF(H390=Constants!$B$2,TRUE(),IF(H390=Constants!$B$3,FALSE(),TRUE())))</f>
        <v/>
      </c>
      <c r="AA390" s="127" t="str">
        <f aca="false">IF(ISBLANK($C390),"",IF(I390=Constants!$B$2,TRUE(),IF(I390=Constants!$B$3,FALSE(),TRUE())))</f>
        <v/>
      </c>
      <c r="AB390" s="127" t="str">
        <f aca="false">IF(ISBLANK($C390),"",IF(J390=Constants!$B$4,TRUE(),IF(J390=Constants!$B$5,FALSE(),COUNTA(K390:M390)&gt;0)))</f>
        <v/>
      </c>
      <c r="AC390" s="128" t="str">
        <f aca="false">IF(ISBLANK($C390),"",IF(ISNUMBER(K390),IF(K390&gt;=0,K390,""),""))</f>
        <v/>
      </c>
      <c r="AD390" s="129" t="str">
        <f aca="false">IF(ISBLANK($C390),"",IF(ISNUMBER(L390),IF(L390&gt;=0,L390,""),""))</f>
        <v/>
      </c>
      <c r="AE390" s="127" t="str">
        <f aca="false">IF(ISBLANK($C390),"",IF(ISNUMBER(M390),IF(M390&gt;=0,MIN(M390,Constants!$B$22),""),""))</f>
        <v/>
      </c>
      <c r="AF390" s="127" t="str">
        <f aca="false">IF(ISBLANK($C390),"",IF(N390=Constants!$B$2,TRUE(),IF(N390=Constants!$B$3,FALSE(),TRUE())))</f>
        <v/>
      </c>
      <c r="AG390" s="127" t="str">
        <f aca="false">IF(ISBLANK($C390),"",IF(O390=Constants!$B$2,TRUE(),IF(O390=Constants!$B$3,FALSE(),TRUE())))</f>
        <v/>
      </c>
      <c r="AH390" s="127" t="str">
        <f aca="false">IF(ISBLANK($C390),"",IF(P390=Constants!$B$4,TRUE(),IF(P390=Constants!$B$5,FALSE(),COUNTA(Q390:S390)&gt;0)))</f>
        <v/>
      </c>
      <c r="AI390" s="128" t="str">
        <f aca="false">IF(ISBLANK($C390),"",IF(ISNUMBER(Q390),IF(Q390&gt;=0,Q390,""),""))</f>
        <v/>
      </c>
      <c r="AJ390" s="129" t="str">
        <f aca="false">IF(ISBLANK($C390),"",IF(ISNUMBER(R390),IF(R390&gt;=0,R390,""),""))</f>
        <v/>
      </c>
      <c r="AK390" s="127" t="str">
        <f aca="false">IF(ISBLANK($C390),"",IF(ISNUMBER(S390),IF(S390&gt;=0,MIN(S390,Constants!$B$22),""),""))</f>
        <v/>
      </c>
      <c r="AL390" s="127" t="str">
        <f aca="false">IF(ISBLANK($C390),"",IF(T390=Constants!$B$2,TRUE(),IF(T390=Constants!$B$3,FALSE(),FALSE())))</f>
        <v/>
      </c>
      <c r="AM390" s="126" t="str">
        <f aca="false">IF(ISBLANK($C390),"",AND($AB390,OR($AC390="",$AD390="",AND(NOT(ISBLANK($M390)),$AE390=""))))</f>
        <v/>
      </c>
      <c r="AN390" s="129" t="str">
        <f aca="false">IF($BD390&lt;&gt;Constants!$B$6,"",IF($AB390,Constants!$B$17*$AD390,Constants!$B$18))</f>
        <v/>
      </c>
      <c r="AO390" s="130" t="str">
        <f aca="false">IF($BD390&lt;&gt;Constants!$B$6,"",Constants!$B$19*IF($AB390,$AC390,0))</f>
        <v/>
      </c>
      <c r="AP390" s="130" t="str">
        <f aca="false">IF($BD390&lt;&gt;Constants!$B$6,"",IF(AND($AB390,ISNUMBER($AE390)),Constants!$B$20*(Constants!$B$21-$AE390),0))</f>
        <v/>
      </c>
      <c r="AQ390" s="130" t="str">
        <f aca="false">IF($BD390&lt;&gt;Constants!$B$6,"",IF($AA390,0,Constants!$B$12)+IF($Z390,0,Constants!$B$13)+IF($Y390,0,Constants!$B$14))</f>
        <v/>
      </c>
      <c r="AR390" s="131" t="str">
        <f aca="false">IF($BD390&lt;&gt;Constants!$B$6,"",Constants!$B$16+SUM($AN390:$AQ390))</f>
        <v/>
      </c>
      <c r="AS390" s="130" t="str">
        <f aca="false">IF($BD390&lt;&gt;Constants!$B$6,"",IF($AB390,$AD390,""))</f>
        <v/>
      </c>
      <c r="AT390" s="132" t="str">
        <f aca="false">IF($BD390&lt;&gt;Constants!$B$6,"",$AO390)</f>
        <v/>
      </c>
      <c r="AU390" s="127" t="str">
        <f aca="false">IF($BD390&lt;&gt;Constants!$B$6,"",IF(OR($BA390&lt;$AR390,AND($BA390=$AR390,OR(AND(ISNUMBER($BB390),OR(NOT(ISNUMBER($AS390)),$BB390&lt;$AS390)),AND(OR(AND($BB390="",$AS390=""),AND(ISNUMBER($BB390),ISNUMBER($AS390),$BB390=$AS390)),$BC390&lt;$AT390)))),"-&gt;","&lt;-"))</f>
        <v/>
      </c>
      <c r="AV390" s="126" t="str">
        <f aca="false">IF(ISBLANK($C390),"",AND($AH390,OR($AI390="",$AJ390="",AND(NOT(ISBLANK($S390)),$AK390=""))))</f>
        <v/>
      </c>
      <c r="AW390" s="129" t="str">
        <f aca="false">IF($BD390&lt;&gt;Constants!$B$6,"",IF($AH390,Constants!$B$17*$AJ390,Constants!$B$18))</f>
        <v/>
      </c>
      <c r="AX390" s="130" t="str">
        <f aca="false">IF($BD390&lt;&gt;Constants!$B$6,"",Constants!$B$19*IF($AH390,$AI390,0))</f>
        <v/>
      </c>
      <c r="AY390" s="130" t="str">
        <f aca="false">IF($BD390&lt;&gt;Constants!$B$6,"",IF(AND($AH390,ISNUMBER($AK390)),Constants!$B$20*(Constants!$B$21-$AK390),0))</f>
        <v/>
      </c>
      <c r="AZ390" s="130" t="str">
        <f aca="false">IF($BD390&lt;&gt;Constants!$B$6,"",IF($AG390,0,Constants!$B$12)+IF($AF390,0,Constants!$B$13)+IF($Y390,0,Constants!$B$14))</f>
        <v/>
      </c>
      <c r="BA390" s="131" t="str">
        <f aca="false">IF($BD390&lt;&gt;Constants!$B$6,"",Constants!$B$16+SUM($AW390:$AZ390))</f>
        <v/>
      </c>
      <c r="BB390" s="130" t="str">
        <f aca="false">IF($BD390&lt;&gt;Constants!$B$6,"",IF($AH390,$AJ390,""))</f>
        <v/>
      </c>
      <c r="BC390" s="132" t="str">
        <f aca="false">IF($BD390&lt;&gt;Constants!$B$6,"",$AX390)</f>
        <v/>
      </c>
      <c r="BD390" s="127" t="str">
        <f aca="false">IF(ISBLANK($C390),"",IF($AL390,Constants!$B$9,IF(COUNTA($E390:$T390)=0,Constants!$B$8,IF(NOT($X390),Constants!$B$7,IF(OR($AM390,$AV390),Constants!$B$10,Constants!$B$6)))))</f>
        <v/>
      </c>
      <c r="BE390" s="127" t="str">
        <f aca="false">IF(ISBLANK($C390),"",IF($BD390&lt;&gt;Constants!$B$6,$BD390,Constants!$B$11))</f>
        <v/>
      </c>
      <c r="BF390" s="130" t="str">
        <f aca="false">IF($BD390&lt;&gt;Constants!$B$6,"",IF($AU390="-&gt;",$BA390,$AR390))</f>
        <v/>
      </c>
      <c r="BG390" s="130" t="str">
        <f aca="false">IF($BD390&lt;&gt;Constants!$B$6,"",IF($W390,0,Constants!$B$15))</f>
        <v/>
      </c>
      <c r="BH390" s="130" t="str">
        <f aca="false">IF(ISBLANK($C390),"",IF($BD390&lt;&gt;Constants!$B$6,$BD390,SUM($BF390:$BG390)))</f>
        <v/>
      </c>
      <c r="BI390" s="127" t="str">
        <f aca="false">IF(ISBLANK($C390),"",IF($BD390&lt;&gt;Constants!$B$6,$BD390,RANK($BH390,$BH$9:$BH$508,1)))</f>
        <v/>
      </c>
      <c r="BJ390" s="130" t="str">
        <f aca="false">IF($BD390&lt;&gt;Constants!$B$6,"",IF($AU390="-&gt;",$BB390,$AS390))</f>
        <v/>
      </c>
      <c r="BK390" s="127" t="str">
        <f aca="false">IF(ISBLANK($C390),"",IF($BD390&lt;&gt;Constants!$B$6,$BD390,IF(ISNUMBER($BJ390),RANK($BJ390,$BJ$9:$BJ$508,1),COUNT($BJ$9:$BJ$508)+1)))</f>
        <v/>
      </c>
      <c r="BL390" s="130" t="str">
        <f aca="false">IF($BD390&lt;&gt;Constants!$B$6,"",IF($AU390="-&gt;",$BC390,$AT390))</f>
        <v/>
      </c>
      <c r="BM390" s="127" t="str">
        <f aca="false">IF(ISBLANK($C390),"",IF($BD390&lt;&gt;Constants!$B$6,$BD390,IF(ISNUMBER($BL390),RANK($BL390,$BL$9:$BL$508,1),COUNT($BL$9:$BL$508)+1)))</f>
        <v/>
      </c>
      <c r="BN390" s="130" t="str">
        <f aca="false">IF($BD390&lt;&gt;Constants!$B$6,"",IF($AU390="-&gt;",$AS390,$BB390))</f>
        <v/>
      </c>
      <c r="BO390" s="127" t="str">
        <f aca="false">IF(ISBLANK($C390),"",IF($BD390&lt;&gt;Constants!$B$6,$BD390,IF(ISNUMBER($BN390),RANK($BN390,$BN$9:$BN$508,1),COUNT($BN$9:$BN$508)+1)))</f>
        <v/>
      </c>
      <c r="BP390" s="130" t="str">
        <f aca="false">IF($BD390&lt;&gt;Constants!$B$6,"",IF($AU390="-&gt;",$AT390,$BC390))</f>
        <v/>
      </c>
      <c r="BQ390" s="127" t="str">
        <f aca="false">IF(ISBLANK($C390),"",IF($BD390&lt;&gt;Constants!$B$6,$BD390,IF(ISNUMBER($BP390),RANK($BP390,$BP$9:$BP$508,1),COUNT($BP$9:$BP$508)+1)))</f>
        <v/>
      </c>
      <c r="BR390" s="127" t="str">
        <f aca="false">IF(ISBLANK($C390),"",IF($BD390&lt;&gt;Constants!$B$6,$BD390,COUNTIFS($BI$9:$BI$508,"&lt;"&amp;$BI390)+COUNTIFS($BI$9:$BI$508,$BI390,$BK$9:$BK$508,"&lt;"&amp;$BK390)+COUNTIFS($BI$9:$BI$508,$BI390,$BK$9:$BK$508,$BK390,$BM$9:$BM$508,"&lt;"&amp;$BM390)+COUNTIFS($BI$9:$BI$508,$BI390,$BK$9:$BK$508,$BK390,$BM$9:$BM$508,$BM390,$BO$9:$BO$508,"&lt;"&amp;$BO390)+COUNTIFS($BI$9:$BI$508,$BI390,$BK$9:$BK$508,$BK390,$BM$9:$BM$508,$BM390,$BO$9:$BO$508,$BO390,$BQ$9:$BQ$508,"&lt;"&amp;$BQ390)+1))</f>
        <v/>
      </c>
      <c r="BS390" s="127" t="str">
        <f aca="false">IF(ISBLANK($C390),"",IF($BD390&lt;&gt;Constants!$B$6,$BD390,$BI390-$BR390))</f>
        <v/>
      </c>
      <c r="BT390" s="133"/>
      <c r="BU390" s="134"/>
      <c r="BV390" s="134" t="str">
        <f aca="false">IF(ISBLANK($C390),"",IF($BD390&lt;&gt;Constants!$B$6,"",IF($AU390="-&gt;",2,1)))</f>
        <v/>
      </c>
      <c r="BW390" s="135" t="str">
        <f aca="false">IF(ISBLANK($C390),"",IF($BD390&lt;&gt;Constants!$B$6,"",IF($AU390="-&gt;",$AW390,$AN390)))</f>
        <v/>
      </c>
      <c r="BX390" s="135" t="str">
        <f aca="false">IF(ISBLANK($C390),"",IF($BD390&lt;&gt;Constants!$B$6,"",IF($AU390="-&gt;",$AX390,$AO390)))</f>
        <v/>
      </c>
      <c r="BY390" s="135" t="str">
        <f aca="false">IF(ISBLANK($C390),"",IF($BD390&lt;&gt;Constants!$B$6,"",IF($AU390="-&gt;",$AY390,$AP390)))</f>
        <v/>
      </c>
      <c r="BZ390" s="135" t="str">
        <f aca="false">IF(ISBLANK($C390),"",IF($BD390&lt;&gt;Constants!$B$6,"",IF($AU390="-&gt;",$AZ390,$AQ390)+$BG390))</f>
        <v/>
      </c>
      <c r="CA390" s="136" t="str">
        <f aca="false">IF(ISBLANK($C390),"",IF($BD390&lt;&gt;Constants!$B$6,$BD390,$BH390))</f>
        <v/>
      </c>
      <c r="CB390" s="137" t="str">
        <f aca="false">IF(ISBLANK($C390),"",$BE390)</f>
        <v/>
      </c>
      <c r="CC390" s="138" t="str">
        <f aca="false">IF(ISBLANK($C390),"",$BS390)</f>
        <v/>
      </c>
      <c r="CD390" s="138" t="str">
        <f aca="false">IF(ISBLANK($C390),"",$BR390)</f>
        <v/>
      </c>
      <c r="CE390" s="139" t="str">
        <f aca="false">IF(ISBLANK($C390),"",IF($CD390=Constants!$B$9,COUNTA($C$9:$C$508)+2,IF($CD390=Constants!$B$8,COUNTA($C$9:$C$508)+1,IF($CD390=Constants!$B$7,COUNTA($C$9:$C$508),$CD390))))</f>
        <v/>
      </c>
      <c r="CF390" s="9"/>
      <c r="CG390" s="140" t="n">
        <f aca="false">IF(OR(ISNUMBER($CD390),$CD390=Constants!$B$9,$CD390=Constants!$B$7,$CD390=Constants!$B$8),1,0)</f>
        <v>0</v>
      </c>
      <c r="CH390" s="140" t="n">
        <v>382</v>
      </c>
      <c r="CI390" s="140" t="str">
        <f aca="false">IF(ISBLANK($C390),"",IF(ISNUMBER($CE390),$CE390+ROW($B390)/1000,""))</f>
        <v/>
      </c>
      <c r="CJ390" s="140" t="str">
        <f aca="false">IF(ISNUMBER($CI390),RANK($CI390,$CI$9:$CI$508,1),"")</f>
        <v/>
      </c>
      <c r="CK390" s="140" t="str">
        <f aca="false">IF(ISBLANK($C390),"",$B390)</f>
        <v/>
      </c>
      <c r="CL390" s="140" t="str">
        <f aca="false">IF(ISBLANK($C390),"",$C390)</f>
        <v/>
      </c>
      <c r="CM390" s="140" t="str">
        <f aca="false">IF(ISBLANK($C390),"",$D390)</f>
        <v/>
      </c>
      <c r="CN390" s="141" t="str">
        <f aca="false">$CB390</f>
        <v/>
      </c>
      <c r="CO390" s="142" t="str">
        <f aca="false">$CA390</f>
        <v/>
      </c>
      <c r="CP390" s="140" t="str">
        <f aca="false">IF(ISBLANK($C390),"",$CD390)</f>
        <v/>
      </c>
      <c r="CQ390" s="143" t="str">
        <f aca="false">IF($CH390&gt;$CG$8,"",VLOOKUP($CH390,$CJ$9:$CP$508,7,FALSE()))</f>
        <v/>
      </c>
      <c r="CR390" s="144" t="str">
        <f aca="false">IF($CH390&gt;$CG$8,"",VLOOKUP($CH390,$CJ$9:$CP$508,2,FALSE()))</f>
        <v/>
      </c>
      <c r="CS390" s="144" t="str">
        <f aca="false">IF($CH390&gt;$CG$8,"",VLOOKUP($CH390,$CJ$9:$CP$508,3,FALSE()))</f>
        <v/>
      </c>
      <c r="CT390" s="144" t="str">
        <f aca="false">IF($CH390&gt;$CG$8,"",VLOOKUP($CH390,$CJ$9:$CP$508,4,FALSE()))</f>
        <v/>
      </c>
      <c r="CU390" s="144" t="str">
        <f aca="false">IF($CH390&gt;$CG$8,"",VLOOKUP($CH390,$CJ$9:$CP$508,5,FALSE()))</f>
        <v/>
      </c>
      <c r="CV390" s="145" t="str">
        <f aca="false">IF($CH390&gt;$CG$8,"",VLOOKUP($CH390,$CJ$9:$CP$508,6,FALSE()))</f>
        <v/>
      </c>
      <c r="CW390" s="71"/>
    </row>
    <row r="391" customFormat="false" ht="15.75" hidden="false" customHeight="false" outlineLevel="0" collapsed="false">
      <c r="A391" s="9"/>
      <c r="B391" s="150"/>
      <c r="C391" s="151"/>
      <c r="D391" s="152"/>
      <c r="E391" s="170"/>
      <c r="F391" s="154"/>
      <c r="G391" s="155"/>
      <c r="H391" s="171"/>
      <c r="I391" s="159"/>
      <c r="J391" s="120"/>
      <c r="K391" s="121"/>
      <c r="L391" s="122"/>
      <c r="M391" s="158"/>
      <c r="N391" s="159"/>
      <c r="O391" s="159"/>
      <c r="P391" s="120"/>
      <c r="Q391" s="122"/>
      <c r="R391" s="122"/>
      <c r="S391" s="158"/>
      <c r="T391" s="159"/>
      <c r="U391" s="126"/>
      <c r="V391" s="127"/>
      <c r="W391" s="127" t="str">
        <f aca="false">IF(ISBLANK($C391),"",IF(E391=Constants!$B$2,TRUE(),IF(E391=Constants!$B$3,FALSE(),TRUE())))</f>
        <v/>
      </c>
      <c r="X391" s="127" t="str">
        <f aca="false">IF(ISBLANK($C391),"",IF(F391=Constants!$B$2,TRUE(),IF(F391=Constants!$B$3,FALSE(),TRUE())))</f>
        <v/>
      </c>
      <c r="Y391" s="127" t="str">
        <f aca="false">IF(ISBLANK($C391),"",IF(G391=Constants!$B$2,TRUE(),IF(G391=Constants!$B$3,FALSE(),TRUE())))</f>
        <v/>
      </c>
      <c r="Z391" s="127" t="str">
        <f aca="false">IF(ISBLANK($C391),"",IF(H391=Constants!$B$2,TRUE(),IF(H391=Constants!$B$3,FALSE(),TRUE())))</f>
        <v/>
      </c>
      <c r="AA391" s="127" t="str">
        <f aca="false">IF(ISBLANK($C391),"",IF(I391=Constants!$B$2,TRUE(),IF(I391=Constants!$B$3,FALSE(),TRUE())))</f>
        <v/>
      </c>
      <c r="AB391" s="127" t="str">
        <f aca="false">IF(ISBLANK($C391),"",IF(J391=Constants!$B$4,TRUE(),IF(J391=Constants!$B$5,FALSE(),COUNTA(K391:M391)&gt;0)))</f>
        <v/>
      </c>
      <c r="AC391" s="128" t="str">
        <f aca="false">IF(ISBLANK($C391),"",IF(ISNUMBER(K391),IF(K391&gt;=0,K391,""),""))</f>
        <v/>
      </c>
      <c r="AD391" s="129" t="str">
        <f aca="false">IF(ISBLANK($C391),"",IF(ISNUMBER(L391),IF(L391&gt;=0,L391,""),""))</f>
        <v/>
      </c>
      <c r="AE391" s="127" t="str">
        <f aca="false">IF(ISBLANK($C391),"",IF(ISNUMBER(M391),IF(M391&gt;=0,MIN(M391,Constants!$B$22),""),""))</f>
        <v/>
      </c>
      <c r="AF391" s="127" t="str">
        <f aca="false">IF(ISBLANK($C391),"",IF(N391=Constants!$B$2,TRUE(),IF(N391=Constants!$B$3,FALSE(),TRUE())))</f>
        <v/>
      </c>
      <c r="AG391" s="127" t="str">
        <f aca="false">IF(ISBLANK($C391),"",IF(O391=Constants!$B$2,TRUE(),IF(O391=Constants!$B$3,FALSE(),TRUE())))</f>
        <v/>
      </c>
      <c r="AH391" s="127" t="str">
        <f aca="false">IF(ISBLANK($C391),"",IF(P391=Constants!$B$4,TRUE(),IF(P391=Constants!$B$5,FALSE(),COUNTA(Q391:S391)&gt;0)))</f>
        <v/>
      </c>
      <c r="AI391" s="128" t="str">
        <f aca="false">IF(ISBLANK($C391),"",IF(ISNUMBER(Q391),IF(Q391&gt;=0,Q391,""),""))</f>
        <v/>
      </c>
      <c r="AJ391" s="129" t="str">
        <f aca="false">IF(ISBLANK($C391),"",IF(ISNUMBER(R391),IF(R391&gt;=0,R391,""),""))</f>
        <v/>
      </c>
      <c r="AK391" s="127" t="str">
        <f aca="false">IF(ISBLANK($C391),"",IF(ISNUMBER(S391),IF(S391&gt;=0,MIN(S391,Constants!$B$22),""),""))</f>
        <v/>
      </c>
      <c r="AL391" s="127" t="str">
        <f aca="false">IF(ISBLANK($C391),"",IF(T391=Constants!$B$2,TRUE(),IF(T391=Constants!$B$3,FALSE(),FALSE())))</f>
        <v/>
      </c>
      <c r="AM391" s="126" t="str">
        <f aca="false">IF(ISBLANK($C391),"",AND($AB391,OR($AC391="",$AD391="",AND(NOT(ISBLANK($M391)),$AE391=""))))</f>
        <v/>
      </c>
      <c r="AN391" s="129" t="str">
        <f aca="false">IF($BD391&lt;&gt;Constants!$B$6,"",IF($AB391,Constants!$B$17*$AD391,Constants!$B$18))</f>
        <v/>
      </c>
      <c r="AO391" s="130" t="str">
        <f aca="false">IF($BD391&lt;&gt;Constants!$B$6,"",Constants!$B$19*IF($AB391,$AC391,0))</f>
        <v/>
      </c>
      <c r="AP391" s="130" t="str">
        <f aca="false">IF($BD391&lt;&gt;Constants!$B$6,"",IF(AND($AB391,ISNUMBER($AE391)),Constants!$B$20*(Constants!$B$21-$AE391),0))</f>
        <v/>
      </c>
      <c r="AQ391" s="130" t="str">
        <f aca="false">IF($BD391&lt;&gt;Constants!$B$6,"",IF($AA391,0,Constants!$B$12)+IF($Z391,0,Constants!$B$13)+IF($Y391,0,Constants!$B$14))</f>
        <v/>
      </c>
      <c r="AR391" s="131" t="str">
        <f aca="false">IF($BD391&lt;&gt;Constants!$B$6,"",Constants!$B$16+SUM($AN391:$AQ391))</f>
        <v/>
      </c>
      <c r="AS391" s="130" t="str">
        <f aca="false">IF($BD391&lt;&gt;Constants!$B$6,"",IF($AB391,$AD391,""))</f>
        <v/>
      </c>
      <c r="AT391" s="132" t="str">
        <f aca="false">IF($BD391&lt;&gt;Constants!$B$6,"",$AO391)</f>
        <v/>
      </c>
      <c r="AU391" s="127" t="str">
        <f aca="false">IF($BD391&lt;&gt;Constants!$B$6,"",IF(OR($BA391&lt;$AR391,AND($BA391=$AR391,OR(AND(ISNUMBER($BB391),OR(NOT(ISNUMBER($AS391)),$BB391&lt;$AS391)),AND(OR(AND($BB391="",$AS391=""),AND(ISNUMBER($BB391),ISNUMBER($AS391),$BB391=$AS391)),$BC391&lt;$AT391)))),"-&gt;","&lt;-"))</f>
        <v/>
      </c>
      <c r="AV391" s="126" t="str">
        <f aca="false">IF(ISBLANK($C391),"",AND($AH391,OR($AI391="",$AJ391="",AND(NOT(ISBLANK($S391)),$AK391=""))))</f>
        <v/>
      </c>
      <c r="AW391" s="129" t="str">
        <f aca="false">IF($BD391&lt;&gt;Constants!$B$6,"",IF($AH391,Constants!$B$17*$AJ391,Constants!$B$18))</f>
        <v/>
      </c>
      <c r="AX391" s="130" t="str">
        <f aca="false">IF($BD391&lt;&gt;Constants!$B$6,"",Constants!$B$19*IF($AH391,$AI391,0))</f>
        <v/>
      </c>
      <c r="AY391" s="130" t="str">
        <f aca="false">IF($BD391&lt;&gt;Constants!$B$6,"",IF(AND($AH391,ISNUMBER($AK391)),Constants!$B$20*(Constants!$B$21-$AK391),0))</f>
        <v/>
      </c>
      <c r="AZ391" s="130" t="str">
        <f aca="false">IF($BD391&lt;&gt;Constants!$B$6,"",IF($AG391,0,Constants!$B$12)+IF($AF391,0,Constants!$B$13)+IF($Y391,0,Constants!$B$14))</f>
        <v/>
      </c>
      <c r="BA391" s="131" t="str">
        <f aca="false">IF($BD391&lt;&gt;Constants!$B$6,"",Constants!$B$16+SUM($AW391:$AZ391))</f>
        <v/>
      </c>
      <c r="BB391" s="130" t="str">
        <f aca="false">IF($BD391&lt;&gt;Constants!$B$6,"",IF($AH391,$AJ391,""))</f>
        <v/>
      </c>
      <c r="BC391" s="132" t="str">
        <f aca="false">IF($BD391&lt;&gt;Constants!$B$6,"",$AX391)</f>
        <v/>
      </c>
      <c r="BD391" s="127" t="str">
        <f aca="false">IF(ISBLANK($C391),"",IF($AL391,Constants!$B$9,IF(COUNTA($E391:$T391)=0,Constants!$B$8,IF(NOT($X391),Constants!$B$7,IF(OR($AM391,$AV391),Constants!$B$10,Constants!$B$6)))))</f>
        <v/>
      </c>
      <c r="BE391" s="127" t="str">
        <f aca="false">IF(ISBLANK($C391),"",IF($BD391&lt;&gt;Constants!$B$6,$BD391,Constants!$B$11))</f>
        <v/>
      </c>
      <c r="BF391" s="130" t="str">
        <f aca="false">IF($BD391&lt;&gt;Constants!$B$6,"",IF($AU391="-&gt;",$BA391,$AR391))</f>
        <v/>
      </c>
      <c r="BG391" s="130" t="str">
        <f aca="false">IF($BD391&lt;&gt;Constants!$B$6,"",IF($W391,0,Constants!$B$15))</f>
        <v/>
      </c>
      <c r="BH391" s="130" t="str">
        <f aca="false">IF(ISBLANK($C391),"",IF($BD391&lt;&gt;Constants!$B$6,$BD391,SUM($BF391:$BG391)))</f>
        <v/>
      </c>
      <c r="BI391" s="127" t="str">
        <f aca="false">IF(ISBLANK($C391),"",IF($BD391&lt;&gt;Constants!$B$6,$BD391,RANK($BH391,$BH$9:$BH$508,1)))</f>
        <v/>
      </c>
      <c r="BJ391" s="130" t="str">
        <f aca="false">IF($BD391&lt;&gt;Constants!$B$6,"",IF($AU391="-&gt;",$BB391,$AS391))</f>
        <v/>
      </c>
      <c r="BK391" s="127" t="str">
        <f aca="false">IF(ISBLANK($C391),"",IF($BD391&lt;&gt;Constants!$B$6,$BD391,IF(ISNUMBER($BJ391),RANK($BJ391,$BJ$9:$BJ$508,1),COUNT($BJ$9:$BJ$508)+1)))</f>
        <v/>
      </c>
      <c r="BL391" s="130" t="str">
        <f aca="false">IF($BD391&lt;&gt;Constants!$B$6,"",IF($AU391="-&gt;",$BC391,$AT391))</f>
        <v/>
      </c>
      <c r="BM391" s="127" t="str">
        <f aca="false">IF(ISBLANK($C391),"",IF($BD391&lt;&gt;Constants!$B$6,$BD391,IF(ISNUMBER($BL391),RANK($BL391,$BL$9:$BL$508,1),COUNT($BL$9:$BL$508)+1)))</f>
        <v/>
      </c>
      <c r="BN391" s="130" t="str">
        <f aca="false">IF($BD391&lt;&gt;Constants!$B$6,"",IF($AU391="-&gt;",$AS391,$BB391))</f>
        <v/>
      </c>
      <c r="BO391" s="127" t="str">
        <f aca="false">IF(ISBLANK($C391),"",IF($BD391&lt;&gt;Constants!$B$6,$BD391,IF(ISNUMBER($BN391),RANK($BN391,$BN$9:$BN$508,1),COUNT($BN$9:$BN$508)+1)))</f>
        <v/>
      </c>
      <c r="BP391" s="130" t="str">
        <f aca="false">IF($BD391&lt;&gt;Constants!$B$6,"",IF($AU391="-&gt;",$AT391,$BC391))</f>
        <v/>
      </c>
      <c r="BQ391" s="127" t="str">
        <f aca="false">IF(ISBLANK($C391),"",IF($BD391&lt;&gt;Constants!$B$6,$BD391,IF(ISNUMBER($BP391),RANK($BP391,$BP$9:$BP$508,1),COUNT($BP$9:$BP$508)+1)))</f>
        <v/>
      </c>
      <c r="BR391" s="127" t="str">
        <f aca="false">IF(ISBLANK($C391),"",IF($BD391&lt;&gt;Constants!$B$6,$BD391,COUNTIFS($BI$9:$BI$508,"&lt;"&amp;$BI391)+COUNTIFS($BI$9:$BI$508,$BI391,$BK$9:$BK$508,"&lt;"&amp;$BK391)+COUNTIFS($BI$9:$BI$508,$BI391,$BK$9:$BK$508,$BK391,$BM$9:$BM$508,"&lt;"&amp;$BM391)+COUNTIFS($BI$9:$BI$508,$BI391,$BK$9:$BK$508,$BK391,$BM$9:$BM$508,$BM391,$BO$9:$BO$508,"&lt;"&amp;$BO391)+COUNTIFS($BI$9:$BI$508,$BI391,$BK$9:$BK$508,$BK391,$BM$9:$BM$508,$BM391,$BO$9:$BO$508,$BO391,$BQ$9:$BQ$508,"&lt;"&amp;$BQ391)+1))</f>
        <v/>
      </c>
      <c r="BS391" s="127" t="str">
        <f aca="false">IF(ISBLANK($C391),"",IF($BD391&lt;&gt;Constants!$B$6,$BD391,$BI391-$BR391))</f>
        <v/>
      </c>
      <c r="BT391" s="133"/>
      <c r="BU391" s="134"/>
      <c r="BV391" s="134" t="str">
        <f aca="false">IF(ISBLANK($C391),"",IF($BD391&lt;&gt;Constants!$B$6,"",IF($AU391="-&gt;",2,1)))</f>
        <v/>
      </c>
      <c r="BW391" s="135" t="str">
        <f aca="false">IF(ISBLANK($C391),"",IF($BD391&lt;&gt;Constants!$B$6,"",IF($AU391="-&gt;",$AW391,$AN391)))</f>
        <v/>
      </c>
      <c r="BX391" s="135" t="str">
        <f aca="false">IF(ISBLANK($C391),"",IF($BD391&lt;&gt;Constants!$B$6,"",IF($AU391="-&gt;",$AX391,$AO391)))</f>
        <v/>
      </c>
      <c r="BY391" s="135" t="str">
        <f aca="false">IF(ISBLANK($C391),"",IF($BD391&lt;&gt;Constants!$B$6,"",IF($AU391="-&gt;",$AY391,$AP391)))</f>
        <v/>
      </c>
      <c r="BZ391" s="135" t="str">
        <f aca="false">IF(ISBLANK($C391),"",IF($BD391&lt;&gt;Constants!$B$6,"",IF($AU391="-&gt;",$AZ391,$AQ391)+$BG391))</f>
        <v/>
      </c>
      <c r="CA391" s="136" t="str">
        <f aca="false">IF(ISBLANK($C391),"",IF($BD391&lt;&gt;Constants!$B$6,$BD391,$BH391))</f>
        <v/>
      </c>
      <c r="CB391" s="137" t="str">
        <f aca="false">IF(ISBLANK($C391),"",$BE391)</f>
        <v/>
      </c>
      <c r="CC391" s="138" t="str">
        <f aca="false">IF(ISBLANK($C391),"",$BS391)</f>
        <v/>
      </c>
      <c r="CD391" s="138" t="str">
        <f aca="false">IF(ISBLANK($C391),"",$BR391)</f>
        <v/>
      </c>
      <c r="CE391" s="139" t="str">
        <f aca="false">IF(ISBLANK($C391),"",IF($CD391=Constants!$B$9,COUNTA($C$9:$C$508)+2,IF($CD391=Constants!$B$8,COUNTA($C$9:$C$508)+1,IF($CD391=Constants!$B$7,COUNTA($C$9:$C$508),$CD391))))</f>
        <v/>
      </c>
      <c r="CF391" s="9"/>
      <c r="CG391" s="140" t="n">
        <f aca="false">IF(OR(ISNUMBER($CD391),$CD391=Constants!$B$9,$CD391=Constants!$B$7,$CD391=Constants!$B$8),1,0)</f>
        <v>0</v>
      </c>
      <c r="CH391" s="140" t="n">
        <v>383</v>
      </c>
      <c r="CI391" s="140" t="str">
        <f aca="false">IF(ISBLANK($C391),"",IF(ISNUMBER($CE391),$CE391+ROW($B391)/1000,""))</f>
        <v/>
      </c>
      <c r="CJ391" s="140" t="str">
        <f aca="false">IF(ISNUMBER($CI391),RANK($CI391,$CI$9:$CI$508,1),"")</f>
        <v/>
      </c>
      <c r="CK391" s="140" t="str">
        <f aca="false">IF(ISBLANK($C391),"",$B391)</f>
        <v/>
      </c>
      <c r="CL391" s="140" t="str">
        <f aca="false">IF(ISBLANK($C391),"",$C391)</f>
        <v/>
      </c>
      <c r="CM391" s="140" t="str">
        <f aca="false">IF(ISBLANK($C391),"",$D391)</f>
        <v/>
      </c>
      <c r="CN391" s="141" t="str">
        <f aca="false">$CB391</f>
        <v/>
      </c>
      <c r="CO391" s="142" t="str">
        <f aca="false">$CA391</f>
        <v/>
      </c>
      <c r="CP391" s="140" t="str">
        <f aca="false">IF(ISBLANK($C391),"",$CD391)</f>
        <v/>
      </c>
      <c r="CQ391" s="143" t="str">
        <f aca="false">IF($CH391&gt;$CG$8,"",VLOOKUP($CH391,$CJ$9:$CP$508,7,FALSE()))</f>
        <v/>
      </c>
      <c r="CR391" s="144" t="str">
        <f aca="false">IF($CH391&gt;$CG$8,"",VLOOKUP($CH391,$CJ$9:$CP$508,2,FALSE()))</f>
        <v/>
      </c>
      <c r="CS391" s="144" t="str">
        <f aca="false">IF($CH391&gt;$CG$8,"",VLOOKUP($CH391,$CJ$9:$CP$508,3,FALSE()))</f>
        <v/>
      </c>
      <c r="CT391" s="144" t="str">
        <f aca="false">IF($CH391&gt;$CG$8,"",VLOOKUP($CH391,$CJ$9:$CP$508,4,FALSE()))</f>
        <v/>
      </c>
      <c r="CU391" s="144" t="str">
        <f aca="false">IF($CH391&gt;$CG$8,"",VLOOKUP($CH391,$CJ$9:$CP$508,5,FALSE()))</f>
        <v/>
      </c>
      <c r="CV391" s="145" t="str">
        <f aca="false">IF($CH391&gt;$CG$8,"",VLOOKUP($CH391,$CJ$9:$CP$508,6,FALSE()))</f>
        <v/>
      </c>
      <c r="CW391" s="71"/>
    </row>
    <row r="392" customFormat="false" ht="15.75" hidden="false" customHeight="false" outlineLevel="0" collapsed="false">
      <c r="A392" s="9"/>
      <c r="B392" s="150"/>
      <c r="C392" s="151"/>
      <c r="D392" s="152"/>
      <c r="E392" s="170"/>
      <c r="F392" s="154"/>
      <c r="G392" s="155"/>
      <c r="H392" s="171"/>
      <c r="I392" s="159"/>
      <c r="J392" s="120"/>
      <c r="K392" s="121"/>
      <c r="L392" s="122"/>
      <c r="M392" s="158"/>
      <c r="N392" s="159"/>
      <c r="O392" s="159"/>
      <c r="P392" s="120"/>
      <c r="Q392" s="122"/>
      <c r="R392" s="122"/>
      <c r="S392" s="158"/>
      <c r="T392" s="159"/>
      <c r="U392" s="126"/>
      <c r="V392" s="127"/>
      <c r="W392" s="127" t="str">
        <f aca="false">IF(ISBLANK($C392),"",IF(E392=Constants!$B$2,TRUE(),IF(E392=Constants!$B$3,FALSE(),TRUE())))</f>
        <v/>
      </c>
      <c r="X392" s="127" t="str">
        <f aca="false">IF(ISBLANK($C392),"",IF(F392=Constants!$B$2,TRUE(),IF(F392=Constants!$B$3,FALSE(),TRUE())))</f>
        <v/>
      </c>
      <c r="Y392" s="127" t="str">
        <f aca="false">IF(ISBLANK($C392),"",IF(G392=Constants!$B$2,TRUE(),IF(G392=Constants!$B$3,FALSE(),TRUE())))</f>
        <v/>
      </c>
      <c r="Z392" s="127" t="str">
        <f aca="false">IF(ISBLANK($C392),"",IF(H392=Constants!$B$2,TRUE(),IF(H392=Constants!$B$3,FALSE(),TRUE())))</f>
        <v/>
      </c>
      <c r="AA392" s="127" t="str">
        <f aca="false">IF(ISBLANK($C392),"",IF(I392=Constants!$B$2,TRUE(),IF(I392=Constants!$B$3,FALSE(),TRUE())))</f>
        <v/>
      </c>
      <c r="AB392" s="127" t="str">
        <f aca="false">IF(ISBLANK($C392),"",IF(J392=Constants!$B$4,TRUE(),IF(J392=Constants!$B$5,FALSE(),COUNTA(K392:M392)&gt;0)))</f>
        <v/>
      </c>
      <c r="AC392" s="128" t="str">
        <f aca="false">IF(ISBLANK($C392),"",IF(ISNUMBER(K392),IF(K392&gt;=0,K392,""),""))</f>
        <v/>
      </c>
      <c r="AD392" s="129" t="str">
        <f aca="false">IF(ISBLANK($C392),"",IF(ISNUMBER(L392),IF(L392&gt;=0,L392,""),""))</f>
        <v/>
      </c>
      <c r="AE392" s="127" t="str">
        <f aca="false">IF(ISBLANK($C392),"",IF(ISNUMBER(M392),IF(M392&gt;=0,MIN(M392,Constants!$B$22),""),""))</f>
        <v/>
      </c>
      <c r="AF392" s="127" t="str">
        <f aca="false">IF(ISBLANK($C392),"",IF(N392=Constants!$B$2,TRUE(),IF(N392=Constants!$B$3,FALSE(),TRUE())))</f>
        <v/>
      </c>
      <c r="AG392" s="127" t="str">
        <f aca="false">IF(ISBLANK($C392),"",IF(O392=Constants!$B$2,TRUE(),IF(O392=Constants!$B$3,FALSE(),TRUE())))</f>
        <v/>
      </c>
      <c r="AH392" s="127" t="str">
        <f aca="false">IF(ISBLANK($C392),"",IF(P392=Constants!$B$4,TRUE(),IF(P392=Constants!$B$5,FALSE(),COUNTA(Q392:S392)&gt;0)))</f>
        <v/>
      </c>
      <c r="AI392" s="128" t="str">
        <f aca="false">IF(ISBLANK($C392),"",IF(ISNUMBER(Q392),IF(Q392&gt;=0,Q392,""),""))</f>
        <v/>
      </c>
      <c r="AJ392" s="129" t="str">
        <f aca="false">IF(ISBLANK($C392),"",IF(ISNUMBER(R392),IF(R392&gt;=0,R392,""),""))</f>
        <v/>
      </c>
      <c r="AK392" s="127" t="str">
        <f aca="false">IF(ISBLANK($C392),"",IF(ISNUMBER(S392),IF(S392&gt;=0,MIN(S392,Constants!$B$22),""),""))</f>
        <v/>
      </c>
      <c r="AL392" s="127" t="str">
        <f aca="false">IF(ISBLANK($C392),"",IF(T392=Constants!$B$2,TRUE(),IF(T392=Constants!$B$3,FALSE(),FALSE())))</f>
        <v/>
      </c>
      <c r="AM392" s="126" t="str">
        <f aca="false">IF(ISBLANK($C392),"",AND($AB392,OR($AC392="",$AD392="",AND(NOT(ISBLANK($M392)),$AE392=""))))</f>
        <v/>
      </c>
      <c r="AN392" s="129" t="str">
        <f aca="false">IF($BD392&lt;&gt;Constants!$B$6,"",IF($AB392,Constants!$B$17*$AD392,Constants!$B$18))</f>
        <v/>
      </c>
      <c r="AO392" s="130" t="str">
        <f aca="false">IF($BD392&lt;&gt;Constants!$B$6,"",Constants!$B$19*IF($AB392,$AC392,0))</f>
        <v/>
      </c>
      <c r="AP392" s="130" t="str">
        <f aca="false">IF($BD392&lt;&gt;Constants!$B$6,"",IF(AND($AB392,ISNUMBER($AE392)),Constants!$B$20*(Constants!$B$21-$AE392),0))</f>
        <v/>
      </c>
      <c r="AQ392" s="130" t="str">
        <f aca="false">IF($BD392&lt;&gt;Constants!$B$6,"",IF($AA392,0,Constants!$B$12)+IF($Z392,0,Constants!$B$13)+IF($Y392,0,Constants!$B$14))</f>
        <v/>
      </c>
      <c r="AR392" s="131" t="str">
        <f aca="false">IF($BD392&lt;&gt;Constants!$B$6,"",Constants!$B$16+SUM($AN392:$AQ392))</f>
        <v/>
      </c>
      <c r="AS392" s="130" t="str">
        <f aca="false">IF($BD392&lt;&gt;Constants!$B$6,"",IF($AB392,$AD392,""))</f>
        <v/>
      </c>
      <c r="AT392" s="132" t="str">
        <f aca="false">IF($BD392&lt;&gt;Constants!$B$6,"",$AO392)</f>
        <v/>
      </c>
      <c r="AU392" s="127" t="str">
        <f aca="false">IF($BD392&lt;&gt;Constants!$B$6,"",IF(OR($BA392&lt;$AR392,AND($BA392=$AR392,OR(AND(ISNUMBER($BB392),OR(NOT(ISNUMBER($AS392)),$BB392&lt;$AS392)),AND(OR(AND($BB392="",$AS392=""),AND(ISNUMBER($BB392),ISNUMBER($AS392),$BB392=$AS392)),$BC392&lt;$AT392)))),"-&gt;","&lt;-"))</f>
        <v/>
      </c>
      <c r="AV392" s="126" t="str">
        <f aca="false">IF(ISBLANK($C392),"",AND($AH392,OR($AI392="",$AJ392="",AND(NOT(ISBLANK($S392)),$AK392=""))))</f>
        <v/>
      </c>
      <c r="AW392" s="129" t="str">
        <f aca="false">IF($BD392&lt;&gt;Constants!$B$6,"",IF($AH392,Constants!$B$17*$AJ392,Constants!$B$18))</f>
        <v/>
      </c>
      <c r="AX392" s="130" t="str">
        <f aca="false">IF($BD392&lt;&gt;Constants!$B$6,"",Constants!$B$19*IF($AH392,$AI392,0))</f>
        <v/>
      </c>
      <c r="AY392" s="130" t="str">
        <f aca="false">IF($BD392&lt;&gt;Constants!$B$6,"",IF(AND($AH392,ISNUMBER($AK392)),Constants!$B$20*(Constants!$B$21-$AK392),0))</f>
        <v/>
      </c>
      <c r="AZ392" s="130" t="str">
        <f aca="false">IF($BD392&lt;&gt;Constants!$B$6,"",IF($AG392,0,Constants!$B$12)+IF($AF392,0,Constants!$B$13)+IF($Y392,0,Constants!$B$14))</f>
        <v/>
      </c>
      <c r="BA392" s="131" t="str">
        <f aca="false">IF($BD392&lt;&gt;Constants!$B$6,"",Constants!$B$16+SUM($AW392:$AZ392))</f>
        <v/>
      </c>
      <c r="BB392" s="130" t="str">
        <f aca="false">IF($BD392&lt;&gt;Constants!$B$6,"",IF($AH392,$AJ392,""))</f>
        <v/>
      </c>
      <c r="BC392" s="132" t="str">
        <f aca="false">IF($BD392&lt;&gt;Constants!$B$6,"",$AX392)</f>
        <v/>
      </c>
      <c r="BD392" s="127" t="str">
        <f aca="false">IF(ISBLANK($C392),"",IF($AL392,Constants!$B$9,IF(COUNTA($E392:$T392)=0,Constants!$B$8,IF(NOT($X392),Constants!$B$7,IF(OR($AM392,$AV392),Constants!$B$10,Constants!$B$6)))))</f>
        <v/>
      </c>
      <c r="BE392" s="127" t="str">
        <f aca="false">IF(ISBLANK($C392),"",IF($BD392&lt;&gt;Constants!$B$6,$BD392,Constants!$B$11))</f>
        <v/>
      </c>
      <c r="BF392" s="130" t="str">
        <f aca="false">IF($BD392&lt;&gt;Constants!$B$6,"",IF($AU392="-&gt;",$BA392,$AR392))</f>
        <v/>
      </c>
      <c r="BG392" s="130" t="str">
        <f aca="false">IF($BD392&lt;&gt;Constants!$B$6,"",IF($W392,0,Constants!$B$15))</f>
        <v/>
      </c>
      <c r="BH392" s="130" t="str">
        <f aca="false">IF(ISBLANK($C392),"",IF($BD392&lt;&gt;Constants!$B$6,$BD392,SUM($BF392:$BG392)))</f>
        <v/>
      </c>
      <c r="BI392" s="127" t="str">
        <f aca="false">IF(ISBLANK($C392),"",IF($BD392&lt;&gt;Constants!$B$6,$BD392,RANK($BH392,$BH$9:$BH$508,1)))</f>
        <v/>
      </c>
      <c r="BJ392" s="130" t="str">
        <f aca="false">IF($BD392&lt;&gt;Constants!$B$6,"",IF($AU392="-&gt;",$BB392,$AS392))</f>
        <v/>
      </c>
      <c r="BK392" s="127" t="str">
        <f aca="false">IF(ISBLANK($C392),"",IF($BD392&lt;&gt;Constants!$B$6,$BD392,IF(ISNUMBER($BJ392),RANK($BJ392,$BJ$9:$BJ$508,1),COUNT($BJ$9:$BJ$508)+1)))</f>
        <v/>
      </c>
      <c r="BL392" s="130" t="str">
        <f aca="false">IF($BD392&lt;&gt;Constants!$B$6,"",IF($AU392="-&gt;",$BC392,$AT392))</f>
        <v/>
      </c>
      <c r="BM392" s="127" t="str">
        <f aca="false">IF(ISBLANK($C392),"",IF($BD392&lt;&gt;Constants!$B$6,$BD392,IF(ISNUMBER($BL392),RANK($BL392,$BL$9:$BL$508,1),COUNT($BL$9:$BL$508)+1)))</f>
        <v/>
      </c>
      <c r="BN392" s="130" t="str">
        <f aca="false">IF($BD392&lt;&gt;Constants!$B$6,"",IF($AU392="-&gt;",$AS392,$BB392))</f>
        <v/>
      </c>
      <c r="BO392" s="127" t="str">
        <f aca="false">IF(ISBLANK($C392),"",IF($BD392&lt;&gt;Constants!$B$6,$BD392,IF(ISNUMBER($BN392),RANK($BN392,$BN$9:$BN$508,1),COUNT($BN$9:$BN$508)+1)))</f>
        <v/>
      </c>
      <c r="BP392" s="130" t="str">
        <f aca="false">IF($BD392&lt;&gt;Constants!$B$6,"",IF($AU392="-&gt;",$AT392,$BC392))</f>
        <v/>
      </c>
      <c r="BQ392" s="127" t="str">
        <f aca="false">IF(ISBLANK($C392),"",IF($BD392&lt;&gt;Constants!$B$6,$BD392,IF(ISNUMBER($BP392),RANK($BP392,$BP$9:$BP$508,1),COUNT($BP$9:$BP$508)+1)))</f>
        <v/>
      </c>
      <c r="BR392" s="127" t="str">
        <f aca="false">IF(ISBLANK($C392),"",IF($BD392&lt;&gt;Constants!$B$6,$BD392,COUNTIFS($BI$9:$BI$508,"&lt;"&amp;$BI392)+COUNTIFS($BI$9:$BI$508,$BI392,$BK$9:$BK$508,"&lt;"&amp;$BK392)+COUNTIFS($BI$9:$BI$508,$BI392,$BK$9:$BK$508,$BK392,$BM$9:$BM$508,"&lt;"&amp;$BM392)+COUNTIFS($BI$9:$BI$508,$BI392,$BK$9:$BK$508,$BK392,$BM$9:$BM$508,$BM392,$BO$9:$BO$508,"&lt;"&amp;$BO392)+COUNTIFS($BI$9:$BI$508,$BI392,$BK$9:$BK$508,$BK392,$BM$9:$BM$508,$BM392,$BO$9:$BO$508,$BO392,$BQ$9:$BQ$508,"&lt;"&amp;$BQ392)+1))</f>
        <v/>
      </c>
      <c r="BS392" s="127" t="str">
        <f aca="false">IF(ISBLANK($C392),"",IF($BD392&lt;&gt;Constants!$B$6,$BD392,$BI392-$BR392))</f>
        <v/>
      </c>
      <c r="BT392" s="133"/>
      <c r="BU392" s="134"/>
      <c r="BV392" s="134" t="str">
        <f aca="false">IF(ISBLANK($C392),"",IF($BD392&lt;&gt;Constants!$B$6,"",IF($AU392="-&gt;",2,1)))</f>
        <v/>
      </c>
      <c r="BW392" s="135" t="str">
        <f aca="false">IF(ISBLANK($C392),"",IF($BD392&lt;&gt;Constants!$B$6,"",IF($AU392="-&gt;",$AW392,$AN392)))</f>
        <v/>
      </c>
      <c r="BX392" s="135" t="str">
        <f aca="false">IF(ISBLANK($C392),"",IF($BD392&lt;&gt;Constants!$B$6,"",IF($AU392="-&gt;",$AX392,$AO392)))</f>
        <v/>
      </c>
      <c r="BY392" s="135" t="str">
        <f aca="false">IF(ISBLANK($C392),"",IF($BD392&lt;&gt;Constants!$B$6,"",IF($AU392="-&gt;",$AY392,$AP392)))</f>
        <v/>
      </c>
      <c r="BZ392" s="135" t="str">
        <f aca="false">IF(ISBLANK($C392),"",IF($BD392&lt;&gt;Constants!$B$6,"",IF($AU392="-&gt;",$AZ392,$AQ392)+$BG392))</f>
        <v/>
      </c>
      <c r="CA392" s="136" t="str">
        <f aca="false">IF(ISBLANK($C392),"",IF($BD392&lt;&gt;Constants!$B$6,$BD392,$BH392))</f>
        <v/>
      </c>
      <c r="CB392" s="137" t="str">
        <f aca="false">IF(ISBLANK($C392),"",$BE392)</f>
        <v/>
      </c>
      <c r="CC392" s="138" t="str">
        <f aca="false">IF(ISBLANK($C392),"",$BS392)</f>
        <v/>
      </c>
      <c r="CD392" s="138" t="str">
        <f aca="false">IF(ISBLANK($C392),"",$BR392)</f>
        <v/>
      </c>
      <c r="CE392" s="139" t="str">
        <f aca="false">IF(ISBLANK($C392),"",IF($CD392=Constants!$B$9,COUNTA($C$9:$C$508)+2,IF($CD392=Constants!$B$8,COUNTA($C$9:$C$508)+1,IF($CD392=Constants!$B$7,COUNTA($C$9:$C$508),$CD392))))</f>
        <v/>
      </c>
      <c r="CF392" s="9"/>
      <c r="CG392" s="140" t="n">
        <f aca="false">IF(OR(ISNUMBER($CD392),$CD392=Constants!$B$9,$CD392=Constants!$B$7,$CD392=Constants!$B$8),1,0)</f>
        <v>0</v>
      </c>
      <c r="CH392" s="140" t="n">
        <v>384</v>
      </c>
      <c r="CI392" s="140" t="str">
        <f aca="false">IF(ISBLANK($C392),"",IF(ISNUMBER($CE392),$CE392+ROW($B392)/1000,""))</f>
        <v/>
      </c>
      <c r="CJ392" s="140" t="str">
        <f aca="false">IF(ISNUMBER($CI392),RANK($CI392,$CI$9:$CI$508,1),"")</f>
        <v/>
      </c>
      <c r="CK392" s="140" t="str">
        <f aca="false">IF(ISBLANK($C392),"",$B392)</f>
        <v/>
      </c>
      <c r="CL392" s="140" t="str">
        <f aca="false">IF(ISBLANK($C392),"",$C392)</f>
        <v/>
      </c>
      <c r="CM392" s="140" t="str">
        <f aca="false">IF(ISBLANK($C392),"",$D392)</f>
        <v/>
      </c>
      <c r="CN392" s="141" t="str">
        <f aca="false">$CB392</f>
        <v/>
      </c>
      <c r="CO392" s="142" t="str">
        <f aca="false">$CA392</f>
        <v/>
      </c>
      <c r="CP392" s="140" t="str">
        <f aca="false">IF(ISBLANK($C392),"",$CD392)</f>
        <v/>
      </c>
      <c r="CQ392" s="143" t="str">
        <f aca="false">IF($CH392&gt;$CG$8,"",VLOOKUP($CH392,$CJ$9:$CP$508,7,FALSE()))</f>
        <v/>
      </c>
      <c r="CR392" s="144" t="str">
        <f aca="false">IF($CH392&gt;$CG$8,"",VLOOKUP($CH392,$CJ$9:$CP$508,2,FALSE()))</f>
        <v/>
      </c>
      <c r="CS392" s="144" t="str">
        <f aca="false">IF($CH392&gt;$CG$8,"",VLOOKUP($CH392,$CJ$9:$CP$508,3,FALSE()))</f>
        <v/>
      </c>
      <c r="CT392" s="144" t="str">
        <f aca="false">IF($CH392&gt;$CG$8,"",VLOOKUP($CH392,$CJ$9:$CP$508,4,FALSE()))</f>
        <v/>
      </c>
      <c r="CU392" s="144" t="str">
        <f aca="false">IF($CH392&gt;$CG$8,"",VLOOKUP($CH392,$CJ$9:$CP$508,5,FALSE()))</f>
        <v/>
      </c>
      <c r="CV392" s="145" t="str">
        <f aca="false">IF($CH392&gt;$CG$8,"",VLOOKUP($CH392,$CJ$9:$CP$508,6,FALSE()))</f>
        <v/>
      </c>
      <c r="CW392" s="71"/>
    </row>
    <row r="393" customFormat="false" ht="15.75" hidden="false" customHeight="false" outlineLevel="0" collapsed="false">
      <c r="A393" s="9"/>
      <c r="B393" s="72"/>
      <c r="C393" s="73"/>
      <c r="D393" s="160"/>
      <c r="E393" s="168"/>
      <c r="F393" s="162"/>
      <c r="G393" s="163"/>
      <c r="H393" s="169"/>
      <c r="I393" s="167"/>
      <c r="J393" s="80"/>
      <c r="K393" s="81"/>
      <c r="L393" s="82"/>
      <c r="M393" s="166"/>
      <c r="N393" s="167"/>
      <c r="O393" s="167"/>
      <c r="P393" s="80"/>
      <c r="Q393" s="82"/>
      <c r="R393" s="82"/>
      <c r="S393" s="166"/>
      <c r="T393" s="167"/>
      <c r="U393" s="86"/>
      <c r="V393" s="87"/>
      <c r="W393" s="87" t="str">
        <f aca="false">IF(ISBLANK($C393),"",IF(E393=Constants!$B$2,TRUE(),IF(E393=Constants!$B$3,FALSE(),TRUE())))</f>
        <v/>
      </c>
      <c r="X393" s="87" t="str">
        <f aca="false">IF(ISBLANK($C393),"",IF(F393=Constants!$B$2,TRUE(),IF(F393=Constants!$B$3,FALSE(),TRUE())))</f>
        <v/>
      </c>
      <c r="Y393" s="87" t="str">
        <f aca="false">IF(ISBLANK($C393),"",IF(G393=Constants!$B$2,TRUE(),IF(G393=Constants!$B$3,FALSE(),TRUE())))</f>
        <v/>
      </c>
      <c r="Z393" s="87" t="str">
        <f aca="false">IF(ISBLANK($C393),"",IF(H393=Constants!$B$2,TRUE(),IF(H393=Constants!$B$3,FALSE(),TRUE())))</f>
        <v/>
      </c>
      <c r="AA393" s="87" t="str">
        <f aca="false">IF(ISBLANK($C393),"",IF(I393=Constants!$B$2,TRUE(),IF(I393=Constants!$B$3,FALSE(),TRUE())))</f>
        <v/>
      </c>
      <c r="AB393" s="87" t="str">
        <f aca="false">IF(ISBLANK($C393),"",IF(J393=Constants!$B$4,TRUE(),IF(J393=Constants!$B$5,FALSE(),COUNTA(K393:M393)&gt;0)))</f>
        <v/>
      </c>
      <c r="AC393" s="88" t="str">
        <f aca="false">IF(ISBLANK($C393),"",IF(ISNUMBER(K393),IF(K393&gt;=0,K393,""),""))</f>
        <v/>
      </c>
      <c r="AD393" s="89" t="str">
        <f aca="false">IF(ISBLANK($C393),"",IF(ISNUMBER(L393),IF(L393&gt;=0,L393,""),""))</f>
        <v/>
      </c>
      <c r="AE393" s="87" t="str">
        <f aca="false">IF(ISBLANK($C393),"",IF(ISNUMBER(M393),IF(M393&gt;=0,MIN(M393,Constants!$B$22),""),""))</f>
        <v/>
      </c>
      <c r="AF393" s="87" t="str">
        <f aca="false">IF(ISBLANK($C393),"",IF(N393=Constants!$B$2,TRUE(),IF(N393=Constants!$B$3,FALSE(),TRUE())))</f>
        <v/>
      </c>
      <c r="AG393" s="87" t="str">
        <f aca="false">IF(ISBLANK($C393),"",IF(O393=Constants!$B$2,TRUE(),IF(O393=Constants!$B$3,FALSE(),TRUE())))</f>
        <v/>
      </c>
      <c r="AH393" s="87" t="str">
        <f aca="false">IF(ISBLANK($C393),"",IF(P393=Constants!$B$4,TRUE(),IF(P393=Constants!$B$5,FALSE(),COUNTA(Q393:S393)&gt;0)))</f>
        <v/>
      </c>
      <c r="AI393" s="88" t="str">
        <f aca="false">IF(ISBLANK($C393),"",IF(ISNUMBER(Q393),IF(Q393&gt;=0,Q393,""),""))</f>
        <v/>
      </c>
      <c r="AJ393" s="89" t="str">
        <f aca="false">IF(ISBLANK($C393),"",IF(ISNUMBER(R393),IF(R393&gt;=0,R393,""),""))</f>
        <v/>
      </c>
      <c r="AK393" s="87" t="str">
        <f aca="false">IF(ISBLANK($C393),"",IF(ISNUMBER(S393),IF(S393&gt;=0,MIN(S393,Constants!$B$22),""),""))</f>
        <v/>
      </c>
      <c r="AL393" s="87" t="str">
        <f aca="false">IF(ISBLANK($C393),"",IF(T393=Constants!$B$2,TRUE(),IF(T393=Constants!$B$3,FALSE(),FALSE())))</f>
        <v/>
      </c>
      <c r="AM393" s="86" t="str">
        <f aca="false">IF(ISBLANK($C393),"",AND($AB393,OR($AC393="",$AD393="",AND(NOT(ISBLANK($M393)),$AE393=""))))</f>
        <v/>
      </c>
      <c r="AN393" s="89" t="str">
        <f aca="false">IF($BD393&lt;&gt;Constants!$B$6,"",IF($AB393,Constants!$B$17*$AD393,Constants!$B$18))</f>
        <v/>
      </c>
      <c r="AO393" s="91" t="str">
        <f aca="false">IF($BD393&lt;&gt;Constants!$B$6,"",Constants!$B$19*IF($AB393,$AC393,0))</f>
        <v/>
      </c>
      <c r="AP393" s="91" t="str">
        <f aca="false">IF($BD393&lt;&gt;Constants!$B$6,"",IF(AND($AB393,ISNUMBER($AE393)),Constants!$B$20*(Constants!$B$21-$AE393),0))</f>
        <v/>
      </c>
      <c r="AQ393" s="91" t="str">
        <f aca="false">IF($BD393&lt;&gt;Constants!$B$6,"",IF($AA393,0,Constants!$B$12)+IF($Z393,0,Constants!$B$13)+IF($Y393,0,Constants!$B$14))</f>
        <v/>
      </c>
      <c r="AR393" s="92" t="str">
        <f aca="false">IF($BD393&lt;&gt;Constants!$B$6,"",Constants!$B$16+SUM($AN393:$AQ393))</f>
        <v/>
      </c>
      <c r="AS393" s="91" t="str">
        <f aca="false">IF($BD393&lt;&gt;Constants!$B$6,"",IF($AB393,$AD393,""))</f>
        <v/>
      </c>
      <c r="AT393" s="93" t="str">
        <f aca="false">IF($BD393&lt;&gt;Constants!$B$6,"",$AO393)</f>
        <v/>
      </c>
      <c r="AU393" s="87" t="str">
        <f aca="false">IF($BD393&lt;&gt;Constants!$B$6,"",IF(OR($BA393&lt;$AR393,AND($BA393=$AR393,OR(AND(ISNUMBER($BB393),OR(NOT(ISNUMBER($AS393)),$BB393&lt;$AS393)),AND(OR(AND($BB393="",$AS393=""),AND(ISNUMBER($BB393),ISNUMBER($AS393),$BB393=$AS393)),$BC393&lt;$AT393)))),"-&gt;","&lt;-"))</f>
        <v/>
      </c>
      <c r="AV393" s="86" t="str">
        <f aca="false">IF(ISBLANK($C393),"",AND($AH393,OR($AI393="",$AJ393="",AND(NOT(ISBLANK($S393)),$AK393=""))))</f>
        <v/>
      </c>
      <c r="AW393" s="89" t="str">
        <f aca="false">IF($BD393&lt;&gt;Constants!$B$6,"",IF($AH393,Constants!$B$17*$AJ393,Constants!$B$18))</f>
        <v/>
      </c>
      <c r="AX393" s="91" t="str">
        <f aca="false">IF($BD393&lt;&gt;Constants!$B$6,"",Constants!$B$19*IF($AH393,$AI393,0))</f>
        <v/>
      </c>
      <c r="AY393" s="91" t="str">
        <f aca="false">IF($BD393&lt;&gt;Constants!$B$6,"",IF(AND($AH393,ISNUMBER($AK393)),Constants!$B$20*(Constants!$B$21-$AK393),0))</f>
        <v/>
      </c>
      <c r="AZ393" s="91" t="str">
        <f aca="false">IF($BD393&lt;&gt;Constants!$B$6,"",IF($AG393,0,Constants!$B$12)+IF($AF393,0,Constants!$B$13)+IF($Y393,0,Constants!$B$14))</f>
        <v/>
      </c>
      <c r="BA393" s="92" t="str">
        <f aca="false">IF($BD393&lt;&gt;Constants!$B$6,"",Constants!$B$16+SUM($AW393:$AZ393))</f>
        <v/>
      </c>
      <c r="BB393" s="91" t="str">
        <f aca="false">IF($BD393&lt;&gt;Constants!$B$6,"",IF($AH393,$AJ393,""))</f>
        <v/>
      </c>
      <c r="BC393" s="93" t="str">
        <f aca="false">IF($BD393&lt;&gt;Constants!$B$6,"",$AX393)</f>
        <v/>
      </c>
      <c r="BD393" s="87" t="str">
        <f aca="false">IF(ISBLANK($C393),"",IF($AL393,Constants!$B$9,IF(COUNTA($E393:$T393)=0,Constants!$B$8,IF(NOT($X393),Constants!$B$7,IF(OR($AM393,$AV393),Constants!$B$10,Constants!$B$6)))))</f>
        <v/>
      </c>
      <c r="BE393" s="87" t="str">
        <f aca="false">IF(ISBLANK($C393),"",IF($BD393&lt;&gt;Constants!$B$6,$BD393,Constants!$B$11))</f>
        <v/>
      </c>
      <c r="BF393" s="91" t="str">
        <f aca="false">IF($BD393&lt;&gt;Constants!$B$6,"",IF($AU393="-&gt;",$BA393,$AR393))</f>
        <v/>
      </c>
      <c r="BG393" s="91" t="str">
        <f aca="false">IF($BD393&lt;&gt;Constants!$B$6,"",IF($W393,0,Constants!$B$15))</f>
        <v/>
      </c>
      <c r="BH393" s="91" t="str">
        <f aca="false">IF(ISBLANK($C393),"",IF($BD393&lt;&gt;Constants!$B$6,$BD393,SUM($BF393:$BG393)))</f>
        <v/>
      </c>
      <c r="BI393" s="87" t="str">
        <f aca="false">IF(ISBLANK($C393),"",IF($BD393&lt;&gt;Constants!$B$6,$BD393,RANK($BH393,$BH$9:$BH$508,1)))</f>
        <v/>
      </c>
      <c r="BJ393" s="91" t="str">
        <f aca="false">IF($BD393&lt;&gt;Constants!$B$6,"",IF($AU393="-&gt;",$BB393,$AS393))</f>
        <v/>
      </c>
      <c r="BK393" s="87" t="str">
        <f aca="false">IF(ISBLANK($C393),"",IF($BD393&lt;&gt;Constants!$B$6,$BD393,IF(ISNUMBER($BJ393),RANK($BJ393,$BJ$9:$BJ$508,1),COUNT($BJ$9:$BJ$508)+1)))</f>
        <v/>
      </c>
      <c r="BL393" s="91" t="str">
        <f aca="false">IF($BD393&lt;&gt;Constants!$B$6,"",IF($AU393="-&gt;",$BC393,$AT393))</f>
        <v/>
      </c>
      <c r="BM393" s="87" t="str">
        <f aca="false">IF(ISBLANK($C393),"",IF($BD393&lt;&gt;Constants!$B$6,$BD393,IF(ISNUMBER($BL393),RANK($BL393,$BL$9:$BL$508,1),COUNT($BL$9:$BL$508)+1)))</f>
        <v/>
      </c>
      <c r="BN393" s="91" t="str">
        <f aca="false">IF($BD393&lt;&gt;Constants!$B$6,"",IF($AU393="-&gt;",$AS393,$BB393))</f>
        <v/>
      </c>
      <c r="BO393" s="87" t="str">
        <f aca="false">IF(ISBLANK($C393),"",IF($BD393&lt;&gt;Constants!$B$6,$BD393,IF(ISNUMBER($BN393),RANK($BN393,$BN$9:$BN$508,1),COUNT($BN$9:$BN$508)+1)))</f>
        <v/>
      </c>
      <c r="BP393" s="91" t="str">
        <f aca="false">IF($BD393&lt;&gt;Constants!$B$6,"",IF($AU393="-&gt;",$AT393,$BC393))</f>
        <v/>
      </c>
      <c r="BQ393" s="87" t="str">
        <f aca="false">IF(ISBLANK($C393),"",IF($BD393&lt;&gt;Constants!$B$6,$BD393,IF(ISNUMBER($BP393),RANK($BP393,$BP$9:$BP$508,1),COUNT($BP$9:$BP$508)+1)))</f>
        <v/>
      </c>
      <c r="BR393" s="87" t="str">
        <f aca="false">IF(ISBLANK($C393),"",IF($BD393&lt;&gt;Constants!$B$6,$BD393,COUNTIFS($BI$9:$BI$508,"&lt;"&amp;$BI393)+COUNTIFS($BI$9:$BI$508,$BI393,$BK$9:$BK$508,"&lt;"&amp;$BK393)+COUNTIFS($BI$9:$BI$508,$BI393,$BK$9:$BK$508,$BK393,$BM$9:$BM$508,"&lt;"&amp;$BM393)+COUNTIFS($BI$9:$BI$508,$BI393,$BK$9:$BK$508,$BK393,$BM$9:$BM$508,$BM393,$BO$9:$BO$508,"&lt;"&amp;$BO393)+COUNTIFS($BI$9:$BI$508,$BI393,$BK$9:$BK$508,$BK393,$BM$9:$BM$508,$BM393,$BO$9:$BO$508,$BO393,$BQ$9:$BQ$508,"&lt;"&amp;$BQ393)+1))</f>
        <v/>
      </c>
      <c r="BS393" s="87" t="str">
        <f aca="false">IF(ISBLANK($C393),"",IF($BD393&lt;&gt;Constants!$B$6,$BD393,$BI393-$BR393))</f>
        <v/>
      </c>
      <c r="BT393" s="94"/>
      <c r="BU393" s="95"/>
      <c r="BV393" s="95" t="str">
        <f aca="false">IF(ISBLANK($C393),"",IF($BD393&lt;&gt;Constants!$B$6,"",IF($AU393="-&gt;",2,1)))</f>
        <v/>
      </c>
      <c r="BW393" s="96" t="str">
        <f aca="false">IF(ISBLANK($C393),"",IF($BD393&lt;&gt;Constants!$B$6,"",IF($AU393="-&gt;",$AW393,$AN393)))</f>
        <v/>
      </c>
      <c r="BX393" s="96" t="str">
        <f aca="false">IF(ISBLANK($C393),"",IF($BD393&lt;&gt;Constants!$B$6,"",IF($AU393="-&gt;",$AX393,$AO393)))</f>
        <v/>
      </c>
      <c r="BY393" s="96" t="str">
        <f aca="false">IF(ISBLANK($C393),"",IF($BD393&lt;&gt;Constants!$B$6,"",IF($AU393="-&gt;",$AY393,$AP393)))</f>
        <v/>
      </c>
      <c r="BZ393" s="96" t="str">
        <f aca="false">IF(ISBLANK($C393),"",IF($BD393&lt;&gt;Constants!$B$6,"",IF($AU393="-&gt;",$AZ393,$AQ393)+$BG393))</f>
        <v/>
      </c>
      <c r="CA393" s="97" t="str">
        <f aca="false">IF(ISBLANK($C393),"",IF($BD393&lt;&gt;Constants!$B$6,$BD393,$BH393))</f>
        <v/>
      </c>
      <c r="CB393" s="98" t="str">
        <f aca="false">IF(ISBLANK($C393),"",$BE393)</f>
        <v/>
      </c>
      <c r="CC393" s="99" t="str">
        <f aca="false">IF(ISBLANK($C393),"",$BS393)</f>
        <v/>
      </c>
      <c r="CD393" s="99" t="str">
        <f aca="false">IF(ISBLANK($C393),"",$BR393)</f>
        <v/>
      </c>
      <c r="CE393" s="100" t="str">
        <f aca="false">IF(ISBLANK($C393),"",IF($CD393=Constants!$B$9,COUNTA($C$9:$C$508)+2,IF($CD393=Constants!$B$8,COUNTA($C$9:$C$508)+1,IF($CD393=Constants!$B$7,COUNTA($C$9:$C$508),$CD393))))</f>
        <v/>
      </c>
      <c r="CF393" s="9"/>
      <c r="CG393" s="101" t="n">
        <f aca="false">IF(OR(ISNUMBER($CD393),$CD393=Constants!$B$9,$CD393=Constants!$B$7,$CD393=Constants!$B$8),1,0)</f>
        <v>0</v>
      </c>
      <c r="CH393" s="101" t="n">
        <v>385</v>
      </c>
      <c r="CI393" s="101" t="str">
        <f aca="false">IF(ISBLANK($C393),"",IF(ISNUMBER($CE393),$CE393+ROW($B393)/1000,""))</f>
        <v/>
      </c>
      <c r="CJ393" s="101" t="str">
        <f aca="false">IF(ISNUMBER($CI393),RANK($CI393,$CI$9:$CI$508,1),"")</f>
        <v/>
      </c>
      <c r="CK393" s="101" t="str">
        <f aca="false">IF(ISBLANK($C393),"",$B393)</f>
        <v/>
      </c>
      <c r="CL393" s="101" t="str">
        <f aca="false">IF(ISBLANK($C393),"",$C393)</f>
        <v/>
      </c>
      <c r="CM393" s="101" t="str">
        <f aca="false">IF(ISBLANK($C393),"",$D393)</f>
        <v/>
      </c>
      <c r="CN393" s="102" t="str">
        <f aca="false">$CB393</f>
        <v/>
      </c>
      <c r="CO393" s="103" t="str">
        <f aca="false">$CA393</f>
        <v/>
      </c>
      <c r="CP393" s="101" t="str">
        <f aca="false">IF(ISBLANK($C393),"",$CD393)</f>
        <v/>
      </c>
      <c r="CQ393" s="104" t="str">
        <f aca="false">IF($CH393&gt;$CG$8,"",VLOOKUP($CH393,$CJ$9:$CP$508,7,FALSE()))</f>
        <v/>
      </c>
      <c r="CR393" s="105" t="str">
        <f aca="false">IF($CH393&gt;$CG$8,"",VLOOKUP($CH393,$CJ$9:$CP$508,2,FALSE()))</f>
        <v/>
      </c>
      <c r="CS393" s="105" t="str">
        <f aca="false">IF($CH393&gt;$CG$8,"",VLOOKUP($CH393,$CJ$9:$CP$508,3,FALSE()))</f>
        <v/>
      </c>
      <c r="CT393" s="105" t="str">
        <f aca="false">IF($CH393&gt;$CG$8,"",VLOOKUP($CH393,$CJ$9:$CP$508,4,FALSE()))</f>
        <v/>
      </c>
      <c r="CU393" s="105" t="str">
        <f aca="false">IF($CH393&gt;$CG$8,"",VLOOKUP($CH393,$CJ$9:$CP$508,5,FALSE()))</f>
        <v/>
      </c>
      <c r="CV393" s="106" t="str">
        <f aca="false">IF($CH393&gt;$CG$8,"",VLOOKUP($CH393,$CJ$9:$CP$508,6,FALSE()))</f>
        <v/>
      </c>
      <c r="CW393" s="71"/>
    </row>
    <row r="394" customFormat="false" ht="15.75" hidden="false" customHeight="false" outlineLevel="0" collapsed="false">
      <c r="A394" s="9"/>
      <c r="B394" s="72"/>
      <c r="C394" s="73"/>
      <c r="D394" s="160"/>
      <c r="E394" s="168"/>
      <c r="F394" s="162"/>
      <c r="G394" s="163"/>
      <c r="H394" s="169"/>
      <c r="I394" s="167"/>
      <c r="J394" s="80"/>
      <c r="K394" s="81"/>
      <c r="L394" s="82"/>
      <c r="M394" s="166"/>
      <c r="N394" s="167"/>
      <c r="O394" s="167"/>
      <c r="P394" s="80"/>
      <c r="Q394" s="82"/>
      <c r="R394" s="82"/>
      <c r="S394" s="166"/>
      <c r="T394" s="167"/>
      <c r="U394" s="86"/>
      <c r="V394" s="87"/>
      <c r="W394" s="87" t="str">
        <f aca="false">IF(ISBLANK($C394),"",IF(E394=Constants!$B$2,TRUE(),IF(E394=Constants!$B$3,FALSE(),TRUE())))</f>
        <v/>
      </c>
      <c r="X394" s="87" t="str">
        <f aca="false">IF(ISBLANK($C394),"",IF(F394=Constants!$B$2,TRUE(),IF(F394=Constants!$B$3,FALSE(),TRUE())))</f>
        <v/>
      </c>
      <c r="Y394" s="87" t="str">
        <f aca="false">IF(ISBLANK($C394),"",IF(G394=Constants!$B$2,TRUE(),IF(G394=Constants!$B$3,FALSE(),TRUE())))</f>
        <v/>
      </c>
      <c r="Z394" s="87" t="str">
        <f aca="false">IF(ISBLANK($C394),"",IF(H394=Constants!$B$2,TRUE(),IF(H394=Constants!$B$3,FALSE(),TRUE())))</f>
        <v/>
      </c>
      <c r="AA394" s="87" t="str">
        <f aca="false">IF(ISBLANK($C394),"",IF(I394=Constants!$B$2,TRUE(),IF(I394=Constants!$B$3,FALSE(),TRUE())))</f>
        <v/>
      </c>
      <c r="AB394" s="87" t="str">
        <f aca="false">IF(ISBLANK($C394),"",IF(J394=Constants!$B$4,TRUE(),IF(J394=Constants!$B$5,FALSE(),COUNTA(K394:M394)&gt;0)))</f>
        <v/>
      </c>
      <c r="AC394" s="88" t="str">
        <f aca="false">IF(ISBLANK($C394),"",IF(ISNUMBER(K394),IF(K394&gt;=0,K394,""),""))</f>
        <v/>
      </c>
      <c r="AD394" s="89" t="str">
        <f aca="false">IF(ISBLANK($C394),"",IF(ISNUMBER(L394),IF(L394&gt;=0,L394,""),""))</f>
        <v/>
      </c>
      <c r="AE394" s="87" t="str">
        <f aca="false">IF(ISBLANK($C394),"",IF(ISNUMBER(M394),IF(M394&gt;=0,MIN(M394,Constants!$B$22),""),""))</f>
        <v/>
      </c>
      <c r="AF394" s="87" t="str">
        <f aca="false">IF(ISBLANK($C394),"",IF(N394=Constants!$B$2,TRUE(),IF(N394=Constants!$B$3,FALSE(),TRUE())))</f>
        <v/>
      </c>
      <c r="AG394" s="87" t="str">
        <f aca="false">IF(ISBLANK($C394),"",IF(O394=Constants!$B$2,TRUE(),IF(O394=Constants!$B$3,FALSE(),TRUE())))</f>
        <v/>
      </c>
      <c r="AH394" s="87" t="str">
        <f aca="false">IF(ISBLANK($C394),"",IF(P394=Constants!$B$4,TRUE(),IF(P394=Constants!$B$5,FALSE(),COUNTA(Q394:S394)&gt;0)))</f>
        <v/>
      </c>
      <c r="AI394" s="88" t="str">
        <f aca="false">IF(ISBLANK($C394),"",IF(ISNUMBER(Q394),IF(Q394&gt;=0,Q394,""),""))</f>
        <v/>
      </c>
      <c r="AJ394" s="89" t="str">
        <f aca="false">IF(ISBLANK($C394),"",IF(ISNUMBER(R394),IF(R394&gt;=0,R394,""),""))</f>
        <v/>
      </c>
      <c r="AK394" s="87" t="str">
        <f aca="false">IF(ISBLANK($C394),"",IF(ISNUMBER(S394),IF(S394&gt;=0,MIN(S394,Constants!$B$22),""),""))</f>
        <v/>
      </c>
      <c r="AL394" s="87" t="str">
        <f aca="false">IF(ISBLANK($C394),"",IF(T394=Constants!$B$2,TRUE(),IF(T394=Constants!$B$3,FALSE(),FALSE())))</f>
        <v/>
      </c>
      <c r="AM394" s="86" t="str">
        <f aca="false">IF(ISBLANK($C394),"",AND($AB394,OR($AC394="",$AD394="",AND(NOT(ISBLANK($M394)),$AE394=""))))</f>
        <v/>
      </c>
      <c r="AN394" s="89" t="str">
        <f aca="false">IF($BD394&lt;&gt;Constants!$B$6,"",IF($AB394,Constants!$B$17*$AD394,Constants!$B$18))</f>
        <v/>
      </c>
      <c r="AO394" s="91" t="str">
        <f aca="false">IF($BD394&lt;&gt;Constants!$B$6,"",Constants!$B$19*IF($AB394,$AC394,0))</f>
        <v/>
      </c>
      <c r="AP394" s="91" t="str">
        <f aca="false">IF($BD394&lt;&gt;Constants!$B$6,"",IF(AND($AB394,ISNUMBER($AE394)),Constants!$B$20*(Constants!$B$21-$AE394),0))</f>
        <v/>
      </c>
      <c r="AQ394" s="91" t="str">
        <f aca="false">IF($BD394&lt;&gt;Constants!$B$6,"",IF($AA394,0,Constants!$B$12)+IF($Z394,0,Constants!$B$13)+IF($Y394,0,Constants!$B$14))</f>
        <v/>
      </c>
      <c r="AR394" s="92" t="str">
        <f aca="false">IF($BD394&lt;&gt;Constants!$B$6,"",Constants!$B$16+SUM($AN394:$AQ394))</f>
        <v/>
      </c>
      <c r="AS394" s="91" t="str">
        <f aca="false">IF($BD394&lt;&gt;Constants!$B$6,"",IF($AB394,$AD394,""))</f>
        <v/>
      </c>
      <c r="AT394" s="93" t="str">
        <f aca="false">IF($BD394&lt;&gt;Constants!$B$6,"",$AO394)</f>
        <v/>
      </c>
      <c r="AU394" s="87" t="str">
        <f aca="false">IF($BD394&lt;&gt;Constants!$B$6,"",IF(OR($BA394&lt;$AR394,AND($BA394=$AR394,OR(AND(ISNUMBER($BB394),OR(NOT(ISNUMBER($AS394)),$BB394&lt;$AS394)),AND(OR(AND($BB394="",$AS394=""),AND(ISNUMBER($BB394),ISNUMBER($AS394),$BB394=$AS394)),$BC394&lt;$AT394)))),"-&gt;","&lt;-"))</f>
        <v/>
      </c>
      <c r="AV394" s="86" t="str">
        <f aca="false">IF(ISBLANK($C394),"",AND($AH394,OR($AI394="",$AJ394="",AND(NOT(ISBLANK($S394)),$AK394=""))))</f>
        <v/>
      </c>
      <c r="AW394" s="89" t="str">
        <f aca="false">IF($BD394&lt;&gt;Constants!$B$6,"",IF($AH394,Constants!$B$17*$AJ394,Constants!$B$18))</f>
        <v/>
      </c>
      <c r="AX394" s="91" t="str">
        <f aca="false">IF($BD394&lt;&gt;Constants!$B$6,"",Constants!$B$19*IF($AH394,$AI394,0))</f>
        <v/>
      </c>
      <c r="AY394" s="91" t="str">
        <f aca="false">IF($BD394&lt;&gt;Constants!$B$6,"",IF(AND($AH394,ISNUMBER($AK394)),Constants!$B$20*(Constants!$B$21-$AK394),0))</f>
        <v/>
      </c>
      <c r="AZ394" s="91" t="str">
        <f aca="false">IF($BD394&lt;&gt;Constants!$B$6,"",IF($AG394,0,Constants!$B$12)+IF($AF394,0,Constants!$B$13)+IF($Y394,0,Constants!$B$14))</f>
        <v/>
      </c>
      <c r="BA394" s="92" t="str">
        <f aca="false">IF($BD394&lt;&gt;Constants!$B$6,"",Constants!$B$16+SUM($AW394:$AZ394))</f>
        <v/>
      </c>
      <c r="BB394" s="91" t="str">
        <f aca="false">IF($BD394&lt;&gt;Constants!$B$6,"",IF($AH394,$AJ394,""))</f>
        <v/>
      </c>
      <c r="BC394" s="93" t="str">
        <f aca="false">IF($BD394&lt;&gt;Constants!$B$6,"",$AX394)</f>
        <v/>
      </c>
      <c r="BD394" s="87" t="str">
        <f aca="false">IF(ISBLANK($C394),"",IF($AL394,Constants!$B$9,IF(COUNTA($E394:$T394)=0,Constants!$B$8,IF(NOT($X394),Constants!$B$7,IF(OR($AM394,$AV394),Constants!$B$10,Constants!$B$6)))))</f>
        <v/>
      </c>
      <c r="BE394" s="87" t="str">
        <f aca="false">IF(ISBLANK($C394),"",IF($BD394&lt;&gt;Constants!$B$6,$BD394,Constants!$B$11))</f>
        <v/>
      </c>
      <c r="BF394" s="91" t="str">
        <f aca="false">IF($BD394&lt;&gt;Constants!$B$6,"",IF($AU394="-&gt;",$BA394,$AR394))</f>
        <v/>
      </c>
      <c r="BG394" s="91" t="str">
        <f aca="false">IF($BD394&lt;&gt;Constants!$B$6,"",IF($W394,0,Constants!$B$15))</f>
        <v/>
      </c>
      <c r="BH394" s="91" t="str">
        <f aca="false">IF(ISBLANK($C394),"",IF($BD394&lt;&gt;Constants!$B$6,$BD394,SUM($BF394:$BG394)))</f>
        <v/>
      </c>
      <c r="BI394" s="87" t="str">
        <f aca="false">IF(ISBLANK($C394),"",IF($BD394&lt;&gt;Constants!$B$6,$BD394,RANK($BH394,$BH$9:$BH$508,1)))</f>
        <v/>
      </c>
      <c r="BJ394" s="91" t="str">
        <f aca="false">IF($BD394&lt;&gt;Constants!$B$6,"",IF($AU394="-&gt;",$BB394,$AS394))</f>
        <v/>
      </c>
      <c r="BK394" s="87" t="str">
        <f aca="false">IF(ISBLANK($C394),"",IF($BD394&lt;&gt;Constants!$B$6,$BD394,IF(ISNUMBER($BJ394),RANK($BJ394,$BJ$9:$BJ$508,1),COUNT($BJ$9:$BJ$508)+1)))</f>
        <v/>
      </c>
      <c r="BL394" s="91" t="str">
        <f aca="false">IF($BD394&lt;&gt;Constants!$B$6,"",IF($AU394="-&gt;",$BC394,$AT394))</f>
        <v/>
      </c>
      <c r="BM394" s="87" t="str">
        <f aca="false">IF(ISBLANK($C394),"",IF($BD394&lt;&gt;Constants!$B$6,$BD394,IF(ISNUMBER($BL394),RANK($BL394,$BL$9:$BL$508,1),COUNT($BL$9:$BL$508)+1)))</f>
        <v/>
      </c>
      <c r="BN394" s="91" t="str">
        <f aca="false">IF($BD394&lt;&gt;Constants!$B$6,"",IF($AU394="-&gt;",$AS394,$BB394))</f>
        <v/>
      </c>
      <c r="BO394" s="87" t="str">
        <f aca="false">IF(ISBLANK($C394),"",IF($BD394&lt;&gt;Constants!$B$6,$BD394,IF(ISNUMBER($BN394),RANK($BN394,$BN$9:$BN$508,1),COUNT($BN$9:$BN$508)+1)))</f>
        <v/>
      </c>
      <c r="BP394" s="91" t="str">
        <f aca="false">IF($BD394&lt;&gt;Constants!$B$6,"",IF($AU394="-&gt;",$AT394,$BC394))</f>
        <v/>
      </c>
      <c r="BQ394" s="87" t="str">
        <f aca="false">IF(ISBLANK($C394),"",IF($BD394&lt;&gt;Constants!$B$6,$BD394,IF(ISNUMBER($BP394),RANK($BP394,$BP$9:$BP$508,1),COUNT($BP$9:$BP$508)+1)))</f>
        <v/>
      </c>
      <c r="BR394" s="87" t="str">
        <f aca="false">IF(ISBLANK($C394),"",IF($BD394&lt;&gt;Constants!$B$6,$BD394,COUNTIFS($BI$9:$BI$508,"&lt;"&amp;$BI394)+COUNTIFS($BI$9:$BI$508,$BI394,$BK$9:$BK$508,"&lt;"&amp;$BK394)+COUNTIFS($BI$9:$BI$508,$BI394,$BK$9:$BK$508,$BK394,$BM$9:$BM$508,"&lt;"&amp;$BM394)+COUNTIFS($BI$9:$BI$508,$BI394,$BK$9:$BK$508,$BK394,$BM$9:$BM$508,$BM394,$BO$9:$BO$508,"&lt;"&amp;$BO394)+COUNTIFS($BI$9:$BI$508,$BI394,$BK$9:$BK$508,$BK394,$BM$9:$BM$508,$BM394,$BO$9:$BO$508,$BO394,$BQ$9:$BQ$508,"&lt;"&amp;$BQ394)+1))</f>
        <v/>
      </c>
      <c r="BS394" s="87" t="str">
        <f aca="false">IF(ISBLANK($C394),"",IF($BD394&lt;&gt;Constants!$B$6,$BD394,$BI394-$BR394))</f>
        <v/>
      </c>
      <c r="BT394" s="94"/>
      <c r="BU394" s="95"/>
      <c r="BV394" s="95" t="str">
        <f aca="false">IF(ISBLANK($C394),"",IF($BD394&lt;&gt;Constants!$B$6,"",IF($AU394="-&gt;",2,1)))</f>
        <v/>
      </c>
      <c r="BW394" s="96" t="str">
        <f aca="false">IF(ISBLANK($C394),"",IF($BD394&lt;&gt;Constants!$B$6,"",IF($AU394="-&gt;",$AW394,$AN394)))</f>
        <v/>
      </c>
      <c r="BX394" s="96" t="str">
        <f aca="false">IF(ISBLANK($C394),"",IF($BD394&lt;&gt;Constants!$B$6,"",IF($AU394="-&gt;",$AX394,$AO394)))</f>
        <v/>
      </c>
      <c r="BY394" s="96" t="str">
        <f aca="false">IF(ISBLANK($C394),"",IF($BD394&lt;&gt;Constants!$B$6,"",IF($AU394="-&gt;",$AY394,$AP394)))</f>
        <v/>
      </c>
      <c r="BZ394" s="96" t="str">
        <f aca="false">IF(ISBLANK($C394),"",IF($BD394&lt;&gt;Constants!$B$6,"",IF($AU394="-&gt;",$AZ394,$AQ394)+$BG394))</f>
        <v/>
      </c>
      <c r="CA394" s="97" t="str">
        <f aca="false">IF(ISBLANK($C394),"",IF($BD394&lt;&gt;Constants!$B$6,$BD394,$BH394))</f>
        <v/>
      </c>
      <c r="CB394" s="98" t="str">
        <f aca="false">IF(ISBLANK($C394),"",$BE394)</f>
        <v/>
      </c>
      <c r="CC394" s="99" t="str">
        <f aca="false">IF(ISBLANK($C394),"",$BS394)</f>
        <v/>
      </c>
      <c r="CD394" s="99" t="str">
        <f aca="false">IF(ISBLANK($C394),"",$BR394)</f>
        <v/>
      </c>
      <c r="CE394" s="100" t="str">
        <f aca="false">IF(ISBLANK($C394),"",IF($CD394=Constants!$B$9,COUNTA($C$9:$C$508)+2,IF($CD394=Constants!$B$8,COUNTA($C$9:$C$508)+1,IF($CD394=Constants!$B$7,COUNTA($C$9:$C$508),$CD394))))</f>
        <v/>
      </c>
      <c r="CF394" s="9"/>
      <c r="CG394" s="101" t="n">
        <f aca="false">IF(OR(ISNUMBER($CD394),$CD394=Constants!$B$9,$CD394=Constants!$B$7,$CD394=Constants!$B$8),1,0)</f>
        <v>0</v>
      </c>
      <c r="CH394" s="101" t="n">
        <v>386</v>
      </c>
      <c r="CI394" s="101" t="str">
        <f aca="false">IF(ISBLANK($C394),"",IF(ISNUMBER($CE394),$CE394+ROW($B394)/1000,""))</f>
        <v/>
      </c>
      <c r="CJ394" s="101" t="str">
        <f aca="false">IF(ISNUMBER($CI394),RANK($CI394,$CI$9:$CI$508,1),"")</f>
        <v/>
      </c>
      <c r="CK394" s="101" t="str">
        <f aca="false">IF(ISBLANK($C394),"",$B394)</f>
        <v/>
      </c>
      <c r="CL394" s="101" t="str">
        <f aca="false">IF(ISBLANK($C394),"",$C394)</f>
        <v/>
      </c>
      <c r="CM394" s="101" t="str">
        <f aca="false">IF(ISBLANK($C394),"",$D394)</f>
        <v/>
      </c>
      <c r="CN394" s="102" t="str">
        <f aca="false">$CB394</f>
        <v/>
      </c>
      <c r="CO394" s="103" t="str">
        <f aca="false">$CA394</f>
        <v/>
      </c>
      <c r="CP394" s="101" t="str">
        <f aca="false">IF(ISBLANK($C394),"",$CD394)</f>
        <v/>
      </c>
      <c r="CQ394" s="104" t="str">
        <f aca="false">IF($CH394&gt;$CG$8,"",VLOOKUP($CH394,$CJ$9:$CP$508,7,FALSE()))</f>
        <v/>
      </c>
      <c r="CR394" s="105" t="str">
        <f aca="false">IF($CH394&gt;$CG$8,"",VLOOKUP($CH394,$CJ$9:$CP$508,2,FALSE()))</f>
        <v/>
      </c>
      <c r="CS394" s="105" t="str">
        <f aca="false">IF($CH394&gt;$CG$8,"",VLOOKUP($CH394,$CJ$9:$CP$508,3,FALSE()))</f>
        <v/>
      </c>
      <c r="CT394" s="105" t="str">
        <f aca="false">IF($CH394&gt;$CG$8,"",VLOOKUP($CH394,$CJ$9:$CP$508,4,FALSE()))</f>
        <v/>
      </c>
      <c r="CU394" s="105" t="str">
        <f aca="false">IF($CH394&gt;$CG$8,"",VLOOKUP($CH394,$CJ$9:$CP$508,5,FALSE()))</f>
        <v/>
      </c>
      <c r="CV394" s="106" t="str">
        <f aca="false">IF($CH394&gt;$CG$8,"",VLOOKUP($CH394,$CJ$9:$CP$508,6,FALSE()))</f>
        <v/>
      </c>
      <c r="CW394" s="71"/>
    </row>
    <row r="395" customFormat="false" ht="15.75" hidden="false" customHeight="false" outlineLevel="0" collapsed="false">
      <c r="A395" s="9"/>
      <c r="B395" s="72"/>
      <c r="C395" s="73"/>
      <c r="D395" s="160"/>
      <c r="E395" s="168"/>
      <c r="F395" s="162"/>
      <c r="G395" s="163"/>
      <c r="H395" s="169"/>
      <c r="I395" s="167"/>
      <c r="J395" s="80"/>
      <c r="K395" s="81"/>
      <c r="L395" s="82"/>
      <c r="M395" s="166"/>
      <c r="N395" s="167"/>
      <c r="O395" s="167"/>
      <c r="P395" s="80"/>
      <c r="Q395" s="82"/>
      <c r="R395" s="82"/>
      <c r="S395" s="166"/>
      <c r="T395" s="167"/>
      <c r="U395" s="86"/>
      <c r="V395" s="87"/>
      <c r="W395" s="87" t="str">
        <f aca="false">IF(ISBLANK($C395),"",IF(E395=Constants!$B$2,TRUE(),IF(E395=Constants!$B$3,FALSE(),TRUE())))</f>
        <v/>
      </c>
      <c r="X395" s="87" t="str">
        <f aca="false">IF(ISBLANK($C395),"",IF(F395=Constants!$B$2,TRUE(),IF(F395=Constants!$B$3,FALSE(),TRUE())))</f>
        <v/>
      </c>
      <c r="Y395" s="87" t="str">
        <f aca="false">IF(ISBLANK($C395),"",IF(G395=Constants!$B$2,TRUE(),IF(G395=Constants!$B$3,FALSE(),TRUE())))</f>
        <v/>
      </c>
      <c r="Z395" s="87" t="str">
        <f aca="false">IF(ISBLANK($C395),"",IF(H395=Constants!$B$2,TRUE(),IF(H395=Constants!$B$3,FALSE(),TRUE())))</f>
        <v/>
      </c>
      <c r="AA395" s="87" t="str">
        <f aca="false">IF(ISBLANK($C395),"",IF(I395=Constants!$B$2,TRUE(),IF(I395=Constants!$B$3,FALSE(),TRUE())))</f>
        <v/>
      </c>
      <c r="AB395" s="87" t="str">
        <f aca="false">IF(ISBLANK($C395),"",IF(J395=Constants!$B$4,TRUE(),IF(J395=Constants!$B$5,FALSE(),COUNTA(K395:M395)&gt;0)))</f>
        <v/>
      </c>
      <c r="AC395" s="88" t="str">
        <f aca="false">IF(ISBLANK($C395),"",IF(ISNUMBER(K395),IF(K395&gt;=0,K395,""),""))</f>
        <v/>
      </c>
      <c r="AD395" s="89" t="str">
        <f aca="false">IF(ISBLANK($C395),"",IF(ISNUMBER(L395),IF(L395&gt;=0,L395,""),""))</f>
        <v/>
      </c>
      <c r="AE395" s="87" t="str">
        <f aca="false">IF(ISBLANK($C395),"",IF(ISNUMBER(M395),IF(M395&gt;=0,MIN(M395,Constants!$B$22),""),""))</f>
        <v/>
      </c>
      <c r="AF395" s="87" t="str">
        <f aca="false">IF(ISBLANK($C395),"",IF(N395=Constants!$B$2,TRUE(),IF(N395=Constants!$B$3,FALSE(),TRUE())))</f>
        <v/>
      </c>
      <c r="AG395" s="87" t="str">
        <f aca="false">IF(ISBLANK($C395),"",IF(O395=Constants!$B$2,TRUE(),IF(O395=Constants!$B$3,FALSE(),TRUE())))</f>
        <v/>
      </c>
      <c r="AH395" s="87" t="str">
        <f aca="false">IF(ISBLANK($C395),"",IF(P395=Constants!$B$4,TRUE(),IF(P395=Constants!$B$5,FALSE(),COUNTA(Q395:S395)&gt;0)))</f>
        <v/>
      </c>
      <c r="AI395" s="88" t="str">
        <f aca="false">IF(ISBLANK($C395),"",IF(ISNUMBER(Q395),IF(Q395&gt;=0,Q395,""),""))</f>
        <v/>
      </c>
      <c r="AJ395" s="89" t="str">
        <f aca="false">IF(ISBLANK($C395),"",IF(ISNUMBER(R395),IF(R395&gt;=0,R395,""),""))</f>
        <v/>
      </c>
      <c r="AK395" s="87" t="str">
        <f aca="false">IF(ISBLANK($C395),"",IF(ISNUMBER(S395),IF(S395&gt;=0,MIN(S395,Constants!$B$22),""),""))</f>
        <v/>
      </c>
      <c r="AL395" s="87" t="str">
        <f aca="false">IF(ISBLANK($C395),"",IF(T395=Constants!$B$2,TRUE(),IF(T395=Constants!$B$3,FALSE(),FALSE())))</f>
        <v/>
      </c>
      <c r="AM395" s="86" t="str">
        <f aca="false">IF(ISBLANK($C395),"",AND($AB395,OR($AC395="",$AD395="",AND(NOT(ISBLANK($M395)),$AE395=""))))</f>
        <v/>
      </c>
      <c r="AN395" s="89" t="str">
        <f aca="false">IF($BD395&lt;&gt;Constants!$B$6,"",IF($AB395,Constants!$B$17*$AD395,Constants!$B$18))</f>
        <v/>
      </c>
      <c r="AO395" s="91" t="str">
        <f aca="false">IF($BD395&lt;&gt;Constants!$B$6,"",Constants!$B$19*IF($AB395,$AC395,0))</f>
        <v/>
      </c>
      <c r="AP395" s="91" t="str">
        <f aca="false">IF($BD395&lt;&gt;Constants!$B$6,"",IF(AND($AB395,ISNUMBER($AE395)),Constants!$B$20*(Constants!$B$21-$AE395),0))</f>
        <v/>
      </c>
      <c r="AQ395" s="91" t="str">
        <f aca="false">IF($BD395&lt;&gt;Constants!$B$6,"",IF($AA395,0,Constants!$B$12)+IF($Z395,0,Constants!$B$13)+IF($Y395,0,Constants!$B$14))</f>
        <v/>
      </c>
      <c r="AR395" s="92" t="str">
        <f aca="false">IF($BD395&lt;&gt;Constants!$B$6,"",Constants!$B$16+SUM($AN395:$AQ395))</f>
        <v/>
      </c>
      <c r="AS395" s="91" t="str">
        <f aca="false">IF($BD395&lt;&gt;Constants!$B$6,"",IF($AB395,$AD395,""))</f>
        <v/>
      </c>
      <c r="AT395" s="93" t="str">
        <f aca="false">IF($BD395&lt;&gt;Constants!$B$6,"",$AO395)</f>
        <v/>
      </c>
      <c r="AU395" s="87" t="str">
        <f aca="false">IF($BD395&lt;&gt;Constants!$B$6,"",IF(OR($BA395&lt;$AR395,AND($BA395=$AR395,OR(AND(ISNUMBER($BB395),OR(NOT(ISNUMBER($AS395)),$BB395&lt;$AS395)),AND(OR(AND($BB395="",$AS395=""),AND(ISNUMBER($BB395),ISNUMBER($AS395),$BB395=$AS395)),$BC395&lt;$AT395)))),"-&gt;","&lt;-"))</f>
        <v/>
      </c>
      <c r="AV395" s="86" t="str">
        <f aca="false">IF(ISBLANK($C395),"",AND($AH395,OR($AI395="",$AJ395="",AND(NOT(ISBLANK($S395)),$AK395=""))))</f>
        <v/>
      </c>
      <c r="AW395" s="89" t="str">
        <f aca="false">IF($BD395&lt;&gt;Constants!$B$6,"",IF($AH395,Constants!$B$17*$AJ395,Constants!$B$18))</f>
        <v/>
      </c>
      <c r="AX395" s="91" t="str">
        <f aca="false">IF($BD395&lt;&gt;Constants!$B$6,"",Constants!$B$19*IF($AH395,$AI395,0))</f>
        <v/>
      </c>
      <c r="AY395" s="91" t="str">
        <f aca="false">IF($BD395&lt;&gt;Constants!$B$6,"",IF(AND($AH395,ISNUMBER($AK395)),Constants!$B$20*(Constants!$B$21-$AK395),0))</f>
        <v/>
      </c>
      <c r="AZ395" s="91" t="str">
        <f aca="false">IF($BD395&lt;&gt;Constants!$B$6,"",IF($AG395,0,Constants!$B$12)+IF($AF395,0,Constants!$B$13)+IF($Y395,0,Constants!$B$14))</f>
        <v/>
      </c>
      <c r="BA395" s="92" t="str">
        <f aca="false">IF($BD395&lt;&gt;Constants!$B$6,"",Constants!$B$16+SUM($AW395:$AZ395))</f>
        <v/>
      </c>
      <c r="BB395" s="91" t="str">
        <f aca="false">IF($BD395&lt;&gt;Constants!$B$6,"",IF($AH395,$AJ395,""))</f>
        <v/>
      </c>
      <c r="BC395" s="93" t="str">
        <f aca="false">IF($BD395&lt;&gt;Constants!$B$6,"",$AX395)</f>
        <v/>
      </c>
      <c r="BD395" s="87" t="str">
        <f aca="false">IF(ISBLANK($C395),"",IF($AL395,Constants!$B$9,IF(COUNTA($E395:$T395)=0,Constants!$B$8,IF(NOT($X395),Constants!$B$7,IF(OR($AM395,$AV395),Constants!$B$10,Constants!$B$6)))))</f>
        <v/>
      </c>
      <c r="BE395" s="87" t="str">
        <f aca="false">IF(ISBLANK($C395),"",IF($BD395&lt;&gt;Constants!$B$6,$BD395,Constants!$B$11))</f>
        <v/>
      </c>
      <c r="BF395" s="91" t="str">
        <f aca="false">IF($BD395&lt;&gt;Constants!$B$6,"",IF($AU395="-&gt;",$BA395,$AR395))</f>
        <v/>
      </c>
      <c r="BG395" s="91" t="str">
        <f aca="false">IF($BD395&lt;&gt;Constants!$B$6,"",IF($W395,0,Constants!$B$15))</f>
        <v/>
      </c>
      <c r="BH395" s="91" t="str">
        <f aca="false">IF(ISBLANK($C395),"",IF($BD395&lt;&gt;Constants!$B$6,$BD395,SUM($BF395:$BG395)))</f>
        <v/>
      </c>
      <c r="BI395" s="87" t="str">
        <f aca="false">IF(ISBLANK($C395),"",IF($BD395&lt;&gt;Constants!$B$6,$BD395,RANK($BH395,$BH$9:$BH$508,1)))</f>
        <v/>
      </c>
      <c r="BJ395" s="91" t="str">
        <f aca="false">IF($BD395&lt;&gt;Constants!$B$6,"",IF($AU395="-&gt;",$BB395,$AS395))</f>
        <v/>
      </c>
      <c r="BK395" s="87" t="str">
        <f aca="false">IF(ISBLANK($C395),"",IF($BD395&lt;&gt;Constants!$B$6,$BD395,IF(ISNUMBER($BJ395),RANK($BJ395,$BJ$9:$BJ$508,1),COUNT($BJ$9:$BJ$508)+1)))</f>
        <v/>
      </c>
      <c r="BL395" s="91" t="str">
        <f aca="false">IF($BD395&lt;&gt;Constants!$B$6,"",IF($AU395="-&gt;",$BC395,$AT395))</f>
        <v/>
      </c>
      <c r="BM395" s="87" t="str">
        <f aca="false">IF(ISBLANK($C395),"",IF($BD395&lt;&gt;Constants!$B$6,$BD395,IF(ISNUMBER($BL395),RANK($BL395,$BL$9:$BL$508,1),COUNT($BL$9:$BL$508)+1)))</f>
        <v/>
      </c>
      <c r="BN395" s="91" t="str">
        <f aca="false">IF($BD395&lt;&gt;Constants!$B$6,"",IF($AU395="-&gt;",$AS395,$BB395))</f>
        <v/>
      </c>
      <c r="BO395" s="87" t="str">
        <f aca="false">IF(ISBLANK($C395),"",IF($BD395&lt;&gt;Constants!$B$6,$BD395,IF(ISNUMBER($BN395),RANK($BN395,$BN$9:$BN$508,1),COUNT($BN$9:$BN$508)+1)))</f>
        <v/>
      </c>
      <c r="BP395" s="91" t="str">
        <f aca="false">IF($BD395&lt;&gt;Constants!$B$6,"",IF($AU395="-&gt;",$AT395,$BC395))</f>
        <v/>
      </c>
      <c r="BQ395" s="87" t="str">
        <f aca="false">IF(ISBLANK($C395),"",IF($BD395&lt;&gt;Constants!$B$6,$BD395,IF(ISNUMBER($BP395),RANK($BP395,$BP$9:$BP$508,1),COUNT($BP$9:$BP$508)+1)))</f>
        <v/>
      </c>
      <c r="BR395" s="87" t="str">
        <f aca="false">IF(ISBLANK($C395),"",IF($BD395&lt;&gt;Constants!$B$6,$BD395,COUNTIFS($BI$9:$BI$508,"&lt;"&amp;$BI395)+COUNTIFS($BI$9:$BI$508,$BI395,$BK$9:$BK$508,"&lt;"&amp;$BK395)+COUNTIFS($BI$9:$BI$508,$BI395,$BK$9:$BK$508,$BK395,$BM$9:$BM$508,"&lt;"&amp;$BM395)+COUNTIFS($BI$9:$BI$508,$BI395,$BK$9:$BK$508,$BK395,$BM$9:$BM$508,$BM395,$BO$9:$BO$508,"&lt;"&amp;$BO395)+COUNTIFS($BI$9:$BI$508,$BI395,$BK$9:$BK$508,$BK395,$BM$9:$BM$508,$BM395,$BO$9:$BO$508,$BO395,$BQ$9:$BQ$508,"&lt;"&amp;$BQ395)+1))</f>
        <v/>
      </c>
      <c r="BS395" s="87" t="str">
        <f aca="false">IF(ISBLANK($C395),"",IF($BD395&lt;&gt;Constants!$B$6,$BD395,$BI395-$BR395))</f>
        <v/>
      </c>
      <c r="BT395" s="94"/>
      <c r="BU395" s="95"/>
      <c r="BV395" s="95" t="str">
        <f aca="false">IF(ISBLANK($C395),"",IF($BD395&lt;&gt;Constants!$B$6,"",IF($AU395="-&gt;",2,1)))</f>
        <v/>
      </c>
      <c r="BW395" s="96" t="str">
        <f aca="false">IF(ISBLANK($C395),"",IF($BD395&lt;&gt;Constants!$B$6,"",IF($AU395="-&gt;",$AW395,$AN395)))</f>
        <v/>
      </c>
      <c r="BX395" s="96" t="str">
        <f aca="false">IF(ISBLANK($C395),"",IF($BD395&lt;&gt;Constants!$B$6,"",IF($AU395="-&gt;",$AX395,$AO395)))</f>
        <v/>
      </c>
      <c r="BY395" s="96" t="str">
        <f aca="false">IF(ISBLANK($C395),"",IF($BD395&lt;&gt;Constants!$B$6,"",IF($AU395="-&gt;",$AY395,$AP395)))</f>
        <v/>
      </c>
      <c r="BZ395" s="96" t="str">
        <f aca="false">IF(ISBLANK($C395),"",IF($BD395&lt;&gt;Constants!$B$6,"",IF($AU395="-&gt;",$AZ395,$AQ395)+$BG395))</f>
        <v/>
      </c>
      <c r="CA395" s="97" t="str">
        <f aca="false">IF(ISBLANK($C395),"",IF($BD395&lt;&gt;Constants!$B$6,$BD395,$BH395))</f>
        <v/>
      </c>
      <c r="CB395" s="98" t="str">
        <f aca="false">IF(ISBLANK($C395),"",$BE395)</f>
        <v/>
      </c>
      <c r="CC395" s="99" t="str">
        <f aca="false">IF(ISBLANK($C395),"",$BS395)</f>
        <v/>
      </c>
      <c r="CD395" s="99" t="str">
        <f aca="false">IF(ISBLANK($C395),"",$BR395)</f>
        <v/>
      </c>
      <c r="CE395" s="100" t="str">
        <f aca="false">IF(ISBLANK($C395),"",IF($CD395=Constants!$B$9,COUNTA($C$9:$C$508)+2,IF($CD395=Constants!$B$8,COUNTA($C$9:$C$508)+1,IF($CD395=Constants!$B$7,COUNTA($C$9:$C$508),$CD395))))</f>
        <v/>
      </c>
      <c r="CF395" s="9"/>
      <c r="CG395" s="101" t="n">
        <f aca="false">IF(OR(ISNUMBER($CD395),$CD395=Constants!$B$9,$CD395=Constants!$B$7,$CD395=Constants!$B$8),1,0)</f>
        <v>0</v>
      </c>
      <c r="CH395" s="101" t="n">
        <v>387</v>
      </c>
      <c r="CI395" s="101" t="str">
        <f aca="false">IF(ISBLANK($C395),"",IF(ISNUMBER($CE395),$CE395+ROW($B395)/1000,""))</f>
        <v/>
      </c>
      <c r="CJ395" s="101" t="str">
        <f aca="false">IF(ISNUMBER($CI395),RANK($CI395,$CI$9:$CI$508,1),"")</f>
        <v/>
      </c>
      <c r="CK395" s="101" t="str">
        <f aca="false">IF(ISBLANK($C395),"",$B395)</f>
        <v/>
      </c>
      <c r="CL395" s="101" t="str">
        <f aca="false">IF(ISBLANK($C395),"",$C395)</f>
        <v/>
      </c>
      <c r="CM395" s="101" t="str">
        <f aca="false">IF(ISBLANK($C395),"",$D395)</f>
        <v/>
      </c>
      <c r="CN395" s="102" t="str">
        <f aca="false">$CB395</f>
        <v/>
      </c>
      <c r="CO395" s="103" t="str">
        <f aca="false">$CA395</f>
        <v/>
      </c>
      <c r="CP395" s="101" t="str">
        <f aca="false">IF(ISBLANK($C395),"",$CD395)</f>
        <v/>
      </c>
      <c r="CQ395" s="104" t="str">
        <f aca="false">IF($CH395&gt;$CG$8,"",VLOOKUP($CH395,$CJ$9:$CP$508,7,FALSE()))</f>
        <v/>
      </c>
      <c r="CR395" s="105" t="str">
        <f aca="false">IF($CH395&gt;$CG$8,"",VLOOKUP($CH395,$CJ$9:$CP$508,2,FALSE()))</f>
        <v/>
      </c>
      <c r="CS395" s="105" t="str">
        <f aca="false">IF($CH395&gt;$CG$8,"",VLOOKUP($CH395,$CJ$9:$CP$508,3,FALSE()))</f>
        <v/>
      </c>
      <c r="CT395" s="105" t="str">
        <f aca="false">IF($CH395&gt;$CG$8,"",VLOOKUP($CH395,$CJ$9:$CP$508,4,FALSE()))</f>
        <v/>
      </c>
      <c r="CU395" s="105" t="str">
        <f aca="false">IF($CH395&gt;$CG$8,"",VLOOKUP($CH395,$CJ$9:$CP$508,5,FALSE()))</f>
        <v/>
      </c>
      <c r="CV395" s="106" t="str">
        <f aca="false">IF($CH395&gt;$CG$8,"",VLOOKUP($CH395,$CJ$9:$CP$508,6,FALSE()))</f>
        <v/>
      </c>
      <c r="CW395" s="71"/>
    </row>
    <row r="396" customFormat="false" ht="15.75" hidden="false" customHeight="false" outlineLevel="0" collapsed="false">
      <c r="A396" s="9"/>
      <c r="B396" s="150"/>
      <c r="C396" s="151"/>
      <c r="D396" s="152"/>
      <c r="E396" s="170"/>
      <c r="F396" s="154"/>
      <c r="G396" s="155"/>
      <c r="H396" s="171"/>
      <c r="I396" s="159"/>
      <c r="J396" s="120"/>
      <c r="K396" s="121"/>
      <c r="L396" s="122"/>
      <c r="M396" s="158"/>
      <c r="N396" s="159"/>
      <c r="O396" s="159"/>
      <c r="P396" s="120"/>
      <c r="Q396" s="122"/>
      <c r="R396" s="122"/>
      <c r="S396" s="158"/>
      <c r="T396" s="159"/>
      <c r="U396" s="126"/>
      <c r="V396" s="127"/>
      <c r="W396" s="127" t="str">
        <f aca="false">IF(ISBLANK($C396),"",IF(E396=Constants!$B$2,TRUE(),IF(E396=Constants!$B$3,FALSE(),TRUE())))</f>
        <v/>
      </c>
      <c r="X396" s="127" t="str">
        <f aca="false">IF(ISBLANK($C396),"",IF(F396=Constants!$B$2,TRUE(),IF(F396=Constants!$B$3,FALSE(),TRUE())))</f>
        <v/>
      </c>
      <c r="Y396" s="127" t="str">
        <f aca="false">IF(ISBLANK($C396),"",IF(G396=Constants!$B$2,TRUE(),IF(G396=Constants!$B$3,FALSE(),TRUE())))</f>
        <v/>
      </c>
      <c r="Z396" s="127" t="str">
        <f aca="false">IF(ISBLANK($C396),"",IF(H396=Constants!$B$2,TRUE(),IF(H396=Constants!$B$3,FALSE(),TRUE())))</f>
        <v/>
      </c>
      <c r="AA396" s="127" t="str">
        <f aca="false">IF(ISBLANK($C396),"",IF(I396=Constants!$B$2,TRUE(),IF(I396=Constants!$B$3,FALSE(),TRUE())))</f>
        <v/>
      </c>
      <c r="AB396" s="127" t="str">
        <f aca="false">IF(ISBLANK($C396),"",IF(J396=Constants!$B$4,TRUE(),IF(J396=Constants!$B$5,FALSE(),COUNTA(K396:M396)&gt;0)))</f>
        <v/>
      </c>
      <c r="AC396" s="128" t="str">
        <f aca="false">IF(ISBLANK($C396),"",IF(ISNUMBER(K396),IF(K396&gt;=0,K396,""),""))</f>
        <v/>
      </c>
      <c r="AD396" s="129" t="str">
        <f aca="false">IF(ISBLANK($C396),"",IF(ISNUMBER(L396),IF(L396&gt;=0,L396,""),""))</f>
        <v/>
      </c>
      <c r="AE396" s="127" t="str">
        <f aca="false">IF(ISBLANK($C396),"",IF(ISNUMBER(M396),IF(M396&gt;=0,MIN(M396,Constants!$B$22),""),""))</f>
        <v/>
      </c>
      <c r="AF396" s="127" t="str">
        <f aca="false">IF(ISBLANK($C396),"",IF(N396=Constants!$B$2,TRUE(),IF(N396=Constants!$B$3,FALSE(),TRUE())))</f>
        <v/>
      </c>
      <c r="AG396" s="127" t="str">
        <f aca="false">IF(ISBLANK($C396),"",IF(O396=Constants!$B$2,TRUE(),IF(O396=Constants!$B$3,FALSE(),TRUE())))</f>
        <v/>
      </c>
      <c r="AH396" s="127" t="str">
        <f aca="false">IF(ISBLANK($C396),"",IF(P396=Constants!$B$4,TRUE(),IF(P396=Constants!$B$5,FALSE(),COUNTA(Q396:S396)&gt;0)))</f>
        <v/>
      </c>
      <c r="AI396" s="128" t="str">
        <f aca="false">IF(ISBLANK($C396),"",IF(ISNUMBER(Q396),IF(Q396&gt;=0,Q396,""),""))</f>
        <v/>
      </c>
      <c r="AJ396" s="129" t="str">
        <f aca="false">IF(ISBLANK($C396),"",IF(ISNUMBER(R396),IF(R396&gt;=0,R396,""),""))</f>
        <v/>
      </c>
      <c r="AK396" s="127" t="str">
        <f aca="false">IF(ISBLANK($C396),"",IF(ISNUMBER(S396),IF(S396&gt;=0,MIN(S396,Constants!$B$22),""),""))</f>
        <v/>
      </c>
      <c r="AL396" s="127" t="str">
        <f aca="false">IF(ISBLANK($C396),"",IF(T396=Constants!$B$2,TRUE(),IF(T396=Constants!$B$3,FALSE(),FALSE())))</f>
        <v/>
      </c>
      <c r="AM396" s="126" t="str">
        <f aca="false">IF(ISBLANK($C396),"",AND($AB396,OR($AC396="",$AD396="",AND(NOT(ISBLANK($M396)),$AE396=""))))</f>
        <v/>
      </c>
      <c r="AN396" s="129" t="str">
        <f aca="false">IF($BD396&lt;&gt;Constants!$B$6,"",IF($AB396,Constants!$B$17*$AD396,Constants!$B$18))</f>
        <v/>
      </c>
      <c r="AO396" s="130" t="str">
        <f aca="false">IF($BD396&lt;&gt;Constants!$B$6,"",Constants!$B$19*IF($AB396,$AC396,0))</f>
        <v/>
      </c>
      <c r="AP396" s="130" t="str">
        <f aca="false">IF($BD396&lt;&gt;Constants!$B$6,"",IF(AND($AB396,ISNUMBER($AE396)),Constants!$B$20*(Constants!$B$21-$AE396),0))</f>
        <v/>
      </c>
      <c r="AQ396" s="130" t="str">
        <f aca="false">IF($BD396&lt;&gt;Constants!$B$6,"",IF($AA396,0,Constants!$B$12)+IF($Z396,0,Constants!$B$13)+IF($Y396,0,Constants!$B$14))</f>
        <v/>
      </c>
      <c r="AR396" s="131" t="str">
        <f aca="false">IF($BD396&lt;&gt;Constants!$B$6,"",Constants!$B$16+SUM($AN396:$AQ396))</f>
        <v/>
      </c>
      <c r="AS396" s="130" t="str">
        <f aca="false">IF($BD396&lt;&gt;Constants!$B$6,"",IF($AB396,$AD396,""))</f>
        <v/>
      </c>
      <c r="AT396" s="132" t="str">
        <f aca="false">IF($BD396&lt;&gt;Constants!$B$6,"",$AO396)</f>
        <v/>
      </c>
      <c r="AU396" s="127" t="str">
        <f aca="false">IF($BD396&lt;&gt;Constants!$B$6,"",IF(OR($BA396&lt;$AR396,AND($BA396=$AR396,OR(AND(ISNUMBER($BB396),OR(NOT(ISNUMBER($AS396)),$BB396&lt;$AS396)),AND(OR(AND($BB396="",$AS396=""),AND(ISNUMBER($BB396),ISNUMBER($AS396),$BB396=$AS396)),$BC396&lt;$AT396)))),"-&gt;","&lt;-"))</f>
        <v/>
      </c>
      <c r="AV396" s="126" t="str">
        <f aca="false">IF(ISBLANK($C396),"",AND($AH396,OR($AI396="",$AJ396="",AND(NOT(ISBLANK($S396)),$AK396=""))))</f>
        <v/>
      </c>
      <c r="AW396" s="129" t="str">
        <f aca="false">IF($BD396&lt;&gt;Constants!$B$6,"",IF($AH396,Constants!$B$17*$AJ396,Constants!$B$18))</f>
        <v/>
      </c>
      <c r="AX396" s="130" t="str">
        <f aca="false">IF($BD396&lt;&gt;Constants!$B$6,"",Constants!$B$19*IF($AH396,$AI396,0))</f>
        <v/>
      </c>
      <c r="AY396" s="130" t="str">
        <f aca="false">IF($BD396&lt;&gt;Constants!$B$6,"",IF(AND($AH396,ISNUMBER($AK396)),Constants!$B$20*(Constants!$B$21-$AK396),0))</f>
        <v/>
      </c>
      <c r="AZ396" s="130" t="str">
        <f aca="false">IF($BD396&lt;&gt;Constants!$B$6,"",IF($AG396,0,Constants!$B$12)+IF($AF396,0,Constants!$B$13)+IF($Y396,0,Constants!$B$14))</f>
        <v/>
      </c>
      <c r="BA396" s="131" t="str">
        <f aca="false">IF($BD396&lt;&gt;Constants!$B$6,"",Constants!$B$16+SUM($AW396:$AZ396))</f>
        <v/>
      </c>
      <c r="BB396" s="130" t="str">
        <f aca="false">IF($BD396&lt;&gt;Constants!$B$6,"",IF($AH396,$AJ396,""))</f>
        <v/>
      </c>
      <c r="BC396" s="132" t="str">
        <f aca="false">IF($BD396&lt;&gt;Constants!$B$6,"",$AX396)</f>
        <v/>
      </c>
      <c r="BD396" s="127" t="str">
        <f aca="false">IF(ISBLANK($C396),"",IF($AL396,Constants!$B$9,IF(COUNTA($E396:$T396)=0,Constants!$B$8,IF(NOT($X396),Constants!$B$7,IF(OR($AM396,$AV396),Constants!$B$10,Constants!$B$6)))))</f>
        <v/>
      </c>
      <c r="BE396" s="127" t="str">
        <f aca="false">IF(ISBLANK($C396),"",IF($BD396&lt;&gt;Constants!$B$6,$BD396,Constants!$B$11))</f>
        <v/>
      </c>
      <c r="BF396" s="130" t="str">
        <f aca="false">IF($BD396&lt;&gt;Constants!$B$6,"",IF($AU396="-&gt;",$BA396,$AR396))</f>
        <v/>
      </c>
      <c r="BG396" s="130" t="str">
        <f aca="false">IF($BD396&lt;&gt;Constants!$B$6,"",IF($W396,0,Constants!$B$15))</f>
        <v/>
      </c>
      <c r="BH396" s="130" t="str">
        <f aca="false">IF(ISBLANK($C396),"",IF($BD396&lt;&gt;Constants!$B$6,$BD396,SUM($BF396:$BG396)))</f>
        <v/>
      </c>
      <c r="BI396" s="127" t="str">
        <f aca="false">IF(ISBLANK($C396),"",IF($BD396&lt;&gt;Constants!$B$6,$BD396,RANK($BH396,$BH$9:$BH$508,1)))</f>
        <v/>
      </c>
      <c r="BJ396" s="130" t="str">
        <f aca="false">IF($BD396&lt;&gt;Constants!$B$6,"",IF($AU396="-&gt;",$BB396,$AS396))</f>
        <v/>
      </c>
      <c r="BK396" s="127" t="str">
        <f aca="false">IF(ISBLANK($C396),"",IF($BD396&lt;&gt;Constants!$B$6,$BD396,IF(ISNUMBER($BJ396),RANK($BJ396,$BJ$9:$BJ$508,1),COUNT($BJ$9:$BJ$508)+1)))</f>
        <v/>
      </c>
      <c r="BL396" s="130" t="str">
        <f aca="false">IF($BD396&lt;&gt;Constants!$B$6,"",IF($AU396="-&gt;",$BC396,$AT396))</f>
        <v/>
      </c>
      <c r="BM396" s="127" t="str">
        <f aca="false">IF(ISBLANK($C396),"",IF($BD396&lt;&gt;Constants!$B$6,$BD396,IF(ISNUMBER($BL396),RANK($BL396,$BL$9:$BL$508,1),COUNT($BL$9:$BL$508)+1)))</f>
        <v/>
      </c>
      <c r="BN396" s="130" t="str">
        <f aca="false">IF($BD396&lt;&gt;Constants!$B$6,"",IF($AU396="-&gt;",$AS396,$BB396))</f>
        <v/>
      </c>
      <c r="BO396" s="127" t="str">
        <f aca="false">IF(ISBLANK($C396),"",IF($BD396&lt;&gt;Constants!$B$6,$BD396,IF(ISNUMBER($BN396),RANK($BN396,$BN$9:$BN$508,1),COUNT($BN$9:$BN$508)+1)))</f>
        <v/>
      </c>
      <c r="BP396" s="130" t="str">
        <f aca="false">IF($BD396&lt;&gt;Constants!$B$6,"",IF($AU396="-&gt;",$AT396,$BC396))</f>
        <v/>
      </c>
      <c r="BQ396" s="127" t="str">
        <f aca="false">IF(ISBLANK($C396),"",IF($BD396&lt;&gt;Constants!$B$6,$BD396,IF(ISNUMBER($BP396),RANK($BP396,$BP$9:$BP$508,1),COUNT($BP$9:$BP$508)+1)))</f>
        <v/>
      </c>
      <c r="BR396" s="127" t="str">
        <f aca="false">IF(ISBLANK($C396),"",IF($BD396&lt;&gt;Constants!$B$6,$BD396,COUNTIFS($BI$9:$BI$508,"&lt;"&amp;$BI396)+COUNTIFS($BI$9:$BI$508,$BI396,$BK$9:$BK$508,"&lt;"&amp;$BK396)+COUNTIFS($BI$9:$BI$508,$BI396,$BK$9:$BK$508,$BK396,$BM$9:$BM$508,"&lt;"&amp;$BM396)+COUNTIFS($BI$9:$BI$508,$BI396,$BK$9:$BK$508,$BK396,$BM$9:$BM$508,$BM396,$BO$9:$BO$508,"&lt;"&amp;$BO396)+COUNTIFS($BI$9:$BI$508,$BI396,$BK$9:$BK$508,$BK396,$BM$9:$BM$508,$BM396,$BO$9:$BO$508,$BO396,$BQ$9:$BQ$508,"&lt;"&amp;$BQ396)+1))</f>
        <v/>
      </c>
      <c r="BS396" s="127" t="str">
        <f aca="false">IF(ISBLANK($C396),"",IF($BD396&lt;&gt;Constants!$B$6,$BD396,$BI396-$BR396))</f>
        <v/>
      </c>
      <c r="BT396" s="133"/>
      <c r="BU396" s="134"/>
      <c r="BV396" s="134" t="str">
        <f aca="false">IF(ISBLANK($C396),"",IF($BD396&lt;&gt;Constants!$B$6,"",IF($AU396="-&gt;",2,1)))</f>
        <v/>
      </c>
      <c r="BW396" s="135" t="str">
        <f aca="false">IF(ISBLANK($C396),"",IF($BD396&lt;&gt;Constants!$B$6,"",IF($AU396="-&gt;",$AW396,$AN396)))</f>
        <v/>
      </c>
      <c r="BX396" s="135" t="str">
        <f aca="false">IF(ISBLANK($C396),"",IF($BD396&lt;&gt;Constants!$B$6,"",IF($AU396="-&gt;",$AX396,$AO396)))</f>
        <v/>
      </c>
      <c r="BY396" s="135" t="str">
        <f aca="false">IF(ISBLANK($C396),"",IF($BD396&lt;&gt;Constants!$B$6,"",IF($AU396="-&gt;",$AY396,$AP396)))</f>
        <v/>
      </c>
      <c r="BZ396" s="135" t="str">
        <f aca="false">IF(ISBLANK($C396),"",IF($BD396&lt;&gt;Constants!$B$6,"",IF($AU396="-&gt;",$AZ396,$AQ396)+$BG396))</f>
        <v/>
      </c>
      <c r="CA396" s="136" t="str">
        <f aca="false">IF(ISBLANK($C396),"",IF($BD396&lt;&gt;Constants!$B$6,$BD396,$BH396))</f>
        <v/>
      </c>
      <c r="CB396" s="137" t="str">
        <f aca="false">IF(ISBLANK($C396),"",$BE396)</f>
        <v/>
      </c>
      <c r="CC396" s="138" t="str">
        <f aca="false">IF(ISBLANK($C396),"",$BS396)</f>
        <v/>
      </c>
      <c r="CD396" s="138" t="str">
        <f aca="false">IF(ISBLANK($C396),"",$BR396)</f>
        <v/>
      </c>
      <c r="CE396" s="139" t="str">
        <f aca="false">IF(ISBLANK($C396),"",IF($CD396=Constants!$B$9,COUNTA($C$9:$C$508)+2,IF($CD396=Constants!$B$8,COUNTA($C$9:$C$508)+1,IF($CD396=Constants!$B$7,COUNTA($C$9:$C$508),$CD396))))</f>
        <v/>
      </c>
      <c r="CF396" s="9"/>
      <c r="CG396" s="140" t="n">
        <f aca="false">IF(OR(ISNUMBER($CD396),$CD396=Constants!$B$9,$CD396=Constants!$B$7,$CD396=Constants!$B$8),1,0)</f>
        <v>0</v>
      </c>
      <c r="CH396" s="140" t="n">
        <v>388</v>
      </c>
      <c r="CI396" s="140" t="str">
        <f aca="false">IF(ISBLANK($C396),"",IF(ISNUMBER($CE396),$CE396+ROW($B396)/1000,""))</f>
        <v/>
      </c>
      <c r="CJ396" s="140" t="str">
        <f aca="false">IF(ISNUMBER($CI396),RANK($CI396,$CI$9:$CI$508,1),"")</f>
        <v/>
      </c>
      <c r="CK396" s="140" t="str">
        <f aca="false">IF(ISBLANK($C396),"",$B396)</f>
        <v/>
      </c>
      <c r="CL396" s="140" t="str">
        <f aca="false">IF(ISBLANK($C396),"",$C396)</f>
        <v/>
      </c>
      <c r="CM396" s="140" t="str">
        <f aca="false">IF(ISBLANK($C396),"",$D396)</f>
        <v/>
      </c>
      <c r="CN396" s="141" t="str">
        <f aca="false">$CB396</f>
        <v/>
      </c>
      <c r="CO396" s="142" t="str">
        <f aca="false">$CA396</f>
        <v/>
      </c>
      <c r="CP396" s="140" t="str">
        <f aca="false">IF(ISBLANK($C396),"",$CD396)</f>
        <v/>
      </c>
      <c r="CQ396" s="143" t="str">
        <f aca="false">IF($CH396&gt;$CG$8,"",VLOOKUP($CH396,$CJ$9:$CP$508,7,FALSE()))</f>
        <v/>
      </c>
      <c r="CR396" s="144" t="str">
        <f aca="false">IF($CH396&gt;$CG$8,"",VLOOKUP($CH396,$CJ$9:$CP$508,2,FALSE()))</f>
        <v/>
      </c>
      <c r="CS396" s="144" t="str">
        <f aca="false">IF($CH396&gt;$CG$8,"",VLOOKUP($CH396,$CJ$9:$CP$508,3,FALSE()))</f>
        <v/>
      </c>
      <c r="CT396" s="144" t="str">
        <f aca="false">IF($CH396&gt;$CG$8,"",VLOOKUP($CH396,$CJ$9:$CP$508,4,FALSE()))</f>
        <v/>
      </c>
      <c r="CU396" s="144" t="str">
        <f aca="false">IF($CH396&gt;$CG$8,"",VLOOKUP($CH396,$CJ$9:$CP$508,5,FALSE()))</f>
        <v/>
      </c>
      <c r="CV396" s="145" t="str">
        <f aca="false">IF($CH396&gt;$CG$8,"",VLOOKUP($CH396,$CJ$9:$CP$508,6,FALSE()))</f>
        <v/>
      </c>
      <c r="CW396" s="71"/>
    </row>
    <row r="397" customFormat="false" ht="15.75" hidden="false" customHeight="false" outlineLevel="0" collapsed="false">
      <c r="A397" s="9"/>
      <c r="B397" s="150"/>
      <c r="C397" s="151"/>
      <c r="D397" s="152"/>
      <c r="E397" s="170"/>
      <c r="F397" s="154"/>
      <c r="G397" s="155"/>
      <c r="H397" s="171"/>
      <c r="I397" s="159"/>
      <c r="J397" s="120"/>
      <c r="K397" s="121"/>
      <c r="L397" s="122"/>
      <c r="M397" s="158"/>
      <c r="N397" s="159"/>
      <c r="O397" s="159"/>
      <c r="P397" s="120"/>
      <c r="Q397" s="122"/>
      <c r="R397" s="122"/>
      <c r="S397" s="158"/>
      <c r="T397" s="159"/>
      <c r="U397" s="126"/>
      <c r="V397" s="127"/>
      <c r="W397" s="127" t="str">
        <f aca="false">IF(ISBLANK($C397),"",IF(E397=Constants!$B$2,TRUE(),IF(E397=Constants!$B$3,FALSE(),TRUE())))</f>
        <v/>
      </c>
      <c r="X397" s="127" t="str">
        <f aca="false">IF(ISBLANK($C397),"",IF(F397=Constants!$B$2,TRUE(),IF(F397=Constants!$B$3,FALSE(),TRUE())))</f>
        <v/>
      </c>
      <c r="Y397" s="127" t="str">
        <f aca="false">IF(ISBLANK($C397),"",IF(G397=Constants!$B$2,TRUE(),IF(G397=Constants!$B$3,FALSE(),TRUE())))</f>
        <v/>
      </c>
      <c r="Z397" s="127" t="str">
        <f aca="false">IF(ISBLANK($C397),"",IF(H397=Constants!$B$2,TRUE(),IF(H397=Constants!$B$3,FALSE(),TRUE())))</f>
        <v/>
      </c>
      <c r="AA397" s="127" t="str">
        <f aca="false">IF(ISBLANK($C397),"",IF(I397=Constants!$B$2,TRUE(),IF(I397=Constants!$B$3,FALSE(),TRUE())))</f>
        <v/>
      </c>
      <c r="AB397" s="127" t="str">
        <f aca="false">IF(ISBLANK($C397),"",IF(J397=Constants!$B$4,TRUE(),IF(J397=Constants!$B$5,FALSE(),COUNTA(K397:M397)&gt;0)))</f>
        <v/>
      </c>
      <c r="AC397" s="128" t="str">
        <f aca="false">IF(ISBLANK($C397),"",IF(ISNUMBER(K397),IF(K397&gt;=0,K397,""),""))</f>
        <v/>
      </c>
      <c r="AD397" s="129" t="str">
        <f aca="false">IF(ISBLANK($C397),"",IF(ISNUMBER(L397),IF(L397&gt;=0,L397,""),""))</f>
        <v/>
      </c>
      <c r="AE397" s="127" t="str">
        <f aca="false">IF(ISBLANK($C397),"",IF(ISNUMBER(M397),IF(M397&gt;=0,MIN(M397,Constants!$B$22),""),""))</f>
        <v/>
      </c>
      <c r="AF397" s="127" t="str">
        <f aca="false">IF(ISBLANK($C397),"",IF(N397=Constants!$B$2,TRUE(),IF(N397=Constants!$B$3,FALSE(),TRUE())))</f>
        <v/>
      </c>
      <c r="AG397" s="127" t="str">
        <f aca="false">IF(ISBLANK($C397),"",IF(O397=Constants!$B$2,TRUE(),IF(O397=Constants!$B$3,FALSE(),TRUE())))</f>
        <v/>
      </c>
      <c r="AH397" s="127" t="str">
        <f aca="false">IF(ISBLANK($C397),"",IF(P397=Constants!$B$4,TRUE(),IF(P397=Constants!$B$5,FALSE(),COUNTA(Q397:S397)&gt;0)))</f>
        <v/>
      </c>
      <c r="AI397" s="128" t="str">
        <f aca="false">IF(ISBLANK($C397),"",IF(ISNUMBER(Q397),IF(Q397&gt;=0,Q397,""),""))</f>
        <v/>
      </c>
      <c r="AJ397" s="129" t="str">
        <f aca="false">IF(ISBLANK($C397),"",IF(ISNUMBER(R397),IF(R397&gt;=0,R397,""),""))</f>
        <v/>
      </c>
      <c r="AK397" s="127" t="str">
        <f aca="false">IF(ISBLANK($C397),"",IF(ISNUMBER(S397),IF(S397&gt;=0,MIN(S397,Constants!$B$22),""),""))</f>
        <v/>
      </c>
      <c r="AL397" s="127" t="str">
        <f aca="false">IF(ISBLANK($C397),"",IF(T397=Constants!$B$2,TRUE(),IF(T397=Constants!$B$3,FALSE(),FALSE())))</f>
        <v/>
      </c>
      <c r="AM397" s="126" t="str">
        <f aca="false">IF(ISBLANK($C397),"",AND($AB397,OR($AC397="",$AD397="",AND(NOT(ISBLANK($M397)),$AE397=""))))</f>
        <v/>
      </c>
      <c r="AN397" s="129" t="str">
        <f aca="false">IF($BD397&lt;&gt;Constants!$B$6,"",IF($AB397,Constants!$B$17*$AD397,Constants!$B$18))</f>
        <v/>
      </c>
      <c r="AO397" s="130" t="str">
        <f aca="false">IF($BD397&lt;&gt;Constants!$B$6,"",Constants!$B$19*IF($AB397,$AC397,0))</f>
        <v/>
      </c>
      <c r="AP397" s="130" t="str">
        <f aca="false">IF($BD397&lt;&gt;Constants!$B$6,"",IF(AND($AB397,ISNUMBER($AE397)),Constants!$B$20*(Constants!$B$21-$AE397),0))</f>
        <v/>
      </c>
      <c r="AQ397" s="130" t="str">
        <f aca="false">IF($BD397&lt;&gt;Constants!$B$6,"",IF($AA397,0,Constants!$B$12)+IF($Z397,0,Constants!$B$13)+IF($Y397,0,Constants!$B$14))</f>
        <v/>
      </c>
      <c r="AR397" s="131" t="str">
        <f aca="false">IF($BD397&lt;&gt;Constants!$B$6,"",Constants!$B$16+SUM($AN397:$AQ397))</f>
        <v/>
      </c>
      <c r="AS397" s="130" t="str">
        <f aca="false">IF($BD397&lt;&gt;Constants!$B$6,"",IF($AB397,$AD397,""))</f>
        <v/>
      </c>
      <c r="AT397" s="132" t="str">
        <f aca="false">IF($BD397&lt;&gt;Constants!$B$6,"",$AO397)</f>
        <v/>
      </c>
      <c r="AU397" s="127" t="str">
        <f aca="false">IF($BD397&lt;&gt;Constants!$B$6,"",IF(OR($BA397&lt;$AR397,AND($BA397=$AR397,OR(AND(ISNUMBER($BB397),OR(NOT(ISNUMBER($AS397)),$BB397&lt;$AS397)),AND(OR(AND($BB397="",$AS397=""),AND(ISNUMBER($BB397),ISNUMBER($AS397),$BB397=$AS397)),$BC397&lt;$AT397)))),"-&gt;","&lt;-"))</f>
        <v/>
      </c>
      <c r="AV397" s="126" t="str">
        <f aca="false">IF(ISBLANK($C397),"",AND($AH397,OR($AI397="",$AJ397="",AND(NOT(ISBLANK($S397)),$AK397=""))))</f>
        <v/>
      </c>
      <c r="AW397" s="129" t="str">
        <f aca="false">IF($BD397&lt;&gt;Constants!$B$6,"",IF($AH397,Constants!$B$17*$AJ397,Constants!$B$18))</f>
        <v/>
      </c>
      <c r="AX397" s="130" t="str">
        <f aca="false">IF($BD397&lt;&gt;Constants!$B$6,"",Constants!$B$19*IF($AH397,$AI397,0))</f>
        <v/>
      </c>
      <c r="AY397" s="130" t="str">
        <f aca="false">IF($BD397&lt;&gt;Constants!$B$6,"",IF(AND($AH397,ISNUMBER($AK397)),Constants!$B$20*(Constants!$B$21-$AK397),0))</f>
        <v/>
      </c>
      <c r="AZ397" s="130" t="str">
        <f aca="false">IF($BD397&lt;&gt;Constants!$B$6,"",IF($AG397,0,Constants!$B$12)+IF($AF397,0,Constants!$B$13)+IF($Y397,0,Constants!$B$14))</f>
        <v/>
      </c>
      <c r="BA397" s="131" t="str">
        <f aca="false">IF($BD397&lt;&gt;Constants!$B$6,"",Constants!$B$16+SUM($AW397:$AZ397))</f>
        <v/>
      </c>
      <c r="BB397" s="130" t="str">
        <f aca="false">IF($BD397&lt;&gt;Constants!$B$6,"",IF($AH397,$AJ397,""))</f>
        <v/>
      </c>
      <c r="BC397" s="132" t="str">
        <f aca="false">IF($BD397&lt;&gt;Constants!$B$6,"",$AX397)</f>
        <v/>
      </c>
      <c r="BD397" s="127" t="str">
        <f aca="false">IF(ISBLANK($C397),"",IF($AL397,Constants!$B$9,IF(COUNTA($E397:$T397)=0,Constants!$B$8,IF(NOT($X397),Constants!$B$7,IF(OR($AM397,$AV397),Constants!$B$10,Constants!$B$6)))))</f>
        <v/>
      </c>
      <c r="BE397" s="127" t="str">
        <f aca="false">IF(ISBLANK($C397),"",IF($BD397&lt;&gt;Constants!$B$6,$BD397,Constants!$B$11))</f>
        <v/>
      </c>
      <c r="BF397" s="130" t="str">
        <f aca="false">IF($BD397&lt;&gt;Constants!$B$6,"",IF($AU397="-&gt;",$BA397,$AR397))</f>
        <v/>
      </c>
      <c r="BG397" s="130" t="str">
        <f aca="false">IF($BD397&lt;&gt;Constants!$B$6,"",IF($W397,0,Constants!$B$15))</f>
        <v/>
      </c>
      <c r="BH397" s="130" t="str">
        <f aca="false">IF(ISBLANK($C397),"",IF($BD397&lt;&gt;Constants!$B$6,$BD397,SUM($BF397:$BG397)))</f>
        <v/>
      </c>
      <c r="BI397" s="127" t="str">
        <f aca="false">IF(ISBLANK($C397),"",IF($BD397&lt;&gt;Constants!$B$6,$BD397,RANK($BH397,$BH$9:$BH$508,1)))</f>
        <v/>
      </c>
      <c r="BJ397" s="130" t="str">
        <f aca="false">IF($BD397&lt;&gt;Constants!$B$6,"",IF($AU397="-&gt;",$BB397,$AS397))</f>
        <v/>
      </c>
      <c r="BK397" s="127" t="str">
        <f aca="false">IF(ISBLANK($C397),"",IF($BD397&lt;&gt;Constants!$B$6,$BD397,IF(ISNUMBER($BJ397),RANK($BJ397,$BJ$9:$BJ$508,1),COUNT($BJ$9:$BJ$508)+1)))</f>
        <v/>
      </c>
      <c r="BL397" s="130" t="str">
        <f aca="false">IF($BD397&lt;&gt;Constants!$B$6,"",IF($AU397="-&gt;",$BC397,$AT397))</f>
        <v/>
      </c>
      <c r="BM397" s="127" t="str">
        <f aca="false">IF(ISBLANK($C397),"",IF($BD397&lt;&gt;Constants!$B$6,$BD397,IF(ISNUMBER($BL397),RANK($BL397,$BL$9:$BL$508,1),COUNT($BL$9:$BL$508)+1)))</f>
        <v/>
      </c>
      <c r="BN397" s="130" t="str">
        <f aca="false">IF($BD397&lt;&gt;Constants!$B$6,"",IF($AU397="-&gt;",$AS397,$BB397))</f>
        <v/>
      </c>
      <c r="BO397" s="127" t="str">
        <f aca="false">IF(ISBLANK($C397),"",IF($BD397&lt;&gt;Constants!$B$6,$BD397,IF(ISNUMBER($BN397),RANK($BN397,$BN$9:$BN$508,1),COUNT($BN$9:$BN$508)+1)))</f>
        <v/>
      </c>
      <c r="BP397" s="130" t="str">
        <f aca="false">IF($BD397&lt;&gt;Constants!$B$6,"",IF($AU397="-&gt;",$AT397,$BC397))</f>
        <v/>
      </c>
      <c r="BQ397" s="127" t="str">
        <f aca="false">IF(ISBLANK($C397),"",IF($BD397&lt;&gt;Constants!$B$6,$BD397,IF(ISNUMBER($BP397),RANK($BP397,$BP$9:$BP$508,1),COUNT($BP$9:$BP$508)+1)))</f>
        <v/>
      </c>
      <c r="BR397" s="127" t="str">
        <f aca="false">IF(ISBLANK($C397),"",IF($BD397&lt;&gt;Constants!$B$6,$BD397,COUNTIFS($BI$9:$BI$508,"&lt;"&amp;$BI397)+COUNTIFS($BI$9:$BI$508,$BI397,$BK$9:$BK$508,"&lt;"&amp;$BK397)+COUNTIFS($BI$9:$BI$508,$BI397,$BK$9:$BK$508,$BK397,$BM$9:$BM$508,"&lt;"&amp;$BM397)+COUNTIFS($BI$9:$BI$508,$BI397,$BK$9:$BK$508,$BK397,$BM$9:$BM$508,$BM397,$BO$9:$BO$508,"&lt;"&amp;$BO397)+COUNTIFS($BI$9:$BI$508,$BI397,$BK$9:$BK$508,$BK397,$BM$9:$BM$508,$BM397,$BO$9:$BO$508,$BO397,$BQ$9:$BQ$508,"&lt;"&amp;$BQ397)+1))</f>
        <v/>
      </c>
      <c r="BS397" s="127" t="str">
        <f aca="false">IF(ISBLANK($C397),"",IF($BD397&lt;&gt;Constants!$B$6,$BD397,$BI397-$BR397))</f>
        <v/>
      </c>
      <c r="BT397" s="133"/>
      <c r="BU397" s="134"/>
      <c r="BV397" s="134" t="str">
        <f aca="false">IF(ISBLANK($C397),"",IF($BD397&lt;&gt;Constants!$B$6,"",IF($AU397="-&gt;",2,1)))</f>
        <v/>
      </c>
      <c r="BW397" s="135" t="str">
        <f aca="false">IF(ISBLANK($C397),"",IF($BD397&lt;&gt;Constants!$B$6,"",IF($AU397="-&gt;",$AW397,$AN397)))</f>
        <v/>
      </c>
      <c r="BX397" s="135" t="str">
        <f aca="false">IF(ISBLANK($C397),"",IF($BD397&lt;&gt;Constants!$B$6,"",IF($AU397="-&gt;",$AX397,$AO397)))</f>
        <v/>
      </c>
      <c r="BY397" s="135" t="str">
        <f aca="false">IF(ISBLANK($C397),"",IF($BD397&lt;&gt;Constants!$B$6,"",IF($AU397="-&gt;",$AY397,$AP397)))</f>
        <v/>
      </c>
      <c r="BZ397" s="135" t="str">
        <f aca="false">IF(ISBLANK($C397),"",IF($BD397&lt;&gt;Constants!$B$6,"",IF($AU397="-&gt;",$AZ397,$AQ397)+$BG397))</f>
        <v/>
      </c>
      <c r="CA397" s="136" t="str">
        <f aca="false">IF(ISBLANK($C397),"",IF($BD397&lt;&gt;Constants!$B$6,$BD397,$BH397))</f>
        <v/>
      </c>
      <c r="CB397" s="137" t="str">
        <f aca="false">IF(ISBLANK($C397),"",$BE397)</f>
        <v/>
      </c>
      <c r="CC397" s="138" t="str">
        <f aca="false">IF(ISBLANK($C397),"",$BS397)</f>
        <v/>
      </c>
      <c r="CD397" s="138" t="str">
        <f aca="false">IF(ISBLANK($C397),"",$BR397)</f>
        <v/>
      </c>
      <c r="CE397" s="139" t="str">
        <f aca="false">IF(ISBLANK($C397),"",IF($CD397=Constants!$B$9,COUNTA($C$9:$C$508)+2,IF($CD397=Constants!$B$8,COUNTA($C$9:$C$508)+1,IF($CD397=Constants!$B$7,COUNTA($C$9:$C$508),$CD397))))</f>
        <v/>
      </c>
      <c r="CF397" s="9"/>
      <c r="CG397" s="140" t="n">
        <f aca="false">IF(OR(ISNUMBER($CD397),$CD397=Constants!$B$9,$CD397=Constants!$B$7,$CD397=Constants!$B$8),1,0)</f>
        <v>0</v>
      </c>
      <c r="CH397" s="140" t="n">
        <v>389</v>
      </c>
      <c r="CI397" s="140" t="str">
        <f aca="false">IF(ISBLANK($C397),"",IF(ISNUMBER($CE397),$CE397+ROW($B397)/1000,""))</f>
        <v/>
      </c>
      <c r="CJ397" s="140" t="str">
        <f aca="false">IF(ISNUMBER($CI397),RANK($CI397,$CI$9:$CI$508,1),"")</f>
        <v/>
      </c>
      <c r="CK397" s="140" t="str">
        <f aca="false">IF(ISBLANK($C397),"",$B397)</f>
        <v/>
      </c>
      <c r="CL397" s="140" t="str">
        <f aca="false">IF(ISBLANK($C397),"",$C397)</f>
        <v/>
      </c>
      <c r="CM397" s="140" t="str">
        <f aca="false">IF(ISBLANK($C397),"",$D397)</f>
        <v/>
      </c>
      <c r="CN397" s="141" t="str">
        <f aca="false">$CB397</f>
        <v/>
      </c>
      <c r="CO397" s="142" t="str">
        <f aca="false">$CA397</f>
        <v/>
      </c>
      <c r="CP397" s="140" t="str">
        <f aca="false">IF(ISBLANK($C397),"",$CD397)</f>
        <v/>
      </c>
      <c r="CQ397" s="143" t="str">
        <f aca="false">IF($CH397&gt;$CG$8,"",VLOOKUP($CH397,$CJ$9:$CP$508,7,FALSE()))</f>
        <v/>
      </c>
      <c r="CR397" s="144" t="str">
        <f aca="false">IF($CH397&gt;$CG$8,"",VLOOKUP($CH397,$CJ$9:$CP$508,2,FALSE()))</f>
        <v/>
      </c>
      <c r="CS397" s="144" t="str">
        <f aca="false">IF($CH397&gt;$CG$8,"",VLOOKUP($CH397,$CJ$9:$CP$508,3,FALSE()))</f>
        <v/>
      </c>
      <c r="CT397" s="144" t="str">
        <f aca="false">IF($CH397&gt;$CG$8,"",VLOOKUP($CH397,$CJ$9:$CP$508,4,FALSE()))</f>
        <v/>
      </c>
      <c r="CU397" s="144" t="str">
        <f aca="false">IF($CH397&gt;$CG$8,"",VLOOKUP($CH397,$CJ$9:$CP$508,5,FALSE()))</f>
        <v/>
      </c>
      <c r="CV397" s="145" t="str">
        <f aca="false">IF($CH397&gt;$CG$8,"",VLOOKUP($CH397,$CJ$9:$CP$508,6,FALSE()))</f>
        <v/>
      </c>
      <c r="CW397" s="71"/>
    </row>
    <row r="398" customFormat="false" ht="15.75" hidden="false" customHeight="false" outlineLevel="0" collapsed="false">
      <c r="A398" s="9"/>
      <c r="B398" s="150"/>
      <c r="C398" s="151"/>
      <c r="D398" s="152"/>
      <c r="E398" s="170"/>
      <c r="F398" s="154"/>
      <c r="G398" s="155"/>
      <c r="H398" s="171"/>
      <c r="I398" s="159"/>
      <c r="J398" s="120"/>
      <c r="K398" s="121"/>
      <c r="L398" s="122"/>
      <c r="M398" s="158"/>
      <c r="N398" s="159"/>
      <c r="O398" s="159"/>
      <c r="P398" s="120"/>
      <c r="Q398" s="122"/>
      <c r="R398" s="122"/>
      <c r="S398" s="158"/>
      <c r="T398" s="159"/>
      <c r="U398" s="126"/>
      <c r="V398" s="127"/>
      <c r="W398" s="127" t="str">
        <f aca="false">IF(ISBLANK($C398),"",IF(E398=Constants!$B$2,TRUE(),IF(E398=Constants!$B$3,FALSE(),TRUE())))</f>
        <v/>
      </c>
      <c r="X398" s="127" t="str">
        <f aca="false">IF(ISBLANK($C398),"",IF(F398=Constants!$B$2,TRUE(),IF(F398=Constants!$B$3,FALSE(),TRUE())))</f>
        <v/>
      </c>
      <c r="Y398" s="127" t="str">
        <f aca="false">IF(ISBLANK($C398),"",IF(G398=Constants!$B$2,TRUE(),IF(G398=Constants!$B$3,FALSE(),TRUE())))</f>
        <v/>
      </c>
      <c r="Z398" s="127" t="str">
        <f aca="false">IF(ISBLANK($C398),"",IF(H398=Constants!$B$2,TRUE(),IF(H398=Constants!$B$3,FALSE(),TRUE())))</f>
        <v/>
      </c>
      <c r="AA398" s="127" t="str">
        <f aca="false">IF(ISBLANK($C398),"",IF(I398=Constants!$B$2,TRUE(),IF(I398=Constants!$B$3,FALSE(),TRUE())))</f>
        <v/>
      </c>
      <c r="AB398" s="127" t="str">
        <f aca="false">IF(ISBLANK($C398),"",IF(J398=Constants!$B$4,TRUE(),IF(J398=Constants!$B$5,FALSE(),COUNTA(K398:M398)&gt;0)))</f>
        <v/>
      </c>
      <c r="AC398" s="128" t="str">
        <f aca="false">IF(ISBLANK($C398),"",IF(ISNUMBER(K398),IF(K398&gt;=0,K398,""),""))</f>
        <v/>
      </c>
      <c r="AD398" s="129" t="str">
        <f aca="false">IF(ISBLANK($C398),"",IF(ISNUMBER(L398),IF(L398&gt;=0,L398,""),""))</f>
        <v/>
      </c>
      <c r="AE398" s="127" t="str">
        <f aca="false">IF(ISBLANK($C398),"",IF(ISNUMBER(M398),IF(M398&gt;=0,MIN(M398,Constants!$B$22),""),""))</f>
        <v/>
      </c>
      <c r="AF398" s="127" t="str">
        <f aca="false">IF(ISBLANK($C398),"",IF(N398=Constants!$B$2,TRUE(),IF(N398=Constants!$B$3,FALSE(),TRUE())))</f>
        <v/>
      </c>
      <c r="AG398" s="127" t="str">
        <f aca="false">IF(ISBLANK($C398),"",IF(O398=Constants!$B$2,TRUE(),IF(O398=Constants!$B$3,FALSE(),TRUE())))</f>
        <v/>
      </c>
      <c r="AH398" s="127" t="str">
        <f aca="false">IF(ISBLANK($C398),"",IF(P398=Constants!$B$4,TRUE(),IF(P398=Constants!$B$5,FALSE(),COUNTA(Q398:S398)&gt;0)))</f>
        <v/>
      </c>
      <c r="AI398" s="128" t="str">
        <f aca="false">IF(ISBLANK($C398),"",IF(ISNUMBER(Q398),IF(Q398&gt;=0,Q398,""),""))</f>
        <v/>
      </c>
      <c r="AJ398" s="129" t="str">
        <f aca="false">IF(ISBLANK($C398),"",IF(ISNUMBER(R398),IF(R398&gt;=0,R398,""),""))</f>
        <v/>
      </c>
      <c r="AK398" s="127" t="str">
        <f aca="false">IF(ISBLANK($C398),"",IF(ISNUMBER(S398),IF(S398&gt;=0,MIN(S398,Constants!$B$22),""),""))</f>
        <v/>
      </c>
      <c r="AL398" s="127" t="str">
        <f aca="false">IF(ISBLANK($C398),"",IF(T398=Constants!$B$2,TRUE(),IF(T398=Constants!$B$3,FALSE(),FALSE())))</f>
        <v/>
      </c>
      <c r="AM398" s="126" t="str">
        <f aca="false">IF(ISBLANK($C398),"",AND($AB398,OR($AC398="",$AD398="",AND(NOT(ISBLANK($M398)),$AE398=""))))</f>
        <v/>
      </c>
      <c r="AN398" s="129" t="str">
        <f aca="false">IF($BD398&lt;&gt;Constants!$B$6,"",IF($AB398,Constants!$B$17*$AD398,Constants!$B$18))</f>
        <v/>
      </c>
      <c r="AO398" s="130" t="str">
        <f aca="false">IF($BD398&lt;&gt;Constants!$B$6,"",Constants!$B$19*IF($AB398,$AC398,0))</f>
        <v/>
      </c>
      <c r="AP398" s="130" t="str">
        <f aca="false">IF($BD398&lt;&gt;Constants!$B$6,"",IF(AND($AB398,ISNUMBER($AE398)),Constants!$B$20*(Constants!$B$21-$AE398),0))</f>
        <v/>
      </c>
      <c r="AQ398" s="130" t="str">
        <f aca="false">IF($BD398&lt;&gt;Constants!$B$6,"",IF($AA398,0,Constants!$B$12)+IF($Z398,0,Constants!$B$13)+IF($Y398,0,Constants!$B$14))</f>
        <v/>
      </c>
      <c r="AR398" s="131" t="str">
        <f aca="false">IF($BD398&lt;&gt;Constants!$B$6,"",Constants!$B$16+SUM($AN398:$AQ398))</f>
        <v/>
      </c>
      <c r="AS398" s="130" t="str">
        <f aca="false">IF($BD398&lt;&gt;Constants!$B$6,"",IF($AB398,$AD398,""))</f>
        <v/>
      </c>
      <c r="AT398" s="132" t="str">
        <f aca="false">IF($BD398&lt;&gt;Constants!$B$6,"",$AO398)</f>
        <v/>
      </c>
      <c r="AU398" s="127" t="str">
        <f aca="false">IF($BD398&lt;&gt;Constants!$B$6,"",IF(OR($BA398&lt;$AR398,AND($BA398=$AR398,OR(AND(ISNUMBER($BB398),OR(NOT(ISNUMBER($AS398)),$BB398&lt;$AS398)),AND(OR(AND($BB398="",$AS398=""),AND(ISNUMBER($BB398),ISNUMBER($AS398),$BB398=$AS398)),$BC398&lt;$AT398)))),"-&gt;","&lt;-"))</f>
        <v/>
      </c>
      <c r="AV398" s="126" t="str">
        <f aca="false">IF(ISBLANK($C398),"",AND($AH398,OR($AI398="",$AJ398="",AND(NOT(ISBLANK($S398)),$AK398=""))))</f>
        <v/>
      </c>
      <c r="AW398" s="129" t="str">
        <f aca="false">IF($BD398&lt;&gt;Constants!$B$6,"",IF($AH398,Constants!$B$17*$AJ398,Constants!$B$18))</f>
        <v/>
      </c>
      <c r="AX398" s="130" t="str">
        <f aca="false">IF($BD398&lt;&gt;Constants!$B$6,"",Constants!$B$19*IF($AH398,$AI398,0))</f>
        <v/>
      </c>
      <c r="AY398" s="130" t="str">
        <f aca="false">IF($BD398&lt;&gt;Constants!$B$6,"",IF(AND($AH398,ISNUMBER($AK398)),Constants!$B$20*(Constants!$B$21-$AK398),0))</f>
        <v/>
      </c>
      <c r="AZ398" s="130" t="str">
        <f aca="false">IF($BD398&lt;&gt;Constants!$B$6,"",IF($AG398,0,Constants!$B$12)+IF($AF398,0,Constants!$B$13)+IF($Y398,0,Constants!$B$14))</f>
        <v/>
      </c>
      <c r="BA398" s="131" t="str">
        <f aca="false">IF($BD398&lt;&gt;Constants!$B$6,"",Constants!$B$16+SUM($AW398:$AZ398))</f>
        <v/>
      </c>
      <c r="BB398" s="130" t="str">
        <f aca="false">IF($BD398&lt;&gt;Constants!$B$6,"",IF($AH398,$AJ398,""))</f>
        <v/>
      </c>
      <c r="BC398" s="132" t="str">
        <f aca="false">IF($BD398&lt;&gt;Constants!$B$6,"",$AX398)</f>
        <v/>
      </c>
      <c r="BD398" s="127" t="str">
        <f aca="false">IF(ISBLANK($C398),"",IF($AL398,Constants!$B$9,IF(COUNTA($E398:$T398)=0,Constants!$B$8,IF(NOT($X398),Constants!$B$7,IF(OR($AM398,$AV398),Constants!$B$10,Constants!$B$6)))))</f>
        <v/>
      </c>
      <c r="BE398" s="127" t="str">
        <f aca="false">IF(ISBLANK($C398),"",IF($BD398&lt;&gt;Constants!$B$6,$BD398,Constants!$B$11))</f>
        <v/>
      </c>
      <c r="BF398" s="130" t="str">
        <f aca="false">IF($BD398&lt;&gt;Constants!$B$6,"",IF($AU398="-&gt;",$BA398,$AR398))</f>
        <v/>
      </c>
      <c r="BG398" s="130" t="str">
        <f aca="false">IF($BD398&lt;&gt;Constants!$B$6,"",IF($W398,0,Constants!$B$15))</f>
        <v/>
      </c>
      <c r="BH398" s="130" t="str">
        <f aca="false">IF(ISBLANK($C398),"",IF($BD398&lt;&gt;Constants!$B$6,$BD398,SUM($BF398:$BG398)))</f>
        <v/>
      </c>
      <c r="BI398" s="127" t="str">
        <f aca="false">IF(ISBLANK($C398),"",IF($BD398&lt;&gt;Constants!$B$6,$BD398,RANK($BH398,$BH$9:$BH$508,1)))</f>
        <v/>
      </c>
      <c r="BJ398" s="130" t="str">
        <f aca="false">IF($BD398&lt;&gt;Constants!$B$6,"",IF($AU398="-&gt;",$BB398,$AS398))</f>
        <v/>
      </c>
      <c r="BK398" s="127" t="str">
        <f aca="false">IF(ISBLANK($C398),"",IF($BD398&lt;&gt;Constants!$B$6,$BD398,IF(ISNUMBER($BJ398),RANK($BJ398,$BJ$9:$BJ$508,1),COUNT($BJ$9:$BJ$508)+1)))</f>
        <v/>
      </c>
      <c r="BL398" s="130" t="str">
        <f aca="false">IF($BD398&lt;&gt;Constants!$B$6,"",IF($AU398="-&gt;",$BC398,$AT398))</f>
        <v/>
      </c>
      <c r="BM398" s="127" t="str">
        <f aca="false">IF(ISBLANK($C398),"",IF($BD398&lt;&gt;Constants!$B$6,$BD398,IF(ISNUMBER($BL398),RANK($BL398,$BL$9:$BL$508,1),COUNT($BL$9:$BL$508)+1)))</f>
        <v/>
      </c>
      <c r="BN398" s="130" t="str">
        <f aca="false">IF($BD398&lt;&gt;Constants!$B$6,"",IF($AU398="-&gt;",$AS398,$BB398))</f>
        <v/>
      </c>
      <c r="BO398" s="127" t="str">
        <f aca="false">IF(ISBLANK($C398),"",IF($BD398&lt;&gt;Constants!$B$6,$BD398,IF(ISNUMBER($BN398),RANK($BN398,$BN$9:$BN$508,1),COUNT($BN$9:$BN$508)+1)))</f>
        <v/>
      </c>
      <c r="BP398" s="130" t="str">
        <f aca="false">IF($BD398&lt;&gt;Constants!$B$6,"",IF($AU398="-&gt;",$AT398,$BC398))</f>
        <v/>
      </c>
      <c r="BQ398" s="127" t="str">
        <f aca="false">IF(ISBLANK($C398),"",IF($BD398&lt;&gt;Constants!$B$6,$BD398,IF(ISNUMBER($BP398),RANK($BP398,$BP$9:$BP$508,1),COUNT($BP$9:$BP$508)+1)))</f>
        <v/>
      </c>
      <c r="BR398" s="127" t="str">
        <f aca="false">IF(ISBLANK($C398),"",IF($BD398&lt;&gt;Constants!$B$6,$BD398,COUNTIFS($BI$9:$BI$508,"&lt;"&amp;$BI398)+COUNTIFS($BI$9:$BI$508,$BI398,$BK$9:$BK$508,"&lt;"&amp;$BK398)+COUNTIFS($BI$9:$BI$508,$BI398,$BK$9:$BK$508,$BK398,$BM$9:$BM$508,"&lt;"&amp;$BM398)+COUNTIFS($BI$9:$BI$508,$BI398,$BK$9:$BK$508,$BK398,$BM$9:$BM$508,$BM398,$BO$9:$BO$508,"&lt;"&amp;$BO398)+COUNTIFS($BI$9:$BI$508,$BI398,$BK$9:$BK$508,$BK398,$BM$9:$BM$508,$BM398,$BO$9:$BO$508,$BO398,$BQ$9:$BQ$508,"&lt;"&amp;$BQ398)+1))</f>
        <v/>
      </c>
      <c r="BS398" s="127" t="str">
        <f aca="false">IF(ISBLANK($C398),"",IF($BD398&lt;&gt;Constants!$B$6,$BD398,$BI398-$BR398))</f>
        <v/>
      </c>
      <c r="BT398" s="133"/>
      <c r="BU398" s="134"/>
      <c r="BV398" s="134" t="str">
        <f aca="false">IF(ISBLANK($C398),"",IF($BD398&lt;&gt;Constants!$B$6,"",IF($AU398="-&gt;",2,1)))</f>
        <v/>
      </c>
      <c r="BW398" s="135" t="str">
        <f aca="false">IF(ISBLANK($C398),"",IF($BD398&lt;&gt;Constants!$B$6,"",IF($AU398="-&gt;",$AW398,$AN398)))</f>
        <v/>
      </c>
      <c r="BX398" s="135" t="str">
        <f aca="false">IF(ISBLANK($C398),"",IF($BD398&lt;&gt;Constants!$B$6,"",IF($AU398="-&gt;",$AX398,$AO398)))</f>
        <v/>
      </c>
      <c r="BY398" s="135" t="str">
        <f aca="false">IF(ISBLANK($C398),"",IF($BD398&lt;&gt;Constants!$B$6,"",IF($AU398="-&gt;",$AY398,$AP398)))</f>
        <v/>
      </c>
      <c r="BZ398" s="135" t="str">
        <f aca="false">IF(ISBLANK($C398),"",IF($BD398&lt;&gt;Constants!$B$6,"",IF($AU398="-&gt;",$AZ398,$AQ398)+$BG398))</f>
        <v/>
      </c>
      <c r="CA398" s="136" t="str">
        <f aca="false">IF(ISBLANK($C398),"",IF($BD398&lt;&gt;Constants!$B$6,$BD398,$BH398))</f>
        <v/>
      </c>
      <c r="CB398" s="137" t="str">
        <f aca="false">IF(ISBLANK($C398),"",$BE398)</f>
        <v/>
      </c>
      <c r="CC398" s="138" t="str">
        <f aca="false">IF(ISBLANK($C398),"",$BS398)</f>
        <v/>
      </c>
      <c r="CD398" s="138" t="str">
        <f aca="false">IF(ISBLANK($C398),"",$BR398)</f>
        <v/>
      </c>
      <c r="CE398" s="139" t="str">
        <f aca="false">IF(ISBLANK($C398),"",IF($CD398=Constants!$B$9,COUNTA($C$9:$C$508)+2,IF($CD398=Constants!$B$8,COUNTA($C$9:$C$508)+1,IF($CD398=Constants!$B$7,COUNTA($C$9:$C$508),$CD398))))</f>
        <v/>
      </c>
      <c r="CF398" s="9"/>
      <c r="CG398" s="140" t="n">
        <f aca="false">IF(OR(ISNUMBER($CD398),$CD398=Constants!$B$9,$CD398=Constants!$B$7,$CD398=Constants!$B$8),1,0)</f>
        <v>0</v>
      </c>
      <c r="CH398" s="140" t="n">
        <v>390</v>
      </c>
      <c r="CI398" s="140" t="str">
        <f aca="false">IF(ISBLANK($C398),"",IF(ISNUMBER($CE398),$CE398+ROW($B398)/1000,""))</f>
        <v/>
      </c>
      <c r="CJ398" s="140" t="str">
        <f aca="false">IF(ISNUMBER($CI398),RANK($CI398,$CI$9:$CI$508,1),"")</f>
        <v/>
      </c>
      <c r="CK398" s="140" t="str">
        <f aca="false">IF(ISBLANK($C398),"",$B398)</f>
        <v/>
      </c>
      <c r="CL398" s="140" t="str">
        <f aca="false">IF(ISBLANK($C398),"",$C398)</f>
        <v/>
      </c>
      <c r="CM398" s="140" t="str">
        <f aca="false">IF(ISBLANK($C398),"",$D398)</f>
        <v/>
      </c>
      <c r="CN398" s="141" t="str">
        <f aca="false">$CB398</f>
        <v/>
      </c>
      <c r="CO398" s="142" t="str">
        <f aca="false">$CA398</f>
        <v/>
      </c>
      <c r="CP398" s="140" t="str">
        <f aca="false">IF(ISBLANK($C398),"",$CD398)</f>
        <v/>
      </c>
      <c r="CQ398" s="143" t="str">
        <f aca="false">IF($CH398&gt;$CG$8,"",VLOOKUP($CH398,$CJ$9:$CP$508,7,FALSE()))</f>
        <v/>
      </c>
      <c r="CR398" s="144" t="str">
        <f aca="false">IF($CH398&gt;$CG$8,"",VLOOKUP($CH398,$CJ$9:$CP$508,2,FALSE()))</f>
        <v/>
      </c>
      <c r="CS398" s="144" t="str">
        <f aca="false">IF($CH398&gt;$CG$8,"",VLOOKUP($CH398,$CJ$9:$CP$508,3,FALSE()))</f>
        <v/>
      </c>
      <c r="CT398" s="144" t="str">
        <f aca="false">IF($CH398&gt;$CG$8,"",VLOOKUP($CH398,$CJ$9:$CP$508,4,FALSE()))</f>
        <v/>
      </c>
      <c r="CU398" s="144" t="str">
        <f aca="false">IF($CH398&gt;$CG$8,"",VLOOKUP($CH398,$CJ$9:$CP$508,5,FALSE()))</f>
        <v/>
      </c>
      <c r="CV398" s="145" t="str">
        <f aca="false">IF($CH398&gt;$CG$8,"",VLOOKUP($CH398,$CJ$9:$CP$508,6,FALSE()))</f>
        <v/>
      </c>
      <c r="CW398" s="71"/>
    </row>
    <row r="399" customFormat="false" ht="15.75" hidden="false" customHeight="false" outlineLevel="0" collapsed="false">
      <c r="A399" s="9"/>
      <c r="B399" s="72"/>
      <c r="C399" s="73"/>
      <c r="D399" s="160"/>
      <c r="E399" s="168"/>
      <c r="F399" s="162"/>
      <c r="G399" s="163"/>
      <c r="H399" s="169"/>
      <c r="I399" s="167"/>
      <c r="J399" s="80"/>
      <c r="K399" s="81"/>
      <c r="L399" s="82"/>
      <c r="M399" s="166"/>
      <c r="N399" s="167"/>
      <c r="O399" s="167"/>
      <c r="P399" s="80"/>
      <c r="Q399" s="82"/>
      <c r="R399" s="82"/>
      <c r="S399" s="166"/>
      <c r="T399" s="167"/>
      <c r="U399" s="86"/>
      <c r="V399" s="87"/>
      <c r="W399" s="87" t="str">
        <f aca="false">IF(ISBLANK($C399),"",IF(E399=Constants!$B$2,TRUE(),IF(E399=Constants!$B$3,FALSE(),TRUE())))</f>
        <v/>
      </c>
      <c r="X399" s="87" t="str">
        <f aca="false">IF(ISBLANK($C399),"",IF(F399=Constants!$B$2,TRUE(),IF(F399=Constants!$B$3,FALSE(),TRUE())))</f>
        <v/>
      </c>
      <c r="Y399" s="87" t="str">
        <f aca="false">IF(ISBLANK($C399),"",IF(G399=Constants!$B$2,TRUE(),IF(G399=Constants!$B$3,FALSE(),TRUE())))</f>
        <v/>
      </c>
      <c r="Z399" s="87" t="str">
        <f aca="false">IF(ISBLANK($C399),"",IF(H399=Constants!$B$2,TRUE(),IF(H399=Constants!$B$3,FALSE(),TRUE())))</f>
        <v/>
      </c>
      <c r="AA399" s="87" t="str">
        <f aca="false">IF(ISBLANK($C399),"",IF(I399=Constants!$B$2,TRUE(),IF(I399=Constants!$B$3,FALSE(),TRUE())))</f>
        <v/>
      </c>
      <c r="AB399" s="87" t="str">
        <f aca="false">IF(ISBLANK($C399),"",IF(J399=Constants!$B$4,TRUE(),IF(J399=Constants!$B$5,FALSE(),COUNTA(K399:M399)&gt;0)))</f>
        <v/>
      </c>
      <c r="AC399" s="88" t="str">
        <f aca="false">IF(ISBLANK($C399),"",IF(ISNUMBER(K399),IF(K399&gt;=0,K399,""),""))</f>
        <v/>
      </c>
      <c r="AD399" s="89" t="str">
        <f aca="false">IF(ISBLANK($C399),"",IF(ISNUMBER(L399),IF(L399&gt;=0,L399,""),""))</f>
        <v/>
      </c>
      <c r="AE399" s="87" t="str">
        <f aca="false">IF(ISBLANK($C399),"",IF(ISNUMBER(M399),IF(M399&gt;=0,MIN(M399,Constants!$B$22),""),""))</f>
        <v/>
      </c>
      <c r="AF399" s="87" t="str">
        <f aca="false">IF(ISBLANK($C399),"",IF(N399=Constants!$B$2,TRUE(),IF(N399=Constants!$B$3,FALSE(),TRUE())))</f>
        <v/>
      </c>
      <c r="AG399" s="87" t="str">
        <f aca="false">IF(ISBLANK($C399),"",IF(O399=Constants!$B$2,TRUE(),IF(O399=Constants!$B$3,FALSE(),TRUE())))</f>
        <v/>
      </c>
      <c r="AH399" s="87" t="str">
        <f aca="false">IF(ISBLANK($C399),"",IF(P399=Constants!$B$4,TRUE(),IF(P399=Constants!$B$5,FALSE(),COUNTA(Q399:S399)&gt;0)))</f>
        <v/>
      </c>
      <c r="AI399" s="88" t="str">
        <f aca="false">IF(ISBLANK($C399),"",IF(ISNUMBER(Q399),IF(Q399&gt;=0,Q399,""),""))</f>
        <v/>
      </c>
      <c r="AJ399" s="89" t="str">
        <f aca="false">IF(ISBLANK($C399),"",IF(ISNUMBER(R399),IF(R399&gt;=0,R399,""),""))</f>
        <v/>
      </c>
      <c r="AK399" s="87" t="str">
        <f aca="false">IF(ISBLANK($C399),"",IF(ISNUMBER(S399),IF(S399&gt;=0,MIN(S399,Constants!$B$22),""),""))</f>
        <v/>
      </c>
      <c r="AL399" s="87" t="str">
        <f aca="false">IF(ISBLANK($C399),"",IF(T399=Constants!$B$2,TRUE(),IF(T399=Constants!$B$3,FALSE(),FALSE())))</f>
        <v/>
      </c>
      <c r="AM399" s="86" t="str">
        <f aca="false">IF(ISBLANK($C399),"",AND($AB399,OR($AC399="",$AD399="",AND(NOT(ISBLANK($M399)),$AE399=""))))</f>
        <v/>
      </c>
      <c r="AN399" s="89" t="str">
        <f aca="false">IF($BD399&lt;&gt;Constants!$B$6,"",IF($AB399,Constants!$B$17*$AD399,Constants!$B$18))</f>
        <v/>
      </c>
      <c r="AO399" s="91" t="str">
        <f aca="false">IF($BD399&lt;&gt;Constants!$B$6,"",Constants!$B$19*IF($AB399,$AC399,0))</f>
        <v/>
      </c>
      <c r="AP399" s="91" t="str">
        <f aca="false">IF($BD399&lt;&gt;Constants!$B$6,"",IF(AND($AB399,ISNUMBER($AE399)),Constants!$B$20*(Constants!$B$21-$AE399),0))</f>
        <v/>
      </c>
      <c r="AQ399" s="91" t="str">
        <f aca="false">IF($BD399&lt;&gt;Constants!$B$6,"",IF($AA399,0,Constants!$B$12)+IF($Z399,0,Constants!$B$13)+IF($Y399,0,Constants!$B$14))</f>
        <v/>
      </c>
      <c r="AR399" s="92" t="str">
        <f aca="false">IF($BD399&lt;&gt;Constants!$B$6,"",Constants!$B$16+SUM($AN399:$AQ399))</f>
        <v/>
      </c>
      <c r="AS399" s="91" t="str">
        <f aca="false">IF($BD399&lt;&gt;Constants!$B$6,"",IF($AB399,$AD399,""))</f>
        <v/>
      </c>
      <c r="AT399" s="93" t="str">
        <f aca="false">IF($BD399&lt;&gt;Constants!$B$6,"",$AO399)</f>
        <v/>
      </c>
      <c r="AU399" s="87" t="str">
        <f aca="false">IF($BD399&lt;&gt;Constants!$B$6,"",IF(OR($BA399&lt;$AR399,AND($BA399=$AR399,OR(AND(ISNUMBER($BB399),OR(NOT(ISNUMBER($AS399)),$BB399&lt;$AS399)),AND(OR(AND($BB399="",$AS399=""),AND(ISNUMBER($BB399),ISNUMBER($AS399),$BB399=$AS399)),$BC399&lt;$AT399)))),"-&gt;","&lt;-"))</f>
        <v/>
      </c>
      <c r="AV399" s="86" t="str">
        <f aca="false">IF(ISBLANK($C399),"",AND($AH399,OR($AI399="",$AJ399="",AND(NOT(ISBLANK($S399)),$AK399=""))))</f>
        <v/>
      </c>
      <c r="AW399" s="89" t="str">
        <f aca="false">IF($BD399&lt;&gt;Constants!$B$6,"",IF($AH399,Constants!$B$17*$AJ399,Constants!$B$18))</f>
        <v/>
      </c>
      <c r="AX399" s="91" t="str">
        <f aca="false">IF($BD399&lt;&gt;Constants!$B$6,"",Constants!$B$19*IF($AH399,$AI399,0))</f>
        <v/>
      </c>
      <c r="AY399" s="91" t="str">
        <f aca="false">IF($BD399&lt;&gt;Constants!$B$6,"",IF(AND($AH399,ISNUMBER($AK399)),Constants!$B$20*(Constants!$B$21-$AK399),0))</f>
        <v/>
      </c>
      <c r="AZ399" s="91" t="str">
        <f aca="false">IF($BD399&lt;&gt;Constants!$B$6,"",IF($AG399,0,Constants!$B$12)+IF($AF399,0,Constants!$B$13)+IF($Y399,0,Constants!$B$14))</f>
        <v/>
      </c>
      <c r="BA399" s="92" t="str">
        <f aca="false">IF($BD399&lt;&gt;Constants!$B$6,"",Constants!$B$16+SUM($AW399:$AZ399))</f>
        <v/>
      </c>
      <c r="BB399" s="91" t="str">
        <f aca="false">IF($BD399&lt;&gt;Constants!$B$6,"",IF($AH399,$AJ399,""))</f>
        <v/>
      </c>
      <c r="BC399" s="93" t="str">
        <f aca="false">IF($BD399&lt;&gt;Constants!$B$6,"",$AX399)</f>
        <v/>
      </c>
      <c r="BD399" s="87" t="str">
        <f aca="false">IF(ISBLANK($C399),"",IF($AL399,Constants!$B$9,IF(COUNTA($E399:$T399)=0,Constants!$B$8,IF(NOT($X399),Constants!$B$7,IF(OR($AM399,$AV399),Constants!$B$10,Constants!$B$6)))))</f>
        <v/>
      </c>
      <c r="BE399" s="87" t="str">
        <f aca="false">IF(ISBLANK($C399),"",IF($BD399&lt;&gt;Constants!$B$6,$BD399,Constants!$B$11))</f>
        <v/>
      </c>
      <c r="BF399" s="91" t="str">
        <f aca="false">IF($BD399&lt;&gt;Constants!$B$6,"",IF($AU399="-&gt;",$BA399,$AR399))</f>
        <v/>
      </c>
      <c r="BG399" s="91" t="str">
        <f aca="false">IF($BD399&lt;&gt;Constants!$B$6,"",IF($W399,0,Constants!$B$15))</f>
        <v/>
      </c>
      <c r="BH399" s="91" t="str">
        <f aca="false">IF(ISBLANK($C399),"",IF($BD399&lt;&gt;Constants!$B$6,$BD399,SUM($BF399:$BG399)))</f>
        <v/>
      </c>
      <c r="BI399" s="87" t="str">
        <f aca="false">IF(ISBLANK($C399),"",IF($BD399&lt;&gt;Constants!$B$6,$BD399,RANK($BH399,$BH$9:$BH$508,1)))</f>
        <v/>
      </c>
      <c r="BJ399" s="91" t="str">
        <f aca="false">IF($BD399&lt;&gt;Constants!$B$6,"",IF($AU399="-&gt;",$BB399,$AS399))</f>
        <v/>
      </c>
      <c r="BK399" s="87" t="str">
        <f aca="false">IF(ISBLANK($C399),"",IF($BD399&lt;&gt;Constants!$B$6,$BD399,IF(ISNUMBER($BJ399),RANK($BJ399,$BJ$9:$BJ$508,1),COUNT($BJ$9:$BJ$508)+1)))</f>
        <v/>
      </c>
      <c r="BL399" s="91" t="str">
        <f aca="false">IF($BD399&lt;&gt;Constants!$B$6,"",IF($AU399="-&gt;",$BC399,$AT399))</f>
        <v/>
      </c>
      <c r="BM399" s="87" t="str">
        <f aca="false">IF(ISBLANK($C399),"",IF($BD399&lt;&gt;Constants!$B$6,$BD399,IF(ISNUMBER($BL399),RANK($BL399,$BL$9:$BL$508,1),COUNT($BL$9:$BL$508)+1)))</f>
        <v/>
      </c>
      <c r="BN399" s="91" t="str">
        <f aca="false">IF($BD399&lt;&gt;Constants!$B$6,"",IF($AU399="-&gt;",$AS399,$BB399))</f>
        <v/>
      </c>
      <c r="BO399" s="87" t="str">
        <f aca="false">IF(ISBLANK($C399),"",IF($BD399&lt;&gt;Constants!$B$6,$BD399,IF(ISNUMBER($BN399),RANK($BN399,$BN$9:$BN$508,1),COUNT($BN$9:$BN$508)+1)))</f>
        <v/>
      </c>
      <c r="BP399" s="91" t="str">
        <f aca="false">IF($BD399&lt;&gt;Constants!$B$6,"",IF($AU399="-&gt;",$AT399,$BC399))</f>
        <v/>
      </c>
      <c r="BQ399" s="87" t="str">
        <f aca="false">IF(ISBLANK($C399),"",IF($BD399&lt;&gt;Constants!$B$6,$BD399,IF(ISNUMBER($BP399),RANK($BP399,$BP$9:$BP$508,1),COUNT($BP$9:$BP$508)+1)))</f>
        <v/>
      </c>
      <c r="BR399" s="87" t="str">
        <f aca="false">IF(ISBLANK($C399),"",IF($BD399&lt;&gt;Constants!$B$6,$BD399,COUNTIFS($BI$9:$BI$508,"&lt;"&amp;$BI399)+COUNTIFS($BI$9:$BI$508,$BI399,$BK$9:$BK$508,"&lt;"&amp;$BK399)+COUNTIFS($BI$9:$BI$508,$BI399,$BK$9:$BK$508,$BK399,$BM$9:$BM$508,"&lt;"&amp;$BM399)+COUNTIFS($BI$9:$BI$508,$BI399,$BK$9:$BK$508,$BK399,$BM$9:$BM$508,$BM399,$BO$9:$BO$508,"&lt;"&amp;$BO399)+COUNTIFS($BI$9:$BI$508,$BI399,$BK$9:$BK$508,$BK399,$BM$9:$BM$508,$BM399,$BO$9:$BO$508,$BO399,$BQ$9:$BQ$508,"&lt;"&amp;$BQ399)+1))</f>
        <v/>
      </c>
      <c r="BS399" s="87" t="str">
        <f aca="false">IF(ISBLANK($C399),"",IF($BD399&lt;&gt;Constants!$B$6,$BD399,$BI399-$BR399))</f>
        <v/>
      </c>
      <c r="BT399" s="94"/>
      <c r="BU399" s="95"/>
      <c r="BV399" s="95" t="str">
        <f aca="false">IF(ISBLANK($C399),"",IF($BD399&lt;&gt;Constants!$B$6,"",IF($AU399="-&gt;",2,1)))</f>
        <v/>
      </c>
      <c r="BW399" s="96" t="str">
        <f aca="false">IF(ISBLANK($C399),"",IF($BD399&lt;&gt;Constants!$B$6,"",IF($AU399="-&gt;",$AW399,$AN399)))</f>
        <v/>
      </c>
      <c r="BX399" s="96" t="str">
        <f aca="false">IF(ISBLANK($C399),"",IF($BD399&lt;&gt;Constants!$B$6,"",IF($AU399="-&gt;",$AX399,$AO399)))</f>
        <v/>
      </c>
      <c r="BY399" s="96" t="str">
        <f aca="false">IF(ISBLANK($C399),"",IF($BD399&lt;&gt;Constants!$B$6,"",IF($AU399="-&gt;",$AY399,$AP399)))</f>
        <v/>
      </c>
      <c r="BZ399" s="96" t="str">
        <f aca="false">IF(ISBLANK($C399),"",IF($BD399&lt;&gt;Constants!$B$6,"",IF($AU399="-&gt;",$AZ399,$AQ399)+$BG399))</f>
        <v/>
      </c>
      <c r="CA399" s="97" t="str">
        <f aca="false">IF(ISBLANK($C399),"",IF($BD399&lt;&gt;Constants!$B$6,$BD399,$BH399))</f>
        <v/>
      </c>
      <c r="CB399" s="98" t="str">
        <f aca="false">IF(ISBLANK($C399),"",$BE399)</f>
        <v/>
      </c>
      <c r="CC399" s="99" t="str">
        <f aca="false">IF(ISBLANK($C399),"",$BS399)</f>
        <v/>
      </c>
      <c r="CD399" s="99" t="str">
        <f aca="false">IF(ISBLANK($C399),"",$BR399)</f>
        <v/>
      </c>
      <c r="CE399" s="100" t="str">
        <f aca="false">IF(ISBLANK($C399),"",IF($CD399=Constants!$B$9,COUNTA($C$9:$C$508)+2,IF($CD399=Constants!$B$8,COUNTA($C$9:$C$508)+1,IF($CD399=Constants!$B$7,COUNTA($C$9:$C$508),$CD399))))</f>
        <v/>
      </c>
      <c r="CF399" s="9"/>
      <c r="CG399" s="101" t="n">
        <f aca="false">IF(OR(ISNUMBER($CD399),$CD399=Constants!$B$9,$CD399=Constants!$B$7,$CD399=Constants!$B$8),1,0)</f>
        <v>0</v>
      </c>
      <c r="CH399" s="101" t="n">
        <v>391</v>
      </c>
      <c r="CI399" s="101" t="str">
        <f aca="false">IF(ISBLANK($C399),"",IF(ISNUMBER($CE399),$CE399+ROW($B399)/1000,""))</f>
        <v/>
      </c>
      <c r="CJ399" s="101" t="str">
        <f aca="false">IF(ISNUMBER($CI399),RANK($CI399,$CI$9:$CI$508,1),"")</f>
        <v/>
      </c>
      <c r="CK399" s="101" t="str">
        <f aca="false">IF(ISBLANK($C399),"",$B399)</f>
        <v/>
      </c>
      <c r="CL399" s="101" t="str">
        <f aca="false">IF(ISBLANK($C399),"",$C399)</f>
        <v/>
      </c>
      <c r="CM399" s="101" t="str">
        <f aca="false">IF(ISBLANK($C399),"",$D399)</f>
        <v/>
      </c>
      <c r="CN399" s="102" t="str">
        <f aca="false">$CB399</f>
        <v/>
      </c>
      <c r="CO399" s="103" t="str">
        <f aca="false">$CA399</f>
        <v/>
      </c>
      <c r="CP399" s="101" t="str">
        <f aca="false">IF(ISBLANK($C399),"",$CD399)</f>
        <v/>
      </c>
      <c r="CQ399" s="104" t="str">
        <f aca="false">IF($CH399&gt;$CG$8,"",VLOOKUP($CH399,$CJ$9:$CP$508,7,FALSE()))</f>
        <v/>
      </c>
      <c r="CR399" s="105" t="str">
        <f aca="false">IF($CH399&gt;$CG$8,"",VLOOKUP($CH399,$CJ$9:$CP$508,2,FALSE()))</f>
        <v/>
      </c>
      <c r="CS399" s="105" t="str">
        <f aca="false">IF($CH399&gt;$CG$8,"",VLOOKUP($CH399,$CJ$9:$CP$508,3,FALSE()))</f>
        <v/>
      </c>
      <c r="CT399" s="105" t="str">
        <f aca="false">IF($CH399&gt;$CG$8,"",VLOOKUP($CH399,$CJ$9:$CP$508,4,FALSE()))</f>
        <v/>
      </c>
      <c r="CU399" s="105" t="str">
        <f aca="false">IF($CH399&gt;$CG$8,"",VLOOKUP($CH399,$CJ$9:$CP$508,5,FALSE()))</f>
        <v/>
      </c>
      <c r="CV399" s="106" t="str">
        <f aca="false">IF($CH399&gt;$CG$8,"",VLOOKUP($CH399,$CJ$9:$CP$508,6,FALSE()))</f>
        <v/>
      </c>
      <c r="CW399" s="71"/>
    </row>
    <row r="400" customFormat="false" ht="15.75" hidden="false" customHeight="false" outlineLevel="0" collapsed="false">
      <c r="A400" s="9"/>
      <c r="B400" s="72"/>
      <c r="C400" s="73"/>
      <c r="D400" s="160"/>
      <c r="E400" s="168"/>
      <c r="F400" s="162"/>
      <c r="G400" s="163"/>
      <c r="H400" s="169"/>
      <c r="I400" s="167"/>
      <c r="J400" s="80"/>
      <c r="K400" s="81"/>
      <c r="L400" s="82"/>
      <c r="M400" s="166"/>
      <c r="N400" s="167"/>
      <c r="O400" s="167"/>
      <c r="P400" s="80"/>
      <c r="Q400" s="82"/>
      <c r="R400" s="82"/>
      <c r="S400" s="166"/>
      <c r="T400" s="167"/>
      <c r="U400" s="86"/>
      <c r="V400" s="87"/>
      <c r="W400" s="87" t="str">
        <f aca="false">IF(ISBLANK($C400),"",IF(E400=Constants!$B$2,TRUE(),IF(E400=Constants!$B$3,FALSE(),TRUE())))</f>
        <v/>
      </c>
      <c r="X400" s="87" t="str">
        <f aca="false">IF(ISBLANK($C400),"",IF(F400=Constants!$B$2,TRUE(),IF(F400=Constants!$B$3,FALSE(),TRUE())))</f>
        <v/>
      </c>
      <c r="Y400" s="87" t="str">
        <f aca="false">IF(ISBLANK($C400),"",IF(G400=Constants!$B$2,TRUE(),IF(G400=Constants!$B$3,FALSE(),TRUE())))</f>
        <v/>
      </c>
      <c r="Z400" s="87" t="str">
        <f aca="false">IF(ISBLANK($C400),"",IF(H400=Constants!$B$2,TRUE(),IF(H400=Constants!$B$3,FALSE(),TRUE())))</f>
        <v/>
      </c>
      <c r="AA400" s="87" t="str">
        <f aca="false">IF(ISBLANK($C400),"",IF(I400=Constants!$B$2,TRUE(),IF(I400=Constants!$B$3,FALSE(),TRUE())))</f>
        <v/>
      </c>
      <c r="AB400" s="87" t="str">
        <f aca="false">IF(ISBLANK($C400),"",IF(J400=Constants!$B$4,TRUE(),IF(J400=Constants!$B$5,FALSE(),COUNTA(K400:M400)&gt;0)))</f>
        <v/>
      </c>
      <c r="AC400" s="88" t="str">
        <f aca="false">IF(ISBLANK($C400),"",IF(ISNUMBER(K400),IF(K400&gt;=0,K400,""),""))</f>
        <v/>
      </c>
      <c r="AD400" s="89" t="str">
        <f aca="false">IF(ISBLANK($C400),"",IF(ISNUMBER(L400),IF(L400&gt;=0,L400,""),""))</f>
        <v/>
      </c>
      <c r="AE400" s="87" t="str">
        <f aca="false">IF(ISBLANK($C400),"",IF(ISNUMBER(M400),IF(M400&gt;=0,MIN(M400,Constants!$B$22),""),""))</f>
        <v/>
      </c>
      <c r="AF400" s="87" t="str">
        <f aca="false">IF(ISBLANK($C400),"",IF(N400=Constants!$B$2,TRUE(),IF(N400=Constants!$B$3,FALSE(),TRUE())))</f>
        <v/>
      </c>
      <c r="AG400" s="87" t="str">
        <f aca="false">IF(ISBLANK($C400),"",IF(O400=Constants!$B$2,TRUE(),IF(O400=Constants!$B$3,FALSE(),TRUE())))</f>
        <v/>
      </c>
      <c r="AH400" s="87" t="str">
        <f aca="false">IF(ISBLANK($C400),"",IF(P400=Constants!$B$4,TRUE(),IF(P400=Constants!$B$5,FALSE(),COUNTA(Q400:S400)&gt;0)))</f>
        <v/>
      </c>
      <c r="AI400" s="88" t="str">
        <f aca="false">IF(ISBLANK($C400),"",IF(ISNUMBER(Q400),IF(Q400&gt;=0,Q400,""),""))</f>
        <v/>
      </c>
      <c r="AJ400" s="89" t="str">
        <f aca="false">IF(ISBLANK($C400),"",IF(ISNUMBER(R400),IF(R400&gt;=0,R400,""),""))</f>
        <v/>
      </c>
      <c r="AK400" s="87" t="str">
        <f aca="false">IF(ISBLANK($C400),"",IF(ISNUMBER(S400),IF(S400&gt;=0,MIN(S400,Constants!$B$22),""),""))</f>
        <v/>
      </c>
      <c r="AL400" s="87" t="str">
        <f aca="false">IF(ISBLANK($C400),"",IF(T400=Constants!$B$2,TRUE(),IF(T400=Constants!$B$3,FALSE(),FALSE())))</f>
        <v/>
      </c>
      <c r="AM400" s="86" t="str">
        <f aca="false">IF(ISBLANK($C400),"",AND($AB400,OR($AC400="",$AD400="",AND(NOT(ISBLANK($M400)),$AE400=""))))</f>
        <v/>
      </c>
      <c r="AN400" s="89" t="str">
        <f aca="false">IF($BD400&lt;&gt;Constants!$B$6,"",IF($AB400,Constants!$B$17*$AD400,Constants!$B$18))</f>
        <v/>
      </c>
      <c r="AO400" s="91" t="str">
        <f aca="false">IF($BD400&lt;&gt;Constants!$B$6,"",Constants!$B$19*IF($AB400,$AC400,0))</f>
        <v/>
      </c>
      <c r="AP400" s="91" t="str">
        <f aca="false">IF($BD400&lt;&gt;Constants!$B$6,"",IF(AND($AB400,ISNUMBER($AE400)),Constants!$B$20*(Constants!$B$21-$AE400),0))</f>
        <v/>
      </c>
      <c r="AQ400" s="91" t="str">
        <f aca="false">IF($BD400&lt;&gt;Constants!$B$6,"",IF($AA400,0,Constants!$B$12)+IF($Z400,0,Constants!$B$13)+IF($Y400,0,Constants!$B$14))</f>
        <v/>
      </c>
      <c r="AR400" s="92" t="str">
        <f aca="false">IF($BD400&lt;&gt;Constants!$B$6,"",Constants!$B$16+SUM($AN400:$AQ400))</f>
        <v/>
      </c>
      <c r="AS400" s="91" t="str">
        <f aca="false">IF($BD400&lt;&gt;Constants!$B$6,"",IF($AB400,$AD400,""))</f>
        <v/>
      </c>
      <c r="AT400" s="93" t="str">
        <f aca="false">IF($BD400&lt;&gt;Constants!$B$6,"",$AO400)</f>
        <v/>
      </c>
      <c r="AU400" s="87" t="str">
        <f aca="false">IF($BD400&lt;&gt;Constants!$B$6,"",IF(OR($BA400&lt;$AR400,AND($BA400=$AR400,OR(AND(ISNUMBER($BB400),OR(NOT(ISNUMBER($AS400)),$BB400&lt;$AS400)),AND(OR(AND($BB400="",$AS400=""),AND(ISNUMBER($BB400),ISNUMBER($AS400),$BB400=$AS400)),$BC400&lt;$AT400)))),"-&gt;","&lt;-"))</f>
        <v/>
      </c>
      <c r="AV400" s="86" t="str">
        <f aca="false">IF(ISBLANK($C400),"",AND($AH400,OR($AI400="",$AJ400="",AND(NOT(ISBLANK($S400)),$AK400=""))))</f>
        <v/>
      </c>
      <c r="AW400" s="89" t="str">
        <f aca="false">IF($BD400&lt;&gt;Constants!$B$6,"",IF($AH400,Constants!$B$17*$AJ400,Constants!$B$18))</f>
        <v/>
      </c>
      <c r="AX400" s="91" t="str">
        <f aca="false">IF($BD400&lt;&gt;Constants!$B$6,"",Constants!$B$19*IF($AH400,$AI400,0))</f>
        <v/>
      </c>
      <c r="AY400" s="91" t="str">
        <f aca="false">IF($BD400&lt;&gt;Constants!$B$6,"",IF(AND($AH400,ISNUMBER($AK400)),Constants!$B$20*(Constants!$B$21-$AK400),0))</f>
        <v/>
      </c>
      <c r="AZ400" s="91" t="str">
        <f aca="false">IF($BD400&lt;&gt;Constants!$B$6,"",IF($AG400,0,Constants!$B$12)+IF($AF400,0,Constants!$B$13)+IF($Y400,0,Constants!$B$14))</f>
        <v/>
      </c>
      <c r="BA400" s="92" t="str">
        <f aca="false">IF($BD400&lt;&gt;Constants!$B$6,"",Constants!$B$16+SUM($AW400:$AZ400))</f>
        <v/>
      </c>
      <c r="BB400" s="91" t="str">
        <f aca="false">IF($BD400&lt;&gt;Constants!$B$6,"",IF($AH400,$AJ400,""))</f>
        <v/>
      </c>
      <c r="BC400" s="93" t="str">
        <f aca="false">IF($BD400&lt;&gt;Constants!$B$6,"",$AX400)</f>
        <v/>
      </c>
      <c r="BD400" s="87" t="str">
        <f aca="false">IF(ISBLANK($C400),"",IF($AL400,Constants!$B$9,IF(COUNTA($E400:$T400)=0,Constants!$B$8,IF(NOT($X400),Constants!$B$7,IF(OR($AM400,$AV400),Constants!$B$10,Constants!$B$6)))))</f>
        <v/>
      </c>
      <c r="BE400" s="87" t="str">
        <f aca="false">IF(ISBLANK($C400),"",IF($BD400&lt;&gt;Constants!$B$6,$BD400,Constants!$B$11))</f>
        <v/>
      </c>
      <c r="BF400" s="91" t="str">
        <f aca="false">IF($BD400&lt;&gt;Constants!$B$6,"",IF($AU400="-&gt;",$BA400,$AR400))</f>
        <v/>
      </c>
      <c r="BG400" s="91" t="str">
        <f aca="false">IF($BD400&lt;&gt;Constants!$B$6,"",IF($W400,0,Constants!$B$15))</f>
        <v/>
      </c>
      <c r="BH400" s="91" t="str">
        <f aca="false">IF(ISBLANK($C400),"",IF($BD400&lt;&gt;Constants!$B$6,$BD400,SUM($BF400:$BG400)))</f>
        <v/>
      </c>
      <c r="BI400" s="87" t="str">
        <f aca="false">IF(ISBLANK($C400),"",IF($BD400&lt;&gt;Constants!$B$6,$BD400,RANK($BH400,$BH$9:$BH$508,1)))</f>
        <v/>
      </c>
      <c r="BJ400" s="91" t="str">
        <f aca="false">IF($BD400&lt;&gt;Constants!$B$6,"",IF($AU400="-&gt;",$BB400,$AS400))</f>
        <v/>
      </c>
      <c r="BK400" s="87" t="str">
        <f aca="false">IF(ISBLANK($C400),"",IF($BD400&lt;&gt;Constants!$B$6,$BD400,IF(ISNUMBER($BJ400),RANK($BJ400,$BJ$9:$BJ$508,1),COUNT($BJ$9:$BJ$508)+1)))</f>
        <v/>
      </c>
      <c r="BL400" s="91" t="str">
        <f aca="false">IF($BD400&lt;&gt;Constants!$B$6,"",IF($AU400="-&gt;",$BC400,$AT400))</f>
        <v/>
      </c>
      <c r="BM400" s="87" t="str">
        <f aca="false">IF(ISBLANK($C400),"",IF($BD400&lt;&gt;Constants!$B$6,$BD400,IF(ISNUMBER($BL400),RANK($BL400,$BL$9:$BL$508,1),COUNT($BL$9:$BL$508)+1)))</f>
        <v/>
      </c>
      <c r="BN400" s="91" t="str">
        <f aca="false">IF($BD400&lt;&gt;Constants!$B$6,"",IF($AU400="-&gt;",$AS400,$BB400))</f>
        <v/>
      </c>
      <c r="BO400" s="87" t="str">
        <f aca="false">IF(ISBLANK($C400),"",IF($BD400&lt;&gt;Constants!$B$6,$BD400,IF(ISNUMBER($BN400),RANK($BN400,$BN$9:$BN$508,1),COUNT($BN$9:$BN$508)+1)))</f>
        <v/>
      </c>
      <c r="BP400" s="91" t="str">
        <f aca="false">IF($BD400&lt;&gt;Constants!$B$6,"",IF($AU400="-&gt;",$AT400,$BC400))</f>
        <v/>
      </c>
      <c r="BQ400" s="87" t="str">
        <f aca="false">IF(ISBLANK($C400),"",IF($BD400&lt;&gt;Constants!$B$6,$BD400,IF(ISNUMBER($BP400),RANK($BP400,$BP$9:$BP$508,1),COUNT($BP$9:$BP$508)+1)))</f>
        <v/>
      </c>
      <c r="BR400" s="87" t="str">
        <f aca="false">IF(ISBLANK($C400),"",IF($BD400&lt;&gt;Constants!$B$6,$BD400,COUNTIFS($BI$9:$BI$508,"&lt;"&amp;$BI400)+COUNTIFS($BI$9:$BI$508,$BI400,$BK$9:$BK$508,"&lt;"&amp;$BK400)+COUNTIFS($BI$9:$BI$508,$BI400,$BK$9:$BK$508,$BK400,$BM$9:$BM$508,"&lt;"&amp;$BM400)+COUNTIFS($BI$9:$BI$508,$BI400,$BK$9:$BK$508,$BK400,$BM$9:$BM$508,$BM400,$BO$9:$BO$508,"&lt;"&amp;$BO400)+COUNTIFS($BI$9:$BI$508,$BI400,$BK$9:$BK$508,$BK400,$BM$9:$BM$508,$BM400,$BO$9:$BO$508,$BO400,$BQ$9:$BQ$508,"&lt;"&amp;$BQ400)+1))</f>
        <v/>
      </c>
      <c r="BS400" s="87" t="str">
        <f aca="false">IF(ISBLANK($C400),"",IF($BD400&lt;&gt;Constants!$B$6,$BD400,$BI400-$BR400))</f>
        <v/>
      </c>
      <c r="BT400" s="94"/>
      <c r="BU400" s="95"/>
      <c r="BV400" s="95" t="str">
        <f aca="false">IF(ISBLANK($C400),"",IF($BD400&lt;&gt;Constants!$B$6,"",IF($AU400="-&gt;",2,1)))</f>
        <v/>
      </c>
      <c r="BW400" s="96" t="str">
        <f aca="false">IF(ISBLANK($C400),"",IF($BD400&lt;&gt;Constants!$B$6,"",IF($AU400="-&gt;",$AW400,$AN400)))</f>
        <v/>
      </c>
      <c r="BX400" s="96" t="str">
        <f aca="false">IF(ISBLANK($C400),"",IF($BD400&lt;&gt;Constants!$B$6,"",IF($AU400="-&gt;",$AX400,$AO400)))</f>
        <v/>
      </c>
      <c r="BY400" s="96" t="str">
        <f aca="false">IF(ISBLANK($C400),"",IF($BD400&lt;&gt;Constants!$B$6,"",IF($AU400="-&gt;",$AY400,$AP400)))</f>
        <v/>
      </c>
      <c r="BZ400" s="96" t="str">
        <f aca="false">IF(ISBLANK($C400),"",IF($BD400&lt;&gt;Constants!$B$6,"",IF($AU400="-&gt;",$AZ400,$AQ400)+$BG400))</f>
        <v/>
      </c>
      <c r="CA400" s="97" t="str">
        <f aca="false">IF(ISBLANK($C400),"",IF($BD400&lt;&gt;Constants!$B$6,$BD400,$BH400))</f>
        <v/>
      </c>
      <c r="CB400" s="98" t="str">
        <f aca="false">IF(ISBLANK($C400),"",$BE400)</f>
        <v/>
      </c>
      <c r="CC400" s="99" t="str">
        <f aca="false">IF(ISBLANK($C400),"",$BS400)</f>
        <v/>
      </c>
      <c r="CD400" s="99" t="str">
        <f aca="false">IF(ISBLANK($C400),"",$BR400)</f>
        <v/>
      </c>
      <c r="CE400" s="100" t="str">
        <f aca="false">IF(ISBLANK($C400),"",IF($CD400=Constants!$B$9,COUNTA($C$9:$C$508)+2,IF($CD400=Constants!$B$8,COUNTA($C$9:$C$508)+1,IF($CD400=Constants!$B$7,COUNTA($C$9:$C$508),$CD400))))</f>
        <v/>
      </c>
      <c r="CF400" s="9"/>
      <c r="CG400" s="101" t="n">
        <f aca="false">IF(OR(ISNUMBER($CD400),$CD400=Constants!$B$9,$CD400=Constants!$B$7,$CD400=Constants!$B$8),1,0)</f>
        <v>0</v>
      </c>
      <c r="CH400" s="101" t="n">
        <v>392</v>
      </c>
      <c r="CI400" s="101" t="str">
        <f aca="false">IF(ISBLANK($C400),"",IF(ISNUMBER($CE400),$CE400+ROW($B400)/1000,""))</f>
        <v/>
      </c>
      <c r="CJ400" s="101" t="str">
        <f aca="false">IF(ISNUMBER($CI400),RANK($CI400,$CI$9:$CI$508,1),"")</f>
        <v/>
      </c>
      <c r="CK400" s="101" t="str">
        <f aca="false">IF(ISBLANK($C400),"",$B400)</f>
        <v/>
      </c>
      <c r="CL400" s="101" t="str">
        <f aca="false">IF(ISBLANK($C400),"",$C400)</f>
        <v/>
      </c>
      <c r="CM400" s="101" t="str">
        <f aca="false">IF(ISBLANK($C400),"",$D400)</f>
        <v/>
      </c>
      <c r="CN400" s="102" t="str">
        <f aca="false">$CB400</f>
        <v/>
      </c>
      <c r="CO400" s="103" t="str">
        <f aca="false">$CA400</f>
        <v/>
      </c>
      <c r="CP400" s="101" t="str">
        <f aca="false">IF(ISBLANK($C400),"",$CD400)</f>
        <v/>
      </c>
      <c r="CQ400" s="104" t="str">
        <f aca="false">IF($CH400&gt;$CG$8,"",VLOOKUP($CH400,$CJ$9:$CP$508,7,FALSE()))</f>
        <v/>
      </c>
      <c r="CR400" s="105" t="str">
        <f aca="false">IF($CH400&gt;$CG$8,"",VLOOKUP($CH400,$CJ$9:$CP$508,2,FALSE()))</f>
        <v/>
      </c>
      <c r="CS400" s="105" t="str">
        <f aca="false">IF($CH400&gt;$CG$8,"",VLOOKUP($CH400,$CJ$9:$CP$508,3,FALSE()))</f>
        <v/>
      </c>
      <c r="CT400" s="105" t="str">
        <f aca="false">IF($CH400&gt;$CG$8,"",VLOOKUP($CH400,$CJ$9:$CP$508,4,FALSE()))</f>
        <v/>
      </c>
      <c r="CU400" s="105" t="str">
        <f aca="false">IF($CH400&gt;$CG$8,"",VLOOKUP($CH400,$CJ$9:$CP$508,5,FALSE()))</f>
        <v/>
      </c>
      <c r="CV400" s="106" t="str">
        <f aca="false">IF($CH400&gt;$CG$8,"",VLOOKUP($CH400,$CJ$9:$CP$508,6,FALSE()))</f>
        <v/>
      </c>
      <c r="CW400" s="71"/>
    </row>
    <row r="401" customFormat="false" ht="15.75" hidden="false" customHeight="false" outlineLevel="0" collapsed="false">
      <c r="A401" s="9"/>
      <c r="B401" s="72"/>
      <c r="C401" s="73"/>
      <c r="D401" s="160"/>
      <c r="E401" s="168"/>
      <c r="F401" s="162"/>
      <c r="G401" s="163"/>
      <c r="H401" s="169"/>
      <c r="I401" s="167"/>
      <c r="J401" s="80"/>
      <c r="K401" s="81"/>
      <c r="L401" s="82"/>
      <c r="M401" s="166"/>
      <c r="N401" s="167"/>
      <c r="O401" s="167"/>
      <c r="P401" s="80"/>
      <c r="Q401" s="82"/>
      <c r="R401" s="82"/>
      <c r="S401" s="166"/>
      <c r="T401" s="167"/>
      <c r="U401" s="86"/>
      <c r="V401" s="87"/>
      <c r="W401" s="87" t="str">
        <f aca="false">IF(ISBLANK($C401),"",IF(E401=Constants!$B$2,TRUE(),IF(E401=Constants!$B$3,FALSE(),TRUE())))</f>
        <v/>
      </c>
      <c r="X401" s="87" t="str">
        <f aca="false">IF(ISBLANK($C401),"",IF(F401=Constants!$B$2,TRUE(),IF(F401=Constants!$B$3,FALSE(),TRUE())))</f>
        <v/>
      </c>
      <c r="Y401" s="87" t="str">
        <f aca="false">IF(ISBLANK($C401),"",IF(G401=Constants!$B$2,TRUE(),IF(G401=Constants!$B$3,FALSE(),TRUE())))</f>
        <v/>
      </c>
      <c r="Z401" s="87" t="str">
        <f aca="false">IF(ISBLANK($C401),"",IF(H401=Constants!$B$2,TRUE(),IF(H401=Constants!$B$3,FALSE(),TRUE())))</f>
        <v/>
      </c>
      <c r="AA401" s="87" t="str">
        <f aca="false">IF(ISBLANK($C401),"",IF(I401=Constants!$B$2,TRUE(),IF(I401=Constants!$B$3,FALSE(),TRUE())))</f>
        <v/>
      </c>
      <c r="AB401" s="87" t="str">
        <f aca="false">IF(ISBLANK($C401),"",IF(J401=Constants!$B$4,TRUE(),IF(J401=Constants!$B$5,FALSE(),COUNTA(K401:M401)&gt;0)))</f>
        <v/>
      </c>
      <c r="AC401" s="88" t="str">
        <f aca="false">IF(ISBLANK($C401),"",IF(ISNUMBER(K401),IF(K401&gt;=0,K401,""),""))</f>
        <v/>
      </c>
      <c r="AD401" s="89" t="str">
        <f aca="false">IF(ISBLANK($C401),"",IF(ISNUMBER(L401),IF(L401&gt;=0,L401,""),""))</f>
        <v/>
      </c>
      <c r="AE401" s="87" t="str">
        <f aca="false">IF(ISBLANK($C401),"",IF(ISNUMBER(M401),IF(M401&gt;=0,MIN(M401,Constants!$B$22),""),""))</f>
        <v/>
      </c>
      <c r="AF401" s="87" t="str">
        <f aca="false">IF(ISBLANK($C401),"",IF(N401=Constants!$B$2,TRUE(),IF(N401=Constants!$B$3,FALSE(),TRUE())))</f>
        <v/>
      </c>
      <c r="AG401" s="87" t="str">
        <f aca="false">IF(ISBLANK($C401),"",IF(O401=Constants!$B$2,TRUE(),IF(O401=Constants!$B$3,FALSE(),TRUE())))</f>
        <v/>
      </c>
      <c r="AH401" s="87" t="str">
        <f aca="false">IF(ISBLANK($C401),"",IF(P401=Constants!$B$4,TRUE(),IF(P401=Constants!$B$5,FALSE(),COUNTA(Q401:S401)&gt;0)))</f>
        <v/>
      </c>
      <c r="AI401" s="88" t="str">
        <f aca="false">IF(ISBLANK($C401),"",IF(ISNUMBER(Q401),IF(Q401&gt;=0,Q401,""),""))</f>
        <v/>
      </c>
      <c r="AJ401" s="89" t="str">
        <f aca="false">IF(ISBLANK($C401),"",IF(ISNUMBER(R401),IF(R401&gt;=0,R401,""),""))</f>
        <v/>
      </c>
      <c r="AK401" s="87" t="str">
        <f aca="false">IF(ISBLANK($C401),"",IF(ISNUMBER(S401),IF(S401&gt;=0,MIN(S401,Constants!$B$22),""),""))</f>
        <v/>
      </c>
      <c r="AL401" s="87" t="str">
        <f aca="false">IF(ISBLANK($C401),"",IF(T401=Constants!$B$2,TRUE(),IF(T401=Constants!$B$3,FALSE(),FALSE())))</f>
        <v/>
      </c>
      <c r="AM401" s="86" t="str">
        <f aca="false">IF(ISBLANK($C401),"",AND($AB401,OR($AC401="",$AD401="",AND(NOT(ISBLANK($M401)),$AE401=""))))</f>
        <v/>
      </c>
      <c r="AN401" s="89" t="str">
        <f aca="false">IF($BD401&lt;&gt;Constants!$B$6,"",IF($AB401,Constants!$B$17*$AD401,Constants!$B$18))</f>
        <v/>
      </c>
      <c r="AO401" s="91" t="str">
        <f aca="false">IF($BD401&lt;&gt;Constants!$B$6,"",Constants!$B$19*IF($AB401,$AC401,0))</f>
        <v/>
      </c>
      <c r="AP401" s="91" t="str">
        <f aca="false">IF($BD401&lt;&gt;Constants!$B$6,"",IF(AND($AB401,ISNUMBER($AE401)),Constants!$B$20*(Constants!$B$21-$AE401),0))</f>
        <v/>
      </c>
      <c r="AQ401" s="91" t="str">
        <f aca="false">IF($BD401&lt;&gt;Constants!$B$6,"",IF($AA401,0,Constants!$B$12)+IF($Z401,0,Constants!$B$13)+IF($Y401,0,Constants!$B$14))</f>
        <v/>
      </c>
      <c r="AR401" s="92" t="str">
        <f aca="false">IF($BD401&lt;&gt;Constants!$B$6,"",Constants!$B$16+SUM($AN401:$AQ401))</f>
        <v/>
      </c>
      <c r="AS401" s="91" t="str">
        <f aca="false">IF($BD401&lt;&gt;Constants!$B$6,"",IF($AB401,$AD401,""))</f>
        <v/>
      </c>
      <c r="AT401" s="93" t="str">
        <f aca="false">IF($BD401&lt;&gt;Constants!$B$6,"",$AO401)</f>
        <v/>
      </c>
      <c r="AU401" s="87" t="str">
        <f aca="false">IF($BD401&lt;&gt;Constants!$B$6,"",IF(OR($BA401&lt;$AR401,AND($BA401=$AR401,OR(AND(ISNUMBER($BB401),OR(NOT(ISNUMBER($AS401)),$BB401&lt;$AS401)),AND(OR(AND($BB401="",$AS401=""),AND(ISNUMBER($BB401),ISNUMBER($AS401),$BB401=$AS401)),$BC401&lt;$AT401)))),"-&gt;","&lt;-"))</f>
        <v/>
      </c>
      <c r="AV401" s="86" t="str">
        <f aca="false">IF(ISBLANK($C401),"",AND($AH401,OR($AI401="",$AJ401="",AND(NOT(ISBLANK($S401)),$AK401=""))))</f>
        <v/>
      </c>
      <c r="AW401" s="89" t="str">
        <f aca="false">IF($BD401&lt;&gt;Constants!$B$6,"",IF($AH401,Constants!$B$17*$AJ401,Constants!$B$18))</f>
        <v/>
      </c>
      <c r="AX401" s="91" t="str">
        <f aca="false">IF($BD401&lt;&gt;Constants!$B$6,"",Constants!$B$19*IF($AH401,$AI401,0))</f>
        <v/>
      </c>
      <c r="AY401" s="91" t="str">
        <f aca="false">IF($BD401&lt;&gt;Constants!$B$6,"",IF(AND($AH401,ISNUMBER($AK401)),Constants!$B$20*(Constants!$B$21-$AK401),0))</f>
        <v/>
      </c>
      <c r="AZ401" s="91" t="str">
        <f aca="false">IF($BD401&lt;&gt;Constants!$B$6,"",IF($AG401,0,Constants!$B$12)+IF($AF401,0,Constants!$B$13)+IF($Y401,0,Constants!$B$14))</f>
        <v/>
      </c>
      <c r="BA401" s="92" t="str">
        <f aca="false">IF($BD401&lt;&gt;Constants!$B$6,"",Constants!$B$16+SUM($AW401:$AZ401))</f>
        <v/>
      </c>
      <c r="BB401" s="91" t="str">
        <f aca="false">IF($BD401&lt;&gt;Constants!$B$6,"",IF($AH401,$AJ401,""))</f>
        <v/>
      </c>
      <c r="BC401" s="93" t="str">
        <f aca="false">IF($BD401&lt;&gt;Constants!$B$6,"",$AX401)</f>
        <v/>
      </c>
      <c r="BD401" s="87" t="str">
        <f aca="false">IF(ISBLANK($C401),"",IF($AL401,Constants!$B$9,IF(COUNTA($E401:$T401)=0,Constants!$B$8,IF(NOT($X401),Constants!$B$7,IF(OR($AM401,$AV401),Constants!$B$10,Constants!$B$6)))))</f>
        <v/>
      </c>
      <c r="BE401" s="87" t="str">
        <f aca="false">IF(ISBLANK($C401),"",IF($BD401&lt;&gt;Constants!$B$6,$BD401,Constants!$B$11))</f>
        <v/>
      </c>
      <c r="BF401" s="91" t="str">
        <f aca="false">IF($BD401&lt;&gt;Constants!$B$6,"",IF($AU401="-&gt;",$BA401,$AR401))</f>
        <v/>
      </c>
      <c r="BG401" s="91" t="str">
        <f aca="false">IF($BD401&lt;&gt;Constants!$B$6,"",IF($W401,0,Constants!$B$15))</f>
        <v/>
      </c>
      <c r="BH401" s="91" t="str">
        <f aca="false">IF(ISBLANK($C401),"",IF($BD401&lt;&gt;Constants!$B$6,$BD401,SUM($BF401:$BG401)))</f>
        <v/>
      </c>
      <c r="BI401" s="87" t="str">
        <f aca="false">IF(ISBLANK($C401),"",IF($BD401&lt;&gt;Constants!$B$6,$BD401,RANK($BH401,$BH$9:$BH$508,1)))</f>
        <v/>
      </c>
      <c r="BJ401" s="91" t="str">
        <f aca="false">IF($BD401&lt;&gt;Constants!$B$6,"",IF($AU401="-&gt;",$BB401,$AS401))</f>
        <v/>
      </c>
      <c r="BK401" s="87" t="str">
        <f aca="false">IF(ISBLANK($C401),"",IF($BD401&lt;&gt;Constants!$B$6,$BD401,IF(ISNUMBER($BJ401),RANK($BJ401,$BJ$9:$BJ$508,1),COUNT($BJ$9:$BJ$508)+1)))</f>
        <v/>
      </c>
      <c r="BL401" s="91" t="str">
        <f aca="false">IF($BD401&lt;&gt;Constants!$B$6,"",IF($AU401="-&gt;",$BC401,$AT401))</f>
        <v/>
      </c>
      <c r="BM401" s="87" t="str">
        <f aca="false">IF(ISBLANK($C401),"",IF($BD401&lt;&gt;Constants!$B$6,$BD401,IF(ISNUMBER($BL401),RANK($BL401,$BL$9:$BL$508,1),COUNT($BL$9:$BL$508)+1)))</f>
        <v/>
      </c>
      <c r="BN401" s="91" t="str">
        <f aca="false">IF($BD401&lt;&gt;Constants!$B$6,"",IF($AU401="-&gt;",$AS401,$BB401))</f>
        <v/>
      </c>
      <c r="BO401" s="87" t="str">
        <f aca="false">IF(ISBLANK($C401),"",IF($BD401&lt;&gt;Constants!$B$6,$BD401,IF(ISNUMBER($BN401),RANK($BN401,$BN$9:$BN$508,1),COUNT($BN$9:$BN$508)+1)))</f>
        <v/>
      </c>
      <c r="BP401" s="91" t="str">
        <f aca="false">IF($BD401&lt;&gt;Constants!$B$6,"",IF($AU401="-&gt;",$AT401,$BC401))</f>
        <v/>
      </c>
      <c r="BQ401" s="87" t="str">
        <f aca="false">IF(ISBLANK($C401),"",IF($BD401&lt;&gt;Constants!$B$6,$BD401,IF(ISNUMBER($BP401),RANK($BP401,$BP$9:$BP$508,1),COUNT($BP$9:$BP$508)+1)))</f>
        <v/>
      </c>
      <c r="BR401" s="87" t="str">
        <f aca="false">IF(ISBLANK($C401),"",IF($BD401&lt;&gt;Constants!$B$6,$BD401,COUNTIFS($BI$9:$BI$508,"&lt;"&amp;$BI401)+COUNTIFS($BI$9:$BI$508,$BI401,$BK$9:$BK$508,"&lt;"&amp;$BK401)+COUNTIFS($BI$9:$BI$508,$BI401,$BK$9:$BK$508,$BK401,$BM$9:$BM$508,"&lt;"&amp;$BM401)+COUNTIFS($BI$9:$BI$508,$BI401,$BK$9:$BK$508,$BK401,$BM$9:$BM$508,$BM401,$BO$9:$BO$508,"&lt;"&amp;$BO401)+COUNTIFS($BI$9:$BI$508,$BI401,$BK$9:$BK$508,$BK401,$BM$9:$BM$508,$BM401,$BO$9:$BO$508,$BO401,$BQ$9:$BQ$508,"&lt;"&amp;$BQ401)+1))</f>
        <v/>
      </c>
      <c r="BS401" s="87" t="str">
        <f aca="false">IF(ISBLANK($C401),"",IF($BD401&lt;&gt;Constants!$B$6,$BD401,$BI401-$BR401))</f>
        <v/>
      </c>
      <c r="BT401" s="94"/>
      <c r="BU401" s="95"/>
      <c r="BV401" s="95" t="str">
        <f aca="false">IF(ISBLANK($C401),"",IF($BD401&lt;&gt;Constants!$B$6,"",IF($AU401="-&gt;",2,1)))</f>
        <v/>
      </c>
      <c r="BW401" s="96" t="str">
        <f aca="false">IF(ISBLANK($C401),"",IF($BD401&lt;&gt;Constants!$B$6,"",IF($AU401="-&gt;",$AW401,$AN401)))</f>
        <v/>
      </c>
      <c r="BX401" s="96" t="str">
        <f aca="false">IF(ISBLANK($C401),"",IF($BD401&lt;&gt;Constants!$B$6,"",IF($AU401="-&gt;",$AX401,$AO401)))</f>
        <v/>
      </c>
      <c r="BY401" s="96" t="str">
        <f aca="false">IF(ISBLANK($C401),"",IF($BD401&lt;&gt;Constants!$B$6,"",IF($AU401="-&gt;",$AY401,$AP401)))</f>
        <v/>
      </c>
      <c r="BZ401" s="96" t="str">
        <f aca="false">IF(ISBLANK($C401),"",IF($BD401&lt;&gt;Constants!$B$6,"",IF($AU401="-&gt;",$AZ401,$AQ401)+$BG401))</f>
        <v/>
      </c>
      <c r="CA401" s="97" t="str">
        <f aca="false">IF(ISBLANK($C401),"",IF($BD401&lt;&gt;Constants!$B$6,$BD401,$BH401))</f>
        <v/>
      </c>
      <c r="CB401" s="98" t="str">
        <f aca="false">IF(ISBLANK($C401),"",$BE401)</f>
        <v/>
      </c>
      <c r="CC401" s="99" t="str">
        <f aca="false">IF(ISBLANK($C401),"",$BS401)</f>
        <v/>
      </c>
      <c r="CD401" s="99" t="str">
        <f aca="false">IF(ISBLANK($C401),"",$BR401)</f>
        <v/>
      </c>
      <c r="CE401" s="100" t="str">
        <f aca="false">IF(ISBLANK($C401),"",IF($CD401=Constants!$B$9,COUNTA($C$9:$C$508)+2,IF($CD401=Constants!$B$8,COUNTA($C$9:$C$508)+1,IF($CD401=Constants!$B$7,COUNTA($C$9:$C$508),$CD401))))</f>
        <v/>
      </c>
      <c r="CF401" s="9"/>
      <c r="CG401" s="101" t="n">
        <f aca="false">IF(OR(ISNUMBER($CD401),$CD401=Constants!$B$9,$CD401=Constants!$B$7,$CD401=Constants!$B$8),1,0)</f>
        <v>0</v>
      </c>
      <c r="CH401" s="101" t="n">
        <v>393</v>
      </c>
      <c r="CI401" s="101" t="str">
        <f aca="false">IF(ISBLANK($C401),"",IF(ISNUMBER($CE401),$CE401+ROW($B401)/1000,""))</f>
        <v/>
      </c>
      <c r="CJ401" s="101" t="str">
        <f aca="false">IF(ISNUMBER($CI401),RANK($CI401,$CI$9:$CI$508,1),"")</f>
        <v/>
      </c>
      <c r="CK401" s="101" t="str">
        <f aca="false">IF(ISBLANK($C401),"",$B401)</f>
        <v/>
      </c>
      <c r="CL401" s="101" t="str">
        <f aca="false">IF(ISBLANK($C401),"",$C401)</f>
        <v/>
      </c>
      <c r="CM401" s="101" t="str">
        <f aca="false">IF(ISBLANK($C401),"",$D401)</f>
        <v/>
      </c>
      <c r="CN401" s="102" t="str">
        <f aca="false">$CB401</f>
        <v/>
      </c>
      <c r="CO401" s="103" t="str">
        <f aca="false">$CA401</f>
        <v/>
      </c>
      <c r="CP401" s="101" t="str">
        <f aca="false">IF(ISBLANK($C401),"",$CD401)</f>
        <v/>
      </c>
      <c r="CQ401" s="104" t="str">
        <f aca="false">IF($CH401&gt;$CG$8,"",VLOOKUP($CH401,$CJ$9:$CP$508,7,FALSE()))</f>
        <v/>
      </c>
      <c r="CR401" s="105" t="str">
        <f aca="false">IF($CH401&gt;$CG$8,"",VLOOKUP($CH401,$CJ$9:$CP$508,2,FALSE()))</f>
        <v/>
      </c>
      <c r="CS401" s="105" t="str">
        <f aca="false">IF($CH401&gt;$CG$8,"",VLOOKUP($CH401,$CJ$9:$CP$508,3,FALSE()))</f>
        <v/>
      </c>
      <c r="CT401" s="105" t="str">
        <f aca="false">IF($CH401&gt;$CG$8,"",VLOOKUP($CH401,$CJ$9:$CP$508,4,FALSE()))</f>
        <v/>
      </c>
      <c r="CU401" s="105" t="str">
        <f aca="false">IF($CH401&gt;$CG$8,"",VLOOKUP($CH401,$CJ$9:$CP$508,5,FALSE()))</f>
        <v/>
      </c>
      <c r="CV401" s="106" t="str">
        <f aca="false">IF($CH401&gt;$CG$8,"",VLOOKUP($CH401,$CJ$9:$CP$508,6,FALSE()))</f>
        <v/>
      </c>
      <c r="CW401" s="71"/>
    </row>
    <row r="402" customFormat="false" ht="15.75" hidden="false" customHeight="false" outlineLevel="0" collapsed="false">
      <c r="A402" s="9"/>
      <c r="B402" s="150"/>
      <c r="C402" s="151"/>
      <c r="D402" s="152"/>
      <c r="E402" s="170"/>
      <c r="F402" s="154"/>
      <c r="G402" s="155"/>
      <c r="H402" s="171"/>
      <c r="I402" s="159"/>
      <c r="J402" s="120"/>
      <c r="K402" s="121"/>
      <c r="L402" s="122"/>
      <c r="M402" s="158"/>
      <c r="N402" s="159"/>
      <c r="O402" s="159"/>
      <c r="P402" s="120"/>
      <c r="Q402" s="122"/>
      <c r="R402" s="122"/>
      <c r="S402" s="158"/>
      <c r="T402" s="159"/>
      <c r="U402" s="126"/>
      <c r="V402" s="127"/>
      <c r="W402" s="127" t="str">
        <f aca="false">IF(ISBLANK($C402),"",IF(E402=Constants!$B$2,TRUE(),IF(E402=Constants!$B$3,FALSE(),TRUE())))</f>
        <v/>
      </c>
      <c r="X402" s="127" t="str">
        <f aca="false">IF(ISBLANK($C402),"",IF(F402=Constants!$B$2,TRUE(),IF(F402=Constants!$B$3,FALSE(),TRUE())))</f>
        <v/>
      </c>
      <c r="Y402" s="127" t="str">
        <f aca="false">IF(ISBLANK($C402),"",IF(G402=Constants!$B$2,TRUE(),IF(G402=Constants!$B$3,FALSE(),TRUE())))</f>
        <v/>
      </c>
      <c r="Z402" s="127" t="str">
        <f aca="false">IF(ISBLANK($C402),"",IF(H402=Constants!$B$2,TRUE(),IF(H402=Constants!$B$3,FALSE(),TRUE())))</f>
        <v/>
      </c>
      <c r="AA402" s="127" t="str">
        <f aca="false">IF(ISBLANK($C402),"",IF(I402=Constants!$B$2,TRUE(),IF(I402=Constants!$B$3,FALSE(),TRUE())))</f>
        <v/>
      </c>
      <c r="AB402" s="127" t="str">
        <f aca="false">IF(ISBLANK($C402),"",IF(J402=Constants!$B$4,TRUE(),IF(J402=Constants!$B$5,FALSE(),COUNTA(K402:M402)&gt;0)))</f>
        <v/>
      </c>
      <c r="AC402" s="128" t="str">
        <f aca="false">IF(ISBLANK($C402),"",IF(ISNUMBER(K402),IF(K402&gt;=0,K402,""),""))</f>
        <v/>
      </c>
      <c r="AD402" s="129" t="str">
        <f aca="false">IF(ISBLANK($C402),"",IF(ISNUMBER(L402),IF(L402&gt;=0,L402,""),""))</f>
        <v/>
      </c>
      <c r="AE402" s="127" t="str">
        <f aca="false">IF(ISBLANK($C402),"",IF(ISNUMBER(M402),IF(M402&gt;=0,MIN(M402,Constants!$B$22),""),""))</f>
        <v/>
      </c>
      <c r="AF402" s="127" t="str">
        <f aca="false">IF(ISBLANK($C402),"",IF(N402=Constants!$B$2,TRUE(),IF(N402=Constants!$B$3,FALSE(),TRUE())))</f>
        <v/>
      </c>
      <c r="AG402" s="127" t="str">
        <f aca="false">IF(ISBLANK($C402),"",IF(O402=Constants!$B$2,TRUE(),IF(O402=Constants!$B$3,FALSE(),TRUE())))</f>
        <v/>
      </c>
      <c r="AH402" s="127" t="str">
        <f aca="false">IF(ISBLANK($C402),"",IF(P402=Constants!$B$4,TRUE(),IF(P402=Constants!$B$5,FALSE(),COUNTA(Q402:S402)&gt;0)))</f>
        <v/>
      </c>
      <c r="AI402" s="128" t="str">
        <f aca="false">IF(ISBLANK($C402),"",IF(ISNUMBER(Q402),IF(Q402&gt;=0,Q402,""),""))</f>
        <v/>
      </c>
      <c r="AJ402" s="129" t="str">
        <f aca="false">IF(ISBLANK($C402),"",IF(ISNUMBER(R402),IF(R402&gt;=0,R402,""),""))</f>
        <v/>
      </c>
      <c r="AK402" s="127" t="str">
        <f aca="false">IF(ISBLANK($C402),"",IF(ISNUMBER(S402),IF(S402&gt;=0,MIN(S402,Constants!$B$22),""),""))</f>
        <v/>
      </c>
      <c r="AL402" s="127" t="str">
        <f aca="false">IF(ISBLANK($C402),"",IF(T402=Constants!$B$2,TRUE(),IF(T402=Constants!$B$3,FALSE(),FALSE())))</f>
        <v/>
      </c>
      <c r="AM402" s="126" t="str">
        <f aca="false">IF(ISBLANK($C402),"",AND($AB402,OR($AC402="",$AD402="",AND(NOT(ISBLANK($M402)),$AE402=""))))</f>
        <v/>
      </c>
      <c r="AN402" s="129" t="str">
        <f aca="false">IF($BD402&lt;&gt;Constants!$B$6,"",IF($AB402,Constants!$B$17*$AD402,Constants!$B$18))</f>
        <v/>
      </c>
      <c r="AO402" s="130" t="str">
        <f aca="false">IF($BD402&lt;&gt;Constants!$B$6,"",Constants!$B$19*IF($AB402,$AC402,0))</f>
        <v/>
      </c>
      <c r="AP402" s="130" t="str">
        <f aca="false">IF($BD402&lt;&gt;Constants!$B$6,"",IF(AND($AB402,ISNUMBER($AE402)),Constants!$B$20*(Constants!$B$21-$AE402),0))</f>
        <v/>
      </c>
      <c r="AQ402" s="130" t="str">
        <f aca="false">IF($BD402&lt;&gt;Constants!$B$6,"",IF($AA402,0,Constants!$B$12)+IF($Z402,0,Constants!$B$13)+IF($Y402,0,Constants!$B$14))</f>
        <v/>
      </c>
      <c r="AR402" s="131" t="str">
        <f aca="false">IF($BD402&lt;&gt;Constants!$B$6,"",Constants!$B$16+SUM($AN402:$AQ402))</f>
        <v/>
      </c>
      <c r="AS402" s="130" t="str">
        <f aca="false">IF($BD402&lt;&gt;Constants!$B$6,"",IF($AB402,$AD402,""))</f>
        <v/>
      </c>
      <c r="AT402" s="132" t="str">
        <f aca="false">IF($BD402&lt;&gt;Constants!$B$6,"",$AO402)</f>
        <v/>
      </c>
      <c r="AU402" s="127" t="str">
        <f aca="false">IF($BD402&lt;&gt;Constants!$B$6,"",IF(OR($BA402&lt;$AR402,AND($BA402=$AR402,OR(AND(ISNUMBER($BB402),OR(NOT(ISNUMBER($AS402)),$BB402&lt;$AS402)),AND(OR(AND($BB402="",$AS402=""),AND(ISNUMBER($BB402),ISNUMBER($AS402),$BB402=$AS402)),$BC402&lt;$AT402)))),"-&gt;","&lt;-"))</f>
        <v/>
      </c>
      <c r="AV402" s="126" t="str">
        <f aca="false">IF(ISBLANK($C402),"",AND($AH402,OR($AI402="",$AJ402="",AND(NOT(ISBLANK($S402)),$AK402=""))))</f>
        <v/>
      </c>
      <c r="AW402" s="129" t="str">
        <f aca="false">IF($BD402&lt;&gt;Constants!$B$6,"",IF($AH402,Constants!$B$17*$AJ402,Constants!$B$18))</f>
        <v/>
      </c>
      <c r="AX402" s="130" t="str">
        <f aca="false">IF($BD402&lt;&gt;Constants!$B$6,"",Constants!$B$19*IF($AH402,$AI402,0))</f>
        <v/>
      </c>
      <c r="AY402" s="130" t="str">
        <f aca="false">IF($BD402&lt;&gt;Constants!$B$6,"",IF(AND($AH402,ISNUMBER($AK402)),Constants!$B$20*(Constants!$B$21-$AK402),0))</f>
        <v/>
      </c>
      <c r="AZ402" s="130" t="str">
        <f aca="false">IF($BD402&lt;&gt;Constants!$B$6,"",IF($AG402,0,Constants!$B$12)+IF($AF402,0,Constants!$B$13)+IF($Y402,0,Constants!$B$14))</f>
        <v/>
      </c>
      <c r="BA402" s="131" t="str">
        <f aca="false">IF($BD402&lt;&gt;Constants!$B$6,"",Constants!$B$16+SUM($AW402:$AZ402))</f>
        <v/>
      </c>
      <c r="BB402" s="130" t="str">
        <f aca="false">IF($BD402&lt;&gt;Constants!$B$6,"",IF($AH402,$AJ402,""))</f>
        <v/>
      </c>
      <c r="BC402" s="132" t="str">
        <f aca="false">IF($BD402&lt;&gt;Constants!$B$6,"",$AX402)</f>
        <v/>
      </c>
      <c r="BD402" s="127" t="str">
        <f aca="false">IF(ISBLANK($C402),"",IF($AL402,Constants!$B$9,IF(COUNTA($E402:$T402)=0,Constants!$B$8,IF(NOT($X402),Constants!$B$7,IF(OR($AM402,$AV402),Constants!$B$10,Constants!$B$6)))))</f>
        <v/>
      </c>
      <c r="BE402" s="127" t="str">
        <f aca="false">IF(ISBLANK($C402),"",IF($BD402&lt;&gt;Constants!$B$6,$BD402,Constants!$B$11))</f>
        <v/>
      </c>
      <c r="BF402" s="130" t="str">
        <f aca="false">IF($BD402&lt;&gt;Constants!$B$6,"",IF($AU402="-&gt;",$BA402,$AR402))</f>
        <v/>
      </c>
      <c r="BG402" s="130" t="str">
        <f aca="false">IF($BD402&lt;&gt;Constants!$B$6,"",IF($W402,0,Constants!$B$15))</f>
        <v/>
      </c>
      <c r="BH402" s="130" t="str">
        <f aca="false">IF(ISBLANK($C402),"",IF($BD402&lt;&gt;Constants!$B$6,$BD402,SUM($BF402:$BG402)))</f>
        <v/>
      </c>
      <c r="BI402" s="127" t="str">
        <f aca="false">IF(ISBLANK($C402),"",IF($BD402&lt;&gt;Constants!$B$6,$BD402,RANK($BH402,$BH$9:$BH$508,1)))</f>
        <v/>
      </c>
      <c r="BJ402" s="130" t="str">
        <f aca="false">IF($BD402&lt;&gt;Constants!$B$6,"",IF($AU402="-&gt;",$BB402,$AS402))</f>
        <v/>
      </c>
      <c r="BK402" s="127" t="str">
        <f aca="false">IF(ISBLANK($C402),"",IF($BD402&lt;&gt;Constants!$B$6,$BD402,IF(ISNUMBER($BJ402),RANK($BJ402,$BJ$9:$BJ$508,1),COUNT($BJ$9:$BJ$508)+1)))</f>
        <v/>
      </c>
      <c r="BL402" s="130" t="str">
        <f aca="false">IF($BD402&lt;&gt;Constants!$B$6,"",IF($AU402="-&gt;",$BC402,$AT402))</f>
        <v/>
      </c>
      <c r="BM402" s="127" t="str">
        <f aca="false">IF(ISBLANK($C402),"",IF($BD402&lt;&gt;Constants!$B$6,$BD402,IF(ISNUMBER($BL402),RANK($BL402,$BL$9:$BL$508,1),COUNT($BL$9:$BL$508)+1)))</f>
        <v/>
      </c>
      <c r="BN402" s="130" t="str">
        <f aca="false">IF($BD402&lt;&gt;Constants!$B$6,"",IF($AU402="-&gt;",$AS402,$BB402))</f>
        <v/>
      </c>
      <c r="BO402" s="127" t="str">
        <f aca="false">IF(ISBLANK($C402),"",IF($BD402&lt;&gt;Constants!$B$6,$BD402,IF(ISNUMBER($BN402),RANK($BN402,$BN$9:$BN$508,1),COUNT($BN$9:$BN$508)+1)))</f>
        <v/>
      </c>
      <c r="BP402" s="130" t="str">
        <f aca="false">IF($BD402&lt;&gt;Constants!$B$6,"",IF($AU402="-&gt;",$AT402,$BC402))</f>
        <v/>
      </c>
      <c r="BQ402" s="127" t="str">
        <f aca="false">IF(ISBLANK($C402),"",IF($BD402&lt;&gt;Constants!$B$6,$BD402,IF(ISNUMBER($BP402),RANK($BP402,$BP$9:$BP$508,1),COUNT($BP$9:$BP$508)+1)))</f>
        <v/>
      </c>
      <c r="BR402" s="127" t="str">
        <f aca="false">IF(ISBLANK($C402),"",IF($BD402&lt;&gt;Constants!$B$6,$BD402,COUNTIFS($BI$9:$BI$508,"&lt;"&amp;$BI402)+COUNTIFS($BI$9:$BI$508,$BI402,$BK$9:$BK$508,"&lt;"&amp;$BK402)+COUNTIFS($BI$9:$BI$508,$BI402,$BK$9:$BK$508,$BK402,$BM$9:$BM$508,"&lt;"&amp;$BM402)+COUNTIFS($BI$9:$BI$508,$BI402,$BK$9:$BK$508,$BK402,$BM$9:$BM$508,$BM402,$BO$9:$BO$508,"&lt;"&amp;$BO402)+COUNTIFS($BI$9:$BI$508,$BI402,$BK$9:$BK$508,$BK402,$BM$9:$BM$508,$BM402,$BO$9:$BO$508,$BO402,$BQ$9:$BQ$508,"&lt;"&amp;$BQ402)+1))</f>
        <v/>
      </c>
      <c r="BS402" s="127" t="str">
        <f aca="false">IF(ISBLANK($C402),"",IF($BD402&lt;&gt;Constants!$B$6,$BD402,$BI402-$BR402))</f>
        <v/>
      </c>
      <c r="BT402" s="133"/>
      <c r="BU402" s="134"/>
      <c r="BV402" s="134" t="str">
        <f aca="false">IF(ISBLANK($C402),"",IF($BD402&lt;&gt;Constants!$B$6,"",IF($AU402="-&gt;",2,1)))</f>
        <v/>
      </c>
      <c r="BW402" s="135" t="str">
        <f aca="false">IF(ISBLANK($C402),"",IF($BD402&lt;&gt;Constants!$B$6,"",IF($AU402="-&gt;",$AW402,$AN402)))</f>
        <v/>
      </c>
      <c r="BX402" s="135" t="str">
        <f aca="false">IF(ISBLANK($C402),"",IF($BD402&lt;&gt;Constants!$B$6,"",IF($AU402="-&gt;",$AX402,$AO402)))</f>
        <v/>
      </c>
      <c r="BY402" s="135" t="str">
        <f aca="false">IF(ISBLANK($C402),"",IF($BD402&lt;&gt;Constants!$B$6,"",IF($AU402="-&gt;",$AY402,$AP402)))</f>
        <v/>
      </c>
      <c r="BZ402" s="135" t="str">
        <f aca="false">IF(ISBLANK($C402),"",IF($BD402&lt;&gt;Constants!$B$6,"",IF($AU402="-&gt;",$AZ402,$AQ402)+$BG402))</f>
        <v/>
      </c>
      <c r="CA402" s="136" t="str">
        <f aca="false">IF(ISBLANK($C402),"",IF($BD402&lt;&gt;Constants!$B$6,$BD402,$BH402))</f>
        <v/>
      </c>
      <c r="CB402" s="137" t="str">
        <f aca="false">IF(ISBLANK($C402),"",$BE402)</f>
        <v/>
      </c>
      <c r="CC402" s="138" t="str">
        <f aca="false">IF(ISBLANK($C402),"",$BS402)</f>
        <v/>
      </c>
      <c r="CD402" s="138" t="str">
        <f aca="false">IF(ISBLANK($C402),"",$BR402)</f>
        <v/>
      </c>
      <c r="CE402" s="139" t="str">
        <f aca="false">IF(ISBLANK($C402),"",IF($CD402=Constants!$B$9,COUNTA($C$9:$C$508)+2,IF($CD402=Constants!$B$8,COUNTA($C$9:$C$508)+1,IF($CD402=Constants!$B$7,COUNTA($C$9:$C$508),$CD402))))</f>
        <v/>
      </c>
      <c r="CF402" s="9"/>
      <c r="CG402" s="140" t="n">
        <f aca="false">IF(OR(ISNUMBER($CD402),$CD402=Constants!$B$9,$CD402=Constants!$B$7,$CD402=Constants!$B$8),1,0)</f>
        <v>0</v>
      </c>
      <c r="CH402" s="140" t="n">
        <v>394</v>
      </c>
      <c r="CI402" s="140" t="str">
        <f aca="false">IF(ISBLANK($C402),"",IF(ISNUMBER($CE402),$CE402+ROW($B402)/1000,""))</f>
        <v/>
      </c>
      <c r="CJ402" s="140" t="str">
        <f aca="false">IF(ISNUMBER($CI402),RANK($CI402,$CI$9:$CI$508,1),"")</f>
        <v/>
      </c>
      <c r="CK402" s="140" t="str">
        <f aca="false">IF(ISBLANK($C402),"",$B402)</f>
        <v/>
      </c>
      <c r="CL402" s="140" t="str">
        <f aca="false">IF(ISBLANK($C402),"",$C402)</f>
        <v/>
      </c>
      <c r="CM402" s="140" t="str">
        <f aca="false">IF(ISBLANK($C402),"",$D402)</f>
        <v/>
      </c>
      <c r="CN402" s="141" t="str">
        <f aca="false">$CB402</f>
        <v/>
      </c>
      <c r="CO402" s="142" t="str">
        <f aca="false">$CA402</f>
        <v/>
      </c>
      <c r="CP402" s="140" t="str">
        <f aca="false">IF(ISBLANK($C402),"",$CD402)</f>
        <v/>
      </c>
      <c r="CQ402" s="143" t="str">
        <f aca="false">IF($CH402&gt;$CG$8,"",VLOOKUP($CH402,$CJ$9:$CP$508,7,FALSE()))</f>
        <v/>
      </c>
      <c r="CR402" s="144" t="str">
        <f aca="false">IF($CH402&gt;$CG$8,"",VLOOKUP($CH402,$CJ$9:$CP$508,2,FALSE()))</f>
        <v/>
      </c>
      <c r="CS402" s="144" t="str">
        <f aca="false">IF($CH402&gt;$CG$8,"",VLOOKUP($CH402,$CJ$9:$CP$508,3,FALSE()))</f>
        <v/>
      </c>
      <c r="CT402" s="144" t="str">
        <f aca="false">IF($CH402&gt;$CG$8,"",VLOOKUP($CH402,$CJ$9:$CP$508,4,FALSE()))</f>
        <v/>
      </c>
      <c r="CU402" s="144" t="str">
        <f aca="false">IF($CH402&gt;$CG$8,"",VLOOKUP($CH402,$CJ$9:$CP$508,5,FALSE()))</f>
        <v/>
      </c>
      <c r="CV402" s="145" t="str">
        <f aca="false">IF($CH402&gt;$CG$8,"",VLOOKUP($CH402,$CJ$9:$CP$508,6,FALSE()))</f>
        <v/>
      </c>
      <c r="CW402" s="71"/>
    </row>
    <row r="403" customFormat="false" ht="15.75" hidden="false" customHeight="false" outlineLevel="0" collapsed="false">
      <c r="A403" s="9"/>
      <c r="B403" s="150"/>
      <c r="C403" s="151"/>
      <c r="D403" s="152"/>
      <c r="E403" s="170"/>
      <c r="F403" s="154"/>
      <c r="G403" s="155"/>
      <c r="H403" s="171"/>
      <c r="I403" s="159"/>
      <c r="J403" s="120"/>
      <c r="K403" s="121"/>
      <c r="L403" s="122"/>
      <c r="M403" s="158"/>
      <c r="N403" s="159"/>
      <c r="O403" s="159"/>
      <c r="P403" s="120"/>
      <c r="Q403" s="122"/>
      <c r="R403" s="122"/>
      <c r="S403" s="158"/>
      <c r="T403" s="159"/>
      <c r="U403" s="126"/>
      <c r="V403" s="127"/>
      <c r="W403" s="127" t="str">
        <f aca="false">IF(ISBLANK($C403),"",IF(E403=Constants!$B$2,TRUE(),IF(E403=Constants!$B$3,FALSE(),TRUE())))</f>
        <v/>
      </c>
      <c r="X403" s="127" t="str">
        <f aca="false">IF(ISBLANK($C403),"",IF(F403=Constants!$B$2,TRUE(),IF(F403=Constants!$B$3,FALSE(),TRUE())))</f>
        <v/>
      </c>
      <c r="Y403" s="127" t="str">
        <f aca="false">IF(ISBLANK($C403),"",IF(G403=Constants!$B$2,TRUE(),IF(G403=Constants!$B$3,FALSE(),TRUE())))</f>
        <v/>
      </c>
      <c r="Z403" s="127" t="str">
        <f aca="false">IF(ISBLANK($C403),"",IF(H403=Constants!$B$2,TRUE(),IF(H403=Constants!$B$3,FALSE(),TRUE())))</f>
        <v/>
      </c>
      <c r="AA403" s="127" t="str">
        <f aca="false">IF(ISBLANK($C403),"",IF(I403=Constants!$B$2,TRUE(),IF(I403=Constants!$B$3,FALSE(),TRUE())))</f>
        <v/>
      </c>
      <c r="AB403" s="127" t="str">
        <f aca="false">IF(ISBLANK($C403),"",IF(J403=Constants!$B$4,TRUE(),IF(J403=Constants!$B$5,FALSE(),COUNTA(K403:M403)&gt;0)))</f>
        <v/>
      </c>
      <c r="AC403" s="128" t="str">
        <f aca="false">IF(ISBLANK($C403),"",IF(ISNUMBER(K403),IF(K403&gt;=0,K403,""),""))</f>
        <v/>
      </c>
      <c r="AD403" s="129" t="str">
        <f aca="false">IF(ISBLANK($C403),"",IF(ISNUMBER(L403),IF(L403&gt;=0,L403,""),""))</f>
        <v/>
      </c>
      <c r="AE403" s="127" t="str">
        <f aca="false">IF(ISBLANK($C403),"",IF(ISNUMBER(M403),IF(M403&gt;=0,MIN(M403,Constants!$B$22),""),""))</f>
        <v/>
      </c>
      <c r="AF403" s="127" t="str">
        <f aca="false">IF(ISBLANK($C403),"",IF(N403=Constants!$B$2,TRUE(),IF(N403=Constants!$B$3,FALSE(),TRUE())))</f>
        <v/>
      </c>
      <c r="AG403" s="127" t="str">
        <f aca="false">IF(ISBLANK($C403),"",IF(O403=Constants!$B$2,TRUE(),IF(O403=Constants!$B$3,FALSE(),TRUE())))</f>
        <v/>
      </c>
      <c r="AH403" s="127" t="str">
        <f aca="false">IF(ISBLANK($C403),"",IF(P403=Constants!$B$4,TRUE(),IF(P403=Constants!$B$5,FALSE(),COUNTA(Q403:S403)&gt;0)))</f>
        <v/>
      </c>
      <c r="AI403" s="128" t="str">
        <f aca="false">IF(ISBLANK($C403),"",IF(ISNUMBER(Q403),IF(Q403&gt;=0,Q403,""),""))</f>
        <v/>
      </c>
      <c r="AJ403" s="129" t="str">
        <f aca="false">IF(ISBLANK($C403),"",IF(ISNUMBER(R403),IF(R403&gt;=0,R403,""),""))</f>
        <v/>
      </c>
      <c r="AK403" s="127" t="str">
        <f aca="false">IF(ISBLANK($C403),"",IF(ISNUMBER(S403),IF(S403&gt;=0,MIN(S403,Constants!$B$22),""),""))</f>
        <v/>
      </c>
      <c r="AL403" s="127" t="str">
        <f aca="false">IF(ISBLANK($C403),"",IF(T403=Constants!$B$2,TRUE(),IF(T403=Constants!$B$3,FALSE(),FALSE())))</f>
        <v/>
      </c>
      <c r="AM403" s="126" t="str">
        <f aca="false">IF(ISBLANK($C403),"",AND($AB403,OR($AC403="",$AD403="",AND(NOT(ISBLANK($M403)),$AE403=""))))</f>
        <v/>
      </c>
      <c r="AN403" s="129" t="str">
        <f aca="false">IF($BD403&lt;&gt;Constants!$B$6,"",IF($AB403,Constants!$B$17*$AD403,Constants!$B$18))</f>
        <v/>
      </c>
      <c r="AO403" s="130" t="str">
        <f aca="false">IF($BD403&lt;&gt;Constants!$B$6,"",Constants!$B$19*IF($AB403,$AC403,0))</f>
        <v/>
      </c>
      <c r="AP403" s="130" t="str">
        <f aca="false">IF($BD403&lt;&gt;Constants!$B$6,"",IF(AND($AB403,ISNUMBER($AE403)),Constants!$B$20*(Constants!$B$21-$AE403),0))</f>
        <v/>
      </c>
      <c r="AQ403" s="130" t="str">
        <f aca="false">IF($BD403&lt;&gt;Constants!$B$6,"",IF($AA403,0,Constants!$B$12)+IF($Z403,0,Constants!$B$13)+IF($Y403,0,Constants!$B$14))</f>
        <v/>
      </c>
      <c r="AR403" s="131" t="str">
        <f aca="false">IF($BD403&lt;&gt;Constants!$B$6,"",Constants!$B$16+SUM($AN403:$AQ403))</f>
        <v/>
      </c>
      <c r="AS403" s="130" t="str">
        <f aca="false">IF($BD403&lt;&gt;Constants!$B$6,"",IF($AB403,$AD403,""))</f>
        <v/>
      </c>
      <c r="AT403" s="132" t="str">
        <f aca="false">IF($BD403&lt;&gt;Constants!$B$6,"",$AO403)</f>
        <v/>
      </c>
      <c r="AU403" s="127" t="str">
        <f aca="false">IF($BD403&lt;&gt;Constants!$B$6,"",IF(OR($BA403&lt;$AR403,AND($BA403=$AR403,OR(AND(ISNUMBER($BB403),OR(NOT(ISNUMBER($AS403)),$BB403&lt;$AS403)),AND(OR(AND($BB403="",$AS403=""),AND(ISNUMBER($BB403),ISNUMBER($AS403),$BB403=$AS403)),$BC403&lt;$AT403)))),"-&gt;","&lt;-"))</f>
        <v/>
      </c>
      <c r="AV403" s="126" t="str">
        <f aca="false">IF(ISBLANK($C403),"",AND($AH403,OR($AI403="",$AJ403="",AND(NOT(ISBLANK($S403)),$AK403=""))))</f>
        <v/>
      </c>
      <c r="AW403" s="129" t="str">
        <f aca="false">IF($BD403&lt;&gt;Constants!$B$6,"",IF($AH403,Constants!$B$17*$AJ403,Constants!$B$18))</f>
        <v/>
      </c>
      <c r="AX403" s="130" t="str">
        <f aca="false">IF($BD403&lt;&gt;Constants!$B$6,"",Constants!$B$19*IF($AH403,$AI403,0))</f>
        <v/>
      </c>
      <c r="AY403" s="130" t="str">
        <f aca="false">IF($BD403&lt;&gt;Constants!$B$6,"",IF(AND($AH403,ISNUMBER($AK403)),Constants!$B$20*(Constants!$B$21-$AK403),0))</f>
        <v/>
      </c>
      <c r="AZ403" s="130" t="str">
        <f aca="false">IF($BD403&lt;&gt;Constants!$B$6,"",IF($AG403,0,Constants!$B$12)+IF($AF403,0,Constants!$B$13)+IF($Y403,0,Constants!$B$14))</f>
        <v/>
      </c>
      <c r="BA403" s="131" t="str">
        <f aca="false">IF($BD403&lt;&gt;Constants!$B$6,"",Constants!$B$16+SUM($AW403:$AZ403))</f>
        <v/>
      </c>
      <c r="BB403" s="130" t="str">
        <f aca="false">IF($BD403&lt;&gt;Constants!$B$6,"",IF($AH403,$AJ403,""))</f>
        <v/>
      </c>
      <c r="BC403" s="132" t="str">
        <f aca="false">IF($BD403&lt;&gt;Constants!$B$6,"",$AX403)</f>
        <v/>
      </c>
      <c r="BD403" s="127" t="str">
        <f aca="false">IF(ISBLANK($C403),"",IF($AL403,Constants!$B$9,IF(COUNTA($E403:$T403)=0,Constants!$B$8,IF(NOT($X403),Constants!$B$7,IF(OR($AM403,$AV403),Constants!$B$10,Constants!$B$6)))))</f>
        <v/>
      </c>
      <c r="BE403" s="127" t="str">
        <f aca="false">IF(ISBLANK($C403),"",IF($BD403&lt;&gt;Constants!$B$6,$BD403,Constants!$B$11))</f>
        <v/>
      </c>
      <c r="BF403" s="130" t="str">
        <f aca="false">IF($BD403&lt;&gt;Constants!$B$6,"",IF($AU403="-&gt;",$BA403,$AR403))</f>
        <v/>
      </c>
      <c r="BG403" s="130" t="str">
        <f aca="false">IF($BD403&lt;&gt;Constants!$B$6,"",IF($W403,0,Constants!$B$15))</f>
        <v/>
      </c>
      <c r="BH403" s="130" t="str">
        <f aca="false">IF(ISBLANK($C403),"",IF($BD403&lt;&gt;Constants!$B$6,$BD403,SUM($BF403:$BG403)))</f>
        <v/>
      </c>
      <c r="BI403" s="127" t="str">
        <f aca="false">IF(ISBLANK($C403),"",IF($BD403&lt;&gt;Constants!$B$6,$BD403,RANK($BH403,$BH$9:$BH$508,1)))</f>
        <v/>
      </c>
      <c r="BJ403" s="130" t="str">
        <f aca="false">IF($BD403&lt;&gt;Constants!$B$6,"",IF($AU403="-&gt;",$BB403,$AS403))</f>
        <v/>
      </c>
      <c r="BK403" s="127" t="str">
        <f aca="false">IF(ISBLANK($C403),"",IF($BD403&lt;&gt;Constants!$B$6,$BD403,IF(ISNUMBER($BJ403),RANK($BJ403,$BJ$9:$BJ$508,1),COUNT($BJ$9:$BJ$508)+1)))</f>
        <v/>
      </c>
      <c r="BL403" s="130" t="str">
        <f aca="false">IF($BD403&lt;&gt;Constants!$B$6,"",IF($AU403="-&gt;",$BC403,$AT403))</f>
        <v/>
      </c>
      <c r="BM403" s="127" t="str">
        <f aca="false">IF(ISBLANK($C403),"",IF($BD403&lt;&gt;Constants!$B$6,$BD403,IF(ISNUMBER($BL403),RANK($BL403,$BL$9:$BL$508,1),COUNT($BL$9:$BL$508)+1)))</f>
        <v/>
      </c>
      <c r="BN403" s="130" t="str">
        <f aca="false">IF($BD403&lt;&gt;Constants!$B$6,"",IF($AU403="-&gt;",$AS403,$BB403))</f>
        <v/>
      </c>
      <c r="BO403" s="127" t="str">
        <f aca="false">IF(ISBLANK($C403),"",IF($BD403&lt;&gt;Constants!$B$6,$BD403,IF(ISNUMBER($BN403),RANK($BN403,$BN$9:$BN$508,1),COUNT($BN$9:$BN$508)+1)))</f>
        <v/>
      </c>
      <c r="BP403" s="130" t="str">
        <f aca="false">IF($BD403&lt;&gt;Constants!$B$6,"",IF($AU403="-&gt;",$AT403,$BC403))</f>
        <v/>
      </c>
      <c r="BQ403" s="127" t="str">
        <f aca="false">IF(ISBLANK($C403),"",IF($BD403&lt;&gt;Constants!$B$6,$BD403,IF(ISNUMBER($BP403),RANK($BP403,$BP$9:$BP$508,1),COUNT($BP$9:$BP$508)+1)))</f>
        <v/>
      </c>
      <c r="BR403" s="127" t="str">
        <f aca="false">IF(ISBLANK($C403),"",IF($BD403&lt;&gt;Constants!$B$6,$BD403,COUNTIFS($BI$9:$BI$508,"&lt;"&amp;$BI403)+COUNTIFS($BI$9:$BI$508,$BI403,$BK$9:$BK$508,"&lt;"&amp;$BK403)+COUNTIFS($BI$9:$BI$508,$BI403,$BK$9:$BK$508,$BK403,$BM$9:$BM$508,"&lt;"&amp;$BM403)+COUNTIFS($BI$9:$BI$508,$BI403,$BK$9:$BK$508,$BK403,$BM$9:$BM$508,$BM403,$BO$9:$BO$508,"&lt;"&amp;$BO403)+COUNTIFS($BI$9:$BI$508,$BI403,$BK$9:$BK$508,$BK403,$BM$9:$BM$508,$BM403,$BO$9:$BO$508,$BO403,$BQ$9:$BQ$508,"&lt;"&amp;$BQ403)+1))</f>
        <v/>
      </c>
      <c r="BS403" s="127" t="str">
        <f aca="false">IF(ISBLANK($C403),"",IF($BD403&lt;&gt;Constants!$B$6,$BD403,$BI403-$BR403))</f>
        <v/>
      </c>
      <c r="BT403" s="133"/>
      <c r="BU403" s="134"/>
      <c r="BV403" s="134" t="str">
        <f aca="false">IF(ISBLANK($C403),"",IF($BD403&lt;&gt;Constants!$B$6,"",IF($AU403="-&gt;",2,1)))</f>
        <v/>
      </c>
      <c r="BW403" s="135" t="str">
        <f aca="false">IF(ISBLANK($C403),"",IF($BD403&lt;&gt;Constants!$B$6,"",IF($AU403="-&gt;",$AW403,$AN403)))</f>
        <v/>
      </c>
      <c r="BX403" s="135" t="str">
        <f aca="false">IF(ISBLANK($C403),"",IF($BD403&lt;&gt;Constants!$B$6,"",IF($AU403="-&gt;",$AX403,$AO403)))</f>
        <v/>
      </c>
      <c r="BY403" s="135" t="str">
        <f aca="false">IF(ISBLANK($C403),"",IF($BD403&lt;&gt;Constants!$B$6,"",IF($AU403="-&gt;",$AY403,$AP403)))</f>
        <v/>
      </c>
      <c r="BZ403" s="135" t="str">
        <f aca="false">IF(ISBLANK($C403),"",IF($BD403&lt;&gt;Constants!$B$6,"",IF($AU403="-&gt;",$AZ403,$AQ403)+$BG403))</f>
        <v/>
      </c>
      <c r="CA403" s="136" t="str">
        <f aca="false">IF(ISBLANK($C403),"",IF($BD403&lt;&gt;Constants!$B$6,$BD403,$BH403))</f>
        <v/>
      </c>
      <c r="CB403" s="137" t="str">
        <f aca="false">IF(ISBLANK($C403),"",$BE403)</f>
        <v/>
      </c>
      <c r="CC403" s="138" t="str">
        <f aca="false">IF(ISBLANK($C403),"",$BS403)</f>
        <v/>
      </c>
      <c r="CD403" s="138" t="str">
        <f aca="false">IF(ISBLANK($C403),"",$BR403)</f>
        <v/>
      </c>
      <c r="CE403" s="139" t="str">
        <f aca="false">IF(ISBLANK($C403),"",IF($CD403=Constants!$B$9,COUNTA($C$9:$C$508)+2,IF($CD403=Constants!$B$8,COUNTA($C$9:$C$508)+1,IF($CD403=Constants!$B$7,COUNTA($C$9:$C$508),$CD403))))</f>
        <v/>
      </c>
      <c r="CF403" s="9"/>
      <c r="CG403" s="140" t="n">
        <f aca="false">IF(OR(ISNUMBER($CD403),$CD403=Constants!$B$9,$CD403=Constants!$B$7,$CD403=Constants!$B$8),1,0)</f>
        <v>0</v>
      </c>
      <c r="CH403" s="140" t="n">
        <v>395</v>
      </c>
      <c r="CI403" s="140" t="str">
        <f aca="false">IF(ISBLANK($C403),"",IF(ISNUMBER($CE403),$CE403+ROW($B403)/1000,""))</f>
        <v/>
      </c>
      <c r="CJ403" s="140" t="str">
        <f aca="false">IF(ISNUMBER($CI403),RANK($CI403,$CI$9:$CI$508,1),"")</f>
        <v/>
      </c>
      <c r="CK403" s="140" t="str">
        <f aca="false">IF(ISBLANK($C403),"",$B403)</f>
        <v/>
      </c>
      <c r="CL403" s="140" t="str">
        <f aca="false">IF(ISBLANK($C403),"",$C403)</f>
        <v/>
      </c>
      <c r="CM403" s="140" t="str">
        <f aca="false">IF(ISBLANK($C403),"",$D403)</f>
        <v/>
      </c>
      <c r="CN403" s="141" t="str">
        <f aca="false">$CB403</f>
        <v/>
      </c>
      <c r="CO403" s="142" t="str">
        <f aca="false">$CA403</f>
        <v/>
      </c>
      <c r="CP403" s="140" t="str">
        <f aca="false">IF(ISBLANK($C403),"",$CD403)</f>
        <v/>
      </c>
      <c r="CQ403" s="143" t="str">
        <f aca="false">IF($CH403&gt;$CG$8,"",VLOOKUP($CH403,$CJ$9:$CP$508,7,FALSE()))</f>
        <v/>
      </c>
      <c r="CR403" s="144" t="str">
        <f aca="false">IF($CH403&gt;$CG$8,"",VLOOKUP($CH403,$CJ$9:$CP$508,2,FALSE()))</f>
        <v/>
      </c>
      <c r="CS403" s="144" t="str">
        <f aca="false">IF($CH403&gt;$CG$8,"",VLOOKUP($CH403,$CJ$9:$CP$508,3,FALSE()))</f>
        <v/>
      </c>
      <c r="CT403" s="144" t="str">
        <f aca="false">IF($CH403&gt;$CG$8,"",VLOOKUP($CH403,$CJ$9:$CP$508,4,FALSE()))</f>
        <v/>
      </c>
      <c r="CU403" s="144" t="str">
        <f aca="false">IF($CH403&gt;$CG$8,"",VLOOKUP($CH403,$CJ$9:$CP$508,5,FALSE()))</f>
        <v/>
      </c>
      <c r="CV403" s="145" t="str">
        <f aca="false">IF($CH403&gt;$CG$8,"",VLOOKUP($CH403,$CJ$9:$CP$508,6,FALSE()))</f>
        <v/>
      </c>
      <c r="CW403" s="71"/>
    </row>
    <row r="404" customFormat="false" ht="15.75" hidden="false" customHeight="false" outlineLevel="0" collapsed="false">
      <c r="A404" s="9"/>
      <c r="B404" s="150"/>
      <c r="C404" s="151"/>
      <c r="D404" s="152"/>
      <c r="E404" s="170"/>
      <c r="F404" s="154"/>
      <c r="G404" s="155"/>
      <c r="H404" s="171"/>
      <c r="I404" s="159"/>
      <c r="J404" s="120"/>
      <c r="K404" s="121"/>
      <c r="L404" s="122"/>
      <c r="M404" s="158"/>
      <c r="N404" s="159"/>
      <c r="O404" s="159"/>
      <c r="P404" s="120"/>
      <c r="Q404" s="122"/>
      <c r="R404" s="122"/>
      <c r="S404" s="158"/>
      <c r="T404" s="159"/>
      <c r="U404" s="126"/>
      <c r="V404" s="127"/>
      <c r="W404" s="127" t="str">
        <f aca="false">IF(ISBLANK($C404),"",IF(E404=Constants!$B$2,TRUE(),IF(E404=Constants!$B$3,FALSE(),TRUE())))</f>
        <v/>
      </c>
      <c r="X404" s="127" t="str">
        <f aca="false">IF(ISBLANK($C404),"",IF(F404=Constants!$B$2,TRUE(),IF(F404=Constants!$B$3,FALSE(),TRUE())))</f>
        <v/>
      </c>
      <c r="Y404" s="127" t="str">
        <f aca="false">IF(ISBLANK($C404),"",IF(G404=Constants!$B$2,TRUE(),IF(G404=Constants!$B$3,FALSE(),TRUE())))</f>
        <v/>
      </c>
      <c r="Z404" s="127" t="str">
        <f aca="false">IF(ISBLANK($C404),"",IF(H404=Constants!$B$2,TRUE(),IF(H404=Constants!$B$3,FALSE(),TRUE())))</f>
        <v/>
      </c>
      <c r="AA404" s="127" t="str">
        <f aca="false">IF(ISBLANK($C404),"",IF(I404=Constants!$B$2,TRUE(),IF(I404=Constants!$B$3,FALSE(),TRUE())))</f>
        <v/>
      </c>
      <c r="AB404" s="127" t="str">
        <f aca="false">IF(ISBLANK($C404),"",IF(J404=Constants!$B$4,TRUE(),IF(J404=Constants!$B$5,FALSE(),COUNTA(K404:M404)&gt;0)))</f>
        <v/>
      </c>
      <c r="AC404" s="128" t="str">
        <f aca="false">IF(ISBLANK($C404),"",IF(ISNUMBER(K404),IF(K404&gt;=0,K404,""),""))</f>
        <v/>
      </c>
      <c r="AD404" s="129" t="str">
        <f aca="false">IF(ISBLANK($C404),"",IF(ISNUMBER(L404),IF(L404&gt;=0,L404,""),""))</f>
        <v/>
      </c>
      <c r="AE404" s="127" t="str">
        <f aca="false">IF(ISBLANK($C404),"",IF(ISNUMBER(M404),IF(M404&gt;=0,MIN(M404,Constants!$B$22),""),""))</f>
        <v/>
      </c>
      <c r="AF404" s="127" t="str">
        <f aca="false">IF(ISBLANK($C404),"",IF(N404=Constants!$B$2,TRUE(),IF(N404=Constants!$B$3,FALSE(),TRUE())))</f>
        <v/>
      </c>
      <c r="AG404" s="127" t="str">
        <f aca="false">IF(ISBLANK($C404),"",IF(O404=Constants!$B$2,TRUE(),IF(O404=Constants!$B$3,FALSE(),TRUE())))</f>
        <v/>
      </c>
      <c r="AH404" s="127" t="str">
        <f aca="false">IF(ISBLANK($C404),"",IF(P404=Constants!$B$4,TRUE(),IF(P404=Constants!$B$5,FALSE(),COUNTA(Q404:S404)&gt;0)))</f>
        <v/>
      </c>
      <c r="AI404" s="128" t="str">
        <f aca="false">IF(ISBLANK($C404),"",IF(ISNUMBER(Q404),IF(Q404&gt;=0,Q404,""),""))</f>
        <v/>
      </c>
      <c r="AJ404" s="129" t="str">
        <f aca="false">IF(ISBLANK($C404),"",IF(ISNUMBER(R404),IF(R404&gt;=0,R404,""),""))</f>
        <v/>
      </c>
      <c r="AK404" s="127" t="str">
        <f aca="false">IF(ISBLANK($C404),"",IF(ISNUMBER(S404),IF(S404&gt;=0,MIN(S404,Constants!$B$22),""),""))</f>
        <v/>
      </c>
      <c r="AL404" s="127" t="str">
        <f aca="false">IF(ISBLANK($C404),"",IF(T404=Constants!$B$2,TRUE(),IF(T404=Constants!$B$3,FALSE(),FALSE())))</f>
        <v/>
      </c>
      <c r="AM404" s="126" t="str">
        <f aca="false">IF(ISBLANK($C404),"",AND($AB404,OR($AC404="",$AD404="",AND(NOT(ISBLANK($M404)),$AE404=""))))</f>
        <v/>
      </c>
      <c r="AN404" s="129" t="str">
        <f aca="false">IF($BD404&lt;&gt;Constants!$B$6,"",IF($AB404,Constants!$B$17*$AD404,Constants!$B$18))</f>
        <v/>
      </c>
      <c r="AO404" s="130" t="str">
        <f aca="false">IF($BD404&lt;&gt;Constants!$B$6,"",Constants!$B$19*IF($AB404,$AC404,0))</f>
        <v/>
      </c>
      <c r="AP404" s="130" t="str">
        <f aca="false">IF($BD404&lt;&gt;Constants!$B$6,"",IF(AND($AB404,ISNUMBER($AE404)),Constants!$B$20*(Constants!$B$21-$AE404),0))</f>
        <v/>
      </c>
      <c r="AQ404" s="130" t="str">
        <f aca="false">IF($BD404&lt;&gt;Constants!$B$6,"",IF($AA404,0,Constants!$B$12)+IF($Z404,0,Constants!$B$13)+IF($Y404,0,Constants!$B$14))</f>
        <v/>
      </c>
      <c r="AR404" s="131" t="str">
        <f aca="false">IF($BD404&lt;&gt;Constants!$B$6,"",Constants!$B$16+SUM($AN404:$AQ404))</f>
        <v/>
      </c>
      <c r="AS404" s="130" t="str">
        <f aca="false">IF($BD404&lt;&gt;Constants!$B$6,"",IF($AB404,$AD404,""))</f>
        <v/>
      </c>
      <c r="AT404" s="132" t="str">
        <f aca="false">IF($BD404&lt;&gt;Constants!$B$6,"",$AO404)</f>
        <v/>
      </c>
      <c r="AU404" s="127" t="str">
        <f aca="false">IF($BD404&lt;&gt;Constants!$B$6,"",IF(OR($BA404&lt;$AR404,AND($BA404=$AR404,OR(AND(ISNUMBER($BB404),OR(NOT(ISNUMBER($AS404)),$BB404&lt;$AS404)),AND(OR(AND($BB404="",$AS404=""),AND(ISNUMBER($BB404),ISNUMBER($AS404),$BB404=$AS404)),$BC404&lt;$AT404)))),"-&gt;","&lt;-"))</f>
        <v/>
      </c>
      <c r="AV404" s="126" t="str">
        <f aca="false">IF(ISBLANK($C404),"",AND($AH404,OR($AI404="",$AJ404="",AND(NOT(ISBLANK($S404)),$AK404=""))))</f>
        <v/>
      </c>
      <c r="AW404" s="129" t="str">
        <f aca="false">IF($BD404&lt;&gt;Constants!$B$6,"",IF($AH404,Constants!$B$17*$AJ404,Constants!$B$18))</f>
        <v/>
      </c>
      <c r="AX404" s="130" t="str">
        <f aca="false">IF($BD404&lt;&gt;Constants!$B$6,"",Constants!$B$19*IF($AH404,$AI404,0))</f>
        <v/>
      </c>
      <c r="AY404" s="130" t="str">
        <f aca="false">IF($BD404&lt;&gt;Constants!$B$6,"",IF(AND($AH404,ISNUMBER($AK404)),Constants!$B$20*(Constants!$B$21-$AK404),0))</f>
        <v/>
      </c>
      <c r="AZ404" s="130" t="str">
        <f aca="false">IF($BD404&lt;&gt;Constants!$B$6,"",IF($AG404,0,Constants!$B$12)+IF($AF404,0,Constants!$B$13)+IF($Y404,0,Constants!$B$14))</f>
        <v/>
      </c>
      <c r="BA404" s="131" t="str">
        <f aca="false">IF($BD404&lt;&gt;Constants!$B$6,"",Constants!$B$16+SUM($AW404:$AZ404))</f>
        <v/>
      </c>
      <c r="BB404" s="130" t="str">
        <f aca="false">IF($BD404&lt;&gt;Constants!$B$6,"",IF($AH404,$AJ404,""))</f>
        <v/>
      </c>
      <c r="BC404" s="132" t="str">
        <f aca="false">IF($BD404&lt;&gt;Constants!$B$6,"",$AX404)</f>
        <v/>
      </c>
      <c r="BD404" s="127" t="str">
        <f aca="false">IF(ISBLANK($C404),"",IF($AL404,Constants!$B$9,IF(COUNTA($E404:$T404)=0,Constants!$B$8,IF(NOT($X404),Constants!$B$7,IF(OR($AM404,$AV404),Constants!$B$10,Constants!$B$6)))))</f>
        <v/>
      </c>
      <c r="BE404" s="127" t="str">
        <f aca="false">IF(ISBLANK($C404),"",IF($BD404&lt;&gt;Constants!$B$6,$BD404,Constants!$B$11))</f>
        <v/>
      </c>
      <c r="BF404" s="130" t="str">
        <f aca="false">IF($BD404&lt;&gt;Constants!$B$6,"",IF($AU404="-&gt;",$BA404,$AR404))</f>
        <v/>
      </c>
      <c r="BG404" s="130" t="str">
        <f aca="false">IF($BD404&lt;&gt;Constants!$B$6,"",IF($W404,0,Constants!$B$15))</f>
        <v/>
      </c>
      <c r="BH404" s="130" t="str">
        <f aca="false">IF(ISBLANK($C404),"",IF($BD404&lt;&gt;Constants!$B$6,$BD404,SUM($BF404:$BG404)))</f>
        <v/>
      </c>
      <c r="BI404" s="127" t="str">
        <f aca="false">IF(ISBLANK($C404),"",IF($BD404&lt;&gt;Constants!$B$6,$BD404,RANK($BH404,$BH$9:$BH$508,1)))</f>
        <v/>
      </c>
      <c r="BJ404" s="130" t="str">
        <f aca="false">IF($BD404&lt;&gt;Constants!$B$6,"",IF($AU404="-&gt;",$BB404,$AS404))</f>
        <v/>
      </c>
      <c r="BK404" s="127" t="str">
        <f aca="false">IF(ISBLANK($C404),"",IF($BD404&lt;&gt;Constants!$B$6,$BD404,IF(ISNUMBER($BJ404),RANK($BJ404,$BJ$9:$BJ$508,1),COUNT($BJ$9:$BJ$508)+1)))</f>
        <v/>
      </c>
      <c r="BL404" s="130" t="str">
        <f aca="false">IF($BD404&lt;&gt;Constants!$B$6,"",IF($AU404="-&gt;",$BC404,$AT404))</f>
        <v/>
      </c>
      <c r="BM404" s="127" t="str">
        <f aca="false">IF(ISBLANK($C404),"",IF($BD404&lt;&gt;Constants!$B$6,$BD404,IF(ISNUMBER($BL404),RANK($BL404,$BL$9:$BL$508,1),COUNT($BL$9:$BL$508)+1)))</f>
        <v/>
      </c>
      <c r="BN404" s="130" t="str">
        <f aca="false">IF($BD404&lt;&gt;Constants!$B$6,"",IF($AU404="-&gt;",$AS404,$BB404))</f>
        <v/>
      </c>
      <c r="BO404" s="127" t="str">
        <f aca="false">IF(ISBLANK($C404),"",IF($BD404&lt;&gt;Constants!$B$6,$BD404,IF(ISNUMBER($BN404),RANK($BN404,$BN$9:$BN$508,1),COUNT($BN$9:$BN$508)+1)))</f>
        <v/>
      </c>
      <c r="BP404" s="130" t="str">
        <f aca="false">IF($BD404&lt;&gt;Constants!$B$6,"",IF($AU404="-&gt;",$AT404,$BC404))</f>
        <v/>
      </c>
      <c r="BQ404" s="127" t="str">
        <f aca="false">IF(ISBLANK($C404),"",IF($BD404&lt;&gt;Constants!$B$6,$BD404,IF(ISNUMBER($BP404),RANK($BP404,$BP$9:$BP$508,1),COUNT($BP$9:$BP$508)+1)))</f>
        <v/>
      </c>
      <c r="BR404" s="127" t="str">
        <f aca="false">IF(ISBLANK($C404),"",IF($BD404&lt;&gt;Constants!$B$6,$BD404,COUNTIFS($BI$9:$BI$508,"&lt;"&amp;$BI404)+COUNTIFS($BI$9:$BI$508,$BI404,$BK$9:$BK$508,"&lt;"&amp;$BK404)+COUNTIFS($BI$9:$BI$508,$BI404,$BK$9:$BK$508,$BK404,$BM$9:$BM$508,"&lt;"&amp;$BM404)+COUNTIFS($BI$9:$BI$508,$BI404,$BK$9:$BK$508,$BK404,$BM$9:$BM$508,$BM404,$BO$9:$BO$508,"&lt;"&amp;$BO404)+COUNTIFS($BI$9:$BI$508,$BI404,$BK$9:$BK$508,$BK404,$BM$9:$BM$508,$BM404,$BO$9:$BO$508,$BO404,$BQ$9:$BQ$508,"&lt;"&amp;$BQ404)+1))</f>
        <v/>
      </c>
      <c r="BS404" s="127" t="str">
        <f aca="false">IF(ISBLANK($C404),"",IF($BD404&lt;&gt;Constants!$B$6,$BD404,$BI404-$BR404))</f>
        <v/>
      </c>
      <c r="BT404" s="133"/>
      <c r="BU404" s="134"/>
      <c r="BV404" s="134" t="str">
        <f aca="false">IF(ISBLANK($C404),"",IF($BD404&lt;&gt;Constants!$B$6,"",IF($AU404="-&gt;",2,1)))</f>
        <v/>
      </c>
      <c r="BW404" s="135" t="str">
        <f aca="false">IF(ISBLANK($C404),"",IF($BD404&lt;&gt;Constants!$B$6,"",IF($AU404="-&gt;",$AW404,$AN404)))</f>
        <v/>
      </c>
      <c r="BX404" s="135" t="str">
        <f aca="false">IF(ISBLANK($C404),"",IF($BD404&lt;&gt;Constants!$B$6,"",IF($AU404="-&gt;",$AX404,$AO404)))</f>
        <v/>
      </c>
      <c r="BY404" s="135" t="str">
        <f aca="false">IF(ISBLANK($C404),"",IF($BD404&lt;&gt;Constants!$B$6,"",IF($AU404="-&gt;",$AY404,$AP404)))</f>
        <v/>
      </c>
      <c r="BZ404" s="135" t="str">
        <f aca="false">IF(ISBLANK($C404),"",IF($BD404&lt;&gt;Constants!$B$6,"",IF($AU404="-&gt;",$AZ404,$AQ404)+$BG404))</f>
        <v/>
      </c>
      <c r="CA404" s="136" t="str">
        <f aca="false">IF(ISBLANK($C404),"",IF($BD404&lt;&gt;Constants!$B$6,$BD404,$BH404))</f>
        <v/>
      </c>
      <c r="CB404" s="137" t="str">
        <f aca="false">IF(ISBLANK($C404),"",$BE404)</f>
        <v/>
      </c>
      <c r="CC404" s="138" t="str">
        <f aca="false">IF(ISBLANK($C404),"",$BS404)</f>
        <v/>
      </c>
      <c r="CD404" s="138" t="str">
        <f aca="false">IF(ISBLANK($C404),"",$BR404)</f>
        <v/>
      </c>
      <c r="CE404" s="139" t="str">
        <f aca="false">IF(ISBLANK($C404),"",IF($CD404=Constants!$B$9,COUNTA($C$9:$C$508)+2,IF($CD404=Constants!$B$8,COUNTA($C$9:$C$508)+1,IF($CD404=Constants!$B$7,COUNTA($C$9:$C$508),$CD404))))</f>
        <v/>
      </c>
      <c r="CF404" s="9"/>
      <c r="CG404" s="140" t="n">
        <f aca="false">IF(OR(ISNUMBER($CD404),$CD404=Constants!$B$9,$CD404=Constants!$B$7,$CD404=Constants!$B$8),1,0)</f>
        <v>0</v>
      </c>
      <c r="CH404" s="140" t="n">
        <v>396</v>
      </c>
      <c r="CI404" s="140" t="str">
        <f aca="false">IF(ISBLANK($C404),"",IF(ISNUMBER($CE404),$CE404+ROW($B404)/1000,""))</f>
        <v/>
      </c>
      <c r="CJ404" s="140" t="str">
        <f aca="false">IF(ISNUMBER($CI404),RANK($CI404,$CI$9:$CI$508,1),"")</f>
        <v/>
      </c>
      <c r="CK404" s="140" t="str">
        <f aca="false">IF(ISBLANK($C404),"",$B404)</f>
        <v/>
      </c>
      <c r="CL404" s="140" t="str">
        <f aca="false">IF(ISBLANK($C404),"",$C404)</f>
        <v/>
      </c>
      <c r="CM404" s="140" t="str">
        <f aca="false">IF(ISBLANK($C404),"",$D404)</f>
        <v/>
      </c>
      <c r="CN404" s="141" t="str">
        <f aca="false">$CB404</f>
        <v/>
      </c>
      <c r="CO404" s="142" t="str">
        <f aca="false">$CA404</f>
        <v/>
      </c>
      <c r="CP404" s="140" t="str">
        <f aca="false">IF(ISBLANK($C404),"",$CD404)</f>
        <v/>
      </c>
      <c r="CQ404" s="143" t="str">
        <f aca="false">IF($CH404&gt;$CG$8,"",VLOOKUP($CH404,$CJ$9:$CP$508,7,FALSE()))</f>
        <v/>
      </c>
      <c r="CR404" s="144" t="str">
        <f aca="false">IF($CH404&gt;$CG$8,"",VLOOKUP($CH404,$CJ$9:$CP$508,2,FALSE()))</f>
        <v/>
      </c>
      <c r="CS404" s="144" t="str">
        <f aca="false">IF($CH404&gt;$CG$8,"",VLOOKUP($CH404,$CJ$9:$CP$508,3,FALSE()))</f>
        <v/>
      </c>
      <c r="CT404" s="144" t="str">
        <f aca="false">IF($CH404&gt;$CG$8,"",VLOOKUP($CH404,$CJ$9:$CP$508,4,FALSE()))</f>
        <v/>
      </c>
      <c r="CU404" s="144" t="str">
        <f aca="false">IF($CH404&gt;$CG$8,"",VLOOKUP($CH404,$CJ$9:$CP$508,5,FALSE()))</f>
        <v/>
      </c>
      <c r="CV404" s="145" t="str">
        <f aca="false">IF($CH404&gt;$CG$8,"",VLOOKUP($CH404,$CJ$9:$CP$508,6,FALSE()))</f>
        <v/>
      </c>
      <c r="CW404" s="71"/>
    </row>
    <row r="405" customFormat="false" ht="15.75" hidden="false" customHeight="false" outlineLevel="0" collapsed="false">
      <c r="A405" s="9"/>
      <c r="B405" s="72"/>
      <c r="C405" s="73"/>
      <c r="D405" s="160"/>
      <c r="E405" s="168"/>
      <c r="F405" s="162"/>
      <c r="G405" s="163"/>
      <c r="H405" s="169"/>
      <c r="I405" s="167"/>
      <c r="J405" s="80"/>
      <c r="K405" s="81"/>
      <c r="L405" s="82"/>
      <c r="M405" s="166"/>
      <c r="N405" s="167"/>
      <c r="O405" s="167"/>
      <c r="P405" s="80"/>
      <c r="Q405" s="82"/>
      <c r="R405" s="82"/>
      <c r="S405" s="166"/>
      <c r="T405" s="167"/>
      <c r="U405" s="86"/>
      <c r="V405" s="87"/>
      <c r="W405" s="87" t="str">
        <f aca="false">IF(ISBLANK($C405),"",IF(E405=Constants!$B$2,TRUE(),IF(E405=Constants!$B$3,FALSE(),TRUE())))</f>
        <v/>
      </c>
      <c r="X405" s="87" t="str">
        <f aca="false">IF(ISBLANK($C405),"",IF(F405=Constants!$B$2,TRUE(),IF(F405=Constants!$B$3,FALSE(),TRUE())))</f>
        <v/>
      </c>
      <c r="Y405" s="87" t="str">
        <f aca="false">IF(ISBLANK($C405),"",IF(G405=Constants!$B$2,TRUE(),IF(G405=Constants!$B$3,FALSE(),TRUE())))</f>
        <v/>
      </c>
      <c r="Z405" s="87" t="str">
        <f aca="false">IF(ISBLANK($C405),"",IF(H405=Constants!$B$2,TRUE(),IF(H405=Constants!$B$3,FALSE(),TRUE())))</f>
        <v/>
      </c>
      <c r="AA405" s="87" t="str">
        <f aca="false">IF(ISBLANK($C405),"",IF(I405=Constants!$B$2,TRUE(),IF(I405=Constants!$B$3,FALSE(),TRUE())))</f>
        <v/>
      </c>
      <c r="AB405" s="87" t="str">
        <f aca="false">IF(ISBLANK($C405),"",IF(J405=Constants!$B$4,TRUE(),IF(J405=Constants!$B$5,FALSE(),COUNTA(K405:M405)&gt;0)))</f>
        <v/>
      </c>
      <c r="AC405" s="88" t="str">
        <f aca="false">IF(ISBLANK($C405),"",IF(ISNUMBER(K405),IF(K405&gt;=0,K405,""),""))</f>
        <v/>
      </c>
      <c r="AD405" s="89" t="str">
        <f aca="false">IF(ISBLANK($C405),"",IF(ISNUMBER(L405),IF(L405&gt;=0,L405,""),""))</f>
        <v/>
      </c>
      <c r="AE405" s="87" t="str">
        <f aca="false">IF(ISBLANK($C405),"",IF(ISNUMBER(M405),IF(M405&gt;=0,MIN(M405,Constants!$B$22),""),""))</f>
        <v/>
      </c>
      <c r="AF405" s="87" t="str">
        <f aca="false">IF(ISBLANK($C405),"",IF(N405=Constants!$B$2,TRUE(),IF(N405=Constants!$B$3,FALSE(),TRUE())))</f>
        <v/>
      </c>
      <c r="AG405" s="87" t="str">
        <f aca="false">IF(ISBLANK($C405),"",IF(O405=Constants!$B$2,TRUE(),IF(O405=Constants!$B$3,FALSE(),TRUE())))</f>
        <v/>
      </c>
      <c r="AH405" s="87" t="str">
        <f aca="false">IF(ISBLANK($C405),"",IF(P405=Constants!$B$4,TRUE(),IF(P405=Constants!$B$5,FALSE(),COUNTA(Q405:S405)&gt;0)))</f>
        <v/>
      </c>
      <c r="AI405" s="88" t="str">
        <f aca="false">IF(ISBLANK($C405),"",IF(ISNUMBER(Q405),IF(Q405&gt;=0,Q405,""),""))</f>
        <v/>
      </c>
      <c r="AJ405" s="89" t="str">
        <f aca="false">IF(ISBLANK($C405),"",IF(ISNUMBER(R405),IF(R405&gt;=0,R405,""),""))</f>
        <v/>
      </c>
      <c r="AK405" s="87" t="str">
        <f aca="false">IF(ISBLANK($C405),"",IF(ISNUMBER(S405),IF(S405&gt;=0,MIN(S405,Constants!$B$22),""),""))</f>
        <v/>
      </c>
      <c r="AL405" s="87" t="str">
        <f aca="false">IF(ISBLANK($C405),"",IF(T405=Constants!$B$2,TRUE(),IF(T405=Constants!$B$3,FALSE(),FALSE())))</f>
        <v/>
      </c>
      <c r="AM405" s="86" t="str">
        <f aca="false">IF(ISBLANK($C405),"",AND($AB405,OR($AC405="",$AD405="",AND(NOT(ISBLANK($M405)),$AE405=""))))</f>
        <v/>
      </c>
      <c r="AN405" s="89" t="str">
        <f aca="false">IF($BD405&lt;&gt;Constants!$B$6,"",IF($AB405,Constants!$B$17*$AD405,Constants!$B$18))</f>
        <v/>
      </c>
      <c r="AO405" s="91" t="str">
        <f aca="false">IF($BD405&lt;&gt;Constants!$B$6,"",Constants!$B$19*IF($AB405,$AC405,0))</f>
        <v/>
      </c>
      <c r="AP405" s="91" t="str">
        <f aca="false">IF($BD405&lt;&gt;Constants!$B$6,"",IF(AND($AB405,ISNUMBER($AE405)),Constants!$B$20*(Constants!$B$21-$AE405),0))</f>
        <v/>
      </c>
      <c r="AQ405" s="91" t="str">
        <f aca="false">IF($BD405&lt;&gt;Constants!$B$6,"",IF($AA405,0,Constants!$B$12)+IF($Z405,0,Constants!$B$13)+IF($Y405,0,Constants!$B$14))</f>
        <v/>
      </c>
      <c r="AR405" s="92" t="str">
        <f aca="false">IF($BD405&lt;&gt;Constants!$B$6,"",Constants!$B$16+SUM($AN405:$AQ405))</f>
        <v/>
      </c>
      <c r="AS405" s="91" t="str">
        <f aca="false">IF($BD405&lt;&gt;Constants!$B$6,"",IF($AB405,$AD405,""))</f>
        <v/>
      </c>
      <c r="AT405" s="93" t="str">
        <f aca="false">IF($BD405&lt;&gt;Constants!$B$6,"",$AO405)</f>
        <v/>
      </c>
      <c r="AU405" s="87" t="str">
        <f aca="false">IF($BD405&lt;&gt;Constants!$B$6,"",IF(OR($BA405&lt;$AR405,AND($BA405=$AR405,OR(AND(ISNUMBER($BB405),OR(NOT(ISNUMBER($AS405)),$BB405&lt;$AS405)),AND(OR(AND($BB405="",$AS405=""),AND(ISNUMBER($BB405),ISNUMBER($AS405),$BB405=$AS405)),$BC405&lt;$AT405)))),"-&gt;","&lt;-"))</f>
        <v/>
      </c>
      <c r="AV405" s="86" t="str">
        <f aca="false">IF(ISBLANK($C405),"",AND($AH405,OR($AI405="",$AJ405="",AND(NOT(ISBLANK($S405)),$AK405=""))))</f>
        <v/>
      </c>
      <c r="AW405" s="89" t="str">
        <f aca="false">IF($BD405&lt;&gt;Constants!$B$6,"",IF($AH405,Constants!$B$17*$AJ405,Constants!$B$18))</f>
        <v/>
      </c>
      <c r="AX405" s="91" t="str">
        <f aca="false">IF($BD405&lt;&gt;Constants!$B$6,"",Constants!$B$19*IF($AH405,$AI405,0))</f>
        <v/>
      </c>
      <c r="AY405" s="91" t="str">
        <f aca="false">IF($BD405&lt;&gt;Constants!$B$6,"",IF(AND($AH405,ISNUMBER($AK405)),Constants!$B$20*(Constants!$B$21-$AK405),0))</f>
        <v/>
      </c>
      <c r="AZ405" s="91" t="str">
        <f aca="false">IF($BD405&lt;&gt;Constants!$B$6,"",IF($AG405,0,Constants!$B$12)+IF($AF405,0,Constants!$B$13)+IF($Y405,0,Constants!$B$14))</f>
        <v/>
      </c>
      <c r="BA405" s="92" t="str">
        <f aca="false">IF($BD405&lt;&gt;Constants!$B$6,"",Constants!$B$16+SUM($AW405:$AZ405))</f>
        <v/>
      </c>
      <c r="BB405" s="91" t="str">
        <f aca="false">IF($BD405&lt;&gt;Constants!$B$6,"",IF($AH405,$AJ405,""))</f>
        <v/>
      </c>
      <c r="BC405" s="93" t="str">
        <f aca="false">IF($BD405&lt;&gt;Constants!$B$6,"",$AX405)</f>
        <v/>
      </c>
      <c r="BD405" s="87" t="str">
        <f aca="false">IF(ISBLANK($C405),"",IF($AL405,Constants!$B$9,IF(COUNTA($E405:$T405)=0,Constants!$B$8,IF(NOT($X405),Constants!$B$7,IF(OR($AM405,$AV405),Constants!$B$10,Constants!$B$6)))))</f>
        <v/>
      </c>
      <c r="BE405" s="87" t="str">
        <f aca="false">IF(ISBLANK($C405),"",IF($BD405&lt;&gt;Constants!$B$6,$BD405,Constants!$B$11))</f>
        <v/>
      </c>
      <c r="BF405" s="91" t="str">
        <f aca="false">IF($BD405&lt;&gt;Constants!$B$6,"",IF($AU405="-&gt;",$BA405,$AR405))</f>
        <v/>
      </c>
      <c r="BG405" s="91" t="str">
        <f aca="false">IF($BD405&lt;&gt;Constants!$B$6,"",IF($W405,0,Constants!$B$15))</f>
        <v/>
      </c>
      <c r="BH405" s="91" t="str">
        <f aca="false">IF(ISBLANK($C405),"",IF($BD405&lt;&gt;Constants!$B$6,$BD405,SUM($BF405:$BG405)))</f>
        <v/>
      </c>
      <c r="BI405" s="87" t="str">
        <f aca="false">IF(ISBLANK($C405),"",IF($BD405&lt;&gt;Constants!$B$6,$BD405,RANK($BH405,$BH$9:$BH$508,1)))</f>
        <v/>
      </c>
      <c r="BJ405" s="91" t="str">
        <f aca="false">IF($BD405&lt;&gt;Constants!$B$6,"",IF($AU405="-&gt;",$BB405,$AS405))</f>
        <v/>
      </c>
      <c r="BK405" s="87" t="str">
        <f aca="false">IF(ISBLANK($C405),"",IF($BD405&lt;&gt;Constants!$B$6,$BD405,IF(ISNUMBER($BJ405),RANK($BJ405,$BJ$9:$BJ$508,1),COUNT($BJ$9:$BJ$508)+1)))</f>
        <v/>
      </c>
      <c r="BL405" s="91" t="str">
        <f aca="false">IF($BD405&lt;&gt;Constants!$B$6,"",IF($AU405="-&gt;",$BC405,$AT405))</f>
        <v/>
      </c>
      <c r="BM405" s="87" t="str">
        <f aca="false">IF(ISBLANK($C405),"",IF($BD405&lt;&gt;Constants!$B$6,$BD405,IF(ISNUMBER($BL405),RANK($BL405,$BL$9:$BL$508,1),COUNT($BL$9:$BL$508)+1)))</f>
        <v/>
      </c>
      <c r="BN405" s="91" t="str">
        <f aca="false">IF($BD405&lt;&gt;Constants!$B$6,"",IF($AU405="-&gt;",$AS405,$BB405))</f>
        <v/>
      </c>
      <c r="BO405" s="87" t="str">
        <f aca="false">IF(ISBLANK($C405),"",IF($BD405&lt;&gt;Constants!$B$6,$BD405,IF(ISNUMBER($BN405),RANK($BN405,$BN$9:$BN$508,1),COUNT($BN$9:$BN$508)+1)))</f>
        <v/>
      </c>
      <c r="BP405" s="91" t="str">
        <f aca="false">IF($BD405&lt;&gt;Constants!$B$6,"",IF($AU405="-&gt;",$AT405,$BC405))</f>
        <v/>
      </c>
      <c r="BQ405" s="87" t="str">
        <f aca="false">IF(ISBLANK($C405),"",IF($BD405&lt;&gt;Constants!$B$6,$BD405,IF(ISNUMBER($BP405),RANK($BP405,$BP$9:$BP$508,1),COUNT($BP$9:$BP$508)+1)))</f>
        <v/>
      </c>
      <c r="BR405" s="87" t="str">
        <f aca="false">IF(ISBLANK($C405),"",IF($BD405&lt;&gt;Constants!$B$6,$BD405,COUNTIFS($BI$9:$BI$508,"&lt;"&amp;$BI405)+COUNTIFS($BI$9:$BI$508,$BI405,$BK$9:$BK$508,"&lt;"&amp;$BK405)+COUNTIFS($BI$9:$BI$508,$BI405,$BK$9:$BK$508,$BK405,$BM$9:$BM$508,"&lt;"&amp;$BM405)+COUNTIFS($BI$9:$BI$508,$BI405,$BK$9:$BK$508,$BK405,$BM$9:$BM$508,$BM405,$BO$9:$BO$508,"&lt;"&amp;$BO405)+COUNTIFS($BI$9:$BI$508,$BI405,$BK$9:$BK$508,$BK405,$BM$9:$BM$508,$BM405,$BO$9:$BO$508,$BO405,$BQ$9:$BQ$508,"&lt;"&amp;$BQ405)+1))</f>
        <v/>
      </c>
      <c r="BS405" s="87" t="str">
        <f aca="false">IF(ISBLANK($C405),"",IF($BD405&lt;&gt;Constants!$B$6,$BD405,$BI405-$BR405))</f>
        <v/>
      </c>
      <c r="BT405" s="94"/>
      <c r="BU405" s="95"/>
      <c r="BV405" s="95" t="str">
        <f aca="false">IF(ISBLANK($C405),"",IF($BD405&lt;&gt;Constants!$B$6,"",IF($AU405="-&gt;",2,1)))</f>
        <v/>
      </c>
      <c r="BW405" s="96" t="str">
        <f aca="false">IF(ISBLANK($C405),"",IF($BD405&lt;&gt;Constants!$B$6,"",IF($AU405="-&gt;",$AW405,$AN405)))</f>
        <v/>
      </c>
      <c r="BX405" s="96" t="str">
        <f aca="false">IF(ISBLANK($C405),"",IF($BD405&lt;&gt;Constants!$B$6,"",IF($AU405="-&gt;",$AX405,$AO405)))</f>
        <v/>
      </c>
      <c r="BY405" s="96" t="str">
        <f aca="false">IF(ISBLANK($C405),"",IF($BD405&lt;&gt;Constants!$B$6,"",IF($AU405="-&gt;",$AY405,$AP405)))</f>
        <v/>
      </c>
      <c r="BZ405" s="96" t="str">
        <f aca="false">IF(ISBLANK($C405),"",IF($BD405&lt;&gt;Constants!$B$6,"",IF($AU405="-&gt;",$AZ405,$AQ405)+$BG405))</f>
        <v/>
      </c>
      <c r="CA405" s="97" t="str">
        <f aca="false">IF(ISBLANK($C405),"",IF($BD405&lt;&gt;Constants!$B$6,$BD405,$BH405))</f>
        <v/>
      </c>
      <c r="CB405" s="98" t="str">
        <f aca="false">IF(ISBLANK($C405),"",$BE405)</f>
        <v/>
      </c>
      <c r="CC405" s="99" t="str">
        <f aca="false">IF(ISBLANK($C405),"",$BS405)</f>
        <v/>
      </c>
      <c r="CD405" s="99" t="str">
        <f aca="false">IF(ISBLANK($C405),"",$BR405)</f>
        <v/>
      </c>
      <c r="CE405" s="100" t="str">
        <f aca="false">IF(ISBLANK($C405),"",IF($CD405=Constants!$B$9,COUNTA($C$9:$C$508)+2,IF($CD405=Constants!$B$8,COUNTA($C$9:$C$508)+1,IF($CD405=Constants!$B$7,COUNTA($C$9:$C$508),$CD405))))</f>
        <v/>
      </c>
      <c r="CF405" s="9"/>
      <c r="CG405" s="101" t="n">
        <f aca="false">IF(OR(ISNUMBER($CD405),$CD405=Constants!$B$9,$CD405=Constants!$B$7,$CD405=Constants!$B$8),1,0)</f>
        <v>0</v>
      </c>
      <c r="CH405" s="101" t="n">
        <v>397</v>
      </c>
      <c r="CI405" s="101" t="str">
        <f aca="false">IF(ISBLANK($C405),"",IF(ISNUMBER($CE405),$CE405+ROW($B405)/1000,""))</f>
        <v/>
      </c>
      <c r="CJ405" s="101" t="str">
        <f aca="false">IF(ISNUMBER($CI405),RANK($CI405,$CI$9:$CI$508,1),"")</f>
        <v/>
      </c>
      <c r="CK405" s="101" t="str">
        <f aca="false">IF(ISBLANK($C405),"",$B405)</f>
        <v/>
      </c>
      <c r="CL405" s="101" t="str">
        <f aca="false">IF(ISBLANK($C405),"",$C405)</f>
        <v/>
      </c>
      <c r="CM405" s="101" t="str">
        <f aca="false">IF(ISBLANK($C405),"",$D405)</f>
        <v/>
      </c>
      <c r="CN405" s="102" t="str">
        <f aca="false">$CB405</f>
        <v/>
      </c>
      <c r="CO405" s="103" t="str">
        <f aca="false">$CA405</f>
        <v/>
      </c>
      <c r="CP405" s="101" t="str">
        <f aca="false">IF(ISBLANK($C405),"",$CD405)</f>
        <v/>
      </c>
      <c r="CQ405" s="104" t="str">
        <f aca="false">IF($CH405&gt;$CG$8,"",VLOOKUP($CH405,$CJ$9:$CP$508,7,FALSE()))</f>
        <v/>
      </c>
      <c r="CR405" s="105" t="str">
        <f aca="false">IF($CH405&gt;$CG$8,"",VLOOKUP($CH405,$CJ$9:$CP$508,2,FALSE()))</f>
        <v/>
      </c>
      <c r="CS405" s="105" t="str">
        <f aca="false">IF($CH405&gt;$CG$8,"",VLOOKUP($CH405,$CJ$9:$CP$508,3,FALSE()))</f>
        <v/>
      </c>
      <c r="CT405" s="105" t="str">
        <f aca="false">IF($CH405&gt;$CG$8,"",VLOOKUP($CH405,$CJ$9:$CP$508,4,FALSE()))</f>
        <v/>
      </c>
      <c r="CU405" s="105" t="str">
        <f aca="false">IF($CH405&gt;$CG$8,"",VLOOKUP($CH405,$CJ$9:$CP$508,5,FALSE()))</f>
        <v/>
      </c>
      <c r="CV405" s="106" t="str">
        <f aca="false">IF($CH405&gt;$CG$8,"",VLOOKUP($CH405,$CJ$9:$CP$508,6,FALSE()))</f>
        <v/>
      </c>
      <c r="CW405" s="71"/>
    </row>
    <row r="406" customFormat="false" ht="15.75" hidden="false" customHeight="false" outlineLevel="0" collapsed="false">
      <c r="A406" s="9"/>
      <c r="B406" s="72"/>
      <c r="C406" s="73"/>
      <c r="D406" s="160"/>
      <c r="E406" s="168"/>
      <c r="F406" s="162"/>
      <c r="G406" s="163"/>
      <c r="H406" s="169"/>
      <c r="I406" s="167"/>
      <c r="J406" s="80"/>
      <c r="K406" s="81"/>
      <c r="L406" s="82"/>
      <c r="M406" s="166"/>
      <c r="N406" s="167"/>
      <c r="O406" s="167"/>
      <c r="P406" s="80"/>
      <c r="Q406" s="82"/>
      <c r="R406" s="82"/>
      <c r="S406" s="166"/>
      <c r="T406" s="167"/>
      <c r="U406" s="86"/>
      <c r="V406" s="87"/>
      <c r="W406" s="87" t="str">
        <f aca="false">IF(ISBLANK($C406),"",IF(E406=Constants!$B$2,TRUE(),IF(E406=Constants!$B$3,FALSE(),TRUE())))</f>
        <v/>
      </c>
      <c r="X406" s="87" t="str">
        <f aca="false">IF(ISBLANK($C406),"",IF(F406=Constants!$B$2,TRUE(),IF(F406=Constants!$B$3,FALSE(),TRUE())))</f>
        <v/>
      </c>
      <c r="Y406" s="87" t="str">
        <f aca="false">IF(ISBLANK($C406),"",IF(G406=Constants!$B$2,TRUE(),IF(G406=Constants!$B$3,FALSE(),TRUE())))</f>
        <v/>
      </c>
      <c r="Z406" s="87" t="str">
        <f aca="false">IF(ISBLANK($C406),"",IF(H406=Constants!$B$2,TRUE(),IF(H406=Constants!$B$3,FALSE(),TRUE())))</f>
        <v/>
      </c>
      <c r="AA406" s="87" t="str">
        <f aca="false">IF(ISBLANK($C406),"",IF(I406=Constants!$B$2,TRUE(),IF(I406=Constants!$B$3,FALSE(),TRUE())))</f>
        <v/>
      </c>
      <c r="AB406" s="87" t="str">
        <f aca="false">IF(ISBLANK($C406),"",IF(J406=Constants!$B$4,TRUE(),IF(J406=Constants!$B$5,FALSE(),COUNTA(K406:M406)&gt;0)))</f>
        <v/>
      </c>
      <c r="AC406" s="88" t="str">
        <f aca="false">IF(ISBLANK($C406),"",IF(ISNUMBER(K406),IF(K406&gt;=0,K406,""),""))</f>
        <v/>
      </c>
      <c r="AD406" s="89" t="str">
        <f aca="false">IF(ISBLANK($C406),"",IF(ISNUMBER(L406),IF(L406&gt;=0,L406,""),""))</f>
        <v/>
      </c>
      <c r="AE406" s="87" t="str">
        <f aca="false">IF(ISBLANK($C406),"",IF(ISNUMBER(M406),IF(M406&gt;=0,MIN(M406,Constants!$B$22),""),""))</f>
        <v/>
      </c>
      <c r="AF406" s="87" t="str">
        <f aca="false">IF(ISBLANK($C406),"",IF(N406=Constants!$B$2,TRUE(),IF(N406=Constants!$B$3,FALSE(),TRUE())))</f>
        <v/>
      </c>
      <c r="AG406" s="87" t="str">
        <f aca="false">IF(ISBLANK($C406),"",IF(O406=Constants!$B$2,TRUE(),IF(O406=Constants!$B$3,FALSE(),TRUE())))</f>
        <v/>
      </c>
      <c r="AH406" s="87" t="str">
        <f aca="false">IF(ISBLANK($C406),"",IF(P406=Constants!$B$4,TRUE(),IF(P406=Constants!$B$5,FALSE(),COUNTA(Q406:S406)&gt;0)))</f>
        <v/>
      </c>
      <c r="AI406" s="88" t="str">
        <f aca="false">IF(ISBLANK($C406),"",IF(ISNUMBER(Q406),IF(Q406&gt;=0,Q406,""),""))</f>
        <v/>
      </c>
      <c r="AJ406" s="89" t="str">
        <f aca="false">IF(ISBLANK($C406),"",IF(ISNUMBER(R406),IF(R406&gt;=0,R406,""),""))</f>
        <v/>
      </c>
      <c r="AK406" s="87" t="str">
        <f aca="false">IF(ISBLANK($C406),"",IF(ISNUMBER(S406),IF(S406&gt;=0,MIN(S406,Constants!$B$22),""),""))</f>
        <v/>
      </c>
      <c r="AL406" s="87" t="str">
        <f aca="false">IF(ISBLANK($C406),"",IF(T406=Constants!$B$2,TRUE(),IF(T406=Constants!$B$3,FALSE(),FALSE())))</f>
        <v/>
      </c>
      <c r="AM406" s="86" t="str">
        <f aca="false">IF(ISBLANK($C406),"",AND($AB406,OR($AC406="",$AD406="",AND(NOT(ISBLANK($M406)),$AE406=""))))</f>
        <v/>
      </c>
      <c r="AN406" s="89" t="str">
        <f aca="false">IF($BD406&lt;&gt;Constants!$B$6,"",IF($AB406,Constants!$B$17*$AD406,Constants!$B$18))</f>
        <v/>
      </c>
      <c r="AO406" s="91" t="str">
        <f aca="false">IF($BD406&lt;&gt;Constants!$B$6,"",Constants!$B$19*IF($AB406,$AC406,0))</f>
        <v/>
      </c>
      <c r="AP406" s="91" t="str">
        <f aca="false">IF($BD406&lt;&gt;Constants!$B$6,"",IF(AND($AB406,ISNUMBER($AE406)),Constants!$B$20*(Constants!$B$21-$AE406),0))</f>
        <v/>
      </c>
      <c r="AQ406" s="91" t="str">
        <f aca="false">IF($BD406&lt;&gt;Constants!$B$6,"",IF($AA406,0,Constants!$B$12)+IF($Z406,0,Constants!$B$13)+IF($Y406,0,Constants!$B$14))</f>
        <v/>
      </c>
      <c r="AR406" s="92" t="str">
        <f aca="false">IF($BD406&lt;&gt;Constants!$B$6,"",Constants!$B$16+SUM($AN406:$AQ406))</f>
        <v/>
      </c>
      <c r="AS406" s="91" t="str">
        <f aca="false">IF($BD406&lt;&gt;Constants!$B$6,"",IF($AB406,$AD406,""))</f>
        <v/>
      </c>
      <c r="AT406" s="93" t="str">
        <f aca="false">IF($BD406&lt;&gt;Constants!$B$6,"",$AO406)</f>
        <v/>
      </c>
      <c r="AU406" s="87" t="str">
        <f aca="false">IF($BD406&lt;&gt;Constants!$B$6,"",IF(OR($BA406&lt;$AR406,AND($BA406=$AR406,OR(AND(ISNUMBER($BB406),OR(NOT(ISNUMBER($AS406)),$BB406&lt;$AS406)),AND(OR(AND($BB406="",$AS406=""),AND(ISNUMBER($BB406),ISNUMBER($AS406),$BB406=$AS406)),$BC406&lt;$AT406)))),"-&gt;","&lt;-"))</f>
        <v/>
      </c>
      <c r="AV406" s="86" t="str">
        <f aca="false">IF(ISBLANK($C406),"",AND($AH406,OR($AI406="",$AJ406="",AND(NOT(ISBLANK($S406)),$AK406=""))))</f>
        <v/>
      </c>
      <c r="AW406" s="89" t="str">
        <f aca="false">IF($BD406&lt;&gt;Constants!$B$6,"",IF($AH406,Constants!$B$17*$AJ406,Constants!$B$18))</f>
        <v/>
      </c>
      <c r="AX406" s="91" t="str">
        <f aca="false">IF($BD406&lt;&gt;Constants!$B$6,"",Constants!$B$19*IF($AH406,$AI406,0))</f>
        <v/>
      </c>
      <c r="AY406" s="91" t="str">
        <f aca="false">IF($BD406&lt;&gt;Constants!$B$6,"",IF(AND($AH406,ISNUMBER($AK406)),Constants!$B$20*(Constants!$B$21-$AK406),0))</f>
        <v/>
      </c>
      <c r="AZ406" s="91" t="str">
        <f aca="false">IF($BD406&lt;&gt;Constants!$B$6,"",IF($AG406,0,Constants!$B$12)+IF($AF406,0,Constants!$B$13)+IF($Y406,0,Constants!$B$14))</f>
        <v/>
      </c>
      <c r="BA406" s="92" t="str">
        <f aca="false">IF($BD406&lt;&gt;Constants!$B$6,"",Constants!$B$16+SUM($AW406:$AZ406))</f>
        <v/>
      </c>
      <c r="BB406" s="91" t="str">
        <f aca="false">IF($BD406&lt;&gt;Constants!$B$6,"",IF($AH406,$AJ406,""))</f>
        <v/>
      </c>
      <c r="BC406" s="93" t="str">
        <f aca="false">IF($BD406&lt;&gt;Constants!$B$6,"",$AX406)</f>
        <v/>
      </c>
      <c r="BD406" s="87" t="str">
        <f aca="false">IF(ISBLANK($C406),"",IF($AL406,Constants!$B$9,IF(COUNTA($E406:$T406)=0,Constants!$B$8,IF(NOT($X406),Constants!$B$7,IF(OR($AM406,$AV406),Constants!$B$10,Constants!$B$6)))))</f>
        <v/>
      </c>
      <c r="BE406" s="87" t="str">
        <f aca="false">IF(ISBLANK($C406),"",IF($BD406&lt;&gt;Constants!$B$6,$BD406,Constants!$B$11))</f>
        <v/>
      </c>
      <c r="BF406" s="91" t="str">
        <f aca="false">IF($BD406&lt;&gt;Constants!$B$6,"",IF($AU406="-&gt;",$BA406,$AR406))</f>
        <v/>
      </c>
      <c r="BG406" s="91" t="str">
        <f aca="false">IF($BD406&lt;&gt;Constants!$B$6,"",IF($W406,0,Constants!$B$15))</f>
        <v/>
      </c>
      <c r="BH406" s="91" t="str">
        <f aca="false">IF(ISBLANK($C406),"",IF($BD406&lt;&gt;Constants!$B$6,$BD406,SUM($BF406:$BG406)))</f>
        <v/>
      </c>
      <c r="BI406" s="87" t="str">
        <f aca="false">IF(ISBLANK($C406),"",IF($BD406&lt;&gt;Constants!$B$6,$BD406,RANK($BH406,$BH$9:$BH$508,1)))</f>
        <v/>
      </c>
      <c r="BJ406" s="91" t="str">
        <f aca="false">IF($BD406&lt;&gt;Constants!$B$6,"",IF($AU406="-&gt;",$BB406,$AS406))</f>
        <v/>
      </c>
      <c r="BK406" s="87" t="str">
        <f aca="false">IF(ISBLANK($C406),"",IF($BD406&lt;&gt;Constants!$B$6,$BD406,IF(ISNUMBER($BJ406),RANK($BJ406,$BJ$9:$BJ$508,1),COUNT($BJ$9:$BJ$508)+1)))</f>
        <v/>
      </c>
      <c r="BL406" s="91" t="str">
        <f aca="false">IF($BD406&lt;&gt;Constants!$B$6,"",IF($AU406="-&gt;",$BC406,$AT406))</f>
        <v/>
      </c>
      <c r="BM406" s="87" t="str">
        <f aca="false">IF(ISBLANK($C406),"",IF($BD406&lt;&gt;Constants!$B$6,$BD406,IF(ISNUMBER($BL406),RANK($BL406,$BL$9:$BL$508,1),COUNT($BL$9:$BL$508)+1)))</f>
        <v/>
      </c>
      <c r="BN406" s="91" t="str">
        <f aca="false">IF($BD406&lt;&gt;Constants!$B$6,"",IF($AU406="-&gt;",$AS406,$BB406))</f>
        <v/>
      </c>
      <c r="BO406" s="87" t="str">
        <f aca="false">IF(ISBLANK($C406),"",IF($BD406&lt;&gt;Constants!$B$6,$BD406,IF(ISNUMBER($BN406),RANK($BN406,$BN$9:$BN$508,1),COUNT($BN$9:$BN$508)+1)))</f>
        <v/>
      </c>
      <c r="BP406" s="91" t="str">
        <f aca="false">IF($BD406&lt;&gt;Constants!$B$6,"",IF($AU406="-&gt;",$AT406,$BC406))</f>
        <v/>
      </c>
      <c r="BQ406" s="87" t="str">
        <f aca="false">IF(ISBLANK($C406),"",IF($BD406&lt;&gt;Constants!$B$6,$BD406,IF(ISNUMBER($BP406),RANK($BP406,$BP$9:$BP$508,1),COUNT($BP$9:$BP$508)+1)))</f>
        <v/>
      </c>
      <c r="BR406" s="87" t="str">
        <f aca="false">IF(ISBLANK($C406),"",IF($BD406&lt;&gt;Constants!$B$6,$BD406,COUNTIFS($BI$9:$BI$508,"&lt;"&amp;$BI406)+COUNTIFS($BI$9:$BI$508,$BI406,$BK$9:$BK$508,"&lt;"&amp;$BK406)+COUNTIFS($BI$9:$BI$508,$BI406,$BK$9:$BK$508,$BK406,$BM$9:$BM$508,"&lt;"&amp;$BM406)+COUNTIFS($BI$9:$BI$508,$BI406,$BK$9:$BK$508,$BK406,$BM$9:$BM$508,$BM406,$BO$9:$BO$508,"&lt;"&amp;$BO406)+COUNTIFS($BI$9:$BI$508,$BI406,$BK$9:$BK$508,$BK406,$BM$9:$BM$508,$BM406,$BO$9:$BO$508,$BO406,$BQ$9:$BQ$508,"&lt;"&amp;$BQ406)+1))</f>
        <v/>
      </c>
      <c r="BS406" s="87" t="str">
        <f aca="false">IF(ISBLANK($C406),"",IF($BD406&lt;&gt;Constants!$B$6,$BD406,$BI406-$BR406))</f>
        <v/>
      </c>
      <c r="BT406" s="94"/>
      <c r="BU406" s="95"/>
      <c r="BV406" s="95" t="str">
        <f aca="false">IF(ISBLANK($C406),"",IF($BD406&lt;&gt;Constants!$B$6,"",IF($AU406="-&gt;",2,1)))</f>
        <v/>
      </c>
      <c r="BW406" s="96" t="str">
        <f aca="false">IF(ISBLANK($C406),"",IF($BD406&lt;&gt;Constants!$B$6,"",IF($AU406="-&gt;",$AW406,$AN406)))</f>
        <v/>
      </c>
      <c r="BX406" s="96" t="str">
        <f aca="false">IF(ISBLANK($C406),"",IF($BD406&lt;&gt;Constants!$B$6,"",IF($AU406="-&gt;",$AX406,$AO406)))</f>
        <v/>
      </c>
      <c r="BY406" s="96" t="str">
        <f aca="false">IF(ISBLANK($C406),"",IF($BD406&lt;&gt;Constants!$B$6,"",IF($AU406="-&gt;",$AY406,$AP406)))</f>
        <v/>
      </c>
      <c r="BZ406" s="96" t="str">
        <f aca="false">IF(ISBLANK($C406),"",IF($BD406&lt;&gt;Constants!$B$6,"",IF($AU406="-&gt;",$AZ406,$AQ406)+$BG406))</f>
        <v/>
      </c>
      <c r="CA406" s="97" t="str">
        <f aca="false">IF(ISBLANK($C406),"",IF($BD406&lt;&gt;Constants!$B$6,$BD406,$BH406))</f>
        <v/>
      </c>
      <c r="CB406" s="98" t="str">
        <f aca="false">IF(ISBLANK($C406),"",$BE406)</f>
        <v/>
      </c>
      <c r="CC406" s="99" t="str">
        <f aca="false">IF(ISBLANK($C406),"",$BS406)</f>
        <v/>
      </c>
      <c r="CD406" s="99" t="str">
        <f aca="false">IF(ISBLANK($C406),"",$BR406)</f>
        <v/>
      </c>
      <c r="CE406" s="100" t="str">
        <f aca="false">IF(ISBLANK($C406),"",IF($CD406=Constants!$B$9,COUNTA($C$9:$C$508)+2,IF($CD406=Constants!$B$8,COUNTA($C$9:$C$508)+1,IF($CD406=Constants!$B$7,COUNTA($C$9:$C$508),$CD406))))</f>
        <v/>
      </c>
      <c r="CF406" s="9"/>
      <c r="CG406" s="101" t="n">
        <f aca="false">IF(OR(ISNUMBER($CD406),$CD406=Constants!$B$9,$CD406=Constants!$B$7,$CD406=Constants!$B$8),1,0)</f>
        <v>0</v>
      </c>
      <c r="CH406" s="101" t="n">
        <v>398</v>
      </c>
      <c r="CI406" s="101" t="str">
        <f aca="false">IF(ISBLANK($C406),"",IF(ISNUMBER($CE406),$CE406+ROW($B406)/1000,""))</f>
        <v/>
      </c>
      <c r="CJ406" s="101" t="str">
        <f aca="false">IF(ISNUMBER($CI406),RANK($CI406,$CI$9:$CI$508,1),"")</f>
        <v/>
      </c>
      <c r="CK406" s="101" t="str">
        <f aca="false">IF(ISBLANK($C406),"",$B406)</f>
        <v/>
      </c>
      <c r="CL406" s="101" t="str">
        <f aca="false">IF(ISBLANK($C406),"",$C406)</f>
        <v/>
      </c>
      <c r="CM406" s="101" t="str">
        <f aca="false">IF(ISBLANK($C406),"",$D406)</f>
        <v/>
      </c>
      <c r="CN406" s="102" t="str">
        <f aca="false">$CB406</f>
        <v/>
      </c>
      <c r="CO406" s="103" t="str">
        <f aca="false">$CA406</f>
        <v/>
      </c>
      <c r="CP406" s="101" t="str">
        <f aca="false">IF(ISBLANK($C406),"",$CD406)</f>
        <v/>
      </c>
      <c r="CQ406" s="104" t="str">
        <f aca="false">IF($CH406&gt;$CG$8,"",VLOOKUP($CH406,$CJ$9:$CP$508,7,FALSE()))</f>
        <v/>
      </c>
      <c r="CR406" s="105" t="str">
        <f aca="false">IF($CH406&gt;$CG$8,"",VLOOKUP($CH406,$CJ$9:$CP$508,2,FALSE()))</f>
        <v/>
      </c>
      <c r="CS406" s="105" t="str">
        <f aca="false">IF($CH406&gt;$CG$8,"",VLOOKUP($CH406,$CJ$9:$CP$508,3,FALSE()))</f>
        <v/>
      </c>
      <c r="CT406" s="105" t="str">
        <f aca="false">IF($CH406&gt;$CG$8,"",VLOOKUP($CH406,$CJ$9:$CP$508,4,FALSE()))</f>
        <v/>
      </c>
      <c r="CU406" s="105" t="str">
        <f aca="false">IF($CH406&gt;$CG$8,"",VLOOKUP($CH406,$CJ$9:$CP$508,5,FALSE()))</f>
        <v/>
      </c>
      <c r="CV406" s="106" t="str">
        <f aca="false">IF($CH406&gt;$CG$8,"",VLOOKUP($CH406,$CJ$9:$CP$508,6,FALSE()))</f>
        <v/>
      </c>
      <c r="CW406" s="71"/>
    </row>
    <row r="407" customFormat="false" ht="15.75" hidden="false" customHeight="false" outlineLevel="0" collapsed="false">
      <c r="A407" s="9"/>
      <c r="B407" s="72"/>
      <c r="C407" s="73"/>
      <c r="D407" s="160"/>
      <c r="E407" s="168"/>
      <c r="F407" s="162"/>
      <c r="G407" s="163"/>
      <c r="H407" s="169"/>
      <c r="I407" s="167"/>
      <c r="J407" s="80"/>
      <c r="K407" s="81"/>
      <c r="L407" s="82"/>
      <c r="M407" s="166"/>
      <c r="N407" s="167"/>
      <c r="O407" s="167"/>
      <c r="P407" s="80"/>
      <c r="Q407" s="82"/>
      <c r="R407" s="82"/>
      <c r="S407" s="166"/>
      <c r="T407" s="167"/>
      <c r="U407" s="86"/>
      <c r="V407" s="87"/>
      <c r="W407" s="87" t="str">
        <f aca="false">IF(ISBLANK($C407),"",IF(E407=Constants!$B$2,TRUE(),IF(E407=Constants!$B$3,FALSE(),TRUE())))</f>
        <v/>
      </c>
      <c r="X407" s="87" t="str">
        <f aca="false">IF(ISBLANK($C407),"",IF(F407=Constants!$B$2,TRUE(),IF(F407=Constants!$B$3,FALSE(),TRUE())))</f>
        <v/>
      </c>
      <c r="Y407" s="87" t="str">
        <f aca="false">IF(ISBLANK($C407),"",IF(G407=Constants!$B$2,TRUE(),IF(G407=Constants!$B$3,FALSE(),TRUE())))</f>
        <v/>
      </c>
      <c r="Z407" s="87" t="str">
        <f aca="false">IF(ISBLANK($C407),"",IF(H407=Constants!$B$2,TRUE(),IF(H407=Constants!$B$3,FALSE(),TRUE())))</f>
        <v/>
      </c>
      <c r="AA407" s="87" t="str">
        <f aca="false">IF(ISBLANK($C407),"",IF(I407=Constants!$B$2,TRUE(),IF(I407=Constants!$B$3,FALSE(),TRUE())))</f>
        <v/>
      </c>
      <c r="AB407" s="87" t="str">
        <f aca="false">IF(ISBLANK($C407),"",IF(J407=Constants!$B$4,TRUE(),IF(J407=Constants!$B$5,FALSE(),COUNTA(K407:M407)&gt;0)))</f>
        <v/>
      </c>
      <c r="AC407" s="88" t="str">
        <f aca="false">IF(ISBLANK($C407),"",IF(ISNUMBER(K407),IF(K407&gt;=0,K407,""),""))</f>
        <v/>
      </c>
      <c r="AD407" s="89" t="str">
        <f aca="false">IF(ISBLANK($C407),"",IF(ISNUMBER(L407),IF(L407&gt;=0,L407,""),""))</f>
        <v/>
      </c>
      <c r="AE407" s="87" t="str">
        <f aca="false">IF(ISBLANK($C407),"",IF(ISNUMBER(M407),IF(M407&gt;=0,MIN(M407,Constants!$B$22),""),""))</f>
        <v/>
      </c>
      <c r="AF407" s="87" t="str">
        <f aca="false">IF(ISBLANK($C407),"",IF(N407=Constants!$B$2,TRUE(),IF(N407=Constants!$B$3,FALSE(),TRUE())))</f>
        <v/>
      </c>
      <c r="AG407" s="87" t="str">
        <f aca="false">IF(ISBLANK($C407),"",IF(O407=Constants!$B$2,TRUE(),IF(O407=Constants!$B$3,FALSE(),TRUE())))</f>
        <v/>
      </c>
      <c r="AH407" s="87" t="str">
        <f aca="false">IF(ISBLANK($C407),"",IF(P407=Constants!$B$4,TRUE(),IF(P407=Constants!$B$5,FALSE(),COUNTA(Q407:S407)&gt;0)))</f>
        <v/>
      </c>
      <c r="AI407" s="88" t="str">
        <f aca="false">IF(ISBLANK($C407),"",IF(ISNUMBER(Q407),IF(Q407&gt;=0,Q407,""),""))</f>
        <v/>
      </c>
      <c r="AJ407" s="89" t="str">
        <f aca="false">IF(ISBLANK($C407),"",IF(ISNUMBER(R407),IF(R407&gt;=0,R407,""),""))</f>
        <v/>
      </c>
      <c r="AK407" s="87" t="str">
        <f aca="false">IF(ISBLANK($C407),"",IF(ISNUMBER(S407),IF(S407&gt;=0,MIN(S407,Constants!$B$22),""),""))</f>
        <v/>
      </c>
      <c r="AL407" s="87" t="str">
        <f aca="false">IF(ISBLANK($C407),"",IF(T407=Constants!$B$2,TRUE(),IF(T407=Constants!$B$3,FALSE(),FALSE())))</f>
        <v/>
      </c>
      <c r="AM407" s="86" t="str">
        <f aca="false">IF(ISBLANK($C407),"",AND($AB407,OR($AC407="",$AD407="",AND(NOT(ISBLANK($M407)),$AE407=""))))</f>
        <v/>
      </c>
      <c r="AN407" s="89" t="str">
        <f aca="false">IF($BD407&lt;&gt;Constants!$B$6,"",IF($AB407,Constants!$B$17*$AD407,Constants!$B$18))</f>
        <v/>
      </c>
      <c r="AO407" s="91" t="str">
        <f aca="false">IF($BD407&lt;&gt;Constants!$B$6,"",Constants!$B$19*IF($AB407,$AC407,0))</f>
        <v/>
      </c>
      <c r="AP407" s="91" t="str">
        <f aca="false">IF($BD407&lt;&gt;Constants!$B$6,"",IF(AND($AB407,ISNUMBER($AE407)),Constants!$B$20*(Constants!$B$21-$AE407),0))</f>
        <v/>
      </c>
      <c r="AQ407" s="91" t="str">
        <f aca="false">IF($BD407&lt;&gt;Constants!$B$6,"",IF($AA407,0,Constants!$B$12)+IF($Z407,0,Constants!$B$13)+IF($Y407,0,Constants!$B$14))</f>
        <v/>
      </c>
      <c r="AR407" s="92" t="str">
        <f aca="false">IF($BD407&lt;&gt;Constants!$B$6,"",Constants!$B$16+SUM($AN407:$AQ407))</f>
        <v/>
      </c>
      <c r="AS407" s="91" t="str">
        <f aca="false">IF($BD407&lt;&gt;Constants!$B$6,"",IF($AB407,$AD407,""))</f>
        <v/>
      </c>
      <c r="AT407" s="93" t="str">
        <f aca="false">IF($BD407&lt;&gt;Constants!$B$6,"",$AO407)</f>
        <v/>
      </c>
      <c r="AU407" s="87" t="str">
        <f aca="false">IF($BD407&lt;&gt;Constants!$B$6,"",IF(OR($BA407&lt;$AR407,AND($BA407=$AR407,OR(AND(ISNUMBER($BB407),OR(NOT(ISNUMBER($AS407)),$BB407&lt;$AS407)),AND(OR(AND($BB407="",$AS407=""),AND(ISNUMBER($BB407),ISNUMBER($AS407),$BB407=$AS407)),$BC407&lt;$AT407)))),"-&gt;","&lt;-"))</f>
        <v/>
      </c>
      <c r="AV407" s="86" t="str">
        <f aca="false">IF(ISBLANK($C407),"",AND($AH407,OR($AI407="",$AJ407="",AND(NOT(ISBLANK($S407)),$AK407=""))))</f>
        <v/>
      </c>
      <c r="AW407" s="89" t="str">
        <f aca="false">IF($BD407&lt;&gt;Constants!$B$6,"",IF($AH407,Constants!$B$17*$AJ407,Constants!$B$18))</f>
        <v/>
      </c>
      <c r="AX407" s="91" t="str">
        <f aca="false">IF($BD407&lt;&gt;Constants!$B$6,"",Constants!$B$19*IF($AH407,$AI407,0))</f>
        <v/>
      </c>
      <c r="AY407" s="91" t="str">
        <f aca="false">IF($BD407&lt;&gt;Constants!$B$6,"",IF(AND($AH407,ISNUMBER($AK407)),Constants!$B$20*(Constants!$B$21-$AK407),0))</f>
        <v/>
      </c>
      <c r="AZ407" s="91" t="str">
        <f aca="false">IF($BD407&lt;&gt;Constants!$B$6,"",IF($AG407,0,Constants!$B$12)+IF($AF407,0,Constants!$B$13)+IF($Y407,0,Constants!$B$14))</f>
        <v/>
      </c>
      <c r="BA407" s="92" t="str">
        <f aca="false">IF($BD407&lt;&gt;Constants!$B$6,"",Constants!$B$16+SUM($AW407:$AZ407))</f>
        <v/>
      </c>
      <c r="BB407" s="91" t="str">
        <f aca="false">IF($BD407&lt;&gt;Constants!$B$6,"",IF($AH407,$AJ407,""))</f>
        <v/>
      </c>
      <c r="BC407" s="93" t="str">
        <f aca="false">IF($BD407&lt;&gt;Constants!$B$6,"",$AX407)</f>
        <v/>
      </c>
      <c r="BD407" s="87" t="str">
        <f aca="false">IF(ISBLANK($C407),"",IF($AL407,Constants!$B$9,IF(COUNTA($E407:$T407)=0,Constants!$B$8,IF(NOT($X407),Constants!$B$7,IF(OR($AM407,$AV407),Constants!$B$10,Constants!$B$6)))))</f>
        <v/>
      </c>
      <c r="BE407" s="87" t="str">
        <f aca="false">IF(ISBLANK($C407),"",IF($BD407&lt;&gt;Constants!$B$6,$BD407,Constants!$B$11))</f>
        <v/>
      </c>
      <c r="BF407" s="91" t="str">
        <f aca="false">IF($BD407&lt;&gt;Constants!$B$6,"",IF($AU407="-&gt;",$BA407,$AR407))</f>
        <v/>
      </c>
      <c r="BG407" s="91" t="str">
        <f aca="false">IF($BD407&lt;&gt;Constants!$B$6,"",IF($W407,0,Constants!$B$15))</f>
        <v/>
      </c>
      <c r="BH407" s="91" t="str">
        <f aca="false">IF(ISBLANK($C407),"",IF($BD407&lt;&gt;Constants!$B$6,$BD407,SUM($BF407:$BG407)))</f>
        <v/>
      </c>
      <c r="BI407" s="87" t="str">
        <f aca="false">IF(ISBLANK($C407),"",IF($BD407&lt;&gt;Constants!$B$6,$BD407,RANK($BH407,$BH$9:$BH$508,1)))</f>
        <v/>
      </c>
      <c r="BJ407" s="91" t="str">
        <f aca="false">IF($BD407&lt;&gt;Constants!$B$6,"",IF($AU407="-&gt;",$BB407,$AS407))</f>
        <v/>
      </c>
      <c r="BK407" s="87" t="str">
        <f aca="false">IF(ISBLANK($C407),"",IF($BD407&lt;&gt;Constants!$B$6,$BD407,IF(ISNUMBER($BJ407),RANK($BJ407,$BJ$9:$BJ$508,1),COUNT($BJ$9:$BJ$508)+1)))</f>
        <v/>
      </c>
      <c r="BL407" s="91" t="str">
        <f aca="false">IF($BD407&lt;&gt;Constants!$B$6,"",IF($AU407="-&gt;",$BC407,$AT407))</f>
        <v/>
      </c>
      <c r="BM407" s="87" t="str">
        <f aca="false">IF(ISBLANK($C407),"",IF($BD407&lt;&gt;Constants!$B$6,$BD407,IF(ISNUMBER($BL407),RANK($BL407,$BL$9:$BL$508,1),COUNT($BL$9:$BL$508)+1)))</f>
        <v/>
      </c>
      <c r="BN407" s="91" t="str">
        <f aca="false">IF($BD407&lt;&gt;Constants!$B$6,"",IF($AU407="-&gt;",$AS407,$BB407))</f>
        <v/>
      </c>
      <c r="BO407" s="87" t="str">
        <f aca="false">IF(ISBLANK($C407),"",IF($BD407&lt;&gt;Constants!$B$6,$BD407,IF(ISNUMBER($BN407),RANK($BN407,$BN$9:$BN$508,1),COUNT($BN$9:$BN$508)+1)))</f>
        <v/>
      </c>
      <c r="BP407" s="91" t="str">
        <f aca="false">IF($BD407&lt;&gt;Constants!$B$6,"",IF($AU407="-&gt;",$AT407,$BC407))</f>
        <v/>
      </c>
      <c r="BQ407" s="87" t="str">
        <f aca="false">IF(ISBLANK($C407),"",IF($BD407&lt;&gt;Constants!$B$6,$BD407,IF(ISNUMBER($BP407),RANK($BP407,$BP$9:$BP$508,1),COUNT($BP$9:$BP$508)+1)))</f>
        <v/>
      </c>
      <c r="BR407" s="87" t="str">
        <f aca="false">IF(ISBLANK($C407),"",IF($BD407&lt;&gt;Constants!$B$6,$BD407,COUNTIFS($BI$9:$BI$508,"&lt;"&amp;$BI407)+COUNTIFS($BI$9:$BI$508,$BI407,$BK$9:$BK$508,"&lt;"&amp;$BK407)+COUNTIFS($BI$9:$BI$508,$BI407,$BK$9:$BK$508,$BK407,$BM$9:$BM$508,"&lt;"&amp;$BM407)+COUNTIFS($BI$9:$BI$508,$BI407,$BK$9:$BK$508,$BK407,$BM$9:$BM$508,$BM407,$BO$9:$BO$508,"&lt;"&amp;$BO407)+COUNTIFS($BI$9:$BI$508,$BI407,$BK$9:$BK$508,$BK407,$BM$9:$BM$508,$BM407,$BO$9:$BO$508,$BO407,$BQ$9:$BQ$508,"&lt;"&amp;$BQ407)+1))</f>
        <v/>
      </c>
      <c r="BS407" s="87" t="str">
        <f aca="false">IF(ISBLANK($C407),"",IF($BD407&lt;&gt;Constants!$B$6,$BD407,$BI407-$BR407))</f>
        <v/>
      </c>
      <c r="BT407" s="94"/>
      <c r="BU407" s="95"/>
      <c r="BV407" s="95" t="str">
        <f aca="false">IF(ISBLANK($C407),"",IF($BD407&lt;&gt;Constants!$B$6,"",IF($AU407="-&gt;",2,1)))</f>
        <v/>
      </c>
      <c r="BW407" s="96" t="str">
        <f aca="false">IF(ISBLANK($C407),"",IF($BD407&lt;&gt;Constants!$B$6,"",IF($AU407="-&gt;",$AW407,$AN407)))</f>
        <v/>
      </c>
      <c r="BX407" s="96" t="str">
        <f aca="false">IF(ISBLANK($C407),"",IF($BD407&lt;&gt;Constants!$B$6,"",IF($AU407="-&gt;",$AX407,$AO407)))</f>
        <v/>
      </c>
      <c r="BY407" s="96" t="str">
        <f aca="false">IF(ISBLANK($C407),"",IF($BD407&lt;&gt;Constants!$B$6,"",IF($AU407="-&gt;",$AY407,$AP407)))</f>
        <v/>
      </c>
      <c r="BZ407" s="96" t="str">
        <f aca="false">IF(ISBLANK($C407),"",IF($BD407&lt;&gt;Constants!$B$6,"",IF($AU407="-&gt;",$AZ407,$AQ407)+$BG407))</f>
        <v/>
      </c>
      <c r="CA407" s="97" t="str">
        <f aca="false">IF(ISBLANK($C407),"",IF($BD407&lt;&gt;Constants!$B$6,$BD407,$BH407))</f>
        <v/>
      </c>
      <c r="CB407" s="98" t="str">
        <f aca="false">IF(ISBLANK($C407),"",$BE407)</f>
        <v/>
      </c>
      <c r="CC407" s="99" t="str">
        <f aca="false">IF(ISBLANK($C407),"",$BS407)</f>
        <v/>
      </c>
      <c r="CD407" s="99" t="str">
        <f aca="false">IF(ISBLANK($C407),"",$BR407)</f>
        <v/>
      </c>
      <c r="CE407" s="100" t="str">
        <f aca="false">IF(ISBLANK($C407),"",IF($CD407=Constants!$B$9,COUNTA($C$9:$C$508)+2,IF($CD407=Constants!$B$8,COUNTA($C$9:$C$508)+1,IF($CD407=Constants!$B$7,COUNTA($C$9:$C$508),$CD407))))</f>
        <v/>
      </c>
      <c r="CF407" s="9"/>
      <c r="CG407" s="101" t="n">
        <f aca="false">IF(OR(ISNUMBER($CD407),$CD407=Constants!$B$9,$CD407=Constants!$B$7,$CD407=Constants!$B$8),1,0)</f>
        <v>0</v>
      </c>
      <c r="CH407" s="101" t="n">
        <v>399</v>
      </c>
      <c r="CI407" s="101" t="str">
        <f aca="false">IF(ISBLANK($C407),"",IF(ISNUMBER($CE407),$CE407+ROW($B407)/1000,""))</f>
        <v/>
      </c>
      <c r="CJ407" s="101" t="str">
        <f aca="false">IF(ISNUMBER($CI407),RANK($CI407,$CI$9:$CI$508,1),"")</f>
        <v/>
      </c>
      <c r="CK407" s="101" t="str">
        <f aca="false">IF(ISBLANK($C407),"",$B407)</f>
        <v/>
      </c>
      <c r="CL407" s="101" t="str">
        <f aca="false">IF(ISBLANK($C407),"",$C407)</f>
        <v/>
      </c>
      <c r="CM407" s="101" t="str">
        <f aca="false">IF(ISBLANK($C407),"",$D407)</f>
        <v/>
      </c>
      <c r="CN407" s="102" t="str">
        <f aca="false">$CB407</f>
        <v/>
      </c>
      <c r="CO407" s="103" t="str">
        <f aca="false">$CA407</f>
        <v/>
      </c>
      <c r="CP407" s="101" t="str">
        <f aca="false">IF(ISBLANK($C407),"",$CD407)</f>
        <v/>
      </c>
      <c r="CQ407" s="104" t="str">
        <f aca="false">IF($CH407&gt;$CG$8,"",VLOOKUP($CH407,$CJ$9:$CP$508,7,FALSE()))</f>
        <v/>
      </c>
      <c r="CR407" s="105" t="str">
        <f aca="false">IF($CH407&gt;$CG$8,"",VLOOKUP($CH407,$CJ$9:$CP$508,2,FALSE()))</f>
        <v/>
      </c>
      <c r="CS407" s="105" t="str">
        <f aca="false">IF($CH407&gt;$CG$8,"",VLOOKUP($CH407,$CJ$9:$CP$508,3,FALSE()))</f>
        <v/>
      </c>
      <c r="CT407" s="105" t="str">
        <f aca="false">IF($CH407&gt;$CG$8,"",VLOOKUP($CH407,$CJ$9:$CP$508,4,FALSE()))</f>
        <v/>
      </c>
      <c r="CU407" s="105" t="str">
        <f aca="false">IF($CH407&gt;$CG$8,"",VLOOKUP($CH407,$CJ$9:$CP$508,5,FALSE()))</f>
        <v/>
      </c>
      <c r="CV407" s="106" t="str">
        <f aca="false">IF($CH407&gt;$CG$8,"",VLOOKUP($CH407,$CJ$9:$CP$508,6,FALSE()))</f>
        <v/>
      </c>
      <c r="CW407" s="71"/>
    </row>
    <row r="408" customFormat="false" ht="15.75" hidden="false" customHeight="false" outlineLevel="0" collapsed="false">
      <c r="A408" s="9"/>
      <c r="B408" s="150"/>
      <c r="C408" s="151"/>
      <c r="D408" s="152"/>
      <c r="E408" s="170"/>
      <c r="F408" s="154"/>
      <c r="G408" s="155"/>
      <c r="H408" s="171"/>
      <c r="I408" s="159"/>
      <c r="J408" s="120"/>
      <c r="K408" s="121"/>
      <c r="L408" s="122"/>
      <c r="M408" s="158"/>
      <c r="N408" s="159"/>
      <c r="O408" s="159"/>
      <c r="P408" s="120"/>
      <c r="Q408" s="122"/>
      <c r="R408" s="122"/>
      <c r="S408" s="158"/>
      <c r="T408" s="159"/>
      <c r="U408" s="126"/>
      <c r="V408" s="127"/>
      <c r="W408" s="127" t="str">
        <f aca="false">IF(ISBLANK($C408),"",IF(E408=Constants!$B$2,TRUE(),IF(E408=Constants!$B$3,FALSE(),TRUE())))</f>
        <v/>
      </c>
      <c r="X408" s="127" t="str">
        <f aca="false">IF(ISBLANK($C408),"",IF(F408=Constants!$B$2,TRUE(),IF(F408=Constants!$B$3,FALSE(),TRUE())))</f>
        <v/>
      </c>
      <c r="Y408" s="127" t="str">
        <f aca="false">IF(ISBLANK($C408),"",IF(G408=Constants!$B$2,TRUE(),IF(G408=Constants!$B$3,FALSE(),TRUE())))</f>
        <v/>
      </c>
      <c r="Z408" s="127" t="str">
        <f aca="false">IF(ISBLANK($C408),"",IF(H408=Constants!$B$2,TRUE(),IF(H408=Constants!$B$3,FALSE(),TRUE())))</f>
        <v/>
      </c>
      <c r="AA408" s="127" t="str">
        <f aca="false">IF(ISBLANK($C408),"",IF(I408=Constants!$B$2,TRUE(),IF(I408=Constants!$B$3,FALSE(),TRUE())))</f>
        <v/>
      </c>
      <c r="AB408" s="127" t="str">
        <f aca="false">IF(ISBLANK($C408),"",IF(J408=Constants!$B$4,TRUE(),IF(J408=Constants!$B$5,FALSE(),COUNTA(K408:M408)&gt;0)))</f>
        <v/>
      </c>
      <c r="AC408" s="128" t="str">
        <f aca="false">IF(ISBLANK($C408),"",IF(ISNUMBER(K408),IF(K408&gt;=0,K408,""),""))</f>
        <v/>
      </c>
      <c r="AD408" s="129" t="str">
        <f aca="false">IF(ISBLANK($C408),"",IF(ISNUMBER(L408),IF(L408&gt;=0,L408,""),""))</f>
        <v/>
      </c>
      <c r="AE408" s="127" t="str">
        <f aca="false">IF(ISBLANK($C408),"",IF(ISNUMBER(M408),IF(M408&gt;=0,MIN(M408,Constants!$B$22),""),""))</f>
        <v/>
      </c>
      <c r="AF408" s="127" t="str">
        <f aca="false">IF(ISBLANK($C408),"",IF(N408=Constants!$B$2,TRUE(),IF(N408=Constants!$B$3,FALSE(),TRUE())))</f>
        <v/>
      </c>
      <c r="AG408" s="127" t="str">
        <f aca="false">IF(ISBLANK($C408),"",IF(O408=Constants!$B$2,TRUE(),IF(O408=Constants!$B$3,FALSE(),TRUE())))</f>
        <v/>
      </c>
      <c r="AH408" s="127" t="str">
        <f aca="false">IF(ISBLANK($C408),"",IF(P408=Constants!$B$4,TRUE(),IF(P408=Constants!$B$5,FALSE(),COUNTA(Q408:S408)&gt;0)))</f>
        <v/>
      </c>
      <c r="AI408" s="128" t="str">
        <f aca="false">IF(ISBLANK($C408),"",IF(ISNUMBER(Q408),IF(Q408&gt;=0,Q408,""),""))</f>
        <v/>
      </c>
      <c r="AJ408" s="129" t="str">
        <f aca="false">IF(ISBLANK($C408),"",IF(ISNUMBER(R408),IF(R408&gt;=0,R408,""),""))</f>
        <v/>
      </c>
      <c r="AK408" s="127" t="str">
        <f aca="false">IF(ISBLANK($C408),"",IF(ISNUMBER(S408),IF(S408&gt;=0,MIN(S408,Constants!$B$22),""),""))</f>
        <v/>
      </c>
      <c r="AL408" s="127" t="str">
        <f aca="false">IF(ISBLANK($C408),"",IF(T408=Constants!$B$2,TRUE(),IF(T408=Constants!$B$3,FALSE(),FALSE())))</f>
        <v/>
      </c>
      <c r="AM408" s="126" t="str">
        <f aca="false">IF(ISBLANK($C408),"",AND($AB408,OR($AC408="",$AD408="",AND(NOT(ISBLANK($M408)),$AE408=""))))</f>
        <v/>
      </c>
      <c r="AN408" s="129" t="str">
        <f aca="false">IF($BD408&lt;&gt;Constants!$B$6,"",IF($AB408,Constants!$B$17*$AD408,Constants!$B$18))</f>
        <v/>
      </c>
      <c r="AO408" s="130" t="str">
        <f aca="false">IF($BD408&lt;&gt;Constants!$B$6,"",Constants!$B$19*IF($AB408,$AC408,0))</f>
        <v/>
      </c>
      <c r="AP408" s="130" t="str">
        <f aca="false">IF($BD408&lt;&gt;Constants!$B$6,"",IF(AND($AB408,ISNUMBER($AE408)),Constants!$B$20*(Constants!$B$21-$AE408),0))</f>
        <v/>
      </c>
      <c r="AQ408" s="130" t="str">
        <f aca="false">IF($BD408&lt;&gt;Constants!$B$6,"",IF($AA408,0,Constants!$B$12)+IF($Z408,0,Constants!$B$13)+IF($Y408,0,Constants!$B$14))</f>
        <v/>
      </c>
      <c r="AR408" s="131" t="str">
        <f aca="false">IF($BD408&lt;&gt;Constants!$B$6,"",Constants!$B$16+SUM($AN408:$AQ408))</f>
        <v/>
      </c>
      <c r="AS408" s="130" t="str">
        <f aca="false">IF($BD408&lt;&gt;Constants!$B$6,"",IF($AB408,$AD408,""))</f>
        <v/>
      </c>
      <c r="AT408" s="132" t="str">
        <f aca="false">IF($BD408&lt;&gt;Constants!$B$6,"",$AO408)</f>
        <v/>
      </c>
      <c r="AU408" s="127" t="str">
        <f aca="false">IF($BD408&lt;&gt;Constants!$B$6,"",IF(OR($BA408&lt;$AR408,AND($BA408=$AR408,OR(AND(ISNUMBER($BB408),OR(NOT(ISNUMBER($AS408)),$BB408&lt;$AS408)),AND(OR(AND($BB408="",$AS408=""),AND(ISNUMBER($BB408),ISNUMBER($AS408),$BB408=$AS408)),$BC408&lt;$AT408)))),"-&gt;","&lt;-"))</f>
        <v/>
      </c>
      <c r="AV408" s="126" t="str">
        <f aca="false">IF(ISBLANK($C408),"",AND($AH408,OR($AI408="",$AJ408="",AND(NOT(ISBLANK($S408)),$AK408=""))))</f>
        <v/>
      </c>
      <c r="AW408" s="129" t="str">
        <f aca="false">IF($BD408&lt;&gt;Constants!$B$6,"",IF($AH408,Constants!$B$17*$AJ408,Constants!$B$18))</f>
        <v/>
      </c>
      <c r="AX408" s="130" t="str">
        <f aca="false">IF($BD408&lt;&gt;Constants!$B$6,"",Constants!$B$19*IF($AH408,$AI408,0))</f>
        <v/>
      </c>
      <c r="AY408" s="130" t="str">
        <f aca="false">IF($BD408&lt;&gt;Constants!$B$6,"",IF(AND($AH408,ISNUMBER($AK408)),Constants!$B$20*(Constants!$B$21-$AK408),0))</f>
        <v/>
      </c>
      <c r="AZ408" s="130" t="str">
        <f aca="false">IF($BD408&lt;&gt;Constants!$B$6,"",IF($AG408,0,Constants!$B$12)+IF($AF408,0,Constants!$B$13)+IF($Y408,0,Constants!$B$14))</f>
        <v/>
      </c>
      <c r="BA408" s="131" t="str">
        <f aca="false">IF($BD408&lt;&gt;Constants!$B$6,"",Constants!$B$16+SUM($AW408:$AZ408))</f>
        <v/>
      </c>
      <c r="BB408" s="130" t="str">
        <f aca="false">IF($BD408&lt;&gt;Constants!$B$6,"",IF($AH408,$AJ408,""))</f>
        <v/>
      </c>
      <c r="BC408" s="132" t="str">
        <f aca="false">IF($BD408&lt;&gt;Constants!$B$6,"",$AX408)</f>
        <v/>
      </c>
      <c r="BD408" s="127" t="str">
        <f aca="false">IF(ISBLANK($C408),"",IF($AL408,Constants!$B$9,IF(COUNTA($E408:$T408)=0,Constants!$B$8,IF(NOT($X408),Constants!$B$7,IF(OR($AM408,$AV408),Constants!$B$10,Constants!$B$6)))))</f>
        <v/>
      </c>
      <c r="BE408" s="127" t="str">
        <f aca="false">IF(ISBLANK($C408),"",IF($BD408&lt;&gt;Constants!$B$6,$BD408,Constants!$B$11))</f>
        <v/>
      </c>
      <c r="BF408" s="130" t="str">
        <f aca="false">IF($BD408&lt;&gt;Constants!$B$6,"",IF($AU408="-&gt;",$BA408,$AR408))</f>
        <v/>
      </c>
      <c r="BG408" s="130" t="str">
        <f aca="false">IF($BD408&lt;&gt;Constants!$B$6,"",IF($W408,0,Constants!$B$15))</f>
        <v/>
      </c>
      <c r="BH408" s="130" t="str">
        <f aca="false">IF(ISBLANK($C408),"",IF($BD408&lt;&gt;Constants!$B$6,$BD408,SUM($BF408:$BG408)))</f>
        <v/>
      </c>
      <c r="BI408" s="127" t="str">
        <f aca="false">IF(ISBLANK($C408),"",IF($BD408&lt;&gt;Constants!$B$6,$BD408,RANK($BH408,$BH$9:$BH$508,1)))</f>
        <v/>
      </c>
      <c r="BJ408" s="130" t="str">
        <f aca="false">IF($BD408&lt;&gt;Constants!$B$6,"",IF($AU408="-&gt;",$BB408,$AS408))</f>
        <v/>
      </c>
      <c r="BK408" s="127" t="str">
        <f aca="false">IF(ISBLANK($C408),"",IF($BD408&lt;&gt;Constants!$B$6,$BD408,IF(ISNUMBER($BJ408),RANK($BJ408,$BJ$9:$BJ$508,1),COUNT($BJ$9:$BJ$508)+1)))</f>
        <v/>
      </c>
      <c r="BL408" s="130" t="str">
        <f aca="false">IF($BD408&lt;&gt;Constants!$B$6,"",IF($AU408="-&gt;",$BC408,$AT408))</f>
        <v/>
      </c>
      <c r="BM408" s="127" t="str">
        <f aca="false">IF(ISBLANK($C408),"",IF($BD408&lt;&gt;Constants!$B$6,$BD408,IF(ISNUMBER($BL408),RANK($BL408,$BL$9:$BL$508,1),COUNT($BL$9:$BL$508)+1)))</f>
        <v/>
      </c>
      <c r="BN408" s="130" t="str">
        <f aca="false">IF($BD408&lt;&gt;Constants!$B$6,"",IF($AU408="-&gt;",$AS408,$BB408))</f>
        <v/>
      </c>
      <c r="BO408" s="127" t="str">
        <f aca="false">IF(ISBLANK($C408),"",IF($BD408&lt;&gt;Constants!$B$6,$BD408,IF(ISNUMBER($BN408),RANK($BN408,$BN$9:$BN$508,1),COUNT($BN$9:$BN$508)+1)))</f>
        <v/>
      </c>
      <c r="BP408" s="130" t="str">
        <f aca="false">IF($BD408&lt;&gt;Constants!$B$6,"",IF($AU408="-&gt;",$AT408,$BC408))</f>
        <v/>
      </c>
      <c r="BQ408" s="127" t="str">
        <f aca="false">IF(ISBLANK($C408),"",IF($BD408&lt;&gt;Constants!$B$6,$BD408,IF(ISNUMBER($BP408),RANK($BP408,$BP$9:$BP$508,1),COUNT($BP$9:$BP$508)+1)))</f>
        <v/>
      </c>
      <c r="BR408" s="127" t="str">
        <f aca="false">IF(ISBLANK($C408),"",IF($BD408&lt;&gt;Constants!$B$6,$BD408,COUNTIFS($BI$9:$BI$508,"&lt;"&amp;$BI408)+COUNTIFS($BI$9:$BI$508,$BI408,$BK$9:$BK$508,"&lt;"&amp;$BK408)+COUNTIFS($BI$9:$BI$508,$BI408,$BK$9:$BK$508,$BK408,$BM$9:$BM$508,"&lt;"&amp;$BM408)+COUNTIFS($BI$9:$BI$508,$BI408,$BK$9:$BK$508,$BK408,$BM$9:$BM$508,$BM408,$BO$9:$BO$508,"&lt;"&amp;$BO408)+COUNTIFS($BI$9:$BI$508,$BI408,$BK$9:$BK$508,$BK408,$BM$9:$BM$508,$BM408,$BO$9:$BO$508,$BO408,$BQ$9:$BQ$508,"&lt;"&amp;$BQ408)+1))</f>
        <v/>
      </c>
      <c r="BS408" s="127" t="str">
        <f aca="false">IF(ISBLANK($C408),"",IF($BD408&lt;&gt;Constants!$B$6,$BD408,$BI408-$BR408))</f>
        <v/>
      </c>
      <c r="BT408" s="133"/>
      <c r="BU408" s="134"/>
      <c r="BV408" s="134" t="str">
        <f aca="false">IF(ISBLANK($C408),"",IF($BD408&lt;&gt;Constants!$B$6,"",IF($AU408="-&gt;",2,1)))</f>
        <v/>
      </c>
      <c r="BW408" s="135" t="str">
        <f aca="false">IF(ISBLANK($C408),"",IF($BD408&lt;&gt;Constants!$B$6,"",IF($AU408="-&gt;",$AW408,$AN408)))</f>
        <v/>
      </c>
      <c r="BX408" s="135" t="str">
        <f aca="false">IF(ISBLANK($C408),"",IF($BD408&lt;&gt;Constants!$B$6,"",IF($AU408="-&gt;",$AX408,$AO408)))</f>
        <v/>
      </c>
      <c r="BY408" s="135" t="str">
        <f aca="false">IF(ISBLANK($C408),"",IF($BD408&lt;&gt;Constants!$B$6,"",IF($AU408="-&gt;",$AY408,$AP408)))</f>
        <v/>
      </c>
      <c r="BZ408" s="135" t="str">
        <f aca="false">IF(ISBLANK($C408),"",IF($BD408&lt;&gt;Constants!$B$6,"",IF($AU408="-&gt;",$AZ408,$AQ408)+$BG408))</f>
        <v/>
      </c>
      <c r="CA408" s="136" t="str">
        <f aca="false">IF(ISBLANK($C408),"",IF($BD408&lt;&gt;Constants!$B$6,$BD408,$BH408))</f>
        <v/>
      </c>
      <c r="CB408" s="137" t="str">
        <f aca="false">IF(ISBLANK($C408),"",$BE408)</f>
        <v/>
      </c>
      <c r="CC408" s="138" t="str">
        <f aca="false">IF(ISBLANK($C408),"",$BS408)</f>
        <v/>
      </c>
      <c r="CD408" s="138" t="str">
        <f aca="false">IF(ISBLANK($C408),"",$BR408)</f>
        <v/>
      </c>
      <c r="CE408" s="139" t="str">
        <f aca="false">IF(ISBLANK($C408),"",IF($CD408=Constants!$B$9,COUNTA($C$9:$C$508)+2,IF($CD408=Constants!$B$8,COUNTA($C$9:$C$508)+1,IF($CD408=Constants!$B$7,COUNTA($C$9:$C$508),$CD408))))</f>
        <v/>
      </c>
      <c r="CF408" s="9"/>
      <c r="CG408" s="140" t="n">
        <f aca="false">IF(OR(ISNUMBER($CD408),$CD408=Constants!$B$9,$CD408=Constants!$B$7,$CD408=Constants!$B$8),1,0)</f>
        <v>0</v>
      </c>
      <c r="CH408" s="140" t="n">
        <v>400</v>
      </c>
      <c r="CI408" s="140" t="str">
        <f aca="false">IF(ISBLANK($C408),"",IF(ISNUMBER($CE408),$CE408+ROW($B408)/1000,""))</f>
        <v/>
      </c>
      <c r="CJ408" s="140" t="str">
        <f aca="false">IF(ISNUMBER($CI408),RANK($CI408,$CI$9:$CI$508,1),"")</f>
        <v/>
      </c>
      <c r="CK408" s="140" t="str">
        <f aca="false">IF(ISBLANK($C408),"",$B408)</f>
        <v/>
      </c>
      <c r="CL408" s="140" t="str">
        <f aca="false">IF(ISBLANK($C408),"",$C408)</f>
        <v/>
      </c>
      <c r="CM408" s="140" t="str">
        <f aca="false">IF(ISBLANK($C408),"",$D408)</f>
        <v/>
      </c>
      <c r="CN408" s="141" t="str">
        <f aca="false">$CB408</f>
        <v/>
      </c>
      <c r="CO408" s="142" t="str">
        <f aca="false">$CA408</f>
        <v/>
      </c>
      <c r="CP408" s="140" t="str">
        <f aca="false">IF(ISBLANK($C408),"",$CD408)</f>
        <v/>
      </c>
      <c r="CQ408" s="143" t="str">
        <f aca="false">IF($CH408&gt;$CG$8,"",VLOOKUP($CH408,$CJ$9:$CP$508,7,FALSE()))</f>
        <v/>
      </c>
      <c r="CR408" s="144" t="str">
        <f aca="false">IF($CH408&gt;$CG$8,"",VLOOKUP($CH408,$CJ$9:$CP$508,2,FALSE()))</f>
        <v/>
      </c>
      <c r="CS408" s="144" t="str">
        <f aca="false">IF($CH408&gt;$CG$8,"",VLOOKUP($CH408,$CJ$9:$CP$508,3,FALSE()))</f>
        <v/>
      </c>
      <c r="CT408" s="144" t="str">
        <f aca="false">IF($CH408&gt;$CG$8,"",VLOOKUP($CH408,$CJ$9:$CP$508,4,FALSE()))</f>
        <v/>
      </c>
      <c r="CU408" s="144" t="str">
        <f aca="false">IF($CH408&gt;$CG$8,"",VLOOKUP($CH408,$CJ$9:$CP$508,5,FALSE()))</f>
        <v/>
      </c>
      <c r="CV408" s="145" t="str">
        <f aca="false">IF($CH408&gt;$CG$8,"",VLOOKUP($CH408,$CJ$9:$CP$508,6,FALSE()))</f>
        <v/>
      </c>
      <c r="CW408" s="71"/>
    </row>
    <row r="409" customFormat="false" ht="15.75" hidden="false" customHeight="false" outlineLevel="0" collapsed="false">
      <c r="A409" s="9"/>
      <c r="B409" s="150"/>
      <c r="C409" s="151"/>
      <c r="D409" s="152"/>
      <c r="E409" s="170"/>
      <c r="F409" s="154"/>
      <c r="G409" s="155"/>
      <c r="H409" s="171"/>
      <c r="I409" s="159"/>
      <c r="J409" s="120"/>
      <c r="K409" s="121"/>
      <c r="L409" s="122"/>
      <c r="M409" s="158"/>
      <c r="N409" s="159"/>
      <c r="O409" s="159"/>
      <c r="P409" s="120"/>
      <c r="Q409" s="122"/>
      <c r="R409" s="122"/>
      <c r="S409" s="158"/>
      <c r="T409" s="159"/>
      <c r="U409" s="126"/>
      <c r="V409" s="127"/>
      <c r="W409" s="127" t="str">
        <f aca="false">IF(ISBLANK($C409),"",IF(E409=Constants!$B$2,TRUE(),IF(E409=Constants!$B$3,FALSE(),TRUE())))</f>
        <v/>
      </c>
      <c r="X409" s="127" t="str">
        <f aca="false">IF(ISBLANK($C409),"",IF(F409=Constants!$B$2,TRUE(),IF(F409=Constants!$B$3,FALSE(),TRUE())))</f>
        <v/>
      </c>
      <c r="Y409" s="127" t="str">
        <f aca="false">IF(ISBLANK($C409),"",IF(G409=Constants!$B$2,TRUE(),IF(G409=Constants!$B$3,FALSE(),TRUE())))</f>
        <v/>
      </c>
      <c r="Z409" s="127" t="str">
        <f aca="false">IF(ISBLANK($C409),"",IF(H409=Constants!$B$2,TRUE(),IF(H409=Constants!$B$3,FALSE(),TRUE())))</f>
        <v/>
      </c>
      <c r="AA409" s="127" t="str">
        <f aca="false">IF(ISBLANK($C409),"",IF(I409=Constants!$B$2,TRUE(),IF(I409=Constants!$B$3,FALSE(),TRUE())))</f>
        <v/>
      </c>
      <c r="AB409" s="127" t="str">
        <f aca="false">IF(ISBLANK($C409),"",IF(J409=Constants!$B$4,TRUE(),IF(J409=Constants!$B$5,FALSE(),COUNTA(K409:M409)&gt;0)))</f>
        <v/>
      </c>
      <c r="AC409" s="128" t="str">
        <f aca="false">IF(ISBLANK($C409),"",IF(ISNUMBER(K409),IF(K409&gt;=0,K409,""),""))</f>
        <v/>
      </c>
      <c r="AD409" s="129" t="str">
        <f aca="false">IF(ISBLANK($C409),"",IF(ISNUMBER(L409),IF(L409&gt;=0,L409,""),""))</f>
        <v/>
      </c>
      <c r="AE409" s="127" t="str">
        <f aca="false">IF(ISBLANK($C409),"",IF(ISNUMBER(M409),IF(M409&gt;=0,MIN(M409,Constants!$B$22),""),""))</f>
        <v/>
      </c>
      <c r="AF409" s="127" t="str">
        <f aca="false">IF(ISBLANK($C409),"",IF(N409=Constants!$B$2,TRUE(),IF(N409=Constants!$B$3,FALSE(),TRUE())))</f>
        <v/>
      </c>
      <c r="AG409" s="127" t="str">
        <f aca="false">IF(ISBLANK($C409),"",IF(O409=Constants!$B$2,TRUE(),IF(O409=Constants!$B$3,FALSE(),TRUE())))</f>
        <v/>
      </c>
      <c r="AH409" s="127" t="str">
        <f aca="false">IF(ISBLANK($C409),"",IF(P409=Constants!$B$4,TRUE(),IF(P409=Constants!$B$5,FALSE(),COUNTA(Q409:S409)&gt;0)))</f>
        <v/>
      </c>
      <c r="AI409" s="128" t="str">
        <f aca="false">IF(ISBLANK($C409),"",IF(ISNUMBER(Q409),IF(Q409&gt;=0,Q409,""),""))</f>
        <v/>
      </c>
      <c r="AJ409" s="129" t="str">
        <f aca="false">IF(ISBLANK($C409),"",IF(ISNUMBER(R409),IF(R409&gt;=0,R409,""),""))</f>
        <v/>
      </c>
      <c r="AK409" s="127" t="str">
        <f aca="false">IF(ISBLANK($C409),"",IF(ISNUMBER(S409),IF(S409&gt;=0,MIN(S409,Constants!$B$22),""),""))</f>
        <v/>
      </c>
      <c r="AL409" s="127" t="str">
        <f aca="false">IF(ISBLANK($C409),"",IF(T409=Constants!$B$2,TRUE(),IF(T409=Constants!$B$3,FALSE(),FALSE())))</f>
        <v/>
      </c>
      <c r="AM409" s="126" t="str">
        <f aca="false">IF(ISBLANK($C409),"",AND($AB409,OR($AC409="",$AD409="",AND(NOT(ISBLANK($M409)),$AE409=""))))</f>
        <v/>
      </c>
      <c r="AN409" s="129" t="str">
        <f aca="false">IF($BD409&lt;&gt;Constants!$B$6,"",IF($AB409,Constants!$B$17*$AD409,Constants!$B$18))</f>
        <v/>
      </c>
      <c r="AO409" s="130" t="str">
        <f aca="false">IF($BD409&lt;&gt;Constants!$B$6,"",Constants!$B$19*IF($AB409,$AC409,0))</f>
        <v/>
      </c>
      <c r="AP409" s="130" t="str">
        <f aca="false">IF($BD409&lt;&gt;Constants!$B$6,"",IF(AND($AB409,ISNUMBER($AE409)),Constants!$B$20*(Constants!$B$21-$AE409),0))</f>
        <v/>
      </c>
      <c r="AQ409" s="130" t="str">
        <f aca="false">IF($BD409&lt;&gt;Constants!$B$6,"",IF($AA409,0,Constants!$B$12)+IF($Z409,0,Constants!$B$13)+IF($Y409,0,Constants!$B$14))</f>
        <v/>
      </c>
      <c r="AR409" s="131" t="str">
        <f aca="false">IF($BD409&lt;&gt;Constants!$B$6,"",Constants!$B$16+SUM($AN409:$AQ409))</f>
        <v/>
      </c>
      <c r="AS409" s="130" t="str">
        <f aca="false">IF($BD409&lt;&gt;Constants!$B$6,"",IF($AB409,$AD409,""))</f>
        <v/>
      </c>
      <c r="AT409" s="132" t="str">
        <f aca="false">IF($BD409&lt;&gt;Constants!$B$6,"",$AO409)</f>
        <v/>
      </c>
      <c r="AU409" s="127" t="str">
        <f aca="false">IF($BD409&lt;&gt;Constants!$B$6,"",IF(OR($BA409&lt;$AR409,AND($BA409=$AR409,OR(AND(ISNUMBER($BB409),OR(NOT(ISNUMBER($AS409)),$BB409&lt;$AS409)),AND(OR(AND($BB409="",$AS409=""),AND(ISNUMBER($BB409),ISNUMBER($AS409),$BB409=$AS409)),$BC409&lt;$AT409)))),"-&gt;","&lt;-"))</f>
        <v/>
      </c>
      <c r="AV409" s="126" t="str">
        <f aca="false">IF(ISBLANK($C409),"",AND($AH409,OR($AI409="",$AJ409="",AND(NOT(ISBLANK($S409)),$AK409=""))))</f>
        <v/>
      </c>
      <c r="AW409" s="129" t="str">
        <f aca="false">IF($BD409&lt;&gt;Constants!$B$6,"",IF($AH409,Constants!$B$17*$AJ409,Constants!$B$18))</f>
        <v/>
      </c>
      <c r="AX409" s="130" t="str">
        <f aca="false">IF($BD409&lt;&gt;Constants!$B$6,"",Constants!$B$19*IF($AH409,$AI409,0))</f>
        <v/>
      </c>
      <c r="AY409" s="130" t="str">
        <f aca="false">IF($BD409&lt;&gt;Constants!$B$6,"",IF(AND($AH409,ISNUMBER($AK409)),Constants!$B$20*(Constants!$B$21-$AK409),0))</f>
        <v/>
      </c>
      <c r="AZ409" s="130" t="str">
        <f aca="false">IF($BD409&lt;&gt;Constants!$B$6,"",IF($AG409,0,Constants!$B$12)+IF($AF409,0,Constants!$B$13)+IF($Y409,0,Constants!$B$14))</f>
        <v/>
      </c>
      <c r="BA409" s="131" t="str">
        <f aca="false">IF($BD409&lt;&gt;Constants!$B$6,"",Constants!$B$16+SUM($AW409:$AZ409))</f>
        <v/>
      </c>
      <c r="BB409" s="130" t="str">
        <f aca="false">IF($BD409&lt;&gt;Constants!$B$6,"",IF($AH409,$AJ409,""))</f>
        <v/>
      </c>
      <c r="BC409" s="132" t="str">
        <f aca="false">IF($BD409&lt;&gt;Constants!$B$6,"",$AX409)</f>
        <v/>
      </c>
      <c r="BD409" s="127" t="str">
        <f aca="false">IF(ISBLANK($C409),"",IF($AL409,Constants!$B$9,IF(COUNTA($E409:$T409)=0,Constants!$B$8,IF(NOT($X409),Constants!$B$7,IF(OR($AM409,$AV409),Constants!$B$10,Constants!$B$6)))))</f>
        <v/>
      </c>
      <c r="BE409" s="127" t="str">
        <f aca="false">IF(ISBLANK($C409),"",IF($BD409&lt;&gt;Constants!$B$6,$BD409,Constants!$B$11))</f>
        <v/>
      </c>
      <c r="BF409" s="130" t="str">
        <f aca="false">IF($BD409&lt;&gt;Constants!$B$6,"",IF($AU409="-&gt;",$BA409,$AR409))</f>
        <v/>
      </c>
      <c r="BG409" s="130" t="str">
        <f aca="false">IF($BD409&lt;&gt;Constants!$B$6,"",IF($W409,0,Constants!$B$15))</f>
        <v/>
      </c>
      <c r="BH409" s="130" t="str">
        <f aca="false">IF(ISBLANK($C409),"",IF($BD409&lt;&gt;Constants!$B$6,$BD409,SUM($BF409:$BG409)))</f>
        <v/>
      </c>
      <c r="BI409" s="127" t="str">
        <f aca="false">IF(ISBLANK($C409),"",IF($BD409&lt;&gt;Constants!$B$6,$BD409,RANK($BH409,$BH$9:$BH$508,1)))</f>
        <v/>
      </c>
      <c r="BJ409" s="130" t="str">
        <f aca="false">IF($BD409&lt;&gt;Constants!$B$6,"",IF($AU409="-&gt;",$BB409,$AS409))</f>
        <v/>
      </c>
      <c r="BK409" s="127" t="str">
        <f aca="false">IF(ISBLANK($C409),"",IF($BD409&lt;&gt;Constants!$B$6,$BD409,IF(ISNUMBER($BJ409),RANK($BJ409,$BJ$9:$BJ$508,1),COUNT($BJ$9:$BJ$508)+1)))</f>
        <v/>
      </c>
      <c r="BL409" s="130" t="str">
        <f aca="false">IF($BD409&lt;&gt;Constants!$B$6,"",IF($AU409="-&gt;",$BC409,$AT409))</f>
        <v/>
      </c>
      <c r="BM409" s="127" t="str">
        <f aca="false">IF(ISBLANK($C409),"",IF($BD409&lt;&gt;Constants!$B$6,$BD409,IF(ISNUMBER($BL409),RANK($BL409,$BL$9:$BL$508,1),COUNT($BL$9:$BL$508)+1)))</f>
        <v/>
      </c>
      <c r="BN409" s="130" t="str">
        <f aca="false">IF($BD409&lt;&gt;Constants!$B$6,"",IF($AU409="-&gt;",$AS409,$BB409))</f>
        <v/>
      </c>
      <c r="BO409" s="127" t="str">
        <f aca="false">IF(ISBLANK($C409),"",IF($BD409&lt;&gt;Constants!$B$6,$BD409,IF(ISNUMBER($BN409),RANK($BN409,$BN$9:$BN$508,1),COUNT($BN$9:$BN$508)+1)))</f>
        <v/>
      </c>
      <c r="BP409" s="130" t="str">
        <f aca="false">IF($BD409&lt;&gt;Constants!$B$6,"",IF($AU409="-&gt;",$AT409,$BC409))</f>
        <v/>
      </c>
      <c r="BQ409" s="127" t="str">
        <f aca="false">IF(ISBLANK($C409),"",IF($BD409&lt;&gt;Constants!$B$6,$BD409,IF(ISNUMBER($BP409),RANK($BP409,$BP$9:$BP$508,1),COUNT($BP$9:$BP$508)+1)))</f>
        <v/>
      </c>
      <c r="BR409" s="127" t="str">
        <f aca="false">IF(ISBLANK($C409),"",IF($BD409&lt;&gt;Constants!$B$6,$BD409,COUNTIFS($BI$9:$BI$508,"&lt;"&amp;$BI409)+COUNTIFS($BI$9:$BI$508,$BI409,$BK$9:$BK$508,"&lt;"&amp;$BK409)+COUNTIFS($BI$9:$BI$508,$BI409,$BK$9:$BK$508,$BK409,$BM$9:$BM$508,"&lt;"&amp;$BM409)+COUNTIFS($BI$9:$BI$508,$BI409,$BK$9:$BK$508,$BK409,$BM$9:$BM$508,$BM409,$BO$9:$BO$508,"&lt;"&amp;$BO409)+COUNTIFS($BI$9:$BI$508,$BI409,$BK$9:$BK$508,$BK409,$BM$9:$BM$508,$BM409,$BO$9:$BO$508,$BO409,$BQ$9:$BQ$508,"&lt;"&amp;$BQ409)+1))</f>
        <v/>
      </c>
      <c r="BS409" s="127" t="str">
        <f aca="false">IF(ISBLANK($C409),"",IF($BD409&lt;&gt;Constants!$B$6,$BD409,$BI409-$BR409))</f>
        <v/>
      </c>
      <c r="BT409" s="133"/>
      <c r="BU409" s="134"/>
      <c r="BV409" s="134" t="str">
        <f aca="false">IF(ISBLANK($C409),"",IF($BD409&lt;&gt;Constants!$B$6,"",IF($AU409="-&gt;",2,1)))</f>
        <v/>
      </c>
      <c r="BW409" s="135" t="str">
        <f aca="false">IF(ISBLANK($C409),"",IF($BD409&lt;&gt;Constants!$B$6,"",IF($AU409="-&gt;",$AW409,$AN409)))</f>
        <v/>
      </c>
      <c r="BX409" s="135" t="str">
        <f aca="false">IF(ISBLANK($C409),"",IF($BD409&lt;&gt;Constants!$B$6,"",IF($AU409="-&gt;",$AX409,$AO409)))</f>
        <v/>
      </c>
      <c r="BY409" s="135" t="str">
        <f aca="false">IF(ISBLANK($C409),"",IF($BD409&lt;&gt;Constants!$B$6,"",IF($AU409="-&gt;",$AY409,$AP409)))</f>
        <v/>
      </c>
      <c r="BZ409" s="135" t="str">
        <f aca="false">IF(ISBLANK($C409),"",IF($BD409&lt;&gt;Constants!$B$6,"",IF($AU409="-&gt;",$AZ409,$AQ409)+$BG409))</f>
        <v/>
      </c>
      <c r="CA409" s="136" t="str">
        <f aca="false">IF(ISBLANK($C409),"",IF($BD409&lt;&gt;Constants!$B$6,$BD409,$BH409))</f>
        <v/>
      </c>
      <c r="CB409" s="137" t="str">
        <f aca="false">IF(ISBLANK($C409),"",$BE409)</f>
        <v/>
      </c>
      <c r="CC409" s="138" t="str">
        <f aca="false">IF(ISBLANK($C409),"",$BS409)</f>
        <v/>
      </c>
      <c r="CD409" s="138" t="str">
        <f aca="false">IF(ISBLANK($C409),"",$BR409)</f>
        <v/>
      </c>
      <c r="CE409" s="139" t="str">
        <f aca="false">IF(ISBLANK($C409),"",IF($CD409=Constants!$B$9,COUNTA($C$9:$C$508)+2,IF($CD409=Constants!$B$8,COUNTA($C$9:$C$508)+1,IF($CD409=Constants!$B$7,COUNTA($C$9:$C$508),$CD409))))</f>
        <v/>
      </c>
      <c r="CF409" s="9"/>
      <c r="CG409" s="140" t="n">
        <f aca="false">IF(OR(ISNUMBER($CD409),$CD409=Constants!$B$9,$CD409=Constants!$B$7,$CD409=Constants!$B$8),1,0)</f>
        <v>0</v>
      </c>
      <c r="CH409" s="140" t="n">
        <v>401</v>
      </c>
      <c r="CI409" s="140" t="str">
        <f aca="false">IF(ISBLANK($C409),"",IF(ISNUMBER($CE409),$CE409+ROW($B409)/1000,""))</f>
        <v/>
      </c>
      <c r="CJ409" s="140" t="str">
        <f aca="false">IF(ISNUMBER($CI409),RANK($CI409,$CI$9:$CI$508,1),"")</f>
        <v/>
      </c>
      <c r="CK409" s="140" t="str">
        <f aca="false">IF(ISBLANK($C409),"",$B409)</f>
        <v/>
      </c>
      <c r="CL409" s="140" t="str">
        <f aca="false">IF(ISBLANK($C409),"",$C409)</f>
        <v/>
      </c>
      <c r="CM409" s="140" t="str">
        <f aca="false">IF(ISBLANK($C409),"",$D409)</f>
        <v/>
      </c>
      <c r="CN409" s="141" t="str">
        <f aca="false">$CB409</f>
        <v/>
      </c>
      <c r="CO409" s="142" t="str">
        <f aca="false">$CA409</f>
        <v/>
      </c>
      <c r="CP409" s="140" t="str">
        <f aca="false">IF(ISBLANK($C409),"",$CD409)</f>
        <v/>
      </c>
      <c r="CQ409" s="143" t="str">
        <f aca="false">IF($CH409&gt;$CG$8,"",VLOOKUP($CH409,$CJ$9:$CP$508,7,FALSE()))</f>
        <v/>
      </c>
      <c r="CR409" s="144" t="str">
        <f aca="false">IF($CH409&gt;$CG$8,"",VLOOKUP($CH409,$CJ$9:$CP$508,2,FALSE()))</f>
        <v/>
      </c>
      <c r="CS409" s="144" t="str">
        <f aca="false">IF($CH409&gt;$CG$8,"",VLOOKUP($CH409,$CJ$9:$CP$508,3,FALSE()))</f>
        <v/>
      </c>
      <c r="CT409" s="144" t="str">
        <f aca="false">IF($CH409&gt;$CG$8,"",VLOOKUP($CH409,$CJ$9:$CP$508,4,FALSE()))</f>
        <v/>
      </c>
      <c r="CU409" s="144" t="str">
        <f aca="false">IF($CH409&gt;$CG$8,"",VLOOKUP($CH409,$CJ$9:$CP$508,5,FALSE()))</f>
        <v/>
      </c>
      <c r="CV409" s="145" t="str">
        <f aca="false">IF($CH409&gt;$CG$8,"",VLOOKUP($CH409,$CJ$9:$CP$508,6,FALSE()))</f>
        <v/>
      </c>
      <c r="CW409" s="71"/>
    </row>
    <row r="410" customFormat="false" ht="15.75" hidden="false" customHeight="false" outlineLevel="0" collapsed="false">
      <c r="A410" s="9"/>
      <c r="B410" s="150"/>
      <c r="C410" s="151"/>
      <c r="D410" s="152"/>
      <c r="E410" s="170"/>
      <c r="F410" s="154"/>
      <c r="G410" s="155"/>
      <c r="H410" s="171"/>
      <c r="I410" s="159"/>
      <c r="J410" s="120"/>
      <c r="K410" s="121"/>
      <c r="L410" s="122"/>
      <c r="M410" s="158"/>
      <c r="N410" s="159"/>
      <c r="O410" s="159"/>
      <c r="P410" s="120"/>
      <c r="Q410" s="122"/>
      <c r="R410" s="122"/>
      <c r="S410" s="158"/>
      <c r="T410" s="159"/>
      <c r="U410" s="126"/>
      <c r="V410" s="127"/>
      <c r="W410" s="127" t="str">
        <f aca="false">IF(ISBLANK($C410),"",IF(E410=Constants!$B$2,TRUE(),IF(E410=Constants!$B$3,FALSE(),TRUE())))</f>
        <v/>
      </c>
      <c r="X410" s="127" t="str">
        <f aca="false">IF(ISBLANK($C410),"",IF(F410=Constants!$B$2,TRUE(),IF(F410=Constants!$B$3,FALSE(),TRUE())))</f>
        <v/>
      </c>
      <c r="Y410" s="127" t="str">
        <f aca="false">IF(ISBLANK($C410),"",IF(G410=Constants!$B$2,TRUE(),IF(G410=Constants!$B$3,FALSE(),TRUE())))</f>
        <v/>
      </c>
      <c r="Z410" s="127" t="str">
        <f aca="false">IF(ISBLANK($C410),"",IF(H410=Constants!$B$2,TRUE(),IF(H410=Constants!$B$3,FALSE(),TRUE())))</f>
        <v/>
      </c>
      <c r="AA410" s="127" t="str">
        <f aca="false">IF(ISBLANK($C410),"",IF(I410=Constants!$B$2,TRUE(),IF(I410=Constants!$B$3,FALSE(),TRUE())))</f>
        <v/>
      </c>
      <c r="AB410" s="127" t="str">
        <f aca="false">IF(ISBLANK($C410),"",IF(J410=Constants!$B$4,TRUE(),IF(J410=Constants!$B$5,FALSE(),COUNTA(K410:M410)&gt;0)))</f>
        <v/>
      </c>
      <c r="AC410" s="128" t="str">
        <f aca="false">IF(ISBLANK($C410),"",IF(ISNUMBER(K410),IF(K410&gt;=0,K410,""),""))</f>
        <v/>
      </c>
      <c r="AD410" s="129" t="str">
        <f aca="false">IF(ISBLANK($C410),"",IF(ISNUMBER(L410),IF(L410&gt;=0,L410,""),""))</f>
        <v/>
      </c>
      <c r="AE410" s="127" t="str">
        <f aca="false">IF(ISBLANK($C410),"",IF(ISNUMBER(M410),IF(M410&gt;=0,MIN(M410,Constants!$B$22),""),""))</f>
        <v/>
      </c>
      <c r="AF410" s="127" t="str">
        <f aca="false">IF(ISBLANK($C410),"",IF(N410=Constants!$B$2,TRUE(),IF(N410=Constants!$B$3,FALSE(),TRUE())))</f>
        <v/>
      </c>
      <c r="AG410" s="127" t="str">
        <f aca="false">IF(ISBLANK($C410),"",IF(O410=Constants!$B$2,TRUE(),IF(O410=Constants!$B$3,FALSE(),TRUE())))</f>
        <v/>
      </c>
      <c r="AH410" s="127" t="str">
        <f aca="false">IF(ISBLANK($C410),"",IF(P410=Constants!$B$4,TRUE(),IF(P410=Constants!$B$5,FALSE(),COUNTA(Q410:S410)&gt;0)))</f>
        <v/>
      </c>
      <c r="AI410" s="128" t="str">
        <f aca="false">IF(ISBLANK($C410),"",IF(ISNUMBER(Q410),IF(Q410&gt;=0,Q410,""),""))</f>
        <v/>
      </c>
      <c r="AJ410" s="129" t="str">
        <f aca="false">IF(ISBLANK($C410),"",IF(ISNUMBER(R410),IF(R410&gt;=0,R410,""),""))</f>
        <v/>
      </c>
      <c r="AK410" s="127" t="str">
        <f aca="false">IF(ISBLANK($C410),"",IF(ISNUMBER(S410),IF(S410&gt;=0,MIN(S410,Constants!$B$22),""),""))</f>
        <v/>
      </c>
      <c r="AL410" s="127" t="str">
        <f aca="false">IF(ISBLANK($C410),"",IF(T410=Constants!$B$2,TRUE(),IF(T410=Constants!$B$3,FALSE(),FALSE())))</f>
        <v/>
      </c>
      <c r="AM410" s="126" t="str">
        <f aca="false">IF(ISBLANK($C410),"",AND($AB410,OR($AC410="",$AD410="",AND(NOT(ISBLANK($M410)),$AE410=""))))</f>
        <v/>
      </c>
      <c r="AN410" s="129" t="str">
        <f aca="false">IF($BD410&lt;&gt;Constants!$B$6,"",IF($AB410,Constants!$B$17*$AD410,Constants!$B$18))</f>
        <v/>
      </c>
      <c r="AO410" s="130" t="str">
        <f aca="false">IF($BD410&lt;&gt;Constants!$B$6,"",Constants!$B$19*IF($AB410,$AC410,0))</f>
        <v/>
      </c>
      <c r="AP410" s="130" t="str">
        <f aca="false">IF($BD410&lt;&gt;Constants!$B$6,"",IF(AND($AB410,ISNUMBER($AE410)),Constants!$B$20*(Constants!$B$21-$AE410),0))</f>
        <v/>
      </c>
      <c r="AQ410" s="130" t="str">
        <f aca="false">IF($BD410&lt;&gt;Constants!$B$6,"",IF($AA410,0,Constants!$B$12)+IF($Z410,0,Constants!$B$13)+IF($Y410,0,Constants!$B$14))</f>
        <v/>
      </c>
      <c r="AR410" s="131" t="str">
        <f aca="false">IF($BD410&lt;&gt;Constants!$B$6,"",Constants!$B$16+SUM($AN410:$AQ410))</f>
        <v/>
      </c>
      <c r="AS410" s="130" t="str">
        <f aca="false">IF($BD410&lt;&gt;Constants!$B$6,"",IF($AB410,$AD410,""))</f>
        <v/>
      </c>
      <c r="AT410" s="132" t="str">
        <f aca="false">IF($BD410&lt;&gt;Constants!$B$6,"",$AO410)</f>
        <v/>
      </c>
      <c r="AU410" s="127" t="str">
        <f aca="false">IF($BD410&lt;&gt;Constants!$B$6,"",IF(OR($BA410&lt;$AR410,AND($BA410=$AR410,OR(AND(ISNUMBER($BB410),OR(NOT(ISNUMBER($AS410)),$BB410&lt;$AS410)),AND(OR(AND($BB410="",$AS410=""),AND(ISNUMBER($BB410),ISNUMBER($AS410),$BB410=$AS410)),$BC410&lt;$AT410)))),"-&gt;","&lt;-"))</f>
        <v/>
      </c>
      <c r="AV410" s="126" t="str">
        <f aca="false">IF(ISBLANK($C410),"",AND($AH410,OR($AI410="",$AJ410="",AND(NOT(ISBLANK($S410)),$AK410=""))))</f>
        <v/>
      </c>
      <c r="AW410" s="129" t="str">
        <f aca="false">IF($BD410&lt;&gt;Constants!$B$6,"",IF($AH410,Constants!$B$17*$AJ410,Constants!$B$18))</f>
        <v/>
      </c>
      <c r="AX410" s="130" t="str">
        <f aca="false">IF($BD410&lt;&gt;Constants!$B$6,"",Constants!$B$19*IF($AH410,$AI410,0))</f>
        <v/>
      </c>
      <c r="AY410" s="130" t="str">
        <f aca="false">IF($BD410&lt;&gt;Constants!$B$6,"",IF(AND($AH410,ISNUMBER($AK410)),Constants!$B$20*(Constants!$B$21-$AK410),0))</f>
        <v/>
      </c>
      <c r="AZ410" s="130" t="str">
        <f aca="false">IF($BD410&lt;&gt;Constants!$B$6,"",IF($AG410,0,Constants!$B$12)+IF($AF410,0,Constants!$B$13)+IF($Y410,0,Constants!$B$14))</f>
        <v/>
      </c>
      <c r="BA410" s="131" t="str">
        <f aca="false">IF($BD410&lt;&gt;Constants!$B$6,"",Constants!$B$16+SUM($AW410:$AZ410))</f>
        <v/>
      </c>
      <c r="BB410" s="130" t="str">
        <f aca="false">IF($BD410&lt;&gt;Constants!$B$6,"",IF($AH410,$AJ410,""))</f>
        <v/>
      </c>
      <c r="BC410" s="132" t="str">
        <f aca="false">IF($BD410&lt;&gt;Constants!$B$6,"",$AX410)</f>
        <v/>
      </c>
      <c r="BD410" s="127" t="str">
        <f aca="false">IF(ISBLANK($C410),"",IF($AL410,Constants!$B$9,IF(COUNTA($E410:$T410)=0,Constants!$B$8,IF(NOT($X410),Constants!$B$7,IF(OR($AM410,$AV410),Constants!$B$10,Constants!$B$6)))))</f>
        <v/>
      </c>
      <c r="BE410" s="127" t="str">
        <f aca="false">IF(ISBLANK($C410),"",IF($BD410&lt;&gt;Constants!$B$6,$BD410,Constants!$B$11))</f>
        <v/>
      </c>
      <c r="BF410" s="130" t="str">
        <f aca="false">IF($BD410&lt;&gt;Constants!$B$6,"",IF($AU410="-&gt;",$BA410,$AR410))</f>
        <v/>
      </c>
      <c r="BG410" s="130" t="str">
        <f aca="false">IF($BD410&lt;&gt;Constants!$B$6,"",IF($W410,0,Constants!$B$15))</f>
        <v/>
      </c>
      <c r="BH410" s="130" t="str">
        <f aca="false">IF(ISBLANK($C410),"",IF($BD410&lt;&gt;Constants!$B$6,$BD410,SUM($BF410:$BG410)))</f>
        <v/>
      </c>
      <c r="BI410" s="127" t="str">
        <f aca="false">IF(ISBLANK($C410),"",IF($BD410&lt;&gt;Constants!$B$6,$BD410,RANK($BH410,$BH$9:$BH$508,1)))</f>
        <v/>
      </c>
      <c r="BJ410" s="130" t="str">
        <f aca="false">IF($BD410&lt;&gt;Constants!$B$6,"",IF($AU410="-&gt;",$BB410,$AS410))</f>
        <v/>
      </c>
      <c r="BK410" s="127" t="str">
        <f aca="false">IF(ISBLANK($C410),"",IF($BD410&lt;&gt;Constants!$B$6,$BD410,IF(ISNUMBER($BJ410),RANK($BJ410,$BJ$9:$BJ$508,1),COUNT($BJ$9:$BJ$508)+1)))</f>
        <v/>
      </c>
      <c r="BL410" s="130" t="str">
        <f aca="false">IF($BD410&lt;&gt;Constants!$B$6,"",IF($AU410="-&gt;",$BC410,$AT410))</f>
        <v/>
      </c>
      <c r="BM410" s="127" t="str">
        <f aca="false">IF(ISBLANK($C410),"",IF($BD410&lt;&gt;Constants!$B$6,$BD410,IF(ISNUMBER($BL410),RANK($BL410,$BL$9:$BL$508,1),COUNT($BL$9:$BL$508)+1)))</f>
        <v/>
      </c>
      <c r="BN410" s="130" t="str">
        <f aca="false">IF($BD410&lt;&gt;Constants!$B$6,"",IF($AU410="-&gt;",$AS410,$BB410))</f>
        <v/>
      </c>
      <c r="BO410" s="127" t="str">
        <f aca="false">IF(ISBLANK($C410),"",IF($BD410&lt;&gt;Constants!$B$6,$BD410,IF(ISNUMBER($BN410),RANK($BN410,$BN$9:$BN$508,1),COUNT($BN$9:$BN$508)+1)))</f>
        <v/>
      </c>
      <c r="BP410" s="130" t="str">
        <f aca="false">IF($BD410&lt;&gt;Constants!$B$6,"",IF($AU410="-&gt;",$AT410,$BC410))</f>
        <v/>
      </c>
      <c r="BQ410" s="127" t="str">
        <f aca="false">IF(ISBLANK($C410),"",IF($BD410&lt;&gt;Constants!$B$6,$BD410,IF(ISNUMBER($BP410),RANK($BP410,$BP$9:$BP$508,1),COUNT($BP$9:$BP$508)+1)))</f>
        <v/>
      </c>
      <c r="BR410" s="127" t="str">
        <f aca="false">IF(ISBLANK($C410),"",IF($BD410&lt;&gt;Constants!$B$6,$BD410,COUNTIFS($BI$9:$BI$508,"&lt;"&amp;$BI410)+COUNTIFS($BI$9:$BI$508,$BI410,$BK$9:$BK$508,"&lt;"&amp;$BK410)+COUNTIFS($BI$9:$BI$508,$BI410,$BK$9:$BK$508,$BK410,$BM$9:$BM$508,"&lt;"&amp;$BM410)+COUNTIFS($BI$9:$BI$508,$BI410,$BK$9:$BK$508,$BK410,$BM$9:$BM$508,$BM410,$BO$9:$BO$508,"&lt;"&amp;$BO410)+COUNTIFS($BI$9:$BI$508,$BI410,$BK$9:$BK$508,$BK410,$BM$9:$BM$508,$BM410,$BO$9:$BO$508,$BO410,$BQ$9:$BQ$508,"&lt;"&amp;$BQ410)+1))</f>
        <v/>
      </c>
      <c r="BS410" s="127" t="str">
        <f aca="false">IF(ISBLANK($C410),"",IF($BD410&lt;&gt;Constants!$B$6,$BD410,$BI410-$BR410))</f>
        <v/>
      </c>
      <c r="BT410" s="133"/>
      <c r="BU410" s="134"/>
      <c r="BV410" s="134" t="str">
        <f aca="false">IF(ISBLANK($C410),"",IF($BD410&lt;&gt;Constants!$B$6,"",IF($AU410="-&gt;",2,1)))</f>
        <v/>
      </c>
      <c r="BW410" s="135" t="str">
        <f aca="false">IF(ISBLANK($C410),"",IF($BD410&lt;&gt;Constants!$B$6,"",IF($AU410="-&gt;",$AW410,$AN410)))</f>
        <v/>
      </c>
      <c r="BX410" s="135" t="str">
        <f aca="false">IF(ISBLANK($C410),"",IF($BD410&lt;&gt;Constants!$B$6,"",IF($AU410="-&gt;",$AX410,$AO410)))</f>
        <v/>
      </c>
      <c r="BY410" s="135" t="str">
        <f aca="false">IF(ISBLANK($C410),"",IF($BD410&lt;&gt;Constants!$B$6,"",IF($AU410="-&gt;",$AY410,$AP410)))</f>
        <v/>
      </c>
      <c r="BZ410" s="135" t="str">
        <f aca="false">IF(ISBLANK($C410),"",IF($BD410&lt;&gt;Constants!$B$6,"",IF($AU410="-&gt;",$AZ410,$AQ410)+$BG410))</f>
        <v/>
      </c>
      <c r="CA410" s="136" t="str">
        <f aca="false">IF(ISBLANK($C410),"",IF($BD410&lt;&gt;Constants!$B$6,$BD410,$BH410))</f>
        <v/>
      </c>
      <c r="CB410" s="137" t="str">
        <f aca="false">IF(ISBLANK($C410),"",$BE410)</f>
        <v/>
      </c>
      <c r="CC410" s="138" t="str">
        <f aca="false">IF(ISBLANK($C410),"",$BS410)</f>
        <v/>
      </c>
      <c r="CD410" s="138" t="str">
        <f aca="false">IF(ISBLANK($C410),"",$BR410)</f>
        <v/>
      </c>
      <c r="CE410" s="139" t="str">
        <f aca="false">IF(ISBLANK($C410),"",IF($CD410=Constants!$B$9,COUNTA($C$9:$C$508)+2,IF($CD410=Constants!$B$8,COUNTA($C$9:$C$508)+1,IF($CD410=Constants!$B$7,COUNTA($C$9:$C$508),$CD410))))</f>
        <v/>
      </c>
      <c r="CF410" s="9"/>
      <c r="CG410" s="140" t="n">
        <f aca="false">IF(OR(ISNUMBER($CD410),$CD410=Constants!$B$9,$CD410=Constants!$B$7,$CD410=Constants!$B$8),1,0)</f>
        <v>0</v>
      </c>
      <c r="CH410" s="140" t="n">
        <v>402</v>
      </c>
      <c r="CI410" s="140" t="str">
        <f aca="false">IF(ISBLANK($C410),"",IF(ISNUMBER($CE410),$CE410+ROW($B410)/1000,""))</f>
        <v/>
      </c>
      <c r="CJ410" s="140" t="str">
        <f aca="false">IF(ISNUMBER($CI410),RANK($CI410,$CI$9:$CI$508,1),"")</f>
        <v/>
      </c>
      <c r="CK410" s="140" t="str">
        <f aca="false">IF(ISBLANK($C410),"",$B410)</f>
        <v/>
      </c>
      <c r="CL410" s="140" t="str">
        <f aca="false">IF(ISBLANK($C410),"",$C410)</f>
        <v/>
      </c>
      <c r="CM410" s="140" t="str">
        <f aca="false">IF(ISBLANK($C410),"",$D410)</f>
        <v/>
      </c>
      <c r="CN410" s="141" t="str">
        <f aca="false">$CB410</f>
        <v/>
      </c>
      <c r="CO410" s="142" t="str">
        <f aca="false">$CA410</f>
        <v/>
      </c>
      <c r="CP410" s="140" t="str">
        <f aca="false">IF(ISBLANK($C410),"",$CD410)</f>
        <v/>
      </c>
      <c r="CQ410" s="143" t="str">
        <f aca="false">IF($CH410&gt;$CG$8,"",VLOOKUP($CH410,$CJ$9:$CP$508,7,FALSE()))</f>
        <v/>
      </c>
      <c r="CR410" s="144" t="str">
        <f aca="false">IF($CH410&gt;$CG$8,"",VLOOKUP($CH410,$CJ$9:$CP$508,2,FALSE()))</f>
        <v/>
      </c>
      <c r="CS410" s="144" t="str">
        <f aca="false">IF($CH410&gt;$CG$8,"",VLOOKUP($CH410,$CJ$9:$CP$508,3,FALSE()))</f>
        <v/>
      </c>
      <c r="CT410" s="144" t="str">
        <f aca="false">IF($CH410&gt;$CG$8,"",VLOOKUP($CH410,$CJ$9:$CP$508,4,FALSE()))</f>
        <v/>
      </c>
      <c r="CU410" s="144" t="str">
        <f aca="false">IF($CH410&gt;$CG$8,"",VLOOKUP($CH410,$CJ$9:$CP$508,5,FALSE()))</f>
        <v/>
      </c>
      <c r="CV410" s="145" t="str">
        <f aca="false">IF($CH410&gt;$CG$8,"",VLOOKUP($CH410,$CJ$9:$CP$508,6,FALSE()))</f>
        <v/>
      </c>
      <c r="CW410" s="71"/>
    </row>
    <row r="411" customFormat="false" ht="15.75" hidden="false" customHeight="false" outlineLevel="0" collapsed="false">
      <c r="A411" s="9"/>
      <c r="B411" s="72"/>
      <c r="C411" s="73"/>
      <c r="D411" s="160"/>
      <c r="E411" s="168"/>
      <c r="F411" s="162"/>
      <c r="G411" s="163"/>
      <c r="H411" s="169"/>
      <c r="I411" s="167"/>
      <c r="J411" s="80"/>
      <c r="K411" s="81"/>
      <c r="L411" s="82"/>
      <c r="M411" s="166"/>
      <c r="N411" s="167"/>
      <c r="O411" s="167"/>
      <c r="P411" s="80"/>
      <c r="Q411" s="82"/>
      <c r="R411" s="82"/>
      <c r="S411" s="166"/>
      <c r="T411" s="167"/>
      <c r="U411" s="86"/>
      <c r="V411" s="87"/>
      <c r="W411" s="87" t="str">
        <f aca="false">IF(ISBLANK($C411),"",IF(E411=Constants!$B$2,TRUE(),IF(E411=Constants!$B$3,FALSE(),TRUE())))</f>
        <v/>
      </c>
      <c r="X411" s="87" t="str">
        <f aca="false">IF(ISBLANK($C411),"",IF(F411=Constants!$B$2,TRUE(),IF(F411=Constants!$B$3,FALSE(),TRUE())))</f>
        <v/>
      </c>
      <c r="Y411" s="87" t="str">
        <f aca="false">IF(ISBLANK($C411),"",IF(G411=Constants!$B$2,TRUE(),IF(G411=Constants!$B$3,FALSE(),TRUE())))</f>
        <v/>
      </c>
      <c r="Z411" s="87" t="str">
        <f aca="false">IF(ISBLANK($C411),"",IF(H411=Constants!$B$2,TRUE(),IF(H411=Constants!$B$3,FALSE(),TRUE())))</f>
        <v/>
      </c>
      <c r="AA411" s="87" t="str">
        <f aca="false">IF(ISBLANK($C411),"",IF(I411=Constants!$B$2,TRUE(),IF(I411=Constants!$B$3,FALSE(),TRUE())))</f>
        <v/>
      </c>
      <c r="AB411" s="87" t="str">
        <f aca="false">IF(ISBLANK($C411),"",IF(J411=Constants!$B$4,TRUE(),IF(J411=Constants!$B$5,FALSE(),COUNTA(K411:M411)&gt;0)))</f>
        <v/>
      </c>
      <c r="AC411" s="88" t="str">
        <f aca="false">IF(ISBLANK($C411),"",IF(ISNUMBER(K411),IF(K411&gt;=0,K411,""),""))</f>
        <v/>
      </c>
      <c r="AD411" s="89" t="str">
        <f aca="false">IF(ISBLANK($C411),"",IF(ISNUMBER(L411),IF(L411&gt;=0,L411,""),""))</f>
        <v/>
      </c>
      <c r="AE411" s="87" t="str">
        <f aca="false">IF(ISBLANK($C411),"",IF(ISNUMBER(M411),IF(M411&gt;=0,MIN(M411,Constants!$B$22),""),""))</f>
        <v/>
      </c>
      <c r="AF411" s="87" t="str">
        <f aca="false">IF(ISBLANK($C411),"",IF(N411=Constants!$B$2,TRUE(),IF(N411=Constants!$B$3,FALSE(),TRUE())))</f>
        <v/>
      </c>
      <c r="AG411" s="87" t="str">
        <f aca="false">IF(ISBLANK($C411),"",IF(O411=Constants!$B$2,TRUE(),IF(O411=Constants!$B$3,FALSE(),TRUE())))</f>
        <v/>
      </c>
      <c r="AH411" s="87" t="str">
        <f aca="false">IF(ISBLANK($C411),"",IF(P411=Constants!$B$4,TRUE(),IF(P411=Constants!$B$5,FALSE(),COUNTA(Q411:S411)&gt;0)))</f>
        <v/>
      </c>
      <c r="AI411" s="88" t="str">
        <f aca="false">IF(ISBLANK($C411),"",IF(ISNUMBER(Q411),IF(Q411&gt;=0,Q411,""),""))</f>
        <v/>
      </c>
      <c r="AJ411" s="89" t="str">
        <f aca="false">IF(ISBLANK($C411),"",IF(ISNUMBER(R411),IF(R411&gt;=0,R411,""),""))</f>
        <v/>
      </c>
      <c r="AK411" s="87" t="str">
        <f aca="false">IF(ISBLANK($C411),"",IF(ISNUMBER(S411),IF(S411&gt;=0,MIN(S411,Constants!$B$22),""),""))</f>
        <v/>
      </c>
      <c r="AL411" s="87" t="str">
        <f aca="false">IF(ISBLANK($C411),"",IF(T411=Constants!$B$2,TRUE(),IF(T411=Constants!$B$3,FALSE(),FALSE())))</f>
        <v/>
      </c>
      <c r="AM411" s="86" t="str">
        <f aca="false">IF(ISBLANK($C411),"",AND($AB411,OR($AC411="",$AD411="",AND(NOT(ISBLANK($M411)),$AE411=""))))</f>
        <v/>
      </c>
      <c r="AN411" s="89" t="str">
        <f aca="false">IF($BD411&lt;&gt;Constants!$B$6,"",IF($AB411,Constants!$B$17*$AD411,Constants!$B$18))</f>
        <v/>
      </c>
      <c r="AO411" s="91" t="str">
        <f aca="false">IF($BD411&lt;&gt;Constants!$B$6,"",Constants!$B$19*IF($AB411,$AC411,0))</f>
        <v/>
      </c>
      <c r="AP411" s="91" t="str">
        <f aca="false">IF($BD411&lt;&gt;Constants!$B$6,"",IF(AND($AB411,ISNUMBER($AE411)),Constants!$B$20*(Constants!$B$21-$AE411),0))</f>
        <v/>
      </c>
      <c r="AQ411" s="91" t="str">
        <f aca="false">IF($BD411&lt;&gt;Constants!$B$6,"",IF($AA411,0,Constants!$B$12)+IF($Z411,0,Constants!$B$13)+IF($Y411,0,Constants!$B$14))</f>
        <v/>
      </c>
      <c r="AR411" s="92" t="str">
        <f aca="false">IF($BD411&lt;&gt;Constants!$B$6,"",Constants!$B$16+SUM($AN411:$AQ411))</f>
        <v/>
      </c>
      <c r="AS411" s="91" t="str">
        <f aca="false">IF($BD411&lt;&gt;Constants!$B$6,"",IF($AB411,$AD411,""))</f>
        <v/>
      </c>
      <c r="AT411" s="93" t="str">
        <f aca="false">IF($BD411&lt;&gt;Constants!$B$6,"",$AO411)</f>
        <v/>
      </c>
      <c r="AU411" s="87" t="str">
        <f aca="false">IF($BD411&lt;&gt;Constants!$B$6,"",IF(OR($BA411&lt;$AR411,AND($BA411=$AR411,OR(AND(ISNUMBER($BB411),OR(NOT(ISNUMBER($AS411)),$BB411&lt;$AS411)),AND(OR(AND($BB411="",$AS411=""),AND(ISNUMBER($BB411),ISNUMBER($AS411),$BB411=$AS411)),$BC411&lt;$AT411)))),"-&gt;","&lt;-"))</f>
        <v/>
      </c>
      <c r="AV411" s="86" t="str">
        <f aca="false">IF(ISBLANK($C411),"",AND($AH411,OR($AI411="",$AJ411="",AND(NOT(ISBLANK($S411)),$AK411=""))))</f>
        <v/>
      </c>
      <c r="AW411" s="89" t="str">
        <f aca="false">IF($BD411&lt;&gt;Constants!$B$6,"",IF($AH411,Constants!$B$17*$AJ411,Constants!$B$18))</f>
        <v/>
      </c>
      <c r="AX411" s="91" t="str">
        <f aca="false">IF($BD411&lt;&gt;Constants!$B$6,"",Constants!$B$19*IF($AH411,$AI411,0))</f>
        <v/>
      </c>
      <c r="AY411" s="91" t="str">
        <f aca="false">IF($BD411&lt;&gt;Constants!$B$6,"",IF(AND($AH411,ISNUMBER($AK411)),Constants!$B$20*(Constants!$B$21-$AK411),0))</f>
        <v/>
      </c>
      <c r="AZ411" s="91" t="str">
        <f aca="false">IF($BD411&lt;&gt;Constants!$B$6,"",IF($AG411,0,Constants!$B$12)+IF($AF411,0,Constants!$B$13)+IF($Y411,0,Constants!$B$14))</f>
        <v/>
      </c>
      <c r="BA411" s="92" t="str">
        <f aca="false">IF($BD411&lt;&gt;Constants!$B$6,"",Constants!$B$16+SUM($AW411:$AZ411))</f>
        <v/>
      </c>
      <c r="BB411" s="91" t="str">
        <f aca="false">IF($BD411&lt;&gt;Constants!$B$6,"",IF($AH411,$AJ411,""))</f>
        <v/>
      </c>
      <c r="BC411" s="93" t="str">
        <f aca="false">IF($BD411&lt;&gt;Constants!$B$6,"",$AX411)</f>
        <v/>
      </c>
      <c r="BD411" s="87" t="str">
        <f aca="false">IF(ISBLANK($C411),"",IF($AL411,Constants!$B$9,IF(COUNTA($E411:$T411)=0,Constants!$B$8,IF(NOT($X411),Constants!$B$7,IF(OR($AM411,$AV411),Constants!$B$10,Constants!$B$6)))))</f>
        <v/>
      </c>
      <c r="BE411" s="87" t="str">
        <f aca="false">IF(ISBLANK($C411),"",IF($BD411&lt;&gt;Constants!$B$6,$BD411,Constants!$B$11))</f>
        <v/>
      </c>
      <c r="BF411" s="91" t="str">
        <f aca="false">IF($BD411&lt;&gt;Constants!$B$6,"",IF($AU411="-&gt;",$BA411,$AR411))</f>
        <v/>
      </c>
      <c r="BG411" s="91" t="str">
        <f aca="false">IF($BD411&lt;&gt;Constants!$B$6,"",IF($W411,0,Constants!$B$15))</f>
        <v/>
      </c>
      <c r="BH411" s="91" t="str">
        <f aca="false">IF(ISBLANK($C411),"",IF($BD411&lt;&gt;Constants!$B$6,$BD411,SUM($BF411:$BG411)))</f>
        <v/>
      </c>
      <c r="BI411" s="87" t="str">
        <f aca="false">IF(ISBLANK($C411),"",IF($BD411&lt;&gt;Constants!$B$6,$BD411,RANK($BH411,$BH$9:$BH$508,1)))</f>
        <v/>
      </c>
      <c r="BJ411" s="91" t="str">
        <f aca="false">IF($BD411&lt;&gt;Constants!$B$6,"",IF($AU411="-&gt;",$BB411,$AS411))</f>
        <v/>
      </c>
      <c r="BK411" s="87" t="str">
        <f aca="false">IF(ISBLANK($C411),"",IF($BD411&lt;&gt;Constants!$B$6,$BD411,IF(ISNUMBER($BJ411),RANK($BJ411,$BJ$9:$BJ$508,1),COUNT($BJ$9:$BJ$508)+1)))</f>
        <v/>
      </c>
      <c r="BL411" s="91" t="str">
        <f aca="false">IF($BD411&lt;&gt;Constants!$B$6,"",IF($AU411="-&gt;",$BC411,$AT411))</f>
        <v/>
      </c>
      <c r="BM411" s="87" t="str">
        <f aca="false">IF(ISBLANK($C411),"",IF($BD411&lt;&gt;Constants!$B$6,$BD411,IF(ISNUMBER($BL411),RANK($BL411,$BL$9:$BL$508,1),COUNT($BL$9:$BL$508)+1)))</f>
        <v/>
      </c>
      <c r="BN411" s="91" t="str">
        <f aca="false">IF($BD411&lt;&gt;Constants!$B$6,"",IF($AU411="-&gt;",$AS411,$BB411))</f>
        <v/>
      </c>
      <c r="BO411" s="87" t="str">
        <f aca="false">IF(ISBLANK($C411),"",IF($BD411&lt;&gt;Constants!$B$6,$BD411,IF(ISNUMBER($BN411),RANK($BN411,$BN$9:$BN$508,1),COUNT($BN$9:$BN$508)+1)))</f>
        <v/>
      </c>
      <c r="BP411" s="91" t="str">
        <f aca="false">IF($BD411&lt;&gt;Constants!$B$6,"",IF($AU411="-&gt;",$AT411,$BC411))</f>
        <v/>
      </c>
      <c r="BQ411" s="87" t="str">
        <f aca="false">IF(ISBLANK($C411),"",IF($BD411&lt;&gt;Constants!$B$6,$BD411,IF(ISNUMBER($BP411),RANK($BP411,$BP$9:$BP$508,1),COUNT($BP$9:$BP$508)+1)))</f>
        <v/>
      </c>
      <c r="BR411" s="87" t="str">
        <f aca="false">IF(ISBLANK($C411),"",IF($BD411&lt;&gt;Constants!$B$6,$BD411,COUNTIFS($BI$9:$BI$508,"&lt;"&amp;$BI411)+COUNTIFS($BI$9:$BI$508,$BI411,$BK$9:$BK$508,"&lt;"&amp;$BK411)+COUNTIFS($BI$9:$BI$508,$BI411,$BK$9:$BK$508,$BK411,$BM$9:$BM$508,"&lt;"&amp;$BM411)+COUNTIFS($BI$9:$BI$508,$BI411,$BK$9:$BK$508,$BK411,$BM$9:$BM$508,$BM411,$BO$9:$BO$508,"&lt;"&amp;$BO411)+COUNTIFS($BI$9:$BI$508,$BI411,$BK$9:$BK$508,$BK411,$BM$9:$BM$508,$BM411,$BO$9:$BO$508,$BO411,$BQ$9:$BQ$508,"&lt;"&amp;$BQ411)+1))</f>
        <v/>
      </c>
      <c r="BS411" s="87" t="str">
        <f aca="false">IF(ISBLANK($C411),"",IF($BD411&lt;&gt;Constants!$B$6,$BD411,$BI411-$BR411))</f>
        <v/>
      </c>
      <c r="BT411" s="94"/>
      <c r="BU411" s="95"/>
      <c r="BV411" s="95" t="str">
        <f aca="false">IF(ISBLANK($C411),"",IF($BD411&lt;&gt;Constants!$B$6,"",IF($AU411="-&gt;",2,1)))</f>
        <v/>
      </c>
      <c r="BW411" s="96" t="str">
        <f aca="false">IF(ISBLANK($C411),"",IF($BD411&lt;&gt;Constants!$B$6,"",IF($AU411="-&gt;",$AW411,$AN411)))</f>
        <v/>
      </c>
      <c r="BX411" s="96" t="str">
        <f aca="false">IF(ISBLANK($C411),"",IF($BD411&lt;&gt;Constants!$B$6,"",IF($AU411="-&gt;",$AX411,$AO411)))</f>
        <v/>
      </c>
      <c r="BY411" s="96" t="str">
        <f aca="false">IF(ISBLANK($C411),"",IF($BD411&lt;&gt;Constants!$B$6,"",IF($AU411="-&gt;",$AY411,$AP411)))</f>
        <v/>
      </c>
      <c r="BZ411" s="96" t="str">
        <f aca="false">IF(ISBLANK($C411),"",IF($BD411&lt;&gt;Constants!$B$6,"",IF($AU411="-&gt;",$AZ411,$AQ411)+$BG411))</f>
        <v/>
      </c>
      <c r="CA411" s="97" t="str">
        <f aca="false">IF(ISBLANK($C411),"",IF($BD411&lt;&gt;Constants!$B$6,$BD411,$BH411))</f>
        <v/>
      </c>
      <c r="CB411" s="98" t="str">
        <f aca="false">IF(ISBLANK($C411),"",$BE411)</f>
        <v/>
      </c>
      <c r="CC411" s="99" t="str">
        <f aca="false">IF(ISBLANK($C411),"",$BS411)</f>
        <v/>
      </c>
      <c r="CD411" s="99" t="str">
        <f aca="false">IF(ISBLANK($C411),"",$BR411)</f>
        <v/>
      </c>
      <c r="CE411" s="100" t="str">
        <f aca="false">IF(ISBLANK($C411),"",IF($CD411=Constants!$B$9,COUNTA($C$9:$C$508)+2,IF($CD411=Constants!$B$8,COUNTA($C$9:$C$508)+1,IF($CD411=Constants!$B$7,COUNTA($C$9:$C$508),$CD411))))</f>
        <v/>
      </c>
      <c r="CF411" s="9"/>
      <c r="CG411" s="101" t="n">
        <f aca="false">IF(OR(ISNUMBER($CD411),$CD411=Constants!$B$9,$CD411=Constants!$B$7,$CD411=Constants!$B$8),1,0)</f>
        <v>0</v>
      </c>
      <c r="CH411" s="101" t="n">
        <v>403</v>
      </c>
      <c r="CI411" s="101" t="str">
        <f aca="false">IF(ISBLANK($C411),"",IF(ISNUMBER($CE411),$CE411+ROW($B411)/1000,""))</f>
        <v/>
      </c>
      <c r="CJ411" s="101" t="str">
        <f aca="false">IF(ISNUMBER($CI411),RANK($CI411,$CI$9:$CI$508,1),"")</f>
        <v/>
      </c>
      <c r="CK411" s="101" t="str">
        <f aca="false">IF(ISBLANK($C411),"",$B411)</f>
        <v/>
      </c>
      <c r="CL411" s="101" t="str">
        <f aca="false">IF(ISBLANK($C411),"",$C411)</f>
        <v/>
      </c>
      <c r="CM411" s="101" t="str">
        <f aca="false">IF(ISBLANK($C411),"",$D411)</f>
        <v/>
      </c>
      <c r="CN411" s="102" t="str">
        <f aca="false">$CB411</f>
        <v/>
      </c>
      <c r="CO411" s="103" t="str">
        <f aca="false">$CA411</f>
        <v/>
      </c>
      <c r="CP411" s="101" t="str">
        <f aca="false">IF(ISBLANK($C411),"",$CD411)</f>
        <v/>
      </c>
      <c r="CQ411" s="104" t="str">
        <f aca="false">IF($CH411&gt;$CG$8,"",VLOOKUP($CH411,$CJ$9:$CP$508,7,FALSE()))</f>
        <v/>
      </c>
      <c r="CR411" s="105" t="str">
        <f aca="false">IF($CH411&gt;$CG$8,"",VLOOKUP($CH411,$CJ$9:$CP$508,2,FALSE()))</f>
        <v/>
      </c>
      <c r="CS411" s="105" t="str">
        <f aca="false">IF($CH411&gt;$CG$8,"",VLOOKUP($CH411,$CJ$9:$CP$508,3,FALSE()))</f>
        <v/>
      </c>
      <c r="CT411" s="105" t="str">
        <f aca="false">IF($CH411&gt;$CG$8,"",VLOOKUP($CH411,$CJ$9:$CP$508,4,FALSE()))</f>
        <v/>
      </c>
      <c r="CU411" s="105" t="str">
        <f aca="false">IF($CH411&gt;$CG$8,"",VLOOKUP($CH411,$CJ$9:$CP$508,5,FALSE()))</f>
        <v/>
      </c>
      <c r="CV411" s="106" t="str">
        <f aca="false">IF($CH411&gt;$CG$8,"",VLOOKUP($CH411,$CJ$9:$CP$508,6,FALSE()))</f>
        <v/>
      </c>
      <c r="CW411" s="71"/>
    </row>
    <row r="412" customFormat="false" ht="15.75" hidden="false" customHeight="false" outlineLevel="0" collapsed="false">
      <c r="A412" s="9"/>
      <c r="B412" s="72"/>
      <c r="C412" s="73"/>
      <c r="D412" s="160"/>
      <c r="E412" s="168"/>
      <c r="F412" s="162"/>
      <c r="G412" s="163"/>
      <c r="H412" s="169"/>
      <c r="I412" s="167"/>
      <c r="J412" s="80"/>
      <c r="K412" s="81"/>
      <c r="L412" s="82"/>
      <c r="M412" s="166"/>
      <c r="N412" s="167"/>
      <c r="O412" s="167"/>
      <c r="P412" s="80"/>
      <c r="Q412" s="82"/>
      <c r="R412" s="82"/>
      <c r="S412" s="166"/>
      <c r="T412" s="167"/>
      <c r="U412" s="86"/>
      <c r="V412" s="87"/>
      <c r="W412" s="87" t="str">
        <f aca="false">IF(ISBLANK($C412),"",IF(E412=Constants!$B$2,TRUE(),IF(E412=Constants!$B$3,FALSE(),TRUE())))</f>
        <v/>
      </c>
      <c r="X412" s="87" t="str">
        <f aca="false">IF(ISBLANK($C412),"",IF(F412=Constants!$B$2,TRUE(),IF(F412=Constants!$B$3,FALSE(),TRUE())))</f>
        <v/>
      </c>
      <c r="Y412" s="87" t="str">
        <f aca="false">IF(ISBLANK($C412),"",IF(G412=Constants!$B$2,TRUE(),IF(G412=Constants!$B$3,FALSE(),TRUE())))</f>
        <v/>
      </c>
      <c r="Z412" s="87" t="str">
        <f aca="false">IF(ISBLANK($C412),"",IF(H412=Constants!$B$2,TRUE(),IF(H412=Constants!$B$3,FALSE(),TRUE())))</f>
        <v/>
      </c>
      <c r="AA412" s="87" t="str">
        <f aca="false">IF(ISBLANK($C412),"",IF(I412=Constants!$B$2,TRUE(),IF(I412=Constants!$B$3,FALSE(),TRUE())))</f>
        <v/>
      </c>
      <c r="AB412" s="87" t="str">
        <f aca="false">IF(ISBLANK($C412),"",IF(J412=Constants!$B$4,TRUE(),IF(J412=Constants!$B$5,FALSE(),COUNTA(K412:M412)&gt;0)))</f>
        <v/>
      </c>
      <c r="AC412" s="88" t="str">
        <f aca="false">IF(ISBLANK($C412),"",IF(ISNUMBER(K412),IF(K412&gt;=0,K412,""),""))</f>
        <v/>
      </c>
      <c r="AD412" s="89" t="str">
        <f aca="false">IF(ISBLANK($C412),"",IF(ISNUMBER(L412),IF(L412&gt;=0,L412,""),""))</f>
        <v/>
      </c>
      <c r="AE412" s="87" t="str">
        <f aca="false">IF(ISBLANK($C412),"",IF(ISNUMBER(M412),IF(M412&gt;=0,MIN(M412,Constants!$B$22),""),""))</f>
        <v/>
      </c>
      <c r="AF412" s="87" t="str">
        <f aca="false">IF(ISBLANK($C412),"",IF(N412=Constants!$B$2,TRUE(),IF(N412=Constants!$B$3,FALSE(),TRUE())))</f>
        <v/>
      </c>
      <c r="AG412" s="87" t="str">
        <f aca="false">IF(ISBLANK($C412),"",IF(O412=Constants!$B$2,TRUE(),IF(O412=Constants!$B$3,FALSE(),TRUE())))</f>
        <v/>
      </c>
      <c r="AH412" s="87" t="str">
        <f aca="false">IF(ISBLANK($C412),"",IF(P412=Constants!$B$4,TRUE(),IF(P412=Constants!$B$5,FALSE(),COUNTA(Q412:S412)&gt;0)))</f>
        <v/>
      </c>
      <c r="AI412" s="88" t="str">
        <f aca="false">IF(ISBLANK($C412),"",IF(ISNUMBER(Q412),IF(Q412&gt;=0,Q412,""),""))</f>
        <v/>
      </c>
      <c r="AJ412" s="89" t="str">
        <f aca="false">IF(ISBLANK($C412),"",IF(ISNUMBER(R412),IF(R412&gt;=0,R412,""),""))</f>
        <v/>
      </c>
      <c r="AK412" s="87" t="str">
        <f aca="false">IF(ISBLANK($C412),"",IF(ISNUMBER(S412),IF(S412&gt;=0,MIN(S412,Constants!$B$22),""),""))</f>
        <v/>
      </c>
      <c r="AL412" s="87" t="str">
        <f aca="false">IF(ISBLANK($C412),"",IF(T412=Constants!$B$2,TRUE(),IF(T412=Constants!$B$3,FALSE(),FALSE())))</f>
        <v/>
      </c>
      <c r="AM412" s="86" t="str">
        <f aca="false">IF(ISBLANK($C412),"",AND($AB412,OR($AC412="",$AD412="",AND(NOT(ISBLANK($M412)),$AE412=""))))</f>
        <v/>
      </c>
      <c r="AN412" s="89" t="str">
        <f aca="false">IF($BD412&lt;&gt;Constants!$B$6,"",IF($AB412,Constants!$B$17*$AD412,Constants!$B$18))</f>
        <v/>
      </c>
      <c r="AO412" s="91" t="str">
        <f aca="false">IF($BD412&lt;&gt;Constants!$B$6,"",Constants!$B$19*IF($AB412,$AC412,0))</f>
        <v/>
      </c>
      <c r="AP412" s="91" t="str">
        <f aca="false">IF($BD412&lt;&gt;Constants!$B$6,"",IF(AND($AB412,ISNUMBER($AE412)),Constants!$B$20*(Constants!$B$21-$AE412),0))</f>
        <v/>
      </c>
      <c r="AQ412" s="91" t="str">
        <f aca="false">IF($BD412&lt;&gt;Constants!$B$6,"",IF($AA412,0,Constants!$B$12)+IF($Z412,0,Constants!$B$13)+IF($Y412,0,Constants!$B$14))</f>
        <v/>
      </c>
      <c r="AR412" s="92" t="str">
        <f aca="false">IF($BD412&lt;&gt;Constants!$B$6,"",Constants!$B$16+SUM($AN412:$AQ412))</f>
        <v/>
      </c>
      <c r="AS412" s="91" t="str">
        <f aca="false">IF($BD412&lt;&gt;Constants!$B$6,"",IF($AB412,$AD412,""))</f>
        <v/>
      </c>
      <c r="AT412" s="93" t="str">
        <f aca="false">IF($BD412&lt;&gt;Constants!$B$6,"",$AO412)</f>
        <v/>
      </c>
      <c r="AU412" s="87" t="str">
        <f aca="false">IF($BD412&lt;&gt;Constants!$B$6,"",IF(OR($BA412&lt;$AR412,AND($BA412=$AR412,OR(AND(ISNUMBER($BB412),OR(NOT(ISNUMBER($AS412)),$BB412&lt;$AS412)),AND(OR(AND($BB412="",$AS412=""),AND(ISNUMBER($BB412),ISNUMBER($AS412),$BB412=$AS412)),$BC412&lt;$AT412)))),"-&gt;","&lt;-"))</f>
        <v/>
      </c>
      <c r="AV412" s="86" t="str">
        <f aca="false">IF(ISBLANK($C412),"",AND($AH412,OR($AI412="",$AJ412="",AND(NOT(ISBLANK($S412)),$AK412=""))))</f>
        <v/>
      </c>
      <c r="AW412" s="89" t="str">
        <f aca="false">IF($BD412&lt;&gt;Constants!$B$6,"",IF($AH412,Constants!$B$17*$AJ412,Constants!$B$18))</f>
        <v/>
      </c>
      <c r="AX412" s="91" t="str">
        <f aca="false">IF($BD412&lt;&gt;Constants!$B$6,"",Constants!$B$19*IF($AH412,$AI412,0))</f>
        <v/>
      </c>
      <c r="AY412" s="91" t="str">
        <f aca="false">IF($BD412&lt;&gt;Constants!$B$6,"",IF(AND($AH412,ISNUMBER($AK412)),Constants!$B$20*(Constants!$B$21-$AK412),0))</f>
        <v/>
      </c>
      <c r="AZ412" s="91" t="str">
        <f aca="false">IF($BD412&lt;&gt;Constants!$B$6,"",IF($AG412,0,Constants!$B$12)+IF($AF412,0,Constants!$B$13)+IF($Y412,0,Constants!$B$14))</f>
        <v/>
      </c>
      <c r="BA412" s="92" t="str">
        <f aca="false">IF($BD412&lt;&gt;Constants!$B$6,"",Constants!$B$16+SUM($AW412:$AZ412))</f>
        <v/>
      </c>
      <c r="BB412" s="91" t="str">
        <f aca="false">IF($BD412&lt;&gt;Constants!$B$6,"",IF($AH412,$AJ412,""))</f>
        <v/>
      </c>
      <c r="BC412" s="93" t="str">
        <f aca="false">IF($BD412&lt;&gt;Constants!$B$6,"",$AX412)</f>
        <v/>
      </c>
      <c r="BD412" s="87" t="str">
        <f aca="false">IF(ISBLANK($C412),"",IF($AL412,Constants!$B$9,IF(COUNTA($E412:$T412)=0,Constants!$B$8,IF(NOT($X412),Constants!$B$7,IF(OR($AM412,$AV412),Constants!$B$10,Constants!$B$6)))))</f>
        <v/>
      </c>
      <c r="BE412" s="87" t="str">
        <f aca="false">IF(ISBLANK($C412),"",IF($BD412&lt;&gt;Constants!$B$6,$BD412,Constants!$B$11))</f>
        <v/>
      </c>
      <c r="BF412" s="91" t="str">
        <f aca="false">IF($BD412&lt;&gt;Constants!$B$6,"",IF($AU412="-&gt;",$BA412,$AR412))</f>
        <v/>
      </c>
      <c r="BG412" s="91" t="str">
        <f aca="false">IF($BD412&lt;&gt;Constants!$B$6,"",IF($W412,0,Constants!$B$15))</f>
        <v/>
      </c>
      <c r="BH412" s="91" t="str">
        <f aca="false">IF(ISBLANK($C412),"",IF($BD412&lt;&gt;Constants!$B$6,$BD412,SUM($BF412:$BG412)))</f>
        <v/>
      </c>
      <c r="BI412" s="87" t="str">
        <f aca="false">IF(ISBLANK($C412),"",IF($BD412&lt;&gt;Constants!$B$6,$BD412,RANK($BH412,$BH$9:$BH$508,1)))</f>
        <v/>
      </c>
      <c r="BJ412" s="91" t="str">
        <f aca="false">IF($BD412&lt;&gt;Constants!$B$6,"",IF($AU412="-&gt;",$BB412,$AS412))</f>
        <v/>
      </c>
      <c r="BK412" s="87" t="str">
        <f aca="false">IF(ISBLANK($C412),"",IF($BD412&lt;&gt;Constants!$B$6,$BD412,IF(ISNUMBER($BJ412),RANK($BJ412,$BJ$9:$BJ$508,1),COUNT($BJ$9:$BJ$508)+1)))</f>
        <v/>
      </c>
      <c r="BL412" s="91" t="str">
        <f aca="false">IF($BD412&lt;&gt;Constants!$B$6,"",IF($AU412="-&gt;",$BC412,$AT412))</f>
        <v/>
      </c>
      <c r="BM412" s="87" t="str">
        <f aca="false">IF(ISBLANK($C412),"",IF($BD412&lt;&gt;Constants!$B$6,$BD412,IF(ISNUMBER($BL412),RANK($BL412,$BL$9:$BL$508,1),COUNT($BL$9:$BL$508)+1)))</f>
        <v/>
      </c>
      <c r="BN412" s="91" t="str">
        <f aca="false">IF($BD412&lt;&gt;Constants!$B$6,"",IF($AU412="-&gt;",$AS412,$BB412))</f>
        <v/>
      </c>
      <c r="BO412" s="87" t="str">
        <f aca="false">IF(ISBLANK($C412),"",IF($BD412&lt;&gt;Constants!$B$6,$BD412,IF(ISNUMBER($BN412),RANK($BN412,$BN$9:$BN$508,1),COUNT($BN$9:$BN$508)+1)))</f>
        <v/>
      </c>
      <c r="BP412" s="91" t="str">
        <f aca="false">IF($BD412&lt;&gt;Constants!$B$6,"",IF($AU412="-&gt;",$AT412,$BC412))</f>
        <v/>
      </c>
      <c r="BQ412" s="87" t="str">
        <f aca="false">IF(ISBLANK($C412),"",IF($BD412&lt;&gt;Constants!$B$6,$BD412,IF(ISNUMBER($BP412),RANK($BP412,$BP$9:$BP$508,1),COUNT($BP$9:$BP$508)+1)))</f>
        <v/>
      </c>
      <c r="BR412" s="87" t="str">
        <f aca="false">IF(ISBLANK($C412),"",IF($BD412&lt;&gt;Constants!$B$6,$BD412,COUNTIFS($BI$9:$BI$508,"&lt;"&amp;$BI412)+COUNTIFS($BI$9:$BI$508,$BI412,$BK$9:$BK$508,"&lt;"&amp;$BK412)+COUNTIFS($BI$9:$BI$508,$BI412,$BK$9:$BK$508,$BK412,$BM$9:$BM$508,"&lt;"&amp;$BM412)+COUNTIFS($BI$9:$BI$508,$BI412,$BK$9:$BK$508,$BK412,$BM$9:$BM$508,$BM412,$BO$9:$BO$508,"&lt;"&amp;$BO412)+COUNTIFS($BI$9:$BI$508,$BI412,$BK$9:$BK$508,$BK412,$BM$9:$BM$508,$BM412,$BO$9:$BO$508,$BO412,$BQ$9:$BQ$508,"&lt;"&amp;$BQ412)+1))</f>
        <v/>
      </c>
      <c r="BS412" s="87" t="str">
        <f aca="false">IF(ISBLANK($C412),"",IF($BD412&lt;&gt;Constants!$B$6,$BD412,$BI412-$BR412))</f>
        <v/>
      </c>
      <c r="BT412" s="94"/>
      <c r="BU412" s="95"/>
      <c r="BV412" s="95" t="str">
        <f aca="false">IF(ISBLANK($C412),"",IF($BD412&lt;&gt;Constants!$B$6,"",IF($AU412="-&gt;",2,1)))</f>
        <v/>
      </c>
      <c r="BW412" s="96" t="str">
        <f aca="false">IF(ISBLANK($C412),"",IF($BD412&lt;&gt;Constants!$B$6,"",IF($AU412="-&gt;",$AW412,$AN412)))</f>
        <v/>
      </c>
      <c r="BX412" s="96" t="str">
        <f aca="false">IF(ISBLANK($C412),"",IF($BD412&lt;&gt;Constants!$B$6,"",IF($AU412="-&gt;",$AX412,$AO412)))</f>
        <v/>
      </c>
      <c r="BY412" s="96" t="str">
        <f aca="false">IF(ISBLANK($C412),"",IF($BD412&lt;&gt;Constants!$B$6,"",IF($AU412="-&gt;",$AY412,$AP412)))</f>
        <v/>
      </c>
      <c r="BZ412" s="96" t="str">
        <f aca="false">IF(ISBLANK($C412),"",IF($BD412&lt;&gt;Constants!$B$6,"",IF($AU412="-&gt;",$AZ412,$AQ412)+$BG412))</f>
        <v/>
      </c>
      <c r="CA412" s="97" t="str">
        <f aca="false">IF(ISBLANK($C412),"",IF($BD412&lt;&gt;Constants!$B$6,$BD412,$BH412))</f>
        <v/>
      </c>
      <c r="CB412" s="98" t="str">
        <f aca="false">IF(ISBLANK($C412),"",$BE412)</f>
        <v/>
      </c>
      <c r="CC412" s="99" t="str">
        <f aca="false">IF(ISBLANK($C412),"",$BS412)</f>
        <v/>
      </c>
      <c r="CD412" s="99" t="str">
        <f aca="false">IF(ISBLANK($C412),"",$BR412)</f>
        <v/>
      </c>
      <c r="CE412" s="100" t="str">
        <f aca="false">IF(ISBLANK($C412),"",IF($CD412=Constants!$B$9,COUNTA($C$9:$C$508)+2,IF($CD412=Constants!$B$8,COUNTA($C$9:$C$508)+1,IF($CD412=Constants!$B$7,COUNTA($C$9:$C$508),$CD412))))</f>
        <v/>
      </c>
      <c r="CF412" s="9"/>
      <c r="CG412" s="101" t="n">
        <f aca="false">IF(OR(ISNUMBER($CD412),$CD412=Constants!$B$9,$CD412=Constants!$B$7,$CD412=Constants!$B$8),1,0)</f>
        <v>0</v>
      </c>
      <c r="CH412" s="101" t="n">
        <v>404</v>
      </c>
      <c r="CI412" s="101" t="str">
        <f aca="false">IF(ISBLANK($C412),"",IF(ISNUMBER($CE412),$CE412+ROW($B412)/1000,""))</f>
        <v/>
      </c>
      <c r="CJ412" s="101" t="str">
        <f aca="false">IF(ISNUMBER($CI412),RANK($CI412,$CI$9:$CI$508,1),"")</f>
        <v/>
      </c>
      <c r="CK412" s="101" t="str">
        <f aca="false">IF(ISBLANK($C412),"",$B412)</f>
        <v/>
      </c>
      <c r="CL412" s="101" t="str">
        <f aca="false">IF(ISBLANK($C412),"",$C412)</f>
        <v/>
      </c>
      <c r="CM412" s="101" t="str">
        <f aca="false">IF(ISBLANK($C412),"",$D412)</f>
        <v/>
      </c>
      <c r="CN412" s="102" t="str">
        <f aca="false">$CB412</f>
        <v/>
      </c>
      <c r="CO412" s="103" t="str">
        <f aca="false">$CA412</f>
        <v/>
      </c>
      <c r="CP412" s="101" t="str">
        <f aca="false">IF(ISBLANK($C412),"",$CD412)</f>
        <v/>
      </c>
      <c r="CQ412" s="104" t="str">
        <f aca="false">IF($CH412&gt;$CG$8,"",VLOOKUP($CH412,$CJ$9:$CP$508,7,FALSE()))</f>
        <v/>
      </c>
      <c r="CR412" s="105" t="str">
        <f aca="false">IF($CH412&gt;$CG$8,"",VLOOKUP($CH412,$CJ$9:$CP$508,2,FALSE()))</f>
        <v/>
      </c>
      <c r="CS412" s="105" t="str">
        <f aca="false">IF($CH412&gt;$CG$8,"",VLOOKUP($CH412,$CJ$9:$CP$508,3,FALSE()))</f>
        <v/>
      </c>
      <c r="CT412" s="105" t="str">
        <f aca="false">IF($CH412&gt;$CG$8,"",VLOOKUP($CH412,$CJ$9:$CP$508,4,FALSE()))</f>
        <v/>
      </c>
      <c r="CU412" s="105" t="str">
        <f aca="false">IF($CH412&gt;$CG$8,"",VLOOKUP($CH412,$CJ$9:$CP$508,5,FALSE()))</f>
        <v/>
      </c>
      <c r="CV412" s="106" t="str">
        <f aca="false">IF($CH412&gt;$CG$8,"",VLOOKUP($CH412,$CJ$9:$CP$508,6,FALSE()))</f>
        <v/>
      </c>
      <c r="CW412" s="71"/>
    </row>
    <row r="413" customFormat="false" ht="15.75" hidden="false" customHeight="false" outlineLevel="0" collapsed="false">
      <c r="A413" s="9"/>
      <c r="B413" s="72"/>
      <c r="C413" s="73"/>
      <c r="D413" s="160"/>
      <c r="E413" s="168"/>
      <c r="F413" s="162"/>
      <c r="G413" s="163"/>
      <c r="H413" s="169"/>
      <c r="I413" s="167"/>
      <c r="J413" s="80"/>
      <c r="K413" s="81"/>
      <c r="L413" s="82"/>
      <c r="M413" s="166"/>
      <c r="N413" s="167"/>
      <c r="O413" s="167"/>
      <c r="P413" s="80"/>
      <c r="Q413" s="82"/>
      <c r="R413" s="82"/>
      <c r="S413" s="166"/>
      <c r="T413" s="167"/>
      <c r="U413" s="86"/>
      <c r="V413" s="87"/>
      <c r="W413" s="87" t="str">
        <f aca="false">IF(ISBLANK($C413),"",IF(E413=Constants!$B$2,TRUE(),IF(E413=Constants!$B$3,FALSE(),TRUE())))</f>
        <v/>
      </c>
      <c r="X413" s="87" t="str">
        <f aca="false">IF(ISBLANK($C413),"",IF(F413=Constants!$B$2,TRUE(),IF(F413=Constants!$B$3,FALSE(),TRUE())))</f>
        <v/>
      </c>
      <c r="Y413" s="87" t="str">
        <f aca="false">IF(ISBLANK($C413),"",IF(G413=Constants!$B$2,TRUE(),IF(G413=Constants!$B$3,FALSE(),TRUE())))</f>
        <v/>
      </c>
      <c r="Z413" s="87" t="str">
        <f aca="false">IF(ISBLANK($C413),"",IF(H413=Constants!$B$2,TRUE(),IF(H413=Constants!$B$3,FALSE(),TRUE())))</f>
        <v/>
      </c>
      <c r="AA413" s="87" t="str">
        <f aca="false">IF(ISBLANK($C413),"",IF(I413=Constants!$B$2,TRUE(),IF(I413=Constants!$B$3,FALSE(),TRUE())))</f>
        <v/>
      </c>
      <c r="AB413" s="87" t="str">
        <f aca="false">IF(ISBLANK($C413),"",IF(J413=Constants!$B$4,TRUE(),IF(J413=Constants!$B$5,FALSE(),COUNTA(K413:M413)&gt;0)))</f>
        <v/>
      </c>
      <c r="AC413" s="88" t="str">
        <f aca="false">IF(ISBLANK($C413),"",IF(ISNUMBER(K413),IF(K413&gt;=0,K413,""),""))</f>
        <v/>
      </c>
      <c r="AD413" s="89" t="str">
        <f aca="false">IF(ISBLANK($C413),"",IF(ISNUMBER(L413),IF(L413&gt;=0,L413,""),""))</f>
        <v/>
      </c>
      <c r="AE413" s="87" t="str">
        <f aca="false">IF(ISBLANK($C413),"",IF(ISNUMBER(M413),IF(M413&gt;=0,MIN(M413,Constants!$B$22),""),""))</f>
        <v/>
      </c>
      <c r="AF413" s="87" t="str">
        <f aca="false">IF(ISBLANK($C413),"",IF(N413=Constants!$B$2,TRUE(),IF(N413=Constants!$B$3,FALSE(),TRUE())))</f>
        <v/>
      </c>
      <c r="AG413" s="87" t="str">
        <f aca="false">IF(ISBLANK($C413),"",IF(O413=Constants!$B$2,TRUE(),IF(O413=Constants!$B$3,FALSE(),TRUE())))</f>
        <v/>
      </c>
      <c r="AH413" s="87" t="str">
        <f aca="false">IF(ISBLANK($C413),"",IF(P413=Constants!$B$4,TRUE(),IF(P413=Constants!$B$5,FALSE(),COUNTA(Q413:S413)&gt;0)))</f>
        <v/>
      </c>
      <c r="AI413" s="88" t="str">
        <f aca="false">IF(ISBLANK($C413),"",IF(ISNUMBER(Q413),IF(Q413&gt;=0,Q413,""),""))</f>
        <v/>
      </c>
      <c r="AJ413" s="89" t="str">
        <f aca="false">IF(ISBLANK($C413),"",IF(ISNUMBER(R413),IF(R413&gt;=0,R413,""),""))</f>
        <v/>
      </c>
      <c r="AK413" s="87" t="str">
        <f aca="false">IF(ISBLANK($C413),"",IF(ISNUMBER(S413),IF(S413&gt;=0,MIN(S413,Constants!$B$22),""),""))</f>
        <v/>
      </c>
      <c r="AL413" s="87" t="str">
        <f aca="false">IF(ISBLANK($C413),"",IF(T413=Constants!$B$2,TRUE(),IF(T413=Constants!$B$3,FALSE(),FALSE())))</f>
        <v/>
      </c>
      <c r="AM413" s="86" t="str">
        <f aca="false">IF(ISBLANK($C413),"",AND($AB413,OR($AC413="",$AD413="",AND(NOT(ISBLANK($M413)),$AE413=""))))</f>
        <v/>
      </c>
      <c r="AN413" s="89" t="str">
        <f aca="false">IF($BD413&lt;&gt;Constants!$B$6,"",IF($AB413,Constants!$B$17*$AD413,Constants!$B$18))</f>
        <v/>
      </c>
      <c r="AO413" s="91" t="str">
        <f aca="false">IF($BD413&lt;&gt;Constants!$B$6,"",Constants!$B$19*IF($AB413,$AC413,0))</f>
        <v/>
      </c>
      <c r="AP413" s="91" t="str">
        <f aca="false">IF($BD413&lt;&gt;Constants!$B$6,"",IF(AND($AB413,ISNUMBER($AE413)),Constants!$B$20*(Constants!$B$21-$AE413),0))</f>
        <v/>
      </c>
      <c r="AQ413" s="91" t="str">
        <f aca="false">IF($BD413&lt;&gt;Constants!$B$6,"",IF($AA413,0,Constants!$B$12)+IF($Z413,0,Constants!$B$13)+IF($Y413,0,Constants!$B$14))</f>
        <v/>
      </c>
      <c r="AR413" s="92" t="str">
        <f aca="false">IF($BD413&lt;&gt;Constants!$B$6,"",Constants!$B$16+SUM($AN413:$AQ413))</f>
        <v/>
      </c>
      <c r="AS413" s="91" t="str">
        <f aca="false">IF($BD413&lt;&gt;Constants!$B$6,"",IF($AB413,$AD413,""))</f>
        <v/>
      </c>
      <c r="AT413" s="93" t="str">
        <f aca="false">IF($BD413&lt;&gt;Constants!$B$6,"",$AO413)</f>
        <v/>
      </c>
      <c r="AU413" s="87" t="str">
        <f aca="false">IF($BD413&lt;&gt;Constants!$B$6,"",IF(OR($BA413&lt;$AR413,AND($BA413=$AR413,OR(AND(ISNUMBER($BB413),OR(NOT(ISNUMBER($AS413)),$BB413&lt;$AS413)),AND(OR(AND($BB413="",$AS413=""),AND(ISNUMBER($BB413),ISNUMBER($AS413),$BB413=$AS413)),$BC413&lt;$AT413)))),"-&gt;","&lt;-"))</f>
        <v/>
      </c>
      <c r="AV413" s="86" t="str">
        <f aca="false">IF(ISBLANK($C413),"",AND($AH413,OR($AI413="",$AJ413="",AND(NOT(ISBLANK($S413)),$AK413=""))))</f>
        <v/>
      </c>
      <c r="AW413" s="89" t="str">
        <f aca="false">IF($BD413&lt;&gt;Constants!$B$6,"",IF($AH413,Constants!$B$17*$AJ413,Constants!$B$18))</f>
        <v/>
      </c>
      <c r="AX413" s="91" t="str">
        <f aca="false">IF($BD413&lt;&gt;Constants!$B$6,"",Constants!$B$19*IF($AH413,$AI413,0))</f>
        <v/>
      </c>
      <c r="AY413" s="91" t="str">
        <f aca="false">IF($BD413&lt;&gt;Constants!$B$6,"",IF(AND($AH413,ISNUMBER($AK413)),Constants!$B$20*(Constants!$B$21-$AK413),0))</f>
        <v/>
      </c>
      <c r="AZ413" s="91" t="str">
        <f aca="false">IF($BD413&lt;&gt;Constants!$B$6,"",IF($AG413,0,Constants!$B$12)+IF($AF413,0,Constants!$B$13)+IF($Y413,0,Constants!$B$14))</f>
        <v/>
      </c>
      <c r="BA413" s="92" t="str">
        <f aca="false">IF($BD413&lt;&gt;Constants!$B$6,"",Constants!$B$16+SUM($AW413:$AZ413))</f>
        <v/>
      </c>
      <c r="BB413" s="91" t="str">
        <f aca="false">IF($BD413&lt;&gt;Constants!$B$6,"",IF($AH413,$AJ413,""))</f>
        <v/>
      </c>
      <c r="BC413" s="93" t="str">
        <f aca="false">IF($BD413&lt;&gt;Constants!$B$6,"",$AX413)</f>
        <v/>
      </c>
      <c r="BD413" s="87" t="str">
        <f aca="false">IF(ISBLANK($C413),"",IF($AL413,Constants!$B$9,IF(COUNTA($E413:$T413)=0,Constants!$B$8,IF(NOT($X413),Constants!$B$7,IF(OR($AM413,$AV413),Constants!$B$10,Constants!$B$6)))))</f>
        <v/>
      </c>
      <c r="BE413" s="87" t="str">
        <f aca="false">IF(ISBLANK($C413),"",IF($BD413&lt;&gt;Constants!$B$6,$BD413,Constants!$B$11))</f>
        <v/>
      </c>
      <c r="BF413" s="91" t="str">
        <f aca="false">IF($BD413&lt;&gt;Constants!$B$6,"",IF($AU413="-&gt;",$BA413,$AR413))</f>
        <v/>
      </c>
      <c r="BG413" s="91" t="str">
        <f aca="false">IF($BD413&lt;&gt;Constants!$B$6,"",IF($W413,0,Constants!$B$15))</f>
        <v/>
      </c>
      <c r="BH413" s="91" t="str">
        <f aca="false">IF(ISBLANK($C413),"",IF($BD413&lt;&gt;Constants!$B$6,$BD413,SUM($BF413:$BG413)))</f>
        <v/>
      </c>
      <c r="BI413" s="87" t="str">
        <f aca="false">IF(ISBLANK($C413),"",IF($BD413&lt;&gt;Constants!$B$6,$BD413,RANK($BH413,$BH$9:$BH$508,1)))</f>
        <v/>
      </c>
      <c r="BJ413" s="91" t="str">
        <f aca="false">IF($BD413&lt;&gt;Constants!$B$6,"",IF($AU413="-&gt;",$BB413,$AS413))</f>
        <v/>
      </c>
      <c r="BK413" s="87" t="str">
        <f aca="false">IF(ISBLANK($C413),"",IF($BD413&lt;&gt;Constants!$B$6,$BD413,IF(ISNUMBER($BJ413),RANK($BJ413,$BJ$9:$BJ$508,1),COUNT($BJ$9:$BJ$508)+1)))</f>
        <v/>
      </c>
      <c r="BL413" s="91" t="str">
        <f aca="false">IF($BD413&lt;&gt;Constants!$B$6,"",IF($AU413="-&gt;",$BC413,$AT413))</f>
        <v/>
      </c>
      <c r="BM413" s="87" t="str">
        <f aca="false">IF(ISBLANK($C413),"",IF($BD413&lt;&gt;Constants!$B$6,$BD413,IF(ISNUMBER($BL413),RANK($BL413,$BL$9:$BL$508,1),COUNT($BL$9:$BL$508)+1)))</f>
        <v/>
      </c>
      <c r="BN413" s="91" t="str">
        <f aca="false">IF($BD413&lt;&gt;Constants!$B$6,"",IF($AU413="-&gt;",$AS413,$BB413))</f>
        <v/>
      </c>
      <c r="BO413" s="87" t="str">
        <f aca="false">IF(ISBLANK($C413),"",IF($BD413&lt;&gt;Constants!$B$6,$BD413,IF(ISNUMBER($BN413),RANK($BN413,$BN$9:$BN$508,1),COUNT($BN$9:$BN$508)+1)))</f>
        <v/>
      </c>
      <c r="BP413" s="91" t="str">
        <f aca="false">IF($BD413&lt;&gt;Constants!$B$6,"",IF($AU413="-&gt;",$AT413,$BC413))</f>
        <v/>
      </c>
      <c r="BQ413" s="87" t="str">
        <f aca="false">IF(ISBLANK($C413),"",IF($BD413&lt;&gt;Constants!$B$6,$BD413,IF(ISNUMBER($BP413),RANK($BP413,$BP$9:$BP$508,1),COUNT($BP$9:$BP$508)+1)))</f>
        <v/>
      </c>
      <c r="BR413" s="87" t="str">
        <f aca="false">IF(ISBLANK($C413),"",IF($BD413&lt;&gt;Constants!$B$6,$BD413,COUNTIFS($BI$9:$BI$508,"&lt;"&amp;$BI413)+COUNTIFS($BI$9:$BI$508,$BI413,$BK$9:$BK$508,"&lt;"&amp;$BK413)+COUNTIFS($BI$9:$BI$508,$BI413,$BK$9:$BK$508,$BK413,$BM$9:$BM$508,"&lt;"&amp;$BM413)+COUNTIFS($BI$9:$BI$508,$BI413,$BK$9:$BK$508,$BK413,$BM$9:$BM$508,$BM413,$BO$9:$BO$508,"&lt;"&amp;$BO413)+COUNTIFS($BI$9:$BI$508,$BI413,$BK$9:$BK$508,$BK413,$BM$9:$BM$508,$BM413,$BO$9:$BO$508,$BO413,$BQ$9:$BQ$508,"&lt;"&amp;$BQ413)+1))</f>
        <v/>
      </c>
      <c r="BS413" s="87" t="str">
        <f aca="false">IF(ISBLANK($C413),"",IF($BD413&lt;&gt;Constants!$B$6,$BD413,$BI413-$BR413))</f>
        <v/>
      </c>
      <c r="BT413" s="94"/>
      <c r="BU413" s="95"/>
      <c r="BV413" s="95" t="str">
        <f aca="false">IF(ISBLANK($C413),"",IF($BD413&lt;&gt;Constants!$B$6,"",IF($AU413="-&gt;",2,1)))</f>
        <v/>
      </c>
      <c r="BW413" s="96" t="str">
        <f aca="false">IF(ISBLANK($C413),"",IF($BD413&lt;&gt;Constants!$B$6,"",IF($AU413="-&gt;",$AW413,$AN413)))</f>
        <v/>
      </c>
      <c r="BX413" s="96" t="str">
        <f aca="false">IF(ISBLANK($C413),"",IF($BD413&lt;&gt;Constants!$B$6,"",IF($AU413="-&gt;",$AX413,$AO413)))</f>
        <v/>
      </c>
      <c r="BY413" s="96" t="str">
        <f aca="false">IF(ISBLANK($C413),"",IF($BD413&lt;&gt;Constants!$B$6,"",IF($AU413="-&gt;",$AY413,$AP413)))</f>
        <v/>
      </c>
      <c r="BZ413" s="96" t="str">
        <f aca="false">IF(ISBLANK($C413),"",IF($BD413&lt;&gt;Constants!$B$6,"",IF($AU413="-&gt;",$AZ413,$AQ413)+$BG413))</f>
        <v/>
      </c>
      <c r="CA413" s="97" t="str">
        <f aca="false">IF(ISBLANK($C413),"",IF($BD413&lt;&gt;Constants!$B$6,$BD413,$BH413))</f>
        <v/>
      </c>
      <c r="CB413" s="98" t="str">
        <f aca="false">IF(ISBLANK($C413),"",$BE413)</f>
        <v/>
      </c>
      <c r="CC413" s="99" t="str">
        <f aca="false">IF(ISBLANK($C413),"",$BS413)</f>
        <v/>
      </c>
      <c r="CD413" s="99" t="str">
        <f aca="false">IF(ISBLANK($C413),"",$BR413)</f>
        <v/>
      </c>
      <c r="CE413" s="100" t="str">
        <f aca="false">IF(ISBLANK($C413),"",IF($CD413=Constants!$B$9,COUNTA($C$9:$C$508)+2,IF($CD413=Constants!$B$8,COUNTA($C$9:$C$508)+1,IF($CD413=Constants!$B$7,COUNTA($C$9:$C$508),$CD413))))</f>
        <v/>
      </c>
      <c r="CF413" s="9"/>
      <c r="CG413" s="101" t="n">
        <f aca="false">IF(OR(ISNUMBER($CD413),$CD413=Constants!$B$9,$CD413=Constants!$B$7,$CD413=Constants!$B$8),1,0)</f>
        <v>0</v>
      </c>
      <c r="CH413" s="101" t="n">
        <v>405</v>
      </c>
      <c r="CI413" s="101" t="str">
        <f aca="false">IF(ISBLANK($C413),"",IF(ISNUMBER($CE413),$CE413+ROW($B413)/1000,""))</f>
        <v/>
      </c>
      <c r="CJ413" s="101" t="str">
        <f aca="false">IF(ISNUMBER($CI413),RANK($CI413,$CI$9:$CI$508,1),"")</f>
        <v/>
      </c>
      <c r="CK413" s="101" t="str">
        <f aca="false">IF(ISBLANK($C413),"",$B413)</f>
        <v/>
      </c>
      <c r="CL413" s="101" t="str">
        <f aca="false">IF(ISBLANK($C413),"",$C413)</f>
        <v/>
      </c>
      <c r="CM413" s="101" t="str">
        <f aca="false">IF(ISBLANK($C413),"",$D413)</f>
        <v/>
      </c>
      <c r="CN413" s="102" t="str">
        <f aca="false">$CB413</f>
        <v/>
      </c>
      <c r="CO413" s="103" t="str">
        <f aca="false">$CA413</f>
        <v/>
      </c>
      <c r="CP413" s="101" t="str">
        <f aca="false">IF(ISBLANK($C413),"",$CD413)</f>
        <v/>
      </c>
      <c r="CQ413" s="104" t="str">
        <f aca="false">IF($CH413&gt;$CG$8,"",VLOOKUP($CH413,$CJ$9:$CP$508,7,FALSE()))</f>
        <v/>
      </c>
      <c r="CR413" s="105" t="str">
        <f aca="false">IF($CH413&gt;$CG$8,"",VLOOKUP($CH413,$CJ$9:$CP$508,2,FALSE()))</f>
        <v/>
      </c>
      <c r="CS413" s="105" t="str">
        <f aca="false">IF($CH413&gt;$CG$8,"",VLOOKUP($CH413,$CJ$9:$CP$508,3,FALSE()))</f>
        <v/>
      </c>
      <c r="CT413" s="105" t="str">
        <f aca="false">IF($CH413&gt;$CG$8,"",VLOOKUP($CH413,$CJ$9:$CP$508,4,FALSE()))</f>
        <v/>
      </c>
      <c r="CU413" s="105" t="str">
        <f aca="false">IF($CH413&gt;$CG$8,"",VLOOKUP($CH413,$CJ$9:$CP$508,5,FALSE()))</f>
        <v/>
      </c>
      <c r="CV413" s="106" t="str">
        <f aca="false">IF($CH413&gt;$CG$8,"",VLOOKUP($CH413,$CJ$9:$CP$508,6,FALSE()))</f>
        <v/>
      </c>
      <c r="CW413" s="71"/>
    </row>
    <row r="414" customFormat="false" ht="15.75" hidden="false" customHeight="false" outlineLevel="0" collapsed="false">
      <c r="A414" s="9"/>
      <c r="B414" s="150"/>
      <c r="C414" s="151"/>
      <c r="D414" s="152"/>
      <c r="E414" s="170"/>
      <c r="F414" s="154"/>
      <c r="G414" s="155"/>
      <c r="H414" s="171"/>
      <c r="I414" s="159"/>
      <c r="J414" s="120"/>
      <c r="K414" s="121"/>
      <c r="L414" s="122"/>
      <c r="M414" s="158"/>
      <c r="N414" s="159"/>
      <c r="O414" s="159"/>
      <c r="P414" s="120"/>
      <c r="Q414" s="122"/>
      <c r="R414" s="122"/>
      <c r="S414" s="158"/>
      <c r="T414" s="159"/>
      <c r="U414" s="126"/>
      <c r="V414" s="127"/>
      <c r="W414" s="127" t="str">
        <f aca="false">IF(ISBLANK($C414),"",IF(E414=Constants!$B$2,TRUE(),IF(E414=Constants!$B$3,FALSE(),TRUE())))</f>
        <v/>
      </c>
      <c r="X414" s="127" t="str">
        <f aca="false">IF(ISBLANK($C414),"",IF(F414=Constants!$B$2,TRUE(),IF(F414=Constants!$B$3,FALSE(),TRUE())))</f>
        <v/>
      </c>
      <c r="Y414" s="127" t="str">
        <f aca="false">IF(ISBLANK($C414),"",IF(G414=Constants!$B$2,TRUE(),IF(G414=Constants!$B$3,FALSE(),TRUE())))</f>
        <v/>
      </c>
      <c r="Z414" s="127" t="str">
        <f aca="false">IF(ISBLANK($C414),"",IF(H414=Constants!$B$2,TRUE(),IF(H414=Constants!$B$3,FALSE(),TRUE())))</f>
        <v/>
      </c>
      <c r="AA414" s="127" t="str">
        <f aca="false">IF(ISBLANK($C414),"",IF(I414=Constants!$B$2,TRUE(),IF(I414=Constants!$B$3,FALSE(),TRUE())))</f>
        <v/>
      </c>
      <c r="AB414" s="127" t="str">
        <f aca="false">IF(ISBLANK($C414),"",IF(J414=Constants!$B$4,TRUE(),IF(J414=Constants!$B$5,FALSE(),COUNTA(K414:M414)&gt;0)))</f>
        <v/>
      </c>
      <c r="AC414" s="128" t="str">
        <f aca="false">IF(ISBLANK($C414),"",IF(ISNUMBER(K414),IF(K414&gt;=0,K414,""),""))</f>
        <v/>
      </c>
      <c r="AD414" s="129" t="str">
        <f aca="false">IF(ISBLANK($C414),"",IF(ISNUMBER(L414),IF(L414&gt;=0,L414,""),""))</f>
        <v/>
      </c>
      <c r="AE414" s="127" t="str">
        <f aca="false">IF(ISBLANK($C414),"",IF(ISNUMBER(M414),IF(M414&gt;=0,MIN(M414,Constants!$B$22),""),""))</f>
        <v/>
      </c>
      <c r="AF414" s="127" t="str">
        <f aca="false">IF(ISBLANK($C414),"",IF(N414=Constants!$B$2,TRUE(),IF(N414=Constants!$B$3,FALSE(),TRUE())))</f>
        <v/>
      </c>
      <c r="AG414" s="127" t="str">
        <f aca="false">IF(ISBLANK($C414),"",IF(O414=Constants!$B$2,TRUE(),IF(O414=Constants!$B$3,FALSE(),TRUE())))</f>
        <v/>
      </c>
      <c r="AH414" s="127" t="str">
        <f aca="false">IF(ISBLANK($C414),"",IF(P414=Constants!$B$4,TRUE(),IF(P414=Constants!$B$5,FALSE(),COUNTA(Q414:S414)&gt;0)))</f>
        <v/>
      </c>
      <c r="AI414" s="128" t="str">
        <f aca="false">IF(ISBLANK($C414),"",IF(ISNUMBER(Q414),IF(Q414&gt;=0,Q414,""),""))</f>
        <v/>
      </c>
      <c r="AJ414" s="129" t="str">
        <f aca="false">IF(ISBLANK($C414),"",IF(ISNUMBER(R414),IF(R414&gt;=0,R414,""),""))</f>
        <v/>
      </c>
      <c r="AK414" s="127" t="str">
        <f aca="false">IF(ISBLANK($C414),"",IF(ISNUMBER(S414),IF(S414&gt;=0,MIN(S414,Constants!$B$22),""),""))</f>
        <v/>
      </c>
      <c r="AL414" s="127" t="str">
        <f aca="false">IF(ISBLANK($C414),"",IF(T414=Constants!$B$2,TRUE(),IF(T414=Constants!$B$3,FALSE(),FALSE())))</f>
        <v/>
      </c>
      <c r="AM414" s="126" t="str">
        <f aca="false">IF(ISBLANK($C414),"",AND($AB414,OR($AC414="",$AD414="",AND(NOT(ISBLANK($M414)),$AE414=""))))</f>
        <v/>
      </c>
      <c r="AN414" s="129" t="str">
        <f aca="false">IF($BD414&lt;&gt;Constants!$B$6,"",IF($AB414,Constants!$B$17*$AD414,Constants!$B$18))</f>
        <v/>
      </c>
      <c r="AO414" s="130" t="str">
        <f aca="false">IF($BD414&lt;&gt;Constants!$B$6,"",Constants!$B$19*IF($AB414,$AC414,0))</f>
        <v/>
      </c>
      <c r="AP414" s="130" t="str">
        <f aca="false">IF($BD414&lt;&gt;Constants!$B$6,"",IF(AND($AB414,ISNUMBER($AE414)),Constants!$B$20*(Constants!$B$21-$AE414),0))</f>
        <v/>
      </c>
      <c r="AQ414" s="130" t="str">
        <f aca="false">IF($BD414&lt;&gt;Constants!$B$6,"",IF($AA414,0,Constants!$B$12)+IF($Z414,0,Constants!$B$13)+IF($Y414,0,Constants!$B$14))</f>
        <v/>
      </c>
      <c r="AR414" s="131" t="str">
        <f aca="false">IF($BD414&lt;&gt;Constants!$B$6,"",Constants!$B$16+SUM($AN414:$AQ414))</f>
        <v/>
      </c>
      <c r="AS414" s="130" t="str">
        <f aca="false">IF($BD414&lt;&gt;Constants!$B$6,"",IF($AB414,$AD414,""))</f>
        <v/>
      </c>
      <c r="AT414" s="132" t="str">
        <f aca="false">IF($BD414&lt;&gt;Constants!$B$6,"",$AO414)</f>
        <v/>
      </c>
      <c r="AU414" s="127" t="str">
        <f aca="false">IF($BD414&lt;&gt;Constants!$B$6,"",IF(OR($BA414&lt;$AR414,AND($BA414=$AR414,OR(AND(ISNUMBER($BB414),OR(NOT(ISNUMBER($AS414)),$BB414&lt;$AS414)),AND(OR(AND($BB414="",$AS414=""),AND(ISNUMBER($BB414),ISNUMBER($AS414),$BB414=$AS414)),$BC414&lt;$AT414)))),"-&gt;","&lt;-"))</f>
        <v/>
      </c>
      <c r="AV414" s="126" t="str">
        <f aca="false">IF(ISBLANK($C414),"",AND($AH414,OR($AI414="",$AJ414="",AND(NOT(ISBLANK($S414)),$AK414=""))))</f>
        <v/>
      </c>
      <c r="AW414" s="129" t="str">
        <f aca="false">IF($BD414&lt;&gt;Constants!$B$6,"",IF($AH414,Constants!$B$17*$AJ414,Constants!$B$18))</f>
        <v/>
      </c>
      <c r="AX414" s="130" t="str">
        <f aca="false">IF($BD414&lt;&gt;Constants!$B$6,"",Constants!$B$19*IF($AH414,$AI414,0))</f>
        <v/>
      </c>
      <c r="AY414" s="130" t="str">
        <f aca="false">IF($BD414&lt;&gt;Constants!$B$6,"",IF(AND($AH414,ISNUMBER($AK414)),Constants!$B$20*(Constants!$B$21-$AK414),0))</f>
        <v/>
      </c>
      <c r="AZ414" s="130" t="str">
        <f aca="false">IF($BD414&lt;&gt;Constants!$B$6,"",IF($AG414,0,Constants!$B$12)+IF($AF414,0,Constants!$B$13)+IF($Y414,0,Constants!$B$14))</f>
        <v/>
      </c>
      <c r="BA414" s="131" t="str">
        <f aca="false">IF($BD414&lt;&gt;Constants!$B$6,"",Constants!$B$16+SUM($AW414:$AZ414))</f>
        <v/>
      </c>
      <c r="BB414" s="130" t="str">
        <f aca="false">IF($BD414&lt;&gt;Constants!$B$6,"",IF($AH414,$AJ414,""))</f>
        <v/>
      </c>
      <c r="BC414" s="132" t="str">
        <f aca="false">IF($BD414&lt;&gt;Constants!$B$6,"",$AX414)</f>
        <v/>
      </c>
      <c r="BD414" s="127" t="str">
        <f aca="false">IF(ISBLANK($C414),"",IF($AL414,Constants!$B$9,IF(COUNTA($E414:$T414)=0,Constants!$B$8,IF(NOT($X414),Constants!$B$7,IF(OR($AM414,$AV414),Constants!$B$10,Constants!$B$6)))))</f>
        <v/>
      </c>
      <c r="BE414" s="127" t="str">
        <f aca="false">IF(ISBLANK($C414),"",IF($BD414&lt;&gt;Constants!$B$6,$BD414,Constants!$B$11))</f>
        <v/>
      </c>
      <c r="BF414" s="130" t="str">
        <f aca="false">IF($BD414&lt;&gt;Constants!$B$6,"",IF($AU414="-&gt;",$BA414,$AR414))</f>
        <v/>
      </c>
      <c r="BG414" s="130" t="str">
        <f aca="false">IF($BD414&lt;&gt;Constants!$B$6,"",IF($W414,0,Constants!$B$15))</f>
        <v/>
      </c>
      <c r="BH414" s="130" t="str">
        <f aca="false">IF(ISBLANK($C414),"",IF($BD414&lt;&gt;Constants!$B$6,$BD414,SUM($BF414:$BG414)))</f>
        <v/>
      </c>
      <c r="BI414" s="127" t="str">
        <f aca="false">IF(ISBLANK($C414),"",IF($BD414&lt;&gt;Constants!$B$6,$BD414,RANK($BH414,$BH$9:$BH$508,1)))</f>
        <v/>
      </c>
      <c r="BJ414" s="130" t="str">
        <f aca="false">IF($BD414&lt;&gt;Constants!$B$6,"",IF($AU414="-&gt;",$BB414,$AS414))</f>
        <v/>
      </c>
      <c r="BK414" s="127" t="str">
        <f aca="false">IF(ISBLANK($C414),"",IF($BD414&lt;&gt;Constants!$B$6,$BD414,IF(ISNUMBER($BJ414),RANK($BJ414,$BJ$9:$BJ$508,1),COUNT($BJ$9:$BJ$508)+1)))</f>
        <v/>
      </c>
      <c r="BL414" s="130" t="str">
        <f aca="false">IF($BD414&lt;&gt;Constants!$B$6,"",IF($AU414="-&gt;",$BC414,$AT414))</f>
        <v/>
      </c>
      <c r="BM414" s="127" t="str">
        <f aca="false">IF(ISBLANK($C414),"",IF($BD414&lt;&gt;Constants!$B$6,$BD414,IF(ISNUMBER($BL414),RANK($BL414,$BL$9:$BL$508,1),COUNT($BL$9:$BL$508)+1)))</f>
        <v/>
      </c>
      <c r="BN414" s="130" t="str">
        <f aca="false">IF($BD414&lt;&gt;Constants!$B$6,"",IF($AU414="-&gt;",$AS414,$BB414))</f>
        <v/>
      </c>
      <c r="BO414" s="127" t="str">
        <f aca="false">IF(ISBLANK($C414),"",IF($BD414&lt;&gt;Constants!$B$6,$BD414,IF(ISNUMBER($BN414),RANK($BN414,$BN$9:$BN$508,1),COUNT($BN$9:$BN$508)+1)))</f>
        <v/>
      </c>
      <c r="BP414" s="130" t="str">
        <f aca="false">IF($BD414&lt;&gt;Constants!$B$6,"",IF($AU414="-&gt;",$AT414,$BC414))</f>
        <v/>
      </c>
      <c r="BQ414" s="127" t="str">
        <f aca="false">IF(ISBLANK($C414),"",IF($BD414&lt;&gt;Constants!$B$6,$BD414,IF(ISNUMBER($BP414),RANK($BP414,$BP$9:$BP$508,1),COUNT($BP$9:$BP$508)+1)))</f>
        <v/>
      </c>
      <c r="BR414" s="127" t="str">
        <f aca="false">IF(ISBLANK($C414),"",IF($BD414&lt;&gt;Constants!$B$6,$BD414,COUNTIFS($BI$9:$BI$508,"&lt;"&amp;$BI414)+COUNTIFS($BI$9:$BI$508,$BI414,$BK$9:$BK$508,"&lt;"&amp;$BK414)+COUNTIFS($BI$9:$BI$508,$BI414,$BK$9:$BK$508,$BK414,$BM$9:$BM$508,"&lt;"&amp;$BM414)+COUNTIFS($BI$9:$BI$508,$BI414,$BK$9:$BK$508,$BK414,$BM$9:$BM$508,$BM414,$BO$9:$BO$508,"&lt;"&amp;$BO414)+COUNTIFS($BI$9:$BI$508,$BI414,$BK$9:$BK$508,$BK414,$BM$9:$BM$508,$BM414,$BO$9:$BO$508,$BO414,$BQ$9:$BQ$508,"&lt;"&amp;$BQ414)+1))</f>
        <v/>
      </c>
      <c r="BS414" s="127" t="str">
        <f aca="false">IF(ISBLANK($C414),"",IF($BD414&lt;&gt;Constants!$B$6,$BD414,$BI414-$BR414))</f>
        <v/>
      </c>
      <c r="BT414" s="133"/>
      <c r="BU414" s="134"/>
      <c r="BV414" s="134" t="str">
        <f aca="false">IF(ISBLANK($C414),"",IF($BD414&lt;&gt;Constants!$B$6,"",IF($AU414="-&gt;",2,1)))</f>
        <v/>
      </c>
      <c r="BW414" s="135" t="str">
        <f aca="false">IF(ISBLANK($C414),"",IF($BD414&lt;&gt;Constants!$B$6,"",IF($AU414="-&gt;",$AW414,$AN414)))</f>
        <v/>
      </c>
      <c r="BX414" s="135" t="str">
        <f aca="false">IF(ISBLANK($C414),"",IF($BD414&lt;&gt;Constants!$B$6,"",IF($AU414="-&gt;",$AX414,$AO414)))</f>
        <v/>
      </c>
      <c r="BY414" s="135" t="str">
        <f aca="false">IF(ISBLANK($C414),"",IF($BD414&lt;&gt;Constants!$B$6,"",IF($AU414="-&gt;",$AY414,$AP414)))</f>
        <v/>
      </c>
      <c r="BZ414" s="135" t="str">
        <f aca="false">IF(ISBLANK($C414),"",IF($BD414&lt;&gt;Constants!$B$6,"",IF($AU414="-&gt;",$AZ414,$AQ414)+$BG414))</f>
        <v/>
      </c>
      <c r="CA414" s="136" t="str">
        <f aca="false">IF(ISBLANK($C414),"",IF($BD414&lt;&gt;Constants!$B$6,$BD414,$BH414))</f>
        <v/>
      </c>
      <c r="CB414" s="137" t="str">
        <f aca="false">IF(ISBLANK($C414),"",$BE414)</f>
        <v/>
      </c>
      <c r="CC414" s="138" t="str">
        <f aca="false">IF(ISBLANK($C414),"",$BS414)</f>
        <v/>
      </c>
      <c r="CD414" s="138" t="str">
        <f aca="false">IF(ISBLANK($C414),"",$BR414)</f>
        <v/>
      </c>
      <c r="CE414" s="139" t="str">
        <f aca="false">IF(ISBLANK($C414),"",IF($CD414=Constants!$B$9,COUNTA($C$9:$C$508)+2,IF($CD414=Constants!$B$8,COUNTA($C$9:$C$508)+1,IF($CD414=Constants!$B$7,COUNTA($C$9:$C$508),$CD414))))</f>
        <v/>
      </c>
      <c r="CF414" s="9"/>
      <c r="CG414" s="140" t="n">
        <f aca="false">IF(OR(ISNUMBER($CD414),$CD414=Constants!$B$9,$CD414=Constants!$B$7,$CD414=Constants!$B$8),1,0)</f>
        <v>0</v>
      </c>
      <c r="CH414" s="140" t="n">
        <v>406</v>
      </c>
      <c r="CI414" s="140" t="str">
        <f aca="false">IF(ISBLANK($C414),"",IF(ISNUMBER($CE414),$CE414+ROW($B414)/1000,""))</f>
        <v/>
      </c>
      <c r="CJ414" s="140" t="str">
        <f aca="false">IF(ISNUMBER($CI414),RANK($CI414,$CI$9:$CI$508,1),"")</f>
        <v/>
      </c>
      <c r="CK414" s="140" t="str">
        <f aca="false">IF(ISBLANK($C414),"",$B414)</f>
        <v/>
      </c>
      <c r="CL414" s="140" t="str">
        <f aca="false">IF(ISBLANK($C414),"",$C414)</f>
        <v/>
      </c>
      <c r="CM414" s="140" t="str">
        <f aca="false">IF(ISBLANK($C414),"",$D414)</f>
        <v/>
      </c>
      <c r="CN414" s="141" t="str">
        <f aca="false">$CB414</f>
        <v/>
      </c>
      <c r="CO414" s="142" t="str">
        <f aca="false">$CA414</f>
        <v/>
      </c>
      <c r="CP414" s="140" t="str">
        <f aca="false">IF(ISBLANK($C414),"",$CD414)</f>
        <v/>
      </c>
      <c r="CQ414" s="143" t="str">
        <f aca="false">IF($CH414&gt;$CG$8,"",VLOOKUP($CH414,$CJ$9:$CP$508,7,FALSE()))</f>
        <v/>
      </c>
      <c r="CR414" s="144" t="str">
        <f aca="false">IF($CH414&gt;$CG$8,"",VLOOKUP($CH414,$CJ$9:$CP$508,2,FALSE()))</f>
        <v/>
      </c>
      <c r="CS414" s="144" t="str">
        <f aca="false">IF($CH414&gt;$CG$8,"",VLOOKUP($CH414,$CJ$9:$CP$508,3,FALSE()))</f>
        <v/>
      </c>
      <c r="CT414" s="144" t="str">
        <f aca="false">IF($CH414&gt;$CG$8,"",VLOOKUP($CH414,$CJ$9:$CP$508,4,FALSE()))</f>
        <v/>
      </c>
      <c r="CU414" s="144" t="str">
        <f aca="false">IF($CH414&gt;$CG$8,"",VLOOKUP($CH414,$CJ$9:$CP$508,5,FALSE()))</f>
        <v/>
      </c>
      <c r="CV414" s="145" t="str">
        <f aca="false">IF($CH414&gt;$CG$8,"",VLOOKUP($CH414,$CJ$9:$CP$508,6,FALSE()))</f>
        <v/>
      </c>
      <c r="CW414" s="71"/>
    </row>
    <row r="415" customFormat="false" ht="15.75" hidden="false" customHeight="false" outlineLevel="0" collapsed="false">
      <c r="A415" s="9"/>
      <c r="B415" s="150"/>
      <c r="C415" s="151"/>
      <c r="D415" s="152"/>
      <c r="E415" s="170"/>
      <c r="F415" s="154"/>
      <c r="G415" s="155"/>
      <c r="H415" s="171"/>
      <c r="I415" s="159"/>
      <c r="J415" s="120"/>
      <c r="K415" s="121"/>
      <c r="L415" s="122"/>
      <c r="M415" s="158"/>
      <c r="N415" s="159"/>
      <c r="O415" s="159"/>
      <c r="P415" s="120"/>
      <c r="Q415" s="122"/>
      <c r="R415" s="122"/>
      <c r="S415" s="158"/>
      <c r="T415" s="159"/>
      <c r="U415" s="126"/>
      <c r="V415" s="127"/>
      <c r="W415" s="127" t="str">
        <f aca="false">IF(ISBLANK($C415),"",IF(E415=Constants!$B$2,TRUE(),IF(E415=Constants!$B$3,FALSE(),TRUE())))</f>
        <v/>
      </c>
      <c r="X415" s="127" t="str">
        <f aca="false">IF(ISBLANK($C415),"",IF(F415=Constants!$B$2,TRUE(),IF(F415=Constants!$B$3,FALSE(),TRUE())))</f>
        <v/>
      </c>
      <c r="Y415" s="127" t="str">
        <f aca="false">IF(ISBLANK($C415),"",IF(G415=Constants!$B$2,TRUE(),IF(G415=Constants!$B$3,FALSE(),TRUE())))</f>
        <v/>
      </c>
      <c r="Z415" s="127" t="str">
        <f aca="false">IF(ISBLANK($C415),"",IF(H415=Constants!$B$2,TRUE(),IF(H415=Constants!$B$3,FALSE(),TRUE())))</f>
        <v/>
      </c>
      <c r="AA415" s="127" t="str">
        <f aca="false">IF(ISBLANK($C415),"",IF(I415=Constants!$B$2,TRUE(),IF(I415=Constants!$B$3,FALSE(),TRUE())))</f>
        <v/>
      </c>
      <c r="AB415" s="127" t="str">
        <f aca="false">IF(ISBLANK($C415),"",IF(J415=Constants!$B$4,TRUE(),IF(J415=Constants!$B$5,FALSE(),COUNTA(K415:M415)&gt;0)))</f>
        <v/>
      </c>
      <c r="AC415" s="128" t="str">
        <f aca="false">IF(ISBLANK($C415),"",IF(ISNUMBER(K415),IF(K415&gt;=0,K415,""),""))</f>
        <v/>
      </c>
      <c r="AD415" s="129" t="str">
        <f aca="false">IF(ISBLANK($C415),"",IF(ISNUMBER(L415),IF(L415&gt;=0,L415,""),""))</f>
        <v/>
      </c>
      <c r="AE415" s="127" t="str">
        <f aca="false">IF(ISBLANK($C415),"",IF(ISNUMBER(M415),IF(M415&gt;=0,MIN(M415,Constants!$B$22),""),""))</f>
        <v/>
      </c>
      <c r="AF415" s="127" t="str">
        <f aca="false">IF(ISBLANK($C415),"",IF(N415=Constants!$B$2,TRUE(),IF(N415=Constants!$B$3,FALSE(),TRUE())))</f>
        <v/>
      </c>
      <c r="AG415" s="127" t="str">
        <f aca="false">IF(ISBLANK($C415),"",IF(O415=Constants!$B$2,TRUE(),IF(O415=Constants!$B$3,FALSE(),TRUE())))</f>
        <v/>
      </c>
      <c r="AH415" s="127" t="str">
        <f aca="false">IF(ISBLANK($C415),"",IF(P415=Constants!$B$4,TRUE(),IF(P415=Constants!$B$5,FALSE(),COUNTA(Q415:S415)&gt;0)))</f>
        <v/>
      </c>
      <c r="AI415" s="128" t="str">
        <f aca="false">IF(ISBLANK($C415),"",IF(ISNUMBER(Q415),IF(Q415&gt;=0,Q415,""),""))</f>
        <v/>
      </c>
      <c r="AJ415" s="129" t="str">
        <f aca="false">IF(ISBLANK($C415),"",IF(ISNUMBER(R415),IF(R415&gt;=0,R415,""),""))</f>
        <v/>
      </c>
      <c r="AK415" s="127" t="str">
        <f aca="false">IF(ISBLANK($C415),"",IF(ISNUMBER(S415),IF(S415&gt;=0,MIN(S415,Constants!$B$22),""),""))</f>
        <v/>
      </c>
      <c r="AL415" s="127" t="str">
        <f aca="false">IF(ISBLANK($C415),"",IF(T415=Constants!$B$2,TRUE(),IF(T415=Constants!$B$3,FALSE(),FALSE())))</f>
        <v/>
      </c>
      <c r="AM415" s="126" t="str">
        <f aca="false">IF(ISBLANK($C415),"",AND($AB415,OR($AC415="",$AD415="",AND(NOT(ISBLANK($M415)),$AE415=""))))</f>
        <v/>
      </c>
      <c r="AN415" s="129" t="str">
        <f aca="false">IF($BD415&lt;&gt;Constants!$B$6,"",IF($AB415,Constants!$B$17*$AD415,Constants!$B$18))</f>
        <v/>
      </c>
      <c r="AO415" s="130" t="str">
        <f aca="false">IF($BD415&lt;&gt;Constants!$B$6,"",Constants!$B$19*IF($AB415,$AC415,0))</f>
        <v/>
      </c>
      <c r="AP415" s="130" t="str">
        <f aca="false">IF($BD415&lt;&gt;Constants!$B$6,"",IF(AND($AB415,ISNUMBER($AE415)),Constants!$B$20*(Constants!$B$21-$AE415),0))</f>
        <v/>
      </c>
      <c r="AQ415" s="130" t="str">
        <f aca="false">IF($BD415&lt;&gt;Constants!$B$6,"",IF($AA415,0,Constants!$B$12)+IF($Z415,0,Constants!$B$13)+IF($Y415,0,Constants!$B$14))</f>
        <v/>
      </c>
      <c r="AR415" s="131" t="str">
        <f aca="false">IF($BD415&lt;&gt;Constants!$B$6,"",Constants!$B$16+SUM($AN415:$AQ415))</f>
        <v/>
      </c>
      <c r="AS415" s="130" t="str">
        <f aca="false">IF($BD415&lt;&gt;Constants!$B$6,"",IF($AB415,$AD415,""))</f>
        <v/>
      </c>
      <c r="AT415" s="132" t="str">
        <f aca="false">IF($BD415&lt;&gt;Constants!$B$6,"",$AO415)</f>
        <v/>
      </c>
      <c r="AU415" s="127" t="str">
        <f aca="false">IF($BD415&lt;&gt;Constants!$B$6,"",IF(OR($BA415&lt;$AR415,AND($BA415=$AR415,OR(AND(ISNUMBER($BB415),OR(NOT(ISNUMBER($AS415)),$BB415&lt;$AS415)),AND(OR(AND($BB415="",$AS415=""),AND(ISNUMBER($BB415),ISNUMBER($AS415),$BB415=$AS415)),$BC415&lt;$AT415)))),"-&gt;","&lt;-"))</f>
        <v/>
      </c>
      <c r="AV415" s="126" t="str">
        <f aca="false">IF(ISBLANK($C415),"",AND($AH415,OR($AI415="",$AJ415="",AND(NOT(ISBLANK($S415)),$AK415=""))))</f>
        <v/>
      </c>
      <c r="AW415" s="129" t="str">
        <f aca="false">IF($BD415&lt;&gt;Constants!$B$6,"",IF($AH415,Constants!$B$17*$AJ415,Constants!$B$18))</f>
        <v/>
      </c>
      <c r="AX415" s="130" t="str">
        <f aca="false">IF($BD415&lt;&gt;Constants!$B$6,"",Constants!$B$19*IF($AH415,$AI415,0))</f>
        <v/>
      </c>
      <c r="AY415" s="130" t="str">
        <f aca="false">IF($BD415&lt;&gt;Constants!$B$6,"",IF(AND($AH415,ISNUMBER($AK415)),Constants!$B$20*(Constants!$B$21-$AK415),0))</f>
        <v/>
      </c>
      <c r="AZ415" s="130" t="str">
        <f aca="false">IF($BD415&lt;&gt;Constants!$B$6,"",IF($AG415,0,Constants!$B$12)+IF($AF415,0,Constants!$B$13)+IF($Y415,0,Constants!$B$14))</f>
        <v/>
      </c>
      <c r="BA415" s="131" t="str">
        <f aca="false">IF($BD415&lt;&gt;Constants!$B$6,"",Constants!$B$16+SUM($AW415:$AZ415))</f>
        <v/>
      </c>
      <c r="BB415" s="130" t="str">
        <f aca="false">IF($BD415&lt;&gt;Constants!$B$6,"",IF($AH415,$AJ415,""))</f>
        <v/>
      </c>
      <c r="BC415" s="132" t="str">
        <f aca="false">IF($BD415&lt;&gt;Constants!$B$6,"",$AX415)</f>
        <v/>
      </c>
      <c r="BD415" s="127" t="str">
        <f aca="false">IF(ISBLANK($C415),"",IF($AL415,Constants!$B$9,IF(COUNTA($E415:$T415)=0,Constants!$B$8,IF(NOT($X415),Constants!$B$7,IF(OR($AM415,$AV415),Constants!$B$10,Constants!$B$6)))))</f>
        <v/>
      </c>
      <c r="BE415" s="127" t="str">
        <f aca="false">IF(ISBLANK($C415),"",IF($BD415&lt;&gt;Constants!$B$6,$BD415,Constants!$B$11))</f>
        <v/>
      </c>
      <c r="BF415" s="130" t="str">
        <f aca="false">IF($BD415&lt;&gt;Constants!$B$6,"",IF($AU415="-&gt;",$BA415,$AR415))</f>
        <v/>
      </c>
      <c r="BG415" s="130" t="str">
        <f aca="false">IF($BD415&lt;&gt;Constants!$B$6,"",IF($W415,0,Constants!$B$15))</f>
        <v/>
      </c>
      <c r="BH415" s="130" t="str">
        <f aca="false">IF(ISBLANK($C415),"",IF($BD415&lt;&gt;Constants!$B$6,$BD415,SUM($BF415:$BG415)))</f>
        <v/>
      </c>
      <c r="BI415" s="127" t="str">
        <f aca="false">IF(ISBLANK($C415),"",IF($BD415&lt;&gt;Constants!$B$6,$BD415,RANK($BH415,$BH$9:$BH$508,1)))</f>
        <v/>
      </c>
      <c r="BJ415" s="130" t="str">
        <f aca="false">IF($BD415&lt;&gt;Constants!$B$6,"",IF($AU415="-&gt;",$BB415,$AS415))</f>
        <v/>
      </c>
      <c r="BK415" s="127" t="str">
        <f aca="false">IF(ISBLANK($C415),"",IF($BD415&lt;&gt;Constants!$B$6,$BD415,IF(ISNUMBER($BJ415),RANK($BJ415,$BJ$9:$BJ$508,1),COUNT($BJ$9:$BJ$508)+1)))</f>
        <v/>
      </c>
      <c r="BL415" s="130" t="str">
        <f aca="false">IF($BD415&lt;&gt;Constants!$B$6,"",IF($AU415="-&gt;",$BC415,$AT415))</f>
        <v/>
      </c>
      <c r="BM415" s="127" t="str">
        <f aca="false">IF(ISBLANK($C415),"",IF($BD415&lt;&gt;Constants!$B$6,$BD415,IF(ISNUMBER($BL415),RANK($BL415,$BL$9:$BL$508,1),COUNT($BL$9:$BL$508)+1)))</f>
        <v/>
      </c>
      <c r="BN415" s="130" t="str">
        <f aca="false">IF($BD415&lt;&gt;Constants!$B$6,"",IF($AU415="-&gt;",$AS415,$BB415))</f>
        <v/>
      </c>
      <c r="BO415" s="127" t="str">
        <f aca="false">IF(ISBLANK($C415),"",IF($BD415&lt;&gt;Constants!$B$6,$BD415,IF(ISNUMBER($BN415),RANK($BN415,$BN$9:$BN$508,1),COUNT($BN$9:$BN$508)+1)))</f>
        <v/>
      </c>
      <c r="BP415" s="130" t="str">
        <f aca="false">IF($BD415&lt;&gt;Constants!$B$6,"",IF($AU415="-&gt;",$AT415,$BC415))</f>
        <v/>
      </c>
      <c r="BQ415" s="127" t="str">
        <f aca="false">IF(ISBLANK($C415),"",IF($BD415&lt;&gt;Constants!$B$6,$BD415,IF(ISNUMBER($BP415),RANK($BP415,$BP$9:$BP$508,1),COUNT($BP$9:$BP$508)+1)))</f>
        <v/>
      </c>
      <c r="BR415" s="127" t="str">
        <f aca="false">IF(ISBLANK($C415),"",IF($BD415&lt;&gt;Constants!$B$6,$BD415,COUNTIFS($BI$9:$BI$508,"&lt;"&amp;$BI415)+COUNTIFS($BI$9:$BI$508,$BI415,$BK$9:$BK$508,"&lt;"&amp;$BK415)+COUNTIFS($BI$9:$BI$508,$BI415,$BK$9:$BK$508,$BK415,$BM$9:$BM$508,"&lt;"&amp;$BM415)+COUNTIFS($BI$9:$BI$508,$BI415,$BK$9:$BK$508,$BK415,$BM$9:$BM$508,$BM415,$BO$9:$BO$508,"&lt;"&amp;$BO415)+COUNTIFS($BI$9:$BI$508,$BI415,$BK$9:$BK$508,$BK415,$BM$9:$BM$508,$BM415,$BO$9:$BO$508,$BO415,$BQ$9:$BQ$508,"&lt;"&amp;$BQ415)+1))</f>
        <v/>
      </c>
      <c r="BS415" s="127" t="str">
        <f aca="false">IF(ISBLANK($C415),"",IF($BD415&lt;&gt;Constants!$B$6,$BD415,$BI415-$BR415))</f>
        <v/>
      </c>
      <c r="BT415" s="133"/>
      <c r="BU415" s="134"/>
      <c r="BV415" s="134" t="str">
        <f aca="false">IF(ISBLANK($C415),"",IF($BD415&lt;&gt;Constants!$B$6,"",IF($AU415="-&gt;",2,1)))</f>
        <v/>
      </c>
      <c r="BW415" s="135" t="str">
        <f aca="false">IF(ISBLANK($C415),"",IF($BD415&lt;&gt;Constants!$B$6,"",IF($AU415="-&gt;",$AW415,$AN415)))</f>
        <v/>
      </c>
      <c r="BX415" s="135" t="str">
        <f aca="false">IF(ISBLANK($C415),"",IF($BD415&lt;&gt;Constants!$B$6,"",IF($AU415="-&gt;",$AX415,$AO415)))</f>
        <v/>
      </c>
      <c r="BY415" s="135" t="str">
        <f aca="false">IF(ISBLANK($C415),"",IF($BD415&lt;&gt;Constants!$B$6,"",IF($AU415="-&gt;",$AY415,$AP415)))</f>
        <v/>
      </c>
      <c r="BZ415" s="135" t="str">
        <f aca="false">IF(ISBLANK($C415),"",IF($BD415&lt;&gt;Constants!$B$6,"",IF($AU415="-&gt;",$AZ415,$AQ415)+$BG415))</f>
        <v/>
      </c>
      <c r="CA415" s="136" t="str">
        <f aca="false">IF(ISBLANK($C415),"",IF($BD415&lt;&gt;Constants!$B$6,$BD415,$BH415))</f>
        <v/>
      </c>
      <c r="CB415" s="137" t="str">
        <f aca="false">IF(ISBLANK($C415),"",$BE415)</f>
        <v/>
      </c>
      <c r="CC415" s="138" t="str">
        <f aca="false">IF(ISBLANK($C415),"",$BS415)</f>
        <v/>
      </c>
      <c r="CD415" s="138" t="str">
        <f aca="false">IF(ISBLANK($C415),"",$BR415)</f>
        <v/>
      </c>
      <c r="CE415" s="139" t="str">
        <f aca="false">IF(ISBLANK($C415),"",IF($CD415=Constants!$B$9,COUNTA($C$9:$C$508)+2,IF($CD415=Constants!$B$8,COUNTA($C$9:$C$508)+1,IF($CD415=Constants!$B$7,COUNTA($C$9:$C$508),$CD415))))</f>
        <v/>
      </c>
      <c r="CF415" s="9"/>
      <c r="CG415" s="140" t="n">
        <f aca="false">IF(OR(ISNUMBER($CD415),$CD415=Constants!$B$9,$CD415=Constants!$B$7,$CD415=Constants!$B$8),1,0)</f>
        <v>0</v>
      </c>
      <c r="CH415" s="140" t="n">
        <v>407</v>
      </c>
      <c r="CI415" s="140" t="str">
        <f aca="false">IF(ISBLANK($C415),"",IF(ISNUMBER($CE415),$CE415+ROW($B415)/1000,""))</f>
        <v/>
      </c>
      <c r="CJ415" s="140" t="str">
        <f aca="false">IF(ISNUMBER($CI415),RANK($CI415,$CI$9:$CI$508,1),"")</f>
        <v/>
      </c>
      <c r="CK415" s="140" t="str">
        <f aca="false">IF(ISBLANK($C415),"",$B415)</f>
        <v/>
      </c>
      <c r="CL415" s="140" t="str">
        <f aca="false">IF(ISBLANK($C415),"",$C415)</f>
        <v/>
      </c>
      <c r="CM415" s="140" t="str">
        <f aca="false">IF(ISBLANK($C415),"",$D415)</f>
        <v/>
      </c>
      <c r="CN415" s="141" t="str">
        <f aca="false">$CB415</f>
        <v/>
      </c>
      <c r="CO415" s="142" t="str">
        <f aca="false">$CA415</f>
        <v/>
      </c>
      <c r="CP415" s="140" t="str">
        <f aca="false">IF(ISBLANK($C415),"",$CD415)</f>
        <v/>
      </c>
      <c r="CQ415" s="143" t="str">
        <f aca="false">IF($CH415&gt;$CG$8,"",VLOOKUP($CH415,$CJ$9:$CP$508,7,FALSE()))</f>
        <v/>
      </c>
      <c r="CR415" s="144" t="str">
        <f aca="false">IF($CH415&gt;$CG$8,"",VLOOKUP($CH415,$CJ$9:$CP$508,2,FALSE()))</f>
        <v/>
      </c>
      <c r="CS415" s="144" t="str">
        <f aca="false">IF($CH415&gt;$CG$8,"",VLOOKUP($CH415,$CJ$9:$CP$508,3,FALSE()))</f>
        <v/>
      </c>
      <c r="CT415" s="144" t="str">
        <f aca="false">IF($CH415&gt;$CG$8,"",VLOOKUP($CH415,$CJ$9:$CP$508,4,FALSE()))</f>
        <v/>
      </c>
      <c r="CU415" s="144" t="str">
        <f aca="false">IF($CH415&gt;$CG$8,"",VLOOKUP($CH415,$CJ$9:$CP$508,5,FALSE()))</f>
        <v/>
      </c>
      <c r="CV415" s="145" t="str">
        <f aca="false">IF($CH415&gt;$CG$8,"",VLOOKUP($CH415,$CJ$9:$CP$508,6,FALSE()))</f>
        <v/>
      </c>
      <c r="CW415" s="71"/>
    </row>
    <row r="416" customFormat="false" ht="15.75" hidden="false" customHeight="false" outlineLevel="0" collapsed="false">
      <c r="A416" s="9"/>
      <c r="B416" s="150"/>
      <c r="C416" s="151"/>
      <c r="D416" s="152"/>
      <c r="E416" s="170"/>
      <c r="F416" s="154"/>
      <c r="G416" s="155"/>
      <c r="H416" s="171"/>
      <c r="I416" s="159"/>
      <c r="J416" s="120"/>
      <c r="K416" s="121"/>
      <c r="L416" s="122"/>
      <c r="M416" s="158"/>
      <c r="N416" s="159"/>
      <c r="O416" s="159"/>
      <c r="P416" s="120"/>
      <c r="Q416" s="122"/>
      <c r="R416" s="122"/>
      <c r="S416" s="158"/>
      <c r="T416" s="159"/>
      <c r="U416" s="126"/>
      <c r="V416" s="127"/>
      <c r="W416" s="127" t="str">
        <f aca="false">IF(ISBLANK($C416),"",IF(E416=Constants!$B$2,TRUE(),IF(E416=Constants!$B$3,FALSE(),TRUE())))</f>
        <v/>
      </c>
      <c r="X416" s="127" t="str">
        <f aca="false">IF(ISBLANK($C416),"",IF(F416=Constants!$B$2,TRUE(),IF(F416=Constants!$B$3,FALSE(),TRUE())))</f>
        <v/>
      </c>
      <c r="Y416" s="127" t="str">
        <f aca="false">IF(ISBLANK($C416),"",IF(G416=Constants!$B$2,TRUE(),IF(G416=Constants!$B$3,FALSE(),TRUE())))</f>
        <v/>
      </c>
      <c r="Z416" s="127" t="str">
        <f aca="false">IF(ISBLANK($C416),"",IF(H416=Constants!$B$2,TRUE(),IF(H416=Constants!$B$3,FALSE(),TRUE())))</f>
        <v/>
      </c>
      <c r="AA416" s="127" t="str">
        <f aca="false">IF(ISBLANK($C416),"",IF(I416=Constants!$B$2,TRUE(),IF(I416=Constants!$B$3,FALSE(),TRUE())))</f>
        <v/>
      </c>
      <c r="AB416" s="127" t="str">
        <f aca="false">IF(ISBLANK($C416),"",IF(J416=Constants!$B$4,TRUE(),IF(J416=Constants!$B$5,FALSE(),COUNTA(K416:M416)&gt;0)))</f>
        <v/>
      </c>
      <c r="AC416" s="128" t="str">
        <f aca="false">IF(ISBLANK($C416),"",IF(ISNUMBER(K416),IF(K416&gt;=0,K416,""),""))</f>
        <v/>
      </c>
      <c r="AD416" s="129" t="str">
        <f aca="false">IF(ISBLANK($C416),"",IF(ISNUMBER(L416),IF(L416&gt;=0,L416,""),""))</f>
        <v/>
      </c>
      <c r="AE416" s="127" t="str">
        <f aca="false">IF(ISBLANK($C416),"",IF(ISNUMBER(M416),IF(M416&gt;=0,MIN(M416,Constants!$B$22),""),""))</f>
        <v/>
      </c>
      <c r="AF416" s="127" t="str">
        <f aca="false">IF(ISBLANK($C416),"",IF(N416=Constants!$B$2,TRUE(),IF(N416=Constants!$B$3,FALSE(),TRUE())))</f>
        <v/>
      </c>
      <c r="AG416" s="127" t="str">
        <f aca="false">IF(ISBLANK($C416),"",IF(O416=Constants!$B$2,TRUE(),IF(O416=Constants!$B$3,FALSE(),TRUE())))</f>
        <v/>
      </c>
      <c r="AH416" s="127" t="str">
        <f aca="false">IF(ISBLANK($C416),"",IF(P416=Constants!$B$4,TRUE(),IF(P416=Constants!$B$5,FALSE(),COUNTA(Q416:S416)&gt;0)))</f>
        <v/>
      </c>
      <c r="AI416" s="128" t="str">
        <f aca="false">IF(ISBLANK($C416),"",IF(ISNUMBER(Q416),IF(Q416&gt;=0,Q416,""),""))</f>
        <v/>
      </c>
      <c r="AJ416" s="129" t="str">
        <f aca="false">IF(ISBLANK($C416),"",IF(ISNUMBER(R416),IF(R416&gt;=0,R416,""),""))</f>
        <v/>
      </c>
      <c r="AK416" s="127" t="str">
        <f aca="false">IF(ISBLANK($C416),"",IF(ISNUMBER(S416),IF(S416&gt;=0,MIN(S416,Constants!$B$22),""),""))</f>
        <v/>
      </c>
      <c r="AL416" s="127" t="str">
        <f aca="false">IF(ISBLANK($C416),"",IF(T416=Constants!$B$2,TRUE(),IF(T416=Constants!$B$3,FALSE(),FALSE())))</f>
        <v/>
      </c>
      <c r="AM416" s="126" t="str">
        <f aca="false">IF(ISBLANK($C416),"",AND($AB416,OR($AC416="",$AD416="",AND(NOT(ISBLANK($M416)),$AE416=""))))</f>
        <v/>
      </c>
      <c r="AN416" s="129" t="str">
        <f aca="false">IF($BD416&lt;&gt;Constants!$B$6,"",IF($AB416,Constants!$B$17*$AD416,Constants!$B$18))</f>
        <v/>
      </c>
      <c r="AO416" s="130" t="str">
        <f aca="false">IF($BD416&lt;&gt;Constants!$B$6,"",Constants!$B$19*IF($AB416,$AC416,0))</f>
        <v/>
      </c>
      <c r="AP416" s="130" t="str">
        <f aca="false">IF($BD416&lt;&gt;Constants!$B$6,"",IF(AND($AB416,ISNUMBER($AE416)),Constants!$B$20*(Constants!$B$21-$AE416),0))</f>
        <v/>
      </c>
      <c r="AQ416" s="130" t="str">
        <f aca="false">IF($BD416&lt;&gt;Constants!$B$6,"",IF($AA416,0,Constants!$B$12)+IF($Z416,0,Constants!$B$13)+IF($Y416,0,Constants!$B$14))</f>
        <v/>
      </c>
      <c r="AR416" s="131" t="str">
        <f aca="false">IF($BD416&lt;&gt;Constants!$B$6,"",Constants!$B$16+SUM($AN416:$AQ416))</f>
        <v/>
      </c>
      <c r="AS416" s="130" t="str">
        <f aca="false">IF($BD416&lt;&gt;Constants!$B$6,"",IF($AB416,$AD416,""))</f>
        <v/>
      </c>
      <c r="AT416" s="132" t="str">
        <f aca="false">IF($BD416&lt;&gt;Constants!$B$6,"",$AO416)</f>
        <v/>
      </c>
      <c r="AU416" s="127" t="str">
        <f aca="false">IF($BD416&lt;&gt;Constants!$B$6,"",IF(OR($BA416&lt;$AR416,AND($BA416=$AR416,OR(AND(ISNUMBER($BB416),OR(NOT(ISNUMBER($AS416)),$BB416&lt;$AS416)),AND(OR(AND($BB416="",$AS416=""),AND(ISNUMBER($BB416),ISNUMBER($AS416),$BB416=$AS416)),$BC416&lt;$AT416)))),"-&gt;","&lt;-"))</f>
        <v/>
      </c>
      <c r="AV416" s="126" t="str">
        <f aca="false">IF(ISBLANK($C416),"",AND($AH416,OR($AI416="",$AJ416="",AND(NOT(ISBLANK($S416)),$AK416=""))))</f>
        <v/>
      </c>
      <c r="AW416" s="129" t="str">
        <f aca="false">IF($BD416&lt;&gt;Constants!$B$6,"",IF($AH416,Constants!$B$17*$AJ416,Constants!$B$18))</f>
        <v/>
      </c>
      <c r="AX416" s="130" t="str">
        <f aca="false">IF($BD416&lt;&gt;Constants!$B$6,"",Constants!$B$19*IF($AH416,$AI416,0))</f>
        <v/>
      </c>
      <c r="AY416" s="130" t="str">
        <f aca="false">IF($BD416&lt;&gt;Constants!$B$6,"",IF(AND($AH416,ISNUMBER($AK416)),Constants!$B$20*(Constants!$B$21-$AK416),0))</f>
        <v/>
      </c>
      <c r="AZ416" s="130" t="str">
        <f aca="false">IF($BD416&lt;&gt;Constants!$B$6,"",IF($AG416,0,Constants!$B$12)+IF($AF416,0,Constants!$B$13)+IF($Y416,0,Constants!$B$14))</f>
        <v/>
      </c>
      <c r="BA416" s="131" t="str">
        <f aca="false">IF($BD416&lt;&gt;Constants!$B$6,"",Constants!$B$16+SUM($AW416:$AZ416))</f>
        <v/>
      </c>
      <c r="BB416" s="130" t="str">
        <f aca="false">IF($BD416&lt;&gt;Constants!$B$6,"",IF($AH416,$AJ416,""))</f>
        <v/>
      </c>
      <c r="BC416" s="132" t="str">
        <f aca="false">IF($BD416&lt;&gt;Constants!$B$6,"",$AX416)</f>
        <v/>
      </c>
      <c r="BD416" s="127" t="str">
        <f aca="false">IF(ISBLANK($C416),"",IF($AL416,Constants!$B$9,IF(COUNTA($E416:$T416)=0,Constants!$B$8,IF(NOT($X416),Constants!$B$7,IF(OR($AM416,$AV416),Constants!$B$10,Constants!$B$6)))))</f>
        <v/>
      </c>
      <c r="BE416" s="127" t="str">
        <f aca="false">IF(ISBLANK($C416),"",IF($BD416&lt;&gt;Constants!$B$6,$BD416,Constants!$B$11))</f>
        <v/>
      </c>
      <c r="BF416" s="130" t="str">
        <f aca="false">IF($BD416&lt;&gt;Constants!$B$6,"",IF($AU416="-&gt;",$BA416,$AR416))</f>
        <v/>
      </c>
      <c r="BG416" s="130" t="str">
        <f aca="false">IF($BD416&lt;&gt;Constants!$B$6,"",IF($W416,0,Constants!$B$15))</f>
        <v/>
      </c>
      <c r="BH416" s="130" t="str">
        <f aca="false">IF(ISBLANK($C416),"",IF($BD416&lt;&gt;Constants!$B$6,$BD416,SUM($BF416:$BG416)))</f>
        <v/>
      </c>
      <c r="BI416" s="127" t="str">
        <f aca="false">IF(ISBLANK($C416),"",IF($BD416&lt;&gt;Constants!$B$6,$BD416,RANK($BH416,$BH$9:$BH$508,1)))</f>
        <v/>
      </c>
      <c r="BJ416" s="130" t="str">
        <f aca="false">IF($BD416&lt;&gt;Constants!$B$6,"",IF($AU416="-&gt;",$BB416,$AS416))</f>
        <v/>
      </c>
      <c r="BK416" s="127" t="str">
        <f aca="false">IF(ISBLANK($C416),"",IF($BD416&lt;&gt;Constants!$B$6,$BD416,IF(ISNUMBER($BJ416),RANK($BJ416,$BJ$9:$BJ$508,1),COUNT($BJ$9:$BJ$508)+1)))</f>
        <v/>
      </c>
      <c r="BL416" s="130" t="str">
        <f aca="false">IF($BD416&lt;&gt;Constants!$B$6,"",IF($AU416="-&gt;",$BC416,$AT416))</f>
        <v/>
      </c>
      <c r="BM416" s="127" t="str">
        <f aca="false">IF(ISBLANK($C416),"",IF($BD416&lt;&gt;Constants!$B$6,$BD416,IF(ISNUMBER($BL416),RANK($BL416,$BL$9:$BL$508,1),COUNT($BL$9:$BL$508)+1)))</f>
        <v/>
      </c>
      <c r="BN416" s="130" t="str">
        <f aca="false">IF($BD416&lt;&gt;Constants!$B$6,"",IF($AU416="-&gt;",$AS416,$BB416))</f>
        <v/>
      </c>
      <c r="BO416" s="127" t="str">
        <f aca="false">IF(ISBLANK($C416),"",IF($BD416&lt;&gt;Constants!$B$6,$BD416,IF(ISNUMBER($BN416),RANK($BN416,$BN$9:$BN$508,1),COUNT($BN$9:$BN$508)+1)))</f>
        <v/>
      </c>
      <c r="BP416" s="130" t="str">
        <f aca="false">IF($BD416&lt;&gt;Constants!$B$6,"",IF($AU416="-&gt;",$AT416,$BC416))</f>
        <v/>
      </c>
      <c r="BQ416" s="127" t="str">
        <f aca="false">IF(ISBLANK($C416),"",IF($BD416&lt;&gt;Constants!$B$6,$BD416,IF(ISNUMBER($BP416),RANK($BP416,$BP$9:$BP$508,1),COUNT($BP$9:$BP$508)+1)))</f>
        <v/>
      </c>
      <c r="BR416" s="127" t="str">
        <f aca="false">IF(ISBLANK($C416),"",IF($BD416&lt;&gt;Constants!$B$6,$BD416,COUNTIFS($BI$9:$BI$508,"&lt;"&amp;$BI416)+COUNTIFS($BI$9:$BI$508,$BI416,$BK$9:$BK$508,"&lt;"&amp;$BK416)+COUNTIFS($BI$9:$BI$508,$BI416,$BK$9:$BK$508,$BK416,$BM$9:$BM$508,"&lt;"&amp;$BM416)+COUNTIFS($BI$9:$BI$508,$BI416,$BK$9:$BK$508,$BK416,$BM$9:$BM$508,$BM416,$BO$9:$BO$508,"&lt;"&amp;$BO416)+COUNTIFS($BI$9:$BI$508,$BI416,$BK$9:$BK$508,$BK416,$BM$9:$BM$508,$BM416,$BO$9:$BO$508,$BO416,$BQ$9:$BQ$508,"&lt;"&amp;$BQ416)+1))</f>
        <v/>
      </c>
      <c r="BS416" s="127" t="str">
        <f aca="false">IF(ISBLANK($C416),"",IF($BD416&lt;&gt;Constants!$B$6,$BD416,$BI416-$BR416))</f>
        <v/>
      </c>
      <c r="BT416" s="133"/>
      <c r="BU416" s="134"/>
      <c r="BV416" s="134" t="str">
        <f aca="false">IF(ISBLANK($C416),"",IF($BD416&lt;&gt;Constants!$B$6,"",IF($AU416="-&gt;",2,1)))</f>
        <v/>
      </c>
      <c r="BW416" s="135" t="str">
        <f aca="false">IF(ISBLANK($C416),"",IF($BD416&lt;&gt;Constants!$B$6,"",IF($AU416="-&gt;",$AW416,$AN416)))</f>
        <v/>
      </c>
      <c r="BX416" s="135" t="str">
        <f aca="false">IF(ISBLANK($C416),"",IF($BD416&lt;&gt;Constants!$B$6,"",IF($AU416="-&gt;",$AX416,$AO416)))</f>
        <v/>
      </c>
      <c r="BY416" s="135" t="str">
        <f aca="false">IF(ISBLANK($C416),"",IF($BD416&lt;&gt;Constants!$B$6,"",IF($AU416="-&gt;",$AY416,$AP416)))</f>
        <v/>
      </c>
      <c r="BZ416" s="135" t="str">
        <f aca="false">IF(ISBLANK($C416),"",IF($BD416&lt;&gt;Constants!$B$6,"",IF($AU416="-&gt;",$AZ416,$AQ416)+$BG416))</f>
        <v/>
      </c>
      <c r="CA416" s="136" t="str">
        <f aca="false">IF(ISBLANK($C416),"",IF($BD416&lt;&gt;Constants!$B$6,$BD416,$BH416))</f>
        <v/>
      </c>
      <c r="CB416" s="137" t="str">
        <f aca="false">IF(ISBLANK($C416),"",$BE416)</f>
        <v/>
      </c>
      <c r="CC416" s="138" t="str">
        <f aca="false">IF(ISBLANK($C416),"",$BS416)</f>
        <v/>
      </c>
      <c r="CD416" s="138" t="str">
        <f aca="false">IF(ISBLANK($C416),"",$BR416)</f>
        <v/>
      </c>
      <c r="CE416" s="139" t="str">
        <f aca="false">IF(ISBLANK($C416),"",IF($CD416=Constants!$B$9,COUNTA($C$9:$C$508)+2,IF($CD416=Constants!$B$8,COUNTA($C$9:$C$508)+1,IF($CD416=Constants!$B$7,COUNTA($C$9:$C$508),$CD416))))</f>
        <v/>
      </c>
      <c r="CF416" s="9"/>
      <c r="CG416" s="140" t="n">
        <f aca="false">IF(OR(ISNUMBER($CD416),$CD416=Constants!$B$9,$CD416=Constants!$B$7,$CD416=Constants!$B$8),1,0)</f>
        <v>0</v>
      </c>
      <c r="CH416" s="140" t="n">
        <v>408</v>
      </c>
      <c r="CI416" s="140" t="str">
        <f aca="false">IF(ISBLANK($C416),"",IF(ISNUMBER($CE416),$CE416+ROW($B416)/1000,""))</f>
        <v/>
      </c>
      <c r="CJ416" s="140" t="str">
        <f aca="false">IF(ISNUMBER($CI416),RANK($CI416,$CI$9:$CI$508,1),"")</f>
        <v/>
      </c>
      <c r="CK416" s="140" t="str">
        <f aca="false">IF(ISBLANK($C416),"",$B416)</f>
        <v/>
      </c>
      <c r="CL416" s="140" t="str">
        <f aca="false">IF(ISBLANK($C416),"",$C416)</f>
        <v/>
      </c>
      <c r="CM416" s="140" t="str">
        <f aca="false">IF(ISBLANK($C416),"",$D416)</f>
        <v/>
      </c>
      <c r="CN416" s="141" t="str">
        <f aca="false">$CB416</f>
        <v/>
      </c>
      <c r="CO416" s="142" t="str">
        <f aca="false">$CA416</f>
        <v/>
      </c>
      <c r="CP416" s="140" t="str">
        <f aca="false">IF(ISBLANK($C416),"",$CD416)</f>
        <v/>
      </c>
      <c r="CQ416" s="143" t="str">
        <f aca="false">IF($CH416&gt;$CG$8,"",VLOOKUP($CH416,$CJ$9:$CP$508,7,FALSE()))</f>
        <v/>
      </c>
      <c r="CR416" s="144" t="str">
        <f aca="false">IF($CH416&gt;$CG$8,"",VLOOKUP($CH416,$CJ$9:$CP$508,2,FALSE()))</f>
        <v/>
      </c>
      <c r="CS416" s="144" t="str">
        <f aca="false">IF($CH416&gt;$CG$8,"",VLOOKUP($CH416,$CJ$9:$CP$508,3,FALSE()))</f>
        <v/>
      </c>
      <c r="CT416" s="144" t="str">
        <f aca="false">IF($CH416&gt;$CG$8,"",VLOOKUP($CH416,$CJ$9:$CP$508,4,FALSE()))</f>
        <v/>
      </c>
      <c r="CU416" s="144" t="str">
        <f aca="false">IF($CH416&gt;$CG$8,"",VLOOKUP($CH416,$CJ$9:$CP$508,5,FALSE()))</f>
        <v/>
      </c>
      <c r="CV416" s="145" t="str">
        <f aca="false">IF($CH416&gt;$CG$8,"",VLOOKUP($CH416,$CJ$9:$CP$508,6,FALSE()))</f>
        <v/>
      </c>
      <c r="CW416" s="71"/>
    </row>
    <row r="417" customFormat="false" ht="15.75" hidden="false" customHeight="false" outlineLevel="0" collapsed="false">
      <c r="A417" s="9"/>
      <c r="B417" s="72"/>
      <c r="C417" s="73"/>
      <c r="D417" s="160"/>
      <c r="E417" s="168"/>
      <c r="F417" s="162"/>
      <c r="G417" s="163"/>
      <c r="H417" s="169"/>
      <c r="I417" s="167"/>
      <c r="J417" s="80"/>
      <c r="K417" s="81"/>
      <c r="L417" s="82"/>
      <c r="M417" s="166"/>
      <c r="N417" s="167"/>
      <c r="O417" s="167"/>
      <c r="P417" s="80"/>
      <c r="Q417" s="82"/>
      <c r="R417" s="82"/>
      <c r="S417" s="166"/>
      <c r="T417" s="167"/>
      <c r="U417" s="86"/>
      <c r="V417" s="87"/>
      <c r="W417" s="87" t="str">
        <f aca="false">IF(ISBLANK($C417),"",IF(E417=Constants!$B$2,TRUE(),IF(E417=Constants!$B$3,FALSE(),TRUE())))</f>
        <v/>
      </c>
      <c r="X417" s="87" t="str">
        <f aca="false">IF(ISBLANK($C417),"",IF(F417=Constants!$B$2,TRUE(),IF(F417=Constants!$B$3,FALSE(),TRUE())))</f>
        <v/>
      </c>
      <c r="Y417" s="87" t="str">
        <f aca="false">IF(ISBLANK($C417),"",IF(G417=Constants!$B$2,TRUE(),IF(G417=Constants!$B$3,FALSE(),TRUE())))</f>
        <v/>
      </c>
      <c r="Z417" s="87" t="str">
        <f aca="false">IF(ISBLANK($C417),"",IF(H417=Constants!$B$2,TRUE(),IF(H417=Constants!$B$3,FALSE(),TRUE())))</f>
        <v/>
      </c>
      <c r="AA417" s="87" t="str">
        <f aca="false">IF(ISBLANK($C417),"",IF(I417=Constants!$B$2,TRUE(),IF(I417=Constants!$B$3,FALSE(),TRUE())))</f>
        <v/>
      </c>
      <c r="AB417" s="87" t="str">
        <f aca="false">IF(ISBLANK($C417),"",IF(J417=Constants!$B$4,TRUE(),IF(J417=Constants!$B$5,FALSE(),COUNTA(K417:M417)&gt;0)))</f>
        <v/>
      </c>
      <c r="AC417" s="88" t="str">
        <f aca="false">IF(ISBLANK($C417),"",IF(ISNUMBER(K417),IF(K417&gt;=0,K417,""),""))</f>
        <v/>
      </c>
      <c r="AD417" s="89" t="str">
        <f aca="false">IF(ISBLANK($C417),"",IF(ISNUMBER(L417),IF(L417&gt;=0,L417,""),""))</f>
        <v/>
      </c>
      <c r="AE417" s="87" t="str">
        <f aca="false">IF(ISBLANK($C417),"",IF(ISNUMBER(M417),IF(M417&gt;=0,MIN(M417,Constants!$B$22),""),""))</f>
        <v/>
      </c>
      <c r="AF417" s="87" t="str">
        <f aca="false">IF(ISBLANK($C417),"",IF(N417=Constants!$B$2,TRUE(),IF(N417=Constants!$B$3,FALSE(),TRUE())))</f>
        <v/>
      </c>
      <c r="AG417" s="87" t="str">
        <f aca="false">IF(ISBLANK($C417),"",IF(O417=Constants!$B$2,TRUE(),IF(O417=Constants!$B$3,FALSE(),TRUE())))</f>
        <v/>
      </c>
      <c r="AH417" s="87" t="str">
        <f aca="false">IF(ISBLANK($C417),"",IF(P417=Constants!$B$4,TRUE(),IF(P417=Constants!$B$5,FALSE(),COUNTA(Q417:S417)&gt;0)))</f>
        <v/>
      </c>
      <c r="AI417" s="88" t="str">
        <f aca="false">IF(ISBLANK($C417),"",IF(ISNUMBER(Q417),IF(Q417&gt;=0,Q417,""),""))</f>
        <v/>
      </c>
      <c r="AJ417" s="89" t="str">
        <f aca="false">IF(ISBLANK($C417),"",IF(ISNUMBER(R417),IF(R417&gt;=0,R417,""),""))</f>
        <v/>
      </c>
      <c r="AK417" s="87" t="str">
        <f aca="false">IF(ISBLANK($C417),"",IF(ISNUMBER(S417),IF(S417&gt;=0,MIN(S417,Constants!$B$22),""),""))</f>
        <v/>
      </c>
      <c r="AL417" s="87" t="str">
        <f aca="false">IF(ISBLANK($C417),"",IF(T417=Constants!$B$2,TRUE(),IF(T417=Constants!$B$3,FALSE(),FALSE())))</f>
        <v/>
      </c>
      <c r="AM417" s="86" t="str">
        <f aca="false">IF(ISBLANK($C417),"",AND($AB417,OR($AC417="",$AD417="",AND(NOT(ISBLANK($M417)),$AE417=""))))</f>
        <v/>
      </c>
      <c r="AN417" s="89" t="str">
        <f aca="false">IF($BD417&lt;&gt;Constants!$B$6,"",IF($AB417,Constants!$B$17*$AD417,Constants!$B$18))</f>
        <v/>
      </c>
      <c r="AO417" s="91" t="str">
        <f aca="false">IF($BD417&lt;&gt;Constants!$B$6,"",Constants!$B$19*IF($AB417,$AC417,0))</f>
        <v/>
      </c>
      <c r="AP417" s="91" t="str">
        <f aca="false">IF($BD417&lt;&gt;Constants!$B$6,"",IF(AND($AB417,ISNUMBER($AE417)),Constants!$B$20*(Constants!$B$21-$AE417),0))</f>
        <v/>
      </c>
      <c r="AQ417" s="91" t="str">
        <f aca="false">IF($BD417&lt;&gt;Constants!$B$6,"",IF($AA417,0,Constants!$B$12)+IF($Z417,0,Constants!$B$13)+IF($Y417,0,Constants!$B$14))</f>
        <v/>
      </c>
      <c r="AR417" s="92" t="str">
        <f aca="false">IF($BD417&lt;&gt;Constants!$B$6,"",Constants!$B$16+SUM($AN417:$AQ417))</f>
        <v/>
      </c>
      <c r="AS417" s="91" t="str">
        <f aca="false">IF($BD417&lt;&gt;Constants!$B$6,"",IF($AB417,$AD417,""))</f>
        <v/>
      </c>
      <c r="AT417" s="93" t="str">
        <f aca="false">IF($BD417&lt;&gt;Constants!$B$6,"",$AO417)</f>
        <v/>
      </c>
      <c r="AU417" s="87" t="str">
        <f aca="false">IF($BD417&lt;&gt;Constants!$B$6,"",IF(OR($BA417&lt;$AR417,AND($BA417=$AR417,OR(AND(ISNUMBER($BB417),OR(NOT(ISNUMBER($AS417)),$BB417&lt;$AS417)),AND(OR(AND($BB417="",$AS417=""),AND(ISNUMBER($BB417),ISNUMBER($AS417),$BB417=$AS417)),$BC417&lt;$AT417)))),"-&gt;","&lt;-"))</f>
        <v/>
      </c>
      <c r="AV417" s="86" t="str">
        <f aca="false">IF(ISBLANK($C417),"",AND($AH417,OR($AI417="",$AJ417="",AND(NOT(ISBLANK($S417)),$AK417=""))))</f>
        <v/>
      </c>
      <c r="AW417" s="89" t="str">
        <f aca="false">IF($BD417&lt;&gt;Constants!$B$6,"",IF($AH417,Constants!$B$17*$AJ417,Constants!$B$18))</f>
        <v/>
      </c>
      <c r="AX417" s="91" t="str">
        <f aca="false">IF($BD417&lt;&gt;Constants!$B$6,"",Constants!$B$19*IF($AH417,$AI417,0))</f>
        <v/>
      </c>
      <c r="AY417" s="91" t="str">
        <f aca="false">IF($BD417&lt;&gt;Constants!$B$6,"",IF(AND($AH417,ISNUMBER($AK417)),Constants!$B$20*(Constants!$B$21-$AK417),0))</f>
        <v/>
      </c>
      <c r="AZ417" s="91" t="str">
        <f aca="false">IF($BD417&lt;&gt;Constants!$B$6,"",IF($AG417,0,Constants!$B$12)+IF($AF417,0,Constants!$B$13)+IF($Y417,0,Constants!$B$14))</f>
        <v/>
      </c>
      <c r="BA417" s="92" t="str">
        <f aca="false">IF($BD417&lt;&gt;Constants!$B$6,"",Constants!$B$16+SUM($AW417:$AZ417))</f>
        <v/>
      </c>
      <c r="BB417" s="91" t="str">
        <f aca="false">IF($BD417&lt;&gt;Constants!$B$6,"",IF($AH417,$AJ417,""))</f>
        <v/>
      </c>
      <c r="BC417" s="93" t="str">
        <f aca="false">IF($BD417&lt;&gt;Constants!$B$6,"",$AX417)</f>
        <v/>
      </c>
      <c r="BD417" s="87" t="str">
        <f aca="false">IF(ISBLANK($C417),"",IF($AL417,Constants!$B$9,IF(COUNTA($E417:$T417)=0,Constants!$B$8,IF(NOT($X417),Constants!$B$7,IF(OR($AM417,$AV417),Constants!$B$10,Constants!$B$6)))))</f>
        <v/>
      </c>
      <c r="BE417" s="87" t="str">
        <f aca="false">IF(ISBLANK($C417),"",IF($BD417&lt;&gt;Constants!$B$6,$BD417,Constants!$B$11))</f>
        <v/>
      </c>
      <c r="BF417" s="91" t="str">
        <f aca="false">IF($BD417&lt;&gt;Constants!$B$6,"",IF($AU417="-&gt;",$BA417,$AR417))</f>
        <v/>
      </c>
      <c r="BG417" s="91" t="str">
        <f aca="false">IF($BD417&lt;&gt;Constants!$B$6,"",IF($W417,0,Constants!$B$15))</f>
        <v/>
      </c>
      <c r="BH417" s="91" t="str">
        <f aca="false">IF(ISBLANK($C417),"",IF($BD417&lt;&gt;Constants!$B$6,$BD417,SUM($BF417:$BG417)))</f>
        <v/>
      </c>
      <c r="BI417" s="87" t="str">
        <f aca="false">IF(ISBLANK($C417),"",IF($BD417&lt;&gt;Constants!$B$6,$BD417,RANK($BH417,$BH$9:$BH$508,1)))</f>
        <v/>
      </c>
      <c r="BJ417" s="91" t="str">
        <f aca="false">IF($BD417&lt;&gt;Constants!$B$6,"",IF($AU417="-&gt;",$BB417,$AS417))</f>
        <v/>
      </c>
      <c r="BK417" s="87" t="str">
        <f aca="false">IF(ISBLANK($C417),"",IF($BD417&lt;&gt;Constants!$B$6,$BD417,IF(ISNUMBER($BJ417),RANK($BJ417,$BJ$9:$BJ$508,1),COUNT($BJ$9:$BJ$508)+1)))</f>
        <v/>
      </c>
      <c r="BL417" s="91" t="str">
        <f aca="false">IF($BD417&lt;&gt;Constants!$B$6,"",IF($AU417="-&gt;",$BC417,$AT417))</f>
        <v/>
      </c>
      <c r="BM417" s="87" t="str">
        <f aca="false">IF(ISBLANK($C417),"",IF($BD417&lt;&gt;Constants!$B$6,$BD417,IF(ISNUMBER($BL417),RANK($BL417,$BL$9:$BL$508,1),COUNT($BL$9:$BL$508)+1)))</f>
        <v/>
      </c>
      <c r="BN417" s="91" t="str">
        <f aca="false">IF($BD417&lt;&gt;Constants!$B$6,"",IF($AU417="-&gt;",$AS417,$BB417))</f>
        <v/>
      </c>
      <c r="BO417" s="87" t="str">
        <f aca="false">IF(ISBLANK($C417),"",IF($BD417&lt;&gt;Constants!$B$6,$BD417,IF(ISNUMBER($BN417),RANK($BN417,$BN$9:$BN$508,1),COUNT($BN$9:$BN$508)+1)))</f>
        <v/>
      </c>
      <c r="BP417" s="91" t="str">
        <f aca="false">IF($BD417&lt;&gt;Constants!$B$6,"",IF($AU417="-&gt;",$AT417,$BC417))</f>
        <v/>
      </c>
      <c r="BQ417" s="87" t="str">
        <f aca="false">IF(ISBLANK($C417),"",IF($BD417&lt;&gt;Constants!$B$6,$BD417,IF(ISNUMBER($BP417),RANK($BP417,$BP$9:$BP$508,1),COUNT($BP$9:$BP$508)+1)))</f>
        <v/>
      </c>
      <c r="BR417" s="87" t="str">
        <f aca="false">IF(ISBLANK($C417),"",IF($BD417&lt;&gt;Constants!$B$6,$BD417,COUNTIFS($BI$9:$BI$508,"&lt;"&amp;$BI417)+COUNTIFS($BI$9:$BI$508,$BI417,$BK$9:$BK$508,"&lt;"&amp;$BK417)+COUNTIFS($BI$9:$BI$508,$BI417,$BK$9:$BK$508,$BK417,$BM$9:$BM$508,"&lt;"&amp;$BM417)+COUNTIFS($BI$9:$BI$508,$BI417,$BK$9:$BK$508,$BK417,$BM$9:$BM$508,$BM417,$BO$9:$BO$508,"&lt;"&amp;$BO417)+COUNTIFS($BI$9:$BI$508,$BI417,$BK$9:$BK$508,$BK417,$BM$9:$BM$508,$BM417,$BO$9:$BO$508,$BO417,$BQ$9:$BQ$508,"&lt;"&amp;$BQ417)+1))</f>
        <v/>
      </c>
      <c r="BS417" s="87" t="str">
        <f aca="false">IF(ISBLANK($C417),"",IF($BD417&lt;&gt;Constants!$B$6,$BD417,$BI417-$BR417))</f>
        <v/>
      </c>
      <c r="BT417" s="94"/>
      <c r="BU417" s="95"/>
      <c r="BV417" s="95" t="str">
        <f aca="false">IF(ISBLANK($C417),"",IF($BD417&lt;&gt;Constants!$B$6,"",IF($AU417="-&gt;",2,1)))</f>
        <v/>
      </c>
      <c r="BW417" s="96" t="str">
        <f aca="false">IF(ISBLANK($C417),"",IF($BD417&lt;&gt;Constants!$B$6,"",IF($AU417="-&gt;",$AW417,$AN417)))</f>
        <v/>
      </c>
      <c r="BX417" s="96" t="str">
        <f aca="false">IF(ISBLANK($C417),"",IF($BD417&lt;&gt;Constants!$B$6,"",IF($AU417="-&gt;",$AX417,$AO417)))</f>
        <v/>
      </c>
      <c r="BY417" s="96" t="str">
        <f aca="false">IF(ISBLANK($C417),"",IF($BD417&lt;&gt;Constants!$B$6,"",IF($AU417="-&gt;",$AY417,$AP417)))</f>
        <v/>
      </c>
      <c r="BZ417" s="96" t="str">
        <f aca="false">IF(ISBLANK($C417),"",IF($BD417&lt;&gt;Constants!$B$6,"",IF($AU417="-&gt;",$AZ417,$AQ417)+$BG417))</f>
        <v/>
      </c>
      <c r="CA417" s="97" t="str">
        <f aca="false">IF(ISBLANK($C417),"",IF($BD417&lt;&gt;Constants!$B$6,$BD417,$BH417))</f>
        <v/>
      </c>
      <c r="CB417" s="98" t="str">
        <f aca="false">IF(ISBLANK($C417),"",$BE417)</f>
        <v/>
      </c>
      <c r="CC417" s="99" t="str">
        <f aca="false">IF(ISBLANK($C417),"",$BS417)</f>
        <v/>
      </c>
      <c r="CD417" s="99" t="str">
        <f aca="false">IF(ISBLANK($C417),"",$BR417)</f>
        <v/>
      </c>
      <c r="CE417" s="100" t="str">
        <f aca="false">IF(ISBLANK($C417),"",IF($CD417=Constants!$B$9,COUNTA($C$9:$C$508)+2,IF($CD417=Constants!$B$8,COUNTA($C$9:$C$508)+1,IF($CD417=Constants!$B$7,COUNTA($C$9:$C$508),$CD417))))</f>
        <v/>
      </c>
      <c r="CF417" s="9"/>
      <c r="CG417" s="101" t="n">
        <f aca="false">IF(OR(ISNUMBER($CD417),$CD417=Constants!$B$9,$CD417=Constants!$B$7,$CD417=Constants!$B$8),1,0)</f>
        <v>0</v>
      </c>
      <c r="CH417" s="101" t="n">
        <v>409</v>
      </c>
      <c r="CI417" s="101" t="str">
        <f aca="false">IF(ISBLANK($C417),"",IF(ISNUMBER($CE417),$CE417+ROW($B417)/1000,""))</f>
        <v/>
      </c>
      <c r="CJ417" s="101" t="str">
        <f aca="false">IF(ISNUMBER($CI417),RANK($CI417,$CI$9:$CI$508,1),"")</f>
        <v/>
      </c>
      <c r="CK417" s="101" t="str">
        <f aca="false">IF(ISBLANK($C417),"",$B417)</f>
        <v/>
      </c>
      <c r="CL417" s="101" t="str">
        <f aca="false">IF(ISBLANK($C417),"",$C417)</f>
        <v/>
      </c>
      <c r="CM417" s="101" t="str">
        <f aca="false">IF(ISBLANK($C417),"",$D417)</f>
        <v/>
      </c>
      <c r="CN417" s="102" t="str">
        <f aca="false">$CB417</f>
        <v/>
      </c>
      <c r="CO417" s="103" t="str">
        <f aca="false">$CA417</f>
        <v/>
      </c>
      <c r="CP417" s="101" t="str">
        <f aca="false">IF(ISBLANK($C417),"",$CD417)</f>
        <v/>
      </c>
      <c r="CQ417" s="104" t="str">
        <f aca="false">IF($CH417&gt;$CG$8,"",VLOOKUP($CH417,$CJ$9:$CP$508,7,FALSE()))</f>
        <v/>
      </c>
      <c r="CR417" s="105" t="str">
        <f aca="false">IF($CH417&gt;$CG$8,"",VLOOKUP($CH417,$CJ$9:$CP$508,2,FALSE()))</f>
        <v/>
      </c>
      <c r="CS417" s="105" t="str">
        <f aca="false">IF($CH417&gt;$CG$8,"",VLOOKUP($CH417,$CJ$9:$CP$508,3,FALSE()))</f>
        <v/>
      </c>
      <c r="CT417" s="105" t="str">
        <f aca="false">IF($CH417&gt;$CG$8,"",VLOOKUP($CH417,$CJ$9:$CP$508,4,FALSE()))</f>
        <v/>
      </c>
      <c r="CU417" s="105" t="str">
        <f aca="false">IF($CH417&gt;$CG$8,"",VLOOKUP($CH417,$CJ$9:$CP$508,5,FALSE()))</f>
        <v/>
      </c>
      <c r="CV417" s="106" t="str">
        <f aca="false">IF($CH417&gt;$CG$8,"",VLOOKUP($CH417,$CJ$9:$CP$508,6,FALSE()))</f>
        <v/>
      </c>
      <c r="CW417" s="71"/>
    </row>
    <row r="418" customFormat="false" ht="15.75" hidden="false" customHeight="false" outlineLevel="0" collapsed="false">
      <c r="A418" s="9"/>
      <c r="B418" s="72"/>
      <c r="C418" s="73"/>
      <c r="D418" s="160"/>
      <c r="E418" s="168"/>
      <c r="F418" s="162"/>
      <c r="G418" s="163"/>
      <c r="H418" s="169"/>
      <c r="I418" s="167"/>
      <c r="J418" s="80"/>
      <c r="K418" s="81"/>
      <c r="L418" s="82"/>
      <c r="M418" s="166"/>
      <c r="N418" s="167"/>
      <c r="O418" s="167"/>
      <c r="P418" s="80"/>
      <c r="Q418" s="82"/>
      <c r="R418" s="82"/>
      <c r="S418" s="166"/>
      <c r="T418" s="167"/>
      <c r="U418" s="86"/>
      <c r="V418" s="87"/>
      <c r="W418" s="87" t="str">
        <f aca="false">IF(ISBLANK($C418),"",IF(E418=Constants!$B$2,TRUE(),IF(E418=Constants!$B$3,FALSE(),TRUE())))</f>
        <v/>
      </c>
      <c r="X418" s="87" t="str">
        <f aca="false">IF(ISBLANK($C418),"",IF(F418=Constants!$B$2,TRUE(),IF(F418=Constants!$B$3,FALSE(),TRUE())))</f>
        <v/>
      </c>
      <c r="Y418" s="87" t="str">
        <f aca="false">IF(ISBLANK($C418),"",IF(G418=Constants!$B$2,TRUE(),IF(G418=Constants!$B$3,FALSE(),TRUE())))</f>
        <v/>
      </c>
      <c r="Z418" s="87" t="str">
        <f aca="false">IF(ISBLANK($C418),"",IF(H418=Constants!$B$2,TRUE(),IF(H418=Constants!$B$3,FALSE(),TRUE())))</f>
        <v/>
      </c>
      <c r="AA418" s="87" t="str">
        <f aca="false">IF(ISBLANK($C418),"",IF(I418=Constants!$B$2,TRUE(),IF(I418=Constants!$B$3,FALSE(),TRUE())))</f>
        <v/>
      </c>
      <c r="AB418" s="87" t="str">
        <f aca="false">IF(ISBLANK($C418),"",IF(J418=Constants!$B$4,TRUE(),IF(J418=Constants!$B$5,FALSE(),COUNTA(K418:M418)&gt;0)))</f>
        <v/>
      </c>
      <c r="AC418" s="88" t="str">
        <f aca="false">IF(ISBLANK($C418),"",IF(ISNUMBER(K418),IF(K418&gt;=0,K418,""),""))</f>
        <v/>
      </c>
      <c r="AD418" s="89" t="str">
        <f aca="false">IF(ISBLANK($C418),"",IF(ISNUMBER(L418),IF(L418&gt;=0,L418,""),""))</f>
        <v/>
      </c>
      <c r="AE418" s="87" t="str">
        <f aca="false">IF(ISBLANK($C418),"",IF(ISNUMBER(M418),IF(M418&gt;=0,MIN(M418,Constants!$B$22),""),""))</f>
        <v/>
      </c>
      <c r="AF418" s="87" t="str">
        <f aca="false">IF(ISBLANK($C418),"",IF(N418=Constants!$B$2,TRUE(),IF(N418=Constants!$B$3,FALSE(),TRUE())))</f>
        <v/>
      </c>
      <c r="AG418" s="87" t="str">
        <f aca="false">IF(ISBLANK($C418),"",IF(O418=Constants!$B$2,TRUE(),IF(O418=Constants!$B$3,FALSE(),TRUE())))</f>
        <v/>
      </c>
      <c r="AH418" s="87" t="str">
        <f aca="false">IF(ISBLANK($C418),"",IF(P418=Constants!$B$4,TRUE(),IF(P418=Constants!$B$5,FALSE(),COUNTA(Q418:S418)&gt;0)))</f>
        <v/>
      </c>
      <c r="AI418" s="88" t="str">
        <f aca="false">IF(ISBLANK($C418),"",IF(ISNUMBER(Q418),IF(Q418&gt;=0,Q418,""),""))</f>
        <v/>
      </c>
      <c r="AJ418" s="89" t="str">
        <f aca="false">IF(ISBLANK($C418),"",IF(ISNUMBER(R418),IF(R418&gt;=0,R418,""),""))</f>
        <v/>
      </c>
      <c r="AK418" s="87" t="str">
        <f aca="false">IF(ISBLANK($C418),"",IF(ISNUMBER(S418),IF(S418&gt;=0,MIN(S418,Constants!$B$22),""),""))</f>
        <v/>
      </c>
      <c r="AL418" s="87" t="str">
        <f aca="false">IF(ISBLANK($C418),"",IF(T418=Constants!$B$2,TRUE(),IF(T418=Constants!$B$3,FALSE(),FALSE())))</f>
        <v/>
      </c>
      <c r="AM418" s="86" t="str">
        <f aca="false">IF(ISBLANK($C418),"",AND($AB418,OR($AC418="",$AD418="",AND(NOT(ISBLANK($M418)),$AE418=""))))</f>
        <v/>
      </c>
      <c r="AN418" s="89" t="str">
        <f aca="false">IF($BD418&lt;&gt;Constants!$B$6,"",IF($AB418,Constants!$B$17*$AD418,Constants!$B$18))</f>
        <v/>
      </c>
      <c r="AO418" s="91" t="str">
        <f aca="false">IF($BD418&lt;&gt;Constants!$B$6,"",Constants!$B$19*IF($AB418,$AC418,0))</f>
        <v/>
      </c>
      <c r="AP418" s="91" t="str">
        <f aca="false">IF($BD418&lt;&gt;Constants!$B$6,"",IF(AND($AB418,ISNUMBER($AE418)),Constants!$B$20*(Constants!$B$21-$AE418),0))</f>
        <v/>
      </c>
      <c r="AQ418" s="91" t="str">
        <f aca="false">IF($BD418&lt;&gt;Constants!$B$6,"",IF($AA418,0,Constants!$B$12)+IF($Z418,0,Constants!$B$13)+IF($Y418,0,Constants!$B$14))</f>
        <v/>
      </c>
      <c r="AR418" s="92" t="str">
        <f aca="false">IF($BD418&lt;&gt;Constants!$B$6,"",Constants!$B$16+SUM($AN418:$AQ418))</f>
        <v/>
      </c>
      <c r="AS418" s="91" t="str">
        <f aca="false">IF($BD418&lt;&gt;Constants!$B$6,"",IF($AB418,$AD418,""))</f>
        <v/>
      </c>
      <c r="AT418" s="93" t="str">
        <f aca="false">IF($BD418&lt;&gt;Constants!$B$6,"",$AO418)</f>
        <v/>
      </c>
      <c r="AU418" s="87" t="str">
        <f aca="false">IF($BD418&lt;&gt;Constants!$B$6,"",IF(OR($BA418&lt;$AR418,AND($BA418=$AR418,OR(AND(ISNUMBER($BB418),OR(NOT(ISNUMBER($AS418)),$BB418&lt;$AS418)),AND(OR(AND($BB418="",$AS418=""),AND(ISNUMBER($BB418),ISNUMBER($AS418),$BB418=$AS418)),$BC418&lt;$AT418)))),"-&gt;","&lt;-"))</f>
        <v/>
      </c>
      <c r="AV418" s="86" t="str">
        <f aca="false">IF(ISBLANK($C418),"",AND($AH418,OR($AI418="",$AJ418="",AND(NOT(ISBLANK($S418)),$AK418=""))))</f>
        <v/>
      </c>
      <c r="AW418" s="89" t="str">
        <f aca="false">IF($BD418&lt;&gt;Constants!$B$6,"",IF($AH418,Constants!$B$17*$AJ418,Constants!$B$18))</f>
        <v/>
      </c>
      <c r="AX418" s="91" t="str">
        <f aca="false">IF($BD418&lt;&gt;Constants!$B$6,"",Constants!$B$19*IF($AH418,$AI418,0))</f>
        <v/>
      </c>
      <c r="AY418" s="91" t="str">
        <f aca="false">IF($BD418&lt;&gt;Constants!$B$6,"",IF(AND($AH418,ISNUMBER($AK418)),Constants!$B$20*(Constants!$B$21-$AK418),0))</f>
        <v/>
      </c>
      <c r="AZ418" s="91" t="str">
        <f aca="false">IF($BD418&lt;&gt;Constants!$B$6,"",IF($AG418,0,Constants!$B$12)+IF($AF418,0,Constants!$B$13)+IF($Y418,0,Constants!$B$14))</f>
        <v/>
      </c>
      <c r="BA418" s="92" t="str">
        <f aca="false">IF($BD418&lt;&gt;Constants!$B$6,"",Constants!$B$16+SUM($AW418:$AZ418))</f>
        <v/>
      </c>
      <c r="BB418" s="91" t="str">
        <f aca="false">IF($BD418&lt;&gt;Constants!$B$6,"",IF($AH418,$AJ418,""))</f>
        <v/>
      </c>
      <c r="BC418" s="93" t="str">
        <f aca="false">IF($BD418&lt;&gt;Constants!$B$6,"",$AX418)</f>
        <v/>
      </c>
      <c r="BD418" s="87" t="str">
        <f aca="false">IF(ISBLANK($C418),"",IF($AL418,Constants!$B$9,IF(COUNTA($E418:$T418)=0,Constants!$B$8,IF(NOT($X418),Constants!$B$7,IF(OR($AM418,$AV418),Constants!$B$10,Constants!$B$6)))))</f>
        <v/>
      </c>
      <c r="BE418" s="87" t="str">
        <f aca="false">IF(ISBLANK($C418),"",IF($BD418&lt;&gt;Constants!$B$6,$BD418,Constants!$B$11))</f>
        <v/>
      </c>
      <c r="BF418" s="91" t="str">
        <f aca="false">IF($BD418&lt;&gt;Constants!$B$6,"",IF($AU418="-&gt;",$BA418,$AR418))</f>
        <v/>
      </c>
      <c r="BG418" s="91" t="str">
        <f aca="false">IF($BD418&lt;&gt;Constants!$B$6,"",IF($W418,0,Constants!$B$15))</f>
        <v/>
      </c>
      <c r="BH418" s="91" t="str">
        <f aca="false">IF(ISBLANK($C418),"",IF($BD418&lt;&gt;Constants!$B$6,$BD418,SUM($BF418:$BG418)))</f>
        <v/>
      </c>
      <c r="BI418" s="87" t="str">
        <f aca="false">IF(ISBLANK($C418),"",IF($BD418&lt;&gt;Constants!$B$6,$BD418,RANK($BH418,$BH$9:$BH$508,1)))</f>
        <v/>
      </c>
      <c r="BJ418" s="91" t="str">
        <f aca="false">IF($BD418&lt;&gt;Constants!$B$6,"",IF($AU418="-&gt;",$BB418,$AS418))</f>
        <v/>
      </c>
      <c r="BK418" s="87" t="str">
        <f aca="false">IF(ISBLANK($C418),"",IF($BD418&lt;&gt;Constants!$B$6,$BD418,IF(ISNUMBER($BJ418),RANK($BJ418,$BJ$9:$BJ$508,1),COUNT($BJ$9:$BJ$508)+1)))</f>
        <v/>
      </c>
      <c r="BL418" s="91" t="str">
        <f aca="false">IF($BD418&lt;&gt;Constants!$B$6,"",IF($AU418="-&gt;",$BC418,$AT418))</f>
        <v/>
      </c>
      <c r="BM418" s="87" t="str">
        <f aca="false">IF(ISBLANK($C418),"",IF($BD418&lt;&gt;Constants!$B$6,$BD418,IF(ISNUMBER($BL418),RANK($BL418,$BL$9:$BL$508,1),COUNT($BL$9:$BL$508)+1)))</f>
        <v/>
      </c>
      <c r="BN418" s="91" t="str">
        <f aca="false">IF($BD418&lt;&gt;Constants!$B$6,"",IF($AU418="-&gt;",$AS418,$BB418))</f>
        <v/>
      </c>
      <c r="BO418" s="87" t="str">
        <f aca="false">IF(ISBLANK($C418),"",IF($BD418&lt;&gt;Constants!$B$6,$BD418,IF(ISNUMBER($BN418),RANK($BN418,$BN$9:$BN$508,1),COUNT($BN$9:$BN$508)+1)))</f>
        <v/>
      </c>
      <c r="BP418" s="91" t="str">
        <f aca="false">IF($BD418&lt;&gt;Constants!$B$6,"",IF($AU418="-&gt;",$AT418,$BC418))</f>
        <v/>
      </c>
      <c r="BQ418" s="87" t="str">
        <f aca="false">IF(ISBLANK($C418),"",IF($BD418&lt;&gt;Constants!$B$6,$BD418,IF(ISNUMBER($BP418),RANK($BP418,$BP$9:$BP$508,1),COUNT($BP$9:$BP$508)+1)))</f>
        <v/>
      </c>
      <c r="BR418" s="87" t="str">
        <f aca="false">IF(ISBLANK($C418),"",IF($BD418&lt;&gt;Constants!$B$6,$BD418,COUNTIFS($BI$9:$BI$508,"&lt;"&amp;$BI418)+COUNTIFS($BI$9:$BI$508,$BI418,$BK$9:$BK$508,"&lt;"&amp;$BK418)+COUNTIFS($BI$9:$BI$508,$BI418,$BK$9:$BK$508,$BK418,$BM$9:$BM$508,"&lt;"&amp;$BM418)+COUNTIFS($BI$9:$BI$508,$BI418,$BK$9:$BK$508,$BK418,$BM$9:$BM$508,$BM418,$BO$9:$BO$508,"&lt;"&amp;$BO418)+COUNTIFS($BI$9:$BI$508,$BI418,$BK$9:$BK$508,$BK418,$BM$9:$BM$508,$BM418,$BO$9:$BO$508,$BO418,$BQ$9:$BQ$508,"&lt;"&amp;$BQ418)+1))</f>
        <v/>
      </c>
      <c r="BS418" s="87" t="str">
        <f aca="false">IF(ISBLANK($C418),"",IF($BD418&lt;&gt;Constants!$B$6,$BD418,$BI418-$BR418))</f>
        <v/>
      </c>
      <c r="BT418" s="94"/>
      <c r="BU418" s="95"/>
      <c r="BV418" s="95" t="str">
        <f aca="false">IF(ISBLANK($C418),"",IF($BD418&lt;&gt;Constants!$B$6,"",IF($AU418="-&gt;",2,1)))</f>
        <v/>
      </c>
      <c r="BW418" s="96" t="str">
        <f aca="false">IF(ISBLANK($C418),"",IF($BD418&lt;&gt;Constants!$B$6,"",IF($AU418="-&gt;",$AW418,$AN418)))</f>
        <v/>
      </c>
      <c r="BX418" s="96" t="str">
        <f aca="false">IF(ISBLANK($C418),"",IF($BD418&lt;&gt;Constants!$B$6,"",IF($AU418="-&gt;",$AX418,$AO418)))</f>
        <v/>
      </c>
      <c r="BY418" s="96" t="str">
        <f aca="false">IF(ISBLANK($C418),"",IF($BD418&lt;&gt;Constants!$B$6,"",IF($AU418="-&gt;",$AY418,$AP418)))</f>
        <v/>
      </c>
      <c r="BZ418" s="96" t="str">
        <f aca="false">IF(ISBLANK($C418),"",IF($BD418&lt;&gt;Constants!$B$6,"",IF($AU418="-&gt;",$AZ418,$AQ418)+$BG418))</f>
        <v/>
      </c>
      <c r="CA418" s="97" t="str">
        <f aca="false">IF(ISBLANK($C418),"",IF($BD418&lt;&gt;Constants!$B$6,$BD418,$BH418))</f>
        <v/>
      </c>
      <c r="CB418" s="98" t="str">
        <f aca="false">IF(ISBLANK($C418),"",$BE418)</f>
        <v/>
      </c>
      <c r="CC418" s="99" t="str">
        <f aca="false">IF(ISBLANK($C418),"",$BS418)</f>
        <v/>
      </c>
      <c r="CD418" s="99" t="str">
        <f aca="false">IF(ISBLANK($C418),"",$BR418)</f>
        <v/>
      </c>
      <c r="CE418" s="100" t="str">
        <f aca="false">IF(ISBLANK($C418),"",IF($CD418=Constants!$B$9,COUNTA($C$9:$C$508)+2,IF($CD418=Constants!$B$8,COUNTA($C$9:$C$508)+1,IF($CD418=Constants!$B$7,COUNTA($C$9:$C$508),$CD418))))</f>
        <v/>
      </c>
      <c r="CF418" s="9"/>
      <c r="CG418" s="101" t="n">
        <f aca="false">IF(OR(ISNUMBER($CD418),$CD418=Constants!$B$9,$CD418=Constants!$B$7,$CD418=Constants!$B$8),1,0)</f>
        <v>0</v>
      </c>
      <c r="CH418" s="101" t="n">
        <v>410</v>
      </c>
      <c r="CI418" s="101" t="str">
        <f aca="false">IF(ISBLANK($C418),"",IF(ISNUMBER($CE418),$CE418+ROW($B418)/1000,""))</f>
        <v/>
      </c>
      <c r="CJ418" s="101" t="str">
        <f aca="false">IF(ISNUMBER($CI418),RANK($CI418,$CI$9:$CI$508,1),"")</f>
        <v/>
      </c>
      <c r="CK418" s="101" t="str">
        <f aca="false">IF(ISBLANK($C418),"",$B418)</f>
        <v/>
      </c>
      <c r="CL418" s="101" t="str">
        <f aca="false">IF(ISBLANK($C418),"",$C418)</f>
        <v/>
      </c>
      <c r="CM418" s="101" t="str">
        <f aca="false">IF(ISBLANK($C418),"",$D418)</f>
        <v/>
      </c>
      <c r="CN418" s="102" t="str">
        <f aca="false">$CB418</f>
        <v/>
      </c>
      <c r="CO418" s="103" t="str">
        <f aca="false">$CA418</f>
        <v/>
      </c>
      <c r="CP418" s="101" t="str">
        <f aca="false">IF(ISBLANK($C418),"",$CD418)</f>
        <v/>
      </c>
      <c r="CQ418" s="104" t="str">
        <f aca="false">IF($CH418&gt;$CG$8,"",VLOOKUP($CH418,$CJ$9:$CP$508,7,FALSE()))</f>
        <v/>
      </c>
      <c r="CR418" s="105" t="str">
        <f aca="false">IF($CH418&gt;$CG$8,"",VLOOKUP($CH418,$CJ$9:$CP$508,2,FALSE()))</f>
        <v/>
      </c>
      <c r="CS418" s="105" t="str">
        <f aca="false">IF($CH418&gt;$CG$8,"",VLOOKUP($CH418,$CJ$9:$CP$508,3,FALSE()))</f>
        <v/>
      </c>
      <c r="CT418" s="105" t="str">
        <f aca="false">IF($CH418&gt;$CG$8,"",VLOOKUP($CH418,$CJ$9:$CP$508,4,FALSE()))</f>
        <v/>
      </c>
      <c r="CU418" s="105" t="str">
        <f aca="false">IF($CH418&gt;$CG$8,"",VLOOKUP($CH418,$CJ$9:$CP$508,5,FALSE()))</f>
        <v/>
      </c>
      <c r="CV418" s="106" t="str">
        <f aca="false">IF($CH418&gt;$CG$8,"",VLOOKUP($CH418,$CJ$9:$CP$508,6,FALSE()))</f>
        <v/>
      </c>
      <c r="CW418" s="71"/>
    </row>
    <row r="419" customFormat="false" ht="15.75" hidden="false" customHeight="false" outlineLevel="0" collapsed="false">
      <c r="A419" s="9"/>
      <c r="B419" s="72"/>
      <c r="C419" s="73"/>
      <c r="D419" s="160"/>
      <c r="E419" s="168"/>
      <c r="F419" s="162"/>
      <c r="G419" s="163"/>
      <c r="H419" s="169"/>
      <c r="I419" s="167"/>
      <c r="J419" s="80"/>
      <c r="K419" s="81"/>
      <c r="L419" s="82"/>
      <c r="M419" s="166"/>
      <c r="N419" s="167"/>
      <c r="O419" s="167"/>
      <c r="P419" s="80"/>
      <c r="Q419" s="82"/>
      <c r="R419" s="82"/>
      <c r="S419" s="166"/>
      <c r="T419" s="167"/>
      <c r="U419" s="86"/>
      <c r="V419" s="87"/>
      <c r="W419" s="87" t="str">
        <f aca="false">IF(ISBLANK($C419),"",IF(E419=Constants!$B$2,TRUE(),IF(E419=Constants!$B$3,FALSE(),TRUE())))</f>
        <v/>
      </c>
      <c r="X419" s="87" t="str">
        <f aca="false">IF(ISBLANK($C419),"",IF(F419=Constants!$B$2,TRUE(),IF(F419=Constants!$B$3,FALSE(),TRUE())))</f>
        <v/>
      </c>
      <c r="Y419" s="87" t="str">
        <f aca="false">IF(ISBLANK($C419),"",IF(G419=Constants!$B$2,TRUE(),IF(G419=Constants!$B$3,FALSE(),TRUE())))</f>
        <v/>
      </c>
      <c r="Z419" s="87" t="str">
        <f aca="false">IF(ISBLANK($C419),"",IF(H419=Constants!$B$2,TRUE(),IF(H419=Constants!$B$3,FALSE(),TRUE())))</f>
        <v/>
      </c>
      <c r="AA419" s="87" t="str">
        <f aca="false">IF(ISBLANK($C419),"",IF(I419=Constants!$B$2,TRUE(),IF(I419=Constants!$B$3,FALSE(),TRUE())))</f>
        <v/>
      </c>
      <c r="AB419" s="87" t="str">
        <f aca="false">IF(ISBLANK($C419),"",IF(J419=Constants!$B$4,TRUE(),IF(J419=Constants!$B$5,FALSE(),COUNTA(K419:M419)&gt;0)))</f>
        <v/>
      </c>
      <c r="AC419" s="88" t="str">
        <f aca="false">IF(ISBLANK($C419),"",IF(ISNUMBER(K419),IF(K419&gt;=0,K419,""),""))</f>
        <v/>
      </c>
      <c r="AD419" s="89" t="str">
        <f aca="false">IF(ISBLANK($C419),"",IF(ISNUMBER(L419),IF(L419&gt;=0,L419,""),""))</f>
        <v/>
      </c>
      <c r="AE419" s="87" t="str">
        <f aca="false">IF(ISBLANK($C419),"",IF(ISNUMBER(M419),IF(M419&gt;=0,MIN(M419,Constants!$B$22),""),""))</f>
        <v/>
      </c>
      <c r="AF419" s="87" t="str">
        <f aca="false">IF(ISBLANK($C419),"",IF(N419=Constants!$B$2,TRUE(),IF(N419=Constants!$B$3,FALSE(),TRUE())))</f>
        <v/>
      </c>
      <c r="AG419" s="87" t="str">
        <f aca="false">IF(ISBLANK($C419),"",IF(O419=Constants!$B$2,TRUE(),IF(O419=Constants!$B$3,FALSE(),TRUE())))</f>
        <v/>
      </c>
      <c r="AH419" s="87" t="str">
        <f aca="false">IF(ISBLANK($C419),"",IF(P419=Constants!$B$4,TRUE(),IF(P419=Constants!$B$5,FALSE(),COUNTA(Q419:S419)&gt;0)))</f>
        <v/>
      </c>
      <c r="AI419" s="88" t="str">
        <f aca="false">IF(ISBLANK($C419),"",IF(ISNUMBER(Q419),IF(Q419&gt;=0,Q419,""),""))</f>
        <v/>
      </c>
      <c r="AJ419" s="89" t="str">
        <f aca="false">IF(ISBLANK($C419),"",IF(ISNUMBER(R419),IF(R419&gt;=0,R419,""),""))</f>
        <v/>
      </c>
      <c r="AK419" s="87" t="str">
        <f aca="false">IF(ISBLANK($C419),"",IF(ISNUMBER(S419),IF(S419&gt;=0,MIN(S419,Constants!$B$22),""),""))</f>
        <v/>
      </c>
      <c r="AL419" s="87" t="str">
        <f aca="false">IF(ISBLANK($C419),"",IF(T419=Constants!$B$2,TRUE(),IF(T419=Constants!$B$3,FALSE(),FALSE())))</f>
        <v/>
      </c>
      <c r="AM419" s="86" t="str">
        <f aca="false">IF(ISBLANK($C419),"",AND($AB419,OR($AC419="",$AD419="",AND(NOT(ISBLANK($M419)),$AE419=""))))</f>
        <v/>
      </c>
      <c r="AN419" s="89" t="str">
        <f aca="false">IF($BD419&lt;&gt;Constants!$B$6,"",IF($AB419,Constants!$B$17*$AD419,Constants!$B$18))</f>
        <v/>
      </c>
      <c r="AO419" s="91" t="str">
        <f aca="false">IF($BD419&lt;&gt;Constants!$B$6,"",Constants!$B$19*IF($AB419,$AC419,0))</f>
        <v/>
      </c>
      <c r="AP419" s="91" t="str">
        <f aca="false">IF($BD419&lt;&gt;Constants!$B$6,"",IF(AND($AB419,ISNUMBER($AE419)),Constants!$B$20*(Constants!$B$21-$AE419),0))</f>
        <v/>
      </c>
      <c r="AQ419" s="91" t="str">
        <f aca="false">IF($BD419&lt;&gt;Constants!$B$6,"",IF($AA419,0,Constants!$B$12)+IF($Z419,0,Constants!$B$13)+IF($Y419,0,Constants!$B$14))</f>
        <v/>
      </c>
      <c r="AR419" s="92" t="str">
        <f aca="false">IF($BD419&lt;&gt;Constants!$B$6,"",Constants!$B$16+SUM($AN419:$AQ419))</f>
        <v/>
      </c>
      <c r="AS419" s="91" t="str">
        <f aca="false">IF($BD419&lt;&gt;Constants!$B$6,"",IF($AB419,$AD419,""))</f>
        <v/>
      </c>
      <c r="AT419" s="93" t="str">
        <f aca="false">IF($BD419&lt;&gt;Constants!$B$6,"",$AO419)</f>
        <v/>
      </c>
      <c r="AU419" s="87" t="str">
        <f aca="false">IF($BD419&lt;&gt;Constants!$B$6,"",IF(OR($BA419&lt;$AR419,AND($BA419=$AR419,OR(AND(ISNUMBER($BB419),OR(NOT(ISNUMBER($AS419)),$BB419&lt;$AS419)),AND(OR(AND($BB419="",$AS419=""),AND(ISNUMBER($BB419),ISNUMBER($AS419),$BB419=$AS419)),$BC419&lt;$AT419)))),"-&gt;","&lt;-"))</f>
        <v/>
      </c>
      <c r="AV419" s="86" t="str">
        <f aca="false">IF(ISBLANK($C419),"",AND($AH419,OR($AI419="",$AJ419="",AND(NOT(ISBLANK($S419)),$AK419=""))))</f>
        <v/>
      </c>
      <c r="AW419" s="89" t="str">
        <f aca="false">IF($BD419&lt;&gt;Constants!$B$6,"",IF($AH419,Constants!$B$17*$AJ419,Constants!$B$18))</f>
        <v/>
      </c>
      <c r="AX419" s="91" t="str">
        <f aca="false">IF($BD419&lt;&gt;Constants!$B$6,"",Constants!$B$19*IF($AH419,$AI419,0))</f>
        <v/>
      </c>
      <c r="AY419" s="91" t="str">
        <f aca="false">IF($BD419&lt;&gt;Constants!$B$6,"",IF(AND($AH419,ISNUMBER($AK419)),Constants!$B$20*(Constants!$B$21-$AK419),0))</f>
        <v/>
      </c>
      <c r="AZ419" s="91" t="str">
        <f aca="false">IF($BD419&lt;&gt;Constants!$B$6,"",IF($AG419,0,Constants!$B$12)+IF($AF419,0,Constants!$B$13)+IF($Y419,0,Constants!$B$14))</f>
        <v/>
      </c>
      <c r="BA419" s="92" t="str">
        <f aca="false">IF($BD419&lt;&gt;Constants!$B$6,"",Constants!$B$16+SUM($AW419:$AZ419))</f>
        <v/>
      </c>
      <c r="BB419" s="91" t="str">
        <f aca="false">IF($BD419&lt;&gt;Constants!$B$6,"",IF($AH419,$AJ419,""))</f>
        <v/>
      </c>
      <c r="BC419" s="93" t="str">
        <f aca="false">IF($BD419&lt;&gt;Constants!$B$6,"",$AX419)</f>
        <v/>
      </c>
      <c r="BD419" s="87" t="str">
        <f aca="false">IF(ISBLANK($C419),"",IF($AL419,Constants!$B$9,IF(COUNTA($E419:$T419)=0,Constants!$B$8,IF(NOT($X419),Constants!$B$7,IF(OR($AM419,$AV419),Constants!$B$10,Constants!$B$6)))))</f>
        <v/>
      </c>
      <c r="BE419" s="87" t="str">
        <f aca="false">IF(ISBLANK($C419),"",IF($BD419&lt;&gt;Constants!$B$6,$BD419,Constants!$B$11))</f>
        <v/>
      </c>
      <c r="BF419" s="91" t="str">
        <f aca="false">IF($BD419&lt;&gt;Constants!$B$6,"",IF($AU419="-&gt;",$BA419,$AR419))</f>
        <v/>
      </c>
      <c r="BG419" s="91" t="str">
        <f aca="false">IF($BD419&lt;&gt;Constants!$B$6,"",IF($W419,0,Constants!$B$15))</f>
        <v/>
      </c>
      <c r="BH419" s="91" t="str">
        <f aca="false">IF(ISBLANK($C419),"",IF($BD419&lt;&gt;Constants!$B$6,$BD419,SUM($BF419:$BG419)))</f>
        <v/>
      </c>
      <c r="BI419" s="87" t="str">
        <f aca="false">IF(ISBLANK($C419),"",IF($BD419&lt;&gt;Constants!$B$6,$BD419,RANK($BH419,$BH$9:$BH$508,1)))</f>
        <v/>
      </c>
      <c r="BJ419" s="91" t="str">
        <f aca="false">IF($BD419&lt;&gt;Constants!$B$6,"",IF($AU419="-&gt;",$BB419,$AS419))</f>
        <v/>
      </c>
      <c r="BK419" s="87" t="str">
        <f aca="false">IF(ISBLANK($C419),"",IF($BD419&lt;&gt;Constants!$B$6,$BD419,IF(ISNUMBER($BJ419),RANK($BJ419,$BJ$9:$BJ$508,1),COUNT($BJ$9:$BJ$508)+1)))</f>
        <v/>
      </c>
      <c r="BL419" s="91" t="str">
        <f aca="false">IF($BD419&lt;&gt;Constants!$B$6,"",IF($AU419="-&gt;",$BC419,$AT419))</f>
        <v/>
      </c>
      <c r="BM419" s="87" t="str">
        <f aca="false">IF(ISBLANK($C419),"",IF($BD419&lt;&gt;Constants!$B$6,$BD419,IF(ISNUMBER($BL419),RANK($BL419,$BL$9:$BL$508,1),COUNT($BL$9:$BL$508)+1)))</f>
        <v/>
      </c>
      <c r="BN419" s="91" t="str">
        <f aca="false">IF($BD419&lt;&gt;Constants!$B$6,"",IF($AU419="-&gt;",$AS419,$BB419))</f>
        <v/>
      </c>
      <c r="BO419" s="87" t="str">
        <f aca="false">IF(ISBLANK($C419),"",IF($BD419&lt;&gt;Constants!$B$6,$BD419,IF(ISNUMBER($BN419),RANK($BN419,$BN$9:$BN$508,1),COUNT($BN$9:$BN$508)+1)))</f>
        <v/>
      </c>
      <c r="BP419" s="91" t="str">
        <f aca="false">IF($BD419&lt;&gt;Constants!$B$6,"",IF($AU419="-&gt;",$AT419,$BC419))</f>
        <v/>
      </c>
      <c r="BQ419" s="87" t="str">
        <f aca="false">IF(ISBLANK($C419),"",IF($BD419&lt;&gt;Constants!$B$6,$BD419,IF(ISNUMBER($BP419),RANK($BP419,$BP$9:$BP$508,1),COUNT($BP$9:$BP$508)+1)))</f>
        <v/>
      </c>
      <c r="BR419" s="87" t="str">
        <f aca="false">IF(ISBLANK($C419),"",IF($BD419&lt;&gt;Constants!$B$6,$BD419,COUNTIFS($BI$9:$BI$508,"&lt;"&amp;$BI419)+COUNTIFS($BI$9:$BI$508,$BI419,$BK$9:$BK$508,"&lt;"&amp;$BK419)+COUNTIFS($BI$9:$BI$508,$BI419,$BK$9:$BK$508,$BK419,$BM$9:$BM$508,"&lt;"&amp;$BM419)+COUNTIFS($BI$9:$BI$508,$BI419,$BK$9:$BK$508,$BK419,$BM$9:$BM$508,$BM419,$BO$9:$BO$508,"&lt;"&amp;$BO419)+COUNTIFS($BI$9:$BI$508,$BI419,$BK$9:$BK$508,$BK419,$BM$9:$BM$508,$BM419,$BO$9:$BO$508,$BO419,$BQ$9:$BQ$508,"&lt;"&amp;$BQ419)+1))</f>
        <v/>
      </c>
      <c r="BS419" s="87" t="str">
        <f aca="false">IF(ISBLANK($C419),"",IF($BD419&lt;&gt;Constants!$B$6,$BD419,$BI419-$BR419))</f>
        <v/>
      </c>
      <c r="BT419" s="94"/>
      <c r="BU419" s="95"/>
      <c r="BV419" s="95" t="str">
        <f aca="false">IF(ISBLANK($C419),"",IF($BD419&lt;&gt;Constants!$B$6,"",IF($AU419="-&gt;",2,1)))</f>
        <v/>
      </c>
      <c r="BW419" s="96" t="str">
        <f aca="false">IF(ISBLANK($C419),"",IF($BD419&lt;&gt;Constants!$B$6,"",IF($AU419="-&gt;",$AW419,$AN419)))</f>
        <v/>
      </c>
      <c r="BX419" s="96" t="str">
        <f aca="false">IF(ISBLANK($C419),"",IF($BD419&lt;&gt;Constants!$B$6,"",IF($AU419="-&gt;",$AX419,$AO419)))</f>
        <v/>
      </c>
      <c r="BY419" s="96" t="str">
        <f aca="false">IF(ISBLANK($C419),"",IF($BD419&lt;&gt;Constants!$B$6,"",IF($AU419="-&gt;",$AY419,$AP419)))</f>
        <v/>
      </c>
      <c r="BZ419" s="96" t="str">
        <f aca="false">IF(ISBLANK($C419),"",IF($BD419&lt;&gt;Constants!$B$6,"",IF($AU419="-&gt;",$AZ419,$AQ419)+$BG419))</f>
        <v/>
      </c>
      <c r="CA419" s="97" t="str">
        <f aca="false">IF(ISBLANK($C419),"",IF($BD419&lt;&gt;Constants!$B$6,$BD419,$BH419))</f>
        <v/>
      </c>
      <c r="CB419" s="98" t="str">
        <f aca="false">IF(ISBLANK($C419),"",$BE419)</f>
        <v/>
      </c>
      <c r="CC419" s="99" t="str">
        <f aca="false">IF(ISBLANK($C419),"",$BS419)</f>
        <v/>
      </c>
      <c r="CD419" s="99" t="str">
        <f aca="false">IF(ISBLANK($C419),"",$BR419)</f>
        <v/>
      </c>
      <c r="CE419" s="100" t="str">
        <f aca="false">IF(ISBLANK($C419),"",IF($CD419=Constants!$B$9,COUNTA($C$9:$C$508)+2,IF($CD419=Constants!$B$8,COUNTA($C$9:$C$508)+1,IF($CD419=Constants!$B$7,COUNTA($C$9:$C$508),$CD419))))</f>
        <v/>
      </c>
      <c r="CF419" s="9"/>
      <c r="CG419" s="101" t="n">
        <f aca="false">IF(OR(ISNUMBER($CD419),$CD419=Constants!$B$9,$CD419=Constants!$B$7,$CD419=Constants!$B$8),1,0)</f>
        <v>0</v>
      </c>
      <c r="CH419" s="101" t="n">
        <v>411</v>
      </c>
      <c r="CI419" s="101" t="str">
        <f aca="false">IF(ISBLANK($C419),"",IF(ISNUMBER($CE419),$CE419+ROW($B419)/1000,""))</f>
        <v/>
      </c>
      <c r="CJ419" s="101" t="str">
        <f aca="false">IF(ISNUMBER($CI419),RANK($CI419,$CI$9:$CI$508,1),"")</f>
        <v/>
      </c>
      <c r="CK419" s="101" t="str">
        <f aca="false">IF(ISBLANK($C419),"",$B419)</f>
        <v/>
      </c>
      <c r="CL419" s="101" t="str">
        <f aca="false">IF(ISBLANK($C419),"",$C419)</f>
        <v/>
      </c>
      <c r="CM419" s="101" t="str">
        <f aca="false">IF(ISBLANK($C419),"",$D419)</f>
        <v/>
      </c>
      <c r="CN419" s="102" t="str">
        <f aca="false">$CB419</f>
        <v/>
      </c>
      <c r="CO419" s="103" t="str">
        <f aca="false">$CA419</f>
        <v/>
      </c>
      <c r="CP419" s="101" t="str">
        <f aca="false">IF(ISBLANK($C419),"",$CD419)</f>
        <v/>
      </c>
      <c r="CQ419" s="104" t="str">
        <f aca="false">IF($CH419&gt;$CG$8,"",VLOOKUP($CH419,$CJ$9:$CP$508,7,FALSE()))</f>
        <v/>
      </c>
      <c r="CR419" s="105" t="str">
        <f aca="false">IF($CH419&gt;$CG$8,"",VLOOKUP($CH419,$CJ$9:$CP$508,2,FALSE()))</f>
        <v/>
      </c>
      <c r="CS419" s="105" t="str">
        <f aca="false">IF($CH419&gt;$CG$8,"",VLOOKUP($CH419,$CJ$9:$CP$508,3,FALSE()))</f>
        <v/>
      </c>
      <c r="CT419" s="105" t="str">
        <f aca="false">IF($CH419&gt;$CG$8,"",VLOOKUP($CH419,$CJ$9:$CP$508,4,FALSE()))</f>
        <v/>
      </c>
      <c r="CU419" s="105" t="str">
        <f aca="false">IF($CH419&gt;$CG$8,"",VLOOKUP($CH419,$CJ$9:$CP$508,5,FALSE()))</f>
        <v/>
      </c>
      <c r="CV419" s="106" t="str">
        <f aca="false">IF($CH419&gt;$CG$8,"",VLOOKUP($CH419,$CJ$9:$CP$508,6,FALSE()))</f>
        <v/>
      </c>
      <c r="CW419" s="71"/>
    </row>
    <row r="420" customFormat="false" ht="15.75" hidden="false" customHeight="false" outlineLevel="0" collapsed="false">
      <c r="A420" s="9"/>
      <c r="B420" s="150"/>
      <c r="C420" s="151"/>
      <c r="D420" s="152"/>
      <c r="E420" s="170"/>
      <c r="F420" s="154"/>
      <c r="G420" s="155"/>
      <c r="H420" s="171"/>
      <c r="I420" s="159"/>
      <c r="J420" s="120"/>
      <c r="K420" s="121"/>
      <c r="L420" s="122"/>
      <c r="M420" s="158"/>
      <c r="N420" s="159"/>
      <c r="O420" s="159"/>
      <c r="P420" s="120"/>
      <c r="Q420" s="122"/>
      <c r="R420" s="122"/>
      <c r="S420" s="158"/>
      <c r="T420" s="159"/>
      <c r="U420" s="126"/>
      <c r="V420" s="127"/>
      <c r="W420" s="127" t="str">
        <f aca="false">IF(ISBLANK($C420),"",IF(E420=Constants!$B$2,TRUE(),IF(E420=Constants!$B$3,FALSE(),TRUE())))</f>
        <v/>
      </c>
      <c r="X420" s="127" t="str">
        <f aca="false">IF(ISBLANK($C420),"",IF(F420=Constants!$B$2,TRUE(),IF(F420=Constants!$B$3,FALSE(),TRUE())))</f>
        <v/>
      </c>
      <c r="Y420" s="127" t="str">
        <f aca="false">IF(ISBLANK($C420),"",IF(G420=Constants!$B$2,TRUE(),IF(G420=Constants!$B$3,FALSE(),TRUE())))</f>
        <v/>
      </c>
      <c r="Z420" s="127" t="str">
        <f aca="false">IF(ISBLANK($C420),"",IF(H420=Constants!$B$2,TRUE(),IF(H420=Constants!$B$3,FALSE(),TRUE())))</f>
        <v/>
      </c>
      <c r="AA420" s="127" t="str">
        <f aca="false">IF(ISBLANK($C420),"",IF(I420=Constants!$B$2,TRUE(),IF(I420=Constants!$B$3,FALSE(),TRUE())))</f>
        <v/>
      </c>
      <c r="AB420" s="127" t="str">
        <f aca="false">IF(ISBLANK($C420),"",IF(J420=Constants!$B$4,TRUE(),IF(J420=Constants!$B$5,FALSE(),COUNTA(K420:M420)&gt;0)))</f>
        <v/>
      </c>
      <c r="AC420" s="128" t="str">
        <f aca="false">IF(ISBLANK($C420),"",IF(ISNUMBER(K420),IF(K420&gt;=0,K420,""),""))</f>
        <v/>
      </c>
      <c r="AD420" s="129" t="str">
        <f aca="false">IF(ISBLANK($C420),"",IF(ISNUMBER(L420),IF(L420&gt;=0,L420,""),""))</f>
        <v/>
      </c>
      <c r="AE420" s="127" t="str">
        <f aca="false">IF(ISBLANK($C420),"",IF(ISNUMBER(M420),IF(M420&gt;=0,MIN(M420,Constants!$B$22),""),""))</f>
        <v/>
      </c>
      <c r="AF420" s="127" t="str">
        <f aca="false">IF(ISBLANK($C420),"",IF(N420=Constants!$B$2,TRUE(),IF(N420=Constants!$B$3,FALSE(),TRUE())))</f>
        <v/>
      </c>
      <c r="AG420" s="127" t="str">
        <f aca="false">IF(ISBLANK($C420),"",IF(O420=Constants!$B$2,TRUE(),IF(O420=Constants!$B$3,FALSE(),TRUE())))</f>
        <v/>
      </c>
      <c r="AH420" s="127" t="str">
        <f aca="false">IF(ISBLANK($C420),"",IF(P420=Constants!$B$4,TRUE(),IF(P420=Constants!$B$5,FALSE(),COUNTA(Q420:S420)&gt;0)))</f>
        <v/>
      </c>
      <c r="AI420" s="128" t="str">
        <f aca="false">IF(ISBLANK($C420),"",IF(ISNUMBER(Q420),IF(Q420&gt;=0,Q420,""),""))</f>
        <v/>
      </c>
      <c r="AJ420" s="129" t="str">
        <f aca="false">IF(ISBLANK($C420),"",IF(ISNUMBER(R420),IF(R420&gt;=0,R420,""),""))</f>
        <v/>
      </c>
      <c r="AK420" s="127" t="str">
        <f aca="false">IF(ISBLANK($C420),"",IF(ISNUMBER(S420),IF(S420&gt;=0,MIN(S420,Constants!$B$22),""),""))</f>
        <v/>
      </c>
      <c r="AL420" s="127" t="str">
        <f aca="false">IF(ISBLANK($C420),"",IF(T420=Constants!$B$2,TRUE(),IF(T420=Constants!$B$3,FALSE(),FALSE())))</f>
        <v/>
      </c>
      <c r="AM420" s="126" t="str">
        <f aca="false">IF(ISBLANK($C420),"",AND($AB420,OR($AC420="",$AD420="",AND(NOT(ISBLANK($M420)),$AE420=""))))</f>
        <v/>
      </c>
      <c r="AN420" s="129" t="str">
        <f aca="false">IF($BD420&lt;&gt;Constants!$B$6,"",IF($AB420,Constants!$B$17*$AD420,Constants!$B$18))</f>
        <v/>
      </c>
      <c r="AO420" s="130" t="str">
        <f aca="false">IF($BD420&lt;&gt;Constants!$B$6,"",Constants!$B$19*IF($AB420,$AC420,0))</f>
        <v/>
      </c>
      <c r="AP420" s="130" t="str">
        <f aca="false">IF($BD420&lt;&gt;Constants!$B$6,"",IF(AND($AB420,ISNUMBER($AE420)),Constants!$B$20*(Constants!$B$21-$AE420),0))</f>
        <v/>
      </c>
      <c r="AQ420" s="130" t="str">
        <f aca="false">IF($BD420&lt;&gt;Constants!$B$6,"",IF($AA420,0,Constants!$B$12)+IF($Z420,0,Constants!$B$13)+IF($Y420,0,Constants!$B$14))</f>
        <v/>
      </c>
      <c r="AR420" s="131" t="str">
        <f aca="false">IF($BD420&lt;&gt;Constants!$B$6,"",Constants!$B$16+SUM($AN420:$AQ420))</f>
        <v/>
      </c>
      <c r="AS420" s="130" t="str">
        <f aca="false">IF($BD420&lt;&gt;Constants!$B$6,"",IF($AB420,$AD420,""))</f>
        <v/>
      </c>
      <c r="AT420" s="132" t="str">
        <f aca="false">IF($BD420&lt;&gt;Constants!$B$6,"",$AO420)</f>
        <v/>
      </c>
      <c r="AU420" s="127" t="str">
        <f aca="false">IF($BD420&lt;&gt;Constants!$B$6,"",IF(OR($BA420&lt;$AR420,AND($BA420=$AR420,OR(AND(ISNUMBER($BB420),OR(NOT(ISNUMBER($AS420)),$BB420&lt;$AS420)),AND(OR(AND($BB420="",$AS420=""),AND(ISNUMBER($BB420),ISNUMBER($AS420),$BB420=$AS420)),$BC420&lt;$AT420)))),"-&gt;","&lt;-"))</f>
        <v/>
      </c>
      <c r="AV420" s="126" t="str">
        <f aca="false">IF(ISBLANK($C420),"",AND($AH420,OR($AI420="",$AJ420="",AND(NOT(ISBLANK($S420)),$AK420=""))))</f>
        <v/>
      </c>
      <c r="AW420" s="129" t="str">
        <f aca="false">IF($BD420&lt;&gt;Constants!$B$6,"",IF($AH420,Constants!$B$17*$AJ420,Constants!$B$18))</f>
        <v/>
      </c>
      <c r="AX420" s="130" t="str">
        <f aca="false">IF($BD420&lt;&gt;Constants!$B$6,"",Constants!$B$19*IF($AH420,$AI420,0))</f>
        <v/>
      </c>
      <c r="AY420" s="130" t="str">
        <f aca="false">IF($BD420&lt;&gt;Constants!$B$6,"",IF(AND($AH420,ISNUMBER($AK420)),Constants!$B$20*(Constants!$B$21-$AK420),0))</f>
        <v/>
      </c>
      <c r="AZ420" s="130" t="str">
        <f aca="false">IF($BD420&lt;&gt;Constants!$B$6,"",IF($AG420,0,Constants!$B$12)+IF($AF420,0,Constants!$B$13)+IF($Y420,0,Constants!$B$14))</f>
        <v/>
      </c>
      <c r="BA420" s="131" t="str">
        <f aca="false">IF($BD420&lt;&gt;Constants!$B$6,"",Constants!$B$16+SUM($AW420:$AZ420))</f>
        <v/>
      </c>
      <c r="BB420" s="130" t="str">
        <f aca="false">IF($BD420&lt;&gt;Constants!$B$6,"",IF($AH420,$AJ420,""))</f>
        <v/>
      </c>
      <c r="BC420" s="132" t="str">
        <f aca="false">IF($BD420&lt;&gt;Constants!$B$6,"",$AX420)</f>
        <v/>
      </c>
      <c r="BD420" s="127" t="str">
        <f aca="false">IF(ISBLANK($C420),"",IF($AL420,Constants!$B$9,IF(COUNTA($E420:$T420)=0,Constants!$B$8,IF(NOT($X420),Constants!$B$7,IF(OR($AM420,$AV420),Constants!$B$10,Constants!$B$6)))))</f>
        <v/>
      </c>
      <c r="BE420" s="127" t="str">
        <f aca="false">IF(ISBLANK($C420),"",IF($BD420&lt;&gt;Constants!$B$6,$BD420,Constants!$B$11))</f>
        <v/>
      </c>
      <c r="BF420" s="130" t="str">
        <f aca="false">IF($BD420&lt;&gt;Constants!$B$6,"",IF($AU420="-&gt;",$BA420,$AR420))</f>
        <v/>
      </c>
      <c r="BG420" s="130" t="str">
        <f aca="false">IF($BD420&lt;&gt;Constants!$B$6,"",IF($W420,0,Constants!$B$15))</f>
        <v/>
      </c>
      <c r="BH420" s="130" t="str">
        <f aca="false">IF(ISBLANK($C420),"",IF($BD420&lt;&gt;Constants!$B$6,$BD420,SUM($BF420:$BG420)))</f>
        <v/>
      </c>
      <c r="BI420" s="127" t="str">
        <f aca="false">IF(ISBLANK($C420),"",IF($BD420&lt;&gt;Constants!$B$6,$BD420,RANK($BH420,$BH$9:$BH$508,1)))</f>
        <v/>
      </c>
      <c r="BJ420" s="130" t="str">
        <f aca="false">IF($BD420&lt;&gt;Constants!$B$6,"",IF($AU420="-&gt;",$BB420,$AS420))</f>
        <v/>
      </c>
      <c r="BK420" s="127" t="str">
        <f aca="false">IF(ISBLANK($C420),"",IF($BD420&lt;&gt;Constants!$B$6,$BD420,IF(ISNUMBER($BJ420),RANK($BJ420,$BJ$9:$BJ$508,1),COUNT($BJ$9:$BJ$508)+1)))</f>
        <v/>
      </c>
      <c r="BL420" s="130" t="str">
        <f aca="false">IF($BD420&lt;&gt;Constants!$B$6,"",IF($AU420="-&gt;",$BC420,$AT420))</f>
        <v/>
      </c>
      <c r="BM420" s="127" t="str">
        <f aca="false">IF(ISBLANK($C420),"",IF($BD420&lt;&gt;Constants!$B$6,$BD420,IF(ISNUMBER($BL420),RANK($BL420,$BL$9:$BL$508,1),COUNT($BL$9:$BL$508)+1)))</f>
        <v/>
      </c>
      <c r="BN420" s="130" t="str">
        <f aca="false">IF($BD420&lt;&gt;Constants!$B$6,"",IF($AU420="-&gt;",$AS420,$BB420))</f>
        <v/>
      </c>
      <c r="BO420" s="127" t="str">
        <f aca="false">IF(ISBLANK($C420),"",IF($BD420&lt;&gt;Constants!$B$6,$BD420,IF(ISNUMBER($BN420),RANK($BN420,$BN$9:$BN$508,1),COUNT($BN$9:$BN$508)+1)))</f>
        <v/>
      </c>
      <c r="BP420" s="130" t="str">
        <f aca="false">IF($BD420&lt;&gt;Constants!$B$6,"",IF($AU420="-&gt;",$AT420,$BC420))</f>
        <v/>
      </c>
      <c r="BQ420" s="127" t="str">
        <f aca="false">IF(ISBLANK($C420),"",IF($BD420&lt;&gt;Constants!$B$6,$BD420,IF(ISNUMBER($BP420),RANK($BP420,$BP$9:$BP$508,1),COUNT($BP$9:$BP$508)+1)))</f>
        <v/>
      </c>
      <c r="BR420" s="127" t="str">
        <f aca="false">IF(ISBLANK($C420),"",IF($BD420&lt;&gt;Constants!$B$6,$BD420,COUNTIFS($BI$9:$BI$508,"&lt;"&amp;$BI420)+COUNTIFS($BI$9:$BI$508,$BI420,$BK$9:$BK$508,"&lt;"&amp;$BK420)+COUNTIFS($BI$9:$BI$508,$BI420,$BK$9:$BK$508,$BK420,$BM$9:$BM$508,"&lt;"&amp;$BM420)+COUNTIFS($BI$9:$BI$508,$BI420,$BK$9:$BK$508,$BK420,$BM$9:$BM$508,$BM420,$BO$9:$BO$508,"&lt;"&amp;$BO420)+COUNTIFS($BI$9:$BI$508,$BI420,$BK$9:$BK$508,$BK420,$BM$9:$BM$508,$BM420,$BO$9:$BO$508,$BO420,$BQ$9:$BQ$508,"&lt;"&amp;$BQ420)+1))</f>
        <v/>
      </c>
      <c r="BS420" s="127" t="str">
        <f aca="false">IF(ISBLANK($C420),"",IF($BD420&lt;&gt;Constants!$B$6,$BD420,$BI420-$BR420))</f>
        <v/>
      </c>
      <c r="BT420" s="133"/>
      <c r="BU420" s="134"/>
      <c r="BV420" s="134" t="str">
        <f aca="false">IF(ISBLANK($C420),"",IF($BD420&lt;&gt;Constants!$B$6,"",IF($AU420="-&gt;",2,1)))</f>
        <v/>
      </c>
      <c r="BW420" s="135" t="str">
        <f aca="false">IF(ISBLANK($C420),"",IF($BD420&lt;&gt;Constants!$B$6,"",IF($AU420="-&gt;",$AW420,$AN420)))</f>
        <v/>
      </c>
      <c r="BX420" s="135" t="str">
        <f aca="false">IF(ISBLANK($C420),"",IF($BD420&lt;&gt;Constants!$B$6,"",IF($AU420="-&gt;",$AX420,$AO420)))</f>
        <v/>
      </c>
      <c r="BY420" s="135" t="str">
        <f aca="false">IF(ISBLANK($C420),"",IF($BD420&lt;&gt;Constants!$B$6,"",IF($AU420="-&gt;",$AY420,$AP420)))</f>
        <v/>
      </c>
      <c r="BZ420" s="135" t="str">
        <f aca="false">IF(ISBLANK($C420),"",IF($BD420&lt;&gt;Constants!$B$6,"",IF($AU420="-&gt;",$AZ420,$AQ420)+$BG420))</f>
        <v/>
      </c>
      <c r="CA420" s="136" t="str">
        <f aca="false">IF(ISBLANK($C420),"",IF($BD420&lt;&gt;Constants!$B$6,$BD420,$BH420))</f>
        <v/>
      </c>
      <c r="CB420" s="137" t="str">
        <f aca="false">IF(ISBLANK($C420),"",$BE420)</f>
        <v/>
      </c>
      <c r="CC420" s="138" t="str">
        <f aca="false">IF(ISBLANK($C420),"",$BS420)</f>
        <v/>
      </c>
      <c r="CD420" s="138" t="str">
        <f aca="false">IF(ISBLANK($C420),"",$BR420)</f>
        <v/>
      </c>
      <c r="CE420" s="139" t="str">
        <f aca="false">IF(ISBLANK($C420),"",IF($CD420=Constants!$B$9,COUNTA($C$9:$C$508)+2,IF($CD420=Constants!$B$8,COUNTA($C$9:$C$508)+1,IF($CD420=Constants!$B$7,COUNTA($C$9:$C$508),$CD420))))</f>
        <v/>
      </c>
      <c r="CF420" s="9"/>
      <c r="CG420" s="140" t="n">
        <f aca="false">IF(OR(ISNUMBER($CD420),$CD420=Constants!$B$9,$CD420=Constants!$B$7,$CD420=Constants!$B$8),1,0)</f>
        <v>0</v>
      </c>
      <c r="CH420" s="140" t="n">
        <v>412</v>
      </c>
      <c r="CI420" s="140" t="str">
        <f aca="false">IF(ISBLANK($C420),"",IF(ISNUMBER($CE420),$CE420+ROW($B420)/1000,""))</f>
        <v/>
      </c>
      <c r="CJ420" s="140" t="str">
        <f aca="false">IF(ISNUMBER($CI420),RANK($CI420,$CI$9:$CI$508,1),"")</f>
        <v/>
      </c>
      <c r="CK420" s="140" t="str">
        <f aca="false">IF(ISBLANK($C420),"",$B420)</f>
        <v/>
      </c>
      <c r="CL420" s="140" t="str">
        <f aca="false">IF(ISBLANK($C420),"",$C420)</f>
        <v/>
      </c>
      <c r="CM420" s="140" t="str">
        <f aca="false">IF(ISBLANK($C420),"",$D420)</f>
        <v/>
      </c>
      <c r="CN420" s="141" t="str">
        <f aca="false">$CB420</f>
        <v/>
      </c>
      <c r="CO420" s="142" t="str">
        <f aca="false">$CA420</f>
        <v/>
      </c>
      <c r="CP420" s="140" t="str">
        <f aca="false">IF(ISBLANK($C420),"",$CD420)</f>
        <v/>
      </c>
      <c r="CQ420" s="143" t="str">
        <f aca="false">IF($CH420&gt;$CG$8,"",VLOOKUP($CH420,$CJ$9:$CP$508,7,FALSE()))</f>
        <v/>
      </c>
      <c r="CR420" s="144" t="str">
        <f aca="false">IF($CH420&gt;$CG$8,"",VLOOKUP($CH420,$CJ$9:$CP$508,2,FALSE()))</f>
        <v/>
      </c>
      <c r="CS420" s="144" t="str">
        <f aca="false">IF($CH420&gt;$CG$8,"",VLOOKUP($CH420,$CJ$9:$CP$508,3,FALSE()))</f>
        <v/>
      </c>
      <c r="CT420" s="144" t="str">
        <f aca="false">IF($CH420&gt;$CG$8,"",VLOOKUP($CH420,$CJ$9:$CP$508,4,FALSE()))</f>
        <v/>
      </c>
      <c r="CU420" s="144" t="str">
        <f aca="false">IF($CH420&gt;$CG$8,"",VLOOKUP($CH420,$CJ$9:$CP$508,5,FALSE()))</f>
        <v/>
      </c>
      <c r="CV420" s="145" t="str">
        <f aca="false">IF($CH420&gt;$CG$8,"",VLOOKUP($CH420,$CJ$9:$CP$508,6,FALSE()))</f>
        <v/>
      </c>
      <c r="CW420" s="71"/>
    </row>
    <row r="421" customFormat="false" ht="15.75" hidden="false" customHeight="false" outlineLevel="0" collapsed="false">
      <c r="A421" s="9"/>
      <c r="B421" s="150"/>
      <c r="C421" s="151"/>
      <c r="D421" s="152"/>
      <c r="E421" s="170"/>
      <c r="F421" s="154"/>
      <c r="G421" s="155"/>
      <c r="H421" s="171"/>
      <c r="I421" s="159"/>
      <c r="J421" s="120"/>
      <c r="K421" s="121"/>
      <c r="L421" s="122"/>
      <c r="M421" s="158"/>
      <c r="N421" s="159"/>
      <c r="O421" s="159"/>
      <c r="P421" s="120"/>
      <c r="Q421" s="122"/>
      <c r="R421" s="122"/>
      <c r="S421" s="158"/>
      <c r="T421" s="159"/>
      <c r="U421" s="126"/>
      <c r="V421" s="127"/>
      <c r="W421" s="127" t="str">
        <f aca="false">IF(ISBLANK($C421),"",IF(E421=Constants!$B$2,TRUE(),IF(E421=Constants!$B$3,FALSE(),TRUE())))</f>
        <v/>
      </c>
      <c r="X421" s="127" t="str">
        <f aca="false">IF(ISBLANK($C421),"",IF(F421=Constants!$B$2,TRUE(),IF(F421=Constants!$B$3,FALSE(),TRUE())))</f>
        <v/>
      </c>
      <c r="Y421" s="127" t="str">
        <f aca="false">IF(ISBLANK($C421),"",IF(G421=Constants!$B$2,TRUE(),IF(G421=Constants!$B$3,FALSE(),TRUE())))</f>
        <v/>
      </c>
      <c r="Z421" s="127" t="str">
        <f aca="false">IF(ISBLANK($C421),"",IF(H421=Constants!$B$2,TRUE(),IF(H421=Constants!$B$3,FALSE(),TRUE())))</f>
        <v/>
      </c>
      <c r="AA421" s="127" t="str">
        <f aca="false">IF(ISBLANK($C421),"",IF(I421=Constants!$B$2,TRUE(),IF(I421=Constants!$B$3,FALSE(),TRUE())))</f>
        <v/>
      </c>
      <c r="AB421" s="127" t="str">
        <f aca="false">IF(ISBLANK($C421),"",IF(J421=Constants!$B$4,TRUE(),IF(J421=Constants!$B$5,FALSE(),COUNTA(K421:M421)&gt;0)))</f>
        <v/>
      </c>
      <c r="AC421" s="128" t="str">
        <f aca="false">IF(ISBLANK($C421),"",IF(ISNUMBER(K421),IF(K421&gt;=0,K421,""),""))</f>
        <v/>
      </c>
      <c r="AD421" s="129" t="str">
        <f aca="false">IF(ISBLANK($C421),"",IF(ISNUMBER(L421),IF(L421&gt;=0,L421,""),""))</f>
        <v/>
      </c>
      <c r="AE421" s="127" t="str">
        <f aca="false">IF(ISBLANK($C421),"",IF(ISNUMBER(M421),IF(M421&gt;=0,MIN(M421,Constants!$B$22),""),""))</f>
        <v/>
      </c>
      <c r="AF421" s="127" t="str">
        <f aca="false">IF(ISBLANK($C421),"",IF(N421=Constants!$B$2,TRUE(),IF(N421=Constants!$B$3,FALSE(),TRUE())))</f>
        <v/>
      </c>
      <c r="AG421" s="127" t="str">
        <f aca="false">IF(ISBLANK($C421),"",IF(O421=Constants!$B$2,TRUE(),IF(O421=Constants!$B$3,FALSE(),TRUE())))</f>
        <v/>
      </c>
      <c r="AH421" s="127" t="str">
        <f aca="false">IF(ISBLANK($C421),"",IF(P421=Constants!$B$4,TRUE(),IF(P421=Constants!$B$5,FALSE(),COUNTA(Q421:S421)&gt;0)))</f>
        <v/>
      </c>
      <c r="AI421" s="128" t="str">
        <f aca="false">IF(ISBLANK($C421),"",IF(ISNUMBER(Q421),IF(Q421&gt;=0,Q421,""),""))</f>
        <v/>
      </c>
      <c r="AJ421" s="129" t="str">
        <f aca="false">IF(ISBLANK($C421),"",IF(ISNUMBER(R421),IF(R421&gt;=0,R421,""),""))</f>
        <v/>
      </c>
      <c r="AK421" s="127" t="str">
        <f aca="false">IF(ISBLANK($C421),"",IF(ISNUMBER(S421),IF(S421&gt;=0,MIN(S421,Constants!$B$22),""),""))</f>
        <v/>
      </c>
      <c r="AL421" s="127" t="str">
        <f aca="false">IF(ISBLANK($C421),"",IF(T421=Constants!$B$2,TRUE(),IF(T421=Constants!$B$3,FALSE(),FALSE())))</f>
        <v/>
      </c>
      <c r="AM421" s="126" t="str">
        <f aca="false">IF(ISBLANK($C421),"",AND($AB421,OR($AC421="",$AD421="",AND(NOT(ISBLANK($M421)),$AE421=""))))</f>
        <v/>
      </c>
      <c r="AN421" s="129" t="str">
        <f aca="false">IF($BD421&lt;&gt;Constants!$B$6,"",IF($AB421,Constants!$B$17*$AD421,Constants!$B$18))</f>
        <v/>
      </c>
      <c r="AO421" s="130" t="str">
        <f aca="false">IF($BD421&lt;&gt;Constants!$B$6,"",Constants!$B$19*IF($AB421,$AC421,0))</f>
        <v/>
      </c>
      <c r="AP421" s="130" t="str">
        <f aca="false">IF($BD421&lt;&gt;Constants!$B$6,"",IF(AND($AB421,ISNUMBER($AE421)),Constants!$B$20*(Constants!$B$21-$AE421),0))</f>
        <v/>
      </c>
      <c r="AQ421" s="130" t="str">
        <f aca="false">IF($BD421&lt;&gt;Constants!$B$6,"",IF($AA421,0,Constants!$B$12)+IF($Z421,0,Constants!$B$13)+IF($Y421,0,Constants!$B$14))</f>
        <v/>
      </c>
      <c r="AR421" s="131" t="str">
        <f aca="false">IF($BD421&lt;&gt;Constants!$B$6,"",Constants!$B$16+SUM($AN421:$AQ421))</f>
        <v/>
      </c>
      <c r="AS421" s="130" t="str">
        <f aca="false">IF($BD421&lt;&gt;Constants!$B$6,"",IF($AB421,$AD421,""))</f>
        <v/>
      </c>
      <c r="AT421" s="132" t="str">
        <f aca="false">IF($BD421&lt;&gt;Constants!$B$6,"",$AO421)</f>
        <v/>
      </c>
      <c r="AU421" s="127" t="str">
        <f aca="false">IF($BD421&lt;&gt;Constants!$B$6,"",IF(OR($BA421&lt;$AR421,AND($BA421=$AR421,OR(AND(ISNUMBER($BB421),OR(NOT(ISNUMBER($AS421)),$BB421&lt;$AS421)),AND(OR(AND($BB421="",$AS421=""),AND(ISNUMBER($BB421),ISNUMBER($AS421),$BB421=$AS421)),$BC421&lt;$AT421)))),"-&gt;","&lt;-"))</f>
        <v/>
      </c>
      <c r="AV421" s="126" t="str">
        <f aca="false">IF(ISBLANK($C421),"",AND($AH421,OR($AI421="",$AJ421="",AND(NOT(ISBLANK($S421)),$AK421=""))))</f>
        <v/>
      </c>
      <c r="AW421" s="129" t="str">
        <f aca="false">IF($BD421&lt;&gt;Constants!$B$6,"",IF($AH421,Constants!$B$17*$AJ421,Constants!$B$18))</f>
        <v/>
      </c>
      <c r="AX421" s="130" t="str">
        <f aca="false">IF($BD421&lt;&gt;Constants!$B$6,"",Constants!$B$19*IF($AH421,$AI421,0))</f>
        <v/>
      </c>
      <c r="AY421" s="130" t="str">
        <f aca="false">IF($BD421&lt;&gt;Constants!$B$6,"",IF(AND($AH421,ISNUMBER($AK421)),Constants!$B$20*(Constants!$B$21-$AK421),0))</f>
        <v/>
      </c>
      <c r="AZ421" s="130" t="str">
        <f aca="false">IF($BD421&lt;&gt;Constants!$B$6,"",IF($AG421,0,Constants!$B$12)+IF($AF421,0,Constants!$B$13)+IF($Y421,0,Constants!$B$14))</f>
        <v/>
      </c>
      <c r="BA421" s="131" t="str">
        <f aca="false">IF($BD421&lt;&gt;Constants!$B$6,"",Constants!$B$16+SUM($AW421:$AZ421))</f>
        <v/>
      </c>
      <c r="BB421" s="130" t="str">
        <f aca="false">IF($BD421&lt;&gt;Constants!$B$6,"",IF($AH421,$AJ421,""))</f>
        <v/>
      </c>
      <c r="BC421" s="132" t="str">
        <f aca="false">IF($BD421&lt;&gt;Constants!$B$6,"",$AX421)</f>
        <v/>
      </c>
      <c r="BD421" s="127" t="str">
        <f aca="false">IF(ISBLANK($C421),"",IF($AL421,Constants!$B$9,IF(COUNTA($E421:$T421)=0,Constants!$B$8,IF(NOT($X421),Constants!$B$7,IF(OR($AM421,$AV421),Constants!$B$10,Constants!$B$6)))))</f>
        <v/>
      </c>
      <c r="BE421" s="127" t="str">
        <f aca="false">IF(ISBLANK($C421),"",IF($BD421&lt;&gt;Constants!$B$6,$BD421,Constants!$B$11))</f>
        <v/>
      </c>
      <c r="BF421" s="130" t="str">
        <f aca="false">IF($BD421&lt;&gt;Constants!$B$6,"",IF($AU421="-&gt;",$BA421,$AR421))</f>
        <v/>
      </c>
      <c r="BG421" s="130" t="str">
        <f aca="false">IF($BD421&lt;&gt;Constants!$B$6,"",IF($W421,0,Constants!$B$15))</f>
        <v/>
      </c>
      <c r="BH421" s="130" t="str">
        <f aca="false">IF(ISBLANK($C421),"",IF($BD421&lt;&gt;Constants!$B$6,$BD421,SUM($BF421:$BG421)))</f>
        <v/>
      </c>
      <c r="BI421" s="127" t="str">
        <f aca="false">IF(ISBLANK($C421),"",IF($BD421&lt;&gt;Constants!$B$6,$BD421,RANK($BH421,$BH$9:$BH$508,1)))</f>
        <v/>
      </c>
      <c r="BJ421" s="130" t="str">
        <f aca="false">IF($BD421&lt;&gt;Constants!$B$6,"",IF($AU421="-&gt;",$BB421,$AS421))</f>
        <v/>
      </c>
      <c r="BK421" s="127" t="str">
        <f aca="false">IF(ISBLANK($C421),"",IF($BD421&lt;&gt;Constants!$B$6,$BD421,IF(ISNUMBER($BJ421),RANK($BJ421,$BJ$9:$BJ$508,1),COUNT($BJ$9:$BJ$508)+1)))</f>
        <v/>
      </c>
      <c r="BL421" s="130" t="str">
        <f aca="false">IF($BD421&lt;&gt;Constants!$B$6,"",IF($AU421="-&gt;",$BC421,$AT421))</f>
        <v/>
      </c>
      <c r="BM421" s="127" t="str">
        <f aca="false">IF(ISBLANK($C421),"",IF($BD421&lt;&gt;Constants!$B$6,$BD421,IF(ISNUMBER($BL421),RANK($BL421,$BL$9:$BL$508,1),COUNT($BL$9:$BL$508)+1)))</f>
        <v/>
      </c>
      <c r="BN421" s="130" t="str">
        <f aca="false">IF($BD421&lt;&gt;Constants!$B$6,"",IF($AU421="-&gt;",$AS421,$BB421))</f>
        <v/>
      </c>
      <c r="BO421" s="127" t="str">
        <f aca="false">IF(ISBLANK($C421),"",IF($BD421&lt;&gt;Constants!$B$6,$BD421,IF(ISNUMBER($BN421),RANK($BN421,$BN$9:$BN$508,1),COUNT($BN$9:$BN$508)+1)))</f>
        <v/>
      </c>
      <c r="BP421" s="130" t="str">
        <f aca="false">IF($BD421&lt;&gt;Constants!$B$6,"",IF($AU421="-&gt;",$AT421,$BC421))</f>
        <v/>
      </c>
      <c r="BQ421" s="127" t="str">
        <f aca="false">IF(ISBLANK($C421),"",IF($BD421&lt;&gt;Constants!$B$6,$BD421,IF(ISNUMBER($BP421),RANK($BP421,$BP$9:$BP$508,1),COUNT($BP$9:$BP$508)+1)))</f>
        <v/>
      </c>
      <c r="BR421" s="127" t="str">
        <f aca="false">IF(ISBLANK($C421),"",IF($BD421&lt;&gt;Constants!$B$6,$BD421,COUNTIFS($BI$9:$BI$508,"&lt;"&amp;$BI421)+COUNTIFS($BI$9:$BI$508,$BI421,$BK$9:$BK$508,"&lt;"&amp;$BK421)+COUNTIFS($BI$9:$BI$508,$BI421,$BK$9:$BK$508,$BK421,$BM$9:$BM$508,"&lt;"&amp;$BM421)+COUNTIFS($BI$9:$BI$508,$BI421,$BK$9:$BK$508,$BK421,$BM$9:$BM$508,$BM421,$BO$9:$BO$508,"&lt;"&amp;$BO421)+COUNTIFS($BI$9:$BI$508,$BI421,$BK$9:$BK$508,$BK421,$BM$9:$BM$508,$BM421,$BO$9:$BO$508,$BO421,$BQ$9:$BQ$508,"&lt;"&amp;$BQ421)+1))</f>
        <v/>
      </c>
      <c r="BS421" s="127" t="str">
        <f aca="false">IF(ISBLANK($C421),"",IF($BD421&lt;&gt;Constants!$B$6,$BD421,$BI421-$BR421))</f>
        <v/>
      </c>
      <c r="BT421" s="133"/>
      <c r="BU421" s="134"/>
      <c r="BV421" s="134" t="str">
        <f aca="false">IF(ISBLANK($C421),"",IF($BD421&lt;&gt;Constants!$B$6,"",IF($AU421="-&gt;",2,1)))</f>
        <v/>
      </c>
      <c r="BW421" s="135" t="str">
        <f aca="false">IF(ISBLANK($C421),"",IF($BD421&lt;&gt;Constants!$B$6,"",IF($AU421="-&gt;",$AW421,$AN421)))</f>
        <v/>
      </c>
      <c r="BX421" s="135" t="str">
        <f aca="false">IF(ISBLANK($C421),"",IF($BD421&lt;&gt;Constants!$B$6,"",IF($AU421="-&gt;",$AX421,$AO421)))</f>
        <v/>
      </c>
      <c r="BY421" s="135" t="str">
        <f aca="false">IF(ISBLANK($C421),"",IF($BD421&lt;&gt;Constants!$B$6,"",IF($AU421="-&gt;",$AY421,$AP421)))</f>
        <v/>
      </c>
      <c r="BZ421" s="135" t="str">
        <f aca="false">IF(ISBLANK($C421),"",IF($BD421&lt;&gt;Constants!$B$6,"",IF($AU421="-&gt;",$AZ421,$AQ421)+$BG421))</f>
        <v/>
      </c>
      <c r="CA421" s="136" t="str">
        <f aca="false">IF(ISBLANK($C421),"",IF($BD421&lt;&gt;Constants!$B$6,$BD421,$BH421))</f>
        <v/>
      </c>
      <c r="CB421" s="137" t="str">
        <f aca="false">IF(ISBLANK($C421),"",$BE421)</f>
        <v/>
      </c>
      <c r="CC421" s="138" t="str">
        <f aca="false">IF(ISBLANK($C421),"",$BS421)</f>
        <v/>
      </c>
      <c r="CD421" s="138" t="str">
        <f aca="false">IF(ISBLANK($C421),"",$BR421)</f>
        <v/>
      </c>
      <c r="CE421" s="139" t="str">
        <f aca="false">IF(ISBLANK($C421),"",IF($CD421=Constants!$B$9,COUNTA($C$9:$C$508)+2,IF($CD421=Constants!$B$8,COUNTA($C$9:$C$508)+1,IF($CD421=Constants!$B$7,COUNTA($C$9:$C$508),$CD421))))</f>
        <v/>
      </c>
      <c r="CF421" s="9"/>
      <c r="CG421" s="140" t="n">
        <f aca="false">IF(OR(ISNUMBER($CD421),$CD421=Constants!$B$9,$CD421=Constants!$B$7,$CD421=Constants!$B$8),1,0)</f>
        <v>0</v>
      </c>
      <c r="CH421" s="140" t="n">
        <v>413</v>
      </c>
      <c r="CI421" s="140" t="str">
        <f aca="false">IF(ISBLANK($C421),"",IF(ISNUMBER($CE421),$CE421+ROW($B421)/1000,""))</f>
        <v/>
      </c>
      <c r="CJ421" s="140" t="str">
        <f aca="false">IF(ISNUMBER($CI421),RANK($CI421,$CI$9:$CI$508,1),"")</f>
        <v/>
      </c>
      <c r="CK421" s="140" t="str">
        <f aca="false">IF(ISBLANK($C421),"",$B421)</f>
        <v/>
      </c>
      <c r="CL421" s="140" t="str">
        <f aca="false">IF(ISBLANK($C421),"",$C421)</f>
        <v/>
      </c>
      <c r="CM421" s="140" t="str">
        <f aca="false">IF(ISBLANK($C421),"",$D421)</f>
        <v/>
      </c>
      <c r="CN421" s="141" t="str">
        <f aca="false">$CB421</f>
        <v/>
      </c>
      <c r="CO421" s="142" t="str">
        <f aca="false">$CA421</f>
        <v/>
      </c>
      <c r="CP421" s="140" t="str">
        <f aca="false">IF(ISBLANK($C421),"",$CD421)</f>
        <v/>
      </c>
      <c r="CQ421" s="143" t="str">
        <f aca="false">IF($CH421&gt;$CG$8,"",VLOOKUP($CH421,$CJ$9:$CP$508,7,FALSE()))</f>
        <v/>
      </c>
      <c r="CR421" s="144" t="str">
        <f aca="false">IF($CH421&gt;$CG$8,"",VLOOKUP($CH421,$CJ$9:$CP$508,2,FALSE()))</f>
        <v/>
      </c>
      <c r="CS421" s="144" t="str">
        <f aca="false">IF($CH421&gt;$CG$8,"",VLOOKUP($CH421,$CJ$9:$CP$508,3,FALSE()))</f>
        <v/>
      </c>
      <c r="CT421" s="144" t="str">
        <f aca="false">IF($CH421&gt;$CG$8,"",VLOOKUP($CH421,$CJ$9:$CP$508,4,FALSE()))</f>
        <v/>
      </c>
      <c r="CU421" s="144" t="str">
        <f aca="false">IF($CH421&gt;$CG$8,"",VLOOKUP($CH421,$CJ$9:$CP$508,5,FALSE()))</f>
        <v/>
      </c>
      <c r="CV421" s="145" t="str">
        <f aca="false">IF($CH421&gt;$CG$8,"",VLOOKUP($CH421,$CJ$9:$CP$508,6,FALSE()))</f>
        <v/>
      </c>
      <c r="CW421" s="71"/>
    </row>
    <row r="422" customFormat="false" ht="15.75" hidden="false" customHeight="false" outlineLevel="0" collapsed="false">
      <c r="A422" s="9"/>
      <c r="B422" s="150"/>
      <c r="C422" s="151"/>
      <c r="D422" s="152"/>
      <c r="E422" s="170"/>
      <c r="F422" s="154"/>
      <c r="G422" s="155"/>
      <c r="H422" s="171"/>
      <c r="I422" s="159"/>
      <c r="J422" s="120"/>
      <c r="K422" s="121"/>
      <c r="L422" s="122"/>
      <c r="M422" s="158"/>
      <c r="N422" s="159"/>
      <c r="O422" s="159"/>
      <c r="P422" s="120"/>
      <c r="Q422" s="122"/>
      <c r="R422" s="122"/>
      <c r="S422" s="158"/>
      <c r="T422" s="159"/>
      <c r="U422" s="126"/>
      <c r="V422" s="127"/>
      <c r="W422" s="127" t="str">
        <f aca="false">IF(ISBLANK($C422),"",IF(E422=Constants!$B$2,TRUE(),IF(E422=Constants!$B$3,FALSE(),TRUE())))</f>
        <v/>
      </c>
      <c r="X422" s="127" t="str">
        <f aca="false">IF(ISBLANK($C422),"",IF(F422=Constants!$B$2,TRUE(),IF(F422=Constants!$B$3,FALSE(),TRUE())))</f>
        <v/>
      </c>
      <c r="Y422" s="127" t="str">
        <f aca="false">IF(ISBLANK($C422),"",IF(G422=Constants!$B$2,TRUE(),IF(G422=Constants!$B$3,FALSE(),TRUE())))</f>
        <v/>
      </c>
      <c r="Z422" s="127" t="str">
        <f aca="false">IF(ISBLANK($C422),"",IF(H422=Constants!$B$2,TRUE(),IF(H422=Constants!$B$3,FALSE(),TRUE())))</f>
        <v/>
      </c>
      <c r="AA422" s="127" t="str">
        <f aca="false">IF(ISBLANK($C422),"",IF(I422=Constants!$B$2,TRUE(),IF(I422=Constants!$B$3,FALSE(),TRUE())))</f>
        <v/>
      </c>
      <c r="AB422" s="127" t="str">
        <f aca="false">IF(ISBLANK($C422),"",IF(J422=Constants!$B$4,TRUE(),IF(J422=Constants!$B$5,FALSE(),COUNTA(K422:M422)&gt;0)))</f>
        <v/>
      </c>
      <c r="AC422" s="128" t="str">
        <f aca="false">IF(ISBLANK($C422),"",IF(ISNUMBER(K422),IF(K422&gt;=0,K422,""),""))</f>
        <v/>
      </c>
      <c r="AD422" s="129" t="str">
        <f aca="false">IF(ISBLANK($C422),"",IF(ISNUMBER(L422),IF(L422&gt;=0,L422,""),""))</f>
        <v/>
      </c>
      <c r="AE422" s="127" t="str">
        <f aca="false">IF(ISBLANK($C422),"",IF(ISNUMBER(M422),IF(M422&gt;=0,MIN(M422,Constants!$B$22),""),""))</f>
        <v/>
      </c>
      <c r="AF422" s="127" t="str">
        <f aca="false">IF(ISBLANK($C422),"",IF(N422=Constants!$B$2,TRUE(),IF(N422=Constants!$B$3,FALSE(),TRUE())))</f>
        <v/>
      </c>
      <c r="AG422" s="127" t="str">
        <f aca="false">IF(ISBLANK($C422),"",IF(O422=Constants!$B$2,TRUE(),IF(O422=Constants!$B$3,FALSE(),TRUE())))</f>
        <v/>
      </c>
      <c r="AH422" s="127" t="str">
        <f aca="false">IF(ISBLANK($C422),"",IF(P422=Constants!$B$4,TRUE(),IF(P422=Constants!$B$5,FALSE(),COUNTA(Q422:S422)&gt;0)))</f>
        <v/>
      </c>
      <c r="AI422" s="128" t="str">
        <f aca="false">IF(ISBLANK($C422),"",IF(ISNUMBER(Q422),IF(Q422&gt;=0,Q422,""),""))</f>
        <v/>
      </c>
      <c r="AJ422" s="129" t="str">
        <f aca="false">IF(ISBLANK($C422),"",IF(ISNUMBER(R422),IF(R422&gt;=0,R422,""),""))</f>
        <v/>
      </c>
      <c r="AK422" s="127" t="str">
        <f aca="false">IF(ISBLANK($C422),"",IF(ISNUMBER(S422),IF(S422&gt;=0,MIN(S422,Constants!$B$22),""),""))</f>
        <v/>
      </c>
      <c r="AL422" s="127" t="str">
        <f aca="false">IF(ISBLANK($C422),"",IF(T422=Constants!$B$2,TRUE(),IF(T422=Constants!$B$3,FALSE(),FALSE())))</f>
        <v/>
      </c>
      <c r="AM422" s="126" t="str">
        <f aca="false">IF(ISBLANK($C422),"",AND($AB422,OR($AC422="",$AD422="",AND(NOT(ISBLANK($M422)),$AE422=""))))</f>
        <v/>
      </c>
      <c r="AN422" s="129" t="str">
        <f aca="false">IF($BD422&lt;&gt;Constants!$B$6,"",IF($AB422,Constants!$B$17*$AD422,Constants!$B$18))</f>
        <v/>
      </c>
      <c r="AO422" s="130" t="str">
        <f aca="false">IF($BD422&lt;&gt;Constants!$B$6,"",Constants!$B$19*IF($AB422,$AC422,0))</f>
        <v/>
      </c>
      <c r="AP422" s="130" t="str">
        <f aca="false">IF($BD422&lt;&gt;Constants!$B$6,"",IF(AND($AB422,ISNUMBER($AE422)),Constants!$B$20*(Constants!$B$21-$AE422),0))</f>
        <v/>
      </c>
      <c r="AQ422" s="130" t="str">
        <f aca="false">IF($BD422&lt;&gt;Constants!$B$6,"",IF($AA422,0,Constants!$B$12)+IF($Z422,0,Constants!$B$13)+IF($Y422,0,Constants!$B$14))</f>
        <v/>
      </c>
      <c r="AR422" s="131" t="str">
        <f aca="false">IF($BD422&lt;&gt;Constants!$B$6,"",Constants!$B$16+SUM($AN422:$AQ422))</f>
        <v/>
      </c>
      <c r="AS422" s="130" t="str">
        <f aca="false">IF($BD422&lt;&gt;Constants!$B$6,"",IF($AB422,$AD422,""))</f>
        <v/>
      </c>
      <c r="AT422" s="132" t="str">
        <f aca="false">IF($BD422&lt;&gt;Constants!$B$6,"",$AO422)</f>
        <v/>
      </c>
      <c r="AU422" s="127" t="str">
        <f aca="false">IF($BD422&lt;&gt;Constants!$B$6,"",IF(OR($BA422&lt;$AR422,AND($BA422=$AR422,OR(AND(ISNUMBER($BB422),OR(NOT(ISNUMBER($AS422)),$BB422&lt;$AS422)),AND(OR(AND($BB422="",$AS422=""),AND(ISNUMBER($BB422),ISNUMBER($AS422),$BB422=$AS422)),$BC422&lt;$AT422)))),"-&gt;","&lt;-"))</f>
        <v/>
      </c>
      <c r="AV422" s="126" t="str">
        <f aca="false">IF(ISBLANK($C422),"",AND($AH422,OR($AI422="",$AJ422="",AND(NOT(ISBLANK($S422)),$AK422=""))))</f>
        <v/>
      </c>
      <c r="AW422" s="129" t="str">
        <f aca="false">IF($BD422&lt;&gt;Constants!$B$6,"",IF($AH422,Constants!$B$17*$AJ422,Constants!$B$18))</f>
        <v/>
      </c>
      <c r="AX422" s="130" t="str">
        <f aca="false">IF($BD422&lt;&gt;Constants!$B$6,"",Constants!$B$19*IF($AH422,$AI422,0))</f>
        <v/>
      </c>
      <c r="AY422" s="130" t="str">
        <f aca="false">IF($BD422&lt;&gt;Constants!$B$6,"",IF(AND($AH422,ISNUMBER($AK422)),Constants!$B$20*(Constants!$B$21-$AK422),0))</f>
        <v/>
      </c>
      <c r="AZ422" s="130" t="str">
        <f aca="false">IF($BD422&lt;&gt;Constants!$B$6,"",IF($AG422,0,Constants!$B$12)+IF($AF422,0,Constants!$B$13)+IF($Y422,0,Constants!$B$14))</f>
        <v/>
      </c>
      <c r="BA422" s="131" t="str">
        <f aca="false">IF($BD422&lt;&gt;Constants!$B$6,"",Constants!$B$16+SUM($AW422:$AZ422))</f>
        <v/>
      </c>
      <c r="BB422" s="130" t="str">
        <f aca="false">IF($BD422&lt;&gt;Constants!$B$6,"",IF($AH422,$AJ422,""))</f>
        <v/>
      </c>
      <c r="BC422" s="132" t="str">
        <f aca="false">IF($BD422&lt;&gt;Constants!$B$6,"",$AX422)</f>
        <v/>
      </c>
      <c r="BD422" s="127" t="str">
        <f aca="false">IF(ISBLANK($C422),"",IF($AL422,Constants!$B$9,IF(COUNTA($E422:$T422)=0,Constants!$B$8,IF(NOT($X422),Constants!$B$7,IF(OR($AM422,$AV422),Constants!$B$10,Constants!$B$6)))))</f>
        <v/>
      </c>
      <c r="BE422" s="127" t="str">
        <f aca="false">IF(ISBLANK($C422),"",IF($BD422&lt;&gt;Constants!$B$6,$BD422,Constants!$B$11))</f>
        <v/>
      </c>
      <c r="BF422" s="130" t="str">
        <f aca="false">IF($BD422&lt;&gt;Constants!$B$6,"",IF($AU422="-&gt;",$BA422,$AR422))</f>
        <v/>
      </c>
      <c r="BG422" s="130" t="str">
        <f aca="false">IF($BD422&lt;&gt;Constants!$B$6,"",IF($W422,0,Constants!$B$15))</f>
        <v/>
      </c>
      <c r="BH422" s="130" t="str">
        <f aca="false">IF(ISBLANK($C422),"",IF($BD422&lt;&gt;Constants!$B$6,$BD422,SUM($BF422:$BG422)))</f>
        <v/>
      </c>
      <c r="BI422" s="127" t="str">
        <f aca="false">IF(ISBLANK($C422),"",IF($BD422&lt;&gt;Constants!$B$6,$BD422,RANK($BH422,$BH$9:$BH$508,1)))</f>
        <v/>
      </c>
      <c r="BJ422" s="130" t="str">
        <f aca="false">IF($BD422&lt;&gt;Constants!$B$6,"",IF($AU422="-&gt;",$BB422,$AS422))</f>
        <v/>
      </c>
      <c r="BK422" s="127" t="str">
        <f aca="false">IF(ISBLANK($C422),"",IF($BD422&lt;&gt;Constants!$B$6,$BD422,IF(ISNUMBER($BJ422),RANK($BJ422,$BJ$9:$BJ$508,1),COUNT($BJ$9:$BJ$508)+1)))</f>
        <v/>
      </c>
      <c r="BL422" s="130" t="str">
        <f aca="false">IF($BD422&lt;&gt;Constants!$B$6,"",IF($AU422="-&gt;",$BC422,$AT422))</f>
        <v/>
      </c>
      <c r="BM422" s="127" t="str">
        <f aca="false">IF(ISBLANK($C422),"",IF($BD422&lt;&gt;Constants!$B$6,$BD422,IF(ISNUMBER($BL422),RANK($BL422,$BL$9:$BL$508,1),COUNT($BL$9:$BL$508)+1)))</f>
        <v/>
      </c>
      <c r="BN422" s="130" t="str">
        <f aca="false">IF($BD422&lt;&gt;Constants!$B$6,"",IF($AU422="-&gt;",$AS422,$BB422))</f>
        <v/>
      </c>
      <c r="BO422" s="127" t="str">
        <f aca="false">IF(ISBLANK($C422),"",IF($BD422&lt;&gt;Constants!$B$6,$BD422,IF(ISNUMBER($BN422),RANK($BN422,$BN$9:$BN$508,1),COUNT($BN$9:$BN$508)+1)))</f>
        <v/>
      </c>
      <c r="BP422" s="130" t="str">
        <f aca="false">IF($BD422&lt;&gt;Constants!$B$6,"",IF($AU422="-&gt;",$AT422,$BC422))</f>
        <v/>
      </c>
      <c r="BQ422" s="127" t="str">
        <f aca="false">IF(ISBLANK($C422),"",IF($BD422&lt;&gt;Constants!$B$6,$BD422,IF(ISNUMBER($BP422),RANK($BP422,$BP$9:$BP$508,1),COUNT($BP$9:$BP$508)+1)))</f>
        <v/>
      </c>
      <c r="BR422" s="127" t="str">
        <f aca="false">IF(ISBLANK($C422),"",IF($BD422&lt;&gt;Constants!$B$6,$BD422,COUNTIFS($BI$9:$BI$508,"&lt;"&amp;$BI422)+COUNTIFS($BI$9:$BI$508,$BI422,$BK$9:$BK$508,"&lt;"&amp;$BK422)+COUNTIFS($BI$9:$BI$508,$BI422,$BK$9:$BK$508,$BK422,$BM$9:$BM$508,"&lt;"&amp;$BM422)+COUNTIFS($BI$9:$BI$508,$BI422,$BK$9:$BK$508,$BK422,$BM$9:$BM$508,$BM422,$BO$9:$BO$508,"&lt;"&amp;$BO422)+COUNTIFS($BI$9:$BI$508,$BI422,$BK$9:$BK$508,$BK422,$BM$9:$BM$508,$BM422,$BO$9:$BO$508,$BO422,$BQ$9:$BQ$508,"&lt;"&amp;$BQ422)+1))</f>
        <v/>
      </c>
      <c r="BS422" s="127" t="str">
        <f aca="false">IF(ISBLANK($C422),"",IF($BD422&lt;&gt;Constants!$B$6,$BD422,$BI422-$BR422))</f>
        <v/>
      </c>
      <c r="BT422" s="133"/>
      <c r="BU422" s="134"/>
      <c r="BV422" s="134" t="str">
        <f aca="false">IF(ISBLANK($C422),"",IF($BD422&lt;&gt;Constants!$B$6,"",IF($AU422="-&gt;",2,1)))</f>
        <v/>
      </c>
      <c r="BW422" s="135" t="str">
        <f aca="false">IF(ISBLANK($C422),"",IF($BD422&lt;&gt;Constants!$B$6,"",IF($AU422="-&gt;",$AW422,$AN422)))</f>
        <v/>
      </c>
      <c r="BX422" s="135" t="str">
        <f aca="false">IF(ISBLANK($C422),"",IF($BD422&lt;&gt;Constants!$B$6,"",IF($AU422="-&gt;",$AX422,$AO422)))</f>
        <v/>
      </c>
      <c r="BY422" s="135" t="str">
        <f aca="false">IF(ISBLANK($C422),"",IF($BD422&lt;&gt;Constants!$B$6,"",IF($AU422="-&gt;",$AY422,$AP422)))</f>
        <v/>
      </c>
      <c r="BZ422" s="135" t="str">
        <f aca="false">IF(ISBLANK($C422),"",IF($BD422&lt;&gt;Constants!$B$6,"",IF($AU422="-&gt;",$AZ422,$AQ422)+$BG422))</f>
        <v/>
      </c>
      <c r="CA422" s="136" t="str">
        <f aca="false">IF(ISBLANK($C422),"",IF($BD422&lt;&gt;Constants!$B$6,$BD422,$BH422))</f>
        <v/>
      </c>
      <c r="CB422" s="137" t="str">
        <f aca="false">IF(ISBLANK($C422),"",$BE422)</f>
        <v/>
      </c>
      <c r="CC422" s="138" t="str">
        <f aca="false">IF(ISBLANK($C422),"",$BS422)</f>
        <v/>
      </c>
      <c r="CD422" s="138" t="str">
        <f aca="false">IF(ISBLANK($C422),"",$BR422)</f>
        <v/>
      </c>
      <c r="CE422" s="139" t="str">
        <f aca="false">IF(ISBLANK($C422),"",IF($CD422=Constants!$B$9,COUNTA($C$9:$C$508)+2,IF($CD422=Constants!$B$8,COUNTA($C$9:$C$508)+1,IF($CD422=Constants!$B$7,COUNTA($C$9:$C$508),$CD422))))</f>
        <v/>
      </c>
      <c r="CF422" s="9"/>
      <c r="CG422" s="140" t="n">
        <f aca="false">IF(OR(ISNUMBER($CD422),$CD422=Constants!$B$9,$CD422=Constants!$B$7,$CD422=Constants!$B$8),1,0)</f>
        <v>0</v>
      </c>
      <c r="CH422" s="140" t="n">
        <v>414</v>
      </c>
      <c r="CI422" s="140" t="str">
        <f aca="false">IF(ISBLANK($C422),"",IF(ISNUMBER($CE422),$CE422+ROW($B422)/1000,""))</f>
        <v/>
      </c>
      <c r="CJ422" s="140" t="str">
        <f aca="false">IF(ISNUMBER($CI422),RANK($CI422,$CI$9:$CI$508,1),"")</f>
        <v/>
      </c>
      <c r="CK422" s="140" t="str">
        <f aca="false">IF(ISBLANK($C422),"",$B422)</f>
        <v/>
      </c>
      <c r="CL422" s="140" t="str">
        <f aca="false">IF(ISBLANK($C422),"",$C422)</f>
        <v/>
      </c>
      <c r="CM422" s="140" t="str">
        <f aca="false">IF(ISBLANK($C422),"",$D422)</f>
        <v/>
      </c>
      <c r="CN422" s="141" t="str">
        <f aca="false">$CB422</f>
        <v/>
      </c>
      <c r="CO422" s="142" t="str">
        <f aca="false">$CA422</f>
        <v/>
      </c>
      <c r="CP422" s="140" t="str">
        <f aca="false">IF(ISBLANK($C422),"",$CD422)</f>
        <v/>
      </c>
      <c r="CQ422" s="143" t="str">
        <f aca="false">IF($CH422&gt;$CG$8,"",VLOOKUP($CH422,$CJ$9:$CP$508,7,FALSE()))</f>
        <v/>
      </c>
      <c r="CR422" s="144" t="str">
        <f aca="false">IF($CH422&gt;$CG$8,"",VLOOKUP($CH422,$CJ$9:$CP$508,2,FALSE()))</f>
        <v/>
      </c>
      <c r="CS422" s="144" t="str">
        <f aca="false">IF($CH422&gt;$CG$8,"",VLOOKUP($CH422,$CJ$9:$CP$508,3,FALSE()))</f>
        <v/>
      </c>
      <c r="CT422" s="144" t="str">
        <f aca="false">IF($CH422&gt;$CG$8,"",VLOOKUP($CH422,$CJ$9:$CP$508,4,FALSE()))</f>
        <v/>
      </c>
      <c r="CU422" s="144" t="str">
        <f aca="false">IF($CH422&gt;$CG$8,"",VLOOKUP($CH422,$CJ$9:$CP$508,5,FALSE()))</f>
        <v/>
      </c>
      <c r="CV422" s="145" t="str">
        <f aca="false">IF($CH422&gt;$CG$8,"",VLOOKUP($CH422,$CJ$9:$CP$508,6,FALSE()))</f>
        <v/>
      </c>
      <c r="CW422" s="71"/>
    </row>
    <row r="423" customFormat="false" ht="15.75" hidden="false" customHeight="false" outlineLevel="0" collapsed="false">
      <c r="A423" s="9"/>
      <c r="B423" s="72"/>
      <c r="C423" s="73"/>
      <c r="D423" s="160"/>
      <c r="E423" s="168"/>
      <c r="F423" s="162"/>
      <c r="G423" s="163"/>
      <c r="H423" s="169"/>
      <c r="I423" s="167"/>
      <c r="J423" s="80"/>
      <c r="K423" s="81"/>
      <c r="L423" s="82"/>
      <c r="M423" s="166"/>
      <c r="N423" s="167"/>
      <c r="O423" s="167"/>
      <c r="P423" s="80"/>
      <c r="Q423" s="82"/>
      <c r="R423" s="82"/>
      <c r="S423" s="166"/>
      <c r="T423" s="167"/>
      <c r="U423" s="86"/>
      <c r="V423" s="87"/>
      <c r="W423" s="87" t="str">
        <f aca="false">IF(ISBLANK($C423),"",IF(E423=Constants!$B$2,TRUE(),IF(E423=Constants!$B$3,FALSE(),TRUE())))</f>
        <v/>
      </c>
      <c r="X423" s="87" t="str">
        <f aca="false">IF(ISBLANK($C423),"",IF(F423=Constants!$B$2,TRUE(),IF(F423=Constants!$B$3,FALSE(),TRUE())))</f>
        <v/>
      </c>
      <c r="Y423" s="87" t="str">
        <f aca="false">IF(ISBLANK($C423),"",IF(G423=Constants!$B$2,TRUE(),IF(G423=Constants!$B$3,FALSE(),TRUE())))</f>
        <v/>
      </c>
      <c r="Z423" s="87" t="str">
        <f aca="false">IF(ISBLANK($C423),"",IF(H423=Constants!$B$2,TRUE(),IF(H423=Constants!$B$3,FALSE(),TRUE())))</f>
        <v/>
      </c>
      <c r="AA423" s="87" t="str">
        <f aca="false">IF(ISBLANK($C423),"",IF(I423=Constants!$B$2,TRUE(),IF(I423=Constants!$B$3,FALSE(),TRUE())))</f>
        <v/>
      </c>
      <c r="AB423" s="87" t="str">
        <f aca="false">IF(ISBLANK($C423),"",IF(J423=Constants!$B$4,TRUE(),IF(J423=Constants!$B$5,FALSE(),COUNTA(K423:M423)&gt;0)))</f>
        <v/>
      </c>
      <c r="AC423" s="88" t="str">
        <f aca="false">IF(ISBLANK($C423),"",IF(ISNUMBER(K423),IF(K423&gt;=0,K423,""),""))</f>
        <v/>
      </c>
      <c r="AD423" s="89" t="str">
        <f aca="false">IF(ISBLANK($C423),"",IF(ISNUMBER(L423),IF(L423&gt;=0,L423,""),""))</f>
        <v/>
      </c>
      <c r="AE423" s="87" t="str">
        <f aca="false">IF(ISBLANK($C423),"",IF(ISNUMBER(M423),IF(M423&gt;=0,MIN(M423,Constants!$B$22),""),""))</f>
        <v/>
      </c>
      <c r="AF423" s="87" t="str">
        <f aca="false">IF(ISBLANK($C423),"",IF(N423=Constants!$B$2,TRUE(),IF(N423=Constants!$B$3,FALSE(),TRUE())))</f>
        <v/>
      </c>
      <c r="AG423" s="87" t="str">
        <f aca="false">IF(ISBLANK($C423),"",IF(O423=Constants!$B$2,TRUE(),IF(O423=Constants!$B$3,FALSE(),TRUE())))</f>
        <v/>
      </c>
      <c r="AH423" s="87" t="str">
        <f aca="false">IF(ISBLANK($C423),"",IF(P423=Constants!$B$4,TRUE(),IF(P423=Constants!$B$5,FALSE(),COUNTA(Q423:S423)&gt;0)))</f>
        <v/>
      </c>
      <c r="AI423" s="88" t="str">
        <f aca="false">IF(ISBLANK($C423),"",IF(ISNUMBER(Q423),IF(Q423&gt;=0,Q423,""),""))</f>
        <v/>
      </c>
      <c r="AJ423" s="89" t="str">
        <f aca="false">IF(ISBLANK($C423),"",IF(ISNUMBER(R423),IF(R423&gt;=0,R423,""),""))</f>
        <v/>
      </c>
      <c r="AK423" s="87" t="str">
        <f aca="false">IF(ISBLANK($C423),"",IF(ISNUMBER(S423),IF(S423&gt;=0,MIN(S423,Constants!$B$22),""),""))</f>
        <v/>
      </c>
      <c r="AL423" s="87" t="str">
        <f aca="false">IF(ISBLANK($C423),"",IF(T423=Constants!$B$2,TRUE(),IF(T423=Constants!$B$3,FALSE(),FALSE())))</f>
        <v/>
      </c>
      <c r="AM423" s="86" t="str">
        <f aca="false">IF(ISBLANK($C423),"",AND($AB423,OR($AC423="",$AD423="",AND(NOT(ISBLANK($M423)),$AE423=""))))</f>
        <v/>
      </c>
      <c r="AN423" s="89" t="str">
        <f aca="false">IF($BD423&lt;&gt;Constants!$B$6,"",IF($AB423,Constants!$B$17*$AD423,Constants!$B$18))</f>
        <v/>
      </c>
      <c r="AO423" s="91" t="str">
        <f aca="false">IF($BD423&lt;&gt;Constants!$B$6,"",Constants!$B$19*IF($AB423,$AC423,0))</f>
        <v/>
      </c>
      <c r="AP423" s="91" t="str">
        <f aca="false">IF($BD423&lt;&gt;Constants!$B$6,"",IF(AND($AB423,ISNUMBER($AE423)),Constants!$B$20*(Constants!$B$21-$AE423),0))</f>
        <v/>
      </c>
      <c r="AQ423" s="91" t="str">
        <f aca="false">IF($BD423&lt;&gt;Constants!$B$6,"",IF($AA423,0,Constants!$B$12)+IF($Z423,0,Constants!$B$13)+IF($Y423,0,Constants!$B$14))</f>
        <v/>
      </c>
      <c r="AR423" s="92" t="str">
        <f aca="false">IF($BD423&lt;&gt;Constants!$B$6,"",Constants!$B$16+SUM($AN423:$AQ423))</f>
        <v/>
      </c>
      <c r="AS423" s="91" t="str">
        <f aca="false">IF($BD423&lt;&gt;Constants!$B$6,"",IF($AB423,$AD423,""))</f>
        <v/>
      </c>
      <c r="AT423" s="93" t="str">
        <f aca="false">IF($BD423&lt;&gt;Constants!$B$6,"",$AO423)</f>
        <v/>
      </c>
      <c r="AU423" s="87" t="str">
        <f aca="false">IF($BD423&lt;&gt;Constants!$B$6,"",IF(OR($BA423&lt;$AR423,AND($BA423=$AR423,OR(AND(ISNUMBER($BB423),OR(NOT(ISNUMBER($AS423)),$BB423&lt;$AS423)),AND(OR(AND($BB423="",$AS423=""),AND(ISNUMBER($BB423),ISNUMBER($AS423),$BB423=$AS423)),$BC423&lt;$AT423)))),"-&gt;","&lt;-"))</f>
        <v/>
      </c>
      <c r="AV423" s="86" t="str">
        <f aca="false">IF(ISBLANK($C423),"",AND($AH423,OR($AI423="",$AJ423="",AND(NOT(ISBLANK($S423)),$AK423=""))))</f>
        <v/>
      </c>
      <c r="AW423" s="89" t="str">
        <f aca="false">IF($BD423&lt;&gt;Constants!$B$6,"",IF($AH423,Constants!$B$17*$AJ423,Constants!$B$18))</f>
        <v/>
      </c>
      <c r="AX423" s="91" t="str">
        <f aca="false">IF($BD423&lt;&gt;Constants!$B$6,"",Constants!$B$19*IF($AH423,$AI423,0))</f>
        <v/>
      </c>
      <c r="AY423" s="91" t="str">
        <f aca="false">IF($BD423&lt;&gt;Constants!$B$6,"",IF(AND($AH423,ISNUMBER($AK423)),Constants!$B$20*(Constants!$B$21-$AK423),0))</f>
        <v/>
      </c>
      <c r="AZ423" s="91" t="str">
        <f aca="false">IF($BD423&lt;&gt;Constants!$B$6,"",IF($AG423,0,Constants!$B$12)+IF($AF423,0,Constants!$B$13)+IF($Y423,0,Constants!$B$14))</f>
        <v/>
      </c>
      <c r="BA423" s="92" t="str">
        <f aca="false">IF($BD423&lt;&gt;Constants!$B$6,"",Constants!$B$16+SUM($AW423:$AZ423))</f>
        <v/>
      </c>
      <c r="BB423" s="91" t="str">
        <f aca="false">IF($BD423&lt;&gt;Constants!$B$6,"",IF($AH423,$AJ423,""))</f>
        <v/>
      </c>
      <c r="BC423" s="93" t="str">
        <f aca="false">IF($BD423&lt;&gt;Constants!$B$6,"",$AX423)</f>
        <v/>
      </c>
      <c r="BD423" s="87" t="str">
        <f aca="false">IF(ISBLANK($C423),"",IF($AL423,Constants!$B$9,IF(COUNTA($E423:$T423)=0,Constants!$B$8,IF(NOT($X423),Constants!$B$7,IF(OR($AM423,$AV423),Constants!$B$10,Constants!$B$6)))))</f>
        <v/>
      </c>
      <c r="BE423" s="87" t="str">
        <f aca="false">IF(ISBLANK($C423),"",IF($BD423&lt;&gt;Constants!$B$6,$BD423,Constants!$B$11))</f>
        <v/>
      </c>
      <c r="BF423" s="91" t="str">
        <f aca="false">IF($BD423&lt;&gt;Constants!$B$6,"",IF($AU423="-&gt;",$BA423,$AR423))</f>
        <v/>
      </c>
      <c r="BG423" s="91" t="str">
        <f aca="false">IF($BD423&lt;&gt;Constants!$B$6,"",IF($W423,0,Constants!$B$15))</f>
        <v/>
      </c>
      <c r="BH423" s="91" t="str">
        <f aca="false">IF(ISBLANK($C423),"",IF($BD423&lt;&gt;Constants!$B$6,$BD423,SUM($BF423:$BG423)))</f>
        <v/>
      </c>
      <c r="BI423" s="87" t="str">
        <f aca="false">IF(ISBLANK($C423),"",IF($BD423&lt;&gt;Constants!$B$6,$BD423,RANK($BH423,$BH$9:$BH$508,1)))</f>
        <v/>
      </c>
      <c r="BJ423" s="91" t="str">
        <f aca="false">IF($BD423&lt;&gt;Constants!$B$6,"",IF($AU423="-&gt;",$BB423,$AS423))</f>
        <v/>
      </c>
      <c r="BK423" s="87" t="str">
        <f aca="false">IF(ISBLANK($C423),"",IF($BD423&lt;&gt;Constants!$B$6,$BD423,IF(ISNUMBER($BJ423),RANK($BJ423,$BJ$9:$BJ$508,1),COUNT($BJ$9:$BJ$508)+1)))</f>
        <v/>
      </c>
      <c r="BL423" s="91" t="str">
        <f aca="false">IF($BD423&lt;&gt;Constants!$B$6,"",IF($AU423="-&gt;",$BC423,$AT423))</f>
        <v/>
      </c>
      <c r="BM423" s="87" t="str">
        <f aca="false">IF(ISBLANK($C423),"",IF($BD423&lt;&gt;Constants!$B$6,$BD423,IF(ISNUMBER($BL423),RANK($BL423,$BL$9:$BL$508,1),COUNT($BL$9:$BL$508)+1)))</f>
        <v/>
      </c>
      <c r="BN423" s="91" t="str">
        <f aca="false">IF($BD423&lt;&gt;Constants!$B$6,"",IF($AU423="-&gt;",$AS423,$BB423))</f>
        <v/>
      </c>
      <c r="BO423" s="87" t="str">
        <f aca="false">IF(ISBLANK($C423),"",IF($BD423&lt;&gt;Constants!$B$6,$BD423,IF(ISNUMBER($BN423),RANK($BN423,$BN$9:$BN$508,1),COUNT($BN$9:$BN$508)+1)))</f>
        <v/>
      </c>
      <c r="BP423" s="91" t="str">
        <f aca="false">IF($BD423&lt;&gt;Constants!$B$6,"",IF($AU423="-&gt;",$AT423,$BC423))</f>
        <v/>
      </c>
      <c r="BQ423" s="87" t="str">
        <f aca="false">IF(ISBLANK($C423),"",IF($BD423&lt;&gt;Constants!$B$6,$BD423,IF(ISNUMBER($BP423),RANK($BP423,$BP$9:$BP$508,1),COUNT($BP$9:$BP$508)+1)))</f>
        <v/>
      </c>
      <c r="BR423" s="87" t="str">
        <f aca="false">IF(ISBLANK($C423),"",IF($BD423&lt;&gt;Constants!$B$6,$BD423,COUNTIFS($BI$9:$BI$508,"&lt;"&amp;$BI423)+COUNTIFS($BI$9:$BI$508,$BI423,$BK$9:$BK$508,"&lt;"&amp;$BK423)+COUNTIFS($BI$9:$BI$508,$BI423,$BK$9:$BK$508,$BK423,$BM$9:$BM$508,"&lt;"&amp;$BM423)+COUNTIFS($BI$9:$BI$508,$BI423,$BK$9:$BK$508,$BK423,$BM$9:$BM$508,$BM423,$BO$9:$BO$508,"&lt;"&amp;$BO423)+COUNTIFS($BI$9:$BI$508,$BI423,$BK$9:$BK$508,$BK423,$BM$9:$BM$508,$BM423,$BO$9:$BO$508,$BO423,$BQ$9:$BQ$508,"&lt;"&amp;$BQ423)+1))</f>
        <v/>
      </c>
      <c r="BS423" s="87" t="str">
        <f aca="false">IF(ISBLANK($C423),"",IF($BD423&lt;&gt;Constants!$B$6,$BD423,$BI423-$BR423))</f>
        <v/>
      </c>
      <c r="BT423" s="94"/>
      <c r="BU423" s="95"/>
      <c r="BV423" s="95" t="str">
        <f aca="false">IF(ISBLANK($C423),"",IF($BD423&lt;&gt;Constants!$B$6,"",IF($AU423="-&gt;",2,1)))</f>
        <v/>
      </c>
      <c r="BW423" s="96" t="str">
        <f aca="false">IF(ISBLANK($C423),"",IF($BD423&lt;&gt;Constants!$B$6,"",IF($AU423="-&gt;",$AW423,$AN423)))</f>
        <v/>
      </c>
      <c r="BX423" s="96" t="str">
        <f aca="false">IF(ISBLANK($C423),"",IF($BD423&lt;&gt;Constants!$B$6,"",IF($AU423="-&gt;",$AX423,$AO423)))</f>
        <v/>
      </c>
      <c r="BY423" s="96" t="str">
        <f aca="false">IF(ISBLANK($C423),"",IF($BD423&lt;&gt;Constants!$B$6,"",IF($AU423="-&gt;",$AY423,$AP423)))</f>
        <v/>
      </c>
      <c r="BZ423" s="96" t="str">
        <f aca="false">IF(ISBLANK($C423),"",IF($BD423&lt;&gt;Constants!$B$6,"",IF($AU423="-&gt;",$AZ423,$AQ423)+$BG423))</f>
        <v/>
      </c>
      <c r="CA423" s="97" t="str">
        <f aca="false">IF(ISBLANK($C423),"",IF($BD423&lt;&gt;Constants!$B$6,$BD423,$BH423))</f>
        <v/>
      </c>
      <c r="CB423" s="98" t="str">
        <f aca="false">IF(ISBLANK($C423),"",$BE423)</f>
        <v/>
      </c>
      <c r="CC423" s="99" t="str">
        <f aca="false">IF(ISBLANK($C423),"",$BS423)</f>
        <v/>
      </c>
      <c r="CD423" s="99" t="str">
        <f aca="false">IF(ISBLANK($C423),"",$BR423)</f>
        <v/>
      </c>
      <c r="CE423" s="100" t="str">
        <f aca="false">IF(ISBLANK($C423),"",IF($CD423=Constants!$B$9,COUNTA($C$9:$C$508)+2,IF($CD423=Constants!$B$8,COUNTA($C$9:$C$508)+1,IF($CD423=Constants!$B$7,COUNTA($C$9:$C$508),$CD423))))</f>
        <v/>
      </c>
      <c r="CF423" s="9"/>
      <c r="CG423" s="101" t="n">
        <f aca="false">IF(OR(ISNUMBER($CD423),$CD423=Constants!$B$9,$CD423=Constants!$B$7,$CD423=Constants!$B$8),1,0)</f>
        <v>0</v>
      </c>
      <c r="CH423" s="101" t="n">
        <v>415</v>
      </c>
      <c r="CI423" s="101" t="str">
        <f aca="false">IF(ISBLANK($C423),"",IF(ISNUMBER($CE423),$CE423+ROW($B423)/1000,""))</f>
        <v/>
      </c>
      <c r="CJ423" s="101" t="str">
        <f aca="false">IF(ISNUMBER($CI423),RANK($CI423,$CI$9:$CI$508,1),"")</f>
        <v/>
      </c>
      <c r="CK423" s="101" t="str">
        <f aca="false">IF(ISBLANK($C423),"",$B423)</f>
        <v/>
      </c>
      <c r="CL423" s="101" t="str">
        <f aca="false">IF(ISBLANK($C423),"",$C423)</f>
        <v/>
      </c>
      <c r="CM423" s="101" t="str">
        <f aca="false">IF(ISBLANK($C423),"",$D423)</f>
        <v/>
      </c>
      <c r="CN423" s="102" t="str">
        <f aca="false">$CB423</f>
        <v/>
      </c>
      <c r="CO423" s="103" t="str">
        <f aca="false">$CA423</f>
        <v/>
      </c>
      <c r="CP423" s="101" t="str">
        <f aca="false">IF(ISBLANK($C423),"",$CD423)</f>
        <v/>
      </c>
      <c r="CQ423" s="104" t="str">
        <f aca="false">IF($CH423&gt;$CG$8,"",VLOOKUP($CH423,$CJ$9:$CP$508,7,FALSE()))</f>
        <v/>
      </c>
      <c r="CR423" s="105" t="str">
        <f aca="false">IF($CH423&gt;$CG$8,"",VLOOKUP($CH423,$CJ$9:$CP$508,2,FALSE()))</f>
        <v/>
      </c>
      <c r="CS423" s="105" t="str">
        <f aca="false">IF($CH423&gt;$CG$8,"",VLOOKUP($CH423,$CJ$9:$CP$508,3,FALSE()))</f>
        <v/>
      </c>
      <c r="CT423" s="105" t="str">
        <f aca="false">IF($CH423&gt;$CG$8,"",VLOOKUP($CH423,$CJ$9:$CP$508,4,FALSE()))</f>
        <v/>
      </c>
      <c r="CU423" s="105" t="str">
        <f aca="false">IF($CH423&gt;$CG$8,"",VLOOKUP($CH423,$CJ$9:$CP$508,5,FALSE()))</f>
        <v/>
      </c>
      <c r="CV423" s="106" t="str">
        <f aca="false">IF($CH423&gt;$CG$8,"",VLOOKUP($CH423,$CJ$9:$CP$508,6,FALSE()))</f>
        <v/>
      </c>
      <c r="CW423" s="71"/>
    </row>
    <row r="424" customFormat="false" ht="15.75" hidden="false" customHeight="false" outlineLevel="0" collapsed="false">
      <c r="A424" s="9"/>
      <c r="B424" s="72"/>
      <c r="C424" s="73"/>
      <c r="D424" s="160"/>
      <c r="E424" s="168"/>
      <c r="F424" s="162"/>
      <c r="G424" s="163"/>
      <c r="H424" s="169"/>
      <c r="I424" s="167"/>
      <c r="J424" s="80"/>
      <c r="K424" s="81"/>
      <c r="L424" s="82"/>
      <c r="M424" s="166"/>
      <c r="N424" s="167"/>
      <c r="O424" s="167"/>
      <c r="P424" s="80"/>
      <c r="Q424" s="82"/>
      <c r="R424" s="82"/>
      <c r="S424" s="166"/>
      <c r="T424" s="167"/>
      <c r="U424" s="86"/>
      <c r="V424" s="87"/>
      <c r="W424" s="87" t="str">
        <f aca="false">IF(ISBLANK($C424),"",IF(E424=Constants!$B$2,TRUE(),IF(E424=Constants!$B$3,FALSE(),TRUE())))</f>
        <v/>
      </c>
      <c r="X424" s="87" t="str">
        <f aca="false">IF(ISBLANK($C424),"",IF(F424=Constants!$B$2,TRUE(),IF(F424=Constants!$B$3,FALSE(),TRUE())))</f>
        <v/>
      </c>
      <c r="Y424" s="87" t="str">
        <f aca="false">IF(ISBLANK($C424),"",IF(G424=Constants!$B$2,TRUE(),IF(G424=Constants!$B$3,FALSE(),TRUE())))</f>
        <v/>
      </c>
      <c r="Z424" s="87" t="str">
        <f aca="false">IF(ISBLANK($C424),"",IF(H424=Constants!$B$2,TRUE(),IF(H424=Constants!$B$3,FALSE(),TRUE())))</f>
        <v/>
      </c>
      <c r="AA424" s="87" t="str">
        <f aca="false">IF(ISBLANK($C424),"",IF(I424=Constants!$B$2,TRUE(),IF(I424=Constants!$B$3,FALSE(),TRUE())))</f>
        <v/>
      </c>
      <c r="AB424" s="87" t="str">
        <f aca="false">IF(ISBLANK($C424),"",IF(J424=Constants!$B$4,TRUE(),IF(J424=Constants!$B$5,FALSE(),COUNTA(K424:M424)&gt;0)))</f>
        <v/>
      </c>
      <c r="AC424" s="88" t="str">
        <f aca="false">IF(ISBLANK($C424),"",IF(ISNUMBER(K424),IF(K424&gt;=0,K424,""),""))</f>
        <v/>
      </c>
      <c r="AD424" s="89" t="str">
        <f aca="false">IF(ISBLANK($C424),"",IF(ISNUMBER(L424),IF(L424&gt;=0,L424,""),""))</f>
        <v/>
      </c>
      <c r="AE424" s="87" t="str">
        <f aca="false">IF(ISBLANK($C424),"",IF(ISNUMBER(M424),IF(M424&gt;=0,MIN(M424,Constants!$B$22),""),""))</f>
        <v/>
      </c>
      <c r="AF424" s="87" t="str">
        <f aca="false">IF(ISBLANK($C424),"",IF(N424=Constants!$B$2,TRUE(),IF(N424=Constants!$B$3,FALSE(),TRUE())))</f>
        <v/>
      </c>
      <c r="AG424" s="87" t="str">
        <f aca="false">IF(ISBLANK($C424),"",IF(O424=Constants!$B$2,TRUE(),IF(O424=Constants!$B$3,FALSE(),TRUE())))</f>
        <v/>
      </c>
      <c r="AH424" s="87" t="str">
        <f aca="false">IF(ISBLANK($C424),"",IF(P424=Constants!$B$4,TRUE(),IF(P424=Constants!$B$5,FALSE(),COUNTA(Q424:S424)&gt;0)))</f>
        <v/>
      </c>
      <c r="AI424" s="88" t="str">
        <f aca="false">IF(ISBLANK($C424),"",IF(ISNUMBER(Q424),IF(Q424&gt;=0,Q424,""),""))</f>
        <v/>
      </c>
      <c r="AJ424" s="89" t="str">
        <f aca="false">IF(ISBLANK($C424),"",IF(ISNUMBER(R424),IF(R424&gt;=0,R424,""),""))</f>
        <v/>
      </c>
      <c r="AK424" s="87" t="str">
        <f aca="false">IF(ISBLANK($C424),"",IF(ISNUMBER(S424),IF(S424&gt;=0,MIN(S424,Constants!$B$22),""),""))</f>
        <v/>
      </c>
      <c r="AL424" s="87" t="str">
        <f aca="false">IF(ISBLANK($C424),"",IF(T424=Constants!$B$2,TRUE(),IF(T424=Constants!$B$3,FALSE(),FALSE())))</f>
        <v/>
      </c>
      <c r="AM424" s="86" t="str">
        <f aca="false">IF(ISBLANK($C424),"",AND($AB424,OR($AC424="",$AD424="",AND(NOT(ISBLANK($M424)),$AE424=""))))</f>
        <v/>
      </c>
      <c r="AN424" s="89" t="str">
        <f aca="false">IF($BD424&lt;&gt;Constants!$B$6,"",IF($AB424,Constants!$B$17*$AD424,Constants!$B$18))</f>
        <v/>
      </c>
      <c r="AO424" s="91" t="str">
        <f aca="false">IF($BD424&lt;&gt;Constants!$B$6,"",Constants!$B$19*IF($AB424,$AC424,0))</f>
        <v/>
      </c>
      <c r="AP424" s="91" t="str">
        <f aca="false">IF($BD424&lt;&gt;Constants!$B$6,"",IF(AND($AB424,ISNUMBER($AE424)),Constants!$B$20*(Constants!$B$21-$AE424),0))</f>
        <v/>
      </c>
      <c r="AQ424" s="91" t="str">
        <f aca="false">IF($BD424&lt;&gt;Constants!$B$6,"",IF($AA424,0,Constants!$B$12)+IF($Z424,0,Constants!$B$13)+IF($Y424,0,Constants!$B$14))</f>
        <v/>
      </c>
      <c r="AR424" s="92" t="str">
        <f aca="false">IF($BD424&lt;&gt;Constants!$B$6,"",Constants!$B$16+SUM($AN424:$AQ424))</f>
        <v/>
      </c>
      <c r="AS424" s="91" t="str">
        <f aca="false">IF($BD424&lt;&gt;Constants!$B$6,"",IF($AB424,$AD424,""))</f>
        <v/>
      </c>
      <c r="AT424" s="93" t="str">
        <f aca="false">IF($BD424&lt;&gt;Constants!$B$6,"",$AO424)</f>
        <v/>
      </c>
      <c r="AU424" s="87" t="str">
        <f aca="false">IF($BD424&lt;&gt;Constants!$B$6,"",IF(OR($BA424&lt;$AR424,AND($BA424=$AR424,OR(AND(ISNUMBER($BB424),OR(NOT(ISNUMBER($AS424)),$BB424&lt;$AS424)),AND(OR(AND($BB424="",$AS424=""),AND(ISNUMBER($BB424),ISNUMBER($AS424),$BB424=$AS424)),$BC424&lt;$AT424)))),"-&gt;","&lt;-"))</f>
        <v/>
      </c>
      <c r="AV424" s="86" t="str">
        <f aca="false">IF(ISBLANK($C424),"",AND($AH424,OR($AI424="",$AJ424="",AND(NOT(ISBLANK($S424)),$AK424=""))))</f>
        <v/>
      </c>
      <c r="AW424" s="89" t="str">
        <f aca="false">IF($BD424&lt;&gt;Constants!$B$6,"",IF($AH424,Constants!$B$17*$AJ424,Constants!$B$18))</f>
        <v/>
      </c>
      <c r="AX424" s="91" t="str">
        <f aca="false">IF($BD424&lt;&gt;Constants!$B$6,"",Constants!$B$19*IF($AH424,$AI424,0))</f>
        <v/>
      </c>
      <c r="AY424" s="91" t="str">
        <f aca="false">IF($BD424&lt;&gt;Constants!$B$6,"",IF(AND($AH424,ISNUMBER($AK424)),Constants!$B$20*(Constants!$B$21-$AK424),0))</f>
        <v/>
      </c>
      <c r="AZ424" s="91" t="str">
        <f aca="false">IF($BD424&lt;&gt;Constants!$B$6,"",IF($AG424,0,Constants!$B$12)+IF($AF424,0,Constants!$B$13)+IF($Y424,0,Constants!$B$14))</f>
        <v/>
      </c>
      <c r="BA424" s="92" t="str">
        <f aca="false">IF($BD424&lt;&gt;Constants!$B$6,"",Constants!$B$16+SUM($AW424:$AZ424))</f>
        <v/>
      </c>
      <c r="BB424" s="91" t="str">
        <f aca="false">IF($BD424&lt;&gt;Constants!$B$6,"",IF($AH424,$AJ424,""))</f>
        <v/>
      </c>
      <c r="BC424" s="93" t="str">
        <f aca="false">IF($BD424&lt;&gt;Constants!$B$6,"",$AX424)</f>
        <v/>
      </c>
      <c r="BD424" s="87" t="str">
        <f aca="false">IF(ISBLANK($C424),"",IF($AL424,Constants!$B$9,IF(COUNTA($E424:$T424)=0,Constants!$B$8,IF(NOT($X424),Constants!$B$7,IF(OR($AM424,$AV424),Constants!$B$10,Constants!$B$6)))))</f>
        <v/>
      </c>
      <c r="BE424" s="87" t="str">
        <f aca="false">IF(ISBLANK($C424),"",IF($BD424&lt;&gt;Constants!$B$6,$BD424,Constants!$B$11))</f>
        <v/>
      </c>
      <c r="BF424" s="91" t="str">
        <f aca="false">IF($BD424&lt;&gt;Constants!$B$6,"",IF($AU424="-&gt;",$BA424,$AR424))</f>
        <v/>
      </c>
      <c r="BG424" s="91" t="str">
        <f aca="false">IF($BD424&lt;&gt;Constants!$B$6,"",IF($W424,0,Constants!$B$15))</f>
        <v/>
      </c>
      <c r="BH424" s="91" t="str">
        <f aca="false">IF(ISBLANK($C424),"",IF($BD424&lt;&gt;Constants!$B$6,$BD424,SUM($BF424:$BG424)))</f>
        <v/>
      </c>
      <c r="BI424" s="87" t="str">
        <f aca="false">IF(ISBLANK($C424),"",IF($BD424&lt;&gt;Constants!$B$6,$BD424,RANK($BH424,$BH$9:$BH$508,1)))</f>
        <v/>
      </c>
      <c r="BJ424" s="91" t="str">
        <f aca="false">IF($BD424&lt;&gt;Constants!$B$6,"",IF($AU424="-&gt;",$BB424,$AS424))</f>
        <v/>
      </c>
      <c r="BK424" s="87" t="str">
        <f aca="false">IF(ISBLANK($C424),"",IF($BD424&lt;&gt;Constants!$B$6,$BD424,IF(ISNUMBER($BJ424),RANK($BJ424,$BJ$9:$BJ$508,1),COUNT($BJ$9:$BJ$508)+1)))</f>
        <v/>
      </c>
      <c r="BL424" s="91" t="str">
        <f aca="false">IF($BD424&lt;&gt;Constants!$B$6,"",IF($AU424="-&gt;",$BC424,$AT424))</f>
        <v/>
      </c>
      <c r="BM424" s="87" t="str">
        <f aca="false">IF(ISBLANK($C424),"",IF($BD424&lt;&gt;Constants!$B$6,$BD424,IF(ISNUMBER($BL424),RANK($BL424,$BL$9:$BL$508,1),COUNT($BL$9:$BL$508)+1)))</f>
        <v/>
      </c>
      <c r="BN424" s="91" t="str">
        <f aca="false">IF($BD424&lt;&gt;Constants!$B$6,"",IF($AU424="-&gt;",$AS424,$BB424))</f>
        <v/>
      </c>
      <c r="BO424" s="87" t="str">
        <f aca="false">IF(ISBLANK($C424),"",IF($BD424&lt;&gt;Constants!$B$6,$BD424,IF(ISNUMBER($BN424),RANK($BN424,$BN$9:$BN$508,1),COUNT($BN$9:$BN$508)+1)))</f>
        <v/>
      </c>
      <c r="BP424" s="91" t="str">
        <f aca="false">IF($BD424&lt;&gt;Constants!$B$6,"",IF($AU424="-&gt;",$AT424,$BC424))</f>
        <v/>
      </c>
      <c r="BQ424" s="87" t="str">
        <f aca="false">IF(ISBLANK($C424),"",IF($BD424&lt;&gt;Constants!$B$6,$BD424,IF(ISNUMBER($BP424),RANK($BP424,$BP$9:$BP$508,1),COUNT($BP$9:$BP$508)+1)))</f>
        <v/>
      </c>
      <c r="BR424" s="87" t="str">
        <f aca="false">IF(ISBLANK($C424),"",IF($BD424&lt;&gt;Constants!$B$6,$BD424,COUNTIFS($BI$9:$BI$508,"&lt;"&amp;$BI424)+COUNTIFS($BI$9:$BI$508,$BI424,$BK$9:$BK$508,"&lt;"&amp;$BK424)+COUNTIFS($BI$9:$BI$508,$BI424,$BK$9:$BK$508,$BK424,$BM$9:$BM$508,"&lt;"&amp;$BM424)+COUNTIFS($BI$9:$BI$508,$BI424,$BK$9:$BK$508,$BK424,$BM$9:$BM$508,$BM424,$BO$9:$BO$508,"&lt;"&amp;$BO424)+COUNTIFS($BI$9:$BI$508,$BI424,$BK$9:$BK$508,$BK424,$BM$9:$BM$508,$BM424,$BO$9:$BO$508,$BO424,$BQ$9:$BQ$508,"&lt;"&amp;$BQ424)+1))</f>
        <v/>
      </c>
      <c r="BS424" s="87" t="str">
        <f aca="false">IF(ISBLANK($C424),"",IF($BD424&lt;&gt;Constants!$B$6,$BD424,$BI424-$BR424))</f>
        <v/>
      </c>
      <c r="BT424" s="94"/>
      <c r="BU424" s="95"/>
      <c r="BV424" s="95" t="str">
        <f aca="false">IF(ISBLANK($C424),"",IF($BD424&lt;&gt;Constants!$B$6,"",IF($AU424="-&gt;",2,1)))</f>
        <v/>
      </c>
      <c r="BW424" s="96" t="str">
        <f aca="false">IF(ISBLANK($C424),"",IF($BD424&lt;&gt;Constants!$B$6,"",IF($AU424="-&gt;",$AW424,$AN424)))</f>
        <v/>
      </c>
      <c r="BX424" s="96" t="str">
        <f aca="false">IF(ISBLANK($C424),"",IF($BD424&lt;&gt;Constants!$B$6,"",IF($AU424="-&gt;",$AX424,$AO424)))</f>
        <v/>
      </c>
      <c r="BY424" s="96" t="str">
        <f aca="false">IF(ISBLANK($C424),"",IF($BD424&lt;&gt;Constants!$B$6,"",IF($AU424="-&gt;",$AY424,$AP424)))</f>
        <v/>
      </c>
      <c r="BZ424" s="96" t="str">
        <f aca="false">IF(ISBLANK($C424),"",IF($BD424&lt;&gt;Constants!$B$6,"",IF($AU424="-&gt;",$AZ424,$AQ424)+$BG424))</f>
        <v/>
      </c>
      <c r="CA424" s="97" t="str">
        <f aca="false">IF(ISBLANK($C424),"",IF($BD424&lt;&gt;Constants!$B$6,$BD424,$BH424))</f>
        <v/>
      </c>
      <c r="CB424" s="98" t="str">
        <f aca="false">IF(ISBLANK($C424),"",$BE424)</f>
        <v/>
      </c>
      <c r="CC424" s="99" t="str">
        <f aca="false">IF(ISBLANK($C424),"",$BS424)</f>
        <v/>
      </c>
      <c r="CD424" s="99" t="str">
        <f aca="false">IF(ISBLANK($C424),"",$BR424)</f>
        <v/>
      </c>
      <c r="CE424" s="100" t="str">
        <f aca="false">IF(ISBLANK($C424),"",IF($CD424=Constants!$B$9,COUNTA($C$9:$C$508)+2,IF($CD424=Constants!$B$8,COUNTA($C$9:$C$508)+1,IF($CD424=Constants!$B$7,COUNTA($C$9:$C$508),$CD424))))</f>
        <v/>
      </c>
      <c r="CF424" s="9"/>
      <c r="CG424" s="101" t="n">
        <f aca="false">IF(OR(ISNUMBER($CD424),$CD424=Constants!$B$9,$CD424=Constants!$B$7,$CD424=Constants!$B$8),1,0)</f>
        <v>0</v>
      </c>
      <c r="CH424" s="101" t="n">
        <v>416</v>
      </c>
      <c r="CI424" s="101" t="str">
        <f aca="false">IF(ISBLANK($C424),"",IF(ISNUMBER($CE424),$CE424+ROW($B424)/1000,""))</f>
        <v/>
      </c>
      <c r="CJ424" s="101" t="str">
        <f aca="false">IF(ISNUMBER($CI424),RANK($CI424,$CI$9:$CI$508,1),"")</f>
        <v/>
      </c>
      <c r="CK424" s="101" t="str">
        <f aca="false">IF(ISBLANK($C424),"",$B424)</f>
        <v/>
      </c>
      <c r="CL424" s="101" t="str">
        <f aca="false">IF(ISBLANK($C424),"",$C424)</f>
        <v/>
      </c>
      <c r="CM424" s="101" t="str">
        <f aca="false">IF(ISBLANK($C424),"",$D424)</f>
        <v/>
      </c>
      <c r="CN424" s="102" t="str">
        <f aca="false">$CB424</f>
        <v/>
      </c>
      <c r="CO424" s="103" t="str">
        <f aca="false">$CA424</f>
        <v/>
      </c>
      <c r="CP424" s="101" t="str">
        <f aca="false">IF(ISBLANK($C424),"",$CD424)</f>
        <v/>
      </c>
      <c r="CQ424" s="104" t="str">
        <f aca="false">IF($CH424&gt;$CG$8,"",VLOOKUP($CH424,$CJ$9:$CP$508,7,FALSE()))</f>
        <v/>
      </c>
      <c r="CR424" s="105" t="str">
        <f aca="false">IF($CH424&gt;$CG$8,"",VLOOKUP($CH424,$CJ$9:$CP$508,2,FALSE()))</f>
        <v/>
      </c>
      <c r="CS424" s="105" t="str">
        <f aca="false">IF($CH424&gt;$CG$8,"",VLOOKUP($CH424,$CJ$9:$CP$508,3,FALSE()))</f>
        <v/>
      </c>
      <c r="CT424" s="105" t="str">
        <f aca="false">IF($CH424&gt;$CG$8,"",VLOOKUP($CH424,$CJ$9:$CP$508,4,FALSE()))</f>
        <v/>
      </c>
      <c r="CU424" s="105" t="str">
        <f aca="false">IF($CH424&gt;$CG$8,"",VLOOKUP($CH424,$CJ$9:$CP$508,5,FALSE()))</f>
        <v/>
      </c>
      <c r="CV424" s="106" t="str">
        <f aca="false">IF($CH424&gt;$CG$8,"",VLOOKUP($CH424,$CJ$9:$CP$508,6,FALSE()))</f>
        <v/>
      </c>
      <c r="CW424" s="71"/>
    </row>
    <row r="425" customFormat="false" ht="15.75" hidden="false" customHeight="false" outlineLevel="0" collapsed="false">
      <c r="A425" s="9"/>
      <c r="B425" s="72"/>
      <c r="C425" s="73"/>
      <c r="D425" s="160"/>
      <c r="E425" s="168"/>
      <c r="F425" s="162"/>
      <c r="G425" s="163"/>
      <c r="H425" s="169"/>
      <c r="I425" s="167"/>
      <c r="J425" s="80"/>
      <c r="K425" s="81"/>
      <c r="L425" s="82"/>
      <c r="M425" s="166"/>
      <c r="N425" s="167"/>
      <c r="O425" s="167"/>
      <c r="P425" s="80"/>
      <c r="Q425" s="82"/>
      <c r="R425" s="82"/>
      <c r="S425" s="166"/>
      <c r="T425" s="167"/>
      <c r="U425" s="86"/>
      <c r="V425" s="87"/>
      <c r="W425" s="87" t="str">
        <f aca="false">IF(ISBLANK($C425),"",IF(E425=Constants!$B$2,TRUE(),IF(E425=Constants!$B$3,FALSE(),TRUE())))</f>
        <v/>
      </c>
      <c r="X425" s="87" t="str">
        <f aca="false">IF(ISBLANK($C425),"",IF(F425=Constants!$B$2,TRUE(),IF(F425=Constants!$B$3,FALSE(),TRUE())))</f>
        <v/>
      </c>
      <c r="Y425" s="87" t="str">
        <f aca="false">IF(ISBLANK($C425),"",IF(G425=Constants!$B$2,TRUE(),IF(G425=Constants!$B$3,FALSE(),TRUE())))</f>
        <v/>
      </c>
      <c r="Z425" s="87" t="str">
        <f aca="false">IF(ISBLANK($C425),"",IF(H425=Constants!$B$2,TRUE(),IF(H425=Constants!$B$3,FALSE(),TRUE())))</f>
        <v/>
      </c>
      <c r="AA425" s="87" t="str">
        <f aca="false">IF(ISBLANK($C425),"",IF(I425=Constants!$B$2,TRUE(),IF(I425=Constants!$B$3,FALSE(),TRUE())))</f>
        <v/>
      </c>
      <c r="AB425" s="87" t="str">
        <f aca="false">IF(ISBLANK($C425),"",IF(J425=Constants!$B$4,TRUE(),IF(J425=Constants!$B$5,FALSE(),COUNTA(K425:M425)&gt;0)))</f>
        <v/>
      </c>
      <c r="AC425" s="88" t="str">
        <f aca="false">IF(ISBLANK($C425),"",IF(ISNUMBER(K425),IF(K425&gt;=0,K425,""),""))</f>
        <v/>
      </c>
      <c r="AD425" s="89" t="str">
        <f aca="false">IF(ISBLANK($C425),"",IF(ISNUMBER(L425),IF(L425&gt;=0,L425,""),""))</f>
        <v/>
      </c>
      <c r="AE425" s="87" t="str">
        <f aca="false">IF(ISBLANK($C425),"",IF(ISNUMBER(M425),IF(M425&gt;=0,MIN(M425,Constants!$B$22),""),""))</f>
        <v/>
      </c>
      <c r="AF425" s="87" t="str">
        <f aca="false">IF(ISBLANK($C425),"",IF(N425=Constants!$B$2,TRUE(),IF(N425=Constants!$B$3,FALSE(),TRUE())))</f>
        <v/>
      </c>
      <c r="AG425" s="87" t="str">
        <f aca="false">IF(ISBLANK($C425),"",IF(O425=Constants!$B$2,TRUE(),IF(O425=Constants!$B$3,FALSE(),TRUE())))</f>
        <v/>
      </c>
      <c r="AH425" s="87" t="str">
        <f aca="false">IF(ISBLANK($C425),"",IF(P425=Constants!$B$4,TRUE(),IF(P425=Constants!$B$5,FALSE(),COUNTA(Q425:S425)&gt;0)))</f>
        <v/>
      </c>
      <c r="AI425" s="88" t="str">
        <f aca="false">IF(ISBLANK($C425),"",IF(ISNUMBER(Q425),IF(Q425&gt;=0,Q425,""),""))</f>
        <v/>
      </c>
      <c r="AJ425" s="89" t="str">
        <f aca="false">IF(ISBLANK($C425),"",IF(ISNUMBER(R425),IF(R425&gt;=0,R425,""),""))</f>
        <v/>
      </c>
      <c r="AK425" s="87" t="str">
        <f aca="false">IF(ISBLANK($C425),"",IF(ISNUMBER(S425),IF(S425&gt;=0,MIN(S425,Constants!$B$22),""),""))</f>
        <v/>
      </c>
      <c r="AL425" s="87" t="str">
        <f aca="false">IF(ISBLANK($C425),"",IF(T425=Constants!$B$2,TRUE(),IF(T425=Constants!$B$3,FALSE(),FALSE())))</f>
        <v/>
      </c>
      <c r="AM425" s="86" t="str">
        <f aca="false">IF(ISBLANK($C425),"",AND($AB425,OR($AC425="",$AD425="",AND(NOT(ISBLANK($M425)),$AE425=""))))</f>
        <v/>
      </c>
      <c r="AN425" s="89" t="str">
        <f aca="false">IF($BD425&lt;&gt;Constants!$B$6,"",IF($AB425,Constants!$B$17*$AD425,Constants!$B$18))</f>
        <v/>
      </c>
      <c r="AO425" s="91" t="str">
        <f aca="false">IF($BD425&lt;&gt;Constants!$B$6,"",Constants!$B$19*IF($AB425,$AC425,0))</f>
        <v/>
      </c>
      <c r="AP425" s="91" t="str">
        <f aca="false">IF($BD425&lt;&gt;Constants!$B$6,"",IF(AND($AB425,ISNUMBER($AE425)),Constants!$B$20*(Constants!$B$21-$AE425),0))</f>
        <v/>
      </c>
      <c r="AQ425" s="91" t="str">
        <f aca="false">IF($BD425&lt;&gt;Constants!$B$6,"",IF($AA425,0,Constants!$B$12)+IF($Z425,0,Constants!$B$13)+IF($Y425,0,Constants!$B$14))</f>
        <v/>
      </c>
      <c r="AR425" s="92" t="str">
        <f aca="false">IF($BD425&lt;&gt;Constants!$B$6,"",Constants!$B$16+SUM($AN425:$AQ425))</f>
        <v/>
      </c>
      <c r="AS425" s="91" t="str">
        <f aca="false">IF($BD425&lt;&gt;Constants!$B$6,"",IF($AB425,$AD425,""))</f>
        <v/>
      </c>
      <c r="AT425" s="93" t="str">
        <f aca="false">IF($BD425&lt;&gt;Constants!$B$6,"",$AO425)</f>
        <v/>
      </c>
      <c r="AU425" s="87" t="str">
        <f aca="false">IF($BD425&lt;&gt;Constants!$B$6,"",IF(OR($BA425&lt;$AR425,AND($BA425=$AR425,OR(AND(ISNUMBER($BB425),OR(NOT(ISNUMBER($AS425)),$BB425&lt;$AS425)),AND(OR(AND($BB425="",$AS425=""),AND(ISNUMBER($BB425),ISNUMBER($AS425),$BB425=$AS425)),$BC425&lt;$AT425)))),"-&gt;","&lt;-"))</f>
        <v/>
      </c>
      <c r="AV425" s="86" t="str">
        <f aca="false">IF(ISBLANK($C425),"",AND($AH425,OR($AI425="",$AJ425="",AND(NOT(ISBLANK($S425)),$AK425=""))))</f>
        <v/>
      </c>
      <c r="AW425" s="89" t="str">
        <f aca="false">IF($BD425&lt;&gt;Constants!$B$6,"",IF($AH425,Constants!$B$17*$AJ425,Constants!$B$18))</f>
        <v/>
      </c>
      <c r="AX425" s="91" t="str">
        <f aca="false">IF($BD425&lt;&gt;Constants!$B$6,"",Constants!$B$19*IF($AH425,$AI425,0))</f>
        <v/>
      </c>
      <c r="AY425" s="91" t="str">
        <f aca="false">IF($BD425&lt;&gt;Constants!$B$6,"",IF(AND($AH425,ISNUMBER($AK425)),Constants!$B$20*(Constants!$B$21-$AK425),0))</f>
        <v/>
      </c>
      <c r="AZ425" s="91" t="str">
        <f aca="false">IF($BD425&lt;&gt;Constants!$B$6,"",IF($AG425,0,Constants!$B$12)+IF($AF425,0,Constants!$B$13)+IF($Y425,0,Constants!$B$14))</f>
        <v/>
      </c>
      <c r="BA425" s="92" t="str">
        <f aca="false">IF($BD425&lt;&gt;Constants!$B$6,"",Constants!$B$16+SUM($AW425:$AZ425))</f>
        <v/>
      </c>
      <c r="BB425" s="91" t="str">
        <f aca="false">IF($BD425&lt;&gt;Constants!$B$6,"",IF($AH425,$AJ425,""))</f>
        <v/>
      </c>
      <c r="BC425" s="93" t="str">
        <f aca="false">IF($BD425&lt;&gt;Constants!$B$6,"",$AX425)</f>
        <v/>
      </c>
      <c r="BD425" s="87" t="str">
        <f aca="false">IF(ISBLANK($C425),"",IF($AL425,Constants!$B$9,IF(COUNTA($E425:$T425)=0,Constants!$B$8,IF(NOT($X425),Constants!$B$7,IF(OR($AM425,$AV425),Constants!$B$10,Constants!$B$6)))))</f>
        <v/>
      </c>
      <c r="BE425" s="87" t="str">
        <f aca="false">IF(ISBLANK($C425),"",IF($BD425&lt;&gt;Constants!$B$6,$BD425,Constants!$B$11))</f>
        <v/>
      </c>
      <c r="BF425" s="91" t="str">
        <f aca="false">IF($BD425&lt;&gt;Constants!$B$6,"",IF($AU425="-&gt;",$BA425,$AR425))</f>
        <v/>
      </c>
      <c r="BG425" s="91" t="str">
        <f aca="false">IF($BD425&lt;&gt;Constants!$B$6,"",IF($W425,0,Constants!$B$15))</f>
        <v/>
      </c>
      <c r="BH425" s="91" t="str">
        <f aca="false">IF(ISBLANK($C425),"",IF($BD425&lt;&gt;Constants!$B$6,$BD425,SUM($BF425:$BG425)))</f>
        <v/>
      </c>
      <c r="BI425" s="87" t="str">
        <f aca="false">IF(ISBLANK($C425),"",IF($BD425&lt;&gt;Constants!$B$6,$BD425,RANK($BH425,$BH$9:$BH$508,1)))</f>
        <v/>
      </c>
      <c r="BJ425" s="91" t="str">
        <f aca="false">IF($BD425&lt;&gt;Constants!$B$6,"",IF($AU425="-&gt;",$BB425,$AS425))</f>
        <v/>
      </c>
      <c r="BK425" s="87" t="str">
        <f aca="false">IF(ISBLANK($C425),"",IF($BD425&lt;&gt;Constants!$B$6,$BD425,IF(ISNUMBER($BJ425),RANK($BJ425,$BJ$9:$BJ$508,1),COUNT($BJ$9:$BJ$508)+1)))</f>
        <v/>
      </c>
      <c r="BL425" s="91" t="str">
        <f aca="false">IF($BD425&lt;&gt;Constants!$B$6,"",IF($AU425="-&gt;",$BC425,$AT425))</f>
        <v/>
      </c>
      <c r="BM425" s="87" t="str">
        <f aca="false">IF(ISBLANK($C425),"",IF($BD425&lt;&gt;Constants!$B$6,$BD425,IF(ISNUMBER($BL425),RANK($BL425,$BL$9:$BL$508,1),COUNT($BL$9:$BL$508)+1)))</f>
        <v/>
      </c>
      <c r="BN425" s="91" t="str">
        <f aca="false">IF($BD425&lt;&gt;Constants!$B$6,"",IF($AU425="-&gt;",$AS425,$BB425))</f>
        <v/>
      </c>
      <c r="BO425" s="87" t="str">
        <f aca="false">IF(ISBLANK($C425),"",IF($BD425&lt;&gt;Constants!$B$6,$BD425,IF(ISNUMBER($BN425),RANK($BN425,$BN$9:$BN$508,1),COUNT($BN$9:$BN$508)+1)))</f>
        <v/>
      </c>
      <c r="BP425" s="91" t="str">
        <f aca="false">IF($BD425&lt;&gt;Constants!$B$6,"",IF($AU425="-&gt;",$AT425,$BC425))</f>
        <v/>
      </c>
      <c r="BQ425" s="87" t="str">
        <f aca="false">IF(ISBLANK($C425),"",IF($BD425&lt;&gt;Constants!$B$6,$BD425,IF(ISNUMBER($BP425),RANK($BP425,$BP$9:$BP$508,1),COUNT($BP$9:$BP$508)+1)))</f>
        <v/>
      </c>
      <c r="BR425" s="87" t="str">
        <f aca="false">IF(ISBLANK($C425),"",IF($BD425&lt;&gt;Constants!$B$6,$BD425,COUNTIFS($BI$9:$BI$508,"&lt;"&amp;$BI425)+COUNTIFS($BI$9:$BI$508,$BI425,$BK$9:$BK$508,"&lt;"&amp;$BK425)+COUNTIFS($BI$9:$BI$508,$BI425,$BK$9:$BK$508,$BK425,$BM$9:$BM$508,"&lt;"&amp;$BM425)+COUNTIFS($BI$9:$BI$508,$BI425,$BK$9:$BK$508,$BK425,$BM$9:$BM$508,$BM425,$BO$9:$BO$508,"&lt;"&amp;$BO425)+COUNTIFS($BI$9:$BI$508,$BI425,$BK$9:$BK$508,$BK425,$BM$9:$BM$508,$BM425,$BO$9:$BO$508,$BO425,$BQ$9:$BQ$508,"&lt;"&amp;$BQ425)+1))</f>
        <v/>
      </c>
      <c r="BS425" s="87" t="str">
        <f aca="false">IF(ISBLANK($C425),"",IF($BD425&lt;&gt;Constants!$B$6,$BD425,$BI425-$BR425))</f>
        <v/>
      </c>
      <c r="BT425" s="94"/>
      <c r="BU425" s="95"/>
      <c r="BV425" s="95" t="str">
        <f aca="false">IF(ISBLANK($C425),"",IF($BD425&lt;&gt;Constants!$B$6,"",IF($AU425="-&gt;",2,1)))</f>
        <v/>
      </c>
      <c r="BW425" s="96" t="str">
        <f aca="false">IF(ISBLANK($C425),"",IF($BD425&lt;&gt;Constants!$B$6,"",IF($AU425="-&gt;",$AW425,$AN425)))</f>
        <v/>
      </c>
      <c r="BX425" s="96" t="str">
        <f aca="false">IF(ISBLANK($C425),"",IF($BD425&lt;&gt;Constants!$B$6,"",IF($AU425="-&gt;",$AX425,$AO425)))</f>
        <v/>
      </c>
      <c r="BY425" s="96" t="str">
        <f aca="false">IF(ISBLANK($C425),"",IF($BD425&lt;&gt;Constants!$B$6,"",IF($AU425="-&gt;",$AY425,$AP425)))</f>
        <v/>
      </c>
      <c r="BZ425" s="96" t="str">
        <f aca="false">IF(ISBLANK($C425),"",IF($BD425&lt;&gt;Constants!$B$6,"",IF($AU425="-&gt;",$AZ425,$AQ425)+$BG425))</f>
        <v/>
      </c>
      <c r="CA425" s="97" t="str">
        <f aca="false">IF(ISBLANK($C425),"",IF($BD425&lt;&gt;Constants!$B$6,$BD425,$BH425))</f>
        <v/>
      </c>
      <c r="CB425" s="98" t="str">
        <f aca="false">IF(ISBLANK($C425),"",$BE425)</f>
        <v/>
      </c>
      <c r="CC425" s="99" t="str">
        <f aca="false">IF(ISBLANK($C425),"",$BS425)</f>
        <v/>
      </c>
      <c r="CD425" s="99" t="str">
        <f aca="false">IF(ISBLANK($C425),"",$BR425)</f>
        <v/>
      </c>
      <c r="CE425" s="100" t="str">
        <f aca="false">IF(ISBLANK($C425),"",IF($CD425=Constants!$B$9,COUNTA($C$9:$C$508)+2,IF($CD425=Constants!$B$8,COUNTA($C$9:$C$508)+1,IF($CD425=Constants!$B$7,COUNTA($C$9:$C$508),$CD425))))</f>
        <v/>
      </c>
      <c r="CF425" s="9"/>
      <c r="CG425" s="101" t="n">
        <f aca="false">IF(OR(ISNUMBER($CD425),$CD425=Constants!$B$9,$CD425=Constants!$B$7,$CD425=Constants!$B$8),1,0)</f>
        <v>0</v>
      </c>
      <c r="CH425" s="101" t="n">
        <v>417</v>
      </c>
      <c r="CI425" s="101" t="str">
        <f aca="false">IF(ISBLANK($C425),"",IF(ISNUMBER($CE425),$CE425+ROW($B425)/1000,""))</f>
        <v/>
      </c>
      <c r="CJ425" s="101" t="str">
        <f aca="false">IF(ISNUMBER($CI425),RANK($CI425,$CI$9:$CI$508,1),"")</f>
        <v/>
      </c>
      <c r="CK425" s="101" t="str">
        <f aca="false">IF(ISBLANK($C425),"",$B425)</f>
        <v/>
      </c>
      <c r="CL425" s="101" t="str">
        <f aca="false">IF(ISBLANK($C425),"",$C425)</f>
        <v/>
      </c>
      <c r="CM425" s="101" t="str">
        <f aca="false">IF(ISBLANK($C425),"",$D425)</f>
        <v/>
      </c>
      <c r="CN425" s="102" t="str">
        <f aca="false">$CB425</f>
        <v/>
      </c>
      <c r="CO425" s="103" t="str">
        <f aca="false">$CA425</f>
        <v/>
      </c>
      <c r="CP425" s="101" t="str">
        <f aca="false">IF(ISBLANK($C425),"",$CD425)</f>
        <v/>
      </c>
      <c r="CQ425" s="104" t="str">
        <f aca="false">IF($CH425&gt;$CG$8,"",VLOOKUP($CH425,$CJ$9:$CP$508,7,FALSE()))</f>
        <v/>
      </c>
      <c r="CR425" s="105" t="str">
        <f aca="false">IF($CH425&gt;$CG$8,"",VLOOKUP($CH425,$CJ$9:$CP$508,2,FALSE()))</f>
        <v/>
      </c>
      <c r="CS425" s="105" t="str">
        <f aca="false">IF($CH425&gt;$CG$8,"",VLOOKUP($CH425,$CJ$9:$CP$508,3,FALSE()))</f>
        <v/>
      </c>
      <c r="CT425" s="105" t="str">
        <f aca="false">IF($CH425&gt;$CG$8,"",VLOOKUP($CH425,$CJ$9:$CP$508,4,FALSE()))</f>
        <v/>
      </c>
      <c r="CU425" s="105" t="str">
        <f aca="false">IF($CH425&gt;$CG$8,"",VLOOKUP($CH425,$CJ$9:$CP$508,5,FALSE()))</f>
        <v/>
      </c>
      <c r="CV425" s="106" t="str">
        <f aca="false">IF($CH425&gt;$CG$8,"",VLOOKUP($CH425,$CJ$9:$CP$508,6,FALSE()))</f>
        <v/>
      </c>
      <c r="CW425" s="71"/>
    </row>
    <row r="426" customFormat="false" ht="15.75" hidden="false" customHeight="false" outlineLevel="0" collapsed="false">
      <c r="A426" s="9"/>
      <c r="B426" s="150"/>
      <c r="C426" s="151"/>
      <c r="D426" s="152"/>
      <c r="E426" s="170"/>
      <c r="F426" s="154"/>
      <c r="G426" s="155"/>
      <c r="H426" s="171"/>
      <c r="I426" s="159"/>
      <c r="J426" s="120"/>
      <c r="K426" s="121"/>
      <c r="L426" s="122"/>
      <c r="M426" s="158"/>
      <c r="N426" s="159"/>
      <c r="O426" s="159"/>
      <c r="P426" s="120"/>
      <c r="Q426" s="122"/>
      <c r="R426" s="122"/>
      <c r="S426" s="158"/>
      <c r="T426" s="159"/>
      <c r="U426" s="126"/>
      <c r="V426" s="127"/>
      <c r="W426" s="127" t="str">
        <f aca="false">IF(ISBLANK($C426),"",IF(E426=Constants!$B$2,TRUE(),IF(E426=Constants!$B$3,FALSE(),TRUE())))</f>
        <v/>
      </c>
      <c r="X426" s="127" t="str">
        <f aca="false">IF(ISBLANK($C426),"",IF(F426=Constants!$B$2,TRUE(),IF(F426=Constants!$B$3,FALSE(),TRUE())))</f>
        <v/>
      </c>
      <c r="Y426" s="127" t="str">
        <f aca="false">IF(ISBLANK($C426),"",IF(G426=Constants!$B$2,TRUE(),IF(G426=Constants!$B$3,FALSE(),TRUE())))</f>
        <v/>
      </c>
      <c r="Z426" s="127" t="str">
        <f aca="false">IF(ISBLANK($C426),"",IF(H426=Constants!$B$2,TRUE(),IF(H426=Constants!$B$3,FALSE(),TRUE())))</f>
        <v/>
      </c>
      <c r="AA426" s="127" t="str">
        <f aca="false">IF(ISBLANK($C426),"",IF(I426=Constants!$B$2,TRUE(),IF(I426=Constants!$B$3,FALSE(),TRUE())))</f>
        <v/>
      </c>
      <c r="AB426" s="127" t="str">
        <f aca="false">IF(ISBLANK($C426),"",IF(J426=Constants!$B$4,TRUE(),IF(J426=Constants!$B$5,FALSE(),COUNTA(K426:M426)&gt;0)))</f>
        <v/>
      </c>
      <c r="AC426" s="128" t="str">
        <f aca="false">IF(ISBLANK($C426),"",IF(ISNUMBER(K426),IF(K426&gt;=0,K426,""),""))</f>
        <v/>
      </c>
      <c r="AD426" s="129" t="str">
        <f aca="false">IF(ISBLANK($C426),"",IF(ISNUMBER(L426),IF(L426&gt;=0,L426,""),""))</f>
        <v/>
      </c>
      <c r="AE426" s="127" t="str">
        <f aca="false">IF(ISBLANK($C426),"",IF(ISNUMBER(M426),IF(M426&gt;=0,MIN(M426,Constants!$B$22),""),""))</f>
        <v/>
      </c>
      <c r="AF426" s="127" t="str">
        <f aca="false">IF(ISBLANK($C426),"",IF(N426=Constants!$B$2,TRUE(),IF(N426=Constants!$B$3,FALSE(),TRUE())))</f>
        <v/>
      </c>
      <c r="AG426" s="127" t="str">
        <f aca="false">IF(ISBLANK($C426),"",IF(O426=Constants!$B$2,TRUE(),IF(O426=Constants!$B$3,FALSE(),TRUE())))</f>
        <v/>
      </c>
      <c r="AH426" s="127" t="str">
        <f aca="false">IF(ISBLANK($C426),"",IF(P426=Constants!$B$4,TRUE(),IF(P426=Constants!$B$5,FALSE(),COUNTA(Q426:S426)&gt;0)))</f>
        <v/>
      </c>
      <c r="AI426" s="128" t="str">
        <f aca="false">IF(ISBLANK($C426),"",IF(ISNUMBER(Q426),IF(Q426&gt;=0,Q426,""),""))</f>
        <v/>
      </c>
      <c r="AJ426" s="129" t="str">
        <f aca="false">IF(ISBLANK($C426),"",IF(ISNUMBER(R426),IF(R426&gt;=0,R426,""),""))</f>
        <v/>
      </c>
      <c r="AK426" s="127" t="str">
        <f aca="false">IF(ISBLANK($C426),"",IF(ISNUMBER(S426),IF(S426&gt;=0,MIN(S426,Constants!$B$22),""),""))</f>
        <v/>
      </c>
      <c r="AL426" s="127" t="str">
        <f aca="false">IF(ISBLANK($C426),"",IF(T426=Constants!$B$2,TRUE(),IF(T426=Constants!$B$3,FALSE(),FALSE())))</f>
        <v/>
      </c>
      <c r="AM426" s="126" t="str">
        <f aca="false">IF(ISBLANK($C426),"",AND($AB426,OR($AC426="",$AD426="",AND(NOT(ISBLANK($M426)),$AE426=""))))</f>
        <v/>
      </c>
      <c r="AN426" s="129" t="str">
        <f aca="false">IF($BD426&lt;&gt;Constants!$B$6,"",IF($AB426,Constants!$B$17*$AD426,Constants!$B$18))</f>
        <v/>
      </c>
      <c r="AO426" s="130" t="str">
        <f aca="false">IF($BD426&lt;&gt;Constants!$B$6,"",Constants!$B$19*IF($AB426,$AC426,0))</f>
        <v/>
      </c>
      <c r="AP426" s="130" t="str">
        <f aca="false">IF($BD426&lt;&gt;Constants!$B$6,"",IF(AND($AB426,ISNUMBER($AE426)),Constants!$B$20*(Constants!$B$21-$AE426),0))</f>
        <v/>
      </c>
      <c r="AQ426" s="130" t="str">
        <f aca="false">IF($BD426&lt;&gt;Constants!$B$6,"",IF($AA426,0,Constants!$B$12)+IF($Z426,0,Constants!$B$13)+IF($Y426,0,Constants!$B$14))</f>
        <v/>
      </c>
      <c r="AR426" s="131" t="str">
        <f aca="false">IF($BD426&lt;&gt;Constants!$B$6,"",Constants!$B$16+SUM($AN426:$AQ426))</f>
        <v/>
      </c>
      <c r="AS426" s="130" t="str">
        <f aca="false">IF($BD426&lt;&gt;Constants!$B$6,"",IF($AB426,$AD426,""))</f>
        <v/>
      </c>
      <c r="AT426" s="132" t="str">
        <f aca="false">IF($BD426&lt;&gt;Constants!$B$6,"",$AO426)</f>
        <v/>
      </c>
      <c r="AU426" s="127" t="str">
        <f aca="false">IF($BD426&lt;&gt;Constants!$B$6,"",IF(OR($BA426&lt;$AR426,AND($BA426=$AR426,OR(AND(ISNUMBER($BB426),OR(NOT(ISNUMBER($AS426)),$BB426&lt;$AS426)),AND(OR(AND($BB426="",$AS426=""),AND(ISNUMBER($BB426),ISNUMBER($AS426),$BB426=$AS426)),$BC426&lt;$AT426)))),"-&gt;","&lt;-"))</f>
        <v/>
      </c>
      <c r="AV426" s="126" t="str">
        <f aca="false">IF(ISBLANK($C426),"",AND($AH426,OR($AI426="",$AJ426="",AND(NOT(ISBLANK($S426)),$AK426=""))))</f>
        <v/>
      </c>
      <c r="AW426" s="129" t="str">
        <f aca="false">IF($BD426&lt;&gt;Constants!$B$6,"",IF($AH426,Constants!$B$17*$AJ426,Constants!$B$18))</f>
        <v/>
      </c>
      <c r="AX426" s="130" t="str">
        <f aca="false">IF($BD426&lt;&gt;Constants!$B$6,"",Constants!$B$19*IF($AH426,$AI426,0))</f>
        <v/>
      </c>
      <c r="AY426" s="130" t="str">
        <f aca="false">IF($BD426&lt;&gt;Constants!$B$6,"",IF(AND($AH426,ISNUMBER($AK426)),Constants!$B$20*(Constants!$B$21-$AK426),0))</f>
        <v/>
      </c>
      <c r="AZ426" s="130" t="str">
        <f aca="false">IF($BD426&lt;&gt;Constants!$B$6,"",IF($AG426,0,Constants!$B$12)+IF($AF426,0,Constants!$B$13)+IF($Y426,0,Constants!$B$14))</f>
        <v/>
      </c>
      <c r="BA426" s="131" t="str">
        <f aca="false">IF($BD426&lt;&gt;Constants!$B$6,"",Constants!$B$16+SUM($AW426:$AZ426))</f>
        <v/>
      </c>
      <c r="BB426" s="130" t="str">
        <f aca="false">IF($BD426&lt;&gt;Constants!$B$6,"",IF($AH426,$AJ426,""))</f>
        <v/>
      </c>
      <c r="BC426" s="132" t="str">
        <f aca="false">IF($BD426&lt;&gt;Constants!$B$6,"",$AX426)</f>
        <v/>
      </c>
      <c r="BD426" s="127" t="str">
        <f aca="false">IF(ISBLANK($C426),"",IF($AL426,Constants!$B$9,IF(COUNTA($E426:$T426)=0,Constants!$B$8,IF(NOT($X426),Constants!$B$7,IF(OR($AM426,$AV426),Constants!$B$10,Constants!$B$6)))))</f>
        <v/>
      </c>
      <c r="BE426" s="127" t="str">
        <f aca="false">IF(ISBLANK($C426),"",IF($BD426&lt;&gt;Constants!$B$6,$BD426,Constants!$B$11))</f>
        <v/>
      </c>
      <c r="BF426" s="130" t="str">
        <f aca="false">IF($BD426&lt;&gt;Constants!$B$6,"",IF($AU426="-&gt;",$BA426,$AR426))</f>
        <v/>
      </c>
      <c r="BG426" s="130" t="str">
        <f aca="false">IF($BD426&lt;&gt;Constants!$B$6,"",IF($W426,0,Constants!$B$15))</f>
        <v/>
      </c>
      <c r="BH426" s="130" t="str">
        <f aca="false">IF(ISBLANK($C426),"",IF($BD426&lt;&gt;Constants!$B$6,$BD426,SUM($BF426:$BG426)))</f>
        <v/>
      </c>
      <c r="BI426" s="127" t="str">
        <f aca="false">IF(ISBLANK($C426),"",IF($BD426&lt;&gt;Constants!$B$6,$BD426,RANK($BH426,$BH$9:$BH$508,1)))</f>
        <v/>
      </c>
      <c r="BJ426" s="130" t="str">
        <f aca="false">IF($BD426&lt;&gt;Constants!$B$6,"",IF($AU426="-&gt;",$BB426,$AS426))</f>
        <v/>
      </c>
      <c r="BK426" s="127" t="str">
        <f aca="false">IF(ISBLANK($C426),"",IF($BD426&lt;&gt;Constants!$B$6,$BD426,IF(ISNUMBER($BJ426),RANK($BJ426,$BJ$9:$BJ$508,1),COUNT($BJ$9:$BJ$508)+1)))</f>
        <v/>
      </c>
      <c r="BL426" s="130" t="str">
        <f aca="false">IF($BD426&lt;&gt;Constants!$B$6,"",IF($AU426="-&gt;",$BC426,$AT426))</f>
        <v/>
      </c>
      <c r="BM426" s="127" t="str">
        <f aca="false">IF(ISBLANK($C426),"",IF($BD426&lt;&gt;Constants!$B$6,$BD426,IF(ISNUMBER($BL426),RANK($BL426,$BL$9:$BL$508,1),COUNT($BL$9:$BL$508)+1)))</f>
        <v/>
      </c>
      <c r="BN426" s="130" t="str">
        <f aca="false">IF($BD426&lt;&gt;Constants!$B$6,"",IF($AU426="-&gt;",$AS426,$BB426))</f>
        <v/>
      </c>
      <c r="BO426" s="127" t="str">
        <f aca="false">IF(ISBLANK($C426),"",IF($BD426&lt;&gt;Constants!$B$6,$BD426,IF(ISNUMBER($BN426),RANK($BN426,$BN$9:$BN$508,1),COUNT($BN$9:$BN$508)+1)))</f>
        <v/>
      </c>
      <c r="BP426" s="130" t="str">
        <f aca="false">IF($BD426&lt;&gt;Constants!$B$6,"",IF($AU426="-&gt;",$AT426,$BC426))</f>
        <v/>
      </c>
      <c r="BQ426" s="127" t="str">
        <f aca="false">IF(ISBLANK($C426),"",IF($BD426&lt;&gt;Constants!$B$6,$BD426,IF(ISNUMBER($BP426),RANK($BP426,$BP$9:$BP$508,1),COUNT($BP$9:$BP$508)+1)))</f>
        <v/>
      </c>
      <c r="BR426" s="127" t="str">
        <f aca="false">IF(ISBLANK($C426),"",IF($BD426&lt;&gt;Constants!$B$6,$BD426,COUNTIFS($BI$9:$BI$508,"&lt;"&amp;$BI426)+COUNTIFS($BI$9:$BI$508,$BI426,$BK$9:$BK$508,"&lt;"&amp;$BK426)+COUNTIFS($BI$9:$BI$508,$BI426,$BK$9:$BK$508,$BK426,$BM$9:$BM$508,"&lt;"&amp;$BM426)+COUNTIFS($BI$9:$BI$508,$BI426,$BK$9:$BK$508,$BK426,$BM$9:$BM$508,$BM426,$BO$9:$BO$508,"&lt;"&amp;$BO426)+COUNTIFS($BI$9:$BI$508,$BI426,$BK$9:$BK$508,$BK426,$BM$9:$BM$508,$BM426,$BO$9:$BO$508,$BO426,$BQ$9:$BQ$508,"&lt;"&amp;$BQ426)+1))</f>
        <v/>
      </c>
      <c r="BS426" s="127" t="str">
        <f aca="false">IF(ISBLANK($C426),"",IF($BD426&lt;&gt;Constants!$B$6,$BD426,$BI426-$BR426))</f>
        <v/>
      </c>
      <c r="BT426" s="133"/>
      <c r="BU426" s="134"/>
      <c r="BV426" s="134" t="str">
        <f aca="false">IF(ISBLANK($C426),"",IF($BD426&lt;&gt;Constants!$B$6,"",IF($AU426="-&gt;",2,1)))</f>
        <v/>
      </c>
      <c r="BW426" s="135" t="str">
        <f aca="false">IF(ISBLANK($C426),"",IF($BD426&lt;&gt;Constants!$B$6,"",IF($AU426="-&gt;",$AW426,$AN426)))</f>
        <v/>
      </c>
      <c r="BX426" s="135" t="str">
        <f aca="false">IF(ISBLANK($C426),"",IF($BD426&lt;&gt;Constants!$B$6,"",IF($AU426="-&gt;",$AX426,$AO426)))</f>
        <v/>
      </c>
      <c r="BY426" s="135" t="str">
        <f aca="false">IF(ISBLANK($C426),"",IF($BD426&lt;&gt;Constants!$B$6,"",IF($AU426="-&gt;",$AY426,$AP426)))</f>
        <v/>
      </c>
      <c r="BZ426" s="135" t="str">
        <f aca="false">IF(ISBLANK($C426),"",IF($BD426&lt;&gt;Constants!$B$6,"",IF($AU426="-&gt;",$AZ426,$AQ426)+$BG426))</f>
        <v/>
      </c>
      <c r="CA426" s="136" t="str">
        <f aca="false">IF(ISBLANK($C426),"",IF($BD426&lt;&gt;Constants!$B$6,$BD426,$BH426))</f>
        <v/>
      </c>
      <c r="CB426" s="137" t="str">
        <f aca="false">IF(ISBLANK($C426),"",$BE426)</f>
        <v/>
      </c>
      <c r="CC426" s="138" t="str">
        <f aca="false">IF(ISBLANK($C426),"",$BS426)</f>
        <v/>
      </c>
      <c r="CD426" s="138" t="str">
        <f aca="false">IF(ISBLANK($C426),"",$BR426)</f>
        <v/>
      </c>
      <c r="CE426" s="139" t="str">
        <f aca="false">IF(ISBLANK($C426),"",IF($CD426=Constants!$B$9,COUNTA($C$9:$C$508)+2,IF($CD426=Constants!$B$8,COUNTA($C$9:$C$508)+1,IF($CD426=Constants!$B$7,COUNTA($C$9:$C$508),$CD426))))</f>
        <v/>
      </c>
      <c r="CF426" s="9"/>
      <c r="CG426" s="140" t="n">
        <f aca="false">IF(OR(ISNUMBER($CD426),$CD426=Constants!$B$9,$CD426=Constants!$B$7,$CD426=Constants!$B$8),1,0)</f>
        <v>0</v>
      </c>
      <c r="CH426" s="140" t="n">
        <v>418</v>
      </c>
      <c r="CI426" s="140" t="str">
        <f aca="false">IF(ISBLANK($C426),"",IF(ISNUMBER($CE426),$CE426+ROW($B426)/1000,""))</f>
        <v/>
      </c>
      <c r="CJ426" s="140" t="str">
        <f aca="false">IF(ISNUMBER($CI426),RANK($CI426,$CI$9:$CI$508,1),"")</f>
        <v/>
      </c>
      <c r="CK426" s="140" t="str">
        <f aca="false">IF(ISBLANK($C426),"",$B426)</f>
        <v/>
      </c>
      <c r="CL426" s="140" t="str">
        <f aca="false">IF(ISBLANK($C426),"",$C426)</f>
        <v/>
      </c>
      <c r="CM426" s="140" t="str">
        <f aca="false">IF(ISBLANK($C426),"",$D426)</f>
        <v/>
      </c>
      <c r="CN426" s="141" t="str">
        <f aca="false">$CB426</f>
        <v/>
      </c>
      <c r="CO426" s="142" t="str">
        <f aca="false">$CA426</f>
        <v/>
      </c>
      <c r="CP426" s="140" t="str">
        <f aca="false">IF(ISBLANK($C426),"",$CD426)</f>
        <v/>
      </c>
      <c r="CQ426" s="143" t="str">
        <f aca="false">IF($CH426&gt;$CG$8,"",VLOOKUP($CH426,$CJ$9:$CP$508,7,FALSE()))</f>
        <v/>
      </c>
      <c r="CR426" s="144" t="str">
        <f aca="false">IF($CH426&gt;$CG$8,"",VLOOKUP($CH426,$CJ$9:$CP$508,2,FALSE()))</f>
        <v/>
      </c>
      <c r="CS426" s="144" t="str">
        <f aca="false">IF($CH426&gt;$CG$8,"",VLOOKUP($CH426,$CJ$9:$CP$508,3,FALSE()))</f>
        <v/>
      </c>
      <c r="CT426" s="144" t="str">
        <f aca="false">IF($CH426&gt;$CG$8,"",VLOOKUP($CH426,$CJ$9:$CP$508,4,FALSE()))</f>
        <v/>
      </c>
      <c r="CU426" s="144" t="str">
        <f aca="false">IF($CH426&gt;$CG$8,"",VLOOKUP($CH426,$CJ$9:$CP$508,5,FALSE()))</f>
        <v/>
      </c>
      <c r="CV426" s="145" t="str">
        <f aca="false">IF($CH426&gt;$CG$8,"",VLOOKUP($CH426,$CJ$9:$CP$508,6,FALSE()))</f>
        <v/>
      </c>
      <c r="CW426" s="71"/>
    </row>
    <row r="427" customFormat="false" ht="15.75" hidden="false" customHeight="false" outlineLevel="0" collapsed="false">
      <c r="A427" s="9"/>
      <c r="B427" s="150"/>
      <c r="C427" s="151"/>
      <c r="D427" s="152"/>
      <c r="E427" s="170"/>
      <c r="F427" s="154"/>
      <c r="G427" s="155"/>
      <c r="H427" s="171"/>
      <c r="I427" s="159"/>
      <c r="J427" s="120"/>
      <c r="K427" s="121"/>
      <c r="L427" s="122"/>
      <c r="M427" s="158"/>
      <c r="N427" s="159"/>
      <c r="O427" s="159"/>
      <c r="P427" s="120"/>
      <c r="Q427" s="122"/>
      <c r="R427" s="122"/>
      <c r="S427" s="158"/>
      <c r="T427" s="159"/>
      <c r="U427" s="126"/>
      <c r="V427" s="127"/>
      <c r="W427" s="127" t="str">
        <f aca="false">IF(ISBLANK($C427),"",IF(E427=Constants!$B$2,TRUE(),IF(E427=Constants!$B$3,FALSE(),TRUE())))</f>
        <v/>
      </c>
      <c r="X427" s="127" t="str">
        <f aca="false">IF(ISBLANK($C427),"",IF(F427=Constants!$B$2,TRUE(),IF(F427=Constants!$B$3,FALSE(),TRUE())))</f>
        <v/>
      </c>
      <c r="Y427" s="127" t="str">
        <f aca="false">IF(ISBLANK($C427),"",IF(G427=Constants!$B$2,TRUE(),IF(G427=Constants!$B$3,FALSE(),TRUE())))</f>
        <v/>
      </c>
      <c r="Z427" s="127" t="str">
        <f aca="false">IF(ISBLANK($C427),"",IF(H427=Constants!$B$2,TRUE(),IF(H427=Constants!$B$3,FALSE(),TRUE())))</f>
        <v/>
      </c>
      <c r="AA427" s="127" t="str">
        <f aca="false">IF(ISBLANK($C427),"",IF(I427=Constants!$B$2,TRUE(),IF(I427=Constants!$B$3,FALSE(),TRUE())))</f>
        <v/>
      </c>
      <c r="AB427" s="127" t="str">
        <f aca="false">IF(ISBLANK($C427),"",IF(J427=Constants!$B$4,TRUE(),IF(J427=Constants!$B$5,FALSE(),COUNTA(K427:M427)&gt;0)))</f>
        <v/>
      </c>
      <c r="AC427" s="128" t="str">
        <f aca="false">IF(ISBLANK($C427),"",IF(ISNUMBER(K427),IF(K427&gt;=0,K427,""),""))</f>
        <v/>
      </c>
      <c r="AD427" s="129" t="str">
        <f aca="false">IF(ISBLANK($C427),"",IF(ISNUMBER(L427),IF(L427&gt;=0,L427,""),""))</f>
        <v/>
      </c>
      <c r="AE427" s="127" t="str">
        <f aca="false">IF(ISBLANK($C427),"",IF(ISNUMBER(M427),IF(M427&gt;=0,MIN(M427,Constants!$B$22),""),""))</f>
        <v/>
      </c>
      <c r="AF427" s="127" t="str">
        <f aca="false">IF(ISBLANK($C427),"",IF(N427=Constants!$B$2,TRUE(),IF(N427=Constants!$B$3,FALSE(),TRUE())))</f>
        <v/>
      </c>
      <c r="AG427" s="127" t="str">
        <f aca="false">IF(ISBLANK($C427),"",IF(O427=Constants!$B$2,TRUE(),IF(O427=Constants!$B$3,FALSE(),TRUE())))</f>
        <v/>
      </c>
      <c r="AH427" s="127" t="str">
        <f aca="false">IF(ISBLANK($C427),"",IF(P427=Constants!$B$4,TRUE(),IF(P427=Constants!$B$5,FALSE(),COUNTA(Q427:S427)&gt;0)))</f>
        <v/>
      </c>
      <c r="AI427" s="128" t="str">
        <f aca="false">IF(ISBLANK($C427),"",IF(ISNUMBER(Q427),IF(Q427&gt;=0,Q427,""),""))</f>
        <v/>
      </c>
      <c r="AJ427" s="129" t="str">
        <f aca="false">IF(ISBLANK($C427),"",IF(ISNUMBER(R427),IF(R427&gt;=0,R427,""),""))</f>
        <v/>
      </c>
      <c r="AK427" s="127" t="str">
        <f aca="false">IF(ISBLANK($C427),"",IF(ISNUMBER(S427),IF(S427&gt;=0,MIN(S427,Constants!$B$22),""),""))</f>
        <v/>
      </c>
      <c r="AL427" s="127" t="str">
        <f aca="false">IF(ISBLANK($C427),"",IF(T427=Constants!$B$2,TRUE(),IF(T427=Constants!$B$3,FALSE(),FALSE())))</f>
        <v/>
      </c>
      <c r="AM427" s="126" t="str">
        <f aca="false">IF(ISBLANK($C427),"",AND($AB427,OR($AC427="",$AD427="",AND(NOT(ISBLANK($M427)),$AE427=""))))</f>
        <v/>
      </c>
      <c r="AN427" s="129" t="str">
        <f aca="false">IF($BD427&lt;&gt;Constants!$B$6,"",IF($AB427,Constants!$B$17*$AD427,Constants!$B$18))</f>
        <v/>
      </c>
      <c r="AO427" s="130" t="str">
        <f aca="false">IF($BD427&lt;&gt;Constants!$B$6,"",Constants!$B$19*IF($AB427,$AC427,0))</f>
        <v/>
      </c>
      <c r="AP427" s="130" t="str">
        <f aca="false">IF($BD427&lt;&gt;Constants!$B$6,"",IF(AND($AB427,ISNUMBER($AE427)),Constants!$B$20*(Constants!$B$21-$AE427),0))</f>
        <v/>
      </c>
      <c r="AQ427" s="130" t="str">
        <f aca="false">IF($BD427&lt;&gt;Constants!$B$6,"",IF($AA427,0,Constants!$B$12)+IF($Z427,0,Constants!$B$13)+IF($Y427,0,Constants!$B$14))</f>
        <v/>
      </c>
      <c r="AR427" s="131" t="str">
        <f aca="false">IF($BD427&lt;&gt;Constants!$B$6,"",Constants!$B$16+SUM($AN427:$AQ427))</f>
        <v/>
      </c>
      <c r="AS427" s="130" t="str">
        <f aca="false">IF($BD427&lt;&gt;Constants!$B$6,"",IF($AB427,$AD427,""))</f>
        <v/>
      </c>
      <c r="AT427" s="132" t="str">
        <f aca="false">IF($BD427&lt;&gt;Constants!$B$6,"",$AO427)</f>
        <v/>
      </c>
      <c r="AU427" s="127" t="str">
        <f aca="false">IF($BD427&lt;&gt;Constants!$B$6,"",IF(OR($BA427&lt;$AR427,AND($BA427=$AR427,OR(AND(ISNUMBER($BB427),OR(NOT(ISNUMBER($AS427)),$BB427&lt;$AS427)),AND(OR(AND($BB427="",$AS427=""),AND(ISNUMBER($BB427),ISNUMBER($AS427),$BB427=$AS427)),$BC427&lt;$AT427)))),"-&gt;","&lt;-"))</f>
        <v/>
      </c>
      <c r="AV427" s="126" t="str">
        <f aca="false">IF(ISBLANK($C427),"",AND($AH427,OR($AI427="",$AJ427="",AND(NOT(ISBLANK($S427)),$AK427=""))))</f>
        <v/>
      </c>
      <c r="AW427" s="129" t="str">
        <f aca="false">IF($BD427&lt;&gt;Constants!$B$6,"",IF($AH427,Constants!$B$17*$AJ427,Constants!$B$18))</f>
        <v/>
      </c>
      <c r="AX427" s="130" t="str">
        <f aca="false">IF($BD427&lt;&gt;Constants!$B$6,"",Constants!$B$19*IF($AH427,$AI427,0))</f>
        <v/>
      </c>
      <c r="AY427" s="130" t="str">
        <f aca="false">IF($BD427&lt;&gt;Constants!$B$6,"",IF(AND($AH427,ISNUMBER($AK427)),Constants!$B$20*(Constants!$B$21-$AK427),0))</f>
        <v/>
      </c>
      <c r="AZ427" s="130" t="str">
        <f aca="false">IF($BD427&lt;&gt;Constants!$B$6,"",IF($AG427,0,Constants!$B$12)+IF($AF427,0,Constants!$B$13)+IF($Y427,0,Constants!$B$14))</f>
        <v/>
      </c>
      <c r="BA427" s="131" t="str">
        <f aca="false">IF($BD427&lt;&gt;Constants!$B$6,"",Constants!$B$16+SUM($AW427:$AZ427))</f>
        <v/>
      </c>
      <c r="BB427" s="130" t="str">
        <f aca="false">IF($BD427&lt;&gt;Constants!$B$6,"",IF($AH427,$AJ427,""))</f>
        <v/>
      </c>
      <c r="BC427" s="132" t="str">
        <f aca="false">IF($BD427&lt;&gt;Constants!$B$6,"",$AX427)</f>
        <v/>
      </c>
      <c r="BD427" s="127" t="str">
        <f aca="false">IF(ISBLANK($C427),"",IF($AL427,Constants!$B$9,IF(COUNTA($E427:$T427)=0,Constants!$B$8,IF(NOT($X427),Constants!$B$7,IF(OR($AM427,$AV427),Constants!$B$10,Constants!$B$6)))))</f>
        <v/>
      </c>
      <c r="BE427" s="127" t="str">
        <f aca="false">IF(ISBLANK($C427),"",IF($BD427&lt;&gt;Constants!$B$6,$BD427,Constants!$B$11))</f>
        <v/>
      </c>
      <c r="BF427" s="130" t="str">
        <f aca="false">IF($BD427&lt;&gt;Constants!$B$6,"",IF($AU427="-&gt;",$BA427,$AR427))</f>
        <v/>
      </c>
      <c r="BG427" s="130" t="str">
        <f aca="false">IF($BD427&lt;&gt;Constants!$B$6,"",IF($W427,0,Constants!$B$15))</f>
        <v/>
      </c>
      <c r="BH427" s="130" t="str">
        <f aca="false">IF(ISBLANK($C427),"",IF($BD427&lt;&gt;Constants!$B$6,$BD427,SUM($BF427:$BG427)))</f>
        <v/>
      </c>
      <c r="BI427" s="127" t="str">
        <f aca="false">IF(ISBLANK($C427),"",IF($BD427&lt;&gt;Constants!$B$6,$BD427,RANK($BH427,$BH$9:$BH$508,1)))</f>
        <v/>
      </c>
      <c r="BJ427" s="130" t="str">
        <f aca="false">IF($BD427&lt;&gt;Constants!$B$6,"",IF($AU427="-&gt;",$BB427,$AS427))</f>
        <v/>
      </c>
      <c r="BK427" s="127" t="str">
        <f aca="false">IF(ISBLANK($C427),"",IF($BD427&lt;&gt;Constants!$B$6,$BD427,IF(ISNUMBER($BJ427),RANK($BJ427,$BJ$9:$BJ$508,1),COUNT($BJ$9:$BJ$508)+1)))</f>
        <v/>
      </c>
      <c r="BL427" s="130" t="str">
        <f aca="false">IF($BD427&lt;&gt;Constants!$B$6,"",IF($AU427="-&gt;",$BC427,$AT427))</f>
        <v/>
      </c>
      <c r="BM427" s="127" t="str">
        <f aca="false">IF(ISBLANK($C427),"",IF($BD427&lt;&gt;Constants!$B$6,$BD427,IF(ISNUMBER($BL427),RANK($BL427,$BL$9:$BL$508,1),COUNT($BL$9:$BL$508)+1)))</f>
        <v/>
      </c>
      <c r="BN427" s="130" t="str">
        <f aca="false">IF($BD427&lt;&gt;Constants!$B$6,"",IF($AU427="-&gt;",$AS427,$BB427))</f>
        <v/>
      </c>
      <c r="BO427" s="127" t="str">
        <f aca="false">IF(ISBLANK($C427),"",IF($BD427&lt;&gt;Constants!$B$6,$BD427,IF(ISNUMBER($BN427),RANK($BN427,$BN$9:$BN$508,1),COUNT($BN$9:$BN$508)+1)))</f>
        <v/>
      </c>
      <c r="BP427" s="130" t="str">
        <f aca="false">IF($BD427&lt;&gt;Constants!$B$6,"",IF($AU427="-&gt;",$AT427,$BC427))</f>
        <v/>
      </c>
      <c r="BQ427" s="127" t="str">
        <f aca="false">IF(ISBLANK($C427),"",IF($BD427&lt;&gt;Constants!$B$6,$BD427,IF(ISNUMBER($BP427),RANK($BP427,$BP$9:$BP$508,1),COUNT($BP$9:$BP$508)+1)))</f>
        <v/>
      </c>
      <c r="BR427" s="127" t="str">
        <f aca="false">IF(ISBLANK($C427),"",IF($BD427&lt;&gt;Constants!$B$6,$BD427,COUNTIFS($BI$9:$BI$508,"&lt;"&amp;$BI427)+COUNTIFS($BI$9:$BI$508,$BI427,$BK$9:$BK$508,"&lt;"&amp;$BK427)+COUNTIFS($BI$9:$BI$508,$BI427,$BK$9:$BK$508,$BK427,$BM$9:$BM$508,"&lt;"&amp;$BM427)+COUNTIFS($BI$9:$BI$508,$BI427,$BK$9:$BK$508,$BK427,$BM$9:$BM$508,$BM427,$BO$9:$BO$508,"&lt;"&amp;$BO427)+COUNTIFS($BI$9:$BI$508,$BI427,$BK$9:$BK$508,$BK427,$BM$9:$BM$508,$BM427,$BO$9:$BO$508,$BO427,$BQ$9:$BQ$508,"&lt;"&amp;$BQ427)+1))</f>
        <v/>
      </c>
      <c r="BS427" s="127" t="str">
        <f aca="false">IF(ISBLANK($C427),"",IF($BD427&lt;&gt;Constants!$B$6,$BD427,$BI427-$BR427))</f>
        <v/>
      </c>
      <c r="BT427" s="133"/>
      <c r="BU427" s="134"/>
      <c r="BV427" s="134" t="str">
        <f aca="false">IF(ISBLANK($C427),"",IF($BD427&lt;&gt;Constants!$B$6,"",IF($AU427="-&gt;",2,1)))</f>
        <v/>
      </c>
      <c r="BW427" s="135" t="str">
        <f aca="false">IF(ISBLANK($C427),"",IF($BD427&lt;&gt;Constants!$B$6,"",IF($AU427="-&gt;",$AW427,$AN427)))</f>
        <v/>
      </c>
      <c r="BX427" s="135" t="str">
        <f aca="false">IF(ISBLANK($C427),"",IF($BD427&lt;&gt;Constants!$B$6,"",IF($AU427="-&gt;",$AX427,$AO427)))</f>
        <v/>
      </c>
      <c r="BY427" s="135" t="str">
        <f aca="false">IF(ISBLANK($C427),"",IF($BD427&lt;&gt;Constants!$B$6,"",IF($AU427="-&gt;",$AY427,$AP427)))</f>
        <v/>
      </c>
      <c r="BZ427" s="135" t="str">
        <f aca="false">IF(ISBLANK($C427),"",IF($BD427&lt;&gt;Constants!$B$6,"",IF($AU427="-&gt;",$AZ427,$AQ427)+$BG427))</f>
        <v/>
      </c>
      <c r="CA427" s="136" t="str">
        <f aca="false">IF(ISBLANK($C427),"",IF($BD427&lt;&gt;Constants!$B$6,$BD427,$BH427))</f>
        <v/>
      </c>
      <c r="CB427" s="137" t="str">
        <f aca="false">IF(ISBLANK($C427),"",$BE427)</f>
        <v/>
      </c>
      <c r="CC427" s="138" t="str">
        <f aca="false">IF(ISBLANK($C427),"",$BS427)</f>
        <v/>
      </c>
      <c r="CD427" s="138" t="str">
        <f aca="false">IF(ISBLANK($C427),"",$BR427)</f>
        <v/>
      </c>
      <c r="CE427" s="139" t="str">
        <f aca="false">IF(ISBLANK($C427),"",IF($CD427=Constants!$B$9,COUNTA($C$9:$C$508)+2,IF($CD427=Constants!$B$8,COUNTA($C$9:$C$508)+1,IF($CD427=Constants!$B$7,COUNTA($C$9:$C$508),$CD427))))</f>
        <v/>
      </c>
      <c r="CF427" s="9"/>
      <c r="CG427" s="140" t="n">
        <f aca="false">IF(OR(ISNUMBER($CD427),$CD427=Constants!$B$9,$CD427=Constants!$B$7,$CD427=Constants!$B$8),1,0)</f>
        <v>0</v>
      </c>
      <c r="CH427" s="140" t="n">
        <v>419</v>
      </c>
      <c r="CI427" s="140" t="str">
        <f aca="false">IF(ISBLANK($C427),"",IF(ISNUMBER($CE427),$CE427+ROW($B427)/1000,""))</f>
        <v/>
      </c>
      <c r="CJ427" s="140" t="str">
        <f aca="false">IF(ISNUMBER($CI427),RANK($CI427,$CI$9:$CI$508,1),"")</f>
        <v/>
      </c>
      <c r="CK427" s="140" t="str">
        <f aca="false">IF(ISBLANK($C427),"",$B427)</f>
        <v/>
      </c>
      <c r="CL427" s="140" t="str">
        <f aca="false">IF(ISBLANK($C427),"",$C427)</f>
        <v/>
      </c>
      <c r="CM427" s="140" t="str">
        <f aca="false">IF(ISBLANK($C427),"",$D427)</f>
        <v/>
      </c>
      <c r="CN427" s="141" t="str">
        <f aca="false">$CB427</f>
        <v/>
      </c>
      <c r="CO427" s="142" t="str">
        <f aca="false">$CA427</f>
        <v/>
      </c>
      <c r="CP427" s="140" t="str">
        <f aca="false">IF(ISBLANK($C427),"",$CD427)</f>
        <v/>
      </c>
      <c r="CQ427" s="143" t="str">
        <f aca="false">IF($CH427&gt;$CG$8,"",VLOOKUP($CH427,$CJ$9:$CP$508,7,FALSE()))</f>
        <v/>
      </c>
      <c r="CR427" s="144" t="str">
        <f aca="false">IF($CH427&gt;$CG$8,"",VLOOKUP($CH427,$CJ$9:$CP$508,2,FALSE()))</f>
        <v/>
      </c>
      <c r="CS427" s="144" t="str">
        <f aca="false">IF($CH427&gt;$CG$8,"",VLOOKUP($CH427,$CJ$9:$CP$508,3,FALSE()))</f>
        <v/>
      </c>
      <c r="CT427" s="144" t="str">
        <f aca="false">IF($CH427&gt;$CG$8,"",VLOOKUP($CH427,$CJ$9:$CP$508,4,FALSE()))</f>
        <v/>
      </c>
      <c r="CU427" s="144" t="str">
        <f aca="false">IF($CH427&gt;$CG$8,"",VLOOKUP($CH427,$CJ$9:$CP$508,5,FALSE()))</f>
        <v/>
      </c>
      <c r="CV427" s="145" t="str">
        <f aca="false">IF($CH427&gt;$CG$8,"",VLOOKUP($CH427,$CJ$9:$CP$508,6,FALSE()))</f>
        <v/>
      </c>
      <c r="CW427" s="71"/>
    </row>
    <row r="428" customFormat="false" ht="15.75" hidden="false" customHeight="false" outlineLevel="0" collapsed="false">
      <c r="A428" s="9"/>
      <c r="B428" s="150"/>
      <c r="C428" s="151"/>
      <c r="D428" s="152"/>
      <c r="E428" s="170"/>
      <c r="F428" s="154"/>
      <c r="G428" s="155"/>
      <c r="H428" s="171"/>
      <c r="I428" s="159"/>
      <c r="J428" s="120"/>
      <c r="K428" s="121"/>
      <c r="L428" s="122"/>
      <c r="M428" s="158"/>
      <c r="N428" s="159"/>
      <c r="O428" s="159"/>
      <c r="P428" s="120"/>
      <c r="Q428" s="122"/>
      <c r="R428" s="122"/>
      <c r="S428" s="158"/>
      <c r="T428" s="159"/>
      <c r="U428" s="126"/>
      <c r="V428" s="127"/>
      <c r="W428" s="127" t="str">
        <f aca="false">IF(ISBLANK($C428),"",IF(E428=Constants!$B$2,TRUE(),IF(E428=Constants!$B$3,FALSE(),TRUE())))</f>
        <v/>
      </c>
      <c r="X428" s="127" t="str">
        <f aca="false">IF(ISBLANK($C428),"",IF(F428=Constants!$B$2,TRUE(),IF(F428=Constants!$B$3,FALSE(),TRUE())))</f>
        <v/>
      </c>
      <c r="Y428" s="127" t="str">
        <f aca="false">IF(ISBLANK($C428),"",IF(G428=Constants!$B$2,TRUE(),IF(G428=Constants!$B$3,FALSE(),TRUE())))</f>
        <v/>
      </c>
      <c r="Z428" s="127" t="str">
        <f aca="false">IF(ISBLANK($C428),"",IF(H428=Constants!$B$2,TRUE(),IF(H428=Constants!$B$3,FALSE(),TRUE())))</f>
        <v/>
      </c>
      <c r="AA428" s="127" t="str">
        <f aca="false">IF(ISBLANK($C428),"",IF(I428=Constants!$B$2,TRUE(),IF(I428=Constants!$B$3,FALSE(),TRUE())))</f>
        <v/>
      </c>
      <c r="AB428" s="127" t="str">
        <f aca="false">IF(ISBLANK($C428),"",IF(J428=Constants!$B$4,TRUE(),IF(J428=Constants!$B$5,FALSE(),COUNTA(K428:M428)&gt;0)))</f>
        <v/>
      </c>
      <c r="AC428" s="128" t="str">
        <f aca="false">IF(ISBLANK($C428),"",IF(ISNUMBER(K428),IF(K428&gt;=0,K428,""),""))</f>
        <v/>
      </c>
      <c r="AD428" s="129" t="str">
        <f aca="false">IF(ISBLANK($C428),"",IF(ISNUMBER(L428),IF(L428&gt;=0,L428,""),""))</f>
        <v/>
      </c>
      <c r="AE428" s="127" t="str">
        <f aca="false">IF(ISBLANK($C428),"",IF(ISNUMBER(M428),IF(M428&gt;=0,MIN(M428,Constants!$B$22),""),""))</f>
        <v/>
      </c>
      <c r="AF428" s="127" t="str">
        <f aca="false">IF(ISBLANK($C428),"",IF(N428=Constants!$B$2,TRUE(),IF(N428=Constants!$B$3,FALSE(),TRUE())))</f>
        <v/>
      </c>
      <c r="AG428" s="127" t="str">
        <f aca="false">IF(ISBLANK($C428),"",IF(O428=Constants!$B$2,TRUE(),IF(O428=Constants!$B$3,FALSE(),TRUE())))</f>
        <v/>
      </c>
      <c r="AH428" s="127" t="str">
        <f aca="false">IF(ISBLANK($C428),"",IF(P428=Constants!$B$4,TRUE(),IF(P428=Constants!$B$5,FALSE(),COUNTA(Q428:S428)&gt;0)))</f>
        <v/>
      </c>
      <c r="AI428" s="128" t="str">
        <f aca="false">IF(ISBLANK($C428),"",IF(ISNUMBER(Q428),IF(Q428&gt;=0,Q428,""),""))</f>
        <v/>
      </c>
      <c r="AJ428" s="129" t="str">
        <f aca="false">IF(ISBLANK($C428),"",IF(ISNUMBER(R428),IF(R428&gt;=0,R428,""),""))</f>
        <v/>
      </c>
      <c r="AK428" s="127" t="str">
        <f aca="false">IF(ISBLANK($C428),"",IF(ISNUMBER(S428),IF(S428&gt;=0,MIN(S428,Constants!$B$22),""),""))</f>
        <v/>
      </c>
      <c r="AL428" s="127" t="str">
        <f aca="false">IF(ISBLANK($C428),"",IF(T428=Constants!$B$2,TRUE(),IF(T428=Constants!$B$3,FALSE(),FALSE())))</f>
        <v/>
      </c>
      <c r="AM428" s="126" t="str">
        <f aca="false">IF(ISBLANK($C428),"",AND($AB428,OR($AC428="",$AD428="",AND(NOT(ISBLANK($M428)),$AE428=""))))</f>
        <v/>
      </c>
      <c r="AN428" s="129" t="str">
        <f aca="false">IF($BD428&lt;&gt;Constants!$B$6,"",IF($AB428,Constants!$B$17*$AD428,Constants!$B$18))</f>
        <v/>
      </c>
      <c r="AO428" s="130" t="str">
        <f aca="false">IF($BD428&lt;&gt;Constants!$B$6,"",Constants!$B$19*IF($AB428,$AC428,0))</f>
        <v/>
      </c>
      <c r="AP428" s="130" t="str">
        <f aca="false">IF($BD428&lt;&gt;Constants!$B$6,"",IF(AND($AB428,ISNUMBER($AE428)),Constants!$B$20*(Constants!$B$21-$AE428),0))</f>
        <v/>
      </c>
      <c r="AQ428" s="130" t="str">
        <f aca="false">IF($BD428&lt;&gt;Constants!$B$6,"",IF($AA428,0,Constants!$B$12)+IF($Z428,0,Constants!$B$13)+IF($Y428,0,Constants!$B$14))</f>
        <v/>
      </c>
      <c r="AR428" s="131" t="str">
        <f aca="false">IF($BD428&lt;&gt;Constants!$B$6,"",Constants!$B$16+SUM($AN428:$AQ428))</f>
        <v/>
      </c>
      <c r="AS428" s="130" t="str">
        <f aca="false">IF($BD428&lt;&gt;Constants!$B$6,"",IF($AB428,$AD428,""))</f>
        <v/>
      </c>
      <c r="AT428" s="132" t="str">
        <f aca="false">IF($BD428&lt;&gt;Constants!$B$6,"",$AO428)</f>
        <v/>
      </c>
      <c r="AU428" s="127" t="str">
        <f aca="false">IF($BD428&lt;&gt;Constants!$B$6,"",IF(OR($BA428&lt;$AR428,AND($BA428=$AR428,OR(AND(ISNUMBER($BB428),OR(NOT(ISNUMBER($AS428)),$BB428&lt;$AS428)),AND(OR(AND($BB428="",$AS428=""),AND(ISNUMBER($BB428),ISNUMBER($AS428),$BB428=$AS428)),$BC428&lt;$AT428)))),"-&gt;","&lt;-"))</f>
        <v/>
      </c>
      <c r="AV428" s="126" t="str">
        <f aca="false">IF(ISBLANK($C428),"",AND($AH428,OR($AI428="",$AJ428="",AND(NOT(ISBLANK($S428)),$AK428=""))))</f>
        <v/>
      </c>
      <c r="AW428" s="129" t="str">
        <f aca="false">IF($BD428&lt;&gt;Constants!$B$6,"",IF($AH428,Constants!$B$17*$AJ428,Constants!$B$18))</f>
        <v/>
      </c>
      <c r="AX428" s="130" t="str">
        <f aca="false">IF($BD428&lt;&gt;Constants!$B$6,"",Constants!$B$19*IF($AH428,$AI428,0))</f>
        <v/>
      </c>
      <c r="AY428" s="130" t="str">
        <f aca="false">IF($BD428&lt;&gt;Constants!$B$6,"",IF(AND($AH428,ISNUMBER($AK428)),Constants!$B$20*(Constants!$B$21-$AK428),0))</f>
        <v/>
      </c>
      <c r="AZ428" s="130" t="str">
        <f aca="false">IF($BD428&lt;&gt;Constants!$B$6,"",IF($AG428,0,Constants!$B$12)+IF($AF428,0,Constants!$B$13)+IF($Y428,0,Constants!$B$14))</f>
        <v/>
      </c>
      <c r="BA428" s="131" t="str">
        <f aca="false">IF($BD428&lt;&gt;Constants!$B$6,"",Constants!$B$16+SUM($AW428:$AZ428))</f>
        <v/>
      </c>
      <c r="BB428" s="130" t="str">
        <f aca="false">IF($BD428&lt;&gt;Constants!$B$6,"",IF($AH428,$AJ428,""))</f>
        <v/>
      </c>
      <c r="BC428" s="132" t="str">
        <f aca="false">IF($BD428&lt;&gt;Constants!$B$6,"",$AX428)</f>
        <v/>
      </c>
      <c r="BD428" s="127" t="str">
        <f aca="false">IF(ISBLANK($C428),"",IF($AL428,Constants!$B$9,IF(COUNTA($E428:$T428)=0,Constants!$B$8,IF(NOT($X428),Constants!$B$7,IF(OR($AM428,$AV428),Constants!$B$10,Constants!$B$6)))))</f>
        <v/>
      </c>
      <c r="BE428" s="127" t="str">
        <f aca="false">IF(ISBLANK($C428),"",IF($BD428&lt;&gt;Constants!$B$6,$BD428,Constants!$B$11))</f>
        <v/>
      </c>
      <c r="BF428" s="130" t="str">
        <f aca="false">IF($BD428&lt;&gt;Constants!$B$6,"",IF($AU428="-&gt;",$BA428,$AR428))</f>
        <v/>
      </c>
      <c r="BG428" s="130" t="str">
        <f aca="false">IF($BD428&lt;&gt;Constants!$B$6,"",IF($W428,0,Constants!$B$15))</f>
        <v/>
      </c>
      <c r="BH428" s="130" t="str">
        <f aca="false">IF(ISBLANK($C428),"",IF($BD428&lt;&gt;Constants!$B$6,$BD428,SUM($BF428:$BG428)))</f>
        <v/>
      </c>
      <c r="BI428" s="127" t="str">
        <f aca="false">IF(ISBLANK($C428),"",IF($BD428&lt;&gt;Constants!$B$6,$BD428,RANK($BH428,$BH$9:$BH$508,1)))</f>
        <v/>
      </c>
      <c r="BJ428" s="130" t="str">
        <f aca="false">IF($BD428&lt;&gt;Constants!$B$6,"",IF($AU428="-&gt;",$BB428,$AS428))</f>
        <v/>
      </c>
      <c r="BK428" s="127" t="str">
        <f aca="false">IF(ISBLANK($C428),"",IF($BD428&lt;&gt;Constants!$B$6,$BD428,IF(ISNUMBER($BJ428),RANK($BJ428,$BJ$9:$BJ$508,1),COUNT($BJ$9:$BJ$508)+1)))</f>
        <v/>
      </c>
      <c r="BL428" s="130" t="str">
        <f aca="false">IF($BD428&lt;&gt;Constants!$B$6,"",IF($AU428="-&gt;",$BC428,$AT428))</f>
        <v/>
      </c>
      <c r="BM428" s="127" t="str">
        <f aca="false">IF(ISBLANK($C428),"",IF($BD428&lt;&gt;Constants!$B$6,$BD428,IF(ISNUMBER($BL428),RANK($BL428,$BL$9:$BL$508,1),COUNT($BL$9:$BL$508)+1)))</f>
        <v/>
      </c>
      <c r="BN428" s="130" t="str">
        <f aca="false">IF($BD428&lt;&gt;Constants!$B$6,"",IF($AU428="-&gt;",$AS428,$BB428))</f>
        <v/>
      </c>
      <c r="BO428" s="127" t="str">
        <f aca="false">IF(ISBLANK($C428),"",IF($BD428&lt;&gt;Constants!$B$6,$BD428,IF(ISNUMBER($BN428),RANK($BN428,$BN$9:$BN$508,1),COUNT($BN$9:$BN$508)+1)))</f>
        <v/>
      </c>
      <c r="BP428" s="130" t="str">
        <f aca="false">IF($BD428&lt;&gt;Constants!$B$6,"",IF($AU428="-&gt;",$AT428,$BC428))</f>
        <v/>
      </c>
      <c r="BQ428" s="127" t="str">
        <f aca="false">IF(ISBLANK($C428),"",IF($BD428&lt;&gt;Constants!$B$6,$BD428,IF(ISNUMBER($BP428),RANK($BP428,$BP$9:$BP$508,1),COUNT($BP$9:$BP$508)+1)))</f>
        <v/>
      </c>
      <c r="BR428" s="127" t="str">
        <f aca="false">IF(ISBLANK($C428),"",IF($BD428&lt;&gt;Constants!$B$6,$BD428,COUNTIFS($BI$9:$BI$508,"&lt;"&amp;$BI428)+COUNTIFS($BI$9:$BI$508,$BI428,$BK$9:$BK$508,"&lt;"&amp;$BK428)+COUNTIFS($BI$9:$BI$508,$BI428,$BK$9:$BK$508,$BK428,$BM$9:$BM$508,"&lt;"&amp;$BM428)+COUNTIFS($BI$9:$BI$508,$BI428,$BK$9:$BK$508,$BK428,$BM$9:$BM$508,$BM428,$BO$9:$BO$508,"&lt;"&amp;$BO428)+COUNTIFS($BI$9:$BI$508,$BI428,$BK$9:$BK$508,$BK428,$BM$9:$BM$508,$BM428,$BO$9:$BO$508,$BO428,$BQ$9:$BQ$508,"&lt;"&amp;$BQ428)+1))</f>
        <v/>
      </c>
      <c r="BS428" s="127" t="str">
        <f aca="false">IF(ISBLANK($C428),"",IF($BD428&lt;&gt;Constants!$B$6,$BD428,$BI428-$BR428))</f>
        <v/>
      </c>
      <c r="BT428" s="133"/>
      <c r="BU428" s="134"/>
      <c r="BV428" s="134" t="str">
        <f aca="false">IF(ISBLANK($C428),"",IF($BD428&lt;&gt;Constants!$B$6,"",IF($AU428="-&gt;",2,1)))</f>
        <v/>
      </c>
      <c r="BW428" s="135" t="str">
        <f aca="false">IF(ISBLANK($C428),"",IF($BD428&lt;&gt;Constants!$B$6,"",IF($AU428="-&gt;",$AW428,$AN428)))</f>
        <v/>
      </c>
      <c r="BX428" s="135" t="str">
        <f aca="false">IF(ISBLANK($C428),"",IF($BD428&lt;&gt;Constants!$B$6,"",IF($AU428="-&gt;",$AX428,$AO428)))</f>
        <v/>
      </c>
      <c r="BY428" s="135" t="str">
        <f aca="false">IF(ISBLANK($C428),"",IF($BD428&lt;&gt;Constants!$B$6,"",IF($AU428="-&gt;",$AY428,$AP428)))</f>
        <v/>
      </c>
      <c r="BZ428" s="135" t="str">
        <f aca="false">IF(ISBLANK($C428),"",IF($BD428&lt;&gt;Constants!$B$6,"",IF($AU428="-&gt;",$AZ428,$AQ428)+$BG428))</f>
        <v/>
      </c>
      <c r="CA428" s="136" t="str">
        <f aca="false">IF(ISBLANK($C428),"",IF($BD428&lt;&gt;Constants!$B$6,$BD428,$BH428))</f>
        <v/>
      </c>
      <c r="CB428" s="137" t="str">
        <f aca="false">IF(ISBLANK($C428),"",$BE428)</f>
        <v/>
      </c>
      <c r="CC428" s="138" t="str">
        <f aca="false">IF(ISBLANK($C428),"",$BS428)</f>
        <v/>
      </c>
      <c r="CD428" s="138" t="str">
        <f aca="false">IF(ISBLANK($C428),"",$BR428)</f>
        <v/>
      </c>
      <c r="CE428" s="139" t="str">
        <f aca="false">IF(ISBLANK($C428),"",IF($CD428=Constants!$B$9,COUNTA($C$9:$C$508)+2,IF($CD428=Constants!$B$8,COUNTA($C$9:$C$508)+1,IF($CD428=Constants!$B$7,COUNTA($C$9:$C$508),$CD428))))</f>
        <v/>
      </c>
      <c r="CF428" s="9"/>
      <c r="CG428" s="140" t="n">
        <f aca="false">IF(OR(ISNUMBER($CD428),$CD428=Constants!$B$9,$CD428=Constants!$B$7,$CD428=Constants!$B$8),1,0)</f>
        <v>0</v>
      </c>
      <c r="CH428" s="140" t="n">
        <v>420</v>
      </c>
      <c r="CI428" s="140" t="str">
        <f aca="false">IF(ISBLANK($C428),"",IF(ISNUMBER($CE428),$CE428+ROW($B428)/1000,""))</f>
        <v/>
      </c>
      <c r="CJ428" s="140" t="str">
        <f aca="false">IF(ISNUMBER($CI428),RANK($CI428,$CI$9:$CI$508,1),"")</f>
        <v/>
      </c>
      <c r="CK428" s="140" t="str">
        <f aca="false">IF(ISBLANK($C428),"",$B428)</f>
        <v/>
      </c>
      <c r="CL428" s="140" t="str">
        <f aca="false">IF(ISBLANK($C428),"",$C428)</f>
        <v/>
      </c>
      <c r="CM428" s="140" t="str">
        <f aca="false">IF(ISBLANK($C428),"",$D428)</f>
        <v/>
      </c>
      <c r="CN428" s="141" t="str">
        <f aca="false">$CB428</f>
        <v/>
      </c>
      <c r="CO428" s="142" t="str">
        <f aca="false">$CA428</f>
        <v/>
      </c>
      <c r="CP428" s="140" t="str">
        <f aca="false">IF(ISBLANK($C428),"",$CD428)</f>
        <v/>
      </c>
      <c r="CQ428" s="143" t="str">
        <f aca="false">IF($CH428&gt;$CG$8,"",VLOOKUP($CH428,$CJ$9:$CP$508,7,FALSE()))</f>
        <v/>
      </c>
      <c r="CR428" s="144" t="str">
        <f aca="false">IF($CH428&gt;$CG$8,"",VLOOKUP($CH428,$CJ$9:$CP$508,2,FALSE()))</f>
        <v/>
      </c>
      <c r="CS428" s="144" t="str">
        <f aca="false">IF($CH428&gt;$CG$8,"",VLOOKUP($CH428,$CJ$9:$CP$508,3,FALSE()))</f>
        <v/>
      </c>
      <c r="CT428" s="144" t="str">
        <f aca="false">IF($CH428&gt;$CG$8,"",VLOOKUP($CH428,$CJ$9:$CP$508,4,FALSE()))</f>
        <v/>
      </c>
      <c r="CU428" s="144" t="str">
        <f aca="false">IF($CH428&gt;$CG$8,"",VLOOKUP($CH428,$CJ$9:$CP$508,5,FALSE()))</f>
        <v/>
      </c>
      <c r="CV428" s="145" t="str">
        <f aca="false">IF($CH428&gt;$CG$8,"",VLOOKUP($CH428,$CJ$9:$CP$508,6,FALSE()))</f>
        <v/>
      </c>
      <c r="CW428" s="71"/>
    </row>
    <row r="429" customFormat="false" ht="15.75" hidden="false" customHeight="false" outlineLevel="0" collapsed="false">
      <c r="A429" s="9"/>
      <c r="B429" s="72"/>
      <c r="C429" s="73"/>
      <c r="D429" s="160"/>
      <c r="E429" s="168"/>
      <c r="F429" s="162"/>
      <c r="G429" s="163"/>
      <c r="H429" s="169"/>
      <c r="I429" s="167"/>
      <c r="J429" s="80"/>
      <c r="K429" s="81"/>
      <c r="L429" s="82"/>
      <c r="M429" s="166"/>
      <c r="N429" s="167"/>
      <c r="O429" s="167"/>
      <c r="P429" s="80"/>
      <c r="Q429" s="82"/>
      <c r="R429" s="82"/>
      <c r="S429" s="166"/>
      <c r="T429" s="167"/>
      <c r="U429" s="86"/>
      <c r="V429" s="87"/>
      <c r="W429" s="87" t="str">
        <f aca="false">IF(ISBLANK($C429),"",IF(E429=Constants!$B$2,TRUE(),IF(E429=Constants!$B$3,FALSE(),TRUE())))</f>
        <v/>
      </c>
      <c r="X429" s="87" t="str">
        <f aca="false">IF(ISBLANK($C429),"",IF(F429=Constants!$B$2,TRUE(),IF(F429=Constants!$B$3,FALSE(),TRUE())))</f>
        <v/>
      </c>
      <c r="Y429" s="87" t="str">
        <f aca="false">IF(ISBLANK($C429),"",IF(G429=Constants!$B$2,TRUE(),IF(G429=Constants!$B$3,FALSE(),TRUE())))</f>
        <v/>
      </c>
      <c r="Z429" s="87" t="str">
        <f aca="false">IF(ISBLANK($C429),"",IF(H429=Constants!$B$2,TRUE(),IF(H429=Constants!$B$3,FALSE(),TRUE())))</f>
        <v/>
      </c>
      <c r="AA429" s="87" t="str">
        <f aca="false">IF(ISBLANK($C429),"",IF(I429=Constants!$B$2,TRUE(),IF(I429=Constants!$B$3,FALSE(),TRUE())))</f>
        <v/>
      </c>
      <c r="AB429" s="87" t="str">
        <f aca="false">IF(ISBLANK($C429),"",IF(J429=Constants!$B$4,TRUE(),IF(J429=Constants!$B$5,FALSE(),COUNTA(K429:M429)&gt;0)))</f>
        <v/>
      </c>
      <c r="AC429" s="88" t="str">
        <f aca="false">IF(ISBLANK($C429),"",IF(ISNUMBER(K429),IF(K429&gt;=0,K429,""),""))</f>
        <v/>
      </c>
      <c r="AD429" s="89" t="str">
        <f aca="false">IF(ISBLANK($C429),"",IF(ISNUMBER(L429),IF(L429&gt;=0,L429,""),""))</f>
        <v/>
      </c>
      <c r="AE429" s="87" t="str">
        <f aca="false">IF(ISBLANK($C429),"",IF(ISNUMBER(M429),IF(M429&gt;=0,MIN(M429,Constants!$B$22),""),""))</f>
        <v/>
      </c>
      <c r="AF429" s="87" t="str">
        <f aca="false">IF(ISBLANK($C429),"",IF(N429=Constants!$B$2,TRUE(),IF(N429=Constants!$B$3,FALSE(),TRUE())))</f>
        <v/>
      </c>
      <c r="AG429" s="87" t="str">
        <f aca="false">IF(ISBLANK($C429),"",IF(O429=Constants!$B$2,TRUE(),IF(O429=Constants!$B$3,FALSE(),TRUE())))</f>
        <v/>
      </c>
      <c r="AH429" s="87" t="str">
        <f aca="false">IF(ISBLANK($C429),"",IF(P429=Constants!$B$4,TRUE(),IF(P429=Constants!$B$5,FALSE(),COUNTA(Q429:S429)&gt;0)))</f>
        <v/>
      </c>
      <c r="AI429" s="88" t="str">
        <f aca="false">IF(ISBLANK($C429),"",IF(ISNUMBER(Q429),IF(Q429&gt;=0,Q429,""),""))</f>
        <v/>
      </c>
      <c r="AJ429" s="89" t="str">
        <f aca="false">IF(ISBLANK($C429),"",IF(ISNUMBER(R429),IF(R429&gt;=0,R429,""),""))</f>
        <v/>
      </c>
      <c r="AK429" s="87" t="str">
        <f aca="false">IF(ISBLANK($C429),"",IF(ISNUMBER(S429),IF(S429&gt;=0,MIN(S429,Constants!$B$22),""),""))</f>
        <v/>
      </c>
      <c r="AL429" s="87" t="str">
        <f aca="false">IF(ISBLANK($C429),"",IF(T429=Constants!$B$2,TRUE(),IF(T429=Constants!$B$3,FALSE(),FALSE())))</f>
        <v/>
      </c>
      <c r="AM429" s="86" t="str">
        <f aca="false">IF(ISBLANK($C429),"",AND($AB429,OR($AC429="",$AD429="",AND(NOT(ISBLANK($M429)),$AE429=""))))</f>
        <v/>
      </c>
      <c r="AN429" s="89" t="str">
        <f aca="false">IF($BD429&lt;&gt;Constants!$B$6,"",IF($AB429,Constants!$B$17*$AD429,Constants!$B$18))</f>
        <v/>
      </c>
      <c r="AO429" s="91" t="str">
        <f aca="false">IF($BD429&lt;&gt;Constants!$B$6,"",Constants!$B$19*IF($AB429,$AC429,0))</f>
        <v/>
      </c>
      <c r="AP429" s="91" t="str">
        <f aca="false">IF($BD429&lt;&gt;Constants!$B$6,"",IF(AND($AB429,ISNUMBER($AE429)),Constants!$B$20*(Constants!$B$21-$AE429),0))</f>
        <v/>
      </c>
      <c r="AQ429" s="91" t="str">
        <f aca="false">IF($BD429&lt;&gt;Constants!$B$6,"",IF($AA429,0,Constants!$B$12)+IF($Z429,0,Constants!$B$13)+IF($Y429,0,Constants!$B$14))</f>
        <v/>
      </c>
      <c r="AR429" s="92" t="str">
        <f aca="false">IF($BD429&lt;&gt;Constants!$B$6,"",Constants!$B$16+SUM($AN429:$AQ429))</f>
        <v/>
      </c>
      <c r="AS429" s="91" t="str">
        <f aca="false">IF($BD429&lt;&gt;Constants!$B$6,"",IF($AB429,$AD429,""))</f>
        <v/>
      </c>
      <c r="AT429" s="93" t="str">
        <f aca="false">IF($BD429&lt;&gt;Constants!$B$6,"",$AO429)</f>
        <v/>
      </c>
      <c r="AU429" s="87" t="str">
        <f aca="false">IF($BD429&lt;&gt;Constants!$B$6,"",IF(OR($BA429&lt;$AR429,AND($BA429=$AR429,OR(AND(ISNUMBER($BB429),OR(NOT(ISNUMBER($AS429)),$BB429&lt;$AS429)),AND(OR(AND($BB429="",$AS429=""),AND(ISNUMBER($BB429),ISNUMBER($AS429),$BB429=$AS429)),$BC429&lt;$AT429)))),"-&gt;","&lt;-"))</f>
        <v/>
      </c>
      <c r="AV429" s="86" t="str">
        <f aca="false">IF(ISBLANK($C429),"",AND($AH429,OR($AI429="",$AJ429="",AND(NOT(ISBLANK($S429)),$AK429=""))))</f>
        <v/>
      </c>
      <c r="AW429" s="89" t="str">
        <f aca="false">IF($BD429&lt;&gt;Constants!$B$6,"",IF($AH429,Constants!$B$17*$AJ429,Constants!$B$18))</f>
        <v/>
      </c>
      <c r="AX429" s="91" t="str">
        <f aca="false">IF($BD429&lt;&gt;Constants!$B$6,"",Constants!$B$19*IF($AH429,$AI429,0))</f>
        <v/>
      </c>
      <c r="AY429" s="91" t="str">
        <f aca="false">IF($BD429&lt;&gt;Constants!$B$6,"",IF(AND($AH429,ISNUMBER($AK429)),Constants!$B$20*(Constants!$B$21-$AK429),0))</f>
        <v/>
      </c>
      <c r="AZ429" s="91" t="str">
        <f aca="false">IF($BD429&lt;&gt;Constants!$B$6,"",IF($AG429,0,Constants!$B$12)+IF($AF429,0,Constants!$B$13)+IF($Y429,0,Constants!$B$14))</f>
        <v/>
      </c>
      <c r="BA429" s="92" t="str">
        <f aca="false">IF($BD429&lt;&gt;Constants!$B$6,"",Constants!$B$16+SUM($AW429:$AZ429))</f>
        <v/>
      </c>
      <c r="BB429" s="91" t="str">
        <f aca="false">IF($BD429&lt;&gt;Constants!$B$6,"",IF($AH429,$AJ429,""))</f>
        <v/>
      </c>
      <c r="BC429" s="93" t="str">
        <f aca="false">IF($BD429&lt;&gt;Constants!$B$6,"",$AX429)</f>
        <v/>
      </c>
      <c r="BD429" s="87" t="str">
        <f aca="false">IF(ISBLANK($C429),"",IF($AL429,Constants!$B$9,IF(COUNTA($E429:$T429)=0,Constants!$B$8,IF(NOT($X429),Constants!$B$7,IF(OR($AM429,$AV429),Constants!$B$10,Constants!$B$6)))))</f>
        <v/>
      </c>
      <c r="BE429" s="87" t="str">
        <f aca="false">IF(ISBLANK($C429),"",IF($BD429&lt;&gt;Constants!$B$6,$BD429,Constants!$B$11))</f>
        <v/>
      </c>
      <c r="BF429" s="91" t="str">
        <f aca="false">IF($BD429&lt;&gt;Constants!$B$6,"",IF($AU429="-&gt;",$BA429,$AR429))</f>
        <v/>
      </c>
      <c r="BG429" s="91" t="str">
        <f aca="false">IF($BD429&lt;&gt;Constants!$B$6,"",IF($W429,0,Constants!$B$15))</f>
        <v/>
      </c>
      <c r="BH429" s="91" t="str">
        <f aca="false">IF(ISBLANK($C429),"",IF($BD429&lt;&gt;Constants!$B$6,$BD429,SUM($BF429:$BG429)))</f>
        <v/>
      </c>
      <c r="BI429" s="87" t="str">
        <f aca="false">IF(ISBLANK($C429),"",IF($BD429&lt;&gt;Constants!$B$6,$BD429,RANK($BH429,$BH$9:$BH$508,1)))</f>
        <v/>
      </c>
      <c r="BJ429" s="91" t="str">
        <f aca="false">IF($BD429&lt;&gt;Constants!$B$6,"",IF($AU429="-&gt;",$BB429,$AS429))</f>
        <v/>
      </c>
      <c r="BK429" s="87" t="str">
        <f aca="false">IF(ISBLANK($C429),"",IF($BD429&lt;&gt;Constants!$B$6,$BD429,IF(ISNUMBER($BJ429),RANK($BJ429,$BJ$9:$BJ$508,1),COUNT($BJ$9:$BJ$508)+1)))</f>
        <v/>
      </c>
      <c r="BL429" s="91" t="str">
        <f aca="false">IF($BD429&lt;&gt;Constants!$B$6,"",IF($AU429="-&gt;",$BC429,$AT429))</f>
        <v/>
      </c>
      <c r="BM429" s="87" t="str">
        <f aca="false">IF(ISBLANK($C429),"",IF($BD429&lt;&gt;Constants!$B$6,$BD429,IF(ISNUMBER($BL429),RANK($BL429,$BL$9:$BL$508,1),COUNT($BL$9:$BL$508)+1)))</f>
        <v/>
      </c>
      <c r="BN429" s="91" t="str">
        <f aca="false">IF($BD429&lt;&gt;Constants!$B$6,"",IF($AU429="-&gt;",$AS429,$BB429))</f>
        <v/>
      </c>
      <c r="BO429" s="87" t="str">
        <f aca="false">IF(ISBLANK($C429),"",IF($BD429&lt;&gt;Constants!$B$6,$BD429,IF(ISNUMBER($BN429),RANK($BN429,$BN$9:$BN$508,1),COUNT($BN$9:$BN$508)+1)))</f>
        <v/>
      </c>
      <c r="BP429" s="91" t="str">
        <f aca="false">IF($BD429&lt;&gt;Constants!$B$6,"",IF($AU429="-&gt;",$AT429,$BC429))</f>
        <v/>
      </c>
      <c r="BQ429" s="87" t="str">
        <f aca="false">IF(ISBLANK($C429),"",IF($BD429&lt;&gt;Constants!$B$6,$BD429,IF(ISNUMBER($BP429),RANK($BP429,$BP$9:$BP$508,1),COUNT($BP$9:$BP$508)+1)))</f>
        <v/>
      </c>
      <c r="BR429" s="87" t="str">
        <f aca="false">IF(ISBLANK($C429),"",IF($BD429&lt;&gt;Constants!$B$6,$BD429,COUNTIFS($BI$9:$BI$508,"&lt;"&amp;$BI429)+COUNTIFS($BI$9:$BI$508,$BI429,$BK$9:$BK$508,"&lt;"&amp;$BK429)+COUNTIFS($BI$9:$BI$508,$BI429,$BK$9:$BK$508,$BK429,$BM$9:$BM$508,"&lt;"&amp;$BM429)+COUNTIFS($BI$9:$BI$508,$BI429,$BK$9:$BK$508,$BK429,$BM$9:$BM$508,$BM429,$BO$9:$BO$508,"&lt;"&amp;$BO429)+COUNTIFS($BI$9:$BI$508,$BI429,$BK$9:$BK$508,$BK429,$BM$9:$BM$508,$BM429,$BO$9:$BO$508,$BO429,$BQ$9:$BQ$508,"&lt;"&amp;$BQ429)+1))</f>
        <v/>
      </c>
      <c r="BS429" s="87" t="str">
        <f aca="false">IF(ISBLANK($C429),"",IF($BD429&lt;&gt;Constants!$B$6,$BD429,$BI429-$BR429))</f>
        <v/>
      </c>
      <c r="BT429" s="94"/>
      <c r="BU429" s="95"/>
      <c r="BV429" s="95" t="str">
        <f aca="false">IF(ISBLANK($C429),"",IF($BD429&lt;&gt;Constants!$B$6,"",IF($AU429="-&gt;",2,1)))</f>
        <v/>
      </c>
      <c r="BW429" s="96" t="str">
        <f aca="false">IF(ISBLANK($C429),"",IF($BD429&lt;&gt;Constants!$B$6,"",IF($AU429="-&gt;",$AW429,$AN429)))</f>
        <v/>
      </c>
      <c r="BX429" s="96" t="str">
        <f aca="false">IF(ISBLANK($C429),"",IF($BD429&lt;&gt;Constants!$B$6,"",IF($AU429="-&gt;",$AX429,$AO429)))</f>
        <v/>
      </c>
      <c r="BY429" s="96" t="str">
        <f aca="false">IF(ISBLANK($C429),"",IF($BD429&lt;&gt;Constants!$B$6,"",IF($AU429="-&gt;",$AY429,$AP429)))</f>
        <v/>
      </c>
      <c r="BZ429" s="96" t="str">
        <f aca="false">IF(ISBLANK($C429),"",IF($BD429&lt;&gt;Constants!$B$6,"",IF($AU429="-&gt;",$AZ429,$AQ429)+$BG429))</f>
        <v/>
      </c>
      <c r="CA429" s="97" t="str">
        <f aca="false">IF(ISBLANK($C429),"",IF($BD429&lt;&gt;Constants!$B$6,$BD429,$BH429))</f>
        <v/>
      </c>
      <c r="CB429" s="98" t="str">
        <f aca="false">IF(ISBLANK($C429),"",$BE429)</f>
        <v/>
      </c>
      <c r="CC429" s="99" t="str">
        <f aca="false">IF(ISBLANK($C429),"",$BS429)</f>
        <v/>
      </c>
      <c r="CD429" s="99" t="str">
        <f aca="false">IF(ISBLANK($C429),"",$BR429)</f>
        <v/>
      </c>
      <c r="CE429" s="100" t="str">
        <f aca="false">IF(ISBLANK($C429),"",IF($CD429=Constants!$B$9,COUNTA($C$9:$C$508)+2,IF($CD429=Constants!$B$8,COUNTA($C$9:$C$508)+1,IF($CD429=Constants!$B$7,COUNTA($C$9:$C$508),$CD429))))</f>
        <v/>
      </c>
      <c r="CF429" s="9"/>
      <c r="CG429" s="101" t="n">
        <f aca="false">IF(OR(ISNUMBER($CD429),$CD429=Constants!$B$9,$CD429=Constants!$B$7,$CD429=Constants!$B$8),1,0)</f>
        <v>0</v>
      </c>
      <c r="CH429" s="101" t="n">
        <v>421</v>
      </c>
      <c r="CI429" s="101" t="str">
        <f aca="false">IF(ISBLANK($C429),"",IF(ISNUMBER($CE429),$CE429+ROW($B429)/1000,""))</f>
        <v/>
      </c>
      <c r="CJ429" s="101" t="str">
        <f aca="false">IF(ISNUMBER($CI429),RANK($CI429,$CI$9:$CI$508,1),"")</f>
        <v/>
      </c>
      <c r="CK429" s="101" t="str">
        <f aca="false">IF(ISBLANK($C429),"",$B429)</f>
        <v/>
      </c>
      <c r="CL429" s="101" t="str">
        <f aca="false">IF(ISBLANK($C429),"",$C429)</f>
        <v/>
      </c>
      <c r="CM429" s="101" t="str">
        <f aca="false">IF(ISBLANK($C429),"",$D429)</f>
        <v/>
      </c>
      <c r="CN429" s="102" t="str">
        <f aca="false">$CB429</f>
        <v/>
      </c>
      <c r="CO429" s="103" t="str">
        <f aca="false">$CA429</f>
        <v/>
      </c>
      <c r="CP429" s="101" t="str">
        <f aca="false">IF(ISBLANK($C429),"",$CD429)</f>
        <v/>
      </c>
      <c r="CQ429" s="104" t="str">
        <f aca="false">IF($CH429&gt;$CG$8,"",VLOOKUP($CH429,$CJ$9:$CP$508,7,FALSE()))</f>
        <v/>
      </c>
      <c r="CR429" s="105" t="str">
        <f aca="false">IF($CH429&gt;$CG$8,"",VLOOKUP($CH429,$CJ$9:$CP$508,2,FALSE()))</f>
        <v/>
      </c>
      <c r="CS429" s="105" t="str">
        <f aca="false">IF($CH429&gt;$CG$8,"",VLOOKUP($CH429,$CJ$9:$CP$508,3,FALSE()))</f>
        <v/>
      </c>
      <c r="CT429" s="105" t="str">
        <f aca="false">IF($CH429&gt;$CG$8,"",VLOOKUP($CH429,$CJ$9:$CP$508,4,FALSE()))</f>
        <v/>
      </c>
      <c r="CU429" s="105" t="str">
        <f aca="false">IF($CH429&gt;$CG$8,"",VLOOKUP($CH429,$CJ$9:$CP$508,5,FALSE()))</f>
        <v/>
      </c>
      <c r="CV429" s="106" t="str">
        <f aca="false">IF($CH429&gt;$CG$8,"",VLOOKUP($CH429,$CJ$9:$CP$508,6,FALSE()))</f>
        <v/>
      </c>
      <c r="CW429" s="71"/>
    </row>
    <row r="430" customFormat="false" ht="15.75" hidden="false" customHeight="false" outlineLevel="0" collapsed="false">
      <c r="A430" s="9"/>
      <c r="B430" s="72"/>
      <c r="C430" s="73"/>
      <c r="D430" s="160"/>
      <c r="E430" s="168"/>
      <c r="F430" s="162"/>
      <c r="G430" s="163"/>
      <c r="H430" s="169"/>
      <c r="I430" s="167"/>
      <c r="J430" s="80"/>
      <c r="K430" s="81"/>
      <c r="L430" s="82"/>
      <c r="M430" s="166"/>
      <c r="N430" s="167"/>
      <c r="O430" s="167"/>
      <c r="P430" s="80"/>
      <c r="Q430" s="82"/>
      <c r="R430" s="82"/>
      <c r="S430" s="166"/>
      <c r="T430" s="167"/>
      <c r="U430" s="86"/>
      <c r="V430" s="87"/>
      <c r="W430" s="87" t="str">
        <f aca="false">IF(ISBLANK($C430),"",IF(E430=Constants!$B$2,TRUE(),IF(E430=Constants!$B$3,FALSE(),TRUE())))</f>
        <v/>
      </c>
      <c r="X430" s="87" t="str">
        <f aca="false">IF(ISBLANK($C430),"",IF(F430=Constants!$B$2,TRUE(),IF(F430=Constants!$B$3,FALSE(),TRUE())))</f>
        <v/>
      </c>
      <c r="Y430" s="87" t="str">
        <f aca="false">IF(ISBLANK($C430),"",IF(G430=Constants!$B$2,TRUE(),IF(G430=Constants!$B$3,FALSE(),TRUE())))</f>
        <v/>
      </c>
      <c r="Z430" s="87" t="str">
        <f aca="false">IF(ISBLANK($C430),"",IF(H430=Constants!$B$2,TRUE(),IF(H430=Constants!$B$3,FALSE(),TRUE())))</f>
        <v/>
      </c>
      <c r="AA430" s="87" t="str">
        <f aca="false">IF(ISBLANK($C430),"",IF(I430=Constants!$B$2,TRUE(),IF(I430=Constants!$B$3,FALSE(),TRUE())))</f>
        <v/>
      </c>
      <c r="AB430" s="87" t="str">
        <f aca="false">IF(ISBLANK($C430),"",IF(J430=Constants!$B$4,TRUE(),IF(J430=Constants!$B$5,FALSE(),COUNTA(K430:M430)&gt;0)))</f>
        <v/>
      </c>
      <c r="AC430" s="88" t="str">
        <f aca="false">IF(ISBLANK($C430),"",IF(ISNUMBER(K430),IF(K430&gt;=0,K430,""),""))</f>
        <v/>
      </c>
      <c r="AD430" s="89" t="str">
        <f aca="false">IF(ISBLANK($C430),"",IF(ISNUMBER(L430),IF(L430&gt;=0,L430,""),""))</f>
        <v/>
      </c>
      <c r="AE430" s="87" t="str">
        <f aca="false">IF(ISBLANK($C430),"",IF(ISNUMBER(M430),IF(M430&gt;=0,MIN(M430,Constants!$B$22),""),""))</f>
        <v/>
      </c>
      <c r="AF430" s="87" t="str">
        <f aca="false">IF(ISBLANK($C430),"",IF(N430=Constants!$B$2,TRUE(),IF(N430=Constants!$B$3,FALSE(),TRUE())))</f>
        <v/>
      </c>
      <c r="AG430" s="87" t="str">
        <f aca="false">IF(ISBLANK($C430),"",IF(O430=Constants!$B$2,TRUE(),IF(O430=Constants!$B$3,FALSE(),TRUE())))</f>
        <v/>
      </c>
      <c r="AH430" s="87" t="str">
        <f aca="false">IF(ISBLANK($C430),"",IF(P430=Constants!$B$4,TRUE(),IF(P430=Constants!$B$5,FALSE(),COUNTA(Q430:S430)&gt;0)))</f>
        <v/>
      </c>
      <c r="AI430" s="88" t="str">
        <f aca="false">IF(ISBLANK($C430),"",IF(ISNUMBER(Q430),IF(Q430&gt;=0,Q430,""),""))</f>
        <v/>
      </c>
      <c r="AJ430" s="89" t="str">
        <f aca="false">IF(ISBLANK($C430),"",IF(ISNUMBER(R430),IF(R430&gt;=0,R430,""),""))</f>
        <v/>
      </c>
      <c r="AK430" s="87" t="str">
        <f aca="false">IF(ISBLANK($C430),"",IF(ISNUMBER(S430),IF(S430&gt;=0,MIN(S430,Constants!$B$22),""),""))</f>
        <v/>
      </c>
      <c r="AL430" s="87" t="str">
        <f aca="false">IF(ISBLANK($C430),"",IF(T430=Constants!$B$2,TRUE(),IF(T430=Constants!$B$3,FALSE(),FALSE())))</f>
        <v/>
      </c>
      <c r="AM430" s="86" t="str">
        <f aca="false">IF(ISBLANK($C430),"",AND($AB430,OR($AC430="",$AD430="",AND(NOT(ISBLANK($M430)),$AE430=""))))</f>
        <v/>
      </c>
      <c r="AN430" s="89" t="str">
        <f aca="false">IF($BD430&lt;&gt;Constants!$B$6,"",IF($AB430,Constants!$B$17*$AD430,Constants!$B$18))</f>
        <v/>
      </c>
      <c r="AO430" s="91" t="str">
        <f aca="false">IF($BD430&lt;&gt;Constants!$B$6,"",Constants!$B$19*IF($AB430,$AC430,0))</f>
        <v/>
      </c>
      <c r="AP430" s="91" t="str">
        <f aca="false">IF($BD430&lt;&gt;Constants!$B$6,"",IF(AND($AB430,ISNUMBER($AE430)),Constants!$B$20*(Constants!$B$21-$AE430),0))</f>
        <v/>
      </c>
      <c r="AQ430" s="91" t="str">
        <f aca="false">IF($BD430&lt;&gt;Constants!$B$6,"",IF($AA430,0,Constants!$B$12)+IF($Z430,0,Constants!$B$13)+IF($Y430,0,Constants!$B$14))</f>
        <v/>
      </c>
      <c r="AR430" s="92" t="str">
        <f aca="false">IF($BD430&lt;&gt;Constants!$B$6,"",Constants!$B$16+SUM($AN430:$AQ430))</f>
        <v/>
      </c>
      <c r="AS430" s="91" t="str">
        <f aca="false">IF($BD430&lt;&gt;Constants!$B$6,"",IF($AB430,$AD430,""))</f>
        <v/>
      </c>
      <c r="AT430" s="93" t="str">
        <f aca="false">IF($BD430&lt;&gt;Constants!$B$6,"",$AO430)</f>
        <v/>
      </c>
      <c r="AU430" s="87" t="str">
        <f aca="false">IF($BD430&lt;&gt;Constants!$B$6,"",IF(OR($BA430&lt;$AR430,AND($BA430=$AR430,OR(AND(ISNUMBER($BB430),OR(NOT(ISNUMBER($AS430)),$BB430&lt;$AS430)),AND(OR(AND($BB430="",$AS430=""),AND(ISNUMBER($BB430),ISNUMBER($AS430),$BB430=$AS430)),$BC430&lt;$AT430)))),"-&gt;","&lt;-"))</f>
        <v/>
      </c>
      <c r="AV430" s="86" t="str">
        <f aca="false">IF(ISBLANK($C430),"",AND($AH430,OR($AI430="",$AJ430="",AND(NOT(ISBLANK($S430)),$AK430=""))))</f>
        <v/>
      </c>
      <c r="AW430" s="89" t="str">
        <f aca="false">IF($BD430&lt;&gt;Constants!$B$6,"",IF($AH430,Constants!$B$17*$AJ430,Constants!$B$18))</f>
        <v/>
      </c>
      <c r="AX430" s="91" t="str">
        <f aca="false">IF($BD430&lt;&gt;Constants!$B$6,"",Constants!$B$19*IF($AH430,$AI430,0))</f>
        <v/>
      </c>
      <c r="AY430" s="91" t="str">
        <f aca="false">IF($BD430&lt;&gt;Constants!$B$6,"",IF(AND($AH430,ISNUMBER($AK430)),Constants!$B$20*(Constants!$B$21-$AK430),0))</f>
        <v/>
      </c>
      <c r="AZ430" s="91" t="str">
        <f aca="false">IF($BD430&lt;&gt;Constants!$B$6,"",IF($AG430,0,Constants!$B$12)+IF($AF430,0,Constants!$B$13)+IF($Y430,0,Constants!$B$14))</f>
        <v/>
      </c>
      <c r="BA430" s="92" t="str">
        <f aca="false">IF($BD430&lt;&gt;Constants!$B$6,"",Constants!$B$16+SUM($AW430:$AZ430))</f>
        <v/>
      </c>
      <c r="BB430" s="91" t="str">
        <f aca="false">IF($BD430&lt;&gt;Constants!$B$6,"",IF($AH430,$AJ430,""))</f>
        <v/>
      </c>
      <c r="BC430" s="93" t="str">
        <f aca="false">IF($BD430&lt;&gt;Constants!$B$6,"",$AX430)</f>
        <v/>
      </c>
      <c r="BD430" s="87" t="str">
        <f aca="false">IF(ISBLANK($C430),"",IF($AL430,Constants!$B$9,IF(COUNTA($E430:$T430)=0,Constants!$B$8,IF(NOT($X430),Constants!$B$7,IF(OR($AM430,$AV430),Constants!$B$10,Constants!$B$6)))))</f>
        <v/>
      </c>
      <c r="BE430" s="87" t="str">
        <f aca="false">IF(ISBLANK($C430),"",IF($BD430&lt;&gt;Constants!$B$6,$BD430,Constants!$B$11))</f>
        <v/>
      </c>
      <c r="BF430" s="91" t="str">
        <f aca="false">IF($BD430&lt;&gt;Constants!$B$6,"",IF($AU430="-&gt;",$BA430,$AR430))</f>
        <v/>
      </c>
      <c r="BG430" s="91" t="str">
        <f aca="false">IF($BD430&lt;&gt;Constants!$B$6,"",IF($W430,0,Constants!$B$15))</f>
        <v/>
      </c>
      <c r="BH430" s="91" t="str">
        <f aca="false">IF(ISBLANK($C430),"",IF($BD430&lt;&gt;Constants!$B$6,$BD430,SUM($BF430:$BG430)))</f>
        <v/>
      </c>
      <c r="BI430" s="87" t="str">
        <f aca="false">IF(ISBLANK($C430),"",IF($BD430&lt;&gt;Constants!$B$6,$BD430,RANK($BH430,$BH$9:$BH$508,1)))</f>
        <v/>
      </c>
      <c r="BJ430" s="91" t="str">
        <f aca="false">IF($BD430&lt;&gt;Constants!$B$6,"",IF($AU430="-&gt;",$BB430,$AS430))</f>
        <v/>
      </c>
      <c r="BK430" s="87" t="str">
        <f aca="false">IF(ISBLANK($C430),"",IF($BD430&lt;&gt;Constants!$B$6,$BD430,IF(ISNUMBER($BJ430),RANK($BJ430,$BJ$9:$BJ$508,1),COUNT($BJ$9:$BJ$508)+1)))</f>
        <v/>
      </c>
      <c r="BL430" s="91" t="str">
        <f aca="false">IF($BD430&lt;&gt;Constants!$B$6,"",IF($AU430="-&gt;",$BC430,$AT430))</f>
        <v/>
      </c>
      <c r="BM430" s="87" t="str">
        <f aca="false">IF(ISBLANK($C430),"",IF($BD430&lt;&gt;Constants!$B$6,$BD430,IF(ISNUMBER($BL430),RANK($BL430,$BL$9:$BL$508,1),COUNT($BL$9:$BL$508)+1)))</f>
        <v/>
      </c>
      <c r="BN430" s="91" t="str">
        <f aca="false">IF($BD430&lt;&gt;Constants!$B$6,"",IF($AU430="-&gt;",$AS430,$BB430))</f>
        <v/>
      </c>
      <c r="BO430" s="87" t="str">
        <f aca="false">IF(ISBLANK($C430),"",IF($BD430&lt;&gt;Constants!$B$6,$BD430,IF(ISNUMBER($BN430),RANK($BN430,$BN$9:$BN$508,1),COUNT($BN$9:$BN$508)+1)))</f>
        <v/>
      </c>
      <c r="BP430" s="91" t="str">
        <f aca="false">IF($BD430&lt;&gt;Constants!$B$6,"",IF($AU430="-&gt;",$AT430,$BC430))</f>
        <v/>
      </c>
      <c r="BQ430" s="87" t="str">
        <f aca="false">IF(ISBLANK($C430),"",IF($BD430&lt;&gt;Constants!$B$6,$BD430,IF(ISNUMBER($BP430),RANK($BP430,$BP$9:$BP$508,1),COUNT($BP$9:$BP$508)+1)))</f>
        <v/>
      </c>
      <c r="BR430" s="87" t="str">
        <f aca="false">IF(ISBLANK($C430),"",IF($BD430&lt;&gt;Constants!$B$6,$BD430,COUNTIFS($BI$9:$BI$508,"&lt;"&amp;$BI430)+COUNTIFS($BI$9:$BI$508,$BI430,$BK$9:$BK$508,"&lt;"&amp;$BK430)+COUNTIFS($BI$9:$BI$508,$BI430,$BK$9:$BK$508,$BK430,$BM$9:$BM$508,"&lt;"&amp;$BM430)+COUNTIFS($BI$9:$BI$508,$BI430,$BK$9:$BK$508,$BK430,$BM$9:$BM$508,$BM430,$BO$9:$BO$508,"&lt;"&amp;$BO430)+COUNTIFS($BI$9:$BI$508,$BI430,$BK$9:$BK$508,$BK430,$BM$9:$BM$508,$BM430,$BO$9:$BO$508,$BO430,$BQ$9:$BQ$508,"&lt;"&amp;$BQ430)+1))</f>
        <v/>
      </c>
      <c r="BS430" s="87" t="str">
        <f aca="false">IF(ISBLANK($C430),"",IF($BD430&lt;&gt;Constants!$B$6,$BD430,$BI430-$BR430))</f>
        <v/>
      </c>
      <c r="BT430" s="94"/>
      <c r="BU430" s="95"/>
      <c r="BV430" s="95" t="str">
        <f aca="false">IF(ISBLANK($C430),"",IF($BD430&lt;&gt;Constants!$B$6,"",IF($AU430="-&gt;",2,1)))</f>
        <v/>
      </c>
      <c r="BW430" s="96" t="str">
        <f aca="false">IF(ISBLANK($C430),"",IF($BD430&lt;&gt;Constants!$B$6,"",IF($AU430="-&gt;",$AW430,$AN430)))</f>
        <v/>
      </c>
      <c r="BX430" s="96" t="str">
        <f aca="false">IF(ISBLANK($C430),"",IF($BD430&lt;&gt;Constants!$B$6,"",IF($AU430="-&gt;",$AX430,$AO430)))</f>
        <v/>
      </c>
      <c r="BY430" s="96" t="str">
        <f aca="false">IF(ISBLANK($C430),"",IF($BD430&lt;&gt;Constants!$B$6,"",IF($AU430="-&gt;",$AY430,$AP430)))</f>
        <v/>
      </c>
      <c r="BZ430" s="96" t="str">
        <f aca="false">IF(ISBLANK($C430),"",IF($BD430&lt;&gt;Constants!$B$6,"",IF($AU430="-&gt;",$AZ430,$AQ430)+$BG430))</f>
        <v/>
      </c>
      <c r="CA430" s="97" t="str">
        <f aca="false">IF(ISBLANK($C430),"",IF($BD430&lt;&gt;Constants!$B$6,$BD430,$BH430))</f>
        <v/>
      </c>
      <c r="CB430" s="98" t="str">
        <f aca="false">IF(ISBLANK($C430),"",$BE430)</f>
        <v/>
      </c>
      <c r="CC430" s="99" t="str">
        <f aca="false">IF(ISBLANK($C430),"",$BS430)</f>
        <v/>
      </c>
      <c r="CD430" s="99" t="str">
        <f aca="false">IF(ISBLANK($C430),"",$BR430)</f>
        <v/>
      </c>
      <c r="CE430" s="100" t="str">
        <f aca="false">IF(ISBLANK($C430),"",IF($CD430=Constants!$B$9,COUNTA($C$9:$C$508)+2,IF($CD430=Constants!$B$8,COUNTA($C$9:$C$508)+1,IF($CD430=Constants!$B$7,COUNTA($C$9:$C$508),$CD430))))</f>
        <v/>
      </c>
      <c r="CF430" s="9"/>
      <c r="CG430" s="101" t="n">
        <f aca="false">IF(OR(ISNUMBER($CD430),$CD430=Constants!$B$9,$CD430=Constants!$B$7,$CD430=Constants!$B$8),1,0)</f>
        <v>0</v>
      </c>
      <c r="CH430" s="101" t="n">
        <v>422</v>
      </c>
      <c r="CI430" s="101" t="str">
        <f aca="false">IF(ISBLANK($C430),"",IF(ISNUMBER($CE430),$CE430+ROW($B430)/1000,""))</f>
        <v/>
      </c>
      <c r="CJ430" s="101" t="str">
        <f aca="false">IF(ISNUMBER($CI430),RANK($CI430,$CI$9:$CI$508,1),"")</f>
        <v/>
      </c>
      <c r="CK430" s="101" t="str">
        <f aca="false">IF(ISBLANK($C430),"",$B430)</f>
        <v/>
      </c>
      <c r="CL430" s="101" t="str">
        <f aca="false">IF(ISBLANK($C430),"",$C430)</f>
        <v/>
      </c>
      <c r="CM430" s="101" t="str">
        <f aca="false">IF(ISBLANK($C430),"",$D430)</f>
        <v/>
      </c>
      <c r="CN430" s="102" t="str">
        <f aca="false">$CB430</f>
        <v/>
      </c>
      <c r="CO430" s="103" t="str">
        <f aca="false">$CA430</f>
        <v/>
      </c>
      <c r="CP430" s="101" t="str">
        <f aca="false">IF(ISBLANK($C430),"",$CD430)</f>
        <v/>
      </c>
      <c r="CQ430" s="104" t="str">
        <f aca="false">IF($CH430&gt;$CG$8,"",VLOOKUP($CH430,$CJ$9:$CP$508,7,FALSE()))</f>
        <v/>
      </c>
      <c r="CR430" s="105" t="str">
        <f aca="false">IF($CH430&gt;$CG$8,"",VLOOKUP($CH430,$CJ$9:$CP$508,2,FALSE()))</f>
        <v/>
      </c>
      <c r="CS430" s="105" t="str">
        <f aca="false">IF($CH430&gt;$CG$8,"",VLOOKUP($CH430,$CJ$9:$CP$508,3,FALSE()))</f>
        <v/>
      </c>
      <c r="CT430" s="105" t="str">
        <f aca="false">IF($CH430&gt;$CG$8,"",VLOOKUP($CH430,$CJ$9:$CP$508,4,FALSE()))</f>
        <v/>
      </c>
      <c r="CU430" s="105" t="str">
        <f aca="false">IF($CH430&gt;$CG$8,"",VLOOKUP($CH430,$CJ$9:$CP$508,5,FALSE()))</f>
        <v/>
      </c>
      <c r="CV430" s="106" t="str">
        <f aca="false">IF($CH430&gt;$CG$8,"",VLOOKUP($CH430,$CJ$9:$CP$508,6,FALSE()))</f>
        <v/>
      </c>
      <c r="CW430" s="71"/>
    </row>
    <row r="431" customFormat="false" ht="15.75" hidden="false" customHeight="false" outlineLevel="0" collapsed="false">
      <c r="A431" s="9"/>
      <c r="B431" s="72"/>
      <c r="C431" s="73"/>
      <c r="D431" s="160"/>
      <c r="E431" s="168"/>
      <c r="F431" s="162"/>
      <c r="G431" s="163"/>
      <c r="H431" s="169"/>
      <c r="I431" s="167"/>
      <c r="J431" s="80"/>
      <c r="K431" s="81"/>
      <c r="L431" s="82"/>
      <c r="M431" s="166"/>
      <c r="N431" s="167"/>
      <c r="O431" s="167"/>
      <c r="P431" s="80"/>
      <c r="Q431" s="82"/>
      <c r="R431" s="82"/>
      <c r="S431" s="166"/>
      <c r="T431" s="167"/>
      <c r="U431" s="86"/>
      <c r="V431" s="87"/>
      <c r="W431" s="87" t="str">
        <f aca="false">IF(ISBLANK($C431),"",IF(E431=Constants!$B$2,TRUE(),IF(E431=Constants!$B$3,FALSE(),TRUE())))</f>
        <v/>
      </c>
      <c r="X431" s="87" t="str">
        <f aca="false">IF(ISBLANK($C431),"",IF(F431=Constants!$B$2,TRUE(),IF(F431=Constants!$B$3,FALSE(),TRUE())))</f>
        <v/>
      </c>
      <c r="Y431" s="87" t="str">
        <f aca="false">IF(ISBLANK($C431),"",IF(G431=Constants!$B$2,TRUE(),IF(G431=Constants!$B$3,FALSE(),TRUE())))</f>
        <v/>
      </c>
      <c r="Z431" s="87" t="str">
        <f aca="false">IF(ISBLANK($C431),"",IF(H431=Constants!$B$2,TRUE(),IF(H431=Constants!$B$3,FALSE(),TRUE())))</f>
        <v/>
      </c>
      <c r="AA431" s="87" t="str">
        <f aca="false">IF(ISBLANK($C431),"",IF(I431=Constants!$B$2,TRUE(),IF(I431=Constants!$B$3,FALSE(),TRUE())))</f>
        <v/>
      </c>
      <c r="AB431" s="87" t="str">
        <f aca="false">IF(ISBLANK($C431),"",IF(J431=Constants!$B$4,TRUE(),IF(J431=Constants!$B$5,FALSE(),COUNTA(K431:M431)&gt;0)))</f>
        <v/>
      </c>
      <c r="AC431" s="88" t="str">
        <f aca="false">IF(ISBLANK($C431),"",IF(ISNUMBER(K431),IF(K431&gt;=0,K431,""),""))</f>
        <v/>
      </c>
      <c r="AD431" s="89" t="str">
        <f aca="false">IF(ISBLANK($C431),"",IF(ISNUMBER(L431),IF(L431&gt;=0,L431,""),""))</f>
        <v/>
      </c>
      <c r="AE431" s="87" t="str">
        <f aca="false">IF(ISBLANK($C431),"",IF(ISNUMBER(M431),IF(M431&gt;=0,MIN(M431,Constants!$B$22),""),""))</f>
        <v/>
      </c>
      <c r="AF431" s="87" t="str">
        <f aca="false">IF(ISBLANK($C431),"",IF(N431=Constants!$B$2,TRUE(),IF(N431=Constants!$B$3,FALSE(),TRUE())))</f>
        <v/>
      </c>
      <c r="AG431" s="87" t="str">
        <f aca="false">IF(ISBLANK($C431),"",IF(O431=Constants!$B$2,TRUE(),IF(O431=Constants!$B$3,FALSE(),TRUE())))</f>
        <v/>
      </c>
      <c r="AH431" s="87" t="str">
        <f aca="false">IF(ISBLANK($C431),"",IF(P431=Constants!$B$4,TRUE(),IF(P431=Constants!$B$5,FALSE(),COUNTA(Q431:S431)&gt;0)))</f>
        <v/>
      </c>
      <c r="AI431" s="88" t="str">
        <f aca="false">IF(ISBLANK($C431),"",IF(ISNUMBER(Q431),IF(Q431&gt;=0,Q431,""),""))</f>
        <v/>
      </c>
      <c r="AJ431" s="89" t="str">
        <f aca="false">IF(ISBLANK($C431),"",IF(ISNUMBER(R431),IF(R431&gt;=0,R431,""),""))</f>
        <v/>
      </c>
      <c r="AK431" s="87" t="str">
        <f aca="false">IF(ISBLANK($C431),"",IF(ISNUMBER(S431),IF(S431&gt;=0,MIN(S431,Constants!$B$22),""),""))</f>
        <v/>
      </c>
      <c r="AL431" s="87" t="str">
        <f aca="false">IF(ISBLANK($C431),"",IF(T431=Constants!$B$2,TRUE(),IF(T431=Constants!$B$3,FALSE(),FALSE())))</f>
        <v/>
      </c>
      <c r="AM431" s="86" t="str">
        <f aca="false">IF(ISBLANK($C431),"",AND($AB431,OR($AC431="",$AD431="",AND(NOT(ISBLANK($M431)),$AE431=""))))</f>
        <v/>
      </c>
      <c r="AN431" s="89" t="str">
        <f aca="false">IF($BD431&lt;&gt;Constants!$B$6,"",IF($AB431,Constants!$B$17*$AD431,Constants!$B$18))</f>
        <v/>
      </c>
      <c r="AO431" s="91" t="str">
        <f aca="false">IF($BD431&lt;&gt;Constants!$B$6,"",Constants!$B$19*IF($AB431,$AC431,0))</f>
        <v/>
      </c>
      <c r="AP431" s="91" t="str">
        <f aca="false">IF($BD431&lt;&gt;Constants!$B$6,"",IF(AND($AB431,ISNUMBER($AE431)),Constants!$B$20*(Constants!$B$21-$AE431),0))</f>
        <v/>
      </c>
      <c r="AQ431" s="91" t="str">
        <f aca="false">IF($BD431&lt;&gt;Constants!$B$6,"",IF($AA431,0,Constants!$B$12)+IF($Z431,0,Constants!$B$13)+IF($Y431,0,Constants!$B$14))</f>
        <v/>
      </c>
      <c r="AR431" s="92" t="str">
        <f aca="false">IF($BD431&lt;&gt;Constants!$B$6,"",Constants!$B$16+SUM($AN431:$AQ431))</f>
        <v/>
      </c>
      <c r="AS431" s="91" t="str">
        <f aca="false">IF($BD431&lt;&gt;Constants!$B$6,"",IF($AB431,$AD431,""))</f>
        <v/>
      </c>
      <c r="AT431" s="93" t="str">
        <f aca="false">IF($BD431&lt;&gt;Constants!$B$6,"",$AO431)</f>
        <v/>
      </c>
      <c r="AU431" s="87" t="str">
        <f aca="false">IF($BD431&lt;&gt;Constants!$B$6,"",IF(OR($BA431&lt;$AR431,AND($BA431=$AR431,OR(AND(ISNUMBER($BB431),OR(NOT(ISNUMBER($AS431)),$BB431&lt;$AS431)),AND(OR(AND($BB431="",$AS431=""),AND(ISNUMBER($BB431),ISNUMBER($AS431),$BB431=$AS431)),$BC431&lt;$AT431)))),"-&gt;","&lt;-"))</f>
        <v/>
      </c>
      <c r="AV431" s="86" t="str">
        <f aca="false">IF(ISBLANK($C431),"",AND($AH431,OR($AI431="",$AJ431="",AND(NOT(ISBLANK($S431)),$AK431=""))))</f>
        <v/>
      </c>
      <c r="AW431" s="89" t="str">
        <f aca="false">IF($BD431&lt;&gt;Constants!$B$6,"",IF($AH431,Constants!$B$17*$AJ431,Constants!$B$18))</f>
        <v/>
      </c>
      <c r="AX431" s="91" t="str">
        <f aca="false">IF($BD431&lt;&gt;Constants!$B$6,"",Constants!$B$19*IF($AH431,$AI431,0))</f>
        <v/>
      </c>
      <c r="AY431" s="91" t="str">
        <f aca="false">IF($BD431&lt;&gt;Constants!$B$6,"",IF(AND($AH431,ISNUMBER($AK431)),Constants!$B$20*(Constants!$B$21-$AK431),0))</f>
        <v/>
      </c>
      <c r="AZ431" s="91" t="str">
        <f aca="false">IF($BD431&lt;&gt;Constants!$B$6,"",IF($AG431,0,Constants!$B$12)+IF($AF431,0,Constants!$B$13)+IF($Y431,0,Constants!$B$14))</f>
        <v/>
      </c>
      <c r="BA431" s="92" t="str">
        <f aca="false">IF($BD431&lt;&gt;Constants!$B$6,"",Constants!$B$16+SUM($AW431:$AZ431))</f>
        <v/>
      </c>
      <c r="BB431" s="91" t="str">
        <f aca="false">IF($BD431&lt;&gt;Constants!$B$6,"",IF($AH431,$AJ431,""))</f>
        <v/>
      </c>
      <c r="BC431" s="93" t="str">
        <f aca="false">IF($BD431&lt;&gt;Constants!$B$6,"",$AX431)</f>
        <v/>
      </c>
      <c r="BD431" s="87" t="str">
        <f aca="false">IF(ISBLANK($C431),"",IF($AL431,Constants!$B$9,IF(COUNTA($E431:$T431)=0,Constants!$B$8,IF(NOT($X431),Constants!$B$7,IF(OR($AM431,$AV431),Constants!$B$10,Constants!$B$6)))))</f>
        <v/>
      </c>
      <c r="BE431" s="87" t="str">
        <f aca="false">IF(ISBLANK($C431),"",IF($BD431&lt;&gt;Constants!$B$6,$BD431,Constants!$B$11))</f>
        <v/>
      </c>
      <c r="BF431" s="91" t="str">
        <f aca="false">IF($BD431&lt;&gt;Constants!$B$6,"",IF($AU431="-&gt;",$BA431,$AR431))</f>
        <v/>
      </c>
      <c r="BG431" s="91" t="str">
        <f aca="false">IF($BD431&lt;&gt;Constants!$B$6,"",IF($W431,0,Constants!$B$15))</f>
        <v/>
      </c>
      <c r="BH431" s="91" t="str">
        <f aca="false">IF(ISBLANK($C431),"",IF($BD431&lt;&gt;Constants!$B$6,$BD431,SUM($BF431:$BG431)))</f>
        <v/>
      </c>
      <c r="BI431" s="87" t="str">
        <f aca="false">IF(ISBLANK($C431),"",IF($BD431&lt;&gt;Constants!$B$6,$BD431,RANK($BH431,$BH$9:$BH$508,1)))</f>
        <v/>
      </c>
      <c r="BJ431" s="91" t="str">
        <f aca="false">IF($BD431&lt;&gt;Constants!$B$6,"",IF($AU431="-&gt;",$BB431,$AS431))</f>
        <v/>
      </c>
      <c r="BK431" s="87" t="str">
        <f aca="false">IF(ISBLANK($C431),"",IF($BD431&lt;&gt;Constants!$B$6,$BD431,IF(ISNUMBER($BJ431),RANK($BJ431,$BJ$9:$BJ$508,1),COUNT($BJ$9:$BJ$508)+1)))</f>
        <v/>
      </c>
      <c r="BL431" s="91" t="str">
        <f aca="false">IF($BD431&lt;&gt;Constants!$B$6,"",IF($AU431="-&gt;",$BC431,$AT431))</f>
        <v/>
      </c>
      <c r="BM431" s="87" t="str">
        <f aca="false">IF(ISBLANK($C431),"",IF($BD431&lt;&gt;Constants!$B$6,$BD431,IF(ISNUMBER($BL431),RANK($BL431,$BL$9:$BL$508,1),COUNT($BL$9:$BL$508)+1)))</f>
        <v/>
      </c>
      <c r="BN431" s="91" t="str">
        <f aca="false">IF($BD431&lt;&gt;Constants!$B$6,"",IF($AU431="-&gt;",$AS431,$BB431))</f>
        <v/>
      </c>
      <c r="BO431" s="87" t="str">
        <f aca="false">IF(ISBLANK($C431),"",IF($BD431&lt;&gt;Constants!$B$6,$BD431,IF(ISNUMBER($BN431),RANK($BN431,$BN$9:$BN$508,1),COUNT($BN$9:$BN$508)+1)))</f>
        <v/>
      </c>
      <c r="BP431" s="91" t="str">
        <f aca="false">IF($BD431&lt;&gt;Constants!$B$6,"",IF($AU431="-&gt;",$AT431,$BC431))</f>
        <v/>
      </c>
      <c r="BQ431" s="87" t="str">
        <f aca="false">IF(ISBLANK($C431),"",IF($BD431&lt;&gt;Constants!$B$6,$BD431,IF(ISNUMBER($BP431),RANK($BP431,$BP$9:$BP$508,1),COUNT($BP$9:$BP$508)+1)))</f>
        <v/>
      </c>
      <c r="BR431" s="87" t="str">
        <f aca="false">IF(ISBLANK($C431),"",IF($BD431&lt;&gt;Constants!$B$6,$BD431,COUNTIFS($BI$9:$BI$508,"&lt;"&amp;$BI431)+COUNTIFS($BI$9:$BI$508,$BI431,$BK$9:$BK$508,"&lt;"&amp;$BK431)+COUNTIFS($BI$9:$BI$508,$BI431,$BK$9:$BK$508,$BK431,$BM$9:$BM$508,"&lt;"&amp;$BM431)+COUNTIFS($BI$9:$BI$508,$BI431,$BK$9:$BK$508,$BK431,$BM$9:$BM$508,$BM431,$BO$9:$BO$508,"&lt;"&amp;$BO431)+COUNTIFS($BI$9:$BI$508,$BI431,$BK$9:$BK$508,$BK431,$BM$9:$BM$508,$BM431,$BO$9:$BO$508,$BO431,$BQ$9:$BQ$508,"&lt;"&amp;$BQ431)+1))</f>
        <v/>
      </c>
      <c r="BS431" s="87" t="str">
        <f aca="false">IF(ISBLANK($C431),"",IF($BD431&lt;&gt;Constants!$B$6,$BD431,$BI431-$BR431))</f>
        <v/>
      </c>
      <c r="BT431" s="94"/>
      <c r="BU431" s="95"/>
      <c r="BV431" s="95" t="str">
        <f aca="false">IF(ISBLANK($C431),"",IF($BD431&lt;&gt;Constants!$B$6,"",IF($AU431="-&gt;",2,1)))</f>
        <v/>
      </c>
      <c r="BW431" s="96" t="str">
        <f aca="false">IF(ISBLANK($C431),"",IF($BD431&lt;&gt;Constants!$B$6,"",IF($AU431="-&gt;",$AW431,$AN431)))</f>
        <v/>
      </c>
      <c r="BX431" s="96" t="str">
        <f aca="false">IF(ISBLANK($C431),"",IF($BD431&lt;&gt;Constants!$B$6,"",IF($AU431="-&gt;",$AX431,$AO431)))</f>
        <v/>
      </c>
      <c r="BY431" s="96" t="str">
        <f aca="false">IF(ISBLANK($C431),"",IF($BD431&lt;&gt;Constants!$B$6,"",IF($AU431="-&gt;",$AY431,$AP431)))</f>
        <v/>
      </c>
      <c r="BZ431" s="96" t="str">
        <f aca="false">IF(ISBLANK($C431),"",IF($BD431&lt;&gt;Constants!$B$6,"",IF($AU431="-&gt;",$AZ431,$AQ431)+$BG431))</f>
        <v/>
      </c>
      <c r="CA431" s="97" t="str">
        <f aca="false">IF(ISBLANK($C431),"",IF($BD431&lt;&gt;Constants!$B$6,$BD431,$BH431))</f>
        <v/>
      </c>
      <c r="CB431" s="98" t="str">
        <f aca="false">IF(ISBLANK($C431),"",$BE431)</f>
        <v/>
      </c>
      <c r="CC431" s="99" t="str">
        <f aca="false">IF(ISBLANK($C431),"",$BS431)</f>
        <v/>
      </c>
      <c r="CD431" s="99" t="str">
        <f aca="false">IF(ISBLANK($C431),"",$BR431)</f>
        <v/>
      </c>
      <c r="CE431" s="100" t="str">
        <f aca="false">IF(ISBLANK($C431),"",IF($CD431=Constants!$B$9,COUNTA($C$9:$C$508)+2,IF($CD431=Constants!$B$8,COUNTA($C$9:$C$508)+1,IF($CD431=Constants!$B$7,COUNTA($C$9:$C$508),$CD431))))</f>
        <v/>
      </c>
      <c r="CF431" s="9"/>
      <c r="CG431" s="101" t="n">
        <f aca="false">IF(OR(ISNUMBER($CD431),$CD431=Constants!$B$9,$CD431=Constants!$B$7,$CD431=Constants!$B$8),1,0)</f>
        <v>0</v>
      </c>
      <c r="CH431" s="101" t="n">
        <v>423</v>
      </c>
      <c r="CI431" s="101" t="str">
        <f aca="false">IF(ISBLANK($C431),"",IF(ISNUMBER($CE431),$CE431+ROW($B431)/1000,""))</f>
        <v/>
      </c>
      <c r="CJ431" s="101" t="str">
        <f aca="false">IF(ISNUMBER($CI431),RANK($CI431,$CI$9:$CI$508,1),"")</f>
        <v/>
      </c>
      <c r="CK431" s="101" t="str">
        <f aca="false">IF(ISBLANK($C431),"",$B431)</f>
        <v/>
      </c>
      <c r="CL431" s="101" t="str">
        <f aca="false">IF(ISBLANK($C431),"",$C431)</f>
        <v/>
      </c>
      <c r="CM431" s="101" t="str">
        <f aca="false">IF(ISBLANK($C431),"",$D431)</f>
        <v/>
      </c>
      <c r="CN431" s="102" t="str">
        <f aca="false">$CB431</f>
        <v/>
      </c>
      <c r="CO431" s="103" t="str">
        <f aca="false">$CA431</f>
        <v/>
      </c>
      <c r="CP431" s="101" t="str">
        <f aca="false">IF(ISBLANK($C431),"",$CD431)</f>
        <v/>
      </c>
      <c r="CQ431" s="104" t="str">
        <f aca="false">IF($CH431&gt;$CG$8,"",VLOOKUP($CH431,$CJ$9:$CP$508,7,FALSE()))</f>
        <v/>
      </c>
      <c r="CR431" s="105" t="str">
        <f aca="false">IF($CH431&gt;$CG$8,"",VLOOKUP($CH431,$CJ$9:$CP$508,2,FALSE()))</f>
        <v/>
      </c>
      <c r="CS431" s="105" t="str">
        <f aca="false">IF($CH431&gt;$CG$8,"",VLOOKUP($CH431,$CJ$9:$CP$508,3,FALSE()))</f>
        <v/>
      </c>
      <c r="CT431" s="105" t="str">
        <f aca="false">IF($CH431&gt;$CG$8,"",VLOOKUP($CH431,$CJ$9:$CP$508,4,FALSE()))</f>
        <v/>
      </c>
      <c r="CU431" s="105" t="str">
        <f aca="false">IF($CH431&gt;$CG$8,"",VLOOKUP($CH431,$CJ$9:$CP$508,5,FALSE()))</f>
        <v/>
      </c>
      <c r="CV431" s="106" t="str">
        <f aca="false">IF($CH431&gt;$CG$8,"",VLOOKUP($CH431,$CJ$9:$CP$508,6,FALSE()))</f>
        <v/>
      </c>
      <c r="CW431" s="71"/>
    </row>
    <row r="432" customFormat="false" ht="15.75" hidden="false" customHeight="false" outlineLevel="0" collapsed="false">
      <c r="A432" s="9"/>
      <c r="B432" s="150"/>
      <c r="C432" s="151"/>
      <c r="D432" s="152"/>
      <c r="E432" s="170"/>
      <c r="F432" s="154"/>
      <c r="G432" s="155"/>
      <c r="H432" s="171"/>
      <c r="I432" s="159"/>
      <c r="J432" s="120"/>
      <c r="K432" s="121"/>
      <c r="L432" s="122"/>
      <c r="M432" s="158"/>
      <c r="N432" s="159"/>
      <c r="O432" s="159"/>
      <c r="P432" s="120"/>
      <c r="Q432" s="122"/>
      <c r="R432" s="122"/>
      <c r="S432" s="158"/>
      <c r="T432" s="159"/>
      <c r="U432" s="126"/>
      <c r="V432" s="127"/>
      <c r="W432" s="127" t="str">
        <f aca="false">IF(ISBLANK($C432),"",IF(E432=Constants!$B$2,TRUE(),IF(E432=Constants!$B$3,FALSE(),TRUE())))</f>
        <v/>
      </c>
      <c r="X432" s="127" t="str">
        <f aca="false">IF(ISBLANK($C432),"",IF(F432=Constants!$B$2,TRUE(),IF(F432=Constants!$B$3,FALSE(),TRUE())))</f>
        <v/>
      </c>
      <c r="Y432" s="127" t="str">
        <f aca="false">IF(ISBLANK($C432),"",IF(G432=Constants!$B$2,TRUE(),IF(G432=Constants!$B$3,FALSE(),TRUE())))</f>
        <v/>
      </c>
      <c r="Z432" s="127" t="str">
        <f aca="false">IF(ISBLANK($C432),"",IF(H432=Constants!$B$2,TRUE(),IF(H432=Constants!$B$3,FALSE(),TRUE())))</f>
        <v/>
      </c>
      <c r="AA432" s="127" t="str">
        <f aca="false">IF(ISBLANK($C432),"",IF(I432=Constants!$B$2,TRUE(),IF(I432=Constants!$B$3,FALSE(),TRUE())))</f>
        <v/>
      </c>
      <c r="AB432" s="127" t="str">
        <f aca="false">IF(ISBLANK($C432),"",IF(J432=Constants!$B$4,TRUE(),IF(J432=Constants!$B$5,FALSE(),COUNTA(K432:M432)&gt;0)))</f>
        <v/>
      </c>
      <c r="AC432" s="128" t="str">
        <f aca="false">IF(ISBLANK($C432),"",IF(ISNUMBER(K432),IF(K432&gt;=0,K432,""),""))</f>
        <v/>
      </c>
      <c r="AD432" s="129" t="str">
        <f aca="false">IF(ISBLANK($C432),"",IF(ISNUMBER(L432),IF(L432&gt;=0,L432,""),""))</f>
        <v/>
      </c>
      <c r="AE432" s="127" t="str">
        <f aca="false">IF(ISBLANK($C432),"",IF(ISNUMBER(M432),IF(M432&gt;=0,MIN(M432,Constants!$B$22),""),""))</f>
        <v/>
      </c>
      <c r="AF432" s="127" t="str">
        <f aca="false">IF(ISBLANK($C432),"",IF(N432=Constants!$B$2,TRUE(),IF(N432=Constants!$B$3,FALSE(),TRUE())))</f>
        <v/>
      </c>
      <c r="AG432" s="127" t="str">
        <f aca="false">IF(ISBLANK($C432),"",IF(O432=Constants!$B$2,TRUE(),IF(O432=Constants!$B$3,FALSE(),TRUE())))</f>
        <v/>
      </c>
      <c r="AH432" s="127" t="str">
        <f aca="false">IF(ISBLANK($C432),"",IF(P432=Constants!$B$4,TRUE(),IF(P432=Constants!$B$5,FALSE(),COUNTA(Q432:S432)&gt;0)))</f>
        <v/>
      </c>
      <c r="AI432" s="128" t="str">
        <f aca="false">IF(ISBLANK($C432),"",IF(ISNUMBER(Q432),IF(Q432&gt;=0,Q432,""),""))</f>
        <v/>
      </c>
      <c r="AJ432" s="129" t="str">
        <f aca="false">IF(ISBLANK($C432),"",IF(ISNUMBER(R432),IF(R432&gt;=0,R432,""),""))</f>
        <v/>
      </c>
      <c r="AK432" s="127" t="str">
        <f aca="false">IF(ISBLANK($C432),"",IF(ISNUMBER(S432),IF(S432&gt;=0,MIN(S432,Constants!$B$22),""),""))</f>
        <v/>
      </c>
      <c r="AL432" s="127" t="str">
        <f aca="false">IF(ISBLANK($C432),"",IF(T432=Constants!$B$2,TRUE(),IF(T432=Constants!$B$3,FALSE(),FALSE())))</f>
        <v/>
      </c>
      <c r="AM432" s="126" t="str">
        <f aca="false">IF(ISBLANK($C432),"",AND($AB432,OR($AC432="",$AD432="",AND(NOT(ISBLANK($M432)),$AE432=""))))</f>
        <v/>
      </c>
      <c r="AN432" s="129" t="str">
        <f aca="false">IF($BD432&lt;&gt;Constants!$B$6,"",IF($AB432,Constants!$B$17*$AD432,Constants!$B$18))</f>
        <v/>
      </c>
      <c r="AO432" s="130" t="str">
        <f aca="false">IF($BD432&lt;&gt;Constants!$B$6,"",Constants!$B$19*IF($AB432,$AC432,0))</f>
        <v/>
      </c>
      <c r="AP432" s="130" t="str">
        <f aca="false">IF($BD432&lt;&gt;Constants!$B$6,"",IF(AND($AB432,ISNUMBER($AE432)),Constants!$B$20*(Constants!$B$21-$AE432),0))</f>
        <v/>
      </c>
      <c r="AQ432" s="130" t="str">
        <f aca="false">IF($BD432&lt;&gt;Constants!$B$6,"",IF($AA432,0,Constants!$B$12)+IF($Z432,0,Constants!$B$13)+IF($Y432,0,Constants!$B$14))</f>
        <v/>
      </c>
      <c r="AR432" s="131" t="str">
        <f aca="false">IF($BD432&lt;&gt;Constants!$B$6,"",Constants!$B$16+SUM($AN432:$AQ432))</f>
        <v/>
      </c>
      <c r="AS432" s="130" t="str">
        <f aca="false">IF($BD432&lt;&gt;Constants!$B$6,"",IF($AB432,$AD432,""))</f>
        <v/>
      </c>
      <c r="AT432" s="132" t="str">
        <f aca="false">IF($BD432&lt;&gt;Constants!$B$6,"",$AO432)</f>
        <v/>
      </c>
      <c r="AU432" s="127" t="str">
        <f aca="false">IF($BD432&lt;&gt;Constants!$B$6,"",IF(OR($BA432&lt;$AR432,AND($BA432=$AR432,OR(AND(ISNUMBER($BB432),OR(NOT(ISNUMBER($AS432)),$BB432&lt;$AS432)),AND(OR(AND($BB432="",$AS432=""),AND(ISNUMBER($BB432),ISNUMBER($AS432),$BB432=$AS432)),$BC432&lt;$AT432)))),"-&gt;","&lt;-"))</f>
        <v/>
      </c>
      <c r="AV432" s="126" t="str">
        <f aca="false">IF(ISBLANK($C432),"",AND($AH432,OR($AI432="",$AJ432="",AND(NOT(ISBLANK($S432)),$AK432=""))))</f>
        <v/>
      </c>
      <c r="AW432" s="129" t="str">
        <f aca="false">IF($BD432&lt;&gt;Constants!$B$6,"",IF($AH432,Constants!$B$17*$AJ432,Constants!$B$18))</f>
        <v/>
      </c>
      <c r="AX432" s="130" t="str">
        <f aca="false">IF($BD432&lt;&gt;Constants!$B$6,"",Constants!$B$19*IF($AH432,$AI432,0))</f>
        <v/>
      </c>
      <c r="AY432" s="130" t="str">
        <f aca="false">IF($BD432&lt;&gt;Constants!$B$6,"",IF(AND($AH432,ISNUMBER($AK432)),Constants!$B$20*(Constants!$B$21-$AK432),0))</f>
        <v/>
      </c>
      <c r="AZ432" s="130" t="str">
        <f aca="false">IF($BD432&lt;&gt;Constants!$B$6,"",IF($AG432,0,Constants!$B$12)+IF($AF432,0,Constants!$B$13)+IF($Y432,0,Constants!$B$14))</f>
        <v/>
      </c>
      <c r="BA432" s="131" t="str">
        <f aca="false">IF($BD432&lt;&gt;Constants!$B$6,"",Constants!$B$16+SUM($AW432:$AZ432))</f>
        <v/>
      </c>
      <c r="BB432" s="130" t="str">
        <f aca="false">IF($BD432&lt;&gt;Constants!$B$6,"",IF($AH432,$AJ432,""))</f>
        <v/>
      </c>
      <c r="BC432" s="132" t="str">
        <f aca="false">IF($BD432&lt;&gt;Constants!$B$6,"",$AX432)</f>
        <v/>
      </c>
      <c r="BD432" s="127" t="str">
        <f aca="false">IF(ISBLANK($C432),"",IF($AL432,Constants!$B$9,IF(COUNTA($E432:$T432)=0,Constants!$B$8,IF(NOT($X432),Constants!$B$7,IF(OR($AM432,$AV432),Constants!$B$10,Constants!$B$6)))))</f>
        <v/>
      </c>
      <c r="BE432" s="127" t="str">
        <f aca="false">IF(ISBLANK($C432),"",IF($BD432&lt;&gt;Constants!$B$6,$BD432,Constants!$B$11))</f>
        <v/>
      </c>
      <c r="BF432" s="130" t="str">
        <f aca="false">IF($BD432&lt;&gt;Constants!$B$6,"",IF($AU432="-&gt;",$BA432,$AR432))</f>
        <v/>
      </c>
      <c r="BG432" s="130" t="str">
        <f aca="false">IF($BD432&lt;&gt;Constants!$B$6,"",IF($W432,0,Constants!$B$15))</f>
        <v/>
      </c>
      <c r="BH432" s="130" t="str">
        <f aca="false">IF(ISBLANK($C432),"",IF($BD432&lt;&gt;Constants!$B$6,$BD432,SUM($BF432:$BG432)))</f>
        <v/>
      </c>
      <c r="BI432" s="127" t="str">
        <f aca="false">IF(ISBLANK($C432),"",IF($BD432&lt;&gt;Constants!$B$6,$BD432,RANK($BH432,$BH$9:$BH$508,1)))</f>
        <v/>
      </c>
      <c r="BJ432" s="130" t="str">
        <f aca="false">IF($BD432&lt;&gt;Constants!$B$6,"",IF($AU432="-&gt;",$BB432,$AS432))</f>
        <v/>
      </c>
      <c r="BK432" s="127" t="str">
        <f aca="false">IF(ISBLANK($C432),"",IF($BD432&lt;&gt;Constants!$B$6,$BD432,IF(ISNUMBER($BJ432),RANK($BJ432,$BJ$9:$BJ$508,1),COUNT($BJ$9:$BJ$508)+1)))</f>
        <v/>
      </c>
      <c r="BL432" s="130" t="str">
        <f aca="false">IF($BD432&lt;&gt;Constants!$B$6,"",IF($AU432="-&gt;",$BC432,$AT432))</f>
        <v/>
      </c>
      <c r="BM432" s="127" t="str">
        <f aca="false">IF(ISBLANK($C432),"",IF($BD432&lt;&gt;Constants!$B$6,$BD432,IF(ISNUMBER($BL432),RANK($BL432,$BL$9:$BL$508,1),COUNT($BL$9:$BL$508)+1)))</f>
        <v/>
      </c>
      <c r="BN432" s="130" t="str">
        <f aca="false">IF($BD432&lt;&gt;Constants!$B$6,"",IF($AU432="-&gt;",$AS432,$BB432))</f>
        <v/>
      </c>
      <c r="BO432" s="127" t="str">
        <f aca="false">IF(ISBLANK($C432),"",IF($BD432&lt;&gt;Constants!$B$6,$BD432,IF(ISNUMBER($BN432),RANK($BN432,$BN$9:$BN$508,1),COUNT($BN$9:$BN$508)+1)))</f>
        <v/>
      </c>
      <c r="BP432" s="130" t="str">
        <f aca="false">IF($BD432&lt;&gt;Constants!$B$6,"",IF($AU432="-&gt;",$AT432,$BC432))</f>
        <v/>
      </c>
      <c r="BQ432" s="127" t="str">
        <f aca="false">IF(ISBLANK($C432),"",IF($BD432&lt;&gt;Constants!$B$6,$BD432,IF(ISNUMBER($BP432),RANK($BP432,$BP$9:$BP$508,1),COUNT($BP$9:$BP$508)+1)))</f>
        <v/>
      </c>
      <c r="BR432" s="127" t="str">
        <f aca="false">IF(ISBLANK($C432),"",IF($BD432&lt;&gt;Constants!$B$6,$BD432,COUNTIFS($BI$9:$BI$508,"&lt;"&amp;$BI432)+COUNTIFS($BI$9:$BI$508,$BI432,$BK$9:$BK$508,"&lt;"&amp;$BK432)+COUNTIFS($BI$9:$BI$508,$BI432,$BK$9:$BK$508,$BK432,$BM$9:$BM$508,"&lt;"&amp;$BM432)+COUNTIFS($BI$9:$BI$508,$BI432,$BK$9:$BK$508,$BK432,$BM$9:$BM$508,$BM432,$BO$9:$BO$508,"&lt;"&amp;$BO432)+COUNTIFS($BI$9:$BI$508,$BI432,$BK$9:$BK$508,$BK432,$BM$9:$BM$508,$BM432,$BO$9:$BO$508,$BO432,$BQ$9:$BQ$508,"&lt;"&amp;$BQ432)+1))</f>
        <v/>
      </c>
      <c r="BS432" s="127" t="str">
        <f aca="false">IF(ISBLANK($C432),"",IF($BD432&lt;&gt;Constants!$B$6,$BD432,$BI432-$BR432))</f>
        <v/>
      </c>
      <c r="BT432" s="133"/>
      <c r="BU432" s="134"/>
      <c r="BV432" s="134" t="str">
        <f aca="false">IF(ISBLANK($C432),"",IF($BD432&lt;&gt;Constants!$B$6,"",IF($AU432="-&gt;",2,1)))</f>
        <v/>
      </c>
      <c r="BW432" s="135" t="str">
        <f aca="false">IF(ISBLANK($C432),"",IF($BD432&lt;&gt;Constants!$B$6,"",IF($AU432="-&gt;",$AW432,$AN432)))</f>
        <v/>
      </c>
      <c r="BX432" s="135" t="str">
        <f aca="false">IF(ISBLANK($C432),"",IF($BD432&lt;&gt;Constants!$B$6,"",IF($AU432="-&gt;",$AX432,$AO432)))</f>
        <v/>
      </c>
      <c r="BY432" s="135" t="str">
        <f aca="false">IF(ISBLANK($C432),"",IF($BD432&lt;&gt;Constants!$B$6,"",IF($AU432="-&gt;",$AY432,$AP432)))</f>
        <v/>
      </c>
      <c r="BZ432" s="135" t="str">
        <f aca="false">IF(ISBLANK($C432),"",IF($BD432&lt;&gt;Constants!$B$6,"",IF($AU432="-&gt;",$AZ432,$AQ432)+$BG432))</f>
        <v/>
      </c>
      <c r="CA432" s="136" t="str">
        <f aca="false">IF(ISBLANK($C432),"",IF($BD432&lt;&gt;Constants!$B$6,$BD432,$BH432))</f>
        <v/>
      </c>
      <c r="CB432" s="137" t="str">
        <f aca="false">IF(ISBLANK($C432),"",$BE432)</f>
        <v/>
      </c>
      <c r="CC432" s="138" t="str">
        <f aca="false">IF(ISBLANK($C432),"",$BS432)</f>
        <v/>
      </c>
      <c r="CD432" s="138" t="str">
        <f aca="false">IF(ISBLANK($C432),"",$BR432)</f>
        <v/>
      </c>
      <c r="CE432" s="139" t="str">
        <f aca="false">IF(ISBLANK($C432),"",IF($CD432=Constants!$B$9,COUNTA($C$9:$C$508)+2,IF($CD432=Constants!$B$8,COUNTA($C$9:$C$508)+1,IF($CD432=Constants!$B$7,COUNTA($C$9:$C$508),$CD432))))</f>
        <v/>
      </c>
      <c r="CF432" s="9"/>
      <c r="CG432" s="140" t="n">
        <f aca="false">IF(OR(ISNUMBER($CD432),$CD432=Constants!$B$9,$CD432=Constants!$B$7,$CD432=Constants!$B$8),1,0)</f>
        <v>0</v>
      </c>
      <c r="CH432" s="140" t="n">
        <v>424</v>
      </c>
      <c r="CI432" s="140" t="str">
        <f aca="false">IF(ISBLANK($C432),"",IF(ISNUMBER($CE432),$CE432+ROW($B432)/1000,""))</f>
        <v/>
      </c>
      <c r="CJ432" s="140" t="str">
        <f aca="false">IF(ISNUMBER($CI432),RANK($CI432,$CI$9:$CI$508,1),"")</f>
        <v/>
      </c>
      <c r="CK432" s="140" t="str">
        <f aca="false">IF(ISBLANK($C432),"",$B432)</f>
        <v/>
      </c>
      <c r="CL432" s="140" t="str">
        <f aca="false">IF(ISBLANK($C432),"",$C432)</f>
        <v/>
      </c>
      <c r="CM432" s="140" t="str">
        <f aca="false">IF(ISBLANK($C432),"",$D432)</f>
        <v/>
      </c>
      <c r="CN432" s="141" t="str">
        <f aca="false">$CB432</f>
        <v/>
      </c>
      <c r="CO432" s="142" t="str">
        <f aca="false">$CA432</f>
        <v/>
      </c>
      <c r="CP432" s="140" t="str">
        <f aca="false">IF(ISBLANK($C432),"",$CD432)</f>
        <v/>
      </c>
      <c r="CQ432" s="143" t="str">
        <f aca="false">IF($CH432&gt;$CG$8,"",VLOOKUP($CH432,$CJ$9:$CP$508,7,FALSE()))</f>
        <v/>
      </c>
      <c r="CR432" s="144" t="str">
        <f aca="false">IF($CH432&gt;$CG$8,"",VLOOKUP($CH432,$CJ$9:$CP$508,2,FALSE()))</f>
        <v/>
      </c>
      <c r="CS432" s="144" t="str">
        <f aca="false">IF($CH432&gt;$CG$8,"",VLOOKUP($CH432,$CJ$9:$CP$508,3,FALSE()))</f>
        <v/>
      </c>
      <c r="CT432" s="144" t="str">
        <f aca="false">IF($CH432&gt;$CG$8,"",VLOOKUP($CH432,$CJ$9:$CP$508,4,FALSE()))</f>
        <v/>
      </c>
      <c r="CU432" s="144" t="str">
        <f aca="false">IF($CH432&gt;$CG$8,"",VLOOKUP($CH432,$CJ$9:$CP$508,5,FALSE()))</f>
        <v/>
      </c>
      <c r="CV432" s="145" t="str">
        <f aca="false">IF($CH432&gt;$CG$8,"",VLOOKUP($CH432,$CJ$9:$CP$508,6,FALSE()))</f>
        <v/>
      </c>
      <c r="CW432" s="71"/>
    </row>
    <row r="433" customFormat="false" ht="15.75" hidden="false" customHeight="false" outlineLevel="0" collapsed="false">
      <c r="A433" s="9"/>
      <c r="B433" s="150"/>
      <c r="C433" s="151"/>
      <c r="D433" s="152"/>
      <c r="E433" s="170"/>
      <c r="F433" s="154"/>
      <c r="G433" s="155"/>
      <c r="H433" s="171"/>
      <c r="I433" s="159"/>
      <c r="J433" s="120"/>
      <c r="K433" s="121"/>
      <c r="L433" s="122"/>
      <c r="M433" s="158"/>
      <c r="N433" s="159"/>
      <c r="O433" s="159"/>
      <c r="P433" s="120"/>
      <c r="Q433" s="122"/>
      <c r="R433" s="122"/>
      <c r="S433" s="158"/>
      <c r="T433" s="159"/>
      <c r="U433" s="126"/>
      <c r="V433" s="127"/>
      <c r="W433" s="127" t="str">
        <f aca="false">IF(ISBLANK($C433),"",IF(E433=Constants!$B$2,TRUE(),IF(E433=Constants!$B$3,FALSE(),TRUE())))</f>
        <v/>
      </c>
      <c r="X433" s="127" t="str">
        <f aca="false">IF(ISBLANK($C433),"",IF(F433=Constants!$B$2,TRUE(),IF(F433=Constants!$B$3,FALSE(),TRUE())))</f>
        <v/>
      </c>
      <c r="Y433" s="127" t="str">
        <f aca="false">IF(ISBLANK($C433),"",IF(G433=Constants!$B$2,TRUE(),IF(G433=Constants!$B$3,FALSE(),TRUE())))</f>
        <v/>
      </c>
      <c r="Z433" s="127" t="str">
        <f aca="false">IF(ISBLANK($C433),"",IF(H433=Constants!$B$2,TRUE(),IF(H433=Constants!$B$3,FALSE(),TRUE())))</f>
        <v/>
      </c>
      <c r="AA433" s="127" t="str">
        <f aca="false">IF(ISBLANK($C433),"",IF(I433=Constants!$B$2,TRUE(),IF(I433=Constants!$B$3,FALSE(),TRUE())))</f>
        <v/>
      </c>
      <c r="AB433" s="127" t="str">
        <f aca="false">IF(ISBLANK($C433),"",IF(J433=Constants!$B$4,TRUE(),IF(J433=Constants!$B$5,FALSE(),COUNTA(K433:M433)&gt;0)))</f>
        <v/>
      </c>
      <c r="AC433" s="128" t="str">
        <f aca="false">IF(ISBLANK($C433),"",IF(ISNUMBER(K433),IF(K433&gt;=0,K433,""),""))</f>
        <v/>
      </c>
      <c r="AD433" s="129" t="str">
        <f aca="false">IF(ISBLANK($C433),"",IF(ISNUMBER(L433),IF(L433&gt;=0,L433,""),""))</f>
        <v/>
      </c>
      <c r="AE433" s="127" t="str">
        <f aca="false">IF(ISBLANK($C433),"",IF(ISNUMBER(M433),IF(M433&gt;=0,MIN(M433,Constants!$B$22),""),""))</f>
        <v/>
      </c>
      <c r="AF433" s="127" t="str">
        <f aca="false">IF(ISBLANK($C433),"",IF(N433=Constants!$B$2,TRUE(),IF(N433=Constants!$B$3,FALSE(),TRUE())))</f>
        <v/>
      </c>
      <c r="AG433" s="127" t="str">
        <f aca="false">IF(ISBLANK($C433),"",IF(O433=Constants!$B$2,TRUE(),IF(O433=Constants!$B$3,FALSE(),TRUE())))</f>
        <v/>
      </c>
      <c r="AH433" s="127" t="str">
        <f aca="false">IF(ISBLANK($C433),"",IF(P433=Constants!$B$4,TRUE(),IF(P433=Constants!$B$5,FALSE(),COUNTA(Q433:S433)&gt;0)))</f>
        <v/>
      </c>
      <c r="AI433" s="128" t="str">
        <f aca="false">IF(ISBLANK($C433),"",IF(ISNUMBER(Q433),IF(Q433&gt;=0,Q433,""),""))</f>
        <v/>
      </c>
      <c r="AJ433" s="129" t="str">
        <f aca="false">IF(ISBLANK($C433),"",IF(ISNUMBER(R433),IF(R433&gt;=0,R433,""),""))</f>
        <v/>
      </c>
      <c r="AK433" s="127" t="str">
        <f aca="false">IF(ISBLANK($C433),"",IF(ISNUMBER(S433),IF(S433&gt;=0,MIN(S433,Constants!$B$22),""),""))</f>
        <v/>
      </c>
      <c r="AL433" s="127" t="str">
        <f aca="false">IF(ISBLANK($C433),"",IF(T433=Constants!$B$2,TRUE(),IF(T433=Constants!$B$3,FALSE(),FALSE())))</f>
        <v/>
      </c>
      <c r="AM433" s="126" t="str">
        <f aca="false">IF(ISBLANK($C433),"",AND($AB433,OR($AC433="",$AD433="",AND(NOT(ISBLANK($M433)),$AE433=""))))</f>
        <v/>
      </c>
      <c r="AN433" s="129" t="str">
        <f aca="false">IF($BD433&lt;&gt;Constants!$B$6,"",IF($AB433,Constants!$B$17*$AD433,Constants!$B$18))</f>
        <v/>
      </c>
      <c r="AO433" s="130" t="str">
        <f aca="false">IF($BD433&lt;&gt;Constants!$B$6,"",Constants!$B$19*IF($AB433,$AC433,0))</f>
        <v/>
      </c>
      <c r="AP433" s="130" t="str">
        <f aca="false">IF($BD433&lt;&gt;Constants!$B$6,"",IF(AND($AB433,ISNUMBER($AE433)),Constants!$B$20*(Constants!$B$21-$AE433),0))</f>
        <v/>
      </c>
      <c r="AQ433" s="130" t="str">
        <f aca="false">IF($BD433&lt;&gt;Constants!$B$6,"",IF($AA433,0,Constants!$B$12)+IF($Z433,0,Constants!$B$13)+IF($Y433,0,Constants!$B$14))</f>
        <v/>
      </c>
      <c r="AR433" s="131" t="str">
        <f aca="false">IF($BD433&lt;&gt;Constants!$B$6,"",Constants!$B$16+SUM($AN433:$AQ433))</f>
        <v/>
      </c>
      <c r="AS433" s="130" t="str">
        <f aca="false">IF($BD433&lt;&gt;Constants!$B$6,"",IF($AB433,$AD433,""))</f>
        <v/>
      </c>
      <c r="AT433" s="132" t="str">
        <f aca="false">IF($BD433&lt;&gt;Constants!$B$6,"",$AO433)</f>
        <v/>
      </c>
      <c r="AU433" s="127" t="str">
        <f aca="false">IF($BD433&lt;&gt;Constants!$B$6,"",IF(OR($BA433&lt;$AR433,AND($BA433=$AR433,OR(AND(ISNUMBER($BB433),OR(NOT(ISNUMBER($AS433)),$BB433&lt;$AS433)),AND(OR(AND($BB433="",$AS433=""),AND(ISNUMBER($BB433),ISNUMBER($AS433),$BB433=$AS433)),$BC433&lt;$AT433)))),"-&gt;","&lt;-"))</f>
        <v/>
      </c>
      <c r="AV433" s="126" t="str">
        <f aca="false">IF(ISBLANK($C433),"",AND($AH433,OR($AI433="",$AJ433="",AND(NOT(ISBLANK($S433)),$AK433=""))))</f>
        <v/>
      </c>
      <c r="AW433" s="129" t="str">
        <f aca="false">IF($BD433&lt;&gt;Constants!$B$6,"",IF($AH433,Constants!$B$17*$AJ433,Constants!$B$18))</f>
        <v/>
      </c>
      <c r="AX433" s="130" t="str">
        <f aca="false">IF($BD433&lt;&gt;Constants!$B$6,"",Constants!$B$19*IF($AH433,$AI433,0))</f>
        <v/>
      </c>
      <c r="AY433" s="130" t="str">
        <f aca="false">IF($BD433&lt;&gt;Constants!$B$6,"",IF(AND($AH433,ISNUMBER($AK433)),Constants!$B$20*(Constants!$B$21-$AK433),0))</f>
        <v/>
      </c>
      <c r="AZ433" s="130" t="str">
        <f aca="false">IF($BD433&lt;&gt;Constants!$B$6,"",IF($AG433,0,Constants!$B$12)+IF($AF433,0,Constants!$B$13)+IF($Y433,0,Constants!$B$14))</f>
        <v/>
      </c>
      <c r="BA433" s="131" t="str">
        <f aca="false">IF($BD433&lt;&gt;Constants!$B$6,"",Constants!$B$16+SUM($AW433:$AZ433))</f>
        <v/>
      </c>
      <c r="BB433" s="130" t="str">
        <f aca="false">IF($BD433&lt;&gt;Constants!$B$6,"",IF($AH433,$AJ433,""))</f>
        <v/>
      </c>
      <c r="BC433" s="132" t="str">
        <f aca="false">IF($BD433&lt;&gt;Constants!$B$6,"",$AX433)</f>
        <v/>
      </c>
      <c r="BD433" s="127" t="str">
        <f aca="false">IF(ISBLANK($C433),"",IF($AL433,Constants!$B$9,IF(COUNTA($E433:$T433)=0,Constants!$B$8,IF(NOT($X433),Constants!$B$7,IF(OR($AM433,$AV433),Constants!$B$10,Constants!$B$6)))))</f>
        <v/>
      </c>
      <c r="BE433" s="127" t="str">
        <f aca="false">IF(ISBLANK($C433),"",IF($BD433&lt;&gt;Constants!$B$6,$BD433,Constants!$B$11))</f>
        <v/>
      </c>
      <c r="BF433" s="130" t="str">
        <f aca="false">IF($BD433&lt;&gt;Constants!$B$6,"",IF($AU433="-&gt;",$BA433,$AR433))</f>
        <v/>
      </c>
      <c r="BG433" s="130" t="str">
        <f aca="false">IF($BD433&lt;&gt;Constants!$B$6,"",IF($W433,0,Constants!$B$15))</f>
        <v/>
      </c>
      <c r="BH433" s="130" t="str">
        <f aca="false">IF(ISBLANK($C433),"",IF($BD433&lt;&gt;Constants!$B$6,$BD433,SUM($BF433:$BG433)))</f>
        <v/>
      </c>
      <c r="BI433" s="127" t="str">
        <f aca="false">IF(ISBLANK($C433),"",IF($BD433&lt;&gt;Constants!$B$6,$BD433,RANK($BH433,$BH$9:$BH$508,1)))</f>
        <v/>
      </c>
      <c r="BJ433" s="130" t="str">
        <f aca="false">IF($BD433&lt;&gt;Constants!$B$6,"",IF($AU433="-&gt;",$BB433,$AS433))</f>
        <v/>
      </c>
      <c r="BK433" s="127" t="str">
        <f aca="false">IF(ISBLANK($C433),"",IF($BD433&lt;&gt;Constants!$B$6,$BD433,IF(ISNUMBER($BJ433),RANK($BJ433,$BJ$9:$BJ$508,1),COUNT($BJ$9:$BJ$508)+1)))</f>
        <v/>
      </c>
      <c r="BL433" s="130" t="str">
        <f aca="false">IF($BD433&lt;&gt;Constants!$B$6,"",IF($AU433="-&gt;",$BC433,$AT433))</f>
        <v/>
      </c>
      <c r="BM433" s="127" t="str">
        <f aca="false">IF(ISBLANK($C433),"",IF($BD433&lt;&gt;Constants!$B$6,$BD433,IF(ISNUMBER($BL433),RANK($BL433,$BL$9:$BL$508,1),COUNT($BL$9:$BL$508)+1)))</f>
        <v/>
      </c>
      <c r="BN433" s="130" t="str">
        <f aca="false">IF($BD433&lt;&gt;Constants!$B$6,"",IF($AU433="-&gt;",$AS433,$BB433))</f>
        <v/>
      </c>
      <c r="BO433" s="127" t="str">
        <f aca="false">IF(ISBLANK($C433),"",IF($BD433&lt;&gt;Constants!$B$6,$BD433,IF(ISNUMBER($BN433),RANK($BN433,$BN$9:$BN$508,1),COUNT($BN$9:$BN$508)+1)))</f>
        <v/>
      </c>
      <c r="BP433" s="130" t="str">
        <f aca="false">IF($BD433&lt;&gt;Constants!$B$6,"",IF($AU433="-&gt;",$AT433,$BC433))</f>
        <v/>
      </c>
      <c r="BQ433" s="127" t="str">
        <f aca="false">IF(ISBLANK($C433),"",IF($BD433&lt;&gt;Constants!$B$6,$BD433,IF(ISNUMBER($BP433),RANK($BP433,$BP$9:$BP$508,1),COUNT($BP$9:$BP$508)+1)))</f>
        <v/>
      </c>
      <c r="BR433" s="127" t="str">
        <f aca="false">IF(ISBLANK($C433),"",IF($BD433&lt;&gt;Constants!$B$6,$BD433,COUNTIFS($BI$9:$BI$508,"&lt;"&amp;$BI433)+COUNTIFS($BI$9:$BI$508,$BI433,$BK$9:$BK$508,"&lt;"&amp;$BK433)+COUNTIFS($BI$9:$BI$508,$BI433,$BK$9:$BK$508,$BK433,$BM$9:$BM$508,"&lt;"&amp;$BM433)+COUNTIFS($BI$9:$BI$508,$BI433,$BK$9:$BK$508,$BK433,$BM$9:$BM$508,$BM433,$BO$9:$BO$508,"&lt;"&amp;$BO433)+COUNTIFS($BI$9:$BI$508,$BI433,$BK$9:$BK$508,$BK433,$BM$9:$BM$508,$BM433,$BO$9:$BO$508,$BO433,$BQ$9:$BQ$508,"&lt;"&amp;$BQ433)+1))</f>
        <v/>
      </c>
      <c r="BS433" s="127" t="str">
        <f aca="false">IF(ISBLANK($C433),"",IF($BD433&lt;&gt;Constants!$B$6,$BD433,$BI433-$BR433))</f>
        <v/>
      </c>
      <c r="BT433" s="133"/>
      <c r="BU433" s="134"/>
      <c r="BV433" s="134" t="str">
        <f aca="false">IF(ISBLANK($C433),"",IF($BD433&lt;&gt;Constants!$B$6,"",IF($AU433="-&gt;",2,1)))</f>
        <v/>
      </c>
      <c r="BW433" s="135" t="str">
        <f aca="false">IF(ISBLANK($C433),"",IF($BD433&lt;&gt;Constants!$B$6,"",IF($AU433="-&gt;",$AW433,$AN433)))</f>
        <v/>
      </c>
      <c r="BX433" s="135" t="str">
        <f aca="false">IF(ISBLANK($C433),"",IF($BD433&lt;&gt;Constants!$B$6,"",IF($AU433="-&gt;",$AX433,$AO433)))</f>
        <v/>
      </c>
      <c r="BY433" s="135" t="str">
        <f aca="false">IF(ISBLANK($C433),"",IF($BD433&lt;&gt;Constants!$B$6,"",IF($AU433="-&gt;",$AY433,$AP433)))</f>
        <v/>
      </c>
      <c r="BZ433" s="135" t="str">
        <f aca="false">IF(ISBLANK($C433),"",IF($BD433&lt;&gt;Constants!$B$6,"",IF($AU433="-&gt;",$AZ433,$AQ433)+$BG433))</f>
        <v/>
      </c>
      <c r="CA433" s="136" t="str">
        <f aca="false">IF(ISBLANK($C433),"",IF($BD433&lt;&gt;Constants!$B$6,$BD433,$BH433))</f>
        <v/>
      </c>
      <c r="CB433" s="137" t="str">
        <f aca="false">IF(ISBLANK($C433),"",$BE433)</f>
        <v/>
      </c>
      <c r="CC433" s="138" t="str">
        <f aca="false">IF(ISBLANK($C433),"",$BS433)</f>
        <v/>
      </c>
      <c r="CD433" s="138" t="str">
        <f aca="false">IF(ISBLANK($C433),"",$BR433)</f>
        <v/>
      </c>
      <c r="CE433" s="139" t="str">
        <f aca="false">IF(ISBLANK($C433),"",IF($CD433=Constants!$B$9,COUNTA($C$9:$C$508)+2,IF($CD433=Constants!$B$8,COUNTA($C$9:$C$508)+1,IF($CD433=Constants!$B$7,COUNTA($C$9:$C$508),$CD433))))</f>
        <v/>
      </c>
      <c r="CF433" s="9"/>
      <c r="CG433" s="140" t="n">
        <f aca="false">IF(OR(ISNUMBER($CD433),$CD433=Constants!$B$9,$CD433=Constants!$B$7,$CD433=Constants!$B$8),1,0)</f>
        <v>0</v>
      </c>
      <c r="CH433" s="140" t="n">
        <v>425</v>
      </c>
      <c r="CI433" s="140" t="str">
        <f aca="false">IF(ISBLANK($C433),"",IF(ISNUMBER($CE433),$CE433+ROW($B433)/1000,""))</f>
        <v/>
      </c>
      <c r="CJ433" s="140" t="str">
        <f aca="false">IF(ISNUMBER($CI433),RANK($CI433,$CI$9:$CI$508,1),"")</f>
        <v/>
      </c>
      <c r="CK433" s="140" t="str">
        <f aca="false">IF(ISBLANK($C433),"",$B433)</f>
        <v/>
      </c>
      <c r="CL433" s="140" t="str">
        <f aca="false">IF(ISBLANK($C433),"",$C433)</f>
        <v/>
      </c>
      <c r="CM433" s="140" t="str">
        <f aca="false">IF(ISBLANK($C433),"",$D433)</f>
        <v/>
      </c>
      <c r="CN433" s="141" t="str">
        <f aca="false">$CB433</f>
        <v/>
      </c>
      <c r="CO433" s="142" t="str">
        <f aca="false">$CA433</f>
        <v/>
      </c>
      <c r="CP433" s="140" t="str">
        <f aca="false">IF(ISBLANK($C433),"",$CD433)</f>
        <v/>
      </c>
      <c r="CQ433" s="143" t="str">
        <f aca="false">IF($CH433&gt;$CG$8,"",VLOOKUP($CH433,$CJ$9:$CP$508,7,FALSE()))</f>
        <v/>
      </c>
      <c r="CR433" s="144" t="str">
        <f aca="false">IF($CH433&gt;$CG$8,"",VLOOKUP($CH433,$CJ$9:$CP$508,2,FALSE()))</f>
        <v/>
      </c>
      <c r="CS433" s="144" t="str">
        <f aca="false">IF($CH433&gt;$CG$8,"",VLOOKUP($CH433,$CJ$9:$CP$508,3,FALSE()))</f>
        <v/>
      </c>
      <c r="CT433" s="144" t="str">
        <f aca="false">IF($CH433&gt;$CG$8,"",VLOOKUP($CH433,$CJ$9:$CP$508,4,FALSE()))</f>
        <v/>
      </c>
      <c r="CU433" s="144" t="str">
        <f aca="false">IF($CH433&gt;$CG$8,"",VLOOKUP($CH433,$CJ$9:$CP$508,5,FALSE()))</f>
        <v/>
      </c>
      <c r="CV433" s="145" t="str">
        <f aca="false">IF($CH433&gt;$CG$8,"",VLOOKUP($CH433,$CJ$9:$CP$508,6,FALSE()))</f>
        <v/>
      </c>
      <c r="CW433" s="71"/>
    </row>
    <row r="434" customFormat="false" ht="15.75" hidden="false" customHeight="false" outlineLevel="0" collapsed="false">
      <c r="A434" s="9"/>
      <c r="B434" s="150"/>
      <c r="C434" s="151"/>
      <c r="D434" s="152"/>
      <c r="E434" s="170"/>
      <c r="F434" s="154"/>
      <c r="G434" s="155"/>
      <c r="H434" s="171"/>
      <c r="I434" s="159"/>
      <c r="J434" s="120"/>
      <c r="K434" s="121"/>
      <c r="L434" s="122"/>
      <c r="M434" s="158"/>
      <c r="N434" s="159"/>
      <c r="O434" s="159"/>
      <c r="P434" s="120"/>
      <c r="Q434" s="122"/>
      <c r="R434" s="122"/>
      <c r="S434" s="158"/>
      <c r="T434" s="159"/>
      <c r="U434" s="126"/>
      <c r="V434" s="127"/>
      <c r="W434" s="127" t="str">
        <f aca="false">IF(ISBLANK($C434),"",IF(E434=Constants!$B$2,TRUE(),IF(E434=Constants!$B$3,FALSE(),TRUE())))</f>
        <v/>
      </c>
      <c r="X434" s="127" t="str">
        <f aca="false">IF(ISBLANK($C434),"",IF(F434=Constants!$B$2,TRUE(),IF(F434=Constants!$B$3,FALSE(),TRUE())))</f>
        <v/>
      </c>
      <c r="Y434" s="127" t="str">
        <f aca="false">IF(ISBLANK($C434),"",IF(G434=Constants!$B$2,TRUE(),IF(G434=Constants!$B$3,FALSE(),TRUE())))</f>
        <v/>
      </c>
      <c r="Z434" s="127" t="str">
        <f aca="false">IF(ISBLANK($C434),"",IF(H434=Constants!$B$2,TRUE(),IF(H434=Constants!$B$3,FALSE(),TRUE())))</f>
        <v/>
      </c>
      <c r="AA434" s="127" t="str">
        <f aca="false">IF(ISBLANK($C434),"",IF(I434=Constants!$B$2,TRUE(),IF(I434=Constants!$B$3,FALSE(),TRUE())))</f>
        <v/>
      </c>
      <c r="AB434" s="127" t="str">
        <f aca="false">IF(ISBLANK($C434),"",IF(J434=Constants!$B$4,TRUE(),IF(J434=Constants!$B$5,FALSE(),COUNTA(K434:M434)&gt;0)))</f>
        <v/>
      </c>
      <c r="AC434" s="128" t="str">
        <f aca="false">IF(ISBLANK($C434),"",IF(ISNUMBER(K434),IF(K434&gt;=0,K434,""),""))</f>
        <v/>
      </c>
      <c r="AD434" s="129" t="str">
        <f aca="false">IF(ISBLANK($C434),"",IF(ISNUMBER(L434),IF(L434&gt;=0,L434,""),""))</f>
        <v/>
      </c>
      <c r="AE434" s="127" t="str">
        <f aca="false">IF(ISBLANK($C434),"",IF(ISNUMBER(M434),IF(M434&gt;=0,MIN(M434,Constants!$B$22),""),""))</f>
        <v/>
      </c>
      <c r="AF434" s="127" t="str">
        <f aca="false">IF(ISBLANK($C434),"",IF(N434=Constants!$B$2,TRUE(),IF(N434=Constants!$B$3,FALSE(),TRUE())))</f>
        <v/>
      </c>
      <c r="AG434" s="127" t="str">
        <f aca="false">IF(ISBLANK($C434),"",IF(O434=Constants!$B$2,TRUE(),IF(O434=Constants!$B$3,FALSE(),TRUE())))</f>
        <v/>
      </c>
      <c r="AH434" s="127" t="str">
        <f aca="false">IF(ISBLANK($C434),"",IF(P434=Constants!$B$4,TRUE(),IF(P434=Constants!$B$5,FALSE(),COUNTA(Q434:S434)&gt;0)))</f>
        <v/>
      </c>
      <c r="AI434" s="128" t="str">
        <f aca="false">IF(ISBLANK($C434),"",IF(ISNUMBER(Q434),IF(Q434&gt;=0,Q434,""),""))</f>
        <v/>
      </c>
      <c r="AJ434" s="129" t="str">
        <f aca="false">IF(ISBLANK($C434),"",IF(ISNUMBER(R434),IF(R434&gt;=0,R434,""),""))</f>
        <v/>
      </c>
      <c r="AK434" s="127" t="str">
        <f aca="false">IF(ISBLANK($C434),"",IF(ISNUMBER(S434),IF(S434&gt;=0,MIN(S434,Constants!$B$22),""),""))</f>
        <v/>
      </c>
      <c r="AL434" s="127" t="str">
        <f aca="false">IF(ISBLANK($C434),"",IF(T434=Constants!$B$2,TRUE(),IF(T434=Constants!$B$3,FALSE(),FALSE())))</f>
        <v/>
      </c>
      <c r="AM434" s="126" t="str">
        <f aca="false">IF(ISBLANK($C434),"",AND($AB434,OR($AC434="",$AD434="",AND(NOT(ISBLANK($M434)),$AE434=""))))</f>
        <v/>
      </c>
      <c r="AN434" s="129" t="str">
        <f aca="false">IF($BD434&lt;&gt;Constants!$B$6,"",IF($AB434,Constants!$B$17*$AD434,Constants!$B$18))</f>
        <v/>
      </c>
      <c r="AO434" s="130" t="str">
        <f aca="false">IF($BD434&lt;&gt;Constants!$B$6,"",Constants!$B$19*IF($AB434,$AC434,0))</f>
        <v/>
      </c>
      <c r="AP434" s="130" t="str">
        <f aca="false">IF($BD434&lt;&gt;Constants!$B$6,"",IF(AND($AB434,ISNUMBER($AE434)),Constants!$B$20*(Constants!$B$21-$AE434),0))</f>
        <v/>
      </c>
      <c r="AQ434" s="130" t="str">
        <f aca="false">IF($BD434&lt;&gt;Constants!$B$6,"",IF($AA434,0,Constants!$B$12)+IF($Z434,0,Constants!$B$13)+IF($Y434,0,Constants!$B$14))</f>
        <v/>
      </c>
      <c r="AR434" s="131" t="str">
        <f aca="false">IF($BD434&lt;&gt;Constants!$B$6,"",Constants!$B$16+SUM($AN434:$AQ434))</f>
        <v/>
      </c>
      <c r="AS434" s="130" t="str">
        <f aca="false">IF($BD434&lt;&gt;Constants!$B$6,"",IF($AB434,$AD434,""))</f>
        <v/>
      </c>
      <c r="AT434" s="132" t="str">
        <f aca="false">IF($BD434&lt;&gt;Constants!$B$6,"",$AO434)</f>
        <v/>
      </c>
      <c r="AU434" s="127" t="str">
        <f aca="false">IF($BD434&lt;&gt;Constants!$B$6,"",IF(OR($BA434&lt;$AR434,AND($BA434=$AR434,OR(AND(ISNUMBER($BB434),OR(NOT(ISNUMBER($AS434)),$BB434&lt;$AS434)),AND(OR(AND($BB434="",$AS434=""),AND(ISNUMBER($BB434),ISNUMBER($AS434),$BB434=$AS434)),$BC434&lt;$AT434)))),"-&gt;","&lt;-"))</f>
        <v/>
      </c>
      <c r="AV434" s="126" t="str">
        <f aca="false">IF(ISBLANK($C434),"",AND($AH434,OR($AI434="",$AJ434="",AND(NOT(ISBLANK($S434)),$AK434=""))))</f>
        <v/>
      </c>
      <c r="AW434" s="129" t="str">
        <f aca="false">IF($BD434&lt;&gt;Constants!$B$6,"",IF($AH434,Constants!$B$17*$AJ434,Constants!$B$18))</f>
        <v/>
      </c>
      <c r="AX434" s="130" t="str">
        <f aca="false">IF($BD434&lt;&gt;Constants!$B$6,"",Constants!$B$19*IF($AH434,$AI434,0))</f>
        <v/>
      </c>
      <c r="AY434" s="130" t="str">
        <f aca="false">IF($BD434&lt;&gt;Constants!$B$6,"",IF(AND($AH434,ISNUMBER($AK434)),Constants!$B$20*(Constants!$B$21-$AK434),0))</f>
        <v/>
      </c>
      <c r="AZ434" s="130" t="str">
        <f aca="false">IF($BD434&lt;&gt;Constants!$B$6,"",IF($AG434,0,Constants!$B$12)+IF($AF434,0,Constants!$B$13)+IF($Y434,0,Constants!$B$14))</f>
        <v/>
      </c>
      <c r="BA434" s="131" t="str">
        <f aca="false">IF($BD434&lt;&gt;Constants!$B$6,"",Constants!$B$16+SUM($AW434:$AZ434))</f>
        <v/>
      </c>
      <c r="BB434" s="130" t="str">
        <f aca="false">IF($BD434&lt;&gt;Constants!$B$6,"",IF($AH434,$AJ434,""))</f>
        <v/>
      </c>
      <c r="BC434" s="132" t="str">
        <f aca="false">IF($BD434&lt;&gt;Constants!$B$6,"",$AX434)</f>
        <v/>
      </c>
      <c r="BD434" s="127" t="str">
        <f aca="false">IF(ISBLANK($C434),"",IF($AL434,Constants!$B$9,IF(COUNTA($E434:$T434)=0,Constants!$B$8,IF(NOT($X434),Constants!$B$7,IF(OR($AM434,$AV434),Constants!$B$10,Constants!$B$6)))))</f>
        <v/>
      </c>
      <c r="BE434" s="127" t="str">
        <f aca="false">IF(ISBLANK($C434),"",IF($BD434&lt;&gt;Constants!$B$6,$BD434,Constants!$B$11))</f>
        <v/>
      </c>
      <c r="BF434" s="130" t="str">
        <f aca="false">IF($BD434&lt;&gt;Constants!$B$6,"",IF($AU434="-&gt;",$BA434,$AR434))</f>
        <v/>
      </c>
      <c r="BG434" s="130" t="str">
        <f aca="false">IF($BD434&lt;&gt;Constants!$B$6,"",IF($W434,0,Constants!$B$15))</f>
        <v/>
      </c>
      <c r="BH434" s="130" t="str">
        <f aca="false">IF(ISBLANK($C434),"",IF($BD434&lt;&gt;Constants!$B$6,$BD434,SUM($BF434:$BG434)))</f>
        <v/>
      </c>
      <c r="BI434" s="127" t="str">
        <f aca="false">IF(ISBLANK($C434),"",IF($BD434&lt;&gt;Constants!$B$6,$BD434,RANK($BH434,$BH$9:$BH$508,1)))</f>
        <v/>
      </c>
      <c r="BJ434" s="130" t="str">
        <f aca="false">IF($BD434&lt;&gt;Constants!$B$6,"",IF($AU434="-&gt;",$BB434,$AS434))</f>
        <v/>
      </c>
      <c r="BK434" s="127" t="str">
        <f aca="false">IF(ISBLANK($C434),"",IF($BD434&lt;&gt;Constants!$B$6,$BD434,IF(ISNUMBER($BJ434),RANK($BJ434,$BJ$9:$BJ$508,1),COUNT($BJ$9:$BJ$508)+1)))</f>
        <v/>
      </c>
      <c r="BL434" s="130" t="str">
        <f aca="false">IF($BD434&lt;&gt;Constants!$B$6,"",IF($AU434="-&gt;",$BC434,$AT434))</f>
        <v/>
      </c>
      <c r="BM434" s="127" t="str">
        <f aca="false">IF(ISBLANK($C434),"",IF($BD434&lt;&gt;Constants!$B$6,$BD434,IF(ISNUMBER($BL434),RANK($BL434,$BL$9:$BL$508,1),COUNT($BL$9:$BL$508)+1)))</f>
        <v/>
      </c>
      <c r="BN434" s="130" t="str">
        <f aca="false">IF($BD434&lt;&gt;Constants!$B$6,"",IF($AU434="-&gt;",$AS434,$BB434))</f>
        <v/>
      </c>
      <c r="BO434" s="127" t="str">
        <f aca="false">IF(ISBLANK($C434),"",IF($BD434&lt;&gt;Constants!$B$6,$BD434,IF(ISNUMBER($BN434),RANK($BN434,$BN$9:$BN$508,1),COUNT($BN$9:$BN$508)+1)))</f>
        <v/>
      </c>
      <c r="BP434" s="130" t="str">
        <f aca="false">IF($BD434&lt;&gt;Constants!$B$6,"",IF($AU434="-&gt;",$AT434,$BC434))</f>
        <v/>
      </c>
      <c r="BQ434" s="127" t="str">
        <f aca="false">IF(ISBLANK($C434),"",IF($BD434&lt;&gt;Constants!$B$6,$BD434,IF(ISNUMBER($BP434),RANK($BP434,$BP$9:$BP$508,1),COUNT($BP$9:$BP$508)+1)))</f>
        <v/>
      </c>
      <c r="BR434" s="127" t="str">
        <f aca="false">IF(ISBLANK($C434),"",IF($BD434&lt;&gt;Constants!$B$6,$BD434,COUNTIFS($BI$9:$BI$508,"&lt;"&amp;$BI434)+COUNTIFS($BI$9:$BI$508,$BI434,$BK$9:$BK$508,"&lt;"&amp;$BK434)+COUNTIFS($BI$9:$BI$508,$BI434,$BK$9:$BK$508,$BK434,$BM$9:$BM$508,"&lt;"&amp;$BM434)+COUNTIFS($BI$9:$BI$508,$BI434,$BK$9:$BK$508,$BK434,$BM$9:$BM$508,$BM434,$BO$9:$BO$508,"&lt;"&amp;$BO434)+COUNTIFS($BI$9:$BI$508,$BI434,$BK$9:$BK$508,$BK434,$BM$9:$BM$508,$BM434,$BO$9:$BO$508,$BO434,$BQ$9:$BQ$508,"&lt;"&amp;$BQ434)+1))</f>
        <v/>
      </c>
      <c r="BS434" s="127" t="str">
        <f aca="false">IF(ISBLANK($C434),"",IF($BD434&lt;&gt;Constants!$B$6,$BD434,$BI434-$BR434))</f>
        <v/>
      </c>
      <c r="BT434" s="133"/>
      <c r="BU434" s="134"/>
      <c r="BV434" s="134" t="str">
        <f aca="false">IF(ISBLANK($C434),"",IF($BD434&lt;&gt;Constants!$B$6,"",IF($AU434="-&gt;",2,1)))</f>
        <v/>
      </c>
      <c r="BW434" s="135" t="str">
        <f aca="false">IF(ISBLANK($C434),"",IF($BD434&lt;&gt;Constants!$B$6,"",IF($AU434="-&gt;",$AW434,$AN434)))</f>
        <v/>
      </c>
      <c r="BX434" s="135" t="str">
        <f aca="false">IF(ISBLANK($C434),"",IF($BD434&lt;&gt;Constants!$B$6,"",IF($AU434="-&gt;",$AX434,$AO434)))</f>
        <v/>
      </c>
      <c r="BY434" s="135" t="str">
        <f aca="false">IF(ISBLANK($C434),"",IF($BD434&lt;&gt;Constants!$B$6,"",IF($AU434="-&gt;",$AY434,$AP434)))</f>
        <v/>
      </c>
      <c r="BZ434" s="135" t="str">
        <f aca="false">IF(ISBLANK($C434),"",IF($BD434&lt;&gt;Constants!$B$6,"",IF($AU434="-&gt;",$AZ434,$AQ434)+$BG434))</f>
        <v/>
      </c>
      <c r="CA434" s="136" t="str">
        <f aca="false">IF(ISBLANK($C434),"",IF($BD434&lt;&gt;Constants!$B$6,$BD434,$BH434))</f>
        <v/>
      </c>
      <c r="CB434" s="137" t="str">
        <f aca="false">IF(ISBLANK($C434),"",$BE434)</f>
        <v/>
      </c>
      <c r="CC434" s="138" t="str">
        <f aca="false">IF(ISBLANK($C434),"",$BS434)</f>
        <v/>
      </c>
      <c r="CD434" s="138" t="str">
        <f aca="false">IF(ISBLANK($C434),"",$BR434)</f>
        <v/>
      </c>
      <c r="CE434" s="139" t="str">
        <f aca="false">IF(ISBLANK($C434),"",IF($CD434=Constants!$B$9,COUNTA($C$9:$C$508)+2,IF($CD434=Constants!$B$8,COUNTA($C$9:$C$508)+1,IF($CD434=Constants!$B$7,COUNTA($C$9:$C$508),$CD434))))</f>
        <v/>
      </c>
      <c r="CF434" s="9"/>
      <c r="CG434" s="140" t="n">
        <f aca="false">IF(OR(ISNUMBER($CD434),$CD434=Constants!$B$9,$CD434=Constants!$B$7,$CD434=Constants!$B$8),1,0)</f>
        <v>0</v>
      </c>
      <c r="CH434" s="140" t="n">
        <v>426</v>
      </c>
      <c r="CI434" s="140" t="str">
        <f aca="false">IF(ISBLANK($C434),"",IF(ISNUMBER($CE434),$CE434+ROW($B434)/1000,""))</f>
        <v/>
      </c>
      <c r="CJ434" s="140" t="str">
        <f aca="false">IF(ISNUMBER($CI434),RANK($CI434,$CI$9:$CI$508,1),"")</f>
        <v/>
      </c>
      <c r="CK434" s="140" t="str">
        <f aca="false">IF(ISBLANK($C434),"",$B434)</f>
        <v/>
      </c>
      <c r="CL434" s="140" t="str">
        <f aca="false">IF(ISBLANK($C434),"",$C434)</f>
        <v/>
      </c>
      <c r="CM434" s="140" t="str">
        <f aca="false">IF(ISBLANK($C434),"",$D434)</f>
        <v/>
      </c>
      <c r="CN434" s="141" t="str">
        <f aca="false">$CB434</f>
        <v/>
      </c>
      <c r="CO434" s="142" t="str">
        <f aca="false">$CA434</f>
        <v/>
      </c>
      <c r="CP434" s="140" t="str">
        <f aca="false">IF(ISBLANK($C434),"",$CD434)</f>
        <v/>
      </c>
      <c r="CQ434" s="143" t="str">
        <f aca="false">IF($CH434&gt;$CG$8,"",VLOOKUP($CH434,$CJ$9:$CP$508,7,FALSE()))</f>
        <v/>
      </c>
      <c r="CR434" s="144" t="str">
        <f aca="false">IF($CH434&gt;$CG$8,"",VLOOKUP($CH434,$CJ$9:$CP$508,2,FALSE()))</f>
        <v/>
      </c>
      <c r="CS434" s="144" t="str">
        <f aca="false">IF($CH434&gt;$CG$8,"",VLOOKUP($CH434,$CJ$9:$CP$508,3,FALSE()))</f>
        <v/>
      </c>
      <c r="CT434" s="144" t="str">
        <f aca="false">IF($CH434&gt;$CG$8,"",VLOOKUP($CH434,$CJ$9:$CP$508,4,FALSE()))</f>
        <v/>
      </c>
      <c r="CU434" s="144" t="str">
        <f aca="false">IF($CH434&gt;$CG$8,"",VLOOKUP($CH434,$CJ$9:$CP$508,5,FALSE()))</f>
        <v/>
      </c>
      <c r="CV434" s="145" t="str">
        <f aca="false">IF($CH434&gt;$CG$8,"",VLOOKUP($CH434,$CJ$9:$CP$508,6,FALSE()))</f>
        <v/>
      </c>
      <c r="CW434" s="71"/>
    </row>
    <row r="435" customFormat="false" ht="15.75" hidden="false" customHeight="false" outlineLevel="0" collapsed="false">
      <c r="A435" s="9"/>
      <c r="B435" s="72"/>
      <c r="C435" s="73"/>
      <c r="D435" s="160"/>
      <c r="E435" s="168"/>
      <c r="F435" s="162"/>
      <c r="G435" s="163"/>
      <c r="H435" s="169"/>
      <c r="I435" s="167"/>
      <c r="J435" s="80"/>
      <c r="K435" s="81"/>
      <c r="L435" s="82"/>
      <c r="M435" s="166"/>
      <c r="N435" s="167"/>
      <c r="O435" s="167"/>
      <c r="P435" s="80"/>
      <c r="Q435" s="82"/>
      <c r="R435" s="82"/>
      <c r="S435" s="166"/>
      <c r="T435" s="167"/>
      <c r="U435" s="86"/>
      <c r="V435" s="87"/>
      <c r="W435" s="87" t="str">
        <f aca="false">IF(ISBLANK($C435),"",IF(E435=Constants!$B$2,TRUE(),IF(E435=Constants!$B$3,FALSE(),TRUE())))</f>
        <v/>
      </c>
      <c r="X435" s="87" t="str">
        <f aca="false">IF(ISBLANK($C435),"",IF(F435=Constants!$B$2,TRUE(),IF(F435=Constants!$B$3,FALSE(),TRUE())))</f>
        <v/>
      </c>
      <c r="Y435" s="87" t="str">
        <f aca="false">IF(ISBLANK($C435),"",IF(G435=Constants!$B$2,TRUE(),IF(G435=Constants!$B$3,FALSE(),TRUE())))</f>
        <v/>
      </c>
      <c r="Z435" s="87" t="str">
        <f aca="false">IF(ISBLANK($C435),"",IF(H435=Constants!$B$2,TRUE(),IF(H435=Constants!$B$3,FALSE(),TRUE())))</f>
        <v/>
      </c>
      <c r="AA435" s="87" t="str">
        <f aca="false">IF(ISBLANK($C435),"",IF(I435=Constants!$B$2,TRUE(),IF(I435=Constants!$B$3,FALSE(),TRUE())))</f>
        <v/>
      </c>
      <c r="AB435" s="87" t="str">
        <f aca="false">IF(ISBLANK($C435),"",IF(J435=Constants!$B$4,TRUE(),IF(J435=Constants!$B$5,FALSE(),COUNTA(K435:M435)&gt;0)))</f>
        <v/>
      </c>
      <c r="AC435" s="88" t="str">
        <f aca="false">IF(ISBLANK($C435),"",IF(ISNUMBER(K435),IF(K435&gt;=0,K435,""),""))</f>
        <v/>
      </c>
      <c r="AD435" s="89" t="str">
        <f aca="false">IF(ISBLANK($C435),"",IF(ISNUMBER(L435),IF(L435&gt;=0,L435,""),""))</f>
        <v/>
      </c>
      <c r="AE435" s="87" t="str">
        <f aca="false">IF(ISBLANK($C435),"",IF(ISNUMBER(M435),IF(M435&gt;=0,MIN(M435,Constants!$B$22),""),""))</f>
        <v/>
      </c>
      <c r="AF435" s="87" t="str">
        <f aca="false">IF(ISBLANK($C435),"",IF(N435=Constants!$B$2,TRUE(),IF(N435=Constants!$B$3,FALSE(),TRUE())))</f>
        <v/>
      </c>
      <c r="AG435" s="87" t="str">
        <f aca="false">IF(ISBLANK($C435),"",IF(O435=Constants!$B$2,TRUE(),IF(O435=Constants!$B$3,FALSE(),TRUE())))</f>
        <v/>
      </c>
      <c r="AH435" s="87" t="str">
        <f aca="false">IF(ISBLANK($C435),"",IF(P435=Constants!$B$4,TRUE(),IF(P435=Constants!$B$5,FALSE(),COUNTA(Q435:S435)&gt;0)))</f>
        <v/>
      </c>
      <c r="AI435" s="88" t="str">
        <f aca="false">IF(ISBLANK($C435),"",IF(ISNUMBER(Q435),IF(Q435&gt;=0,Q435,""),""))</f>
        <v/>
      </c>
      <c r="AJ435" s="89" t="str">
        <f aca="false">IF(ISBLANK($C435),"",IF(ISNUMBER(R435),IF(R435&gt;=0,R435,""),""))</f>
        <v/>
      </c>
      <c r="AK435" s="87" t="str">
        <f aca="false">IF(ISBLANK($C435),"",IF(ISNUMBER(S435),IF(S435&gt;=0,MIN(S435,Constants!$B$22),""),""))</f>
        <v/>
      </c>
      <c r="AL435" s="87" t="str">
        <f aca="false">IF(ISBLANK($C435),"",IF(T435=Constants!$B$2,TRUE(),IF(T435=Constants!$B$3,FALSE(),FALSE())))</f>
        <v/>
      </c>
      <c r="AM435" s="86" t="str">
        <f aca="false">IF(ISBLANK($C435),"",AND($AB435,OR($AC435="",$AD435="",AND(NOT(ISBLANK($M435)),$AE435=""))))</f>
        <v/>
      </c>
      <c r="AN435" s="89" t="str">
        <f aca="false">IF($BD435&lt;&gt;Constants!$B$6,"",IF($AB435,Constants!$B$17*$AD435,Constants!$B$18))</f>
        <v/>
      </c>
      <c r="AO435" s="91" t="str">
        <f aca="false">IF($BD435&lt;&gt;Constants!$B$6,"",Constants!$B$19*IF($AB435,$AC435,0))</f>
        <v/>
      </c>
      <c r="AP435" s="91" t="str">
        <f aca="false">IF($BD435&lt;&gt;Constants!$B$6,"",IF(AND($AB435,ISNUMBER($AE435)),Constants!$B$20*(Constants!$B$21-$AE435),0))</f>
        <v/>
      </c>
      <c r="AQ435" s="91" t="str">
        <f aca="false">IF($BD435&lt;&gt;Constants!$B$6,"",IF($AA435,0,Constants!$B$12)+IF($Z435,0,Constants!$B$13)+IF($Y435,0,Constants!$B$14))</f>
        <v/>
      </c>
      <c r="AR435" s="92" t="str">
        <f aca="false">IF($BD435&lt;&gt;Constants!$B$6,"",Constants!$B$16+SUM($AN435:$AQ435))</f>
        <v/>
      </c>
      <c r="AS435" s="91" t="str">
        <f aca="false">IF($BD435&lt;&gt;Constants!$B$6,"",IF($AB435,$AD435,""))</f>
        <v/>
      </c>
      <c r="AT435" s="93" t="str">
        <f aca="false">IF($BD435&lt;&gt;Constants!$B$6,"",$AO435)</f>
        <v/>
      </c>
      <c r="AU435" s="87" t="str">
        <f aca="false">IF($BD435&lt;&gt;Constants!$B$6,"",IF(OR($BA435&lt;$AR435,AND($BA435=$AR435,OR(AND(ISNUMBER($BB435),OR(NOT(ISNUMBER($AS435)),$BB435&lt;$AS435)),AND(OR(AND($BB435="",$AS435=""),AND(ISNUMBER($BB435),ISNUMBER($AS435),$BB435=$AS435)),$BC435&lt;$AT435)))),"-&gt;","&lt;-"))</f>
        <v/>
      </c>
      <c r="AV435" s="86" t="str">
        <f aca="false">IF(ISBLANK($C435),"",AND($AH435,OR($AI435="",$AJ435="",AND(NOT(ISBLANK($S435)),$AK435=""))))</f>
        <v/>
      </c>
      <c r="AW435" s="89" t="str">
        <f aca="false">IF($BD435&lt;&gt;Constants!$B$6,"",IF($AH435,Constants!$B$17*$AJ435,Constants!$B$18))</f>
        <v/>
      </c>
      <c r="AX435" s="91" t="str">
        <f aca="false">IF($BD435&lt;&gt;Constants!$B$6,"",Constants!$B$19*IF($AH435,$AI435,0))</f>
        <v/>
      </c>
      <c r="AY435" s="91" t="str">
        <f aca="false">IF($BD435&lt;&gt;Constants!$B$6,"",IF(AND($AH435,ISNUMBER($AK435)),Constants!$B$20*(Constants!$B$21-$AK435),0))</f>
        <v/>
      </c>
      <c r="AZ435" s="91" t="str">
        <f aca="false">IF($BD435&lt;&gt;Constants!$B$6,"",IF($AG435,0,Constants!$B$12)+IF($AF435,0,Constants!$B$13)+IF($Y435,0,Constants!$B$14))</f>
        <v/>
      </c>
      <c r="BA435" s="92" t="str">
        <f aca="false">IF($BD435&lt;&gt;Constants!$B$6,"",Constants!$B$16+SUM($AW435:$AZ435))</f>
        <v/>
      </c>
      <c r="BB435" s="91" t="str">
        <f aca="false">IF($BD435&lt;&gt;Constants!$B$6,"",IF($AH435,$AJ435,""))</f>
        <v/>
      </c>
      <c r="BC435" s="93" t="str">
        <f aca="false">IF($BD435&lt;&gt;Constants!$B$6,"",$AX435)</f>
        <v/>
      </c>
      <c r="BD435" s="87" t="str">
        <f aca="false">IF(ISBLANK($C435),"",IF($AL435,Constants!$B$9,IF(COUNTA($E435:$T435)=0,Constants!$B$8,IF(NOT($X435),Constants!$B$7,IF(OR($AM435,$AV435),Constants!$B$10,Constants!$B$6)))))</f>
        <v/>
      </c>
      <c r="BE435" s="87" t="str">
        <f aca="false">IF(ISBLANK($C435),"",IF($BD435&lt;&gt;Constants!$B$6,$BD435,Constants!$B$11))</f>
        <v/>
      </c>
      <c r="BF435" s="91" t="str">
        <f aca="false">IF($BD435&lt;&gt;Constants!$B$6,"",IF($AU435="-&gt;",$BA435,$AR435))</f>
        <v/>
      </c>
      <c r="BG435" s="91" t="str">
        <f aca="false">IF($BD435&lt;&gt;Constants!$B$6,"",IF($W435,0,Constants!$B$15))</f>
        <v/>
      </c>
      <c r="BH435" s="91" t="str">
        <f aca="false">IF(ISBLANK($C435),"",IF($BD435&lt;&gt;Constants!$B$6,$BD435,SUM($BF435:$BG435)))</f>
        <v/>
      </c>
      <c r="BI435" s="87" t="str">
        <f aca="false">IF(ISBLANK($C435),"",IF($BD435&lt;&gt;Constants!$B$6,$BD435,RANK($BH435,$BH$9:$BH$508,1)))</f>
        <v/>
      </c>
      <c r="BJ435" s="91" t="str">
        <f aca="false">IF($BD435&lt;&gt;Constants!$B$6,"",IF($AU435="-&gt;",$BB435,$AS435))</f>
        <v/>
      </c>
      <c r="BK435" s="87" t="str">
        <f aca="false">IF(ISBLANK($C435),"",IF($BD435&lt;&gt;Constants!$B$6,$BD435,IF(ISNUMBER($BJ435),RANK($BJ435,$BJ$9:$BJ$508,1),COUNT($BJ$9:$BJ$508)+1)))</f>
        <v/>
      </c>
      <c r="BL435" s="91" t="str">
        <f aca="false">IF($BD435&lt;&gt;Constants!$B$6,"",IF($AU435="-&gt;",$BC435,$AT435))</f>
        <v/>
      </c>
      <c r="BM435" s="87" t="str">
        <f aca="false">IF(ISBLANK($C435),"",IF($BD435&lt;&gt;Constants!$B$6,$BD435,IF(ISNUMBER($BL435),RANK($BL435,$BL$9:$BL$508,1),COUNT($BL$9:$BL$508)+1)))</f>
        <v/>
      </c>
      <c r="BN435" s="91" t="str">
        <f aca="false">IF($BD435&lt;&gt;Constants!$B$6,"",IF($AU435="-&gt;",$AS435,$BB435))</f>
        <v/>
      </c>
      <c r="BO435" s="87" t="str">
        <f aca="false">IF(ISBLANK($C435),"",IF($BD435&lt;&gt;Constants!$B$6,$BD435,IF(ISNUMBER($BN435),RANK($BN435,$BN$9:$BN$508,1),COUNT($BN$9:$BN$508)+1)))</f>
        <v/>
      </c>
      <c r="BP435" s="91" t="str">
        <f aca="false">IF($BD435&lt;&gt;Constants!$B$6,"",IF($AU435="-&gt;",$AT435,$BC435))</f>
        <v/>
      </c>
      <c r="BQ435" s="87" t="str">
        <f aca="false">IF(ISBLANK($C435),"",IF($BD435&lt;&gt;Constants!$B$6,$BD435,IF(ISNUMBER($BP435),RANK($BP435,$BP$9:$BP$508,1),COUNT($BP$9:$BP$508)+1)))</f>
        <v/>
      </c>
      <c r="BR435" s="87" t="str">
        <f aca="false">IF(ISBLANK($C435),"",IF($BD435&lt;&gt;Constants!$B$6,$BD435,COUNTIFS($BI$9:$BI$508,"&lt;"&amp;$BI435)+COUNTIFS($BI$9:$BI$508,$BI435,$BK$9:$BK$508,"&lt;"&amp;$BK435)+COUNTIFS($BI$9:$BI$508,$BI435,$BK$9:$BK$508,$BK435,$BM$9:$BM$508,"&lt;"&amp;$BM435)+COUNTIFS($BI$9:$BI$508,$BI435,$BK$9:$BK$508,$BK435,$BM$9:$BM$508,$BM435,$BO$9:$BO$508,"&lt;"&amp;$BO435)+COUNTIFS($BI$9:$BI$508,$BI435,$BK$9:$BK$508,$BK435,$BM$9:$BM$508,$BM435,$BO$9:$BO$508,$BO435,$BQ$9:$BQ$508,"&lt;"&amp;$BQ435)+1))</f>
        <v/>
      </c>
      <c r="BS435" s="87" t="str">
        <f aca="false">IF(ISBLANK($C435),"",IF($BD435&lt;&gt;Constants!$B$6,$BD435,$BI435-$BR435))</f>
        <v/>
      </c>
      <c r="BT435" s="94"/>
      <c r="BU435" s="95"/>
      <c r="BV435" s="95" t="str">
        <f aca="false">IF(ISBLANK($C435),"",IF($BD435&lt;&gt;Constants!$B$6,"",IF($AU435="-&gt;",2,1)))</f>
        <v/>
      </c>
      <c r="BW435" s="96" t="str">
        <f aca="false">IF(ISBLANK($C435),"",IF($BD435&lt;&gt;Constants!$B$6,"",IF($AU435="-&gt;",$AW435,$AN435)))</f>
        <v/>
      </c>
      <c r="BX435" s="96" t="str">
        <f aca="false">IF(ISBLANK($C435),"",IF($BD435&lt;&gt;Constants!$B$6,"",IF($AU435="-&gt;",$AX435,$AO435)))</f>
        <v/>
      </c>
      <c r="BY435" s="96" t="str">
        <f aca="false">IF(ISBLANK($C435),"",IF($BD435&lt;&gt;Constants!$B$6,"",IF($AU435="-&gt;",$AY435,$AP435)))</f>
        <v/>
      </c>
      <c r="BZ435" s="96" t="str">
        <f aca="false">IF(ISBLANK($C435),"",IF($BD435&lt;&gt;Constants!$B$6,"",IF($AU435="-&gt;",$AZ435,$AQ435)+$BG435))</f>
        <v/>
      </c>
      <c r="CA435" s="97" t="str">
        <f aca="false">IF(ISBLANK($C435),"",IF($BD435&lt;&gt;Constants!$B$6,$BD435,$BH435))</f>
        <v/>
      </c>
      <c r="CB435" s="98" t="str">
        <f aca="false">IF(ISBLANK($C435),"",$BE435)</f>
        <v/>
      </c>
      <c r="CC435" s="99" t="str">
        <f aca="false">IF(ISBLANK($C435),"",$BS435)</f>
        <v/>
      </c>
      <c r="CD435" s="99" t="str">
        <f aca="false">IF(ISBLANK($C435),"",$BR435)</f>
        <v/>
      </c>
      <c r="CE435" s="100" t="str">
        <f aca="false">IF(ISBLANK($C435),"",IF($CD435=Constants!$B$9,COUNTA($C$9:$C$508)+2,IF($CD435=Constants!$B$8,COUNTA($C$9:$C$508)+1,IF($CD435=Constants!$B$7,COUNTA($C$9:$C$508),$CD435))))</f>
        <v/>
      </c>
      <c r="CF435" s="9"/>
      <c r="CG435" s="101" t="n">
        <f aca="false">IF(OR(ISNUMBER($CD435),$CD435=Constants!$B$9,$CD435=Constants!$B$7,$CD435=Constants!$B$8),1,0)</f>
        <v>0</v>
      </c>
      <c r="CH435" s="101" t="n">
        <v>427</v>
      </c>
      <c r="CI435" s="101" t="str">
        <f aca="false">IF(ISBLANK($C435),"",IF(ISNUMBER($CE435),$CE435+ROW($B435)/1000,""))</f>
        <v/>
      </c>
      <c r="CJ435" s="101" t="str">
        <f aca="false">IF(ISNUMBER($CI435),RANK($CI435,$CI$9:$CI$508,1),"")</f>
        <v/>
      </c>
      <c r="CK435" s="101" t="str">
        <f aca="false">IF(ISBLANK($C435),"",$B435)</f>
        <v/>
      </c>
      <c r="CL435" s="101" t="str">
        <f aca="false">IF(ISBLANK($C435),"",$C435)</f>
        <v/>
      </c>
      <c r="CM435" s="101" t="str">
        <f aca="false">IF(ISBLANK($C435),"",$D435)</f>
        <v/>
      </c>
      <c r="CN435" s="102" t="str">
        <f aca="false">$CB435</f>
        <v/>
      </c>
      <c r="CO435" s="103" t="str">
        <f aca="false">$CA435</f>
        <v/>
      </c>
      <c r="CP435" s="101" t="str">
        <f aca="false">IF(ISBLANK($C435),"",$CD435)</f>
        <v/>
      </c>
      <c r="CQ435" s="104" t="str">
        <f aca="false">IF($CH435&gt;$CG$8,"",VLOOKUP($CH435,$CJ$9:$CP$508,7,FALSE()))</f>
        <v/>
      </c>
      <c r="CR435" s="105" t="str">
        <f aca="false">IF($CH435&gt;$CG$8,"",VLOOKUP($CH435,$CJ$9:$CP$508,2,FALSE()))</f>
        <v/>
      </c>
      <c r="CS435" s="105" t="str">
        <f aca="false">IF($CH435&gt;$CG$8,"",VLOOKUP($CH435,$CJ$9:$CP$508,3,FALSE()))</f>
        <v/>
      </c>
      <c r="CT435" s="105" t="str">
        <f aca="false">IF($CH435&gt;$CG$8,"",VLOOKUP($CH435,$CJ$9:$CP$508,4,FALSE()))</f>
        <v/>
      </c>
      <c r="CU435" s="105" t="str">
        <f aca="false">IF($CH435&gt;$CG$8,"",VLOOKUP($CH435,$CJ$9:$CP$508,5,FALSE()))</f>
        <v/>
      </c>
      <c r="CV435" s="106" t="str">
        <f aca="false">IF($CH435&gt;$CG$8,"",VLOOKUP($CH435,$CJ$9:$CP$508,6,FALSE()))</f>
        <v/>
      </c>
      <c r="CW435" s="71"/>
    </row>
    <row r="436" customFormat="false" ht="15.75" hidden="false" customHeight="false" outlineLevel="0" collapsed="false">
      <c r="A436" s="9"/>
      <c r="B436" s="72"/>
      <c r="C436" s="73"/>
      <c r="D436" s="160"/>
      <c r="E436" s="168"/>
      <c r="F436" s="162"/>
      <c r="G436" s="163"/>
      <c r="H436" s="169"/>
      <c r="I436" s="167"/>
      <c r="J436" s="80"/>
      <c r="K436" s="81"/>
      <c r="L436" s="82"/>
      <c r="M436" s="166"/>
      <c r="N436" s="167"/>
      <c r="O436" s="167"/>
      <c r="P436" s="80"/>
      <c r="Q436" s="82"/>
      <c r="R436" s="82"/>
      <c r="S436" s="166"/>
      <c r="T436" s="167"/>
      <c r="U436" s="86"/>
      <c r="V436" s="87"/>
      <c r="W436" s="87" t="str">
        <f aca="false">IF(ISBLANK($C436),"",IF(E436=Constants!$B$2,TRUE(),IF(E436=Constants!$B$3,FALSE(),TRUE())))</f>
        <v/>
      </c>
      <c r="X436" s="87" t="str">
        <f aca="false">IF(ISBLANK($C436),"",IF(F436=Constants!$B$2,TRUE(),IF(F436=Constants!$B$3,FALSE(),TRUE())))</f>
        <v/>
      </c>
      <c r="Y436" s="87" t="str">
        <f aca="false">IF(ISBLANK($C436),"",IF(G436=Constants!$B$2,TRUE(),IF(G436=Constants!$B$3,FALSE(),TRUE())))</f>
        <v/>
      </c>
      <c r="Z436" s="87" t="str">
        <f aca="false">IF(ISBLANK($C436),"",IF(H436=Constants!$B$2,TRUE(),IF(H436=Constants!$B$3,FALSE(),TRUE())))</f>
        <v/>
      </c>
      <c r="AA436" s="87" t="str">
        <f aca="false">IF(ISBLANK($C436),"",IF(I436=Constants!$B$2,TRUE(),IF(I436=Constants!$B$3,FALSE(),TRUE())))</f>
        <v/>
      </c>
      <c r="AB436" s="87" t="str">
        <f aca="false">IF(ISBLANK($C436),"",IF(J436=Constants!$B$4,TRUE(),IF(J436=Constants!$B$5,FALSE(),COUNTA(K436:M436)&gt;0)))</f>
        <v/>
      </c>
      <c r="AC436" s="88" t="str">
        <f aca="false">IF(ISBLANK($C436),"",IF(ISNUMBER(K436),IF(K436&gt;=0,K436,""),""))</f>
        <v/>
      </c>
      <c r="AD436" s="89" t="str">
        <f aca="false">IF(ISBLANK($C436),"",IF(ISNUMBER(L436),IF(L436&gt;=0,L436,""),""))</f>
        <v/>
      </c>
      <c r="AE436" s="87" t="str">
        <f aca="false">IF(ISBLANK($C436),"",IF(ISNUMBER(M436),IF(M436&gt;=0,MIN(M436,Constants!$B$22),""),""))</f>
        <v/>
      </c>
      <c r="AF436" s="87" t="str">
        <f aca="false">IF(ISBLANK($C436),"",IF(N436=Constants!$B$2,TRUE(),IF(N436=Constants!$B$3,FALSE(),TRUE())))</f>
        <v/>
      </c>
      <c r="AG436" s="87" t="str">
        <f aca="false">IF(ISBLANK($C436),"",IF(O436=Constants!$B$2,TRUE(),IF(O436=Constants!$B$3,FALSE(),TRUE())))</f>
        <v/>
      </c>
      <c r="AH436" s="87" t="str">
        <f aca="false">IF(ISBLANK($C436),"",IF(P436=Constants!$B$4,TRUE(),IF(P436=Constants!$B$5,FALSE(),COUNTA(Q436:S436)&gt;0)))</f>
        <v/>
      </c>
      <c r="AI436" s="88" t="str">
        <f aca="false">IF(ISBLANK($C436),"",IF(ISNUMBER(Q436),IF(Q436&gt;=0,Q436,""),""))</f>
        <v/>
      </c>
      <c r="AJ436" s="89" t="str">
        <f aca="false">IF(ISBLANK($C436),"",IF(ISNUMBER(R436),IF(R436&gt;=0,R436,""),""))</f>
        <v/>
      </c>
      <c r="AK436" s="87" t="str">
        <f aca="false">IF(ISBLANK($C436),"",IF(ISNUMBER(S436),IF(S436&gt;=0,MIN(S436,Constants!$B$22),""),""))</f>
        <v/>
      </c>
      <c r="AL436" s="87" t="str">
        <f aca="false">IF(ISBLANK($C436),"",IF(T436=Constants!$B$2,TRUE(),IF(T436=Constants!$B$3,FALSE(),FALSE())))</f>
        <v/>
      </c>
      <c r="AM436" s="86" t="str">
        <f aca="false">IF(ISBLANK($C436),"",AND($AB436,OR($AC436="",$AD436="",AND(NOT(ISBLANK($M436)),$AE436=""))))</f>
        <v/>
      </c>
      <c r="AN436" s="89" t="str">
        <f aca="false">IF($BD436&lt;&gt;Constants!$B$6,"",IF($AB436,Constants!$B$17*$AD436,Constants!$B$18))</f>
        <v/>
      </c>
      <c r="AO436" s="91" t="str">
        <f aca="false">IF($BD436&lt;&gt;Constants!$B$6,"",Constants!$B$19*IF($AB436,$AC436,0))</f>
        <v/>
      </c>
      <c r="AP436" s="91" t="str">
        <f aca="false">IF($BD436&lt;&gt;Constants!$B$6,"",IF(AND($AB436,ISNUMBER($AE436)),Constants!$B$20*(Constants!$B$21-$AE436),0))</f>
        <v/>
      </c>
      <c r="AQ436" s="91" t="str">
        <f aca="false">IF($BD436&lt;&gt;Constants!$B$6,"",IF($AA436,0,Constants!$B$12)+IF($Z436,0,Constants!$B$13)+IF($Y436,0,Constants!$B$14))</f>
        <v/>
      </c>
      <c r="AR436" s="92" t="str">
        <f aca="false">IF($BD436&lt;&gt;Constants!$B$6,"",Constants!$B$16+SUM($AN436:$AQ436))</f>
        <v/>
      </c>
      <c r="AS436" s="91" t="str">
        <f aca="false">IF($BD436&lt;&gt;Constants!$B$6,"",IF($AB436,$AD436,""))</f>
        <v/>
      </c>
      <c r="AT436" s="93" t="str">
        <f aca="false">IF($BD436&lt;&gt;Constants!$B$6,"",$AO436)</f>
        <v/>
      </c>
      <c r="AU436" s="87" t="str">
        <f aca="false">IF($BD436&lt;&gt;Constants!$B$6,"",IF(OR($BA436&lt;$AR436,AND($BA436=$AR436,OR(AND(ISNUMBER($BB436),OR(NOT(ISNUMBER($AS436)),$BB436&lt;$AS436)),AND(OR(AND($BB436="",$AS436=""),AND(ISNUMBER($BB436),ISNUMBER($AS436),$BB436=$AS436)),$BC436&lt;$AT436)))),"-&gt;","&lt;-"))</f>
        <v/>
      </c>
      <c r="AV436" s="86" t="str">
        <f aca="false">IF(ISBLANK($C436),"",AND($AH436,OR($AI436="",$AJ436="",AND(NOT(ISBLANK($S436)),$AK436=""))))</f>
        <v/>
      </c>
      <c r="AW436" s="89" t="str">
        <f aca="false">IF($BD436&lt;&gt;Constants!$B$6,"",IF($AH436,Constants!$B$17*$AJ436,Constants!$B$18))</f>
        <v/>
      </c>
      <c r="AX436" s="91" t="str">
        <f aca="false">IF($BD436&lt;&gt;Constants!$B$6,"",Constants!$B$19*IF($AH436,$AI436,0))</f>
        <v/>
      </c>
      <c r="AY436" s="91" t="str">
        <f aca="false">IF($BD436&lt;&gt;Constants!$B$6,"",IF(AND($AH436,ISNUMBER($AK436)),Constants!$B$20*(Constants!$B$21-$AK436),0))</f>
        <v/>
      </c>
      <c r="AZ436" s="91" t="str">
        <f aca="false">IF($BD436&lt;&gt;Constants!$B$6,"",IF($AG436,0,Constants!$B$12)+IF($AF436,0,Constants!$B$13)+IF($Y436,0,Constants!$B$14))</f>
        <v/>
      </c>
      <c r="BA436" s="92" t="str">
        <f aca="false">IF($BD436&lt;&gt;Constants!$B$6,"",Constants!$B$16+SUM($AW436:$AZ436))</f>
        <v/>
      </c>
      <c r="BB436" s="91" t="str">
        <f aca="false">IF($BD436&lt;&gt;Constants!$B$6,"",IF($AH436,$AJ436,""))</f>
        <v/>
      </c>
      <c r="BC436" s="93" t="str">
        <f aca="false">IF($BD436&lt;&gt;Constants!$B$6,"",$AX436)</f>
        <v/>
      </c>
      <c r="BD436" s="87" t="str">
        <f aca="false">IF(ISBLANK($C436),"",IF($AL436,Constants!$B$9,IF(COUNTA($E436:$T436)=0,Constants!$B$8,IF(NOT($X436),Constants!$B$7,IF(OR($AM436,$AV436),Constants!$B$10,Constants!$B$6)))))</f>
        <v/>
      </c>
      <c r="BE436" s="87" t="str">
        <f aca="false">IF(ISBLANK($C436),"",IF($BD436&lt;&gt;Constants!$B$6,$BD436,Constants!$B$11))</f>
        <v/>
      </c>
      <c r="BF436" s="91" t="str">
        <f aca="false">IF($BD436&lt;&gt;Constants!$B$6,"",IF($AU436="-&gt;",$BA436,$AR436))</f>
        <v/>
      </c>
      <c r="BG436" s="91" t="str">
        <f aca="false">IF($BD436&lt;&gt;Constants!$B$6,"",IF($W436,0,Constants!$B$15))</f>
        <v/>
      </c>
      <c r="BH436" s="91" t="str">
        <f aca="false">IF(ISBLANK($C436),"",IF($BD436&lt;&gt;Constants!$B$6,$BD436,SUM($BF436:$BG436)))</f>
        <v/>
      </c>
      <c r="BI436" s="87" t="str">
        <f aca="false">IF(ISBLANK($C436),"",IF($BD436&lt;&gt;Constants!$B$6,$BD436,RANK($BH436,$BH$9:$BH$508,1)))</f>
        <v/>
      </c>
      <c r="BJ436" s="91" t="str">
        <f aca="false">IF($BD436&lt;&gt;Constants!$B$6,"",IF($AU436="-&gt;",$BB436,$AS436))</f>
        <v/>
      </c>
      <c r="BK436" s="87" t="str">
        <f aca="false">IF(ISBLANK($C436),"",IF($BD436&lt;&gt;Constants!$B$6,$BD436,IF(ISNUMBER($BJ436),RANK($BJ436,$BJ$9:$BJ$508,1),COUNT($BJ$9:$BJ$508)+1)))</f>
        <v/>
      </c>
      <c r="BL436" s="91" t="str">
        <f aca="false">IF($BD436&lt;&gt;Constants!$B$6,"",IF($AU436="-&gt;",$BC436,$AT436))</f>
        <v/>
      </c>
      <c r="BM436" s="87" t="str">
        <f aca="false">IF(ISBLANK($C436),"",IF($BD436&lt;&gt;Constants!$B$6,$BD436,IF(ISNUMBER($BL436),RANK($BL436,$BL$9:$BL$508,1),COUNT($BL$9:$BL$508)+1)))</f>
        <v/>
      </c>
      <c r="BN436" s="91" t="str">
        <f aca="false">IF($BD436&lt;&gt;Constants!$B$6,"",IF($AU436="-&gt;",$AS436,$BB436))</f>
        <v/>
      </c>
      <c r="BO436" s="87" t="str">
        <f aca="false">IF(ISBLANK($C436),"",IF($BD436&lt;&gt;Constants!$B$6,$BD436,IF(ISNUMBER($BN436),RANK($BN436,$BN$9:$BN$508,1),COUNT($BN$9:$BN$508)+1)))</f>
        <v/>
      </c>
      <c r="BP436" s="91" t="str">
        <f aca="false">IF($BD436&lt;&gt;Constants!$B$6,"",IF($AU436="-&gt;",$AT436,$BC436))</f>
        <v/>
      </c>
      <c r="BQ436" s="87" t="str">
        <f aca="false">IF(ISBLANK($C436),"",IF($BD436&lt;&gt;Constants!$B$6,$BD436,IF(ISNUMBER($BP436),RANK($BP436,$BP$9:$BP$508,1),COUNT($BP$9:$BP$508)+1)))</f>
        <v/>
      </c>
      <c r="BR436" s="87" t="str">
        <f aca="false">IF(ISBLANK($C436),"",IF($BD436&lt;&gt;Constants!$B$6,$BD436,COUNTIFS($BI$9:$BI$508,"&lt;"&amp;$BI436)+COUNTIFS($BI$9:$BI$508,$BI436,$BK$9:$BK$508,"&lt;"&amp;$BK436)+COUNTIFS($BI$9:$BI$508,$BI436,$BK$9:$BK$508,$BK436,$BM$9:$BM$508,"&lt;"&amp;$BM436)+COUNTIFS($BI$9:$BI$508,$BI436,$BK$9:$BK$508,$BK436,$BM$9:$BM$508,$BM436,$BO$9:$BO$508,"&lt;"&amp;$BO436)+COUNTIFS($BI$9:$BI$508,$BI436,$BK$9:$BK$508,$BK436,$BM$9:$BM$508,$BM436,$BO$9:$BO$508,$BO436,$BQ$9:$BQ$508,"&lt;"&amp;$BQ436)+1))</f>
        <v/>
      </c>
      <c r="BS436" s="87" t="str">
        <f aca="false">IF(ISBLANK($C436),"",IF($BD436&lt;&gt;Constants!$B$6,$BD436,$BI436-$BR436))</f>
        <v/>
      </c>
      <c r="BT436" s="94"/>
      <c r="BU436" s="95"/>
      <c r="BV436" s="95" t="str">
        <f aca="false">IF(ISBLANK($C436),"",IF($BD436&lt;&gt;Constants!$B$6,"",IF($AU436="-&gt;",2,1)))</f>
        <v/>
      </c>
      <c r="BW436" s="96" t="str">
        <f aca="false">IF(ISBLANK($C436),"",IF($BD436&lt;&gt;Constants!$B$6,"",IF($AU436="-&gt;",$AW436,$AN436)))</f>
        <v/>
      </c>
      <c r="BX436" s="96" t="str">
        <f aca="false">IF(ISBLANK($C436),"",IF($BD436&lt;&gt;Constants!$B$6,"",IF($AU436="-&gt;",$AX436,$AO436)))</f>
        <v/>
      </c>
      <c r="BY436" s="96" t="str">
        <f aca="false">IF(ISBLANK($C436),"",IF($BD436&lt;&gt;Constants!$B$6,"",IF($AU436="-&gt;",$AY436,$AP436)))</f>
        <v/>
      </c>
      <c r="BZ436" s="96" t="str">
        <f aca="false">IF(ISBLANK($C436),"",IF($BD436&lt;&gt;Constants!$B$6,"",IF($AU436="-&gt;",$AZ436,$AQ436)+$BG436))</f>
        <v/>
      </c>
      <c r="CA436" s="97" t="str">
        <f aca="false">IF(ISBLANK($C436),"",IF($BD436&lt;&gt;Constants!$B$6,$BD436,$BH436))</f>
        <v/>
      </c>
      <c r="CB436" s="98" t="str">
        <f aca="false">IF(ISBLANK($C436),"",$BE436)</f>
        <v/>
      </c>
      <c r="CC436" s="99" t="str">
        <f aca="false">IF(ISBLANK($C436),"",$BS436)</f>
        <v/>
      </c>
      <c r="CD436" s="99" t="str">
        <f aca="false">IF(ISBLANK($C436),"",$BR436)</f>
        <v/>
      </c>
      <c r="CE436" s="100" t="str">
        <f aca="false">IF(ISBLANK($C436),"",IF($CD436=Constants!$B$9,COUNTA($C$9:$C$508)+2,IF($CD436=Constants!$B$8,COUNTA($C$9:$C$508)+1,IF($CD436=Constants!$B$7,COUNTA($C$9:$C$508),$CD436))))</f>
        <v/>
      </c>
      <c r="CF436" s="9"/>
      <c r="CG436" s="101" t="n">
        <f aca="false">IF(OR(ISNUMBER($CD436),$CD436=Constants!$B$9,$CD436=Constants!$B$7,$CD436=Constants!$B$8),1,0)</f>
        <v>0</v>
      </c>
      <c r="CH436" s="101" t="n">
        <v>428</v>
      </c>
      <c r="CI436" s="101" t="str">
        <f aca="false">IF(ISBLANK($C436),"",IF(ISNUMBER($CE436),$CE436+ROW($B436)/1000,""))</f>
        <v/>
      </c>
      <c r="CJ436" s="101" t="str">
        <f aca="false">IF(ISNUMBER($CI436),RANK($CI436,$CI$9:$CI$508,1),"")</f>
        <v/>
      </c>
      <c r="CK436" s="101" t="str">
        <f aca="false">IF(ISBLANK($C436),"",$B436)</f>
        <v/>
      </c>
      <c r="CL436" s="101" t="str">
        <f aca="false">IF(ISBLANK($C436),"",$C436)</f>
        <v/>
      </c>
      <c r="CM436" s="101" t="str">
        <f aca="false">IF(ISBLANK($C436),"",$D436)</f>
        <v/>
      </c>
      <c r="CN436" s="102" t="str">
        <f aca="false">$CB436</f>
        <v/>
      </c>
      <c r="CO436" s="103" t="str">
        <f aca="false">$CA436</f>
        <v/>
      </c>
      <c r="CP436" s="101" t="str">
        <f aca="false">IF(ISBLANK($C436),"",$CD436)</f>
        <v/>
      </c>
      <c r="CQ436" s="104" t="str">
        <f aca="false">IF($CH436&gt;$CG$8,"",VLOOKUP($CH436,$CJ$9:$CP$508,7,FALSE()))</f>
        <v/>
      </c>
      <c r="CR436" s="105" t="str">
        <f aca="false">IF($CH436&gt;$CG$8,"",VLOOKUP($CH436,$CJ$9:$CP$508,2,FALSE()))</f>
        <v/>
      </c>
      <c r="CS436" s="105" t="str">
        <f aca="false">IF($CH436&gt;$CG$8,"",VLOOKUP($CH436,$CJ$9:$CP$508,3,FALSE()))</f>
        <v/>
      </c>
      <c r="CT436" s="105" t="str">
        <f aca="false">IF($CH436&gt;$CG$8,"",VLOOKUP($CH436,$CJ$9:$CP$508,4,FALSE()))</f>
        <v/>
      </c>
      <c r="CU436" s="105" t="str">
        <f aca="false">IF($CH436&gt;$CG$8,"",VLOOKUP($CH436,$CJ$9:$CP$508,5,FALSE()))</f>
        <v/>
      </c>
      <c r="CV436" s="106" t="str">
        <f aca="false">IF($CH436&gt;$CG$8,"",VLOOKUP($CH436,$CJ$9:$CP$508,6,FALSE()))</f>
        <v/>
      </c>
      <c r="CW436" s="71"/>
    </row>
    <row r="437" customFormat="false" ht="15.75" hidden="false" customHeight="false" outlineLevel="0" collapsed="false">
      <c r="A437" s="9"/>
      <c r="B437" s="72"/>
      <c r="C437" s="73"/>
      <c r="D437" s="160"/>
      <c r="E437" s="168"/>
      <c r="F437" s="162"/>
      <c r="G437" s="163"/>
      <c r="H437" s="169"/>
      <c r="I437" s="167"/>
      <c r="J437" s="80"/>
      <c r="K437" s="81"/>
      <c r="L437" s="82"/>
      <c r="M437" s="166"/>
      <c r="N437" s="167"/>
      <c r="O437" s="167"/>
      <c r="P437" s="80"/>
      <c r="Q437" s="82"/>
      <c r="R437" s="82"/>
      <c r="S437" s="166"/>
      <c r="T437" s="167"/>
      <c r="U437" s="86"/>
      <c r="V437" s="87"/>
      <c r="W437" s="87" t="str">
        <f aca="false">IF(ISBLANK($C437),"",IF(E437=Constants!$B$2,TRUE(),IF(E437=Constants!$B$3,FALSE(),TRUE())))</f>
        <v/>
      </c>
      <c r="X437" s="87" t="str">
        <f aca="false">IF(ISBLANK($C437),"",IF(F437=Constants!$B$2,TRUE(),IF(F437=Constants!$B$3,FALSE(),TRUE())))</f>
        <v/>
      </c>
      <c r="Y437" s="87" t="str">
        <f aca="false">IF(ISBLANK($C437),"",IF(G437=Constants!$B$2,TRUE(),IF(G437=Constants!$B$3,FALSE(),TRUE())))</f>
        <v/>
      </c>
      <c r="Z437" s="87" t="str">
        <f aca="false">IF(ISBLANK($C437),"",IF(H437=Constants!$B$2,TRUE(),IF(H437=Constants!$B$3,FALSE(),TRUE())))</f>
        <v/>
      </c>
      <c r="AA437" s="87" t="str">
        <f aca="false">IF(ISBLANK($C437),"",IF(I437=Constants!$B$2,TRUE(),IF(I437=Constants!$B$3,FALSE(),TRUE())))</f>
        <v/>
      </c>
      <c r="AB437" s="87" t="str">
        <f aca="false">IF(ISBLANK($C437),"",IF(J437=Constants!$B$4,TRUE(),IF(J437=Constants!$B$5,FALSE(),COUNTA(K437:M437)&gt;0)))</f>
        <v/>
      </c>
      <c r="AC437" s="88" t="str">
        <f aca="false">IF(ISBLANK($C437),"",IF(ISNUMBER(K437),IF(K437&gt;=0,K437,""),""))</f>
        <v/>
      </c>
      <c r="AD437" s="89" t="str">
        <f aca="false">IF(ISBLANK($C437),"",IF(ISNUMBER(L437),IF(L437&gt;=0,L437,""),""))</f>
        <v/>
      </c>
      <c r="AE437" s="87" t="str">
        <f aca="false">IF(ISBLANK($C437),"",IF(ISNUMBER(M437),IF(M437&gt;=0,MIN(M437,Constants!$B$22),""),""))</f>
        <v/>
      </c>
      <c r="AF437" s="87" t="str">
        <f aca="false">IF(ISBLANK($C437),"",IF(N437=Constants!$B$2,TRUE(),IF(N437=Constants!$B$3,FALSE(),TRUE())))</f>
        <v/>
      </c>
      <c r="AG437" s="87" t="str">
        <f aca="false">IF(ISBLANK($C437),"",IF(O437=Constants!$B$2,TRUE(),IF(O437=Constants!$B$3,FALSE(),TRUE())))</f>
        <v/>
      </c>
      <c r="AH437" s="87" t="str">
        <f aca="false">IF(ISBLANK($C437),"",IF(P437=Constants!$B$4,TRUE(),IF(P437=Constants!$B$5,FALSE(),COUNTA(Q437:S437)&gt;0)))</f>
        <v/>
      </c>
      <c r="AI437" s="88" t="str">
        <f aca="false">IF(ISBLANK($C437),"",IF(ISNUMBER(Q437),IF(Q437&gt;=0,Q437,""),""))</f>
        <v/>
      </c>
      <c r="AJ437" s="89" t="str">
        <f aca="false">IF(ISBLANK($C437),"",IF(ISNUMBER(R437),IF(R437&gt;=0,R437,""),""))</f>
        <v/>
      </c>
      <c r="AK437" s="87" t="str">
        <f aca="false">IF(ISBLANK($C437),"",IF(ISNUMBER(S437),IF(S437&gt;=0,MIN(S437,Constants!$B$22),""),""))</f>
        <v/>
      </c>
      <c r="AL437" s="87" t="str">
        <f aca="false">IF(ISBLANK($C437),"",IF(T437=Constants!$B$2,TRUE(),IF(T437=Constants!$B$3,FALSE(),FALSE())))</f>
        <v/>
      </c>
      <c r="AM437" s="86" t="str">
        <f aca="false">IF(ISBLANK($C437),"",AND($AB437,OR($AC437="",$AD437="",AND(NOT(ISBLANK($M437)),$AE437=""))))</f>
        <v/>
      </c>
      <c r="AN437" s="89" t="str">
        <f aca="false">IF($BD437&lt;&gt;Constants!$B$6,"",IF($AB437,Constants!$B$17*$AD437,Constants!$B$18))</f>
        <v/>
      </c>
      <c r="AO437" s="91" t="str">
        <f aca="false">IF($BD437&lt;&gt;Constants!$B$6,"",Constants!$B$19*IF($AB437,$AC437,0))</f>
        <v/>
      </c>
      <c r="AP437" s="91" t="str">
        <f aca="false">IF($BD437&lt;&gt;Constants!$B$6,"",IF(AND($AB437,ISNUMBER($AE437)),Constants!$B$20*(Constants!$B$21-$AE437),0))</f>
        <v/>
      </c>
      <c r="AQ437" s="91" t="str">
        <f aca="false">IF($BD437&lt;&gt;Constants!$B$6,"",IF($AA437,0,Constants!$B$12)+IF($Z437,0,Constants!$B$13)+IF($Y437,0,Constants!$B$14))</f>
        <v/>
      </c>
      <c r="AR437" s="92" t="str">
        <f aca="false">IF($BD437&lt;&gt;Constants!$B$6,"",Constants!$B$16+SUM($AN437:$AQ437))</f>
        <v/>
      </c>
      <c r="AS437" s="91" t="str">
        <f aca="false">IF($BD437&lt;&gt;Constants!$B$6,"",IF($AB437,$AD437,""))</f>
        <v/>
      </c>
      <c r="AT437" s="93" t="str">
        <f aca="false">IF($BD437&lt;&gt;Constants!$B$6,"",$AO437)</f>
        <v/>
      </c>
      <c r="AU437" s="87" t="str">
        <f aca="false">IF($BD437&lt;&gt;Constants!$B$6,"",IF(OR($BA437&lt;$AR437,AND($BA437=$AR437,OR(AND(ISNUMBER($BB437),OR(NOT(ISNUMBER($AS437)),$BB437&lt;$AS437)),AND(OR(AND($BB437="",$AS437=""),AND(ISNUMBER($BB437),ISNUMBER($AS437),$BB437=$AS437)),$BC437&lt;$AT437)))),"-&gt;","&lt;-"))</f>
        <v/>
      </c>
      <c r="AV437" s="86" t="str">
        <f aca="false">IF(ISBLANK($C437),"",AND($AH437,OR($AI437="",$AJ437="",AND(NOT(ISBLANK($S437)),$AK437=""))))</f>
        <v/>
      </c>
      <c r="AW437" s="89" t="str">
        <f aca="false">IF($BD437&lt;&gt;Constants!$B$6,"",IF($AH437,Constants!$B$17*$AJ437,Constants!$B$18))</f>
        <v/>
      </c>
      <c r="AX437" s="91" t="str">
        <f aca="false">IF($BD437&lt;&gt;Constants!$B$6,"",Constants!$B$19*IF($AH437,$AI437,0))</f>
        <v/>
      </c>
      <c r="AY437" s="91" t="str">
        <f aca="false">IF($BD437&lt;&gt;Constants!$B$6,"",IF(AND($AH437,ISNUMBER($AK437)),Constants!$B$20*(Constants!$B$21-$AK437),0))</f>
        <v/>
      </c>
      <c r="AZ437" s="91" t="str">
        <f aca="false">IF($BD437&lt;&gt;Constants!$B$6,"",IF($AG437,0,Constants!$B$12)+IF($AF437,0,Constants!$B$13)+IF($Y437,0,Constants!$B$14))</f>
        <v/>
      </c>
      <c r="BA437" s="92" t="str">
        <f aca="false">IF($BD437&lt;&gt;Constants!$B$6,"",Constants!$B$16+SUM($AW437:$AZ437))</f>
        <v/>
      </c>
      <c r="BB437" s="91" t="str">
        <f aca="false">IF($BD437&lt;&gt;Constants!$B$6,"",IF($AH437,$AJ437,""))</f>
        <v/>
      </c>
      <c r="BC437" s="93" t="str">
        <f aca="false">IF($BD437&lt;&gt;Constants!$B$6,"",$AX437)</f>
        <v/>
      </c>
      <c r="BD437" s="87" t="str">
        <f aca="false">IF(ISBLANK($C437),"",IF($AL437,Constants!$B$9,IF(COUNTA($E437:$T437)=0,Constants!$B$8,IF(NOT($X437),Constants!$B$7,IF(OR($AM437,$AV437),Constants!$B$10,Constants!$B$6)))))</f>
        <v/>
      </c>
      <c r="BE437" s="87" t="str">
        <f aca="false">IF(ISBLANK($C437),"",IF($BD437&lt;&gt;Constants!$B$6,$BD437,Constants!$B$11))</f>
        <v/>
      </c>
      <c r="BF437" s="91" t="str">
        <f aca="false">IF($BD437&lt;&gt;Constants!$B$6,"",IF($AU437="-&gt;",$BA437,$AR437))</f>
        <v/>
      </c>
      <c r="BG437" s="91" t="str">
        <f aca="false">IF($BD437&lt;&gt;Constants!$B$6,"",IF($W437,0,Constants!$B$15))</f>
        <v/>
      </c>
      <c r="BH437" s="91" t="str">
        <f aca="false">IF(ISBLANK($C437),"",IF($BD437&lt;&gt;Constants!$B$6,$BD437,SUM($BF437:$BG437)))</f>
        <v/>
      </c>
      <c r="BI437" s="87" t="str">
        <f aca="false">IF(ISBLANK($C437),"",IF($BD437&lt;&gt;Constants!$B$6,$BD437,RANK($BH437,$BH$9:$BH$508,1)))</f>
        <v/>
      </c>
      <c r="BJ437" s="91" t="str">
        <f aca="false">IF($BD437&lt;&gt;Constants!$B$6,"",IF($AU437="-&gt;",$BB437,$AS437))</f>
        <v/>
      </c>
      <c r="BK437" s="87" t="str">
        <f aca="false">IF(ISBLANK($C437),"",IF($BD437&lt;&gt;Constants!$B$6,$BD437,IF(ISNUMBER($BJ437),RANK($BJ437,$BJ$9:$BJ$508,1),COUNT($BJ$9:$BJ$508)+1)))</f>
        <v/>
      </c>
      <c r="BL437" s="91" t="str">
        <f aca="false">IF($BD437&lt;&gt;Constants!$B$6,"",IF($AU437="-&gt;",$BC437,$AT437))</f>
        <v/>
      </c>
      <c r="BM437" s="87" t="str">
        <f aca="false">IF(ISBLANK($C437),"",IF($BD437&lt;&gt;Constants!$B$6,$BD437,IF(ISNUMBER($BL437),RANK($BL437,$BL$9:$BL$508,1),COUNT($BL$9:$BL$508)+1)))</f>
        <v/>
      </c>
      <c r="BN437" s="91" t="str">
        <f aca="false">IF($BD437&lt;&gt;Constants!$B$6,"",IF($AU437="-&gt;",$AS437,$BB437))</f>
        <v/>
      </c>
      <c r="BO437" s="87" t="str">
        <f aca="false">IF(ISBLANK($C437),"",IF($BD437&lt;&gt;Constants!$B$6,$BD437,IF(ISNUMBER($BN437),RANK($BN437,$BN$9:$BN$508,1),COUNT($BN$9:$BN$508)+1)))</f>
        <v/>
      </c>
      <c r="BP437" s="91" t="str">
        <f aca="false">IF($BD437&lt;&gt;Constants!$B$6,"",IF($AU437="-&gt;",$AT437,$BC437))</f>
        <v/>
      </c>
      <c r="BQ437" s="87" t="str">
        <f aca="false">IF(ISBLANK($C437),"",IF($BD437&lt;&gt;Constants!$B$6,$BD437,IF(ISNUMBER($BP437),RANK($BP437,$BP$9:$BP$508,1),COUNT($BP$9:$BP$508)+1)))</f>
        <v/>
      </c>
      <c r="BR437" s="87" t="str">
        <f aca="false">IF(ISBLANK($C437),"",IF($BD437&lt;&gt;Constants!$B$6,$BD437,COUNTIFS($BI$9:$BI$508,"&lt;"&amp;$BI437)+COUNTIFS($BI$9:$BI$508,$BI437,$BK$9:$BK$508,"&lt;"&amp;$BK437)+COUNTIFS($BI$9:$BI$508,$BI437,$BK$9:$BK$508,$BK437,$BM$9:$BM$508,"&lt;"&amp;$BM437)+COUNTIFS($BI$9:$BI$508,$BI437,$BK$9:$BK$508,$BK437,$BM$9:$BM$508,$BM437,$BO$9:$BO$508,"&lt;"&amp;$BO437)+COUNTIFS($BI$9:$BI$508,$BI437,$BK$9:$BK$508,$BK437,$BM$9:$BM$508,$BM437,$BO$9:$BO$508,$BO437,$BQ$9:$BQ$508,"&lt;"&amp;$BQ437)+1))</f>
        <v/>
      </c>
      <c r="BS437" s="87" t="str">
        <f aca="false">IF(ISBLANK($C437),"",IF($BD437&lt;&gt;Constants!$B$6,$BD437,$BI437-$BR437))</f>
        <v/>
      </c>
      <c r="BT437" s="94"/>
      <c r="BU437" s="95"/>
      <c r="BV437" s="95" t="str">
        <f aca="false">IF(ISBLANK($C437),"",IF($BD437&lt;&gt;Constants!$B$6,"",IF($AU437="-&gt;",2,1)))</f>
        <v/>
      </c>
      <c r="BW437" s="96" t="str">
        <f aca="false">IF(ISBLANK($C437),"",IF($BD437&lt;&gt;Constants!$B$6,"",IF($AU437="-&gt;",$AW437,$AN437)))</f>
        <v/>
      </c>
      <c r="BX437" s="96" t="str">
        <f aca="false">IF(ISBLANK($C437),"",IF($BD437&lt;&gt;Constants!$B$6,"",IF($AU437="-&gt;",$AX437,$AO437)))</f>
        <v/>
      </c>
      <c r="BY437" s="96" t="str">
        <f aca="false">IF(ISBLANK($C437),"",IF($BD437&lt;&gt;Constants!$B$6,"",IF($AU437="-&gt;",$AY437,$AP437)))</f>
        <v/>
      </c>
      <c r="BZ437" s="96" t="str">
        <f aca="false">IF(ISBLANK($C437),"",IF($BD437&lt;&gt;Constants!$B$6,"",IF($AU437="-&gt;",$AZ437,$AQ437)+$BG437))</f>
        <v/>
      </c>
      <c r="CA437" s="97" t="str">
        <f aca="false">IF(ISBLANK($C437),"",IF($BD437&lt;&gt;Constants!$B$6,$BD437,$BH437))</f>
        <v/>
      </c>
      <c r="CB437" s="98" t="str">
        <f aca="false">IF(ISBLANK($C437),"",$BE437)</f>
        <v/>
      </c>
      <c r="CC437" s="99" t="str">
        <f aca="false">IF(ISBLANK($C437),"",$BS437)</f>
        <v/>
      </c>
      <c r="CD437" s="99" t="str">
        <f aca="false">IF(ISBLANK($C437),"",$BR437)</f>
        <v/>
      </c>
      <c r="CE437" s="100" t="str">
        <f aca="false">IF(ISBLANK($C437),"",IF($CD437=Constants!$B$9,COUNTA($C$9:$C$508)+2,IF($CD437=Constants!$B$8,COUNTA($C$9:$C$508)+1,IF($CD437=Constants!$B$7,COUNTA($C$9:$C$508),$CD437))))</f>
        <v/>
      </c>
      <c r="CF437" s="9"/>
      <c r="CG437" s="101" t="n">
        <f aca="false">IF(OR(ISNUMBER($CD437),$CD437=Constants!$B$9,$CD437=Constants!$B$7,$CD437=Constants!$B$8),1,0)</f>
        <v>0</v>
      </c>
      <c r="CH437" s="101" t="n">
        <v>429</v>
      </c>
      <c r="CI437" s="101" t="str">
        <f aca="false">IF(ISBLANK($C437),"",IF(ISNUMBER($CE437),$CE437+ROW($B437)/1000,""))</f>
        <v/>
      </c>
      <c r="CJ437" s="101" t="str">
        <f aca="false">IF(ISNUMBER($CI437),RANK($CI437,$CI$9:$CI$508,1),"")</f>
        <v/>
      </c>
      <c r="CK437" s="101" t="str">
        <f aca="false">IF(ISBLANK($C437),"",$B437)</f>
        <v/>
      </c>
      <c r="CL437" s="101" t="str">
        <f aca="false">IF(ISBLANK($C437),"",$C437)</f>
        <v/>
      </c>
      <c r="CM437" s="101" t="str">
        <f aca="false">IF(ISBLANK($C437),"",$D437)</f>
        <v/>
      </c>
      <c r="CN437" s="102" t="str">
        <f aca="false">$CB437</f>
        <v/>
      </c>
      <c r="CO437" s="103" t="str">
        <f aca="false">$CA437</f>
        <v/>
      </c>
      <c r="CP437" s="101" t="str">
        <f aca="false">IF(ISBLANK($C437),"",$CD437)</f>
        <v/>
      </c>
      <c r="CQ437" s="104" t="str">
        <f aca="false">IF($CH437&gt;$CG$8,"",VLOOKUP($CH437,$CJ$9:$CP$508,7,FALSE()))</f>
        <v/>
      </c>
      <c r="CR437" s="105" t="str">
        <f aca="false">IF($CH437&gt;$CG$8,"",VLOOKUP($CH437,$CJ$9:$CP$508,2,FALSE()))</f>
        <v/>
      </c>
      <c r="CS437" s="105" t="str">
        <f aca="false">IF($CH437&gt;$CG$8,"",VLOOKUP($CH437,$CJ$9:$CP$508,3,FALSE()))</f>
        <v/>
      </c>
      <c r="CT437" s="105" t="str">
        <f aca="false">IF($CH437&gt;$CG$8,"",VLOOKUP($CH437,$CJ$9:$CP$508,4,FALSE()))</f>
        <v/>
      </c>
      <c r="CU437" s="105" t="str">
        <f aca="false">IF($CH437&gt;$CG$8,"",VLOOKUP($CH437,$CJ$9:$CP$508,5,FALSE()))</f>
        <v/>
      </c>
      <c r="CV437" s="106" t="str">
        <f aca="false">IF($CH437&gt;$CG$8,"",VLOOKUP($CH437,$CJ$9:$CP$508,6,FALSE()))</f>
        <v/>
      </c>
      <c r="CW437" s="71"/>
    </row>
    <row r="438" customFormat="false" ht="15.75" hidden="false" customHeight="false" outlineLevel="0" collapsed="false">
      <c r="A438" s="9"/>
      <c r="B438" s="150"/>
      <c r="C438" s="151"/>
      <c r="D438" s="152"/>
      <c r="E438" s="170"/>
      <c r="F438" s="154"/>
      <c r="G438" s="155"/>
      <c r="H438" s="171"/>
      <c r="I438" s="159"/>
      <c r="J438" s="120"/>
      <c r="K438" s="121"/>
      <c r="L438" s="122"/>
      <c r="M438" s="158"/>
      <c r="N438" s="159"/>
      <c r="O438" s="159"/>
      <c r="P438" s="120"/>
      <c r="Q438" s="122"/>
      <c r="R438" s="122"/>
      <c r="S438" s="158"/>
      <c r="T438" s="159"/>
      <c r="U438" s="126"/>
      <c r="V438" s="127"/>
      <c r="W438" s="127" t="str">
        <f aca="false">IF(ISBLANK($C438),"",IF(E438=Constants!$B$2,TRUE(),IF(E438=Constants!$B$3,FALSE(),TRUE())))</f>
        <v/>
      </c>
      <c r="X438" s="127" t="str">
        <f aca="false">IF(ISBLANK($C438),"",IF(F438=Constants!$B$2,TRUE(),IF(F438=Constants!$B$3,FALSE(),TRUE())))</f>
        <v/>
      </c>
      <c r="Y438" s="127" t="str">
        <f aca="false">IF(ISBLANK($C438),"",IF(G438=Constants!$B$2,TRUE(),IF(G438=Constants!$B$3,FALSE(),TRUE())))</f>
        <v/>
      </c>
      <c r="Z438" s="127" t="str">
        <f aca="false">IF(ISBLANK($C438),"",IF(H438=Constants!$B$2,TRUE(),IF(H438=Constants!$B$3,FALSE(),TRUE())))</f>
        <v/>
      </c>
      <c r="AA438" s="127" t="str">
        <f aca="false">IF(ISBLANK($C438),"",IF(I438=Constants!$B$2,TRUE(),IF(I438=Constants!$B$3,FALSE(),TRUE())))</f>
        <v/>
      </c>
      <c r="AB438" s="127" t="str">
        <f aca="false">IF(ISBLANK($C438),"",IF(J438=Constants!$B$4,TRUE(),IF(J438=Constants!$B$5,FALSE(),COUNTA(K438:M438)&gt;0)))</f>
        <v/>
      </c>
      <c r="AC438" s="128" t="str">
        <f aca="false">IF(ISBLANK($C438),"",IF(ISNUMBER(K438),IF(K438&gt;=0,K438,""),""))</f>
        <v/>
      </c>
      <c r="AD438" s="129" t="str">
        <f aca="false">IF(ISBLANK($C438),"",IF(ISNUMBER(L438),IF(L438&gt;=0,L438,""),""))</f>
        <v/>
      </c>
      <c r="AE438" s="127" t="str">
        <f aca="false">IF(ISBLANK($C438),"",IF(ISNUMBER(M438),IF(M438&gt;=0,MIN(M438,Constants!$B$22),""),""))</f>
        <v/>
      </c>
      <c r="AF438" s="127" t="str">
        <f aca="false">IF(ISBLANK($C438),"",IF(N438=Constants!$B$2,TRUE(),IF(N438=Constants!$B$3,FALSE(),TRUE())))</f>
        <v/>
      </c>
      <c r="AG438" s="127" t="str">
        <f aca="false">IF(ISBLANK($C438),"",IF(O438=Constants!$B$2,TRUE(),IF(O438=Constants!$B$3,FALSE(),TRUE())))</f>
        <v/>
      </c>
      <c r="AH438" s="127" t="str">
        <f aca="false">IF(ISBLANK($C438),"",IF(P438=Constants!$B$4,TRUE(),IF(P438=Constants!$B$5,FALSE(),COUNTA(Q438:S438)&gt;0)))</f>
        <v/>
      </c>
      <c r="AI438" s="128" t="str">
        <f aca="false">IF(ISBLANK($C438),"",IF(ISNUMBER(Q438),IF(Q438&gt;=0,Q438,""),""))</f>
        <v/>
      </c>
      <c r="AJ438" s="129" t="str">
        <f aca="false">IF(ISBLANK($C438),"",IF(ISNUMBER(R438),IF(R438&gt;=0,R438,""),""))</f>
        <v/>
      </c>
      <c r="AK438" s="127" t="str">
        <f aca="false">IF(ISBLANK($C438),"",IF(ISNUMBER(S438),IF(S438&gt;=0,MIN(S438,Constants!$B$22),""),""))</f>
        <v/>
      </c>
      <c r="AL438" s="127" t="str">
        <f aca="false">IF(ISBLANK($C438),"",IF(T438=Constants!$B$2,TRUE(),IF(T438=Constants!$B$3,FALSE(),FALSE())))</f>
        <v/>
      </c>
      <c r="AM438" s="126" t="str">
        <f aca="false">IF(ISBLANK($C438),"",AND($AB438,OR($AC438="",$AD438="",AND(NOT(ISBLANK($M438)),$AE438=""))))</f>
        <v/>
      </c>
      <c r="AN438" s="129" t="str">
        <f aca="false">IF($BD438&lt;&gt;Constants!$B$6,"",IF($AB438,Constants!$B$17*$AD438,Constants!$B$18))</f>
        <v/>
      </c>
      <c r="AO438" s="130" t="str">
        <f aca="false">IF($BD438&lt;&gt;Constants!$B$6,"",Constants!$B$19*IF($AB438,$AC438,0))</f>
        <v/>
      </c>
      <c r="AP438" s="130" t="str">
        <f aca="false">IF($BD438&lt;&gt;Constants!$B$6,"",IF(AND($AB438,ISNUMBER($AE438)),Constants!$B$20*(Constants!$B$21-$AE438),0))</f>
        <v/>
      </c>
      <c r="AQ438" s="130" t="str">
        <f aca="false">IF($BD438&lt;&gt;Constants!$B$6,"",IF($AA438,0,Constants!$B$12)+IF($Z438,0,Constants!$B$13)+IF($Y438,0,Constants!$B$14))</f>
        <v/>
      </c>
      <c r="AR438" s="131" t="str">
        <f aca="false">IF($BD438&lt;&gt;Constants!$B$6,"",Constants!$B$16+SUM($AN438:$AQ438))</f>
        <v/>
      </c>
      <c r="AS438" s="130" t="str">
        <f aca="false">IF($BD438&lt;&gt;Constants!$B$6,"",IF($AB438,$AD438,""))</f>
        <v/>
      </c>
      <c r="AT438" s="132" t="str">
        <f aca="false">IF($BD438&lt;&gt;Constants!$B$6,"",$AO438)</f>
        <v/>
      </c>
      <c r="AU438" s="127" t="str">
        <f aca="false">IF($BD438&lt;&gt;Constants!$B$6,"",IF(OR($BA438&lt;$AR438,AND($BA438=$AR438,OR(AND(ISNUMBER($BB438),OR(NOT(ISNUMBER($AS438)),$BB438&lt;$AS438)),AND(OR(AND($BB438="",$AS438=""),AND(ISNUMBER($BB438),ISNUMBER($AS438),$BB438=$AS438)),$BC438&lt;$AT438)))),"-&gt;","&lt;-"))</f>
        <v/>
      </c>
      <c r="AV438" s="126" t="str">
        <f aca="false">IF(ISBLANK($C438),"",AND($AH438,OR($AI438="",$AJ438="",AND(NOT(ISBLANK($S438)),$AK438=""))))</f>
        <v/>
      </c>
      <c r="AW438" s="129" t="str">
        <f aca="false">IF($BD438&lt;&gt;Constants!$B$6,"",IF($AH438,Constants!$B$17*$AJ438,Constants!$B$18))</f>
        <v/>
      </c>
      <c r="AX438" s="130" t="str">
        <f aca="false">IF($BD438&lt;&gt;Constants!$B$6,"",Constants!$B$19*IF($AH438,$AI438,0))</f>
        <v/>
      </c>
      <c r="AY438" s="130" t="str">
        <f aca="false">IF($BD438&lt;&gt;Constants!$B$6,"",IF(AND($AH438,ISNUMBER($AK438)),Constants!$B$20*(Constants!$B$21-$AK438),0))</f>
        <v/>
      </c>
      <c r="AZ438" s="130" t="str">
        <f aca="false">IF($BD438&lt;&gt;Constants!$B$6,"",IF($AG438,0,Constants!$B$12)+IF($AF438,0,Constants!$B$13)+IF($Y438,0,Constants!$B$14))</f>
        <v/>
      </c>
      <c r="BA438" s="131" t="str">
        <f aca="false">IF($BD438&lt;&gt;Constants!$B$6,"",Constants!$B$16+SUM($AW438:$AZ438))</f>
        <v/>
      </c>
      <c r="BB438" s="130" t="str">
        <f aca="false">IF($BD438&lt;&gt;Constants!$B$6,"",IF($AH438,$AJ438,""))</f>
        <v/>
      </c>
      <c r="BC438" s="132" t="str">
        <f aca="false">IF($BD438&lt;&gt;Constants!$B$6,"",$AX438)</f>
        <v/>
      </c>
      <c r="BD438" s="127" t="str">
        <f aca="false">IF(ISBLANK($C438),"",IF($AL438,Constants!$B$9,IF(COUNTA($E438:$T438)=0,Constants!$B$8,IF(NOT($X438),Constants!$B$7,IF(OR($AM438,$AV438),Constants!$B$10,Constants!$B$6)))))</f>
        <v/>
      </c>
      <c r="BE438" s="127" t="str">
        <f aca="false">IF(ISBLANK($C438),"",IF($BD438&lt;&gt;Constants!$B$6,$BD438,Constants!$B$11))</f>
        <v/>
      </c>
      <c r="BF438" s="130" t="str">
        <f aca="false">IF($BD438&lt;&gt;Constants!$B$6,"",IF($AU438="-&gt;",$BA438,$AR438))</f>
        <v/>
      </c>
      <c r="BG438" s="130" t="str">
        <f aca="false">IF($BD438&lt;&gt;Constants!$B$6,"",IF($W438,0,Constants!$B$15))</f>
        <v/>
      </c>
      <c r="BH438" s="130" t="str">
        <f aca="false">IF(ISBLANK($C438),"",IF($BD438&lt;&gt;Constants!$B$6,$BD438,SUM($BF438:$BG438)))</f>
        <v/>
      </c>
      <c r="BI438" s="127" t="str">
        <f aca="false">IF(ISBLANK($C438),"",IF($BD438&lt;&gt;Constants!$B$6,$BD438,RANK($BH438,$BH$9:$BH$508,1)))</f>
        <v/>
      </c>
      <c r="BJ438" s="130" t="str">
        <f aca="false">IF($BD438&lt;&gt;Constants!$B$6,"",IF($AU438="-&gt;",$BB438,$AS438))</f>
        <v/>
      </c>
      <c r="BK438" s="127" t="str">
        <f aca="false">IF(ISBLANK($C438),"",IF($BD438&lt;&gt;Constants!$B$6,$BD438,IF(ISNUMBER($BJ438),RANK($BJ438,$BJ$9:$BJ$508,1),COUNT($BJ$9:$BJ$508)+1)))</f>
        <v/>
      </c>
      <c r="BL438" s="130" t="str">
        <f aca="false">IF($BD438&lt;&gt;Constants!$B$6,"",IF($AU438="-&gt;",$BC438,$AT438))</f>
        <v/>
      </c>
      <c r="BM438" s="127" t="str">
        <f aca="false">IF(ISBLANK($C438),"",IF($BD438&lt;&gt;Constants!$B$6,$BD438,IF(ISNUMBER($BL438),RANK($BL438,$BL$9:$BL$508,1),COUNT($BL$9:$BL$508)+1)))</f>
        <v/>
      </c>
      <c r="BN438" s="130" t="str">
        <f aca="false">IF($BD438&lt;&gt;Constants!$B$6,"",IF($AU438="-&gt;",$AS438,$BB438))</f>
        <v/>
      </c>
      <c r="BO438" s="127" t="str">
        <f aca="false">IF(ISBLANK($C438),"",IF($BD438&lt;&gt;Constants!$B$6,$BD438,IF(ISNUMBER($BN438),RANK($BN438,$BN$9:$BN$508,1),COUNT($BN$9:$BN$508)+1)))</f>
        <v/>
      </c>
      <c r="BP438" s="130" t="str">
        <f aca="false">IF($BD438&lt;&gt;Constants!$B$6,"",IF($AU438="-&gt;",$AT438,$BC438))</f>
        <v/>
      </c>
      <c r="BQ438" s="127" t="str">
        <f aca="false">IF(ISBLANK($C438),"",IF($BD438&lt;&gt;Constants!$B$6,$BD438,IF(ISNUMBER($BP438),RANK($BP438,$BP$9:$BP$508,1),COUNT($BP$9:$BP$508)+1)))</f>
        <v/>
      </c>
      <c r="BR438" s="127" t="str">
        <f aca="false">IF(ISBLANK($C438),"",IF($BD438&lt;&gt;Constants!$B$6,$BD438,COUNTIFS($BI$9:$BI$508,"&lt;"&amp;$BI438)+COUNTIFS($BI$9:$BI$508,$BI438,$BK$9:$BK$508,"&lt;"&amp;$BK438)+COUNTIFS($BI$9:$BI$508,$BI438,$BK$9:$BK$508,$BK438,$BM$9:$BM$508,"&lt;"&amp;$BM438)+COUNTIFS($BI$9:$BI$508,$BI438,$BK$9:$BK$508,$BK438,$BM$9:$BM$508,$BM438,$BO$9:$BO$508,"&lt;"&amp;$BO438)+COUNTIFS($BI$9:$BI$508,$BI438,$BK$9:$BK$508,$BK438,$BM$9:$BM$508,$BM438,$BO$9:$BO$508,$BO438,$BQ$9:$BQ$508,"&lt;"&amp;$BQ438)+1))</f>
        <v/>
      </c>
      <c r="BS438" s="127" t="str">
        <f aca="false">IF(ISBLANK($C438),"",IF($BD438&lt;&gt;Constants!$B$6,$BD438,$BI438-$BR438))</f>
        <v/>
      </c>
      <c r="BT438" s="133"/>
      <c r="BU438" s="134"/>
      <c r="BV438" s="134" t="str">
        <f aca="false">IF(ISBLANK($C438),"",IF($BD438&lt;&gt;Constants!$B$6,"",IF($AU438="-&gt;",2,1)))</f>
        <v/>
      </c>
      <c r="BW438" s="135" t="str">
        <f aca="false">IF(ISBLANK($C438),"",IF($BD438&lt;&gt;Constants!$B$6,"",IF($AU438="-&gt;",$AW438,$AN438)))</f>
        <v/>
      </c>
      <c r="BX438" s="135" t="str">
        <f aca="false">IF(ISBLANK($C438),"",IF($BD438&lt;&gt;Constants!$B$6,"",IF($AU438="-&gt;",$AX438,$AO438)))</f>
        <v/>
      </c>
      <c r="BY438" s="135" t="str">
        <f aca="false">IF(ISBLANK($C438),"",IF($BD438&lt;&gt;Constants!$B$6,"",IF($AU438="-&gt;",$AY438,$AP438)))</f>
        <v/>
      </c>
      <c r="BZ438" s="135" t="str">
        <f aca="false">IF(ISBLANK($C438),"",IF($BD438&lt;&gt;Constants!$B$6,"",IF($AU438="-&gt;",$AZ438,$AQ438)+$BG438))</f>
        <v/>
      </c>
      <c r="CA438" s="136" t="str">
        <f aca="false">IF(ISBLANK($C438),"",IF($BD438&lt;&gt;Constants!$B$6,$BD438,$BH438))</f>
        <v/>
      </c>
      <c r="CB438" s="137" t="str">
        <f aca="false">IF(ISBLANK($C438),"",$BE438)</f>
        <v/>
      </c>
      <c r="CC438" s="138" t="str">
        <f aca="false">IF(ISBLANK($C438),"",$BS438)</f>
        <v/>
      </c>
      <c r="CD438" s="138" t="str">
        <f aca="false">IF(ISBLANK($C438),"",$BR438)</f>
        <v/>
      </c>
      <c r="CE438" s="139" t="str">
        <f aca="false">IF(ISBLANK($C438),"",IF($CD438=Constants!$B$9,COUNTA($C$9:$C$508)+2,IF($CD438=Constants!$B$8,COUNTA($C$9:$C$508)+1,IF($CD438=Constants!$B$7,COUNTA($C$9:$C$508),$CD438))))</f>
        <v/>
      </c>
      <c r="CF438" s="9"/>
      <c r="CG438" s="140" t="n">
        <f aca="false">IF(OR(ISNUMBER($CD438),$CD438=Constants!$B$9,$CD438=Constants!$B$7,$CD438=Constants!$B$8),1,0)</f>
        <v>0</v>
      </c>
      <c r="CH438" s="140" t="n">
        <v>430</v>
      </c>
      <c r="CI438" s="140" t="str">
        <f aca="false">IF(ISBLANK($C438),"",IF(ISNUMBER($CE438),$CE438+ROW($B438)/1000,""))</f>
        <v/>
      </c>
      <c r="CJ438" s="140" t="str">
        <f aca="false">IF(ISNUMBER($CI438),RANK($CI438,$CI$9:$CI$508,1),"")</f>
        <v/>
      </c>
      <c r="CK438" s="140" t="str">
        <f aca="false">IF(ISBLANK($C438),"",$B438)</f>
        <v/>
      </c>
      <c r="CL438" s="140" t="str">
        <f aca="false">IF(ISBLANK($C438),"",$C438)</f>
        <v/>
      </c>
      <c r="CM438" s="140" t="str">
        <f aca="false">IF(ISBLANK($C438),"",$D438)</f>
        <v/>
      </c>
      <c r="CN438" s="141" t="str">
        <f aca="false">$CB438</f>
        <v/>
      </c>
      <c r="CO438" s="142" t="str">
        <f aca="false">$CA438</f>
        <v/>
      </c>
      <c r="CP438" s="140" t="str">
        <f aca="false">IF(ISBLANK($C438),"",$CD438)</f>
        <v/>
      </c>
      <c r="CQ438" s="143" t="str">
        <f aca="false">IF($CH438&gt;$CG$8,"",VLOOKUP($CH438,$CJ$9:$CP$508,7,FALSE()))</f>
        <v/>
      </c>
      <c r="CR438" s="144" t="str">
        <f aca="false">IF($CH438&gt;$CG$8,"",VLOOKUP($CH438,$CJ$9:$CP$508,2,FALSE()))</f>
        <v/>
      </c>
      <c r="CS438" s="144" t="str">
        <f aca="false">IF($CH438&gt;$CG$8,"",VLOOKUP($CH438,$CJ$9:$CP$508,3,FALSE()))</f>
        <v/>
      </c>
      <c r="CT438" s="144" t="str">
        <f aca="false">IF($CH438&gt;$CG$8,"",VLOOKUP($CH438,$CJ$9:$CP$508,4,FALSE()))</f>
        <v/>
      </c>
      <c r="CU438" s="144" t="str">
        <f aca="false">IF($CH438&gt;$CG$8,"",VLOOKUP($CH438,$CJ$9:$CP$508,5,FALSE()))</f>
        <v/>
      </c>
      <c r="CV438" s="145" t="str">
        <f aca="false">IF($CH438&gt;$CG$8,"",VLOOKUP($CH438,$CJ$9:$CP$508,6,FALSE()))</f>
        <v/>
      </c>
      <c r="CW438" s="71"/>
    </row>
    <row r="439" customFormat="false" ht="15.75" hidden="false" customHeight="false" outlineLevel="0" collapsed="false">
      <c r="A439" s="9"/>
      <c r="B439" s="150"/>
      <c r="C439" s="151"/>
      <c r="D439" s="152"/>
      <c r="E439" s="170"/>
      <c r="F439" s="154"/>
      <c r="G439" s="155"/>
      <c r="H439" s="171"/>
      <c r="I439" s="159"/>
      <c r="J439" s="120"/>
      <c r="K439" s="121"/>
      <c r="L439" s="122"/>
      <c r="M439" s="158"/>
      <c r="N439" s="159"/>
      <c r="O439" s="159"/>
      <c r="P439" s="120"/>
      <c r="Q439" s="122"/>
      <c r="R439" s="122"/>
      <c r="S439" s="158"/>
      <c r="T439" s="159"/>
      <c r="U439" s="126"/>
      <c r="V439" s="127"/>
      <c r="W439" s="127" t="str">
        <f aca="false">IF(ISBLANK($C439),"",IF(E439=Constants!$B$2,TRUE(),IF(E439=Constants!$B$3,FALSE(),TRUE())))</f>
        <v/>
      </c>
      <c r="X439" s="127" t="str">
        <f aca="false">IF(ISBLANK($C439),"",IF(F439=Constants!$B$2,TRUE(),IF(F439=Constants!$B$3,FALSE(),TRUE())))</f>
        <v/>
      </c>
      <c r="Y439" s="127" t="str">
        <f aca="false">IF(ISBLANK($C439),"",IF(G439=Constants!$B$2,TRUE(),IF(G439=Constants!$B$3,FALSE(),TRUE())))</f>
        <v/>
      </c>
      <c r="Z439" s="127" t="str">
        <f aca="false">IF(ISBLANK($C439),"",IF(H439=Constants!$B$2,TRUE(),IF(H439=Constants!$B$3,FALSE(),TRUE())))</f>
        <v/>
      </c>
      <c r="AA439" s="127" t="str">
        <f aca="false">IF(ISBLANK($C439),"",IF(I439=Constants!$B$2,TRUE(),IF(I439=Constants!$B$3,FALSE(),TRUE())))</f>
        <v/>
      </c>
      <c r="AB439" s="127" t="str">
        <f aca="false">IF(ISBLANK($C439),"",IF(J439=Constants!$B$4,TRUE(),IF(J439=Constants!$B$5,FALSE(),COUNTA(K439:M439)&gt;0)))</f>
        <v/>
      </c>
      <c r="AC439" s="128" t="str">
        <f aca="false">IF(ISBLANK($C439),"",IF(ISNUMBER(K439),IF(K439&gt;=0,K439,""),""))</f>
        <v/>
      </c>
      <c r="AD439" s="129" t="str">
        <f aca="false">IF(ISBLANK($C439),"",IF(ISNUMBER(L439),IF(L439&gt;=0,L439,""),""))</f>
        <v/>
      </c>
      <c r="AE439" s="127" t="str">
        <f aca="false">IF(ISBLANK($C439),"",IF(ISNUMBER(M439),IF(M439&gt;=0,MIN(M439,Constants!$B$22),""),""))</f>
        <v/>
      </c>
      <c r="AF439" s="127" t="str">
        <f aca="false">IF(ISBLANK($C439),"",IF(N439=Constants!$B$2,TRUE(),IF(N439=Constants!$B$3,FALSE(),TRUE())))</f>
        <v/>
      </c>
      <c r="AG439" s="127" t="str">
        <f aca="false">IF(ISBLANK($C439),"",IF(O439=Constants!$B$2,TRUE(),IF(O439=Constants!$B$3,FALSE(),TRUE())))</f>
        <v/>
      </c>
      <c r="AH439" s="127" t="str">
        <f aca="false">IF(ISBLANK($C439),"",IF(P439=Constants!$B$4,TRUE(),IF(P439=Constants!$B$5,FALSE(),COUNTA(Q439:S439)&gt;0)))</f>
        <v/>
      </c>
      <c r="AI439" s="128" t="str">
        <f aca="false">IF(ISBLANK($C439),"",IF(ISNUMBER(Q439),IF(Q439&gt;=0,Q439,""),""))</f>
        <v/>
      </c>
      <c r="AJ439" s="129" t="str">
        <f aca="false">IF(ISBLANK($C439),"",IF(ISNUMBER(R439),IF(R439&gt;=0,R439,""),""))</f>
        <v/>
      </c>
      <c r="AK439" s="127" t="str">
        <f aca="false">IF(ISBLANK($C439),"",IF(ISNUMBER(S439),IF(S439&gt;=0,MIN(S439,Constants!$B$22),""),""))</f>
        <v/>
      </c>
      <c r="AL439" s="127" t="str">
        <f aca="false">IF(ISBLANK($C439),"",IF(T439=Constants!$B$2,TRUE(),IF(T439=Constants!$B$3,FALSE(),FALSE())))</f>
        <v/>
      </c>
      <c r="AM439" s="126" t="str">
        <f aca="false">IF(ISBLANK($C439),"",AND($AB439,OR($AC439="",$AD439="",AND(NOT(ISBLANK($M439)),$AE439=""))))</f>
        <v/>
      </c>
      <c r="AN439" s="129" t="str">
        <f aca="false">IF($BD439&lt;&gt;Constants!$B$6,"",IF($AB439,Constants!$B$17*$AD439,Constants!$B$18))</f>
        <v/>
      </c>
      <c r="AO439" s="130" t="str">
        <f aca="false">IF($BD439&lt;&gt;Constants!$B$6,"",Constants!$B$19*IF($AB439,$AC439,0))</f>
        <v/>
      </c>
      <c r="AP439" s="130" t="str">
        <f aca="false">IF($BD439&lt;&gt;Constants!$B$6,"",IF(AND($AB439,ISNUMBER($AE439)),Constants!$B$20*(Constants!$B$21-$AE439),0))</f>
        <v/>
      </c>
      <c r="AQ439" s="130" t="str">
        <f aca="false">IF($BD439&lt;&gt;Constants!$B$6,"",IF($AA439,0,Constants!$B$12)+IF($Z439,0,Constants!$B$13)+IF($Y439,0,Constants!$B$14))</f>
        <v/>
      </c>
      <c r="AR439" s="131" t="str">
        <f aca="false">IF($BD439&lt;&gt;Constants!$B$6,"",Constants!$B$16+SUM($AN439:$AQ439))</f>
        <v/>
      </c>
      <c r="AS439" s="130" t="str">
        <f aca="false">IF($BD439&lt;&gt;Constants!$B$6,"",IF($AB439,$AD439,""))</f>
        <v/>
      </c>
      <c r="AT439" s="132" t="str">
        <f aca="false">IF($BD439&lt;&gt;Constants!$B$6,"",$AO439)</f>
        <v/>
      </c>
      <c r="AU439" s="127" t="str">
        <f aca="false">IF($BD439&lt;&gt;Constants!$B$6,"",IF(OR($BA439&lt;$AR439,AND($BA439=$AR439,OR(AND(ISNUMBER($BB439),OR(NOT(ISNUMBER($AS439)),$BB439&lt;$AS439)),AND(OR(AND($BB439="",$AS439=""),AND(ISNUMBER($BB439),ISNUMBER($AS439),$BB439=$AS439)),$BC439&lt;$AT439)))),"-&gt;","&lt;-"))</f>
        <v/>
      </c>
      <c r="AV439" s="126" t="str">
        <f aca="false">IF(ISBLANK($C439),"",AND($AH439,OR($AI439="",$AJ439="",AND(NOT(ISBLANK($S439)),$AK439=""))))</f>
        <v/>
      </c>
      <c r="AW439" s="129" t="str">
        <f aca="false">IF($BD439&lt;&gt;Constants!$B$6,"",IF($AH439,Constants!$B$17*$AJ439,Constants!$B$18))</f>
        <v/>
      </c>
      <c r="AX439" s="130" t="str">
        <f aca="false">IF($BD439&lt;&gt;Constants!$B$6,"",Constants!$B$19*IF($AH439,$AI439,0))</f>
        <v/>
      </c>
      <c r="AY439" s="130" t="str">
        <f aca="false">IF($BD439&lt;&gt;Constants!$B$6,"",IF(AND($AH439,ISNUMBER($AK439)),Constants!$B$20*(Constants!$B$21-$AK439),0))</f>
        <v/>
      </c>
      <c r="AZ439" s="130" t="str">
        <f aca="false">IF($BD439&lt;&gt;Constants!$B$6,"",IF($AG439,0,Constants!$B$12)+IF($AF439,0,Constants!$B$13)+IF($Y439,0,Constants!$B$14))</f>
        <v/>
      </c>
      <c r="BA439" s="131" t="str">
        <f aca="false">IF($BD439&lt;&gt;Constants!$B$6,"",Constants!$B$16+SUM($AW439:$AZ439))</f>
        <v/>
      </c>
      <c r="BB439" s="130" t="str">
        <f aca="false">IF($BD439&lt;&gt;Constants!$B$6,"",IF($AH439,$AJ439,""))</f>
        <v/>
      </c>
      <c r="BC439" s="132" t="str">
        <f aca="false">IF($BD439&lt;&gt;Constants!$B$6,"",$AX439)</f>
        <v/>
      </c>
      <c r="BD439" s="127" t="str">
        <f aca="false">IF(ISBLANK($C439),"",IF($AL439,Constants!$B$9,IF(COUNTA($E439:$T439)=0,Constants!$B$8,IF(NOT($X439),Constants!$B$7,IF(OR($AM439,$AV439),Constants!$B$10,Constants!$B$6)))))</f>
        <v/>
      </c>
      <c r="BE439" s="127" t="str">
        <f aca="false">IF(ISBLANK($C439),"",IF($BD439&lt;&gt;Constants!$B$6,$BD439,Constants!$B$11))</f>
        <v/>
      </c>
      <c r="BF439" s="130" t="str">
        <f aca="false">IF($BD439&lt;&gt;Constants!$B$6,"",IF($AU439="-&gt;",$BA439,$AR439))</f>
        <v/>
      </c>
      <c r="BG439" s="130" t="str">
        <f aca="false">IF($BD439&lt;&gt;Constants!$B$6,"",IF($W439,0,Constants!$B$15))</f>
        <v/>
      </c>
      <c r="BH439" s="130" t="str">
        <f aca="false">IF(ISBLANK($C439),"",IF($BD439&lt;&gt;Constants!$B$6,$BD439,SUM($BF439:$BG439)))</f>
        <v/>
      </c>
      <c r="BI439" s="127" t="str">
        <f aca="false">IF(ISBLANK($C439),"",IF($BD439&lt;&gt;Constants!$B$6,$BD439,RANK($BH439,$BH$9:$BH$508,1)))</f>
        <v/>
      </c>
      <c r="BJ439" s="130" t="str">
        <f aca="false">IF($BD439&lt;&gt;Constants!$B$6,"",IF($AU439="-&gt;",$BB439,$AS439))</f>
        <v/>
      </c>
      <c r="BK439" s="127" t="str">
        <f aca="false">IF(ISBLANK($C439),"",IF($BD439&lt;&gt;Constants!$B$6,$BD439,IF(ISNUMBER($BJ439),RANK($BJ439,$BJ$9:$BJ$508,1),COUNT($BJ$9:$BJ$508)+1)))</f>
        <v/>
      </c>
      <c r="BL439" s="130" t="str">
        <f aca="false">IF($BD439&lt;&gt;Constants!$B$6,"",IF($AU439="-&gt;",$BC439,$AT439))</f>
        <v/>
      </c>
      <c r="BM439" s="127" t="str">
        <f aca="false">IF(ISBLANK($C439),"",IF($BD439&lt;&gt;Constants!$B$6,$BD439,IF(ISNUMBER($BL439),RANK($BL439,$BL$9:$BL$508,1),COUNT($BL$9:$BL$508)+1)))</f>
        <v/>
      </c>
      <c r="BN439" s="130" t="str">
        <f aca="false">IF($BD439&lt;&gt;Constants!$B$6,"",IF($AU439="-&gt;",$AS439,$BB439))</f>
        <v/>
      </c>
      <c r="BO439" s="127" t="str">
        <f aca="false">IF(ISBLANK($C439),"",IF($BD439&lt;&gt;Constants!$B$6,$BD439,IF(ISNUMBER($BN439),RANK($BN439,$BN$9:$BN$508,1),COUNT($BN$9:$BN$508)+1)))</f>
        <v/>
      </c>
      <c r="BP439" s="130" t="str">
        <f aca="false">IF($BD439&lt;&gt;Constants!$B$6,"",IF($AU439="-&gt;",$AT439,$BC439))</f>
        <v/>
      </c>
      <c r="BQ439" s="127" t="str">
        <f aca="false">IF(ISBLANK($C439),"",IF($BD439&lt;&gt;Constants!$B$6,$BD439,IF(ISNUMBER($BP439),RANK($BP439,$BP$9:$BP$508,1),COUNT($BP$9:$BP$508)+1)))</f>
        <v/>
      </c>
      <c r="BR439" s="127" t="str">
        <f aca="false">IF(ISBLANK($C439),"",IF($BD439&lt;&gt;Constants!$B$6,$BD439,COUNTIFS($BI$9:$BI$508,"&lt;"&amp;$BI439)+COUNTIFS($BI$9:$BI$508,$BI439,$BK$9:$BK$508,"&lt;"&amp;$BK439)+COUNTIFS($BI$9:$BI$508,$BI439,$BK$9:$BK$508,$BK439,$BM$9:$BM$508,"&lt;"&amp;$BM439)+COUNTIFS($BI$9:$BI$508,$BI439,$BK$9:$BK$508,$BK439,$BM$9:$BM$508,$BM439,$BO$9:$BO$508,"&lt;"&amp;$BO439)+COUNTIFS($BI$9:$BI$508,$BI439,$BK$9:$BK$508,$BK439,$BM$9:$BM$508,$BM439,$BO$9:$BO$508,$BO439,$BQ$9:$BQ$508,"&lt;"&amp;$BQ439)+1))</f>
        <v/>
      </c>
      <c r="BS439" s="127" t="str">
        <f aca="false">IF(ISBLANK($C439),"",IF($BD439&lt;&gt;Constants!$B$6,$BD439,$BI439-$BR439))</f>
        <v/>
      </c>
      <c r="BT439" s="133"/>
      <c r="BU439" s="134"/>
      <c r="BV439" s="134" t="str">
        <f aca="false">IF(ISBLANK($C439),"",IF($BD439&lt;&gt;Constants!$B$6,"",IF($AU439="-&gt;",2,1)))</f>
        <v/>
      </c>
      <c r="BW439" s="135" t="str">
        <f aca="false">IF(ISBLANK($C439),"",IF($BD439&lt;&gt;Constants!$B$6,"",IF($AU439="-&gt;",$AW439,$AN439)))</f>
        <v/>
      </c>
      <c r="BX439" s="135" t="str">
        <f aca="false">IF(ISBLANK($C439),"",IF($BD439&lt;&gt;Constants!$B$6,"",IF($AU439="-&gt;",$AX439,$AO439)))</f>
        <v/>
      </c>
      <c r="BY439" s="135" t="str">
        <f aca="false">IF(ISBLANK($C439),"",IF($BD439&lt;&gt;Constants!$B$6,"",IF($AU439="-&gt;",$AY439,$AP439)))</f>
        <v/>
      </c>
      <c r="BZ439" s="135" t="str">
        <f aca="false">IF(ISBLANK($C439),"",IF($BD439&lt;&gt;Constants!$B$6,"",IF($AU439="-&gt;",$AZ439,$AQ439)+$BG439))</f>
        <v/>
      </c>
      <c r="CA439" s="136" t="str">
        <f aca="false">IF(ISBLANK($C439),"",IF($BD439&lt;&gt;Constants!$B$6,$BD439,$BH439))</f>
        <v/>
      </c>
      <c r="CB439" s="137" t="str">
        <f aca="false">IF(ISBLANK($C439),"",$BE439)</f>
        <v/>
      </c>
      <c r="CC439" s="138" t="str">
        <f aca="false">IF(ISBLANK($C439),"",$BS439)</f>
        <v/>
      </c>
      <c r="CD439" s="138" t="str">
        <f aca="false">IF(ISBLANK($C439),"",$BR439)</f>
        <v/>
      </c>
      <c r="CE439" s="139" t="str">
        <f aca="false">IF(ISBLANK($C439),"",IF($CD439=Constants!$B$9,COUNTA($C$9:$C$508)+2,IF($CD439=Constants!$B$8,COUNTA($C$9:$C$508)+1,IF($CD439=Constants!$B$7,COUNTA($C$9:$C$508),$CD439))))</f>
        <v/>
      </c>
      <c r="CF439" s="9"/>
      <c r="CG439" s="140" t="n">
        <f aca="false">IF(OR(ISNUMBER($CD439),$CD439=Constants!$B$9,$CD439=Constants!$B$7,$CD439=Constants!$B$8),1,0)</f>
        <v>0</v>
      </c>
      <c r="CH439" s="140" t="n">
        <v>431</v>
      </c>
      <c r="CI439" s="140" t="str">
        <f aca="false">IF(ISBLANK($C439),"",IF(ISNUMBER($CE439),$CE439+ROW($B439)/1000,""))</f>
        <v/>
      </c>
      <c r="CJ439" s="140" t="str">
        <f aca="false">IF(ISNUMBER($CI439),RANK($CI439,$CI$9:$CI$508,1),"")</f>
        <v/>
      </c>
      <c r="CK439" s="140" t="str">
        <f aca="false">IF(ISBLANK($C439),"",$B439)</f>
        <v/>
      </c>
      <c r="CL439" s="140" t="str">
        <f aca="false">IF(ISBLANK($C439),"",$C439)</f>
        <v/>
      </c>
      <c r="CM439" s="140" t="str">
        <f aca="false">IF(ISBLANK($C439),"",$D439)</f>
        <v/>
      </c>
      <c r="CN439" s="141" t="str">
        <f aca="false">$CB439</f>
        <v/>
      </c>
      <c r="CO439" s="142" t="str">
        <f aca="false">$CA439</f>
        <v/>
      </c>
      <c r="CP439" s="140" t="str">
        <f aca="false">IF(ISBLANK($C439),"",$CD439)</f>
        <v/>
      </c>
      <c r="CQ439" s="143" t="str">
        <f aca="false">IF($CH439&gt;$CG$8,"",VLOOKUP($CH439,$CJ$9:$CP$508,7,FALSE()))</f>
        <v/>
      </c>
      <c r="CR439" s="144" t="str">
        <f aca="false">IF($CH439&gt;$CG$8,"",VLOOKUP($CH439,$CJ$9:$CP$508,2,FALSE()))</f>
        <v/>
      </c>
      <c r="CS439" s="144" t="str">
        <f aca="false">IF($CH439&gt;$CG$8,"",VLOOKUP($CH439,$CJ$9:$CP$508,3,FALSE()))</f>
        <v/>
      </c>
      <c r="CT439" s="144" t="str">
        <f aca="false">IF($CH439&gt;$CG$8,"",VLOOKUP($CH439,$CJ$9:$CP$508,4,FALSE()))</f>
        <v/>
      </c>
      <c r="CU439" s="144" t="str">
        <f aca="false">IF($CH439&gt;$CG$8,"",VLOOKUP($CH439,$CJ$9:$CP$508,5,FALSE()))</f>
        <v/>
      </c>
      <c r="CV439" s="145" t="str">
        <f aca="false">IF($CH439&gt;$CG$8,"",VLOOKUP($CH439,$CJ$9:$CP$508,6,FALSE()))</f>
        <v/>
      </c>
      <c r="CW439" s="71"/>
    </row>
    <row r="440" customFormat="false" ht="15.75" hidden="false" customHeight="false" outlineLevel="0" collapsed="false">
      <c r="A440" s="9"/>
      <c r="B440" s="150"/>
      <c r="C440" s="151"/>
      <c r="D440" s="152"/>
      <c r="E440" s="170"/>
      <c r="F440" s="154"/>
      <c r="G440" s="155"/>
      <c r="H440" s="171"/>
      <c r="I440" s="159"/>
      <c r="J440" s="120"/>
      <c r="K440" s="121"/>
      <c r="L440" s="122"/>
      <c r="M440" s="158"/>
      <c r="N440" s="159"/>
      <c r="O440" s="159"/>
      <c r="P440" s="120"/>
      <c r="Q440" s="122"/>
      <c r="R440" s="122"/>
      <c r="S440" s="158"/>
      <c r="T440" s="159"/>
      <c r="U440" s="126"/>
      <c r="V440" s="127"/>
      <c r="W440" s="127" t="str">
        <f aca="false">IF(ISBLANK($C440),"",IF(E440=Constants!$B$2,TRUE(),IF(E440=Constants!$B$3,FALSE(),TRUE())))</f>
        <v/>
      </c>
      <c r="X440" s="127" t="str">
        <f aca="false">IF(ISBLANK($C440),"",IF(F440=Constants!$B$2,TRUE(),IF(F440=Constants!$B$3,FALSE(),TRUE())))</f>
        <v/>
      </c>
      <c r="Y440" s="127" t="str">
        <f aca="false">IF(ISBLANK($C440),"",IF(G440=Constants!$B$2,TRUE(),IF(G440=Constants!$B$3,FALSE(),TRUE())))</f>
        <v/>
      </c>
      <c r="Z440" s="127" t="str">
        <f aca="false">IF(ISBLANK($C440),"",IF(H440=Constants!$B$2,TRUE(),IF(H440=Constants!$B$3,FALSE(),TRUE())))</f>
        <v/>
      </c>
      <c r="AA440" s="127" t="str">
        <f aca="false">IF(ISBLANK($C440),"",IF(I440=Constants!$B$2,TRUE(),IF(I440=Constants!$B$3,FALSE(),TRUE())))</f>
        <v/>
      </c>
      <c r="AB440" s="127" t="str">
        <f aca="false">IF(ISBLANK($C440),"",IF(J440=Constants!$B$4,TRUE(),IF(J440=Constants!$B$5,FALSE(),COUNTA(K440:M440)&gt;0)))</f>
        <v/>
      </c>
      <c r="AC440" s="128" t="str">
        <f aca="false">IF(ISBLANK($C440),"",IF(ISNUMBER(K440),IF(K440&gt;=0,K440,""),""))</f>
        <v/>
      </c>
      <c r="AD440" s="129" t="str">
        <f aca="false">IF(ISBLANK($C440),"",IF(ISNUMBER(L440),IF(L440&gt;=0,L440,""),""))</f>
        <v/>
      </c>
      <c r="AE440" s="127" t="str">
        <f aca="false">IF(ISBLANK($C440),"",IF(ISNUMBER(M440),IF(M440&gt;=0,MIN(M440,Constants!$B$22),""),""))</f>
        <v/>
      </c>
      <c r="AF440" s="127" t="str">
        <f aca="false">IF(ISBLANK($C440),"",IF(N440=Constants!$B$2,TRUE(),IF(N440=Constants!$B$3,FALSE(),TRUE())))</f>
        <v/>
      </c>
      <c r="AG440" s="127" t="str">
        <f aca="false">IF(ISBLANK($C440),"",IF(O440=Constants!$B$2,TRUE(),IF(O440=Constants!$B$3,FALSE(),TRUE())))</f>
        <v/>
      </c>
      <c r="AH440" s="127" t="str">
        <f aca="false">IF(ISBLANK($C440),"",IF(P440=Constants!$B$4,TRUE(),IF(P440=Constants!$B$5,FALSE(),COUNTA(Q440:S440)&gt;0)))</f>
        <v/>
      </c>
      <c r="AI440" s="128" t="str">
        <f aca="false">IF(ISBLANK($C440),"",IF(ISNUMBER(Q440),IF(Q440&gt;=0,Q440,""),""))</f>
        <v/>
      </c>
      <c r="AJ440" s="129" t="str">
        <f aca="false">IF(ISBLANK($C440),"",IF(ISNUMBER(R440),IF(R440&gt;=0,R440,""),""))</f>
        <v/>
      </c>
      <c r="AK440" s="127" t="str">
        <f aca="false">IF(ISBLANK($C440),"",IF(ISNUMBER(S440),IF(S440&gt;=0,MIN(S440,Constants!$B$22),""),""))</f>
        <v/>
      </c>
      <c r="AL440" s="127" t="str">
        <f aca="false">IF(ISBLANK($C440),"",IF(T440=Constants!$B$2,TRUE(),IF(T440=Constants!$B$3,FALSE(),FALSE())))</f>
        <v/>
      </c>
      <c r="AM440" s="126" t="str">
        <f aca="false">IF(ISBLANK($C440),"",AND($AB440,OR($AC440="",$AD440="",AND(NOT(ISBLANK($M440)),$AE440=""))))</f>
        <v/>
      </c>
      <c r="AN440" s="129" t="str">
        <f aca="false">IF($BD440&lt;&gt;Constants!$B$6,"",IF($AB440,Constants!$B$17*$AD440,Constants!$B$18))</f>
        <v/>
      </c>
      <c r="AO440" s="130" t="str">
        <f aca="false">IF($BD440&lt;&gt;Constants!$B$6,"",Constants!$B$19*IF($AB440,$AC440,0))</f>
        <v/>
      </c>
      <c r="AP440" s="130" t="str">
        <f aca="false">IF($BD440&lt;&gt;Constants!$B$6,"",IF(AND($AB440,ISNUMBER($AE440)),Constants!$B$20*(Constants!$B$21-$AE440),0))</f>
        <v/>
      </c>
      <c r="AQ440" s="130" t="str">
        <f aca="false">IF($BD440&lt;&gt;Constants!$B$6,"",IF($AA440,0,Constants!$B$12)+IF($Z440,0,Constants!$B$13)+IF($Y440,0,Constants!$B$14))</f>
        <v/>
      </c>
      <c r="AR440" s="131" t="str">
        <f aca="false">IF($BD440&lt;&gt;Constants!$B$6,"",Constants!$B$16+SUM($AN440:$AQ440))</f>
        <v/>
      </c>
      <c r="AS440" s="130" t="str">
        <f aca="false">IF($BD440&lt;&gt;Constants!$B$6,"",IF($AB440,$AD440,""))</f>
        <v/>
      </c>
      <c r="AT440" s="132" t="str">
        <f aca="false">IF($BD440&lt;&gt;Constants!$B$6,"",$AO440)</f>
        <v/>
      </c>
      <c r="AU440" s="127" t="str">
        <f aca="false">IF($BD440&lt;&gt;Constants!$B$6,"",IF(OR($BA440&lt;$AR440,AND($BA440=$AR440,OR(AND(ISNUMBER($BB440),OR(NOT(ISNUMBER($AS440)),$BB440&lt;$AS440)),AND(OR(AND($BB440="",$AS440=""),AND(ISNUMBER($BB440),ISNUMBER($AS440),$BB440=$AS440)),$BC440&lt;$AT440)))),"-&gt;","&lt;-"))</f>
        <v/>
      </c>
      <c r="AV440" s="126" t="str">
        <f aca="false">IF(ISBLANK($C440),"",AND($AH440,OR($AI440="",$AJ440="",AND(NOT(ISBLANK($S440)),$AK440=""))))</f>
        <v/>
      </c>
      <c r="AW440" s="129" t="str">
        <f aca="false">IF($BD440&lt;&gt;Constants!$B$6,"",IF($AH440,Constants!$B$17*$AJ440,Constants!$B$18))</f>
        <v/>
      </c>
      <c r="AX440" s="130" t="str">
        <f aca="false">IF($BD440&lt;&gt;Constants!$B$6,"",Constants!$B$19*IF($AH440,$AI440,0))</f>
        <v/>
      </c>
      <c r="AY440" s="130" t="str">
        <f aca="false">IF($BD440&lt;&gt;Constants!$B$6,"",IF(AND($AH440,ISNUMBER($AK440)),Constants!$B$20*(Constants!$B$21-$AK440),0))</f>
        <v/>
      </c>
      <c r="AZ440" s="130" t="str">
        <f aca="false">IF($BD440&lt;&gt;Constants!$B$6,"",IF($AG440,0,Constants!$B$12)+IF($AF440,0,Constants!$B$13)+IF($Y440,0,Constants!$B$14))</f>
        <v/>
      </c>
      <c r="BA440" s="131" t="str">
        <f aca="false">IF($BD440&lt;&gt;Constants!$B$6,"",Constants!$B$16+SUM($AW440:$AZ440))</f>
        <v/>
      </c>
      <c r="BB440" s="130" t="str">
        <f aca="false">IF($BD440&lt;&gt;Constants!$B$6,"",IF($AH440,$AJ440,""))</f>
        <v/>
      </c>
      <c r="BC440" s="132" t="str">
        <f aca="false">IF($BD440&lt;&gt;Constants!$B$6,"",$AX440)</f>
        <v/>
      </c>
      <c r="BD440" s="127" t="str">
        <f aca="false">IF(ISBLANK($C440),"",IF($AL440,Constants!$B$9,IF(COUNTA($E440:$T440)=0,Constants!$B$8,IF(NOT($X440),Constants!$B$7,IF(OR($AM440,$AV440),Constants!$B$10,Constants!$B$6)))))</f>
        <v/>
      </c>
      <c r="BE440" s="127" t="str">
        <f aca="false">IF(ISBLANK($C440),"",IF($BD440&lt;&gt;Constants!$B$6,$BD440,Constants!$B$11))</f>
        <v/>
      </c>
      <c r="BF440" s="130" t="str">
        <f aca="false">IF($BD440&lt;&gt;Constants!$B$6,"",IF($AU440="-&gt;",$BA440,$AR440))</f>
        <v/>
      </c>
      <c r="BG440" s="130" t="str">
        <f aca="false">IF($BD440&lt;&gt;Constants!$B$6,"",IF($W440,0,Constants!$B$15))</f>
        <v/>
      </c>
      <c r="BH440" s="130" t="str">
        <f aca="false">IF(ISBLANK($C440),"",IF($BD440&lt;&gt;Constants!$B$6,$BD440,SUM($BF440:$BG440)))</f>
        <v/>
      </c>
      <c r="BI440" s="127" t="str">
        <f aca="false">IF(ISBLANK($C440),"",IF($BD440&lt;&gt;Constants!$B$6,$BD440,RANK($BH440,$BH$9:$BH$508,1)))</f>
        <v/>
      </c>
      <c r="BJ440" s="130" t="str">
        <f aca="false">IF($BD440&lt;&gt;Constants!$B$6,"",IF($AU440="-&gt;",$BB440,$AS440))</f>
        <v/>
      </c>
      <c r="BK440" s="127" t="str">
        <f aca="false">IF(ISBLANK($C440),"",IF($BD440&lt;&gt;Constants!$B$6,$BD440,IF(ISNUMBER($BJ440),RANK($BJ440,$BJ$9:$BJ$508,1),COUNT($BJ$9:$BJ$508)+1)))</f>
        <v/>
      </c>
      <c r="BL440" s="130" t="str">
        <f aca="false">IF($BD440&lt;&gt;Constants!$B$6,"",IF($AU440="-&gt;",$BC440,$AT440))</f>
        <v/>
      </c>
      <c r="BM440" s="127" t="str">
        <f aca="false">IF(ISBLANK($C440),"",IF($BD440&lt;&gt;Constants!$B$6,$BD440,IF(ISNUMBER($BL440),RANK($BL440,$BL$9:$BL$508,1),COUNT($BL$9:$BL$508)+1)))</f>
        <v/>
      </c>
      <c r="BN440" s="130" t="str">
        <f aca="false">IF($BD440&lt;&gt;Constants!$B$6,"",IF($AU440="-&gt;",$AS440,$BB440))</f>
        <v/>
      </c>
      <c r="BO440" s="127" t="str">
        <f aca="false">IF(ISBLANK($C440),"",IF($BD440&lt;&gt;Constants!$B$6,$BD440,IF(ISNUMBER($BN440),RANK($BN440,$BN$9:$BN$508,1),COUNT($BN$9:$BN$508)+1)))</f>
        <v/>
      </c>
      <c r="BP440" s="130" t="str">
        <f aca="false">IF($BD440&lt;&gt;Constants!$B$6,"",IF($AU440="-&gt;",$AT440,$BC440))</f>
        <v/>
      </c>
      <c r="BQ440" s="127" t="str">
        <f aca="false">IF(ISBLANK($C440),"",IF($BD440&lt;&gt;Constants!$B$6,$BD440,IF(ISNUMBER($BP440),RANK($BP440,$BP$9:$BP$508,1),COUNT($BP$9:$BP$508)+1)))</f>
        <v/>
      </c>
      <c r="BR440" s="127" t="str">
        <f aca="false">IF(ISBLANK($C440),"",IF($BD440&lt;&gt;Constants!$B$6,$BD440,COUNTIFS($BI$9:$BI$508,"&lt;"&amp;$BI440)+COUNTIFS($BI$9:$BI$508,$BI440,$BK$9:$BK$508,"&lt;"&amp;$BK440)+COUNTIFS($BI$9:$BI$508,$BI440,$BK$9:$BK$508,$BK440,$BM$9:$BM$508,"&lt;"&amp;$BM440)+COUNTIFS($BI$9:$BI$508,$BI440,$BK$9:$BK$508,$BK440,$BM$9:$BM$508,$BM440,$BO$9:$BO$508,"&lt;"&amp;$BO440)+COUNTIFS($BI$9:$BI$508,$BI440,$BK$9:$BK$508,$BK440,$BM$9:$BM$508,$BM440,$BO$9:$BO$508,$BO440,$BQ$9:$BQ$508,"&lt;"&amp;$BQ440)+1))</f>
        <v/>
      </c>
      <c r="BS440" s="127" t="str">
        <f aca="false">IF(ISBLANK($C440),"",IF($BD440&lt;&gt;Constants!$B$6,$BD440,$BI440-$BR440))</f>
        <v/>
      </c>
      <c r="BT440" s="133"/>
      <c r="BU440" s="134"/>
      <c r="BV440" s="134" t="str">
        <f aca="false">IF(ISBLANK($C440),"",IF($BD440&lt;&gt;Constants!$B$6,"",IF($AU440="-&gt;",2,1)))</f>
        <v/>
      </c>
      <c r="BW440" s="135" t="str">
        <f aca="false">IF(ISBLANK($C440),"",IF($BD440&lt;&gt;Constants!$B$6,"",IF($AU440="-&gt;",$AW440,$AN440)))</f>
        <v/>
      </c>
      <c r="BX440" s="135" t="str">
        <f aca="false">IF(ISBLANK($C440),"",IF($BD440&lt;&gt;Constants!$B$6,"",IF($AU440="-&gt;",$AX440,$AO440)))</f>
        <v/>
      </c>
      <c r="BY440" s="135" t="str">
        <f aca="false">IF(ISBLANK($C440),"",IF($BD440&lt;&gt;Constants!$B$6,"",IF($AU440="-&gt;",$AY440,$AP440)))</f>
        <v/>
      </c>
      <c r="BZ440" s="135" t="str">
        <f aca="false">IF(ISBLANK($C440),"",IF($BD440&lt;&gt;Constants!$B$6,"",IF($AU440="-&gt;",$AZ440,$AQ440)+$BG440))</f>
        <v/>
      </c>
      <c r="CA440" s="136" t="str">
        <f aca="false">IF(ISBLANK($C440),"",IF($BD440&lt;&gt;Constants!$B$6,$BD440,$BH440))</f>
        <v/>
      </c>
      <c r="CB440" s="137" t="str">
        <f aca="false">IF(ISBLANK($C440),"",$BE440)</f>
        <v/>
      </c>
      <c r="CC440" s="138" t="str">
        <f aca="false">IF(ISBLANK($C440),"",$BS440)</f>
        <v/>
      </c>
      <c r="CD440" s="138" t="str">
        <f aca="false">IF(ISBLANK($C440),"",$BR440)</f>
        <v/>
      </c>
      <c r="CE440" s="139" t="str">
        <f aca="false">IF(ISBLANK($C440),"",IF($CD440=Constants!$B$9,COUNTA($C$9:$C$508)+2,IF($CD440=Constants!$B$8,COUNTA($C$9:$C$508)+1,IF($CD440=Constants!$B$7,COUNTA($C$9:$C$508),$CD440))))</f>
        <v/>
      </c>
      <c r="CF440" s="9"/>
      <c r="CG440" s="140" t="n">
        <f aca="false">IF(OR(ISNUMBER($CD440),$CD440=Constants!$B$9,$CD440=Constants!$B$7,$CD440=Constants!$B$8),1,0)</f>
        <v>0</v>
      </c>
      <c r="CH440" s="140" t="n">
        <v>432</v>
      </c>
      <c r="CI440" s="140" t="str">
        <f aca="false">IF(ISBLANK($C440),"",IF(ISNUMBER($CE440),$CE440+ROW($B440)/1000,""))</f>
        <v/>
      </c>
      <c r="CJ440" s="140" t="str">
        <f aca="false">IF(ISNUMBER($CI440),RANK($CI440,$CI$9:$CI$508,1),"")</f>
        <v/>
      </c>
      <c r="CK440" s="140" t="str">
        <f aca="false">IF(ISBLANK($C440),"",$B440)</f>
        <v/>
      </c>
      <c r="CL440" s="140" t="str">
        <f aca="false">IF(ISBLANK($C440),"",$C440)</f>
        <v/>
      </c>
      <c r="CM440" s="140" t="str">
        <f aca="false">IF(ISBLANK($C440),"",$D440)</f>
        <v/>
      </c>
      <c r="CN440" s="141" t="str">
        <f aca="false">$CB440</f>
        <v/>
      </c>
      <c r="CO440" s="142" t="str">
        <f aca="false">$CA440</f>
        <v/>
      </c>
      <c r="CP440" s="140" t="str">
        <f aca="false">IF(ISBLANK($C440),"",$CD440)</f>
        <v/>
      </c>
      <c r="CQ440" s="143" t="str">
        <f aca="false">IF($CH440&gt;$CG$8,"",VLOOKUP($CH440,$CJ$9:$CP$508,7,FALSE()))</f>
        <v/>
      </c>
      <c r="CR440" s="144" t="str">
        <f aca="false">IF($CH440&gt;$CG$8,"",VLOOKUP($CH440,$CJ$9:$CP$508,2,FALSE()))</f>
        <v/>
      </c>
      <c r="CS440" s="144" t="str">
        <f aca="false">IF($CH440&gt;$CG$8,"",VLOOKUP($CH440,$CJ$9:$CP$508,3,FALSE()))</f>
        <v/>
      </c>
      <c r="CT440" s="144" t="str">
        <f aca="false">IF($CH440&gt;$CG$8,"",VLOOKUP($CH440,$CJ$9:$CP$508,4,FALSE()))</f>
        <v/>
      </c>
      <c r="CU440" s="144" t="str">
        <f aca="false">IF($CH440&gt;$CG$8,"",VLOOKUP($CH440,$CJ$9:$CP$508,5,FALSE()))</f>
        <v/>
      </c>
      <c r="CV440" s="145" t="str">
        <f aca="false">IF($CH440&gt;$CG$8,"",VLOOKUP($CH440,$CJ$9:$CP$508,6,FALSE()))</f>
        <v/>
      </c>
      <c r="CW440" s="71"/>
    </row>
    <row r="441" customFormat="false" ht="15.75" hidden="false" customHeight="false" outlineLevel="0" collapsed="false">
      <c r="A441" s="9"/>
      <c r="B441" s="72"/>
      <c r="C441" s="73"/>
      <c r="D441" s="160"/>
      <c r="E441" s="168"/>
      <c r="F441" s="162"/>
      <c r="G441" s="163"/>
      <c r="H441" s="169"/>
      <c r="I441" s="167"/>
      <c r="J441" s="80"/>
      <c r="K441" s="81"/>
      <c r="L441" s="82"/>
      <c r="M441" s="166"/>
      <c r="N441" s="167"/>
      <c r="O441" s="167"/>
      <c r="P441" s="80"/>
      <c r="Q441" s="82"/>
      <c r="R441" s="82"/>
      <c r="S441" s="166"/>
      <c r="T441" s="167"/>
      <c r="U441" s="86"/>
      <c r="V441" s="87"/>
      <c r="W441" s="87" t="str">
        <f aca="false">IF(ISBLANK($C441),"",IF(E441=Constants!$B$2,TRUE(),IF(E441=Constants!$B$3,FALSE(),TRUE())))</f>
        <v/>
      </c>
      <c r="X441" s="87" t="str">
        <f aca="false">IF(ISBLANK($C441),"",IF(F441=Constants!$B$2,TRUE(),IF(F441=Constants!$B$3,FALSE(),TRUE())))</f>
        <v/>
      </c>
      <c r="Y441" s="87" t="str">
        <f aca="false">IF(ISBLANK($C441),"",IF(G441=Constants!$B$2,TRUE(),IF(G441=Constants!$B$3,FALSE(),TRUE())))</f>
        <v/>
      </c>
      <c r="Z441" s="87" t="str">
        <f aca="false">IF(ISBLANK($C441),"",IF(H441=Constants!$B$2,TRUE(),IF(H441=Constants!$B$3,FALSE(),TRUE())))</f>
        <v/>
      </c>
      <c r="AA441" s="87" t="str">
        <f aca="false">IF(ISBLANK($C441),"",IF(I441=Constants!$B$2,TRUE(),IF(I441=Constants!$B$3,FALSE(),TRUE())))</f>
        <v/>
      </c>
      <c r="AB441" s="87" t="str">
        <f aca="false">IF(ISBLANK($C441),"",IF(J441=Constants!$B$4,TRUE(),IF(J441=Constants!$B$5,FALSE(),COUNTA(K441:M441)&gt;0)))</f>
        <v/>
      </c>
      <c r="AC441" s="88" t="str">
        <f aca="false">IF(ISBLANK($C441),"",IF(ISNUMBER(K441),IF(K441&gt;=0,K441,""),""))</f>
        <v/>
      </c>
      <c r="AD441" s="89" t="str">
        <f aca="false">IF(ISBLANK($C441),"",IF(ISNUMBER(L441),IF(L441&gt;=0,L441,""),""))</f>
        <v/>
      </c>
      <c r="AE441" s="87" t="str">
        <f aca="false">IF(ISBLANK($C441),"",IF(ISNUMBER(M441),IF(M441&gt;=0,MIN(M441,Constants!$B$22),""),""))</f>
        <v/>
      </c>
      <c r="AF441" s="87" t="str">
        <f aca="false">IF(ISBLANK($C441),"",IF(N441=Constants!$B$2,TRUE(),IF(N441=Constants!$B$3,FALSE(),TRUE())))</f>
        <v/>
      </c>
      <c r="AG441" s="87" t="str">
        <f aca="false">IF(ISBLANK($C441),"",IF(O441=Constants!$B$2,TRUE(),IF(O441=Constants!$B$3,FALSE(),TRUE())))</f>
        <v/>
      </c>
      <c r="AH441" s="87" t="str">
        <f aca="false">IF(ISBLANK($C441),"",IF(P441=Constants!$B$4,TRUE(),IF(P441=Constants!$B$5,FALSE(),COUNTA(Q441:S441)&gt;0)))</f>
        <v/>
      </c>
      <c r="AI441" s="88" t="str">
        <f aca="false">IF(ISBLANK($C441),"",IF(ISNUMBER(Q441),IF(Q441&gt;=0,Q441,""),""))</f>
        <v/>
      </c>
      <c r="AJ441" s="89" t="str">
        <f aca="false">IF(ISBLANK($C441),"",IF(ISNUMBER(R441),IF(R441&gt;=0,R441,""),""))</f>
        <v/>
      </c>
      <c r="AK441" s="87" t="str">
        <f aca="false">IF(ISBLANK($C441),"",IF(ISNUMBER(S441),IF(S441&gt;=0,MIN(S441,Constants!$B$22),""),""))</f>
        <v/>
      </c>
      <c r="AL441" s="87" t="str">
        <f aca="false">IF(ISBLANK($C441),"",IF(T441=Constants!$B$2,TRUE(),IF(T441=Constants!$B$3,FALSE(),FALSE())))</f>
        <v/>
      </c>
      <c r="AM441" s="86" t="str">
        <f aca="false">IF(ISBLANK($C441),"",AND($AB441,OR($AC441="",$AD441="",AND(NOT(ISBLANK($M441)),$AE441=""))))</f>
        <v/>
      </c>
      <c r="AN441" s="89" t="str">
        <f aca="false">IF($BD441&lt;&gt;Constants!$B$6,"",IF($AB441,Constants!$B$17*$AD441,Constants!$B$18))</f>
        <v/>
      </c>
      <c r="AO441" s="91" t="str">
        <f aca="false">IF($BD441&lt;&gt;Constants!$B$6,"",Constants!$B$19*IF($AB441,$AC441,0))</f>
        <v/>
      </c>
      <c r="AP441" s="91" t="str">
        <f aca="false">IF($BD441&lt;&gt;Constants!$B$6,"",IF(AND($AB441,ISNUMBER($AE441)),Constants!$B$20*(Constants!$B$21-$AE441),0))</f>
        <v/>
      </c>
      <c r="AQ441" s="91" t="str">
        <f aca="false">IF($BD441&lt;&gt;Constants!$B$6,"",IF($AA441,0,Constants!$B$12)+IF($Z441,0,Constants!$B$13)+IF($Y441,0,Constants!$B$14))</f>
        <v/>
      </c>
      <c r="AR441" s="92" t="str">
        <f aca="false">IF($BD441&lt;&gt;Constants!$B$6,"",Constants!$B$16+SUM($AN441:$AQ441))</f>
        <v/>
      </c>
      <c r="AS441" s="91" t="str">
        <f aca="false">IF($BD441&lt;&gt;Constants!$B$6,"",IF($AB441,$AD441,""))</f>
        <v/>
      </c>
      <c r="AT441" s="93" t="str">
        <f aca="false">IF($BD441&lt;&gt;Constants!$B$6,"",$AO441)</f>
        <v/>
      </c>
      <c r="AU441" s="87" t="str">
        <f aca="false">IF($BD441&lt;&gt;Constants!$B$6,"",IF(OR($BA441&lt;$AR441,AND($BA441=$AR441,OR(AND(ISNUMBER($BB441),OR(NOT(ISNUMBER($AS441)),$BB441&lt;$AS441)),AND(OR(AND($BB441="",$AS441=""),AND(ISNUMBER($BB441),ISNUMBER($AS441),$BB441=$AS441)),$BC441&lt;$AT441)))),"-&gt;","&lt;-"))</f>
        <v/>
      </c>
      <c r="AV441" s="86" t="str">
        <f aca="false">IF(ISBLANK($C441),"",AND($AH441,OR($AI441="",$AJ441="",AND(NOT(ISBLANK($S441)),$AK441=""))))</f>
        <v/>
      </c>
      <c r="AW441" s="89" t="str">
        <f aca="false">IF($BD441&lt;&gt;Constants!$B$6,"",IF($AH441,Constants!$B$17*$AJ441,Constants!$B$18))</f>
        <v/>
      </c>
      <c r="AX441" s="91" t="str">
        <f aca="false">IF($BD441&lt;&gt;Constants!$B$6,"",Constants!$B$19*IF($AH441,$AI441,0))</f>
        <v/>
      </c>
      <c r="AY441" s="91" t="str">
        <f aca="false">IF($BD441&lt;&gt;Constants!$B$6,"",IF(AND($AH441,ISNUMBER($AK441)),Constants!$B$20*(Constants!$B$21-$AK441),0))</f>
        <v/>
      </c>
      <c r="AZ441" s="91" t="str">
        <f aca="false">IF($BD441&lt;&gt;Constants!$B$6,"",IF($AG441,0,Constants!$B$12)+IF($AF441,0,Constants!$B$13)+IF($Y441,0,Constants!$B$14))</f>
        <v/>
      </c>
      <c r="BA441" s="92" t="str">
        <f aca="false">IF($BD441&lt;&gt;Constants!$B$6,"",Constants!$B$16+SUM($AW441:$AZ441))</f>
        <v/>
      </c>
      <c r="BB441" s="91" t="str">
        <f aca="false">IF($BD441&lt;&gt;Constants!$B$6,"",IF($AH441,$AJ441,""))</f>
        <v/>
      </c>
      <c r="BC441" s="93" t="str">
        <f aca="false">IF($BD441&lt;&gt;Constants!$B$6,"",$AX441)</f>
        <v/>
      </c>
      <c r="BD441" s="87" t="str">
        <f aca="false">IF(ISBLANK($C441),"",IF($AL441,Constants!$B$9,IF(COUNTA($E441:$T441)=0,Constants!$B$8,IF(NOT($X441),Constants!$B$7,IF(OR($AM441,$AV441),Constants!$B$10,Constants!$B$6)))))</f>
        <v/>
      </c>
      <c r="BE441" s="87" t="str">
        <f aca="false">IF(ISBLANK($C441),"",IF($BD441&lt;&gt;Constants!$B$6,$BD441,Constants!$B$11))</f>
        <v/>
      </c>
      <c r="BF441" s="91" t="str">
        <f aca="false">IF($BD441&lt;&gt;Constants!$B$6,"",IF($AU441="-&gt;",$BA441,$AR441))</f>
        <v/>
      </c>
      <c r="BG441" s="91" t="str">
        <f aca="false">IF($BD441&lt;&gt;Constants!$B$6,"",IF($W441,0,Constants!$B$15))</f>
        <v/>
      </c>
      <c r="BH441" s="91" t="str">
        <f aca="false">IF(ISBLANK($C441),"",IF($BD441&lt;&gt;Constants!$B$6,$BD441,SUM($BF441:$BG441)))</f>
        <v/>
      </c>
      <c r="BI441" s="87" t="str">
        <f aca="false">IF(ISBLANK($C441),"",IF($BD441&lt;&gt;Constants!$B$6,$BD441,RANK($BH441,$BH$9:$BH$508,1)))</f>
        <v/>
      </c>
      <c r="BJ441" s="91" t="str">
        <f aca="false">IF($BD441&lt;&gt;Constants!$B$6,"",IF($AU441="-&gt;",$BB441,$AS441))</f>
        <v/>
      </c>
      <c r="BK441" s="87" t="str">
        <f aca="false">IF(ISBLANK($C441),"",IF($BD441&lt;&gt;Constants!$B$6,$BD441,IF(ISNUMBER($BJ441),RANK($BJ441,$BJ$9:$BJ$508,1),COUNT($BJ$9:$BJ$508)+1)))</f>
        <v/>
      </c>
      <c r="BL441" s="91" t="str">
        <f aca="false">IF($BD441&lt;&gt;Constants!$B$6,"",IF($AU441="-&gt;",$BC441,$AT441))</f>
        <v/>
      </c>
      <c r="BM441" s="87" t="str">
        <f aca="false">IF(ISBLANK($C441),"",IF($BD441&lt;&gt;Constants!$B$6,$BD441,IF(ISNUMBER($BL441),RANK($BL441,$BL$9:$BL$508,1),COUNT($BL$9:$BL$508)+1)))</f>
        <v/>
      </c>
      <c r="BN441" s="91" t="str">
        <f aca="false">IF($BD441&lt;&gt;Constants!$B$6,"",IF($AU441="-&gt;",$AS441,$BB441))</f>
        <v/>
      </c>
      <c r="BO441" s="87" t="str">
        <f aca="false">IF(ISBLANK($C441),"",IF($BD441&lt;&gt;Constants!$B$6,$BD441,IF(ISNUMBER($BN441),RANK($BN441,$BN$9:$BN$508,1),COUNT($BN$9:$BN$508)+1)))</f>
        <v/>
      </c>
      <c r="BP441" s="91" t="str">
        <f aca="false">IF($BD441&lt;&gt;Constants!$B$6,"",IF($AU441="-&gt;",$AT441,$BC441))</f>
        <v/>
      </c>
      <c r="BQ441" s="87" t="str">
        <f aca="false">IF(ISBLANK($C441),"",IF($BD441&lt;&gt;Constants!$B$6,$BD441,IF(ISNUMBER($BP441),RANK($BP441,$BP$9:$BP$508,1),COUNT($BP$9:$BP$508)+1)))</f>
        <v/>
      </c>
      <c r="BR441" s="87" t="str">
        <f aca="false">IF(ISBLANK($C441),"",IF($BD441&lt;&gt;Constants!$B$6,$BD441,COUNTIFS($BI$9:$BI$508,"&lt;"&amp;$BI441)+COUNTIFS($BI$9:$BI$508,$BI441,$BK$9:$BK$508,"&lt;"&amp;$BK441)+COUNTIFS($BI$9:$BI$508,$BI441,$BK$9:$BK$508,$BK441,$BM$9:$BM$508,"&lt;"&amp;$BM441)+COUNTIFS($BI$9:$BI$508,$BI441,$BK$9:$BK$508,$BK441,$BM$9:$BM$508,$BM441,$BO$9:$BO$508,"&lt;"&amp;$BO441)+COUNTIFS($BI$9:$BI$508,$BI441,$BK$9:$BK$508,$BK441,$BM$9:$BM$508,$BM441,$BO$9:$BO$508,$BO441,$BQ$9:$BQ$508,"&lt;"&amp;$BQ441)+1))</f>
        <v/>
      </c>
      <c r="BS441" s="87" t="str">
        <f aca="false">IF(ISBLANK($C441),"",IF($BD441&lt;&gt;Constants!$B$6,$BD441,$BI441-$BR441))</f>
        <v/>
      </c>
      <c r="BT441" s="94"/>
      <c r="BU441" s="95"/>
      <c r="BV441" s="95" t="str">
        <f aca="false">IF(ISBLANK($C441),"",IF($BD441&lt;&gt;Constants!$B$6,"",IF($AU441="-&gt;",2,1)))</f>
        <v/>
      </c>
      <c r="BW441" s="96" t="str">
        <f aca="false">IF(ISBLANK($C441),"",IF($BD441&lt;&gt;Constants!$B$6,"",IF($AU441="-&gt;",$AW441,$AN441)))</f>
        <v/>
      </c>
      <c r="BX441" s="96" t="str">
        <f aca="false">IF(ISBLANK($C441),"",IF($BD441&lt;&gt;Constants!$B$6,"",IF($AU441="-&gt;",$AX441,$AO441)))</f>
        <v/>
      </c>
      <c r="BY441" s="96" t="str">
        <f aca="false">IF(ISBLANK($C441),"",IF($BD441&lt;&gt;Constants!$B$6,"",IF($AU441="-&gt;",$AY441,$AP441)))</f>
        <v/>
      </c>
      <c r="BZ441" s="96" t="str">
        <f aca="false">IF(ISBLANK($C441),"",IF($BD441&lt;&gt;Constants!$B$6,"",IF($AU441="-&gt;",$AZ441,$AQ441)+$BG441))</f>
        <v/>
      </c>
      <c r="CA441" s="97" t="str">
        <f aca="false">IF(ISBLANK($C441),"",IF($BD441&lt;&gt;Constants!$B$6,$BD441,$BH441))</f>
        <v/>
      </c>
      <c r="CB441" s="98" t="str">
        <f aca="false">IF(ISBLANK($C441),"",$BE441)</f>
        <v/>
      </c>
      <c r="CC441" s="99" t="str">
        <f aca="false">IF(ISBLANK($C441),"",$BS441)</f>
        <v/>
      </c>
      <c r="CD441" s="99" t="str">
        <f aca="false">IF(ISBLANK($C441),"",$BR441)</f>
        <v/>
      </c>
      <c r="CE441" s="100" t="str">
        <f aca="false">IF(ISBLANK($C441),"",IF($CD441=Constants!$B$9,COUNTA($C$9:$C$508)+2,IF($CD441=Constants!$B$8,COUNTA($C$9:$C$508)+1,IF($CD441=Constants!$B$7,COUNTA($C$9:$C$508),$CD441))))</f>
        <v/>
      </c>
      <c r="CF441" s="9"/>
      <c r="CG441" s="101" t="n">
        <f aca="false">IF(OR(ISNUMBER($CD441),$CD441=Constants!$B$9,$CD441=Constants!$B$7,$CD441=Constants!$B$8),1,0)</f>
        <v>0</v>
      </c>
      <c r="CH441" s="101" t="n">
        <v>433</v>
      </c>
      <c r="CI441" s="101" t="str">
        <f aca="false">IF(ISBLANK($C441),"",IF(ISNUMBER($CE441),$CE441+ROW($B441)/1000,""))</f>
        <v/>
      </c>
      <c r="CJ441" s="101" t="str">
        <f aca="false">IF(ISNUMBER($CI441),RANK($CI441,$CI$9:$CI$508,1),"")</f>
        <v/>
      </c>
      <c r="CK441" s="101" t="str">
        <f aca="false">IF(ISBLANK($C441),"",$B441)</f>
        <v/>
      </c>
      <c r="CL441" s="101" t="str">
        <f aca="false">IF(ISBLANK($C441),"",$C441)</f>
        <v/>
      </c>
      <c r="CM441" s="101" t="str">
        <f aca="false">IF(ISBLANK($C441),"",$D441)</f>
        <v/>
      </c>
      <c r="CN441" s="102" t="str">
        <f aca="false">$CB441</f>
        <v/>
      </c>
      <c r="CO441" s="103" t="str">
        <f aca="false">$CA441</f>
        <v/>
      </c>
      <c r="CP441" s="101" t="str">
        <f aca="false">IF(ISBLANK($C441),"",$CD441)</f>
        <v/>
      </c>
      <c r="CQ441" s="104" t="str">
        <f aca="false">IF($CH441&gt;$CG$8,"",VLOOKUP($CH441,$CJ$9:$CP$508,7,FALSE()))</f>
        <v/>
      </c>
      <c r="CR441" s="105" t="str">
        <f aca="false">IF($CH441&gt;$CG$8,"",VLOOKUP($CH441,$CJ$9:$CP$508,2,FALSE()))</f>
        <v/>
      </c>
      <c r="CS441" s="105" t="str">
        <f aca="false">IF($CH441&gt;$CG$8,"",VLOOKUP($CH441,$CJ$9:$CP$508,3,FALSE()))</f>
        <v/>
      </c>
      <c r="CT441" s="105" t="str">
        <f aca="false">IF($CH441&gt;$CG$8,"",VLOOKUP($CH441,$CJ$9:$CP$508,4,FALSE()))</f>
        <v/>
      </c>
      <c r="CU441" s="105" t="str">
        <f aca="false">IF($CH441&gt;$CG$8,"",VLOOKUP($CH441,$CJ$9:$CP$508,5,FALSE()))</f>
        <v/>
      </c>
      <c r="CV441" s="106" t="str">
        <f aca="false">IF($CH441&gt;$CG$8,"",VLOOKUP($CH441,$CJ$9:$CP$508,6,FALSE()))</f>
        <v/>
      </c>
      <c r="CW441" s="71"/>
    </row>
    <row r="442" customFormat="false" ht="15.75" hidden="false" customHeight="false" outlineLevel="0" collapsed="false">
      <c r="A442" s="9"/>
      <c r="B442" s="72"/>
      <c r="C442" s="73"/>
      <c r="D442" s="160"/>
      <c r="E442" s="168"/>
      <c r="F442" s="162"/>
      <c r="G442" s="163"/>
      <c r="H442" s="169"/>
      <c r="I442" s="167"/>
      <c r="J442" s="80"/>
      <c r="K442" s="81"/>
      <c r="L442" s="82"/>
      <c r="M442" s="166"/>
      <c r="N442" s="167"/>
      <c r="O442" s="167"/>
      <c r="P442" s="80"/>
      <c r="Q442" s="82"/>
      <c r="R442" s="82"/>
      <c r="S442" s="166"/>
      <c r="T442" s="167"/>
      <c r="U442" s="86"/>
      <c r="V442" s="87"/>
      <c r="W442" s="87" t="str">
        <f aca="false">IF(ISBLANK($C442),"",IF(E442=Constants!$B$2,TRUE(),IF(E442=Constants!$B$3,FALSE(),TRUE())))</f>
        <v/>
      </c>
      <c r="X442" s="87" t="str">
        <f aca="false">IF(ISBLANK($C442),"",IF(F442=Constants!$B$2,TRUE(),IF(F442=Constants!$B$3,FALSE(),TRUE())))</f>
        <v/>
      </c>
      <c r="Y442" s="87" t="str">
        <f aca="false">IF(ISBLANK($C442),"",IF(G442=Constants!$B$2,TRUE(),IF(G442=Constants!$B$3,FALSE(),TRUE())))</f>
        <v/>
      </c>
      <c r="Z442" s="87" t="str">
        <f aca="false">IF(ISBLANK($C442),"",IF(H442=Constants!$B$2,TRUE(),IF(H442=Constants!$B$3,FALSE(),TRUE())))</f>
        <v/>
      </c>
      <c r="AA442" s="87" t="str">
        <f aca="false">IF(ISBLANK($C442),"",IF(I442=Constants!$B$2,TRUE(),IF(I442=Constants!$B$3,FALSE(),TRUE())))</f>
        <v/>
      </c>
      <c r="AB442" s="87" t="str">
        <f aca="false">IF(ISBLANK($C442),"",IF(J442=Constants!$B$4,TRUE(),IF(J442=Constants!$B$5,FALSE(),COUNTA(K442:M442)&gt;0)))</f>
        <v/>
      </c>
      <c r="AC442" s="88" t="str">
        <f aca="false">IF(ISBLANK($C442),"",IF(ISNUMBER(K442),IF(K442&gt;=0,K442,""),""))</f>
        <v/>
      </c>
      <c r="AD442" s="89" t="str">
        <f aca="false">IF(ISBLANK($C442),"",IF(ISNUMBER(L442),IF(L442&gt;=0,L442,""),""))</f>
        <v/>
      </c>
      <c r="AE442" s="87" t="str">
        <f aca="false">IF(ISBLANK($C442),"",IF(ISNUMBER(M442),IF(M442&gt;=0,MIN(M442,Constants!$B$22),""),""))</f>
        <v/>
      </c>
      <c r="AF442" s="87" t="str">
        <f aca="false">IF(ISBLANK($C442),"",IF(N442=Constants!$B$2,TRUE(),IF(N442=Constants!$B$3,FALSE(),TRUE())))</f>
        <v/>
      </c>
      <c r="AG442" s="87" t="str">
        <f aca="false">IF(ISBLANK($C442),"",IF(O442=Constants!$B$2,TRUE(),IF(O442=Constants!$B$3,FALSE(),TRUE())))</f>
        <v/>
      </c>
      <c r="AH442" s="87" t="str">
        <f aca="false">IF(ISBLANK($C442),"",IF(P442=Constants!$B$4,TRUE(),IF(P442=Constants!$B$5,FALSE(),COUNTA(Q442:S442)&gt;0)))</f>
        <v/>
      </c>
      <c r="AI442" s="88" t="str">
        <f aca="false">IF(ISBLANK($C442),"",IF(ISNUMBER(Q442),IF(Q442&gt;=0,Q442,""),""))</f>
        <v/>
      </c>
      <c r="AJ442" s="89" t="str">
        <f aca="false">IF(ISBLANK($C442),"",IF(ISNUMBER(R442),IF(R442&gt;=0,R442,""),""))</f>
        <v/>
      </c>
      <c r="AK442" s="87" t="str">
        <f aca="false">IF(ISBLANK($C442),"",IF(ISNUMBER(S442),IF(S442&gt;=0,MIN(S442,Constants!$B$22),""),""))</f>
        <v/>
      </c>
      <c r="AL442" s="87" t="str">
        <f aca="false">IF(ISBLANK($C442),"",IF(T442=Constants!$B$2,TRUE(),IF(T442=Constants!$B$3,FALSE(),FALSE())))</f>
        <v/>
      </c>
      <c r="AM442" s="86" t="str">
        <f aca="false">IF(ISBLANK($C442),"",AND($AB442,OR($AC442="",$AD442="",AND(NOT(ISBLANK($M442)),$AE442=""))))</f>
        <v/>
      </c>
      <c r="AN442" s="89" t="str">
        <f aca="false">IF($BD442&lt;&gt;Constants!$B$6,"",IF($AB442,Constants!$B$17*$AD442,Constants!$B$18))</f>
        <v/>
      </c>
      <c r="AO442" s="91" t="str">
        <f aca="false">IF($BD442&lt;&gt;Constants!$B$6,"",Constants!$B$19*IF($AB442,$AC442,0))</f>
        <v/>
      </c>
      <c r="AP442" s="91" t="str">
        <f aca="false">IF($BD442&lt;&gt;Constants!$B$6,"",IF(AND($AB442,ISNUMBER($AE442)),Constants!$B$20*(Constants!$B$21-$AE442),0))</f>
        <v/>
      </c>
      <c r="AQ442" s="91" t="str">
        <f aca="false">IF($BD442&lt;&gt;Constants!$B$6,"",IF($AA442,0,Constants!$B$12)+IF($Z442,0,Constants!$B$13)+IF($Y442,0,Constants!$B$14))</f>
        <v/>
      </c>
      <c r="AR442" s="92" t="str">
        <f aca="false">IF($BD442&lt;&gt;Constants!$B$6,"",Constants!$B$16+SUM($AN442:$AQ442))</f>
        <v/>
      </c>
      <c r="AS442" s="91" t="str">
        <f aca="false">IF($BD442&lt;&gt;Constants!$B$6,"",IF($AB442,$AD442,""))</f>
        <v/>
      </c>
      <c r="AT442" s="93" t="str">
        <f aca="false">IF($BD442&lt;&gt;Constants!$B$6,"",$AO442)</f>
        <v/>
      </c>
      <c r="AU442" s="87" t="str">
        <f aca="false">IF($BD442&lt;&gt;Constants!$B$6,"",IF(OR($BA442&lt;$AR442,AND($BA442=$AR442,OR(AND(ISNUMBER($BB442),OR(NOT(ISNUMBER($AS442)),$BB442&lt;$AS442)),AND(OR(AND($BB442="",$AS442=""),AND(ISNUMBER($BB442),ISNUMBER($AS442),$BB442=$AS442)),$BC442&lt;$AT442)))),"-&gt;","&lt;-"))</f>
        <v/>
      </c>
      <c r="AV442" s="86" t="str">
        <f aca="false">IF(ISBLANK($C442),"",AND($AH442,OR($AI442="",$AJ442="",AND(NOT(ISBLANK($S442)),$AK442=""))))</f>
        <v/>
      </c>
      <c r="AW442" s="89" t="str">
        <f aca="false">IF($BD442&lt;&gt;Constants!$B$6,"",IF($AH442,Constants!$B$17*$AJ442,Constants!$B$18))</f>
        <v/>
      </c>
      <c r="AX442" s="91" t="str">
        <f aca="false">IF($BD442&lt;&gt;Constants!$B$6,"",Constants!$B$19*IF($AH442,$AI442,0))</f>
        <v/>
      </c>
      <c r="AY442" s="91" t="str">
        <f aca="false">IF($BD442&lt;&gt;Constants!$B$6,"",IF(AND($AH442,ISNUMBER($AK442)),Constants!$B$20*(Constants!$B$21-$AK442),0))</f>
        <v/>
      </c>
      <c r="AZ442" s="91" t="str">
        <f aca="false">IF($BD442&lt;&gt;Constants!$B$6,"",IF($AG442,0,Constants!$B$12)+IF($AF442,0,Constants!$B$13)+IF($Y442,0,Constants!$B$14))</f>
        <v/>
      </c>
      <c r="BA442" s="92" t="str">
        <f aca="false">IF($BD442&lt;&gt;Constants!$B$6,"",Constants!$B$16+SUM($AW442:$AZ442))</f>
        <v/>
      </c>
      <c r="BB442" s="91" t="str">
        <f aca="false">IF($BD442&lt;&gt;Constants!$B$6,"",IF($AH442,$AJ442,""))</f>
        <v/>
      </c>
      <c r="BC442" s="93" t="str">
        <f aca="false">IF($BD442&lt;&gt;Constants!$B$6,"",$AX442)</f>
        <v/>
      </c>
      <c r="BD442" s="87" t="str">
        <f aca="false">IF(ISBLANK($C442),"",IF($AL442,Constants!$B$9,IF(COUNTA($E442:$T442)=0,Constants!$B$8,IF(NOT($X442),Constants!$B$7,IF(OR($AM442,$AV442),Constants!$B$10,Constants!$B$6)))))</f>
        <v/>
      </c>
      <c r="BE442" s="87" t="str">
        <f aca="false">IF(ISBLANK($C442),"",IF($BD442&lt;&gt;Constants!$B$6,$BD442,Constants!$B$11))</f>
        <v/>
      </c>
      <c r="BF442" s="91" t="str">
        <f aca="false">IF($BD442&lt;&gt;Constants!$B$6,"",IF($AU442="-&gt;",$BA442,$AR442))</f>
        <v/>
      </c>
      <c r="BG442" s="91" t="str">
        <f aca="false">IF($BD442&lt;&gt;Constants!$B$6,"",IF($W442,0,Constants!$B$15))</f>
        <v/>
      </c>
      <c r="BH442" s="91" t="str">
        <f aca="false">IF(ISBLANK($C442),"",IF($BD442&lt;&gt;Constants!$B$6,$BD442,SUM($BF442:$BG442)))</f>
        <v/>
      </c>
      <c r="BI442" s="87" t="str">
        <f aca="false">IF(ISBLANK($C442),"",IF($BD442&lt;&gt;Constants!$B$6,$BD442,RANK($BH442,$BH$9:$BH$508,1)))</f>
        <v/>
      </c>
      <c r="BJ442" s="91" t="str">
        <f aca="false">IF($BD442&lt;&gt;Constants!$B$6,"",IF($AU442="-&gt;",$BB442,$AS442))</f>
        <v/>
      </c>
      <c r="BK442" s="87" t="str">
        <f aca="false">IF(ISBLANK($C442),"",IF($BD442&lt;&gt;Constants!$B$6,$BD442,IF(ISNUMBER($BJ442),RANK($BJ442,$BJ$9:$BJ$508,1),COUNT($BJ$9:$BJ$508)+1)))</f>
        <v/>
      </c>
      <c r="BL442" s="91" t="str">
        <f aca="false">IF($BD442&lt;&gt;Constants!$B$6,"",IF($AU442="-&gt;",$BC442,$AT442))</f>
        <v/>
      </c>
      <c r="BM442" s="87" t="str">
        <f aca="false">IF(ISBLANK($C442),"",IF($BD442&lt;&gt;Constants!$B$6,$BD442,IF(ISNUMBER($BL442),RANK($BL442,$BL$9:$BL$508,1),COUNT($BL$9:$BL$508)+1)))</f>
        <v/>
      </c>
      <c r="BN442" s="91" t="str">
        <f aca="false">IF($BD442&lt;&gt;Constants!$B$6,"",IF($AU442="-&gt;",$AS442,$BB442))</f>
        <v/>
      </c>
      <c r="BO442" s="87" t="str">
        <f aca="false">IF(ISBLANK($C442),"",IF($BD442&lt;&gt;Constants!$B$6,$BD442,IF(ISNUMBER($BN442),RANK($BN442,$BN$9:$BN$508,1),COUNT($BN$9:$BN$508)+1)))</f>
        <v/>
      </c>
      <c r="BP442" s="91" t="str">
        <f aca="false">IF($BD442&lt;&gt;Constants!$B$6,"",IF($AU442="-&gt;",$AT442,$BC442))</f>
        <v/>
      </c>
      <c r="BQ442" s="87" t="str">
        <f aca="false">IF(ISBLANK($C442),"",IF($BD442&lt;&gt;Constants!$B$6,$BD442,IF(ISNUMBER($BP442),RANK($BP442,$BP$9:$BP$508,1),COUNT($BP$9:$BP$508)+1)))</f>
        <v/>
      </c>
      <c r="BR442" s="87" t="str">
        <f aca="false">IF(ISBLANK($C442),"",IF($BD442&lt;&gt;Constants!$B$6,$BD442,COUNTIFS($BI$9:$BI$508,"&lt;"&amp;$BI442)+COUNTIFS($BI$9:$BI$508,$BI442,$BK$9:$BK$508,"&lt;"&amp;$BK442)+COUNTIFS($BI$9:$BI$508,$BI442,$BK$9:$BK$508,$BK442,$BM$9:$BM$508,"&lt;"&amp;$BM442)+COUNTIFS($BI$9:$BI$508,$BI442,$BK$9:$BK$508,$BK442,$BM$9:$BM$508,$BM442,$BO$9:$BO$508,"&lt;"&amp;$BO442)+COUNTIFS($BI$9:$BI$508,$BI442,$BK$9:$BK$508,$BK442,$BM$9:$BM$508,$BM442,$BO$9:$BO$508,$BO442,$BQ$9:$BQ$508,"&lt;"&amp;$BQ442)+1))</f>
        <v/>
      </c>
      <c r="BS442" s="87" t="str">
        <f aca="false">IF(ISBLANK($C442),"",IF($BD442&lt;&gt;Constants!$B$6,$BD442,$BI442-$BR442))</f>
        <v/>
      </c>
      <c r="BT442" s="94"/>
      <c r="BU442" s="95"/>
      <c r="BV442" s="95" t="str">
        <f aca="false">IF(ISBLANK($C442),"",IF($BD442&lt;&gt;Constants!$B$6,"",IF($AU442="-&gt;",2,1)))</f>
        <v/>
      </c>
      <c r="BW442" s="96" t="str">
        <f aca="false">IF(ISBLANK($C442),"",IF($BD442&lt;&gt;Constants!$B$6,"",IF($AU442="-&gt;",$AW442,$AN442)))</f>
        <v/>
      </c>
      <c r="BX442" s="96" t="str">
        <f aca="false">IF(ISBLANK($C442),"",IF($BD442&lt;&gt;Constants!$B$6,"",IF($AU442="-&gt;",$AX442,$AO442)))</f>
        <v/>
      </c>
      <c r="BY442" s="96" t="str">
        <f aca="false">IF(ISBLANK($C442),"",IF($BD442&lt;&gt;Constants!$B$6,"",IF($AU442="-&gt;",$AY442,$AP442)))</f>
        <v/>
      </c>
      <c r="BZ442" s="96" t="str">
        <f aca="false">IF(ISBLANK($C442),"",IF($BD442&lt;&gt;Constants!$B$6,"",IF($AU442="-&gt;",$AZ442,$AQ442)+$BG442))</f>
        <v/>
      </c>
      <c r="CA442" s="97" t="str">
        <f aca="false">IF(ISBLANK($C442),"",IF($BD442&lt;&gt;Constants!$B$6,$BD442,$BH442))</f>
        <v/>
      </c>
      <c r="CB442" s="98" t="str">
        <f aca="false">IF(ISBLANK($C442),"",$BE442)</f>
        <v/>
      </c>
      <c r="CC442" s="99" t="str">
        <f aca="false">IF(ISBLANK($C442),"",$BS442)</f>
        <v/>
      </c>
      <c r="CD442" s="99" t="str">
        <f aca="false">IF(ISBLANK($C442),"",$BR442)</f>
        <v/>
      </c>
      <c r="CE442" s="100" t="str">
        <f aca="false">IF(ISBLANK($C442),"",IF($CD442=Constants!$B$9,COUNTA($C$9:$C$508)+2,IF($CD442=Constants!$B$8,COUNTA($C$9:$C$508)+1,IF($CD442=Constants!$B$7,COUNTA($C$9:$C$508),$CD442))))</f>
        <v/>
      </c>
      <c r="CF442" s="9"/>
      <c r="CG442" s="101" t="n">
        <f aca="false">IF(OR(ISNUMBER($CD442),$CD442=Constants!$B$9,$CD442=Constants!$B$7,$CD442=Constants!$B$8),1,0)</f>
        <v>0</v>
      </c>
      <c r="CH442" s="101" t="n">
        <v>434</v>
      </c>
      <c r="CI442" s="101" t="str">
        <f aca="false">IF(ISBLANK($C442),"",IF(ISNUMBER($CE442),$CE442+ROW($B442)/1000,""))</f>
        <v/>
      </c>
      <c r="CJ442" s="101" t="str">
        <f aca="false">IF(ISNUMBER($CI442),RANK($CI442,$CI$9:$CI$508,1),"")</f>
        <v/>
      </c>
      <c r="CK442" s="101" t="str">
        <f aca="false">IF(ISBLANK($C442),"",$B442)</f>
        <v/>
      </c>
      <c r="CL442" s="101" t="str">
        <f aca="false">IF(ISBLANK($C442),"",$C442)</f>
        <v/>
      </c>
      <c r="CM442" s="101" t="str">
        <f aca="false">IF(ISBLANK($C442),"",$D442)</f>
        <v/>
      </c>
      <c r="CN442" s="102" t="str">
        <f aca="false">$CB442</f>
        <v/>
      </c>
      <c r="CO442" s="103" t="str">
        <f aca="false">$CA442</f>
        <v/>
      </c>
      <c r="CP442" s="101" t="str">
        <f aca="false">IF(ISBLANK($C442),"",$CD442)</f>
        <v/>
      </c>
      <c r="CQ442" s="104" t="str">
        <f aca="false">IF($CH442&gt;$CG$8,"",VLOOKUP($CH442,$CJ$9:$CP$508,7,FALSE()))</f>
        <v/>
      </c>
      <c r="CR442" s="105" t="str">
        <f aca="false">IF($CH442&gt;$CG$8,"",VLOOKUP($CH442,$CJ$9:$CP$508,2,FALSE()))</f>
        <v/>
      </c>
      <c r="CS442" s="105" t="str">
        <f aca="false">IF($CH442&gt;$CG$8,"",VLOOKUP($CH442,$CJ$9:$CP$508,3,FALSE()))</f>
        <v/>
      </c>
      <c r="CT442" s="105" t="str">
        <f aca="false">IF($CH442&gt;$CG$8,"",VLOOKUP($CH442,$CJ$9:$CP$508,4,FALSE()))</f>
        <v/>
      </c>
      <c r="CU442" s="105" t="str">
        <f aca="false">IF($CH442&gt;$CG$8,"",VLOOKUP($CH442,$CJ$9:$CP$508,5,FALSE()))</f>
        <v/>
      </c>
      <c r="CV442" s="106" t="str">
        <f aca="false">IF($CH442&gt;$CG$8,"",VLOOKUP($CH442,$CJ$9:$CP$508,6,FALSE()))</f>
        <v/>
      </c>
      <c r="CW442" s="71"/>
    </row>
    <row r="443" customFormat="false" ht="15.75" hidden="false" customHeight="false" outlineLevel="0" collapsed="false">
      <c r="A443" s="9"/>
      <c r="B443" s="72"/>
      <c r="C443" s="73"/>
      <c r="D443" s="160"/>
      <c r="E443" s="168"/>
      <c r="F443" s="162"/>
      <c r="G443" s="163"/>
      <c r="H443" s="169"/>
      <c r="I443" s="167"/>
      <c r="J443" s="80"/>
      <c r="K443" s="81"/>
      <c r="L443" s="82"/>
      <c r="M443" s="166"/>
      <c r="N443" s="167"/>
      <c r="O443" s="167"/>
      <c r="P443" s="80"/>
      <c r="Q443" s="82"/>
      <c r="R443" s="82"/>
      <c r="S443" s="166"/>
      <c r="T443" s="167"/>
      <c r="U443" s="86"/>
      <c r="V443" s="87"/>
      <c r="W443" s="87" t="str">
        <f aca="false">IF(ISBLANK($C443),"",IF(E443=Constants!$B$2,TRUE(),IF(E443=Constants!$B$3,FALSE(),TRUE())))</f>
        <v/>
      </c>
      <c r="X443" s="87" t="str">
        <f aca="false">IF(ISBLANK($C443),"",IF(F443=Constants!$B$2,TRUE(),IF(F443=Constants!$B$3,FALSE(),TRUE())))</f>
        <v/>
      </c>
      <c r="Y443" s="87" t="str">
        <f aca="false">IF(ISBLANK($C443),"",IF(G443=Constants!$B$2,TRUE(),IF(G443=Constants!$B$3,FALSE(),TRUE())))</f>
        <v/>
      </c>
      <c r="Z443" s="87" t="str">
        <f aca="false">IF(ISBLANK($C443),"",IF(H443=Constants!$B$2,TRUE(),IF(H443=Constants!$B$3,FALSE(),TRUE())))</f>
        <v/>
      </c>
      <c r="AA443" s="87" t="str">
        <f aca="false">IF(ISBLANK($C443),"",IF(I443=Constants!$B$2,TRUE(),IF(I443=Constants!$B$3,FALSE(),TRUE())))</f>
        <v/>
      </c>
      <c r="AB443" s="87" t="str">
        <f aca="false">IF(ISBLANK($C443),"",IF(J443=Constants!$B$4,TRUE(),IF(J443=Constants!$B$5,FALSE(),COUNTA(K443:M443)&gt;0)))</f>
        <v/>
      </c>
      <c r="AC443" s="88" t="str">
        <f aca="false">IF(ISBLANK($C443),"",IF(ISNUMBER(K443),IF(K443&gt;=0,K443,""),""))</f>
        <v/>
      </c>
      <c r="AD443" s="89" t="str">
        <f aca="false">IF(ISBLANK($C443),"",IF(ISNUMBER(L443),IF(L443&gt;=0,L443,""),""))</f>
        <v/>
      </c>
      <c r="AE443" s="87" t="str">
        <f aca="false">IF(ISBLANK($C443),"",IF(ISNUMBER(M443),IF(M443&gt;=0,MIN(M443,Constants!$B$22),""),""))</f>
        <v/>
      </c>
      <c r="AF443" s="87" t="str">
        <f aca="false">IF(ISBLANK($C443),"",IF(N443=Constants!$B$2,TRUE(),IF(N443=Constants!$B$3,FALSE(),TRUE())))</f>
        <v/>
      </c>
      <c r="AG443" s="87" t="str">
        <f aca="false">IF(ISBLANK($C443),"",IF(O443=Constants!$B$2,TRUE(),IF(O443=Constants!$B$3,FALSE(),TRUE())))</f>
        <v/>
      </c>
      <c r="AH443" s="87" t="str">
        <f aca="false">IF(ISBLANK($C443),"",IF(P443=Constants!$B$4,TRUE(),IF(P443=Constants!$B$5,FALSE(),COUNTA(Q443:S443)&gt;0)))</f>
        <v/>
      </c>
      <c r="AI443" s="88" t="str">
        <f aca="false">IF(ISBLANK($C443),"",IF(ISNUMBER(Q443),IF(Q443&gt;=0,Q443,""),""))</f>
        <v/>
      </c>
      <c r="AJ443" s="89" t="str">
        <f aca="false">IF(ISBLANK($C443),"",IF(ISNUMBER(R443),IF(R443&gt;=0,R443,""),""))</f>
        <v/>
      </c>
      <c r="AK443" s="87" t="str">
        <f aca="false">IF(ISBLANK($C443),"",IF(ISNUMBER(S443),IF(S443&gt;=0,MIN(S443,Constants!$B$22),""),""))</f>
        <v/>
      </c>
      <c r="AL443" s="87" t="str">
        <f aca="false">IF(ISBLANK($C443),"",IF(T443=Constants!$B$2,TRUE(),IF(T443=Constants!$B$3,FALSE(),FALSE())))</f>
        <v/>
      </c>
      <c r="AM443" s="86" t="str">
        <f aca="false">IF(ISBLANK($C443),"",AND($AB443,OR($AC443="",$AD443="",AND(NOT(ISBLANK($M443)),$AE443=""))))</f>
        <v/>
      </c>
      <c r="AN443" s="89" t="str">
        <f aca="false">IF($BD443&lt;&gt;Constants!$B$6,"",IF($AB443,Constants!$B$17*$AD443,Constants!$B$18))</f>
        <v/>
      </c>
      <c r="AO443" s="91" t="str">
        <f aca="false">IF($BD443&lt;&gt;Constants!$B$6,"",Constants!$B$19*IF($AB443,$AC443,0))</f>
        <v/>
      </c>
      <c r="AP443" s="91" t="str">
        <f aca="false">IF($BD443&lt;&gt;Constants!$B$6,"",IF(AND($AB443,ISNUMBER($AE443)),Constants!$B$20*(Constants!$B$21-$AE443),0))</f>
        <v/>
      </c>
      <c r="AQ443" s="91" t="str">
        <f aca="false">IF($BD443&lt;&gt;Constants!$B$6,"",IF($AA443,0,Constants!$B$12)+IF($Z443,0,Constants!$B$13)+IF($Y443,0,Constants!$B$14))</f>
        <v/>
      </c>
      <c r="AR443" s="92" t="str">
        <f aca="false">IF($BD443&lt;&gt;Constants!$B$6,"",Constants!$B$16+SUM($AN443:$AQ443))</f>
        <v/>
      </c>
      <c r="AS443" s="91" t="str">
        <f aca="false">IF($BD443&lt;&gt;Constants!$B$6,"",IF($AB443,$AD443,""))</f>
        <v/>
      </c>
      <c r="AT443" s="93" t="str">
        <f aca="false">IF($BD443&lt;&gt;Constants!$B$6,"",$AO443)</f>
        <v/>
      </c>
      <c r="AU443" s="87" t="str">
        <f aca="false">IF($BD443&lt;&gt;Constants!$B$6,"",IF(OR($BA443&lt;$AR443,AND($BA443=$AR443,OR(AND(ISNUMBER($BB443),OR(NOT(ISNUMBER($AS443)),$BB443&lt;$AS443)),AND(OR(AND($BB443="",$AS443=""),AND(ISNUMBER($BB443),ISNUMBER($AS443),$BB443=$AS443)),$BC443&lt;$AT443)))),"-&gt;","&lt;-"))</f>
        <v/>
      </c>
      <c r="AV443" s="86" t="str">
        <f aca="false">IF(ISBLANK($C443),"",AND($AH443,OR($AI443="",$AJ443="",AND(NOT(ISBLANK($S443)),$AK443=""))))</f>
        <v/>
      </c>
      <c r="AW443" s="89" t="str">
        <f aca="false">IF($BD443&lt;&gt;Constants!$B$6,"",IF($AH443,Constants!$B$17*$AJ443,Constants!$B$18))</f>
        <v/>
      </c>
      <c r="AX443" s="91" t="str">
        <f aca="false">IF($BD443&lt;&gt;Constants!$B$6,"",Constants!$B$19*IF($AH443,$AI443,0))</f>
        <v/>
      </c>
      <c r="AY443" s="91" t="str">
        <f aca="false">IF($BD443&lt;&gt;Constants!$B$6,"",IF(AND($AH443,ISNUMBER($AK443)),Constants!$B$20*(Constants!$B$21-$AK443),0))</f>
        <v/>
      </c>
      <c r="AZ443" s="91" t="str">
        <f aca="false">IF($BD443&lt;&gt;Constants!$B$6,"",IF($AG443,0,Constants!$B$12)+IF($AF443,0,Constants!$B$13)+IF($Y443,0,Constants!$B$14))</f>
        <v/>
      </c>
      <c r="BA443" s="92" t="str">
        <f aca="false">IF($BD443&lt;&gt;Constants!$B$6,"",Constants!$B$16+SUM($AW443:$AZ443))</f>
        <v/>
      </c>
      <c r="BB443" s="91" t="str">
        <f aca="false">IF($BD443&lt;&gt;Constants!$B$6,"",IF($AH443,$AJ443,""))</f>
        <v/>
      </c>
      <c r="BC443" s="93" t="str">
        <f aca="false">IF($BD443&lt;&gt;Constants!$B$6,"",$AX443)</f>
        <v/>
      </c>
      <c r="BD443" s="87" t="str">
        <f aca="false">IF(ISBLANK($C443),"",IF($AL443,Constants!$B$9,IF(COUNTA($E443:$T443)=0,Constants!$B$8,IF(NOT($X443),Constants!$B$7,IF(OR($AM443,$AV443),Constants!$B$10,Constants!$B$6)))))</f>
        <v/>
      </c>
      <c r="BE443" s="87" t="str">
        <f aca="false">IF(ISBLANK($C443),"",IF($BD443&lt;&gt;Constants!$B$6,$BD443,Constants!$B$11))</f>
        <v/>
      </c>
      <c r="BF443" s="91" t="str">
        <f aca="false">IF($BD443&lt;&gt;Constants!$B$6,"",IF($AU443="-&gt;",$BA443,$AR443))</f>
        <v/>
      </c>
      <c r="BG443" s="91" t="str">
        <f aca="false">IF($BD443&lt;&gt;Constants!$B$6,"",IF($W443,0,Constants!$B$15))</f>
        <v/>
      </c>
      <c r="BH443" s="91" t="str">
        <f aca="false">IF(ISBLANK($C443),"",IF($BD443&lt;&gt;Constants!$B$6,$BD443,SUM($BF443:$BG443)))</f>
        <v/>
      </c>
      <c r="BI443" s="87" t="str">
        <f aca="false">IF(ISBLANK($C443),"",IF($BD443&lt;&gt;Constants!$B$6,$BD443,RANK($BH443,$BH$9:$BH$508,1)))</f>
        <v/>
      </c>
      <c r="BJ443" s="91" t="str">
        <f aca="false">IF($BD443&lt;&gt;Constants!$B$6,"",IF($AU443="-&gt;",$BB443,$AS443))</f>
        <v/>
      </c>
      <c r="BK443" s="87" t="str">
        <f aca="false">IF(ISBLANK($C443),"",IF($BD443&lt;&gt;Constants!$B$6,$BD443,IF(ISNUMBER($BJ443),RANK($BJ443,$BJ$9:$BJ$508,1),COUNT($BJ$9:$BJ$508)+1)))</f>
        <v/>
      </c>
      <c r="BL443" s="91" t="str">
        <f aca="false">IF($BD443&lt;&gt;Constants!$B$6,"",IF($AU443="-&gt;",$BC443,$AT443))</f>
        <v/>
      </c>
      <c r="BM443" s="87" t="str">
        <f aca="false">IF(ISBLANK($C443),"",IF($BD443&lt;&gt;Constants!$B$6,$BD443,IF(ISNUMBER($BL443),RANK($BL443,$BL$9:$BL$508,1),COUNT($BL$9:$BL$508)+1)))</f>
        <v/>
      </c>
      <c r="BN443" s="91" t="str">
        <f aca="false">IF($BD443&lt;&gt;Constants!$B$6,"",IF($AU443="-&gt;",$AS443,$BB443))</f>
        <v/>
      </c>
      <c r="BO443" s="87" t="str">
        <f aca="false">IF(ISBLANK($C443),"",IF($BD443&lt;&gt;Constants!$B$6,$BD443,IF(ISNUMBER($BN443),RANK($BN443,$BN$9:$BN$508,1),COUNT($BN$9:$BN$508)+1)))</f>
        <v/>
      </c>
      <c r="BP443" s="91" t="str">
        <f aca="false">IF($BD443&lt;&gt;Constants!$B$6,"",IF($AU443="-&gt;",$AT443,$BC443))</f>
        <v/>
      </c>
      <c r="BQ443" s="87" t="str">
        <f aca="false">IF(ISBLANK($C443),"",IF($BD443&lt;&gt;Constants!$B$6,$BD443,IF(ISNUMBER($BP443),RANK($BP443,$BP$9:$BP$508,1),COUNT($BP$9:$BP$508)+1)))</f>
        <v/>
      </c>
      <c r="BR443" s="87" t="str">
        <f aca="false">IF(ISBLANK($C443),"",IF($BD443&lt;&gt;Constants!$B$6,$BD443,COUNTIFS($BI$9:$BI$508,"&lt;"&amp;$BI443)+COUNTIFS($BI$9:$BI$508,$BI443,$BK$9:$BK$508,"&lt;"&amp;$BK443)+COUNTIFS($BI$9:$BI$508,$BI443,$BK$9:$BK$508,$BK443,$BM$9:$BM$508,"&lt;"&amp;$BM443)+COUNTIFS($BI$9:$BI$508,$BI443,$BK$9:$BK$508,$BK443,$BM$9:$BM$508,$BM443,$BO$9:$BO$508,"&lt;"&amp;$BO443)+COUNTIFS($BI$9:$BI$508,$BI443,$BK$9:$BK$508,$BK443,$BM$9:$BM$508,$BM443,$BO$9:$BO$508,$BO443,$BQ$9:$BQ$508,"&lt;"&amp;$BQ443)+1))</f>
        <v/>
      </c>
      <c r="BS443" s="87" t="str">
        <f aca="false">IF(ISBLANK($C443),"",IF($BD443&lt;&gt;Constants!$B$6,$BD443,$BI443-$BR443))</f>
        <v/>
      </c>
      <c r="BT443" s="94"/>
      <c r="BU443" s="95"/>
      <c r="BV443" s="95" t="str">
        <f aca="false">IF(ISBLANK($C443),"",IF($BD443&lt;&gt;Constants!$B$6,"",IF($AU443="-&gt;",2,1)))</f>
        <v/>
      </c>
      <c r="BW443" s="96" t="str">
        <f aca="false">IF(ISBLANK($C443),"",IF($BD443&lt;&gt;Constants!$B$6,"",IF($AU443="-&gt;",$AW443,$AN443)))</f>
        <v/>
      </c>
      <c r="BX443" s="96" t="str">
        <f aca="false">IF(ISBLANK($C443),"",IF($BD443&lt;&gt;Constants!$B$6,"",IF($AU443="-&gt;",$AX443,$AO443)))</f>
        <v/>
      </c>
      <c r="BY443" s="96" t="str">
        <f aca="false">IF(ISBLANK($C443),"",IF($BD443&lt;&gt;Constants!$B$6,"",IF($AU443="-&gt;",$AY443,$AP443)))</f>
        <v/>
      </c>
      <c r="BZ443" s="96" t="str">
        <f aca="false">IF(ISBLANK($C443),"",IF($BD443&lt;&gt;Constants!$B$6,"",IF($AU443="-&gt;",$AZ443,$AQ443)+$BG443))</f>
        <v/>
      </c>
      <c r="CA443" s="97" t="str">
        <f aca="false">IF(ISBLANK($C443),"",IF($BD443&lt;&gt;Constants!$B$6,$BD443,$BH443))</f>
        <v/>
      </c>
      <c r="CB443" s="98" t="str">
        <f aca="false">IF(ISBLANK($C443),"",$BE443)</f>
        <v/>
      </c>
      <c r="CC443" s="99" t="str">
        <f aca="false">IF(ISBLANK($C443),"",$BS443)</f>
        <v/>
      </c>
      <c r="CD443" s="99" t="str">
        <f aca="false">IF(ISBLANK($C443),"",$BR443)</f>
        <v/>
      </c>
      <c r="CE443" s="100" t="str">
        <f aca="false">IF(ISBLANK($C443),"",IF($CD443=Constants!$B$9,COUNTA($C$9:$C$508)+2,IF($CD443=Constants!$B$8,COUNTA($C$9:$C$508)+1,IF($CD443=Constants!$B$7,COUNTA($C$9:$C$508),$CD443))))</f>
        <v/>
      </c>
      <c r="CF443" s="9"/>
      <c r="CG443" s="101" t="n">
        <f aca="false">IF(OR(ISNUMBER($CD443),$CD443=Constants!$B$9,$CD443=Constants!$B$7,$CD443=Constants!$B$8),1,0)</f>
        <v>0</v>
      </c>
      <c r="CH443" s="101" t="n">
        <v>435</v>
      </c>
      <c r="CI443" s="101" t="str">
        <f aca="false">IF(ISBLANK($C443),"",IF(ISNUMBER($CE443),$CE443+ROW($B443)/1000,""))</f>
        <v/>
      </c>
      <c r="CJ443" s="101" t="str">
        <f aca="false">IF(ISNUMBER($CI443),RANK($CI443,$CI$9:$CI$508,1),"")</f>
        <v/>
      </c>
      <c r="CK443" s="101" t="str">
        <f aca="false">IF(ISBLANK($C443),"",$B443)</f>
        <v/>
      </c>
      <c r="CL443" s="101" t="str">
        <f aca="false">IF(ISBLANK($C443),"",$C443)</f>
        <v/>
      </c>
      <c r="CM443" s="101" t="str">
        <f aca="false">IF(ISBLANK($C443),"",$D443)</f>
        <v/>
      </c>
      <c r="CN443" s="102" t="str">
        <f aca="false">$CB443</f>
        <v/>
      </c>
      <c r="CO443" s="103" t="str">
        <f aca="false">$CA443</f>
        <v/>
      </c>
      <c r="CP443" s="101" t="str">
        <f aca="false">IF(ISBLANK($C443),"",$CD443)</f>
        <v/>
      </c>
      <c r="CQ443" s="104" t="str">
        <f aca="false">IF($CH443&gt;$CG$8,"",VLOOKUP($CH443,$CJ$9:$CP$508,7,FALSE()))</f>
        <v/>
      </c>
      <c r="CR443" s="105" t="str">
        <f aca="false">IF($CH443&gt;$CG$8,"",VLOOKUP($CH443,$CJ$9:$CP$508,2,FALSE()))</f>
        <v/>
      </c>
      <c r="CS443" s="105" t="str">
        <f aca="false">IF($CH443&gt;$CG$8,"",VLOOKUP($CH443,$CJ$9:$CP$508,3,FALSE()))</f>
        <v/>
      </c>
      <c r="CT443" s="105" t="str">
        <f aca="false">IF($CH443&gt;$CG$8,"",VLOOKUP($CH443,$CJ$9:$CP$508,4,FALSE()))</f>
        <v/>
      </c>
      <c r="CU443" s="105" t="str">
        <f aca="false">IF($CH443&gt;$CG$8,"",VLOOKUP($CH443,$CJ$9:$CP$508,5,FALSE()))</f>
        <v/>
      </c>
      <c r="CV443" s="106" t="str">
        <f aca="false">IF($CH443&gt;$CG$8,"",VLOOKUP($CH443,$CJ$9:$CP$508,6,FALSE()))</f>
        <v/>
      </c>
      <c r="CW443" s="71"/>
    </row>
    <row r="444" customFormat="false" ht="15.75" hidden="false" customHeight="false" outlineLevel="0" collapsed="false">
      <c r="A444" s="9"/>
      <c r="B444" s="150"/>
      <c r="C444" s="151"/>
      <c r="D444" s="152"/>
      <c r="E444" s="170"/>
      <c r="F444" s="154"/>
      <c r="G444" s="155"/>
      <c r="H444" s="171"/>
      <c r="I444" s="159"/>
      <c r="J444" s="120"/>
      <c r="K444" s="121"/>
      <c r="L444" s="122"/>
      <c r="M444" s="158"/>
      <c r="N444" s="159"/>
      <c r="O444" s="159"/>
      <c r="P444" s="120"/>
      <c r="Q444" s="122"/>
      <c r="R444" s="122"/>
      <c r="S444" s="158"/>
      <c r="T444" s="159"/>
      <c r="U444" s="126"/>
      <c r="V444" s="127"/>
      <c r="W444" s="127" t="str">
        <f aca="false">IF(ISBLANK($C444),"",IF(E444=Constants!$B$2,TRUE(),IF(E444=Constants!$B$3,FALSE(),TRUE())))</f>
        <v/>
      </c>
      <c r="X444" s="127" t="str">
        <f aca="false">IF(ISBLANK($C444),"",IF(F444=Constants!$B$2,TRUE(),IF(F444=Constants!$B$3,FALSE(),TRUE())))</f>
        <v/>
      </c>
      <c r="Y444" s="127" t="str">
        <f aca="false">IF(ISBLANK($C444),"",IF(G444=Constants!$B$2,TRUE(),IF(G444=Constants!$B$3,FALSE(),TRUE())))</f>
        <v/>
      </c>
      <c r="Z444" s="127" t="str">
        <f aca="false">IF(ISBLANK($C444),"",IF(H444=Constants!$B$2,TRUE(),IF(H444=Constants!$B$3,FALSE(),TRUE())))</f>
        <v/>
      </c>
      <c r="AA444" s="127" t="str">
        <f aca="false">IF(ISBLANK($C444),"",IF(I444=Constants!$B$2,TRUE(),IF(I444=Constants!$B$3,FALSE(),TRUE())))</f>
        <v/>
      </c>
      <c r="AB444" s="127" t="str">
        <f aca="false">IF(ISBLANK($C444),"",IF(J444=Constants!$B$4,TRUE(),IF(J444=Constants!$B$5,FALSE(),COUNTA(K444:M444)&gt;0)))</f>
        <v/>
      </c>
      <c r="AC444" s="128" t="str">
        <f aca="false">IF(ISBLANK($C444),"",IF(ISNUMBER(K444),IF(K444&gt;=0,K444,""),""))</f>
        <v/>
      </c>
      <c r="AD444" s="129" t="str">
        <f aca="false">IF(ISBLANK($C444),"",IF(ISNUMBER(L444),IF(L444&gt;=0,L444,""),""))</f>
        <v/>
      </c>
      <c r="AE444" s="127" t="str">
        <f aca="false">IF(ISBLANK($C444),"",IF(ISNUMBER(M444),IF(M444&gt;=0,MIN(M444,Constants!$B$22),""),""))</f>
        <v/>
      </c>
      <c r="AF444" s="127" t="str">
        <f aca="false">IF(ISBLANK($C444),"",IF(N444=Constants!$B$2,TRUE(),IF(N444=Constants!$B$3,FALSE(),TRUE())))</f>
        <v/>
      </c>
      <c r="AG444" s="127" t="str">
        <f aca="false">IF(ISBLANK($C444),"",IF(O444=Constants!$B$2,TRUE(),IF(O444=Constants!$B$3,FALSE(),TRUE())))</f>
        <v/>
      </c>
      <c r="AH444" s="127" t="str">
        <f aca="false">IF(ISBLANK($C444),"",IF(P444=Constants!$B$4,TRUE(),IF(P444=Constants!$B$5,FALSE(),COUNTA(Q444:S444)&gt;0)))</f>
        <v/>
      </c>
      <c r="AI444" s="128" t="str">
        <f aca="false">IF(ISBLANK($C444),"",IF(ISNUMBER(Q444),IF(Q444&gt;=0,Q444,""),""))</f>
        <v/>
      </c>
      <c r="AJ444" s="129" t="str">
        <f aca="false">IF(ISBLANK($C444),"",IF(ISNUMBER(R444),IF(R444&gt;=0,R444,""),""))</f>
        <v/>
      </c>
      <c r="AK444" s="127" t="str">
        <f aca="false">IF(ISBLANK($C444),"",IF(ISNUMBER(S444),IF(S444&gt;=0,MIN(S444,Constants!$B$22),""),""))</f>
        <v/>
      </c>
      <c r="AL444" s="127" t="str">
        <f aca="false">IF(ISBLANK($C444),"",IF(T444=Constants!$B$2,TRUE(),IF(T444=Constants!$B$3,FALSE(),FALSE())))</f>
        <v/>
      </c>
      <c r="AM444" s="126" t="str">
        <f aca="false">IF(ISBLANK($C444),"",AND($AB444,OR($AC444="",$AD444="",AND(NOT(ISBLANK($M444)),$AE444=""))))</f>
        <v/>
      </c>
      <c r="AN444" s="129" t="str">
        <f aca="false">IF($BD444&lt;&gt;Constants!$B$6,"",IF($AB444,Constants!$B$17*$AD444,Constants!$B$18))</f>
        <v/>
      </c>
      <c r="AO444" s="130" t="str">
        <f aca="false">IF($BD444&lt;&gt;Constants!$B$6,"",Constants!$B$19*IF($AB444,$AC444,0))</f>
        <v/>
      </c>
      <c r="AP444" s="130" t="str">
        <f aca="false">IF($BD444&lt;&gt;Constants!$B$6,"",IF(AND($AB444,ISNUMBER($AE444)),Constants!$B$20*(Constants!$B$21-$AE444),0))</f>
        <v/>
      </c>
      <c r="AQ444" s="130" t="str">
        <f aca="false">IF($BD444&lt;&gt;Constants!$B$6,"",IF($AA444,0,Constants!$B$12)+IF($Z444,0,Constants!$B$13)+IF($Y444,0,Constants!$B$14))</f>
        <v/>
      </c>
      <c r="AR444" s="131" t="str">
        <f aca="false">IF($BD444&lt;&gt;Constants!$B$6,"",Constants!$B$16+SUM($AN444:$AQ444))</f>
        <v/>
      </c>
      <c r="AS444" s="130" t="str">
        <f aca="false">IF($BD444&lt;&gt;Constants!$B$6,"",IF($AB444,$AD444,""))</f>
        <v/>
      </c>
      <c r="AT444" s="132" t="str">
        <f aca="false">IF($BD444&lt;&gt;Constants!$B$6,"",$AO444)</f>
        <v/>
      </c>
      <c r="AU444" s="127" t="str">
        <f aca="false">IF($BD444&lt;&gt;Constants!$B$6,"",IF(OR($BA444&lt;$AR444,AND($BA444=$AR444,OR(AND(ISNUMBER($BB444),OR(NOT(ISNUMBER($AS444)),$BB444&lt;$AS444)),AND(OR(AND($BB444="",$AS444=""),AND(ISNUMBER($BB444),ISNUMBER($AS444),$BB444=$AS444)),$BC444&lt;$AT444)))),"-&gt;","&lt;-"))</f>
        <v/>
      </c>
      <c r="AV444" s="126" t="str">
        <f aca="false">IF(ISBLANK($C444),"",AND($AH444,OR($AI444="",$AJ444="",AND(NOT(ISBLANK($S444)),$AK444=""))))</f>
        <v/>
      </c>
      <c r="AW444" s="129" t="str">
        <f aca="false">IF($BD444&lt;&gt;Constants!$B$6,"",IF($AH444,Constants!$B$17*$AJ444,Constants!$B$18))</f>
        <v/>
      </c>
      <c r="AX444" s="130" t="str">
        <f aca="false">IF($BD444&lt;&gt;Constants!$B$6,"",Constants!$B$19*IF($AH444,$AI444,0))</f>
        <v/>
      </c>
      <c r="AY444" s="130" t="str">
        <f aca="false">IF($BD444&lt;&gt;Constants!$B$6,"",IF(AND($AH444,ISNUMBER($AK444)),Constants!$B$20*(Constants!$B$21-$AK444),0))</f>
        <v/>
      </c>
      <c r="AZ444" s="130" t="str">
        <f aca="false">IF($BD444&lt;&gt;Constants!$B$6,"",IF($AG444,0,Constants!$B$12)+IF($AF444,0,Constants!$B$13)+IF($Y444,0,Constants!$B$14))</f>
        <v/>
      </c>
      <c r="BA444" s="131" t="str">
        <f aca="false">IF($BD444&lt;&gt;Constants!$B$6,"",Constants!$B$16+SUM($AW444:$AZ444))</f>
        <v/>
      </c>
      <c r="BB444" s="130" t="str">
        <f aca="false">IF($BD444&lt;&gt;Constants!$B$6,"",IF($AH444,$AJ444,""))</f>
        <v/>
      </c>
      <c r="BC444" s="132" t="str">
        <f aca="false">IF($BD444&lt;&gt;Constants!$B$6,"",$AX444)</f>
        <v/>
      </c>
      <c r="BD444" s="127" t="str">
        <f aca="false">IF(ISBLANK($C444),"",IF($AL444,Constants!$B$9,IF(COUNTA($E444:$T444)=0,Constants!$B$8,IF(NOT($X444),Constants!$B$7,IF(OR($AM444,$AV444),Constants!$B$10,Constants!$B$6)))))</f>
        <v/>
      </c>
      <c r="BE444" s="127" t="str">
        <f aca="false">IF(ISBLANK($C444),"",IF($BD444&lt;&gt;Constants!$B$6,$BD444,Constants!$B$11))</f>
        <v/>
      </c>
      <c r="BF444" s="130" t="str">
        <f aca="false">IF($BD444&lt;&gt;Constants!$B$6,"",IF($AU444="-&gt;",$BA444,$AR444))</f>
        <v/>
      </c>
      <c r="BG444" s="130" t="str">
        <f aca="false">IF($BD444&lt;&gt;Constants!$B$6,"",IF($W444,0,Constants!$B$15))</f>
        <v/>
      </c>
      <c r="BH444" s="130" t="str">
        <f aca="false">IF(ISBLANK($C444),"",IF($BD444&lt;&gt;Constants!$B$6,$BD444,SUM($BF444:$BG444)))</f>
        <v/>
      </c>
      <c r="BI444" s="127" t="str">
        <f aca="false">IF(ISBLANK($C444),"",IF($BD444&lt;&gt;Constants!$B$6,$BD444,RANK($BH444,$BH$9:$BH$508,1)))</f>
        <v/>
      </c>
      <c r="BJ444" s="130" t="str">
        <f aca="false">IF($BD444&lt;&gt;Constants!$B$6,"",IF($AU444="-&gt;",$BB444,$AS444))</f>
        <v/>
      </c>
      <c r="BK444" s="127" t="str">
        <f aca="false">IF(ISBLANK($C444),"",IF($BD444&lt;&gt;Constants!$B$6,$BD444,IF(ISNUMBER($BJ444),RANK($BJ444,$BJ$9:$BJ$508,1),COUNT($BJ$9:$BJ$508)+1)))</f>
        <v/>
      </c>
      <c r="BL444" s="130" t="str">
        <f aca="false">IF($BD444&lt;&gt;Constants!$B$6,"",IF($AU444="-&gt;",$BC444,$AT444))</f>
        <v/>
      </c>
      <c r="BM444" s="127" t="str">
        <f aca="false">IF(ISBLANK($C444),"",IF($BD444&lt;&gt;Constants!$B$6,$BD444,IF(ISNUMBER($BL444),RANK($BL444,$BL$9:$BL$508,1),COUNT($BL$9:$BL$508)+1)))</f>
        <v/>
      </c>
      <c r="BN444" s="130" t="str">
        <f aca="false">IF($BD444&lt;&gt;Constants!$B$6,"",IF($AU444="-&gt;",$AS444,$BB444))</f>
        <v/>
      </c>
      <c r="BO444" s="127" t="str">
        <f aca="false">IF(ISBLANK($C444),"",IF($BD444&lt;&gt;Constants!$B$6,$BD444,IF(ISNUMBER($BN444),RANK($BN444,$BN$9:$BN$508,1),COUNT($BN$9:$BN$508)+1)))</f>
        <v/>
      </c>
      <c r="BP444" s="130" t="str">
        <f aca="false">IF($BD444&lt;&gt;Constants!$B$6,"",IF($AU444="-&gt;",$AT444,$BC444))</f>
        <v/>
      </c>
      <c r="BQ444" s="127" t="str">
        <f aca="false">IF(ISBLANK($C444),"",IF($BD444&lt;&gt;Constants!$B$6,$BD444,IF(ISNUMBER($BP444),RANK($BP444,$BP$9:$BP$508,1),COUNT($BP$9:$BP$508)+1)))</f>
        <v/>
      </c>
      <c r="BR444" s="127" t="str">
        <f aca="false">IF(ISBLANK($C444),"",IF($BD444&lt;&gt;Constants!$B$6,$BD444,COUNTIFS($BI$9:$BI$508,"&lt;"&amp;$BI444)+COUNTIFS($BI$9:$BI$508,$BI444,$BK$9:$BK$508,"&lt;"&amp;$BK444)+COUNTIFS($BI$9:$BI$508,$BI444,$BK$9:$BK$508,$BK444,$BM$9:$BM$508,"&lt;"&amp;$BM444)+COUNTIFS($BI$9:$BI$508,$BI444,$BK$9:$BK$508,$BK444,$BM$9:$BM$508,$BM444,$BO$9:$BO$508,"&lt;"&amp;$BO444)+COUNTIFS($BI$9:$BI$508,$BI444,$BK$9:$BK$508,$BK444,$BM$9:$BM$508,$BM444,$BO$9:$BO$508,$BO444,$BQ$9:$BQ$508,"&lt;"&amp;$BQ444)+1))</f>
        <v/>
      </c>
      <c r="BS444" s="127" t="str">
        <f aca="false">IF(ISBLANK($C444),"",IF($BD444&lt;&gt;Constants!$B$6,$BD444,$BI444-$BR444))</f>
        <v/>
      </c>
      <c r="BT444" s="133"/>
      <c r="BU444" s="134"/>
      <c r="BV444" s="134" t="str">
        <f aca="false">IF(ISBLANK($C444),"",IF($BD444&lt;&gt;Constants!$B$6,"",IF($AU444="-&gt;",2,1)))</f>
        <v/>
      </c>
      <c r="BW444" s="135" t="str">
        <f aca="false">IF(ISBLANK($C444),"",IF($BD444&lt;&gt;Constants!$B$6,"",IF($AU444="-&gt;",$AW444,$AN444)))</f>
        <v/>
      </c>
      <c r="BX444" s="135" t="str">
        <f aca="false">IF(ISBLANK($C444),"",IF($BD444&lt;&gt;Constants!$B$6,"",IF($AU444="-&gt;",$AX444,$AO444)))</f>
        <v/>
      </c>
      <c r="BY444" s="135" t="str">
        <f aca="false">IF(ISBLANK($C444),"",IF($BD444&lt;&gt;Constants!$B$6,"",IF($AU444="-&gt;",$AY444,$AP444)))</f>
        <v/>
      </c>
      <c r="BZ444" s="135" t="str">
        <f aca="false">IF(ISBLANK($C444),"",IF($BD444&lt;&gt;Constants!$B$6,"",IF($AU444="-&gt;",$AZ444,$AQ444)+$BG444))</f>
        <v/>
      </c>
      <c r="CA444" s="136" t="str">
        <f aca="false">IF(ISBLANK($C444),"",IF($BD444&lt;&gt;Constants!$B$6,$BD444,$BH444))</f>
        <v/>
      </c>
      <c r="CB444" s="137" t="str">
        <f aca="false">IF(ISBLANK($C444),"",$BE444)</f>
        <v/>
      </c>
      <c r="CC444" s="138" t="str">
        <f aca="false">IF(ISBLANK($C444),"",$BS444)</f>
        <v/>
      </c>
      <c r="CD444" s="138" t="str">
        <f aca="false">IF(ISBLANK($C444),"",$BR444)</f>
        <v/>
      </c>
      <c r="CE444" s="139" t="str">
        <f aca="false">IF(ISBLANK($C444),"",IF($CD444=Constants!$B$9,COUNTA($C$9:$C$508)+2,IF($CD444=Constants!$B$8,COUNTA($C$9:$C$508)+1,IF($CD444=Constants!$B$7,COUNTA($C$9:$C$508),$CD444))))</f>
        <v/>
      </c>
      <c r="CF444" s="9"/>
      <c r="CG444" s="140" t="n">
        <f aca="false">IF(OR(ISNUMBER($CD444),$CD444=Constants!$B$9,$CD444=Constants!$B$7,$CD444=Constants!$B$8),1,0)</f>
        <v>0</v>
      </c>
      <c r="CH444" s="140" t="n">
        <v>436</v>
      </c>
      <c r="CI444" s="140" t="str">
        <f aca="false">IF(ISBLANK($C444),"",IF(ISNUMBER($CE444),$CE444+ROW($B444)/1000,""))</f>
        <v/>
      </c>
      <c r="CJ444" s="140" t="str">
        <f aca="false">IF(ISNUMBER($CI444),RANK($CI444,$CI$9:$CI$508,1),"")</f>
        <v/>
      </c>
      <c r="CK444" s="140" t="str">
        <f aca="false">IF(ISBLANK($C444),"",$B444)</f>
        <v/>
      </c>
      <c r="CL444" s="140" t="str">
        <f aca="false">IF(ISBLANK($C444),"",$C444)</f>
        <v/>
      </c>
      <c r="CM444" s="140" t="str">
        <f aca="false">IF(ISBLANK($C444),"",$D444)</f>
        <v/>
      </c>
      <c r="CN444" s="141" t="str">
        <f aca="false">$CB444</f>
        <v/>
      </c>
      <c r="CO444" s="142" t="str">
        <f aca="false">$CA444</f>
        <v/>
      </c>
      <c r="CP444" s="140" t="str">
        <f aca="false">IF(ISBLANK($C444),"",$CD444)</f>
        <v/>
      </c>
      <c r="CQ444" s="143" t="str">
        <f aca="false">IF($CH444&gt;$CG$8,"",VLOOKUP($CH444,$CJ$9:$CP$508,7,FALSE()))</f>
        <v/>
      </c>
      <c r="CR444" s="144" t="str">
        <f aca="false">IF($CH444&gt;$CG$8,"",VLOOKUP($CH444,$CJ$9:$CP$508,2,FALSE()))</f>
        <v/>
      </c>
      <c r="CS444" s="144" t="str">
        <f aca="false">IF($CH444&gt;$CG$8,"",VLOOKUP($CH444,$CJ$9:$CP$508,3,FALSE()))</f>
        <v/>
      </c>
      <c r="CT444" s="144" t="str">
        <f aca="false">IF($CH444&gt;$CG$8,"",VLOOKUP($CH444,$CJ$9:$CP$508,4,FALSE()))</f>
        <v/>
      </c>
      <c r="CU444" s="144" t="str">
        <f aca="false">IF($CH444&gt;$CG$8,"",VLOOKUP($CH444,$CJ$9:$CP$508,5,FALSE()))</f>
        <v/>
      </c>
      <c r="CV444" s="145" t="str">
        <f aca="false">IF($CH444&gt;$CG$8,"",VLOOKUP($CH444,$CJ$9:$CP$508,6,FALSE()))</f>
        <v/>
      </c>
      <c r="CW444" s="71"/>
    </row>
    <row r="445" customFormat="false" ht="15.75" hidden="false" customHeight="false" outlineLevel="0" collapsed="false">
      <c r="A445" s="9"/>
      <c r="B445" s="150"/>
      <c r="C445" s="151"/>
      <c r="D445" s="152"/>
      <c r="E445" s="170"/>
      <c r="F445" s="154"/>
      <c r="G445" s="155"/>
      <c r="H445" s="171"/>
      <c r="I445" s="159"/>
      <c r="J445" s="120"/>
      <c r="K445" s="121"/>
      <c r="L445" s="122"/>
      <c r="M445" s="158"/>
      <c r="N445" s="159"/>
      <c r="O445" s="159"/>
      <c r="P445" s="120"/>
      <c r="Q445" s="122"/>
      <c r="R445" s="122"/>
      <c r="S445" s="158"/>
      <c r="T445" s="159"/>
      <c r="U445" s="126"/>
      <c r="V445" s="127"/>
      <c r="W445" s="127" t="str">
        <f aca="false">IF(ISBLANK($C445),"",IF(E445=Constants!$B$2,TRUE(),IF(E445=Constants!$B$3,FALSE(),TRUE())))</f>
        <v/>
      </c>
      <c r="X445" s="127" t="str">
        <f aca="false">IF(ISBLANK($C445),"",IF(F445=Constants!$B$2,TRUE(),IF(F445=Constants!$B$3,FALSE(),TRUE())))</f>
        <v/>
      </c>
      <c r="Y445" s="127" t="str">
        <f aca="false">IF(ISBLANK($C445),"",IF(G445=Constants!$B$2,TRUE(),IF(G445=Constants!$B$3,FALSE(),TRUE())))</f>
        <v/>
      </c>
      <c r="Z445" s="127" t="str">
        <f aca="false">IF(ISBLANK($C445),"",IF(H445=Constants!$B$2,TRUE(),IF(H445=Constants!$B$3,FALSE(),TRUE())))</f>
        <v/>
      </c>
      <c r="AA445" s="127" t="str">
        <f aca="false">IF(ISBLANK($C445),"",IF(I445=Constants!$B$2,TRUE(),IF(I445=Constants!$B$3,FALSE(),TRUE())))</f>
        <v/>
      </c>
      <c r="AB445" s="127" t="str">
        <f aca="false">IF(ISBLANK($C445),"",IF(J445=Constants!$B$4,TRUE(),IF(J445=Constants!$B$5,FALSE(),COUNTA(K445:M445)&gt;0)))</f>
        <v/>
      </c>
      <c r="AC445" s="128" t="str">
        <f aca="false">IF(ISBLANK($C445),"",IF(ISNUMBER(K445),IF(K445&gt;=0,K445,""),""))</f>
        <v/>
      </c>
      <c r="AD445" s="129" t="str">
        <f aca="false">IF(ISBLANK($C445),"",IF(ISNUMBER(L445),IF(L445&gt;=0,L445,""),""))</f>
        <v/>
      </c>
      <c r="AE445" s="127" t="str">
        <f aca="false">IF(ISBLANK($C445),"",IF(ISNUMBER(M445),IF(M445&gt;=0,MIN(M445,Constants!$B$22),""),""))</f>
        <v/>
      </c>
      <c r="AF445" s="127" t="str">
        <f aca="false">IF(ISBLANK($C445),"",IF(N445=Constants!$B$2,TRUE(),IF(N445=Constants!$B$3,FALSE(),TRUE())))</f>
        <v/>
      </c>
      <c r="AG445" s="127" t="str">
        <f aca="false">IF(ISBLANK($C445),"",IF(O445=Constants!$B$2,TRUE(),IF(O445=Constants!$B$3,FALSE(),TRUE())))</f>
        <v/>
      </c>
      <c r="AH445" s="127" t="str">
        <f aca="false">IF(ISBLANK($C445),"",IF(P445=Constants!$B$4,TRUE(),IF(P445=Constants!$B$5,FALSE(),COUNTA(Q445:S445)&gt;0)))</f>
        <v/>
      </c>
      <c r="AI445" s="128" t="str">
        <f aca="false">IF(ISBLANK($C445),"",IF(ISNUMBER(Q445),IF(Q445&gt;=0,Q445,""),""))</f>
        <v/>
      </c>
      <c r="AJ445" s="129" t="str">
        <f aca="false">IF(ISBLANK($C445),"",IF(ISNUMBER(R445),IF(R445&gt;=0,R445,""),""))</f>
        <v/>
      </c>
      <c r="AK445" s="127" t="str">
        <f aca="false">IF(ISBLANK($C445),"",IF(ISNUMBER(S445),IF(S445&gt;=0,MIN(S445,Constants!$B$22),""),""))</f>
        <v/>
      </c>
      <c r="AL445" s="127" t="str">
        <f aca="false">IF(ISBLANK($C445),"",IF(T445=Constants!$B$2,TRUE(),IF(T445=Constants!$B$3,FALSE(),FALSE())))</f>
        <v/>
      </c>
      <c r="AM445" s="126" t="str">
        <f aca="false">IF(ISBLANK($C445),"",AND($AB445,OR($AC445="",$AD445="",AND(NOT(ISBLANK($M445)),$AE445=""))))</f>
        <v/>
      </c>
      <c r="AN445" s="129" t="str">
        <f aca="false">IF($BD445&lt;&gt;Constants!$B$6,"",IF($AB445,Constants!$B$17*$AD445,Constants!$B$18))</f>
        <v/>
      </c>
      <c r="AO445" s="130" t="str">
        <f aca="false">IF($BD445&lt;&gt;Constants!$B$6,"",Constants!$B$19*IF($AB445,$AC445,0))</f>
        <v/>
      </c>
      <c r="AP445" s="130" t="str">
        <f aca="false">IF($BD445&lt;&gt;Constants!$B$6,"",IF(AND($AB445,ISNUMBER($AE445)),Constants!$B$20*(Constants!$B$21-$AE445),0))</f>
        <v/>
      </c>
      <c r="AQ445" s="130" t="str">
        <f aca="false">IF($BD445&lt;&gt;Constants!$B$6,"",IF($AA445,0,Constants!$B$12)+IF($Z445,0,Constants!$B$13)+IF($Y445,0,Constants!$B$14))</f>
        <v/>
      </c>
      <c r="AR445" s="131" t="str">
        <f aca="false">IF($BD445&lt;&gt;Constants!$B$6,"",Constants!$B$16+SUM($AN445:$AQ445))</f>
        <v/>
      </c>
      <c r="AS445" s="130" t="str">
        <f aca="false">IF($BD445&lt;&gt;Constants!$B$6,"",IF($AB445,$AD445,""))</f>
        <v/>
      </c>
      <c r="AT445" s="132" t="str">
        <f aca="false">IF($BD445&lt;&gt;Constants!$B$6,"",$AO445)</f>
        <v/>
      </c>
      <c r="AU445" s="127" t="str">
        <f aca="false">IF($BD445&lt;&gt;Constants!$B$6,"",IF(OR($BA445&lt;$AR445,AND($BA445=$AR445,OR(AND(ISNUMBER($BB445),OR(NOT(ISNUMBER($AS445)),$BB445&lt;$AS445)),AND(OR(AND($BB445="",$AS445=""),AND(ISNUMBER($BB445),ISNUMBER($AS445),$BB445=$AS445)),$BC445&lt;$AT445)))),"-&gt;","&lt;-"))</f>
        <v/>
      </c>
      <c r="AV445" s="126" t="str">
        <f aca="false">IF(ISBLANK($C445),"",AND($AH445,OR($AI445="",$AJ445="",AND(NOT(ISBLANK($S445)),$AK445=""))))</f>
        <v/>
      </c>
      <c r="AW445" s="129" t="str">
        <f aca="false">IF($BD445&lt;&gt;Constants!$B$6,"",IF($AH445,Constants!$B$17*$AJ445,Constants!$B$18))</f>
        <v/>
      </c>
      <c r="AX445" s="130" t="str">
        <f aca="false">IF($BD445&lt;&gt;Constants!$B$6,"",Constants!$B$19*IF($AH445,$AI445,0))</f>
        <v/>
      </c>
      <c r="AY445" s="130" t="str">
        <f aca="false">IF($BD445&lt;&gt;Constants!$B$6,"",IF(AND($AH445,ISNUMBER($AK445)),Constants!$B$20*(Constants!$B$21-$AK445),0))</f>
        <v/>
      </c>
      <c r="AZ445" s="130" t="str">
        <f aca="false">IF($BD445&lt;&gt;Constants!$B$6,"",IF($AG445,0,Constants!$B$12)+IF($AF445,0,Constants!$B$13)+IF($Y445,0,Constants!$B$14))</f>
        <v/>
      </c>
      <c r="BA445" s="131" t="str">
        <f aca="false">IF($BD445&lt;&gt;Constants!$B$6,"",Constants!$B$16+SUM($AW445:$AZ445))</f>
        <v/>
      </c>
      <c r="BB445" s="130" t="str">
        <f aca="false">IF($BD445&lt;&gt;Constants!$B$6,"",IF($AH445,$AJ445,""))</f>
        <v/>
      </c>
      <c r="BC445" s="132" t="str">
        <f aca="false">IF($BD445&lt;&gt;Constants!$B$6,"",$AX445)</f>
        <v/>
      </c>
      <c r="BD445" s="127" t="str">
        <f aca="false">IF(ISBLANK($C445),"",IF($AL445,Constants!$B$9,IF(COUNTA($E445:$T445)=0,Constants!$B$8,IF(NOT($X445),Constants!$B$7,IF(OR($AM445,$AV445),Constants!$B$10,Constants!$B$6)))))</f>
        <v/>
      </c>
      <c r="BE445" s="127" t="str">
        <f aca="false">IF(ISBLANK($C445),"",IF($BD445&lt;&gt;Constants!$B$6,$BD445,Constants!$B$11))</f>
        <v/>
      </c>
      <c r="BF445" s="130" t="str">
        <f aca="false">IF($BD445&lt;&gt;Constants!$B$6,"",IF($AU445="-&gt;",$BA445,$AR445))</f>
        <v/>
      </c>
      <c r="BG445" s="130" t="str">
        <f aca="false">IF($BD445&lt;&gt;Constants!$B$6,"",IF($W445,0,Constants!$B$15))</f>
        <v/>
      </c>
      <c r="BH445" s="130" t="str">
        <f aca="false">IF(ISBLANK($C445),"",IF($BD445&lt;&gt;Constants!$B$6,$BD445,SUM($BF445:$BG445)))</f>
        <v/>
      </c>
      <c r="BI445" s="127" t="str">
        <f aca="false">IF(ISBLANK($C445),"",IF($BD445&lt;&gt;Constants!$B$6,$BD445,RANK($BH445,$BH$9:$BH$508,1)))</f>
        <v/>
      </c>
      <c r="BJ445" s="130" t="str">
        <f aca="false">IF($BD445&lt;&gt;Constants!$B$6,"",IF($AU445="-&gt;",$BB445,$AS445))</f>
        <v/>
      </c>
      <c r="BK445" s="127" t="str">
        <f aca="false">IF(ISBLANK($C445),"",IF($BD445&lt;&gt;Constants!$B$6,$BD445,IF(ISNUMBER($BJ445),RANK($BJ445,$BJ$9:$BJ$508,1),COUNT($BJ$9:$BJ$508)+1)))</f>
        <v/>
      </c>
      <c r="BL445" s="130" t="str">
        <f aca="false">IF($BD445&lt;&gt;Constants!$B$6,"",IF($AU445="-&gt;",$BC445,$AT445))</f>
        <v/>
      </c>
      <c r="BM445" s="127" t="str">
        <f aca="false">IF(ISBLANK($C445),"",IF($BD445&lt;&gt;Constants!$B$6,$BD445,IF(ISNUMBER($BL445),RANK($BL445,$BL$9:$BL$508,1),COUNT($BL$9:$BL$508)+1)))</f>
        <v/>
      </c>
      <c r="BN445" s="130" t="str">
        <f aca="false">IF($BD445&lt;&gt;Constants!$B$6,"",IF($AU445="-&gt;",$AS445,$BB445))</f>
        <v/>
      </c>
      <c r="BO445" s="127" t="str">
        <f aca="false">IF(ISBLANK($C445),"",IF($BD445&lt;&gt;Constants!$B$6,$BD445,IF(ISNUMBER($BN445),RANK($BN445,$BN$9:$BN$508,1),COUNT($BN$9:$BN$508)+1)))</f>
        <v/>
      </c>
      <c r="BP445" s="130" t="str">
        <f aca="false">IF($BD445&lt;&gt;Constants!$B$6,"",IF($AU445="-&gt;",$AT445,$BC445))</f>
        <v/>
      </c>
      <c r="BQ445" s="127" t="str">
        <f aca="false">IF(ISBLANK($C445),"",IF($BD445&lt;&gt;Constants!$B$6,$BD445,IF(ISNUMBER($BP445),RANK($BP445,$BP$9:$BP$508,1),COUNT($BP$9:$BP$508)+1)))</f>
        <v/>
      </c>
      <c r="BR445" s="127" t="str">
        <f aca="false">IF(ISBLANK($C445),"",IF($BD445&lt;&gt;Constants!$B$6,$BD445,COUNTIFS($BI$9:$BI$508,"&lt;"&amp;$BI445)+COUNTIFS($BI$9:$BI$508,$BI445,$BK$9:$BK$508,"&lt;"&amp;$BK445)+COUNTIFS($BI$9:$BI$508,$BI445,$BK$9:$BK$508,$BK445,$BM$9:$BM$508,"&lt;"&amp;$BM445)+COUNTIFS($BI$9:$BI$508,$BI445,$BK$9:$BK$508,$BK445,$BM$9:$BM$508,$BM445,$BO$9:$BO$508,"&lt;"&amp;$BO445)+COUNTIFS($BI$9:$BI$508,$BI445,$BK$9:$BK$508,$BK445,$BM$9:$BM$508,$BM445,$BO$9:$BO$508,$BO445,$BQ$9:$BQ$508,"&lt;"&amp;$BQ445)+1))</f>
        <v/>
      </c>
      <c r="BS445" s="127" t="str">
        <f aca="false">IF(ISBLANK($C445),"",IF($BD445&lt;&gt;Constants!$B$6,$BD445,$BI445-$BR445))</f>
        <v/>
      </c>
      <c r="BT445" s="133"/>
      <c r="BU445" s="134"/>
      <c r="BV445" s="134" t="str">
        <f aca="false">IF(ISBLANK($C445),"",IF($BD445&lt;&gt;Constants!$B$6,"",IF($AU445="-&gt;",2,1)))</f>
        <v/>
      </c>
      <c r="BW445" s="135" t="str">
        <f aca="false">IF(ISBLANK($C445),"",IF($BD445&lt;&gt;Constants!$B$6,"",IF($AU445="-&gt;",$AW445,$AN445)))</f>
        <v/>
      </c>
      <c r="BX445" s="135" t="str">
        <f aca="false">IF(ISBLANK($C445),"",IF($BD445&lt;&gt;Constants!$B$6,"",IF($AU445="-&gt;",$AX445,$AO445)))</f>
        <v/>
      </c>
      <c r="BY445" s="135" t="str">
        <f aca="false">IF(ISBLANK($C445),"",IF($BD445&lt;&gt;Constants!$B$6,"",IF($AU445="-&gt;",$AY445,$AP445)))</f>
        <v/>
      </c>
      <c r="BZ445" s="135" t="str">
        <f aca="false">IF(ISBLANK($C445),"",IF($BD445&lt;&gt;Constants!$B$6,"",IF($AU445="-&gt;",$AZ445,$AQ445)+$BG445))</f>
        <v/>
      </c>
      <c r="CA445" s="136" t="str">
        <f aca="false">IF(ISBLANK($C445),"",IF($BD445&lt;&gt;Constants!$B$6,$BD445,$BH445))</f>
        <v/>
      </c>
      <c r="CB445" s="137" t="str">
        <f aca="false">IF(ISBLANK($C445),"",$BE445)</f>
        <v/>
      </c>
      <c r="CC445" s="138" t="str">
        <f aca="false">IF(ISBLANK($C445),"",$BS445)</f>
        <v/>
      </c>
      <c r="CD445" s="138" t="str">
        <f aca="false">IF(ISBLANK($C445),"",$BR445)</f>
        <v/>
      </c>
      <c r="CE445" s="139" t="str">
        <f aca="false">IF(ISBLANK($C445),"",IF($CD445=Constants!$B$9,COUNTA($C$9:$C$508)+2,IF($CD445=Constants!$B$8,COUNTA($C$9:$C$508)+1,IF($CD445=Constants!$B$7,COUNTA($C$9:$C$508),$CD445))))</f>
        <v/>
      </c>
      <c r="CF445" s="9"/>
      <c r="CG445" s="140" t="n">
        <f aca="false">IF(OR(ISNUMBER($CD445),$CD445=Constants!$B$9,$CD445=Constants!$B$7,$CD445=Constants!$B$8),1,0)</f>
        <v>0</v>
      </c>
      <c r="CH445" s="140" t="n">
        <v>437</v>
      </c>
      <c r="CI445" s="140" t="str">
        <f aca="false">IF(ISBLANK($C445),"",IF(ISNUMBER($CE445),$CE445+ROW($B445)/1000,""))</f>
        <v/>
      </c>
      <c r="CJ445" s="140" t="str">
        <f aca="false">IF(ISNUMBER($CI445),RANK($CI445,$CI$9:$CI$508,1),"")</f>
        <v/>
      </c>
      <c r="CK445" s="140" t="str">
        <f aca="false">IF(ISBLANK($C445),"",$B445)</f>
        <v/>
      </c>
      <c r="CL445" s="140" t="str">
        <f aca="false">IF(ISBLANK($C445),"",$C445)</f>
        <v/>
      </c>
      <c r="CM445" s="140" t="str">
        <f aca="false">IF(ISBLANK($C445),"",$D445)</f>
        <v/>
      </c>
      <c r="CN445" s="141" t="str">
        <f aca="false">$CB445</f>
        <v/>
      </c>
      <c r="CO445" s="142" t="str">
        <f aca="false">$CA445</f>
        <v/>
      </c>
      <c r="CP445" s="140" t="str">
        <f aca="false">IF(ISBLANK($C445),"",$CD445)</f>
        <v/>
      </c>
      <c r="CQ445" s="143" t="str">
        <f aca="false">IF($CH445&gt;$CG$8,"",VLOOKUP($CH445,$CJ$9:$CP$508,7,FALSE()))</f>
        <v/>
      </c>
      <c r="CR445" s="144" t="str">
        <f aca="false">IF($CH445&gt;$CG$8,"",VLOOKUP($CH445,$CJ$9:$CP$508,2,FALSE()))</f>
        <v/>
      </c>
      <c r="CS445" s="144" t="str">
        <f aca="false">IF($CH445&gt;$CG$8,"",VLOOKUP($CH445,$CJ$9:$CP$508,3,FALSE()))</f>
        <v/>
      </c>
      <c r="CT445" s="144" t="str">
        <f aca="false">IF($CH445&gt;$CG$8,"",VLOOKUP($CH445,$CJ$9:$CP$508,4,FALSE()))</f>
        <v/>
      </c>
      <c r="CU445" s="144" t="str">
        <f aca="false">IF($CH445&gt;$CG$8,"",VLOOKUP($CH445,$CJ$9:$CP$508,5,FALSE()))</f>
        <v/>
      </c>
      <c r="CV445" s="145" t="str">
        <f aca="false">IF($CH445&gt;$CG$8,"",VLOOKUP($CH445,$CJ$9:$CP$508,6,FALSE()))</f>
        <v/>
      </c>
      <c r="CW445" s="71"/>
    </row>
    <row r="446" customFormat="false" ht="15.75" hidden="false" customHeight="false" outlineLevel="0" collapsed="false">
      <c r="A446" s="9"/>
      <c r="B446" s="150"/>
      <c r="C446" s="151"/>
      <c r="D446" s="152"/>
      <c r="E446" s="170"/>
      <c r="F446" s="154"/>
      <c r="G446" s="155"/>
      <c r="H446" s="171"/>
      <c r="I446" s="159"/>
      <c r="J446" s="120"/>
      <c r="K446" s="121"/>
      <c r="L446" s="122"/>
      <c r="M446" s="158"/>
      <c r="N446" s="159"/>
      <c r="O446" s="159"/>
      <c r="P446" s="120"/>
      <c r="Q446" s="122"/>
      <c r="R446" s="122"/>
      <c r="S446" s="158"/>
      <c r="T446" s="159"/>
      <c r="U446" s="126"/>
      <c r="V446" s="127"/>
      <c r="W446" s="127" t="str">
        <f aca="false">IF(ISBLANK($C446),"",IF(E446=Constants!$B$2,TRUE(),IF(E446=Constants!$B$3,FALSE(),TRUE())))</f>
        <v/>
      </c>
      <c r="X446" s="127" t="str">
        <f aca="false">IF(ISBLANK($C446),"",IF(F446=Constants!$B$2,TRUE(),IF(F446=Constants!$B$3,FALSE(),TRUE())))</f>
        <v/>
      </c>
      <c r="Y446" s="127" t="str">
        <f aca="false">IF(ISBLANK($C446),"",IF(G446=Constants!$B$2,TRUE(),IF(G446=Constants!$B$3,FALSE(),TRUE())))</f>
        <v/>
      </c>
      <c r="Z446" s="127" t="str">
        <f aca="false">IF(ISBLANK($C446),"",IF(H446=Constants!$B$2,TRUE(),IF(H446=Constants!$B$3,FALSE(),TRUE())))</f>
        <v/>
      </c>
      <c r="AA446" s="127" t="str">
        <f aca="false">IF(ISBLANK($C446),"",IF(I446=Constants!$B$2,TRUE(),IF(I446=Constants!$B$3,FALSE(),TRUE())))</f>
        <v/>
      </c>
      <c r="AB446" s="127" t="str">
        <f aca="false">IF(ISBLANK($C446),"",IF(J446=Constants!$B$4,TRUE(),IF(J446=Constants!$B$5,FALSE(),COUNTA(K446:M446)&gt;0)))</f>
        <v/>
      </c>
      <c r="AC446" s="128" t="str">
        <f aca="false">IF(ISBLANK($C446),"",IF(ISNUMBER(K446),IF(K446&gt;=0,K446,""),""))</f>
        <v/>
      </c>
      <c r="AD446" s="129" t="str">
        <f aca="false">IF(ISBLANK($C446),"",IF(ISNUMBER(L446),IF(L446&gt;=0,L446,""),""))</f>
        <v/>
      </c>
      <c r="AE446" s="127" t="str">
        <f aca="false">IF(ISBLANK($C446),"",IF(ISNUMBER(M446),IF(M446&gt;=0,MIN(M446,Constants!$B$22),""),""))</f>
        <v/>
      </c>
      <c r="AF446" s="127" t="str">
        <f aca="false">IF(ISBLANK($C446),"",IF(N446=Constants!$B$2,TRUE(),IF(N446=Constants!$B$3,FALSE(),TRUE())))</f>
        <v/>
      </c>
      <c r="AG446" s="127" t="str">
        <f aca="false">IF(ISBLANK($C446),"",IF(O446=Constants!$B$2,TRUE(),IF(O446=Constants!$B$3,FALSE(),TRUE())))</f>
        <v/>
      </c>
      <c r="AH446" s="127" t="str">
        <f aca="false">IF(ISBLANK($C446),"",IF(P446=Constants!$B$4,TRUE(),IF(P446=Constants!$B$5,FALSE(),COUNTA(Q446:S446)&gt;0)))</f>
        <v/>
      </c>
      <c r="AI446" s="128" t="str">
        <f aca="false">IF(ISBLANK($C446),"",IF(ISNUMBER(Q446),IF(Q446&gt;=0,Q446,""),""))</f>
        <v/>
      </c>
      <c r="AJ446" s="129" t="str">
        <f aca="false">IF(ISBLANK($C446),"",IF(ISNUMBER(R446),IF(R446&gt;=0,R446,""),""))</f>
        <v/>
      </c>
      <c r="AK446" s="127" t="str">
        <f aca="false">IF(ISBLANK($C446),"",IF(ISNUMBER(S446),IF(S446&gt;=0,MIN(S446,Constants!$B$22),""),""))</f>
        <v/>
      </c>
      <c r="AL446" s="127" t="str">
        <f aca="false">IF(ISBLANK($C446),"",IF(T446=Constants!$B$2,TRUE(),IF(T446=Constants!$B$3,FALSE(),FALSE())))</f>
        <v/>
      </c>
      <c r="AM446" s="126" t="str">
        <f aca="false">IF(ISBLANK($C446),"",AND($AB446,OR($AC446="",$AD446="",AND(NOT(ISBLANK($M446)),$AE446=""))))</f>
        <v/>
      </c>
      <c r="AN446" s="129" t="str">
        <f aca="false">IF($BD446&lt;&gt;Constants!$B$6,"",IF($AB446,Constants!$B$17*$AD446,Constants!$B$18))</f>
        <v/>
      </c>
      <c r="AO446" s="130" t="str">
        <f aca="false">IF($BD446&lt;&gt;Constants!$B$6,"",Constants!$B$19*IF($AB446,$AC446,0))</f>
        <v/>
      </c>
      <c r="AP446" s="130" t="str">
        <f aca="false">IF($BD446&lt;&gt;Constants!$B$6,"",IF(AND($AB446,ISNUMBER($AE446)),Constants!$B$20*(Constants!$B$21-$AE446),0))</f>
        <v/>
      </c>
      <c r="AQ446" s="130" t="str">
        <f aca="false">IF($BD446&lt;&gt;Constants!$B$6,"",IF($AA446,0,Constants!$B$12)+IF($Z446,0,Constants!$B$13)+IF($Y446,0,Constants!$B$14))</f>
        <v/>
      </c>
      <c r="AR446" s="131" t="str">
        <f aca="false">IF($BD446&lt;&gt;Constants!$B$6,"",Constants!$B$16+SUM($AN446:$AQ446))</f>
        <v/>
      </c>
      <c r="AS446" s="130" t="str">
        <f aca="false">IF($BD446&lt;&gt;Constants!$B$6,"",IF($AB446,$AD446,""))</f>
        <v/>
      </c>
      <c r="AT446" s="132" t="str">
        <f aca="false">IF($BD446&lt;&gt;Constants!$B$6,"",$AO446)</f>
        <v/>
      </c>
      <c r="AU446" s="127" t="str">
        <f aca="false">IF($BD446&lt;&gt;Constants!$B$6,"",IF(OR($BA446&lt;$AR446,AND($BA446=$AR446,OR(AND(ISNUMBER($BB446),OR(NOT(ISNUMBER($AS446)),$BB446&lt;$AS446)),AND(OR(AND($BB446="",$AS446=""),AND(ISNUMBER($BB446),ISNUMBER($AS446),$BB446=$AS446)),$BC446&lt;$AT446)))),"-&gt;","&lt;-"))</f>
        <v/>
      </c>
      <c r="AV446" s="126" t="str">
        <f aca="false">IF(ISBLANK($C446),"",AND($AH446,OR($AI446="",$AJ446="",AND(NOT(ISBLANK($S446)),$AK446=""))))</f>
        <v/>
      </c>
      <c r="AW446" s="129" t="str">
        <f aca="false">IF($BD446&lt;&gt;Constants!$B$6,"",IF($AH446,Constants!$B$17*$AJ446,Constants!$B$18))</f>
        <v/>
      </c>
      <c r="AX446" s="130" t="str">
        <f aca="false">IF($BD446&lt;&gt;Constants!$B$6,"",Constants!$B$19*IF($AH446,$AI446,0))</f>
        <v/>
      </c>
      <c r="AY446" s="130" t="str">
        <f aca="false">IF($BD446&lt;&gt;Constants!$B$6,"",IF(AND($AH446,ISNUMBER($AK446)),Constants!$B$20*(Constants!$B$21-$AK446),0))</f>
        <v/>
      </c>
      <c r="AZ446" s="130" t="str">
        <f aca="false">IF($BD446&lt;&gt;Constants!$B$6,"",IF($AG446,0,Constants!$B$12)+IF($AF446,0,Constants!$B$13)+IF($Y446,0,Constants!$B$14))</f>
        <v/>
      </c>
      <c r="BA446" s="131" t="str">
        <f aca="false">IF($BD446&lt;&gt;Constants!$B$6,"",Constants!$B$16+SUM($AW446:$AZ446))</f>
        <v/>
      </c>
      <c r="BB446" s="130" t="str">
        <f aca="false">IF($BD446&lt;&gt;Constants!$B$6,"",IF($AH446,$AJ446,""))</f>
        <v/>
      </c>
      <c r="BC446" s="132" t="str">
        <f aca="false">IF($BD446&lt;&gt;Constants!$B$6,"",$AX446)</f>
        <v/>
      </c>
      <c r="BD446" s="127" t="str">
        <f aca="false">IF(ISBLANK($C446),"",IF($AL446,Constants!$B$9,IF(COUNTA($E446:$T446)=0,Constants!$B$8,IF(NOT($X446),Constants!$B$7,IF(OR($AM446,$AV446),Constants!$B$10,Constants!$B$6)))))</f>
        <v/>
      </c>
      <c r="BE446" s="127" t="str">
        <f aca="false">IF(ISBLANK($C446),"",IF($BD446&lt;&gt;Constants!$B$6,$BD446,Constants!$B$11))</f>
        <v/>
      </c>
      <c r="BF446" s="130" t="str">
        <f aca="false">IF($BD446&lt;&gt;Constants!$B$6,"",IF($AU446="-&gt;",$BA446,$AR446))</f>
        <v/>
      </c>
      <c r="BG446" s="130" t="str">
        <f aca="false">IF($BD446&lt;&gt;Constants!$B$6,"",IF($W446,0,Constants!$B$15))</f>
        <v/>
      </c>
      <c r="BH446" s="130" t="str">
        <f aca="false">IF(ISBLANK($C446),"",IF($BD446&lt;&gt;Constants!$B$6,$BD446,SUM($BF446:$BG446)))</f>
        <v/>
      </c>
      <c r="BI446" s="127" t="str">
        <f aca="false">IF(ISBLANK($C446),"",IF($BD446&lt;&gt;Constants!$B$6,$BD446,RANK($BH446,$BH$9:$BH$508,1)))</f>
        <v/>
      </c>
      <c r="BJ446" s="130" t="str">
        <f aca="false">IF($BD446&lt;&gt;Constants!$B$6,"",IF($AU446="-&gt;",$BB446,$AS446))</f>
        <v/>
      </c>
      <c r="BK446" s="127" t="str">
        <f aca="false">IF(ISBLANK($C446),"",IF($BD446&lt;&gt;Constants!$B$6,$BD446,IF(ISNUMBER($BJ446),RANK($BJ446,$BJ$9:$BJ$508,1),COUNT($BJ$9:$BJ$508)+1)))</f>
        <v/>
      </c>
      <c r="BL446" s="130" t="str">
        <f aca="false">IF($BD446&lt;&gt;Constants!$B$6,"",IF($AU446="-&gt;",$BC446,$AT446))</f>
        <v/>
      </c>
      <c r="BM446" s="127" t="str">
        <f aca="false">IF(ISBLANK($C446),"",IF($BD446&lt;&gt;Constants!$B$6,$BD446,IF(ISNUMBER($BL446),RANK($BL446,$BL$9:$BL$508,1),COUNT($BL$9:$BL$508)+1)))</f>
        <v/>
      </c>
      <c r="BN446" s="130" t="str">
        <f aca="false">IF($BD446&lt;&gt;Constants!$B$6,"",IF($AU446="-&gt;",$AS446,$BB446))</f>
        <v/>
      </c>
      <c r="BO446" s="127" t="str">
        <f aca="false">IF(ISBLANK($C446),"",IF($BD446&lt;&gt;Constants!$B$6,$BD446,IF(ISNUMBER($BN446),RANK($BN446,$BN$9:$BN$508,1),COUNT($BN$9:$BN$508)+1)))</f>
        <v/>
      </c>
      <c r="BP446" s="130" t="str">
        <f aca="false">IF($BD446&lt;&gt;Constants!$B$6,"",IF($AU446="-&gt;",$AT446,$BC446))</f>
        <v/>
      </c>
      <c r="BQ446" s="127" t="str">
        <f aca="false">IF(ISBLANK($C446),"",IF($BD446&lt;&gt;Constants!$B$6,$BD446,IF(ISNUMBER($BP446),RANK($BP446,$BP$9:$BP$508,1),COUNT($BP$9:$BP$508)+1)))</f>
        <v/>
      </c>
      <c r="BR446" s="127" t="str">
        <f aca="false">IF(ISBLANK($C446),"",IF($BD446&lt;&gt;Constants!$B$6,$BD446,COUNTIFS($BI$9:$BI$508,"&lt;"&amp;$BI446)+COUNTIFS($BI$9:$BI$508,$BI446,$BK$9:$BK$508,"&lt;"&amp;$BK446)+COUNTIFS($BI$9:$BI$508,$BI446,$BK$9:$BK$508,$BK446,$BM$9:$BM$508,"&lt;"&amp;$BM446)+COUNTIFS($BI$9:$BI$508,$BI446,$BK$9:$BK$508,$BK446,$BM$9:$BM$508,$BM446,$BO$9:$BO$508,"&lt;"&amp;$BO446)+COUNTIFS($BI$9:$BI$508,$BI446,$BK$9:$BK$508,$BK446,$BM$9:$BM$508,$BM446,$BO$9:$BO$508,$BO446,$BQ$9:$BQ$508,"&lt;"&amp;$BQ446)+1))</f>
        <v/>
      </c>
      <c r="BS446" s="127" t="str">
        <f aca="false">IF(ISBLANK($C446),"",IF($BD446&lt;&gt;Constants!$B$6,$BD446,$BI446-$BR446))</f>
        <v/>
      </c>
      <c r="BT446" s="133"/>
      <c r="BU446" s="134"/>
      <c r="BV446" s="134" t="str">
        <f aca="false">IF(ISBLANK($C446),"",IF($BD446&lt;&gt;Constants!$B$6,"",IF($AU446="-&gt;",2,1)))</f>
        <v/>
      </c>
      <c r="BW446" s="135" t="str">
        <f aca="false">IF(ISBLANK($C446),"",IF($BD446&lt;&gt;Constants!$B$6,"",IF($AU446="-&gt;",$AW446,$AN446)))</f>
        <v/>
      </c>
      <c r="BX446" s="135" t="str">
        <f aca="false">IF(ISBLANK($C446),"",IF($BD446&lt;&gt;Constants!$B$6,"",IF($AU446="-&gt;",$AX446,$AO446)))</f>
        <v/>
      </c>
      <c r="BY446" s="135" t="str">
        <f aca="false">IF(ISBLANK($C446),"",IF($BD446&lt;&gt;Constants!$B$6,"",IF($AU446="-&gt;",$AY446,$AP446)))</f>
        <v/>
      </c>
      <c r="BZ446" s="135" t="str">
        <f aca="false">IF(ISBLANK($C446),"",IF($BD446&lt;&gt;Constants!$B$6,"",IF($AU446="-&gt;",$AZ446,$AQ446)+$BG446))</f>
        <v/>
      </c>
      <c r="CA446" s="136" t="str">
        <f aca="false">IF(ISBLANK($C446),"",IF($BD446&lt;&gt;Constants!$B$6,$BD446,$BH446))</f>
        <v/>
      </c>
      <c r="CB446" s="137" t="str">
        <f aca="false">IF(ISBLANK($C446),"",$BE446)</f>
        <v/>
      </c>
      <c r="CC446" s="138" t="str">
        <f aca="false">IF(ISBLANK($C446),"",$BS446)</f>
        <v/>
      </c>
      <c r="CD446" s="138" t="str">
        <f aca="false">IF(ISBLANK($C446),"",$BR446)</f>
        <v/>
      </c>
      <c r="CE446" s="139" t="str">
        <f aca="false">IF(ISBLANK($C446),"",IF($CD446=Constants!$B$9,COUNTA($C$9:$C$508)+2,IF($CD446=Constants!$B$8,COUNTA($C$9:$C$508)+1,IF($CD446=Constants!$B$7,COUNTA($C$9:$C$508),$CD446))))</f>
        <v/>
      </c>
      <c r="CF446" s="9"/>
      <c r="CG446" s="140" t="n">
        <f aca="false">IF(OR(ISNUMBER($CD446),$CD446=Constants!$B$9,$CD446=Constants!$B$7,$CD446=Constants!$B$8),1,0)</f>
        <v>0</v>
      </c>
      <c r="CH446" s="140" t="n">
        <v>438</v>
      </c>
      <c r="CI446" s="140" t="str">
        <f aca="false">IF(ISBLANK($C446),"",IF(ISNUMBER($CE446),$CE446+ROW($B446)/1000,""))</f>
        <v/>
      </c>
      <c r="CJ446" s="140" t="str">
        <f aca="false">IF(ISNUMBER($CI446),RANK($CI446,$CI$9:$CI$508,1),"")</f>
        <v/>
      </c>
      <c r="CK446" s="140" t="str">
        <f aca="false">IF(ISBLANK($C446),"",$B446)</f>
        <v/>
      </c>
      <c r="CL446" s="140" t="str">
        <f aca="false">IF(ISBLANK($C446),"",$C446)</f>
        <v/>
      </c>
      <c r="CM446" s="140" t="str">
        <f aca="false">IF(ISBLANK($C446),"",$D446)</f>
        <v/>
      </c>
      <c r="CN446" s="141" t="str">
        <f aca="false">$CB446</f>
        <v/>
      </c>
      <c r="CO446" s="142" t="str">
        <f aca="false">$CA446</f>
        <v/>
      </c>
      <c r="CP446" s="140" t="str">
        <f aca="false">IF(ISBLANK($C446),"",$CD446)</f>
        <v/>
      </c>
      <c r="CQ446" s="143" t="str">
        <f aca="false">IF($CH446&gt;$CG$8,"",VLOOKUP($CH446,$CJ$9:$CP$508,7,FALSE()))</f>
        <v/>
      </c>
      <c r="CR446" s="144" t="str">
        <f aca="false">IF($CH446&gt;$CG$8,"",VLOOKUP($CH446,$CJ$9:$CP$508,2,FALSE()))</f>
        <v/>
      </c>
      <c r="CS446" s="144" t="str">
        <f aca="false">IF($CH446&gt;$CG$8,"",VLOOKUP($CH446,$CJ$9:$CP$508,3,FALSE()))</f>
        <v/>
      </c>
      <c r="CT446" s="144" t="str">
        <f aca="false">IF($CH446&gt;$CG$8,"",VLOOKUP($CH446,$CJ$9:$CP$508,4,FALSE()))</f>
        <v/>
      </c>
      <c r="CU446" s="144" t="str">
        <f aca="false">IF($CH446&gt;$CG$8,"",VLOOKUP($CH446,$CJ$9:$CP$508,5,FALSE()))</f>
        <v/>
      </c>
      <c r="CV446" s="145" t="str">
        <f aca="false">IF($CH446&gt;$CG$8,"",VLOOKUP($CH446,$CJ$9:$CP$508,6,FALSE()))</f>
        <v/>
      </c>
      <c r="CW446" s="71"/>
    </row>
    <row r="447" customFormat="false" ht="15.75" hidden="false" customHeight="false" outlineLevel="0" collapsed="false">
      <c r="A447" s="9"/>
      <c r="B447" s="72"/>
      <c r="C447" s="73"/>
      <c r="D447" s="160"/>
      <c r="E447" s="168"/>
      <c r="F447" s="162"/>
      <c r="G447" s="163"/>
      <c r="H447" s="169"/>
      <c r="I447" s="167"/>
      <c r="J447" s="80"/>
      <c r="K447" s="81"/>
      <c r="L447" s="82"/>
      <c r="M447" s="166"/>
      <c r="N447" s="167"/>
      <c r="O447" s="167"/>
      <c r="P447" s="80"/>
      <c r="Q447" s="82"/>
      <c r="R447" s="82"/>
      <c r="S447" s="166"/>
      <c r="T447" s="167"/>
      <c r="U447" s="86"/>
      <c r="V447" s="87"/>
      <c r="W447" s="87" t="str">
        <f aca="false">IF(ISBLANK($C447),"",IF(E447=Constants!$B$2,TRUE(),IF(E447=Constants!$B$3,FALSE(),TRUE())))</f>
        <v/>
      </c>
      <c r="X447" s="87" t="str">
        <f aca="false">IF(ISBLANK($C447),"",IF(F447=Constants!$B$2,TRUE(),IF(F447=Constants!$B$3,FALSE(),TRUE())))</f>
        <v/>
      </c>
      <c r="Y447" s="87" t="str">
        <f aca="false">IF(ISBLANK($C447),"",IF(G447=Constants!$B$2,TRUE(),IF(G447=Constants!$B$3,FALSE(),TRUE())))</f>
        <v/>
      </c>
      <c r="Z447" s="87" t="str">
        <f aca="false">IF(ISBLANK($C447),"",IF(H447=Constants!$B$2,TRUE(),IF(H447=Constants!$B$3,FALSE(),TRUE())))</f>
        <v/>
      </c>
      <c r="AA447" s="87" t="str">
        <f aca="false">IF(ISBLANK($C447),"",IF(I447=Constants!$B$2,TRUE(),IF(I447=Constants!$B$3,FALSE(),TRUE())))</f>
        <v/>
      </c>
      <c r="AB447" s="87" t="str">
        <f aca="false">IF(ISBLANK($C447),"",IF(J447=Constants!$B$4,TRUE(),IF(J447=Constants!$B$5,FALSE(),COUNTA(K447:M447)&gt;0)))</f>
        <v/>
      </c>
      <c r="AC447" s="88" t="str">
        <f aca="false">IF(ISBLANK($C447),"",IF(ISNUMBER(K447),IF(K447&gt;=0,K447,""),""))</f>
        <v/>
      </c>
      <c r="AD447" s="89" t="str">
        <f aca="false">IF(ISBLANK($C447),"",IF(ISNUMBER(L447),IF(L447&gt;=0,L447,""),""))</f>
        <v/>
      </c>
      <c r="AE447" s="87" t="str">
        <f aca="false">IF(ISBLANK($C447),"",IF(ISNUMBER(M447),IF(M447&gt;=0,MIN(M447,Constants!$B$22),""),""))</f>
        <v/>
      </c>
      <c r="AF447" s="87" t="str">
        <f aca="false">IF(ISBLANK($C447),"",IF(N447=Constants!$B$2,TRUE(),IF(N447=Constants!$B$3,FALSE(),TRUE())))</f>
        <v/>
      </c>
      <c r="AG447" s="87" t="str">
        <f aca="false">IF(ISBLANK($C447),"",IF(O447=Constants!$B$2,TRUE(),IF(O447=Constants!$B$3,FALSE(),TRUE())))</f>
        <v/>
      </c>
      <c r="AH447" s="87" t="str">
        <f aca="false">IF(ISBLANK($C447),"",IF(P447=Constants!$B$4,TRUE(),IF(P447=Constants!$B$5,FALSE(),COUNTA(Q447:S447)&gt;0)))</f>
        <v/>
      </c>
      <c r="AI447" s="88" t="str">
        <f aca="false">IF(ISBLANK($C447),"",IF(ISNUMBER(Q447),IF(Q447&gt;=0,Q447,""),""))</f>
        <v/>
      </c>
      <c r="AJ447" s="89" t="str">
        <f aca="false">IF(ISBLANK($C447),"",IF(ISNUMBER(R447),IF(R447&gt;=0,R447,""),""))</f>
        <v/>
      </c>
      <c r="AK447" s="87" t="str">
        <f aca="false">IF(ISBLANK($C447),"",IF(ISNUMBER(S447),IF(S447&gt;=0,MIN(S447,Constants!$B$22),""),""))</f>
        <v/>
      </c>
      <c r="AL447" s="87" t="str">
        <f aca="false">IF(ISBLANK($C447),"",IF(T447=Constants!$B$2,TRUE(),IF(T447=Constants!$B$3,FALSE(),FALSE())))</f>
        <v/>
      </c>
      <c r="AM447" s="86" t="str">
        <f aca="false">IF(ISBLANK($C447),"",AND($AB447,OR($AC447="",$AD447="",AND(NOT(ISBLANK($M447)),$AE447=""))))</f>
        <v/>
      </c>
      <c r="AN447" s="89" t="str">
        <f aca="false">IF($BD447&lt;&gt;Constants!$B$6,"",IF($AB447,Constants!$B$17*$AD447,Constants!$B$18))</f>
        <v/>
      </c>
      <c r="AO447" s="91" t="str">
        <f aca="false">IF($BD447&lt;&gt;Constants!$B$6,"",Constants!$B$19*IF($AB447,$AC447,0))</f>
        <v/>
      </c>
      <c r="AP447" s="91" t="str">
        <f aca="false">IF($BD447&lt;&gt;Constants!$B$6,"",IF(AND($AB447,ISNUMBER($AE447)),Constants!$B$20*(Constants!$B$21-$AE447),0))</f>
        <v/>
      </c>
      <c r="AQ447" s="91" t="str">
        <f aca="false">IF($BD447&lt;&gt;Constants!$B$6,"",IF($AA447,0,Constants!$B$12)+IF($Z447,0,Constants!$B$13)+IF($Y447,0,Constants!$B$14))</f>
        <v/>
      </c>
      <c r="AR447" s="92" t="str">
        <f aca="false">IF($BD447&lt;&gt;Constants!$B$6,"",Constants!$B$16+SUM($AN447:$AQ447))</f>
        <v/>
      </c>
      <c r="AS447" s="91" t="str">
        <f aca="false">IF($BD447&lt;&gt;Constants!$B$6,"",IF($AB447,$AD447,""))</f>
        <v/>
      </c>
      <c r="AT447" s="93" t="str">
        <f aca="false">IF($BD447&lt;&gt;Constants!$B$6,"",$AO447)</f>
        <v/>
      </c>
      <c r="AU447" s="87" t="str">
        <f aca="false">IF($BD447&lt;&gt;Constants!$B$6,"",IF(OR($BA447&lt;$AR447,AND($BA447=$AR447,OR(AND(ISNUMBER($BB447),OR(NOT(ISNUMBER($AS447)),$BB447&lt;$AS447)),AND(OR(AND($BB447="",$AS447=""),AND(ISNUMBER($BB447),ISNUMBER($AS447),$BB447=$AS447)),$BC447&lt;$AT447)))),"-&gt;","&lt;-"))</f>
        <v/>
      </c>
      <c r="AV447" s="86" t="str">
        <f aca="false">IF(ISBLANK($C447),"",AND($AH447,OR($AI447="",$AJ447="",AND(NOT(ISBLANK($S447)),$AK447=""))))</f>
        <v/>
      </c>
      <c r="AW447" s="89" t="str">
        <f aca="false">IF($BD447&lt;&gt;Constants!$B$6,"",IF($AH447,Constants!$B$17*$AJ447,Constants!$B$18))</f>
        <v/>
      </c>
      <c r="AX447" s="91" t="str">
        <f aca="false">IF($BD447&lt;&gt;Constants!$B$6,"",Constants!$B$19*IF($AH447,$AI447,0))</f>
        <v/>
      </c>
      <c r="AY447" s="91" t="str">
        <f aca="false">IF($BD447&lt;&gt;Constants!$B$6,"",IF(AND($AH447,ISNUMBER($AK447)),Constants!$B$20*(Constants!$B$21-$AK447),0))</f>
        <v/>
      </c>
      <c r="AZ447" s="91" t="str">
        <f aca="false">IF($BD447&lt;&gt;Constants!$B$6,"",IF($AG447,0,Constants!$B$12)+IF($AF447,0,Constants!$B$13)+IF($Y447,0,Constants!$B$14))</f>
        <v/>
      </c>
      <c r="BA447" s="92" t="str">
        <f aca="false">IF($BD447&lt;&gt;Constants!$B$6,"",Constants!$B$16+SUM($AW447:$AZ447))</f>
        <v/>
      </c>
      <c r="BB447" s="91" t="str">
        <f aca="false">IF($BD447&lt;&gt;Constants!$B$6,"",IF($AH447,$AJ447,""))</f>
        <v/>
      </c>
      <c r="BC447" s="93" t="str">
        <f aca="false">IF($BD447&lt;&gt;Constants!$B$6,"",$AX447)</f>
        <v/>
      </c>
      <c r="BD447" s="87" t="str">
        <f aca="false">IF(ISBLANK($C447),"",IF($AL447,Constants!$B$9,IF(COUNTA($E447:$T447)=0,Constants!$B$8,IF(NOT($X447),Constants!$B$7,IF(OR($AM447,$AV447),Constants!$B$10,Constants!$B$6)))))</f>
        <v/>
      </c>
      <c r="BE447" s="87" t="str">
        <f aca="false">IF(ISBLANK($C447),"",IF($BD447&lt;&gt;Constants!$B$6,$BD447,Constants!$B$11))</f>
        <v/>
      </c>
      <c r="BF447" s="91" t="str">
        <f aca="false">IF($BD447&lt;&gt;Constants!$B$6,"",IF($AU447="-&gt;",$BA447,$AR447))</f>
        <v/>
      </c>
      <c r="BG447" s="91" t="str">
        <f aca="false">IF($BD447&lt;&gt;Constants!$B$6,"",IF($W447,0,Constants!$B$15))</f>
        <v/>
      </c>
      <c r="BH447" s="91" t="str">
        <f aca="false">IF(ISBLANK($C447),"",IF($BD447&lt;&gt;Constants!$B$6,$BD447,SUM($BF447:$BG447)))</f>
        <v/>
      </c>
      <c r="BI447" s="87" t="str">
        <f aca="false">IF(ISBLANK($C447),"",IF($BD447&lt;&gt;Constants!$B$6,$BD447,RANK($BH447,$BH$9:$BH$508,1)))</f>
        <v/>
      </c>
      <c r="BJ447" s="91" t="str">
        <f aca="false">IF($BD447&lt;&gt;Constants!$B$6,"",IF($AU447="-&gt;",$BB447,$AS447))</f>
        <v/>
      </c>
      <c r="BK447" s="87" t="str">
        <f aca="false">IF(ISBLANK($C447),"",IF($BD447&lt;&gt;Constants!$B$6,$BD447,IF(ISNUMBER($BJ447),RANK($BJ447,$BJ$9:$BJ$508,1),COUNT($BJ$9:$BJ$508)+1)))</f>
        <v/>
      </c>
      <c r="BL447" s="91" t="str">
        <f aca="false">IF($BD447&lt;&gt;Constants!$B$6,"",IF($AU447="-&gt;",$BC447,$AT447))</f>
        <v/>
      </c>
      <c r="BM447" s="87" t="str">
        <f aca="false">IF(ISBLANK($C447),"",IF($BD447&lt;&gt;Constants!$B$6,$BD447,IF(ISNUMBER($BL447),RANK($BL447,$BL$9:$BL$508,1),COUNT($BL$9:$BL$508)+1)))</f>
        <v/>
      </c>
      <c r="BN447" s="91" t="str">
        <f aca="false">IF($BD447&lt;&gt;Constants!$B$6,"",IF($AU447="-&gt;",$AS447,$BB447))</f>
        <v/>
      </c>
      <c r="BO447" s="87" t="str">
        <f aca="false">IF(ISBLANK($C447),"",IF($BD447&lt;&gt;Constants!$B$6,$BD447,IF(ISNUMBER($BN447),RANK($BN447,$BN$9:$BN$508,1),COUNT($BN$9:$BN$508)+1)))</f>
        <v/>
      </c>
      <c r="BP447" s="91" t="str">
        <f aca="false">IF($BD447&lt;&gt;Constants!$B$6,"",IF($AU447="-&gt;",$AT447,$BC447))</f>
        <v/>
      </c>
      <c r="BQ447" s="87" t="str">
        <f aca="false">IF(ISBLANK($C447),"",IF($BD447&lt;&gt;Constants!$B$6,$BD447,IF(ISNUMBER($BP447),RANK($BP447,$BP$9:$BP$508,1),COUNT($BP$9:$BP$508)+1)))</f>
        <v/>
      </c>
      <c r="BR447" s="87" t="str">
        <f aca="false">IF(ISBLANK($C447),"",IF($BD447&lt;&gt;Constants!$B$6,$BD447,COUNTIFS($BI$9:$BI$508,"&lt;"&amp;$BI447)+COUNTIFS($BI$9:$BI$508,$BI447,$BK$9:$BK$508,"&lt;"&amp;$BK447)+COUNTIFS($BI$9:$BI$508,$BI447,$BK$9:$BK$508,$BK447,$BM$9:$BM$508,"&lt;"&amp;$BM447)+COUNTIFS($BI$9:$BI$508,$BI447,$BK$9:$BK$508,$BK447,$BM$9:$BM$508,$BM447,$BO$9:$BO$508,"&lt;"&amp;$BO447)+COUNTIFS($BI$9:$BI$508,$BI447,$BK$9:$BK$508,$BK447,$BM$9:$BM$508,$BM447,$BO$9:$BO$508,$BO447,$BQ$9:$BQ$508,"&lt;"&amp;$BQ447)+1))</f>
        <v/>
      </c>
      <c r="BS447" s="87" t="str">
        <f aca="false">IF(ISBLANK($C447),"",IF($BD447&lt;&gt;Constants!$B$6,$BD447,$BI447-$BR447))</f>
        <v/>
      </c>
      <c r="BT447" s="94"/>
      <c r="BU447" s="95"/>
      <c r="BV447" s="95" t="str">
        <f aca="false">IF(ISBLANK($C447),"",IF($BD447&lt;&gt;Constants!$B$6,"",IF($AU447="-&gt;",2,1)))</f>
        <v/>
      </c>
      <c r="BW447" s="96" t="str">
        <f aca="false">IF(ISBLANK($C447),"",IF($BD447&lt;&gt;Constants!$B$6,"",IF($AU447="-&gt;",$AW447,$AN447)))</f>
        <v/>
      </c>
      <c r="BX447" s="96" t="str">
        <f aca="false">IF(ISBLANK($C447),"",IF($BD447&lt;&gt;Constants!$B$6,"",IF($AU447="-&gt;",$AX447,$AO447)))</f>
        <v/>
      </c>
      <c r="BY447" s="96" t="str">
        <f aca="false">IF(ISBLANK($C447),"",IF($BD447&lt;&gt;Constants!$B$6,"",IF($AU447="-&gt;",$AY447,$AP447)))</f>
        <v/>
      </c>
      <c r="BZ447" s="96" t="str">
        <f aca="false">IF(ISBLANK($C447),"",IF($BD447&lt;&gt;Constants!$B$6,"",IF($AU447="-&gt;",$AZ447,$AQ447)+$BG447))</f>
        <v/>
      </c>
      <c r="CA447" s="97" t="str">
        <f aca="false">IF(ISBLANK($C447),"",IF($BD447&lt;&gt;Constants!$B$6,$BD447,$BH447))</f>
        <v/>
      </c>
      <c r="CB447" s="98" t="str">
        <f aca="false">IF(ISBLANK($C447),"",$BE447)</f>
        <v/>
      </c>
      <c r="CC447" s="99" t="str">
        <f aca="false">IF(ISBLANK($C447),"",$BS447)</f>
        <v/>
      </c>
      <c r="CD447" s="99" t="str">
        <f aca="false">IF(ISBLANK($C447),"",$BR447)</f>
        <v/>
      </c>
      <c r="CE447" s="100" t="str">
        <f aca="false">IF(ISBLANK($C447),"",IF($CD447=Constants!$B$9,COUNTA($C$9:$C$508)+2,IF($CD447=Constants!$B$8,COUNTA($C$9:$C$508)+1,IF($CD447=Constants!$B$7,COUNTA($C$9:$C$508),$CD447))))</f>
        <v/>
      </c>
      <c r="CF447" s="9"/>
      <c r="CG447" s="101" t="n">
        <f aca="false">IF(OR(ISNUMBER($CD447),$CD447=Constants!$B$9,$CD447=Constants!$B$7,$CD447=Constants!$B$8),1,0)</f>
        <v>0</v>
      </c>
      <c r="CH447" s="101" t="n">
        <v>439</v>
      </c>
      <c r="CI447" s="101" t="str">
        <f aca="false">IF(ISBLANK($C447),"",IF(ISNUMBER($CE447),$CE447+ROW($B447)/1000,""))</f>
        <v/>
      </c>
      <c r="CJ447" s="101" t="str">
        <f aca="false">IF(ISNUMBER($CI447),RANK($CI447,$CI$9:$CI$508,1),"")</f>
        <v/>
      </c>
      <c r="CK447" s="101" t="str">
        <f aca="false">IF(ISBLANK($C447),"",$B447)</f>
        <v/>
      </c>
      <c r="CL447" s="101" t="str">
        <f aca="false">IF(ISBLANK($C447),"",$C447)</f>
        <v/>
      </c>
      <c r="CM447" s="101" t="str">
        <f aca="false">IF(ISBLANK($C447),"",$D447)</f>
        <v/>
      </c>
      <c r="CN447" s="102" t="str">
        <f aca="false">$CB447</f>
        <v/>
      </c>
      <c r="CO447" s="103" t="str">
        <f aca="false">$CA447</f>
        <v/>
      </c>
      <c r="CP447" s="101" t="str">
        <f aca="false">IF(ISBLANK($C447),"",$CD447)</f>
        <v/>
      </c>
      <c r="CQ447" s="104" t="str">
        <f aca="false">IF($CH447&gt;$CG$8,"",VLOOKUP($CH447,$CJ$9:$CP$508,7,FALSE()))</f>
        <v/>
      </c>
      <c r="CR447" s="105" t="str">
        <f aca="false">IF($CH447&gt;$CG$8,"",VLOOKUP($CH447,$CJ$9:$CP$508,2,FALSE()))</f>
        <v/>
      </c>
      <c r="CS447" s="105" t="str">
        <f aca="false">IF($CH447&gt;$CG$8,"",VLOOKUP($CH447,$CJ$9:$CP$508,3,FALSE()))</f>
        <v/>
      </c>
      <c r="CT447" s="105" t="str">
        <f aca="false">IF($CH447&gt;$CG$8,"",VLOOKUP($CH447,$CJ$9:$CP$508,4,FALSE()))</f>
        <v/>
      </c>
      <c r="CU447" s="105" t="str">
        <f aca="false">IF($CH447&gt;$CG$8,"",VLOOKUP($CH447,$CJ$9:$CP$508,5,FALSE()))</f>
        <v/>
      </c>
      <c r="CV447" s="106" t="str">
        <f aca="false">IF($CH447&gt;$CG$8,"",VLOOKUP($CH447,$CJ$9:$CP$508,6,FALSE()))</f>
        <v/>
      </c>
      <c r="CW447" s="71"/>
    </row>
    <row r="448" customFormat="false" ht="15.75" hidden="false" customHeight="false" outlineLevel="0" collapsed="false">
      <c r="A448" s="9"/>
      <c r="B448" s="72"/>
      <c r="C448" s="73"/>
      <c r="D448" s="160"/>
      <c r="E448" s="168"/>
      <c r="F448" s="162"/>
      <c r="G448" s="163"/>
      <c r="H448" s="169"/>
      <c r="I448" s="167"/>
      <c r="J448" s="80"/>
      <c r="K448" s="81"/>
      <c r="L448" s="82"/>
      <c r="M448" s="166"/>
      <c r="N448" s="167"/>
      <c r="O448" s="167"/>
      <c r="P448" s="80"/>
      <c r="Q448" s="82"/>
      <c r="R448" s="82"/>
      <c r="S448" s="166"/>
      <c r="T448" s="167"/>
      <c r="U448" s="86"/>
      <c r="V448" s="87"/>
      <c r="W448" s="87" t="str">
        <f aca="false">IF(ISBLANK($C448),"",IF(E448=Constants!$B$2,TRUE(),IF(E448=Constants!$B$3,FALSE(),TRUE())))</f>
        <v/>
      </c>
      <c r="X448" s="87" t="str">
        <f aca="false">IF(ISBLANK($C448),"",IF(F448=Constants!$B$2,TRUE(),IF(F448=Constants!$B$3,FALSE(),TRUE())))</f>
        <v/>
      </c>
      <c r="Y448" s="87" t="str">
        <f aca="false">IF(ISBLANK($C448),"",IF(G448=Constants!$B$2,TRUE(),IF(G448=Constants!$B$3,FALSE(),TRUE())))</f>
        <v/>
      </c>
      <c r="Z448" s="87" t="str">
        <f aca="false">IF(ISBLANK($C448),"",IF(H448=Constants!$B$2,TRUE(),IF(H448=Constants!$B$3,FALSE(),TRUE())))</f>
        <v/>
      </c>
      <c r="AA448" s="87" t="str">
        <f aca="false">IF(ISBLANK($C448),"",IF(I448=Constants!$B$2,TRUE(),IF(I448=Constants!$B$3,FALSE(),TRUE())))</f>
        <v/>
      </c>
      <c r="AB448" s="87" t="str">
        <f aca="false">IF(ISBLANK($C448),"",IF(J448=Constants!$B$4,TRUE(),IF(J448=Constants!$B$5,FALSE(),COUNTA(K448:M448)&gt;0)))</f>
        <v/>
      </c>
      <c r="AC448" s="88" t="str">
        <f aca="false">IF(ISBLANK($C448),"",IF(ISNUMBER(K448),IF(K448&gt;=0,K448,""),""))</f>
        <v/>
      </c>
      <c r="AD448" s="89" t="str">
        <f aca="false">IF(ISBLANK($C448),"",IF(ISNUMBER(L448),IF(L448&gt;=0,L448,""),""))</f>
        <v/>
      </c>
      <c r="AE448" s="87" t="str">
        <f aca="false">IF(ISBLANK($C448),"",IF(ISNUMBER(M448),IF(M448&gt;=0,MIN(M448,Constants!$B$22),""),""))</f>
        <v/>
      </c>
      <c r="AF448" s="87" t="str">
        <f aca="false">IF(ISBLANK($C448),"",IF(N448=Constants!$B$2,TRUE(),IF(N448=Constants!$B$3,FALSE(),TRUE())))</f>
        <v/>
      </c>
      <c r="AG448" s="87" t="str">
        <f aca="false">IF(ISBLANK($C448),"",IF(O448=Constants!$B$2,TRUE(),IF(O448=Constants!$B$3,FALSE(),TRUE())))</f>
        <v/>
      </c>
      <c r="AH448" s="87" t="str">
        <f aca="false">IF(ISBLANK($C448),"",IF(P448=Constants!$B$4,TRUE(),IF(P448=Constants!$B$5,FALSE(),COUNTA(Q448:S448)&gt;0)))</f>
        <v/>
      </c>
      <c r="AI448" s="88" t="str">
        <f aca="false">IF(ISBLANK($C448),"",IF(ISNUMBER(Q448),IF(Q448&gt;=0,Q448,""),""))</f>
        <v/>
      </c>
      <c r="AJ448" s="89" t="str">
        <f aca="false">IF(ISBLANK($C448),"",IF(ISNUMBER(R448),IF(R448&gt;=0,R448,""),""))</f>
        <v/>
      </c>
      <c r="AK448" s="87" t="str">
        <f aca="false">IF(ISBLANK($C448),"",IF(ISNUMBER(S448),IF(S448&gt;=0,MIN(S448,Constants!$B$22),""),""))</f>
        <v/>
      </c>
      <c r="AL448" s="87" t="str">
        <f aca="false">IF(ISBLANK($C448),"",IF(T448=Constants!$B$2,TRUE(),IF(T448=Constants!$B$3,FALSE(),FALSE())))</f>
        <v/>
      </c>
      <c r="AM448" s="86" t="str">
        <f aca="false">IF(ISBLANK($C448),"",AND($AB448,OR($AC448="",$AD448="",AND(NOT(ISBLANK($M448)),$AE448=""))))</f>
        <v/>
      </c>
      <c r="AN448" s="89" t="str">
        <f aca="false">IF($BD448&lt;&gt;Constants!$B$6,"",IF($AB448,Constants!$B$17*$AD448,Constants!$B$18))</f>
        <v/>
      </c>
      <c r="AO448" s="91" t="str">
        <f aca="false">IF($BD448&lt;&gt;Constants!$B$6,"",Constants!$B$19*IF($AB448,$AC448,0))</f>
        <v/>
      </c>
      <c r="AP448" s="91" t="str">
        <f aca="false">IF($BD448&lt;&gt;Constants!$B$6,"",IF(AND($AB448,ISNUMBER($AE448)),Constants!$B$20*(Constants!$B$21-$AE448),0))</f>
        <v/>
      </c>
      <c r="AQ448" s="91" t="str">
        <f aca="false">IF($BD448&lt;&gt;Constants!$B$6,"",IF($AA448,0,Constants!$B$12)+IF($Z448,0,Constants!$B$13)+IF($Y448,0,Constants!$B$14))</f>
        <v/>
      </c>
      <c r="AR448" s="92" t="str">
        <f aca="false">IF($BD448&lt;&gt;Constants!$B$6,"",Constants!$B$16+SUM($AN448:$AQ448))</f>
        <v/>
      </c>
      <c r="AS448" s="91" t="str">
        <f aca="false">IF($BD448&lt;&gt;Constants!$B$6,"",IF($AB448,$AD448,""))</f>
        <v/>
      </c>
      <c r="AT448" s="93" t="str">
        <f aca="false">IF($BD448&lt;&gt;Constants!$B$6,"",$AO448)</f>
        <v/>
      </c>
      <c r="AU448" s="87" t="str">
        <f aca="false">IF($BD448&lt;&gt;Constants!$B$6,"",IF(OR($BA448&lt;$AR448,AND($BA448=$AR448,OR(AND(ISNUMBER($BB448),OR(NOT(ISNUMBER($AS448)),$BB448&lt;$AS448)),AND(OR(AND($BB448="",$AS448=""),AND(ISNUMBER($BB448),ISNUMBER($AS448),$BB448=$AS448)),$BC448&lt;$AT448)))),"-&gt;","&lt;-"))</f>
        <v/>
      </c>
      <c r="AV448" s="86" t="str">
        <f aca="false">IF(ISBLANK($C448),"",AND($AH448,OR($AI448="",$AJ448="",AND(NOT(ISBLANK($S448)),$AK448=""))))</f>
        <v/>
      </c>
      <c r="AW448" s="89" t="str">
        <f aca="false">IF($BD448&lt;&gt;Constants!$B$6,"",IF($AH448,Constants!$B$17*$AJ448,Constants!$B$18))</f>
        <v/>
      </c>
      <c r="AX448" s="91" t="str">
        <f aca="false">IF($BD448&lt;&gt;Constants!$B$6,"",Constants!$B$19*IF($AH448,$AI448,0))</f>
        <v/>
      </c>
      <c r="AY448" s="91" t="str">
        <f aca="false">IF($BD448&lt;&gt;Constants!$B$6,"",IF(AND($AH448,ISNUMBER($AK448)),Constants!$B$20*(Constants!$B$21-$AK448),0))</f>
        <v/>
      </c>
      <c r="AZ448" s="91" t="str">
        <f aca="false">IF($BD448&lt;&gt;Constants!$B$6,"",IF($AG448,0,Constants!$B$12)+IF($AF448,0,Constants!$B$13)+IF($Y448,0,Constants!$B$14))</f>
        <v/>
      </c>
      <c r="BA448" s="92" t="str">
        <f aca="false">IF($BD448&lt;&gt;Constants!$B$6,"",Constants!$B$16+SUM($AW448:$AZ448))</f>
        <v/>
      </c>
      <c r="BB448" s="91" t="str">
        <f aca="false">IF($BD448&lt;&gt;Constants!$B$6,"",IF($AH448,$AJ448,""))</f>
        <v/>
      </c>
      <c r="BC448" s="93" t="str">
        <f aca="false">IF($BD448&lt;&gt;Constants!$B$6,"",$AX448)</f>
        <v/>
      </c>
      <c r="BD448" s="87" t="str">
        <f aca="false">IF(ISBLANK($C448),"",IF($AL448,Constants!$B$9,IF(COUNTA($E448:$T448)=0,Constants!$B$8,IF(NOT($X448),Constants!$B$7,IF(OR($AM448,$AV448),Constants!$B$10,Constants!$B$6)))))</f>
        <v/>
      </c>
      <c r="BE448" s="87" t="str">
        <f aca="false">IF(ISBLANK($C448),"",IF($BD448&lt;&gt;Constants!$B$6,$BD448,Constants!$B$11))</f>
        <v/>
      </c>
      <c r="BF448" s="91" t="str">
        <f aca="false">IF($BD448&lt;&gt;Constants!$B$6,"",IF($AU448="-&gt;",$BA448,$AR448))</f>
        <v/>
      </c>
      <c r="BG448" s="91" t="str">
        <f aca="false">IF($BD448&lt;&gt;Constants!$B$6,"",IF($W448,0,Constants!$B$15))</f>
        <v/>
      </c>
      <c r="BH448" s="91" t="str">
        <f aca="false">IF(ISBLANK($C448),"",IF($BD448&lt;&gt;Constants!$B$6,$BD448,SUM($BF448:$BG448)))</f>
        <v/>
      </c>
      <c r="BI448" s="87" t="str">
        <f aca="false">IF(ISBLANK($C448),"",IF($BD448&lt;&gt;Constants!$B$6,$BD448,RANK($BH448,$BH$9:$BH$508,1)))</f>
        <v/>
      </c>
      <c r="BJ448" s="91" t="str">
        <f aca="false">IF($BD448&lt;&gt;Constants!$B$6,"",IF($AU448="-&gt;",$BB448,$AS448))</f>
        <v/>
      </c>
      <c r="BK448" s="87" t="str">
        <f aca="false">IF(ISBLANK($C448),"",IF($BD448&lt;&gt;Constants!$B$6,$BD448,IF(ISNUMBER($BJ448),RANK($BJ448,$BJ$9:$BJ$508,1),COUNT($BJ$9:$BJ$508)+1)))</f>
        <v/>
      </c>
      <c r="BL448" s="91" t="str">
        <f aca="false">IF($BD448&lt;&gt;Constants!$B$6,"",IF($AU448="-&gt;",$BC448,$AT448))</f>
        <v/>
      </c>
      <c r="BM448" s="87" t="str">
        <f aca="false">IF(ISBLANK($C448),"",IF($BD448&lt;&gt;Constants!$B$6,$BD448,IF(ISNUMBER($BL448),RANK($BL448,$BL$9:$BL$508,1),COUNT($BL$9:$BL$508)+1)))</f>
        <v/>
      </c>
      <c r="BN448" s="91" t="str">
        <f aca="false">IF($BD448&lt;&gt;Constants!$B$6,"",IF($AU448="-&gt;",$AS448,$BB448))</f>
        <v/>
      </c>
      <c r="BO448" s="87" t="str">
        <f aca="false">IF(ISBLANK($C448),"",IF($BD448&lt;&gt;Constants!$B$6,$BD448,IF(ISNUMBER($BN448),RANK($BN448,$BN$9:$BN$508,1),COUNT($BN$9:$BN$508)+1)))</f>
        <v/>
      </c>
      <c r="BP448" s="91" t="str">
        <f aca="false">IF($BD448&lt;&gt;Constants!$B$6,"",IF($AU448="-&gt;",$AT448,$BC448))</f>
        <v/>
      </c>
      <c r="BQ448" s="87" t="str">
        <f aca="false">IF(ISBLANK($C448),"",IF($BD448&lt;&gt;Constants!$B$6,$BD448,IF(ISNUMBER($BP448),RANK($BP448,$BP$9:$BP$508,1),COUNT($BP$9:$BP$508)+1)))</f>
        <v/>
      </c>
      <c r="BR448" s="87" t="str">
        <f aca="false">IF(ISBLANK($C448),"",IF($BD448&lt;&gt;Constants!$B$6,$BD448,COUNTIFS($BI$9:$BI$508,"&lt;"&amp;$BI448)+COUNTIFS($BI$9:$BI$508,$BI448,$BK$9:$BK$508,"&lt;"&amp;$BK448)+COUNTIFS($BI$9:$BI$508,$BI448,$BK$9:$BK$508,$BK448,$BM$9:$BM$508,"&lt;"&amp;$BM448)+COUNTIFS($BI$9:$BI$508,$BI448,$BK$9:$BK$508,$BK448,$BM$9:$BM$508,$BM448,$BO$9:$BO$508,"&lt;"&amp;$BO448)+COUNTIFS($BI$9:$BI$508,$BI448,$BK$9:$BK$508,$BK448,$BM$9:$BM$508,$BM448,$BO$9:$BO$508,$BO448,$BQ$9:$BQ$508,"&lt;"&amp;$BQ448)+1))</f>
        <v/>
      </c>
      <c r="BS448" s="87" t="str">
        <f aca="false">IF(ISBLANK($C448),"",IF($BD448&lt;&gt;Constants!$B$6,$BD448,$BI448-$BR448))</f>
        <v/>
      </c>
      <c r="BT448" s="94"/>
      <c r="BU448" s="95"/>
      <c r="BV448" s="95" t="str">
        <f aca="false">IF(ISBLANK($C448),"",IF($BD448&lt;&gt;Constants!$B$6,"",IF($AU448="-&gt;",2,1)))</f>
        <v/>
      </c>
      <c r="BW448" s="96" t="str">
        <f aca="false">IF(ISBLANK($C448),"",IF($BD448&lt;&gt;Constants!$B$6,"",IF($AU448="-&gt;",$AW448,$AN448)))</f>
        <v/>
      </c>
      <c r="BX448" s="96" t="str">
        <f aca="false">IF(ISBLANK($C448),"",IF($BD448&lt;&gt;Constants!$B$6,"",IF($AU448="-&gt;",$AX448,$AO448)))</f>
        <v/>
      </c>
      <c r="BY448" s="96" t="str">
        <f aca="false">IF(ISBLANK($C448),"",IF($BD448&lt;&gt;Constants!$B$6,"",IF($AU448="-&gt;",$AY448,$AP448)))</f>
        <v/>
      </c>
      <c r="BZ448" s="96" t="str">
        <f aca="false">IF(ISBLANK($C448),"",IF($BD448&lt;&gt;Constants!$B$6,"",IF($AU448="-&gt;",$AZ448,$AQ448)+$BG448))</f>
        <v/>
      </c>
      <c r="CA448" s="97" t="str">
        <f aca="false">IF(ISBLANK($C448),"",IF($BD448&lt;&gt;Constants!$B$6,$BD448,$BH448))</f>
        <v/>
      </c>
      <c r="CB448" s="98" t="str">
        <f aca="false">IF(ISBLANK($C448),"",$BE448)</f>
        <v/>
      </c>
      <c r="CC448" s="99" t="str">
        <f aca="false">IF(ISBLANK($C448),"",$BS448)</f>
        <v/>
      </c>
      <c r="CD448" s="99" t="str">
        <f aca="false">IF(ISBLANK($C448),"",$BR448)</f>
        <v/>
      </c>
      <c r="CE448" s="100" t="str">
        <f aca="false">IF(ISBLANK($C448),"",IF($CD448=Constants!$B$9,COUNTA($C$9:$C$508)+2,IF($CD448=Constants!$B$8,COUNTA($C$9:$C$508)+1,IF($CD448=Constants!$B$7,COUNTA($C$9:$C$508),$CD448))))</f>
        <v/>
      </c>
      <c r="CF448" s="9"/>
      <c r="CG448" s="101" t="n">
        <f aca="false">IF(OR(ISNUMBER($CD448),$CD448=Constants!$B$9,$CD448=Constants!$B$7,$CD448=Constants!$B$8),1,0)</f>
        <v>0</v>
      </c>
      <c r="CH448" s="101" t="n">
        <v>440</v>
      </c>
      <c r="CI448" s="101" t="str">
        <f aca="false">IF(ISBLANK($C448),"",IF(ISNUMBER($CE448),$CE448+ROW($B448)/1000,""))</f>
        <v/>
      </c>
      <c r="CJ448" s="101" t="str">
        <f aca="false">IF(ISNUMBER($CI448),RANK($CI448,$CI$9:$CI$508,1),"")</f>
        <v/>
      </c>
      <c r="CK448" s="101" t="str">
        <f aca="false">IF(ISBLANK($C448),"",$B448)</f>
        <v/>
      </c>
      <c r="CL448" s="101" t="str">
        <f aca="false">IF(ISBLANK($C448),"",$C448)</f>
        <v/>
      </c>
      <c r="CM448" s="101" t="str">
        <f aca="false">IF(ISBLANK($C448),"",$D448)</f>
        <v/>
      </c>
      <c r="CN448" s="102" t="str">
        <f aca="false">$CB448</f>
        <v/>
      </c>
      <c r="CO448" s="103" t="str">
        <f aca="false">$CA448</f>
        <v/>
      </c>
      <c r="CP448" s="101" t="str">
        <f aca="false">IF(ISBLANK($C448),"",$CD448)</f>
        <v/>
      </c>
      <c r="CQ448" s="104" t="str">
        <f aca="false">IF($CH448&gt;$CG$8,"",VLOOKUP($CH448,$CJ$9:$CP$508,7,FALSE()))</f>
        <v/>
      </c>
      <c r="CR448" s="105" t="str">
        <f aca="false">IF($CH448&gt;$CG$8,"",VLOOKUP($CH448,$CJ$9:$CP$508,2,FALSE()))</f>
        <v/>
      </c>
      <c r="CS448" s="105" t="str">
        <f aca="false">IF($CH448&gt;$CG$8,"",VLOOKUP($CH448,$CJ$9:$CP$508,3,FALSE()))</f>
        <v/>
      </c>
      <c r="CT448" s="105" t="str">
        <f aca="false">IF($CH448&gt;$CG$8,"",VLOOKUP($CH448,$CJ$9:$CP$508,4,FALSE()))</f>
        <v/>
      </c>
      <c r="CU448" s="105" t="str">
        <f aca="false">IF($CH448&gt;$CG$8,"",VLOOKUP($CH448,$CJ$9:$CP$508,5,FALSE()))</f>
        <v/>
      </c>
      <c r="CV448" s="106" t="str">
        <f aca="false">IF($CH448&gt;$CG$8,"",VLOOKUP($CH448,$CJ$9:$CP$508,6,FALSE()))</f>
        <v/>
      </c>
      <c r="CW448" s="71"/>
    </row>
    <row r="449" customFormat="false" ht="15.75" hidden="false" customHeight="false" outlineLevel="0" collapsed="false">
      <c r="A449" s="9"/>
      <c r="B449" s="72"/>
      <c r="C449" s="73"/>
      <c r="D449" s="160"/>
      <c r="E449" s="168"/>
      <c r="F449" s="162"/>
      <c r="G449" s="163"/>
      <c r="H449" s="169"/>
      <c r="I449" s="167"/>
      <c r="J449" s="80"/>
      <c r="K449" s="81"/>
      <c r="L449" s="82"/>
      <c r="M449" s="166"/>
      <c r="N449" s="167"/>
      <c r="O449" s="167"/>
      <c r="P449" s="80"/>
      <c r="Q449" s="82"/>
      <c r="R449" s="82"/>
      <c r="S449" s="166"/>
      <c r="T449" s="167"/>
      <c r="U449" s="86"/>
      <c r="V449" s="87"/>
      <c r="W449" s="87" t="str">
        <f aca="false">IF(ISBLANK($C449),"",IF(E449=Constants!$B$2,TRUE(),IF(E449=Constants!$B$3,FALSE(),TRUE())))</f>
        <v/>
      </c>
      <c r="X449" s="87" t="str">
        <f aca="false">IF(ISBLANK($C449),"",IF(F449=Constants!$B$2,TRUE(),IF(F449=Constants!$B$3,FALSE(),TRUE())))</f>
        <v/>
      </c>
      <c r="Y449" s="87" t="str">
        <f aca="false">IF(ISBLANK($C449),"",IF(G449=Constants!$B$2,TRUE(),IF(G449=Constants!$B$3,FALSE(),TRUE())))</f>
        <v/>
      </c>
      <c r="Z449" s="87" t="str">
        <f aca="false">IF(ISBLANK($C449),"",IF(H449=Constants!$B$2,TRUE(),IF(H449=Constants!$B$3,FALSE(),TRUE())))</f>
        <v/>
      </c>
      <c r="AA449" s="87" t="str">
        <f aca="false">IF(ISBLANK($C449),"",IF(I449=Constants!$B$2,TRUE(),IF(I449=Constants!$B$3,FALSE(),TRUE())))</f>
        <v/>
      </c>
      <c r="AB449" s="87" t="str">
        <f aca="false">IF(ISBLANK($C449),"",IF(J449=Constants!$B$4,TRUE(),IF(J449=Constants!$B$5,FALSE(),COUNTA(K449:M449)&gt;0)))</f>
        <v/>
      </c>
      <c r="AC449" s="88" t="str">
        <f aca="false">IF(ISBLANK($C449),"",IF(ISNUMBER(K449),IF(K449&gt;=0,K449,""),""))</f>
        <v/>
      </c>
      <c r="AD449" s="89" t="str">
        <f aca="false">IF(ISBLANK($C449),"",IF(ISNUMBER(L449),IF(L449&gt;=0,L449,""),""))</f>
        <v/>
      </c>
      <c r="AE449" s="87" t="str">
        <f aca="false">IF(ISBLANK($C449),"",IF(ISNUMBER(M449),IF(M449&gt;=0,MIN(M449,Constants!$B$22),""),""))</f>
        <v/>
      </c>
      <c r="AF449" s="87" t="str">
        <f aca="false">IF(ISBLANK($C449),"",IF(N449=Constants!$B$2,TRUE(),IF(N449=Constants!$B$3,FALSE(),TRUE())))</f>
        <v/>
      </c>
      <c r="AG449" s="87" t="str">
        <f aca="false">IF(ISBLANK($C449),"",IF(O449=Constants!$B$2,TRUE(),IF(O449=Constants!$B$3,FALSE(),TRUE())))</f>
        <v/>
      </c>
      <c r="AH449" s="87" t="str">
        <f aca="false">IF(ISBLANK($C449),"",IF(P449=Constants!$B$4,TRUE(),IF(P449=Constants!$B$5,FALSE(),COUNTA(Q449:S449)&gt;0)))</f>
        <v/>
      </c>
      <c r="AI449" s="88" t="str">
        <f aca="false">IF(ISBLANK($C449),"",IF(ISNUMBER(Q449),IF(Q449&gt;=0,Q449,""),""))</f>
        <v/>
      </c>
      <c r="AJ449" s="89" t="str">
        <f aca="false">IF(ISBLANK($C449),"",IF(ISNUMBER(R449),IF(R449&gt;=0,R449,""),""))</f>
        <v/>
      </c>
      <c r="AK449" s="87" t="str">
        <f aca="false">IF(ISBLANK($C449),"",IF(ISNUMBER(S449),IF(S449&gt;=0,MIN(S449,Constants!$B$22),""),""))</f>
        <v/>
      </c>
      <c r="AL449" s="87" t="str">
        <f aca="false">IF(ISBLANK($C449),"",IF(T449=Constants!$B$2,TRUE(),IF(T449=Constants!$B$3,FALSE(),FALSE())))</f>
        <v/>
      </c>
      <c r="AM449" s="86" t="str">
        <f aca="false">IF(ISBLANK($C449),"",AND($AB449,OR($AC449="",$AD449="",AND(NOT(ISBLANK($M449)),$AE449=""))))</f>
        <v/>
      </c>
      <c r="AN449" s="89" t="str">
        <f aca="false">IF($BD449&lt;&gt;Constants!$B$6,"",IF($AB449,Constants!$B$17*$AD449,Constants!$B$18))</f>
        <v/>
      </c>
      <c r="AO449" s="91" t="str">
        <f aca="false">IF($BD449&lt;&gt;Constants!$B$6,"",Constants!$B$19*IF($AB449,$AC449,0))</f>
        <v/>
      </c>
      <c r="AP449" s="91" t="str">
        <f aca="false">IF($BD449&lt;&gt;Constants!$B$6,"",IF(AND($AB449,ISNUMBER($AE449)),Constants!$B$20*(Constants!$B$21-$AE449),0))</f>
        <v/>
      </c>
      <c r="AQ449" s="91" t="str">
        <f aca="false">IF($BD449&lt;&gt;Constants!$B$6,"",IF($AA449,0,Constants!$B$12)+IF($Z449,0,Constants!$B$13)+IF($Y449,0,Constants!$B$14))</f>
        <v/>
      </c>
      <c r="AR449" s="92" t="str">
        <f aca="false">IF($BD449&lt;&gt;Constants!$B$6,"",Constants!$B$16+SUM($AN449:$AQ449))</f>
        <v/>
      </c>
      <c r="AS449" s="91" t="str">
        <f aca="false">IF($BD449&lt;&gt;Constants!$B$6,"",IF($AB449,$AD449,""))</f>
        <v/>
      </c>
      <c r="AT449" s="93" t="str">
        <f aca="false">IF($BD449&lt;&gt;Constants!$B$6,"",$AO449)</f>
        <v/>
      </c>
      <c r="AU449" s="87" t="str">
        <f aca="false">IF($BD449&lt;&gt;Constants!$B$6,"",IF(OR($BA449&lt;$AR449,AND($BA449=$AR449,OR(AND(ISNUMBER($BB449),OR(NOT(ISNUMBER($AS449)),$BB449&lt;$AS449)),AND(OR(AND($BB449="",$AS449=""),AND(ISNUMBER($BB449),ISNUMBER($AS449),$BB449=$AS449)),$BC449&lt;$AT449)))),"-&gt;","&lt;-"))</f>
        <v/>
      </c>
      <c r="AV449" s="86" t="str">
        <f aca="false">IF(ISBLANK($C449),"",AND($AH449,OR($AI449="",$AJ449="",AND(NOT(ISBLANK($S449)),$AK449=""))))</f>
        <v/>
      </c>
      <c r="AW449" s="89" t="str">
        <f aca="false">IF($BD449&lt;&gt;Constants!$B$6,"",IF($AH449,Constants!$B$17*$AJ449,Constants!$B$18))</f>
        <v/>
      </c>
      <c r="AX449" s="91" t="str">
        <f aca="false">IF($BD449&lt;&gt;Constants!$B$6,"",Constants!$B$19*IF($AH449,$AI449,0))</f>
        <v/>
      </c>
      <c r="AY449" s="91" t="str">
        <f aca="false">IF($BD449&lt;&gt;Constants!$B$6,"",IF(AND($AH449,ISNUMBER($AK449)),Constants!$B$20*(Constants!$B$21-$AK449),0))</f>
        <v/>
      </c>
      <c r="AZ449" s="91" t="str">
        <f aca="false">IF($BD449&lt;&gt;Constants!$B$6,"",IF($AG449,0,Constants!$B$12)+IF($AF449,0,Constants!$B$13)+IF($Y449,0,Constants!$B$14))</f>
        <v/>
      </c>
      <c r="BA449" s="92" t="str">
        <f aca="false">IF($BD449&lt;&gt;Constants!$B$6,"",Constants!$B$16+SUM($AW449:$AZ449))</f>
        <v/>
      </c>
      <c r="BB449" s="91" t="str">
        <f aca="false">IF($BD449&lt;&gt;Constants!$B$6,"",IF($AH449,$AJ449,""))</f>
        <v/>
      </c>
      <c r="BC449" s="93" t="str">
        <f aca="false">IF($BD449&lt;&gt;Constants!$B$6,"",$AX449)</f>
        <v/>
      </c>
      <c r="BD449" s="87" t="str">
        <f aca="false">IF(ISBLANK($C449),"",IF($AL449,Constants!$B$9,IF(COUNTA($E449:$T449)=0,Constants!$B$8,IF(NOT($X449),Constants!$B$7,IF(OR($AM449,$AV449),Constants!$B$10,Constants!$B$6)))))</f>
        <v/>
      </c>
      <c r="BE449" s="87" t="str">
        <f aca="false">IF(ISBLANK($C449),"",IF($BD449&lt;&gt;Constants!$B$6,$BD449,Constants!$B$11))</f>
        <v/>
      </c>
      <c r="BF449" s="91" t="str">
        <f aca="false">IF($BD449&lt;&gt;Constants!$B$6,"",IF($AU449="-&gt;",$BA449,$AR449))</f>
        <v/>
      </c>
      <c r="BG449" s="91" t="str">
        <f aca="false">IF($BD449&lt;&gt;Constants!$B$6,"",IF($W449,0,Constants!$B$15))</f>
        <v/>
      </c>
      <c r="BH449" s="91" t="str">
        <f aca="false">IF(ISBLANK($C449),"",IF($BD449&lt;&gt;Constants!$B$6,$BD449,SUM($BF449:$BG449)))</f>
        <v/>
      </c>
      <c r="BI449" s="87" t="str">
        <f aca="false">IF(ISBLANK($C449),"",IF($BD449&lt;&gt;Constants!$B$6,$BD449,RANK($BH449,$BH$9:$BH$508,1)))</f>
        <v/>
      </c>
      <c r="BJ449" s="91" t="str">
        <f aca="false">IF($BD449&lt;&gt;Constants!$B$6,"",IF($AU449="-&gt;",$BB449,$AS449))</f>
        <v/>
      </c>
      <c r="BK449" s="87" t="str">
        <f aca="false">IF(ISBLANK($C449),"",IF($BD449&lt;&gt;Constants!$B$6,$BD449,IF(ISNUMBER($BJ449),RANK($BJ449,$BJ$9:$BJ$508,1),COUNT($BJ$9:$BJ$508)+1)))</f>
        <v/>
      </c>
      <c r="BL449" s="91" t="str">
        <f aca="false">IF($BD449&lt;&gt;Constants!$B$6,"",IF($AU449="-&gt;",$BC449,$AT449))</f>
        <v/>
      </c>
      <c r="BM449" s="87" t="str">
        <f aca="false">IF(ISBLANK($C449),"",IF($BD449&lt;&gt;Constants!$B$6,$BD449,IF(ISNUMBER($BL449),RANK($BL449,$BL$9:$BL$508,1),COUNT($BL$9:$BL$508)+1)))</f>
        <v/>
      </c>
      <c r="BN449" s="91" t="str">
        <f aca="false">IF($BD449&lt;&gt;Constants!$B$6,"",IF($AU449="-&gt;",$AS449,$BB449))</f>
        <v/>
      </c>
      <c r="BO449" s="87" t="str">
        <f aca="false">IF(ISBLANK($C449),"",IF($BD449&lt;&gt;Constants!$B$6,$BD449,IF(ISNUMBER($BN449),RANK($BN449,$BN$9:$BN$508,1),COUNT($BN$9:$BN$508)+1)))</f>
        <v/>
      </c>
      <c r="BP449" s="91" t="str">
        <f aca="false">IF($BD449&lt;&gt;Constants!$B$6,"",IF($AU449="-&gt;",$AT449,$BC449))</f>
        <v/>
      </c>
      <c r="BQ449" s="87" t="str">
        <f aca="false">IF(ISBLANK($C449),"",IF($BD449&lt;&gt;Constants!$B$6,$BD449,IF(ISNUMBER($BP449),RANK($BP449,$BP$9:$BP$508,1),COUNT($BP$9:$BP$508)+1)))</f>
        <v/>
      </c>
      <c r="BR449" s="87" t="str">
        <f aca="false">IF(ISBLANK($C449),"",IF($BD449&lt;&gt;Constants!$B$6,$BD449,COUNTIFS($BI$9:$BI$508,"&lt;"&amp;$BI449)+COUNTIFS($BI$9:$BI$508,$BI449,$BK$9:$BK$508,"&lt;"&amp;$BK449)+COUNTIFS($BI$9:$BI$508,$BI449,$BK$9:$BK$508,$BK449,$BM$9:$BM$508,"&lt;"&amp;$BM449)+COUNTIFS($BI$9:$BI$508,$BI449,$BK$9:$BK$508,$BK449,$BM$9:$BM$508,$BM449,$BO$9:$BO$508,"&lt;"&amp;$BO449)+COUNTIFS($BI$9:$BI$508,$BI449,$BK$9:$BK$508,$BK449,$BM$9:$BM$508,$BM449,$BO$9:$BO$508,$BO449,$BQ$9:$BQ$508,"&lt;"&amp;$BQ449)+1))</f>
        <v/>
      </c>
      <c r="BS449" s="87" t="str">
        <f aca="false">IF(ISBLANK($C449),"",IF($BD449&lt;&gt;Constants!$B$6,$BD449,$BI449-$BR449))</f>
        <v/>
      </c>
      <c r="BT449" s="94"/>
      <c r="BU449" s="95"/>
      <c r="BV449" s="95" t="str">
        <f aca="false">IF(ISBLANK($C449),"",IF($BD449&lt;&gt;Constants!$B$6,"",IF($AU449="-&gt;",2,1)))</f>
        <v/>
      </c>
      <c r="BW449" s="96" t="str">
        <f aca="false">IF(ISBLANK($C449),"",IF($BD449&lt;&gt;Constants!$B$6,"",IF($AU449="-&gt;",$AW449,$AN449)))</f>
        <v/>
      </c>
      <c r="BX449" s="96" t="str">
        <f aca="false">IF(ISBLANK($C449),"",IF($BD449&lt;&gt;Constants!$B$6,"",IF($AU449="-&gt;",$AX449,$AO449)))</f>
        <v/>
      </c>
      <c r="BY449" s="96" t="str">
        <f aca="false">IF(ISBLANK($C449),"",IF($BD449&lt;&gt;Constants!$B$6,"",IF($AU449="-&gt;",$AY449,$AP449)))</f>
        <v/>
      </c>
      <c r="BZ449" s="96" t="str">
        <f aca="false">IF(ISBLANK($C449),"",IF($BD449&lt;&gt;Constants!$B$6,"",IF($AU449="-&gt;",$AZ449,$AQ449)+$BG449))</f>
        <v/>
      </c>
      <c r="CA449" s="97" t="str">
        <f aca="false">IF(ISBLANK($C449),"",IF($BD449&lt;&gt;Constants!$B$6,$BD449,$BH449))</f>
        <v/>
      </c>
      <c r="CB449" s="98" t="str">
        <f aca="false">IF(ISBLANK($C449),"",$BE449)</f>
        <v/>
      </c>
      <c r="CC449" s="99" t="str">
        <f aca="false">IF(ISBLANK($C449),"",$BS449)</f>
        <v/>
      </c>
      <c r="CD449" s="99" t="str">
        <f aca="false">IF(ISBLANK($C449),"",$BR449)</f>
        <v/>
      </c>
      <c r="CE449" s="100" t="str">
        <f aca="false">IF(ISBLANK($C449),"",IF($CD449=Constants!$B$9,COUNTA($C$9:$C$508)+2,IF($CD449=Constants!$B$8,COUNTA($C$9:$C$508)+1,IF($CD449=Constants!$B$7,COUNTA($C$9:$C$508),$CD449))))</f>
        <v/>
      </c>
      <c r="CF449" s="9"/>
      <c r="CG449" s="101" t="n">
        <f aca="false">IF(OR(ISNUMBER($CD449),$CD449=Constants!$B$9,$CD449=Constants!$B$7,$CD449=Constants!$B$8),1,0)</f>
        <v>0</v>
      </c>
      <c r="CH449" s="101" t="n">
        <v>441</v>
      </c>
      <c r="CI449" s="101" t="str">
        <f aca="false">IF(ISBLANK($C449),"",IF(ISNUMBER($CE449),$CE449+ROW($B449)/1000,""))</f>
        <v/>
      </c>
      <c r="CJ449" s="101" t="str">
        <f aca="false">IF(ISNUMBER($CI449),RANK($CI449,$CI$9:$CI$508,1),"")</f>
        <v/>
      </c>
      <c r="CK449" s="101" t="str">
        <f aca="false">IF(ISBLANK($C449),"",$B449)</f>
        <v/>
      </c>
      <c r="CL449" s="101" t="str">
        <f aca="false">IF(ISBLANK($C449),"",$C449)</f>
        <v/>
      </c>
      <c r="CM449" s="101" t="str">
        <f aca="false">IF(ISBLANK($C449),"",$D449)</f>
        <v/>
      </c>
      <c r="CN449" s="102" t="str">
        <f aca="false">$CB449</f>
        <v/>
      </c>
      <c r="CO449" s="103" t="str">
        <f aca="false">$CA449</f>
        <v/>
      </c>
      <c r="CP449" s="101" t="str">
        <f aca="false">IF(ISBLANK($C449),"",$CD449)</f>
        <v/>
      </c>
      <c r="CQ449" s="104" t="str">
        <f aca="false">IF($CH449&gt;$CG$8,"",VLOOKUP($CH449,$CJ$9:$CP$508,7,FALSE()))</f>
        <v/>
      </c>
      <c r="CR449" s="105" t="str">
        <f aca="false">IF($CH449&gt;$CG$8,"",VLOOKUP($CH449,$CJ$9:$CP$508,2,FALSE()))</f>
        <v/>
      </c>
      <c r="CS449" s="105" t="str">
        <f aca="false">IF($CH449&gt;$CG$8,"",VLOOKUP($CH449,$CJ$9:$CP$508,3,FALSE()))</f>
        <v/>
      </c>
      <c r="CT449" s="105" t="str">
        <f aca="false">IF($CH449&gt;$CG$8,"",VLOOKUP($CH449,$CJ$9:$CP$508,4,FALSE()))</f>
        <v/>
      </c>
      <c r="CU449" s="105" t="str">
        <f aca="false">IF($CH449&gt;$CG$8,"",VLOOKUP($CH449,$CJ$9:$CP$508,5,FALSE()))</f>
        <v/>
      </c>
      <c r="CV449" s="106" t="str">
        <f aca="false">IF($CH449&gt;$CG$8,"",VLOOKUP($CH449,$CJ$9:$CP$508,6,FALSE()))</f>
        <v/>
      </c>
      <c r="CW449" s="71"/>
    </row>
    <row r="450" customFormat="false" ht="15.75" hidden="false" customHeight="false" outlineLevel="0" collapsed="false">
      <c r="A450" s="9"/>
      <c r="B450" s="150"/>
      <c r="C450" s="151"/>
      <c r="D450" s="152"/>
      <c r="E450" s="170"/>
      <c r="F450" s="154"/>
      <c r="G450" s="155"/>
      <c r="H450" s="171"/>
      <c r="I450" s="159"/>
      <c r="J450" s="120"/>
      <c r="K450" s="121"/>
      <c r="L450" s="122"/>
      <c r="M450" s="158"/>
      <c r="N450" s="159"/>
      <c r="O450" s="159"/>
      <c r="P450" s="120"/>
      <c r="Q450" s="122"/>
      <c r="R450" s="122"/>
      <c r="S450" s="158"/>
      <c r="T450" s="159"/>
      <c r="U450" s="126"/>
      <c r="V450" s="127"/>
      <c r="W450" s="127" t="str">
        <f aca="false">IF(ISBLANK($C450),"",IF(E450=Constants!$B$2,TRUE(),IF(E450=Constants!$B$3,FALSE(),TRUE())))</f>
        <v/>
      </c>
      <c r="X450" s="127" t="str">
        <f aca="false">IF(ISBLANK($C450),"",IF(F450=Constants!$B$2,TRUE(),IF(F450=Constants!$B$3,FALSE(),TRUE())))</f>
        <v/>
      </c>
      <c r="Y450" s="127" t="str">
        <f aca="false">IF(ISBLANK($C450),"",IF(G450=Constants!$B$2,TRUE(),IF(G450=Constants!$B$3,FALSE(),TRUE())))</f>
        <v/>
      </c>
      <c r="Z450" s="127" t="str">
        <f aca="false">IF(ISBLANK($C450),"",IF(H450=Constants!$B$2,TRUE(),IF(H450=Constants!$B$3,FALSE(),TRUE())))</f>
        <v/>
      </c>
      <c r="AA450" s="127" t="str">
        <f aca="false">IF(ISBLANK($C450),"",IF(I450=Constants!$B$2,TRUE(),IF(I450=Constants!$B$3,FALSE(),TRUE())))</f>
        <v/>
      </c>
      <c r="AB450" s="127" t="str">
        <f aca="false">IF(ISBLANK($C450),"",IF(J450=Constants!$B$4,TRUE(),IF(J450=Constants!$B$5,FALSE(),COUNTA(K450:M450)&gt;0)))</f>
        <v/>
      </c>
      <c r="AC450" s="128" t="str">
        <f aca="false">IF(ISBLANK($C450),"",IF(ISNUMBER(K450),IF(K450&gt;=0,K450,""),""))</f>
        <v/>
      </c>
      <c r="AD450" s="129" t="str">
        <f aca="false">IF(ISBLANK($C450),"",IF(ISNUMBER(L450),IF(L450&gt;=0,L450,""),""))</f>
        <v/>
      </c>
      <c r="AE450" s="127" t="str">
        <f aca="false">IF(ISBLANK($C450),"",IF(ISNUMBER(M450),IF(M450&gt;=0,MIN(M450,Constants!$B$22),""),""))</f>
        <v/>
      </c>
      <c r="AF450" s="127" t="str">
        <f aca="false">IF(ISBLANK($C450),"",IF(N450=Constants!$B$2,TRUE(),IF(N450=Constants!$B$3,FALSE(),TRUE())))</f>
        <v/>
      </c>
      <c r="AG450" s="127" t="str">
        <f aca="false">IF(ISBLANK($C450),"",IF(O450=Constants!$B$2,TRUE(),IF(O450=Constants!$B$3,FALSE(),TRUE())))</f>
        <v/>
      </c>
      <c r="AH450" s="127" t="str">
        <f aca="false">IF(ISBLANK($C450),"",IF(P450=Constants!$B$4,TRUE(),IF(P450=Constants!$B$5,FALSE(),COUNTA(Q450:S450)&gt;0)))</f>
        <v/>
      </c>
      <c r="AI450" s="128" t="str">
        <f aca="false">IF(ISBLANK($C450),"",IF(ISNUMBER(Q450),IF(Q450&gt;=0,Q450,""),""))</f>
        <v/>
      </c>
      <c r="AJ450" s="129" t="str">
        <f aca="false">IF(ISBLANK($C450),"",IF(ISNUMBER(R450),IF(R450&gt;=0,R450,""),""))</f>
        <v/>
      </c>
      <c r="AK450" s="127" t="str">
        <f aca="false">IF(ISBLANK($C450),"",IF(ISNUMBER(S450),IF(S450&gt;=0,MIN(S450,Constants!$B$22),""),""))</f>
        <v/>
      </c>
      <c r="AL450" s="127" t="str">
        <f aca="false">IF(ISBLANK($C450),"",IF(T450=Constants!$B$2,TRUE(),IF(T450=Constants!$B$3,FALSE(),FALSE())))</f>
        <v/>
      </c>
      <c r="AM450" s="126" t="str">
        <f aca="false">IF(ISBLANK($C450),"",AND($AB450,OR($AC450="",$AD450="",AND(NOT(ISBLANK($M450)),$AE450=""))))</f>
        <v/>
      </c>
      <c r="AN450" s="129" t="str">
        <f aca="false">IF($BD450&lt;&gt;Constants!$B$6,"",IF($AB450,Constants!$B$17*$AD450,Constants!$B$18))</f>
        <v/>
      </c>
      <c r="AO450" s="130" t="str">
        <f aca="false">IF($BD450&lt;&gt;Constants!$B$6,"",Constants!$B$19*IF($AB450,$AC450,0))</f>
        <v/>
      </c>
      <c r="AP450" s="130" t="str">
        <f aca="false">IF($BD450&lt;&gt;Constants!$B$6,"",IF(AND($AB450,ISNUMBER($AE450)),Constants!$B$20*(Constants!$B$21-$AE450),0))</f>
        <v/>
      </c>
      <c r="AQ450" s="130" t="str">
        <f aca="false">IF($BD450&lt;&gt;Constants!$B$6,"",IF($AA450,0,Constants!$B$12)+IF($Z450,0,Constants!$B$13)+IF($Y450,0,Constants!$B$14))</f>
        <v/>
      </c>
      <c r="AR450" s="131" t="str">
        <f aca="false">IF($BD450&lt;&gt;Constants!$B$6,"",Constants!$B$16+SUM($AN450:$AQ450))</f>
        <v/>
      </c>
      <c r="AS450" s="130" t="str">
        <f aca="false">IF($BD450&lt;&gt;Constants!$B$6,"",IF($AB450,$AD450,""))</f>
        <v/>
      </c>
      <c r="AT450" s="132" t="str">
        <f aca="false">IF($BD450&lt;&gt;Constants!$B$6,"",$AO450)</f>
        <v/>
      </c>
      <c r="AU450" s="127" t="str">
        <f aca="false">IF($BD450&lt;&gt;Constants!$B$6,"",IF(OR($BA450&lt;$AR450,AND($BA450=$AR450,OR(AND(ISNUMBER($BB450),OR(NOT(ISNUMBER($AS450)),$BB450&lt;$AS450)),AND(OR(AND($BB450="",$AS450=""),AND(ISNUMBER($BB450),ISNUMBER($AS450),$BB450=$AS450)),$BC450&lt;$AT450)))),"-&gt;","&lt;-"))</f>
        <v/>
      </c>
      <c r="AV450" s="126" t="str">
        <f aca="false">IF(ISBLANK($C450),"",AND($AH450,OR($AI450="",$AJ450="",AND(NOT(ISBLANK($S450)),$AK450=""))))</f>
        <v/>
      </c>
      <c r="AW450" s="129" t="str">
        <f aca="false">IF($BD450&lt;&gt;Constants!$B$6,"",IF($AH450,Constants!$B$17*$AJ450,Constants!$B$18))</f>
        <v/>
      </c>
      <c r="AX450" s="130" t="str">
        <f aca="false">IF($BD450&lt;&gt;Constants!$B$6,"",Constants!$B$19*IF($AH450,$AI450,0))</f>
        <v/>
      </c>
      <c r="AY450" s="130" t="str">
        <f aca="false">IF($BD450&lt;&gt;Constants!$B$6,"",IF(AND($AH450,ISNUMBER($AK450)),Constants!$B$20*(Constants!$B$21-$AK450),0))</f>
        <v/>
      </c>
      <c r="AZ450" s="130" t="str">
        <f aca="false">IF($BD450&lt;&gt;Constants!$B$6,"",IF($AG450,0,Constants!$B$12)+IF($AF450,0,Constants!$B$13)+IF($Y450,0,Constants!$B$14))</f>
        <v/>
      </c>
      <c r="BA450" s="131" t="str">
        <f aca="false">IF($BD450&lt;&gt;Constants!$B$6,"",Constants!$B$16+SUM($AW450:$AZ450))</f>
        <v/>
      </c>
      <c r="BB450" s="130" t="str">
        <f aca="false">IF($BD450&lt;&gt;Constants!$B$6,"",IF($AH450,$AJ450,""))</f>
        <v/>
      </c>
      <c r="BC450" s="132" t="str">
        <f aca="false">IF($BD450&lt;&gt;Constants!$B$6,"",$AX450)</f>
        <v/>
      </c>
      <c r="BD450" s="127" t="str">
        <f aca="false">IF(ISBLANK($C450),"",IF($AL450,Constants!$B$9,IF(COUNTA($E450:$T450)=0,Constants!$B$8,IF(NOT($X450),Constants!$B$7,IF(OR($AM450,$AV450),Constants!$B$10,Constants!$B$6)))))</f>
        <v/>
      </c>
      <c r="BE450" s="127" t="str">
        <f aca="false">IF(ISBLANK($C450),"",IF($BD450&lt;&gt;Constants!$B$6,$BD450,Constants!$B$11))</f>
        <v/>
      </c>
      <c r="BF450" s="130" t="str">
        <f aca="false">IF($BD450&lt;&gt;Constants!$B$6,"",IF($AU450="-&gt;",$BA450,$AR450))</f>
        <v/>
      </c>
      <c r="BG450" s="130" t="str">
        <f aca="false">IF($BD450&lt;&gt;Constants!$B$6,"",IF($W450,0,Constants!$B$15))</f>
        <v/>
      </c>
      <c r="BH450" s="130" t="str">
        <f aca="false">IF(ISBLANK($C450),"",IF($BD450&lt;&gt;Constants!$B$6,$BD450,SUM($BF450:$BG450)))</f>
        <v/>
      </c>
      <c r="BI450" s="127" t="str">
        <f aca="false">IF(ISBLANK($C450),"",IF($BD450&lt;&gt;Constants!$B$6,$BD450,RANK($BH450,$BH$9:$BH$508,1)))</f>
        <v/>
      </c>
      <c r="BJ450" s="130" t="str">
        <f aca="false">IF($BD450&lt;&gt;Constants!$B$6,"",IF($AU450="-&gt;",$BB450,$AS450))</f>
        <v/>
      </c>
      <c r="BK450" s="127" t="str">
        <f aca="false">IF(ISBLANK($C450),"",IF($BD450&lt;&gt;Constants!$B$6,$BD450,IF(ISNUMBER($BJ450),RANK($BJ450,$BJ$9:$BJ$508,1),COUNT($BJ$9:$BJ$508)+1)))</f>
        <v/>
      </c>
      <c r="BL450" s="130" t="str">
        <f aca="false">IF($BD450&lt;&gt;Constants!$B$6,"",IF($AU450="-&gt;",$BC450,$AT450))</f>
        <v/>
      </c>
      <c r="BM450" s="127" t="str">
        <f aca="false">IF(ISBLANK($C450),"",IF($BD450&lt;&gt;Constants!$B$6,$BD450,IF(ISNUMBER($BL450),RANK($BL450,$BL$9:$BL$508,1),COUNT($BL$9:$BL$508)+1)))</f>
        <v/>
      </c>
      <c r="BN450" s="130" t="str">
        <f aca="false">IF($BD450&lt;&gt;Constants!$B$6,"",IF($AU450="-&gt;",$AS450,$BB450))</f>
        <v/>
      </c>
      <c r="BO450" s="127" t="str">
        <f aca="false">IF(ISBLANK($C450),"",IF($BD450&lt;&gt;Constants!$B$6,$BD450,IF(ISNUMBER($BN450),RANK($BN450,$BN$9:$BN$508,1),COUNT($BN$9:$BN$508)+1)))</f>
        <v/>
      </c>
      <c r="BP450" s="130" t="str">
        <f aca="false">IF($BD450&lt;&gt;Constants!$B$6,"",IF($AU450="-&gt;",$AT450,$BC450))</f>
        <v/>
      </c>
      <c r="BQ450" s="127" t="str">
        <f aca="false">IF(ISBLANK($C450),"",IF($BD450&lt;&gt;Constants!$B$6,$BD450,IF(ISNUMBER($BP450),RANK($BP450,$BP$9:$BP$508,1),COUNT($BP$9:$BP$508)+1)))</f>
        <v/>
      </c>
      <c r="BR450" s="127" t="str">
        <f aca="false">IF(ISBLANK($C450),"",IF($BD450&lt;&gt;Constants!$B$6,$BD450,COUNTIFS($BI$9:$BI$508,"&lt;"&amp;$BI450)+COUNTIFS($BI$9:$BI$508,$BI450,$BK$9:$BK$508,"&lt;"&amp;$BK450)+COUNTIFS($BI$9:$BI$508,$BI450,$BK$9:$BK$508,$BK450,$BM$9:$BM$508,"&lt;"&amp;$BM450)+COUNTIFS($BI$9:$BI$508,$BI450,$BK$9:$BK$508,$BK450,$BM$9:$BM$508,$BM450,$BO$9:$BO$508,"&lt;"&amp;$BO450)+COUNTIFS($BI$9:$BI$508,$BI450,$BK$9:$BK$508,$BK450,$BM$9:$BM$508,$BM450,$BO$9:$BO$508,$BO450,$BQ$9:$BQ$508,"&lt;"&amp;$BQ450)+1))</f>
        <v/>
      </c>
      <c r="BS450" s="127" t="str">
        <f aca="false">IF(ISBLANK($C450),"",IF($BD450&lt;&gt;Constants!$B$6,$BD450,$BI450-$BR450))</f>
        <v/>
      </c>
      <c r="BT450" s="133"/>
      <c r="BU450" s="134"/>
      <c r="BV450" s="134" t="str">
        <f aca="false">IF(ISBLANK($C450),"",IF($BD450&lt;&gt;Constants!$B$6,"",IF($AU450="-&gt;",2,1)))</f>
        <v/>
      </c>
      <c r="BW450" s="135" t="str">
        <f aca="false">IF(ISBLANK($C450),"",IF($BD450&lt;&gt;Constants!$B$6,"",IF($AU450="-&gt;",$AW450,$AN450)))</f>
        <v/>
      </c>
      <c r="BX450" s="135" t="str">
        <f aca="false">IF(ISBLANK($C450),"",IF($BD450&lt;&gt;Constants!$B$6,"",IF($AU450="-&gt;",$AX450,$AO450)))</f>
        <v/>
      </c>
      <c r="BY450" s="135" t="str">
        <f aca="false">IF(ISBLANK($C450),"",IF($BD450&lt;&gt;Constants!$B$6,"",IF($AU450="-&gt;",$AY450,$AP450)))</f>
        <v/>
      </c>
      <c r="BZ450" s="135" t="str">
        <f aca="false">IF(ISBLANK($C450),"",IF($BD450&lt;&gt;Constants!$B$6,"",IF($AU450="-&gt;",$AZ450,$AQ450)+$BG450))</f>
        <v/>
      </c>
      <c r="CA450" s="136" t="str">
        <f aca="false">IF(ISBLANK($C450),"",IF($BD450&lt;&gt;Constants!$B$6,$BD450,$BH450))</f>
        <v/>
      </c>
      <c r="CB450" s="137" t="str">
        <f aca="false">IF(ISBLANK($C450),"",$BE450)</f>
        <v/>
      </c>
      <c r="CC450" s="138" t="str">
        <f aca="false">IF(ISBLANK($C450),"",$BS450)</f>
        <v/>
      </c>
      <c r="CD450" s="138" t="str">
        <f aca="false">IF(ISBLANK($C450),"",$BR450)</f>
        <v/>
      </c>
      <c r="CE450" s="139" t="str">
        <f aca="false">IF(ISBLANK($C450),"",IF($CD450=Constants!$B$9,COUNTA($C$9:$C$508)+2,IF($CD450=Constants!$B$8,COUNTA($C$9:$C$508)+1,IF($CD450=Constants!$B$7,COUNTA($C$9:$C$508),$CD450))))</f>
        <v/>
      </c>
      <c r="CF450" s="9"/>
      <c r="CG450" s="140" t="n">
        <f aca="false">IF(OR(ISNUMBER($CD450),$CD450=Constants!$B$9,$CD450=Constants!$B$7,$CD450=Constants!$B$8),1,0)</f>
        <v>0</v>
      </c>
      <c r="CH450" s="140" t="n">
        <v>442</v>
      </c>
      <c r="CI450" s="140" t="str">
        <f aca="false">IF(ISBLANK($C450),"",IF(ISNUMBER($CE450),$CE450+ROW($B450)/1000,""))</f>
        <v/>
      </c>
      <c r="CJ450" s="140" t="str">
        <f aca="false">IF(ISNUMBER($CI450),RANK($CI450,$CI$9:$CI$508,1),"")</f>
        <v/>
      </c>
      <c r="CK450" s="140" t="str">
        <f aca="false">IF(ISBLANK($C450),"",$B450)</f>
        <v/>
      </c>
      <c r="CL450" s="140" t="str">
        <f aca="false">IF(ISBLANK($C450),"",$C450)</f>
        <v/>
      </c>
      <c r="CM450" s="140" t="str">
        <f aca="false">IF(ISBLANK($C450),"",$D450)</f>
        <v/>
      </c>
      <c r="CN450" s="141" t="str">
        <f aca="false">$CB450</f>
        <v/>
      </c>
      <c r="CO450" s="142" t="str">
        <f aca="false">$CA450</f>
        <v/>
      </c>
      <c r="CP450" s="140" t="str">
        <f aca="false">IF(ISBLANK($C450),"",$CD450)</f>
        <v/>
      </c>
      <c r="CQ450" s="143" t="str">
        <f aca="false">IF($CH450&gt;$CG$8,"",VLOOKUP($CH450,$CJ$9:$CP$508,7,FALSE()))</f>
        <v/>
      </c>
      <c r="CR450" s="144" t="str">
        <f aca="false">IF($CH450&gt;$CG$8,"",VLOOKUP($CH450,$CJ$9:$CP$508,2,FALSE()))</f>
        <v/>
      </c>
      <c r="CS450" s="144" t="str">
        <f aca="false">IF($CH450&gt;$CG$8,"",VLOOKUP($CH450,$CJ$9:$CP$508,3,FALSE()))</f>
        <v/>
      </c>
      <c r="CT450" s="144" t="str">
        <f aca="false">IF($CH450&gt;$CG$8,"",VLOOKUP($CH450,$CJ$9:$CP$508,4,FALSE()))</f>
        <v/>
      </c>
      <c r="CU450" s="144" t="str">
        <f aca="false">IF($CH450&gt;$CG$8,"",VLOOKUP($CH450,$CJ$9:$CP$508,5,FALSE()))</f>
        <v/>
      </c>
      <c r="CV450" s="145" t="str">
        <f aca="false">IF($CH450&gt;$CG$8,"",VLOOKUP($CH450,$CJ$9:$CP$508,6,FALSE()))</f>
        <v/>
      </c>
      <c r="CW450" s="71"/>
    </row>
    <row r="451" customFormat="false" ht="15.75" hidden="false" customHeight="false" outlineLevel="0" collapsed="false">
      <c r="A451" s="9"/>
      <c r="B451" s="150"/>
      <c r="C451" s="151"/>
      <c r="D451" s="152"/>
      <c r="E451" s="170"/>
      <c r="F451" s="154"/>
      <c r="G451" s="155"/>
      <c r="H451" s="171"/>
      <c r="I451" s="159"/>
      <c r="J451" s="120"/>
      <c r="K451" s="121"/>
      <c r="L451" s="122"/>
      <c r="M451" s="158"/>
      <c r="N451" s="159"/>
      <c r="O451" s="159"/>
      <c r="P451" s="120"/>
      <c r="Q451" s="122"/>
      <c r="R451" s="122"/>
      <c r="S451" s="158"/>
      <c r="T451" s="159"/>
      <c r="U451" s="126"/>
      <c r="V451" s="127"/>
      <c r="W451" s="127" t="str">
        <f aca="false">IF(ISBLANK($C451),"",IF(E451=Constants!$B$2,TRUE(),IF(E451=Constants!$B$3,FALSE(),TRUE())))</f>
        <v/>
      </c>
      <c r="X451" s="127" t="str">
        <f aca="false">IF(ISBLANK($C451),"",IF(F451=Constants!$B$2,TRUE(),IF(F451=Constants!$B$3,FALSE(),TRUE())))</f>
        <v/>
      </c>
      <c r="Y451" s="127" t="str">
        <f aca="false">IF(ISBLANK($C451),"",IF(G451=Constants!$B$2,TRUE(),IF(G451=Constants!$B$3,FALSE(),TRUE())))</f>
        <v/>
      </c>
      <c r="Z451" s="127" t="str">
        <f aca="false">IF(ISBLANK($C451),"",IF(H451=Constants!$B$2,TRUE(),IF(H451=Constants!$B$3,FALSE(),TRUE())))</f>
        <v/>
      </c>
      <c r="AA451" s="127" t="str">
        <f aca="false">IF(ISBLANK($C451),"",IF(I451=Constants!$B$2,TRUE(),IF(I451=Constants!$B$3,FALSE(),TRUE())))</f>
        <v/>
      </c>
      <c r="AB451" s="127" t="str">
        <f aca="false">IF(ISBLANK($C451),"",IF(J451=Constants!$B$4,TRUE(),IF(J451=Constants!$B$5,FALSE(),COUNTA(K451:M451)&gt;0)))</f>
        <v/>
      </c>
      <c r="AC451" s="128" t="str">
        <f aca="false">IF(ISBLANK($C451),"",IF(ISNUMBER(K451),IF(K451&gt;=0,K451,""),""))</f>
        <v/>
      </c>
      <c r="AD451" s="129" t="str">
        <f aca="false">IF(ISBLANK($C451),"",IF(ISNUMBER(L451),IF(L451&gt;=0,L451,""),""))</f>
        <v/>
      </c>
      <c r="AE451" s="127" t="str">
        <f aca="false">IF(ISBLANK($C451),"",IF(ISNUMBER(M451),IF(M451&gt;=0,MIN(M451,Constants!$B$22),""),""))</f>
        <v/>
      </c>
      <c r="AF451" s="127" t="str">
        <f aca="false">IF(ISBLANK($C451),"",IF(N451=Constants!$B$2,TRUE(),IF(N451=Constants!$B$3,FALSE(),TRUE())))</f>
        <v/>
      </c>
      <c r="AG451" s="127" t="str">
        <f aca="false">IF(ISBLANK($C451),"",IF(O451=Constants!$B$2,TRUE(),IF(O451=Constants!$B$3,FALSE(),TRUE())))</f>
        <v/>
      </c>
      <c r="AH451" s="127" t="str">
        <f aca="false">IF(ISBLANK($C451),"",IF(P451=Constants!$B$4,TRUE(),IF(P451=Constants!$B$5,FALSE(),COUNTA(Q451:S451)&gt;0)))</f>
        <v/>
      </c>
      <c r="AI451" s="128" t="str">
        <f aca="false">IF(ISBLANK($C451),"",IF(ISNUMBER(Q451),IF(Q451&gt;=0,Q451,""),""))</f>
        <v/>
      </c>
      <c r="AJ451" s="129" t="str">
        <f aca="false">IF(ISBLANK($C451),"",IF(ISNUMBER(R451),IF(R451&gt;=0,R451,""),""))</f>
        <v/>
      </c>
      <c r="AK451" s="127" t="str">
        <f aca="false">IF(ISBLANK($C451),"",IF(ISNUMBER(S451),IF(S451&gt;=0,MIN(S451,Constants!$B$22),""),""))</f>
        <v/>
      </c>
      <c r="AL451" s="127" t="str">
        <f aca="false">IF(ISBLANK($C451),"",IF(T451=Constants!$B$2,TRUE(),IF(T451=Constants!$B$3,FALSE(),FALSE())))</f>
        <v/>
      </c>
      <c r="AM451" s="126" t="str">
        <f aca="false">IF(ISBLANK($C451),"",AND($AB451,OR($AC451="",$AD451="",AND(NOT(ISBLANK($M451)),$AE451=""))))</f>
        <v/>
      </c>
      <c r="AN451" s="129" t="str">
        <f aca="false">IF($BD451&lt;&gt;Constants!$B$6,"",IF($AB451,Constants!$B$17*$AD451,Constants!$B$18))</f>
        <v/>
      </c>
      <c r="AO451" s="130" t="str">
        <f aca="false">IF($BD451&lt;&gt;Constants!$B$6,"",Constants!$B$19*IF($AB451,$AC451,0))</f>
        <v/>
      </c>
      <c r="AP451" s="130" t="str">
        <f aca="false">IF($BD451&lt;&gt;Constants!$B$6,"",IF(AND($AB451,ISNUMBER($AE451)),Constants!$B$20*(Constants!$B$21-$AE451),0))</f>
        <v/>
      </c>
      <c r="AQ451" s="130" t="str">
        <f aca="false">IF($BD451&lt;&gt;Constants!$B$6,"",IF($AA451,0,Constants!$B$12)+IF($Z451,0,Constants!$B$13)+IF($Y451,0,Constants!$B$14))</f>
        <v/>
      </c>
      <c r="AR451" s="131" t="str">
        <f aca="false">IF($BD451&lt;&gt;Constants!$B$6,"",Constants!$B$16+SUM($AN451:$AQ451))</f>
        <v/>
      </c>
      <c r="AS451" s="130" t="str">
        <f aca="false">IF($BD451&lt;&gt;Constants!$B$6,"",IF($AB451,$AD451,""))</f>
        <v/>
      </c>
      <c r="AT451" s="132" t="str">
        <f aca="false">IF($BD451&lt;&gt;Constants!$B$6,"",$AO451)</f>
        <v/>
      </c>
      <c r="AU451" s="127" t="str">
        <f aca="false">IF($BD451&lt;&gt;Constants!$B$6,"",IF(OR($BA451&lt;$AR451,AND($BA451=$AR451,OR(AND(ISNUMBER($BB451),OR(NOT(ISNUMBER($AS451)),$BB451&lt;$AS451)),AND(OR(AND($BB451="",$AS451=""),AND(ISNUMBER($BB451),ISNUMBER($AS451),$BB451=$AS451)),$BC451&lt;$AT451)))),"-&gt;","&lt;-"))</f>
        <v/>
      </c>
      <c r="AV451" s="126" t="str">
        <f aca="false">IF(ISBLANK($C451),"",AND($AH451,OR($AI451="",$AJ451="",AND(NOT(ISBLANK($S451)),$AK451=""))))</f>
        <v/>
      </c>
      <c r="AW451" s="129" t="str">
        <f aca="false">IF($BD451&lt;&gt;Constants!$B$6,"",IF($AH451,Constants!$B$17*$AJ451,Constants!$B$18))</f>
        <v/>
      </c>
      <c r="AX451" s="130" t="str">
        <f aca="false">IF($BD451&lt;&gt;Constants!$B$6,"",Constants!$B$19*IF($AH451,$AI451,0))</f>
        <v/>
      </c>
      <c r="AY451" s="130" t="str">
        <f aca="false">IF($BD451&lt;&gt;Constants!$B$6,"",IF(AND($AH451,ISNUMBER($AK451)),Constants!$B$20*(Constants!$B$21-$AK451),0))</f>
        <v/>
      </c>
      <c r="AZ451" s="130" t="str">
        <f aca="false">IF($BD451&lt;&gt;Constants!$B$6,"",IF($AG451,0,Constants!$B$12)+IF($AF451,0,Constants!$B$13)+IF($Y451,0,Constants!$B$14))</f>
        <v/>
      </c>
      <c r="BA451" s="131" t="str">
        <f aca="false">IF($BD451&lt;&gt;Constants!$B$6,"",Constants!$B$16+SUM($AW451:$AZ451))</f>
        <v/>
      </c>
      <c r="BB451" s="130" t="str">
        <f aca="false">IF($BD451&lt;&gt;Constants!$B$6,"",IF($AH451,$AJ451,""))</f>
        <v/>
      </c>
      <c r="BC451" s="132" t="str">
        <f aca="false">IF($BD451&lt;&gt;Constants!$B$6,"",$AX451)</f>
        <v/>
      </c>
      <c r="BD451" s="127" t="str">
        <f aca="false">IF(ISBLANK($C451),"",IF($AL451,Constants!$B$9,IF(COUNTA($E451:$T451)=0,Constants!$B$8,IF(NOT($X451),Constants!$B$7,IF(OR($AM451,$AV451),Constants!$B$10,Constants!$B$6)))))</f>
        <v/>
      </c>
      <c r="BE451" s="127" t="str">
        <f aca="false">IF(ISBLANK($C451),"",IF($BD451&lt;&gt;Constants!$B$6,$BD451,Constants!$B$11))</f>
        <v/>
      </c>
      <c r="BF451" s="130" t="str">
        <f aca="false">IF($BD451&lt;&gt;Constants!$B$6,"",IF($AU451="-&gt;",$BA451,$AR451))</f>
        <v/>
      </c>
      <c r="BG451" s="130" t="str">
        <f aca="false">IF($BD451&lt;&gt;Constants!$B$6,"",IF($W451,0,Constants!$B$15))</f>
        <v/>
      </c>
      <c r="BH451" s="130" t="str">
        <f aca="false">IF(ISBLANK($C451),"",IF($BD451&lt;&gt;Constants!$B$6,$BD451,SUM($BF451:$BG451)))</f>
        <v/>
      </c>
      <c r="BI451" s="127" t="str">
        <f aca="false">IF(ISBLANK($C451),"",IF($BD451&lt;&gt;Constants!$B$6,$BD451,RANK($BH451,$BH$9:$BH$508,1)))</f>
        <v/>
      </c>
      <c r="BJ451" s="130" t="str">
        <f aca="false">IF($BD451&lt;&gt;Constants!$B$6,"",IF($AU451="-&gt;",$BB451,$AS451))</f>
        <v/>
      </c>
      <c r="BK451" s="127" t="str">
        <f aca="false">IF(ISBLANK($C451),"",IF($BD451&lt;&gt;Constants!$B$6,$BD451,IF(ISNUMBER($BJ451),RANK($BJ451,$BJ$9:$BJ$508,1),COUNT($BJ$9:$BJ$508)+1)))</f>
        <v/>
      </c>
      <c r="BL451" s="130" t="str">
        <f aca="false">IF($BD451&lt;&gt;Constants!$B$6,"",IF($AU451="-&gt;",$BC451,$AT451))</f>
        <v/>
      </c>
      <c r="BM451" s="127" t="str">
        <f aca="false">IF(ISBLANK($C451),"",IF($BD451&lt;&gt;Constants!$B$6,$BD451,IF(ISNUMBER($BL451),RANK($BL451,$BL$9:$BL$508,1),COUNT($BL$9:$BL$508)+1)))</f>
        <v/>
      </c>
      <c r="BN451" s="130" t="str">
        <f aca="false">IF($BD451&lt;&gt;Constants!$B$6,"",IF($AU451="-&gt;",$AS451,$BB451))</f>
        <v/>
      </c>
      <c r="BO451" s="127" t="str">
        <f aca="false">IF(ISBLANK($C451),"",IF($BD451&lt;&gt;Constants!$B$6,$BD451,IF(ISNUMBER($BN451),RANK($BN451,$BN$9:$BN$508,1),COUNT($BN$9:$BN$508)+1)))</f>
        <v/>
      </c>
      <c r="BP451" s="130" t="str">
        <f aca="false">IF($BD451&lt;&gt;Constants!$B$6,"",IF($AU451="-&gt;",$AT451,$BC451))</f>
        <v/>
      </c>
      <c r="BQ451" s="127" t="str">
        <f aca="false">IF(ISBLANK($C451),"",IF($BD451&lt;&gt;Constants!$B$6,$BD451,IF(ISNUMBER($BP451),RANK($BP451,$BP$9:$BP$508,1),COUNT($BP$9:$BP$508)+1)))</f>
        <v/>
      </c>
      <c r="BR451" s="127" t="str">
        <f aca="false">IF(ISBLANK($C451),"",IF($BD451&lt;&gt;Constants!$B$6,$BD451,COUNTIFS($BI$9:$BI$508,"&lt;"&amp;$BI451)+COUNTIFS($BI$9:$BI$508,$BI451,$BK$9:$BK$508,"&lt;"&amp;$BK451)+COUNTIFS($BI$9:$BI$508,$BI451,$BK$9:$BK$508,$BK451,$BM$9:$BM$508,"&lt;"&amp;$BM451)+COUNTIFS($BI$9:$BI$508,$BI451,$BK$9:$BK$508,$BK451,$BM$9:$BM$508,$BM451,$BO$9:$BO$508,"&lt;"&amp;$BO451)+COUNTIFS($BI$9:$BI$508,$BI451,$BK$9:$BK$508,$BK451,$BM$9:$BM$508,$BM451,$BO$9:$BO$508,$BO451,$BQ$9:$BQ$508,"&lt;"&amp;$BQ451)+1))</f>
        <v/>
      </c>
      <c r="BS451" s="127" t="str">
        <f aca="false">IF(ISBLANK($C451),"",IF($BD451&lt;&gt;Constants!$B$6,$BD451,$BI451-$BR451))</f>
        <v/>
      </c>
      <c r="BT451" s="133"/>
      <c r="BU451" s="134"/>
      <c r="BV451" s="134" t="str">
        <f aca="false">IF(ISBLANK($C451),"",IF($BD451&lt;&gt;Constants!$B$6,"",IF($AU451="-&gt;",2,1)))</f>
        <v/>
      </c>
      <c r="BW451" s="135" t="str">
        <f aca="false">IF(ISBLANK($C451),"",IF($BD451&lt;&gt;Constants!$B$6,"",IF($AU451="-&gt;",$AW451,$AN451)))</f>
        <v/>
      </c>
      <c r="BX451" s="135" t="str">
        <f aca="false">IF(ISBLANK($C451),"",IF($BD451&lt;&gt;Constants!$B$6,"",IF($AU451="-&gt;",$AX451,$AO451)))</f>
        <v/>
      </c>
      <c r="BY451" s="135" t="str">
        <f aca="false">IF(ISBLANK($C451),"",IF($BD451&lt;&gt;Constants!$B$6,"",IF($AU451="-&gt;",$AY451,$AP451)))</f>
        <v/>
      </c>
      <c r="BZ451" s="135" t="str">
        <f aca="false">IF(ISBLANK($C451),"",IF($BD451&lt;&gt;Constants!$B$6,"",IF($AU451="-&gt;",$AZ451,$AQ451)+$BG451))</f>
        <v/>
      </c>
      <c r="CA451" s="136" t="str">
        <f aca="false">IF(ISBLANK($C451),"",IF($BD451&lt;&gt;Constants!$B$6,$BD451,$BH451))</f>
        <v/>
      </c>
      <c r="CB451" s="137" t="str">
        <f aca="false">IF(ISBLANK($C451),"",$BE451)</f>
        <v/>
      </c>
      <c r="CC451" s="138" t="str">
        <f aca="false">IF(ISBLANK($C451),"",$BS451)</f>
        <v/>
      </c>
      <c r="CD451" s="138" t="str">
        <f aca="false">IF(ISBLANK($C451),"",$BR451)</f>
        <v/>
      </c>
      <c r="CE451" s="139" t="str">
        <f aca="false">IF(ISBLANK($C451),"",IF($CD451=Constants!$B$9,COUNTA($C$9:$C$508)+2,IF($CD451=Constants!$B$8,COUNTA($C$9:$C$508)+1,IF($CD451=Constants!$B$7,COUNTA($C$9:$C$508),$CD451))))</f>
        <v/>
      </c>
      <c r="CF451" s="9"/>
      <c r="CG451" s="140" t="n">
        <f aca="false">IF(OR(ISNUMBER($CD451),$CD451=Constants!$B$9,$CD451=Constants!$B$7,$CD451=Constants!$B$8),1,0)</f>
        <v>0</v>
      </c>
      <c r="CH451" s="140" t="n">
        <v>443</v>
      </c>
      <c r="CI451" s="140" t="str">
        <f aca="false">IF(ISBLANK($C451),"",IF(ISNUMBER($CE451),$CE451+ROW($B451)/1000,""))</f>
        <v/>
      </c>
      <c r="CJ451" s="140" t="str">
        <f aca="false">IF(ISNUMBER($CI451),RANK($CI451,$CI$9:$CI$508,1),"")</f>
        <v/>
      </c>
      <c r="CK451" s="140" t="str">
        <f aca="false">IF(ISBLANK($C451),"",$B451)</f>
        <v/>
      </c>
      <c r="CL451" s="140" t="str">
        <f aca="false">IF(ISBLANK($C451),"",$C451)</f>
        <v/>
      </c>
      <c r="CM451" s="140" t="str">
        <f aca="false">IF(ISBLANK($C451),"",$D451)</f>
        <v/>
      </c>
      <c r="CN451" s="141" t="str">
        <f aca="false">$CB451</f>
        <v/>
      </c>
      <c r="CO451" s="142" t="str">
        <f aca="false">$CA451</f>
        <v/>
      </c>
      <c r="CP451" s="140" t="str">
        <f aca="false">IF(ISBLANK($C451),"",$CD451)</f>
        <v/>
      </c>
      <c r="CQ451" s="143" t="str">
        <f aca="false">IF($CH451&gt;$CG$8,"",VLOOKUP($CH451,$CJ$9:$CP$508,7,FALSE()))</f>
        <v/>
      </c>
      <c r="CR451" s="144" t="str">
        <f aca="false">IF($CH451&gt;$CG$8,"",VLOOKUP($CH451,$CJ$9:$CP$508,2,FALSE()))</f>
        <v/>
      </c>
      <c r="CS451" s="144" t="str">
        <f aca="false">IF($CH451&gt;$CG$8,"",VLOOKUP($CH451,$CJ$9:$CP$508,3,FALSE()))</f>
        <v/>
      </c>
      <c r="CT451" s="144" t="str">
        <f aca="false">IF($CH451&gt;$CG$8,"",VLOOKUP($CH451,$CJ$9:$CP$508,4,FALSE()))</f>
        <v/>
      </c>
      <c r="CU451" s="144" t="str">
        <f aca="false">IF($CH451&gt;$CG$8,"",VLOOKUP($CH451,$CJ$9:$CP$508,5,FALSE()))</f>
        <v/>
      </c>
      <c r="CV451" s="145" t="str">
        <f aca="false">IF($CH451&gt;$CG$8,"",VLOOKUP($CH451,$CJ$9:$CP$508,6,FALSE()))</f>
        <v/>
      </c>
      <c r="CW451" s="71"/>
    </row>
    <row r="452" customFormat="false" ht="15.75" hidden="false" customHeight="false" outlineLevel="0" collapsed="false">
      <c r="A452" s="9"/>
      <c r="B452" s="150"/>
      <c r="C452" s="151"/>
      <c r="D452" s="152"/>
      <c r="E452" s="170"/>
      <c r="F452" s="154"/>
      <c r="G452" s="155"/>
      <c r="H452" s="171"/>
      <c r="I452" s="159"/>
      <c r="J452" s="120"/>
      <c r="K452" s="121"/>
      <c r="L452" s="122"/>
      <c r="M452" s="158"/>
      <c r="N452" s="159"/>
      <c r="O452" s="159"/>
      <c r="P452" s="120"/>
      <c r="Q452" s="122"/>
      <c r="R452" s="122"/>
      <c r="S452" s="158"/>
      <c r="T452" s="159"/>
      <c r="U452" s="126"/>
      <c r="V452" s="127"/>
      <c r="W452" s="127" t="str">
        <f aca="false">IF(ISBLANK($C452),"",IF(E452=Constants!$B$2,TRUE(),IF(E452=Constants!$B$3,FALSE(),TRUE())))</f>
        <v/>
      </c>
      <c r="X452" s="127" t="str">
        <f aca="false">IF(ISBLANK($C452),"",IF(F452=Constants!$B$2,TRUE(),IF(F452=Constants!$B$3,FALSE(),TRUE())))</f>
        <v/>
      </c>
      <c r="Y452" s="127" t="str">
        <f aca="false">IF(ISBLANK($C452),"",IF(G452=Constants!$B$2,TRUE(),IF(G452=Constants!$B$3,FALSE(),TRUE())))</f>
        <v/>
      </c>
      <c r="Z452" s="127" t="str">
        <f aca="false">IF(ISBLANK($C452),"",IF(H452=Constants!$B$2,TRUE(),IF(H452=Constants!$B$3,FALSE(),TRUE())))</f>
        <v/>
      </c>
      <c r="AA452" s="127" t="str">
        <f aca="false">IF(ISBLANK($C452),"",IF(I452=Constants!$B$2,TRUE(),IF(I452=Constants!$B$3,FALSE(),TRUE())))</f>
        <v/>
      </c>
      <c r="AB452" s="127" t="str">
        <f aca="false">IF(ISBLANK($C452),"",IF(J452=Constants!$B$4,TRUE(),IF(J452=Constants!$B$5,FALSE(),COUNTA(K452:M452)&gt;0)))</f>
        <v/>
      </c>
      <c r="AC452" s="128" t="str">
        <f aca="false">IF(ISBLANK($C452),"",IF(ISNUMBER(K452),IF(K452&gt;=0,K452,""),""))</f>
        <v/>
      </c>
      <c r="AD452" s="129" t="str">
        <f aca="false">IF(ISBLANK($C452),"",IF(ISNUMBER(L452),IF(L452&gt;=0,L452,""),""))</f>
        <v/>
      </c>
      <c r="AE452" s="127" t="str">
        <f aca="false">IF(ISBLANK($C452),"",IF(ISNUMBER(M452),IF(M452&gt;=0,MIN(M452,Constants!$B$22),""),""))</f>
        <v/>
      </c>
      <c r="AF452" s="127" t="str">
        <f aca="false">IF(ISBLANK($C452),"",IF(N452=Constants!$B$2,TRUE(),IF(N452=Constants!$B$3,FALSE(),TRUE())))</f>
        <v/>
      </c>
      <c r="AG452" s="127" t="str">
        <f aca="false">IF(ISBLANK($C452),"",IF(O452=Constants!$B$2,TRUE(),IF(O452=Constants!$B$3,FALSE(),TRUE())))</f>
        <v/>
      </c>
      <c r="AH452" s="127" t="str">
        <f aca="false">IF(ISBLANK($C452),"",IF(P452=Constants!$B$4,TRUE(),IF(P452=Constants!$B$5,FALSE(),COUNTA(Q452:S452)&gt;0)))</f>
        <v/>
      </c>
      <c r="AI452" s="128" t="str">
        <f aca="false">IF(ISBLANK($C452),"",IF(ISNUMBER(Q452),IF(Q452&gt;=0,Q452,""),""))</f>
        <v/>
      </c>
      <c r="AJ452" s="129" t="str">
        <f aca="false">IF(ISBLANK($C452),"",IF(ISNUMBER(R452),IF(R452&gt;=0,R452,""),""))</f>
        <v/>
      </c>
      <c r="AK452" s="127" t="str">
        <f aca="false">IF(ISBLANK($C452),"",IF(ISNUMBER(S452),IF(S452&gt;=0,MIN(S452,Constants!$B$22),""),""))</f>
        <v/>
      </c>
      <c r="AL452" s="127" t="str">
        <f aca="false">IF(ISBLANK($C452),"",IF(T452=Constants!$B$2,TRUE(),IF(T452=Constants!$B$3,FALSE(),FALSE())))</f>
        <v/>
      </c>
      <c r="AM452" s="126" t="str">
        <f aca="false">IF(ISBLANK($C452),"",AND($AB452,OR($AC452="",$AD452="",AND(NOT(ISBLANK($M452)),$AE452=""))))</f>
        <v/>
      </c>
      <c r="AN452" s="129" t="str">
        <f aca="false">IF($BD452&lt;&gt;Constants!$B$6,"",IF($AB452,Constants!$B$17*$AD452,Constants!$B$18))</f>
        <v/>
      </c>
      <c r="AO452" s="130" t="str">
        <f aca="false">IF($BD452&lt;&gt;Constants!$B$6,"",Constants!$B$19*IF($AB452,$AC452,0))</f>
        <v/>
      </c>
      <c r="AP452" s="130" t="str">
        <f aca="false">IF($BD452&lt;&gt;Constants!$B$6,"",IF(AND($AB452,ISNUMBER($AE452)),Constants!$B$20*(Constants!$B$21-$AE452),0))</f>
        <v/>
      </c>
      <c r="AQ452" s="130" t="str">
        <f aca="false">IF($BD452&lt;&gt;Constants!$B$6,"",IF($AA452,0,Constants!$B$12)+IF($Z452,0,Constants!$B$13)+IF($Y452,0,Constants!$B$14))</f>
        <v/>
      </c>
      <c r="AR452" s="131" t="str">
        <f aca="false">IF($BD452&lt;&gt;Constants!$B$6,"",Constants!$B$16+SUM($AN452:$AQ452))</f>
        <v/>
      </c>
      <c r="AS452" s="130" t="str">
        <f aca="false">IF($BD452&lt;&gt;Constants!$B$6,"",IF($AB452,$AD452,""))</f>
        <v/>
      </c>
      <c r="AT452" s="132" t="str">
        <f aca="false">IF($BD452&lt;&gt;Constants!$B$6,"",$AO452)</f>
        <v/>
      </c>
      <c r="AU452" s="127" t="str">
        <f aca="false">IF($BD452&lt;&gt;Constants!$B$6,"",IF(OR($BA452&lt;$AR452,AND($BA452=$AR452,OR(AND(ISNUMBER($BB452),OR(NOT(ISNUMBER($AS452)),$BB452&lt;$AS452)),AND(OR(AND($BB452="",$AS452=""),AND(ISNUMBER($BB452),ISNUMBER($AS452),$BB452=$AS452)),$BC452&lt;$AT452)))),"-&gt;","&lt;-"))</f>
        <v/>
      </c>
      <c r="AV452" s="126" t="str">
        <f aca="false">IF(ISBLANK($C452),"",AND($AH452,OR($AI452="",$AJ452="",AND(NOT(ISBLANK($S452)),$AK452=""))))</f>
        <v/>
      </c>
      <c r="AW452" s="129" t="str">
        <f aca="false">IF($BD452&lt;&gt;Constants!$B$6,"",IF($AH452,Constants!$B$17*$AJ452,Constants!$B$18))</f>
        <v/>
      </c>
      <c r="AX452" s="130" t="str">
        <f aca="false">IF($BD452&lt;&gt;Constants!$B$6,"",Constants!$B$19*IF($AH452,$AI452,0))</f>
        <v/>
      </c>
      <c r="AY452" s="130" t="str">
        <f aca="false">IF($BD452&lt;&gt;Constants!$B$6,"",IF(AND($AH452,ISNUMBER($AK452)),Constants!$B$20*(Constants!$B$21-$AK452),0))</f>
        <v/>
      </c>
      <c r="AZ452" s="130" t="str">
        <f aca="false">IF($BD452&lt;&gt;Constants!$B$6,"",IF($AG452,0,Constants!$B$12)+IF($AF452,0,Constants!$B$13)+IF($Y452,0,Constants!$B$14))</f>
        <v/>
      </c>
      <c r="BA452" s="131" t="str">
        <f aca="false">IF($BD452&lt;&gt;Constants!$B$6,"",Constants!$B$16+SUM($AW452:$AZ452))</f>
        <v/>
      </c>
      <c r="BB452" s="130" t="str">
        <f aca="false">IF($BD452&lt;&gt;Constants!$B$6,"",IF($AH452,$AJ452,""))</f>
        <v/>
      </c>
      <c r="BC452" s="132" t="str">
        <f aca="false">IF($BD452&lt;&gt;Constants!$B$6,"",$AX452)</f>
        <v/>
      </c>
      <c r="BD452" s="127" t="str">
        <f aca="false">IF(ISBLANK($C452),"",IF($AL452,Constants!$B$9,IF(COUNTA($E452:$T452)=0,Constants!$B$8,IF(NOT($X452),Constants!$B$7,IF(OR($AM452,$AV452),Constants!$B$10,Constants!$B$6)))))</f>
        <v/>
      </c>
      <c r="BE452" s="127" t="str">
        <f aca="false">IF(ISBLANK($C452),"",IF($BD452&lt;&gt;Constants!$B$6,$BD452,Constants!$B$11))</f>
        <v/>
      </c>
      <c r="BF452" s="130" t="str">
        <f aca="false">IF($BD452&lt;&gt;Constants!$B$6,"",IF($AU452="-&gt;",$BA452,$AR452))</f>
        <v/>
      </c>
      <c r="BG452" s="130" t="str">
        <f aca="false">IF($BD452&lt;&gt;Constants!$B$6,"",IF($W452,0,Constants!$B$15))</f>
        <v/>
      </c>
      <c r="BH452" s="130" t="str">
        <f aca="false">IF(ISBLANK($C452),"",IF($BD452&lt;&gt;Constants!$B$6,$BD452,SUM($BF452:$BG452)))</f>
        <v/>
      </c>
      <c r="BI452" s="127" t="str">
        <f aca="false">IF(ISBLANK($C452),"",IF($BD452&lt;&gt;Constants!$B$6,$BD452,RANK($BH452,$BH$9:$BH$508,1)))</f>
        <v/>
      </c>
      <c r="BJ452" s="130" t="str">
        <f aca="false">IF($BD452&lt;&gt;Constants!$B$6,"",IF($AU452="-&gt;",$BB452,$AS452))</f>
        <v/>
      </c>
      <c r="BK452" s="127" t="str">
        <f aca="false">IF(ISBLANK($C452),"",IF($BD452&lt;&gt;Constants!$B$6,$BD452,IF(ISNUMBER($BJ452),RANK($BJ452,$BJ$9:$BJ$508,1),COUNT($BJ$9:$BJ$508)+1)))</f>
        <v/>
      </c>
      <c r="BL452" s="130" t="str">
        <f aca="false">IF($BD452&lt;&gt;Constants!$B$6,"",IF($AU452="-&gt;",$BC452,$AT452))</f>
        <v/>
      </c>
      <c r="BM452" s="127" t="str">
        <f aca="false">IF(ISBLANK($C452),"",IF($BD452&lt;&gt;Constants!$B$6,$BD452,IF(ISNUMBER($BL452),RANK($BL452,$BL$9:$BL$508,1),COUNT($BL$9:$BL$508)+1)))</f>
        <v/>
      </c>
      <c r="BN452" s="130" t="str">
        <f aca="false">IF($BD452&lt;&gt;Constants!$B$6,"",IF($AU452="-&gt;",$AS452,$BB452))</f>
        <v/>
      </c>
      <c r="BO452" s="127" t="str">
        <f aca="false">IF(ISBLANK($C452),"",IF($BD452&lt;&gt;Constants!$B$6,$BD452,IF(ISNUMBER($BN452),RANK($BN452,$BN$9:$BN$508,1),COUNT($BN$9:$BN$508)+1)))</f>
        <v/>
      </c>
      <c r="BP452" s="130" t="str">
        <f aca="false">IF($BD452&lt;&gt;Constants!$B$6,"",IF($AU452="-&gt;",$AT452,$BC452))</f>
        <v/>
      </c>
      <c r="BQ452" s="127" t="str">
        <f aca="false">IF(ISBLANK($C452),"",IF($BD452&lt;&gt;Constants!$B$6,$BD452,IF(ISNUMBER($BP452),RANK($BP452,$BP$9:$BP$508,1),COUNT($BP$9:$BP$508)+1)))</f>
        <v/>
      </c>
      <c r="BR452" s="127" t="str">
        <f aca="false">IF(ISBLANK($C452),"",IF($BD452&lt;&gt;Constants!$B$6,$BD452,COUNTIFS($BI$9:$BI$508,"&lt;"&amp;$BI452)+COUNTIFS($BI$9:$BI$508,$BI452,$BK$9:$BK$508,"&lt;"&amp;$BK452)+COUNTIFS($BI$9:$BI$508,$BI452,$BK$9:$BK$508,$BK452,$BM$9:$BM$508,"&lt;"&amp;$BM452)+COUNTIFS($BI$9:$BI$508,$BI452,$BK$9:$BK$508,$BK452,$BM$9:$BM$508,$BM452,$BO$9:$BO$508,"&lt;"&amp;$BO452)+COUNTIFS($BI$9:$BI$508,$BI452,$BK$9:$BK$508,$BK452,$BM$9:$BM$508,$BM452,$BO$9:$BO$508,$BO452,$BQ$9:$BQ$508,"&lt;"&amp;$BQ452)+1))</f>
        <v/>
      </c>
      <c r="BS452" s="127" t="str">
        <f aca="false">IF(ISBLANK($C452),"",IF($BD452&lt;&gt;Constants!$B$6,$BD452,$BI452-$BR452))</f>
        <v/>
      </c>
      <c r="BT452" s="133"/>
      <c r="BU452" s="134"/>
      <c r="BV452" s="134" t="str">
        <f aca="false">IF(ISBLANK($C452),"",IF($BD452&lt;&gt;Constants!$B$6,"",IF($AU452="-&gt;",2,1)))</f>
        <v/>
      </c>
      <c r="BW452" s="135" t="str">
        <f aca="false">IF(ISBLANK($C452),"",IF($BD452&lt;&gt;Constants!$B$6,"",IF($AU452="-&gt;",$AW452,$AN452)))</f>
        <v/>
      </c>
      <c r="BX452" s="135" t="str">
        <f aca="false">IF(ISBLANK($C452),"",IF($BD452&lt;&gt;Constants!$B$6,"",IF($AU452="-&gt;",$AX452,$AO452)))</f>
        <v/>
      </c>
      <c r="BY452" s="135" t="str">
        <f aca="false">IF(ISBLANK($C452),"",IF($BD452&lt;&gt;Constants!$B$6,"",IF($AU452="-&gt;",$AY452,$AP452)))</f>
        <v/>
      </c>
      <c r="BZ452" s="135" t="str">
        <f aca="false">IF(ISBLANK($C452),"",IF($BD452&lt;&gt;Constants!$B$6,"",IF($AU452="-&gt;",$AZ452,$AQ452)+$BG452))</f>
        <v/>
      </c>
      <c r="CA452" s="136" t="str">
        <f aca="false">IF(ISBLANK($C452),"",IF($BD452&lt;&gt;Constants!$B$6,$BD452,$BH452))</f>
        <v/>
      </c>
      <c r="CB452" s="137" t="str">
        <f aca="false">IF(ISBLANK($C452),"",$BE452)</f>
        <v/>
      </c>
      <c r="CC452" s="138" t="str">
        <f aca="false">IF(ISBLANK($C452),"",$BS452)</f>
        <v/>
      </c>
      <c r="CD452" s="138" t="str">
        <f aca="false">IF(ISBLANK($C452),"",$BR452)</f>
        <v/>
      </c>
      <c r="CE452" s="139" t="str">
        <f aca="false">IF(ISBLANK($C452),"",IF($CD452=Constants!$B$9,COUNTA($C$9:$C$508)+2,IF($CD452=Constants!$B$8,COUNTA($C$9:$C$508)+1,IF($CD452=Constants!$B$7,COUNTA($C$9:$C$508),$CD452))))</f>
        <v/>
      </c>
      <c r="CF452" s="9"/>
      <c r="CG452" s="140" t="n">
        <f aca="false">IF(OR(ISNUMBER($CD452),$CD452=Constants!$B$9,$CD452=Constants!$B$7,$CD452=Constants!$B$8),1,0)</f>
        <v>0</v>
      </c>
      <c r="CH452" s="140" t="n">
        <v>444</v>
      </c>
      <c r="CI452" s="140" t="str">
        <f aca="false">IF(ISBLANK($C452),"",IF(ISNUMBER($CE452),$CE452+ROW($B452)/1000,""))</f>
        <v/>
      </c>
      <c r="CJ452" s="140" t="str">
        <f aca="false">IF(ISNUMBER($CI452),RANK($CI452,$CI$9:$CI$508,1),"")</f>
        <v/>
      </c>
      <c r="CK452" s="140" t="str">
        <f aca="false">IF(ISBLANK($C452),"",$B452)</f>
        <v/>
      </c>
      <c r="CL452" s="140" t="str">
        <f aca="false">IF(ISBLANK($C452),"",$C452)</f>
        <v/>
      </c>
      <c r="CM452" s="140" t="str">
        <f aca="false">IF(ISBLANK($C452),"",$D452)</f>
        <v/>
      </c>
      <c r="CN452" s="141" t="str">
        <f aca="false">$CB452</f>
        <v/>
      </c>
      <c r="CO452" s="142" t="str">
        <f aca="false">$CA452</f>
        <v/>
      </c>
      <c r="CP452" s="140" t="str">
        <f aca="false">IF(ISBLANK($C452),"",$CD452)</f>
        <v/>
      </c>
      <c r="CQ452" s="143" t="str">
        <f aca="false">IF($CH452&gt;$CG$8,"",VLOOKUP($CH452,$CJ$9:$CP$508,7,FALSE()))</f>
        <v/>
      </c>
      <c r="CR452" s="144" t="str">
        <f aca="false">IF($CH452&gt;$CG$8,"",VLOOKUP($CH452,$CJ$9:$CP$508,2,FALSE()))</f>
        <v/>
      </c>
      <c r="CS452" s="144" t="str">
        <f aca="false">IF($CH452&gt;$CG$8,"",VLOOKUP($CH452,$CJ$9:$CP$508,3,FALSE()))</f>
        <v/>
      </c>
      <c r="CT452" s="144" t="str">
        <f aca="false">IF($CH452&gt;$CG$8,"",VLOOKUP($CH452,$CJ$9:$CP$508,4,FALSE()))</f>
        <v/>
      </c>
      <c r="CU452" s="144" t="str">
        <f aca="false">IF($CH452&gt;$CG$8,"",VLOOKUP($CH452,$CJ$9:$CP$508,5,FALSE()))</f>
        <v/>
      </c>
      <c r="CV452" s="145" t="str">
        <f aca="false">IF($CH452&gt;$CG$8,"",VLOOKUP($CH452,$CJ$9:$CP$508,6,FALSE()))</f>
        <v/>
      </c>
      <c r="CW452" s="71"/>
    </row>
    <row r="453" customFormat="false" ht="15.75" hidden="false" customHeight="false" outlineLevel="0" collapsed="false">
      <c r="A453" s="9"/>
      <c r="B453" s="72"/>
      <c r="C453" s="73"/>
      <c r="D453" s="160"/>
      <c r="E453" s="168"/>
      <c r="F453" s="162"/>
      <c r="G453" s="163"/>
      <c r="H453" s="169"/>
      <c r="I453" s="167"/>
      <c r="J453" s="80"/>
      <c r="K453" s="81"/>
      <c r="L453" s="82"/>
      <c r="M453" s="166"/>
      <c r="N453" s="167"/>
      <c r="O453" s="167"/>
      <c r="P453" s="80"/>
      <c r="Q453" s="82"/>
      <c r="R453" s="82"/>
      <c r="S453" s="166"/>
      <c r="T453" s="167"/>
      <c r="U453" s="86"/>
      <c r="V453" s="87"/>
      <c r="W453" s="87" t="str">
        <f aca="false">IF(ISBLANK($C453),"",IF(E453=Constants!$B$2,TRUE(),IF(E453=Constants!$B$3,FALSE(),TRUE())))</f>
        <v/>
      </c>
      <c r="X453" s="87" t="str">
        <f aca="false">IF(ISBLANK($C453),"",IF(F453=Constants!$B$2,TRUE(),IF(F453=Constants!$B$3,FALSE(),TRUE())))</f>
        <v/>
      </c>
      <c r="Y453" s="87" t="str">
        <f aca="false">IF(ISBLANK($C453),"",IF(G453=Constants!$B$2,TRUE(),IF(G453=Constants!$B$3,FALSE(),TRUE())))</f>
        <v/>
      </c>
      <c r="Z453" s="87" t="str">
        <f aca="false">IF(ISBLANK($C453),"",IF(H453=Constants!$B$2,TRUE(),IF(H453=Constants!$B$3,FALSE(),TRUE())))</f>
        <v/>
      </c>
      <c r="AA453" s="87" t="str">
        <f aca="false">IF(ISBLANK($C453),"",IF(I453=Constants!$B$2,TRUE(),IF(I453=Constants!$B$3,FALSE(),TRUE())))</f>
        <v/>
      </c>
      <c r="AB453" s="87" t="str">
        <f aca="false">IF(ISBLANK($C453),"",IF(J453=Constants!$B$4,TRUE(),IF(J453=Constants!$B$5,FALSE(),COUNTA(K453:M453)&gt;0)))</f>
        <v/>
      </c>
      <c r="AC453" s="88" t="str">
        <f aca="false">IF(ISBLANK($C453),"",IF(ISNUMBER(K453),IF(K453&gt;=0,K453,""),""))</f>
        <v/>
      </c>
      <c r="AD453" s="89" t="str">
        <f aca="false">IF(ISBLANK($C453),"",IF(ISNUMBER(L453),IF(L453&gt;=0,L453,""),""))</f>
        <v/>
      </c>
      <c r="AE453" s="87" t="str">
        <f aca="false">IF(ISBLANK($C453),"",IF(ISNUMBER(M453),IF(M453&gt;=0,MIN(M453,Constants!$B$22),""),""))</f>
        <v/>
      </c>
      <c r="AF453" s="87" t="str">
        <f aca="false">IF(ISBLANK($C453),"",IF(N453=Constants!$B$2,TRUE(),IF(N453=Constants!$B$3,FALSE(),TRUE())))</f>
        <v/>
      </c>
      <c r="AG453" s="87" t="str">
        <f aca="false">IF(ISBLANK($C453),"",IF(O453=Constants!$B$2,TRUE(),IF(O453=Constants!$B$3,FALSE(),TRUE())))</f>
        <v/>
      </c>
      <c r="AH453" s="87" t="str">
        <f aca="false">IF(ISBLANK($C453),"",IF(P453=Constants!$B$4,TRUE(),IF(P453=Constants!$B$5,FALSE(),COUNTA(Q453:S453)&gt;0)))</f>
        <v/>
      </c>
      <c r="AI453" s="88" t="str">
        <f aca="false">IF(ISBLANK($C453),"",IF(ISNUMBER(Q453),IF(Q453&gt;=0,Q453,""),""))</f>
        <v/>
      </c>
      <c r="AJ453" s="89" t="str">
        <f aca="false">IF(ISBLANK($C453),"",IF(ISNUMBER(R453),IF(R453&gt;=0,R453,""),""))</f>
        <v/>
      </c>
      <c r="AK453" s="87" t="str">
        <f aca="false">IF(ISBLANK($C453),"",IF(ISNUMBER(S453),IF(S453&gt;=0,MIN(S453,Constants!$B$22),""),""))</f>
        <v/>
      </c>
      <c r="AL453" s="87" t="str">
        <f aca="false">IF(ISBLANK($C453),"",IF(T453=Constants!$B$2,TRUE(),IF(T453=Constants!$B$3,FALSE(),FALSE())))</f>
        <v/>
      </c>
      <c r="AM453" s="86" t="str">
        <f aca="false">IF(ISBLANK($C453),"",AND($AB453,OR($AC453="",$AD453="",AND(NOT(ISBLANK($M453)),$AE453=""))))</f>
        <v/>
      </c>
      <c r="AN453" s="89" t="str">
        <f aca="false">IF($BD453&lt;&gt;Constants!$B$6,"",IF($AB453,Constants!$B$17*$AD453,Constants!$B$18))</f>
        <v/>
      </c>
      <c r="AO453" s="91" t="str">
        <f aca="false">IF($BD453&lt;&gt;Constants!$B$6,"",Constants!$B$19*IF($AB453,$AC453,0))</f>
        <v/>
      </c>
      <c r="AP453" s="91" t="str">
        <f aca="false">IF($BD453&lt;&gt;Constants!$B$6,"",IF(AND($AB453,ISNUMBER($AE453)),Constants!$B$20*(Constants!$B$21-$AE453),0))</f>
        <v/>
      </c>
      <c r="AQ453" s="91" t="str">
        <f aca="false">IF($BD453&lt;&gt;Constants!$B$6,"",IF($AA453,0,Constants!$B$12)+IF($Z453,0,Constants!$B$13)+IF($Y453,0,Constants!$B$14))</f>
        <v/>
      </c>
      <c r="AR453" s="92" t="str">
        <f aca="false">IF($BD453&lt;&gt;Constants!$B$6,"",Constants!$B$16+SUM($AN453:$AQ453))</f>
        <v/>
      </c>
      <c r="AS453" s="91" t="str">
        <f aca="false">IF($BD453&lt;&gt;Constants!$B$6,"",IF($AB453,$AD453,""))</f>
        <v/>
      </c>
      <c r="AT453" s="93" t="str">
        <f aca="false">IF($BD453&lt;&gt;Constants!$B$6,"",$AO453)</f>
        <v/>
      </c>
      <c r="AU453" s="87" t="str">
        <f aca="false">IF($BD453&lt;&gt;Constants!$B$6,"",IF(OR($BA453&lt;$AR453,AND($BA453=$AR453,OR(AND(ISNUMBER($BB453),OR(NOT(ISNUMBER($AS453)),$BB453&lt;$AS453)),AND(OR(AND($BB453="",$AS453=""),AND(ISNUMBER($BB453),ISNUMBER($AS453),$BB453=$AS453)),$BC453&lt;$AT453)))),"-&gt;","&lt;-"))</f>
        <v/>
      </c>
      <c r="AV453" s="86" t="str">
        <f aca="false">IF(ISBLANK($C453),"",AND($AH453,OR($AI453="",$AJ453="",AND(NOT(ISBLANK($S453)),$AK453=""))))</f>
        <v/>
      </c>
      <c r="AW453" s="89" t="str">
        <f aca="false">IF($BD453&lt;&gt;Constants!$B$6,"",IF($AH453,Constants!$B$17*$AJ453,Constants!$B$18))</f>
        <v/>
      </c>
      <c r="AX453" s="91" t="str">
        <f aca="false">IF($BD453&lt;&gt;Constants!$B$6,"",Constants!$B$19*IF($AH453,$AI453,0))</f>
        <v/>
      </c>
      <c r="AY453" s="91" t="str">
        <f aca="false">IF($BD453&lt;&gt;Constants!$B$6,"",IF(AND($AH453,ISNUMBER($AK453)),Constants!$B$20*(Constants!$B$21-$AK453),0))</f>
        <v/>
      </c>
      <c r="AZ453" s="91" t="str">
        <f aca="false">IF($BD453&lt;&gt;Constants!$B$6,"",IF($AG453,0,Constants!$B$12)+IF($AF453,0,Constants!$B$13)+IF($Y453,0,Constants!$B$14))</f>
        <v/>
      </c>
      <c r="BA453" s="92" t="str">
        <f aca="false">IF($BD453&lt;&gt;Constants!$B$6,"",Constants!$B$16+SUM($AW453:$AZ453))</f>
        <v/>
      </c>
      <c r="BB453" s="91" t="str">
        <f aca="false">IF($BD453&lt;&gt;Constants!$B$6,"",IF($AH453,$AJ453,""))</f>
        <v/>
      </c>
      <c r="BC453" s="93" t="str">
        <f aca="false">IF($BD453&lt;&gt;Constants!$B$6,"",$AX453)</f>
        <v/>
      </c>
      <c r="BD453" s="87" t="str">
        <f aca="false">IF(ISBLANK($C453),"",IF($AL453,Constants!$B$9,IF(COUNTA($E453:$T453)=0,Constants!$B$8,IF(NOT($X453),Constants!$B$7,IF(OR($AM453,$AV453),Constants!$B$10,Constants!$B$6)))))</f>
        <v/>
      </c>
      <c r="BE453" s="87" t="str">
        <f aca="false">IF(ISBLANK($C453),"",IF($BD453&lt;&gt;Constants!$B$6,$BD453,Constants!$B$11))</f>
        <v/>
      </c>
      <c r="BF453" s="91" t="str">
        <f aca="false">IF($BD453&lt;&gt;Constants!$B$6,"",IF($AU453="-&gt;",$BA453,$AR453))</f>
        <v/>
      </c>
      <c r="BG453" s="91" t="str">
        <f aca="false">IF($BD453&lt;&gt;Constants!$B$6,"",IF($W453,0,Constants!$B$15))</f>
        <v/>
      </c>
      <c r="BH453" s="91" t="str">
        <f aca="false">IF(ISBLANK($C453),"",IF($BD453&lt;&gt;Constants!$B$6,$BD453,SUM($BF453:$BG453)))</f>
        <v/>
      </c>
      <c r="BI453" s="87" t="str">
        <f aca="false">IF(ISBLANK($C453),"",IF($BD453&lt;&gt;Constants!$B$6,$BD453,RANK($BH453,$BH$9:$BH$508,1)))</f>
        <v/>
      </c>
      <c r="BJ453" s="91" t="str">
        <f aca="false">IF($BD453&lt;&gt;Constants!$B$6,"",IF($AU453="-&gt;",$BB453,$AS453))</f>
        <v/>
      </c>
      <c r="BK453" s="87" t="str">
        <f aca="false">IF(ISBLANK($C453),"",IF($BD453&lt;&gt;Constants!$B$6,$BD453,IF(ISNUMBER($BJ453),RANK($BJ453,$BJ$9:$BJ$508,1),COUNT($BJ$9:$BJ$508)+1)))</f>
        <v/>
      </c>
      <c r="BL453" s="91" t="str">
        <f aca="false">IF($BD453&lt;&gt;Constants!$B$6,"",IF($AU453="-&gt;",$BC453,$AT453))</f>
        <v/>
      </c>
      <c r="BM453" s="87" t="str">
        <f aca="false">IF(ISBLANK($C453),"",IF($BD453&lt;&gt;Constants!$B$6,$BD453,IF(ISNUMBER($BL453),RANK($BL453,$BL$9:$BL$508,1),COUNT($BL$9:$BL$508)+1)))</f>
        <v/>
      </c>
      <c r="BN453" s="91" t="str">
        <f aca="false">IF($BD453&lt;&gt;Constants!$B$6,"",IF($AU453="-&gt;",$AS453,$BB453))</f>
        <v/>
      </c>
      <c r="BO453" s="87" t="str">
        <f aca="false">IF(ISBLANK($C453),"",IF($BD453&lt;&gt;Constants!$B$6,$BD453,IF(ISNUMBER($BN453),RANK($BN453,$BN$9:$BN$508,1),COUNT($BN$9:$BN$508)+1)))</f>
        <v/>
      </c>
      <c r="BP453" s="91" t="str">
        <f aca="false">IF($BD453&lt;&gt;Constants!$B$6,"",IF($AU453="-&gt;",$AT453,$BC453))</f>
        <v/>
      </c>
      <c r="BQ453" s="87" t="str">
        <f aca="false">IF(ISBLANK($C453),"",IF($BD453&lt;&gt;Constants!$B$6,$BD453,IF(ISNUMBER($BP453),RANK($BP453,$BP$9:$BP$508,1),COUNT($BP$9:$BP$508)+1)))</f>
        <v/>
      </c>
      <c r="BR453" s="87" t="str">
        <f aca="false">IF(ISBLANK($C453),"",IF($BD453&lt;&gt;Constants!$B$6,$BD453,COUNTIFS($BI$9:$BI$508,"&lt;"&amp;$BI453)+COUNTIFS($BI$9:$BI$508,$BI453,$BK$9:$BK$508,"&lt;"&amp;$BK453)+COUNTIFS($BI$9:$BI$508,$BI453,$BK$9:$BK$508,$BK453,$BM$9:$BM$508,"&lt;"&amp;$BM453)+COUNTIFS($BI$9:$BI$508,$BI453,$BK$9:$BK$508,$BK453,$BM$9:$BM$508,$BM453,$BO$9:$BO$508,"&lt;"&amp;$BO453)+COUNTIFS($BI$9:$BI$508,$BI453,$BK$9:$BK$508,$BK453,$BM$9:$BM$508,$BM453,$BO$9:$BO$508,$BO453,$BQ$9:$BQ$508,"&lt;"&amp;$BQ453)+1))</f>
        <v/>
      </c>
      <c r="BS453" s="87" t="str">
        <f aca="false">IF(ISBLANK($C453),"",IF($BD453&lt;&gt;Constants!$B$6,$BD453,$BI453-$BR453))</f>
        <v/>
      </c>
      <c r="BT453" s="94"/>
      <c r="BU453" s="95"/>
      <c r="BV453" s="95" t="str">
        <f aca="false">IF(ISBLANK($C453),"",IF($BD453&lt;&gt;Constants!$B$6,"",IF($AU453="-&gt;",2,1)))</f>
        <v/>
      </c>
      <c r="BW453" s="96" t="str">
        <f aca="false">IF(ISBLANK($C453),"",IF($BD453&lt;&gt;Constants!$B$6,"",IF($AU453="-&gt;",$AW453,$AN453)))</f>
        <v/>
      </c>
      <c r="BX453" s="96" t="str">
        <f aca="false">IF(ISBLANK($C453),"",IF($BD453&lt;&gt;Constants!$B$6,"",IF($AU453="-&gt;",$AX453,$AO453)))</f>
        <v/>
      </c>
      <c r="BY453" s="96" t="str">
        <f aca="false">IF(ISBLANK($C453),"",IF($BD453&lt;&gt;Constants!$B$6,"",IF($AU453="-&gt;",$AY453,$AP453)))</f>
        <v/>
      </c>
      <c r="BZ453" s="96" t="str">
        <f aca="false">IF(ISBLANK($C453),"",IF($BD453&lt;&gt;Constants!$B$6,"",IF($AU453="-&gt;",$AZ453,$AQ453)+$BG453))</f>
        <v/>
      </c>
      <c r="CA453" s="97" t="str">
        <f aca="false">IF(ISBLANK($C453),"",IF($BD453&lt;&gt;Constants!$B$6,$BD453,$BH453))</f>
        <v/>
      </c>
      <c r="CB453" s="98" t="str">
        <f aca="false">IF(ISBLANK($C453),"",$BE453)</f>
        <v/>
      </c>
      <c r="CC453" s="99" t="str">
        <f aca="false">IF(ISBLANK($C453),"",$BS453)</f>
        <v/>
      </c>
      <c r="CD453" s="99" t="str">
        <f aca="false">IF(ISBLANK($C453),"",$BR453)</f>
        <v/>
      </c>
      <c r="CE453" s="100" t="str">
        <f aca="false">IF(ISBLANK($C453),"",IF($CD453=Constants!$B$9,COUNTA($C$9:$C$508)+2,IF($CD453=Constants!$B$8,COUNTA($C$9:$C$508)+1,IF($CD453=Constants!$B$7,COUNTA($C$9:$C$508),$CD453))))</f>
        <v/>
      </c>
      <c r="CF453" s="9"/>
      <c r="CG453" s="101" t="n">
        <f aca="false">IF(OR(ISNUMBER($CD453),$CD453=Constants!$B$9,$CD453=Constants!$B$7,$CD453=Constants!$B$8),1,0)</f>
        <v>0</v>
      </c>
      <c r="CH453" s="101" t="n">
        <v>445</v>
      </c>
      <c r="CI453" s="101" t="str">
        <f aca="false">IF(ISBLANK($C453),"",IF(ISNUMBER($CE453),$CE453+ROW($B453)/1000,""))</f>
        <v/>
      </c>
      <c r="CJ453" s="101" t="str">
        <f aca="false">IF(ISNUMBER($CI453),RANK($CI453,$CI$9:$CI$508,1),"")</f>
        <v/>
      </c>
      <c r="CK453" s="101" t="str">
        <f aca="false">IF(ISBLANK($C453),"",$B453)</f>
        <v/>
      </c>
      <c r="CL453" s="101" t="str">
        <f aca="false">IF(ISBLANK($C453),"",$C453)</f>
        <v/>
      </c>
      <c r="CM453" s="101" t="str">
        <f aca="false">IF(ISBLANK($C453),"",$D453)</f>
        <v/>
      </c>
      <c r="CN453" s="102" t="str">
        <f aca="false">$CB453</f>
        <v/>
      </c>
      <c r="CO453" s="103" t="str">
        <f aca="false">$CA453</f>
        <v/>
      </c>
      <c r="CP453" s="101" t="str">
        <f aca="false">IF(ISBLANK($C453),"",$CD453)</f>
        <v/>
      </c>
      <c r="CQ453" s="104" t="str">
        <f aca="false">IF($CH453&gt;$CG$8,"",VLOOKUP($CH453,$CJ$9:$CP$508,7,FALSE()))</f>
        <v/>
      </c>
      <c r="CR453" s="105" t="str">
        <f aca="false">IF($CH453&gt;$CG$8,"",VLOOKUP($CH453,$CJ$9:$CP$508,2,FALSE()))</f>
        <v/>
      </c>
      <c r="CS453" s="105" t="str">
        <f aca="false">IF($CH453&gt;$CG$8,"",VLOOKUP($CH453,$CJ$9:$CP$508,3,FALSE()))</f>
        <v/>
      </c>
      <c r="CT453" s="105" t="str">
        <f aca="false">IF($CH453&gt;$CG$8,"",VLOOKUP($CH453,$CJ$9:$CP$508,4,FALSE()))</f>
        <v/>
      </c>
      <c r="CU453" s="105" t="str">
        <f aca="false">IF($CH453&gt;$CG$8,"",VLOOKUP($CH453,$CJ$9:$CP$508,5,FALSE()))</f>
        <v/>
      </c>
      <c r="CV453" s="106" t="str">
        <f aca="false">IF($CH453&gt;$CG$8,"",VLOOKUP($CH453,$CJ$9:$CP$508,6,FALSE()))</f>
        <v/>
      </c>
      <c r="CW453" s="71"/>
    </row>
    <row r="454" customFormat="false" ht="15.75" hidden="false" customHeight="false" outlineLevel="0" collapsed="false">
      <c r="A454" s="9"/>
      <c r="B454" s="72"/>
      <c r="C454" s="73"/>
      <c r="D454" s="160"/>
      <c r="E454" s="168"/>
      <c r="F454" s="162"/>
      <c r="G454" s="163"/>
      <c r="H454" s="169"/>
      <c r="I454" s="167"/>
      <c r="J454" s="80"/>
      <c r="K454" s="81"/>
      <c r="L454" s="82"/>
      <c r="M454" s="166"/>
      <c r="N454" s="167"/>
      <c r="O454" s="167"/>
      <c r="P454" s="80"/>
      <c r="Q454" s="82"/>
      <c r="R454" s="82"/>
      <c r="S454" s="166"/>
      <c r="T454" s="167"/>
      <c r="U454" s="86"/>
      <c r="V454" s="87"/>
      <c r="W454" s="87" t="str">
        <f aca="false">IF(ISBLANK($C454),"",IF(E454=Constants!$B$2,TRUE(),IF(E454=Constants!$B$3,FALSE(),TRUE())))</f>
        <v/>
      </c>
      <c r="X454" s="87" t="str">
        <f aca="false">IF(ISBLANK($C454),"",IF(F454=Constants!$B$2,TRUE(),IF(F454=Constants!$B$3,FALSE(),TRUE())))</f>
        <v/>
      </c>
      <c r="Y454" s="87" t="str">
        <f aca="false">IF(ISBLANK($C454),"",IF(G454=Constants!$B$2,TRUE(),IF(G454=Constants!$B$3,FALSE(),TRUE())))</f>
        <v/>
      </c>
      <c r="Z454" s="87" t="str">
        <f aca="false">IF(ISBLANK($C454),"",IF(H454=Constants!$B$2,TRUE(),IF(H454=Constants!$B$3,FALSE(),TRUE())))</f>
        <v/>
      </c>
      <c r="AA454" s="87" t="str">
        <f aca="false">IF(ISBLANK($C454),"",IF(I454=Constants!$B$2,TRUE(),IF(I454=Constants!$B$3,FALSE(),TRUE())))</f>
        <v/>
      </c>
      <c r="AB454" s="87" t="str">
        <f aca="false">IF(ISBLANK($C454),"",IF(J454=Constants!$B$4,TRUE(),IF(J454=Constants!$B$5,FALSE(),COUNTA(K454:M454)&gt;0)))</f>
        <v/>
      </c>
      <c r="AC454" s="88" t="str">
        <f aca="false">IF(ISBLANK($C454),"",IF(ISNUMBER(K454),IF(K454&gt;=0,K454,""),""))</f>
        <v/>
      </c>
      <c r="AD454" s="89" t="str">
        <f aca="false">IF(ISBLANK($C454),"",IF(ISNUMBER(L454),IF(L454&gt;=0,L454,""),""))</f>
        <v/>
      </c>
      <c r="AE454" s="87" t="str">
        <f aca="false">IF(ISBLANK($C454),"",IF(ISNUMBER(M454),IF(M454&gt;=0,MIN(M454,Constants!$B$22),""),""))</f>
        <v/>
      </c>
      <c r="AF454" s="87" t="str">
        <f aca="false">IF(ISBLANK($C454),"",IF(N454=Constants!$B$2,TRUE(),IF(N454=Constants!$B$3,FALSE(),TRUE())))</f>
        <v/>
      </c>
      <c r="AG454" s="87" t="str">
        <f aca="false">IF(ISBLANK($C454),"",IF(O454=Constants!$B$2,TRUE(),IF(O454=Constants!$B$3,FALSE(),TRUE())))</f>
        <v/>
      </c>
      <c r="AH454" s="87" t="str">
        <f aca="false">IF(ISBLANK($C454),"",IF(P454=Constants!$B$4,TRUE(),IF(P454=Constants!$B$5,FALSE(),COUNTA(Q454:S454)&gt;0)))</f>
        <v/>
      </c>
      <c r="AI454" s="88" t="str">
        <f aca="false">IF(ISBLANK($C454),"",IF(ISNUMBER(Q454),IF(Q454&gt;=0,Q454,""),""))</f>
        <v/>
      </c>
      <c r="AJ454" s="89" t="str">
        <f aca="false">IF(ISBLANK($C454),"",IF(ISNUMBER(R454),IF(R454&gt;=0,R454,""),""))</f>
        <v/>
      </c>
      <c r="AK454" s="87" t="str">
        <f aca="false">IF(ISBLANK($C454),"",IF(ISNUMBER(S454),IF(S454&gt;=0,MIN(S454,Constants!$B$22),""),""))</f>
        <v/>
      </c>
      <c r="AL454" s="87" t="str">
        <f aca="false">IF(ISBLANK($C454),"",IF(T454=Constants!$B$2,TRUE(),IF(T454=Constants!$B$3,FALSE(),FALSE())))</f>
        <v/>
      </c>
      <c r="AM454" s="86" t="str">
        <f aca="false">IF(ISBLANK($C454),"",AND($AB454,OR($AC454="",$AD454="",AND(NOT(ISBLANK($M454)),$AE454=""))))</f>
        <v/>
      </c>
      <c r="AN454" s="89" t="str">
        <f aca="false">IF($BD454&lt;&gt;Constants!$B$6,"",IF($AB454,Constants!$B$17*$AD454,Constants!$B$18))</f>
        <v/>
      </c>
      <c r="AO454" s="91" t="str">
        <f aca="false">IF($BD454&lt;&gt;Constants!$B$6,"",Constants!$B$19*IF($AB454,$AC454,0))</f>
        <v/>
      </c>
      <c r="AP454" s="91" t="str">
        <f aca="false">IF($BD454&lt;&gt;Constants!$B$6,"",IF(AND($AB454,ISNUMBER($AE454)),Constants!$B$20*(Constants!$B$21-$AE454),0))</f>
        <v/>
      </c>
      <c r="AQ454" s="91" t="str">
        <f aca="false">IF($BD454&lt;&gt;Constants!$B$6,"",IF($AA454,0,Constants!$B$12)+IF($Z454,0,Constants!$B$13)+IF($Y454,0,Constants!$B$14))</f>
        <v/>
      </c>
      <c r="AR454" s="92" t="str">
        <f aca="false">IF($BD454&lt;&gt;Constants!$B$6,"",Constants!$B$16+SUM($AN454:$AQ454))</f>
        <v/>
      </c>
      <c r="AS454" s="91" t="str">
        <f aca="false">IF($BD454&lt;&gt;Constants!$B$6,"",IF($AB454,$AD454,""))</f>
        <v/>
      </c>
      <c r="AT454" s="93" t="str">
        <f aca="false">IF($BD454&lt;&gt;Constants!$B$6,"",$AO454)</f>
        <v/>
      </c>
      <c r="AU454" s="87" t="str">
        <f aca="false">IF($BD454&lt;&gt;Constants!$B$6,"",IF(OR($BA454&lt;$AR454,AND($BA454=$AR454,OR(AND(ISNUMBER($BB454),OR(NOT(ISNUMBER($AS454)),$BB454&lt;$AS454)),AND(OR(AND($BB454="",$AS454=""),AND(ISNUMBER($BB454),ISNUMBER($AS454),$BB454=$AS454)),$BC454&lt;$AT454)))),"-&gt;","&lt;-"))</f>
        <v/>
      </c>
      <c r="AV454" s="86" t="str">
        <f aca="false">IF(ISBLANK($C454),"",AND($AH454,OR($AI454="",$AJ454="",AND(NOT(ISBLANK($S454)),$AK454=""))))</f>
        <v/>
      </c>
      <c r="AW454" s="89" t="str">
        <f aca="false">IF($BD454&lt;&gt;Constants!$B$6,"",IF($AH454,Constants!$B$17*$AJ454,Constants!$B$18))</f>
        <v/>
      </c>
      <c r="AX454" s="91" t="str">
        <f aca="false">IF($BD454&lt;&gt;Constants!$B$6,"",Constants!$B$19*IF($AH454,$AI454,0))</f>
        <v/>
      </c>
      <c r="AY454" s="91" t="str">
        <f aca="false">IF($BD454&lt;&gt;Constants!$B$6,"",IF(AND($AH454,ISNUMBER($AK454)),Constants!$B$20*(Constants!$B$21-$AK454),0))</f>
        <v/>
      </c>
      <c r="AZ454" s="91" t="str">
        <f aca="false">IF($BD454&lt;&gt;Constants!$B$6,"",IF($AG454,0,Constants!$B$12)+IF($AF454,0,Constants!$B$13)+IF($Y454,0,Constants!$B$14))</f>
        <v/>
      </c>
      <c r="BA454" s="92" t="str">
        <f aca="false">IF($BD454&lt;&gt;Constants!$B$6,"",Constants!$B$16+SUM($AW454:$AZ454))</f>
        <v/>
      </c>
      <c r="BB454" s="91" t="str">
        <f aca="false">IF($BD454&lt;&gt;Constants!$B$6,"",IF($AH454,$AJ454,""))</f>
        <v/>
      </c>
      <c r="BC454" s="93" t="str">
        <f aca="false">IF($BD454&lt;&gt;Constants!$B$6,"",$AX454)</f>
        <v/>
      </c>
      <c r="BD454" s="87" t="str">
        <f aca="false">IF(ISBLANK($C454),"",IF($AL454,Constants!$B$9,IF(COUNTA($E454:$T454)=0,Constants!$B$8,IF(NOT($X454),Constants!$B$7,IF(OR($AM454,$AV454),Constants!$B$10,Constants!$B$6)))))</f>
        <v/>
      </c>
      <c r="BE454" s="87" t="str">
        <f aca="false">IF(ISBLANK($C454),"",IF($BD454&lt;&gt;Constants!$B$6,$BD454,Constants!$B$11))</f>
        <v/>
      </c>
      <c r="BF454" s="91" t="str">
        <f aca="false">IF($BD454&lt;&gt;Constants!$B$6,"",IF($AU454="-&gt;",$BA454,$AR454))</f>
        <v/>
      </c>
      <c r="BG454" s="91" t="str">
        <f aca="false">IF($BD454&lt;&gt;Constants!$B$6,"",IF($W454,0,Constants!$B$15))</f>
        <v/>
      </c>
      <c r="BH454" s="91" t="str">
        <f aca="false">IF(ISBLANK($C454),"",IF($BD454&lt;&gt;Constants!$B$6,$BD454,SUM($BF454:$BG454)))</f>
        <v/>
      </c>
      <c r="BI454" s="87" t="str">
        <f aca="false">IF(ISBLANK($C454),"",IF($BD454&lt;&gt;Constants!$B$6,$BD454,RANK($BH454,$BH$9:$BH$508,1)))</f>
        <v/>
      </c>
      <c r="BJ454" s="91" t="str">
        <f aca="false">IF($BD454&lt;&gt;Constants!$B$6,"",IF($AU454="-&gt;",$BB454,$AS454))</f>
        <v/>
      </c>
      <c r="BK454" s="87" t="str">
        <f aca="false">IF(ISBLANK($C454),"",IF($BD454&lt;&gt;Constants!$B$6,$BD454,IF(ISNUMBER($BJ454),RANK($BJ454,$BJ$9:$BJ$508,1),COUNT($BJ$9:$BJ$508)+1)))</f>
        <v/>
      </c>
      <c r="BL454" s="91" t="str">
        <f aca="false">IF($BD454&lt;&gt;Constants!$B$6,"",IF($AU454="-&gt;",$BC454,$AT454))</f>
        <v/>
      </c>
      <c r="BM454" s="87" t="str">
        <f aca="false">IF(ISBLANK($C454),"",IF($BD454&lt;&gt;Constants!$B$6,$BD454,IF(ISNUMBER($BL454),RANK($BL454,$BL$9:$BL$508,1),COUNT($BL$9:$BL$508)+1)))</f>
        <v/>
      </c>
      <c r="BN454" s="91" t="str">
        <f aca="false">IF($BD454&lt;&gt;Constants!$B$6,"",IF($AU454="-&gt;",$AS454,$BB454))</f>
        <v/>
      </c>
      <c r="BO454" s="87" t="str">
        <f aca="false">IF(ISBLANK($C454),"",IF($BD454&lt;&gt;Constants!$B$6,$BD454,IF(ISNUMBER($BN454),RANK($BN454,$BN$9:$BN$508,1),COUNT($BN$9:$BN$508)+1)))</f>
        <v/>
      </c>
      <c r="BP454" s="91" t="str">
        <f aca="false">IF($BD454&lt;&gt;Constants!$B$6,"",IF($AU454="-&gt;",$AT454,$BC454))</f>
        <v/>
      </c>
      <c r="BQ454" s="87" t="str">
        <f aca="false">IF(ISBLANK($C454),"",IF($BD454&lt;&gt;Constants!$B$6,$BD454,IF(ISNUMBER($BP454),RANK($BP454,$BP$9:$BP$508,1),COUNT($BP$9:$BP$508)+1)))</f>
        <v/>
      </c>
      <c r="BR454" s="87" t="str">
        <f aca="false">IF(ISBLANK($C454),"",IF($BD454&lt;&gt;Constants!$B$6,$BD454,COUNTIFS($BI$9:$BI$508,"&lt;"&amp;$BI454)+COUNTIFS($BI$9:$BI$508,$BI454,$BK$9:$BK$508,"&lt;"&amp;$BK454)+COUNTIFS($BI$9:$BI$508,$BI454,$BK$9:$BK$508,$BK454,$BM$9:$BM$508,"&lt;"&amp;$BM454)+COUNTIFS($BI$9:$BI$508,$BI454,$BK$9:$BK$508,$BK454,$BM$9:$BM$508,$BM454,$BO$9:$BO$508,"&lt;"&amp;$BO454)+COUNTIFS($BI$9:$BI$508,$BI454,$BK$9:$BK$508,$BK454,$BM$9:$BM$508,$BM454,$BO$9:$BO$508,$BO454,$BQ$9:$BQ$508,"&lt;"&amp;$BQ454)+1))</f>
        <v/>
      </c>
      <c r="BS454" s="87" t="str">
        <f aca="false">IF(ISBLANK($C454),"",IF($BD454&lt;&gt;Constants!$B$6,$BD454,$BI454-$BR454))</f>
        <v/>
      </c>
      <c r="BT454" s="94"/>
      <c r="BU454" s="95"/>
      <c r="BV454" s="95" t="str">
        <f aca="false">IF(ISBLANK($C454),"",IF($BD454&lt;&gt;Constants!$B$6,"",IF($AU454="-&gt;",2,1)))</f>
        <v/>
      </c>
      <c r="BW454" s="96" t="str">
        <f aca="false">IF(ISBLANK($C454),"",IF($BD454&lt;&gt;Constants!$B$6,"",IF($AU454="-&gt;",$AW454,$AN454)))</f>
        <v/>
      </c>
      <c r="BX454" s="96" t="str">
        <f aca="false">IF(ISBLANK($C454),"",IF($BD454&lt;&gt;Constants!$B$6,"",IF($AU454="-&gt;",$AX454,$AO454)))</f>
        <v/>
      </c>
      <c r="BY454" s="96" t="str">
        <f aca="false">IF(ISBLANK($C454),"",IF($BD454&lt;&gt;Constants!$B$6,"",IF($AU454="-&gt;",$AY454,$AP454)))</f>
        <v/>
      </c>
      <c r="BZ454" s="96" t="str">
        <f aca="false">IF(ISBLANK($C454),"",IF($BD454&lt;&gt;Constants!$B$6,"",IF($AU454="-&gt;",$AZ454,$AQ454)+$BG454))</f>
        <v/>
      </c>
      <c r="CA454" s="97" t="str">
        <f aca="false">IF(ISBLANK($C454),"",IF($BD454&lt;&gt;Constants!$B$6,$BD454,$BH454))</f>
        <v/>
      </c>
      <c r="CB454" s="98" t="str">
        <f aca="false">IF(ISBLANK($C454),"",$BE454)</f>
        <v/>
      </c>
      <c r="CC454" s="99" t="str">
        <f aca="false">IF(ISBLANK($C454),"",$BS454)</f>
        <v/>
      </c>
      <c r="CD454" s="99" t="str">
        <f aca="false">IF(ISBLANK($C454),"",$BR454)</f>
        <v/>
      </c>
      <c r="CE454" s="100" t="str">
        <f aca="false">IF(ISBLANK($C454),"",IF($CD454=Constants!$B$9,COUNTA($C$9:$C$508)+2,IF($CD454=Constants!$B$8,COUNTA($C$9:$C$508)+1,IF($CD454=Constants!$B$7,COUNTA($C$9:$C$508),$CD454))))</f>
        <v/>
      </c>
      <c r="CF454" s="9"/>
      <c r="CG454" s="101" t="n">
        <f aca="false">IF(OR(ISNUMBER($CD454),$CD454=Constants!$B$9,$CD454=Constants!$B$7,$CD454=Constants!$B$8),1,0)</f>
        <v>0</v>
      </c>
      <c r="CH454" s="101" t="n">
        <v>446</v>
      </c>
      <c r="CI454" s="101" t="str">
        <f aca="false">IF(ISBLANK($C454),"",IF(ISNUMBER($CE454),$CE454+ROW($B454)/1000,""))</f>
        <v/>
      </c>
      <c r="CJ454" s="101" t="str">
        <f aca="false">IF(ISNUMBER($CI454),RANK($CI454,$CI$9:$CI$508,1),"")</f>
        <v/>
      </c>
      <c r="CK454" s="101" t="str">
        <f aca="false">IF(ISBLANK($C454),"",$B454)</f>
        <v/>
      </c>
      <c r="CL454" s="101" t="str">
        <f aca="false">IF(ISBLANK($C454),"",$C454)</f>
        <v/>
      </c>
      <c r="CM454" s="101" t="str">
        <f aca="false">IF(ISBLANK($C454),"",$D454)</f>
        <v/>
      </c>
      <c r="CN454" s="102" t="str">
        <f aca="false">$CB454</f>
        <v/>
      </c>
      <c r="CO454" s="103" t="str">
        <f aca="false">$CA454</f>
        <v/>
      </c>
      <c r="CP454" s="101" t="str">
        <f aca="false">IF(ISBLANK($C454),"",$CD454)</f>
        <v/>
      </c>
      <c r="CQ454" s="104" t="str">
        <f aca="false">IF($CH454&gt;$CG$8,"",VLOOKUP($CH454,$CJ$9:$CP$508,7,FALSE()))</f>
        <v/>
      </c>
      <c r="CR454" s="105" t="str">
        <f aca="false">IF($CH454&gt;$CG$8,"",VLOOKUP($CH454,$CJ$9:$CP$508,2,FALSE()))</f>
        <v/>
      </c>
      <c r="CS454" s="105" t="str">
        <f aca="false">IF($CH454&gt;$CG$8,"",VLOOKUP($CH454,$CJ$9:$CP$508,3,FALSE()))</f>
        <v/>
      </c>
      <c r="CT454" s="105" t="str">
        <f aca="false">IF($CH454&gt;$CG$8,"",VLOOKUP($CH454,$CJ$9:$CP$508,4,FALSE()))</f>
        <v/>
      </c>
      <c r="CU454" s="105" t="str">
        <f aca="false">IF($CH454&gt;$CG$8,"",VLOOKUP($CH454,$CJ$9:$CP$508,5,FALSE()))</f>
        <v/>
      </c>
      <c r="CV454" s="106" t="str">
        <f aca="false">IF($CH454&gt;$CG$8,"",VLOOKUP($CH454,$CJ$9:$CP$508,6,FALSE()))</f>
        <v/>
      </c>
      <c r="CW454" s="71"/>
    </row>
    <row r="455" customFormat="false" ht="15.75" hidden="false" customHeight="false" outlineLevel="0" collapsed="false">
      <c r="A455" s="9"/>
      <c r="B455" s="72"/>
      <c r="C455" s="73"/>
      <c r="D455" s="160"/>
      <c r="E455" s="168"/>
      <c r="F455" s="162"/>
      <c r="G455" s="163"/>
      <c r="H455" s="169"/>
      <c r="I455" s="167"/>
      <c r="J455" s="80"/>
      <c r="K455" s="81"/>
      <c r="L455" s="82"/>
      <c r="M455" s="166"/>
      <c r="N455" s="167"/>
      <c r="O455" s="167"/>
      <c r="P455" s="80"/>
      <c r="Q455" s="82"/>
      <c r="R455" s="82"/>
      <c r="S455" s="166"/>
      <c r="T455" s="167"/>
      <c r="U455" s="86"/>
      <c r="V455" s="87"/>
      <c r="W455" s="87" t="str">
        <f aca="false">IF(ISBLANK($C455),"",IF(E455=Constants!$B$2,TRUE(),IF(E455=Constants!$B$3,FALSE(),TRUE())))</f>
        <v/>
      </c>
      <c r="X455" s="87" t="str">
        <f aca="false">IF(ISBLANK($C455),"",IF(F455=Constants!$B$2,TRUE(),IF(F455=Constants!$B$3,FALSE(),TRUE())))</f>
        <v/>
      </c>
      <c r="Y455" s="87" t="str">
        <f aca="false">IF(ISBLANK($C455),"",IF(G455=Constants!$B$2,TRUE(),IF(G455=Constants!$B$3,FALSE(),TRUE())))</f>
        <v/>
      </c>
      <c r="Z455" s="87" t="str">
        <f aca="false">IF(ISBLANK($C455),"",IF(H455=Constants!$B$2,TRUE(),IF(H455=Constants!$B$3,FALSE(),TRUE())))</f>
        <v/>
      </c>
      <c r="AA455" s="87" t="str">
        <f aca="false">IF(ISBLANK($C455),"",IF(I455=Constants!$B$2,TRUE(),IF(I455=Constants!$B$3,FALSE(),TRUE())))</f>
        <v/>
      </c>
      <c r="AB455" s="87" t="str">
        <f aca="false">IF(ISBLANK($C455),"",IF(J455=Constants!$B$4,TRUE(),IF(J455=Constants!$B$5,FALSE(),COUNTA(K455:M455)&gt;0)))</f>
        <v/>
      </c>
      <c r="AC455" s="88" t="str">
        <f aca="false">IF(ISBLANK($C455),"",IF(ISNUMBER(K455),IF(K455&gt;=0,K455,""),""))</f>
        <v/>
      </c>
      <c r="AD455" s="89" t="str">
        <f aca="false">IF(ISBLANK($C455),"",IF(ISNUMBER(L455),IF(L455&gt;=0,L455,""),""))</f>
        <v/>
      </c>
      <c r="AE455" s="87" t="str">
        <f aca="false">IF(ISBLANK($C455),"",IF(ISNUMBER(M455),IF(M455&gt;=0,MIN(M455,Constants!$B$22),""),""))</f>
        <v/>
      </c>
      <c r="AF455" s="87" t="str">
        <f aca="false">IF(ISBLANK($C455),"",IF(N455=Constants!$B$2,TRUE(),IF(N455=Constants!$B$3,FALSE(),TRUE())))</f>
        <v/>
      </c>
      <c r="AG455" s="87" t="str">
        <f aca="false">IF(ISBLANK($C455),"",IF(O455=Constants!$B$2,TRUE(),IF(O455=Constants!$B$3,FALSE(),TRUE())))</f>
        <v/>
      </c>
      <c r="AH455" s="87" t="str">
        <f aca="false">IF(ISBLANK($C455),"",IF(P455=Constants!$B$4,TRUE(),IF(P455=Constants!$B$5,FALSE(),COUNTA(Q455:S455)&gt;0)))</f>
        <v/>
      </c>
      <c r="AI455" s="88" t="str">
        <f aca="false">IF(ISBLANK($C455),"",IF(ISNUMBER(Q455),IF(Q455&gt;=0,Q455,""),""))</f>
        <v/>
      </c>
      <c r="AJ455" s="89" t="str">
        <f aca="false">IF(ISBLANK($C455),"",IF(ISNUMBER(R455),IF(R455&gt;=0,R455,""),""))</f>
        <v/>
      </c>
      <c r="AK455" s="87" t="str">
        <f aca="false">IF(ISBLANK($C455),"",IF(ISNUMBER(S455),IF(S455&gt;=0,MIN(S455,Constants!$B$22),""),""))</f>
        <v/>
      </c>
      <c r="AL455" s="87" t="str">
        <f aca="false">IF(ISBLANK($C455),"",IF(T455=Constants!$B$2,TRUE(),IF(T455=Constants!$B$3,FALSE(),FALSE())))</f>
        <v/>
      </c>
      <c r="AM455" s="86" t="str">
        <f aca="false">IF(ISBLANK($C455),"",AND($AB455,OR($AC455="",$AD455="",AND(NOT(ISBLANK($M455)),$AE455=""))))</f>
        <v/>
      </c>
      <c r="AN455" s="89" t="str">
        <f aca="false">IF($BD455&lt;&gt;Constants!$B$6,"",IF($AB455,Constants!$B$17*$AD455,Constants!$B$18))</f>
        <v/>
      </c>
      <c r="AO455" s="91" t="str">
        <f aca="false">IF($BD455&lt;&gt;Constants!$B$6,"",Constants!$B$19*IF($AB455,$AC455,0))</f>
        <v/>
      </c>
      <c r="AP455" s="91" t="str">
        <f aca="false">IF($BD455&lt;&gt;Constants!$B$6,"",IF(AND($AB455,ISNUMBER($AE455)),Constants!$B$20*(Constants!$B$21-$AE455),0))</f>
        <v/>
      </c>
      <c r="AQ455" s="91" t="str">
        <f aca="false">IF($BD455&lt;&gt;Constants!$B$6,"",IF($AA455,0,Constants!$B$12)+IF($Z455,0,Constants!$B$13)+IF($Y455,0,Constants!$B$14))</f>
        <v/>
      </c>
      <c r="AR455" s="92" t="str">
        <f aca="false">IF($BD455&lt;&gt;Constants!$B$6,"",Constants!$B$16+SUM($AN455:$AQ455))</f>
        <v/>
      </c>
      <c r="AS455" s="91" t="str">
        <f aca="false">IF($BD455&lt;&gt;Constants!$B$6,"",IF($AB455,$AD455,""))</f>
        <v/>
      </c>
      <c r="AT455" s="93" t="str">
        <f aca="false">IF($BD455&lt;&gt;Constants!$B$6,"",$AO455)</f>
        <v/>
      </c>
      <c r="AU455" s="87" t="str">
        <f aca="false">IF($BD455&lt;&gt;Constants!$B$6,"",IF(OR($BA455&lt;$AR455,AND($BA455=$AR455,OR(AND(ISNUMBER($BB455),OR(NOT(ISNUMBER($AS455)),$BB455&lt;$AS455)),AND(OR(AND($BB455="",$AS455=""),AND(ISNUMBER($BB455),ISNUMBER($AS455),$BB455=$AS455)),$BC455&lt;$AT455)))),"-&gt;","&lt;-"))</f>
        <v/>
      </c>
      <c r="AV455" s="86" t="str">
        <f aca="false">IF(ISBLANK($C455),"",AND($AH455,OR($AI455="",$AJ455="",AND(NOT(ISBLANK($S455)),$AK455=""))))</f>
        <v/>
      </c>
      <c r="AW455" s="89" t="str">
        <f aca="false">IF($BD455&lt;&gt;Constants!$B$6,"",IF($AH455,Constants!$B$17*$AJ455,Constants!$B$18))</f>
        <v/>
      </c>
      <c r="AX455" s="91" t="str">
        <f aca="false">IF($BD455&lt;&gt;Constants!$B$6,"",Constants!$B$19*IF($AH455,$AI455,0))</f>
        <v/>
      </c>
      <c r="AY455" s="91" t="str">
        <f aca="false">IF($BD455&lt;&gt;Constants!$B$6,"",IF(AND($AH455,ISNUMBER($AK455)),Constants!$B$20*(Constants!$B$21-$AK455),0))</f>
        <v/>
      </c>
      <c r="AZ455" s="91" t="str">
        <f aca="false">IF($BD455&lt;&gt;Constants!$B$6,"",IF($AG455,0,Constants!$B$12)+IF($AF455,0,Constants!$B$13)+IF($Y455,0,Constants!$B$14))</f>
        <v/>
      </c>
      <c r="BA455" s="92" t="str">
        <f aca="false">IF($BD455&lt;&gt;Constants!$B$6,"",Constants!$B$16+SUM($AW455:$AZ455))</f>
        <v/>
      </c>
      <c r="BB455" s="91" t="str">
        <f aca="false">IF($BD455&lt;&gt;Constants!$B$6,"",IF($AH455,$AJ455,""))</f>
        <v/>
      </c>
      <c r="BC455" s="93" t="str">
        <f aca="false">IF($BD455&lt;&gt;Constants!$B$6,"",$AX455)</f>
        <v/>
      </c>
      <c r="BD455" s="87" t="str">
        <f aca="false">IF(ISBLANK($C455),"",IF($AL455,Constants!$B$9,IF(COUNTA($E455:$T455)=0,Constants!$B$8,IF(NOT($X455),Constants!$B$7,IF(OR($AM455,$AV455),Constants!$B$10,Constants!$B$6)))))</f>
        <v/>
      </c>
      <c r="BE455" s="87" t="str">
        <f aca="false">IF(ISBLANK($C455),"",IF($BD455&lt;&gt;Constants!$B$6,$BD455,Constants!$B$11))</f>
        <v/>
      </c>
      <c r="BF455" s="91" t="str">
        <f aca="false">IF($BD455&lt;&gt;Constants!$B$6,"",IF($AU455="-&gt;",$BA455,$AR455))</f>
        <v/>
      </c>
      <c r="BG455" s="91" t="str">
        <f aca="false">IF($BD455&lt;&gt;Constants!$B$6,"",IF($W455,0,Constants!$B$15))</f>
        <v/>
      </c>
      <c r="BH455" s="91" t="str">
        <f aca="false">IF(ISBLANK($C455),"",IF($BD455&lt;&gt;Constants!$B$6,$BD455,SUM($BF455:$BG455)))</f>
        <v/>
      </c>
      <c r="BI455" s="87" t="str">
        <f aca="false">IF(ISBLANK($C455),"",IF($BD455&lt;&gt;Constants!$B$6,$BD455,RANK($BH455,$BH$9:$BH$508,1)))</f>
        <v/>
      </c>
      <c r="BJ455" s="91" t="str">
        <f aca="false">IF($BD455&lt;&gt;Constants!$B$6,"",IF($AU455="-&gt;",$BB455,$AS455))</f>
        <v/>
      </c>
      <c r="BK455" s="87" t="str">
        <f aca="false">IF(ISBLANK($C455),"",IF($BD455&lt;&gt;Constants!$B$6,$BD455,IF(ISNUMBER($BJ455),RANK($BJ455,$BJ$9:$BJ$508,1),COUNT($BJ$9:$BJ$508)+1)))</f>
        <v/>
      </c>
      <c r="BL455" s="91" t="str">
        <f aca="false">IF($BD455&lt;&gt;Constants!$B$6,"",IF($AU455="-&gt;",$BC455,$AT455))</f>
        <v/>
      </c>
      <c r="BM455" s="87" t="str">
        <f aca="false">IF(ISBLANK($C455),"",IF($BD455&lt;&gt;Constants!$B$6,$BD455,IF(ISNUMBER($BL455),RANK($BL455,$BL$9:$BL$508,1),COUNT($BL$9:$BL$508)+1)))</f>
        <v/>
      </c>
      <c r="BN455" s="91" t="str">
        <f aca="false">IF($BD455&lt;&gt;Constants!$B$6,"",IF($AU455="-&gt;",$AS455,$BB455))</f>
        <v/>
      </c>
      <c r="BO455" s="87" t="str">
        <f aca="false">IF(ISBLANK($C455),"",IF($BD455&lt;&gt;Constants!$B$6,$BD455,IF(ISNUMBER($BN455),RANK($BN455,$BN$9:$BN$508,1),COUNT($BN$9:$BN$508)+1)))</f>
        <v/>
      </c>
      <c r="BP455" s="91" t="str">
        <f aca="false">IF($BD455&lt;&gt;Constants!$B$6,"",IF($AU455="-&gt;",$AT455,$BC455))</f>
        <v/>
      </c>
      <c r="BQ455" s="87" t="str">
        <f aca="false">IF(ISBLANK($C455),"",IF($BD455&lt;&gt;Constants!$B$6,$BD455,IF(ISNUMBER($BP455),RANK($BP455,$BP$9:$BP$508,1),COUNT($BP$9:$BP$508)+1)))</f>
        <v/>
      </c>
      <c r="BR455" s="87" t="str">
        <f aca="false">IF(ISBLANK($C455),"",IF($BD455&lt;&gt;Constants!$B$6,$BD455,COUNTIFS($BI$9:$BI$508,"&lt;"&amp;$BI455)+COUNTIFS($BI$9:$BI$508,$BI455,$BK$9:$BK$508,"&lt;"&amp;$BK455)+COUNTIFS($BI$9:$BI$508,$BI455,$BK$9:$BK$508,$BK455,$BM$9:$BM$508,"&lt;"&amp;$BM455)+COUNTIFS($BI$9:$BI$508,$BI455,$BK$9:$BK$508,$BK455,$BM$9:$BM$508,$BM455,$BO$9:$BO$508,"&lt;"&amp;$BO455)+COUNTIFS($BI$9:$BI$508,$BI455,$BK$9:$BK$508,$BK455,$BM$9:$BM$508,$BM455,$BO$9:$BO$508,$BO455,$BQ$9:$BQ$508,"&lt;"&amp;$BQ455)+1))</f>
        <v/>
      </c>
      <c r="BS455" s="87" t="str">
        <f aca="false">IF(ISBLANK($C455),"",IF($BD455&lt;&gt;Constants!$B$6,$BD455,$BI455-$BR455))</f>
        <v/>
      </c>
      <c r="BT455" s="94"/>
      <c r="BU455" s="95"/>
      <c r="BV455" s="95" t="str">
        <f aca="false">IF(ISBLANK($C455),"",IF($BD455&lt;&gt;Constants!$B$6,"",IF($AU455="-&gt;",2,1)))</f>
        <v/>
      </c>
      <c r="BW455" s="96" t="str">
        <f aca="false">IF(ISBLANK($C455),"",IF($BD455&lt;&gt;Constants!$B$6,"",IF($AU455="-&gt;",$AW455,$AN455)))</f>
        <v/>
      </c>
      <c r="BX455" s="96" t="str">
        <f aca="false">IF(ISBLANK($C455),"",IF($BD455&lt;&gt;Constants!$B$6,"",IF($AU455="-&gt;",$AX455,$AO455)))</f>
        <v/>
      </c>
      <c r="BY455" s="96" t="str">
        <f aca="false">IF(ISBLANK($C455),"",IF($BD455&lt;&gt;Constants!$B$6,"",IF($AU455="-&gt;",$AY455,$AP455)))</f>
        <v/>
      </c>
      <c r="BZ455" s="96" t="str">
        <f aca="false">IF(ISBLANK($C455),"",IF($BD455&lt;&gt;Constants!$B$6,"",IF($AU455="-&gt;",$AZ455,$AQ455)+$BG455))</f>
        <v/>
      </c>
      <c r="CA455" s="97" t="str">
        <f aca="false">IF(ISBLANK($C455),"",IF($BD455&lt;&gt;Constants!$B$6,$BD455,$BH455))</f>
        <v/>
      </c>
      <c r="CB455" s="98" t="str">
        <f aca="false">IF(ISBLANK($C455),"",$BE455)</f>
        <v/>
      </c>
      <c r="CC455" s="99" t="str">
        <f aca="false">IF(ISBLANK($C455),"",$BS455)</f>
        <v/>
      </c>
      <c r="CD455" s="99" t="str">
        <f aca="false">IF(ISBLANK($C455),"",$BR455)</f>
        <v/>
      </c>
      <c r="CE455" s="100" t="str">
        <f aca="false">IF(ISBLANK($C455),"",IF($CD455=Constants!$B$9,COUNTA($C$9:$C$508)+2,IF($CD455=Constants!$B$8,COUNTA($C$9:$C$508)+1,IF($CD455=Constants!$B$7,COUNTA($C$9:$C$508),$CD455))))</f>
        <v/>
      </c>
      <c r="CF455" s="9"/>
      <c r="CG455" s="101" t="n">
        <f aca="false">IF(OR(ISNUMBER($CD455),$CD455=Constants!$B$9,$CD455=Constants!$B$7,$CD455=Constants!$B$8),1,0)</f>
        <v>0</v>
      </c>
      <c r="CH455" s="101" t="n">
        <v>447</v>
      </c>
      <c r="CI455" s="101" t="str">
        <f aca="false">IF(ISBLANK($C455),"",IF(ISNUMBER($CE455),$CE455+ROW($B455)/1000,""))</f>
        <v/>
      </c>
      <c r="CJ455" s="101" t="str">
        <f aca="false">IF(ISNUMBER($CI455),RANK($CI455,$CI$9:$CI$508,1),"")</f>
        <v/>
      </c>
      <c r="CK455" s="101" t="str">
        <f aca="false">IF(ISBLANK($C455),"",$B455)</f>
        <v/>
      </c>
      <c r="CL455" s="101" t="str">
        <f aca="false">IF(ISBLANK($C455),"",$C455)</f>
        <v/>
      </c>
      <c r="CM455" s="101" t="str">
        <f aca="false">IF(ISBLANK($C455),"",$D455)</f>
        <v/>
      </c>
      <c r="CN455" s="102" t="str">
        <f aca="false">$CB455</f>
        <v/>
      </c>
      <c r="CO455" s="103" t="str">
        <f aca="false">$CA455</f>
        <v/>
      </c>
      <c r="CP455" s="101" t="str">
        <f aca="false">IF(ISBLANK($C455),"",$CD455)</f>
        <v/>
      </c>
      <c r="CQ455" s="104" t="str">
        <f aca="false">IF($CH455&gt;$CG$8,"",VLOOKUP($CH455,$CJ$9:$CP$508,7,FALSE()))</f>
        <v/>
      </c>
      <c r="CR455" s="105" t="str">
        <f aca="false">IF($CH455&gt;$CG$8,"",VLOOKUP($CH455,$CJ$9:$CP$508,2,FALSE()))</f>
        <v/>
      </c>
      <c r="CS455" s="105" t="str">
        <f aca="false">IF($CH455&gt;$CG$8,"",VLOOKUP($CH455,$CJ$9:$CP$508,3,FALSE()))</f>
        <v/>
      </c>
      <c r="CT455" s="105" t="str">
        <f aca="false">IF($CH455&gt;$CG$8,"",VLOOKUP($CH455,$CJ$9:$CP$508,4,FALSE()))</f>
        <v/>
      </c>
      <c r="CU455" s="105" t="str">
        <f aca="false">IF($CH455&gt;$CG$8,"",VLOOKUP($CH455,$CJ$9:$CP$508,5,FALSE()))</f>
        <v/>
      </c>
      <c r="CV455" s="106" t="str">
        <f aca="false">IF($CH455&gt;$CG$8,"",VLOOKUP($CH455,$CJ$9:$CP$508,6,FALSE()))</f>
        <v/>
      </c>
      <c r="CW455" s="71"/>
    </row>
    <row r="456" customFormat="false" ht="15.75" hidden="false" customHeight="false" outlineLevel="0" collapsed="false">
      <c r="A456" s="9"/>
      <c r="B456" s="150"/>
      <c r="C456" s="151"/>
      <c r="D456" s="152"/>
      <c r="E456" s="170"/>
      <c r="F456" s="154"/>
      <c r="G456" s="155"/>
      <c r="H456" s="171"/>
      <c r="I456" s="159"/>
      <c r="J456" s="120"/>
      <c r="K456" s="121"/>
      <c r="L456" s="122"/>
      <c r="M456" s="158"/>
      <c r="N456" s="159"/>
      <c r="O456" s="159"/>
      <c r="P456" s="120"/>
      <c r="Q456" s="122"/>
      <c r="R456" s="122"/>
      <c r="S456" s="158"/>
      <c r="T456" s="159"/>
      <c r="U456" s="126"/>
      <c r="V456" s="127"/>
      <c r="W456" s="127" t="str">
        <f aca="false">IF(ISBLANK($C456),"",IF(E456=Constants!$B$2,TRUE(),IF(E456=Constants!$B$3,FALSE(),TRUE())))</f>
        <v/>
      </c>
      <c r="X456" s="127" t="str">
        <f aca="false">IF(ISBLANK($C456),"",IF(F456=Constants!$B$2,TRUE(),IF(F456=Constants!$B$3,FALSE(),TRUE())))</f>
        <v/>
      </c>
      <c r="Y456" s="127" t="str">
        <f aca="false">IF(ISBLANK($C456),"",IF(G456=Constants!$B$2,TRUE(),IF(G456=Constants!$B$3,FALSE(),TRUE())))</f>
        <v/>
      </c>
      <c r="Z456" s="127" t="str">
        <f aca="false">IF(ISBLANK($C456),"",IF(H456=Constants!$B$2,TRUE(),IF(H456=Constants!$B$3,FALSE(),TRUE())))</f>
        <v/>
      </c>
      <c r="AA456" s="127" t="str">
        <f aca="false">IF(ISBLANK($C456),"",IF(I456=Constants!$B$2,TRUE(),IF(I456=Constants!$B$3,FALSE(),TRUE())))</f>
        <v/>
      </c>
      <c r="AB456" s="127" t="str">
        <f aca="false">IF(ISBLANK($C456),"",IF(J456=Constants!$B$4,TRUE(),IF(J456=Constants!$B$5,FALSE(),COUNTA(K456:M456)&gt;0)))</f>
        <v/>
      </c>
      <c r="AC456" s="128" t="str">
        <f aca="false">IF(ISBLANK($C456),"",IF(ISNUMBER(K456),IF(K456&gt;=0,K456,""),""))</f>
        <v/>
      </c>
      <c r="AD456" s="129" t="str">
        <f aca="false">IF(ISBLANK($C456),"",IF(ISNUMBER(L456),IF(L456&gt;=0,L456,""),""))</f>
        <v/>
      </c>
      <c r="AE456" s="127" t="str">
        <f aca="false">IF(ISBLANK($C456),"",IF(ISNUMBER(M456),IF(M456&gt;=0,MIN(M456,Constants!$B$22),""),""))</f>
        <v/>
      </c>
      <c r="AF456" s="127" t="str">
        <f aca="false">IF(ISBLANK($C456),"",IF(N456=Constants!$B$2,TRUE(),IF(N456=Constants!$B$3,FALSE(),TRUE())))</f>
        <v/>
      </c>
      <c r="AG456" s="127" t="str">
        <f aca="false">IF(ISBLANK($C456),"",IF(O456=Constants!$B$2,TRUE(),IF(O456=Constants!$B$3,FALSE(),TRUE())))</f>
        <v/>
      </c>
      <c r="AH456" s="127" t="str">
        <f aca="false">IF(ISBLANK($C456),"",IF(P456=Constants!$B$4,TRUE(),IF(P456=Constants!$B$5,FALSE(),COUNTA(Q456:S456)&gt;0)))</f>
        <v/>
      </c>
      <c r="AI456" s="128" t="str">
        <f aca="false">IF(ISBLANK($C456),"",IF(ISNUMBER(Q456),IF(Q456&gt;=0,Q456,""),""))</f>
        <v/>
      </c>
      <c r="AJ456" s="129" t="str">
        <f aca="false">IF(ISBLANK($C456),"",IF(ISNUMBER(R456),IF(R456&gt;=0,R456,""),""))</f>
        <v/>
      </c>
      <c r="AK456" s="127" t="str">
        <f aca="false">IF(ISBLANK($C456),"",IF(ISNUMBER(S456),IF(S456&gt;=0,MIN(S456,Constants!$B$22),""),""))</f>
        <v/>
      </c>
      <c r="AL456" s="127" t="str">
        <f aca="false">IF(ISBLANK($C456),"",IF(T456=Constants!$B$2,TRUE(),IF(T456=Constants!$B$3,FALSE(),FALSE())))</f>
        <v/>
      </c>
      <c r="AM456" s="126" t="str">
        <f aca="false">IF(ISBLANK($C456),"",AND($AB456,OR($AC456="",$AD456="",AND(NOT(ISBLANK($M456)),$AE456=""))))</f>
        <v/>
      </c>
      <c r="AN456" s="129" t="str">
        <f aca="false">IF($BD456&lt;&gt;Constants!$B$6,"",IF($AB456,Constants!$B$17*$AD456,Constants!$B$18))</f>
        <v/>
      </c>
      <c r="AO456" s="130" t="str">
        <f aca="false">IF($BD456&lt;&gt;Constants!$B$6,"",Constants!$B$19*IF($AB456,$AC456,0))</f>
        <v/>
      </c>
      <c r="AP456" s="130" t="str">
        <f aca="false">IF($BD456&lt;&gt;Constants!$B$6,"",IF(AND($AB456,ISNUMBER($AE456)),Constants!$B$20*(Constants!$B$21-$AE456),0))</f>
        <v/>
      </c>
      <c r="AQ456" s="130" t="str">
        <f aca="false">IF($BD456&lt;&gt;Constants!$B$6,"",IF($AA456,0,Constants!$B$12)+IF($Z456,0,Constants!$B$13)+IF($Y456,0,Constants!$B$14))</f>
        <v/>
      </c>
      <c r="AR456" s="131" t="str">
        <f aca="false">IF($BD456&lt;&gt;Constants!$B$6,"",Constants!$B$16+SUM($AN456:$AQ456))</f>
        <v/>
      </c>
      <c r="AS456" s="130" t="str">
        <f aca="false">IF($BD456&lt;&gt;Constants!$B$6,"",IF($AB456,$AD456,""))</f>
        <v/>
      </c>
      <c r="AT456" s="132" t="str">
        <f aca="false">IF($BD456&lt;&gt;Constants!$B$6,"",$AO456)</f>
        <v/>
      </c>
      <c r="AU456" s="127" t="str">
        <f aca="false">IF($BD456&lt;&gt;Constants!$B$6,"",IF(OR($BA456&lt;$AR456,AND($BA456=$AR456,OR(AND(ISNUMBER($BB456),OR(NOT(ISNUMBER($AS456)),$BB456&lt;$AS456)),AND(OR(AND($BB456="",$AS456=""),AND(ISNUMBER($BB456),ISNUMBER($AS456),$BB456=$AS456)),$BC456&lt;$AT456)))),"-&gt;","&lt;-"))</f>
        <v/>
      </c>
      <c r="AV456" s="126" t="str">
        <f aca="false">IF(ISBLANK($C456),"",AND($AH456,OR($AI456="",$AJ456="",AND(NOT(ISBLANK($S456)),$AK456=""))))</f>
        <v/>
      </c>
      <c r="AW456" s="129" t="str">
        <f aca="false">IF($BD456&lt;&gt;Constants!$B$6,"",IF($AH456,Constants!$B$17*$AJ456,Constants!$B$18))</f>
        <v/>
      </c>
      <c r="AX456" s="130" t="str">
        <f aca="false">IF($BD456&lt;&gt;Constants!$B$6,"",Constants!$B$19*IF($AH456,$AI456,0))</f>
        <v/>
      </c>
      <c r="AY456" s="130" t="str">
        <f aca="false">IF($BD456&lt;&gt;Constants!$B$6,"",IF(AND($AH456,ISNUMBER($AK456)),Constants!$B$20*(Constants!$B$21-$AK456),0))</f>
        <v/>
      </c>
      <c r="AZ456" s="130" t="str">
        <f aca="false">IF($BD456&lt;&gt;Constants!$B$6,"",IF($AG456,0,Constants!$B$12)+IF($AF456,0,Constants!$B$13)+IF($Y456,0,Constants!$B$14))</f>
        <v/>
      </c>
      <c r="BA456" s="131" t="str">
        <f aca="false">IF($BD456&lt;&gt;Constants!$B$6,"",Constants!$B$16+SUM($AW456:$AZ456))</f>
        <v/>
      </c>
      <c r="BB456" s="130" t="str">
        <f aca="false">IF($BD456&lt;&gt;Constants!$B$6,"",IF($AH456,$AJ456,""))</f>
        <v/>
      </c>
      <c r="BC456" s="132" t="str">
        <f aca="false">IF($BD456&lt;&gt;Constants!$B$6,"",$AX456)</f>
        <v/>
      </c>
      <c r="BD456" s="127" t="str">
        <f aca="false">IF(ISBLANK($C456),"",IF($AL456,Constants!$B$9,IF(COUNTA($E456:$T456)=0,Constants!$B$8,IF(NOT($X456),Constants!$B$7,IF(OR($AM456,$AV456),Constants!$B$10,Constants!$B$6)))))</f>
        <v/>
      </c>
      <c r="BE456" s="127" t="str">
        <f aca="false">IF(ISBLANK($C456),"",IF($BD456&lt;&gt;Constants!$B$6,$BD456,Constants!$B$11))</f>
        <v/>
      </c>
      <c r="BF456" s="130" t="str">
        <f aca="false">IF($BD456&lt;&gt;Constants!$B$6,"",IF($AU456="-&gt;",$BA456,$AR456))</f>
        <v/>
      </c>
      <c r="BG456" s="130" t="str">
        <f aca="false">IF($BD456&lt;&gt;Constants!$B$6,"",IF($W456,0,Constants!$B$15))</f>
        <v/>
      </c>
      <c r="BH456" s="130" t="str">
        <f aca="false">IF(ISBLANK($C456),"",IF($BD456&lt;&gt;Constants!$B$6,$BD456,SUM($BF456:$BG456)))</f>
        <v/>
      </c>
      <c r="BI456" s="127" t="str">
        <f aca="false">IF(ISBLANK($C456),"",IF($BD456&lt;&gt;Constants!$B$6,$BD456,RANK($BH456,$BH$9:$BH$508,1)))</f>
        <v/>
      </c>
      <c r="BJ456" s="130" t="str">
        <f aca="false">IF($BD456&lt;&gt;Constants!$B$6,"",IF($AU456="-&gt;",$BB456,$AS456))</f>
        <v/>
      </c>
      <c r="BK456" s="127" t="str">
        <f aca="false">IF(ISBLANK($C456),"",IF($BD456&lt;&gt;Constants!$B$6,$BD456,IF(ISNUMBER($BJ456),RANK($BJ456,$BJ$9:$BJ$508,1),COUNT($BJ$9:$BJ$508)+1)))</f>
        <v/>
      </c>
      <c r="BL456" s="130" t="str">
        <f aca="false">IF($BD456&lt;&gt;Constants!$B$6,"",IF($AU456="-&gt;",$BC456,$AT456))</f>
        <v/>
      </c>
      <c r="BM456" s="127" t="str">
        <f aca="false">IF(ISBLANK($C456),"",IF($BD456&lt;&gt;Constants!$B$6,$BD456,IF(ISNUMBER($BL456),RANK($BL456,$BL$9:$BL$508,1),COUNT($BL$9:$BL$508)+1)))</f>
        <v/>
      </c>
      <c r="BN456" s="130" t="str">
        <f aca="false">IF($BD456&lt;&gt;Constants!$B$6,"",IF($AU456="-&gt;",$AS456,$BB456))</f>
        <v/>
      </c>
      <c r="BO456" s="127" t="str">
        <f aca="false">IF(ISBLANK($C456),"",IF($BD456&lt;&gt;Constants!$B$6,$BD456,IF(ISNUMBER($BN456),RANK($BN456,$BN$9:$BN$508,1),COUNT($BN$9:$BN$508)+1)))</f>
        <v/>
      </c>
      <c r="BP456" s="130" t="str">
        <f aca="false">IF($BD456&lt;&gt;Constants!$B$6,"",IF($AU456="-&gt;",$AT456,$BC456))</f>
        <v/>
      </c>
      <c r="BQ456" s="127" t="str">
        <f aca="false">IF(ISBLANK($C456),"",IF($BD456&lt;&gt;Constants!$B$6,$BD456,IF(ISNUMBER($BP456),RANK($BP456,$BP$9:$BP$508,1),COUNT($BP$9:$BP$508)+1)))</f>
        <v/>
      </c>
      <c r="BR456" s="127" t="str">
        <f aca="false">IF(ISBLANK($C456),"",IF($BD456&lt;&gt;Constants!$B$6,$BD456,COUNTIFS($BI$9:$BI$508,"&lt;"&amp;$BI456)+COUNTIFS($BI$9:$BI$508,$BI456,$BK$9:$BK$508,"&lt;"&amp;$BK456)+COUNTIFS($BI$9:$BI$508,$BI456,$BK$9:$BK$508,$BK456,$BM$9:$BM$508,"&lt;"&amp;$BM456)+COUNTIFS($BI$9:$BI$508,$BI456,$BK$9:$BK$508,$BK456,$BM$9:$BM$508,$BM456,$BO$9:$BO$508,"&lt;"&amp;$BO456)+COUNTIFS($BI$9:$BI$508,$BI456,$BK$9:$BK$508,$BK456,$BM$9:$BM$508,$BM456,$BO$9:$BO$508,$BO456,$BQ$9:$BQ$508,"&lt;"&amp;$BQ456)+1))</f>
        <v/>
      </c>
      <c r="BS456" s="127" t="str">
        <f aca="false">IF(ISBLANK($C456),"",IF($BD456&lt;&gt;Constants!$B$6,$BD456,$BI456-$BR456))</f>
        <v/>
      </c>
      <c r="BT456" s="133"/>
      <c r="BU456" s="134"/>
      <c r="BV456" s="134" t="str">
        <f aca="false">IF(ISBLANK($C456),"",IF($BD456&lt;&gt;Constants!$B$6,"",IF($AU456="-&gt;",2,1)))</f>
        <v/>
      </c>
      <c r="BW456" s="135" t="str">
        <f aca="false">IF(ISBLANK($C456),"",IF($BD456&lt;&gt;Constants!$B$6,"",IF($AU456="-&gt;",$AW456,$AN456)))</f>
        <v/>
      </c>
      <c r="BX456" s="135" t="str">
        <f aca="false">IF(ISBLANK($C456),"",IF($BD456&lt;&gt;Constants!$B$6,"",IF($AU456="-&gt;",$AX456,$AO456)))</f>
        <v/>
      </c>
      <c r="BY456" s="135" t="str">
        <f aca="false">IF(ISBLANK($C456),"",IF($BD456&lt;&gt;Constants!$B$6,"",IF($AU456="-&gt;",$AY456,$AP456)))</f>
        <v/>
      </c>
      <c r="BZ456" s="135" t="str">
        <f aca="false">IF(ISBLANK($C456),"",IF($BD456&lt;&gt;Constants!$B$6,"",IF($AU456="-&gt;",$AZ456,$AQ456)+$BG456))</f>
        <v/>
      </c>
      <c r="CA456" s="136" t="str">
        <f aca="false">IF(ISBLANK($C456),"",IF($BD456&lt;&gt;Constants!$B$6,$BD456,$BH456))</f>
        <v/>
      </c>
      <c r="CB456" s="137" t="str">
        <f aca="false">IF(ISBLANK($C456),"",$BE456)</f>
        <v/>
      </c>
      <c r="CC456" s="138" t="str">
        <f aca="false">IF(ISBLANK($C456),"",$BS456)</f>
        <v/>
      </c>
      <c r="CD456" s="138" t="str">
        <f aca="false">IF(ISBLANK($C456),"",$BR456)</f>
        <v/>
      </c>
      <c r="CE456" s="139" t="str">
        <f aca="false">IF(ISBLANK($C456),"",IF($CD456=Constants!$B$9,COUNTA($C$9:$C$508)+2,IF($CD456=Constants!$B$8,COUNTA($C$9:$C$508)+1,IF($CD456=Constants!$B$7,COUNTA($C$9:$C$508),$CD456))))</f>
        <v/>
      </c>
      <c r="CF456" s="9"/>
      <c r="CG456" s="140" t="n">
        <f aca="false">IF(OR(ISNUMBER($CD456),$CD456=Constants!$B$9,$CD456=Constants!$B$7,$CD456=Constants!$B$8),1,0)</f>
        <v>0</v>
      </c>
      <c r="CH456" s="140" t="n">
        <v>448</v>
      </c>
      <c r="CI456" s="140" t="str">
        <f aca="false">IF(ISBLANK($C456),"",IF(ISNUMBER($CE456),$CE456+ROW($B456)/1000,""))</f>
        <v/>
      </c>
      <c r="CJ456" s="140" t="str">
        <f aca="false">IF(ISNUMBER($CI456),RANK($CI456,$CI$9:$CI$508,1),"")</f>
        <v/>
      </c>
      <c r="CK456" s="140" t="str">
        <f aca="false">IF(ISBLANK($C456),"",$B456)</f>
        <v/>
      </c>
      <c r="CL456" s="140" t="str">
        <f aca="false">IF(ISBLANK($C456),"",$C456)</f>
        <v/>
      </c>
      <c r="CM456" s="140" t="str">
        <f aca="false">IF(ISBLANK($C456),"",$D456)</f>
        <v/>
      </c>
      <c r="CN456" s="141" t="str">
        <f aca="false">$CB456</f>
        <v/>
      </c>
      <c r="CO456" s="142" t="str">
        <f aca="false">$CA456</f>
        <v/>
      </c>
      <c r="CP456" s="140" t="str">
        <f aca="false">IF(ISBLANK($C456),"",$CD456)</f>
        <v/>
      </c>
      <c r="CQ456" s="143" t="str">
        <f aca="false">IF($CH456&gt;$CG$8,"",VLOOKUP($CH456,$CJ$9:$CP$508,7,FALSE()))</f>
        <v/>
      </c>
      <c r="CR456" s="144" t="str">
        <f aca="false">IF($CH456&gt;$CG$8,"",VLOOKUP($CH456,$CJ$9:$CP$508,2,FALSE()))</f>
        <v/>
      </c>
      <c r="CS456" s="144" t="str">
        <f aca="false">IF($CH456&gt;$CG$8,"",VLOOKUP($CH456,$CJ$9:$CP$508,3,FALSE()))</f>
        <v/>
      </c>
      <c r="CT456" s="144" t="str">
        <f aca="false">IF($CH456&gt;$CG$8,"",VLOOKUP($CH456,$CJ$9:$CP$508,4,FALSE()))</f>
        <v/>
      </c>
      <c r="CU456" s="144" t="str">
        <f aca="false">IF($CH456&gt;$CG$8,"",VLOOKUP($CH456,$CJ$9:$CP$508,5,FALSE()))</f>
        <v/>
      </c>
      <c r="CV456" s="145" t="str">
        <f aca="false">IF($CH456&gt;$CG$8,"",VLOOKUP($CH456,$CJ$9:$CP$508,6,FALSE()))</f>
        <v/>
      </c>
      <c r="CW456" s="71"/>
    </row>
    <row r="457" customFormat="false" ht="15.75" hidden="false" customHeight="false" outlineLevel="0" collapsed="false">
      <c r="A457" s="9"/>
      <c r="B457" s="150"/>
      <c r="C457" s="151"/>
      <c r="D457" s="152"/>
      <c r="E457" s="170"/>
      <c r="F457" s="154"/>
      <c r="G457" s="155"/>
      <c r="H457" s="171"/>
      <c r="I457" s="159"/>
      <c r="J457" s="120"/>
      <c r="K457" s="121"/>
      <c r="L457" s="122"/>
      <c r="M457" s="158"/>
      <c r="N457" s="159"/>
      <c r="O457" s="159"/>
      <c r="P457" s="120"/>
      <c r="Q457" s="122"/>
      <c r="R457" s="122"/>
      <c r="S457" s="158"/>
      <c r="T457" s="159"/>
      <c r="U457" s="126"/>
      <c r="V457" s="127"/>
      <c r="W457" s="127" t="str">
        <f aca="false">IF(ISBLANK($C457),"",IF(E457=Constants!$B$2,TRUE(),IF(E457=Constants!$B$3,FALSE(),TRUE())))</f>
        <v/>
      </c>
      <c r="X457" s="127" t="str">
        <f aca="false">IF(ISBLANK($C457),"",IF(F457=Constants!$B$2,TRUE(),IF(F457=Constants!$B$3,FALSE(),TRUE())))</f>
        <v/>
      </c>
      <c r="Y457" s="127" t="str">
        <f aca="false">IF(ISBLANK($C457),"",IF(G457=Constants!$B$2,TRUE(),IF(G457=Constants!$B$3,FALSE(),TRUE())))</f>
        <v/>
      </c>
      <c r="Z457" s="127" t="str">
        <f aca="false">IF(ISBLANK($C457),"",IF(H457=Constants!$B$2,TRUE(),IF(H457=Constants!$B$3,FALSE(),TRUE())))</f>
        <v/>
      </c>
      <c r="AA457" s="127" t="str">
        <f aca="false">IF(ISBLANK($C457),"",IF(I457=Constants!$B$2,TRUE(),IF(I457=Constants!$B$3,FALSE(),TRUE())))</f>
        <v/>
      </c>
      <c r="AB457" s="127" t="str">
        <f aca="false">IF(ISBLANK($C457),"",IF(J457=Constants!$B$4,TRUE(),IF(J457=Constants!$B$5,FALSE(),COUNTA(K457:M457)&gt;0)))</f>
        <v/>
      </c>
      <c r="AC457" s="128" t="str">
        <f aca="false">IF(ISBLANK($C457),"",IF(ISNUMBER(K457),IF(K457&gt;=0,K457,""),""))</f>
        <v/>
      </c>
      <c r="AD457" s="129" t="str">
        <f aca="false">IF(ISBLANK($C457),"",IF(ISNUMBER(L457),IF(L457&gt;=0,L457,""),""))</f>
        <v/>
      </c>
      <c r="AE457" s="127" t="str">
        <f aca="false">IF(ISBLANK($C457),"",IF(ISNUMBER(M457),IF(M457&gt;=0,MIN(M457,Constants!$B$22),""),""))</f>
        <v/>
      </c>
      <c r="AF457" s="127" t="str">
        <f aca="false">IF(ISBLANK($C457),"",IF(N457=Constants!$B$2,TRUE(),IF(N457=Constants!$B$3,FALSE(),TRUE())))</f>
        <v/>
      </c>
      <c r="AG457" s="127" t="str">
        <f aca="false">IF(ISBLANK($C457),"",IF(O457=Constants!$B$2,TRUE(),IF(O457=Constants!$B$3,FALSE(),TRUE())))</f>
        <v/>
      </c>
      <c r="AH457" s="127" t="str">
        <f aca="false">IF(ISBLANK($C457),"",IF(P457=Constants!$B$4,TRUE(),IF(P457=Constants!$B$5,FALSE(),COUNTA(Q457:S457)&gt;0)))</f>
        <v/>
      </c>
      <c r="AI457" s="128" t="str">
        <f aca="false">IF(ISBLANK($C457),"",IF(ISNUMBER(Q457),IF(Q457&gt;=0,Q457,""),""))</f>
        <v/>
      </c>
      <c r="AJ457" s="129" t="str">
        <f aca="false">IF(ISBLANK($C457),"",IF(ISNUMBER(R457),IF(R457&gt;=0,R457,""),""))</f>
        <v/>
      </c>
      <c r="AK457" s="127" t="str">
        <f aca="false">IF(ISBLANK($C457),"",IF(ISNUMBER(S457),IF(S457&gt;=0,MIN(S457,Constants!$B$22),""),""))</f>
        <v/>
      </c>
      <c r="AL457" s="127" t="str">
        <f aca="false">IF(ISBLANK($C457),"",IF(T457=Constants!$B$2,TRUE(),IF(T457=Constants!$B$3,FALSE(),FALSE())))</f>
        <v/>
      </c>
      <c r="AM457" s="126" t="str">
        <f aca="false">IF(ISBLANK($C457),"",AND($AB457,OR($AC457="",$AD457="",AND(NOT(ISBLANK($M457)),$AE457=""))))</f>
        <v/>
      </c>
      <c r="AN457" s="129" t="str">
        <f aca="false">IF($BD457&lt;&gt;Constants!$B$6,"",IF($AB457,Constants!$B$17*$AD457,Constants!$B$18))</f>
        <v/>
      </c>
      <c r="AO457" s="130" t="str">
        <f aca="false">IF($BD457&lt;&gt;Constants!$B$6,"",Constants!$B$19*IF($AB457,$AC457,0))</f>
        <v/>
      </c>
      <c r="AP457" s="130" t="str">
        <f aca="false">IF($BD457&lt;&gt;Constants!$B$6,"",IF(AND($AB457,ISNUMBER($AE457)),Constants!$B$20*(Constants!$B$21-$AE457),0))</f>
        <v/>
      </c>
      <c r="AQ457" s="130" t="str">
        <f aca="false">IF($BD457&lt;&gt;Constants!$B$6,"",IF($AA457,0,Constants!$B$12)+IF($Z457,0,Constants!$B$13)+IF($Y457,0,Constants!$B$14))</f>
        <v/>
      </c>
      <c r="AR457" s="131" t="str">
        <f aca="false">IF($BD457&lt;&gt;Constants!$B$6,"",Constants!$B$16+SUM($AN457:$AQ457))</f>
        <v/>
      </c>
      <c r="AS457" s="130" t="str">
        <f aca="false">IF($BD457&lt;&gt;Constants!$B$6,"",IF($AB457,$AD457,""))</f>
        <v/>
      </c>
      <c r="AT457" s="132" t="str">
        <f aca="false">IF($BD457&lt;&gt;Constants!$B$6,"",$AO457)</f>
        <v/>
      </c>
      <c r="AU457" s="127" t="str">
        <f aca="false">IF($BD457&lt;&gt;Constants!$B$6,"",IF(OR($BA457&lt;$AR457,AND($BA457=$AR457,OR(AND(ISNUMBER($BB457),OR(NOT(ISNUMBER($AS457)),$BB457&lt;$AS457)),AND(OR(AND($BB457="",$AS457=""),AND(ISNUMBER($BB457),ISNUMBER($AS457),$BB457=$AS457)),$BC457&lt;$AT457)))),"-&gt;","&lt;-"))</f>
        <v/>
      </c>
      <c r="AV457" s="126" t="str">
        <f aca="false">IF(ISBLANK($C457),"",AND($AH457,OR($AI457="",$AJ457="",AND(NOT(ISBLANK($S457)),$AK457=""))))</f>
        <v/>
      </c>
      <c r="AW457" s="129" t="str">
        <f aca="false">IF($BD457&lt;&gt;Constants!$B$6,"",IF($AH457,Constants!$B$17*$AJ457,Constants!$B$18))</f>
        <v/>
      </c>
      <c r="AX457" s="130" t="str">
        <f aca="false">IF($BD457&lt;&gt;Constants!$B$6,"",Constants!$B$19*IF($AH457,$AI457,0))</f>
        <v/>
      </c>
      <c r="AY457" s="130" t="str">
        <f aca="false">IF($BD457&lt;&gt;Constants!$B$6,"",IF(AND($AH457,ISNUMBER($AK457)),Constants!$B$20*(Constants!$B$21-$AK457),0))</f>
        <v/>
      </c>
      <c r="AZ457" s="130" t="str">
        <f aca="false">IF($BD457&lt;&gt;Constants!$B$6,"",IF($AG457,0,Constants!$B$12)+IF($AF457,0,Constants!$B$13)+IF($Y457,0,Constants!$B$14))</f>
        <v/>
      </c>
      <c r="BA457" s="131" t="str">
        <f aca="false">IF($BD457&lt;&gt;Constants!$B$6,"",Constants!$B$16+SUM($AW457:$AZ457))</f>
        <v/>
      </c>
      <c r="BB457" s="130" t="str">
        <f aca="false">IF($BD457&lt;&gt;Constants!$B$6,"",IF($AH457,$AJ457,""))</f>
        <v/>
      </c>
      <c r="BC457" s="132" t="str">
        <f aca="false">IF($BD457&lt;&gt;Constants!$B$6,"",$AX457)</f>
        <v/>
      </c>
      <c r="BD457" s="127" t="str">
        <f aca="false">IF(ISBLANK($C457),"",IF($AL457,Constants!$B$9,IF(COUNTA($E457:$T457)=0,Constants!$B$8,IF(NOT($X457),Constants!$B$7,IF(OR($AM457,$AV457),Constants!$B$10,Constants!$B$6)))))</f>
        <v/>
      </c>
      <c r="BE457" s="127" t="str">
        <f aca="false">IF(ISBLANK($C457),"",IF($BD457&lt;&gt;Constants!$B$6,$BD457,Constants!$B$11))</f>
        <v/>
      </c>
      <c r="BF457" s="130" t="str">
        <f aca="false">IF($BD457&lt;&gt;Constants!$B$6,"",IF($AU457="-&gt;",$BA457,$AR457))</f>
        <v/>
      </c>
      <c r="BG457" s="130" t="str">
        <f aca="false">IF($BD457&lt;&gt;Constants!$B$6,"",IF($W457,0,Constants!$B$15))</f>
        <v/>
      </c>
      <c r="BH457" s="130" t="str">
        <f aca="false">IF(ISBLANK($C457),"",IF($BD457&lt;&gt;Constants!$B$6,$BD457,SUM($BF457:$BG457)))</f>
        <v/>
      </c>
      <c r="BI457" s="127" t="str">
        <f aca="false">IF(ISBLANK($C457),"",IF($BD457&lt;&gt;Constants!$B$6,$BD457,RANK($BH457,$BH$9:$BH$508,1)))</f>
        <v/>
      </c>
      <c r="BJ457" s="130" t="str">
        <f aca="false">IF($BD457&lt;&gt;Constants!$B$6,"",IF($AU457="-&gt;",$BB457,$AS457))</f>
        <v/>
      </c>
      <c r="BK457" s="127" t="str">
        <f aca="false">IF(ISBLANK($C457),"",IF($BD457&lt;&gt;Constants!$B$6,$BD457,IF(ISNUMBER($BJ457),RANK($BJ457,$BJ$9:$BJ$508,1),COUNT($BJ$9:$BJ$508)+1)))</f>
        <v/>
      </c>
      <c r="BL457" s="130" t="str">
        <f aca="false">IF($BD457&lt;&gt;Constants!$B$6,"",IF($AU457="-&gt;",$BC457,$AT457))</f>
        <v/>
      </c>
      <c r="BM457" s="127" t="str">
        <f aca="false">IF(ISBLANK($C457),"",IF($BD457&lt;&gt;Constants!$B$6,$BD457,IF(ISNUMBER($BL457),RANK($BL457,$BL$9:$BL$508,1),COUNT($BL$9:$BL$508)+1)))</f>
        <v/>
      </c>
      <c r="BN457" s="130" t="str">
        <f aca="false">IF($BD457&lt;&gt;Constants!$B$6,"",IF($AU457="-&gt;",$AS457,$BB457))</f>
        <v/>
      </c>
      <c r="BO457" s="127" t="str">
        <f aca="false">IF(ISBLANK($C457),"",IF($BD457&lt;&gt;Constants!$B$6,$BD457,IF(ISNUMBER($BN457),RANK($BN457,$BN$9:$BN$508,1),COUNT($BN$9:$BN$508)+1)))</f>
        <v/>
      </c>
      <c r="BP457" s="130" t="str">
        <f aca="false">IF($BD457&lt;&gt;Constants!$B$6,"",IF($AU457="-&gt;",$AT457,$BC457))</f>
        <v/>
      </c>
      <c r="BQ457" s="127" t="str">
        <f aca="false">IF(ISBLANK($C457),"",IF($BD457&lt;&gt;Constants!$B$6,$BD457,IF(ISNUMBER($BP457),RANK($BP457,$BP$9:$BP$508,1),COUNT($BP$9:$BP$508)+1)))</f>
        <v/>
      </c>
      <c r="BR457" s="127" t="str">
        <f aca="false">IF(ISBLANK($C457),"",IF($BD457&lt;&gt;Constants!$B$6,$BD457,COUNTIFS($BI$9:$BI$508,"&lt;"&amp;$BI457)+COUNTIFS($BI$9:$BI$508,$BI457,$BK$9:$BK$508,"&lt;"&amp;$BK457)+COUNTIFS($BI$9:$BI$508,$BI457,$BK$9:$BK$508,$BK457,$BM$9:$BM$508,"&lt;"&amp;$BM457)+COUNTIFS($BI$9:$BI$508,$BI457,$BK$9:$BK$508,$BK457,$BM$9:$BM$508,$BM457,$BO$9:$BO$508,"&lt;"&amp;$BO457)+COUNTIFS($BI$9:$BI$508,$BI457,$BK$9:$BK$508,$BK457,$BM$9:$BM$508,$BM457,$BO$9:$BO$508,$BO457,$BQ$9:$BQ$508,"&lt;"&amp;$BQ457)+1))</f>
        <v/>
      </c>
      <c r="BS457" s="127" t="str">
        <f aca="false">IF(ISBLANK($C457),"",IF($BD457&lt;&gt;Constants!$B$6,$BD457,$BI457-$BR457))</f>
        <v/>
      </c>
      <c r="BT457" s="133"/>
      <c r="BU457" s="134"/>
      <c r="BV457" s="134" t="str">
        <f aca="false">IF(ISBLANK($C457),"",IF($BD457&lt;&gt;Constants!$B$6,"",IF($AU457="-&gt;",2,1)))</f>
        <v/>
      </c>
      <c r="BW457" s="135" t="str">
        <f aca="false">IF(ISBLANK($C457),"",IF($BD457&lt;&gt;Constants!$B$6,"",IF($AU457="-&gt;",$AW457,$AN457)))</f>
        <v/>
      </c>
      <c r="BX457" s="135" t="str">
        <f aca="false">IF(ISBLANK($C457),"",IF($BD457&lt;&gt;Constants!$B$6,"",IF($AU457="-&gt;",$AX457,$AO457)))</f>
        <v/>
      </c>
      <c r="BY457" s="135" t="str">
        <f aca="false">IF(ISBLANK($C457),"",IF($BD457&lt;&gt;Constants!$B$6,"",IF($AU457="-&gt;",$AY457,$AP457)))</f>
        <v/>
      </c>
      <c r="BZ457" s="135" t="str">
        <f aca="false">IF(ISBLANK($C457),"",IF($BD457&lt;&gt;Constants!$B$6,"",IF($AU457="-&gt;",$AZ457,$AQ457)+$BG457))</f>
        <v/>
      </c>
      <c r="CA457" s="136" t="str">
        <f aca="false">IF(ISBLANK($C457),"",IF($BD457&lt;&gt;Constants!$B$6,$BD457,$BH457))</f>
        <v/>
      </c>
      <c r="CB457" s="137" t="str">
        <f aca="false">IF(ISBLANK($C457),"",$BE457)</f>
        <v/>
      </c>
      <c r="CC457" s="138" t="str">
        <f aca="false">IF(ISBLANK($C457),"",$BS457)</f>
        <v/>
      </c>
      <c r="CD457" s="138" t="str">
        <f aca="false">IF(ISBLANK($C457),"",$BR457)</f>
        <v/>
      </c>
      <c r="CE457" s="139" t="str">
        <f aca="false">IF(ISBLANK($C457),"",IF($CD457=Constants!$B$9,COUNTA($C$9:$C$508)+2,IF($CD457=Constants!$B$8,COUNTA($C$9:$C$508)+1,IF($CD457=Constants!$B$7,COUNTA($C$9:$C$508),$CD457))))</f>
        <v/>
      </c>
      <c r="CF457" s="9"/>
      <c r="CG457" s="140" t="n">
        <f aca="false">IF(OR(ISNUMBER($CD457),$CD457=Constants!$B$9,$CD457=Constants!$B$7,$CD457=Constants!$B$8),1,0)</f>
        <v>0</v>
      </c>
      <c r="CH457" s="140" t="n">
        <v>449</v>
      </c>
      <c r="CI457" s="140" t="str">
        <f aca="false">IF(ISBLANK($C457),"",IF(ISNUMBER($CE457),$CE457+ROW($B457)/1000,""))</f>
        <v/>
      </c>
      <c r="CJ457" s="140" t="str">
        <f aca="false">IF(ISNUMBER($CI457),RANK($CI457,$CI$9:$CI$508,1),"")</f>
        <v/>
      </c>
      <c r="CK457" s="140" t="str">
        <f aca="false">IF(ISBLANK($C457),"",$B457)</f>
        <v/>
      </c>
      <c r="CL457" s="140" t="str">
        <f aca="false">IF(ISBLANK($C457),"",$C457)</f>
        <v/>
      </c>
      <c r="CM457" s="140" t="str">
        <f aca="false">IF(ISBLANK($C457),"",$D457)</f>
        <v/>
      </c>
      <c r="CN457" s="141" t="str">
        <f aca="false">$CB457</f>
        <v/>
      </c>
      <c r="CO457" s="142" t="str">
        <f aca="false">$CA457</f>
        <v/>
      </c>
      <c r="CP457" s="140" t="str">
        <f aca="false">IF(ISBLANK($C457),"",$CD457)</f>
        <v/>
      </c>
      <c r="CQ457" s="143" t="str">
        <f aca="false">IF($CH457&gt;$CG$8,"",VLOOKUP($CH457,$CJ$9:$CP$508,7,FALSE()))</f>
        <v/>
      </c>
      <c r="CR457" s="144" t="str">
        <f aca="false">IF($CH457&gt;$CG$8,"",VLOOKUP($CH457,$CJ$9:$CP$508,2,FALSE()))</f>
        <v/>
      </c>
      <c r="CS457" s="144" t="str">
        <f aca="false">IF($CH457&gt;$CG$8,"",VLOOKUP($CH457,$CJ$9:$CP$508,3,FALSE()))</f>
        <v/>
      </c>
      <c r="CT457" s="144" t="str">
        <f aca="false">IF($CH457&gt;$CG$8,"",VLOOKUP($CH457,$CJ$9:$CP$508,4,FALSE()))</f>
        <v/>
      </c>
      <c r="CU457" s="144" t="str">
        <f aca="false">IF($CH457&gt;$CG$8,"",VLOOKUP($CH457,$CJ$9:$CP$508,5,FALSE()))</f>
        <v/>
      </c>
      <c r="CV457" s="145" t="str">
        <f aca="false">IF($CH457&gt;$CG$8,"",VLOOKUP($CH457,$CJ$9:$CP$508,6,FALSE()))</f>
        <v/>
      </c>
      <c r="CW457" s="71"/>
    </row>
    <row r="458" customFormat="false" ht="15.75" hidden="false" customHeight="false" outlineLevel="0" collapsed="false">
      <c r="A458" s="9"/>
      <c r="B458" s="150"/>
      <c r="C458" s="151"/>
      <c r="D458" s="152"/>
      <c r="E458" s="170"/>
      <c r="F458" s="154"/>
      <c r="G458" s="155"/>
      <c r="H458" s="171"/>
      <c r="I458" s="159"/>
      <c r="J458" s="120"/>
      <c r="K458" s="121"/>
      <c r="L458" s="122"/>
      <c r="M458" s="158"/>
      <c r="N458" s="159"/>
      <c r="O458" s="159"/>
      <c r="P458" s="120"/>
      <c r="Q458" s="122"/>
      <c r="R458" s="122"/>
      <c r="S458" s="158"/>
      <c r="T458" s="159"/>
      <c r="U458" s="126"/>
      <c r="V458" s="127"/>
      <c r="W458" s="127" t="str">
        <f aca="false">IF(ISBLANK($C458),"",IF(E458=Constants!$B$2,TRUE(),IF(E458=Constants!$B$3,FALSE(),TRUE())))</f>
        <v/>
      </c>
      <c r="X458" s="127" t="str">
        <f aca="false">IF(ISBLANK($C458),"",IF(F458=Constants!$B$2,TRUE(),IF(F458=Constants!$B$3,FALSE(),TRUE())))</f>
        <v/>
      </c>
      <c r="Y458" s="127" t="str">
        <f aca="false">IF(ISBLANK($C458),"",IF(G458=Constants!$B$2,TRUE(),IF(G458=Constants!$B$3,FALSE(),TRUE())))</f>
        <v/>
      </c>
      <c r="Z458" s="127" t="str">
        <f aca="false">IF(ISBLANK($C458),"",IF(H458=Constants!$B$2,TRUE(),IF(H458=Constants!$B$3,FALSE(),TRUE())))</f>
        <v/>
      </c>
      <c r="AA458" s="127" t="str">
        <f aca="false">IF(ISBLANK($C458),"",IF(I458=Constants!$B$2,TRUE(),IF(I458=Constants!$B$3,FALSE(),TRUE())))</f>
        <v/>
      </c>
      <c r="AB458" s="127" t="str">
        <f aca="false">IF(ISBLANK($C458),"",IF(J458=Constants!$B$4,TRUE(),IF(J458=Constants!$B$5,FALSE(),COUNTA(K458:M458)&gt;0)))</f>
        <v/>
      </c>
      <c r="AC458" s="128" t="str">
        <f aca="false">IF(ISBLANK($C458),"",IF(ISNUMBER(K458),IF(K458&gt;=0,K458,""),""))</f>
        <v/>
      </c>
      <c r="AD458" s="129" t="str">
        <f aca="false">IF(ISBLANK($C458),"",IF(ISNUMBER(L458),IF(L458&gt;=0,L458,""),""))</f>
        <v/>
      </c>
      <c r="AE458" s="127" t="str">
        <f aca="false">IF(ISBLANK($C458),"",IF(ISNUMBER(M458),IF(M458&gt;=0,MIN(M458,Constants!$B$22),""),""))</f>
        <v/>
      </c>
      <c r="AF458" s="127" t="str">
        <f aca="false">IF(ISBLANK($C458),"",IF(N458=Constants!$B$2,TRUE(),IF(N458=Constants!$B$3,FALSE(),TRUE())))</f>
        <v/>
      </c>
      <c r="AG458" s="127" t="str">
        <f aca="false">IF(ISBLANK($C458),"",IF(O458=Constants!$B$2,TRUE(),IF(O458=Constants!$B$3,FALSE(),TRUE())))</f>
        <v/>
      </c>
      <c r="AH458" s="127" t="str">
        <f aca="false">IF(ISBLANK($C458),"",IF(P458=Constants!$B$4,TRUE(),IF(P458=Constants!$B$5,FALSE(),COUNTA(Q458:S458)&gt;0)))</f>
        <v/>
      </c>
      <c r="AI458" s="128" t="str">
        <f aca="false">IF(ISBLANK($C458),"",IF(ISNUMBER(Q458),IF(Q458&gt;=0,Q458,""),""))</f>
        <v/>
      </c>
      <c r="AJ458" s="129" t="str">
        <f aca="false">IF(ISBLANK($C458),"",IF(ISNUMBER(R458),IF(R458&gt;=0,R458,""),""))</f>
        <v/>
      </c>
      <c r="AK458" s="127" t="str">
        <f aca="false">IF(ISBLANK($C458),"",IF(ISNUMBER(S458),IF(S458&gt;=0,MIN(S458,Constants!$B$22),""),""))</f>
        <v/>
      </c>
      <c r="AL458" s="127" t="str">
        <f aca="false">IF(ISBLANK($C458),"",IF(T458=Constants!$B$2,TRUE(),IF(T458=Constants!$B$3,FALSE(),FALSE())))</f>
        <v/>
      </c>
      <c r="AM458" s="126" t="str">
        <f aca="false">IF(ISBLANK($C458),"",AND($AB458,OR($AC458="",$AD458="",AND(NOT(ISBLANK($M458)),$AE458=""))))</f>
        <v/>
      </c>
      <c r="AN458" s="129" t="str">
        <f aca="false">IF($BD458&lt;&gt;Constants!$B$6,"",IF($AB458,Constants!$B$17*$AD458,Constants!$B$18))</f>
        <v/>
      </c>
      <c r="AO458" s="130" t="str">
        <f aca="false">IF($BD458&lt;&gt;Constants!$B$6,"",Constants!$B$19*IF($AB458,$AC458,0))</f>
        <v/>
      </c>
      <c r="AP458" s="130" t="str">
        <f aca="false">IF($BD458&lt;&gt;Constants!$B$6,"",IF(AND($AB458,ISNUMBER($AE458)),Constants!$B$20*(Constants!$B$21-$AE458),0))</f>
        <v/>
      </c>
      <c r="AQ458" s="130" t="str">
        <f aca="false">IF($BD458&lt;&gt;Constants!$B$6,"",IF($AA458,0,Constants!$B$12)+IF($Z458,0,Constants!$B$13)+IF($Y458,0,Constants!$B$14))</f>
        <v/>
      </c>
      <c r="AR458" s="131" t="str">
        <f aca="false">IF($BD458&lt;&gt;Constants!$B$6,"",Constants!$B$16+SUM($AN458:$AQ458))</f>
        <v/>
      </c>
      <c r="AS458" s="130" t="str">
        <f aca="false">IF($BD458&lt;&gt;Constants!$B$6,"",IF($AB458,$AD458,""))</f>
        <v/>
      </c>
      <c r="AT458" s="132" t="str">
        <f aca="false">IF($BD458&lt;&gt;Constants!$B$6,"",$AO458)</f>
        <v/>
      </c>
      <c r="AU458" s="127" t="str">
        <f aca="false">IF($BD458&lt;&gt;Constants!$B$6,"",IF(OR($BA458&lt;$AR458,AND($BA458=$AR458,OR(AND(ISNUMBER($BB458),OR(NOT(ISNUMBER($AS458)),$BB458&lt;$AS458)),AND(OR(AND($BB458="",$AS458=""),AND(ISNUMBER($BB458),ISNUMBER($AS458),$BB458=$AS458)),$BC458&lt;$AT458)))),"-&gt;","&lt;-"))</f>
        <v/>
      </c>
      <c r="AV458" s="126" t="str">
        <f aca="false">IF(ISBLANK($C458),"",AND($AH458,OR($AI458="",$AJ458="",AND(NOT(ISBLANK($S458)),$AK458=""))))</f>
        <v/>
      </c>
      <c r="AW458" s="129" t="str">
        <f aca="false">IF($BD458&lt;&gt;Constants!$B$6,"",IF($AH458,Constants!$B$17*$AJ458,Constants!$B$18))</f>
        <v/>
      </c>
      <c r="AX458" s="130" t="str">
        <f aca="false">IF($BD458&lt;&gt;Constants!$B$6,"",Constants!$B$19*IF($AH458,$AI458,0))</f>
        <v/>
      </c>
      <c r="AY458" s="130" t="str">
        <f aca="false">IF($BD458&lt;&gt;Constants!$B$6,"",IF(AND($AH458,ISNUMBER($AK458)),Constants!$B$20*(Constants!$B$21-$AK458),0))</f>
        <v/>
      </c>
      <c r="AZ458" s="130" t="str">
        <f aca="false">IF($BD458&lt;&gt;Constants!$B$6,"",IF($AG458,0,Constants!$B$12)+IF($AF458,0,Constants!$B$13)+IF($Y458,0,Constants!$B$14))</f>
        <v/>
      </c>
      <c r="BA458" s="131" t="str">
        <f aca="false">IF($BD458&lt;&gt;Constants!$B$6,"",Constants!$B$16+SUM($AW458:$AZ458))</f>
        <v/>
      </c>
      <c r="BB458" s="130" t="str">
        <f aca="false">IF($BD458&lt;&gt;Constants!$B$6,"",IF($AH458,$AJ458,""))</f>
        <v/>
      </c>
      <c r="BC458" s="132" t="str">
        <f aca="false">IF($BD458&lt;&gt;Constants!$B$6,"",$AX458)</f>
        <v/>
      </c>
      <c r="BD458" s="127" t="str">
        <f aca="false">IF(ISBLANK($C458),"",IF($AL458,Constants!$B$9,IF(COUNTA($E458:$T458)=0,Constants!$B$8,IF(NOT($X458),Constants!$B$7,IF(OR($AM458,$AV458),Constants!$B$10,Constants!$B$6)))))</f>
        <v/>
      </c>
      <c r="BE458" s="127" t="str">
        <f aca="false">IF(ISBLANK($C458),"",IF($BD458&lt;&gt;Constants!$B$6,$BD458,Constants!$B$11))</f>
        <v/>
      </c>
      <c r="BF458" s="130" t="str">
        <f aca="false">IF($BD458&lt;&gt;Constants!$B$6,"",IF($AU458="-&gt;",$BA458,$AR458))</f>
        <v/>
      </c>
      <c r="BG458" s="130" t="str">
        <f aca="false">IF($BD458&lt;&gt;Constants!$B$6,"",IF($W458,0,Constants!$B$15))</f>
        <v/>
      </c>
      <c r="BH458" s="130" t="str">
        <f aca="false">IF(ISBLANK($C458),"",IF($BD458&lt;&gt;Constants!$B$6,$BD458,SUM($BF458:$BG458)))</f>
        <v/>
      </c>
      <c r="BI458" s="127" t="str">
        <f aca="false">IF(ISBLANK($C458),"",IF($BD458&lt;&gt;Constants!$B$6,$BD458,RANK($BH458,$BH$9:$BH$508,1)))</f>
        <v/>
      </c>
      <c r="BJ458" s="130" t="str">
        <f aca="false">IF($BD458&lt;&gt;Constants!$B$6,"",IF($AU458="-&gt;",$BB458,$AS458))</f>
        <v/>
      </c>
      <c r="BK458" s="127" t="str">
        <f aca="false">IF(ISBLANK($C458),"",IF($BD458&lt;&gt;Constants!$B$6,$BD458,IF(ISNUMBER($BJ458),RANK($BJ458,$BJ$9:$BJ$508,1),COUNT($BJ$9:$BJ$508)+1)))</f>
        <v/>
      </c>
      <c r="BL458" s="130" t="str">
        <f aca="false">IF($BD458&lt;&gt;Constants!$B$6,"",IF($AU458="-&gt;",$BC458,$AT458))</f>
        <v/>
      </c>
      <c r="BM458" s="127" t="str">
        <f aca="false">IF(ISBLANK($C458),"",IF($BD458&lt;&gt;Constants!$B$6,$BD458,IF(ISNUMBER($BL458),RANK($BL458,$BL$9:$BL$508,1),COUNT($BL$9:$BL$508)+1)))</f>
        <v/>
      </c>
      <c r="BN458" s="130" t="str">
        <f aca="false">IF($BD458&lt;&gt;Constants!$B$6,"",IF($AU458="-&gt;",$AS458,$BB458))</f>
        <v/>
      </c>
      <c r="BO458" s="127" t="str">
        <f aca="false">IF(ISBLANK($C458),"",IF($BD458&lt;&gt;Constants!$B$6,$BD458,IF(ISNUMBER($BN458),RANK($BN458,$BN$9:$BN$508,1),COUNT($BN$9:$BN$508)+1)))</f>
        <v/>
      </c>
      <c r="BP458" s="130" t="str">
        <f aca="false">IF($BD458&lt;&gt;Constants!$B$6,"",IF($AU458="-&gt;",$AT458,$BC458))</f>
        <v/>
      </c>
      <c r="BQ458" s="127" t="str">
        <f aca="false">IF(ISBLANK($C458),"",IF($BD458&lt;&gt;Constants!$B$6,$BD458,IF(ISNUMBER($BP458),RANK($BP458,$BP$9:$BP$508,1),COUNT($BP$9:$BP$508)+1)))</f>
        <v/>
      </c>
      <c r="BR458" s="127" t="str">
        <f aca="false">IF(ISBLANK($C458),"",IF($BD458&lt;&gt;Constants!$B$6,$BD458,COUNTIFS($BI$9:$BI$508,"&lt;"&amp;$BI458)+COUNTIFS($BI$9:$BI$508,$BI458,$BK$9:$BK$508,"&lt;"&amp;$BK458)+COUNTIFS($BI$9:$BI$508,$BI458,$BK$9:$BK$508,$BK458,$BM$9:$BM$508,"&lt;"&amp;$BM458)+COUNTIFS($BI$9:$BI$508,$BI458,$BK$9:$BK$508,$BK458,$BM$9:$BM$508,$BM458,$BO$9:$BO$508,"&lt;"&amp;$BO458)+COUNTIFS($BI$9:$BI$508,$BI458,$BK$9:$BK$508,$BK458,$BM$9:$BM$508,$BM458,$BO$9:$BO$508,$BO458,$BQ$9:$BQ$508,"&lt;"&amp;$BQ458)+1))</f>
        <v/>
      </c>
      <c r="BS458" s="127" t="str">
        <f aca="false">IF(ISBLANK($C458),"",IF($BD458&lt;&gt;Constants!$B$6,$BD458,$BI458-$BR458))</f>
        <v/>
      </c>
      <c r="BT458" s="133"/>
      <c r="BU458" s="134"/>
      <c r="BV458" s="134" t="str">
        <f aca="false">IF(ISBLANK($C458),"",IF($BD458&lt;&gt;Constants!$B$6,"",IF($AU458="-&gt;",2,1)))</f>
        <v/>
      </c>
      <c r="BW458" s="135" t="str">
        <f aca="false">IF(ISBLANK($C458),"",IF($BD458&lt;&gt;Constants!$B$6,"",IF($AU458="-&gt;",$AW458,$AN458)))</f>
        <v/>
      </c>
      <c r="BX458" s="135" t="str">
        <f aca="false">IF(ISBLANK($C458),"",IF($BD458&lt;&gt;Constants!$B$6,"",IF($AU458="-&gt;",$AX458,$AO458)))</f>
        <v/>
      </c>
      <c r="BY458" s="135" t="str">
        <f aca="false">IF(ISBLANK($C458),"",IF($BD458&lt;&gt;Constants!$B$6,"",IF($AU458="-&gt;",$AY458,$AP458)))</f>
        <v/>
      </c>
      <c r="BZ458" s="135" t="str">
        <f aca="false">IF(ISBLANK($C458),"",IF($BD458&lt;&gt;Constants!$B$6,"",IF($AU458="-&gt;",$AZ458,$AQ458)+$BG458))</f>
        <v/>
      </c>
      <c r="CA458" s="136" t="str">
        <f aca="false">IF(ISBLANK($C458),"",IF($BD458&lt;&gt;Constants!$B$6,$BD458,$BH458))</f>
        <v/>
      </c>
      <c r="CB458" s="137" t="str">
        <f aca="false">IF(ISBLANK($C458),"",$BE458)</f>
        <v/>
      </c>
      <c r="CC458" s="138" t="str">
        <f aca="false">IF(ISBLANK($C458),"",$BS458)</f>
        <v/>
      </c>
      <c r="CD458" s="138" t="str">
        <f aca="false">IF(ISBLANK($C458),"",$BR458)</f>
        <v/>
      </c>
      <c r="CE458" s="139" t="str">
        <f aca="false">IF(ISBLANK($C458),"",IF($CD458=Constants!$B$9,COUNTA($C$9:$C$508)+2,IF($CD458=Constants!$B$8,COUNTA($C$9:$C$508)+1,IF($CD458=Constants!$B$7,COUNTA($C$9:$C$508),$CD458))))</f>
        <v/>
      </c>
      <c r="CF458" s="9"/>
      <c r="CG458" s="140" t="n">
        <f aca="false">IF(OR(ISNUMBER($CD458),$CD458=Constants!$B$9,$CD458=Constants!$B$7,$CD458=Constants!$B$8),1,0)</f>
        <v>0</v>
      </c>
      <c r="CH458" s="140" t="n">
        <v>450</v>
      </c>
      <c r="CI458" s="140" t="str">
        <f aca="false">IF(ISBLANK($C458),"",IF(ISNUMBER($CE458),$CE458+ROW($B458)/1000,""))</f>
        <v/>
      </c>
      <c r="CJ458" s="140" t="str">
        <f aca="false">IF(ISNUMBER($CI458),RANK($CI458,$CI$9:$CI$508,1),"")</f>
        <v/>
      </c>
      <c r="CK458" s="140" t="str">
        <f aca="false">IF(ISBLANK($C458),"",$B458)</f>
        <v/>
      </c>
      <c r="CL458" s="140" t="str">
        <f aca="false">IF(ISBLANK($C458),"",$C458)</f>
        <v/>
      </c>
      <c r="CM458" s="140" t="str">
        <f aca="false">IF(ISBLANK($C458),"",$D458)</f>
        <v/>
      </c>
      <c r="CN458" s="141" t="str">
        <f aca="false">$CB458</f>
        <v/>
      </c>
      <c r="CO458" s="142" t="str">
        <f aca="false">$CA458</f>
        <v/>
      </c>
      <c r="CP458" s="140" t="str">
        <f aca="false">IF(ISBLANK($C458),"",$CD458)</f>
        <v/>
      </c>
      <c r="CQ458" s="143" t="str">
        <f aca="false">IF($CH458&gt;$CG$8,"",VLOOKUP($CH458,$CJ$9:$CP$508,7,FALSE()))</f>
        <v/>
      </c>
      <c r="CR458" s="144" t="str">
        <f aca="false">IF($CH458&gt;$CG$8,"",VLOOKUP($CH458,$CJ$9:$CP$508,2,FALSE()))</f>
        <v/>
      </c>
      <c r="CS458" s="144" t="str">
        <f aca="false">IF($CH458&gt;$CG$8,"",VLOOKUP($CH458,$CJ$9:$CP$508,3,FALSE()))</f>
        <v/>
      </c>
      <c r="CT458" s="144" t="str">
        <f aca="false">IF($CH458&gt;$CG$8,"",VLOOKUP($CH458,$CJ$9:$CP$508,4,FALSE()))</f>
        <v/>
      </c>
      <c r="CU458" s="144" t="str">
        <f aca="false">IF($CH458&gt;$CG$8,"",VLOOKUP($CH458,$CJ$9:$CP$508,5,FALSE()))</f>
        <v/>
      </c>
      <c r="CV458" s="145" t="str">
        <f aca="false">IF($CH458&gt;$CG$8,"",VLOOKUP($CH458,$CJ$9:$CP$508,6,FALSE()))</f>
        <v/>
      </c>
      <c r="CW458" s="71"/>
    </row>
    <row r="459" customFormat="false" ht="15.75" hidden="false" customHeight="false" outlineLevel="0" collapsed="false">
      <c r="A459" s="9"/>
      <c r="B459" s="72"/>
      <c r="C459" s="73"/>
      <c r="D459" s="160"/>
      <c r="E459" s="168"/>
      <c r="F459" s="162"/>
      <c r="G459" s="163"/>
      <c r="H459" s="169"/>
      <c r="I459" s="167"/>
      <c r="J459" s="80"/>
      <c r="K459" s="81"/>
      <c r="L459" s="82"/>
      <c r="M459" s="166"/>
      <c r="N459" s="167"/>
      <c r="O459" s="167"/>
      <c r="P459" s="80"/>
      <c r="Q459" s="82"/>
      <c r="R459" s="82"/>
      <c r="S459" s="166"/>
      <c r="T459" s="167"/>
      <c r="U459" s="86"/>
      <c r="V459" s="87"/>
      <c r="W459" s="87" t="str">
        <f aca="false">IF(ISBLANK($C459),"",IF(E459=Constants!$B$2,TRUE(),IF(E459=Constants!$B$3,FALSE(),TRUE())))</f>
        <v/>
      </c>
      <c r="X459" s="87" t="str">
        <f aca="false">IF(ISBLANK($C459),"",IF(F459=Constants!$B$2,TRUE(),IF(F459=Constants!$B$3,FALSE(),TRUE())))</f>
        <v/>
      </c>
      <c r="Y459" s="87" t="str">
        <f aca="false">IF(ISBLANK($C459),"",IF(G459=Constants!$B$2,TRUE(),IF(G459=Constants!$B$3,FALSE(),TRUE())))</f>
        <v/>
      </c>
      <c r="Z459" s="87" t="str">
        <f aca="false">IF(ISBLANK($C459),"",IF(H459=Constants!$B$2,TRUE(),IF(H459=Constants!$B$3,FALSE(),TRUE())))</f>
        <v/>
      </c>
      <c r="AA459" s="87" t="str">
        <f aca="false">IF(ISBLANK($C459),"",IF(I459=Constants!$B$2,TRUE(),IF(I459=Constants!$B$3,FALSE(),TRUE())))</f>
        <v/>
      </c>
      <c r="AB459" s="87" t="str">
        <f aca="false">IF(ISBLANK($C459),"",IF(J459=Constants!$B$4,TRUE(),IF(J459=Constants!$B$5,FALSE(),COUNTA(K459:M459)&gt;0)))</f>
        <v/>
      </c>
      <c r="AC459" s="88" t="str">
        <f aca="false">IF(ISBLANK($C459),"",IF(ISNUMBER(K459),IF(K459&gt;=0,K459,""),""))</f>
        <v/>
      </c>
      <c r="AD459" s="89" t="str">
        <f aca="false">IF(ISBLANK($C459),"",IF(ISNUMBER(L459),IF(L459&gt;=0,L459,""),""))</f>
        <v/>
      </c>
      <c r="AE459" s="87" t="str">
        <f aca="false">IF(ISBLANK($C459),"",IF(ISNUMBER(M459),IF(M459&gt;=0,MIN(M459,Constants!$B$22),""),""))</f>
        <v/>
      </c>
      <c r="AF459" s="87" t="str">
        <f aca="false">IF(ISBLANK($C459),"",IF(N459=Constants!$B$2,TRUE(),IF(N459=Constants!$B$3,FALSE(),TRUE())))</f>
        <v/>
      </c>
      <c r="AG459" s="87" t="str">
        <f aca="false">IF(ISBLANK($C459),"",IF(O459=Constants!$B$2,TRUE(),IF(O459=Constants!$B$3,FALSE(),TRUE())))</f>
        <v/>
      </c>
      <c r="AH459" s="87" t="str">
        <f aca="false">IF(ISBLANK($C459),"",IF(P459=Constants!$B$4,TRUE(),IF(P459=Constants!$B$5,FALSE(),COUNTA(Q459:S459)&gt;0)))</f>
        <v/>
      </c>
      <c r="AI459" s="88" t="str">
        <f aca="false">IF(ISBLANK($C459),"",IF(ISNUMBER(Q459),IF(Q459&gt;=0,Q459,""),""))</f>
        <v/>
      </c>
      <c r="AJ459" s="89" t="str">
        <f aca="false">IF(ISBLANK($C459),"",IF(ISNUMBER(R459),IF(R459&gt;=0,R459,""),""))</f>
        <v/>
      </c>
      <c r="AK459" s="87" t="str">
        <f aca="false">IF(ISBLANK($C459),"",IF(ISNUMBER(S459),IF(S459&gt;=0,MIN(S459,Constants!$B$22),""),""))</f>
        <v/>
      </c>
      <c r="AL459" s="87" t="str">
        <f aca="false">IF(ISBLANK($C459),"",IF(T459=Constants!$B$2,TRUE(),IF(T459=Constants!$B$3,FALSE(),FALSE())))</f>
        <v/>
      </c>
      <c r="AM459" s="86" t="str">
        <f aca="false">IF(ISBLANK($C459),"",AND($AB459,OR($AC459="",$AD459="",AND(NOT(ISBLANK($M459)),$AE459=""))))</f>
        <v/>
      </c>
      <c r="AN459" s="89" t="str">
        <f aca="false">IF($BD459&lt;&gt;Constants!$B$6,"",IF($AB459,Constants!$B$17*$AD459,Constants!$B$18))</f>
        <v/>
      </c>
      <c r="AO459" s="91" t="str">
        <f aca="false">IF($BD459&lt;&gt;Constants!$B$6,"",Constants!$B$19*IF($AB459,$AC459,0))</f>
        <v/>
      </c>
      <c r="AP459" s="91" t="str">
        <f aca="false">IF($BD459&lt;&gt;Constants!$B$6,"",IF(AND($AB459,ISNUMBER($AE459)),Constants!$B$20*(Constants!$B$21-$AE459),0))</f>
        <v/>
      </c>
      <c r="AQ459" s="91" t="str">
        <f aca="false">IF($BD459&lt;&gt;Constants!$B$6,"",IF($AA459,0,Constants!$B$12)+IF($Z459,0,Constants!$B$13)+IF($Y459,0,Constants!$B$14))</f>
        <v/>
      </c>
      <c r="AR459" s="92" t="str">
        <f aca="false">IF($BD459&lt;&gt;Constants!$B$6,"",Constants!$B$16+SUM($AN459:$AQ459))</f>
        <v/>
      </c>
      <c r="AS459" s="91" t="str">
        <f aca="false">IF($BD459&lt;&gt;Constants!$B$6,"",IF($AB459,$AD459,""))</f>
        <v/>
      </c>
      <c r="AT459" s="93" t="str">
        <f aca="false">IF($BD459&lt;&gt;Constants!$B$6,"",$AO459)</f>
        <v/>
      </c>
      <c r="AU459" s="87" t="str">
        <f aca="false">IF($BD459&lt;&gt;Constants!$B$6,"",IF(OR($BA459&lt;$AR459,AND($BA459=$AR459,OR(AND(ISNUMBER($BB459),OR(NOT(ISNUMBER($AS459)),$BB459&lt;$AS459)),AND(OR(AND($BB459="",$AS459=""),AND(ISNUMBER($BB459),ISNUMBER($AS459),$BB459=$AS459)),$BC459&lt;$AT459)))),"-&gt;","&lt;-"))</f>
        <v/>
      </c>
      <c r="AV459" s="86" t="str">
        <f aca="false">IF(ISBLANK($C459),"",AND($AH459,OR($AI459="",$AJ459="",AND(NOT(ISBLANK($S459)),$AK459=""))))</f>
        <v/>
      </c>
      <c r="AW459" s="89" t="str">
        <f aca="false">IF($BD459&lt;&gt;Constants!$B$6,"",IF($AH459,Constants!$B$17*$AJ459,Constants!$B$18))</f>
        <v/>
      </c>
      <c r="AX459" s="91" t="str">
        <f aca="false">IF($BD459&lt;&gt;Constants!$B$6,"",Constants!$B$19*IF($AH459,$AI459,0))</f>
        <v/>
      </c>
      <c r="AY459" s="91" t="str">
        <f aca="false">IF($BD459&lt;&gt;Constants!$B$6,"",IF(AND($AH459,ISNUMBER($AK459)),Constants!$B$20*(Constants!$B$21-$AK459),0))</f>
        <v/>
      </c>
      <c r="AZ459" s="91" t="str">
        <f aca="false">IF($BD459&lt;&gt;Constants!$B$6,"",IF($AG459,0,Constants!$B$12)+IF($AF459,0,Constants!$B$13)+IF($Y459,0,Constants!$B$14))</f>
        <v/>
      </c>
      <c r="BA459" s="92" t="str">
        <f aca="false">IF($BD459&lt;&gt;Constants!$B$6,"",Constants!$B$16+SUM($AW459:$AZ459))</f>
        <v/>
      </c>
      <c r="BB459" s="91" t="str">
        <f aca="false">IF($BD459&lt;&gt;Constants!$B$6,"",IF($AH459,$AJ459,""))</f>
        <v/>
      </c>
      <c r="BC459" s="93" t="str">
        <f aca="false">IF($BD459&lt;&gt;Constants!$B$6,"",$AX459)</f>
        <v/>
      </c>
      <c r="BD459" s="87" t="str">
        <f aca="false">IF(ISBLANK($C459),"",IF($AL459,Constants!$B$9,IF(COUNTA($E459:$T459)=0,Constants!$B$8,IF(NOT($X459),Constants!$B$7,IF(OR($AM459,$AV459),Constants!$B$10,Constants!$B$6)))))</f>
        <v/>
      </c>
      <c r="BE459" s="87" t="str">
        <f aca="false">IF(ISBLANK($C459),"",IF($BD459&lt;&gt;Constants!$B$6,$BD459,Constants!$B$11))</f>
        <v/>
      </c>
      <c r="BF459" s="91" t="str">
        <f aca="false">IF($BD459&lt;&gt;Constants!$B$6,"",IF($AU459="-&gt;",$BA459,$AR459))</f>
        <v/>
      </c>
      <c r="BG459" s="91" t="str">
        <f aca="false">IF($BD459&lt;&gt;Constants!$B$6,"",IF($W459,0,Constants!$B$15))</f>
        <v/>
      </c>
      <c r="BH459" s="91" t="str">
        <f aca="false">IF(ISBLANK($C459),"",IF($BD459&lt;&gt;Constants!$B$6,$BD459,SUM($BF459:$BG459)))</f>
        <v/>
      </c>
      <c r="BI459" s="87" t="str">
        <f aca="false">IF(ISBLANK($C459),"",IF($BD459&lt;&gt;Constants!$B$6,$BD459,RANK($BH459,$BH$9:$BH$508,1)))</f>
        <v/>
      </c>
      <c r="BJ459" s="91" t="str">
        <f aca="false">IF($BD459&lt;&gt;Constants!$B$6,"",IF($AU459="-&gt;",$BB459,$AS459))</f>
        <v/>
      </c>
      <c r="BK459" s="87" t="str">
        <f aca="false">IF(ISBLANK($C459),"",IF($BD459&lt;&gt;Constants!$B$6,$BD459,IF(ISNUMBER($BJ459),RANK($BJ459,$BJ$9:$BJ$508,1),COUNT($BJ$9:$BJ$508)+1)))</f>
        <v/>
      </c>
      <c r="BL459" s="91" t="str">
        <f aca="false">IF($BD459&lt;&gt;Constants!$B$6,"",IF($AU459="-&gt;",$BC459,$AT459))</f>
        <v/>
      </c>
      <c r="BM459" s="87" t="str">
        <f aca="false">IF(ISBLANK($C459),"",IF($BD459&lt;&gt;Constants!$B$6,$BD459,IF(ISNUMBER($BL459),RANK($BL459,$BL$9:$BL$508,1),COUNT($BL$9:$BL$508)+1)))</f>
        <v/>
      </c>
      <c r="BN459" s="91" t="str">
        <f aca="false">IF($BD459&lt;&gt;Constants!$B$6,"",IF($AU459="-&gt;",$AS459,$BB459))</f>
        <v/>
      </c>
      <c r="BO459" s="87" t="str">
        <f aca="false">IF(ISBLANK($C459),"",IF($BD459&lt;&gt;Constants!$B$6,$BD459,IF(ISNUMBER($BN459),RANK($BN459,$BN$9:$BN$508,1),COUNT($BN$9:$BN$508)+1)))</f>
        <v/>
      </c>
      <c r="BP459" s="91" t="str">
        <f aca="false">IF($BD459&lt;&gt;Constants!$B$6,"",IF($AU459="-&gt;",$AT459,$BC459))</f>
        <v/>
      </c>
      <c r="BQ459" s="87" t="str">
        <f aca="false">IF(ISBLANK($C459),"",IF($BD459&lt;&gt;Constants!$B$6,$BD459,IF(ISNUMBER($BP459),RANK($BP459,$BP$9:$BP$508,1),COUNT($BP$9:$BP$508)+1)))</f>
        <v/>
      </c>
      <c r="BR459" s="87" t="str">
        <f aca="false">IF(ISBLANK($C459),"",IF($BD459&lt;&gt;Constants!$B$6,$BD459,COUNTIFS($BI$9:$BI$508,"&lt;"&amp;$BI459)+COUNTIFS($BI$9:$BI$508,$BI459,$BK$9:$BK$508,"&lt;"&amp;$BK459)+COUNTIFS($BI$9:$BI$508,$BI459,$BK$9:$BK$508,$BK459,$BM$9:$BM$508,"&lt;"&amp;$BM459)+COUNTIFS($BI$9:$BI$508,$BI459,$BK$9:$BK$508,$BK459,$BM$9:$BM$508,$BM459,$BO$9:$BO$508,"&lt;"&amp;$BO459)+COUNTIFS($BI$9:$BI$508,$BI459,$BK$9:$BK$508,$BK459,$BM$9:$BM$508,$BM459,$BO$9:$BO$508,$BO459,$BQ$9:$BQ$508,"&lt;"&amp;$BQ459)+1))</f>
        <v/>
      </c>
      <c r="BS459" s="87" t="str">
        <f aca="false">IF(ISBLANK($C459),"",IF($BD459&lt;&gt;Constants!$B$6,$BD459,$BI459-$BR459))</f>
        <v/>
      </c>
      <c r="BT459" s="94"/>
      <c r="BU459" s="95"/>
      <c r="BV459" s="95" t="str">
        <f aca="false">IF(ISBLANK($C459),"",IF($BD459&lt;&gt;Constants!$B$6,"",IF($AU459="-&gt;",2,1)))</f>
        <v/>
      </c>
      <c r="BW459" s="96" t="str">
        <f aca="false">IF(ISBLANK($C459),"",IF($BD459&lt;&gt;Constants!$B$6,"",IF($AU459="-&gt;",$AW459,$AN459)))</f>
        <v/>
      </c>
      <c r="BX459" s="96" t="str">
        <f aca="false">IF(ISBLANK($C459),"",IF($BD459&lt;&gt;Constants!$B$6,"",IF($AU459="-&gt;",$AX459,$AO459)))</f>
        <v/>
      </c>
      <c r="BY459" s="96" t="str">
        <f aca="false">IF(ISBLANK($C459),"",IF($BD459&lt;&gt;Constants!$B$6,"",IF($AU459="-&gt;",$AY459,$AP459)))</f>
        <v/>
      </c>
      <c r="BZ459" s="96" t="str">
        <f aca="false">IF(ISBLANK($C459),"",IF($BD459&lt;&gt;Constants!$B$6,"",IF($AU459="-&gt;",$AZ459,$AQ459)+$BG459))</f>
        <v/>
      </c>
      <c r="CA459" s="97" t="str">
        <f aca="false">IF(ISBLANK($C459),"",IF($BD459&lt;&gt;Constants!$B$6,$BD459,$BH459))</f>
        <v/>
      </c>
      <c r="CB459" s="98" t="str">
        <f aca="false">IF(ISBLANK($C459),"",$BE459)</f>
        <v/>
      </c>
      <c r="CC459" s="99" t="str">
        <f aca="false">IF(ISBLANK($C459),"",$BS459)</f>
        <v/>
      </c>
      <c r="CD459" s="99" t="str">
        <f aca="false">IF(ISBLANK($C459),"",$BR459)</f>
        <v/>
      </c>
      <c r="CE459" s="100" t="str">
        <f aca="false">IF(ISBLANK($C459),"",IF($CD459=Constants!$B$9,COUNTA($C$9:$C$508)+2,IF($CD459=Constants!$B$8,COUNTA($C$9:$C$508)+1,IF($CD459=Constants!$B$7,COUNTA($C$9:$C$508),$CD459))))</f>
        <v/>
      </c>
      <c r="CF459" s="9"/>
      <c r="CG459" s="101" t="n">
        <f aca="false">IF(OR(ISNUMBER($CD459),$CD459=Constants!$B$9,$CD459=Constants!$B$7,$CD459=Constants!$B$8),1,0)</f>
        <v>0</v>
      </c>
      <c r="CH459" s="101" t="n">
        <v>451</v>
      </c>
      <c r="CI459" s="101" t="str">
        <f aca="false">IF(ISBLANK($C459),"",IF(ISNUMBER($CE459),$CE459+ROW($B459)/1000,""))</f>
        <v/>
      </c>
      <c r="CJ459" s="101" t="str">
        <f aca="false">IF(ISNUMBER($CI459),RANK($CI459,$CI$9:$CI$508,1),"")</f>
        <v/>
      </c>
      <c r="CK459" s="101" t="str">
        <f aca="false">IF(ISBLANK($C459),"",$B459)</f>
        <v/>
      </c>
      <c r="CL459" s="101" t="str">
        <f aca="false">IF(ISBLANK($C459),"",$C459)</f>
        <v/>
      </c>
      <c r="CM459" s="101" t="str">
        <f aca="false">IF(ISBLANK($C459),"",$D459)</f>
        <v/>
      </c>
      <c r="CN459" s="102" t="str">
        <f aca="false">$CB459</f>
        <v/>
      </c>
      <c r="CO459" s="103" t="str">
        <f aca="false">$CA459</f>
        <v/>
      </c>
      <c r="CP459" s="101" t="str">
        <f aca="false">IF(ISBLANK($C459),"",$CD459)</f>
        <v/>
      </c>
      <c r="CQ459" s="104" t="str">
        <f aca="false">IF($CH459&gt;$CG$8,"",VLOOKUP($CH459,$CJ$9:$CP$508,7,FALSE()))</f>
        <v/>
      </c>
      <c r="CR459" s="105" t="str">
        <f aca="false">IF($CH459&gt;$CG$8,"",VLOOKUP($CH459,$CJ$9:$CP$508,2,FALSE()))</f>
        <v/>
      </c>
      <c r="CS459" s="105" t="str">
        <f aca="false">IF($CH459&gt;$CG$8,"",VLOOKUP($CH459,$CJ$9:$CP$508,3,FALSE()))</f>
        <v/>
      </c>
      <c r="CT459" s="105" t="str">
        <f aca="false">IF($CH459&gt;$CG$8,"",VLOOKUP($CH459,$CJ$9:$CP$508,4,FALSE()))</f>
        <v/>
      </c>
      <c r="CU459" s="105" t="str">
        <f aca="false">IF($CH459&gt;$CG$8,"",VLOOKUP($CH459,$CJ$9:$CP$508,5,FALSE()))</f>
        <v/>
      </c>
      <c r="CV459" s="106" t="str">
        <f aca="false">IF($CH459&gt;$CG$8,"",VLOOKUP($CH459,$CJ$9:$CP$508,6,FALSE()))</f>
        <v/>
      </c>
      <c r="CW459" s="71"/>
    </row>
    <row r="460" customFormat="false" ht="15.75" hidden="false" customHeight="false" outlineLevel="0" collapsed="false">
      <c r="A460" s="9"/>
      <c r="B460" s="72"/>
      <c r="C460" s="73"/>
      <c r="D460" s="160"/>
      <c r="E460" s="168"/>
      <c r="F460" s="162"/>
      <c r="G460" s="163"/>
      <c r="H460" s="169"/>
      <c r="I460" s="167"/>
      <c r="J460" s="80"/>
      <c r="K460" s="81"/>
      <c r="L460" s="82"/>
      <c r="M460" s="166"/>
      <c r="N460" s="167"/>
      <c r="O460" s="167"/>
      <c r="P460" s="80"/>
      <c r="Q460" s="82"/>
      <c r="R460" s="82"/>
      <c r="S460" s="166"/>
      <c r="T460" s="167"/>
      <c r="U460" s="86"/>
      <c r="V460" s="87"/>
      <c r="W460" s="87" t="str">
        <f aca="false">IF(ISBLANK($C460),"",IF(E460=Constants!$B$2,TRUE(),IF(E460=Constants!$B$3,FALSE(),TRUE())))</f>
        <v/>
      </c>
      <c r="X460" s="87" t="str">
        <f aca="false">IF(ISBLANK($C460),"",IF(F460=Constants!$B$2,TRUE(),IF(F460=Constants!$B$3,FALSE(),TRUE())))</f>
        <v/>
      </c>
      <c r="Y460" s="87" t="str">
        <f aca="false">IF(ISBLANK($C460),"",IF(G460=Constants!$B$2,TRUE(),IF(G460=Constants!$B$3,FALSE(),TRUE())))</f>
        <v/>
      </c>
      <c r="Z460" s="87" t="str">
        <f aca="false">IF(ISBLANK($C460),"",IF(H460=Constants!$B$2,TRUE(),IF(H460=Constants!$B$3,FALSE(),TRUE())))</f>
        <v/>
      </c>
      <c r="AA460" s="87" t="str">
        <f aca="false">IF(ISBLANK($C460),"",IF(I460=Constants!$B$2,TRUE(),IF(I460=Constants!$B$3,FALSE(),TRUE())))</f>
        <v/>
      </c>
      <c r="AB460" s="87" t="str">
        <f aca="false">IF(ISBLANK($C460),"",IF(J460=Constants!$B$4,TRUE(),IF(J460=Constants!$B$5,FALSE(),COUNTA(K460:M460)&gt;0)))</f>
        <v/>
      </c>
      <c r="AC460" s="88" t="str">
        <f aca="false">IF(ISBLANK($C460),"",IF(ISNUMBER(K460),IF(K460&gt;=0,K460,""),""))</f>
        <v/>
      </c>
      <c r="AD460" s="89" t="str">
        <f aca="false">IF(ISBLANK($C460),"",IF(ISNUMBER(L460),IF(L460&gt;=0,L460,""),""))</f>
        <v/>
      </c>
      <c r="AE460" s="87" t="str">
        <f aca="false">IF(ISBLANK($C460),"",IF(ISNUMBER(M460),IF(M460&gt;=0,MIN(M460,Constants!$B$22),""),""))</f>
        <v/>
      </c>
      <c r="AF460" s="87" t="str">
        <f aca="false">IF(ISBLANK($C460),"",IF(N460=Constants!$B$2,TRUE(),IF(N460=Constants!$B$3,FALSE(),TRUE())))</f>
        <v/>
      </c>
      <c r="AG460" s="87" t="str">
        <f aca="false">IF(ISBLANK($C460),"",IF(O460=Constants!$B$2,TRUE(),IF(O460=Constants!$B$3,FALSE(),TRUE())))</f>
        <v/>
      </c>
      <c r="AH460" s="87" t="str">
        <f aca="false">IF(ISBLANK($C460),"",IF(P460=Constants!$B$4,TRUE(),IF(P460=Constants!$B$5,FALSE(),COUNTA(Q460:S460)&gt;0)))</f>
        <v/>
      </c>
      <c r="AI460" s="88" t="str">
        <f aca="false">IF(ISBLANK($C460),"",IF(ISNUMBER(Q460),IF(Q460&gt;=0,Q460,""),""))</f>
        <v/>
      </c>
      <c r="AJ460" s="89" t="str">
        <f aca="false">IF(ISBLANK($C460),"",IF(ISNUMBER(R460),IF(R460&gt;=0,R460,""),""))</f>
        <v/>
      </c>
      <c r="AK460" s="87" t="str">
        <f aca="false">IF(ISBLANK($C460),"",IF(ISNUMBER(S460),IF(S460&gt;=0,MIN(S460,Constants!$B$22),""),""))</f>
        <v/>
      </c>
      <c r="AL460" s="87" t="str">
        <f aca="false">IF(ISBLANK($C460),"",IF(T460=Constants!$B$2,TRUE(),IF(T460=Constants!$B$3,FALSE(),FALSE())))</f>
        <v/>
      </c>
      <c r="AM460" s="86" t="str">
        <f aca="false">IF(ISBLANK($C460),"",AND($AB460,OR($AC460="",$AD460="",AND(NOT(ISBLANK($M460)),$AE460=""))))</f>
        <v/>
      </c>
      <c r="AN460" s="89" t="str">
        <f aca="false">IF($BD460&lt;&gt;Constants!$B$6,"",IF($AB460,Constants!$B$17*$AD460,Constants!$B$18))</f>
        <v/>
      </c>
      <c r="AO460" s="91" t="str">
        <f aca="false">IF($BD460&lt;&gt;Constants!$B$6,"",Constants!$B$19*IF($AB460,$AC460,0))</f>
        <v/>
      </c>
      <c r="AP460" s="91" t="str">
        <f aca="false">IF($BD460&lt;&gt;Constants!$B$6,"",IF(AND($AB460,ISNUMBER($AE460)),Constants!$B$20*(Constants!$B$21-$AE460),0))</f>
        <v/>
      </c>
      <c r="AQ460" s="91" t="str">
        <f aca="false">IF($BD460&lt;&gt;Constants!$B$6,"",IF($AA460,0,Constants!$B$12)+IF($Z460,0,Constants!$B$13)+IF($Y460,0,Constants!$B$14))</f>
        <v/>
      </c>
      <c r="AR460" s="92" t="str">
        <f aca="false">IF($BD460&lt;&gt;Constants!$B$6,"",Constants!$B$16+SUM($AN460:$AQ460))</f>
        <v/>
      </c>
      <c r="AS460" s="91" t="str">
        <f aca="false">IF($BD460&lt;&gt;Constants!$B$6,"",IF($AB460,$AD460,""))</f>
        <v/>
      </c>
      <c r="AT460" s="93" t="str">
        <f aca="false">IF($BD460&lt;&gt;Constants!$B$6,"",$AO460)</f>
        <v/>
      </c>
      <c r="AU460" s="87" t="str">
        <f aca="false">IF($BD460&lt;&gt;Constants!$B$6,"",IF(OR($BA460&lt;$AR460,AND($BA460=$AR460,OR(AND(ISNUMBER($BB460),OR(NOT(ISNUMBER($AS460)),$BB460&lt;$AS460)),AND(OR(AND($BB460="",$AS460=""),AND(ISNUMBER($BB460),ISNUMBER($AS460),$BB460=$AS460)),$BC460&lt;$AT460)))),"-&gt;","&lt;-"))</f>
        <v/>
      </c>
      <c r="AV460" s="86" t="str">
        <f aca="false">IF(ISBLANK($C460),"",AND($AH460,OR($AI460="",$AJ460="",AND(NOT(ISBLANK($S460)),$AK460=""))))</f>
        <v/>
      </c>
      <c r="AW460" s="89" t="str">
        <f aca="false">IF($BD460&lt;&gt;Constants!$B$6,"",IF($AH460,Constants!$B$17*$AJ460,Constants!$B$18))</f>
        <v/>
      </c>
      <c r="AX460" s="91" t="str">
        <f aca="false">IF($BD460&lt;&gt;Constants!$B$6,"",Constants!$B$19*IF($AH460,$AI460,0))</f>
        <v/>
      </c>
      <c r="AY460" s="91" t="str">
        <f aca="false">IF($BD460&lt;&gt;Constants!$B$6,"",IF(AND($AH460,ISNUMBER($AK460)),Constants!$B$20*(Constants!$B$21-$AK460),0))</f>
        <v/>
      </c>
      <c r="AZ460" s="91" t="str">
        <f aca="false">IF($BD460&lt;&gt;Constants!$B$6,"",IF($AG460,0,Constants!$B$12)+IF($AF460,0,Constants!$B$13)+IF($Y460,0,Constants!$B$14))</f>
        <v/>
      </c>
      <c r="BA460" s="92" t="str">
        <f aca="false">IF($BD460&lt;&gt;Constants!$B$6,"",Constants!$B$16+SUM($AW460:$AZ460))</f>
        <v/>
      </c>
      <c r="BB460" s="91" t="str">
        <f aca="false">IF($BD460&lt;&gt;Constants!$B$6,"",IF($AH460,$AJ460,""))</f>
        <v/>
      </c>
      <c r="BC460" s="93" t="str">
        <f aca="false">IF($BD460&lt;&gt;Constants!$B$6,"",$AX460)</f>
        <v/>
      </c>
      <c r="BD460" s="87" t="str">
        <f aca="false">IF(ISBLANK($C460),"",IF($AL460,Constants!$B$9,IF(COUNTA($E460:$T460)=0,Constants!$B$8,IF(NOT($X460),Constants!$B$7,IF(OR($AM460,$AV460),Constants!$B$10,Constants!$B$6)))))</f>
        <v/>
      </c>
      <c r="BE460" s="87" t="str">
        <f aca="false">IF(ISBLANK($C460),"",IF($BD460&lt;&gt;Constants!$B$6,$BD460,Constants!$B$11))</f>
        <v/>
      </c>
      <c r="BF460" s="91" t="str">
        <f aca="false">IF($BD460&lt;&gt;Constants!$B$6,"",IF($AU460="-&gt;",$BA460,$AR460))</f>
        <v/>
      </c>
      <c r="BG460" s="91" t="str">
        <f aca="false">IF($BD460&lt;&gt;Constants!$B$6,"",IF($W460,0,Constants!$B$15))</f>
        <v/>
      </c>
      <c r="BH460" s="91" t="str">
        <f aca="false">IF(ISBLANK($C460),"",IF($BD460&lt;&gt;Constants!$B$6,$BD460,SUM($BF460:$BG460)))</f>
        <v/>
      </c>
      <c r="BI460" s="87" t="str">
        <f aca="false">IF(ISBLANK($C460),"",IF($BD460&lt;&gt;Constants!$B$6,$BD460,RANK($BH460,$BH$9:$BH$508,1)))</f>
        <v/>
      </c>
      <c r="BJ460" s="91" t="str">
        <f aca="false">IF($BD460&lt;&gt;Constants!$B$6,"",IF($AU460="-&gt;",$BB460,$AS460))</f>
        <v/>
      </c>
      <c r="BK460" s="87" t="str">
        <f aca="false">IF(ISBLANK($C460),"",IF($BD460&lt;&gt;Constants!$B$6,$BD460,IF(ISNUMBER($BJ460),RANK($BJ460,$BJ$9:$BJ$508,1),COUNT($BJ$9:$BJ$508)+1)))</f>
        <v/>
      </c>
      <c r="BL460" s="91" t="str">
        <f aca="false">IF($BD460&lt;&gt;Constants!$B$6,"",IF($AU460="-&gt;",$BC460,$AT460))</f>
        <v/>
      </c>
      <c r="BM460" s="87" t="str">
        <f aca="false">IF(ISBLANK($C460),"",IF($BD460&lt;&gt;Constants!$B$6,$BD460,IF(ISNUMBER($BL460),RANK($BL460,$BL$9:$BL$508,1),COUNT($BL$9:$BL$508)+1)))</f>
        <v/>
      </c>
      <c r="BN460" s="91" t="str">
        <f aca="false">IF($BD460&lt;&gt;Constants!$B$6,"",IF($AU460="-&gt;",$AS460,$BB460))</f>
        <v/>
      </c>
      <c r="BO460" s="87" t="str">
        <f aca="false">IF(ISBLANK($C460),"",IF($BD460&lt;&gt;Constants!$B$6,$BD460,IF(ISNUMBER($BN460),RANK($BN460,$BN$9:$BN$508,1),COUNT($BN$9:$BN$508)+1)))</f>
        <v/>
      </c>
      <c r="BP460" s="91" t="str">
        <f aca="false">IF($BD460&lt;&gt;Constants!$B$6,"",IF($AU460="-&gt;",$AT460,$BC460))</f>
        <v/>
      </c>
      <c r="BQ460" s="87" t="str">
        <f aca="false">IF(ISBLANK($C460),"",IF($BD460&lt;&gt;Constants!$B$6,$BD460,IF(ISNUMBER($BP460),RANK($BP460,$BP$9:$BP$508,1),COUNT($BP$9:$BP$508)+1)))</f>
        <v/>
      </c>
      <c r="BR460" s="87" t="str">
        <f aca="false">IF(ISBLANK($C460),"",IF($BD460&lt;&gt;Constants!$B$6,$BD460,COUNTIFS($BI$9:$BI$508,"&lt;"&amp;$BI460)+COUNTIFS($BI$9:$BI$508,$BI460,$BK$9:$BK$508,"&lt;"&amp;$BK460)+COUNTIFS($BI$9:$BI$508,$BI460,$BK$9:$BK$508,$BK460,$BM$9:$BM$508,"&lt;"&amp;$BM460)+COUNTIFS($BI$9:$BI$508,$BI460,$BK$9:$BK$508,$BK460,$BM$9:$BM$508,$BM460,$BO$9:$BO$508,"&lt;"&amp;$BO460)+COUNTIFS($BI$9:$BI$508,$BI460,$BK$9:$BK$508,$BK460,$BM$9:$BM$508,$BM460,$BO$9:$BO$508,$BO460,$BQ$9:$BQ$508,"&lt;"&amp;$BQ460)+1))</f>
        <v/>
      </c>
      <c r="BS460" s="87" t="str">
        <f aca="false">IF(ISBLANK($C460),"",IF($BD460&lt;&gt;Constants!$B$6,$BD460,$BI460-$BR460))</f>
        <v/>
      </c>
      <c r="BT460" s="94"/>
      <c r="BU460" s="95"/>
      <c r="BV460" s="95" t="str">
        <f aca="false">IF(ISBLANK($C460),"",IF($BD460&lt;&gt;Constants!$B$6,"",IF($AU460="-&gt;",2,1)))</f>
        <v/>
      </c>
      <c r="BW460" s="96" t="str">
        <f aca="false">IF(ISBLANK($C460),"",IF($BD460&lt;&gt;Constants!$B$6,"",IF($AU460="-&gt;",$AW460,$AN460)))</f>
        <v/>
      </c>
      <c r="BX460" s="96" t="str">
        <f aca="false">IF(ISBLANK($C460),"",IF($BD460&lt;&gt;Constants!$B$6,"",IF($AU460="-&gt;",$AX460,$AO460)))</f>
        <v/>
      </c>
      <c r="BY460" s="96" t="str">
        <f aca="false">IF(ISBLANK($C460),"",IF($BD460&lt;&gt;Constants!$B$6,"",IF($AU460="-&gt;",$AY460,$AP460)))</f>
        <v/>
      </c>
      <c r="BZ460" s="96" t="str">
        <f aca="false">IF(ISBLANK($C460),"",IF($BD460&lt;&gt;Constants!$B$6,"",IF($AU460="-&gt;",$AZ460,$AQ460)+$BG460))</f>
        <v/>
      </c>
      <c r="CA460" s="97" t="str">
        <f aca="false">IF(ISBLANK($C460),"",IF($BD460&lt;&gt;Constants!$B$6,$BD460,$BH460))</f>
        <v/>
      </c>
      <c r="CB460" s="98" t="str">
        <f aca="false">IF(ISBLANK($C460),"",$BE460)</f>
        <v/>
      </c>
      <c r="CC460" s="99" t="str">
        <f aca="false">IF(ISBLANK($C460),"",$BS460)</f>
        <v/>
      </c>
      <c r="CD460" s="99" t="str">
        <f aca="false">IF(ISBLANK($C460),"",$BR460)</f>
        <v/>
      </c>
      <c r="CE460" s="100" t="str">
        <f aca="false">IF(ISBLANK($C460),"",IF($CD460=Constants!$B$9,COUNTA($C$9:$C$508)+2,IF($CD460=Constants!$B$8,COUNTA($C$9:$C$508)+1,IF($CD460=Constants!$B$7,COUNTA($C$9:$C$508),$CD460))))</f>
        <v/>
      </c>
      <c r="CF460" s="9"/>
      <c r="CG460" s="101" t="n">
        <f aca="false">IF(OR(ISNUMBER($CD460),$CD460=Constants!$B$9,$CD460=Constants!$B$7,$CD460=Constants!$B$8),1,0)</f>
        <v>0</v>
      </c>
      <c r="CH460" s="101" t="n">
        <v>452</v>
      </c>
      <c r="CI460" s="101" t="str">
        <f aca="false">IF(ISBLANK($C460),"",IF(ISNUMBER($CE460),$CE460+ROW($B460)/1000,""))</f>
        <v/>
      </c>
      <c r="CJ460" s="101" t="str">
        <f aca="false">IF(ISNUMBER($CI460),RANK($CI460,$CI$9:$CI$508,1),"")</f>
        <v/>
      </c>
      <c r="CK460" s="101" t="str">
        <f aca="false">IF(ISBLANK($C460),"",$B460)</f>
        <v/>
      </c>
      <c r="CL460" s="101" t="str">
        <f aca="false">IF(ISBLANK($C460),"",$C460)</f>
        <v/>
      </c>
      <c r="CM460" s="101" t="str">
        <f aca="false">IF(ISBLANK($C460),"",$D460)</f>
        <v/>
      </c>
      <c r="CN460" s="102" t="str">
        <f aca="false">$CB460</f>
        <v/>
      </c>
      <c r="CO460" s="103" t="str">
        <f aca="false">$CA460</f>
        <v/>
      </c>
      <c r="CP460" s="101" t="str">
        <f aca="false">IF(ISBLANK($C460),"",$CD460)</f>
        <v/>
      </c>
      <c r="CQ460" s="104" t="str">
        <f aca="false">IF($CH460&gt;$CG$8,"",VLOOKUP($CH460,$CJ$9:$CP$508,7,FALSE()))</f>
        <v/>
      </c>
      <c r="CR460" s="105" t="str">
        <f aca="false">IF($CH460&gt;$CG$8,"",VLOOKUP($CH460,$CJ$9:$CP$508,2,FALSE()))</f>
        <v/>
      </c>
      <c r="CS460" s="105" t="str">
        <f aca="false">IF($CH460&gt;$CG$8,"",VLOOKUP($CH460,$CJ$9:$CP$508,3,FALSE()))</f>
        <v/>
      </c>
      <c r="CT460" s="105" t="str">
        <f aca="false">IF($CH460&gt;$CG$8,"",VLOOKUP($CH460,$CJ$9:$CP$508,4,FALSE()))</f>
        <v/>
      </c>
      <c r="CU460" s="105" t="str">
        <f aca="false">IF($CH460&gt;$CG$8,"",VLOOKUP($CH460,$CJ$9:$CP$508,5,FALSE()))</f>
        <v/>
      </c>
      <c r="CV460" s="106" t="str">
        <f aca="false">IF($CH460&gt;$CG$8,"",VLOOKUP($CH460,$CJ$9:$CP$508,6,FALSE()))</f>
        <v/>
      </c>
      <c r="CW460" s="71"/>
    </row>
    <row r="461" customFormat="false" ht="15.75" hidden="false" customHeight="false" outlineLevel="0" collapsed="false">
      <c r="A461" s="9"/>
      <c r="B461" s="72"/>
      <c r="C461" s="73"/>
      <c r="D461" s="160"/>
      <c r="E461" s="168"/>
      <c r="F461" s="162"/>
      <c r="G461" s="163"/>
      <c r="H461" s="169"/>
      <c r="I461" s="167"/>
      <c r="J461" s="80"/>
      <c r="K461" s="81"/>
      <c r="L461" s="82"/>
      <c r="M461" s="166"/>
      <c r="N461" s="167"/>
      <c r="O461" s="167"/>
      <c r="P461" s="80"/>
      <c r="Q461" s="82"/>
      <c r="R461" s="82"/>
      <c r="S461" s="166"/>
      <c r="T461" s="167"/>
      <c r="U461" s="86"/>
      <c r="V461" s="87"/>
      <c r="W461" s="87" t="str">
        <f aca="false">IF(ISBLANK($C461),"",IF(E461=Constants!$B$2,TRUE(),IF(E461=Constants!$B$3,FALSE(),TRUE())))</f>
        <v/>
      </c>
      <c r="X461" s="87" t="str">
        <f aca="false">IF(ISBLANK($C461),"",IF(F461=Constants!$B$2,TRUE(),IF(F461=Constants!$B$3,FALSE(),TRUE())))</f>
        <v/>
      </c>
      <c r="Y461" s="87" t="str">
        <f aca="false">IF(ISBLANK($C461),"",IF(G461=Constants!$B$2,TRUE(),IF(G461=Constants!$B$3,FALSE(),TRUE())))</f>
        <v/>
      </c>
      <c r="Z461" s="87" t="str">
        <f aca="false">IF(ISBLANK($C461),"",IF(H461=Constants!$B$2,TRUE(),IF(H461=Constants!$B$3,FALSE(),TRUE())))</f>
        <v/>
      </c>
      <c r="AA461" s="87" t="str">
        <f aca="false">IF(ISBLANK($C461),"",IF(I461=Constants!$B$2,TRUE(),IF(I461=Constants!$B$3,FALSE(),TRUE())))</f>
        <v/>
      </c>
      <c r="AB461" s="87" t="str">
        <f aca="false">IF(ISBLANK($C461),"",IF(J461=Constants!$B$4,TRUE(),IF(J461=Constants!$B$5,FALSE(),COUNTA(K461:M461)&gt;0)))</f>
        <v/>
      </c>
      <c r="AC461" s="88" t="str">
        <f aca="false">IF(ISBLANK($C461),"",IF(ISNUMBER(K461),IF(K461&gt;=0,K461,""),""))</f>
        <v/>
      </c>
      <c r="AD461" s="89" t="str">
        <f aca="false">IF(ISBLANK($C461),"",IF(ISNUMBER(L461),IF(L461&gt;=0,L461,""),""))</f>
        <v/>
      </c>
      <c r="AE461" s="87" t="str">
        <f aca="false">IF(ISBLANK($C461),"",IF(ISNUMBER(M461),IF(M461&gt;=0,MIN(M461,Constants!$B$22),""),""))</f>
        <v/>
      </c>
      <c r="AF461" s="87" t="str">
        <f aca="false">IF(ISBLANK($C461),"",IF(N461=Constants!$B$2,TRUE(),IF(N461=Constants!$B$3,FALSE(),TRUE())))</f>
        <v/>
      </c>
      <c r="AG461" s="87" t="str">
        <f aca="false">IF(ISBLANK($C461),"",IF(O461=Constants!$B$2,TRUE(),IF(O461=Constants!$B$3,FALSE(),TRUE())))</f>
        <v/>
      </c>
      <c r="AH461" s="87" t="str">
        <f aca="false">IF(ISBLANK($C461),"",IF(P461=Constants!$B$4,TRUE(),IF(P461=Constants!$B$5,FALSE(),COUNTA(Q461:S461)&gt;0)))</f>
        <v/>
      </c>
      <c r="AI461" s="88" t="str">
        <f aca="false">IF(ISBLANK($C461),"",IF(ISNUMBER(Q461),IF(Q461&gt;=0,Q461,""),""))</f>
        <v/>
      </c>
      <c r="AJ461" s="89" t="str">
        <f aca="false">IF(ISBLANK($C461),"",IF(ISNUMBER(R461),IF(R461&gt;=0,R461,""),""))</f>
        <v/>
      </c>
      <c r="AK461" s="87" t="str">
        <f aca="false">IF(ISBLANK($C461),"",IF(ISNUMBER(S461),IF(S461&gt;=0,MIN(S461,Constants!$B$22),""),""))</f>
        <v/>
      </c>
      <c r="AL461" s="87" t="str">
        <f aca="false">IF(ISBLANK($C461),"",IF(T461=Constants!$B$2,TRUE(),IF(T461=Constants!$B$3,FALSE(),FALSE())))</f>
        <v/>
      </c>
      <c r="AM461" s="86" t="str">
        <f aca="false">IF(ISBLANK($C461),"",AND($AB461,OR($AC461="",$AD461="",AND(NOT(ISBLANK($M461)),$AE461=""))))</f>
        <v/>
      </c>
      <c r="AN461" s="89" t="str">
        <f aca="false">IF($BD461&lt;&gt;Constants!$B$6,"",IF($AB461,Constants!$B$17*$AD461,Constants!$B$18))</f>
        <v/>
      </c>
      <c r="AO461" s="91" t="str">
        <f aca="false">IF($BD461&lt;&gt;Constants!$B$6,"",Constants!$B$19*IF($AB461,$AC461,0))</f>
        <v/>
      </c>
      <c r="AP461" s="91" t="str">
        <f aca="false">IF($BD461&lt;&gt;Constants!$B$6,"",IF(AND($AB461,ISNUMBER($AE461)),Constants!$B$20*(Constants!$B$21-$AE461),0))</f>
        <v/>
      </c>
      <c r="AQ461" s="91" t="str">
        <f aca="false">IF($BD461&lt;&gt;Constants!$B$6,"",IF($AA461,0,Constants!$B$12)+IF($Z461,0,Constants!$B$13)+IF($Y461,0,Constants!$B$14))</f>
        <v/>
      </c>
      <c r="AR461" s="92" t="str">
        <f aca="false">IF($BD461&lt;&gt;Constants!$B$6,"",Constants!$B$16+SUM($AN461:$AQ461))</f>
        <v/>
      </c>
      <c r="AS461" s="91" t="str">
        <f aca="false">IF($BD461&lt;&gt;Constants!$B$6,"",IF($AB461,$AD461,""))</f>
        <v/>
      </c>
      <c r="AT461" s="93" t="str">
        <f aca="false">IF($BD461&lt;&gt;Constants!$B$6,"",$AO461)</f>
        <v/>
      </c>
      <c r="AU461" s="87" t="str">
        <f aca="false">IF($BD461&lt;&gt;Constants!$B$6,"",IF(OR($BA461&lt;$AR461,AND($BA461=$AR461,OR(AND(ISNUMBER($BB461),OR(NOT(ISNUMBER($AS461)),$BB461&lt;$AS461)),AND(OR(AND($BB461="",$AS461=""),AND(ISNUMBER($BB461),ISNUMBER($AS461),$BB461=$AS461)),$BC461&lt;$AT461)))),"-&gt;","&lt;-"))</f>
        <v/>
      </c>
      <c r="AV461" s="86" t="str">
        <f aca="false">IF(ISBLANK($C461),"",AND($AH461,OR($AI461="",$AJ461="",AND(NOT(ISBLANK($S461)),$AK461=""))))</f>
        <v/>
      </c>
      <c r="AW461" s="89" t="str">
        <f aca="false">IF($BD461&lt;&gt;Constants!$B$6,"",IF($AH461,Constants!$B$17*$AJ461,Constants!$B$18))</f>
        <v/>
      </c>
      <c r="AX461" s="91" t="str">
        <f aca="false">IF($BD461&lt;&gt;Constants!$B$6,"",Constants!$B$19*IF($AH461,$AI461,0))</f>
        <v/>
      </c>
      <c r="AY461" s="91" t="str">
        <f aca="false">IF($BD461&lt;&gt;Constants!$B$6,"",IF(AND($AH461,ISNUMBER($AK461)),Constants!$B$20*(Constants!$B$21-$AK461),0))</f>
        <v/>
      </c>
      <c r="AZ461" s="91" t="str">
        <f aca="false">IF($BD461&lt;&gt;Constants!$B$6,"",IF($AG461,0,Constants!$B$12)+IF($AF461,0,Constants!$B$13)+IF($Y461,0,Constants!$B$14))</f>
        <v/>
      </c>
      <c r="BA461" s="92" t="str">
        <f aca="false">IF($BD461&lt;&gt;Constants!$B$6,"",Constants!$B$16+SUM($AW461:$AZ461))</f>
        <v/>
      </c>
      <c r="BB461" s="91" t="str">
        <f aca="false">IF($BD461&lt;&gt;Constants!$B$6,"",IF($AH461,$AJ461,""))</f>
        <v/>
      </c>
      <c r="BC461" s="93" t="str">
        <f aca="false">IF($BD461&lt;&gt;Constants!$B$6,"",$AX461)</f>
        <v/>
      </c>
      <c r="BD461" s="87" t="str">
        <f aca="false">IF(ISBLANK($C461),"",IF($AL461,Constants!$B$9,IF(COUNTA($E461:$T461)=0,Constants!$B$8,IF(NOT($X461),Constants!$B$7,IF(OR($AM461,$AV461),Constants!$B$10,Constants!$B$6)))))</f>
        <v/>
      </c>
      <c r="BE461" s="87" t="str">
        <f aca="false">IF(ISBLANK($C461),"",IF($BD461&lt;&gt;Constants!$B$6,$BD461,Constants!$B$11))</f>
        <v/>
      </c>
      <c r="BF461" s="91" t="str">
        <f aca="false">IF($BD461&lt;&gt;Constants!$B$6,"",IF($AU461="-&gt;",$BA461,$AR461))</f>
        <v/>
      </c>
      <c r="BG461" s="91" t="str">
        <f aca="false">IF($BD461&lt;&gt;Constants!$B$6,"",IF($W461,0,Constants!$B$15))</f>
        <v/>
      </c>
      <c r="BH461" s="91" t="str">
        <f aca="false">IF(ISBLANK($C461),"",IF($BD461&lt;&gt;Constants!$B$6,$BD461,SUM($BF461:$BG461)))</f>
        <v/>
      </c>
      <c r="BI461" s="87" t="str">
        <f aca="false">IF(ISBLANK($C461),"",IF($BD461&lt;&gt;Constants!$B$6,$BD461,RANK($BH461,$BH$9:$BH$508,1)))</f>
        <v/>
      </c>
      <c r="BJ461" s="91" t="str">
        <f aca="false">IF($BD461&lt;&gt;Constants!$B$6,"",IF($AU461="-&gt;",$BB461,$AS461))</f>
        <v/>
      </c>
      <c r="BK461" s="87" t="str">
        <f aca="false">IF(ISBLANK($C461),"",IF($BD461&lt;&gt;Constants!$B$6,$BD461,IF(ISNUMBER($BJ461),RANK($BJ461,$BJ$9:$BJ$508,1),COUNT($BJ$9:$BJ$508)+1)))</f>
        <v/>
      </c>
      <c r="BL461" s="91" t="str">
        <f aca="false">IF($BD461&lt;&gt;Constants!$B$6,"",IF($AU461="-&gt;",$BC461,$AT461))</f>
        <v/>
      </c>
      <c r="BM461" s="87" t="str">
        <f aca="false">IF(ISBLANK($C461),"",IF($BD461&lt;&gt;Constants!$B$6,$BD461,IF(ISNUMBER($BL461),RANK($BL461,$BL$9:$BL$508,1),COUNT($BL$9:$BL$508)+1)))</f>
        <v/>
      </c>
      <c r="BN461" s="91" t="str">
        <f aca="false">IF($BD461&lt;&gt;Constants!$B$6,"",IF($AU461="-&gt;",$AS461,$BB461))</f>
        <v/>
      </c>
      <c r="BO461" s="87" t="str">
        <f aca="false">IF(ISBLANK($C461),"",IF($BD461&lt;&gt;Constants!$B$6,$BD461,IF(ISNUMBER($BN461),RANK($BN461,$BN$9:$BN$508,1),COUNT($BN$9:$BN$508)+1)))</f>
        <v/>
      </c>
      <c r="BP461" s="91" t="str">
        <f aca="false">IF($BD461&lt;&gt;Constants!$B$6,"",IF($AU461="-&gt;",$AT461,$BC461))</f>
        <v/>
      </c>
      <c r="BQ461" s="87" t="str">
        <f aca="false">IF(ISBLANK($C461),"",IF($BD461&lt;&gt;Constants!$B$6,$BD461,IF(ISNUMBER($BP461),RANK($BP461,$BP$9:$BP$508,1),COUNT($BP$9:$BP$508)+1)))</f>
        <v/>
      </c>
      <c r="BR461" s="87" t="str">
        <f aca="false">IF(ISBLANK($C461),"",IF($BD461&lt;&gt;Constants!$B$6,$BD461,COUNTIFS($BI$9:$BI$508,"&lt;"&amp;$BI461)+COUNTIFS($BI$9:$BI$508,$BI461,$BK$9:$BK$508,"&lt;"&amp;$BK461)+COUNTIFS($BI$9:$BI$508,$BI461,$BK$9:$BK$508,$BK461,$BM$9:$BM$508,"&lt;"&amp;$BM461)+COUNTIFS($BI$9:$BI$508,$BI461,$BK$9:$BK$508,$BK461,$BM$9:$BM$508,$BM461,$BO$9:$BO$508,"&lt;"&amp;$BO461)+COUNTIFS($BI$9:$BI$508,$BI461,$BK$9:$BK$508,$BK461,$BM$9:$BM$508,$BM461,$BO$9:$BO$508,$BO461,$BQ$9:$BQ$508,"&lt;"&amp;$BQ461)+1))</f>
        <v/>
      </c>
      <c r="BS461" s="87" t="str">
        <f aca="false">IF(ISBLANK($C461),"",IF($BD461&lt;&gt;Constants!$B$6,$BD461,$BI461-$BR461))</f>
        <v/>
      </c>
      <c r="BT461" s="94"/>
      <c r="BU461" s="95"/>
      <c r="BV461" s="95" t="str">
        <f aca="false">IF(ISBLANK($C461),"",IF($BD461&lt;&gt;Constants!$B$6,"",IF($AU461="-&gt;",2,1)))</f>
        <v/>
      </c>
      <c r="BW461" s="96" t="str">
        <f aca="false">IF(ISBLANK($C461),"",IF($BD461&lt;&gt;Constants!$B$6,"",IF($AU461="-&gt;",$AW461,$AN461)))</f>
        <v/>
      </c>
      <c r="BX461" s="96" t="str">
        <f aca="false">IF(ISBLANK($C461),"",IF($BD461&lt;&gt;Constants!$B$6,"",IF($AU461="-&gt;",$AX461,$AO461)))</f>
        <v/>
      </c>
      <c r="BY461" s="96" t="str">
        <f aca="false">IF(ISBLANK($C461),"",IF($BD461&lt;&gt;Constants!$B$6,"",IF($AU461="-&gt;",$AY461,$AP461)))</f>
        <v/>
      </c>
      <c r="BZ461" s="96" t="str">
        <f aca="false">IF(ISBLANK($C461),"",IF($BD461&lt;&gt;Constants!$B$6,"",IF($AU461="-&gt;",$AZ461,$AQ461)+$BG461))</f>
        <v/>
      </c>
      <c r="CA461" s="97" t="str">
        <f aca="false">IF(ISBLANK($C461),"",IF($BD461&lt;&gt;Constants!$B$6,$BD461,$BH461))</f>
        <v/>
      </c>
      <c r="CB461" s="98" t="str">
        <f aca="false">IF(ISBLANK($C461),"",$BE461)</f>
        <v/>
      </c>
      <c r="CC461" s="99" t="str">
        <f aca="false">IF(ISBLANK($C461),"",$BS461)</f>
        <v/>
      </c>
      <c r="CD461" s="99" t="str">
        <f aca="false">IF(ISBLANK($C461),"",$BR461)</f>
        <v/>
      </c>
      <c r="CE461" s="100" t="str">
        <f aca="false">IF(ISBLANK($C461),"",IF($CD461=Constants!$B$9,COUNTA($C$9:$C$508)+2,IF($CD461=Constants!$B$8,COUNTA($C$9:$C$508)+1,IF($CD461=Constants!$B$7,COUNTA($C$9:$C$508),$CD461))))</f>
        <v/>
      </c>
      <c r="CF461" s="9"/>
      <c r="CG461" s="101" t="n">
        <f aca="false">IF(OR(ISNUMBER($CD461),$CD461=Constants!$B$9,$CD461=Constants!$B$7,$CD461=Constants!$B$8),1,0)</f>
        <v>0</v>
      </c>
      <c r="CH461" s="101" t="n">
        <v>453</v>
      </c>
      <c r="CI461" s="101" t="str">
        <f aca="false">IF(ISBLANK($C461),"",IF(ISNUMBER($CE461),$CE461+ROW($B461)/1000,""))</f>
        <v/>
      </c>
      <c r="CJ461" s="101" t="str">
        <f aca="false">IF(ISNUMBER($CI461),RANK($CI461,$CI$9:$CI$508,1),"")</f>
        <v/>
      </c>
      <c r="CK461" s="101" t="str">
        <f aca="false">IF(ISBLANK($C461),"",$B461)</f>
        <v/>
      </c>
      <c r="CL461" s="101" t="str">
        <f aca="false">IF(ISBLANK($C461),"",$C461)</f>
        <v/>
      </c>
      <c r="CM461" s="101" t="str">
        <f aca="false">IF(ISBLANK($C461),"",$D461)</f>
        <v/>
      </c>
      <c r="CN461" s="102" t="str">
        <f aca="false">$CB461</f>
        <v/>
      </c>
      <c r="CO461" s="103" t="str">
        <f aca="false">$CA461</f>
        <v/>
      </c>
      <c r="CP461" s="101" t="str">
        <f aca="false">IF(ISBLANK($C461),"",$CD461)</f>
        <v/>
      </c>
      <c r="CQ461" s="104" t="str">
        <f aca="false">IF($CH461&gt;$CG$8,"",VLOOKUP($CH461,$CJ$9:$CP$508,7,FALSE()))</f>
        <v/>
      </c>
      <c r="CR461" s="105" t="str">
        <f aca="false">IF($CH461&gt;$CG$8,"",VLOOKUP($CH461,$CJ$9:$CP$508,2,FALSE()))</f>
        <v/>
      </c>
      <c r="CS461" s="105" t="str">
        <f aca="false">IF($CH461&gt;$CG$8,"",VLOOKUP($CH461,$CJ$9:$CP$508,3,FALSE()))</f>
        <v/>
      </c>
      <c r="CT461" s="105" t="str">
        <f aca="false">IF($CH461&gt;$CG$8,"",VLOOKUP($CH461,$CJ$9:$CP$508,4,FALSE()))</f>
        <v/>
      </c>
      <c r="CU461" s="105" t="str">
        <f aca="false">IF($CH461&gt;$CG$8,"",VLOOKUP($CH461,$CJ$9:$CP$508,5,FALSE()))</f>
        <v/>
      </c>
      <c r="CV461" s="106" t="str">
        <f aca="false">IF($CH461&gt;$CG$8,"",VLOOKUP($CH461,$CJ$9:$CP$508,6,FALSE()))</f>
        <v/>
      </c>
      <c r="CW461" s="71"/>
    </row>
    <row r="462" customFormat="false" ht="15.75" hidden="false" customHeight="false" outlineLevel="0" collapsed="false">
      <c r="A462" s="9"/>
      <c r="B462" s="150"/>
      <c r="C462" s="151"/>
      <c r="D462" s="152"/>
      <c r="E462" s="170"/>
      <c r="F462" s="154"/>
      <c r="G462" s="155"/>
      <c r="H462" s="171"/>
      <c r="I462" s="159"/>
      <c r="J462" s="120"/>
      <c r="K462" s="121"/>
      <c r="L462" s="122"/>
      <c r="M462" s="158"/>
      <c r="N462" s="159"/>
      <c r="O462" s="159"/>
      <c r="P462" s="120"/>
      <c r="Q462" s="122"/>
      <c r="R462" s="122"/>
      <c r="S462" s="158"/>
      <c r="T462" s="159"/>
      <c r="U462" s="126"/>
      <c r="V462" s="127"/>
      <c r="W462" s="127" t="str">
        <f aca="false">IF(ISBLANK($C462),"",IF(E462=Constants!$B$2,TRUE(),IF(E462=Constants!$B$3,FALSE(),TRUE())))</f>
        <v/>
      </c>
      <c r="X462" s="127" t="str">
        <f aca="false">IF(ISBLANK($C462),"",IF(F462=Constants!$B$2,TRUE(),IF(F462=Constants!$B$3,FALSE(),TRUE())))</f>
        <v/>
      </c>
      <c r="Y462" s="127" t="str">
        <f aca="false">IF(ISBLANK($C462),"",IF(G462=Constants!$B$2,TRUE(),IF(G462=Constants!$B$3,FALSE(),TRUE())))</f>
        <v/>
      </c>
      <c r="Z462" s="127" t="str">
        <f aca="false">IF(ISBLANK($C462),"",IF(H462=Constants!$B$2,TRUE(),IF(H462=Constants!$B$3,FALSE(),TRUE())))</f>
        <v/>
      </c>
      <c r="AA462" s="127" t="str">
        <f aca="false">IF(ISBLANK($C462),"",IF(I462=Constants!$B$2,TRUE(),IF(I462=Constants!$B$3,FALSE(),TRUE())))</f>
        <v/>
      </c>
      <c r="AB462" s="127" t="str">
        <f aca="false">IF(ISBLANK($C462),"",IF(J462=Constants!$B$4,TRUE(),IF(J462=Constants!$B$5,FALSE(),COUNTA(K462:M462)&gt;0)))</f>
        <v/>
      </c>
      <c r="AC462" s="128" t="str">
        <f aca="false">IF(ISBLANK($C462),"",IF(ISNUMBER(K462),IF(K462&gt;=0,K462,""),""))</f>
        <v/>
      </c>
      <c r="AD462" s="129" t="str">
        <f aca="false">IF(ISBLANK($C462),"",IF(ISNUMBER(L462),IF(L462&gt;=0,L462,""),""))</f>
        <v/>
      </c>
      <c r="AE462" s="127" t="str">
        <f aca="false">IF(ISBLANK($C462),"",IF(ISNUMBER(M462),IF(M462&gt;=0,MIN(M462,Constants!$B$22),""),""))</f>
        <v/>
      </c>
      <c r="AF462" s="127" t="str">
        <f aca="false">IF(ISBLANK($C462),"",IF(N462=Constants!$B$2,TRUE(),IF(N462=Constants!$B$3,FALSE(),TRUE())))</f>
        <v/>
      </c>
      <c r="AG462" s="127" t="str">
        <f aca="false">IF(ISBLANK($C462),"",IF(O462=Constants!$B$2,TRUE(),IF(O462=Constants!$B$3,FALSE(),TRUE())))</f>
        <v/>
      </c>
      <c r="AH462" s="127" t="str">
        <f aca="false">IF(ISBLANK($C462),"",IF(P462=Constants!$B$4,TRUE(),IF(P462=Constants!$B$5,FALSE(),COUNTA(Q462:S462)&gt;0)))</f>
        <v/>
      </c>
      <c r="AI462" s="128" t="str">
        <f aca="false">IF(ISBLANK($C462),"",IF(ISNUMBER(Q462),IF(Q462&gt;=0,Q462,""),""))</f>
        <v/>
      </c>
      <c r="AJ462" s="129" t="str">
        <f aca="false">IF(ISBLANK($C462),"",IF(ISNUMBER(R462),IF(R462&gt;=0,R462,""),""))</f>
        <v/>
      </c>
      <c r="AK462" s="127" t="str">
        <f aca="false">IF(ISBLANK($C462),"",IF(ISNUMBER(S462),IF(S462&gt;=0,MIN(S462,Constants!$B$22),""),""))</f>
        <v/>
      </c>
      <c r="AL462" s="127" t="str">
        <f aca="false">IF(ISBLANK($C462),"",IF(T462=Constants!$B$2,TRUE(),IF(T462=Constants!$B$3,FALSE(),FALSE())))</f>
        <v/>
      </c>
      <c r="AM462" s="126" t="str">
        <f aca="false">IF(ISBLANK($C462),"",AND($AB462,OR($AC462="",$AD462="",AND(NOT(ISBLANK($M462)),$AE462=""))))</f>
        <v/>
      </c>
      <c r="AN462" s="129" t="str">
        <f aca="false">IF($BD462&lt;&gt;Constants!$B$6,"",IF($AB462,Constants!$B$17*$AD462,Constants!$B$18))</f>
        <v/>
      </c>
      <c r="AO462" s="130" t="str">
        <f aca="false">IF($BD462&lt;&gt;Constants!$B$6,"",Constants!$B$19*IF($AB462,$AC462,0))</f>
        <v/>
      </c>
      <c r="AP462" s="130" t="str">
        <f aca="false">IF($BD462&lt;&gt;Constants!$B$6,"",IF(AND($AB462,ISNUMBER($AE462)),Constants!$B$20*(Constants!$B$21-$AE462),0))</f>
        <v/>
      </c>
      <c r="AQ462" s="130" t="str">
        <f aca="false">IF($BD462&lt;&gt;Constants!$B$6,"",IF($AA462,0,Constants!$B$12)+IF($Z462,0,Constants!$B$13)+IF($Y462,0,Constants!$B$14))</f>
        <v/>
      </c>
      <c r="AR462" s="131" t="str">
        <f aca="false">IF($BD462&lt;&gt;Constants!$B$6,"",Constants!$B$16+SUM($AN462:$AQ462))</f>
        <v/>
      </c>
      <c r="AS462" s="130" t="str">
        <f aca="false">IF($BD462&lt;&gt;Constants!$B$6,"",IF($AB462,$AD462,""))</f>
        <v/>
      </c>
      <c r="AT462" s="132" t="str">
        <f aca="false">IF($BD462&lt;&gt;Constants!$B$6,"",$AO462)</f>
        <v/>
      </c>
      <c r="AU462" s="127" t="str">
        <f aca="false">IF($BD462&lt;&gt;Constants!$B$6,"",IF(OR($BA462&lt;$AR462,AND($BA462=$AR462,OR(AND(ISNUMBER($BB462),OR(NOT(ISNUMBER($AS462)),$BB462&lt;$AS462)),AND(OR(AND($BB462="",$AS462=""),AND(ISNUMBER($BB462),ISNUMBER($AS462),$BB462=$AS462)),$BC462&lt;$AT462)))),"-&gt;","&lt;-"))</f>
        <v/>
      </c>
      <c r="AV462" s="126" t="str">
        <f aca="false">IF(ISBLANK($C462),"",AND($AH462,OR($AI462="",$AJ462="",AND(NOT(ISBLANK($S462)),$AK462=""))))</f>
        <v/>
      </c>
      <c r="AW462" s="129" t="str">
        <f aca="false">IF($BD462&lt;&gt;Constants!$B$6,"",IF($AH462,Constants!$B$17*$AJ462,Constants!$B$18))</f>
        <v/>
      </c>
      <c r="AX462" s="130" t="str">
        <f aca="false">IF($BD462&lt;&gt;Constants!$B$6,"",Constants!$B$19*IF($AH462,$AI462,0))</f>
        <v/>
      </c>
      <c r="AY462" s="130" t="str">
        <f aca="false">IF($BD462&lt;&gt;Constants!$B$6,"",IF(AND($AH462,ISNUMBER($AK462)),Constants!$B$20*(Constants!$B$21-$AK462),0))</f>
        <v/>
      </c>
      <c r="AZ462" s="130" t="str">
        <f aca="false">IF($BD462&lt;&gt;Constants!$B$6,"",IF($AG462,0,Constants!$B$12)+IF($AF462,0,Constants!$B$13)+IF($Y462,0,Constants!$B$14))</f>
        <v/>
      </c>
      <c r="BA462" s="131" t="str">
        <f aca="false">IF($BD462&lt;&gt;Constants!$B$6,"",Constants!$B$16+SUM($AW462:$AZ462))</f>
        <v/>
      </c>
      <c r="BB462" s="130" t="str">
        <f aca="false">IF($BD462&lt;&gt;Constants!$B$6,"",IF($AH462,$AJ462,""))</f>
        <v/>
      </c>
      <c r="BC462" s="132" t="str">
        <f aca="false">IF($BD462&lt;&gt;Constants!$B$6,"",$AX462)</f>
        <v/>
      </c>
      <c r="BD462" s="127" t="str">
        <f aca="false">IF(ISBLANK($C462),"",IF($AL462,Constants!$B$9,IF(COUNTA($E462:$T462)=0,Constants!$B$8,IF(NOT($X462),Constants!$B$7,IF(OR($AM462,$AV462),Constants!$B$10,Constants!$B$6)))))</f>
        <v/>
      </c>
      <c r="BE462" s="127" t="str">
        <f aca="false">IF(ISBLANK($C462),"",IF($BD462&lt;&gt;Constants!$B$6,$BD462,Constants!$B$11))</f>
        <v/>
      </c>
      <c r="BF462" s="130" t="str">
        <f aca="false">IF($BD462&lt;&gt;Constants!$B$6,"",IF($AU462="-&gt;",$BA462,$AR462))</f>
        <v/>
      </c>
      <c r="BG462" s="130" t="str">
        <f aca="false">IF($BD462&lt;&gt;Constants!$B$6,"",IF($W462,0,Constants!$B$15))</f>
        <v/>
      </c>
      <c r="BH462" s="130" t="str">
        <f aca="false">IF(ISBLANK($C462),"",IF($BD462&lt;&gt;Constants!$B$6,$BD462,SUM($BF462:$BG462)))</f>
        <v/>
      </c>
      <c r="BI462" s="127" t="str">
        <f aca="false">IF(ISBLANK($C462),"",IF($BD462&lt;&gt;Constants!$B$6,$BD462,RANK($BH462,$BH$9:$BH$508,1)))</f>
        <v/>
      </c>
      <c r="BJ462" s="130" t="str">
        <f aca="false">IF($BD462&lt;&gt;Constants!$B$6,"",IF($AU462="-&gt;",$BB462,$AS462))</f>
        <v/>
      </c>
      <c r="BK462" s="127" t="str">
        <f aca="false">IF(ISBLANK($C462),"",IF($BD462&lt;&gt;Constants!$B$6,$BD462,IF(ISNUMBER($BJ462),RANK($BJ462,$BJ$9:$BJ$508,1),COUNT($BJ$9:$BJ$508)+1)))</f>
        <v/>
      </c>
      <c r="BL462" s="130" t="str">
        <f aca="false">IF($BD462&lt;&gt;Constants!$B$6,"",IF($AU462="-&gt;",$BC462,$AT462))</f>
        <v/>
      </c>
      <c r="BM462" s="127" t="str">
        <f aca="false">IF(ISBLANK($C462),"",IF($BD462&lt;&gt;Constants!$B$6,$BD462,IF(ISNUMBER($BL462),RANK($BL462,$BL$9:$BL$508,1),COUNT($BL$9:$BL$508)+1)))</f>
        <v/>
      </c>
      <c r="BN462" s="130" t="str">
        <f aca="false">IF($BD462&lt;&gt;Constants!$B$6,"",IF($AU462="-&gt;",$AS462,$BB462))</f>
        <v/>
      </c>
      <c r="BO462" s="127" t="str">
        <f aca="false">IF(ISBLANK($C462),"",IF($BD462&lt;&gt;Constants!$B$6,$BD462,IF(ISNUMBER($BN462),RANK($BN462,$BN$9:$BN$508,1),COUNT($BN$9:$BN$508)+1)))</f>
        <v/>
      </c>
      <c r="BP462" s="130" t="str">
        <f aca="false">IF($BD462&lt;&gt;Constants!$B$6,"",IF($AU462="-&gt;",$AT462,$BC462))</f>
        <v/>
      </c>
      <c r="BQ462" s="127" t="str">
        <f aca="false">IF(ISBLANK($C462),"",IF($BD462&lt;&gt;Constants!$B$6,$BD462,IF(ISNUMBER($BP462),RANK($BP462,$BP$9:$BP$508,1),COUNT($BP$9:$BP$508)+1)))</f>
        <v/>
      </c>
      <c r="BR462" s="127" t="str">
        <f aca="false">IF(ISBLANK($C462),"",IF($BD462&lt;&gt;Constants!$B$6,$BD462,COUNTIFS($BI$9:$BI$508,"&lt;"&amp;$BI462)+COUNTIFS($BI$9:$BI$508,$BI462,$BK$9:$BK$508,"&lt;"&amp;$BK462)+COUNTIFS($BI$9:$BI$508,$BI462,$BK$9:$BK$508,$BK462,$BM$9:$BM$508,"&lt;"&amp;$BM462)+COUNTIFS($BI$9:$BI$508,$BI462,$BK$9:$BK$508,$BK462,$BM$9:$BM$508,$BM462,$BO$9:$BO$508,"&lt;"&amp;$BO462)+COUNTIFS($BI$9:$BI$508,$BI462,$BK$9:$BK$508,$BK462,$BM$9:$BM$508,$BM462,$BO$9:$BO$508,$BO462,$BQ$9:$BQ$508,"&lt;"&amp;$BQ462)+1))</f>
        <v/>
      </c>
      <c r="BS462" s="127" t="str">
        <f aca="false">IF(ISBLANK($C462),"",IF($BD462&lt;&gt;Constants!$B$6,$BD462,$BI462-$BR462))</f>
        <v/>
      </c>
      <c r="BT462" s="133"/>
      <c r="BU462" s="134"/>
      <c r="BV462" s="134" t="str">
        <f aca="false">IF(ISBLANK($C462),"",IF($BD462&lt;&gt;Constants!$B$6,"",IF($AU462="-&gt;",2,1)))</f>
        <v/>
      </c>
      <c r="BW462" s="135" t="str">
        <f aca="false">IF(ISBLANK($C462),"",IF($BD462&lt;&gt;Constants!$B$6,"",IF($AU462="-&gt;",$AW462,$AN462)))</f>
        <v/>
      </c>
      <c r="BX462" s="135" t="str">
        <f aca="false">IF(ISBLANK($C462),"",IF($BD462&lt;&gt;Constants!$B$6,"",IF($AU462="-&gt;",$AX462,$AO462)))</f>
        <v/>
      </c>
      <c r="BY462" s="135" t="str">
        <f aca="false">IF(ISBLANK($C462),"",IF($BD462&lt;&gt;Constants!$B$6,"",IF($AU462="-&gt;",$AY462,$AP462)))</f>
        <v/>
      </c>
      <c r="BZ462" s="135" t="str">
        <f aca="false">IF(ISBLANK($C462),"",IF($BD462&lt;&gt;Constants!$B$6,"",IF($AU462="-&gt;",$AZ462,$AQ462)+$BG462))</f>
        <v/>
      </c>
      <c r="CA462" s="136" t="str">
        <f aca="false">IF(ISBLANK($C462),"",IF($BD462&lt;&gt;Constants!$B$6,$BD462,$BH462))</f>
        <v/>
      </c>
      <c r="CB462" s="137" t="str">
        <f aca="false">IF(ISBLANK($C462),"",$BE462)</f>
        <v/>
      </c>
      <c r="CC462" s="138" t="str">
        <f aca="false">IF(ISBLANK($C462),"",$BS462)</f>
        <v/>
      </c>
      <c r="CD462" s="138" t="str">
        <f aca="false">IF(ISBLANK($C462),"",$BR462)</f>
        <v/>
      </c>
      <c r="CE462" s="139" t="str">
        <f aca="false">IF(ISBLANK($C462),"",IF($CD462=Constants!$B$9,COUNTA($C$9:$C$508)+2,IF($CD462=Constants!$B$8,COUNTA($C$9:$C$508)+1,IF($CD462=Constants!$B$7,COUNTA($C$9:$C$508),$CD462))))</f>
        <v/>
      </c>
      <c r="CF462" s="9"/>
      <c r="CG462" s="140" t="n">
        <f aca="false">IF(OR(ISNUMBER($CD462),$CD462=Constants!$B$9,$CD462=Constants!$B$7,$CD462=Constants!$B$8),1,0)</f>
        <v>0</v>
      </c>
      <c r="CH462" s="140" t="n">
        <v>454</v>
      </c>
      <c r="CI462" s="140" t="str">
        <f aca="false">IF(ISBLANK($C462),"",IF(ISNUMBER($CE462),$CE462+ROW($B462)/1000,""))</f>
        <v/>
      </c>
      <c r="CJ462" s="140" t="str">
        <f aca="false">IF(ISNUMBER($CI462),RANK($CI462,$CI$9:$CI$508,1),"")</f>
        <v/>
      </c>
      <c r="CK462" s="140" t="str">
        <f aca="false">IF(ISBLANK($C462),"",$B462)</f>
        <v/>
      </c>
      <c r="CL462" s="140" t="str">
        <f aca="false">IF(ISBLANK($C462),"",$C462)</f>
        <v/>
      </c>
      <c r="CM462" s="140" t="str">
        <f aca="false">IF(ISBLANK($C462),"",$D462)</f>
        <v/>
      </c>
      <c r="CN462" s="141" t="str">
        <f aca="false">$CB462</f>
        <v/>
      </c>
      <c r="CO462" s="142" t="str">
        <f aca="false">$CA462</f>
        <v/>
      </c>
      <c r="CP462" s="140" t="str">
        <f aca="false">IF(ISBLANK($C462),"",$CD462)</f>
        <v/>
      </c>
      <c r="CQ462" s="143" t="str">
        <f aca="false">IF($CH462&gt;$CG$8,"",VLOOKUP($CH462,$CJ$9:$CP$508,7,FALSE()))</f>
        <v/>
      </c>
      <c r="CR462" s="144" t="str">
        <f aca="false">IF($CH462&gt;$CG$8,"",VLOOKUP($CH462,$CJ$9:$CP$508,2,FALSE()))</f>
        <v/>
      </c>
      <c r="CS462" s="144" t="str">
        <f aca="false">IF($CH462&gt;$CG$8,"",VLOOKUP($CH462,$CJ$9:$CP$508,3,FALSE()))</f>
        <v/>
      </c>
      <c r="CT462" s="144" t="str">
        <f aca="false">IF($CH462&gt;$CG$8,"",VLOOKUP($CH462,$CJ$9:$CP$508,4,FALSE()))</f>
        <v/>
      </c>
      <c r="CU462" s="144" t="str">
        <f aca="false">IF($CH462&gt;$CG$8,"",VLOOKUP($CH462,$CJ$9:$CP$508,5,FALSE()))</f>
        <v/>
      </c>
      <c r="CV462" s="145" t="str">
        <f aca="false">IF($CH462&gt;$CG$8,"",VLOOKUP($CH462,$CJ$9:$CP$508,6,FALSE()))</f>
        <v/>
      </c>
      <c r="CW462" s="71"/>
    </row>
    <row r="463" customFormat="false" ht="15.75" hidden="false" customHeight="false" outlineLevel="0" collapsed="false">
      <c r="A463" s="9"/>
      <c r="B463" s="150"/>
      <c r="C463" s="151"/>
      <c r="D463" s="152"/>
      <c r="E463" s="170"/>
      <c r="F463" s="154"/>
      <c r="G463" s="155"/>
      <c r="H463" s="171"/>
      <c r="I463" s="159"/>
      <c r="J463" s="120"/>
      <c r="K463" s="121"/>
      <c r="L463" s="122"/>
      <c r="M463" s="158"/>
      <c r="N463" s="159"/>
      <c r="O463" s="159"/>
      <c r="P463" s="120"/>
      <c r="Q463" s="122"/>
      <c r="R463" s="122"/>
      <c r="S463" s="158"/>
      <c r="T463" s="159"/>
      <c r="U463" s="126"/>
      <c r="V463" s="127"/>
      <c r="W463" s="127" t="str">
        <f aca="false">IF(ISBLANK($C463),"",IF(E463=Constants!$B$2,TRUE(),IF(E463=Constants!$B$3,FALSE(),TRUE())))</f>
        <v/>
      </c>
      <c r="X463" s="127" t="str">
        <f aca="false">IF(ISBLANK($C463),"",IF(F463=Constants!$B$2,TRUE(),IF(F463=Constants!$B$3,FALSE(),TRUE())))</f>
        <v/>
      </c>
      <c r="Y463" s="127" t="str">
        <f aca="false">IF(ISBLANK($C463),"",IF(G463=Constants!$B$2,TRUE(),IF(G463=Constants!$B$3,FALSE(),TRUE())))</f>
        <v/>
      </c>
      <c r="Z463" s="127" t="str">
        <f aca="false">IF(ISBLANK($C463),"",IF(H463=Constants!$B$2,TRUE(),IF(H463=Constants!$B$3,FALSE(),TRUE())))</f>
        <v/>
      </c>
      <c r="AA463" s="127" t="str">
        <f aca="false">IF(ISBLANK($C463),"",IF(I463=Constants!$B$2,TRUE(),IF(I463=Constants!$B$3,FALSE(),TRUE())))</f>
        <v/>
      </c>
      <c r="AB463" s="127" t="str">
        <f aca="false">IF(ISBLANK($C463),"",IF(J463=Constants!$B$4,TRUE(),IF(J463=Constants!$B$5,FALSE(),COUNTA(K463:M463)&gt;0)))</f>
        <v/>
      </c>
      <c r="AC463" s="128" t="str">
        <f aca="false">IF(ISBLANK($C463),"",IF(ISNUMBER(K463),IF(K463&gt;=0,K463,""),""))</f>
        <v/>
      </c>
      <c r="AD463" s="129" t="str">
        <f aca="false">IF(ISBLANK($C463),"",IF(ISNUMBER(L463),IF(L463&gt;=0,L463,""),""))</f>
        <v/>
      </c>
      <c r="AE463" s="127" t="str">
        <f aca="false">IF(ISBLANK($C463),"",IF(ISNUMBER(M463),IF(M463&gt;=0,MIN(M463,Constants!$B$22),""),""))</f>
        <v/>
      </c>
      <c r="AF463" s="127" t="str">
        <f aca="false">IF(ISBLANK($C463),"",IF(N463=Constants!$B$2,TRUE(),IF(N463=Constants!$B$3,FALSE(),TRUE())))</f>
        <v/>
      </c>
      <c r="AG463" s="127" t="str">
        <f aca="false">IF(ISBLANK($C463),"",IF(O463=Constants!$B$2,TRUE(),IF(O463=Constants!$B$3,FALSE(),TRUE())))</f>
        <v/>
      </c>
      <c r="AH463" s="127" t="str">
        <f aca="false">IF(ISBLANK($C463),"",IF(P463=Constants!$B$4,TRUE(),IF(P463=Constants!$B$5,FALSE(),COUNTA(Q463:S463)&gt;0)))</f>
        <v/>
      </c>
      <c r="AI463" s="128" t="str">
        <f aca="false">IF(ISBLANK($C463),"",IF(ISNUMBER(Q463),IF(Q463&gt;=0,Q463,""),""))</f>
        <v/>
      </c>
      <c r="AJ463" s="129" t="str">
        <f aca="false">IF(ISBLANK($C463),"",IF(ISNUMBER(R463),IF(R463&gt;=0,R463,""),""))</f>
        <v/>
      </c>
      <c r="AK463" s="127" t="str">
        <f aca="false">IF(ISBLANK($C463),"",IF(ISNUMBER(S463),IF(S463&gt;=0,MIN(S463,Constants!$B$22),""),""))</f>
        <v/>
      </c>
      <c r="AL463" s="127" t="str">
        <f aca="false">IF(ISBLANK($C463),"",IF(T463=Constants!$B$2,TRUE(),IF(T463=Constants!$B$3,FALSE(),FALSE())))</f>
        <v/>
      </c>
      <c r="AM463" s="126" t="str">
        <f aca="false">IF(ISBLANK($C463),"",AND($AB463,OR($AC463="",$AD463="",AND(NOT(ISBLANK($M463)),$AE463=""))))</f>
        <v/>
      </c>
      <c r="AN463" s="129" t="str">
        <f aca="false">IF($BD463&lt;&gt;Constants!$B$6,"",IF($AB463,Constants!$B$17*$AD463,Constants!$B$18))</f>
        <v/>
      </c>
      <c r="AO463" s="130" t="str">
        <f aca="false">IF($BD463&lt;&gt;Constants!$B$6,"",Constants!$B$19*IF($AB463,$AC463,0))</f>
        <v/>
      </c>
      <c r="AP463" s="130" t="str">
        <f aca="false">IF($BD463&lt;&gt;Constants!$B$6,"",IF(AND($AB463,ISNUMBER($AE463)),Constants!$B$20*(Constants!$B$21-$AE463),0))</f>
        <v/>
      </c>
      <c r="AQ463" s="130" t="str">
        <f aca="false">IF($BD463&lt;&gt;Constants!$B$6,"",IF($AA463,0,Constants!$B$12)+IF($Z463,0,Constants!$B$13)+IF($Y463,0,Constants!$B$14))</f>
        <v/>
      </c>
      <c r="AR463" s="131" t="str">
        <f aca="false">IF($BD463&lt;&gt;Constants!$B$6,"",Constants!$B$16+SUM($AN463:$AQ463))</f>
        <v/>
      </c>
      <c r="AS463" s="130" t="str">
        <f aca="false">IF($BD463&lt;&gt;Constants!$B$6,"",IF($AB463,$AD463,""))</f>
        <v/>
      </c>
      <c r="AT463" s="132" t="str">
        <f aca="false">IF($BD463&lt;&gt;Constants!$B$6,"",$AO463)</f>
        <v/>
      </c>
      <c r="AU463" s="127" t="str">
        <f aca="false">IF($BD463&lt;&gt;Constants!$B$6,"",IF(OR($BA463&lt;$AR463,AND($BA463=$AR463,OR(AND(ISNUMBER($BB463),OR(NOT(ISNUMBER($AS463)),$BB463&lt;$AS463)),AND(OR(AND($BB463="",$AS463=""),AND(ISNUMBER($BB463),ISNUMBER($AS463),$BB463=$AS463)),$BC463&lt;$AT463)))),"-&gt;","&lt;-"))</f>
        <v/>
      </c>
      <c r="AV463" s="126" t="str">
        <f aca="false">IF(ISBLANK($C463),"",AND($AH463,OR($AI463="",$AJ463="",AND(NOT(ISBLANK($S463)),$AK463=""))))</f>
        <v/>
      </c>
      <c r="AW463" s="129" t="str">
        <f aca="false">IF($BD463&lt;&gt;Constants!$B$6,"",IF($AH463,Constants!$B$17*$AJ463,Constants!$B$18))</f>
        <v/>
      </c>
      <c r="AX463" s="130" t="str">
        <f aca="false">IF($BD463&lt;&gt;Constants!$B$6,"",Constants!$B$19*IF($AH463,$AI463,0))</f>
        <v/>
      </c>
      <c r="AY463" s="130" t="str">
        <f aca="false">IF($BD463&lt;&gt;Constants!$B$6,"",IF(AND($AH463,ISNUMBER($AK463)),Constants!$B$20*(Constants!$B$21-$AK463),0))</f>
        <v/>
      </c>
      <c r="AZ463" s="130" t="str">
        <f aca="false">IF($BD463&lt;&gt;Constants!$B$6,"",IF($AG463,0,Constants!$B$12)+IF($AF463,0,Constants!$B$13)+IF($Y463,0,Constants!$B$14))</f>
        <v/>
      </c>
      <c r="BA463" s="131" t="str">
        <f aca="false">IF($BD463&lt;&gt;Constants!$B$6,"",Constants!$B$16+SUM($AW463:$AZ463))</f>
        <v/>
      </c>
      <c r="BB463" s="130" t="str">
        <f aca="false">IF($BD463&lt;&gt;Constants!$B$6,"",IF($AH463,$AJ463,""))</f>
        <v/>
      </c>
      <c r="BC463" s="132" t="str">
        <f aca="false">IF($BD463&lt;&gt;Constants!$B$6,"",$AX463)</f>
        <v/>
      </c>
      <c r="BD463" s="127" t="str">
        <f aca="false">IF(ISBLANK($C463),"",IF($AL463,Constants!$B$9,IF(COUNTA($E463:$T463)=0,Constants!$B$8,IF(NOT($X463),Constants!$B$7,IF(OR($AM463,$AV463),Constants!$B$10,Constants!$B$6)))))</f>
        <v/>
      </c>
      <c r="BE463" s="127" t="str">
        <f aca="false">IF(ISBLANK($C463),"",IF($BD463&lt;&gt;Constants!$B$6,$BD463,Constants!$B$11))</f>
        <v/>
      </c>
      <c r="BF463" s="130" t="str">
        <f aca="false">IF($BD463&lt;&gt;Constants!$B$6,"",IF($AU463="-&gt;",$BA463,$AR463))</f>
        <v/>
      </c>
      <c r="BG463" s="130" t="str">
        <f aca="false">IF($BD463&lt;&gt;Constants!$B$6,"",IF($W463,0,Constants!$B$15))</f>
        <v/>
      </c>
      <c r="BH463" s="130" t="str">
        <f aca="false">IF(ISBLANK($C463),"",IF($BD463&lt;&gt;Constants!$B$6,$BD463,SUM($BF463:$BG463)))</f>
        <v/>
      </c>
      <c r="BI463" s="127" t="str">
        <f aca="false">IF(ISBLANK($C463),"",IF($BD463&lt;&gt;Constants!$B$6,$BD463,RANK($BH463,$BH$9:$BH$508,1)))</f>
        <v/>
      </c>
      <c r="BJ463" s="130" t="str">
        <f aca="false">IF($BD463&lt;&gt;Constants!$B$6,"",IF($AU463="-&gt;",$BB463,$AS463))</f>
        <v/>
      </c>
      <c r="BK463" s="127" t="str">
        <f aca="false">IF(ISBLANK($C463),"",IF($BD463&lt;&gt;Constants!$B$6,$BD463,IF(ISNUMBER($BJ463),RANK($BJ463,$BJ$9:$BJ$508,1),COUNT($BJ$9:$BJ$508)+1)))</f>
        <v/>
      </c>
      <c r="BL463" s="130" t="str">
        <f aca="false">IF($BD463&lt;&gt;Constants!$B$6,"",IF($AU463="-&gt;",$BC463,$AT463))</f>
        <v/>
      </c>
      <c r="BM463" s="127" t="str">
        <f aca="false">IF(ISBLANK($C463),"",IF($BD463&lt;&gt;Constants!$B$6,$BD463,IF(ISNUMBER($BL463),RANK($BL463,$BL$9:$BL$508,1),COUNT($BL$9:$BL$508)+1)))</f>
        <v/>
      </c>
      <c r="BN463" s="130" t="str">
        <f aca="false">IF($BD463&lt;&gt;Constants!$B$6,"",IF($AU463="-&gt;",$AS463,$BB463))</f>
        <v/>
      </c>
      <c r="BO463" s="127" t="str">
        <f aca="false">IF(ISBLANK($C463),"",IF($BD463&lt;&gt;Constants!$B$6,$BD463,IF(ISNUMBER($BN463),RANK($BN463,$BN$9:$BN$508,1),COUNT($BN$9:$BN$508)+1)))</f>
        <v/>
      </c>
      <c r="BP463" s="130" t="str">
        <f aca="false">IF($BD463&lt;&gt;Constants!$B$6,"",IF($AU463="-&gt;",$AT463,$BC463))</f>
        <v/>
      </c>
      <c r="BQ463" s="127" t="str">
        <f aca="false">IF(ISBLANK($C463),"",IF($BD463&lt;&gt;Constants!$B$6,$BD463,IF(ISNUMBER($BP463),RANK($BP463,$BP$9:$BP$508,1),COUNT($BP$9:$BP$508)+1)))</f>
        <v/>
      </c>
      <c r="BR463" s="127" t="str">
        <f aca="false">IF(ISBLANK($C463),"",IF($BD463&lt;&gt;Constants!$B$6,$BD463,COUNTIFS($BI$9:$BI$508,"&lt;"&amp;$BI463)+COUNTIFS($BI$9:$BI$508,$BI463,$BK$9:$BK$508,"&lt;"&amp;$BK463)+COUNTIFS($BI$9:$BI$508,$BI463,$BK$9:$BK$508,$BK463,$BM$9:$BM$508,"&lt;"&amp;$BM463)+COUNTIFS($BI$9:$BI$508,$BI463,$BK$9:$BK$508,$BK463,$BM$9:$BM$508,$BM463,$BO$9:$BO$508,"&lt;"&amp;$BO463)+COUNTIFS($BI$9:$BI$508,$BI463,$BK$9:$BK$508,$BK463,$BM$9:$BM$508,$BM463,$BO$9:$BO$508,$BO463,$BQ$9:$BQ$508,"&lt;"&amp;$BQ463)+1))</f>
        <v/>
      </c>
      <c r="BS463" s="127" t="str">
        <f aca="false">IF(ISBLANK($C463),"",IF($BD463&lt;&gt;Constants!$B$6,$BD463,$BI463-$BR463))</f>
        <v/>
      </c>
      <c r="BT463" s="133"/>
      <c r="BU463" s="134"/>
      <c r="BV463" s="134" t="str">
        <f aca="false">IF(ISBLANK($C463),"",IF($BD463&lt;&gt;Constants!$B$6,"",IF($AU463="-&gt;",2,1)))</f>
        <v/>
      </c>
      <c r="BW463" s="135" t="str">
        <f aca="false">IF(ISBLANK($C463),"",IF($BD463&lt;&gt;Constants!$B$6,"",IF($AU463="-&gt;",$AW463,$AN463)))</f>
        <v/>
      </c>
      <c r="BX463" s="135" t="str">
        <f aca="false">IF(ISBLANK($C463),"",IF($BD463&lt;&gt;Constants!$B$6,"",IF($AU463="-&gt;",$AX463,$AO463)))</f>
        <v/>
      </c>
      <c r="BY463" s="135" t="str">
        <f aca="false">IF(ISBLANK($C463),"",IF($BD463&lt;&gt;Constants!$B$6,"",IF($AU463="-&gt;",$AY463,$AP463)))</f>
        <v/>
      </c>
      <c r="BZ463" s="135" t="str">
        <f aca="false">IF(ISBLANK($C463),"",IF($BD463&lt;&gt;Constants!$B$6,"",IF($AU463="-&gt;",$AZ463,$AQ463)+$BG463))</f>
        <v/>
      </c>
      <c r="CA463" s="136" t="str">
        <f aca="false">IF(ISBLANK($C463),"",IF($BD463&lt;&gt;Constants!$B$6,$BD463,$BH463))</f>
        <v/>
      </c>
      <c r="CB463" s="137" t="str">
        <f aca="false">IF(ISBLANK($C463),"",$BE463)</f>
        <v/>
      </c>
      <c r="CC463" s="138" t="str">
        <f aca="false">IF(ISBLANK($C463),"",$BS463)</f>
        <v/>
      </c>
      <c r="CD463" s="138" t="str">
        <f aca="false">IF(ISBLANK($C463),"",$BR463)</f>
        <v/>
      </c>
      <c r="CE463" s="139" t="str">
        <f aca="false">IF(ISBLANK($C463),"",IF($CD463=Constants!$B$9,COUNTA($C$9:$C$508)+2,IF($CD463=Constants!$B$8,COUNTA($C$9:$C$508)+1,IF($CD463=Constants!$B$7,COUNTA($C$9:$C$508),$CD463))))</f>
        <v/>
      </c>
      <c r="CF463" s="9"/>
      <c r="CG463" s="140" t="n">
        <f aca="false">IF(OR(ISNUMBER($CD463),$CD463=Constants!$B$9,$CD463=Constants!$B$7,$CD463=Constants!$B$8),1,0)</f>
        <v>0</v>
      </c>
      <c r="CH463" s="140" t="n">
        <v>455</v>
      </c>
      <c r="CI463" s="140" t="str">
        <f aca="false">IF(ISBLANK($C463),"",IF(ISNUMBER($CE463),$CE463+ROW($B463)/1000,""))</f>
        <v/>
      </c>
      <c r="CJ463" s="140" t="str">
        <f aca="false">IF(ISNUMBER($CI463),RANK($CI463,$CI$9:$CI$508,1),"")</f>
        <v/>
      </c>
      <c r="CK463" s="140" t="str">
        <f aca="false">IF(ISBLANK($C463),"",$B463)</f>
        <v/>
      </c>
      <c r="CL463" s="140" t="str">
        <f aca="false">IF(ISBLANK($C463),"",$C463)</f>
        <v/>
      </c>
      <c r="CM463" s="140" t="str">
        <f aca="false">IF(ISBLANK($C463),"",$D463)</f>
        <v/>
      </c>
      <c r="CN463" s="141" t="str">
        <f aca="false">$CB463</f>
        <v/>
      </c>
      <c r="CO463" s="142" t="str">
        <f aca="false">$CA463</f>
        <v/>
      </c>
      <c r="CP463" s="140" t="str">
        <f aca="false">IF(ISBLANK($C463),"",$CD463)</f>
        <v/>
      </c>
      <c r="CQ463" s="143" t="str">
        <f aca="false">IF($CH463&gt;$CG$8,"",VLOOKUP($CH463,$CJ$9:$CP$508,7,FALSE()))</f>
        <v/>
      </c>
      <c r="CR463" s="144" t="str">
        <f aca="false">IF($CH463&gt;$CG$8,"",VLOOKUP($CH463,$CJ$9:$CP$508,2,FALSE()))</f>
        <v/>
      </c>
      <c r="CS463" s="144" t="str">
        <f aca="false">IF($CH463&gt;$CG$8,"",VLOOKUP($CH463,$CJ$9:$CP$508,3,FALSE()))</f>
        <v/>
      </c>
      <c r="CT463" s="144" t="str">
        <f aca="false">IF($CH463&gt;$CG$8,"",VLOOKUP($CH463,$CJ$9:$CP$508,4,FALSE()))</f>
        <v/>
      </c>
      <c r="CU463" s="144" t="str">
        <f aca="false">IF($CH463&gt;$CG$8,"",VLOOKUP($CH463,$CJ$9:$CP$508,5,FALSE()))</f>
        <v/>
      </c>
      <c r="CV463" s="145" t="str">
        <f aca="false">IF($CH463&gt;$CG$8,"",VLOOKUP($CH463,$CJ$9:$CP$508,6,FALSE()))</f>
        <v/>
      </c>
      <c r="CW463" s="71"/>
    </row>
    <row r="464" customFormat="false" ht="15.75" hidden="false" customHeight="false" outlineLevel="0" collapsed="false">
      <c r="A464" s="9"/>
      <c r="B464" s="150"/>
      <c r="C464" s="151"/>
      <c r="D464" s="152"/>
      <c r="E464" s="170"/>
      <c r="F464" s="154"/>
      <c r="G464" s="155"/>
      <c r="H464" s="171"/>
      <c r="I464" s="159"/>
      <c r="J464" s="120"/>
      <c r="K464" s="121"/>
      <c r="L464" s="122"/>
      <c r="M464" s="158"/>
      <c r="N464" s="159"/>
      <c r="O464" s="159"/>
      <c r="P464" s="120"/>
      <c r="Q464" s="122"/>
      <c r="R464" s="122"/>
      <c r="S464" s="158"/>
      <c r="T464" s="159"/>
      <c r="U464" s="126"/>
      <c r="V464" s="127"/>
      <c r="W464" s="127" t="str">
        <f aca="false">IF(ISBLANK($C464),"",IF(E464=Constants!$B$2,TRUE(),IF(E464=Constants!$B$3,FALSE(),TRUE())))</f>
        <v/>
      </c>
      <c r="X464" s="127" t="str">
        <f aca="false">IF(ISBLANK($C464),"",IF(F464=Constants!$B$2,TRUE(),IF(F464=Constants!$B$3,FALSE(),TRUE())))</f>
        <v/>
      </c>
      <c r="Y464" s="127" t="str">
        <f aca="false">IF(ISBLANK($C464),"",IF(G464=Constants!$B$2,TRUE(),IF(G464=Constants!$B$3,FALSE(),TRUE())))</f>
        <v/>
      </c>
      <c r="Z464" s="127" t="str">
        <f aca="false">IF(ISBLANK($C464),"",IF(H464=Constants!$B$2,TRUE(),IF(H464=Constants!$B$3,FALSE(),TRUE())))</f>
        <v/>
      </c>
      <c r="AA464" s="127" t="str">
        <f aca="false">IF(ISBLANK($C464),"",IF(I464=Constants!$B$2,TRUE(),IF(I464=Constants!$B$3,FALSE(),TRUE())))</f>
        <v/>
      </c>
      <c r="AB464" s="127" t="str">
        <f aca="false">IF(ISBLANK($C464),"",IF(J464=Constants!$B$4,TRUE(),IF(J464=Constants!$B$5,FALSE(),COUNTA(K464:M464)&gt;0)))</f>
        <v/>
      </c>
      <c r="AC464" s="128" t="str">
        <f aca="false">IF(ISBLANK($C464),"",IF(ISNUMBER(K464),IF(K464&gt;=0,K464,""),""))</f>
        <v/>
      </c>
      <c r="AD464" s="129" t="str">
        <f aca="false">IF(ISBLANK($C464),"",IF(ISNUMBER(L464),IF(L464&gt;=0,L464,""),""))</f>
        <v/>
      </c>
      <c r="AE464" s="127" t="str">
        <f aca="false">IF(ISBLANK($C464),"",IF(ISNUMBER(M464),IF(M464&gt;=0,MIN(M464,Constants!$B$22),""),""))</f>
        <v/>
      </c>
      <c r="AF464" s="127" t="str">
        <f aca="false">IF(ISBLANK($C464),"",IF(N464=Constants!$B$2,TRUE(),IF(N464=Constants!$B$3,FALSE(),TRUE())))</f>
        <v/>
      </c>
      <c r="AG464" s="127" t="str">
        <f aca="false">IF(ISBLANK($C464),"",IF(O464=Constants!$B$2,TRUE(),IF(O464=Constants!$B$3,FALSE(),TRUE())))</f>
        <v/>
      </c>
      <c r="AH464" s="127" t="str">
        <f aca="false">IF(ISBLANK($C464),"",IF(P464=Constants!$B$4,TRUE(),IF(P464=Constants!$B$5,FALSE(),COUNTA(Q464:S464)&gt;0)))</f>
        <v/>
      </c>
      <c r="AI464" s="128" t="str">
        <f aca="false">IF(ISBLANK($C464),"",IF(ISNUMBER(Q464),IF(Q464&gt;=0,Q464,""),""))</f>
        <v/>
      </c>
      <c r="AJ464" s="129" t="str">
        <f aca="false">IF(ISBLANK($C464),"",IF(ISNUMBER(R464),IF(R464&gt;=0,R464,""),""))</f>
        <v/>
      </c>
      <c r="AK464" s="127" t="str">
        <f aca="false">IF(ISBLANK($C464),"",IF(ISNUMBER(S464),IF(S464&gt;=0,MIN(S464,Constants!$B$22),""),""))</f>
        <v/>
      </c>
      <c r="AL464" s="127" t="str">
        <f aca="false">IF(ISBLANK($C464),"",IF(T464=Constants!$B$2,TRUE(),IF(T464=Constants!$B$3,FALSE(),FALSE())))</f>
        <v/>
      </c>
      <c r="AM464" s="126" t="str">
        <f aca="false">IF(ISBLANK($C464),"",AND($AB464,OR($AC464="",$AD464="",AND(NOT(ISBLANK($M464)),$AE464=""))))</f>
        <v/>
      </c>
      <c r="AN464" s="129" t="str">
        <f aca="false">IF($BD464&lt;&gt;Constants!$B$6,"",IF($AB464,Constants!$B$17*$AD464,Constants!$B$18))</f>
        <v/>
      </c>
      <c r="AO464" s="130" t="str">
        <f aca="false">IF($BD464&lt;&gt;Constants!$B$6,"",Constants!$B$19*IF($AB464,$AC464,0))</f>
        <v/>
      </c>
      <c r="AP464" s="130" t="str">
        <f aca="false">IF($BD464&lt;&gt;Constants!$B$6,"",IF(AND($AB464,ISNUMBER($AE464)),Constants!$B$20*(Constants!$B$21-$AE464),0))</f>
        <v/>
      </c>
      <c r="AQ464" s="130" t="str">
        <f aca="false">IF($BD464&lt;&gt;Constants!$B$6,"",IF($AA464,0,Constants!$B$12)+IF($Z464,0,Constants!$B$13)+IF($Y464,0,Constants!$B$14))</f>
        <v/>
      </c>
      <c r="AR464" s="131" t="str">
        <f aca="false">IF($BD464&lt;&gt;Constants!$B$6,"",Constants!$B$16+SUM($AN464:$AQ464))</f>
        <v/>
      </c>
      <c r="AS464" s="130" t="str">
        <f aca="false">IF($BD464&lt;&gt;Constants!$B$6,"",IF($AB464,$AD464,""))</f>
        <v/>
      </c>
      <c r="AT464" s="132" t="str">
        <f aca="false">IF($BD464&lt;&gt;Constants!$B$6,"",$AO464)</f>
        <v/>
      </c>
      <c r="AU464" s="127" t="str">
        <f aca="false">IF($BD464&lt;&gt;Constants!$B$6,"",IF(OR($BA464&lt;$AR464,AND($BA464=$AR464,OR(AND(ISNUMBER($BB464),OR(NOT(ISNUMBER($AS464)),$BB464&lt;$AS464)),AND(OR(AND($BB464="",$AS464=""),AND(ISNUMBER($BB464),ISNUMBER($AS464),$BB464=$AS464)),$BC464&lt;$AT464)))),"-&gt;","&lt;-"))</f>
        <v/>
      </c>
      <c r="AV464" s="126" t="str">
        <f aca="false">IF(ISBLANK($C464),"",AND($AH464,OR($AI464="",$AJ464="",AND(NOT(ISBLANK($S464)),$AK464=""))))</f>
        <v/>
      </c>
      <c r="AW464" s="129" t="str">
        <f aca="false">IF($BD464&lt;&gt;Constants!$B$6,"",IF($AH464,Constants!$B$17*$AJ464,Constants!$B$18))</f>
        <v/>
      </c>
      <c r="AX464" s="130" t="str">
        <f aca="false">IF($BD464&lt;&gt;Constants!$B$6,"",Constants!$B$19*IF($AH464,$AI464,0))</f>
        <v/>
      </c>
      <c r="AY464" s="130" t="str">
        <f aca="false">IF($BD464&lt;&gt;Constants!$B$6,"",IF(AND($AH464,ISNUMBER($AK464)),Constants!$B$20*(Constants!$B$21-$AK464),0))</f>
        <v/>
      </c>
      <c r="AZ464" s="130" t="str">
        <f aca="false">IF($BD464&lt;&gt;Constants!$B$6,"",IF($AG464,0,Constants!$B$12)+IF($AF464,0,Constants!$B$13)+IF($Y464,0,Constants!$B$14))</f>
        <v/>
      </c>
      <c r="BA464" s="131" t="str">
        <f aca="false">IF($BD464&lt;&gt;Constants!$B$6,"",Constants!$B$16+SUM($AW464:$AZ464))</f>
        <v/>
      </c>
      <c r="BB464" s="130" t="str">
        <f aca="false">IF($BD464&lt;&gt;Constants!$B$6,"",IF($AH464,$AJ464,""))</f>
        <v/>
      </c>
      <c r="BC464" s="132" t="str">
        <f aca="false">IF($BD464&lt;&gt;Constants!$B$6,"",$AX464)</f>
        <v/>
      </c>
      <c r="BD464" s="127" t="str">
        <f aca="false">IF(ISBLANK($C464),"",IF($AL464,Constants!$B$9,IF(COUNTA($E464:$T464)=0,Constants!$B$8,IF(NOT($X464),Constants!$B$7,IF(OR($AM464,$AV464),Constants!$B$10,Constants!$B$6)))))</f>
        <v/>
      </c>
      <c r="BE464" s="127" t="str">
        <f aca="false">IF(ISBLANK($C464),"",IF($BD464&lt;&gt;Constants!$B$6,$BD464,Constants!$B$11))</f>
        <v/>
      </c>
      <c r="BF464" s="130" t="str">
        <f aca="false">IF($BD464&lt;&gt;Constants!$B$6,"",IF($AU464="-&gt;",$BA464,$AR464))</f>
        <v/>
      </c>
      <c r="BG464" s="130" t="str">
        <f aca="false">IF($BD464&lt;&gt;Constants!$B$6,"",IF($W464,0,Constants!$B$15))</f>
        <v/>
      </c>
      <c r="BH464" s="130" t="str">
        <f aca="false">IF(ISBLANK($C464),"",IF($BD464&lt;&gt;Constants!$B$6,$BD464,SUM($BF464:$BG464)))</f>
        <v/>
      </c>
      <c r="BI464" s="127" t="str">
        <f aca="false">IF(ISBLANK($C464),"",IF($BD464&lt;&gt;Constants!$B$6,$BD464,RANK($BH464,$BH$9:$BH$508,1)))</f>
        <v/>
      </c>
      <c r="BJ464" s="130" t="str">
        <f aca="false">IF($BD464&lt;&gt;Constants!$B$6,"",IF($AU464="-&gt;",$BB464,$AS464))</f>
        <v/>
      </c>
      <c r="BK464" s="127" t="str">
        <f aca="false">IF(ISBLANK($C464),"",IF($BD464&lt;&gt;Constants!$B$6,$BD464,IF(ISNUMBER($BJ464),RANK($BJ464,$BJ$9:$BJ$508,1),COUNT($BJ$9:$BJ$508)+1)))</f>
        <v/>
      </c>
      <c r="BL464" s="130" t="str">
        <f aca="false">IF($BD464&lt;&gt;Constants!$B$6,"",IF($AU464="-&gt;",$BC464,$AT464))</f>
        <v/>
      </c>
      <c r="BM464" s="127" t="str">
        <f aca="false">IF(ISBLANK($C464),"",IF($BD464&lt;&gt;Constants!$B$6,$BD464,IF(ISNUMBER($BL464),RANK($BL464,$BL$9:$BL$508,1),COUNT($BL$9:$BL$508)+1)))</f>
        <v/>
      </c>
      <c r="BN464" s="130" t="str">
        <f aca="false">IF($BD464&lt;&gt;Constants!$B$6,"",IF($AU464="-&gt;",$AS464,$BB464))</f>
        <v/>
      </c>
      <c r="BO464" s="127" t="str">
        <f aca="false">IF(ISBLANK($C464),"",IF($BD464&lt;&gt;Constants!$B$6,$BD464,IF(ISNUMBER($BN464),RANK($BN464,$BN$9:$BN$508,1),COUNT($BN$9:$BN$508)+1)))</f>
        <v/>
      </c>
      <c r="BP464" s="130" t="str">
        <f aca="false">IF($BD464&lt;&gt;Constants!$B$6,"",IF($AU464="-&gt;",$AT464,$BC464))</f>
        <v/>
      </c>
      <c r="BQ464" s="127" t="str">
        <f aca="false">IF(ISBLANK($C464),"",IF($BD464&lt;&gt;Constants!$B$6,$BD464,IF(ISNUMBER($BP464),RANK($BP464,$BP$9:$BP$508,1),COUNT($BP$9:$BP$508)+1)))</f>
        <v/>
      </c>
      <c r="BR464" s="127" t="str">
        <f aca="false">IF(ISBLANK($C464),"",IF($BD464&lt;&gt;Constants!$B$6,$BD464,COUNTIFS($BI$9:$BI$508,"&lt;"&amp;$BI464)+COUNTIFS($BI$9:$BI$508,$BI464,$BK$9:$BK$508,"&lt;"&amp;$BK464)+COUNTIFS($BI$9:$BI$508,$BI464,$BK$9:$BK$508,$BK464,$BM$9:$BM$508,"&lt;"&amp;$BM464)+COUNTIFS($BI$9:$BI$508,$BI464,$BK$9:$BK$508,$BK464,$BM$9:$BM$508,$BM464,$BO$9:$BO$508,"&lt;"&amp;$BO464)+COUNTIFS($BI$9:$BI$508,$BI464,$BK$9:$BK$508,$BK464,$BM$9:$BM$508,$BM464,$BO$9:$BO$508,$BO464,$BQ$9:$BQ$508,"&lt;"&amp;$BQ464)+1))</f>
        <v/>
      </c>
      <c r="BS464" s="127" t="str">
        <f aca="false">IF(ISBLANK($C464),"",IF($BD464&lt;&gt;Constants!$B$6,$BD464,$BI464-$BR464))</f>
        <v/>
      </c>
      <c r="BT464" s="133"/>
      <c r="BU464" s="134"/>
      <c r="BV464" s="134" t="str">
        <f aca="false">IF(ISBLANK($C464),"",IF($BD464&lt;&gt;Constants!$B$6,"",IF($AU464="-&gt;",2,1)))</f>
        <v/>
      </c>
      <c r="BW464" s="135" t="str">
        <f aca="false">IF(ISBLANK($C464),"",IF($BD464&lt;&gt;Constants!$B$6,"",IF($AU464="-&gt;",$AW464,$AN464)))</f>
        <v/>
      </c>
      <c r="BX464" s="135" t="str">
        <f aca="false">IF(ISBLANK($C464),"",IF($BD464&lt;&gt;Constants!$B$6,"",IF($AU464="-&gt;",$AX464,$AO464)))</f>
        <v/>
      </c>
      <c r="BY464" s="135" t="str">
        <f aca="false">IF(ISBLANK($C464),"",IF($BD464&lt;&gt;Constants!$B$6,"",IF($AU464="-&gt;",$AY464,$AP464)))</f>
        <v/>
      </c>
      <c r="BZ464" s="135" t="str">
        <f aca="false">IF(ISBLANK($C464),"",IF($BD464&lt;&gt;Constants!$B$6,"",IF($AU464="-&gt;",$AZ464,$AQ464)+$BG464))</f>
        <v/>
      </c>
      <c r="CA464" s="136" t="str">
        <f aca="false">IF(ISBLANK($C464),"",IF($BD464&lt;&gt;Constants!$B$6,$BD464,$BH464))</f>
        <v/>
      </c>
      <c r="CB464" s="137" t="str">
        <f aca="false">IF(ISBLANK($C464),"",$BE464)</f>
        <v/>
      </c>
      <c r="CC464" s="138" t="str">
        <f aca="false">IF(ISBLANK($C464),"",$BS464)</f>
        <v/>
      </c>
      <c r="CD464" s="138" t="str">
        <f aca="false">IF(ISBLANK($C464),"",$BR464)</f>
        <v/>
      </c>
      <c r="CE464" s="139" t="str">
        <f aca="false">IF(ISBLANK($C464),"",IF($CD464=Constants!$B$9,COUNTA($C$9:$C$508)+2,IF($CD464=Constants!$B$8,COUNTA($C$9:$C$508)+1,IF($CD464=Constants!$B$7,COUNTA($C$9:$C$508),$CD464))))</f>
        <v/>
      </c>
      <c r="CF464" s="9"/>
      <c r="CG464" s="140" t="n">
        <f aca="false">IF(OR(ISNUMBER($CD464),$CD464=Constants!$B$9,$CD464=Constants!$B$7,$CD464=Constants!$B$8),1,0)</f>
        <v>0</v>
      </c>
      <c r="CH464" s="140" t="n">
        <v>456</v>
      </c>
      <c r="CI464" s="140" t="str">
        <f aca="false">IF(ISBLANK($C464),"",IF(ISNUMBER($CE464),$CE464+ROW($B464)/1000,""))</f>
        <v/>
      </c>
      <c r="CJ464" s="140" t="str">
        <f aca="false">IF(ISNUMBER($CI464),RANK($CI464,$CI$9:$CI$508,1),"")</f>
        <v/>
      </c>
      <c r="CK464" s="140" t="str">
        <f aca="false">IF(ISBLANK($C464),"",$B464)</f>
        <v/>
      </c>
      <c r="CL464" s="140" t="str">
        <f aca="false">IF(ISBLANK($C464),"",$C464)</f>
        <v/>
      </c>
      <c r="CM464" s="140" t="str">
        <f aca="false">IF(ISBLANK($C464),"",$D464)</f>
        <v/>
      </c>
      <c r="CN464" s="141" t="str">
        <f aca="false">$CB464</f>
        <v/>
      </c>
      <c r="CO464" s="142" t="str">
        <f aca="false">$CA464</f>
        <v/>
      </c>
      <c r="CP464" s="140" t="str">
        <f aca="false">IF(ISBLANK($C464),"",$CD464)</f>
        <v/>
      </c>
      <c r="CQ464" s="143" t="str">
        <f aca="false">IF($CH464&gt;$CG$8,"",VLOOKUP($CH464,$CJ$9:$CP$508,7,FALSE()))</f>
        <v/>
      </c>
      <c r="CR464" s="144" t="str">
        <f aca="false">IF($CH464&gt;$CG$8,"",VLOOKUP($CH464,$CJ$9:$CP$508,2,FALSE()))</f>
        <v/>
      </c>
      <c r="CS464" s="144" t="str">
        <f aca="false">IF($CH464&gt;$CG$8,"",VLOOKUP($CH464,$CJ$9:$CP$508,3,FALSE()))</f>
        <v/>
      </c>
      <c r="CT464" s="144" t="str">
        <f aca="false">IF($CH464&gt;$CG$8,"",VLOOKUP($CH464,$CJ$9:$CP$508,4,FALSE()))</f>
        <v/>
      </c>
      <c r="CU464" s="144" t="str">
        <f aca="false">IF($CH464&gt;$CG$8,"",VLOOKUP($CH464,$CJ$9:$CP$508,5,FALSE()))</f>
        <v/>
      </c>
      <c r="CV464" s="145" t="str">
        <f aca="false">IF($CH464&gt;$CG$8,"",VLOOKUP($CH464,$CJ$9:$CP$508,6,FALSE()))</f>
        <v/>
      </c>
      <c r="CW464" s="71"/>
    </row>
    <row r="465" customFormat="false" ht="15.75" hidden="false" customHeight="false" outlineLevel="0" collapsed="false">
      <c r="A465" s="9"/>
      <c r="B465" s="72"/>
      <c r="C465" s="73"/>
      <c r="D465" s="160"/>
      <c r="E465" s="168"/>
      <c r="F465" s="162"/>
      <c r="G465" s="163"/>
      <c r="H465" s="169"/>
      <c r="I465" s="167"/>
      <c r="J465" s="80"/>
      <c r="K465" s="81"/>
      <c r="L465" s="82"/>
      <c r="M465" s="166"/>
      <c r="N465" s="167"/>
      <c r="O465" s="167"/>
      <c r="P465" s="80"/>
      <c r="Q465" s="82"/>
      <c r="R465" s="82"/>
      <c r="S465" s="166"/>
      <c r="T465" s="167"/>
      <c r="U465" s="86"/>
      <c r="V465" s="87"/>
      <c r="W465" s="87" t="str">
        <f aca="false">IF(ISBLANK($C465),"",IF(E465=Constants!$B$2,TRUE(),IF(E465=Constants!$B$3,FALSE(),TRUE())))</f>
        <v/>
      </c>
      <c r="X465" s="87" t="str">
        <f aca="false">IF(ISBLANK($C465),"",IF(F465=Constants!$B$2,TRUE(),IF(F465=Constants!$B$3,FALSE(),TRUE())))</f>
        <v/>
      </c>
      <c r="Y465" s="87" t="str">
        <f aca="false">IF(ISBLANK($C465),"",IF(G465=Constants!$B$2,TRUE(),IF(G465=Constants!$B$3,FALSE(),TRUE())))</f>
        <v/>
      </c>
      <c r="Z465" s="87" t="str">
        <f aca="false">IF(ISBLANK($C465),"",IF(H465=Constants!$B$2,TRUE(),IF(H465=Constants!$B$3,FALSE(),TRUE())))</f>
        <v/>
      </c>
      <c r="AA465" s="87" t="str">
        <f aca="false">IF(ISBLANK($C465),"",IF(I465=Constants!$B$2,TRUE(),IF(I465=Constants!$B$3,FALSE(),TRUE())))</f>
        <v/>
      </c>
      <c r="AB465" s="87" t="str">
        <f aca="false">IF(ISBLANK($C465),"",IF(J465=Constants!$B$4,TRUE(),IF(J465=Constants!$B$5,FALSE(),COUNTA(K465:M465)&gt;0)))</f>
        <v/>
      </c>
      <c r="AC465" s="88" t="str">
        <f aca="false">IF(ISBLANK($C465),"",IF(ISNUMBER(K465),IF(K465&gt;=0,K465,""),""))</f>
        <v/>
      </c>
      <c r="AD465" s="89" t="str">
        <f aca="false">IF(ISBLANK($C465),"",IF(ISNUMBER(L465),IF(L465&gt;=0,L465,""),""))</f>
        <v/>
      </c>
      <c r="AE465" s="87" t="str">
        <f aca="false">IF(ISBLANK($C465),"",IF(ISNUMBER(M465),IF(M465&gt;=0,MIN(M465,Constants!$B$22),""),""))</f>
        <v/>
      </c>
      <c r="AF465" s="87" t="str">
        <f aca="false">IF(ISBLANK($C465),"",IF(N465=Constants!$B$2,TRUE(),IF(N465=Constants!$B$3,FALSE(),TRUE())))</f>
        <v/>
      </c>
      <c r="AG465" s="87" t="str">
        <f aca="false">IF(ISBLANK($C465),"",IF(O465=Constants!$B$2,TRUE(),IF(O465=Constants!$B$3,FALSE(),TRUE())))</f>
        <v/>
      </c>
      <c r="AH465" s="87" t="str">
        <f aca="false">IF(ISBLANK($C465),"",IF(P465=Constants!$B$4,TRUE(),IF(P465=Constants!$B$5,FALSE(),COUNTA(Q465:S465)&gt;0)))</f>
        <v/>
      </c>
      <c r="AI465" s="88" t="str">
        <f aca="false">IF(ISBLANK($C465),"",IF(ISNUMBER(Q465),IF(Q465&gt;=0,Q465,""),""))</f>
        <v/>
      </c>
      <c r="AJ465" s="89" t="str">
        <f aca="false">IF(ISBLANK($C465),"",IF(ISNUMBER(R465),IF(R465&gt;=0,R465,""),""))</f>
        <v/>
      </c>
      <c r="AK465" s="87" t="str">
        <f aca="false">IF(ISBLANK($C465),"",IF(ISNUMBER(S465),IF(S465&gt;=0,MIN(S465,Constants!$B$22),""),""))</f>
        <v/>
      </c>
      <c r="AL465" s="87" t="str">
        <f aca="false">IF(ISBLANK($C465),"",IF(T465=Constants!$B$2,TRUE(),IF(T465=Constants!$B$3,FALSE(),FALSE())))</f>
        <v/>
      </c>
      <c r="AM465" s="86" t="str">
        <f aca="false">IF(ISBLANK($C465),"",AND($AB465,OR($AC465="",$AD465="",AND(NOT(ISBLANK($M465)),$AE465=""))))</f>
        <v/>
      </c>
      <c r="AN465" s="89" t="str">
        <f aca="false">IF($BD465&lt;&gt;Constants!$B$6,"",IF($AB465,Constants!$B$17*$AD465,Constants!$B$18))</f>
        <v/>
      </c>
      <c r="AO465" s="91" t="str">
        <f aca="false">IF($BD465&lt;&gt;Constants!$B$6,"",Constants!$B$19*IF($AB465,$AC465,0))</f>
        <v/>
      </c>
      <c r="AP465" s="91" t="str">
        <f aca="false">IF($BD465&lt;&gt;Constants!$B$6,"",IF(AND($AB465,ISNUMBER($AE465)),Constants!$B$20*(Constants!$B$21-$AE465),0))</f>
        <v/>
      </c>
      <c r="AQ465" s="91" t="str">
        <f aca="false">IF($BD465&lt;&gt;Constants!$B$6,"",IF($AA465,0,Constants!$B$12)+IF($Z465,0,Constants!$B$13)+IF($Y465,0,Constants!$B$14))</f>
        <v/>
      </c>
      <c r="AR465" s="92" t="str">
        <f aca="false">IF($BD465&lt;&gt;Constants!$B$6,"",Constants!$B$16+SUM($AN465:$AQ465))</f>
        <v/>
      </c>
      <c r="AS465" s="91" t="str">
        <f aca="false">IF($BD465&lt;&gt;Constants!$B$6,"",IF($AB465,$AD465,""))</f>
        <v/>
      </c>
      <c r="AT465" s="93" t="str">
        <f aca="false">IF($BD465&lt;&gt;Constants!$B$6,"",$AO465)</f>
        <v/>
      </c>
      <c r="AU465" s="87" t="str">
        <f aca="false">IF($BD465&lt;&gt;Constants!$B$6,"",IF(OR($BA465&lt;$AR465,AND($BA465=$AR465,OR(AND(ISNUMBER($BB465),OR(NOT(ISNUMBER($AS465)),$BB465&lt;$AS465)),AND(OR(AND($BB465="",$AS465=""),AND(ISNUMBER($BB465),ISNUMBER($AS465),$BB465=$AS465)),$BC465&lt;$AT465)))),"-&gt;","&lt;-"))</f>
        <v/>
      </c>
      <c r="AV465" s="86" t="str">
        <f aca="false">IF(ISBLANK($C465),"",AND($AH465,OR($AI465="",$AJ465="",AND(NOT(ISBLANK($S465)),$AK465=""))))</f>
        <v/>
      </c>
      <c r="AW465" s="89" t="str">
        <f aca="false">IF($BD465&lt;&gt;Constants!$B$6,"",IF($AH465,Constants!$B$17*$AJ465,Constants!$B$18))</f>
        <v/>
      </c>
      <c r="AX465" s="91" t="str">
        <f aca="false">IF($BD465&lt;&gt;Constants!$B$6,"",Constants!$B$19*IF($AH465,$AI465,0))</f>
        <v/>
      </c>
      <c r="AY465" s="91" t="str">
        <f aca="false">IF($BD465&lt;&gt;Constants!$B$6,"",IF(AND($AH465,ISNUMBER($AK465)),Constants!$B$20*(Constants!$B$21-$AK465),0))</f>
        <v/>
      </c>
      <c r="AZ465" s="91" t="str">
        <f aca="false">IF($BD465&lt;&gt;Constants!$B$6,"",IF($AG465,0,Constants!$B$12)+IF($AF465,0,Constants!$B$13)+IF($Y465,0,Constants!$B$14))</f>
        <v/>
      </c>
      <c r="BA465" s="92" t="str">
        <f aca="false">IF($BD465&lt;&gt;Constants!$B$6,"",Constants!$B$16+SUM($AW465:$AZ465))</f>
        <v/>
      </c>
      <c r="BB465" s="91" t="str">
        <f aca="false">IF($BD465&lt;&gt;Constants!$B$6,"",IF($AH465,$AJ465,""))</f>
        <v/>
      </c>
      <c r="BC465" s="93" t="str">
        <f aca="false">IF($BD465&lt;&gt;Constants!$B$6,"",$AX465)</f>
        <v/>
      </c>
      <c r="BD465" s="87" t="str">
        <f aca="false">IF(ISBLANK($C465),"",IF($AL465,Constants!$B$9,IF(COUNTA($E465:$T465)=0,Constants!$B$8,IF(NOT($X465),Constants!$B$7,IF(OR($AM465,$AV465),Constants!$B$10,Constants!$B$6)))))</f>
        <v/>
      </c>
      <c r="BE465" s="87" t="str">
        <f aca="false">IF(ISBLANK($C465),"",IF($BD465&lt;&gt;Constants!$B$6,$BD465,Constants!$B$11))</f>
        <v/>
      </c>
      <c r="BF465" s="91" t="str">
        <f aca="false">IF($BD465&lt;&gt;Constants!$B$6,"",IF($AU465="-&gt;",$BA465,$AR465))</f>
        <v/>
      </c>
      <c r="BG465" s="91" t="str">
        <f aca="false">IF($BD465&lt;&gt;Constants!$B$6,"",IF($W465,0,Constants!$B$15))</f>
        <v/>
      </c>
      <c r="BH465" s="91" t="str">
        <f aca="false">IF(ISBLANK($C465),"",IF($BD465&lt;&gt;Constants!$B$6,$BD465,SUM($BF465:$BG465)))</f>
        <v/>
      </c>
      <c r="BI465" s="87" t="str">
        <f aca="false">IF(ISBLANK($C465),"",IF($BD465&lt;&gt;Constants!$B$6,$BD465,RANK($BH465,$BH$9:$BH$508,1)))</f>
        <v/>
      </c>
      <c r="BJ465" s="91" t="str">
        <f aca="false">IF($BD465&lt;&gt;Constants!$B$6,"",IF($AU465="-&gt;",$BB465,$AS465))</f>
        <v/>
      </c>
      <c r="BK465" s="87" t="str">
        <f aca="false">IF(ISBLANK($C465),"",IF($BD465&lt;&gt;Constants!$B$6,$BD465,IF(ISNUMBER($BJ465),RANK($BJ465,$BJ$9:$BJ$508,1),COUNT($BJ$9:$BJ$508)+1)))</f>
        <v/>
      </c>
      <c r="BL465" s="91" t="str">
        <f aca="false">IF($BD465&lt;&gt;Constants!$B$6,"",IF($AU465="-&gt;",$BC465,$AT465))</f>
        <v/>
      </c>
      <c r="BM465" s="87" t="str">
        <f aca="false">IF(ISBLANK($C465),"",IF($BD465&lt;&gt;Constants!$B$6,$BD465,IF(ISNUMBER($BL465),RANK($BL465,$BL$9:$BL$508,1),COUNT($BL$9:$BL$508)+1)))</f>
        <v/>
      </c>
      <c r="BN465" s="91" t="str">
        <f aca="false">IF($BD465&lt;&gt;Constants!$B$6,"",IF($AU465="-&gt;",$AS465,$BB465))</f>
        <v/>
      </c>
      <c r="BO465" s="87" t="str">
        <f aca="false">IF(ISBLANK($C465),"",IF($BD465&lt;&gt;Constants!$B$6,$BD465,IF(ISNUMBER($BN465),RANK($BN465,$BN$9:$BN$508,1),COUNT($BN$9:$BN$508)+1)))</f>
        <v/>
      </c>
      <c r="BP465" s="91" t="str">
        <f aca="false">IF($BD465&lt;&gt;Constants!$B$6,"",IF($AU465="-&gt;",$AT465,$BC465))</f>
        <v/>
      </c>
      <c r="BQ465" s="87" t="str">
        <f aca="false">IF(ISBLANK($C465),"",IF($BD465&lt;&gt;Constants!$B$6,$BD465,IF(ISNUMBER($BP465),RANK($BP465,$BP$9:$BP$508,1),COUNT($BP$9:$BP$508)+1)))</f>
        <v/>
      </c>
      <c r="BR465" s="87" t="str">
        <f aca="false">IF(ISBLANK($C465),"",IF($BD465&lt;&gt;Constants!$B$6,$BD465,COUNTIFS($BI$9:$BI$508,"&lt;"&amp;$BI465)+COUNTIFS($BI$9:$BI$508,$BI465,$BK$9:$BK$508,"&lt;"&amp;$BK465)+COUNTIFS($BI$9:$BI$508,$BI465,$BK$9:$BK$508,$BK465,$BM$9:$BM$508,"&lt;"&amp;$BM465)+COUNTIFS($BI$9:$BI$508,$BI465,$BK$9:$BK$508,$BK465,$BM$9:$BM$508,$BM465,$BO$9:$BO$508,"&lt;"&amp;$BO465)+COUNTIFS($BI$9:$BI$508,$BI465,$BK$9:$BK$508,$BK465,$BM$9:$BM$508,$BM465,$BO$9:$BO$508,$BO465,$BQ$9:$BQ$508,"&lt;"&amp;$BQ465)+1))</f>
        <v/>
      </c>
      <c r="BS465" s="87" t="str">
        <f aca="false">IF(ISBLANK($C465),"",IF($BD465&lt;&gt;Constants!$B$6,$BD465,$BI465-$BR465))</f>
        <v/>
      </c>
      <c r="BT465" s="94"/>
      <c r="BU465" s="95"/>
      <c r="BV465" s="95" t="str">
        <f aca="false">IF(ISBLANK($C465),"",IF($BD465&lt;&gt;Constants!$B$6,"",IF($AU465="-&gt;",2,1)))</f>
        <v/>
      </c>
      <c r="BW465" s="96" t="str">
        <f aca="false">IF(ISBLANK($C465),"",IF($BD465&lt;&gt;Constants!$B$6,"",IF($AU465="-&gt;",$AW465,$AN465)))</f>
        <v/>
      </c>
      <c r="BX465" s="96" t="str">
        <f aca="false">IF(ISBLANK($C465),"",IF($BD465&lt;&gt;Constants!$B$6,"",IF($AU465="-&gt;",$AX465,$AO465)))</f>
        <v/>
      </c>
      <c r="BY465" s="96" t="str">
        <f aca="false">IF(ISBLANK($C465),"",IF($BD465&lt;&gt;Constants!$B$6,"",IF($AU465="-&gt;",$AY465,$AP465)))</f>
        <v/>
      </c>
      <c r="BZ465" s="96" t="str">
        <f aca="false">IF(ISBLANK($C465),"",IF($BD465&lt;&gt;Constants!$B$6,"",IF($AU465="-&gt;",$AZ465,$AQ465)+$BG465))</f>
        <v/>
      </c>
      <c r="CA465" s="97" t="str">
        <f aca="false">IF(ISBLANK($C465),"",IF($BD465&lt;&gt;Constants!$B$6,$BD465,$BH465))</f>
        <v/>
      </c>
      <c r="CB465" s="98" t="str">
        <f aca="false">IF(ISBLANK($C465),"",$BE465)</f>
        <v/>
      </c>
      <c r="CC465" s="99" t="str">
        <f aca="false">IF(ISBLANK($C465),"",$BS465)</f>
        <v/>
      </c>
      <c r="CD465" s="99" t="str">
        <f aca="false">IF(ISBLANK($C465),"",$BR465)</f>
        <v/>
      </c>
      <c r="CE465" s="100" t="str">
        <f aca="false">IF(ISBLANK($C465),"",IF($CD465=Constants!$B$9,COUNTA($C$9:$C$508)+2,IF($CD465=Constants!$B$8,COUNTA($C$9:$C$508)+1,IF($CD465=Constants!$B$7,COUNTA($C$9:$C$508),$CD465))))</f>
        <v/>
      </c>
      <c r="CF465" s="9"/>
      <c r="CG465" s="101" t="n">
        <f aca="false">IF(OR(ISNUMBER($CD465),$CD465=Constants!$B$9,$CD465=Constants!$B$7,$CD465=Constants!$B$8),1,0)</f>
        <v>0</v>
      </c>
      <c r="CH465" s="101" t="n">
        <v>457</v>
      </c>
      <c r="CI465" s="101" t="str">
        <f aca="false">IF(ISBLANK($C465),"",IF(ISNUMBER($CE465),$CE465+ROW($B465)/1000,""))</f>
        <v/>
      </c>
      <c r="CJ465" s="101" t="str">
        <f aca="false">IF(ISNUMBER($CI465),RANK($CI465,$CI$9:$CI$508,1),"")</f>
        <v/>
      </c>
      <c r="CK465" s="101" t="str">
        <f aca="false">IF(ISBLANK($C465),"",$B465)</f>
        <v/>
      </c>
      <c r="CL465" s="101" t="str">
        <f aca="false">IF(ISBLANK($C465),"",$C465)</f>
        <v/>
      </c>
      <c r="CM465" s="101" t="str">
        <f aca="false">IF(ISBLANK($C465),"",$D465)</f>
        <v/>
      </c>
      <c r="CN465" s="102" t="str">
        <f aca="false">$CB465</f>
        <v/>
      </c>
      <c r="CO465" s="103" t="str">
        <f aca="false">$CA465</f>
        <v/>
      </c>
      <c r="CP465" s="101" t="str">
        <f aca="false">IF(ISBLANK($C465),"",$CD465)</f>
        <v/>
      </c>
      <c r="CQ465" s="104" t="str">
        <f aca="false">IF($CH465&gt;$CG$8,"",VLOOKUP($CH465,$CJ$9:$CP$508,7,FALSE()))</f>
        <v/>
      </c>
      <c r="CR465" s="105" t="str">
        <f aca="false">IF($CH465&gt;$CG$8,"",VLOOKUP($CH465,$CJ$9:$CP$508,2,FALSE()))</f>
        <v/>
      </c>
      <c r="CS465" s="105" t="str">
        <f aca="false">IF($CH465&gt;$CG$8,"",VLOOKUP($CH465,$CJ$9:$CP$508,3,FALSE()))</f>
        <v/>
      </c>
      <c r="CT465" s="105" t="str">
        <f aca="false">IF($CH465&gt;$CG$8,"",VLOOKUP($CH465,$CJ$9:$CP$508,4,FALSE()))</f>
        <v/>
      </c>
      <c r="CU465" s="105" t="str">
        <f aca="false">IF($CH465&gt;$CG$8,"",VLOOKUP($CH465,$CJ$9:$CP$508,5,FALSE()))</f>
        <v/>
      </c>
      <c r="CV465" s="106" t="str">
        <f aca="false">IF($CH465&gt;$CG$8,"",VLOOKUP($CH465,$CJ$9:$CP$508,6,FALSE()))</f>
        <v/>
      </c>
      <c r="CW465" s="71"/>
    </row>
    <row r="466" customFormat="false" ht="15.75" hidden="false" customHeight="false" outlineLevel="0" collapsed="false">
      <c r="A466" s="9"/>
      <c r="B466" s="72"/>
      <c r="C466" s="73"/>
      <c r="D466" s="160"/>
      <c r="E466" s="168"/>
      <c r="F466" s="162"/>
      <c r="G466" s="163"/>
      <c r="H466" s="169"/>
      <c r="I466" s="167"/>
      <c r="J466" s="80"/>
      <c r="K466" s="81"/>
      <c r="L466" s="82"/>
      <c r="M466" s="166"/>
      <c r="N466" s="167"/>
      <c r="O466" s="167"/>
      <c r="P466" s="80"/>
      <c r="Q466" s="82"/>
      <c r="R466" s="82"/>
      <c r="S466" s="166"/>
      <c r="T466" s="167"/>
      <c r="U466" s="86"/>
      <c r="V466" s="87"/>
      <c r="W466" s="87" t="str">
        <f aca="false">IF(ISBLANK($C466),"",IF(E466=Constants!$B$2,TRUE(),IF(E466=Constants!$B$3,FALSE(),TRUE())))</f>
        <v/>
      </c>
      <c r="X466" s="87" t="str">
        <f aca="false">IF(ISBLANK($C466),"",IF(F466=Constants!$B$2,TRUE(),IF(F466=Constants!$B$3,FALSE(),TRUE())))</f>
        <v/>
      </c>
      <c r="Y466" s="87" t="str">
        <f aca="false">IF(ISBLANK($C466),"",IF(G466=Constants!$B$2,TRUE(),IF(G466=Constants!$B$3,FALSE(),TRUE())))</f>
        <v/>
      </c>
      <c r="Z466" s="87" t="str">
        <f aca="false">IF(ISBLANK($C466),"",IF(H466=Constants!$B$2,TRUE(),IF(H466=Constants!$B$3,FALSE(),TRUE())))</f>
        <v/>
      </c>
      <c r="AA466" s="87" t="str">
        <f aca="false">IF(ISBLANK($C466),"",IF(I466=Constants!$B$2,TRUE(),IF(I466=Constants!$B$3,FALSE(),TRUE())))</f>
        <v/>
      </c>
      <c r="AB466" s="87" t="str">
        <f aca="false">IF(ISBLANK($C466),"",IF(J466=Constants!$B$4,TRUE(),IF(J466=Constants!$B$5,FALSE(),COUNTA(K466:M466)&gt;0)))</f>
        <v/>
      </c>
      <c r="AC466" s="88" t="str">
        <f aca="false">IF(ISBLANK($C466),"",IF(ISNUMBER(K466),IF(K466&gt;=0,K466,""),""))</f>
        <v/>
      </c>
      <c r="AD466" s="89" t="str">
        <f aca="false">IF(ISBLANK($C466),"",IF(ISNUMBER(L466),IF(L466&gt;=0,L466,""),""))</f>
        <v/>
      </c>
      <c r="AE466" s="87" t="str">
        <f aca="false">IF(ISBLANK($C466),"",IF(ISNUMBER(M466),IF(M466&gt;=0,MIN(M466,Constants!$B$22),""),""))</f>
        <v/>
      </c>
      <c r="AF466" s="87" t="str">
        <f aca="false">IF(ISBLANK($C466),"",IF(N466=Constants!$B$2,TRUE(),IF(N466=Constants!$B$3,FALSE(),TRUE())))</f>
        <v/>
      </c>
      <c r="AG466" s="87" t="str">
        <f aca="false">IF(ISBLANK($C466),"",IF(O466=Constants!$B$2,TRUE(),IF(O466=Constants!$B$3,FALSE(),TRUE())))</f>
        <v/>
      </c>
      <c r="AH466" s="87" t="str">
        <f aca="false">IF(ISBLANK($C466),"",IF(P466=Constants!$B$4,TRUE(),IF(P466=Constants!$B$5,FALSE(),COUNTA(Q466:S466)&gt;0)))</f>
        <v/>
      </c>
      <c r="AI466" s="88" t="str">
        <f aca="false">IF(ISBLANK($C466),"",IF(ISNUMBER(Q466),IF(Q466&gt;=0,Q466,""),""))</f>
        <v/>
      </c>
      <c r="AJ466" s="89" t="str">
        <f aca="false">IF(ISBLANK($C466),"",IF(ISNUMBER(R466),IF(R466&gt;=0,R466,""),""))</f>
        <v/>
      </c>
      <c r="AK466" s="87" t="str">
        <f aca="false">IF(ISBLANK($C466),"",IF(ISNUMBER(S466),IF(S466&gt;=0,MIN(S466,Constants!$B$22),""),""))</f>
        <v/>
      </c>
      <c r="AL466" s="87" t="str">
        <f aca="false">IF(ISBLANK($C466),"",IF(T466=Constants!$B$2,TRUE(),IF(T466=Constants!$B$3,FALSE(),FALSE())))</f>
        <v/>
      </c>
      <c r="AM466" s="86" t="str">
        <f aca="false">IF(ISBLANK($C466),"",AND($AB466,OR($AC466="",$AD466="",AND(NOT(ISBLANK($M466)),$AE466=""))))</f>
        <v/>
      </c>
      <c r="AN466" s="89" t="str">
        <f aca="false">IF($BD466&lt;&gt;Constants!$B$6,"",IF($AB466,Constants!$B$17*$AD466,Constants!$B$18))</f>
        <v/>
      </c>
      <c r="AO466" s="91" t="str">
        <f aca="false">IF($BD466&lt;&gt;Constants!$B$6,"",Constants!$B$19*IF($AB466,$AC466,0))</f>
        <v/>
      </c>
      <c r="AP466" s="91" t="str">
        <f aca="false">IF($BD466&lt;&gt;Constants!$B$6,"",IF(AND($AB466,ISNUMBER($AE466)),Constants!$B$20*(Constants!$B$21-$AE466),0))</f>
        <v/>
      </c>
      <c r="AQ466" s="91" t="str">
        <f aca="false">IF($BD466&lt;&gt;Constants!$B$6,"",IF($AA466,0,Constants!$B$12)+IF($Z466,0,Constants!$B$13)+IF($Y466,0,Constants!$B$14))</f>
        <v/>
      </c>
      <c r="AR466" s="92" t="str">
        <f aca="false">IF($BD466&lt;&gt;Constants!$B$6,"",Constants!$B$16+SUM($AN466:$AQ466))</f>
        <v/>
      </c>
      <c r="AS466" s="91" t="str">
        <f aca="false">IF($BD466&lt;&gt;Constants!$B$6,"",IF($AB466,$AD466,""))</f>
        <v/>
      </c>
      <c r="AT466" s="93" t="str">
        <f aca="false">IF($BD466&lt;&gt;Constants!$B$6,"",$AO466)</f>
        <v/>
      </c>
      <c r="AU466" s="87" t="str">
        <f aca="false">IF($BD466&lt;&gt;Constants!$B$6,"",IF(OR($BA466&lt;$AR466,AND($BA466=$AR466,OR(AND(ISNUMBER($BB466),OR(NOT(ISNUMBER($AS466)),$BB466&lt;$AS466)),AND(OR(AND($BB466="",$AS466=""),AND(ISNUMBER($BB466),ISNUMBER($AS466),$BB466=$AS466)),$BC466&lt;$AT466)))),"-&gt;","&lt;-"))</f>
        <v/>
      </c>
      <c r="AV466" s="86" t="str">
        <f aca="false">IF(ISBLANK($C466),"",AND($AH466,OR($AI466="",$AJ466="",AND(NOT(ISBLANK($S466)),$AK466=""))))</f>
        <v/>
      </c>
      <c r="AW466" s="89" t="str">
        <f aca="false">IF($BD466&lt;&gt;Constants!$B$6,"",IF($AH466,Constants!$B$17*$AJ466,Constants!$B$18))</f>
        <v/>
      </c>
      <c r="AX466" s="91" t="str">
        <f aca="false">IF($BD466&lt;&gt;Constants!$B$6,"",Constants!$B$19*IF($AH466,$AI466,0))</f>
        <v/>
      </c>
      <c r="AY466" s="91" t="str">
        <f aca="false">IF($BD466&lt;&gt;Constants!$B$6,"",IF(AND($AH466,ISNUMBER($AK466)),Constants!$B$20*(Constants!$B$21-$AK466),0))</f>
        <v/>
      </c>
      <c r="AZ466" s="91" t="str">
        <f aca="false">IF($BD466&lt;&gt;Constants!$B$6,"",IF($AG466,0,Constants!$B$12)+IF($AF466,0,Constants!$B$13)+IF($Y466,0,Constants!$B$14))</f>
        <v/>
      </c>
      <c r="BA466" s="92" t="str">
        <f aca="false">IF($BD466&lt;&gt;Constants!$B$6,"",Constants!$B$16+SUM($AW466:$AZ466))</f>
        <v/>
      </c>
      <c r="BB466" s="91" t="str">
        <f aca="false">IF($BD466&lt;&gt;Constants!$B$6,"",IF($AH466,$AJ466,""))</f>
        <v/>
      </c>
      <c r="BC466" s="93" t="str">
        <f aca="false">IF($BD466&lt;&gt;Constants!$B$6,"",$AX466)</f>
        <v/>
      </c>
      <c r="BD466" s="87" t="str">
        <f aca="false">IF(ISBLANK($C466),"",IF($AL466,Constants!$B$9,IF(COUNTA($E466:$T466)=0,Constants!$B$8,IF(NOT($X466),Constants!$B$7,IF(OR($AM466,$AV466),Constants!$B$10,Constants!$B$6)))))</f>
        <v/>
      </c>
      <c r="BE466" s="87" t="str">
        <f aca="false">IF(ISBLANK($C466),"",IF($BD466&lt;&gt;Constants!$B$6,$BD466,Constants!$B$11))</f>
        <v/>
      </c>
      <c r="BF466" s="91" t="str">
        <f aca="false">IF($BD466&lt;&gt;Constants!$B$6,"",IF($AU466="-&gt;",$BA466,$AR466))</f>
        <v/>
      </c>
      <c r="BG466" s="91" t="str">
        <f aca="false">IF($BD466&lt;&gt;Constants!$B$6,"",IF($W466,0,Constants!$B$15))</f>
        <v/>
      </c>
      <c r="BH466" s="91" t="str">
        <f aca="false">IF(ISBLANK($C466),"",IF($BD466&lt;&gt;Constants!$B$6,$BD466,SUM($BF466:$BG466)))</f>
        <v/>
      </c>
      <c r="BI466" s="87" t="str">
        <f aca="false">IF(ISBLANK($C466),"",IF($BD466&lt;&gt;Constants!$B$6,$BD466,RANK($BH466,$BH$9:$BH$508,1)))</f>
        <v/>
      </c>
      <c r="BJ466" s="91" t="str">
        <f aca="false">IF($BD466&lt;&gt;Constants!$B$6,"",IF($AU466="-&gt;",$BB466,$AS466))</f>
        <v/>
      </c>
      <c r="BK466" s="87" t="str">
        <f aca="false">IF(ISBLANK($C466),"",IF($BD466&lt;&gt;Constants!$B$6,$BD466,IF(ISNUMBER($BJ466),RANK($BJ466,$BJ$9:$BJ$508,1),COUNT($BJ$9:$BJ$508)+1)))</f>
        <v/>
      </c>
      <c r="BL466" s="91" t="str">
        <f aca="false">IF($BD466&lt;&gt;Constants!$B$6,"",IF($AU466="-&gt;",$BC466,$AT466))</f>
        <v/>
      </c>
      <c r="BM466" s="87" t="str">
        <f aca="false">IF(ISBLANK($C466),"",IF($BD466&lt;&gt;Constants!$B$6,$BD466,IF(ISNUMBER($BL466),RANK($BL466,$BL$9:$BL$508,1),COUNT($BL$9:$BL$508)+1)))</f>
        <v/>
      </c>
      <c r="BN466" s="91" t="str">
        <f aca="false">IF($BD466&lt;&gt;Constants!$B$6,"",IF($AU466="-&gt;",$AS466,$BB466))</f>
        <v/>
      </c>
      <c r="BO466" s="87" t="str">
        <f aca="false">IF(ISBLANK($C466),"",IF($BD466&lt;&gt;Constants!$B$6,$BD466,IF(ISNUMBER($BN466),RANK($BN466,$BN$9:$BN$508,1),COUNT($BN$9:$BN$508)+1)))</f>
        <v/>
      </c>
      <c r="BP466" s="91" t="str">
        <f aca="false">IF($BD466&lt;&gt;Constants!$B$6,"",IF($AU466="-&gt;",$AT466,$BC466))</f>
        <v/>
      </c>
      <c r="BQ466" s="87" t="str">
        <f aca="false">IF(ISBLANK($C466),"",IF($BD466&lt;&gt;Constants!$B$6,$BD466,IF(ISNUMBER($BP466),RANK($BP466,$BP$9:$BP$508,1),COUNT($BP$9:$BP$508)+1)))</f>
        <v/>
      </c>
      <c r="BR466" s="87" t="str">
        <f aca="false">IF(ISBLANK($C466),"",IF($BD466&lt;&gt;Constants!$B$6,$BD466,COUNTIFS($BI$9:$BI$508,"&lt;"&amp;$BI466)+COUNTIFS($BI$9:$BI$508,$BI466,$BK$9:$BK$508,"&lt;"&amp;$BK466)+COUNTIFS($BI$9:$BI$508,$BI466,$BK$9:$BK$508,$BK466,$BM$9:$BM$508,"&lt;"&amp;$BM466)+COUNTIFS($BI$9:$BI$508,$BI466,$BK$9:$BK$508,$BK466,$BM$9:$BM$508,$BM466,$BO$9:$BO$508,"&lt;"&amp;$BO466)+COUNTIFS($BI$9:$BI$508,$BI466,$BK$9:$BK$508,$BK466,$BM$9:$BM$508,$BM466,$BO$9:$BO$508,$BO466,$BQ$9:$BQ$508,"&lt;"&amp;$BQ466)+1))</f>
        <v/>
      </c>
      <c r="BS466" s="87" t="str">
        <f aca="false">IF(ISBLANK($C466),"",IF($BD466&lt;&gt;Constants!$B$6,$BD466,$BI466-$BR466))</f>
        <v/>
      </c>
      <c r="BT466" s="94"/>
      <c r="BU466" s="95"/>
      <c r="BV466" s="95" t="str">
        <f aca="false">IF(ISBLANK($C466),"",IF($BD466&lt;&gt;Constants!$B$6,"",IF($AU466="-&gt;",2,1)))</f>
        <v/>
      </c>
      <c r="BW466" s="96" t="str">
        <f aca="false">IF(ISBLANK($C466),"",IF($BD466&lt;&gt;Constants!$B$6,"",IF($AU466="-&gt;",$AW466,$AN466)))</f>
        <v/>
      </c>
      <c r="BX466" s="96" t="str">
        <f aca="false">IF(ISBLANK($C466),"",IF($BD466&lt;&gt;Constants!$B$6,"",IF($AU466="-&gt;",$AX466,$AO466)))</f>
        <v/>
      </c>
      <c r="BY466" s="96" t="str">
        <f aca="false">IF(ISBLANK($C466),"",IF($BD466&lt;&gt;Constants!$B$6,"",IF($AU466="-&gt;",$AY466,$AP466)))</f>
        <v/>
      </c>
      <c r="BZ466" s="96" t="str">
        <f aca="false">IF(ISBLANK($C466),"",IF($BD466&lt;&gt;Constants!$B$6,"",IF($AU466="-&gt;",$AZ466,$AQ466)+$BG466))</f>
        <v/>
      </c>
      <c r="CA466" s="97" t="str">
        <f aca="false">IF(ISBLANK($C466),"",IF($BD466&lt;&gt;Constants!$B$6,$BD466,$BH466))</f>
        <v/>
      </c>
      <c r="CB466" s="98" t="str">
        <f aca="false">IF(ISBLANK($C466),"",$BE466)</f>
        <v/>
      </c>
      <c r="CC466" s="99" t="str">
        <f aca="false">IF(ISBLANK($C466),"",$BS466)</f>
        <v/>
      </c>
      <c r="CD466" s="99" t="str">
        <f aca="false">IF(ISBLANK($C466),"",$BR466)</f>
        <v/>
      </c>
      <c r="CE466" s="100" t="str">
        <f aca="false">IF(ISBLANK($C466),"",IF($CD466=Constants!$B$9,COUNTA($C$9:$C$508)+2,IF($CD466=Constants!$B$8,COUNTA($C$9:$C$508)+1,IF($CD466=Constants!$B$7,COUNTA($C$9:$C$508),$CD466))))</f>
        <v/>
      </c>
      <c r="CF466" s="9"/>
      <c r="CG466" s="101" t="n">
        <f aca="false">IF(OR(ISNUMBER($CD466),$CD466=Constants!$B$9,$CD466=Constants!$B$7,$CD466=Constants!$B$8),1,0)</f>
        <v>0</v>
      </c>
      <c r="CH466" s="101" t="n">
        <v>458</v>
      </c>
      <c r="CI466" s="101" t="str">
        <f aca="false">IF(ISBLANK($C466),"",IF(ISNUMBER($CE466),$CE466+ROW($B466)/1000,""))</f>
        <v/>
      </c>
      <c r="CJ466" s="101" t="str">
        <f aca="false">IF(ISNUMBER($CI466),RANK($CI466,$CI$9:$CI$508,1),"")</f>
        <v/>
      </c>
      <c r="CK466" s="101" t="str">
        <f aca="false">IF(ISBLANK($C466),"",$B466)</f>
        <v/>
      </c>
      <c r="CL466" s="101" t="str">
        <f aca="false">IF(ISBLANK($C466),"",$C466)</f>
        <v/>
      </c>
      <c r="CM466" s="101" t="str">
        <f aca="false">IF(ISBLANK($C466),"",$D466)</f>
        <v/>
      </c>
      <c r="CN466" s="102" t="str">
        <f aca="false">$CB466</f>
        <v/>
      </c>
      <c r="CO466" s="103" t="str">
        <f aca="false">$CA466</f>
        <v/>
      </c>
      <c r="CP466" s="101" t="str">
        <f aca="false">IF(ISBLANK($C466),"",$CD466)</f>
        <v/>
      </c>
      <c r="CQ466" s="104" t="str">
        <f aca="false">IF($CH466&gt;$CG$8,"",VLOOKUP($CH466,$CJ$9:$CP$508,7,FALSE()))</f>
        <v/>
      </c>
      <c r="CR466" s="105" t="str">
        <f aca="false">IF($CH466&gt;$CG$8,"",VLOOKUP($CH466,$CJ$9:$CP$508,2,FALSE()))</f>
        <v/>
      </c>
      <c r="CS466" s="105" t="str">
        <f aca="false">IF($CH466&gt;$CG$8,"",VLOOKUP($CH466,$CJ$9:$CP$508,3,FALSE()))</f>
        <v/>
      </c>
      <c r="CT466" s="105" t="str">
        <f aca="false">IF($CH466&gt;$CG$8,"",VLOOKUP($CH466,$CJ$9:$CP$508,4,FALSE()))</f>
        <v/>
      </c>
      <c r="CU466" s="105" t="str">
        <f aca="false">IF($CH466&gt;$CG$8,"",VLOOKUP($CH466,$CJ$9:$CP$508,5,FALSE()))</f>
        <v/>
      </c>
      <c r="CV466" s="106" t="str">
        <f aca="false">IF($CH466&gt;$CG$8,"",VLOOKUP($CH466,$CJ$9:$CP$508,6,FALSE()))</f>
        <v/>
      </c>
      <c r="CW466" s="71"/>
    </row>
    <row r="467" customFormat="false" ht="15.75" hidden="false" customHeight="false" outlineLevel="0" collapsed="false">
      <c r="A467" s="9"/>
      <c r="B467" s="72"/>
      <c r="C467" s="73"/>
      <c r="D467" s="160"/>
      <c r="E467" s="168"/>
      <c r="F467" s="162"/>
      <c r="G467" s="163"/>
      <c r="H467" s="169"/>
      <c r="I467" s="167"/>
      <c r="J467" s="80"/>
      <c r="K467" s="81"/>
      <c r="L467" s="82"/>
      <c r="M467" s="166"/>
      <c r="N467" s="167"/>
      <c r="O467" s="167"/>
      <c r="P467" s="80"/>
      <c r="Q467" s="82"/>
      <c r="R467" s="82"/>
      <c r="S467" s="166"/>
      <c r="T467" s="167"/>
      <c r="U467" s="86"/>
      <c r="V467" s="87"/>
      <c r="W467" s="87" t="str">
        <f aca="false">IF(ISBLANK($C467),"",IF(E467=Constants!$B$2,TRUE(),IF(E467=Constants!$B$3,FALSE(),TRUE())))</f>
        <v/>
      </c>
      <c r="X467" s="87" t="str">
        <f aca="false">IF(ISBLANK($C467),"",IF(F467=Constants!$B$2,TRUE(),IF(F467=Constants!$B$3,FALSE(),TRUE())))</f>
        <v/>
      </c>
      <c r="Y467" s="87" t="str">
        <f aca="false">IF(ISBLANK($C467),"",IF(G467=Constants!$B$2,TRUE(),IF(G467=Constants!$B$3,FALSE(),TRUE())))</f>
        <v/>
      </c>
      <c r="Z467" s="87" t="str">
        <f aca="false">IF(ISBLANK($C467),"",IF(H467=Constants!$B$2,TRUE(),IF(H467=Constants!$B$3,FALSE(),TRUE())))</f>
        <v/>
      </c>
      <c r="AA467" s="87" t="str">
        <f aca="false">IF(ISBLANK($C467),"",IF(I467=Constants!$B$2,TRUE(),IF(I467=Constants!$B$3,FALSE(),TRUE())))</f>
        <v/>
      </c>
      <c r="AB467" s="87" t="str">
        <f aca="false">IF(ISBLANK($C467),"",IF(J467=Constants!$B$4,TRUE(),IF(J467=Constants!$B$5,FALSE(),COUNTA(K467:M467)&gt;0)))</f>
        <v/>
      </c>
      <c r="AC467" s="88" t="str">
        <f aca="false">IF(ISBLANK($C467),"",IF(ISNUMBER(K467),IF(K467&gt;=0,K467,""),""))</f>
        <v/>
      </c>
      <c r="AD467" s="89" t="str">
        <f aca="false">IF(ISBLANK($C467),"",IF(ISNUMBER(L467),IF(L467&gt;=0,L467,""),""))</f>
        <v/>
      </c>
      <c r="AE467" s="87" t="str">
        <f aca="false">IF(ISBLANK($C467),"",IF(ISNUMBER(M467),IF(M467&gt;=0,MIN(M467,Constants!$B$22),""),""))</f>
        <v/>
      </c>
      <c r="AF467" s="87" t="str">
        <f aca="false">IF(ISBLANK($C467),"",IF(N467=Constants!$B$2,TRUE(),IF(N467=Constants!$B$3,FALSE(),TRUE())))</f>
        <v/>
      </c>
      <c r="AG467" s="87" t="str">
        <f aca="false">IF(ISBLANK($C467),"",IF(O467=Constants!$B$2,TRUE(),IF(O467=Constants!$B$3,FALSE(),TRUE())))</f>
        <v/>
      </c>
      <c r="AH467" s="87" t="str">
        <f aca="false">IF(ISBLANK($C467),"",IF(P467=Constants!$B$4,TRUE(),IF(P467=Constants!$B$5,FALSE(),COUNTA(Q467:S467)&gt;0)))</f>
        <v/>
      </c>
      <c r="AI467" s="88" t="str">
        <f aca="false">IF(ISBLANK($C467),"",IF(ISNUMBER(Q467),IF(Q467&gt;=0,Q467,""),""))</f>
        <v/>
      </c>
      <c r="AJ467" s="89" t="str">
        <f aca="false">IF(ISBLANK($C467),"",IF(ISNUMBER(R467),IF(R467&gt;=0,R467,""),""))</f>
        <v/>
      </c>
      <c r="AK467" s="87" t="str">
        <f aca="false">IF(ISBLANK($C467),"",IF(ISNUMBER(S467),IF(S467&gt;=0,MIN(S467,Constants!$B$22),""),""))</f>
        <v/>
      </c>
      <c r="AL467" s="87" t="str">
        <f aca="false">IF(ISBLANK($C467),"",IF(T467=Constants!$B$2,TRUE(),IF(T467=Constants!$B$3,FALSE(),FALSE())))</f>
        <v/>
      </c>
      <c r="AM467" s="86" t="str">
        <f aca="false">IF(ISBLANK($C467),"",AND($AB467,OR($AC467="",$AD467="",AND(NOT(ISBLANK($M467)),$AE467=""))))</f>
        <v/>
      </c>
      <c r="AN467" s="89" t="str">
        <f aca="false">IF($BD467&lt;&gt;Constants!$B$6,"",IF($AB467,Constants!$B$17*$AD467,Constants!$B$18))</f>
        <v/>
      </c>
      <c r="AO467" s="91" t="str">
        <f aca="false">IF($BD467&lt;&gt;Constants!$B$6,"",Constants!$B$19*IF($AB467,$AC467,0))</f>
        <v/>
      </c>
      <c r="AP467" s="91" t="str">
        <f aca="false">IF($BD467&lt;&gt;Constants!$B$6,"",IF(AND($AB467,ISNUMBER($AE467)),Constants!$B$20*(Constants!$B$21-$AE467),0))</f>
        <v/>
      </c>
      <c r="AQ467" s="91" t="str">
        <f aca="false">IF($BD467&lt;&gt;Constants!$B$6,"",IF($AA467,0,Constants!$B$12)+IF($Z467,0,Constants!$B$13)+IF($Y467,0,Constants!$B$14))</f>
        <v/>
      </c>
      <c r="AR467" s="92" t="str">
        <f aca="false">IF($BD467&lt;&gt;Constants!$B$6,"",Constants!$B$16+SUM($AN467:$AQ467))</f>
        <v/>
      </c>
      <c r="AS467" s="91" t="str">
        <f aca="false">IF($BD467&lt;&gt;Constants!$B$6,"",IF($AB467,$AD467,""))</f>
        <v/>
      </c>
      <c r="AT467" s="93" t="str">
        <f aca="false">IF($BD467&lt;&gt;Constants!$B$6,"",$AO467)</f>
        <v/>
      </c>
      <c r="AU467" s="87" t="str">
        <f aca="false">IF($BD467&lt;&gt;Constants!$B$6,"",IF(OR($BA467&lt;$AR467,AND($BA467=$AR467,OR(AND(ISNUMBER($BB467),OR(NOT(ISNUMBER($AS467)),$BB467&lt;$AS467)),AND(OR(AND($BB467="",$AS467=""),AND(ISNUMBER($BB467),ISNUMBER($AS467),$BB467=$AS467)),$BC467&lt;$AT467)))),"-&gt;","&lt;-"))</f>
        <v/>
      </c>
      <c r="AV467" s="86" t="str">
        <f aca="false">IF(ISBLANK($C467),"",AND($AH467,OR($AI467="",$AJ467="",AND(NOT(ISBLANK($S467)),$AK467=""))))</f>
        <v/>
      </c>
      <c r="AW467" s="89" t="str">
        <f aca="false">IF($BD467&lt;&gt;Constants!$B$6,"",IF($AH467,Constants!$B$17*$AJ467,Constants!$B$18))</f>
        <v/>
      </c>
      <c r="AX467" s="91" t="str">
        <f aca="false">IF($BD467&lt;&gt;Constants!$B$6,"",Constants!$B$19*IF($AH467,$AI467,0))</f>
        <v/>
      </c>
      <c r="AY467" s="91" t="str">
        <f aca="false">IF($BD467&lt;&gt;Constants!$B$6,"",IF(AND($AH467,ISNUMBER($AK467)),Constants!$B$20*(Constants!$B$21-$AK467),0))</f>
        <v/>
      </c>
      <c r="AZ467" s="91" t="str">
        <f aca="false">IF($BD467&lt;&gt;Constants!$B$6,"",IF($AG467,0,Constants!$B$12)+IF($AF467,0,Constants!$B$13)+IF($Y467,0,Constants!$B$14))</f>
        <v/>
      </c>
      <c r="BA467" s="92" t="str">
        <f aca="false">IF($BD467&lt;&gt;Constants!$B$6,"",Constants!$B$16+SUM($AW467:$AZ467))</f>
        <v/>
      </c>
      <c r="BB467" s="91" t="str">
        <f aca="false">IF($BD467&lt;&gt;Constants!$B$6,"",IF($AH467,$AJ467,""))</f>
        <v/>
      </c>
      <c r="BC467" s="93" t="str">
        <f aca="false">IF($BD467&lt;&gt;Constants!$B$6,"",$AX467)</f>
        <v/>
      </c>
      <c r="BD467" s="87" t="str">
        <f aca="false">IF(ISBLANK($C467),"",IF($AL467,Constants!$B$9,IF(COUNTA($E467:$T467)=0,Constants!$B$8,IF(NOT($X467),Constants!$B$7,IF(OR($AM467,$AV467),Constants!$B$10,Constants!$B$6)))))</f>
        <v/>
      </c>
      <c r="BE467" s="87" t="str">
        <f aca="false">IF(ISBLANK($C467),"",IF($BD467&lt;&gt;Constants!$B$6,$BD467,Constants!$B$11))</f>
        <v/>
      </c>
      <c r="BF467" s="91" t="str">
        <f aca="false">IF($BD467&lt;&gt;Constants!$B$6,"",IF($AU467="-&gt;",$BA467,$AR467))</f>
        <v/>
      </c>
      <c r="BG467" s="91" t="str">
        <f aca="false">IF($BD467&lt;&gt;Constants!$B$6,"",IF($W467,0,Constants!$B$15))</f>
        <v/>
      </c>
      <c r="BH467" s="91" t="str">
        <f aca="false">IF(ISBLANK($C467),"",IF($BD467&lt;&gt;Constants!$B$6,$BD467,SUM($BF467:$BG467)))</f>
        <v/>
      </c>
      <c r="BI467" s="87" t="str">
        <f aca="false">IF(ISBLANK($C467),"",IF($BD467&lt;&gt;Constants!$B$6,$BD467,RANK($BH467,$BH$9:$BH$508,1)))</f>
        <v/>
      </c>
      <c r="BJ467" s="91" t="str">
        <f aca="false">IF($BD467&lt;&gt;Constants!$B$6,"",IF($AU467="-&gt;",$BB467,$AS467))</f>
        <v/>
      </c>
      <c r="BK467" s="87" t="str">
        <f aca="false">IF(ISBLANK($C467),"",IF($BD467&lt;&gt;Constants!$B$6,$BD467,IF(ISNUMBER($BJ467),RANK($BJ467,$BJ$9:$BJ$508,1),COUNT($BJ$9:$BJ$508)+1)))</f>
        <v/>
      </c>
      <c r="BL467" s="91" t="str">
        <f aca="false">IF($BD467&lt;&gt;Constants!$B$6,"",IF($AU467="-&gt;",$BC467,$AT467))</f>
        <v/>
      </c>
      <c r="BM467" s="87" t="str">
        <f aca="false">IF(ISBLANK($C467),"",IF($BD467&lt;&gt;Constants!$B$6,$BD467,IF(ISNUMBER($BL467),RANK($BL467,$BL$9:$BL$508,1),COUNT($BL$9:$BL$508)+1)))</f>
        <v/>
      </c>
      <c r="BN467" s="91" t="str">
        <f aca="false">IF($BD467&lt;&gt;Constants!$B$6,"",IF($AU467="-&gt;",$AS467,$BB467))</f>
        <v/>
      </c>
      <c r="BO467" s="87" t="str">
        <f aca="false">IF(ISBLANK($C467),"",IF($BD467&lt;&gt;Constants!$B$6,$BD467,IF(ISNUMBER($BN467),RANK($BN467,$BN$9:$BN$508,1),COUNT($BN$9:$BN$508)+1)))</f>
        <v/>
      </c>
      <c r="BP467" s="91" t="str">
        <f aca="false">IF($BD467&lt;&gt;Constants!$B$6,"",IF($AU467="-&gt;",$AT467,$BC467))</f>
        <v/>
      </c>
      <c r="BQ467" s="87" t="str">
        <f aca="false">IF(ISBLANK($C467),"",IF($BD467&lt;&gt;Constants!$B$6,$BD467,IF(ISNUMBER($BP467),RANK($BP467,$BP$9:$BP$508,1),COUNT($BP$9:$BP$508)+1)))</f>
        <v/>
      </c>
      <c r="BR467" s="87" t="str">
        <f aca="false">IF(ISBLANK($C467),"",IF($BD467&lt;&gt;Constants!$B$6,$BD467,COUNTIFS($BI$9:$BI$508,"&lt;"&amp;$BI467)+COUNTIFS($BI$9:$BI$508,$BI467,$BK$9:$BK$508,"&lt;"&amp;$BK467)+COUNTIFS($BI$9:$BI$508,$BI467,$BK$9:$BK$508,$BK467,$BM$9:$BM$508,"&lt;"&amp;$BM467)+COUNTIFS($BI$9:$BI$508,$BI467,$BK$9:$BK$508,$BK467,$BM$9:$BM$508,$BM467,$BO$9:$BO$508,"&lt;"&amp;$BO467)+COUNTIFS($BI$9:$BI$508,$BI467,$BK$9:$BK$508,$BK467,$BM$9:$BM$508,$BM467,$BO$9:$BO$508,$BO467,$BQ$9:$BQ$508,"&lt;"&amp;$BQ467)+1))</f>
        <v/>
      </c>
      <c r="BS467" s="87" t="str">
        <f aca="false">IF(ISBLANK($C467),"",IF($BD467&lt;&gt;Constants!$B$6,$BD467,$BI467-$BR467))</f>
        <v/>
      </c>
      <c r="BT467" s="94"/>
      <c r="BU467" s="95"/>
      <c r="BV467" s="95" t="str">
        <f aca="false">IF(ISBLANK($C467),"",IF($BD467&lt;&gt;Constants!$B$6,"",IF($AU467="-&gt;",2,1)))</f>
        <v/>
      </c>
      <c r="BW467" s="96" t="str">
        <f aca="false">IF(ISBLANK($C467),"",IF($BD467&lt;&gt;Constants!$B$6,"",IF($AU467="-&gt;",$AW467,$AN467)))</f>
        <v/>
      </c>
      <c r="BX467" s="96" t="str">
        <f aca="false">IF(ISBLANK($C467),"",IF($BD467&lt;&gt;Constants!$B$6,"",IF($AU467="-&gt;",$AX467,$AO467)))</f>
        <v/>
      </c>
      <c r="BY467" s="96" t="str">
        <f aca="false">IF(ISBLANK($C467),"",IF($BD467&lt;&gt;Constants!$B$6,"",IF($AU467="-&gt;",$AY467,$AP467)))</f>
        <v/>
      </c>
      <c r="BZ467" s="96" t="str">
        <f aca="false">IF(ISBLANK($C467),"",IF($BD467&lt;&gt;Constants!$B$6,"",IF($AU467="-&gt;",$AZ467,$AQ467)+$BG467))</f>
        <v/>
      </c>
      <c r="CA467" s="97" t="str">
        <f aca="false">IF(ISBLANK($C467),"",IF($BD467&lt;&gt;Constants!$B$6,$BD467,$BH467))</f>
        <v/>
      </c>
      <c r="CB467" s="98" t="str">
        <f aca="false">IF(ISBLANK($C467),"",$BE467)</f>
        <v/>
      </c>
      <c r="CC467" s="99" t="str">
        <f aca="false">IF(ISBLANK($C467),"",$BS467)</f>
        <v/>
      </c>
      <c r="CD467" s="99" t="str">
        <f aca="false">IF(ISBLANK($C467),"",$BR467)</f>
        <v/>
      </c>
      <c r="CE467" s="100" t="str">
        <f aca="false">IF(ISBLANK($C467),"",IF($CD467=Constants!$B$9,COUNTA($C$9:$C$508)+2,IF($CD467=Constants!$B$8,COUNTA($C$9:$C$508)+1,IF($CD467=Constants!$B$7,COUNTA($C$9:$C$508),$CD467))))</f>
        <v/>
      </c>
      <c r="CF467" s="9"/>
      <c r="CG467" s="101" t="n">
        <f aca="false">IF(OR(ISNUMBER($CD467),$CD467=Constants!$B$9,$CD467=Constants!$B$7,$CD467=Constants!$B$8),1,0)</f>
        <v>0</v>
      </c>
      <c r="CH467" s="101" t="n">
        <v>459</v>
      </c>
      <c r="CI467" s="101" t="str">
        <f aca="false">IF(ISBLANK($C467),"",IF(ISNUMBER($CE467),$CE467+ROW($B467)/1000,""))</f>
        <v/>
      </c>
      <c r="CJ467" s="101" t="str">
        <f aca="false">IF(ISNUMBER($CI467),RANK($CI467,$CI$9:$CI$508,1),"")</f>
        <v/>
      </c>
      <c r="CK467" s="101" t="str">
        <f aca="false">IF(ISBLANK($C467),"",$B467)</f>
        <v/>
      </c>
      <c r="CL467" s="101" t="str">
        <f aca="false">IF(ISBLANK($C467),"",$C467)</f>
        <v/>
      </c>
      <c r="CM467" s="101" t="str">
        <f aca="false">IF(ISBLANK($C467),"",$D467)</f>
        <v/>
      </c>
      <c r="CN467" s="102" t="str">
        <f aca="false">$CB467</f>
        <v/>
      </c>
      <c r="CO467" s="103" t="str">
        <f aca="false">$CA467</f>
        <v/>
      </c>
      <c r="CP467" s="101" t="str">
        <f aca="false">IF(ISBLANK($C467),"",$CD467)</f>
        <v/>
      </c>
      <c r="CQ467" s="104" t="str">
        <f aca="false">IF($CH467&gt;$CG$8,"",VLOOKUP($CH467,$CJ$9:$CP$508,7,FALSE()))</f>
        <v/>
      </c>
      <c r="CR467" s="105" t="str">
        <f aca="false">IF($CH467&gt;$CG$8,"",VLOOKUP($CH467,$CJ$9:$CP$508,2,FALSE()))</f>
        <v/>
      </c>
      <c r="CS467" s="105" t="str">
        <f aca="false">IF($CH467&gt;$CG$8,"",VLOOKUP($CH467,$CJ$9:$CP$508,3,FALSE()))</f>
        <v/>
      </c>
      <c r="CT467" s="105" t="str">
        <f aca="false">IF($CH467&gt;$CG$8,"",VLOOKUP($CH467,$CJ$9:$CP$508,4,FALSE()))</f>
        <v/>
      </c>
      <c r="CU467" s="105" t="str">
        <f aca="false">IF($CH467&gt;$CG$8,"",VLOOKUP($CH467,$CJ$9:$CP$508,5,FALSE()))</f>
        <v/>
      </c>
      <c r="CV467" s="106" t="str">
        <f aca="false">IF($CH467&gt;$CG$8,"",VLOOKUP($CH467,$CJ$9:$CP$508,6,FALSE()))</f>
        <v/>
      </c>
      <c r="CW467" s="71"/>
    </row>
    <row r="468" customFormat="false" ht="15.75" hidden="false" customHeight="false" outlineLevel="0" collapsed="false">
      <c r="A468" s="9"/>
      <c r="B468" s="150"/>
      <c r="C468" s="151"/>
      <c r="D468" s="152"/>
      <c r="E468" s="170"/>
      <c r="F468" s="154"/>
      <c r="G468" s="155"/>
      <c r="H468" s="171"/>
      <c r="I468" s="159"/>
      <c r="J468" s="120"/>
      <c r="K468" s="121"/>
      <c r="L468" s="122"/>
      <c r="M468" s="158"/>
      <c r="N468" s="159"/>
      <c r="O468" s="159"/>
      <c r="P468" s="120"/>
      <c r="Q468" s="122"/>
      <c r="R468" s="122"/>
      <c r="S468" s="158"/>
      <c r="T468" s="159"/>
      <c r="U468" s="126"/>
      <c r="V468" s="127"/>
      <c r="W468" s="127" t="str">
        <f aca="false">IF(ISBLANK($C468),"",IF(E468=Constants!$B$2,TRUE(),IF(E468=Constants!$B$3,FALSE(),TRUE())))</f>
        <v/>
      </c>
      <c r="X468" s="127" t="str">
        <f aca="false">IF(ISBLANK($C468),"",IF(F468=Constants!$B$2,TRUE(),IF(F468=Constants!$B$3,FALSE(),TRUE())))</f>
        <v/>
      </c>
      <c r="Y468" s="127" t="str">
        <f aca="false">IF(ISBLANK($C468),"",IF(G468=Constants!$B$2,TRUE(),IF(G468=Constants!$B$3,FALSE(),TRUE())))</f>
        <v/>
      </c>
      <c r="Z468" s="127" t="str">
        <f aca="false">IF(ISBLANK($C468),"",IF(H468=Constants!$B$2,TRUE(),IF(H468=Constants!$B$3,FALSE(),TRUE())))</f>
        <v/>
      </c>
      <c r="AA468" s="127" t="str">
        <f aca="false">IF(ISBLANK($C468),"",IF(I468=Constants!$B$2,TRUE(),IF(I468=Constants!$B$3,FALSE(),TRUE())))</f>
        <v/>
      </c>
      <c r="AB468" s="127" t="str">
        <f aca="false">IF(ISBLANK($C468),"",IF(J468=Constants!$B$4,TRUE(),IF(J468=Constants!$B$5,FALSE(),COUNTA(K468:M468)&gt;0)))</f>
        <v/>
      </c>
      <c r="AC468" s="128" t="str">
        <f aca="false">IF(ISBLANK($C468),"",IF(ISNUMBER(K468),IF(K468&gt;=0,K468,""),""))</f>
        <v/>
      </c>
      <c r="AD468" s="129" t="str">
        <f aca="false">IF(ISBLANK($C468),"",IF(ISNUMBER(L468),IF(L468&gt;=0,L468,""),""))</f>
        <v/>
      </c>
      <c r="AE468" s="127" t="str">
        <f aca="false">IF(ISBLANK($C468),"",IF(ISNUMBER(M468),IF(M468&gt;=0,MIN(M468,Constants!$B$22),""),""))</f>
        <v/>
      </c>
      <c r="AF468" s="127" t="str">
        <f aca="false">IF(ISBLANK($C468),"",IF(N468=Constants!$B$2,TRUE(),IF(N468=Constants!$B$3,FALSE(),TRUE())))</f>
        <v/>
      </c>
      <c r="AG468" s="127" t="str">
        <f aca="false">IF(ISBLANK($C468),"",IF(O468=Constants!$B$2,TRUE(),IF(O468=Constants!$B$3,FALSE(),TRUE())))</f>
        <v/>
      </c>
      <c r="AH468" s="127" t="str">
        <f aca="false">IF(ISBLANK($C468),"",IF(P468=Constants!$B$4,TRUE(),IF(P468=Constants!$B$5,FALSE(),COUNTA(Q468:S468)&gt;0)))</f>
        <v/>
      </c>
      <c r="AI468" s="128" t="str">
        <f aca="false">IF(ISBLANK($C468),"",IF(ISNUMBER(Q468),IF(Q468&gt;=0,Q468,""),""))</f>
        <v/>
      </c>
      <c r="AJ468" s="129" t="str">
        <f aca="false">IF(ISBLANK($C468),"",IF(ISNUMBER(R468),IF(R468&gt;=0,R468,""),""))</f>
        <v/>
      </c>
      <c r="AK468" s="127" t="str">
        <f aca="false">IF(ISBLANK($C468),"",IF(ISNUMBER(S468),IF(S468&gt;=0,MIN(S468,Constants!$B$22),""),""))</f>
        <v/>
      </c>
      <c r="AL468" s="127" t="str">
        <f aca="false">IF(ISBLANK($C468),"",IF(T468=Constants!$B$2,TRUE(),IF(T468=Constants!$B$3,FALSE(),FALSE())))</f>
        <v/>
      </c>
      <c r="AM468" s="126" t="str">
        <f aca="false">IF(ISBLANK($C468),"",AND($AB468,OR($AC468="",$AD468="",AND(NOT(ISBLANK($M468)),$AE468=""))))</f>
        <v/>
      </c>
      <c r="AN468" s="129" t="str">
        <f aca="false">IF($BD468&lt;&gt;Constants!$B$6,"",IF($AB468,Constants!$B$17*$AD468,Constants!$B$18))</f>
        <v/>
      </c>
      <c r="AO468" s="130" t="str">
        <f aca="false">IF($BD468&lt;&gt;Constants!$B$6,"",Constants!$B$19*IF($AB468,$AC468,0))</f>
        <v/>
      </c>
      <c r="AP468" s="130" t="str">
        <f aca="false">IF($BD468&lt;&gt;Constants!$B$6,"",IF(AND($AB468,ISNUMBER($AE468)),Constants!$B$20*(Constants!$B$21-$AE468),0))</f>
        <v/>
      </c>
      <c r="AQ468" s="130" t="str">
        <f aca="false">IF($BD468&lt;&gt;Constants!$B$6,"",IF($AA468,0,Constants!$B$12)+IF($Z468,0,Constants!$B$13)+IF($Y468,0,Constants!$B$14))</f>
        <v/>
      </c>
      <c r="AR468" s="131" t="str">
        <f aca="false">IF($BD468&lt;&gt;Constants!$B$6,"",Constants!$B$16+SUM($AN468:$AQ468))</f>
        <v/>
      </c>
      <c r="AS468" s="130" t="str">
        <f aca="false">IF($BD468&lt;&gt;Constants!$B$6,"",IF($AB468,$AD468,""))</f>
        <v/>
      </c>
      <c r="AT468" s="132" t="str">
        <f aca="false">IF($BD468&lt;&gt;Constants!$B$6,"",$AO468)</f>
        <v/>
      </c>
      <c r="AU468" s="127" t="str">
        <f aca="false">IF($BD468&lt;&gt;Constants!$B$6,"",IF(OR($BA468&lt;$AR468,AND($BA468=$AR468,OR(AND(ISNUMBER($BB468),OR(NOT(ISNUMBER($AS468)),$BB468&lt;$AS468)),AND(OR(AND($BB468="",$AS468=""),AND(ISNUMBER($BB468),ISNUMBER($AS468),$BB468=$AS468)),$BC468&lt;$AT468)))),"-&gt;","&lt;-"))</f>
        <v/>
      </c>
      <c r="AV468" s="126" t="str">
        <f aca="false">IF(ISBLANK($C468),"",AND($AH468,OR($AI468="",$AJ468="",AND(NOT(ISBLANK($S468)),$AK468=""))))</f>
        <v/>
      </c>
      <c r="AW468" s="129" t="str">
        <f aca="false">IF($BD468&lt;&gt;Constants!$B$6,"",IF($AH468,Constants!$B$17*$AJ468,Constants!$B$18))</f>
        <v/>
      </c>
      <c r="AX468" s="130" t="str">
        <f aca="false">IF($BD468&lt;&gt;Constants!$B$6,"",Constants!$B$19*IF($AH468,$AI468,0))</f>
        <v/>
      </c>
      <c r="AY468" s="130" t="str">
        <f aca="false">IF($BD468&lt;&gt;Constants!$B$6,"",IF(AND($AH468,ISNUMBER($AK468)),Constants!$B$20*(Constants!$B$21-$AK468),0))</f>
        <v/>
      </c>
      <c r="AZ468" s="130" t="str">
        <f aca="false">IF($BD468&lt;&gt;Constants!$B$6,"",IF($AG468,0,Constants!$B$12)+IF($AF468,0,Constants!$B$13)+IF($Y468,0,Constants!$B$14))</f>
        <v/>
      </c>
      <c r="BA468" s="131" t="str">
        <f aca="false">IF($BD468&lt;&gt;Constants!$B$6,"",Constants!$B$16+SUM($AW468:$AZ468))</f>
        <v/>
      </c>
      <c r="BB468" s="130" t="str">
        <f aca="false">IF($BD468&lt;&gt;Constants!$B$6,"",IF($AH468,$AJ468,""))</f>
        <v/>
      </c>
      <c r="BC468" s="132" t="str">
        <f aca="false">IF($BD468&lt;&gt;Constants!$B$6,"",$AX468)</f>
        <v/>
      </c>
      <c r="BD468" s="127" t="str">
        <f aca="false">IF(ISBLANK($C468),"",IF($AL468,Constants!$B$9,IF(COUNTA($E468:$T468)=0,Constants!$B$8,IF(NOT($X468),Constants!$B$7,IF(OR($AM468,$AV468),Constants!$B$10,Constants!$B$6)))))</f>
        <v/>
      </c>
      <c r="BE468" s="127" t="str">
        <f aca="false">IF(ISBLANK($C468),"",IF($BD468&lt;&gt;Constants!$B$6,$BD468,Constants!$B$11))</f>
        <v/>
      </c>
      <c r="BF468" s="130" t="str">
        <f aca="false">IF($BD468&lt;&gt;Constants!$B$6,"",IF($AU468="-&gt;",$BA468,$AR468))</f>
        <v/>
      </c>
      <c r="BG468" s="130" t="str">
        <f aca="false">IF($BD468&lt;&gt;Constants!$B$6,"",IF($W468,0,Constants!$B$15))</f>
        <v/>
      </c>
      <c r="BH468" s="130" t="str">
        <f aca="false">IF(ISBLANK($C468),"",IF($BD468&lt;&gt;Constants!$B$6,$BD468,SUM($BF468:$BG468)))</f>
        <v/>
      </c>
      <c r="BI468" s="127" t="str">
        <f aca="false">IF(ISBLANK($C468),"",IF($BD468&lt;&gt;Constants!$B$6,$BD468,RANK($BH468,$BH$9:$BH$508,1)))</f>
        <v/>
      </c>
      <c r="BJ468" s="130" t="str">
        <f aca="false">IF($BD468&lt;&gt;Constants!$B$6,"",IF($AU468="-&gt;",$BB468,$AS468))</f>
        <v/>
      </c>
      <c r="BK468" s="127" t="str">
        <f aca="false">IF(ISBLANK($C468),"",IF($BD468&lt;&gt;Constants!$B$6,$BD468,IF(ISNUMBER($BJ468),RANK($BJ468,$BJ$9:$BJ$508,1),COUNT($BJ$9:$BJ$508)+1)))</f>
        <v/>
      </c>
      <c r="BL468" s="130" t="str">
        <f aca="false">IF($BD468&lt;&gt;Constants!$B$6,"",IF($AU468="-&gt;",$BC468,$AT468))</f>
        <v/>
      </c>
      <c r="BM468" s="127" t="str">
        <f aca="false">IF(ISBLANK($C468),"",IF($BD468&lt;&gt;Constants!$B$6,$BD468,IF(ISNUMBER($BL468),RANK($BL468,$BL$9:$BL$508,1),COUNT($BL$9:$BL$508)+1)))</f>
        <v/>
      </c>
      <c r="BN468" s="130" t="str">
        <f aca="false">IF($BD468&lt;&gt;Constants!$B$6,"",IF($AU468="-&gt;",$AS468,$BB468))</f>
        <v/>
      </c>
      <c r="BO468" s="127" t="str">
        <f aca="false">IF(ISBLANK($C468),"",IF($BD468&lt;&gt;Constants!$B$6,$BD468,IF(ISNUMBER($BN468),RANK($BN468,$BN$9:$BN$508,1),COUNT($BN$9:$BN$508)+1)))</f>
        <v/>
      </c>
      <c r="BP468" s="130" t="str">
        <f aca="false">IF($BD468&lt;&gt;Constants!$B$6,"",IF($AU468="-&gt;",$AT468,$BC468))</f>
        <v/>
      </c>
      <c r="BQ468" s="127" t="str">
        <f aca="false">IF(ISBLANK($C468),"",IF($BD468&lt;&gt;Constants!$B$6,$BD468,IF(ISNUMBER($BP468),RANK($BP468,$BP$9:$BP$508,1),COUNT($BP$9:$BP$508)+1)))</f>
        <v/>
      </c>
      <c r="BR468" s="127" t="str">
        <f aca="false">IF(ISBLANK($C468),"",IF($BD468&lt;&gt;Constants!$B$6,$BD468,COUNTIFS($BI$9:$BI$508,"&lt;"&amp;$BI468)+COUNTIFS($BI$9:$BI$508,$BI468,$BK$9:$BK$508,"&lt;"&amp;$BK468)+COUNTIFS($BI$9:$BI$508,$BI468,$BK$9:$BK$508,$BK468,$BM$9:$BM$508,"&lt;"&amp;$BM468)+COUNTIFS($BI$9:$BI$508,$BI468,$BK$9:$BK$508,$BK468,$BM$9:$BM$508,$BM468,$BO$9:$BO$508,"&lt;"&amp;$BO468)+COUNTIFS($BI$9:$BI$508,$BI468,$BK$9:$BK$508,$BK468,$BM$9:$BM$508,$BM468,$BO$9:$BO$508,$BO468,$BQ$9:$BQ$508,"&lt;"&amp;$BQ468)+1))</f>
        <v/>
      </c>
      <c r="BS468" s="127" t="str">
        <f aca="false">IF(ISBLANK($C468),"",IF($BD468&lt;&gt;Constants!$B$6,$BD468,$BI468-$BR468))</f>
        <v/>
      </c>
      <c r="BT468" s="133"/>
      <c r="BU468" s="134"/>
      <c r="BV468" s="134" t="str">
        <f aca="false">IF(ISBLANK($C468),"",IF($BD468&lt;&gt;Constants!$B$6,"",IF($AU468="-&gt;",2,1)))</f>
        <v/>
      </c>
      <c r="BW468" s="135" t="str">
        <f aca="false">IF(ISBLANK($C468),"",IF($BD468&lt;&gt;Constants!$B$6,"",IF($AU468="-&gt;",$AW468,$AN468)))</f>
        <v/>
      </c>
      <c r="BX468" s="135" t="str">
        <f aca="false">IF(ISBLANK($C468),"",IF($BD468&lt;&gt;Constants!$B$6,"",IF($AU468="-&gt;",$AX468,$AO468)))</f>
        <v/>
      </c>
      <c r="BY468" s="135" t="str">
        <f aca="false">IF(ISBLANK($C468),"",IF($BD468&lt;&gt;Constants!$B$6,"",IF($AU468="-&gt;",$AY468,$AP468)))</f>
        <v/>
      </c>
      <c r="BZ468" s="135" t="str">
        <f aca="false">IF(ISBLANK($C468),"",IF($BD468&lt;&gt;Constants!$B$6,"",IF($AU468="-&gt;",$AZ468,$AQ468)+$BG468))</f>
        <v/>
      </c>
      <c r="CA468" s="136" t="str">
        <f aca="false">IF(ISBLANK($C468),"",IF($BD468&lt;&gt;Constants!$B$6,$BD468,$BH468))</f>
        <v/>
      </c>
      <c r="CB468" s="137" t="str">
        <f aca="false">IF(ISBLANK($C468),"",$BE468)</f>
        <v/>
      </c>
      <c r="CC468" s="138" t="str">
        <f aca="false">IF(ISBLANK($C468),"",$BS468)</f>
        <v/>
      </c>
      <c r="CD468" s="138" t="str">
        <f aca="false">IF(ISBLANK($C468),"",$BR468)</f>
        <v/>
      </c>
      <c r="CE468" s="139" t="str">
        <f aca="false">IF(ISBLANK($C468),"",IF($CD468=Constants!$B$9,COUNTA($C$9:$C$508)+2,IF($CD468=Constants!$B$8,COUNTA($C$9:$C$508)+1,IF($CD468=Constants!$B$7,COUNTA($C$9:$C$508),$CD468))))</f>
        <v/>
      </c>
      <c r="CF468" s="9"/>
      <c r="CG468" s="140" t="n">
        <f aca="false">IF(OR(ISNUMBER($CD468),$CD468=Constants!$B$9,$CD468=Constants!$B$7,$CD468=Constants!$B$8),1,0)</f>
        <v>0</v>
      </c>
      <c r="CH468" s="140" t="n">
        <v>460</v>
      </c>
      <c r="CI468" s="140" t="str">
        <f aca="false">IF(ISBLANK($C468),"",IF(ISNUMBER($CE468),$CE468+ROW($B468)/1000,""))</f>
        <v/>
      </c>
      <c r="CJ468" s="140" t="str">
        <f aca="false">IF(ISNUMBER($CI468),RANK($CI468,$CI$9:$CI$508,1),"")</f>
        <v/>
      </c>
      <c r="CK468" s="140" t="str">
        <f aca="false">IF(ISBLANK($C468),"",$B468)</f>
        <v/>
      </c>
      <c r="CL468" s="140" t="str">
        <f aca="false">IF(ISBLANK($C468),"",$C468)</f>
        <v/>
      </c>
      <c r="CM468" s="140" t="str">
        <f aca="false">IF(ISBLANK($C468),"",$D468)</f>
        <v/>
      </c>
      <c r="CN468" s="141" t="str">
        <f aca="false">$CB468</f>
        <v/>
      </c>
      <c r="CO468" s="142" t="str">
        <f aca="false">$CA468</f>
        <v/>
      </c>
      <c r="CP468" s="140" t="str">
        <f aca="false">IF(ISBLANK($C468),"",$CD468)</f>
        <v/>
      </c>
      <c r="CQ468" s="143" t="str">
        <f aca="false">IF($CH468&gt;$CG$8,"",VLOOKUP($CH468,$CJ$9:$CP$508,7,FALSE()))</f>
        <v/>
      </c>
      <c r="CR468" s="144" t="str">
        <f aca="false">IF($CH468&gt;$CG$8,"",VLOOKUP($CH468,$CJ$9:$CP$508,2,FALSE()))</f>
        <v/>
      </c>
      <c r="CS468" s="144" t="str">
        <f aca="false">IF($CH468&gt;$CG$8,"",VLOOKUP($CH468,$CJ$9:$CP$508,3,FALSE()))</f>
        <v/>
      </c>
      <c r="CT468" s="144" t="str">
        <f aca="false">IF($CH468&gt;$CG$8,"",VLOOKUP($CH468,$CJ$9:$CP$508,4,FALSE()))</f>
        <v/>
      </c>
      <c r="CU468" s="144" t="str">
        <f aca="false">IF($CH468&gt;$CG$8,"",VLOOKUP($CH468,$CJ$9:$CP$508,5,FALSE()))</f>
        <v/>
      </c>
      <c r="CV468" s="145" t="str">
        <f aca="false">IF($CH468&gt;$CG$8,"",VLOOKUP($CH468,$CJ$9:$CP$508,6,FALSE()))</f>
        <v/>
      </c>
      <c r="CW468" s="71"/>
    </row>
    <row r="469" customFormat="false" ht="15.75" hidden="false" customHeight="false" outlineLevel="0" collapsed="false">
      <c r="A469" s="9"/>
      <c r="B469" s="150"/>
      <c r="C469" s="151"/>
      <c r="D469" s="152"/>
      <c r="E469" s="170"/>
      <c r="F469" s="154"/>
      <c r="G469" s="155"/>
      <c r="H469" s="171"/>
      <c r="I469" s="159"/>
      <c r="J469" s="120"/>
      <c r="K469" s="121"/>
      <c r="L469" s="122"/>
      <c r="M469" s="158"/>
      <c r="N469" s="159"/>
      <c r="O469" s="159"/>
      <c r="P469" s="120"/>
      <c r="Q469" s="122"/>
      <c r="R469" s="122"/>
      <c r="S469" s="158"/>
      <c r="T469" s="159"/>
      <c r="U469" s="126"/>
      <c r="V469" s="127"/>
      <c r="W469" s="127" t="str">
        <f aca="false">IF(ISBLANK($C469),"",IF(E469=Constants!$B$2,TRUE(),IF(E469=Constants!$B$3,FALSE(),TRUE())))</f>
        <v/>
      </c>
      <c r="X469" s="127" t="str">
        <f aca="false">IF(ISBLANK($C469),"",IF(F469=Constants!$B$2,TRUE(),IF(F469=Constants!$B$3,FALSE(),TRUE())))</f>
        <v/>
      </c>
      <c r="Y469" s="127" t="str">
        <f aca="false">IF(ISBLANK($C469),"",IF(G469=Constants!$B$2,TRUE(),IF(G469=Constants!$B$3,FALSE(),TRUE())))</f>
        <v/>
      </c>
      <c r="Z469" s="127" t="str">
        <f aca="false">IF(ISBLANK($C469),"",IF(H469=Constants!$B$2,TRUE(),IF(H469=Constants!$B$3,FALSE(),TRUE())))</f>
        <v/>
      </c>
      <c r="AA469" s="127" t="str">
        <f aca="false">IF(ISBLANK($C469),"",IF(I469=Constants!$B$2,TRUE(),IF(I469=Constants!$B$3,FALSE(),TRUE())))</f>
        <v/>
      </c>
      <c r="AB469" s="127" t="str">
        <f aca="false">IF(ISBLANK($C469),"",IF(J469=Constants!$B$4,TRUE(),IF(J469=Constants!$B$5,FALSE(),COUNTA(K469:M469)&gt;0)))</f>
        <v/>
      </c>
      <c r="AC469" s="128" t="str">
        <f aca="false">IF(ISBLANK($C469),"",IF(ISNUMBER(K469),IF(K469&gt;=0,K469,""),""))</f>
        <v/>
      </c>
      <c r="AD469" s="129" t="str">
        <f aca="false">IF(ISBLANK($C469),"",IF(ISNUMBER(L469),IF(L469&gt;=0,L469,""),""))</f>
        <v/>
      </c>
      <c r="AE469" s="127" t="str">
        <f aca="false">IF(ISBLANK($C469),"",IF(ISNUMBER(M469),IF(M469&gt;=0,MIN(M469,Constants!$B$22),""),""))</f>
        <v/>
      </c>
      <c r="AF469" s="127" t="str">
        <f aca="false">IF(ISBLANK($C469),"",IF(N469=Constants!$B$2,TRUE(),IF(N469=Constants!$B$3,FALSE(),TRUE())))</f>
        <v/>
      </c>
      <c r="AG469" s="127" t="str">
        <f aca="false">IF(ISBLANK($C469),"",IF(O469=Constants!$B$2,TRUE(),IF(O469=Constants!$B$3,FALSE(),TRUE())))</f>
        <v/>
      </c>
      <c r="AH469" s="127" t="str">
        <f aca="false">IF(ISBLANK($C469),"",IF(P469=Constants!$B$4,TRUE(),IF(P469=Constants!$B$5,FALSE(),COUNTA(Q469:S469)&gt;0)))</f>
        <v/>
      </c>
      <c r="AI469" s="128" t="str">
        <f aca="false">IF(ISBLANK($C469),"",IF(ISNUMBER(Q469),IF(Q469&gt;=0,Q469,""),""))</f>
        <v/>
      </c>
      <c r="AJ469" s="129" t="str">
        <f aca="false">IF(ISBLANK($C469),"",IF(ISNUMBER(R469),IF(R469&gt;=0,R469,""),""))</f>
        <v/>
      </c>
      <c r="AK469" s="127" t="str">
        <f aca="false">IF(ISBLANK($C469),"",IF(ISNUMBER(S469),IF(S469&gt;=0,MIN(S469,Constants!$B$22),""),""))</f>
        <v/>
      </c>
      <c r="AL469" s="127" t="str">
        <f aca="false">IF(ISBLANK($C469),"",IF(T469=Constants!$B$2,TRUE(),IF(T469=Constants!$B$3,FALSE(),FALSE())))</f>
        <v/>
      </c>
      <c r="AM469" s="126" t="str">
        <f aca="false">IF(ISBLANK($C469),"",AND($AB469,OR($AC469="",$AD469="",AND(NOT(ISBLANK($M469)),$AE469=""))))</f>
        <v/>
      </c>
      <c r="AN469" s="129" t="str">
        <f aca="false">IF($BD469&lt;&gt;Constants!$B$6,"",IF($AB469,Constants!$B$17*$AD469,Constants!$B$18))</f>
        <v/>
      </c>
      <c r="AO469" s="130" t="str">
        <f aca="false">IF($BD469&lt;&gt;Constants!$B$6,"",Constants!$B$19*IF($AB469,$AC469,0))</f>
        <v/>
      </c>
      <c r="AP469" s="130" t="str">
        <f aca="false">IF($BD469&lt;&gt;Constants!$B$6,"",IF(AND($AB469,ISNUMBER($AE469)),Constants!$B$20*(Constants!$B$21-$AE469),0))</f>
        <v/>
      </c>
      <c r="AQ469" s="130" t="str">
        <f aca="false">IF($BD469&lt;&gt;Constants!$B$6,"",IF($AA469,0,Constants!$B$12)+IF($Z469,0,Constants!$B$13)+IF($Y469,0,Constants!$B$14))</f>
        <v/>
      </c>
      <c r="AR469" s="131" t="str">
        <f aca="false">IF($BD469&lt;&gt;Constants!$B$6,"",Constants!$B$16+SUM($AN469:$AQ469))</f>
        <v/>
      </c>
      <c r="AS469" s="130" t="str">
        <f aca="false">IF($BD469&lt;&gt;Constants!$B$6,"",IF($AB469,$AD469,""))</f>
        <v/>
      </c>
      <c r="AT469" s="132" t="str">
        <f aca="false">IF($BD469&lt;&gt;Constants!$B$6,"",$AO469)</f>
        <v/>
      </c>
      <c r="AU469" s="127" t="str">
        <f aca="false">IF($BD469&lt;&gt;Constants!$B$6,"",IF(OR($BA469&lt;$AR469,AND($BA469=$AR469,OR(AND(ISNUMBER($BB469),OR(NOT(ISNUMBER($AS469)),$BB469&lt;$AS469)),AND(OR(AND($BB469="",$AS469=""),AND(ISNUMBER($BB469),ISNUMBER($AS469),$BB469=$AS469)),$BC469&lt;$AT469)))),"-&gt;","&lt;-"))</f>
        <v/>
      </c>
      <c r="AV469" s="126" t="str">
        <f aca="false">IF(ISBLANK($C469),"",AND($AH469,OR($AI469="",$AJ469="",AND(NOT(ISBLANK($S469)),$AK469=""))))</f>
        <v/>
      </c>
      <c r="AW469" s="129" t="str">
        <f aca="false">IF($BD469&lt;&gt;Constants!$B$6,"",IF($AH469,Constants!$B$17*$AJ469,Constants!$B$18))</f>
        <v/>
      </c>
      <c r="AX469" s="130" t="str">
        <f aca="false">IF($BD469&lt;&gt;Constants!$B$6,"",Constants!$B$19*IF($AH469,$AI469,0))</f>
        <v/>
      </c>
      <c r="AY469" s="130" t="str">
        <f aca="false">IF($BD469&lt;&gt;Constants!$B$6,"",IF(AND($AH469,ISNUMBER($AK469)),Constants!$B$20*(Constants!$B$21-$AK469),0))</f>
        <v/>
      </c>
      <c r="AZ469" s="130" t="str">
        <f aca="false">IF($BD469&lt;&gt;Constants!$B$6,"",IF($AG469,0,Constants!$B$12)+IF($AF469,0,Constants!$B$13)+IF($Y469,0,Constants!$B$14))</f>
        <v/>
      </c>
      <c r="BA469" s="131" t="str">
        <f aca="false">IF($BD469&lt;&gt;Constants!$B$6,"",Constants!$B$16+SUM($AW469:$AZ469))</f>
        <v/>
      </c>
      <c r="BB469" s="130" t="str">
        <f aca="false">IF($BD469&lt;&gt;Constants!$B$6,"",IF($AH469,$AJ469,""))</f>
        <v/>
      </c>
      <c r="BC469" s="132" t="str">
        <f aca="false">IF($BD469&lt;&gt;Constants!$B$6,"",$AX469)</f>
        <v/>
      </c>
      <c r="BD469" s="127" t="str">
        <f aca="false">IF(ISBLANK($C469),"",IF($AL469,Constants!$B$9,IF(COUNTA($E469:$T469)=0,Constants!$B$8,IF(NOT($X469),Constants!$B$7,IF(OR($AM469,$AV469),Constants!$B$10,Constants!$B$6)))))</f>
        <v/>
      </c>
      <c r="BE469" s="127" t="str">
        <f aca="false">IF(ISBLANK($C469),"",IF($BD469&lt;&gt;Constants!$B$6,$BD469,Constants!$B$11))</f>
        <v/>
      </c>
      <c r="BF469" s="130" t="str">
        <f aca="false">IF($BD469&lt;&gt;Constants!$B$6,"",IF($AU469="-&gt;",$BA469,$AR469))</f>
        <v/>
      </c>
      <c r="BG469" s="130" t="str">
        <f aca="false">IF($BD469&lt;&gt;Constants!$B$6,"",IF($W469,0,Constants!$B$15))</f>
        <v/>
      </c>
      <c r="BH469" s="130" t="str">
        <f aca="false">IF(ISBLANK($C469),"",IF($BD469&lt;&gt;Constants!$B$6,$BD469,SUM($BF469:$BG469)))</f>
        <v/>
      </c>
      <c r="BI469" s="127" t="str">
        <f aca="false">IF(ISBLANK($C469),"",IF($BD469&lt;&gt;Constants!$B$6,$BD469,RANK($BH469,$BH$9:$BH$508,1)))</f>
        <v/>
      </c>
      <c r="BJ469" s="130" t="str">
        <f aca="false">IF($BD469&lt;&gt;Constants!$B$6,"",IF($AU469="-&gt;",$BB469,$AS469))</f>
        <v/>
      </c>
      <c r="BK469" s="127" t="str">
        <f aca="false">IF(ISBLANK($C469),"",IF($BD469&lt;&gt;Constants!$B$6,$BD469,IF(ISNUMBER($BJ469),RANK($BJ469,$BJ$9:$BJ$508,1),COUNT($BJ$9:$BJ$508)+1)))</f>
        <v/>
      </c>
      <c r="BL469" s="130" t="str">
        <f aca="false">IF($BD469&lt;&gt;Constants!$B$6,"",IF($AU469="-&gt;",$BC469,$AT469))</f>
        <v/>
      </c>
      <c r="BM469" s="127" t="str">
        <f aca="false">IF(ISBLANK($C469),"",IF($BD469&lt;&gt;Constants!$B$6,$BD469,IF(ISNUMBER($BL469),RANK($BL469,$BL$9:$BL$508,1),COUNT($BL$9:$BL$508)+1)))</f>
        <v/>
      </c>
      <c r="BN469" s="130" t="str">
        <f aca="false">IF($BD469&lt;&gt;Constants!$B$6,"",IF($AU469="-&gt;",$AS469,$BB469))</f>
        <v/>
      </c>
      <c r="BO469" s="127" t="str">
        <f aca="false">IF(ISBLANK($C469),"",IF($BD469&lt;&gt;Constants!$B$6,$BD469,IF(ISNUMBER($BN469),RANK($BN469,$BN$9:$BN$508,1),COUNT($BN$9:$BN$508)+1)))</f>
        <v/>
      </c>
      <c r="BP469" s="130" t="str">
        <f aca="false">IF($BD469&lt;&gt;Constants!$B$6,"",IF($AU469="-&gt;",$AT469,$BC469))</f>
        <v/>
      </c>
      <c r="BQ469" s="127" t="str">
        <f aca="false">IF(ISBLANK($C469),"",IF($BD469&lt;&gt;Constants!$B$6,$BD469,IF(ISNUMBER($BP469),RANK($BP469,$BP$9:$BP$508,1),COUNT($BP$9:$BP$508)+1)))</f>
        <v/>
      </c>
      <c r="BR469" s="127" t="str">
        <f aca="false">IF(ISBLANK($C469),"",IF($BD469&lt;&gt;Constants!$B$6,$BD469,COUNTIFS($BI$9:$BI$508,"&lt;"&amp;$BI469)+COUNTIFS($BI$9:$BI$508,$BI469,$BK$9:$BK$508,"&lt;"&amp;$BK469)+COUNTIFS($BI$9:$BI$508,$BI469,$BK$9:$BK$508,$BK469,$BM$9:$BM$508,"&lt;"&amp;$BM469)+COUNTIFS($BI$9:$BI$508,$BI469,$BK$9:$BK$508,$BK469,$BM$9:$BM$508,$BM469,$BO$9:$BO$508,"&lt;"&amp;$BO469)+COUNTIFS($BI$9:$BI$508,$BI469,$BK$9:$BK$508,$BK469,$BM$9:$BM$508,$BM469,$BO$9:$BO$508,$BO469,$BQ$9:$BQ$508,"&lt;"&amp;$BQ469)+1))</f>
        <v/>
      </c>
      <c r="BS469" s="127" t="str">
        <f aca="false">IF(ISBLANK($C469),"",IF($BD469&lt;&gt;Constants!$B$6,$BD469,$BI469-$BR469))</f>
        <v/>
      </c>
      <c r="BT469" s="133"/>
      <c r="BU469" s="134"/>
      <c r="BV469" s="134" t="str">
        <f aca="false">IF(ISBLANK($C469),"",IF($BD469&lt;&gt;Constants!$B$6,"",IF($AU469="-&gt;",2,1)))</f>
        <v/>
      </c>
      <c r="BW469" s="135" t="str">
        <f aca="false">IF(ISBLANK($C469),"",IF($BD469&lt;&gt;Constants!$B$6,"",IF($AU469="-&gt;",$AW469,$AN469)))</f>
        <v/>
      </c>
      <c r="BX469" s="135" t="str">
        <f aca="false">IF(ISBLANK($C469),"",IF($BD469&lt;&gt;Constants!$B$6,"",IF($AU469="-&gt;",$AX469,$AO469)))</f>
        <v/>
      </c>
      <c r="BY469" s="135" t="str">
        <f aca="false">IF(ISBLANK($C469),"",IF($BD469&lt;&gt;Constants!$B$6,"",IF($AU469="-&gt;",$AY469,$AP469)))</f>
        <v/>
      </c>
      <c r="BZ469" s="135" t="str">
        <f aca="false">IF(ISBLANK($C469),"",IF($BD469&lt;&gt;Constants!$B$6,"",IF($AU469="-&gt;",$AZ469,$AQ469)+$BG469))</f>
        <v/>
      </c>
      <c r="CA469" s="136" t="str">
        <f aca="false">IF(ISBLANK($C469),"",IF($BD469&lt;&gt;Constants!$B$6,$BD469,$BH469))</f>
        <v/>
      </c>
      <c r="CB469" s="137" t="str">
        <f aca="false">IF(ISBLANK($C469),"",$BE469)</f>
        <v/>
      </c>
      <c r="CC469" s="138" t="str">
        <f aca="false">IF(ISBLANK($C469),"",$BS469)</f>
        <v/>
      </c>
      <c r="CD469" s="138" t="str">
        <f aca="false">IF(ISBLANK($C469),"",$BR469)</f>
        <v/>
      </c>
      <c r="CE469" s="139" t="str">
        <f aca="false">IF(ISBLANK($C469),"",IF($CD469=Constants!$B$9,COUNTA($C$9:$C$508)+2,IF($CD469=Constants!$B$8,COUNTA($C$9:$C$508)+1,IF($CD469=Constants!$B$7,COUNTA($C$9:$C$508),$CD469))))</f>
        <v/>
      </c>
      <c r="CF469" s="9"/>
      <c r="CG469" s="140" t="n">
        <f aca="false">IF(OR(ISNUMBER($CD469),$CD469=Constants!$B$9,$CD469=Constants!$B$7,$CD469=Constants!$B$8),1,0)</f>
        <v>0</v>
      </c>
      <c r="CH469" s="140" t="n">
        <v>461</v>
      </c>
      <c r="CI469" s="140" t="str">
        <f aca="false">IF(ISBLANK($C469),"",IF(ISNUMBER($CE469),$CE469+ROW($B469)/1000,""))</f>
        <v/>
      </c>
      <c r="CJ469" s="140" t="str">
        <f aca="false">IF(ISNUMBER($CI469),RANK($CI469,$CI$9:$CI$508,1),"")</f>
        <v/>
      </c>
      <c r="CK469" s="140" t="str">
        <f aca="false">IF(ISBLANK($C469),"",$B469)</f>
        <v/>
      </c>
      <c r="CL469" s="140" t="str">
        <f aca="false">IF(ISBLANK($C469),"",$C469)</f>
        <v/>
      </c>
      <c r="CM469" s="140" t="str">
        <f aca="false">IF(ISBLANK($C469),"",$D469)</f>
        <v/>
      </c>
      <c r="CN469" s="141" t="str">
        <f aca="false">$CB469</f>
        <v/>
      </c>
      <c r="CO469" s="142" t="str">
        <f aca="false">$CA469</f>
        <v/>
      </c>
      <c r="CP469" s="140" t="str">
        <f aca="false">IF(ISBLANK($C469),"",$CD469)</f>
        <v/>
      </c>
      <c r="CQ469" s="143" t="str">
        <f aca="false">IF($CH469&gt;$CG$8,"",VLOOKUP($CH469,$CJ$9:$CP$508,7,FALSE()))</f>
        <v/>
      </c>
      <c r="CR469" s="144" t="str">
        <f aca="false">IF($CH469&gt;$CG$8,"",VLOOKUP($CH469,$CJ$9:$CP$508,2,FALSE()))</f>
        <v/>
      </c>
      <c r="CS469" s="144" t="str">
        <f aca="false">IF($CH469&gt;$CG$8,"",VLOOKUP($CH469,$CJ$9:$CP$508,3,FALSE()))</f>
        <v/>
      </c>
      <c r="CT469" s="144" t="str">
        <f aca="false">IF($CH469&gt;$CG$8,"",VLOOKUP($CH469,$CJ$9:$CP$508,4,FALSE()))</f>
        <v/>
      </c>
      <c r="CU469" s="144" t="str">
        <f aca="false">IF($CH469&gt;$CG$8,"",VLOOKUP($CH469,$CJ$9:$CP$508,5,FALSE()))</f>
        <v/>
      </c>
      <c r="CV469" s="145" t="str">
        <f aca="false">IF($CH469&gt;$CG$8,"",VLOOKUP($CH469,$CJ$9:$CP$508,6,FALSE()))</f>
        <v/>
      </c>
      <c r="CW469" s="71"/>
    </row>
    <row r="470" customFormat="false" ht="15.75" hidden="false" customHeight="false" outlineLevel="0" collapsed="false">
      <c r="A470" s="9"/>
      <c r="B470" s="150"/>
      <c r="C470" s="151"/>
      <c r="D470" s="152"/>
      <c r="E470" s="170"/>
      <c r="F470" s="154"/>
      <c r="G470" s="155"/>
      <c r="H470" s="171"/>
      <c r="I470" s="159"/>
      <c r="J470" s="120"/>
      <c r="K470" s="121"/>
      <c r="L470" s="122"/>
      <c r="M470" s="158"/>
      <c r="N470" s="159"/>
      <c r="O470" s="159"/>
      <c r="P470" s="120"/>
      <c r="Q470" s="122"/>
      <c r="R470" s="122"/>
      <c r="S470" s="158"/>
      <c r="T470" s="159"/>
      <c r="U470" s="126"/>
      <c r="V470" s="127"/>
      <c r="W470" s="127" t="str">
        <f aca="false">IF(ISBLANK($C470),"",IF(E470=Constants!$B$2,TRUE(),IF(E470=Constants!$B$3,FALSE(),TRUE())))</f>
        <v/>
      </c>
      <c r="X470" s="127" t="str">
        <f aca="false">IF(ISBLANK($C470),"",IF(F470=Constants!$B$2,TRUE(),IF(F470=Constants!$B$3,FALSE(),TRUE())))</f>
        <v/>
      </c>
      <c r="Y470" s="127" t="str">
        <f aca="false">IF(ISBLANK($C470),"",IF(G470=Constants!$B$2,TRUE(),IF(G470=Constants!$B$3,FALSE(),TRUE())))</f>
        <v/>
      </c>
      <c r="Z470" s="127" t="str">
        <f aca="false">IF(ISBLANK($C470),"",IF(H470=Constants!$B$2,TRUE(),IF(H470=Constants!$B$3,FALSE(),TRUE())))</f>
        <v/>
      </c>
      <c r="AA470" s="127" t="str">
        <f aca="false">IF(ISBLANK($C470),"",IF(I470=Constants!$B$2,TRUE(),IF(I470=Constants!$B$3,FALSE(),TRUE())))</f>
        <v/>
      </c>
      <c r="AB470" s="127" t="str">
        <f aca="false">IF(ISBLANK($C470),"",IF(J470=Constants!$B$4,TRUE(),IF(J470=Constants!$B$5,FALSE(),COUNTA(K470:M470)&gt;0)))</f>
        <v/>
      </c>
      <c r="AC470" s="128" t="str">
        <f aca="false">IF(ISBLANK($C470),"",IF(ISNUMBER(K470),IF(K470&gt;=0,K470,""),""))</f>
        <v/>
      </c>
      <c r="AD470" s="129" t="str">
        <f aca="false">IF(ISBLANK($C470),"",IF(ISNUMBER(L470),IF(L470&gt;=0,L470,""),""))</f>
        <v/>
      </c>
      <c r="AE470" s="127" t="str">
        <f aca="false">IF(ISBLANK($C470),"",IF(ISNUMBER(M470),IF(M470&gt;=0,MIN(M470,Constants!$B$22),""),""))</f>
        <v/>
      </c>
      <c r="AF470" s="127" t="str">
        <f aca="false">IF(ISBLANK($C470),"",IF(N470=Constants!$B$2,TRUE(),IF(N470=Constants!$B$3,FALSE(),TRUE())))</f>
        <v/>
      </c>
      <c r="AG470" s="127" t="str">
        <f aca="false">IF(ISBLANK($C470),"",IF(O470=Constants!$B$2,TRUE(),IF(O470=Constants!$B$3,FALSE(),TRUE())))</f>
        <v/>
      </c>
      <c r="AH470" s="127" t="str">
        <f aca="false">IF(ISBLANK($C470),"",IF(P470=Constants!$B$4,TRUE(),IF(P470=Constants!$B$5,FALSE(),COUNTA(Q470:S470)&gt;0)))</f>
        <v/>
      </c>
      <c r="AI470" s="128" t="str">
        <f aca="false">IF(ISBLANK($C470),"",IF(ISNUMBER(Q470),IF(Q470&gt;=0,Q470,""),""))</f>
        <v/>
      </c>
      <c r="AJ470" s="129" t="str">
        <f aca="false">IF(ISBLANK($C470),"",IF(ISNUMBER(R470),IF(R470&gt;=0,R470,""),""))</f>
        <v/>
      </c>
      <c r="AK470" s="127" t="str">
        <f aca="false">IF(ISBLANK($C470),"",IF(ISNUMBER(S470),IF(S470&gt;=0,MIN(S470,Constants!$B$22),""),""))</f>
        <v/>
      </c>
      <c r="AL470" s="127" t="str">
        <f aca="false">IF(ISBLANK($C470),"",IF(T470=Constants!$B$2,TRUE(),IF(T470=Constants!$B$3,FALSE(),FALSE())))</f>
        <v/>
      </c>
      <c r="AM470" s="126" t="str">
        <f aca="false">IF(ISBLANK($C470),"",AND($AB470,OR($AC470="",$AD470="",AND(NOT(ISBLANK($M470)),$AE470=""))))</f>
        <v/>
      </c>
      <c r="AN470" s="129" t="str">
        <f aca="false">IF($BD470&lt;&gt;Constants!$B$6,"",IF($AB470,Constants!$B$17*$AD470,Constants!$B$18))</f>
        <v/>
      </c>
      <c r="AO470" s="130" t="str">
        <f aca="false">IF($BD470&lt;&gt;Constants!$B$6,"",Constants!$B$19*IF($AB470,$AC470,0))</f>
        <v/>
      </c>
      <c r="AP470" s="130" t="str">
        <f aca="false">IF($BD470&lt;&gt;Constants!$B$6,"",IF(AND($AB470,ISNUMBER($AE470)),Constants!$B$20*(Constants!$B$21-$AE470),0))</f>
        <v/>
      </c>
      <c r="AQ470" s="130" t="str">
        <f aca="false">IF($BD470&lt;&gt;Constants!$B$6,"",IF($AA470,0,Constants!$B$12)+IF($Z470,0,Constants!$B$13)+IF($Y470,0,Constants!$B$14))</f>
        <v/>
      </c>
      <c r="AR470" s="131" t="str">
        <f aca="false">IF($BD470&lt;&gt;Constants!$B$6,"",Constants!$B$16+SUM($AN470:$AQ470))</f>
        <v/>
      </c>
      <c r="AS470" s="130" t="str">
        <f aca="false">IF($BD470&lt;&gt;Constants!$B$6,"",IF($AB470,$AD470,""))</f>
        <v/>
      </c>
      <c r="AT470" s="132" t="str">
        <f aca="false">IF($BD470&lt;&gt;Constants!$B$6,"",$AO470)</f>
        <v/>
      </c>
      <c r="AU470" s="127" t="str">
        <f aca="false">IF($BD470&lt;&gt;Constants!$B$6,"",IF(OR($BA470&lt;$AR470,AND($BA470=$AR470,OR(AND(ISNUMBER($BB470),OR(NOT(ISNUMBER($AS470)),$BB470&lt;$AS470)),AND(OR(AND($BB470="",$AS470=""),AND(ISNUMBER($BB470),ISNUMBER($AS470),$BB470=$AS470)),$BC470&lt;$AT470)))),"-&gt;","&lt;-"))</f>
        <v/>
      </c>
      <c r="AV470" s="126" t="str">
        <f aca="false">IF(ISBLANK($C470),"",AND($AH470,OR($AI470="",$AJ470="",AND(NOT(ISBLANK($S470)),$AK470=""))))</f>
        <v/>
      </c>
      <c r="AW470" s="129" t="str">
        <f aca="false">IF($BD470&lt;&gt;Constants!$B$6,"",IF($AH470,Constants!$B$17*$AJ470,Constants!$B$18))</f>
        <v/>
      </c>
      <c r="AX470" s="130" t="str">
        <f aca="false">IF($BD470&lt;&gt;Constants!$B$6,"",Constants!$B$19*IF($AH470,$AI470,0))</f>
        <v/>
      </c>
      <c r="AY470" s="130" t="str">
        <f aca="false">IF($BD470&lt;&gt;Constants!$B$6,"",IF(AND($AH470,ISNUMBER($AK470)),Constants!$B$20*(Constants!$B$21-$AK470),0))</f>
        <v/>
      </c>
      <c r="AZ470" s="130" t="str">
        <f aca="false">IF($BD470&lt;&gt;Constants!$B$6,"",IF($AG470,0,Constants!$B$12)+IF($AF470,0,Constants!$B$13)+IF($Y470,0,Constants!$B$14))</f>
        <v/>
      </c>
      <c r="BA470" s="131" t="str">
        <f aca="false">IF($BD470&lt;&gt;Constants!$B$6,"",Constants!$B$16+SUM($AW470:$AZ470))</f>
        <v/>
      </c>
      <c r="BB470" s="130" t="str">
        <f aca="false">IF($BD470&lt;&gt;Constants!$B$6,"",IF($AH470,$AJ470,""))</f>
        <v/>
      </c>
      <c r="BC470" s="132" t="str">
        <f aca="false">IF($BD470&lt;&gt;Constants!$B$6,"",$AX470)</f>
        <v/>
      </c>
      <c r="BD470" s="127" t="str">
        <f aca="false">IF(ISBLANK($C470),"",IF($AL470,Constants!$B$9,IF(COUNTA($E470:$T470)=0,Constants!$B$8,IF(NOT($X470),Constants!$B$7,IF(OR($AM470,$AV470),Constants!$B$10,Constants!$B$6)))))</f>
        <v/>
      </c>
      <c r="BE470" s="127" t="str">
        <f aca="false">IF(ISBLANK($C470),"",IF($BD470&lt;&gt;Constants!$B$6,$BD470,Constants!$B$11))</f>
        <v/>
      </c>
      <c r="BF470" s="130" t="str">
        <f aca="false">IF($BD470&lt;&gt;Constants!$B$6,"",IF($AU470="-&gt;",$BA470,$AR470))</f>
        <v/>
      </c>
      <c r="BG470" s="130" t="str">
        <f aca="false">IF($BD470&lt;&gt;Constants!$B$6,"",IF($W470,0,Constants!$B$15))</f>
        <v/>
      </c>
      <c r="BH470" s="130" t="str">
        <f aca="false">IF(ISBLANK($C470),"",IF($BD470&lt;&gt;Constants!$B$6,$BD470,SUM($BF470:$BG470)))</f>
        <v/>
      </c>
      <c r="BI470" s="127" t="str">
        <f aca="false">IF(ISBLANK($C470),"",IF($BD470&lt;&gt;Constants!$B$6,$BD470,RANK($BH470,$BH$9:$BH$508,1)))</f>
        <v/>
      </c>
      <c r="BJ470" s="130" t="str">
        <f aca="false">IF($BD470&lt;&gt;Constants!$B$6,"",IF($AU470="-&gt;",$BB470,$AS470))</f>
        <v/>
      </c>
      <c r="BK470" s="127" t="str">
        <f aca="false">IF(ISBLANK($C470),"",IF($BD470&lt;&gt;Constants!$B$6,$BD470,IF(ISNUMBER($BJ470),RANK($BJ470,$BJ$9:$BJ$508,1),COUNT($BJ$9:$BJ$508)+1)))</f>
        <v/>
      </c>
      <c r="BL470" s="130" t="str">
        <f aca="false">IF($BD470&lt;&gt;Constants!$B$6,"",IF($AU470="-&gt;",$BC470,$AT470))</f>
        <v/>
      </c>
      <c r="BM470" s="127" t="str">
        <f aca="false">IF(ISBLANK($C470),"",IF($BD470&lt;&gt;Constants!$B$6,$BD470,IF(ISNUMBER($BL470),RANK($BL470,$BL$9:$BL$508,1),COUNT($BL$9:$BL$508)+1)))</f>
        <v/>
      </c>
      <c r="BN470" s="130" t="str">
        <f aca="false">IF($BD470&lt;&gt;Constants!$B$6,"",IF($AU470="-&gt;",$AS470,$BB470))</f>
        <v/>
      </c>
      <c r="BO470" s="127" t="str">
        <f aca="false">IF(ISBLANK($C470),"",IF($BD470&lt;&gt;Constants!$B$6,$BD470,IF(ISNUMBER($BN470),RANK($BN470,$BN$9:$BN$508,1),COUNT($BN$9:$BN$508)+1)))</f>
        <v/>
      </c>
      <c r="BP470" s="130" t="str">
        <f aca="false">IF($BD470&lt;&gt;Constants!$B$6,"",IF($AU470="-&gt;",$AT470,$BC470))</f>
        <v/>
      </c>
      <c r="BQ470" s="127" t="str">
        <f aca="false">IF(ISBLANK($C470),"",IF($BD470&lt;&gt;Constants!$B$6,$BD470,IF(ISNUMBER($BP470),RANK($BP470,$BP$9:$BP$508,1),COUNT($BP$9:$BP$508)+1)))</f>
        <v/>
      </c>
      <c r="BR470" s="127" t="str">
        <f aca="false">IF(ISBLANK($C470),"",IF($BD470&lt;&gt;Constants!$B$6,$BD470,COUNTIFS($BI$9:$BI$508,"&lt;"&amp;$BI470)+COUNTIFS($BI$9:$BI$508,$BI470,$BK$9:$BK$508,"&lt;"&amp;$BK470)+COUNTIFS($BI$9:$BI$508,$BI470,$BK$9:$BK$508,$BK470,$BM$9:$BM$508,"&lt;"&amp;$BM470)+COUNTIFS($BI$9:$BI$508,$BI470,$BK$9:$BK$508,$BK470,$BM$9:$BM$508,$BM470,$BO$9:$BO$508,"&lt;"&amp;$BO470)+COUNTIFS($BI$9:$BI$508,$BI470,$BK$9:$BK$508,$BK470,$BM$9:$BM$508,$BM470,$BO$9:$BO$508,$BO470,$BQ$9:$BQ$508,"&lt;"&amp;$BQ470)+1))</f>
        <v/>
      </c>
      <c r="BS470" s="127" t="str">
        <f aca="false">IF(ISBLANK($C470),"",IF($BD470&lt;&gt;Constants!$B$6,$BD470,$BI470-$BR470))</f>
        <v/>
      </c>
      <c r="BT470" s="133"/>
      <c r="BU470" s="134"/>
      <c r="BV470" s="134" t="str">
        <f aca="false">IF(ISBLANK($C470),"",IF($BD470&lt;&gt;Constants!$B$6,"",IF($AU470="-&gt;",2,1)))</f>
        <v/>
      </c>
      <c r="BW470" s="135" t="str">
        <f aca="false">IF(ISBLANK($C470),"",IF($BD470&lt;&gt;Constants!$B$6,"",IF($AU470="-&gt;",$AW470,$AN470)))</f>
        <v/>
      </c>
      <c r="BX470" s="135" t="str">
        <f aca="false">IF(ISBLANK($C470),"",IF($BD470&lt;&gt;Constants!$B$6,"",IF($AU470="-&gt;",$AX470,$AO470)))</f>
        <v/>
      </c>
      <c r="BY470" s="135" t="str">
        <f aca="false">IF(ISBLANK($C470),"",IF($BD470&lt;&gt;Constants!$B$6,"",IF($AU470="-&gt;",$AY470,$AP470)))</f>
        <v/>
      </c>
      <c r="BZ470" s="135" t="str">
        <f aca="false">IF(ISBLANK($C470),"",IF($BD470&lt;&gt;Constants!$B$6,"",IF($AU470="-&gt;",$AZ470,$AQ470)+$BG470))</f>
        <v/>
      </c>
      <c r="CA470" s="136" t="str">
        <f aca="false">IF(ISBLANK($C470),"",IF($BD470&lt;&gt;Constants!$B$6,$BD470,$BH470))</f>
        <v/>
      </c>
      <c r="CB470" s="137" t="str">
        <f aca="false">IF(ISBLANK($C470),"",$BE470)</f>
        <v/>
      </c>
      <c r="CC470" s="138" t="str">
        <f aca="false">IF(ISBLANK($C470),"",$BS470)</f>
        <v/>
      </c>
      <c r="CD470" s="138" t="str">
        <f aca="false">IF(ISBLANK($C470),"",$BR470)</f>
        <v/>
      </c>
      <c r="CE470" s="139" t="str">
        <f aca="false">IF(ISBLANK($C470),"",IF($CD470=Constants!$B$9,COUNTA($C$9:$C$508)+2,IF($CD470=Constants!$B$8,COUNTA($C$9:$C$508)+1,IF($CD470=Constants!$B$7,COUNTA($C$9:$C$508),$CD470))))</f>
        <v/>
      </c>
      <c r="CF470" s="9"/>
      <c r="CG470" s="140" t="n">
        <f aca="false">IF(OR(ISNUMBER($CD470),$CD470=Constants!$B$9,$CD470=Constants!$B$7,$CD470=Constants!$B$8),1,0)</f>
        <v>0</v>
      </c>
      <c r="CH470" s="140" t="n">
        <v>462</v>
      </c>
      <c r="CI470" s="140" t="str">
        <f aca="false">IF(ISBLANK($C470),"",IF(ISNUMBER($CE470),$CE470+ROW($B470)/1000,""))</f>
        <v/>
      </c>
      <c r="CJ470" s="140" t="str">
        <f aca="false">IF(ISNUMBER($CI470),RANK($CI470,$CI$9:$CI$508,1),"")</f>
        <v/>
      </c>
      <c r="CK470" s="140" t="str">
        <f aca="false">IF(ISBLANK($C470),"",$B470)</f>
        <v/>
      </c>
      <c r="CL470" s="140" t="str">
        <f aca="false">IF(ISBLANK($C470),"",$C470)</f>
        <v/>
      </c>
      <c r="CM470" s="140" t="str">
        <f aca="false">IF(ISBLANK($C470),"",$D470)</f>
        <v/>
      </c>
      <c r="CN470" s="141" t="str">
        <f aca="false">$CB470</f>
        <v/>
      </c>
      <c r="CO470" s="142" t="str">
        <f aca="false">$CA470</f>
        <v/>
      </c>
      <c r="CP470" s="140" t="str">
        <f aca="false">IF(ISBLANK($C470),"",$CD470)</f>
        <v/>
      </c>
      <c r="CQ470" s="143" t="str">
        <f aca="false">IF($CH470&gt;$CG$8,"",VLOOKUP($CH470,$CJ$9:$CP$508,7,FALSE()))</f>
        <v/>
      </c>
      <c r="CR470" s="144" t="str">
        <f aca="false">IF($CH470&gt;$CG$8,"",VLOOKUP($CH470,$CJ$9:$CP$508,2,FALSE()))</f>
        <v/>
      </c>
      <c r="CS470" s="144" t="str">
        <f aca="false">IF($CH470&gt;$CG$8,"",VLOOKUP($CH470,$CJ$9:$CP$508,3,FALSE()))</f>
        <v/>
      </c>
      <c r="CT470" s="144" t="str">
        <f aca="false">IF($CH470&gt;$CG$8,"",VLOOKUP($CH470,$CJ$9:$CP$508,4,FALSE()))</f>
        <v/>
      </c>
      <c r="CU470" s="144" t="str">
        <f aca="false">IF($CH470&gt;$CG$8,"",VLOOKUP($CH470,$CJ$9:$CP$508,5,FALSE()))</f>
        <v/>
      </c>
      <c r="CV470" s="145" t="str">
        <f aca="false">IF($CH470&gt;$CG$8,"",VLOOKUP($CH470,$CJ$9:$CP$508,6,FALSE()))</f>
        <v/>
      </c>
      <c r="CW470" s="71"/>
    </row>
    <row r="471" customFormat="false" ht="15.75" hidden="false" customHeight="false" outlineLevel="0" collapsed="false">
      <c r="A471" s="9"/>
      <c r="B471" s="72"/>
      <c r="C471" s="73"/>
      <c r="D471" s="160"/>
      <c r="E471" s="168"/>
      <c r="F471" s="162"/>
      <c r="G471" s="163"/>
      <c r="H471" s="169"/>
      <c r="I471" s="167"/>
      <c r="J471" s="80"/>
      <c r="K471" s="81"/>
      <c r="L471" s="82"/>
      <c r="M471" s="166"/>
      <c r="N471" s="167"/>
      <c r="O471" s="167"/>
      <c r="P471" s="80"/>
      <c r="Q471" s="82"/>
      <c r="R471" s="82"/>
      <c r="S471" s="166"/>
      <c r="T471" s="167"/>
      <c r="U471" s="86"/>
      <c r="V471" s="87"/>
      <c r="W471" s="87" t="str">
        <f aca="false">IF(ISBLANK($C471),"",IF(E471=Constants!$B$2,TRUE(),IF(E471=Constants!$B$3,FALSE(),TRUE())))</f>
        <v/>
      </c>
      <c r="X471" s="87" t="str">
        <f aca="false">IF(ISBLANK($C471),"",IF(F471=Constants!$B$2,TRUE(),IF(F471=Constants!$B$3,FALSE(),TRUE())))</f>
        <v/>
      </c>
      <c r="Y471" s="87" t="str">
        <f aca="false">IF(ISBLANK($C471),"",IF(G471=Constants!$B$2,TRUE(),IF(G471=Constants!$B$3,FALSE(),TRUE())))</f>
        <v/>
      </c>
      <c r="Z471" s="87" t="str">
        <f aca="false">IF(ISBLANK($C471),"",IF(H471=Constants!$B$2,TRUE(),IF(H471=Constants!$B$3,FALSE(),TRUE())))</f>
        <v/>
      </c>
      <c r="AA471" s="87" t="str">
        <f aca="false">IF(ISBLANK($C471),"",IF(I471=Constants!$B$2,TRUE(),IF(I471=Constants!$B$3,FALSE(),TRUE())))</f>
        <v/>
      </c>
      <c r="AB471" s="87" t="str">
        <f aca="false">IF(ISBLANK($C471),"",IF(J471=Constants!$B$4,TRUE(),IF(J471=Constants!$B$5,FALSE(),COUNTA(K471:M471)&gt;0)))</f>
        <v/>
      </c>
      <c r="AC471" s="88" t="str">
        <f aca="false">IF(ISBLANK($C471),"",IF(ISNUMBER(K471),IF(K471&gt;=0,K471,""),""))</f>
        <v/>
      </c>
      <c r="AD471" s="89" t="str">
        <f aca="false">IF(ISBLANK($C471),"",IF(ISNUMBER(L471),IF(L471&gt;=0,L471,""),""))</f>
        <v/>
      </c>
      <c r="AE471" s="87" t="str">
        <f aca="false">IF(ISBLANK($C471),"",IF(ISNUMBER(M471),IF(M471&gt;=0,MIN(M471,Constants!$B$22),""),""))</f>
        <v/>
      </c>
      <c r="AF471" s="87" t="str">
        <f aca="false">IF(ISBLANK($C471),"",IF(N471=Constants!$B$2,TRUE(),IF(N471=Constants!$B$3,FALSE(),TRUE())))</f>
        <v/>
      </c>
      <c r="AG471" s="87" t="str">
        <f aca="false">IF(ISBLANK($C471),"",IF(O471=Constants!$B$2,TRUE(),IF(O471=Constants!$B$3,FALSE(),TRUE())))</f>
        <v/>
      </c>
      <c r="AH471" s="87" t="str">
        <f aca="false">IF(ISBLANK($C471),"",IF(P471=Constants!$B$4,TRUE(),IF(P471=Constants!$B$5,FALSE(),COUNTA(Q471:S471)&gt;0)))</f>
        <v/>
      </c>
      <c r="AI471" s="88" t="str">
        <f aca="false">IF(ISBLANK($C471),"",IF(ISNUMBER(Q471),IF(Q471&gt;=0,Q471,""),""))</f>
        <v/>
      </c>
      <c r="AJ471" s="89" t="str">
        <f aca="false">IF(ISBLANK($C471),"",IF(ISNUMBER(R471),IF(R471&gt;=0,R471,""),""))</f>
        <v/>
      </c>
      <c r="AK471" s="87" t="str">
        <f aca="false">IF(ISBLANK($C471),"",IF(ISNUMBER(S471),IF(S471&gt;=0,MIN(S471,Constants!$B$22),""),""))</f>
        <v/>
      </c>
      <c r="AL471" s="87" t="str">
        <f aca="false">IF(ISBLANK($C471),"",IF(T471=Constants!$B$2,TRUE(),IF(T471=Constants!$B$3,FALSE(),FALSE())))</f>
        <v/>
      </c>
      <c r="AM471" s="86" t="str">
        <f aca="false">IF(ISBLANK($C471),"",AND($AB471,OR($AC471="",$AD471="",AND(NOT(ISBLANK($M471)),$AE471=""))))</f>
        <v/>
      </c>
      <c r="AN471" s="89" t="str">
        <f aca="false">IF($BD471&lt;&gt;Constants!$B$6,"",IF($AB471,Constants!$B$17*$AD471,Constants!$B$18))</f>
        <v/>
      </c>
      <c r="AO471" s="91" t="str">
        <f aca="false">IF($BD471&lt;&gt;Constants!$B$6,"",Constants!$B$19*IF($AB471,$AC471,0))</f>
        <v/>
      </c>
      <c r="AP471" s="91" t="str">
        <f aca="false">IF($BD471&lt;&gt;Constants!$B$6,"",IF(AND($AB471,ISNUMBER($AE471)),Constants!$B$20*(Constants!$B$21-$AE471),0))</f>
        <v/>
      </c>
      <c r="AQ471" s="91" t="str">
        <f aca="false">IF($BD471&lt;&gt;Constants!$B$6,"",IF($AA471,0,Constants!$B$12)+IF($Z471,0,Constants!$B$13)+IF($Y471,0,Constants!$B$14))</f>
        <v/>
      </c>
      <c r="AR471" s="92" t="str">
        <f aca="false">IF($BD471&lt;&gt;Constants!$B$6,"",Constants!$B$16+SUM($AN471:$AQ471))</f>
        <v/>
      </c>
      <c r="AS471" s="91" t="str">
        <f aca="false">IF($BD471&lt;&gt;Constants!$B$6,"",IF($AB471,$AD471,""))</f>
        <v/>
      </c>
      <c r="AT471" s="93" t="str">
        <f aca="false">IF($BD471&lt;&gt;Constants!$B$6,"",$AO471)</f>
        <v/>
      </c>
      <c r="AU471" s="87" t="str">
        <f aca="false">IF($BD471&lt;&gt;Constants!$B$6,"",IF(OR($BA471&lt;$AR471,AND($BA471=$AR471,OR(AND(ISNUMBER($BB471),OR(NOT(ISNUMBER($AS471)),$BB471&lt;$AS471)),AND(OR(AND($BB471="",$AS471=""),AND(ISNUMBER($BB471),ISNUMBER($AS471),$BB471=$AS471)),$BC471&lt;$AT471)))),"-&gt;","&lt;-"))</f>
        <v/>
      </c>
      <c r="AV471" s="86" t="str">
        <f aca="false">IF(ISBLANK($C471),"",AND($AH471,OR($AI471="",$AJ471="",AND(NOT(ISBLANK($S471)),$AK471=""))))</f>
        <v/>
      </c>
      <c r="AW471" s="89" t="str">
        <f aca="false">IF($BD471&lt;&gt;Constants!$B$6,"",IF($AH471,Constants!$B$17*$AJ471,Constants!$B$18))</f>
        <v/>
      </c>
      <c r="AX471" s="91" t="str">
        <f aca="false">IF($BD471&lt;&gt;Constants!$B$6,"",Constants!$B$19*IF($AH471,$AI471,0))</f>
        <v/>
      </c>
      <c r="AY471" s="91" t="str">
        <f aca="false">IF($BD471&lt;&gt;Constants!$B$6,"",IF(AND($AH471,ISNUMBER($AK471)),Constants!$B$20*(Constants!$B$21-$AK471),0))</f>
        <v/>
      </c>
      <c r="AZ471" s="91" t="str">
        <f aca="false">IF($BD471&lt;&gt;Constants!$B$6,"",IF($AG471,0,Constants!$B$12)+IF($AF471,0,Constants!$B$13)+IF($Y471,0,Constants!$B$14))</f>
        <v/>
      </c>
      <c r="BA471" s="92" t="str">
        <f aca="false">IF($BD471&lt;&gt;Constants!$B$6,"",Constants!$B$16+SUM($AW471:$AZ471))</f>
        <v/>
      </c>
      <c r="BB471" s="91" t="str">
        <f aca="false">IF($BD471&lt;&gt;Constants!$B$6,"",IF($AH471,$AJ471,""))</f>
        <v/>
      </c>
      <c r="BC471" s="93" t="str">
        <f aca="false">IF($BD471&lt;&gt;Constants!$B$6,"",$AX471)</f>
        <v/>
      </c>
      <c r="BD471" s="87" t="str">
        <f aca="false">IF(ISBLANK($C471),"",IF($AL471,Constants!$B$9,IF(COUNTA($E471:$T471)=0,Constants!$B$8,IF(NOT($X471),Constants!$B$7,IF(OR($AM471,$AV471),Constants!$B$10,Constants!$B$6)))))</f>
        <v/>
      </c>
      <c r="BE471" s="87" t="str">
        <f aca="false">IF(ISBLANK($C471),"",IF($BD471&lt;&gt;Constants!$B$6,$BD471,Constants!$B$11))</f>
        <v/>
      </c>
      <c r="BF471" s="91" t="str">
        <f aca="false">IF($BD471&lt;&gt;Constants!$B$6,"",IF($AU471="-&gt;",$BA471,$AR471))</f>
        <v/>
      </c>
      <c r="BG471" s="91" t="str">
        <f aca="false">IF($BD471&lt;&gt;Constants!$B$6,"",IF($W471,0,Constants!$B$15))</f>
        <v/>
      </c>
      <c r="BH471" s="91" t="str">
        <f aca="false">IF(ISBLANK($C471),"",IF($BD471&lt;&gt;Constants!$B$6,$BD471,SUM($BF471:$BG471)))</f>
        <v/>
      </c>
      <c r="BI471" s="87" t="str">
        <f aca="false">IF(ISBLANK($C471),"",IF($BD471&lt;&gt;Constants!$B$6,$BD471,RANK($BH471,$BH$9:$BH$508,1)))</f>
        <v/>
      </c>
      <c r="BJ471" s="91" t="str">
        <f aca="false">IF($BD471&lt;&gt;Constants!$B$6,"",IF($AU471="-&gt;",$BB471,$AS471))</f>
        <v/>
      </c>
      <c r="BK471" s="87" t="str">
        <f aca="false">IF(ISBLANK($C471),"",IF($BD471&lt;&gt;Constants!$B$6,$BD471,IF(ISNUMBER($BJ471),RANK($BJ471,$BJ$9:$BJ$508,1),COUNT($BJ$9:$BJ$508)+1)))</f>
        <v/>
      </c>
      <c r="BL471" s="91" t="str">
        <f aca="false">IF($BD471&lt;&gt;Constants!$B$6,"",IF($AU471="-&gt;",$BC471,$AT471))</f>
        <v/>
      </c>
      <c r="BM471" s="87" t="str">
        <f aca="false">IF(ISBLANK($C471),"",IF($BD471&lt;&gt;Constants!$B$6,$BD471,IF(ISNUMBER($BL471),RANK($BL471,$BL$9:$BL$508,1),COUNT($BL$9:$BL$508)+1)))</f>
        <v/>
      </c>
      <c r="BN471" s="91" t="str">
        <f aca="false">IF($BD471&lt;&gt;Constants!$B$6,"",IF($AU471="-&gt;",$AS471,$BB471))</f>
        <v/>
      </c>
      <c r="BO471" s="87" t="str">
        <f aca="false">IF(ISBLANK($C471),"",IF($BD471&lt;&gt;Constants!$B$6,$BD471,IF(ISNUMBER($BN471),RANK($BN471,$BN$9:$BN$508,1),COUNT($BN$9:$BN$508)+1)))</f>
        <v/>
      </c>
      <c r="BP471" s="91" t="str">
        <f aca="false">IF($BD471&lt;&gt;Constants!$B$6,"",IF($AU471="-&gt;",$AT471,$BC471))</f>
        <v/>
      </c>
      <c r="BQ471" s="87" t="str">
        <f aca="false">IF(ISBLANK($C471),"",IF($BD471&lt;&gt;Constants!$B$6,$BD471,IF(ISNUMBER($BP471),RANK($BP471,$BP$9:$BP$508,1),COUNT($BP$9:$BP$508)+1)))</f>
        <v/>
      </c>
      <c r="BR471" s="87" t="str">
        <f aca="false">IF(ISBLANK($C471),"",IF($BD471&lt;&gt;Constants!$B$6,$BD471,COUNTIFS($BI$9:$BI$508,"&lt;"&amp;$BI471)+COUNTIFS($BI$9:$BI$508,$BI471,$BK$9:$BK$508,"&lt;"&amp;$BK471)+COUNTIFS($BI$9:$BI$508,$BI471,$BK$9:$BK$508,$BK471,$BM$9:$BM$508,"&lt;"&amp;$BM471)+COUNTIFS($BI$9:$BI$508,$BI471,$BK$9:$BK$508,$BK471,$BM$9:$BM$508,$BM471,$BO$9:$BO$508,"&lt;"&amp;$BO471)+COUNTIFS($BI$9:$BI$508,$BI471,$BK$9:$BK$508,$BK471,$BM$9:$BM$508,$BM471,$BO$9:$BO$508,$BO471,$BQ$9:$BQ$508,"&lt;"&amp;$BQ471)+1))</f>
        <v/>
      </c>
      <c r="BS471" s="87" t="str">
        <f aca="false">IF(ISBLANK($C471),"",IF($BD471&lt;&gt;Constants!$B$6,$BD471,$BI471-$BR471))</f>
        <v/>
      </c>
      <c r="BT471" s="94"/>
      <c r="BU471" s="95"/>
      <c r="BV471" s="95" t="str">
        <f aca="false">IF(ISBLANK($C471),"",IF($BD471&lt;&gt;Constants!$B$6,"",IF($AU471="-&gt;",2,1)))</f>
        <v/>
      </c>
      <c r="BW471" s="96" t="str">
        <f aca="false">IF(ISBLANK($C471),"",IF($BD471&lt;&gt;Constants!$B$6,"",IF($AU471="-&gt;",$AW471,$AN471)))</f>
        <v/>
      </c>
      <c r="BX471" s="96" t="str">
        <f aca="false">IF(ISBLANK($C471),"",IF($BD471&lt;&gt;Constants!$B$6,"",IF($AU471="-&gt;",$AX471,$AO471)))</f>
        <v/>
      </c>
      <c r="BY471" s="96" t="str">
        <f aca="false">IF(ISBLANK($C471),"",IF($BD471&lt;&gt;Constants!$B$6,"",IF($AU471="-&gt;",$AY471,$AP471)))</f>
        <v/>
      </c>
      <c r="BZ471" s="96" t="str">
        <f aca="false">IF(ISBLANK($C471),"",IF($BD471&lt;&gt;Constants!$B$6,"",IF($AU471="-&gt;",$AZ471,$AQ471)+$BG471))</f>
        <v/>
      </c>
      <c r="CA471" s="97" t="str">
        <f aca="false">IF(ISBLANK($C471),"",IF($BD471&lt;&gt;Constants!$B$6,$BD471,$BH471))</f>
        <v/>
      </c>
      <c r="CB471" s="98" t="str">
        <f aca="false">IF(ISBLANK($C471),"",$BE471)</f>
        <v/>
      </c>
      <c r="CC471" s="99" t="str">
        <f aca="false">IF(ISBLANK($C471),"",$BS471)</f>
        <v/>
      </c>
      <c r="CD471" s="99" t="str">
        <f aca="false">IF(ISBLANK($C471),"",$BR471)</f>
        <v/>
      </c>
      <c r="CE471" s="100" t="str">
        <f aca="false">IF(ISBLANK($C471),"",IF($CD471=Constants!$B$9,COUNTA($C$9:$C$508)+2,IF($CD471=Constants!$B$8,COUNTA($C$9:$C$508)+1,IF($CD471=Constants!$B$7,COUNTA($C$9:$C$508),$CD471))))</f>
        <v/>
      </c>
      <c r="CF471" s="9"/>
      <c r="CG471" s="101" t="n">
        <f aca="false">IF(OR(ISNUMBER($CD471),$CD471=Constants!$B$9,$CD471=Constants!$B$7,$CD471=Constants!$B$8),1,0)</f>
        <v>0</v>
      </c>
      <c r="CH471" s="101" t="n">
        <v>463</v>
      </c>
      <c r="CI471" s="101" t="str">
        <f aca="false">IF(ISBLANK($C471),"",IF(ISNUMBER($CE471),$CE471+ROW($B471)/1000,""))</f>
        <v/>
      </c>
      <c r="CJ471" s="101" t="str">
        <f aca="false">IF(ISNUMBER($CI471),RANK($CI471,$CI$9:$CI$508,1),"")</f>
        <v/>
      </c>
      <c r="CK471" s="101" t="str">
        <f aca="false">IF(ISBLANK($C471),"",$B471)</f>
        <v/>
      </c>
      <c r="CL471" s="101" t="str">
        <f aca="false">IF(ISBLANK($C471),"",$C471)</f>
        <v/>
      </c>
      <c r="CM471" s="101" t="str">
        <f aca="false">IF(ISBLANK($C471),"",$D471)</f>
        <v/>
      </c>
      <c r="CN471" s="102" t="str">
        <f aca="false">$CB471</f>
        <v/>
      </c>
      <c r="CO471" s="103" t="str">
        <f aca="false">$CA471</f>
        <v/>
      </c>
      <c r="CP471" s="101" t="str">
        <f aca="false">IF(ISBLANK($C471),"",$CD471)</f>
        <v/>
      </c>
      <c r="CQ471" s="104" t="str">
        <f aca="false">IF($CH471&gt;$CG$8,"",VLOOKUP($CH471,$CJ$9:$CP$508,7,FALSE()))</f>
        <v/>
      </c>
      <c r="CR471" s="105" t="str">
        <f aca="false">IF($CH471&gt;$CG$8,"",VLOOKUP($CH471,$CJ$9:$CP$508,2,FALSE()))</f>
        <v/>
      </c>
      <c r="CS471" s="105" t="str">
        <f aca="false">IF($CH471&gt;$CG$8,"",VLOOKUP($CH471,$CJ$9:$CP$508,3,FALSE()))</f>
        <v/>
      </c>
      <c r="CT471" s="105" t="str">
        <f aca="false">IF($CH471&gt;$CG$8,"",VLOOKUP($CH471,$CJ$9:$CP$508,4,FALSE()))</f>
        <v/>
      </c>
      <c r="CU471" s="105" t="str">
        <f aca="false">IF($CH471&gt;$CG$8,"",VLOOKUP($CH471,$CJ$9:$CP$508,5,FALSE()))</f>
        <v/>
      </c>
      <c r="CV471" s="106" t="str">
        <f aca="false">IF($CH471&gt;$CG$8,"",VLOOKUP($CH471,$CJ$9:$CP$508,6,FALSE()))</f>
        <v/>
      </c>
      <c r="CW471" s="71"/>
    </row>
    <row r="472" customFormat="false" ht="15.75" hidden="false" customHeight="false" outlineLevel="0" collapsed="false">
      <c r="A472" s="9"/>
      <c r="B472" s="72"/>
      <c r="C472" s="73"/>
      <c r="D472" s="160"/>
      <c r="E472" s="168"/>
      <c r="F472" s="162"/>
      <c r="G472" s="163"/>
      <c r="H472" s="169"/>
      <c r="I472" s="167"/>
      <c r="J472" s="80"/>
      <c r="K472" s="81"/>
      <c r="L472" s="82"/>
      <c r="M472" s="166"/>
      <c r="N472" s="167"/>
      <c r="O472" s="167"/>
      <c r="P472" s="80"/>
      <c r="Q472" s="82"/>
      <c r="R472" s="82"/>
      <c r="S472" s="166"/>
      <c r="T472" s="167"/>
      <c r="U472" s="86"/>
      <c r="V472" s="87"/>
      <c r="W472" s="87" t="str">
        <f aca="false">IF(ISBLANK($C472),"",IF(E472=Constants!$B$2,TRUE(),IF(E472=Constants!$B$3,FALSE(),TRUE())))</f>
        <v/>
      </c>
      <c r="X472" s="87" t="str">
        <f aca="false">IF(ISBLANK($C472),"",IF(F472=Constants!$B$2,TRUE(),IF(F472=Constants!$B$3,FALSE(),TRUE())))</f>
        <v/>
      </c>
      <c r="Y472" s="87" t="str">
        <f aca="false">IF(ISBLANK($C472),"",IF(G472=Constants!$B$2,TRUE(),IF(G472=Constants!$B$3,FALSE(),TRUE())))</f>
        <v/>
      </c>
      <c r="Z472" s="87" t="str">
        <f aca="false">IF(ISBLANK($C472),"",IF(H472=Constants!$B$2,TRUE(),IF(H472=Constants!$B$3,FALSE(),TRUE())))</f>
        <v/>
      </c>
      <c r="AA472" s="87" t="str">
        <f aca="false">IF(ISBLANK($C472),"",IF(I472=Constants!$B$2,TRUE(),IF(I472=Constants!$B$3,FALSE(),TRUE())))</f>
        <v/>
      </c>
      <c r="AB472" s="87" t="str">
        <f aca="false">IF(ISBLANK($C472),"",IF(J472=Constants!$B$4,TRUE(),IF(J472=Constants!$B$5,FALSE(),COUNTA(K472:M472)&gt;0)))</f>
        <v/>
      </c>
      <c r="AC472" s="88" t="str">
        <f aca="false">IF(ISBLANK($C472),"",IF(ISNUMBER(K472),IF(K472&gt;=0,K472,""),""))</f>
        <v/>
      </c>
      <c r="AD472" s="89" t="str">
        <f aca="false">IF(ISBLANK($C472),"",IF(ISNUMBER(L472),IF(L472&gt;=0,L472,""),""))</f>
        <v/>
      </c>
      <c r="AE472" s="87" t="str">
        <f aca="false">IF(ISBLANK($C472),"",IF(ISNUMBER(M472),IF(M472&gt;=0,MIN(M472,Constants!$B$22),""),""))</f>
        <v/>
      </c>
      <c r="AF472" s="87" t="str">
        <f aca="false">IF(ISBLANK($C472),"",IF(N472=Constants!$B$2,TRUE(),IF(N472=Constants!$B$3,FALSE(),TRUE())))</f>
        <v/>
      </c>
      <c r="AG472" s="87" t="str">
        <f aca="false">IF(ISBLANK($C472),"",IF(O472=Constants!$B$2,TRUE(),IF(O472=Constants!$B$3,FALSE(),TRUE())))</f>
        <v/>
      </c>
      <c r="AH472" s="87" t="str">
        <f aca="false">IF(ISBLANK($C472),"",IF(P472=Constants!$B$4,TRUE(),IF(P472=Constants!$B$5,FALSE(),COUNTA(Q472:S472)&gt;0)))</f>
        <v/>
      </c>
      <c r="AI472" s="88" t="str">
        <f aca="false">IF(ISBLANK($C472),"",IF(ISNUMBER(Q472),IF(Q472&gt;=0,Q472,""),""))</f>
        <v/>
      </c>
      <c r="AJ472" s="89" t="str">
        <f aca="false">IF(ISBLANK($C472),"",IF(ISNUMBER(R472),IF(R472&gt;=0,R472,""),""))</f>
        <v/>
      </c>
      <c r="AK472" s="87" t="str">
        <f aca="false">IF(ISBLANK($C472),"",IF(ISNUMBER(S472),IF(S472&gt;=0,MIN(S472,Constants!$B$22),""),""))</f>
        <v/>
      </c>
      <c r="AL472" s="87" t="str">
        <f aca="false">IF(ISBLANK($C472),"",IF(T472=Constants!$B$2,TRUE(),IF(T472=Constants!$B$3,FALSE(),FALSE())))</f>
        <v/>
      </c>
      <c r="AM472" s="86" t="str">
        <f aca="false">IF(ISBLANK($C472),"",AND($AB472,OR($AC472="",$AD472="",AND(NOT(ISBLANK($M472)),$AE472=""))))</f>
        <v/>
      </c>
      <c r="AN472" s="89" t="str">
        <f aca="false">IF($BD472&lt;&gt;Constants!$B$6,"",IF($AB472,Constants!$B$17*$AD472,Constants!$B$18))</f>
        <v/>
      </c>
      <c r="AO472" s="91" t="str">
        <f aca="false">IF($BD472&lt;&gt;Constants!$B$6,"",Constants!$B$19*IF($AB472,$AC472,0))</f>
        <v/>
      </c>
      <c r="AP472" s="91" t="str">
        <f aca="false">IF($BD472&lt;&gt;Constants!$B$6,"",IF(AND($AB472,ISNUMBER($AE472)),Constants!$B$20*(Constants!$B$21-$AE472),0))</f>
        <v/>
      </c>
      <c r="AQ472" s="91" t="str">
        <f aca="false">IF($BD472&lt;&gt;Constants!$B$6,"",IF($AA472,0,Constants!$B$12)+IF($Z472,0,Constants!$B$13)+IF($Y472,0,Constants!$B$14))</f>
        <v/>
      </c>
      <c r="AR472" s="92" t="str">
        <f aca="false">IF($BD472&lt;&gt;Constants!$B$6,"",Constants!$B$16+SUM($AN472:$AQ472))</f>
        <v/>
      </c>
      <c r="AS472" s="91" t="str">
        <f aca="false">IF($BD472&lt;&gt;Constants!$B$6,"",IF($AB472,$AD472,""))</f>
        <v/>
      </c>
      <c r="AT472" s="93" t="str">
        <f aca="false">IF($BD472&lt;&gt;Constants!$B$6,"",$AO472)</f>
        <v/>
      </c>
      <c r="AU472" s="87" t="str">
        <f aca="false">IF($BD472&lt;&gt;Constants!$B$6,"",IF(OR($BA472&lt;$AR472,AND($BA472=$AR472,OR(AND(ISNUMBER($BB472),OR(NOT(ISNUMBER($AS472)),$BB472&lt;$AS472)),AND(OR(AND($BB472="",$AS472=""),AND(ISNUMBER($BB472),ISNUMBER($AS472),$BB472=$AS472)),$BC472&lt;$AT472)))),"-&gt;","&lt;-"))</f>
        <v/>
      </c>
      <c r="AV472" s="86" t="str">
        <f aca="false">IF(ISBLANK($C472),"",AND($AH472,OR($AI472="",$AJ472="",AND(NOT(ISBLANK($S472)),$AK472=""))))</f>
        <v/>
      </c>
      <c r="AW472" s="89" t="str">
        <f aca="false">IF($BD472&lt;&gt;Constants!$B$6,"",IF($AH472,Constants!$B$17*$AJ472,Constants!$B$18))</f>
        <v/>
      </c>
      <c r="AX472" s="91" t="str">
        <f aca="false">IF($BD472&lt;&gt;Constants!$B$6,"",Constants!$B$19*IF($AH472,$AI472,0))</f>
        <v/>
      </c>
      <c r="AY472" s="91" t="str">
        <f aca="false">IF($BD472&lt;&gt;Constants!$B$6,"",IF(AND($AH472,ISNUMBER($AK472)),Constants!$B$20*(Constants!$B$21-$AK472),0))</f>
        <v/>
      </c>
      <c r="AZ472" s="91" t="str">
        <f aca="false">IF($BD472&lt;&gt;Constants!$B$6,"",IF($AG472,0,Constants!$B$12)+IF($AF472,0,Constants!$B$13)+IF($Y472,0,Constants!$B$14))</f>
        <v/>
      </c>
      <c r="BA472" s="92" t="str">
        <f aca="false">IF($BD472&lt;&gt;Constants!$B$6,"",Constants!$B$16+SUM($AW472:$AZ472))</f>
        <v/>
      </c>
      <c r="BB472" s="91" t="str">
        <f aca="false">IF($BD472&lt;&gt;Constants!$B$6,"",IF($AH472,$AJ472,""))</f>
        <v/>
      </c>
      <c r="BC472" s="93" t="str">
        <f aca="false">IF($BD472&lt;&gt;Constants!$B$6,"",$AX472)</f>
        <v/>
      </c>
      <c r="BD472" s="87" t="str">
        <f aca="false">IF(ISBLANK($C472),"",IF($AL472,Constants!$B$9,IF(COUNTA($E472:$T472)=0,Constants!$B$8,IF(NOT($X472),Constants!$B$7,IF(OR($AM472,$AV472),Constants!$B$10,Constants!$B$6)))))</f>
        <v/>
      </c>
      <c r="BE472" s="87" t="str">
        <f aca="false">IF(ISBLANK($C472),"",IF($BD472&lt;&gt;Constants!$B$6,$BD472,Constants!$B$11))</f>
        <v/>
      </c>
      <c r="BF472" s="91" t="str">
        <f aca="false">IF($BD472&lt;&gt;Constants!$B$6,"",IF($AU472="-&gt;",$BA472,$AR472))</f>
        <v/>
      </c>
      <c r="BG472" s="91" t="str">
        <f aca="false">IF($BD472&lt;&gt;Constants!$B$6,"",IF($W472,0,Constants!$B$15))</f>
        <v/>
      </c>
      <c r="BH472" s="91" t="str">
        <f aca="false">IF(ISBLANK($C472),"",IF($BD472&lt;&gt;Constants!$B$6,$BD472,SUM($BF472:$BG472)))</f>
        <v/>
      </c>
      <c r="BI472" s="87" t="str">
        <f aca="false">IF(ISBLANK($C472),"",IF($BD472&lt;&gt;Constants!$B$6,$BD472,RANK($BH472,$BH$9:$BH$508,1)))</f>
        <v/>
      </c>
      <c r="BJ472" s="91" t="str">
        <f aca="false">IF($BD472&lt;&gt;Constants!$B$6,"",IF($AU472="-&gt;",$BB472,$AS472))</f>
        <v/>
      </c>
      <c r="BK472" s="87" t="str">
        <f aca="false">IF(ISBLANK($C472),"",IF($BD472&lt;&gt;Constants!$B$6,$BD472,IF(ISNUMBER($BJ472),RANK($BJ472,$BJ$9:$BJ$508,1),COUNT($BJ$9:$BJ$508)+1)))</f>
        <v/>
      </c>
      <c r="BL472" s="91" t="str">
        <f aca="false">IF($BD472&lt;&gt;Constants!$B$6,"",IF($AU472="-&gt;",$BC472,$AT472))</f>
        <v/>
      </c>
      <c r="BM472" s="87" t="str">
        <f aca="false">IF(ISBLANK($C472),"",IF($BD472&lt;&gt;Constants!$B$6,$BD472,IF(ISNUMBER($BL472),RANK($BL472,$BL$9:$BL$508,1),COUNT($BL$9:$BL$508)+1)))</f>
        <v/>
      </c>
      <c r="BN472" s="91" t="str">
        <f aca="false">IF($BD472&lt;&gt;Constants!$B$6,"",IF($AU472="-&gt;",$AS472,$BB472))</f>
        <v/>
      </c>
      <c r="BO472" s="87" t="str">
        <f aca="false">IF(ISBLANK($C472),"",IF($BD472&lt;&gt;Constants!$B$6,$BD472,IF(ISNUMBER($BN472),RANK($BN472,$BN$9:$BN$508,1),COUNT($BN$9:$BN$508)+1)))</f>
        <v/>
      </c>
      <c r="BP472" s="91" t="str">
        <f aca="false">IF($BD472&lt;&gt;Constants!$B$6,"",IF($AU472="-&gt;",$AT472,$BC472))</f>
        <v/>
      </c>
      <c r="BQ472" s="87" t="str">
        <f aca="false">IF(ISBLANK($C472),"",IF($BD472&lt;&gt;Constants!$B$6,$BD472,IF(ISNUMBER($BP472),RANK($BP472,$BP$9:$BP$508,1),COUNT($BP$9:$BP$508)+1)))</f>
        <v/>
      </c>
      <c r="BR472" s="87" t="str">
        <f aca="false">IF(ISBLANK($C472),"",IF($BD472&lt;&gt;Constants!$B$6,$BD472,COUNTIFS($BI$9:$BI$508,"&lt;"&amp;$BI472)+COUNTIFS($BI$9:$BI$508,$BI472,$BK$9:$BK$508,"&lt;"&amp;$BK472)+COUNTIFS($BI$9:$BI$508,$BI472,$BK$9:$BK$508,$BK472,$BM$9:$BM$508,"&lt;"&amp;$BM472)+COUNTIFS($BI$9:$BI$508,$BI472,$BK$9:$BK$508,$BK472,$BM$9:$BM$508,$BM472,$BO$9:$BO$508,"&lt;"&amp;$BO472)+COUNTIFS($BI$9:$BI$508,$BI472,$BK$9:$BK$508,$BK472,$BM$9:$BM$508,$BM472,$BO$9:$BO$508,$BO472,$BQ$9:$BQ$508,"&lt;"&amp;$BQ472)+1))</f>
        <v/>
      </c>
      <c r="BS472" s="87" t="str">
        <f aca="false">IF(ISBLANK($C472),"",IF($BD472&lt;&gt;Constants!$B$6,$BD472,$BI472-$BR472))</f>
        <v/>
      </c>
      <c r="BT472" s="94"/>
      <c r="BU472" s="95"/>
      <c r="BV472" s="95" t="str">
        <f aca="false">IF(ISBLANK($C472),"",IF($BD472&lt;&gt;Constants!$B$6,"",IF($AU472="-&gt;",2,1)))</f>
        <v/>
      </c>
      <c r="BW472" s="96" t="str">
        <f aca="false">IF(ISBLANK($C472),"",IF($BD472&lt;&gt;Constants!$B$6,"",IF($AU472="-&gt;",$AW472,$AN472)))</f>
        <v/>
      </c>
      <c r="BX472" s="96" t="str">
        <f aca="false">IF(ISBLANK($C472),"",IF($BD472&lt;&gt;Constants!$B$6,"",IF($AU472="-&gt;",$AX472,$AO472)))</f>
        <v/>
      </c>
      <c r="BY472" s="96" t="str">
        <f aca="false">IF(ISBLANK($C472),"",IF($BD472&lt;&gt;Constants!$B$6,"",IF($AU472="-&gt;",$AY472,$AP472)))</f>
        <v/>
      </c>
      <c r="BZ472" s="96" t="str">
        <f aca="false">IF(ISBLANK($C472),"",IF($BD472&lt;&gt;Constants!$B$6,"",IF($AU472="-&gt;",$AZ472,$AQ472)+$BG472))</f>
        <v/>
      </c>
      <c r="CA472" s="97" t="str">
        <f aca="false">IF(ISBLANK($C472),"",IF($BD472&lt;&gt;Constants!$B$6,$BD472,$BH472))</f>
        <v/>
      </c>
      <c r="CB472" s="98" t="str">
        <f aca="false">IF(ISBLANK($C472),"",$BE472)</f>
        <v/>
      </c>
      <c r="CC472" s="99" t="str">
        <f aca="false">IF(ISBLANK($C472),"",$BS472)</f>
        <v/>
      </c>
      <c r="CD472" s="99" t="str">
        <f aca="false">IF(ISBLANK($C472),"",$BR472)</f>
        <v/>
      </c>
      <c r="CE472" s="100" t="str">
        <f aca="false">IF(ISBLANK($C472),"",IF($CD472=Constants!$B$9,COUNTA($C$9:$C$508)+2,IF($CD472=Constants!$B$8,COUNTA($C$9:$C$508)+1,IF($CD472=Constants!$B$7,COUNTA($C$9:$C$508),$CD472))))</f>
        <v/>
      </c>
      <c r="CF472" s="9"/>
      <c r="CG472" s="101" t="n">
        <f aca="false">IF(OR(ISNUMBER($CD472),$CD472=Constants!$B$9,$CD472=Constants!$B$7,$CD472=Constants!$B$8),1,0)</f>
        <v>0</v>
      </c>
      <c r="CH472" s="101" t="n">
        <v>464</v>
      </c>
      <c r="CI472" s="101" t="str">
        <f aca="false">IF(ISBLANK($C472),"",IF(ISNUMBER($CE472),$CE472+ROW($B472)/1000,""))</f>
        <v/>
      </c>
      <c r="CJ472" s="101" t="str">
        <f aca="false">IF(ISNUMBER($CI472),RANK($CI472,$CI$9:$CI$508,1),"")</f>
        <v/>
      </c>
      <c r="CK472" s="101" t="str">
        <f aca="false">IF(ISBLANK($C472),"",$B472)</f>
        <v/>
      </c>
      <c r="CL472" s="101" t="str">
        <f aca="false">IF(ISBLANK($C472),"",$C472)</f>
        <v/>
      </c>
      <c r="CM472" s="101" t="str">
        <f aca="false">IF(ISBLANK($C472),"",$D472)</f>
        <v/>
      </c>
      <c r="CN472" s="102" t="str">
        <f aca="false">$CB472</f>
        <v/>
      </c>
      <c r="CO472" s="103" t="str">
        <f aca="false">$CA472</f>
        <v/>
      </c>
      <c r="CP472" s="101" t="str">
        <f aca="false">IF(ISBLANK($C472),"",$CD472)</f>
        <v/>
      </c>
      <c r="CQ472" s="104" t="str">
        <f aca="false">IF($CH472&gt;$CG$8,"",VLOOKUP($CH472,$CJ$9:$CP$508,7,FALSE()))</f>
        <v/>
      </c>
      <c r="CR472" s="105" t="str">
        <f aca="false">IF($CH472&gt;$CG$8,"",VLOOKUP($CH472,$CJ$9:$CP$508,2,FALSE()))</f>
        <v/>
      </c>
      <c r="CS472" s="105" t="str">
        <f aca="false">IF($CH472&gt;$CG$8,"",VLOOKUP($CH472,$CJ$9:$CP$508,3,FALSE()))</f>
        <v/>
      </c>
      <c r="CT472" s="105" t="str">
        <f aca="false">IF($CH472&gt;$CG$8,"",VLOOKUP($CH472,$CJ$9:$CP$508,4,FALSE()))</f>
        <v/>
      </c>
      <c r="CU472" s="105" t="str">
        <f aca="false">IF($CH472&gt;$CG$8,"",VLOOKUP($CH472,$CJ$9:$CP$508,5,FALSE()))</f>
        <v/>
      </c>
      <c r="CV472" s="106" t="str">
        <f aca="false">IF($CH472&gt;$CG$8,"",VLOOKUP($CH472,$CJ$9:$CP$508,6,FALSE()))</f>
        <v/>
      </c>
      <c r="CW472" s="71"/>
    </row>
    <row r="473" customFormat="false" ht="15.75" hidden="false" customHeight="false" outlineLevel="0" collapsed="false">
      <c r="A473" s="9"/>
      <c r="B473" s="72"/>
      <c r="C473" s="73"/>
      <c r="D473" s="160"/>
      <c r="E473" s="168"/>
      <c r="F473" s="162"/>
      <c r="G473" s="163"/>
      <c r="H473" s="169"/>
      <c r="I473" s="167"/>
      <c r="J473" s="80"/>
      <c r="K473" s="81"/>
      <c r="L473" s="82"/>
      <c r="M473" s="166"/>
      <c r="N473" s="167"/>
      <c r="O473" s="167"/>
      <c r="P473" s="80"/>
      <c r="Q473" s="82"/>
      <c r="R473" s="82"/>
      <c r="S473" s="166"/>
      <c r="T473" s="167"/>
      <c r="U473" s="86"/>
      <c r="V473" s="87"/>
      <c r="W473" s="87" t="str">
        <f aca="false">IF(ISBLANK($C473),"",IF(E473=Constants!$B$2,TRUE(),IF(E473=Constants!$B$3,FALSE(),TRUE())))</f>
        <v/>
      </c>
      <c r="X473" s="87" t="str">
        <f aca="false">IF(ISBLANK($C473),"",IF(F473=Constants!$B$2,TRUE(),IF(F473=Constants!$B$3,FALSE(),TRUE())))</f>
        <v/>
      </c>
      <c r="Y473" s="87" t="str">
        <f aca="false">IF(ISBLANK($C473),"",IF(G473=Constants!$B$2,TRUE(),IF(G473=Constants!$B$3,FALSE(),TRUE())))</f>
        <v/>
      </c>
      <c r="Z473" s="87" t="str">
        <f aca="false">IF(ISBLANK($C473),"",IF(H473=Constants!$B$2,TRUE(),IF(H473=Constants!$B$3,FALSE(),TRUE())))</f>
        <v/>
      </c>
      <c r="AA473" s="87" t="str">
        <f aca="false">IF(ISBLANK($C473),"",IF(I473=Constants!$B$2,TRUE(),IF(I473=Constants!$B$3,FALSE(),TRUE())))</f>
        <v/>
      </c>
      <c r="AB473" s="87" t="str">
        <f aca="false">IF(ISBLANK($C473),"",IF(J473=Constants!$B$4,TRUE(),IF(J473=Constants!$B$5,FALSE(),COUNTA(K473:M473)&gt;0)))</f>
        <v/>
      </c>
      <c r="AC473" s="88" t="str">
        <f aca="false">IF(ISBLANK($C473),"",IF(ISNUMBER(K473),IF(K473&gt;=0,K473,""),""))</f>
        <v/>
      </c>
      <c r="AD473" s="89" t="str">
        <f aca="false">IF(ISBLANK($C473),"",IF(ISNUMBER(L473),IF(L473&gt;=0,L473,""),""))</f>
        <v/>
      </c>
      <c r="AE473" s="87" t="str">
        <f aca="false">IF(ISBLANK($C473),"",IF(ISNUMBER(M473),IF(M473&gt;=0,MIN(M473,Constants!$B$22),""),""))</f>
        <v/>
      </c>
      <c r="AF473" s="87" t="str">
        <f aca="false">IF(ISBLANK($C473),"",IF(N473=Constants!$B$2,TRUE(),IF(N473=Constants!$B$3,FALSE(),TRUE())))</f>
        <v/>
      </c>
      <c r="AG473" s="87" t="str">
        <f aca="false">IF(ISBLANK($C473),"",IF(O473=Constants!$B$2,TRUE(),IF(O473=Constants!$B$3,FALSE(),TRUE())))</f>
        <v/>
      </c>
      <c r="AH473" s="87" t="str">
        <f aca="false">IF(ISBLANK($C473),"",IF(P473=Constants!$B$4,TRUE(),IF(P473=Constants!$B$5,FALSE(),COUNTA(Q473:S473)&gt;0)))</f>
        <v/>
      </c>
      <c r="AI473" s="88" t="str">
        <f aca="false">IF(ISBLANK($C473),"",IF(ISNUMBER(Q473),IF(Q473&gt;=0,Q473,""),""))</f>
        <v/>
      </c>
      <c r="AJ473" s="89" t="str">
        <f aca="false">IF(ISBLANK($C473),"",IF(ISNUMBER(R473),IF(R473&gt;=0,R473,""),""))</f>
        <v/>
      </c>
      <c r="AK473" s="87" t="str">
        <f aca="false">IF(ISBLANK($C473),"",IF(ISNUMBER(S473),IF(S473&gt;=0,MIN(S473,Constants!$B$22),""),""))</f>
        <v/>
      </c>
      <c r="AL473" s="87" t="str">
        <f aca="false">IF(ISBLANK($C473),"",IF(T473=Constants!$B$2,TRUE(),IF(T473=Constants!$B$3,FALSE(),FALSE())))</f>
        <v/>
      </c>
      <c r="AM473" s="86" t="str">
        <f aca="false">IF(ISBLANK($C473),"",AND($AB473,OR($AC473="",$AD473="",AND(NOT(ISBLANK($M473)),$AE473=""))))</f>
        <v/>
      </c>
      <c r="AN473" s="89" t="str">
        <f aca="false">IF($BD473&lt;&gt;Constants!$B$6,"",IF($AB473,Constants!$B$17*$AD473,Constants!$B$18))</f>
        <v/>
      </c>
      <c r="AO473" s="91" t="str">
        <f aca="false">IF($BD473&lt;&gt;Constants!$B$6,"",Constants!$B$19*IF($AB473,$AC473,0))</f>
        <v/>
      </c>
      <c r="AP473" s="91" t="str">
        <f aca="false">IF($BD473&lt;&gt;Constants!$B$6,"",IF(AND($AB473,ISNUMBER($AE473)),Constants!$B$20*(Constants!$B$21-$AE473),0))</f>
        <v/>
      </c>
      <c r="AQ473" s="91" t="str">
        <f aca="false">IF($BD473&lt;&gt;Constants!$B$6,"",IF($AA473,0,Constants!$B$12)+IF($Z473,0,Constants!$B$13)+IF($Y473,0,Constants!$B$14))</f>
        <v/>
      </c>
      <c r="AR473" s="92" t="str">
        <f aca="false">IF($BD473&lt;&gt;Constants!$B$6,"",Constants!$B$16+SUM($AN473:$AQ473))</f>
        <v/>
      </c>
      <c r="AS473" s="91" t="str">
        <f aca="false">IF($BD473&lt;&gt;Constants!$B$6,"",IF($AB473,$AD473,""))</f>
        <v/>
      </c>
      <c r="AT473" s="93" t="str">
        <f aca="false">IF($BD473&lt;&gt;Constants!$B$6,"",$AO473)</f>
        <v/>
      </c>
      <c r="AU473" s="87" t="str">
        <f aca="false">IF($BD473&lt;&gt;Constants!$B$6,"",IF(OR($BA473&lt;$AR473,AND($BA473=$AR473,OR(AND(ISNUMBER($BB473),OR(NOT(ISNUMBER($AS473)),$BB473&lt;$AS473)),AND(OR(AND($BB473="",$AS473=""),AND(ISNUMBER($BB473),ISNUMBER($AS473),$BB473=$AS473)),$BC473&lt;$AT473)))),"-&gt;","&lt;-"))</f>
        <v/>
      </c>
      <c r="AV473" s="86" t="str">
        <f aca="false">IF(ISBLANK($C473),"",AND($AH473,OR($AI473="",$AJ473="",AND(NOT(ISBLANK($S473)),$AK473=""))))</f>
        <v/>
      </c>
      <c r="AW473" s="89" t="str">
        <f aca="false">IF($BD473&lt;&gt;Constants!$B$6,"",IF($AH473,Constants!$B$17*$AJ473,Constants!$B$18))</f>
        <v/>
      </c>
      <c r="AX473" s="91" t="str">
        <f aca="false">IF($BD473&lt;&gt;Constants!$B$6,"",Constants!$B$19*IF($AH473,$AI473,0))</f>
        <v/>
      </c>
      <c r="AY473" s="91" t="str">
        <f aca="false">IF($BD473&lt;&gt;Constants!$B$6,"",IF(AND($AH473,ISNUMBER($AK473)),Constants!$B$20*(Constants!$B$21-$AK473),0))</f>
        <v/>
      </c>
      <c r="AZ473" s="91" t="str">
        <f aca="false">IF($BD473&lt;&gt;Constants!$B$6,"",IF($AG473,0,Constants!$B$12)+IF($AF473,0,Constants!$B$13)+IF($Y473,0,Constants!$B$14))</f>
        <v/>
      </c>
      <c r="BA473" s="92" t="str">
        <f aca="false">IF($BD473&lt;&gt;Constants!$B$6,"",Constants!$B$16+SUM($AW473:$AZ473))</f>
        <v/>
      </c>
      <c r="BB473" s="91" t="str">
        <f aca="false">IF($BD473&lt;&gt;Constants!$B$6,"",IF($AH473,$AJ473,""))</f>
        <v/>
      </c>
      <c r="BC473" s="93" t="str">
        <f aca="false">IF($BD473&lt;&gt;Constants!$B$6,"",$AX473)</f>
        <v/>
      </c>
      <c r="BD473" s="87" t="str">
        <f aca="false">IF(ISBLANK($C473),"",IF($AL473,Constants!$B$9,IF(COUNTA($E473:$T473)=0,Constants!$B$8,IF(NOT($X473),Constants!$B$7,IF(OR($AM473,$AV473),Constants!$B$10,Constants!$B$6)))))</f>
        <v/>
      </c>
      <c r="BE473" s="87" t="str">
        <f aca="false">IF(ISBLANK($C473),"",IF($BD473&lt;&gt;Constants!$B$6,$BD473,Constants!$B$11))</f>
        <v/>
      </c>
      <c r="BF473" s="91" t="str">
        <f aca="false">IF($BD473&lt;&gt;Constants!$B$6,"",IF($AU473="-&gt;",$BA473,$AR473))</f>
        <v/>
      </c>
      <c r="BG473" s="91" t="str">
        <f aca="false">IF($BD473&lt;&gt;Constants!$B$6,"",IF($W473,0,Constants!$B$15))</f>
        <v/>
      </c>
      <c r="BH473" s="91" t="str">
        <f aca="false">IF(ISBLANK($C473),"",IF($BD473&lt;&gt;Constants!$B$6,$BD473,SUM($BF473:$BG473)))</f>
        <v/>
      </c>
      <c r="BI473" s="87" t="str">
        <f aca="false">IF(ISBLANK($C473),"",IF($BD473&lt;&gt;Constants!$B$6,$BD473,RANK($BH473,$BH$9:$BH$508,1)))</f>
        <v/>
      </c>
      <c r="BJ473" s="91" t="str">
        <f aca="false">IF($BD473&lt;&gt;Constants!$B$6,"",IF($AU473="-&gt;",$BB473,$AS473))</f>
        <v/>
      </c>
      <c r="BK473" s="87" t="str">
        <f aca="false">IF(ISBLANK($C473),"",IF($BD473&lt;&gt;Constants!$B$6,$BD473,IF(ISNUMBER($BJ473),RANK($BJ473,$BJ$9:$BJ$508,1),COUNT($BJ$9:$BJ$508)+1)))</f>
        <v/>
      </c>
      <c r="BL473" s="91" t="str">
        <f aca="false">IF($BD473&lt;&gt;Constants!$B$6,"",IF($AU473="-&gt;",$BC473,$AT473))</f>
        <v/>
      </c>
      <c r="BM473" s="87" t="str">
        <f aca="false">IF(ISBLANK($C473),"",IF($BD473&lt;&gt;Constants!$B$6,$BD473,IF(ISNUMBER($BL473),RANK($BL473,$BL$9:$BL$508,1),COUNT($BL$9:$BL$508)+1)))</f>
        <v/>
      </c>
      <c r="BN473" s="91" t="str">
        <f aca="false">IF($BD473&lt;&gt;Constants!$B$6,"",IF($AU473="-&gt;",$AS473,$BB473))</f>
        <v/>
      </c>
      <c r="BO473" s="87" t="str">
        <f aca="false">IF(ISBLANK($C473),"",IF($BD473&lt;&gt;Constants!$B$6,$BD473,IF(ISNUMBER($BN473),RANK($BN473,$BN$9:$BN$508,1),COUNT($BN$9:$BN$508)+1)))</f>
        <v/>
      </c>
      <c r="BP473" s="91" t="str">
        <f aca="false">IF($BD473&lt;&gt;Constants!$B$6,"",IF($AU473="-&gt;",$AT473,$BC473))</f>
        <v/>
      </c>
      <c r="BQ473" s="87" t="str">
        <f aca="false">IF(ISBLANK($C473),"",IF($BD473&lt;&gt;Constants!$B$6,$BD473,IF(ISNUMBER($BP473),RANK($BP473,$BP$9:$BP$508,1),COUNT($BP$9:$BP$508)+1)))</f>
        <v/>
      </c>
      <c r="BR473" s="87" t="str">
        <f aca="false">IF(ISBLANK($C473),"",IF($BD473&lt;&gt;Constants!$B$6,$BD473,COUNTIFS($BI$9:$BI$508,"&lt;"&amp;$BI473)+COUNTIFS($BI$9:$BI$508,$BI473,$BK$9:$BK$508,"&lt;"&amp;$BK473)+COUNTIFS($BI$9:$BI$508,$BI473,$BK$9:$BK$508,$BK473,$BM$9:$BM$508,"&lt;"&amp;$BM473)+COUNTIFS($BI$9:$BI$508,$BI473,$BK$9:$BK$508,$BK473,$BM$9:$BM$508,$BM473,$BO$9:$BO$508,"&lt;"&amp;$BO473)+COUNTIFS($BI$9:$BI$508,$BI473,$BK$9:$BK$508,$BK473,$BM$9:$BM$508,$BM473,$BO$9:$BO$508,$BO473,$BQ$9:$BQ$508,"&lt;"&amp;$BQ473)+1))</f>
        <v/>
      </c>
      <c r="BS473" s="87" t="str">
        <f aca="false">IF(ISBLANK($C473),"",IF($BD473&lt;&gt;Constants!$B$6,$BD473,$BI473-$BR473))</f>
        <v/>
      </c>
      <c r="BT473" s="94"/>
      <c r="BU473" s="95"/>
      <c r="BV473" s="95" t="str">
        <f aca="false">IF(ISBLANK($C473),"",IF($BD473&lt;&gt;Constants!$B$6,"",IF($AU473="-&gt;",2,1)))</f>
        <v/>
      </c>
      <c r="BW473" s="96" t="str">
        <f aca="false">IF(ISBLANK($C473),"",IF($BD473&lt;&gt;Constants!$B$6,"",IF($AU473="-&gt;",$AW473,$AN473)))</f>
        <v/>
      </c>
      <c r="BX473" s="96" t="str">
        <f aca="false">IF(ISBLANK($C473),"",IF($BD473&lt;&gt;Constants!$B$6,"",IF($AU473="-&gt;",$AX473,$AO473)))</f>
        <v/>
      </c>
      <c r="BY473" s="96" t="str">
        <f aca="false">IF(ISBLANK($C473),"",IF($BD473&lt;&gt;Constants!$B$6,"",IF($AU473="-&gt;",$AY473,$AP473)))</f>
        <v/>
      </c>
      <c r="BZ473" s="96" t="str">
        <f aca="false">IF(ISBLANK($C473),"",IF($BD473&lt;&gt;Constants!$B$6,"",IF($AU473="-&gt;",$AZ473,$AQ473)+$BG473))</f>
        <v/>
      </c>
      <c r="CA473" s="97" t="str">
        <f aca="false">IF(ISBLANK($C473),"",IF($BD473&lt;&gt;Constants!$B$6,$BD473,$BH473))</f>
        <v/>
      </c>
      <c r="CB473" s="98" t="str">
        <f aca="false">IF(ISBLANK($C473),"",$BE473)</f>
        <v/>
      </c>
      <c r="CC473" s="99" t="str">
        <f aca="false">IF(ISBLANK($C473),"",$BS473)</f>
        <v/>
      </c>
      <c r="CD473" s="99" t="str">
        <f aca="false">IF(ISBLANK($C473),"",$BR473)</f>
        <v/>
      </c>
      <c r="CE473" s="100" t="str">
        <f aca="false">IF(ISBLANK($C473),"",IF($CD473=Constants!$B$9,COUNTA($C$9:$C$508)+2,IF($CD473=Constants!$B$8,COUNTA($C$9:$C$508)+1,IF($CD473=Constants!$B$7,COUNTA($C$9:$C$508),$CD473))))</f>
        <v/>
      </c>
      <c r="CF473" s="9"/>
      <c r="CG473" s="101" t="n">
        <f aca="false">IF(OR(ISNUMBER($CD473),$CD473=Constants!$B$9,$CD473=Constants!$B$7,$CD473=Constants!$B$8),1,0)</f>
        <v>0</v>
      </c>
      <c r="CH473" s="101" t="n">
        <v>465</v>
      </c>
      <c r="CI473" s="101" t="str">
        <f aca="false">IF(ISBLANK($C473),"",IF(ISNUMBER($CE473),$CE473+ROW($B473)/1000,""))</f>
        <v/>
      </c>
      <c r="CJ473" s="101" t="str">
        <f aca="false">IF(ISNUMBER($CI473),RANK($CI473,$CI$9:$CI$508,1),"")</f>
        <v/>
      </c>
      <c r="CK473" s="101" t="str">
        <f aca="false">IF(ISBLANK($C473),"",$B473)</f>
        <v/>
      </c>
      <c r="CL473" s="101" t="str">
        <f aca="false">IF(ISBLANK($C473),"",$C473)</f>
        <v/>
      </c>
      <c r="CM473" s="101" t="str">
        <f aca="false">IF(ISBLANK($C473),"",$D473)</f>
        <v/>
      </c>
      <c r="CN473" s="102" t="str">
        <f aca="false">$CB473</f>
        <v/>
      </c>
      <c r="CO473" s="103" t="str">
        <f aca="false">$CA473</f>
        <v/>
      </c>
      <c r="CP473" s="101" t="str">
        <f aca="false">IF(ISBLANK($C473),"",$CD473)</f>
        <v/>
      </c>
      <c r="CQ473" s="104" t="str">
        <f aca="false">IF($CH473&gt;$CG$8,"",VLOOKUP($CH473,$CJ$9:$CP$508,7,FALSE()))</f>
        <v/>
      </c>
      <c r="CR473" s="105" t="str">
        <f aca="false">IF($CH473&gt;$CG$8,"",VLOOKUP($CH473,$CJ$9:$CP$508,2,FALSE()))</f>
        <v/>
      </c>
      <c r="CS473" s="105" t="str">
        <f aca="false">IF($CH473&gt;$CG$8,"",VLOOKUP($CH473,$CJ$9:$CP$508,3,FALSE()))</f>
        <v/>
      </c>
      <c r="CT473" s="105" t="str">
        <f aca="false">IF($CH473&gt;$CG$8,"",VLOOKUP($CH473,$CJ$9:$CP$508,4,FALSE()))</f>
        <v/>
      </c>
      <c r="CU473" s="105" t="str">
        <f aca="false">IF($CH473&gt;$CG$8,"",VLOOKUP($CH473,$CJ$9:$CP$508,5,FALSE()))</f>
        <v/>
      </c>
      <c r="CV473" s="106" t="str">
        <f aca="false">IF($CH473&gt;$CG$8,"",VLOOKUP($CH473,$CJ$9:$CP$508,6,FALSE()))</f>
        <v/>
      </c>
      <c r="CW473" s="71"/>
    </row>
    <row r="474" customFormat="false" ht="15.75" hidden="false" customHeight="false" outlineLevel="0" collapsed="false">
      <c r="A474" s="9"/>
      <c r="B474" s="150"/>
      <c r="C474" s="151"/>
      <c r="D474" s="152"/>
      <c r="E474" s="170"/>
      <c r="F474" s="154"/>
      <c r="G474" s="155"/>
      <c r="H474" s="171"/>
      <c r="I474" s="159"/>
      <c r="J474" s="120"/>
      <c r="K474" s="121"/>
      <c r="L474" s="122"/>
      <c r="M474" s="158"/>
      <c r="N474" s="159"/>
      <c r="O474" s="159"/>
      <c r="P474" s="120"/>
      <c r="Q474" s="122"/>
      <c r="R474" s="122"/>
      <c r="S474" s="158"/>
      <c r="T474" s="159"/>
      <c r="U474" s="126"/>
      <c r="V474" s="127"/>
      <c r="W474" s="127" t="str">
        <f aca="false">IF(ISBLANK($C474),"",IF(E474=Constants!$B$2,TRUE(),IF(E474=Constants!$B$3,FALSE(),TRUE())))</f>
        <v/>
      </c>
      <c r="X474" s="127" t="str">
        <f aca="false">IF(ISBLANK($C474),"",IF(F474=Constants!$B$2,TRUE(),IF(F474=Constants!$B$3,FALSE(),TRUE())))</f>
        <v/>
      </c>
      <c r="Y474" s="127" t="str">
        <f aca="false">IF(ISBLANK($C474),"",IF(G474=Constants!$B$2,TRUE(),IF(G474=Constants!$B$3,FALSE(),TRUE())))</f>
        <v/>
      </c>
      <c r="Z474" s="127" t="str">
        <f aca="false">IF(ISBLANK($C474),"",IF(H474=Constants!$B$2,TRUE(),IF(H474=Constants!$B$3,FALSE(),TRUE())))</f>
        <v/>
      </c>
      <c r="AA474" s="127" t="str">
        <f aca="false">IF(ISBLANK($C474),"",IF(I474=Constants!$B$2,TRUE(),IF(I474=Constants!$B$3,FALSE(),TRUE())))</f>
        <v/>
      </c>
      <c r="AB474" s="127" t="str">
        <f aca="false">IF(ISBLANK($C474),"",IF(J474=Constants!$B$4,TRUE(),IF(J474=Constants!$B$5,FALSE(),COUNTA(K474:M474)&gt;0)))</f>
        <v/>
      </c>
      <c r="AC474" s="128" t="str">
        <f aca="false">IF(ISBLANK($C474),"",IF(ISNUMBER(K474),IF(K474&gt;=0,K474,""),""))</f>
        <v/>
      </c>
      <c r="AD474" s="129" t="str">
        <f aca="false">IF(ISBLANK($C474),"",IF(ISNUMBER(L474),IF(L474&gt;=0,L474,""),""))</f>
        <v/>
      </c>
      <c r="AE474" s="127" t="str">
        <f aca="false">IF(ISBLANK($C474),"",IF(ISNUMBER(M474),IF(M474&gt;=0,MIN(M474,Constants!$B$22),""),""))</f>
        <v/>
      </c>
      <c r="AF474" s="127" t="str">
        <f aca="false">IF(ISBLANK($C474),"",IF(N474=Constants!$B$2,TRUE(),IF(N474=Constants!$B$3,FALSE(),TRUE())))</f>
        <v/>
      </c>
      <c r="AG474" s="127" t="str">
        <f aca="false">IF(ISBLANK($C474),"",IF(O474=Constants!$B$2,TRUE(),IF(O474=Constants!$B$3,FALSE(),TRUE())))</f>
        <v/>
      </c>
      <c r="AH474" s="127" t="str">
        <f aca="false">IF(ISBLANK($C474),"",IF(P474=Constants!$B$4,TRUE(),IF(P474=Constants!$B$5,FALSE(),COUNTA(Q474:S474)&gt;0)))</f>
        <v/>
      </c>
      <c r="AI474" s="128" t="str">
        <f aca="false">IF(ISBLANK($C474),"",IF(ISNUMBER(Q474),IF(Q474&gt;=0,Q474,""),""))</f>
        <v/>
      </c>
      <c r="AJ474" s="129" t="str">
        <f aca="false">IF(ISBLANK($C474),"",IF(ISNUMBER(R474),IF(R474&gt;=0,R474,""),""))</f>
        <v/>
      </c>
      <c r="AK474" s="127" t="str">
        <f aca="false">IF(ISBLANK($C474),"",IF(ISNUMBER(S474),IF(S474&gt;=0,MIN(S474,Constants!$B$22),""),""))</f>
        <v/>
      </c>
      <c r="AL474" s="127" t="str">
        <f aca="false">IF(ISBLANK($C474),"",IF(T474=Constants!$B$2,TRUE(),IF(T474=Constants!$B$3,FALSE(),FALSE())))</f>
        <v/>
      </c>
      <c r="AM474" s="126" t="str">
        <f aca="false">IF(ISBLANK($C474),"",AND($AB474,OR($AC474="",$AD474="",AND(NOT(ISBLANK($M474)),$AE474=""))))</f>
        <v/>
      </c>
      <c r="AN474" s="129" t="str">
        <f aca="false">IF($BD474&lt;&gt;Constants!$B$6,"",IF($AB474,Constants!$B$17*$AD474,Constants!$B$18))</f>
        <v/>
      </c>
      <c r="AO474" s="130" t="str">
        <f aca="false">IF($BD474&lt;&gt;Constants!$B$6,"",Constants!$B$19*IF($AB474,$AC474,0))</f>
        <v/>
      </c>
      <c r="AP474" s="130" t="str">
        <f aca="false">IF($BD474&lt;&gt;Constants!$B$6,"",IF(AND($AB474,ISNUMBER($AE474)),Constants!$B$20*(Constants!$B$21-$AE474),0))</f>
        <v/>
      </c>
      <c r="AQ474" s="130" t="str">
        <f aca="false">IF($BD474&lt;&gt;Constants!$B$6,"",IF($AA474,0,Constants!$B$12)+IF($Z474,0,Constants!$B$13)+IF($Y474,0,Constants!$B$14))</f>
        <v/>
      </c>
      <c r="AR474" s="131" t="str">
        <f aca="false">IF($BD474&lt;&gt;Constants!$B$6,"",Constants!$B$16+SUM($AN474:$AQ474))</f>
        <v/>
      </c>
      <c r="AS474" s="130" t="str">
        <f aca="false">IF($BD474&lt;&gt;Constants!$B$6,"",IF($AB474,$AD474,""))</f>
        <v/>
      </c>
      <c r="AT474" s="132" t="str">
        <f aca="false">IF($BD474&lt;&gt;Constants!$B$6,"",$AO474)</f>
        <v/>
      </c>
      <c r="AU474" s="127" t="str">
        <f aca="false">IF($BD474&lt;&gt;Constants!$B$6,"",IF(OR($BA474&lt;$AR474,AND($BA474=$AR474,OR(AND(ISNUMBER($BB474),OR(NOT(ISNUMBER($AS474)),$BB474&lt;$AS474)),AND(OR(AND($BB474="",$AS474=""),AND(ISNUMBER($BB474),ISNUMBER($AS474),$BB474=$AS474)),$BC474&lt;$AT474)))),"-&gt;","&lt;-"))</f>
        <v/>
      </c>
      <c r="AV474" s="126" t="str">
        <f aca="false">IF(ISBLANK($C474),"",AND($AH474,OR($AI474="",$AJ474="",AND(NOT(ISBLANK($S474)),$AK474=""))))</f>
        <v/>
      </c>
      <c r="AW474" s="129" t="str">
        <f aca="false">IF($BD474&lt;&gt;Constants!$B$6,"",IF($AH474,Constants!$B$17*$AJ474,Constants!$B$18))</f>
        <v/>
      </c>
      <c r="AX474" s="130" t="str">
        <f aca="false">IF($BD474&lt;&gt;Constants!$B$6,"",Constants!$B$19*IF($AH474,$AI474,0))</f>
        <v/>
      </c>
      <c r="AY474" s="130" t="str">
        <f aca="false">IF($BD474&lt;&gt;Constants!$B$6,"",IF(AND($AH474,ISNUMBER($AK474)),Constants!$B$20*(Constants!$B$21-$AK474),0))</f>
        <v/>
      </c>
      <c r="AZ474" s="130" t="str">
        <f aca="false">IF($BD474&lt;&gt;Constants!$B$6,"",IF($AG474,0,Constants!$B$12)+IF($AF474,0,Constants!$B$13)+IF($Y474,0,Constants!$B$14))</f>
        <v/>
      </c>
      <c r="BA474" s="131" t="str">
        <f aca="false">IF($BD474&lt;&gt;Constants!$B$6,"",Constants!$B$16+SUM($AW474:$AZ474))</f>
        <v/>
      </c>
      <c r="BB474" s="130" t="str">
        <f aca="false">IF($BD474&lt;&gt;Constants!$B$6,"",IF($AH474,$AJ474,""))</f>
        <v/>
      </c>
      <c r="BC474" s="132" t="str">
        <f aca="false">IF($BD474&lt;&gt;Constants!$B$6,"",$AX474)</f>
        <v/>
      </c>
      <c r="BD474" s="127" t="str">
        <f aca="false">IF(ISBLANK($C474),"",IF($AL474,Constants!$B$9,IF(COUNTA($E474:$T474)=0,Constants!$B$8,IF(NOT($X474),Constants!$B$7,IF(OR($AM474,$AV474),Constants!$B$10,Constants!$B$6)))))</f>
        <v/>
      </c>
      <c r="BE474" s="127" t="str">
        <f aca="false">IF(ISBLANK($C474),"",IF($BD474&lt;&gt;Constants!$B$6,$BD474,Constants!$B$11))</f>
        <v/>
      </c>
      <c r="BF474" s="130" t="str">
        <f aca="false">IF($BD474&lt;&gt;Constants!$B$6,"",IF($AU474="-&gt;",$BA474,$AR474))</f>
        <v/>
      </c>
      <c r="BG474" s="130" t="str">
        <f aca="false">IF($BD474&lt;&gt;Constants!$B$6,"",IF($W474,0,Constants!$B$15))</f>
        <v/>
      </c>
      <c r="BH474" s="130" t="str">
        <f aca="false">IF(ISBLANK($C474),"",IF($BD474&lt;&gt;Constants!$B$6,$BD474,SUM($BF474:$BG474)))</f>
        <v/>
      </c>
      <c r="BI474" s="127" t="str">
        <f aca="false">IF(ISBLANK($C474),"",IF($BD474&lt;&gt;Constants!$B$6,$BD474,RANK($BH474,$BH$9:$BH$508,1)))</f>
        <v/>
      </c>
      <c r="BJ474" s="130" t="str">
        <f aca="false">IF($BD474&lt;&gt;Constants!$B$6,"",IF($AU474="-&gt;",$BB474,$AS474))</f>
        <v/>
      </c>
      <c r="BK474" s="127" t="str">
        <f aca="false">IF(ISBLANK($C474),"",IF($BD474&lt;&gt;Constants!$B$6,$BD474,IF(ISNUMBER($BJ474),RANK($BJ474,$BJ$9:$BJ$508,1),COUNT($BJ$9:$BJ$508)+1)))</f>
        <v/>
      </c>
      <c r="BL474" s="130" t="str">
        <f aca="false">IF($BD474&lt;&gt;Constants!$B$6,"",IF($AU474="-&gt;",$BC474,$AT474))</f>
        <v/>
      </c>
      <c r="BM474" s="127" t="str">
        <f aca="false">IF(ISBLANK($C474),"",IF($BD474&lt;&gt;Constants!$B$6,$BD474,IF(ISNUMBER($BL474),RANK($BL474,$BL$9:$BL$508,1),COUNT($BL$9:$BL$508)+1)))</f>
        <v/>
      </c>
      <c r="BN474" s="130" t="str">
        <f aca="false">IF($BD474&lt;&gt;Constants!$B$6,"",IF($AU474="-&gt;",$AS474,$BB474))</f>
        <v/>
      </c>
      <c r="BO474" s="127" t="str">
        <f aca="false">IF(ISBLANK($C474),"",IF($BD474&lt;&gt;Constants!$B$6,$BD474,IF(ISNUMBER($BN474),RANK($BN474,$BN$9:$BN$508,1),COUNT($BN$9:$BN$508)+1)))</f>
        <v/>
      </c>
      <c r="BP474" s="130" t="str">
        <f aca="false">IF($BD474&lt;&gt;Constants!$B$6,"",IF($AU474="-&gt;",$AT474,$BC474))</f>
        <v/>
      </c>
      <c r="BQ474" s="127" t="str">
        <f aca="false">IF(ISBLANK($C474),"",IF($BD474&lt;&gt;Constants!$B$6,$BD474,IF(ISNUMBER($BP474),RANK($BP474,$BP$9:$BP$508,1),COUNT($BP$9:$BP$508)+1)))</f>
        <v/>
      </c>
      <c r="BR474" s="127" t="str">
        <f aca="false">IF(ISBLANK($C474),"",IF($BD474&lt;&gt;Constants!$B$6,$BD474,COUNTIFS($BI$9:$BI$508,"&lt;"&amp;$BI474)+COUNTIFS($BI$9:$BI$508,$BI474,$BK$9:$BK$508,"&lt;"&amp;$BK474)+COUNTIFS($BI$9:$BI$508,$BI474,$BK$9:$BK$508,$BK474,$BM$9:$BM$508,"&lt;"&amp;$BM474)+COUNTIFS($BI$9:$BI$508,$BI474,$BK$9:$BK$508,$BK474,$BM$9:$BM$508,$BM474,$BO$9:$BO$508,"&lt;"&amp;$BO474)+COUNTIFS($BI$9:$BI$508,$BI474,$BK$9:$BK$508,$BK474,$BM$9:$BM$508,$BM474,$BO$9:$BO$508,$BO474,$BQ$9:$BQ$508,"&lt;"&amp;$BQ474)+1))</f>
        <v/>
      </c>
      <c r="BS474" s="127" t="str">
        <f aca="false">IF(ISBLANK($C474),"",IF($BD474&lt;&gt;Constants!$B$6,$BD474,$BI474-$BR474))</f>
        <v/>
      </c>
      <c r="BT474" s="133"/>
      <c r="BU474" s="134"/>
      <c r="BV474" s="134" t="str">
        <f aca="false">IF(ISBLANK($C474),"",IF($BD474&lt;&gt;Constants!$B$6,"",IF($AU474="-&gt;",2,1)))</f>
        <v/>
      </c>
      <c r="BW474" s="135" t="str">
        <f aca="false">IF(ISBLANK($C474),"",IF($BD474&lt;&gt;Constants!$B$6,"",IF($AU474="-&gt;",$AW474,$AN474)))</f>
        <v/>
      </c>
      <c r="BX474" s="135" t="str">
        <f aca="false">IF(ISBLANK($C474),"",IF($BD474&lt;&gt;Constants!$B$6,"",IF($AU474="-&gt;",$AX474,$AO474)))</f>
        <v/>
      </c>
      <c r="BY474" s="135" t="str">
        <f aca="false">IF(ISBLANK($C474),"",IF($BD474&lt;&gt;Constants!$B$6,"",IF($AU474="-&gt;",$AY474,$AP474)))</f>
        <v/>
      </c>
      <c r="BZ474" s="135" t="str">
        <f aca="false">IF(ISBLANK($C474),"",IF($BD474&lt;&gt;Constants!$B$6,"",IF($AU474="-&gt;",$AZ474,$AQ474)+$BG474))</f>
        <v/>
      </c>
      <c r="CA474" s="136" t="str">
        <f aca="false">IF(ISBLANK($C474),"",IF($BD474&lt;&gt;Constants!$B$6,$BD474,$BH474))</f>
        <v/>
      </c>
      <c r="CB474" s="137" t="str">
        <f aca="false">IF(ISBLANK($C474),"",$BE474)</f>
        <v/>
      </c>
      <c r="CC474" s="138" t="str">
        <f aca="false">IF(ISBLANK($C474),"",$BS474)</f>
        <v/>
      </c>
      <c r="CD474" s="138" t="str">
        <f aca="false">IF(ISBLANK($C474),"",$BR474)</f>
        <v/>
      </c>
      <c r="CE474" s="139" t="str">
        <f aca="false">IF(ISBLANK($C474),"",IF($CD474=Constants!$B$9,COUNTA($C$9:$C$508)+2,IF($CD474=Constants!$B$8,COUNTA($C$9:$C$508)+1,IF($CD474=Constants!$B$7,COUNTA($C$9:$C$508),$CD474))))</f>
        <v/>
      </c>
      <c r="CF474" s="9"/>
      <c r="CG474" s="140" t="n">
        <f aca="false">IF(OR(ISNUMBER($CD474),$CD474=Constants!$B$9,$CD474=Constants!$B$7,$CD474=Constants!$B$8),1,0)</f>
        <v>0</v>
      </c>
      <c r="CH474" s="140" t="n">
        <v>466</v>
      </c>
      <c r="CI474" s="140" t="str">
        <f aca="false">IF(ISBLANK($C474),"",IF(ISNUMBER($CE474),$CE474+ROW($B474)/1000,""))</f>
        <v/>
      </c>
      <c r="CJ474" s="140" t="str">
        <f aca="false">IF(ISNUMBER($CI474),RANK($CI474,$CI$9:$CI$508,1),"")</f>
        <v/>
      </c>
      <c r="CK474" s="140" t="str">
        <f aca="false">IF(ISBLANK($C474),"",$B474)</f>
        <v/>
      </c>
      <c r="CL474" s="140" t="str">
        <f aca="false">IF(ISBLANK($C474),"",$C474)</f>
        <v/>
      </c>
      <c r="CM474" s="140" t="str">
        <f aca="false">IF(ISBLANK($C474),"",$D474)</f>
        <v/>
      </c>
      <c r="CN474" s="141" t="str">
        <f aca="false">$CB474</f>
        <v/>
      </c>
      <c r="CO474" s="142" t="str">
        <f aca="false">$CA474</f>
        <v/>
      </c>
      <c r="CP474" s="140" t="str">
        <f aca="false">IF(ISBLANK($C474),"",$CD474)</f>
        <v/>
      </c>
      <c r="CQ474" s="143" t="str">
        <f aca="false">IF($CH474&gt;$CG$8,"",VLOOKUP($CH474,$CJ$9:$CP$508,7,FALSE()))</f>
        <v/>
      </c>
      <c r="CR474" s="144" t="str">
        <f aca="false">IF($CH474&gt;$CG$8,"",VLOOKUP($CH474,$CJ$9:$CP$508,2,FALSE()))</f>
        <v/>
      </c>
      <c r="CS474" s="144" t="str">
        <f aca="false">IF($CH474&gt;$CG$8,"",VLOOKUP($CH474,$CJ$9:$CP$508,3,FALSE()))</f>
        <v/>
      </c>
      <c r="CT474" s="144" t="str">
        <f aca="false">IF($CH474&gt;$CG$8,"",VLOOKUP($CH474,$CJ$9:$CP$508,4,FALSE()))</f>
        <v/>
      </c>
      <c r="CU474" s="144" t="str">
        <f aca="false">IF($CH474&gt;$CG$8,"",VLOOKUP($CH474,$CJ$9:$CP$508,5,FALSE()))</f>
        <v/>
      </c>
      <c r="CV474" s="145" t="str">
        <f aca="false">IF($CH474&gt;$CG$8,"",VLOOKUP($CH474,$CJ$9:$CP$508,6,FALSE()))</f>
        <v/>
      </c>
      <c r="CW474" s="71"/>
    </row>
    <row r="475" customFormat="false" ht="15.75" hidden="false" customHeight="false" outlineLevel="0" collapsed="false">
      <c r="A475" s="9"/>
      <c r="B475" s="150"/>
      <c r="C475" s="151"/>
      <c r="D475" s="152"/>
      <c r="E475" s="170"/>
      <c r="F475" s="154"/>
      <c r="G475" s="155"/>
      <c r="H475" s="171"/>
      <c r="I475" s="159"/>
      <c r="J475" s="120"/>
      <c r="K475" s="121"/>
      <c r="L475" s="122"/>
      <c r="M475" s="158"/>
      <c r="N475" s="159"/>
      <c r="O475" s="159"/>
      <c r="P475" s="120"/>
      <c r="Q475" s="122"/>
      <c r="R475" s="122"/>
      <c r="S475" s="158"/>
      <c r="T475" s="159"/>
      <c r="U475" s="126"/>
      <c r="V475" s="127"/>
      <c r="W475" s="127" t="str">
        <f aca="false">IF(ISBLANK($C475),"",IF(E475=Constants!$B$2,TRUE(),IF(E475=Constants!$B$3,FALSE(),TRUE())))</f>
        <v/>
      </c>
      <c r="X475" s="127" t="str">
        <f aca="false">IF(ISBLANK($C475),"",IF(F475=Constants!$B$2,TRUE(),IF(F475=Constants!$B$3,FALSE(),TRUE())))</f>
        <v/>
      </c>
      <c r="Y475" s="127" t="str">
        <f aca="false">IF(ISBLANK($C475),"",IF(G475=Constants!$B$2,TRUE(),IF(G475=Constants!$B$3,FALSE(),TRUE())))</f>
        <v/>
      </c>
      <c r="Z475" s="127" t="str">
        <f aca="false">IF(ISBLANK($C475),"",IF(H475=Constants!$B$2,TRUE(),IF(H475=Constants!$B$3,FALSE(),TRUE())))</f>
        <v/>
      </c>
      <c r="AA475" s="127" t="str">
        <f aca="false">IF(ISBLANK($C475),"",IF(I475=Constants!$B$2,TRUE(),IF(I475=Constants!$B$3,FALSE(),TRUE())))</f>
        <v/>
      </c>
      <c r="AB475" s="127" t="str">
        <f aca="false">IF(ISBLANK($C475),"",IF(J475=Constants!$B$4,TRUE(),IF(J475=Constants!$B$5,FALSE(),COUNTA(K475:M475)&gt;0)))</f>
        <v/>
      </c>
      <c r="AC475" s="128" t="str">
        <f aca="false">IF(ISBLANK($C475),"",IF(ISNUMBER(K475),IF(K475&gt;=0,K475,""),""))</f>
        <v/>
      </c>
      <c r="AD475" s="129" t="str">
        <f aca="false">IF(ISBLANK($C475),"",IF(ISNUMBER(L475),IF(L475&gt;=0,L475,""),""))</f>
        <v/>
      </c>
      <c r="AE475" s="127" t="str">
        <f aca="false">IF(ISBLANK($C475),"",IF(ISNUMBER(M475),IF(M475&gt;=0,MIN(M475,Constants!$B$22),""),""))</f>
        <v/>
      </c>
      <c r="AF475" s="127" t="str">
        <f aca="false">IF(ISBLANK($C475),"",IF(N475=Constants!$B$2,TRUE(),IF(N475=Constants!$B$3,FALSE(),TRUE())))</f>
        <v/>
      </c>
      <c r="AG475" s="127" t="str">
        <f aca="false">IF(ISBLANK($C475),"",IF(O475=Constants!$B$2,TRUE(),IF(O475=Constants!$B$3,FALSE(),TRUE())))</f>
        <v/>
      </c>
      <c r="AH475" s="127" t="str">
        <f aca="false">IF(ISBLANK($C475),"",IF(P475=Constants!$B$4,TRUE(),IF(P475=Constants!$B$5,FALSE(),COUNTA(Q475:S475)&gt;0)))</f>
        <v/>
      </c>
      <c r="AI475" s="128" t="str">
        <f aca="false">IF(ISBLANK($C475),"",IF(ISNUMBER(Q475),IF(Q475&gt;=0,Q475,""),""))</f>
        <v/>
      </c>
      <c r="AJ475" s="129" t="str">
        <f aca="false">IF(ISBLANK($C475),"",IF(ISNUMBER(R475),IF(R475&gt;=0,R475,""),""))</f>
        <v/>
      </c>
      <c r="AK475" s="127" t="str">
        <f aca="false">IF(ISBLANK($C475),"",IF(ISNUMBER(S475),IF(S475&gt;=0,MIN(S475,Constants!$B$22),""),""))</f>
        <v/>
      </c>
      <c r="AL475" s="127" t="str">
        <f aca="false">IF(ISBLANK($C475),"",IF(T475=Constants!$B$2,TRUE(),IF(T475=Constants!$B$3,FALSE(),FALSE())))</f>
        <v/>
      </c>
      <c r="AM475" s="126" t="str">
        <f aca="false">IF(ISBLANK($C475),"",AND($AB475,OR($AC475="",$AD475="",AND(NOT(ISBLANK($M475)),$AE475=""))))</f>
        <v/>
      </c>
      <c r="AN475" s="129" t="str">
        <f aca="false">IF($BD475&lt;&gt;Constants!$B$6,"",IF($AB475,Constants!$B$17*$AD475,Constants!$B$18))</f>
        <v/>
      </c>
      <c r="AO475" s="130" t="str">
        <f aca="false">IF($BD475&lt;&gt;Constants!$B$6,"",Constants!$B$19*IF($AB475,$AC475,0))</f>
        <v/>
      </c>
      <c r="AP475" s="130" t="str">
        <f aca="false">IF($BD475&lt;&gt;Constants!$B$6,"",IF(AND($AB475,ISNUMBER($AE475)),Constants!$B$20*(Constants!$B$21-$AE475),0))</f>
        <v/>
      </c>
      <c r="AQ475" s="130" t="str">
        <f aca="false">IF($BD475&lt;&gt;Constants!$B$6,"",IF($AA475,0,Constants!$B$12)+IF($Z475,0,Constants!$B$13)+IF($Y475,0,Constants!$B$14))</f>
        <v/>
      </c>
      <c r="AR475" s="131" t="str">
        <f aca="false">IF($BD475&lt;&gt;Constants!$B$6,"",Constants!$B$16+SUM($AN475:$AQ475))</f>
        <v/>
      </c>
      <c r="AS475" s="130" t="str">
        <f aca="false">IF($BD475&lt;&gt;Constants!$B$6,"",IF($AB475,$AD475,""))</f>
        <v/>
      </c>
      <c r="AT475" s="132" t="str">
        <f aca="false">IF($BD475&lt;&gt;Constants!$B$6,"",$AO475)</f>
        <v/>
      </c>
      <c r="AU475" s="127" t="str">
        <f aca="false">IF($BD475&lt;&gt;Constants!$B$6,"",IF(OR($BA475&lt;$AR475,AND($BA475=$AR475,OR(AND(ISNUMBER($BB475),OR(NOT(ISNUMBER($AS475)),$BB475&lt;$AS475)),AND(OR(AND($BB475="",$AS475=""),AND(ISNUMBER($BB475),ISNUMBER($AS475),$BB475=$AS475)),$BC475&lt;$AT475)))),"-&gt;","&lt;-"))</f>
        <v/>
      </c>
      <c r="AV475" s="126" t="str">
        <f aca="false">IF(ISBLANK($C475),"",AND($AH475,OR($AI475="",$AJ475="",AND(NOT(ISBLANK($S475)),$AK475=""))))</f>
        <v/>
      </c>
      <c r="AW475" s="129" t="str">
        <f aca="false">IF($BD475&lt;&gt;Constants!$B$6,"",IF($AH475,Constants!$B$17*$AJ475,Constants!$B$18))</f>
        <v/>
      </c>
      <c r="AX475" s="130" t="str">
        <f aca="false">IF($BD475&lt;&gt;Constants!$B$6,"",Constants!$B$19*IF($AH475,$AI475,0))</f>
        <v/>
      </c>
      <c r="AY475" s="130" t="str">
        <f aca="false">IF($BD475&lt;&gt;Constants!$B$6,"",IF(AND($AH475,ISNUMBER($AK475)),Constants!$B$20*(Constants!$B$21-$AK475),0))</f>
        <v/>
      </c>
      <c r="AZ475" s="130" t="str">
        <f aca="false">IF($BD475&lt;&gt;Constants!$B$6,"",IF($AG475,0,Constants!$B$12)+IF($AF475,0,Constants!$B$13)+IF($Y475,0,Constants!$B$14))</f>
        <v/>
      </c>
      <c r="BA475" s="131" t="str">
        <f aca="false">IF($BD475&lt;&gt;Constants!$B$6,"",Constants!$B$16+SUM($AW475:$AZ475))</f>
        <v/>
      </c>
      <c r="BB475" s="130" t="str">
        <f aca="false">IF($BD475&lt;&gt;Constants!$B$6,"",IF($AH475,$AJ475,""))</f>
        <v/>
      </c>
      <c r="BC475" s="132" t="str">
        <f aca="false">IF($BD475&lt;&gt;Constants!$B$6,"",$AX475)</f>
        <v/>
      </c>
      <c r="BD475" s="127" t="str">
        <f aca="false">IF(ISBLANK($C475),"",IF($AL475,Constants!$B$9,IF(COUNTA($E475:$T475)=0,Constants!$B$8,IF(NOT($X475),Constants!$B$7,IF(OR($AM475,$AV475),Constants!$B$10,Constants!$B$6)))))</f>
        <v/>
      </c>
      <c r="BE475" s="127" t="str">
        <f aca="false">IF(ISBLANK($C475),"",IF($BD475&lt;&gt;Constants!$B$6,$BD475,Constants!$B$11))</f>
        <v/>
      </c>
      <c r="BF475" s="130" t="str">
        <f aca="false">IF($BD475&lt;&gt;Constants!$B$6,"",IF($AU475="-&gt;",$BA475,$AR475))</f>
        <v/>
      </c>
      <c r="BG475" s="130" t="str">
        <f aca="false">IF($BD475&lt;&gt;Constants!$B$6,"",IF($W475,0,Constants!$B$15))</f>
        <v/>
      </c>
      <c r="BH475" s="130" t="str">
        <f aca="false">IF(ISBLANK($C475),"",IF($BD475&lt;&gt;Constants!$B$6,$BD475,SUM($BF475:$BG475)))</f>
        <v/>
      </c>
      <c r="BI475" s="127" t="str">
        <f aca="false">IF(ISBLANK($C475),"",IF($BD475&lt;&gt;Constants!$B$6,$BD475,RANK($BH475,$BH$9:$BH$508,1)))</f>
        <v/>
      </c>
      <c r="BJ475" s="130" t="str">
        <f aca="false">IF($BD475&lt;&gt;Constants!$B$6,"",IF($AU475="-&gt;",$BB475,$AS475))</f>
        <v/>
      </c>
      <c r="BK475" s="127" t="str">
        <f aca="false">IF(ISBLANK($C475),"",IF($BD475&lt;&gt;Constants!$B$6,$BD475,IF(ISNUMBER($BJ475),RANK($BJ475,$BJ$9:$BJ$508,1),COUNT($BJ$9:$BJ$508)+1)))</f>
        <v/>
      </c>
      <c r="BL475" s="130" t="str">
        <f aca="false">IF($BD475&lt;&gt;Constants!$B$6,"",IF($AU475="-&gt;",$BC475,$AT475))</f>
        <v/>
      </c>
      <c r="BM475" s="127" t="str">
        <f aca="false">IF(ISBLANK($C475),"",IF($BD475&lt;&gt;Constants!$B$6,$BD475,IF(ISNUMBER($BL475),RANK($BL475,$BL$9:$BL$508,1),COUNT($BL$9:$BL$508)+1)))</f>
        <v/>
      </c>
      <c r="BN475" s="130" t="str">
        <f aca="false">IF($BD475&lt;&gt;Constants!$B$6,"",IF($AU475="-&gt;",$AS475,$BB475))</f>
        <v/>
      </c>
      <c r="BO475" s="127" t="str">
        <f aca="false">IF(ISBLANK($C475),"",IF($BD475&lt;&gt;Constants!$B$6,$BD475,IF(ISNUMBER($BN475),RANK($BN475,$BN$9:$BN$508,1),COUNT($BN$9:$BN$508)+1)))</f>
        <v/>
      </c>
      <c r="BP475" s="130" t="str">
        <f aca="false">IF($BD475&lt;&gt;Constants!$B$6,"",IF($AU475="-&gt;",$AT475,$BC475))</f>
        <v/>
      </c>
      <c r="BQ475" s="127" t="str">
        <f aca="false">IF(ISBLANK($C475),"",IF($BD475&lt;&gt;Constants!$B$6,$BD475,IF(ISNUMBER($BP475),RANK($BP475,$BP$9:$BP$508,1),COUNT($BP$9:$BP$508)+1)))</f>
        <v/>
      </c>
      <c r="BR475" s="127" t="str">
        <f aca="false">IF(ISBLANK($C475),"",IF($BD475&lt;&gt;Constants!$B$6,$BD475,COUNTIFS($BI$9:$BI$508,"&lt;"&amp;$BI475)+COUNTIFS($BI$9:$BI$508,$BI475,$BK$9:$BK$508,"&lt;"&amp;$BK475)+COUNTIFS($BI$9:$BI$508,$BI475,$BK$9:$BK$508,$BK475,$BM$9:$BM$508,"&lt;"&amp;$BM475)+COUNTIFS($BI$9:$BI$508,$BI475,$BK$9:$BK$508,$BK475,$BM$9:$BM$508,$BM475,$BO$9:$BO$508,"&lt;"&amp;$BO475)+COUNTIFS($BI$9:$BI$508,$BI475,$BK$9:$BK$508,$BK475,$BM$9:$BM$508,$BM475,$BO$9:$BO$508,$BO475,$BQ$9:$BQ$508,"&lt;"&amp;$BQ475)+1))</f>
        <v/>
      </c>
      <c r="BS475" s="127" t="str">
        <f aca="false">IF(ISBLANK($C475),"",IF($BD475&lt;&gt;Constants!$B$6,$BD475,$BI475-$BR475))</f>
        <v/>
      </c>
      <c r="BT475" s="133"/>
      <c r="BU475" s="134"/>
      <c r="BV475" s="134" t="str">
        <f aca="false">IF(ISBLANK($C475),"",IF($BD475&lt;&gt;Constants!$B$6,"",IF($AU475="-&gt;",2,1)))</f>
        <v/>
      </c>
      <c r="BW475" s="135" t="str">
        <f aca="false">IF(ISBLANK($C475),"",IF($BD475&lt;&gt;Constants!$B$6,"",IF($AU475="-&gt;",$AW475,$AN475)))</f>
        <v/>
      </c>
      <c r="BX475" s="135" t="str">
        <f aca="false">IF(ISBLANK($C475),"",IF($BD475&lt;&gt;Constants!$B$6,"",IF($AU475="-&gt;",$AX475,$AO475)))</f>
        <v/>
      </c>
      <c r="BY475" s="135" t="str">
        <f aca="false">IF(ISBLANK($C475),"",IF($BD475&lt;&gt;Constants!$B$6,"",IF($AU475="-&gt;",$AY475,$AP475)))</f>
        <v/>
      </c>
      <c r="BZ475" s="135" t="str">
        <f aca="false">IF(ISBLANK($C475),"",IF($BD475&lt;&gt;Constants!$B$6,"",IF($AU475="-&gt;",$AZ475,$AQ475)+$BG475))</f>
        <v/>
      </c>
      <c r="CA475" s="136" t="str">
        <f aca="false">IF(ISBLANK($C475),"",IF($BD475&lt;&gt;Constants!$B$6,$BD475,$BH475))</f>
        <v/>
      </c>
      <c r="CB475" s="137" t="str">
        <f aca="false">IF(ISBLANK($C475),"",$BE475)</f>
        <v/>
      </c>
      <c r="CC475" s="138" t="str">
        <f aca="false">IF(ISBLANK($C475),"",$BS475)</f>
        <v/>
      </c>
      <c r="CD475" s="138" t="str">
        <f aca="false">IF(ISBLANK($C475),"",$BR475)</f>
        <v/>
      </c>
      <c r="CE475" s="139" t="str">
        <f aca="false">IF(ISBLANK($C475),"",IF($CD475=Constants!$B$9,COUNTA($C$9:$C$508)+2,IF($CD475=Constants!$B$8,COUNTA($C$9:$C$508)+1,IF($CD475=Constants!$B$7,COUNTA($C$9:$C$508),$CD475))))</f>
        <v/>
      </c>
      <c r="CF475" s="9"/>
      <c r="CG475" s="140" t="n">
        <f aca="false">IF(OR(ISNUMBER($CD475),$CD475=Constants!$B$9,$CD475=Constants!$B$7,$CD475=Constants!$B$8),1,0)</f>
        <v>0</v>
      </c>
      <c r="CH475" s="140" t="n">
        <v>467</v>
      </c>
      <c r="CI475" s="140" t="str">
        <f aca="false">IF(ISBLANK($C475),"",IF(ISNUMBER($CE475),$CE475+ROW($B475)/1000,""))</f>
        <v/>
      </c>
      <c r="CJ475" s="140" t="str">
        <f aca="false">IF(ISNUMBER($CI475),RANK($CI475,$CI$9:$CI$508,1),"")</f>
        <v/>
      </c>
      <c r="CK475" s="140" t="str">
        <f aca="false">IF(ISBLANK($C475),"",$B475)</f>
        <v/>
      </c>
      <c r="CL475" s="140" t="str">
        <f aca="false">IF(ISBLANK($C475),"",$C475)</f>
        <v/>
      </c>
      <c r="CM475" s="140" t="str">
        <f aca="false">IF(ISBLANK($C475),"",$D475)</f>
        <v/>
      </c>
      <c r="CN475" s="141" t="str">
        <f aca="false">$CB475</f>
        <v/>
      </c>
      <c r="CO475" s="142" t="str">
        <f aca="false">$CA475</f>
        <v/>
      </c>
      <c r="CP475" s="140" t="str">
        <f aca="false">IF(ISBLANK($C475),"",$CD475)</f>
        <v/>
      </c>
      <c r="CQ475" s="143" t="str">
        <f aca="false">IF($CH475&gt;$CG$8,"",VLOOKUP($CH475,$CJ$9:$CP$508,7,FALSE()))</f>
        <v/>
      </c>
      <c r="CR475" s="144" t="str">
        <f aca="false">IF($CH475&gt;$CG$8,"",VLOOKUP($CH475,$CJ$9:$CP$508,2,FALSE()))</f>
        <v/>
      </c>
      <c r="CS475" s="144" t="str">
        <f aca="false">IF($CH475&gt;$CG$8,"",VLOOKUP($CH475,$CJ$9:$CP$508,3,FALSE()))</f>
        <v/>
      </c>
      <c r="CT475" s="144" t="str">
        <f aca="false">IF($CH475&gt;$CG$8,"",VLOOKUP($CH475,$CJ$9:$CP$508,4,FALSE()))</f>
        <v/>
      </c>
      <c r="CU475" s="144" t="str">
        <f aca="false">IF($CH475&gt;$CG$8,"",VLOOKUP($CH475,$CJ$9:$CP$508,5,FALSE()))</f>
        <v/>
      </c>
      <c r="CV475" s="145" t="str">
        <f aca="false">IF($CH475&gt;$CG$8,"",VLOOKUP($CH475,$CJ$9:$CP$508,6,FALSE()))</f>
        <v/>
      </c>
      <c r="CW475" s="71"/>
    </row>
    <row r="476" customFormat="false" ht="15.75" hidden="false" customHeight="false" outlineLevel="0" collapsed="false">
      <c r="A476" s="9"/>
      <c r="B476" s="150"/>
      <c r="C476" s="151"/>
      <c r="D476" s="152"/>
      <c r="E476" s="170"/>
      <c r="F476" s="154"/>
      <c r="G476" s="155"/>
      <c r="H476" s="171"/>
      <c r="I476" s="159"/>
      <c r="J476" s="120"/>
      <c r="K476" s="121"/>
      <c r="L476" s="122"/>
      <c r="M476" s="158"/>
      <c r="N476" s="159"/>
      <c r="O476" s="159"/>
      <c r="P476" s="120"/>
      <c r="Q476" s="122"/>
      <c r="R476" s="122"/>
      <c r="S476" s="158"/>
      <c r="T476" s="159"/>
      <c r="U476" s="126"/>
      <c r="V476" s="127"/>
      <c r="W476" s="127" t="str">
        <f aca="false">IF(ISBLANK($C476),"",IF(E476=Constants!$B$2,TRUE(),IF(E476=Constants!$B$3,FALSE(),TRUE())))</f>
        <v/>
      </c>
      <c r="X476" s="127" t="str">
        <f aca="false">IF(ISBLANK($C476),"",IF(F476=Constants!$B$2,TRUE(),IF(F476=Constants!$B$3,FALSE(),TRUE())))</f>
        <v/>
      </c>
      <c r="Y476" s="127" t="str">
        <f aca="false">IF(ISBLANK($C476),"",IF(G476=Constants!$B$2,TRUE(),IF(G476=Constants!$B$3,FALSE(),TRUE())))</f>
        <v/>
      </c>
      <c r="Z476" s="127" t="str">
        <f aca="false">IF(ISBLANK($C476),"",IF(H476=Constants!$B$2,TRUE(),IF(H476=Constants!$B$3,FALSE(),TRUE())))</f>
        <v/>
      </c>
      <c r="AA476" s="127" t="str">
        <f aca="false">IF(ISBLANK($C476),"",IF(I476=Constants!$B$2,TRUE(),IF(I476=Constants!$B$3,FALSE(),TRUE())))</f>
        <v/>
      </c>
      <c r="AB476" s="127" t="str">
        <f aca="false">IF(ISBLANK($C476),"",IF(J476=Constants!$B$4,TRUE(),IF(J476=Constants!$B$5,FALSE(),COUNTA(K476:M476)&gt;0)))</f>
        <v/>
      </c>
      <c r="AC476" s="128" t="str">
        <f aca="false">IF(ISBLANK($C476),"",IF(ISNUMBER(K476),IF(K476&gt;=0,K476,""),""))</f>
        <v/>
      </c>
      <c r="AD476" s="129" t="str">
        <f aca="false">IF(ISBLANK($C476),"",IF(ISNUMBER(L476),IF(L476&gt;=0,L476,""),""))</f>
        <v/>
      </c>
      <c r="AE476" s="127" t="str">
        <f aca="false">IF(ISBLANK($C476),"",IF(ISNUMBER(M476),IF(M476&gt;=0,MIN(M476,Constants!$B$22),""),""))</f>
        <v/>
      </c>
      <c r="AF476" s="127" t="str">
        <f aca="false">IF(ISBLANK($C476),"",IF(N476=Constants!$B$2,TRUE(),IF(N476=Constants!$B$3,FALSE(),TRUE())))</f>
        <v/>
      </c>
      <c r="AG476" s="127" t="str">
        <f aca="false">IF(ISBLANK($C476),"",IF(O476=Constants!$B$2,TRUE(),IF(O476=Constants!$B$3,FALSE(),TRUE())))</f>
        <v/>
      </c>
      <c r="AH476" s="127" t="str">
        <f aca="false">IF(ISBLANK($C476),"",IF(P476=Constants!$B$4,TRUE(),IF(P476=Constants!$B$5,FALSE(),COUNTA(Q476:S476)&gt;0)))</f>
        <v/>
      </c>
      <c r="AI476" s="128" t="str">
        <f aca="false">IF(ISBLANK($C476),"",IF(ISNUMBER(Q476),IF(Q476&gt;=0,Q476,""),""))</f>
        <v/>
      </c>
      <c r="AJ476" s="129" t="str">
        <f aca="false">IF(ISBLANK($C476),"",IF(ISNUMBER(R476),IF(R476&gt;=0,R476,""),""))</f>
        <v/>
      </c>
      <c r="AK476" s="127" t="str">
        <f aca="false">IF(ISBLANK($C476),"",IF(ISNUMBER(S476),IF(S476&gt;=0,MIN(S476,Constants!$B$22),""),""))</f>
        <v/>
      </c>
      <c r="AL476" s="127" t="str">
        <f aca="false">IF(ISBLANK($C476),"",IF(T476=Constants!$B$2,TRUE(),IF(T476=Constants!$B$3,FALSE(),FALSE())))</f>
        <v/>
      </c>
      <c r="AM476" s="126" t="str">
        <f aca="false">IF(ISBLANK($C476),"",AND($AB476,OR($AC476="",$AD476="",AND(NOT(ISBLANK($M476)),$AE476=""))))</f>
        <v/>
      </c>
      <c r="AN476" s="129" t="str">
        <f aca="false">IF($BD476&lt;&gt;Constants!$B$6,"",IF($AB476,Constants!$B$17*$AD476,Constants!$B$18))</f>
        <v/>
      </c>
      <c r="AO476" s="130" t="str">
        <f aca="false">IF($BD476&lt;&gt;Constants!$B$6,"",Constants!$B$19*IF($AB476,$AC476,0))</f>
        <v/>
      </c>
      <c r="AP476" s="130" t="str">
        <f aca="false">IF($BD476&lt;&gt;Constants!$B$6,"",IF(AND($AB476,ISNUMBER($AE476)),Constants!$B$20*(Constants!$B$21-$AE476),0))</f>
        <v/>
      </c>
      <c r="AQ476" s="130" t="str">
        <f aca="false">IF($BD476&lt;&gt;Constants!$B$6,"",IF($AA476,0,Constants!$B$12)+IF($Z476,0,Constants!$B$13)+IF($Y476,0,Constants!$B$14))</f>
        <v/>
      </c>
      <c r="AR476" s="131" t="str">
        <f aca="false">IF($BD476&lt;&gt;Constants!$B$6,"",Constants!$B$16+SUM($AN476:$AQ476))</f>
        <v/>
      </c>
      <c r="AS476" s="130" t="str">
        <f aca="false">IF($BD476&lt;&gt;Constants!$B$6,"",IF($AB476,$AD476,""))</f>
        <v/>
      </c>
      <c r="AT476" s="132" t="str">
        <f aca="false">IF($BD476&lt;&gt;Constants!$B$6,"",$AO476)</f>
        <v/>
      </c>
      <c r="AU476" s="127" t="str">
        <f aca="false">IF($BD476&lt;&gt;Constants!$B$6,"",IF(OR($BA476&lt;$AR476,AND($BA476=$AR476,OR(AND(ISNUMBER($BB476),OR(NOT(ISNUMBER($AS476)),$BB476&lt;$AS476)),AND(OR(AND($BB476="",$AS476=""),AND(ISNUMBER($BB476),ISNUMBER($AS476),$BB476=$AS476)),$BC476&lt;$AT476)))),"-&gt;","&lt;-"))</f>
        <v/>
      </c>
      <c r="AV476" s="126" t="str">
        <f aca="false">IF(ISBLANK($C476),"",AND($AH476,OR($AI476="",$AJ476="",AND(NOT(ISBLANK($S476)),$AK476=""))))</f>
        <v/>
      </c>
      <c r="AW476" s="129" t="str">
        <f aca="false">IF($BD476&lt;&gt;Constants!$B$6,"",IF($AH476,Constants!$B$17*$AJ476,Constants!$B$18))</f>
        <v/>
      </c>
      <c r="AX476" s="130" t="str">
        <f aca="false">IF($BD476&lt;&gt;Constants!$B$6,"",Constants!$B$19*IF($AH476,$AI476,0))</f>
        <v/>
      </c>
      <c r="AY476" s="130" t="str">
        <f aca="false">IF($BD476&lt;&gt;Constants!$B$6,"",IF(AND($AH476,ISNUMBER($AK476)),Constants!$B$20*(Constants!$B$21-$AK476),0))</f>
        <v/>
      </c>
      <c r="AZ476" s="130" t="str">
        <f aca="false">IF($BD476&lt;&gt;Constants!$B$6,"",IF($AG476,0,Constants!$B$12)+IF($AF476,0,Constants!$B$13)+IF($Y476,0,Constants!$B$14))</f>
        <v/>
      </c>
      <c r="BA476" s="131" t="str">
        <f aca="false">IF($BD476&lt;&gt;Constants!$B$6,"",Constants!$B$16+SUM($AW476:$AZ476))</f>
        <v/>
      </c>
      <c r="BB476" s="130" t="str">
        <f aca="false">IF($BD476&lt;&gt;Constants!$B$6,"",IF($AH476,$AJ476,""))</f>
        <v/>
      </c>
      <c r="BC476" s="132" t="str">
        <f aca="false">IF($BD476&lt;&gt;Constants!$B$6,"",$AX476)</f>
        <v/>
      </c>
      <c r="BD476" s="127" t="str">
        <f aca="false">IF(ISBLANK($C476),"",IF($AL476,Constants!$B$9,IF(COUNTA($E476:$T476)=0,Constants!$B$8,IF(NOT($X476),Constants!$B$7,IF(OR($AM476,$AV476),Constants!$B$10,Constants!$B$6)))))</f>
        <v/>
      </c>
      <c r="BE476" s="127" t="str">
        <f aca="false">IF(ISBLANK($C476),"",IF($BD476&lt;&gt;Constants!$B$6,$BD476,Constants!$B$11))</f>
        <v/>
      </c>
      <c r="BF476" s="130" t="str">
        <f aca="false">IF($BD476&lt;&gt;Constants!$B$6,"",IF($AU476="-&gt;",$BA476,$AR476))</f>
        <v/>
      </c>
      <c r="BG476" s="130" t="str">
        <f aca="false">IF($BD476&lt;&gt;Constants!$B$6,"",IF($W476,0,Constants!$B$15))</f>
        <v/>
      </c>
      <c r="BH476" s="130" t="str">
        <f aca="false">IF(ISBLANK($C476),"",IF($BD476&lt;&gt;Constants!$B$6,$BD476,SUM($BF476:$BG476)))</f>
        <v/>
      </c>
      <c r="BI476" s="127" t="str">
        <f aca="false">IF(ISBLANK($C476),"",IF($BD476&lt;&gt;Constants!$B$6,$BD476,RANK($BH476,$BH$9:$BH$508,1)))</f>
        <v/>
      </c>
      <c r="BJ476" s="130" t="str">
        <f aca="false">IF($BD476&lt;&gt;Constants!$B$6,"",IF($AU476="-&gt;",$BB476,$AS476))</f>
        <v/>
      </c>
      <c r="BK476" s="127" t="str">
        <f aca="false">IF(ISBLANK($C476),"",IF($BD476&lt;&gt;Constants!$B$6,$BD476,IF(ISNUMBER($BJ476),RANK($BJ476,$BJ$9:$BJ$508,1),COUNT($BJ$9:$BJ$508)+1)))</f>
        <v/>
      </c>
      <c r="BL476" s="130" t="str">
        <f aca="false">IF($BD476&lt;&gt;Constants!$B$6,"",IF($AU476="-&gt;",$BC476,$AT476))</f>
        <v/>
      </c>
      <c r="BM476" s="127" t="str">
        <f aca="false">IF(ISBLANK($C476),"",IF($BD476&lt;&gt;Constants!$B$6,$BD476,IF(ISNUMBER($BL476),RANK($BL476,$BL$9:$BL$508,1),COUNT($BL$9:$BL$508)+1)))</f>
        <v/>
      </c>
      <c r="BN476" s="130" t="str">
        <f aca="false">IF($BD476&lt;&gt;Constants!$B$6,"",IF($AU476="-&gt;",$AS476,$BB476))</f>
        <v/>
      </c>
      <c r="BO476" s="127" t="str">
        <f aca="false">IF(ISBLANK($C476),"",IF($BD476&lt;&gt;Constants!$B$6,$BD476,IF(ISNUMBER($BN476),RANK($BN476,$BN$9:$BN$508,1),COUNT($BN$9:$BN$508)+1)))</f>
        <v/>
      </c>
      <c r="BP476" s="130" t="str">
        <f aca="false">IF($BD476&lt;&gt;Constants!$B$6,"",IF($AU476="-&gt;",$AT476,$BC476))</f>
        <v/>
      </c>
      <c r="BQ476" s="127" t="str">
        <f aca="false">IF(ISBLANK($C476),"",IF($BD476&lt;&gt;Constants!$B$6,$BD476,IF(ISNUMBER($BP476),RANK($BP476,$BP$9:$BP$508,1),COUNT($BP$9:$BP$508)+1)))</f>
        <v/>
      </c>
      <c r="BR476" s="127" t="str">
        <f aca="false">IF(ISBLANK($C476),"",IF($BD476&lt;&gt;Constants!$B$6,$BD476,COUNTIFS($BI$9:$BI$508,"&lt;"&amp;$BI476)+COUNTIFS($BI$9:$BI$508,$BI476,$BK$9:$BK$508,"&lt;"&amp;$BK476)+COUNTIFS($BI$9:$BI$508,$BI476,$BK$9:$BK$508,$BK476,$BM$9:$BM$508,"&lt;"&amp;$BM476)+COUNTIFS($BI$9:$BI$508,$BI476,$BK$9:$BK$508,$BK476,$BM$9:$BM$508,$BM476,$BO$9:$BO$508,"&lt;"&amp;$BO476)+COUNTIFS($BI$9:$BI$508,$BI476,$BK$9:$BK$508,$BK476,$BM$9:$BM$508,$BM476,$BO$9:$BO$508,$BO476,$BQ$9:$BQ$508,"&lt;"&amp;$BQ476)+1))</f>
        <v/>
      </c>
      <c r="BS476" s="127" t="str">
        <f aca="false">IF(ISBLANK($C476),"",IF($BD476&lt;&gt;Constants!$B$6,$BD476,$BI476-$BR476))</f>
        <v/>
      </c>
      <c r="BT476" s="133"/>
      <c r="BU476" s="134"/>
      <c r="BV476" s="134" t="str">
        <f aca="false">IF(ISBLANK($C476),"",IF($BD476&lt;&gt;Constants!$B$6,"",IF($AU476="-&gt;",2,1)))</f>
        <v/>
      </c>
      <c r="BW476" s="135" t="str">
        <f aca="false">IF(ISBLANK($C476),"",IF($BD476&lt;&gt;Constants!$B$6,"",IF($AU476="-&gt;",$AW476,$AN476)))</f>
        <v/>
      </c>
      <c r="BX476" s="135" t="str">
        <f aca="false">IF(ISBLANK($C476),"",IF($BD476&lt;&gt;Constants!$B$6,"",IF($AU476="-&gt;",$AX476,$AO476)))</f>
        <v/>
      </c>
      <c r="BY476" s="135" t="str">
        <f aca="false">IF(ISBLANK($C476),"",IF($BD476&lt;&gt;Constants!$B$6,"",IF($AU476="-&gt;",$AY476,$AP476)))</f>
        <v/>
      </c>
      <c r="BZ476" s="135" t="str">
        <f aca="false">IF(ISBLANK($C476),"",IF($BD476&lt;&gt;Constants!$B$6,"",IF($AU476="-&gt;",$AZ476,$AQ476)+$BG476))</f>
        <v/>
      </c>
      <c r="CA476" s="136" t="str">
        <f aca="false">IF(ISBLANK($C476),"",IF($BD476&lt;&gt;Constants!$B$6,$BD476,$BH476))</f>
        <v/>
      </c>
      <c r="CB476" s="137" t="str">
        <f aca="false">IF(ISBLANK($C476),"",$BE476)</f>
        <v/>
      </c>
      <c r="CC476" s="138" t="str">
        <f aca="false">IF(ISBLANK($C476),"",$BS476)</f>
        <v/>
      </c>
      <c r="CD476" s="138" t="str">
        <f aca="false">IF(ISBLANK($C476),"",$BR476)</f>
        <v/>
      </c>
      <c r="CE476" s="139" t="str">
        <f aca="false">IF(ISBLANK($C476),"",IF($CD476=Constants!$B$9,COUNTA($C$9:$C$508)+2,IF($CD476=Constants!$B$8,COUNTA($C$9:$C$508)+1,IF($CD476=Constants!$B$7,COUNTA($C$9:$C$508),$CD476))))</f>
        <v/>
      </c>
      <c r="CF476" s="9"/>
      <c r="CG476" s="140" t="n">
        <f aca="false">IF(OR(ISNUMBER($CD476),$CD476=Constants!$B$9,$CD476=Constants!$B$7,$CD476=Constants!$B$8),1,0)</f>
        <v>0</v>
      </c>
      <c r="CH476" s="140" t="n">
        <v>468</v>
      </c>
      <c r="CI476" s="140" t="str">
        <f aca="false">IF(ISBLANK($C476),"",IF(ISNUMBER($CE476),$CE476+ROW($B476)/1000,""))</f>
        <v/>
      </c>
      <c r="CJ476" s="140" t="str">
        <f aca="false">IF(ISNUMBER($CI476),RANK($CI476,$CI$9:$CI$508,1),"")</f>
        <v/>
      </c>
      <c r="CK476" s="140" t="str">
        <f aca="false">IF(ISBLANK($C476),"",$B476)</f>
        <v/>
      </c>
      <c r="CL476" s="140" t="str">
        <f aca="false">IF(ISBLANK($C476),"",$C476)</f>
        <v/>
      </c>
      <c r="CM476" s="140" t="str">
        <f aca="false">IF(ISBLANK($C476),"",$D476)</f>
        <v/>
      </c>
      <c r="CN476" s="141" t="str">
        <f aca="false">$CB476</f>
        <v/>
      </c>
      <c r="CO476" s="142" t="str">
        <f aca="false">$CA476</f>
        <v/>
      </c>
      <c r="CP476" s="140" t="str">
        <f aca="false">IF(ISBLANK($C476),"",$CD476)</f>
        <v/>
      </c>
      <c r="CQ476" s="143" t="str">
        <f aca="false">IF($CH476&gt;$CG$8,"",VLOOKUP($CH476,$CJ$9:$CP$508,7,FALSE()))</f>
        <v/>
      </c>
      <c r="CR476" s="144" t="str">
        <f aca="false">IF($CH476&gt;$CG$8,"",VLOOKUP($CH476,$CJ$9:$CP$508,2,FALSE()))</f>
        <v/>
      </c>
      <c r="CS476" s="144" t="str">
        <f aca="false">IF($CH476&gt;$CG$8,"",VLOOKUP($CH476,$CJ$9:$CP$508,3,FALSE()))</f>
        <v/>
      </c>
      <c r="CT476" s="144" t="str">
        <f aca="false">IF($CH476&gt;$CG$8,"",VLOOKUP($CH476,$CJ$9:$CP$508,4,FALSE()))</f>
        <v/>
      </c>
      <c r="CU476" s="144" t="str">
        <f aca="false">IF($CH476&gt;$CG$8,"",VLOOKUP($CH476,$CJ$9:$CP$508,5,FALSE()))</f>
        <v/>
      </c>
      <c r="CV476" s="145" t="str">
        <f aca="false">IF($CH476&gt;$CG$8,"",VLOOKUP($CH476,$CJ$9:$CP$508,6,FALSE()))</f>
        <v/>
      </c>
      <c r="CW476" s="71"/>
    </row>
    <row r="477" customFormat="false" ht="15.75" hidden="false" customHeight="false" outlineLevel="0" collapsed="false">
      <c r="A477" s="9"/>
      <c r="B477" s="72"/>
      <c r="C477" s="73"/>
      <c r="D477" s="160"/>
      <c r="E477" s="168"/>
      <c r="F477" s="162"/>
      <c r="G477" s="163"/>
      <c r="H477" s="169"/>
      <c r="I477" s="167"/>
      <c r="J477" s="80"/>
      <c r="K477" s="81"/>
      <c r="L477" s="82"/>
      <c r="M477" s="166"/>
      <c r="N477" s="167"/>
      <c r="O477" s="167"/>
      <c r="P477" s="80"/>
      <c r="Q477" s="82"/>
      <c r="R477" s="82"/>
      <c r="S477" s="166"/>
      <c r="T477" s="167"/>
      <c r="U477" s="86"/>
      <c r="V477" s="87"/>
      <c r="W477" s="87" t="str">
        <f aca="false">IF(ISBLANK($C477),"",IF(E477=Constants!$B$2,TRUE(),IF(E477=Constants!$B$3,FALSE(),TRUE())))</f>
        <v/>
      </c>
      <c r="X477" s="87" t="str">
        <f aca="false">IF(ISBLANK($C477),"",IF(F477=Constants!$B$2,TRUE(),IF(F477=Constants!$B$3,FALSE(),TRUE())))</f>
        <v/>
      </c>
      <c r="Y477" s="87" t="str">
        <f aca="false">IF(ISBLANK($C477),"",IF(G477=Constants!$B$2,TRUE(),IF(G477=Constants!$B$3,FALSE(),TRUE())))</f>
        <v/>
      </c>
      <c r="Z477" s="87" t="str">
        <f aca="false">IF(ISBLANK($C477),"",IF(H477=Constants!$B$2,TRUE(),IF(H477=Constants!$B$3,FALSE(),TRUE())))</f>
        <v/>
      </c>
      <c r="AA477" s="87" t="str">
        <f aca="false">IF(ISBLANK($C477),"",IF(I477=Constants!$B$2,TRUE(),IF(I477=Constants!$B$3,FALSE(),TRUE())))</f>
        <v/>
      </c>
      <c r="AB477" s="87" t="str">
        <f aca="false">IF(ISBLANK($C477),"",IF(J477=Constants!$B$4,TRUE(),IF(J477=Constants!$B$5,FALSE(),COUNTA(K477:M477)&gt;0)))</f>
        <v/>
      </c>
      <c r="AC477" s="88" t="str">
        <f aca="false">IF(ISBLANK($C477),"",IF(ISNUMBER(K477),IF(K477&gt;=0,K477,""),""))</f>
        <v/>
      </c>
      <c r="AD477" s="89" t="str">
        <f aca="false">IF(ISBLANK($C477),"",IF(ISNUMBER(L477),IF(L477&gt;=0,L477,""),""))</f>
        <v/>
      </c>
      <c r="AE477" s="87" t="str">
        <f aca="false">IF(ISBLANK($C477),"",IF(ISNUMBER(M477),IF(M477&gt;=0,MIN(M477,Constants!$B$22),""),""))</f>
        <v/>
      </c>
      <c r="AF477" s="87" t="str">
        <f aca="false">IF(ISBLANK($C477),"",IF(N477=Constants!$B$2,TRUE(),IF(N477=Constants!$B$3,FALSE(),TRUE())))</f>
        <v/>
      </c>
      <c r="AG477" s="87" t="str">
        <f aca="false">IF(ISBLANK($C477),"",IF(O477=Constants!$B$2,TRUE(),IF(O477=Constants!$B$3,FALSE(),TRUE())))</f>
        <v/>
      </c>
      <c r="AH477" s="87" t="str">
        <f aca="false">IF(ISBLANK($C477),"",IF(P477=Constants!$B$4,TRUE(),IF(P477=Constants!$B$5,FALSE(),COUNTA(Q477:S477)&gt;0)))</f>
        <v/>
      </c>
      <c r="AI477" s="88" t="str">
        <f aca="false">IF(ISBLANK($C477),"",IF(ISNUMBER(Q477),IF(Q477&gt;=0,Q477,""),""))</f>
        <v/>
      </c>
      <c r="AJ477" s="89" t="str">
        <f aca="false">IF(ISBLANK($C477),"",IF(ISNUMBER(R477),IF(R477&gt;=0,R477,""),""))</f>
        <v/>
      </c>
      <c r="AK477" s="87" t="str">
        <f aca="false">IF(ISBLANK($C477),"",IF(ISNUMBER(S477),IF(S477&gt;=0,MIN(S477,Constants!$B$22),""),""))</f>
        <v/>
      </c>
      <c r="AL477" s="87" t="str">
        <f aca="false">IF(ISBLANK($C477),"",IF(T477=Constants!$B$2,TRUE(),IF(T477=Constants!$B$3,FALSE(),FALSE())))</f>
        <v/>
      </c>
      <c r="AM477" s="86" t="str">
        <f aca="false">IF(ISBLANK($C477),"",AND($AB477,OR($AC477="",$AD477="",AND(NOT(ISBLANK($M477)),$AE477=""))))</f>
        <v/>
      </c>
      <c r="AN477" s="89" t="str">
        <f aca="false">IF($BD477&lt;&gt;Constants!$B$6,"",IF($AB477,Constants!$B$17*$AD477,Constants!$B$18))</f>
        <v/>
      </c>
      <c r="AO477" s="91" t="str">
        <f aca="false">IF($BD477&lt;&gt;Constants!$B$6,"",Constants!$B$19*IF($AB477,$AC477,0))</f>
        <v/>
      </c>
      <c r="AP477" s="91" t="str">
        <f aca="false">IF($BD477&lt;&gt;Constants!$B$6,"",IF(AND($AB477,ISNUMBER($AE477)),Constants!$B$20*(Constants!$B$21-$AE477),0))</f>
        <v/>
      </c>
      <c r="AQ477" s="91" t="str">
        <f aca="false">IF($BD477&lt;&gt;Constants!$B$6,"",IF($AA477,0,Constants!$B$12)+IF($Z477,0,Constants!$B$13)+IF($Y477,0,Constants!$B$14))</f>
        <v/>
      </c>
      <c r="AR477" s="92" t="str">
        <f aca="false">IF($BD477&lt;&gt;Constants!$B$6,"",Constants!$B$16+SUM($AN477:$AQ477))</f>
        <v/>
      </c>
      <c r="AS477" s="91" t="str">
        <f aca="false">IF($BD477&lt;&gt;Constants!$B$6,"",IF($AB477,$AD477,""))</f>
        <v/>
      </c>
      <c r="AT477" s="93" t="str">
        <f aca="false">IF($BD477&lt;&gt;Constants!$B$6,"",$AO477)</f>
        <v/>
      </c>
      <c r="AU477" s="87" t="str">
        <f aca="false">IF($BD477&lt;&gt;Constants!$B$6,"",IF(OR($BA477&lt;$AR477,AND($BA477=$AR477,OR(AND(ISNUMBER($BB477),OR(NOT(ISNUMBER($AS477)),$BB477&lt;$AS477)),AND(OR(AND($BB477="",$AS477=""),AND(ISNUMBER($BB477),ISNUMBER($AS477),$BB477=$AS477)),$BC477&lt;$AT477)))),"-&gt;","&lt;-"))</f>
        <v/>
      </c>
      <c r="AV477" s="86" t="str">
        <f aca="false">IF(ISBLANK($C477),"",AND($AH477,OR($AI477="",$AJ477="",AND(NOT(ISBLANK($S477)),$AK477=""))))</f>
        <v/>
      </c>
      <c r="AW477" s="89" t="str">
        <f aca="false">IF($BD477&lt;&gt;Constants!$B$6,"",IF($AH477,Constants!$B$17*$AJ477,Constants!$B$18))</f>
        <v/>
      </c>
      <c r="AX477" s="91" t="str">
        <f aca="false">IF($BD477&lt;&gt;Constants!$B$6,"",Constants!$B$19*IF($AH477,$AI477,0))</f>
        <v/>
      </c>
      <c r="AY477" s="91" t="str">
        <f aca="false">IF($BD477&lt;&gt;Constants!$B$6,"",IF(AND($AH477,ISNUMBER($AK477)),Constants!$B$20*(Constants!$B$21-$AK477),0))</f>
        <v/>
      </c>
      <c r="AZ477" s="91" t="str">
        <f aca="false">IF($BD477&lt;&gt;Constants!$B$6,"",IF($AG477,0,Constants!$B$12)+IF($AF477,0,Constants!$B$13)+IF($Y477,0,Constants!$B$14))</f>
        <v/>
      </c>
      <c r="BA477" s="92" t="str">
        <f aca="false">IF($BD477&lt;&gt;Constants!$B$6,"",Constants!$B$16+SUM($AW477:$AZ477))</f>
        <v/>
      </c>
      <c r="BB477" s="91" t="str">
        <f aca="false">IF($BD477&lt;&gt;Constants!$B$6,"",IF($AH477,$AJ477,""))</f>
        <v/>
      </c>
      <c r="BC477" s="93" t="str">
        <f aca="false">IF($BD477&lt;&gt;Constants!$B$6,"",$AX477)</f>
        <v/>
      </c>
      <c r="BD477" s="87" t="str">
        <f aca="false">IF(ISBLANK($C477),"",IF($AL477,Constants!$B$9,IF(COUNTA($E477:$T477)=0,Constants!$B$8,IF(NOT($X477),Constants!$B$7,IF(OR($AM477,$AV477),Constants!$B$10,Constants!$B$6)))))</f>
        <v/>
      </c>
      <c r="BE477" s="87" t="str">
        <f aca="false">IF(ISBLANK($C477),"",IF($BD477&lt;&gt;Constants!$B$6,$BD477,Constants!$B$11))</f>
        <v/>
      </c>
      <c r="BF477" s="91" t="str">
        <f aca="false">IF($BD477&lt;&gt;Constants!$B$6,"",IF($AU477="-&gt;",$BA477,$AR477))</f>
        <v/>
      </c>
      <c r="BG477" s="91" t="str">
        <f aca="false">IF($BD477&lt;&gt;Constants!$B$6,"",IF($W477,0,Constants!$B$15))</f>
        <v/>
      </c>
      <c r="BH477" s="91" t="str">
        <f aca="false">IF(ISBLANK($C477),"",IF($BD477&lt;&gt;Constants!$B$6,$BD477,SUM($BF477:$BG477)))</f>
        <v/>
      </c>
      <c r="BI477" s="87" t="str">
        <f aca="false">IF(ISBLANK($C477),"",IF($BD477&lt;&gt;Constants!$B$6,$BD477,RANK($BH477,$BH$9:$BH$508,1)))</f>
        <v/>
      </c>
      <c r="BJ477" s="91" t="str">
        <f aca="false">IF($BD477&lt;&gt;Constants!$B$6,"",IF($AU477="-&gt;",$BB477,$AS477))</f>
        <v/>
      </c>
      <c r="BK477" s="87" t="str">
        <f aca="false">IF(ISBLANK($C477),"",IF($BD477&lt;&gt;Constants!$B$6,$BD477,IF(ISNUMBER($BJ477),RANK($BJ477,$BJ$9:$BJ$508,1),COUNT($BJ$9:$BJ$508)+1)))</f>
        <v/>
      </c>
      <c r="BL477" s="91" t="str">
        <f aca="false">IF($BD477&lt;&gt;Constants!$B$6,"",IF($AU477="-&gt;",$BC477,$AT477))</f>
        <v/>
      </c>
      <c r="BM477" s="87" t="str">
        <f aca="false">IF(ISBLANK($C477),"",IF($BD477&lt;&gt;Constants!$B$6,$BD477,IF(ISNUMBER($BL477),RANK($BL477,$BL$9:$BL$508,1),COUNT($BL$9:$BL$508)+1)))</f>
        <v/>
      </c>
      <c r="BN477" s="91" t="str">
        <f aca="false">IF($BD477&lt;&gt;Constants!$B$6,"",IF($AU477="-&gt;",$AS477,$BB477))</f>
        <v/>
      </c>
      <c r="BO477" s="87" t="str">
        <f aca="false">IF(ISBLANK($C477),"",IF($BD477&lt;&gt;Constants!$B$6,$BD477,IF(ISNUMBER($BN477),RANK($BN477,$BN$9:$BN$508,1),COUNT($BN$9:$BN$508)+1)))</f>
        <v/>
      </c>
      <c r="BP477" s="91" t="str">
        <f aca="false">IF($BD477&lt;&gt;Constants!$B$6,"",IF($AU477="-&gt;",$AT477,$BC477))</f>
        <v/>
      </c>
      <c r="BQ477" s="87" t="str">
        <f aca="false">IF(ISBLANK($C477),"",IF($BD477&lt;&gt;Constants!$B$6,$BD477,IF(ISNUMBER($BP477),RANK($BP477,$BP$9:$BP$508,1),COUNT($BP$9:$BP$508)+1)))</f>
        <v/>
      </c>
      <c r="BR477" s="87" t="str">
        <f aca="false">IF(ISBLANK($C477),"",IF($BD477&lt;&gt;Constants!$B$6,$BD477,COUNTIFS($BI$9:$BI$508,"&lt;"&amp;$BI477)+COUNTIFS($BI$9:$BI$508,$BI477,$BK$9:$BK$508,"&lt;"&amp;$BK477)+COUNTIFS($BI$9:$BI$508,$BI477,$BK$9:$BK$508,$BK477,$BM$9:$BM$508,"&lt;"&amp;$BM477)+COUNTIFS($BI$9:$BI$508,$BI477,$BK$9:$BK$508,$BK477,$BM$9:$BM$508,$BM477,$BO$9:$BO$508,"&lt;"&amp;$BO477)+COUNTIFS($BI$9:$BI$508,$BI477,$BK$9:$BK$508,$BK477,$BM$9:$BM$508,$BM477,$BO$9:$BO$508,$BO477,$BQ$9:$BQ$508,"&lt;"&amp;$BQ477)+1))</f>
        <v/>
      </c>
      <c r="BS477" s="87" t="str">
        <f aca="false">IF(ISBLANK($C477),"",IF($BD477&lt;&gt;Constants!$B$6,$BD477,$BI477-$BR477))</f>
        <v/>
      </c>
      <c r="BT477" s="94"/>
      <c r="BU477" s="95"/>
      <c r="BV477" s="95" t="str">
        <f aca="false">IF(ISBLANK($C477),"",IF($BD477&lt;&gt;Constants!$B$6,"",IF($AU477="-&gt;",2,1)))</f>
        <v/>
      </c>
      <c r="BW477" s="96" t="str">
        <f aca="false">IF(ISBLANK($C477),"",IF($BD477&lt;&gt;Constants!$B$6,"",IF($AU477="-&gt;",$AW477,$AN477)))</f>
        <v/>
      </c>
      <c r="BX477" s="96" t="str">
        <f aca="false">IF(ISBLANK($C477),"",IF($BD477&lt;&gt;Constants!$B$6,"",IF($AU477="-&gt;",$AX477,$AO477)))</f>
        <v/>
      </c>
      <c r="BY477" s="96" t="str">
        <f aca="false">IF(ISBLANK($C477),"",IF($BD477&lt;&gt;Constants!$B$6,"",IF($AU477="-&gt;",$AY477,$AP477)))</f>
        <v/>
      </c>
      <c r="BZ477" s="96" t="str">
        <f aca="false">IF(ISBLANK($C477),"",IF($BD477&lt;&gt;Constants!$B$6,"",IF($AU477="-&gt;",$AZ477,$AQ477)+$BG477))</f>
        <v/>
      </c>
      <c r="CA477" s="97" t="str">
        <f aca="false">IF(ISBLANK($C477),"",IF($BD477&lt;&gt;Constants!$B$6,$BD477,$BH477))</f>
        <v/>
      </c>
      <c r="CB477" s="98" t="str">
        <f aca="false">IF(ISBLANK($C477),"",$BE477)</f>
        <v/>
      </c>
      <c r="CC477" s="99" t="str">
        <f aca="false">IF(ISBLANK($C477),"",$BS477)</f>
        <v/>
      </c>
      <c r="CD477" s="99" t="str">
        <f aca="false">IF(ISBLANK($C477),"",$BR477)</f>
        <v/>
      </c>
      <c r="CE477" s="100" t="str">
        <f aca="false">IF(ISBLANK($C477),"",IF($CD477=Constants!$B$9,COUNTA($C$9:$C$508)+2,IF($CD477=Constants!$B$8,COUNTA($C$9:$C$508)+1,IF($CD477=Constants!$B$7,COUNTA($C$9:$C$508),$CD477))))</f>
        <v/>
      </c>
      <c r="CF477" s="9"/>
      <c r="CG477" s="101" t="n">
        <f aca="false">IF(OR(ISNUMBER($CD477),$CD477=Constants!$B$9,$CD477=Constants!$B$7,$CD477=Constants!$B$8),1,0)</f>
        <v>0</v>
      </c>
      <c r="CH477" s="101" t="n">
        <v>469</v>
      </c>
      <c r="CI477" s="101" t="str">
        <f aca="false">IF(ISBLANK($C477),"",IF(ISNUMBER($CE477),$CE477+ROW($B477)/1000,""))</f>
        <v/>
      </c>
      <c r="CJ477" s="101" t="str">
        <f aca="false">IF(ISNUMBER($CI477),RANK($CI477,$CI$9:$CI$508,1),"")</f>
        <v/>
      </c>
      <c r="CK477" s="101" t="str">
        <f aca="false">IF(ISBLANK($C477),"",$B477)</f>
        <v/>
      </c>
      <c r="CL477" s="101" t="str">
        <f aca="false">IF(ISBLANK($C477),"",$C477)</f>
        <v/>
      </c>
      <c r="CM477" s="101" t="str">
        <f aca="false">IF(ISBLANK($C477),"",$D477)</f>
        <v/>
      </c>
      <c r="CN477" s="102" t="str">
        <f aca="false">$CB477</f>
        <v/>
      </c>
      <c r="CO477" s="103" t="str">
        <f aca="false">$CA477</f>
        <v/>
      </c>
      <c r="CP477" s="101" t="str">
        <f aca="false">IF(ISBLANK($C477),"",$CD477)</f>
        <v/>
      </c>
      <c r="CQ477" s="104" t="str">
        <f aca="false">IF($CH477&gt;$CG$8,"",VLOOKUP($CH477,$CJ$9:$CP$508,7,FALSE()))</f>
        <v/>
      </c>
      <c r="CR477" s="105" t="str">
        <f aca="false">IF($CH477&gt;$CG$8,"",VLOOKUP($CH477,$CJ$9:$CP$508,2,FALSE()))</f>
        <v/>
      </c>
      <c r="CS477" s="105" t="str">
        <f aca="false">IF($CH477&gt;$CG$8,"",VLOOKUP($CH477,$CJ$9:$CP$508,3,FALSE()))</f>
        <v/>
      </c>
      <c r="CT477" s="105" t="str">
        <f aca="false">IF($CH477&gt;$CG$8,"",VLOOKUP($CH477,$CJ$9:$CP$508,4,FALSE()))</f>
        <v/>
      </c>
      <c r="CU477" s="105" t="str">
        <f aca="false">IF($CH477&gt;$CG$8,"",VLOOKUP($CH477,$CJ$9:$CP$508,5,FALSE()))</f>
        <v/>
      </c>
      <c r="CV477" s="106" t="str">
        <f aca="false">IF($CH477&gt;$CG$8,"",VLOOKUP($CH477,$CJ$9:$CP$508,6,FALSE()))</f>
        <v/>
      </c>
      <c r="CW477" s="71"/>
    </row>
    <row r="478" customFormat="false" ht="15.75" hidden="false" customHeight="false" outlineLevel="0" collapsed="false">
      <c r="A478" s="9"/>
      <c r="B478" s="72"/>
      <c r="C478" s="73"/>
      <c r="D478" s="160"/>
      <c r="E478" s="168"/>
      <c r="F478" s="162"/>
      <c r="G478" s="163"/>
      <c r="H478" s="169"/>
      <c r="I478" s="167"/>
      <c r="J478" s="80"/>
      <c r="K478" s="81"/>
      <c r="L478" s="82"/>
      <c r="M478" s="166"/>
      <c r="N478" s="167"/>
      <c r="O478" s="167"/>
      <c r="P478" s="80"/>
      <c r="Q478" s="82"/>
      <c r="R478" s="82"/>
      <c r="S478" s="166"/>
      <c r="T478" s="167"/>
      <c r="U478" s="86"/>
      <c r="V478" s="87"/>
      <c r="W478" s="87" t="str">
        <f aca="false">IF(ISBLANK($C478),"",IF(E478=Constants!$B$2,TRUE(),IF(E478=Constants!$B$3,FALSE(),TRUE())))</f>
        <v/>
      </c>
      <c r="X478" s="87" t="str">
        <f aca="false">IF(ISBLANK($C478),"",IF(F478=Constants!$B$2,TRUE(),IF(F478=Constants!$B$3,FALSE(),TRUE())))</f>
        <v/>
      </c>
      <c r="Y478" s="87" t="str">
        <f aca="false">IF(ISBLANK($C478),"",IF(G478=Constants!$B$2,TRUE(),IF(G478=Constants!$B$3,FALSE(),TRUE())))</f>
        <v/>
      </c>
      <c r="Z478" s="87" t="str">
        <f aca="false">IF(ISBLANK($C478),"",IF(H478=Constants!$B$2,TRUE(),IF(H478=Constants!$B$3,FALSE(),TRUE())))</f>
        <v/>
      </c>
      <c r="AA478" s="87" t="str">
        <f aca="false">IF(ISBLANK($C478),"",IF(I478=Constants!$B$2,TRUE(),IF(I478=Constants!$B$3,FALSE(),TRUE())))</f>
        <v/>
      </c>
      <c r="AB478" s="87" t="str">
        <f aca="false">IF(ISBLANK($C478),"",IF(J478=Constants!$B$4,TRUE(),IF(J478=Constants!$B$5,FALSE(),COUNTA(K478:M478)&gt;0)))</f>
        <v/>
      </c>
      <c r="AC478" s="88" t="str">
        <f aca="false">IF(ISBLANK($C478),"",IF(ISNUMBER(K478),IF(K478&gt;=0,K478,""),""))</f>
        <v/>
      </c>
      <c r="AD478" s="89" t="str">
        <f aca="false">IF(ISBLANK($C478),"",IF(ISNUMBER(L478),IF(L478&gt;=0,L478,""),""))</f>
        <v/>
      </c>
      <c r="AE478" s="87" t="str">
        <f aca="false">IF(ISBLANK($C478),"",IF(ISNUMBER(M478),IF(M478&gt;=0,MIN(M478,Constants!$B$22),""),""))</f>
        <v/>
      </c>
      <c r="AF478" s="87" t="str">
        <f aca="false">IF(ISBLANK($C478),"",IF(N478=Constants!$B$2,TRUE(),IF(N478=Constants!$B$3,FALSE(),TRUE())))</f>
        <v/>
      </c>
      <c r="AG478" s="87" t="str">
        <f aca="false">IF(ISBLANK($C478),"",IF(O478=Constants!$B$2,TRUE(),IF(O478=Constants!$B$3,FALSE(),TRUE())))</f>
        <v/>
      </c>
      <c r="AH478" s="87" t="str">
        <f aca="false">IF(ISBLANK($C478),"",IF(P478=Constants!$B$4,TRUE(),IF(P478=Constants!$B$5,FALSE(),COUNTA(Q478:S478)&gt;0)))</f>
        <v/>
      </c>
      <c r="AI478" s="88" t="str">
        <f aca="false">IF(ISBLANK($C478),"",IF(ISNUMBER(Q478),IF(Q478&gt;=0,Q478,""),""))</f>
        <v/>
      </c>
      <c r="AJ478" s="89" t="str">
        <f aca="false">IF(ISBLANK($C478),"",IF(ISNUMBER(R478),IF(R478&gt;=0,R478,""),""))</f>
        <v/>
      </c>
      <c r="AK478" s="87" t="str">
        <f aca="false">IF(ISBLANK($C478),"",IF(ISNUMBER(S478),IF(S478&gt;=0,MIN(S478,Constants!$B$22),""),""))</f>
        <v/>
      </c>
      <c r="AL478" s="87" t="str">
        <f aca="false">IF(ISBLANK($C478),"",IF(T478=Constants!$B$2,TRUE(),IF(T478=Constants!$B$3,FALSE(),FALSE())))</f>
        <v/>
      </c>
      <c r="AM478" s="86" t="str">
        <f aca="false">IF(ISBLANK($C478),"",AND($AB478,OR($AC478="",$AD478="",AND(NOT(ISBLANK($M478)),$AE478=""))))</f>
        <v/>
      </c>
      <c r="AN478" s="89" t="str">
        <f aca="false">IF($BD478&lt;&gt;Constants!$B$6,"",IF($AB478,Constants!$B$17*$AD478,Constants!$B$18))</f>
        <v/>
      </c>
      <c r="AO478" s="91" t="str">
        <f aca="false">IF($BD478&lt;&gt;Constants!$B$6,"",Constants!$B$19*IF($AB478,$AC478,0))</f>
        <v/>
      </c>
      <c r="AP478" s="91" t="str">
        <f aca="false">IF($BD478&lt;&gt;Constants!$B$6,"",IF(AND($AB478,ISNUMBER($AE478)),Constants!$B$20*(Constants!$B$21-$AE478),0))</f>
        <v/>
      </c>
      <c r="AQ478" s="91" t="str">
        <f aca="false">IF($BD478&lt;&gt;Constants!$B$6,"",IF($AA478,0,Constants!$B$12)+IF($Z478,0,Constants!$B$13)+IF($Y478,0,Constants!$B$14))</f>
        <v/>
      </c>
      <c r="AR478" s="92" t="str">
        <f aca="false">IF($BD478&lt;&gt;Constants!$B$6,"",Constants!$B$16+SUM($AN478:$AQ478))</f>
        <v/>
      </c>
      <c r="AS478" s="91" t="str">
        <f aca="false">IF($BD478&lt;&gt;Constants!$B$6,"",IF($AB478,$AD478,""))</f>
        <v/>
      </c>
      <c r="AT478" s="93" t="str">
        <f aca="false">IF($BD478&lt;&gt;Constants!$B$6,"",$AO478)</f>
        <v/>
      </c>
      <c r="AU478" s="87" t="str">
        <f aca="false">IF($BD478&lt;&gt;Constants!$B$6,"",IF(OR($BA478&lt;$AR478,AND($BA478=$AR478,OR(AND(ISNUMBER($BB478),OR(NOT(ISNUMBER($AS478)),$BB478&lt;$AS478)),AND(OR(AND($BB478="",$AS478=""),AND(ISNUMBER($BB478),ISNUMBER($AS478),$BB478=$AS478)),$BC478&lt;$AT478)))),"-&gt;","&lt;-"))</f>
        <v/>
      </c>
      <c r="AV478" s="86" t="str">
        <f aca="false">IF(ISBLANK($C478),"",AND($AH478,OR($AI478="",$AJ478="",AND(NOT(ISBLANK($S478)),$AK478=""))))</f>
        <v/>
      </c>
      <c r="AW478" s="89" t="str">
        <f aca="false">IF($BD478&lt;&gt;Constants!$B$6,"",IF($AH478,Constants!$B$17*$AJ478,Constants!$B$18))</f>
        <v/>
      </c>
      <c r="AX478" s="91" t="str">
        <f aca="false">IF($BD478&lt;&gt;Constants!$B$6,"",Constants!$B$19*IF($AH478,$AI478,0))</f>
        <v/>
      </c>
      <c r="AY478" s="91" t="str">
        <f aca="false">IF($BD478&lt;&gt;Constants!$B$6,"",IF(AND($AH478,ISNUMBER($AK478)),Constants!$B$20*(Constants!$B$21-$AK478),0))</f>
        <v/>
      </c>
      <c r="AZ478" s="91" t="str">
        <f aca="false">IF($BD478&lt;&gt;Constants!$B$6,"",IF($AG478,0,Constants!$B$12)+IF($AF478,0,Constants!$B$13)+IF($Y478,0,Constants!$B$14))</f>
        <v/>
      </c>
      <c r="BA478" s="92" t="str">
        <f aca="false">IF($BD478&lt;&gt;Constants!$B$6,"",Constants!$B$16+SUM($AW478:$AZ478))</f>
        <v/>
      </c>
      <c r="BB478" s="91" t="str">
        <f aca="false">IF($BD478&lt;&gt;Constants!$B$6,"",IF($AH478,$AJ478,""))</f>
        <v/>
      </c>
      <c r="BC478" s="93" t="str">
        <f aca="false">IF($BD478&lt;&gt;Constants!$B$6,"",$AX478)</f>
        <v/>
      </c>
      <c r="BD478" s="87" t="str">
        <f aca="false">IF(ISBLANK($C478),"",IF($AL478,Constants!$B$9,IF(COUNTA($E478:$T478)=0,Constants!$B$8,IF(NOT($X478),Constants!$B$7,IF(OR($AM478,$AV478),Constants!$B$10,Constants!$B$6)))))</f>
        <v/>
      </c>
      <c r="BE478" s="87" t="str">
        <f aca="false">IF(ISBLANK($C478),"",IF($BD478&lt;&gt;Constants!$B$6,$BD478,Constants!$B$11))</f>
        <v/>
      </c>
      <c r="BF478" s="91" t="str">
        <f aca="false">IF($BD478&lt;&gt;Constants!$B$6,"",IF($AU478="-&gt;",$BA478,$AR478))</f>
        <v/>
      </c>
      <c r="BG478" s="91" t="str">
        <f aca="false">IF($BD478&lt;&gt;Constants!$B$6,"",IF($W478,0,Constants!$B$15))</f>
        <v/>
      </c>
      <c r="BH478" s="91" t="str">
        <f aca="false">IF(ISBLANK($C478),"",IF($BD478&lt;&gt;Constants!$B$6,$BD478,SUM($BF478:$BG478)))</f>
        <v/>
      </c>
      <c r="BI478" s="87" t="str">
        <f aca="false">IF(ISBLANK($C478),"",IF($BD478&lt;&gt;Constants!$B$6,$BD478,RANK($BH478,$BH$9:$BH$508,1)))</f>
        <v/>
      </c>
      <c r="BJ478" s="91" t="str">
        <f aca="false">IF($BD478&lt;&gt;Constants!$B$6,"",IF($AU478="-&gt;",$BB478,$AS478))</f>
        <v/>
      </c>
      <c r="BK478" s="87" t="str">
        <f aca="false">IF(ISBLANK($C478),"",IF($BD478&lt;&gt;Constants!$B$6,$BD478,IF(ISNUMBER($BJ478),RANK($BJ478,$BJ$9:$BJ$508,1),COUNT($BJ$9:$BJ$508)+1)))</f>
        <v/>
      </c>
      <c r="BL478" s="91" t="str">
        <f aca="false">IF($BD478&lt;&gt;Constants!$B$6,"",IF($AU478="-&gt;",$BC478,$AT478))</f>
        <v/>
      </c>
      <c r="BM478" s="87" t="str">
        <f aca="false">IF(ISBLANK($C478),"",IF($BD478&lt;&gt;Constants!$B$6,$BD478,IF(ISNUMBER($BL478),RANK($BL478,$BL$9:$BL$508,1),COUNT($BL$9:$BL$508)+1)))</f>
        <v/>
      </c>
      <c r="BN478" s="91" t="str">
        <f aca="false">IF($BD478&lt;&gt;Constants!$B$6,"",IF($AU478="-&gt;",$AS478,$BB478))</f>
        <v/>
      </c>
      <c r="BO478" s="87" t="str">
        <f aca="false">IF(ISBLANK($C478),"",IF($BD478&lt;&gt;Constants!$B$6,$BD478,IF(ISNUMBER($BN478),RANK($BN478,$BN$9:$BN$508,1),COUNT($BN$9:$BN$508)+1)))</f>
        <v/>
      </c>
      <c r="BP478" s="91" t="str">
        <f aca="false">IF($BD478&lt;&gt;Constants!$B$6,"",IF($AU478="-&gt;",$AT478,$BC478))</f>
        <v/>
      </c>
      <c r="BQ478" s="87" t="str">
        <f aca="false">IF(ISBLANK($C478),"",IF($BD478&lt;&gt;Constants!$B$6,$BD478,IF(ISNUMBER($BP478),RANK($BP478,$BP$9:$BP$508,1),COUNT($BP$9:$BP$508)+1)))</f>
        <v/>
      </c>
      <c r="BR478" s="87" t="str">
        <f aca="false">IF(ISBLANK($C478),"",IF($BD478&lt;&gt;Constants!$B$6,$BD478,COUNTIFS($BI$9:$BI$508,"&lt;"&amp;$BI478)+COUNTIFS($BI$9:$BI$508,$BI478,$BK$9:$BK$508,"&lt;"&amp;$BK478)+COUNTIFS($BI$9:$BI$508,$BI478,$BK$9:$BK$508,$BK478,$BM$9:$BM$508,"&lt;"&amp;$BM478)+COUNTIFS($BI$9:$BI$508,$BI478,$BK$9:$BK$508,$BK478,$BM$9:$BM$508,$BM478,$BO$9:$BO$508,"&lt;"&amp;$BO478)+COUNTIFS($BI$9:$BI$508,$BI478,$BK$9:$BK$508,$BK478,$BM$9:$BM$508,$BM478,$BO$9:$BO$508,$BO478,$BQ$9:$BQ$508,"&lt;"&amp;$BQ478)+1))</f>
        <v/>
      </c>
      <c r="BS478" s="87" t="str">
        <f aca="false">IF(ISBLANK($C478),"",IF($BD478&lt;&gt;Constants!$B$6,$BD478,$BI478-$BR478))</f>
        <v/>
      </c>
      <c r="BT478" s="94"/>
      <c r="BU478" s="95"/>
      <c r="BV478" s="95" t="str">
        <f aca="false">IF(ISBLANK($C478),"",IF($BD478&lt;&gt;Constants!$B$6,"",IF($AU478="-&gt;",2,1)))</f>
        <v/>
      </c>
      <c r="BW478" s="96" t="str">
        <f aca="false">IF(ISBLANK($C478),"",IF($BD478&lt;&gt;Constants!$B$6,"",IF($AU478="-&gt;",$AW478,$AN478)))</f>
        <v/>
      </c>
      <c r="BX478" s="96" t="str">
        <f aca="false">IF(ISBLANK($C478),"",IF($BD478&lt;&gt;Constants!$B$6,"",IF($AU478="-&gt;",$AX478,$AO478)))</f>
        <v/>
      </c>
      <c r="BY478" s="96" t="str">
        <f aca="false">IF(ISBLANK($C478),"",IF($BD478&lt;&gt;Constants!$B$6,"",IF($AU478="-&gt;",$AY478,$AP478)))</f>
        <v/>
      </c>
      <c r="BZ478" s="96" t="str">
        <f aca="false">IF(ISBLANK($C478),"",IF($BD478&lt;&gt;Constants!$B$6,"",IF($AU478="-&gt;",$AZ478,$AQ478)+$BG478))</f>
        <v/>
      </c>
      <c r="CA478" s="97" t="str">
        <f aca="false">IF(ISBLANK($C478),"",IF($BD478&lt;&gt;Constants!$B$6,$BD478,$BH478))</f>
        <v/>
      </c>
      <c r="CB478" s="98" t="str">
        <f aca="false">IF(ISBLANK($C478),"",$BE478)</f>
        <v/>
      </c>
      <c r="CC478" s="99" t="str">
        <f aca="false">IF(ISBLANK($C478),"",$BS478)</f>
        <v/>
      </c>
      <c r="CD478" s="99" t="str">
        <f aca="false">IF(ISBLANK($C478),"",$BR478)</f>
        <v/>
      </c>
      <c r="CE478" s="100" t="str">
        <f aca="false">IF(ISBLANK($C478),"",IF($CD478=Constants!$B$9,COUNTA($C$9:$C$508)+2,IF($CD478=Constants!$B$8,COUNTA($C$9:$C$508)+1,IF($CD478=Constants!$B$7,COUNTA($C$9:$C$508),$CD478))))</f>
        <v/>
      </c>
      <c r="CF478" s="9"/>
      <c r="CG478" s="101" t="n">
        <f aca="false">IF(OR(ISNUMBER($CD478),$CD478=Constants!$B$9,$CD478=Constants!$B$7,$CD478=Constants!$B$8),1,0)</f>
        <v>0</v>
      </c>
      <c r="CH478" s="101" t="n">
        <v>470</v>
      </c>
      <c r="CI478" s="101" t="str">
        <f aca="false">IF(ISBLANK($C478),"",IF(ISNUMBER($CE478),$CE478+ROW($B478)/1000,""))</f>
        <v/>
      </c>
      <c r="CJ478" s="101" t="str">
        <f aca="false">IF(ISNUMBER($CI478),RANK($CI478,$CI$9:$CI$508,1),"")</f>
        <v/>
      </c>
      <c r="CK478" s="101" t="str">
        <f aca="false">IF(ISBLANK($C478),"",$B478)</f>
        <v/>
      </c>
      <c r="CL478" s="101" t="str">
        <f aca="false">IF(ISBLANK($C478),"",$C478)</f>
        <v/>
      </c>
      <c r="CM478" s="101" t="str">
        <f aca="false">IF(ISBLANK($C478),"",$D478)</f>
        <v/>
      </c>
      <c r="CN478" s="102" t="str">
        <f aca="false">$CB478</f>
        <v/>
      </c>
      <c r="CO478" s="103" t="str">
        <f aca="false">$CA478</f>
        <v/>
      </c>
      <c r="CP478" s="101" t="str">
        <f aca="false">IF(ISBLANK($C478),"",$CD478)</f>
        <v/>
      </c>
      <c r="CQ478" s="104" t="str">
        <f aca="false">IF($CH478&gt;$CG$8,"",VLOOKUP($CH478,$CJ$9:$CP$508,7,FALSE()))</f>
        <v/>
      </c>
      <c r="CR478" s="105" t="str">
        <f aca="false">IF($CH478&gt;$CG$8,"",VLOOKUP($CH478,$CJ$9:$CP$508,2,FALSE()))</f>
        <v/>
      </c>
      <c r="CS478" s="105" t="str">
        <f aca="false">IF($CH478&gt;$CG$8,"",VLOOKUP($CH478,$CJ$9:$CP$508,3,FALSE()))</f>
        <v/>
      </c>
      <c r="CT478" s="105" t="str">
        <f aca="false">IF($CH478&gt;$CG$8,"",VLOOKUP($CH478,$CJ$9:$CP$508,4,FALSE()))</f>
        <v/>
      </c>
      <c r="CU478" s="105" t="str">
        <f aca="false">IF($CH478&gt;$CG$8,"",VLOOKUP($CH478,$CJ$9:$CP$508,5,FALSE()))</f>
        <v/>
      </c>
      <c r="CV478" s="106" t="str">
        <f aca="false">IF($CH478&gt;$CG$8,"",VLOOKUP($CH478,$CJ$9:$CP$508,6,FALSE()))</f>
        <v/>
      </c>
      <c r="CW478" s="71"/>
    </row>
    <row r="479" customFormat="false" ht="15.75" hidden="false" customHeight="false" outlineLevel="0" collapsed="false">
      <c r="A479" s="9"/>
      <c r="B479" s="72"/>
      <c r="C479" s="73"/>
      <c r="D479" s="160"/>
      <c r="E479" s="168"/>
      <c r="F479" s="162"/>
      <c r="G479" s="163"/>
      <c r="H479" s="169"/>
      <c r="I479" s="167"/>
      <c r="J479" s="80"/>
      <c r="K479" s="81"/>
      <c r="L479" s="82"/>
      <c r="M479" s="166"/>
      <c r="N479" s="167"/>
      <c r="O479" s="167"/>
      <c r="P479" s="80"/>
      <c r="Q479" s="82"/>
      <c r="R479" s="82"/>
      <c r="S479" s="166"/>
      <c r="T479" s="167"/>
      <c r="U479" s="86"/>
      <c r="V479" s="87"/>
      <c r="W479" s="87" t="str">
        <f aca="false">IF(ISBLANK($C479),"",IF(E479=Constants!$B$2,TRUE(),IF(E479=Constants!$B$3,FALSE(),TRUE())))</f>
        <v/>
      </c>
      <c r="X479" s="87" t="str">
        <f aca="false">IF(ISBLANK($C479),"",IF(F479=Constants!$B$2,TRUE(),IF(F479=Constants!$B$3,FALSE(),TRUE())))</f>
        <v/>
      </c>
      <c r="Y479" s="87" t="str">
        <f aca="false">IF(ISBLANK($C479),"",IF(G479=Constants!$B$2,TRUE(),IF(G479=Constants!$B$3,FALSE(),TRUE())))</f>
        <v/>
      </c>
      <c r="Z479" s="87" t="str">
        <f aca="false">IF(ISBLANK($C479),"",IF(H479=Constants!$B$2,TRUE(),IF(H479=Constants!$B$3,FALSE(),TRUE())))</f>
        <v/>
      </c>
      <c r="AA479" s="87" t="str">
        <f aca="false">IF(ISBLANK($C479),"",IF(I479=Constants!$B$2,TRUE(),IF(I479=Constants!$B$3,FALSE(),TRUE())))</f>
        <v/>
      </c>
      <c r="AB479" s="87" t="str">
        <f aca="false">IF(ISBLANK($C479),"",IF(J479=Constants!$B$4,TRUE(),IF(J479=Constants!$B$5,FALSE(),COUNTA(K479:M479)&gt;0)))</f>
        <v/>
      </c>
      <c r="AC479" s="88" t="str">
        <f aca="false">IF(ISBLANK($C479),"",IF(ISNUMBER(K479),IF(K479&gt;=0,K479,""),""))</f>
        <v/>
      </c>
      <c r="AD479" s="89" t="str">
        <f aca="false">IF(ISBLANK($C479),"",IF(ISNUMBER(L479),IF(L479&gt;=0,L479,""),""))</f>
        <v/>
      </c>
      <c r="AE479" s="87" t="str">
        <f aca="false">IF(ISBLANK($C479),"",IF(ISNUMBER(M479),IF(M479&gt;=0,MIN(M479,Constants!$B$22),""),""))</f>
        <v/>
      </c>
      <c r="AF479" s="87" t="str">
        <f aca="false">IF(ISBLANK($C479),"",IF(N479=Constants!$B$2,TRUE(),IF(N479=Constants!$B$3,FALSE(),TRUE())))</f>
        <v/>
      </c>
      <c r="AG479" s="87" t="str">
        <f aca="false">IF(ISBLANK($C479),"",IF(O479=Constants!$B$2,TRUE(),IF(O479=Constants!$B$3,FALSE(),TRUE())))</f>
        <v/>
      </c>
      <c r="AH479" s="87" t="str">
        <f aca="false">IF(ISBLANK($C479),"",IF(P479=Constants!$B$4,TRUE(),IF(P479=Constants!$B$5,FALSE(),COUNTA(Q479:S479)&gt;0)))</f>
        <v/>
      </c>
      <c r="AI479" s="88" t="str">
        <f aca="false">IF(ISBLANK($C479),"",IF(ISNUMBER(Q479),IF(Q479&gt;=0,Q479,""),""))</f>
        <v/>
      </c>
      <c r="AJ479" s="89" t="str">
        <f aca="false">IF(ISBLANK($C479),"",IF(ISNUMBER(R479),IF(R479&gt;=0,R479,""),""))</f>
        <v/>
      </c>
      <c r="AK479" s="87" t="str">
        <f aca="false">IF(ISBLANK($C479),"",IF(ISNUMBER(S479),IF(S479&gt;=0,MIN(S479,Constants!$B$22),""),""))</f>
        <v/>
      </c>
      <c r="AL479" s="87" t="str">
        <f aca="false">IF(ISBLANK($C479),"",IF(T479=Constants!$B$2,TRUE(),IF(T479=Constants!$B$3,FALSE(),FALSE())))</f>
        <v/>
      </c>
      <c r="AM479" s="86" t="str">
        <f aca="false">IF(ISBLANK($C479),"",AND($AB479,OR($AC479="",$AD479="",AND(NOT(ISBLANK($M479)),$AE479=""))))</f>
        <v/>
      </c>
      <c r="AN479" s="89" t="str">
        <f aca="false">IF($BD479&lt;&gt;Constants!$B$6,"",IF($AB479,Constants!$B$17*$AD479,Constants!$B$18))</f>
        <v/>
      </c>
      <c r="AO479" s="91" t="str">
        <f aca="false">IF($BD479&lt;&gt;Constants!$B$6,"",Constants!$B$19*IF($AB479,$AC479,0))</f>
        <v/>
      </c>
      <c r="AP479" s="91" t="str">
        <f aca="false">IF($BD479&lt;&gt;Constants!$B$6,"",IF(AND($AB479,ISNUMBER($AE479)),Constants!$B$20*(Constants!$B$21-$AE479),0))</f>
        <v/>
      </c>
      <c r="AQ479" s="91" t="str">
        <f aca="false">IF($BD479&lt;&gt;Constants!$B$6,"",IF($AA479,0,Constants!$B$12)+IF($Z479,0,Constants!$B$13)+IF($Y479,0,Constants!$B$14))</f>
        <v/>
      </c>
      <c r="AR479" s="92" t="str">
        <f aca="false">IF($BD479&lt;&gt;Constants!$B$6,"",Constants!$B$16+SUM($AN479:$AQ479))</f>
        <v/>
      </c>
      <c r="AS479" s="91" t="str">
        <f aca="false">IF($BD479&lt;&gt;Constants!$B$6,"",IF($AB479,$AD479,""))</f>
        <v/>
      </c>
      <c r="AT479" s="93" t="str">
        <f aca="false">IF($BD479&lt;&gt;Constants!$B$6,"",$AO479)</f>
        <v/>
      </c>
      <c r="AU479" s="87" t="str">
        <f aca="false">IF($BD479&lt;&gt;Constants!$B$6,"",IF(OR($BA479&lt;$AR479,AND($BA479=$AR479,OR(AND(ISNUMBER($BB479),OR(NOT(ISNUMBER($AS479)),$BB479&lt;$AS479)),AND(OR(AND($BB479="",$AS479=""),AND(ISNUMBER($BB479),ISNUMBER($AS479),$BB479=$AS479)),$BC479&lt;$AT479)))),"-&gt;","&lt;-"))</f>
        <v/>
      </c>
      <c r="AV479" s="86" t="str">
        <f aca="false">IF(ISBLANK($C479),"",AND($AH479,OR($AI479="",$AJ479="",AND(NOT(ISBLANK($S479)),$AK479=""))))</f>
        <v/>
      </c>
      <c r="AW479" s="89" t="str">
        <f aca="false">IF($BD479&lt;&gt;Constants!$B$6,"",IF($AH479,Constants!$B$17*$AJ479,Constants!$B$18))</f>
        <v/>
      </c>
      <c r="AX479" s="91" t="str">
        <f aca="false">IF($BD479&lt;&gt;Constants!$B$6,"",Constants!$B$19*IF($AH479,$AI479,0))</f>
        <v/>
      </c>
      <c r="AY479" s="91" t="str">
        <f aca="false">IF($BD479&lt;&gt;Constants!$B$6,"",IF(AND($AH479,ISNUMBER($AK479)),Constants!$B$20*(Constants!$B$21-$AK479),0))</f>
        <v/>
      </c>
      <c r="AZ479" s="91" t="str">
        <f aca="false">IF($BD479&lt;&gt;Constants!$B$6,"",IF($AG479,0,Constants!$B$12)+IF($AF479,0,Constants!$B$13)+IF($Y479,0,Constants!$B$14))</f>
        <v/>
      </c>
      <c r="BA479" s="92" t="str">
        <f aca="false">IF($BD479&lt;&gt;Constants!$B$6,"",Constants!$B$16+SUM($AW479:$AZ479))</f>
        <v/>
      </c>
      <c r="BB479" s="91" t="str">
        <f aca="false">IF($BD479&lt;&gt;Constants!$B$6,"",IF($AH479,$AJ479,""))</f>
        <v/>
      </c>
      <c r="BC479" s="93" t="str">
        <f aca="false">IF($BD479&lt;&gt;Constants!$B$6,"",$AX479)</f>
        <v/>
      </c>
      <c r="BD479" s="87" t="str">
        <f aca="false">IF(ISBLANK($C479),"",IF($AL479,Constants!$B$9,IF(COUNTA($E479:$T479)=0,Constants!$B$8,IF(NOT($X479),Constants!$B$7,IF(OR($AM479,$AV479),Constants!$B$10,Constants!$B$6)))))</f>
        <v/>
      </c>
      <c r="BE479" s="87" t="str">
        <f aca="false">IF(ISBLANK($C479),"",IF($BD479&lt;&gt;Constants!$B$6,$BD479,Constants!$B$11))</f>
        <v/>
      </c>
      <c r="BF479" s="91" t="str">
        <f aca="false">IF($BD479&lt;&gt;Constants!$B$6,"",IF($AU479="-&gt;",$BA479,$AR479))</f>
        <v/>
      </c>
      <c r="BG479" s="91" t="str">
        <f aca="false">IF($BD479&lt;&gt;Constants!$B$6,"",IF($W479,0,Constants!$B$15))</f>
        <v/>
      </c>
      <c r="BH479" s="91" t="str">
        <f aca="false">IF(ISBLANK($C479),"",IF($BD479&lt;&gt;Constants!$B$6,$BD479,SUM($BF479:$BG479)))</f>
        <v/>
      </c>
      <c r="BI479" s="87" t="str">
        <f aca="false">IF(ISBLANK($C479),"",IF($BD479&lt;&gt;Constants!$B$6,$BD479,RANK($BH479,$BH$9:$BH$508,1)))</f>
        <v/>
      </c>
      <c r="BJ479" s="91" t="str">
        <f aca="false">IF($BD479&lt;&gt;Constants!$B$6,"",IF($AU479="-&gt;",$BB479,$AS479))</f>
        <v/>
      </c>
      <c r="BK479" s="87" t="str">
        <f aca="false">IF(ISBLANK($C479),"",IF($BD479&lt;&gt;Constants!$B$6,$BD479,IF(ISNUMBER($BJ479),RANK($BJ479,$BJ$9:$BJ$508,1),COUNT($BJ$9:$BJ$508)+1)))</f>
        <v/>
      </c>
      <c r="BL479" s="91" t="str">
        <f aca="false">IF($BD479&lt;&gt;Constants!$B$6,"",IF($AU479="-&gt;",$BC479,$AT479))</f>
        <v/>
      </c>
      <c r="BM479" s="87" t="str">
        <f aca="false">IF(ISBLANK($C479),"",IF($BD479&lt;&gt;Constants!$B$6,$BD479,IF(ISNUMBER($BL479),RANK($BL479,$BL$9:$BL$508,1),COUNT($BL$9:$BL$508)+1)))</f>
        <v/>
      </c>
      <c r="BN479" s="91" t="str">
        <f aca="false">IF($BD479&lt;&gt;Constants!$B$6,"",IF($AU479="-&gt;",$AS479,$BB479))</f>
        <v/>
      </c>
      <c r="BO479" s="87" t="str">
        <f aca="false">IF(ISBLANK($C479),"",IF($BD479&lt;&gt;Constants!$B$6,$BD479,IF(ISNUMBER($BN479),RANK($BN479,$BN$9:$BN$508,1),COUNT($BN$9:$BN$508)+1)))</f>
        <v/>
      </c>
      <c r="BP479" s="91" t="str">
        <f aca="false">IF($BD479&lt;&gt;Constants!$B$6,"",IF($AU479="-&gt;",$AT479,$BC479))</f>
        <v/>
      </c>
      <c r="BQ479" s="87" t="str">
        <f aca="false">IF(ISBLANK($C479),"",IF($BD479&lt;&gt;Constants!$B$6,$BD479,IF(ISNUMBER($BP479),RANK($BP479,$BP$9:$BP$508,1),COUNT($BP$9:$BP$508)+1)))</f>
        <v/>
      </c>
      <c r="BR479" s="87" t="str">
        <f aca="false">IF(ISBLANK($C479),"",IF($BD479&lt;&gt;Constants!$B$6,$BD479,COUNTIFS($BI$9:$BI$508,"&lt;"&amp;$BI479)+COUNTIFS($BI$9:$BI$508,$BI479,$BK$9:$BK$508,"&lt;"&amp;$BK479)+COUNTIFS($BI$9:$BI$508,$BI479,$BK$9:$BK$508,$BK479,$BM$9:$BM$508,"&lt;"&amp;$BM479)+COUNTIFS($BI$9:$BI$508,$BI479,$BK$9:$BK$508,$BK479,$BM$9:$BM$508,$BM479,$BO$9:$BO$508,"&lt;"&amp;$BO479)+COUNTIFS($BI$9:$BI$508,$BI479,$BK$9:$BK$508,$BK479,$BM$9:$BM$508,$BM479,$BO$9:$BO$508,$BO479,$BQ$9:$BQ$508,"&lt;"&amp;$BQ479)+1))</f>
        <v/>
      </c>
      <c r="BS479" s="87" t="str">
        <f aca="false">IF(ISBLANK($C479),"",IF($BD479&lt;&gt;Constants!$B$6,$BD479,$BI479-$BR479))</f>
        <v/>
      </c>
      <c r="BT479" s="94"/>
      <c r="BU479" s="95"/>
      <c r="BV479" s="95" t="str">
        <f aca="false">IF(ISBLANK($C479),"",IF($BD479&lt;&gt;Constants!$B$6,"",IF($AU479="-&gt;",2,1)))</f>
        <v/>
      </c>
      <c r="BW479" s="96" t="str">
        <f aca="false">IF(ISBLANK($C479),"",IF($BD479&lt;&gt;Constants!$B$6,"",IF($AU479="-&gt;",$AW479,$AN479)))</f>
        <v/>
      </c>
      <c r="BX479" s="96" t="str">
        <f aca="false">IF(ISBLANK($C479),"",IF($BD479&lt;&gt;Constants!$B$6,"",IF($AU479="-&gt;",$AX479,$AO479)))</f>
        <v/>
      </c>
      <c r="BY479" s="96" t="str">
        <f aca="false">IF(ISBLANK($C479),"",IF($BD479&lt;&gt;Constants!$B$6,"",IF($AU479="-&gt;",$AY479,$AP479)))</f>
        <v/>
      </c>
      <c r="BZ479" s="96" t="str">
        <f aca="false">IF(ISBLANK($C479),"",IF($BD479&lt;&gt;Constants!$B$6,"",IF($AU479="-&gt;",$AZ479,$AQ479)+$BG479))</f>
        <v/>
      </c>
      <c r="CA479" s="97" t="str">
        <f aca="false">IF(ISBLANK($C479),"",IF($BD479&lt;&gt;Constants!$B$6,$BD479,$BH479))</f>
        <v/>
      </c>
      <c r="CB479" s="98" t="str">
        <f aca="false">IF(ISBLANK($C479),"",$BE479)</f>
        <v/>
      </c>
      <c r="CC479" s="99" t="str">
        <f aca="false">IF(ISBLANK($C479),"",$BS479)</f>
        <v/>
      </c>
      <c r="CD479" s="99" t="str">
        <f aca="false">IF(ISBLANK($C479),"",$BR479)</f>
        <v/>
      </c>
      <c r="CE479" s="100" t="str">
        <f aca="false">IF(ISBLANK($C479),"",IF($CD479=Constants!$B$9,COUNTA($C$9:$C$508)+2,IF($CD479=Constants!$B$8,COUNTA($C$9:$C$508)+1,IF($CD479=Constants!$B$7,COUNTA($C$9:$C$508),$CD479))))</f>
        <v/>
      </c>
      <c r="CF479" s="9"/>
      <c r="CG479" s="101" t="n">
        <f aca="false">IF(OR(ISNUMBER($CD479),$CD479=Constants!$B$9,$CD479=Constants!$B$7,$CD479=Constants!$B$8),1,0)</f>
        <v>0</v>
      </c>
      <c r="CH479" s="101" t="n">
        <v>471</v>
      </c>
      <c r="CI479" s="101" t="str">
        <f aca="false">IF(ISBLANK($C479),"",IF(ISNUMBER($CE479),$CE479+ROW($B479)/1000,""))</f>
        <v/>
      </c>
      <c r="CJ479" s="101" t="str">
        <f aca="false">IF(ISNUMBER($CI479),RANK($CI479,$CI$9:$CI$508,1),"")</f>
        <v/>
      </c>
      <c r="CK479" s="101" t="str">
        <f aca="false">IF(ISBLANK($C479),"",$B479)</f>
        <v/>
      </c>
      <c r="CL479" s="101" t="str">
        <f aca="false">IF(ISBLANK($C479),"",$C479)</f>
        <v/>
      </c>
      <c r="CM479" s="101" t="str">
        <f aca="false">IF(ISBLANK($C479),"",$D479)</f>
        <v/>
      </c>
      <c r="CN479" s="102" t="str">
        <f aca="false">$CB479</f>
        <v/>
      </c>
      <c r="CO479" s="103" t="str">
        <f aca="false">$CA479</f>
        <v/>
      </c>
      <c r="CP479" s="101" t="str">
        <f aca="false">IF(ISBLANK($C479),"",$CD479)</f>
        <v/>
      </c>
      <c r="CQ479" s="104" t="str">
        <f aca="false">IF($CH479&gt;$CG$8,"",VLOOKUP($CH479,$CJ$9:$CP$508,7,FALSE()))</f>
        <v/>
      </c>
      <c r="CR479" s="105" t="str">
        <f aca="false">IF($CH479&gt;$CG$8,"",VLOOKUP($CH479,$CJ$9:$CP$508,2,FALSE()))</f>
        <v/>
      </c>
      <c r="CS479" s="105" t="str">
        <f aca="false">IF($CH479&gt;$CG$8,"",VLOOKUP($CH479,$CJ$9:$CP$508,3,FALSE()))</f>
        <v/>
      </c>
      <c r="CT479" s="105" t="str">
        <f aca="false">IF($CH479&gt;$CG$8,"",VLOOKUP($CH479,$CJ$9:$CP$508,4,FALSE()))</f>
        <v/>
      </c>
      <c r="CU479" s="105" t="str">
        <f aca="false">IF($CH479&gt;$CG$8,"",VLOOKUP($CH479,$CJ$9:$CP$508,5,FALSE()))</f>
        <v/>
      </c>
      <c r="CV479" s="106" t="str">
        <f aca="false">IF($CH479&gt;$CG$8,"",VLOOKUP($CH479,$CJ$9:$CP$508,6,FALSE()))</f>
        <v/>
      </c>
      <c r="CW479" s="71"/>
    </row>
    <row r="480" customFormat="false" ht="15.75" hidden="false" customHeight="false" outlineLevel="0" collapsed="false">
      <c r="A480" s="9"/>
      <c r="B480" s="150"/>
      <c r="C480" s="151"/>
      <c r="D480" s="152"/>
      <c r="E480" s="170"/>
      <c r="F480" s="154"/>
      <c r="G480" s="155"/>
      <c r="H480" s="171"/>
      <c r="I480" s="159"/>
      <c r="J480" s="120"/>
      <c r="K480" s="121"/>
      <c r="L480" s="122"/>
      <c r="M480" s="158"/>
      <c r="N480" s="159"/>
      <c r="O480" s="159"/>
      <c r="P480" s="120"/>
      <c r="Q480" s="122"/>
      <c r="R480" s="122"/>
      <c r="S480" s="158"/>
      <c r="T480" s="159"/>
      <c r="U480" s="126"/>
      <c r="V480" s="127"/>
      <c r="W480" s="127" t="str">
        <f aca="false">IF(ISBLANK($C480),"",IF(E480=Constants!$B$2,TRUE(),IF(E480=Constants!$B$3,FALSE(),TRUE())))</f>
        <v/>
      </c>
      <c r="X480" s="127" t="str">
        <f aca="false">IF(ISBLANK($C480),"",IF(F480=Constants!$B$2,TRUE(),IF(F480=Constants!$B$3,FALSE(),TRUE())))</f>
        <v/>
      </c>
      <c r="Y480" s="127" t="str">
        <f aca="false">IF(ISBLANK($C480),"",IF(G480=Constants!$B$2,TRUE(),IF(G480=Constants!$B$3,FALSE(),TRUE())))</f>
        <v/>
      </c>
      <c r="Z480" s="127" t="str">
        <f aca="false">IF(ISBLANK($C480),"",IF(H480=Constants!$B$2,TRUE(),IF(H480=Constants!$B$3,FALSE(),TRUE())))</f>
        <v/>
      </c>
      <c r="AA480" s="127" t="str">
        <f aca="false">IF(ISBLANK($C480),"",IF(I480=Constants!$B$2,TRUE(),IF(I480=Constants!$B$3,FALSE(),TRUE())))</f>
        <v/>
      </c>
      <c r="AB480" s="127" t="str">
        <f aca="false">IF(ISBLANK($C480),"",IF(J480=Constants!$B$4,TRUE(),IF(J480=Constants!$B$5,FALSE(),COUNTA(K480:M480)&gt;0)))</f>
        <v/>
      </c>
      <c r="AC480" s="128" t="str">
        <f aca="false">IF(ISBLANK($C480),"",IF(ISNUMBER(K480),IF(K480&gt;=0,K480,""),""))</f>
        <v/>
      </c>
      <c r="AD480" s="129" t="str">
        <f aca="false">IF(ISBLANK($C480),"",IF(ISNUMBER(L480),IF(L480&gt;=0,L480,""),""))</f>
        <v/>
      </c>
      <c r="AE480" s="127" t="str">
        <f aca="false">IF(ISBLANK($C480),"",IF(ISNUMBER(M480),IF(M480&gt;=0,MIN(M480,Constants!$B$22),""),""))</f>
        <v/>
      </c>
      <c r="AF480" s="127" t="str">
        <f aca="false">IF(ISBLANK($C480),"",IF(N480=Constants!$B$2,TRUE(),IF(N480=Constants!$B$3,FALSE(),TRUE())))</f>
        <v/>
      </c>
      <c r="AG480" s="127" t="str">
        <f aca="false">IF(ISBLANK($C480),"",IF(O480=Constants!$B$2,TRUE(),IF(O480=Constants!$B$3,FALSE(),TRUE())))</f>
        <v/>
      </c>
      <c r="AH480" s="127" t="str">
        <f aca="false">IF(ISBLANK($C480),"",IF(P480=Constants!$B$4,TRUE(),IF(P480=Constants!$B$5,FALSE(),COUNTA(Q480:S480)&gt;0)))</f>
        <v/>
      </c>
      <c r="AI480" s="128" t="str">
        <f aca="false">IF(ISBLANK($C480),"",IF(ISNUMBER(Q480),IF(Q480&gt;=0,Q480,""),""))</f>
        <v/>
      </c>
      <c r="AJ480" s="129" t="str">
        <f aca="false">IF(ISBLANK($C480),"",IF(ISNUMBER(R480),IF(R480&gt;=0,R480,""),""))</f>
        <v/>
      </c>
      <c r="AK480" s="127" t="str">
        <f aca="false">IF(ISBLANK($C480),"",IF(ISNUMBER(S480),IF(S480&gt;=0,MIN(S480,Constants!$B$22),""),""))</f>
        <v/>
      </c>
      <c r="AL480" s="127" t="str">
        <f aca="false">IF(ISBLANK($C480),"",IF(T480=Constants!$B$2,TRUE(),IF(T480=Constants!$B$3,FALSE(),FALSE())))</f>
        <v/>
      </c>
      <c r="AM480" s="126" t="str">
        <f aca="false">IF(ISBLANK($C480),"",AND($AB480,OR($AC480="",$AD480="",AND(NOT(ISBLANK($M480)),$AE480=""))))</f>
        <v/>
      </c>
      <c r="AN480" s="129" t="str">
        <f aca="false">IF($BD480&lt;&gt;Constants!$B$6,"",IF($AB480,Constants!$B$17*$AD480,Constants!$B$18))</f>
        <v/>
      </c>
      <c r="AO480" s="130" t="str">
        <f aca="false">IF($BD480&lt;&gt;Constants!$B$6,"",Constants!$B$19*IF($AB480,$AC480,0))</f>
        <v/>
      </c>
      <c r="AP480" s="130" t="str">
        <f aca="false">IF($BD480&lt;&gt;Constants!$B$6,"",IF(AND($AB480,ISNUMBER($AE480)),Constants!$B$20*(Constants!$B$21-$AE480),0))</f>
        <v/>
      </c>
      <c r="AQ480" s="130" t="str">
        <f aca="false">IF($BD480&lt;&gt;Constants!$B$6,"",IF($AA480,0,Constants!$B$12)+IF($Z480,0,Constants!$B$13)+IF($Y480,0,Constants!$B$14))</f>
        <v/>
      </c>
      <c r="AR480" s="131" t="str">
        <f aca="false">IF($BD480&lt;&gt;Constants!$B$6,"",Constants!$B$16+SUM($AN480:$AQ480))</f>
        <v/>
      </c>
      <c r="AS480" s="130" t="str">
        <f aca="false">IF($BD480&lt;&gt;Constants!$B$6,"",IF($AB480,$AD480,""))</f>
        <v/>
      </c>
      <c r="AT480" s="132" t="str">
        <f aca="false">IF($BD480&lt;&gt;Constants!$B$6,"",$AO480)</f>
        <v/>
      </c>
      <c r="AU480" s="127" t="str">
        <f aca="false">IF($BD480&lt;&gt;Constants!$B$6,"",IF(OR($BA480&lt;$AR480,AND($BA480=$AR480,OR(AND(ISNUMBER($BB480),OR(NOT(ISNUMBER($AS480)),$BB480&lt;$AS480)),AND(OR(AND($BB480="",$AS480=""),AND(ISNUMBER($BB480),ISNUMBER($AS480),$BB480=$AS480)),$BC480&lt;$AT480)))),"-&gt;","&lt;-"))</f>
        <v/>
      </c>
      <c r="AV480" s="126" t="str">
        <f aca="false">IF(ISBLANK($C480),"",AND($AH480,OR($AI480="",$AJ480="",AND(NOT(ISBLANK($S480)),$AK480=""))))</f>
        <v/>
      </c>
      <c r="AW480" s="129" t="str">
        <f aca="false">IF($BD480&lt;&gt;Constants!$B$6,"",IF($AH480,Constants!$B$17*$AJ480,Constants!$B$18))</f>
        <v/>
      </c>
      <c r="AX480" s="130" t="str">
        <f aca="false">IF($BD480&lt;&gt;Constants!$B$6,"",Constants!$B$19*IF($AH480,$AI480,0))</f>
        <v/>
      </c>
      <c r="AY480" s="130" t="str">
        <f aca="false">IF($BD480&lt;&gt;Constants!$B$6,"",IF(AND($AH480,ISNUMBER($AK480)),Constants!$B$20*(Constants!$B$21-$AK480),0))</f>
        <v/>
      </c>
      <c r="AZ480" s="130" t="str">
        <f aca="false">IF($BD480&lt;&gt;Constants!$B$6,"",IF($AG480,0,Constants!$B$12)+IF($AF480,0,Constants!$B$13)+IF($Y480,0,Constants!$B$14))</f>
        <v/>
      </c>
      <c r="BA480" s="131" t="str">
        <f aca="false">IF($BD480&lt;&gt;Constants!$B$6,"",Constants!$B$16+SUM($AW480:$AZ480))</f>
        <v/>
      </c>
      <c r="BB480" s="130" t="str">
        <f aca="false">IF($BD480&lt;&gt;Constants!$B$6,"",IF($AH480,$AJ480,""))</f>
        <v/>
      </c>
      <c r="BC480" s="132" t="str">
        <f aca="false">IF($BD480&lt;&gt;Constants!$B$6,"",$AX480)</f>
        <v/>
      </c>
      <c r="BD480" s="127" t="str">
        <f aca="false">IF(ISBLANK($C480),"",IF($AL480,Constants!$B$9,IF(COUNTA($E480:$T480)=0,Constants!$B$8,IF(NOT($X480),Constants!$B$7,IF(OR($AM480,$AV480),Constants!$B$10,Constants!$B$6)))))</f>
        <v/>
      </c>
      <c r="BE480" s="127" t="str">
        <f aca="false">IF(ISBLANK($C480),"",IF($BD480&lt;&gt;Constants!$B$6,$BD480,Constants!$B$11))</f>
        <v/>
      </c>
      <c r="BF480" s="130" t="str">
        <f aca="false">IF($BD480&lt;&gt;Constants!$B$6,"",IF($AU480="-&gt;",$BA480,$AR480))</f>
        <v/>
      </c>
      <c r="BG480" s="130" t="str">
        <f aca="false">IF($BD480&lt;&gt;Constants!$B$6,"",IF($W480,0,Constants!$B$15))</f>
        <v/>
      </c>
      <c r="BH480" s="130" t="str">
        <f aca="false">IF(ISBLANK($C480),"",IF($BD480&lt;&gt;Constants!$B$6,$BD480,SUM($BF480:$BG480)))</f>
        <v/>
      </c>
      <c r="BI480" s="127" t="str">
        <f aca="false">IF(ISBLANK($C480),"",IF($BD480&lt;&gt;Constants!$B$6,$BD480,RANK($BH480,$BH$9:$BH$508,1)))</f>
        <v/>
      </c>
      <c r="BJ480" s="130" t="str">
        <f aca="false">IF($BD480&lt;&gt;Constants!$B$6,"",IF($AU480="-&gt;",$BB480,$AS480))</f>
        <v/>
      </c>
      <c r="BK480" s="127" t="str">
        <f aca="false">IF(ISBLANK($C480),"",IF($BD480&lt;&gt;Constants!$B$6,$BD480,IF(ISNUMBER($BJ480),RANK($BJ480,$BJ$9:$BJ$508,1),COUNT($BJ$9:$BJ$508)+1)))</f>
        <v/>
      </c>
      <c r="BL480" s="130" t="str">
        <f aca="false">IF($BD480&lt;&gt;Constants!$B$6,"",IF($AU480="-&gt;",$BC480,$AT480))</f>
        <v/>
      </c>
      <c r="BM480" s="127" t="str">
        <f aca="false">IF(ISBLANK($C480),"",IF($BD480&lt;&gt;Constants!$B$6,$BD480,IF(ISNUMBER($BL480),RANK($BL480,$BL$9:$BL$508,1),COUNT($BL$9:$BL$508)+1)))</f>
        <v/>
      </c>
      <c r="BN480" s="130" t="str">
        <f aca="false">IF($BD480&lt;&gt;Constants!$B$6,"",IF($AU480="-&gt;",$AS480,$BB480))</f>
        <v/>
      </c>
      <c r="BO480" s="127" t="str">
        <f aca="false">IF(ISBLANK($C480),"",IF($BD480&lt;&gt;Constants!$B$6,$BD480,IF(ISNUMBER($BN480),RANK($BN480,$BN$9:$BN$508,1),COUNT($BN$9:$BN$508)+1)))</f>
        <v/>
      </c>
      <c r="BP480" s="130" t="str">
        <f aca="false">IF($BD480&lt;&gt;Constants!$B$6,"",IF($AU480="-&gt;",$AT480,$BC480))</f>
        <v/>
      </c>
      <c r="BQ480" s="127" t="str">
        <f aca="false">IF(ISBLANK($C480),"",IF($BD480&lt;&gt;Constants!$B$6,$BD480,IF(ISNUMBER($BP480),RANK($BP480,$BP$9:$BP$508,1),COUNT($BP$9:$BP$508)+1)))</f>
        <v/>
      </c>
      <c r="BR480" s="127" t="str">
        <f aca="false">IF(ISBLANK($C480),"",IF($BD480&lt;&gt;Constants!$B$6,$BD480,COUNTIFS($BI$9:$BI$508,"&lt;"&amp;$BI480)+COUNTIFS($BI$9:$BI$508,$BI480,$BK$9:$BK$508,"&lt;"&amp;$BK480)+COUNTIFS($BI$9:$BI$508,$BI480,$BK$9:$BK$508,$BK480,$BM$9:$BM$508,"&lt;"&amp;$BM480)+COUNTIFS($BI$9:$BI$508,$BI480,$BK$9:$BK$508,$BK480,$BM$9:$BM$508,$BM480,$BO$9:$BO$508,"&lt;"&amp;$BO480)+COUNTIFS($BI$9:$BI$508,$BI480,$BK$9:$BK$508,$BK480,$BM$9:$BM$508,$BM480,$BO$9:$BO$508,$BO480,$BQ$9:$BQ$508,"&lt;"&amp;$BQ480)+1))</f>
        <v/>
      </c>
      <c r="BS480" s="127" t="str">
        <f aca="false">IF(ISBLANK($C480),"",IF($BD480&lt;&gt;Constants!$B$6,$BD480,$BI480-$BR480))</f>
        <v/>
      </c>
      <c r="BT480" s="133"/>
      <c r="BU480" s="134"/>
      <c r="BV480" s="134" t="str">
        <f aca="false">IF(ISBLANK($C480),"",IF($BD480&lt;&gt;Constants!$B$6,"",IF($AU480="-&gt;",2,1)))</f>
        <v/>
      </c>
      <c r="BW480" s="135" t="str">
        <f aca="false">IF(ISBLANK($C480),"",IF($BD480&lt;&gt;Constants!$B$6,"",IF($AU480="-&gt;",$AW480,$AN480)))</f>
        <v/>
      </c>
      <c r="BX480" s="135" t="str">
        <f aca="false">IF(ISBLANK($C480),"",IF($BD480&lt;&gt;Constants!$B$6,"",IF($AU480="-&gt;",$AX480,$AO480)))</f>
        <v/>
      </c>
      <c r="BY480" s="135" t="str">
        <f aca="false">IF(ISBLANK($C480),"",IF($BD480&lt;&gt;Constants!$B$6,"",IF($AU480="-&gt;",$AY480,$AP480)))</f>
        <v/>
      </c>
      <c r="BZ480" s="135" t="str">
        <f aca="false">IF(ISBLANK($C480),"",IF($BD480&lt;&gt;Constants!$B$6,"",IF($AU480="-&gt;",$AZ480,$AQ480)+$BG480))</f>
        <v/>
      </c>
      <c r="CA480" s="136" t="str">
        <f aca="false">IF(ISBLANK($C480),"",IF($BD480&lt;&gt;Constants!$B$6,$BD480,$BH480))</f>
        <v/>
      </c>
      <c r="CB480" s="137" t="str">
        <f aca="false">IF(ISBLANK($C480),"",$BE480)</f>
        <v/>
      </c>
      <c r="CC480" s="138" t="str">
        <f aca="false">IF(ISBLANK($C480),"",$BS480)</f>
        <v/>
      </c>
      <c r="CD480" s="138" t="str">
        <f aca="false">IF(ISBLANK($C480),"",$BR480)</f>
        <v/>
      </c>
      <c r="CE480" s="139" t="str">
        <f aca="false">IF(ISBLANK($C480),"",IF($CD480=Constants!$B$9,COUNTA($C$9:$C$508)+2,IF($CD480=Constants!$B$8,COUNTA($C$9:$C$508)+1,IF($CD480=Constants!$B$7,COUNTA($C$9:$C$508),$CD480))))</f>
        <v/>
      </c>
      <c r="CF480" s="9"/>
      <c r="CG480" s="140" t="n">
        <f aca="false">IF(OR(ISNUMBER($CD480),$CD480=Constants!$B$9,$CD480=Constants!$B$7,$CD480=Constants!$B$8),1,0)</f>
        <v>0</v>
      </c>
      <c r="CH480" s="140" t="n">
        <v>472</v>
      </c>
      <c r="CI480" s="140" t="str">
        <f aca="false">IF(ISBLANK($C480),"",IF(ISNUMBER($CE480),$CE480+ROW($B480)/1000,""))</f>
        <v/>
      </c>
      <c r="CJ480" s="140" t="str">
        <f aca="false">IF(ISNUMBER($CI480),RANK($CI480,$CI$9:$CI$508,1),"")</f>
        <v/>
      </c>
      <c r="CK480" s="140" t="str">
        <f aca="false">IF(ISBLANK($C480),"",$B480)</f>
        <v/>
      </c>
      <c r="CL480" s="140" t="str">
        <f aca="false">IF(ISBLANK($C480),"",$C480)</f>
        <v/>
      </c>
      <c r="CM480" s="140" t="str">
        <f aca="false">IF(ISBLANK($C480),"",$D480)</f>
        <v/>
      </c>
      <c r="CN480" s="141" t="str">
        <f aca="false">$CB480</f>
        <v/>
      </c>
      <c r="CO480" s="142" t="str">
        <f aca="false">$CA480</f>
        <v/>
      </c>
      <c r="CP480" s="140" t="str">
        <f aca="false">IF(ISBLANK($C480),"",$CD480)</f>
        <v/>
      </c>
      <c r="CQ480" s="143" t="str">
        <f aca="false">IF($CH480&gt;$CG$8,"",VLOOKUP($CH480,$CJ$9:$CP$508,7,FALSE()))</f>
        <v/>
      </c>
      <c r="CR480" s="144" t="str">
        <f aca="false">IF($CH480&gt;$CG$8,"",VLOOKUP($CH480,$CJ$9:$CP$508,2,FALSE()))</f>
        <v/>
      </c>
      <c r="CS480" s="144" t="str">
        <f aca="false">IF($CH480&gt;$CG$8,"",VLOOKUP($CH480,$CJ$9:$CP$508,3,FALSE()))</f>
        <v/>
      </c>
      <c r="CT480" s="144" t="str">
        <f aca="false">IF($CH480&gt;$CG$8,"",VLOOKUP($CH480,$CJ$9:$CP$508,4,FALSE()))</f>
        <v/>
      </c>
      <c r="CU480" s="144" t="str">
        <f aca="false">IF($CH480&gt;$CG$8,"",VLOOKUP($CH480,$CJ$9:$CP$508,5,FALSE()))</f>
        <v/>
      </c>
      <c r="CV480" s="145" t="str">
        <f aca="false">IF($CH480&gt;$CG$8,"",VLOOKUP($CH480,$CJ$9:$CP$508,6,FALSE()))</f>
        <v/>
      </c>
      <c r="CW480" s="71"/>
    </row>
    <row r="481" customFormat="false" ht="15.75" hidden="false" customHeight="false" outlineLevel="0" collapsed="false">
      <c r="A481" s="9"/>
      <c r="B481" s="150"/>
      <c r="C481" s="151"/>
      <c r="D481" s="152"/>
      <c r="E481" s="170"/>
      <c r="F481" s="154"/>
      <c r="G481" s="155"/>
      <c r="H481" s="171"/>
      <c r="I481" s="159"/>
      <c r="J481" s="120"/>
      <c r="K481" s="121"/>
      <c r="L481" s="122"/>
      <c r="M481" s="158"/>
      <c r="N481" s="159"/>
      <c r="O481" s="159"/>
      <c r="P481" s="120"/>
      <c r="Q481" s="122"/>
      <c r="R481" s="122"/>
      <c r="S481" s="158"/>
      <c r="T481" s="159"/>
      <c r="U481" s="126"/>
      <c r="V481" s="127"/>
      <c r="W481" s="127" t="str">
        <f aca="false">IF(ISBLANK($C481),"",IF(E481=Constants!$B$2,TRUE(),IF(E481=Constants!$B$3,FALSE(),TRUE())))</f>
        <v/>
      </c>
      <c r="X481" s="127" t="str">
        <f aca="false">IF(ISBLANK($C481),"",IF(F481=Constants!$B$2,TRUE(),IF(F481=Constants!$B$3,FALSE(),TRUE())))</f>
        <v/>
      </c>
      <c r="Y481" s="127" t="str">
        <f aca="false">IF(ISBLANK($C481),"",IF(G481=Constants!$B$2,TRUE(),IF(G481=Constants!$B$3,FALSE(),TRUE())))</f>
        <v/>
      </c>
      <c r="Z481" s="127" t="str">
        <f aca="false">IF(ISBLANK($C481),"",IF(H481=Constants!$B$2,TRUE(),IF(H481=Constants!$B$3,FALSE(),TRUE())))</f>
        <v/>
      </c>
      <c r="AA481" s="127" t="str">
        <f aca="false">IF(ISBLANK($C481),"",IF(I481=Constants!$B$2,TRUE(),IF(I481=Constants!$B$3,FALSE(),TRUE())))</f>
        <v/>
      </c>
      <c r="AB481" s="127" t="str">
        <f aca="false">IF(ISBLANK($C481),"",IF(J481=Constants!$B$4,TRUE(),IF(J481=Constants!$B$5,FALSE(),COUNTA(K481:M481)&gt;0)))</f>
        <v/>
      </c>
      <c r="AC481" s="128" t="str">
        <f aca="false">IF(ISBLANK($C481),"",IF(ISNUMBER(K481),IF(K481&gt;=0,K481,""),""))</f>
        <v/>
      </c>
      <c r="AD481" s="129" t="str">
        <f aca="false">IF(ISBLANK($C481),"",IF(ISNUMBER(L481),IF(L481&gt;=0,L481,""),""))</f>
        <v/>
      </c>
      <c r="AE481" s="127" t="str">
        <f aca="false">IF(ISBLANK($C481),"",IF(ISNUMBER(M481),IF(M481&gt;=0,MIN(M481,Constants!$B$22),""),""))</f>
        <v/>
      </c>
      <c r="AF481" s="127" t="str">
        <f aca="false">IF(ISBLANK($C481),"",IF(N481=Constants!$B$2,TRUE(),IF(N481=Constants!$B$3,FALSE(),TRUE())))</f>
        <v/>
      </c>
      <c r="AG481" s="127" t="str">
        <f aca="false">IF(ISBLANK($C481),"",IF(O481=Constants!$B$2,TRUE(),IF(O481=Constants!$B$3,FALSE(),TRUE())))</f>
        <v/>
      </c>
      <c r="AH481" s="127" t="str">
        <f aca="false">IF(ISBLANK($C481),"",IF(P481=Constants!$B$4,TRUE(),IF(P481=Constants!$B$5,FALSE(),COUNTA(Q481:S481)&gt;0)))</f>
        <v/>
      </c>
      <c r="AI481" s="128" t="str">
        <f aca="false">IF(ISBLANK($C481),"",IF(ISNUMBER(Q481),IF(Q481&gt;=0,Q481,""),""))</f>
        <v/>
      </c>
      <c r="AJ481" s="129" t="str">
        <f aca="false">IF(ISBLANK($C481),"",IF(ISNUMBER(R481),IF(R481&gt;=0,R481,""),""))</f>
        <v/>
      </c>
      <c r="AK481" s="127" t="str">
        <f aca="false">IF(ISBLANK($C481),"",IF(ISNUMBER(S481),IF(S481&gt;=0,MIN(S481,Constants!$B$22),""),""))</f>
        <v/>
      </c>
      <c r="AL481" s="127" t="str">
        <f aca="false">IF(ISBLANK($C481),"",IF(T481=Constants!$B$2,TRUE(),IF(T481=Constants!$B$3,FALSE(),FALSE())))</f>
        <v/>
      </c>
      <c r="AM481" s="126" t="str">
        <f aca="false">IF(ISBLANK($C481),"",AND($AB481,OR($AC481="",$AD481="",AND(NOT(ISBLANK($M481)),$AE481=""))))</f>
        <v/>
      </c>
      <c r="AN481" s="129" t="str">
        <f aca="false">IF($BD481&lt;&gt;Constants!$B$6,"",IF($AB481,Constants!$B$17*$AD481,Constants!$B$18))</f>
        <v/>
      </c>
      <c r="AO481" s="130" t="str">
        <f aca="false">IF($BD481&lt;&gt;Constants!$B$6,"",Constants!$B$19*IF($AB481,$AC481,0))</f>
        <v/>
      </c>
      <c r="AP481" s="130" t="str">
        <f aca="false">IF($BD481&lt;&gt;Constants!$B$6,"",IF(AND($AB481,ISNUMBER($AE481)),Constants!$B$20*(Constants!$B$21-$AE481),0))</f>
        <v/>
      </c>
      <c r="AQ481" s="130" t="str">
        <f aca="false">IF($BD481&lt;&gt;Constants!$B$6,"",IF($AA481,0,Constants!$B$12)+IF($Z481,0,Constants!$B$13)+IF($Y481,0,Constants!$B$14))</f>
        <v/>
      </c>
      <c r="AR481" s="131" t="str">
        <f aca="false">IF($BD481&lt;&gt;Constants!$B$6,"",Constants!$B$16+SUM($AN481:$AQ481))</f>
        <v/>
      </c>
      <c r="AS481" s="130" t="str">
        <f aca="false">IF($BD481&lt;&gt;Constants!$B$6,"",IF($AB481,$AD481,""))</f>
        <v/>
      </c>
      <c r="AT481" s="132" t="str">
        <f aca="false">IF($BD481&lt;&gt;Constants!$B$6,"",$AO481)</f>
        <v/>
      </c>
      <c r="AU481" s="127" t="str">
        <f aca="false">IF($BD481&lt;&gt;Constants!$B$6,"",IF(OR($BA481&lt;$AR481,AND($BA481=$AR481,OR(AND(ISNUMBER($BB481),OR(NOT(ISNUMBER($AS481)),$BB481&lt;$AS481)),AND(OR(AND($BB481="",$AS481=""),AND(ISNUMBER($BB481),ISNUMBER($AS481),$BB481=$AS481)),$BC481&lt;$AT481)))),"-&gt;","&lt;-"))</f>
        <v/>
      </c>
      <c r="AV481" s="126" t="str">
        <f aca="false">IF(ISBLANK($C481),"",AND($AH481,OR($AI481="",$AJ481="",AND(NOT(ISBLANK($S481)),$AK481=""))))</f>
        <v/>
      </c>
      <c r="AW481" s="129" t="str">
        <f aca="false">IF($BD481&lt;&gt;Constants!$B$6,"",IF($AH481,Constants!$B$17*$AJ481,Constants!$B$18))</f>
        <v/>
      </c>
      <c r="AX481" s="130" t="str">
        <f aca="false">IF($BD481&lt;&gt;Constants!$B$6,"",Constants!$B$19*IF($AH481,$AI481,0))</f>
        <v/>
      </c>
      <c r="AY481" s="130" t="str">
        <f aca="false">IF($BD481&lt;&gt;Constants!$B$6,"",IF(AND($AH481,ISNUMBER($AK481)),Constants!$B$20*(Constants!$B$21-$AK481),0))</f>
        <v/>
      </c>
      <c r="AZ481" s="130" t="str">
        <f aca="false">IF($BD481&lt;&gt;Constants!$B$6,"",IF($AG481,0,Constants!$B$12)+IF($AF481,0,Constants!$B$13)+IF($Y481,0,Constants!$B$14))</f>
        <v/>
      </c>
      <c r="BA481" s="131" t="str">
        <f aca="false">IF($BD481&lt;&gt;Constants!$B$6,"",Constants!$B$16+SUM($AW481:$AZ481))</f>
        <v/>
      </c>
      <c r="BB481" s="130" t="str">
        <f aca="false">IF($BD481&lt;&gt;Constants!$B$6,"",IF($AH481,$AJ481,""))</f>
        <v/>
      </c>
      <c r="BC481" s="132" t="str">
        <f aca="false">IF($BD481&lt;&gt;Constants!$B$6,"",$AX481)</f>
        <v/>
      </c>
      <c r="BD481" s="127" t="str">
        <f aca="false">IF(ISBLANK($C481),"",IF($AL481,Constants!$B$9,IF(COUNTA($E481:$T481)=0,Constants!$B$8,IF(NOT($X481),Constants!$B$7,IF(OR($AM481,$AV481),Constants!$B$10,Constants!$B$6)))))</f>
        <v/>
      </c>
      <c r="BE481" s="127" t="str">
        <f aca="false">IF(ISBLANK($C481),"",IF($BD481&lt;&gt;Constants!$B$6,$BD481,Constants!$B$11))</f>
        <v/>
      </c>
      <c r="BF481" s="130" t="str">
        <f aca="false">IF($BD481&lt;&gt;Constants!$B$6,"",IF($AU481="-&gt;",$BA481,$AR481))</f>
        <v/>
      </c>
      <c r="BG481" s="130" t="str">
        <f aca="false">IF($BD481&lt;&gt;Constants!$B$6,"",IF($W481,0,Constants!$B$15))</f>
        <v/>
      </c>
      <c r="BH481" s="130" t="str">
        <f aca="false">IF(ISBLANK($C481),"",IF($BD481&lt;&gt;Constants!$B$6,$BD481,SUM($BF481:$BG481)))</f>
        <v/>
      </c>
      <c r="BI481" s="127" t="str">
        <f aca="false">IF(ISBLANK($C481),"",IF($BD481&lt;&gt;Constants!$B$6,$BD481,RANK($BH481,$BH$9:$BH$508,1)))</f>
        <v/>
      </c>
      <c r="BJ481" s="130" t="str">
        <f aca="false">IF($BD481&lt;&gt;Constants!$B$6,"",IF($AU481="-&gt;",$BB481,$AS481))</f>
        <v/>
      </c>
      <c r="BK481" s="127" t="str">
        <f aca="false">IF(ISBLANK($C481),"",IF($BD481&lt;&gt;Constants!$B$6,$BD481,IF(ISNUMBER($BJ481),RANK($BJ481,$BJ$9:$BJ$508,1),COUNT($BJ$9:$BJ$508)+1)))</f>
        <v/>
      </c>
      <c r="BL481" s="130" t="str">
        <f aca="false">IF($BD481&lt;&gt;Constants!$B$6,"",IF($AU481="-&gt;",$BC481,$AT481))</f>
        <v/>
      </c>
      <c r="BM481" s="127" t="str">
        <f aca="false">IF(ISBLANK($C481),"",IF($BD481&lt;&gt;Constants!$B$6,$BD481,IF(ISNUMBER($BL481),RANK($BL481,$BL$9:$BL$508,1),COUNT($BL$9:$BL$508)+1)))</f>
        <v/>
      </c>
      <c r="BN481" s="130" t="str">
        <f aca="false">IF($BD481&lt;&gt;Constants!$B$6,"",IF($AU481="-&gt;",$AS481,$BB481))</f>
        <v/>
      </c>
      <c r="BO481" s="127" t="str">
        <f aca="false">IF(ISBLANK($C481),"",IF($BD481&lt;&gt;Constants!$B$6,$BD481,IF(ISNUMBER($BN481),RANK($BN481,$BN$9:$BN$508,1),COUNT($BN$9:$BN$508)+1)))</f>
        <v/>
      </c>
      <c r="BP481" s="130" t="str">
        <f aca="false">IF($BD481&lt;&gt;Constants!$B$6,"",IF($AU481="-&gt;",$AT481,$BC481))</f>
        <v/>
      </c>
      <c r="BQ481" s="127" t="str">
        <f aca="false">IF(ISBLANK($C481),"",IF($BD481&lt;&gt;Constants!$B$6,$BD481,IF(ISNUMBER($BP481),RANK($BP481,$BP$9:$BP$508,1),COUNT($BP$9:$BP$508)+1)))</f>
        <v/>
      </c>
      <c r="BR481" s="127" t="str">
        <f aca="false">IF(ISBLANK($C481),"",IF($BD481&lt;&gt;Constants!$B$6,$BD481,COUNTIFS($BI$9:$BI$508,"&lt;"&amp;$BI481)+COUNTIFS($BI$9:$BI$508,$BI481,$BK$9:$BK$508,"&lt;"&amp;$BK481)+COUNTIFS($BI$9:$BI$508,$BI481,$BK$9:$BK$508,$BK481,$BM$9:$BM$508,"&lt;"&amp;$BM481)+COUNTIFS($BI$9:$BI$508,$BI481,$BK$9:$BK$508,$BK481,$BM$9:$BM$508,$BM481,$BO$9:$BO$508,"&lt;"&amp;$BO481)+COUNTIFS($BI$9:$BI$508,$BI481,$BK$9:$BK$508,$BK481,$BM$9:$BM$508,$BM481,$BO$9:$BO$508,$BO481,$BQ$9:$BQ$508,"&lt;"&amp;$BQ481)+1))</f>
        <v/>
      </c>
      <c r="BS481" s="127" t="str">
        <f aca="false">IF(ISBLANK($C481),"",IF($BD481&lt;&gt;Constants!$B$6,$BD481,$BI481-$BR481))</f>
        <v/>
      </c>
      <c r="BT481" s="133"/>
      <c r="BU481" s="134"/>
      <c r="BV481" s="134" t="str">
        <f aca="false">IF(ISBLANK($C481),"",IF($BD481&lt;&gt;Constants!$B$6,"",IF($AU481="-&gt;",2,1)))</f>
        <v/>
      </c>
      <c r="BW481" s="135" t="str">
        <f aca="false">IF(ISBLANK($C481),"",IF($BD481&lt;&gt;Constants!$B$6,"",IF($AU481="-&gt;",$AW481,$AN481)))</f>
        <v/>
      </c>
      <c r="BX481" s="135" t="str">
        <f aca="false">IF(ISBLANK($C481),"",IF($BD481&lt;&gt;Constants!$B$6,"",IF($AU481="-&gt;",$AX481,$AO481)))</f>
        <v/>
      </c>
      <c r="BY481" s="135" t="str">
        <f aca="false">IF(ISBLANK($C481),"",IF($BD481&lt;&gt;Constants!$B$6,"",IF($AU481="-&gt;",$AY481,$AP481)))</f>
        <v/>
      </c>
      <c r="BZ481" s="135" t="str">
        <f aca="false">IF(ISBLANK($C481),"",IF($BD481&lt;&gt;Constants!$B$6,"",IF($AU481="-&gt;",$AZ481,$AQ481)+$BG481))</f>
        <v/>
      </c>
      <c r="CA481" s="136" t="str">
        <f aca="false">IF(ISBLANK($C481),"",IF($BD481&lt;&gt;Constants!$B$6,$BD481,$BH481))</f>
        <v/>
      </c>
      <c r="CB481" s="137" t="str">
        <f aca="false">IF(ISBLANK($C481),"",$BE481)</f>
        <v/>
      </c>
      <c r="CC481" s="138" t="str">
        <f aca="false">IF(ISBLANK($C481),"",$BS481)</f>
        <v/>
      </c>
      <c r="CD481" s="138" t="str">
        <f aca="false">IF(ISBLANK($C481),"",$BR481)</f>
        <v/>
      </c>
      <c r="CE481" s="139" t="str">
        <f aca="false">IF(ISBLANK($C481),"",IF($CD481=Constants!$B$9,COUNTA($C$9:$C$508)+2,IF($CD481=Constants!$B$8,COUNTA($C$9:$C$508)+1,IF($CD481=Constants!$B$7,COUNTA($C$9:$C$508),$CD481))))</f>
        <v/>
      </c>
      <c r="CF481" s="9"/>
      <c r="CG481" s="140" t="n">
        <f aca="false">IF(OR(ISNUMBER($CD481),$CD481=Constants!$B$9,$CD481=Constants!$B$7,$CD481=Constants!$B$8),1,0)</f>
        <v>0</v>
      </c>
      <c r="CH481" s="140" t="n">
        <v>473</v>
      </c>
      <c r="CI481" s="140" t="str">
        <f aca="false">IF(ISBLANK($C481),"",IF(ISNUMBER($CE481),$CE481+ROW($B481)/1000,""))</f>
        <v/>
      </c>
      <c r="CJ481" s="140" t="str">
        <f aca="false">IF(ISNUMBER($CI481),RANK($CI481,$CI$9:$CI$508,1),"")</f>
        <v/>
      </c>
      <c r="CK481" s="140" t="str">
        <f aca="false">IF(ISBLANK($C481),"",$B481)</f>
        <v/>
      </c>
      <c r="CL481" s="140" t="str">
        <f aca="false">IF(ISBLANK($C481),"",$C481)</f>
        <v/>
      </c>
      <c r="CM481" s="140" t="str">
        <f aca="false">IF(ISBLANK($C481),"",$D481)</f>
        <v/>
      </c>
      <c r="CN481" s="141" t="str">
        <f aca="false">$CB481</f>
        <v/>
      </c>
      <c r="CO481" s="142" t="str">
        <f aca="false">$CA481</f>
        <v/>
      </c>
      <c r="CP481" s="140" t="str">
        <f aca="false">IF(ISBLANK($C481),"",$CD481)</f>
        <v/>
      </c>
      <c r="CQ481" s="143" t="str">
        <f aca="false">IF($CH481&gt;$CG$8,"",VLOOKUP($CH481,$CJ$9:$CP$508,7,FALSE()))</f>
        <v/>
      </c>
      <c r="CR481" s="144" t="str">
        <f aca="false">IF($CH481&gt;$CG$8,"",VLOOKUP($CH481,$CJ$9:$CP$508,2,FALSE()))</f>
        <v/>
      </c>
      <c r="CS481" s="144" t="str">
        <f aca="false">IF($CH481&gt;$CG$8,"",VLOOKUP($CH481,$CJ$9:$CP$508,3,FALSE()))</f>
        <v/>
      </c>
      <c r="CT481" s="144" t="str">
        <f aca="false">IF($CH481&gt;$CG$8,"",VLOOKUP($CH481,$CJ$9:$CP$508,4,FALSE()))</f>
        <v/>
      </c>
      <c r="CU481" s="144" t="str">
        <f aca="false">IF($CH481&gt;$CG$8,"",VLOOKUP($CH481,$CJ$9:$CP$508,5,FALSE()))</f>
        <v/>
      </c>
      <c r="CV481" s="145" t="str">
        <f aca="false">IF($CH481&gt;$CG$8,"",VLOOKUP($CH481,$CJ$9:$CP$508,6,FALSE()))</f>
        <v/>
      </c>
      <c r="CW481" s="71"/>
    </row>
    <row r="482" customFormat="false" ht="15.75" hidden="false" customHeight="false" outlineLevel="0" collapsed="false">
      <c r="A482" s="9"/>
      <c r="B482" s="150"/>
      <c r="C482" s="151"/>
      <c r="D482" s="152"/>
      <c r="E482" s="170"/>
      <c r="F482" s="154"/>
      <c r="G482" s="155"/>
      <c r="H482" s="171"/>
      <c r="I482" s="159"/>
      <c r="J482" s="120"/>
      <c r="K482" s="121"/>
      <c r="L482" s="122"/>
      <c r="M482" s="158"/>
      <c r="N482" s="159"/>
      <c r="O482" s="159"/>
      <c r="P482" s="120"/>
      <c r="Q482" s="122"/>
      <c r="R482" s="122"/>
      <c r="S482" s="158"/>
      <c r="T482" s="159"/>
      <c r="U482" s="126"/>
      <c r="V482" s="127"/>
      <c r="W482" s="127" t="str">
        <f aca="false">IF(ISBLANK($C482),"",IF(E482=Constants!$B$2,TRUE(),IF(E482=Constants!$B$3,FALSE(),TRUE())))</f>
        <v/>
      </c>
      <c r="X482" s="127" t="str">
        <f aca="false">IF(ISBLANK($C482),"",IF(F482=Constants!$B$2,TRUE(),IF(F482=Constants!$B$3,FALSE(),TRUE())))</f>
        <v/>
      </c>
      <c r="Y482" s="127" t="str">
        <f aca="false">IF(ISBLANK($C482),"",IF(G482=Constants!$B$2,TRUE(),IF(G482=Constants!$B$3,FALSE(),TRUE())))</f>
        <v/>
      </c>
      <c r="Z482" s="127" t="str">
        <f aca="false">IF(ISBLANK($C482),"",IF(H482=Constants!$B$2,TRUE(),IF(H482=Constants!$B$3,FALSE(),TRUE())))</f>
        <v/>
      </c>
      <c r="AA482" s="127" t="str">
        <f aca="false">IF(ISBLANK($C482),"",IF(I482=Constants!$B$2,TRUE(),IF(I482=Constants!$B$3,FALSE(),TRUE())))</f>
        <v/>
      </c>
      <c r="AB482" s="127" t="str">
        <f aca="false">IF(ISBLANK($C482),"",IF(J482=Constants!$B$4,TRUE(),IF(J482=Constants!$B$5,FALSE(),COUNTA(K482:M482)&gt;0)))</f>
        <v/>
      </c>
      <c r="AC482" s="128" t="str">
        <f aca="false">IF(ISBLANK($C482),"",IF(ISNUMBER(K482),IF(K482&gt;=0,K482,""),""))</f>
        <v/>
      </c>
      <c r="AD482" s="129" t="str">
        <f aca="false">IF(ISBLANK($C482),"",IF(ISNUMBER(L482),IF(L482&gt;=0,L482,""),""))</f>
        <v/>
      </c>
      <c r="AE482" s="127" t="str">
        <f aca="false">IF(ISBLANK($C482),"",IF(ISNUMBER(M482),IF(M482&gt;=0,MIN(M482,Constants!$B$22),""),""))</f>
        <v/>
      </c>
      <c r="AF482" s="127" t="str">
        <f aca="false">IF(ISBLANK($C482),"",IF(N482=Constants!$B$2,TRUE(),IF(N482=Constants!$B$3,FALSE(),TRUE())))</f>
        <v/>
      </c>
      <c r="AG482" s="127" t="str">
        <f aca="false">IF(ISBLANK($C482),"",IF(O482=Constants!$B$2,TRUE(),IF(O482=Constants!$B$3,FALSE(),TRUE())))</f>
        <v/>
      </c>
      <c r="AH482" s="127" t="str">
        <f aca="false">IF(ISBLANK($C482),"",IF(P482=Constants!$B$4,TRUE(),IF(P482=Constants!$B$5,FALSE(),COUNTA(Q482:S482)&gt;0)))</f>
        <v/>
      </c>
      <c r="AI482" s="128" t="str">
        <f aca="false">IF(ISBLANK($C482),"",IF(ISNUMBER(Q482),IF(Q482&gt;=0,Q482,""),""))</f>
        <v/>
      </c>
      <c r="AJ482" s="129" t="str">
        <f aca="false">IF(ISBLANK($C482),"",IF(ISNUMBER(R482),IF(R482&gt;=0,R482,""),""))</f>
        <v/>
      </c>
      <c r="AK482" s="127" t="str">
        <f aca="false">IF(ISBLANK($C482),"",IF(ISNUMBER(S482),IF(S482&gt;=0,MIN(S482,Constants!$B$22),""),""))</f>
        <v/>
      </c>
      <c r="AL482" s="127" t="str">
        <f aca="false">IF(ISBLANK($C482),"",IF(T482=Constants!$B$2,TRUE(),IF(T482=Constants!$B$3,FALSE(),FALSE())))</f>
        <v/>
      </c>
      <c r="AM482" s="126" t="str">
        <f aca="false">IF(ISBLANK($C482),"",AND($AB482,OR($AC482="",$AD482="",AND(NOT(ISBLANK($M482)),$AE482=""))))</f>
        <v/>
      </c>
      <c r="AN482" s="129" t="str">
        <f aca="false">IF($BD482&lt;&gt;Constants!$B$6,"",IF($AB482,Constants!$B$17*$AD482,Constants!$B$18))</f>
        <v/>
      </c>
      <c r="AO482" s="130" t="str">
        <f aca="false">IF($BD482&lt;&gt;Constants!$B$6,"",Constants!$B$19*IF($AB482,$AC482,0))</f>
        <v/>
      </c>
      <c r="AP482" s="130" t="str">
        <f aca="false">IF($BD482&lt;&gt;Constants!$B$6,"",IF(AND($AB482,ISNUMBER($AE482)),Constants!$B$20*(Constants!$B$21-$AE482),0))</f>
        <v/>
      </c>
      <c r="AQ482" s="130" t="str">
        <f aca="false">IF($BD482&lt;&gt;Constants!$B$6,"",IF($AA482,0,Constants!$B$12)+IF($Z482,0,Constants!$B$13)+IF($Y482,0,Constants!$B$14))</f>
        <v/>
      </c>
      <c r="AR482" s="131" t="str">
        <f aca="false">IF($BD482&lt;&gt;Constants!$B$6,"",Constants!$B$16+SUM($AN482:$AQ482))</f>
        <v/>
      </c>
      <c r="AS482" s="130" t="str">
        <f aca="false">IF($BD482&lt;&gt;Constants!$B$6,"",IF($AB482,$AD482,""))</f>
        <v/>
      </c>
      <c r="AT482" s="132" t="str">
        <f aca="false">IF($BD482&lt;&gt;Constants!$B$6,"",$AO482)</f>
        <v/>
      </c>
      <c r="AU482" s="127" t="str">
        <f aca="false">IF($BD482&lt;&gt;Constants!$B$6,"",IF(OR($BA482&lt;$AR482,AND($BA482=$AR482,OR(AND(ISNUMBER($BB482),OR(NOT(ISNUMBER($AS482)),$BB482&lt;$AS482)),AND(OR(AND($BB482="",$AS482=""),AND(ISNUMBER($BB482),ISNUMBER($AS482),$BB482=$AS482)),$BC482&lt;$AT482)))),"-&gt;","&lt;-"))</f>
        <v/>
      </c>
      <c r="AV482" s="126" t="str">
        <f aca="false">IF(ISBLANK($C482),"",AND($AH482,OR($AI482="",$AJ482="",AND(NOT(ISBLANK($S482)),$AK482=""))))</f>
        <v/>
      </c>
      <c r="AW482" s="129" t="str">
        <f aca="false">IF($BD482&lt;&gt;Constants!$B$6,"",IF($AH482,Constants!$B$17*$AJ482,Constants!$B$18))</f>
        <v/>
      </c>
      <c r="AX482" s="130" t="str">
        <f aca="false">IF($BD482&lt;&gt;Constants!$B$6,"",Constants!$B$19*IF($AH482,$AI482,0))</f>
        <v/>
      </c>
      <c r="AY482" s="130" t="str">
        <f aca="false">IF($BD482&lt;&gt;Constants!$B$6,"",IF(AND($AH482,ISNUMBER($AK482)),Constants!$B$20*(Constants!$B$21-$AK482),0))</f>
        <v/>
      </c>
      <c r="AZ482" s="130" t="str">
        <f aca="false">IF($BD482&lt;&gt;Constants!$B$6,"",IF($AG482,0,Constants!$B$12)+IF($AF482,0,Constants!$B$13)+IF($Y482,0,Constants!$B$14))</f>
        <v/>
      </c>
      <c r="BA482" s="131" t="str">
        <f aca="false">IF($BD482&lt;&gt;Constants!$B$6,"",Constants!$B$16+SUM($AW482:$AZ482))</f>
        <v/>
      </c>
      <c r="BB482" s="130" t="str">
        <f aca="false">IF($BD482&lt;&gt;Constants!$B$6,"",IF($AH482,$AJ482,""))</f>
        <v/>
      </c>
      <c r="BC482" s="132" t="str">
        <f aca="false">IF($BD482&lt;&gt;Constants!$B$6,"",$AX482)</f>
        <v/>
      </c>
      <c r="BD482" s="127" t="str">
        <f aca="false">IF(ISBLANK($C482),"",IF($AL482,Constants!$B$9,IF(COUNTA($E482:$T482)=0,Constants!$B$8,IF(NOT($X482),Constants!$B$7,IF(OR($AM482,$AV482),Constants!$B$10,Constants!$B$6)))))</f>
        <v/>
      </c>
      <c r="BE482" s="127" t="str">
        <f aca="false">IF(ISBLANK($C482),"",IF($BD482&lt;&gt;Constants!$B$6,$BD482,Constants!$B$11))</f>
        <v/>
      </c>
      <c r="BF482" s="130" t="str">
        <f aca="false">IF($BD482&lt;&gt;Constants!$B$6,"",IF($AU482="-&gt;",$BA482,$AR482))</f>
        <v/>
      </c>
      <c r="BG482" s="130" t="str">
        <f aca="false">IF($BD482&lt;&gt;Constants!$B$6,"",IF($W482,0,Constants!$B$15))</f>
        <v/>
      </c>
      <c r="BH482" s="130" t="str">
        <f aca="false">IF(ISBLANK($C482),"",IF($BD482&lt;&gt;Constants!$B$6,$BD482,SUM($BF482:$BG482)))</f>
        <v/>
      </c>
      <c r="BI482" s="127" t="str">
        <f aca="false">IF(ISBLANK($C482),"",IF($BD482&lt;&gt;Constants!$B$6,$BD482,RANK($BH482,$BH$9:$BH$508,1)))</f>
        <v/>
      </c>
      <c r="BJ482" s="130" t="str">
        <f aca="false">IF($BD482&lt;&gt;Constants!$B$6,"",IF($AU482="-&gt;",$BB482,$AS482))</f>
        <v/>
      </c>
      <c r="BK482" s="127" t="str">
        <f aca="false">IF(ISBLANK($C482),"",IF($BD482&lt;&gt;Constants!$B$6,$BD482,IF(ISNUMBER($BJ482),RANK($BJ482,$BJ$9:$BJ$508,1),COUNT($BJ$9:$BJ$508)+1)))</f>
        <v/>
      </c>
      <c r="BL482" s="130" t="str">
        <f aca="false">IF($BD482&lt;&gt;Constants!$B$6,"",IF($AU482="-&gt;",$BC482,$AT482))</f>
        <v/>
      </c>
      <c r="BM482" s="127" t="str">
        <f aca="false">IF(ISBLANK($C482),"",IF($BD482&lt;&gt;Constants!$B$6,$BD482,IF(ISNUMBER($BL482),RANK($BL482,$BL$9:$BL$508,1),COUNT($BL$9:$BL$508)+1)))</f>
        <v/>
      </c>
      <c r="BN482" s="130" t="str">
        <f aca="false">IF($BD482&lt;&gt;Constants!$B$6,"",IF($AU482="-&gt;",$AS482,$BB482))</f>
        <v/>
      </c>
      <c r="BO482" s="127" t="str">
        <f aca="false">IF(ISBLANK($C482),"",IF($BD482&lt;&gt;Constants!$B$6,$BD482,IF(ISNUMBER($BN482),RANK($BN482,$BN$9:$BN$508,1),COUNT($BN$9:$BN$508)+1)))</f>
        <v/>
      </c>
      <c r="BP482" s="130" t="str">
        <f aca="false">IF($BD482&lt;&gt;Constants!$B$6,"",IF($AU482="-&gt;",$AT482,$BC482))</f>
        <v/>
      </c>
      <c r="BQ482" s="127" t="str">
        <f aca="false">IF(ISBLANK($C482),"",IF($BD482&lt;&gt;Constants!$B$6,$BD482,IF(ISNUMBER($BP482),RANK($BP482,$BP$9:$BP$508,1),COUNT($BP$9:$BP$508)+1)))</f>
        <v/>
      </c>
      <c r="BR482" s="127" t="str">
        <f aca="false">IF(ISBLANK($C482),"",IF($BD482&lt;&gt;Constants!$B$6,$BD482,COUNTIFS($BI$9:$BI$508,"&lt;"&amp;$BI482)+COUNTIFS($BI$9:$BI$508,$BI482,$BK$9:$BK$508,"&lt;"&amp;$BK482)+COUNTIFS($BI$9:$BI$508,$BI482,$BK$9:$BK$508,$BK482,$BM$9:$BM$508,"&lt;"&amp;$BM482)+COUNTIFS($BI$9:$BI$508,$BI482,$BK$9:$BK$508,$BK482,$BM$9:$BM$508,$BM482,$BO$9:$BO$508,"&lt;"&amp;$BO482)+COUNTIFS($BI$9:$BI$508,$BI482,$BK$9:$BK$508,$BK482,$BM$9:$BM$508,$BM482,$BO$9:$BO$508,$BO482,$BQ$9:$BQ$508,"&lt;"&amp;$BQ482)+1))</f>
        <v/>
      </c>
      <c r="BS482" s="127" t="str">
        <f aca="false">IF(ISBLANK($C482),"",IF($BD482&lt;&gt;Constants!$B$6,$BD482,$BI482-$BR482))</f>
        <v/>
      </c>
      <c r="BT482" s="133"/>
      <c r="BU482" s="134"/>
      <c r="BV482" s="134" t="str">
        <f aca="false">IF(ISBLANK($C482),"",IF($BD482&lt;&gt;Constants!$B$6,"",IF($AU482="-&gt;",2,1)))</f>
        <v/>
      </c>
      <c r="BW482" s="135" t="str">
        <f aca="false">IF(ISBLANK($C482),"",IF($BD482&lt;&gt;Constants!$B$6,"",IF($AU482="-&gt;",$AW482,$AN482)))</f>
        <v/>
      </c>
      <c r="BX482" s="135" t="str">
        <f aca="false">IF(ISBLANK($C482),"",IF($BD482&lt;&gt;Constants!$B$6,"",IF($AU482="-&gt;",$AX482,$AO482)))</f>
        <v/>
      </c>
      <c r="BY482" s="135" t="str">
        <f aca="false">IF(ISBLANK($C482),"",IF($BD482&lt;&gt;Constants!$B$6,"",IF($AU482="-&gt;",$AY482,$AP482)))</f>
        <v/>
      </c>
      <c r="BZ482" s="135" t="str">
        <f aca="false">IF(ISBLANK($C482),"",IF($BD482&lt;&gt;Constants!$B$6,"",IF($AU482="-&gt;",$AZ482,$AQ482)+$BG482))</f>
        <v/>
      </c>
      <c r="CA482" s="136" t="str">
        <f aca="false">IF(ISBLANK($C482),"",IF($BD482&lt;&gt;Constants!$B$6,$BD482,$BH482))</f>
        <v/>
      </c>
      <c r="CB482" s="137" t="str">
        <f aca="false">IF(ISBLANK($C482),"",$BE482)</f>
        <v/>
      </c>
      <c r="CC482" s="138" t="str">
        <f aca="false">IF(ISBLANK($C482),"",$BS482)</f>
        <v/>
      </c>
      <c r="CD482" s="138" t="str">
        <f aca="false">IF(ISBLANK($C482),"",$BR482)</f>
        <v/>
      </c>
      <c r="CE482" s="139" t="str">
        <f aca="false">IF(ISBLANK($C482),"",IF($CD482=Constants!$B$9,COUNTA($C$9:$C$508)+2,IF($CD482=Constants!$B$8,COUNTA($C$9:$C$508)+1,IF($CD482=Constants!$B$7,COUNTA($C$9:$C$508),$CD482))))</f>
        <v/>
      </c>
      <c r="CF482" s="9"/>
      <c r="CG482" s="140" t="n">
        <f aca="false">IF(OR(ISNUMBER($CD482),$CD482=Constants!$B$9,$CD482=Constants!$B$7,$CD482=Constants!$B$8),1,0)</f>
        <v>0</v>
      </c>
      <c r="CH482" s="140" t="n">
        <v>474</v>
      </c>
      <c r="CI482" s="140" t="str">
        <f aca="false">IF(ISBLANK($C482),"",IF(ISNUMBER($CE482),$CE482+ROW($B482)/1000,""))</f>
        <v/>
      </c>
      <c r="CJ482" s="140" t="str">
        <f aca="false">IF(ISNUMBER($CI482),RANK($CI482,$CI$9:$CI$508,1),"")</f>
        <v/>
      </c>
      <c r="CK482" s="140" t="str">
        <f aca="false">IF(ISBLANK($C482),"",$B482)</f>
        <v/>
      </c>
      <c r="CL482" s="140" t="str">
        <f aca="false">IF(ISBLANK($C482),"",$C482)</f>
        <v/>
      </c>
      <c r="CM482" s="140" t="str">
        <f aca="false">IF(ISBLANK($C482),"",$D482)</f>
        <v/>
      </c>
      <c r="CN482" s="141" t="str">
        <f aca="false">$CB482</f>
        <v/>
      </c>
      <c r="CO482" s="142" t="str">
        <f aca="false">$CA482</f>
        <v/>
      </c>
      <c r="CP482" s="140" t="str">
        <f aca="false">IF(ISBLANK($C482),"",$CD482)</f>
        <v/>
      </c>
      <c r="CQ482" s="143" t="str">
        <f aca="false">IF($CH482&gt;$CG$8,"",VLOOKUP($CH482,$CJ$9:$CP$508,7,FALSE()))</f>
        <v/>
      </c>
      <c r="CR482" s="144" t="str">
        <f aca="false">IF($CH482&gt;$CG$8,"",VLOOKUP($CH482,$CJ$9:$CP$508,2,FALSE()))</f>
        <v/>
      </c>
      <c r="CS482" s="144" t="str">
        <f aca="false">IF($CH482&gt;$CG$8,"",VLOOKUP($CH482,$CJ$9:$CP$508,3,FALSE()))</f>
        <v/>
      </c>
      <c r="CT482" s="144" t="str">
        <f aca="false">IF($CH482&gt;$CG$8,"",VLOOKUP($CH482,$CJ$9:$CP$508,4,FALSE()))</f>
        <v/>
      </c>
      <c r="CU482" s="144" t="str">
        <f aca="false">IF($CH482&gt;$CG$8,"",VLOOKUP($CH482,$CJ$9:$CP$508,5,FALSE()))</f>
        <v/>
      </c>
      <c r="CV482" s="145" t="str">
        <f aca="false">IF($CH482&gt;$CG$8,"",VLOOKUP($CH482,$CJ$9:$CP$508,6,FALSE()))</f>
        <v/>
      </c>
      <c r="CW482" s="71"/>
    </row>
    <row r="483" customFormat="false" ht="15.75" hidden="false" customHeight="false" outlineLevel="0" collapsed="false">
      <c r="A483" s="9"/>
      <c r="B483" s="72"/>
      <c r="C483" s="73"/>
      <c r="D483" s="160"/>
      <c r="E483" s="168"/>
      <c r="F483" s="162"/>
      <c r="G483" s="163"/>
      <c r="H483" s="169"/>
      <c r="I483" s="167"/>
      <c r="J483" s="80"/>
      <c r="K483" s="81"/>
      <c r="L483" s="82"/>
      <c r="M483" s="166"/>
      <c r="N483" s="167"/>
      <c r="O483" s="167"/>
      <c r="P483" s="80"/>
      <c r="Q483" s="82"/>
      <c r="R483" s="82"/>
      <c r="S483" s="166"/>
      <c r="T483" s="167"/>
      <c r="U483" s="86"/>
      <c r="V483" s="87"/>
      <c r="W483" s="87" t="str">
        <f aca="false">IF(ISBLANK($C483),"",IF(E483=Constants!$B$2,TRUE(),IF(E483=Constants!$B$3,FALSE(),TRUE())))</f>
        <v/>
      </c>
      <c r="X483" s="87" t="str">
        <f aca="false">IF(ISBLANK($C483),"",IF(F483=Constants!$B$2,TRUE(),IF(F483=Constants!$B$3,FALSE(),TRUE())))</f>
        <v/>
      </c>
      <c r="Y483" s="87" t="str">
        <f aca="false">IF(ISBLANK($C483),"",IF(G483=Constants!$B$2,TRUE(),IF(G483=Constants!$B$3,FALSE(),TRUE())))</f>
        <v/>
      </c>
      <c r="Z483" s="87" t="str">
        <f aca="false">IF(ISBLANK($C483),"",IF(H483=Constants!$B$2,TRUE(),IF(H483=Constants!$B$3,FALSE(),TRUE())))</f>
        <v/>
      </c>
      <c r="AA483" s="87" t="str">
        <f aca="false">IF(ISBLANK($C483),"",IF(I483=Constants!$B$2,TRUE(),IF(I483=Constants!$B$3,FALSE(),TRUE())))</f>
        <v/>
      </c>
      <c r="AB483" s="87" t="str">
        <f aca="false">IF(ISBLANK($C483),"",IF(J483=Constants!$B$4,TRUE(),IF(J483=Constants!$B$5,FALSE(),COUNTA(K483:M483)&gt;0)))</f>
        <v/>
      </c>
      <c r="AC483" s="88" t="str">
        <f aca="false">IF(ISBLANK($C483),"",IF(ISNUMBER(K483),IF(K483&gt;=0,K483,""),""))</f>
        <v/>
      </c>
      <c r="AD483" s="89" t="str">
        <f aca="false">IF(ISBLANK($C483),"",IF(ISNUMBER(L483),IF(L483&gt;=0,L483,""),""))</f>
        <v/>
      </c>
      <c r="AE483" s="87" t="str">
        <f aca="false">IF(ISBLANK($C483),"",IF(ISNUMBER(M483),IF(M483&gt;=0,MIN(M483,Constants!$B$22),""),""))</f>
        <v/>
      </c>
      <c r="AF483" s="87" t="str">
        <f aca="false">IF(ISBLANK($C483),"",IF(N483=Constants!$B$2,TRUE(),IF(N483=Constants!$B$3,FALSE(),TRUE())))</f>
        <v/>
      </c>
      <c r="AG483" s="87" t="str">
        <f aca="false">IF(ISBLANK($C483),"",IF(O483=Constants!$B$2,TRUE(),IF(O483=Constants!$B$3,FALSE(),TRUE())))</f>
        <v/>
      </c>
      <c r="AH483" s="87" t="str">
        <f aca="false">IF(ISBLANK($C483),"",IF(P483=Constants!$B$4,TRUE(),IF(P483=Constants!$B$5,FALSE(),COUNTA(Q483:S483)&gt;0)))</f>
        <v/>
      </c>
      <c r="AI483" s="88" t="str">
        <f aca="false">IF(ISBLANK($C483),"",IF(ISNUMBER(Q483),IF(Q483&gt;=0,Q483,""),""))</f>
        <v/>
      </c>
      <c r="AJ483" s="89" t="str">
        <f aca="false">IF(ISBLANK($C483),"",IF(ISNUMBER(R483),IF(R483&gt;=0,R483,""),""))</f>
        <v/>
      </c>
      <c r="AK483" s="87" t="str">
        <f aca="false">IF(ISBLANK($C483),"",IF(ISNUMBER(S483),IF(S483&gt;=0,MIN(S483,Constants!$B$22),""),""))</f>
        <v/>
      </c>
      <c r="AL483" s="87" t="str">
        <f aca="false">IF(ISBLANK($C483),"",IF(T483=Constants!$B$2,TRUE(),IF(T483=Constants!$B$3,FALSE(),FALSE())))</f>
        <v/>
      </c>
      <c r="AM483" s="86" t="str">
        <f aca="false">IF(ISBLANK($C483),"",AND($AB483,OR($AC483="",$AD483="",AND(NOT(ISBLANK($M483)),$AE483=""))))</f>
        <v/>
      </c>
      <c r="AN483" s="89" t="str">
        <f aca="false">IF($BD483&lt;&gt;Constants!$B$6,"",IF($AB483,Constants!$B$17*$AD483,Constants!$B$18))</f>
        <v/>
      </c>
      <c r="AO483" s="91" t="str">
        <f aca="false">IF($BD483&lt;&gt;Constants!$B$6,"",Constants!$B$19*IF($AB483,$AC483,0))</f>
        <v/>
      </c>
      <c r="AP483" s="91" t="str">
        <f aca="false">IF($BD483&lt;&gt;Constants!$B$6,"",IF(AND($AB483,ISNUMBER($AE483)),Constants!$B$20*(Constants!$B$21-$AE483),0))</f>
        <v/>
      </c>
      <c r="AQ483" s="91" t="str">
        <f aca="false">IF($BD483&lt;&gt;Constants!$B$6,"",IF($AA483,0,Constants!$B$12)+IF($Z483,0,Constants!$B$13)+IF($Y483,0,Constants!$B$14))</f>
        <v/>
      </c>
      <c r="AR483" s="92" t="str">
        <f aca="false">IF($BD483&lt;&gt;Constants!$B$6,"",Constants!$B$16+SUM($AN483:$AQ483))</f>
        <v/>
      </c>
      <c r="AS483" s="91" t="str">
        <f aca="false">IF($BD483&lt;&gt;Constants!$B$6,"",IF($AB483,$AD483,""))</f>
        <v/>
      </c>
      <c r="AT483" s="93" t="str">
        <f aca="false">IF($BD483&lt;&gt;Constants!$B$6,"",$AO483)</f>
        <v/>
      </c>
      <c r="AU483" s="87" t="str">
        <f aca="false">IF($BD483&lt;&gt;Constants!$B$6,"",IF(OR($BA483&lt;$AR483,AND($BA483=$AR483,OR(AND(ISNUMBER($BB483),OR(NOT(ISNUMBER($AS483)),$BB483&lt;$AS483)),AND(OR(AND($BB483="",$AS483=""),AND(ISNUMBER($BB483),ISNUMBER($AS483),$BB483=$AS483)),$BC483&lt;$AT483)))),"-&gt;","&lt;-"))</f>
        <v/>
      </c>
      <c r="AV483" s="86" t="str">
        <f aca="false">IF(ISBLANK($C483),"",AND($AH483,OR($AI483="",$AJ483="",AND(NOT(ISBLANK($S483)),$AK483=""))))</f>
        <v/>
      </c>
      <c r="AW483" s="89" t="str">
        <f aca="false">IF($BD483&lt;&gt;Constants!$B$6,"",IF($AH483,Constants!$B$17*$AJ483,Constants!$B$18))</f>
        <v/>
      </c>
      <c r="AX483" s="91" t="str">
        <f aca="false">IF($BD483&lt;&gt;Constants!$B$6,"",Constants!$B$19*IF($AH483,$AI483,0))</f>
        <v/>
      </c>
      <c r="AY483" s="91" t="str">
        <f aca="false">IF($BD483&lt;&gt;Constants!$B$6,"",IF(AND($AH483,ISNUMBER($AK483)),Constants!$B$20*(Constants!$B$21-$AK483),0))</f>
        <v/>
      </c>
      <c r="AZ483" s="91" t="str">
        <f aca="false">IF($BD483&lt;&gt;Constants!$B$6,"",IF($AG483,0,Constants!$B$12)+IF($AF483,0,Constants!$B$13)+IF($Y483,0,Constants!$B$14))</f>
        <v/>
      </c>
      <c r="BA483" s="92" t="str">
        <f aca="false">IF($BD483&lt;&gt;Constants!$B$6,"",Constants!$B$16+SUM($AW483:$AZ483))</f>
        <v/>
      </c>
      <c r="BB483" s="91" t="str">
        <f aca="false">IF($BD483&lt;&gt;Constants!$B$6,"",IF($AH483,$AJ483,""))</f>
        <v/>
      </c>
      <c r="BC483" s="93" t="str">
        <f aca="false">IF($BD483&lt;&gt;Constants!$B$6,"",$AX483)</f>
        <v/>
      </c>
      <c r="BD483" s="87" t="str">
        <f aca="false">IF(ISBLANK($C483),"",IF($AL483,Constants!$B$9,IF(COUNTA($E483:$T483)=0,Constants!$B$8,IF(NOT($X483),Constants!$B$7,IF(OR($AM483,$AV483),Constants!$B$10,Constants!$B$6)))))</f>
        <v/>
      </c>
      <c r="BE483" s="87" t="str">
        <f aca="false">IF(ISBLANK($C483),"",IF($BD483&lt;&gt;Constants!$B$6,$BD483,Constants!$B$11))</f>
        <v/>
      </c>
      <c r="BF483" s="91" t="str">
        <f aca="false">IF($BD483&lt;&gt;Constants!$B$6,"",IF($AU483="-&gt;",$BA483,$AR483))</f>
        <v/>
      </c>
      <c r="BG483" s="91" t="str">
        <f aca="false">IF($BD483&lt;&gt;Constants!$B$6,"",IF($W483,0,Constants!$B$15))</f>
        <v/>
      </c>
      <c r="BH483" s="91" t="str">
        <f aca="false">IF(ISBLANK($C483),"",IF($BD483&lt;&gt;Constants!$B$6,$BD483,SUM($BF483:$BG483)))</f>
        <v/>
      </c>
      <c r="BI483" s="87" t="str">
        <f aca="false">IF(ISBLANK($C483),"",IF($BD483&lt;&gt;Constants!$B$6,$BD483,RANK($BH483,$BH$9:$BH$508,1)))</f>
        <v/>
      </c>
      <c r="BJ483" s="91" t="str">
        <f aca="false">IF($BD483&lt;&gt;Constants!$B$6,"",IF($AU483="-&gt;",$BB483,$AS483))</f>
        <v/>
      </c>
      <c r="BK483" s="87" t="str">
        <f aca="false">IF(ISBLANK($C483),"",IF($BD483&lt;&gt;Constants!$B$6,$BD483,IF(ISNUMBER($BJ483),RANK($BJ483,$BJ$9:$BJ$508,1),COUNT($BJ$9:$BJ$508)+1)))</f>
        <v/>
      </c>
      <c r="BL483" s="91" t="str">
        <f aca="false">IF($BD483&lt;&gt;Constants!$B$6,"",IF($AU483="-&gt;",$BC483,$AT483))</f>
        <v/>
      </c>
      <c r="BM483" s="87" t="str">
        <f aca="false">IF(ISBLANK($C483),"",IF($BD483&lt;&gt;Constants!$B$6,$BD483,IF(ISNUMBER($BL483),RANK($BL483,$BL$9:$BL$508,1),COUNT($BL$9:$BL$508)+1)))</f>
        <v/>
      </c>
      <c r="BN483" s="91" t="str">
        <f aca="false">IF($BD483&lt;&gt;Constants!$B$6,"",IF($AU483="-&gt;",$AS483,$BB483))</f>
        <v/>
      </c>
      <c r="BO483" s="87" t="str">
        <f aca="false">IF(ISBLANK($C483),"",IF($BD483&lt;&gt;Constants!$B$6,$BD483,IF(ISNUMBER($BN483),RANK($BN483,$BN$9:$BN$508,1),COUNT($BN$9:$BN$508)+1)))</f>
        <v/>
      </c>
      <c r="BP483" s="91" t="str">
        <f aca="false">IF($BD483&lt;&gt;Constants!$B$6,"",IF($AU483="-&gt;",$AT483,$BC483))</f>
        <v/>
      </c>
      <c r="BQ483" s="87" t="str">
        <f aca="false">IF(ISBLANK($C483),"",IF($BD483&lt;&gt;Constants!$B$6,$BD483,IF(ISNUMBER($BP483),RANK($BP483,$BP$9:$BP$508,1),COUNT($BP$9:$BP$508)+1)))</f>
        <v/>
      </c>
      <c r="BR483" s="87" t="str">
        <f aca="false">IF(ISBLANK($C483),"",IF($BD483&lt;&gt;Constants!$B$6,$BD483,COUNTIFS($BI$9:$BI$508,"&lt;"&amp;$BI483)+COUNTIFS($BI$9:$BI$508,$BI483,$BK$9:$BK$508,"&lt;"&amp;$BK483)+COUNTIFS($BI$9:$BI$508,$BI483,$BK$9:$BK$508,$BK483,$BM$9:$BM$508,"&lt;"&amp;$BM483)+COUNTIFS($BI$9:$BI$508,$BI483,$BK$9:$BK$508,$BK483,$BM$9:$BM$508,$BM483,$BO$9:$BO$508,"&lt;"&amp;$BO483)+COUNTIFS($BI$9:$BI$508,$BI483,$BK$9:$BK$508,$BK483,$BM$9:$BM$508,$BM483,$BO$9:$BO$508,$BO483,$BQ$9:$BQ$508,"&lt;"&amp;$BQ483)+1))</f>
        <v/>
      </c>
      <c r="BS483" s="87" t="str">
        <f aca="false">IF(ISBLANK($C483),"",IF($BD483&lt;&gt;Constants!$B$6,$BD483,$BI483-$BR483))</f>
        <v/>
      </c>
      <c r="BT483" s="94"/>
      <c r="BU483" s="95"/>
      <c r="BV483" s="95" t="str">
        <f aca="false">IF(ISBLANK($C483),"",IF($BD483&lt;&gt;Constants!$B$6,"",IF($AU483="-&gt;",2,1)))</f>
        <v/>
      </c>
      <c r="BW483" s="96" t="str">
        <f aca="false">IF(ISBLANK($C483),"",IF($BD483&lt;&gt;Constants!$B$6,"",IF($AU483="-&gt;",$AW483,$AN483)))</f>
        <v/>
      </c>
      <c r="BX483" s="96" t="str">
        <f aca="false">IF(ISBLANK($C483),"",IF($BD483&lt;&gt;Constants!$B$6,"",IF($AU483="-&gt;",$AX483,$AO483)))</f>
        <v/>
      </c>
      <c r="BY483" s="96" t="str">
        <f aca="false">IF(ISBLANK($C483),"",IF($BD483&lt;&gt;Constants!$B$6,"",IF($AU483="-&gt;",$AY483,$AP483)))</f>
        <v/>
      </c>
      <c r="BZ483" s="96" t="str">
        <f aca="false">IF(ISBLANK($C483),"",IF($BD483&lt;&gt;Constants!$B$6,"",IF($AU483="-&gt;",$AZ483,$AQ483)+$BG483))</f>
        <v/>
      </c>
      <c r="CA483" s="97" t="str">
        <f aca="false">IF(ISBLANK($C483),"",IF($BD483&lt;&gt;Constants!$B$6,$BD483,$BH483))</f>
        <v/>
      </c>
      <c r="CB483" s="98" t="str">
        <f aca="false">IF(ISBLANK($C483),"",$BE483)</f>
        <v/>
      </c>
      <c r="CC483" s="99" t="str">
        <f aca="false">IF(ISBLANK($C483),"",$BS483)</f>
        <v/>
      </c>
      <c r="CD483" s="99" t="str">
        <f aca="false">IF(ISBLANK($C483),"",$BR483)</f>
        <v/>
      </c>
      <c r="CE483" s="100" t="str">
        <f aca="false">IF(ISBLANK($C483),"",IF($CD483=Constants!$B$9,COUNTA($C$9:$C$508)+2,IF($CD483=Constants!$B$8,COUNTA($C$9:$C$508)+1,IF($CD483=Constants!$B$7,COUNTA($C$9:$C$508),$CD483))))</f>
        <v/>
      </c>
      <c r="CF483" s="9"/>
      <c r="CG483" s="101" t="n">
        <f aca="false">IF(OR(ISNUMBER($CD483),$CD483=Constants!$B$9,$CD483=Constants!$B$7,$CD483=Constants!$B$8),1,0)</f>
        <v>0</v>
      </c>
      <c r="CH483" s="101" t="n">
        <v>475</v>
      </c>
      <c r="CI483" s="101" t="str">
        <f aca="false">IF(ISBLANK($C483),"",IF(ISNUMBER($CE483),$CE483+ROW($B483)/1000,""))</f>
        <v/>
      </c>
      <c r="CJ483" s="101" t="str">
        <f aca="false">IF(ISNUMBER($CI483),RANK($CI483,$CI$9:$CI$508,1),"")</f>
        <v/>
      </c>
      <c r="CK483" s="101" t="str">
        <f aca="false">IF(ISBLANK($C483),"",$B483)</f>
        <v/>
      </c>
      <c r="CL483" s="101" t="str">
        <f aca="false">IF(ISBLANK($C483),"",$C483)</f>
        <v/>
      </c>
      <c r="CM483" s="101" t="str">
        <f aca="false">IF(ISBLANK($C483),"",$D483)</f>
        <v/>
      </c>
      <c r="CN483" s="102" t="str">
        <f aca="false">$CB483</f>
        <v/>
      </c>
      <c r="CO483" s="103" t="str">
        <f aca="false">$CA483</f>
        <v/>
      </c>
      <c r="CP483" s="101" t="str">
        <f aca="false">IF(ISBLANK($C483),"",$CD483)</f>
        <v/>
      </c>
      <c r="CQ483" s="104" t="str">
        <f aca="false">IF($CH483&gt;$CG$8,"",VLOOKUP($CH483,$CJ$9:$CP$508,7,FALSE()))</f>
        <v/>
      </c>
      <c r="CR483" s="105" t="str">
        <f aca="false">IF($CH483&gt;$CG$8,"",VLOOKUP($CH483,$CJ$9:$CP$508,2,FALSE()))</f>
        <v/>
      </c>
      <c r="CS483" s="105" t="str">
        <f aca="false">IF($CH483&gt;$CG$8,"",VLOOKUP($CH483,$CJ$9:$CP$508,3,FALSE()))</f>
        <v/>
      </c>
      <c r="CT483" s="105" t="str">
        <f aca="false">IF($CH483&gt;$CG$8,"",VLOOKUP($CH483,$CJ$9:$CP$508,4,FALSE()))</f>
        <v/>
      </c>
      <c r="CU483" s="105" t="str">
        <f aca="false">IF($CH483&gt;$CG$8,"",VLOOKUP($CH483,$CJ$9:$CP$508,5,FALSE()))</f>
        <v/>
      </c>
      <c r="CV483" s="106" t="str">
        <f aca="false">IF($CH483&gt;$CG$8,"",VLOOKUP($CH483,$CJ$9:$CP$508,6,FALSE()))</f>
        <v/>
      </c>
      <c r="CW483" s="71"/>
    </row>
    <row r="484" customFormat="false" ht="15.75" hidden="false" customHeight="false" outlineLevel="0" collapsed="false">
      <c r="A484" s="9"/>
      <c r="B484" s="72"/>
      <c r="C484" s="73"/>
      <c r="D484" s="160"/>
      <c r="E484" s="168"/>
      <c r="F484" s="162"/>
      <c r="G484" s="163"/>
      <c r="H484" s="169"/>
      <c r="I484" s="167"/>
      <c r="J484" s="80"/>
      <c r="K484" s="81"/>
      <c r="L484" s="82"/>
      <c r="M484" s="166"/>
      <c r="N484" s="167"/>
      <c r="O484" s="167"/>
      <c r="P484" s="80"/>
      <c r="Q484" s="82"/>
      <c r="R484" s="82"/>
      <c r="S484" s="166"/>
      <c r="T484" s="167"/>
      <c r="U484" s="86"/>
      <c r="V484" s="87"/>
      <c r="W484" s="87" t="str">
        <f aca="false">IF(ISBLANK($C484),"",IF(E484=Constants!$B$2,TRUE(),IF(E484=Constants!$B$3,FALSE(),TRUE())))</f>
        <v/>
      </c>
      <c r="X484" s="87" t="str">
        <f aca="false">IF(ISBLANK($C484),"",IF(F484=Constants!$B$2,TRUE(),IF(F484=Constants!$B$3,FALSE(),TRUE())))</f>
        <v/>
      </c>
      <c r="Y484" s="87" t="str">
        <f aca="false">IF(ISBLANK($C484),"",IF(G484=Constants!$B$2,TRUE(),IF(G484=Constants!$B$3,FALSE(),TRUE())))</f>
        <v/>
      </c>
      <c r="Z484" s="87" t="str">
        <f aca="false">IF(ISBLANK($C484),"",IF(H484=Constants!$B$2,TRUE(),IF(H484=Constants!$B$3,FALSE(),TRUE())))</f>
        <v/>
      </c>
      <c r="AA484" s="87" t="str">
        <f aca="false">IF(ISBLANK($C484),"",IF(I484=Constants!$B$2,TRUE(),IF(I484=Constants!$B$3,FALSE(),TRUE())))</f>
        <v/>
      </c>
      <c r="AB484" s="87" t="str">
        <f aca="false">IF(ISBLANK($C484),"",IF(J484=Constants!$B$4,TRUE(),IF(J484=Constants!$B$5,FALSE(),COUNTA(K484:M484)&gt;0)))</f>
        <v/>
      </c>
      <c r="AC484" s="88" t="str">
        <f aca="false">IF(ISBLANK($C484),"",IF(ISNUMBER(K484),IF(K484&gt;=0,K484,""),""))</f>
        <v/>
      </c>
      <c r="AD484" s="89" t="str">
        <f aca="false">IF(ISBLANK($C484),"",IF(ISNUMBER(L484),IF(L484&gt;=0,L484,""),""))</f>
        <v/>
      </c>
      <c r="AE484" s="87" t="str">
        <f aca="false">IF(ISBLANK($C484),"",IF(ISNUMBER(M484),IF(M484&gt;=0,MIN(M484,Constants!$B$22),""),""))</f>
        <v/>
      </c>
      <c r="AF484" s="87" t="str">
        <f aca="false">IF(ISBLANK($C484),"",IF(N484=Constants!$B$2,TRUE(),IF(N484=Constants!$B$3,FALSE(),TRUE())))</f>
        <v/>
      </c>
      <c r="AG484" s="87" t="str">
        <f aca="false">IF(ISBLANK($C484),"",IF(O484=Constants!$B$2,TRUE(),IF(O484=Constants!$B$3,FALSE(),TRUE())))</f>
        <v/>
      </c>
      <c r="AH484" s="87" t="str">
        <f aca="false">IF(ISBLANK($C484),"",IF(P484=Constants!$B$4,TRUE(),IF(P484=Constants!$B$5,FALSE(),COUNTA(Q484:S484)&gt;0)))</f>
        <v/>
      </c>
      <c r="AI484" s="88" t="str">
        <f aca="false">IF(ISBLANK($C484),"",IF(ISNUMBER(Q484),IF(Q484&gt;=0,Q484,""),""))</f>
        <v/>
      </c>
      <c r="AJ484" s="89" t="str">
        <f aca="false">IF(ISBLANK($C484),"",IF(ISNUMBER(R484),IF(R484&gt;=0,R484,""),""))</f>
        <v/>
      </c>
      <c r="AK484" s="87" t="str">
        <f aca="false">IF(ISBLANK($C484),"",IF(ISNUMBER(S484),IF(S484&gt;=0,MIN(S484,Constants!$B$22),""),""))</f>
        <v/>
      </c>
      <c r="AL484" s="87" t="str">
        <f aca="false">IF(ISBLANK($C484),"",IF(T484=Constants!$B$2,TRUE(),IF(T484=Constants!$B$3,FALSE(),FALSE())))</f>
        <v/>
      </c>
      <c r="AM484" s="86" t="str">
        <f aca="false">IF(ISBLANK($C484),"",AND($AB484,OR($AC484="",$AD484="",AND(NOT(ISBLANK($M484)),$AE484=""))))</f>
        <v/>
      </c>
      <c r="AN484" s="89" t="str">
        <f aca="false">IF($BD484&lt;&gt;Constants!$B$6,"",IF($AB484,Constants!$B$17*$AD484,Constants!$B$18))</f>
        <v/>
      </c>
      <c r="AO484" s="91" t="str">
        <f aca="false">IF($BD484&lt;&gt;Constants!$B$6,"",Constants!$B$19*IF($AB484,$AC484,0))</f>
        <v/>
      </c>
      <c r="AP484" s="91" t="str">
        <f aca="false">IF($BD484&lt;&gt;Constants!$B$6,"",IF(AND($AB484,ISNUMBER($AE484)),Constants!$B$20*(Constants!$B$21-$AE484),0))</f>
        <v/>
      </c>
      <c r="AQ484" s="91" t="str">
        <f aca="false">IF($BD484&lt;&gt;Constants!$B$6,"",IF($AA484,0,Constants!$B$12)+IF($Z484,0,Constants!$B$13)+IF($Y484,0,Constants!$B$14))</f>
        <v/>
      </c>
      <c r="AR484" s="92" t="str">
        <f aca="false">IF($BD484&lt;&gt;Constants!$B$6,"",Constants!$B$16+SUM($AN484:$AQ484))</f>
        <v/>
      </c>
      <c r="AS484" s="91" t="str">
        <f aca="false">IF($BD484&lt;&gt;Constants!$B$6,"",IF($AB484,$AD484,""))</f>
        <v/>
      </c>
      <c r="AT484" s="93" t="str">
        <f aca="false">IF($BD484&lt;&gt;Constants!$B$6,"",$AO484)</f>
        <v/>
      </c>
      <c r="AU484" s="87" t="str">
        <f aca="false">IF($BD484&lt;&gt;Constants!$B$6,"",IF(OR($BA484&lt;$AR484,AND($BA484=$AR484,OR(AND(ISNUMBER($BB484),OR(NOT(ISNUMBER($AS484)),$BB484&lt;$AS484)),AND(OR(AND($BB484="",$AS484=""),AND(ISNUMBER($BB484),ISNUMBER($AS484),$BB484=$AS484)),$BC484&lt;$AT484)))),"-&gt;","&lt;-"))</f>
        <v/>
      </c>
      <c r="AV484" s="86" t="str">
        <f aca="false">IF(ISBLANK($C484),"",AND($AH484,OR($AI484="",$AJ484="",AND(NOT(ISBLANK($S484)),$AK484=""))))</f>
        <v/>
      </c>
      <c r="AW484" s="89" t="str">
        <f aca="false">IF($BD484&lt;&gt;Constants!$B$6,"",IF($AH484,Constants!$B$17*$AJ484,Constants!$B$18))</f>
        <v/>
      </c>
      <c r="AX484" s="91" t="str">
        <f aca="false">IF($BD484&lt;&gt;Constants!$B$6,"",Constants!$B$19*IF($AH484,$AI484,0))</f>
        <v/>
      </c>
      <c r="AY484" s="91" t="str">
        <f aca="false">IF($BD484&lt;&gt;Constants!$B$6,"",IF(AND($AH484,ISNUMBER($AK484)),Constants!$B$20*(Constants!$B$21-$AK484),0))</f>
        <v/>
      </c>
      <c r="AZ484" s="91" t="str">
        <f aca="false">IF($BD484&lt;&gt;Constants!$B$6,"",IF($AG484,0,Constants!$B$12)+IF($AF484,0,Constants!$B$13)+IF($Y484,0,Constants!$B$14))</f>
        <v/>
      </c>
      <c r="BA484" s="92" t="str">
        <f aca="false">IF($BD484&lt;&gt;Constants!$B$6,"",Constants!$B$16+SUM($AW484:$AZ484))</f>
        <v/>
      </c>
      <c r="BB484" s="91" t="str">
        <f aca="false">IF($BD484&lt;&gt;Constants!$B$6,"",IF($AH484,$AJ484,""))</f>
        <v/>
      </c>
      <c r="BC484" s="93" t="str">
        <f aca="false">IF($BD484&lt;&gt;Constants!$B$6,"",$AX484)</f>
        <v/>
      </c>
      <c r="BD484" s="87" t="str">
        <f aca="false">IF(ISBLANK($C484),"",IF($AL484,Constants!$B$9,IF(COUNTA($E484:$T484)=0,Constants!$B$8,IF(NOT($X484),Constants!$B$7,IF(OR($AM484,$AV484),Constants!$B$10,Constants!$B$6)))))</f>
        <v/>
      </c>
      <c r="BE484" s="87" t="str">
        <f aca="false">IF(ISBLANK($C484),"",IF($BD484&lt;&gt;Constants!$B$6,$BD484,Constants!$B$11))</f>
        <v/>
      </c>
      <c r="BF484" s="91" t="str">
        <f aca="false">IF($BD484&lt;&gt;Constants!$B$6,"",IF($AU484="-&gt;",$BA484,$AR484))</f>
        <v/>
      </c>
      <c r="BG484" s="91" t="str">
        <f aca="false">IF($BD484&lt;&gt;Constants!$B$6,"",IF($W484,0,Constants!$B$15))</f>
        <v/>
      </c>
      <c r="BH484" s="91" t="str">
        <f aca="false">IF(ISBLANK($C484),"",IF($BD484&lt;&gt;Constants!$B$6,$BD484,SUM($BF484:$BG484)))</f>
        <v/>
      </c>
      <c r="BI484" s="87" t="str">
        <f aca="false">IF(ISBLANK($C484),"",IF($BD484&lt;&gt;Constants!$B$6,$BD484,RANK($BH484,$BH$9:$BH$508,1)))</f>
        <v/>
      </c>
      <c r="BJ484" s="91" t="str">
        <f aca="false">IF($BD484&lt;&gt;Constants!$B$6,"",IF($AU484="-&gt;",$BB484,$AS484))</f>
        <v/>
      </c>
      <c r="BK484" s="87" t="str">
        <f aca="false">IF(ISBLANK($C484),"",IF($BD484&lt;&gt;Constants!$B$6,$BD484,IF(ISNUMBER($BJ484),RANK($BJ484,$BJ$9:$BJ$508,1),COUNT($BJ$9:$BJ$508)+1)))</f>
        <v/>
      </c>
      <c r="BL484" s="91" t="str">
        <f aca="false">IF($BD484&lt;&gt;Constants!$B$6,"",IF($AU484="-&gt;",$BC484,$AT484))</f>
        <v/>
      </c>
      <c r="BM484" s="87" t="str">
        <f aca="false">IF(ISBLANK($C484),"",IF($BD484&lt;&gt;Constants!$B$6,$BD484,IF(ISNUMBER($BL484),RANK($BL484,$BL$9:$BL$508,1),COUNT($BL$9:$BL$508)+1)))</f>
        <v/>
      </c>
      <c r="BN484" s="91" t="str">
        <f aca="false">IF($BD484&lt;&gt;Constants!$B$6,"",IF($AU484="-&gt;",$AS484,$BB484))</f>
        <v/>
      </c>
      <c r="BO484" s="87" t="str">
        <f aca="false">IF(ISBLANK($C484),"",IF($BD484&lt;&gt;Constants!$B$6,$BD484,IF(ISNUMBER($BN484),RANK($BN484,$BN$9:$BN$508,1),COUNT($BN$9:$BN$508)+1)))</f>
        <v/>
      </c>
      <c r="BP484" s="91" t="str">
        <f aca="false">IF($BD484&lt;&gt;Constants!$B$6,"",IF($AU484="-&gt;",$AT484,$BC484))</f>
        <v/>
      </c>
      <c r="BQ484" s="87" t="str">
        <f aca="false">IF(ISBLANK($C484),"",IF($BD484&lt;&gt;Constants!$B$6,$BD484,IF(ISNUMBER($BP484),RANK($BP484,$BP$9:$BP$508,1),COUNT($BP$9:$BP$508)+1)))</f>
        <v/>
      </c>
      <c r="BR484" s="87" t="str">
        <f aca="false">IF(ISBLANK($C484),"",IF($BD484&lt;&gt;Constants!$B$6,$BD484,COUNTIFS($BI$9:$BI$508,"&lt;"&amp;$BI484)+COUNTIFS($BI$9:$BI$508,$BI484,$BK$9:$BK$508,"&lt;"&amp;$BK484)+COUNTIFS($BI$9:$BI$508,$BI484,$BK$9:$BK$508,$BK484,$BM$9:$BM$508,"&lt;"&amp;$BM484)+COUNTIFS($BI$9:$BI$508,$BI484,$BK$9:$BK$508,$BK484,$BM$9:$BM$508,$BM484,$BO$9:$BO$508,"&lt;"&amp;$BO484)+COUNTIFS($BI$9:$BI$508,$BI484,$BK$9:$BK$508,$BK484,$BM$9:$BM$508,$BM484,$BO$9:$BO$508,$BO484,$BQ$9:$BQ$508,"&lt;"&amp;$BQ484)+1))</f>
        <v/>
      </c>
      <c r="BS484" s="87" t="str">
        <f aca="false">IF(ISBLANK($C484),"",IF($BD484&lt;&gt;Constants!$B$6,$BD484,$BI484-$BR484))</f>
        <v/>
      </c>
      <c r="BT484" s="94"/>
      <c r="BU484" s="95"/>
      <c r="BV484" s="95" t="str">
        <f aca="false">IF(ISBLANK($C484),"",IF($BD484&lt;&gt;Constants!$B$6,"",IF($AU484="-&gt;",2,1)))</f>
        <v/>
      </c>
      <c r="BW484" s="96" t="str">
        <f aca="false">IF(ISBLANK($C484),"",IF($BD484&lt;&gt;Constants!$B$6,"",IF($AU484="-&gt;",$AW484,$AN484)))</f>
        <v/>
      </c>
      <c r="BX484" s="96" t="str">
        <f aca="false">IF(ISBLANK($C484),"",IF($BD484&lt;&gt;Constants!$B$6,"",IF($AU484="-&gt;",$AX484,$AO484)))</f>
        <v/>
      </c>
      <c r="BY484" s="96" t="str">
        <f aca="false">IF(ISBLANK($C484),"",IF($BD484&lt;&gt;Constants!$B$6,"",IF($AU484="-&gt;",$AY484,$AP484)))</f>
        <v/>
      </c>
      <c r="BZ484" s="96" t="str">
        <f aca="false">IF(ISBLANK($C484),"",IF($BD484&lt;&gt;Constants!$B$6,"",IF($AU484="-&gt;",$AZ484,$AQ484)+$BG484))</f>
        <v/>
      </c>
      <c r="CA484" s="97" t="str">
        <f aca="false">IF(ISBLANK($C484),"",IF($BD484&lt;&gt;Constants!$B$6,$BD484,$BH484))</f>
        <v/>
      </c>
      <c r="CB484" s="98" t="str">
        <f aca="false">IF(ISBLANK($C484),"",$BE484)</f>
        <v/>
      </c>
      <c r="CC484" s="99" t="str">
        <f aca="false">IF(ISBLANK($C484),"",$BS484)</f>
        <v/>
      </c>
      <c r="CD484" s="99" t="str">
        <f aca="false">IF(ISBLANK($C484),"",$BR484)</f>
        <v/>
      </c>
      <c r="CE484" s="100" t="str">
        <f aca="false">IF(ISBLANK($C484),"",IF($CD484=Constants!$B$9,COUNTA($C$9:$C$508)+2,IF($CD484=Constants!$B$8,COUNTA($C$9:$C$508)+1,IF($CD484=Constants!$B$7,COUNTA($C$9:$C$508),$CD484))))</f>
        <v/>
      </c>
      <c r="CF484" s="9"/>
      <c r="CG484" s="101" t="n">
        <f aca="false">IF(OR(ISNUMBER($CD484),$CD484=Constants!$B$9,$CD484=Constants!$B$7,$CD484=Constants!$B$8),1,0)</f>
        <v>0</v>
      </c>
      <c r="CH484" s="101" t="n">
        <v>476</v>
      </c>
      <c r="CI484" s="101" t="str">
        <f aca="false">IF(ISBLANK($C484),"",IF(ISNUMBER($CE484),$CE484+ROW($B484)/1000,""))</f>
        <v/>
      </c>
      <c r="CJ484" s="101" t="str">
        <f aca="false">IF(ISNUMBER($CI484),RANK($CI484,$CI$9:$CI$508,1),"")</f>
        <v/>
      </c>
      <c r="CK484" s="101" t="str">
        <f aca="false">IF(ISBLANK($C484),"",$B484)</f>
        <v/>
      </c>
      <c r="CL484" s="101" t="str">
        <f aca="false">IF(ISBLANK($C484),"",$C484)</f>
        <v/>
      </c>
      <c r="CM484" s="101" t="str">
        <f aca="false">IF(ISBLANK($C484),"",$D484)</f>
        <v/>
      </c>
      <c r="CN484" s="102" t="str">
        <f aca="false">$CB484</f>
        <v/>
      </c>
      <c r="CO484" s="103" t="str">
        <f aca="false">$CA484</f>
        <v/>
      </c>
      <c r="CP484" s="101" t="str">
        <f aca="false">IF(ISBLANK($C484),"",$CD484)</f>
        <v/>
      </c>
      <c r="CQ484" s="104" t="str">
        <f aca="false">IF($CH484&gt;$CG$8,"",VLOOKUP($CH484,$CJ$9:$CP$508,7,FALSE()))</f>
        <v/>
      </c>
      <c r="CR484" s="105" t="str">
        <f aca="false">IF($CH484&gt;$CG$8,"",VLOOKUP($CH484,$CJ$9:$CP$508,2,FALSE()))</f>
        <v/>
      </c>
      <c r="CS484" s="105" t="str">
        <f aca="false">IF($CH484&gt;$CG$8,"",VLOOKUP($CH484,$CJ$9:$CP$508,3,FALSE()))</f>
        <v/>
      </c>
      <c r="CT484" s="105" t="str">
        <f aca="false">IF($CH484&gt;$CG$8,"",VLOOKUP($CH484,$CJ$9:$CP$508,4,FALSE()))</f>
        <v/>
      </c>
      <c r="CU484" s="105" t="str">
        <f aca="false">IF($CH484&gt;$CG$8,"",VLOOKUP($CH484,$CJ$9:$CP$508,5,FALSE()))</f>
        <v/>
      </c>
      <c r="CV484" s="106" t="str">
        <f aca="false">IF($CH484&gt;$CG$8,"",VLOOKUP($CH484,$CJ$9:$CP$508,6,FALSE()))</f>
        <v/>
      </c>
      <c r="CW484" s="71"/>
    </row>
    <row r="485" customFormat="false" ht="15.75" hidden="false" customHeight="false" outlineLevel="0" collapsed="false">
      <c r="A485" s="9"/>
      <c r="B485" s="72"/>
      <c r="C485" s="73"/>
      <c r="D485" s="160"/>
      <c r="E485" s="168"/>
      <c r="F485" s="162"/>
      <c r="G485" s="163"/>
      <c r="H485" s="169"/>
      <c r="I485" s="167"/>
      <c r="J485" s="80"/>
      <c r="K485" s="81"/>
      <c r="L485" s="82"/>
      <c r="M485" s="166"/>
      <c r="N485" s="167"/>
      <c r="O485" s="167"/>
      <c r="P485" s="80"/>
      <c r="Q485" s="82"/>
      <c r="R485" s="82"/>
      <c r="S485" s="166"/>
      <c r="T485" s="167"/>
      <c r="U485" s="86"/>
      <c r="V485" s="87"/>
      <c r="W485" s="87" t="str">
        <f aca="false">IF(ISBLANK($C485),"",IF(E485=Constants!$B$2,TRUE(),IF(E485=Constants!$B$3,FALSE(),TRUE())))</f>
        <v/>
      </c>
      <c r="X485" s="87" t="str">
        <f aca="false">IF(ISBLANK($C485),"",IF(F485=Constants!$B$2,TRUE(),IF(F485=Constants!$B$3,FALSE(),TRUE())))</f>
        <v/>
      </c>
      <c r="Y485" s="87" t="str">
        <f aca="false">IF(ISBLANK($C485),"",IF(G485=Constants!$B$2,TRUE(),IF(G485=Constants!$B$3,FALSE(),TRUE())))</f>
        <v/>
      </c>
      <c r="Z485" s="87" t="str">
        <f aca="false">IF(ISBLANK($C485),"",IF(H485=Constants!$B$2,TRUE(),IF(H485=Constants!$B$3,FALSE(),TRUE())))</f>
        <v/>
      </c>
      <c r="AA485" s="87" t="str">
        <f aca="false">IF(ISBLANK($C485),"",IF(I485=Constants!$B$2,TRUE(),IF(I485=Constants!$B$3,FALSE(),TRUE())))</f>
        <v/>
      </c>
      <c r="AB485" s="87" t="str">
        <f aca="false">IF(ISBLANK($C485),"",IF(J485=Constants!$B$4,TRUE(),IF(J485=Constants!$B$5,FALSE(),COUNTA(K485:M485)&gt;0)))</f>
        <v/>
      </c>
      <c r="AC485" s="88" t="str">
        <f aca="false">IF(ISBLANK($C485),"",IF(ISNUMBER(K485),IF(K485&gt;=0,K485,""),""))</f>
        <v/>
      </c>
      <c r="AD485" s="89" t="str">
        <f aca="false">IF(ISBLANK($C485),"",IF(ISNUMBER(L485),IF(L485&gt;=0,L485,""),""))</f>
        <v/>
      </c>
      <c r="AE485" s="87" t="str">
        <f aca="false">IF(ISBLANK($C485),"",IF(ISNUMBER(M485),IF(M485&gt;=0,MIN(M485,Constants!$B$22),""),""))</f>
        <v/>
      </c>
      <c r="AF485" s="87" t="str">
        <f aca="false">IF(ISBLANK($C485),"",IF(N485=Constants!$B$2,TRUE(),IF(N485=Constants!$B$3,FALSE(),TRUE())))</f>
        <v/>
      </c>
      <c r="AG485" s="87" t="str">
        <f aca="false">IF(ISBLANK($C485),"",IF(O485=Constants!$B$2,TRUE(),IF(O485=Constants!$B$3,FALSE(),TRUE())))</f>
        <v/>
      </c>
      <c r="AH485" s="87" t="str">
        <f aca="false">IF(ISBLANK($C485),"",IF(P485=Constants!$B$4,TRUE(),IF(P485=Constants!$B$5,FALSE(),COUNTA(Q485:S485)&gt;0)))</f>
        <v/>
      </c>
      <c r="AI485" s="88" t="str">
        <f aca="false">IF(ISBLANK($C485),"",IF(ISNUMBER(Q485),IF(Q485&gt;=0,Q485,""),""))</f>
        <v/>
      </c>
      <c r="AJ485" s="89" t="str">
        <f aca="false">IF(ISBLANK($C485),"",IF(ISNUMBER(R485),IF(R485&gt;=0,R485,""),""))</f>
        <v/>
      </c>
      <c r="AK485" s="87" t="str">
        <f aca="false">IF(ISBLANK($C485),"",IF(ISNUMBER(S485),IF(S485&gt;=0,MIN(S485,Constants!$B$22),""),""))</f>
        <v/>
      </c>
      <c r="AL485" s="87" t="str">
        <f aca="false">IF(ISBLANK($C485),"",IF(T485=Constants!$B$2,TRUE(),IF(T485=Constants!$B$3,FALSE(),FALSE())))</f>
        <v/>
      </c>
      <c r="AM485" s="86" t="str">
        <f aca="false">IF(ISBLANK($C485),"",AND($AB485,OR($AC485="",$AD485="",AND(NOT(ISBLANK($M485)),$AE485=""))))</f>
        <v/>
      </c>
      <c r="AN485" s="89" t="str">
        <f aca="false">IF($BD485&lt;&gt;Constants!$B$6,"",IF($AB485,Constants!$B$17*$AD485,Constants!$B$18))</f>
        <v/>
      </c>
      <c r="AO485" s="91" t="str">
        <f aca="false">IF($BD485&lt;&gt;Constants!$B$6,"",Constants!$B$19*IF($AB485,$AC485,0))</f>
        <v/>
      </c>
      <c r="AP485" s="91" t="str">
        <f aca="false">IF($BD485&lt;&gt;Constants!$B$6,"",IF(AND($AB485,ISNUMBER($AE485)),Constants!$B$20*(Constants!$B$21-$AE485),0))</f>
        <v/>
      </c>
      <c r="AQ485" s="91" t="str">
        <f aca="false">IF($BD485&lt;&gt;Constants!$B$6,"",IF($AA485,0,Constants!$B$12)+IF($Z485,0,Constants!$B$13)+IF($Y485,0,Constants!$B$14))</f>
        <v/>
      </c>
      <c r="AR485" s="92" t="str">
        <f aca="false">IF($BD485&lt;&gt;Constants!$B$6,"",Constants!$B$16+SUM($AN485:$AQ485))</f>
        <v/>
      </c>
      <c r="AS485" s="91" t="str">
        <f aca="false">IF($BD485&lt;&gt;Constants!$B$6,"",IF($AB485,$AD485,""))</f>
        <v/>
      </c>
      <c r="AT485" s="93" t="str">
        <f aca="false">IF($BD485&lt;&gt;Constants!$B$6,"",$AO485)</f>
        <v/>
      </c>
      <c r="AU485" s="87" t="str">
        <f aca="false">IF($BD485&lt;&gt;Constants!$B$6,"",IF(OR($BA485&lt;$AR485,AND($BA485=$AR485,OR(AND(ISNUMBER($BB485),OR(NOT(ISNUMBER($AS485)),$BB485&lt;$AS485)),AND(OR(AND($BB485="",$AS485=""),AND(ISNUMBER($BB485),ISNUMBER($AS485),$BB485=$AS485)),$BC485&lt;$AT485)))),"-&gt;","&lt;-"))</f>
        <v/>
      </c>
      <c r="AV485" s="86" t="str">
        <f aca="false">IF(ISBLANK($C485),"",AND($AH485,OR($AI485="",$AJ485="",AND(NOT(ISBLANK($S485)),$AK485=""))))</f>
        <v/>
      </c>
      <c r="AW485" s="89" t="str">
        <f aca="false">IF($BD485&lt;&gt;Constants!$B$6,"",IF($AH485,Constants!$B$17*$AJ485,Constants!$B$18))</f>
        <v/>
      </c>
      <c r="AX485" s="91" t="str">
        <f aca="false">IF($BD485&lt;&gt;Constants!$B$6,"",Constants!$B$19*IF($AH485,$AI485,0))</f>
        <v/>
      </c>
      <c r="AY485" s="91" t="str">
        <f aca="false">IF($BD485&lt;&gt;Constants!$B$6,"",IF(AND($AH485,ISNUMBER($AK485)),Constants!$B$20*(Constants!$B$21-$AK485),0))</f>
        <v/>
      </c>
      <c r="AZ485" s="91" t="str">
        <f aca="false">IF($BD485&lt;&gt;Constants!$B$6,"",IF($AG485,0,Constants!$B$12)+IF($AF485,0,Constants!$B$13)+IF($Y485,0,Constants!$B$14))</f>
        <v/>
      </c>
      <c r="BA485" s="92" t="str">
        <f aca="false">IF($BD485&lt;&gt;Constants!$B$6,"",Constants!$B$16+SUM($AW485:$AZ485))</f>
        <v/>
      </c>
      <c r="BB485" s="91" t="str">
        <f aca="false">IF($BD485&lt;&gt;Constants!$B$6,"",IF($AH485,$AJ485,""))</f>
        <v/>
      </c>
      <c r="BC485" s="93" t="str">
        <f aca="false">IF($BD485&lt;&gt;Constants!$B$6,"",$AX485)</f>
        <v/>
      </c>
      <c r="BD485" s="87" t="str">
        <f aca="false">IF(ISBLANK($C485),"",IF($AL485,Constants!$B$9,IF(COUNTA($E485:$T485)=0,Constants!$B$8,IF(NOT($X485),Constants!$B$7,IF(OR($AM485,$AV485),Constants!$B$10,Constants!$B$6)))))</f>
        <v/>
      </c>
      <c r="BE485" s="87" t="str">
        <f aca="false">IF(ISBLANK($C485),"",IF($BD485&lt;&gt;Constants!$B$6,$BD485,Constants!$B$11))</f>
        <v/>
      </c>
      <c r="BF485" s="91" t="str">
        <f aca="false">IF($BD485&lt;&gt;Constants!$B$6,"",IF($AU485="-&gt;",$BA485,$AR485))</f>
        <v/>
      </c>
      <c r="BG485" s="91" t="str">
        <f aca="false">IF($BD485&lt;&gt;Constants!$B$6,"",IF($W485,0,Constants!$B$15))</f>
        <v/>
      </c>
      <c r="BH485" s="91" t="str">
        <f aca="false">IF(ISBLANK($C485),"",IF($BD485&lt;&gt;Constants!$B$6,$BD485,SUM($BF485:$BG485)))</f>
        <v/>
      </c>
      <c r="BI485" s="87" t="str">
        <f aca="false">IF(ISBLANK($C485),"",IF($BD485&lt;&gt;Constants!$B$6,$BD485,RANK($BH485,$BH$9:$BH$508,1)))</f>
        <v/>
      </c>
      <c r="BJ485" s="91" t="str">
        <f aca="false">IF($BD485&lt;&gt;Constants!$B$6,"",IF($AU485="-&gt;",$BB485,$AS485))</f>
        <v/>
      </c>
      <c r="BK485" s="87" t="str">
        <f aca="false">IF(ISBLANK($C485),"",IF($BD485&lt;&gt;Constants!$B$6,$BD485,IF(ISNUMBER($BJ485),RANK($BJ485,$BJ$9:$BJ$508,1),COUNT($BJ$9:$BJ$508)+1)))</f>
        <v/>
      </c>
      <c r="BL485" s="91" t="str">
        <f aca="false">IF($BD485&lt;&gt;Constants!$B$6,"",IF($AU485="-&gt;",$BC485,$AT485))</f>
        <v/>
      </c>
      <c r="BM485" s="87" t="str">
        <f aca="false">IF(ISBLANK($C485),"",IF($BD485&lt;&gt;Constants!$B$6,$BD485,IF(ISNUMBER($BL485),RANK($BL485,$BL$9:$BL$508,1),COUNT($BL$9:$BL$508)+1)))</f>
        <v/>
      </c>
      <c r="BN485" s="91" t="str">
        <f aca="false">IF($BD485&lt;&gt;Constants!$B$6,"",IF($AU485="-&gt;",$AS485,$BB485))</f>
        <v/>
      </c>
      <c r="BO485" s="87" t="str">
        <f aca="false">IF(ISBLANK($C485),"",IF($BD485&lt;&gt;Constants!$B$6,$BD485,IF(ISNUMBER($BN485),RANK($BN485,$BN$9:$BN$508,1),COUNT($BN$9:$BN$508)+1)))</f>
        <v/>
      </c>
      <c r="BP485" s="91" t="str">
        <f aca="false">IF($BD485&lt;&gt;Constants!$B$6,"",IF($AU485="-&gt;",$AT485,$BC485))</f>
        <v/>
      </c>
      <c r="BQ485" s="87" t="str">
        <f aca="false">IF(ISBLANK($C485),"",IF($BD485&lt;&gt;Constants!$B$6,$BD485,IF(ISNUMBER($BP485),RANK($BP485,$BP$9:$BP$508,1),COUNT($BP$9:$BP$508)+1)))</f>
        <v/>
      </c>
      <c r="BR485" s="87" t="str">
        <f aca="false">IF(ISBLANK($C485),"",IF($BD485&lt;&gt;Constants!$B$6,$BD485,COUNTIFS($BI$9:$BI$508,"&lt;"&amp;$BI485)+COUNTIFS($BI$9:$BI$508,$BI485,$BK$9:$BK$508,"&lt;"&amp;$BK485)+COUNTIFS($BI$9:$BI$508,$BI485,$BK$9:$BK$508,$BK485,$BM$9:$BM$508,"&lt;"&amp;$BM485)+COUNTIFS($BI$9:$BI$508,$BI485,$BK$9:$BK$508,$BK485,$BM$9:$BM$508,$BM485,$BO$9:$BO$508,"&lt;"&amp;$BO485)+COUNTIFS($BI$9:$BI$508,$BI485,$BK$9:$BK$508,$BK485,$BM$9:$BM$508,$BM485,$BO$9:$BO$508,$BO485,$BQ$9:$BQ$508,"&lt;"&amp;$BQ485)+1))</f>
        <v/>
      </c>
      <c r="BS485" s="87" t="str">
        <f aca="false">IF(ISBLANK($C485),"",IF($BD485&lt;&gt;Constants!$B$6,$BD485,$BI485-$BR485))</f>
        <v/>
      </c>
      <c r="BT485" s="94"/>
      <c r="BU485" s="95"/>
      <c r="BV485" s="95" t="str">
        <f aca="false">IF(ISBLANK($C485),"",IF($BD485&lt;&gt;Constants!$B$6,"",IF($AU485="-&gt;",2,1)))</f>
        <v/>
      </c>
      <c r="BW485" s="96" t="str">
        <f aca="false">IF(ISBLANK($C485),"",IF($BD485&lt;&gt;Constants!$B$6,"",IF($AU485="-&gt;",$AW485,$AN485)))</f>
        <v/>
      </c>
      <c r="BX485" s="96" t="str">
        <f aca="false">IF(ISBLANK($C485),"",IF($BD485&lt;&gt;Constants!$B$6,"",IF($AU485="-&gt;",$AX485,$AO485)))</f>
        <v/>
      </c>
      <c r="BY485" s="96" t="str">
        <f aca="false">IF(ISBLANK($C485),"",IF($BD485&lt;&gt;Constants!$B$6,"",IF($AU485="-&gt;",$AY485,$AP485)))</f>
        <v/>
      </c>
      <c r="BZ485" s="96" t="str">
        <f aca="false">IF(ISBLANK($C485),"",IF($BD485&lt;&gt;Constants!$B$6,"",IF($AU485="-&gt;",$AZ485,$AQ485)+$BG485))</f>
        <v/>
      </c>
      <c r="CA485" s="97" t="str">
        <f aca="false">IF(ISBLANK($C485),"",IF($BD485&lt;&gt;Constants!$B$6,$BD485,$BH485))</f>
        <v/>
      </c>
      <c r="CB485" s="98" t="str">
        <f aca="false">IF(ISBLANK($C485),"",$BE485)</f>
        <v/>
      </c>
      <c r="CC485" s="99" t="str">
        <f aca="false">IF(ISBLANK($C485),"",$BS485)</f>
        <v/>
      </c>
      <c r="CD485" s="99" t="str">
        <f aca="false">IF(ISBLANK($C485),"",$BR485)</f>
        <v/>
      </c>
      <c r="CE485" s="100" t="str">
        <f aca="false">IF(ISBLANK($C485),"",IF($CD485=Constants!$B$9,COUNTA($C$9:$C$508)+2,IF($CD485=Constants!$B$8,COUNTA($C$9:$C$508)+1,IF($CD485=Constants!$B$7,COUNTA($C$9:$C$508),$CD485))))</f>
        <v/>
      </c>
      <c r="CF485" s="9"/>
      <c r="CG485" s="101" t="n">
        <f aca="false">IF(OR(ISNUMBER($CD485),$CD485=Constants!$B$9,$CD485=Constants!$B$7,$CD485=Constants!$B$8),1,0)</f>
        <v>0</v>
      </c>
      <c r="CH485" s="101" t="n">
        <v>477</v>
      </c>
      <c r="CI485" s="101" t="str">
        <f aca="false">IF(ISBLANK($C485),"",IF(ISNUMBER($CE485),$CE485+ROW($B485)/1000,""))</f>
        <v/>
      </c>
      <c r="CJ485" s="101" t="str">
        <f aca="false">IF(ISNUMBER($CI485),RANK($CI485,$CI$9:$CI$508,1),"")</f>
        <v/>
      </c>
      <c r="CK485" s="101" t="str">
        <f aca="false">IF(ISBLANK($C485),"",$B485)</f>
        <v/>
      </c>
      <c r="CL485" s="101" t="str">
        <f aca="false">IF(ISBLANK($C485),"",$C485)</f>
        <v/>
      </c>
      <c r="CM485" s="101" t="str">
        <f aca="false">IF(ISBLANK($C485),"",$D485)</f>
        <v/>
      </c>
      <c r="CN485" s="102" t="str">
        <f aca="false">$CB485</f>
        <v/>
      </c>
      <c r="CO485" s="103" t="str">
        <f aca="false">$CA485</f>
        <v/>
      </c>
      <c r="CP485" s="101" t="str">
        <f aca="false">IF(ISBLANK($C485),"",$CD485)</f>
        <v/>
      </c>
      <c r="CQ485" s="104" t="str">
        <f aca="false">IF($CH485&gt;$CG$8,"",VLOOKUP($CH485,$CJ$9:$CP$508,7,FALSE()))</f>
        <v/>
      </c>
      <c r="CR485" s="105" t="str">
        <f aca="false">IF($CH485&gt;$CG$8,"",VLOOKUP($CH485,$CJ$9:$CP$508,2,FALSE()))</f>
        <v/>
      </c>
      <c r="CS485" s="105" t="str">
        <f aca="false">IF($CH485&gt;$CG$8,"",VLOOKUP($CH485,$CJ$9:$CP$508,3,FALSE()))</f>
        <v/>
      </c>
      <c r="CT485" s="105" t="str">
        <f aca="false">IF($CH485&gt;$CG$8,"",VLOOKUP($CH485,$CJ$9:$CP$508,4,FALSE()))</f>
        <v/>
      </c>
      <c r="CU485" s="105" t="str">
        <f aca="false">IF($CH485&gt;$CG$8,"",VLOOKUP($CH485,$CJ$9:$CP$508,5,FALSE()))</f>
        <v/>
      </c>
      <c r="CV485" s="106" t="str">
        <f aca="false">IF($CH485&gt;$CG$8,"",VLOOKUP($CH485,$CJ$9:$CP$508,6,FALSE()))</f>
        <v/>
      </c>
      <c r="CW485" s="71"/>
    </row>
    <row r="486" customFormat="false" ht="15.75" hidden="false" customHeight="false" outlineLevel="0" collapsed="false">
      <c r="A486" s="9"/>
      <c r="B486" s="150"/>
      <c r="C486" s="151"/>
      <c r="D486" s="152"/>
      <c r="E486" s="170"/>
      <c r="F486" s="154"/>
      <c r="G486" s="155"/>
      <c r="H486" s="171"/>
      <c r="I486" s="159"/>
      <c r="J486" s="120"/>
      <c r="K486" s="121"/>
      <c r="L486" s="122"/>
      <c r="M486" s="158"/>
      <c r="N486" s="159"/>
      <c r="O486" s="159"/>
      <c r="P486" s="120"/>
      <c r="Q486" s="122"/>
      <c r="R486" s="122"/>
      <c r="S486" s="158"/>
      <c r="T486" s="159"/>
      <c r="U486" s="126"/>
      <c r="V486" s="127"/>
      <c r="W486" s="127" t="str">
        <f aca="false">IF(ISBLANK($C486),"",IF(E486=Constants!$B$2,TRUE(),IF(E486=Constants!$B$3,FALSE(),TRUE())))</f>
        <v/>
      </c>
      <c r="X486" s="127" t="str">
        <f aca="false">IF(ISBLANK($C486),"",IF(F486=Constants!$B$2,TRUE(),IF(F486=Constants!$B$3,FALSE(),TRUE())))</f>
        <v/>
      </c>
      <c r="Y486" s="127" t="str">
        <f aca="false">IF(ISBLANK($C486),"",IF(G486=Constants!$B$2,TRUE(),IF(G486=Constants!$B$3,FALSE(),TRUE())))</f>
        <v/>
      </c>
      <c r="Z486" s="127" t="str">
        <f aca="false">IF(ISBLANK($C486),"",IF(H486=Constants!$B$2,TRUE(),IF(H486=Constants!$B$3,FALSE(),TRUE())))</f>
        <v/>
      </c>
      <c r="AA486" s="127" t="str">
        <f aca="false">IF(ISBLANK($C486),"",IF(I486=Constants!$B$2,TRUE(),IF(I486=Constants!$B$3,FALSE(),TRUE())))</f>
        <v/>
      </c>
      <c r="AB486" s="127" t="str">
        <f aca="false">IF(ISBLANK($C486),"",IF(J486=Constants!$B$4,TRUE(),IF(J486=Constants!$B$5,FALSE(),COUNTA(K486:M486)&gt;0)))</f>
        <v/>
      </c>
      <c r="AC486" s="128" t="str">
        <f aca="false">IF(ISBLANK($C486),"",IF(ISNUMBER(K486),IF(K486&gt;=0,K486,""),""))</f>
        <v/>
      </c>
      <c r="AD486" s="129" t="str">
        <f aca="false">IF(ISBLANK($C486),"",IF(ISNUMBER(L486),IF(L486&gt;=0,L486,""),""))</f>
        <v/>
      </c>
      <c r="AE486" s="127" t="str">
        <f aca="false">IF(ISBLANK($C486),"",IF(ISNUMBER(M486),IF(M486&gt;=0,MIN(M486,Constants!$B$22),""),""))</f>
        <v/>
      </c>
      <c r="AF486" s="127" t="str">
        <f aca="false">IF(ISBLANK($C486),"",IF(N486=Constants!$B$2,TRUE(),IF(N486=Constants!$B$3,FALSE(),TRUE())))</f>
        <v/>
      </c>
      <c r="AG486" s="127" t="str">
        <f aca="false">IF(ISBLANK($C486),"",IF(O486=Constants!$B$2,TRUE(),IF(O486=Constants!$B$3,FALSE(),TRUE())))</f>
        <v/>
      </c>
      <c r="AH486" s="127" t="str">
        <f aca="false">IF(ISBLANK($C486),"",IF(P486=Constants!$B$4,TRUE(),IF(P486=Constants!$B$5,FALSE(),COUNTA(Q486:S486)&gt;0)))</f>
        <v/>
      </c>
      <c r="AI486" s="128" t="str">
        <f aca="false">IF(ISBLANK($C486),"",IF(ISNUMBER(Q486),IF(Q486&gt;=0,Q486,""),""))</f>
        <v/>
      </c>
      <c r="AJ486" s="129" t="str">
        <f aca="false">IF(ISBLANK($C486),"",IF(ISNUMBER(R486),IF(R486&gt;=0,R486,""),""))</f>
        <v/>
      </c>
      <c r="AK486" s="127" t="str">
        <f aca="false">IF(ISBLANK($C486),"",IF(ISNUMBER(S486),IF(S486&gt;=0,MIN(S486,Constants!$B$22),""),""))</f>
        <v/>
      </c>
      <c r="AL486" s="127" t="str">
        <f aca="false">IF(ISBLANK($C486),"",IF(T486=Constants!$B$2,TRUE(),IF(T486=Constants!$B$3,FALSE(),FALSE())))</f>
        <v/>
      </c>
      <c r="AM486" s="126" t="str">
        <f aca="false">IF(ISBLANK($C486),"",AND($AB486,OR($AC486="",$AD486="",AND(NOT(ISBLANK($M486)),$AE486=""))))</f>
        <v/>
      </c>
      <c r="AN486" s="129" t="str">
        <f aca="false">IF($BD486&lt;&gt;Constants!$B$6,"",IF($AB486,Constants!$B$17*$AD486,Constants!$B$18))</f>
        <v/>
      </c>
      <c r="AO486" s="130" t="str">
        <f aca="false">IF($BD486&lt;&gt;Constants!$B$6,"",Constants!$B$19*IF($AB486,$AC486,0))</f>
        <v/>
      </c>
      <c r="AP486" s="130" t="str">
        <f aca="false">IF($BD486&lt;&gt;Constants!$B$6,"",IF(AND($AB486,ISNUMBER($AE486)),Constants!$B$20*(Constants!$B$21-$AE486),0))</f>
        <v/>
      </c>
      <c r="AQ486" s="130" t="str">
        <f aca="false">IF($BD486&lt;&gt;Constants!$B$6,"",IF($AA486,0,Constants!$B$12)+IF($Z486,0,Constants!$B$13)+IF($Y486,0,Constants!$B$14))</f>
        <v/>
      </c>
      <c r="AR486" s="131" t="str">
        <f aca="false">IF($BD486&lt;&gt;Constants!$B$6,"",Constants!$B$16+SUM($AN486:$AQ486))</f>
        <v/>
      </c>
      <c r="AS486" s="130" t="str">
        <f aca="false">IF($BD486&lt;&gt;Constants!$B$6,"",IF($AB486,$AD486,""))</f>
        <v/>
      </c>
      <c r="AT486" s="132" t="str">
        <f aca="false">IF($BD486&lt;&gt;Constants!$B$6,"",$AO486)</f>
        <v/>
      </c>
      <c r="AU486" s="127" t="str">
        <f aca="false">IF($BD486&lt;&gt;Constants!$B$6,"",IF(OR($BA486&lt;$AR486,AND($BA486=$AR486,OR(AND(ISNUMBER($BB486),OR(NOT(ISNUMBER($AS486)),$BB486&lt;$AS486)),AND(OR(AND($BB486="",$AS486=""),AND(ISNUMBER($BB486),ISNUMBER($AS486),$BB486=$AS486)),$BC486&lt;$AT486)))),"-&gt;","&lt;-"))</f>
        <v/>
      </c>
      <c r="AV486" s="126" t="str">
        <f aca="false">IF(ISBLANK($C486),"",AND($AH486,OR($AI486="",$AJ486="",AND(NOT(ISBLANK($S486)),$AK486=""))))</f>
        <v/>
      </c>
      <c r="AW486" s="129" t="str">
        <f aca="false">IF($BD486&lt;&gt;Constants!$B$6,"",IF($AH486,Constants!$B$17*$AJ486,Constants!$B$18))</f>
        <v/>
      </c>
      <c r="AX486" s="130" t="str">
        <f aca="false">IF($BD486&lt;&gt;Constants!$B$6,"",Constants!$B$19*IF($AH486,$AI486,0))</f>
        <v/>
      </c>
      <c r="AY486" s="130" t="str">
        <f aca="false">IF($BD486&lt;&gt;Constants!$B$6,"",IF(AND($AH486,ISNUMBER($AK486)),Constants!$B$20*(Constants!$B$21-$AK486),0))</f>
        <v/>
      </c>
      <c r="AZ486" s="130" t="str">
        <f aca="false">IF($BD486&lt;&gt;Constants!$B$6,"",IF($AG486,0,Constants!$B$12)+IF($AF486,0,Constants!$B$13)+IF($Y486,0,Constants!$B$14))</f>
        <v/>
      </c>
      <c r="BA486" s="131" t="str">
        <f aca="false">IF($BD486&lt;&gt;Constants!$B$6,"",Constants!$B$16+SUM($AW486:$AZ486))</f>
        <v/>
      </c>
      <c r="BB486" s="130" t="str">
        <f aca="false">IF($BD486&lt;&gt;Constants!$B$6,"",IF($AH486,$AJ486,""))</f>
        <v/>
      </c>
      <c r="BC486" s="132" t="str">
        <f aca="false">IF($BD486&lt;&gt;Constants!$B$6,"",$AX486)</f>
        <v/>
      </c>
      <c r="BD486" s="127" t="str">
        <f aca="false">IF(ISBLANK($C486),"",IF($AL486,Constants!$B$9,IF(COUNTA($E486:$T486)=0,Constants!$B$8,IF(NOT($X486),Constants!$B$7,IF(OR($AM486,$AV486),Constants!$B$10,Constants!$B$6)))))</f>
        <v/>
      </c>
      <c r="BE486" s="127" t="str">
        <f aca="false">IF(ISBLANK($C486),"",IF($BD486&lt;&gt;Constants!$B$6,$BD486,Constants!$B$11))</f>
        <v/>
      </c>
      <c r="BF486" s="130" t="str">
        <f aca="false">IF($BD486&lt;&gt;Constants!$B$6,"",IF($AU486="-&gt;",$BA486,$AR486))</f>
        <v/>
      </c>
      <c r="BG486" s="130" t="str">
        <f aca="false">IF($BD486&lt;&gt;Constants!$B$6,"",IF($W486,0,Constants!$B$15))</f>
        <v/>
      </c>
      <c r="BH486" s="130" t="str">
        <f aca="false">IF(ISBLANK($C486),"",IF($BD486&lt;&gt;Constants!$B$6,$BD486,SUM($BF486:$BG486)))</f>
        <v/>
      </c>
      <c r="BI486" s="127" t="str">
        <f aca="false">IF(ISBLANK($C486),"",IF($BD486&lt;&gt;Constants!$B$6,$BD486,RANK($BH486,$BH$9:$BH$508,1)))</f>
        <v/>
      </c>
      <c r="BJ486" s="130" t="str">
        <f aca="false">IF($BD486&lt;&gt;Constants!$B$6,"",IF($AU486="-&gt;",$BB486,$AS486))</f>
        <v/>
      </c>
      <c r="BK486" s="127" t="str">
        <f aca="false">IF(ISBLANK($C486),"",IF($BD486&lt;&gt;Constants!$B$6,$BD486,IF(ISNUMBER($BJ486),RANK($BJ486,$BJ$9:$BJ$508,1),COUNT($BJ$9:$BJ$508)+1)))</f>
        <v/>
      </c>
      <c r="BL486" s="130" t="str">
        <f aca="false">IF($BD486&lt;&gt;Constants!$B$6,"",IF($AU486="-&gt;",$BC486,$AT486))</f>
        <v/>
      </c>
      <c r="BM486" s="127" t="str">
        <f aca="false">IF(ISBLANK($C486),"",IF($BD486&lt;&gt;Constants!$B$6,$BD486,IF(ISNUMBER($BL486),RANK($BL486,$BL$9:$BL$508,1),COUNT($BL$9:$BL$508)+1)))</f>
        <v/>
      </c>
      <c r="BN486" s="130" t="str">
        <f aca="false">IF($BD486&lt;&gt;Constants!$B$6,"",IF($AU486="-&gt;",$AS486,$BB486))</f>
        <v/>
      </c>
      <c r="BO486" s="127" t="str">
        <f aca="false">IF(ISBLANK($C486),"",IF($BD486&lt;&gt;Constants!$B$6,$BD486,IF(ISNUMBER($BN486),RANK($BN486,$BN$9:$BN$508,1),COUNT($BN$9:$BN$508)+1)))</f>
        <v/>
      </c>
      <c r="BP486" s="130" t="str">
        <f aca="false">IF($BD486&lt;&gt;Constants!$B$6,"",IF($AU486="-&gt;",$AT486,$BC486))</f>
        <v/>
      </c>
      <c r="BQ486" s="127" t="str">
        <f aca="false">IF(ISBLANK($C486),"",IF($BD486&lt;&gt;Constants!$B$6,$BD486,IF(ISNUMBER($BP486),RANK($BP486,$BP$9:$BP$508,1),COUNT($BP$9:$BP$508)+1)))</f>
        <v/>
      </c>
      <c r="BR486" s="127" t="str">
        <f aca="false">IF(ISBLANK($C486),"",IF($BD486&lt;&gt;Constants!$B$6,$BD486,COUNTIFS($BI$9:$BI$508,"&lt;"&amp;$BI486)+COUNTIFS($BI$9:$BI$508,$BI486,$BK$9:$BK$508,"&lt;"&amp;$BK486)+COUNTIFS($BI$9:$BI$508,$BI486,$BK$9:$BK$508,$BK486,$BM$9:$BM$508,"&lt;"&amp;$BM486)+COUNTIFS($BI$9:$BI$508,$BI486,$BK$9:$BK$508,$BK486,$BM$9:$BM$508,$BM486,$BO$9:$BO$508,"&lt;"&amp;$BO486)+COUNTIFS($BI$9:$BI$508,$BI486,$BK$9:$BK$508,$BK486,$BM$9:$BM$508,$BM486,$BO$9:$BO$508,$BO486,$BQ$9:$BQ$508,"&lt;"&amp;$BQ486)+1))</f>
        <v/>
      </c>
      <c r="BS486" s="127" t="str">
        <f aca="false">IF(ISBLANK($C486),"",IF($BD486&lt;&gt;Constants!$B$6,$BD486,$BI486-$BR486))</f>
        <v/>
      </c>
      <c r="BT486" s="133"/>
      <c r="BU486" s="134"/>
      <c r="BV486" s="134" t="str">
        <f aca="false">IF(ISBLANK($C486),"",IF($BD486&lt;&gt;Constants!$B$6,"",IF($AU486="-&gt;",2,1)))</f>
        <v/>
      </c>
      <c r="BW486" s="135" t="str">
        <f aca="false">IF(ISBLANK($C486),"",IF($BD486&lt;&gt;Constants!$B$6,"",IF($AU486="-&gt;",$AW486,$AN486)))</f>
        <v/>
      </c>
      <c r="BX486" s="135" t="str">
        <f aca="false">IF(ISBLANK($C486),"",IF($BD486&lt;&gt;Constants!$B$6,"",IF($AU486="-&gt;",$AX486,$AO486)))</f>
        <v/>
      </c>
      <c r="BY486" s="135" t="str">
        <f aca="false">IF(ISBLANK($C486),"",IF($BD486&lt;&gt;Constants!$B$6,"",IF($AU486="-&gt;",$AY486,$AP486)))</f>
        <v/>
      </c>
      <c r="BZ486" s="135" t="str">
        <f aca="false">IF(ISBLANK($C486),"",IF($BD486&lt;&gt;Constants!$B$6,"",IF($AU486="-&gt;",$AZ486,$AQ486)+$BG486))</f>
        <v/>
      </c>
      <c r="CA486" s="136" t="str">
        <f aca="false">IF(ISBLANK($C486),"",IF($BD486&lt;&gt;Constants!$B$6,$BD486,$BH486))</f>
        <v/>
      </c>
      <c r="CB486" s="137" t="str">
        <f aca="false">IF(ISBLANK($C486),"",$BE486)</f>
        <v/>
      </c>
      <c r="CC486" s="138" t="str">
        <f aca="false">IF(ISBLANK($C486),"",$BS486)</f>
        <v/>
      </c>
      <c r="CD486" s="138" t="str">
        <f aca="false">IF(ISBLANK($C486),"",$BR486)</f>
        <v/>
      </c>
      <c r="CE486" s="139" t="str">
        <f aca="false">IF(ISBLANK($C486),"",IF($CD486=Constants!$B$9,COUNTA($C$9:$C$508)+2,IF($CD486=Constants!$B$8,COUNTA($C$9:$C$508)+1,IF($CD486=Constants!$B$7,COUNTA($C$9:$C$508),$CD486))))</f>
        <v/>
      </c>
      <c r="CF486" s="9"/>
      <c r="CG486" s="140" t="n">
        <f aca="false">IF(OR(ISNUMBER($CD486),$CD486=Constants!$B$9,$CD486=Constants!$B$7,$CD486=Constants!$B$8),1,0)</f>
        <v>0</v>
      </c>
      <c r="CH486" s="140" t="n">
        <v>478</v>
      </c>
      <c r="CI486" s="140" t="str">
        <f aca="false">IF(ISBLANK($C486),"",IF(ISNUMBER($CE486),$CE486+ROW($B486)/1000,""))</f>
        <v/>
      </c>
      <c r="CJ486" s="140" t="str">
        <f aca="false">IF(ISNUMBER($CI486),RANK($CI486,$CI$9:$CI$508,1),"")</f>
        <v/>
      </c>
      <c r="CK486" s="140" t="str">
        <f aca="false">IF(ISBLANK($C486),"",$B486)</f>
        <v/>
      </c>
      <c r="CL486" s="140" t="str">
        <f aca="false">IF(ISBLANK($C486),"",$C486)</f>
        <v/>
      </c>
      <c r="CM486" s="140" t="str">
        <f aca="false">IF(ISBLANK($C486),"",$D486)</f>
        <v/>
      </c>
      <c r="CN486" s="141" t="str">
        <f aca="false">$CB486</f>
        <v/>
      </c>
      <c r="CO486" s="142" t="str">
        <f aca="false">$CA486</f>
        <v/>
      </c>
      <c r="CP486" s="140" t="str">
        <f aca="false">IF(ISBLANK($C486),"",$CD486)</f>
        <v/>
      </c>
      <c r="CQ486" s="143" t="str">
        <f aca="false">IF($CH486&gt;$CG$8,"",VLOOKUP($CH486,$CJ$9:$CP$508,7,FALSE()))</f>
        <v/>
      </c>
      <c r="CR486" s="144" t="str">
        <f aca="false">IF($CH486&gt;$CG$8,"",VLOOKUP($CH486,$CJ$9:$CP$508,2,FALSE()))</f>
        <v/>
      </c>
      <c r="CS486" s="144" t="str">
        <f aca="false">IF($CH486&gt;$CG$8,"",VLOOKUP($CH486,$CJ$9:$CP$508,3,FALSE()))</f>
        <v/>
      </c>
      <c r="CT486" s="144" t="str">
        <f aca="false">IF($CH486&gt;$CG$8,"",VLOOKUP($CH486,$CJ$9:$CP$508,4,FALSE()))</f>
        <v/>
      </c>
      <c r="CU486" s="144" t="str">
        <f aca="false">IF($CH486&gt;$CG$8,"",VLOOKUP($CH486,$CJ$9:$CP$508,5,FALSE()))</f>
        <v/>
      </c>
      <c r="CV486" s="145" t="str">
        <f aca="false">IF($CH486&gt;$CG$8,"",VLOOKUP($CH486,$CJ$9:$CP$508,6,FALSE()))</f>
        <v/>
      </c>
      <c r="CW486" s="71"/>
    </row>
    <row r="487" customFormat="false" ht="15.75" hidden="false" customHeight="false" outlineLevel="0" collapsed="false">
      <c r="A487" s="9"/>
      <c r="B487" s="150"/>
      <c r="C487" s="151"/>
      <c r="D487" s="152"/>
      <c r="E487" s="170"/>
      <c r="F487" s="154"/>
      <c r="G487" s="155"/>
      <c r="H487" s="171"/>
      <c r="I487" s="159"/>
      <c r="J487" s="120"/>
      <c r="K487" s="121"/>
      <c r="L487" s="122"/>
      <c r="M487" s="158"/>
      <c r="N487" s="159"/>
      <c r="O487" s="159"/>
      <c r="P487" s="120"/>
      <c r="Q487" s="122"/>
      <c r="R487" s="122"/>
      <c r="S487" s="158"/>
      <c r="T487" s="159"/>
      <c r="U487" s="126"/>
      <c r="V487" s="127"/>
      <c r="W487" s="127" t="str">
        <f aca="false">IF(ISBLANK($C487),"",IF(E487=Constants!$B$2,TRUE(),IF(E487=Constants!$B$3,FALSE(),TRUE())))</f>
        <v/>
      </c>
      <c r="X487" s="127" t="str">
        <f aca="false">IF(ISBLANK($C487),"",IF(F487=Constants!$B$2,TRUE(),IF(F487=Constants!$B$3,FALSE(),TRUE())))</f>
        <v/>
      </c>
      <c r="Y487" s="127" t="str">
        <f aca="false">IF(ISBLANK($C487),"",IF(G487=Constants!$B$2,TRUE(),IF(G487=Constants!$B$3,FALSE(),TRUE())))</f>
        <v/>
      </c>
      <c r="Z487" s="127" t="str">
        <f aca="false">IF(ISBLANK($C487),"",IF(H487=Constants!$B$2,TRUE(),IF(H487=Constants!$B$3,FALSE(),TRUE())))</f>
        <v/>
      </c>
      <c r="AA487" s="127" t="str">
        <f aca="false">IF(ISBLANK($C487),"",IF(I487=Constants!$B$2,TRUE(),IF(I487=Constants!$B$3,FALSE(),TRUE())))</f>
        <v/>
      </c>
      <c r="AB487" s="127" t="str">
        <f aca="false">IF(ISBLANK($C487),"",IF(J487=Constants!$B$4,TRUE(),IF(J487=Constants!$B$5,FALSE(),COUNTA(K487:M487)&gt;0)))</f>
        <v/>
      </c>
      <c r="AC487" s="128" t="str">
        <f aca="false">IF(ISBLANK($C487),"",IF(ISNUMBER(K487),IF(K487&gt;=0,K487,""),""))</f>
        <v/>
      </c>
      <c r="AD487" s="129" t="str">
        <f aca="false">IF(ISBLANK($C487),"",IF(ISNUMBER(L487),IF(L487&gt;=0,L487,""),""))</f>
        <v/>
      </c>
      <c r="AE487" s="127" t="str">
        <f aca="false">IF(ISBLANK($C487),"",IF(ISNUMBER(M487),IF(M487&gt;=0,MIN(M487,Constants!$B$22),""),""))</f>
        <v/>
      </c>
      <c r="AF487" s="127" t="str">
        <f aca="false">IF(ISBLANK($C487),"",IF(N487=Constants!$B$2,TRUE(),IF(N487=Constants!$B$3,FALSE(),TRUE())))</f>
        <v/>
      </c>
      <c r="AG487" s="127" t="str">
        <f aca="false">IF(ISBLANK($C487),"",IF(O487=Constants!$B$2,TRUE(),IF(O487=Constants!$B$3,FALSE(),TRUE())))</f>
        <v/>
      </c>
      <c r="AH487" s="127" t="str">
        <f aca="false">IF(ISBLANK($C487),"",IF(P487=Constants!$B$4,TRUE(),IF(P487=Constants!$B$5,FALSE(),COUNTA(Q487:S487)&gt;0)))</f>
        <v/>
      </c>
      <c r="AI487" s="128" t="str">
        <f aca="false">IF(ISBLANK($C487),"",IF(ISNUMBER(Q487),IF(Q487&gt;=0,Q487,""),""))</f>
        <v/>
      </c>
      <c r="AJ487" s="129" t="str">
        <f aca="false">IF(ISBLANK($C487),"",IF(ISNUMBER(R487),IF(R487&gt;=0,R487,""),""))</f>
        <v/>
      </c>
      <c r="AK487" s="127" t="str">
        <f aca="false">IF(ISBLANK($C487),"",IF(ISNUMBER(S487),IF(S487&gt;=0,MIN(S487,Constants!$B$22),""),""))</f>
        <v/>
      </c>
      <c r="AL487" s="127" t="str">
        <f aca="false">IF(ISBLANK($C487),"",IF(T487=Constants!$B$2,TRUE(),IF(T487=Constants!$B$3,FALSE(),FALSE())))</f>
        <v/>
      </c>
      <c r="AM487" s="126" t="str">
        <f aca="false">IF(ISBLANK($C487),"",AND($AB487,OR($AC487="",$AD487="",AND(NOT(ISBLANK($M487)),$AE487=""))))</f>
        <v/>
      </c>
      <c r="AN487" s="129" t="str">
        <f aca="false">IF($BD487&lt;&gt;Constants!$B$6,"",IF($AB487,Constants!$B$17*$AD487,Constants!$B$18))</f>
        <v/>
      </c>
      <c r="AO487" s="130" t="str">
        <f aca="false">IF($BD487&lt;&gt;Constants!$B$6,"",Constants!$B$19*IF($AB487,$AC487,0))</f>
        <v/>
      </c>
      <c r="AP487" s="130" t="str">
        <f aca="false">IF($BD487&lt;&gt;Constants!$B$6,"",IF(AND($AB487,ISNUMBER($AE487)),Constants!$B$20*(Constants!$B$21-$AE487),0))</f>
        <v/>
      </c>
      <c r="AQ487" s="130" t="str">
        <f aca="false">IF($BD487&lt;&gt;Constants!$B$6,"",IF($AA487,0,Constants!$B$12)+IF($Z487,0,Constants!$B$13)+IF($Y487,0,Constants!$B$14))</f>
        <v/>
      </c>
      <c r="AR487" s="131" t="str">
        <f aca="false">IF($BD487&lt;&gt;Constants!$B$6,"",Constants!$B$16+SUM($AN487:$AQ487))</f>
        <v/>
      </c>
      <c r="AS487" s="130" t="str">
        <f aca="false">IF($BD487&lt;&gt;Constants!$B$6,"",IF($AB487,$AD487,""))</f>
        <v/>
      </c>
      <c r="AT487" s="132" t="str">
        <f aca="false">IF($BD487&lt;&gt;Constants!$B$6,"",$AO487)</f>
        <v/>
      </c>
      <c r="AU487" s="127" t="str">
        <f aca="false">IF($BD487&lt;&gt;Constants!$B$6,"",IF(OR($BA487&lt;$AR487,AND($BA487=$AR487,OR(AND(ISNUMBER($BB487),OR(NOT(ISNUMBER($AS487)),$BB487&lt;$AS487)),AND(OR(AND($BB487="",$AS487=""),AND(ISNUMBER($BB487),ISNUMBER($AS487),$BB487=$AS487)),$BC487&lt;$AT487)))),"-&gt;","&lt;-"))</f>
        <v/>
      </c>
      <c r="AV487" s="126" t="str">
        <f aca="false">IF(ISBLANK($C487),"",AND($AH487,OR($AI487="",$AJ487="",AND(NOT(ISBLANK($S487)),$AK487=""))))</f>
        <v/>
      </c>
      <c r="AW487" s="129" t="str">
        <f aca="false">IF($BD487&lt;&gt;Constants!$B$6,"",IF($AH487,Constants!$B$17*$AJ487,Constants!$B$18))</f>
        <v/>
      </c>
      <c r="AX487" s="130" t="str">
        <f aca="false">IF($BD487&lt;&gt;Constants!$B$6,"",Constants!$B$19*IF($AH487,$AI487,0))</f>
        <v/>
      </c>
      <c r="AY487" s="130" t="str">
        <f aca="false">IF($BD487&lt;&gt;Constants!$B$6,"",IF(AND($AH487,ISNUMBER($AK487)),Constants!$B$20*(Constants!$B$21-$AK487),0))</f>
        <v/>
      </c>
      <c r="AZ487" s="130" t="str">
        <f aca="false">IF($BD487&lt;&gt;Constants!$B$6,"",IF($AG487,0,Constants!$B$12)+IF($AF487,0,Constants!$B$13)+IF($Y487,0,Constants!$B$14))</f>
        <v/>
      </c>
      <c r="BA487" s="131" t="str">
        <f aca="false">IF($BD487&lt;&gt;Constants!$B$6,"",Constants!$B$16+SUM($AW487:$AZ487))</f>
        <v/>
      </c>
      <c r="BB487" s="130" t="str">
        <f aca="false">IF($BD487&lt;&gt;Constants!$B$6,"",IF($AH487,$AJ487,""))</f>
        <v/>
      </c>
      <c r="BC487" s="132" t="str">
        <f aca="false">IF($BD487&lt;&gt;Constants!$B$6,"",$AX487)</f>
        <v/>
      </c>
      <c r="BD487" s="127" t="str">
        <f aca="false">IF(ISBLANK($C487),"",IF($AL487,Constants!$B$9,IF(COUNTA($E487:$T487)=0,Constants!$B$8,IF(NOT($X487),Constants!$B$7,IF(OR($AM487,$AV487),Constants!$B$10,Constants!$B$6)))))</f>
        <v/>
      </c>
      <c r="BE487" s="127" t="str">
        <f aca="false">IF(ISBLANK($C487),"",IF($BD487&lt;&gt;Constants!$B$6,$BD487,Constants!$B$11))</f>
        <v/>
      </c>
      <c r="BF487" s="130" t="str">
        <f aca="false">IF($BD487&lt;&gt;Constants!$B$6,"",IF($AU487="-&gt;",$BA487,$AR487))</f>
        <v/>
      </c>
      <c r="BG487" s="130" t="str">
        <f aca="false">IF($BD487&lt;&gt;Constants!$B$6,"",IF($W487,0,Constants!$B$15))</f>
        <v/>
      </c>
      <c r="BH487" s="130" t="str">
        <f aca="false">IF(ISBLANK($C487),"",IF($BD487&lt;&gt;Constants!$B$6,$BD487,SUM($BF487:$BG487)))</f>
        <v/>
      </c>
      <c r="BI487" s="127" t="str">
        <f aca="false">IF(ISBLANK($C487),"",IF($BD487&lt;&gt;Constants!$B$6,$BD487,RANK($BH487,$BH$9:$BH$508,1)))</f>
        <v/>
      </c>
      <c r="BJ487" s="130" t="str">
        <f aca="false">IF($BD487&lt;&gt;Constants!$B$6,"",IF($AU487="-&gt;",$BB487,$AS487))</f>
        <v/>
      </c>
      <c r="BK487" s="127" t="str">
        <f aca="false">IF(ISBLANK($C487),"",IF($BD487&lt;&gt;Constants!$B$6,$BD487,IF(ISNUMBER($BJ487),RANK($BJ487,$BJ$9:$BJ$508,1),COUNT($BJ$9:$BJ$508)+1)))</f>
        <v/>
      </c>
      <c r="BL487" s="130" t="str">
        <f aca="false">IF($BD487&lt;&gt;Constants!$B$6,"",IF($AU487="-&gt;",$BC487,$AT487))</f>
        <v/>
      </c>
      <c r="BM487" s="127" t="str">
        <f aca="false">IF(ISBLANK($C487),"",IF($BD487&lt;&gt;Constants!$B$6,$BD487,IF(ISNUMBER($BL487),RANK($BL487,$BL$9:$BL$508,1),COUNT($BL$9:$BL$508)+1)))</f>
        <v/>
      </c>
      <c r="BN487" s="130" t="str">
        <f aca="false">IF($BD487&lt;&gt;Constants!$B$6,"",IF($AU487="-&gt;",$AS487,$BB487))</f>
        <v/>
      </c>
      <c r="BO487" s="127" t="str">
        <f aca="false">IF(ISBLANK($C487),"",IF($BD487&lt;&gt;Constants!$B$6,$BD487,IF(ISNUMBER($BN487),RANK($BN487,$BN$9:$BN$508,1),COUNT($BN$9:$BN$508)+1)))</f>
        <v/>
      </c>
      <c r="BP487" s="130" t="str">
        <f aca="false">IF($BD487&lt;&gt;Constants!$B$6,"",IF($AU487="-&gt;",$AT487,$BC487))</f>
        <v/>
      </c>
      <c r="BQ487" s="127" t="str">
        <f aca="false">IF(ISBLANK($C487),"",IF($BD487&lt;&gt;Constants!$B$6,$BD487,IF(ISNUMBER($BP487),RANK($BP487,$BP$9:$BP$508,1),COUNT($BP$9:$BP$508)+1)))</f>
        <v/>
      </c>
      <c r="BR487" s="127" t="str">
        <f aca="false">IF(ISBLANK($C487),"",IF($BD487&lt;&gt;Constants!$B$6,$BD487,COUNTIFS($BI$9:$BI$508,"&lt;"&amp;$BI487)+COUNTIFS($BI$9:$BI$508,$BI487,$BK$9:$BK$508,"&lt;"&amp;$BK487)+COUNTIFS($BI$9:$BI$508,$BI487,$BK$9:$BK$508,$BK487,$BM$9:$BM$508,"&lt;"&amp;$BM487)+COUNTIFS($BI$9:$BI$508,$BI487,$BK$9:$BK$508,$BK487,$BM$9:$BM$508,$BM487,$BO$9:$BO$508,"&lt;"&amp;$BO487)+COUNTIFS($BI$9:$BI$508,$BI487,$BK$9:$BK$508,$BK487,$BM$9:$BM$508,$BM487,$BO$9:$BO$508,$BO487,$BQ$9:$BQ$508,"&lt;"&amp;$BQ487)+1))</f>
        <v/>
      </c>
      <c r="BS487" s="127" t="str">
        <f aca="false">IF(ISBLANK($C487),"",IF($BD487&lt;&gt;Constants!$B$6,$BD487,$BI487-$BR487))</f>
        <v/>
      </c>
      <c r="BT487" s="133"/>
      <c r="BU487" s="134"/>
      <c r="BV487" s="134" t="str">
        <f aca="false">IF(ISBLANK($C487),"",IF($BD487&lt;&gt;Constants!$B$6,"",IF($AU487="-&gt;",2,1)))</f>
        <v/>
      </c>
      <c r="BW487" s="135" t="str">
        <f aca="false">IF(ISBLANK($C487),"",IF($BD487&lt;&gt;Constants!$B$6,"",IF($AU487="-&gt;",$AW487,$AN487)))</f>
        <v/>
      </c>
      <c r="BX487" s="135" t="str">
        <f aca="false">IF(ISBLANK($C487),"",IF($BD487&lt;&gt;Constants!$B$6,"",IF($AU487="-&gt;",$AX487,$AO487)))</f>
        <v/>
      </c>
      <c r="BY487" s="135" t="str">
        <f aca="false">IF(ISBLANK($C487),"",IF($BD487&lt;&gt;Constants!$B$6,"",IF($AU487="-&gt;",$AY487,$AP487)))</f>
        <v/>
      </c>
      <c r="BZ487" s="135" t="str">
        <f aca="false">IF(ISBLANK($C487),"",IF($BD487&lt;&gt;Constants!$B$6,"",IF($AU487="-&gt;",$AZ487,$AQ487)+$BG487))</f>
        <v/>
      </c>
      <c r="CA487" s="136" t="str">
        <f aca="false">IF(ISBLANK($C487),"",IF($BD487&lt;&gt;Constants!$B$6,$BD487,$BH487))</f>
        <v/>
      </c>
      <c r="CB487" s="137" t="str">
        <f aca="false">IF(ISBLANK($C487),"",$BE487)</f>
        <v/>
      </c>
      <c r="CC487" s="138" t="str">
        <f aca="false">IF(ISBLANK($C487),"",$BS487)</f>
        <v/>
      </c>
      <c r="CD487" s="138" t="str">
        <f aca="false">IF(ISBLANK($C487),"",$BR487)</f>
        <v/>
      </c>
      <c r="CE487" s="139" t="str">
        <f aca="false">IF(ISBLANK($C487),"",IF($CD487=Constants!$B$9,COUNTA($C$9:$C$508)+2,IF($CD487=Constants!$B$8,COUNTA($C$9:$C$508)+1,IF($CD487=Constants!$B$7,COUNTA($C$9:$C$508),$CD487))))</f>
        <v/>
      </c>
      <c r="CF487" s="9"/>
      <c r="CG487" s="140" t="n">
        <f aca="false">IF(OR(ISNUMBER($CD487),$CD487=Constants!$B$9,$CD487=Constants!$B$7,$CD487=Constants!$B$8),1,0)</f>
        <v>0</v>
      </c>
      <c r="CH487" s="140" t="n">
        <v>479</v>
      </c>
      <c r="CI487" s="140" t="str">
        <f aca="false">IF(ISBLANK($C487),"",IF(ISNUMBER($CE487),$CE487+ROW($B487)/1000,""))</f>
        <v/>
      </c>
      <c r="CJ487" s="140" t="str">
        <f aca="false">IF(ISNUMBER($CI487),RANK($CI487,$CI$9:$CI$508,1),"")</f>
        <v/>
      </c>
      <c r="CK487" s="140" t="str">
        <f aca="false">IF(ISBLANK($C487),"",$B487)</f>
        <v/>
      </c>
      <c r="CL487" s="140" t="str">
        <f aca="false">IF(ISBLANK($C487),"",$C487)</f>
        <v/>
      </c>
      <c r="CM487" s="140" t="str">
        <f aca="false">IF(ISBLANK($C487),"",$D487)</f>
        <v/>
      </c>
      <c r="CN487" s="141" t="str">
        <f aca="false">$CB487</f>
        <v/>
      </c>
      <c r="CO487" s="142" t="str">
        <f aca="false">$CA487</f>
        <v/>
      </c>
      <c r="CP487" s="140" t="str">
        <f aca="false">IF(ISBLANK($C487),"",$CD487)</f>
        <v/>
      </c>
      <c r="CQ487" s="143" t="str">
        <f aca="false">IF($CH487&gt;$CG$8,"",VLOOKUP($CH487,$CJ$9:$CP$508,7,FALSE()))</f>
        <v/>
      </c>
      <c r="CR487" s="144" t="str">
        <f aca="false">IF($CH487&gt;$CG$8,"",VLOOKUP($CH487,$CJ$9:$CP$508,2,FALSE()))</f>
        <v/>
      </c>
      <c r="CS487" s="144" t="str">
        <f aca="false">IF($CH487&gt;$CG$8,"",VLOOKUP($CH487,$CJ$9:$CP$508,3,FALSE()))</f>
        <v/>
      </c>
      <c r="CT487" s="144" t="str">
        <f aca="false">IF($CH487&gt;$CG$8,"",VLOOKUP($CH487,$CJ$9:$CP$508,4,FALSE()))</f>
        <v/>
      </c>
      <c r="CU487" s="144" t="str">
        <f aca="false">IF($CH487&gt;$CG$8,"",VLOOKUP($CH487,$CJ$9:$CP$508,5,FALSE()))</f>
        <v/>
      </c>
      <c r="CV487" s="145" t="str">
        <f aca="false">IF($CH487&gt;$CG$8,"",VLOOKUP($CH487,$CJ$9:$CP$508,6,FALSE()))</f>
        <v/>
      </c>
      <c r="CW487" s="71"/>
    </row>
    <row r="488" customFormat="false" ht="15.75" hidden="false" customHeight="false" outlineLevel="0" collapsed="false">
      <c r="A488" s="9"/>
      <c r="B488" s="150"/>
      <c r="C488" s="151"/>
      <c r="D488" s="152"/>
      <c r="E488" s="170"/>
      <c r="F488" s="154"/>
      <c r="G488" s="155"/>
      <c r="H488" s="171"/>
      <c r="I488" s="159"/>
      <c r="J488" s="120"/>
      <c r="K488" s="121"/>
      <c r="L488" s="122"/>
      <c r="M488" s="158"/>
      <c r="N488" s="159"/>
      <c r="O488" s="159"/>
      <c r="P488" s="120"/>
      <c r="Q488" s="122"/>
      <c r="R488" s="122"/>
      <c r="S488" s="158"/>
      <c r="T488" s="159"/>
      <c r="U488" s="126"/>
      <c r="V488" s="127"/>
      <c r="W488" s="127" t="str">
        <f aca="false">IF(ISBLANK($C488),"",IF(E488=Constants!$B$2,TRUE(),IF(E488=Constants!$B$3,FALSE(),TRUE())))</f>
        <v/>
      </c>
      <c r="X488" s="127" t="str">
        <f aca="false">IF(ISBLANK($C488),"",IF(F488=Constants!$B$2,TRUE(),IF(F488=Constants!$B$3,FALSE(),TRUE())))</f>
        <v/>
      </c>
      <c r="Y488" s="127" t="str">
        <f aca="false">IF(ISBLANK($C488),"",IF(G488=Constants!$B$2,TRUE(),IF(G488=Constants!$B$3,FALSE(),TRUE())))</f>
        <v/>
      </c>
      <c r="Z488" s="127" t="str">
        <f aca="false">IF(ISBLANK($C488),"",IF(H488=Constants!$B$2,TRUE(),IF(H488=Constants!$B$3,FALSE(),TRUE())))</f>
        <v/>
      </c>
      <c r="AA488" s="127" t="str">
        <f aca="false">IF(ISBLANK($C488),"",IF(I488=Constants!$B$2,TRUE(),IF(I488=Constants!$B$3,FALSE(),TRUE())))</f>
        <v/>
      </c>
      <c r="AB488" s="127" t="str">
        <f aca="false">IF(ISBLANK($C488),"",IF(J488=Constants!$B$4,TRUE(),IF(J488=Constants!$B$5,FALSE(),COUNTA(K488:M488)&gt;0)))</f>
        <v/>
      </c>
      <c r="AC488" s="128" t="str">
        <f aca="false">IF(ISBLANK($C488),"",IF(ISNUMBER(K488),IF(K488&gt;=0,K488,""),""))</f>
        <v/>
      </c>
      <c r="AD488" s="129" t="str">
        <f aca="false">IF(ISBLANK($C488),"",IF(ISNUMBER(L488),IF(L488&gt;=0,L488,""),""))</f>
        <v/>
      </c>
      <c r="AE488" s="127" t="str">
        <f aca="false">IF(ISBLANK($C488),"",IF(ISNUMBER(M488),IF(M488&gt;=0,MIN(M488,Constants!$B$22),""),""))</f>
        <v/>
      </c>
      <c r="AF488" s="127" t="str">
        <f aca="false">IF(ISBLANK($C488),"",IF(N488=Constants!$B$2,TRUE(),IF(N488=Constants!$B$3,FALSE(),TRUE())))</f>
        <v/>
      </c>
      <c r="AG488" s="127" t="str">
        <f aca="false">IF(ISBLANK($C488),"",IF(O488=Constants!$B$2,TRUE(),IF(O488=Constants!$B$3,FALSE(),TRUE())))</f>
        <v/>
      </c>
      <c r="AH488" s="127" t="str">
        <f aca="false">IF(ISBLANK($C488),"",IF(P488=Constants!$B$4,TRUE(),IF(P488=Constants!$B$5,FALSE(),COUNTA(Q488:S488)&gt;0)))</f>
        <v/>
      </c>
      <c r="AI488" s="128" t="str">
        <f aca="false">IF(ISBLANK($C488),"",IF(ISNUMBER(Q488),IF(Q488&gt;=0,Q488,""),""))</f>
        <v/>
      </c>
      <c r="AJ488" s="129" t="str">
        <f aca="false">IF(ISBLANK($C488),"",IF(ISNUMBER(R488),IF(R488&gt;=0,R488,""),""))</f>
        <v/>
      </c>
      <c r="AK488" s="127" t="str">
        <f aca="false">IF(ISBLANK($C488),"",IF(ISNUMBER(S488),IF(S488&gt;=0,MIN(S488,Constants!$B$22),""),""))</f>
        <v/>
      </c>
      <c r="AL488" s="127" t="str">
        <f aca="false">IF(ISBLANK($C488),"",IF(T488=Constants!$B$2,TRUE(),IF(T488=Constants!$B$3,FALSE(),FALSE())))</f>
        <v/>
      </c>
      <c r="AM488" s="126" t="str">
        <f aca="false">IF(ISBLANK($C488),"",AND($AB488,OR($AC488="",$AD488="",AND(NOT(ISBLANK($M488)),$AE488=""))))</f>
        <v/>
      </c>
      <c r="AN488" s="129" t="str">
        <f aca="false">IF($BD488&lt;&gt;Constants!$B$6,"",IF($AB488,Constants!$B$17*$AD488,Constants!$B$18))</f>
        <v/>
      </c>
      <c r="AO488" s="130" t="str">
        <f aca="false">IF($BD488&lt;&gt;Constants!$B$6,"",Constants!$B$19*IF($AB488,$AC488,0))</f>
        <v/>
      </c>
      <c r="AP488" s="130" t="str">
        <f aca="false">IF($BD488&lt;&gt;Constants!$B$6,"",IF(AND($AB488,ISNUMBER($AE488)),Constants!$B$20*(Constants!$B$21-$AE488),0))</f>
        <v/>
      </c>
      <c r="AQ488" s="130" t="str">
        <f aca="false">IF($BD488&lt;&gt;Constants!$B$6,"",IF($AA488,0,Constants!$B$12)+IF($Z488,0,Constants!$B$13)+IF($Y488,0,Constants!$B$14))</f>
        <v/>
      </c>
      <c r="AR488" s="131" t="str">
        <f aca="false">IF($BD488&lt;&gt;Constants!$B$6,"",Constants!$B$16+SUM($AN488:$AQ488))</f>
        <v/>
      </c>
      <c r="AS488" s="130" t="str">
        <f aca="false">IF($BD488&lt;&gt;Constants!$B$6,"",IF($AB488,$AD488,""))</f>
        <v/>
      </c>
      <c r="AT488" s="132" t="str">
        <f aca="false">IF($BD488&lt;&gt;Constants!$B$6,"",$AO488)</f>
        <v/>
      </c>
      <c r="AU488" s="127" t="str">
        <f aca="false">IF($BD488&lt;&gt;Constants!$B$6,"",IF(OR($BA488&lt;$AR488,AND($BA488=$AR488,OR(AND(ISNUMBER($BB488),OR(NOT(ISNUMBER($AS488)),$BB488&lt;$AS488)),AND(OR(AND($BB488="",$AS488=""),AND(ISNUMBER($BB488),ISNUMBER($AS488),$BB488=$AS488)),$BC488&lt;$AT488)))),"-&gt;","&lt;-"))</f>
        <v/>
      </c>
      <c r="AV488" s="126" t="str">
        <f aca="false">IF(ISBLANK($C488),"",AND($AH488,OR($AI488="",$AJ488="",AND(NOT(ISBLANK($S488)),$AK488=""))))</f>
        <v/>
      </c>
      <c r="AW488" s="129" t="str">
        <f aca="false">IF($BD488&lt;&gt;Constants!$B$6,"",IF($AH488,Constants!$B$17*$AJ488,Constants!$B$18))</f>
        <v/>
      </c>
      <c r="AX488" s="130" t="str">
        <f aca="false">IF($BD488&lt;&gt;Constants!$B$6,"",Constants!$B$19*IF($AH488,$AI488,0))</f>
        <v/>
      </c>
      <c r="AY488" s="130" t="str">
        <f aca="false">IF($BD488&lt;&gt;Constants!$B$6,"",IF(AND($AH488,ISNUMBER($AK488)),Constants!$B$20*(Constants!$B$21-$AK488),0))</f>
        <v/>
      </c>
      <c r="AZ488" s="130" t="str">
        <f aca="false">IF($BD488&lt;&gt;Constants!$B$6,"",IF($AG488,0,Constants!$B$12)+IF($AF488,0,Constants!$B$13)+IF($Y488,0,Constants!$B$14))</f>
        <v/>
      </c>
      <c r="BA488" s="131" t="str">
        <f aca="false">IF($BD488&lt;&gt;Constants!$B$6,"",Constants!$B$16+SUM($AW488:$AZ488))</f>
        <v/>
      </c>
      <c r="BB488" s="130" t="str">
        <f aca="false">IF($BD488&lt;&gt;Constants!$B$6,"",IF($AH488,$AJ488,""))</f>
        <v/>
      </c>
      <c r="BC488" s="132" t="str">
        <f aca="false">IF($BD488&lt;&gt;Constants!$B$6,"",$AX488)</f>
        <v/>
      </c>
      <c r="BD488" s="127" t="str">
        <f aca="false">IF(ISBLANK($C488),"",IF($AL488,Constants!$B$9,IF(COUNTA($E488:$T488)=0,Constants!$B$8,IF(NOT($X488),Constants!$B$7,IF(OR($AM488,$AV488),Constants!$B$10,Constants!$B$6)))))</f>
        <v/>
      </c>
      <c r="BE488" s="127" t="str">
        <f aca="false">IF(ISBLANK($C488),"",IF($BD488&lt;&gt;Constants!$B$6,$BD488,Constants!$B$11))</f>
        <v/>
      </c>
      <c r="BF488" s="130" t="str">
        <f aca="false">IF($BD488&lt;&gt;Constants!$B$6,"",IF($AU488="-&gt;",$BA488,$AR488))</f>
        <v/>
      </c>
      <c r="BG488" s="130" t="str">
        <f aca="false">IF($BD488&lt;&gt;Constants!$B$6,"",IF($W488,0,Constants!$B$15))</f>
        <v/>
      </c>
      <c r="BH488" s="130" t="str">
        <f aca="false">IF(ISBLANK($C488),"",IF($BD488&lt;&gt;Constants!$B$6,$BD488,SUM($BF488:$BG488)))</f>
        <v/>
      </c>
      <c r="BI488" s="127" t="str">
        <f aca="false">IF(ISBLANK($C488),"",IF($BD488&lt;&gt;Constants!$B$6,$BD488,RANK($BH488,$BH$9:$BH$508,1)))</f>
        <v/>
      </c>
      <c r="BJ488" s="130" t="str">
        <f aca="false">IF($BD488&lt;&gt;Constants!$B$6,"",IF($AU488="-&gt;",$BB488,$AS488))</f>
        <v/>
      </c>
      <c r="BK488" s="127" t="str">
        <f aca="false">IF(ISBLANK($C488),"",IF($BD488&lt;&gt;Constants!$B$6,$BD488,IF(ISNUMBER($BJ488),RANK($BJ488,$BJ$9:$BJ$508,1),COUNT($BJ$9:$BJ$508)+1)))</f>
        <v/>
      </c>
      <c r="BL488" s="130" t="str">
        <f aca="false">IF($BD488&lt;&gt;Constants!$B$6,"",IF($AU488="-&gt;",$BC488,$AT488))</f>
        <v/>
      </c>
      <c r="BM488" s="127" t="str">
        <f aca="false">IF(ISBLANK($C488),"",IF($BD488&lt;&gt;Constants!$B$6,$BD488,IF(ISNUMBER($BL488),RANK($BL488,$BL$9:$BL$508,1),COUNT($BL$9:$BL$508)+1)))</f>
        <v/>
      </c>
      <c r="BN488" s="130" t="str">
        <f aca="false">IF($BD488&lt;&gt;Constants!$B$6,"",IF($AU488="-&gt;",$AS488,$BB488))</f>
        <v/>
      </c>
      <c r="BO488" s="127" t="str">
        <f aca="false">IF(ISBLANK($C488),"",IF($BD488&lt;&gt;Constants!$B$6,$BD488,IF(ISNUMBER($BN488),RANK($BN488,$BN$9:$BN$508,1),COUNT($BN$9:$BN$508)+1)))</f>
        <v/>
      </c>
      <c r="BP488" s="130" t="str">
        <f aca="false">IF($BD488&lt;&gt;Constants!$B$6,"",IF($AU488="-&gt;",$AT488,$BC488))</f>
        <v/>
      </c>
      <c r="BQ488" s="127" t="str">
        <f aca="false">IF(ISBLANK($C488),"",IF($BD488&lt;&gt;Constants!$B$6,$BD488,IF(ISNUMBER($BP488),RANK($BP488,$BP$9:$BP$508,1),COUNT($BP$9:$BP$508)+1)))</f>
        <v/>
      </c>
      <c r="BR488" s="127" t="str">
        <f aca="false">IF(ISBLANK($C488),"",IF($BD488&lt;&gt;Constants!$B$6,$BD488,COUNTIFS($BI$9:$BI$508,"&lt;"&amp;$BI488)+COUNTIFS($BI$9:$BI$508,$BI488,$BK$9:$BK$508,"&lt;"&amp;$BK488)+COUNTIFS($BI$9:$BI$508,$BI488,$BK$9:$BK$508,$BK488,$BM$9:$BM$508,"&lt;"&amp;$BM488)+COUNTIFS($BI$9:$BI$508,$BI488,$BK$9:$BK$508,$BK488,$BM$9:$BM$508,$BM488,$BO$9:$BO$508,"&lt;"&amp;$BO488)+COUNTIFS($BI$9:$BI$508,$BI488,$BK$9:$BK$508,$BK488,$BM$9:$BM$508,$BM488,$BO$9:$BO$508,$BO488,$BQ$9:$BQ$508,"&lt;"&amp;$BQ488)+1))</f>
        <v/>
      </c>
      <c r="BS488" s="127" t="str">
        <f aca="false">IF(ISBLANK($C488),"",IF($BD488&lt;&gt;Constants!$B$6,$BD488,$BI488-$BR488))</f>
        <v/>
      </c>
      <c r="BT488" s="133"/>
      <c r="BU488" s="134"/>
      <c r="BV488" s="134" t="str">
        <f aca="false">IF(ISBLANK($C488),"",IF($BD488&lt;&gt;Constants!$B$6,"",IF($AU488="-&gt;",2,1)))</f>
        <v/>
      </c>
      <c r="BW488" s="135" t="str">
        <f aca="false">IF(ISBLANK($C488),"",IF($BD488&lt;&gt;Constants!$B$6,"",IF($AU488="-&gt;",$AW488,$AN488)))</f>
        <v/>
      </c>
      <c r="BX488" s="135" t="str">
        <f aca="false">IF(ISBLANK($C488),"",IF($BD488&lt;&gt;Constants!$B$6,"",IF($AU488="-&gt;",$AX488,$AO488)))</f>
        <v/>
      </c>
      <c r="BY488" s="135" t="str">
        <f aca="false">IF(ISBLANK($C488),"",IF($BD488&lt;&gt;Constants!$B$6,"",IF($AU488="-&gt;",$AY488,$AP488)))</f>
        <v/>
      </c>
      <c r="BZ488" s="135" t="str">
        <f aca="false">IF(ISBLANK($C488),"",IF($BD488&lt;&gt;Constants!$B$6,"",IF($AU488="-&gt;",$AZ488,$AQ488)+$BG488))</f>
        <v/>
      </c>
      <c r="CA488" s="136" t="str">
        <f aca="false">IF(ISBLANK($C488),"",IF($BD488&lt;&gt;Constants!$B$6,$BD488,$BH488))</f>
        <v/>
      </c>
      <c r="CB488" s="137" t="str">
        <f aca="false">IF(ISBLANK($C488),"",$BE488)</f>
        <v/>
      </c>
      <c r="CC488" s="138" t="str">
        <f aca="false">IF(ISBLANK($C488),"",$BS488)</f>
        <v/>
      </c>
      <c r="CD488" s="138" t="str">
        <f aca="false">IF(ISBLANK($C488),"",$BR488)</f>
        <v/>
      </c>
      <c r="CE488" s="139" t="str">
        <f aca="false">IF(ISBLANK($C488),"",IF($CD488=Constants!$B$9,COUNTA($C$9:$C$508)+2,IF($CD488=Constants!$B$8,COUNTA($C$9:$C$508)+1,IF($CD488=Constants!$B$7,COUNTA($C$9:$C$508),$CD488))))</f>
        <v/>
      </c>
      <c r="CF488" s="9"/>
      <c r="CG488" s="140" t="n">
        <f aca="false">IF(OR(ISNUMBER($CD488),$CD488=Constants!$B$9,$CD488=Constants!$B$7,$CD488=Constants!$B$8),1,0)</f>
        <v>0</v>
      </c>
      <c r="CH488" s="140" t="n">
        <v>480</v>
      </c>
      <c r="CI488" s="140" t="str">
        <f aca="false">IF(ISBLANK($C488),"",IF(ISNUMBER($CE488),$CE488+ROW($B488)/1000,""))</f>
        <v/>
      </c>
      <c r="CJ488" s="140" t="str">
        <f aca="false">IF(ISNUMBER($CI488),RANK($CI488,$CI$9:$CI$508,1),"")</f>
        <v/>
      </c>
      <c r="CK488" s="140" t="str">
        <f aca="false">IF(ISBLANK($C488),"",$B488)</f>
        <v/>
      </c>
      <c r="CL488" s="140" t="str">
        <f aca="false">IF(ISBLANK($C488),"",$C488)</f>
        <v/>
      </c>
      <c r="CM488" s="140" t="str">
        <f aca="false">IF(ISBLANK($C488),"",$D488)</f>
        <v/>
      </c>
      <c r="CN488" s="141" t="str">
        <f aca="false">$CB488</f>
        <v/>
      </c>
      <c r="CO488" s="142" t="str">
        <f aca="false">$CA488</f>
        <v/>
      </c>
      <c r="CP488" s="140" t="str">
        <f aca="false">IF(ISBLANK($C488),"",$CD488)</f>
        <v/>
      </c>
      <c r="CQ488" s="143" t="str">
        <f aca="false">IF($CH488&gt;$CG$8,"",VLOOKUP($CH488,$CJ$9:$CP$508,7,FALSE()))</f>
        <v/>
      </c>
      <c r="CR488" s="144" t="str">
        <f aca="false">IF($CH488&gt;$CG$8,"",VLOOKUP($CH488,$CJ$9:$CP$508,2,FALSE()))</f>
        <v/>
      </c>
      <c r="CS488" s="144" t="str">
        <f aca="false">IF($CH488&gt;$CG$8,"",VLOOKUP($CH488,$CJ$9:$CP$508,3,FALSE()))</f>
        <v/>
      </c>
      <c r="CT488" s="144" t="str">
        <f aca="false">IF($CH488&gt;$CG$8,"",VLOOKUP($CH488,$CJ$9:$CP$508,4,FALSE()))</f>
        <v/>
      </c>
      <c r="CU488" s="144" t="str">
        <f aca="false">IF($CH488&gt;$CG$8,"",VLOOKUP($CH488,$CJ$9:$CP$508,5,FALSE()))</f>
        <v/>
      </c>
      <c r="CV488" s="145" t="str">
        <f aca="false">IF($CH488&gt;$CG$8,"",VLOOKUP($CH488,$CJ$9:$CP$508,6,FALSE()))</f>
        <v/>
      </c>
      <c r="CW488" s="71"/>
    </row>
    <row r="489" customFormat="false" ht="15.75" hidden="false" customHeight="false" outlineLevel="0" collapsed="false">
      <c r="A489" s="9"/>
      <c r="B489" s="72"/>
      <c r="C489" s="73"/>
      <c r="D489" s="160"/>
      <c r="E489" s="168"/>
      <c r="F489" s="162"/>
      <c r="G489" s="163"/>
      <c r="H489" s="169"/>
      <c r="I489" s="167"/>
      <c r="J489" s="80"/>
      <c r="K489" s="81"/>
      <c r="L489" s="82"/>
      <c r="M489" s="166"/>
      <c r="N489" s="167"/>
      <c r="O489" s="167"/>
      <c r="P489" s="80"/>
      <c r="Q489" s="82"/>
      <c r="R489" s="82"/>
      <c r="S489" s="166"/>
      <c r="T489" s="167"/>
      <c r="U489" s="86"/>
      <c r="V489" s="87"/>
      <c r="W489" s="87" t="str">
        <f aca="false">IF(ISBLANK($C489),"",IF(E489=Constants!$B$2,TRUE(),IF(E489=Constants!$B$3,FALSE(),TRUE())))</f>
        <v/>
      </c>
      <c r="X489" s="87" t="str">
        <f aca="false">IF(ISBLANK($C489),"",IF(F489=Constants!$B$2,TRUE(),IF(F489=Constants!$B$3,FALSE(),TRUE())))</f>
        <v/>
      </c>
      <c r="Y489" s="87" t="str">
        <f aca="false">IF(ISBLANK($C489),"",IF(G489=Constants!$B$2,TRUE(),IF(G489=Constants!$B$3,FALSE(),TRUE())))</f>
        <v/>
      </c>
      <c r="Z489" s="87" t="str">
        <f aca="false">IF(ISBLANK($C489),"",IF(H489=Constants!$B$2,TRUE(),IF(H489=Constants!$B$3,FALSE(),TRUE())))</f>
        <v/>
      </c>
      <c r="AA489" s="87" t="str">
        <f aca="false">IF(ISBLANK($C489),"",IF(I489=Constants!$B$2,TRUE(),IF(I489=Constants!$B$3,FALSE(),TRUE())))</f>
        <v/>
      </c>
      <c r="AB489" s="87" t="str">
        <f aca="false">IF(ISBLANK($C489),"",IF(J489=Constants!$B$4,TRUE(),IF(J489=Constants!$B$5,FALSE(),COUNTA(K489:M489)&gt;0)))</f>
        <v/>
      </c>
      <c r="AC489" s="88" t="str">
        <f aca="false">IF(ISBLANK($C489),"",IF(ISNUMBER(K489),IF(K489&gt;=0,K489,""),""))</f>
        <v/>
      </c>
      <c r="AD489" s="89" t="str">
        <f aca="false">IF(ISBLANK($C489),"",IF(ISNUMBER(L489),IF(L489&gt;=0,L489,""),""))</f>
        <v/>
      </c>
      <c r="AE489" s="87" t="str">
        <f aca="false">IF(ISBLANK($C489),"",IF(ISNUMBER(M489),IF(M489&gt;=0,MIN(M489,Constants!$B$22),""),""))</f>
        <v/>
      </c>
      <c r="AF489" s="87" t="str">
        <f aca="false">IF(ISBLANK($C489),"",IF(N489=Constants!$B$2,TRUE(),IF(N489=Constants!$B$3,FALSE(),TRUE())))</f>
        <v/>
      </c>
      <c r="AG489" s="87" t="str">
        <f aca="false">IF(ISBLANK($C489),"",IF(O489=Constants!$B$2,TRUE(),IF(O489=Constants!$B$3,FALSE(),TRUE())))</f>
        <v/>
      </c>
      <c r="AH489" s="87" t="str">
        <f aca="false">IF(ISBLANK($C489),"",IF(P489=Constants!$B$4,TRUE(),IF(P489=Constants!$B$5,FALSE(),COUNTA(Q489:S489)&gt;0)))</f>
        <v/>
      </c>
      <c r="AI489" s="88" t="str">
        <f aca="false">IF(ISBLANK($C489),"",IF(ISNUMBER(Q489),IF(Q489&gt;=0,Q489,""),""))</f>
        <v/>
      </c>
      <c r="AJ489" s="89" t="str">
        <f aca="false">IF(ISBLANK($C489),"",IF(ISNUMBER(R489),IF(R489&gt;=0,R489,""),""))</f>
        <v/>
      </c>
      <c r="AK489" s="87" t="str">
        <f aca="false">IF(ISBLANK($C489),"",IF(ISNUMBER(S489),IF(S489&gt;=0,MIN(S489,Constants!$B$22),""),""))</f>
        <v/>
      </c>
      <c r="AL489" s="87" t="str">
        <f aca="false">IF(ISBLANK($C489),"",IF(T489=Constants!$B$2,TRUE(),IF(T489=Constants!$B$3,FALSE(),FALSE())))</f>
        <v/>
      </c>
      <c r="AM489" s="86" t="str">
        <f aca="false">IF(ISBLANK($C489),"",AND($AB489,OR($AC489="",$AD489="",AND(NOT(ISBLANK($M489)),$AE489=""))))</f>
        <v/>
      </c>
      <c r="AN489" s="89" t="str">
        <f aca="false">IF($BD489&lt;&gt;Constants!$B$6,"",IF($AB489,Constants!$B$17*$AD489,Constants!$B$18))</f>
        <v/>
      </c>
      <c r="AO489" s="91" t="str">
        <f aca="false">IF($BD489&lt;&gt;Constants!$B$6,"",Constants!$B$19*IF($AB489,$AC489,0))</f>
        <v/>
      </c>
      <c r="AP489" s="91" t="str">
        <f aca="false">IF($BD489&lt;&gt;Constants!$B$6,"",IF(AND($AB489,ISNUMBER($AE489)),Constants!$B$20*(Constants!$B$21-$AE489),0))</f>
        <v/>
      </c>
      <c r="AQ489" s="91" t="str">
        <f aca="false">IF($BD489&lt;&gt;Constants!$B$6,"",IF($AA489,0,Constants!$B$12)+IF($Z489,0,Constants!$B$13)+IF($Y489,0,Constants!$B$14))</f>
        <v/>
      </c>
      <c r="AR489" s="92" t="str">
        <f aca="false">IF($BD489&lt;&gt;Constants!$B$6,"",Constants!$B$16+SUM($AN489:$AQ489))</f>
        <v/>
      </c>
      <c r="AS489" s="91" t="str">
        <f aca="false">IF($BD489&lt;&gt;Constants!$B$6,"",IF($AB489,$AD489,""))</f>
        <v/>
      </c>
      <c r="AT489" s="93" t="str">
        <f aca="false">IF($BD489&lt;&gt;Constants!$B$6,"",$AO489)</f>
        <v/>
      </c>
      <c r="AU489" s="87" t="str">
        <f aca="false">IF($BD489&lt;&gt;Constants!$B$6,"",IF(OR($BA489&lt;$AR489,AND($BA489=$AR489,OR(AND(ISNUMBER($BB489),OR(NOT(ISNUMBER($AS489)),$BB489&lt;$AS489)),AND(OR(AND($BB489="",$AS489=""),AND(ISNUMBER($BB489),ISNUMBER($AS489),$BB489=$AS489)),$BC489&lt;$AT489)))),"-&gt;","&lt;-"))</f>
        <v/>
      </c>
      <c r="AV489" s="86" t="str">
        <f aca="false">IF(ISBLANK($C489),"",AND($AH489,OR($AI489="",$AJ489="",AND(NOT(ISBLANK($S489)),$AK489=""))))</f>
        <v/>
      </c>
      <c r="AW489" s="89" t="str">
        <f aca="false">IF($BD489&lt;&gt;Constants!$B$6,"",IF($AH489,Constants!$B$17*$AJ489,Constants!$B$18))</f>
        <v/>
      </c>
      <c r="AX489" s="91" t="str">
        <f aca="false">IF($BD489&lt;&gt;Constants!$B$6,"",Constants!$B$19*IF($AH489,$AI489,0))</f>
        <v/>
      </c>
      <c r="AY489" s="91" t="str">
        <f aca="false">IF($BD489&lt;&gt;Constants!$B$6,"",IF(AND($AH489,ISNUMBER($AK489)),Constants!$B$20*(Constants!$B$21-$AK489),0))</f>
        <v/>
      </c>
      <c r="AZ489" s="91" t="str">
        <f aca="false">IF($BD489&lt;&gt;Constants!$B$6,"",IF($AG489,0,Constants!$B$12)+IF($AF489,0,Constants!$B$13)+IF($Y489,0,Constants!$B$14))</f>
        <v/>
      </c>
      <c r="BA489" s="92" t="str">
        <f aca="false">IF($BD489&lt;&gt;Constants!$B$6,"",Constants!$B$16+SUM($AW489:$AZ489))</f>
        <v/>
      </c>
      <c r="BB489" s="91" t="str">
        <f aca="false">IF($BD489&lt;&gt;Constants!$B$6,"",IF($AH489,$AJ489,""))</f>
        <v/>
      </c>
      <c r="BC489" s="93" t="str">
        <f aca="false">IF($BD489&lt;&gt;Constants!$B$6,"",$AX489)</f>
        <v/>
      </c>
      <c r="BD489" s="87" t="str">
        <f aca="false">IF(ISBLANK($C489),"",IF($AL489,Constants!$B$9,IF(COUNTA($E489:$T489)=0,Constants!$B$8,IF(NOT($X489),Constants!$B$7,IF(OR($AM489,$AV489),Constants!$B$10,Constants!$B$6)))))</f>
        <v/>
      </c>
      <c r="BE489" s="87" t="str">
        <f aca="false">IF(ISBLANK($C489),"",IF($BD489&lt;&gt;Constants!$B$6,$BD489,Constants!$B$11))</f>
        <v/>
      </c>
      <c r="BF489" s="91" t="str">
        <f aca="false">IF($BD489&lt;&gt;Constants!$B$6,"",IF($AU489="-&gt;",$BA489,$AR489))</f>
        <v/>
      </c>
      <c r="BG489" s="91" t="str">
        <f aca="false">IF($BD489&lt;&gt;Constants!$B$6,"",IF($W489,0,Constants!$B$15))</f>
        <v/>
      </c>
      <c r="BH489" s="91" t="str">
        <f aca="false">IF(ISBLANK($C489),"",IF($BD489&lt;&gt;Constants!$B$6,$BD489,SUM($BF489:$BG489)))</f>
        <v/>
      </c>
      <c r="BI489" s="87" t="str">
        <f aca="false">IF(ISBLANK($C489),"",IF($BD489&lt;&gt;Constants!$B$6,$BD489,RANK($BH489,$BH$9:$BH$508,1)))</f>
        <v/>
      </c>
      <c r="BJ489" s="91" t="str">
        <f aca="false">IF($BD489&lt;&gt;Constants!$B$6,"",IF($AU489="-&gt;",$BB489,$AS489))</f>
        <v/>
      </c>
      <c r="BK489" s="87" t="str">
        <f aca="false">IF(ISBLANK($C489),"",IF($BD489&lt;&gt;Constants!$B$6,$BD489,IF(ISNUMBER($BJ489),RANK($BJ489,$BJ$9:$BJ$508,1),COUNT($BJ$9:$BJ$508)+1)))</f>
        <v/>
      </c>
      <c r="BL489" s="91" t="str">
        <f aca="false">IF($BD489&lt;&gt;Constants!$B$6,"",IF($AU489="-&gt;",$BC489,$AT489))</f>
        <v/>
      </c>
      <c r="BM489" s="87" t="str">
        <f aca="false">IF(ISBLANK($C489),"",IF($BD489&lt;&gt;Constants!$B$6,$BD489,IF(ISNUMBER($BL489),RANK($BL489,$BL$9:$BL$508,1),COUNT($BL$9:$BL$508)+1)))</f>
        <v/>
      </c>
      <c r="BN489" s="91" t="str">
        <f aca="false">IF($BD489&lt;&gt;Constants!$B$6,"",IF($AU489="-&gt;",$AS489,$BB489))</f>
        <v/>
      </c>
      <c r="BO489" s="87" t="str">
        <f aca="false">IF(ISBLANK($C489),"",IF($BD489&lt;&gt;Constants!$B$6,$BD489,IF(ISNUMBER($BN489),RANK($BN489,$BN$9:$BN$508,1),COUNT($BN$9:$BN$508)+1)))</f>
        <v/>
      </c>
      <c r="BP489" s="91" t="str">
        <f aca="false">IF($BD489&lt;&gt;Constants!$B$6,"",IF($AU489="-&gt;",$AT489,$BC489))</f>
        <v/>
      </c>
      <c r="BQ489" s="87" t="str">
        <f aca="false">IF(ISBLANK($C489),"",IF($BD489&lt;&gt;Constants!$B$6,$BD489,IF(ISNUMBER($BP489),RANK($BP489,$BP$9:$BP$508,1),COUNT($BP$9:$BP$508)+1)))</f>
        <v/>
      </c>
      <c r="BR489" s="87" t="str">
        <f aca="false">IF(ISBLANK($C489),"",IF($BD489&lt;&gt;Constants!$B$6,$BD489,COUNTIFS($BI$9:$BI$508,"&lt;"&amp;$BI489)+COUNTIFS($BI$9:$BI$508,$BI489,$BK$9:$BK$508,"&lt;"&amp;$BK489)+COUNTIFS($BI$9:$BI$508,$BI489,$BK$9:$BK$508,$BK489,$BM$9:$BM$508,"&lt;"&amp;$BM489)+COUNTIFS($BI$9:$BI$508,$BI489,$BK$9:$BK$508,$BK489,$BM$9:$BM$508,$BM489,$BO$9:$BO$508,"&lt;"&amp;$BO489)+COUNTIFS($BI$9:$BI$508,$BI489,$BK$9:$BK$508,$BK489,$BM$9:$BM$508,$BM489,$BO$9:$BO$508,$BO489,$BQ$9:$BQ$508,"&lt;"&amp;$BQ489)+1))</f>
        <v/>
      </c>
      <c r="BS489" s="87" t="str">
        <f aca="false">IF(ISBLANK($C489),"",IF($BD489&lt;&gt;Constants!$B$6,$BD489,$BI489-$BR489))</f>
        <v/>
      </c>
      <c r="BT489" s="94"/>
      <c r="BU489" s="95"/>
      <c r="BV489" s="95" t="str">
        <f aca="false">IF(ISBLANK($C489),"",IF($BD489&lt;&gt;Constants!$B$6,"",IF($AU489="-&gt;",2,1)))</f>
        <v/>
      </c>
      <c r="BW489" s="96" t="str">
        <f aca="false">IF(ISBLANK($C489),"",IF($BD489&lt;&gt;Constants!$B$6,"",IF($AU489="-&gt;",$AW489,$AN489)))</f>
        <v/>
      </c>
      <c r="BX489" s="96" t="str">
        <f aca="false">IF(ISBLANK($C489),"",IF($BD489&lt;&gt;Constants!$B$6,"",IF($AU489="-&gt;",$AX489,$AO489)))</f>
        <v/>
      </c>
      <c r="BY489" s="96" t="str">
        <f aca="false">IF(ISBLANK($C489),"",IF($BD489&lt;&gt;Constants!$B$6,"",IF($AU489="-&gt;",$AY489,$AP489)))</f>
        <v/>
      </c>
      <c r="BZ489" s="96" t="str">
        <f aca="false">IF(ISBLANK($C489),"",IF($BD489&lt;&gt;Constants!$B$6,"",IF($AU489="-&gt;",$AZ489,$AQ489)+$BG489))</f>
        <v/>
      </c>
      <c r="CA489" s="97" t="str">
        <f aca="false">IF(ISBLANK($C489),"",IF($BD489&lt;&gt;Constants!$B$6,$BD489,$BH489))</f>
        <v/>
      </c>
      <c r="CB489" s="98" t="str">
        <f aca="false">IF(ISBLANK($C489),"",$BE489)</f>
        <v/>
      </c>
      <c r="CC489" s="99" t="str">
        <f aca="false">IF(ISBLANK($C489),"",$BS489)</f>
        <v/>
      </c>
      <c r="CD489" s="99" t="str">
        <f aca="false">IF(ISBLANK($C489),"",$BR489)</f>
        <v/>
      </c>
      <c r="CE489" s="100" t="str">
        <f aca="false">IF(ISBLANK($C489),"",IF($CD489=Constants!$B$9,COUNTA($C$9:$C$508)+2,IF($CD489=Constants!$B$8,COUNTA($C$9:$C$508)+1,IF($CD489=Constants!$B$7,COUNTA($C$9:$C$508),$CD489))))</f>
        <v/>
      </c>
      <c r="CF489" s="9"/>
      <c r="CG489" s="101" t="n">
        <f aca="false">IF(OR(ISNUMBER($CD489),$CD489=Constants!$B$9,$CD489=Constants!$B$7,$CD489=Constants!$B$8),1,0)</f>
        <v>0</v>
      </c>
      <c r="CH489" s="101" t="n">
        <v>481</v>
      </c>
      <c r="CI489" s="101" t="str">
        <f aca="false">IF(ISBLANK($C489),"",IF(ISNUMBER($CE489),$CE489+ROW($B489)/1000,""))</f>
        <v/>
      </c>
      <c r="CJ489" s="101" t="str">
        <f aca="false">IF(ISNUMBER($CI489),RANK($CI489,$CI$9:$CI$508,1),"")</f>
        <v/>
      </c>
      <c r="CK489" s="101" t="str">
        <f aca="false">IF(ISBLANK($C489),"",$B489)</f>
        <v/>
      </c>
      <c r="CL489" s="101" t="str">
        <f aca="false">IF(ISBLANK($C489),"",$C489)</f>
        <v/>
      </c>
      <c r="CM489" s="101" t="str">
        <f aca="false">IF(ISBLANK($C489),"",$D489)</f>
        <v/>
      </c>
      <c r="CN489" s="102" t="str">
        <f aca="false">$CB489</f>
        <v/>
      </c>
      <c r="CO489" s="103" t="str">
        <f aca="false">$CA489</f>
        <v/>
      </c>
      <c r="CP489" s="101" t="str">
        <f aca="false">IF(ISBLANK($C489),"",$CD489)</f>
        <v/>
      </c>
      <c r="CQ489" s="104" t="str">
        <f aca="false">IF($CH489&gt;$CG$8,"",VLOOKUP($CH489,$CJ$9:$CP$508,7,FALSE()))</f>
        <v/>
      </c>
      <c r="CR489" s="105" t="str">
        <f aca="false">IF($CH489&gt;$CG$8,"",VLOOKUP($CH489,$CJ$9:$CP$508,2,FALSE()))</f>
        <v/>
      </c>
      <c r="CS489" s="105" t="str">
        <f aca="false">IF($CH489&gt;$CG$8,"",VLOOKUP($CH489,$CJ$9:$CP$508,3,FALSE()))</f>
        <v/>
      </c>
      <c r="CT489" s="105" t="str">
        <f aca="false">IF($CH489&gt;$CG$8,"",VLOOKUP($CH489,$CJ$9:$CP$508,4,FALSE()))</f>
        <v/>
      </c>
      <c r="CU489" s="105" t="str">
        <f aca="false">IF($CH489&gt;$CG$8,"",VLOOKUP($CH489,$CJ$9:$CP$508,5,FALSE()))</f>
        <v/>
      </c>
      <c r="CV489" s="106" t="str">
        <f aca="false">IF($CH489&gt;$CG$8,"",VLOOKUP($CH489,$CJ$9:$CP$508,6,FALSE()))</f>
        <v/>
      </c>
      <c r="CW489" s="71"/>
    </row>
    <row r="490" customFormat="false" ht="15.75" hidden="false" customHeight="false" outlineLevel="0" collapsed="false">
      <c r="A490" s="9"/>
      <c r="B490" s="72"/>
      <c r="C490" s="73"/>
      <c r="D490" s="160"/>
      <c r="E490" s="168"/>
      <c r="F490" s="162"/>
      <c r="G490" s="163"/>
      <c r="H490" s="169"/>
      <c r="I490" s="167"/>
      <c r="J490" s="80"/>
      <c r="K490" s="81"/>
      <c r="L490" s="82"/>
      <c r="M490" s="166"/>
      <c r="N490" s="167"/>
      <c r="O490" s="167"/>
      <c r="P490" s="80"/>
      <c r="Q490" s="82"/>
      <c r="R490" s="82"/>
      <c r="S490" s="166"/>
      <c r="T490" s="167"/>
      <c r="U490" s="86"/>
      <c r="V490" s="87"/>
      <c r="W490" s="87" t="str">
        <f aca="false">IF(ISBLANK($C490),"",IF(E490=Constants!$B$2,TRUE(),IF(E490=Constants!$B$3,FALSE(),TRUE())))</f>
        <v/>
      </c>
      <c r="X490" s="87" t="str">
        <f aca="false">IF(ISBLANK($C490),"",IF(F490=Constants!$B$2,TRUE(),IF(F490=Constants!$B$3,FALSE(),TRUE())))</f>
        <v/>
      </c>
      <c r="Y490" s="87" t="str">
        <f aca="false">IF(ISBLANK($C490),"",IF(G490=Constants!$B$2,TRUE(),IF(G490=Constants!$B$3,FALSE(),TRUE())))</f>
        <v/>
      </c>
      <c r="Z490" s="87" t="str">
        <f aca="false">IF(ISBLANK($C490),"",IF(H490=Constants!$B$2,TRUE(),IF(H490=Constants!$B$3,FALSE(),TRUE())))</f>
        <v/>
      </c>
      <c r="AA490" s="87" t="str">
        <f aca="false">IF(ISBLANK($C490),"",IF(I490=Constants!$B$2,TRUE(),IF(I490=Constants!$B$3,FALSE(),TRUE())))</f>
        <v/>
      </c>
      <c r="AB490" s="87" t="str">
        <f aca="false">IF(ISBLANK($C490),"",IF(J490=Constants!$B$4,TRUE(),IF(J490=Constants!$B$5,FALSE(),COUNTA(K490:M490)&gt;0)))</f>
        <v/>
      </c>
      <c r="AC490" s="88" t="str">
        <f aca="false">IF(ISBLANK($C490),"",IF(ISNUMBER(K490),IF(K490&gt;=0,K490,""),""))</f>
        <v/>
      </c>
      <c r="AD490" s="89" t="str">
        <f aca="false">IF(ISBLANK($C490),"",IF(ISNUMBER(L490),IF(L490&gt;=0,L490,""),""))</f>
        <v/>
      </c>
      <c r="AE490" s="87" t="str">
        <f aca="false">IF(ISBLANK($C490),"",IF(ISNUMBER(M490),IF(M490&gt;=0,MIN(M490,Constants!$B$22),""),""))</f>
        <v/>
      </c>
      <c r="AF490" s="87" t="str">
        <f aca="false">IF(ISBLANK($C490),"",IF(N490=Constants!$B$2,TRUE(),IF(N490=Constants!$B$3,FALSE(),TRUE())))</f>
        <v/>
      </c>
      <c r="AG490" s="87" t="str">
        <f aca="false">IF(ISBLANK($C490),"",IF(O490=Constants!$B$2,TRUE(),IF(O490=Constants!$B$3,FALSE(),TRUE())))</f>
        <v/>
      </c>
      <c r="AH490" s="87" t="str">
        <f aca="false">IF(ISBLANK($C490),"",IF(P490=Constants!$B$4,TRUE(),IF(P490=Constants!$B$5,FALSE(),COUNTA(Q490:S490)&gt;0)))</f>
        <v/>
      </c>
      <c r="AI490" s="88" t="str">
        <f aca="false">IF(ISBLANK($C490),"",IF(ISNUMBER(Q490),IF(Q490&gt;=0,Q490,""),""))</f>
        <v/>
      </c>
      <c r="AJ490" s="89" t="str">
        <f aca="false">IF(ISBLANK($C490),"",IF(ISNUMBER(R490),IF(R490&gt;=0,R490,""),""))</f>
        <v/>
      </c>
      <c r="AK490" s="87" t="str">
        <f aca="false">IF(ISBLANK($C490),"",IF(ISNUMBER(S490),IF(S490&gt;=0,MIN(S490,Constants!$B$22),""),""))</f>
        <v/>
      </c>
      <c r="AL490" s="87" t="str">
        <f aca="false">IF(ISBLANK($C490),"",IF(T490=Constants!$B$2,TRUE(),IF(T490=Constants!$B$3,FALSE(),FALSE())))</f>
        <v/>
      </c>
      <c r="AM490" s="86" t="str">
        <f aca="false">IF(ISBLANK($C490),"",AND($AB490,OR($AC490="",$AD490="",AND(NOT(ISBLANK($M490)),$AE490=""))))</f>
        <v/>
      </c>
      <c r="AN490" s="89" t="str">
        <f aca="false">IF($BD490&lt;&gt;Constants!$B$6,"",IF($AB490,Constants!$B$17*$AD490,Constants!$B$18))</f>
        <v/>
      </c>
      <c r="AO490" s="91" t="str">
        <f aca="false">IF($BD490&lt;&gt;Constants!$B$6,"",Constants!$B$19*IF($AB490,$AC490,0))</f>
        <v/>
      </c>
      <c r="AP490" s="91" t="str">
        <f aca="false">IF($BD490&lt;&gt;Constants!$B$6,"",IF(AND($AB490,ISNUMBER($AE490)),Constants!$B$20*(Constants!$B$21-$AE490),0))</f>
        <v/>
      </c>
      <c r="AQ490" s="91" t="str">
        <f aca="false">IF($BD490&lt;&gt;Constants!$B$6,"",IF($AA490,0,Constants!$B$12)+IF($Z490,0,Constants!$B$13)+IF($Y490,0,Constants!$B$14))</f>
        <v/>
      </c>
      <c r="AR490" s="92" t="str">
        <f aca="false">IF($BD490&lt;&gt;Constants!$B$6,"",Constants!$B$16+SUM($AN490:$AQ490))</f>
        <v/>
      </c>
      <c r="AS490" s="91" t="str">
        <f aca="false">IF($BD490&lt;&gt;Constants!$B$6,"",IF($AB490,$AD490,""))</f>
        <v/>
      </c>
      <c r="AT490" s="93" t="str">
        <f aca="false">IF($BD490&lt;&gt;Constants!$B$6,"",$AO490)</f>
        <v/>
      </c>
      <c r="AU490" s="87" t="str">
        <f aca="false">IF($BD490&lt;&gt;Constants!$B$6,"",IF(OR($BA490&lt;$AR490,AND($BA490=$AR490,OR(AND(ISNUMBER($BB490),OR(NOT(ISNUMBER($AS490)),$BB490&lt;$AS490)),AND(OR(AND($BB490="",$AS490=""),AND(ISNUMBER($BB490),ISNUMBER($AS490),$BB490=$AS490)),$BC490&lt;$AT490)))),"-&gt;","&lt;-"))</f>
        <v/>
      </c>
      <c r="AV490" s="86" t="str">
        <f aca="false">IF(ISBLANK($C490),"",AND($AH490,OR($AI490="",$AJ490="",AND(NOT(ISBLANK($S490)),$AK490=""))))</f>
        <v/>
      </c>
      <c r="AW490" s="89" t="str">
        <f aca="false">IF($BD490&lt;&gt;Constants!$B$6,"",IF($AH490,Constants!$B$17*$AJ490,Constants!$B$18))</f>
        <v/>
      </c>
      <c r="AX490" s="91" t="str">
        <f aca="false">IF($BD490&lt;&gt;Constants!$B$6,"",Constants!$B$19*IF($AH490,$AI490,0))</f>
        <v/>
      </c>
      <c r="AY490" s="91" t="str">
        <f aca="false">IF($BD490&lt;&gt;Constants!$B$6,"",IF(AND($AH490,ISNUMBER($AK490)),Constants!$B$20*(Constants!$B$21-$AK490),0))</f>
        <v/>
      </c>
      <c r="AZ490" s="91" t="str">
        <f aca="false">IF($BD490&lt;&gt;Constants!$B$6,"",IF($AG490,0,Constants!$B$12)+IF($AF490,0,Constants!$B$13)+IF($Y490,0,Constants!$B$14))</f>
        <v/>
      </c>
      <c r="BA490" s="92" t="str">
        <f aca="false">IF($BD490&lt;&gt;Constants!$B$6,"",Constants!$B$16+SUM($AW490:$AZ490))</f>
        <v/>
      </c>
      <c r="BB490" s="91" t="str">
        <f aca="false">IF($BD490&lt;&gt;Constants!$B$6,"",IF($AH490,$AJ490,""))</f>
        <v/>
      </c>
      <c r="BC490" s="93" t="str">
        <f aca="false">IF($BD490&lt;&gt;Constants!$B$6,"",$AX490)</f>
        <v/>
      </c>
      <c r="BD490" s="87" t="str">
        <f aca="false">IF(ISBLANK($C490),"",IF($AL490,Constants!$B$9,IF(COUNTA($E490:$T490)=0,Constants!$B$8,IF(NOT($X490),Constants!$B$7,IF(OR($AM490,$AV490),Constants!$B$10,Constants!$B$6)))))</f>
        <v/>
      </c>
      <c r="BE490" s="87" t="str">
        <f aca="false">IF(ISBLANK($C490),"",IF($BD490&lt;&gt;Constants!$B$6,$BD490,Constants!$B$11))</f>
        <v/>
      </c>
      <c r="BF490" s="91" t="str">
        <f aca="false">IF($BD490&lt;&gt;Constants!$B$6,"",IF($AU490="-&gt;",$BA490,$AR490))</f>
        <v/>
      </c>
      <c r="BG490" s="91" t="str">
        <f aca="false">IF($BD490&lt;&gt;Constants!$B$6,"",IF($W490,0,Constants!$B$15))</f>
        <v/>
      </c>
      <c r="BH490" s="91" t="str">
        <f aca="false">IF(ISBLANK($C490),"",IF($BD490&lt;&gt;Constants!$B$6,$BD490,SUM($BF490:$BG490)))</f>
        <v/>
      </c>
      <c r="BI490" s="87" t="str">
        <f aca="false">IF(ISBLANK($C490),"",IF($BD490&lt;&gt;Constants!$B$6,$BD490,RANK($BH490,$BH$9:$BH$508,1)))</f>
        <v/>
      </c>
      <c r="BJ490" s="91" t="str">
        <f aca="false">IF($BD490&lt;&gt;Constants!$B$6,"",IF($AU490="-&gt;",$BB490,$AS490))</f>
        <v/>
      </c>
      <c r="BK490" s="87" t="str">
        <f aca="false">IF(ISBLANK($C490),"",IF($BD490&lt;&gt;Constants!$B$6,$BD490,IF(ISNUMBER($BJ490),RANK($BJ490,$BJ$9:$BJ$508,1),COUNT($BJ$9:$BJ$508)+1)))</f>
        <v/>
      </c>
      <c r="BL490" s="91" t="str">
        <f aca="false">IF($BD490&lt;&gt;Constants!$B$6,"",IF($AU490="-&gt;",$BC490,$AT490))</f>
        <v/>
      </c>
      <c r="BM490" s="87" t="str">
        <f aca="false">IF(ISBLANK($C490),"",IF($BD490&lt;&gt;Constants!$B$6,$BD490,IF(ISNUMBER($BL490),RANK($BL490,$BL$9:$BL$508,1),COUNT($BL$9:$BL$508)+1)))</f>
        <v/>
      </c>
      <c r="BN490" s="91" t="str">
        <f aca="false">IF($BD490&lt;&gt;Constants!$B$6,"",IF($AU490="-&gt;",$AS490,$BB490))</f>
        <v/>
      </c>
      <c r="BO490" s="87" t="str">
        <f aca="false">IF(ISBLANK($C490),"",IF($BD490&lt;&gt;Constants!$B$6,$BD490,IF(ISNUMBER($BN490),RANK($BN490,$BN$9:$BN$508,1),COUNT($BN$9:$BN$508)+1)))</f>
        <v/>
      </c>
      <c r="BP490" s="91" t="str">
        <f aca="false">IF($BD490&lt;&gt;Constants!$B$6,"",IF($AU490="-&gt;",$AT490,$BC490))</f>
        <v/>
      </c>
      <c r="BQ490" s="87" t="str">
        <f aca="false">IF(ISBLANK($C490),"",IF($BD490&lt;&gt;Constants!$B$6,$BD490,IF(ISNUMBER($BP490),RANK($BP490,$BP$9:$BP$508,1),COUNT($BP$9:$BP$508)+1)))</f>
        <v/>
      </c>
      <c r="BR490" s="87" t="str">
        <f aca="false">IF(ISBLANK($C490),"",IF($BD490&lt;&gt;Constants!$B$6,$BD490,COUNTIFS($BI$9:$BI$508,"&lt;"&amp;$BI490)+COUNTIFS($BI$9:$BI$508,$BI490,$BK$9:$BK$508,"&lt;"&amp;$BK490)+COUNTIFS($BI$9:$BI$508,$BI490,$BK$9:$BK$508,$BK490,$BM$9:$BM$508,"&lt;"&amp;$BM490)+COUNTIFS($BI$9:$BI$508,$BI490,$BK$9:$BK$508,$BK490,$BM$9:$BM$508,$BM490,$BO$9:$BO$508,"&lt;"&amp;$BO490)+COUNTIFS($BI$9:$BI$508,$BI490,$BK$9:$BK$508,$BK490,$BM$9:$BM$508,$BM490,$BO$9:$BO$508,$BO490,$BQ$9:$BQ$508,"&lt;"&amp;$BQ490)+1))</f>
        <v/>
      </c>
      <c r="BS490" s="87" t="str">
        <f aca="false">IF(ISBLANK($C490),"",IF($BD490&lt;&gt;Constants!$B$6,$BD490,$BI490-$BR490))</f>
        <v/>
      </c>
      <c r="BT490" s="94"/>
      <c r="BU490" s="95"/>
      <c r="BV490" s="95" t="str">
        <f aca="false">IF(ISBLANK($C490),"",IF($BD490&lt;&gt;Constants!$B$6,"",IF($AU490="-&gt;",2,1)))</f>
        <v/>
      </c>
      <c r="BW490" s="96" t="str">
        <f aca="false">IF(ISBLANK($C490),"",IF($BD490&lt;&gt;Constants!$B$6,"",IF($AU490="-&gt;",$AW490,$AN490)))</f>
        <v/>
      </c>
      <c r="BX490" s="96" t="str">
        <f aca="false">IF(ISBLANK($C490),"",IF($BD490&lt;&gt;Constants!$B$6,"",IF($AU490="-&gt;",$AX490,$AO490)))</f>
        <v/>
      </c>
      <c r="BY490" s="96" t="str">
        <f aca="false">IF(ISBLANK($C490),"",IF($BD490&lt;&gt;Constants!$B$6,"",IF($AU490="-&gt;",$AY490,$AP490)))</f>
        <v/>
      </c>
      <c r="BZ490" s="96" t="str">
        <f aca="false">IF(ISBLANK($C490),"",IF($BD490&lt;&gt;Constants!$B$6,"",IF($AU490="-&gt;",$AZ490,$AQ490)+$BG490))</f>
        <v/>
      </c>
      <c r="CA490" s="97" t="str">
        <f aca="false">IF(ISBLANK($C490),"",IF($BD490&lt;&gt;Constants!$B$6,$BD490,$BH490))</f>
        <v/>
      </c>
      <c r="CB490" s="98" t="str">
        <f aca="false">IF(ISBLANK($C490),"",$BE490)</f>
        <v/>
      </c>
      <c r="CC490" s="99" t="str">
        <f aca="false">IF(ISBLANK($C490),"",$BS490)</f>
        <v/>
      </c>
      <c r="CD490" s="99" t="str">
        <f aca="false">IF(ISBLANK($C490),"",$BR490)</f>
        <v/>
      </c>
      <c r="CE490" s="100" t="str">
        <f aca="false">IF(ISBLANK($C490),"",IF($CD490=Constants!$B$9,COUNTA($C$9:$C$508)+2,IF($CD490=Constants!$B$8,COUNTA($C$9:$C$508)+1,IF($CD490=Constants!$B$7,COUNTA($C$9:$C$508),$CD490))))</f>
        <v/>
      </c>
      <c r="CF490" s="9"/>
      <c r="CG490" s="101" t="n">
        <f aca="false">IF(OR(ISNUMBER($CD490),$CD490=Constants!$B$9,$CD490=Constants!$B$7,$CD490=Constants!$B$8),1,0)</f>
        <v>0</v>
      </c>
      <c r="CH490" s="101" t="n">
        <v>482</v>
      </c>
      <c r="CI490" s="101" t="str">
        <f aca="false">IF(ISBLANK($C490),"",IF(ISNUMBER($CE490),$CE490+ROW($B490)/1000,""))</f>
        <v/>
      </c>
      <c r="CJ490" s="101" t="str">
        <f aca="false">IF(ISNUMBER($CI490),RANK($CI490,$CI$9:$CI$508,1),"")</f>
        <v/>
      </c>
      <c r="CK490" s="101" t="str">
        <f aca="false">IF(ISBLANK($C490),"",$B490)</f>
        <v/>
      </c>
      <c r="CL490" s="101" t="str">
        <f aca="false">IF(ISBLANK($C490),"",$C490)</f>
        <v/>
      </c>
      <c r="CM490" s="101" t="str">
        <f aca="false">IF(ISBLANK($C490),"",$D490)</f>
        <v/>
      </c>
      <c r="CN490" s="102" t="str">
        <f aca="false">$CB490</f>
        <v/>
      </c>
      <c r="CO490" s="103" t="str">
        <f aca="false">$CA490</f>
        <v/>
      </c>
      <c r="CP490" s="101" t="str">
        <f aca="false">IF(ISBLANK($C490),"",$CD490)</f>
        <v/>
      </c>
      <c r="CQ490" s="104" t="str">
        <f aca="false">IF($CH490&gt;$CG$8,"",VLOOKUP($CH490,$CJ$9:$CP$508,7,FALSE()))</f>
        <v/>
      </c>
      <c r="CR490" s="105" t="str">
        <f aca="false">IF($CH490&gt;$CG$8,"",VLOOKUP($CH490,$CJ$9:$CP$508,2,FALSE()))</f>
        <v/>
      </c>
      <c r="CS490" s="105" t="str">
        <f aca="false">IF($CH490&gt;$CG$8,"",VLOOKUP($CH490,$CJ$9:$CP$508,3,FALSE()))</f>
        <v/>
      </c>
      <c r="CT490" s="105" t="str">
        <f aca="false">IF($CH490&gt;$CG$8,"",VLOOKUP($CH490,$CJ$9:$CP$508,4,FALSE()))</f>
        <v/>
      </c>
      <c r="CU490" s="105" t="str">
        <f aca="false">IF($CH490&gt;$CG$8,"",VLOOKUP($CH490,$CJ$9:$CP$508,5,FALSE()))</f>
        <v/>
      </c>
      <c r="CV490" s="106" t="str">
        <f aca="false">IF($CH490&gt;$CG$8,"",VLOOKUP($CH490,$CJ$9:$CP$508,6,FALSE()))</f>
        <v/>
      </c>
      <c r="CW490" s="71"/>
    </row>
    <row r="491" customFormat="false" ht="15.75" hidden="false" customHeight="false" outlineLevel="0" collapsed="false">
      <c r="A491" s="9"/>
      <c r="B491" s="72"/>
      <c r="C491" s="73"/>
      <c r="D491" s="160"/>
      <c r="E491" s="168"/>
      <c r="F491" s="162"/>
      <c r="G491" s="163"/>
      <c r="H491" s="169"/>
      <c r="I491" s="167"/>
      <c r="J491" s="80"/>
      <c r="K491" s="81"/>
      <c r="L491" s="82"/>
      <c r="M491" s="166"/>
      <c r="N491" s="167"/>
      <c r="O491" s="167"/>
      <c r="P491" s="80"/>
      <c r="Q491" s="82"/>
      <c r="R491" s="82"/>
      <c r="S491" s="166"/>
      <c r="T491" s="167"/>
      <c r="U491" s="86"/>
      <c r="V491" s="87"/>
      <c r="W491" s="87" t="str">
        <f aca="false">IF(ISBLANK($C491),"",IF(E491=Constants!$B$2,TRUE(),IF(E491=Constants!$B$3,FALSE(),TRUE())))</f>
        <v/>
      </c>
      <c r="X491" s="87" t="str">
        <f aca="false">IF(ISBLANK($C491),"",IF(F491=Constants!$B$2,TRUE(),IF(F491=Constants!$B$3,FALSE(),TRUE())))</f>
        <v/>
      </c>
      <c r="Y491" s="87" t="str">
        <f aca="false">IF(ISBLANK($C491),"",IF(G491=Constants!$B$2,TRUE(),IF(G491=Constants!$B$3,FALSE(),TRUE())))</f>
        <v/>
      </c>
      <c r="Z491" s="87" t="str">
        <f aca="false">IF(ISBLANK($C491),"",IF(H491=Constants!$B$2,TRUE(),IF(H491=Constants!$B$3,FALSE(),TRUE())))</f>
        <v/>
      </c>
      <c r="AA491" s="87" t="str">
        <f aca="false">IF(ISBLANK($C491),"",IF(I491=Constants!$B$2,TRUE(),IF(I491=Constants!$B$3,FALSE(),TRUE())))</f>
        <v/>
      </c>
      <c r="AB491" s="87" t="str">
        <f aca="false">IF(ISBLANK($C491),"",IF(J491=Constants!$B$4,TRUE(),IF(J491=Constants!$B$5,FALSE(),COUNTA(K491:M491)&gt;0)))</f>
        <v/>
      </c>
      <c r="AC491" s="88" t="str">
        <f aca="false">IF(ISBLANK($C491),"",IF(ISNUMBER(K491),IF(K491&gt;=0,K491,""),""))</f>
        <v/>
      </c>
      <c r="AD491" s="89" t="str">
        <f aca="false">IF(ISBLANK($C491),"",IF(ISNUMBER(L491),IF(L491&gt;=0,L491,""),""))</f>
        <v/>
      </c>
      <c r="AE491" s="87" t="str">
        <f aca="false">IF(ISBLANK($C491),"",IF(ISNUMBER(M491),IF(M491&gt;=0,MIN(M491,Constants!$B$22),""),""))</f>
        <v/>
      </c>
      <c r="AF491" s="87" t="str">
        <f aca="false">IF(ISBLANK($C491),"",IF(N491=Constants!$B$2,TRUE(),IF(N491=Constants!$B$3,FALSE(),TRUE())))</f>
        <v/>
      </c>
      <c r="AG491" s="87" t="str">
        <f aca="false">IF(ISBLANK($C491),"",IF(O491=Constants!$B$2,TRUE(),IF(O491=Constants!$B$3,FALSE(),TRUE())))</f>
        <v/>
      </c>
      <c r="AH491" s="87" t="str">
        <f aca="false">IF(ISBLANK($C491),"",IF(P491=Constants!$B$4,TRUE(),IF(P491=Constants!$B$5,FALSE(),COUNTA(Q491:S491)&gt;0)))</f>
        <v/>
      </c>
      <c r="AI491" s="88" t="str">
        <f aca="false">IF(ISBLANK($C491),"",IF(ISNUMBER(Q491),IF(Q491&gt;=0,Q491,""),""))</f>
        <v/>
      </c>
      <c r="AJ491" s="89" t="str">
        <f aca="false">IF(ISBLANK($C491),"",IF(ISNUMBER(R491),IF(R491&gt;=0,R491,""),""))</f>
        <v/>
      </c>
      <c r="AK491" s="87" t="str">
        <f aca="false">IF(ISBLANK($C491),"",IF(ISNUMBER(S491),IF(S491&gt;=0,MIN(S491,Constants!$B$22),""),""))</f>
        <v/>
      </c>
      <c r="AL491" s="87" t="str">
        <f aca="false">IF(ISBLANK($C491),"",IF(T491=Constants!$B$2,TRUE(),IF(T491=Constants!$B$3,FALSE(),FALSE())))</f>
        <v/>
      </c>
      <c r="AM491" s="86" t="str">
        <f aca="false">IF(ISBLANK($C491),"",AND($AB491,OR($AC491="",$AD491="",AND(NOT(ISBLANK($M491)),$AE491=""))))</f>
        <v/>
      </c>
      <c r="AN491" s="89" t="str">
        <f aca="false">IF($BD491&lt;&gt;Constants!$B$6,"",IF($AB491,Constants!$B$17*$AD491,Constants!$B$18))</f>
        <v/>
      </c>
      <c r="AO491" s="91" t="str">
        <f aca="false">IF($BD491&lt;&gt;Constants!$B$6,"",Constants!$B$19*IF($AB491,$AC491,0))</f>
        <v/>
      </c>
      <c r="AP491" s="91" t="str">
        <f aca="false">IF($BD491&lt;&gt;Constants!$B$6,"",IF(AND($AB491,ISNUMBER($AE491)),Constants!$B$20*(Constants!$B$21-$AE491),0))</f>
        <v/>
      </c>
      <c r="AQ491" s="91" t="str">
        <f aca="false">IF($BD491&lt;&gt;Constants!$B$6,"",IF($AA491,0,Constants!$B$12)+IF($Z491,0,Constants!$B$13)+IF($Y491,0,Constants!$B$14))</f>
        <v/>
      </c>
      <c r="AR491" s="92" t="str">
        <f aca="false">IF($BD491&lt;&gt;Constants!$B$6,"",Constants!$B$16+SUM($AN491:$AQ491))</f>
        <v/>
      </c>
      <c r="AS491" s="91" t="str">
        <f aca="false">IF($BD491&lt;&gt;Constants!$B$6,"",IF($AB491,$AD491,""))</f>
        <v/>
      </c>
      <c r="AT491" s="93" t="str">
        <f aca="false">IF($BD491&lt;&gt;Constants!$B$6,"",$AO491)</f>
        <v/>
      </c>
      <c r="AU491" s="87" t="str">
        <f aca="false">IF($BD491&lt;&gt;Constants!$B$6,"",IF(OR($BA491&lt;$AR491,AND($BA491=$AR491,OR(AND(ISNUMBER($BB491),OR(NOT(ISNUMBER($AS491)),$BB491&lt;$AS491)),AND(OR(AND($BB491="",$AS491=""),AND(ISNUMBER($BB491),ISNUMBER($AS491),$BB491=$AS491)),$BC491&lt;$AT491)))),"-&gt;","&lt;-"))</f>
        <v/>
      </c>
      <c r="AV491" s="86" t="str">
        <f aca="false">IF(ISBLANK($C491),"",AND($AH491,OR($AI491="",$AJ491="",AND(NOT(ISBLANK($S491)),$AK491=""))))</f>
        <v/>
      </c>
      <c r="AW491" s="89" t="str">
        <f aca="false">IF($BD491&lt;&gt;Constants!$B$6,"",IF($AH491,Constants!$B$17*$AJ491,Constants!$B$18))</f>
        <v/>
      </c>
      <c r="AX491" s="91" t="str">
        <f aca="false">IF($BD491&lt;&gt;Constants!$B$6,"",Constants!$B$19*IF($AH491,$AI491,0))</f>
        <v/>
      </c>
      <c r="AY491" s="91" t="str">
        <f aca="false">IF($BD491&lt;&gt;Constants!$B$6,"",IF(AND($AH491,ISNUMBER($AK491)),Constants!$B$20*(Constants!$B$21-$AK491),0))</f>
        <v/>
      </c>
      <c r="AZ491" s="91" t="str">
        <f aca="false">IF($BD491&lt;&gt;Constants!$B$6,"",IF($AG491,0,Constants!$B$12)+IF($AF491,0,Constants!$B$13)+IF($Y491,0,Constants!$B$14))</f>
        <v/>
      </c>
      <c r="BA491" s="92" t="str">
        <f aca="false">IF($BD491&lt;&gt;Constants!$B$6,"",Constants!$B$16+SUM($AW491:$AZ491))</f>
        <v/>
      </c>
      <c r="BB491" s="91" t="str">
        <f aca="false">IF($BD491&lt;&gt;Constants!$B$6,"",IF($AH491,$AJ491,""))</f>
        <v/>
      </c>
      <c r="BC491" s="93" t="str">
        <f aca="false">IF($BD491&lt;&gt;Constants!$B$6,"",$AX491)</f>
        <v/>
      </c>
      <c r="BD491" s="87" t="str">
        <f aca="false">IF(ISBLANK($C491),"",IF($AL491,Constants!$B$9,IF(COUNTA($E491:$T491)=0,Constants!$B$8,IF(NOT($X491),Constants!$B$7,IF(OR($AM491,$AV491),Constants!$B$10,Constants!$B$6)))))</f>
        <v/>
      </c>
      <c r="BE491" s="87" t="str">
        <f aca="false">IF(ISBLANK($C491),"",IF($BD491&lt;&gt;Constants!$B$6,$BD491,Constants!$B$11))</f>
        <v/>
      </c>
      <c r="BF491" s="91" t="str">
        <f aca="false">IF($BD491&lt;&gt;Constants!$B$6,"",IF($AU491="-&gt;",$BA491,$AR491))</f>
        <v/>
      </c>
      <c r="BG491" s="91" t="str">
        <f aca="false">IF($BD491&lt;&gt;Constants!$B$6,"",IF($W491,0,Constants!$B$15))</f>
        <v/>
      </c>
      <c r="BH491" s="91" t="str">
        <f aca="false">IF(ISBLANK($C491),"",IF($BD491&lt;&gt;Constants!$B$6,$BD491,SUM($BF491:$BG491)))</f>
        <v/>
      </c>
      <c r="BI491" s="87" t="str">
        <f aca="false">IF(ISBLANK($C491),"",IF($BD491&lt;&gt;Constants!$B$6,$BD491,RANK($BH491,$BH$9:$BH$508,1)))</f>
        <v/>
      </c>
      <c r="BJ491" s="91" t="str">
        <f aca="false">IF($BD491&lt;&gt;Constants!$B$6,"",IF($AU491="-&gt;",$BB491,$AS491))</f>
        <v/>
      </c>
      <c r="BK491" s="87" t="str">
        <f aca="false">IF(ISBLANK($C491),"",IF($BD491&lt;&gt;Constants!$B$6,$BD491,IF(ISNUMBER($BJ491),RANK($BJ491,$BJ$9:$BJ$508,1),COUNT($BJ$9:$BJ$508)+1)))</f>
        <v/>
      </c>
      <c r="BL491" s="91" t="str">
        <f aca="false">IF($BD491&lt;&gt;Constants!$B$6,"",IF($AU491="-&gt;",$BC491,$AT491))</f>
        <v/>
      </c>
      <c r="BM491" s="87" t="str">
        <f aca="false">IF(ISBLANK($C491),"",IF($BD491&lt;&gt;Constants!$B$6,$BD491,IF(ISNUMBER($BL491),RANK($BL491,$BL$9:$BL$508,1),COUNT($BL$9:$BL$508)+1)))</f>
        <v/>
      </c>
      <c r="BN491" s="91" t="str">
        <f aca="false">IF($BD491&lt;&gt;Constants!$B$6,"",IF($AU491="-&gt;",$AS491,$BB491))</f>
        <v/>
      </c>
      <c r="BO491" s="87" t="str">
        <f aca="false">IF(ISBLANK($C491),"",IF($BD491&lt;&gt;Constants!$B$6,$BD491,IF(ISNUMBER($BN491),RANK($BN491,$BN$9:$BN$508,1),COUNT($BN$9:$BN$508)+1)))</f>
        <v/>
      </c>
      <c r="BP491" s="91" t="str">
        <f aca="false">IF($BD491&lt;&gt;Constants!$B$6,"",IF($AU491="-&gt;",$AT491,$BC491))</f>
        <v/>
      </c>
      <c r="BQ491" s="87" t="str">
        <f aca="false">IF(ISBLANK($C491),"",IF($BD491&lt;&gt;Constants!$B$6,$BD491,IF(ISNUMBER($BP491),RANK($BP491,$BP$9:$BP$508,1),COUNT($BP$9:$BP$508)+1)))</f>
        <v/>
      </c>
      <c r="BR491" s="87" t="str">
        <f aca="false">IF(ISBLANK($C491),"",IF($BD491&lt;&gt;Constants!$B$6,$BD491,COUNTIFS($BI$9:$BI$508,"&lt;"&amp;$BI491)+COUNTIFS($BI$9:$BI$508,$BI491,$BK$9:$BK$508,"&lt;"&amp;$BK491)+COUNTIFS($BI$9:$BI$508,$BI491,$BK$9:$BK$508,$BK491,$BM$9:$BM$508,"&lt;"&amp;$BM491)+COUNTIFS($BI$9:$BI$508,$BI491,$BK$9:$BK$508,$BK491,$BM$9:$BM$508,$BM491,$BO$9:$BO$508,"&lt;"&amp;$BO491)+COUNTIFS($BI$9:$BI$508,$BI491,$BK$9:$BK$508,$BK491,$BM$9:$BM$508,$BM491,$BO$9:$BO$508,$BO491,$BQ$9:$BQ$508,"&lt;"&amp;$BQ491)+1))</f>
        <v/>
      </c>
      <c r="BS491" s="87" t="str">
        <f aca="false">IF(ISBLANK($C491),"",IF($BD491&lt;&gt;Constants!$B$6,$BD491,$BI491-$BR491))</f>
        <v/>
      </c>
      <c r="BT491" s="94"/>
      <c r="BU491" s="95"/>
      <c r="BV491" s="95" t="str">
        <f aca="false">IF(ISBLANK($C491),"",IF($BD491&lt;&gt;Constants!$B$6,"",IF($AU491="-&gt;",2,1)))</f>
        <v/>
      </c>
      <c r="BW491" s="96" t="str">
        <f aca="false">IF(ISBLANK($C491),"",IF($BD491&lt;&gt;Constants!$B$6,"",IF($AU491="-&gt;",$AW491,$AN491)))</f>
        <v/>
      </c>
      <c r="BX491" s="96" t="str">
        <f aca="false">IF(ISBLANK($C491),"",IF($BD491&lt;&gt;Constants!$B$6,"",IF($AU491="-&gt;",$AX491,$AO491)))</f>
        <v/>
      </c>
      <c r="BY491" s="96" t="str">
        <f aca="false">IF(ISBLANK($C491),"",IF($BD491&lt;&gt;Constants!$B$6,"",IF($AU491="-&gt;",$AY491,$AP491)))</f>
        <v/>
      </c>
      <c r="BZ491" s="96" t="str">
        <f aca="false">IF(ISBLANK($C491),"",IF($BD491&lt;&gt;Constants!$B$6,"",IF($AU491="-&gt;",$AZ491,$AQ491)+$BG491))</f>
        <v/>
      </c>
      <c r="CA491" s="97" t="str">
        <f aca="false">IF(ISBLANK($C491),"",IF($BD491&lt;&gt;Constants!$B$6,$BD491,$BH491))</f>
        <v/>
      </c>
      <c r="CB491" s="98" t="str">
        <f aca="false">IF(ISBLANK($C491),"",$BE491)</f>
        <v/>
      </c>
      <c r="CC491" s="99" t="str">
        <f aca="false">IF(ISBLANK($C491),"",$BS491)</f>
        <v/>
      </c>
      <c r="CD491" s="99" t="str">
        <f aca="false">IF(ISBLANK($C491),"",$BR491)</f>
        <v/>
      </c>
      <c r="CE491" s="100" t="str">
        <f aca="false">IF(ISBLANK($C491),"",IF($CD491=Constants!$B$9,COUNTA($C$9:$C$508)+2,IF($CD491=Constants!$B$8,COUNTA($C$9:$C$508)+1,IF($CD491=Constants!$B$7,COUNTA($C$9:$C$508),$CD491))))</f>
        <v/>
      </c>
      <c r="CF491" s="9"/>
      <c r="CG491" s="101" t="n">
        <f aca="false">IF(OR(ISNUMBER($CD491),$CD491=Constants!$B$9,$CD491=Constants!$B$7,$CD491=Constants!$B$8),1,0)</f>
        <v>0</v>
      </c>
      <c r="CH491" s="101" t="n">
        <v>483</v>
      </c>
      <c r="CI491" s="101" t="str">
        <f aca="false">IF(ISBLANK($C491),"",IF(ISNUMBER($CE491),$CE491+ROW($B491)/1000,""))</f>
        <v/>
      </c>
      <c r="CJ491" s="101" t="str">
        <f aca="false">IF(ISNUMBER($CI491),RANK($CI491,$CI$9:$CI$508,1),"")</f>
        <v/>
      </c>
      <c r="CK491" s="101" t="str">
        <f aca="false">IF(ISBLANK($C491),"",$B491)</f>
        <v/>
      </c>
      <c r="CL491" s="101" t="str">
        <f aca="false">IF(ISBLANK($C491),"",$C491)</f>
        <v/>
      </c>
      <c r="CM491" s="101" t="str">
        <f aca="false">IF(ISBLANK($C491),"",$D491)</f>
        <v/>
      </c>
      <c r="CN491" s="102" t="str">
        <f aca="false">$CB491</f>
        <v/>
      </c>
      <c r="CO491" s="103" t="str">
        <f aca="false">$CA491</f>
        <v/>
      </c>
      <c r="CP491" s="101" t="str">
        <f aca="false">IF(ISBLANK($C491),"",$CD491)</f>
        <v/>
      </c>
      <c r="CQ491" s="104" t="str">
        <f aca="false">IF($CH491&gt;$CG$8,"",VLOOKUP($CH491,$CJ$9:$CP$508,7,FALSE()))</f>
        <v/>
      </c>
      <c r="CR491" s="105" t="str">
        <f aca="false">IF($CH491&gt;$CG$8,"",VLOOKUP($CH491,$CJ$9:$CP$508,2,FALSE()))</f>
        <v/>
      </c>
      <c r="CS491" s="105" t="str">
        <f aca="false">IF($CH491&gt;$CG$8,"",VLOOKUP($CH491,$CJ$9:$CP$508,3,FALSE()))</f>
        <v/>
      </c>
      <c r="CT491" s="105" t="str">
        <f aca="false">IF($CH491&gt;$CG$8,"",VLOOKUP($CH491,$CJ$9:$CP$508,4,FALSE()))</f>
        <v/>
      </c>
      <c r="CU491" s="105" t="str">
        <f aca="false">IF($CH491&gt;$CG$8,"",VLOOKUP($CH491,$CJ$9:$CP$508,5,FALSE()))</f>
        <v/>
      </c>
      <c r="CV491" s="106" t="str">
        <f aca="false">IF($CH491&gt;$CG$8,"",VLOOKUP($CH491,$CJ$9:$CP$508,6,FALSE()))</f>
        <v/>
      </c>
      <c r="CW491" s="71"/>
    </row>
    <row r="492" customFormat="false" ht="15.75" hidden="false" customHeight="false" outlineLevel="0" collapsed="false">
      <c r="A492" s="9"/>
      <c r="B492" s="150"/>
      <c r="C492" s="151"/>
      <c r="D492" s="152"/>
      <c r="E492" s="170"/>
      <c r="F492" s="154"/>
      <c r="G492" s="155"/>
      <c r="H492" s="171"/>
      <c r="I492" s="159"/>
      <c r="J492" s="120"/>
      <c r="K492" s="121"/>
      <c r="L492" s="122"/>
      <c r="M492" s="158"/>
      <c r="N492" s="159"/>
      <c r="O492" s="159"/>
      <c r="P492" s="120"/>
      <c r="Q492" s="122"/>
      <c r="R492" s="122"/>
      <c r="S492" s="158"/>
      <c r="T492" s="159"/>
      <c r="U492" s="126"/>
      <c r="V492" s="127"/>
      <c r="W492" s="127" t="str">
        <f aca="false">IF(ISBLANK($C492),"",IF(E492=Constants!$B$2,TRUE(),IF(E492=Constants!$B$3,FALSE(),TRUE())))</f>
        <v/>
      </c>
      <c r="X492" s="127" t="str">
        <f aca="false">IF(ISBLANK($C492),"",IF(F492=Constants!$B$2,TRUE(),IF(F492=Constants!$B$3,FALSE(),TRUE())))</f>
        <v/>
      </c>
      <c r="Y492" s="127" t="str">
        <f aca="false">IF(ISBLANK($C492),"",IF(G492=Constants!$B$2,TRUE(),IF(G492=Constants!$B$3,FALSE(),TRUE())))</f>
        <v/>
      </c>
      <c r="Z492" s="127" t="str">
        <f aca="false">IF(ISBLANK($C492),"",IF(H492=Constants!$B$2,TRUE(),IF(H492=Constants!$B$3,FALSE(),TRUE())))</f>
        <v/>
      </c>
      <c r="AA492" s="127" t="str">
        <f aca="false">IF(ISBLANK($C492),"",IF(I492=Constants!$B$2,TRUE(),IF(I492=Constants!$B$3,FALSE(),TRUE())))</f>
        <v/>
      </c>
      <c r="AB492" s="127" t="str">
        <f aca="false">IF(ISBLANK($C492),"",IF(J492=Constants!$B$4,TRUE(),IF(J492=Constants!$B$5,FALSE(),COUNTA(K492:M492)&gt;0)))</f>
        <v/>
      </c>
      <c r="AC492" s="128" t="str">
        <f aca="false">IF(ISBLANK($C492),"",IF(ISNUMBER(K492),IF(K492&gt;=0,K492,""),""))</f>
        <v/>
      </c>
      <c r="AD492" s="129" t="str">
        <f aca="false">IF(ISBLANK($C492),"",IF(ISNUMBER(L492),IF(L492&gt;=0,L492,""),""))</f>
        <v/>
      </c>
      <c r="AE492" s="127" t="str">
        <f aca="false">IF(ISBLANK($C492),"",IF(ISNUMBER(M492),IF(M492&gt;=0,MIN(M492,Constants!$B$22),""),""))</f>
        <v/>
      </c>
      <c r="AF492" s="127" t="str">
        <f aca="false">IF(ISBLANK($C492),"",IF(N492=Constants!$B$2,TRUE(),IF(N492=Constants!$B$3,FALSE(),TRUE())))</f>
        <v/>
      </c>
      <c r="AG492" s="127" t="str">
        <f aca="false">IF(ISBLANK($C492),"",IF(O492=Constants!$B$2,TRUE(),IF(O492=Constants!$B$3,FALSE(),TRUE())))</f>
        <v/>
      </c>
      <c r="AH492" s="127" t="str">
        <f aca="false">IF(ISBLANK($C492),"",IF(P492=Constants!$B$4,TRUE(),IF(P492=Constants!$B$5,FALSE(),COUNTA(Q492:S492)&gt;0)))</f>
        <v/>
      </c>
      <c r="AI492" s="128" t="str">
        <f aca="false">IF(ISBLANK($C492),"",IF(ISNUMBER(Q492),IF(Q492&gt;=0,Q492,""),""))</f>
        <v/>
      </c>
      <c r="AJ492" s="129" t="str">
        <f aca="false">IF(ISBLANK($C492),"",IF(ISNUMBER(R492),IF(R492&gt;=0,R492,""),""))</f>
        <v/>
      </c>
      <c r="AK492" s="127" t="str">
        <f aca="false">IF(ISBLANK($C492),"",IF(ISNUMBER(S492),IF(S492&gt;=0,MIN(S492,Constants!$B$22),""),""))</f>
        <v/>
      </c>
      <c r="AL492" s="127" t="str">
        <f aca="false">IF(ISBLANK($C492),"",IF(T492=Constants!$B$2,TRUE(),IF(T492=Constants!$B$3,FALSE(),FALSE())))</f>
        <v/>
      </c>
      <c r="AM492" s="126" t="str">
        <f aca="false">IF(ISBLANK($C492),"",AND($AB492,OR($AC492="",$AD492="",AND(NOT(ISBLANK($M492)),$AE492=""))))</f>
        <v/>
      </c>
      <c r="AN492" s="129" t="str">
        <f aca="false">IF($BD492&lt;&gt;Constants!$B$6,"",IF($AB492,Constants!$B$17*$AD492,Constants!$B$18))</f>
        <v/>
      </c>
      <c r="AO492" s="130" t="str">
        <f aca="false">IF($BD492&lt;&gt;Constants!$B$6,"",Constants!$B$19*IF($AB492,$AC492,0))</f>
        <v/>
      </c>
      <c r="AP492" s="130" t="str">
        <f aca="false">IF($BD492&lt;&gt;Constants!$B$6,"",IF(AND($AB492,ISNUMBER($AE492)),Constants!$B$20*(Constants!$B$21-$AE492),0))</f>
        <v/>
      </c>
      <c r="AQ492" s="130" t="str">
        <f aca="false">IF($BD492&lt;&gt;Constants!$B$6,"",IF($AA492,0,Constants!$B$12)+IF($Z492,0,Constants!$B$13)+IF($Y492,0,Constants!$B$14))</f>
        <v/>
      </c>
      <c r="AR492" s="131" t="str">
        <f aca="false">IF($BD492&lt;&gt;Constants!$B$6,"",Constants!$B$16+SUM($AN492:$AQ492))</f>
        <v/>
      </c>
      <c r="AS492" s="130" t="str">
        <f aca="false">IF($BD492&lt;&gt;Constants!$B$6,"",IF($AB492,$AD492,""))</f>
        <v/>
      </c>
      <c r="AT492" s="132" t="str">
        <f aca="false">IF($BD492&lt;&gt;Constants!$B$6,"",$AO492)</f>
        <v/>
      </c>
      <c r="AU492" s="127" t="str">
        <f aca="false">IF($BD492&lt;&gt;Constants!$B$6,"",IF(OR($BA492&lt;$AR492,AND($BA492=$AR492,OR(AND(ISNUMBER($BB492),OR(NOT(ISNUMBER($AS492)),$BB492&lt;$AS492)),AND(OR(AND($BB492="",$AS492=""),AND(ISNUMBER($BB492),ISNUMBER($AS492),$BB492=$AS492)),$BC492&lt;$AT492)))),"-&gt;","&lt;-"))</f>
        <v/>
      </c>
      <c r="AV492" s="126" t="str">
        <f aca="false">IF(ISBLANK($C492),"",AND($AH492,OR($AI492="",$AJ492="",AND(NOT(ISBLANK($S492)),$AK492=""))))</f>
        <v/>
      </c>
      <c r="AW492" s="129" t="str">
        <f aca="false">IF($BD492&lt;&gt;Constants!$B$6,"",IF($AH492,Constants!$B$17*$AJ492,Constants!$B$18))</f>
        <v/>
      </c>
      <c r="AX492" s="130" t="str">
        <f aca="false">IF($BD492&lt;&gt;Constants!$B$6,"",Constants!$B$19*IF($AH492,$AI492,0))</f>
        <v/>
      </c>
      <c r="AY492" s="130" t="str">
        <f aca="false">IF($BD492&lt;&gt;Constants!$B$6,"",IF(AND($AH492,ISNUMBER($AK492)),Constants!$B$20*(Constants!$B$21-$AK492),0))</f>
        <v/>
      </c>
      <c r="AZ492" s="130" t="str">
        <f aca="false">IF($BD492&lt;&gt;Constants!$B$6,"",IF($AG492,0,Constants!$B$12)+IF($AF492,0,Constants!$B$13)+IF($Y492,0,Constants!$B$14))</f>
        <v/>
      </c>
      <c r="BA492" s="131" t="str">
        <f aca="false">IF($BD492&lt;&gt;Constants!$B$6,"",Constants!$B$16+SUM($AW492:$AZ492))</f>
        <v/>
      </c>
      <c r="BB492" s="130" t="str">
        <f aca="false">IF($BD492&lt;&gt;Constants!$B$6,"",IF($AH492,$AJ492,""))</f>
        <v/>
      </c>
      <c r="BC492" s="132" t="str">
        <f aca="false">IF($BD492&lt;&gt;Constants!$B$6,"",$AX492)</f>
        <v/>
      </c>
      <c r="BD492" s="127" t="str">
        <f aca="false">IF(ISBLANK($C492),"",IF($AL492,Constants!$B$9,IF(COUNTA($E492:$T492)=0,Constants!$B$8,IF(NOT($X492),Constants!$B$7,IF(OR($AM492,$AV492),Constants!$B$10,Constants!$B$6)))))</f>
        <v/>
      </c>
      <c r="BE492" s="127" t="str">
        <f aca="false">IF(ISBLANK($C492),"",IF($BD492&lt;&gt;Constants!$B$6,$BD492,Constants!$B$11))</f>
        <v/>
      </c>
      <c r="BF492" s="130" t="str">
        <f aca="false">IF($BD492&lt;&gt;Constants!$B$6,"",IF($AU492="-&gt;",$BA492,$AR492))</f>
        <v/>
      </c>
      <c r="BG492" s="130" t="str">
        <f aca="false">IF($BD492&lt;&gt;Constants!$B$6,"",IF($W492,0,Constants!$B$15))</f>
        <v/>
      </c>
      <c r="BH492" s="130" t="str">
        <f aca="false">IF(ISBLANK($C492),"",IF($BD492&lt;&gt;Constants!$B$6,$BD492,SUM($BF492:$BG492)))</f>
        <v/>
      </c>
      <c r="BI492" s="127" t="str">
        <f aca="false">IF(ISBLANK($C492),"",IF($BD492&lt;&gt;Constants!$B$6,$BD492,RANK($BH492,$BH$9:$BH$508,1)))</f>
        <v/>
      </c>
      <c r="BJ492" s="130" t="str">
        <f aca="false">IF($BD492&lt;&gt;Constants!$B$6,"",IF($AU492="-&gt;",$BB492,$AS492))</f>
        <v/>
      </c>
      <c r="BK492" s="127" t="str">
        <f aca="false">IF(ISBLANK($C492),"",IF($BD492&lt;&gt;Constants!$B$6,$BD492,IF(ISNUMBER($BJ492),RANK($BJ492,$BJ$9:$BJ$508,1),COUNT($BJ$9:$BJ$508)+1)))</f>
        <v/>
      </c>
      <c r="BL492" s="130" t="str">
        <f aca="false">IF($BD492&lt;&gt;Constants!$B$6,"",IF($AU492="-&gt;",$BC492,$AT492))</f>
        <v/>
      </c>
      <c r="BM492" s="127" t="str">
        <f aca="false">IF(ISBLANK($C492),"",IF($BD492&lt;&gt;Constants!$B$6,$BD492,IF(ISNUMBER($BL492),RANK($BL492,$BL$9:$BL$508,1),COUNT($BL$9:$BL$508)+1)))</f>
        <v/>
      </c>
      <c r="BN492" s="130" t="str">
        <f aca="false">IF($BD492&lt;&gt;Constants!$B$6,"",IF($AU492="-&gt;",$AS492,$BB492))</f>
        <v/>
      </c>
      <c r="BO492" s="127" t="str">
        <f aca="false">IF(ISBLANK($C492),"",IF($BD492&lt;&gt;Constants!$B$6,$BD492,IF(ISNUMBER($BN492),RANK($BN492,$BN$9:$BN$508,1),COUNT($BN$9:$BN$508)+1)))</f>
        <v/>
      </c>
      <c r="BP492" s="130" t="str">
        <f aca="false">IF($BD492&lt;&gt;Constants!$B$6,"",IF($AU492="-&gt;",$AT492,$BC492))</f>
        <v/>
      </c>
      <c r="BQ492" s="127" t="str">
        <f aca="false">IF(ISBLANK($C492),"",IF($BD492&lt;&gt;Constants!$B$6,$BD492,IF(ISNUMBER($BP492),RANK($BP492,$BP$9:$BP$508,1),COUNT($BP$9:$BP$508)+1)))</f>
        <v/>
      </c>
      <c r="BR492" s="127" t="str">
        <f aca="false">IF(ISBLANK($C492),"",IF($BD492&lt;&gt;Constants!$B$6,$BD492,COUNTIFS($BI$9:$BI$508,"&lt;"&amp;$BI492)+COUNTIFS($BI$9:$BI$508,$BI492,$BK$9:$BK$508,"&lt;"&amp;$BK492)+COUNTIFS($BI$9:$BI$508,$BI492,$BK$9:$BK$508,$BK492,$BM$9:$BM$508,"&lt;"&amp;$BM492)+COUNTIFS($BI$9:$BI$508,$BI492,$BK$9:$BK$508,$BK492,$BM$9:$BM$508,$BM492,$BO$9:$BO$508,"&lt;"&amp;$BO492)+COUNTIFS($BI$9:$BI$508,$BI492,$BK$9:$BK$508,$BK492,$BM$9:$BM$508,$BM492,$BO$9:$BO$508,$BO492,$BQ$9:$BQ$508,"&lt;"&amp;$BQ492)+1))</f>
        <v/>
      </c>
      <c r="BS492" s="127" t="str">
        <f aca="false">IF(ISBLANK($C492),"",IF($BD492&lt;&gt;Constants!$B$6,$BD492,$BI492-$BR492))</f>
        <v/>
      </c>
      <c r="BT492" s="133"/>
      <c r="BU492" s="134"/>
      <c r="BV492" s="134" t="str">
        <f aca="false">IF(ISBLANK($C492),"",IF($BD492&lt;&gt;Constants!$B$6,"",IF($AU492="-&gt;",2,1)))</f>
        <v/>
      </c>
      <c r="BW492" s="135" t="str">
        <f aca="false">IF(ISBLANK($C492),"",IF($BD492&lt;&gt;Constants!$B$6,"",IF($AU492="-&gt;",$AW492,$AN492)))</f>
        <v/>
      </c>
      <c r="BX492" s="135" t="str">
        <f aca="false">IF(ISBLANK($C492),"",IF($BD492&lt;&gt;Constants!$B$6,"",IF($AU492="-&gt;",$AX492,$AO492)))</f>
        <v/>
      </c>
      <c r="BY492" s="135" t="str">
        <f aca="false">IF(ISBLANK($C492),"",IF($BD492&lt;&gt;Constants!$B$6,"",IF($AU492="-&gt;",$AY492,$AP492)))</f>
        <v/>
      </c>
      <c r="BZ492" s="135" t="str">
        <f aca="false">IF(ISBLANK($C492),"",IF($BD492&lt;&gt;Constants!$B$6,"",IF($AU492="-&gt;",$AZ492,$AQ492)+$BG492))</f>
        <v/>
      </c>
      <c r="CA492" s="136" t="str">
        <f aca="false">IF(ISBLANK($C492),"",IF($BD492&lt;&gt;Constants!$B$6,$BD492,$BH492))</f>
        <v/>
      </c>
      <c r="CB492" s="137" t="str">
        <f aca="false">IF(ISBLANK($C492),"",$BE492)</f>
        <v/>
      </c>
      <c r="CC492" s="138" t="str">
        <f aca="false">IF(ISBLANK($C492),"",$BS492)</f>
        <v/>
      </c>
      <c r="CD492" s="138" t="str">
        <f aca="false">IF(ISBLANK($C492),"",$BR492)</f>
        <v/>
      </c>
      <c r="CE492" s="139" t="str">
        <f aca="false">IF(ISBLANK($C492),"",IF($CD492=Constants!$B$9,COUNTA($C$9:$C$508)+2,IF($CD492=Constants!$B$8,COUNTA($C$9:$C$508)+1,IF($CD492=Constants!$B$7,COUNTA($C$9:$C$508),$CD492))))</f>
        <v/>
      </c>
      <c r="CF492" s="9"/>
      <c r="CG492" s="140" t="n">
        <f aca="false">IF(OR(ISNUMBER($CD492),$CD492=Constants!$B$9,$CD492=Constants!$B$7,$CD492=Constants!$B$8),1,0)</f>
        <v>0</v>
      </c>
      <c r="CH492" s="140" t="n">
        <v>484</v>
      </c>
      <c r="CI492" s="140" t="str">
        <f aca="false">IF(ISBLANK($C492),"",IF(ISNUMBER($CE492),$CE492+ROW($B492)/1000,""))</f>
        <v/>
      </c>
      <c r="CJ492" s="140" t="str">
        <f aca="false">IF(ISNUMBER($CI492),RANK($CI492,$CI$9:$CI$508,1),"")</f>
        <v/>
      </c>
      <c r="CK492" s="140" t="str">
        <f aca="false">IF(ISBLANK($C492),"",$B492)</f>
        <v/>
      </c>
      <c r="CL492" s="140" t="str">
        <f aca="false">IF(ISBLANK($C492),"",$C492)</f>
        <v/>
      </c>
      <c r="CM492" s="140" t="str">
        <f aca="false">IF(ISBLANK($C492),"",$D492)</f>
        <v/>
      </c>
      <c r="CN492" s="141" t="str">
        <f aca="false">$CB492</f>
        <v/>
      </c>
      <c r="CO492" s="142" t="str">
        <f aca="false">$CA492</f>
        <v/>
      </c>
      <c r="CP492" s="140" t="str">
        <f aca="false">IF(ISBLANK($C492),"",$CD492)</f>
        <v/>
      </c>
      <c r="CQ492" s="143" t="str">
        <f aca="false">IF($CH492&gt;$CG$8,"",VLOOKUP($CH492,$CJ$9:$CP$508,7,FALSE()))</f>
        <v/>
      </c>
      <c r="CR492" s="144" t="str">
        <f aca="false">IF($CH492&gt;$CG$8,"",VLOOKUP($CH492,$CJ$9:$CP$508,2,FALSE()))</f>
        <v/>
      </c>
      <c r="CS492" s="144" t="str">
        <f aca="false">IF($CH492&gt;$CG$8,"",VLOOKUP($CH492,$CJ$9:$CP$508,3,FALSE()))</f>
        <v/>
      </c>
      <c r="CT492" s="144" t="str">
        <f aca="false">IF($CH492&gt;$CG$8,"",VLOOKUP($CH492,$CJ$9:$CP$508,4,FALSE()))</f>
        <v/>
      </c>
      <c r="CU492" s="144" t="str">
        <f aca="false">IF($CH492&gt;$CG$8,"",VLOOKUP($CH492,$CJ$9:$CP$508,5,FALSE()))</f>
        <v/>
      </c>
      <c r="CV492" s="145" t="str">
        <f aca="false">IF($CH492&gt;$CG$8,"",VLOOKUP($CH492,$CJ$9:$CP$508,6,FALSE()))</f>
        <v/>
      </c>
      <c r="CW492" s="71"/>
    </row>
    <row r="493" customFormat="false" ht="15.75" hidden="false" customHeight="false" outlineLevel="0" collapsed="false">
      <c r="A493" s="9"/>
      <c r="B493" s="150"/>
      <c r="C493" s="151"/>
      <c r="D493" s="152"/>
      <c r="E493" s="170"/>
      <c r="F493" s="154"/>
      <c r="G493" s="155"/>
      <c r="H493" s="171"/>
      <c r="I493" s="159"/>
      <c r="J493" s="120"/>
      <c r="K493" s="121"/>
      <c r="L493" s="122"/>
      <c r="M493" s="158"/>
      <c r="N493" s="159"/>
      <c r="O493" s="159"/>
      <c r="P493" s="120"/>
      <c r="Q493" s="122"/>
      <c r="R493" s="122"/>
      <c r="S493" s="158"/>
      <c r="T493" s="159"/>
      <c r="U493" s="126"/>
      <c r="V493" s="127"/>
      <c r="W493" s="127" t="str">
        <f aca="false">IF(ISBLANK($C493),"",IF(E493=Constants!$B$2,TRUE(),IF(E493=Constants!$B$3,FALSE(),TRUE())))</f>
        <v/>
      </c>
      <c r="X493" s="127" t="str">
        <f aca="false">IF(ISBLANK($C493),"",IF(F493=Constants!$B$2,TRUE(),IF(F493=Constants!$B$3,FALSE(),TRUE())))</f>
        <v/>
      </c>
      <c r="Y493" s="127" t="str">
        <f aca="false">IF(ISBLANK($C493),"",IF(G493=Constants!$B$2,TRUE(),IF(G493=Constants!$B$3,FALSE(),TRUE())))</f>
        <v/>
      </c>
      <c r="Z493" s="127" t="str">
        <f aca="false">IF(ISBLANK($C493),"",IF(H493=Constants!$B$2,TRUE(),IF(H493=Constants!$B$3,FALSE(),TRUE())))</f>
        <v/>
      </c>
      <c r="AA493" s="127" t="str">
        <f aca="false">IF(ISBLANK($C493),"",IF(I493=Constants!$B$2,TRUE(),IF(I493=Constants!$B$3,FALSE(),TRUE())))</f>
        <v/>
      </c>
      <c r="AB493" s="127" t="str">
        <f aca="false">IF(ISBLANK($C493),"",IF(J493=Constants!$B$4,TRUE(),IF(J493=Constants!$B$5,FALSE(),COUNTA(K493:M493)&gt;0)))</f>
        <v/>
      </c>
      <c r="AC493" s="128" t="str">
        <f aca="false">IF(ISBLANK($C493),"",IF(ISNUMBER(K493),IF(K493&gt;=0,K493,""),""))</f>
        <v/>
      </c>
      <c r="AD493" s="129" t="str">
        <f aca="false">IF(ISBLANK($C493),"",IF(ISNUMBER(L493),IF(L493&gt;=0,L493,""),""))</f>
        <v/>
      </c>
      <c r="AE493" s="127" t="str">
        <f aca="false">IF(ISBLANK($C493),"",IF(ISNUMBER(M493),IF(M493&gt;=0,MIN(M493,Constants!$B$22),""),""))</f>
        <v/>
      </c>
      <c r="AF493" s="127" t="str">
        <f aca="false">IF(ISBLANK($C493),"",IF(N493=Constants!$B$2,TRUE(),IF(N493=Constants!$B$3,FALSE(),TRUE())))</f>
        <v/>
      </c>
      <c r="AG493" s="127" t="str">
        <f aca="false">IF(ISBLANK($C493),"",IF(O493=Constants!$B$2,TRUE(),IF(O493=Constants!$B$3,FALSE(),TRUE())))</f>
        <v/>
      </c>
      <c r="AH493" s="127" t="str">
        <f aca="false">IF(ISBLANK($C493),"",IF(P493=Constants!$B$4,TRUE(),IF(P493=Constants!$B$5,FALSE(),COUNTA(Q493:S493)&gt;0)))</f>
        <v/>
      </c>
      <c r="AI493" s="128" t="str">
        <f aca="false">IF(ISBLANK($C493),"",IF(ISNUMBER(Q493),IF(Q493&gt;=0,Q493,""),""))</f>
        <v/>
      </c>
      <c r="AJ493" s="129" t="str">
        <f aca="false">IF(ISBLANK($C493),"",IF(ISNUMBER(R493),IF(R493&gt;=0,R493,""),""))</f>
        <v/>
      </c>
      <c r="AK493" s="127" t="str">
        <f aca="false">IF(ISBLANK($C493),"",IF(ISNUMBER(S493),IF(S493&gt;=0,MIN(S493,Constants!$B$22),""),""))</f>
        <v/>
      </c>
      <c r="AL493" s="127" t="str">
        <f aca="false">IF(ISBLANK($C493),"",IF(T493=Constants!$B$2,TRUE(),IF(T493=Constants!$B$3,FALSE(),FALSE())))</f>
        <v/>
      </c>
      <c r="AM493" s="126" t="str">
        <f aca="false">IF(ISBLANK($C493),"",AND($AB493,OR($AC493="",$AD493="",AND(NOT(ISBLANK($M493)),$AE493=""))))</f>
        <v/>
      </c>
      <c r="AN493" s="129" t="str">
        <f aca="false">IF($BD493&lt;&gt;Constants!$B$6,"",IF($AB493,Constants!$B$17*$AD493,Constants!$B$18))</f>
        <v/>
      </c>
      <c r="AO493" s="130" t="str">
        <f aca="false">IF($BD493&lt;&gt;Constants!$B$6,"",Constants!$B$19*IF($AB493,$AC493,0))</f>
        <v/>
      </c>
      <c r="AP493" s="130" t="str">
        <f aca="false">IF($BD493&lt;&gt;Constants!$B$6,"",IF(AND($AB493,ISNUMBER($AE493)),Constants!$B$20*(Constants!$B$21-$AE493),0))</f>
        <v/>
      </c>
      <c r="AQ493" s="130" t="str">
        <f aca="false">IF($BD493&lt;&gt;Constants!$B$6,"",IF($AA493,0,Constants!$B$12)+IF($Z493,0,Constants!$B$13)+IF($Y493,0,Constants!$B$14))</f>
        <v/>
      </c>
      <c r="AR493" s="131" t="str">
        <f aca="false">IF($BD493&lt;&gt;Constants!$B$6,"",Constants!$B$16+SUM($AN493:$AQ493))</f>
        <v/>
      </c>
      <c r="AS493" s="130" t="str">
        <f aca="false">IF($BD493&lt;&gt;Constants!$B$6,"",IF($AB493,$AD493,""))</f>
        <v/>
      </c>
      <c r="AT493" s="132" t="str">
        <f aca="false">IF($BD493&lt;&gt;Constants!$B$6,"",$AO493)</f>
        <v/>
      </c>
      <c r="AU493" s="127" t="str">
        <f aca="false">IF($BD493&lt;&gt;Constants!$B$6,"",IF(OR($BA493&lt;$AR493,AND($BA493=$AR493,OR(AND(ISNUMBER($BB493),OR(NOT(ISNUMBER($AS493)),$BB493&lt;$AS493)),AND(OR(AND($BB493="",$AS493=""),AND(ISNUMBER($BB493),ISNUMBER($AS493),$BB493=$AS493)),$BC493&lt;$AT493)))),"-&gt;","&lt;-"))</f>
        <v/>
      </c>
      <c r="AV493" s="126" t="str">
        <f aca="false">IF(ISBLANK($C493),"",AND($AH493,OR($AI493="",$AJ493="",AND(NOT(ISBLANK($S493)),$AK493=""))))</f>
        <v/>
      </c>
      <c r="AW493" s="129" t="str">
        <f aca="false">IF($BD493&lt;&gt;Constants!$B$6,"",IF($AH493,Constants!$B$17*$AJ493,Constants!$B$18))</f>
        <v/>
      </c>
      <c r="AX493" s="130" t="str">
        <f aca="false">IF($BD493&lt;&gt;Constants!$B$6,"",Constants!$B$19*IF($AH493,$AI493,0))</f>
        <v/>
      </c>
      <c r="AY493" s="130" t="str">
        <f aca="false">IF($BD493&lt;&gt;Constants!$B$6,"",IF(AND($AH493,ISNUMBER($AK493)),Constants!$B$20*(Constants!$B$21-$AK493),0))</f>
        <v/>
      </c>
      <c r="AZ493" s="130" t="str">
        <f aca="false">IF($BD493&lt;&gt;Constants!$B$6,"",IF($AG493,0,Constants!$B$12)+IF($AF493,0,Constants!$B$13)+IF($Y493,0,Constants!$B$14))</f>
        <v/>
      </c>
      <c r="BA493" s="131" t="str">
        <f aca="false">IF($BD493&lt;&gt;Constants!$B$6,"",Constants!$B$16+SUM($AW493:$AZ493))</f>
        <v/>
      </c>
      <c r="BB493" s="130" t="str">
        <f aca="false">IF($BD493&lt;&gt;Constants!$B$6,"",IF($AH493,$AJ493,""))</f>
        <v/>
      </c>
      <c r="BC493" s="132" t="str">
        <f aca="false">IF($BD493&lt;&gt;Constants!$B$6,"",$AX493)</f>
        <v/>
      </c>
      <c r="BD493" s="127" t="str">
        <f aca="false">IF(ISBLANK($C493),"",IF($AL493,Constants!$B$9,IF(COUNTA($E493:$T493)=0,Constants!$B$8,IF(NOT($X493),Constants!$B$7,IF(OR($AM493,$AV493),Constants!$B$10,Constants!$B$6)))))</f>
        <v/>
      </c>
      <c r="BE493" s="127" t="str">
        <f aca="false">IF(ISBLANK($C493),"",IF($BD493&lt;&gt;Constants!$B$6,$BD493,Constants!$B$11))</f>
        <v/>
      </c>
      <c r="BF493" s="130" t="str">
        <f aca="false">IF($BD493&lt;&gt;Constants!$B$6,"",IF($AU493="-&gt;",$BA493,$AR493))</f>
        <v/>
      </c>
      <c r="BG493" s="130" t="str">
        <f aca="false">IF($BD493&lt;&gt;Constants!$B$6,"",IF($W493,0,Constants!$B$15))</f>
        <v/>
      </c>
      <c r="BH493" s="130" t="str">
        <f aca="false">IF(ISBLANK($C493),"",IF($BD493&lt;&gt;Constants!$B$6,$BD493,SUM($BF493:$BG493)))</f>
        <v/>
      </c>
      <c r="BI493" s="127" t="str">
        <f aca="false">IF(ISBLANK($C493),"",IF($BD493&lt;&gt;Constants!$B$6,$BD493,RANK($BH493,$BH$9:$BH$508,1)))</f>
        <v/>
      </c>
      <c r="BJ493" s="130" t="str">
        <f aca="false">IF($BD493&lt;&gt;Constants!$B$6,"",IF($AU493="-&gt;",$BB493,$AS493))</f>
        <v/>
      </c>
      <c r="BK493" s="127" t="str">
        <f aca="false">IF(ISBLANK($C493),"",IF($BD493&lt;&gt;Constants!$B$6,$BD493,IF(ISNUMBER($BJ493),RANK($BJ493,$BJ$9:$BJ$508,1),COUNT($BJ$9:$BJ$508)+1)))</f>
        <v/>
      </c>
      <c r="BL493" s="130" t="str">
        <f aca="false">IF($BD493&lt;&gt;Constants!$B$6,"",IF($AU493="-&gt;",$BC493,$AT493))</f>
        <v/>
      </c>
      <c r="BM493" s="127" t="str">
        <f aca="false">IF(ISBLANK($C493),"",IF($BD493&lt;&gt;Constants!$B$6,$BD493,IF(ISNUMBER($BL493),RANK($BL493,$BL$9:$BL$508,1),COUNT($BL$9:$BL$508)+1)))</f>
        <v/>
      </c>
      <c r="BN493" s="130" t="str">
        <f aca="false">IF($BD493&lt;&gt;Constants!$B$6,"",IF($AU493="-&gt;",$AS493,$BB493))</f>
        <v/>
      </c>
      <c r="BO493" s="127" t="str">
        <f aca="false">IF(ISBLANK($C493),"",IF($BD493&lt;&gt;Constants!$B$6,$BD493,IF(ISNUMBER($BN493),RANK($BN493,$BN$9:$BN$508,1),COUNT($BN$9:$BN$508)+1)))</f>
        <v/>
      </c>
      <c r="BP493" s="130" t="str">
        <f aca="false">IF($BD493&lt;&gt;Constants!$B$6,"",IF($AU493="-&gt;",$AT493,$BC493))</f>
        <v/>
      </c>
      <c r="BQ493" s="127" t="str">
        <f aca="false">IF(ISBLANK($C493),"",IF($BD493&lt;&gt;Constants!$B$6,$BD493,IF(ISNUMBER($BP493),RANK($BP493,$BP$9:$BP$508,1),COUNT($BP$9:$BP$508)+1)))</f>
        <v/>
      </c>
      <c r="BR493" s="127" t="str">
        <f aca="false">IF(ISBLANK($C493),"",IF($BD493&lt;&gt;Constants!$B$6,$BD493,COUNTIFS($BI$9:$BI$508,"&lt;"&amp;$BI493)+COUNTIFS($BI$9:$BI$508,$BI493,$BK$9:$BK$508,"&lt;"&amp;$BK493)+COUNTIFS($BI$9:$BI$508,$BI493,$BK$9:$BK$508,$BK493,$BM$9:$BM$508,"&lt;"&amp;$BM493)+COUNTIFS($BI$9:$BI$508,$BI493,$BK$9:$BK$508,$BK493,$BM$9:$BM$508,$BM493,$BO$9:$BO$508,"&lt;"&amp;$BO493)+COUNTIFS($BI$9:$BI$508,$BI493,$BK$9:$BK$508,$BK493,$BM$9:$BM$508,$BM493,$BO$9:$BO$508,$BO493,$BQ$9:$BQ$508,"&lt;"&amp;$BQ493)+1))</f>
        <v/>
      </c>
      <c r="BS493" s="127" t="str">
        <f aca="false">IF(ISBLANK($C493),"",IF($BD493&lt;&gt;Constants!$B$6,$BD493,$BI493-$BR493))</f>
        <v/>
      </c>
      <c r="BT493" s="133"/>
      <c r="BU493" s="134"/>
      <c r="BV493" s="134" t="str">
        <f aca="false">IF(ISBLANK($C493),"",IF($BD493&lt;&gt;Constants!$B$6,"",IF($AU493="-&gt;",2,1)))</f>
        <v/>
      </c>
      <c r="BW493" s="135" t="str">
        <f aca="false">IF(ISBLANK($C493),"",IF($BD493&lt;&gt;Constants!$B$6,"",IF($AU493="-&gt;",$AW493,$AN493)))</f>
        <v/>
      </c>
      <c r="BX493" s="135" t="str">
        <f aca="false">IF(ISBLANK($C493),"",IF($BD493&lt;&gt;Constants!$B$6,"",IF($AU493="-&gt;",$AX493,$AO493)))</f>
        <v/>
      </c>
      <c r="BY493" s="135" t="str">
        <f aca="false">IF(ISBLANK($C493),"",IF($BD493&lt;&gt;Constants!$B$6,"",IF($AU493="-&gt;",$AY493,$AP493)))</f>
        <v/>
      </c>
      <c r="BZ493" s="135" t="str">
        <f aca="false">IF(ISBLANK($C493),"",IF($BD493&lt;&gt;Constants!$B$6,"",IF($AU493="-&gt;",$AZ493,$AQ493)+$BG493))</f>
        <v/>
      </c>
      <c r="CA493" s="136" t="str">
        <f aca="false">IF(ISBLANK($C493),"",IF($BD493&lt;&gt;Constants!$B$6,$BD493,$BH493))</f>
        <v/>
      </c>
      <c r="CB493" s="137" t="str">
        <f aca="false">IF(ISBLANK($C493),"",$BE493)</f>
        <v/>
      </c>
      <c r="CC493" s="138" t="str">
        <f aca="false">IF(ISBLANK($C493),"",$BS493)</f>
        <v/>
      </c>
      <c r="CD493" s="138" t="str">
        <f aca="false">IF(ISBLANK($C493),"",$BR493)</f>
        <v/>
      </c>
      <c r="CE493" s="139" t="str">
        <f aca="false">IF(ISBLANK($C493),"",IF($CD493=Constants!$B$9,COUNTA($C$9:$C$508)+2,IF($CD493=Constants!$B$8,COUNTA($C$9:$C$508)+1,IF($CD493=Constants!$B$7,COUNTA($C$9:$C$508),$CD493))))</f>
        <v/>
      </c>
      <c r="CF493" s="9"/>
      <c r="CG493" s="140" t="n">
        <f aca="false">IF(OR(ISNUMBER($CD493),$CD493=Constants!$B$9,$CD493=Constants!$B$7,$CD493=Constants!$B$8),1,0)</f>
        <v>0</v>
      </c>
      <c r="CH493" s="140" t="n">
        <v>485</v>
      </c>
      <c r="CI493" s="140" t="str">
        <f aca="false">IF(ISBLANK($C493),"",IF(ISNUMBER($CE493),$CE493+ROW($B493)/1000,""))</f>
        <v/>
      </c>
      <c r="CJ493" s="140" t="str">
        <f aca="false">IF(ISNUMBER($CI493),RANK($CI493,$CI$9:$CI$508,1),"")</f>
        <v/>
      </c>
      <c r="CK493" s="140" t="str">
        <f aca="false">IF(ISBLANK($C493),"",$B493)</f>
        <v/>
      </c>
      <c r="CL493" s="140" t="str">
        <f aca="false">IF(ISBLANK($C493),"",$C493)</f>
        <v/>
      </c>
      <c r="CM493" s="140" t="str">
        <f aca="false">IF(ISBLANK($C493),"",$D493)</f>
        <v/>
      </c>
      <c r="CN493" s="141" t="str">
        <f aca="false">$CB493</f>
        <v/>
      </c>
      <c r="CO493" s="142" t="str">
        <f aca="false">$CA493</f>
        <v/>
      </c>
      <c r="CP493" s="140" t="str">
        <f aca="false">IF(ISBLANK($C493),"",$CD493)</f>
        <v/>
      </c>
      <c r="CQ493" s="143" t="str">
        <f aca="false">IF($CH493&gt;$CG$8,"",VLOOKUP($CH493,$CJ$9:$CP$508,7,FALSE()))</f>
        <v/>
      </c>
      <c r="CR493" s="144" t="str">
        <f aca="false">IF($CH493&gt;$CG$8,"",VLOOKUP($CH493,$CJ$9:$CP$508,2,FALSE()))</f>
        <v/>
      </c>
      <c r="CS493" s="144" t="str">
        <f aca="false">IF($CH493&gt;$CG$8,"",VLOOKUP($CH493,$CJ$9:$CP$508,3,FALSE()))</f>
        <v/>
      </c>
      <c r="CT493" s="144" t="str">
        <f aca="false">IF($CH493&gt;$CG$8,"",VLOOKUP($CH493,$CJ$9:$CP$508,4,FALSE()))</f>
        <v/>
      </c>
      <c r="CU493" s="144" t="str">
        <f aca="false">IF($CH493&gt;$CG$8,"",VLOOKUP($CH493,$CJ$9:$CP$508,5,FALSE()))</f>
        <v/>
      </c>
      <c r="CV493" s="145" t="str">
        <f aca="false">IF($CH493&gt;$CG$8,"",VLOOKUP($CH493,$CJ$9:$CP$508,6,FALSE()))</f>
        <v/>
      </c>
      <c r="CW493" s="71"/>
    </row>
    <row r="494" customFormat="false" ht="15.75" hidden="false" customHeight="false" outlineLevel="0" collapsed="false">
      <c r="A494" s="9"/>
      <c r="B494" s="150"/>
      <c r="C494" s="151"/>
      <c r="D494" s="152"/>
      <c r="E494" s="170"/>
      <c r="F494" s="154"/>
      <c r="G494" s="155"/>
      <c r="H494" s="171"/>
      <c r="I494" s="159"/>
      <c r="J494" s="120"/>
      <c r="K494" s="121"/>
      <c r="L494" s="122"/>
      <c r="M494" s="158"/>
      <c r="N494" s="159"/>
      <c r="O494" s="159"/>
      <c r="P494" s="120"/>
      <c r="Q494" s="122"/>
      <c r="R494" s="122"/>
      <c r="S494" s="158"/>
      <c r="T494" s="159"/>
      <c r="U494" s="126"/>
      <c r="V494" s="127"/>
      <c r="W494" s="127" t="str">
        <f aca="false">IF(ISBLANK($C494),"",IF(E494=Constants!$B$2,TRUE(),IF(E494=Constants!$B$3,FALSE(),TRUE())))</f>
        <v/>
      </c>
      <c r="X494" s="127" t="str">
        <f aca="false">IF(ISBLANK($C494),"",IF(F494=Constants!$B$2,TRUE(),IF(F494=Constants!$B$3,FALSE(),TRUE())))</f>
        <v/>
      </c>
      <c r="Y494" s="127" t="str">
        <f aca="false">IF(ISBLANK($C494),"",IF(G494=Constants!$B$2,TRUE(),IF(G494=Constants!$B$3,FALSE(),TRUE())))</f>
        <v/>
      </c>
      <c r="Z494" s="127" t="str">
        <f aca="false">IF(ISBLANK($C494),"",IF(H494=Constants!$B$2,TRUE(),IF(H494=Constants!$B$3,FALSE(),TRUE())))</f>
        <v/>
      </c>
      <c r="AA494" s="127" t="str">
        <f aca="false">IF(ISBLANK($C494),"",IF(I494=Constants!$B$2,TRUE(),IF(I494=Constants!$B$3,FALSE(),TRUE())))</f>
        <v/>
      </c>
      <c r="AB494" s="127" t="str">
        <f aca="false">IF(ISBLANK($C494),"",IF(J494=Constants!$B$4,TRUE(),IF(J494=Constants!$B$5,FALSE(),COUNTA(K494:M494)&gt;0)))</f>
        <v/>
      </c>
      <c r="AC494" s="128" t="str">
        <f aca="false">IF(ISBLANK($C494),"",IF(ISNUMBER(K494),IF(K494&gt;=0,K494,""),""))</f>
        <v/>
      </c>
      <c r="AD494" s="129" t="str">
        <f aca="false">IF(ISBLANK($C494),"",IF(ISNUMBER(L494),IF(L494&gt;=0,L494,""),""))</f>
        <v/>
      </c>
      <c r="AE494" s="127" t="str">
        <f aca="false">IF(ISBLANK($C494),"",IF(ISNUMBER(M494),IF(M494&gt;=0,MIN(M494,Constants!$B$22),""),""))</f>
        <v/>
      </c>
      <c r="AF494" s="127" t="str">
        <f aca="false">IF(ISBLANK($C494),"",IF(N494=Constants!$B$2,TRUE(),IF(N494=Constants!$B$3,FALSE(),TRUE())))</f>
        <v/>
      </c>
      <c r="AG494" s="127" t="str">
        <f aca="false">IF(ISBLANK($C494),"",IF(O494=Constants!$B$2,TRUE(),IF(O494=Constants!$B$3,FALSE(),TRUE())))</f>
        <v/>
      </c>
      <c r="AH494" s="127" t="str">
        <f aca="false">IF(ISBLANK($C494),"",IF(P494=Constants!$B$4,TRUE(),IF(P494=Constants!$B$5,FALSE(),COUNTA(Q494:S494)&gt;0)))</f>
        <v/>
      </c>
      <c r="AI494" s="128" t="str">
        <f aca="false">IF(ISBLANK($C494),"",IF(ISNUMBER(Q494),IF(Q494&gt;=0,Q494,""),""))</f>
        <v/>
      </c>
      <c r="AJ494" s="129" t="str">
        <f aca="false">IF(ISBLANK($C494),"",IF(ISNUMBER(R494),IF(R494&gt;=0,R494,""),""))</f>
        <v/>
      </c>
      <c r="AK494" s="127" t="str">
        <f aca="false">IF(ISBLANK($C494),"",IF(ISNUMBER(S494),IF(S494&gt;=0,MIN(S494,Constants!$B$22),""),""))</f>
        <v/>
      </c>
      <c r="AL494" s="127" t="str">
        <f aca="false">IF(ISBLANK($C494),"",IF(T494=Constants!$B$2,TRUE(),IF(T494=Constants!$B$3,FALSE(),FALSE())))</f>
        <v/>
      </c>
      <c r="AM494" s="126" t="str">
        <f aca="false">IF(ISBLANK($C494),"",AND($AB494,OR($AC494="",$AD494="",AND(NOT(ISBLANK($M494)),$AE494=""))))</f>
        <v/>
      </c>
      <c r="AN494" s="129" t="str">
        <f aca="false">IF($BD494&lt;&gt;Constants!$B$6,"",IF($AB494,Constants!$B$17*$AD494,Constants!$B$18))</f>
        <v/>
      </c>
      <c r="AO494" s="130" t="str">
        <f aca="false">IF($BD494&lt;&gt;Constants!$B$6,"",Constants!$B$19*IF($AB494,$AC494,0))</f>
        <v/>
      </c>
      <c r="AP494" s="130" t="str">
        <f aca="false">IF($BD494&lt;&gt;Constants!$B$6,"",IF(AND($AB494,ISNUMBER($AE494)),Constants!$B$20*(Constants!$B$21-$AE494),0))</f>
        <v/>
      </c>
      <c r="AQ494" s="130" t="str">
        <f aca="false">IF($BD494&lt;&gt;Constants!$B$6,"",IF($AA494,0,Constants!$B$12)+IF($Z494,0,Constants!$B$13)+IF($Y494,0,Constants!$B$14))</f>
        <v/>
      </c>
      <c r="AR494" s="131" t="str">
        <f aca="false">IF($BD494&lt;&gt;Constants!$B$6,"",Constants!$B$16+SUM($AN494:$AQ494))</f>
        <v/>
      </c>
      <c r="AS494" s="130" t="str">
        <f aca="false">IF($BD494&lt;&gt;Constants!$B$6,"",IF($AB494,$AD494,""))</f>
        <v/>
      </c>
      <c r="AT494" s="132" t="str">
        <f aca="false">IF($BD494&lt;&gt;Constants!$B$6,"",$AO494)</f>
        <v/>
      </c>
      <c r="AU494" s="127" t="str">
        <f aca="false">IF($BD494&lt;&gt;Constants!$B$6,"",IF(OR($BA494&lt;$AR494,AND($BA494=$AR494,OR(AND(ISNUMBER($BB494),OR(NOT(ISNUMBER($AS494)),$BB494&lt;$AS494)),AND(OR(AND($BB494="",$AS494=""),AND(ISNUMBER($BB494),ISNUMBER($AS494),$BB494=$AS494)),$BC494&lt;$AT494)))),"-&gt;","&lt;-"))</f>
        <v/>
      </c>
      <c r="AV494" s="126" t="str">
        <f aca="false">IF(ISBLANK($C494),"",AND($AH494,OR($AI494="",$AJ494="",AND(NOT(ISBLANK($S494)),$AK494=""))))</f>
        <v/>
      </c>
      <c r="AW494" s="129" t="str">
        <f aca="false">IF($BD494&lt;&gt;Constants!$B$6,"",IF($AH494,Constants!$B$17*$AJ494,Constants!$B$18))</f>
        <v/>
      </c>
      <c r="AX494" s="130" t="str">
        <f aca="false">IF($BD494&lt;&gt;Constants!$B$6,"",Constants!$B$19*IF($AH494,$AI494,0))</f>
        <v/>
      </c>
      <c r="AY494" s="130" t="str">
        <f aca="false">IF($BD494&lt;&gt;Constants!$B$6,"",IF(AND($AH494,ISNUMBER($AK494)),Constants!$B$20*(Constants!$B$21-$AK494),0))</f>
        <v/>
      </c>
      <c r="AZ494" s="130" t="str">
        <f aca="false">IF($BD494&lt;&gt;Constants!$B$6,"",IF($AG494,0,Constants!$B$12)+IF($AF494,0,Constants!$B$13)+IF($Y494,0,Constants!$B$14))</f>
        <v/>
      </c>
      <c r="BA494" s="131" t="str">
        <f aca="false">IF($BD494&lt;&gt;Constants!$B$6,"",Constants!$B$16+SUM($AW494:$AZ494))</f>
        <v/>
      </c>
      <c r="BB494" s="130" t="str">
        <f aca="false">IF($BD494&lt;&gt;Constants!$B$6,"",IF($AH494,$AJ494,""))</f>
        <v/>
      </c>
      <c r="BC494" s="132" t="str">
        <f aca="false">IF($BD494&lt;&gt;Constants!$B$6,"",$AX494)</f>
        <v/>
      </c>
      <c r="BD494" s="127" t="str">
        <f aca="false">IF(ISBLANK($C494),"",IF($AL494,Constants!$B$9,IF(COUNTA($E494:$T494)=0,Constants!$B$8,IF(NOT($X494),Constants!$B$7,IF(OR($AM494,$AV494),Constants!$B$10,Constants!$B$6)))))</f>
        <v/>
      </c>
      <c r="BE494" s="127" t="str">
        <f aca="false">IF(ISBLANK($C494),"",IF($BD494&lt;&gt;Constants!$B$6,$BD494,Constants!$B$11))</f>
        <v/>
      </c>
      <c r="BF494" s="130" t="str">
        <f aca="false">IF($BD494&lt;&gt;Constants!$B$6,"",IF($AU494="-&gt;",$BA494,$AR494))</f>
        <v/>
      </c>
      <c r="BG494" s="130" t="str">
        <f aca="false">IF($BD494&lt;&gt;Constants!$B$6,"",IF($W494,0,Constants!$B$15))</f>
        <v/>
      </c>
      <c r="BH494" s="130" t="str">
        <f aca="false">IF(ISBLANK($C494),"",IF($BD494&lt;&gt;Constants!$B$6,$BD494,SUM($BF494:$BG494)))</f>
        <v/>
      </c>
      <c r="BI494" s="127" t="str">
        <f aca="false">IF(ISBLANK($C494),"",IF($BD494&lt;&gt;Constants!$B$6,$BD494,RANK($BH494,$BH$9:$BH$508,1)))</f>
        <v/>
      </c>
      <c r="BJ494" s="130" t="str">
        <f aca="false">IF($BD494&lt;&gt;Constants!$B$6,"",IF($AU494="-&gt;",$BB494,$AS494))</f>
        <v/>
      </c>
      <c r="BK494" s="127" t="str">
        <f aca="false">IF(ISBLANK($C494),"",IF($BD494&lt;&gt;Constants!$B$6,$BD494,IF(ISNUMBER($BJ494),RANK($BJ494,$BJ$9:$BJ$508,1),COUNT($BJ$9:$BJ$508)+1)))</f>
        <v/>
      </c>
      <c r="BL494" s="130" t="str">
        <f aca="false">IF($BD494&lt;&gt;Constants!$B$6,"",IF($AU494="-&gt;",$BC494,$AT494))</f>
        <v/>
      </c>
      <c r="BM494" s="127" t="str">
        <f aca="false">IF(ISBLANK($C494),"",IF($BD494&lt;&gt;Constants!$B$6,$BD494,IF(ISNUMBER($BL494),RANK($BL494,$BL$9:$BL$508,1),COUNT($BL$9:$BL$508)+1)))</f>
        <v/>
      </c>
      <c r="BN494" s="130" t="str">
        <f aca="false">IF($BD494&lt;&gt;Constants!$B$6,"",IF($AU494="-&gt;",$AS494,$BB494))</f>
        <v/>
      </c>
      <c r="BO494" s="127" t="str">
        <f aca="false">IF(ISBLANK($C494),"",IF($BD494&lt;&gt;Constants!$B$6,$BD494,IF(ISNUMBER($BN494),RANK($BN494,$BN$9:$BN$508,1),COUNT($BN$9:$BN$508)+1)))</f>
        <v/>
      </c>
      <c r="BP494" s="130" t="str">
        <f aca="false">IF($BD494&lt;&gt;Constants!$B$6,"",IF($AU494="-&gt;",$AT494,$BC494))</f>
        <v/>
      </c>
      <c r="BQ494" s="127" t="str">
        <f aca="false">IF(ISBLANK($C494),"",IF($BD494&lt;&gt;Constants!$B$6,$BD494,IF(ISNUMBER($BP494),RANK($BP494,$BP$9:$BP$508,1),COUNT($BP$9:$BP$508)+1)))</f>
        <v/>
      </c>
      <c r="BR494" s="127" t="str">
        <f aca="false">IF(ISBLANK($C494),"",IF($BD494&lt;&gt;Constants!$B$6,$BD494,COUNTIFS($BI$9:$BI$508,"&lt;"&amp;$BI494)+COUNTIFS($BI$9:$BI$508,$BI494,$BK$9:$BK$508,"&lt;"&amp;$BK494)+COUNTIFS($BI$9:$BI$508,$BI494,$BK$9:$BK$508,$BK494,$BM$9:$BM$508,"&lt;"&amp;$BM494)+COUNTIFS($BI$9:$BI$508,$BI494,$BK$9:$BK$508,$BK494,$BM$9:$BM$508,$BM494,$BO$9:$BO$508,"&lt;"&amp;$BO494)+COUNTIFS($BI$9:$BI$508,$BI494,$BK$9:$BK$508,$BK494,$BM$9:$BM$508,$BM494,$BO$9:$BO$508,$BO494,$BQ$9:$BQ$508,"&lt;"&amp;$BQ494)+1))</f>
        <v/>
      </c>
      <c r="BS494" s="127" t="str">
        <f aca="false">IF(ISBLANK($C494),"",IF($BD494&lt;&gt;Constants!$B$6,$BD494,$BI494-$BR494))</f>
        <v/>
      </c>
      <c r="BT494" s="133"/>
      <c r="BU494" s="134"/>
      <c r="BV494" s="134" t="str">
        <f aca="false">IF(ISBLANK($C494),"",IF($BD494&lt;&gt;Constants!$B$6,"",IF($AU494="-&gt;",2,1)))</f>
        <v/>
      </c>
      <c r="BW494" s="135" t="str">
        <f aca="false">IF(ISBLANK($C494),"",IF($BD494&lt;&gt;Constants!$B$6,"",IF($AU494="-&gt;",$AW494,$AN494)))</f>
        <v/>
      </c>
      <c r="BX494" s="135" t="str">
        <f aca="false">IF(ISBLANK($C494),"",IF($BD494&lt;&gt;Constants!$B$6,"",IF($AU494="-&gt;",$AX494,$AO494)))</f>
        <v/>
      </c>
      <c r="BY494" s="135" t="str">
        <f aca="false">IF(ISBLANK($C494),"",IF($BD494&lt;&gt;Constants!$B$6,"",IF($AU494="-&gt;",$AY494,$AP494)))</f>
        <v/>
      </c>
      <c r="BZ494" s="135" t="str">
        <f aca="false">IF(ISBLANK($C494),"",IF($BD494&lt;&gt;Constants!$B$6,"",IF($AU494="-&gt;",$AZ494,$AQ494)+$BG494))</f>
        <v/>
      </c>
      <c r="CA494" s="136" t="str">
        <f aca="false">IF(ISBLANK($C494),"",IF($BD494&lt;&gt;Constants!$B$6,$BD494,$BH494))</f>
        <v/>
      </c>
      <c r="CB494" s="137" t="str">
        <f aca="false">IF(ISBLANK($C494),"",$BE494)</f>
        <v/>
      </c>
      <c r="CC494" s="138" t="str">
        <f aca="false">IF(ISBLANK($C494),"",$BS494)</f>
        <v/>
      </c>
      <c r="CD494" s="138" t="str">
        <f aca="false">IF(ISBLANK($C494),"",$BR494)</f>
        <v/>
      </c>
      <c r="CE494" s="139" t="str">
        <f aca="false">IF(ISBLANK($C494),"",IF($CD494=Constants!$B$9,COUNTA($C$9:$C$508)+2,IF($CD494=Constants!$B$8,COUNTA($C$9:$C$508)+1,IF($CD494=Constants!$B$7,COUNTA($C$9:$C$508),$CD494))))</f>
        <v/>
      </c>
      <c r="CF494" s="9"/>
      <c r="CG494" s="140" t="n">
        <f aca="false">IF(OR(ISNUMBER($CD494),$CD494=Constants!$B$9,$CD494=Constants!$B$7,$CD494=Constants!$B$8),1,0)</f>
        <v>0</v>
      </c>
      <c r="CH494" s="140" t="n">
        <v>486</v>
      </c>
      <c r="CI494" s="140" t="str">
        <f aca="false">IF(ISBLANK($C494),"",IF(ISNUMBER($CE494),$CE494+ROW($B494)/1000,""))</f>
        <v/>
      </c>
      <c r="CJ494" s="140" t="str">
        <f aca="false">IF(ISNUMBER($CI494),RANK($CI494,$CI$9:$CI$508,1),"")</f>
        <v/>
      </c>
      <c r="CK494" s="140" t="str">
        <f aca="false">IF(ISBLANK($C494),"",$B494)</f>
        <v/>
      </c>
      <c r="CL494" s="140" t="str">
        <f aca="false">IF(ISBLANK($C494),"",$C494)</f>
        <v/>
      </c>
      <c r="CM494" s="140" t="str">
        <f aca="false">IF(ISBLANK($C494),"",$D494)</f>
        <v/>
      </c>
      <c r="CN494" s="141" t="str">
        <f aca="false">$CB494</f>
        <v/>
      </c>
      <c r="CO494" s="142" t="str">
        <f aca="false">$CA494</f>
        <v/>
      </c>
      <c r="CP494" s="140" t="str">
        <f aca="false">IF(ISBLANK($C494),"",$CD494)</f>
        <v/>
      </c>
      <c r="CQ494" s="143" t="str">
        <f aca="false">IF($CH494&gt;$CG$8,"",VLOOKUP($CH494,$CJ$9:$CP$508,7,FALSE()))</f>
        <v/>
      </c>
      <c r="CR494" s="144" t="str">
        <f aca="false">IF($CH494&gt;$CG$8,"",VLOOKUP($CH494,$CJ$9:$CP$508,2,FALSE()))</f>
        <v/>
      </c>
      <c r="CS494" s="144" t="str">
        <f aca="false">IF($CH494&gt;$CG$8,"",VLOOKUP($CH494,$CJ$9:$CP$508,3,FALSE()))</f>
        <v/>
      </c>
      <c r="CT494" s="144" t="str">
        <f aca="false">IF($CH494&gt;$CG$8,"",VLOOKUP($CH494,$CJ$9:$CP$508,4,FALSE()))</f>
        <v/>
      </c>
      <c r="CU494" s="144" t="str">
        <f aca="false">IF($CH494&gt;$CG$8,"",VLOOKUP($CH494,$CJ$9:$CP$508,5,FALSE()))</f>
        <v/>
      </c>
      <c r="CV494" s="145" t="str">
        <f aca="false">IF($CH494&gt;$CG$8,"",VLOOKUP($CH494,$CJ$9:$CP$508,6,FALSE()))</f>
        <v/>
      </c>
      <c r="CW494" s="71"/>
    </row>
    <row r="495" customFormat="false" ht="15.75" hidden="false" customHeight="false" outlineLevel="0" collapsed="false">
      <c r="A495" s="9"/>
      <c r="B495" s="72"/>
      <c r="C495" s="73"/>
      <c r="D495" s="160"/>
      <c r="E495" s="168"/>
      <c r="F495" s="162"/>
      <c r="G495" s="163"/>
      <c r="H495" s="169"/>
      <c r="I495" s="167"/>
      <c r="J495" s="80"/>
      <c r="K495" s="81"/>
      <c r="L495" s="82"/>
      <c r="M495" s="166"/>
      <c r="N495" s="167"/>
      <c r="O495" s="167"/>
      <c r="P495" s="80"/>
      <c r="Q495" s="82"/>
      <c r="R495" s="82"/>
      <c r="S495" s="166"/>
      <c r="T495" s="167"/>
      <c r="U495" s="86"/>
      <c r="V495" s="87"/>
      <c r="W495" s="87" t="str">
        <f aca="false">IF(ISBLANK($C495),"",IF(E495=Constants!$B$2,TRUE(),IF(E495=Constants!$B$3,FALSE(),TRUE())))</f>
        <v/>
      </c>
      <c r="X495" s="87" t="str">
        <f aca="false">IF(ISBLANK($C495),"",IF(F495=Constants!$B$2,TRUE(),IF(F495=Constants!$B$3,FALSE(),TRUE())))</f>
        <v/>
      </c>
      <c r="Y495" s="87" t="str">
        <f aca="false">IF(ISBLANK($C495),"",IF(G495=Constants!$B$2,TRUE(),IF(G495=Constants!$B$3,FALSE(),TRUE())))</f>
        <v/>
      </c>
      <c r="Z495" s="87" t="str">
        <f aca="false">IF(ISBLANK($C495),"",IF(H495=Constants!$B$2,TRUE(),IF(H495=Constants!$B$3,FALSE(),TRUE())))</f>
        <v/>
      </c>
      <c r="AA495" s="87" t="str">
        <f aca="false">IF(ISBLANK($C495),"",IF(I495=Constants!$B$2,TRUE(),IF(I495=Constants!$B$3,FALSE(),TRUE())))</f>
        <v/>
      </c>
      <c r="AB495" s="87" t="str">
        <f aca="false">IF(ISBLANK($C495),"",IF(J495=Constants!$B$4,TRUE(),IF(J495=Constants!$B$5,FALSE(),COUNTA(K495:M495)&gt;0)))</f>
        <v/>
      </c>
      <c r="AC495" s="88" t="str">
        <f aca="false">IF(ISBLANK($C495),"",IF(ISNUMBER(K495),IF(K495&gt;=0,K495,""),""))</f>
        <v/>
      </c>
      <c r="AD495" s="89" t="str">
        <f aca="false">IF(ISBLANK($C495),"",IF(ISNUMBER(L495),IF(L495&gt;=0,L495,""),""))</f>
        <v/>
      </c>
      <c r="AE495" s="87" t="str">
        <f aca="false">IF(ISBLANK($C495),"",IF(ISNUMBER(M495),IF(M495&gt;=0,MIN(M495,Constants!$B$22),""),""))</f>
        <v/>
      </c>
      <c r="AF495" s="87" t="str">
        <f aca="false">IF(ISBLANK($C495),"",IF(N495=Constants!$B$2,TRUE(),IF(N495=Constants!$B$3,FALSE(),TRUE())))</f>
        <v/>
      </c>
      <c r="AG495" s="87" t="str">
        <f aca="false">IF(ISBLANK($C495),"",IF(O495=Constants!$B$2,TRUE(),IF(O495=Constants!$B$3,FALSE(),TRUE())))</f>
        <v/>
      </c>
      <c r="AH495" s="87" t="str">
        <f aca="false">IF(ISBLANK($C495),"",IF(P495=Constants!$B$4,TRUE(),IF(P495=Constants!$B$5,FALSE(),COUNTA(Q495:S495)&gt;0)))</f>
        <v/>
      </c>
      <c r="AI495" s="88" t="str">
        <f aca="false">IF(ISBLANK($C495),"",IF(ISNUMBER(Q495),IF(Q495&gt;=0,Q495,""),""))</f>
        <v/>
      </c>
      <c r="AJ495" s="89" t="str">
        <f aca="false">IF(ISBLANK($C495),"",IF(ISNUMBER(R495),IF(R495&gt;=0,R495,""),""))</f>
        <v/>
      </c>
      <c r="AK495" s="87" t="str">
        <f aca="false">IF(ISBLANK($C495),"",IF(ISNUMBER(S495),IF(S495&gt;=0,MIN(S495,Constants!$B$22),""),""))</f>
        <v/>
      </c>
      <c r="AL495" s="87" t="str">
        <f aca="false">IF(ISBLANK($C495),"",IF(T495=Constants!$B$2,TRUE(),IF(T495=Constants!$B$3,FALSE(),FALSE())))</f>
        <v/>
      </c>
      <c r="AM495" s="86" t="str">
        <f aca="false">IF(ISBLANK($C495),"",AND($AB495,OR($AC495="",$AD495="",AND(NOT(ISBLANK($M495)),$AE495=""))))</f>
        <v/>
      </c>
      <c r="AN495" s="89" t="str">
        <f aca="false">IF($BD495&lt;&gt;Constants!$B$6,"",IF($AB495,Constants!$B$17*$AD495,Constants!$B$18))</f>
        <v/>
      </c>
      <c r="AO495" s="91" t="str">
        <f aca="false">IF($BD495&lt;&gt;Constants!$B$6,"",Constants!$B$19*IF($AB495,$AC495,0))</f>
        <v/>
      </c>
      <c r="AP495" s="91" t="str">
        <f aca="false">IF($BD495&lt;&gt;Constants!$B$6,"",IF(AND($AB495,ISNUMBER($AE495)),Constants!$B$20*(Constants!$B$21-$AE495),0))</f>
        <v/>
      </c>
      <c r="AQ495" s="91" t="str">
        <f aca="false">IF($BD495&lt;&gt;Constants!$B$6,"",IF($AA495,0,Constants!$B$12)+IF($Z495,0,Constants!$B$13)+IF($Y495,0,Constants!$B$14))</f>
        <v/>
      </c>
      <c r="AR495" s="92" t="str">
        <f aca="false">IF($BD495&lt;&gt;Constants!$B$6,"",Constants!$B$16+SUM($AN495:$AQ495))</f>
        <v/>
      </c>
      <c r="AS495" s="91" t="str">
        <f aca="false">IF($BD495&lt;&gt;Constants!$B$6,"",IF($AB495,$AD495,""))</f>
        <v/>
      </c>
      <c r="AT495" s="93" t="str">
        <f aca="false">IF($BD495&lt;&gt;Constants!$B$6,"",$AO495)</f>
        <v/>
      </c>
      <c r="AU495" s="87" t="str">
        <f aca="false">IF($BD495&lt;&gt;Constants!$B$6,"",IF(OR($BA495&lt;$AR495,AND($BA495=$AR495,OR(AND(ISNUMBER($BB495),OR(NOT(ISNUMBER($AS495)),$BB495&lt;$AS495)),AND(OR(AND($BB495="",$AS495=""),AND(ISNUMBER($BB495),ISNUMBER($AS495),$BB495=$AS495)),$BC495&lt;$AT495)))),"-&gt;","&lt;-"))</f>
        <v/>
      </c>
      <c r="AV495" s="86" t="str">
        <f aca="false">IF(ISBLANK($C495),"",AND($AH495,OR($AI495="",$AJ495="",AND(NOT(ISBLANK($S495)),$AK495=""))))</f>
        <v/>
      </c>
      <c r="AW495" s="89" t="str">
        <f aca="false">IF($BD495&lt;&gt;Constants!$B$6,"",IF($AH495,Constants!$B$17*$AJ495,Constants!$B$18))</f>
        <v/>
      </c>
      <c r="AX495" s="91" t="str">
        <f aca="false">IF($BD495&lt;&gt;Constants!$B$6,"",Constants!$B$19*IF($AH495,$AI495,0))</f>
        <v/>
      </c>
      <c r="AY495" s="91" t="str">
        <f aca="false">IF($BD495&lt;&gt;Constants!$B$6,"",IF(AND($AH495,ISNUMBER($AK495)),Constants!$B$20*(Constants!$B$21-$AK495),0))</f>
        <v/>
      </c>
      <c r="AZ495" s="91" t="str">
        <f aca="false">IF($BD495&lt;&gt;Constants!$B$6,"",IF($AG495,0,Constants!$B$12)+IF($AF495,0,Constants!$B$13)+IF($Y495,0,Constants!$B$14))</f>
        <v/>
      </c>
      <c r="BA495" s="92" t="str">
        <f aca="false">IF($BD495&lt;&gt;Constants!$B$6,"",Constants!$B$16+SUM($AW495:$AZ495))</f>
        <v/>
      </c>
      <c r="BB495" s="91" t="str">
        <f aca="false">IF($BD495&lt;&gt;Constants!$B$6,"",IF($AH495,$AJ495,""))</f>
        <v/>
      </c>
      <c r="BC495" s="93" t="str">
        <f aca="false">IF($BD495&lt;&gt;Constants!$B$6,"",$AX495)</f>
        <v/>
      </c>
      <c r="BD495" s="87" t="str">
        <f aca="false">IF(ISBLANK($C495),"",IF($AL495,Constants!$B$9,IF(COUNTA($E495:$T495)=0,Constants!$B$8,IF(NOT($X495),Constants!$B$7,IF(OR($AM495,$AV495),Constants!$B$10,Constants!$B$6)))))</f>
        <v/>
      </c>
      <c r="BE495" s="87" t="str">
        <f aca="false">IF(ISBLANK($C495),"",IF($BD495&lt;&gt;Constants!$B$6,$BD495,Constants!$B$11))</f>
        <v/>
      </c>
      <c r="BF495" s="91" t="str">
        <f aca="false">IF($BD495&lt;&gt;Constants!$B$6,"",IF($AU495="-&gt;",$BA495,$AR495))</f>
        <v/>
      </c>
      <c r="BG495" s="91" t="str">
        <f aca="false">IF($BD495&lt;&gt;Constants!$B$6,"",IF($W495,0,Constants!$B$15))</f>
        <v/>
      </c>
      <c r="BH495" s="91" t="str">
        <f aca="false">IF(ISBLANK($C495),"",IF($BD495&lt;&gt;Constants!$B$6,$BD495,SUM($BF495:$BG495)))</f>
        <v/>
      </c>
      <c r="BI495" s="87" t="str">
        <f aca="false">IF(ISBLANK($C495),"",IF($BD495&lt;&gt;Constants!$B$6,$BD495,RANK($BH495,$BH$9:$BH$508,1)))</f>
        <v/>
      </c>
      <c r="BJ495" s="91" t="str">
        <f aca="false">IF($BD495&lt;&gt;Constants!$B$6,"",IF($AU495="-&gt;",$BB495,$AS495))</f>
        <v/>
      </c>
      <c r="BK495" s="87" t="str">
        <f aca="false">IF(ISBLANK($C495),"",IF($BD495&lt;&gt;Constants!$B$6,$BD495,IF(ISNUMBER($BJ495),RANK($BJ495,$BJ$9:$BJ$508,1),COUNT($BJ$9:$BJ$508)+1)))</f>
        <v/>
      </c>
      <c r="BL495" s="91" t="str">
        <f aca="false">IF($BD495&lt;&gt;Constants!$B$6,"",IF($AU495="-&gt;",$BC495,$AT495))</f>
        <v/>
      </c>
      <c r="BM495" s="87" t="str">
        <f aca="false">IF(ISBLANK($C495),"",IF($BD495&lt;&gt;Constants!$B$6,$BD495,IF(ISNUMBER($BL495),RANK($BL495,$BL$9:$BL$508,1),COUNT($BL$9:$BL$508)+1)))</f>
        <v/>
      </c>
      <c r="BN495" s="91" t="str">
        <f aca="false">IF($BD495&lt;&gt;Constants!$B$6,"",IF($AU495="-&gt;",$AS495,$BB495))</f>
        <v/>
      </c>
      <c r="BO495" s="87" t="str">
        <f aca="false">IF(ISBLANK($C495),"",IF($BD495&lt;&gt;Constants!$B$6,$BD495,IF(ISNUMBER($BN495),RANK($BN495,$BN$9:$BN$508,1),COUNT($BN$9:$BN$508)+1)))</f>
        <v/>
      </c>
      <c r="BP495" s="91" t="str">
        <f aca="false">IF($BD495&lt;&gt;Constants!$B$6,"",IF($AU495="-&gt;",$AT495,$BC495))</f>
        <v/>
      </c>
      <c r="BQ495" s="87" t="str">
        <f aca="false">IF(ISBLANK($C495),"",IF($BD495&lt;&gt;Constants!$B$6,$BD495,IF(ISNUMBER($BP495),RANK($BP495,$BP$9:$BP$508,1),COUNT($BP$9:$BP$508)+1)))</f>
        <v/>
      </c>
      <c r="BR495" s="87" t="str">
        <f aca="false">IF(ISBLANK($C495),"",IF($BD495&lt;&gt;Constants!$B$6,$BD495,COUNTIFS($BI$9:$BI$508,"&lt;"&amp;$BI495)+COUNTIFS($BI$9:$BI$508,$BI495,$BK$9:$BK$508,"&lt;"&amp;$BK495)+COUNTIFS($BI$9:$BI$508,$BI495,$BK$9:$BK$508,$BK495,$BM$9:$BM$508,"&lt;"&amp;$BM495)+COUNTIFS($BI$9:$BI$508,$BI495,$BK$9:$BK$508,$BK495,$BM$9:$BM$508,$BM495,$BO$9:$BO$508,"&lt;"&amp;$BO495)+COUNTIFS($BI$9:$BI$508,$BI495,$BK$9:$BK$508,$BK495,$BM$9:$BM$508,$BM495,$BO$9:$BO$508,$BO495,$BQ$9:$BQ$508,"&lt;"&amp;$BQ495)+1))</f>
        <v/>
      </c>
      <c r="BS495" s="87" t="str">
        <f aca="false">IF(ISBLANK($C495),"",IF($BD495&lt;&gt;Constants!$B$6,$BD495,$BI495-$BR495))</f>
        <v/>
      </c>
      <c r="BT495" s="94"/>
      <c r="BU495" s="95"/>
      <c r="BV495" s="95" t="str">
        <f aca="false">IF(ISBLANK($C495),"",IF($BD495&lt;&gt;Constants!$B$6,"",IF($AU495="-&gt;",2,1)))</f>
        <v/>
      </c>
      <c r="BW495" s="96" t="str">
        <f aca="false">IF(ISBLANK($C495),"",IF($BD495&lt;&gt;Constants!$B$6,"",IF($AU495="-&gt;",$AW495,$AN495)))</f>
        <v/>
      </c>
      <c r="BX495" s="96" t="str">
        <f aca="false">IF(ISBLANK($C495),"",IF($BD495&lt;&gt;Constants!$B$6,"",IF($AU495="-&gt;",$AX495,$AO495)))</f>
        <v/>
      </c>
      <c r="BY495" s="96" t="str">
        <f aca="false">IF(ISBLANK($C495),"",IF($BD495&lt;&gt;Constants!$B$6,"",IF($AU495="-&gt;",$AY495,$AP495)))</f>
        <v/>
      </c>
      <c r="BZ495" s="96" t="str">
        <f aca="false">IF(ISBLANK($C495),"",IF($BD495&lt;&gt;Constants!$B$6,"",IF($AU495="-&gt;",$AZ495,$AQ495)+$BG495))</f>
        <v/>
      </c>
      <c r="CA495" s="97" t="str">
        <f aca="false">IF(ISBLANK($C495),"",IF($BD495&lt;&gt;Constants!$B$6,$BD495,$BH495))</f>
        <v/>
      </c>
      <c r="CB495" s="98" t="str">
        <f aca="false">IF(ISBLANK($C495),"",$BE495)</f>
        <v/>
      </c>
      <c r="CC495" s="99" t="str">
        <f aca="false">IF(ISBLANK($C495),"",$BS495)</f>
        <v/>
      </c>
      <c r="CD495" s="99" t="str">
        <f aca="false">IF(ISBLANK($C495),"",$BR495)</f>
        <v/>
      </c>
      <c r="CE495" s="100" t="str">
        <f aca="false">IF(ISBLANK($C495),"",IF($CD495=Constants!$B$9,COUNTA($C$9:$C$508)+2,IF($CD495=Constants!$B$8,COUNTA($C$9:$C$508)+1,IF($CD495=Constants!$B$7,COUNTA($C$9:$C$508),$CD495))))</f>
        <v/>
      </c>
      <c r="CF495" s="9"/>
      <c r="CG495" s="101" t="n">
        <f aca="false">IF(OR(ISNUMBER($CD495),$CD495=Constants!$B$9,$CD495=Constants!$B$7,$CD495=Constants!$B$8),1,0)</f>
        <v>0</v>
      </c>
      <c r="CH495" s="101" t="n">
        <v>487</v>
      </c>
      <c r="CI495" s="101" t="str">
        <f aca="false">IF(ISBLANK($C495),"",IF(ISNUMBER($CE495),$CE495+ROW($B495)/1000,""))</f>
        <v/>
      </c>
      <c r="CJ495" s="101" t="str">
        <f aca="false">IF(ISNUMBER($CI495),RANK($CI495,$CI$9:$CI$508,1),"")</f>
        <v/>
      </c>
      <c r="CK495" s="101" t="str">
        <f aca="false">IF(ISBLANK($C495),"",$B495)</f>
        <v/>
      </c>
      <c r="CL495" s="101" t="str">
        <f aca="false">IF(ISBLANK($C495),"",$C495)</f>
        <v/>
      </c>
      <c r="CM495" s="101" t="str">
        <f aca="false">IF(ISBLANK($C495),"",$D495)</f>
        <v/>
      </c>
      <c r="CN495" s="102" t="str">
        <f aca="false">$CB495</f>
        <v/>
      </c>
      <c r="CO495" s="103" t="str">
        <f aca="false">$CA495</f>
        <v/>
      </c>
      <c r="CP495" s="101" t="str">
        <f aca="false">IF(ISBLANK($C495),"",$CD495)</f>
        <v/>
      </c>
      <c r="CQ495" s="104" t="str">
        <f aca="false">IF($CH495&gt;$CG$8,"",VLOOKUP($CH495,$CJ$9:$CP$508,7,FALSE()))</f>
        <v/>
      </c>
      <c r="CR495" s="105" t="str">
        <f aca="false">IF($CH495&gt;$CG$8,"",VLOOKUP($CH495,$CJ$9:$CP$508,2,FALSE()))</f>
        <v/>
      </c>
      <c r="CS495" s="105" t="str">
        <f aca="false">IF($CH495&gt;$CG$8,"",VLOOKUP($CH495,$CJ$9:$CP$508,3,FALSE()))</f>
        <v/>
      </c>
      <c r="CT495" s="105" t="str">
        <f aca="false">IF($CH495&gt;$CG$8,"",VLOOKUP($CH495,$CJ$9:$CP$508,4,FALSE()))</f>
        <v/>
      </c>
      <c r="CU495" s="105" t="str">
        <f aca="false">IF($CH495&gt;$CG$8,"",VLOOKUP($CH495,$CJ$9:$CP$508,5,FALSE()))</f>
        <v/>
      </c>
      <c r="CV495" s="106" t="str">
        <f aca="false">IF($CH495&gt;$CG$8,"",VLOOKUP($CH495,$CJ$9:$CP$508,6,FALSE()))</f>
        <v/>
      </c>
      <c r="CW495" s="71"/>
    </row>
    <row r="496" customFormat="false" ht="15.75" hidden="false" customHeight="false" outlineLevel="0" collapsed="false">
      <c r="A496" s="9"/>
      <c r="B496" s="72"/>
      <c r="C496" s="73"/>
      <c r="D496" s="160"/>
      <c r="E496" s="168"/>
      <c r="F496" s="162"/>
      <c r="G496" s="163"/>
      <c r="H496" s="169"/>
      <c r="I496" s="167"/>
      <c r="J496" s="80"/>
      <c r="K496" s="81"/>
      <c r="L496" s="82"/>
      <c r="M496" s="166"/>
      <c r="N496" s="167"/>
      <c r="O496" s="167"/>
      <c r="P496" s="80"/>
      <c r="Q496" s="82"/>
      <c r="R496" s="82"/>
      <c r="S496" s="166"/>
      <c r="T496" s="167"/>
      <c r="U496" s="86"/>
      <c r="V496" s="87"/>
      <c r="W496" s="87" t="str">
        <f aca="false">IF(ISBLANK($C496),"",IF(E496=Constants!$B$2,TRUE(),IF(E496=Constants!$B$3,FALSE(),TRUE())))</f>
        <v/>
      </c>
      <c r="X496" s="87" t="str">
        <f aca="false">IF(ISBLANK($C496),"",IF(F496=Constants!$B$2,TRUE(),IF(F496=Constants!$B$3,FALSE(),TRUE())))</f>
        <v/>
      </c>
      <c r="Y496" s="87" t="str">
        <f aca="false">IF(ISBLANK($C496),"",IF(G496=Constants!$B$2,TRUE(),IF(G496=Constants!$B$3,FALSE(),TRUE())))</f>
        <v/>
      </c>
      <c r="Z496" s="87" t="str">
        <f aca="false">IF(ISBLANK($C496),"",IF(H496=Constants!$B$2,TRUE(),IF(H496=Constants!$B$3,FALSE(),TRUE())))</f>
        <v/>
      </c>
      <c r="AA496" s="87" t="str">
        <f aca="false">IF(ISBLANK($C496),"",IF(I496=Constants!$B$2,TRUE(),IF(I496=Constants!$B$3,FALSE(),TRUE())))</f>
        <v/>
      </c>
      <c r="AB496" s="87" t="str">
        <f aca="false">IF(ISBLANK($C496),"",IF(J496=Constants!$B$4,TRUE(),IF(J496=Constants!$B$5,FALSE(),COUNTA(K496:M496)&gt;0)))</f>
        <v/>
      </c>
      <c r="AC496" s="88" t="str">
        <f aca="false">IF(ISBLANK($C496),"",IF(ISNUMBER(K496),IF(K496&gt;=0,K496,""),""))</f>
        <v/>
      </c>
      <c r="AD496" s="89" t="str">
        <f aca="false">IF(ISBLANK($C496),"",IF(ISNUMBER(L496),IF(L496&gt;=0,L496,""),""))</f>
        <v/>
      </c>
      <c r="AE496" s="87" t="str">
        <f aca="false">IF(ISBLANK($C496),"",IF(ISNUMBER(M496),IF(M496&gt;=0,MIN(M496,Constants!$B$22),""),""))</f>
        <v/>
      </c>
      <c r="AF496" s="87" t="str">
        <f aca="false">IF(ISBLANK($C496),"",IF(N496=Constants!$B$2,TRUE(),IF(N496=Constants!$B$3,FALSE(),TRUE())))</f>
        <v/>
      </c>
      <c r="AG496" s="87" t="str">
        <f aca="false">IF(ISBLANK($C496),"",IF(O496=Constants!$B$2,TRUE(),IF(O496=Constants!$B$3,FALSE(),TRUE())))</f>
        <v/>
      </c>
      <c r="AH496" s="87" t="str">
        <f aca="false">IF(ISBLANK($C496),"",IF(P496=Constants!$B$4,TRUE(),IF(P496=Constants!$B$5,FALSE(),COUNTA(Q496:S496)&gt;0)))</f>
        <v/>
      </c>
      <c r="AI496" s="88" t="str">
        <f aca="false">IF(ISBLANK($C496),"",IF(ISNUMBER(Q496),IF(Q496&gt;=0,Q496,""),""))</f>
        <v/>
      </c>
      <c r="AJ496" s="89" t="str">
        <f aca="false">IF(ISBLANK($C496),"",IF(ISNUMBER(R496),IF(R496&gt;=0,R496,""),""))</f>
        <v/>
      </c>
      <c r="AK496" s="87" t="str">
        <f aca="false">IF(ISBLANK($C496),"",IF(ISNUMBER(S496),IF(S496&gt;=0,MIN(S496,Constants!$B$22),""),""))</f>
        <v/>
      </c>
      <c r="AL496" s="87" t="str">
        <f aca="false">IF(ISBLANK($C496),"",IF(T496=Constants!$B$2,TRUE(),IF(T496=Constants!$B$3,FALSE(),FALSE())))</f>
        <v/>
      </c>
      <c r="AM496" s="86" t="str">
        <f aca="false">IF(ISBLANK($C496),"",AND($AB496,OR($AC496="",$AD496="",AND(NOT(ISBLANK($M496)),$AE496=""))))</f>
        <v/>
      </c>
      <c r="AN496" s="89" t="str">
        <f aca="false">IF($BD496&lt;&gt;Constants!$B$6,"",IF($AB496,Constants!$B$17*$AD496,Constants!$B$18))</f>
        <v/>
      </c>
      <c r="AO496" s="91" t="str">
        <f aca="false">IF($BD496&lt;&gt;Constants!$B$6,"",Constants!$B$19*IF($AB496,$AC496,0))</f>
        <v/>
      </c>
      <c r="AP496" s="91" t="str">
        <f aca="false">IF($BD496&lt;&gt;Constants!$B$6,"",IF(AND($AB496,ISNUMBER($AE496)),Constants!$B$20*(Constants!$B$21-$AE496),0))</f>
        <v/>
      </c>
      <c r="AQ496" s="91" t="str">
        <f aca="false">IF($BD496&lt;&gt;Constants!$B$6,"",IF($AA496,0,Constants!$B$12)+IF($Z496,0,Constants!$B$13)+IF($Y496,0,Constants!$B$14))</f>
        <v/>
      </c>
      <c r="AR496" s="92" t="str">
        <f aca="false">IF($BD496&lt;&gt;Constants!$B$6,"",Constants!$B$16+SUM($AN496:$AQ496))</f>
        <v/>
      </c>
      <c r="AS496" s="91" t="str">
        <f aca="false">IF($BD496&lt;&gt;Constants!$B$6,"",IF($AB496,$AD496,""))</f>
        <v/>
      </c>
      <c r="AT496" s="93" t="str">
        <f aca="false">IF($BD496&lt;&gt;Constants!$B$6,"",$AO496)</f>
        <v/>
      </c>
      <c r="AU496" s="87" t="str">
        <f aca="false">IF($BD496&lt;&gt;Constants!$B$6,"",IF(OR($BA496&lt;$AR496,AND($BA496=$AR496,OR(AND(ISNUMBER($BB496),OR(NOT(ISNUMBER($AS496)),$BB496&lt;$AS496)),AND(OR(AND($BB496="",$AS496=""),AND(ISNUMBER($BB496),ISNUMBER($AS496),$BB496=$AS496)),$BC496&lt;$AT496)))),"-&gt;","&lt;-"))</f>
        <v/>
      </c>
      <c r="AV496" s="86" t="str">
        <f aca="false">IF(ISBLANK($C496),"",AND($AH496,OR($AI496="",$AJ496="",AND(NOT(ISBLANK($S496)),$AK496=""))))</f>
        <v/>
      </c>
      <c r="AW496" s="89" t="str">
        <f aca="false">IF($BD496&lt;&gt;Constants!$B$6,"",IF($AH496,Constants!$B$17*$AJ496,Constants!$B$18))</f>
        <v/>
      </c>
      <c r="AX496" s="91" t="str">
        <f aca="false">IF($BD496&lt;&gt;Constants!$B$6,"",Constants!$B$19*IF($AH496,$AI496,0))</f>
        <v/>
      </c>
      <c r="AY496" s="91" t="str">
        <f aca="false">IF($BD496&lt;&gt;Constants!$B$6,"",IF(AND($AH496,ISNUMBER($AK496)),Constants!$B$20*(Constants!$B$21-$AK496),0))</f>
        <v/>
      </c>
      <c r="AZ496" s="91" t="str">
        <f aca="false">IF($BD496&lt;&gt;Constants!$B$6,"",IF($AG496,0,Constants!$B$12)+IF($AF496,0,Constants!$B$13)+IF($Y496,0,Constants!$B$14))</f>
        <v/>
      </c>
      <c r="BA496" s="92" t="str">
        <f aca="false">IF($BD496&lt;&gt;Constants!$B$6,"",Constants!$B$16+SUM($AW496:$AZ496))</f>
        <v/>
      </c>
      <c r="BB496" s="91" t="str">
        <f aca="false">IF($BD496&lt;&gt;Constants!$B$6,"",IF($AH496,$AJ496,""))</f>
        <v/>
      </c>
      <c r="BC496" s="93" t="str">
        <f aca="false">IF($BD496&lt;&gt;Constants!$B$6,"",$AX496)</f>
        <v/>
      </c>
      <c r="BD496" s="87" t="str">
        <f aca="false">IF(ISBLANK($C496),"",IF($AL496,Constants!$B$9,IF(COUNTA($E496:$T496)=0,Constants!$B$8,IF(NOT($X496),Constants!$B$7,IF(OR($AM496,$AV496),Constants!$B$10,Constants!$B$6)))))</f>
        <v/>
      </c>
      <c r="BE496" s="87" t="str">
        <f aca="false">IF(ISBLANK($C496),"",IF($BD496&lt;&gt;Constants!$B$6,$BD496,Constants!$B$11))</f>
        <v/>
      </c>
      <c r="BF496" s="91" t="str">
        <f aca="false">IF($BD496&lt;&gt;Constants!$B$6,"",IF($AU496="-&gt;",$BA496,$AR496))</f>
        <v/>
      </c>
      <c r="BG496" s="91" t="str">
        <f aca="false">IF($BD496&lt;&gt;Constants!$B$6,"",IF($W496,0,Constants!$B$15))</f>
        <v/>
      </c>
      <c r="BH496" s="91" t="str">
        <f aca="false">IF(ISBLANK($C496),"",IF($BD496&lt;&gt;Constants!$B$6,$BD496,SUM($BF496:$BG496)))</f>
        <v/>
      </c>
      <c r="BI496" s="87" t="str">
        <f aca="false">IF(ISBLANK($C496),"",IF($BD496&lt;&gt;Constants!$B$6,$BD496,RANK($BH496,$BH$9:$BH$508,1)))</f>
        <v/>
      </c>
      <c r="BJ496" s="91" t="str">
        <f aca="false">IF($BD496&lt;&gt;Constants!$B$6,"",IF($AU496="-&gt;",$BB496,$AS496))</f>
        <v/>
      </c>
      <c r="BK496" s="87" t="str">
        <f aca="false">IF(ISBLANK($C496),"",IF($BD496&lt;&gt;Constants!$B$6,$BD496,IF(ISNUMBER($BJ496),RANK($BJ496,$BJ$9:$BJ$508,1),COUNT($BJ$9:$BJ$508)+1)))</f>
        <v/>
      </c>
      <c r="BL496" s="91" t="str">
        <f aca="false">IF($BD496&lt;&gt;Constants!$B$6,"",IF($AU496="-&gt;",$BC496,$AT496))</f>
        <v/>
      </c>
      <c r="BM496" s="87" t="str">
        <f aca="false">IF(ISBLANK($C496),"",IF($BD496&lt;&gt;Constants!$B$6,$BD496,IF(ISNUMBER($BL496),RANK($BL496,$BL$9:$BL$508,1),COUNT($BL$9:$BL$508)+1)))</f>
        <v/>
      </c>
      <c r="BN496" s="91" t="str">
        <f aca="false">IF($BD496&lt;&gt;Constants!$B$6,"",IF($AU496="-&gt;",$AS496,$BB496))</f>
        <v/>
      </c>
      <c r="BO496" s="87" t="str">
        <f aca="false">IF(ISBLANK($C496),"",IF($BD496&lt;&gt;Constants!$B$6,$BD496,IF(ISNUMBER($BN496),RANK($BN496,$BN$9:$BN$508,1),COUNT($BN$9:$BN$508)+1)))</f>
        <v/>
      </c>
      <c r="BP496" s="91" t="str">
        <f aca="false">IF($BD496&lt;&gt;Constants!$B$6,"",IF($AU496="-&gt;",$AT496,$BC496))</f>
        <v/>
      </c>
      <c r="BQ496" s="87" t="str">
        <f aca="false">IF(ISBLANK($C496),"",IF($BD496&lt;&gt;Constants!$B$6,$BD496,IF(ISNUMBER($BP496),RANK($BP496,$BP$9:$BP$508,1),COUNT($BP$9:$BP$508)+1)))</f>
        <v/>
      </c>
      <c r="BR496" s="87" t="str">
        <f aca="false">IF(ISBLANK($C496),"",IF($BD496&lt;&gt;Constants!$B$6,$BD496,COUNTIFS($BI$9:$BI$508,"&lt;"&amp;$BI496)+COUNTIFS($BI$9:$BI$508,$BI496,$BK$9:$BK$508,"&lt;"&amp;$BK496)+COUNTIFS($BI$9:$BI$508,$BI496,$BK$9:$BK$508,$BK496,$BM$9:$BM$508,"&lt;"&amp;$BM496)+COUNTIFS($BI$9:$BI$508,$BI496,$BK$9:$BK$508,$BK496,$BM$9:$BM$508,$BM496,$BO$9:$BO$508,"&lt;"&amp;$BO496)+COUNTIFS($BI$9:$BI$508,$BI496,$BK$9:$BK$508,$BK496,$BM$9:$BM$508,$BM496,$BO$9:$BO$508,$BO496,$BQ$9:$BQ$508,"&lt;"&amp;$BQ496)+1))</f>
        <v/>
      </c>
      <c r="BS496" s="87" t="str">
        <f aca="false">IF(ISBLANK($C496),"",IF($BD496&lt;&gt;Constants!$B$6,$BD496,$BI496-$BR496))</f>
        <v/>
      </c>
      <c r="BT496" s="94"/>
      <c r="BU496" s="95"/>
      <c r="BV496" s="95" t="str">
        <f aca="false">IF(ISBLANK($C496),"",IF($BD496&lt;&gt;Constants!$B$6,"",IF($AU496="-&gt;",2,1)))</f>
        <v/>
      </c>
      <c r="BW496" s="96" t="str">
        <f aca="false">IF(ISBLANK($C496),"",IF($BD496&lt;&gt;Constants!$B$6,"",IF($AU496="-&gt;",$AW496,$AN496)))</f>
        <v/>
      </c>
      <c r="BX496" s="96" t="str">
        <f aca="false">IF(ISBLANK($C496),"",IF($BD496&lt;&gt;Constants!$B$6,"",IF($AU496="-&gt;",$AX496,$AO496)))</f>
        <v/>
      </c>
      <c r="BY496" s="96" t="str">
        <f aca="false">IF(ISBLANK($C496),"",IF($BD496&lt;&gt;Constants!$B$6,"",IF($AU496="-&gt;",$AY496,$AP496)))</f>
        <v/>
      </c>
      <c r="BZ496" s="96" t="str">
        <f aca="false">IF(ISBLANK($C496),"",IF($BD496&lt;&gt;Constants!$B$6,"",IF($AU496="-&gt;",$AZ496,$AQ496)+$BG496))</f>
        <v/>
      </c>
      <c r="CA496" s="97" t="str">
        <f aca="false">IF(ISBLANK($C496),"",IF($BD496&lt;&gt;Constants!$B$6,$BD496,$BH496))</f>
        <v/>
      </c>
      <c r="CB496" s="98" t="str">
        <f aca="false">IF(ISBLANK($C496),"",$BE496)</f>
        <v/>
      </c>
      <c r="CC496" s="99" t="str">
        <f aca="false">IF(ISBLANK($C496),"",$BS496)</f>
        <v/>
      </c>
      <c r="CD496" s="99" t="str">
        <f aca="false">IF(ISBLANK($C496),"",$BR496)</f>
        <v/>
      </c>
      <c r="CE496" s="100" t="str">
        <f aca="false">IF(ISBLANK($C496),"",IF($CD496=Constants!$B$9,COUNTA($C$9:$C$508)+2,IF($CD496=Constants!$B$8,COUNTA($C$9:$C$508)+1,IF($CD496=Constants!$B$7,COUNTA($C$9:$C$508),$CD496))))</f>
        <v/>
      </c>
      <c r="CF496" s="9"/>
      <c r="CG496" s="101" t="n">
        <f aca="false">IF(OR(ISNUMBER($CD496),$CD496=Constants!$B$9,$CD496=Constants!$B$7,$CD496=Constants!$B$8),1,0)</f>
        <v>0</v>
      </c>
      <c r="CH496" s="101" t="n">
        <v>488</v>
      </c>
      <c r="CI496" s="101" t="str">
        <f aca="false">IF(ISBLANK($C496),"",IF(ISNUMBER($CE496),$CE496+ROW($B496)/1000,""))</f>
        <v/>
      </c>
      <c r="CJ496" s="101" t="str">
        <f aca="false">IF(ISNUMBER($CI496),RANK($CI496,$CI$9:$CI$508,1),"")</f>
        <v/>
      </c>
      <c r="CK496" s="101" t="str">
        <f aca="false">IF(ISBLANK($C496),"",$B496)</f>
        <v/>
      </c>
      <c r="CL496" s="101" t="str">
        <f aca="false">IF(ISBLANK($C496),"",$C496)</f>
        <v/>
      </c>
      <c r="CM496" s="101" t="str">
        <f aca="false">IF(ISBLANK($C496),"",$D496)</f>
        <v/>
      </c>
      <c r="CN496" s="102" t="str">
        <f aca="false">$CB496</f>
        <v/>
      </c>
      <c r="CO496" s="103" t="str">
        <f aca="false">$CA496</f>
        <v/>
      </c>
      <c r="CP496" s="101" t="str">
        <f aca="false">IF(ISBLANK($C496),"",$CD496)</f>
        <v/>
      </c>
      <c r="CQ496" s="104" t="str">
        <f aca="false">IF($CH496&gt;$CG$8,"",VLOOKUP($CH496,$CJ$9:$CP$508,7,FALSE()))</f>
        <v/>
      </c>
      <c r="CR496" s="105" t="str">
        <f aca="false">IF($CH496&gt;$CG$8,"",VLOOKUP($CH496,$CJ$9:$CP$508,2,FALSE()))</f>
        <v/>
      </c>
      <c r="CS496" s="105" t="str">
        <f aca="false">IF($CH496&gt;$CG$8,"",VLOOKUP($CH496,$CJ$9:$CP$508,3,FALSE()))</f>
        <v/>
      </c>
      <c r="CT496" s="105" t="str">
        <f aca="false">IF($CH496&gt;$CG$8,"",VLOOKUP($CH496,$CJ$9:$CP$508,4,FALSE()))</f>
        <v/>
      </c>
      <c r="CU496" s="105" t="str">
        <f aca="false">IF($CH496&gt;$CG$8,"",VLOOKUP($CH496,$CJ$9:$CP$508,5,FALSE()))</f>
        <v/>
      </c>
      <c r="CV496" s="106" t="str">
        <f aca="false">IF($CH496&gt;$CG$8,"",VLOOKUP($CH496,$CJ$9:$CP$508,6,FALSE()))</f>
        <v/>
      </c>
      <c r="CW496" s="71"/>
    </row>
    <row r="497" customFormat="false" ht="15.75" hidden="false" customHeight="false" outlineLevel="0" collapsed="false">
      <c r="A497" s="9"/>
      <c r="B497" s="72"/>
      <c r="C497" s="73"/>
      <c r="D497" s="160"/>
      <c r="E497" s="168"/>
      <c r="F497" s="162"/>
      <c r="G497" s="163"/>
      <c r="H497" s="169"/>
      <c r="I497" s="167"/>
      <c r="J497" s="80"/>
      <c r="K497" s="81"/>
      <c r="L497" s="82"/>
      <c r="M497" s="166"/>
      <c r="N497" s="167"/>
      <c r="O497" s="167"/>
      <c r="P497" s="80"/>
      <c r="Q497" s="82"/>
      <c r="R497" s="82"/>
      <c r="S497" s="166"/>
      <c r="T497" s="167"/>
      <c r="U497" s="86"/>
      <c r="V497" s="87"/>
      <c r="W497" s="87" t="str">
        <f aca="false">IF(ISBLANK($C497),"",IF(E497=Constants!$B$2,TRUE(),IF(E497=Constants!$B$3,FALSE(),TRUE())))</f>
        <v/>
      </c>
      <c r="X497" s="87" t="str">
        <f aca="false">IF(ISBLANK($C497),"",IF(F497=Constants!$B$2,TRUE(),IF(F497=Constants!$B$3,FALSE(),TRUE())))</f>
        <v/>
      </c>
      <c r="Y497" s="87" t="str">
        <f aca="false">IF(ISBLANK($C497),"",IF(G497=Constants!$B$2,TRUE(),IF(G497=Constants!$B$3,FALSE(),TRUE())))</f>
        <v/>
      </c>
      <c r="Z497" s="87" t="str">
        <f aca="false">IF(ISBLANK($C497),"",IF(H497=Constants!$B$2,TRUE(),IF(H497=Constants!$B$3,FALSE(),TRUE())))</f>
        <v/>
      </c>
      <c r="AA497" s="87" t="str">
        <f aca="false">IF(ISBLANK($C497),"",IF(I497=Constants!$B$2,TRUE(),IF(I497=Constants!$B$3,FALSE(),TRUE())))</f>
        <v/>
      </c>
      <c r="AB497" s="87" t="str">
        <f aca="false">IF(ISBLANK($C497),"",IF(J497=Constants!$B$4,TRUE(),IF(J497=Constants!$B$5,FALSE(),COUNTA(K497:M497)&gt;0)))</f>
        <v/>
      </c>
      <c r="AC497" s="88" t="str">
        <f aca="false">IF(ISBLANK($C497),"",IF(ISNUMBER(K497),IF(K497&gt;=0,K497,""),""))</f>
        <v/>
      </c>
      <c r="AD497" s="89" t="str">
        <f aca="false">IF(ISBLANK($C497),"",IF(ISNUMBER(L497),IF(L497&gt;=0,L497,""),""))</f>
        <v/>
      </c>
      <c r="AE497" s="87" t="str">
        <f aca="false">IF(ISBLANK($C497),"",IF(ISNUMBER(M497),IF(M497&gt;=0,MIN(M497,Constants!$B$22),""),""))</f>
        <v/>
      </c>
      <c r="AF497" s="87" t="str">
        <f aca="false">IF(ISBLANK($C497),"",IF(N497=Constants!$B$2,TRUE(),IF(N497=Constants!$B$3,FALSE(),TRUE())))</f>
        <v/>
      </c>
      <c r="AG497" s="87" t="str">
        <f aca="false">IF(ISBLANK($C497),"",IF(O497=Constants!$B$2,TRUE(),IF(O497=Constants!$B$3,FALSE(),TRUE())))</f>
        <v/>
      </c>
      <c r="AH497" s="87" t="str">
        <f aca="false">IF(ISBLANK($C497),"",IF(P497=Constants!$B$4,TRUE(),IF(P497=Constants!$B$5,FALSE(),COUNTA(Q497:S497)&gt;0)))</f>
        <v/>
      </c>
      <c r="AI497" s="88" t="str">
        <f aca="false">IF(ISBLANK($C497),"",IF(ISNUMBER(Q497),IF(Q497&gt;=0,Q497,""),""))</f>
        <v/>
      </c>
      <c r="AJ497" s="89" t="str">
        <f aca="false">IF(ISBLANK($C497),"",IF(ISNUMBER(R497),IF(R497&gt;=0,R497,""),""))</f>
        <v/>
      </c>
      <c r="AK497" s="87" t="str">
        <f aca="false">IF(ISBLANK($C497),"",IF(ISNUMBER(S497),IF(S497&gt;=0,MIN(S497,Constants!$B$22),""),""))</f>
        <v/>
      </c>
      <c r="AL497" s="87" t="str">
        <f aca="false">IF(ISBLANK($C497),"",IF(T497=Constants!$B$2,TRUE(),IF(T497=Constants!$B$3,FALSE(),FALSE())))</f>
        <v/>
      </c>
      <c r="AM497" s="86" t="str">
        <f aca="false">IF(ISBLANK($C497),"",AND($AB497,OR($AC497="",$AD497="",AND(NOT(ISBLANK($M497)),$AE497=""))))</f>
        <v/>
      </c>
      <c r="AN497" s="89" t="str">
        <f aca="false">IF($BD497&lt;&gt;Constants!$B$6,"",IF($AB497,Constants!$B$17*$AD497,Constants!$B$18))</f>
        <v/>
      </c>
      <c r="AO497" s="91" t="str">
        <f aca="false">IF($BD497&lt;&gt;Constants!$B$6,"",Constants!$B$19*IF($AB497,$AC497,0))</f>
        <v/>
      </c>
      <c r="AP497" s="91" t="str">
        <f aca="false">IF($BD497&lt;&gt;Constants!$B$6,"",IF(AND($AB497,ISNUMBER($AE497)),Constants!$B$20*(Constants!$B$21-$AE497),0))</f>
        <v/>
      </c>
      <c r="AQ497" s="91" t="str">
        <f aca="false">IF($BD497&lt;&gt;Constants!$B$6,"",IF($AA497,0,Constants!$B$12)+IF($Z497,0,Constants!$B$13)+IF($Y497,0,Constants!$B$14))</f>
        <v/>
      </c>
      <c r="AR497" s="92" t="str">
        <f aca="false">IF($BD497&lt;&gt;Constants!$B$6,"",Constants!$B$16+SUM($AN497:$AQ497))</f>
        <v/>
      </c>
      <c r="AS497" s="91" t="str">
        <f aca="false">IF($BD497&lt;&gt;Constants!$B$6,"",IF($AB497,$AD497,""))</f>
        <v/>
      </c>
      <c r="AT497" s="93" t="str">
        <f aca="false">IF($BD497&lt;&gt;Constants!$B$6,"",$AO497)</f>
        <v/>
      </c>
      <c r="AU497" s="87" t="str">
        <f aca="false">IF($BD497&lt;&gt;Constants!$B$6,"",IF(OR($BA497&lt;$AR497,AND($BA497=$AR497,OR(AND(ISNUMBER($BB497),OR(NOT(ISNUMBER($AS497)),$BB497&lt;$AS497)),AND(OR(AND($BB497="",$AS497=""),AND(ISNUMBER($BB497),ISNUMBER($AS497),$BB497=$AS497)),$BC497&lt;$AT497)))),"-&gt;","&lt;-"))</f>
        <v/>
      </c>
      <c r="AV497" s="86" t="str">
        <f aca="false">IF(ISBLANK($C497),"",AND($AH497,OR($AI497="",$AJ497="",AND(NOT(ISBLANK($S497)),$AK497=""))))</f>
        <v/>
      </c>
      <c r="AW497" s="89" t="str">
        <f aca="false">IF($BD497&lt;&gt;Constants!$B$6,"",IF($AH497,Constants!$B$17*$AJ497,Constants!$B$18))</f>
        <v/>
      </c>
      <c r="AX497" s="91" t="str">
        <f aca="false">IF($BD497&lt;&gt;Constants!$B$6,"",Constants!$B$19*IF($AH497,$AI497,0))</f>
        <v/>
      </c>
      <c r="AY497" s="91" t="str">
        <f aca="false">IF($BD497&lt;&gt;Constants!$B$6,"",IF(AND($AH497,ISNUMBER($AK497)),Constants!$B$20*(Constants!$B$21-$AK497),0))</f>
        <v/>
      </c>
      <c r="AZ497" s="91" t="str">
        <f aca="false">IF($BD497&lt;&gt;Constants!$B$6,"",IF($AG497,0,Constants!$B$12)+IF($AF497,0,Constants!$B$13)+IF($Y497,0,Constants!$B$14))</f>
        <v/>
      </c>
      <c r="BA497" s="92" t="str">
        <f aca="false">IF($BD497&lt;&gt;Constants!$B$6,"",Constants!$B$16+SUM($AW497:$AZ497))</f>
        <v/>
      </c>
      <c r="BB497" s="91" t="str">
        <f aca="false">IF($BD497&lt;&gt;Constants!$B$6,"",IF($AH497,$AJ497,""))</f>
        <v/>
      </c>
      <c r="BC497" s="93" t="str">
        <f aca="false">IF($BD497&lt;&gt;Constants!$B$6,"",$AX497)</f>
        <v/>
      </c>
      <c r="BD497" s="87" t="str">
        <f aca="false">IF(ISBLANK($C497),"",IF($AL497,Constants!$B$9,IF(COUNTA($E497:$T497)=0,Constants!$B$8,IF(NOT($X497),Constants!$B$7,IF(OR($AM497,$AV497),Constants!$B$10,Constants!$B$6)))))</f>
        <v/>
      </c>
      <c r="BE497" s="87" t="str">
        <f aca="false">IF(ISBLANK($C497),"",IF($BD497&lt;&gt;Constants!$B$6,$BD497,Constants!$B$11))</f>
        <v/>
      </c>
      <c r="BF497" s="91" t="str">
        <f aca="false">IF($BD497&lt;&gt;Constants!$B$6,"",IF($AU497="-&gt;",$BA497,$AR497))</f>
        <v/>
      </c>
      <c r="BG497" s="91" t="str">
        <f aca="false">IF($BD497&lt;&gt;Constants!$B$6,"",IF($W497,0,Constants!$B$15))</f>
        <v/>
      </c>
      <c r="BH497" s="91" t="str">
        <f aca="false">IF(ISBLANK($C497),"",IF($BD497&lt;&gt;Constants!$B$6,$BD497,SUM($BF497:$BG497)))</f>
        <v/>
      </c>
      <c r="BI497" s="87" t="str">
        <f aca="false">IF(ISBLANK($C497),"",IF($BD497&lt;&gt;Constants!$B$6,$BD497,RANK($BH497,$BH$9:$BH$508,1)))</f>
        <v/>
      </c>
      <c r="BJ497" s="91" t="str">
        <f aca="false">IF($BD497&lt;&gt;Constants!$B$6,"",IF($AU497="-&gt;",$BB497,$AS497))</f>
        <v/>
      </c>
      <c r="BK497" s="87" t="str">
        <f aca="false">IF(ISBLANK($C497),"",IF($BD497&lt;&gt;Constants!$B$6,$BD497,IF(ISNUMBER($BJ497),RANK($BJ497,$BJ$9:$BJ$508,1),COUNT($BJ$9:$BJ$508)+1)))</f>
        <v/>
      </c>
      <c r="BL497" s="91" t="str">
        <f aca="false">IF($BD497&lt;&gt;Constants!$B$6,"",IF($AU497="-&gt;",$BC497,$AT497))</f>
        <v/>
      </c>
      <c r="BM497" s="87" t="str">
        <f aca="false">IF(ISBLANK($C497),"",IF($BD497&lt;&gt;Constants!$B$6,$BD497,IF(ISNUMBER($BL497),RANK($BL497,$BL$9:$BL$508,1),COUNT($BL$9:$BL$508)+1)))</f>
        <v/>
      </c>
      <c r="BN497" s="91" t="str">
        <f aca="false">IF($BD497&lt;&gt;Constants!$B$6,"",IF($AU497="-&gt;",$AS497,$BB497))</f>
        <v/>
      </c>
      <c r="BO497" s="87" t="str">
        <f aca="false">IF(ISBLANK($C497),"",IF($BD497&lt;&gt;Constants!$B$6,$BD497,IF(ISNUMBER($BN497),RANK($BN497,$BN$9:$BN$508,1),COUNT($BN$9:$BN$508)+1)))</f>
        <v/>
      </c>
      <c r="BP497" s="91" t="str">
        <f aca="false">IF($BD497&lt;&gt;Constants!$B$6,"",IF($AU497="-&gt;",$AT497,$BC497))</f>
        <v/>
      </c>
      <c r="BQ497" s="87" t="str">
        <f aca="false">IF(ISBLANK($C497),"",IF($BD497&lt;&gt;Constants!$B$6,$BD497,IF(ISNUMBER($BP497),RANK($BP497,$BP$9:$BP$508,1),COUNT($BP$9:$BP$508)+1)))</f>
        <v/>
      </c>
      <c r="BR497" s="87" t="str">
        <f aca="false">IF(ISBLANK($C497),"",IF($BD497&lt;&gt;Constants!$B$6,$BD497,COUNTIFS($BI$9:$BI$508,"&lt;"&amp;$BI497)+COUNTIFS($BI$9:$BI$508,$BI497,$BK$9:$BK$508,"&lt;"&amp;$BK497)+COUNTIFS($BI$9:$BI$508,$BI497,$BK$9:$BK$508,$BK497,$BM$9:$BM$508,"&lt;"&amp;$BM497)+COUNTIFS($BI$9:$BI$508,$BI497,$BK$9:$BK$508,$BK497,$BM$9:$BM$508,$BM497,$BO$9:$BO$508,"&lt;"&amp;$BO497)+COUNTIFS($BI$9:$BI$508,$BI497,$BK$9:$BK$508,$BK497,$BM$9:$BM$508,$BM497,$BO$9:$BO$508,$BO497,$BQ$9:$BQ$508,"&lt;"&amp;$BQ497)+1))</f>
        <v/>
      </c>
      <c r="BS497" s="87" t="str">
        <f aca="false">IF(ISBLANK($C497),"",IF($BD497&lt;&gt;Constants!$B$6,$BD497,$BI497-$BR497))</f>
        <v/>
      </c>
      <c r="BT497" s="94"/>
      <c r="BU497" s="95"/>
      <c r="BV497" s="95" t="str">
        <f aca="false">IF(ISBLANK($C497),"",IF($BD497&lt;&gt;Constants!$B$6,"",IF($AU497="-&gt;",2,1)))</f>
        <v/>
      </c>
      <c r="BW497" s="96" t="str">
        <f aca="false">IF(ISBLANK($C497),"",IF($BD497&lt;&gt;Constants!$B$6,"",IF($AU497="-&gt;",$AW497,$AN497)))</f>
        <v/>
      </c>
      <c r="BX497" s="96" t="str">
        <f aca="false">IF(ISBLANK($C497),"",IF($BD497&lt;&gt;Constants!$B$6,"",IF($AU497="-&gt;",$AX497,$AO497)))</f>
        <v/>
      </c>
      <c r="BY497" s="96" t="str">
        <f aca="false">IF(ISBLANK($C497),"",IF($BD497&lt;&gt;Constants!$B$6,"",IF($AU497="-&gt;",$AY497,$AP497)))</f>
        <v/>
      </c>
      <c r="BZ497" s="96" t="str">
        <f aca="false">IF(ISBLANK($C497),"",IF($BD497&lt;&gt;Constants!$B$6,"",IF($AU497="-&gt;",$AZ497,$AQ497)+$BG497))</f>
        <v/>
      </c>
      <c r="CA497" s="97" t="str">
        <f aca="false">IF(ISBLANK($C497),"",IF($BD497&lt;&gt;Constants!$B$6,$BD497,$BH497))</f>
        <v/>
      </c>
      <c r="CB497" s="98" t="str">
        <f aca="false">IF(ISBLANK($C497),"",$BE497)</f>
        <v/>
      </c>
      <c r="CC497" s="99" t="str">
        <f aca="false">IF(ISBLANK($C497),"",$BS497)</f>
        <v/>
      </c>
      <c r="CD497" s="99" t="str">
        <f aca="false">IF(ISBLANK($C497),"",$BR497)</f>
        <v/>
      </c>
      <c r="CE497" s="100" t="str">
        <f aca="false">IF(ISBLANK($C497),"",IF($CD497=Constants!$B$9,COUNTA($C$9:$C$508)+2,IF($CD497=Constants!$B$8,COUNTA($C$9:$C$508)+1,IF($CD497=Constants!$B$7,COUNTA($C$9:$C$508),$CD497))))</f>
        <v/>
      </c>
      <c r="CF497" s="9"/>
      <c r="CG497" s="101" t="n">
        <f aca="false">IF(OR(ISNUMBER($CD497),$CD497=Constants!$B$9,$CD497=Constants!$B$7,$CD497=Constants!$B$8),1,0)</f>
        <v>0</v>
      </c>
      <c r="CH497" s="101" t="n">
        <v>489</v>
      </c>
      <c r="CI497" s="101" t="str">
        <f aca="false">IF(ISBLANK($C497),"",IF(ISNUMBER($CE497),$CE497+ROW($B497)/1000,""))</f>
        <v/>
      </c>
      <c r="CJ497" s="101" t="str">
        <f aca="false">IF(ISNUMBER($CI497),RANK($CI497,$CI$9:$CI$508,1),"")</f>
        <v/>
      </c>
      <c r="CK497" s="101" t="str">
        <f aca="false">IF(ISBLANK($C497),"",$B497)</f>
        <v/>
      </c>
      <c r="CL497" s="101" t="str">
        <f aca="false">IF(ISBLANK($C497),"",$C497)</f>
        <v/>
      </c>
      <c r="CM497" s="101" t="str">
        <f aca="false">IF(ISBLANK($C497),"",$D497)</f>
        <v/>
      </c>
      <c r="CN497" s="102" t="str">
        <f aca="false">$CB497</f>
        <v/>
      </c>
      <c r="CO497" s="103" t="str">
        <f aca="false">$CA497</f>
        <v/>
      </c>
      <c r="CP497" s="101" t="str">
        <f aca="false">IF(ISBLANK($C497),"",$CD497)</f>
        <v/>
      </c>
      <c r="CQ497" s="104" t="str">
        <f aca="false">IF($CH497&gt;$CG$8,"",VLOOKUP($CH497,$CJ$9:$CP$508,7,FALSE()))</f>
        <v/>
      </c>
      <c r="CR497" s="105" t="str">
        <f aca="false">IF($CH497&gt;$CG$8,"",VLOOKUP($CH497,$CJ$9:$CP$508,2,FALSE()))</f>
        <v/>
      </c>
      <c r="CS497" s="105" t="str">
        <f aca="false">IF($CH497&gt;$CG$8,"",VLOOKUP($CH497,$CJ$9:$CP$508,3,FALSE()))</f>
        <v/>
      </c>
      <c r="CT497" s="105" t="str">
        <f aca="false">IF($CH497&gt;$CG$8,"",VLOOKUP($CH497,$CJ$9:$CP$508,4,FALSE()))</f>
        <v/>
      </c>
      <c r="CU497" s="105" t="str">
        <f aca="false">IF($CH497&gt;$CG$8,"",VLOOKUP($CH497,$CJ$9:$CP$508,5,FALSE()))</f>
        <v/>
      </c>
      <c r="CV497" s="106" t="str">
        <f aca="false">IF($CH497&gt;$CG$8,"",VLOOKUP($CH497,$CJ$9:$CP$508,6,FALSE()))</f>
        <v/>
      </c>
      <c r="CW497" s="71"/>
    </row>
    <row r="498" customFormat="false" ht="15.75" hidden="false" customHeight="false" outlineLevel="0" collapsed="false">
      <c r="A498" s="9"/>
      <c r="B498" s="150"/>
      <c r="C498" s="151"/>
      <c r="D498" s="152"/>
      <c r="E498" s="170"/>
      <c r="F498" s="154"/>
      <c r="G498" s="155"/>
      <c r="H498" s="171"/>
      <c r="I498" s="159"/>
      <c r="J498" s="120"/>
      <c r="K498" s="121"/>
      <c r="L498" s="122"/>
      <c r="M498" s="158"/>
      <c r="N498" s="159"/>
      <c r="O498" s="159"/>
      <c r="P498" s="120"/>
      <c r="Q498" s="122"/>
      <c r="R498" s="122"/>
      <c r="S498" s="158"/>
      <c r="T498" s="159"/>
      <c r="U498" s="126"/>
      <c r="V498" s="127"/>
      <c r="W498" s="127" t="str">
        <f aca="false">IF(ISBLANK($C498),"",IF(E498=Constants!$B$2,TRUE(),IF(E498=Constants!$B$3,FALSE(),TRUE())))</f>
        <v/>
      </c>
      <c r="X498" s="127" t="str">
        <f aca="false">IF(ISBLANK($C498),"",IF(F498=Constants!$B$2,TRUE(),IF(F498=Constants!$B$3,FALSE(),TRUE())))</f>
        <v/>
      </c>
      <c r="Y498" s="127" t="str">
        <f aca="false">IF(ISBLANK($C498),"",IF(G498=Constants!$B$2,TRUE(),IF(G498=Constants!$B$3,FALSE(),TRUE())))</f>
        <v/>
      </c>
      <c r="Z498" s="127" t="str">
        <f aca="false">IF(ISBLANK($C498),"",IF(H498=Constants!$B$2,TRUE(),IF(H498=Constants!$B$3,FALSE(),TRUE())))</f>
        <v/>
      </c>
      <c r="AA498" s="127" t="str">
        <f aca="false">IF(ISBLANK($C498),"",IF(I498=Constants!$B$2,TRUE(),IF(I498=Constants!$B$3,FALSE(),TRUE())))</f>
        <v/>
      </c>
      <c r="AB498" s="127" t="str">
        <f aca="false">IF(ISBLANK($C498),"",IF(J498=Constants!$B$4,TRUE(),IF(J498=Constants!$B$5,FALSE(),COUNTA(K498:M498)&gt;0)))</f>
        <v/>
      </c>
      <c r="AC498" s="128" t="str">
        <f aca="false">IF(ISBLANK($C498),"",IF(ISNUMBER(K498),IF(K498&gt;=0,K498,""),""))</f>
        <v/>
      </c>
      <c r="AD498" s="129" t="str">
        <f aca="false">IF(ISBLANK($C498),"",IF(ISNUMBER(L498),IF(L498&gt;=0,L498,""),""))</f>
        <v/>
      </c>
      <c r="AE498" s="127" t="str">
        <f aca="false">IF(ISBLANK($C498),"",IF(ISNUMBER(M498),IF(M498&gt;=0,MIN(M498,Constants!$B$22),""),""))</f>
        <v/>
      </c>
      <c r="AF498" s="127" t="str">
        <f aca="false">IF(ISBLANK($C498),"",IF(N498=Constants!$B$2,TRUE(),IF(N498=Constants!$B$3,FALSE(),TRUE())))</f>
        <v/>
      </c>
      <c r="AG498" s="127" t="str">
        <f aca="false">IF(ISBLANK($C498),"",IF(O498=Constants!$B$2,TRUE(),IF(O498=Constants!$B$3,FALSE(),TRUE())))</f>
        <v/>
      </c>
      <c r="AH498" s="127" t="str">
        <f aca="false">IF(ISBLANK($C498),"",IF(P498=Constants!$B$4,TRUE(),IF(P498=Constants!$B$5,FALSE(),COUNTA(Q498:S498)&gt;0)))</f>
        <v/>
      </c>
      <c r="AI498" s="128" t="str">
        <f aca="false">IF(ISBLANK($C498),"",IF(ISNUMBER(Q498),IF(Q498&gt;=0,Q498,""),""))</f>
        <v/>
      </c>
      <c r="AJ498" s="129" t="str">
        <f aca="false">IF(ISBLANK($C498),"",IF(ISNUMBER(R498),IF(R498&gt;=0,R498,""),""))</f>
        <v/>
      </c>
      <c r="AK498" s="127" t="str">
        <f aca="false">IF(ISBLANK($C498),"",IF(ISNUMBER(S498),IF(S498&gt;=0,MIN(S498,Constants!$B$22),""),""))</f>
        <v/>
      </c>
      <c r="AL498" s="127" t="str">
        <f aca="false">IF(ISBLANK($C498),"",IF(T498=Constants!$B$2,TRUE(),IF(T498=Constants!$B$3,FALSE(),FALSE())))</f>
        <v/>
      </c>
      <c r="AM498" s="126" t="str">
        <f aca="false">IF(ISBLANK($C498),"",AND($AB498,OR($AC498="",$AD498="",AND(NOT(ISBLANK($M498)),$AE498=""))))</f>
        <v/>
      </c>
      <c r="AN498" s="129" t="str">
        <f aca="false">IF($BD498&lt;&gt;Constants!$B$6,"",IF($AB498,Constants!$B$17*$AD498,Constants!$B$18))</f>
        <v/>
      </c>
      <c r="AO498" s="130" t="str">
        <f aca="false">IF($BD498&lt;&gt;Constants!$B$6,"",Constants!$B$19*IF($AB498,$AC498,0))</f>
        <v/>
      </c>
      <c r="AP498" s="130" t="str">
        <f aca="false">IF($BD498&lt;&gt;Constants!$B$6,"",IF(AND($AB498,ISNUMBER($AE498)),Constants!$B$20*(Constants!$B$21-$AE498),0))</f>
        <v/>
      </c>
      <c r="AQ498" s="130" t="str">
        <f aca="false">IF($BD498&lt;&gt;Constants!$B$6,"",IF($AA498,0,Constants!$B$12)+IF($Z498,0,Constants!$B$13)+IF($Y498,0,Constants!$B$14))</f>
        <v/>
      </c>
      <c r="AR498" s="131" t="str">
        <f aca="false">IF($BD498&lt;&gt;Constants!$B$6,"",Constants!$B$16+SUM($AN498:$AQ498))</f>
        <v/>
      </c>
      <c r="AS498" s="130" t="str">
        <f aca="false">IF($BD498&lt;&gt;Constants!$B$6,"",IF($AB498,$AD498,""))</f>
        <v/>
      </c>
      <c r="AT498" s="132" t="str">
        <f aca="false">IF($BD498&lt;&gt;Constants!$B$6,"",$AO498)</f>
        <v/>
      </c>
      <c r="AU498" s="127" t="str">
        <f aca="false">IF($BD498&lt;&gt;Constants!$B$6,"",IF(OR($BA498&lt;$AR498,AND($BA498=$AR498,OR(AND(ISNUMBER($BB498),OR(NOT(ISNUMBER($AS498)),$BB498&lt;$AS498)),AND(OR(AND($BB498="",$AS498=""),AND(ISNUMBER($BB498),ISNUMBER($AS498),$BB498=$AS498)),$BC498&lt;$AT498)))),"-&gt;","&lt;-"))</f>
        <v/>
      </c>
      <c r="AV498" s="126" t="str">
        <f aca="false">IF(ISBLANK($C498),"",AND($AH498,OR($AI498="",$AJ498="",AND(NOT(ISBLANK($S498)),$AK498=""))))</f>
        <v/>
      </c>
      <c r="AW498" s="129" t="str">
        <f aca="false">IF($BD498&lt;&gt;Constants!$B$6,"",IF($AH498,Constants!$B$17*$AJ498,Constants!$B$18))</f>
        <v/>
      </c>
      <c r="AX498" s="130" t="str">
        <f aca="false">IF($BD498&lt;&gt;Constants!$B$6,"",Constants!$B$19*IF($AH498,$AI498,0))</f>
        <v/>
      </c>
      <c r="AY498" s="130" t="str">
        <f aca="false">IF($BD498&lt;&gt;Constants!$B$6,"",IF(AND($AH498,ISNUMBER($AK498)),Constants!$B$20*(Constants!$B$21-$AK498),0))</f>
        <v/>
      </c>
      <c r="AZ498" s="130" t="str">
        <f aca="false">IF($BD498&lt;&gt;Constants!$B$6,"",IF($AG498,0,Constants!$B$12)+IF($AF498,0,Constants!$B$13)+IF($Y498,0,Constants!$B$14))</f>
        <v/>
      </c>
      <c r="BA498" s="131" t="str">
        <f aca="false">IF($BD498&lt;&gt;Constants!$B$6,"",Constants!$B$16+SUM($AW498:$AZ498))</f>
        <v/>
      </c>
      <c r="BB498" s="130" t="str">
        <f aca="false">IF($BD498&lt;&gt;Constants!$B$6,"",IF($AH498,$AJ498,""))</f>
        <v/>
      </c>
      <c r="BC498" s="132" t="str">
        <f aca="false">IF($BD498&lt;&gt;Constants!$B$6,"",$AX498)</f>
        <v/>
      </c>
      <c r="BD498" s="127" t="str">
        <f aca="false">IF(ISBLANK($C498),"",IF($AL498,Constants!$B$9,IF(COUNTA($E498:$T498)=0,Constants!$B$8,IF(NOT($X498),Constants!$B$7,IF(OR($AM498,$AV498),Constants!$B$10,Constants!$B$6)))))</f>
        <v/>
      </c>
      <c r="BE498" s="127" t="str">
        <f aca="false">IF(ISBLANK($C498),"",IF($BD498&lt;&gt;Constants!$B$6,$BD498,Constants!$B$11))</f>
        <v/>
      </c>
      <c r="BF498" s="130" t="str">
        <f aca="false">IF($BD498&lt;&gt;Constants!$B$6,"",IF($AU498="-&gt;",$BA498,$AR498))</f>
        <v/>
      </c>
      <c r="BG498" s="130" t="str">
        <f aca="false">IF($BD498&lt;&gt;Constants!$B$6,"",IF($W498,0,Constants!$B$15))</f>
        <v/>
      </c>
      <c r="BH498" s="130" t="str">
        <f aca="false">IF(ISBLANK($C498),"",IF($BD498&lt;&gt;Constants!$B$6,$BD498,SUM($BF498:$BG498)))</f>
        <v/>
      </c>
      <c r="BI498" s="127" t="str">
        <f aca="false">IF(ISBLANK($C498),"",IF($BD498&lt;&gt;Constants!$B$6,$BD498,RANK($BH498,$BH$9:$BH$508,1)))</f>
        <v/>
      </c>
      <c r="BJ498" s="130" t="str">
        <f aca="false">IF($BD498&lt;&gt;Constants!$B$6,"",IF($AU498="-&gt;",$BB498,$AS498))</f>
        <v/>
      </c>
      <c r="BK498" s="127" t="str">
        <f aca="false">IF(ISBLANK($C498),"",IF($BD498&lt;&gt;Constants!$B$6,$BD498,IF(ISNUMBER($BJ498),RANK($BJ498,$BJ$9:$BJ$508,1),COUNT($BJ$9:$BJ$508)+1)))</f>
        <v/>
      </c>
      <c r="BL498" s="130" t="str">
        <f aca="false">IF($BD498&lt;&gt;Constants!$B$6,"",IF($AU498="-&gt;",$BC498,$AT498))</f>
        <v/>
      </c>
      <c r="BM498" s="127" t="str">
        <f aca="false">IF(ISBLANK($C498),"",IF($BD498&lt;&gt;Constants!$B$6,$BD498,IF(ISNUMBER($BL498),RANK($BL498,$BL$9:$BL$508,1),COUNT($BL$9:$BL$508)+1)))</f>
        <v/>
      </c>
      <c r="BN498" s="130" t="str">
        <f aca="false">IF($BD498&lt;&gt;Constants!$B$6,"",IF($AU498="-&gt;",$AS498,$BB498))</f>
        <v/>
      </c>
      <c r="BO498" s="127" t="str">
        <f aca="false">IF(ISBLANK($C498),"",IF($BD498&lt;&gt;Constants!$B$6,$BD498,IF(ISNUMBER($BN498),RANK($BN498,$BN$9:$BN$508,1),COUNT($BN$9:$BN$508)+1)))</f>
        <v/>
      </c>
      <c r="BP498" s="130" t="str">
        <f aca="false">IF($BD498&lt;&gt;Constants!$B$6,"",IF($AU498="-&gt;",$AT498,$BC498))</f>
        <v/>
      </c>
      <c r="BQ498" s="127" t="str">
        <f aca="false">IF(ISBLANK($C498),"",IF($BD498&lt;&gt;Constants!$B$6,$BD498,IF(ISNUMBER($BP498),RANK($BP498,$BP$9:$BP$508,1),COUNT($BP$9:$BP$508)+1)))</f>
        <v/>
      </c>
      <c r="BR498" s="127" t="str">
        <f aca="false">IF(ISBLANK($C498),"",IF($BD498&lt;&gt;Constants!$B$6,$BD498,COUNTIFS($BI$9:$BI$508,"&lt;"&amp;$BI498)+COUNTIFS($BI$9:$BI$508,$BI498,$BK$9:$BK$508,"&lt;"&amp;$BK498)+COUNTIFS($BI$9:$BI$508,$BI498,$BK$9:$BK$508,$BK498,$BM$9:$BM$508,"&lt;"&amp;$BM498)+COUNTIFS($BI$9:$BI$508,$BI498,$BK$9:$BK$508,$BK498,$BM$9:$BM$508,$BM498,$BO$9:$BO$508,"&lt;"&amp;$BO498)+COUNTIFS($BI$9:$BI$508,$BI498,$BK$9:$BK$508,$BK498,$BM$9:$BM$508,$BM498,$BO$9:$BO$508,$BO498,$BQ$9:$BQ$508,"&lt;"&amp;$BQ498)+1))</f>
        <v/>
      </c>
      <c r="BS498" s="127" t="str">
        <f aca="false">IF(ISBLANK($C498),"",IF($BD498&lt;&gt;Constants!$B$6,$BD498,$BI498-$BR498))</f>
        <v/>
      </c>
      <c r="BT498" s="133"/>
      <c r="BU498" s="134"/>
      <c r="BV498" s="134" t="str">
        <f aca="false">IF(ISBLANK($C498),"",IF($BD498&lt;&gt;Constants!$B$6,"",IF($AU498="-&gt;",2,1)))</f>
        <v/>
      </c>
      <c r="BW498" s="135" t="str">
        <f aca="false">IF(ISBLANK($C498),"",IF($BD498&lt;&gt;Constants!$B$6,"",IF($AU498="-&gt;",$AW498,$AN498)))</f>
        <v/>
      </c>
      <c r="BX498" s="135" t="str">
        <f aca="false">IF(ISBLANK($C498),"",IF($BD498&lt;&gt;Constants!$B$6,"",IF($AU498="-&gt;",$AX498,$AO498)))</f>
        <v/>
      </c>
      <c r="BY498" s="135" t="str">
        <f aca="false">IF(ISBLANK($C498),"",IF($BD498&lt;&gt;Constants!$B$6,"",IF($AU498="-&gt;",$AY498,$AP498)))</f>
        <v/>
      </c>
      <c r="BZ498" s="135" t="str">
        <f aca="false">IF(ISBLANK($C498),"",IF($BD498&lt;&gt;Constants!$B$6,"",IF($AU498="-&gt;",$AZ498,$AQ498)+$BG498))</f>
        <v/>
      </c>
      <c r="CA498" s="136" t="str">
        <f aca="false">IF(ISBLANK($C498),"",IF($BD498&lt;&gt;Constants!$B$6,$BD498,$BH498))</f>
        <v/>
      </c>
      <c r="CB498" s="137" t="str">
        <f aca="false">IF(ISBLANK($C498),"",$BE498)</f>
        <v/>
      </c>
      <c r="CC498" s="138" t="str">
        <f aca="false">IF(ISBLANK($C498),"",$BS498)</f>
        <v/>
      </c>
      <c r="CD498" s="138" t="str">
        <f aca="false">IF(ISBLANK($C498),"",$BR498)</f>
        <v/>
      </c>
      <c r="CE498" s="139" t="str">
        <f aca="false">IF(ISBLANK($C498),"",IF($CD498=Constants!$B$9,COUNTA($C$9:$C$508)+2,IF($CD498=Constants!$B$8,COUNTA($C$9:$C$508)+1,IF($CD498=Constants!$B$7,COUNTA($C$9:$C$508),$CD498))))</f>
        <v/>
      </c>
      <c r="CF498" s="9"/>
      <c r="CG498" s="140" t="n">
        <f aca="false">IF(OR(ISNUMBER($CD498),$CD498=Constants!$B$9,$CD498=Constants!$B$7,$CD498=Constants!$B$8),1,0)</f>
        <v>0</v>
      </c>
      <c r="CH498" s="140" t="n">
        <v>490</v>
      </c>
      <c r="CI498" s="140" t="str">
        <f aca="false">IF(ISBLANK($C498),"",IF(ISNUMBER($CE498),$CE498+ROW($B498)/1000,""))</f>
        <v/>
      </c>
      <c r="CJ498" s="140" t="str">
        <f aca="false">IF(ISNUMBER($CI498),RANK($CI498,$CI$9:$CI$508,1),"")</f>
        <v/>
      </c>
      <c r="CK498" s="140" t="str">
        <f aca="false">IF(ISBLANK($C498),"",$B498)</f>
        <v/>
      </c>
      <c r="CL498" s="140" t="str">
        <f aca="false">IF(ISBLANK($C498),"",$C498)</f>
        <v/>
      </c>
      <c r="CM498" s="140" t="str">
        <f aca="false">IF(ISBLANK($C498),"",$D498)</f>
        <v/>
      </c>
      <c r="CN498" s="141" t="str">
        <f aca="false">$CB498</f>
        <v/>
      </c>
      <c r="CO498" s="142" t="str">
        <f aca="false">$CA498</f>
        <v/>
      </c>
      <c r="CP498" s="140" t="str">
        <f aca="false">IF(ISBLANK($C498),"",$CD498)</f>
        <v/>
      </c>
      <c r="CQ498" s="143" t="str">
        <f aca="false">IF($CH498&gt;$CG$8,"",VLOOKUP($CH498,$CJ$9:$CP$508,7,FALSE()))</f>
        <v/>
      </c>
      <c r="CR498" s="144" t="str">
        <f aca="false">IF($CH498&gt;$CG$8,"",VLOOKUP($CH498,$CJ$9:$CP$508,2,FALSE()))</f>
        <v/>
      </c>
      <c r="CS498" s="144" t="str">
        <f aca="false">IF($CH498&gt;$CG$8,"",VLOOKUP($CH498,$CJ$9:$CP$508,3,FALSE()))</f>
        <v/>
      </c>
      <c r="CT498" s="144" t="str">
        <f aca="false">IF($CH498&gt;$CG$8,"",VLOOKUP($CH498,$CJ$9:$CP$508,4,FALSE()))</f>
        <v/>
      </c>
      <c r="CU498" s="144" t="str">
        <f aca="false">IF($CH498&gt;$CG$8,"",VLOOKUP($CH498,$CJ$9:$CP$508,5,FALSE()))</f>
        <v/>
      </c>
      <c r="CV498" s="145" t="str">
        <f aca="false">IF($CH498&gt;$CG$8,"",VLOOKUP($CH498,$CJ$9:$CP$508,6,FALSE()))</f>
        <v/>
      </c>
      <c r="CW498" s="71"/>
    </row>
    <row r="499" customFormat="false" ht="15.75" hidden="false" customHeight="false" outlineLevel="0" collapsed="false">
      <c r="A499" s="9"/>
      <c r="B499" s="150"/>
      <c r="C499" s="151"/>
      <c r="D499" s="152"/>
      <c r="E499" s="170"/>
      <c r="F499" s="154"/>
      <c r="G499" s="155"/>
      <c r="H499" s="171"/>
      <c r="I499" s="159"/>
      <c r="J499" s="120"/>
      <c r="K499" s="121"/>
      <c r="L499" s="122"/>
      <c r="M499" s="158"/>
      <c r="N499" s="159"/>
      <c r="O499" s="159"/>
      <c r="P499" s="120"/>
      <c r="Q499" s="122"/>
      <c r="R499" s="122"/>
      <c r="S499" s="158"/>
      <c r="T499" s="159"/>
      <c r="U499" s="126"/>
      <c r="V499" s="127"/>
      <c r="W499" s="127" t="str">
        <f aca="false">IF(ISBLANK($C499),"",IF(E499=Constants!$B$2,TRUE(),IF(E499=Constants!$B$3,FALSE(),TRUE())))</f>
        <v/>
      </c>
      <c r="X499" s="127" t="str">
        <f aca="false">IF(ISBLANK($C499),"",IF(F499=Constants!$B$2,TRUE(),IF(F499=Constants!$B$3,FALSE(),TRUE())))</f>
        <v/>
      </c>
      <c r="Y499" s="127" t="str">
        <f aca="false">IF(ISBLANK($C499),"",IF(G499=Constants!$B$2,TRUE(),IF(G499=Constants!$B$3,FALSE(),TRUE())))</f>
        <v/>
      </c>
      <c r="Z499" s="127" t="str">
        <f aca="false">IF(ISBLANK($C499),"",IF(H499=Constants!$B$2,TRUE(),IF(H499=Constants!$B$3,FALSE(),TRUE())))</f>
        <v/>
      </c>
      <c r="AA499" s="127" t="str">
        <f aca="false">IF(ISBLANK($C499),"",IF(I499=Constants!$B$2,TRUE(),IF(I499=Constants!$B$3,FALSE(),TRUE())))</f>
        <v/>
      </c>
      <c r="AB499" s="127" t="str">
        <f aca="false">IF(ISBLANK($C499),"",IF(J499=Constants!$B$4,TRUE(),IF(J499=Constants!$B$5,FALSE(),COUNTA(K499:M499)&gt;0)))</f>
        <v/>
      </c>
      <c r="AC499" s="128" t="str">
        <f aca="false">IF(ISBLANK($C499),"",IF(ISNUMBER(K499),IF(K499&gt;=0,K499,""),""))</f>
        <v/>
      </c>
      <c r="AD499" s="129" t="str">
        <f aca="false">IF(ISBLANK($C499),"",IF(ISNUMBER(L499),IF(L499&gt;=0,L499,""),""))</f>
        <v/>
      </c>
      <c r="AE499" s="127" t="str">
        <f aca="false">IF(ISBLANK($C499),"",IF(ISNUMBER(M499),IF(M499&gt;=0,MIN(M499,Constants!$B$22),""),""))</f>
        <v/>
      </c>
      <c r="AF499" s="127" t="str">
        <f aca="false">IF(ISBLANK($C499),"",IF(N499=Constants!$B$2,TRUE(),IF(N499=Constants!$B$3,FALSE(),TRUE())))</f>
        <v/>
      </c>
      <c r="AG499" s="127" t="str">
        <f aca="false">IF(ISBLANK($C499),"",IF(O499=Constants!$B$2,TRUE(),IF(O499=Constants!$B$3,FALSE(),TRUE())))</f>
        <v/>
      </c>
      <c r="AH499" s="127" t="str">
        <f aca="false">IF(ISBLANK($C499),"",IF(P499=Constants!$B$4,TRUE(),IF(P499=Constants!$B$5,FALSE(),COUNTA(Q499:S499)&gt;0)))</f>
        <v/>
      </c>
      <c r="AI499" s="128" t="str">
        <f aca="false">IF(ISBLANK($C499),"",IF(ISNUMBER(Q499),IF(Q499&gt;=0,Q499,""),""))</f>
        <v/>
      </c>
      <c r="AJ499" s="129" t="str">
        <f aca="false">IF(ISBLANK($C499),"",IF(ISNUMBER(R499),IF(R499&gt;=0,R499,""),""))</f>
        <v/>
      </c>
      <c r="AK499" s="127" t="str">
        <f aca="false">IF(ISBLANK($C499),"",IF(ISNUMBER(S499),IF(S499&gt;=0,MIN(S499,Constants!$B$22),""),""))</f>
        <v/>
      </c>
      <c r="AL499" s="127" t="str">
        <f aca="false">IF(ISBLANK($C499),"",IF(T499=Constants!$B$2,TRUE(),IF(T499=Constants!$B$3,FALSE(),FALSE())))</f>
        <v/>
      </c>
      <c r="AM499" s="126" t="str">
        <f aca="false">IF(ISBLANK($C499),"",AND($AB499,OR($AC499="",$AD499="",AND(NOT(ISBLANK($M499)),$AE499=""))))</f>
        <v/>
      </c>
      <c r="AN499" s="129" t="str">
        <f aca="false">IF($BD499&lt;&gt;Constants!$B$6,"",IF($AB499,Constants!$B$17*$AD499,Constants!$B$18))</f>
        <v/>
      </c>
      <c r="AO499" s="130" t="str">
        <f aca="false">IF($BD499&lt;&gt;Constants!$B$6,"",Constants!$B$19*IF($AB499,$AC499,0))</f>
        <v/>
      </c>
      <c r="AP499" s="130" t="str">
        <f aca="false">IF($BD499&lt;&gt;Constants!$B$6,"",IF(AND($AB499,ISNUMBER($AE499)),Constants!$B$20*(Constants!$B$21-$AE499),0))</f>
        <v/>
      </c>
      <c r="AQ499" s="130" t="str">
        <f aca="false">IF($BD499&lt;&gt;Constants!$B$6,"",IF($AA499,0,Constants!$B$12)+IF($Z499,0,Constants!$B$13)+IF($Y499,0,Constants!$B$14))</f>
        <v/>
      </c>
      <c r="AR499" s="131" t="str">
        <f aca="false">IF($BD499&lt;&gt;Constants!$B$6,"",Constants!$B$16+SUM($AN499:$AQ499))</f>
        <v/>
      </c>
      <c r="AS499" s="130" t="str">
        <f aca="false">IF($BD499&lt;&gt;Constants!$B$6,"",IF($AB499,$AD499,""))</f>
        <v/>
      </c>
      <c r="AT499" s="132" t="str">
        <f aca="false">IF($BD499&lt;&gt;Constants!$B$6,"",$AO499)</f>
        <v/>
      </c>
      <c r="AU499" s="127" t="str">
        <f aca="false">IF($BD499&lt;&gt;Constants!$B$6,"",IF(OR($BA499&lt;$AR499,AND($BA499=$AR499,OR(AND(ISNUMBER($BB499),OR(NOT(ISNUMBER($AS499)),$BB499&lt;$AS499)),AND(OR(AND($BB499="",$AS499=""),AND(ISNUMBER($BB499),ISNUMBER($AS499),$BB499=$AS499)),$BC499&lt;$AT499)))),"-&gt;","&lt;-"))</f>
        <v/>
      </c>
      <c r="AV499" s="126" t="str">
        <f aca="false">IF(ISBLANK($C499),"",AND($AH499,OR($AI499="",$AJ499="",AND(NOT(ISBLANK($S499)),$AK499=""))))</f>
        <v/>
      </c>
      <c r="AW499" s="129" t="str">
        <f aca="false">IF($BD499&lt;&gt;Constants!$B$6,"",IF($AH499,Constants!$B$17*$AJ499,Constants!$B$18))</f>
        <v/>
      </c>
      <c r="AX499" s="130" t="str">
        <f aca="false">IF($BD499&lt;&gt;Constants!$B$6,"",Constants!$B$19*IF($AH499,$AI499,0))</f>
        <v/>
      </c>
      <c r="AY499" s="130" t="str">
        <f aca="false">IF($BD499&lt;&gt;Constants!$B$6,"",IF(AND($AH499,ISNUMBER($AK499)),Constants!$B$20*(Constants!$B$21-$AK499),0))</f>
        <v/>
      </c>
      <c r="AZ499" s="130" t="str">
        <f aca="false">IF($BD499&lt;&gt;Constants!$B$6,"",IF($AG499,0,Constants!$B$12)+IF($AF499,0,Constants!$B$13)+IF($Y499,0,Constants!$B$14))</f>
        <v/>
      </c>
      <c r="BA499" s="131" t="str">
        <f aca="false">IF($BD499&lt;&gt;Constants!$B$6,"",Constants!$B$16+SUM($AW499:$AZ499))</f>
        <v/>
      </c>
      <c r="BB499" s="130" t="str">
        <f aca="false">IF($BD499&lt;&gt;Constants!$B$6,"",IF($AH499,$AJ499,""))</f>
        <v/>
      </c>
      <c r="BC499" s="132" t="str">
        <f aca="false">IF($BD499&lt;&gt;Constants!$B$6,"",$AX499)</f>
        <v/>
      </c>
      <c r="BD499" s="127" t="str">
        <f aca="false">IF(ISBLANK($C499),"",IF($AL499,Constants!$B$9,IF(COUNTA($E499:$T499)=0,Constants!$B$8,IF(NOT($X499),Constants!$B$7,IF(OR($AM499,$AV499),Constants!$B$10,Constants!$B$6)))))</f>
        <v/>
      </c>
      <c r="BE499" s="127" t="str">
        <f aca="false">IF(ISBLANK($C499),"",IF($BD499&lt;&gt;Constants!$B$6,$BD499,Constants!$B$11))</f>
        <v/>
      </c>
      <c r="BF499" s="130" t="str">
        <f aca="false">IF($BD499&lt;&gt;Constants!$B$6,"",IF($AU499="-&gt;",$BA499,$AR499))</f>
        <v/>
      </c>
      <c r="BG499" s="130" t="str">
        <f aca="false">IF($BD499&lt;&gt;Constants!$B$6,"",IF($W499,0,Constants!$B$15))</f>
        <v/>
      </c>
      <c r="BH499" s="130" t="str">
        <f aca="false">IF(ISBLANK($C499),"",IF($BD499&lt;&gt;Constants!$B$6,$BD499,SUM($BF499:$BG499)))</f>
        <v/>
      </c>
      <c r="BI499" s="127" t="str">
        <f aca="false">IF(ISBLANK($C499),"",IF($BD499&lt;&gt;Constants!$B$6,$BD499,RANK($BH499,$BH$9:$BH$508,1)))</f>
        <v/>
      </c>
      <c r="BJ499" s="130" t="str">
        <f aca="false">IF($BD499&lt;&gt;Constants!$B$6,"",IF($AU499="-&gt;",$BB499,$AS499))</f>
        <v/>
      </c>
      <c r="BK499" s="127" t="str">
        <f aca="false">IF(ISBLANK($C499),"",IF($BD499&lt;&gt;Constants!$B$6,$BD499,IF(ISNUMBER($BJ499),RANK($BJ499,$BJ$9:$BJ$508,1),COUNT($BJ$9:$BJ$508)+1)))</f>
        <v/>
      </c>
      <c r="BL499" s="130" t="str">
        <f aca="false">IF($BD499&lt;&gt;Constants!$B$6,"",IF($AU499="-&gt;",$BC499,$AT499))</f>
        <v/>
      </c>
      <c r="BM499" s="127" t="str">
        <f aca="false">IF(ISBLANK($C499),"",IF($BD499&lt;&gt;Constants!$B$6,$BD499,IF(ISNUMBER($BL499),RANK($BL499,$BL$9:$BL$508,1),COUNT($BL$9:$BL$508)+1)))</f>
        <v/>
      </c>
      <c r="BN499" s="130" t="str">
        <f aca="false">IF($BD499&lt;&gt;Constants!$B$6,"",IF($AU499="-&gt;",$AS499,$BB499))</f>
        <v/>
      </c>
      <c r="BO499" s="127" t="str">
        <f aca="false">IF(ISBLANK($C499),"",IF($BD499&lt;&gt;Constants!$B$6,$BD499,IF(ISNUMBER($BN499),RANK($BN499,$BN$9:$BN$508,1),COUNT($BN$9:$BN$508)+1)))</f>
        <v/>
      </c>
      <c r="BP499" s="130" t="str">
        <f aca="false">IF($BD499&lt;&gt;Constants!$B$6,"",IF($AU499="-&gt;",$AT499,$BC499))</f>
        <v/>
      </c>
      <c r="BQ499" s="127" t="str">
        <f aca="false">IF(ISBLANK($C499),"",IF($BD499&lt;&gt;Constants!$B$6,$BD499,IF(ISNUMBER($BP499),RANK($BP499,$BP$9:$BP$508,1),COUNT($BP$9:$BP$508)+1)))</f>
        <v/>
      </c>
      <c r="BR499" s="127" t="str">
        <f aca="false">IF(ISBLANK($C499),"",IF($BD499&lt;&gt;Constants!$B$6,$BD499,COUNTIFS($BI$9:$BI$508,"&lt;"&amp;$BI499)+COUNTIFS($BI$9:$BI$508,$BI499,$BK$9:$BK$508,"&lt;"&amp;$BK499)+COUNTIFS($BI$9:$BI$508,$BI499,$BK$9:$BK$508,$BK499,$BM$9:$BM$508,"&lt;"&amp;$BM499)+COUNTIFS($BI$9:$BI$508,$BI499,$BK$9:$BK$508,$BK499,$BM$9:$BM$508,$BM499,$BO$9:$BO$508,"&lt;"&amp;$BO499)+COUNTIFS($BI$9:$BI$508,$BI499,$BK$9:$BK$508,$BK499,$BM$9:$BM$508,$BM499,$BO$9:$BO$508,$BO499,$BQ$9:$BQ$508,"&lt;"&amp;$BQ499)+1))</f>
        <v/>
      </c>
      <c r="BS499" s="127" t="str">
        <f aca="false">IF(ISBLANK($C499),"",IF($BD499&lt;&gt;Constants!$B$6,$BD499,$BI499-$BR499))</f>
        <v/>
      </c>
      <c r="BT499" s="133"/>
      <c r="BU499" s="134"/>
      <c r="BV499" s="134" t="str">
        <f aca="false">IF(ISBLANK($C499),"",IF($BD499&lt;&gt;Constants!$B$6,"",IF($AU499="-&gt;",2,1)))</f>
        <v/>
      </c>
      <c r="BW499" s="135" t="str">
        <f aca="false">IF(ISBLANK($C499),"",IF($BD499&lt;&gt;Constants!$B$6,"",IF($AU499="-&gt;",$AW499,$AN499)))</f>
        <v/>
      </c>
      <c r="BX499" s="135" t="str">
        <f aca="false">IF(ISBLANK($C499),"",IF($BD499&lt;&gt;Constants!$B$6,"",IF($AU499="-&gt;",$AX499,$AO499)))</f>
        <v/>
      </c>
      <c r="BY499" s="135" t="str">
        <f aca="false">IF(ISBLANK($C499),"",IF($BD499&lt;&gt;Constants!$B$6,"",IF($AU499="-&gt;",$AY499,$AP499)))</f>
        <v/>
      </c>
      <c r="BZ499" s="135" t="str">
        <f aca="false">IF(ISBLANK($C499),"",IF($BD499&lt;&gt;Constants!$B$6,"",IF($AU499="-&gt;",$AZ499,$AQ499)+$BG499))</f>
        <v/>
      </c>
      <c r="CA499" s="136" t="str">
        <f aca="false">IF(ISBLANK($C499),"",IF($BD499&lt;&gt;Constants!$B$6,$BD499,$BH499))</f>
        <v/>
      </c>
      <c r="CB499" s="137" t="str">
        <f aca="false">IF(ISBLANK($C499),"",$BE499)</f>
        <v/>
      </c>
      <c r="CC499" s="138" t="str">
        <f aca="false">IF(ISBLANK($C499),"",$BS499)</f>
        <v/>
      </c>
      <c r="CD499" s="138" t="str">
        <f aca="false">IF(ISBLANK($C499),"",$BR499)</f>
        <v/>
      </c>
      <c r="CE499" s="139" t="str">
        <f aca="false">IF(ISBLANK($C499),"",IF($CD499=Constants!$B$9,COUNTA($C$9:$C$508)+2,IF($CD499=Constants!$B$8,COUNTA($C$9:$C$508)+1,IF($CD499=Constants!$B$7,COUNTA($C$9:$C$508),$CD499))))</f>
        <v/>
      </c>
      <c r="CF499" s="9"/>
      <c r="CG499" s="140" t="n">
        <f aca="false">IF(OR(ISNUMBER($CD499),$CD499=Constants!$B$9,$CD499=Constants!$B$7,$CD499=Constants!$B$8),1,0)</f>
        <v>0</v>
      </c>
      <c r="CH499" s="140" t="n">
        <v>491</v>
      </c>
      <c r="CI499" s="140" t="str">
        <f aca="false">IF(ISBLANK($C499),"",IF(ISNUMBER($CE499),$CE499+ROW($B499)/1000,""))</f>
        <v/>
      </c>
      <c r="CJ499" s="140" t="str">
        <f aca="false">IF(ISNUMBER($CI499),RANK($CI499,$CI$9:$CI$508,1),"")</f>
        <v/>
      </c>
      <c r="CK499" s="140" t="str">
        <f aca="false">IF(ISBLANK($C499),"",$B499)</f>
        <v/>
      </c>
      <c r="CL499" s="140" t="str">
        <f aca="false">IF(ISBLANK($C499),"",$C499)</f>
        <v/>
      </c>
      <c r="CM499" s="140" t="str">
        <f aca="false">IF(ISBLANK($C499),"",$D499)</f>
        <v/>
      </c>
      <c r="CN499" s="141" t="str">
        <f aca="false">$CB499</f>
        <v/>
      </c>
      <c r="CO499" s="142" t="str">
        <f aca="false">$CA499</f>
        <v/>
      </c>
      <c r="CP499" s="140" t="str">
        <f aca="false">IF(ISBLANK($C499),"",$CD499)</f>
        <v/>
      </c>
      <c r="CQ499" s="143" t="str">
        <f aca="false">IF($CH499&gt;$CG$8,"",VLOOKUP($CH499,$CJ$9:$CP$508,7,FALSE()))</f>
        <v/>
      </c>
      <c r="CR499" s="144" t="str">
        <f aca="false">IF($CH499&gt;$CG$8,"",VLOOKUP($CH499,$CJ$9:$CP$508,2,FALSE()))</f>
        <v/>
      </c>
      <c r="CS499" s="144" t="str">
        <f aca="false">IF($CH499&gt;$CG$8,"",VLOOKUP($CH499,$CJ$9:$CP$508,3,FALSE()))</f>
        <v/>
      </c>
      <c r="CT499" s="144" t="str">
        <f aca="false">IF($CH499&gt;$CG$8,"",VLOOKUP($CH499,$CJ$9:$CP$508,4,FALSE()))</f>
        <v/>
      </c>
      <c r="CU499" s="144" t="str">
        <f aca="false">IF($CH499&gt;$CG$8,"",VLOOKUP($CH499,$CJ$9:$CP$508,5,FALSE()))</f>
        <v/>
      </c>
      <c r="CV499" s="145" t="str">
        <f aca="false">IF($CH499&gt;$CG$8,"",VLOOKUP($CH499,$CJ$9:$CP$508,6,FALSE()))</f>
        <v/>
      </c>
      <c r="CW499" s="71"/>
    </row>
    <row r="500" customFormat="false" ht="15.75" hidden="false" customHeight="false" outlineLevel="0" collapsed="false">
      <c r="A500" s="9"/>
      <c r="B500" s="150"/>
      <c r="C500" s="151"/>
      <c r="D500" s="152"/>
      <c r="E500" s="170"/>
      <c r="F500" s="154"/>
      <c r="G500" s="155"/>
      <c r="H500" s="171"/>
      <c r="I500" s="159"/>
      <c r="J500" s="120"/>
      <c r="K500" s="121"/>
      <c r="L500" s="122"/>
      <c r="M500" s="158"/>
      <c r="N500" s="159"/>
      <c r="O500" s="159"/>
      <c r="P500" s="120"/>
      <c r="Q500" s="122"/>
      <c r="R500" s="122"/>
      <c r="S500" s="158"/>
      <c r="T500" s="159"/>
      <c r="U500" s="126"/>
      <c r="V500" s="127"/>
      <c r="W500" s="127" t="str">
        <f aca="false">IF(ISBLANK($C500),"",IF(E500=Constants!$B$2,TRUE(),IF(E500=Constants!$B$3,FALSE(),TRUE())))</f>
        <v/>
      </c>
      <c r="X500" s="127" t="str">
        <f aca="false">IF(ISBLANK($C500),"",IF(F500=Constants!$B$2,TRUE(),IF(F500=Constants!$B$3,FALSE(),TRUE())))</f>
        <v/>
      </c>
      <c r="Y500" s="127" t="str">
        <f aca="false">IF(ISBLANK($C500),"",IF(G500=Constants!$B$2,TRUE(),IF(G500=Constants!$B$3,FALSE(),TRUE())))</f>
        <v/>
      </c>
      <c r="Z500" s="127" t="str">
        <f aca="false">IF(ISBLANK($C500),"",IF(H500=Constants!$B$2,TRUE(),IF(H500=Constants!$B$3,FALSE(),TRUE())))</f>
        <v/>
      </c>
      <c r="AA500" s="127" t="str">
        <f aca="false">IF(ISBLANK($C500),"",IF(I500=Constants!$B$2,TRUE(),IF(I500=Constants!$B$3,FALSE(),TRUE())))</f>
        <v/>
      </c>
      <c r="AB500" s="127" t="str">
        <f aca="false">IF(ISBLANK($C500),"",IF(J500=Constants!$B$4,TRUE(),IF(J500=Constants!$B$5,FALSE(),COUNTA(K500:M500)&gt;0)))</f>
        <v/>
      </c>
      <c r="AC500" s="128" t="str">
        <f aca="false">IF(ISBLANK($C500),"",IF(ISNUMBER(K500),IF(K500&gt;=0,K500,""),""))</f>
        <v/>
      </c>
      <c r="AD500" s="129" t="str">
        <f aca="false">IF(ISBLANK($C500),"",IF(ISNUMBER(L500),IF(L500&gt;=0,L500,""),""))</f>
        <v/>
      </c>
      <c r="AE500" s="127" t="str">
        <f aca="false">IF(ISBLANK($C500),"",IF(ISNUMBER(M500),IF(M500&gt;=0,MIN(M500,Constants!$B$22),""),""))</f>
        <v/>
      </c>
      <c r="AF500" s="127" t="str">
        <f aca="false">IF(ISBLANK($C500),"",IF(N500=Constants!$B$2,TRUE(),IF(N500=Constants!$B$3,FALSE(),TRUE())))</f>
        <v/>
      </c>
      <c r="AG500" s="127" t="str">
        <f aca="false">IF(ISBLANK($C500),"",IF(O500=Constants!$B$2,TRUE(),IF(O500=Constants!$B$3,FALSE(),TRUE())))</f>
        <v/>
      </c>
      <c r="AH500" s="127" t="str">
        <f aca="false">IF(ISBLANK($C500),"",IF(P500=Constants!$B$4,TRUE(),IF(P500=Constants!$B$5,FALSE(),COUNTA(Q500:S500)&gt;0)))</f>
        <v/>
      </c>
      <c r="AI500" s="128" t="str">
        <f aca="false">IF(ISBLANK($C500),"",IF(ISNUMBER(Q500),IF(Q500&gt;=0,Q500,""),""))</f>
        <v/>
      </c>
      <c r="AJ500" s="129" t="str">
        <f aca="false">IF(ISBLANK($C500),"",IF(ISNUMBER(R500),IF(R500&gt;=0,R500,""),""))</f>
        <v/>
      </c>
      <c r="AK500" s="127" t="str">
        <f aca="false">IF(ISBLANK($C500),"",IF(ISNUMBER(S500),IF(S500&gt;=0,MIN(S500,Constants!$B$22),""),""))</f>
        <v/>
      </c>
      <c r="AL500" s="127" t="str">
        <f aca="false">IF(ISBLANK($C500),"",IF(T500=Constants!$B$2,TRUE(),IF(T500=Constants!$B$3,FALSE(),FALSE())))</f>
        <v/>
      </c>
      <c r="AM500" s="126" t="str">
        <f aca="false">IF(ISBLANK($C500),"",AND($AB500,OR($AC500="",$AD500="",AND(NOT(ISBLANK($M500)),$AE500=""))))</f>
        <v/>
      </c>
      <c r="AN500" s="129" t="str">
        <f aca="false">IF($BD500&lt;&gt;Constants!$B$6,"",IF($AB500,Constants!$B$17*$AD500,Constants!$B$18))</f>
        <v/>
      </c>
      <c r="AO500" s="130" t="str">
        <f aca="false">IF($BD500&lt;&gt;Constants!$B$6,"",Constants!$B$19*IF($AB500,$AC500,0))</f>
        <v/>
      </c>
      <c r="AP500" s="130" t="str">
        <f aca="false">IF($BD500&lt;&gt;Constants!$B$6,"",IF(AND($AB500,ISNUMBER($AE500)),Constants!$B$20*(Constants!$B$21-$AE500),0))</f>
        <v/>
      </c>
      <c r="AQ500" s="130" t="str">
        <f aca="false">IF($BD500&lt;&gt;Constants!$B$6,"",IF($AA500,0,Constants!$B$12)+IF($Z500,0,Constants!$B$13)+IF($Y500,0,Constants!$B$14))</f>
        <v/>
      </c>
      <c r="AR500" s="131" t="str">
        <f aca="false">IF($BD500&lt;&gt;Constants!$B$6,"",Constants!$B$16+SUM($AN500:$AQ500))</f>
        <v/>
      </c>
      <c r="AS500" s="130" t="str">
        <f aca="false">IF($BD500&lt;&gt;Constants!$B$6,"",IF($AB500,$AD500,""))</f>
        <v/>
      </c>
      <c r="AT500" s="132" t="str">
        <f aca="false">IF($BD500&lt;&gt;Constants!$B$6,"",$AO500)</f>
        <v/>
      </c>
      <c r="AU500" s="127" t="str">
        <f aca="false">IF($BD500&lt;&gt;Constants!$B$6,"",IF(OR($BA500&lt;$AR500,AND($BA500=$AR500,OR(AND(ISNUMBER($BB500),OR(NOT(ISNUMBER($AS500)),$BB500&lt;$AS500)),AND(OR(AND($BB500="",$AS500=""),AND(ISNUMBER($BB500),ISNUMBER($AS500),$BB500=$AS500)),$BC500&lt;$AT500)))),"-&gt;","&lt;-"))</f>
        <v/>
      </c>
      <c r="AV500" s="126" t="str">
        <f aca="false">IF(ISBLANK($C500),"",AND($AH500,OR($AI500="",$AJ500="",AND(NOT(ISBLANK($S500)),$AK500=""))))</f>
        <v/>
      </c>
      <c r="AW500" s="129" t="str">
        <f aca="false">IF($BD500&lt;&gt;Constants!$B$6,"",IF($AH500,Constants!$B$17*$AJ500,Constants!$B$18))</f>
        <v/>
      </c>
      <c r="AX500" s="130" t="str">
        <f aca="false">IF($BD500&lt;&gt;Constants!$B$6,"",Constants!$B$19*IF($AH500,$AI500,0))</f>
        <v/>
      </c>
      <c r="AY500" s="130" t="str">
        <f aca="false">IF($BD500&lt;&gt;Constants!$B$6,"",IF(AND($AH500,ISNUMBER($AK500)),Constants!$B$20*(Constants!$B$21-$AK500),0))</f>
        <v/>
      </c>
      <c r="AZ500" s="130" t="str">
        <f aca="false">IF($BD500&lt;&gt;Constants!$B$6,"",IF($AG500,0,Constants!$B$12)+IF($AF500,0,Constants!$B$13)+IF($Y500,0,Constants!$B$14))</f>
        <v/>
      </c>
      <c r="BA500" s="131" t="str">
        <f aca="false">IF($BD500&lt;&gt;Constants!$B$6,"",Constants!$B$16+SUM($AW500:$AZ500))</f>
        <v/>
      </c>
      <c r="BB500" s="130" t="str">
        <f aca="false">IF($BD500&lt;&gt;Constants!$B$6,"",IF($AH500,$AJ500,""))</f>
        <v/>
      </c>
      <c r="BC500" s="132" t="str">
        <f aca="false">IF($BD500&lt;&gt;Constants!$B$6,"",$AX500)</f>
        <v/>
      </c>
      <c r="BD500" s="127" t="str">
        <f aca="false">IF(ISBLANK($C500),"",IF($AL500,Constants!$B$9,IF(COUNTA($E500:$T500)=0,Constants!$B$8,IF(NOT($X500),Constants!$B$7,IF(OR($AM500,$AV500),Constants!$B$10,Constants!$B$6)))))</f>
        <v/>
      </c>
      <c r="BE500" s="127" t="str">
        <f aca="false">IF(ISBLANK($C500),"",IF($BD500&lt;&gt;Constants!$B$6,$BD500,Constants!$B$11))</f>
        <v/>
      </c>
      <c r="BF500" s="130" t="str">
        <f aca="false">IF($BD500&lt;&gt;Constants!$B$6,"",IF($AU500="-&gt;",$BA500,$AR500))</f>
        <v/>
      </c>
      <c r="BG500" s="130" t="str">
        <f aca="false">IF($BD500&lt;&gt;Constants!$B$6,"",IF($W500,0,Constants!$B$15))</f>
        <v/>
      </c>
      <c r="BH500" s="130" t="str">
        <f aca="false">IF(ISBLANK($C500),"",IF($BD500&lt;&gt;Constants!$B$6,$BD500,SUM($BF500:$BG500)))</f>
        <v/>
      </c>
      <c r="BI500" s="127" t="str">
        <f aca="false">IF(ISBLANK($C500),"",IF($BD500&lt;&gt;Constants!$B$6,$BD500,RANK($BH500,$BH$9:$BH$508,1)))</f>
        <v/>
      </c>
      <c r="BJ500" s="130" t="str">
        <f aca="false">IF($BD500&lt;&gt;Constants!$B$6,"",IF($AU500="-&gt;",$BB500,$AS500))</f>
        <v/>
      </c>
      <c r="BK500" s="127" t="str">
        <f aca="false">IF(ISBLANK($C500),"",IF($BD500&lt;&gt;Constants!$B$6,$BD500,IF(ISNUMBER($BJ500),RANK($BJ500,$BJ$9:$BJ$508,1),COUNT($BJ$9:$BJ$508)+1)))</f>
        <v/>
      </c>
      <c r="BL500" s="130" t="str">
        <f aca="false">IF($BD500&lt;&gt;Constants!$B$6,"",IF($AU500="-&gt;",$BC500,$AT500))</f>
        <v/>
      </c>
      <c r="BM500" s="127" t="str">
        <f aca="false">IF(ISBLANK($C500),"",IF($BD500&lt;&gt;Constants!$B$6,$BD500,IF(ISNUMBER($BL500),RANK($BL500,$BL$9:$BL$508,1),COUNT($BL$9:$BL$508)+1)))</f>
        <v/>
      </c>
      <c r="BN500" s="130" t="str">
        <f aca="false">IF($BD500&lt;&gt;Constants!$B$6,"",IF($AU500="-&gt;",$AS500,$BB500))</f>
        <v/>
      </c>
      <c r="BO500" s="127" t="str">
        <f aca="false">IF(ISBLANK($C500),"",IF($BD500&lt;&gt;Constants!$B$6,$BD500,IF(ISNUMBER($BN500),RANK($BN500,$BN$9:$BN$508,1),COUNT($BN$9:$BN$508)+1)))</f>
        <v/>
      </c>
      <c r="BP500" s="130" t="str">
        <f aca="false">IF($BD500&lt;&gt;Constants!$B$6,"",IF($AU500="-&gt;",$AT500,$BC500))</f>
        <v/>
      </c>
      <c r="BQ500" s="127" t="str">
        <f aca="false">IF(ISBLANK($C500),"",IF($BD500&lt;&gt;Constants!$B$6,$BD500,IF(ISNUMBER($BP500),RANK($BP500,$BP$9:$BP$508,1),COUNT($BP$9:$BP$508)+1)))</f>
        <v/>
      </c>
      <c r="BR500" s="127" t="str">
        <f aca="false">IF(ISBLANK($C500),"",IF($BD500&lt;&gt;Constants!$B$6,$BD500,COUNTIFS($BI$9:$BI$508,"&lt;"&amp;$BI500)+COUNTIFS($BI$9:$BI$508,$BI500,$BK$9:$BK$508,"&lt;"&amp;$BK500)+COUNTIFS($BI$9:$BI$508,$BI500,$BK$9:$BK$508,$BK500,$BM$9:$BM$508,"&lt;"&amp;$BM500)+COUNTIFS($BI$9:$BI$508,$BI500,$BK$9:$BK$508,$BK500,$BM$9:$BM$508,$BM500,$BO$9:$BO$508,"&lt;"&amp;$BO500)+COUNTIFS($BI$9:$BI$508,$BI500,$BK$9:$BK$508,$BK500,$BM$9:$BM$508,$BM500,$BO$9:$BO$508,$BO500,$BQ$9:$BQ$508,"&lt;"&amp;$BQ500)+1))</f>
        <v/>
      </c>
      <c r="BS500" s="127" t="str">
        <f aca="false">IF(ISBLANK($C500),"",IF($BD500&lt;&gt;Constants!$B$6,$BD500,$BI500-$BR500))</f>
        <v/>
      </c>
      <c r="BT500" s="133"/>
      <c r="BU500" s="134"/>
      <c r="BV500" s="134" t="str">
        <f aca="false">IF(ISBLANK($C500),"",IF($BD500&lt;&gt;Constants!$B$6,"",IF($AU500="-&gt;",2,1)))</f>
        <v/>
      </c>
      <c r="BW500" s="135" t="str">
        <f aca="false">IF(ISBLANK($C500),"",IF($BD500&lt;&gt;Constants!$B$6,"",IF($AU500="-&gt;",$AW500,$AN500)))</f>
        <v/>
      </c>
      <c r="BX500" s="135" t="str">
        <f aca="false">IF(ISBLANK($C500),"",IF($BD500&lt;&gt;Constants!$B$6,"",IF($AU500="-&gt;",$AX500,$AO500)))</f>
        <v/>
      </c>
      <c r="BY500" s="135" t="str">
        <f aca="false">IF(ISBLANK($C500),"",IF($BD500&lt;&gt;Constants!$B$6,"",IF($AU500="-&gt;",$AY500,$AP500)))</f>
        <v/>
      </c>
      <c r="BZ500" s="135" t="str">
        <f aca="false">IF(ISBLANK($C500),"",IF($BD500&lt;&gt;Constants!$B$6,"",IF($AU500="-&gt;",$AZ500,$AQ500)+$BG500))</f>
        <v/>
      </c>
      <c r="CA500" s="136" t="str">
        <f aca="false">IF(ISBLANK($C500),"",IF($BD500&lt;&gt;Constants!$B$6,$BD500,$BH500))</f>
        <v/>
      </c>
      <c r="CB500" s="137" t="str">
        <f aca="false">IF(ISBLANK($C500),"",$BE500)</f>
        <v/>
      </c>
      <c r="CC500" s="138" t="str">
        <f aca="false">IF(ISBLANK($C500),"",$BS500)</f>
        <v/>
      </c>
      <c r="CD500" s="138" t="str">
        <f aca="false">IF(ISBLANK($C500),"",$BR500)</f>
        <v/>
      </c>
      <c r="CE500" s="139" t="str">
        <f aca="false">IF(ISBLANK($C500),"",IF($CD500=Constants!$B$9,COUNTA($C$9:$C$508)+2,IF($CD500=Constants!$B$8,COUNTA($C$9:$C$508)+1,IF($CD500=Constants!$B$7,COUNTA($C$9:$C$508),$CD500))))</f>
        <v/>
      </c>
      <c r="CF500" s="9"/>
      <c r="CG500" s="140" t="n">
        <f aca="false">IF(OR(ISNUMBER($CD500),$CD500=Constants!$B$9,$CD500=Constants!$B$7,$CD500=Constants!$B$8),1,0)</f>
        <v>0</v>
      </c>
      <c r="CH500" s="140" t="n">
        <v>492</v>
      </c>
      <c r="CI500" s="140" t="str">
        <f aca="false">IF(ISBLANK($C500),"",IF(ISNUMBER($CE500),$CE500+ROW($B500)/1000,""))</f>
        <v/>
      </c>
      <c r="CJ500" s="140" t="str">
        <f aca="false">IF(ISNUMBER($CI500),RANK($CI500,$CI$9:$CI$508,1),"")</f>
        <v/>
      </c>
      <c r="CK500" s="140" t="str">
        <f aca="false">IF(ISBLANK($C500),"",$B500)</f>
        <v/>
      </c>
      <c r="CL500" s="140" t="str">
        <f aca="false">IF(ISBLANK($C500),"",$C500)</f>
        <v/>
      </c>
      <c r="CM500" s="140" t="str">
        <f aca="false">IF(ISBLANK($C500),"",$D500)</f>
        <v/>
      </c>
      <c r="CN500" s="141" t="str">
        <f aca="false">$CB500</f>
        <v/>
      </c>
      <c r="CO500" s="142" t="str">
        <f aca="false">$CA500</f>
        <v/>
      </c>
      <c r="CP500" s="140" t="str">
        <f aca="false">IF(ISBLANK($C500),"",$CD500)</f>
        <v/>
      </c>
      <c r="CQ500" s="143" t="str">
        <f aca="false">IF($CH500&gt;$CG$8,"",VLOOKUP($CH500,$CJ$9:$CP$508,7,FALSE()))</f>
        <v/>
      </c>
      <c r="CR500" s="144" t="str">
        <f aca="false">IF($CH500&gt;$CG$8,"",VLOOKUP($CH500,$CJ$9:$CP$508,2,FALSE()))</f>
        <v/>
      </c>
      <c r="CS500" s="144" t="str">
        <f aca="false">IF($CH500&gt;$CG$8,"",VLOOKUP($CH500,$CJ$9:$CP$508,3,FALSE()))</f>
        <v/>
      </c>
      <c r="CT500" s="144" t="str">
        <f aca="false">IF($CH500&gt;$CG$8,"",VLOOKUP($CH500,$CJ$9:$CP$508,4,FALSE()))</f>
        <v/>
      </c>
      <c r="CU500" s="144" t="str">
        <f aca="false">IF($CH500&gt;$CG$8,"",VLOOKUP($CH500,$CJ$9:$CP$508,5,FALSE()))</f>
        <v/>
      </c>
      <c r="CV500" s="145" t="str">
        <f aca="false">IF($CH500&gt;$CG$8,"",VLOOKUP($CH500,$CJ$9:$CP$508,6,FALSE()))</f>
        <v/>
      </c>
      <c r="CW500" s="71"/>
    </row>
    <row r="501" customFormat="false" ht="15.75" hidden="false" customHeight="false" outlineLevel="0" collapsed="false">
      <c r="A501" s="9"/>
      <c r="B501" s="72"/>
      <c r="C501" s="73"/>
      <c r="D501" s="160"/>
      <c r="E501" s="168"/>
      <c r="F501" s="162"/>
      <c r="G501" s="163"/>
      <c r="H501" s="169"/>
      <c r="I501" s="167"/>
      <c r="J501" s="80"/>
      <c r="K501" s="81"/>
      <c r="L501" s="82"/>
      <c r="M501" s="166"/>
      <c r="N501" s="167"/>
      <c r="O501" s="167"/>
      <c r="P501" s="80"/>
      <c r="Q501" s="82"/>
      <c r="R501" s="82"/>
      <c r="S501" s="166"/>
      <c r="T501" s="167"/>
      <c r="U501" s="86"/>
      <c r="V501" s="87"/>
      <c r="W501" s="87" t="str">
        <f aca="false">IF(ISBLANK($C501),"",IF(E501=Constants!$B$2,TRUE(),IF(E501=Constants!$B$3,FALSE(),TRUE())))</f>
        <v/>
      </c>
      <c r="X501" s="87" t="str">
        <f aca="false">IF(ISBLANK($C501),"",IF(F501=Constants!$B$2,TRUE(),IF(F501=Constants!$B$3,FALSE(),TRUE())))</f>
        <v/>
      </c>
      <c r="Y501" s="87" t="str">
        <f aca="false">IF(ISBLANK($C501),"",IF(G501=Constants!$B$2,TRUE(),IF(G501=Constants!$B$3,FALSE(),TRUE())))</f>
        <v/>
      </c>
      <c r="Z501" s="87" t="str">
        <f aca="false">IF(ISBLANK($C501),"",IF(H501=Constants!$B$2,TRUE(),IF(H501=Constants!$B$3,FALSE(),TRUE())))</f>
        <v/>
      </c>
      <c r="AA501" s="87" t="str">
        <f aca="false">IF(ISBLANK($C501),"",IF(I501=Constants!$B$2,TRUE(),IF(I501=Constants!$B$3,FALSE(),TRUE())))</f>
        <v/>
      </c>
      <c r="AB501" s="87" t="str">
        <f aca="false">IF(ISBLANK($C501),"",IF(J501=Constants!$B$4,TRUE(),IF(J501=Constants!$B$5,FALSE(),COUNTA(K501:M501)&gt;0)))</f>
        <v/>
      </c>
      <c r="AC501" s="88" t="str">
        <f aca="false">IF(ISBLANK($C501),"",IF(ISNUMBER(K501),IF(K501&gt;=0,K501,""),""))</f>
        <v/>
      </c>
      <c r="AD501" s="89" t="str">
        <f aca="false">IF(ISBLANK($C501),"",IF(ISNUMBER(L501),IF(L501&gt;=0,L501,""),""))</f>
        <v/>
      </c>
      <c r="AE501" s="87" t="str">
        <f aca="false">IF(ISBLANK($C501),"",IF(ISNUMBER(M501),IF(M501&gt;=0,MIN(M501,Constants!$B$22),""),""))</f>
        <v/>
      </c>
      <c r="AF501" s="87" t="str">
        <f aca="false">IF(ISBLANK($C501),"",IF(N501=Constants!$B$2,TRUE(),IF(N501=Constants!$B$3,FALSE(),TRUE())))</f>
        <v/>
      </c>
      <c r="AG501" s="87" t="str">
        <f aca="false">IF(ISBLANK($C501),"",IF(O501=Constants!$B$2,TRUE(),IF(O501=Constants!$B$3,FALSE(),TRUE())))</f>
        <v/>
      </c>
      <c r="AH501" s="87" t="str">
        <f aca="false">IF(ISBLANK($C501),"",IF(P501=Constants!$B$4,TRUE(),IF(P501=Constants!$B$5,FALSE(),COUNTA(Q501:S501)&gt;0)))</f>
        <v/>
      </c>
      <c r="AI501" s="88" t="str">
        <f aca="false">IF(ISBLANK($C501),"",IF(ISNUMBER(Q501),IF(Q501&gt;=0,Q501,""),""))</f>
        <v/>
      </c>
      <c r="AJ501" s="89" t="str">
        <f aca="false">IF(ISBLANK($C501),"",IF(ISNUMBER(R501),IF(R501&gt;=0,R501,""),""))</f>
        <v/>
      </c>
      <c r="AK501" s="87" t="str">
        <f aca="false">IF(ISBLANK($C501),"",IF(ISNUMBER(S501),IF(S501&gt;=0,MIN(S501,Constants!$B$22),""),""))</f>
        <v/>
      </c>
      <c r="AL501" s="87" t="str">
        <f aca="false">IF(ISBLANK($C501),"",IF(T501=Constants!$B$2,TRUE(),IF(T501=Constants!$B$3,FALSE(),FALSE())))</f>
        <v/>
      </c>
      <c r="AM501" s="86" t="str">
        <f aca="false">IF(ISBLANK($C501),"",AND($AB501,OR($AC501="",$AD501="",AND(NOT(ISBLANK($M501)),$AE501=""))))</f>
        <v/>
      </c>
      <c r="AN501" s="89" t="str">
        <f aca="false">IF($BD501&lt;&gt;Constants!$B$6,"",IF($AB501,Constants!$B$17*$AD501,Constants!$B$18))</f>
        <v/>
      </c>
      <c r="AO501" s="91" t="str">
        <f aca="false">IF($BD501&lt;&gt;Constants!$B$6,"",Constants!$B$19*IF($AB501,$AC501,0))</f>
        <v/>
      </c>
      <c r="AP501" s="91" t="str">
        <f aca="false">IF($BD501&lt;&gt;Constants!$B$6,"",IF(AND($AB501,ISNUMBER($AE501)),Constants!$B$20*(Constants!$B$21-$AE501),0))</f>
        <v/>
      </c>
      <c r="AQ501" s="91" t="str">
        <f aca="false">IF($BD501&lt;&gt;Constants!$B$6,"",IF($AA501,0,Constants!$B$12)+IF($Z501,0,Constants!$B$13)+IF($Y501,0,Constants!$B$14))</f>
        <v/>
      </c>
      <c r="AR501" s="92" t="str">
        <f aca="false">IF($BD501&lt;&gt;Constants!$B$6,"",Constants!$B$16+SUM($AN501:$AQ501))</f>
        <v/>
      </c>
      <c r="AS501" s="91" t="str">
        <f aca="false">IF($BD501&lt;&gt;Constants!$B$6,"",IF($AB501,$AD501,""))</f>
        <v/>
      </c>
      <c r="AT501" s="93" t="str">
        <f aca="false">IF($BD501&lt;&gt;Constants!$B$6,"",$AO501)</f>
        <v/>
      </c>
      <c r="AU501" s="87" t="str">
        <f aca="false">IF($BD501&lt;&gt;Constants!$B$6,"",IF(OR($BA501&lt;$AR501,AND($BA501=$AR501,OR(AND(ISNUMBER($BB501),OR(NOT(ISNUMBER($AS501)),$BB501&lt;$AS501)),AND(OR(AND($BB501="",$AS501=""),AND(ISNUMBER($BB501),ISNUMBER($AS501),$BB501=$AS501)),$BC501&lt;$AT501)))),"-&gt;","&lt;-"))</f>
        <v/>
      </c>
      <c r="AV501" s="86" t="str">
        <f aca="false">IF(ISBLANK($C501),"",AND($AH501,OR($AI501="",$AJ501="",AND(NOT(ISBLANK($S501)),$AK501=""))))</f>
        <v/>
      </c>
      <c r="AW501" s="89" t="str">
        <f aca="false">IF($BD501&lt;&gt;Constants!$B$6,"",IF($AH501,Constants!$B$17*$AJ501,Constants!$B$18))</f>
        <v/>
      </c>
      <c r="AX501" s="91" t="str">
        <f aca="false">IF($BD501&lt;&gt;Constants!$B$6,"",Constants!$B$19*IF($AH501,$AI501,0))</f>
        <v/>
      </c>
      <c r="AY501" s="91" t="str">
        <f aca="false">IF($BD501&lt;&gt;Constants!$B$6,"",IF(AND($AH501,ISNUMBER($AK501)),Constants!$B$20*(Constants!$B$21-$AK501),0))</f>
        <v/>
      </c>
      <c r="AZ501" s="91" t="str">
        <f aca="false">IF($BD501&lt;&gt;Constants!$B$6,"",IF($AG501,0,Constants!$B$12)+IF($AF501,0,Constants!$B$13)+IF($Y501,0,Constants!$B$14))</f>
        <v/>
      </c>
      <c r="BA501" s="92" t="str">
        <f aca="false">IF($BD501&lt;&gt;Constants!$B$6,"",Constants!$B$16+SUM($AW501:$AZ501))</f>
        <v/>
      </c>
      <c r="BB501" s="91" t="str">
        <f aca="false">IF($BD501&lt;&gt;Constants!$B$6,"",IF($AH501,$AJ501,""))</f>
        <v/>
      </c>
      <c r="BC501" s="93" t="str">
        <f aca="false">IF($BD501&lt;&gt;Constants!$B$6,"",$AX501)</f>
        <v/>
      </c>
      <c r="BD501" s="87" t="str">
        <f aca="false">IF(ISBLANK($C501),"",IF($AL501,Constants!$B$9,IF(COUNTA($E501:$T501)=0,Constants!$B$8,IF(NOT($X501),Constants!$B$7,IF(OR($AM501,$AV501),Constants!$B$10,Constants!$B$6)))))</f>
        <v/>
      </c>
      <c r="BE501" s="87" t="str">
        <f aca="false">IF(ISBLANK($C501),"",IF($BD501&lt;&gt;Constants!$B$6,$BD501,Constants!$B$11))</f>
        <v/>
      </c>
      <c r="BF501" s="91" t="str">
        <f aca="false">IF($BD501&lt;&gt;Constants!$B$6,"",IF($AU501="-&gt;",$BA501,$AR501))</f>
        <v/>
      </c>
      <c r="BG501" s="91" t="str">
        <f aca="false">IF($BD501&lt;&gt;Constants!$B$6,"",IF($W501,0,Constants!$B$15))</f>
        <v/>
      </c>
      <c r="BH501" s="91" t="str">
        <f aca="false">IF(ISBLANK($C501),"",IF($BD501&lt;&gt;Constants!$B$6,$BD501,SUM($BF501:$BG501)))</f>
        <v/>
      </c>
      <c r="BI501" s="87" t="str">
        <f aca="false">IF(ISBLANK($C501),"",IF($BD501&lt;&gt;Constants!$B$6,$BD501,RANK($BH501,$BH$9:$BH$508,1)))</f>
        <v/>
      </c>
      <c r="BJ501" s="91" t="str">
        <f aca="false">IF($BD501&lt;&gt;Constants!$B$6,"",IF($AU501="-&gt;",$BB501,$AS501))</f>
        <v/>
      </c>
      <c r="BK501" s="87" t="str">
        <f aca="false">IF(ISBLANK($C501),"",IF($BD501&lt;&gt;Constants!$B$6,$BD501,IF(ISNUMBER($BJ501),RANK($BJ501,$BJ$9:$BJ$508,1),COUNT($BJ$9:$BJ$508)+1)))</f>
        <v/>
      </c>
      <c r="BL501" s="91" t="str">
        <f aca="false">IF($BD501&lt;&gt;Constants!$B$6,"",IF($AU501="-&gt;",$BC501,$AT501))</f>
        <v/>
      </c>
      <c r="BM501" s="87" t="str">
        <f aca="false">IF(ISBLANK($C501),"",IF($BD501&lt;&gt;Constants!$B$6,$BD501,IF(ISNUMBER($BL501),RANK($BL501,$BL$9:$BL$508,1),COUNT($BL$9:$BL$508)+1)))</f>
        <v/>
      </c>
      <c r="BN501" s="91" t="str">
        <f aca="false">IF($BD501&lt;&gt;Constants!$B$6,"",IF($AU501="-&gt;",$AS501,$BB501))</f>
        <v/>
      </c>
      <c r="BO501" s="87" t="str">
        <f aca="false">IF(ISBLANK($C501),"",IF($BD501&lt;&gt;Constants!$B$6,$BD501,IF(ISNUMBER($BN501),RANK($BN501,$BN$9:$BN$508,1),COUNT($BN$9:$BN$508)+1)))</f>
        <v/>
      </c>
      <c r="BP501" s="91" t="str">
        <f aca="false">IF($BD501&lt;&gt;Constants!$B$6,"",IF($AU501="-&gt;",$AT501,$BC501))</f>
        <v/>
      </c>
      <c r="BQ501" s="87" t="str">
        <f aca="false">IF(ISBLANK($C501),"",IF($BD501&lt;&gt;Constants!$B$6,$BD501,IF(ISNUMBER($BP501),RANK($BP501,$BP$9:$BP$508,1),COUNT($BP$9:$BP$508)+1)))</f>
        <v/>
      </c>
      <c r="BR501" s="87" t="str">
        <f aca="false">IF(ISBLANK($C501),"",IF($BD501&lt;&gt;Constants!$B$6,$BD501,COUNTIFS($BI$9:$BI$508,"&lt;"&amp;$BI501)+COUNTIFS($BI$9:$BI$508,$BI501,$BK$9:$BK$508,"&lt;"&amp;$BK501)+COUNTIFS($BI$9:$BI$508,$BI501,$BK$9:$BK$508,$BK501,$BM$9:$BM$508,"&lt;"&amp;$BM501)+COUNTIFS($BI$9:$BI$508,$BI501,$BK$9:$BK$508,$BK501,$BM$9:$BM$508,$BM501,$BO$9:$BO$508,"&lt;"&amp;$BO501)+COUNTIFS($BI$9:$BI$508,$BI501,$BK$9:$BK$508,$BK501,$BM$9:$BM$508,$BM501,$BO$9:$BO$508,$BO501,$BQ$9:$BQ$508,"&lt;"&amp;$BQ501)+1))</f>
        <v/>
      </c>
      <c r="BS501" s="87" t="str">
        <f aca="false">IF(ISBLANK($C501),"",IF($BD501&lt;&gt;Constants!$B$6,$BD501,$BI501-$BR501))</f>
        <v/>
      </c>
      <c r="BT501" s="94"/>
      <c r="BU501" s="95"/>
      <c r="BV501" s="95" t="str">
        <f aca="false">IF(ISBLANK($C501),"",IF($BD501&lt;&gt;Constants!$B$6,"",IF($AU501="-&gt;",2,1)))</f>
        <v/>
      </c>
      <c r="BW501" s="96" t="str">
        <f aca="false">IF(ISBLANK($C501),"",IF($BD501&lt;&gt;Constants!$B$6,"",IF($AU501="-&gt;",$AW501,$AN501)))</f>
        <v/>
      </c>
      <c r="BX501" s="96" t="str">
        <f aca="false">IF(ISBLANK($C501),"",IF($BD501&lt;&gt;Constants!$B$6,"",IF($AU501="-&gt;",$AX501,$AO501)))</f>
        <v/>
      </c>
      <c r="BY501" s="96" t="str">
        <f aca="false">IF(ISBLANK($C501),"",IF($BD501&lt;&gt;Constants!$B$6,"",IF($AU501="-&gt;",$AY501,$AP501)))</f>
        <v/>
      </c>
      <c r="BZ501" s="96" t="str">
        <f aca="false">IF(ISBLANK($C501),"",IF($BD501&lt;&gt;Constants!$B$6,"",IF($AU501="-&gt;",$AZ501,$AQ501)+$BG501))</f>
        <v/>
      </c>
      <c r="CA501" s="97" t="str">
        <f aca="false">IF(ISBLANK($C501),"",IF($BD501&lt;&gt;Constants!$B$6,$BD501,$BH501))</f>
        <v/>
      </c>
      <c r="CB501" s="98" t="str">
        <f aca="false">IF(ISBLANK($C501),"",$BE501)</f>
        <v/>
      </c>
      <c r="CC501" s="99" t="str">
        <f aca="false">IF(ISBLANK($C501),"",$BS501)</f>
        <v/>
      </c>
      <c r="CD501" s="99" t="str">
        <f aca="false">IF(ISBLANK($C501),"",$BR501)</f>
        <v/>
      </c>
      <c r="CE501" s="100" t="str">
        <f aca="false">IF(ISBLANK($C501),"",IF($CD501=Constants!$B$9,COUNTA($C$9:$C$508)+2,IF($CD501=Constants!$B$8,COUNTA($C$9:$C$508)+1,IF($CD501=Constants!$B$7,COUNTA($C$9:$C$508),$CD501))))</f>
        <v/>
      </c>
      <c r="CF501" s="9"/>
      <c r="CG501" s="101" t="n">
        <f aca="false">IF(OR(ISNUMBER($CD501),$CD501=Constants!$B$9,$CD501=Constants!$B$7,$CD501=Constants!$B$8),1,0)</f>
        <v>0</v>
      </c>
      <c r="CH501" s="101" t="n">
        <v>493</v>
      </c>
      <c r="CI501" s="101" t="str">
        <f aca="false">IF(ISBLANK($C501),"",IF(ISNUMBER($CE501),$CE501+ROW($B501)/1000,""))</f>
        <v/>
      </c>
      <c r="CJ501" s="101" t="str">
        <f aca="false">IF(ISNUMBER($CI501),RANK($CI501,$CI$9:$CI$508,1),"")</f>
        <v/>
      </c>
      <c r="CK501" s="101" t="str">
        <f aca="false">IF(ISBLANK($C501),"",$B501)</f>
        <v/>
      </c>
      <c r="CL501" s="101" t="str">
        <f aca="false">IF(ISBLANK($C501),"",$C501)</f>
        <v/>
      </c>
      <c r="CM501" s="101" t="str">
        <f aca="false">IF(ISBLANK($C501),"",$D501)</f>
        <v/>
      </c>
      <c r="CN501" s="102" t="str">
        <f aca="false">$CB501</f>
        <v/>
      </c>
      <c r="CO501" s="103" t="str">
        <f aca="false">$CA501</f>
        <v/>
      </c>
      <c r="CP501" s="101" t="str">
        <f aca="false">IF(ISBLANK($C501),"",$CD501)</f>
        <v/>
      </c>
      <c r="CQ501" s="104" t="str">
        <f aca="false">IF($CH501&gt;$CG$8,"",VLOOKUP($CH501,$CJ$9:$CP$508,7,FALSE()))</f>
        <v/>
      </c>
      <c r="CR501" s="105" t="str">
        <f aca="false">IF($CH501&gt;$CG$8,"",VLOOKUP($CH501,$CJ$9:$CP$508,2,FALSE()))</f>
        <v/>
      </c>
      <c r="CS501" s="105" t="str">
        <f aca="false">IF($CH501&gt;$CG$8,"",VLOOKUP($CH501,$CJ$9:$CP$508,3,FALSE()))</f>
        <v/>
      </c>
      <c r="CT501" s="105" t="str">
        <f aca="false">IF($CH501&gt;$CG$8,"",VLOOKUP($CH501,$CJ$9:$CP$508,4,FALSE()))</f>
        <v/>
      </c>
      <c r="CU501" s="105" t="str">
        <f aca="false">IF($CH501&gt;$CG$8,"",VLOOKUP($CH501,$CJ$9:$CP$508,5,FALSE()))</f>
        <v/>
      </c>
      <c r="CV501" s="106" t="str">
        <f aca="false">IF($CH501&gt;$CG$8,"",VLOOKUP($CH501,$CJ$9:$CP$508,6,FALSE()))</f>
        <v/>
      </c>
      <c r="CW501" s="71"/>
    </row>
    <row r="502" customFormat="false" ht="15.75" hidden="false" customHeight="false" outlineLevel="0" collapsed="false">
      <c r="A502" s="9"/>
      <c r="B502" s="72"/>
      <c r="C502" s="73"/>
      <c r="D502" s="160"/>
      <c r="E502" s="168"/>
      <c r="F502" s="162"/>
      <c r="G502" s="163"/>
      <c r="H502" s="169"/>
      <c r="I502" s="167"/>
      <c r="J502" s="80"/>
      <c r="K502" s="81"/>
      <c r="L502" s="82"/>
      <c r="M502" s="166"/>
      <c r="N502" s="167"/>
      <c r="O502" s="167"/>
      <c r="P502" s="80"/>
      <c r="Q502" s="82"/>
      <c r="R502" s="82"/>
      <c r="S502" s="166"/>
      <c r="T502" s="167"/>
      <c r="U502" s="86"/>
      <c r="V502" s="87"/>
      <c r="W502" s="87" t="str">
        <f aca="false">IF(ISBLANK($C502),"",IF(E502=Constants!$B$2,TRUE(),IF(E502=Constants!$B$3,FALSE(),TRUE())))</f>
        <v/>
      </c>
      <c r="X502" s="87" t="str">
        <f aca="false">IF(ISBLANK($C502),"",IF(F502=Constants!$B$2,TRUE(),IF(F502=Constants!$B$3,FALSE(),TRUE())))</f>
        <v/>
      </c>
      <c r="Y502" s="87" t="str">
        <f aca="false">IF(ISBLANK($C502),"",IF(G502=Constants!$B$2,TRUE(),IF(G502=Constants!$B$3,FALSE(),TRUE())))</f>
        <v/>
      </c>
      <c r="Z502" s="87" t="str">
        <f aca="false">IF(ISBLANK($C502),"",IF(H502=Constants!$B$2,TRUE(),IF(H502=Constants!$B$3,FALSE(),TRUE())))</f>
        <v/>
      </c>
      <c r="AA502" s="87" t="str">
        <f aca="false">IF(ISBLANK($C502),"",IF(I502=Constants!$B$2,TRUE(),IF(I502=Constants!$B$3,FALSE(),TRUE())))</f>
        <v/>
      </c>
      <c r="AB502" s="87" t="str">
        <f aca="false">IF(ISBLANK($C502),"",IF(J502=Constants!$B$4,TRUE(),IF(J502=Constants!$B$5,FALSE(),COUNTA(K502:M502)&gt;0)))</f>
        <v/>
      </c>
      <c r="AC502" s="88" t="str">
        <f aca="false">IF(ISBLANK($C502),"",IF(ISNUMBER(K502),IF(K502&gt;=0,K502,""),""))</f>
        <v/>
      </c>
      <c r="AD502" s="89" t="str">
        <f aca="false">IF(ISBLANK($C502),"",IF(ISNUMBER(L502),IF(L502&gt;=0,L502,""),""))</f>
        <v/>
      </c>
      <c r="AE502" s="87" t="str">
        <f aca="false">IF(ISBLANK($C502),"",IF(ISNUMBER(M502),IF(M502&gt;=0,MIN(M502,Constants!$B$22),""),""))</f>
        <v/>
      </c>
      <c r="AF502" s="87" t="str">
        <f aca="false">IF(ISBLANK($C502),"",IF(N502=Constants!$B$2,TRUE(),IF(N502=Constants!$B$3,FALSE(),TRUE())))</f>
        <v/>
      </c>
      <c r="AG502" s="87" t="str">
        <f aca="false">IF(ISBLANK($C502),"",IF(O502=Constants!$B$2,TRUE(),IF(O502=Constants!$B$3,FALSE(),TRUE())))</f>
        <v/>
      </c>
      <c r="AH502" s="87" t="str">
        <f aca="false">IF(ISBLANK($C502),"",IF(P502=Constants!$B$4,TRUE(),IF(P502=Constants!$B$5,FALSE(),COUNTA(Q502:S502)&gt;0)))</f>
        <v/>
      </c>
      <c r="AI502" s="88" t="str">
        <f aca="false">IF(ISBLANK($C502),"",IF(ISNUMBER(Q502),IF(Q502&gt;=0,Q502,""),""))</f>
        <v/>
      </c>
      <c r="AJ502" s="89" t="str">
        <f aca="false">IF(ISBLANK($C502),"",IF(ISNUMBER(R502),IF(R502&gt;=0,R502,""),""))</f>
        <v/>
      </c>
      <c r="AK502" s="87" t="str">
        <f aca="false">IF(ISBLANK($C502),"",IF(ISNUMBER(S502),IF(S502&gt;=0,MIN(S502,Constants!$B$22),""),""))</f>
        <v/>
      </c>
      <c r="AL502" s="87" t="str">
        <f aca="false">IF(ISBLANK($C502),"",IF(T502=Constants!$B$2,TRUE(),IF(T502=Constants!$B$3,FALSE(),FALSE())))</f>
        <v/>
      </c>
      <c r="AM502" s="86" t="str">
        <f aca="false">IF(ISBLANK($C502),"",AND($AB502,OR($AC502="",$AD502="",AND(NOT(ISBLANK($M502)),$AE502=""))))</f>
        <v/>
      </c>
      <c r="AN502" s="89" t="str">
        <f aca="false">IF($BD502&lt;&gt;Constants!$B$6,"",IF($AB502,Constants!$B$17*$AD502,Constants!$B$18))</f>
        <v/>
      </c>
      <c r="AO502" s="91" t="str">
        <f aca="false">IF($BD502&lt;&gt;Constants!$B$6,"",Constants!$B$19*IF($AB502,$AC502,0))</f>
        <v/>
      </c>
      <c r="AP502" s="91" t="str">
        <f aca="false">IF($BD502&lt;&gt;Constants!$B$6,"",IF(AND($AB502,ISNUMBER($AE502)),Constants!$B$20*(Constants!$B$21-$AE502),0))</f>
        <v/>
      </c>
      <c r="AQ502" s="91" t="str">
        <f aca="false">IF($BD502&lt;&gt;Constants!$B$6,"",IF($AA502,0,Constants!$B$12)+IF($Z502,0,Constants!$B$13)+IF($Y502,0,Constants!$B$14))</f>
        <v/>
      </c>
      <c r="AR502" s="92" t="str">
        <f aca="false">IF($BD502&lt;&gt;Constants!$B$6,"",Constants!$B$16+SUM($AN502:$AQ502))</f>
        <v/>
      </c>
      <c r="AS502" s="91" t="str">
        <f aca="false">IF($BD502&lt;&gt;Constants!$B$6,"",IF($AB502,$AD502,""))</f>
        <v/>
      </c>
      <c r="AT502" s="93" t="str">
        <f aca="false">IF($BD502&lt;&gt;Constants!$B$6,"",$AO502)</f>
        <v/>
      </c>
      <c r="AU502" s="87" t="str">
        <f aca="false">IF($BD502&lt;&gt;Constants!$B$6,"",IF(OR($BA502&lt;$AR502,AND($BA502=$AR502,OR(AND(ISNUMBER($BB502),OR(NOT(ISNUMBER($AS502)),$BB502&lt;$AS502)),AND(OR(AND($BB502="",$AS502=""),AND(ISNUMBER($BB502),ISNUMBER($AS502),$BB502=$AS502)),$BC502&lt;$AT502)))),"-&gt;","&lt;-"))</f>
        <v/>
      </c>
      <c r="AV502" s="86" t="str">
        <f aca="false">IF(ISBLANK($C502),"",AND($AH502,OR($AI502="",$AJ502="",AND(NOT(ISBLANK($S502)),$AK502=""))))</f>
        <v/>
      </c>
      <c r="AW502" s="89" t="str">
        <f aca="false">IF($BD502&lt;&gt;Constants!$B$6,"",IF($AH502,Constants!$B$17*$AJ502,Constants!$B$18))</f>
        <v/>
      </c>
      <c r="AX502" s="91" t="str">
        <f aca="false">IF($BD502&lt;&gt;Constants!$B$6,"",Constants!$B$19*IF($AH502,$AI502,0))</f>
        <v/>
      </c>
      <c r="AY502" s="91" t="str">
        <f aca="false">IF($BD502&lt;&gt;Constants!$B$6,"",IF(AND($AH502,ISNUMBER($AK502)),Constants!$B$20*(Constants!$B$21-$AK502),0))</f>
        <v/>
      </c>
      <c r="AZ502" s="91" t="str">
        <f aca="false">IF($BD502&lt;&gt;Constants!$B$6,"",IF($AG502,0,Constants!$B$12)+IF($AF502,0,Constants!$B$13)+IF($Y502,0,Constants!$B$14))</f>
        <v/>
      </c>
      <c r="BA502" s="92" t="str">
        <f aca="false">IF($BD502&lt;&gt;Constants!$B$6,"",Constants!$B$16+SUM($AW502:$AZ502))</f>
        <v/>
      </c>
      <c r="BB502" s="91" t="str">
        <f aca="false">IF($BD502&lt;&gt;Constants!$B$6,"",IF($AH502,$AJ502,""))</f>
        <v/>
      </c>
      <c r="BC502" s="93" t="str">
        <f aca="false">IF($BD502&lt;&gt;Constants!$B$6,"",$AX502)</f>
        <v/>
      </c>
      <c r="BD502" s="87" t="str">
        <f aca="false">IF(ISBLANK($C502),"",IF($AL502,Constants!$B$9,IF(COUNTA($E502:$T502)=0,Constants!$B$8,IF(NOT($X502),Constants!$B$7,IF(OR($AM502,$AV502),Constants!$B$10,Constants!$B$6)))))</f>
        <v/>
      </c>
      <c r="BE502" s="87" t="str">
        <f aca="false">IF(ISBLANK($C502),"",IF($BD502&lt;&gt;Constants!$B$6,$BD502,Constants!$B$11))</f>
        <v/>
      </c>
      <c r="BF502" s="91" t="str">
        <f aca="false">IF($BD502&lt;&gt;Constants!$B$6,"",IF($AU502="-&gt;",$BA502,$AR502))</f>
        <v/>
      </c>
      <c r="BG502" s="91" t="str">
        <f aca="false">IF($BD502&lt;&gt;Constants!$B$6,"",IF($W502,0,Constants!$B$15))</f>
        <v/>
      </c>
      <c r="BH502" s="91" t="str">
        <f aca="false">IF(ISBLANK($C502),"",IF($BD502&lt;&gt;Constants!$B$6,$BD502,SUM($BF502:$BG502)))</f>
        <v/>
      </c>
      <c r="BI502" s="87" t="str">
        <f aca="false">IF(ISBLANK($C502),"",IF($BD502&lt;&gt;Constants!$B$6,$BD502,RANK($BH502,$BH$9:$BH$508,1)))</f>
        <v/>
      </c>
      <c r="BJ502" s="91" t="str">
        <f aca="false">IF($BD502&lt;&gt;Constants!$B$6,"",IF($AU502="-&gt;",$BB502,$AS502))</f>
        <v/>
      </c>
      <c r="BK502" s="87" t="str">
        <f aca="false">IF(ISBLANK($C502),"",IF($BD502&lt;&gt;Constants!$B$6,$BD502,IF(ISNUMBER($BJ502),RANK($BJ502,$BJ$9:$BJ$508,1),COUNT($BJ$9:$BJ$508)+1)))</f>
        <v/>
      </c>
      <c r="BL502" s="91" t="str">
        <f aca="false">IF($BD502&lt;&gt;Constants!$B$6,"",IF($AU502="-&gt;",$BC502,$AT502))</f>
        <v/>
      </c>
      <c r="BM502" s="87" t="str">
        <f aca="false">IF(ISBLANK($C502),"",IF($BD502&lt;&gt;Constants!$B$6,$BD502,IF(ISNUMBER($BL502),RANK($BL502,$BL$9:$BL$508,1),COUNT($BL$9:$BL$508)+1)))</f>
        <v/>
      </c>
      <c r="BN502" s="91" t="str">
        <f aca="false">IF($BD502&lt;&gt;Constants!$B$6,"",IF($AU502="-&gt;",$AS502,$BB502))</f>
        <v/>
      </c>
      <c r="BO502" s="87" t="str">
        <f aca="false">IF(ISBLANK($C502),"",IF($BD502&lt;&gt;Constants!$B$6,$BD502,IF(ISNUMBER($BN502),RANK($BN502,$BN$9:$BN$508,1),COUNT($BN$9:$BN$508)+1)))</f>
        <v/>
      </c>
      <c r="BP502" s="91" t="str">
        <f aca="false">IF($BD502&lt;&gt;Constants!$B$6,"",IF($AU502="-&gt;",$AT502,$BC502))</f>
        <v/>
      </c>
      <c r="BQ502" s="87" t="str">
        <f aca="false">IF(ISBLANK($C502),"",IF($BD502&lt;&gt;Constants!$B$6,$BD502,IF(ISNUMBER($BP502),RANK($BP502,$BP$9:$BP$508,1),COUNT($BP$9:$BP$508)+1)))</f>
        <v/>
      </c>
      <c r="BR502" s="87" t="str">
        <f aca="false">IF(ISBLANK($C502),"",IF($BD502&lt;&gt;Constants!$B$6,$BD502,COUNTIFS($BI$9:$BI$508,"&lt;"&amp;$BI502)+COUNTIFS($BI$9:$BI$508,$BI502,$BK$9:$BK$508,"&lt;"&amp;$BK502)+COUNTIFS($BI$9:$BI$508,$BI502,$BK$9:$BK$508,$BK502,$BM$9:$BM$508,"&lt;"&amp;$BM502)+COUNTIFS($BI$9:$BI$508,$BI502,$BK$9:$BK$508,$BK502,$BM$9:$BM$508,$BM502,$BO$9:$BO$508,"&lt;"&amp;$BO502)+COUNTIFS($BI$9:$BI$508,$BI502,$BK$9:$BK$508,$BK502,$BM$9:$BM$508,$BM502,$BO$9:$BO$508,$BO502,$BQ$9:$BQ$508,"&lt;"&amp;$BQ502)+1))</f>
        <v/>
      </c>
      <c r="BS502" s="87" t="str">
        <f aca="false">IF(ISBLANK($C502),"",IF($BD502&lt;&gt;Constants!$B$6,$BD502,$BI502-$BR502))</f>
        <v/>
      </c>
      <c r="BT502" s="94"/>
      <c r="BU502" s="95"/>
      <c r="BV502" s="95" t="str">
        <f aca="false">IF(ISBLANK($C502),"",IF($BD502&lt;&gt;Constants!$B$6,"",IF($AU502="-&gt;",2,1)))</f>
        <v/>
      </c>
      <c r="BW502" s="96" t="str">
        <f aca="false">IF(ISBLANK($C502),"",IF($BD502&lt;&gt;Constants!$B$6,"",IF($AU502="-&gt;",$AW502,$AN502)))</f>
        <v/>
      </c>
      <c r="BX502" s="96" t="str">
        <f aca="false">IF(ISBLANK($C502),"",IF($BD502&lt;&gt;Constants!$B$6,"",IF($AU502="-&gt;",$AX502,$AO502)))</f>
        <v/>
      </c>
      <c r="BY502" s="96" t="str">
        <f aca="false">IF(ISBLANK($C502),"",IF($BD502&lt;&gt;Constants!$B$6,"",IF($AU502="-&gt;",$AY502,$AP502)))</f>
        <v/>
      </c>
      <c r="BZ502" s="96" t="str">
        <f aca="false">IF(ISBLANK($C502),"",IF($BD502&lt;&gt;Constants!$B$6,"",IF($AU502="-&gt;",$AZ502,$AQ502)+$BG502))</f>
        <v/>
      </c>
      <c r="CA502" s="97" t="str">
        <f aca="false">IF(ISBLANK($C502),"",IF($BD502&lt;&gt;Constants!$B$6,$BD502,$BH502))</f>
        <v/>
      </c>
      <c r="CB502" s="98" t="str">
        <f aca="false">IF(ISBLANK($C502),"",$BE502)</f>
        <v/>
      </c>
      <c r="CC502" s="99" t="str">
        <f aca="false">IF(ISBLANK($C502),"",$BS502)</f>
        <v/>
      </c>
      <c r="CD502" s="99" t="str">
        <f aca="false">IF(ISBLANK($C502),"",$BR502)</f>
        <v/>
      </c>
      <c r="CE502" s="100" t="str">
        <f aca="false">IF(ISBLANK($C502),"",IF($CD502=Constants!$B$9,COUNTA($C$9:$C$508)+2,IF($CD502=Constants!$B$8,COUNTA($C$9:$C$508)+1,IF($CD502=Constants!$B$7,COUNTA($C$9:$C$508),$CD502))))</f>
        <v/>
      </c>
      <c r="CF502" s="9"/>
      <c r="CG502" s="101" t="n">
        <f aca="false">IF(OR(ISNUMBER($CD502),$CD502=Constants!$B$9,$CD502=Constants!$B$7,$CD502=Constants!$B$8),1,0)</f>
        <v>0</v>
      </c>
      <c r="CH502" s="101" t="n">
        <v>494</v>
      </c>
      <c r="CI502" s="101" t="str">
        <f aca="false">IF(ISBLANK($C502),"",IF(ISNUMBER($CE502),$CE502+ROW($B502)/1000,""))</f>
        <v/>
      </c>
      <c r="CJ502" s="101" t="str">
        <f aca="false">IF(ISNUMBER($CI502),RANK($CI502,$CI$9:$CI$508,1),"")</f>
        <v/>
      </c>
      <c r="CK502" s="101" t="str">
        <f aca="false">IF(ISBLANK($C502),"",$B502)</f>
        <v/>
      </c>
      <c r="CL502" s="101" t="str">
        <f aca="false">IF(ISBLANK($C502),"",$C502)</f>
        <v/>
      </c>
      <c r="CM502" s="101" t="str">
        <f aca="false">IF(ISBLANK($C502),"",$D502)</f>
        <v/>
      </c>
      <c r="CN502" s="102" t="str">
        <f aca="false">$CB502</f>
        <v/>
      </c>
      <c r="CO502" s="103" t="str">
        <f aca="false">$CA502</f>
        <v/>
      </c>
      <c r="CP502" s="101" t="str">
        <f aca="false">IF(ISBLANK($C502),"",$CD502)</f>
        <v/>
      </c>
      <c r="CQ502" s="104" t="str">
        <f aca="false">IF($CH502&gt;$CG$8,"",VLOOKUP($CH502,$CJ$9:$CP$508,7,FALSE()))</f>
        <v/>
      </c>
      <c r="CR502" s="105" t="str">
        <f aca="false">IF($CH502&gt;$CG$8,"",VLOOKUP($CH502,$CJ$9:$CP$508,2,FALSE()))</f>
        <v/>
      </c>
      <c r="CS502" s="105" t="str">
        <f aca="false">IF($CH502&gt;$CG$8,"",VLOOKUP($CH502,$CJ$9:$CP$508,3,FALSE()))</f>
        <v/>
      </c>
      <c r="CT502" s="105" t="str">
        <f aca="false">IF($CH502&gt;$CG$8,"",VLOOKUP($CH502,$CJ$9:$CP$508,4,FALSE()))</f>
        <v/>
      </c>
      <c r="CU502" s="105" t="str">
        <f aca="false">IF($CH502&gt;$CG$8,"",VLOOKUP($CH502,$CJ$9:$CP$508,5,FALSE()))</f>
        <v/>
      </c>
      <c r="CV502" s="106" t="str">
        <f aca="false">IF($CH502&gt;$CG$8,"",VLOOKUP($CH502,$CJ$9:$CP$508,6,FALSE()))</f>
        <v/>
      </c>
      <c r="CW502" s="71"/>
    </row>
    <row r="503" customFormat="false" ht="15.75" hidden="false" customHeight="false" outlineLevel="0" collapsed="false">
      <c r="A503" s="9"/>
      <c r="B503" s="72"/>
      <c r="C503" s="73"/>
      <c r="D503" s="160"/>
      <c r="E503" s="168"/>
      <c r="F503" s="162"/>
      <c r="G503" s="163"/>
      <c r="H503" s="169"/>
      <c r="I503" s="167"/>
      <c r="J503" s="80"/>
      <c r="K503" s="81"/>
      <c r="L503" s="82"/>
      <c r="M503" s="166"/>
      <c r="N503" s="167"/>
      <c r="O503" s="167"/>
      <c r="P503" s="80"/>
      <c r="Q503" s="82"/>
      <c r="R503" s="82"/>
      <c r="S503" s="166"/>
      <c r="T503" s="167"/>
      <c r="U503" s="86"/>
      <c r="V503" s="87"/>
      <c r="W503" s="87" t="str">
        <f aca="false">IF(ISBLANK($C503),"",IF(E503=Constants!$B$2,TRUE(),IF(E503=Constants!$B$3,FALSE(),TRUE())))</f>
        <v/>
      </c>
      <c r="X503" s="87" t="str">
        <f aca="false">IF(ISBLANK($C503),"",IF(F503=Constants!$B$2,TRUE(),IF(F503=Constants!$B$3,FALSE(),TRUE())))</f>
        <v/>
      </c>
      <c r="Y503" s="87" t="str">
        <f aca="false">IF(ISBLANK($C503),"",IF(G503=Constants!$B$2,TRUE(),IF(G503=Constants!$B$3,FALSE(),TRUE())))</f>
        <v/>
      </c>
      <c r="Z503" s="87" t="str">
        <f aca="false">IF(ISBLANK($C503),"",IF(H503=Constants!$B$2,TRUE(),IF(H503=Constants!$B$3,FALSE(),TRUE())))</f>
        <v/>
      </c>
      <c r="AA503" s="87" t="str">
        <f aca="false">IF(ISBLANK($C503),"",IF(I503=Constants!$B$2,TRUE(),IF(I503=Constants!$B$3,FALSE(),TRUE())))</f>
        <v/>
      </c>
      <c r="AB503" s="87" t="str">
        <f aca="false">IF(ISBLANK($C503),"",IF(J503=Constants!$B$4,TRUE(),IF(J503=Constants!$B$5,FALSE(),COUNTA(K503:M503)&gt;0)))</f>
        <v/>
      </c>
      <c r="AC503" s="88" t="str">
        <f aca="false">IF(ISBLANK($C503),"",IF(ISNUMBER(K503),IF(K503&gt;=0,K503,""),""))</f>
        <v/>
      </c>
      <c r="AD503" s="89" t="str">
        <f aca="false">IF(ISBLANK($C503),"",IF(ISNUMBER(L503),IF(L503&gt;=0,L503,""),""))</f>
        <v/>
      </c>
      <c r="AE503" s="87" t="str">
        <f aca="false">IF(ISBLANK($C503),"",IF(ISNUMBER(M503),IF(M503&gt;=0,MIN(M503,Constants!$B$22),""),""))</f>
        <v/>
      </c>
      <c r="AF503" s="87" t="str">
        <f aca="false">IF(ISBLANK($C503),"",IF(N503=Constants!$B$2,TRUE(),IF(N503=Constants!$B$3,FALSE(),TRUE())))</f>
        <v/>
      </c>
      <c r="AG503" s="87" t="str">
        <f aca="false">IF(ISBLANK($C503),"",IF(O503=Constants!$B$2,TRUE(),IF(O503=Constants!$B$3,FALSE(),TRUE())))</f>
        <v/>
      </c>
      <c r="AH503" s="87" t="str">
        <f aca="false">IF(ISBLANK($C503),"",IF(P503=Constants!$B$4,TRUE(),IF(P503=Constants!$B$5,FALSE(),COUNTA(Q503:S503)&gt;0)))</f>
        <v/>
      </c>
      <c r="AI503" s="88" t="str">
        <f aca="false">IF(ISBLANK($C503),"",IF(ISNUMBER(Q503),IF(Q503&gt;=0,Q503,""),""))</f>
        <v/>
      </c>
      <c r="AJ503" s="89" t="str">
        <f aca="false">IF(ISBLANK($C503),"",IF(ISNUMBER(R503),IF(R503&gt;=0,R503,""),""))</f>
        <v/>
      </c>
      <c r="AK503" s="87" t="str">
        <f aca="false">IF(ISBLANK($C503),"",IF(ISNUMBER(S503),IF(S503&gt;=0,MIN(S503,Constants!$B$22),""),""))</f>
        <v/>
      </c>
      <c r="AL503" s="87" t="str">
        <f aca="false">IF(ISBLANK($C503),"",IF(T503=Constants!$B$2,TRUE(),IF(T503=Constants!$B$3,FALSE(),FALSE())))</f>
        <v/>
      </c>
      <c r="AM503" s="86" t="str">
        <f aca="false">IF(ISBLANK($C503),"",AND($AB503,OR($AC503="",$AD503="",AND(NOT(ISBLANK($M503)),$AE503=""))))</f>
        <v/>
      </c>
      <c r="AN503" s="89" t="str">
        <f aca="false">IF($BD503&lt;&gt;Constants!$B$6,"",IF($AB503,Constants!$B$17*$AD503,Constants!$B$18))</f>
        <v/>
      </c>
      <c r="AO503" s="91" t="str">
        <f aca="false">IF($BD503&lt;&gt;Constants!$B$6,"",Constants!$B$19*IF($AB503,$AC503,0))</f>
        <v/>
      </c>
      <c r="AP503" s="91" t="str">
        <f aca="false">IF($BD503&lt;&gt;Constants!$B$6,"",IF(AND($AB503,ISNUMBER($AE503)),Constants!$B$20*(Constants!$B$21-$AE503),0))</f>
        <v/>
      </c>
      <c r="AQ503" s="91" t="str">
        <f aca="false">IF($BD503&lt;&gt;Constants!$B$6,"",IF($AA503,0,Constants!$B$12)+IF($Z503,0,Constants!$B$13)+IF($Y503,0,Constants!$B$14))</f>
        <v/>
      </c>
      <c r="AR503" s="92" t="str">
        <f aca="false">IF($BD503&lt;&gt;Constants!$B$6,"",Constants!$B$16+SUM($AN503:$AQ503))</f>
        <v/>
      </c>
      <c r="AS503" s="91" t="str">
        <f aca="false">IF($BD503&lt;&gt;Constants!$B$6,"",IF($AB503,$AD503,""))</f>
        <v/>
      </c>
      <c r="AT503" s="93" t="str">
        <f aca="false">IF($BD503&lt;&gt;Constants!$B$6,"",$AO503)</f>
        <v/>
      </c>
      <c r="AU503" s="87" t="str">
        <f aca="false">IF($BD503&lt;&gt;Constants!$B$6,"",IF(OR($BA503&lt;$AR503,AND($BA503=$AR503,OR(AND(ISNUMBER($BB503),OR(NOT(ISNUMBER($AS503)),$BB503&lt;$AS503)),AND(OR(AND($BB503="",$AS503=""),AND(ISNUMBER($BB503),ISNUMBER($AS503),$BB503=$AS503)),$BC503&lt;$AT503)))),"-&gt;","&lt;-"))</f>
        <v/>
      </c>
      <c r="AV503" s="86" t="str">
        <f aca="false">IF(ISBLANK($C503),"",AND($AH503,OR($AI503="",$AJ503="",AND(NOT(ISBLANK($S503)),$AK503=""))))</f>
        <v/>
      </c>
      <c r="AW503" s="89" t="str">
        <f aca="false">IF($BD503&lt;&gt;Constants!$B$6,"",IF($AH503,Constants!$B$17*$AJ503,Constants!$B$18))</f>
        <v/>
      </c>
      <c r="AX503" s="91" t="str">
        <f aca="false">IF($BD503&lt;&gt;Constants!$B$6,"",Constants!$B$19*IF($AH503,$AI503,0))</f>
        <v/>
      </c>
      <c r="AY503" s="91" t="str">
        <f aca="false">IF($BD503&lt;&gt;Constants!$B$6,"",IF(AND($AH503,ISNUMBER($AK503)),Constants!$B$20*(Constants!$B$21-$AK503),0))</f>
        <v/>
      </c>
      <c r="AZ503" s="91" t="str">
        <f aca="false">IF($BD503&lt;&gt;Constants!$B$6,"",IF($AG503,0,Constants!$B$12)+IF($AF503,0,Constants!$B$13)+IF($Y503,0,Constants!$B$14))</f>
        <v/>
      </c>
      <c r="BA503" s="92" t="str">
        <f aca="false">IF($BD503&lt;&gt;Constants!$B$6,"",Constants!$B$16+SUM($AW503:$AZ503))</f>
        <v/>
      </c>
      <c r="BB503" s="91" t="str">
        <f aca="false">IF($BD503&lt;&gt;Constants!$B$6,"",IF($AH503,$AJ503,""))</f>
        <v/>
      </c>
      <c r="BC503" s="93" t="str">
        <f aca="false">IF($BD503&lt;&gt;Constants!$B$6,"",$AX503)</f>
        <v/>
      </c>
      <c r="BD503" s="87" t="str">
        <f aca="false">IF(ISBLANK($C503),"",IF($AL503,Constants!$B$9,IF(COUNTA($E503:$T503)=0,Constants!$B$8,IF(NOT($X503),Constants!$B$7,IF(OR($AM503,$AV503),Constants!$B$10,Constants!$B$6)))))</f>
        <v/>
      </c>
      <c r="BE503" s="87" t="str">
        <f aca="false">IF(ISBLANK($C503),"",IF($BD503&lt;&gt;Constants!$B$6,$BD503,Constants!$B$11))</f>
        <v/>
      </c>
      <c r="BF503" s="91" t="str">
        <f aca="false">IF($BD503&lt;&gt;Constants!$B$6,"",IF($AU503="-&gt;",$BA503,$AR503))</f>
        <v/>
      </c>
      <c r="BG503" s="91" t="str">
        <f aca="false">IF($BD503&lt;&gt;Constants!$B$6,"",IF($W503,0,Constants!$B$15))</f>
        <v/>
      </c>
      <c r="BH503" s="91" t="str">
        <f aca="false">IF(ISBLANK($C503),"",IF($BD503&lt;&gt;Constants!$B$6,$BD503,SUM($BF503:$BG503)))</f>
        <v/>
      </c>
      <c r="BI503" s="87" t="str">
        <f aca="false">IF(ISBLANK($C503),"",IF($BD503&lt;&gt;Constants!$B$6,$BD503,RANK($BH503,$BH$9:$BH$508,1)))</f>
        <v/>
      </c>
      <c r="BJ503" s="91" t="str">
        <f aca="false">IF($BD503&lt;&gt;Constants!$B$6,"",IF($AU503="-&gt;",$BB503,$AS503))</f>
        <v/>
      </c>
      <c r="BK503" s="87" t="str">
        <f aca="false">IF(ISBLANK($C503),"",IF($BD503&lt;&gt;Constants!$B$6,$BD503,IF(ISNUMBER($BJ503),RANK($BJ503,$BJ$9:$BJ$508,1),COUNT($BJ$9:$BJ$508)+1)))</f>
        <v/>
      </c>
      <c r="BL503" s="91" t="str">
        <f aca="false">IF($BD503&lt;&gt;Constants!$B$6,"",IF($AU503="-&gt;",$BC503,$AT503))</f>
        <v/>
      </c>
      <c r="BM503" s="87" t="str">
        <f aca="false">IF(ISBLANK($C503),"",IF($BD503&lt;&gt;Constants!$B$6,$BD503,IF(ISNUMBER($BL503),RANK($BL503,$BL$9:$BL$508,1),COUNT($BL$9:$BL$508)+1)))</f>
        <v/>
      </c>
      <c r="BN503" s="91" t="str">
        <f aca="false">IF($BD503&lt;&gt;Constants!$B$6,"",IF($AU503="-&gt;",$AS503,$BB503))</f>
        <v/>
      </c>
      <c r="BO503" s="87" t="str">
        <f aca="false">IF(ISBLANK($C503),"",IF($BD503&lt;&gt;Constants!$B$6,$BD503,IF(ISNUMBER($BN503),RANK($BN503,$BN$9:$BN$508,1),COUNT($BN$9:$BN$508)+1)))</f>
        <v/>
      </c>
      <c r="BP503" s="91" t="str">
        <f aca="false">IF($BD503&lt;&gt;Constants!$B$6,"",IF($AU503="-&gt;",$AT503,$BC503))</f>
        <v/>
      </c>
      <c r="BQ503" s="87" t="str">
        <f aca="false">IF(ISBLANK($C503),"",IF($BD503&lt;&gt;Constants!$B$6,$BD503,IF(ISNUMBER($BP503),RANK($BP503,$BP$9:$BP$508,1),COUNT($BP$9:$BP$508)+1)))</f>
        <v/>
      </c>
      <c r="BR503" s="87" t="str">
        <f aca="false">IF(ISBLANK($C503),"",IF($BD503&lt;&gt;Constants!$B$6,$BD503,COUNTIFS($BI$9:$BI$508,"&lt;"&amp;$BI503)+COUNTIFS($BI$9:$BI$508,$BI503,$BK$9:$BK$508,"&lt;"&amp;$BK503)+COUNTIFS($BI$9:$BI$508,$BI503,$BK$9:$BK$508,$BK503,$BM$9:$BM$508,"&lt;"&amp;$BM503)+COUNTIFS($BI$9:$BI$508,$BI503,$BK$9:$BK$508,$BK503,$BM$9:$BM$508,$BM503,$BO$9:$BO$508,"&lt;"&amp;$BO503)+COUNTIFS($BI$9:$BI$508,$BI503,$BK$9:$BK$508,$BK503,$BM$9:$BM$508,$BM503,$BO$9:$BO$508,$BO503,$BQ$9:$BQ$508,"&lt;"&amp;$BQ503)+1))</f>
        <v/>
      </c>
      <c r="BS503" s="87" t="str">
        <f aca="false">IF(ISBLANK($C503),"",IF($BD503&lt;&gt;Constants!$B$6,$BD503,$BI503-$BR503))</f>
        <v/>
      </c>
      <c r="BT503" s="94"/>
      <c r="BU503" s="95"/>
      <c r="BV503" s="95" t="str">
        <f aca="false">IF(ISBLANK($C503),"",IF($BD503&lt;&gt;Constants!$B$6,"",IF($AU503="-&gt;",2,1)))</f>
        <v/>
      </c>
      <c r="BW503" s="96" t="str">
        <f aca="false">IF(ISBLANK($C503),"",IF($BD503&lt;&gt;Constants!$B$6,"",IF($AU503="-&gt;",$AW503,$AN503)))</f>
        <v/>
      </c>
      <c r="BX503" s="96" t="str">
        <f aca="false">IF(ISBLANK($C503),"",IF($BD503&lt;&gt;Constants!$B$6,"",IF($AU503="-&gt;",$AX503,$AO503)))</f>
        <v/>
      </c>
      <c r="BY503" s="96" t="str">
        <f aca="false">IF(ISBLANK($C503),"",IF($BD503&lt;&gt;Constants!$B$6,"",IF($AU503="-&gt;",$AY503,$AP503)))</f>
        <v/>
      </c>
      <c r="BZ503" s="96" t="str">
        <f aca="false">IF(ISBLANK($C503),"",IF($BD503&lt;&gt;Constants!$B$6,"",IF($AU503="-&gt;",$AZ503,$AQ503)+$BG503))</f>
        <v/>
      </c>
      <c r="CA503" s="97" t="str">
        <f aca="false">IF(ISBLANK($C503),"",IF($BD503&lt;&gt;Constants!$B$6,$BD503,$BH503))</f>
        <v/>
      </c>
      <c r="CB503" s="98" t="str">
        <f aca="false">IF(ISBLANK($C503),"",$BE503)</f>
        <v/>
      </c>
      <c r="CC503" s="99" t="str">
        <f aca="false">IF(ISBLANK($C503),"",$BS503)</f>
        <v/>
      </c>
      <c r="CD503" s="99" t="str">
        <f aca="false">IF(ISBLANK($C503),"",$BR503)</f>
        <v/>
      </c>
      <c r="CE503" s="100" t="str">
        <f aca="false">IF(ISBLANK($C503),"",IF($CD503=Constants!$B$9,COUNTA($C$9:$C$508)+2,IF($CD503=Constants!$B$8,COUNTA($C$9:$C$508)+1,IF($CD503=Constants!$B$7,COUNTA($C$9:$C$508),$CD503))))</f>
        <v/>
      </c>
      <c r="CF503" s="9"/>
      <c r="CG503" s="101" t="n">
        <f aca="false">IF(OR(ISNUMBER($CD503),$CD503=Constants!$B$9,$CD503=Constants!$B$7,$CD503=Constants!$B$8),1,0)</f>
        <v>0</v>
      </c>
      <c r="CH503" s="101" t="n">
        <v>495</v>
      </c>
      <c r="CI503" s="101" t="str">
        <f aca="false">IF(ISBLANK($C503),"",IF(ISNUMBER($CE503),$CE503+ROW($B503)/1000,""))</f>
        <v/>
      </c>
      <c r="CJ503" s="101" t="str">
        <f aca="false">IF(ISNUMBER($CI503),RANK($CI503,$CI$9:$CI$508,1),"")</f>
        <v/>
      </c>
      <c r="CK503" s="101" t="str">
        <f aca="false">IF(ISBLANK($C503),"",$B503)</f>
        <v/>
      </c>
      <c r="CL503" s="101" t="str">
        <f aca="false">IF(ISBLANK($C503),"",$C503)</f>
        <v/>
      </c>
      <c r="CM503" s="101" t="str">
        <f aca="false">IF(ISBLANK($C503),"",$D503)</f>
        <v/>
      </c>
      <c r="CN503" s="102" t="str">
        <f aca="false">$CB503</f>
        <v/>
      </c>
      <c r="CO503" s="103" t="str">
        <f aca="false">$CA503</f>
        <v/>
      </c>
      <c r="CP503" s="101" t="str">
        <f aca="false">IF(ISBLANK($C503),"",$CD503)</f>
        <v/>
      </c>
      <c r="CQ503" s="104" t="str">
        <f aca="false">IF($CH503&gt;$CG$8,"",VLOOKUP($CH503,$CJ$9:$CP$508,7,FALSE()))</f>
        <v/>
      </c>
      <c r="CR503" s="105" t="str">
        <f aca="false">IF($CH503&gt;$CG$8,"",VLOOKUP($CH503,$CJ$9:$CP$508,2,FALSE()))</f>
        <v/>
      </c>
      <c r="CS503" s="105" t="str">
        <f aca="false">IF($CH503&gt;$CG$8,"",VLOOKUP($CH503,$CJ$9:$CP$508,3,FALSE()))</f>
        <v/>
      </c>
      <c r="CT503" s="105" t="str">
        <f aca="false">IF($CH503&gt;$CG$8,"",VLOOKUP($CH503,$CJ$9:$CP$508,4,FALSE()))</f>
        <v/>
      </c>
      <c r="CU503" s="105" t="str">
        <f aca="false">IF($CH503&gt;$CG$8,"",VLOOKUP($CH503,$CJ$9:$CP$508,5,FALSE()))</f>
        <v/>
      </c>
      <c r="CV503" s="106" t="str">
        <f aca="false">IF($CH503&gt;$CG$8,"",VLOOKUP($CH503,$CJ$9:$CP$508,6,FALSE()))</f>
        <v/>
      </c>
      <c r="CW503" s="71"/>
    </row>
    <row r="504" customFormat="false" ht="15.75" hidden="false" customHeight="false" outlineLevel="0" collapsed="false">
      <c r="A504" s="9"/>
      <c r="B504" s="150"/>
      <c r="C504" s="151"/>
      <c r="D504" s="152"/>
      <c r="E504" s="170"/>
      <c r="F504" s="154"/>
      <c r="G504" s="155"/>
      <c r="H504" s="171"/>
      <c r="I504" s="159"/>
      <c r="J504" s="120"/>
      <c r="K504" s="121"/>
      <c r="L504" s="122"/>
      <c r="M504" s="158"/>
      <c r="N504" s="159"/>
      <c r="O504" s="159"/>
      <c r="P504" s="120"/>
      <c r="Q504" s="122"/>
      <c r="R504" s="122"/>
      <c r="S504" s="158"/>
      <c r="T504" s="159"/>
      <c r="U504" s="126"/>
      <c r="V504" s="127"/>
      <c r="W504" s="127" t="str">
        <f aca="false">IF(ISBLANK($C504),"",IF(E504=Constants!$B$2,TRUE(),IF(E504=Constants!$B$3,FALSE(),TRUE())))</f>
        <v/>
      </c>
      <c r="X504" s="127" t="str">
        <f aca="false">IF(ISBLANK($C504),"",IF(F504=Constants!$B$2,TRUE(),IF(F504=Constants!$B$3,FALSE(),TRUE())))</f>
        <v/>
      </c>
      <c r="Y504" s="127" t="str">
        <f aca="false">IF(ISBLANK($C504),"",IF(G504=Constants!$B$2,TRUE(),IF(G504=Constants!$B$3,FALSE(),TRUE())))</f>
        <v/>
      </c>
      <c r="Z504" s="127" t="str">
        <f aca="false">IF(ISBLANK($C504),"",IF(H504=Constants!$B$2,TRUE(),IF(H504=Constants!$B$3,FALSE(),TRUE())))</f>
        <v/>
      </c>
      <c r="AA504" s="127" t="str">
        <f aca="false">IF(ISBLANK($C504),"",IF(I504=Constants!$B$2,TRUE(),IF(I504=Constants!$B$3,FALSE(),TRUE())))</f>
        <v/>
      </c>
      <c r="AB504" s="127" t="str">
        <f aca="false">IF(ISBLANK($C504),"",IF(J504=Constants!$B$4,TRUE(),IF(J504=Constants!$B$5,FALSE(),COUNTA(K504:M504)&gt;0)))</f>
        <v/>
      </c>
      <c r="AC504" s="128" t="str">
        <f aca="false">IF(ISBLANK($C504),"",IF(ISNUMBER(K504),IF(K504&gt;=0,K504,""),""))</f>
        <v/>
      </c>
      <c r="AD504" s="129" t="str">
        <f aca="false">IF(ISBLANK($C504),"",IF(ISNUMBER(L504),IF(L504&gt;=0,L504,""),""))</f>
        <v/>
      </c>
      <c r="AE504" s="127" t="str">
        <f aca="false">IF(ISBLANK($C504),"",IF(ISNUMBER(M504),IF(M504&gt;=0,MIN(M504,Constants!$B$22),""),""))</f>
        <v/>
      </c>
      <c r="AF504" s="127" t="str">
        <f aca="false">IF(ISBLANK($C504),"",IF(N504=Constants!$B$2,TRUE(),IF(N504=Constants!$B$3,FALSE(),TRUE())))</f>
        <v/>
      </c>
      <c r="AG504" s="127" t="str">
        <f aca="false">IF(ISBLANK($C504),"",IF(O504=Constants!$B$2,TRUE(),IF(O504=Constants!$B$3,FALSE(),TRUE())))</f>
        <v/>
      </c>
      <c r="AH504" s="127" t="str">
        <f aca="false">IF(ISBLANK($C504),"",IF(P504=Constants!$B$4,TRUE(),IF(P504=Constants!$B$5,FALSE(),COUNTA(Q504:S504)&gt;0)))</f>
        <v/>
      </c>
      <c r="AI504" s="128" t="str">
        <f aca="false">IF(ISBLANK($C504),"",IF(ISNUMBER(Q504),IF(Q504&gt;=0,Q504,""),""))</f>
        <v/>
      </c>
      <c r="AJ504" s="129" t="str">
        <f aca="false">IF(ISBLANK($C504),"",IF(ISNUMBER(R504),IF(R504&gt;=0,R504,""),""))</f>
        <v/>
      </c>
      <c r="AK504" s="127" t="str">
        <f aca="false">IF(ISBLANK($C504),"",IF(ISNUMBER(S504),IF(S504&gt;=0,MIN(S504,Constants!$B$22),""),""))</f>
        <v/>
      </c>
      <c r="AL504" s="127" t="str">
        <f aca="false">IF(ISBLANK($C504),"",IF(T504=Constants!$B$2,TRUE(),IF(T504=Constants!$B$3,FALSE(),FALSE())))</f>
        <v/>
      </c>
      <c r="AM504" s="126" t="str">
        <f aca="false">IF(ISBLANK($C504),"",AND($AB504,OR($AC504="",$AD504="",AND(NOT(ISBLANK($M504)),$AE504=""))))</f>
        <v/>
      </c>
      <c r="AN504" s="129" t="str">
        <f aca="false">IF($BD504&lt;&gt;Constants!$B$6,"",IF($AB504,Constants!$B$17*$AD504,Constants!$B$18))</f>
        <v/>
      </c>
      <c r="AO504" s="130" t="str">
        <f aca="false">IF($BD504&lt;&gt;Constants!$B$6,"",Constants!$B$19*IF($AB504,$AC504,0))</f>
        <v/>
      </c>
      <c r="AP504" s="130" t="str">
        <f aca="false">IF($BD504&lt;&gt;Constants!$B$6,"",IF(AND($AB504,ISNUMBER($AE504)),Constants!$B$20*(Constants!$B$21-$AE504),0))</f>
        <v/>
      </c>
      <c r="AQ504" s="130" t="str">
        <f aca="false">IF($BD504&lt;&gt;Constants!$B$6,"",IF($AA504,0,Constants!$B$12)+IF($Z504,0,Constants!$B$13)+IF($Y504,0,Constants!$B$14))</f>
        <v/>
      </c>
      <c r="AR504" s="131" t="str">
        <f aca="false">IF($BD504&lt;&gt;Constants!$B$6,"",Constants!$B$16+SUM($AN504:$AQ504))</f>
        <v/>
      </c>
      <c r="AS504" s="130" t="str">
        <f aca="false">IF($BD504&lt;&gt;Constants!$B$6,"",IF($AB504,$AD504,""))</f>
        <v/>
      </c>
      <c r="AT504" s="132" t="str">
        <f aca="false">IF($BD504&lt;&gt;Constants!$B$6,"",$AO504)</f>
        <v/>
      </c>
      <c r="AU504" s="127" t="str">
        <f aca="false">IF($BD504&lt;&gt;Constants!$B$6,"",IF(OR($BA504&lt;$AR504,AND($BA504=$AR504,OR(AND(ISNUMBER($BB504),OR(NOT(ISNUMBER($AS504)),$BB504&lt;$AS504)),AND(OR(AND($BB504="",$AS504=""),AND(ISNUMBER($BB504),ISNUMBER($AS504),$BB504=$AS504)),$BC504&lt;$AT504)))),"-&gt;","&lt;-"))</f>
        <v/>
      </c>
      <c r="AV504" s="126" t="str">
        <f aca="false">IF(ISBLANK($C504),"",AND($AH504,OR($AI504="",$AJ504="",AND(NOT(ISBLANK($S504)),$AK504=""))))</f>
        <v/>
      </c>
      <c r="AW504" s="129" t="str">
        <f aca="false">IF($BD504&lt;&gt;Constants!$B$6,"",IF($AH504,Constants!$B$17*$AJ504,Constants!$B$18))</f>
        <v/>
      </c>
      <c r="AX504" s="130" t="str">
        <f aca="false">IF($BD504&lt;&gt;Constants!$B$6,"",Constants!$B$19*IF($AH504,$AI504,0))</f>
        <v/>
      </c>
      <c r="AY504" s="130" t="str">
        <f aca="false">IF($BD504&lt;&gt;Constants!$B$6,"",IF(AND($AH504,ISNUMBER($AK504)),Constants!$B$20*(Constants!$B$21-$AK504),0))</f>
        <v/>
      </c>
      <c r="AZ504" s="130" t="str">
        <f aca="false">IF($BD504&lt;&gt;Constants!$B$6,"",IF($AG504,0,Constants!$B$12)+IF($AF504,0,Constants!$B$13)+IF($Y504,0,Constants!$B$14))</f>
        <v/>
      </c>
      <c r="BA504" s="131" t="str">
        <f aca="false">IF($BD504&lt;&gt;Constants!$B$6,"",Constants!$B$16+SUM($AW504:$AZ504))</f>
        <v/>
      </c>
      <c r="BB504" s="130" t="str">
        <f aca="false">IF($BD504&lt;&gt;Constants!$B$6,"",IF($AH504,$AJ504,""))</f>
        <v/>
      </c>
      <c r="BC504" s="132" t="str">
        <f aca="false">IF($BD504&lt;&gt;Constants!$B$6,"",$AX504)</f>
        <v/>
      </c>
      <c r="BD504" s="127" t="str">
        <f aca="false">IF(ISBLANK($C504),"",IF($AL504,Constants!$B$9,IF(COUNTA($E504:$T504)=0,Constants!$B$8,IF(NOT($X504),Constants!$B$7,IF(OR($AM504,$AV504),Constants!$B$10,Constants!$B$6)))))</f>
        <v/>
      </c>
      <c r="BE504" s="127" t="str">
        <f aca="false">IF(ISBLANK($C504),"",IF($BD504&lt;&gt;Constants!$B$6,$BD504,Constants!$B$11))</f>
        <v/>
      </c>
      <c r="BF504" s="130" t="str">
        <f aca="false">IF($BD504&lt;&gt;Constants!$B$6,"",IF($AU504="-&gt;",$BA504,$AR504))</f>
        <v/>
      </c>
      <c r="BG504" s="130" t="str">
        <f aca="false">IF($BD504&lt;&gt;Constants!$B$6,"",IF($W504,0,Constants!$B$15))</f>
        <v/>
      </c>
      <c r="BH504" s="130" t="str">
        <f aca="false">IF(ISBLANK($C504),"",IF($BD504&lt;&gt;Constants!$B$6,$BD504,SUM($BF504:$BG504)))</f>
        <v/>
      </c>
      <c r="BI504" s="127" t="str">
        <f aca="false">IF(ISBLANK($C504),"",IF($BD504&lt;&gt;Constants!$B$6,$BD504,RANK($BH504,$BH$9:$BH$508,1)))</f>
        <v/>
      </c>
      <c r="BJ504" s="130" t="str">
        <f aca="false">IF($BD504&lt;&gt;Constants!$B$6,"",IF($AU504="-&gt;",$BB504,$AS504))</f>
        <v/>
      </c>
      <c r="BK504" s="127" t="str">
        <f aca="false">IF(ISBLANK($C504),"",IF($BD504&lt;&gt;Constants!$B$6,$BD504,IF(ISNUMBER($BJ504),RANK($BJ504,$BJ$9:$BJ$508,1),COUNT($BJ$9:$BJ$508)+1)))</f>
        <v/>
      </c>
      <c r="BL504" s="130" t="str">
        <f aca="false">IF($BD504&lt;&gt;Constants!$B$6,"",IF($AU504="-&gt;",$BC504,$AT504))</f>
        <v/>
      </c>
      <c r="BM504" s="127" t="str">
        <f aca="false">IF(ISBLANK($C504),"",IF($BD504&lt;&gt;Constants!$B$6,$BD504,IF(ISNUMBER($BL504),RANK($BL504,$BL$9:$BL$508,1),COUNT($BL$9:$BL$508)+1)))</f>
        <v/>
      </c>
      <c r="BN504" s="130" t="str">
        <f aca="false">IF($BD504&lt;&gt;Constants!$B$6,"",IF($AU504="-&gt;",$AS504,$BB504))</f>
        <v/>
      </c>
      <c r="BO504" s="127" t="str">
        <f aca="false">IF(ISBLANK($C504),"",IF($BD504&lt;&gt;Constants!$B$6,$BD504,IF(ISNUMBER($BN504),RANK($BN504,$BN$9:$BN$508,1),COUNT($BN$9:$BN$508)+1)))</f>
        <v/>
      </c>
      <c r="BP504" s="130" t="str">
        <f aca="false">IF($BD504&lt;&gt;Constants!$B$6,"",IF($AU504="-&gt;",$AT504,$BC504))</f>
        <v/>
      </c>
      <c r="BQ504" s="127" t="str">
        <f aca="false">IF(ISBLANK($C504),"",IF($BD504&lt;&gt;Constants!$B$6,$BD504,IF(ISNUMBER($BP504),RANK($BP504,$BP$9:$BP$508,1),COUNT($BP$9:$BP$508)+1)))</f>
        <v/>
      </c>
      <c r="BR504" s="127" t="str">
        <f aca="false">IF(ISBLANK($C504),"",IF($BD504&lt;&gt;Constants!$B$6,$BD504,COUNTIFS($BI$9:$BI$508,"&lt;"&amp;$BI504)+COUNTIFS($BI$9:$BI$508,$BI504,$BK$9:$BK$508,"&lt;"&amp;$BK504)+COUNTIFS($BI$9:$BI$508,$BI504,$BK$9:$BK$508,$BK504,$BM$9:$BM$508,"&lt;"&amp;$BM504)+COUNTIFS($BI$9:$BI$508,$BI504,$BK$9:$BK$508,$BK504,$BM$9:$BM$508,$BM504,$BO$9:$BO$508,"&lt;"&amp;$BO504)+COUNTIFS($BI$9:$BI$508,$BI504,$BK$9:$BK$508,$BK504,$BM$9:$BM$508,$BM504,$BO$9:$BO$508,$BO504,$BQ$9:$BQ$508,"&lt;"&amp;$BQ504)+1))</f>
        <v/>
      </c>
      <c r="BS504" s="127" t="str">
        <f aca="false">IF(ISBLANK($C504),"",IF($BD504&lt;&gt;Constants!$B$6,$BD504,$BI504-$BR504))</f>
        <v/>
      </c>
      <c r="BT504" s="133"/>
      <c r="BU504" s="134"/>
      <c r="BV504" s="134" t="str">
        <f aca="false">IF(ISBLANK($C504),"",IF($BD504&lt;&gt;Constants!$B$6,"",IF($AU504="-&gt;",2,1)))</f>
        <v/>
      </c>
      <c r="BW504" s="135" t="str">
        <f aca="false">IF(ISBLANK($C504),"",IF($BD504&lt;&gt;Constants!$B$6,"",IF($AU504="-&gt;",$AW504,$AN504)))</f>
        <v/>
      </c>
      <c r="BX504" s="135" t="str">
        <f aca="false">IF(ISBLANK($C504),"",IF($BD504&lt;&gt;Constants!$B$6,"",IF($AU504="-&gt;",$AX504,$AO504)))</f>
        <v/>
      </c>
      <c r="BY504" s="135" t="str">
        <f aca="false">IF(ISBLANK($C504),"",IF($BD504&lt;&gt;Constants!$B$6,"",IF($AU504="-&gt;",$AY504,$AP504)))</f>
        <v/>
      </c>
      <c r="BZ504" s="135" t="str">
        <f aca="false">IF(ISBLANK($C504),"",IF($BD504&lt;&gt;Constants!$B$6,"",IF($AU504="-&gt;",$AZ504,$AQ504)+$BG504))</f>
        <v/>
      </c>
      <c r="CA504" s="136" t="str">
        <f aca="false">IF(ISBLANK($C504),"",IF($BD504&lt;&gt;Constants!$B$6,$BD504,$BH504))</f>
        <v/>
      </c>
      <c r="CB504" s="137" t="str">
        <f aca="false">IF(ISBLANK($C504),"",$BE504)</f>
        <v/>
      </c>
      <c r="CC504" s="138" t="str">
        <f aca="false">IF(ISBLANK($C504),"",$BS504)</f>
        <v/>
      </c>
      <c r="CD504" s="138" t="str">
        <f aca="false">IF(ISBLANK($C504),"",$BR504)</f>
        <v/>
      </c>
      <c r="CE504" s="139" t="str">
        <f aca="false">IF(ISBLANK($C504),"",IF($CD504=Constants!$B$9,COUNTA($C$9:$C$508)+2,IF($CD504=Constants!$B$8,COUNTA($C$9:$C$508)+1,IF($CD504=Constants!$B$7,COUNTA($C$9:$C$508),$CD504))))</f>
        <v/>
      </c>
      <c r="CF504" s="9"/>
      <c r="CG504" s="140" t="n">
        <f aca="false">IF(OR(ISNUMBER($CD504),$CD504=Constants!$B$9,$CD504=Constants!$B$7,$CD504=Constants!$B$8),1,0)</f>
        <v>0</v>
      </c>
      <c r="CH504" s="140" t="n">
        <v>496</v>
      </c>
      <c r="CI504" s="140" t="str">
        <f aca="false">IF(ISBLANK($C504),"",IF(ISNUMBER($CE504),$CE504+ROW($B504)/1000,""))</f>
        <v/>
      </c>
      <c r="CJ504" s="140" t="str">
        <f aca="false">IF(ISNUMBER($CI504),RANK($CI504,$CI$9:$CI$508,1),"")</f>
        <v/>
      </c>
      <c r="CK504" s="140" t="str">
        <f aca="false">IF(ISBLANK($C504),"",$B504)</f>
        <v/>
      </c>
      <c r="CL504" s="140" t="str">
        <f aca="false">IF(ISBLANK($C504),"",$C504)</f>
        <v/>
      </c>
      <c r="CM504" s="140" t="str">
        <f aca="false">IF(ISBLANK($C504),"",$D504)</f>
        <v/>
      </c>
      <c r="CN504" s="141" t="str">
        <f aca="false">$CB504</f>
        <v/>
      </c>
      <c r="CO504" s="142" t="str">
        <f aca="false">$CA504</f>
        <v/>
      </c>
      <c r="CP504" s="140" t="str">
        <f aca="false">IF(ISBLANK($C504),"",$CD504)</f>
        <v/>
      </c>
      <c r="CQ504" s="143" t="str">
        <f aca="false">IF($CH504&gt;$CG$8,"",VLOOKUP($CH504,$CJ$9:$CP$508,7,FALSE()))</f>
        <v/>
      </c>
      <c r="CR504" s="144" t="str">
        <f aca="false">IF($CH504&gt;$CG$8,"",VLOOKUP($CH504,$CJ$9:$CP$508,2,FALSE()))</f>
        <v/>
      </c>
      <c r="CS504" s="144" t="str">
        <f aca="false">IF($CH504&gt;$CG$8,"",VLOOKUP($CH504,$CJ$9:$CP$508,3,FALSE()))</f>
        <v/>
      </c>
      <c r="CT504" s="144" t="str">
        <f aca="false">IF($CH504&gt;$CG$8,"",VLOOKUP($CH504,$CJ$9:$CP$508,4,FALSE()))</f>
        <v/>
      </c>
      <c r="CU504" s="144" t="str">
        <f aca="false">IF($CH504&gt;$CG$8,"",VLOOKUP($CH504,$CJ$9:$CP$508,5,FALSE()))</f>
        <v/>
      </c>
      <c r="CV504" s="145" t="str">
        <f aca="false">IF($CH504&gt;$CG$8,"",VLOOKUP($CH504,$CJ$9:$CP$508,6,FALSE()))</f>
        <v/>
      </c>
      <c r="CW504" s="71"/>
    </row>
    <row r="505" customFormat="false" ht="15.75" hidden="false" customHeight="false" outlineLevel="0" collapsed="false">
      <c r="A505" s="9"/>
      <c r="B505" s="150"/>
      <c r="C505" s="151"/>
      <c r="D505" s="152"/>
      <c r="E505" s="170"/>
      <c r="F505" s="154"/>
      <c r="G505" s="155"/>
      <c r="H505" s="171"/>
      <c r="I505" s="159"/>
      <c r="J505" s="120"/>
      <c r="K505" s="121"/>
      <c r="L505" s="122"/>
      <c r="M505" s="158"/>
      <c r="N505" s="159"/>
      <c r="O505" s="159"/>
      <c r="P505" s="120"/>
      <c r="Q505" s="122"/>
      <c r="R505" s="122"/>
      <c r="S505" s="158"/>
      <c r="T505" s="159"/>
      <c r="U505" s="126"/>
      <c r="V505" s="127"/>
      <c r="W505" s="127" t="str">
        <f aca="false">IF(ISBLANK($C505),"",IF(E505=Constants!$B$2,TRUE(),IF(E505=Constants!$B$3,FALSE(),TRUE())))</f>
        <v/>
      </c>
      <c r="X505" s="127" t="str">
        <f aca="false">IF(ISBLANK($C505),"",IF(F505=Constants!$B$2,TRUE(),IF(F505=Constants!$B$3,FALSE(),TRUE())))</f>
        <v/>
      </c>
      <c r="Y505" s="127" t="str">
        <f aca="false">IF(ISBLANK($C505),"",IF(G505=Constants!$B$2,TRUE(),IF(G505=Constants!$B$3,FALSE(),TRUE())))</f>
        <v/>
      </c>
      <c r="Z505" s="127" t="str">
        <f aca="false">IF(ISBLANK($C505),"",IF(H505=Constants!$B$2,TRUE(),IF(H505=Constants!$B$3,FALSE(),TRUE())))</f>
        <v/>
      </c>
      <c r="AA505" s="127" t="str">
        <f aca="false">IF(ISBLANK($C505),"",IF(I505=Constants!$B$2,TRUE(),IF(I505=Constants!$B$3,FALSE(),TRUE())))</f>
        <v/>
      </c>
      <c r="AB505" s="127" t="str">
        <f aca="false">IF(ISBLANK($C505),"",IF(J505=Constants!$B$4,TRUE(),IF(J505=Constants!$B$5,FALSE(),COUNTA(K505:M505)&gt;0)))</f>
        <v/>
      </c>
      <c r="AC505" s="128" t="str">
        <f aca="false">IF(ISBLANK($C505),"",IF(ISNUMBER(K505),IF(K505&gt;=0,K505,""),""))</f>
        <v/>
      </c>
      <c r="AD505" s="129" t="str">
        <f aca="false">IF(ISBLANK($C505),"",IF(ISNUMBER(L505),IF(L505&gt;=0,L505,""),""))</f>
        <v/>
      </c>
      <c r="AE505" s="127" t="str">
        <f aca="false">IF(ISBLANK($C505),"",IF(ISNUMBER(M505),IF(M505&gt;=0,MIN(M505,Constants!$B$22),""),""))</f>
        <v/>
      </c>
      <c r="AF505" s="127" t="str">
        <f aca="false">IF(ISBLANK($C505),"",IF(N505=Constants!$B$2,TRUE(),IF(N505=Constants!$B$3,FALSE(),TRUE())))</f>
        <v/>
      </c>
      <c r="AG505" s="127" t="str">
        <f aca="false">IF(ISBLANK($C505),"",IF(O505=Constants!$B$2,TRUE(),IF(O505=Constants!$B$3,FALSE(),TRUE())))</f>
        <v/>
      </c>
      <c r="AH505" s="127" t="str">
        <f aca="false">IF(ISBLANK($C505),"",IF(P505=Constants!$B$4,TRUE(),IF(P505=Constants!$B$5,FALSE(),COUNTA(Q505:S505)&gt;0)))</f>
        <v/>
      </c>
      <c r="AI505" s="128" t="str">
        <f aca="false">IF(ISBLANK($C505),"",IF(ISNUMBER(Q505),IF(Q505&gt;=0,Q505,""),""))</f>
        <v/>
      </c>
      <c r="AJ505" s="129" t="str">
        <f aca="false">IF(ISBLANK($C505),"",IF(ISNUMBER(R505),IF(R505&gt;=0,R505,""),""))</f>
        <v/>
      </c>
      <c r="AK505" s="127" t="str">
        <f aca="false">IF(ISBLANK($C505),"",IF(ISNUMBER(S505),IF(S505&gt;=0,MIN(S505,Constants!$B$22),""),""))</f>
        <v/>
      </c>
      <c r="AL505" s="127" t="str">
        <f aca="false">IF(ISBLANK($C505),"",IF(T505=Constants!$B$2,TRUE(),IF(T505=Constants!$B$3,FALSE(),FALSE())))</f>
        <v/>
      </c>
      <c r="AM505" s="126" t="str">
        <f aca="false">IF(ISBLANK($C505),"",AND($AB505,OR($AC505="",$AD505="",AND(NOT(ISBLANK($M505)),$AE505=""))))</f>
        <v/>
      </c>
      <c r="AN505" s="129" t="str">
        <f aca="false">IF($BD505&lt;&gt;Constants!$B$6,"",IF($AB505,Constants!$B$17*$AD505,Constants!$B$18))</f>
        <v/>
      </c>
      <c r="AO505" s="130" t="str">
        <f aca="false">IF($BD505&lt;&gt;Constants!$B$6,"",Constants!$B$19*IF($AB505,$AC505,0))</f>
        <v/>
      </c>
      <c r="AP505" s="130" t="str">
        <f aca="false">IF($BD505&lt;&gt;Constants!$B$6,"",IF(AND($AB505,ISNUMBER($AE505)),Constants!$B$20*(Constants!$B$21-$AE505),0))</f>
        <v/>
      </c>
      <c r="AQ505" s="130" t="str">
        <f aca="false">IF($BD505&lt;&gt;Constants!$B$6,"",IF($AA505,0,Constants!$B$12)+IF($Z505,0,Constants!$B$13)+IF($Y505,0,Constants!$B$14))</f>
        <v/>
      </c>
      <c r="AR505" s="131" t="str">
        <f aca="false">IF($BD505&lt;&gt;Constants!$B$6,"",Constants!$B$16+SUM($AN505:$AQ505))</f>
        <v/>
      </c>
      <c r="AS505" s="130" t="str">
        <f aca="false">IF($BD505&lt;&gt;Constants!$B$6,"",IF($AB505,$AD505,""))</f>
        <v/>
      </c>
      <c r="AT505" s="132" t="str">
        <f aca="false">IF($BD505&lt;&gt;Constants!$B$6,"",$AO505)</f>
        <v/>
      </c>
      <c r="AU505" s="127" t="str">
        <f aca="false">IF($BD505&lt;&gt;Constants!$B$6,"",IF(OR($BA505&lt;$AR505,AND($BA505=$AR505,OR(AND(ISNUMBER($BB505),OR(NOT(ISNUMBER($AS505)),$BB505&lt;$AS505)),AND(OR(AND($BB505="",$AS505=""),AND(ISNUMBER($BB505),ISNUMBER($AS505),$BB505=$AS505)),$BC505&lt;$AT505)))),"-&gt;","&lt;-"))</f>
        <v/>
      </c>
      <c r="AV505" s="126" t="str">
        <f aca="false">IF(ISBLANK($C505),"",AND($AH505,OR($AI505="",$AJ505="",AND(NOT(ISBLANK($S505)),$AK505=""))))</f>
        <v/>
      </c>
      <c r="AW505" s="129" t="str">
        <f aca="false">IF($BD505&lt;&gt;Constants!$B$6,"",IF($AH505,Constants!$B$17*$AJ505,Constants!$B$18))</f>
        <v/>
      </c>
      <c r="AX505" s="130" t="str">
        <f aca="false">IF($BD505&lt;&gt;Constants!$B$6,"",Constants!$B$19*IF($AH505,$AI505,0))</f>
        <v/>
      </c>
      <c r="AY505" s="130" t="str">
        <f aca="false">IF($BD505&lt;&gt;Constants!$B$6,"",IF(AND($AH505,ISNUMBER($AK505)),Constants!$B$20*(Constants!$B$21-$AK505),0))</f>
        <v/>
      </c>
      <c r="AZ505" s="130" t="str">
        <f aca="false">IF($BD505&lt;&gt;Constants!$B$6,"",IF($AG505,0,Constants!$B$12)+IF($AF505,0,Constants!$B$13)+IF($Y505,0,Constants!$B$14))</f>
        <v/>
      </c>
      <c r="BA505" s="131" t="str">
        <f aca="false">IF($BD505&lt;&gt;Constants!$B$6,"",Constants!$B$16+SUM($AW505:$AZ505))</f>
        <v/>
      </c>
      <c r="BB505" s="130" t="str">
        <f aca="false">IF($BD505&lt;&gt;Constants!$B$6,"",IF($AH505,$AJ505,""))</f>
        <v/>
      </c>
      <c r="BC505" s="132" t="str">
        <f aca="false">IF($BD505&lt;&gt;Constants!$B$6,"",$AX505)</f>
        <v/>
      </c>
      <c r="BD505" s="127" t="str">
        <f aca="false">IF(ISBLANK($C505),"",IF($AL505,Constants!$B$9,IF(COUNTA($E505:$T505)=0,Constants!$B$8,IF(NOT($X505),Constants!$B$7,IF(OR($AM505,$AV505),Constants!$B$10,Constants!$B$6)))))</f>
        <v/>
      </c>
      <c r="BE505" s="127" t="str">
        <f aca="false">IF(ISBLANK($C505),"",IF($BD505&lt;&gt;Constants!$B$6,$BD505,Constants!$B$11))</f>
        <v/>
      </c>
      <c r="BF505" s="130" t="str">
        <f aca="false">IF($BD505&lt;&gt;Constants!$B$6,"",IF($AU505="-&gt;",$BA505,$AR505))</f>
        <v/>
      </c>
      <c r="BG505" s="130" t="str">
        <f aca="false">IF($BD505&lt;&gt;Constants!$B$6,"",IF($W505,0,Constants!$B$15))</f>
        <v/>
      </c>
      <c r="BH505" s="130" t="str">
        <f aca="false">IF(ISBLANK($C505),"",IF($BD505&lt;&gt;Constants!$B$6,$BD505,SUM($BF505:$BG505)))</f>
        <v/>
      </c>
      <c r="BI505" s="127" t="str">
        <f aca="false">IF(ISBLANK($C505),"",IF($BD505&lt;&gt;Constants!$B$6,$BD505,RANK($BH505,$BH$9:$BH$508,1)))</f>
        <v/>
      </c>
      <c r="BJ505" s="130" t="str">
        <f aca="false">IF($BD505&lt;&gt;Constants!$B$6,"",IF($AU505="-&gt;",$BB505,$AS505))</f>
        <v/>
      </c>
      <c r="BK505" s="127" t="str">
        <f aca="false">IF(ISBLANK($C505),"",IF($BD505&lt;&gt;Constants!$B$6,$BD505,IF(ISNUMBER($BJ505),RANK($BJ505,$BJ$9:$BJ$508,1),COUNT($BJ$9:$BJ$508)+1)))</f>
        <v/>
      </c>
      <c r="BL505" s="130" t="str">
        <f aca="false">IF($BD505&lt;&gt;Constants!$B$6,"",IF($AU505="-&gt;",$BC505,$AT505))</f>
        <v/>
      </c>
      <c r="BM505" s="127" t="str">
        <f aca="false">IF(ISBLANK($C505),"",IF($BD505&lt;&gt;Constants!$B$6,$BD505,IF(ISNUMBER($BL505),RANK($BL505,$BL$9:$BL$508,1),COUNT($BL$9:$BL$508)+1)))</f>
        <v/>
      </c>
      <c r="BN505" s="130" t="str">
        <f aca="false">IF($BD505&lt;&gt;Constants!$B$6,"",IF($AU505="-&gt;",$AS505,$BB505))</f>
        <v/>
      </c>
      <c r="BO505" s="127" t="str">
        <f aca="false">IF(ISBLANK($C505),"",IF($BD505&lt;&gt;Constants!$B$6,$BD505,IF(ISNUMBER($BN505),RANK($BN505,$BN$9:$BN$508,1),COUNT($BN$9:$BN$508)+1)))</f>
        <v/>
      </c>
      <c r="BP505" s="130" t="str">
        <f aca="false">IF($BD505&lt;&gt;Constants!$B$6,"",IF($AU505="-&gt;",$AT505,$BC505))</f>
        <v/>
      </c>
      <c r="BQ505" s="127" t="str">
        <f aca="false">IF(ISBLANK($C505),"",IF($BD505&lt;&gt;Constants!$B$6,$BD505,IF(ISNUMBER($BP505),RANK($BP505,$BP$9:$BP$508,1),COUNT($BP$9:$BP$508)+1)))</f>
        <v/>
      </c>
      <c r="BR505" s="127" t="str">
        <f aca="false">IF(ISBLANK($C505),"",IF($BD505&lt;&gt;Constants!$B$6,$BD505,COUNTIFS($BI$9:$BI$508,"&lt;"&amp;$BI505)+COUNTIFS($BI$9:$BI$508,$BI505,$BK$9:$BK$508,"&lt;"&amp;$BK505)+COUNTIFS($BI$9:$BI$508,$BI505,$BK$9:$BK$508,$BK505,$BM$9:$BM$508,"&lt;"&amp;$BM505)+COUNTIFS($BI$9:$BI$508,$BI505,$BK$9:$BK$508,$BK505,$BM$9:$BM$508,$BM505,$BO$9:$BO$508,"&lt;"&amp;$BO505)+COUNTIFS($BI$9:$BI$508,$BI505,$BK$9:$BK$508,$BK505,$BM$9:$BM$508,$BM505,$BO$9:$BO$508,$BO505,$BQ$9:$BQ$508,"&lt;"&amp;$BQ505)+1))</f>
        <v/>
      </c>
      <c r="BS505" s="127" t="str">
        <f aca="false">IF(ISBLANK($C505),"",IF($BD505&lt;&gt;Constants!$B$6,$BD505,$BI505-$BR505))</f>
        <v/>
      </c>
      <c r="BT505" s="133"/>
      <c r="BU505" s="134"/>
      <c r="BV505" s="134" t="str">
        <f aca="false">IF(ISBLANK($C505),"",IF($BD505&lt;&gt;Constants!$B$6,"",IF($AU505="-&gt;",2,1)))</f>
        <v/>
      </c>
      <c r="BW505" s="135" t="str">
        <f aca="false">IF(ISBLANK($C505),"",IF($BD505&lt;&gt;Constants!$B$6,"",IF($AU505="-&gt;",$AW505,$AN505)))</f>
        <v/>
      </c>
      <c r="BX505" s="135" t="str">
        <f aca="false">IF(ISBLANK($C505),"",IF($BD505&lt;&gt;Constants!$B$6,"",IF($AU505="-&gt;",$AX505,$AO505)))</f>
        <v/>
      </c>
      <c r="BY505" s="135" t="str">
        <f aca="false">IF(ISBLANK($C505),"",IF($BD505&lt;&gt;Constants!$B$6,"",IF($AU505="-&gt;",$AY505,$AP505)))</f>
        <v/>
      </c>
      <c r="BZ505" s="135" t="str">
        <f aca="false">IF(ISBLANK($C505),"",IF($BD505&lt;&gt;Constants!$B$6,"",IF($AU505="-&gt;",$AZ505,$AQ505)+$BG505))</f>
        <v/>
      </c>
      <c r="CA505" s="136" t="str">
        <f aca="false">IF(ISBLANK($C505),"",IF($BD505&lt;&gt;Constants!$B$6,$BD505,$BH505))</f>
        <v/>
      </c>
      <c r="CB505" s="137" t="str">
        <f aca="false">IF(ISBLANK($C505),"",$BE505)</f>
        <v/>
      </c>
      <c r="CC505" s="138" t="str">
        <f aca="false">IF(ISBLANK($C505),"",$BS505)</f>
        <v/>
      </c>
      <c r="CD505" s="138" t="str">
        <f aca="false">IF(ISBLANK($C505),"",$BR505)</f>
        <v/>
      </c>
      <c r="CE505" s="139" t="str">
        <f aca="false">IF(ISBLANK($C505),"",IF($CD505=Constants!$B$9,COUNTA($C$9:$C$508)+2,IF($CD505=Constants!$B$8,COUNTA($C$9:$C$508)+1,IF($CD505=Constants!$B$7,COUNTA($C$9:$C$508),$CD505))))</f>
        <v/>
      </c>
      <c r="CF505" s="9"/>
      <c r="CG505" s="140" t="n">
        <f aca="false">IF(OR(ISNUMBER($CD505),$CD505=Constants!$B$9,$CD505=Constants!$B$7,$CD505=Constants!$B$8),1,0)</f>
        <v>0</v>
      </c>
      <c r="CH505" s="140" t="n">
        <v>497</v>
      </c>
      <c r="CI505" s="140" t="str">
        <f aca="false">IF(ISBLANK($C505),"",IF(ISNUMBER($CE505),$CE505+ROW($B505)/1000,""))</f>
        <v/>
      </c>
      <c r="CJ505" s="140" t="str">
        <f aca="false">IF(ISNUMBER($CI505),RANK($CI505,$CI$9:$CI$508,1),"")</f>
        <v/>
      </c>
      <c r="CK505" s="140" t="str">
        <f aca="false">IF(ISBLANK($C505),"",$B505)</f>
        <v/>
      </c>
      <c r="CL505" s="140" t="str">
        <f aca="false">IF(ISBLANK($C505),"",$C505)</f>
        <v/>
      </c>
      <c r="CM505" s="140" t="str">
        <f aca="false">IF(ISBLANK($C505),"",$D505)</f>
        <v/>
      </c>
      <c r="CN505" s="141" t="str">
        <f aca="false">$CB505</f>
        <v/>
      </c>
      <c r="CO505" s="142" t="str">
        <f aca="false">$CA505</f>
        <v/>
      </c>
      <c r="CP505" s="140" t="str">
        <f aca="false">IF(ISBLANK($C505),"",$CD505)</f>
        <v/>
      </c>
      <c r="CQ505" s="143" t="str">
        <f aca="false">IF($CH505&gt;$CG$8,"",VLOOKUP($CH505,$CJ$9:$CP$508,7,FALSE()))</f>
        <v/>
      </c>
      <c r="CR505" s="144" t="str">
        <f aca="false">IF($CH505&gt;$CG$8,"",VLOOKUP($CH505,$CJ$9:$CP$508,2,FALSE()))</f>
        <v/>
      </c>
      <c r="CS505" s="144" t="str">
        <f aca="false">IF($CH505&gt;$CG$8,"",VLOOKUP($CH505,$CJ$9:$CP$508,3,FALSE()))</f>
        <v/>
      </c>
      <c r="CT505" s="144" t="str">
        <f aca="false">IF($CH505&gt;$CG$8,"",VLOOKUP($CH505,$CJ$9:$CP$508,4,FALSE()))</f>
        <v/>
      </c>
      <c r="CU505" s="144" t="str">
        <f aca="false">IF($CH505&gt;$CG$8,"",VLOOKUP($CH505,$CJ$9:$CP$508,5,FALSE()))</f>
        <v/>
      </c>
      <c r="CV505" s="145" t="str">
        <f aca="false">IF($CH505&gt;$CG$8,"",VLOOKUP($CH505,$CJ$9:$CP$508,6,FALSE()))</f>
        <v/>
      </c>
      <c r="CW505" s="71"/>
    </row>
    <row r="506" customFormat="false" ht="15.75" hidden="false" customHeight="false" outlineLevel="0" collapsed="false">
      <c r="A506" s="9"/>
      <c r="B506" s="150"/>
      <c r="C506" s="151"/>
      <c r="D506" s="152"/>
      <c r="E506" s="170"/>
      <c r="F506" s="154"/>
      <c r="G506" s="155"/>
      <c r="H506" s="171"/>
      <c r="I506" s="159"/>
      <c r="J506" s="120"/>
      <c r="K506" s="121"/>
      <c r="L506" s="122"/>
      <c r="M506" s="158"/>
      <c r="N506" s="159"/>
      <c r="O506" s="159"/>
      <c r="P506" s="120"/>
      <c r="Q506" s="122"/>
      <c r="R506" s="122"/>
      <c r="S506" s="158"/>
      <c r="T506" s="159"/>
      <c r="U506" s="126"/>
      <c r="V506" s="127"/>
      <c r="W506" s="127" t="str">
        <f aca="false">IF(ISBLANK($C506),"",IF(E506=Constants!$B$2,TRUE(),IF(E506=Constants!$B$3,FALSE(),TRUE())))</f>
        <v/>
      </c>
      <c r="X506" s="127" t="str">
        <f aca="false">IF(ISBLANK($C506),"",IF(F506=Constants!$B$2,TRUE(),IF(F506=Constants!$B$3,FALSE(),TRUE())))</f>
        <v/>
      </c>
      <c r="Y506" s="127" t="str">
        <f aca="false">IF(ISBLANK($C506),"",IF(G506=Constants!$B$2,TRUE(),IF(G506=Constants!$B$3,FALSE(),TRUE())))</f>
        <v/>
      </c>
      <c r="Z506" s="127" t="str">
        <f aca="false">IF(ISBLANK($C506),"",IF(H506=Constants!$B$2,TRUE(),IF(H506=Constants!$B$3,FALSE(),TRUE())))</f>
        <v/>
      </c>
      <c r="AA506" s="127" t="str">
        <f aca="false">IF(ISBLANK($C506),"",IF(I506=Constants!$B$2,TRUE(),IF(I506=Constants!$B$3,FALSE(),TRUE())))</f>
        <v/>
      </c>
      <c r="AB506" s="127" t="str">
        <f aca="false">IF(ISBLANK($C506),"",IF(J506=Constants!$B$4,TRUE(),IF(J506=Constants!$B$5,FALSE(),COUNTA(K506:M506)&gt;0)))</f>
        <v/>
      </c>
      <c r="AC506" s="128" t="str">
        <f aca="false">IF(ISBLANK($C506),"",IF(ISNUMBER(K506),IF(K506&gt;=0,K506,""),""))</f>
        <v/>
      </c>
      <c r="AD506" s="129" t="str">
        <f aca="false">IF(ISBLANK($C506),"",IF(ISNUMBER(L506),IF(L506&gt;=0,L506,""),""))</f>
        <v/>
      </c>
      <c r="AE506" s="127" t="str">
        <f aca="false">IF(ISBLANK($C506),"",IF(ISNUMBER(M506),IF(M506&gt;=0,MIN(M506,Constants!$B$22),""),""))</f>
        <v/>
      </c>
      <c r="AF506" s="127" t="str">
        <f aca="false">IF(ISBLANK($C506),"",IF(N506=Constants!$B$2,TRUE(),IF(N506=Constants!$B$3,FALSE(),TRUE())))</f>
        <v/>
      </c>
      <c r="AG506" s="127" t="str">
        <f aca="false">IF(ISBLANK($C506),"",IF(O506=Constants!$B$2,TRUE(),IF(O506=Constants!$B$3,FALSE(),TRUE())))</f>
        <v/>
      </c>
      <c r="AH506" s="127" t="str">
        <f aca="false">IF(ISBLANK($C506),"",IF(P506=Constants!$B$4,TRUE(),IF(P506=Constants!$B$5,FALSE(),COUNTA(Q506:S506)&gt;0)))</f>
        <v/>
      </c>
      <c r="AI506" s="128" t="str">
        <f aca="false">IF(ISBLANK($C506),"",IF(ISNUMBER(Q506),IF(Q506&gt;=0,Q506,""),""))</f>
        <v/>
      </c>
      <c r="AJ506" s="129" t="str">
        <f aca="false">IF(ISBLANK($C506),"",IF(ISNUMBER(R506),IF(R506&gt;=0,R506,""),""))</f>
        <v/>
      </c>
      <c r="AK506" s="127" t="str">
        <f aca="false">IF(ISBLANK($C506),"",IF(ISNUMBER(S506),IF(S506&gt;=0,MIN(S506,Constants!$B$22),""),""))</f>
        <v/>
      </c>
      <c r="AL506" s="127" t="str">
        <f aca="false">IF(ISBLANK($C506),"",IF(T506=Constants!$B$2,TRUE(),IF(T506=Constants!$B$3,FALSE(),FALSE())))</f>
        <v/>
      </c>
      <c r="AM506" s="126" t="str">
        <f aca="false">IF(ISBLANK($C506),"",AND($AB506,OR($AC506="",$AD506="",AND(NOT(ISBLANK($M506)),$AE506=""))))</f>
        <v/>
      </c>
      <c r="AN506" s="129" t="str">
        <f aca="false">IF($BD506&lt;&gt;Constants!$B$6,"",IF($AB506,Constants!$B$17*$AD506,Constants!$B$18))</f>
        <v/>
      </c>
      <c r="AO506" s="130" t="str">
        <f aca="false">IF($BD506&lt;&gt;Constants!$B$6,"",Constants!$B$19*IF($AB506,$AC506,0))</f>
        <v/>
      </c>
      <c r="AP506" s="130" t="str">
        <f aca="false">IF($BD506&lt;&gt;Constants!$B$6,"",IF(AND($AB506,ISNUMBER($AE506)),Constants!$B$20*(Constants!$B$21-$AE506),0))</f>
        <v/>
      </c>
      <c r="AQ506" s="130" t="str">
        <f aca="false">IF($BD506&lt;&gt;Constants!$B$6,"",IF($AA506,0,Constants!$B$12)+IF($Z506,0,Constants!$B$13)+IF($Y506,0,Constants!$B$14))</f>
        <v/>
      </c>
      <c r="AR506" s="131" t="str">
        <f aca="false">IF($BD506&lt;&gt;Constants!$B$6,"",Constants!$B$16+SUM($AN506:$AQ506))</f>
        <v/>
      </c>
      <c r="AS506" s="130" t="str">
        <f aca="false">IF($BD506&lt;&gt;Constants!$B$6,"",IF($AB506,$AD506,""))</f>
        <v/>
      </c>
      <c r="AT506" s="132" t="str">
        <f aca="false">IF($BD506&lt;&gt;Constants!$B$6,"",$AO506)</f>
        <v/>
      </c>
      <c r="AU506" s="127" t="str">
        <f aca="false">IF($BD506&lt;&gt;Constants!$B$6,"",IF(OR($BA506&lt;$AR506,AND($BA506=$AR506,OR(AND(ISNUMBER($BB506),OR(NOT(ISNUMBER($AS506)),$BB506&lt;$AS506)),AND(OR(AND($BB506="",$AS506=""),AND(ISNUMBER($BB506),ISNUMBER($AS506),$BB506=$AS506)),$BC506&lt;$AT506)))),"-&gt;","&lt;-"))</f>
        <v/>
      </c>
      <c r="AV506" s="126" t="str">
        <f aca="false">IF(ISBLANK($C506),"",AND($AH506,OR($AI506="",$AJ506="",AND(NOT(ISBLANK($S506)),$AK506=""))))</f>
        <v/>
      </c>
      <c r="AW506" s="129" t="str">
        <f aca="false">IF($BD506&lt;&gt;Constants!$B$6,"",IF($AH506,Constants!$B$17*$AJ506,Constants!$B$18))</f>
        <v/>
      </c>
      <c r="AX506" s="130" t="str">
        <f aca="false">IF($BD506&lt;&gt;Constants!$B$6,"",Constants!$B$19*IF($AH506,$AI506,0))</f>
        <v/>
      </c>
      <c r="AY506" s="130" t="str">
        <f aca="false">IF($BD506&lt;&gt;Constants!$B$6,"",IF(AND($AH506,ISNUMBER($AK506)),Constants!$B$20*(Constants!$B$21-$AK506),0))</f>
        <v/>
      </c>
      <c r="AZ506" s="130" t="str">
        <f aca="false">IF($BD506&lt;&gt;Constants!$B$6,"",IF($AG506,0,Constants!$B$12)+IF($AF506,0,Constants!$B$13)+IF($Y506,0,Constants!$B$14))</f>
        <v/>
      </c>
      <c r="BA506" s="131" t="str">
        <f aca="false">IF($BD506&lt;&gt;Constants!$B$6,"",Constants!$B$16+SUM($AW506:$AZ506))</f>
        <v/>
      </c>
      <c r="BB506" s="130" t="str">
        <f aca="false">IF($BD506&lt;&gt;Constants!$B$6,"",IF($AH506,$AJ506,""))</f>
        <v/>
      </c>
      <c r="BC506" s="132" t="str">
        <f aca="false">IF($BD506&lt;&gt;Constants!$B$6,"",$AX506)</f>
        <v/>
      </c>
      <c r="BD506" s="127" t="str">
        <f aca="false">IF(ISBLANK($C506),"",IF($AL506,Constants!$B$9,IF(COUNTA($E506:$T506)=0,Constants!$B$8,IF(NOT($X506),Constants!$B$7,IF(OR($AM506,$AV506),Constants!$B$10,Constants!$B$6)))))</f>
        <v/>
      </c>
      <c r="BE506" s="127" t="str">
        <f aca="false">IF(ISBLANK($C506),"",IF($BD506&lt;&gt;Constants!$B$6,$BD506,Constants!$B$11))</f>
        <v/>
      </c>
      <c r="BF506" s="130" t="str">
        <f aca="false">IF($BD506&lt;&gt;Constants!$B$6,"",IF($AU506="-&gt;",$BA506,$AR506))</f>
        <v/>
      </c>
      <c r="BG506" s="130" t="str">
        <f aca="false">IF($BD506&lt;&gt;Constants!$B$6,"",IF($W506,0,Constants!$B$15))</f>
        <v/>
      </c>
      <c r="BH506" s="130" t="str">
        <f aca="false">IF(ISBLANK($C506),"",IF($BD506&lt;&gt;Constants!$B$6,$BD506,SUM($BF506:$BG506)))</f>
        <v/>
      </c>
      <c r="BI506" s="127" t="str">
        <f aca="false">IF(ISBLANK($C506),"",IF($BD506&lt;&gt;Constants!$B$6,$BD506,RANK($BH506,$BH$9:$BH$508,1)))</f>
        <v/>
      </c>
      <c r="BJ506" s="130" t="str">
        <f aca="false">IF($BD506&lt;&gt;Constants!$B$6,"",IF($AU506="-&gt;",$BB506,$AS506))</f>
        <v/>
      </c>
      <c r="BK506" s="127" t="str">
        <f aca="false">IF(ISBLANK($C506),"",IF($BD506&lt;&gt;Constants!$B$6,$BD506,IF(ISNUMBER($BJ506),RANK($BJ506,$BJ$9:$BJ$508,1),COUNT($BJ$9:$BJ$508)+1)))</f>
        <v/>
      </c>
      <c r="BL506" s="130" t="str">
        <f aca="false">IF($BD506&lt;&gt;Constants!$B$6,"",IF($AU506="-&gt;",$BC506,$AT506))</f>
        <v/>
      </c>
      <c r="BM506" s="127" t="str">
        <f aca="false">IF(ISBLANK($C506),"",IF($BD506&lt;&gt;Constants!$B$6,$BD506,IF(ISNUMBER($BL506),RANK($BL506,$BL$9:$BL$508,1),COUNT($BL$9:$BL$508)+1)))</f>
        <v/>
      </c>
      <c r="BN506" s="130" t="str">
        <f aca="false">IF($BD506&lt;&gt;Constants!$B$6,"",IF($AU506="-&gt;",$AS506,$BB506))</f>
        <v/>
      </c>
      <c r="BO506" s="127" t="str">
        <f aca="false">IF(ISBLANK($C506),"",IF($BD506&lt;&gt;Constants!$B$6,$BD506,IF(ISNUMBER($BN506),RANK($BN506,$BN$9:$BN$508,1),COUNT($BN$9:$BN$508)+1)))</f>
        <v/>
      </c>
      <c r="BP506" s="130" t="str">
        <f aca="false">IF($BD506&lt;&gt;Constants!$B$6,"",IF($AU506="-&gt;",$AT506,$BC506))</f>
        <v/>
      </c>
      <c r="BQ506" s="127" t="str">
        <f aca="false">IF(ISBLANK($C506),"",IF($BD506&lt;&gt;Constants!$B$6,$BD506,IF(ISNUMBER($BP506),RANK($BP506,$BP$9:$BP$508,1),COUNT($BP$9:$BP$508)+1)))</f>
        <v/>
      </c>
      <c r="BR506" s="127" t="str">
        <f aca="false">IF(ISBLANK($C506),"",IF($BD506&lt;&gt;Constants!$B$6,$BD506,COUNTIFS($BI$9:$BI$508,"&lt;"&amp;$BI506)+COUNTIFS($BI$9:$BI$508,$BI506,$BK$9:$BK$508,"&lt;"&amp;$BK506)+COUNTIFS($BI$9:$BI$508,$BI506,$BK$9:$BK$508,$BK506,$BM$9:$BM$508,"&lt;"&amp;$BM506)+COUNTIFS($BI$9:$BI$508,$BI506,$BK$9:$BK$508,$BK506,$BM$9:$BM$508,$BM506,$BO$9:$BO$508,"&lt;"&amp;$BO506)+COUNTIFS($BI$9:$BI$508,$BI506,$BK$9:$BK$508,$BK506,$BM$9:$BM$508,$BM506,$BO$9:$BO$508,$BO506,$BQ$9:$BQ$508,"&lt;"&amp;$BQ506)+1))</f>
        <v/>
      </c>
      <c r="BS506" s="127" t="str">
        <f aca="false">IF(ISBLANK($C506),"",IF($BD506&lt;&gt;Constants!$B$6,$BD506,$BI506-$BR506))</f>
        <v/>
      </c>
      <c r="BT506" s="133"/>
      <c r="BU506" s="134"/>
      <c r="BV506" s="134" t="str">
        <f aca="false">IF(ISBLANK($C506),"",IF($BD506&lt;&gt;Constants!$B$6,"",IF($AU506="-&gt;",2,1)))</f>
        <v/>
      </c>
      <c r="BW506" s="135" t="str">
        <f aca="false">IF(ISBLANK($C506),"",IF($BD506&lt;&gt;Constants!$B$6,"",IF($AU506="-&gt;",$AW506,$AN506)))</f>
        <v/>
      </c>
      <c r="BX506" s="135" t="str">
        <f aca="false">IF(ISBLANK($C506),"",IF($BD506&lt;&gt;Constants!$B$6,"",IF($AU506="-&gt;",$AX506,$AO506)))</f>
        <v/>
      </c>
      <c r="BY506" s="135" t="str">
        <f aca="false">IF(ISBLANK($C506),"",IF($BD506&lt;&gt;Constants!$B$6,"",IF($AU506="-&gt;",$AY506,$AP506)))</f>
        <v/>
      </c>
      <c r="BZ506" s="135" t="str">
        <f aca="false">IF(ISBLANK($C506),"",IF($BD506&lt;&gt;Constants!$B$6,"",IF($AU506="-&gt;",$AZ506,$AQ506)+$BG506))</f>
        <v/>
      </c>
      <c r="CA506" s="136" t="str">
        <f aca="false">IF(ISBLANK($C506),"",IF($BD506&lt;&gt;Constants!$B$6,$BD506,$BH506))</f>
        <v/>
      </c>
      <c r="CB506" s="137" t="str">
        <f aca="false">IF(ISBLANK($C506),"",$BE506)</f>
        <v/>
      </c>
      <c r="CC506" s="138" t="str">
        <f aca="false">IF(ISBLANK($C506),"",$BS506)</f>
        <v/>
      </c>
      <c r="CD506" s="138" t="str">
        <f aca="false">IF(ISBLANK($C506),"",$BR506)</f>
        <v/>
      </c>
      <c r="CE506" s="139" t="str">
        <f aca="false">IF(ISBLANK($C506),"",IF($CD506=Constants!$B$9,COUNTA($C$9:$C$508)+2,IF($CD506=Constants!$B$8,COUNTA($C$9:$C$508)+1,IF($CD506=Constants!$B$7,COUNTA($C$9:$C$508),$CD506))))</f>
        <v/>
      </c>
      <c r="CF506" s="9"/>
      <c r="CG506" s="140" t="n">
        <f aca="false">IF(OR(ISNUMBER($CD506),$CD506=Constants!$B$9,$CD506=Constants!$B$7,$CD506=Constants!$B$8),1,0)</f>
        <v>0</v>
      </c>
      <c r="CH506" s="140" t="n">
        <v>498</v>
      </c>
      <c r="CI506" s="140" t="str">
        <f aca="false">IF(ISBLANK($C506),"",IF(ISNUMBER($CE506),$CE506+ROW($B506)/1000,""))</f>
        <v/>
      </c>
      <c r="CJ506" s="140" t="str">
        <f aca="false">IF(ISNUMBER($CI506),RANK($CI506,$CI$9:$CI$508,1),"")</f>
        <v/>
      </c>
      <c r="CK506" s="140" t="str">
        <f aca="false">IF(ISBLANK($C506),"",$B506)</f>
        <v/>
      </c>
      <c r="CL506" s="140" t="str">
        <f aca="false">IF(ISBLANK($C506),"",$C506)</f>
        <v/>
      </c>
      <c r="CM506" s="140" t="str">
        <f aca="false">IF(ISBLANK($C506),"",$D506)</f>
        <v/>
      </c>
      <c r="CN506" s="141" t="str">
        <f aca="false">$CB506</f>
        <v/>
      </c>
      <c r="CO506" s="142" t="str">
        <f aca="false">$CA506</f>
        <v/>
      </c>
      <c r="CP506" s="140" t="str">
        <f aca="false">IF(ISBLANK($C506),"",$CD506)</f>
        <v/>
      </c>
      <c r="CQ506" s="143" t="str">
        <f aca="false">IF($CH506&gt;$CG$8,"",VLOOKUP($CH506,$CJ$9:$CP$508,7,FALSE()))</f>
        <v/>
      </c>
      <c r="CR506" s="144" t="str">
        <f aca="false">IF($CH506&gt;$CG$8,"",VLOOKUP($CH506,$CJ$9:$CP$508,2,FALSE()))</f>
        <v/>
      </c>
      <c r="CS506" s="144" t="str">
        <f aca="false">IF($CH506&gt;$CG$8,"",VLOOKUP($CH506,$CJ$9:$CP$508,3,FALSE()))</f>
        <v/>
      </c>
      <c r="CT506" s="144" t="str">
        <f aca="false">IF($CH506&gt;$CG$8,"",VLOOKUP($CH506,$CJ$9:$CP$508,4,FALSE()))</f>
        <v/>
      </c>
      <c r="CU506" s="144" t="str">
        <f aca="false">IF($CH506&gt;$CG$8,"",VLOOKUP($CH506,$CJ$9:$CP$508,5,FALSE()))</f>
        <v/>
      </c>
      <c r="CV506" s="145" t="str">
        <f aca="false">IF($CH506&gt;$CG$8,"",VLOOKUP($CH506,$CJ$9:$CP$508,6,FALSE()))</f>
        <v/>
      </c>
      <c r="CW506" s="71"/>
    </row>
    <row r="507" customFormat="false" ht="15.75" hidden="false" customHeight="false" outlineLevel="0" collapsed="false">
      <c r="A507" s="9"/>
      <c r="B507" s="72"/>
      <c r="C507" s="73"/>
      <c r="D507" s="160"/>
      <c r="E507" s="168"/>
      <c r="F507" s="162"/>
      <c r="G507" s="163"/>
      <c r="H507" s="169"/>
      <c r="I507" s="167"/>
      <c r="J507" s="80"/>
      <c r="K507" s="81"/>
      <c r="L507" s="82"/>
      <c r="M507" s="166"/>
      <c r="N507" s="167"/>
      <c r="O507" s="167"/>
      <c r="P507" s="80"/>
      <c r="Q507" s="82"/>
      <c r="R507" s="82"/>
      <c r="S507" s="166"/>
      <c r="T507" s="167"/>
      <c r="U507" s="86"/>
      <c r="V507" s="87"/>
      <c r="W507" s="87" t="str">
        <f aca="false">IF(ISBLANK($C507),"",IF(E507=Constants!$B$2,TRUE(),IF(E507=Constants!$B$3,FALSE(),TRUE())))</f>
        <v/>
      </c>
      <c r="X507" s="87" t="str">
        <f aca="false">IF(ISBLANK($C507),"",IF(F507=Constants!$B$2,TRUE(),IF(F507=Constants!$B$3,FALSE(),TRUE())))</f>
        <v/>
      </c>
      <c r="Y507" s="87" t="str">
        <f aca="false">IF(ISBLANK($C507),"",IF(G507=Constants!$B$2,TRUE(),IF(G507=Constants!$B$3,FALSE(),TRUE())))</f>
        <v/>
      </c>
      <c r="Z507" s="87" t="str">
        <f aca="false">IF(ISBLANK($C507),"",IF(H507=Constants!$B$2,TRUE(),IF(H507=Constants!$B$3,FALSE(),TRUE())))</f>
        <v/>
      </c>
      <c r="AA507" s="87" t="str">
        <f aca="false">IF(ISBLANK($C507),"",IF(I507=Constants!$B$2,TRUE(),IF(I507=Constants!$B$3,FALSE(),TRUE())))</f>
        <v/>
      </c>
      <c r="AB507" s="87" t="str">
        <f aca="false">IF(ISBLANK($C507),"",IF(J507=Constants!$B$4,TRUE(),IF(J507=Constants!$B$5,FALSE(),COUNTA(K507:M507)&gt;0)))</f>
        <v/>
      </c>
      <c r="AC507" s="88" t="str">
        <f aca="false">IF(ISBLANK($C507),"",IF(ISNUMBER(K507),IF(K507&gt;=0,K507,""),""))</f>
        <v/>
      </c>
      <c r="AD507" s="89" t="str">
        <f aca="false">IF(ISBLANK($C507),"",IF(ISNUMBER(L507),IF(L507&gt;=0,L507,""),""))</f>
        <v/>
      </c>
      <c r="AE507" s="87" t="str">
        <f aca="false">IF(ISBLANK($C507),"",IF(ISNUMBER(M507),IF(M507&gt;=0,MIN(M507,Constants!$B$22),""),""))</f>
        <v/>
      </c>
      <c r="AF507" s="87" t="str">
        <f aca="false">IF(ISBLANK($C507),"",IF(N507=Constants!$B$2,TRUE(),IF(N507=Constants!$B$3,FALSE(),TRUE())))</f>
        <v/>
      </c>
      <c r="AG507" s="87" t="str">
        <f aca="false">IF(ISBLANK($C507),"",IF(O507=Constants!$B$2,TRUE(),IF(O507=Constants!$B$3,FALSE(),TRUE())))</f>
        <v/>
      </c>
      <c r="AH507" s="87" t="str">
        <f aca="false">IF(ISBLANK($C507),"",IF(P507=Constants!$B$4,TRUE(),IF(P507=Constants!$B$5,FALSE(),COUNTA(Q507:S507)&gt;0)))</f>
        <v/>
      </c>
      <c r="AI507" s="88" t="str">
        <f aca="false">IF(ISBLANK($C507),"",IF(ISNUMBER(Q507),IF(Q507&gt;=0,Q507,""),""))</f>
        <v/>
      </c>
      <c r="AJ507" s="89" t="str">
        <f aca="false">IF(ISBLANK($C507),"",IF(ISNUMBER(R507),IF(R507&gt;=0,R507,""),""))</f>
        <v/>
      </c>
      <c r="AK507" s="87" t="str">
        <f aca="false">IF(ISBLANK($C507),"",IF(ISNUMBER(S507),IF(S507&gt;=0,MIN(S507,Constants!$B$22),""),""))</f>
        <v/>
      </c>
      <c r="AL507" s="87" t="str">
        <f aca="false">IF(ISBLANK($C507),"",IF(T507=Constants!$B$2,TRUE(),IF(T507=Constants!$B$3,FALSE(),FALSE())))</f>
        <v/>
      </c>
      <c r="AM507" s="86" t="str">
        <f aca="false">IF(ISBLANK($C507),"",AND($AB507,OR($AC507="",$AD507="",AND(NOT(ISBLANK($M507)),$AE507=""))))</f>
        <v/>
      </c>
      <c r="AN507" s="89" t="str">
        <f aca="false">IF($BD507&lt;&gt;Constants!$B$6,"",IF($AB507,Constants!$B$17*$AD507,Constants!$B$18))</f>
        <v/>
      </c>
      <c r="AO507" s="91" t="str">
        <f aca="false">IF($BD507&lt;&gt;Constants!$B$6,"",Constants!$B$19*IF($AB507,$AC507,0))</f>
        <v/>
      </c>
      <c r="AP507" s="91" t="str">
        <f aca="false">IF($BD507&lt;&gt;Constants!$B$6,"",IF(AND($AB507,ISNUMBER($AE507)),Constants!$B$20*(Constants!$B$21-$AE507),0))</f>
        <v/>
      </c>
      <c r="AQ507" s="91" t="str">
        <f aca="false">IF($BD507&lt;&gt;Constants!$B$6,"",IF($AA507,0,Constants!$B$12)+IF($Z507,0,Constants!$B$13)+IF($Y507,0,Constants!$B$14))</f>
        <v/>
      </c>
      <c r="AR507" s="92" t="str">
        <f aca="false">IF($BD507&lt;&gt;Constants!$B$6,"",Constants!$B$16+SUM($AN507:$AQ507))</f>
        <v/>
      </c>
      <c r="AS507" s="91" t="str">
        <f aca="false">IF($BD507&lt;&gt;Constants!$B$6,"",IF($AB507,$AD507,""))</f>
        <v/>
      </c>
      <c r="AT507" s="93" t="str">
        <f aca="false">IF($BD507&lt;&gt;Constants!$B$6,"",$AO507)</f>
        <v/>
      </c>
      <c r="AU507" s="87" t="str">
        <f aca="false">IF($BD507&lt;&gt;Constants!$B$6,"",IF(OR($BA507&lt;$AR507,AND($BA507=$AR507,OR(AND(ISNUMBER($BB507),OR(NOT(ISNUMBER($AS507)),$BB507&lt;$AS507)),AND(OR(AND($BB507="",$AS507=""),AND(ISNUMBER($BB507),ISNUMBER($AS507),$BB507=$AS507)),$BC507&lt;$AT507)))),"-&gt;","&lt;-"))</f>
        <v/>
      </c>
      <c r="AV507" s="86" t="str">
        <f aca="false">IF(ISBLANK($C507),"",AND($AH507,OR($AI507="",$AJ507="",AND(NOT(ISBLANK($S507)),$AK507=""))))</f>
        <v/>
      </c>
      <c r="AW507" s="89" t="str">
        <f aca="false">IF($BD507&lt;&gt;Constants!$B$6,"",IF($AH507,Constants!$B$17*$AJ507,Constants!$B$18))</f>
        <v/>
      </c>
      <c r="AX507" s="91" t="str">
        <f aca="false">IF($BD507&lt;&gt;Constants!$B$6,"",Constants!$B$19*IF($AH507,$AI507,0))</f>
        <v/>
      </c>
      <c r="AY507" s="91" t="str">
        <f aca="false">IF($BD507&lt;&gt;Constants!$B$6,"",IF(AND($AH507,ISNUMBER($AK507)),Constants!$B$20*(Constants!$B$21-$AK507),0))</f>
        <v/>
      </c>
      <c r="AZ507" s="91" t="str">
        <f aca="false">IF($BD507&lt;&gt;Constants!$B$6,"",IF($AG507,0,Constants!$B$12)+IF($AF507,0,Constants!$B$13)+IF($Y507,0,Constants!$B$14))</f>
        <v/>
      </c>
      <c r="BA507" s="92" t="str">
        <f aca="false">IF($BD507&lt;&gt;Constants!$B$6,"",Constants!$B$16+SUM($AW507:$AZ507))</f>
        <v/>
      </c>
      <c r="BB507" s="91" t="str">
        <f aca="false">IF($BD507&lt;&gt;Constants!$B$6,"",IF($AH507,$AJ507,""))</f>
        <v/>
      </c>
      <c r="BC507" s="93" t="str">
        <f aca="false">IF($BD507&lt;&gt;Constants!$B$6,"",$AX507)</f>
        <v/>
      </c>
      <c r="BD507" s="87" t="str">
        <f aca="false">IF(ISBLANK($C507),"",IF($AL507,Constants!$B$9,IF(COUNTA($E507:$T507)=0,Constants!$B$8,IF(NOT($X507),Constants!$B$7,IF(OR($AM507,$AV507),Constants!$B$10,Constants!$B$6)))))</f>
        <v/>
      </c>
      <c r="BE507" s="87" t="str">
        <f aca="false">IF(ISBLANK($C507),"",IF($BD507&lt;&gt;Constants!$B$6,$BD507,Constants!$B$11))</f>
        <v/>
      </c>
      <c r="BF507" s="91" t="str">
        <f aca="false">IF($BD507&lt;&gt;Constants!$B$6,"",IF($AU507="-&gt;",$BA507,$AR507))</f>
        <v/>
      </c>
      <c r="BG507" s="91" t="str">
        <f aca="false">IF($BD507&lt;&gt;Constants!$B$6,"",IF($W507,0,Constants!$B$15))</f>
        <v/>
      </c>
      <c r="BH507" s="91" t="str">
        <f aca="false">IF(ISBLANK($C507),"",IF($BD507&lt;&gt;Constants!$B$6,$BD507,SUM($BF507:$BG507)))</f>
        <v/>
      </c>
      <c r="BI507" s="87" t="str">
        <f aca="false">IF(ISBLANK($C507),"",IF($BD507&lt;&gt;Constants!$B$6,$BD507,RANK($BH507,$BH$9:$BH$508,1)))</f>
        <v/>
      </c>
      <c r="BJ507" s="91" t="str">
        <f aca="false">IF($BD507&lt;&gt;Constants!$B$6,"",IF($AU507="-&gt;",$BB507,$AS507))</f>
        <v/>
      </c>
      <c r="BK507" s="87" t="str">
        <f aca="false">IF(ISBLANK($C507),"",IF($BD507&lt;&gt;Constants!$B$6,$BD507,IF(ISNUMBER($BJ507),RANK($BJ507,$BJ$9:$BJ$508,1),COUNT($BJ$9:$BJ$508)+1)))</f>
        <v/>
      </c>
      <c r="BL507" s="91" t="str">
        <f aca="false">IF($BD507&lt;&gt;Constants!$B$6,"",IF($AU507="-&gt;",$BC507,$AT507))</f>
        <v/>
      </c>
      <c r="BM507" s="87" t="str">
        <f aca="false">IF(ISBLANK($C507),"",IF($BD507&lt;&gt;Constants!$B$6,$BD507,IF(ISNUMBER($BL507),RANK($BL507,$BL$9:$BL$508,1),COUNT($BL$9:$BL$508)+1)))</f>
        <v/>
      </c>
      <c r="BN507" s="91" t="str">
        <f aca="false">IF($BD507&lt;&gt;Constants!$B$6,"",IF($AU507="-&gt;",$AS507,$BB507))</f>
        <v/>
      </c>
      <c r="BO507" s="87" t="str">
        <f aca="false">IF(ISBLANK($C507),"",IF($BD507&lt;&gt;Constants!$B$6,$BD507,IF(ISNUMBER($BN507),RANK($BN507,$BN$9:$BN$508,1),COUNT($BN$9:$BN$508)+1)))</f>
        <v/>
      </c>
      <c r="BP507" s="91" t="str">
        <f aca="false">IF($BD507&lt;&gt;Constants!$B$6,"",IF($AU507="-&gt;",$AT507,$BC507))</f>
        <v/>
      </c>
      <c r="BQ507" s="87" t="str">
        <f aca="false">IF(ISBLANK($C507),"",IF($BD507&lt;&gt;Constants!$B$6,$BD507,IF(ISNUMBER($BP507),RANK($BP507,$BP$9:$BP$508,1),COUNT($BP$9:$BP$508)+1)))</f>
        <v/>
      </c>
      <c r="BR507" s="87" t="str">
        <f aca="false">IF(ISBLANK($C507),"",IF($BD507&lt;&gt;Constants!$B$6,$BD507,COUNTIFS($BI$9:$BI$508,"&lt;"&amp;$BI507)+COUNTIFS($BI$9:$BI$508,$BI507,$BK$9:$BK$508,"&lt;"&amp;$BK507)+COUNTIFS($BI$9:$BI$508,$BI507,$BK$9:$BK$508,$BK507,$BM$9:$BM$508,"&lt;"&amp;$BM507)+COUNTIFS($BI$9:$BI$508,$BI507,$BK$9:$BK$508,$BK507,$BM$9:$BM$508,$BM507,$BO$9:$BO$508,"&lt;"&amp;$BO507)+COUNTIFS($BI$9:$BI$508,$BI507,$BK$9:$BK$508,$BK507,$BM$9:$BM$508,$BM507,$BO$9:$BO$508,$BO507,$BQ$9:$BQ$508,"&lt;"&amp;$BQ507)+1))</f>
        <v/>
      </c>
      <c r="BS507" s="87" t="str">
        <f aca="false">IF(ISBLANK($C507),"",IF($BD507&lt;&gt;Constants!$B$6,$BD507,$BI507-$BR507))</f>
        <v/>
      </c>
      <c r="BT507" s="94"/>
      <c r="BU507" s="95"/>
      <c r="BV507" s="95" t="str">
        <f aca="false">IF(ISBLANK($C507),"",IF($BD507&lt;&gt;Constants!$B$6,"",IF($AU507="-&gt;",2,1)))</f>
        <v/>
      </c>
      <c r="BW507" s="96" t="str">
        <f aca="false">IF(ISBLANK($C507),"",IF($BD507&lt;&gt;Constants!$B$6,"",IF($AU507="-&gt;",$AW507,$AN507)))</f>
        <v/>
      </c>
      <c r="BX507" s="96" t="str">
        <f aca="false">IF(ISBLANK($C507),"",IF($BD507&lt;&gt;Constants!$B$6,"",IF($AU507="-&gt;",$AX507,$AO507)))</f>
        <v/>
      </c>
      <c r="BY507" s="96" t="str">
        <f aca="false">IF(ISBLANK($C507),"",IF($BD507&lt;&gt;Constants!$B$6,"",IF($AU507="-&gt;",$AY507,$AP507)))</f>
        <v/>
      </c>
      <c r="BZ507" s="96" t="str">
        <f aca="false">IF(ISBLANK($C507),"",IF($BD507&lt;&gt;Constants!$B$6,"",IF($AU507="-&gt;",$AZ507,$AQ507)+$BG507))</f>
        <v/>
      </c>
      <c r="CA507" s="97" t="str">
        <f aca="false">IF(ISBLANK($C507),"",IF($BD507&lt;&gt;Constants!$B$6,$BD507,$BH507))</f>
        <v/>
      </c>
      <c r="CB507" s="98" t="str">
        <f aca="false">IF(ISBLANK($C507),"",$BE507)</f>
        <v/>
      </c>
      <c r="CC507" s="99" t="str">
        <f aca="false">IF(ISBLANK($C507),"",$BS507)</f>
        <v/>
      </c>
      <c r="CD507" s="99" t="str">
        <f aca="false">IF(ISBLANK($C507),"",$BR507)</f>
        <v/>
      </c>
      <c r="CE507" s="100" t="str">
        <f aca="false">IF(ISBLANK($C507),"",IF($CD507=Constants!$B$9,COUNTA($C$9:$C$508)+2,IF($CD507=Constants!$B$8,COUNTA($C$9:$C$508)+1,IF($CD507=Constants!$B$7,COUNTA($C$9:$C$508),$CD507))))</f>
        <v/>
      </c>
      <c r="CF507" s="9"/>
      <c r="CG507" s="101" t="n">
        <f aca="false">IF(OR(ISNUMBER($CD507),$CD507=Constants!$B$9,$CD507=Constants!$B$7,$CD507=Constants!$B$8),1,0)</f>
        <v>0</v>
      </c>
      <c r="CH507" s="101" t="n">
        <v>499</v>
      </c>
      <c r="CI507" s="101" t="str">
        <f aca="false">IF(ISBLANK($C507),"",IF(ISNUMBER($CE507),$CE507+ROW($B507)/1000,""))</f>
        <v/>
      </c>
      <c r="CJ507" s="101" t="str">
        <f aca="false">IF(ISNUMBER($CI507),RANK($CI507,$CI$9:$CI$508,1),"")</f>
        <v/>
      </c>
      <c r="CK507" s="101" t="str">
        <f aca="false">IF(ISBLANK($C507),"",$B507)</f>
        <v/>
      </c>
      <c r="CL507" s="101" t="str">
        <f aca="false">IF(ISBLANK($C507),"",$C507)</f>
        <v/>
      </c>
      <c r="CM507" s="101" t="str">
        <f aca="false">IF(ISBLANK($C507),"",$D507)</f>
        <v/>
      </c>
      <c r="CN507" s="102" t="str">
        <f aca="false">$CB507</f>
        <v/>
      </c>
      <c r="CO507" s="103" t="str">
        <f aca="false">$CA507</f>
        <v/>
      </c>
      <c r="CP507" s="101" t="str">
        <f aca="false">IF(ISBLANK($C507),"",$CD507)</f>
        <v/>
      </c>
      <c r="CQ507" s="104" t="str">
        <f aca="false">IF($CH507&gt;$CG$8,"",VLOOKUP($CH507,$CJ$9:$CP$508,7,FALSE()))</f>
        <v/>
      </c>
      <c r="CR507" s="105" t="str">
        <f aca="false">IF($CH507&gt;$CG$8,"",VLOOKUP($CH507,$CJ$9:$CP$508,2,FALSE()))</f>
        <v/>
      </c>
      <c r="CS507" s="105" t="str">
        <f aca="false">IF($CH507&gt;$CG$8,"",VLOOKUP($CH507,$CJ$9:$CP$508,3,FALSE()))</f>
        <v/>
      </c>
      <c r="CT507" s="105" t="str">
        <f aca="false">IF($CH507&gt;$CG$8,"",VLOOKUP($CH507,$CJ$9:$CP$508,4,FALSE()))</f>
        <v/>
      </c>
      <c r="CU507" s="105" t="str">
        <f aca="false">IF($CH507&gt;$CG$8,"",VLOOKUP($CH507,$CJ$9:$CP$508,5,FALSE()))</f>
        <v/>
      </c>
      <c r="CV507" s="106" t="str">
        <f aca="false">IF($CH507&gt;$CG$8,"",VLOOKUP($CH507,$CJ$9:$CP$508,6,FALSE()))</f>
        <v/>
      </c>
      <c r="CW507" s="71"/>
    </row>
    <row r="508" customFormat="false" ht="15.75" hidden="false" customHeight="false" outlineLevel="0" collapsed="false">
      <c r="A508" s="9"/>
      <c r="B508" s="72"/>
      <c r="C508" s="73"/>
      <c r="D508" s="160"/>
      <c r="E508" s="168"/>
      <c r="F508" s="162"/>
      <c r="G508" s="163"/>
      <c r="H508" s="169"/>
      <c r="I508" s="167"/>
      <c r="J508" s="80"/>
      <c r="K508" s="81"/>
      <c r="L508" s="82"/>
      <c r="M508" s="166"/>
      <c r="N508" s="167"/>
      <c r="O508" s="167"/>
      <c r="P508" s="80"/>
      <c r="Q508" s="82"/>
      <c r="R508" s="82"/>
      <c r="S508" s="166"/>
      <c r="T508" s="167"/>
      <c r="U508" s="86"/>
      <c r="V508" s="87"/>
      <c r="W508" s="87" t="str">
        <f aca="false">IF(ISBLANK($C508),"",IF(E508=Constants!$B$2,TRUE(),IF(E508=Constants!$B$3,FALSE(),TRUE())))</f>
        <v/>
      </c>
      <c r="X508" s="87" t="str">
        <f aca="false">IF(ISBLANK($C508),"",IF(F508=Constants!$B$2,TRUE(),IF(F508=Constants!$B$3,FALSE(),TRUE())))</f>
        <v/>
      </c>
      <c r="Y508" s="87" t="str">
        <f aca="false">IF(ISBLANK($C508),"",IF(G508=Constants!$B$2,TRUE(),IF(G508=Constants!$B$3,FALSE(),TRUE())))</f>
        <v/>
      </c>
      <c r="Z508" s="87" t="str">
        <f aca="false">IF(ISBLANK($C508),"",IF(H508=Constants!$B$2,TRUE(),IF(H508=Constants!$B$3,FALSE(),TRUE())))</f>
        <v/>
      </c>
      <c r="AA508" s="87" t="str">
        <f aca="false">IF(ISBLANK($C508),"",IF(I508=Constants!$B$2,TRUE(),IF(I508=Constants!$B$3,FALSE(),TRUE())))</f>
        <v/>
      </c>
      <c r="AB508" s="87" t="str">
        <f aca="false">IF(ISBLANK($C508),"",IF(J508=Constants!$B$4,TRUE(),IF(J508=Constants!$B$5,FALSE(),COUNTA(K508:M508)&gt;0)))</f>
        <v/>
      </c>
      <c r="AC508" s="88" t="str">
        <f aca="false">IF(ISBLANK($C508),"",IF(ISNUMBER(K508),IF(K508&gt;=0,K508,""),""))</f>
        <v/>
      </c>
      <c r="AD508" s="89" t="str">
        <f aca="false">IF(ISBLANK($C508),"",IF(ISNUMBER(L508),IF(L508&gt;=0,L508,""),""))</f>
        <v/>
      </c>
      <c r="AE508" s="87" t="str">
        <f aca="false">IF(ISBLANK($C508),"",IF(ISNUMBER(M508),IF(M508&gt;=0,MIN(M508,Constants!$B$22),""),""))</f>
        <v/>
      </c>
      <c r="AF508" s="87" t="str">
        <f aca="false">IF(ISBLANK($C508),"",IF(N508=Constants!$B$2,TRUE(),IF(N508=Constants!$B$3,FALSE(),TRUE())))</f>
        <v/>
      </c>
      <c r="AG508" s="87" t="str">
        <f aca="false">IF(ISBLANK($C508),"",IF(O508=Constants!$B$2,TRUE(),IF(O508=Constants!$B$3,FALSE(),TRUE())))</f>
        <v/>
      </c>
      <c r="AH508" s="87" t="str">
        <f aca="false">IF(ISBLANK($C508),"",IF(P508=Constants!$B$4,TRUE(),IF(P508=Constants!$B$5,FALSE(),COUNTA(Q508:S508)&gt;0)))</f>
        <v/>
      </c>
      <c r="AI508" s="88" t="str">
        <f aca="false">IF(ISBLANK($C508),"",IF(ISNUMBER(Q508),IF(Q508&gt;=0,Q508,""),""))</f>
        <v/>
      </c>
      <c r="AJ508" s="89" t="str">
        <f aca="false">IF(ISBLANK($C508),"",IF(ISNUMBER(R508),IF(R508&gt;=0,R508,""),""))</f>
        <v/>
      </c>
      <c r="AK508" s="87" t="str">
        <f aca="false">IF(ISBLANK($C508),"",IF(ISNUMBER(S508),IF(S508&gt;=0,MIN(S508,Constants!$B$22),""),""))</f>
        <v/>
      </c>
      <c r="AL508" s="87" t="str">
        <f aca="false">IF(ISBLANK($C508),"",IF(T508=Constants!$B$2,TRUE(),IF(T508=Constants!$B$3,FALSE(),FALSE())))</f>
        <v/>
      </c>
      <c r="AM508" s="86" t="str">
        <f aca="false">IF(ISBLANK($C508),"",AND($AB508,OR($AC508="",$AD508="",AND(NOT(ISBLANK($M508)),$AE508=""))))</f>
        <v/>
      </c>
      <c r="AN508" s="89" t="str">
        <f aca="false">IF($BD508&lt;&gt;Constants!$B$6,"",IF($AB508,Constants!$B$17*$AD508,Constants!$B$18))</f>
        <v/>
      </c>
      <c r="AO508" s="91" t="str">
        <f aca="false">IF($BD508&lt;&gt;Constants!$B$6,"",Constants!$B$19*IF($AB508,$AC508,0))</f>
        <v/>
      </c>
      <c r="AP508" s="91" t="str">
        <f aca="false">IF($BD508&lt;&gt;Constants!$B$6,"",IF(AND($AB508,ISNUMBER($AE508)),Constants!$B$20*(Constants!$B$21-$AE508),0))</f>
        <v/>
      </c>
      <c r="AQ508" s="91" t="str">
        <f aca="false">IF($BD508&lt;&gt;Constants!$B$6,"",IF($AA508,0,Constants!$B$12)+IF($Z508,0,Constants!$B$13)+IF($Y508,0,Constants!$B$14))</f>
        <v/>
      </c>
      <c r="AR508" s="92" t="str">
        <f aca="false">IF($BD508&lt;&gt;Constants!$B$6,"",Constants!$B$16+SUM($AN508:$AQ508))</f>
        <v/>
      </c>
      <c r="AS508" s="91" t="str">
        <f aca="false">IF($BD508&lt;&gt;Constants!$B$6,"",IF($AB508,$AD508,""))</f>
        <v/>
      </c>
      <c r="AT508" s="93" t="str">
        <f aca="false">IF($BD508&lt;&gt;Constants!$B$6,"",$AO508)</f>
        <v/>
      </c>
      <c r="AU508" s="87" t="str">
        <f aca="false">IF($BD508&lt;&gt;Constants!$B$6,"",IF(OR($BA508&lt;$AR508,AND($BA508=$AR508,OR(AND(ISNUMBER($BB508),OR(NOT(ISNUMBER($AS508)),$BB508&lt;$AS508)),AND(OR(AND($BB508="",$AS508=""),AND(ISNUMBER($BB508),ISNUMBER($AS508),$BB508=$AS508)),$BC508&lt;$AT508)))),"-&gt;","&lt;-"))</f>
        <v/>
      </c>
      <c r="AV508" s="86" t="str">
        <f aca="false">IF(ISBLANK($C508),"",AND($AH508,OR($AI508="",$AJ508="",AND(NOT(ISBLANK($S508)),$AK508=""))))</f>
        <v/>
      </c>
      <c r="AW508" s="89" t="str">
        <f aca="false">IF($BD508&lt;&gt;Constants!$B$6,"",IF($AH508,Constants!$B$17*$AJ508,Constants!$B$18))</f>
        <v/>
      </c>
      <c r="AX508" s="91" t="str">
        <f aca="false">IF($BD508&lt;&gt;Constants!$B$6,"",Constants!$B$19*IF($AH508,$AI508,0))</f>
        <v/>
      </c>
      <c r="AY508" s="91" t="str">
        <f aca="false">IF($BD508&lt;&gt;Constants!$B$6,"",IF(AND($AH508,ISNUMBER($AK508)),Constants!$B$20*(Constants!$B$21-$AK508),0))</f>
        <v/>
      </c>
      <c r="AZ508" s="91" t="str">
        <f aca="false">IF($BD508&lt;&gt;Constants!$B$6,"",IF($AG508,0,Constants!$B$12)+IF($AF508,0,Constants!$B$13)+IF($Y508,0,Constants!$B$14))</f>
        <v/>
      </c>
      <c r="BA508" s="92" t="str">
        <f aca="false">IF($BD508&lt;&gt;Constants!$B$6,"",Constants!$B$16+SUM($AW508:$AZ508))</f>
        <v/>
      </c>
      <c r="BB508" s="91" t="str">
        <f aca="false">IF($BD508&lt;&gt;Constants!$B$6,"",IF($AH508,$AJ508,""))</f>
        <v/>
      </c>
      <c r="BC508" s="93" t="str">
        <f aca="false">IF($BD508&lt;&gt;Constants!$B$6,"",$AX508)</f>
        <v/>
      </c>
      <c r="BD508" s="87" t="str">
        <f aca="false">IF(ISBLANK($C508),"",IF($AL508,Constants!$B$9,IF(COUNTA($E508:$T508)=0,Constants!$B$8,IF(NOT($X508),Constants!$B$7,IF(OR($AM508,$AV508),Constants!$B$10,Constants!$B$6)))))</f>
        <v/>
      </c>
      <c r="BE508" s="87" t="str">
        <f aca="false">IF(ISBLANK($C508),"",IF($BD508&lt;&gt;Constants!$B$6,$BD508,Constants!$B$11))</f>
        <v/>
      </c>
      <c r="BF508" s="91" t="str">
        <f aca="false">IF($BD508&lt;&gt;Constants!$B$6,"",IF($AU508="-&gt;",$BA508,$AR508))</f>
        <v/>
      </c>
      <c r="BG508" s="91" t="str">
        <f aca="false">IF($BD508&lt;&gt;Constants!$B$6,"",IF($W508,0,Constants!$B$15))</f>
        <v/>
      </c>
      <c r="BH508" s="91" t="str">
        <f aca="false">IF(ISBLANK($C508),"",IF($BD508&lt;&gt;Constants!$B$6,$BD508,SUM($BF508:$BG508)))</f>
        <v/>
      </c>
      <c r="BI508" s="87" t="str">
        <f aca="false">IF(ISBLANK($C508),"",IF($BD508&lt;&gt;Constants!$B$6,$BD508,RANK($BH508,$BH$9:$BH$508,1)))</f>
        <v/>
      </c>
      <c r="BJ508" s="91" t="str">
        <f aca="false">IF($BD508&lt;&gt;Constants!$B$6,"",IF($AU508="-&gt;",$BB508,$AS508))</f>
        <v/>
      </c>
      <c r="BK508" s="87" t="str">
        <f aca="false">IF(ISBLANK($C508),"",IF($BD508&lt;&gt;Constants!$B$6,$BD508,IF(ISNUMBER($BJ508),RANK($BJ508,$BJ$9:$BJ$508,1),COUNT($BJ$9:$BJ$508)+1)))</f>
        <v/>
      </c>
      <c r="BL508" s="91" t="str">
        <f aca="false">IF($BD508&lt;&gt;Constants!$B$6,"",IF($AU508="-&gt;",$BC508,$AT508))</f>
        <v/>
      </c>
      <c r="BM508" s="87" t="str">
        <f aca="false">IF(ISBLANK($C508),"",IF($BD508&lt;&gt;Constants!$B$6,$BD508,IF(ISNUMBER($BL508),RANK($BL508,$BL$9:$BL$508,1),COUNT($BL$9:$BL$508)+1)))</f>
        <v/>
      </c>
      <c r="BN508" s="91" t="str">
        <f aca="false">IF($BD508&lt;&gt;Constants!$B$6,"",IF($AU508="-&gt;",$AS508,$BB508))</f>
        <v/>
      </c>
      <c r="BO508" s="87" t="str">
        <f aca="false">IF(ISBLANK($C508),"",IF($BD508&lt;&gt;Constants!$B$6,$BD508,IF(ISNUMBER($BN508),RANK($BN508,$BN$9:$BN$508,1),COUNT($BN$9:$BN$508)+1)))</f>
        <v/>
      </c>
      <c r="BP508" s="91" t="str">
        <f aca="false">IF($BD508&lt;&gt;Constants!$B$6,"",IF($AU508="-&gt;",$AT508,$BC508))</f>
        <v/>
      </c>
      <c r="BQ508" s="87" t="str">
        <f aca="false">IF(ISBLANK($C508),"",IF($BD508&lt;&gt;Constants!$B$6,$BD508,IF(ISNUMBER($BP508),RANK($BP508,$BP$9:$BP$508,1),COUNT($BP$9:$BP$508)+1)))</f>
        <v/>
      </c>
      <c r="BR508" s="87" t="str">
        <f aca="false">IF(ISBLANK($C508),"",IF($BD508&lt;&gt;Constants!$B$6,$BD508,COUNTIFS($BI$9:$BI$508,"&lt;"&amp;$BI508)+COUNTIFS($BI$9:$BI$508,$BI508,$BK$9:$BK$508,"&lt;"&amp;$BK508)+COUNTIFS($BI$9:$BI$508,$BI508,$BK$9:$BK$508,$BK508,$BM$9:$BM$508,"&lt;"&amp;$BM508)+COUNTIFS($BI$9:$BI$508,$BI508,$BK$9:$BK$508,$BK508,$BM$9:$BM$508,$BM508,$BO$9:$BO$508,"&lt;"&amp;$BO508)+COUNTIFS($BI$9:$BI$508,$BI508,$BK$9:$BK$508,$BK508,$BM$9:$BM$508,$BM508,$BO$9:$BO$508,$BO508,$BQ$9:$BQ$508,"&lt;"&amp;$BQ508)+1))</f>
        <v/>
      </c>
      <c r="BS508" s="87" t="str">
        <f aca="false">IF(ISBLANK($C508),"",IF($BD508&lt;&gt;Constants!$B$6,$BD508,$BI508-$BR508))</f>
        <v/>
      </c>
      <c r="BT508" s="94"/>
      <c r="BU508" s="95"/>
      <c r="BV508" s="95" t="str">
        <f aca="false">IF(ISBLANK($C508),"",IF($BD508&lt;&gt;Constants!$B$6,"",IF($AU508="-&gt;",2,1)))</f>
        <v/>
      </c>
      <c r="BW508" s="96" t="str">
        <f aca="false">IF(ISBLANK($C508),"",IF($BD508&lt;&gt;Constants!$B$6,"",IF($AU508="-&gt;",$AW508,$AN508)))</f>
        <v/>
      </c>
      <c r="BX508" s="96" t="str">
        <f aca="false">IF(ISBLANK($C508),"",IF($BD508&lt;&gt;Constants!$B$6,"",IF($AU508="-&gt;",$AX508,$AO508)))</f>
        <v/>
      </c>
      <c r="BY508" s="96" t="str">
        <f aca="false">IF(ISBLANK($C508),"",IF($BD508&lt;&gt;Constants!$B$6,"",IF($AU508="-&gt;",$AY508,$AP508)))</f>
        <v/>
      </c>
      <c r="BZ508" s="96" t="str">
        <f aca="false">IF(ISBLANK($C508),"",IF($BD508&lt;&gt;Constants!$B$6,"",IF($AU508="-&gt;",$AZ508,$AQ508)+$BG508))</f>
        <v/>
      </c>
      <c r="CA508" s="97" t="str">
        <f aca="false">IF(ISBLANK($C508),"",IF($BD508&lt;&gt;Constants!$B$6,$BD508,$BH508))</f>
        <v/>
      </c>
      <c r="CB508" s="98" t="str">
        <f aca="false">IF(ISBLANK($C508),"",$BE508)</f>
        <v/>
      </c>
      <c r="CC508" s="99" t="str">
        <f aca="false">IF(ISBLANK($C508),"",$BS508)</f>
        <v/>
      </c>
      <c r="CD508" s="99" t="str">
        <f aca="false">IF(ISBLANK($C508),"",$BR508)</f>
        <v/>
      </c>
      <c r="CE508" s="100" t="str">
        <f aca="false">IF(ISBLANK($C508),"",IF($CD508=Constants!$B$9,COUNTA($C$9:$C$508)+2,IF($CD508=Constants!$B$8,COUNTA($C$9:$C$508)+1,IF($CD508=Constants!$B$7,COUNTA($C$9:$C$508),$CD508))))</f>
        <v/>
      </c>
      <c r="CF508" s="9"/>
      <c r="CG508" s="101" t="n">
        <f aca="false">IF(OR(ISNUMBER($CD508),$CD508=Constants!$B$9,$CD508=Constants!$B$7,$CD508=Constants!$B$8),1,0)</f>
        <v>0</v>
      </c>
      <c r="CH508" s="101" t="n">
        <v>500</v>
      </c>
      <c r="CI508" s="101" t="str">
        <f aca="false">IF(ISBLANK($C508),"",IF(ISNUMBER($CE508),$CE508+ROW($B508)/1000,""))</f>
        <v/>
      </c>
      <c r="CJ508" s="101" t="str">
        <f aca="false">IF(ISNUMBER($CI508),RANK($CI508,$CI$9:$CI$508,1),"")</f>
        <v/>
      </c>
      <c r="CK508" s="101" t="str">
        <f aca="false">IF(ISBLANK($C508),"",$B508)</f>
        <v/>
      </c>
      <c r="CL508" s="101" t="str">
        <f aca="false">IF(ISBLANK($C508),"",$C508)</f>
        <v/>
      </c>
      <c r="CM508" s="101" t="str">
        <f aca="false">IF(ISBLANK($C508),"",$D508)</f>
        <v/>
      </c>
      <c r="CN508" s="102" t="str">
        <f aca="false">$CB508</f>
        <v/>
      </c>
      <c r="CO508" s="103" t="str">
        <f aca="false">$CA508</f>
        <v/>
      </c>
      <c r="CP508" s="101" t="str">
        <f aca="false">IF(ISBLANK($C508),"",$CD508)</f>
        <v/>
      </c>
      <c r="CQ508" s="104" t="str">
        <f aca="false">IF($CH508&gt;$CG$8,"",VLOOKUP($CH508,$CJ$9:$CP$508,7,FALSE()))</f>
        <v/>
      </c>
      <c r="CR508" s="105" t="str">
        <f aca="false">IF($CH508&gt;$CG$8,"",VLOOKUP($CH508,$CJ$9:$CP$508,2,FALSE()))</f>
        <v/>
      </c>
      <c r="CS508" s="105" t="str">
        <f aca="false">IF($CH508&gt;$CG$8,"",VLOOKUP($CH508,$CJ$9:$CP$508,3,FALSE()))</f>
        <v/>
      </c>
      <c r="CT508" s="105" t="str">
        <f aca="false">IF($CH508&gt;$CG$8,"",VLOOKUP($CH508,$CJ$9:$CP$508,4,FALSE()))</f>
        <v/>
      </c>
      <c r="CU508" s="105" t="str">
        <f aca="false">IF($CH508&gt;$CG$8,"",VLOOKUP($CH508,$CJ$9:$CP$508,5,FALSE()))</f>
        <v/>
      </c>
      <c r="CV508" s="106" t="str">
        <f aca="false">IF($CH508&gt;$CG$8,"",VLOOKUP($CH508,$CJ$9:$CP$508,6,FALSE()))</f>
        <v/>
      </c>
      <c r="CW508" s="71"/>
    </row>
    <row r="1048576" customFormat="false" ht="12.8" hidden="false" customHeight="true" outlineLevel="0" collapsed="false"/>
  </sheetData>
  <mergeCells count="95">
    <mergeCell ref="B2:D3"/>
    <mergeCell ref="F2:G2"/>
    <mergeCell ref="H2:S2"/>
    <mergeCell ref="T2:T8"/>
    <mergeCell ref="U2:U6"/>
    <mergeCell ref="W2:Y2"/>
    <mergeCell ref="Z2:AE2"/>
    <mergeCell ref="AF2:AK2"/>
    <mergeCell ref="BT2:BT6"/>
    <mergeCell ref="BV2:BZ2"/>
    <mergeCell ref="CI2:CI8"/>
    <mergeCell ref="CJ2:CJ8"/>
    <mergeCell ref="CK2:CK8"/>
    <mergeCell ref="CL2:CL8"/>
    <mergeCell ref="CM2:CM8"/>
    <mergeCell ref="CN2:CN8"/>
    <mergeCell ref="CO2:CO8"/>
    <mergeCell ref="CP2:CP8"/>
    <mergeCell ref="CQ2:CV2"/>
    <mergeCell ref="E3:E8"/>
    <mergeCell ref="F3:F8"/>
    <mergeCell ref="G3:G8"/>
    <mergeCell ref="H3:M3"/>
    <mergeCell ref="N3:S3"/>
    <mergeCell ref="V3:V8"/>
    <mergeCell ref="W3:W8"/>
    <mergeCell ref="X3:X8"/>
    <mergeCell ref="Y3:Y8"/>
    <mergeCell ref="Z3:Z8"/>
    <mergeCell ref="AA3:AA8"/>
    <mergeCell ref="AB3:AB8"/>
    <mergeCell ref="AC3:AC8"/>
    <mergeCell ref="AD3:AD8"/>
    <mergeCell ref="AE3:AE8"/>
    <mergeCell ref="AF3:AF8"/>
    <mergeCell ref="AG3:AG8"/>
    <mergeCell ref="AH3:AH8"/>
    <mergeCell ref="AI3:AI8"/>
    <mergeCell ref="AJ3:AJ8"/>
    <mergeCell ref="AK3:AK8"/>
    <mergeCell ref="AL3:AL8"/>
    <mergeCell ref="AM3:AT3"/>
    <mergeCell ref="AU3:AU8"/>
    <mergeCell ref="AV3:BC3"/>
    <mergeCell ref="BE3:BH3"/>
    <mergeCell ref="BU3:BU8"/>
    <mergeCell ref="BV3:BV8"/>
    <mergeCell ref="BW3:BW8"/>
    <mergeCell ref="BX3:BX8"/>
    <mergeCell ref="BY3:BY8"/>
    <mergeCell ref="BZ3:BZ8"/>
    <mergeCell ref="CA3:CA8"/>
    <mergeCell ref="CB3:CB8"/>
    <mergeCell ref="CC3:CC8"/>
    <mergeCell ref="CD3:CD8"/>
    <mergeCell ref="CE3:CE8"/>
    <mergeCell ref="CF3:CF8"/>
    <mergeCell ref="CQ3:CQ8"/>
    <mergeCell ref="CR3:CR8"/>
    <mergeCell ref="CS3:CS8"/>
    <mergeCell ref="CT3:CT8"/>
    <mergeCell ref="CU3:CU8"/>
    <mergeCell ref="CV3:CV8"/>
    <mergeCell ref="B4:D4"/>
    <mergeCell ref="H4:H8"/>
    <mergeCell ref="I4:I8"/>
    <mergeCell ref="J4:J8"/>
    <mergeCell ref="K4:K8"/>
    <mergeCell ref="L4:L8"/>
    <mergeCell ref="M4:M8"/>
    <mergeCell ref="N4:N8"/>
    <mergeCell ref="O4:O8"/>
    <mergeCell ref="P4:P8"/>
    <mergeCell ref="Q4:Q8"/>
    <mergeCell ref="R4:R8"/>
    <mergeCell ref="S4:S8"/>
    <mergeCell ref="AM4:AM8"/>
    <mergeCell ref="AN4:AN8"/>
    <mergeCell ref="AO4:AO8"/>
    <mergeCell ref="AP4:AP8"/>
    <mergeCell ref="AQ4:AQ8"/>
    <mergeCell ref="AR4:AR8"/>
    <mergeCell ref="AS4:AS8"/>
    <mergeCell ref="AT4:AT8"/>
    <mergeCell ref="AV4:AV8"/>
    <mergeCell ref="AW4:AW8"/>
    <mergeCell ref="AX4:AX8"/>
    <mergeCell ref="AY4:AY8"/>
    <mergeCell ref="AZ4:AZ8"/>
    <mergeCell ref="BA4:BA8"/>
    <mergeCell ref="BB4:BB8"/>
    <mergeCell ref="BC4:BC8"/>
    <mergeCell ref="B5:D5"/>
    <mergeCell ref="B6:D7"/>
    <mergeCell ref="BJ7:BQ7"/>
  </mergeCells>
  <conditionalFormatting sqref="B4:D4">
    <cfRule type="containsText" priority="2" operator="containsText" aboveAverage="0" equalAverage="0" bottom="0" percent="0" rank="0" text="download" dxfId="0">
      <formula>NOT(ISERROR(SEARCH("download",B4)))</formula>
    </cfRule>
  </conditionalFormatting>
  <conditionalFormatting sqref="T9:T508">
    <cfRule type="cellIs" priority="3" operator="equal" aboveAverage="0" equalAverage="0" bottom="0" percent="0" rank="0" text="" dxfId="1">
      <formula>"T"</formula>
    </cfRule>
  </conditionalFormatting>
  <conditionalFormatting sqref="E9:I508 N9:O508">
    <cfRule type="cellIs" priority="4" operator="equal" aboveAverage="0" equalAverage="0" bottom="0" percent="0" rank="0" text="" dxfId="1">
      <formula>"F"</formula>
    </cfRule>
  </conditionalFormatting>
  <conditionalFormatting sqref="J9:J508 P9:P508">
    <cfRule type="cellIs" priority="5" operator="equal" aboveAverage="0" equalAverage="0" bottom="0" percent="0" rank="0" text="" dxfId="1">
      <formula>"Failed"</formula>
    </cfRule>
  </conditionalFormatting>
  <conditionalFormatting sqref="K9:L508">
    <cfRule type="expression" priority="6" aboveAverage="0" equalAverage="0" bottom="0" percent="0" rank="0" text="" dxfId="2">
      <formula>AND($BD9="ERR",$AM9=TRUE(),AC9="")</formula>
    </cfRule>
  </conditionalFormatting>
  <conditionalFormatting sqref="M9:M508">
    <cfRule type="expression" priority="7" aboveAverage="0" equalAverage="0" bottom="0" percent="0" rank="0" text="" dxfId="2">
      <formula>AND($BD9="ERR",$AM9=TRUE(),NOT(ISBLANK(M9)),AE9="")</formula>
    </cfRule>
  </conditionalFormatting>
  <conditionalFormatting sqref="Q9:R508">
    <cfRule type="expression" priority="8" aboveAverage="0" equalAverage="0" bottom="0" percent="0" rank="0" text="" dxfId="2">
      <formula>AND($BD9="ERR",$AV9=TRUE(),AI9="")</formula>
    </cfRule>
  </conditionalFormatting>
  <conditionalFormatting sqref="S9:S508">
    <cfRule type="expression" priority="9" aboveAverage="0" equalAverage="0" bottom="0" percent="0" rank="0" text="" dxfId="2">
      <formula>AND($BD9="ERR",$AV9=TRUE(),NOT(ISBLANK(S9)),AK9="")</formula>
    </cfRule>
  </conditionalFormatting>
  <dataValidations count="4">
    <dataValidation allowBlank="true" errorStyle="stop" operator="greaterThanOrEqual" showDropDown="true" showErrorMessage="true" showInputMessage="false" sqref="K9:L508 Q9:R508" type="decimal">
      <formula1>0</formula1>
      <formula2>0</formula2>
    </dataValidation>
    <dataValidation allowBlank="true" errorStyle="stop" operator="between" prompt="True (T)/False (F)" showDropDown="false" showErrorMessage="true" showInputMessage="true" sqref="E9:I508 N9:O508 T9:T508" type="list">
      <formula1>"T,F"</formula1>
      <formula2>0</formula2>
    </dataValidation>
    <dataValidation allowBlank="true" errorStyle="stop" operator="between" prompt="Successful / Failed" showDropDown="false" showErrorMessage="true" showInputMessage="true" sqref="J9:J508 P9:P508" type="list">
      <formula1>"Successful,Failed"</formula1>
      <formula2>0</formula2>
    </dataValidation>
    <dataValidation allowBlank="true" errorStyle="stop" operator="greaterThanOrEqual" prompt="Inside Can Distance in cm. Over 100.0 counts as 100.0. Leave blank when running without cans or when no Can Bonus is earned." showDropDown="false" showErrorMessage="true" showInputMessage="true" sqref="M9:M508 S9:S508" type="decimal">
      <formula1>0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74.84"/>
  </cols>
  <sheetData>
    <row r="1" customFormat="false" ht="15.75" hidden="false" customHeight="false" outlineLevel="0" collapsed="false">
      <c r="A1" s="172" t="s">
        <v>68</v>
      </c>
      <c r="B1" s="172" t="s">
        <v>69</v>
      </c>
    </row>
    <row r="2" customFormat="false" ht="15.75" hidden="false" customHeight="false" outlineLevel="0" collapsed="false">
      <c r="A2" s="172" t="b">
        <f aca="false">TRUE()</f>
        <v>1</v>
      </c>
      <c r="B2" s="172" t="s">
        <v>70</v>
      </c>
    </row>
    <row r="3" customFormat="false" ht="15.75" hidden="false" customHeight="false" outlineLevel="0" collapsed="false">
      <c r="A3" s="172" t="b">
        <f aca="false">FALSE()</f>
        <v>0</v>
      </c>
      <c r="B3" s="172" t="s">
        <v>71</v>
      </c>
    </row>
    <row r="4" customFormat="false" ht="15.75" hidden="false" customHeight="false" outlineLevel="0" collapsed="false">
      <c r="A4" s="172" t="s">
        <v>72</v>
      </c>
      <c r="B4" s="172" t="s">
        <v>73</v>
      </c>
    </row>
    <row r="5" customFormat="false" ht="15.75" hidden="false" customHeight="false" outlineLevel="0" collapsed="false">
      <c r="A5" s="172" t="s">
        <v>74</v>
      </c>
      <c r="B5" s="172" t="s">
        <v>75</v>
      </c>
    </row>
    <row r="6" customFormat="false" ht="15.75" hidden="false" customHeight="false" outlineLevel="0" collapsed="false">
      <c r="A6" s="172" t="s">
        <v>76</v>
      </c>
      <c r="B6" s="172" t="s">
        <v>77</v>
      </c>
    </row>
    <row r="7" customFormat="false" ht="15.75" hidden="false" customHeight="false" outlineLevel="0" collapsed="false">
      <c r="A7" s="172" t="s">
        <v>78</v>
      </c>
      <c r="B7" s="172" t="s">
        <v>79</v>
      </c>
    </row>
    <row r="8" customFormat="false" ht="15.75" hidden="false" customHeight="false" outlineLevel="0" collapsed="false">
      <c r="A8" s="172" t="s">
        <v>80</v>
      </c>
      <c r="B8" s="172" t="s">
        <v>81</v>
      </c>
    </row>
    <row r="9" customFormat="false" ht="15.75" hidden="false" customHeight="false" outlineLevel="0" collapsed="false">
      <c r="A9" s="172" t="s">
        <v>82</v>
      </c>
      <c r="B9" s="172" t="s">
        <v>83</v>
      </c>
    </row>
    <row r="10" customFormat="false" ht="15.75" hidden="false" customHeight="false" outlineLevel="0" collapsed="false">
      <c r="A10" s="172" t="s">
        <v>84</v>
      </c>
      <c r="B10" s="172" t="s">
        <v>85</v>
      </c>
    </row>
    <row r="11" customFormat="false" ht="15.75" hidden="false" customHeight="false" outlineLevel="0" collapsed="false">
      <c r="A11" s="172" t="s">
        <v>86</v>
      </c>
      <c r="B11" s="172" t="n">
        <v>1</v>
      </c>
    </row>
    <row r="12" customFormat="false" ht="15.75" hidden="false" customHeight="false" outlineLevel="0" collapsed="false">
      <c r="A12" s="172" t="s">
        <v>87</v>
      </c>
      <c r="B12" s="172" t="n">
        <v>150</v>
      </c>
    </row>
    <row r="13" customFormat="false" ht="15.75" hidden="false" customHeight="false" outlineLevel="0" collapsed="false">
      <c r="A13" s="172" t="s">
        <v>88</v>
      </c>
      <c r="B13" s="172" t="n">
        <v>300</v>
      </c>
    </row>
    <row r="14" customFormat="false" ht="15.75" hidden="false" customHeight="false" outlineLevel="0" collapsed="false">
      <c r="A14" s="172" t="s">
        <v>89</v>
      </c>
      <c r="B14" s="172" t="n">
        <v>50</v>
      </c>
    </row>
    <row r="15" customFormat="false" ht="15.75" hidden="false" customHeight="false" outlineLevel="0" collapsed="false">
      <c r="A15" s="172" t="s">
        <v>90</v>
      </c>
      <c r="B15" s="172" t="n">
        <v>5000</v>
      </c>
    </row>
    <row r="16" customFormat="false" ht="15.75" hidden="false" customHeight="false" outlineLevel="0" collapsed="false">
      <c r="A16" s="172" t="s">
        <v>91</v>
      </c>
      <c r="B16" s="172" t="n">
        <v>100</v>
      </c>
    </row>
    <row r="17" customFormat="false" ht="15.75" hidden="false" customHeight="false" outlineLevel="0" collapsed="false">
      <c r="A17" s="172" t="s">
        <v>92</v>
      </c>
      <c r="B17" s="172" t="n">
        <v>2</v>
      </c>
    </row>
    <row r="18" customFormat="false" ht="15.75" hidden="false" customHeight="false" outlineLevel="0" collapsed="false">
      <c r="A18" s="172" t="s">
        <v>93</v>
      </c>
      <c r="B18" s="172" t="n">
        <v>2500</v>
      </c>
    </row>
    <row r="19" customFormat="false" ht="15.75" hidden="false" customHeight="false" outlineLevel="0" collapsed="false">
      <c r="A19" s="172" t="s">
        <v>94</v>
      </c>
      <c r="B19" s="172" t="n">
        <v>1</v>
      </c>
    </row>
    <row r="20" customFormat="false" ht="15.75" hidden="false" customHeight="false" outlineLevel="0" collapsed="false">
      <c r="A20" s="172" t="s">
        <v>95</v>
      </c>
      <c r="B20" s="172" t="n">
        <v>-0.5</v>
      </c>
    </row>
    <row r="21" customFormat="false" ht="15.75" hidden="false" customHeight="false" outlineLevel="0" collapsed="false">
      <c r="A21" s="172" t="s">
        <v>96</v>
      </c>
      <c r="B21" s="172" t="n">
        <v>110</v>
      </c>
    </row>
    <row r="22" customFormat="false" ht="15.75" hidden="false" customHeight="false" outlineLevel="0" collapsed="false">
      <c r="A22" s="172" t="s">
        <v>97</v>
      </c>
      <c r="B22" s="172" t="n">
        <v>100</v>
      </c>
    </row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24.75" hidden="false" customHeight="true" outlineLevel="0" collapsed="false">
      <c r="A1" s="173" t="s">
        <v>30</v>
      </c>
      <c r="B1" s="173" t="s">
        <v>31</v>
      </c>
      <c r="C1" s="173" t="s">
        <v>32</v>
      </c>
      <c r="D1" s="173" t="s">
        <v>55</v>
      </c>
      <c r="E1" s="173" t="s">
        <v>25</v>
      </c>
      <c r="F1" s="173" t="s">
        <v>27</v>
      </c>
      <c r="G1" s="173" t="s">
        <v>26</v>
      </c>
      <c r="H1" s="173" t="s">
        <v>29</v>
      </c>
      <c r="I1" s="173" t="s">
        <v>28</v>
      </c>
    </row>
    <row r="2" customFormat="false" ht="15.75" hidden="false" customHeight="false" outlineLevel="0" collapsed="false">
      <c r="A2" s="174" t="n">
        <f aca="false">ExportRaw!$F2</f>
        <v>0</v>
      </c>
      <c r="B2" s="174" t="n">
        <f aca="false">ExportRaw!$C2</f>
        <v>0</v>
      </c>
      <c r="C2" s="174" t="n">
        <f aca="false">ExportRaw!$G2</f>
        <v>0</v>
      </c>
      <c r="D2" s="174" t="str">
        <f aca="false">ExportRaw!$E2</f>
        <v/>
      </c>
      <c r="E2" s="175" t="str">
        <f aca="false">ExportRaw!$D2</f>
        <v/>
      </c>
      <c r="F2" s="174" t="str">
        <f aca="false">ExportRaw!$H2</f>
        <v/>
      </c>
      <c r="G2" s="176" t="str">
        <f aca="false">ExportRaw!$I2</f>
        <v/>
      </c>
      <c r="H2" s="174" t="str">
        <f aca="false">ExportRaw!$A2</f>
        <v/>
      </c>
      <c r="I2" s="174" t="str">
        <f aca="false">ExportRaw!$B2</f>
        <v/>
      </c>
    </row>
    <row r="3" customFormat="false" ht="15.75" hidden="false" customHeight="false" outlineLevel="0" collapsed="false">
      <c r="A3" s="174" t="n">
        <f aca="false">ExportRaw!$F3</f>
        <v>0</v>
      </c>
      <c r="B3" s="174" t="n">
        <f aca="false">ExportRaw!$C3</f>
        <v>0</v>
      </c>
      <c r="C3" s="174" t="n">
        <f aca="false">ExportRaw!$G3</f>
        <v>0</v>
      </c>
      <c r="D3" s="174" t="str">
        <f aca="false">ExportRaw!$E3</f>
        <v/>
      </c>
      <c r="E3" s="175" t="str">
        <f aca="false">ExportRaw!$D3</f>
        <v/>
      </c>
      <c r="F3" s="174" t="str">
        <f aca="false">ExportRaw!$H3</f>
        <v/>
      </c>
      <c r="G3" s="176" t="str">
        <f aca="false">ExportRaw!$I3</f>
        <v/>
      </c>
      <c r="H3" s="174" t="str">
        <f aca="false">ExportRaw!$A3</f>
        <v/>
      </c>
      <c r="I3" s="174" t="str">
        <f aca="false">ExportRaw!$B3</f>
        <v/>
      </c>
    </row>
    <row r="4" customFormat="false" ht="15.75" hidden="false" customHeight="false" outlineLevel="0" collapsed="false">
      <c r="A4" s="174" t="n">
        <f aca="false">ExportRaw!$F4</f>
        <v>0</v>
      </c>
      <c r="B4" s="174" t="n">
        <f aca="false">ExportRaw!$C4</f>
        <v>0</v>
      </c>
      <c r="C4" s="174" t="n">
        <f aca="false">ExportRaw!$G4</f>
        <v>0</v>
      </c>
      <c r="D4" s="174" t="str">
        <f aca="false">ExportRaw!$E4</f>
        <v/>
      </c>
      <c r="E4" s="175" t="str">
        <f aca="false">ExportRaw!$D4</f>
        <v/>
      </c>
      <c r="F4" s="174" t="str">
        <f aca="false">ExportRaw!$H4</f>
        <v/>
      </c>
      <c r="G4" s="176" t="str">
        <f aca="false">ExportRaw!$I4</f>
        <v/>
      </c>
      <c r="H4" s="174" t="str">
        <f aca="false">ExportRaw!$A4</f>
        <v/>
      </c>
      <c r="I4" s="174" t="str">
        <f aca="false">ExportRaw!$B4</f>
        <v/>
      </c>
    </row>
    <row r="5" customFormat="false" ht="15.75" hidden="false" customHeight="false" outlineLevel="0" collapsed="false">
      <c r="A5" s="174" t="n">
        <f aca="false">ExportRaw!$F5</f>
        <v>0</v>
      </c>
      <c r="B5" s="174" t="n">
        <f aca="false">ExportRaw!$C5</f>
        <v>0</v>
      </c>
      <c r="C5" s="174" t="n">
        <f aca="false">ExportRaw!$G5</f>
        <v>0</v>
      </c>
      <c r="D5" s="174" t="str">
        <f aca="false">ExportRaw!$E5</f>
        <v/>
      </c>
      <c r="E5" s="175" t="str">
        <f aca="false">ExportRaw!$D5</f>
        <v/>
      </c>
      <c r="F5" s="174" t="str">
        <f aca="false">ExportRaw!$H5</f>
        <v/>
      </c>
      <c r="G5" s="176" t="str">
        <f aca="false">ExportRaw!$I5</f>
        <v/>
      </c>
      <c r="H5" s="174" t="str">
        <f aca="false">ExportRaw!$A5</f>
        <v/>
      </c>
      <c r="I5" s="174" t="str">
        <f aca="false">ExportRaw!$B5</f>
        <v/>
      </c>
    </row>
    <row r="6" customFormat="false" ht="15.75" hidden="false" customHeight="false" outlineLevel="0" collapsed="false">
      <c r="A6" s="174" t="n">
        <f aca="false">ExportRaw!$F6</f>
        <v>0</v>
      </c>
      <c r="B6" s="174" t="n">
        <f aca="false">ExportRaw!$C6</f>
        <v>0</v>
      </c>
      <c r="C6" s="174" t="n">
        <f aca="false">ExportRaw!$G6</f>
        <v>0</v>
      </c>
      <c r="D6" s="174" t="str">
        <f aca="false">ExportRaw!$E6</f>
        <v/>
      </c>
      <c r="E6" s="175" t="str">
        <f aca="false">ExportRaw!$D6</f>
        <v/>
      </c>
      <c r="F6" s="174" t="str">
        <f aca="false">ExportRaw!$H6</f>
        <v/>
      </c>
      <c r="G6" s="176" t="str">
        <f aca="false">ExportRaw!$I6</f>
        <v/>
      </c>
      <c r="H6" s="174" t="str">
        <f aca="false">ExportRaw!$A6</f>
        <v/>
      </c>
      <c r="I6" s="174" t="str">
        <f aca="false">ExportRaw!$B6</f>
        <v/>
      </c>
    </row>
    <row r="7" customFormat="false" ht="15.75" hidden="false" customHeight="false" outlineLevel="0" collapsed="false">
      <c r="A7" s="174" t="n">
        <f aca="false">ExportRaw!$F7</f>
        <v>0</v>
      </c>
      <c r="B7" s="174" t="n">
        <f aca="false">ExportRaw!$C7</f>
        <v>0</v>
      </c>
      <c r="C7" s="174" t="n">
        <f aca="false">ExportRaw!$G7</f>
        <v>0</v>
      </c>
      <c r="D7" s="174" t="str">
        <f aca="false">ExportRaw!$E7</f>
        <v/>
      </c>
      <c r="E7" s="175" t="str">
        <f aca="false">ExportRaw!$D7</f>
        <v/>
      </c>
      <c r="F7" s="174" t="str">
        <f aca="false">ExportRaw!$H7</f>
        <v/>
      </c>
      <c r="G7" s="176" t="str">
        <f aca="false">ExportRaw!$I7</f>
        <v/>
      </c>
      <c r="H7" s="174" t="str">
        <f aca="false">ExportRaw!$A7</f>
        <v/>
      </c>
      <c r="I7" s="174" t="str">
        <f aca="false">ExportRaw!$B7</f>
        <v/>
      </c>
    </row>
    <row r="8" customFormat="false" ht="15.75" hidden="false" customHeight="false" outlineLevel="0" collapsed="false">
      <c r="A8" s="174" t="n">
        <f aca="false">ExportRaw!$F8</f>
        <v>0</v>
      </c>
      <c r="B8" s="174" t="n">
        <f aca="false">ExportRaw!$C8</f>
        <v>0</v>
      </c>
      <c r="C8" s="174" t="n">
        <f aca="false">ExportRaw!$G8</f>
        <v>0</v>
      </c>
      <c r="D8" s="174" t="str">
        <f aca="false">ExportRaw!$E8</f>
        <v/>
      </c>
      <c r="E8" s="175" t="str">
        <f aca="false">ExportRaw!$D8</f>
        <v/>
      </c>
      <c r="F8" s="174" t="str">
        <f aca="false">ExportRaw!$H8</f>
        <v/>
      </c>
      <c r="G8" s="176" t="str">
        <f aca="false">ExportRaw!$I8</f>
        <v/>
      </c>
      <c r="H8" s="174" t="str">
        <f aca="false">ExportRaw!$A8</f>
        <v/>
      </c>
      <c r="I8" s="174" t="str">
        <f aca="false">ExportRaw!$B8</f>
        <v/>
      </c>
    </row>
    <row r="9" customFormat="false" ht="15.75" hidden="false" customHeight="false" outlineLevel="0" collapsed="false">
      <c r="A9" s="174" t="n">
        <f aca="false">ExportRaw!$F9</f>
        <v>0</v>
      </c>
      <c r="B9" s="174" t="n">
        <f aca="false">ExportRaw!$C9</f>
        <v>0</v>
      </c>
      <c r="C9" s="174" t="n">
        <f aca="false">ExportRaw!$G9</f>
        <v>0</v>
      </c>
      <c r="D9" s="174" t="str">
        <f aca="false">ExportRaw!$E9</f>
        <v/>
      </c>
      <c r="E9" s="175" t="str">
        <f aca="false">ExportRaw!$D9</f>
        <v/>
      </c>
      <c r="F9" s="174" t="str">
        <f aca="false">ExportRaw!$H9</f>
        <v/>
      </c>
      <c r="G9" s="176" t="str">
        <f aca="false">ExportRaw!$I9</f>
        <v/>
      </c>
      <c r="H9" s="174" t="str">
        <f aca="false">ExportRaw!$A9</f>
        <v/>
      </c>
      <c r="I9" s="174" t="str">
        <f aca="false">ExportRaw!$B9</f>
        <v/>
      </c>
    </row>
    <row r="10" customFormat="false" ht="15.75" hidden="false" customHeight="false" outlineLevel="0" collapsed="false">
      <c r="A10" s="174" t="n">
        <f aca="false">ExportRaw!$F10</f>
        <v>0</v>
      </c>
      <c r="B10" s="174" t="n">
        <f aca="false">ExportRaw!$C10</f>
        <v>0</v>
      </c>
      <c r="C10" s="174" t="n">
        <f aca="false">ExportRaw!$G10</f>
        <v>0</v>
      </c>
      <c r="D10" s="174" t="str">
        <f aca="false">ExportRaw!$E10</f>
        <v/>
      </c>
      <c r="E10" s="175" t="str">
        <f aca="false">ExportRaw!$D10</f>
        <v/>
      </c>
      <c r="F10" s="174" t="str">
        <f aca="false">ExportRaw!$H10</f>
        <v/>
      </c>
      <c r="G10" s="176" t="str">
        <f aca="false">ExportRaw!$I10</f>
        <v/>
      </c>
      <c r="H10" s="174" t="str">
        <f aca="false">ExportRaw!$A10</f>
        <v/>
      </c>
      <c r="I10" s="174" t="str">
        <f aca="false">ExportRaw!$B10</f>
        <v/>
      </c>
    </row>
    <row r="11" customFormat="false" ht="15.75" hidden="false" customHeight="false" outlineLevel="0" collapsed="false">
      <c r="A11" s="174" t="n">
        <f aca="false">ExportRaw!$F11</f>
        <v>0</v>
      </c>
      <c r="B11" s="174" t="n">
        <f aca="false">ExportRaw!$C11</f>
        <v>0</v>
      </c>
      <c r="C11" s="174" t="n">
        <f aca="false">ExportRaw!$G11</f>
        <v>0</v>
      </c>
      <c r="D11" s="174" t="str">
        <f aca="false">ExportRaw!$E11</f>
        <v/>
      </c>
      <c r="E11" s="175" t="str">
        <f aca="false">ExportRaw!$D11</f>
        <v/>
      </c>
      <c r="F11" s="174" t="str">
        <f aca="false">ExportRaw!$H11</f>
        <v/>
      </c>
      <c r="G11" s="176" t="str">
        <f aca="false">ExportRaw!$I11</f>
        <v/>
      </c>
      <c r="H11" s="174" t="str">
        <f aca="false">ExportRaw!$A11</f>
        <v/>
      </c>
      <c r="I11" s="174" t="str">
        <f aca="false">ExportRaw!$B11</f>
        <v/>
      </c>
    </row>
    <row r="12" customFormat="false" ht="15.75" hidden="false" customHeight="false" outlineLevel="0" collapsed="false">
      <c r="A12" s="174" t="n">
        <f aca="false">ExportRaw!$F12</f>
        <v>0</v>
      </c>
      <c r="B12" s="174" t="n">
        <f aca="false">ExportRaw!$C12</f>
        <v>0</v>
      </c>
      <c r="C12" s="174" t="n">
        <f aca="false">ExportRaw!$G12</f>
        <v>0</v>
      </c>
      <c r="D12" s="174" t="str">
        <f aca="false">ExportRaw!$E12</f>
        <v/>
      </c>
      <c r="E12" s="175" t="str">
        <f aca="false">ExportRaw!$D12</f>
        <v/>
      </c>
      <c r="F12" s="174" t="str">
        <f aca="false">ExportRaw!$H12</f>
        <v/>
      </c>
      <c r="G12" s="176" t="str">
        <f aca="false">ExportRaw!$I12</f>
        <v/>
      </c>
      <c r="H12" s="174" t="str">
        <f aca="false">ExportRaw!$A12</f>
        <v/>
      </c>
      <c r="I12" s="174" t="str">
        <f aca="false">ExportRaw!$B12</f>
        <v/>
      </c>
    </row>
    <row r="13" customFormat="false" ht="15.75" hidden="false" customHeight="false" outlineLevel="0" collapsed="false">
      <c r="A13" s="174" t="n">
        <f aca="false">ExportRaw!$F13</f>
        <v>0</v>
      </c>
      <c r="B13" s="174" t="n">
        <f aca="false">ExportRaw!$C13</f>
        <v>0</v>
      </c>
      <c r="C13" s="174" t="n">
        <f aca="false">ExportRaw!$G13</f>
        <v>0</v>
      </c>
      <c r="D13" s="174" t="str">
        <f aca="false">ExportRaw!$E13</f>
        <v/>
      </c>
      <c r="E13" s="175" t="str">
        <f aca="false">ExportRaw!$D13</f>
        <v/>
      </c>
      <c r="F13" s="174" t="str">
        <f aca="false">ExportRaw!$H13</f>
        <v/>
      </c>
      <c r="G13" s="176" t="str">
        <f aca="false">ExportRaw!$I13</f>
        <v/>
      </c>
      <c r="H13" s="174" t="str">
        <f aca="false">ExportRaw!$A13</f>
        <v/>
      </c>
      <c r="I13" s="174" t="str">
        <f aca="false">ExportRaw!$B13</f>
        <v/>
      </c>
    </row>
    <row r="14" customFormat="false" ht="15.75" hidden="false" customHeight="false" outlineLevel="0" collapsed="false">
      <c r="A14" s="174" t="n">
        <f aca="false">ExportRaw!$F14</f>
        <v>0</v>
      </c>
      <c r="B14" s="174" t="n">
        <f aca="false">ExportRaw!$C14</f>
        <v>0</v>
      </c>
      <c r="C14" s="174" t="n">
        <f aca="false">ExportRaw!$G14</f>
        <v>0</v>
      </c>
      <c r="D14" s="174" t="str">
        <f aca="false">ExportRaw!$E14</f>
        <v/>
      </c>
      <c r="E14" s="175" t="str">
        <f aca="false">ExportRaw!$D14</f>
        <v/>
      </c>
      <c r="F14" s="174" t="str">
        <f aca="false">ExportRaw!$H14</f>
        <v/>
      </c>
      <c r="G14" s="176" t="str">
        <f aca="false">ExportRaw!$I14</f>
        <v/>
      </c>
      <c r="H14" s="174" t="str">
        <f aca="false">ExportRaw!$A14</f>
        <v/>
      </c>
      <c r="I14" s="174" t="str">
        <f aca="false">ExportRaw!$B14</f>
        <v/>
      </c>
    </row>
    <row r="15" customFormat="false" ht="15.75" hidden="false" customHeight="false" outlineLevel="0" collapsed="false">
      <c r="A15" s="174" t="n">
        <f aca="false">ExportRaw!$F15</f>
        <v>0</v>
      </c>
      <c r="B15" s="174" t="n">
        <f aca="false">ExportRaw!$C15</f>
        <v>0</v>
      </c>
      <c r="C15" s="174" t="n">
        <f aca="false">ExportRaw!$G15</f>
        <v>0</v>
      </c>
      <c r="D15" s="174" t="str">
        <f aca="false">ExportRaw!$E15</f>
        <v/>
      </c>
      <c r="E15" s="175" t="str">
        <f aca="false">ExportRaw!$D15</f>
        <v/>
      </c>
      <c r="F15" s="174" t="str">
        <f aca="false">ExportRaw!$H15</f>
        <v/>
      </c>
      <c r="G15" s="176" t="str">
        <f aca="false">ExportRaw!$I15</f>
        <v/>
      </c>
      <c r="H15" s="174" t="str">
        <f aca="false">ExportRaw!$A15</f>
        <v/>
      </c>
      <c r="I15" s="174" t="str">
        <f aca="false">ExportRaw!$B15</f>
        <v/>
      </c>
    </row>
    <row r="16" customFormat="false" ht="15.75" hidden="false" customHeight="false" outlineLevel="0" collapsed="false">
      <c r="A16" s="174" t="n">
        <f aca="false">ExportRaw!$F16</f>
        <v>0</v>
      </c>
      <c r="B16" s="174" t="n">
        <f aca="false">ExportRaw!$C16</f>
        <v>0</v>
      </c>
      <c r="C16" s="174" t="n">
        <f aca="false">ExportRaw!$G16</f>
        <v>0</v>
      </c>
      <c r="D16" s="174" t="str">
        <f aca="false">ExportRaw!$E16</f>
        <v/>
      </c>
      <c r="E16" s="175" t="str">
        <f aca="false">ExportRaw!$D16</f>
        <v/>
      </c>
      <c r="F16" s="174" t="str">
        <f aca="false">ExportRaw!$H16</f>
        <v/>
      </c>
      <c r="G16" s="176" t="str">
        <f aca="false">ExportRaw!$I16</f>
        <v/>
      </c>
      <c r="H16" s="174" t="str">
        <f aca="false">ExportRaw!$A16</f>
        <v/>
      </c>
      <c r="I16" s="174" t="str">
        <f aca="false">ExportRaw!$B16</f>
        <v/>
      </c>
    </row>
    <row r="17" customFormat="false" ht="15.75" hidden="false" customHeight="false" outlineLevel="0" collapsed="false">
      <c r="A17" s="174" t="n">
        <f aca="false">ExportRaw!$F17</f>
        <v>0</v>
      </c>
      <c r="B17" s="174" t="n">
        <f aca="false">ExportRaw!$C17</f>
        <v>0</v>
      </c>
      <c r="C17" s="174" t="n">
        <f aca="false">ExportRaw!$G17</f>
        <v>0</v>
      </c>
      <c r="D17" s="174" t="str">
        <f aca="false">ExportRaw!$E17</f>
        <v/>
      </c>
      <c r="E17" s="175" t="str">
        <f aca="false">ExportRaw!$D17</f>
        <v/>
      </c>
      <c r="F17" s="174" t="str">
        <f aca="false">ExportRaw!$H17</f>
        <v/>
      </c>
      <c r="G17" s="176" t="str">
        <f aca="false">ExportRaw!$I17</f>
        <v/>
      </c>
      <c r="H17" s="174" t="str">
        <f aca="false">ExportRaw!$A17</f>
        <v/>
      </c>
      <c r="I17" s="174" t="str">
        <f aca="false">ExportRaw!$B17</f>
        <v/>
      </c>
    </row>
    <row r="18" customFormat="false" ht="15.75" hidden="false" customHeight="false" outlineLevel="0" collapsed="false">
      <c r="A18" s="174" t="n">
        <f aca="false">ExportRaw!$F18</f>
        <v>0</v>
      </c>
      <c r="B18" s="174" t="n">
        <f aca="false">ExportRaw!$C18</f>
        <v>0</v>
      </c>
      <c r="C18" s="174" t="n">
        <f aca="false">ExportRaw!$G18</f>
        <v>0</v>
      </c>
      <c r="D18" s="174" t="str">
        <f aca="false">ExportRaw!$E18</f>
        <v/>
      </c>
      <c r="E18" s="175" t="str">
        <f aca="false">ExportRaw!$D18</f>
        <v/>
      </c>
      <c r="F18" s="174" t="str">
        <f aca="false">ExportRaw!$H18</f>
        <v/>
      </c>
      <c r="G18" s="176" t="str">
        <f aca="false">ExportRaw!$I18</f>
        <v/>
      </c>
      <c r="H18" s="174" t="str">
        <f aca="false">ExportRaw!$A18</f>
        <v/>
      </c>
      <c r="I18" s="174" t="str">
        <f aca="false">ExportRaw!$B18</f>
        <v/>
      </c>
    </row>
    <row r="19" customFormat="false" ht="15.75" hidden="false" customHeight="false" outlineLevel="0" collapsed="false">
      <c r="A19" s="174" t="n">
        <f aca="false">ExportRaw!$F19</f>
        <v>0</v>
      </c>
      <c r="B19" s="174" t="n">
        <f aca="false">ExportRaw!$C19</f>
        <v>0</v>
      </c>
      <c r="C19" s="174" t="n">
        <f aca="false">ExportRaw!$G19</f>
        <v>0</v>
      </c>
      <c r="D19" s="174" t="str">
        <f aca="false">ExportRaw!$E19</f>
        <v/>
      </c>
      <c r="E19" s="175" t="str">
        <f aca="false">ExportRaw!$D19</f>
        <v/>
      </c>
      <c r="F19" s="174" t="str">
        <f aca="false">ExportRaw!$H19</f>
        <v/>
      </c>
      <c r="G19" s="176" t="str">
        <f aca="false">ExportRaw!$I19</f>
        <v/>
      </c>
      <c r="H19" s="174" t="str">
        <f aca="false">ExportRaw!$A19</f>
        <v/>
      </c>
      <c r="I19" s="174" t="str">
        <f aca="false">ExportRaw!$B19</f>
        <v/>
      </c>
    </row>
    <row r="20" customFormat="false" ht="15.75" hidden="false" customHeight="false" outlineLevel="0" collapsed="false">
      <c r="A20" s="174" t="n">
        <f aca="false">ExportRaw!$F20</f>
        <v>0</v>
      </c>
      <c r="B20" s="174" t="n">
        <f aca="false">ExportRaw!$C20</f>
        <v>0</v>
      </c>
      <c r="C20" s="174" t="n">
        <f aca="false">ExportRaw!$G20</f>
        <v>0</v>
      </c>
      <c r="D20" s="174" t="str">
        <f aca="false">ExportRaw!$E20</f>
        <v/>
      </c>
      <c r="E20" s="175" t="str">
        <f aca="false">ExportRaw!$D20</f>
        <v/>
      </c>
      <c r="F20" s="174" t="str">
        <f aca="false">ExportRaw!$H20</f>
        <v/>
      </c>
      <c r="G20" s="176" t="str">
        <f aca="false">ExportRaw!$I20</f>
        <v/>
      </c>
      <c r="H20" s="174" t="str">
        <f aca="false">ExportRaw!$A20</f>
        <v/>
      </c>
      <c r="I20" s="174" t="str">
        <f aca="false">ExportRaw!$B20</f>
        <v/>
      </c>
    </row>
    <row r="21" customFormat="false" ht="15.75" hidden="false" customHeight="false" outlineLevel="0" collapsed="false">
      <c r="A21" s="174" t="n">
        <f aca="false">ExportRaw!$F21</f>
        <v>0</v>
      </c>
      <c r="B21" s="174" t="n">
        <f aca="false">ExportRaw!$C21</f>
        <v>0</v>
      </c>
      <c r="C21" s="174" t="n">
        <f aca="false">ExportRaw!$G21</f>
        <v>0</v>
      </c>
      <c r="D21" s="174" t="str">
        <f aca="false">ExportRaw!$E21</f>
        <v/>
      </c>
      <c r="E21" s="175" t="str">
        <f aca="false">ExportRaw!$D21</f>
        <v/>
      </c>
      <c r="F21" s="174" t="str">
        <f aca="false">ExportRaw!$H21</f>
        <v/>
      </c>
      <c r="G21" s="176" t="str">
        <f aca="false">ExportRaw!$I21</f>
        <v/>
      </c>
      <c r="H21" s="174" t="str">
        <f aca="false">ExportRaw!$A21</f>
        <v/>
      </c>
      <c r="I21" s="174" t="str">
        <f aca="false">ExportRaw!$B21</f>
        <v/>
      </c>
    </row>
    <row r="22" customFormat="false" ht="15.75" hidden="false" customHeight="false" outlineLevel="0" collapsed="false">
      <c r="A22" s="174" t="n">
        <f aca="false">ExportRaw!$F22</f>
        <v>0</v>
      </c>
      <c r="B22" s="174" t="n">
        <f aca="false">ExportRaw!$C22</f>
        <v>0</v>
      </c>
      <c r="C22" s="174" t="n">
        <f aca="false">ExportRaw!$G22</f>
        <v>0</v>
      </c>
      <c r="D22" s="174" t="str">
        <f aca="false">ExportRaw!$E22</f>
        <v/>
      </c>
      <c r="E22" s="175" t="str">
        <f aca="false">ExportRaw!$D22</f>
        <v/>
      </c>
      <c r="F22" s="174" t="str">
        <f aca="false">ExportRaw!$H22</f>
        <v/>
      </c>
      <c r="G22" s="176" t="str">
        <f aca="false">ExportRaw!$I22</f>
        <v/>
      </c>
      <c r="H22" s="174" t="str">
        <f aca="false">ExportRaw!$A22</f>
        <v/>
      </c>
      <c r="I22" s="174" t="str">
        <f aca="false">ExportRaw!$B22</f>
        <v/>
      </c>
    </row>
    <row r="23" customFormat="false" ht="15.75" hidden="false" customHeight="false" outlineLevel="0" collapsed="false">
      <c r="A23" s="174" t="n">
        <f aca="false">ExportRaw!$F23</f>
        <v>0</v>
      </c>
      <c r="B23" s="174" t="n">
        <f aca="false">ExportRaw!$C23</f>
        <v>0</v>
      </c>
      <c r="C23" s="174" t="n">
        <f aca="false">ExportRaw!$G23</f>
        <v>0</v>
      </c>
      <c r="D23" s="174" t="str">
        <f aca="false">ExportRaw!$E23</f>
        <v/>
      </c>
      <c r="E23" s="175" t="str">
        <f aca="false">ExportRaw!$D23</f>
        <v/>
      </c>
      <c r="F23" s="174" t="str">
        <f aca="false">ExportRaw!$H23</f>
        <v/>
      </c>
      <c r="G23" s="176" t="str">
        <f aca="false">ExportRaw!$I23</f>
        <v/>
      </c>
      <c r="H23" s="174" t="str">
        <f aca="false">ExportRaw!$A23</f>
        <v/>
      </c>
      <c r="I23" s="174" t="str">
        <f aca="false">ExportRaw!$B23</f>
        <v/>
      </c>
    </row>
    <row r="24" customFormat="false" ht="15.75" hidden="false" customHeight="false" outlineLevel="0" collapsed="false">
      <c r="A24" s="174" t="n">
        <f aca="false">ExportRaw!$F24</f>
        <v>0</v>
      </c>
      <c r="B24" s="174" t="n">
        <f aca="false">ExportRaw!$C24</f>
        <v>0</v>
      </c>
      <c r="C24" s="174" t="n">
        <f aca="false">ExportRaw!$G24</f>
        <v>0</v>
      </c>
      <c r="D24" s="174" t="str">
        <f aca="false">ExportRaw!$E24</f>
        <v/>
      </c>
      <c r="E24" s="175" t="str">
        <f aca="false">ExportRaw!$D24</f>
        <v/>
      </c>
      <c r="F24" s="174" t="str">
        <f aca="false">ExportRaw!$H24</f>
        <v/>
      </c>
      <c r="G24" s="176" t="str">
        <f aca="false">ExportRaw!$I24</f>
        <v/>
      </c>
      <c r="H24" s="174" t="str">
        <f aca="false">ExportRaw!$A24</f>
        <v/>
      </c>
      <c r="I24" s="174" t="str">
        <f aca="false">ExportRaw!$B24</f>
        <v/>
      </c>
    </row>
    <row r="25" customFormat="false" ht="15.75" hidden="false" customHeight="false" outlineLevel="0" collapsed="false">
      <c r="A25" s="174" t="n">
        <f aca="false">ExportRaw!$F25</f>
        <v>0</v>
      </c>
      <c r="B25" s="174" t="n">
        <f aca="false">ExportRaw!$C25</f>
        <v>0</v>
      </c>
      <c r="C25" s="174" t="n">
        <f aca="false">ExportRaw!$G25</f>
        <v>0</v>
      </c>
      <c r="D25" s="174" t="str">
        <f aca="false">ExportRaw!$E25</f>
        <v/>
      </c>
      <c r="E25" s="175" t="str">
        <f aca="false">ExportRaw!$D25</f>
        <v/>
      </c>
      <c r="F25" s="174" t="str">
        <f aca="false">ExportRaw!$H25</f>
        <v/>
      </c>
      <c r="G25" s="176" t="str">
        <f aca="false">ExportRaw!$I25</f>
        <v/>
      </c>
      <c r="H25" s="174" t="str">
        <f aca="false">ExportRaw!$A25</f>
        <v/>
      </c>
      <c r="I25" s="174" t="str">
        <f aca="false">ExportRaw!$B25</f>
        <v/>
      </c>
    </row>
    <row r="26" customFormat="false" ht="15.75" hidden="false" customHeight="false" outlineLevel="0" collapsed="false">
      <c r="A26" s="174" t="n">
        <f aca="false">ExportRaw!$F26</f>
        <v>0</v>
      </c>
      <c r="B26" s="174" t="n">
        <f aca="false">ExportRaw!$C26</f>
        <v>0</v>
      </c>
      <c r="C26" s="174" t="n">
        <f aca="false">ExportRaw!$G26</f>
        <v>0</v>
      </c>
      <c r="D26" s="174" t="str">
        <f aca="false">ExportRaw!$E26</f>
        <v/>
      </c>
      <c r="E26" s="175" t="str">
        <f aca="false">ExportRaw!$D26</f>
        <v/>
      </c>
      <c r="F26" s="174" t="str">
        <f aca="false">ExportRaw!$H26</f>
        <v/>
      </c>
      <c r="G26" s="176" t="str">
        <f aca="false">ExportRaw!$I26</f>
        <v/>
      </c>
      <c r="H26" s="174" t="str">
        <f aca="false">ExportRaw!$A26</f>
        <v/>
      </c>
      <c r="I26" s="174" t="str">
        <f aca="false">ExportRaw!$B26</f>
        <v/>
      </c>
    </row>
    <row r="27" customFormat="false" ht="15.75" hidden="false" customHeight="false" outlineLevel="0" collapsed="false">
      <c r="A27" s="174" t="n">
        <f aca="false">ExportRaw!$F27</f>
        <v>0</v>
      </c>
      <c r="B27" s="174" t="n">
        <f aca="false">ExportRaw!$C27</f>
        <v>0</v>
      </c>
      <c r="C27" s="174" t="n">
        <f aca="false">ExportRaw!$G27</f>
        <v>0</v>
      </c>
      <c r="D27" s="174" t="str">
        <f aca="false">ExportRaw!$E27</f>
        <v/>
      </c>
      <c r="E27" s="175" t="str">
        <f aca="false">ExportRaw!$D27</f>
        <v/>
      </c>
      <c r="F27" s="174" t="str">
        <f aca="false">ExportRaw!$H27</f>
        <v/>
      </c>
      <c r="G27" s="176" t="str">
        <f aca="false">ExportRaw!$I27</f>
        <v/>
      </c>
      <c r="H27" s="174" t="str">
        <f aca="false">ExportRaw!$A27</f>
        <v/>
      </c>
      <c r="I27" s="174" t="str">
        <f aca="false">ExportRaw!$B27</f>
        <v/>
      </c>
    </row>
    <row r="28" customFormat="false" ht="15.75" hidden="false" customHeight="false" outlineLevel="0" collapsed="false">
      <c r="A28" s="174" t="n">
        <f aca="false">ExportRaw!$F28</f>
        <v>0</v>
      </c>
      <c r="B28" s="174" t="n">
        <f aca="false">ExportRaw!$C28</f>
        <v>0</v>
      </c>
      <c r="C28" s="174" t="n">
        <f aca="false">ExportRaw!$G28</f>
        <v>0</v>
      </c>
      <c r="D28" s="174" t="str">
        <f aca="false">ExportRaw!$E28</f>
        <v/>
      </c>
      <c r="E28" s="175" t="str">
        <f aca="false">ExportRaw!$D28</f>
        <v/>
      </c>
      <c r="F28" s="174" t="str">
        <f aca="false">ExportRaw!$H28</f>
        <v/>
      </c>
      <c r="G28" s="176" t="str">
        <f aca="false">ExportRaw!$I28</f>
        <v/>
      </c>
      <c r="H28" s="174" t="str">
        <f aca="false">ExportRaw!$A28</f>
        <v/>
      </c>
      <c r="I28" s="174" t="str">
        <f aca="false">ExportRaw!$B28</f>
        <v/>
      </c>
    </row>
    <row r="29" customFormat="false" ht="15.75" hidden="false" customHeight="false" outlineLevel="0" collapsed="false">
      <c r="A29" s="174" t="n">
        <f aca="false">ExportRaw!$F29</f>
        <v>0</v>
      </c>
      <c r="B29" s="174" t="n">
        <f aca="false">ExportRaw!$C29</f>
        <v>0</v>
      </c>
      <c r="C29" s="174" t="n">
        <f aca="false">ExportRaw!$G29</f>
        <v>0</v>
      </c>
      <c r="D29" s="174" t="str">
        <f aca="false">ExportRaw!$E29</f>
        <v/>
      </c>
      <c r="E29" s="175" t="str">
        <f aca="false">ExportRaw!$D29</f>
        <v/>
      </c>
      <c r="F29" s="174" t="str">
        <f aca="false">ExportRaw!$H29</f>
        <v/>
      </c>
      <c r="G29" s="176" t="str">
        <f aca="false">ExportRaw!$I29</f>
        <v/>
      </c>
      <c r="H29" s="174" t="str">
        <f aca="false">ExportRaw!$A29</f>
        <v/>
      </c>
      <c r="I29" s="174" t="str">
        <f aca="false">ExportRaw!$B29</f>
        <v/>
      </c>
    </row>
    <row r="30" customFormat="false" ht="15.75" hidden="false" customHeight="false" outlineLevel="0" collapsed="false">
      <c r="A30" s="174" t="n">
        <f aca="false">ExportRaw!$F30</f>
        <v>0</v>
      </c>
      <c r="B30" s="174" t="n">
        <f aca="false">ExportRaw!$C30</f>
        <v>0</v>
      </c>
      <c r="C30" s="174" t="n">
        <f aca="false">ExportRaw!$G30</f>
        <v>0</v>
      </c>
      <c r="D30" s="174" t="str">
        <f aca="false">ExportRaw!$E30</f>
        <v/>
      </c>
      <c r="E30" s="175" t="str">
        <f aca="false">ExportRaw!$D30</f>
        <v/>
      </c>
      <c r="F30" s="174" t="str">
        <f aca="false">ExportRaw!$H30</f>
        <v/>
      </c>
      <c r="G30" s="176" t="str">
        <f aca="false">ExportRaw!$I30</f>
        <v/>
      </c>
      <c r="H30" s="174" t="str">
        <f aca="false">ExportRaw!$A30</f>
        <v/>
      </c>
      <c r="I30" s="174" t="str">
        <f aca="false">ExportRaw!$B30</f>
        <v/>
      </c>
    </row>
    <row r="31" customFormat="false" ht="15.75" hidden="false" customHeight="false" outlineLevel="0" collapsed="false">
      <c r="A31" s="174" t="n">
        <f aca="false">ExportRaw!$F31</f>
        <v>0</v>
      </c>
      <c r="B31" s="174" t="n">
        <f aca="false">ExportRaw!$C31</f>
        <v>0</v>
      </c>
      <c r="C31" s="174" t="n">
        <f aca="false">ExportRaw!$G31</f>
        <v>0</v>
      </c>
      <c r="D31" s="174" t="str">
        <f aca="false">ExportRaw!$E31</f>
        <v/>
      </c>
      <c r="E31" s="175" t="str">
        <f aca="false">ExportRaw!$D31</f>
        <v/>
      </c>
      <c r="F31" s="174" t="str">
        <f aca="false">ExportRaw!$H31</f>
        <v/>
      </c>
      <c r="G31" s="176" t="str">
        <f aca="false">ExportRaw!$I31</f>
        <v/>
      </c>
      <c r="H31" s="174" t="str">
        <f aca="false">ExportRaw!$A31</f>
        <v/>
      </c>
      <c r="I31" s="174" t="str">
        <f aca="false">ExportRaw!$B31</f>
        <v/>
      </c>
    </row>
    <row r="32" customFormat="false" ht="15.75" hidden="false" customHeight="false" outlineLevel="0" collapsed="false">
      <c r="A32" s="174" t="n">
        <f aca="false">ExportRaw!$F32</f>
        <v>0</v>
      </c>
      <c r="B32" s="174" t="n">
        <f aca="false">ExportRaw!$C32</f>
        <v>0</v>
      </c>
      <c r="C32" s="174" t="n">
        <f aca="false">ExportRaw!$G32</f>
        <v>0</v>
      </c>
      <c r="D32" s="174" t="str">
        <f aca="false">ExportRaw!$E32</f>
        <v/>
      </c>
      <c r="E32" s="175" t="str">
        <f aca="false">ExportRaw!$D32</f>
        <v/>
      </c>
      <c r="F32" s="174" t="str">
        <f aca="false">ExportRaw!$H32</f>
        <v/>
      </c>
      <c r="G32" s="176" t="str">
        <f aca="false">ExportRaw!$I32</f>
        <v/>
      </c>
      <c r="H32" s="174" t="str">
        <f aca="false">ExportRaw!$A32</f>
        <v/>
      </c>
      <c r="I32" s="174" t="str">
        <f aca="false">ExportRaw!$B32</f>
        <v/>
      </c>
    </row>
    <row r="33" customFormat="false" ht="15.75" hidden="false" customHeight="false" outlineLevel="0" collapsed="false">
      <c r="A33" s="174" t="n">
        <f aca="false">ExportRaw!$F33</f>
        <v>0</v>
      </c>
      <c r="B33" s="174" t="n">
        <f aca="false">ExportRaw!$C33</f>
        <v>0</v>
      </c>
      <c r="C33" s="174" t="n">
        <f aca="false">ExportRaw!$G33</f>
        <v>0</v>
      </c>
      <c r="D33" s="174" t="str">
        <f aca="false">ExportRaw!$E33</f>
        <v/>
      </c>
      <c r="E33" s="175" t="str">
        <f aca="false">ExportRaw!$D33</f>
        <v/>
      </c>
      <c r="F33" s="174" t="str">
        <f aca="false">ExportRaw!$H33</f>
        <v/>
      </c>
      <c r="G33" s="176" t="str">
        <f aca="false">ExportRaw!$I33</f>
        <v/>
      </c>
      <c r="H33" s="174" t="str">
        <f aca="false">ExportRaw!$A33</f>
        <v/>
      </c>
      <c r="I33" s="174" t="str">
        <f aca="false">ExportRaw!$B33</f>
        <v/>
      </c>
    </row>
    <row r="34" customFormat="false" ht="15.75" hidden="false" customHeight="false" outlineLevel="0" collapsed="false">
      <c r="A34" s="174" t="n">
        <f aca="false">ExportRaw!$F34</f>
        <v>0</v>
      </c>
      <c r="B34" s="174" t="n">
        <f aca="false">ExportRaw!$C34</f>
        <v>0</v>
      </c>
      <c r="C34" s="174" t="n">
        <f aca="false">ExportRaw!$G34</f>
        <v>0</v>
      </c>
      <c r="D34" s="174" t="str">
        <f aca="false">ExportRaw!$E34</f>
        <v/>
      </c>
      <c r="E34" s="175" t="str">
        <f aca="false">ExportRaw!$D34</f>
        <v/>
      </c>
      <c r="F34" s="174" t="str">
        <f aca="false">ExportRaw!$H34</f>
        <v/>
      </c>
      <c r="G34" s="176" t="str">
        <f aca="false">ExportRaw!$I34</f>
        <v/>
      </c>
      <c r="H34" s="174" t="str">
        <f aca="false">ExportRaw!$A34</f>
        <v/>
      </c>
      <c r="I34" s="174" t="str">
        <f aca="false">ExportRaw!$B34</f>
        <v/>
      </c>
    </row>
    <row r="35" customFormat="false" ht="15.75" hidden="false" customHeight="false" outlineLevel="0" collapsed="false">
      <c r="A35" s="174" t="n">
        <f aca="false">ExportRaw!$F35</f>
        <v>0</v>
      </c>
      <c r="B35" s="174" t="n">
        <f aca="false">ExportRaw!$C35</f>
        <v>0</v>
      </c>
      <c r="C35" s="174" t="n">
        <f aca="false">ExportRaw!$G35</f>
        <v>0</v>
      </c>
      <c r="D35" s="174" t="str">
        <f aca="false">ExportRaw!$E35</f>
        <v/>
      </c>
      <c r="E35" s="175" t="str">
        <f aca="false">ExportRaw!$D35</f>
        <v/>
      </c>
      <c r="F35" s="174" t="str">
        <f aca="false">ExportRaw!$H35</f>
        <v/>
      </c>
      <c r="G35" s="176" t="str">
        <f aca="false">ExportRaw!$I35</f>
        <v/>
      </c>
      <c r="H35" s="174" t="str">
        <f aca="false">ExportRaw!$A35</f>
        <v/>
      </c>
      <c r="I35" s="174" t="str">
        <f aca="false">ExportRaw!$B35</f>
        <v/>
      </c>
    </row>
    <row r="36" customFormat="false" ht="15.75" hidden="false" customHeight="false" outlineLevel="0" collapsed="false">
      <c r="A36" s="174" t="n">
        <f aca="false">ExportRaw!$F36</f>
        <v>0</v>
      </c>
      <c r="B36" s="174" t="n">
        <f aca="false">ExportRaw!$C36</f>
        <v>0</v>
      </c>
      <c r="C36" s="174" t="n">
        <f aca="false">ExportRaw!$G36</f>
        <v>0</v>
      </c>
      <c r="D36" s="174" t="str">
        <f aca="false">ExportRaw!$E36</f>
        <v/>
      </c>
      <c r="E36" s="175" t="str">
        <f aca="false">ExportRaw!$D36</f>
        <v/>
      </c>
      <c r="F36" s="174" t="str">
        <f aca="false">ExportRaw!$H36</f>
        <v/>
      </c>
      <c r="G36" s="176" t="str">
        <f aca="false">ExportRaw!$I36</f>
        <v/>
      </c>
      <c r="H36" s="174" t="str">
        <f aca="false">ExportRaw!$A36</f>
        <v/>
      </c>
      <c r="I36" s="174" t="str">
        <f aca="false">ExportRaw!$B36</f>
        <v/>
      </c>
    </row>
    <row r="37" customFormat="false" ht="15.75" hidden="false" customHeight="false" outlineLevel="0" collapsed="false">
      <c r="A37" s="174" t="n">
        <f aca="false">ExportRaw!$F37</f>
        <v>0</v>
      </c>
      <c r="B37" s="174" t="n">
        <f aca="false">ExportRaw!$C37</f>
        <v>0</v>
      </c>
      <c r="C37" s="174" t="n">
        <f aca="false">ExportRaw!$G37</f>
        <v>0</v>
      </c>
      <c r="D37" s="174" t="str">
        <f aca="false">ExportRaw!$E37</f>
        <v/>
      </c>
      <c r="E37" s="175" t="str">
        <f aca="false">ExportRaw!$D37</f>
        <v/>
      </c>
      <c r="F37" s="174" t="str">
        <f aca="false">ExportRaw!$H37</f>
        <v/>
      </c>
      <c r="G37" s="176" t="str">
        <f aca="false">ExportRaw!$I37</f>
        <v/>
      </c>
      <c r="H37" s="174" t="str">
        <f aca="false">ExportRaw!$A37</f>
        <v/>
      </c>
      <c r="I37" s="174" t="str">
        <f aca="false">ExportRaw!$B37</f>
        <v/>
      </c>
    </row>
    <row r="38" customFormat="false" ht="15.75" hidden="false" customHeight="false" outlineLevel="0" collapsed="false">
      <c r="A38" s="174" t="n">
        <f aca="false">ExportRaw!$F38</f>
        <v>0</v>
      </c>
      <c r="B38" s="174" t="n">
        <f aca="false">ExportRaw!$C38</f>
        <v>0</v>
      </c>
      <c r="C38" s="174" t="n">
        <f aca="false">ExportRaw!$G38</f>
        <v>0</v>
      </c>
      <c r="D38" s="174" t="str">
        <f aca="false">ExportRaw!$E38</f>
        <v/>
      </c>
      <c r="E38" s="175" t="str">
        <f aca="false">ExportRaw!$D38</f>
        <v/>
      </c>
      <c r="F38" s="174" t="str">
        <f aca="false">ExportRaw!$H38</f>
        <v/>
      </c>
      <c r="G38" s="176" t="str">
        <f aca="false">ExportRaw!$I38</f>
        <v/>
      </c>
      <c r="H38" s="174" t="str">
        <f aca="false">ExportRaw!$A38</f>
        <v/>
      </c>
      <c r="I38" s="174" t="str">
        <f aca="false">ExportRaw!$B38</f>
        <v/>
      </c>
    </row>
    <row r="39" customFormat="false" ht="15.75" hidden="false" customHeight="false" outlineLevel="0" collapsed="false">
      <c r="A39" s="174" t="n">
        <f aca="false">ExportRaw!$F39</f>
        <v>0</v>
      </c>
      <c r="B39" s="174" t="n">
        <f aca="false">ExportRaw!$C39</f>
        <v>0</v>
      </c>
      <c r="C39" s="174" t="n">
        <f aca="false">ExportRaw!$G39</f>
        <v>0</v>
      </c>
      <c r="D39" s="174" t="str">
        <f aca="false">ExportRaw!$E39</f>
        <v/>
      </c>
      <c r="E39" s="175" t="str">
        <f aca="false">ExportRaw!$D39</f>
        <v/>
      </c>
      <c r="F39" s="174" t="str">
        <f aca="false">ExportRaw!$H39</f>
        <v/>
      </c>
      <c r="G39" s="176" t="str">
        <f aca="false">ExportRaw!$I39</f>
        <v/>
      </c>
      <c r="H39" s="174" t="str">
        <f aca="false">ExportRaw!$A39</f>
        <v/>
      </c>
      <c r="I39" s="174" t="str">
        <f aca="false">ExportRaw!$B39</f>
        <v/>
      </c>
    </row>
    <row r="40" customFormat="false" ht="15.75" hidden="false" customHeight="false" outlineLevel="0" collapsed="false">
      <c r="A40" s="174" t="n">
        <f aca="false">ExportRaw!$F40</f>
        <v>0</v>
      </c>
      <c r="B40" s="174" t="n">
        <f aca="false">ExportRaw!$C40</f>
        <v>0</v>
      </c>
      <c r="C40" s="174" t="n">
        <f aca="false">ExportRaw!$G40</f>
        <v>0</v>
      </c>
      <c r="D40" s="174" t="str">
        <f aca="false">ExportRaw!$E40</f>
        <v/>
      </c>
      <c r="E40" s="175" t="str">
        <f aca="false">ExportRaw!$D40</f>
        <v/>
      </c>
      <c r="F40" s="174" t="str">
        <f aca="false">ExportRaw!$H40</f>
        <v/>
      </c>
      <c r="G40" s="176" t="str">
        <f aca="false">ExportRaw!$I40</f>
        <v/>
      </c>
      <c r="H40" s="174" t="str">
        <f aca="false">ExportRaw!$A40</f>
        <v/>
      </c>
      <c r="I40" s="174" t="str">
        <f aca="false">ExportRaw!$B40</f>
        <v/>
      </c>
    </row>
    <row r="41" customFormat="false" ht="15.75" hidden="false" customHeight="false" outlineLevel="0" collapsed="false">
      <c r="A41" s="174" t="n">
        <f aca="false">ExportRaw!$F41</f>
        <v>0</v>
      </c>
      <c r="B41" s="174" t="n">
        <f aca="false">ExportRaw!$C41</f>
        <v>0</v>
      </c>
      <c r="C41" s="174" t="n">
        <f aca="false">ExportRaw!$G41</f>
        <v>0</v>
      </c>
      <c r="D41" s="174" t="str">
        <f aca="false">ExportRaw!$E41</f>
        <v/>
      </c>
      <c r="E41" s="175" t="str">
        <f aca="false">ExportRaw!$D41</f>
        <v/>
      </c>
      <c r="F41" s="174" t="str">
        <f aca="false">ExportRaw!$H41</f>
        <v/>
      </c>
      <c r="G41" s="176" t="str">
        <f aca="false">ExportRaw!$I41</f>
        <v/>
      </c>
      <c r="H41" s="174" t="str">
        <f aca="false">ExportRaw!$A41</f>
        <v/>
      </c>
      <c r="I41" s="174" t="str">
        <f aca="false">ExportRaw!$B41</f>
        <v/>
      </c>
    </row>
    <row r="42" customFormat="false" ht="15.75" hidden="false" customHeight="false" outlineLevel="0" collapsed="false">
      <c r="A42" s="174" t="n">
        <f aca="false">ExportRaw!$F42</f>
        <v>0</v>
      </c>
      <c r="B42" s="174" t="n">
        <f aca="false">ExportRaw!$C42</f>
        <v>0</v>
      </c>
      <c r="C42" s="174" t="n">
        <f aca="false">ExportRaw!$G42</f>
        <v>0</v>
      </c>
      <c r="D42" s="174" t="str">
        <f aca="false">ExportRaw!$E42</f>
        <v/>
      </c>
      <c r="E42" s="175" t="str">
        <f aca="false">ExportRaw!$D42</f>
        <v/>
      </c>
      <c r="F42" s="174" t="str">
        <f aca="false">ExportRaw!$H42</f>
        <v/>
      </c>
      <c r="G42" s="176" t="str">
        <f aca="false">ExportRaw!$I42</f>
        <v/>
      </c>
      <c r="H42" s="174" t="str">
        <f aca="false">ExportRaw!$A42</f>
        <v/>
      </c>
      <c r="I42" s="174" t="str">
        <f aca="false">ExportRaw!$B42</f>
        <v/>
      </c>
    </row>
    <row r="43" customFormat="false" ht="15.75" hidden="false" customHeight="false" outlineLevel="0" collapsed="false">
      <c r="A43" s="174" t="n">
        <f aca="false">ExportRaw!$F43</f>
        <v>0</v>
      </c>
      <c r="B43" s="174" t="n">
        <f aca="false">ExportRaw!$C43</f>
        <v>0</v>
      </c>
      <c r="C43" s="174" t="n">
        <f aca="false">ExportRaw!$G43</f>
        <v>0</v>
      </c>
      <c r="D43" s="174" t="str">
        <f aca="false">ExportRaw!$E43</f>
        <v/>
      </c>
      <c r="E43" s="175" t="str">
        <f aca="false">ExportRaw!$D43</f>
        <v/>
      </c>
      <c r="F43" s="174" t="str">
        <f aca="false">ExportRaw!$H43</f>
        <v/>
      </c>
      <c r="G43" s="176" t="str">
        <f aca="false">ExportRaw!$I43</f>
        <v/>
      </c>
      <c r="H43" s="174" t="str">
        <f aca="false">ExportRaw!$A43</f>
        <v/>
      </c>
      <c r="I43" s="174" t="str">
        <f aca="false">ExportRaw!$B43</f>
        <v/>
      </c>
    </row>
    <row r="44" customFormat="false" ht="15.75" hidden="false" customHeight="false" outlineLevel="0" collapsed="false">
      <c r="A44" s="174" t="n">
        <f aca="false">ExportRaw!$F44</f>
        <v>0</v>
      </c>
      <c r="B44" s="174" t="n">
        <f aca="false">ExportRaw!$C44</f>
        <v>0</v>
      </c>
      <c r="C44" s="174" t="n">
        <f aca="false">ExportRaw!$G44</f>
        <v>0</v>
      </c>
      <c r="D44" s="174" t="str">
        <f aca="false">ExportRaw!$E44</f>
        <v/>
      </c>
      <c r="E44" s="175" t="str">
        <f aca="false">ExportRaw!$D44</f>
        <v/>
      </c>
      <c r="F44" s="174" t="str">
        <f aca="false">ExportRaw!$H44</f>
        <v/>
      </c>
      <c r="G44" s="176" t="str">
        <f aca="false">ExportRaw!$I44</f>
        <v/>
      </c>
      <c r="H44" s="174" t="str">
        <f aca="false">ExportRaw!$A44</f>
        <v/>
      </c>
      <c r="I44" s="174" t="str">
        <f aca="false">ExportRaw!$B44</f>
        <v/>
      </c>
    </row>
    <row r="45" customFormat="false" ht="15.75" hidden="false" customHeight="false" outlineLevel="0" collapsed="false">
      <c r="A45" s="174" t="n">
        <f aca="false">ExportRaw!$F45</f>
        <v>0</v>
      </c>
      <c r="B45" s="174" t="n">
        <f aca="false">ExportRaw!$C45</f>
        <v>0</v>
      </c>
      <c r="C45" s="174" t="n">
        <f aca="false">ExportRaw!$G45</f>
        <v>0</v>
      </c>
      <c r="D45" s="174" t="str">
        <f aca="false">ExportRaw!$E45</f>
        <v/>
      </c>
      <c r="E45" s="175" t="str">
        <f aca="false">ExportRaw!$D45</f>
        <v/>
      </c>
      <c r="F45" s="174" t="str">
        <f aca="false">ExportRaw!$H45</f>
        <v/>
      </c>
      <c r="G45" s="176" t="str">
        <f aca="false">ExportRaw!$I45</f>
        <v/>
      </c>
      <c r="H45" s="174" t="str">
        <f aca="false">ExportRaw!$A45</f>
        <v/>
      </c>
      <c r="I45" s="174" t="str">
        <f aca="false">ExportRaw!$B45</f>
        <v/>
      </c>
    </row>
    <row r="46" customFormat="false" ht="15.75" hidden="false" customHeight="false" outlineLevel="0" collapsed="false">
      <c r="A46" s="174" t="n">
        <f aca="false">ExportRaw!$F46</f>
        <v>0</v>
      </c>
      <c r="B46" s="174" t="n">
        <f aca="false">ExportRaw!$C46</f>
        <v>0</v>
      </c>
      <c r="C46" s="174" t="n">
        <f aca="false">ExportRaw!$G46</f>
        <v>0</v>
      </c>
      <c r="D46" s="174" t="str">
        <f aca="false">ExportRaw!$E46</f>
        <v/>
      </c>
      <c r="E46" s="175" t="str">
        <f aca="false">ExportRaw!$D46</f>
        <v/>
      </c>
      <c r="F46" s="174" t="str">
        <f aca="false">ExportRaw!$H46</f>
        <v/>
      </c>
      <c r="G46" s="176" t="str">
        <f aca="false">ExportRaw!$I46</f>
        <v/>
      </c>
      <c r="H46" s="174" t="str">
        <f aca="false">ExportRaw!$A46</f>
        <v/>
      </c>
      <c r="I46" s="174" t="str">
        <f aca="false">ExportRaw!$B46</f>
        <v/>
      </c>
    </row>
    <row r="47" customFormat="false" ht="15.75" hidden="false" customHeight="false" outlineLevel="0" collapsed="false">
      <c r="A47" s="174" t="n">
        <f aca="false">ExportRaw!$F47</f>
        <v>0</v>
      </c>
      <c r="B47" s="174" t="n">
        <f aca="false">ExportRaw!$C47</f>
        <v>0</v>
      </c>
      <c r="C47" s="174" t="n">
        <f aca="false">ExportRaw!$G47</f>
        <v>0</v>
      </c>
      <c r="D47" s="174" t="str">
        <f aca="false">ExportRaw!$E47</f>
        <v/>
      </c>
      <c r="E47" s="175" t="str">
        <f aca="false">ExportRaw!$D47</f>
        <v/>
      </c>
      <c r="F47" s="174" t="str">
        <f aca="false">ExportRaw!$H47</f>
        <v/>
      </c>
      <c r="G47" s="176" t="str">
        <f aca="false">ExportRaw!$I47</f>
        <v/>
      </c>
      <c r="H47" s="174" t="str">
        <f aca="false">ExportRaw!$A47</f>
        <v/>
      </c>
      <c r="I47" s="174" t="str">
        <f aca="false">ExportRaw!$B47</f>
        <v/>
      </c>
    </row>
    <row r="48" customFormat="false" ht="15.75" hidden="false" customHeight="false" outlineLevel="0" collapsed="false">
      <c r="A48" s="174" t="n">
        <f aca="false">ExportRaw!$F48</f>
        <v>0</v>
      </c>
      <c r="B48" s="174" t="n">
        <f aca="false">ExportRaw!$C48</f>
        <v>0</v>
      </c>
      <c r="C48" s="174" t="n">
        <f aca="false">ExportRaw!$G48</f>
        <v>0</v>
      </c>
      <c r="D48" s="174" t="str">
        <f aca="false">ExportRaw!$E48</f>
        <v/>
      </c>
      <c r="E48" s="175" t="str">
        <f aca="false">ExportRaw!$D48</f>
        <v/>
      </c>
      <c r="F48" s="174" t="str">
        <f aca="false">ExportRaw!$H48</f>
        <v/>
      </c>
      <c r="G48" s="176" t="str">
        <f aca="false">ExportRaw!$I48</f>
        <v/>
      </c>
      <c r="H48" s="174" t="str">
        <f aca="false">ExportRaw!$A48</f>
        <v/>
      </c>
      <c r="I48" s="174" t="str">
        <f aca="false">ExportRaw!$B48</f>
        <v/>
      </c>
    </row>
    <row r="49" customFormat="false" ht="15.75" hidden="false" customHeight="false" outlineLevel="0" collapsed="false">
      <c r="A49" s="174" t="n">
        <f aca="false">ExportRaw!$F49</f>
        <v>0</v>
      </c>
      <c r="B49" s="174" t="n">
        <f aca="false">ExportRaw!$C49</f>
        <v>0</v>
      </c>
      <c r="C49" s="174" t="n">
        <f aca="false">ExportRaw!$G49</f>
        <v>0</v>
      </c>
      <c r="D49" s="174" t="str">
        <f aca="false">ExportRaw!$E49</f>
        <v/>
      </c>
      <c r="E49" s="175" t="str">
        <f aca="false">ExportRaw!$D49</f>
        <v/>
      </c>
      <c r="F49" s="174" t="str">
        <f aca="false">ExportRaw!$H49</f>
        <v/>
      </c>
      <c r="G49" s="176" t="str">
        <f aca="false">ExportRaw!$I49</f>
        <v/>
      </c>
      <c r="H49" s="174" t="str">
        <f aca="false">ExportRaw!$A49</f>
        <v/>
      </c>
      <c r="I49" s="174" t="str">
        <f aca="false">ExportRaw!$B49</f>
        <v/>
      </c>
    </row>
    <row r="50" customFormat="false" ht="15.75" hidden="false" customHeight="false" outlineLevel="0" collapsed="false">
      <c r="A50" s="174" t="n">
        <f aca="false">ExportRaw!$F50</f>
        <v>0</v>
      </c>
      <c r="B50" s="174" t="n">
        <f aca="false">ExportRaw!$C50</f>
        <v>0</v>
      </c>
      <c r="C50" s="174" t="n">
        <f aca="false">ExportRaw!$G50</f>
        <v>0</v>
      </c>
      <c r="D50" s="174" t="str">
        <f aca="false">ExportRaw!$E50</f>
        <v/>
      </c>
      <c r="E50" s="175" t="str">
        <f aca="false">ExportRaw!$D50</f>
        <v/>
      </c>
      <c r="F50" s="174" t="str">
        <f aca="false">ExportRaw!$H50</f>
        <v/>
      </c>
      <c r="G50" s="176" t="str">
        <f aca="false">ExportRaw!$I50</f>
        <v/>
      </c>
      <c r="H50" s="174" t="str">
        <f aca="false">ExportRaw!$A50</f>
        <v/>
      </c>
      <c r="I50" s="174" t="str">
        <f aca="false">ExportRaw!$B50</f>
        <v/>
      </c>
    </row>
    <row r="51" customFormat="false" ht="15.75" hidden="false" customHeight="false" outlineLevel="0" collapsed="false">
      <c r="A51" s="174" t="n">
        <f aca="false">ExportRaw!$F51</f>
        <v>0</v>
      </c>
      <c r="B51" s="174" t="n">
        <f aca="false">ExportRaw!$C51</f>
        <v>0</v>
      </c>
      <c r="C51" s="174" t="n">
        <f aca="false">ExportRaw!$G51</f>
        <v>0</v>
      </c>
      <c r="D51" s="174" t="str">
        <f aca="false">ExportRaw!$E51</f>
        <v/>
      </c>
      <c r="E51" s="175" t="str">
        <f aca="false">ExportRaw!$D51</f>
        <v/>
      </c>
      <c r="F51" s="174" t="str">
        <f aca="false">ExportRaw!$H51</f>
        <v/>
      </c>
      <c r="G51" s="176" t="str">
        <f aca="false">ExportRaw!$I51</f>
        <v/>
      </c>
      <c r="H51" s="174" t="str">
        <f aca="false">ExportRaw!$A51</f>
        <v/>
      </c>
      <c r="I51" s="174" t="str">
        <f aca="false">ExportRaw!$B51</f>
        <v/>
      </c>
    </row>
    <row r="52" customFormat="false" ht="15.75" hidden="false" customHeight="false" outlineLevel="0" collapsed="false">
      <c r="A52" s="174" t="n">
        <f aca="false">ExportRaw!$F52</f>
        <v>0</v>
      </c>
      <c r="B52" s="174" t="n">
        <f aca="false">ExportRaw!$C52</f>
        <v>0</v>
      </c>
      <c r="C52" s="174" t="n">
        <f aca="false">ExportRaw!$G52</f>
        <v>0</v>
      </c>
      <c r="D52" s="174" t="str">
        <f aca="false">ExportRaw!$E52</f>
        <v/>
      </c>
      <c r="E52" s="175" t="str">
        <f aca="false">ExportRaw!$D52</f>
        <v/>
      </c>
      <c r="F52" s="174" t="str">
        <f aca="false">ExportRaw!$H52</f>
        <v/>
      </c>
      <c r="G52" s="176" t="str">
        <f aca="false">ExportRaw!$I52</f>
        <v/>
      </c>
      <c r="H52" s="174" t="str">
        <f aca="false">ExportRaw!$A52</f>
        <v/>
      </c>
      <c r="I52" s="174" t="str">
        <f aca="false">ExportRaw!$B52</f>
        <v/>
      </c>
    </row>
    <row r="53" customFormat="false" ht="15.75" hidden="false" customHeight="false" outlineLevel="0" collapsed="false">
      <c r="A53" s="174" t="n">
        <f aca="false">ExportRaw!$F53</f>
        <v>0</v>
      </c>
      <c r="B53" s="174" t="n">
        <f aca="false">ExportRaw!$C53</f>
        <v>0</v>
      </c>
      <c r="C53" s="174" t="n">
        <f aca="false">ExportRaw!$G53</f>
        <v>0</v>
      </c>
      <c r="D53" s="174" t="str">
        <f aca="false">ExportRaw!$E53</f>
        <v/>
      </c>
      <c r="E53" s="175" t="str">
        <f aca="false">ExportRaw!$D53</f>
        <v/>
      </c>
      <c r="F53" s="174" t="str">
        <f aca="false">ExportRaw!$H53</f>
        <v/>
      </c>
      <c r="G53" s="176" t="str">
        <f aca="false">ExportRaw!$I53</f>
        <v/>
      </c>
      <c r="H53" s="174" t="str">
        <f aca="false">ExportRaw!$A53</f>
        <v/>
      </c>
      <c r="I53" s="174" t="str">
        <f aca="false">ExportRaw!$B53</f>
        <v/>
      </c>
    </row>
    <row r="54" customFormat="false" ht="15.75" hidden="false" customHeight="false" outlineLevel="0" collapsed="false">
      <c r="A54" s="174" t="n">
        <f aca="false">ExportRaw!$F54</f>
        <v>0</v>
      </c>
      <c r="B54" s="174" t="n">
        <f aca="false">ExportRaw!$C54</f>
        <v>0</v>
      </c>
      <c r="C54" s="174" t="n">
        <f aca="false">ExportRaw!$G54</f>
        <v>0</v>
      </c>
      <c r="D54" s="174" t="str">
        <f aca="false">ExportRaw!$E54</f>
        <v/>
      </c>
      <c r="E54" s="175" t="str">
        <f aca="false">ExportRaw!$D54</f>
        <v/>
      </c>
      <c r="F54" s="174" t="str">
        <f aca="false">ExportRaw!$H54</f>
        <v/>
      </c>
      <c r="G54" s="176" t="str">
        <f aca="false">ExportRaw!$I54</f>
        <v/>
      </c>
      <c r="H54" s="174" t="str">
        <f aca="false">ExportRaw!$A54</f>
        <v/>
      </c>
      <c r="I54" s="174" t="str">
        <f aca="false">ExportRaw!$B54</f>
        <v/>
      </c>
    </row>
    <row r="55" customFormat="false" ht="15.75" hidden="false" customHeight="false" outlineLevel="0" collapsed="false">
      <c r="A55" s="174" t="n">
        <f aca="false">ExportRaw!$F55</f>
        <v>0</v>
      </c>
      <c r="B55" s="174" t="n">
        <f aca="false">ExportRaw!$C55</f>
        <v>0</v>
      </c>
      <c r="C55" s="174" t="n">
        <f aca="false">ExportRaw!$G55</f>
        <v>0</v>
      </c>
      <c r="D55" s="174" t="str">
        <f aca="false">ExportRaw!$E55</f>
        <v/>
      </c>
      <c r="E55" s="175" t="str">
        <f aca="false">ExportRaw!$D55</f>
        <v/>
      </c>
      <c r="F55" s="174" t="str">
        <f aca="false">ExportRaw!$H55</f>
        <v/>
      </c>
      <c r="G55" s="176" t="str">
        <f aca="false">ExportRaw!$I55</f>
        <v/>
      </c>
      <c r="H55" s="174" t="str">
        <f aca="false">ExportRaw!$A55</f>
        <v/>
      </c>
      <c r="I55" s="174" t="str">
        <f aca="false">ExportRaw!$B55</f>
        <v/>
      </c>
    </row>
    <row r="56" customFormat="false" ht="15.75" hidden="false" customHeight="false" outlineLevel="0" collapsed="false">
      <c r="A56" s="174" t="n">
        <f aca="false">ExportRaw!$F56</f>
        <v>0</v>
      </c>
      <c r="B56" s="174" t="n">
        <f aca="false">ExportRaw!$C56</f>
        <v>0</v>
      </c>
      <c r="C56" s="174" t="n">
        <f aca="false">ExportRaw!$G56</f>
        <v>0</v>
      </c>
      <c r="D56" s="174" t="str">
        <f aca="false">ExportRaw!$E56</f>
        <v/>
      </c>
      <c r="E56" s="175" t="str">
        <f aca="false">ExportRaw!$D56</f>
        <v/>
      </c>
      <c r="F56" s="174" t="str">
        <f aca="false">ExportRaw!$H56</f>
        <v/>
      </c>
      <c r="G56" s="176" t="str">
        <f aca="false">ExportRaw!$I56</f>
        <v/>
      </c>
      <c r="H56" s="174" t="str">
        <f aca="false">ExportRaw!$A56</f>
        <v/>
      </c>
      <c r="I56" s="174" t="str">
        <f aca="false">ExportRaw!$B56</f>
        <v/>
      </c>
    </row>
    <row r="57" customFormat="false" ht="15.75" hidden="false" customHeight="false" outlineLevel="0" collapsed="false">
      <c r="A57" s="174" t="n">
        <f aca="false">ExportRaw!$F57</f>
        <v>0</v>
      </c>
      <c r="B57" s="174" t="n">
        <f aca="false">ExportRaw!$C57</f>
        <v>0</v>
      </c>
      <c r="C57" s="174" t="n">
        <f aca="false">ExportRaw!$G57</f>
        <v>0</v>
      </c>
      <c r="D57" s="174" t="str">
        <f aca="false">ExportRaw!$E57</f>
        <v/>
      </c>
      <c r="E57" s="175" t="str">
        <f aca="false">ExportRaw!$D57</f>
        <v/>
      </c>
      <c r="F57" s="174" t="str">
        <f aca="false">ExportRaw!$H57</f>
        <v/>
      </c>
      <c r="G57" s="176" t="str">
        <f aca="false">ExportRaw!$I57</f>
        <v/>
      </c>
      <c r="H57" s="174" t="str">
        <f aca="false">ExportRaw!$A57</f>
        <v/>
      </c>
      <c r="I57" s="174" t="str">
        <f aca="false">ExportRaw!$B57</f>
        <v/>
      </c>
    </row>
    <row r="58" customFormat="false" ht="15.75" hidden="false" customHeight="false" outlineLevel="0" collapsed="false">
      <c r="A58" s="174" t="n">
        <f aca="false">ExportRaw!$F58</f>
        <v>0</v>
      </c>
      <c r="B58" s="174" t="n">
        <f aca="false">ExportRaw!$C58</f>
        <v>0</v>
      </c>
      <c r="C58" s="174" t="n">
        <f aca="false">ExportRaw!$G58</f>
        <v>0</v>
      </c>
      <c r="D58" s="174" t="str">
        <f aca="false">ExportRaw!$E58</f>
        <v/>
      </c>
      <c r="E58" s="175" t="str">
        <f aca="false">ExportRaw!$D58</f>
        <v/>
      </c>
      <c r="F58" s="174" t="str">
        <f aca="false">ExportRaw!$H58</f>
        <v/>
      </c>
      <c r="G58" s="176" t="str">
        <f aca="false">ExportRaw!$I58</f>
        <v/>
      </c>
      <c r="H58" s="174" t="str">
        <f aca="false">ExportRaw!$A58</f>
        <v/>
      </c>
      <c r="I58" s="174" t="str">
        <f aca="false">ExportRaw!$B58</f>
        <v/>
      </c>
    </row>
    <row r="59" customFormat="false" ht="15.75" hidden="false" customHeight="false" outlineLevel="0" collapsed="false">
      <c r="A59" s="174" t="n">
        <f aca="false">ExportRaw!$F59</f>
        <v>0</v>
      </c>
      <c r="B59" s="174" t="n">
        <f aca="false">ExportRaw!$C59</f>
        <v>0</v>
      </c>
      <c r="C59" s="174" t="n">
        <f aca="false">ExportRaw!$G59</f>
        <v>0</v>
      </c>
      <c r="D59" s="174" t="str">
        <f aca="false">ExportRaw!$E59</f>
        <v/>
      </c>
      <c r="E59" s="175" t="str">
        <f aca="false">ExportRaw!$D59</f>
        <v/>
      </c>
      <c r="F59" s="174" t="str">
        <f aca="false">ExportRaw!$H59</f>
        <v/>
      </c>
      <c r="G59" s="176" t="str">
        <f aca="false">ExportRaw!$I59</f>
        <v/>
      </c>
      <c r="H59" s="174" t="str">
        <f aca="false">ExportRaw!$A59</f>
        <v/>
      </c>
      <c r="I59" s="174" t="str">
        <f aca="false">ExportRaw!$B59</f>
        <v/>
      </c>
    </row>
    <row r="60" customFormat="false" ht="15.75" hidden="false" customHeight="false" outlineLevel="0" collapsed="false">
      <c r="A60" s="174" t="n">
        <f aca="false">ExportRaw!$F60</f>
        <v>0</v>
      </c>
      <c r="B60" s="174" t="n">
        <f aca="false">ExportRaw!$C60</f>
        <v>0</v>
      </c>
      <c r="C60" s="174" t="n">
        <f aca="false">ExportRaw!$G60</f>
        <v>0</v>
      </c>
      <c r="D60" s="174" t="str">
        <f aca="false">ExportRaw!$E60</f>
        <v/>
      </c>
      <c r="E60" s="175" t="str">
        <f aca="false">ExportRaw!$D60</f>
        <v/>
      </c>
      <c r="F60" s="174" t="str">
        <f aca="false">ExportRaw!$H60</f>
        <v/>
      </c>
      <c r="G60" s="176" t="str">
        <f aca="false">ExportRaw!$I60</f>
        <v/>
      </c>
      <c r="H60" s="174" t="str">
        <f aca="false">ExportRaw!$A60</f>
        <v/>
      </c>
      <c r="I60" s="174" t="str">
        <f aca="false">ExportRaw!$B60</f>
        <v/>
      </c>
    </row>
    <row r="61" customFormat="false" ht="15.75" hidden="false" customHeight="false" outlineLevel="0" collapsed="false">
      <c r="A61" s="174" t="n">
        <f aca="false">ExportRaw!$F61</f>
        <v>0</v>
      </c>
      <c r="B61" s="174" t="n">
        <f aca="false">ExportRaw!$C61</f>
        <v>0</v>
      </c>
      <c r="C61" s="174" t="n">
        <f aca="false">ExportRaw!$G61</f>
        <v>0</v>
      </c>
      <c r="D61" s="174" t="str">
        <f aca="false">ExportRaw!$E61</f>
        <v/>
      </c>
      <c r="E61" s="175" t="str">
        <f aca="false">ExportRaw!$D61</f>
        <v/>
      </c>
      <c r="F61" s="174" t="str">
        <f aca="false">ExportRaw!$H61</f>
        <v/>
      </c>
      <c r="G61" s="176" t="str">
        <f aca="false">ExportRaw!$I61</f>
        <v/>
      </c>
      <c r="H61" s="174" t="str">
        <f aca="false">ExportRaw!$A61</f>
        <v/>
      </c>
      <c r="I61" s="174" t="str">
        <f aca="false">ExportRaw!$B61</f>
        <v/>
      </c>
    </row>
    <row r="62" customFormat="false" ht="15.75" hidden="false" customHeight="false" outlineLevel="0" collapsed="false">
      <c r="A62" s="174" t="n">
        <f aca="false">ExportRaw!$F62</f>
        <v>0</v>
      </c>
      <c r="B62" s="174" t="n">
        <f aca="false">ExportRaw!$C62</f>
        <v>0</v>
      </c>
      <c r="C62" s="174" t="n">
        <f aca="false">ExportRaw!$G62</f>
        <v>0</v>
      </c>
      <c r="D62" s="174" t="str">
        <f aca="false">ExportRaw!$E62</f>
        <v/>
      </c>
      <c r="E62" s="175" t="str">
        <f aca="false">ExportRaw!$D62</f>
        <v/>
      </c>
      <c r="F62" s="174" t="str">
        <f aca="false">ExportRaw!$H62</f>
        <v/>
      </c>
      <c r="G62" s="176" t="str">
        <f aca="false">ExportRaw!$I62</f>
        <v/>
      </c>
      <c r="H62" s="174" t="str">
        <f aca="false">ExportRaw!$A62</f>
        <v/>
      </c>
      <c r="I62" s="174" t="str">
        <f aca="false">ExportRaw!$B62</f>
        <v/>
      </c>
    </row>
    <row r="63" customFormat="false" ht="15.75" hidden="false" customHeight="false" outlineLevel="0" collapsed="false">
      <c r="A63" s="174" t="n">
        <f aca="false">ExportRaw!$F63</f>
        <v>0</v>
      </c>
      <c r="B63" s="174" t="n">
        <f aca="false">ExportRaw!$C63</f>
        <v>0</v>
      </c>
      <c r="C63" s="174" t="n">
        <f aca="false">ExportRaw!$G63</f>
        <v>0</v>
      </c>
      <c r="D63" s="174" t="str">
        <f aca="false">ExportRaw!$E63</f>
        <v/>
      </c>
      <c r="E63" s="175" t="str">
        <f aca="false">ExportRaw!$D63</f>
        <v/>
      </c>
      <c r="F63" s="174" t="str">
        <f aca="false">ExportRaw!$H63</f>
        <v/>
      </c>
      <c r="G63" s="176" t="str">
        <f aca="false">ExportRaw!$I63</f>
        <v/>
      </c>
      <c r="H63" s="174" t="str">
        <f aca="false">ExportRaw!$A63</f>
        <v/>
      </c>
      <c r="I63" s="174" t="str">
        <f aca="false">ExportRaw!$B63</f>
        <v/>
      </c>
    </row>
    <row r="64" customFormat="false" ht="15.75" hidden="false" customHeight="false" outlineLevel="0" collapsed="false">
      <c r="A64" s="174" t="n">
        <f aca="false">ExportRaw!$F64</f>
        <v>0</v>
      </c>
      <c r="B64" s="174" t="n">
        <f aca="false">ExportRaw!$C64</f>
        <v>0</v>
      </c>
      <c r="C64" s="174" t="n">
        <f aca="false">ExportRaw!$G64</f>
        <v>0</v>
      </c>
      <c r="D64" s="174" t="str">
        <f aca="false">ExportRaw!$E64</f>
        <v/>
      </c>
      <c r="E64" s="175" t="str">
        <f aca="false">ExportRaw!$D64</f>
        <v/>
      </c>
      <c r="F64" s="174" t="str">
        <f aca="false">ExportRaw!$H64</f>
        <v/>
      </c>
      <c r="G64" s="176" t="str">
        <f aca="false">ExportRaw!$I64</f>
        <v/>
      </c>
      <c r="H64" s="174" t="str">
        <f aca="false">ExportRaw!$A64</f>
        <v/>
      </c>
      <c r="I64" s="174" t="str">
        <f aca="false">ExportRaw!$B64</f>
        <v/>
      </c>
    </row>
    <row r="65" customFormat="false" ht="15.75" hidden="false" customHeight="false" outlineLevel="0" collapsed="false">
      <c r="A65" s="174" t="n">
        <f aca="false">ExportRaw!$F65</f>
        <v>0</v>
      </c>
      <c r="B65" s="174" t="n">
        <f aca="false">ExportRaw!$C65</f>
        <v>0</v>
      </c>
      <c r="C65" s="174" t="n">
        <f aca="false">ExportRaw!$G65</f>
        <v>0</v>
      </c>
      <c r="D65" s="174" t="str">
        <f aca="false">ExportRaw!$E65</f>
        <v/>
      </c>
      <c r="E65" s="175" t="str">
        <f aca="false">ExportRaw!$D65</f>
        <v/>
      </c>
      <c r="F65" s="174" t="str">
        <f aca="false">ExportRaw!$H65</f>
        <v/>
      </c>
      <c r="G65" s="176" t="str">
        <f aca="false">ExportRaw!$I65</f>
        <v/>
      </c>
      <c r="H65" s="174" t="str">
        <f aca="false">ExportRaw!$A65</f>
        <v/>
      </c>
      <c r="I65" s="174" t="str">
        <f aca="false">ExportRaw!$B65</f>
        <v/>
      </c>
    </row>
    <row r="66" customFormat="false" ht="15.75" hidden="false" customHeight="false" outlineLevel="0" collapsed="false">
      <c r="A66" s="174" t="n">
        <f aca="false">ExportRaw!$F66</f>
        <v>0</v>
      </c>
      <c r="B66" s="174" t="n">
        <f aca="false">ExportRaw!$C66</f>
        <v>0</v>
      </c>
      <c r="C66" s="174" t="n">
        <f aca="false">ExportRaw!$G66</f>
        <v>0</v>
      </c>
      <c r="D66" s="174" t="str">
        <f aca="false">ExportRaw!$E66</f>
        <v/>
      </c>
      <c r="E66" s="175" t="str">
        <f aca="false">ExportRaw!$D66</f>
        <v/>
      </c>
      <c r="F66" s="174" t="str">
        <f aca="false">ExportRaw!$H66</f>
        <v/>
      </c>
      <c r="G66" s="176" t="str">
        <f aca="false">ExportRaw!$I66</f>
        <v/>
      </c>
      <c r="H66" s="174" t="str">
        <f aca="false">ExportRaw!$A66</f>
        <v/>
      </c>
      <c r="I66" s="174" t="str">
        <f aca="false">ExportRaw!$B66</f>
        <v/>
      </c>
    </row>
    <row r="67" customFormat="false" ht="15.75" hidden="false" customHeight="false" outlineLevel="0" collapsed="false">
      <c r="A67" s="174" t="n">
        <f aca="false">ExportRaw!$F67</f>
        <v>0</v>
      </c>
      <c r="B67" s="174" t="n">
        <f aca="false">ExportRaw!$C67</f>
        <v>0</v>
      </c>
      <c r="C67" s="174" t="n">
        <f aca="false">ExportRaw!$G67</f>
        <v>0</v>
      </c>
      <c r="D67" s="174" t="str">
        <f aca="false">ExportRaw!$E67</f>
        <v/>
      </c>
      <c r="E67" s="175" t="str">
        <f aca="false">ExportRaw!$D67</f>
        <v/>
      </c>
      <c r="F67" s="174" t="str">
        <f aca="false">ExportRaw!$H67</f>
        <v/>
      </c>
      <c r="G67" s="176" t="str">
        <f aca="false">ExportRaw!$I67</f>
        <v/>
      </c>
      <c r="H67" s="174" t="str">
        <f aca="false">ExportRaw!$A67</f>
        <v/>
      </c>
      <c r="I67" s="174" t="str">
        <f aca="false">ExportRaw!$B67</f>
        <v/>
      </c>
    </row>
    <row r="68" customFormat="false" ht="15.75" hidden="false" customHeight="false" outlineLevel="0" collapsed="false">
      <c r="A68" s="174" t="n">
        <f aca="false">ExportRaw!$F68</f>
        <v>0</v>
      </c>
      <c r="B68" s="174" t="n">
        <f aca="false">ExportRaw!$C68</f>
        <v>0</v>
      </c>
      <c r="C68" s="174" t="n">
        <f aca="false">ExportRaw!$G68</f>
        <v>0</v>
      </c>
      <c r="D68" s="174" t="str">
        <f aca="false">ExportRaw!$E68</f>
        <v/>
      </c>
      <c r="E68" s="175" t="str">
        <f aca="false">ExportRaw!$D68</f>
        <v/>
      </c>
      <c r="F68" s="174" t="str">
        <f aca="false">ExportRaw!$H68</f>
        <v/>
      </c>
      <c r="G68" s="176" t="str">
        <f aca="false">ExportRaw!$I68</f>
        <v/>
      </c>
      <c r="H68" s="174" t="str">
        <f aca="false">ExportRaw!$A68</f>
        <v/>
      </c>
      <c r="I68" s="174" t="str">
        <f aca="false">ExportRaw!$B68</f>
        <v/>
      </c>
    </row>
    <row r="69" customFormat="false" ht="15.75" hidden="false" customHeight="false" outlineLevel="0" collapsed="false">
      <c r="A69" s="174" t="n">
        <f aca="false">ExportRaw!$F69</f>
        <v>0</v>
      </c>
      <c r="B69" s="174" t="n">
        <f aca="false">ExportRaw!$C69</f>
        <v>0</v>
      </c>
      <c r="C69" s="174" t="n">
        <f aca="false">ExportRaw!$G69</f>
        <v>0</v>
      </c>
      <c r="D69" s="174" t="str">
        <f aca="false">ExportRaw!$E69</f>
        <v/>
      </c>
      <c r="E69" s="175" t="str">
        <f aca="false">ExportRaw!$D69</f>
        <v/>
      </c>
      <c r="F69" s="174" t="str">
        <f aca="false">ExportRaw!$H69</f>
        <v/>
      </c>
      <c r="G69" s="176" t="str">
        <f aca="false">ExportRaw!$I69</f>
        <v/>
      </c>
      <c r="H69" s="174" t="str">
        <f aca="false">ExportRaw!$A69</f>
        <v/>
      </c>
      <c r="I69" s="174" t="str">
        <f aca="false">ExportRaw!$B69</f>
        <v/>
      </c>
    </row>
    <row r="70" customFormat="false" ht="15.75" hidden="false" customHeight="false" outlineLevel="0" collapsed="false">
      <c r="A70" s="174" t="n">
        <f aca="false">ExportRaw!$F70</f>
        <v>0</v>
      </c>
      <c r="B70" s="174" t="n">
        <f aca="false">ExportRaw!$C70</f>
        <v>0</v>
      </c>
      <c r="C70" s="174" t="n">
        <f aca="false">ExportRaw!$G70</f>
        <v>0</v>
      </c>
      <c r="D70" s="174" t="str">
        <f aca="false">ExportRaw!$E70</f>
        <v/>
      </c>
      <c r="E70" s="175" t="str">
        <f aca="false">ExportRaw!$D70</f>
        <v/>
      </c>
      <c r="F70" s="174" t="str">
        <f aca="false">ExportRaw!$H70</f>
        <v/>
      </c>
      <c r="G70" s="176" t="str">
        <f aca="false">ExportRaw!$I70</f>
        <v/>
      </c>
      <c r="H70" s="174" t="str">
        <f aca="false">ExportRaw!$A70</f>
        <v/>
      </c>
      <c r="I70" s="174" t="str">
        <f aca="false">ExportRaw!$B70</f>
        <v/>
      </c>
    </row>
    <row r="71" customFormat="false" ht="15.75" hidden="false" customHeight="false" outlineLevel="0" collapsed="false">
      <c r="A71" s="174" t="n">
        <f aca="false">ExportRaw!$F71</f>
        <v>0</v>
      </c>
      <c r="B71" s="174" t="n">
        <f aca="false">ExportRaw!$C71</f>
        <v>0</v>
      </c>
      <c r="C71" s="174" t="n">
        <f aca="false">ExportRaw!$G71</f>
        <v>0</v>
      </c>
      <c r="D71" s="174" t="str">
        <f aca="false">ExportRaw!$E71</f>
        <v/>
      </c>
      <c r="E71" s="175" t="str">
        <f aca="false">ExportRaw!$D71</f>
        <v/>
      </c>
      <c r="F71" s="174" t="str">
        <f aca="false">ExportRaw!$H71</f>
        <v/>
      </c>
      <c r="G71" s="176" t="str">
        <f aca="false">ExportRaw!$I71</f>
        <v/>
      </c>
      <c r="H71" s="174" t="str">
        <f aca="false">ExportRaw!$A71</f>
        <v/>
      </c>
      <c r="I71" s="174" t="str">
        <f aca="false">ExportRaw!$B71</f>
        <v/>
      </c>
    </row>
    <row r="72" customFormat="false" ht="15.75" hidden="false" customHeight="false" outlineLevel="0" collapsed="false">
      <c r="A72" s="174" t="n">
        <f aca="false">ExportRaw!$F72</f>
        <v>0</v>
      </c>
      <c r="B72" s="174" t="n">
        <f aca="false">ExportRaw!$C72</f>
        <v>0</v>
      </c>
      <c r="C72" s="174" t="n">
        <f aca="false">ExportRaw!$G72</f>
        <v>0</v>
      </c>
      <c r="D72" s="174" t="str">
        <f aca="false">ExportRaw!$E72</f>
        <v/>
      </c>
      <c r="E72" s="175" t="str">
        <f aca="false">ExportRaw!$D72</f>
        <v/>
      </c>
      <c r="F72" s="174" t="str">
        <f aca="false">ExportRaw!$H72</f>
        <v/>
      </c>
      <c r="G72" s="176" t="str">
        <f aca="false">ExportRaw!$I72</f>
        <v/>
      </c>
      <c r="H72" s="174" t="str">
        <f aca="false">ExportRaw!$A72</f>
        <v/>
      </c>
      <c r="I72" s="174" t="str">
        <f aca="false">ExportRaw!$B72</f>
        <v/>
      </c>
    </row>
    <row r="73" customFormat="false" ht="15.75" hidden="false" customHeight="false" outlineLevel="0" collapsed="false">
      <c r="A73" s="174" t="n">
        <f aca="false">ExportRaw!$F73</f>
        <v>0</v>
      </c>
      <c r="B73" s="174" t="n">
        <f aca="false">ExportRaw!$C73</f>
        <v>0</v>
      </c>
      <c r="C73" s="174" t="n">
        <f aca="false">ExportRaw!$G73</f>
        <v>0</v>
      </c>
      <c r="D73" s="174" t="str">
        <f aca="false">ExportRaw!$E73</f>
        <v/>
      </c>
      <c r="E73" s="175" t="str">
        <f aca="false">ExportRaw!$D73</f>
        <v/>
      </c>
      <c r="F73" s="174" t="str">
        <f aca="false">ExportRaw!$H73</f>
        <v/>
      </c>
      <c r="G73" s="176" t="str">
        <f aca="false">ExportRaw!$I73</f>
        <v/>
      </c>
      <c r="H73" s="174" t="str">
        <f aca="false">ExportRaw!$A73</f>
        <v/>
      </c>
      <c r="I73" s="174" t="str">
        <f aca="false">ExportRaw!$B73</f>
        <v/>
      </c>
    </row>
    <row r="74" customFormat="false" ht="15.75" hidden="false" customHeight="false" outlineLevel="0" collapsed="false">
      <c r="A74" s="174" t="n">
        <f aca="false">ExportRaw!$F74</f>
        <v>0</v>
      </c>
      <c r="B74" s="174" t="n">
        <f aca="false">ExportRaw!$C74</f>
        <v>0</v>
      </c>
      <c r="C74" s="174" t="n">
        <f aca="false">ExportRaw!$G74</f>
        <v>0</v>
      </c>
      <c r="D74" s="174" t="str">
        <f aca="false">ExportRaw!$E74</f>
        <v/>
      </c>
      <c r="E74" s="175" t="str">
        <f aca="false">ExportRaw!$D74</f>
        <v/>
      </c>
      <c r="F74" s="174" t="str">
        <f aca="false">ExportRaw!$H74</f>
        <v/>
      </c>
      <c r="G74" s="176" t="str">
        <f aca="false">ExportRaw!$I74</f>
        <v/>
      </c>
      <c r="H74" s="174" t="str">
        <f aca="false">ExportRaw!$A74</f>
        <v/>
      </c>
      <c r="I74" s="174" t="str">
        <f aca="false">ExportRaw!$B74</f>
        <v/>
      </c>
    </row>
    <row r="75" customFormat="false" ht="15.75" hidden="false" customHeight="false" outlineLevel="0" collapsed="false">
      <c r="A75" s="174" t="n">
        <f aca="false">ExportRaw!$F75</f>
        <v>0</v>
      </c>
      <c r="B75" s="174" t="n">
        <f aca="false">ExportRaw!$C75</f>
        <v>0</v>
      </c>
      <c r="C75" s="174" t="n">
        <f aca="false">ExportRaw!$G75</f>
        <v>0</v>
      </c>
      <c r="D75" s="174" t="str">
        <f aca="false">ExportRaw!$E75</f>
        <v/>
      </c>
      <c r="E75" s="175" t="str">
        <f aca="false">ExportRaw!$D75</f>
        <v/>
      </c>
      <c r="F75" s="174" t="str">
        <f aca="false">ExportRaw!$H75</f>
        <v/>
      </c>
      <c r="G75" s="176" t="str">
        <f aca="false">ExportRaw!$I75</f>
        <v/>
      </c>
      <c r="H75" s="174" t="str">
        <f aca="false">ExportRaw!$A75</f>
        <v/>
      </c>
      <c r="I75" s="174" t="str">
        <f aca="false">ExportRaw!$B75</f>
        <v/>
      </c>
    </row>
    <row r="76" customFormat="false" ht="15.75" hidden="false" customHeight="false" outlineLevel="0" collapsed="false">
      <c r="A76" s="174" t="n">
        <f aca="false">ExportRaw!$F76</f>
        <v>0</v>
      </c>
      <c r="B76" s="174" t="n">
        <f aca="false">ExportRaw!$C76</f>
        <v>0</v>
      </c>
      <c r="C76" s="174" t="n">
        <f aca="false">ExportRaw!$G76</f>
        <v>0</v>
      </c>
      <c r="D76" s="174" t="str">
        <f aca="false">ExportRaw!$E76</f>
        <v/>
      </c>
      <c r="E76" s="175" t="str">
        <f aca="false">ExportRaw!$D76</f>
        <v/>
      </c>
      <c r="F76" s="174" t="str">
        <f aca="false">ExportRaw!$H76</f>
        <v/>
      </c>
      <c r="G76" s="176" t="str">
        <f aca="false">ExportRaw!$I76</f>
        <v/>
      </c>
      <c r="H76" s="174" t="str">
        <f aca="false">ExportRaw!$A76</f>
        <v/>
      </c>
      <c r="I76" s="174" t="str">
        <f aca="false">ExportRaw!$B76</f>
        <v/>
      </c>
    </row>
    <row r="77" customFormat="false" ht="15.75" hidden="false" customHeight="false" outlineLevel="0" collapsed="false">
      <c r="A77" s="174" t="n">
        <f aca="false">ExportRaw!$F77</f>
        <v>0</v>
      </c>
      <c r="B77" s="174" t="n">
        <f aca="false">ExportRaw!$C77</f>
        <v>0</v>
      </c>
      <c r="C77" s="174" t="n">
        <f aca="false">ExportRaw!$G77</f>
        <v>0</v>
      </c>
      <c r="D77" s="174" t="str">
        <f aca="false">ExportRaw!$E77</f>
        <v/>
      </c>
      <c r="E77" s="175" t="str">
        <f aca="false">ExportRaw!$D77</f>
        <v/>
      </c>
      <c r="F77" s="174" t="str">
        <f aca="false">ExportRaw!$H77</f>
        <v/>
      </c>
      <c r="G77" s="176" t="str">
        <f aca="false">ExportRaw!$I77</f>
        <v/>
      </c>
      <c r="H77" s="174" t="str">
        <f aca="false">ExportRaw!$A77</f>
        <v/>
      </c>
      <c r="I77" s="174" t="str">
        <f aca="false">ExportRaw!$B77</f>
        <v/>
      </c>
    </row>
    <row r="78" customFormat="false" ht="15.75" hidden="false" customHeight="false" outlineLevel="0" collapsed="false">
      <c r="A78" s="174" t="n">
        <f aca="false">ExportRaw!$F78</f>
        <v>0</v>
      </c>
      <c r="B78" s="174" t="n">
        <f aca="false">ExportRaw!$C78</f>
        <v>0</v>
      </c>
      <c r="C78" s="174" t="n">
        <f aca="false">ExportRaw!$G78</f>
        <v>0</v>
      </c>
      <c r="D78" s="174" t="str">
        <f aca="false">ExportRaw!$E78</f>
        <v/>
      </c>
      <c r="E78" s="175" t="str">
        <f aca="false">ExportRaw!$D78</f>
        <v/>
      </c>
      <c r="F78" s="174" t="str">
        <f aca="false">ExportRaw!$H78</f>
        <v/>
      </c>
      <c r="G78" s="176" t="str">
        <f aca="false">ExportRaw!$I78</f>
        <v/>
      </c>
      <c r="H78" s="174" t="str">
        <f aca="false">ExportRaw!$A78</f>
        <v/>
      </c>
      <c r="I78" s="174" t="str">
        <f aca="false">ExportRaw!$B78</f>
        <v/>
      </c>
    </row>
    <row r="79" customFormat="false" ht="15.75" hidden="false" customHeight="false" outlineLevel="0" collapsed="false">
      <c r="A79" s="174" t="n">
        <f aca="false">ExportRaw!$F79</f>
        <v>0</v>
      </c>
      <c r="B79" s="174" t="n">
        <f aca="false">ExportRaw!$C79</f>
        <v>0</v>
      </c>
      <c r="C79" s="174" t="n">
        <f aca="false">ExportRaw!$G79</f>
        <v>0</v>
      </c>
      <c r="D79" s="174" t="str">
        <f aca="false">ExportRaw!$E79</f>
        <v/>
      </c>
      <c r="E79" s="175" t="str">
        <f aca="false">ExportRaw!$D79</f>
        <v/>
      </c>
      <c r="F79" s="174" t="str">
        <f aca="false">ExportRaw!$H79</f>
        <v/>
      </c>
      <c r="G79" s="176" t="str">
        <f aca="false">ExportRaw!$I79</f>
        <v/>
      </c>
      <c r="H79" s="174" t="str">
        <f aca="false">ExportRaw!$A79</f>
        <v/>
      </c>
      <c r="I79" s="174" t="str">
        <f aca="false">ExportRaw!$B79</f>
        <v/>
      </c>
    </row>
    <row r="80" customFormat="false" ht="15.75" hidden="false" customHeight="false" outlineLevel="0" collapsed="false">
      <c r="A80" s="174" t="n">
        <f aca="false">ExportRaw!$F80</f>
        <v>0</v>
      </c>
      <c r="B80" s="174" t="n">
        <f aca="false">ExportRaw!$C80</f>
        <v>0</v>
      </c>
      <c r="C80" s="174" t="n">
        <f aca="false">ExportRaw!$G80</f>
        <v>0</v>
      </c>
      <c r="D80" s="174" t="str">
        <f aca="false">ExportRaw!$E80</f>
        <v/>
      </c>
      <c r="E80" s="175" t="str">
        <f aca="false">ExportRaw!$D80</f>
        <v/>
      </c>
      <c r="F80" s="174" t="str">
        <f aca="false">ExportRaw!$H80</f>
        <v/>
      </c>
      <c r="G80" s="176" t="str">
        <f aca="false">ExportRaw!$I80</f>
        <v/>
      </c>
      <c r="H80" s="174" t="str">
        <f aca="false">ExportRaw!$A80</f>
        <v/>
      </c>
      <c r="I80" s="174" t="str">
        <f aca="false">ExportRaw!$B80</f>
        <v/>
      </c>
    </row>
    <row r="81" customFormat="false" ht="15.75" hidden="false" customHeight="false" outlineLevel="0" collapsed="false">
      <c r="A81" s="174" t="n">
        <f aca="false">ExportRaw!$F81</f>
        <v>0</v>
      </c>
      <c r="B81" s="174" t="n">
        <f aca="false">ExportRaw!$C81</f>
        <v>0</v>
      </c>
      <c r="C81" s="174" t="n">
        <f aca="false">ExportRaw!$G81</f>
        <v>0</v>
      </c>
      <c r="D81" s="174" t="str">
        <f aca="false">ExportRaw!$E81</f>
        <v/>
      </c>
      <c r="E81" s="175" t="str">
        <f aca="false">ExportRaw!$D81</f>
        <v/>
      </c>
      <c r="F81" s="174" t="str">
        <f aca="false">ExportRaw!$H81</f>
        <v/>
      </c>
      <c r="G81" s="176" t="str">
        <f aca="false">ExportRaw!$I81</f>
        <v/>
      </c>
      <c r="H81" s="174" t="str">
        <f aca="false">ExportRaw!$A81</f>
        <v/>
      </c>
      <c r="I81" s="174" t="str">
        <f aca="false">ExportRaw!$B81</f>
        <v/>
      </c>
    </row>
    <row r="82" customFormat="false" ht="15.75" hidden="false" customHeight="false" outlineLevel="0" collapsed="false">
      <c r="A82" s="174" t="n">
        <f aca="false">ExportRaw!$F82</f>
        <v>0</v>
      </c>
      <c r="B82" s="174" t="n">
        <f aca="false">ExportRaw!$C82</f>
        <v>0</v>
      </c>
      <c r="C82" s="174" t="n">
        <f aca="false">ExportRaw!$G82</f>
        <v>0</v>
      </c>
      <c r="D82" s="174" t="str">
        <f aca="false">ExportRaw!$E82</f>
        <v/>
      </c>
      <c r="E82" s="175" t="str">
        <f aca="false">ExportRaw!$D82</f>
        <v/>
      </c>
      <c r="F82" s="174" t="str">
        <f aca="false">ExportRaw!$H82</f>
        <v/>
      </c>
      <c r="G82" s="176" t="str">
        <f aca="false">ExportRaw!$I82</f>
        <v/>
      </c>
      <c r="H82" s="174" t="str">
        <f aca="false">ExportRaw!$A82</f>
        <v/>
      </c>
      <c r="I82" s="174" t="str">
        <f aca="false">ExportRaw!$B82</f>
        <v/>
      </c>
    </row>
    <row r="83" customFormat="false" ht="15.75" hidden="false" customHeight="false" outlineLevel="0" collapsed="false">
      <c r="A83" s="174" t="n">
        <f aca="false">ExportRaw!$F83</f>
        <v>0</v>
      </c>
      <c r="B83" s="174" t="n">
        <f aca="false">ExportRaw!$C83</f>
        <v>0</v>
      </c>
      <c r="C83" s="174" t="n">
        <f aca="false">ExportRaw!$G83</f>
        <v>0</v>
      </c>
      <c r="D83" s="174" t="str">
        <f aca="false">ExportRaw!$E83</f>
        <v/>
      </c>
      <c r="E83" s="175" t="str">
        <f aca="false">ExportRaw!$D83</f>
        <v/>
      </c>
      <c r="F83" s="174" t="str">
        <f aca="false">ExportRaw!$H83</f>
        <v/>
      </c>
      <c r="G83" s="176" t="str">
        <f aca="false">ExportRaw!$I83</f>
        <v/>
      </c>
      <c r="H83" s="174" t="str">
        <f aca="false">ExportRaw!$A83</f>
        <v/>
      </c>
      <c r="I83" s="174" t="str">
        <f aca="false">ExportRaw!$B83</f>
        <v/>
      </c>
    </row>
    <row r="84" customFormat="false" ht="15.75" hidden="false" customHeight="false" outlineLevel="0" collapsed="false">
      <c r="A84" s="174" t="n">
        <f aca="false">ExportRaw!$F84</f>
        <v>0</v>
      </c>
      <c r="B84" s="174" t="n">
        <f aca="false">ExportRaw!$C84</f>
        <v>0</v>
      </c>
      <c r="C84" s="174" t="n">
        <f aca="false">ExportRaw!$G84</f>
        <v>0</v>
      </c>
      <c r="D84" s="174" t="str">
        <f aca="false">ExportRaw!$E84</f>
        <v/>
      </c>
      <c r="E84" s="175" t="str">
        <f aca="false">ExportRaw!$D84</f>
        <v/>
      </c>
      <c r="F84" s="174" t="str">
        <f aca="false">ExportRaw!$H84</f>
        <v/>
      </c>
      <c r="G84" s="176" t="str">
        <f aca="false">ExportRaw!$I84</f>
        <v/>
      </c>
      <c r="H84" s="174" t="str">
        <f aca="false">ExportRaw!$A84</f>
        <v/>
      </c>
      <c r="I84" s="174" t="str">
        <f aca="false">ExportRaw!$B84</f>
        <v/>
      </c>
    </row>
    <row r="85" customFormat="false" ht="15.75" hidden="false" customHeight="false" outlineLevel="0" collapsed="false">
      <c r="A85" s="174" t="n">
        <f aca="false">ExportRaw!$F85</f>
        <v>0</v>
      </c>
      <c r="B85" s="174" t="n">
        <f aca="false">ExportRaw!$C85</f>
        <v>0</v>
      </c>
      <c r="C85" s="174" t="n">
        <f aca="false">ExportRaw!$G85</f>
        <v>0</v>
      </c>
      <c r="D85" s="174" t="str">
        <f aca="false">ExportRaw!$E85</f>
        <v/>
      </c>
      <c r="E85" s="175" t="str">
        <f aca="false">ExportRaw!$D85</f>
        <v/>
      </c>
      <c r="F85" s="174" t="str">
        <f aca="false">ExportRaw!$H85</f>
        <v/>
      </c>
      <c r="G85" s="176" t="str">
        <f aca="false">ExportRaw!$I85</f>
        <v/>
      </c>
      <c r="H85" s="174" t="str">
        <f aca="false">ExportRaw!$A85</f>
        <v/>
      </c>
      <c r="I85" s="174" t="str">
        <f aca="false">ExportRaw!$B85</f>
        <v/>
      </c>
    </row>
    <row r="86" customFormat="false" ht="15.75" hidden="false" customHeight="false" outlineLevel="0" collapsed="false">
      <c r="A86" s="174" t="n">
        <f aca="false">ExportRaw!$F86</f>
        <v>0</v>
      </c>
      <c r="B86" s="174" t="n">
        <f aca="false">ExportRaw!$C86</f>
        <v>0</v>
      </c>
      <c r="C86" s="174" t="n">
        <f aca="false">ExportRaw!$G86</f>
        <v>0</v>
      </c>
      <c r="D86" s="174" t="str">
        <f aca="false">ExportRaw!$E86</f>
        <v/>
      </c>
      <c r="E86" s="175" t="str">
        <f aca="false">ExportRaw!$D86</f>
        <v/>
      </c>
      <c r="F86" s="174" t="str">
        <f aca="false">ExportRaw!$H86</f>
        <v/>
      </c>
      <c r="G86" s="176" t="str">
        <f aca="false">ExportRaw!$I86</f>
        <v/>
      </c>
      <c r="H86" s="174" t="str">
        <f aca="false">ExportRaw!$A86</f>
        <v/>
      </c>
      <c r="I86" s="174" t="str">
        <f aca="false">ExportRaw!$B86</f>
        <v/>
      </c>
    </row>
    <row r="87" customFormat="false" ht="15.75" hidden="false" customHeight="false" outlineLevel="0" collapsed="false">
      <c r="A87" s="174" t="n">
        <f aca="false">ExportRaw!$F87</f>
        <v>0</v>
      </c>
      <c r="B87" s="174" t="n">
        <f aca="false">ExportRaw!$C87</f>
        <v>0</v>
      </c>
      <c r="C87" s="174" t="n">
        <f aca="false">ExportRaw!$G87</f>
        <v>0</v>
      </c>
      <c r="D87" s="174" t="str">
        <f aca="false">ExportRaw!$E87</f>
        <v/>
      </c>
      <c r="E87" s="175" t="str">
        <f aca="false">ExportRaw!$D87</f>
        <v/>
      </c>
      <c r="F87" s="174" t="str">
        <f aca="false">ExportRaw!$H87</f>
        <v/>
      </c>
      <c r="G87" s="176" t="str">
        <f aca="false">ExportRaw!$I87</f>
        <v/>
      </c>
      <c r="H87" s="174" t="str">
        <f aca="false">ExportRaw!$A87</f>
        <v/>
      </c>
      <c r="I87" s="174" t="str">
        <f aca="false">ExportRaw!$B87</f>
        <v/>
      </c>
    </row>
    <row r="88" customFormat="false" ht="15.75" hidden="false" customHeight="false" outlineLevel="0" collapsed="false">
      <c r="A88" s="174" t="n">
        <f aca="false">ExportRaw!$F88</f>
        <v>0</v>
      </c>
      <c r="B88" s="174" t="n">
        <f aca="false">ExportRaw!$C88</f>
        <v>0</v>
      </c>
      <c r="C88" s="174" t="n">
        <f aca="false">ExportRaw!$G88</f>
        <v>0</v>
      </c>
      <c r="D88" s="174" t="str">
        <f aca="false">ExportRaw!$E88</f>
        <v/>
      </c>
      <c r="E88" s="175" t="str">
        <f aca="false">ExportRaw!$D88</f>
        <v/>
      </c>
      <c r="F88" s="174" t="str">
        <f aca="false">ExportRaw!$H88</f>
        <v/>
      </c>
      <c r="G88" s="176" t="str">
        <f aca="false">ExportRaw!$I88</f>
        <v/>
      </c>
      <c r="H88" s="174" t="str">
        <f aca="false">ExportRaw!$A88</f>
        <v/>
      </c>
      <c r="I88" s="174" t="str">
        <f aca="false">ExportRaw!$B88</f>
        <v/>
      </c>
    </row>
    <row r="89" customFormat="false" ht="15.75" hidden="false" customHeight="false" outlineLevel="0" collapsed="false">
      <c r="A89" s="174" t="n">
        <f aca="false">ExportRaw!$F89</f>
        <v>0</v>
      </c>
      <c r="B89" s="174" t="n">
        <f aca="false">ExportRaw!$C89</f>
        <v>0</v>
      </c>
      <c r="C89" s="174" t="n">
        <f aca="false">ExportRaw!$G89</f>
        <v>0</v>
      </c>
      <c r="D89" s="174" t="str">
        <f aca="false">ExportRaw!$E89</f>
        <v/>
      </c>
      <c r="E89" s="175" t="str">
        <f aca="false">ExportRaw!$D89</f>
        <v/>
      </c>
      <c r="F89" s="174" t="str">
        <f aca="false">ExportRaw!$H89</f>
        <v/>
      </c>
      <c r="G89" s="176" t="str">
        <f aca="false">ExportRaw!$I89</f>
        <v/>
      </c>
      <c r="H89" s="174" t="str">
        <f aca="false">ExportRaw!$A89</f>
        <v/>
      </c>
      <c r="I89" s="174" t="str">
        <f aca="false">ExportRaw!$B89</f>
        <v/>
      </c>
    </row>
    <row r="90" customFormat="false" ht="15.75" hidden="false" customHeight="false" outlineLevel="0" collapsed="false">
      <c r="A90" s="174" t="n">
        <f aca="false">ExportRaw!$F90</f>
        <v>0</v>
      </c>
      <c r="B90" s="174" t="n">
        <f aca="false">ExportRaw!$C90</f>
        <v>0</v>
      </c>
      <c r="C90" s="174" t="n">
        <f aca="false">ExportRaw!$G90</f>
        <v>0</v>
      </c>
      <c r="D90" s="174" t="str">
        <f aca="false">ExportRaw!$E90</f>
        <v/>
      </c>
      <c r="E90" s="175" t="str">
        <f aca="false">ExportRaw!$D90</f>
        <v/>
      </c>
      <c r="F90" s="174" t="str">
        <f aca="false">ExportRaw!$H90</f>
        <v/>
      </c>
      <c r="G90" s="176" t="str">
        <f aca="false">ExportRaw!$I90</f>
        <v/>
      </c>
      <c r="H90" s="174" t="str">
        <f aca="false">ExportRaw!$A90</f>
        <v/>
      </c>
      <c r="I90" s="174" t="str">
        <f aca="false">ExportRaw!$B90</f>
        <v/>
      </c>
    </row>
    <row r="91" customFormat="false" ht="15.75" hidden="false" customHeight="false" outlineLevel="0" collapsed="false">
      <c r="A91" s="174" t="n">
        <f aca="false">ExportRaw!$F91</f>
        <v>0</v>
      </c>
      <c r="B91" s="174" t="n">
        <f aca="false">ExportRaw!$C91</f>
        <v>0</v>
      </c>
      <c r="C91" s="174" t="n">
        <f aca="false">ExportRaw!$G91</f>
        <v>0</v>
      </c>
      <c r="D91" s="174" t="str">
        <f aca="false">ExportRaw!$E91</f>
        <v/>
      </c>
      <c r="E91" s="175" t="str">
        <f aca="false">ExportRaw!$D91</f>
        <v/>
      </c>
      <c r="F91" s="174" t="str">
        <f aca="false">ExportRaw!$H91</f>
        <v/>
      </c>
      <c r="G91" s="176" t="str">
        <f aca="false">ExportRaw!$I91</f>
        <v/>
      </c>
      <c r="H91" s="174" t="str">
        <f aca="false">ExportRaw!$A91</f>
        <v/>
      </c>
      <c r="I91" s="174" t="str">
        <f aca="false">ExportRaw!$B91</f>
        <v/>
      </c>
    </row>
    <row r="92" customFormat="false" ht="15.75" hidden="false" customHeight="false" outlineLevel="0" collapsed="false">
      <c r="A92" s="174" t="n">
        <f aca="false">ExportRaw!$F92</f>
        <v>0</v>
      </c>
      <c r="B92" s="174" t="n">
        <f aca="false">ExportRaw!$C92</f>
        <v>0</v>
      </c>
      <c r="C92" s="174" t="n">
        <f aca="false">ExportRaw!$G92</f>
        <v>0</v>
      </c>
      <c r="D92" s="174" t="str">
        <f aca="false">ExportRaw!$E92</f>
        <v/>
      </c>
      <c r="E92" s="175" t="str">
        <f aca="false">ExportRaw!$D92</f>
        <v/>
      </c>
      <c r="F92" s="174" t="str">
        <f aca="false">ExportRaw!$H92</f>
        <v/>
      </c>
      <c r="G92" s="176" t="str">
        <f aca="false">ExportRaw!$I92</f>
        <v/>
      </c>
      <c r="H92" s="174" t="str">
        <f aca="false">ExportRaw!$A92</f>
        <v/>
      </c>
      <c r="I92" s="174" t="str">
        <f aca="false">ExportRaw!$B92</f>
        <v/>
      </c>
    </row>
    <row r="93" customFormat="false" ht="15.75" hidden="false" customHeight="false" outlineLevel="0" collapsed="false">
      <c r="A93" s="174" t="n">
        <f aca="false">ExportRaw!$F93</f>
        <v>0</v>
      </c>
      <c r="B93" s="174" t="n">
        <f aca="false">ExportRaw!$C93</f>
        <v>0</v>
      </c>
      <c r="C93" s="174" t="n">
        <f aca="false">ExportRaw!$G93</f>
        <v>0</v>
      </c>
      <c r="D93" s="174" t="str">
        <f aca="false">ExportRaw!$E93</f>
        <v/>
      </c>
      <c r="E93" s="175" t="str">
        <f aca="false">ExportRaw!$D93</f>
        <v/>
      </c>
      <c r="F93" s="174" t="str">
        <f aca="false">ExportRaw!$H93</f>
        <v/>
      </c>
      <c r="G93" s="176" t="str">
        <f aca="false">ExportRaw!$I93</f>
        <v/>
      </c>
      <c r="H93" s="174" t="str">
        <f aca="false">ExportRaw!$A93</f>
        <v/>
      </c>
      <c r="I93" s="174" t="str">
        <f aca="false">ExportRaw!$B93</f>
        <v/>
      </c>
    </row>
    <row r="94" customFormat="false" ht="15.75" hidden="false" customHeight="false" outlineLevel="0" collapsed="false">
      <c r="A94" s="174" t="n">
        <f aca="false">ExportRaw!$F94</f>
        <v>0</v>
      </c>
      <c r="B94" s="174" t="n">
        <f aca="false">ExportRaw!$C94</f>
        <v>0</v>
      </c>
      <c r="C94" s="174" t="n">
        <f aca="false">ExportRaw!$G94</f>
        <v>0</v>
      </c>
      <c r="D94" s="174" t="str">
        <f aca="false">ExportRaw!$E94</f>
        <v/>
      </c>
      <c r="E94" s="175" t="str">
        <f aca="false">ExportRaw!$D94</f>
        <v/>
      </c>
      <c r="F94" s="174" t="str">
        <f aca="false">ExportRaw!$H94</f>
        <v/>
      </c>
      <c r="G94" s="176" t="str">
        <f aca="false">ExportRaw!$I94</f>
        <v/>
      </c>
      <c r="H94" s="174" t="str">
        <f aca="false">ExportRaw!$A94</f>
        <v/>
      </c>
      <c r="I94" s="174" t="str">
        <f aca="false">ExportRaw!$B94</f>
        <v/>
      </c>
    </row>
    <row r="95" customFormat="false" ht="15.75" hidden="false" customHeight="false" outlineLevel="0" collapsed="false">
      <c r="A95" s="174" t="n">
        <f aca="false">ExportRaw!$F95</f>
        <v>0</v>
      </c>
      <c r="B95" s="174" t="n">
        <f aca="false">ExportRaw!$C95</f>
        <v>0</v>
      </c>
      <c r="C95" s="174" t="n">
        <f aca="false">ExportRaw!$G95</f>
        <v>0</v>
      </c>
      <c r="D95" s="174" t="str">
        <f aca="false">ExportRaw!$E95</f>
        <v/>
      </c>
      <c r="E95" s="175" t="str">
        <f aca="false">ExportRaw!$D95</f>
        <v/>
      </c>
      <c r="F95" s="174" t="str">
        <f aca="false">ExportRaw!$H95</f>
        <v/>
      </c>
      <c r="G95" s="176" t="str">
        <f aca="false">ExportRaw!$I95</f>
        <v/>
      </c>
      <c r="H95" s="174" t="str">
        <f aca="false">ExportRaw!$A95</f>
        <v/>
      </c>
      <c r="I95" s="174" t="str">
        <f aca="false">ExportRaw!$B95</f>
        <v/>
      </c>
    </row>
    <row r="96" customFormat="false" ht="15.75" hidden="false" customHeight="false" outlineLevel="0" collapsed="false">
      <c r="A96" s="174" t="n">
        <f aca="false">ExportRaw!$F96</f>
        <v>0</v>
      </c>
      <c r="B96" s="174" t="n">
        <f aca="false">ExportRaw!$C96</f>
        <v>0</v>
      </c>
      <c r="C96" s="174" t="n">
        <f aca="false">ExportRaw!$G96</f>
        <v>0</v>
      </c>
      <c r="D96" s="174" t="str">
        <f aca="false">ExportRaw!$E96</f>
        <v/>
      </c>
      <c r="E96" s="175" t="str">
        <f aca="false">ExportRaw!$D96</f>
        <v/>
      </c>
      <c r="F96" s="174" t="str">
        <f aca="false">ExportRaw!$H96</f>
        <v/>
      </c>
      <c r="G96" s="176" t="str">
        <f aca="false">ExportRaw!$I96</f>
        <v/>
      </c>
      <c r="H96" s="174" t="str">
        <f aca="false">ExportRaw!$A96</f>
        <v/>
      </c>
      <c r="I96" s="174" t="str">
        <f aca="false">ExportRaw!$B96</f>
        <v/>
      </c>
    </row>
    <row r="97" customFormat="false" ht="15.75" hidden="false" customHeight="false" outlineLevel="0" collapsed="false">
      <c r="A97" s="174" t="n">
        <f aca="false">ExportRaw!$F97</f>
        <v>0</v>
      </c>
      <c r="B97" s="174" t="n">
        <f aca="false">ExportRaw!$C97</f>
        <v>0</v>
      </c>
      <c r="C97" s="174" t="n">
        <f aca="false">ExportRaw!$G97</f>
        <v>0</v>
      </c>
      <c r="D97" s="174" t="str">
        <f aca="false">ExportRaw!$E97</f>
        <v/>
      </c>
      <c r="E97" s="175" t="str">
        <f aca="false">ExportRaw!$D97</f>
        <v/>
      </c>
      <c r="F97" s="174" t="str">
        <f aca="false">ExportRaw!$H97</f>
        <v/>
      </c>
      <c r="G97" s="176" t="str">
        <f aca="false">ExportRaw!$I97</f>
        <v/>
      </c>
      <c r="H97" s="174" t="str">
        <f aca="false">ExportRaw!$A97</f>
        <v/>
      </c>
      <c r="I97" s="174" t="str">
        <f aca="false">ExportRaw!$B97</f>
        <v/>
      </c>
    </row>
    <row r="98" customFormat="false" ht="15.75" hidden="false" customHeight="false" outlineLevel="0" collapsed="false">
      <c r="A98" s="174" t="n">
        <f aca="false">ExportRaw!$F98</f>
        <v>0</v>
      </c>
      <c r="B98" s="174" t="n">
        <f aca="false">ExportRaw!$C98</f>
        <v>0</v>
      </c>
      <c r="C98" s="174" t="n">
        <f aca="false">ExportRaw!$G98</f>
        <v>0</v>
      </c>
      <c r="D98" s="174" t="str">
        <f aca="false">ExportRaw!$E98</f>
        <v/>
      </c>
      <c r="E98" s="175" t="str">
        <f aca="false">ExportRaw!$D98</f>
        <v/>
      </c>
      <c r="F98" s="174" t="str">
        <f aca="false">ExportRaw!$H98</f>
        <v/>
      </c>
      <c r="G98" s="176" t="str">
        <f aca="false">ExportRaw!$I98</f>
        <v/>
      </c>
      <c r="H98" s="174" t="str">
        <f aca="false">ExportRaw!$A98</f>
        <v/>
      </c>
      <c r="I98" s="174" t="str">
        <f aca="false">ExportRaw!$B98</f>
        <v/>
      </c>
    </row>
    <row r="99" customFormat="false" ht="15.75" hidden="false" customHeight="false" outlineLevel="0" collapsed="false">
      <c r="A99" s="174" t="n">
        <f aca="false">ExportRaw!$F99</f>
        <v>0</v>
      </c>
      <c r="B99" s="174" t="n">
        <f aca="false">ExportRaw!$C99</f>
        <v>0</v>
      </c>
      <c r="C99" s="174" t="n">
        <f aca="false">ExportRaw!$G99</f>
        <v>0</v>
      </c>
      <c r="D99" s="174" t="str">
        <f aca="false">ExportRaw!$E99</f>
        <v/>
      </c>
      <c r="E99" s="175" t="str">
        <f aca="false">ExportRaw!$D99</f>
        <v/>
      </c>
      <c r="F99" s="174" t="str">
        <f aca="false">ExportRaw!$H99</f>
        <v/>
      </c>
      <c r="G99" s="176" t="str">
        <f aca="false">ExportRaw!$I99</f>
        <v/>
      </c>
      <c r="H99" s="174" t="str">
        <f aca="false">ExportRaw!$A99</f>
        <v/>
      </c>
      <c r="I99" s="174" t="str">
        <f aca="false">ExportRaw!$B99</f>
        <v/>
      </c>
    </row>
    <row r="100" customFormat="false" ht="15.75" hidden="false" customHeight="false" outlineLevel="0" collapsed="false">
      <c r="A100" s="174" t="n">
        <f aca="false">ExportRaw!$F100</f>
        <v>0</v>
      </c>
      <c r="B100" s="174" t="n">
        <f aca="false">ExportRaw!$C100</f>
        <v>0</v>
      </c>
      <c r="C100" s="174" t="n">
        <f aca="false">ExportRaw!$G100</f>
        <v>0</v>
      </c>
      <c r="D100" s="174" t="str">
        <f aca="false">ExportRaw!$E100</f>
        <v/>
      </c>
      <c r="E100" s="175" t="str">
        <f aca="false">ExportRaw!$D100</f>
        <v/>
      </c>
      <c r="F100" s="174" t="str">
        <f aca="false">ExportRaw!$H100</f>
        <v/>
      </c>
      <c r="G100" s="176" t="str">
        <f aca="false">ExportRaw!$I100</f>
        <v/>
      </c>
      <c r="H100" s="174" t="str">
        <f aca="false">ExportRaw!$A100</f>
        <v/>
      </c>
      <c r="I100" s="174" t="str">
        <f aca="false">ExportRaw!$B100</f>
        <v/>
      </c>
    </row>
    <row r="101" customFormat="false" ht="15.75" hidden="false" customHeight="false" outlineLevel="0" collapsed="false">
      <c r="A101" s="174" t="n">
        <f aca="false">ExportRaw!$F101</f>
        <v>0</v>
      </c>
      <c r="B101" s="174" t="n">
        <f aca="false">ExportRaw!$C101</f>
        <v>0</v>
      </c>
      <c r="C101" s="174" t="n">
        <f aca="false">ExportRaw!$G101</f>
        <v>0</v>
      </c>
      <c r="D101" s="174" t="str">
        <f aca="false">ExportRaw!$E101</f>
        <v/>
      </c>
      <c r="E101" s="175" t="str">
        <f aca="false">ExportRaw!$D101</f>
        <v/>
      </c>
      <c r="F101" s="174" t="str">
        <f aca="false">ExportRaw!$H101</f>
        <v/>
      </c>
      <c r="G101" s="176" t="str">
        <f aca="false">ExportRaw!$I101</f>
        <v/>
      </c>
      <c r="H101" s="174" t="str">
        <f aca="false">ExportRaw!$A101</f>
        <v/>
      </c>
      <c r="I101" s="174" t="str">
        <f aca="false">ExportRaw!$B101</f>
        <v/>
      </c>
    </row>
    <row r="102" customFormat="false" ht="15.75" hidden="false" customHeight="false" outlineLevel="0" collapsed="false">
      <c r="A102" s="174" t="n">
        <f aca="false">ExportRaw!$F102</f>
        <v>0</v>
      </c>
      <c r="B102" s="174" t="n">
        <f aca="false">ExportRaw!$C102</f>
        <v>0</v>
      </c>
      <c r="C102" s="174" t="n">
        <f aca="false">ExportRaw!$G102</f>
        <v>0</v>
      </c>
      <c r="D102" s="174" t="str">
        <f aca="false">ExportRaw!$E102</f>
        <v/>
      </c>
      <c r="E102" s="175" t="str">
        <f aca="false">ExportRaw!$D102</f>
        <v/>
      </c>
      <c r="F102" s="174" t="str">
        <f aca="false">ExportRaw!$H102</f>
        <v/>
      </c>
      <c r="G102" s="176" t="str">
        <f aca="false">ExportRaw!$I102</f>
        <v/>
      </c>
      <c r="H102" s="174" t="str">
        <f aca="false">ExportRaw!$A102</f>
        <v/>
      </c>
      <c r="I102" s="174" t="str">
        <f aca="false">ExportRaw!$B102</f>
        <v/>
      </c>
    </row>
    <row r="103" customFormat="false" ht="15.75" hidden="false" customHeight="false" outlineLevel="0" collapsed="false">
      <c r="A103" s="174" t="n">
        <f aca="false">ExportRaw!$F103</f>
        <v>0</v>
      </c>
      <c r="B103" s="174" t="n">
        <f aca="false">ExportRaw!$C103</f>
        <v>0</v>
      </c>
      <c r="C103" s="174" t="n">
        <f aca="false">ExportRaw!$G103</f>
        <v>0</v>
      </c>
      <c r="D103" s="174" t="str">
        <f aca="false">ExportRaw!$E103</f>
        <v/>
      </c>
      <c r="E103" s="175" t="str">
        <f aca="false">ExportRaw!$D103</f>
        <v/>
      </c>
      <c r="F103" s="174" t="str">
        <f aca="false">ExportRaw!$H103</f>
        <v/>
      </c>
      <c r="G103" s="176" t="str">
        <f aca="false">ExportRaw!$I103</f>
        <v/>
      </c>
      <c r="H103" s="174" t="str">
        <f aca="false">ExportRaw!$A103</f>
        <v/>
      </c>
      <c r="I103" s="174" t="str">
        <f aca="false">ExportRaw!$B103</f>
        <v/>
      </c>
    </row>
    <row r="104" customFormat="false" ht="15.75" hidden="false" customHeight="false" outlineLevel="0" collapsed="false">
      <c r="A104" s="174" t="n">
        <f aca="false">ExportRaw!$F104</f>
        <v>0</v>
      </c>
      <c r="B104" s="174" t="n">
        <f aca="false">ExportRaw!$C104</f>
        <v>0</v>
      </c>
      <c r="C104" s="174" t="n">
        <f aca="false">ExportRaw!$G104</f>
        <v>0</v>
      </c>
      <c r="D104" s="174" t="str">
        <f aca="false">ExportRaw!$E104</f>
        <v/>
      </c>
      <c r="E104" s="175" t="str">
        <f aca="false">ExportRaw!$D104</f>
        <v/>
      </c>
      <c r="F104" s="174" t="str">
        <f aca="false">ExportRaw!$H104</f>
        <v/>
      </c>
      <c r="G104" s="176" t="str">
        <f aca="false">ExportRaw!$I104</f>
        <v/>
      </c>
      <c r="H104" s="174" t="str">
        <f aca="false">ExportRaw!$A104</f>
        <v/>
      </c>
      <c r="I104" s="174" t="str">
        <f aca="false">ExportRaw!$B104</f>
        <v/>
      </c>
    </row>
    <row r="105" customFormat="false" ht="15.75" hidden="false" customHeight="false" outlineLevel="0" collapsed="false">
      <c r="A105" s="174" t="n">
        <f aca="false">ExportRaw!$F105</f>
        <v>0</v>
      </c>
      <c r="B105" s="174" t="n">
        <f aca="false">ExportRaw!$C105</f>
        <v>0</v>
      </c>
      <c r="C105" s="174" t="n">
        <f aca="false">ExportRaw!$G105</f>
        <v>0</v>
      </c>
      <c r="D105" s="174" t="str">
        <f aca="false">ExportRaw!$E105</f>
        <v/>
      </c>
      <c r="E105" s="175" t="str">
        <f aca="false">ExportRaw!$D105</f>
        <v/>
      </c>
      <c r="F105" s="174" t="str">
        <f aca="false">ExportRaw!$H105</f>
        <v/>
      </c>
      <c r="G105" s="176" t="str">
        <f aca="false">ExportRaw!$I105</f>
        <v/>
      </c>
      <c r="H105" s="174" t="str">
        <f aca="false">ExportRaw!$A105</f>
        <v/>
      </c>
      <c r="I105" s="174" t="str">
        <f aca="false">ExportRaw!$B105</f>
        <v/>
      </c>
    </row>
    <row r="106" customFormat="false" ht="15.75" hidden="false" customHeight="false" outlineLevel="0" collapsed="false">
      <c r="A106" s="174" t="n">
        <f aca="false">ExportRaw!$F106</f>
        <v>0</v>
      </c>
      <c r="B106" s="174" t="n">
        <f aca="false">ExportRaw!$C106</f>
        <v>0</v>
      </c>
      <c r="C106" s="174" t="n">
        <f aca="false">ExportRaw!$G106</f>
        <v>0</v>
      </c>
      <c r="D106" s="174" t="str">
        <f aca="false">ExportRaw!$E106</f>
        <v/>
      </c>
      <c r="E106" s="175" t="str">
        <f aca="false">ExportRaw!$D106</f>
        <v/>
      </c>
      <c r="F106" s="174" t="str">
        <f aca="false">ExportRaw!$H106</f>
        <v/>
      </c>
      <c r="G106" s="176" t="str">
        <f aca="false">ExportRaw!$I106</f>
        <v/>
      </c>
      <c r="H106" s="174" t="str">
        <f aca="false">ExportRaw!$A106</f>
        <v/>
      </c>
      <c r="I106" s="174" t="str">
        <f aca="false">ExportRaw!$B106</f>
        <v/>
      </c>
    </row>
    <row r="107" customFormat="false" ht="15.75" hidden="false" customHeight="false" outlineLevel="0" collapsed="false">
      <c r="A107" s="174" t="n">
        <f aca="false">ExportRaw!$F107</f>
        <v>0</v>
      </c>
      <c r="B107" s="174" t="n">
        <f aca="false">ExportRaw!$C107</f>
        <v>0</v>
      </c>
      <c r="C107" s="174" t="n">
        <f aca="false">ExportRaw!$G107</f>
        <v>0</v>
      </c>
      <c r="D107" s="174" t="str">
        <f aca="false">ExportRaw!$E107</f>
        <v/>
      </c>
      <c r="E107" s="175" t="str">
        <f aca="false">ExportRaw!$D107</f>
        <v/>
      </c>
      <c r="F107" s="174" t="str">
        <f aca="false">ExportRaw!$H107</f>
        <v/>
      </c>
      <c r="G107" s="176" t="str">
        <f aca="false">ExportRaw!$I107</f>
        <v/>
      </c>
      <c r="H107" s="174" t="str">
        <f aca="false">ExportRaw!$A107</f>
        <v/>
      </c>
      <c r="I107" s="174" t="str">
        <f aca="false">ExportRaw!$B107</f>
        <v/>
      </c>
    </row>
    <row r="108" customFormat="false" ht="15.75" hidden="false" customHeight="false" outlineLevel="0" collapsed="false">
      <c r="A108" s="174" t="n">
        <f aca="false">ExportRaw!$F108</f>
        <v>0</v>
      </c>
      <c r="B108" s="174" t="n">
        <f aca="false">ExportRaw!$C108</f>
        <v>0</v>
      </c>
      <c r="C108" s="174" t="n">
        <f aca="false">ExportRaw!$G108</f>
        <v>0</v>
      </c>
      <c r="D108" s="174" t="str">
        <f aca="false">ExportRaw!$E108</f>
        <v/>
      </c>
      <c r="E108" s="175" t="str">
        <f aca="false">ExportRaw!$D108</f>
        <v/>
      </c>
      <c r="F108" s="174" t="str">
        <f aca="false">ExportRaw!$H108</f>
        <v/>
      </c>
      <c r="G108" s="176" t="str">
        <f aca="false">ExportRaw!$I108</f>
        <v/>
      </c>
      <c r="H108" s="174" t="str">
        <f aca="false">ExportRaw!$A108</f>
        <v/>
      </c>
      <c r="I108" s="174" t="str">
        <f aca="false">ExportRaw!$B108</f>
        <v/>
      </c>
    </row>
    <row r="109" customFormat="false" ht="15.75" hidden="false" customHeight="false" outlineLevel="0" collapsed="false">
      <c r="A109" s="174" t="n">
        <f aca="false">ExportRaw!$F109</f>
        <v>0</v>
      </c>
      <c r="B109" s="174" t="n">
        <f aca="false">ExportRaw!$C109</f>
        <v>0</v>
      </c>
      <c r="C109" s="174" t="n">
        <f aca="false">ExportRaw!$G109</f>
        <v>0</v>
      </c>
      <c r="D109" s="174" t="str">
        <f aca="false">ExportRaw!$E109</f>
        <v/>
      </c>
      <c r="E109" s="175" t="str">
        <f aca="false">ExportRaw!$D109</f>
        <v/>
      </c>
      <c r="F109" s="174" t="str">
        <f aca="false">ExportRaw!$H109</f>
        <v/>
      </c>
      <c r="G109" s="176" t="str">
        <f aca="false">ExportRaw!$I109</f>
        <v/>
      </c>
      <c r="H109" s="174" t="str">
        <f aca="false">ExportRaw!$A109</f>
        <v/>
      </c>
      <c r="I109" s="174" t="str">
        <f aca="false">ExportRaw!$B109</f>
        <v/>
      </c>
    </row>
    <row r="110" customFormat="false" ht="15.75" hidden="false" customHeight="false" outlineLevel="0" collapsed="false">
      <c r="A110" s="174" t="n">
        <f aca="false">ExportRaw!$F110</f>
        <v>0</v>
      </c>
      <c r="B110" s="174" t="n">
        <f aca="false">ExportRaw!$C110</f>
        <v>0</v>
      </c>
      <c r="C110" s="174" t="n">
        <f aca="false">ExportRaw!$G110</f>
        <v>0</v>
      </c>
      <c r="D110" s="174" t="str">
        <f aca="false">ExportRaw!$E110</f>
        <v/>
      </c>
      <c r="E110" s="175" t="str">
        <f aca="false">ExportRaw!$D110</f>
        <v/>
      </c>
      <c r="F110" s="174" t="str">
        <f aca="false">ExportRaw!$H110</f>
        <v/>
      </c>
      <c r="G110" s="176" t="str">
        <f aca="false">ExportRaw!$I110</f>
        <v/>
      </c>
      <c r="H110" s="174" t="str">
        <f aca="false">ExportRaw!$A110</f>
        <v/>
      </c>
      <c r="I110" s="174" t="str">
        <f aca="false">ExportRaw!$B110</f>
        <v/>
      </c>
    </row>
    <row r="111" customFormat="false" ht="15.75" hidden="false" customHeight="false" outlineLevel="0" collapsed="false">
      <c r="A111" s="174" t="n">
        <f aca="false">ExportRaw!$F111</f>
        <v>0</v>
      </c>
      <c r="B111" s="174" t="n">
        <f aca="false">ExportRaw!$C111</f>
        <v>0</v>
      </c>
      <c r="C111" s="174" t="n">
        <f aca="false">ExportRaw!$G111</f>
        <v>0</v>
      </c>
      <c r="D111" s="174" t="str">
        <f aca="false">ExportRaw!$E111</f>
        <v/>
      </c>
      <c r="E111" s="175" t="str">
        <f aca="false">ExportRaw!$D111</f>
        <v/>
      </c>
      <c r="F111" s="174" t="str">
        <f aca="false">ExportRaw!$H111</f>
        <v/>
      </c>
      <c r="G111" s="176" t="str">
        <f aca="false">ExportRaw!$I111</f>
        <v/>
      </c>
      <c r="H111" s="174" t="str">
        <f aca="false">ExportRaw!$A111</f>
        <v/>
      </c>
      <c r="I111" s="174" t="str">
        <f aca="false">ExportRaw!$B111</f>
        <v/>
      </c>
    </row>
    <row r="112" customFormat="false" ht="15.75" hidden="false" customHeight="false" outlineLevel="0" collapsed="false">
      <c r="A112" s="174" t="n">
        <f aca="false">ExportRaw!$F112</f>
        <v>0</v>
      </c>
      <c r="B112" s="174" t="n">
        <f aca="false">ExportRaw!$C112</f>
        <v>0</v>
      </c>
      <c r="C112" s="174" t="n">
        <f aca="false">ExportRaw!$G112</f>
        <v>0</v>
      </c>
      <c r="D112" s="174" t="str">
        <f aca="false">ExportRaw!$E112</f>
        <v/>
      </c>
      <c r="E112" s="175" t="str">
        <f aca="false">ExportRaw!$D112</f>
        <v/>
      </c>
      <c r="F112" s="174" t="str">
        <f aca="false">ExportRaw!$H112</f>
        <v/>
      </c>
      <c r="G112" s="176" t="str">
        <f aca="false">ExportRaw!$I112</f>
        <v/>
      </c>
      <c r="H112" s="174" t="str">
        <f aca="false">ExportRaw!$A112</f>
        <v/>
      </c>
      <c r="I112" s="174" t="str">
        <f aca="false">ExportRaw!$B112</f>
        <v/>
      </c>
    </row>
    <row r="113" customFormat="false" ht="15.75" hidden="false" customHeight="false" outlineLevel="0" collapsed="false">
      <c r="A113" s="174" t="n">
        <f aca="false">ExportRaw!$F113</f>
        <v>0</v>
      </c>
      <c r="B113" s="174" t="n">
        <f aca="false">ExportRaw!$C113</f>
        <v>0</v>
      </c>
      <c r="C113" s="174" t="n">
        <f aca="false">ExportRaw!$G113</f>
        <v>0</v>
      </c>
      <c r="D113" s="174" t="str">
        <f aca="false">ExportRaw!$E113</f>
        <v/>
      </c>
      <c r="E113" s="175" t="str">
        <f aca="false">ExportRaw!$D113</f>
        <v/>
      </c>
      <c r="F113" s="174" t="str">
        <f aca="false">ExportRaw!$H113</f>
        <v/>
      </c>
      <c r="G113" s="176" t="str">
        <f aca="false">ExportRaw!$I113</f>
        <v/>
      </c>
      <c r="H113" s="174" t="str">
        <f aca="false">ExportRaw!$A113</f>
        <v/>
      </c>
      <c r="I113" s="174" t="str">
        <f aca="false">ExportRaw!$B113</f>
        <v/>
      </c>
    </row>
    <row r="114" customFormat="false" ht="15.75" hidden="false" customHeight="false" outlineLevel="0" collapsed="false">
      <c r="A114" s="174" t="n">
        <f aca="false">ExportRaw!$F114</f>
        <v>0</v>
      </c>
      <c r="B114" s="174" t="n">
        <f aca="false">ExportRaw!$C114</f>
        <v>0</v>
      </c>
      <c r="C114" s="174" t="n">
        <f aca="false">ExportRaw!$G114</f>
        <v>0</v>
      </c>
      <c r="D114" s="174" t="str">
        <f aca="false">ExportRaw!$E114</f>
        <v/>
      </c>
      <c r="E114" s="175" t="str">
        <f aca="false">ExportRaw!$D114</f>
        <v/>
      </c>
      <c r="F114" s="174" t="str">
        <f aca="false">ExportRaw!$H114</f>
        <v/>
      </c>
      <c r="G114" s="176" t="str">
        <f aca="false">ExportRaw!$I114</f>
        <v/>
      </c>
      <c r="H114" s="174" t="str">
        <f aca="false">ExportRaw!$A114</f>
        <v/>
      </c>
      <c r="I114" s="174" t="str">
        <f aca="false">ExportRaw!$B114</f>
        <v/>
      </c>
    </row>
    <row r="115" customFormat="false" ht="15.75" hidden="false" customHeight="false" outlineLevel="0" collapsed="false">
      <c r="A115" s="174" t="n">
        <f aca="false">ExportRaw!$F115</f>
        <v>0</v>
      </c>
      <c r="B115" s="174" t="n">
        <f aca="false">ExportRaw!$C115</f>
        <v>0</v>
      </c>
      <c r="C115" s="174" t="n">
        <f aca="false">ExportRaw!$G115</f>
        <v>0</v>
      </c>
      <c r="D115" s="174" t="str">
        <f aca="false">ExportRaw!$E115</f>
        <v/>
      </c>
      <c r="E115" s="175" t="str">
        <f aca="false">ExportRaw!$D115</f>
        <v/>
      </c>
      <c r="F115" s="174" t="str">
        <f aca="false">ExportRaw!$H115</f>
        <v/>
      </c>
      <c r="G115" s="176" t="str">
        <f aca="false">ExportRaw!$I115</f>
        <v/>
      </c>
      <c r="H115" s="174" t="str">
        <f aca="false">ExportRaw!$A115</f>
        <v/>
      </c>
      <c r="I115" s="174" t="str">
        <f aca="false">ExportRaw!$B115</f>
        <v/>
      </c>
    </row>
    <row r="116" customFormat="false" ht="15.75" hidden="false" customHeight="false" outlineLevel="0" collapsed="false">
      <c r="A116" s="174" t="n">
        <f aca="false">ExportRaw!$F116</f>
        <v>0</v>
      </c>
      <c r="B116" s="174" t="n">
        <f aca="false">ExportRaw!$C116</f>
        <v>0</v>
      </c>
      <c r="C116" s="174" t="n">
        <f aca="false">ExportRaw!$G116</f>
        <v>0</v>
      </c>
      <c r="D116" s="174" t="str">
        <f aca="false">ExportRaw!$E116</f>
        <v/>
      </c>
      <c r="E116" s="175" t="str">
        <f aca="false">ExportRaw!$D116</f>
        <v/>
      </c>
      <c r="F116" s="174" t="str">
        <f aca="false">ExportRaw!$H116</f>
        <v/>
      </c>
      <c r="G116" s="176" t="str">
        <f aca="false">ExportRaw!$I116</f>
        <v/>
      </c>
      <c r="H116" s="174" t="str">
        <f aca="false">ExportRaw!$A116</f>
        <v/>
      </c>
      <c r="I116" s="174" t="str">
        <f aca="false">ExportRaw!$B116</f>
        <v/>
      </c>
    </row>
    <row r="117" customFormat="false" ht="15.75" hidden="false" customHeight="false" outlineLevel="0" collapsed="false">
      <c r="A117" s="174" t="n">
        <f aca="false">ExportRaw!$F117</f>
        <v>0</v>
      </c>
      <c r="B117" s="174" t="n">
        <f aca="false">ExportRaw!$C117</f>
        <v>0</v>
      </c>
      <c r="C117" s="174" t="n">
        <f aca="false">ExportRaw!$G117</f>
        <v>0</v>
      </c>
      <c r="D117" s="174" t="str">
        <f aca="false">ExportRaw!$E117</f>
        <v/>
      </c>
      <c r="E117" s="175" t="str">
        <f aca="false">ExportRaw!$D117</f>
        <v/>
      </c>
      <c r="F117" s="174" t="str">
        <f aca="false">ExportRaw!$H117</f>
        <v/>
      </c>
      <c r="G117" s="176" t="str">
        <f aca="false">ExportRaw!$I117</f>
        <v/>
      </c>
      <c r="H117" s="174" t="str">
        <f aca="false">ExportRaw!$A117</f>
        <v/>
      </c>
      <c r="I117" s="174" t="str">
        <f aca="false">ExportRaw!$B117</f>
        <v/>
      </c>
    </row>
    <row r="118" customFormat="false" ht="15.75" hidden="false" customHeight="false" outlineLevel="0" collapsed="false">
      <c r="A118" s="174" t="n">
        <f aca="false">ExportRaw!$F118</f>
        <v>0</v>
      </c>
      <c r="B118" s="174" t="n">
        <f aca="false">ExportRaw!$C118</f>
        <v>0</v>
      </c>
      <c r="C118" s="174" t="n">
        <f aca="false">ExportRaw!$G118</f>
        <v>0</v>
      </c>
      <c r="D118" s="174" t="str">
        <f aca="false">ExportRaw!$E118</f>
        <v/>
      </c>
      <c r="E118" s="175" t="str">
        <f aca="false">ExportRaw!$D118</f>
        <v/>
      </c>
      <c r="F118" s="174" t="str">
        <f aca="false">ExportRaw!$H118</f>
        <v/>
      </c>
      <c r="G118" s="176" t="str">
        <f aca="false">ExportRaw!$I118</f>
        <v/>
      </c>
      <c r="H118" s="174" t="str">
        <f aca="false">ExportRaw!$A118</f>
        <v/>
      </c>
      <c r="I118" s="174" t="str">
        <f aca="false">ExportRaw!$B118</f>
        <v/>
      </c>
    </row>
    <row r="119" customFormat="false" ht="15.75" hidden="false" customHeight="false" outlineLevel="0" collapsed="false">
      <c r="A119" s="174" t="n">
        <f aca="false">ExportRaw!$F119</f>
        <v>0</v>
      </c>
      <c r="B119" s="174" t="n">
        <f aca="false">ExportRaw!$C119</f>
        <v>0</v>
      </c>
      <c r="C119" s="174" t="n">
        <f aca="false">ExportRaw!$G119</f>
        <v>0</v>
      </c>
      <c r="D119" s="174" t="str">
        <f aca="false">ExportRaw!$E119</f>
        <v/>
      </c>
      <c r="E119" s="175" t="str">
        <f aca="false">ExportRaw!$D119</f>
        <v/>
      </c>
      <c r="F119" s="174" t="str">
        <f aca="false">ExportRaw!$H119</f>
        <v/>
      </c>
      <c r="G119" s="176" t="str">
        <f aca="false">ExportRaw!$I119</f>
        <v/>
      </c>
      <c r="H119" s="174" t="str">
        <f aca="false">ExportRaw!$A119</f>
        <v/>
      </c>
      <c r="I119" s="174" t="str">
        <f aca="false">ExportRaw!$B119</f>
        <v/>
      </c>
    </row>
    <row r="120" customFormat="false" ht="15.75" hidden="false" customHeight="false" outlineLevel="0" collapsed="false">
      <c r="A120" s="174" t="n">
        <f aca="false">ExportRaw!$F120</f>
        <v>0</v>
      </c>
      <c r="B120" s="174" t="n">
        <f aca="false">ExportRaw!$C120</f>
        <v>0</v>
      </c>
      <c r="C120" s="174" t="n">
        <f aca="false">ExportRaw!$G120</f>
        <v>0</v>
      </c>
      <c r="D120" s="174" t="str">
        <f aca="false">ExportRaw!$E120</f>
        <v/>
      </c>
      <c r="E120" s="175" t="str">
        <f aca="false">ExportRaw!$D120</f>
        <v/>
      </c>
      <c r="F120" s="174" t="str">
        <f aca="false">ExportRaw!$H120</f>
        <v/>
      </c>
      <c r="G120" s="176" t="str">
        <f aca="false">ExportRaw!$I120</f>
        <v/>
      </c>
      <c r="H120" s="174" t="str">
        <f aca="false">ExportRaw!$A120</f>
        <v/>
      </c>
      <c r="I120" s="174" t="str">
        <f aca="false">ExportRaw!$B120</f>
        <v/>
      </c>
    </row>
    <row r="121" customFormat="false" ht="15.75" hidden="false" customHeight="false" outlineLevel="0" collapsed="false">
      <c r="A121" s="174" t="n">
        <f aca="false">ExportRaw!$F121</f>
        <v>0</v>
      </c>
      <c r="B121" s="174" t="n">
        <f aca="false">ExportRaw!$C121</f>
        <v>0</v>
      </c>
      <c r="C121" s="174" t="n">
        <f aca="false">ExportRaw!$G121</f>
        <v>0</v>
      </c>
      <c r="D121" s="174" t="str">
        <f aca="false">ExportRaw!$E121</f>
        <v/>
      </c>
      <c r="E121" s="175" t="str">
        <f aca="false">ExportRaw!$D121</f>
        <v/>
      </c>
      <c r="F121" s="174" t="str">
        <f aca="false">ExportRaw!$H121</f>
        <v/>
      </c>
      <c r="G121" s="176" t="str">
        <f aca="false">ExportRaw!$I121</f>
        <v/>
      </c>
      <c r="H121" s="174" t="str">
        <f aca="false">ExportRaw!$A121</f>
        <v/>
      </c>
      <c r="I121" s="174" t="str">
        <f aca="false">ExportRaw!$B121</f>
        <v/>
      </c>
    </row>
    <row r="122" customFormat="false" ht="15.75" hidden="false" customHeight="false" outlineLevel="0" collapsed="false">
      <c r="A122" s="174" t="n">
        <f aca="false">ExportRaw!$F122</f>
        <v>0</v>
      </c>
      <c r="B122" s="174" t="n">
        <f aca="false">ExportRaw!$C122</f>
        <v>0</v>
      </c>
      <c r="C122" s="174" t="n">
        <f aca="false">ExportRaw!$G122</f>
        <v>0</v>
      </c>
      <c r="D122" s="174" t="str">
        <f aca="false">ExportRaw!$E122</f>
        <v/>
      </c>
      <c r="E122" s="175" t="str">
        <f aca="false">ExportRaw!$D122</f>
        <v/>
      </c>
      <c r="F122" s="174" t="str">
        <f aca="false">ExportRaw!$H122</f>
        <v/>
      </c>
      <c r="G122" s="176" t="str">
        <f aca="false">ExportRaw!$I122</f>
        <v/>
      </c>
      <c r="H122" s="174" t="str">
        <f aca="false">ExportRaw!$A122</f>
        <v/>
      </c>
      <c r="I122" s="174" t="str">
        <f aca="false">ExportRaw!$B122</f>
        <v/>
      </c>
    </row>
    <row r="123" customFormat="false" ht="15.75" hidden="false" customHeight="false" outlineLevel="0" collapsed="false">
      <c r="A123" s="174" t="n">
        <f aca="false">ExportRaw!$F123</f>
        <v>0</v>
      </c>
      <c r="B123" s="174" t="n">
        <f aca="false">ExportRaw!$C123</f>
        <v>0</v>
      </c>
      <c r="C123" s="174" t="n">
        <f aca="false">ExportRaw!$G123</f>
        <v>0</v>
      </c>
      <c r="D123" s="174" t="str">
        <f aca="false">ExportRaw!$E123</f>
        <v/>
      </c>
      <c r="E123" s="175" t="str">
        <f aca="false">ExportRaw!$D123</f>
        <v/>
      </c>
      <c r="F123" s="174" t="str">
        <f aca="false">ExportRaw!$H123</f>
        <v/>
      </c>
      <c r="G123" s="176" t="str">
        <f aca="false">ExportRaw!$I123</f>
        <v/>
      </c>
      <c r="H123" s="174" t="str">
        <f aca="false">ExportRaw!$A123</f>
        <v/>
      </c>
      <c r="I123" s="174" t="str">
        <f aca="false">ExportRaw!$B123</f>
        <v/>
      </c>
    </row>
    <row r="124" customFormat="false" ht="15.75" hidden="false" customHeight="false" outlineLevel="0" collapsed="false">
      <c r="A124" s="174" t="n">
        <f aca="false">ExportRaw!$F124</f>
        <v>0</v>
      </c>
      <c r="B124" s="174" t="n">
        <f aca="false">ExportRaw!$C124</f>
        <v>0</v>
      </c>
      <c r="C124" s="174" t="n">
        <f aca="false">ExportRaw!$G124</f>
        <v>0</v>
      </c>
      <c r="D124" s="174" t="str">
        <f aca="false">ExportRaw!$E124</f>
        <v/>
      </c>
      <c r="E124" s="175" t="str">
        <f aca="false">ExportRaw!$D124</f>
        <v/>
      </c>
      <c r="F124" s="174" t="str">
        <f aca="false">ExportRaw!$H124</f>
        <v/>
      </c>
      <c r="G124" s="176" t="str">
        <f aca="false">ExportRaw!$I124</f>
        <v/>
      </c>
      <c r="H124" s="174" t="str">
        <f aca="false">ExportRaw!$A124</f>
        <v/>
      </c>
      <c r="I124" s="174" t="str">
        <f aca="false">ExportRaw!$B124</f>
        <v/>
      </c>
    </row>
    <row r="125" customFormat="false" ht="15.75" hidden="false" customHeight="false" outlineLevel="0" collapsed="false">
      <c r="A125" s="174" t="n">
        <f aca="false">ExportRaw!$F125</f>
        <v>0</v>
      </c>
      <c r="B125" s="174" t="n">
        <f aca="false">ExportRaw!$C125</f>
        <v>0</v>
      </c>
      <c r="C125" s="174" t="n">
        <f aca="false">ExportRaw!$G125</f>
        <v>0</v>
      </c>
      <c r="D125" s="174" t="str">
        <f aca="false">ExportRaw!$E125</f>
        <v/>
      </c>
      <c r="E125" s="175" t="str">
        <f aca="false">ExportRaw!$D125</f>
        <v/>
      </c>
      <c r="F125" s="174" t="str">
        <f aca="false">ExportRaw!$H125</f>
        <v/>
      </c>
      <c r="G125" s="176" t="str">
        <f aca="false">ExportRaw!$I125</f>
        <v/>
      </c>
      <c r="H125" s="174" t="str">
        <f aca="false">ExportRaw!$A125</f>
        <v/>
      </c>
      <c r="I125" s="174" t="str">
        <f aca="false">ExportRaw!$B125</f>
        <v/>
      </c>
    </row>
    <row r="126" customFormat="false" ht="15.75" hidden="false" customHeight="false" outlineLevel="0" collapsed="false">
      <c r="A126" s="174" t="n">
        <f aca="false">ExportRaw!$F126</f>
        <v>0</v>
      </c>
      <c r="B126" s="174" t="n">
        <f aca="false">ExportRaw!$C126</f>
        <v>0</v>
      </c>
      <c r="C126" s="174" t="n">
        <f aca="false">ExportRaw!$G126</f>
        <v>0</v>
      </c>
      <c r="D126" s="174" t="str">
        <f aca="false">ExportRaw!$E126</f>
        <v/>
      </c>
      <c r="E126" s="175" t="str">
        <f aca="false">ExportRaw!$D126</f>
        <v/>
      </c>
      <c r="F126" s="174" t="str">
        <f aca="false">ExportRaw!$H126</f>
        <v/>
      </c>
      <c r="G126" s="176" t="str">
        <f aca="false">ExportRaw!$I126</f>
        <v/>
      </c>
      <c r="H126" s="174" t="str">
        <f aca="false">ExportRaw!$A126</f>
        <v/>
      </c>
      <c r="I126" s="174" t="str">
        <f aca="false">ExportRaw!$B126</f>
        <v/>
      </c>
    </row>
    <row r="127" customFormat="false" ht="15.75" hidden="false" customHeight="false" outlineLevel="0" collapsed="false">
      <c r="A127" s="174" t="n">
        <f aca="false">ExportRaw!$F127</f>
        <v>0</v>
      </c>
      <c r="B127" s="174" t="n">
        <f aca="false">ExportRaw!$C127</f>
        <v>0</v>
      </c>
      <c r="C127" s="174" t="n">
        <f aca="false">ExportRaw!$G127</f>
        <v>0</v>
      </c>
      <c r="D127" s="174" t="str">
        <f aca="false">ExportRaw!$E127</f>
        <v/>
      </c>
      <c r="E127" s="175" t="str">
        <f aca="false">ExportRaw!$D127</f>
        <v/>
      </c>
      <c r="F127" s="174" t="str">
        <f aca="false">ExportRaw!$H127</f>
        <v/>
      </c>
      <c r="G127" s="176" t="str">
        <f aca="false">ExportRaw!$I127</f>
        <v/>
      </c>
      <c r="H127" s="174" t="str">
        <f aca="false">ExportRaw!$A127</f>
        <v/>
      </c>
      <c r="I127" s="174" t="str">
        <f aca="false">ExportRaw!$B127</f>
        <v/>
      </c>
    </row>
    <row r="128" customFormat="false" ht="15.75" hidden="false" customHeight="false" outlineLevel="0" collapsed="false">
      <c r="A128" s="174" t="n">
        <f aca="false">ExportRaw!$F128</f>
        <v>0</v>
      </c>
      <c r="B128" s="174" t="n">
        <f aca="false">ExportRaw!$C128</f>
        <v>0</v>
      </c>
      <c r="C128" s="174" t="n">
        <f aca="false">ExportRaw!$G128</f>
        <v>0</v>
      </c>
      <c r="D128" s="174" t="str">
        <f aca="false">ExportRaw!$E128</f>
        <v/>
      </c>
      <c r="E128" s="175" t="str">
        <f aca="false">ExportRaw!$D128</f>
        <v/>
      </c>
      <c r="F128" s="174" t="str">
        <f aca="false">ExportRaw!$H128</f>
        <v/>
      </c>
      <c r="G128" s="176" t="str">
        <f aca="false">ExportRaw!$I128</f>
        <v/>
      </c>
      <c r="H128" s="174" t="str">
        <f aca="false">ExportRaw!$A128</f>
        <v/>
      </c>
      <c r="I128" s="174" t="str">
        <f aca="false">ExportRaw!$B128</f>
        <v/>
      </c>
    </row>
    <row r="129" customFormat="false" ht="15.75" hidden="false" customHeight="false" outlineLevel="0" collapsed="false">
      <c r="A129" s="174" t="n">
        <f aca="false">ExportRaw!$F129</f>
        <v>0</v>
      </c>
      <c r="B129" s="174" t="n">
        <f aca="false">ExportRaw!$C129</f>
        <v>0</v>
      </c>
      <c r="C129" s="174" t="n">
        <f aca="false">ExportRaw!$G129</f>
        <v>0</v>
      </c>
      <c r="D129" s="174" t="str">
        <f aca="false">ExportRaw!$E129</f>
        <v/>
      </c>
      <c r="E129" s="175" t="str">
        <f aca="false">ExportRaw!$D129</f>
        <v/>
      </c>
      <c r="F129" s="174" t="str">
        <f aca="false">ExportRaw!$H129</f>
        <v/>
      </c>
      <c r="G129" s="176" t="str">
        <f aca="false">ExportRaw!$I129</f>
        <v/>
      </c>
      <c r="H129" s="174" t="str">
        <f aca="false">ExportRaw!$A129</f>
        <v/>
      </c>
      <c r="I129" s="174" t="str">
        <f aca="false">ExportRaw!$B129</f>
        <v/>
      </c>
    </row>
    <row r="130" customFormat="false" ht="15.75" hidden="false" customHeight="false" outlineLevel="0" collapsed="false">
      <c r="A130" s="174" t="n">
        <f aca="false">ExportRaw!$F130</f>
        <v>0</v>
      </c>
      <c r="B130" s="174" t="n">
        <f aca="false">ExportRaw!$C130</f>
        <v>0</v>
      </c>
      <c r="C130" s="174" t="n">
        <f aca="false">ExportRaw!$G130</f>
        <v>0</v>
      </c>
      <c r="D130" s="174" t="str">
        <f aca="false">ExportRaw!$E130</f>
        <v/>
      </c>
      <c r="E130" s="175" t="str">
        <f aca="false">ExportRaw!$D130</f>
        <v/>
      </c>
      <c r="F130" s="174" t="str">
        <f aca="false">ExportRaw!$H130</f>
        <v/>
      </c>
      <c r="G130" s="176" t="str">
        <f aca="false">ExportRaw!$I130</f>
        <v/>
      </c>
      <c r="H130" s="174" t="str">
        <f aca="false">ExportRaw!$A130</f>
        <v/>
      </c>
      <c r="I130" s="174" t="str">
        <f aca="false">ExportRaw!$B130</f>
        <v/>
      </c>
    </row>
    <row r="131" customFormat="false" ht="15.75" hidden="false" customHeight="false" outlineLevel="0" collapsed="false">
      <c r="A131" s="174" t="n">
        <f aca="false">ExportRaw!$F131</f>
        <v>0</v>
      </c>
      <c r="B131" s="174" t="n">
        <f aca="false">ExportRaw!$C131</f>
        <v>0</v>
      </c>
      <c r="C131" s="174" t="n">
        <f aca="false">ExportRaw!$G131</f>
        <v>0</v>
      </c>
      <c r="D131" s="174" t="str">
        <f aca="false">ExportRaw!$E131</f>
        <v/>
      </c>
      <c r="E131" s="175" t="str">
        <f aca="false">ExportRaw!$D131</f>
        <v/>
      </c>
      <c r="F131" s="174" t="str">
        <f aca="false">ExportRaw!$H131</f>
        <v/>
      </c>
      <c r="G131" s="176" t="str">
        <f aca="false">ExportRaw!$I131</f>
        <v/>
      </c>
      <c r="H131" s="174" t="str">
        <f aca="false">ExportRaw!$A131</f>
        <v/>
      </c>
      <c r="I131" s="174" t="str">
        <f aca="false">ExportRaw!$B131</f>
        <v/>
      </c>
    </row>
    <row r="132" customFormat="false" ht="15.75" hidden="false" customHeight="false" outlineLevel="0" collapsed="false">
      <c r="A132" s="174" t="n">
        <f aca="false">ExportRaw!$F132</f>
        <v>0</v>
      </c>
      <c r="B132" s="174" t="n">
        <f aca="false">ExportRaw!$C132</f>
        <v>0</v>
      </c>
      <c r="C132" s="174" t="n">
        <f aca="false">ExportRaw!$G132</f>
        <v>0</v>
      </c>
      <c r="D132" s="174" t="str">
        <f aca="false">ExportRaw!$E132</f>
        <v/>
      </c>
      <c r="E132" s="175" t="str">
        <f aca="false">ExportRaw!$D132</f>
        <v/>
      </c>
      <c r="F132" s="174" t="str">
        <f aca="false">ExportRaw!$H132</f>
        <v/>
      </c>
      <c r="G132" s="176" t="str">
        <f aca="false">ExportRaw!$I132</f>
        <v/>
      </c>
      <c r="H132" s="174" t="str">
        <f aca="false">ExportRaw!$A132</f>
        <v/>
      </c>
      <c r="I132" s="174" t="str">
        <f aca="false">ExportRaw!$B132</f>
        <v/>
      </c>
    </row>
    <row r="133" customFormat="false" ht="15.75" hidden="false" customHeight="false" outlineLevel="0" collapsed="false">
      <c r="A133" s="174" t="n">
        <f aca="false">ExportRaw!$F133</f>
        <v>0</v>
      </c>
      <c r="B133" s="174" t="n">
        <f aca="false">ExportRaw!$C133</f>
        <v>0</v>
      </c>
      <c r="C133" s="174" t="n">
        <f aca="false">ExportRaw!$G133</f>
        <v>0</v>
      </c>
      <c r="D133" s="174" t="str">
        <f aca="false">ExportRaw!$E133</f>
        <v/>
      </c>
      <c r="E133" s="175" t="str">
        <f aca="false">ExportRaw!$D133</f>
        <v/>
      </c>
      <c r="F133" s="174" t="str">
        <f aca="false">ExportRaw!$H133</f>
        <v/>
      </c>
      <c r="G133" s="176" t="str">
        <f aca="false">ExportRaw!$I133</f>
        <v/>
      </c>
      <c r="H133" s="174" t="str">
        <f aca="false">ExportRaw!$A133</f>
        <v/>
      </c>
      <c r="I133" s="174" t="str">
        <f aca="false">ExportRaw!$B133</f>
        <v/>
      </c>
    </row>
    <row r="134" customFormat="false" ht="15.75" hidden="false" customHeight="false" outlineLevel="0" collapsed="false">
      <c r="A134" s="174" t="n">
        <f aca="false">ExportRaw!$F134</f>
        <v>0</v>
      </c>
      <c r="B134" s="174" t="n">
        <f aca="false">ExportRaw!$C134</f>
        <v>0</v>
      </c>
      <c r="C134" s="174" t="n">
        <f aca="false">ExportRaw!$G134</f>
        <v>0</v>
      </c>
      <c r="D134" s="174" t="str">
        <f aca="false">ExportRaw!$E134</f>
        <v/>
      </c>
      <c r="E134" s="175" t="str">
        <f aca="false">ExportRaw!$D134</f>
        <v/>
      </c>
      <c r="F134" s="174" t="str">
        <f aca="false">ExportRaw!$H134</f>
        <v/>
      </c>
      <c r="G134" s="176" t="str">
        <f aca="false">ExportRaw!$I134</f>
        <v/>
      </c>
      <c r="H134" s="174" t="str">
        <f aca="false">ExportRaw!$A134</f>
        <v/>
      </c>
      <c r="I134" s="174" t="str">
        <f aca="false">ExportRaw!$B134</f>
        <v/>
      </c>
    </row>
    <row r="135" customFormat="false" ht="15.75" hidden="false" customHeight="false" outlineLevel="0" collapsed="false">
      <c r="A135" s="174" t="n">
        <f aca="false">ExportRaw!$F135</f>
        <v>0</v>
      </c>
      <c r="B135" s="174" t="n">
        <f aca="false">ExportRaw!$C135</f>
        <v>0</v>
      </c>
      <c r="C135" s="174" t="n">
        <f aca="false">ExportRaw!$G135</f>
        <v>0</v>
      </c>
      <c r="D135" s="174" t="str">
        <f aca="false">ExportRaw!$E135</f>
        <v/>
      </c>
      <c r="E135" s="175" t="str">
        <f aca="false">ExportRaw!$D135</f>
        <v/>
      </c>
      <c r="F135" s="174" t="str">
        <f aca="false">ExportRaw!$H135</f>
        <v/>
      </c>
      <c r="G135" s="176" t="str">
        <f aca="false">ExportRaw!$I135</f>
        <v/>
      </c>
      <c r="H135" s="174" t="str">
        <f aca="false">ExportRaw!$A135</f>
        <v/>
      </c>
      <c r="I135" s="174" t="str">
        <f aca="false">ExportRaw!$B135</f>
        <v/>
      </c>
    </row>
    <row r="136" customFormat="false" ht="15.75" hidden="false" customHeight="false" outlineLevel="0" collapsed="false">
      <c r="A136" s="174" t="n">
        <f aca="false">ExportRaw!$F136</f>
        <v>0</v>
      </c>
      <c r="B136" s="174" t="n">
        <f aca="false">ExportRaw!$C136</f>
        <v>0</v>
      </c>
      <c r="C136" s="174" t="n">
        <f aca="false">ExportRaw!$G136</f>
        <v>0</v>
      </c>
      <c r="D136" s="174" t="str">
        <f aca="false">ExportRaw!$E136</f>
        <v/>
      </c>
      <c r="E136" s="175" t="str">
        <f aca="false">ExportRaw!$D136</f>
        <v/>
      </c>
      <c r="F136" s="174" t="str">
        <f aca="false">ExportRaw!$H136</f>
        <v/>
      </c>
      <c r="G136" s="176" t="str">
        <f aca="false">ExportRaw!$I136</f>
        <v/>
      </c>
      <c r="H136" s="174" t="str">
        <f aca="false">ExportRaw!$A136</f>
        <v/>
      </c>
      <c r="I136" s="174" t="str">
        <f aca="false">ExportRaw!$B136</f>
        <v/>
      </c>
    </row>
    <row r="137" customFormat="false" ht="15.75" hidden="false" customHeight="false" outlineLevel="0" collapsed="false">
      <c r="A137" s="174" t="n">
        <f aca="false">ExportRaw!$F137</f>
        <v>0</v>
      </c>
      <c r="B137" s="174" t="n">
        <f aca="false">ExportRaw!$C137</f>
        <v>0</v>
      </c>
      <c r="C137" s="174" t="n">
        <f aca="false">ExportRaw!$G137</f>
        <v>0</v>
      </c>
      <c r="D137" s="174" t="str">
        <f aca="false">ExportRaw!$E137</f>
        <v/>
      </c>
      <c r="E137" s="175" t="str">
        <f aca="false">ExportRaw!$D137</f>
        <v/>
      </c>
      <c r="F137" s="174" t="str">
        <f aca="false">ExportRaw!$H137</f>
        <v/>
      </c>
      <c r="G137" s="176" t="str">
        <f aca="false">ExportRaw!$I137</f>
        <v/>
      </c>
      <c r="H137" s="174" t="str">
        <f aca="false">ExportRaw!$A137</f>
        <v/>
      </c>
      <c r="I137" s="174" t="str">
        <f aca="false">ExportRaw!$B137</f>
        <v/>
      </c>
    </row>
    <row r="138" customFormat="false" ht="15.75" hidden="false" customHeight="false" outlineLevel="0" collapsed="false">
      <c r="A138" s="174" t="n">
        <f aca="false">ExportRaw!$F138</f>
        <v>0</v>
      </c>
      <c r="B138" s="174" t="n">
        <f aca="false">ExportRaw!$C138</f>
        <v>0</v>
      </c>
      <c r="C138" s="174" t="n">
        <f aca="false">ExportRaw!$G138</f>
        <v>0</v>
      </c>
      <c r="D138" s="174" t="str">
        <f aca="false">ExportRaw!$E138</f>
        <v/>
      </c>
      <c r="E138" s="175" t="str">
        <f aca="false">ExportRaw!$D138</f>
        <v/>
      </c>
      <c r="F138" s="174" t="str">
        <f aca="false">ExportRaw!$H138</f>
        <v/>
      </c>
      <c r="G138" s="176" t="str">
        <f aca="false">ExportRaw!$I138</f>
        <v/>
      </c>
      <c r="H138" s="174" t="str">
        <f aca="false">ExportRaw!$A138</f>
        <v/>
      </c>
      <c r="I138" s="174" t="str">
        <f aca="false">ExportRaw!$B138</f>
        <v/>
      </c>
    </row>
    <row r="139" customFormat="false" ht="15.75" hidden="false" customHeight="false" outlineLevel="0" collapsed="false">
      <c r="A139" s="174" t="n">
        <f aca="false">ExportRaw!$F139</f>
        <v>0</v>
      </c>
      <c r="B139" s="174" t="n">
        <f aca="false">ExportRaw!$C139</f>
        <v>0</v>
      </c>
      <c r="C139" s="174" t="n">
        <f aca="false">ExportRaw!$G139</f>
        <v>0</v>
      </c>
      <c r="D139" s="174" t="str">
        <f aca="false">ExportRaw!$E139</f>
        <v/>
      </c>
      <c r="E139" s="175" t="str">
        <f aca="false">ExportRaw!$D139</f>
        <v/>
      </c>
      <c r="F139" s="174" t="str">
        <f aca="false">ExportRaw!$H139</f>
        <v/>
      </c>
      <c r="G139" s="176" t="str">
        <f aca="false">ExportRaw!$I139</f>
        <v/>
      </c>
      <c r="H139" s="174" t="str">
        <f aca="false">ExportRaw!$A139</f>
        <v/>
      </c>
      <c r="I139" s="174" t="str">
        <f aca="false">ExportRaw!$B139</f>
        <v/>
      </c>
    </row>
    <row r="140" customFormat="false" ht="15.75" hidden="false" customHeight="false" outlineLevel="0" collapsed="false">
      <c r="A140" s="174" t="n">
        <f aca="false">ExportRaw!$F140</f>
        <v>0</v>
      </c>
      <c r="B140" s="174" t="n">
        <f aca="false">ExportRaw!$C140</f>
        <v>0</v>
      </c>
      <c r="C140" s="174" t="n">
        <f aca="false">ExportRaw!$G140</f>
        <v>0</v>
      </c>
      <c r="D140" s="174" t="str">
        <f aca="false">ExportRaw!$E140</f>
        <v/>
      </c>
      <c r="E140" s="175" t="str">
        <f aca="false">ExportRaw!$D140</f>
        <v/>
      </c>
      <c r="F140" s="174" t="str">
        <f aca="false">ExportRaw!$H140</f>
        <v/>
      </c>
      <c r="G140" s="176" t="str">
        <f aca="false">ExportRaw!$I140</f>
        <v/>
      </c>
      <c r="H140" s="174" t="str">
        <f aca="false">ExportRaw!$A140</f>
        <v/>
      </c>
      <c r="I140" s="174" t="str">
        <f aca="false">ExportRaw!$B140</f>
        <v/>
      </c>
    </row>
    <row r="141" customFormat="false" ht="15.75" hidden="false" customHeight="false" outlineLevel="0" collapsed="false">
      <c r="A141" s="174" t="n">
        <f aca="false">ExportRaw!$F141</f>
        <v>0</v>
      </c>
      <c r="B141" s="174" t="n">
        <f aca="false">ExportRaw!$C141</f>
        <v>0</v>
      </c>
      <c r="C141" s="174" t="n">
        <f aca="false">ExportRaw!$G141</f>
        <v>0</v>
      </c>
      <c r="D141" s="174" t="str">
        <f aca="false">ExportRaw!$E141</f>
        <v/>
      </c>
      <c r="E141" s="175" t="str">
        <f aca="false">ExportRaw!$D141</f>
        <v/>
      </c>
      <c r="F141" s="174" t="str">
        <f aca="false">ExportRaw!$H141</f>
        <v/>
      </c>
      <c r="G141" s="176" t="str">
        <f aca="false">ExportRaw!$I141</f>
        <v/>
      </c>
      <c r="H141" s="174" t="str">
        <f aca="false">ExportRaw!$A141</f>
        <v/>
      </c>
      <c r="I141" s="174" t="str">
        <f aca="false">ExportRaw!$B141</f>
        <v/>
      </c>
    </row>
    <row r="142" customFormat="false" ht="15.75" hidden="false" customHeight="false" outlineLevel="0" collapsed="false">
      <c r="A142" s="174" t="n">
        <f aca="false">ExportRaw!$F142</f>
        <v>0</v>
      </c>
      <c r="B142" s="174" t="n">
        <f aca="false">ExportRaw!$C142</f>
        <v>0</v>
      </c>
      <c r="C142" s="174" t="n">
        <f aca="false">ExportRaw!$G142</f>
        <v>0</v>
      </c>
      <c r="D142" s="174" t="str">
        <f aca="false">ExportRaw!$E142</f>
        <v/>
      </c>
      <c r="E142" s="175" t="str">
        <f aca="false">ExportRaw!$D142</f>
        <v/>
      </c>
      <c r="F142" s="174" t="str">
        <f aca="false">ExportRaw!$H142</f>
        <v/>
      </c>
      <c r="G142" s="176" t="str">
        <f aca="false">ExportRaw!$I142</f>
        <v/>
      </c>
      <c r="H142" s="174" t="str">
        <f aca="false">ExportRaw!$A142</f>
        <v/>
      </c>
      <c r="I142" s="174" t="str">
        <f aca="false">ExportRaw!$B142</f>
        <v/>
      </c>
    </row>
    <row r="143" customFormat="false" ht="15.75" hidden="false" customHeight="false" outlineLevel="0" collapsed="false">
      <c r="A143" s="174" t="n">
        <f aca="false">ExportRaw!$F143</f>
        <v>0</v>
      </c>
      <c r="B143" s="174" t="n">
        <f aca="false">ExportRaw!$C143</f>
        <v>0</v>
      </c>
      <c r="C143" s="174" t="n">
        <f aca="false">ExportRaw!$G143</f>
        <v>0</v>
      </c>
      <c r="D143" s="174" t="str">
        <f aca="false">ExportRaw!$E143</f>
        <v/>
      </c>
      <c r="E143" s="175" t="str">
        <f aca="false">ExportRaw!$D143</f>
        <v/>
      </c>
      <c r="F143" s="174" t="str">
        <f aca="false">ExportRaw!$H143</f>
        <v/>
      </c>
      <c r="G143" s="176" t="str">
        <f aca="false">ExportRaw!$I143</f>
        <v/>
      </c>
      <c r="H143" s="174" t="str">
        <f aca="false">ExportRaw!$A143</f>
        <v/>
      </c>
      <c r="I143" s="174" t="str">
        <f aca="false">ExportRaw!$B143</f>
        <v/>
      </c>
    </row>
    <row r="144" customFormat="false" ht="15.75" hidden="false" customHeight="false" outlineLevel="0" collapsed="false">
      <c r="A144" s="174" t="n">
        <f aca="false">ExportRaw!$F144</f>
        <v>0</v>
      </c>
      <c r="B144" s="174" t="n">
        <f aca="false">ExportRaw!$C144</f>
        <v>0</v>
      </c>
      <c r="C144" s="174" t="n">
        <f aca="false">ExportRaw!$G144</f>
        <v>0</v>
      </c>
      <c r="D144" s="174" t="str">
        <f aca="false">ExportRaw!$E144</f>
        <v/>
      </c>
      <c r="E144" s="175" t="str">
        <f aca="false">ExportRaw!$D144</f>
        <v/>
      </c>
      <c r="F144" s="174" t="str">
        <f aca="false">ExportRaw!$H144</f>
        <v/>
      </c>
      <c r="G144" s="176" t="str">
        <f aca="false">ExportRaw!$I144</f>
        <v/>
      </c>
      <c r="H144" s="174" t="str">
        <f aca="false">ExportRaw!$A144</f>
        <v/>
      </c>
      <c r="I144" s="174" t="str">
        <f aca="false">ExportRaw!$B144</f>
        <v/>
      </c>
    </row>
    <row r="145" customFormat="false" ht="15.75" hidden="false" customHeight="false" outlineLevel="0" collapsed="false">
      <c r="A145" s="174" t="n">
        <f aca="false">ExportRaw!$F145</f>
        <v>0</v>
      </c>
      <c r="B145" s="174" t="n">
        <f aca="false">ExportRaw!$C145</f>
        <v>0</v>
      </c>
      <c r="C145" s="174" t="n">
        <f aca="false">ExportRaw!$G145</f>
        <v>0</v>
      </c>
      <c r="D145" s="174" t="str">
        <f aca="false">ExportRaw!$E145</f>
        <v/>
      </c>
      <c r="E145" s="175" t="str">
        <f aca="false">ExportRaw!$D145</f>
        <v/>
      </c>
      <c r="F145" s="174" t="str">
        <f aca="false">ExportRaw!$H145</f>
        <v/>
      </c>
      <c r="G145" s="176" t="str">
        <f aca="false">ExportRaw!$I145</f>
        <v/>
      </c>
      <c r="H145" s="174" t="str">
        <f aca="false">ExportRaw!$A145</f>
        <v/>
      </c>
      <c r="I145" s="174" t="str">
        <f aca="false">ExportRaw!$B145</f>
        <v/>
      </c>
    </row>
    <row r="146" customFormat="false" ht="15.75" hidden="false" customHeight="false" outlineLevel="0" collapsed="false">
      <c r="A146" s="174" t="n">
        <f aca="false">ExportRaw!$F146</f>
        <v>0</v>
      </c>
      <c r="B146" s="174" t="n">
        <f aca="false">ExportRaw!$C146</f>
        <v>0</v>
      </c>
      <c r="C146" s="174" t="n">
        <f aca="false">ExportRaw!$G146</f>
        <v>0</v>
      </c>
      <c r="D146" s="174" t="str">
        <f aca="false">ExportRaw!$E146</f>
        <v/>
      </c>
      <c r="E146" s="175" t="str">
        <f aca="false">ExportRaw!$D146</f>
        <v/>
      </c>
      <c r="F146" s="174" t="str">
        <f aca="false">ExportRaw!$H146</f>
        <v/>
      </c>
      <c r="G146" s="176" t="str">
        <f aca="false">ExportRaw!$I146</f>
        <v/>
      </c>
      <c r="H146" s="174" t="str">
        <f aca="false">ExportRaw!$A146</f>
        <v/>
      </c>
      <c r="I146" s="174" t="str">
        <f aca="false">ExportRaw!$B146</f>
        <v/>
      </c>
    </row>
    <row r="147" customFormat="false" ht="15.75" hidden="false" customHeight="false" outlineLevel="0" collapsed="false">
      <c r="A147" s="174" t="n">
        <f aca="false">ExportRaw!$F147</f>
        <v>0</v>
      </c>
      <c r="B147" s="174" t="n">
        <f aca="false">ExportRaw!$C147</f>
        <v>0</v>
      </c>
      <c r="C147" s="174" t="n">
        <f aca="false">ExportRaw!$G147</f>
        <v>0</v>
      </c>
      <c r="D147" s="174" t="str">
        <f aca="false">ExportRaw!$E147</f>
        <v/>
      </c>
      <c r="E147" s="175" t="str">
        <f aca="false">ExportRaw!$D147</f>
        <v/>
      </c>
      <c r="F147" s="174" t="str">
        <f aca="false">ExportRaw!$H147</f>
        <v/>
      </c>
      <c r="G147" s="176" t="str">
        <f aca="false">ExportRaw!$I147</f>
        <v/>
      </c>
      <c r="H147" s="174" t="str">
        <f aca="false">ExportRaw!$A147</f>
        <v/>
      </c>
      <c r="I147" s="174" t="str">
        <f aca="false">ExportRaw!$B147</f>
        <v/>
      </c>
    </row>
    <row r="148" customFormat="false" ht="15.75" hidden="false" customHeight="false" outlineLevel="0" collapsed="false">
      <c r="A148" s="174" t="n">
        <f aca="false">ExportRaw!$F148</f>
        <v>0</v>
      </c>
      <c r="B148" s="174" t="n">
        <f aca="false">ExportRaw!$C148</f>
        <v>0</v>
      </c>
      <c r="C148" s="174" t="n">
        <f aca="false">ExportRaw!$G148</f>
        <v>0</v>
      </c>
      <c r="D148" s="174" t="str">
        <f aca="false">ExportRaw!$E148</f>
        <v/>
      </c>
      <c r="E148" s="175" t="str">
        <f aca="false">ExportRaw!$D148</f>
        <v/>
      </c>
      <c r="F148" s="174" t="str">
        <f aca="false">ExportRaw!$H148</f>
        <v/>
      </c>
      <c r="G148" s="176" t="str">
        <f aca="false">ExportRaw!$I148</f>
        <v/>
      </c>
      <c r="H148" s="174" t="str">
        <f aca="false">ExportRaw!$A148</f>
        <v/>
      </c>
      <c r="I148" s="174" t="str">
        <f aca="false">ExportRaw!$B148</f>
        <v/>
      </c>
    </row>
    <row r="149" customFormat="false" ht="15.75" hidden="false" customHeight="false" outlineLevel="0" collapsed="false">
      <c r="A149" s="174" t="n">
        <f aca="false">ExportRaw!$F149</f>
        <v>0</v>
      </c>
      <c r="B149" s="174" t="n">
        <f aca="false">ExportRaw!$C149</f>
        <v>0</v>
      </c>
      <c r="C149" s="174" t="n">
        <f aca="false">ExportRaw!$G149</f>
        <v>0</v>
      </c>
      <c r="D149" s="174" t="str">
        <f aca="false">ExportRaw!$E149</f>
        <v/>
      </c>
      <c r="E149" s="175" t="str">
        <f aca="false">ExportRaw!$D149</f>
        <v/>
      </c>
      <c r="F149" s="174" t="str">
        <f aca="false">ExportRaw!$H149</f>
        <v/>
      </c>
      <c r="G149" s="176" t="str">
        <f aca="false">ExportRaw!$I149</f>
        <v/>
      </c>
      <c r="H149" s="174" t="str">
        <f aca="false">ExportRaw!$A149</f>
        <v/>
      </c>
      <c r="I149" s="174" t="str">
        <f aca="false">ExportRaw!$B149</f>
        <v/>
      </c>
    </row>
    <row r="150" customFormat="false" ht="15.75" hidden="false" customHeight="false" outlineLevel="0" collapsed="false">
      <c r="A150" s="174" t="n">
        <f aca="false">ExportRaw!$F150</f>
        <v>0</v>
      </c>
      <c r="B150" s="174" t="n">
        <f aca="false">ExportRaw!$C150</f>
        <v>0</v>
      </c>
      <c r="C150" s="174" t="n">
        <f aca="false">ExportRaw!$G150</f>
        <v>0</v>
      </c>
      <c r="D150" s="174" t="str">
        <f aca="false">ExportRaw!$E150</f>
        <v/>
      </c>
      <c r="E150" s="175" t="str">
        <f aca="false">ExportRaw!$D150</f>
        <v/>
      </c>
      <c r="F150" s="174" t="str">
        <f aca="false">ExportRaw!$H150</f>
        <v/>
      </c>
      <c r="G150" s="176" t="str">
        <f aca="false">ExportRaw!$I150</f>
        <v/>
      </c>
      <c r="H150" s="174" t="str">
        <f aca="false">ExportRaw!$A150</f>
        <v/>
      </c>
      <c r="I150" s="174" t="str">
        <f aca="false">ExportRaw!$B150</f>
        <v/>
      </c>
    </row>
    <row r="151" customFormat="false" ht="15.75" hidden="false" customHeight="false" outlineLevel="0" collapsed="false">
      <c r="A151" s="174" t="n">
        <f aca="false">ExportRaw!$F151</f>
        <v>0</v>
      </c>
      <c r="B151" s="174" t="n">
        <f aca="false">ExportRaw!$C151</f>
        <v>0</v>
      </c>
      <c r="C151" s="174" t="n">
        <f aca="false">ExportRaw!$G151</f>
        <v>0</v>
      </c>
      <c r="D151" s="174" t="str">
        <f aca="false">ExportRaw!$E151</f>
        <v/>
      </c>
      <c r="E151" s="175" t="str">
        <f aca="false">ExportRaw!$D151</f>
        <v/>
      </c>
      <c r="F151" s="174" t="str">
        <f aca="false">ExportRaw!$H151</f>
        <v/>
      </c>
      <c r="G151" s="176" t="str">
        <f aca="false">ExportRaw!$I151</f>
        <v/>
      </c>
      <c r="H151" s="174" t="str">
        <f aca="false">ExportRaw!$A151</f>
        <v/>
      </c>
      <c r="I151" s="174" t="str">
        <f aca="false">ExportRaw!$B151</f>
        <v/>
      </c>
    </row>
    <row r="152" customFormat="false" ht="15.75" hidden="false" customHeight="false" outlineLevel="0" collapsed="false">
      <c r="A152" s="174" t="n">
        <f aca="false">ExportRaw!$F152</f>
        <v>0</v>
      </c>
      <c r="B152" s="174" t="n">
        <f aca="false">ExportRaw!$C152</f>
        <v>0</v>
      </c>
      <c r="C152" s="174" t="n">
        <f aca="false">ExportRaw!$G152</f>
        <v>0</v>
      </c>
      <c r="D152" s="174" t="str">
        <f aca="false">ExportRaw!$E152</f>
        <v/>
      </c>
      <c r="E152" s="175" t="str">
        <f aca="false">ExportRaw!$D152</f>
        <v/>
      </c>
      <c r="F152" s="174" t="str">
        <f aca="false">ExportRaw!$H152</f>
        <v/>
      </c>
      <c r="G152" s="176" t="str">
        <f aca="false">ExportRaw!$I152</f>
        <v/>
      </c>
      <c r="H152" s="174" t="str">
        <f aca="false">ExportRaw!$A152</f>
        <v/>
      </c>
      <c r="I152" s="174" t="str">
        <f aca="false">ExportRaw!$B152</f>
        <v/>
      </c>
    </row>
    <row r="153" customFormat="false" ht="15.75" hidden="false" customHeight="false" outlineLevel="0" collapsed="false">
      <c r="A153" s="174" t="n">
        <f aca="false">ExportRaw!$F153</f>
        <v>0</v>
      </c>
      <c r="B153" s="174" t="n">
        <f aca="false">ExportRaw!$C153</f>
        <v>0</v>
      </c>
      <c r="C153" s="174" t="n">
        <f aca="false">ExportRaw!$G153</f>
        <v>0</v>
      </c>
      <c r="D153" s="174" t="str">
        <f aca="false">ExportRaw!$E153</f>
        <v/>
      </c>
      <c r="E153" s="175" t="str">
        <f aca="false">ExportRaw!$D153</f>
        <v/>
      </c>
      <c r="F153" s="174" t="str">
        <f aca="false">ExportRaw!$H153</f>
        <v/>
      </c>
      <c r="G153" s="176" t="str">
        <f aca="false">ExportRaw!$I153</f>
        <v/>
      </c>
      <c r="H153" s="174" t="str">
        <f aca="false">ExportRaw!$A153</f>
        <v/>
      </c>
      <c r="I153" s="174" t="str">
        <f aca="false">ExportRaw!$B153</f>
        <v/>
      </c>
    </row>
    <row r="154" customFormat="false" ht="15.75" hidden="false" customHeight="false" outlineLevel="0" collapsed="false">
      <c r="A154" s="174" t="n">
        <f aca="false">ExportRaw!$F154</f>
        <v>0</v>
      </c>
      <c r="B154" s="174" t="n">
        <f aca="false">ExportRaw!$C154</f>
        <v>0</v>
      </c>
      <c r="C154" s="174" t="n">
        <f aca="false">ExportRaw!$G154</f>
        <v>0</v>
      </c>
      <c r="D154" s="174" t="str">
        <f aca="false">ExportRaw!$E154</f>
        <v/>
      </c>
      <c r="E154" s="175" t="str">
        <f aca="false">ExportRaw!$D154</f>
        <v/>
      </c>
      <c r="F154" s="174" t="str">
        <f aca="false">ExportRaw!$H154</f>
        <v/>
      </c>
      <c r="G154" s="176" t="str">
        <f aca="false">ExportRaw!$I154</f>
        <v/>
      </c>
      <c r="H154" s="174" t="str">
        <f aca="false">ExportRaw!$A154</f>
        <v/>
      </c>
      <c r="I154" s="174" t="str">
        <f aca="false">ExportRaw!$B154</f>
        <v/>
      </c>
    </row>
    <row r="155" customFormat="false" ht="15.75" hidden="false" customHeight="false" outlineLevel="0" collapsed="false">
      <c r="A155" s="174" t="n">
        <f aca="false">ExportRaw!$F155</f>
        <v>0</v>
      </c>
      <c r="B155" s="174" t="n">
        <f aca="false">ExportRaw!$C155</f>
        <v>0</v>
      </c>
      <c r="C155" s="174" t="n">
        <f aca="false">ExportRaw!$G155</f>
        <v>0</v>
      </c>
      <c r="D155" s="174" t="str">
        <f aca="false">ExportRaw!$E155</f>
        <v/>
      </c>
      <c r="E155" s="175" t="str">
        <f aca="false">ExportRaw!$D155</f>
        <v/>
      </c>
      <c r="F155" s="174" t="str">
        <f aca="false">ExportRaw!$H155</f>
        <v/>
      </c>
      <c r="G155" s="176" t="str">
        <f aca="false">ExportRaw!$I155</f>
        <v/>
      </c>
      <c r="H155" s="174" t="str">
        <f aca="false">ExportRaw!$A155</f>
        <v/>
      </c>
      <c r="I155" s="174" t="str">
        <f aca="false">ExportRaw!$B155</f>
        <v/>
      </c>
    </row>
    <row r="156" customFormat="false" ht="15.75" hidden="false" customHeight="false" outlineLevel="0" collapsed="false">
      <c r="A156" s="174" t="n">
        <f aca="false">ExportRaw!$F156</f>
        <v>0</v>
      </c>
      <c r="B156" s="174" t="n">
        <f aca="false">ExportRaw!$C156</f>
        <v>0</v>
      </c>
      <c r="C156" s="174" t="n">
        <f aca="false">ExportRaw!$G156</f>
        <v>0</v>
      </c>
      <c r="D156" s="174" t="str">
        <f aca="false">ExportRaw!$E156</f>
        <v/>
      </c>
      <c r="E156" s="175" t="str">
        <f aca="false">ExportRaw!$D156</f>
        <v/>
      </c>
      <c r="F156" s="174" t="str">
        <f aca="false">ExportRaw!$H156</f>
        <v/>
      </c>
      <c r="G156" s="176" t="str">
        <f aca="false">ExportRaw!$I156</f>
        <v/>
      </c>
      <c r="H156" s="174" t="str">
        <f aca="false">ExportRaw!$A156</f>
        <v/>
      </c>
      <c r="I156" s="174" t="str">
        <f aca="false">ExportRaw!$B156</f>
        <v/>
      </c>
    </row>
    <row r="157" customFormat="false" ht="15.75" hidden="false" customHeight="false" outlineLevel="0" collapsed="false">
      <c r="A157" s="174" t="n">
        <f aca="false">ExportRaw!$F157</f>
        <v>0</v>
      </c>
      <c r="B157" s="174" t="n">
        <f aca="false">ExportRaw!$C157</f>
        <v>0</v>
      </c>
      <c r="C157" s="174" t="n">
        <f aca="false">ExportRaw!$G157</f>
        <v>0</v>
      </c>
      <c r="D157" s="174" t="str">
        <f aca="false">ExportRaw!$E157</f>
        <v/>
      </c>
      <c r="E157" s="175" t="str">
        <f aca="false">ExportRaw!$D157</f>
        <v/>
      </c>
      <c r="F157" s="174" t="str">
        <f aca="false">ExportRaw!$H157</f>
        <v/>
      </c>
      <c r="G157" s="176" t="str">
        <f aca="false">ExportRaw!$I157</f>
        <v/>
      </c>
      <c r="H157" s="174" t="str">
        <f aca="false">ExportRaw!$A157</f>
        <v/>
      </c>
      <c r="I157" s="174" t="str">
        <f aca="false">ExportRaw!$B157</f>
        <v/>
      </c>
    </row>
    <row r="158" customFormat="false" ht="15.75" hidden="false" customHeight="false" outlineLevel="0" collapsed="false">
      <c r="A158" s="174" t="n">
        <f aca="false">ExportRaw!$F158</f>
        <v>0</v>
      </c>
      <c r="B158" s="174" t="n">
        <f aca="false">ExportRaw!$C158</f>
        <v>0</v>
      </c>
      <c r="C158" s="174" t="n">
        <f aca="false">ExportRaw!$G158</f>
        <v>0</v>
      </c>
      <c r="D158" s="174" t="str">
        <f aca="false">ExportRaw!$E158</f>
        <v/>
      </c>
      <c r="E158" s="175" t="str">
        <f aca="false">ExportRaw!$D158</f>
        <v/>
      </c>
      <c r="F158" s="174" t="str">
        <f aca="false">ExportRaw!$H158</f>
        <v/>
      </c>
      <c r="G158" s="176" t="str">
        <f aca="false">ExportRaw!$I158</f>
        <v/>
      </c>
      <c r="H158" s="174" t="str">
        <f aca="false">ExportRaw!$A158</f>
        <v/>
      </c>
      <c r="I158" s="174" t="str">
        <f aca="false">ExportRaw!$B158</f>
        <v/>
      </c>
    </row>
    <row r="159" customFormat="false" ht="15.75" hidden="false" customHeight="false" outlineLevel="0" collapsed="false">
      <c r="A159" s="174" t="n">
        <f aca="false">ExportRaw!$F159</f>
        <v>0</v>
      </c>
      <c r="B159" s="174" t="n">
        <f aca="false">ExportRaw!$C159</f>
        <v>0</v>
      </c>
      <c r="C159" s="174" t="n">
        <f aca="false">ExportRaw!$G159</f>
        <v>0</v>
      </c>
      <c r="D159" s="174" t="str">
        <f aca="false">ExportRaw!$E159</f>
        <v/>
      </c>
      <c r="E159" s="175" t="str">
        <f aca="false">ExportRaw!$D159</f>
        <v/>
      </c>
      <c r="F159" s="174" t="str">
        <f aca="false">ExportRaw!$H159</f>
        <v/>
      </c>
      <c r="G159" s="176" t="str">
        <f aca="false">ExportRaw!$I159</f>
        <v/>
      </c>
      <c r="H159" s="174" t="str">
        <f aca="false">ExportRaw!$A159</f>
        <v/>
      </c>
      <c r="I159" s="174" t="str">
        <f aca="false">ExportRaw!$B159</f>
        <v/>
      </c>
    </row>
    <row r="160" customFormat="false" ht="15.75" hidden="false" customHeight="false" outlineLevel="0" collapsed="false">
      <c r="A160" s="174" t="n">
        <f aca="false">ExportRaw!$F160</f>
        <v>0</v>
      </c>
      <c r="B160" s="174" t="n">
        <f aca="false">ExportRaw!$C160</f>
        <v>0</v>
      </c>
      <c r="C160" s="174" t="n">
        <f aca="false">ExportRaw!$G160</f>
        <v>0</v>
      </c>
      <c r="D160" s="174" t="str">
        <f aca="false">ExportRaw!$E160</f>
        <v/>
      </c>
      <c r="E160" s="175" t="str">
        <f aca="false">ExportRaw!$D160</f>
        <v/>
      </c>
      <c r="F160" s="174" t="str">
        <f aca="false">ExportRaw!$H160</f>
        <v/>
      </c>
      <c r="G160" s="176" t="str">
        <f aca="false">ExportRaw!$I160</f>
        <v/>
      </c>
      <c r="H160" s="174" t="str">
        <f aca="false">ExportRaw!$A160</f>
        <v/>
      </c>
      <c r="I160" s="174" t="str">
        <f aca="false">ExportRaw!$B160</f>
        <v/>
      </c>
    </row>
    <row r="161" customFormat="false" ht="15.75" hidden="false" customHeight="false" outlineLevel="0" collapsed="false">
      <c r="A161" s="174" t="n">
        <f aca="false">ExportRaw!$F161</f>
        <v>0</v>
      </c>
      <c r="B161" s="174" t="n">
        <f aca="false">ExportRaw!$C161</f>
        <v>0</v>
      </c>
      <c r="C161" s="174" t="n">
        <f aca="false">ExportRaw!$G161</f>
        <v>0</v>
      </c>
      <c r="D161" s="174" t="str">
        <f aca="false">ExportRaw!$E161</f>
        <v/>
      </c>
      <c r="E161" s="175" t="str">
        <f aca="false">ExportRaw!$D161</f>
        <v/>
      </c>
      <c r="F161" s="174" t="str">
        <f aca="false">ExportRaw!$H161</f>
        <v/>
      </c>
      <c r="G161" s="176" t="str">
        <f aca="false">ExportRaw!$I161</f>
        <v/>
      </c>
      <c r="H161" s="174" t="str">
        <f aca="false">ExportRaw!$A161</f>
        <v/>
      </c>
      <c r="I161" s="174" t="str">
        <f aca="false">ExportRaw!$B161</f>
        <v/>
      </c>
    </row>
    <row r="162" customFormat="false" ht="15.75" hidden="false" customHeight="false" outlineLevel="0" collapsed="false">
      <c r="A162" s="174" t="n">
        <f aca="false">ExportRaw!$F162</f>
        <v>0</v>
      </c>
      <c r="B162" s="174" t="n">
        <f aca="false">ExportRaw!$C162</f>
        <v>0</v>
      </c>
      <c r="C162" s="174" t="n">
        <f aca="false">ExportRaw!$G162</f>
        <v>0</v>
      </c>
      <c r="D162" s="174" t="str">
        <f aca="false">ExportRaw!$E162</f>
        <v/>
      </c>
      <c r="E162" s="175" t="str">
        <f aca="false">ExportRaw!$D162</f>
        <v/>
      </c>
      <c r="F162" s="174" t="str">
        <f aca="false">ExportRaw!$H162</f>
        <v/>
      </c>
      <c r="G162" s="176" t="str">
        <f aca="false">ExportRaw!$I162</f>
        <v/>
      </c>
      <c r="H162" s="174" t="str">
        <f aca="false">ExportRaw!$A162</f>
        <v/>
      </c>
      <c r="I162" s="174" t="str">
        <f aca="false">ExportRaw!$B162</f>
        <v/>
      </c>
    </row>
    <row r="163" customFormat="false" ht="15.75" hidden="false" customHeight="false" outlineLevel="0" collapsed="false">
      <c r="A163" s="174" t="n">
        <f aca="false">ExportRaw!$F163</f>
        <v>0</v>
      </c>
      <c r="B163" s="174" t="n">
        <f aca="false">ExportRaw!$C163</f>
        <v>0</v>
      </c>
      <c r="C163" s="174" t="n">
        <f aca="false">ExportRaw!$G163</f>
        <v>0</v>
      </c>
      <c r="D163" s="174" t="str">
        <f aca="false">ExportRaw!$E163</f>
        <v/>
      </c>
      <c r="E163" s="175" t="str">
        <f aca="false">ExportRaw!$D163</f>
        <v/>
      </c>
      <c r="F163" s="174" t="str">
        <f aca="false">ExportRaw!$H163</f>
        <v/>
      </c>
      <c r="G163" s="176" t="str">
        <f aca="false">ExportRaw!$I163</f>
        <v/>
      </c>
      <c r="H163" s="174" t="str">
        <f aca="false">ExportRaw!$A163</f>
        <v/>
      </c>
      <c r="I163" s="174" t="str">
        <f aca="false">ExportRaw!$B163</f>
        <v/>
      </c>
    </row>
    <row r="164" customFormat="false" ht="15.75" hidden="false" customHeight="false" outlineLevel="0" collapsed="false">
      <c r="A164" s="174" t="n">
        <f aca="false">ExportRaw!$F164</f>
        <v>0</v>
      </c>
      <c r="B164" s="174" t="n">
        <f aca="false">ExportRaw!$C164</f>
        <v>0</v>
      </c>
      <c r="C164" s="174" t="n">
        <f aca="false">ExportRaw!$G164</f>
        <v>0</v>
      </c>
      <c r="D164" s="174" t="str">
        <f aca="false">ExportRaw!$E164</f>
        <v/>
      </c>
      <c r="E164" s="175" t="str">
        <f aca="false">ExportRaw!$D164</f>
        <v/>
      </c>
      <c r="F164" s="174" t="str">
        <f aca="false">ExportRaw!$H164</f>
        <v/>
      </c>
      <c r="G164" s="176" t="str">
        <f aca="false">ExportRaw!$I164</f>
        <v/>
      </c>
      <c r="H164" s="174" t="str">
        <f aca="false">ExportRaw!$A164</f>
        <v/>
      </c>
      <c r="I164" s="174" t="str">
        <f aca="false">ExportRaw!$B164</f>
        <v/>
      </c>
    </row>
    <row r="165" customFormat="false" ht="15.75" hidden="false" customHeight="false" outlineLevel="0" collapsed="false">
      <c r="A165" s="174" t="n">
        <f aca="false">ExportRaw!$F165</f>
        <v>0</v>
      </c>
      <c r="B165" s="174" t="n">
        <f aca="false">ExportRaw!$C165</f>
        <v>0</v>
      </c>
      <c r="C165" s="174" t="n">
        <f aca="false">ExportRaw!$G165</f>
        <v>0</v>
      </c>
      <c r="D165" s="174" t="str">
        <f aca="false">ExportRaw!$E165</f>
        <v/>
      </c>
      <c r="E165" s="175" t="str">
        <f aca="false">ExportRaw!$D165</f>
        <v/>
      </c>
      <c r="F165" s="174" t="str">
        <f aca="false">ExportRaw!$H165</f>
        <v/>
      </c>
      <c r="G165" s="176" t="str">
        <f aca="false">ExportRaw!$I165</f>
        <v/>
      </c>
      <c r="H165" s="174" t="str">
        <f aca="false">ExportRaw!$A165</f>
        <v/>
      </c>
      <c r="I165" s="174" t="str">
        <f aca="false">ExportRaw!$B165</f>
        <v/>
      </c>
    </row>
    <row r="166" customFormat="false" ht="15.75" hidden="false" customHeight="false" outlineLevel="0" collapsed="false">
      <c r="A166" s="174" t="n">
        <f aca="false">ExportRaw!$F166</f>
        <v>0</v>
      </c>
      <c r="B166" s="174" t="n">
        <f aca="false">ExportRaw!$C166</f>
        <v>0</v>
      </c>
      <c r="C166" s="174" t="n">
        <f aca="false">ExportRaw!$G166</f>
        <v>0</v>
      </c>
      <c r="D166" s="174" t="str">
        <f aca="false">ExportRaw!$E166</f>
        <v/>
      </c>
      <c r="E166" s="175" t="str">
        <f aca="false">ExportRaw!$D166</f>
        <v/>
      </c>
      <c r="F166" s="174" t="str">
        <f aca="false">ExportRaw!$H166</f>
        <v/>
      </c>
      <c r="G166" s="176" t="str">
        <f aca="false">ExportRaw!$I166</f>
        <v/>
      </c>
      <c r="H166" s="174" t="str">
        <f aca="false">ExportRaw!$A166</f>
        <v/>
      </c>
      <c r="I166" s="174" t="str">
        <f aca="false">ExportRaw!$B166</f>
        <v/>
      </c>
    </row>
    <row r="167" customFormat="false" ht="15.75" hidden="false" customHeight="false" outlineLevel="0" collapsed="false">
      <c r="A167" s="174" t="n">
        <f aca="false">ExportRaw!$F167</f>
        <v>0</v>
      </c>
      <c r="B167" s="174" t="n">
        <f aca="false">ExportRaw!$C167</f>
        <v>0</v>
      </c>
      <c r="C167" s="174" t="n">
        <f aca="false">ExportRaw!$G167</f>
        <v>0</v>
      </c>
      <c r="D167" s="174" t="str">
        <f aca="false">ExportRaw!$E167</f>
        <v/>
      </c>
      <c r="E167" s="175" t="str">
        <f aca="false">ExportRaw!$D167</f>
        <v/>
      </c>
      <c r="F167" s="174" t="str">
        <f aca="false">ExportRaw!$H167</f>
        <v/>
      </c>
      <c r="G167" s="176" t="str">
        <f aca="false">ExportRaw!$I167</f>
        <v/>
      </c>
      <c r="H167" s="174" t="str">
        <f aca="false">ExportRaw!$A167</f>
        <v/>
      </c>
      <c r="I167" s="174" t="str">
        <f aca="false">ExportRaw!$B167</f>
        <v/>
      </c>
    </row>
    <row r="168" customFormat="false" ht="15.75" hidden="false" customHeight="false" outlineLevel="0" collapsed="false">
      <c r="A168" s="174" t="n">
        <f aca="false">ExportRaw!$F168</f>
        <v>0</v>
      </c>
      <c r="B168" s="174" t="n">
        <f aca="false">ExportRaw!$C168</f>
        <v>0</v>
      </c>
      <c r="C168" s="174" t="n">
        <f aca="false">ExportRaw!$G168</f>
        <v>0</v>
      </c>
      <c r="D168" s="174" t="str">
        <f aca="false">ExportRaw!$E168</f>
        <v/>
      </c>
      <c r="E168" s="175" t="str">
        <f aca="false">ExportRaw!$D168</f>
        <v/>
      </c>
      <c r="F168" s="174" t="str">
        <f aca="false">ExportRaw!$H168</f>
        <v/>
      </c>
      <c r="G168" s="176" t="str">
        <f aca="false">ExportRaw!$I168</f>
        <v/>
      </c>
      <c r="H168" s="174" t="str">
        <f aca="false">ExportRaw!$A168</f>
        <v/>
      </c>
      <c r="I168" s="174" t="str">
        <f aca="false">ExportRaw!$B168</f>
        <v/>
      </c>
    </row>
    <row r="169" customFormat="false" ht="15.75" hidden="false" customHeight="false" outlineLevel="0" collapsed="false">
      <c r="A169" s="174" t="n">
        <f aca="false">ExportRaw!$F169</f>
        <v>0</v>
      </c>
      <c r="B169" s="174" t="n">
        <f aca="false">ExportRaw!$C169</f>
        <v>0</v>
      </c>
      <c r="C169" s="174" t="n">
        <f aca="false">ExportRaw!$G169</f>
        <v>0</v>
      </c>
      <c r="D169" s="174" t="str">
        <f aca="false">ExportRaw!$E169</f>
        <v/>
      </c>
      <c r="E169" s="175" t="str">
        <f aca="false">ExportRaw!$D169</f>
        <v/>
      </c>
      <c r="F169" s="174" t="str">
        <f aca="false">ExportRaw!$H169</f>
        <v/>
      </c>
      <c r="G169" s="176" t="str">
        <f aca="false">ExportRaw!$I169</f>
        <v/>
      </c>
      <c r="H169" s="174" t="str">
        <f aca="false">ExportRaw!$A169</f>
        <v/>
      </c>
      <c r="I169" s="174" t="str">
        <f aca="false">ExportRaw!$B169</f>
        <v/>
      </c>
    </row>
    <row r="170" customFormat="false" ht="15.75" hidden="false" customHeight="false" outlineLevel="0" collapsed="false">
      <c r="A170" s="174" t="n">
        <f aca="false">ExportRaw!$F170</f>
        <v>0</v>
      </c>
      <c r="B170" s="174" t="n">
        <f aca="false">ExportRaw!$C170</f>
        <v>0</v>
      </c>
      <c r="C170" s="174" t="n">
        <f aca="false">ExportRaw!$G170</f>
        <v>0</v>
      </c>
      <c r="D170" s="174" t="str">
        <f aca="false">ExportRaw!$E170</f>
        <v/>
      </c>
      <c r="E170" s="175" t="str">
        <f aca="false">ExportRaw!$D170</f>
        <v/>
      </c>
      <c r="F170" s="174" t="str">
        <f aca="false">ExportRaw!$H170</f>
        <v/>
      </c>
      <c r="G170" s="176" t="str">
        <f aca="false">ExportRaw!$I170</f>
        <v/>
      </c>
      <c r="H170" s="174" t="str">
        <f aca="false">ExportRaw!$A170</f>
        <v/>
      </c>
      <c r="I170" s="174" t="str">
        <f aca="false">ExportRaw!$B170</f>
        <v/>
      </c>
    </row>
    <row r="171" customFormat="false" ht="15.75" hidden="false" customHeight="false" outlineLevel="0" collapsed="false">
      <c r="A171" s="174" t="n">
        <f aca="false">ExportRaw!$F171</f>
        <v>0</v>
      </c>
      <c r="B171" s="174" t="n">
        <f aca="false">ExportRaw!$C171</f>
        <v>0</v>
      </c>
      <c r="C171" s="174" t="n">
        <f aca="false">ExportRaw!$G171</f>
        <v>0</v>
      </c>
      <c r="D171" s="174" t="str">
        <f aca="false">ExportRaw!$E171</f>
        <v/>
      </c>
      <c r="E171" s="175" t="str">
        <f aca="false">ExportRaw!$D171</f>
        <v/>
      </c>
      <c r="F171" s="174" t="str">
        <f aca="false">ExportRaw!$H171</f>
        <v/>
      </c>
      <c r="G171" s="176" t="str">
        <f aca="false">ExportRaw!$I171</f>
        <v/>
      </c>
      <c r="H171" s="174" t="str">
        <f aca="false">ExportRaw!$A171</f>
        <v/>
      </c>
      <c r="I171" s="174" t="str">
        <f aca="false">ExportRaw!$B171</f>
        <v/>
      </c>
    </row>
    <row r="172" customFormat="false" ht="15.75" hidden="false" customHeight="false" outlineLevel="0" collapsed="false">
      <c r="A172" s="174" t="n">
        <f aca="false">ExportRaw!$F172</f>
        <v>0</v>
      </c>
      <c r="B172" s="174" t="n">
        <f aca="false">ExportRaw!$C172</f>
        <v>0</v>
      </c>
      <c r="C172" s="174" t="n">
        <f aca="false">ExportRaw!$G172</f>
        <v>0</v>
      </c>
      <c r="D172" s="174" t="str">
        <f aca="false">ExportRaw!$E172</f>
        <v/>
      </c>
      <c r="E172" s="175" t="str">
        <f aca="false">ExportRaw!$D172</f>
        <v/>
      </c>
      <c r="F172" s="174" t="str">
        <f aca="false">ExportRaw!$H172</f>
        <v/>
      </c>
      <c r="G172" s="176" t="str">
        <f aca="false">ExportRaw!$I172</f>
        <v/>
      </c>
      <c r="H172" s="174" t="str">
        <f aca="false">ExportRaw!$A172</f>
        <v/>
      </c>
      <c r="I172" s="174" t="str">
        <f aca="false">ExportRaw!$B172</f>
        <v/>
      </c>
    </row>
    <row r="173" customFormat="false" ht="15.75" hidden="false" customHeight="false" outlineLevel="0" collapsed="false">
      <c r="A173" s="174" t="n">
        <f aca="false">ExportRaw!$F173</f>
        <v>0</v>
      </c>
      <c r="B173" s="174" t="n">
        <f aca="false">ExportRaw!$C173</f>
        <v>0</v>
      </c>
      <c r="C173" s="174" t="n">
        <f aca="false">ExportRaw!$G173</f>
        <v>0</v>
      </c>
      <c r="D173" s="174" t="str">
        <f aca="false">ExportRaw!$E173</f>
        <v/>
      </c>
      <c r="E173" s="175" t="str">
        <f aca="false">ExportRaw!$D173</f>
        <v/>
      </c>
      <c r="F173" s="174" t="str">
        <f aca="false">ExportRaw!$H173</f>
        <v/>
      </c>
      <c r="G173" s="176" t="str">
        <f aca="false">ExportRaw!$I173</f>
        <v/>
      </c>
      <c r="H173" s="174" t="str">
        <f aca="false">ExportRaw!$A173</f>
        <v/>
      </c>
      <c r="I173" s="174" t="str">
        <f aca="false">ExportRaw!$B173</f>
        <v/>
      </c>
    </row>
    <row r="174" customFormat="false" ht="15.75" hidden="false" customHeight="false" outlineLevel="0" collapsed="false">
      <c r="A174" s="174" t="n">
        <f aca="false">ExportRaw!$F174</f>
        <v>0</v>
      </c>
      <c r="B174" s="174" t="n">
        <f aca="false">ExportRaw!$C174</f>
        <v>0</v>
      </c>
      <c r="C174" s="174" t="n">
        <f aca="false">ExportRaw!$G174</f>
        <v>0</v>
      </c>
      <c r="D174" s="174" t="str">
        <f aca="false">ExportRaw!$E174</f>
        <v/>
      </c>
      <c r="E174" s="175" t="str">
        <f aca="false">ExportRaw!$D174</f>
        <v/>
      </c>
      <c r="F174" s="174" t="str">
        <f aca="false">ExportRaw!$H174</f>
        <v/>
      </c>
      <c r="G174" s="176" t="str">
        <f aca="false">ExportRaw!$I174</f>
        <v/>
      </c>
      <c r="H174" s="174" t="str">
        <f aca="false">ExportRaw!$A174</f>
        <v/>
      </c>
      <c r="I174" s="174" t="str">
        <f aca="false">ExportRaw!$B174</f>
        <v/>
      </c>
    </row>
    <row r="175" customFormat="false" ht="15.75" hidden="false" customHeight="false" outlineLevel="0" collapsed="false">
      <c r="A175" s="174" t="n">
        <f aca="false">ExportRaw!$F175</f>
        <v>0</v>
      </c>
      <c r="B175" s="174" t="n">
        <f aca="false">ExportRaw!$C175</f>
        <v>0</v>
      </c>
      <c r="C175" s="174" t="n">
        <f aca="false">ExportRaw!$G175</f>
        <v>0</v>
      </c>
      <c r="D175" s="174" t="str">
        <f aca="false">ExportRaw!$E175</f>
        <v/>
      </c>
      <c r="E175" s="175" t="str">
        <f aca="false">ExportRaw!$D175</f>
        <v/>
      </c>
      <c r="F175" s="174" t="str">
        <f aca="false">ExportRaw!$H175</f>
        <v/>
      </c>
      <c r="G175" s="176" t="str">
        <f aca="false">ExportRaw!$I175</f>
        <v/>
      </c>
      <c r="H175" s="174" t="str">
        <f aca="false">ExportRaw!$A175</f>
        <v/>
      </c>
      <c r="I175" s="174" t="str">
        <f aca="false">ExportRaw!$B175</f>
        <v/>
      </c>
    </row>
    <row r="176" customFormat="false" ht="15.75" hidden="false" customHeight="false" outlineLevel="0" collapsed="false">
      <c r="A176" s="174" t="n">
        <f aca="false">ExportRaw!$F176</f>
        <v>0</v>
      </c>
      <c r="B176" s="174" t="n">
        <f aca="false">ExportRaw!$C176</f>
        <v>0</v>
      </c>
      <c r="C176" s="174" t="n">
        <f aca="false">ExportRaw!$G176</f>
        <v>0</v>
      </c>
      <c r="D176" s="174" t="str">
        <f aca="false">ExportRaw!$E176</f>
        <v/>
      </c>
      <c r="E176" s="175" t="str">
        <f aca="false">ExportRaw!$D176</f>
        <v/>
      </c>
      <c r="F176" s="174" t="str">
        <f aca="false">ExportRaw!$H176</f>
        <v/>
      </c>
      <c r="G176" s="176" t="str">
        <f aca="false">ExportRaw!$I176</f>
        <v/>
      </c>
      <c r="H176" s="174" t="str">
        <f aca="false">ExportRaw!$A176</f>
        <v/>
      </c>
      <c r="I176" s="174" t="str">
        <f aca="false">ExportRaw!$B176</f>
        <v/>
      </c>
    </row>
    <row r="177" customFormat="false" ht="15.75" hidden="false" customHeight="false" outlineLevel="0" collapsed="false">
      <c r="A177" s="174" t="n">
        <f aca="false">ExportRaw!$F177</f>
        <v>0</v>
      </c>
      <c r="B177" s="174" t="n">
        <f aca="false">ExportRaw!$C177</f>
        <v>0</v>
      </c>
      <c r="C177" s="174" t="n">
        <f aca="false">ExportRaw!$G177</f>
        <v>0</v>
      </c>
      <c r="D177" s="174" t="str">
        <f aca="false">ExportRaw!$E177</f>
        <v/>
      </c>
      <c r="E177" s="175" t="str">
        <f aca="false">ExportRaw!$D177</f>
        <v/>
      </c>
      <c r="F177" s="174" t="str">
        <f aca="false">ExportRaw!$H177</f>
        <v/>
      </c>
      <c r="G177" s="176" t="str">
        <f aca="false">ExportRaw!$I177</f>
        <v/>
      </c>
      <c r="H177" s="174" t="str">
        <f aca="false">ExportRaw!$A177</f>
        <v/>
      </c>
      <c r="I177" s="174" t="str">
        <f aca="false">ExportRaw!$B177</f>
        <v/>
      </c>
    </row>
    <row r="178" customFormat="false" ht="15.75" hidden="false" customHeight="false" outlineLevel="0" collapsed="false">
      <c r="A178" s="174" t="n">
        <f aca="false">ExportRaw!$F178</f>
        <v>0</v>
      </c>
      <c r="B178" s="174" t="n">
        <f aca="false">ExportRaw!$C178</f>
        <v>0</v>
      </c>
      <c r="C178" s="174" t="n">
        <f aca="false">ExportRaw!$G178</f>
        <v>0</v>
      </c>
      <c r="D178" s="174" t="str">
        <f aca="false">ExportRaw!$E178</f>
        <v/>
      </c>
      <c r="E178" s="175" t="str">
        <f aca="false">ExportRaw!$D178</f>
        <v/>
      </c>
      <c r="F178" s="174" t="str">
        <f aca="false">ExportRaw!$H178</f>
        <v/>
      </c>
      <c r="G178" s="176" t="str">
        <f aca="false">ExportRaw!$I178</f>
        <v/>
      </c>
      <c r="H178" s="174" t="str">
        <f aca="false">ExportRaw!$A178</f>
        <v/>
      </c>
      <c r="I178" s="174" t="str">
        <f aca="false">ExportRaw!$B178</f>
        <v/>
      </c>
    </row>
    <row r="179" customFormat="false" ht="15.75" hidden="false" customHeight="false" outlineLevel="0" collapsed="false">
      <c r="A179" s="174" t="n">
        <f aca="false">ExportRaw!$F179</f>
        <v>0</v>
      </c>
      <c r="B179" s="174" t="n">
        <f aca="false">ExportRaw!$C179</f>
        <v>0</v>
      </c>
      <c r="C179" s="174" t="n">
        <f aca="false">ExportRaw!$G179</f>
        <v>0</v>
      </c>
      <c r="D179" s="174" t="str">
        <f aca="false">ExportRaw!$E179</f>
        <v/>
      </c>
      <c r="E179" s="175" t="str">
        <f aca="false">ExportRaw!$D179</f>
        <v/>
      </c>
      <c r="F179" s="174" t="str">
        <f aca="false">ExportRaw!$H179</f>
        <v/>
      </c>
      <c r="G179" s="176" t="str">
        <f aca="false">ExportRaw!$I179</f>
        <v/>
      </c>
      <c r="H179" s="174" t="str">
        <f aca="false">ExportRaw!$A179</f>
        <v/>
      </c>
      <c r="I179" s="174" t="str">
        <f aca="false">ExportRaw!$B179</f>
        <v/>
      </c>
    </row>
    <row r="180" customFormat="false" ht="15.75" hidden="false" customHeight="false" outlineLevel="0" collapsed="false">
      <c r="A180" s="174" t="n">
        <f aca="false">ExportRaw!$F180</f>
        <v>0</v>
      </c>
      <c r="B180" s="174" t="n">
        <f aca="false">ExportRaw!$C180</f>
        <v>0</v>
      </c>
      <c r="C180" s="174" t="n">
        <f aca="false">ExportRaw!$G180</f>
        <v>0</v>
      </c>
      <c r="D180" s="174" t="str">
        <f aca="false">ExportRaw!$E180</f>
        <v/>
      </c>
      <c r="E180" s="175" t="str">
        <f aca="false">ExportRaw!$D180</f>
        <v/>
      </c>
      <c r="F180" s="174" t="str">
        <f aca="false">ExportRaw!$H180</f>
        <v/>
      </c>
      <c r="G180" s="176" t="str">
        <f aca="false">ExportRaw!$I180</f>
        <v/>
      </c>
      <c r="H180" s="174" t="str">
        <f aca="false">ExportRaw!$A180</f>
        <v/>
      </c>
      <c r="I180" s="174" t="str">
        <f aca="false">ExportRaw!$B180</f>
        <v/>
      </c>
    </row>
    <row r="181" customFormat="false" ht="15.75" hidden="false" customHeight="false" outlineLevel="0" collapsed="false">
      <c r="A181" s="174" t="n">
        <f aca="false">ExportRaw!$F181</f>
        <v>0</v>
      </c>
      <c r="B181" s="174" t="n">
        <f aca="false">ExportRaw!$C181</f>
        <v>0</v>
      </c>
      <c r="C181" s="174" t="n">
        <f aca="false">ExportRaw!$G181</f>
        <v>0</v>
      </c>
      <c r="D181" s="174" t="str">
        <f aca="false">ExportRaw!$E181</f>
        <v/>
      </c>
      <c r="E181" s="175" t="str">
        <f aca="false">ExportRaw!$D181</f>
        <v/>
      </c>
      <c r="F181" s="174" t="str">
        <f aca="false">ExportRaw!$H181</f>
        <v/>
      </c>
      <c r="G181" s="176" t="str">
        <f aca="false">ExportRaw!$I181</f>
        <v/>
      </c>
      <c r="H181" s="174" t="str">
        <f aca="false">ExportRaw!$A181</f>
        <v/>
      </c>
      <c r="I181" s="174" t="str">
        <f aca="false">ExportRaw!$B181</f>
        <v/>
      </c>
    </row>
    <row r="182" customFormat="false" ht="15.75" hidden="false" customHeight="false" outlineLevel="0" collapsed="false">
      <c r="A182" s="174" t="n">
        <f aca="false">ExportRaw!$F182</f>
        <v>0</v>
      </c>
      <c r="B182" s="174" t="n">
        <f aca="false">ExportRaw!$C182</f>
        <v>0</v>
      </c>
      <c r="C182" s="174" t="n">
        <f aca="false">ExportRaw!$G182</f>
        <v>0</v>
      </c>
      <c r="D182" s="174" t="str">
        <f aca="false">ExportRaw!$E182</f>
        <v/>
      </c>
      <c r="E182" s="175" t="str">
        <f aca="false">ExportRaw!$D182</f>
        <v/>
      </c>
      <c r="F182" s="174" t="str">
        <f aca="false">ExportRaw!$H182</f>
        <v/>
      </c>
      <c r="G182" s="176" t="str">
        <f aca="false">ExportRaw!$I182</f>
        <v/>
      </c>
      <c r="H182" s="174" t="str">
        <f aca="false">ExportRaw!$A182</f>
        <v/>
      </c>
      <c r="I182" s="174" t="str">
        <f aca="false">ExportRaw!$B182</f>
        <v/>
      </c>
    </row>
    <row r="183" customFormat="false" ht="15.75" hidden="false" customHeight="false" outlineLevel="0" collapsed="false">
      <c r="A183" s="174" t="n">
        <f aca="false">ExportRaw!$F183</f>
        <v>0</v>
      </c>
      <c r="B183" s="174" t="n">
        <f aca="false">ExportRaw!$C183</f>
        <v>0</v>
      </c>
      <c r="C183" s="174" t="n">
        <f aca="false">ExportRaw!$G183</f>
        <v>0</v>
      </c>
      <c r="D183" s="174" t="str">
        <f aca="false">ExportRaw!$E183</f>
        <v/>
      </c>
      <c r="E183" s="175" t="str">
        <f aca="false">ExportRaw!$D183</f>
        <v/>
      </c>
      <c r="F183" s="174" t="str">
        <f aca="false">ExportRaw!$H183</f>
        <v/>
      </c>
      <c r="G183" s="176" t="str">
        <f aca="false">ExportRaw!$I183</f>
        <v/>
      </c>
      <c r="H183" s="174" t="str">
        <f aca="false">ExportRaw!$A183</f>
        <v/>
      </c>
      <c r="I183" s="174" t="str">
        <f aca="false">ExportRaw!$B183</f>
        <v/>
      </c>
    </row>
    <row r="184" customFormat="false" ht="15.75" hidden="false" customHeight="false" outlineLevel="0" collapsed="false">
      <c r="A184" s="174" t="n">
        <f aca="false">ExportRaw!$F184</f>
        <v>0</v>
      </c>
      <c r="B184" s="174" t="n">
        <f aca="false">ExportRaw!$C184</f>
        <v>0</v>
      </c>
      <c r="C184" s="174" t="n">
        <f aca="false">ExportRaw!$G184</f>
        <v>0</v>
      </c>
      <c r="D184" s="174" t="str">
        <f aca="false">ExportRaw!$E184</f>
        <v/>
      </c>
      <c r="E184" s="175" t="str">
        <f aca="false">ExportRaw!$D184</f>
        <v/>
      </c>
      <c r="F184" s="174" t="str">
        <f aca="false">ExportRaw!$H184</f>
        <v/>
      </c>
      <c r="G184" s="176" t="str">
        <f aca="false">ExportRaw!$I184</f>
        <v/>
      </c>
      <c r="H184" s="174" t="str">
        <f aca="false">ExportRaw!$A184</f>
        <v/>
      </c>
      <c r="I184" s="174" t="str">
        <f aca="false">ExportRaw!$B184</f>
        <v/>
      </c>
    </row>
    <row r="185" customFormat="false" ht="15.75" hidden="false" customHeight="false" outlineLevel="0" collapsed="false">
      <c r="A185" s="174" t="n">
        <f aca="false">ExportRaw!$F185</f>
        <v>0</v>
      </c>
      <c r="B185" s="174" t="n">
        <f aca="false">ExportRaw!$C185</f>
        <v>0</v>
      </c>
      <c r="C185" s="174" t="n">
        <f aca="false">ExportRaw!$G185</f>
        <v>0</v>
      </c>
      <c r="D185" s="174" t="str">
        <f aca="false">ExportRaw!$E185</f>
        <v/>
      </c>
      <c r="E185" s="175" t="str">
        <f aca="false">ExportRaw!$D185</f>
        <v/>
      </c>
      <c r="F185" s="174" t="str">
        <f aca="false">ExportRaw!$H185</f>
        <v/>
      </c>
      <c r="G185" s="176" t="str">
        <f aca="false">ExportRaw!$I185</f>
        <v/>
      </c>
      <c r="H185" s="174" t="str">
        <f aca="false">ExportRaw!$A185</f>
        <v/>
      </c>
      <c r="I185" s="174" t="str">
        <f aca="false">ExportRaw!$B185</f>
        <v/>
      </c>
    </row>
    <row r="186" customFormat="false" ht="15.75" hidden="false" customHeight="false" outlineLevel="0" collapsed="false">
      <c r="A186" s="174" t="n">
        <f aca="false">ExportRaw!$F186</f>
        <v>0</v>
      </c>
      <c r="B186" s="174" t="n">
        <f aca="false">ExportRaw!$C186</f>
        <v>0</v>
      </c>
      <c r="C186" s="174" t="n">
        <f aca="false">ExportRaw!$G186</f>
        <v>0</v>
      </c>
      <c r="D186" s="174" t="str">
        <f aca="false">ExportRaw!$E186</f>
        <v/>
      </c>
      <c r="E186" s="175" t="str">
        <f aca="false">ExportRaw!$D186</f>
        <v/>
      </c>
      <c r="F186" s="174" t="str">
        <f aca="false">ExportRaw!$H186</f>
        <v/>
      </c>
      <c r="G186" s="176" t="str">
        <f aca="false">ExportRaw!$I186</f>
        <v/>
      </c>
      <c r="H186" s="174" t="str">
        <f aca="false">ExportRaw!$A186</f>
        <v/>
      </c>
      <c r="I186" s="174" t="str">
        <f aca="false">ExportRaw!$B186</f>
        <v/>
      </c>
    </row>
    <row r="187" customFormat="false" ht="15.75" hidden="false" customHeight="false" outlineLevel="0" collapsed="false">
      <c r="A187" s="174" t="n">
        <f aca="false">ExportRaw!$F187</f>
        <v>0</v>
      </c>
      <c r="B187" s="174" t="n">
        <f aca="false">ExportRaw!$C187</f>
        <v>0</v>
      </c>
      <c r="C187" s="174" t="n">
        <f aca="false">ExportRaw!$G187</f>
        <v>0</v>
      </c>
      <c r="D187" s="174" t="str">
        <f aca="false">ExportRaw!$E187</f>
        <v/>
      </c>
      <c r="E187" s="175" t="str">
        <f aca="false">ExportRaw!$D187</f>
        <v/>
      </c>
      <c r="F187" s="174" t="str">
        <f aca="false">ExportRaw!$H187</f>
        <v/>
      </c>
      <c r="G187" s="176" t="str">
        <f aca="false">ExportRaw!$I187</f>
        <v/>
      </c>
      <c r="H187" s="174" t="str">
        <f aca="false">ExportRaw!$A187</f>
        <v/>
      </c>
      <c r="I187" s="174" t="str">
        <f aca="false">ExportRaw!$B187</f>
        <v/>
      </c>
    </row>
    <row r="188" customFormat="false" ht="15.75" hidden="false" customHeight="false" outlineLevel="0" collapsed="false">
      <c r="A188" s="174" t="n">
        <f aca="false">ExportRaw!$F188</f>
        <v>0</v>
      </c>
      <c r="B188" s="174" t="n">
        <f aca="false">ExportRaw!$C188</f>
        <v>0</v>
      </c>
      <c r="C188" s="174" t="n">
        <f aca="false">ExportRaw!$G188</f>
        <v>0</v>
      </c>
      <c r="D188" s="174" t="str">
        <f aca="false">ExportRaw!$E188</f>
        <v/>
      </c>
      <c r="E188" s="175" t="str">
        <f aca="false">ExportRaw!$D188</f>
        <v/>
      </c>
      <c r="F188" s="174" t="str">
        <f aca="false">ExportRaw!$H188</f>
        <v/>
      </c>
      <c r="G188" s="176" t="str">
        <f aca="false">ExportRaw!$I188</f>
        <v/>
      </c>
      <c r="H188" s="174" t="str">
        <f aca="false">ExportRaw!$A188</f>
        <v/>
      </c>
      <c r="I188" s="174" t="str">
        <f aca="false">ExportRaw!$B188</f>
        <v/>
      </c>
    </row>
    <row r="189" customFormat="false" ht="15.75" hidden="false" customHeight="false" outlineLevel="0" collapsed="false">
      <c r="A189" s="174" t="n">
        <f aca="false">ExportRaw!$F189</f>
        <v>0</v>
      </c>
      <c r="B189" s="174" t="n">
        <f aca="false">ExportRaw!$C189</f>
        <v>0</v>
      </c>
      <c r="C189" s="174" t="n">
        <f aca="false">ExportRaw!$G189</f>
        <v>0</v>
      </c>
      <c r="D189" s="174" t="str">
        <f aca="false">ExportRaw!$E189</f>
        <v/>
      </c>
      <c r="E189" s="175" t="str">
        <f aca="false">ExportRaw!$D189</f>
        <v/>
      </c>
      <c r="F189" s="174" t="str">
        <f aca="false">ExportRaw!$H189</f>
        <v/>
      </c>
      <c r="G189" s="176" t="str">
        <f aca="false">ExportRaw!$I189</f>
        <v/>
      </c>
      <c r="H189" s="174" t="str">
        <f aca="false">ExportRaw!$A189</f>
        <v/>
      </c>
      <c r="I189" s="174" t="str">
        <f aca="false">ExportRaw!$B189</f>
        <v/>
      </c>
    </row>
    <row r="190" customFormat="false" ht="15.75" hidden="false" customHeight="false" outlineLevel="0" collapsed="false">
      <c r="A190" s="174" t="n">
        <f aca="false">ExportRaw!$F190</f>
        <v>0</v>
      </c>
      <c r="B190" s="174" t="n">
        <f aca="false">ExportRaw!$C190</f>
        <v>0</v>
      </c>
      <c r="C190" s="174" t="n">
        <f aca="false">ExportRaw!$G190</f>
        <v>0</v>
      </c>
      <c r="D190" s="174" t="str">
        <f aca="false">ExportRaw!$E190</f>
        <v/>
      </c>
      <c r="E190" s="175" t="str">
        <f aca="false">ExportRaw!$D190</f>
        <v/>
      </c>
      <c r="F190" s="174" t="str">
        <f aca="false">ExportRaw!$H190</f>
        <v/>
      </c>
      <c r="G190" s="176" t="str">
        <f aca="false">ExportRaw!$I190</f>
        <v/>
      </c>
      <c r="H190" s="174" t="str">
        <f aca="false">ExportRaw!$A190</f>
        <v/>
      </c>
      <c r="I190" s="174" t="str">
        <f aca="false">ExportRaw!$B190</f>
        <v/>
      </c>
    </row>
    <row r="191" customFormat="false" ht="15.75" hidden="false" customHeight="false" outlineLevel="0" collapsed="false">
      <c r="A191" s="174" t="n">
        <f aca="false">ExportRaw!$F191</f>
        <v>0</v>
      </c>
      <c r="B191" s="174" t="n">
        <f aca="false">ExportRaw!$C191</f>
        <v>0</v>
      </c>
      <c r="C191" s="174" t="n">
        <f aca="false">ExportRaw!$G191</f>
        <v>0</v>
      </c>
      <c r="D191" s="174" t="str">
        <f aca="false">ExportRaw!$E191</f>
        <v/>
      </c>
      <c r="E191" s="175" t="str">
        <f aca="false">ExportRaw!$D191</f>
        <v/>
      </c>
      <c r="F191" s="174" t="str">
        <f aca="false">ExportRaw!$H191</f>
        <v/>
      </c>
      <c r="G191" s="176" t="str">
        <f aca="false">ExportRaw!$I191</f>
        <v/>
      </c>
      <c r="H191" s="174" t="str">
        <f aca="false">ExportRaw!$A191</f>
        <v/>
      </c>
      <c r="I191" s="174" t="str">
        <f aca="false">ExportRaw!$B191</f>
        <v/>
      </c>
    </row>
    <row r="192" customFormat="false" ht="15.75" hidden="false" customHeight="false" outlineLevel="0" collapsed="false">
      <c r="A192" s="174" t="n">
        <f aca="false">ExportRaw!$F192</f>
        <v>0</v>
      </c>
      <c r="B192" s="174" t="n">
        <f aca="false">ExportRaw!$C192</f>
        <v>0</v>
      </c>
      <c r="C192" s="174" t="n">
        <f aca="false">ExportRaw!$G192</f>
        <v>0</v>
      </c>
      <c r="D192" s="174" t="str">
        <f aca="false">ExportRaw!$E192</f>
        <v/>
      </c>
      <c r="E192" s="175" t="str">
        <f aca="false">ExportRaw!$D192</f>
        <v/>
      </c>
      <c r="F192" s="174" t="str">
        <f aca="false">ExportRaw!$H192</f>
        <v/>
      </c>
      <c r="G192" s="176" t="str">
        <f aca="false">ExportRaw!$I192</f>
        <v/>
      </c>
      <c r="H192" s="174" t="str">
        <f aca="false">ExportRaw!$A192</f>
        <v/>
      </c>
      <c r="I192" s="174" t="str">
        <f aca="false">ExportRaw!$B192</f>
        <v/>
      </c>
    </row>
    <row r="193" customFormat="false" ht="15.75" hidden="false" customHeight="false" outlineLevel="0" collapsed="false">
      <c r="A193" s="174" t="n">
        <f aca="false">ExportRaw!$F193</f>
        <v>0</v>
      </c>
      <c r="B193" s="174" t="n">
        <f aca="false">ExportRaw!$C193</f>
        <v>0</v>
      </c>
      <c r="C193" s="174" t="n">
        <f aca="false">ExportRaw!$G193</f>
        <v>0</v>
      </c>
      <c r="D193" s="174" t="str">
        <f aca="false">ExportRaw!$E193</f>
        <v/>
      </c>
      <c r="E193" s="175" t="str">
        <f aca="false">ExportRaw!$D193</f>
        <v/>
      </c>
      <c r="F193" s="174" t="str">
        <f aca="false">ExportRaw!$H193</f>
        <v/>
      </c>
      <c r="G193" s="176" t="str">
        <f aca="false">ExportRaw!$I193</f>
        <v/>
      </c>
      <c r="H193" s="174" t="str">
        <f aca="false">ExportRaw!$A193</f>
        <v/>
      </c>
      <c r="I193" s="174" t="str">
        <f aca="false">ExportRaw!$B193</f>
        <v/>
      </c>
    </row>
    <row r="194" customFormat="false" ht="15.75" hidden="false" customHeight="false" outlineLevel="0" collapsed="false">
      <c r="A194" s="174" t="n">
        <f aca="false">ExportRaw!$F194</f>
        <v>0</v>
      </c>
      <c r="B194" s="174" t="n">
        <f aca="false">ExportRaw!$C194</f>
        <v>0</v>
      </c>
      <c r="C194" s="174" t="n">
        <f aca="false">ExportRaw!$G194</f>
        <v>0</v>
      </c>
      <c r="D194" s="174" t="str">
        <f aca="false">ExportRaw!$E194</f>
        <v/>
      </c>
      <c r="E194" s="175" t="str">
        <f aca="false">ExportRaw!$D194</f>
        <v/>
      </c>
      <c r="F194" s="174" t="str">
        <f aca="false">ExportRaw!$H194</f>
        <v/>
      </c>
      <c r="G194" s="176" t="str">
        <f aca="false">ExportRaw!$I194</f>
        <v/>
      </c>
      <c r="H194" s="174" t="str">
        <f aca="false">ExportRaw!$A194</f>
        <v/>
      </c>
      <c r="I194" s="174" t="str">
        <f aca="false">ExportRaw!$B194</f>
        <v/>
      </c>
    </row>
    <row r="195" customFormat="false" ht="15.75" hidden="false" customHeight="false" outlineLevel="0" collapsed="false">
      <c r="A195" s="174" t="n">
        <f aca="false">ExportRaw!$F195</f>
        <v>0</v>
      </c>
      <c r="B195" s="174" t="n">
        <f aca="false">ExportRaw!$C195</f>
        <v>0</v>
      </c>
      <c r="C195" s="174" t="n">
        <f aca="false">ExportRaw!$G195</f>
        <v>0</v>
      </c>
      <c r="D195" s="174" t="str">
        <f aca="false">ExportRaw!$E195</f>
        <v/>
      </c>
      <c r="E195" s="175" t="str">
        <f aca="false">ExportRaw!$D195</f>
        <v/>
      </c>
      <c r="F195" s="174" t="str">
        <f aca="false">ExportRaw!$H195</f>
        <v/>
      </c>
      <c r="G195" s="176" t="str">
        <f aca="false">ExportRaw!$I195</f>
        <v/>
      </c>
      <c r="H195" s="174" t="str">
        <f aca="false">ExportRaw!$A195</f>
        <v/>
      </c>
      <c r="I195" s="174" t="str">
        <f aca="false">ExportRaw!$B195</f>
        <v/>
      </c>
    </row>
    <row r="196" customFormat="false" ht="15.75" hidden="false" customHeight="false" outlineLevel="0" collapsed="false">
      <c r="A196" s="174" t="n">
        <f aca="false">ExportRaw!$F196</f>
        <v>0</v>
      </c>
      <c r="B196" s="174" t="n">
        <f aca="false">ExportRaw!$C196</f>
        <v>0</v>
      </c>
      <c r="C196" s="174" t="n">
        <f aca="false">ExportRaw!$G196</f>
        <v>0</v>
      </c>
      <c r="D196" s="174" t="str">
        <f aca="false">ExportRaw!$E196</f>
        <v/>
      </c>
      <c r="E196" s="175" t="str">
        <f aca="false">ExportRaw!$D196</f>
        <v/>
      </c>
      <c r="F196" s="174" t="str">
        <f aca="false">ExportRaw!$H196</f>
        <v/>
      </c>
      <c r="G196" s="176" t="str">
        <f aca="false">ExportRaw!$I196</f>
        <v/>
      </c>
      <c r="H196" s="174" t="str">
        <f aca="false">ExportRaw!$A196</f>
        <v/>
      </c>
      <c r="I196" s="174" t="str">
        <f aca="false">ExportRaw!$B196</f>
        <v/>
      </c>
    </row>
    <row r="197" customFormat="false" ht="15.75" hidden="false" customHeight="false" outlineLevel="0" collapsed="false">
      <c r="A197" s="174" t="n">
        <f aca="false">ExportRaw!$F197</f>
        <v>0</v>
      </c>
      <c r="B197" s="174" t="n">
        <f aca="false">ExportRaw!$C197</f>
        <v>0</v>
      </c>
      <c r="C197" s="174" t="n">
        <f aca="false">ExportRaw!$G197</f>
        <v>0</v>
      </c>
      <c r="D197" s="174" t="str">
        <f aca="false">ExportRaw!$E197</f>
        <v/>
      </c>
      <c r="E197" s="175" t="str">
        <f aca="false">ExportRaw!$D197</f>
        <v/>
      </c>
      <c r="F197" s="174" t="str">
        <f aca="false">ExportRaw!$H197</f>
        <v/>
      </c>
      <c r="G197" s="176" t="str">
        <f aca="false">ExportRaw!$I197</f>
        <v/>
      </c>
      <c r="H197" s="174" t="str">
        <f aca="false">ExportRaw!$A197</f>
        <v/>
      </c>
      <c r="I197" s="174" t="str">
        <f aca="false">ExportRaw!$B197</f>
        <v/>
      </c>
    </row>
    <row r="198" customFormat="false" ht="15.75" hidden="false" customHeight="false" outlineLevel="0" collapsed="false">
      <c r="A198" s="174" t="n">
        <f aca="false">ExportRaw!$F198</f>
        <v>0</v>
      </c>
      <c r="B198" s="174" t="n">
        <f aca="false">ExportRaw!$C198</f>
        <v>0</v>
      </c>
      <c r="C198" s="174" t="n">
        <f aca="false">ExportRaw!$G198</f>
        <v>0</v>
      </c>
      <c r="D198" s="174" t="str">
        <f aca="false">ExportRaw!$E198</f>
        <v/>
      </c>
      <c r="E198" s="175" t="str">
        <f aca="false">ExportRaw!$D198</f>
        <v/>
      </c>
      <c r="F198" s="174" t="str">
        <f aca="false">ExportRaw!$H198</f>
        <v/>
      </c>
      <c r="G198" s="176" t="str">
        <f aca="false">ExportRaw!$I198</f>
        <v/>
      </c>
      <c r="H198" s="174" t="str">
        <f aca="false">ExportRaw!$A198</f>
        <v/>
      </c>
      <c r="I198" s="174" t="str">
        <f aca="false">ExportRaw!$B198</f>
        <v/>
      </c>
    </row>
    <row r="199" customFormat="false" ht="15.75" hidden="false" customHeight="false" outlineLevel="0" collapsed="false">
      <c r="A199" s="174" t="n">
        <f aca="false">ExportRaw!$F199</f>
        <v>0</v>
      </c>
      <c r="B199" s="174" t="n">
        <f aca="false">ExportRaw!$C199</f>
        <v>0</v>
      </c>
      <c r="C199" s="174" t="n">
        <f aca="false">ExportRaw!$G199</f>
        <v>0</v>
      </c>
      <c r="D199" s="174" t="str">
        <f aca="false">ExportRaw!$E199</f>
        <v/>
      </c>
      <c r="E199" s="175" t="str">
        <f aca="false">ExportRaw!$D199</f>
        <v/>
      </c>
      <c r="F199" s="174" t="str">
        <f aca="false">ExportRaw!$H199</f>
        <v/>
      </c>
      <c r="G199" s="176" t="str">
        <f aca="false">ExportRaw!$I199</f>
        <v/>
      </c>
      <c r="H199" s="174" t="str">
        <f aca="false">ExportRaw!$A199</f>
        <v/>
      </c>
      <c r="I199" s="174" t="str">
        <f aca="false">ExportRaw!$B199</f>
        <v/>
      </c>
    </row>
    <row r="200" customFormat="false" ht="15.75" hidden="false" customHeight="false" outlineLevel="0" collapsed="false">
      <c r="A200" s="174" t="n">
        <f aca="false">ExportRaw!$F200</f>
        <v>0</v>
      </c>
      <c r="B200" s="174" t="n">
        <f aca="false">ExportRaw!$C200</f>
        <v>0</v>
      </c>
      <c r="C200" s="174" t="n">
        <f aca="false">ExportRaw!$G200</f>
        <v>0</v>
      </c>
      <c r="D200" s="174" t="str">
        <f aca="false">ExportRaw!$E200</f>
        <v/>
      </c>
      <c r="E200" s="175" t="str">
        <f aca="false">ExportRaw!$D200</f>
        <v/>
      </c>
      <c r="F200" s="174" t="str">
        <f aca="false">ExportRaw!$H200</f>
        <v/>
      </c>
      <c r="G200" s="176" t="str">
        <f aca="false">ExportRaw!$I200</f>
        <v/>
      </c>
      <c r="H200" s="174" t="str">
        <f aca="false">ExportRaw!$A200</f>
        <v/>
      </c>
      <c r="I200" s="174" t="str">
        <f aca="false">ExportRaw!$B200</f>
        <v/>
      </c>
    </row>
    <row r="201" customFormat="false" ht="15.75" hidden="false" customHeight="false" outlineLevel="0" collapsed="false">
      <c r="A201" s="174" t="n">
        <f aca="false">ExportRaw!$F201</f>
        <v>0</v>
      </c>
      <c r="B201" s="174" t="n">
        <f aca="false">ExportRaw!$C201</f>
        <v>0</v>
      </c>
      <c r="C201" s="174" t="n">
        <f aca="false">ExportRaw!$G201</f>
        <v>0</v>
      </c>
      <c r="D201" s="174" t="str">
        <f aca="false">ExportRaw!$E201</f>
        <v/>
      </c>
      <c r="E201" s="175" t="str">
        <f aca="false">ExportRaw!$D201</f>
        <v/>
      </c>
      <c r="F201" s="174" t="str">
        <f aca="false">ExportRaw!$H201</f>
        <v/>
      </c>
      <c r="G201" s="176" t="str">
        <f aca="false">ExportRaw!$I201</f>
        <v/>
      </c>
      <c r="H201" s="174" t="str">
        <f aca="false">ExportRaw!$A201</f>
        <v/>
      </c>
      <c r="I201" s="174" t="str">
        <f aca="false">ExportRaw!$B201</f>
        <v/>
      </c>
    </row>
    <row r="202" customFormat="false" ht="15.75" hidden="false" customHeight="false" outlineLevel="0" collapsed="false">
      <c r="A202" s="174" t="n">
        <f aca="false">ExportRaw!$F202</f>
        <v>0</v>
      </c>
      <c r="B202" s="174" t="n">
        <f aca="false">ExportRaw!$C202</f>
        <v>0</v>
      </c>
      <c r="C202" s="174" t="n">
        <f aca="false">ExportRaw!$G202</f>
        <v>0</v>
      </c>
      <c r="D202" s="174" t="str">
        <f aca="false">ExportRaw!$E202</f>
        <v/>
      </c>
      <c r="E202" s="175" t="str">
        <f aca="false">ExportRaw!$D202</f>
        <v/>
      </c>
      <c r="F202" s="174" t="str">
        <f aca="false">ExportRaw!$H202</f>
        <v/>
      </c>
      <c r="G202" s="176" t="str">
        <f aca="false">ExportRaw!$I202</f>
        <v/>
      </c>
      <c r="H202" s="174" t="str">
        <f aca="false">ExportRaw!$A202</f>
        <v/>
      </c>
      <c r="I202" s="174" t="str">
        <f aca="false">ExportRaw!$B202</f>
        <v/>
      </c>
    </row>
    <row r="203" customFormat="false" ht="15.75" hidden="false" customHeight="false" outlineLevel="0" collapsed="false">
      <c r="A203" s="174" t="n">
        <f aca="false">ExportRaw!$F203</f>
        <v>0</v>
      </c>
      <c r="B203" s="174" t="n">
        <f aca="false">ExportRaw!$C203</f>
        <v>0</v>
      </c>
      <c r="C203" s="174" t="n">
        <f aca="false">ExportRaw!$G203</f>
        <v>0</v>
      </c>
      <c r="D203" s="174" t="str">
        <f aca="false">ExportRaw!$E203</f>
        <v/>
      </c>
      <c r="E203" s="175" t="str">
        <f aca="false">ExportRaw!$D203</f>
        <v/>
      </c>
      <c r="F203" s="174" t="str">
        <f aca="false">ExportRaw!$H203</f>
        <v/>
      </c>
      <c r="G203" s="176" t="str">
        <f aca="false">ExportRaw!$I203</f>
        <v/>
      </c>
      <c r="H203" s="174" t="str">
        <f aca="false">ExportRaw!$A203</f>
        <v/>
      </c>
      <c r="I203" s="174" t="str">
        <f aca="false">ExportRaw!$B203</f>
        <v/>
      </c>
    </row>
    <row r="204" customFormat="false" ht="15.75" hidden="false" customHeight="false" outlineLevel="0" collapsed="false">
      <c r="A204" s="174" t="n">
        <f aca="false">ExportRaw!$F204</f>
        <v>0</v>
      </c>
      <c r="B204" s="174" t="n">
        <f aca="false">ExportRaw!$C204</f>
        <v>0</v>
      </c>
      <c r="C204" s="174" t="n">
        <f aca="false">ExportRaw!$G204</f>
        <v>0</v>
      </c>
      <c r="D204" s="174" t="str">
        <f aca="false">ExportRaw!$E204</f>
        <v/>
      </c>
      <c r="E204" s="175" t="str">
        <f aca="false">ExportRaw!$D204</f>
        <v/>
      </c>
      <c r="F204" s="174" t="str">
        <f aca="false">ExportRaw!$H204</f>
        <v/>
      </c>
      <c r="G204" s="176" t="str">
        <f aca="false">ExportRaw!$I204</f>
        <v/>
      </c>
      <c r="H204" s="174" t="str">
        <f aca="false">ExportRaw!$A204</f>
        <v/>
      </c>
      <c r="I204" s="174" t="str">
        <f aca="false">ExportRaw!$B204</f>
        <v/>
      </c>
    </row>
    <row r="205" customFormat="false" ht="15.75" hidden="false" customHeight="false" outlineLevel="0" collapsed="false">
      <c r="A205" s="174" t="n">
        <f aca="false">ExportRaw!$F205</f>
        <v>0</v>
      </c>
      <c r="B205" s="174" t="n">
        <f aca="false">ExportRaw!$C205</f>
        <v>0</v>
      </c>
      <c r="C205" s="174" t="n">
        <f aca="false">ExportRaw!$G205</f>
        <v>0</v>
      </c>
      <c r="D205" s="174" t="str">
        <f aca="false">ExportRaw!$E205</f>
        <v/>
      </c>
      <c r="E205" s="175" t="str">
        <f aca="false">ExportRaw!$D205</f>
        <v/>
      </c>
      <c r="F205" s="174" t="str">
        <f aca="false">ExportRaw!$H205</f>
        <v/>
      </c>
      <c r="G205" s="176" t="str">
        <f aca="false">ExportRaw!$I205</f>
        <v/>
      </c>
      <c r="H205" s="174" t="str">
        <f aca="false">ExportRaw!$A205</f>
        <v/>
      </c>
      <c r="I205" s="174" t="str">
        <f aca="false">ExportRaw!$B205</f>
        <v/>
      </c>
    </row>
    <row r="206" customFormat="false" ht="15.75" hidden="false" customHeight="false" outlineLevel="0" collapsed="false">
      <c r="A206" s="174" t="n">
        <f aca="false">ExportRaw!$F206</f>
        <v>0</v>
      </c>
      <c r="B206" s="174" t="n">
        <f aca="false">ExportRaw!$C206</f>
        <v>0</v>
      </c>
      <c r="C206" s="174" t="n">
        <f aca="false">ExportRaw!$G206</f>
        <v>0</v>
      </c>
      <c r="D206" s="174" t="str">
        <f aca="false">ExportRaw!$E206</f>
        <v/>
      </c>
      <c r="E206" s="175" t="str">
        <f aca="false">ExportRaw!$D206</f>
        <v/>
      </c>
      <c r="F206" s="174" t="str">
        <f aca="false">ExportRaw!$H206</f>
        <v/>
      </c>
      <c r="G206" s="176" t="str">
        <f aca="false">ExportRaw!$I206</f>
        <v/>
      </c>
      <c r="H206" s="174" t="str">
        <f aca="false">ExportRaw!$A206</f>
        <v/>
      </c>
      <c r="I206" s="174" t="str">
        <f aca="false">ExportRaw!$B206</f>
        <v/>
      </c>
    </row>
    <row r="207" customFormat="false" ht="15.75" hidden="false" customHeight="false" outlineLevel="0" collapsed="false">
      <c r="A207" s="174" t="n">
        <f aca="false">ExportRaw!$F207</f>
        <v>0</v>
      </c>
      <c r="B207" s="174" t="n">
        <f aca="false">ExportRaw!$C207</f>
        <v>0</v>
      </c>
      <c r="C207" s="174" t="n">
        <f aca="false">ExportRaw!$G207</f>
        <v>0</v>
      </c>
      <c r="D207" s="174" t="str">
        <f aca="false">ExportRaw!$E207</f>
        <v/>
      </c>
      <c r="E207" s="175" t="str">
        <f aca="false">ExportRaw!$D207</f>
        <v/>
      </c>
      <c r="F207" s="174" t="str">
        <f aca="false">ExportRaw!$H207</f>
        <v/>
      </c>
      <c r="G207" s="176" t="str">
        <f aca="false">ExportRaw!$I207</f>
        <v/>
      </c>
      <c r="H207" s="174" t="str">
        <f aca="false">ExportRaw!$A207</f>
        <v/>
      </c>
      <c r="I207" s="174" t="str">
        <f aca="false">ExportRaw!$B207</f>
        <v/>
      </c>
    </row>
    <row r="208" customFormat="false" ht="15.75" hidden="false" customHeight="false" outlineLevel="0" collapsed="false">
      <c r="A208" s="174" t="n">
        <f aca="false">ExportRaw!$F208</f>
        <v>0</v>
      </c>
      <c r="B208" s="174" t="n">
        <f aca="false">ExportRaw!$C208</f>
        <v>0</v>
      </c>
      <c r="C208" s="174" t="n">
        <f aca="false">ExportRaw!$G208</f>
        <v>0</v>
      </c>
      <c r="D208" s="174" t="str">
        <f aca="false">ExportRaw!$E208</f>
        <v/>
      </c>
      <c r="E208" s="175" t="str">
        <f aca="false">ExportRaw!$D208</f>
        <v/>
      </c>
      <c r="F208" s="174" t="str">
        <f aca="false">ExportRaw!$H208</f>
        <v/>
      </c>
      <c r="G208" s="176" t="str">
        <f aca="false">ExportRaw!$I208</f>
        <v/>
      </c>
      <c r="H208" s="174" t="str">
        <f aca="false">ExportRaw!$A208</f>
        <v/>
      </c>
      <c r="I208" s="174" t="str">
        <f aca="false">ExportRaw!$B208</f>
        <v/>
      </c>
    </row>
    <row r="209" customFormat="false" ht="15.75" hidden="false" customHeight="false" outlineLevel="0" collapsed="false">
      <c r="A209" s="174" t="n">
        <f aca="false">ExportRaw!$F209</f>
        <v>0</v>
      </c>
      <c r="B209" s="174" t="n">
        <f aca="false">ExportRaw!$C209</f>
        <v>0</v>
      </c>
      <c r="C209" s="174" t="n">
        <f aca="false">ExportRaw!$G209</f>
        <v>0</v>
      </c>
      <c r="D209" s="174" t="str">
        <f aca="false">ExportRaw!$E209</f>
        <v/>
      </c>
      <c r="E209" s="175" t="str">
        <f aca="false">ExportRaw!$D209</f>
        <v/>
      </c>
      <c r="F209" s="174" t="str">
        <f aca="false">ExportRaw!$H209</f>
        <v/>
      </c>
      <c r="G209" s="176" t="str">
        <f aca="false">ExportRaw!$I209</f>
        <v/>
      </c>
      <c r="H209" s="174" t="str">
        <f aca="false">ExportRaw!$A209</f>
        <v/>
      </c>
      <c r="I209" s="174" t="str">
        <f aca="false">ExportRaw!$B209</f>
        <v/>
      </c>
    </row>
    <row r="210" customFormat="false" ht="15.75" hidden="false" customHeight="false" outlineLevel="0" collapsed="false">
      <c r="A210" s="174" t="n">
        <f aca="false">ExportRaw!$F210</f>
        <v>0</v>
      </c>
      <c r="B210" s="174" t="n">
        <f aca="false">ExportRaw!$C210</f>
        <v>0</v>
      </c>
      <c r="C210" s="174" t="n">
        <f aca="false">ExportRaw!$G210</f>
        <v>0</v>
      </c>
      <c r="D210" s="174" t="str">
        <f aca="false">ExportRaw!$E210</f>
        <v/>
      </c>
      <c r="E210" s="175" t="str">
        <f aca="false">ExportRaw!$D210</f>
        <v/>
      </c>
      <c r="F210" s="174" t="str">
        <f aca="false">ExportRaw!$H210</f>
        <v/>
      </c>
      <c r="G210" s="176" t="str">
        <f aca="false">ExportRaw!$I210</f>
        <v/>
      </c>
      <c r="H210" s="174" t="str">
        <f aca="false">ExportRaw!$A210</f>
        <v/>
      </c>
      <c r="I210" s="174" t="str">
        <f aca="false">ExportRaw!$B210</f>
        <v/>
      </c>
    </row>
    <row r="211" customFormat="false" ht="15.75" hidden="false" customHeight="false" outlineLevel="0" collapsed="false">
      <c r="A211" s="174" t="n">
        <f aca="false">ExportRaw!$F211</f>
        <v>0</v>
      </c>
      <c r="B211" s="174" t="n">
        <f aca="false">ExportRaw!$C211</f>
        <v>0</v>
      </c>
      <c r="C211" s="174" t="n">
        <f aca="false">ExportRaw!$G211</f>
        <v>0</v>
      </c>
      <c r="D211" s="174" t="str">
        <f aca="false">ExportRaw!$E211</f>
        <v/>
      </c>
      <c r="E211" s="175" t="str">
        <f aca="false">ExportRaw!$D211</f>
        <v/>
      </c>
      <c r="F211" s="174" t="str">
        <f aca="false">ExportRaw!$H211</f>
        <v/>
      </c>
      <c r="G211" s="176" t="str">
        <f aca="false">ExportRaw!$I211</f>
        <v/>
      </c>
      <c r="H211" s="174" t="str">
        <f aca="false">ExportRaw!$A211</f>
        <v/>
      </c>
      <c r="I211" s="174" t="str">
        <f aca="false">ExportRaw!$B211</f>
        <v/>
      </c>
    </row>
    <row r="212" customFormat="false" ht="15.75" hidden="false" customHeight="false" outlineLevel="0" collapsed="false">
      <c r="A212" s="174" t="n">
        <f aca="false">ExportRaw!$F212</f>
        <v>0</v>
      </c>
      <c r="B212" s="174" t="n">
        <f aca="false">ExportRaw!$C212</f>
        <v>0</v>
      </c>
      <c r="C212" s="174" t="n">
        <f aca="false">ExportRaw!$G212</f>
        <v>0</v>
      </c>
      <c r="D212" s="174" t="str">
        <f aca="false">ExportRaw!$E212</f>
        <v/>
      </c>
      <c r="E212" s="175" t="str">
        <f aca="false">ExportRaw!$D212</f>
        <v/>
      </c>
      <c r="F212" s="174" t="str">
        <f aca="false">ExportRaw!$H212</f>
        <v/>
      </c>
      <c r="G212" s="176" t="str">
        <f aca="false">ExportRaw!$I212</f>
        <v/>
      </c>
      <c r="H212" s="174" t="str">
        <f aca="false">ExportRaw!$A212</f>
        <v/>
      </c>
      <c r="I212" s="174" t="str">
        <f aca="false">ExportRaw!$B212</f>
        <v/>
      </c>
    </row>
    <row r="213" customFormat="false" ht="15.75" hidden="false" customHeight="false" outlineLevel="0" collapsed="false">
      <c r="A213" s="174" t="n">
        <f aca="false">ExportRaw!$F213</f>
        <v>0</v>
      </c>
      <c r="B213" s="174" t="n">
        <f aca="false">ExportRaw!$C213</f>
        <v>0</v>
      </c>
      <c r="C213" s="174" t="n">
        <f aca="false">ExportRaw!$G213</f>
        <v>0</v>
      </c>
      <c r="D213" s="174" t="str">
        <f aca="false">ExportRaw!$E213</f>
        <v/>
      </c>
      <c r="E213" s="175" t="str">
        <f aca="false">ExportRaw!$D213</f>
        <v/>
      </c>
      <c r="F213" s="174" t="str">
        <f aca="false">ExportRaw!$H213</f>
        <v/>
      </c>
      <c r="G213" s="176" t="str">
        <f aca="false">ExportRaw!$I213</f>
        <v/>
      </c>
      <c r="H213" s="174" t="str">
        <f aca="false">ExportRaw!$A213</f>
        <v/>
      </c>
      <c r="I213" s="174" t="str">
        <f aca="false">ExportRaw!$B213</f>
        <v/>
      </c>
    </row>
    <row r="214" customFormat="false" ht="15.75" hidden="false" customHeight="false" outlineLevel="0" collapsed="false">
      <c r="A214" s="174" t="n">
        <f aca="false">ExportRaw!$F214</f>
        <v>0</v>
      </c>
      <c r="B214" s="174" t="n">
        <f aca="false">ExportRaw!$C214</f>
        <v>0</v>
      </c>
      <c r="C214" s="174" t="n">
        <f aca="false">ExportRaw!$G214</f>
        <v>0</v>
      </c>
      <c r="D214" s="174" t="str">
        <f aca="false">ExportRaw!$E214</f>
        <v/>
      </c>
      <c r="E214" s="175" t="str">
        <f aca="false">ExportRaw!$D214</f>
        <v/>
      </c>
      <c r="F214" s="174" t="str">
        <f aca="false">ExportRaw!$H214</f>
        <v/>
      </c>
      <c r="G214" s="176" t="str">
        <f aca="false">ExportRaw!$I214</f>
        <v/>
      </c>
      <c r="H214" s="174" t="str">
        <f aca="false">ExportRaw!$A214</f>
        <v/>
      </c>
      <c r="I214" s="174" t="str">
        <f aca="false">ExportRaw!$B214</f>
        <v/>
      </c>
    </row>
    <row r="215" customFormat="false" ht="15.75" hidden="false" customHeight="false" outlineLevel="0" collapsed="false">
      <c r="A215" s="174" t="n">
        <f aca="false">ExportRaw!$F215</f>
        <v>0</v>
      </c>
      <c r="B215" s="174" t="n">
        <f aca="false">ExportRaw!$C215</f>
        <v>0</v>
      </c>
      <c r="C215" s="174" t="n">
        <f aca="false">ExportRaw!$G215</f>
        <v>0</v>
      </c>
      <c r="D215" s="174" t="str">
        <f aca="false">ExportRaw!$E215</f>
        <v/>
      </c>
      <c r="E215" s="175" t="str">
        <f aca="false">ExportRaw!$D215</f>
        <v/>
      </c>
      <c r="F215" s="174" t="str">
        <f aca="false">ExportRaw!$H215</f>
        <v/>
      </c>
      <c r="G215" s="176" t="str">
        <f aca="false">ExportRaw!$I215</f>
        <v/>
      </c>
      <c r="H215" s="174" t="str">
        <f aca="false">ExportRaw!$A215</f>
        <v/>
      </c>
      <c r="I215" s="174" t="str">
        <f aca="false">ExportRaw!$B215</f>
        <v/>
      </c>
    </row>
    <row r="216" customFormat="false" ht="15.75" hidden="false" customHeight="false" outlineLevel="0" collapsed="false">
      <c r="A216" s="174" t="n">
        <f aca="false">ExportRaw!$F216</f>
        <v>0</v>
      </c>
      <c r="B216" s="174" t="n">
        <f aca="false">ExportRaw!$C216</f>
        <v>0</v>
      </c>
      <c r="C216" s="174" t="n">
        <f aca="false">ExportRaw!$G216</f>
        <v>0</v>
      </c>
      <c r="D216" s="174" t="str">
        <f aca="false">ExportRaw!$E216</f>
        <v/>
      </c>
      <c r="E216" s="175" t="str">
        <f aca="false">ExportRaw!$D216</f>
        <v/>
      </c>
      <c r="F216" s="174" t="str">
        <f aca="false">ExportRaw!$H216</f>
        <v/>
      </c>
      <c r="G216" s="176" t="str">
        <f aca="false">ExportRaw!$I216</f>
        <v/>
      </c>
      <c r="H216" s="174" t="str">
        <f aca="false">ExportRaw!$A216</f>
        <v/>
      </c>
      <c r="I216" s="174" t="str">
        <f aca="false">ExportRaw!$B216</f>
        <v/>
      </c>
    </row>
    <row r="217" customFormat="false" ht="15.75" hidden="false" customHeight="false" outlineLevel="0" collapsed="false">
      <c r="A217" s="174" t="n">
        <f aca="false">ExportRaw!$F217</f>
        <v>0</v>
      </c>
      <c r="B217" s="174" t="n">
        <f aca="false">ExportRaw!$C217</f>
        <v>0</v>
      </c>
      <c r="C217" s="174" t="n">
        <f aca="false">ExportRaw!$G217</f>
        <v>0</v>
      </c>
      <c r="D217" s="174" t="str">
        <f aca="false">ExportRaw!$E217</f>
        <v/>
      </c>
      <c r="E217" s="175" t="str">
        <f aca="false">ExportRaw!$D217</f>
        <v/>
      </c>
      <c r="F217" s="174" t="str">
        <f aca="false">ExportRaw!$H217</f>
        <v/>
      </c>
      <c r="G217" s="176" t="str">
        <f aca="false">ExportRaw!$I217</f>
        <v/>
      </c>
      <c r="H217" s="174" t="str">
        <f aca="false">ExportRaw!$A217</f>
        <v/>
      </c>
      <c r="I217" s="174" t="str">
        <f aca="false">ExportRaw!$B217</f>
        <v/>
      </c>
    </row>
    <row r="218" customFormat="false" ht="15.75" hidden="false" customHeight="false" outlineLevel="0" collapsed="false">
      <c r="A218" s="174" t="n">
        <f aca="false">ExportRaw!$F218</f>
        <v>0</v>
      </c>
      <c r="B218" s="174" t="n">
        <f aca="false">ExportRaw!$C218</f>
        <v>0</v>
      </c>
      <c r="C218" s="174" t="n">
        <f aca="false">ExportRaw!$G218</f>
        <v>0</v>
      </c>
      <c r="D218" s="174" t="str">
        <f aca="false">ExportRaw!$E218</f>
        <v/>
      </c>
      <c r="E218" s="175" t="str">
        <f aca="false">ExportRaw!$D218</f>
        <v/>
      </c>
      <c r="F218" s="174" t="str">
        <f aca="false">ExportRaw!$H218</f>
        <v/>
      </c>
      <c r="G218" s="176" t="str">
        <f aca="false">ExportRaw!$I218</f>
        <v/>
      </c>
      <c r="H218" s="174" t="str">
        <f aca="false">ExportRaw!$A218</f>
        <v/>
      </c>
      <c r="I218" s="174" t="str">
        <f aca="false">ExportRaw!$B218</f>
        <v/>
      </c>
    </row>
    <row r="219" customFormat="false" ht="15.75" hidden="false" customHeight="false" outlineLevel="0" collapsed="false">
      <c r="A219" s="174" t="n">
        <f aca="false">ExportRaw!$F219</f>
        <v>0</v>
      </c>
      <c r="B219" s="174" t="n">
        <f aca="false">ExportRaw!$C219</f>
        <v>0</v>
      </c>
      <c r="C219" s="174" t="n">
        <f aca="false">ExportRaw!$G219</f>
        <v>0</v>
      </c>
      <c r="D219" s="174" t="str">
        <f aca="false">ExportRaw!$E219</f>
        <v/>
      </c>
      <c r="E219" s="175" t="str">
        <f aca="false">ExportRaw!$D219</f>
        <v/>
      </c>
      <c r="F219" s="174" t="str">
        <f aca="false">ExportRaw!$H219</f>
        <v/>
      </c>
      <c r="G219" s="176" t="str">
        <f aca="false">ExportRaw!$I219</f>
        <v/>
      </c>
      <c r="H219" s="174" t="str">
        <f aca="false">ExportRaw!$A219</f>
        <v/>
      </c>
      <c r="I219" s="174" t="str">
        <f aca="false">ExportRaw!$B219</f>
        <v/>
      </c>
    </row>
    <row r="220" customFormat="false" ht="15.75" hidden="false" customHeight="false" outlineLevel="0" collapsed="false">
      <c r="A220" s="174" t="n">
        <f aca="false">ExportRaw!$F220</f>
        <v>0</v>
      </c>
      <c r="B220" s="174" t="n">
        <f aca="false">ExportRaw!$C220</f>
        <v>0</v>
      </c>
      <c r="C220" s="174" t="n">
        <f aca="false">ExportRaw!$G220</f>
        <v>0</v>
      </c>
      <c r="D220" s="174" t="str">
        <f aca="false">ExportRaw!$E220</f>
        <v/>
      </c>
      <c r="E220" s="175" t="str">
        <f aca="false">ExportRaw!$D220</f>
        <v/>
      </c>
      <c r="F220" s="174" t="str">
        <f aca="false">ExportRaw!$H220</f>
        <v/>
      </c>
      <c r="G220" s="176" t="str">
        <f aca="false">ExportRaw!$I220</f>
        <v/>
      </c>
      <c r="H220" s="174" t="str">
        <f aca="false">ExportRaw!$A220</f>
        <v/>
      </c>
      <c r="I220" s="174" t="str">
        <f aca="false">ExportRaw!$B220</f>
        <v/>
      </c>
    </row>
    <row r="221" customFormat="false" ht="15.75" hidden="false" customHeight="false" outlineLevel="0" collapsed="false">
      <c r="A221" s="174" t="n">
        <f aca="false">ExportRaw!$F221</f>
        <v>0</v>
      </c>
      <c r="B221" s="174" t="n">
        <f aca="false">ExportRaw!$C221</f>
        <v>0</v>
      </c>
      <c r="C221" s="174" t="n">
        <f aca="false">ExportRaw!$G221</f>
        <v>0</v>
      </c>
      <c r="D221" s="174" t="str">
        <f aca="false">ExportRaw!$E221</f>
        <v/>
      </c>
      <c r="E221" s="175" t="str">
        <f aca="false">ExportRaw!$D221</f>
        <v/>
      </c>
      <c r="F221" s="174" t="str">
        <f aca="false">ExportRaw!$H221</f>
        <v/>
      </c>
      <c r="G221" s="176" t="str">
        <f aca="false">ExportRaw!$I221</f>
        <v/>
      </c>
      <c r="H221" s="174" t="str">
        <f aca="false">ExportRaw!$A221</f>
        <v/>
      </c>
      <c r="I221" s="174" t="str">
        <f aca="false">ExportRaw!$B221</f>
        <v/>
      </c>
    </row>
    <row r="222" customFormat="false" ht="15.75" hidden="false" customHeight="false" outlineLevel="0" collapsed="false">
      <c r="A222" s="174" t="n">
        <f aca="false">ExportRaw!$F222</f>
        <v>0</v>
      </c>
      <c r="B222" s="174" t="n">
        <f aca="false">ExportRaw!$C222</f>
        <v>0</v>
      </c>
      <c r="C222" s="174" t="n">
        <f aca="false">ExportRaw!$G222</f>
        <v>0</v>
      </c>
      <c r="D222" s="174" t="str">
        <f aca="false">ExportRaw!$E222</f>
        <v/>
      </c>
      <c r="E222" s="175" t="str">
        <f aca="false">ExportRaw!$D222</f>
        <v/>
      </c>
      <c r="F222" s="174" t="str">
        <f aca="false">ExportRaw!$H222</f>
        <v/>
      </c>
      <c r="G222" s="176" t="str">
        <f aca="false">ExportRaw!$I222</f>
        <v/>
      </c>
      <c r="H222" s="174" t="str">
        <f aca="false">ExportRaw!$A222</f>
        <v/>
      </c>
      <c r="I222" s="174" t="str">
        <f aca="false">ExportRaw!$B222</f>
        <v/>
      </c>
    </row>
    <row r="223" customFormat="false" ht="15.75" hidden="false" customHeight="false" outlineLevel="0" collapsed="false">
      <c r="A223" s="174" t="n">
        <f aca="false">ExportRaw!$F223</f>
        <v>0</v>
      </c>
      <c r="B223" s="174" t="n">
        <f aca="false">ExportRaw!$C223</f>
        <v>0</v>
      </c>
      <c r="C223" s="174" t="n">
        <f aca="false">ExportRaw!$G223</f>
        <v>0</v>
      </c>
      <c r="D223" s="174" t="str">
        <f aca="false">ExportRaw!$E223</f>
        <v/>
      </c>
      <c r="E223" s="175" t="str">
        <f aca="false">ExportRaw!$D223</f>
        <v/>
      </c>
      <c r="F223" s="174" t="str">
        <f aca="false">ExportRaw!$H223</f>
        <v/>
      </c>
      <c r="G223" s="176" t="str">
        <f aca="false">ExportRaw!$I223</f>
        <v/>
      </c>
      <c r="H223" s="174" t="str">
        <f aca="false">ExportRaw!$A223</f>
        <v/>
      </c>
      <c r="I223" s="174" t="str">
        <f aca="false">ExportRaw!$B223</f>
        <v/>
      </c>
    </row>
    <row r="224" customFormat="false" ht="15.75" hidden="false" customHeight="false" outlineLevel="0" collapsed="false">
      <c r="A224" s="174" t="n">
        <f aca="false">ExportRaw!$F224</f>
        <v>0</v>
      </c>
      <c r="B224" s="174" t="n">
        <f aca="false">ExportRaw!$C224</f>
        <v>0</v>
      </c>
      <c r="C224" s="174" t="n">
        <f aca="false">ExportRaw!$G224</f>
        <v>0</v>
      </c>
      <c r="D224" s="174" t="str">
        <f aca="false">ExportRaw!$E224</f>
        <v/>
      </c>
      <c r="E224" s="175" t="str">
        <f aca="false">ExportRaw!$D224</f>
        <v/>
      </c>
      <c r="F224" s="174" t="str">
        <f aca="false">ExportRaw!$H224</f>
        <v/>
      </c>
      <c r="G224" s="176" t="str">
        <f aca="false">ExportRaw!$I224</f>
        <v/>
      </c>
      <c r="H224" s="174" t="str">
        <f aca="false">ExportRaw!$A224</f>
        <v/>
      </c>
      <c r="I224" s="174" t="str">
        <f aca="false">ExportRaw!$B224</f>
        <v/>
      </c>
    </row>
    <row r="225" customFormat="false" ht="15.75" hidden="false" customHeight="false" outlineLevel="0" collapsed="false">
      <c r="A225" s="174" t="n">
        <f aca="false">ExportRaw!$F225</f>
        <v>0</v>
      </c>
      <c r="B225" s="174" t="n">
        <f aca="false">ExportRaw!$C225</f>
        <v>0</v>
      </c>
      <c r="C225" s="174" t="n">
        <f aca="false">ExportRaw!$G225</f>
        <v>0</v>
      </c>
      <c r="D225" s="174" t="str">
        <f aca="false">ExportRaw!$E225</f>
        <v/>
      </c>
      <c r="E225" s="175" t="str">
        <f aca="false">ExportRaw!$D225</f>
        <v/>
      </c>
      <c r="F225" s="174" t="str">
        <f aca="false">ExportRaw!$H225</f>
        <v/>
      </c>
      <c r="G225" s="176" t="str">
        <f aca="false">ExportRaw!$I225</f>
        <v/>
      </c>
      <c r="H225" s="174" t="str">
        <f aca="false">ExportRaw!$A225</f>
        <v/>
      </c>
      <c r="I225" s="174" t="str">
        <f aca="false">ExportRaw!$B225</f>
        <v/>
      </c>
    </row>
    <row r="226" customFormat="false" ht="15.75" hidden="false" customHeight="false" outlineLevel="0" collapsed="false">
      <c r="A226" s="174" t="n">
        <f aca="false">ExportRaw!$F226</f>
        <v>0</v>
      </c>
      <c r="B226" s="174" t="n">
        <f aca="false">ExportRaw!$C226</f>
        <v>0</v>
      </c>
      <c r="C226" s="174" t="n">
        <f aca="false">ExportRaw!$G226</f>
        <v>0</v>
      </c>
      <c r="D226" s="174" t="str">
        <f aca="false">ExportRaw!$E226</f>
        <v/>
      </c>
      <c r="E226" s="175" t="str">
        <f aca="false">ExportRaw!$D226</f>
        <v/>
      </c>
      <c r="F226" s="174" t="str">
        <f aca="false">ExportRaw!$H226</f>
        <v/>
      </c>
      <c r="G226" s="176" t="str">
        <f aca="false">ExportRaw!$I226</f>
        <v/>
      </c>
      <c r="H226" s="174" t="str">
        <f aca="false">ExportRaw!$A226</f>
        <v/>
      </c>
      <c r="I226" s="174" t="str">
        <f aca="false">ExportRaw!$B226</f>
        <v/>
      </c>
    </row>
    <row r="227" customFormat="false" ht="15.75" hidden="false" customHeight="false" outlineLevel="0" collapsed="false">
      <c r="A227" s="174" t="n">
        <f aca="false">ExportRaw!$F227</f>
        <v>0</v>
      </c>
      <c r="B227" s="174" t="n">
        <f aca="false">ExportRaw!$C227</f>
        <v>0</v>
      </c>
      <c r="C227" s="174" t="n">
        <f aca="false">ExportRaw!$G227</f>
        <v>0</v>
      </c>
      <c r="D227" s="174" t="str">
        <f aca="false">ExportRaw!$E227</f>
        <v/>
      </c>
      <c r="E227" s="175" t="str">
        <f aca="false">ExportRaw!$D227</f>
        <v/>
      </c>
      <c r="F227" s="174" t="str">
        <f aca="false">ExportRaw!$H227</f>
        <v/>
      </c>
      <c r="G227" s="176" t="str">
        <f aca="false">ExportRaw!$I227</f>
        <v/>
      </c>
      <c r="H227" s="174" t="str">
        <f aca="false">ExportRaw!$A227</f>
        <v/>
      </c>
      <c r="I227" s="174" t="str">
        <f aca="false">ExportRaw!$B227</f>
        <v/>
      </c>
    </row>
    <row r="228" customFormat="false" ht="15.75" hidden="false" customHeight="false" outlineLevel="0" collapsed="false">
      <c r="A228" s="174" t="n">
        <f aca="false">ExportRaw!$F228</f>
        <v>0</v>
      </c>
      <c r="B228" s="174" t="n">
        <f aca="false">ExportRaw!$C228</f>
        <v>0</v>
      </c>
      <c r="C228" s="174" t="n">
        <f aca="false">ExportRaw!$G228</f>
        <v>0</v>
      </c>
      <c r="D228" s="174" t="str">
        <f aca="false">ExportRaw!$E228</f>
        <v/>
      </c>
      <c r="E228" s="175" t="str">
        <f aca="false">ExportRaw!$D228</f>
        <v/>
      </c>
      <c r="F228" s="174" t="str">
        <f aca="false">ExportRaw!$H228</f>
        <v/>
      </c>
      <c r="G228" s="176" t="str">
        <f aca="false">ExportRaw!$I228</f>
        <v/>
      </c>
      <c r="H228" s="174" t="str">
        <f aca="false">ExportRaw!$A228</f>
        <v/>
      </c>
      <c r="I228" s="174" t="str">
        <f aca="false">ExportRaw!$B228</f>
        <v/>
      </c>
    </row>
    <row r="229" customFormat="false" ht="15.75" hidden="false" customHeight="false" outlineLevel="0" collapsed="false">
      <c r="A229" s="174" t="n">
        <f aca="false">ExportRaw!$F229</f>
        <v>0</v>
      </c>
      <c r="B229" s="174" t="n">
        <f aca="false">ExportRaw!$C229</f>
        <v>0</v>
      </c>
      <c r="C229" s="174" t="n">
        <f aca="false">ExportRaw!$G229</f>
        <v>0</v>
      </c>
      <c r="D229" s="174" t="str">
        <f aca="false">ExportRaw!$E229</f>
        <v/>
      </c>
      <c r="E229" s="175" t="str">
        <f aca="false">ExportRaw!$D229</f>
        <v/>
      </c>
      <c r="F229" s="174" t="str">
        <f aca="false">ExportRaw!$H229</f>
        <v/>
      </c>
      <c r="G229" s="176" t="str">
        <f aca="false">ExportRaw!$I229</f>
        <v/>
      </c>
      <c r="H229" s="174" t="str">
        <f aca="false">ExportRaw!$A229</f>
        <v/>
      </c>
      <c r="I229" s="174" t="str">
        <f aca="false">ExportRaw!$B229</f>
        <v/>
      </c>
    </row>
    <row r="230" customFormat="false" ht="15.75" hidden="false" customHeight="false" outlineLevel="0" collapsed="false">
      <c r="A230" s="174" t="n">
        <f aca="false">ExportRaw!$F230</f>
        <v>0</v>
      </c>
      <c r="B230" s="174" t="n">
        <f aca="false">ExportRaw!$C230</f>
        <v>0</v>
      </c>
      <c r="C230" s="174" t="n">
        <f aca="false">ExportRaw!$G230</f>
        <v>0</v>
      </c>
      <c r="D230" s="174" t="str">
        <f aca="false">ExportRaw!$E230</f>
        <v/>
      </c>
      <c r="E230" s="175" t="str">
        <f aca="false">ExportRaw!$D230</f>
        <v/>
      </c>
      <c r="F230" s="174" t="str">
        <f aca="false">ExportRaw!$H230</f>
        <v/>
      </c>
      <c r="G230" s="176" t="str">
        <f aca="false">ExportRaw!$I230</f>
        <v/>
      </c>
      <c r="H230" s="174" t="str">
        <f aca="false">ExportRaw!$A230</f>
        <v/>
      </c>
      <c r="I230" s="174" t="str">
        <f aca="false">ExportRaw!$B230</f>
        <v/>
      </c>
    </row>
    <row r="231" customFormat="false" ht="15.75" hidden="false" customHeight="false" outlineLevel="0" collapsed="false">
      <c r="A231" s="174" t="n">
        <f aca="false">ExportRaw!$F231</f>
        <v>0</v>
      </c>
      <c r="B231" s="174" t="n">
        <f aca="false">ExportRaw!$C231</f>
        <v>0</v>
      </c>
      <c r="C231" s="174" t="n">
        <f aca="false">ExportRaw!$G231</f>
        <v>0</v>
      </c>
      <c r="D231" s="174" t="str">
        <f aca="false">ExportRaw!$E231</f>
        <v/>
      </c>
      <c r="E231" s="175" t="str">
        <f aca="false">ExportRaw!$D231</f>
        <v/>
      </c>
      <c r="F231" s="174" t="str">
        <f aca="false">ExportRaw!$H231</f>
        <v/>
      </c>
      <c r="G231" s="176" t="str">
        <f aca="false">ExportRaw!$I231</f>
        <v/>
      </c>
      <c r="H231" s="174" t="str">
        <f aca="false">ExportRaw!$A231</f>
        <v/>
      </c>
      <c r="I231" s="174" t="str">
        <f aca="false">ExportRaw!$B231</f>
        <v/>
      </c>
    </row>
    <row r="232" customFormat="false" ht="15.75" hidden="false" customHeight="false" outlineLevel="0" collapsed="false">
      <c r="A232" s="174" t="n">
        <f aca="false">ExportRaw!$F232</f>
        <v>0</v>
      </c>
      <c r="B232" s="174" t="n">
        <f aca="false">ExportRaw!$C232</f>
        <v>0</v>
      </c>
      <c r="C232" s="174" t="n">
        <f aca="false">ExportRaw!$G232</f>
        <v>0</v>
      </c>
      <c r="D232" s="174" t="str">
        <f aca="false">ExportRaw!$E232</f>
        <v/>
      </c>
      <c r="E232" s="175" t="str">
        <f aca="false">ExportRaw!$D232</f>
        <v/>
      </c>
      <c r="F232" s="174" t="str">
        <f aca="false">ExportRaw!$H232</f>
        <v/>
      </c>
      <c r="G232" s="176" t="str">
        <f aca="false">ExportRaw!$I232</f>
        <v/>
      </c>
      <c r="H232" s="174" t="str">
        <f aca="false">ExportRaw!$A232</f>
        <v/>
      </c>
      <c r="I232" s="174" t="str">
        <f aca="false">ExportRaw!$B232</f>
        <v/>
      </c>
    </row>
    <row r="233" customFormat="false" ht="15.75" hidden="false" customHeight="false" outlineLevel="0" collapsed="false">
      <c r="A233" s="174" t="n">
        <f aca="false">ExportRaw!$F233</f>
        <v>0</v>
      </c>
      <c r="B233" s="174" t="n">
        <f aca="false">ExportRaw!$C233</f>
        <v>0</v>
      </c>
      <c r="C233" s="174" t="n">
        <f aca="false">ExportRaw!$G233</f>
        <v>0</v>
      </c>
      <c r="D233" s="174" t="str">
        <f aca="false">ExportRaw!$E233</f>
        <v/>
      </c>
      <c r="E233" s="175" t="str">
        <f aca="false">ExportRaw!$D233</f>
        <v/>
      </c>
      <c r="F233" s="174" t="str">
        <f aca="false">ExportRaw!$H233</f>
        <v/>
      </c>
      <c r="G233" s="176" t="str">
        <f aca="false">ExportRaw!$I233</f>
        <v/>
      </c>
      <c r="H233" s="174" t="str">
        <f aca="false">ExportRaw!$A233</f>
        <v/>
      </c>
      <c r="I233" s="174" t="str">
        <f aca="false">ExportRaw!$B233</f>
        <v/>
      </c>
    </row>
    <row r="234" customFormat="false" ht="15.75" hidden="false" customHeight="false" outlineLevel="0" collapsed="false">
      <c r="A234" s="174" t="n">
        <f aca="false">ExportRaw!$F234</f>
        <v>0</v>
      </c>
      <c r="B234" s="174" t="n">
        <f aca="false">ExportRaw!$C234</f>
        <v>0</v>
      </c>
      <c r="C234" s="174" t="n">
        <f aca="false">ExportRaw!$G234</f>
        <v>0</v>
      </c>
      <c r="D234" s="174" t="str">
        <f aca="false">ExportRaw!$E234</f>
        <v/>
      </c>
      <c r="E234" s="175" t="str">
        <f aca="false">ExportRaw!$D234</f>
        <v/>
      </c>
      <c r="F234" s="174" t="str">
        <f aca="false">ExportRaw!$H234</f>
        <v/>
      </c>
      <c r="G234" s="176" t="str">
        <f aca="false">ExportRaw!$I234</f>
        <v/>
      </c>
      <c r="H234" s="174" t="str">
        <f aca="false">ExportRaw!$A234</f>
        <v/>
      </c>
      <c r="I234" s="174" t="str">
        <f aca="false">ExportRaw!$B234</f>
        <v/>
      </c>
    </row>
    <row r="235" customFormat="false" ht="15.75" hidden="false" customHeight="false" outlineLevel="0" collapsed="false">
      <c r="A235" s="174" t="n">
        <f aca="false">ExportRaw!$F235</f>
        <v>0</v>
      </c>
      <c r="B235" s="174" t="n">
        <f aca="false">ExportRaw!$C235</f>
        <v>0</v>
      </c>
      <c r="C235" s="174" t="n">
        <f aca="false">ExportRaw!$G235</f>
        <v>0</v>
      </c>
      <c r="D235" s="174" t="str">
        <f aca="false">ExportRaw!$E235</f>
        <v/>
      </c>
      <c r="E235" s="175" t="str">
        <f aca="false">ExportRaw!$D235</f>
        <v/>
      </c>
      <c r="F235" s="174" t="str">
        <f aca="false">ExportRaw!$H235</f>
        <v/>
      </c>
      <c r="G235" s="176" t="str">
        <f aca="false">ExportRaw!$I235</f>
        <v/>
      </c>
      <c r="H235" s="174" t="str">
        <f aca="false">ExportRaw!$A235</f>
        <v/>
      </c>
      <c r="I235" s="174" t="str">
        <f aca="false">ExportRaw!$B235</f>
        <v/>
      </c>
    </row>
    <row r="236" customFormat="false" ht="15.75" hidden="false" customHeight="false" outlineLevel="0" collapsed="false">
      <c r="A236" s="174" t="n">
        <f aca="false">ExportRaw!$F236</f>
        <v>0</v>
      </c>
      <c r="B236" s="174" t="n">
        <f aca="false">ExportRaw!$C236</f>
        <v>0</v>
      </c>
      <c r="C236" s="174" t="n">
        <f aca="false">ExportRaw!$G236</f>
        <v>0</v>
      </c>
      <c r="D236" s="174" t="str">
        <f aca="false">ExportRaw!$E236</f>
        <v/>
      </c>
      <c r="E236" s="175" t="str">
        <f aca="false">ExportRaw!$D236</f>
        <v/>
      </c>
      <c r="F236" s="174" t="str">
        <f aca="false">ExportRaw!$H236</f>
        <v/>
      </c>
      <c r="G236" s="176" t="str">
        <f aca="false">ExportRaw!$I236</f>
        <v/>
      </c>
      <c r="H236" s="174" t="str">
        <f aca="false">ExportRaw!$A236</f>
        <v/>
      </c>
      <c r="I236" s="174" t="str">
        <f aca="false">ExportRaw!$B236</f>
        <v/>
      </c>
    </row>
    <row r="237" customFormat="false" ht="15.75" hidden="false" customHeight="false" outlineLevel="0" collapsed="false">
      <c r="A237" s="174" t="n">
        <f aca="false">ExportRaw!$F237</f>
        <v>0</v>
      </c>
      <c r="B237" s="174" t="n">
        <f aca="false">ExportRaw!$C237</f>
        <v>0</v>
      </c>
      <c r="C237" s="174" t="n">
        <f aca="false">ExportRaw!$G237</f>
        <v>0</v>
      </c>
      <c r="D237" s="174" t="str">
        <f aca="false">ExportRaw!$E237</f>
        <v/>
      </c>
      <c r="E237" s="175" t="str">
        <f aca="false">ExportRaw!$D237</f>
        <v/>
      </c>
      <c r="F237" s="174" t="str">
        <f aca="false">ExportRaw!$H237</f>
        <v/>
      </c>
      <c r="G237" s="176" t="str">
        <f aca="false">ExportRaw!$I237</f>
        <v/>
      </c>
      <c r="H237" s="174" t="str">
        <f aca="false">ExportRaw!$A237</f>
        <v/>
      </c>
      <c r="I237" s="174" t="str">
        <f aca="false">ExportRaw!$B237</f>
        <v/>
      </c>
    </row>
    <row r="238" customFormat="false" ht="15.75" hidden="false" customHeight="false" outlineLevel="0" collapsed="false">
      <c r="A238" s="174" t="n">
        <f aca="false">ExportRaw!$F238</f>
        <v>0</v>
      </c>
      <c r="B238" s="174" t="n">
        <f aca="false">ExportRaw!$C238</f>
        <v>0</v>
      </c>
      <c r="C238" s="174" t="n">
        <f aca="false">ExportRaw!$G238</f>
        <v>0</v>
      </c>
      <c r="D238" s="174" t="str">
        <f aca="false">ExportRaw!$E238</f>
        <v/>
      </c>
      <c r="E238" s="175" t="str">
        <f aca="false">ExportRaw!$D238</f>
        <v/>
      </c>
      <c r="F238" s="174" t="str">
        <f aca="false">ExportRaw!$H238</f>
        <v/>
      </c>
      <c r="G238" s="176" t="str">
        <f aca="false">ExportRaw!$I238</f>
        <v/>
      </c>
      <c r="H238" s="174" t="str">
        <f aca="false">ExportRaw!$A238</f>
        <v/>
      </c>
      <c r="I238" s="174" t="str">
        <f aca="false">ExportRaw!$B238</f>
        <v/>
      </c>
    </row>
    <row r="239" customFormat="false" ht="15.75" hidden="false" customHeight="false" outlineLevel="0" collapsed="false">
      <c r="A239" s="174" t="n">
        <f aca="false">ExportRaw!$F239</f>
        <v>0</v>
      </c>
      <c r="B239" s="174" t="n">
        <f aca="false">ExportRaw!$C239</f>
        <v>0</v>
      </c>
      <c r="C239" s="174" t="n">
        <f aca="false">ExportRaw!$G239</f>
        <v>0</v>
      </c>
      <c r="D239" s="174" t="str">
        <f aca="false">ExportRaw!$E239</f>
        <v/>
      </c>
      <c r="E239" s="175" t="str">
        <f aca="false">ExportRaw!$D239</f>
        <v/>
      </c>
      <c r="F239" s="174" t="str">
        <f aca="false">ExportRaw!$H239</f>
        <v/>
      </c>
      <c r="G239" s="176" t="str">
        <f aca="false">ExportRaw!$I239</f>
        <v/>
      </c>
      <c r="H239" s="174" t="str">
        <f aca="false">ExportRaw!$A239</f>
        <v/>
      </c>
      <c r="I239" s="174" t="str">
        <f aca="false">ExportRaw!$B239</f>
        <v/>
      </c>
    </row>
    <row r="240" customFormat="false" ht="15.75" hidden="false" customHeight="false" outlineLevel="0" collapsed="false">
      <c r="A240" s="174" t="n">
        <f aca="false">ExportRaw!$F240</f>
        <v>0</v>
      </c>
      <c r="B240" s="174" t="n">
        <f aca="false">ExportRaw!$C240</f>
        <v>0</v>
      </c>
      <c r="C240" s="174" t="n">
        <f aca="false">ExportRaw!$G240</f>
        <v>0</v>
      </c>
      <c r="D240" s="174" t="str">
        <f aca="false">ExportRaw!$E240</f>
        <v/>
      </c>
      <c r="E240" s="175" t="str">
        <f aca="false">ExportRaw!$D240</f>
        <v/>
      </c>
      <c r="F240" s="174" t="str">
        <f aca="false">ExportRaw!$H240</f>
        <v/>
      </c>
      <c r="G240" s="176" t="str">
        <f aca="false">ExportRaw!$I240</f>
        <v/>
      </c>
      <c r="H240" s="174" t="str">
        <f aca="false">ExportRaw!$A240</f>
        <v/>
      </c>
      <c r="I240" s="174" t="str">
        <f aca="false">ExportRaw!$B240</f>
        <v/>
      </c>
    </row>
    <row r="241" customFormat="false" ht="15.75" hidden="false" customHeight="false" outlineLevel="0" collapsed="false">
      <c r="A241" s="174" t="n">
        <f aca="false">ExportRaw!$F241</f>
        <v>0</v>
      </c>
      <c r="B241" s="174" t="n">
        <f aca="false">ExportRaw!$C241</f>
        <v>0</v>
      </c>
      <c r="C241" s="174" t="n">
        <f aca="false">ExportRaw!$G241</f>
        <v>0</v>
      </c>
      <c r="D241" s="174" t="str">
        <f aca="false">ExportRaw!$E241</f>
        <v/>
      </c>
      <c r="E241" s="175" t="str">
        <f aca="false">ExportRaw!$D241</f>
        <v/>
      </c>
      <c r="F241" s="174" t="str">
        <f aca="false">ExportRaw!$H241</f>
        <v/>
      </c>
      <c r="G241" s="176" t="str">
        <f aca="false">ExportRaw!$I241</f>
        <v/>
      </c>
      <c r="H241" s="174" t="str">
        <f aca="false">ExportRaw!$A241</f>
        <v/>
      </c>
      <c r="I241" s="174" t="str">
        <f aca="false">ExportRaw!$B241</f>
        <v/>
      </c>
    </row>
    <row r="242" customFormat="false" ht="15.75" hidden="false" customHeight="false" outlineLevel="0" collapsed="false">
      <c r="A242" s="174" t="n">
        <f aca="false">ExportRaw!$F242</f>
        <v>0</v>
      </c>
      <c r="B242" s="174" t="n">
        <f aca="false">ExportRaw!$C242</f>
        <v>0</v>
      </c>
      <c r="C242" s="174" t="n">
        <f aca="false">ExportRaw!$G242</f>
        <v>0</v>
      </c>
      <c r="D242" s="174" t="str">
        <f aca="false">ExportRaw!$E242</f>
        <v/>
      </c>
      <c r="E242" s="175" t="str">
        <f aca="false">ExportRaw!$D242</f>
        <v/>
      </c>
      <c r="F242" s="174" t="str">
        <f aca="false">ExportRaw!$H242</f>
        <v/>
      </c>
      <c r="G242" s="176" t="str">
        <f aca="false">ExportRaw!$I242</f>
        <v/>
      </c>
      <c r="H242" s="174" t="str">
        <f aca="false">ExportRaw!$A242</f>
        <v/>
      </c>
      <c r="I242" s="174" t="str">
        <f aca="false">ExportRaw!$B242</f>
        <v/>
      </c>
    </row>
    <row r="243" customFormat="false" ht="15.75" hidden="false" customHeight="false" outlineLevel="0" collapsed="false">
      <c r="A243" s="174" t="n">
        <f aca="false">ExportRaw!$F243</f>
        <v>0</v>
      </c>
      <c r="B243" s="174" t="n">
        <f aca="false">ExportRaw!$C243</f>
        <v>0</v>
      </c>
      <c r="C243" s="174" t="n">
        <f aca="false">ExportRaw!$G243</f>
        <v>0</v>
      </c>
      <c r="D243" s="174" t="str">
        <f aca="false">ExportRaw!$E243</f>
        <v/>
      </c>
      <c r="E243" s="175" t="str">
        <f aca="false">ExportRaw!$D243</f>
        <v/>
      </c>
      <c r="F243" s="174" t="str">
        <f aca="false">ExportRaw!$H243</f>
        <v/>
      </c>
      <c r="G243" s="176" t="str">
        <f aca="false">ExportRaw!$I243</f>
        <v/>
      </c>
      <c r="H243" s="174" t="str">
        <f aca="false">ExportRaw!$A243</f>
        <v/>
      </c>
      <c r="I243" s="174" t="str">
        <f aca="false">ExportRaw!$B243</f>
        <v/>
      </c>
    </row>
    <row r="244" customFormat="false" ht="15.75" hidden="false" customHeight="false" outlineLevel="0" collapsed="false">
      <c r="A244" s="174" t="n">
        <f aca="false">ExportRaw!$F244</f>
        <v>0</v>
      </c>
      <c r="B244" s="174" t="n">
        <f aca="false">ExportRaw!$C244</f>
        <v>0</v>
      </c>
      <c r="C244" s="174" t="n">
        <f aca="false">ExportRaw!$G244</f>
        <v>0</v>
      </c>
      <c r="D244" s="174" t="str">
        <f aca="false">ExportRaw!$E244</f>
        <v/>
      </c>
      <c r="E244" s="175" t="str">
        <f aca="false">ExportRaw!$D244</f>
        <v/>
      </c>
      <c r="F244" s="174" t="str">
        <f aca="false">ExportRaw!$H244</f>
        <v/>
      </c>
      <c r="G244" s="176" t="str">
        <f aca="false">ExportRaw!$I244</f>
        <v/>
      </c>
      <c r="H244" s="174" t="str">
        <f aca="false">ExportRaw!$A244</f>
        <v/>
      </c>
      <c r="I244" s="174" t="str">
        <f aca="false">ExportRaw!$B244</f>
        <v/>
      </c>
    </row>
    <row r="245" customFormat="false" ht="15.75" hidden="false" customHeight="false" outlineLevel="0" collapsed="false">
      <c r="A245" s="174" t="n">
        <f aca="false">ExportRaw!$F245</f>
        <v>0</v>
      </c>
      <c r="B245" s="174" t="n">
        <f aca="false">ExportRaw!$C245</f>
        <v>0</v>
      </c>
      <c r="C245" s="174" t="n">
        <f aca="false">ExportRaw!$G245</f>
        <v>0</v>
      </c>
      <c r="D245" s="174" t="str">
        <f aca="false">ExportRaw!$E245</f>
        <v/>
      </c>
      <c r="E245" s="175" t="str">
        <f aca="false">ExportRaw!$D245</f>
        <v/>
      </c>
      <c r="F245" s="174" t="str">
        <f aca="false">ExportRaw!$H245</f>
        <v/>
      </c>
      <c r="G245" s="176" t="str">
        <f aca="false">ExportRaw!$I245</f>
        <v/>
      </c>
      <c r="H245" s="174" t="str">
        <f aca="false">ExportRaw!$A245</f>
        <v/>
      </c>
      <c r="I245" s="174" t="str">
        <f aca="false">ExportRaw!$B245</f>
        <v/>
      </c>
    </row>
    <row r="246" customFormat="false" ht="15.75" hidden="false" customHeight="false" outlineLevel="0" collapsed="false">
      <c r="A246" s="174" t="n">
        <f aca="false">ExportRaw!$F246</f>
        <v>0</v>
      </c>
      <c r="B246" s="174" t="n">
        <f aca="false">ExportRaw!$C246</f>
        <v>0</v>
      </c>
      <c r="C246" s="174" t="n">
        <f aca="false">ExportRaw!$G246</f>
        <v>0</v>
      </c>
      <c r="D246" s="174" t="str">
        <f aca="false">ExportRaw!$E246</f>
        <v/>
      </c>
      <c r="E246" s="175" t="str">
        <f aca="false">ExportRaw!$D246</f>
        <v/>
      </c>
      <c r="F246" s="174" t="str">
        <f aca="false">ExportRaw!$H246</f>
        <v/>
      </c>
      <c r="G246" s="176" t="str">
        <f aca="false">ExportRaw!$I246</f>
        <v/>
      </c>
      <c r="H246" s="174" t="str">
        <f aca="false">ExportRaw!$A246</f>
        <v/>
      </c>
      <c r="I246" s="174" t="str">
        <f aca="false">ExportRaw!$B246</f>
        <v/>
      </c>
    </row>
    <row r="247" customFormat="false" ht="15.75" hidden="false" customHeight="false" outlineLevel="0" collapsed="false">
      <c r="A247" s="174" t="n">
        <f aca="false">ExportRaw!$F247</f>
        <v>0</v>
      </c>
      <c r="B247" s="174" t="n">
        <f aca="false">ExportRaw!$C247</f>
        <v>0</v>
      </c>
      <c r="C247" s="174" t="n">
        <f aca="false">ExportRaw!$G247</f>
        <v>0</v>
      </c>
      <c r="D247" s="174" t="str">
        <f aca="false">ExportRaw!$E247</f>
        <v/>
      </c>
      <c r="E247" s="175" t="str">
        <f aca="false">ExportRaw!$D247</f>
        <v/>
      </c>
      <c r="F247" s="174" t="str">
        <f aca="false">ExportRaw!$H247</f>
        <v/>
      </c>
      <c r="G247" s="176" t="str">
        <f aca="false">ExportRaw!$I247</f>
        <v/>
      </c>
      <c r="H247" s="174" t="str">
        <f aca="false">ExportRaw!$A247</f>
        <v/>
      </c>
      <c r="I247" s="174" t="str">
        <f aca="false">ExportRaw!$B247</f>
        <v/>
      </c>
    </row>
    <row r="248" customFormat="false" ht="15.75" hidden="false" customHeight="false" outlineLevel="0" collapsed="false">
      <c r="A248" s="174" t="n">
        <f aca="false">ExportRaw!$F248</f>
        <v>0</v>
      </c>
      <c r="B248" s="174" t="n">
        <f aca="false">ExportRaw!$C248</f>
        <v>0</v>
      </c>
      <c r="C248" s="174" t="n">
        <f aca="false">ExportRaw!$G248</f>
        <v>0</v>
      </c>
      <c r="D248" s="174" t="str">
        <f aca="false">ExportRaw!$E248</f>
        <v/>
      </c>
      <c r="E248" s="175" t="str">
        <f aca="false">ExportRaw!$D248</f>
        <v/>
      </c>
      <c r="F248" s="174" t="str">
        <f aca="false">ExportRaw!$H248</f>
        <v/>
      </c>
      <c r="G248" s="176" t="str">
        <f aca="false">ExportRaw!$I248</f>
        <v/>
      </c>
      <c r="H248" s="174" t="str">
        <f aca="false">ExportRaw!$A248</f>
        <v/>
      </c>
      <c r="I248" s="174" t="str">
        <f aca="false">ExportRaw!$B248</f>
        <v/>
      </c>
    </row>
    <row r="249" customFormat="false" ht="15.75" hidden="false" customHeight="false" outlineLevel="0" collapsed="false">
      <c r="A249" s="174" t="n">
        <f aca="false">ExportRaw!$F249</f>
        <v>0</v>
      </c>
      <c r="B249" s="174" t="n">
        <f aca="false">ExportRaw!$C249</f>
        <v>0</v>
      </c>
      <c r="C249" s="174" t="n">
        <f aca="false">ExportRaw!$G249</f>
        <v>0</v>
      </c>
      <c r="D249" s="174" t="str">
        <f aca="false">ExportRaw!$E249</f>
        <v/>
      </c>
      <c r="E249" s="175" t="str">
        <f aca="false">ExportRaw!$D249</f>
        <v/>
      </c>
      <c r="F249" s="174" t="str">
        <f aca="false">ExportRaw!$H249</f>
        <v/>
      </c>
      <c r="G249" s="176" t="str">
        <f aca="false">ExportRaw!$I249</f>
        <v/>
      </c>
      <c r="H249" s="174" t="str">
        <f aca="false">ExportRaw!$A249</f>
        <v/>
      </c>
      <c r="I249" s="174" t="str">
        <f aca="false">ExportRaw!$B249</f>
        <v/>
      </c>
    </row>
    <row r="250" customFormat="false" ht="15.75" hidden="false" customHeight="false" outlineLevel="0" collapsed="false">
      <c r="A250" s="174" t="n">
        <f aca="false">ExportRaw!$F250</f>
        <v>0</v>
      </c>
      <c r="B250" s="174" t="n">
        <f aca="false">ExportRaw!$C250</f>
        <v>0</v>
      </c>
      <c r="C250" s="174" t="n">
        <f aca="false">ExportRaw!$G250</f>
        <v>0</v>
      </c>
      <c r="D250" s="174" t="str">
        <f aca="false">ExportRaw!$E250</f>
        <v/>
      </c>
      <c r="E250" s="175" t="str">
        <f aca="false">ExportRaw!$D250</f>
        <v/>
      </c>
      <c r="F250" s="174" t="str">
        <f aca="false">ExportRaw!$H250</f>
        <v/>
      </c>
      <c r="G250" s="176" t="str">
        <f aca="false">ExportRaw!$I250</f>
        <v/>
      </c>
      <c r="H250" s="174" t="str">
        <f aca="false">ExportRaw!$A250</f>
        <v/>
      </c>
      <c r="I250" s="174" t="str">
        <f aca="false">ExportRaw!$B250</f>
        <v/>
      </c>
    </row>
    <row r="251" customFormat="false" ht="15.75" hidden="false" customHeight="false" outlineLevel="0" collapsed="false">
      <c r="A251" s="174" t="n">
        <f aca="false">ExportRaw!$F251</f>
        <v>0</v>
      </c>
      <c r="B251" s="174" t="n">
        <f aca="false">ExportRaw!$C251</f>
        <v>0</v>
      </c>
      <c r="C251" s="174" t="n">
        <f aca="false">ExportRaw!$G251</f>
        <v>0</v>
      </c>
      <c r="D251" s="174" t="str">
        <f aca="false">ExportRaw!$E251</f>
        <v/>
      </c>
      <c r="E251" s="175" t="str">
        <f aca="false">ExportRaw!$D251</f>
        <v/>
      </c>
      <c r="F251" s="174" t="str">
        <f aca="false">ExportRaw!$H251</f>
        <v/>
      </c>
      <c r="G251" s="176" t="str">
        <f aca="false">ExportRaw!$I251</f>
        <v/>
      </c>
      <c r="H251" s="174" t="str">
        <f aca="false">ExportRaw!$A251</f>
        <v/>
      </c>
      <c r="I251" s="174" t="str">
        <f aca="false">ExportRaw!$B251</f>
        <v/>
      </c>
    </row>
    <row r="252" customFormat="false" ht="15.75" hidden="false" customHeight="false" outlineLevel="0" collapsed="false">
      <c r="A252" s="174" t="n">
        <f aca="false">ExportRaw!$F252</f>
        <v>0</v>
      </c>
      <c r="B252" s="174" t="n">
        <f aca="false">ExportRaw!$C252</f>
        <v>0</v>
      </c>
      <c r="C252" s="174" t="n">
        <f aca="false">ExportRaw!$G252</f>
        <v>0</v>
      </c>
      <c r="D252" s="174" t="str">
        <f aca="false">ExportRaw!$E252</f>
        <v/>
      </c>
      <c r="E252" s="175" t="str">
        <f aca="false">ExportRaw!$D252</f>
        <v/>
      </c>
      <c r="F252" s="174" t="str">
        <f aca="false">ExportRaw!$H252</f>
        <v/>
      </c>
      <c r="G252" s="176" t="str">
        <f aca="false">ExportRaw!$I252</f>
        <v/>
      </c>
      <c r="H252" s="174" t="str">
        <f aca="false">ExportRaw!$A252</f>
        <v/>
      </c>
      <c r="I252" s="174" t="str">
        <f aca="false">ExportRaw!$B252</f>
        <v/>
      </c>
    </row>
    <row r="253" customFormat="false" ht="15.75" hidden="false" customHeight="false" outlineLevel="0" collapsed="false">
      <c r="A253" s="174" t="n">
        <f aca="false">ExportRaw!$F253</f>
        <v>0</v>
      </c>
      <c r="B253" s="174" t="n">
        <f aca="false">ExportRaw!$C253</f>
        <v>0</v>
      </c>
      <c r="C253" s="174" t="n">
        <f aca="false">ExportRaw!$G253</f>
        <v>0</v>
      </c>
      <c r="D253" s="174" t="str">
        <f aca="false">ExportRaw!$E253</f>
        <v/>
      </c>
      <c r="E253" s="175" t="str">
        <f aca="false">ExportRaw!$D253</f>
        <v/>
      </c>
      <c r="F253" s="174" t="str">
        <f aca="false">ExportRaw!$H253</f>
        <v/>
      </c>
      <c r="G253" s="176" t="str">
        <f aca="false">ExportRaw!$I253</f>
        <v/>
      </c>
      <c r="H253" s="174" t="str">
        <f aca="false">ExportRaw!$A253</f>
        <v/>
      </c>
      <c r="I253" s="174" t="str">
        <f aca="false">ExportRaw!$B253</f>
        <v/>
      </c>
    </row>
    <row r="254" customFormat="false" ht="15.75" hidden="false" customHeight="false" outlineLevel="0" collapsed="false">
      <c r="A254" s="174" t="n">
        <f aca="false">ExportRaw!$F254</f>
        <v>0</v>
      </c>
      <c r="B254" s="174" t="n">
        <f aca="false">ExportRaw!$C254</f>
        <v>0</v>
      </c>
      <c r="C254" s="174" t="n">
        <f aca="false">ExportRaw!$G254</f>
        <v>0</v>
      </c>
      <c r="D254" s="174" t="str">
        <f aca="false">ExportRaw!$E254</f>
        <v/>
      </c>
      <c r="E254" s="175" t="str">
        <f aca="false">ExportRaw!$D254</f>
        <v/>
      </c>
      <c r="F254" s="174" t="str">
        <f aca="false">ExportRaw!$H254</f>
        <v/>
      </c>
      <c r="G254" s="176" t="str">
        <f aca="false">ExportRaw!$I254</f>
        <v/>
      </c>
      <c r="H254" s="174" t="str">
        <f aca="false">ExportRaw!$A254</f>
        <v/>
      </c>
      <c r="I254" s="174" t="str">
        <f aca="false">ExportRaw!$B254</f>
        <v/>
      </c>
    </row>
    <row r="255" customFormat="false" ht="15.75" hidden="false" customHeight="false" outlineLevel="0" collapsed="false">
      <c r="A255" s="174" t="n">
        <f aca="false">ExportRaw!$F255</f>
        <v>0</v>
      </c>
      <c r="B255" s="174" t="n">
        <f aca="false">ExportRaw!$C255</f>
        <v>0</v>
      </c>
      <c r="C255" s="174" t="n">
        <f aca="false">ExportRaw!$G255</f>
        <v>0</v>
      </c>
      <c r="D255" s="174" t="str">
        <f aca="false">ExportRaw!$E255</f>
        <v/>
      </c>
      <c r="E255" s="175" t="str">
        <f aca="false">ExportRaw!$D255</f>
        <v/>
      </c>
      <c r="F255" s="174" t="str">
        <f aca="false">ExportRaw!$H255</f>
        <v/>
      </c>
      <c r="G255" s="176" t="str">
        <f aca="false">ExportRaw!$I255</f>
        <v/>
      </c>
      <c r="H255" s="174" t="str">
        <f aca="false">ExportRaw!$A255</f>
        <v/>
      </c>
      <c r="I255" s="174" t="str">
        <f aca="false">ExportRaw!$B255</f>
        <v/>
      </c>
    </row>
    <row r="256" customFormat="false" ht="15.75" hidden="false" customHeight="false" outlineLevel="0" collapsed="false">
      <c r="A256" s="174" t="n">
        <f aca="false">ExportRaw!$F256</f>
        <v>0</v>
      </c>
      <c r="B256" s="174" t="n">
        <f aca="false">ExportRaw!$C256</f>
        <v>0</v>
      </c>
      <c r="C256" s="174" t="n">
        <f aca="false">ExportRaw!$G256</f>
        <v>0</v>
      </c>
      <c r="D256" s="174" t="str">
        <f aca="false">ExportRaw!$E256</f>
        <v/>
      </c>
      <c r="E256" s="175" t="str">
        <f aca="false">ExportRaw!$D256</f>
        <v/>
      </c>
      <c r="F256" s="174" t="str">
        <f aca="false">ExportRaw!$H256</f>
        <v/>
      </c>
      <c r="G256" s="176" t="str">
        <f aca="false">ExportRaw!$I256</f>
        <v/>
      </c>
      <c r="H256" s="174" t="str">
        <f aca="false">ExportRaw!$A256</f>
        <v/>
      </c>
      <c r="I256" s="174" t="str">
        <f aca="false">ExportRaw!$B256</f>
        <v/>
      </c>
    </row>
    <row r="257" customFormat="false" ht="15.75" hidden="false" customHeight="false" outlineLevel="0" collapsed="false">
      <c r="A257" s="174" t="n">
        <f aca="false">ExportRaw!$F257</f>
        <v>0</v>
      </c>
      <c r="B257" s="174" t="n">
        <f aca="false">ExportRaw!$C257</f>
        <v>0</v>
      </c>
      <c r="C257" s="174" t="n">
        <f aca="false">ExportRaw!$G257</f>
        <v>0</v>
      </c>
      <c r="D257" s="174" t="str">
        <f aca="false">ExportRaw!$E257</f>
        <v/>
      </c>
      <c r="E257" s="175" t="str">
        <f aca="false">ExportRaw!$D257</f>
        <v/>
      </c>
      <c r="F257" s="174" t="str">
        <f aca="false">ExportRaw!$H257</f>
        <v/>
      </c>
      <c r="G257" s="176" t="str">
        <f aca="false">ExportRaw!$I257</f>
        <v/>
      </c>
      <c r="H257" s="174" t="str">
        <f aca="false">ExportRaw!$A257</f>
        <v/>
      </c>
      <c r="I257" s="174" t="str">
        <f aca="false">ExportRaw!$B257</f>
        <v/>
      </c>
    </row>
    <row r="258" customFormat="false" ht="15.75" hidden="false" customHeight="false" outlineLevel="0" collapsed="false">
      <c r="A258" s="174" t="n">
        <f aca="false">ExportRaw!$F258</f>
        <v>0</v>
      </c>
      <c r="B258" s="174" t="n">
        <f aca="false">ExportRaw!$C258</f>
        <v>0</v>
      </c>
      <c r="C258" s="174" t="n">
        <f aca="false">ExportRaw!$G258</f>
        <v>0</v>
      </c>
      <c r="D258" s="174" t="str">
        <f aca="false">ExportRaw!$E258</f>
        <v/>
      </c>
      <c r="E258" s="175" t="str">
        <f aca="false">ExportRaw!$D258</f>
        <v/>
      </c>
      <c r="F258" s="174" t="str">
        <f aca="false">ExportRaw!$H258</f>
        <v/>
      </c>
      <c r="G258" s="176" t="str">
        <f aca="false">ExportRaw!$I258</f>
        <v/>
      </c>
      <c r="H258" s="174" t="str">
        <f aca="false">ExportRaw!$A258</f>
        <v/>
      </c>
      <c r="I258" s="174" t="str">
        <f aca="false">ExportRaw!$B258</f>
        <v/>
      </c>
    </row>
    <row r="259" customFormat="false" ht="15.75" hidden="false" customHeight="false" outlineLevel="0" collapsed="false">
      <c r="A259" s="174" t="n">
        <f aca="false">ExportRaw!$F259</f>
        <v>0</v>
      </c>
      <c r="B259" s="174" t="n">
        <f aca="false">ExportRaw!$C259</f>
        <v>0</v>
      </c>
      <c r="C259" s="174" t="n">
        <f aca="false">ExportRaw!$G259</f>
        <v>0</v>
      </c>
      <c r="D259" s="174" t="str">
        <f aca="false">ExportRaw!$E259</f>
        <v/>
      </c>
      <c r="E259" s="175" t="str">
        <f aca="false">ExportRaw!$D259</f>
        <v/>
      </c>
      <c r="F259" s="174" t="str">
        <f aca="false">ExportRaw!$H259</f>
        <v/>
      </c>
      <c r="G259" s="176" t="str">
        <f aca="false">ExportRaw!$I259</f>
        <v/>
      </c>
      <c r="H259" s="174" t="str">
        <f aca="false">ExportRaw!$A259</f>
        <v/>
      </c>
      <c r="I259" s="174" t="str">
        <f aca="false">ExportRaw!$B259</f>
        <v/>
      </c>
    </row>
    <row r="260" customFormat="false" ht="15.75" hidden="false" customHeight="false" outlineLevel="0" collapsed="false">
      <c r="A260" s="174" t="n">
        <f aca="false">ExportRaw!$F260</f>
        <v>0</v>
      </c>
      <c r="B260" s="174" t="n">
        <f aca="false">ExportRaw!$C260</f>
        <v>0</v>
      </c>
      <c r="C260" s="174" t="n">
        <f aca="false">ExportRaw!$G260</f>
        <v>0</v>
      </c>
      <c r="D260" s="174" t="str">
        <f aca="false">ExportRaw!$E260</f>
        <v/>
      </c>
      <c r="E260" s="175" t="str">
        <f aca="false">ExportRaw!$D260</f>
        <v/>
      </c>
      <c r="F260" s="174" t="str">
        <f aca="false">ExportRaw!$H260</f>
        <v/>
      </c>
      <c r="G260" s="176" t="str">
        <f aca="false">ExportRaw!$I260</f>
        <v/>
      </c>
      <c r="H260" s="174" t="str">
        <f aca="false">ExportRaw!$A260</f>
        <v/>
      </c>
      <c r="I260" s="174" t="str">
        <f aca="false">ExportRaw!$B260</f>
        <v/>
      </c>
    </row>
    <row r="261" customFormat="false" ht="15.75" hidden="false" customHeight="false" outlineLevel="0" collapsed="false">
      <c r="A261" s="174" t="n">
        <f aca="false">ExportRaw!$F261</f>
        <v>0</v>
      </c>
      <c r="B261" s="174" t="n">
        <f aca="false">ExportRaw!$C261</f>
        <v>0</v>
      </c>
      <c r="C261" s="174" t="n">
        <f aca="false">ExportRaw!$G261</f>
        <v>0</v>
      </c>
      <c r="D261" s="174" t="str">
        <f aca="false">ExportRaw!$E261</f>
        <v/>
      </c>
      <c r="E261" s="175" t="str">
        <f aca="false">ExportRaw!$D261</f>
        <v/>
      </c>
      <c r="F261" s="174" t="str">
        <f aca="false">ExportRaw!$H261</f>
        <v/>
      </c>
      <c r="G261" s="176" t="str">
        <f aca="false">ExportRaw!$I261</f>
        <v/>
      </c>
      <c r="H261" s="174" t="str">
        <f aca="false">ExportRaw!$A261</f>
        <v/>
      </c>
      <c r="I261" s="174" t="str">
        <f aca="false">ExportRaw!$B261</f>
        <v/>
      </c>
    </row>
    <row r="262" customFormat="false" ht="15.75" hidden="false" customHeight="false" outlineLevel="0" collapsed="false">
      <c r="A262" s="174" t="n">
        <f aca="false">ExportRaw!$F262</f>
        <v>0</v>
      </c>
      <c r="B262" s="174" t="n">
        <f aca="false">ExportRaw!$C262</f>
        <v>0</v>
      </c>
      <c r="C262" s="174" t="n">
        <f aca="false">ExportRaw!$G262</f>
        <v>0</v>
      </c>
      <c r="D262" s="174" t="str">
        <f aca="false">ExportRaw!$E262</f>
        <v/>
      </c>
      <c r="E262" s="175" t="str">
        <f aca="false">ExportRaw!$D262</f>
        <v/>
      </c>
      <c r="F262" s="174" t="str">
        <f aca="false">ExportRaw!$H262</f>
        <v/>
      </c>
      <c r="G262" s="176" t="str">
        <f aca="false">ExportRaw!$I262</f>
        <v/>
      </c>
      <c r="H262" s="174" t="str">
        <f aca="false">ExportRaw!$A262</f>
        <v/>
      </c>
      <c r="I262" s="174" t="str">
        <f aca="false">ExportRaw!$B262</f>
        <v/>
      </c>
    </row>
    <row r="263" customFormat="false" ht="15.75" hidden="false" customHeight="false" outlineLevel="0" collapsed="false">
      <c r="A263" s="174" t="n">
        <f aca="false">ExportRaw!$F263</f>
        <v>0</v>
      </c>
      <c r="B263" s="174" t="n">
        <f aca="false">ExportRaw!$C263</f>
        <v>0</v>
      </c>
      <c r="C263" s="174" t="n">
        <f aca="false">ExportRaw!$G263</f>
        <v>0</v>
      </c>
      <c r="D263" s="174" t="str">
        <f aca="false">ExportRaw!$E263</f>
        <v/>
      </c>
      <c r="E263" s="175" t="str">
        <f aca="false">ExportRaw!$D263</f>
        <v/>
      </c>
      <c r="F263" s="174" t="str">
        <f aca="false">ExportRaw!$H263</f>
        <v/>
      </c>
      <c r="G263" s="176" t="str">
        <f aca="false">ExportRaw!$I263</f>
        <v/>
      </c>
      <c r="H263" s="174" t="str">
        <f aca="false">ExportRaw!$A263</f>
        <v/>
      </c>
      <c r="I263" s="174" t="str">
        <f aca="false">ExportRaw!$B263</f>
        <v/>
      </c>
    </row>
    <row r="264" customFormat="false" ht="15.75" hidden="false" customHeight="false" outlineLevel="0" collapsed="false">
      <c r="A264" s="174" t="n">
        <f aca="false">ExportRaw!$F264</f>
        <v>0</v>
      </c>
      <c r="B264" s="174" t="n">
        <f aca="false">ExportRaw!$C264</f>
        <v>0</v>
      </c>
      <c r="C264" s="174" t="n">
        <f aca="false">ExportRaw!$G264</f>
        <v>0</v>
      </c>
      <c r="D264" s="174" t="str">
        <f aca="false">ExportRaw!$E264</f>
        <v/>
      </c>
      <c r="E264" s="175" t="str">
        <f aca="false">ExportRaw!$D264</f>
        <v/>
      </c>
      <c r="F264" s="174" t="str">
        <f aca="false">ExportRaw!$H264</f>
        <v/>
      </c>
      <c r="G264" s="176" t="str">
        <f aca="false">ExportRaw!$I264</f>
        <v/>
      </c>
      <c r="H264" s="174" t="str">
        <f aca="false">ExportRaw!$A264</f>
        <v/>
      </c>
      <c r="I264" s="174" t="str">
        <f aca="false">ExportRaw!$B264</f>
        <v/>
      </c>
    </row>
    <row r="265" customFormat="false" ht="15.75" hidden="false" customHeight="false" outlineLevel="0" collapsed="false">
      <c r="A265" s="174" t="n">
        <f aca="false">ExportRaw!$F265</f>
        <v>0</v>
      </c>
      <c r="B265" s="174" t="n">
        <f aca="false">ExportRaw!$C265</f>
        <v>0</v>
      </c>
      <c r="C265" s="174" t="n">
        <f aca="false">ExportRaw!$G265</f>
        <v>0</v>
      </c>
      <c r="D265" s="174" t="str">
        <f aca="false">ExportRaw!$E265</f>
        <v/>
      </c>
      <c r="E265" s="175" t="str">
        <f aca="false">ExportRaw!$D265</f>
        <v/>
      </c>
      <c r="F265" s="174" t="str">
        <f aca="false">ExportRaw!$H265</f>
        <v/>
      </c>
      <c r="G265" s="176" t="str">
        <f aca="false">ExportRaw!$I265</f>
        <v/>
      </c>
      <c r="H265" s="174" t="str">
        <f aca="false">ExportRaw!$A265</f>
        <v/>
      </c>
      <c r="I265" s="174" t="str">
        <f aca="false">ExportRaw!$B265</f>
        <v/>
      </c>
    </row>
    <row r="266" customFormat="false" ht="15.75" hidden="false" customHeight="false" outlineLevel="0" collapsed="false">
      <c r="A266" s="174" t="n">
        <f aca="false">ExportRaw!$F266</f>
        <v>0</v>
      </c>
      <c r="B266" s="174" t="n">
        <f aca="false">ExportRaw!$C266</f>
        <v>0</v>
      </c>
      <c r="C266" s="174" t="n">
        <f aca="false">ExportRaw!$G266</f>
        <v>0</v>
      </c>
      <c r="D266" s="174" t="str">
        <f aca="false">ExportRaw!$E266</f>
        <v/>
      </c>
      <c r="E266" s="175" t="str">
        <f aca="false">ExportRaw!$D266</f>
        <v/>
      </c>
      <c r="F266" s="174" t="str">
        <f aca="false">ExportRaw!$H266</f>
        <v/>
      </c>
      <c r="G266" s="176" t="str">
        <f aca="false">ExportRaw!$I266</f>
        <v/>
      </c>
      <c r="H266" s="174" t="str">
        <f aca="false">ExportRaw!$A266</f>
        <v/>
      </c>
      <c r="I266" s="174" t="str">
        <f aca="false">ExportRaw!$B266</f>
        <v/>
      </c>
    </row>
    <row r="267" customFormat="false" ht="15.75" hidden="false" customHeight="false" outlineLevel="0" collapsed="false">
      <c r="A267" s="174" t="n">
        <f aca="false">ExportRaw!$F267</f>
        <v>0</v>
      </c>
      <c r="B267" s="174" t="n">
        <f aca="false">ExportRaw!$C267</f>
        <v>0</v>
      </c>
      <c r="C267" s="174" t="n">
        <f aca="false">ExportRaw!$G267</f>
        <v>0</v>
      </c>
      <c r="D267" s="174" t="str">
        <f aca="false">ExportRaw!$E267</f>
        <v/>
      </c>
      <c r="E267" s="175" t="str">
        <f aca="false">ExportRaw!$D267</f>
        <v/>
      </c>
      <c r="F267" s="174" t="str">
        <f aca="false">ExportRaw!$H267</f>
        <v/>
      </c>
      <c r="G267" s="176" t="str">
        <f aca="false">ExportRaw!$I267</f>
        <v/>
      </c>
      <c r="H267" s="174" t="str">
        <f aca="false">ExportRaw!$A267</f>
        <v/>
      </c>
      <c r="I267" s="174" t="str">
        <f aca="false">ExportRaw!$B267</f>
        <v/>
      </c>
    </row>
    <row r="268" customFormat="false" ht="15.75" hidden="false" customHeight="false" outlineLevel="0" collapsed="false">
      <c r="A268" s="174" t="n">
        <f aca="false">ExportRaw!$F268</f>
        <v>0</v>
      </c>
      <c r="B268" s="174" t="n">
        <f aca="false">ExportRaw!$C268</f>
        <v>0</v>
      </c>
      <c r="C268" s="174" t="n">
        <f aca="false">ExportRaw!$G268</f>
        <v>0</v>
      </c>
      <c r="D268" s="174" t="str">
        <f aca="false">ExportRaw!$E268</f>
        <v/>
      </c>
      <c r="E268" s="175" t="str">
        <f aca="false">ExportRaw!$D268</f>
        <v/>
      </c>
      <c r="F268" s="174" t="str">
        <f aca="false">ExportRaw!$H268</f>
        <v/>
      </c>
      <c r="G268" s="176" t="str">
        <f aca="false">ExportRaw!$I268</f>
        <v/>
      </c>
      <c r="H268" s="174" t="str">
        <f aca="false">ExportRaw!$A268</f>
        <v/>
      </c>
      <c r="I268" s="174" t="str">
        <f aca="false">ExportRaw!$B268</f>
        <v/>
      </c>
    </row>
    <row r="269" customFormat="false" ht="15.75" hidden="false" customHeight="false" outlineLevel="0" collapsed="false">
      <c r="A269" s="174" t="n">
        <f aca="false">ExportRaw!$F269</f>
        <v>0</v>
      </c>
      <c r="B269" s="174" t="n">
        <f aca="false">ExportRaw!$C269</f>
        <v>0</v>
      </c>
      <c r="C269" s="174" t="n">
        <f aca="false">ExportRaw!$G269</f>
        <v>0</v>
      </c>
      <c r="D269" s="174" t="str">
        <f aca="false">ExportRaw!$E269</f>
        <v/>
      </c>
      <c r="E269" s="175" t="str">
        <f aca="false">ExportRaw!$D269</f>
        <v/>
      </c>
      <c r="F269" s="174" t="str">
        <f aca="false">ExportRaw!$H269</f>
        <v/>
      </c>
      <c r="G269" s="176" t="str">
        <f aca="false">ExportRaw!$I269</f>
        <v/>
      </c>
      <c r="H269" s="174" t="str">
        <f aca="false">ExportRaw!$A269</f>
        <v/>
      </c>
      <c r="I269" s="174" t="str">
        <f aca="false">ExportRaw!$B269</f>
        <v/>
      </c>
    </row>
    <row r="270" customFormat="false" ht="15.75" hidden="false" customHeight="false" outlineLevel="0" collapsed="false">
      <c r="A270" s="174" t="n">
        <f aca="false">ExportRaw!$F270</f>
        <v>0</v>
      </c>
      <c r="B270" s="174" t="n">
        <f aca="false">ExportRaw!$C270</f>
        <v>0</v>
      </c>
      <c r="C270" s="174" t="n">
        <f aca="false">ExportRaw!$G270</f>
        <v>0</v>
      </c>
      <c r="D270" s="174" t="str">
        <f aca="false">ExportRaw!$E270</f>
        <v/>
      </c>
      <c r="E270" s="175" t="str">
        <f aca="false">ExportRaw!$D270</f>
        <v/>
      </c>
      <c r="F270" s="174" t="str">
        <f aca="false">ExportRaw!$H270</f>
        <v/>
      </c>
      <c r="G270" s="176" t="str">
        <f aca="false">ExportRaw!$I270</f>
        <v/>
      </c>
      <c r="H270" s="174" t="str">
        <f aca="false">ExportRaw!$A270</f>
        <v/>
      </c>
      <c r="I270" s="174" t="str">
        <f aca="false">ExportRaw!$B270</f>
        <v/>
      </c>
    </row>
    <row r="271" customFormat="false" ht="15.75" hidden="false" customHeight="false" outlineLevel="0" collapsed="false">
      <c r="A271" s="174" t="n">
        <f aca="false">ExportRaw!$F271</f>
        <v>0</v>
      </c>
      <c r="B271" s="174" t="n">
        <f aca="false">ExportRaw!$C271</f>
        <v>0</v>
      </c>
      <c r="C271" s="174" t="n">
        <f aca="false">ExportRaw!$G271</f>
        <v>0</v>
      </c>
      <c r="D271" s="174" t="str">
        <f aca="false">ExportRaw!$E271</f>
        <v/>
      </c>
      <c r="E271" s="175" t="str">
        <f aca="false">ExportRaw!$D271</f>
        <v/>
      </c>
      <c r="F271" s="174" t="str">
        <f aca="false">ExportRaw!$H271</f>
        <v/>
      </c>
      <c r="G271" s="176" t="str">
        <f aca="false">ExportRaw!$I271</f>
        <v/>
      </c>
      <c r="H271" s="174" t="str">
        <f aca="false">ExportRaw!$A271</f>
        <v/>
      </c>
      <c r="I271" s="174" t="str">
        <f aca="false">ExportRaw!$B271</f>
        <v/>
      </c>
    </row>
    <row r="272" customFormat="false" ht="15.75" hidden="false" customHeight="false" outlineLevel="0" collapsed="false">
      <c r="A272" s="174" t="n">
        <f aca="false">ExportRaw!$F272</f>
        <v>0</v>
      </c>
      <c r="B272" s="174" t="n">
        <f aca="false">ExportRaw!$C272</f>
        <v>0</v>
      </c>
      <c r="C272" s="174" t="n">
        <f aca="false">ExportRaw!$G272</f>
        <v>0</v>
      </c>
      <c r="D272" s="174" t="str">
        <f aca="false">ExportRaw!$E272</f>
        <v/>
      </c>
      <c r="E272" s="175" t="str">
        <f aca="false">ExportRaw!$D272</f>
        <v/>
      </c>
      <c r="F272" s="174" t="str">
        <f aca="false">ExportRaw!$H272</f>
        <v/>
      </c>
      <c r="G272" s="176" t="str">
        <f aca="false">ExportRaw!$I272</f>
        <v/>
      </c>
      <c r="H272" s="174" t="str">
        <f aca="false">ExportRaw!$A272</f>
        <v/>
      </c>
      <c r="I272" s="174" t="str">
        <f aca="false">ExportRaw!$B272</f>
        <v/>
      </c>
    </row>
    <row r="273" customFormat="false" ht="15.75" hidden="false" customHeight="false" outlineLevel="0" collapsed="false">
      <c r="A273" s="174" t="n">
        <f aca="false">ExportRaw!$F273</f>
        <v>0</v>
      </c>
      <c r="B273" s="174" t="n">
        <f aca="false">ExportRaw!$C273</f>
        <v>0</v>
      </c>
      <c r="C273" s="174" t="n">
        <f aca="false">ExportRaw!$G273</f>
        <v>0</v>
      </c>
      <c r="D273" s="174" t="str">
        <f aca="false">ExportRaw!$E273</f>
        <v/>
      </c>
      <c r="E273" s="175" t="str">
        <f aca="false">ExportRaw!$D273</f>
        <v/>
      </c>
      <c r="F273" s="174" t="str">
        <f aca="false">ExportRaw!$H273</f>
        <v/>
      </c>
      <c r="G273" s="176" t="str">
        <f aca="false">ExportRaw!$I273</f>
        <v/>
      </c>
      <c r="H273" s="174" t="str">
        <f aca="false">ExportRaw!$A273</f>
        <v/>
      </c>
      <c r="I273" s="174" t="str">
        <f aca="false">ExportRaw!$B273</f>
        <v/>
      </c>
    </row>
    <row r="274" customFormat="false" ht="15.75" hidden="false" customHeight="false" outlineLevel="0" collapsed="false">
      <c r="A274" s="174" t="n">
        <f aca="false">ExportRaw!$F274</f>
        <v>0</v>
      </c>
      <c r="B274" s="174" t="n">
        <f aca="false">ExportRaw!$C274</f>
        <v>0</v>
      </c>
      <c r="C274" s="174" t="n">
        <f aca="false">ExportRaw!$G274</f>
        <v>0</v>
      </c>
      <c r="D274" s="174" t="str">
        <f aca="false">ExportRaw!$E274</f>
        <v/>
      </c>
      <c r="E274" s="175" t="str">
        <f aca="false">ExportRaw!$D274</f>
        <v/>
      </c>
      <c r="F274" s="174" t="str">
        <f aca="false">ExportRaw!$H274</f>
        <v/>
      </c>
      <c r="G274" s="176" t="str">
        <f aca="false">ExportRaw!$I274</f>
        <v/>
      </c>
      <c r="H274" s="174" t="str">
        <f aca="false">ExportRaw!$A274</f>
        <v/>
      </c>
      <c r="I274" s="174" t="str">
        <f aca="false">ExportRaw!$B274</f>
        <v/>
      </c>
    </row>
    <row r="275" customFormat="false" ht="15.75" hidden="false" customHeight="false" outlineLevel="0" collapsed="false">
      <c r="A275" s="174" t="n">
        <f aca="false">ExportRaw!$F275</f>
        <v>0</v>
      </c>
      <c r="B275" s="174" t="n">
        <f aca="false">ExportRaw!$C275</f>
        <v>0</v>
      </c>
      <c r="C275" s="174" t="n">
        <f aca="false">ExportRaw!$G275</f>
        <v>0</v>
      </c>
      <c r="D275" s="174" t="str">
        <f aca="false">ExportRaw!$E275</f>
        <v/>
      </c>
      <c r="E275" s="175" t="str">
        <f aca="false">ExportRaw!$D275</f>
        <v/>
      </c>
      <c r="F275" s="174" t="str">
        <f aca="false">ExportRaw!$H275</f>
        <v/>
      </c>
      <c r="G275" s="176" t="str">
        <f aca="false">ExportRaw!$I275</f>
        <v/>
      </c>
      <c r="H275" s="174" t="str">
        <f aca="false">ExportRaw!$A275</f>
        <v/>
      </c>
      <c r="I275" s="174" t="str">
        <f aca="false">ExportRaw!$B275</f>
        <v/>
      </c>
    </row>
    <row r="276" customFormat="false" ht="15.75" hidden="false" customHeight="false" outlineLevel="0" collapsed="false">
      <c r="A276" s="174" t="n">
        <f aca="false">ExportRaw!$F276</f>
        <v>0</v>
      </c>
      <c r="B276" s="174" t="n">
        <f aca="false">ExportRaw!$C276</f>
        <v>0</v>
      </c>
      <c r="C276" s="174" t="n">
        <f aca="false">ExportRaw!$G276</f>
        <v>0</v>
      </c>
      <c r="D276" s="174" t="str">
        <f aca="false">ExportRaw!$E276</f>
        <v/>
      </c>
      <c r="E276" s="175" t="str">
        <f aca="false">ExportRaw!$D276</f>
        <v/>
      </c>
      <c r="F276" s="174" t="str">
        <f aca="false">ExportRaw!$H276</f>
        <v/>
      </c>
      <c r="G276" s="176" t="str">
        <f aca="false">ExportRaw!$I276</f>
        <v/>
      </c>
      <c r="H276" s="174" t="str">
        <f aca="false">ExportRaw!$A276</f>
        <v/>
      </c>
      <c r="I276" s="174" t="str">
        <f aca="false">ExportRaw!$B276</f>
        <v/>
      </c>
    </row>
    <row r="277" customFormat="false" ht="15.75" hidden="false" customHeight="false" outlineLevel="0" collapsed="false">
      <c r="A277" s="174" t="n">
        <f aca="false">ExportRaw!$F277</f>
        <v>0</v>
      </c>
      <c r="B277" s="174" t="n">
        <f aca="false">ExportRaw!$C277</f>
        <v>0</v>
      </c>
      <c r="C277" s="174" t="n">
        <f aca="false">ExportRaw!$G277</f>
        <v>0</v>
      </c>
      <c r="D277" s="174" t="str">
        <f aca="false">ExportRaw!$E277</f>
        <v/>
      </c>
      <c r="E277" s="175" t="str">
        <f aca="false">ExportRaw!$D277</f>
        <v/>
      </c>
      <c r="F277" s="174" t="str">
        <f aca="false">ExportRaw!$H277</f>
        <v/>
      </c>
      <c r="G277" s="176" t="str">
        <f aca="false">ExportRaw!$I277</f>
        <v/>
      </c>
      <c r="H277" s="174" t="str">
        <f aca="false">ExportRaw!$A277</f>
        <v/>
      </c>
      <c r="I277" s="174" t="str">
        <f aca="false">ExportRaw!$B277</f>
        <v/>
      </c>
    </row>
    <row r="278" customFormat="false" ht="15.75" hidden="false" customHeight="false" outlineLevel="0" collapsed="false">
      <c r="A278" s="174" t="n">
        <f aca="false">ExportRaw!$F278</f>
        <v>0</v>
      </c>
      <c r="B278" s="174" t="n">
        <f aca="false">ExportRaw!$C278</f>
        <v>0</v>
      </c>
      <c r="C278" s="174" t="n">
        <f aca="false">ExportRaw!$G278</f>
        <v>0</v>
      </c>
      <c r="D278" s="174" t="str">
        <f aca="false">ExportRaw!$E278</f>
        <v/>
      </c>
      <c r="E278" s="175" t="str">
        <f aca="false">ExportRaw!$D278</f>
        <v/>
      </c>
      <c r="F278" s="174" t="str">
        <f aca="false">ExportRaw!$H278</f>
        <v/>
      </c>
      <c r="G278" s="176" t="str">
        <f aca="false">ExportRaw!$I278</f>
        <v/>
      </c>
      <c r="H278" s="174" t="str">
        <f aca="false">ExportRaw!$A278</f>
        <v/>
      </c>
      <c r="I278" s="174" t="str">
        <f aca="false">ExportRaw!$B278</f>
        <v/>
      </c>
    </row>
    <row r="279" customFormat="false" ht="15.75" hidden="false" customHeight="false" outlineLevel="0" collapsed="false">
      <c r="A279" s="174" t="n">
        <f aca="false">ExportRaw!$F279</f>
        <v>0</v>
      </c>
      <c r="B279" s="174" t="n">
        <f aca="false">ExportRaw!$C279</f>
        <v>0</v>
      </c>
      <c r="C279" s="174" t="n">
        <f aca="false">ExportRaw!$G279</f>
        <v>0</v>
      </c>
      <c r="D279" s="174" t="str">
        <f aca="false">ExportRaw!$E279</f>
        <v/>
      </c>
      <c r="E279" s="175" t="str">
        <f aca="false">ExportRaw!$D279</f>
        <v/>
      </c>
      <c r="F279" s="174" t="str">
        <f aca="false">ExportRaw!$H279</f>
        <v/>
      </c>
      <c r="G279" s="176" t="str">
        <f aca="false">ExportRaw!$I279</f>
        <v/>
      </c>
      <c r="H279" s="174" t="str">
        <f aca="false">ExportRaw!$A279</f>
        <v/>
      </c>
      <c r="I279" s="174" t="str">
        <f aca="false">ExportRaw!$B279</f>
        <v/>
      </c>
    </row>
    <row r="280" customFormat="false" ht="15.75" hidden="false" customHeight="false" outlineLevel="0" collapsed="false">
      <c r="A280" s="174" t="n">
        <f aca="false">ExportRaw!$F280</f>
        <v>0</v>
      </c>
      <c r="B280" s="174" t="n">
        <f aca="false">ExportRaw!$C280</f>
        <v>0</v>
      </c>
      <c r="C280" s="174" t="n">
        <f aca="false">ExportRaw!$G280</f>
        <v>0</v>
      </c>
      <c r="D280" s="174" t="str">
        <f aca="false">ExportRaw!$E280</f>
        <v/>
      </c>
      <c r="E280" s="175" t="str">
        <f aca="false">ExportRaw!$D280</f>
        <v/>
      </c>
      <c r="F280" s="174" t="str">
        <f aca="false">ExportRaw!$H280</f>
        <v/>
      </c>
      <c r="G280" s="176" t="str">
        <f aca="false">ExportRaw!$I280</f>
        <v/>
      </c>
      <c r="H280" s="174" t="str">
        <f aca="false">ExportRaw!$A280</f>
        <v/>
      </c>
      <c r="I280" s="174" t="str">
        <f aca="false">ExportRaw!$B280</f>
        <v/>
      </c>
    </row>
    <row r="281" customFormat="false" ht="15.75" hidden="false" customHeight="false" outlineLevel="0" collapsed="false">
      <c r="A281" s="174" t="n">
        <f aca="false">ExportRaw!$F281</f>
        <v>0</v>
      </c>
      <c r="B281" s="174" t="n">
        <f aca="false">ExportRaw!$C281</f>
        <v>0</v>
      </c>
      <c r="C281" s="174" t="n">
        <f aca="false">ExportRaw!$G281</f>
        <v>0</v>
      </c>
      <c r="D281" s="174" t="str">
        <f aca="false">ExportRaw!$E281</f>
        <v/>
      </c>
      <c r="E281" s="175" t="str">
        <f aca="false">ExportRaw!$D281</f>
        <v/>
      </c>
      <c r="F281" s="174" t="str">
        <f aca="false">ExportRaw!$H281</f>
        <v/>
      </c>
      <c r="G281" s="176" t="str">
        <f aca="false">ExportRaw!$I281</f>
        <v/>
      </c>
      <c r="H281" s="174" t="str">
        <f aca="false">ExportRaw!$A281</f>
        <v/>
      </c>
      <c r="I281" s="174" t="str">
        <f aca="false">ExportRaw!$B281</f>
        <v/>
      </c>
    </row>
    <row r="282" customFormat="false" ht="15.75" hidden="false" customHeight="false" outlineLevel="0" collapsed="false">
      <c r="A282" s="174" t="n">
        <f aca="false">ExportRaw!$F282</f>
        <v>0</v>
      </c>
      <c r="B282" s="174" t="n">
        <f aca="false">ExportRaw!$C282</f>
        <v>0</v>
      </c>
      <c r="C282" s="174" t="n">
        <f aca="false">ExportRaw!$G282</f>
        <v>0</v>
      </c>
      <c r="D282" s="174" t="str">
        <f aca="false">ExportRaw!$E282</f>
        <v/>
      </c>
      <c r="E282" s="175" t="str">
        <f aca="false">ExportRaw!$D282</f>
        <v/>
      </c>
      <c r="F282" s="174" t="str">
        <f aca="false">ExportRaw!$H282</f>
        <v/>
      </c>
      <c r="G282" s="176" t="str">
        <f aca="false">ExportRaw!$I282</f>
        <v/>
      </c>
      <c r="H282" s="174" t="str">
        <f aca="false">ExportRaw!$A282</f>
        <v/>
      </c>
      <c r="I282" s="174" t="str">
        <f aca="false">ExportRaw!$B282</f>
        <v/>
      </c>
    </row>
    <row r="283" customFormat="false" ht="15.75" hidden="false" customHeight="false" outlineLevel="0" collapsed="false">
      <c r="A283" s="174" t="n">
        <f aca="false">ExportRaw!$F283</f>
        <v>0</v>
      </c>
      <c r="B283" s="174" t="n">
        <f aca="false">ExportRaw!$C283</f>
        <v>0</v>
      </c>
      <c r="C283" s="174" t="n">
        <f aca="false">ExportRaw!$G283</f>
        <v>0</v>
      </c>
      <c r="D283" s="174" t="str">
        <f aca="false">ExportRaw!$E283</f>
        <v/>
      </c>
      <c r="E283" s="175" t="str">
        <f aca="false">ExportRaw!$D283</f>
        <v/>
      </c>
      <c r="F283" s="174" t="str">
        <f aca="false">ExportRaw!$H283</f>
        <v/>
      </c>
      <c r="G283" s="176" t="str">
        <f aca="false">ExportRaw!$I283</f>
        <v/>
      </c>
      <c r="H283" s="174" t="str">
        <f aca="false">ExportRaw!$A283</f>
        <v/>
      </c>
      <c r="I283" s="174" t="str">
        <f aca="false">ExportRaw!$B283</f>
        <v/>
      </c>
    </row>
    <row r="284" customFormat="false" ht="15.75" hidden="false" customHeight="false" outlineLevel="0" collapsed="false">
      <c r="A284" s="174" t="n">
        <f aca="false">ExportRaw!$F284</f>
        <v>0</v>
      </c>
      <c r="B284" s="174" t="n">
        <f aca="false">ExportRaw!$C284</f>
        <v>0</v>
      </c>
      <c r="C284" s="174" t="n">
        <f aca="false">ExportRaw!$G284</f>
        <v>0</v>
      </c>
      <c r="D284" s="174" t="str">
        <f aca="false">ExportRaw!$E284</f>
        <v/>
      </c>
      <c r="E284" s="175" t="str">
        <f aca="false">ExportRaw!$D284</f>
        <v/>
      </c>
      <c r="F284" s="174" t="str">
        <f aca="false">ExportRaw!$H284</f>
        <v/>
      </c>
      <c r="G284" s="176" t="str">
        <f aca="false">ExportRaw!$I284</f>
        <v/>
      </c>
      <c r="H284" s="174" t="str">
        <f aca="false">ExportRaw!$A284</f>
        <v/>
      </c>
      <c r="I284" s="174" t="str">
        <f aca="false">ExportRaw!$B284</f>
        <v/>
      </c>
    </row>
    <row r="285" customFormat="false" ht="15.75" hidden="false" customHeight="false" outlineLevel="0" collapsed="false">
      <c r="A285" s="174" t="n">
        <f aca="false">ExportRaw!$F285</f>
        <v>0</v>
      </c>
      <c r="B285" s="174" t="n">
        <f aca="false">ExportRaw!$C285</f>
        <v>0</v>
      </c>
      <c r="C285" s="174" t="n">
        <f aca="false">ExportRaw!$G285</f>
        <v>0</v>
      </c>
      <c r="D285" s="174" t="str">
        <f aca="false">ExportRaw!$E285</f>
        <v/>
      </c>
      <c r="E285" s="175" t="str">
        <f aca="false">ExportRaw!$D285</f>
        <v/>
      </c>
      <c r="F285" s="174" t="str">
        <f aca="false">ExportRaw!$H285</f>
        <v/>
      </c>
      <c r="G285" s="176" t="str">
        <f aca="false">ExportRaw!$I285</f>
        <v/>
      </c>
      <c r="H285" s="174" t="str">
        <f aca="false">ExportRaw!$A285</f>
        <v/>
      </c>
      <c r="I285" s="174" t="str">
        <f aca="false">ExportRaw!$B285</f>
        <v/>
      </c>
    </row>
    <row r="286" customFormat="false" ht="15.75" hidden="false" customHeight="false" outlineLevel="0" collapsed="false">
      <c r="A286" s="174" t="n">
        <f aca="false">ExportRaw!$F286</f>
        <v>0</v>
      </c>
      <c r="B286" s="174" t="n">
        <f aca="false">ExportRaw!$C286</f>
        <v>0</v>
      </c>
      <c r="C286" s="174" t="n">
        <f aca="false">ExportRaw!$G286</f>
        <v>0</v>
      </c>
      <c r="D286" s="174" t="str">
        <f aca="false">ExportRaw!$E286</f>
        <v/>
      </c>
      <c r="E286" s="175" t="str">
        <f aca="false">ExportRaw!$D286</f>
        <v/>
      </c>
      <c r="F286" s="174" t="str">
        <f aca="false">ExportRaw!$H286</f>
        <v/>
      </c>
      <c r="G286" s="176" t="str">
        <f aca="false">ExportRaw!$I286</f>
        <v/>
      </c>
      <c r="H286" s="174" t="str">
        <f aca="false">ExportRaw!$A286</f>
        <v/>
      </c>
      <c r="I286" s="174" t="str">
        <f aca="false">ExportRaw!$B286</f>
        <v/>
      </c>
    </row>
    <row r="287" customFormat="false" ht="15.75" hidden="false" customHeight="false" outlineLevel="0" collapsed="false">
      <c r="A287" s="174" t="n">
        <f aca="false">ExportRaw!$F287</f>
        <v>0</v>
      </c>
      <c r="B287" s="174" t="n">
        <f aca="false">ExportRaw!$C287</f>
        <v>0</v>
      </c>
      <c r="C287" s="174" t="n">
        <f aca="false">ExportRaw!$G287</f>
        <v>0</v>
      </c>
      <c r="D287" s="174" t="str">
        <f aca="false">ExportRaw!$E287</f>
        <v/>
      </c>
      <c r="E287" s="175" t="str">
        <f aca="false">ExportRaw!$D287</f>
        <v/>
      </c>
      <c r="F287" s="174" t="str">
        <f aca="false">ExportRaw!$H287</f>
        <v/>
      </c>
      <c r="G287" s="176" t="str">
        <f aca="false">ExportRaw!$I287</f>
        <v/>
      </c>
      <c r="H287" s="174" t="str">
        <f aca="false">ExportRaw!$A287</f>
        <v/>
      </c>
      <c r="I287" s="174" t="str">
        <f aca="false">ExportRaw!$B287</f>
        <v/>
      </c>
    </row>
    <row r="288" customFormat="false" ht="15.75" hidden="false" customHeight="false" outlineLevel="0" collapsed="false">
      <c r="A288" s="174" t="n">
        <f aca="false">ExportRaw!$F288</f>
        <v>0</v>
      </c>
      <c r="B288" s="174" t="n">
        <f aca="false">ExportRaw!$C288</f>
        <v>0</v>
      </c>
      <c r="C288" s="174" t="n">
        <f aca="false">ExportRaw!$G288</f>
        <v>0</v>
      </c>
      <c r="D288" s="174" t="str">
        <f aca="false">ExportRaw!$E288</f>
        <v/>
      </c>
      <c r="E288" s="175" t="str">
        <f aca="false">ExportRaw!$D288</f>
        <v/>
      </c>
      <c r="F288" s="174" t="str">
        <f aca="false">ExportRaw!$H288</f>
        <v/>
      </c>
      <c r="G288" s="176" t="str">
        <f aca="false">ExportRaw!$I288</f>
        <v/>
      </c>
      <c r="H288" s="174" t="str">
        <f aca="false">ExportRaw!$A288</f>
        <v/>
      </c>
      <c r="I288" s="174" t="str">
        <f aca="false">ExportRaw!$B288</f>
        <v/>
      </c>
    </row>
    <row r="289" customFormat="false" ht="15.75" hidden="false" customHeight="false" outlineLevel="0" collapsed="false">
      <c r="A289" s="174" t="n">
        <f aca="false">ExportRaw!$F289</f>
        <v>0</v>
      </c>
      <c r="B289" s="174" t="n">
        <f aca="false">ExportRaw!$C289</f>
        <v>0</v>
      </c>
      <c r="C289" s="174" t="n">
        <f aca="false">ExportRaw!$G289</f>
        <v>0</v>
      </c>
      <c r="D289" s="174" t="str">
        <f aca="false">ExportRaw!$E289</f>
        <v/>
      </c>
      <c r="E289" s="175" t="str">
        <f aca="false">ExportRaw!$D289</f>
        <v/>
      </c>
      <c r="F289" s="174" t="str">
        <f aca="false">ExportRaw!$H289</f>
        <v/>
      </c>
      <c r="G289" s="176" t="str">
        <f aca="false">ExportRaw!$I289</f>
        <v/>
      </c>
      <c r="H289" s="174" t="str">
        <f aca="false">ExportRaw!$A289</f>
        <v/>
      </c>
      <c r="I289" s="174" t="str">
        <f aca="false">ExportRaw!$B289</f>
        <v/>
      </c>
    </row>
    <row r="290" customFormat="false" ht="15.75" hidden="false" customHeight="false" outlineLevel="0" collapsed="false">
      <c r="A290" s="174" t="n">
        <f aca="false">ExportRaw!$F290</f>
        <v>0</v>
      </c>
      <c r="B290" s="174" t="n">
        <f aca="false">ExportRaw!$C290</f>
        <v>0</v>
      </c>
      <c r="C290" s="174" t="n">
        <f aca="false">ExportRaw!$G290</f>
        <v>0</v>
      </c>
      <c r="D290" s="174" t="str">
        <f aca="false">ExportRaw!$E290</f>
        <v/>
      </c>
      <c r="E290" s="175" t="str">
        <f aca="false">ExportRaw!$D290</f>
        <v/>
      </c>
      <c r="F290" s="174" t="str">
        <f aca="false">ExportRaw!$H290</f>
        <v/>
      </c>
      <c r="G290" s="176" t="str">
        <f aca="false">ExportRaw!$I290</f>
        <v/>
      </c>
      <c r="H290" s="174" t="str">
        <f aca="false">ExportRaw!$A290</f>
        <v/>
      </c>
      <c r="I290" s="174" t="str">
        <f aca="false">ExportRaw!$B290</f>
        <v/>
      </c>
    </row>
    <row r="291" customFormat="false" ht="15.75" hidden="false" customHeight="false" outlineLevel="0" collapsed="false">
      <c r="A291" s="174" t="n">
        <f aca="false">ExportRaw!$F291</f>
        <v>0</v>
      </c>
      <c r="B291" s="174" t="n">
        <f aca="false">ExportRaw!$C291</f>
        <v>0</v>
      </c>
      <c r="C291" s="174" t="n">
        <f aca="false">ExportRaw!$G291</f>
        <v>0</v>
      </c>
      <c r="D291" s="174" t="str">
        <f aca="false">ExportRaw!$E291</f>
        <v/>
      </c>
      <c r="E291" s="175" t="str">
        <f aca="false">ExportRaw!$D291</f>
        <v/>
      </c>
      <c r="F291" s="174" t="str">
        <f aca="false">ExportRaw!$H291</f>
        <v/>
      </c>
      <c r="G291" s="176" t="str">
        <f aca="false">ExportRaw!$I291</f>
        <v/>
      </c>
      <c r="H291" s="174" t="str">
        <f aca="false">ExportRaw!$A291</f>
        <v/>
      </c>
      <c r="I291" s="174" t="str">
        <f aca="false">ExportRaw!$B291</f>
        <v/>
      </c>
    </row>
    <row r="292" customFormat="false" ht="15.75" hidden="false" customHeight="false" outlineLevel="0" collapsed="false">
      <c r="A292" s="174" t="n">
        <f aca="false">ExportRaw!$F292</f>
        <v>0</v>
      </c>
      <c r="B292" s="174" t="n">
        <f aca="false">ExportRaw!$C292</f>
        <v>0</v>
      </c>
      <c r="C292" s="174" t="n">
        <f aca="false">ExportRaw!$G292</f>
        <v>0</v>
      </c>
      <c r="D292" s="174" t="str">
        <f aca="false">ExportRaw!$E292</f>
        <v/>
      </c>
      <c r="E292" s="175" t="str">
        <f aca="false">ExportRaw!$D292</f>
        <v/>
      </c>
      <c r="F292" s="174" t="str">
        <f aca="false">ExportRaw!$H292</f>
        <v/>
      </c>
      <c r="G292" s="176" t="str">
        <f aca="false">ExportRaw!$I292</f>
        <v/>
      </c>
      <c r="H292" s="174" t="str">
        <f aca="false">ExportRaw!$A292</f>
        <v/>
      </c>
      <c r="I292" s="174" t="str">
        <f aca="false">ExportRaw!$B292</f>
        <v/>
      </c>
    </row>
    <row r="293" customFormat="false" ht="15.75" hidden="false" customHeight="false" outlineLevel="0" collapsed="false">
      <c r="A293" s="174" t="n">
        <f aca="false">ExportRaw!$F293</f>
        <v>0</v>
      </c>
      <c r="B293" s="174" t="n">
        <f aca="false">ExportRaw!$C293</f>
        <v>0</v>
      </c>
      <c r="C293" s="174" t="n">
        <f aca="false">ExportRaw!$G293</f>
        <v>0</v>
      </c>
      <c r="D293" s="174" t="str">
        <f aca="false">ExportRaw!$E293</f>
        <v/>
      </c>
      <c r="E293" s="175" t="str">
        <f aca="false">ExportRaw!$D293</f>
        <v/>
      </c>
      <c r="F293" s="174" t="str">
        <f aca="false">ExportRaw!$H293</f>
        <v/>
      </c>
      <c r="G293" s="176" t="str">
        <f aca="false">ExportRaw!$I293</f>
        <v/>
      </c>
      <c r="H293" s="174" t="str">
        <f aca="false">ExportRaw!$A293</f>
        <v/>
      </c>
      <c r="I293" s="174" t="str">
        <f aca="false">ExportRaw!$B293</f>
        <v/>
      </c>
    </row>
    <row r="294" customFormat="false" ht="15.75" hidden="false" customHeight="false" outlineLevel="0" collapsed="false">
      <c r="A294" s="174" t="n">
        <f aca="false">ExportRaw!$F294</f>
        <v>0</v>
      </c>
      <c r="B294" s="174" t="n">
        <f aca="false">ExportRaw!$C294</f>
        <v>0</v>
      </c>
      <c r="C294" s="174" t="n">
        <f aca="false">ExportRaw!$G294</f>
        <v>0</v>
      </c>
      <c r="D294" s="174" t="str">
        <f aca="false">ExportRaw!$E294</f>
        <v/>
      </c>
      <c r="E294" s="175" t="str">
        <f aca="false">ExportRaw!$D294</f>
        <v/>
      </c>
      <c r="F294" s="174" t="str">
        <f aca="false">ExportRaw!$H294</f>
        <v/>
      </c>
      <c r="G294" s="176" t="str">
        <f aca="false">ExportRaw!$I294</f>
        <v/>
      </c>
      <c r="H294" s="174" t="str">
        <f aca="false">ExportRaw!$A294</f>
        <v/>
      </c>
      <c r="I294" s="174" t="str">
        <f aca="false">ExportRaw!$B294</f>
        <v/>
      </c>
    </row>
    <row r="295" customFormat="false" ht="15.75" hidden="false" customHeight="false" outlineLevel="0" collapsed="false">
      <c r="A295" s="174" t="n">
        <f aca="false">ExportRaw!$F295</f>
        <v>0</v>
      </c>
      <c r="B295" s="174" t="n">
        <f aca="false">ExportRaw!$C295</f>
        <v>0</v>
      </c>
      <c r="C295" s="174" t="n">
        <f aca="false">ExportRaw!$G295</f>
        <v>0</v>
      </c>
      <c r="D295" s="174" t="str">
        <f aca="false">ExportRaw!$E295</f>
        <v/>
      </c>
      <c r="E295" s="175" t="str">
        <f aca="false">ExportRaw!$D295</f>
        <v/>
      </c>
      <c r="F295" s="174" t="str">
        <f aca="false">ExportRaw!$H295</f>
        <v/>
      </c>
      <c r="G295" s="176" t="str">
        <f aca="false">ExportRaw!$I295</f>
        <v/>
      </c>
      <c r="H295" s="174" t="str">
        <f aca="false">ExportRaw!$A295</f>
        <v/>
      </c>
      <c r="I295" s="174" t="str">
        <f aca="false">ExportRaw!$B295</f>
        <v/>
      </c>
    </row>
    <row r="296" customFormat="false" ht="15.75" hidden="false" customHeight="false" outlineLevel="0" collapsed="false">
      <c r="A296" s="174" t="n">
        <f aca="false">ExportRaw!$F296</f>
        <v>0</v>
      </c>
      <c r="B296" s="174" t="n">
        <f aca="false">ExportRaw!$C296</f>
        <v>0</v>
      </c>
      <c r="C296" s="174" t="n">
        <f aca="false">ExportRaw!$G296</f>
        <v>0</v>
      </c>
      <c r="D296" s="174" t="str">
        <f aca="false">ExportRaw!$E296</f>
        <v/>
      </c>
      <c r="E296" s="175" t="str">
        <f aca="false">ExportRaw!$D296</f>
        <v/>
      </c>
      <c r="F296" s="174" t="str">
        <f aca="false">ExportRaw!$H296</f>
        <v/>
      </c>
      <c r="G296" s="176" t="str">
        <f aca="false">ExportRaw!$I296</f>
        <v/>
      </c>
      <c r="H296" s="174" t="str">
        <f aca="false">ExportRaw!$A296</f>
        <v/>
      </c>
      <c r="I296" s="174" t="str">
        <f aca="false">ExportRaw!$B296</f>
        <v/>
      </c>
    </row>
    <row r="297" customFormat="false" ht="15.75" hidden="false" customHeight="false" outlineLevel="0" collapsed="false">
      <c r="A297" s="174" t="n">
        <f aca="false">ExportRaw!$F297</f>
        <v>0</v>
      </c>
      <c r="B297" s="174" t="n">
        <f aca="false">ExportRaw!$C297</f>
        <v>0</v>
      </c>
      <c r="C297" s="174" t="n">
        <f aca="false">ExportRaw!$G297</f>
        <v>0</v>
      </c>
      <c r="D297" s="174" t="str">
        <f aca="false">ExportRaw!$E297</f>
        <v/>
      </c>
      <c r="E297" s="175" t="str">
        <f aca="false">ExportRaw!$D297</f>
        <v/>
      </c>
      <c r="F297" s="174" t="str">
        <f aca="false">ExportRaw!$H297</f>
        <v/>
      </c>
      <c r="G297" s="176" t="str">
        <f aca="false">ExportRaw!$I297</f>
        <v/>
      </c>
      <c r="H297" s="174" t="str">
        <f aca="false">ExportRaw!$A297</f>
        <v/>
      </c>
      <c r="I297" s="174" t="str">
        <f aca="false">ExportRaw!$B297</f>
        <v/>
      </c>
    </row>
    <row r="298" customFormat="false" ht="15.75" hidden="false" customHeight="false" outlineLevel="0" collapsed="false">
      <c r="A298" s="174" t="n">
        <f aca="false">ExportRaw!$F298</f>
        <v>0</v>
      </c>
      <c r="B298" s="174" t="n">
        <f aca="false">ExportRaw!$C298</f>
        <v>0</v>
      </c>
      <c r="C298" s="174" t="n">
        <f aca="false">ExportRaw!$G298</f>
        <v>0</v>
      </c>
      <c r="D298" s="174" t="str">
        <f aca="false">ExportRaw!$E298</f>
        <v/>
      </c>
      <c r="E298" s="175" t="str">
        <f aca="false">ExportRaw!$D298</f>
        <v/>
      </c>
      <c r="F298" s="174" t="str">
        <f aca="false">ExportRaw!$H298</f>
        <v/>
      </c>
      <c r="G298" s="176" t="str">
        <f aca="false">ExportRaw!$I298</f>
        <v/>
      </c>
      <c r="H298" s="174" t="str">
        <f aca="false">ExportRaw!$A298</f>
        <v/>
      </c>
      <c r="I298" s="174" t="str">
        <f aca="false">ExportRaw!$B298</f>
        <v/>
      </c>
    </row>
    <row r="299" customFormat="false" ht="15.75" hidden="false" customHeight="false" outlineLevel="0" collapsed="false">
      <c r="A299" s="174" t="n">
        <f aca="false">ExportRaw!$F299</f>
        <v>0</v>
      </c>
      <c r="B299" s="174" t="n">
        <f aca="false">ExportRaw!$C299</f>
        <v>0</v>
      </c>
      <c r="C299" s="174" t="n">
        <f aca="false">ExportRaw!$G299</f>
        <v>0</v>
      </c>
      <c r="D299" s="174" t="str">
        <f aca="false">ExportRaw!$E299</f>
        <v/>
      </c>
      <c r="E299" s="175" t="str">
        <f aca="false">ExportRaw!$D299</f>
        <v/>
      </c>
      <c r="F299" s="174" t="str">
        <f aca="false">ExportRaw!$H299</f>
        <v/>
      </c>
      <c r="G299" s="176" t="str">
        <f aca="false">ExportRaw!$I299</f>
        <v/>
      </c>
      <c r="H299" s="174" t="str">
        <f aca="false">ExportRaw!$A299</f>
        <v/>
      </c>
      <c r="I299" s="174" t="str">
        <f aca="false">ExportRaw!$B299</f>
        <v/>
      </c>
    </row>
    <row r="300" customFormat="false" ht="15.75" hidden="false" customHeight="false" outlineLevel="0" collapsed="false">
      <c r="A300" s="174" t="n">
        <f aca="false">ExportRaw!$F300</f>
        <v>0</v>
      </c>
      <c r="B300" s="174" t="n">
        <f aca="false">ExportRaw!$C300</f>
        <v>0</v>
      </c>
      <c r="C300" s="174" t="n">
        <f aca="false">ExportRaw!$G300</f>
        <v>0</v>
      </c>
      <c r="D300" s="174" t="str">
        <f aca="false">ExportRaw!$E300</f>
        <v/>
      </c>
      <c r="E300" s="175" t="str">
        <f aca="false">ExportRaw!$D300</f>
        <v/>
      </c>
      <c r="F300" s="174" t="str">
        <f aca="false">ExportRaw!$H300</f>
        <v/>
      </c>
      <c r="G300" s="176" t="str">
        <f aca="false">ExportRaw!$I300</f>
        <v/>
      </c>
      <c r="H300" s="174" t="str">
        <f aca="false">ExportRaw!$A300</f>
        <v/>
      </c>
      <c r="I300" s="174" t="str">
        <f aca="false">ExportRaw!$B300</f>
        <v/>
      </c>
    </row>
    <row r="301" customFormat="false" ht="15.75" hidden="false" customHeight="false" outlineLevel="0" collapsed="false">
      <c r="A301" s="174" t="n">
        <f aca="false">ExportRaw!$F301</f>
        <v>0</v>
      </c>
      <c r="B301" s="174" t="n">
        <f aca="false">ExportRaw!$C301</f>
        <v>0</v>
      </c>
      <c r="C301" s="174" t="n">
        <f aca="false">ExportRaw!$G301</f>
        <v>0</v>
      </c>
      <c r="D301" s="174" t="str">
        <f aca="false">ExportRaw!$E301</f>
        <v/>
      </c>
      <c r="E301" s="175" t="str">
        <f aca="false">ExportRaw!$D301</f>
        <v/>
      </c>
      <c r="F301" s="174" t="str">
        <f aca="false">ExportRaw!$H301</f>
        <v/>
      </c>
      <c r="G301" s="176" t="str">
        <f aca="false">ExportRaw!$I301</f>
        <v/>
      </c>
      <c r="H301" s="174" t="str">
        <f aca="false">ExportRaw!$A301</f>
        <v/>
      </c>
      <c r="I301" s="174" t="str">
        <f aca="false">ExportRaw!$B301</f>
        <v/>
      </c>
    </row>
    <row r="302" customFormat="false" ht="15.75" hidden="false" customHeight="false" outlineLevel="0" collapsed="false">
      <c r="A302" s="174" t="n">
        <f aca="false">ExportRaw!$F302</f>
        <v>0</v>
      </c>
      <c r="B302" s="174" t="n">
        <f aca="false">ExportRaw!$C302</f>
        <v>0</v>
      </c>
      <c r="C302" s="174" t="n">
        <f aca="false">ExportRaw!$G302</f>
        <v>0</v>
      </c>
      <c r="D302" s="174" t="str">
        <f aca="false">ExportRaw!$E302</f>
        <v/>
      </c>
      <c r="E302" s="175" t="str">
        <f aca="false">ExportRaw!$D302</f>
        <v/>
      </c>
      <c r="F302" s="174" t="str">
        <f aca="false">ExportRaw!$H302</f>
        <v/>
      </c>
      <c r="G302" s="176" t="str">
        <f aca="false">ExportRaw!$I302</f>
        <v/>
      </c>
      <c r="H302" s="174" t="str">
        <f aca="false">ExportRaw!$A302</f>
        <v/>
      </c>
      <c r="I302" s="174" t="str">
        <f aca="false">ExportRaw!$B302</f>
        <v/>
      </c>
    </row>
    <row r="303" customFormat="false" ht="15.75" hidden="false" customHeight="false" outlineLevel="0" collapsed="false">
      <c r="A303" s="174" t="n">
        <f aca="false">ExportRaw!$F303</f>
        <v>0</v>
      </c>
      <c r="B303" s="174" t="n">
        <f aca="false">ExportRaw!$C303</f>
        <v>0</v>
      </c>
      <c r="C303" s="174" t="n">
        <f aca="false">ExportRaw!$G303</f>
        <v>0</v>
      </c>
      <c r="D303" s="174" t="str">
        <f aca="false">ExportRaw!$E303</f>
        <v/>
      </c>
      <c r="E303" s="175" t="str">
        <f aca="false">ExportRaw!$D303</f>
        <v/>
      </c>
      <c r="F303" s="174" t="str">
        <f aca="false">ExportRaw!$H303</f>
        <v/>
      </c>
      <c r="G303" s="176" t="str">
        <f aca="false">ExportRaw!$I303</f>
        <v/>
      </c>
      <c r="H303" s="174" t="str">
        <f aca="false">ExportRaw!$A303</f>
        <v/>
      </c>
      <c r="I303" s="174" t="str">
        <f aca="false">ExportRaw!$B303</f>
        <v/>
      </c>
    </row>
    <row r="304" customFormat="false" ht="15.75" hidden="false" customHeight="false" outlineLevel="0" collapsed="false">
      <c r="A304" s="174" t="n">
        <f aca="false">ExportRaw!$F304</f>
        <v>0</v>
      </c>
      <c r="B304" s="174" t="n">
        <f aca="false">ExportRaw!$C304</f>
        <v>0</v>
      </c>
      <c r="C304" s="174" t="n">
        <f aca="false">ExportRaw!$G304</f>
        <v>0</v>
      </c>
      <c r="D304" s="174" t="str">
        <f aca="false">ExportRaw!$E304</f>
        <v/>
      </c>
      <c r="E304" s="175" t="str">
        <f aca="false">ExportRaw!$D304</f>
        <v/>
      </c>
      <c r="F304" s="174" t="str">
        <f aca="false">ExportRaw!$H304</f>
        <v/>
      </c>
      <c r="G304" s="176" t="str">
        <f aca="false">ExportRaw!$I304</f>
        <v/>
      </c>
      <c r="H304" s="174" t="str">
        <f aca="false">ExportRaw!$A304</f>
        <v/>
      </c>
      <c r="I304" s="174" t="str">
        <f aca="false">ExportRaw!$B304</f>
        <v/>
      </c>
    </row>
    <row r="305" customFormat="false" ht="15.75" hidden="false" customHeight="false" outlineLevel="0" collapsed="false">
      <c r="A305" s="174" t="n">
        <f aca="false">ExportRaw!$F305</f>
        <v>0</v>
      </c>
      <c r="B305" s="174" t="n">
        <f aca="false">ExportRaw!$C305</f>
        <v>0</v>
      </c>
      <c r="C305" s="174" t="n">
        <f aca="false">ExportRaw!$G305</f>
        <v>0</v>
      </c>
      <c r="D305" s="174" t="str">
        <f aca="false">ExportRaw!$E305</f>
        <v/>
      </c>
      <c r="E305" s="175" t="str">
        <f aca="false">ExportRaw!$D305</f>
        <v/>
      </c>
      <c r="F305" s="174" t="str">
        <f aca="false">ExportRaw!$H305</f>
        <v/>
      </c>
      <c r="G305" s="176" t="str">
        <f aca="false">ExportRaw!$I305</f>
        <v/>
      </c>
      <c r="H305" s="174" t="str">
        <f aca="false">ExportRaw!$A305</f>
        <v/>
      </c>
      <c r="I305" s="174" t="str">
        <f aca="false">ExportRaw!$B305</f>
        <v/>
      </c>
    </row>
    <row r="306" customFormat="false" ht="15.75" hidden="false" customHeight="false" outlineLevel="0" collapsed="false">
      <c r="A306" s="174" t="n">
        <f aca="false">ExportRaw!$F306</f>
        <v>0</v>
      </c>
      <c r="B306" s="174" t="n">
        <f aca="false">ExportRaw!$C306</f>
        <v>0</v>
      </c>
      <c r="C306" s="174" t="n">
        <f aca="false">ExportRaw!$G306</f>
        <v>0</v>
      </c>
      <c r="D306" s="174" t="str">
        <f aca="false">ExportRaw!$E306</f>
        <v/>
      </c>
      <c r="E306" s="175" t="str">
        <f aca="false">ExportRaw!$D306</f>
        <v/>
      </c>
      <c r="F306" s="174" t="str">
        <f aca="false">ExportRaw!$H306</f>
        <v/>
      </c>
      <c r="G306" s="176" t="str">
        <f aca="false">ExportRaw!$I306</f>
        <v/>
      </c>
      <c r="H306" s="174" t="str">
        <f aca="false">ExportRaw!$A306</f>
        <v/>
      </c>
      <c r="I306" s="174" t="str">
        <f aca="false">ExportRaw!$B306</f>
        <v/>
      </c>
    </row>
    <row r="307" customFormat="false" ht="15.75" hidden="false" customHeight="false" outlineLevel="0" collapsed="false">
      <c r="A307" s="174" t="n">
        <f aca="false">ExportRaw!$F307</f>
        <v>0</v>
      </c>
      <c r="B307" s="174" t="n">
        <f aca="false">ExportRaw!$C307</f>
        <v>0</v>
      </c>
      <c r="C307" s="174" t="n">
        <f aca="false">ExportRaw!$G307</f>
        <v>0</v>
      </c>
      <c r="D307" s="174" t="str">
        <f aca="false">ExportRaw!$E307</f>
        <v/>
      </c>
      <c r="E307" s="175" t="str">
        <f aca="false">ExportRaw!$D307</f>
        <v/>
      </c>
      <c r="F307" s="174" t="str">
        <f aca="false">ExportRaw!$H307</f>
        <v/>
      </c>
      <c r="G307" s="176" t="str">
        <f aca="false">ExportRaw!$I307</f>
        <v/>
      </c>
      <c r="H307" s="174" t="str">
        <f aca="false">ExportRaw!$A307</f>
        <v/>
      </c>
      <c r="I307" s="174" t="str">
        <f aca="false">ExportRaw!$B307</f>
        <v/>
      </c>
    </row>
    <row r="308" customFormat="false" ht="15.75" hidden="false" customHeight="false" outlineLevel="0" collapsed="false">
      <c r="A308" s="174" t="n">
        <f aca="false">ExportRaw!$F308</f>
        <v>0</v>
      </c>
      <c r="B308" s="174" t="n">
        <f aca="false">ExportRaw!$C308</f>
        <v>0</v>
      </c>
      <c r="C308" s="174" t="n">
        <f aca="false">ExportRaw!$G308</f>
        <v>0</v>
      </c>
      <c r="D308" s="174" t="str">
        <f aca="false">ExportRaw!$E308</f>
        <v/>
      </c>
      <c r="E308" s="175" t="str">
        <f aca="false">ExportRaw!$D308</f>
        <v/>
      </c>
      <c r="F308" s="174" t="str">
        <f aca="false">ExportRaw!$H308</f>
        <v/>
      </c>
      <c r="G308" s="176" t="str">
        <f aca="false">ExportRaw!$I308</f>
        <v/>
      </c>
      <c r="H308" s="174" t="str">
        <f aca="false">ExportRaw!$A308</f>
        <v/>
      </c>
      <c r="I308" s="174" t="str">
        <f aca="false">ExportRaw!$B308</f>
        <v/>
      </c>
    </row>
    <row r="309" customFormat="false" ht="15.75" hidden="false" customHeight="false" outlineLevel="0" collapsed="false">
      <c r="A309" s="174" t="n">
        <f aca="false">ExportRaw!$F309</f>
        <v>0</v>
      </c>
      <c r="B309" s="174" t="n">
        <f aca="false">ExportRaw!$C309</f>
        <v>0</v>
      </c>
      <c r="C309" s="174" t="n">
        <f aca="false">ExportRaw!$G309</f>
        <v>0</v>
      </c>
      <c r="D309" s="174" t="str">
        <f aca="false">ExportRaw!$E309</f>
        <v/>
      </c>
      <c r="E309" s="175" t="str">
        <f aca="false">ExportRaw!$D309</f>
        <v/>
      </c>
      <c r="F309" s="174" t="str">
        <f aca="false">ExportRaw!$H309</f>
        <v/>
      </c>
      <c r="G309" s="176" t="str">
        <f aca="false">ExportRaw!$I309</f>
        <v/>
      </c>
      <c r="H309" s="174" t="str">
        <f aca="false">ExportRaw!$A309</f>
        <v/>
      </c>
      <c r="I309" s="174" t="str">
        <f aca="false">ExportRaw!$B309</f>
        <v/>
      </c>
    </row>
    <row r="310" customFormat="false" ht="15.75" hidden="false" customHeight="false" outlineLevel="0" collapsed="false">
      <c r="A310" s="174" t="n">
        <f aca="false">ExportRaw!$F310</f>
        <v>0</v>
      </c>
      <c r="B310" s="174" t="n">
        <f aca="false">ExportRaw!$C310</f>
        <v>0</v>
      </c>
      <c r="C310" s="174" t="n">
        <f aca="false">ExportRaw!$G310</f>
        <v>0</v>
      </c>
      <c r="D310" s="174" t="str">
        <f aca="false">ExportRaw!$E310</f>
        <v/>
      </c>
      <c r="E310" s="175" t="str">
        <f aca="false">ExportRaw!$D310</f>
        <v/>
      </c>
      <c r="F310" s="174" t="str">
        <f aca="false">ExportRaw!$H310</f>
        <v/>
      </c>
      <c r="G310" s="176" t="str">
        <f aca="false">ExportRaw!$I310</f>
        <v/>
      </c>
      <c r="H310" s="174" t="str">
        <f aca="false">ExportRaw!$A310</f>
        <v/>
      </c>
      <c r="I310" s="174" t="str">
        <f aca="false">ExportRaw!$B310</f>
        <v/>
      </c>
    </row>
    <row r="311" customFormat="false" ht="15.75" hidden="false" customHeight="false" outlineLevel="0" collapsed="false">
      <c r="A311" s="174" t="n">
        <f aca="false">ExportRaw!$F311</f>
        <v>0</v>
      </c>
      <c r="B311" s="174" t="n">
        <f aca="false">ExportRaw!$C311</f>
        <v>0</v>
      </c>
      <c r="C311" s="174" t="n">
        <f aca="false">ExportRaw!$G311</f>
        <v>0</v>
      </c>
      <c r="D311" s="174" t="str">
        <f aca="false">ExportRaw!$E311</f>
        <v/>
      </c>
      <c r="E311" s="175" t="str">
        <f aca="false">ExportRaw!$D311</f>
        <v/>
      </c>
      <c r="F311" s="174" t="str">
        <f aca="false">ExportRaw!$H311</f>
        <v/>
      </c>
      <c r="G311" s="176" t="str">
        <f aca="false">ExportRaw!$I311</f>
        <v/>
      </c>
      <c r="H311" s="174" t="str">
        <f aca="false">ExportRaw!$A311</f>
        <v/>
      </c>
      <c r="I311" s="174" t="str">
        <f aca="false">ExportRaw!$B311</f>
        <v/>
      </c>
    </row>
    <row r="312" customFormat="false" ht="15.75" hidden="false" customHeight="false" outlineLevel="0" collapsed="false">
      <c r="A312" s="174" t="n">
        <f aca="false">ExportRaw!$F312</f>
        <v>0</v>
      </c>
      <c r="B312" s="174" t="n">
        <f aca="false">ExportRaw!$C312</f>
        <v>0</v>
      </c>
      <c r="C312" s="174" t="n">
        <f aca="false">ExportRaw!$G312</f>
        <v>0</v>
      </c>
      <c r="D312" s="174" t="str">
        <f aca="false">ExportRaw!$E312</f>
        <v/>
      </c>
      <c r="E312" s="175" t="str">
        <f aca="false">ExportRaw!$D312</f>
        <v/>
      </c>
      <c r="F312" s="174" t="str">
        <f aca="false">ExportRaw!$H312</f>
        <v/>
      </c>
      <c r="G312" s="176" t="str">
        <f aca="false">ExportRaw!$I312</f>
        <v/>
      </c>
      <c r="H312" s="174" t="str">
        <f aca="false">ExportRaw!$A312</f>
        <v/>
      </c>
      <c r="I312" s="174" t="str">
        <f aca="false">ExportRaw!$B312</f>
        <v/>
      </c>
    </row>
    <row r="313" customFormat="false" ht="15.75" hidden="false" customHeight="false" outlineLevel="0" collapsed="false">
      <c r="A313" s="174" t="n">
        <f aca="false">ExportRaw!$F313</f>
        <v>0</v>
      </c>
      <c r="B313" s="174" t="n">
        <f aca="false">ExportRaw!$C313</f>
        <v>0</v>
      </c>
      <c r="C313" s="174" t="n">
        <f aca="false">ExportRaw!$G313</f>
        <v>0</v>
      </c>
      <c r="D313" s="174" t="str">
        <f aca="false">ExportRaw!$E313</f>
        <v/>
      </c>
      <c r="E313" s="175" t="str">
        <f aca="false">ExportRaw!$D313</f>
        <v/>
      </c>
      <c r="F313" s="174" t="str">
        <f aca="false">ExportRaw!$H313</f>
        <v/>
      </c>
      <c r="G313" s="176" t="str">
        <f aca="false">ExportRaw!$I313</f>
        <v/>
      </c>
      <c r="H313" s="174" t="str">
        <f aca="false">ExportRaw!$A313</f>
        <v/>
      </c>
      <c r="I313" s="174" t="str">
        <f aca="false">ExportRaw!$B313</f>
        <v/>
      </c>
    </row>
    <row r="314" customFormat="false" ht="15.75" hidden="false" customHeight="false" outlineLevel="0" collapsed="false">
      <c r="A314" s="174" t="n">
        <f aca="false">ExportRaw!$F314</f>
        <v>0</v>
      </c>
      <c r="B314" s="174" t="n">
        <f aca="false">ExportRaw!$C314</f>
        <v>0</v>
      </c>
      <c r="C314" s="174" t="n">
        <f aca="false">ExportRaw!$G314</f>
        <v>0</v>
      </c>
      <c r="D314" s="174" t="str">
        <f aca="false">ExportRaw!$E314</f>
        <v/>
      </c>
      <c r="E314" s="175" t="str">
        <f aca="false">ExportRaw!$D314</f>
        <v/>
      </c>
      <c r="F314" s="174" t="str">
        <f aca="false">ExportRaw!$H314</f>
        <v/>
      </c>
      <c r="G314" s="176" t="str">
        <f aca="false">ExportRaw!$I314</f>
        <v/>
      </c>
      <c r="H314" s="174" t="str">
        <f aca="false">ExportRaw!$A314</f>
        <v/>
      </c>
      <c r="I314" s="174" t="str">
        <f aca="false">ExportRaw!$B314</f>
        <v/>
      </c>
    </row>
    <row r="315" customFormat="false" ht="15.75" hidden="false" customHeight="false" outlineLevel="0" collapsed="false">
      <c r="A315" s="174" t="n">
        <f aca="false">ExportRaw!$F315</f>
        <v>0</v>
      </c>
      <c r="B315" s="174" t="n">
        <f aca="false">ExportRaw!$C315</f>
        <v>0</v>
      </c>
      <c r="C315" s="174" t="n">
        <f aca="false">ExportRaw!$G315</f>
        <v>0</v>
      </c>
      <c r="D315" s="174" t="str">
        <f aca="false">ExportRaw!$E315</f>
        <v/>
      </c>
      <c r="E315" s="175" t="str">
        <f aca="false">ExportRaw!$D315</f>
        <v/>
      </c>
      <c r="F315" s="174" t="str">
        <f aca="false">ExportRaw!$H315</f>
        <v/>
      </c>
      <c r="G315" s="176" t="str">
        <f aca="false">ExportRaw!$I315</f>
        <v/>
      </c>
      <c r="H315" s="174" t="str">
        <f aca="false">ExportRaw!$A315</f>
        <v/>
      </c>
      <c r="I315" s="174" t="str">
        <f aca="false">ExportRaw!$B315</f>
        <v/>
      </c>
    </row>
    <row r="316" customFormat="false" ht="15.75" hidden="false" customHeight="false" outlineLevel="0" collapsed="false">
      <c r="A316" s="174" t="n">
        <f aca="false">ExportRaw!$F316</f>
        <v>0</v>
      </c>
      <c r="B316" s="174" t="n">
        <f aca="false">ExportRaw!$C316</f>
        <v>0</v>
      </c>
      <c r="C316" s="174" t="n">
        <f aca="false">ExportRaw!$G316</f>
        <v>0</v>
      </c>
      <c r="D316" s="174" t="str">
        <f aca="false">ExportRaw!$E316</f>
        <v/>
      </c>
      <c r="E316" s="175" t="str">
        <f aca="false">ExportRaw!$D316</f>
        <v/>
      </c>
      <c r="F316" s="174" t="str">
        <f aca="false">ExportRaw!$H316</f>
        <v/>
      </c>
      <c r="G316" s="176" t="str">
        <f aca="false">ExportRaw!$I316</f>
        <v/>
      </c>
      <c r="H316" s="174" t="str">
        <f aca="false">ExportRaw!$A316</f>
        <v/>
      </c>
      <c r="I316" s="174" t="str">
        <f aca="false">ExportRaw!$B316</f>
        <v/>
      </c>
    </row>
    <row r="317" customFormat="false" ht="15.75" hidden="false" customHeight="false" outlineLevel="0" collapsed="false">
      <c r="A317" s="174" t="n">
        <f aca="false">ExportRaw!$F317</f>
        <v>0</v>
      </c>
      <c r="B317" s="174" t="n">
        <f aca="false">ExportRaw!$C317</f>
        <v>0</v>
      </c>
      <c r="C317" s="174" t="n">
        <f aca="false">ExportRaw!$G317</f>
        <v>0</v>
      </c>
      <c r="D317" s="174" t="str">
        <f aca="false">ExportRaw!$E317</f>
        <v/>
      </c>
      <c r="E317" s="175" t="str">
        <f aca="false">ExportRaw!$D317</f>
        <v/>
      </c>
      <c r="F317" s="174" t="str">
        <f aca="false">ExportRaw!$H317</f>
        <v/>
      </c>
      <c r="G317" s="176" t="str">
        <f aca="false">ExportRaw!$I317</f>
        <v/>
      </c>
      <c r="H317" s="174" t="str">
        <f aca="false">ExportRaw!$A317</f>
        <v/>
      </c>
      <c r="I317" s="174" t="str">
        <f aca="false">ExportRaw!$B317</f>
        <v/>
      </c>
    </row>
    <row r="318" customFormat="false" ht="15.75" hidden="false" customHeight="false" outlineLevel="0" collapsed="false">
      <c r="A318" s="174" t="n">
        <f aca="false">ExportRaw!$F318</f>
        <v>0</v>
      </c>
      <c r="B318" s="174" t="n">
        <f aca="false">ExportRaw!$C318</f>
        <v>0</v>
      </c>
      <c r="C318" s="174" t="n">
        <f aca="false">ExportRaw!$G318</f>
        <v>0</v>
      </c>
      <c r="D318" s="174" t="str">
        <f aca="false">ExportRaw!$E318</f>
        <v/>
      </c>
      <c r="E318" s="175" t="str">
        <f aca="false">ExportRaw!$D318</f>
        <v/>
      </c>
      <c r="F318" s="174" t="str">
        <f aca="false">ExportRaw!$H318</f>
        <v/>
      </c>
      <c r="G318" s="176" t="str">
        <f aca="false">ExportRaw!$I318</f>
        <v/>
      </c>
      <c r="H318" s="174" t="str">
        <f aca="false">ExportRaw!$A318</f>
        <v/>
      </c>
      <c r="I318" s="174" t="str">
        <f aca="false">ExportRaw!$B318</f>
        <v/>
      </c>
    </row>
    <row r="319" customFormat="false" ht="15.75" hidden="false" customHeight="false" outlineLevel="0" collapsed="false">
      <c r="A319" s="174" t="n">
        <f aca="false">ExportRaw!$F319</f>
        <v>0</v>
      </c>
      <c r="B319" s="174" t="n">
        <f aca="false">ExportRaw!$C319</f>
        <v>0</v>
      </c>
      <c r="C319" s="174" t="n">
        <f aca="false">ExportRaw!$G319</f>
        <v>0</v>
      </c>
      <c r="D319" s="174" t="str">
        <f aca="false">ExportRaw!$E319</f>
        <v/>
      </c>
      <c r="E319" s="175" t="str">
        <f aca="false">ExportRaw!$D319</f>
        <v/>
      </c>
      <c r="F319" s="174" t="str">
        <f aca="false">ExportRaw!$H319</f>
        <v/>
      </c>
      <c r="G319" s="176" t="str">
        <f aca="false">ExportRaw!$I319</f>
        <v/>
      </c>
      <c r="H319" s="174" t="str">
        <f aca="false">ExportRaw!$A319</f>
        <v/>
      </c>
      <c r="I319" s="174" t="str">
        <f aca="false">ExportRaw!$B319</f>
        <v/>
      </c>
    </row>
    <row r="320" customFormat="false" ht="15.75" hidden="false" customHeight="false" outlineLevel="0" collapsed="false">
      <c r="A320" s="174" t="n">
        <f aca="false">ExportRaw!$F320</f>
        <v>0</v>
      </c>
      <c r="B320" s="174" t="n">
        <f aca="false">ExportRaw!$C320</f>
        <v>0</v>
      </c>
      <c r="C320" s="174" t="n">
        <f aca="false">ExportRaw!$G320</f>
        <v>0</v>
      </c>
      <c r="D320" s="174" t="str">
        <f aca="false">ExportRaw!$E320</f>
        <v/>
      </c>
      <c r="E320" s="175" t="str">
        <f aca="false">ExportRaw!$D320</f>
        <v/>
      </c>
      <c r="F320" s="174" t="str">
        <f aca="false">ExportRaw!$H320</f>
        <v/>
      </c>
      <c r="G320" s="176" t="str">
        <f aca="false">ExportRaw!$I320</f>
        <v/>
      </c>
      <c r="H320" s="174" t="str">
        <f aca="false">ExportRaw!$A320</f>
        <v/>
      </c>
      <c r="I320" s="174" t="str">
        <f aca="false">ExportRaw!$B320</f>
        <v/>
      </c>
    </row>
    <row r="321" customFormat="false" ht="15.75" hidden="false" customHeight="false" outlineLevel="0" collapsed="false">
      <c r="A321" s="174" t="n">
        <f aca="false">ExportRaw!$F321</f>
        <v>0</v>
      </c>
      <c r="B321" s="174" t="n">
        <f aca="false">ExportRaw!$C321</f>
        <v>0</v>
      </c>
      <c r="C321" s="174" t="n">
        <f aca="false">ExportRaw!$G321</f>
        <v>0</v>
      </c>
      <c r="D321" s="174" t="str">
        <f aca="false">ExportRaw!$E321</f>
        <v/>
      </c>
      <c r="E321" s="175" t="str">
        <f aca="false">ExportRaw!$D321</f>
        <v/>
      </c>
      <c r="F321" s="174" t="str">
        <f aca="false">ExportRaw!$H321</f>
        <v/>
      </c>
      <c r="G321" s="176" t="str">
        <f aca="false">ExportRaw!$I321</f>
        <v/>
      </c>
      <c r="H321" s="174" t="str">
        <f aca="false">ExportRaw!$A321</f>
        <v/>
      </c>
      <c r="I321" s="174" t="str">
        <f aca="false">ExportRaw!$B321</f>
        <v/>
      </c>
    </row>
    <row r="322" customFormat="false" ht="15.75" hidden="false" customHeight="false" outlineLevel="0" collapsed="false">
      <c r="A322" s="174" t="n">
        <f aca="false">ExportRaw!$F322</f>
        <v>0</v>
      </c>
      <c r="B322" s="174" t="n">
        <f aca="false">ExportRaw!$C322</f>
        <v>0</v>
      </c>
      <c r="C322" s="174" t="n">
        <f aca="false">ExportRaw!$G322</f>
        <v>0</v>
      </c>
      <c r="D322" s="174" t="str">
        <f aca="false">ExportRaw!$E322</f>
        <v/>
      </c>
      <c r="E322" s="175" t="str">
        <f aca="false">ExportRaw!$D322</f>
        <v/>
      </c>
      <c r="F322" s="174" t="str">
        <f aca="false">ExportRaw!$H322</f>
        <v/>
      </c>
      <c r="G322" s="176" t="str">
        <f aca="false">ExportRaw!$I322</f>
        <v/>
      </c>
      <c r="H322" s="174" t="str">
        <f aca="false">ExportRaw!$A322</f>
        <v/>
      </c>
      <c r="I322" s="174" t="str">
        <f aca="false">ExportRaw!$B322</f>
        <v/>
      </c>
    </row>
    <row r="323" customFormat="false" ht="15.75" hidden="false" customHeight="false" outlineLevel="0" collapsed="false">
      <c r="A323" s="174" t="n">
        <f aca="false">ExportRaw!$F323</f>
        <v>0</v>
      </c>
      <c r="B323" s="174" t="n">
        <f aca="false">ExportRaw!$C323</f>
        <v>0</v>
      </c>
      <c r="C323" s="174" t="n">
        <f aca="false">ExportRaw!$G323</f>
        <v>0</v>
      </c>
      <c r="D323" s="174" t="str">
        <f aca="false">ExportRaw!$E323</f>
        <v/>
      </c>
      <c r="E323" s="175" t="str">
        <f aca="false">ExportRaw!$D323</f>
        <v/>
      </c>
      <c r="F323" s="174" t="str">
        <f aca="false">ExportRaw!$H323</f>
        <v/>
      </c>
      <c r="G323" s="176" t="str">
        <f aca="false">ExportRaw!$I323</f>
        <v/>
      </c>
      <c r="H323" s="174" t="str">
        <f aca="false">ExportRaw!$A323</f>
        <v/>
      </c>
      <c r="I323" s="174" t="str">
        <f aca="false">ExportRaw!$B323</f>
        <v/>
      </c>
    </row>
    <row r="324" customFormat="false" ht="15.75" hidden="false" customHeight="false" outlineLevel="0" collapsed="false">
      <c r="A324" s="174" t="n">
        <f aca="false">ExportRaw!$F324</f>
        <v>0</v>
      </c>
      <c r="B324" s="174" t="n">
        <f aca="false">ExportRaw!$C324</f>
        <v>0</v>
      </c>
      <c r="C324" s="174" t="n">
        <f aca="false">ExportRaw!$G324</f>
        <v>0</v>
      </c>
      <c r="D324" s="174" t="str">
        <f aca="false">ExportRaw!$E324</f>
        <v/>
      </c>
      <c r="E324" s="175" t="str">
        <f aca="false">ExportRaw!$D324</f>
        <v/>
      </c>
      <c r="F324" s="174" t="str">
        <f aca="false">ExportRaw!$H324</f>
        <v/>
      </c>
      <c r="G324" s="176" t="str">
        <f aca="false">ExportRaw!$I324</f>
        <v/>
      </c>
      <c r="H324" s="174" t="str">
        <f aca="false">ExportRaw!$A324</f>
        <v/>
      </c>
      <c r="I324" s="174" t="str">
        <f aca="false">ExportRaw!$B324</f>
        <v/>
      </c>
    </row>
    <row r="325" customFormat="false" ht="15.75" hidden="false" customHeight="false" outlineLevel="0" collapsed="false">
      <c r="A325" s="174" t="n">
        <f aca="false">ExportRaw!$F325</f>
        <v>0</v>
      </c>
      <c r="B325" s="174" t="n">
        <f aca="false">ExportRaw!$C325</f>
        <v>0</v>
      </c>
      <c r="C325" s="174" t="n">
        <f aca="false">ExportRaw!$G325</f>
        <v>0</v>
      </c>
      <c r="D325" s="174" t="str">
        <f aca="false">ExportRaw!$E325</f>
        <v/>
      </c>
      <c r="E325" s="175" t="str">
        <f aca="false">ExportRaw!$D325</f>
        <v/>
      </c>
      <c r="F325" s="174" t="str">
        <f aca="false">ExportRaw!$H325</f>
        <v/>
      </c>
      <c r="G325" s="176" t="str">
        <f aca="false">ExportRaw!$I325</f>
        <v/>
      </c>
      <c r="H325" s="174" t="str">
        <f aca="false">ExportRaw!$A325</f>
        <v/>
      </c>
      <c r="I325" s="174" t="str">
        <f aca="false">ExportRaw!$B325</f>
        <v/>
      </c>
    </row>
    <row r="326" customFormat="false" ht="15.75" hidden="false" customHeight="false" outlineLevel="0" collapsed="false">
      <c r="A326" s="174" t="n">
        <f aca="false">ExportRaw!$F326</f>
        <v>0</v>
      </c>
      <c r="B326" s="174" t="n">
        <f aca="false">ExportRaw!$C326</f>
        <v>0</v>
      </c>
      <c r="C326" s="174" t="n">
        <f aca="false">ExportRaw!$G326</f>
        <v>0</v>
      </c>
      <c r="D326" s="174" t="str">
        <f aca="false">ExportRaw!$E326</f>
        <v/>
      </c>
      <c r="E326" s="175" t="str">
        <f aca="false">ExportRaw!$D326</f>
        <v/>
      </c>
      <c r="F326" s="174" t="str">
        <f aca="false">ExportRaw!$H326</f>
        <v/>
      </c>
      <c r="G326" s="176" t="str">
        <f aca="false">ExportRaw!$I326</f>
        <v/>
      </c>
      <c r="H326" s="174" t="str">
        <f aca="false">ExportRaw!$A326</f>
        <v/>
      </c>
      <c r="I326" s="174" t="str">
        <f aca="false">ExportRaw!$B326</f>
        <v/>
      </c>
    </row>
    <row r="327" customFormat="false" ht="15.75" hidden="false" customHeight="false" outlineLevel="0" collapsed="false">
      <c r="A327" s="174" t="n">
        <f aca="false">ExportRaw!$F327</f>
        <v>0</v>
      </c>
      <c r="B327" s="174" t="n">
        <f aca="false">ExportRaw!$C327</f>
        <v>0</v>
      </c>
      <c r="C327" s="174" t="n">
        <f aca="false">ExportRaw!$G327</f>
        <v>0</v>
      </c>
      <c r="D327" s="174" t="str">
        <f aca="false">ExportRaw!$E327</f>
        <v/>
      </c>
      <c r="E327" s="175" t="str">
        <f aca="false">ExportRaw!$D327</f>
        <v/>
      </c>
      <c r="F327" s="174" t="str">
        <f aca="false">ExportRaw!$H327</f>
        <v/>
      </c>
      <c r="G327" s="176" t="str">
        <f aca="false">ExportRaw!$I327</f>
        <v/>
      </c>
      <c r="H327" s="174" t="str">
        <f aca="false">ExportRaw!$A327</f>
        <v/>
      </c>
      <c r="I327" s="174" t="str">
        <f aca="false">ExportRaw!$B327</f>
        <v/>
      </c>
    </row>
    <row r="328" customFormat="false" ht="15.75" hidden="false" customHeight="false" outlineLevel="0" collapsed="false">
      <c r="A328" s="174" t="n">
        <f aca="false">ExportRaw!$F328</f>
        <v>0</v>
      </c>
      <c r="B328" s="174" t="n">
        <f aca="false">ExportRaw!$C328</f>
        <v>0</v>
      </c>
      <c r="C328" s="174" t="n">
        <f aca="false">ExportRaw!$G328</f>
        <v>0</v>
      </c>
      <c r="D328" s="174" t="str">
        <f aca="false">ExportRaw!$E328</f>
        <v/>
      </c>
      <c r="E328" s="175" t="str">
        <f aca="false">ExportRaw!$D328</f>
        <v/>
      </c>
      <c r="F328" s="174" t="str">
        <f aca="false">ExportRaw!$H328</f>
        <v/>
      </c>
      <c r="G328" s="176" t="str">
        <f aca="false">ExportRaw!$I328</f>
        <v/>
      </c>
      <c r="H328" s="174" t="str">
        <f aca="false">ExportRaw!$A328</f>
        <v/>
      </c>
      <c r="I328" s="174" t="str">
        <f aca="false">ExportRaw!$B328</f>
        <v/>
      </c>
    </row>
    <row r="329" customFormat="false" ht="15.75" hidden="false" customHeight="false" outlineLevel="0" collapsed="false">
      <c r="A329" s="174" t="n">
        <f aca="false">ExportRaw!$F329</f>
        <v>0</v>
      </c>
      <c r="B329" s="174" t="n">
        <f aca="false">ExportRaw!$C329</f>
        <v>0</v>
      </c>
      <c r="C329" s="174" t="n">
        <f aca="false">ExportRaw!$G329</f>
        <v>0</v>
      </c>
      <c r="D329" s="174" t="str">
        <f aca="false">ExportRaw!$E329</f>
        <v/>
      </c>
      <c r="E329" s="175" t="str">
        <f aca="false">ExportRaw!$D329</f>
        <v/>
      </c>
      <c r="F329" s="174" t="str">
        <f aca="false">ExportRaw!$H329</f>
        <v/>
      </c>
      <c r="G329" s="176" t="str">
        <f aca="false">ExportRaw!$I329</f>
        <v/>
      </c>
      <c r="H329" s="174" t="str">
        <f aca="false">ExportRaw!$A329</f>
        <v/>
      </c>
      <c r="I329" s="174" t="str">
        <f aca="false">ExportRaw!$B329</f>
        <v/>
      </c>
    </row>
    <row r="330" customFormat="false" ht="15.75" hidden="false" customHeight="false" outlineLevel="0" collapsed="false">
      <c r="A330" s="174" t="n">
        <f aca="false">ExportRaw!$F330</f>
        <v>0</v>
      </c>
      <c r="B330" s="174" t="n">
        <f aca="false">ExportRaw!$C330</f>
        <v>0</v>
      </c>
      <c r="C330" s="174" t="n">
        <f aca="false">ExportRaw!$G330</f>
        <v>0</v>
      </c>
      <c r="D330" s="174" t="str">
        <f aca="false">ExportRaw!$E330</f>
        <v/>
      </c>
      <c r="E330" s="175" t="str">
        <f aca="false">ExportRaw!$D330</f>
        <v/>
      </c>
      <c r="F330" s="174" t="str">
        <f aca="false">ExportRaw!$H330</f>
        <v/>
      </c>
      <c r="G330" s="176" t="str">
        <f aca="false">ExportRaw!$I330</f>
        <v/>
      </c>
      <c r="H330" s="174" t="str">
        <f aca="false">ExportRaw!$A330</f>
        <v/>
      </c>
      <c r="I330" s="174" t="str">
        <f aca="false">ExportRaw!$B330</f>
        <v/>
      </c>
    </row>
    <row r="331" customFormat="false" ht="15.75" hidden="false" customHeight="false" outlineLevel="0" collapsed="false">
      <c r="A331" s="174" t="n">
        <f aca="false">ExportRaw!$F331</f>
        <v>0</v>
      </c>
      <c r="B331" s="174" t="n">
        <f aca="false">ExportRaw!$C331</f>
        <v>0</v>
      </c>
      <c r="C331" s="174" t="n">
        <f aca="false">ExportRaw!$G331</f>
        <v>0</v>
      </c>
      <c r="D331" s="174" t="str">
        <f aca="false">ExportRaw!$E331</f>
        <v/>
      </c>
      <c r="E331" s="175" t="str">
        <f aca="false">ExportRaw!$D331</f>
        <v/>
      </c>
      <c r="F331" s="174" t="str">
        <f aca="false">ExportRaw!$H331</f>
        <v/>
      </c>
      <c r="G331" s="176" t="str">
        <f aca="false">ExportRaw!$I331</f>
        <v/>
      </c>
      <c r="H331" s="174" t="str">
        <f aca="false">ExportRaw!$A331</f>
        <v/>
      </c>
      <c r="I331" s="174" t="str">
        <f aca="false">ExportRaw!$B331</f>
        <v/>
      </c>
    </row>
    <row r="332" customFormat="false" ht="15.75" hidden="false" customHeight="false" outlineLevel="0" collapsed="false">
      <c r="A332" s="174" t="n">
        <f aca="false">ExportRaw!$F332</f>
        <v>0</v>
      </c>
      <c r="B332" s="174" t="n">
        <f aca="false">ExportRaw!$C332</f>
        <v>0</v>
      </c>
      <c r="C332" s="174" t="n">
        <f aca="false">ExportRaw!$G332</f>
        <v>0</v>
      </c>
      <c r="D332" s="174" t="str">
        <f aca="false">ExportRaw!$E332</f>
        <v/>
      </c>
      <c r="E332" s="175" t="str">
        <f aca="false">ExportRaw!$D332</f>
        <v/>
      </c>
      <c r="F332" s="174" t="str">
        <f aca="false">ExportRaw!$H332</f>
        <v/>
      </c>
      <c r="G332" s="176" t="str">
        <f aca="false">ExportRaw!$I332</f>
        <v/>
      </c>
      <c r="H332" s="174" t="str">
        <f aca="false">ExportRaw!$A332</f>
        <v/>
      </c>
      <c r="I332" s="174" t="str">
        <f aca="false">ExportRaw!$B332</f>
        <v/>
      </c>
    </row>
    <row r="333" customFormat="false" ht="15.75" hidden="false" customHeight="false" outlineLevel="0" collapsed="false">
      <c r="A333" s="174" t="n">
        <f aca="false">ExportRaw!$F333</f>
        <v>0</v>
      </c>
      <c r="B333" s="174" t="n">
        <f aca="false">ExportRaw!$C333</f>
        <v>0</v>
      </c>
      <c r="C333" s="174" t="n">
        <f aca="false">ExportRaw!$G333</f>
        <v>0</v>
      </c>
      <c r="D333" s="174" t="str">
        <f aca="false">ExportRaw!$E333</f>
        <v/>
      </c>
      <c r="E333" s="175" t="str">
        <f aca="false">ExportRaw!$D333</f>
        <v/>
      </c>
      <c r="F333" s="174" t="str">
        <f aca="false">ExportRaw!$H333</f>
        <v/>
      </c>
      <c r="G333" s="176" t="str">
        <f aca="false">ExportRaw!$I333</f>
        <v/>
      </c>
      <c r="H333" s="174" t="str">
        <f aca="false">ExportRaw!$A333</f>
        <v/>
      </c>
      <c r="I333" s="174" t="str">
        <f aca="false">ExportRaw!$B333</f>
        <v/>
      </c>
    </row>
    <row r="334" customFormat="false" ht="15.75" hidden="false" customHeight="false" outlineLevel="0" collapsed="false">
      <c r="A334" s="174" t="n">
        <f aca="false">ExportRaw!$F334</f>
        <v>0</v>
      </c>
      <c r="B334" s="174" t="n">
        <f aca="false">ExportRaw!$C334</f>
        <v>0</v>
      </c>
      <c r="C334" s="174" t="n">
        <f aca="false">ExportRaw!$G334</f>
        <v>0</v>
      </c>
      <c r="D334" s="174" t="str">
        <f aca="false">ExportRaw!$E334</f>
        <v/>
      </c>
      <c r="E334" s="175" t="str">
        <f aca="false">ExportRaw!$D334</f>
        <v/>
      </c>
      <c r="F334" s="174" t="str">
        <f aca="false">ExportRaw!$H334</f>
        <v/>
      </c>
      <c r="G334" s="176" t="str">
        <f aca="false">ExportRaw!$I334</f>
        <v/>
      </c>
      <c r="H334" s="174" t="str">
        <f aca="false">ExportRaw!$A334</f>
        <v/>
      </c>
      <c r="I334" s="174" t="str">
        <f aca="false">ExportRaw!$B334</f>
        <v/>
      </c>
    </row>
    <row r="335" customFormat="false" ht="15.75" hidden="false" customHeight="false" outlineLevel="0" collapsed="false">
      <c r="A335" s="174" t="n">
        <f aca="false">ExportRaw!$F335</f>
        <v>0</v>
      </c>
      <c r="B335" s="174" t="n">
        <f aca="false">ExportRaw!$C335</f>
        <v>0</v>
      </c>
      <c r="C335" s="174" t="n">
        <f aca="false">ExportRaw!$G335</f>
        <v>0</v>
      </c>
      <c r="D335" s="174" t="str">
        <f aca="false">ExportRaw!$E335</f>
        <v/>
      </c>
      <c r="E335" s="175" t="str">
        <f aca="false">ExportRaw!$D335</f>
        <v/>
      </c>
      <c r="F335" s="174" t="str">
        <f aca="false">ExportRaw!$H335</f>
        <v/>
      </c>
      <c r="G335" s="176" t="str">
        <f aca="false">ExportRaw!$I335</f>
        <v/>
      </c>
      <c r="H335" s="174" t="str">
        <f aca="false">ExportRaw!$A335</f>
        <v/>
      </c>
      <c r="I335" s="174" t="str">
        <f aca="false">ExportRaw!$B335</f>
        <v/>
      </c>
    </row>
    <row r="336" customFormat="false" ht="15.75" hidden="false" customHeight="false" outlineLevel="0" collapsed="false">
      <c r="A336" s="174" t="n">
        <f aca="false">ExportRaw!$F336</f>
        <v>0</v>
      </c>
      <c r="B336" s="174" t="n">
        <f aca="false">ExportRaw!$C336</f>
        <v>0</v>
      </c>
      <c r="C336" s="174" t="n">
        <f aca="false">ExportRaw!$G336</f>
        <v>0</v>
      </c>
      <c r="D336" s="174" t="str">
        <f aca="false">ExportRaw!$E336</f>
        <v/>
      </c>
      <c r="E336" s="175" t="str">
        <f aca="false">ExportRaw!$D336</f>
        <v/>
      </c>
      <c r="F336" s="174" t="str">
        <f aca="false">ExportRaw!$H336</f>
        <v/>
      </c>
      <c r="G336" s="176" t="str">
        <f aca="false">ExportRaw!$I336</f>
        <v/>
      </c>
      <c r="H336" s="174" t="str">
        <f aca="false">ExportRaw!$A336</f>
        <v/>
      </c>
      <c r="I336" s="174" t="str">
        <f aca="false">ExportRaw!$B336</f>
        <v/>
      </c>
    </row>
    <row r="337" customFormat="false" ht="15.75" hidden="false" customHeight="false" outlineLevel="0" collapsed="false">
      <c r="A337" s="174" t="n">
        <f aca="false">ExportRaw!$F337</f>
        <v>0</v>
      </c>
      <c r="B337" s="174" t="n">
        <f aca="false">ExportRaw!$C337</f>
        <v>0</v>
      </c>
      <c r="C337" s="174" t="n">
        <f aca="false">ExportRaw!$G337</f>
        <v>0</v>
      </c>
      <c r="D337" s="174" t="str">
        <f aca="false">ExportRaw!$E337</f>
        <v/>
      </c>
      <c r="E337" s="175" t="str">
        <f aca="false">ExportRaw!$D337</f>
        <v/>
      </c>
      <c r="F337" s="174" t="str">
        <f aca="false">ExportRaw!$H337</f>
        <v/>
      </c>
      <c r="G337" s="176" t="str">
        <f aca="false">ExportRaw!$I337</f>
        <v/>
      </c>
      <c r="H337" s="174" t="str">
        <f aca="false">ExportRaw!$A337</f>
        <v/>
      </c>
      <c r="I337" s="174" t="str">
        <f aca="false">ExportRaw!$B337</f>
        <v/>
      </c>
    </row>
    <row r="338" customFormat="false" ht="15.75" hidden="false" customHeight="false" outlineLevel="0" collapsed="false">
      <c r="A338" s="174" t="n">
        <f aca="false">ExportRaw!$F338</f>
        <v>0</v>
      </c>
      <c r="B338" s="174" t="n">
        <f aca="false">ExportRaw!$C338</f>
        <v>0</v>
      </c>
      <c r="C338" s="174" t="n">
        <f aca="false">ExportRaw!$G338</f>
        <v>0</v>
      </c>
      <c r="D338" s="174" t="str">
        <f aca="false">ExportRaw!$E338</f>
        <v/>
      </c>
      <c r="E338" s="175" t="str">
        <f aca="false">ExportRaw!$D338</f>
        <v/>
      </c>
      <c r="F338" s="174" t="str">
        <f aca="false">ExportRaw!$H338</f>
        <v/>
      </c>
      <c r="G338" s="176" t="str">
        <f aca="false">ExportRaw!$I338</f>
        <v/>
      </c>
      <c r="H338" s="174" t="str">
        <f aca="false">ExportRaw!$A338</f>
        <v/>
      </c>
      <c r="I338" s="174" t="str">
        <f aca="false">ExportRaw!$B338</f>
        <v/>
      </c>
    </row>
    <row r="339" customFormat="false" ht="15.75" hidden="false" customHeight="false" outlineLevel="0" collapsed="false">
      <c r="A339" s="174" t="n">
        <f aca="false">ExportRaw!$F339</f>
        <v>0</v>
      </c>
      <c r="B339" s="174" t="n">
        <f aca="false">ExportRaw!$C339</f>
        <v>0</v>
      </c>
      <c r="C339" s="174" t="n">
        <f aca="false">ExportRaw!$G339</f>
        <v>0</v>
      </c>
      <c r="D339" s="174" t="str">
        <f aca="false">ExportRaw!$E339</f>
        <v/>
      </c>
      <c r="E339" s="175" t="str">
        <f aca="false">ExportRaw!$D339</f>
        <v/>
      </c>
      <c r="F339" s="174" t="str">
        <f aca="false">ExportRaw!$H339</f>
        <v/>
      </c>
      <c r="G339" s="176" t="str">
        <f aca="false">ExportRaw!$I339</f>
        <v/>
      </c>
      <c r="H339" s="174" t="str">
        <f aca="false">ExportRaw!$A339</f>
        <v/>
      </c>
      <c r="I339" s="174" t="str">
        <f aca="false">ExportRaw!$B339</f>
        <v/>
      </c>
    </row>
    <row r="340" customFormat="false" ht="15.75" hidden="false" customHeight="false" outlineLevel="0" collapsed="false">
      <c r="A340" s="174" t="n">
        <f aca="false">ExportRaw!$F340</f>
        <v>0</v>
      </c>
      <c r="B340" s="174" t="n">
        <f aca="false">ExportRaw!$C340</f>
        <v>0</v>
      </c>
      <c r="C340" s="174" t="n">
        <f aca="false">ExportRaw!$G340</f>
        <v>0</v>
      </c>
      <c r="D340" s="174" t="str">
        <f aca="false">ExportRaw!$E340</f>
        <v/>
      </c>
      <c r="E340" s="175" t="str">
        <f aca="false">ExportRaw!$D340</f>
        <v/>
      </c>
      <c r="F340" s="174" t="str">
        <f aca="false">ExportRaw!$H340</f>
        <v/>
      </c>
      <c r="G340" s="176" t="str">
        <f aca="false">ExportRaw!$I340</f>
        <v/>
      </c>
      <c r="H340" s="174" t="str">
        <f aca="false">ExportRaw!$A340</f>
        <v/>
      </c>
      <c r="I340" s="174" t="str">
        <f aca="false">ExportRaw!$B340</f>
        <v/>
      </c>
    </row>
    <row r="341" customFormat="false" ht="15.75" hidden="false" customHeight="false" outlineLevel="0" collapsed="false">
      <c r="A341" s="174" t="n">
        <f aca="false">ExportRaw!$F341</f>
        <v>0</v>
      </c>
      <c r="B341" s="174" t="n">
        <f aca="false">ExportRaw!$C341</f>
        <v>0</v>
      </c>
      <c r="C341" s="174" t="n">
        <f aca="false">ExportRaw!$G341</f>
        <v>0</v>
      </c>
      <c r="D341" s="174" t="str">
        <f aca="false">ExportRaw!$E341</f>
        <v/>
      </c>
      <c r="E341" s="175" t="str">
        <f aca="false">ExportRaw!$D341</f>
        <v/>
      </c>
      <c r="F341" s="174" t="str">
        <f aca="false">ExportRaw!$H341</f>
        <v/>
      </c>
      <c r="G341" s="176" t="str">
        <f aca="false">ExportRaw!$I341</f>
        <v/>
      </c>
      <c r="H341" s="174" t="str">
        <f aca="false">ExportRaw!$A341</f>
        <v/>
      </c>
      <c r="I341" s="174" t="str">
        <f aca="false">ExportRaw!$B341</f>
        <v/>
      </c>
    </row>
    <row r="342" customFormat="false" ht="15.75" hidden="false" customHeight="false" outlineLevel="0" collapsed="false">
      <c r="A342" s="174" t="n">
        <f aca="false">ExportRaw!$F342</f>
        <v>0</v>
      </c>
      <c r="B342" s="174" t="n">
        <f aca="false">ExportRaw!$C342</f>
        <v>0</v>
      </c>
      <c r="C342" s="174" t="n">
        <f aca="false">ExportRaw!$G342</f>
        <v>0</v>
      </c>
      <c r="D342" s="174" t="str">
        <f aca="false">ExportRaw!$E342</f>
        <v/>
      </c>
      <c r="E342" s="175" t="str">
        <f aca="false">ExportRaw!$D342</f>
        <v/>
      </c>
      <c r="F342" s="174" t="str">
        <f aca="false">ExportRaw!$H342</f>
        <v/>
      </c>
      <c r="G342" s="176" t="str">
        <f aca="false">ExportRaw!$I342</f>
        <v/>
      </c>
      <c r="H342" s="174" t="str">
        <f aca="false">ExportRaw!$A342</f>
        <v/>
      </c>
      <c r="I342" s="174" t="str">
        <f aca="false">ExportRaw!$B342</f>
        <v/>
      </c>
    </row>
    <row r="343" customFormat="false" ht="15.75" hidden="false" customHeight="false" outlineLevel="0" collapsed="false">
      <c r="A343" s="174" t="n">
        <f aca="false">ExportRaw!$F343</f>
        <v>0</v>
      </c>
      <c r="B343" s="174" t="n">
        <f aca="false">ExportRaw!$C343</f>
        <v>0</v>
      </c>
      <c r="C343" s="174" t="n">
        <f aca="false">ExportRaw!$G343</f>
        <v>0</v>
      </c>
      <c r="D343" s="174" t="str">
        <f aca="false">ExportRaw!$E343</f>
        <v/>
      </c>
      <c r="E343" s="175" t="str">
        <f aca="false">ExportRaw!$D343</f>
        <v/>
      </c>
      <c r="F343" s="174" t="str">
        <f aca="false">ExportRaw!$H343</f>
        <v/>
      </c>
      <c r="G343" s="176" t="str">
        <f aca="false">ExportRaw!$I343</f>
        <v/>
      </c>
      <c r="H343" s="174" t="str">
        <f aca="false">ExportRaw!$A343</f>
        <v/>
      </c>
      <c r="I343" s="174" t="str">
        <f aca="false">ExportRaw!$B343</f>
        <v/>
      </c>
    </row>
    <row r="344" customFormat="false" ht="15.75" hidden="false" customHeight="false" outlineLevel="0" collapsed="false">
      <c r="A344" s="174" t="n">
        <f aca="false">ExportRaw!$F344</f>
        <v>0</v>
      </c>
      <c r="B344" s="174" t="n">
        <f aca="false">ExportRaw!$C344</f>
        <v>0</v>
      </c>
      <c r="C344" s="174" t="n">
        <f aca="false">ExportRaw!$G344</f>
        <v>0</v>
      </c>
      <c r="D344" s="174" t="str">
        <f aca="false">ExportRaw!$E344</f>
        <v/>
      </c>
      <c r="E344" s="175" t="str">
        <f aca="false">ExportRaw!$D344</f>
        <v/>
      </c>
      <c r="F344" s="174" t="str">
        <f aca="false">ExportRaw!$H344</f>
        <v/>
      </c>
      <c r="G344" s="176" t="str">
        <f aca="false">ExportRaw!$I344</f>
        <v/>
      </c>
      <c r="H344" s="174" t="str">
        <f aca="false">ExportRaw!$A344</f>
        <v/>
      </c>
      <c r="I344" s="174" t="str">
        <f aca="false">ExportRaw!$B344</f>
        <v/>
      </c>
    </row>
    <row r="345" customFormat="false" ht="15.75" hidden="false" customHeight="false" outlineLevel="0" collapsed="false">
      <c r="A345" s="174" t="n">
        <f aca="false">ExportRaw!$F345</f>
        <v>0</v>
      </c>
      <c r="B345" s="174" t="n">
        <f aca="false">ExportRaw!$C345</f>
        <v>0</v>
      </c>
      <c r="C345" s="174" t="n">
        <f aca="false">ExportRaw!$G345</f>
        <v>0</v>
      </c>
      <c r="D345" s="174" t="str">
        <f aca="false">ExportRaw!$E345</f>
        <v/>
      </c>
      <c r="E345" s="175" t="str">
        <f aca="false">ExportRaw!$D345</f>
        <v/>
      </c>
      <c r="F345" s="174" t="str">
        <f aca="false">ExportRaw!$H345</f>
        <v/>
      </c>
      <c r="G345" s="176" t="str">
        <f aca="false">ExportRaw!$I345</f>
        <v/>
      </c>
      <c r="H345" s="174" t="str">
        <f aca="false">ExportRaw!$A345</f>
        <v/>
      </c>
      <c r="I345" s="174" t="str">
        <f aca="false">ExportRaw!$B345</f>
        <v/>
      </c>
    </row>
    <row r="346" customFormat="false" ht="15.75" hidden="false" customHeight="false" outlineLevel="0" collapsed="false">
      <c r="A346" s="174" t="n">
        <f aca="false">ExportRaw!$F346</f>
        <v>0</v>
      </c>
      <c r="B346" s="174" t="n">
        <f aca="false">ExportRaw!$C346</f>
        <v>0</v>
      </c>
      <c r="C346" s="174" t="n">
        <f aca="false">ExportRaw!$G346</f>
        <v>0</v>
      </c>
      <c r="D346" s="174" t="str">
        <f aca="false">ExportRaw!$E346</f>
        <v/>
      </c>
      <c r="E346" s="175" t="str">
        <f aca="false">ExportRaw!$D346</f>
        <v/>
      </c>
      <c r="F346" s="174" t="str">
        <f aca="false">ExportRaw!$H346</f>
        <v/>
      </c>
      <c r="G346" s="176" t="str">
        <f aca="false">ExportRaw!$I346</f>
        <v/>
      </c>
      <c r="H346" s="174" t="str">
        <f aca="false">ExportRaw!$A346</f>
        <v/>
      </c>
      <c r="I346" s="174" t="str">
        <f aca="false">ExportRaw!$B346</f>
        <v/>
      </c>
    </row>
    <row r="347" customFormat="false" ht="15.75" hidden="false" customHeight="false" outlineLevel="0" collapsed="false">
      <c r="A347" s="174" t="n">
        <f aca="false">ExportRaw!$F347</f>
        <v>0</v>
      </c>
      <c r="B347" s="174" t="n">
        <f aca="false">ExportRaw!$C347</f>
        <v>0</v>
      </c>
      <c r="C347" s="174" t="n">
        <f aca="false">ExportRaw!$G347</f>
        <v>0</v>
      </c>
      <c r="D347" s="174" t="str">
        <f aca="false">ExportRaw!$E347</f>
        <v/>
      </c>
      <c r="E347" s="175" t="str">
        <f aca="false">ExportRaw!$D347</f>
        <v/>
      </c>
      <c r="F347" s="174" t="str">
        <f aca="false">ExportRaw!$H347</f>
        <v/>
      </c>
      <c r="G347" s="176" t="str">
        <f aca="false">ExportRaw!$I347</f>
        <v/>
      </c>
      <c r="H347" s="174" t="str">
        <f aca="false">ExportRaw!$A347</f>
        <v/>
      </c>
      <c r="I347" s="174" t="str">
        <f aca="false">ExportRaw!$B347</f>
        <v/>
      </c>
    </row>
    <row r="348" customFormat="false" ht="15.75" hidden="false" customHeight="false" outlineLevel="0" collapsed="false">
      <c r="A348" s="174" t="n">
        <f aca="false">ExportRaw!$F348</f>
        <v>0</v>
      </c>
      <c r="B348" s="174" t="n">
        <f aca="false">ExportRaw!$C348</f>
        <v>0</v>
      </c>
      <c r="C348" s="174" t="n">
        <f aca="false">ExportRaw!$G348</f>
        <v>0</v>
      </c>
      <c r="D348" s="174" t="str">
        <f aca="false">ExportRaw!$E348</f>
        <v/>
      </c>
      <c r="E348" s="175" t="str">
        <f aca="false">ExportRaw!$D348</f>
        <v/>
      </c>
      <c r="F348" s="174" t="str">
        <f aca="false">ExportRaw!$H348</f>
        <v/>
      </c>
      <c r="G348" s="176" t="str">
        <f aca="false">ExportRaw!$I348</f>
        <v/>
      </c>
      <c r="H348" s="174" t="str">
        <f aca="false">ExportRaw!$A348</f>
        <v/>
      </c>
      <c r="I348" s="174" t="str">
        <f aca="false">ExportRaw!$B348</f>
        <v/>
      </c>
    </row>
    <row r="349" customFormat="false" ht="15.75" hidden="false" customHeight="false" outlineLevel="0" collapsed="false">
      <c r="A349" s="174" t="n">
        <f aca="false">ExportRaw!$F349</f>
        <v>0</v>
      </c>
      <c r="B349" s="174" t="n">
        <f aca="false">ExportRaw!$C349</f>
        <v>0</v>
      </c>
      <c r="C349" s="174" t="n">
        <f aca="false">ExportRaw!$G349</f>
        <v>0</v>
      </c>
      <c r="D349" s="174" t="str">
        <f aca="false">ExportRaw!$E349</f>
        <v/>
      </c>
      <c r="E349" s="175" t="str">
        <f aca="false">ExportRaw!$D349</f>
        <v/>
      </c>
      <c r="F349" s="174" t="str">
        <f aca="false">ExportRaw!$H349</f>
        <v/>
      </c>
      <c r="G349" s="176" t="str">
        <f aca="false">ExportRaw!$I349</f>
        <v/>
      </c>
      <c r="H349" s="174" t="str">
        <f aca="false">ExportRaw!$A349</f>
        <v/>
      </c>
      <c r="I349" s="174" t="str">
        <f aca="false">ExportRaw!$B349</f>
        <v/>
      </c>
    </row>
    <row r="350" customFormat="false" ht="15.75" hidden="false" customHeight="false" outlineLevel="0" collapsed="false">
      <c r="A350" s="174" t="n">
        <f aca="false">ExportRaw!$F350</f>
        <v>0</v>
      </c>
      <c r="B350" s="174" t="n">
        <f aca="false">ExportRaw!$C350</f>
        <v>0</v>
      </c>
      <c r="C350" s="174" t="n">
        <f aca="false">ExportRaw!$G350</f>
        <v>0</v>
      </c>
      <c r="D350" s="174" t="str">
        <f aca="false">ExportRaw!$E350</f>
        <v/>
      </c>
      <c r="E350" s="175" t="str">
        <f aca="false">ExportRaw!$D350</f>
        <v/>
      </c>
      <c r="F350" s="174" t="str">
        <f aca="false">ExportRaw!$H350</f>
        <v/>
      </c>
      <c r="G350" s="176" t="str">
        <f aca="false">ExportRaw!$I350</f>
        <v/>
      </c>
      <c r="H350" s="174" t="str">
        <f aca="false">ExportRaw!$A350</f>
        <v/>
      </c>
      <c r="I350" s="174" t="str">
        <f aca="false">ExportRaw!$B350</f>
        <v/>
      </c>
    </row>
    <row r="351" customFormat="false" ht="15.75" hidden="false" customHeight="false" outlineLevel="0" collapsed="false">
      <c r="A351" s="174" t="n">
        <f aca="false">ExportRaw!$F351</f>
        <v>0</v>
      </c>
      <c r="B351" s="174" t="n">
        <f aca="false">ExportRaw!$C351</f>
        <v>0</v>
      </c>
      <c r="C351" s="174" t="n">
        <f aca="false">ExportRaw!$G351</f>
        <v>0</v>
      </c>
      <c r="D351" s="174" t="str">
        <f aca="false">ExportRaw!$E351</f>
        <v/>
      </c>
      <c r="E351" s="175" t="str">
        <f aca="false">ExportRaw!$D351</f>
        <v/>
      </c>
      <c r="F351" s="174" t="str">
        <f aca="false">ExportRaw!$H351</f>
        <v/>
      </c>
      <c r="G351" s="176" t="str">
        <f aca="false">ExportRaw!$I351</f>
        <v/>
      </c>
      <c r="H351" s="174" t="str">
        <f aca="false">ExportRaw!$A351</f>
        <v/>
      </c>
      <c r="I351" s="174" t="str">
        <f aca="false">ExportRaw!$B351</f>
        <v/>
      </c>
    </row>
    <row r="352" customFormat="false" ht="15.75" hidden="false" customHeight="false" outlineLevel="0" collapsed="false">
      <c r="A352" s="174" t="n">
        <f aca="false">ExportRaw!$F352</f>
        <v>0</v>
      </c>
      <c r="B352" s="174" t="n">
        <f aca="false">ExportRaw!$C352</f>
        <v>0</v>
      </c>
      <c r="C352" s="174" t="n">
        <f aca="false">ExportRaw!$G352</f>
        <v>0</v>
      </c>
      <c r="D352" s="174" t="str">
        <f aca="false">ExportRaw!$E352</f>
        <v/>
      </c>
      <c r="E352" s="175" t="str">
        <f aca="false">ExportRaw!$D352</f>
        <v/>
      </c>
      <c r="F352" s="174" t="str">
        <f aca="false">ExportRaw!$H352</f>
        <v/>
      </c>
      <c r="G352" s="176" t="str">
        <f aca="false">ExportRaw!$I352</f>
        <v/>
      </c>
      <c r="H352" s="174" t="str">
        <f aca="false">ExportRaw!$A352</f>
        <v/>
      </c>
      <c r="I352" s="174" t="str">
        <f aca="false">ExportRaw!$B352</f>
        <v/>
      </c>
    </row>
    <row r="353" customFormat="false" ht="15.75" hidden="false" customHeight="false" outlineLevel="0" collapsed="false">
      <c r="A353" s="174" t="n">
        <f aca="false">ExportRaw!$F353</f>
        <v>0</v>
      </c>
      <c r="B353" s="174" t="n">
        <f aca="false">ExportRaw!$C353</f>
        <v>0</v>
      </c>
      <c r="C353" s="174" t="n">
        <f aca="false">ExportRaw!$G353</f>
        <v>0</v>
      </c>
      <c r="D353" s="174" t="str">
        <f aca="false">ExportRaw!$E353</f>
        <v/>
      </c>
      <c r="E353" s="175" t="str">
        <f aca="false">ExportRaw!$D353</f>
        <v/>
      </c>
      <c r="F353" s="174" t="str">
        <f aca="false">ExportRaw!$H353</f>
        <v/>
      </c>
      <c r="G353" s="176" t="str">
        <f aca="false">ExportRaw!$I353</f>
        <v/>
      </c>
      <c r="H353" s="174" t="str">
        <f aca="false">ExportRaw!$A353</f>
        <v/>
      </c>
      <c r="I353" s="174" t="str">
        <f aca="false">ExportRaw!$B353</f>
        <v/>
      </c>
    </row>
    <row r="354" customFormat="false" ht="15.75" hidden="false" customHeight="false" outlineLevel="0" collapsed="false">
      <c r="A354" s="174" t="n">
        <f aca="false">ExportRaw!$F354</f>
        <v>0</v>
      </c>
      <c r="B354" s="174" t="n">
        <f aca="false">ExportRaw!$C354</f>
        <v>0</v>
      </c>
      <c r="C354" s="174" t="n">
        <f aca="false">ExportRaw!$G354</f>
        <v>0</v>
      </c>
      <c r="D354" s="174" t="str">
        <f aca="false">ExportRaw!$E354</f>
        <v/>
      </c>
      <c r="E354" s="175" t="str">
        <f aca="false">ExportRaw!$D354</f>
        <v/>
      </c>
      <c r="F354" s="174" t="str">
        <f aca="false">ExportRaw!$H354</f>
        <v/>
      </c>
      <c r="G354" s="176" t="str">
        <f aca="false">ExportRaw!$I354</f>
        <v/>
      </c>
      <c r="H354" s="174" t="str">
        <f aca="false">ExportRaw!$A354</f>
        <v/>
      </c>
      <c r="I354" s="174" t="str">
        <f aca="false">ExportRaw!$B354</f>
        <v/>
      </c>
    </row>
    <row r="355" customFormat="false" ht="15.75" hidden="false" customHeight="false" outlineLevel="0" collapsed="false">
      <c r="A355" s="174" t="n">
        <f aca="false">ExportRaw!$F355</f>
        <v>0</v>
      </c>
      <c r="B355" s="174" t="n">
        <f aca="false">ExportRaw!$C355</f>
        <v>0</v>
      </c>
      <c r="C355" s="174" t="n">
        <f aca="false">ExportRaw!$G355</f>
        <v>0</v>
      </c>
      <c r="D355" s="174" t="str">
        <f aca="false">ExportRaw!$E355</f>
        <v/>
      </c>
      <c r="E355" s="175" t="str">
        <f aca="false">ExportRaw!$D355</f>
        <v/>
      </c>
      <c r="F355" s="174" t="str">
        <f aca="false">ExportRaw!$H355</f>
        <v/>
      </c>
      <c r="G355" s="176" t="str">
        <f aca="false">ExportRaw!$I355</f>
        <v/>
      </c>
      <c r="H355" s="174" t="str">
        <f aca="false">ExportRaw!$A355</f>
        <v/>
      </c>
      <c r="I355" s="174" t="str">
        <f aca="false">ExportRaw!$B355</f>
        <v/>
      </c>
    </row>
    <row r="356" customFormat="false" ht="15.75" hidden="false" customHeight="false" outlineLevel="0" collapsed="false">
      <c r="A356" s="174" t="n">
        <f aca="false">ExportRaw!$F356</f>
        <v>0</v>
      </c>
      <c r="B356" s="174" t="n">
        <f aca="false">ExportRaw!$C356</f>
        <v>0</v>
      </c>
      <c r="C356" s="174" t="n">
        <f aca="false">ExportRaw!$G356</f>
        <v>0</v>
      </c>
      <c r="D356" s="174" t="str">
        <f aca="false">ExportRaw!$E356</f>
        <v/>
      </c>
      <c r="E356" s="175" t="str">
        <f aca="false">ExportRaw!$D356</f>
        <v/>
      </c>
      <c r="F356" s="174" t="str">
        <f aca="false">ExportRaw!$H356</f>
        <v/>
      </c>
      <c r="G356" s="176" t="str">
        <f aca="false">ExportRaw!$I356</f>
        <v/>
      </c>
      <c r="H356" s="174" t="str">
        <f aca="false">ExportRaw!$A356</f>
        <v/>
      </c>
      <c r="I356" s="174" t="str">
        <f aca="false">ExportRaw!$B356</f>
        <v/>
      </c>
    </row>
    <row r="357" customFormat="false" ht="15.75" hidden="false" customHeight="false" outlineLevel="0" collapsed="false">
      <c r="A357" s="174" t="n">
        <f aca="false">ExportRaw!$F357</f>
        <v>0</v>
      </c>
      <c r="B357" s="174" t="n">
        <f aca="false">ExportRaw!$C357</f>
        <v>0</v>
      </c>
      <c r="C357" s="174" t="n">
        <f aca="false">ExportRaw!$G357</f>
        <v>0</v>
      </c>
      <c r="D357" s="174" t="str">
        <f aca="false">ExportRaw!$E357</f>
        <v/>
      </c>
      <c r="E357" s="175" t="str">
        <f aca="false">ExportRaw!$D357</f>
        <v/>
      </c>
      <c r="F357" s="174" t="str">
        <f aca="false">ExportRaw!$H357</f>
        <v/>
      </c>
      <c r="G357" s="176" t="str">
        <f aca="false">ExportRaw!$I357</f>
        <v/>
      </c>
      <c r="H357" s="174" t="str">
        <f aca="false">ExportRaw!$A357</f>
        <v/>
      </c>
      <c r="I357" s="174" t="str">
        <f aca="false">ExportRaw!$B357</f>
        <v/>
      </c>
    </row>
    <row r="358" customFormat="false" ht="15.75" hidden="false" customHeight="false" outlineLevel="0" collapsed="false">
      <c r="A358" s="174" t="n">
        <f aca="false">ExportRaw!$F358</f>
        <v>0</v>
      </c>
      <c r="B358" s="174" t="n">
        <f aca="false">ExportRaw!$C358</f>
        <v>0</v>
      </c>
      <c r="C358" s="174" t="n">
        <f aca="false">ExportRaw!$G358</f>
        <v>0</v>
      </c>
      <c r="D358" s="174" t="str">
        <f aca="false">ExportRaw!$E358</f>
        <v/>
      </c>
      <c r="E358" s="175" t="str">
        <f aca="false">ExportRaw!$D358</f>
        <v/>
      </c>
      <c r="F358" s="174" t="str">
        <f aca="false">ExportRaw!$H358</f>
        <v/>
      </c>
      <c r="G358" s="176" t="str">
        <f aca="false">ExportRaw!$I358</f>
        <v/>
      </c>
      <c r="H358" s="174" t="str">
        <f aca="false">ExportRaw!$A358</f>
        <v/>
      </c>
      <c r="I358" s="174" t="str">
        <f aca="false">ExportRaw!$B358</f>
        <v/>
      </c>
    </row>
    <row r="359" customFormat="false" ht="15.75" hidden="false" customHeight="false" outlineLevel="0" collapsed="false">
      <c r="A359" s="174" t="n">
        <f aca="false">ExportRaw!$F359</f>
        <v>0</v>
      </c>
      <c r="B359" s="174" t="n">
        <f aca="false">ExportRaw!$C359</f>
        <v>0</v>
      </c>
      <c r="C359" s="174" t="n">
        <f aca="false">ExportRaw!$G359</f>
        <v>0</v>
      </c>
      <c r="D359" s="174" t="str">
        <f aca="false">ExportRaw!$E359</f>
        <v/>
      </c>
      <c r="E359" s="175" t="str">
        <f aca="false">ExportRaw!$D359</f>
        <v/>
      </c>
      <c r="F359" s="174" t="str">
        <f aca="false">ExportRaw!$H359</f>
        <v/>
      </c>
      <c r="G359" s="176" t="str">
        <f aca="false">ExportRaw!$I359</f>
        <v/>
      </c>
      <c r="H359" s="174" t="str">
        <f aca="false">ExportRaw!$A359</f>
        <v/>
      </c>
      <c r="I359" s="174" t="str">
        <f aca="false">ExportRaw!$B359</f>
        <v/>
      </c>
    </row>
    <row r="360" customFormat="false" ht="15.75" hidden="false" customHeight="false" outlineLevel="0" collapsed="false">
      <c r="A360" s="174" t="n">
        <f aca="false">ExportRaw!$F360</f>
        <v>0</v>
      </c>
      <c r="B360" s="174" t="n">
        <f aca="false">ExportRaw!$C360</f>
        <v>0</v>
      </c>
      <c r="C360" s="174" t="n">
        <f aca="false">ExportRaw!$G360</f>
        <v>0</v>
      </c>
      <c r="D360" s="174" t="str">
        <f aca="false">ExportRaw!$E360</f>
        <v/>
      </c>
      <c r="E360" s="175" t="str">
        <f aca="false">ExportRaw!$D360</f>
        <v/>
      </c>
      <c r="F360" s="174" t="str">
        <f aca="false">ExportRaw!$H360</f>
        <v/>
      </c>
      <c r="G360" s="176" t="str">
        <f aca="false">ExportRaw!$I360</f>
        <v/>
      </c>
      <c r="H360" s="174" t="str">
        <f aca="false">ExportRaw!$A360</f>
        <v/>
      </c>
      <c r="I360" s="174" t="str">
        <f aca="false">ExportRaw!$B360</f>
        <v/>
      </c>
    </row>
    <row r="361" customFormat="false" ht="15.75" hidden="false" customHeight="false" outlineLevel="0" collapsed="false">
      <c r="A361" s="174" t="n">
        <f aca="false">ExportRaw!$F361</f>
        <v>0</v>
      </c>
      <c r="B361" s="174" t="n">
        <f aca="false">ExportRaw!$C361</f>
        <v>0</v>
      </c>
      <c r="C361" s="174" t="n">
        <f aca="false">ExportRaw!$G361</f>
        <v>0</v>
      </c>
      <c r="D361" s="174" t="str">
        <f aca="false">ExportRaw!$E361</f>
        <v/>
      </c>
      <c r="E361" s="175" t="str">
        <f aca="false">ExportRaw!$D361</f>
        <v/>
      </c>
      <c r="F361" s="174" t="str">
        <f aca="false">ExportRaw!$H361</f>
        <v/>
      </c>
      <c r="G361" s="176" t="str">
        <f aca="false">ExportRaw!$I361</f>
        <v/>
      </c>
      <c r="H361" s="174" t="str">
        <f aca="false">ExportRaw!$A361</f>
        <v/>
      </c>
      <c r="I361" s="174" t="str">
        <f aca="false">ExportRaw!$B361</f>
        <v/>
      </c>
    </row>
    <row r="362" customFormat="false" ht="15.75" hidden="false" customHeight="false" outlineLevel="0" collapsed="false">
      <c r="A362" s="174" t="n">
        <f aca="false">ExportRaw!$F362</f>
        <v>0</v>
      </c>
      <c r="B362" s="174" t="n">
        <f aca="false">ExportRaw!$C362</f>
        <v>0</v>
      </c>
      <c r="C362" s="174" t="n">
        <f aca="false">ExportRaw!$G362</f>
        <v>0</v>
      </c>
      <c r="D362" s="174" t="str">
        <f aca="false">ExportRaw!$E362</f>
        <v/>
      </c>
      <c r="E362" s="175" t="str">
        <f aca="false">ExportRaw!$D362</f>
        <v/>
      </c>
      <c r="F362" s="174" t="str">
        <f aca="false">ExportRaw!$H362</f>
        <v/>
      </c>
      <c r="G362" s="176" t="str">
        <f aca="false">ExportRaw!$I362</f>
        <v/>
      </c>
      <c r="H362" s="174" t="str">
        <f aca="false">ExportRaw!$A362</f>
        <v/>
      </c>
      <c r="I362" s="174" t="str">
        <f aca="false">ExportRaw!$B362</f>
        <v/>
      </c>
    </row>
    <row r="363" customFormat="false" ht="15.75" hidden="false" customHeight="false" outlineLevel="0" collapsed="false">
      <c r="A363" s="174" t="n">
        <f aca="false">ExportRaw!$F363</f>
        <v>0</v>
      </c>
      <c r="B363" s="174" t="n">
        <f aca="false">ExportRaw!$C363</f>
        <v>0</v>
      </c>
      <c r="C363" s="174" t="n">
        <f aca="false">ExportRaw!$G363</f>
        <v>0</v>
      </c>
      <c r="D363" s="174" t="str">
        <f aca="false">ExportRaw!$E363</f>
        <v/>
      </c>
      <c r="E363" s="175" t="str">
        <f aca="false">ExportRaw!$D363</f>
        <v/>
      </c>
      <c r="F363" s="174" t="str">
        <f aca="false">ExportRaw!$H363</f>
        <v/>
      </c>
      <c r="G363" s="176" t="str">
        <f aca="false">ExportRaw!$I363</f>
        <v/>
      </c>
      <c r="H363" s="174" t="str">
        <f aca="false">ExportRaw!$A363</f>
        <v/>
      </c>
      <c r="I363" s="174" t="str">
        <f aca="false">ExportRaw!$B363</f>
        <v/>
      </c>
    </row>
    <row r="364" customFormat="false" ht="15.75" hidden="false" customHeight="false" outlineLevel="0" collapsed="false">
      <c r="A364" s="174" t="n">
        <f aca="false">ExportRaw!$F364</f>
        <v>0</v>
      </c>
      <c r="B364" s="174" t="n">
        <f aca="false">ExportRaw!$C364</f>
        <v>0</v>
      </c>
      <c r="C364" s="174" t="n">
        <f aca="false">ExportRaw!$G364</f>
        <v>0</v>
      </c>
      <c r="D364" s="174" t="str">
        <f aca="false">ExportRaw!$E364</f>
        <v/>
      </c>
      <c r="E364" s="175" t="str">
        <f aca="false">ExportRaw!$D364</f>
        <v/>
      </c>
      <c r="F364" s="174" t="str">
        <f aca="false">ExportRaw!$H364</f>
        <v/>
      </c>
      <c r="G364" s="176" t="str">
        <f aca="false">ExportRaw!$I364</f>
        <v/>
      </c>
      <c r="H364" s="174" t="str">
        <f aca="false">ExportRaw!$A364</f>
        <v/>
      </c>
      <c r="I364" s="174" t="str">
        <f aca="false">ExportRaw!$B364</f>
        <v/>
      </c>
    </row>
    <row r="365" customFormat="false" ht="15.75" hidden="false" customHeight="false" outlineLevel="0" collapsed="false">
      <c r="A365" s="174" t="n">
        <f aca="false">ExportRaw!$F365</f>
        <v>0</v>
      </c>
      <c r="B365" s="174" t="n">
        <f aca="false">ExportRaw!$C365</f>
        <v>0</v>
      </c>
      <c r="C365" s="174" t="n">
        <f aca="false">ExportRaw!$G365</f>
        <v>0</v>
      </c>
      <c r="D365" s="174" t="str">
        <f aca="false">ExportRaw!$E365</f>
        <v/>
      </c>
      <c r="E365" s="175" t="str">
        <f aca="false">ExportRaw!$D365</f>
        <v/>
      </c>
      <c r="F365" s="174" t="str">
        <f aca="false">ExportRaw!$H365</f>
        <v/>
      </c>
      <c r="G365" s="176" t="str">
        <f aca="false">ExportRaw!$I365</f>
        <v/>
      </c>
      <c r="H365" s="174" t="str">
        <f aca="false">ExportRaw!$A365</f>
        <v/>
      </c>
      <c r="I365" s="174" t="str">
        <f aca="false">ExportRaw!$B365</f>
        <v/>
      </c>
    </row>
    <row r="366" customFormat="false" ht="15.75" hidden="false" customHeight="false" outlineLevel="0" collapsed="false">
      <c r="A366" s="174" t="n">
        <f aca="false">ExportRaw!$F366</f>
        <v>0</v>
      </c>
      <c r="B366" s="174" t="n">
        <f aca="false">ExportRaw!$C366</f>
        <v>0</v>
      </c>
      <c r="C366" s="174" t="n">
        <f aca="false">ExportRaw!$G366</f>
        <v>0</v>
      </c>
      <c r="D366" s="174" t="str">
        <f aca="false">ExportRaw!$E366</f>
        <v/>
      </c>
      <c r="E366" s="175" t="str">
        <f aca="false">ExportRaw!$D366</f>
        <v/>
      </c>
      <c r="F366" s="174" t="str">
        <f aca="false">ExportRaw!$H366</f>
        <v/>
      </c>
      <c r="G366" s="176" t="str">
        <f aca="false">ExportRaw!$I366</f>
        <v/>
      </c>
      <c r="H366" s="174" t="str">
        <f aca="false">ExportRaw!$A366</f>
        <v/>
      </c>
      <c r="I366" s="174" t="str">
        <f aca="false">ExportRaw!$B366</f>
        <v/>
      </c>
    </row>
    <row r="367" customFormat="false" ht="15.75" hidden="false" customHeight="false" outlineLevel="0" collapsed="false">
      <c r="A367" s="174" t="n">
        <f aca="false">ExportRaw!$F367</f>
        <v>0</v>
      </c>
      <c r="B367" s="174" t="n">
        <f aca="false">ExportRaw!$C367</f>
        <v>0</v>
      </c>
      <c r="C367" s="174" t="n">
        <f aca="false">ExportRaw!$G367</f>
        <v>0</v>
      </c>
      <c r="D367" s="174" t="str">
        <f aca="false">ExportRaw!$E367</f>
        <v/>
      </c>
      <c r="E367" s="175" t="str">
        <f aca="false">ExportRaw!$D367</f>
        <v/>
      </c>
      <c r="F367" s="174" t="str">
        <f aca="false">ExportRaw!$H367</f>
        <v/>
      </c>
      <c r="G367" s="176" t="str">
        <f aca="false">ExportRaw!$I367</f>
        <v/>
      </c>
      <c r="H367" s="174" t="str">
        <f aca="false">ExportRaw!$A367</f>
        <v/>
      </c>
      <c r="I367" s="174" t="str">
        <f aca="false">ExportRaw!$B367</f>
        <v/>
      </c>
    </row>
    <row r="368" customFormat="false" ht="15.75" hidden="false" customHeight="false" outlineLevel="0" collapsed="false">
      <c r="A368" s="174" t="n">
        <f aca="false">ExportRaw!$F368</f>
        <v>0</v>
      </c>
      <c r="B368" s="174" t="n">
        <f aca="false">ExportRaw!$C368</f>
        <v>0</v>
      </c>
      <c r="C368" s="174" t="n">
        <f aca="false">ExportRaw!$G368</f>
        <v>0</v>
      </c>
      <c r="D368" s="174" t="str">
        <f aca="false">ExportRaw!$E368</f>
        <v/>
      </c>
      <c r="E368" s="175" t="str">
        <f aca="false">ExportRaw!$D368</f>
        <v/>
      </c>
      <c r="F368" s="174" t="str">
        <f aca="false">ExportRaw!$H368</f>
        <v/>
      </c>
      <c r="G368" s="176" t="str">
        <f aca="false">ExportRaw!$I368</f>
        <v/>
      </c>
      <c r="H368" s="174" t="str">
        <f aca="false">ExportRaw!$A368</f>
        <v/>
      </c>
      <c r="I368" s="174" t="str">
        <f aca="false">ExportRaw!$B368</f>
        <v/>
      </c>
    </row>
    <row r="369" customFormat="false" ht="15.75" hidden="false" customHeight="false" outlineLevel="0" collapsed="false">
      <c r="A369" s="174" t="n">
        <f aca="false">ExportRaw!$F369</f>
        <v>0</v>
      </c>
      <c r="B369" s="174" t="n">
        <f aca="false">ExportRaw!$C369</f>
        <v>0</v>
      </c>
      <c r="C369" s="174" t="n">
        <f aca="false">ExportRaw!$G369</f>
        <v>0</v>
      </c>
      <c r="D369" s="174" t="str">
        <f aca="false">ExportRaw!$E369</f>
        <v/>
      </c>
      <c r="E369" s="175" t="str">
        <f aca="false">ExportRaw!$D369</f>
        <v/>
      </c>
      <c r="F369" s="174" t="str">
        <f aca="false">ExportRaw!$H369</f>
        <v/>
      </c>
      <c r="G369" s="176" t="str">
        <f aca="false">ExportRaw!$I369</f>
        <v/>
      </c>
      <c r="H369" s="174" t="str">
        <f aca="false">ExportRaw!$A369</f>
        <v/>
      </c>
      <c r="I369" s="174" t="str">
        <f aca="false">ExportRaw!$B369</f>
        <v/>
      </c>
    </row>
    <row r="370" customFormat="false" ht="15.75" hidden="false" customHeight="false" outlineLevel="0" collapsed="false">
      <c r="A370" s="174" t="n">
        <f aca="false">ExportRaw!$F370</f>
        <v>0</v>
      </c>
      <c r="B370" s="174" t="n">
        <f aca="false">ExportRaw!$C370</f>
        <v>0</v>
      </c>
      <c r="C370" s="174" t="n">
        <f aca="false">ExportRaw!$G370</f>
        <v>0</v>
      </c>
      <c r="D370" s="174" t="str">
        <f aca="false">ExportRaw!$E370</f>
        <v/>
      </c>
      <c r="E370" s="175" t="str">
        <f aca="false">ExportRaw!$D370</f>
        <v/>
      </c>
      <c r="F370" s="174" t="str">
        <f aca="false">ExportRaw!$H370</f>
        <v/>
      </c>
      <c r="G370" s="176" t="str">
        <f aca="false">ExportRaw!$I370</f>
        <v/>
      </c>
      <c r="H370" s="174" t="str">
        <f aca="false">ExportRaw!$A370</f>
        <v/>
      </c>
      <c r="I370" s="174" t="str">
        <f aca="false">ExportRaw!$B370</f>
        <v/>
      </c>
    </row>
    <row r="371" customFormat="false" ht="15.75" hidden="false" customHeight="false" outlineLevel="0" collapsed="false">
      <c r="A371" s="174" t="n">
        <f aca="false">ExportRaw!$F371</f>
        <v>0</v>
      </c>
      <c r="B371" s="174" t="n">
        <f aca="false">ExportRaw!$C371</f>
        <v>0</v>
      </c>
      <c r="C371" s="174" t="n">
        <f aca="false">ExportRaw!$G371</f>
        <v>0</v>
      </c>
      <c r="D371" s="174" t="str">
        <f aca="false">ExportRaw!$E371</f>
        <v/>
      </c>
      <c r="E371" s="175" t="str">
        <f aca="false">ExportRaw!$D371</f>
        <v/>
      </c>
      <c r="F371" s="174" t="str">
        <f aca="false">ExportRaw!$H371</f>
        <v/>
      </c>
      <c r="G371" s="176" t="str">
        <f aca="false">ExportRaw!$I371</f>
        <v/>
      </c>
      <c r="H371" s="174" t="str">
        <f aca="false">ExportRaw!$A371</f>
        <v/>
      </c>
      <c r="I371" s="174" t="str">
        <f aca="false">ExportRaw!$B371</f>
        <v/>
      </c>
    </row>
    <row r="372" customFormat="false" ht="15.75" hidden="false" customHeight="false" outlineLevel="0" collapsed="false">
      <c r="A372" s="174" t="n">
        <f aca="false">ExportRaw!$F372</f>
        <v>0</v>
      </c>
      <c r="B372" s="174" t="n">
        <f aca="false">ExportRaw!$C372</f>
        <v>0</v>
      </c>
      <c r="C372" s="174" t="n">
        <f aca="false">ExportRaw!$G372</f>
        <v>0</v>
      </c>
      <c r="D372" s="174" t="str">
        <f aca="false">ExportRaw!$E372</f>
        <v/>
      </c>
      <c r="E372" s="175" t="str">
        <f aca="false">ExportRaw!$D372</f>
        <v/>
      </c>
      <c r="F372" s="174" t="str">
        <f aca="false">ExportRaw!$H372</f>
        <v/>
      </c>
      <c r="G372" s="176" t="str">
        <f aca="false">ExportRaw!$I372</f>
        <v/>
      </c>
      <c r="H372" s="174" t="str">
        <f aca="false">ExportRaw!$A372</f>
        <v/>
      </c>
      <c r="I372" s="174" t="str">
        <f aca="false">ExportRaw!$B372</f>
        <v/>
      </c>
    </row>
    <row r="373" customFormat="false" ht="15.75" hidden="false" customHeight="false" outlineLevel="0" collapsed="false">
      <c r="A373" s="174" t="n">
        <f aca="false">ExportRaw!$F373</f>
        <v>0</v>
      </c>
      <c r="B373" s="174" t="n">
        <f aca="false">ExportRaw!$C373</f>
        <v>0</v>
      </c>
      <c r="C373" s="174" t="n">
        <f aca="false">ExportRaw!$G373</f>
        <v>0</v>
      </c>
      <c r="D373" s="174" t="str">
        <f aca="false">ExportRaw!$E373</f>
        <v/>
      </c>
      <c r="E373" s="175" t="str">
        <f aca="false">ExportRaw!$D373</f>
        <v/>
      </c>
      <c r="F373" s="174" t="str">
        <f aca="false">ExportRaw!$H373</f>
        <v/>
      </c>
      <c r="G373" s="176" t="str">
        <f aca="false">ExportRaw!$I373</f>
        <v/>
      </c>
      <c r="H373" s="174" t="str">
        <f aca="false">ExportRaw!$A373</f>
        <v/>
      </c>
      <c r="I373" s="174" t="str">
        <f aca="false">ExportRaw!$B373</f>
        <v/>
      </c>
    </row>
    <row r="374" customFormat="false" ht="15.75" hidden="false" customHeight="false" outlineLevel="0" collapsed="false">
      <c r="A374" s="174" t="n">
        <f aca="false">ExportRaw!$F374</f>
        <v>0</v>
      </c>
      <c r="B374" s="174" t="n">
        <f aca="false">ExportRaw!$C374</f>
        <v>0</v>
      </c>
      <c r="C374" s="174" t="n">
        <f aca="false">ExportRaw!$G374</f>
        <v>0</v>
      </c>
      <c r="D374" s="174" t="str">
        <f aca="false">ExportRaw!$E374</f>
        <v/>
      </c>
      <c r="E374" s="175" t="str">
        <f aca="false">ExportRaw!$D374</f>
        <v/>
      </c>
      <c r="F374" s="174" t="str">
        <f aca="false">ExportRaw!$H374</f>
        <v/>
      </c>
      <c r="G374" s="176" t="str">
        <f aca="false">ExportRaw!$I374</f>
        <v/>
      </c>
      <c r="H374" s="174" t="str">
        <f aca="false">ExportRaw!$A374</f>
        <v/>
      </c>
      <c r="I374" s="174" t="str">
        <f aca="false">ExportRaw!$B374</f>
        <v/>
      </c>
    </row>
    <row r="375" customFormat="false" ht="15.75" hidden="false" customHeight="false" outlineLevel="0" collapsed="false">
      <c r="A375" s="174" t="n">
        <f aca="false">ExportRaw!$F375</f>
        <v>0</v>
      </c>
      <c r="B375" s="174" t="n">
        <f aca="false">ExportRaw!$C375</f>
        <v>0</v>
      </c>
      <c r="C375" s="174" t="n">
        <f aca="false">ExportRaw!$G375</f>
        <v>0</v>
      </c>
      <c r="D375" s="174" t="str">
        <f aca="false">ExportRaw!$E375</f>
        <v/>
      </c>
      <c r="E375" s="175" t="str">
        <f aca="false">ExportRaw!$D375</f>
        <v/>
      </c>
      <c r="F375" s="174" t="str">
        <f aca="false">ExportRaw!$H375</f>
        <v/>
      </c>
      <c r="G375" s="176" t="str">
        <f aca="false">ExportRaw!$I375</f>
        <v/>
      </c>
      <c r="H375" s="174" t="str">
        <f aca="false">ExportRaw!$A375</f>
        <v/>
      </c>
      <c r="I375" s="174" t="str">
        <f aca="false">ExportRaw!$B375</f>
        <v/>
      </c>
    </row>
    <row r="376" customFormat="false" ht="15.75" hidden="false" customHeight="false" outlineLevel="0" collapsed="false">
      <c r="A376" s="174" t="n">
        <f aca="false">ExportRaw!$F376</f>
        <v>0</v>
      </c>
      <c r="B376" s="174" t="n">
        <f aca="false">ExportRaw!$C376</f>
        <v>0</v>
      </c>
      <c r="C376" s="174" t="n">
        <f aca="false">ExportRaw!$G376</f>
        <v>0</v>
      </c>
      <c r="D376" s="174" t="str">
        <f aca="false">ExportRaw!$E376</f>
        <v/>
      </c>
      <c r="E376" s="175" t="str">
        <f aca="false">ExportRaw!$D376</f>
        <v/>
      </c>
      <c r="F376" s="174" t="str">
        <f aca="false">ExportRaw!$H376</f>
        <v/>
      </c>
      <c r="G376" s="176" t="str">
        <f aca="false">ExportRaw!$I376</f>
        <v/>
      </c>
      <c r="H376" s="174" t="str">
        <f aca="false">ExportRaw!$A376</f>
        <v/>
      </c>
      <c r="I376" s="174" t="str">
        <f aca="false">ExportRaw!$B376</f>
        <v/>
      </c>
    </row>
    <row r="377" customFormat="false" ht="15.75" hidden="false" customHeight="false" outlineLevel="0" collapsed="false">
      <c r="A377" s="174" t="n">
        <f aca="false">ExportRaw!$F377</f>
        <v>0</v>
      </c>
      <c r="B377" s="174" t="n">
        <f aca="false">ExportRaw!$C377</f>
        <v>0</v>
      </c>
      <c r="C377" s="174" t="n">
        <f aca="false">ExportRaw!$G377</f>
        <v>0</v>
      </c>
      <c r="D377" s="174" t="str">
        <f aca="false">ExportRaw!$E377</f>
        <v/>
      </c>
      <c r="E377" s="175" t="str">
        <f aca="false">ExportRaw!$D377</f>
        <v/>
      </c>
      <c r="F377" s="174" t="str">
        <f aca="false">ExportRaw!$H377</f>
        <v/>
      </c>
      <c r="G377" s="176" t="str">
        <f aca="false">ExportRaw!$I377</f>
        <v/>
      </c>
      <c r="H377" s="174" t="str">
        <f aca="false">ExportRaw!$A377</f>
        <v/>
      </c>
      <c r="I377" s="174" t="str">
        <f aca="false">ExportRaw!$B377</f>
        <v/>
      </c>
    </row>
    <row r="378" customFormat="false" ht="15.75" hidden="false" customHeight="false" outlineLevel="0" collapsed="false">
      <c r="A378" s="174" t="n">
        <f aca="false">ExportRaw!$F378</f>
        <v>0</v>
      </c>
      <c r="B378" s="174" t="n">
        <f aca="false">ExportRaw!$C378</f>
        <v>0</v>
      </c>
      <c r="C378" s="174" t="n">
        <f aca="false">ExportRaw!$G378</f>
        <v>0</v>
      </c>
      <c r="D378" s="174" t="str">
        <f aca="false">ExportRaw!$E378</f>
        <v/>
      </c>
      <c r="E378" s="175" t="str">
        <f aca="false">ExportRaw!$D378</f>
        <v/>
      </c>
      <c r="F378" s="174" t="str">
        <f aca="false">ExportRaw!$H378</f>
        <v/>
      </c>
      <c r="G378" s="176" t="str">
        <f aca="false">ExportRaw!$I378</f>
        <v/>
      </c>
      <c r="H378" s="174" t="str">
        <f aca="false">ExportRaw!$A378</f>
        <v/>
      </c>
      <c r="I378" s="174" t="str">
        <f aca="false">ExportRaw!$B378</f>
        <v/>
      </c>
    </row>
    <row r="379" customFormat="false" ht="15.75" hidden="false" customHeight="false" outlineLevel="0" collapsed="false">
      <c r="A379" s="174" t="n">
        <f aca="false">ExportRaw!$F379</f>
        <v>0</v>
      </c>
      <c r="B379" s="174" t="n">
        <f aca="false">ExportRaw!$C379</f>
        <v>0</v>
      </c>
      <c r="C379" s="174" t="n">
        <f aca="false">ExportRaw!$G379</f>
        <v>0</v>
      </c>
      <c r="D379" s="174" t="str">
        <f aca="false">ExportRaw!$E379</f>
        <v/>
      </c>
      <c r="E379" s="175" t="str">
        <f aca="false">ExportRaw!$D379</f>
        <v/>
      </c>
      <c r="F379" s="174" t="str">
        <f aca="false">ExportRaw!$H379</f>
        <v/>
      </c>
      <c r="G379" s="176" t="str">
        <f aca="false">ExportRaw!$I379</f>
        <v/>
      </c>
      <c r="H379" s="174" t="str">
        <f aca="false">ExportRaw!$A379</f>
        <v/>
      </c>
      <c r="I379" s="174" t="str">
        <f aca="false">ExportRaw!$B379</f>
        <v/>
      </c>
    </row>
    <row r="380" customFormat="false" ht="15.75" hidden="false" customHeight="false" outlineLevel="0" collapsed="false">
      <c r="A380" s="174" t="n">
        <f aca="false">ExportRaw!$F380</f>
        <v>0</v>
      </c>
      <c r="B380" s="174" t="n">
        <f aca="false">ExportRaw!$C380</f>
        <v>0</v>
      </c>
      <c r="C380" s="174" t="n">
        <f aca="false">ExportRaw!$G380</f>
        <v>0</v>
      </c>
      <c r="D380" s="174" t="str">
        <f aca="false">ExportRaw!$E380</f>
        <v/>
      </c>
      <c r="E380" s="175" t="str">
        <f aca="false">ExportRaw!$D380</f>
        <v/>
      </c>
      <c r="F380" s="174" t="str">
        <f aca="false">ExportRaw!$H380</f>
        <v/>
      </c>
      <c r="G380" s="176" t="str">
        <f aca="false">ExportRaw!$I380</f>
        <v/>
      </c>
      <c r="H380" s="174" t="str">
        <f aca="false">ExportRaw!$A380</f>
        <v/>
      </c>
      <c r="I380" s="174" t="str">
        <f aca="false">ExportRaw!$B380</f>
        <v/>
      </c>
    </row>
    <row r="381" customFormat="false" ht="15.75" hidden="false" customHeight="false" outlineLevel="0" collapsed="false">
      <c r="A381" s="174" t="n">
        <f aca="false">ExportRaw!$F381</f>
        <v>0</v>
      </c>
      <c r="B381" s="174" t="n">
        <f aca="false">ExportRaw!$C381</f>
        <v>0</v>
      </c>
      <c r="C381" s="174" t="n">
        <f aca="false">ExportRaw!$G381</f>
        <v>0</v>
      </c>
      <c r="D381" s="174" t="str">
        <f aca="false">ExportRaw!$E381</f>
        <v/>
      </c>
      <c r="E381" s="175" t="str">
        <f aca="false">ExportRaw!$D381</f>
        <v/>
      </c>
      <c r="F381" s="174" t="str">
        <f aca="false">ExportRaw!$H381</f>
        <v/>
      </c>
      <c r="G381" s="176" t="str">
        <f aca="false">ExportRaw!$I381</f>
        <v/>
      </c>
      <c r="H381" s="174" t="str">
        <f aca="false">ExportRaw!$A381</f>
        <v/>
      </c>
      <c r="I381" s="174" t="str">
        <f aca="false">ExportRaw!$B381</f>
        <v/>
      </c>
    </row>
    <row r="382" customFormat="false" ht="15.75" hidden="false" customHeight="false" outlineLevel="0" collapsed="false">
      <c r="A382" s="174" t="n">
        <f aca="false">ExportRaw!$F382</f>
        <v>0</v>
      </c>
      <c r="B382" s="174" t="n">
        <f aca="false">ExportRaw!$C382</f>
        <v>0</v>
      </c>
      <c r="C382" s="174" t="n">
        <f aca="false">ExportRaw!$G382</f>
        <v>0</v>
      </c>
      <c r="D382" s="174" t="str">
        <f aca="false">ExportRaw!$E382</f>
        <v/>
      </c>
      <c r="E382" s="175" t="str">
        <f aca="false">ExportRaw!$D382</f>
        <v/>
      </c>
      <c r="F382" s="174" t="str">
        <f aca="false">ExportRaw!$H382</f>
        <v/>
      </c>
      <c r="G382" s="176" t="str">
        <f aca="false">ExportRaw!$I382</f>
        <v/>
      </c>
      <c r="H382" s="174" t="str">
        <f aca="false">ExportRaw!$A382</f>
        <v/>
      </c>
      <c r="I382" s="174" t="str">
        <f aca="false">ExportRaw!$B382</f>
        <v/>
      </c>
    </row>
    <row r="383" customFormat="false" ht="15.75" hidden="false" customHeight="false" outlineLevel="0" collapsed="false">
      <c r="A383" s="174" t="n">
        <f aca="false">ExportRaw!$F383</f>
        <v>0</v>
      </c>
      <c r="B383" s="174" t="n">
        <f aca="false">ExportRaw!$C383</f>
        <v>0</v>
      </c>
      <c r="C383" s="174" t="n">
        <f aca="false">ExportRaw!$G383</f>
        <v>0</v>
      </c>
      <c r="D383" s="174" t="str">
        <f aca="false">ExportRaw!$E383</f>
        <v/>
      </c>
      <c r="E383" s="175" t="str">
        <f aca="false">ExportRaw!$D383</f>
        <v/>
      </c>
      <c r="F383" s="174" t="str">
        <f aca="false">ExportRaw!$H383</f>
        <v/>
      </c>
      <c r="G383" s="176" t="str">
        <f aca="false">ExportRaw!$I383</f>
        <v/>
      </c>
      <c r="H383" s="174" t="str">
        <f aca="false">ExportRaw!$A383</f>
        <v/>
      </c>
      <c r="I383" s="174" t="str">
        <f aca="false">ExportRaw!$B383</f>
        <v/>
      </c>
    </row>
    <row r="384" customFormat="false" ht="15.75" hidden="false" customHeight="false" outlineLevel="0" collapsed="false">
      <c r="A384" s="174" t="n">
        <f aca="false">ExportRaw!$F384</f>
        <v>0</v>
      </c>
      <c r="B384" s="174" t="n">
        <f aca="false">ExportRaw!$C384</f>
        <v>0</v>
      </c>
      <c r="C384" s="174" t="n">
        <f aca="false">ExportRaw!$G384</f>
        <v>0</v>
      </c>
      <c r="D384" s="174" t="str">
        <f aca="false">ExportRaw!$E384</f>
        <v/>
      </c>
      <c r="E384" s="175" t="str">
        <f aca="false">ExportRaw!$D384</f>
        <v/>
      </c>
      <c r="F384" s="174" t="str">
        <f aca="false">ExportRaw!$H384</f>
        <v/>
      </c>
      <c r="G384" s="176" t="str">
        <f aca="false">ExportRaw!$I384</f>
        <v/>
      </c>
      <c r="H384" s="174" t="str">
        <f aca="false">ExportRaw!$A384</f>
        <v/>
      </c>
      <c r="I384" s="174" t="str">
        <f aca="false">ExportRaw!$B384</f>
        <v/>
      </c>
    </row>
    <row r="385" customFormat="false" ht="15.75" hidden="false" customHeight="false" outlineLevel="0" collapsed="false">
      <c r="A385" s="174" t="n">
        <f aca="false">ExportRaw!$F385</f>
        <v>0</v>
      </c>
      <c r="B385" s="174" t="n">
        <f aca="false">ExportRaw!$C385</f>
        <v>0</v>
      </c>
      <c r="C385" s="174" t="n">
        <f aca="false">ExportRaw!$G385</f>
        <v>0</v>
      </c>
      <c r="D385" s="174" t="str">
        <f aca="false">ExportRaw!$E385</f>
        <v/>
      </c>
      <c r="E385" s="175" t="str">
        <f aca="false">ExportRaw!$D385</f>
        <v/>
      </c>
      <c r="F385" s="174" t="str">
        <f aca="false">ExportRaw!$H385</f>
        <v/>
      </c>
      <c r="G385" s="176" t="str">
        <f aca="false">ExportRaw!$I385</f>
        <v/>
      </c>
      <c r="H385" s="174" t="str">
        <f aca="false">ExportRaw!$A385</f>
        <v/>
      </c>
      <c r="I385" s="174" t="str">
        <f aca="false">ExportRaw!$B385</f>
        <v/>
      </c>
    </row>
    <row r="386" customFormat="false" ht="15.75" hidden="false" customHeight="false" outlineLevel="0" collapsed="false">
      <c r="A386" s="174" t="n">
        <f aca="false">ExportRaw!$F386</f>
        <v>0</v>
      </c>
      <c r="B386" s="174" t="n">
        <f aca="false">ExportRaw!$C386</f>
        <v>0</v>
      </c>
      <c r="C386" s="174" t="n">
        <f aca="false">ExportRaw!$G386</f>
        <v>0</v>
      </c>
      <c r="D386" s="174" t="str">
        <f aca="false">ExportRaw!$E386</f>
        <v/>
      </c>
      <c r="E386" s="175" t="str">
        <f aca="false">ExportRaw!$D386</f>
        <v/>
      </c>
      <c r="F386" s="174" t="str">
        <f aca="false">ExportRaw!$H386</f>
        <v/>
      </c>
      <c r="G386" s="176" t="str">
        <f aca="false">ExportRaw!$I386</f>
        <v/>
      </c>
      <c r="H386" s="174" t="str">
        <f aca="false">ExportRaw!$A386</f>
        <v/>
      </c>
      <c r="I386" s="174" t="str">
        <f aca="false">ExportRaw!$B386</f>
        <v/>
      </c>
    </row>
    <row r="387" customFormat="false" ht="15.75" hidden="false" customHeight="false" outlineLevel="0" collapsed="false">
      <c r="A387" s="174" t="n">
        <f aca="false">ExportRaw!$F387</f>
        <v>0</v>
      </c>
      <c r="B387" s="174" t="n">
        <f aca="false">ExportRaw!$C387</f>
        <v>0</v>
      </c>
      <c r="C387" s="174" t="n">
        <f aca="false">ExportRaw!$G387</f>
        <v>0</v>
      </c>
      <c r="D387" s="174" t="str">
        <f aca="false">ExportRaw!$E387</f>
        <v/>
      </c>
      <c r="E387" s="175" t="str">
        <f aca="false">ExportRaw!$D387</f>
        <v/>
      </c>
      <c r="F387" s="174" t="str">
        <f aca="false">ExportRaw!$H387</f>
        <v/>
      </c>
      <c r="G387" s="176" t="str">
        <f aca="false">ExportRaw!$I387</f>
        <v/>
      </c>
      <c r="H387" s="174" t="str">
        <f aca="false">ExportRaw!$A387</f>
        <v/>
      </c>
      <c r="I387" s="174" t="str">
        <f aca="false">ExportRaw!$B387</f>
        <v/>
      </c>
    </row>
    <row r="388" customFormat="false" ht="15.75" hidden="false" customHeight="false" outlineLevel="0" collapsed="false">
      <c r="A388" s="174" t="n">
        <f aca="false">ExportRaw!$F388</f>
        <v>0</v>
      </c>
      <c r="B388" s="174" t="n">
        <f aca="false">ExportRaw!$C388</f>
        <v>0</v>
      </c>
      <c r="C388" s="174" t="n">
        <f aca="false">ExportRaw!$G388</f>
        <v>0</v>
      </c>
      <c r="D388" s="174" t="str">
        <f aca="false">ExportRaw!$E388</f>
        <v/>
      </c>
      <c r="E388" s="175" t="str">
        <f aca="false">ExportRaw!$D388</f>
        <v/>
      </c>
      <c r="F388" s="174" t="str">
        <f aca="false">ExportRaw!$H388</f>
        <v/>
      </c>
      <c r="G388" s="176" t="str">
        <f aca="false">ExportRaw!$I388</f>
        <v/>
      </c>
      <c r="H388" s="174" t="str">
        <f aca="false">ExportRaw!$A388</f>
        <v/>
      </c>
      <c r="I388" s="174" t="str">
        <f aca="false">ExportRaw!$B388</f>
        <v/>
      </c>
    </row>
    <row r="389" customFormat="false" ht="15.75" hidden="false" customHeight="false" outlineLevel="0" collapsed="false">
      <c r="A389" s="174" t="n">
        <f aca="false">ExportRaw!$F389</f>
        <v>0</v>
      </c>
      <c r="B389" s="174" t="n">
        <f aca="false">ExportRaw!$C389</f>
        <v>0</v>
      </c>
      <c r="C389" s="174" t="n">
        <f aca="false">ExportRaw!$G389</f>
        <v>0</v>
      </c>
      <c r="D389" s="174" t="str">
        <f aca="false">ExportRaw!$E389</f>
        <v/>
      </c>
      <c r="E389" s="175" t="str">
        <f aca="false">ExportRaw!$D389</f>
        <v/>
      </c>
      <c r="F389" s="174" t="str">
        <f aca="false">ExportRaw!$H389</f>
        <v/>
      </c>
      <c r="G389" s="176" t="str">
        <f aca="false">ExportRaw!$I389</f>
        <v/>
      </c>
      <c r="H389" s="174" t="str">
        <f aca="false">ExportRaw!$A389</f>
        <v/>
      </c>
      <c r="I389" s="174" t="str">
        <f aca="false">ExportRaw!$B389</f>
        <v/>
      </c>
    </row>
    <row r="390" customFormat="false" ht="15.75" hidden="false" customHeight="false" outlineLevel="0" collapsed="false">
      <c r="A390" s="174" t="n">
        <f aca="false">ExportRaw!$F390</f>
        <v>0</v>
      </c>
      <c r="B390" s="174" t="n">
        <f aca="false">ExportRaw!$C390</f>
        <v>0</v>
      </c>
      <c r="C390" s="174" t="n">
        <f aca="false">ExportRaw!$G390</f>
        <v>0</v>
      </c>
      <c r="D390" s="174" t="str">
        <f aca="false">ExportRaw!$E390</f>
        <v/>
      </c>
      <c r="E390" s="175" t="str">
        <f aca="false">ExportRaw!$D390</f>
        <v/>
      </c>
      <c r="F390" s="174" t="str">
        <f aca="false">ExportRaw!$H390</f>
        <v/>
      </c>
      <c r="G390" s="176" t="str">
        <f aca="false">ExportRaw!$I390</f>
        <v/>
      </c>
      <c r="H390" s="174" t="str">
        <f aca="false">ExportRaw!$A390</f>
        <v/>
      </c>
      <c r="I390" s="174" t="str">
        <f aca="false">ExportRaw!$B390</f>
        <v/>
      </c>
    </row>
    <row r="391" customFormat="false" ht="15.75" hidden="false" customHeight="false" outlineLevel="0" collapsed="false">
      <c r="A391" s="174" t="n">
        <f aca="false">ExportRaw!$F391</f>
        <v>0</v>
      </c>
      <c r="B391" s="174" t="n">
        <f aca="false">ExportRaw!$C391</f>
        <v>0</v>
      </c>
      <c r="C391" s="174" t="n">
        <f aca="false">ExportRaw!$G391</f>
        <v>0</v>
      </c>
      <c r="D391" s="174" t="str">
        <f aca="false">ExportRaw!$E391</f>
        <v/>
      </c>
      <c r="E391" s="175" t="str">
        <f aca="false">ExportRaw!$D391</f>
        <v/>
      </c>
      <c r="F391" s="174" t="str">
        <f aca="false">ExportRaw!$H391</f>
        <v/>
      </c>
      <c r="G391" s="176" t="str">
        <f aca="false">ExportRaw!$I391</f>
        <v/>
      </c>
      <c r="H391" s="174" t="str">
        <f aca="false">ExportRaw!$A391</f>
        <v/>
      </c>
      <c r="I391" s="174" t="str">
        <f aca="false">ExportRaw!$B391</f>
        <v/>
      </c>
    </row>
    <row r="392" customFormat="false" ht="15.75" hidden="false" customHeight="false" outlineLevel="0" collapsed="false">
      <c r="A392" s="174" t="n">
        <f aca="false">ExportRaw!$F392</f>
        <v>0</v>
      </c>
      <c r="B392" s="174" t="n">
        <f aca="false">ExportRaw!$C392</f>
        <v>0</v>
      </c>
      <c r="C392" s="174" t="n">
        <f aca="false">ExportRaw!$G392</f>
        <v>0</v>
      </c>
      <c r="D392" s="174" t="str">
        <f aca="false">ExportRaw!$E392</f>
        <v/>
      </c>
      <c r="E392" s="175" t="str">
        <f aca="false">ExportRaw!$D392</f>
        <v/>
      </c>
      <c r="F392" s="174" t="str">
        <f aca="false">ExportRaw!$H392</f>
        <v/>
      </c>
      <c r="G392" s="176" t="str">
        <f aca="false">ExportRaw!$I392</f>
        <v/>
      </c>
      <c r="H392" s="174" t="str">
        <f aca="false">ExportRaw!$A392</f>
        <v/>
      </c>
      <c r="I392" s="174" t="str">
        <f aca="false">ExportRaw!$B392</f>
        <v/>
      </c>
    </row>
    <row r="393" customFormat="false" ht="15.75" hidden="false" customHeight="false" outlineLevel="0" collapsed="false">
      <c r="A393" s="174" t="n">
        <f aca="false">ExportRaw!$F393</f>
        <v>0</v>
      </c>
      <c r="B393" s="174" t="n">
        <f aca="false">ExportRaw!$C393</f>
        <v>0</v>
      </c>
      <c r="C393" s="174" t="n">
        <f aca="false">ExportRaw!$G393</f>
        <v>0</v>
      </c>
      <c r="D393" s="174" t="str">
        <f aca="false">ExportRaw!$E393</f>
        <v/>
      </c>
      <c r="E393" s="175" t="str">
        <f aca="false">ExportRaw!$D393</f>
        <v/>
      </c>
      <c r="F393" s="174" t="str">
        <f aca="false">ExportRaw!$H393</f>
        <v/>
      </c>
      <c r="G393" s="176" t="str">
        <f aca="false">ExportRaw!$I393</f>
        <v/>
      </c>
      <c r="H393" s="174" t="str">
        <f aca="false">ExportRaw!$A393</f>
        <v/>
      </c>
      <c r="I393" s="174" t="str">
        <f aca="false">ExportRaw!$B393</f>
        <v/>
      </c>
    </row>
    <row r="394" customFormat="false" ht="15.75" hidden="false" customHeight="false" outlineLevel="0" collapsed="false">
      <c r="A394" s="174" t="n">
        <f aca="false">ExportRaw!$F394</f>
        <v>0</v>
      </c>
      <c r="B394" s="174" t="n">
        <f aca="false">ExportRaw!$C394</f>
        <v>0</v>
      </c>
      <c r="C394" s="174" t="n">
        <f aca="false">ExportRaw!$G394</f>
        <v>0</v>
      </c>
      <c r="D394" s="174" t="str">
        <f aca="false">ExportRaw!$E394</f>
        <v/>
      </c>
      <c r="E394" s="175" t="str">
        <f aca="false">ExportRaw!$D394</f>
        <v/>
      </c>
      <c r="F394" s="174" t="str">
        <f aca="false">ExportRaw!$H394</f>
        <v/>
      </c>
      <c r="G394" s="176" t="str">
        <f aca="false">ExportRaw!$I394</f>
        <v/>
      </c>
      <c r="H394" s="174" t="str">
        <f aca="false">ExportRaw!$A394</f>
        <v/>
      </c>
      <c r="I394" s="174" t="str">
        <f aca="false">ExportRaw!$B394</f>
        <v/>
      </c>
    </row>
    <row r="395" customFormat="false" ht="15.75" hidden="false" customHeight="false" outlineLevel="0" collapsed="false">
      <c r="A395" s="174" t="n">
        <f aca="false">ExportRaw!$F395</f>
        <v>0</v>
      </c>
      <c r="B395" s="174" t="n">
        <f aca="false">ExportRaw!$C395</f>
        <v>0</v>
      </c>
      <c r="C395" s="174" t="n">
        <f aca="false">ExportRaw!$G395</f>
        <v>0</v>
      </c>
      <c r="D395" s="174" t="str">
        <f aca="false">ExportRaw!$E395</f>
        <v/>
      </c>
      <c r="E395" s="175" t="str">
        <f aca="false">ExportRaw!$D395</f>
        <v/>
      </c>
      <c r="F395" s="174" t="str">
        <f aca="false">ExportRaw!$H395</f>
        <v/>
      </c>
      <c r="G395" s="176" t="str">
        <f aca="false">ExportRaw!$I395</f>
        <v/>
      </c>
      <c r="H395" s="174" t="str">
        <f aca="false">ExportRaw!$A395</f>
        <v/>
      </c>
      <c r="I395" s="174" t="str">
        <f aca="false">ExportRaw!$B395</f>
        <v/>
      </c>
    </row>
    <row r="396" customFormat="false" ht="15.75" hidden="false" customHeight="false" outlineLevel="0" collapsed="false">
      <c r="A396" s="174" t="n">
        <f aca="false">ExportRaw!$F396</f>
        <v>0</v>
      </c>
      <c r="B396" s="174" t="n">
        <f aca="false">ExportRaw!$C396</f>
        <v>0</v>
      </c>
      <c r="C396" s="174" t="n">
        <f aca="false">ExportRaw!$G396</f>
        <v>0</v>
      </c>
      <c r="D396" s="174" t="str">
        <f aca="false">ExportRaw!$E396</f>
        <v/>
      </c>
      <c r="E396" s="175" t="str">
        <f aca="false">ExportRaw!$D396</f>
        <v/>
      </c>
      <c r="F396" s="174" t="str">
        <f aca="false">ExportRaw!$H396</f>
        <v/>
      </c>
      <c r="G396" s="176" t="str">
        <f aca="false">ExportRaw!$I396</f>
        <v/>
      </c>
      <c r="H396" s="174" t="str">
        <f aca="false">ExportRaw!$A396</f>
        <v/>
      </c>
      <c r="I396" s="174" t="str">
        <f aca="false">ExportRaw!$B396</f>
        <v/>
      </c>
    </row>
    <row r="397" customFormat="false" ht="15.75" hidden="false" customHeight="false" outlineLevel="0" collapsed="false">
      <c r="A397" s="174" t="n">
        <f aca="false">ExportRaw!$F397</f>
        <v>0</v>
      </c>
      <c r="B397" s="174" t="n">
        <f aca="false">ExportRaw!$C397</f>
        <v>0</v>
      </c>
      <c r="C397" s="174" t="n">
        <f aca="false">ExportRaw!$G397</f>
        <v>0</v>
      </c>
      <c r="D397" s="174" t="str">
        <f aca="false">ExportRaw!$E397</f>
        <v/>
      </c>
      <c r="E397" s="175" t="str">
        <f aca="false">ExportRaw!$D397</f>
        <v/>
      </c>
      <c r="F397" s="174" t="str">
        <f aca="false">ExportRaw!$H397</f>
        <v/>
      </c>
      <c r="G397" s="176" t="str">
        <f aca="false">ExportRaw!$I397</f>
        <v/>
      </c>
      <c r="H397" s="174" t="str">
        <f aca="false">ExportRaw!$A397</f>
        <v/>
      </c>
      <c r="I397" s="174" t="str">
        <f aca="false">ExportRaw!$B397</f>
        <v/>
      </c>
    </row>
    <row r="398" customFormat="false" ht="15.75" hidden="false" customHeight="false" outlineLevel="0" collapsed="false">
      <c r="A398" s="174" t="n">
        <f aca="false">ExportRaw!$F398</f>
        <v>0</v>
      </c>
      <c r="B398" s="174" t="n">
        <f aca="false">ExportRaw!$C398</f>
        <v>0</v>
      </c>
      <c r="C398" s="174" t="n">
        <f aca="false">ExportRaw!$G398</f>
        <v>0</v>
      </c>
      <c r="D398" s="174" t="str">
        <f aca="false">ExportRaw!$E398</f>
        <v/>
      </c>
      <c r="E398" s="175" t="str">
        <f aca="false">ExportRaw!$D398</f>
        <v/>
      </c>
      <c r="F398" s="174" t="str">
        <f aca="false">ExportRaw!$H398</f>
        <v/>
      </c>
      <c r="G398" s="176" t="str">
        <f aca="false">ExportRaw!$I398</f>
        <v/>
      </c>
      <c r="H398" s="174" t="str">
        <f aca="false">ExportRaw!$A398</f>
        <v/>
      </c>
      <c r="I398" s="174" t="str">
        <f aca="false">ExportRaw!$B398</f>
        <v/>
      </c>
    </row>
    <row r="399" customFormat="false" ht="15.75" hidden="false" customHeight="false" outlineLevel="0" collapsed="false">
      <c r="A399" s="174" t="n">
        <f aca="false">ExportRaw!$F399</f>
        <v>0</v>
      </c>
      <c r="B399" s="174" t="n">
        <f aca="false">ExportRaw!$C399</f>
        <v>0</v>
      </c>
      <c r="C399" s="174" t="n">
        <f aca="false">ExportRaw!$G399</f>
        <v>0</v>
      </c>
      <c r="D399" s="174" t="str">
        <f aca="false">ExportRaw!$E399</f>
        <v/>
      </c>
      <c r="E399" s="175" t="str">
        <f aca="false">ExportRaw!$D399</f>
        <v/>
      </c>
      <c r="F399" s="174" t="str">
        <f aca="false">ExportRaw!$H399</f>
        <v/>
      </c>
      <c r="G399" s="176" t="str">
        <f aca="false">ExportRaw!$I399</f>
        <v/>
      </c>
      <c r="H399" s="174" t="str">
        <f aca="false">ExportRaw!$A399</f>
        <v/>
      </c>
      <c r="I399" s="174" t="str">
        <f aca="false">ExportRaw!$B399</f>
        <v/>
      </c>
    </row>
    <row r="400" customFormat="false" ht="15.75" hidden="false" customHeight="false" outlineLevel="0" collapsed="false">
      <c r="A400" s="174" t="n">
        <f aca="false">ExportRaw!$F400</f>
        <v>0</v>
      </c>
      <c r="B400" s="174" t="n">
        <f aca="false">ExportRaw!$C400</f>
        <v>0</v>
      </c>
      <c r="C400" s="174" t="n">
        <f aca="false">ExportRaw!$G400</f>
        <v>0</v>
      </c>
      <c r="D400" s="174" t="str">
        <f aca="false">ExportRaw!$E400</f>
        <v/>
      </c>
      <c r="E400" s="175" t="str">
        <f aca="false">ExportRaw!$D400</f>
        <v/>
      </c>
      <c r="F400" s="174" t="str">
        <f aca="false">ExportRaw!$H400</f>
        <v/>
      </c>
      <c r="G400" s="176" t="str">
        <f aca="false">ExportRaw!$I400</f>
        <v/>
      </c>
      <c r="H400" s="174" t="str">
        <f aca="false">ExportRaw!$A400</f>
        <v/>
      </c>
      <c r="I400" s="174" t="str">
        <f aca="false">ExportRaw!$B400</f>
        <v/>
      </c>
    </row>
    <row r="401" customFormat="false" ht="15.75" hidden="false" customHeight="false" outlineLevel="0" collapsed="false">
      <c r="A401" s="174" t="n">
        <f aca="false">ExportRaw!$F401</f>
        <v>0</v>
      </c>
      <c r="B401" s="174" t="n">
        <f aca="false">ExportRaw!$C401</f>
        <v>0</v>
      </c>
      <c r="C401" s="174" t="n">
        <f aca="false">ExportRaw!$G401</f>
        <v>0</v>
      </c>
      <c r="D401" s="174" t="str">
        <f aca="false">ExportRaw!$E401</f>
        <v/>
      </c>
      <c r="E401" s="175" t="str">
        <f aca="false">ExportRaw!$D401</f>
        <v/>
      </c>
      <c r="F401" s="174" t="str">
        <f aca="false">ExportRaw!$H401</f>
        <v/>
      </c>
      <c r="G401" s="176" t="str">
        <f aca="false">ExportRaw!$I401</f>
        <v/>
      </c>
      <c r="H401" s="174" t="str">
        <f aca="false">ExportRaw!$A401</f>
        <v/>
      </c>
      <c r="I401" s="174" t="str">
        <f aca="false">ExportRaw!$B401</f>
        <v/>
      </c>
    </row>
    <row r="402" customFormat="false" ht="15.75" hidden="false" customHeight="false" outlineLevel="0" collapsed="false">
      <c r="A402" s="174" t="n">
        <f aca="false">ExportRaw!$F402</f>
        <v>0</v>
      </c>
      <c r="B402" s="174" t="n">
        <f aca="false">ExportRaw!$C402</f>
        <v>0</v>
      </c>
      <c r="C402" s="174" t="n">
        <f aca="false">ExportRaw!$G402</f>
        <v>0</v>
      </c>
      <c r="D402" s="174" t="str">
        <f aca="false">ExportRaw!$E402</f>
        <v/>
      </c>
      <c r="E402" s="175" t="str">
        <f aca="false">ExportRaw!$D402</f>
        <v/>
      </c>
      <c r="F402" s="174" t="str">
        <f aca="false">ExportRaw!$H402</f>
        <v/>
      </c>
      <c r="G402" s="176" t="str">
        <f aca="false">ExportRaw!$I402</f>
        <v/>
      </c>
      <c r="H402" s="174" t="str">
        <f aca="false">ExportRaw!$A402</f>
        <v/>
      </c>
      <c r="I402" s="174" t="str">
        <f aca="false">ExportRaw!$B402</f>
        <v/>
      </c>
    </row>
    <row r="403" customFormat="false" ht="15.75" hidden="false" customHeight="false" outlineLevel="0" collapsed="false">
      <c r="A403" s="174" t="n">
        <f aca="false">ExportRaw!$F403</f>
        <v>0</v>
      </c>
      <c r="B403" s="174" t="n">
        <f aca="false">ExportRaw!$C403</f>
        <v>0</v>
      </c>
      <c r="C403" s="174" t="n">
        <f aca="false">ExportRaw!$G403</f>
        <v>0</v>
      </c>
      <c r="D403" s="174" t="str">
        <f aca="false">ExportRaw!$E403</f>
        <v/>
      </c>
      <c r="E403" s="175" t="str">
        <f aca="false">ExportRaw!$D403</f>
        <v/>
      </c>
      <c r="F403" s="174" t="str">
        <f aca="false">ExportRaw!$H403</f>
        <v/>
      </c>
      <c r="G403" s="176" t="str">
        <f aca="false">ExportRaw!$I403</f>
        <v/>
      </c>
      <c r="H403" s="174" t="str">
        <f aca="false">ExportRaw!$A403</f>
        <v/>
      </c>
      <c r="I403" s="174" t="str">
        <f aca="false">ExportRaw!$B403</f>
        <v/>
      </c>
    </row>
    <row r="404" customFormat="false" ht="15.75" hidden="false" customHeight="false" outlineLevel="0" collapsed="false">
      <c r="A404" s="174" t="n">
        <f aca="false">ExportRaw!$F404</f>
        <v>0</v>
      </c>
      <c r="B404" s="174" t="n">
        <f aca="false">ExportRaw!$C404</f>
        <v>0</v>
      </c>
      <c r="C404" s="174" t="n">
        <f aca="false">ExportRaw!$G404</f>
        <v>0</v>
      </c>
      <c r="D404" s="174" t="str">
        <f aca="false">ExportRaw!$E404</f>
        <v/>
      </c>
      <c r="E404" s="175" t="str">
        <f aca="false">ExportRaw!$D404</f>
        <v/>
      </c>
      <c r="F404" s="174" t="str">
        <f aca="false">ExportRaw!$H404</f>
        <v/>
      </c>
      <c r="G404" s="176" t="str">
        <f aca="false">ExportRaw!$I404</f>
        <v/>
      </c>
      <c r="H404" s="174" t="str">
        <f aca="false">ExportRaw!$A404</f>
        <v/>
      </c>
      <c r="I404" s="174" t="str">
        <f aca="false">ExportRaw!$B404</f>
        <v/>
      </c>
    </row>
    <row r="405" customFormat="false" ht="15.75" hidden="false" customHeight="false" outlineLevel="0" collapsed="false">
      <c r="A405" s="174" t="n">
        <f aca="false">ExportRaw!$F405</f>
        <v>0</v>
      </c>
      <c r="B405" s="174" t="n">
        <f aca="false">ExportRaw!$C405</f>
        <v>0</v>
      </c>
      <c r="C405" s="174" t="n">
        <f aca="false">ExportRaw!$G405</f>
        <v>0</v>
      </c>
      <c r="D405" s="174" t="str">
        <f aca="false">ExportRaw!$E405</f>
        <v/>
      </c>
      <c r="E405" s="175" t="str">
        <f aca="false">ExportRaw!$D405</f>
        <v/>
      </c>
      <c r="F405" s="174" t="str">
        <f aca="false">ExportRaw!$H405</f>
        <v/>
      </c>
      <c r="G405" s="176" t="str">
        <f aca="false">ExportRaw!$I405</f>
        <v/>
      </c>
      <c r="H405" s="174" t="str">
        <f aca="false">ExportRaw!$A405</f>
        <v/>
      </c>
      <c r="I405" s="174" t="str">
        <f aca="false">ExportRaw!$B405</f>
        <v/>
      </c>
    </row>
    <row r="406" customFormat="false" ht="15.75" hidden="false" customHeight="false" outlineLevel="0" collapsed="false">
      <c r="A406" s="174" t="n">
        <f aca="false">ExportRaw!$F406</f>
        <v>0</v>
      </c>
      <c r="B406" s="174" t="n">
        <f aca="false">ExportRaw!$C406</f>
        <v>0</v>
      </c>
      <c r="C406" s="174" t="n">
        <f aca="false">ExportRaw!$G406</f>
        <v>0</v>
      </c>
      <c r="D406" s="174" t="str">
        <f aca="false">ExportRaw!$E406</f>
        <v/>
      </c>
      <c r="E406" s="175" t="str">
        <f aca="false">ExportRaw!$D406</f>
        <v/>
      </c>
      <c r="F406" s="174" t="str">
        <f aca="false">ExportRaw!$H406</f>
        <v/>
      </c>
      <c r="G406" s="176" t="str">
        <f aca="false">ExportRaw!$I406</f>
        <v/>
      </c>
      <c r="H406" s="174" t="str">
        <f aca="false">ExportRaw!$A406</f>
        <v/>
      </c>
      <c r="I406" s="174" t="str">
        <f aca="false">ExportRaw!$B406</f>
        <v/>
      </c>
    </row>
    <row r="407" customFormat="false" ht="15.75" hidden="false" customHeight="false" outlineLevel="0" collapsed="false">
      <c r="A407" s="174" t="n">
        <f aca="false">ExportRaw!$F407</f>
        <v>0</v>
      </c>
      <c r="B407" s="174" t="n">
        <f aca="false">ExportRaw!$C407</f>
        <v>0</v>
      </c>
      <c r="C407" s="174" t="n">
        <f aca="false">ExportRaw!$G407</f>
        <v>0</v>
      </c>
      <c r="D407" s="174" t="str">
        <f aca="false">ExportRaw!$E407</f>
        <v/>
      </c>
      <c r="E407" s="175" t="str">
        <f aca="false">ExportRaw!$D407</f>
        <v/>
      </c>
      <c r="F407" s="174" t="str">
        <f aca="false">ExportRaw!$H407</f>
        <v/>
      </c>
      <c r="G407" s="176" t="str">
        <f aca="false">ExportRaw!$I407</f>
        <v/>
      </c>
      <c r="H407" s="174" t="str">
        <f aca="false">ExportRaw!$A407</f>
        <v/>
      </c>
      <c r="I407" s="174" t="str">
        <f aca="false">ExportRaw!$B407</f>
        <v/>
      </c>
    </row>
    <row r="408" customFormat="false" ht="15.75" hidden="false" customHeight="false" outlineLevel="0" collapsed="false">
      <c r="A408" s="174" t="n">
        <f aca="false">ExportRaw!$F408</f>
        <v>0</v>
      </c>
      <c r="B408" s="174" t="n">
        <f aca="false">ExportRaw!$C408</f>
        <v>0</v>
      </c>
      <c r="C408" s="174" t="n">
        <f aca="false">ExportRaw!$G408</f>
        <v>0</v>
      </c>
      <c r="D408" s="174" t="str">
        <f aca="false">ExportRaw!$E408</f>
        <v/>
      </c>
      <c r="E408" s="175" t="str">
        <f aca="false">ExportRaw!$D408</f>
        <v/>
      </c>
      <c r="F408" s="174" t="str">
        <f aca="false">ExportRaw!$H408</f>
        <v/>
      </c>
      <c r="G408" s="176" t="str">
        <f aca="false">ExportRaw!$I408</f>
        <v/>
      </c>
      <c r="H408" s="174" t="str">
        <f aca="false">ExportRaw!$A408</f>
        <v/>
      </c>
      <c r="I408" s="174" t="str">
        <f aca="false">ExportRaw!$B408</f>
        <v/>
      </c>
    </row>
    <row r="409" customFormat="false" ht="15.75" hidden="false" customHeight="false" outlineLevel="0" collapsed="false">
      <c r="A409" s="174" t="n">
        <f aca="false">ExportRaw!$F409</f>
        <v>0</v>
      </c>
      <c r="B409" s="174" t="n">
        <f aca="false">ExportRaw!$C409</f>
        <v>0</v>
      </c>
      <c r="C409" s="174" t="n">
        <f aca="false">ExportRaw!$G409</f>
        <v>0</v>
      </c>
      <c r="D409" s="174" t="str">
        <f aca="false">ExportRaw!$E409</f>
        <v/>
      </c>
      <c r="E409" s="175" t="str">
        <f aca="false">ExportRaw!$D409</f>
        <v/>
      </c>
      <c r="F409" s="174" t="str">
        <f aca="false">ExportRaw!$H409</f>
        <v/>
      </c>
      <c r="G409" s="176" t="str">
        <f aca="false">ExportRaw!$I409</f>
        <v/>
      </c>
      <c r="H409" s="174" t="str">
        <f aca="false">ExportRaw!$A409</f>
        <v/>
      </c>
      <c r="I409" s="174" t="str">
        <f aca="false">ExportRaw!$B409</f>
        <v/>
      </c>
    </row>
    <row r="410" customFormat="false" ht="15.75" hidden="false" customHeight="false" outlineLevel="0" collapsed="false">
      <c r="A410" s="174" t="n">
        <f aca="false">ExportRaw!$F410</f>
        <v>0</v>
      </c>
      <c r="B410" s="174" t="n">
        <f aca="false">ExportRaw!$C410</f>
        <v>0</v>
      </c>
      <c r="C410" s="174" t="n">
        <f aca="false">ExportRaw!$G410</f>
        <v>0</v>
      </c>
      <c r="D410" s="174" t="str">
        <f aca="false">ExportRaw!$E410</f>
        <v/>
      </c>
      <c r="E410" s="175" t="str">
        <f aca="false">ExportRaw!$D410</f>
        <v/>
      </c>
      <c r="F410" s="174" t="str">
        <f aca="false">ExportRaw!$H410</f>
        <v/>
      </c>
      <c r="G410" s="176" t="str">
        <f aca="false">ExportRaw!$I410</f>
        <v/>
      </c>
      <c r="H410" s="174" t="str">
        <f aca="false">ExportRaw!$A410</f>
        <v/>
      </c>
      <c r="I410" s="174" t="str">
        <f aca="false">ExportRaw!$B410</f>
        <v/>
      </c>
    </row>
    <row r="411" customFormat="false" ht="15.75" hidden="false" customHeight="false" outlineLevel="0" collapsed="false">
      <c r="A411" s="174" t="n">
        <f aca="false">ExportRaw!$F411</f>
        <v>0</v>
      </c>
      <c r="B411" s="174" t="n">
        <f aca="false">ExportRaw!$C411</f>
        <v>0</v>
      </c>
      <c r="C411" s="174" t="n">
        <f aca="false">ExportRaw!$G411</f>
        <v>0</v>
      </c>
      <c r="D411" s="174" t="str">
        <f aca="false">ExportRaw!$E411</f>
        <v/>
      </c>
      <c r="E411" s="175" t="str">
        <f aca="false">ExportRaw!$D411</f>
        <v/>
      </c>
      <c r="F411" s="174" t="str">
        <f aca="false">ExportRaw!$H411</f>
        <v/>
      </c>
      <c r="G411" s="176" t="str">
        <f aca="false">ExportRaw!$I411</f>
        <v/>
      </c>
      <c r="H411" s="174" t="str">
        <f aca="false">ExportRaw!$A411</f>
        <v/>
      </c>
      <c r="I411" s="174" t="str">
        <f aca="false">ExportRaw!$B411</f>
        <v/>
      </c>
    </row>
    <row r="412" customFormat="false" ht="15.75" hidden="false" customHeight="false" outlineLevel="0" collapsed="false">
      <c r="A412" s="174" t="n">
        <f aca="false">ExportRaw!$F412</f>
        <v>0</v>
      </c>
      <c r="B412" s="174" t="n">
        <f aca="false">ExportRaw!$C412</f>
        <v>0</v>
      </c>
      <c r="C412" s="174" t="n">
        <f aca="false">ExportRaw!$G412</f>
        <v>0</v>
      </c>
      <c r="D412" s="174" t="str">
        <f aca="false">ExportRaw!$E412</f>
        <v/>
      </c>
      <c r="E412" s="175" t="str">
        <f aca="false">ExportRaw!$D412</f>
        <v/>
      </c>
      <c r="F412" s="174" t="str">
        <f aca="false">ExportRaw!$H412</f>
        <v/>
      </c>
      <c r="G412" s="176" t="str">
        <f aca="false">ExportRaw!$I412</f>
        <v/>
      </c>
      <c r="H412" s="174" t="str">
        <f aca="false">ExportRaw!$A412</f>
        <v/>
      </c>
      <c r="I412" s="174" t="str">
        <f aca="false">ExportRaw!$B412</f>
        <v/>
      </c>
    </row>
    <row r="413" customFormat="false" ht="15.75" hidden="false" customHeight="false" outlineLevel="0" collapsed="false">
      <c r="A413" s="174" t="n">
        <f aca="false">ExportRaw!$F413</f>
        <v>0</v>
      </c>
      <c r="B413" s="174" t="n">
        <f aca="false">ExportRaw!$C413</f>
        <v>0</v>
      </c>
      <c r="C413" s="174" t="n">
        <f aca="false">ExportRaw!$G413</f>
        <v>0</v>
      </c>
      <c r="D413" s="174" t="str">
        <f aca="false">ExportRaw!$E413</f>
        <v/>
      </c>
      <c r="E413" s="175" t="str">
        <f aca="false">ExportRaw!$D413</f>
        <v/>
      </c>
      <c r="F413" s="174" t="str">
        <f aca="false">ExportRaw!$H413</f>
        <v/>
      </c>
      <c r="G413" s="176" t="str">
        <f aca="false">ExportRaw!$I413</f>
        <v/>
      </c>
      <c r="H413" s="174" t="str">
        <f aca="false">ExportRaw!$A413</f>
        <v/>
      </c>
      <c r="I413" s="174" t="str">
        <f aca="false">ExportRaw!$B413</f>
        <v/>
      </c>
    </row>
    <row r="414" customFormat="false" ht="15.75" hidden="false" customHeight="false" outlineLevel="0" collapsed="false">
      <c r="A414" s="174" t="n">
        <f aca="false">ExportRaw!$F414</f>
        <v>0</v>
      </c>
      <c r="B414" s="174" t="n">
        <f aca="false">ExportRaw!$C414</f>
        <v>0</v>
      </c>
      <c r="C414" s="174" t="n">
        <f aca="false">ExportRaw!$G414</f>
        <v>0</v>
      </c>
      <c r="D414" s="174" t="str">
        <f aca="false">ExportRaw!$E414</f>
        <v/>
      </c>
      <c r="E414" s="175" t="str">
        <f aca="false">ExportRaw!$D414</f>
        <v/>
      </c>
      <c r="F414" s="174" t="str">
        <f aca="false">ExportRaw!$H414</f>
        <v/>
      </c>
      <c r="G414" s="176" t="str">
        <f aca="false">ExportRaw!$I414</f>
        <v/>
      </c>
      <c r="H414" s="174" t="str">
        <f aca="false">ExportRaw!$A414</f>
        <v/>
      </c>
      <c r="I414" s="174" t="str">
        <f aca="false">ExportRaw!$B414</f>
        <v/>
      </c>
    </row>
    <row r="415" customFormat="false" ht="15.75" hidden="false" customHeight="false" outlineLevel="0" collapsed="false">
      <c r="A415" s="174" t="n">
        <f aca="false">ExportRaw!$F415</f>
        <v>0</v>
      </c>
      <c r="B415" s="174" t="n">
        <f aca="false">ExportRaw!$C415</f>
        <v>0</v>
      </c>
      <c r="C415" s="174" t="n">
        <f aca="false">ExportRaw!$G415</f>
        <v>0</v>
      </c>
      <c r="D415" s="174" t="str">
        <f aca="false">ExportRaw!$E415</f>
        <v/>
      </c>
      <c r="E415" s="175" t="str">
        <f aca="false">ExportRaw!$D415</f>
        <v/>
      </c>
      <c r="F415" s="174" t="str">
        <f aca="false">ExportRaw!$H415</f>
        <v/>
      </c>
      <c r="G415" s="176" t="str">
        <f aca="false">ExportRaw!$I415</f>
        <v/>
      </c>
      <c r="H415" s="174" t="str">
        <f aca="false">ExportRaw!$A415</f>
        <v/>
      </c>
      <c r="I415" s="174" t="str">
        <f aca="false">ExportRaw!$B415</f>
        <v/>
      </c>
    </row>
    <row r="416" customFormat="false" ht="15.75" hidden="false" customHeight="false" outlineLevel="0" collapsed="false">
      <c r="A416" s="174" t="n">
        <f aca="false">ExportRaw!$F416</f>
        <v>0</v>
      </c>
      <c r="B416" s="174" t="n">
        <f aca="false">ExportRaw!$C416</f>
        <v>0</v>
      </c>
      <c r="C416" s="174" t="n">
        <f aca="false">ExportRaw!$G416</f>
        <v>0</v>
      </c>
      <c r="D416" s="174" t="str">
        <f aca="false">ExportRaw!$E416</f>
        <v/>
      </c>
      <c r="E416" s="175" t="str">
        <f aca="false">ExportRaw!$D416</f>
        <v/>
      </c>
      <c r="F416" s="174" t="str">
        <f aca="false">ExportRaw!$H416</f>
        <v/>
      </c>
      <c r="G416" s="176" t="str">
        <f aca="false">ExportRaw!$I416</f>
        <v/>
      </c>
      <c r="H416" s="174" t="str">
        <f aca="false">ExportRaw!$A416</f>
        <v/>
      </c>
      <c r="I416" s="174" t="str">
        <f aca="false">ExportRaw!$B416</f>
        <v/>
      </c>
    </row>
    <row r="417" customFormat="false" ht="15.75" hidden="false" customHeight="false" outlineLevel="0" collapsed="false">
      <c r="A417" s="174" t="n">
        <f aca="false">ExportRaw!$F417</f>
        <v>0</v>
      </c>
      <c r="B417" s="174" t="n">
        <f aca="false">ExportRaw!$C417</f>
        <v>0</v>
      </c>
      <c r="C417" s="174" t="n">
        <f aca="false">ExportRaw!$G417</f>
        <v>0</v>
      </c>
      <c r="D417" s="174" t="str">
        <f aca="false">ExportRaw!$E417</f>
        <v/>
      </c>
      <c r="E417" s="175" t="str">
        <f aca="false">ExportRaw!$D417</f>
        <v/>
      </c>
      <c r="F417" s="174" t="str">
        <f aca="false">ExportRaw!$H417</f>
        <v/>
      </c>
      <c r="G417" s="176" t="str">
        <f aca="false">ExportRaw!$I417</f>
        <v/>
      </c>
      <c r="H417" s="174" t="str">
        <f aca="false">ExportRaw!$A417</f>
        <v/>
      </c>
      <c r="I417" s="174" t="str">
        <f aca="false">ExportRaw!$B417</f>
        <v/>
      </c>
    </row>
    <row r="418" customFormat="false" ht="15.75" hidden="false" customHeight="false" outlineLevel="0" collapsed="false">
      <c r="A418" s="174" t="n">
        <f aca="false">ExportRaw!$F418</f>
        <v>0</v>
      </c>
      <c r="B418" s="174" t="n">
        <f aca="false">ExportRaw!$C418</f>
        <v>0</v>
      </c>
      <c r="C418" s="174" t="n">
        <f aca="false">ExportRaw!$G418</f>
        <v>0</v>
      </c>
      <c r="D418" s="174" t="str">
        <f aca="false">ExportRaw!$E418</f>
        <v/>
      </c>
      <c r="E418" s="175" t="str">
        <f aca="false">ExportRaw!$D418</f>
        <v/>
      </c>
      <c r="F418" s="174" t="str">
        <f aca="false">ExportRaw!$H418</f>
        <v/>
      </c>
      <c r="G418" s="176" t="str">
        <f aca="false">ExportRaw!$I418</f>
        <v/>
      </c>
      <c r="H418" s="174" t="str">
        <f aca="false">ExportRaw!$A418</f>
        <v/>
      </c>
      <c r="I418" s="174" t="str">
        <f aca="false">ExportRaw!$B418</f>
        <v/>
      </c>
    </row>
    <row r="419" customFormat="false" ht="15.75" hidden="false" customHeight="false" outlineLevel="0" collapsed="false">
      <c r="A419" s="174" t="n">
        <f aca="false">ExportRaw!$F419</f>
        <v>0</v>
      </c>
      <c r="B419" s="174" t="n">
        <f aca="false">ExportRaw!$C419</f>
        <v>0</v>
      </c>
      <c r="C419" s="174" t="n">
        <f aca="false">ExportRaw!$G419</f>
        <v>0</v>
      </c>
      <c r="D419" s="174" t="str">
        <f aca="false">ExportRaw!$E419</f>
        <v/>
      </c>
      <c r="E419" s="175" t="str">
        <f aca="false">ExportRaw!$D419</f>
        <v/>
      </c>
      <c r="F419" s="174" t="str">
        <f aca="false">ExportRaw!$H419</f>
        <v/>
      </c>
      <c r="G419" s="176" t="str">
        <f aca="false">ExportRaw!$I419</f>
        <v/>
      </c>
      <c r="H419" s="174" t="str">
        <f aca="false">ExportRaw!$A419</f>
        <v/>
      </c>
      <c r="I419" s="174" t="str">
        <f aca="false">ExportRaw!$B419</f>
        <v/>
      </c>
    </row>
    <row r="420" customFormat="false" ht="15.75" hidden="false" customHeight="false" outlineLevel="0" collapsed="false">
      <c r="A420" s="174" t="n">
        <f aca="false">ExportRaw!$F420</f>
        <v>0</v>
      </c>
      <c r="B420" s="174" t="n">
        <f aca="false">ExportRaw!$C420</f>
        <v>0</v>
      </c>
      <c r="C420" s="174" t="n">
        <f aca="false">ExportRaw!$G420</f>
        <v>0</v>
      </c>
      <c r="D420" s="174" t="str">
        <f aca="false">ExportRaw!$E420</f>
        <v/>
      </c>
      <c r="E420" s="175" t="str">
        <f aca="false">ExportRaw!$D420</f>
        <v/>
      </c>
      <c r="F420" s="174" t="str">
        <f aca="false">ExportRaw!$H420</f>
        <v/>
      </c>
      <c r="G420" s="176" t="str">
        <f aca="false">ExportRaw!$I420</f>
        <v/>
      </c>
      <c r="H420" s="174" t="str">
        <f aca="false">ExportRaw!$A420</f>
        <v/>
      </c>
      <c r="I420" s="174" t="str">
        <f aca="false">ExportRaw!$B420</f>
        <v/>
      </c>
    </row>
    <row r="421" customFormat="false" ht="15.75" hidden="false" customHeight="false" outlineLevel="0" collapsed="false">
      <c r="A421" s="174" t="n">
        <f aca="false">ExportRaw!$F421</f>
        <v>0</v>
      </c>
      <c r="B421" s="174" t="n">
        <f aca="false">ExportRaw!$C421</f>
        <v>0</v>
      </c>
      <c r="C421" s="174" t="n">
        <f aca="false">ExportRaw!$G421</f>
        <v>0</v>
      </c>
      <c r="D421" s="174" t="str">
        <f aca="false">ExportRaw!$E421</f>
        <v/>
      </c>
      <c r="E421" s="175" t="str">
        <f aca="false">ExportRaw!$D421</f>
        <v/>
      </c>
      <c r="F421" s="174" t="str">
        <f aca="false">ExportRaw!$H421</f>
        <v/>
      </c>
      <c r="G421" s="176" t="str">
        <f aca="false">ExportRaw!$I421</f>
        <v/>
      </c>
      <c r="H421" s="174" t="str">
        <f aca="false">ExportRaw!$A421</f>
        <v/>
      </c>
      <c r="I421" s="174" t="str">
        <f aca="false">ExportRaw!$B421</f>
        <v/>
      </c>
    </row>
    <row r="422" customFormat="false" ht="15.75" hidden="false" customHeight="false" outlineLevel="0" collapsed="false">
      <c r="A422" s="174" t="n">
        <f aca="false">ExportRaw!$F422</f>
        <v>0</v>
      </c>
      <c r="B422" s="174" t="n">
        <f aca="false">ExportRaw!$C422</f>
        <v>0</v>
      </c>
      <c r="C422" s="174" t="n">
        <f aca="false">ExportRaw!$G422</f>
        <v>0</v>
      </c>
      <c r="D422" s="174" t="str">
        <f aca="false">ExportRaw!$E422</f>
        <v/>
      </c>
      <c r="E422" s="175" t="str">
        <f aca="false">ExportRaw!$D422</f>
        <v/>
      </c>
      <c r="F422" s="174" t="str">
        <f aca="false">ExportRaw!$H422</f>
        <v/>
      </c>
      <c r="G422" s="176" t="str">
        <f aca="false">ExportRaw!$I422</f>
        <v/>
      </c>
      <c r="H422" s="174" t="str">
        <f aca="false">ExportRaw!$A422</f>
        <v/>
      </c>
      <c r="I422" s="174" t="str">
        <f aca="false">ExportRaw!$B422</f>
        <v/>
      </c>
    </row>
    <row r="423" customFormat="false" ht="15.75" hidden="false" customHeight="false" outlineLevel="0" collapsed="false">
      <c r="A423" s="174" t="n">
        <f aca="false">ExportRaw!$F423</f>
        <v>0</v>
      </c>
      <c r="B423" s="174" t="n">
        <f aca="false">ExportRaw!$C423</f>
        <v>0</v>
      </c>
      <c r="C423" s="174" t="n">
        <f aca="false">ExportRaw!$G423</f>
        <v>0</v>
      </c>
      <c r="D423" s="174" t="str">
        <f aca="false">ExportRaw!$E423</f>
        <v/>
      </c>
      <c r="E423" s="175" t="str">
        <f aca="false">ExportRaw!$D423</f>
        <v/>
      </c>
      <c r="F423" s="174" t="str">
        <f aca="false">ExportRaw!$H423</f>
        <v/>
      </c>
      <c r="G423" s="176" t="str">
        <f aca="false">ExportRaw!$I423</f>
        <v/>
      </c>
      <c r="H423" s="174" t="str">
        <f aca="false">ExportRaw!$A423</f>
        <v/>
      </c>
      <c r="I423" s="174" t="str">
        <f aca="false">ExportRaw!$B423</f>
        <v/>
      </c>
    </row>
    <row r="424" customFormat="false" ht="15.75" hidden="false" customHeight="false" outlineLevel="0" collapsed="false">
      <c r="A424" s="174" t="n">
        <f aca="false">ExportRaw!$F424</f>
        <v>0</v>
      </c>
      <c r="B424" s="174" t="n">
        <f aca="false">ExportRaw!$C424</f>
        <v>0</v>
      </c>
      <c r="C424" s="174" t="n">
        <f aca="false">ExportRaw!$G424</f>
        <v>0</v>
      </c>
      <c r="D424" s="174" t="str">
        <f aca="false">ExportRaw!$E424</f>
        <v/>
      </c>
      <c r="E424" s="175" t="str">
        <f aca="false">ExportRaw!$D424</f>
        <v/>
      </c>
      <c r="F424" s="174" t="str">
        <f aca="false">ExportRaw!$H424</f>
        <v/>
      </c>
      <c r="G424" s="176" t="str">
        <f aca="false">ExportRaw!$I424</f>
        <v/>
      </c>
      <c r="H424" s="174" t="str">
        <f aca="false">ExportRaw!$A424</f>
        <v/>
      </c>
      <c r="I424" s="174" t="str">
        <f aca="false">ExportRaw!$B424</f>
        <v/>
      </c>
    </row>
    <row r="425" customFormat="false" ht="15.75" hidden="false" customHeight="false" outlineLevel="0" collapsed="false">
      <c r="A425" s="174" t="n">
        <f aca="false">ExportRaw!$F425</f>
        <v>0</v>
      </c>
      <c r="B425" s="174" t="n">
        <f aca="false">ExportRaw!$C425</f>
        <v>0</v>
      </c>
      <c r="C425" s="174" t="n">
        <f aca="false">ExportRaw!$G425</f>
        <v>0</v>
      </c>
      <c r="D425" s="174" t="str">
        <f aca="false">ExportRaw!$E425</f>
        <v/>
      </c>
      <c r="E425" s="175" t="str">
        <f aca="false">ExportRaw!$D425</f>
        <v/>
      </c>
      <c r="F425" s="174" t="str">
        <f aca="false">ExportRaw!$H425</f>
        <v/>
      </c>
      <c r="G425" s="176" t="str">
        <f aca="false">ExportRaw!$I425</f>
        <v/>
      </c>
      <c r="H425" s="174" t="str">
        <f aca="false">ExportRaw!$A425</f>
        <v/>
      </c>
      <c r="I425" s="174" t="str">
        <f aca="false">ExportRaw!$B425</f>
        <v/>
      </c>
    </row>
    <row r="426" customFormat="false" ht="15.75" hidden="false" customHeight="false" outlineLevel="0" collapsed="false">
      <c r="A426" s="174" t="n">
        <f aca="false">ExportRaw!$F426</f>
        <v>0</v>
      </c>
      <c r="B426" s="174" t="n">
        <f aca="false">ExportRaw!$C426</f>
        <v>0</v>
      </c>
      <c r="C426" s="174" t="n">
        <f aca="false">ExportRaw!$G426</f>
        <v>0</v>
      </c>
      <c r="D426" s="174" t="str">
        <f aca="false">ExportRaw!$E426</f>
        <v/>
      </c>
      <c r="E426" s="175" t="str">
        <f aca="false">ExportRaw!$D426</f>
        <v/>
      </c>
      <c r="F426" s="174" t="str">
        <f aca="false">ExportRaw!$H426</f>
        <v/>
      </c>
      <c r="G426" s="176" t="str">
        <f aca="false">ExportRaw!$I426</f>
        <v/>
      </c>
      <c r="H426" s="174" t="str">
        <f aca="false">ExportRaw!$A426</f>
        <v/>
      </c>
      <c r="I426" s="174" t="str">
        <f aca="false">ExportRaw!$B426</f>
        <v/>
      </c>
    </row>
    <row r="427" customFormat="false" ht="15.75" hidden="false" customHeight="false" outlineLevel="0" collapsed="false">
      <c r="A427" s="174" t="n">
        <f aca="false">ExportRaw!$F427</f>
        <v>0</v>
      </c>
      <c r="B427" s="174" t="n">
        <f aca="false">ExportRaw!$C427</f>
        <v>0</v>
      </c>
      <c r="C427" s="174" t="n">
        <f aca="false">ExportRaw!$G427</f>
        <v>0</v>
      </c>
      <c r="D427" s="174" t="str">
        <f aca="false">ExportRaw!$E427</f>
        <v/>
      </c>
      <c r="E427" s="175" t="str">
        <f aca="false">ExportRaw!$D427</f>
        <v/>
      </c>
      <c r="F427" s="174" t="str">
        <f aca="false">ExportRaw!$H427</f>
        <v/>
      </c>
      <c r="G427" s="176" t="str">
        <f aca="false">ExportRaw!$I427</f>
        <v/>
      </c>
      <c r="H427" s="174" t="str">
        <f aca="false">ExportRaw!$A427</f>
        <v/>
      </c>
      <c r="I427" s="174" t="str">
        <f aca="false">ExportRaw!$B427</f>
        <v/>
      </c>
    </row>
    <row r="428" customFormat="false" ht="15.75" hidden="false" customHeight="false" outlineLevel="0" collapsed="false">
      <c r="A428" s="174" t="n">
        <f aca="false">ExportRaw!$F428</f>
        <v>0</v>
      </c>
      <c r="B428" s="174" t="n">
        <f aca="false">ExportRaw!$C428</f>
        <v>0</v>
      </c>
      <c r="C428" s="174" t="n">
        <f aca="false">ExportRaw!$G428</f>
        <v>0</v>
      </c>
      <c r="D428" s="174" t="str">
        <f aca="false">ExportRaw!$E428</f>
        <v/>
      </c>
      <c r="E428" s="175" t="str">
        <f aca="false">ExportRaw!$D428</f>
        <v/>
      </c>
      <c r="F428" s="174" t="str">
        <f aca="false">ExportRaw!$H428</f>
        <v/>
      </c>
      <c r="G428" s="176" t="str">
        <f aca="false">ExportRaw!$I428</f>
        <v/>
      </c>
      <c r="H428" s="174" t="str">
        <f aca="false">ExportRaw!$A428</f>
        <v/>
      </c>
      <c r="I428" s="174" t="str">
        <f aca="false">ExportRaw!$B428</f>
        <v/>
      </c>
    </row>
    <row r="429" customFormat="false" ht="15.75" hidden="false" customHeight="false" outlineLevel="0" collapsed="false">
      <c r="A429" s="174" t="n">
        <f aca="false">ExportRaw!$F429</f>
        <v>0</v>
      </c>
      <c r="B429" s="174" t="n">
        <f aca="false">ExportRaw!$C429</f>
        <v>0</v>
      </c>
      <c r="C429" s="174" t="n">
        <f aca="false">ExportRaw!$G429</f>
        <v>0</v>
      </c>
      <c r="D429" s="174" t="str">
        <f aca="false">ExportRaw!$E429</f>
        <v/>
      </c>
      <c r="E429" s="175" t="str">
        <f aca="false">ExportRaw!$D429</f>
        <v/>
      </c>
      <c r="F429" s="174" t="str">
        <f aca="false">ExportRaw!$H429</f>
        <v/>
      </c>
      <c r="G429" s="176" t="str">
        <f aca="false">ExportRaw!$I429</f>
        <v/>
      </c>
      <c r="H429" s="174" t="str">
        <f aca="false">ExportRaw!$A429</f>
        <v/>
      </c>
      <c r="I429" s="174" t="str">
        <f aca="false">ExportRaw!$B429</f>
        <v/>
      </c>
    </row>
    <row r="430" customFormat="false" ht="15.75" hidden="false" customHeight="false" outlineLevel="0" collapsed="false">
      <c r="A430" s="174" t="n">
        <f aca="false">ExportRaw!$F430</f>
        <v>0</v>
      </c>
      <c r="B430" s="174" t="n">
        <f aca="false">ExportRaw!$C430</f>
        <v>0</v>
      </c>
      <c r="C430" s="174" t="n">
        <f aca="false">ExportRaw!$G430</f>
        <v>0</v>
      </c>
      <c r="D430" s="174" t="str">
        <f aca="false">ExportRaw!$E430</f>
        <v/>
      </c>
      <c r="E430" s="175" t="str">
        <f aca="false">ExportRaw!$D430</f>
        <v/>
      </c>
      <c r="F430" s="174" t="str">
        <f aca="false">ExportRaw!$H430</f>
        <v/>
      </c>
      <c r="G430" s="176" t="str">
        <f aca="false">ExportRaw!$I430</f>
        <v/>
      </c>
      <c r="H430" s="174" t="str">
        <f aca="false">ExportRaw!$A430</f>
        <v/>
      </c>
      <c r="I430" s="174" t="str">
        <f aca="false">ExportRaw!$B430</f>
        <v/>
      </c>
    </row>
    <row r="431" customFormat="false" ht="15.75" hidden="false" customHeight="false" outlineLevel="0" collapsed="false">
      <c r="A431" s="174" t="n">
        <f aca="false">ExportRaw!$F431</f>
        <v>0</v>
      </c>
      <c r="B431" s="174" t="n">
        <f aca="false">ExportRaw!$C431</f>
        <v>0</v>
      </c>
      <c r="C431" s="174" t="n">
        <f aca="false">ExportRaw!$G431</f>
        <v>0</v>
      </c>
      <c r="D431" s="174" t="str">
        <f aca="false">ExportRaw!$E431</f>
        <v/>
      </c>
      <c r="E431" s="175" t="str">
        <f aca="false">ExportRaw!$D431</f>
        <v/>
      </c>
      <c r="F431" s="174" t="str">
        <f aca="false">ExportRaw!$H431</f>
        <v/>
      </c>
      <c r="G431" s="176" t="str">
        <f aca="false">ExportRaw!$I431</f>
        <v/>
      </c>
      <c r="H431" s="174" t="str">
        <f aca="false">ExportRaw!$A431</f>
        <v/>
      </c>
      <c r="I431" s="174" t="str">
        <f aca="false">ExportRaw!$B431</f>
        <v/>
      </c>
    </row>
    <row r="432" customFormat="false" ht="15.75" hidden="false" customHeight="false" outlineLevel="0" collapsed="false">
      <c r="A432" s="174" t="n">
        <f aca="false">ExportRaw!$F432</f>
        <v>0</v>
      </c>
      <c r="B432" s="174" t="n">
        <f aca="false">ExportRaw!$C432</f>
        <v>0</v>
      </c>
      <c r="C432" s="174" t="n">
        <f aca="false">ExportRaw!$G432</f>
        <v>0</v>
      </c>
      <c r="D432" s="174" t="str">
        <f aca="false">ExportRaw!$E432</f>
        <v/>
      </c>
      <c r="E432" s="175" t="str">
        <f aca="false">ExportRaw!$D432</f>
        <v/>
      </c>
      <c r="F432" s="174" t="str">
        <f aca="false">ExportRaw!$H432</f>
        <v/>
      </c>
      <c r="G432" s="176" t="str">
        <f aca="false">ExportRaw!$I432</f>
        <v/>
      </c>
      <c r="H432" s="174" t="str">
        <f aca="false">ExportRaw!$A432</f>
        <v/>
      </c>
      <c r="I432" s="174" t="str">
        <f aca="false">ExportRaw!$B432</f>
        <v/>
      </c>
    </row>
    <row r="433" customFormat="false" ht="15.75" hidden="false" customHeight="false" outlineLevel="0" collapsed="false">
      <c r="A433" s="174" t="n">
        <f aca="false">ExportRaw!$F433</f>
        <v>0</v>
      </c>
      <c r="B433" s="174" t="n">
        <f aca="false">ExportRaw!$C433</f>
        <v>0</v>
      </c>
      <c r="C433" s="174" t="n">
        <f aca="false">ExportRaw!$G433</f>
        <v>0</v>
      </c>
      <c r="D433" s="174" t="str">
        <f aca="false">ExportRaw!$E433</f>
        <v/>
      </c>
      <c r="E433" s="175" t="str">
        <f aca="false">ExportRaw!$D433</f>
        <v/>
      </c>
      <c r="F433" s="174" t="str">
        <f aca="false">ExportRaw!$H433</f>
        <v/>
      </c>
      <c r="G433" s="176" t="str">
        <f aca="false">ExportRaw!$I433</f>
        <v/>
      </c>
      <c r="H433" s="174" t="str">
        <f aca="false">ExportRaw!$A433</f>
        <v/>
      </c>
      <c r="I433" s="174" t="str">
        <f aca="false">ExportRaw!$B433</f>
        <v/>
      </c>
    </row>
    <row r="434" customFormat="false" ht="15.75" hidden="false" customHeight="false" outlineLevel="0" collapsed="false">
      <c r="A434" s="174" t="n">
        <f aca="false">ExportRaw!$F434</f>
        <v>0</v>
      </c>
      <c r="B434" s="174" t="n">
        <f aca="false">ExportRaw!$C434</f>
        <v>0</v>
      </c>
      <c r="C434" s="174" t="n">
        <f aca="false">ExportRaw!$G434</f>
        <v>0</v>
      </c>
      <c r="D434" s="174" t="str">
        <f aca="false">ExportRaw!$E434</f>
        <v/>
      </c>
      <c r="E434" s="175" t="str">
        <f aca="false">ExportRaw!$D434</f>
        <v/>
      </c>
      <c r="F434" s="174" t="str">
        <f aca="false">ExportRaw!$H434</f>
        <v/>
      </c>
      <c r="G434" s="176" t="str">
        <f aca="false">ExportRaw!$I434</f>
        <v/>
      </c>
      <c r="H434" s="174" t="str">
        <f aca="false">ExportRaw!$A434</f>
        <v/>
      </c>
      <c r="I434" s="174" t="str">
        <f aca="false">ExportRaw!$B434</f>
        <v/>
      </c>
    </row>
    <row r="435" customFormat="false" ht="15.75" hidden="false" customHeight="false" outlineLevel="0" collapsed="false">
      <c r="A435" s="174" t="n">
        <f aca="false">ExportRaw!$F435</f>
        <v>0</v>
      </c>
      <c r="B435" s="174" t="n">
        <f aca="false">ExportRaw!$C435</f>
        <v>0</v>
      </c>
      <c r="C435" s="174" t="n">
        <f aca="false">ExportRaw!$G435</f>
        <v>0</v>
      </c>
      <c r="D435" s="174" t="str">
        <f aca="false">ExportRaw!$E435</f>
        <v/>
      </c>
      <c r="E435" s="175" t="str">
        <f aca="false">ExportRaw!$D435</f>
        <v/>
      </c>
      <c r="F435" s="174" t="str">
        <f aca="false">ExportRaw!$H435</f>
        <v/>
      </c>
      <c r="G435" s="176" t="str">
        <f aca="false">ExportRaw!$I435</f>
        <v/>
      </c>
      <c r="H435" s="174" t="str">
        <f aca="false">ExportRaw!$A435</f>
        <v/>
      </c>
      <c r="I435" s="174" t="str">
        <f aca="false">ExportRaw!$B435</f>
        <v/>
      </c>
    </row>
    <row r="436" customFormat="false" ht="15.75" hidden="false" customHeight="false" outlineLevel="0" collapsed="false">
      <c r="A436" s="174" t="n">
        <f aca="false">ExportRaw!$F436</f>
        <v>0</v>
      </c>
      <c r="B436" s="174" t="n">
        <f aca="false">ExportRaw!$C436</f>
        <v>0</v>
      </c>
      <c r="C436" s="174" t="n">
        <f aca="false">ExportRaw!$G436</f>
        <v>0</v>
      </c>
      <c r="D436" s="174" t="str">
        <f aca="false">ExportRaw!$E436</f>
        <v/>
      </c>
      <c r="E436" s="175" t="str">
        <f aca="false">ExportRaw!$D436</f>
        <v/>
      </c>
      <c r="F436" s="174" t="str">
        <f aca="false">ExportRaw!$H436</f>
        <v/>
      </c>
      <c r="G436" s="176" t="str">
        <f aca="false">ExportRaw!$I436</f>
        <v/>
      </c>
      <c r="H436" s="174" t="str">
        <f aca="false">ExportRaw!$A436</f>
        <v/>
      </c>
      <c r="I436" s="174" t="str">
        <f aca="false">ExportRaw!$B436</f>
        <v/>
      </c>
    </row>
    <row r="437" customFormat="false" ht="15.75" hidden="false" customHeight="false" outlineLevel="0" collapsed="false">
      <c r="A437" s="174" t="n">
        <f aca="false">ExportRaw!$F437</f>
        <v>0</v>
      </c>
      <c r="B437" s="174" t="n">
        <f aca="false">ExportRaw!$C437</f>
        <v>0</v>
      </c>
      <c r="C437" s="174" t="n">
        <f aca="false">ExportRaw!$G437</f>
        <v>0</v>
      </c>
      <c r="D437" s="174" t="str">
        <f aca="false">ExportRaw!$E437</f>
        <v/>
      </c>
      <c r="E437" s="175" t="str">
        <f aca="false">ExportRaw!$D437</f>
        <v/>
      </c>
      <c r="F437" s="174" t="str">
        <f aca="false">ExportRaw!$H437</f>
        <v/>
      </c>
      <c r="G437" s="176" t="str">
        <f aca="false">ExportRaw!$I437</f>
        <v/>
      </c>
      <c r="H437" s="174" t="str">
        <f aca="false">ExportRaw!$A437</f>
        <v/>
      </c>
      <c r="I437" s="174" t="str">
        <f aca="false">ExportRaw!$B437</f>
        <v/>
      </c>
    </row>
    <row r="438" customFormat="false" ht="15.75" hidden="false" customHeight="false" outlineLevel="0" collapsed="false">
      <c r="A438" s="174" t="n">
        <f aca="false">ExportRaw!$F438</f>
        <v>0</v>
      </c>
      <c r="B438" s="174" t="n">
        <f aca="false">ExportRaw!$C438</f>
        <v>0</v>
      </c>
      <c r="C438" s="174" t="n">
        <f aca="false">ExportRaw!$G438</f>
        <v>0</v>
      </c>
      <c r="D438" s="174" t="str">
        <f aca="false">ExportRaw!$E438</f>
        <v/>
      </c>
      <c r="E438" s="175" t="str">
        <f aca="false">ExportRaw!$D438</f>
        <v/>
      </c>
      <c r="F438" s="174" t="str">
        <f aca="false">ExportRaw!$H438</f>
        <v/>
      </c>
      <c r="G438" s="176" t="str">
        <f aca="false">ExportRaw!$I438</f>
        <v/>
      </c>
      <c r="H438" s="174" t="str">
        <f aca="false">ExportRaw!$A438</f>
        <v/>
      </c>
      <c r="I438" s="174" t="str">
        <f aca="false">ExportRaw!$B438</f>
        <v/>
      </c>
    </row>
    <row r="439" customFormat="false" ht="15.75" hidden="false" customHeight="false" outlineLevel="0" collapsed="false">
      <c r="A439" s="174" t="n">
        <f aca="false">ExportRaw!$F439</f>
        <v>0</v>
      </c>
      <c r="B439" s="174" t="n">
        <f aca="false">ExportRaw!$C439</f>
        <v>0</v>
      </c>
      <c r="C439" s="174" t="n">
        <f aca="false">ExportRaw!$G439</f>
        <v>0</v>
      </c>
      <c r="D439" s="174" t="str">
        <f aca="false">ExportRaw!$E439</f>
        <v/>
      </c>
      <c r="E439" s="175" t="str">
        <f aca="false">ExportRaw!$D439</f>
        <v/>
      </c>
      <c r="F439" s="174" t="str">
        <f aca="false">ExportRaw!$H439</f>
        <v/>
      </c>
      <c r="G439" s="176" t="str">
        <f aca="false">ExportRaw!$I439</f>
        <v/>
      </c>
      <c r="H439" s="174" t="str">
        <f aca="false">ExportRaw!$A439</f>
        <v/>
      </c>
      <c r="I439" s="174" t="str">
        <f aca="false">ExportRaw!$B439</f>
        <v/>
      </c>
    </row>
    <row r="440" customFormat="false" ht="15.75" hidden="false" customHeight="false" outlineLevel="0" collapsed="false">
      <c r="A440" s="174" t="n">
        <f aca="false">ExportRaw!$F440</f>
        <v>0</v>
      </c>
      <c r="B440" s="174" t="n">
        <f aca="false">ExportRaw!$C440</f>
        <v>0</v>
      </c>
      <c r="C440" s="174" t="n">
        <f aca="false">ExportRaw!$G440</f>
        <v>0</v>
      </c>
      <c r="D440" s="174" t="str">
        <f aca="false">ExportRaw!$E440</f>
        <v/>
      </c>
      <c r="E440" s="175" t="str">
        <f aca="false">ExportRaw!$D440</f>
        <v/>
      </c>
      <c r="F440" s="174" t="str">
        <f aca="false">ExportRaw!$H440</f>
        <v/>
      </c>
      <c r="G440" s="176" t="str">
        <f aca="false">ExportRaw!$I440</f>
        <v/>
      </c>
      <c r="H440" s="174" t="str">
        <f aca="false">ExportRaw!$A440</f>
        <v/>
      </c>
      <c r="I440" s="174" t="str">
        <f aca="false">ExportRaw!$B440</f>
        <v/>
      </c>
    </row>
    <row r="441" customFormat="false" ht="15.75" hidden="false" customHeight="false" outlineLevel="0" collapsed="false">
      <c r="A441" s="174" t="n">
        <f aca="false">ExportRaw!$F441</f>
        <v>0</v>
      </c>
      <c r="B441" s="174" t="n">
        <f aca="false">ExportRaw!$C441</f>
        <v>0</v>
      </c>
      <c r="C441" s="174" t="n">
        <f aca="false">ExportRaw!$G441</f>
        <v>0</v>
      </c>
      <c r="D441" s="174" t="str">
        <f aca="false">ExportRaw!$E441</f>
        <v/>
      </c>
      <c r="E441" s="175" t="str">
        <f aca="false">ExportRaw!$D441</f>
        <v/>
      </c>
      <c r="F441" s="174" t="str">
        <f aca="false">ExportRaw!$H441</f>
        <v/>
      </c>
      <c r="G441" s="176" t="str">
        <f aca="false">ExportRaw!$I441</f>
        <v/>
      </c>
      <c r="H441" s="174" t="str">
        <f aca="false">ExportRaw!$A441</f>
        <v/>
      </c>
      <c r="I441" s="174" t="str">
        <f aca="false">ExportRaw!$B441</f>
        <v/>
      </c>
    </row>
    <row r="442" customFormat="false" ht="15.75" hidden="false" customHeight="false" outlineLevel="0" collapsed="false">
      <c r="A442" s="174" t="n">
        <f aca="false">ExportRaw!$F442</f>
        <v>0</v>
      </c>
      <c r="B442" s="174" t="n">
        <f aca="false">ExportRaw!$C442</f>
        <v>0</v>
      </c>
      <c r="C442" s="174" t="n">
        <f aca="false">ExportRaw!$G442</f>
        <v>0</v>
      </c>
      <c r="D442" s="174" t="str">
        <f aca="false">ExportRaw!$E442</f>
        <v/>
      </c>
      <c r="E442" s="175" t="str">
        <f aca="false">ExportRaw!$D442</f>
        <v/>
      </c>
      <c r="F442" s="174" t="str">
        <f aca="false">ExportRaw!$H442</f>
        <v/>
      </c>
      <c r="G442" s="176" t="str">
        <f aca="false">ExportRaw!$I442</f>
        <v/>
      </c>
      <c r="H442" s="174" t="str">
        <f aca="false">ExportRaw!$A442</f>
        <v/>
      </c>
      <c r="I442" s="174" t="str">
        <f aca="false">ExportRaw!$B442</f>
        <v/>
      </c>
    </row>
    <row r="443" customFormat="false" ht="15.75" hidden="false" customHeight="false" outlineLevel="0" collapsed="false">
      <c r="A443" s="174" t="n">
        <f aca="false">ExportRaw!$F443</f>
        <v>0</v>
      </c>
      <c r="B443" s="174" t="n">
        <f aca="false">ExportRaw!$C443</f>
        <v>0</v>
      </c>
      <c r="C443" s="174" t="n">
        <f aca="false">ExportRaw!$G443</f>
        <v>0</v>
      </c>
      <c r="D443" s="174" t="str">
        <f aca="false">ExportRaw!$E443</f>
        <v/>
      </c>
      <c r="E443" s="175" t="str">
        <f aca="false">ExportRaw!$D443</f>
        <v/>
      </c>
      <c r="F443" s="174" t="str">
        <f aca="false">ExportRaw!$H443</f>
        <v/>
      </c>
      <c r="G443" s="176" t="str">
        <f aca="false">ExportRaw!$I443</f>
        <v/>
      </c>
      <c r="H443" s="174" t="str">
        <f aca="false">ExportRaw!$A443</f>
        <v/>
      </c>
      <c r="I443" s="174" t="str">
        <f aca="false">ExportRaw!$B443</f>
        <v/>
      </c>
    </row>
    <row r="444" customFormat="false" ht="15.75" hidden="false" customHeight="false" outlineLevel="0" collapsed="false">
      <c r="A444" s="174" t="n">
        <f aca="false">ExportRaw!$F444</f>
        <v>0</v>
      </c>
      <c r="B444" s="174" t="n">
        <f aca="false">ExportRaw!$C444</f>
        <v>0</v>
      </c>
      <c r="C444" s="174" t="n">
        <f aca="false">ExportRaw!$G444</f>
        <v>0</v>
      </c>
      <c r="D444" s="174" t="str">
        <f aca="false">ExportRaw!$E444</f>
        <v/>
      </c>
      <c r="E444" s="175" t="str">
        <f aca="false">ExportRaw!$D444</f>
        <v/>
      </c>
      <c r="F444" s="174" t="str">
        <f aca="false">ExportRaw!$H444</f>
        <v/>
      </c>
      <c r="G444" s="176" t="str">
        <f aca="false">ExportRaw!$I444</f>
        <v/>
      </c>
      <c r="H444" s="174" t="str">
        <f aca="false">ExportRaw!$A444</f>
        <v/>
      </c>
      <c r="I444" s="174" t="str">
        <f aca="false">ExportRaw!$B444</f>
        <v/>
      </c>
    </row>
    <row r="445" customFormat="false" ht="15.75" hidden="false" customHeight="false" outlineLevel="0" collapsed="false">
      <c r="A445" s="174" t="n">
        <f aca="false">ExportRaw!$F445</f>
        <v>0</v>
      </c>
      <c r="B445" s="174" t="n">
        <f aca="false">ExportRaw!$C445</f>
        <v>0</v>
      </c>
      <c r="C445" s="174" t="n">
        <f aca="false">ExportRaw!$G445</f>
        <v>0</v>
      </c>
      <c r="D445" s="174" t="str">
        <f aca="false">ExportRaw!$E445</f>
        <v/>
      </c>
      <c r="E445" s="175" t="str">
        <f aca="false">ExportRaw!$D445</f>
        <v/>
      </c>
      <c r="F445" s="174" t="str">
        <f aca="false">ExportRaw!$H445</f>
        <v/>
      </c>
      <c r="G445" s="176" t="str">
        <f aca="false">ExportRaw!$I445</f>
        <v/>
      </c>
      <c r="H445" s="174" t="str">
        <f aca="false">ExportRaw!$A445</f>
        <v/>
      </c>
      <c r="I445" s="174" t="str">
        <f aca="false">ExportRaw!$B445</f>
        <v/>
      </c>
    </row>
    <row r="446" customFormat="false" ht="15.75" hidden="false" customHeight="false" outlineLevel="0" collapsed="false">
      <c r="A446" s="174" t="n">
        <f aca="false">ExportRaw!$F446</f>
        <v>0</v>
      </c>
      <c r="B446" s="174" t="n">
        <f aca="false">ExportRaw!$C446</f>
        <v>0</v>
      </c>
      <c r="C446" s="174" t="n">
        <f aca="false">ExportRaw!$G446</f>
        <v>0</v>
      </c>
      <c r="D446" s="174" t="str">
        <f aca="false">ExportRaw!$E446</f>
        <v/>
      </c>
      <c r="E446" s="175" t="str">
        <f aca="false">ExportRaw!$D446</f>
        <v/>
      </c>
      <c r="F446" s="174" t="str">
        <f aca="false">ExportRaw!$H446</f>
        <v/>
      </c>
      <c r="G446" s="176" t="str">
        <f aca="false">ExportRaw!$I446</f>
        <v/>
      </c>
      <c r="H446" s="174" t="str">
        <f aca="false">ExportRaw!$A446</f>
        <v/>
      </c>
      <c r="I446" s="174" t="str">
        <f aca="false">ExportRaw!$B446</f>
        <v/>
      </c>
    </row>
    <row r="447" customFormat="false" ht="15.75" hidden="false" customHeight="false" outlineLevel="0" collapsed="false">
      <c r="A447" s="174" t="n">
        <f aca="false">ExportRaw!$F447</f>
        <v>0</v>
      </c>
      <c r="B447" s="174" t="n">
        <f aca="false">ExportRaw!$C447</f>
        <v>0</v>
      </c>
      <c r="C447" s="174" t="n">
        <f aca="false">ExportRaw!$G447</f>
        <v>0</v>
      </c>
      <c r="D447" s="174" t="str">
        <f aca="false">ExportRaw!$E447</f>
        <v/>
      </c>
      <c r="E447" s="175" t="str">
        <f aca="false">ExportRaw!$D447</f>
        <v/>
      </c>
      <c r="F447" s="174" t="str">
        <f aca="false">ExportRaw!$H447</f>
        <v/>
      </c>
      <c r="G447" s="176" t="str">
        <f aca="false">ExportRaw!$I447</f>
        <v/>
      </c>
      <c r="H447" s="174" t="str">
        <f aca="false">ExportRaw!$A447</f>
        <v/>
      </c>
      <c r="I447" s="174" t="str">
        <f aca="false">ExportRaw!$B447</f>
        <v/>
      </c>
    </row>
    <row r="448" customFormat="false" ht="15.75" hidden="false" customHeight="false" outlineLevel="0" collapsed="false">
      <c r="A448" s="174" t="n">
        <f aca="false">ExportRaw!$F448</f>
        <v>0</v>
      </c>
      <c r="B448" s="174" t="n">
        <f aca="false">ExportRaw!$C448</f>
        <v>0</v>
      </c>
      <c r="C448" s="174" t="n">
        <f aca="false">ExportRaw!$G448</f>
        <v>0</v>
      </c>
      <c r="D448" s="174" t="str">
        <f aca="false">ExportRaw!$E448</f>
        <v/>
      </c>
      <c r="E448" s="175" t="str">
        <f aca="false">ExportRaw!$D448</f>
        <v/>
      </c>
      <c r="F448" s="174" t="str">
        <f aca="false">ExportRaw!$H448</f>
        <v/>
      </c>
      <c r="G448" s="176" t="str">
        <f aca="false">ExportRaw!$I448</f>
        <v/>
      </c>
      <c r="H448" s="174" t="str">
        <f aca="false">ExportRaw!$A448</f>
        <v/>
      </c>
      <c r="I448" s="174" t="str">
        <f aca="false">ExportRaw!$B448</f>
        <v/>
      </c>
    </row>
    <row r="449" customFormat="false" ht="15.75" hidden="false" customHeight="false" outlineLevel="0" collapsed="false">
      <c r="A449" s="174" t="n">
        <f aca="false">ExportRaw!$F449</f>
        <v>0</v>
      </c>
      <c r="B449" s="174" t="n">
        <f aca="false">ExportRaw!$C449</f>
        <v>0</v>
      </c>
      <c r="C449" s="174" t="n">
        <f aca="false">ExportRaw!$G449</f>
        <v>0</v>
      </c>
      <c r="D449" s="174" t="str">
        <f aca="false">ExportRaw!$E449</f>
        <v/>
      </c>
      <c r="E449" s="175" t="str">
        <f aca="false">ExportRaw!$D449</f>
        <v/>
      </c>
      <c r="F449" s="174" t="str">
        <f aca="false">ExportRaw!$H449</f>
        <v/>
      </c>
      <c r="G449" s="176" t="str">
        <f aca="false">ExportRaw!$I449</f>
        <v/>
      </c>
      <c r="H449" s="174" t="str">
        <f aca="false">ExportRaw!$A449</f>
        <v/>
      </c>
      <c r="I449" s="174" t="str">
        <f aca="false">ExportRaw!$B449</f>
        <v/>
      </c>
    </row>
    <row r="450" customFormat="false" ht="15.75" hidden="false" customHeight="false" outlineLevel="0" collapsed="false">
      <c r="A450" s="174" t="n">
        <f aca="false">ExportRaw!$F450</f>
        <v>0</v>
      </c>
      <c r="B450" s="174" t="n">
        <f aca="false">ExportRaw!$C450</f>
        <v>0</v>
      </c>
      <c r="C450" s="174" t="n">
        <f aca="false">ExportRaw!$G450</f>
        <v>0</v>
      </c>
      <c r="D450" s="174" t="str">
        <f aca="false">ExportRaw!$E450</f>
        <v/>
      </c>
      <c r="E450" s="175" t="str">
        <f aca="false">ExportRaw!$D450</f>
        <v/>
      </c>
      <c r="F450" s="174" t="str">
        <f aca="false">ExportRaw!$H450</f>
        <v/>
      </c>
      <c r="G450" s="176" t="str">
        <f aca="false">ExportRaw!$I450</f>
        <v/>
      </c>
      <c r="H450" s="174" t="str">
        <f aca="false">ExportRaw!$A450</f>
        <v/>
      </c>
      <c r="I450" s="174" t="str">
        <f aca="false">ExportRaw!$B450</f>
        <v/>
      </c>
    </row>
    <row r="451" customFormat="false" ht="15.75" hidden="false" customHeight="false" outlineLevel="0" collapsed="false">
      <c r="A451" s="174" t="n">
        <f aca="false">ExportRaw!$F451</f>
        <v>0</v>
      </c>
      <c r="B451" s="174" t="n">
        <f aca="false">ExportRaw!$C451</f>
        <v>0</v>
      </c>
      <c r="C451" s="174" t="n">
        <f aca="false">ExportRaw!$G451</f>
        <v>0</v>
      </c>
      <c r="D451" s="174" t="str">
        <f aca="false">ExportRaw!$E451</f>
        <v/>
      </c>
      <c r="E451" s="175" t="str">
        <f aca="false">ExportRaw!$D451</f>
        <v/>
      </c>
      <c r="F451" s="174" t="str">
        <f aca="false">ExportRaw!$H451</f>
        <v/>
      </c>
      <c r="G451" s="176" t="str">
        <f aca="false">ExportRaw!$I451</f>
        <v/>
      </c>
      <c r="H451" s="174" t="str">
        <f aca="false">ExportRaw!$A451</f>
        <v/>
      </c>
      <c r="I451" s="174" t="str">
        <f aca="false">ExportRaw!$B451</f>
        <v/>
      </c>
    </row>
    <row r="452" customFormat="false" ht="15.75" hidden="false" customHeight="false" outlineLevel="0" collapsed="false">
      <c r="A452" s="174" t="n">
        <f aca="false">ExportRaw!$F452</f>
        <v>0</v>
      </c>
      <c r="B452" s="174" t="n">
        <f aca="false">ExportRaw!$C452</f>
        <v>0</v>
      </c>
      <c r="C452" s="174" t="n">
        <f aca="false">ExportRaw!$G452</f>
        <v>0</v>
      </c>
      <c r="D452" s="174" t="str">
        <f aca="false">ExportRaw!$E452</f>
        <v/>
      </c>
      <c r="E452" s="175" t="str">
        <f aca="false">ExportRaw!$D452</f>
        <v/>
      </c>
      <c r="F452" s="174" t="str">
        <f aca="false">ExportRaw!$H452</f>
        <v/>
      </c>
      <c r="G452" s="176" t="str">
        <f aca="false">ExportRaw!$I452</f>
        <v/>
      </c>
      <c r="H452" s="174" t="str">
        <f aca="false">ExportRaw!$A452</f>
        <v/>
      </c>
      <c r="I452" s="174" t="str">
        <f aca="false">ExportRaw!$B452</f>
        <v/>
      </c>
    </row>
    <row r="453" customFormat="false" ht="15.75" hidden="false" customHeight="false" outlineLevel="0" collapsed="false">
      <c r="A453" s="174" t="n">
        <f aca="false">ExportRaw!$F453</f>
        <v>0</v>
      </c>
      <c r="B453" s="174" t="n">
        <f aca="false">ExportRaw!$C453</f>
        <v>0</v>
      </c>
      <c r="C453" s="174" t="n">
        <f aca="false">ExportRaw!$G453</f>
        <v>0</v>
      </c>
      <c r="D453" s="174" t="str">
        <f aca="false">ExportRaw!$E453</f>
        <v/>
      </c>
      <c r="E453" s="175" t="str">
        <f aca="false">ExportRaw!$D453</f>
        <v/>
      </c>
      <c r="F453" s="174" t="str">
        <f aca="false">ExportRaw!$H453</f>
        <v/>
      </c>
      <c r="G453" s="176" t="str">
        <f aca="false">ExportRaw!$I453</f>
        <v/>
      </c>
      <c r="H453" s="174" t="str">
        <f aca="false">ExportRaw!$A453</f>
        <v/>
      </c>
      <c r="I453" s="174" t="str">
        <f aca="false">ExportRaw!$B453</f>
        <v/>
      </c>
    </row>
    <row r="454" customFormat="false" ht="15.75" hidden="false" customHeight="false" outlineLevel="0" collapsed="false">
      <c r="A454" s="174" t="n">
        <f aca="false">ExportRaw!$F454</f>
        <v>0</v>
      </c>
      <c r="B454" s="174" t="n">
        <f aca="false">ExportRaw!$C454</f>
        <v>0</v>
      </c>
      <c r="C454" s="174" t="n">
        <f aca="false">ExportRaw!$G454</f>
        <v>0</v>
      </c>
      <c r="D454" s="174" t="str">
        <f aca="false">ExportRaw!$E454</f>
        <v/>
      </c>
      <c r="E454" s="175" t="str">
        <f aca="false">ExportRaw!$D454</f>
        <v/>
      </c>
      <c r="F454" s="174" t="str">
        <f aca="false">ExportRaw!$H454</f>
        <v/>
      </c>
      <c r="G454" s="176" t="str">
        <f aca="false">ExportRaw!$I454</f>
        <v/>
      </c>
      <c r="H454" s="174" t="str">
        <f aca="false">ExportRaw!$A454</f>
        <v/>
      </c>
      <c r="I454" s="174" t="str">
        <f aca="false">ExportRaw!$B454</f>
        <v/>
      </c>
    </row>
    <row r="455" customFormat="false" ht="15.75" hidden="false" customHeight="false" outlineLevel="0" collapsed="false">
      <c r="A455" s="174" t="n">
        <f aca="false">ExportRaw!$F455</f>
        <v>0</v>
      </c>
      <c r="B455" s="174" t="n">
        <f aca="false">ExportRaw!$C455</f>
        <v>0</v>
      </c>
      <c r="C455" s="174" t="n">
        <f aca="false">ExportRaw!$G455</f>
        <v>0</v>
      </c>
      <c r="D455" s="174" t="str">
        <f aca="false">ExportRaw!$E455</f>
        <v/>
      </c>
      <c r="E455" s="175" t="str">
        <f aca="false">ExportRaw!$D455</f>
        <v/>
      </c>
      <c r="F455" s="174" t="str">
        <f aca="false">ExportRaw!$H455</f>
        <v/>
      </c>
      <c r="G455" s="176" t="str">
        <f aca="false">ExportRaw!$I455</f>
        <v/>
      </c>
      <c r="H455" s="174" t="str">
        <f aca="false">ExportRaw!$A455</f>
        <v/>
      </c>
      <c r="I455" s="174" t="str">
        <f aca="false">ExportRaw!$B455</f>
        <v/>
      </c>
    </row>
    <row r="456" customFormat="false" ht="15.75" hidden="false" customHeight="false" outlineLevel="0" collapsed="false">
      <c r="A456" s="174" t="n">
        <f aca="false">ExportRaw!$F456</f>
        <v>0</v>
      </c>
      <c r="B456" s="174" t="n">
        <f aca="false">ExportRaw!$C456</f>
        <v>0</v>
      </c>
      <c r="C456" s="174" t="n">
        <f aca="false">ExportRaw!$G456</f>
        <v>0</v>
      </c>
      <c r="D456" s="174" t="str">
        <f aca="false">ExportRaw!$E456</f>
        <v/>
      </c>
      <c r="E456" s="175" t="str">
        <f aca="false">ExportRaw!$D456</f>
        <v/>
      </c>
      <c r="F456" s="174" t="str">
        <f aca="false">ExportRaw!$H456</f>
        <v/>
      </c>
      <c r="G456" s="176" t="str">
        <f aca="false">ExportRaw!$I456</f>
        <v/>
      </c>
      <c r="H456" s="174" t="str">
        <f aca="false">ExportRaw!$A456</f>
        <v/>
      </c>
      <c r="I456" s="174" t="str">
        <f aca="false">ExportRaw!$B456</f>
        <v/>
      </c>
    </row>
    <row r="457" customFormat="false" ht="15.75" hidden="false" customHeight="false" outlineLevel="0" collapsed="false">
      <c r="A457" s="174" t="n">
        <f aca="false">ExportRaw!$F457</f>
        <v>0</v>
      </c>
      <c r="B457" s="174" t="n">
        <f aca="false">ExportRaw!$C457</f>
        <v>0</v>
      </c>
      <c r="C457" s="174" t="n">
        <f aca="false">ExportRaw!$G457</f>
        <v>0</v>
      </c>
      <c r="D457" s="174" t="str">
        <f aca="false">ExportRaw!$E457</f>
        <v/>
      </c>
      <c r="E457" s="175" t="str">
        <f aca="false">ExportRaw!$D457</f>
        <v/>
      </c>
      <c r="F457" s="174" t="str">
        <f aca="false">ExportRaw!$H457</f>
        <v/>
      </c>
      <c r="G457" s="176" t="str">
        <f aca="false">ExportRaw!$I457</f>
        <v/>
      </c>
      <c r="H457" s="174" t="str">
        <f aca="false">ExportRaw!$A457</f>
        <v/>
      </c>
      <c r="I457" s="174" t="str">
        <f aca="false">ExportRaw!$B457</f>
        <v/>
      </c>
    </row>
    <row r="458" customFormat="false" ht="15.75" hidden="false" customHeight="false" outlineLevel="0" collapsed="false">
      <c r="A458" s="174" t="n">
        <f aca="false">ExportRaw!$F458</f>
        <v>0</v>
      </c>
      <c r="B458" s="174" t="n">
        <f aca="false">ExportRaw!$C458</f>
        <v>0</v>
      </c>
      <c r="C458" s="174" t="n">
        <f aca="false">ExportRaw!$G458</f>
        <v>0</v>
      </c>
      <c r="D458" s="174" t="str">
        <f aca="false">ExportRaw!$E458</f>
        <v/>
      </c>
      <c r="E458" s="175" t="str">
        <f aca="false">ExportRaw!$D458</f>
        <v/>
      </c>
      <c r="F458" s="174" t="str">
        <f aca="false">ExportRaw!$H458</f>
        <v/>
      </c>
      <c r="G458" s="176" t="str">
        <f aca="false">ExportRaw!$I458</f>
        <v/>
      </c>
      <c r="H458" s="174" t="str">
        <f aca="false">ExportRaw!$A458</f>
        <v/>
      </c>
      <c r="I458" s="174" t="str">
        <f aca="false">ExportRaw!$B458</f>
        <v/>
      </c>
    </row>
    <row r="459" customFormat="false" ht="15.75" hidden="false" customHeight="false" outlineLevel="0" collapsed="false">
      <c r="A459" s="174" t="n">
        <f aca="false">ExportRaw!$F459</f>
        <v>0</v>
      </c>
      <c r="B459" s="174" t="n">
        <f aca="false">ExportRaw!$C459</f>
        <v>0</v>
      </c>
      <c r="C459" s="174" t="n">
        <f aca="false">ExportRaw!$G459</f>
        <v>0</v>
      </c>
      <c r="D459" s="174" t="str">
        <f aca="false">ExportRaw!$E459</f>
        <v/>
      </c>
      <c r="E459" s="175" t="str">
        <f aca="false">ExportRaw!$D459</f>
        <v/>
      </c>
      <c r="F459" s="174" t="str">
        <f aca="false">ExportRaw!$H459</f>
        <v/>
      </c>
      <c r="G459" s="176" t="str">
        <f aca="false">ExportRaw!$I459</f>
        <v/>
      </c>
      <c r="H459" s="174" t="str">
        <f aca="false">ExportRaw!$A459</f>
        <v/>
      </c>
      <c r="I459" s="174" t="str">
        <f aca="false">ExportRaw!$B459</f>
        <v/>
      </c>
    </row>
    <row r="460" customFormat="false" ht="15.75" hidden="false" customHeight="false" outlineLevel="0" collapsed="false">
      <c r="A460" s="174" t="n">
        <f aca="false">ExportRaw!$F460</f>
        <v>0</v>
      </c>
      <c r="B460" s="174" t="n">
        <f aca="false">ExportRaw!$C460</f>
        <v>0</v>
      </c>
      <c r="C460" s="174" t="n">
        <f aca="false">ExportRaw!$G460</f>
        <v>0</v>
      </c>
      <c r="D460" s="174" t="str">
        <f aca="false">ExportRaw!$E460</f>
        <v/>
      </c>
      <c r="E460" s="175" t="str">
        <f aca="false">ExportRaw!$D460</f>
        <v/>
      </c>
      <c r="F460" s="174" t="str">
        <f aca="false">ExportRaw!$H460</f>
        <v/>
      </c>
      <c r="G460" s="176" t="str">
        <f aca="false">ExportRaw!$I460</f>
        <v/>
      </c>
      <c r="H460" s="174" t="str">
        <f aca="false">ExportRaw!$A460</f>
        <v/>
      </c>
      <c r="I460" s="174" t="str">
        <f aca="false">ExportRaw!$B460</f>
        <v/>
      </c>
    </row>
    <row r="461" customFormat="false" ht="15.75" hidden="false" customHeight="false" outlineLevel="0" collapsed="false">
      <c r="A461" s="174" t="n">
        <f aca="false">ExportRaw!$F461</f>
        <v>0</v>
      </c>
      <c r="B461" s="174" t="n">
        <f aca="false">ExportRaw!$C461</f>
        <v>0</v>
      </c>
      <c r="C461" s="174" t="n">
        <f aca="false">ExportRaw!$G461</f>
        <v>0</v>
      </c>
      <c r="D461" s="174" t="str">
        <f aca="false">ExportRaw!$E461</f>
        <v/>
      </c>
      <c r="E461" s="175" t="str">
        <f aca="false">ExportRaw!$D461</f>
        <v/>
      </c>
      <c r="F461" s="174" t="str">
        <f aca="false">ExportRaw!$H461</f>
        <v/>
      </c>
      <c r="G461" s="176" t="str">
        <f aca="false">ExportRaw!$I461</f>
        <v/>
      </c>
      <c r="H461" s="174" t="str">
        <f aca="false">ExportRaw!$A461</f>
        <v/>
      </c>
      <c r="I461" s="174" t="str">
        <f aca="false">ExportRaw!$B461</f>
        <v/>
      </c>
    </row>
    <row r="462" customFormat="false" ht="15.75" hidden="false" customHeight="false" outlineLevel="0" collapsed="false">
      <c r="A462" s="174" t="n">
        <f aca="false">ExportRaw!$F462</f>
        <v>0</v>
      </c>
      <c r="B462" s="174" t="n">
        <f aca="false">ExportRaw!$C462</f>
        <v>0</v>
      </c>
      <c r="C462" s="174" t="n">
        <f aca="false">ExportRaw!$G462</f>
        <v>0</v>
      </c>
      <c r="D462" s="174" t="str">
        <f aca="false">ExportRaw!$E462</f>
        <v/>
      </c>
      <c r="E462" s="175" t="str">
        <f aca="false">ExportRaw!$D462</f>
        <v/>
      </c>
      <c r="F462" s="174" t="str">
        <f aca="false">ExportRaw!$H462</f>
        <v/>
      </c>
      <c r="G462" s="176" t="str">
        <f aca="false">ExportRaw!$I462</f>
        <v/>
      </c>
      <c r="H462" s="174" t="str">
        <f aca="false">ExportRaw!$A462</f>
        <v/>
      </c>
      <c r="I462" s="174" t="str">
        <f aca="false">ExportRaw!$B462</f>
        <v/>
      </c>
    </row>
    <row r="463" customFormat="false" ht="15.75" hidden="false" customHeight="false" outlineLevel="0" collapsed="false">
      <c r="A463" s="174" t="n">
        <f aca="false">ExportRaw!$F463</f>
        <v>0</v>
      </c>
      <c r="B463" s="174" t="n">
        <f aca="false">ExportRaw!$C463</f>
        <v>0</v>
      </c>
      <c r="C463" s="174" t="n">
        <f aca="false">ExportRaw!$G463</f>
        <v>0</v>
      </c>
      <c r="D463" s="174" t="str">
        <f aca="false">ExportRaw!$E463</f>
        <v/>
      </c>
      <c r="E463" s="175" t="str">
        <f aca="false">ExportRaw!$D463</f>
        <v/>
      </c>
      <c r="F463" s="174" t="str">
        <f aca="false">ExportRaw!$H463</f>
        <v/>
      </c>
      <c r="G463" s="176" t="str">
        <f aca="false">ExportRaw!$I463</f>
        <v/>
      </c>
      <c r="H463" s="174" t="str">
        <f aca="false">ExportRaw!$A463</f>
        <v/>
      </c>
      <c r="I463" s="174" t="str">
        <f aca="false">ExportRaw!$B463</f>
        <v/>
      </c>
    </row>
    <row r="464" customFormat="false" ht="15.75" hidden="false" customHeight="false" outlineLevel="0" collapsed="false">
      <c r="A464" s="174" t="n">
        <f aca="false">ExportRaw!$F464</f>
        <v>0</v>
      </c>
      <c r="B464" s="174" t="n">
        <f aca="false">ExportRaw!$C464</f>
        <v>0</v>
      </c>
      <c r="C464" s="174" t="n">
        <f aca="false">ExportRaw!$G464</f>
        <v>0</v>
      </c>
      <c r="D464" s="174" t="str">
        <f aca="false">ExportRaw!$E464</f>
        <v/>
      </c>
      <c r="E464" s="175" t="str">
        <f aca="false">ExportRaw!$D464</f>
        <v/>
      </c>
      <c r="F464" s="174" t="str">
        <f aca="false">ExportRaw!$H464</f>
        <v/>
      </c>
      <c r="G464" s="176" t="str">
        <f aca="false">ExportRaw!$I464</f>
        <v/>
      </c>
      <c r="H464" s="174" t="str">
        <f aca="false">ExportRaw!$A464</f>
        <v/>
      </c>
      <c r="I464" s="174" t="str">
        <f aca="false">ExportRaw!$B464</f>
        <v/>
      </c>
    </row>
    <row r="465" customFormat="false" ht="15.75" hidden="false" customHeight="false" outlineLevel="0" collapsed="false">
      <c r="A465" s="174" t="n">
        <f aca="false">ExportRaw!$F465</f>
        <v>0</v>
      </c>
      <c r="B465" s="174" t="n">
        <f aca="false">ExportRaw!$C465</f>
        <v>0</v>
      </c>
      <c r="C465" s="174" t="n">
        <f aca="false">ExportRaw!$G465</f>
        <v>0</v>
      </c>
      <c r="D465" s="174" t="str">
        <f aca="false">ExportRaw!$E465</f>
        <v/>
      </c>
      <c r="E465" s="175" t="str">
        <f aca="false">ExportRaw!$D465</f>
        <v/>
      </c>
      <c r="F465" s="174" t="str">
        <f aca="false">ExportRaw!$H465</f>
        <v/>
      </c>
      <c r="G465" s="176" t="str">
        <f aca="false">ExportRaw!$I465</f>
        <v/>
      </c>
      <c r="H465" s="174" t="str">
        <f aca="false">ExportRaw!$A465</f>
        <v/>
      </c>
      <c r="I465" s="174" t="str">
        <f aca="false">ExportRaw!$B465</f>
        <v/>
      </c>
    </row>
    <row r="466" customFormat="false" ht="15.75" hidden="false" customHeight="false" outlineLevel="0" collapsed="false">
      <c r="A466" s="174" t="n">
        <f aca="false">ExportRaw!$F466</f>
        <v>0</v>
      </c>
      <c r="B466" s="174" t="n">
        <f aca="false">ExportRaw!$C466</f>
        <v>0</v>
      </c>
      <c r="C466" s="174" t="n">
        <f aca="false">ExportRaw!$G466</f>
        <v>0</v>
      </c>
      <c r="D466" s="174" t="str">
        <f aca="false">ExportRaw!$E466</f>
        <v/>
      </c>
      <c r="E466" s="175" t="str">
        <f aca="false">ExportRaw!$D466</f>
        <v/>
      </c>
      <c r="F466" s="174" t="str">
        <f aca="false">ExportRaw!$H466</f>
        <v/>
      </c>
      <c r="G466" s="176" t="str">
        <f aca="false">ExportRaw!$I466</f>
        <v/>
      </c>
      <c r="H466" s="174" t="str">
        <f aca="false">ExportRaw!$A466</f>
        <v/>
      </c>
      <c r="I466" s="174" t="str">
        <f aca="false">ExportRaw!$B466</f>
        <v/>
      </c>
    </row>
    <row r="467" customFormat="false" ht="15.75" hidden="false" customHeight="false" outlineLevel="0" collapsed="false">
      <c r="A467" s="174" t="n">
        <f aca="false">ExportRaw!$F467</f>
        <v>0</v>
      </c>
      <c r="B467" s="174" t="n">
        <f aca="false">ExportRaw!$C467</f>
        <v>0</v>
      </c>
      <c r="C467" s="174" t="n">
        <f aca="false">ExportRaw!$G467</f>
        <v>0</v>
      </c>
      <c r="D467" s="174" t="str">
        <f aca="false">ExportRaw!$E467</f>
        <v/>
      </c>
      <c r="E467" s="175" t="str">
        <f aca="false">ExportRaw!$D467</f>
        <v/>
      </c>
      <c r="F467" s="174" t="str">
        <f aca="false">ExportRaw!$H467</f>
        <v/>
      </c>
      <c r="G467" s="176" t="str">
        <f aca="false">ExportRaw!$I467</f>
        <v/>
      </c>
      <c r="H467" s="174" t="str">
        <f aca="false">ExportRaw!$A467</f>
        <v/>
      </c>
      <c r="I467" s="174" t="str">
        <f aca="false">ExportRaw!$B467</f>
        <v/>
      </c>
    </row>
    <row r="468" customFormat="false" ht="15.75" hidden="false" customHeight="false" outlineLevel="0" collapsed="false">
      <c r="A468" s="174" t="n">
        <f aca="false">ExportRaw!$F468</f>
        <v>0</v>
      </c>
      <c r="B468" s="174" t="n">
        <f aca="false">ExportRaw!$C468</f>
        <v>0</v>
      </c>
      <c r="C468" s="174" t="n">
        <f aca="false">ExportRaw!$G468</f>
        <v>0</v>
      </c>
      <c r="D468" s="174" t="str">
        <f aca="false">ExportRaw!$E468</f>
        <v/>
      </c>
      <c r="E468" s="175" t="str">
        <f aca="false">ExportRaw!$D468</f>
        <v/>
      </c>
      <c r="F468" s="174" t="str">
        <f aca="false">ExportRaw!$H468</f>
        <v/>
      </c>
      <c r="G468" s="176" t="str">
        <f aca="false">ExportRaw!$I468</f>
        <v/>
      </c>
      <c r="H468" s="174" t="str">
        <f aca="false">ExportRaw!$A468</f>
        <v/>
      </c>
      <c r="I468" s="174" t="str">
        <f aca="false">ExportRaw!$B468</f>
        <v/>
      </c>
    </row>
    <row r="469" customFormat="false" ht="15.75" hidden="false" customHeight="false" outlineLevel="0" collapsed="false">
      <c r="A469" s="174" t="n">
        <f aca="false">ExportRaw!$F469</f>
        <v>0</v>
      </c>
      <c r="B469" s="174" t="n">
        <f aca="false">ExportRaw!$C469</f>
        <v>0</v>
      </c>
      <c r="C469" s="174" t="n">
        <f aca="false">ExportRaw!$G469</f>
        <v>0</v>
      </c>
      <c r="D469" s="174" t="str">
        <f aca="false">ExportRaw!$E469</f>
        <v/>
      </c>
      <c r="E469" s="175" t="str">
        <f aca="false">ExportRaw!$D469</f>
        <v/>
      </c>
      <c r="F469" s="174" t="str">
        <f aca="false">ExportRaw!$H469</f>
        <v/>
      </c>
      <c r="G469" s="176" t="str">
        <f aca="false">ExportRaw!$I469</f>
        <v/>
      </c>
      <c r="H469" s="174" t="str">
        <f aca="false">ExportRaw!$A469</f>
        <v/>
      </c>
      <c r="I469" s="174" t="str">
        <f aca="false">ExportRaw!$B469</f>
        <v/>
      </c>
    </row>
    <row r="470" customFormat="false" ht="15.75" hidden="false" customHeight="false" outlineLevel="0" collapsed="false">
      <c r="A470" s="174" t="n">
        <f aca="false">ExportRaw!$F470</f>
        <v>0</v>
      </c>
      <c r="B470" s="174" t="n">
        <f aca="false">ExportRaw!$C470</f>
        <v>0</v>
      </c>
      <c r="C470" s="174" t="n">
        <f aca="false">ExportRaw!$G470</f>
        <v>0</v>
      </c>
      <c r="D470" s="174" t="str">
        <f aca="false">ExportRaw!$E470</f>
        <v/>
      </c>
      <c r="E470" s="175" t="str">
        <f aca="false">ExportRaw!$D470</f>
        <v/>
      </c>
      <c r="F470" s="174" t="str">
        <f aca="false">ExportRaw!$H470</f>
        <v/>
      </c>
      <c r="G470" s="176" t="str">
        <f aca="false">ExportRaw!$I470</f>
        <v/>
      </c>
      <c r="H470" s="174" t="str">
        <f aca="false">ExportRaw!$A470</f>
        <v/>
      </c>
      <c r="I470" s="174" t="str">
        <f aca="false">ExportRaw!$B470</f>
        <v/>
      </c>
    </row>
    <row r="471" customFormat="false" ht="15.75" hidden="false" customHeight="false" outlineLevel="0" collapsed="false">
      <c r="A471" s="174" t="n">
        <f aca="false">ExportRaw!$F471</f>
        <v>0</v>
      </c>
      <c r="B471" s="174" t="n">
        <f aca="false">ExportRaw!$C471</f>
        <v>0</v>
      </c>
      <c r="C471" s="174" t="n">
        <f aca="false">ExportRaw!$G471</f>
        <v>0</v>
      </c>
      <c r="D471" s="174" t="str">
        <f aca="false">ExportRaw!$E471</f>
        <v/>
      </c>
      <c r="E471" s="175" t="str">
        <f aca="false">ExportRaw!$D471</f>
        <v/>
      </c>
      <c r="F471" s="174" t="str">
        <f aca="false">ExportRaw!$H471</f>
        <v/>
      </c>
      <c r="G471" s="176" t="str">
        <f aca="false">ExportRaw!$I471</f>
        <v/>
      </c>
      <c r="H471" s="174" t="str">
        <f aca="false">ExportRaw!$A471</f>
        <v/>
      </c>
      <c r="I471" s="174" t="str">
        <f aca="false">ExportRaw!$B471</f>
        <v/>
      </c>
    </row>
    <row r="472" customFormat="false" ht="15.75" hidden="false" customHeight="false" outlineLevel="0" collapsed="false">
      <c r="A472" s="174" t="n">
        <f aca="false">ExportRaw!$F472</f>
        <v>0</v>
      </c>
      <c r="B472" s="174" t="n">
        <f aca="false">ExportRaw!$C472</f>
        <v>0</v>
      </c>
      <c r="C472" s="174" t="n">
        <f aca="false">ExportRaw!$G472</f>
        <v>0</v>
      </c>
      <c r="D472" s="174" t="str">
        <f aca="false">ExportRaw!$E472</f>
        <v/>
      </c>
      <c r="E472" s="175" t="str">
        <f aca="false">ExportRaw!$D472</f>
        <v/>
      </c>
      <c r="F472" s="174" t="str">
        <f aca="false">ExportRaw!$H472</f>
        <v/>
      </c>
      <c r="G472" s="176" t="str">
        <f aca="false">ExportRaw!$I472</f>
        <v/>
      </c>
      <c r="H472" s="174" t="str">
        <f aca="false">ExportRaw!$A472</f>
        <v/>
      </c>
      <c r="I472" s="174" t="str">
        <f aca="false">ExportRaw!$B472</f>
        <v/>
      </c>
    </row>
    <row r="473" customFormat="false" ht="15.75" hidden="false" customHeight="false" outlineLevel="0" collapsed="false">
      <c r="A473" s="174" t="n">
        <f aca="false">ExportRaw!$F473</f>
        <v>0</v>
      </c>
      <c r="B473" s="174" t="n">
        <f aca="false">ExportRaw!$C473</f>
        <v>0</v>
      </c>
      <c r="C473" s="174" t="n">
        <f aca="false">ExportRaw!$G473</f>
        <v>0</v>
      </c>
      <c r="D473" s="174" t="str">
        <f aca="false">ExportRaw!$E473</f>
        <v/>
      </c>
      <c r="E473" s="175" t="str">
        <f aca="false">ExportRaw!$D473</f>
        <v/>
      </c>
      <c r="F473" s="174" t="str">
        <f aca="false">ExportRaw!$H473</f>
        <v/>
      </c>
      <c r="G473" s="176" t="str">
        <f aca="false">ExportRaw!$I473</f>
        <v/>
      </c>
      <c r="H473" s="174" t="str">
        <f aca="false">ExportRaw!$A473</f>
        <v/>
      </c>
      <c r="I473" s="174" t="str">
        <f aca="false">ExportRaw!$B473</f>
        <v/>
      </c>
    </row>
    <row r="474" customFormat="false" ht="15.75" hidden="false" customHeight="false" outlineLevel="0" collapsed="false">
      <c r="A474" s="174" t="n">
        <f aca="false">ExportRaw!$F474</f>
        <v>0</v>
      </c>
      <c r="B474" s="174" t="n">
        <f aca="false">ExportRaw!$C474</f>
        <v>0</v>
      </c>
      <c r="C474" s="174" t="n">
        <f aca="false">ExportRaw!$G474</f>
        <v>0</v>
      </c>
      <c r="D474" s="174" t="str">
        <f aca="false">ExportRaw!$E474</f>
        <v/>
      </c>
      <c r="E474" s="175" t="str">
        <f aca="false">ExportRaw!$D474</f>
        <v/>
      </c>
      <c r="F474" s="174" t="str">
        <f aca="false">ExportRaw!$H474</f>
        <v/>
      </c>
      <c r="G474" s="176" t="str">
        <f aca="false">ExportRaw!$I474</f>
        <v/>
      </c>
      <c r="H474" s="174" t="str">
        <f aca="false">ExportRaw!$A474</f>
        <v/>
      </c>
      <c r="I474" s="174" t="str">
        <f aca="false">ExportRaw!$B474</f>
        <v/>
      </c>
    </row>
    <row r="475" customFormat="false" ht="15.75" hidden="false" customHeight="false" outlineLevel="0" collapsed="false">
      <c r="A475" s="174" t="n">
        <f aca="false">ExportRaw!$F475</f>
        <v>0</v>
      </c>
      <c r="B475" s="174" t="n">
        <f aca="false">ExportRaw!$C475</f>
        <v>0</v>
      </c>
      <c r="C475" s="174" t="n">
        <f aca="false">ExportRaw!$G475</f>
        <v>0</v>
      </c>
      <c r="D475" s="174" t="str">
        <f aca="false">ExportRaw!$E475</f>
        <v/>
      </c>
      <c r="E475" s="175" t="str">
        <f aca="false">ExportRaw!$D475</f>
        <v/>
      </c>
      <c r="F475" s="174" t="str">
        <f aca="false">ExportRaw!$H475</f>
        <v/>
      </c>
      <c r="G475" s="176" t="str">
        <f aca="false">ExportRaw!$I475</f>
        <v/>
      </c>
      <c r="H475" s="174" t="str">
        <f aca="false">ExportRaw!$A475</f>
        <v/>
      </c>
      <c r="I475" s="174" t="str">
        <f aca="false">ExportRaw!$B475</f>
        <v/>
      </c>
    </row>
    <row r="476" customFormat="false" ht="15.75" hidden="false" customHeight="false" outlineLevel="0" collapsed="false">
      <c r="A476" s="174" t="n">
        <f aca="false">ExportRaw!$F476</f>
        <v>0</v>
      </c>
      <c r="B476" s="174" t="n">
        <f aca="false">ExportRaw!$C476</f>
        <v>0</v>
      </c>
      <c r="C476" s="174" t="n">
        <f aca="false">ExportRaw!$G476</f>
        <v>0</v>
      </c>
      <c r="D476" s="174" t="str">
        <f aca="false">ExportRaw!$E476</f>
        <v/>
      </c>
      <c r="E476" s="175" t="str">
        <f aca="false">ExportRaw!$D476</f>
        <v/>
      </c>
      <c r="F476" s="174" t="str">
        <f aca="false">ExportRaw!$H476</f>
        <v/>
      </c>
      <c r="G476" s="176" t="str">
        <f aca="false">ExportRaw!$I476</f>
        <v/>
      </c>
      <c r="H476" s="174" t="str">
        <f aca="false">ExportRaw!$A476</f>
        <v/>
      </c>
      <c r="I476" s="174" t="str">
        <f aca="false">ExportRaw!$B476</f>
        <v/>
      </c>
    </row>
    <row r="477" customFormat="false" ht="15.75" hidden="false" customHeight="false" outlineLevel="0" collapsed="false">
      <c r="A477" s="174" t="n">
        <f aca="false">ExportRaw!$F477</f>
        <v>0</v>
      </c>
      <c r="B477" s="174" t="n">
        <f aca="false">ExportRaw!$C477</f>
        <v>0</v>
      </c>
      <c r="C477" s="174" t="n">
        <f aca="false">ExportRaw!$G477</f>
        <v>0</v>
      </c>
      <c r="D477" s="174" t="str">
        <f aca="false">ExportRaw!$E477</f>
        <v/>
      </c>
      <c r="E477" s="175" t="str">
        <f aca="false">ExportRaw!$D477</f>
        <v/>
      </c>
      <c r="F477" s="174" t="str">
        <f aca="false">ExportRaw!$H477</f>
        <v/>
      </c>
      <c r="G477" s="176" t="str">
        <f aca="false">ExportRaw!$I477</f>
        <v/>
      </c>
      <c r="H477" s="174" t="str">
        <f aca="false">ExportRaw!$A477</f>
        <v/>
      </c>
      <c r="I477" s="174" t="str">
        <f aca="false">ExportRaw!$B477</f>
        <v/>
      </c>
    </row>
    <row r="478" customFormat="false" ht="15.75" hidden="false" customHeight="false" outlineLevel="0" collapsed="false">
      <c r="A478" s="174" t="n">
        <f aca="false">ExportRaw!$F478</f>
        <v>0</v>
      </c>
      <c r="B478" s="174" t="n">
        <f aca="false">ExportRaw!$C478</f>
        <v>0</v>
      </c>
      <c r="C478" s="174" t="n">
        <f aca="false">ExportRaw!$G478</f>
        <v>0</v>
      </c>
      <c r="D478" s="174" t="str">
        <f aca="false">ExportRaw!$E478</f>
        <v/>
      </c>
      <c r="E478" s="175" t="str">
        <f aca="false">ExportRaw!$D478</f>
        <v/>
      </c>
      <c r="F478" s="174" t="str">
        <f aca="false">ExportRaw!$H478</f>
        <v/>
      </c>
      <c r="G478" s="176" t="str">
        <f aca="false">ExportRaw!$I478</f>
        <v/>
      </c>
      <c r="H478" s="174" t="str">
        <f aca="false">ExportRaw!$A478</f>
        <v/>
      </c>
      <c r="I478" s="174" t="str">
        <f aca="false">ExportRaw!$B478</f>
        <v/>
      </c>
    </row>
    <row r="479" customFormat="false" ht="15.75" hidden="false" customHeight="false" outlineLevel="0" collapsed="false">
      <c r="A479" s="174" t="n">
        <f aca="false">ExportRaw!$F479</f>
        <v>0</v>
      </c>
      <c r="B479" s="174" t="n">
        <f aca="false">ExportRaw!$C479</f>
        <v>0</v>
      </c>
      <c r="C479" s="174" t="n">
        <f aca="false">ExportRaw!$G479</f>
        <v>0</v>
      </c>
      <c r="D479" s="174" t="str">
        <f aca="false">ExportRaw!$E479</f>
        <v/>
      </c>
      <c r="E479" s="175" t="str">
        <f aca="false">ExportRaw!$D479</f>
        <v/>
      </c>
      <c r="F479" s="174" t="str">
        <f aca="false">ExportRaw!$H479</f>
        <v/>
      </c>
      <c r="G479" s="176" t="str">
        <f aca="false">ExportRaw!$I479</f>
        <v/>
      </c>
      <c r="H479" s="174" t="str">
        <f aca="false">ExportRaw!$A479</f>
        <v/>
      </c>
      <c r="I479" s="174" t="str">
        <f aca="false">ExportRaw!$B479</f>
        <v/>
      </c>
    </row>
    <row r="480" customFormat="false" ht="15.75" hidden="false" customHeight="false" outlineLevel="0" collapsed="false">
      <c r="A480" s="174" t="n">
        <f aca="false">ExportRaw!$F480</f>
        <v>0</v>
      </c>
      <c r="B480" s="174" t="n">
        <f aca="false">ExportRaw!$C480</f>
        <v>0</v>
      </c>
      <c r="C480" s="174" t="n">
        <f aca="false">ExportRaw!$G480</f>
        <v>0</v>
      </c>
      <c r="D480" s="174" t="str">
        <f aca="false">ExportRaw!$E480</f>
        <v/>
      </c>
      <c r="E480" s="175" t="str">
        <f aca="false">ExportRaw!$D480</f>
        <v/>
      </c>
      <c r="F480" s="174" t="str">
        <f aca="false">ExportRaw!$H480</f>
        <v/>
      </c>
      <c r="G480" s="176" t="str">
        <f aca="false">ExportRaw!$I480</f>
        <v/>
      </c>
      <c r="H480" s="174" t="str">
        <f aca="false">ExportRaw!$A480</f>
        <v/>
      </c>
      <c r="I480" s="174" t="str">
        <f aca="false">ExportRaw!$B480</f>
        <v/>
      </c>
    </row>
    <row r="481" customFormat="false" ht="15.75" hidden="false" customHeight="false" outlineLevel="0" collapsed="false">
      <c r="A481" s="174" t="n">
        <f aca="false">ExportRaw!$F481</f>
        <v>0</v>
      </c>
      <c r="B481" s="174" t="n">
        <f aca="false">ExportRaw!$C481</f>
        <v>0</v>
      </c>
      <c r="C481" s="174" t="n">
        <f aca="false">ExportRaw!$G481</f>
        <v>0</v>
      </c>
      <c r="D481" s="174" t="str">
        <f aca="false">ExportRaw!$E481</f>
        <v/>
      </c>
      <c r="E481" s="175" t="str">
        <f aca="false">ExportRaw!$D481</f>
        <v/>
      </c>
      <c r="F481" s="174" t="str">
        <f aca="false">ExportRaw!$H481</f>
        <v/>
      </c>
      <c r="G481" s="176" t="str">
        <f aca="false">ExportRaw!$I481</f>
        <v/>
      </c>
      <c r="H481" s="174" t="str">
        <f aca="false">ExportRaw!$A481</f>
        <v/>
      </c>
      <c r="I481" s="174" t="str">
        <f aca="false">ExportRaw!$B481</f>
        <v/>
      </c>
    </row>
    <row r="482" customFormat="false" ht="15.75" hidden="false" customHeight="false" outlineLevel="0" collapsed="false">
      <c r="A482" s="174" t="n">
        <f aca="false">ExportRaw!$F482</f>
        <v>0</v>
      </c>
      <c r="B482" s="174" t="n">
        <f aca="false">ExportRaw!$C482</f>
        <v>0</v>
      </c>
      <c r="C482" s="174" t="n">
        <f aca="false">ExportRaw!$G482</f>
        <v>0</v>
      </c>
      <c r="D482" s="174" t="str">
        <f aca="false">ExportRaw!$E482</f>
        <v/>
      </c>
      <c r="E482" s="175" t="str">
        <f aca="false">ExportRaw!$D482</f>
        <v/>
      </c>
      <c r="F482" s="174" t="str">
        <f aca="false">ExportRaw!$H482</f>
        <v/>
      </c>
      <c r="G482" s="176" t="str">
        <f aca="false">ExportRaw!$I482</f>
        <v/>
      </c>
      <c r="H482" s="174" t="str">
        <f aca="false">ExportRaw!$A482</f>
        <v/>
      </c>
      <c r="I482" s="174" t="str">
        <f aca="false">ExportRaw!$B482</f>
        <v/>
      </c>
    </row>
    <row r="483" customFormat="false" ht="15.75" hidden="false" customHeight="false" outlineLevel="0" collapsed="false">
      <c r="A483" s="174" t="n">
        <f aca="false">ExportRaw!$F483</f>
        <v>0</v>
      </c>
      <c r="B483" s="174" t="n">
        <f aca="false">ExportRaw!$C483</f>
        <v>0</v>
      </c>
      <c r="C483" s="174" t="n">
        <f aca="false">ExportRaw!$G483</f>
        <v>0</v>
      </c>
      <c r="D483" s="174" t="str">
        <f aca="false">ExportRaw!$E483</f>
        <v/>
      </c>
      <c r="E483" s="175" t="str">
        <f aca="false">ExportRaw!$D483</f>
        <v/>
      </c>
      <c r="F483" s="174" t="str">
        <f aca="false">ExportRaw!$H483</f>
        <v/>
      </c>
      <c r="G483" s="176" t="str">
        <f aca="false">ExportRaw!$I483</f>
        <v/>
      </c>
      <c r="H483" s="174" t="str">
        <f aca="false">ExportRaw!$A483</f>
        <v/>
      </c>
      <c r="I483" s="174" t="str">
        <f aca="false">ExportRaw!$B483</f>
        <v/>
      </c>
    </row>
    <row r="484" customFormat="false" ht="15.75" hidden="false" customHeight="false" outlineLevel="0" collapsed="false">
      <c r="A484" s="174" t="n">
        <f aca="false">ExportRaw!$F484</f>
        <v>0</v>
      </c>
      <c r="B484" s="174" t="n">
        <f aca="false">ExportRaw!$C484</f>
        <v>0</v>
      </c>
      <c r="C484" s="174" t="n">
        <f aca="false">ExportRaw!$G484</f>
        <v>0</v>
      </c>
      <c r="D484" s="174" t="str">
        <f aca="false">ExportRaw!$E484</f>
        <v/>
      </c>
      <c r="E484" s="175" t="str">
        <f aca="false">ExportRaw!$D484</f>
        <v/>
      </c>
      <c r="F484" s="174" t="str">
        <f aca="false">ExportRaw!$H484</f>
        <v/>
      </c>
      <c r="G484" s="176" t="str">
        <f aca="false">ExportRaw!$I484</f>
        <v/>
      </c>
      <c r="H484" s="174" t="str">
        <f aca="false">ExportRaw!$A484</f>
        <v/>
      </c>
      <c r="I484" s="174" t="str">
        <f aca="false">ExportRaw!$B484</f>
        <v/>
      </c>
    </row>
    <row r="485" customFormat="false" ht="15.75" hidden="false" customHeight="false" outlineLevel="0" collapsed="false">
      <c r="A485" s="174" t="n">
        <f aca="false">ExportRaw!$F485</f>
        <v>0</v>
      </c>
      <c r="B485" s="174" t="n">
        <f aca="false">ExportRaw!$C485</f>
        <v>0</v>
      </c>
      <c r="C485" s="174" t="n">
        <f aca="false">ExportRaw!$G485</f>
        <v>0</v>
      </c>
      <c r="D485" s="174" t="str">
        <f aca="false">ExportRaw!$E485</f>
        <v/>
      </c>
      <c r="E485" s="175" t="str">
        <f aca="false">ExportRaw!$D485</f>
        <v/>
      </c>
      <c r="F485" s="174" t="str">
        <f aca="false">ExportRaw!$H485</f>
        <v/>
      </c>
      <c r="G485" s="176" t="str">
        <f aca="false">ExportRaw!$I485</f>
        <v/>
      </c>
      <c r="H485" s="174" t="str">
        <f aca="false">ExportRaw!$A485</f>
        <v/>
      </c>
      <c r="I485" s="174" t="str">
        <f aca="false">ExportRaw!$B485</f>
        <v/>
      </c>
    </row>
    <row r="486" customFormat="false" ht="15.75" hidden="false" customHeight="false" outlineLevel="0" collapsed="false">
      <c r="A486" s="174" t="n">
        <f aca="false">ExportRaw!$F486</f>
        <v>0</v>
      </c>
      <c r="B486" s="174" t="n">
        <f aca="false">ExportRaw!$C486</f>
        <v>0</v>
      </c>
      <c r="C486" s="174" t="n">
        <f aca="false">ExportRaw!$G486</f>
        <v>0</v>
      </c>
      <c r="D486" s="174" t="str">
        <f aca="false">ExportRaw!$E486</f>
        <v/>
      </c>
      <c r="E486" s="175" t="str">
        <f aca="false">ExportRaw!$D486</f>
        <v/>
      </c>
      <c r="F486" s="174" t="str">
        <f aca="false">ExportRaw!$H486</f>
        <v/>
      </c>
      <c r="G486" s="176" t="str">
        <f aca="false">ExportRaw!$I486</f>
        <v/>
      </c>
      <c r="H486" s="174" t="str">
        <f aca="false">ExportRaw!$A486</f>
        <v/>
      </c>
      <c r="I486" s="174" t="str">
        <f aca="false">ExportRaw!$B486</f>
        <v/>
      </c>
    </row>
    <row r="487" customFormat="false" ht="15.75" hidden="false" customHeight="false" outlineLevel="0" collapsed="false">
      <c r="A487" s="174" t="n">
        <f aca="false">ExportRaw!$F487</f>
        <v>0</v>
      </c>
      <c r="B487" s="174" t="n">
        <f aca="false">ExportRaw!$C487</f>
        <v>0</v>
      </c>
      <c r="C487" s="174" t="n">
        <f aca="false">ExportRaw!$G487</f>
        <v>0</v>
      </c>
      <c r="D487" s="174" t="str">
        <f aca="false">ExportRaw!$E487</f>
        <v/>
      </c>
      <c r="E487" s="175" t="str">
        <f aca="false">ExportRaw!$D487</f>
        <v/>
      </c>
      <c r="F487" s="174" t="str">
        <f aca="false">ExportRaw!$H487</f>
        <v/>
      </c>
      <c r="G487" s="176" t="str">
        <f aca="false">ExportRaw!$I487</f>
        <v/>
      </c>
      <c r="H487" s="174" t="str">
        <f aca="false">ExportRaw!$A487</f>
        <v/>
      </c>
      <c r="I487" s="174" t="str">
        <f aca="false">ExportRaw!$B487</f>
        <v/>
      </c>
    </row>
    <row r="488" customFormat="false" ht="15.75" hidden="false" customHeight="false" outlineLevel="0" collapsed="false">
      <c r="A488" s="174" t="n">
        <f aca="false">ExportRaw!$F488</f>
        <v>0</v>
      </c>
      <c r="B488" s="174" t="n">
        <f aca="false">ExportRaw!$C488</f>
        <v>0</v>
      </c>
      <c r="C488" s="174" t="n">
        <f aca="false">ExportRaw!$G488</f>
        <v>0</v>
      </c>
      <c r="D488" s="174" t="str">
        <f aca="false">ExportRaw!$E488</f>
        <v/>
      </c>
      <c r="E488" s="175" t="str">
        <f aca="false">ExportRaw!$D488</f>
        <v/>
      </c>
      <c r="F488" s="174" t="str">
        <f aca="false">ExportRaw!$H488</f>
        <v/>
      </c>
      <c r="G488" s="176" t="str">
        <f aca="false">ExportRaw!$I488</f>
        <v/>
      </c>
      <c r="H488" s="174" t="str">
        <f aca="false">ExportRaw!$A488</f>
        <v/>
      </c>
      <c r="I488" s="174" t="str">
        <f aca="false">ExportRaw!$B488</f>
        <v/>
      </c>
    </row>
    <row r="489" customFormat="false" ht="15.75" hidden="false" customHeight="false" outlineLevel="0" collapsed="false">
      <c r="A489" s="174" t="n">
        <f aca="false">ExportRaw!$F489</f>
        <v>0</v>
      </c>
      <c r="B489" s="174" t="n">
        <f aca="false">ExportRaw!$C489</f>
        <v>0</v>
      </c>
      <c r="C489" s="174" t="n">
        <f aca="false">ExportRaw!$G489</f>
        <v>0</v>
      </c>
      <c r="D489" s="174" t="str">
        <f aca="false">ExportRaw!$E489</f>
        <v/>
      </c>
      <c r="E489" s="175" t="str">
        <f aca="false">ExportRaw!$D489</f>
        <v/>
      </c>
      <c r="F489" s="174" t="str">
        <f aca="false">ExportRaw!$H489</f>
        <v/>
      </c>
      <c r="G489" s="176" t="str">
        <f aca="false">ExportRaw!$I489</f>
        <v/>
      </c>
      <c r="H489" s="174" t="str">
        <f aca="false">ExportRaw!$A489</f>
        <v/>
      </c>
      <c r="I489" s="174" t="str">
        <f aca="false">ExportRaw!$B489</f>
        <v/>
      </c>
    </row>
    <row r="490" customFormat="false" ht="15.75" hidden="false" customHeight="false" outlineLevel="0" collapsed="false">
      <c r="A490" s="174" t="n">
        <f aca="false">ExportRaw!$F490</f>
        <v>0</v>
      </c>
      <c r="B490" s="174" t="n">
        <f aca="false">ExportRaw!$C490</f>
        <v>0</v>
      </c>
      <c r="C490" s="174" t="n">
        <f aca="false">ExportRaw!$G490</f>
        <v>0</v>
      </c>
      <c r="D490" s="174" t="str">
        <f aca="false">ExportRaw!$E490</f>
        <v/>
      </c>
      <c r="E490" s="175" t="str">
        <f aca="false">ExportRaw!$D490</f>
        <v/>
      </c>
      <c r="F490" s="174" t="str">
        <f aca="false">ExportRaw!$H490</f>
        <v/>
      </c>
      <c r="G490" s="176" t="str">
        <f aca="false">ExportRaw!$I490</f>
        <v/>
      </c>
      <c r="H490" s="174" t="str">
        <f aca="false">ExportRaw!$A490</f>
        <v/>
      </c>
      <c r="I490" s="174" t="str">
        <f aca="false">ExportRaw!$B490</f>
        <v/>
      </c>
    </row>
    <row r="491" customFormat="false" ht="15.75" hidden="false" customHeight="false" outlineLevel="0" collapsed="false">
      <c r="A491" s="174" t="n">
        <f aca="false">ExportRaw!$F491</f>
        <v>0</v>
      </c>
      <c r="B491" s="174" t="n">
        <f aca="false">ExportRaw!$C491</f>
        <v>0</v>
      </c>
      <c r="C491" s="174" t="n">
        <f aca="false">ExportRaw!$G491</f>
        <v>0</v>
      </c>
      <c r="D491" s="174" t="str">
        <f aca="false">ExportRaw!$E491</f>
        <v/>
      </c>
      <c r="E491" s="175" t="str">
        <f aca="false">ExportRaw!$D491</f>
        <v/>
      </c>
      <c r="F491" s="174" t="str">
        <f aca="false">ExportRaw!$H491</f>
        <v/>
      </c>
      <c r="G491" s="176" t="str">
        <f aca="false">ExportRaw!$I491</f>
        <v/>
      </c>
      <c r="H491" s="174" t="str">
        <f aca="false">ExportRaw!$A491</f>
        <v/>
      </c>
      <c r="I491" s="174" t="str">
        <f aca="false">ExportRaw!$B491</f>
        <v/>
      </c>
    </row>
    <row r="492" customFormat="false" ht="15.75" hidden="false" customHeight="false" outlineLevel="0" collapsed="false">
      <c r="A492" s="174" t="n">
        <f aca="false">ExportRaw!$F492</f>
        <v>0</v>
      </c>
      <c r="B492" s="174" t="n">
        <f aca="false">ExportRaw!$C492</f>
        <v>0</v>
      </c>
      <c r="C492" s="174" t="n">
        <f aca="false">ExportRaw!$G492</f>
        <v>0</v>
      </c>
      <c r="D492" s="174" t="str">
        <f aca="false">ExportRaw!$E492</f>
        <v/>
      </c>
      <c r="E492" s="175" t="str">
        <f aca="false">ExportRaw!$D492</f>
        <v/>
      </c>
      <c r="F492" s="174" t="str">
        <f aca="false">ExportRaw!$H492</f>
        <v/>
      </c>
      <c r="G492" s="176" t="str">
        <f aca="false">ExportRaw!$I492</f>
        <v/>
      </c>
      <c r="H492" s="174" t="str">
        <f aca="false">ExportRaw!$A492</f>
        <v/>
      </c>
      <c r="I492" s="174" t="str">
        <f aca="false">ExportRaw!$B492</f>
        <v/>
      </c>
    </row>
    <row r="493" customFormat="false" ht="15.75" hidden="false" customHeight="false" outlineLevel="0" collapsed="false">
      <c r="A493" s="174" t="n">
        <f aca="false">ExportRaw!$F493</f>
        <v>0</v>
      </c>
      <c r="B493" s="174" t="n">
        <f aca="false">ExportRaw!$C493</f>
        <v>0</v>
      </c>
      <c r="C493" s="174" t="n">
        <f aca="false">ExportRaw!$G493</f>
        <v>0</v>
      </c>
      <c r="D493" s="174" t="str">
        <f aca="false">ExportRaw!$E493</f>
        <v/>
      </c>
      <c r="E493" s="175" t="str">
        <f aca="false">ExportRaw!$D493</f>
        <v/>
      </c>
      <c r="F493" s="174" t="str">
        <f aca="false">ExportRaw!$H493</f>
        <v/>
      </c>
      <c r="G493" s="176" t="str">
        <f aca="false">ExportRaw!$I493</f>
        <v/>
      </c>
      <c r="H493" s="174" t="str">
        <f aca="false">ExportRaw!$A493</f>
        <v/>
      </c>
      <c r="I493" s="174" t="str">
        <f aca="false">ExportRaw!$B493</f>
        <v/>
      </c>
    </row>
    <row r="494" customFormat="false" ht="15.75" hidden="false" customHeight="false" outlineLevel="0" collapsed="false">
      <c r="A494" s="174" t="n">
        <f aca="false">ExportRaw!$F494</f>
        <v>0</v>
      </c>
      <c r="B494" s="174" t="n">
        <f aca="false">ExportRaw!$C494</f>
        <v>0</v>
      </c>
      <c r="C494" s="174" t="n">
        <f aca="false">ExportRaw!$G494</f>
        <v>0</v>
      </c>
      <c r="D494" s="174" t="str">
        <f aca="false">ExportRaw!$E494</f>
        <v/>
      </c>
      <c r="E494" s="175" t="str">
        <f aca="false">ExportRaw!$D494</f>
        <v/>
      </c>
      <c r="F494" s="174" t="str">
        <f aca="false">ExportRaw!$H494</f>
        <v/>
      </c>
      <c r="G494" s="176" t="str">
        <f aca="false">ExportRaw!$I494</f>
        <v/>
      </c>
      <c r="H494" s="174" t="str">
        <f aca="false">ExportRaw!$A494</f>
        <v/>
      </c>
      <c r="I494" s="174" t="str">
        <f aca="false">ExportRaw!$B494</f>
        <v/>
      </c>
    </row>
    <row r="495" customFormat="false" ht="15.75" hidden="false" customHeight="false" outlineLevel="0" collapsed="false">
      <c r="A495" s="174" t="n">
        <f aca="false">ExportRaw!$F495</f>
        <v>0</v>
      </c>
      <c r="B495" s="174" t="n">
        <f aca="false">ExportRaw!$C495</f>
        <v>0</v>
      </c>
      <c r="C495" s="174" t="n">
        <f aca="false">ExportRaw!$G495</f>
        <v>0</v>
      </c>
      <c r="D495" s="174" t="str">
        <f aca="false">ExportRaw!$E495</f>
        <v/>
      </c>
      <c r="E495" s="175" t="str">
        <f aca="false">ExportRaw!$D495</f>
        <v/>
      </c>
      <c r="F495" s="174" t="str">
        <f aca="false">ExportRaw!$H495</f>
        <v/>
      </c>
      <c r="G495" s="176" t="str">
        <f aca="false">ExportRaw!$I495</f>
        <v/>
      </c>
      <c r="H495" s="174" t="str">
        <f aca="false">ExportRaw!$A495</f>
        <v/>
      </c>
      <c r="I495" s="174" t="str">
        <f aca="false">ExportRaw!$B495</f>
        <v/>
      </c>
    </row>
    <row r="496" customFormat="false" ht="15.75" hidden="false" customHeight="false" outlineLevel="0" collapsed="false">
      <c r="A496" s="174" t="n">
        <f aca="false">ExportRaw!$F496</f>
        <v>0</v>
      </c>
      <c r="B496" s="174" t="n">
        <f aca="false">ExportRaw!$C496</f>
        <v>0</v>
      </c>
      <c r="C496" s="174" t="n">
        <f aca="false">ExportRaw!$G496</f>
        <v>0</v>
      </c>
      <c r="D496" s="174" t="str">
        <f aca="false">ExportRaw!$E496</f>
        <v/>
      </c>
      <c r="E496" s="175" t="str">
        <f aca="false">ExportRaw!$D496</f>
        <v/>
      </c>
      <c r="F496" s="174" t="str">
        <f aca="false">ExportRaw!$H496</f>
        <v/>
      </c>
      <c r="G496" s="176" t="str">
        <f aca="false">ExportRaw!$I496</f>
        <v/>
      </c>
      <c r="H496" s="174" t="str">
        <f aca="false">ExportRaw!$A496</f>
        <v/>
      </c>
      <c r="I496" s="174" t="str">
        <f aca="false">ExportRaw!$B496</f>
        <v/>
      </c>
    </row>
    <row r="497" customFormat="false" ht="15.75" hidden="false" customHeight="false" outlineLevel="0" collapsed="false">
      <c r="A497" s="174" t="n">
        <f aca="false">ExportRaw!$F497</f>
        <v>0</v>
      </c>
      <c r="B497" s="174" t="n">
        <f aca="false">ExportRaw!$C497</f>
        <v>0</v>
      </c>
      <c r="C497" s="174" t="n">
        <f aca="false">ExportRaw!$G497</f>
        <v>0</v>
      </c>
      <c r="D497" s="174" t="str">
        <f aca="false">ExportRaw!$E497</f>
        <v/>
      </c>
      <c r="E497" s="175" t="str">
        <f aca="false">ExportRaw!$D497</f>
        <v/>
      </c>
      <c r="F497" s="174" t="str">
        <f aca="false">ExportRaw!$H497</f>
        <v/>
      </c>
      <c r="G497" s="176" t="str">
        <f aca="false">ExportRaw!$I497</f>
        <v/>
      </c>
      <c r="H497" s="174" t="str">
        <f aca="false">ExportRaw!$A497</f>
        <v/>
      </c>
      <c r="I497" s="174" t="str">
        <f aca="false">ExportRaw!$B497</f>
        <v/>
      </c>
    </row>
    <row r="498" customFormat="false" ht="15.75" hidden="false" customHeight="false" outlineLevel="0" collapsed="false">
      <c r="A498" s="174" t="n">
        <f aca="false">ExportRaw!$F498</f>
        <v>0</v>
      </c>
      <c r="B498" s="174" t="n">
        <f aca="false">ExportRaw!$C498</f>
        <v>0</v>
      </c>
      <c r="C498" s="174" t="n">
        <f aca="false">ExportRaw!$G498</f>
        <v>0</v>
      </c>
      <c r="D498" s="174" t="str">
        <f aca="false">ExportRaw!$E498</f>
        <v/>
      </c>
      <c r="E498" s="175" t="str">
        <f aca="false">ExportRaw!$D498</f>
        <v/>
      </c>
      <c r="F498" s="174" t="str">
        <f aca="false">ExportRaw!$H498</f>
        <v/>
      </c>
      <c r="G498" s="176" t="str">
        <f aca="false">ExportRaw!$I498</f>
        <v/>
      </c>
      <c r="H498" s="174" t="str">
        <f aca="false">ExportRaw!$A498</f>
        <v/>
      </c>
      <c r="I498" s="174" t="str">
        <f aca="false">ExportRaw!$B498</f>
        <v/>
      </c>
    </row>
    <row r="499" customFormat="false" ht="15.75" hidden="false" customHeight="false" outlineLevel="0" collapsed="false">
      <c r="A499" s="174" t="n">
        <f aca="false">ExportRaw!$F499</f>
        <v>0</v>
      </c>
      <c r="B499" s="174" t="n">
        <f aca="false">ExportRaw!$C499</f>
        <v>0</v>
      </c>
      <c r="C499" s="174" t="n">
        <f aca="false">ExportRaw!$G499</f>
        <v>0</v>
      </c>
      <c r="D499" s="174" t="str">
        <f aca="false">ExportRaw!$E499</f>
        <v/>
      </c>
      <c r="E499" s="175" t="str">
        <f aca="false">ExportRaw!$D499</f>
        <v/>
      </c>
      <c r="F499" s="174" t="str">
        <f aca="false">ExportRaw!$H499</f>
        <v/>
      </c>
      <c r="G499" s="176" t="str">
        <f aca="false">ExportRaw!$I499</f>
        <v/>
      </c>
      <c r="H499" s="174" t="str">
        <f aca="false">ExportRaw!$A499</f>
        <v/>
      </c>
      <c r="I499" s="174" t="str">
        <f aca="false">ExportRaw!$B499</f>
        <v/>
      </c>
    </row>
    <row r="500" customFormat="false" ht="15.75" hidden="false" customHeight="false" outlineLevel="0" collapsed="false">
      <c r="A500" s="174" t="n">
        <f aca="false">ExportRaw!$F500</f>
        <v>0</v>
      </c>
      <c r="B500" s="174" t="n">
        <f aca="false">ExportRaw!$C500</f>
        <v>0</v>
      </c>
      <c r="C500" s="174" t="n">
        <f aca="false">ExportRaw!$G500</f>
        <v>0</v>
      </c>
      <c r="D500" s="174" t="str">
        <f aca="false">ExportRaw!$E500</f>
        <v/>
      </c>
      <c r="E500" s="175" t="str">
        <f aca="false">ExportRaw!$D500</f>
        <v/>
      </c>
      <c r="F500" s="174" t="str">
        <f aca="false">ExportRaw!$H500</f>
        <v/>
      </c>
      <c r="G500" s="176" t="str">
        <f aca="false">ExportRaw!$I500</f>
        <v/>
      </c>
      <c r="H500" s="174" t="str">
        <f aca="false">ExportRaw!$A500</f>
        <v/>
      </c>
      <c r="I500" s="174" t="str">
        <f aca="false">ExportRaw!$B500</f>
        <v/>
      </c>
    </row>
    <row r="501" customFormat="false" ht="15.75" hidden="false" customHeight="false" outlineLevel="0" collapsed="false">
      <c r="A501" s="174" t="n">
        <f aca="false">ExportRaw!$F501</f>
        <v>0</v>
      </c>
      <c r="B501" s="174" t="n">
        <f aca="false">ExportRaw!$C501</f>
        <v>0</v>
      </c>
      <c r="C501" s="174" t="n">
        <f aca="false">ExportRaw!$G501</f>
        <v>0</v>
      </c>
      <c r="D501" s="174" t="str">
        <f aca="false">ExportRaw!$E501</f>
        <v/>
      </c>
      <c r="E501" s="175" t="str">
        <f aca="false">ExportRaw!$D501</f>
        <v/>
      </c>
      <c r="F501" s="174" t="str">
        <f aca="false">ExportRaw!$H501</f>
        <v/>
      </c>
      <c r="G501" s="176" t="str">
        <f aca="false">ExportRaw!$I501</f>
        <v/>
      </c>
      <c r="H501" s="174" t="str">
        <f aca="false">ExportRaw!$A501</f>
        <v/>
      </c>
      <c r="I501" s="174" t="str">
        <f aca="false">ExportRaw!$B501</f>
        <v/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3" min="3" style="1" width="104.88"/>
  </cols>
  <sheetData>
    <row r="1" customFormat="false" ht="15.75" hidden="false" customHeight="false" outlineLevel="0" collapsed="false">
      <c r="A1" s="173" t="s">
        <v>98</v>
      </c>
      <c r="B1" s="173" t="s">
        <v>99</v>
      </c>
      <c r="C1" s="173" t="s">
        <v>100</v>
      </c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</row>
    <row r="2" customFormat="false" ht="15.75" hidden="false" customHeight="false" outlineLevel="0" collapsed="false">
      <c r="A2" s="177" t="n">
        <v>46291</v>
      </c>
      <c r="B2" s="174" t="s">
        <v>101</v>
      </c>
      <c r="C2" s="174" t="s">
        <v>102</v>
      </c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6.89"/>
  </cols>
  <sheetData>
    <row r="1" customFormat="false" ht="15.75" hidden="false" customHeight="false" outlineLevel="0" collapsed="false">
      <c r="A1" s="174" t="str">
        <f aca="false">IFERROR(__xludf.dummyfunction("importrange(""https://docs.google.com/spreadsheets/d/1YGauecgVr6IitrGDDrOCoTXY8ruNxlmFhmS5Oas2JUg/edit?gid=0#gid=0"",""Sheet1!A1:G18"")"),"Helicopter|B/C")</f>
        <v>Helicopter|B/C</v>
      </c>
      <c r="B1" s="178" t="str">
        <f aca="false">IFERROR(__xludf.dummyfunction("""COMPUTED_VALUE"""),"Helicopter")</f>
        <v>Helicopter</v>
      </c>
      <c r="C1" s="174" t="str">
        <f aca="false">IFERROR(__xludf.dummyfunction("""COMPUTED_VALUE"""),"B/C")</f>
        <v>B/C</v>
      </c>
      <c r="D1" s="174" t="str">
        <f aca="false">IFERROR(__xludf.dummyfunction("""COMPUTED_VALUE"""),"0.6.1")</f>
        <v>0.6.1</v>
      </c>
      <c r="E1" s="179" t="n">
        <f aca="false">IFERROR(__xludf.dummyfunction("""COMPUTED_VALUE"""),46077)</f>
        <v>46077</v>
      </c>
      <c r="F1" s="174"/>
      <c r="G1" s="174" t="str">
        <f aca="false">IFERROR(__xludf.dummyfunction("""COMPUTED_VALUE"""),"Ready")</f>
        <v>Ready</v>
      </c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</row>
    <row r="2" customFormat="false" ht="15.75" hidden="false" customHeight="false" outlineLevel="0" collapsed="false">
      <c r="A2" s="174" t="str">
        <f aca="false">IFERROR(__xludf.dummyfunction("""COMPUTED_VALUE"""),"Mission Possible|B")</f>
        <v>Mission Possible|B</v>
      </c>
      <c r="B2" s="174" t="str">
        <f aca="false">IFERROR(__xludf.dummyfunction("""COMPUTED_VALUE"""),"Mission Possible")</f>
        <v>Mission Possible</v>
      </c>
      <c r="C2" s="174" t="str">
        <f aca="false">IFERROR(__xludf.dummyfunction("""COMPUTED_VALUE"""),"B")</f>
        <v>B</v>
      </c>
      <c r="D2" s="174" t="str">
        <f aca="false">IFERROR(__xludf.dummyfunction("""COMPUTED_VALUE"""),"0.5.1")</f>
        <v>0.5.1</v>
      </c>
      <c r="E2" s="179" t="n">
        <f aca="false">IFERROR(__xludf.dummyfunction("""COMPUTED_VALUE"""),46077)</f>
        <v>46077</v>
      </c>
      <c r="F2" s="174"/>
      <c r="G2" s="174" t="str">
        <f aca="false">IFERROR(__xludf.dummyfunction("""COMPUTED_VALUE"""),"Ready")</f>
        <v>Ready</v>
      </c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</row>
    <row r="3" customFormat="false" ht="15.75" hidden="false" customHeight="false" outlineLevel="0" collapsed="false">
      <c r="A3" s="174" t="str">
        <f aca="false">IFERROR(__xludf.dummyfunction("""COMPUTED_VALUE"""),"Scrambler|B")</f>
        <v>Scrambler|B</v>
      </c>
      <c r="B3" s="174" t="str">
        <f aca="false">IFERROR(__xludf.dummyfunction("""COMPUTED_VALUE"""),"Scrambler")</f>
        <v>Scrambler</v>
      </c>
      <c r="C3" s="174" t="str">
        <f aca="false">IFERROR(__xludf.dummyfunction("""COMPUTED_VALUE"""),"B")</f>
        <v>B</v>
      </c>
      <c r="D3" s="174" t="str">
        <f aca="false">IFERROR(__xludf.dummyfunction("""COMPUTED_VALUE"""),"0.4.1")</f>
        <v>0.4.1</v>
      </c>
      <c r="E3" s="179" t="n">
        <f aca="false">IFERROR(__xludf.dummyfunction("""COMPUTED_VALUE"""),46077)</f>
        <v>46077</v>
      </c>
      <c r="F3" s="174"/>
      <c r="G3" s="174" t="str">
        <f aca="false">IFERROR(__xludf.dummyfunction("""COMPUTED_VALUE"""),"Ready")</f>
        <v>Ready</v>
      </c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</row>
    <row r="4" customFormat="false" ht="15.75" hidden="false" customHeight="false" outlineLevel="0" collapsed="false">
      <c r="A4" s="174" t="str">
        <f aca="false">IFERROR(__xludf.dummyfunction("""COMPUTED_VALUE"""),"Bungee Drop|C")</f>
        <v>Bungee Drop|C</v>
      </c>
      <c r="B4" s="174" t="str">
        <f aca="false">IFERROR(__xludf.dummyfunction("""COMPUTED_VALUE"""),"Bungee Drop")</f>
        <v>Bungee Drop</v>
      </c>
      <c r="C4" s="174" t="str">
        <f aca="false">IFERROR(__xludf.dummyfunction("""COMPUTED_VALUE"""),"C")</f>
        <v>C</v>
      </c>
      <c r="D4" s="174" t="str">
        <f aca="false">IFERROR(__xludf.dummyfunction("""COMPUTED_VALUE"""),"0.4.3")</f>
        <v>0.4.3</v>
      </c>
      <c r="E4" s="179" t="n">
        <f aca="false">IFERROR(__xludf.dummyfunction("""COMPUTED_VALUE"""),46077)</f>
        <v>46077</v>
      </c>
      <c r="F4" s="174"/>
      <c r="G4" s="174" t="str">
        <f aca="false">IFERROR(__xludf.dummyfunction("""COMPUTED_VALUE"""),"Ready")</f>
        <v>Ready</v>
      </c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  <c r="AA4" s="174"/>
    </row>
    <row r="5" customFormat="false" ht="15.75" hidden="false" customHeight="false" outlineLevel="0" collapsed="false">
      <c r="A5" s="174" t="str">
        <f aca="false">IFERROR(__xludf.dummyfunction("""COMPUTED_VALUE"""),"Electric Vehicle|C")</f>
        <v>Electric Vehicle|C</v>
      </c>
      <c r="B5" s="174" t="str">
        <f aca="false">IFERROR(__xludf.dummyfunction("""COMPUTED_VALUE"""),"Electric Vehicle")</f>
        <v>Electric Vehicle</v>
      </c>
      <c r="C5" s="174" t="str">
        <f aca="false">IFERROR(__xludf.dummyfunction("""COMPUTED_VALUE"""),"C")</f>
        <v>C</v>
      </c>
      <c r="D5" s="174" t="str">
        <f aca="false">IFERROR(__xludf.dummyfunction("""COMPUTED_VALUE"""),"0.8.0")</f>
        <v>0.8.0</v>
      </c>
      <c r="E5" s="179" t="n">
        <f aca="false">IFERROR(__xludf.dummyfunction("""COMPUTED_VALUE"""),46047)</f>
        <v>46047</v>
      </c>
      <c r="F5" s="174"/>
      <c r="G5" s="174" t="str">
        <f aca="false">IFERROR(__xludf.dummyfunction("""COMPUTED_VALUE"""),"Ready")</f>
        <v>Ready</v>
      </c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4"/>
      <c r="Y5" s="174"/>
      <c r="Z5" s="174"/>
      <c r="AA5" s="174"/>
    </row>
    <row r="6" customFormat="false" ht="15.75" hidden="false" customHeight="false" outlineLevel="0" collapsed="false">
      <c r="A6" s="174" t="str">
        <f aca="false">IFERROR(__xludf.dummyfunction("""COMPUTED_VALUE"""),"Robot Tour|C")</f>
        <v>Robot Tour|C</v>
      </c>
      <c r="B6" s="174" t="str">
        <f aca="false">IFERROR(__xludf.dummyfunction("""COMPUTED_VALUE"""),"Robot Tour")</f>
        <v>Robot Tour</v>
      </c>
      <c r="C6" s="174" t="str">
        <f aca="false">IFERROR(__xludf.dummyfunction("""COMPUTED_VALUE"""),"C")</f>
        <v>C</v>
      </c>
      <c r="D6" s="174" t="str">
        <f aca="false">IFERROR(__xludf.dummyfunction("""COMPUTED_VALUE"""),"0.6.0")</f>
        <v>0.6.0</v>
      </c>
      <c r="E6" s="179" t="n">
        <f aca="false">IFERROR(__xludf.dummyfunction("""COMPUTED_VALUE"""),46077)</f>
        <v>46077</v>
      </c>
      <c r="F6" s="174"/>
      <c r="G6" s="174" t="str">
        <f aca="false">IFERROR(__xludf.dummyfunction("""COMPUTED_VALUE"""),"Ready")</f>
        <v>Ready</v>
      </c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4"/>
    </row>
    <row r="7" customFormat="false" ht="15.75" hidden="false" customHeight="false" outlineLevel="0" collapsed="false">
      <c r="A7" s="174" t="str">
        <f aca="false">IFERROR(__xludf.dummyfunction("""COMPUTED_VALUE"""),"Hovercraft|B/C")</f>
        <v>Hovercraft|B/C</v>
      </c>
      <c r="B7" s="174" t="str">
        <f aca="false">IFERROR(__xludf.dummyfunction("""COMPUTED_VALUE"""),"Hovercraft")</f>
        <v>Hovercraft</v>
      </c>
      <c r="C7" s="174" t="str">
        <f aca="false">IFERROR(__xludf.dummyfunction("""COMPUTED_VALUE"""),"B/C")</f>
        <v>B/C</v>
      </c>
      <c r="D7" s="174" t="str">
        <f aca="false">IFERROR(__xludf.dummyfunction("""COMPUTED_VALUE"""),"0.5.3")</f>
        <v>0.5.3</v>
      </c>
      <c r="E7" s="179" t="n">
        <f aca="false">IFERROR(__xludf.dummyfunction("""COMPUTED_VALUE"""),46055)</f>
        <v>46055</v>
      </c>
      <c r="F7" s="174"/>
      <c r="G7" s="174" t="str">
        <f aca="false">IFERROR(__xludf.dummyfunction("""COMPUTED_VALUE"""),"Ready")</f>
        <v>Ready</v>
      </c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4"/>
    </row>
    <row r="8" customFormat="false" ht="15.75" hidden="false" customHeight="false" outlineLevel="0" collapsed="false">
      <c r="A8" s="174" t="str">
        <f aca="false">IFERROR(__xludf.dummyfunction("""COMPUTED_VALUE"""),"Boomilever|B/C")</f>
        <v>Boomilever|B/C</v>
      </c>
      <c r="B8" s="174" t="str">
        <f aca="false">IFERROR(__xludf.dummyfunction("""COMPUTED_VALUE"""),"Boomilever")</f>
        <v>Boomilever</v>
      </c>
      <c r="C8" s="174" t="str">
        <f aca="false">IFERROR(__xludf.dummyfunction("""COMPUTED_VALUE"""),"B/C")</f>
        <v>B/C</v>
      </c>
      <c r="D8" s="174" t="str">
        <f aca="false">IFERROR(__xludf.dummyfunction("""COMPUTED_VALUE"""),"0.3.0")</f>
        <v>0.3.0</v>
      </c>
      <c r="E8" s="179" t="n">
        <f aca="false">IFERROR(__xludf.dummyfunction("""COMPUTED_VALUE"""),46077)</f>
        <v>46077</v>
      </c>
      <c r="F8" s="174"/>
      <c r="G8" s="174" t="str">
        <f aca="false">IFERROR(__xludf.dummyfunction("""COMPUTED_VALUE"""),"Ready")</f>
        <v>Ready</v>
      </c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  <c r="AA8" s="174"/>
    </row>
    <row r="9" customFormat="false" ht="15.75" hidden="false" customHeight="false" outlineLevel="0" collapsed="false">
      <c r="A9" s="174" t="str">
        <f aca="false">IFERROR(__xludf.dummyfunction("""COMPUTED_VALUE"""),"Machines|B/C")</f>
        <v>Machines|B/C</v>
      </c>
      <c r="B9" s="174" t="str">
        <f aca="false">IFERROR(__xludf.dummyfunction("""COMPUTED_VALUE"""),"Machines")</f>
        <v>Machines</v>
      </c>
      <c r="C9" s="174" t="str">
        <f aca="false">IFERROR(__xludf.dummyfunction("""COMPUTED_VALUE"""),"B/C")</f>
        <v>B/C</v>
      </c>
      <c r="D9" s="174" t="str">
        <f aca="false">IFERROR(__xludf.dummyfunction("""COMPUTED_VALUE"""),"0.4.0")</f>
        <v>0.4.0</v>
      </c>
      <c r="E9" s="179" t="n">
        <f aca="false">IFERROR(__xludf.dummyfunction("""COMPUTED_VALUE"""),45996)</f>
        <v>45996</v>
      </c>
      <c r="F9" s="174"/>
      <c r="G9" s="174" t="str">
        <f aca="false">IFERROR(__xludf.dummyfunction("""COMPUTED_VALUE"""),"Ready")</f>
        <v>Ready</v>
      </c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4"/>
      <c r="V9" s="174"/>
      <c r="W9" s="174"/>
      <c r="X9" s="174"/>
      <c r="Y9" s="174"/>
      <c r="Z9" s="174"/>
      <c r="AA9" s="174"/>
    </row>
    <row r="10" customFormat="false" ht="15.75" hidden="false" customHeight="false" outlineLevel="0" collapsed="false">
      <c r="A10" s="174" t="str">
        <f aca="false">IFERROR(__xludf.dummyfunction("""COMPUTED_VALUE"""),"Engineering CAD|C")</f>
        <v>Engineering CAD|C</v>
      </c>
      <c r="B10" s="174" t="str">
        <f aca="false">IFERROR(__xludf.dummyfunction("""COMPUTED_VALUE"""),"Engineering CAD")</f>
        <v>Engineering CAD</v>
      </c>
      <c r="C10" s="174" t="str">
        <f aca="false">IFERROR(__xludf.dummyfunction("""COMPUTED_VALUE"""),"C")</f>
        <v>C</v>
      </c>
      <c r="D10" s="174" t="str">
        <f aca="false">IFERROR(__xludf.dummyfunction("""COMPUTED_VALUE"""),"1.0.0")</f>
        <v>1.0.0</v>
      </c>
      <c r="E10" s="179" t="n">
        <f aca="false">IFERROR(__xludf.dummyfunction("""COMPUTED_VALUE"""),46095)</f>
        <v>46095</v>
      </c>
      <c r="F10" s="174"/>
      <c r="G10" s="174" t="str">
        <f aca="false">IFERROR(__xludf.dummyfunction("""COMPUTED_VALUE"""),"Ready")</f>
        <v>Ready</v>
      </c>
      <c r="H10" s="174"/>
      <c r="I10" s="174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  <c r="AA10" s="174"/>
    </row>
    <row r="11" customFormat="false" ht="15.75" hidden="false" customHeight="false" outlineLevel="0" collapsed="false">
      <c r="A11" s="174"/>
      <c r="B11" s="174"/>
      <c r="C11" s="174"/>
      <c r="D11" s="174"/>
      <c r="E11" s="179"/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4"/>
      <c r="R11" s="174"/>
      <c r="S11" s="174"/>
      <c r="T11" s="174"/>
      <c r="U11" s="174"/>
      <c r="V11" s="174"/>
      <c r="W11" s="174"/>
      <c r="X11" s="174"/>
      <c r="Y11" s="174"/>
      <c r="Z11" s="174"/>
      <c r="AA11" s="174"/>
    </row>
    <row r="12" customFormat="false" ht="15.75" hidden="false" customHeight="false" outlineLevel="0" collapsed="false">
      <c r="A12" s="174"/>
      <c r="B12" s="174"/>
      <c r="C12" s="174"/>
      <c r="D12" s="174"/>
      <c r="E12" s="179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4"/>
      <c r="Q12" s="174"/>
      <c r="R12" s="174"/>
      <c r="S12" s="174"/>
      <c r="T12" s="174"/>
      <c r="U12" s="174"/>
      <c r="V12" s="174"/>
      <c r="W12" s="174"/>
      <c r="X12" s="174"/>
      <c r="Y12" s="174"/>
      <c r="Z12" s="174"/>
      <c r="AA12" s="174"/>
    </row>
    <row r="13" customFormat="false" ht="15.75" hidden="false" customHeight="false" outlineLevel="0" collapsed="false">
      <c r="A13" s="174"/>
      <c r="B13" s="174"/>
      <c r="C13" s="174"/>
      <c r="D13" s="174"/>
      <c r="E13" s="179"/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74"/>
      <c r="Q13" s="174"/>
      <c r="R13" s="174"/>
      <c r="S13" s="174"/>
      <c r="T13" s="174"/>
      <c r="U13" s="174"/>
      <c r="V13" s="174"/>
      <c r="W13" s="174"/>
      <c r="X13" s="174"/>
      <c r="Y13" s="174"/>
      <c r="Z13" s="174"/>
      <c r="AA13" s="174"/>
    </row>
    <row r="14" customFormat="false" ht="15.75" hidden="false" customHeight="false" outlineLevel="0" collapsed="false">
      <c r="A14" s="174"/>
      <c r="B14" s="174"/>
      <c r="C14" s="174"/>
      <c r="D14" s="174"/>
      <c r="E14" s="179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</row>
    <row r="15" customFormat="false" ht="15.75" hidden="false" customHeight="false" outlineLevel="0" collapsed="false">
      <c r="A15" s="174"/>
      <c r="B15" s="174"/>
      <c r="C15" s="174"/>
      <c r="D15" s="174"/>
      <c r="E15" s="179"/>
      <c r="F15" s="174"/>
      <c r="G15" s="174"/>
      <c r="H15" s="174"/>
      <c r="I15" s="174"/>
      <c r="J15" s="174"/>
      <c r="K15" s="174"/>
      <c r="L15" s="174"/>
      <c r="M15" s="174"/>
      <c r="N15" s="174"/>
      <c r="O15" s="174"/>
      <c r="P15" s="174"/>
      <c r="Q15" s="174"/>
      <c r="R15" s="174"/>
      <c r="S15" s="174"/>
      <c r="T15" s="174"/>
      <c r="U15" s="174"/>
      <c r="V15" s="174"/>
      <c r="W15" s="174"/>
      <c r="X15" s="174"/>
      <c r="Y15" s="174"/>
      <c r="Z15" s="174"/>
      <c r="AA15" s="174"/>
    </row>
    <row r="16" customFormat="false" ht="15.75" hidden="false" customHeight="false" outlineLevel="0" collapsed="false">
      <c r="A16" s="174"/>
      <c r="B16" s="174"/>
      <c r="C16" s="174"/>
      <c r="D16" s="174"/>
      <c r="E16" s="179"/>
      <c r="F16" s="174"/>
      <c r="G16" s="174"/>
      <c r="H16" s="174"/>
      <c r="I16" s="174"/>
      <c r="J16" s="174"/>
      <c r="K16" s="174"/>
      <c r="L16" s="174"/>
      <c r="M16" s="174"/>
      <c r="N16" s="174"/>
      <c r="O16" s="174"/>
      <c r="P16" s="174"/>
      <c r="Q16" s="174"/>
      <c r="R16" s="174"/>
      <c r="S16" s="174"/>
      <c r="T16" s="174"/>
      <c r="U16" s="174"/>
      <c r="V16" s="174"/>
      <c r="W16" s="174"/>
      <c r="X16" s="174"/>
      <c r="Y16" s="174"/>
      <c r="Z16" s="174"/>
      <c r="AA16" s="174"/>
    </row>
    <row r="17" customFormat="false" ht="15.75" hidden="false" customHeight="false" outlineLevel="0" collapsed="false">
      <c r="A17" s="174"/>
      <c r="B17" s="174"/>
      <c r="C17" s="174"/>
      <c r="D17" s="174"/>
      <c r="E17" s="179"/>
      <c r="F17" s="174"/>
      <c r="G17" s="174"/>
      <c r="H17" s="174"/>
      <c r="I17" s="174"/>
      <c r="J17" s="174"/>
      <c r="K17" s="174"/>
      <c r="L17" s="174"/>
      <c r="M17" s="174"/>
      <c r="N17" s="174"/>
      <c r="O17" s="174"/>
      <c r="P17" s="174"/>
      <c r="Q17" s="174"/>
      <c r="R17" s="174"/>
      <c r="S17" s="174"/>
      <c r="T17" s="174"/>
      <c r="U17" s="174"/>
      <c r="V17" s="174"/>
      <c r="W17" s="174"/>
      <c r="X17" s="174"/>
      <c r="Y17" s="174"/>
      <c r="Z17" s="174"/>
      <c r="AA17" s="174"/>
    </row>
    <row r="18" customFormat="false" ht="15.75" hidden="false" customHeight="false" outlineLevel="0" collapsed="false">
      <c r="A18" s="174"/>
      <c r="B18" s="174"/>
      <c r="C18" s="174"/>
      <c r="D18" s="174"/>
      <c r="E18" s="179"/>
      <c r="F18" s="174"/>
      <c r="G18" s="174"/>
      <c r="H18" s="174"/>
      <c r="I18" s="174"/>
      <c r="J18" s="174"/>
      <c r="K18" s="174"/>
      <c r="L18" s="174"/>
      <c r="M18" s="174"/>
      <c r="N18" s="174"/>
      <c r="O18" s="174"/>
      <c r="P18" s="174"/>
      <c r="Q18" s="174"/>
      <c r="R18" s="174"/>
      <c r="S18" s="174"/>
      <c r="T18" s="174"/>
      <c r="U18" s="174"/>
      <c r="V18" s="174"/>
      <c r="W18" s="174"/>
      <c r="X18" s="174"/>
      <c r="Y18" s="174"/>
      <c r="Z18" s="174"/>
      <c r="AA18" s="174"/>
    </row>
    <row r="19" customFormat="false" ht="15.75" hidden="false" customHeight="false" outlineLevel="0" collapsed="false">
      <c r="A19" s="174"/>
      <c r="B19" s="174"/>
      <c r="C19" s="174"/>
      <c r="D19" s="174"/>
      <c r="E19" s="179"/>
      <c r="F19" s="174"/>
      <c r="G19" s="174"/>
      <c r="H19" s="174"/>
      <c r="I19" s="174"/>
      <c r="J19" s="174"/>
      <c r="K19" s="174"/>
      <c r="L19" s="174"/>
      <c r="M19" s="174"/>
      <c r="N19" s="174"/>
      <c r="O19" s="174"/>
      <c r="P19" s="174"/>
      <c r="Q19" s="174"/>
      <c r="R19" s="174"/>
      <c r="S19" s="174"/>
      <c r="T19" s="174"/>
      <c r="U19" s="174"/>
      <c r="V19" s="174"/>
      <c r="W19" s="174"/>
      <c r="X19" s="174"/>
      <c r="Y19" s="174"/>
      <c r="Z19" s="174"/>
      <c r="AA19" s="174"/>
    </row>
    <row r="20" customFormat="false" ht="15.75" hidden="false" customHeight="false" outlineLevel="0" collapsed="false">
      <c r="A20" s="174"/>
      <c r="B20" s="174"/>
      <c r="C20" s="174"/>
      <c r="D20" s="174"/>
      <c r="E20" s="179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</row>
    <row r="21" customFormat="false" ht="15.75" hidden="false" customHeight="false" outlineLevel="0" collapsed="false">
      <c r="A21" s="174" t="str">
        <f aca="false">IF(ISBLANK(B21),"",B21&amp;"|"&amp;C21)</f>
        <v/>
      </c>
      <c r="B21" s="174"/>
      <c r="C21" s="174"/>
      <c r="D21" s="174"/>
      <c r="E21" s="179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74"/>
      <c r="Q21" s="174"/>
      <c r="R21" s="174"/>
      <c r="S21" s="174"/>
      <c r="T21" s="174"/>
      <c r="U21" s="174"/>
      <c r="V21" s="174"/>
      <c r="W21" s="174"/>
      <c r="X21" s="174"/>
      <c r="Y21" s="174"/>
      <c r="Z21" s="174"/>
      <c r="AA21" s="174"/>
    </row>
    <row r="22" customFormat="false" ht="15.75" hidden="false" customHeight="false" outlineLevel="0" collapsed="false">
      <c r="A22" s="174" t="str">
        <f aca="false">IF(ISBLANK(B22),"",B22&amp;"|"&amp;C22)</f>
        <v/>
      </c>
      <c r="B22" s="174"/>
      <c r="C22" s="174"/>
      <c r="D22" s="174"/>
      <c r="E22" s="179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74"/>
      <c r="U22" s="174"/>
      <c r="V22" s="174"/>
      <c r="W22" s="174"/>
      <c r="X22" s="174"/>
      <c r="Y22" s="174"/>
      <c r="Z22" s="174"/>
      <c r="AA22" s="174"/>
    </row>
    <row r="23" customFormat="false" ht="15.75" hidden="false" customHeight="false" outlineLevel="0" collapsed="false">
      <c r="A23" s="174" t="str">
        <f aca="false">IF(ISBLANK(B23),"",B23&amp;"|"&amp;C23)</f>
        <v/>
      </c>
      <c r="B23" s="174"/>
      <c r="C23" s="174"/>
      <c r="D23" s="174"/>
      <c r="E23" s="179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</row>
    <row r="24" customFormat="false" ht="15.75" hidden="false" customHeight="false" outlineLevel="0" collapsed="false">
      <c r="A24" s="174" t="str">
        <f aca="false">IF(ISBLANK(B24),"",B24&amp;"|"&amp;C24)</f>
        <v/>
      </c>
      <c r="B24" s="174"/>
      <c r="C24" s="174"/>
      <c r="D24" s="174"/>
      <c r="E24" s="179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  <c r="R24" s="174"/>
      <c r="S24" s="174"/>
      <c r="T24" s="174"/>
      <c r="U24" s="174"/>
      <c r="V24" s="174"/>
      <c r="W24" s="174"/>
      <c r="X24" s="174"/>
      <c r="Y24" s="174"/>
      <c r="Z24" s="174"/>
      <c r="AA24" s="174"/>
    </row>
    <row r="25" customFormat="false" ht="15.75" hidden="false" customHeight="false" outlineLevel="0" collapsed="false">
      <c r="A25" s="174" t="str">
        <f aca="false">IF(ISBLANK(B25),"",B25&amp;"|"&amp;C25)</f>
        <v/>
      </c>
      <c r="B25" s="174"/>
      <c r="C25" s="174"/>
      <c r="D25" s="174"/>
      <c r="E25" s="179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4"/>
      <c r="U25" s="174"/>
      <c r="V25" s="174"/>
      <c r="W25" s="174"/>
      <c r="X25" s="174"/>
      <c r="Y25" s="174"/>
      <c r="Z25" s="174"/>
      <c r="AA25" s="174"/>
    </row>
    <row r="26" customFormat="false" ht="15.75" hidden="false" customHeight="false" outlineLevel="0" collapsed="false">
      <c r="A26" s="174" t="str">
        <f aca="false">IF(ISBLANK(B26),"",B26&amp;"|"&amp;C26)</f>
        <v/>
      </c>
      <c r="B26" s="174"/>
      <c r="C26" s="174"/>
      <c r="D26" s="174"/>
      <c r="E26" s="179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  <c r="AA26" s="174"/>
    </row>
    <row r="27" customFormat="false" ht="15.75" hidden="false" customHeight="false" outlineLevel="0" collapsed="false">
      <c r="A27" s="174" t="str">
        <f aca="false">IF(ISBLANK(B27),"",B27&amp;"|"&amp;C27)</f>
        <v/>
      </c>
      <c r="B27" s="174"/>
      <c r="C27" s="174"/>
      <c r="D27" s="174"/>
      <c r="E27" s="179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74"/>
      <c r="Q27" s="174"/>
      <c r="R27" s="174"/>
      <c r="S27" s="174"/>
      <c r="T27" s="174"/>
      <c r="U27" s="174"/>
      <c r="V27" s="174"/>
      <c r="W27" s="174"/>
      <c r="X27" s="174"/>
      <c r="Y27" s="174"/>
      <c r="Z27" s="174"/>
      <c r="AA27" s="174"/>
    </row>
    <row r="28" customFormat="false" ht="15.75" hidden="false" customHeight="false" outlineLevel="0" collapsed="false">
      <c r="A28" s="174" t="str">
        <f aca="false">IF(ISBLANK(B28),"",B28&amp;"|"&amp;C28)</f>
        <v/>
      </c>
      <c r="B28" s="174"/>
      <c r="C28" s="174"/>
      <c r="D28" s="174"/>
      <c r="E28" s="179"/>
      <c r="F28" s="174"/>
      <c r="G28" s="174"/>
      <c r="H28" s="174"/>
      <c r="I28" s="174"/>
      <c r="J28" s="174"/>
      <c r="K28" s="174"/>
      <c r="L28" s="174"/>
      <c r="M28" s="174"/>
      <c r="N28" s="174"/>
      <c r="O28" s="174"/>
      <c r="P28" s="174"/>
      <c r="Q28" s="174"/>
      <c r="R28" s="174"/>
      <c r="S28" s="174"/>
      <c r="T28" s="174"/>
      <c r="U28" s="174"/>
      <c r="V28" s="174"/>
      <c r="W28" s="174"/>
      <c r="X28" s="174"/>
      <c r="Y28" s="174"/>
      <c r="Z28" s="174"/>
      <c r="AA28" s="174"/>
    </row>
    <row r="29" customFormat="false" ht="15.75" hidden="false" customHeight="false" outlineLevel="0" collapsed="false">
      <c r="A29" s="174" t="str">
        <f aca="false">IF(ISBLANK(B29),"",B29&amp;"|"&amp;C29)</f>
        <v/>
      </c>
      <c r="B29" s="174"/>
      <c r="C29" s="174"/>
      <c r="D29" s="174"/>
      <c r="E29" s="179"/>
      <c r="F29" s="174"/>
      <c r="G29" s="174"/>
      <c r="H29" s="174"/>
      <c r="I29" s="174"/>
      <c r="J29" s="174"/>
      <c r="K29" s="174"/>
      <c r="L29" s="174"/>
      <c r="M29" s="174"/>
      <c r="N29" s="174"/>
      <c r="O29" s="174"/>
      <c r="P29" s="174"/>
      <c r="Q29" s="174"/>
      <c r="R29" s="174"/>
      <c r="S29" s="174"/>
      <c r="T29" s="174"/>
      <c r="U29" s="174"/>
      <c r="V29" s="174"/>
      <c r="W29" s="174"/>
      <c r="X29" s="174"/>
      <c r="Y29" s="174"/>
      <c r="Z29" s="174"/>
      <c r="AA29" s="174"/>
    </row>
    <row r="30" customFormat="false" ht="15.75" hidden="false" customHeight="false" outlineLevel="0" collapsed="false">
      <c r="A30" s="174" t="str">
        <f aca="false">IF(ISBLANK(B30),"",B30&amp;"|"&amp;C30)</f>
        <v/>
      </c>
      <c r="B30" s="174"/>
      <c r="C30" s="174"/>
      <c r="D30" s="174"/>
      <c r="E30" s="179"/>
      <c r="F30" s="174"/>
      <c r="G30" s="174"/>
      <c r="H30" s="174"/>
      <c r="I30" s="174"/>
      <c r="J30" s="174"/>
      <c r="K30" s="174"/>
      <c r="L30" s="174"/>
      <c r="M30" s="174"/>
      <c r="N30" s="174"/>
      <c r="O30" s="174"/>
      <c r="P30" s="174"/>
      <c r="Q30" s="174"/>
      <c r="R30" s="174"/>
      <c r="S30" s="174"/>
      <c r="T30" s="174"/>
      <c r="U30" s="174"/>
      <c r="V30" s="174"/>
      <c r="W30" s="174"/>
      <c r="X30" s="174"/>
      <c r="Y30" s="174"/>
      <c r="Z30" s="174"/>
      <c r="AA30" s="174"/>
    </row>
    <row r="31" customFormat="false" ht="15.75" hidden="false" customHeight="false" outlineLevel="0" collapsed="false">
      <c r="A31" s="174" t="str">
        <f aca="false">IF(ISBLANK(B31),"",B31&amp;"|"&amp;C31)</f>
        <v/>
      </c>
      <c r="B31" s="174"/>
      <c r="C31" s="174"/>
      <c r="D31" s="174"/>
      <c r="E31" s="179"/>
      <c r="F31" s="174"/>
      <c r="G31" s="174"/>
      <c r="H31" s="174"/>
      <c r="I31" s="174"/>
      <c r="J31" s="174"/>
      <c r="K31" s="174"/>
      <c r="L31" s="174"/>
      <c r="M31" s="174"/>
      <c r="N31" s="174"/>
      <c r="O31" s="174"/>
      <c r="P31" s="174"/>
      <c r="Q31" s="174"/>
      <c r="R31" s="174"/>
      <c r="S31" s="174"/>
      <c r="T31" s="174"/>
      <c r="U31" s="174"/>
      <c r="V31" s="174"/>
      <c r="W31" s="174"/>
      <c r="X31" s="174"/>
      <c r="Y31" s="174"/>
      <c r="Z31" s="174"/>
      <c r="AA31" s="174"/>
    </row>
    <row r="32" customFormat="false" ht="15.75" hidden="false" customHeight="false" outlineLevel="0" collapsed="false">
      <c r="A32" s="174" t="str">
        <f aca="false">IF(ISBLANK(B32),"",B32&amp;"|"&amp;C32)</f>
        <v/>
      </c>
      <c r="B32" s="174"/>
      <c r="C32" s="174"/>
      <c r="D32" s="174"/>
      <c r="E32" s="179"/>
      <c r="F32" s="174"/>
      <c r="G32" s="174"/>
      <c r="H32" s="174"/>
      <c r="I32" s="174"/>
      <c r="J32" s="174"/>
      <c r="K32" s="174"/>
      <c r="L32" s="174"/>
      <c r="M32" s="174"/>
      <c r="N32" s="174"/>
      <c r="O32" s="174"/>
      <c r="P32" s="174"/>
      <c r="Q32" s="174"/>
      <c r="R32" s="174"/>
      <c r="S32" s="174"/>
      <c r="T32" s="174"/>
      <c r="U32" s="174"/>
      <c r="V32" s="174"/>
      <c r="W32" s="174"/>
      <c r="X32" s="174"/>
      <c r="Y32" s="174"/>
      <c r="Z32" s="174"/>
      <c r="AA32" s="174"/>
    </row>
    <row r="33" customFormat="false" ht="15.75" hidden="false" customHeight="false" outlineLevel="0" collapsed="false">
      <c r="A33" s="174" t="str">
        <f aca="false">IF(ISBLANK(B33),"",B33&amp;"|"&amp;C33)</f>
        <v/>
      </c>
      <c r="B33" s="174"/>
      <c r="C33" s="174"/>
      <c r="D33" s="174"/>
      <c r="E33" s="179"/>
      <c r="F33" s="174"/>
      <c r="G33" s="174"/>
      <c r="H33" s="174"/>
      <c r="I33" s="174"/>
      <c r="J33" s="174"/>
      <c r="K33" s="174"/>
      <c r="L33" s="174"/>
      <c r="M33" s="174"/>
      <c r="N33" s="174"/>
      <c r="O33" s="174"/>
      <c r="P33" s="174"/>
      <c r="Q33" s="174"/>
      <c r="R33" s="174"/>
      <c r="S33" s="174"/>
      <c r="T33" s="174"/>
      <c r="U33" s="174"/>
      <c r="V33" s="174"/>
      <c r="W33" s="174"/>
      <c r="X33" s="174"/>
      <c r="Y33" s="174"/>
      <c r="Z33" s="174"/>
      <c r="AA33" s="174"/>
    </row>
    <row r="34" customFormat="false" ht="15.75" hidden="false" customHeight="false" outlineLevel="0" collapsed="false">
      <c r="A34" s="174" t="str">
        <f aca="false">IF(ISBLANK(B34),"",B34&amp;"|"&amp;C34)</f>
        <v/>
      </c>
      <c r="B34" s="174"/>
      <c r="C34" s="174"/>
      <c r="D34" s="174"/>
      <c r="E34" s="179"/>
      <c r="F34" s="174"/>
      <c r="G34" s="174"/>
      <c r="H34" s="174"/>
      <c r="I34" s="174"/>
      <c r="J34" s="174"/>
      <c r="K34" s="174"/>
      <c r="L34" s="174"/>
      <c r="M34" s="174"/>
      <c r="N34" s="174"/>
      <c r="O34" s="174"/>
      <c r="P34" s="174"/>
      <c r="Q34" s="174"/>
      <c r="R34" s="174"/>
      <c r="S34" s="174"/>
      <c r="T34" s="174"/>
      <c r="U34" s="174"/>
      <c r="V34" s="174"/>
      <c r="W34" s="174"/>
      <c r="X34" s="174"/>
      <c r="Y34" s="174"/>
      <c r="Z34" s="174"/>
      <c r="AA34" s="174"/>
    </row>
    <row r="35" customFormat="false" ht="15.75" hidden="false" customHeight="false" outlineLevel="0" collapsed="false">
      <c r="A35" s="174" t="str">
        <f aca="false">IF(ISBLANK(B35),"",B35&amp;"|"&amp;C35)</f>
        <v/>
      </c>
      <c r="B35" s="174"/>
      <c r="C35" s="174"/>
      <c r="D35" s="174"/>
      <c r="E35" s="179"/>
      <c r="F35" s="174"/>
      <c r="G35" s="174"/>
      <c r="H35" s="174"/>
      <c r="I35" s="174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</row>
    <row r="36" customFormat="false" ht="15.75" hidden="false" customHeight="false" outlineLevel="0" collapsed="false">
      <c r="A36" s="174" t="str">
        <f aca="false">IF(ISBLANK(B36),"",B36&amp;"|"&amp;C36)</f>
        <v/>
      </c>
      <c r="B36" s="174"/>
      <c r="C36" s="174"/>
      <c r="D36" s="174"/>
      <c r="E36" s="179"/>
      <c r="F36" s="174"/>
      <c r="G36" s="174"/>
      <c r="H36" s="174"/>
      <c r="I36" s="174"/>
      <c r="J36" s="174"/>
      <c r="K36" s="174"/>
      <c r="L36" s="174"/>
      <c r="M36" s="174"/>
      <c r="N36" s="174"/>
      <c r="O36" s="174"/>
      <c r="P36" s="174"/>
      <c r="Q36" s="174"/>
      <c r="R36" s="174"/>
      <c r="S36" s="174"/>
      <c r="T36" s="174"/>
      <c r="U36" s="174"/>
      <c r="V36" s="174"/>
      <c r="W36" s="174"/>
      <c r="X36" s="174"/>
      <c r="Y36" s="174"/>
      <c r="Z36" s="174"/>
      <c r="AA36" s="174"/>
    </row>
    <row r="37" customFormat="false" ht="15.75" hidden="false" customHeight="false" outlineLevel="0" collapsed="false">
      <c r="A37" s="174" t="str">
        <f aca="false">IF(ISBLANK(B37),"",B37&amp;"|"&amp;C37)</f>
        <v/>
      </c>
      <c r="B37" s="174"/>
      <c r="C37" s="174"/>
      <c r="D37" s="174"/>
      <c r="E37" s="179"/>
      <c r="F37" s="174"/>
      <c r="G37" s="174"/>
      <c r="H37" s="174"/>
      <c r="I37" s="174"/>
      <c r="J37" s="174"/>
      <c r="K37" s="174"/>
      <c r="L37" s="174"/>
      <c r="M37" s="174"/>
      <c r="N37" s="174"/>
      <c r="O37" s="174"/>
      <c r="P37" s="174"/>
      <c r="Q37" s="174"/>
      <c r="R37" s="174"/>
      <c r="S37" s="174"/>
      <c r="T37" s="174"/>
      <c r="U37" s="174"/>
      <c r="V37" s="174"/>
      <c r="W37" s="174"/>
      <c r="X37" s="174"/>
      <c r="Y37" s="174"/>
      <c r="Z37" s="174"/>
      <c r="AA37" s="174"/>
    </row>
    <row r="38" customFormat="false" ht="15.75" hidden="false" customHeight="false" outlineLevel="0" collapsed="false">
      <c r="A38" s="174" t="str">
        <f aca="false">IF(ISBLANK(B38),"",B38&amp;"|"&amp;C38)</f>
        <v/>
      </c>
      <c r="B38" s="174"/>
      <c r="C38" s="174"/>
      <c r="D38" s="174"/>
      <c r="E38" s="179"/>
      <c r="F38" s="174"/>
      <c r="G38" s="174"/>
      <c r="H38" s="174"/>
      <c r="I38" s="174"/>
      <c r="J38" s="174"/>
      <c r="K38" s="174"/>
      <c r="L38" s="174"/>
      <c r="M38" s="174"/>
      <c r="N38" s="174"/>
      <c r="O38" s="174"/>
      <c r="P38" s="174"/>
      <c r="Q38" s="174"/>
      <c r="R38" s="174"/>
      <c r="S38" s="174"/>
      <c r="T38" s="174"/>
      <c r="U38" s="174"/>
      <c r="V38" s="174"/>
      <c r="W38" s="174"/>
      <c r="X38" s="174"/>
      <c r="Y38" s="174"/>
      <c r="Z38" s="174"/>
      <c r="AA38" s="174"/>
    </row>
    <row r="39" customFormat="false" ht="15.75" hidden="false" customHeight="false" outlineLevel="0" collapsed="false">
      <c r="A39" s="174" t="str">
        <f aca="false">IF(ISBLANK(B39),"",B39&amp;"|"&amp;C39)</f>
        <v/>
      </c>
      <c r="B39" s="174"/>
      <c r="C39" s="174"/>
      <c r="D39" s="174"/>
      <c r="E39" s="179"/>
      <c r="F39" s="174"/>
      <c r="G39" s="174"/>
      <c r="H39" s="174"/>
      <c r="I39" s="174"/>
      <c r="J39" s="174"/>
      <c r="K39" s="174"/>
      <c r="L39" s="174"/>
      <c r="M39" s="174"/>
      <c r="N39" s="174"/>
      <c r="O39" s="174"/>
      <c r="P39" s="174"/>
      <c r="Q39" s="174"/>
      <c r="R39" s="174"/>
      <c r="S39" s="174"/>
      <c r="T39" s="174"/>
      <c r="U39" s="174"/>
      <c r="V39" s="174"/>
      <c r="W39" s="174"/>
      <c r="X39" s="174"/>
      <c r="Y39" s="174"/>
      <c r="Z39" s="174"/>
      <c r="AA39" s="174"/>
    </row>
    <row r="40" customFormat="false" ht="15.75" hidden="false" customHeight="false" outlineLevel="0" collapsed="false">
      <c r="A40" s="174" t="str">
        <f aca="false">IF(ISBLANK(B40),"",B40&amp;"|"&amp;C40)</f>
        <v/>
      </c>
      <c r="B40" s="174"/>
      <c r="C40" s="174"/>
      <c r="D40" s="174"/>
      <c r="E40" s="179"/>
      <c r="F40" s="174"/>
      <c r="G40" s="174"/>
      <c r="H40" s="174"/>
      <c r="I40" s="174"/>
      <c r="J40" s="174"/>
      <c r="K40" s="174"/>
      <c r="L40" s="174"/>
      <c r="M40" s="174"/>
      <c r="N40" s="174"/>
      <c r="O40" s="174"/>
      <c r="P40" s="174"/>
      <c r="Q40" s="174"/>
      <c r="R40" s="174"/>
      <c r="S40" s="174"/>
      <c r="T40" s="174"/>
      <c r="U40" s="174"/>
      <c r="V40" s="174"/>
      <c r="W40" s="174"/>
      <c r="X40" s="174"/>
      <c r="Y40" s="174"/>
      <c r="Z40" s="174"/>
      <c r="AA40" s="174"/>
    </row>
    <row r="41" customFormat="false" ht="15.75" hidden="false" customHeight="false" outlineLevel="0" collapsed="false">
      <c r="A41" s="174" t="str">
        <f aca="false">IF(ISBLANK(B41),"",B41&amp;"|"&amp;C41)</f>
        <v/>
      </c>
      <c r="B41" s="174"/>
      <c r="C41" s="174"/>
      <c r="D41" s="174"/>
      <c r="E41" s="179"/>
      <c r="F41" s="174"/>
      <c r="G41" s="174"/>
      <c r="H41" s="174"/>
      <c r="I41" s="174"/>
      <c r="J41" s="174"/>
      <c r="K41" s="174"/>
      <c r="L41" s="174"/>
      <c r="M41" s="174"/>
      <c r="N41" s="174"/>
      <c r="O41" s="174"/>
      <c r="P41" s="174"/>
      <c r="Q41" s="174"/>
      <c r="R41" s="174"/>
      <c r="S41" s="174"/>
      <c r="T41" s="174"/>
      <c r="U41" s="174"/>
      <c r="V41" s="174"/>
      <c r="W41" s="174"/>
      <c r="X41" s="174"/>
      <c r="Y41" s="174"/>
      <c r="Z41" s="174"/>
      <c r="AA41" s="174"/>
    </row>
    <row r="42" customFormat="false" ht="15.75" hidden="false" customHeight="false" outlineLevel="0" collapsed="false">
      <c r="A42" s="174" t="str">
        <f aca="false">IF(ISBLANK(B42),"",B42&amp;"|"&amp;C42)</f>
        <v/>
      </c>
      <c r="B42" s="174"/>
      <c r="C42" s="174"/>
      <c r="D42" s="174"/>
      <c r="E42" s="179"/>
      <c r="F42" s="174"/>
      <c r="G42" s="174"/>
      <c r="H42" s="174"/>
      <c r="I42" s="174"/>
      <c r="J42" s="174"/>
      <c r="K42" s="174"/>
      <c r="L42" s="174"/>
      <c r="M42" s="174"/>
      <c r="N42" s="174"/>
      <c r="O42" s="174"/>
      <c r="P42" s="174"/>
      <c r="Q42" s="174"/>
      <c r="R42" s="174"/>
      <c r="S42" s="174"/>
      <c r="T42" s="174"/>
      <c r="U42" s="174"/>
      <c r="V42" s="174"/>
      <c r="W42" s="174"/>
      <c r="X42" s="174"/>
      <c r="Y42" s="174"/>
      <c r="Z42" s="174"/>
      <c r="AA42" s="174"/>
    </row>
    <row r="43" customFormat="false" ht="15.75" hidden="false" customHeight="false" outlineLevel="0" collapsed="false">
      <c r="A43" s="174" t="str">
        <f aca="false">IF(ISBLANK(B43),"",B43&amp;"|"&amp;C43)</f>
        <v/>
      </c>
      <c r="B43" s="174"/>
      <c r="C43" s="174"/>
      <c r="D43" s="174"/>
      <c r="E43" s="179"/>
      <c r="F43" s="174"/>
      <c r="G43" s="174"/>
      <c r="H43" s="174"/>
      <c r="I43" s="174"/>
      <c r="J43" s="174"/>
      <c r="K43" s="174"/>
      <c r="L43" s="174"/>
      <c r="M43" s="174"/>
      <c r="N43" s="174"/>
      <c r="O43" s="174"/>
      <c r="P43" s="174"/>
      <c r="Q43" s="174"/>
      <c r="R43" s="174"/>
      <c r="S43" s="174"/>
      <c r="T43" s="174"/>
      <c r="U43" s="174"/>
      <c r="V43" s="174"/>
      <c r="W43" s="174"/>
      <c r="X43" s="174"/>
      <c r="Y43" s="174"/>
      <c r="Z43" s="174"/>
      <c r="AA43" s="174"/>
    </row>
    <row r="44" customFormat="false" ht="15.75" hidden="false" customHeight="false" outlineLevel="0" collapsed="false">
      <c r="A44" s="174" t="str">
        <f aca="false">IF(ISBLANK(B44),"",B44&amp;"|"&amp;C44)</f>
        <v/>
      </c>
      <c r="B44" s="174"/>
      <c r="C44" s="174"/>
      <c r="D44" s="174"/>
      <c r="E44" s="179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174"/>
      <c r="S44" s="174"/>
      <c r="T44" s="174"/>
      <c r="U44" s="174"/>
      <c r="V44" s="174"/>
      <c r="W44" s="174"/>
      <c r="X44" s="174"/>
      <c r="Y44" s="174"/>
      <c r="Z44" s="174"/>
      <c r="AA44" s="174"/>
    </row>
    <row r="45" customFormat="false" ht="15.75" hidden="false" customHeight="false" outlineLevel="0" collapsed="false">
      <c r="A45" s="174" t="str">
        <f aca="false">IF(ISBLANK(B45),"",B45&amp;"|"&amp;C45)</f>
        <v/>
      </c>
      <c r="B45" s="174"/>
      <c r="C45" s="174"/>
      <c r="D45" s="174"/>
      <c r="E45" s="179"/>
      <c r="F45" s="174"/>
      <c r="G45" s="174"/>
      <c r="H45" s="174"/>
      <c r="I45" s="174"/>
      <c r="J45" s="174"/>
      <c r="K45" s="174"/>
      <c r="L45" s="174"/>
      <c r="M45" s="174"/>
      <c r="N45" s="174"/>
      <c r="O45" s="174"/>
      <c r="P45" s="174"/>
      <c r="Q45" s="174"/>
      <c r="R45" s="174"/>
      <c r="S45" s="174"/>
      <c r="T45" s="174"/>
      <c r="U45" s="174"/>
      <c r="V45" s="174"/>
      <c r="W45" s="174"/>
      <c r="X45" s="174"/>
      <c r="Y45" s="174"/>
      <c r="Z45" s="174"/>
      <c r="AA45" s="174"/>
    </row>
    <row r="46" customFormat="false" ht="15.75" hidden="false" customHeight="false" outlineLevel="0" collapsed="false">
      <c r="A46" s="174" t="str">
        <f aca="false">IF(ISBLANK(B46),"",B46&amp;"|"&amp;C46)</f>
        <v/>
      </c>
      <c r="B46" s="174"/>
      <c r="C46" s="174"/>
      <c r="D46" s="174"/>
      <c r="E46" s="179"/>
      <c r="F46" s="174"/>
      <c r="G46" s="174"/>
      <c r="H46" s="174"/>
      <c r="I46" s="174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  <c r="AA46" s="174"/>
    </row>
    <row r="47" customFormat="false" ht="15.75" hidden="false" customHeight="false" outlineLevel="0" collapsed="false">
      <c r="A47" s="174" t="str">
        <f aca="false">IF(ISBLANK(B47),"",B47&amp;"|"&amp;C47)</f>
        <v/>
      </c>
      <c r="B47" s="174"/>
      <c r="C47" s="174"/>
      <c r="D47" s="174"/>
      <c r="E47" s="179"/>
      <c r="F47" s="174"/>
      <c r="G47" s="174"/>
      <c r="H47" s="174"/>
      <c r="I47" s="174"/>
      <c r="J47" s="174"/>
      <c r="K47" s="174"/>
      <c r="L47" s="174"/>
      <c r="M47" s="174"/>
      <c r="N47" s="174"/>
      <c r="O47" s="174"/>
      <c r="P47" s="174"/>
      <c r="Q47" s="174"/>
      <c r="R47" s="174"/>
      <c r="S47" s="174"/>
      <c r="T47" s="174"/>
      <c r="U47" s="174"/>
      <c r="V47" s="174"/>
      <c r="W47" s="174"/>
      <c r="X47" s="174"/>
      <c r="Y47" s="174"/>
      <c r="Z47" s="174"/>
      <c r="AA47" s="174"/>
    </row>
    <row r="48" customFormat="false" ht="15.75" hidden="false" customHeight="false" outlineLevel="0" collapsed="false">
      <c r="A48" s="174" t="str">
        <f aca="false">IF(ISBLANK(B48),"",B48&amp;"|"&amp;C48)</f>
        <v/>
      </c>
      <c r="B48" s="174"/>
      <c r="C48" s="174"/>
      <c r="D48" s="174"/>
      <c r="E48" s="179"/>
      <c r="F48" s="174"/>
      <c r="G48" s="174"/>
      <c r="H48" s="174"/>
      <c r="I48" s="174"/>
      <c r="J48" s="174"/>
      <c r="K48" s="174"/>
      <c r="L48" s="174"/>
      <c r="M48" s="174"/>
      <c r="N48" s="174"/>
      <c r="O48" s="174"/>
      <c r="P48" s="174"/>
      <c r="Q48" s="174"/>
      <c r="R48" s="174"/>
      <c r="S48" s="174"/>
      <c r="T48" s="174"/>
      <c r="U48" s="174"/>
      <c r="V48" s="174"/>
      <c r="W48" s="174"/>
      <c r="X48" s="174"/>
      <c r="Y48" s="174"/>
      <c r="Z48" s="174"/>
      <c r="AA48" s="174"/>
    </row>
    <row r="49" customFormat="false" ht="15.75" hidden="false" customHeight="false" outlineLevel="0" collapsed="false">
      <c r="A49" s="174" t="str">
        <f aca="false">IF(ISBLANK(B49),"",B49&amp;"|"&amp;C49)</f>
        <v/>
      </c>
      <c r="B49" s="174"/>
      <c r="C49" s="174"/>
      <c r="D49" s="174"/>
      <c r="E49" s="179"/>
      <c r="F49" s="174"/>
      <c r="G49" s="174"/>
      <c r="H49" s="174"/>
      <c r="I49" s="174"/>
      <c r="J49" s="174"/>
      <c r="K49" s="174"/>
      <c r="L49" s="174"/>
      <c r="M49" s="174"/>
      <c r="N49" s="174"/>
      <c r="O49" s="174"/>
      <c r="P49" s="174"/>
      <c r="Q49" s="174"/>
      <c r="R49" s="174"/>
      <c r="S49" s="174"/>
      <c r="T49" s="174"/>
      <c r="U49" s="174"/>
      <c r="V49" s="174"/>
      <c r="W49" s="174"/>
      <c r="X49" s="174"/>
      <c r="Y49" s="174"/>
      <c r="Z49" s="174"/>
      <c r="AA49" s="174"/>
    </row>
    <row r="50" customFormat="false" ht="15.75" hidden="false" customHeight="false" outlineLevel="0" collapsed="false">
      <c r="A50" s="174" t="str">
        <f aca="false">IF(ISBLANK(B50),"",B50&amp;"|"&amp;C50)</f>
        <v/>
      </c>
      <c r="B50" s="174"/>
      <c r="C50" s="174"/>
      <c r="D50" s="174"/>
      <c r="E50" s="179"/>
      <c r="F50" s="174"/>
      <c r="G50" s="174"/>
      <c r="H50" s="174"/>
      <c r="I50" s="174"/>
      <c r="J50" s="174"/>
      <c r="K50" s="174"/>
      <c r="L50" s="174"/>
      <c r="M50" s="174"/>
      <c r="N50" s="174"/>
      <c r="O50" s="174"/>
      <c r="P50" s="174"/>
      <c r="Q50" s="174"/>
      <c r="R50" s="174"/>
      <c r="S50" s="174"/>
      <c r="T50" s="174"/>
      <c r="U50" s="174"/>
      <c r="V50" s="174"/>
      <c r="W50" s="174"/>
      <c r="X50" s="174"/>
      <c r="Y50" s="174"/>
      <c r="Z50" s="174"/>
      <c r="AA50" s="174"/>
    </row>
    <row r="51" customFormat="false" ht="15.75" hidden="false" customHeight="false" outlineLevel="0" collapsed="false">
      <c r="A51" s="174" t="str">
        <f aca="false">IF(ISBLANK(B51),"",B51&amp;"|"&amp;C51)</f>
        <v/>
      </c>
      <c r="B51" s="174"/>
      <c r="C51" s="174"/>
      <c r="D51" s="174"/>
      <c r="E51" s="179"/>
      <c r="F51" s="174"/>
      <c r="G51" s="174"/>
      <c r="H51" s="174"/>
      <c r="I51" s="174"/>
      <c r="J51" s="174"/>
      <c r="K51" s="174"/>
      <c r="L51" s="174"/>
      <c r="M51" s="174"/>
      <c r="N51" s="174"/>
      <c r="O51" s="174"/>
      <c r="P51" s="174"/>
      <c r="Q51" s="174"/>
      <c r="R51" s="174"/>
      <c r="S51" s="174"/>
      <c r="T51" s="174"/>
      <c r="U51" s="174"/>
      <c r="V51" s="174"/>
      <c r="W51" s="174"/>
      <c r="X51" s="174"/>
      <c r="Y51" s="174"/>
      <c r="Z51" s="174"/>
      <c r="AA51" s="174"/>
    </row>
    <row r="52" customFormat="false" ht="15.75" hidden="false" customHeight="false" outlineLevel="0" collapsed="false">
      <c r="A52" s="174" t="str">
        <f aca="false">IF(ISBLANK(B52),"",B52&amp;"|"&amp;C52)</f>
        <v/>
      </c>
      <c r="B52" s="174"/>
      <c r="C52" s="174"/>
      <c r="D52" s="174"/>
      <c r="E52" s="179"/>
      <c r="F52" s="174"/>
      <c r="G52" s="174"/>
      <c r="H52" s="174"/>
      <c r="I52" s="174"/>
      <c r="J52" s="174"/>
      <c r="K52" s="174"/>
      <c r="L52" s="174"/>
      <c r="M52" s="174"/>
      <c r="N52" s="174"/>
      <c r="O52" s="174"/>
      <c r="P52" s="174"/>
      <c r="Q52" s="174"/>
      <c r="R52" s="174"/>
      <c r="S52" s="174"/>
      <c r="T52" s="174"/>
      <c r="U52" s="174"/>
      <c r="V52" s="174"/>
      <c r="W52" s="174"/>
      <c r="X52" s="174"/>
      <c r="Y52" s="174"/>
      <c r="Z52" s="174"/>
      <c r="AA52" s="174"/>
    </row>
    <row r="53" customFormat="false" ht="15.75" hidden="false" customHeight="false" outlineLevel="0" collapsed="false">
      <c r="A53" s="174" t="str">
        <f aca="false">IF(ISBLANK(B53),"",B53&amp;"|"&amp;C53)</f>
        <v/>
      </c>
      <c r="B53" s="174"/>
      <c r="C53" s="174"/>
      <c r="D53" s="174"/>
      <c r="E53" s="179"/>
      <c r="F53" s="174"/>
      <c r="G53" s="174"/>
      <c r="H53" s="174"/>
      <c r="I53" s="174"/>
      <c r="J53" s="174"/>
      <c r="K53" s="174"/>
      <c r="L53" s="174"/>
      <c r="M53" s="174"/>
      <c r="N53" s="174"/>
      <c r="O53" s="174"/>
      <c r="P53" s="174"/>
      <c r="Q53" s="174"/>
      <c r="R53" s="174"/>
      <c r="S53" s="174"/>
      <c r="T53" s="174"/>
      <c r="U53" s="174"/>
      <c r="V53" s="174"/>
      <c r="W53" s="174"/>
      <c r="X53" s="174"/>
      <c r="Y53" s="174"/>
      <c r="Z53" s="174"/>
      <c r="AA53" s="174"/>
    </row>
    <row r="54" customFormat="false" ht="15.75" hidden="false" customHeight="false" outlineLevel="0" collapsed="false">
      <c r="A54" s="174" t="str">
        <f aca="false">IF(ISBLANK(B54),"",B54&amp;"|"&amp;C54)</f>
        <v/>
      </c>
      <c r="B54" s="174"/>
      <c r="C54" s="174"/>
      <c r="D54" s="174"/>
      <c r="E54" s="179"/>
      <c r="F54" s="174"/>
      <c r="G54" s="174"/>
      <c r="H54" s="174"/>
      <c r="I54" s="174"/>
      <c r="J54" s="174"/>
      <c r="K54" s="174"/>
      <c r="L54" s="174"/>
      <c r="M54" s="174"/>
      <c r="N54" s="174"/>
      <c r="O54" s="174"/>
      <c r="P54" s="174"/>
      <c r="Q54" s="174"/>
      <c r="R54" s="174"/>
      <c r="S54" s="174"/>
      <c r="T54" s="174"/>
      <c r="U54" s="174"/>
      <c r="V54" s="174"/>
      <c r="W54" s="174"/>
      <c r="X54" s="174"/>
      <c r="Y54" s="174"/>
      <c r="Z54" s="174"/>
      <c r="AA54" s="174"/>
    </row>
    <row r="55" customFormat="false" ht="15.75" hidden="false" customHeight="false" outlineLevel="0" collapsed="false">
      <c r="A55" s="174" t="str">
        <f aca="false">IF(ISBLANK(B55),"",B55&amp;"|"&amp;C55)</f>
        <v/>
      </c>
      <c r="B55" s="174"/>
      <c r="C55" s="174"/>
      <c r="D55" s="174"/>
      <c r="E55" s="179"/>
      <c r="F55" s="174"/>
      <c r="G55" s="174"/>
      <c r="H55" s="174"/>
      <c r="I55" s="174"/>
      <c r="J55" s="174"/>
      <c r="K55" s="174"/>
      <c r="L55" s="174"/>
      <c r="M55" s="174"/>
      <c r="N55" s="174"/>
      <c r="O55" s="174"/>
      <c r="P55" s="174"/>
      <c r="Q55" s="174"/>
      <c r="R55" s="174"/>
      <c r="S55" s="174"/>
      <c r="T55" s="174"/>
      <c r="U55" s="174"/>
      <c r="V55" s="174"/>
      <c r="W55" s="174"/>
      <c r="X55" s="174"/>
      <c r="Y55" s="174"/>
      <c r="Z55" s="174"/>
      <c r="AA55" s="174"/>
    </row>
    <row r="56" customFormat="false" ht="15.75" hidden="false" customHeight="false" outlineLevel="0" collapsed="false">
      <c r="A56" s="174" t="str">
        <f aca="false">IF(ISBLANK(B56),"",B56&amp;"|"&amp;C56)</f>
        <v/>
      </c>
      <c r="B56" s="174"/>
      <c r="C56" s="174"/>
      <c r="D56" s="174"/>
      <c r="E56" s="179"/>
      <c r="F56" s="174"/>
      <c r="G56" s="174"/>
      <c r="H56" s="174"/>
      <c r="I56" s="174"/>
      <c r="J56" s="174"/>
      <c r="K56" s="174"/>
      <c r="L56" s="174"/>
      <c r="M56" s="174"/>
      <c r="N56" s="174"/>
      <c r="O56" s="174"/>
      <c r="P56" s="174"/>
      <c r="Q56" s="174"/>
      <c r="R56" s="174"/>
      <c r="S56" s="174"/>
      <c r="T56" s="174"/>
      <c r="U56" s="174"/>
      <c r="V56" s="174"/>
      <c r="W56" s="174"/>
      <c r="X56" s="174"/>
      <c r="Y56" s="174"/>
      <c r="Z56" s="174"/>
      <c r="AA56" s="174"/>
    </row>
    <row r="57" customFormat="false" ht="15.75" hidden="false" customHeight="false" outlineLevel="0" collapsed="false">
      <c r="A57" s="174" t="str">
        <f aca="false">IF(ISBLANK(B57),"",B57&amp;"|"&amp;C57)</f>
        <v/>
      </c>
      <c r="B57" s="174"/>
      <c r="C57" s="174"/>
      <c r="D57" s="174"/>
      <c r="E57" s="179"/>
      <c r="F57" s="174"/>
      <c r="G57" s="174"/>
      <c r="H57" s="174"/>
      <c r="I57" s="174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</row>
    <row r="58" customFormat="false" ht="15.75" hidden="false" customHeight="false" outlineLevel="0" collapsed="false">
      <c r="A58" s="174" t="str">
        <f aca="false">IF(ISBLANK(B58),"",B58&amp;"|"&amp;C58)</f>
        <v/>
      </c>
      <c r="B58" s="174"/>
      <c r="C58" s="174"/>
      <c r="D58" s="174"/>
      <c r="E58" s="179"/>
      <c r="F58" s="174"/>
      <c r="G58" s="174"/>
      <c r="H58" s="174"/>
      <c r="I58" s="174"/>
      <c r="J58" s="174"/>
      <c r="K58" s="174"/>
      <c r="L58" s="174"/>
      <c r="M58" s="174"/>
      <c r="N58" s="174"/>
      <c r="O58" s="174"/>
      <c r="P58" s="174"/>
      <c r="Q58" s="174"/>
      <c r="R58" s="174"/>
      <c r="S58" s="174"/>
      <c r="T58" s="174"/>
      <c r="U58" s="174"/>
      <c r="V58" s="174"/>
      <c r="W58" s="174"/>
      <c r="X58" s="174"/>
      <c r="Y58" s="174"/>
      <c r="Z58" s="174"/>
      <c r="AA58" s="174"/>
    </row>
    <row r="59" customFormat="false" ht="15.75" hidden="false" customHeight="false" outlineLevel="0" collapsed="false">
      <c r="A59" s="174" t="str">
        <f aca="false">IF(ISBLANK(B59),"",B59&amp;"|"&amp;C59)</f>
        <v/>
      </c>
      <c r="B59" s="174"/>
      <c r="C59" s="174"/>
      <c r="D59" s="174"/>
      <c r="E59" s="179"/>
      <c r="F59" s="174"/>
      <c r="G59" s="174"/>
      <c r="H59" s="174"/>
      <c r="I59" s="174"/>
      <c r="J59" s="174"/>
      <c r="K59" s="174"/>
      <c r="L59" s="174"/>
      <c r="M59" s="174"/>
      <c r="N59" s="174"/>
      <c r="O59" s="174"/>
      <c r="P59" s="174"/>
      <c r="Q59" s="174"/>
      <c r="R59" s="174"/>
      <c r="S59" s="174"/>
      <c r="T59" s="174"/>
      <c r="U59" s="174"/>
      <c r="V59" s="174"/>
      <c r="W59" s="174"/>
      <c r="X59" s="174"/>
      <c r="Y59" s="174"/>
      <c r="Z59" s="174"/>
      <c r="AA59" s="174"/>
    </row>
    <row r="60" customFormat="false" ht="15.75" hidden="false" customHeight="false" outlineLevel="0" collapsed="false">
      <c r="A60" s="174" t="str">
        <f aca="false">IF(ISBLANK(B60),"",B60&amp;"|"&amp;C60)</f>
        <v/>
      </c>
      <c r="B60" s="174"/>
      <c r="C60" s="174"/>
      <c r="D60" s="174"/>
      <c r="E60" s="179"/>
      <c r="F60" s="174"/>
      <c r="G60" s="174"/>
      <c r="H60" s="174"/>
      <c r="I60" s="174"/>
      <c r="J60" s="174"/>
      <c r="K60" s="174"/>
      <c r="L60" s="174"/>
      <c r="M60" s="174"/>
      <c r="N60" s="174"/>
      <c r="O60" s="174"/>
      <c r="P60" s="174"/>
      <c r="Q60" s="174"/>
      <c r="R60" s="174"/>
      <c r="S60" s="174"/>
      <c r="T60" s="174"/>
      <c r="U60" s="174"/>
      <c r="V60" s="174"/>
      <c r="W60" s="174"/>
      <c r="X60" s="174"/>
      <c r="Y60" s="174"/>
      <c r="Z60" s="174"/>
      <c r="AA60" s="174"/>
    </row>
    <row r="61" customFormat="false" ht="15.75" hidden="false" customHeight="false" outlineLevel="0" collapsed="false">
      <c r="A61" s="174" t="str">
        <f aca="false">IF(ISBLANK(B61),"",B61&amp;"|"&amp;C61)</f>
        <v/>
      </c>
      <c r="B61" s="174"/>
      <c r="C61" s="174"/>
      <c r="D61" s="174"/>
      <c r="E61" s="179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4"/>
      <c r="AA61" s="174"/>
    </row>
    <row r="62" customFormat="false" ht="15.75" hidden="false" customHeight="false" outlineLevel="0" collapsed="false">
      <c r="A62" s="174" t="str">
        <f aca="false">IF(ISBLANK(B62),"",B62&amp;"|"&amp;C62)</f>
        <v/>
      </c>
      <c r="B62" s="174"/>
      <c r="C62" s="174"/>
      <c r="D62" s="174"/>
      <c r="E62" s="179"/>
      <c r="F62" s="174"/>
      <c r="G62" s="174"/>
      <c r="H62" s="174"/>
      <c r="I62" s="174"/>
      <c r="J62" s="174"/>
      <c r="K62" s="174"/>
      <c r="L62" s="174"/>
      <c r="M62" s="174"/>
      <c r="N62" s="174"/>
      <c r="O62" s="174"/>
      <c r="P62" s="174"/>
      <c r="Q62" s="174"/>
      <c r="R62" s="174"/>
      <c r="S62" s="174"/>
      <c r="T62" s="174"/>
      <c r="U62" s="174"/>
      <c r="V62" s="174"/>
      <c r="W62" s="174"/>
      <c r="X62" s="174"/>
      <c r="Y62" s="174"/>
      <c r="Z62" s="174"/>
      <c r="AA62" s="174"/>
    </row>
    <row r="63" customFormat="false" ht="15.75" hidden="false" customHeight="false" outlineLevel="0" collapsed="false">
      <c r="A63" s="174" t="str">
        <f aca="false">IF(ISBLANK(B63),"",B63&amp;"|"&amp;C63)</f>
        <v/>
      </c>
      <c r="B63" s="174"/>
      <c r="C63" s="174"/>
      <c r="D63" s="174"/>
      <c r="E63" s="179"/>
      <c r="F63" s="174"/>
      <c r="G63" s="174"/>
      <c r="H63" s="174"/>
      <c r="I63" s="174"/>
      <c r="J63" s="174"/>
      <c r="K63" s="174"/>
      <c r="L63" s="174"/>
      <c r="M63" s="174"/>
      <c r="N63" s="174"/>
      <c r="O63" s="174"/>
      <c r="P63" s="174"/>
      <c r="Q63" s="174"/>
      <c r="R63" s="174"/>
      <c r="S63" s="174"/>
      <c r="T63" s="174"/>
      <c r="U63" s="174"/>
      <c r="V63" s="174"/>
      <c r="W63" s="174"/>
      <c r="X63" s="174"/>
      <c r="Y63" s="174"/>
      <c r="Z63" s="174"/>
      <c r="AA63" s="174"/>
    </row>
    <row r="64" customFormat="false" ht="15.75" hidden="false" customHeight="false" outlineLevel="0" collapsed="false">
      <c r="A64" s="174" t="str">
        <f aca="false">IF(ISBLANK(B64),"",B64&amp;"|"&amp;C64)</f>
        <v/>
      </c>
      <c r="B64" s="174"/>
      <c r="C64" s="174"/>
      <c r="D64" s="174"/>
      <c r="E64" s="179"/>
      <c r="F64" s="174"/>
      <c r="G64" s="174"/>
      <c r="H64" s="174"/>
      <c r="I64" s="174"/>
      <c r="J64" s="174"/>
      <c r="K64" s="174"/>
      <c r="L64" s="174"/>
      <c r="M64" s="174"/>
      <c r="N64" s="174"/>
      <c r="O64" s="174"/>
      <c r="P64" s="174"/>
      <c r="Q64" s="174"/>
      <c r="R64" s="174"/>
      <c r="S64" s="174"/>
      <c r="T64" s="174"/>
      <c r="U64" s="174"/>
      <c r="V64" s="174"/>
      <c r="W64" s="174"/>
      <c r="X64" s="174"/>
      <c r="Y64" s="174"/>
      <c r="Z64" s="174"/>
      <c r="AA64" s="174"/>
    </row>
    <row r="65" customFormat="false" ht="15.75" hidden="false" customHeight="false" outlineLevel="0" collapsed="false">
      <c r="A65" s="174" t="str">
        <f aca="false">IF(ISBLANK(B65),"",B65&amp;"|"&amp;C65)</f>
        <v/>
      </c>
      <c r="B65" s="174"/>
      <c r="C65" s="174"/>
      <c r="D65" s="174"/>
      <c r="E65" s="179"/>
      <c r="F65" s="174"/>
      <c r="G65" s="174"/>
      <c r="H65" s="174"/>
      <c r="I65" s="174"/>
      <c r="J65" s="174"/>
      <c r="K65" s="174"/>
      <c r="L65" s="174"/>
      <c r="M65" s="174"/>
      <c r="N65" s="174"/>
      <c r="O65" s="174"/>
      <c r="P65" s="174"/>
      <c r="Q65" s="174"/>
      <c r="R65" s="174"/>
      <c r="S65" s="174"/>
      <c r="T65" s="174"/>
      <c r="U65" s="174"/>
      <c r="V65" s="174"/>
      <c r="W65" s="174"/>
      <c r="X65" s="174"/>
      <c r="Y65" s="174"/>
      <c r="Z65" s="174"/>
      <c r="AA65" s="174"/>
    </row>
    <row r="66" customFormat="false" ht="15.75" hidden="false" customHeight="false" outlineLevel="0" collapsed="false">
      <c r="A66" s="174" t="str">
        <f aca="false">IF(ISBLANK(B66),"",B66&amp;"|"&amp;C66)</f>
        <v/>
      </c>
      <c r="B66" s="174"/>
      <c r="C66" s="174"/>
      <c r="D66" s="174"/>
      <c r="E66" s="179"/>
      <c r="F66" s="174"/>
      <c r="G66" s="174"/>
      <c r="H66" s="174"/>
      <c r="I66" s="174"/>
      <c r="J66" s="174"/>
      <c r="K66" s="174"/>
      <c r="L66" s="174"/>
      <c r="M66" s="174"/>
      <c r="N66" s="174"/>
      <c r="O66" s="174"/>
      <c r="P66" s="174"/>
      <c r="Q66" s="174"/>
      <c r="R66" s="174"/>
      <c r="S66" s="174"/>
      <c r="T66" s="174"/>
      <c r="U66" s="174"/>
      <c r="V66" s="174"/>
      <c r="W66" s="174"/>
      <c r="X66" s="174"/>
      <c r="Y66" s="174"/>
      <c r="Z66" s="174"/>
      <c r="AA66" s="174"/>
    </row>
    <row r="67" customFormat="false" ht="15.75" hidden="false" customHeight="false" outlineLevel="0" collapsed="false">
      <c r="A67" s="174" t="str">
        <f aca="false">IF(ISBLANK(B67),"",B67&amp;"|"&amp;C67)</f>
        <v/>
      </c>
      <c r="B67" s="174"/>
      <c r="C67" s="174"/>
      <c r="D67" s="174"/>
      <c r="E67" s="179"/>
      <c r="F67" s="174"/>
      <c r="G67" s="174"/>
      <c r="H67" s="174"/>
      <c r="I67" s="174"/>
      <c r="J67" s="174"/>
      <c r="K67" s="174"/>
      <c r="L67" s="174"/>
      <c r="M67" s="174"/>
      <c r="N67" s="174"/>
      <c r="O67" s="174"/>
      <c r="P67" s="174"/>
      <c r="Q67" s="174"/>
      <c r="R67" s="174"/>
      <c r="S67" s="174"/>
      <c r="T67" s="174"/>
      <c r="U67" s="174"/>
      <c r="V67" s="174"/>
      <c r="W67" s="174"/>
      <c r="X67" s="174"/>
      <c r="Y67" s="174"/>
      <c r="Z67" s="174"/>
      <c r="AA67" s="174"/>
    </row>
    <row r="68" customFormat="false" ht="15.75" hidden="false" customHeight="false" outlineLevel="0" collapsed="false">
      <c r="A68" s="174" t="str">
        <f aca="false">IF(ISBLANK(B68),"",B68&amp;"|"&amp;C68)</f>
        <v/>
      </c>
      <c r="B68" s="174"/>
      <c r="C68" s="174"/>
      <c r="D68" s="174"/>
      <c r="E68" s="179"/>
      <c r="F68" s="174"/>
      <c r="G68" s="174"/>
      <c r="H68" s="174"/>
      <c r="I68" s="174"/>
      <c r="J68" s="174"/>
      <c r="K68" s="174"/>
      <c r="L68" s="174"/>
      <c r="M68" s="174"/>
      <c r="N68" s="174"/>
      <c r="O68" s="174"/>
      <c r="P68" s="174"/>
      <c r="Q68" s="174"/>
      <c r="R68" s="174"/>
      <c r="S68" s="174"/>
      <c r="T68" s="174"/>
      <c r="U68" s="174"/>
      <c r="V68" s="174"/>
      <c r="W68" s="174"/>
      <c r="X68" s="174"/>
      <c r="Y68" s="174"/>
      <c r="Z68" s="174"/>
      <c r="AA68" s="174"/>
    </row>
    <row r="69" customFormat="false" ht="15.75" hidden="false" customHeight="false" outlineLevel="0" collapsed="false">
      <c r="A69" s="174" t="str">
        <f aca="false">IF(ISBLANK(B69),"",B69&amp;"|"&amp;C69)</f>
        <v/>
      </c>
      <c r="B69" s="174"/>
      <c r="C69" s="174"/>
      <c r="D69" s="174"/>
      <c r="E69" s="179"/>
      <c r="F69" s="174"/>
      <c r="G69" s="174"/>
      <c r="H69" s="174"/>
      <c r="I69" s="174"/>
      <c r="J69" s="174"/>
      <c r="K69" s="174"/>
      <c r="L69" s="174"/>
      <c r="M69" s="174"/>
      <c r="N69" s="174"/>
      <c r="O69" s="174"/>
      <c r="P69" s="174"/>
      <c r="Q69" s="174"/>
      <c r="R69" s="174"/>
      <c r="S69" s="174"/>
      <c r="T69" s="174"/>
      <c r="U69" s="174"/>
      <c r="V69" s="174"/>
      <c r="W69" s="174"/>
      <c r="X69" s="174"/>
      <c r="Y69" s="174"/>
      <c r="Z69" s="174"/>
      <c r="AA69" s="174"/>
    </row>
    <row r="70" customFormat="false" ht="15.75" hidden="false" customHeight="false" outlineLevel="0" collapsed="false">
      <c r="A70" s="174" t="str">
        <f aca="false">IF(ISBLANK(B70),"",B70&amp;"|"&amp;C70)</f>
        <v/>
      </c>
      <c r="B70" s="174"/>
      <c r="C70" s="174"/>
      <c r="D70" s="174"/>
      <c r="E70" s="179"/>
      <c r="F70" s="174"/>
      <c r="G70" s="174"/>
      <c r="H70" s="174"/>
      <c r="I70" s="174"/>
      <c r="J70" s="174"/>
      <c r="K70" s="174"/>
      <c r="L70" s="174"/>
      <c r="M70" s="174"/>
      <c r="N70" s="174"/>
      <c r="O70" s="174"/>
      <c r="P70" s="174"/>
      <c r="Q70" s="174"/>
      <c r="R70" s="174"/>
      <c r="S70" s="174"/>
      <c r="T70" s="174"/>
      <c r="U70" s="174"/>
      <c r="V70" s="174"/>
      <c r="W70" s="174"/>
      <c r="X70" s="174"/>
      <c r="Y70" s="174"/>
      <c r="Z70" s="174"/>
      <c r="AA70" s="174"/>
    </row>
    <row r="71" customFormat="false" ht="15.75" hidden="false" customHeight="false" outlineLevel="0" collapsed="false">
      <c r="A71" s="174" t="str">
        <f aca="false">IF(ISBLANK(B71),"",B71&amp;"|"&amp;C71)</f>
        <v/>
      </c>
      <c r="B71" s="174"/>
      <c r="C71" s="174"/>
      <c r="D71" s="174"/>
      <c r="E71" s="179"/>
      <c r="F71" s="174"/>
      <c r="G71" s="174"/>
      <c r="H71" s="174"/>
      <c r="I71" s="174"/>
      <c r="J71" s="174"/>
      <c r="K71" s="174"/>
      <c r="L71" s="174"/>
      <c r="M71" s="174"/>
      <c r="N71" s="174"/>
      <c r="O71" s="174"/>
      <c r="P71" s="174"/>
      <c r="Q71" s="174"/>
      <c r="R71" s="174"/>
      <c r="S71" s="174"/>
      <c r="T71" s="174"/>
      <c r="U71" s="174"/>
      <c r="V71" s="174"/>
      <c r="W71" s="174"/>
      <c r="X71" s="174"/>
      <c r="Y71" s="174"/>
      <c r="Z71" s="174"/>
      <c r="AA71" s="174"/>
    </row>
    <row r="72" customFormat="false" ht="15.75" hidden="false" customHeight="false" outlineLevel="0" collapsed="false">
      <c r="A72" s="174" t="str">
        <f aca="false">IF(ISBLANK(B72),"",B72&amp;"|"&amp;C72)</f>
        <v/>
      </c>
      <c r="B72" s="174"/>
      <c r="C72" s="174"/>
      <c r="D72" s="174"/>
      <c r="E72" s="179"/>
      <c r="F72" s="174"/>
      <c r="G72" s="174"/>
      <c r="H72" s="174"/>
      <c r="I72" s="174"/>
      <c r="J72" s="174"/>
      <c r="K72" s="174"/>
      <c r="L72" s="174"/>
      <c r="M72" s="174"/>
      <c r="N72" s="174"/>
      <c r="O72" s="174"/>
      <c r="P72" s="174"/>
      <c r="Q72" s="174"/>
      <c r="R72" s="174"/>
      <c r="S72" s="174"/>
      <c r="T72" s="174"/>
      <c r="U72" s="174"/>
      <c r="V72" s="174"/>
      <c r="W72" s="174"/>
      <c r="X72" s="174"/>
      <c r="Y72" s="174"/>
      <c r="Z72" s="174"/>
      <c r="AA72" s="174"/>
    </row>
    <row r="73" customFormat="false" ht="15.75" hidden="false" customHeight="false" outlineLevel="0" collapsed="false">
      <c r="A73" s="174" t="str">
        <f aca="false">IF(ISBLANK(B73),"",B73&amp;"|"&amp;C73)</f>
        <v/>
      </c>
      <c r="B73" s="174"/>
      <c r="C73" s="174"/>
      <c r="D73" s="174"/>
      <c r="E73" s="179"/>
      <c r="F73" s="174"/>
      <c r="G73" s="174"/>
      <c r="H73" s="174"/>
      <c r="I73" s="174"/>
      <c r="J73" s="174"/>
      <c r="K73" s="174"/>
      <c r="L73" s="174"/>
      <c r="M73" s="174"/>
      <c r="N73" s="174"/>
      <c r="O73" s="174"/>
      <c r="P73" s="174"/>
      <c r="Q73" s="174"/>
      <c r="R73" s="174"/>
      <c r="S73" s="174"/>
      <c r="T73" s="174"/>
      <c r="U73" s="174"/>
      <c r="V73" s="174"/>
      <c r="W73" s="174"/>
      <c r="X73" s="174"/>
      <c r="Y73" s="174"/>
      <c r="Z73" s="174"/>
      <c r="AA73" s="174"/>
    </row>
    <row r="74" customFormat="false" ht="15.75" hidden="false" customHeight="false" outlineLevel="0" collapsed="false">
      <c r="A74" s="174" t="str">
        <f aca="false">IF(ISBLANK(B74),"",B74&amp;"|"&amp;C74)</f>
        <v/>
      </c>
      <c r="B74" s="174"/>
      <c r="C74" s="174"/>
      <c r="D74" s="174"/>
      <c r="E74" s="179"/>
      <c r="F74" s="174"/>
      <c r="G74" s="174"/>
      <c r="H74" s="174"/>
      <c r="I74" s="174"/>
      <c r="J74" s="174"/>
      <c r="K74" s="174"/>
      <c r="L74" s="174"/>
      <c r="M74" s="174"/>
      <c r="N74" s="174"/>
      <c r="O74" s="174"/>
      <c r="P74" s="174"/>
      <c r="Q74" s="174"/>
      <c r="R74" s="174"/>
      <c r="S74" s="174"/>
      <c r="T74" s="174"/>
      <c r="U74" s="174"/>
      <c r="V74" s="174"/>
      <c r="W74" s="174"/>
      <c r="X74" s="174"/>
      <c r="Y74" s="174"/>
      <c r="Z74" s="174"/>
      <c r="AA74" s="174"/>
    </row>
    <row r="75" customFormat="false" ht="15.75" hidden="false" customHeight="false" outlineLevel="0" collapsed="false">
      <c r="A75" s="174" t="str">
        <f aca="false">IF(ISBLANK(B75),"",B75&amp;"|"&amp;C75)</f>
        <v/>
      </c>
      <c r="B75" s="174"/>
      <c r="C75" s="174"/>
      <c r="D75" s="174"/>
      <c r="E75" s="179"/>
      <c r="F75" s="174"/>
      <c r="G75" s="174"/>
      <c r="H75" s="174"/>
      <c r="I75" s="174"/>
      <c r="J75" s="174"/>
      <c r="K75" s="174"/>
      <c r="L75" s="174"/>
      <c r="M75" s="174"/>
      <c r="N75" s="174"/>
      <c r="O75" s="174"/>
      <c r="P75" s="174"/>
      <c r="Q75" s="174"/>
      <c r="R75" s="174"/>
      <c r="S75" s="174"/>
      <c r="T75" s="174"/>
      <c r="U75" s="174"/>
      <c r="V75" s="174"/>
      <c r="W75" s="174"/>
      <c r="X75" s="174"/>
      <c r="Y75" s="174"/>
      <c r="Z75" s="174"/>
      <c r="AA75" s="174"/>
    </row>
    <row r="76" customFormat="false" ht="15.75" hidden="false" customHeight="false" outlineLevel="0" collapsed="false">
      <c r="A76" s="174" t="str">
        <f aca="false">IF(ISBLANK(B76),"",B76&amp;"|"&amp;C76)</f>
        <v/>
      </c>
      <c r="B76" s="174"/>
      <c r="C76" s="174"/>
      <c r="D76" s="174"/>
      <c r="E76" s="179"/>
      <c r="F76" s="174"/>
      <c r="G76" s="174"/>
      <c r="H76" s="174"/>
      <c r="I76" s="174"/>
      <c r="J76" s="174"/>
      <c r="K76" s="174"/>
      <c r="L76" s="174"/>
      <c r="M76" s="174"/>
      <c r="N76" s="174"/>
      <c r="O76" s="174"/>
      <c r="P76" s="174"/>
      <c r="Q76" s="174"/>
      <c r="R76" s="174"/>
      <c r="S76" s="174"/>
      <c r="T76" s="174"/>
      <c r="U76" s="174"/>
      <c r="V76" s="174"/>
      <c r="W76" s="174"/>
      <c r="X76" s="174"/>
      <c r="Y76" s="174"/>
      <c r="Z76" s="174"/>
      <c r="AA76" s="174"/>
    </row>
    <row r="77" customFormat="false" ht="15.75" hidden="false" customHeight="false" outlineLevel="0" collapsed="false">
      <c r="A77" s="174" t="str">
        <f aca="false">IF(ISBLANK(B77),"",B77&amp;"|"&amp;C77)</f>
        <v/>
      </c>
      <c r="B77" s="174"/>
      <c r="C77" s="174"/>
      <c r="D77" s="174"/>
      <c r="E77" s="179"/>
      <c r="F77" s="174"/>
      <c r="G77" s="174"/>
      <c r="H77" s="174"/>
      <c r="I77" s="174"/>
      <c r="J77" s="174"/>
      <c r="K77" s="174"/>
      <c r="L77" s="174"/>
      <c r="M77" s="174"/>
      <c r="N77" s="174"/>
      <c r="O77" s="174"/>
      <c r="P77" s="174"/>
      <c r="Q77" s="174"/>
      <c r="R77" s="174"/>
      <c r="S77" s="174"/>
      <c r="T77" s="174"/>
      <c r="U77" s="174"/>
      <c r="V77" s="174"/>
      <c r="W77" s="174"/>
      <c r="X77" s="174"/>
      <c r="Y77" s="174"/>
      <c r="Z77" s="174"/>
      <c r="AA77" s="174"/>
    </row>
    <row r="78" customFormat="false" ht="15.75" hidden="false" customHeight="false" outlineLevel="0" collapsed="false">
      <c r="A78" s="174" t="str">
        <f aca="false">IF(ISBLANK(B78),"",B78&amp;"|"&amp;C78)</f>
        <v/>
      </c>
      <c r="B78" s="174"/>
      <c r="C78" s="174"/>
      <c r="D78" s="174"/>
      <c r="E78" s="179"/>
      <c r="F78" s="174"/>
      <c r="G78" s="174"/>
      <c r="H78" s="174"/>
      <c r="I78" s="174"/>
      <c r="J78" s="174"/>
      <c r="K78" s="174"/>
      <c r="L78" s="174"/>
      <c r="M78" s="174"/>
      <c r="N78" s="174"/>
      <c r="O78" s="174"/>
      <c r="P78" s="174"/>
      <c r="Q78" s="174"/>
      <c r="R78" s="174"/>
      <c r="S78" s="174"/>
      <c r="T78" s="174"/>
      <c r="U78" s="174"/>
      <c r="V78" s="174"/>
      <c r="W78" s="174"/>
      <c r="X78" s="174"/>
      <c r="Y78" s="174"/>
      <c r="Z78" s="174"/>
      <c r="AA78" s="174"/>
    </row>
    <row r="79" customFormat="false" ht="15.75" hidden="false" customHeight="false" outlineLevel="0" collapsed="false">
      <c r="A79" s="174" t="str">
        <f aca="false">IF(ISBLANK(B79),"",B79&amp;"|"&amp;C79)</f>
        <v/>
      </c>
      <c r="B79" s="174"/>
      <c r="C79" s="174"/>
      <c r="D79" s="174"/>
      <c r="E79" s="179"/>
      <c r="F79" s="174"/>
      <c r="G79" s="174"/>
      <c r="H79" s="174"/>
      <c r="I79" s="174"/>
      <c r="J79" s="174"/>
      <c r="K79" s="174"/>
      <c r="L79" s="174"/>
      <c r="M79" s="174"/>
      <c r="N79" s="174"/>
      <c r="O79" s="174"/>
      <c r="P79" s="174"/>
      <c r="Q79" s="174"/>
      <c r="R79" s="174"/>
      <c r="S79" s="174"/>
      <c r="T79" s="174"/>
      <c r="U79" s="174"/>
      <c r="V79" s="174"/>
      <c r="W79" s="174"/>
      <c r="X79" s="174"/>
      <c r="Y79" s="174"/>
      <c r="Z79" s="174"/>
      <c r="AA79" s="174"/>
    </row>
    <row r="80" customFormat="false" ht="15.75" hidden="false" customHeight="false" outlineLevel="0" collapsed="false">
      <c r="A80" s="174" t="str">
        <f aca="false">IF(ISBLANK(B80),"",B80&amp;"|"&amp;C80)</f>
        <v/>
      </c>
      <c r="B80" s="174"/>
      <c r="C80" s="174"/>
      <c r="D80" s="174"/>
      <c r="E80" s="179"/>
      <c r="F80" s="174"/>
      <c r="G80" s="174"/>
      <c r="H80" s="174"/>
      <c r="I80" s="174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4"/>
    </row>
    <row r="81" customFormat="false" ht="15.75" hidden="false" customHeight="false" outlineLevel="0" collapsed="false">
      <c r="A81" s="174" t="str">
        <f aca="false">IF(ISBLANK(B81),"",B81&amp;"|"&amp;C81)</f>
        <v/>
      </c>
      <c r="B81" s="174"/>
      <c r="C81" s="174"/>
      <c r="D81" s="174"/>
      <c r="E81" s="179"/>
      <c r="F81" s="174"/>
      <c r="G81" s="174"/>
      <c r="H81" s="174"/>
      <c r="I81" s="174"/>
      <c r="J81" s="174"/>
      <c r="K81" s="174"/>
      <c r="L81" s="174"/>
      <c r="M81" s="174"/>
      <c r="N81" s="174"/>
      <c r="O81" s="174"/>
      <c r="P81" s="174"/>
      <c r="Q81" s="174"/>
      <c r="R81" s="174"/>
      <c r="S81" s="174"/>
      <c r="T81" s="174"/>
      <c r="U81" s="174"/>
      <c r="V81" s="174"/>
      <c r="W81" s="174"/>
      <c r="X81" s="174"/>
      <c r="Y81" s="174"/>
      <c r="Z81" s="174"/>
      <c r="AA81" s="174"/>
    </row>
    <row r="82" customFormat="false" ht="15.75" hidden="false" customHeight="false" outlineLevel="0" collapsed="false">
      <c r="A82" s="174" t="str">
        <f aca="false">IF(ISBLANK(B82),"",B82&amp;"|"&amp;C82)</f>
        <v/>
      </c>
      <c r="B82" s="174"/>
      <c r="C82" s="174"/>
      <c r="D82" s="174"/>
      <c r="E82" s="179"/>
      <c r="F82" s="174"/>
      <c r="G82" s="174"/>
      <c r="H82" s="174"/>
      <c r="I82" s="174"/>
      <c r="J82" s="174"/>
      <c r="K82" s="174"/>
      <c r="L82" s="174"/>
      <c r="M82" s="174"/>
      <c r="N82" s="174"/>
      <c r="O82" s="174"/>
      <c r="P82" s="174"/>
      <c r="Q82" s="174"/>
      <c r="R82" s="174"/>
      <c r="S82" s="174"/>
      <c r="T82" s="174"/>
      <c r="U82" s="174"/>
      <c r="V82" s="174"/>
      <c r="W82" s="174"/>
      <c r="X82" s="174"/>
      <c r="Y82" s="174"/>
      <c r="Z82" s="174"/>
      <c r="AA82" s="174"/>
    </row>
    <row r="83" customFormat="false" ht="15.75" hidden="false" customHeight="false" outlineLevel="0" collapsed="false">
      <c r="A83" s="174" t="str">
        <f aca="false">IF(ISBLANK(B83),"",B83&amp;"|"&amp;C83)</f>
        <v/>
      </c>
      <c r="B83" s="174"/>
      <c r="C83" s="174"/>
      <c r="D83" s="174"/>
      <c r="E83" s="179"/>
      <c r="F83" s="174"/>
      <c r="G83" s="174"/>
      <c r="H83" s="174"/>
      <c r="I83" s="174"/>
      <c r="J83" s="174"/>
      <c r="K83" s="174"/>
      <c r="L83" s="174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4"/>
      <c r="X83" s="174"/>
      <c r="Y83" s="174"/>
      <c r="Z83" s="174"/>
      <c r="AA83" s="174"/>
    </row>
    <row r="84" customFormat="false" ht="15.75" hidden="false" customHeight="false" outlineLevel="0" collapsed="false">
      <c r="A84" s="174" t="str">
        <f aca="false">IF(ISBLANK(B84),"",B84&amp;"|"&amp;C84)</f>
        <v/>
      </c>
      <c r="B84" s="174"/>
      <c r="C84" s="174"/>
      <c r="D84" s="174"/>
      <c r="E84" s="179"/>
      <c r="F84" s="174"/>
      <c r="G84" s="174"/>
      <c r="H84" s="174"/>
      <c r="I84" s="174"/>
      <c r="J84" s="174"/>
      <c r="K84" s="174"/>
      <c r="L84" s="174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4"/>
      <c r="X84" s="174"/>
      <c r="Y84" s="174"/>
      <c r="Z84" s="174"/>
      <c r="AA84" s="174"/>
    </row>
    <row r="85" customFormat="false" ht="15.75" hidden="false" customHeight="false" outlineLevel="0" collapsed="false">
      <c r="A85" s="174" t="str">
        <f aca="false">IF(ISBLANK(B85),"",B85&amp;"|"&amp;C85)</f>
        <v/>
      </c>
      <c r="B85" s="174"/>
      <c r="C85" s="174"/>
      <c r="D85" s="174"/>
      <c r="E85" s="179"/>
      <c r="F85" s="174"/>
      <c r="G85" s="174"/>
      <c r="H85" s="174"/>
      <c r="I85" s="174"/>
      <c r="J85" s="174"/>
      <c r="K85" s="174"/>
      <c r="L85" s="174"/>
      <c r="M85" s="174"/>
      <c r="N85" s="174"/>
      <c r="O85" s="174"/>
      <c r="P85" s="174"/>
      <c r="Q85" s="174"/>
      <c r="R85" s="174"/>
      <c r="S85" s="174"/>
      <c r="T85" s="174"/>
      <c r="U85" s="174"/>
      <c r="V85" s="174"/>
      <c r="W85" s="174"/>
      <c r="X85" s="174"/>
      <c r="Y85" s="174"/>
      <c r="Z85" s="174"/>
      <c r="AA85" s="174"/>
    </row>
    <row r="86" customFormat="false" ht="15.75" hidden="false" customHeight="false" outlineLevel="0" collapsed="false">
      <c r="A86" s="174" t="str">
        <f aca="false">IF(ISBLANK(B86),"",B86&amp;"|"&amp;C86)</f>
        <v/>
      </c>
      <c r="B86" s="174"/>
      <c r="C86" s="174"/>
      <c r="D86" s="174"/>
      <c r="E86" s="179"/>
      <c r="F86" s="174"/>
      <c r="G86" s="174"/>
      <c r="H86" s="174"/>
      <c r="I86" s="174"/>
      <c r="J86" s="174"/>
      <c r="K86" s="174"/>
      <c r="L86" s="174"/>
      <c r="M86" s="174"/>
      <c r="N86" s="174"/>
      <c r="O86" s="174"/>
      <c r="P86" s="174"/>
      <c r="Q86" s="174"/>
      <c r="R86" s="174"/>
      <c r="S86" s="174"/>
      <c r="T86" s="174"/>
      <c r="U86" s="174"/>
      <c r="V86" s="174"/>
      <c r="W86" s="174"/>
      <c r="X86" s="174"/>
      <c r="Y86" s="174"/>
      <c r="Z86" s="174"/>
      <c r="AA86" s="174"/>
    </row>
    <row r="87" customFormat="false" ht="15.75" hidden="false" customHeight="false" outlineLevel="0" collapsed="false">
      <c r="A87" s="174" t="str">
        <f aca="false">IF(ISBLANK(B87),"",B87&amp;"|"&amp;C87)</f>
        <v/>
      </c>
      <c r="B87" s="174"/>
      <c r="C87" s="174"/>
      <c r="D87" s="174"/>
      <c r="E87" s="179"/>
      <c r="F87" s="174"/>
      <c r="G87" s="174"/>
      <c r="H87" s="174"/>
      <c r="I87" s="174"/>
      <c r="J87" s="174"/>
      <c r="K87" s="174"/>
      <c r="L87" s="174"/>
      <c r="M87" s="174"/>
      <c r="N87" s="174"/>
      <c r="O87" s="174"/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Z87" s="174"/>
      <c r="AA87" s="174"/>
    </row>
    <row r="88" customFormat="false" ht="15.75" hidden="false" customHeight="false" outlineLevel="0" collapsed="false">
      <c r="A88" s="174" t="str">
        <f aca="false">IF(ISBLANK(B88),"",B88&amp;"|"&amp;C88)</f>
        <v/>
      </c>
      <c r="B88" s="174"/>
      <c r="C88" s="174"/>
      <c r="D88" s="174"/>
      <c r="E88" s="179"/>
      <c r="F88" s="174"/>
      <c r="G88" s="174"/>
      <c r="H88" s="174"/>
      <c r="I88" s="174"/>
      <c r="J88" s="174"/>
      <c r="K88" s="174"/>
      <c r="L88" s="174"/>
      <c r="M88" s="174"/>
      <c r="N88" s="174"/>
      <c r="O88" s="174"/>
      <c r="P88" s="174"/>
      <c r="Q88" s="174"/>
      <c r="R88" s="174"/>
      <c r="S88" s="174"/>
      <c r="T88" s="174"/>
      <c r="U88" s="174"/>
      <c r="V88" s="174"/>
      <c r="W88" s="174"/>
      <c r="X88" s="174"/>
      <c r="Y88" s="174"/>
      <c r="Z88" s="174"/>
      <c r="AA88" s="174"/>
    </row>
    <row r="89" customFormat="false" ht="15.75" hidden="false" customHeight="false" outlineLevel="0" collapsed="false">
      <c r="A89" s="174" t="str">
        <f aca="false">IF(ISBLANK(B89),"",B89&amp;"|"&amp;C89)</f>
        <v/>
      </c>
      <c r="B89" s="174"/>
      <c r="C89" s="174"/>
      <c r="D89" s="174"/>
      <c r="E89" s="179"/>
      <c r="F89" s="174"/>
      <c r="G89" s="174"/>
      <c r="H89" s="174"/>
      <c r="I89" s="174"/>
      <c r="J89" s="174"/>
      <c r="K89" s="174"/>
      <c r="L89" s="174"/>
      <c r="M89" s="174"/>
      <c r="N89" s="174"/>
      <c r="O89" s="174"/>
      <c r="P89" s="174"/>
      <c r="Q89" s="174"/>
      <c r="R89" s="174"/>
      <c r="S89" s="174"/>
      <c r="T89" s="174"/>
      <c r="U89" s="174"/>
      <c r="V89" s="174"/>
      <c r="W89" s="174"/>
      <c r="X89" s="174"/>
      <c r="Y89" s="174"/>
      <c r="Z89" s="174"/>
      <c r="AA89" s="174"/>
    </row>
    <row r="90" customFormat="false" ht="15.75" hidden="false" customHeight="false" outlineLevel="0" collapsed="false">
      <c r="A90" s="174" t="str">
        <f aca="false">IF(ISBLANK(B90),"",B90&amp;"|"&amp;C90)</f>
        <v/>
      </c>
      <c r="B90" s="174"/>
      <c r="C90" s="174"/>
      <c r="D90" s="174"/>
      <c r="E90" s="179"/>
      <c r="F90" s="174"/>
      <c r="G90" s="174"/>
      <c r="H90" s="174"/>
      <c r="I90" s="174"/>
      <c r="J90" s="174"/>
      <c r="K90" s="174"/>
      <c r="L90" s="174"/>
      <c r="M90" s="174"/>
      <c r="N90" s="174"/>
      <c r="O90" s="174"/>
      <c r="P90" s="174"/>
      <c r="Q90" s="174"/>
      <c r="R90" s="174"/>
      <c r="S90" s="174"/>
      <c r="T90" s="174"/>
      <c r="U90" s="174"/>
      <c r="V90" s="174"/>
      <c r="W90" s="174"/>
      <c r="X90" s="174"/>
      <c r="Y90" s="174"/>
      <c r="Z90" s="174"/>
      <c r="AA90" s="174"/>
    </row>
    <row r="91" customFormat="false" ht="15.75" hidden="false" customHeight="false" outlineLevel="0" collapsed="false">
      <c r="A91" s="174" t="str">
        <f aca="false">IF(ISBLANK(B91),"",B91&amp;"|"&amp;C91)</f>
        <v/>
      </c>
      <c r="B91" s="174"/>
      <c r="C91" s="174"/>
      <c r="D91" s="174"/>
      <c r="E91" s="179"/>
      <c r="F91" s="174"/>
      <c r="G91" s="174"/>
      <c r="H91" s="174"/>
      <c r="I91" s="174"/>
      <c r="J91" s="174"/>
      <c r="K91" s="174"/>
      <c r="L91" s="174"/>
      <c r="M91" s="174"/>
      <c r="N91" s="174"/>
      <c r="O91" s="174"/>
      <c r="P91" s="174"/>
      <c r="Q91" s="174"/>
      <c r="R91" s="174"/>
      <c r="S91" s="174"/>
      <c r="T91" s="174"/>
      <c r="U91" s="174"/>
      <c r="V91" s="174"/>
      <c r="W91" s="174"/>
      <c r="X91" s="174"/>
      <c r="Y91" s="174"/>
      <c r="Z91" s="174"/>
      <c r="AA91" s="174"/>
    </row>
    <row r="92" customFormat="false" ht="15.75" hidden="false" customHeight="false" outlineLevel="0" collapsed="false">
      <c r="A92" s="174" t="str">
        <f aca="false">IF(ISBLANK(B92),"",B92&amp;"|"&amp;C92)</f>
        <v/>
      </c>
      <c r="B92" s="174"/>
      <c r="C92" s="174"/>
      <c r="D92" s="174"/>
      <c r="E92" s="179"/>
      <c r="F92" s="174"/>
      <c r="G92" s="174"/>
      <c r="H92" s="174"/>
      <c r="I92" s="174"/>
      <c r="J92" s="174"/>
      <c r="K92" s="174"/>
      <c r="L92" s="174"/>
      <c r="M92" s="174"/>
      <c r="N92" s="174"/>
      <c r="O92" s="174"/>
      <c r="P92" s="174"/>
      <c r="Q92" s="174"/>
      <c r="R92" s="174"/>
      <c r="S92" s="174"/>
      <c r="T92" s="174"/>
      <c r="U92" s="174"/>
      <c r="V92" s="174"/>
      <c r="W92" s="174"/>
      <c r="X92" s="174"/>
      <c r="Y92" s="174"/>
      <c r="Z92" s="174"/>
      <c r="AA92" s="174"/>
    </row>
    <row r="93" customFormat="false" ht="15.75" hidden="false" customHeight="false" outlineLevel="0" collapsed="false">
      <c r="A93" s="174" t="str">
        <f aca="false">IF(ISBLANK(B93),"",B93&amp;"|"&amp;C93)</f>
        <v/>
      </c>
      <c r="B93" s="174"/>
      <c r="C93" s="174"/>
      <c r="D93" s="174"/>
      <c r="E93" s="179"/>
      <c r="F93" s="174"/>
      <c r="G93" s="174"/>
      <c r="H93" s="174"/>
      <c r="I93" s="174"/>
      <c r="J93" s="174"/>
      <c r="K93" s="174"/>
      <c r="L93" s="174"/>
      <c r="M93" s="174"/>
      <c r="N93" s="174"/>
      <c r="O93" s="174"/>
      <c r="P93" s="174"/>
      <c r="Q93" s="174"/>
      <c r="R93" s="174"/>
      <c r="S93" s="174"/>
      <c r="T93" s="174"/>
      <c r="U93" s="174"/>
      <c r="V93" s="174"/>
      <c r="W93" s="174"/>
      <c r="X93" s="174"/>
      <c r="Y93" s="174"/>
      <c r="Z93" s="174"/>
      <c r="AA93" s="174"/>
    </row>
    <row r="94" customFormat="false" ht="15.75" hidden="false" customHeight="false" outlineLevel="0" collapsed="false">
      <c r="A94" s="174" t="str">
        <f aca="false">IF(ISBLANK(B94),"",B94&amp;"|"&amp;C94)</f>
        <v/>
      </c>
      <c r="B94" s="174"/>
      <c r="C94" s="174"/>
      <c r="D94" s="174"/>
      <c r="E94" s="179"/>
      <c r="F94" s="174"/>
      <c r="G94" s="174"/>
      <c r="H94" s="174"/>
      <c r="I94" s="174"/>
      <c r="J94" s="174"/>
      <c r="K94" s="174"/>
      <c r="L94" s="174"/>
      <c r="M94" s="174"/>
      <c r="N94" s="174"/>
      <c r="O94" s="174"/>
      <c r="P94" s="174"/>
      <c r="Q94" s="174"/>
      <c r="R94" s="174"/>
      <c r="S94" s="174"/>
      <c r="T94" s="174"/>
      <c r="U94" s="174"/>
      <c r="V94" s="174"/>
      <c r="W94" s="174"/>
      <c r="X94" s="174"/>
      <c r="Y94" s="174"/>
      <c r="Z94" s="174"/>
      <c r="AA94" s="174"/>
    </row>
    <row r="95" customFormat="false" ht="15.75" hidden="false" customHeight="false" outlineLevel="0" collapsed="false">
      <c r="A95" s="174" t="str">
        <f aca="false">IF(ISBLANK(B95),"",B95&amp;"|"&amp;C95)</f>
        <v/>
      </c>
      <c r="B95" s="174"/>
      <c r="C95" s="174"/>
      <c r="D95" s="174"/>
      <c r="E95" s="179"/>
      <c r="F95" s="174"/>
      <c r="G95" s="174"/>
      <c r="H95" s="174"/>
      <c r="I95" s="174"/>
      <c r="J95" s="174"/>
      <c r="K95" s="174"/>
      <c r="L95" s="174"/>
      <c r="M95" s="174"/>
      <c r="N95" s="174"/>
      <c r="O95" s="174"/>
      <c r="P95" s="174"/>
      <c r="Q95" s="174"/>
      <c r="R95" s="174"/>
      <c r="S95" s="174"/>
      <c r="T95" s="174"/>
      <c r="U95" s="174"/>
      <c r="V95" s="174"/>
      <c r="W95" s="174"/>
      <c r="X95" s="174"/>
      <c r="Y95" s="174"/>
      <c r="Z95" s="174"/>
      <c r="AA95" s="174"/>
    </row>
    <row r="96" customFormat="false" ht="15.75" hidden="false" customHeight="false" outlineLevel="0" collapsed="false">
      <c r="A96" s="174" t="str">
        <f aca="false">IF(ISBLANK(B96),"",B96&amp;"|"&amp;C96)</f>
        <v/>
      </c>
      <c r="B96" s="174"/>
      <c r="C96" s="174"/>
      <c r="D96" s="174"/>
      <c r="E96" s="179"/>
      <c r="F96" s="174"/>
      <c r="G96" s="174"/>
      <c r="H96" s="174"/>
      <c r="I96" s="174"/>
      <c r="J96" s="174"/>
      <c r="K96" s="174"/>
      <c r="L96" s="174"/>
      <c r="M96" s="174"/>
      <c r="N96" s="174"/>
      <c r="O96" s="174"/>
      <c r="P96" s="174"/>
      <c r="Q96" s="174"/>
      <c r="R96" s="174"/>
      <c r="S96" s="174"/>
      <c r="T96" s="174"/>
      <c r="U96" s="174"/>
      <c r="V96" s="174"/>
      <c r="W96" s="174"/>
      <c r="X96" s="174"/>
      <c r="Y96" s="174"/>
      <c r="Z96" s="174"/>
      <c r="AA96" s="174"/>
    </row>
    <row r="97" customFormat="false" ht="15.75" hidden="false" customHeight="false" outlineLevel="0" collapsed="false">
      <c r="A97" s="174" t="str">
        <f aca="false">IF(ISBLANK(B97),"",B97&amp;"|"&amp;C97)</f>
        <v/>
      </c>
      <c r="B97" s="174"/>
      <c r="C97" s="174"/>
      <c r="D97" s="174"/>
      <c r="E97" s="179"/>
      <c r="F97" s="174"/>
      <c r="G97" s="174"/>
      <c r="H97" s="174"/>
      <c r="I97" s="174"/>
      <c r="J97" s="174"/>
      <c r="K97" s="174"/>
      <c r="L97" s="174"/>
      <c r="M97" s="174"/>
      <c r="N97" s="174"/>
      <c r="O97" s="174"/>
      <c r="P97" s="174"/>
      <c r="Q97" s="174"/>
      <c r="R97" s="174"/>
      <c r="S97" s="174"/>
      <c r="T97" s="174"/>
      <c r="U97" s="174"/>
      <c r="V97" s="174"/>
      <c r="W97" s="174"/>
      <c r="X97" s="174"/>
      <c r="Y97" s="174"/>
      <c r="Z97" s="174"/>
      <c r="AA97" s="174"/>
    </row>
    <row r="98" customFormat="false" ht="15.75" hidden="false" customHeight="false" outlineLevel="0" collapsed="false">
      <c r="A98" s="174" t="str">
        <f aca="false">IF(ISBLANK(B98),"",B98&amp;"|"&amp;C98)</f>
        <v/>
      </c>
      <c r="B98" s="174"/>
      <c r="C98" s="174"/>
      <c r="D98" s="174"/>
      <c r="E98" s="179"/>
      <c r="F98" s="174"/>
      <c r="G98" s="174"/>
      <c r="H98" s="174"/>
      <c r="I98" s="174"/>
      <c r="J98" s="174"/>
      <c r="K98" s="174"/>
      <c r="L98" s="174"/>
      <c r="M98" s="174"/>
      <c r="N98" s="174"/>
      <c r="O98" s="174"/>
      <c r="P98" s="174"/>
      <c r="Q98" s="174"/>
      <c r="R98" s="174"/>
      <c r="S98" s="174"/>
      <c r="T98" s="174"/>
      <c r="U98" s="174"/>
      <c r="V98" s="174"/>
      <c r="W98" s="174"/>
      <c r="X98" s="174"/>
      <c r="Y98" s="174"/>
      <c r="Z98" s="174"/>
      <c r="AA98" s="174"/>
    </row>
    <row r="99" customFormat="false" ht="15.75" hidden="false" customHeight="false" outlineLevel="0" collapsed="false">
      <c r="A99" s="174" t="str">
        <f aca="false">IF(ISBLANK(B99),"",B99&amp;"|"&amp;C99)</f>
        <v/>
      </c>
      <c r="B99" s="174"/>
      <c r="C99" s="174"/>
      <c r="D99" s="174"/>
      <c r="E99" s="179"/>
      <c r="F99" s="174"/>
      <c r="G99" s="174"/>
      <c r="H99" s="174"/>
      <c r="I99" s="174"/>
      <c r="J99" s="174"/>
      <c r="K99" s="174"/>
      <c r="L99" s="174"/>
      <c r="M99" s="174"/>
      <c r="N99" s="174"/>
      <c r="O99" s="174"/>
      <c r="P99" s="174"/>
      <c r="Q99" s="174"/>
      <c r="R99" s="174"/>
      <c r="S99" s="174"/>
      <c r="T99" s="174"/>
      <c r="U99" s="174"/>
      <c r="V99" s="174"/>
      <c r="W99" s="174"/>
      <c r="X99" s="174"/>
      <c r="Y99" s="174"/>
      <c r="Z99" s="174"/>
      <c r="AA99" s="174"/>
    </row>
    <row r="100" customFormat="false" ht="15.75" hidden="false" customHeight="false" outlineLevel="0" collapsed="false">
      <c r="A100" s="174" t="str">
        <f aca="false">IF(ISBLANK(B100),"",B100&amp;"|"&amp;C100)</f>
        <v/>
      </c>
      <c r="B100" s="174"/>
      <c r="C100" s="174"/>
      <c r="D100" s="174"/>
      <c r="E100" s="179"/>
      <c r="F100" s="174"/>
      <c r="G100" s="174"/>
      <c r="H100" s="174"/>
      <c r="I100" s="174"/>
      <c r="J100" s="174"/>
      <c r="K100" s="174"/>
      <c r="L100" s="174"/>
      <c r="M100" s="174"/>
      <c r="N100" s="174"/>
      <c r="O100" s="174"/>
      <c r="P100" s="174"/>
      <c r="Q100" s="174"/>
      <c r="R100" s="174"/>
      <c r="S100" s="174"/>
      <c r="T100" s="174"/>
      <c r="U100" s="174"/>
      <c r="V100" s="174"/>
      <c r="W100" s="174"/>
      <c r="X100" s="174"/>
      <c r="Y100" s="174"/>
      <c r="Z100" s="174"/>
      <c r="AA100" s="174"/>
    </row>
    <row r="101" customFormat="false" ht="15.75" hidden="false" customHeight="false" outlineLevel="0" collapsed="false">
      <c r="A101" s="174" t="str">
        <f aca="false">IF(ISBLANK(B101),"",B101&amp;"|"&amp;C101)</f>
        <v/>
      </c>
      <c r="B101" s="174"/>
      <c r="C101" s="174"/>
      <c r="D101" s="174"/>
      <c r="E101" s="179"/>
      <c r="F101" s="174"/>
      <c r="G101" s="174"/>
      <c r="H101" s="174"/>
      <c r="I101" s="174"/>
      <c r="J101" s="174"/>
      <c r="K101" s="174"/>
      <c r="L101" s="174"/>
      <c r="M101" s="174"/>
      <c r="N101" s="174"/>
      <c r="O101" s="174"/>
      <c r="P101" s="174"/>
      <c r="Q101" s="174"/>
      <c r="R101" s="174"/>
      <c r="S101" s="174"/>
      <c r="T101" s="174"/>
      <c r="U101" s="174"/>
      <c r="V101" s="174"/>
      <c r="W101" s="174"/>
      <c r="X101" s="174"/>
      <c r="Y101" s="174"/>
      <c r="Z101" s="174"/>
      <c r="AA101" s="174"/>
    </row>
    <row r="102" customFormat="false" ht="15.75" hidden="false" customHeight="false" outlineLevel="0" collapsed="false">
      <c r="A102" s="174" t="str">
        <f aca="false">IF(ISBLANK(B102),"",B102&amp;"|"&amp;C102)</f>
        <v/>
      </c>
      <c r="B102" s="174"/>
      <c r="C102" s="174"/>
      <c r="D102" s="174"/>
      <c r="E102" s="179"/>
      <c r="F102" s="174"/>
      <c r="G102" s="174"/>
      <c r="H102" s="174"/>
      <c r="I102" s="174"/>
      <c r="J102" s="174"/>
      <c r="K102" s="174"/>
      <c r="L102" s="174"/>
      <c r="M102" s="174"/>
      <c r="N102" s="174"/>
      <c r="O102" s="174"/>
      <c r="P102" s="174"/>
      <c r="Q102" s="174"/>
      <c r="R102" s="174"/>
      <c r="S102" s="174"/>
      <c r="T102" s="174"/>
      <c r="U102" s="174"/>
      <c r="V102" s="174"/>
      <c r="W102" s="174"/>
      <c r="X102" s="174"/>
      <c r="Y102" s="174"/>
      <c r="Z102" s="174"/>
      <c r="AA102" s="174"/>
    </row>
    <row r="103" customFormat="false" ht="15.75" hidden="false" customHeight="false" outlineLevel="0" collapsed="false">
      <c r="A103" s="174" t="str">
        <f aca="false">IF(ISBLANK(B103),"",B103&amp;"|"&amp;C103)</f>
        <v/>
      </c>
      <c r="B103" s="174"/>
      <c r="C103" s="174"/>
      <c r="D103" s="174"/>
      <c r="E103" s="179"/>
      <c r="F103" s="174"/>
      <c r="G103" s="174"/>
      <c r="H103" s="174"/>
      <c r="I103" s="174"/>
      <c r="J103" s="174"/>
      <c r="K103" s="174"/>
      <c r="L103" s="174"/>
      <c r="M103" s="174"/>
      <c r="N103" s="174"/>
      <c r="O103" s="174"/>
      <c r="P103" s="174"/>
      <c r="Q103" s="174"/>
      <c r="R103" s="174"/>
      <c r="S103" s="174"/>
      <c r="T103" s="174"/>
      <c r="U103" s="174"/>
      <c r="V103" s="174"/>
      <c r="W103" s="174"/>
      <c r="X103" s="174"/>
      <c r="Y103" s="174"/>
      <c r="Z103" s="174"/>
      <c r="AA103" s="174"/>
    </row>
    <row r="104" customFormat="false" ht="15.75" hidden="false" customHeight="false" outlineLevel="0" collapsed="false">
      <c r="A104" s="174" t="str">
        <f aca="false">IF(ISBLANK(B104),"",B104&amp;"|"&amp;C104)</f>
        <v/>
      </c>
      <c r="B104" s="174"/>
      <c r="C104" s="174"/>
      <c r="D104" s="174"/>
      <c r="E104" s="179"/>
      <c r="F104" s="174"/>
      <c r="G104" s="174"/>
      <c r="H104" s="174"/>
      <c r="I104" s="174"/>
      <c r="J104" s="174"/>
      <c r="K104" s="174"/>
      <c r="L104" s="174"/>
      <c r="M104" s="174"/>
      <c r="N104" s="174"/>
      <c r="O104" s="174"/>
      <c r="P104" s="174"/>
      <c r="Q104" s="174"/>
      <c r="R104" s="174"/>
      <c r="S104" s="174"/>
      <c r="T104" s="174"/>
      <c r="U104" s="174"/>
      <c r="V104" s="174"/>
      <c r="W104" s="174"/>
      <c r="X104" s="174"/>
      <c r="Y104" s="174"/>
      <c r="Z104" s="174"/>
      <c r="AA104" s="174"/>
    </row>
    <row r="105" customFormat="false" ht="15.75" hidden="false" customHeight="false" outlineLevel="0" collapsed="false">
      <c r="A105" s="174" t="str">
        <f aca="false">IF(ISBLANK(B105),"",B105&amp;"|"&amp;C105)</f>
        <v/>
      </c>
      <c r="B105" s="174"/>
      <c r="C105" s="174"/>
      <c r="D105" s="174"/>
      <c r="E105" s="179"/>
      <c r="F105" s="174"/>
      <c r="G105" s="174"/>
      <c r="H105" s="174"/>
      <c r="I105" s="174"/>
      <c r="J105" s="174"/>
      <c r="K105" s="174"/>
      <c r="L105" s="174"/>
      <c r="M105" s="174"/>
      <c r="N105" s="174"/>
      <c r="O105" s="174"/>
      <c r="P105" s="174"/>
      <c r="Q105" s="174"/>
      <c r="R105" s="174"/>
      <c r="S105" s="174"/>
      <c r="T105" s="174"/>
      <c r="U105" s="174"/>
      <c r="V105" s="174"/>
      <c r="W105" s="174"/>
      <c r="X105" s="174"/>
      <c r="Y105" s="174"/>
      <c r="Z105" s="174"/>
      <c r="AA105" s="174"/>
    </row>
    <row r="106" customFormat="false" ht="15.75" hidden="false" customHeight="false" outlineLevel="0" collapsed="false">
      <c r="A106" s="174" t="str">
        <f aca="false">IF(ISBLANK(B106),"",B106&amp;"|"&amp;C106)</f>
        <v/>
      </c>
      <c r="B106" s="174"/>
      <c r="C106" s="174"/>
      <c r="D106" s="174"/>
      <c r="E106" s="179"/>
      <c r="F106" s="174"/>
      <c r="G106" s="174"/>
      <c r="H106" s="174"/>
      <c r="I106" s="174"/>
      <c r="J106" s="174"/>
      <c r="K106" s="174"/>
      <c r="L106" s="174"/>
      <c r="M106" s="174"/>
      <c r="N106" s="174"/>
      <c r="O106" s="174"/>
      <c r="P106" s="174"/>
      <c r="Q106" s="174"/>
      <c r="R106" s="174"/>
      <c r="S106" s="174"/>
      <c r="T106" s="174"/>
      <c r="U106" s="174"/>
      <c r="V106" s="174"/>
      <c r="W106" s="174"/>
      <c r="X106" s="174"/>
      <c r="Y106" s="174"/>
      <c r="Z106" s="174"/>
      <c r="AA106" s="174"/>
    </row>
    <row r="107" customFormat="false" ht="15.75" hidden="false" customHeight="false" outlineLevel="0" collapsed="false">
      <c r="A107" s="174" t="str">
        <f aca="false">IF(ISBLANK(B107),"",B107&amp;"|"&amp;C107)</f>
        <v/>
      </c>
      <c r="B107" s="174"/>
      <c r="C107" s="174"/>
      <c r="D107" s="174"/>
      <c r="E107" s="179"/>
      <c r="F107" s="174"/>
      <c r="G107" s="174"/>
      <c r="H107" s="174"/>
      <c r="I107" s="174"/>
      <c r="J107" s="174"/>
      <c r="K107" s="174"/>
      <c r="L107" s="174"/>
      <c r="M107" s="174"/>
      <c r="N107" s="174"/>
      <c r="O107" s="174"/>
      <c r="P107" s="174"/>
      <c r="Q107" s="174"/>
      <c r="R107" s="174"/>
      <c r="S107" s="174"/>
      <c r="T107" s="174"/>
      <c r="U107" s="174"/>
      <c r="V107" s="174"/>
      <c r="W107" s="174"/>
      <c r="X107" s="174"/>
      <c r="Y107" s="174"/>
      <c r="Z107" s="174"/>
      <c r="AA107" s="174"/>
    </row>
    <row r="108" customFormat="false" ht="15.75" hidden="false" customHeight="false" outlineLevel="0" collapsed="false">
      <c r="A108" s="174" t="str">
        <f aca="false">IF(ISBLANK(B108),"",B108&amp;"|"&amp;C108)</f>
        <v/>
      </c>
      <c r="B108" s="174"/>
      <c r="C108" s="174"/>
      <c r="D108" s="174"/>
      <c r="E108" s="179"/>
      <c r="F108" s="174"/>
      <c r="G108" s="174"/>
      <c r="H108" s="174"/>
      <c r="I108" s="174"/>
      <c r="J108" s="174"/>
      <c r="K108" s="174"/>
      <c r="L108" s="174"/>
      <c r="M108" s="174"/>
      <c r="N108" s="174"/>
      <c r="O108" s="174"/>
      <c r="P108" s="174"/>
      <c r="Q108" s="174"/>
      <c r="R108" s="174"/>
      <c r="S108" s="174"/>
      <c r="T108" s="174"/>
      <c r="U108" s="174"/>
      <c r="V108" s="174"/>
      <c r="W108" s="174"/>
      <c r="X108" s="174"/>
      <c r="Y108" s="174"/>
      <c r="Z108" s="174"/>
      <c r="AA108" s="174"/>
    </row>
    <row r="109" customFormat="false" ht="15.75" hidden="false" customHeight="false" outlineLevel="0" collapsed="false">
      <c r="A109" s="174" t="str">
        <f aca="false">IF(ISBLANK(B109),"",B109&amp;"|"&amp;C109)</f>
        <v/>
      </c>
      <c r="B109" s="174"/>
      <c r="C109" s="174"/>
      <c r="D109" s="174"/>
      <c r="E109" s="179"/>
      <c r="F109" s="174"/>
      <c r="G109" s="174"/>
      <c r="H109" s="174"/>
      <c r="I109" s="174"/>
      <c r="J109" s="174"/>
      <c r="K109" s="174"/>
      <c r="L109" s="174"/>
      <c r="M109" s="174"/>
      <c r="N109" s="174"/>
      <c r="O109" s="174"/>
      <c r="P109" s="174"/>
      <c r="Q109" s="174"/>
      <c r="R109" s="174"/>
      <c r="S109" s="174"/>
      <c r="T109" s="174"/>
      <c r="U109" s="174"/>
      <c r="V109" s="174"/>
      <c r="W109" s="174"/>
      <c r="X109" s="174"/>
      <c r="Y109" s="174"/>
      <c r="Z109" s="174"/>
      <c r="AA109" s="174"/>
    </row>
    <row r="110" customFormat="false" ht="15.75" hidden="false" customHeight="false" outlineLevel="0" collapsed="false">
      <c r="A110" s="174" t="str">
        <f aca="false">IF(ISBLANK(B110),"",B110&amp;"|"&amp;C110)</f>
        <v/>
      </c>
      <c r="B110" s="174"/>
      <c r="C110" s="174"/>
      <c r="D110" s="174"/>
      <c r="E110" s="179"/>
      <c r="F110" s="174"/>
      <c r="G110" s="174"/>
      <c r="H110" s="174"/>
      <c r="I110" s="174"/>
      <c r="J110" s="174"/>
      <c r="K110" s="174"/>
      <c r="L110" s="174"/>
      <c r="M110" s="174"/>
      <c r="N110" s="174"/>
      <c r="O110" s="174"/>
      <c r="P110" s="174"/>
      <c r="Q110" s="174"/>
      <c r="R110" s="174"/>
      <c r="S110" s="174"/>
      <c r="T110" s="174"/>
      <c r="U110" s="174"/>
      <c r="V110" s="174"/>
      <c r="W110" s="174"/>
      <c r="X110" s="174"/>
      <c r="Y110" s="174"/>
      <c r="Z110" s="174"/>
      <c r="AA110" s="174"/>
    </row>
    <row r="111" customFormat="false" ht="15.75" hidden="false" customHeight="false" outlineLevel="0" collapsed="false">
      <c r="A111" s="174" t="str">
        <f aca="false">IF(ISBLANK(B111),"",B111&amp;"|"&amp;C111)</f>
        <v/>
      </c>
      <c r="B111" s="174"/>
      <c r="C111" s="174"/>
      <c r="D111" s="174"/>
      <c r="E111" s="179"/>
      <c r="F111" s="174"/>
      <c r="G111" s="174"/>
      <c r="H111" s="174"/>
      <c r="I111" s="174"/>
      <c r="J111" s="174"/>
      <c r="K111" s="174"/>
      <c r="L111" s="174"/>
      <c r="M111" s="174"/>
      <c r="N111" s="174"/>
      <c r="O111" s="174"/>
      <c r="P111" s="174"/>
      <c r="Q111" s="174"/>
      <c r="R111" s="174"/>
      <c r="S111" s="174"/>
      <c r="T111" s="174"/>
      <c r="U111" s="174"/>
      <c r="V111" s="174"/>
      <c r="W111" s="174"/>
      <c r="X111" s="174"/>
      <c r="Y111" s="174"/>
      <c r="Z111" s="174"/>
      <c r="AA111" s="174"/>
    </row>
    <row r="112" customFormat="false" ht="15.75" hidden="false" customHeight="false" outlineLevel="0" collapsed="false">
      <c r="A112" s="174" t="str">
        <f aca="false">IF(ISBLANK(B112),"",B112&amp;"|"&amp;C112)</f>
        <v/>
      </c>
      <c r="B112" s="174"/>
      <c r="C112" s="174"/>
      <c r="D112" s="174"/>
      <c r="E112" s="179"/>
      <c r="F112" s="174"/>
      <c r="G112" s="174"/>
      <c r="H112" s="174"/>
      <c r="I112" s="174"/>
      <c r="J112" s="174"/>
      <c r="K112" s="174"/>
      <c r="L112" s="174"/>
      <c r="M112" s="174"/>
      <c r="N112" s="174"/>
      <c r="O112" s="174"/>
      <c r="P112" s="174"/>
      <c r="Q112" s="174"/>
      <c r="R112" s="174"/>
      <c r="S112" s="174"/>
      <c r="T112" s="174"/>
      <c r="U112" s="174"/>
      <c r="V112" s="174"/>
      <c r="W112" s="174"/>
      <c r="X112" s="174"/>
      <c r="Y112" s="174"/>
      <c r="Z112" s="174"/>
      <c r="AA112" s="174"/>
    </row>
    <row r="113" customFormat="false" ht="15.75" hidden="false" customHeight="false" outlineLevel="0" collapsed="false">
      <c r="A113" s="174" t="str">
        <f aca="false">IF(ISBLANK(B113),"",B113&amp;"|"&amp;C113)</f>
        <v/>
      </c>
      <c r="B113" s="174"/>
      <c r="C113" s="174"/>
      <c r="D113" s="174"/>
      <c r="E113" s="179"/>
      <c r="F113" s="174"/>
      <c r="G113" s="174"/>
      <c r="H113" s="174"/>
      <c r="I113" s="174"/>
      <c r="J113" s="174"/>
      <c r="K113" s="174"/>
      <c r="L113" s="174"/>
      <c r="M113" s="174"/>
      <c r="N113" s="174"/>
      <c r="O113" s="174"/>
      <c r="P113" s="174"/>
      <c r="Q113" s="174"/>
      <c r="R113" s="174"/>
      <c r="S113" s="174"/>
      <c r="T113" s="174"/>
      <c r="U113" s="174"/>
      <c r="V113" s="174"/>
      <c r="W113" s="174"/>
      <c r="X113" s="174"/>
      <c r="Y113" s="174"/>
      <c r="Z113" s="174"/>
      <c r="AA113" s="174"/>
    </row>
    <row r="114" customFormat="false" ht="15.75" hidden="false" customHeight="false" outlineLevel="0" collapsed="false">
      <c r="A114" s="174" t="str">
        <f aca="false">IF(ISBLANK(B114),"",B114&amp;"|"&amp;C114)</f>
        <v/>
      </c>
      <c r="B114" s="174"/>
      <c r="C114" s="174"/>
      <c r="D114" s="174"/>
      <c r="E114" s="179"/>
      <c r="F114" s="174"/>
      <c r="G114" s="174"/>
      <c r="H114" s="174"/>
      <c r="I114" s="174"/>
      <c r="J114" s="174"/>
      <c r="K114" s="174"/>
      <c r="L114" s="174"/>
      <c r="M114" s="174"/>
      <c r="N114" s="174"/>
      <c r="O114" s="174"/>
      <c r="P114" s="174"/>
      <c r="Q114" s="174"/>
      <c r="R114" s="174"/>
      <c r="S114" s="174"/>
      <c r="T114" s="174"/>
      <c r="U114" s="174"/>
      <c r="V114" s="174"/>
      <c r="W114" s="174"/>
      <c r="X114" s="174"/>
      <c r="Y114" s="174"/>
      <c r="Z114" s="174"/>
      <c r="AA114" s="174"/>
    </row>
    <row r="115" customFormat="false" ht="15.75" hidden="false" customHeight="false" outlineLevel="0" collapsed="false">
      <c r="A115" s="174" t="str">
        <f aca="false">IF(ISBLANK(B115),"",B115&amp;"|"&amp;C115)</f>
        <v/>
      </c>
      <c r="B115" s="174"/>
      <c r="C115" s="174"/>
      <c r="D115" s="174"/>
      <c r="E115" s="179"/>
      <c r="F115" s="174"/>
      <c r="G115" s="174"/>
      <c r="H115" s="174"/>
      <c r="I115" s="174"/>
      <c r="J115" s="174"/>
      <c r="K115" s="174"/>
      <c r="L115" s="174"/>
      <c r="M115" s="174"/>
      <c r="N115" s="174"/>
      <c r="O115" s="174"/>
      <c r="P115" s="174"/>
      <c r="Q115" s="174"/>
      <c r="R115" s="174"/>
      <c r="S115" s="174"/>
      <c r="T115" s="174"/>
      <c r="U115" s="174"/>
      <c r="V115" s="174"/>
      <c r="W115" s="174"/>
      <c r="X115" s="174"/>
      <c r="Y115" s="174"/>
      <c r="Z115" s="174"/>
      <c r="AA115" s="174"/>
    </row>
    <row r="116" customFormat="false" ht="15.75" hidden="false" customHeight="false" outlineLevel="0" collapsed="false">
      <c r="A116" s="174" t="str">
        <f aca="false">IF(ISBLANK(B116),"",B116&amp;"|"&amp;C116)</f>
        <v/>
      </c>
      <c r="B116" s="174"/>
      <c r="C116" s="174"/>
      <c r="D116" s="174"/>
      <c r="E116" s="179"/>
      <c r="F116" s="174"/>
      <c r="G116" s="174"/>
      <c r="H116" s="174"/>
      <c r="I116" s="174"/>
      <c r="J116" s="174"/>
      <c r="K116" s="174"/>
      <c r="L116" s="174"/>
      <c r="M116" s="174"/>
      <c r="N116" s="174"/>
      <c r="O116" s="174"/>
      <c r="P116" s="174"/>
      <c r="Q116" s="174"/>
      <c r="R116" s="174"/>
      <c r="S116" s="174"/>
      <c r="T116" s="174"/>
      <c r="U116" s="174"/>
      <c r="V116" s="174"/>
      <c r="W116" s="174"/>
      <c r="X116" s="174"/>
      <c r="Y116" s="174"/>
      <c r="Z116" s="174"/>
      <c r="AA116" s="174"/>
    </row>
    <row r="117" customFormat="false" ht="15.75" hidden="false" customHeight="false" outlineLevel="0" collapsed="false">
      <c r="A117" s="174" t="str">
        <f aca="false">IF(ISBLANK(B117),"",B117&amp;"|"&amp;C117)</f>
        <v/>
      </c>
      <c r="B117" s="174"/>
      <c r="C117" s="174"/>
      <c r="D117" s="174"/>
      <c r="E117" s="179"/>
      <c r="F117" s="174"/>
      <c r="G117" s="174"/>
      <c r="H117" s="174"/>
      <c r="I117" s="174"/>
      <c r="J117" s="174"/>
      <c r="K117" s="174"/>
      <c r="L117" s="174"/>
      <c r="M117" s="174"/>
      <c r="N117" s="174"/>
      <c r="O117" s="174"/>
      <c r="P117" s="174"/>
      <c r="Q117" s="174"/>
      <c r="R117" s="174"/>
      <c r="S117" s="174"/>
      <c r="T117" s="174"/>
      <c r="U117" s="174"/>
      <c r="V117" s="174"/>
      <c r="W117" s="174"/>
      <c r="X117" s="174"/>
      <c r="Y117" s="174"/>
      <c r="Z117" s="174"/>
      <c r="AA117" s="174"/>
    </row>
    <row r="118" customFormat="false" ht="15.75" hidden="false" customHeight="false" outlineLevel="0" collapsed="false">
      <c r="A118" s="174" t="str">
        <f aca="false">IF(ISBLANK(B118),"",B118&amp;"|"&amp;C118)</f>
        <v/>
      </c>
      <c r="B118" s="174"/>
      <c r="C118" s="174"/>
      <c r="D118" s="174"/>
      <c r="E118" s="179"/>
      <c r="F118" s="174"/>
      <c r="G118" s="174"/>
      <c r="H118" s="174"/>
      <c r="I118" s="174"/>
      <c r="J118" s="174"/>
      <c r="K118" s="174"/>
      <c r="L118" s="174"/>
      <c r="M118" s="174"/>
      <c r="N118" s="174"/>
      <c r="O118" s="174"/>
      <c r="P118" s="174"/>
      <c r="Q118" s="174"/>
      <c r="R118" s="174"/>
      <c r="S118" s="174"/>
      <c r="T118" s="174"/>
      <c r="U118" s="174"/>
      <c r="V118" s="174"/>
      <c r="W118" s="174"/>
      <c r="X118" s="174"/>
      <c r="Y118" s="174"/>
      <c r="Z118" s="174"/>
      <c r="AA118" s="174"/>
    </row>
    <row r="119" customFormat="false" ht="15.75" hidden="false" customHeight="false" outlineLevel="0" collapsed="false">
      <c r="A119" s="174" t="str">
        <f aca="false">IF(ISBLANK(B119),"",B119&amp;"|"&amp;C119)</f>
        <v/>
      </c>
      <c r="B119" s="174"/>
      <c r="C119" s="174"/>
      <c r="D119" s="174"/>
      <c r="E119" s="179"/>
      <c r="F119" s="174"/>
      <c r="G119" s="174"/>
      <c r="H119" s="174"/>
      <c r="I119" s="174"/>
      <c r="J119" s="174"/>
      <c r="K119" s="174"/>
      <c r="L119" s="174"/>
      <c r="M119" s="174"/>
      <c r="N119" s="174"/>
      <c r="O119" s="174"/>
      <c r="P119" s="174"/>
      <c r="Q119" s="174"/>
      <c r="R119" s="174"/>
      <c r="S119" s="174"/>
      <c r="T119" s="174"/>
      <c r="U119" s="174"/>
      <c r="V119" s="174"/>
      <c r="W119" s="174"/>
      <c r="X119" s="174"/>
      <c r="Y119" s="174"/>
      <c r="Z119" s="174"/>
      <c r="AA119" s="174"/>
    </row>
    <row r="120" customFormat="false" ht="15.75" hidden="false" customHeight="false" outlineLevel="0" collapsed="false">
      <c r="A120" s="174" t="str">
        <f aca="false">IF(ISBLANK(B120),"",B120&amp;"|"&amp;C120)</f>
        <v/>
      </c>
      <c r="B120" s="174"/>
      <c r="C120" s="174"/>
      <c r="D120" s="174"/>
      <c r="E120" s="179"/>
      <c r="F120" s="174"/>
      <c r="G120" s="174"/>
      <c r="H120" s="174"/>
      <c r="I120" s="174"/>
      <c r="J120" s="174"/>
      <c r="K120" s="174"/>
      <c r="L120" s="174"/>
      <c r="M120" s="174"/>
      <c r="N120" s="174"/>
      <c r="O120" s="174"/>
      <c r="P120" s="174"/>
      <c r="Q120" s="174"/>
      <c r="R120" s="174"/>
      <c r="S120" s="174"/>
      <c r="T120" s="174"/>
      <c r="U120" s="174"/>
      <c r="V120" s="174"/>
      <c r="W120" s="174"/>
      <c r="X120" s="174"/>
      <c r="Y120" s="174"/>
      <c r="Z120" s="174"/>
      <c r="AA120" s="174"/>
    </row>
    <row r="121" customFormat="false" ht="15.75" hidden="false" customHeight="false" outlineLevel="0" collapsed="false">
      <c r="A121" s="174" t="str">
        <f aca="false">IF(ISBLANK(B121),"",B121&amp;"|"&amp;C121)</f>
        <v/>
      </c>
      <c r="B121" s="174"/>
      <c r="C121" s="174"/>
      <c r="D121" s="174"/>
      <c r="E121" s="179"/>
      <c r="F121" s="174"/>
      <c r="G121" s="174"/>
      <c r="H121" s="174"/>
      <c r="I121" s="174"/>
      <c r="J121" s="174"/>
      <c r="K121" s="174"/>
      <c r="L121" s="174"/>
      <c r="M121" s="174"/>
      <c r="N121" s="174"/>
      <c r="O121" s="174"/>
      <c r="P121" s="174"/>
      <c r="Q121" s="174"/>
      <c r="R121" s="174"/>
      <c r="S121" s="174"/>
      <c r="T121" s="174"/>
      <c r="U121" s="174"/>
      <c r="V121" s="174"/>
      <c r="W121" s="174"/>
      <c r="X121" s="174"/>
      <c r="Y121" s="174"/>
      <c r="Z121" s="174"/>
      <c r="AA121" s="174"/>
    </row>
    <row r="122" customFormat="false" ht="15.75" hidden="false" customHeight="false" outlineLevel="0" collapsed="false">
      <c r="A122" s="174" t="str">
        <f aca="false">IF(ISBLANK(B122),"",B122&amp;"|"&amp;C122)</f>
        <v/>
      </c>
      <c r="B122" s="174"/>
      <c r="C122" s="174"/>
      <c r="D122" s="174"/>
      <c r="E122" s="179"/>
      <c r="F122" s="174"/>
      <c r="G122" s="174"/>
      <c r="H122" s="174"/>
      <c r="I122" s="174"/>
      <c r="J122" s="174"/>
      <c r="K122" s="174"/>
      <c r="L122" s="174"/>
      <c r="M122" s="174"/>
      <c r="N122" s="174"/>
      <c r="O122" s="174"/>
      <c r="P122" s="174"/>
      <c r="Q122" s="174"/>
      <c r="R122" s="174"/>
      <c r="S122" s="174"/>
      <c r="T122" s="174"/>
      <c r="U122" s="174"/>
      <c r="V122" s="174"/>
      <c r="W122" s="174"/>
      <c r="X122" s="174"/>
      <c r="Y122" s="174"/>
      <c r="Z122" s="174"/>
      <c r="AA122" s="174"/>
    </row>
    <row r="123" customFormat="false" ht="15.75" hidden="false" customHeight="false" outlineLevel="0" collapsed="false">
      <c r="A123" s="174" t="str">
        <f aca="false">IF(ISBLANK(B123),"",B123&amp;"|"&amp;C123)</f>
        <v/>
      </c>
      <c r="B123" s="174"/>
      <c r="C123" s="174"/>
      <c r="D123" s="174"/>
      <c r="E123" s="179"/>
      <c r="F123" s="174"/>
      <c r="G123" s="174"/>
      <c r="H123" s="174"/>
      <c r="I123" s="174"/>
      <c r="J123" s="174"/>
      <c r="K123" s="174"/>
      <c r="L123" s="174"/>
      <c r="M123" s="174"/>
      <c r="N123" s="174"/>
      <c r="O123" s="174"/>
      <c r="P123" s="174"/>
      <c r="Q123" s="174"/>
      <c r="R123" s="174"/>
      <c r="S123" s="174"/>
      <c r="T123" s="174"/>
      <c r="U123" s="174"/>
      <c r="V123" s="174"/>
      <c r="W123" s="174"/>
      <c r="X123" s="174"/>
      <c r="Y123" s="174"/>
      <c r="Z123" s="174"/>
      <c r="AA123" s="174"/>
    </row>
    <row r="124" customFormat="false" ht="15.75" hidden="false" customHeight="false" outlineLevel="0" collapsed="false">
      <c r="A124" s="174" t="str">
        <f aca="false">IF(ISBLANK(B124),"",B124&amp;"|"&amp;C124)</f>
        <v/>
      </c>
      <c r="B124" s="174"/>
      <c r="C124" s="174"/>
      <c r="D124" s="174"/>
      <c r="E124" s="179"/>
      <c r="F124" s="174"/>
      <c r="G124" s="174"/>
      <c r="H124" s="174"/>
      <c r="I124" s="174"/>
      <c r="J124" s="174"/>
      <c r="K124" s="174"/>
      <c r="L124" s="174"/>
      <c r="M124" s="174"/>
      <c r="N124" s="174"/>
      <c r="O124" s="174"/>
      <c r="P124" s="174"/>
      <c r="Q124" s="174"/>
      <c r="R124" s="174"/>
      <c r="S124" s="174"/>
      <c r="T124" s="174"/>
      <c r="U124" s="174"/>
      <c r="V124" s="174"/>
      <c r="W124" s="174"/>
      <c r="X124" s="174"/>
      <c r="Y124" s="174"/>
      <c r="Z124" s="174"/>
      <c r="AA124" s="174"/>
    </row>
    <row r="125" customFormat="false" ht="15.75" hidden="false" customHeight="false" outlineLevel="0" collapsed="false">
      <c r="A125" s="174" t="str">
        <f aca="false">IF(ISBLANK(B125),"",B125&amp;"|"&amp;C125)</f>
        <v/>
      </c>
      <c r="B125" s="174"/>
      <c r="C125" s="174"/>
      <c r="D125" s="174"/>
      <c r="E125" s="179"/>
      <c r="F125" s="174"/>
      <c r="G125" s="174"/>
      <c r="H125" s="174"/>
      <c r="I125" s="174"/>
      <c r="J125" s="174"/>
      <c r="K125" s="174"/>
      <c r="L125" s="174"/>
      <c r="M125" s="174"/>
      <c r="N125" s="174"/>
      <c r="O125" s="174"/>
      <c r="P125" s="174"/>
      <c r="Q125" s="174"/>
      <c r="R125" s="174"/>
      <c r="S125" s="174"/>
      <c r="T125" s="174"/>
      <c r="U125" s="174"/>
      <c r="V125" s="174"/>
      <c r="W125" s="174"/>
      <c r="X125" s="174"/>
      <c r="Y125" s="174"/>
      <c r="Z125" s="174"/>
      <c r="AA125" s="174"/>
    </row>
    <row r="126" customFormat="false" ht="15.75" hidden="false" customHeight="false" outlineLevel="0" collapsed="false">
      <c r="A126" s="174" t="str">
        <f aca="false">IF(ISBLANK(B126),"",B126&amp;"|"&amp;C126)</f>
        <v/>
      </c>
      <c r="B126" s="174"/>
      <c r="C126" s="174"/>
      <c r="D126" s="174"/>
      <c r="E126" s="179"/>
      <c r="F126" s="174"/>
      <c r="G126" s="174"/>
      <c r="H126" s="174"/>
      <c r="I126" s="174"/>
      <c r="J126" s="174"/>
      <c r="K126" s="174"/>
      <c r="L126" s="174"/>
      <c r="M126" s="174"/>
      <c r="N126" s="174"/>
      <c r="O126" s="174"/>
      <c r="P126" s="174"/>
      <c r="Q126" s="174"/>
      <c r="R126" s="174"/>
      <c r="S126" s="174"/>
      <c r="T126" s="174"/>
      <c r="U126" s="174"/>
      <c r="V126" s="174"/>
      <c r="W126" s="174"/>
      <c r="X126" s="174"/>
      <c r="Y126" s="174"/>
      <c r="Z126" s="174"/>
      <c r="AA126" s="174"/>
    </row>
    <row r="127" customFormat="false" ht="15.75" hidden="false" customHeight="false" outlineLevel="0" collapsed="false">
      <c r="A127" s="174" t="str">
        <f aca="false">IF(ISBLANK(B127),"",B127&amp;"|"&amp;C127)</f>
        <v/>
      </c>
      <c r="B127" s="174"/>
      <c r="C127" s="174"/>
      <c r="D127" s="174"/>
      <c r="E127" s="179"/>
      <c r="F127" s="174"/>
      <c r="G127" s="174"/>
      <c r="H127" s="174"/>
      <c r="I127" s="174"/>
      <c r="J127" s="174"/>
      <c r="K127" s="174"/>
      <c r="L127" s="174"/>
      <c r="M127" s="174"/>
      <c r="N127" s="174"/>
      <c r="O127" s="174"/>
      <c r="P127" s="174"/>
      <c r="Q127" s="174"/>
      <c r="R127" s="174"/>
      <c r="S127" s="174"/>
      <c r="T127" s="174"/>
      <c r="U127" s="174"/>
      <c r="V127" s="174"/>
      <c r="W127" s="174"/>
      <c r="X127" s="174"/>
      <c r="Y127" s="174"/>
      <c r="Z127" s="174"/>
      <c r="AA127" s="174"/>
    </row>
    <row r="128" customFormat="false" ht="15.75" hidden="false" customHeight="false" outlineLevel="0" collapsed="false">
      <c r="A128" s="174" t="str">
        <f aca="false">IF(ISBLANK(B128),"",B128&amp;"|"&amp;C128)</f>
        <v/>
      </c>
      <c r="B128" s="174"/>
      <c r="C128" s="174"/>
      <c r="D128" s="174"/>
      <c r="E128" s="179"/>
      <c r="F128" s="174"/>
      <c r="G128" s="174"/>
      <c r="H128" s="174"/>
      <c r="I128" s="174"/>
      <c r="J128" s="174"/>
      <c r="K128" s="174"/>
      <c r="L128" s="174"/>
      <c r="M128" s="174"/>
      <c r="N128" s="174"/>
      <c r="O128" s="174"/>
      <c r="P128" s="174"/>
      <c r="Q128" s="174"/>
      <c r="R128" s="174"/>
      <c r="S128" s="174"/>
      <c r="T128" s="174"/>
      <c r="U128" s="174"/>
      <c r="V128" s="174"/>
      <c r="W128" s="174"/>
      <c r="X128" s="174"/>
      <c r="Y128" s="174"/>
      <c r="Z128" s="174"/>
      <c r="AA128" s="174"/>
    </row>
    <row r="129" customFormat="false" ht="15.75" hidden="false" customHeight="false" outlineLevel="0" collapsed="false">
      <c r="A129" s="174" t="str">
        <f aca="false">IF(ISBLANK(B129),"",B129&amp;"|"&amp;C129)</f>
        <v/>
      </c>
      <c r="B129" s="174"/>
      <c r="C129" s="174"/>
      <c r="D129" s="174"/>
      <c r="E129" s="179"/>
      <c r="F129" s="174"/>
      <c r="G129" s="174"/>
      <c r="H129" s="174"/>
      <c r="I129" s="174"/>
      <c r="J129" s="174"/>
      <c r="K129" s="174"/>
      <c r="L129" s="174"/>
      <c r="M129" s="174"/>
      <c r="N129" s="174"/>
      <c r="O129" s="174"/>
      <c r="P129" s="174"/>
      <c r="Q129" s="174"/>
      <c r="R129" s="174"/>
      <c r="S129" s="174"/>
      <c r="T129" s="174"/>
      <c r="U129" s="174"/>
      <c r="V129" s="174"/>
      <c r="W129" s="174"/>
      <c r="X129" s="174"/>
      <c r="Y129" s="174"/>
      <c r="Z129" s="174"/>
      <c r="AA129" s="174"/>
    </row>
    <row r="130" customFormat="false" ht="15.75" hidden="false" customHeight="false" outlineLevel="0" collapsed="false">
      <c r="A130" s="174" t="str">
        <f aca="false">IF(ISBLANK(B130),"",B130&amp;"|"&amp;C130)</f>
        <v/>
      </c>
      <c r="B130" s="174"/>
      <c r="C130" s="174"/>
      <c r="D130" s="174"/>
      <c r="E130" s="179"/>
      <c r="F130" s="174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  <c r="AA130" s="174"/>
    </row>
    <row r="131" customFormat="false" ht="15.75" hidden="false" customHeight="false" outlineLevel="0" collapsed="false">
      <c r="A131" s="174" t="str">
        <f aca="false">IF(ISBLANK(B131),"",B131&amp;"|"&amp;C131)</f>
        <v/>
      </c>
      <c r="B131" s="174"/>
      <c r="C131" s="174"/>
      <c r="D131" s="174"/>
      <c r="E131" s="179"/>
      <c r="F131" s="174"/>
      <c r="G131" s="174"/>
      <c r="H131" s="174"/>
      <c r="I131" s="174"/>
      <c r="J131" s="174"/>
      <c r="K131" s="174"/>
      <c r="L131" s="174"/>
      <c r="M131" s="174"/>
      <c r="N131" s="174"/>
      <c r="O131" s="174"/>
      <c r="P131" s="174"/>
      <c r="Q131" s="174"/>
      <c r="R131" s="174"/>
      <c r="S131" s="174"/>
      <c r="T131" s="174"/>
      <c r="U131" s="174"/>
      <c r="V131" s="174"/>
      <c r="W131" s="174"/>
      <c r="X131" s="174"/>
      <c r="Y131" s="174"/>
      <c r="Z131" s="174"/>
      <c r="AA131" s="174"/>
    </row>
    <row r="132" customFormat="false" ht="15.75" hidden="false" customHeight="false" outlineLevel="0" collapsed="false">
      <c r="A132" s="174" t="str">
        <f aca="false">IF(ISBLANK(B132),"",B132&amp;"|"&amp;C132)</f>
        <v/>
      </c>
      <c r="B132" s="174"/>
      <c r="C132" s="174"/>
      <c r="D132" s="174"/>
      <c r="E132" s="179"/>
      <c r="F132" s="174"/>
      <c r="G132" s="174"/>
      <c r="H132" s="174"/>
      <c r="I132" s="174"/>
      <c r="J132" s="174"/>
      <c r="K132" s="174"/>
      <c r="L132" s="174"/>
      <c r="M132" s="174"/>
      <c r="N132" s="174"/>
      <c r="O132" s="174"/>
      <c r="P132" s="174"/>
      <c r="Q132" s="174"/>
      <c r="R132" s="174"/>
      <c r="S132" s="174"/>
      <c r="T132" s="174"/>
      <c r="U132" s="174"/>
      <c r="V132" s="174"/>
      <c r="W132" s="174"/>
      <c r="X132" s="174"/>
      <c r="Y132" s="174"/>
      <c r="Z132" s="174"/>
      <c r="AA132" s="174"/>
    </row>
    <row r="133" customFormat="false" ht="15.75" hidden="false" customHeight="false" outlineLevel="0" collapsed="false">
      <c r="A133" s="174" t="str">
        <f aca="false">IF(ISBLANK(B133),"",B133&amp;"|"&amp;C133)</f>
        <v/>
      </c>
      <c r="B133" s="174"/>
      <c r="C133" s="174"/>
      <c r="D133" s="174"/>
      <c r="E133" s="179"/>
      <c r="F133" s="174"/>
      <c r="G133" s="174"/>
      <c r="H133" s="174"/>
      <c r="I133" s="174"/>
      <c r="J133" s="174"/>
      <c r="K133" s="174"/>
      <c r="L133" s="174"/>
      <c r="M133" s="174"/>
      <c r="N133" s="174"/>
      <c r="O133" s="174"/>
      <c r="P133" s="174"/>
      <c r="Q133" s="174"/>
      <c r="R133" s="174"/>
      <c r="S133" s="174"/>
      <c r="T133" s="174"/>
      <c r="U133" s="174"/>
      <c r="V133" s="174"/>
      <c r="W133" s="174"/>
      <c r="X133" s="174"/>
      <c r="Y133" s="174"/>
      <c r="Z133" s="174"/>
      <c r="AA133" s="174"/>
    </row>
    <row r="134" customFormat="false" ht="15.75" hidden="false" customHeight="false" outlineLevel="0" collapsed="false">
      <c r="A134" s="174" t="str">
        <f aca="false">IF(ISBLANK(B134),"",B134&amp;"|"&amp;C134)</f>
        <v/>
      </c>
      <c r="B134" s="174"/>
      <c r="C134" s="174"/>
      <c r="D134" s="174"/>
      <c r="E134" s="179"/>
      <c r="F134" s="174"/>
      <c r="G134" s="174"/>
      <c r="H134" s="174"/>
      <c r="I134" s="174"/>
      <c r="J134" s="174"/>
      <c r="K134" s="174"/>
      <c r="L134" s="174"/>
      <c r="M134" s="174"/>
      <c r="N134" s="174"/>
      <c r="O134" s="174"/>
      <c r="P134" s="174"/>
      <c r="Q134" s="174"/>
      <c r="R134" s="174"/>
      <c r="S134" s="174"/>
      <c r="T134" s="174"/>
      <c r="U134" s="174"/>
      <c r="V134" s="174"/>
      <c r="W134" s="174"/>
      <c r="X134" s="174"/>
      <c r="Y134" s="174"/>
      <c r="Z134" s="174"/>
      <c r="AA134" s="174"/>
    </row>
    <row r="135" customFormat="false" ht="15.75" hidden="false" customHeight="false" outlineLevel="0" collapsed="false">
      <c r="A135" s="174" t="str">
        <f aca="false">IF(ISBLANK(B135),"",B135&amp;"|"&amp;C135)</f>
        <v/>
      </c>
      <c r="B135" s="174"/>
      <c r="C135" s="174"/>
      <c r="D135" s="174"/>
      <c r="E135" s="179"/>
      <c r="F135" s="174"/>
      <c r="G135" s="174"/>
      <c r="H135" s="174"/>
      <c r="I135" s="174"/>
      <c r="J135" s="174"/>
      <c r="K135" s="174"/>
      <c r="L135" s="174"/>
      <c r="M135" s="174"/>
      <c r="N135" s="174"/>
      <c r="O135" s="174"/>
      <c r="P135" s="174"/>
      <c r="Q135" s="174"/>
      <c r="R135" s="174"/>
      <c r="S135" s="174"/>
      <c r="T135" s="174"/>
      <c r="U135" s="174"/>
      <c r="V135" s="174"/>
      <c r="W135" s="174"/>
      <c r="X135" s="174"/>
      <c r="Y135" s="174"/>
      <c r="Z135" s="174"/>
      <c r="AA135" s="174"/>
    </row>
    <row r="136" customFormat="false" ht="15.75" hidden="false" customHeight="false" outlineLevel="0" collapsed="false">
      <c r="A136" s="174" t="str">
        <f aca="false">IF(ISBLANK(B136),"",B136&amp;"|"&amp;C136)</f>
        <v/>
      </c>
      <c r="B136" s="174"/>
      <c r="C136" s="174"/>
      <c r="D136" s="174"/>
      <c r="E136" s="179"/>
      <c r="F136" s="174"/>
      <c r="G136" s="174"/>
      <c r="H136" s="174"/>
      <c r="I136" s="174"/>
      <c r="J136" s="174"/>
      <c r="K136" s="174"/>
      <c r="L136" s="174"/>
      <c r="M136" s="174"/>
      <c r="N136" s="174"/>
      <c r="O136" s="174"/>
      <c r="P136" s="174"/>
      <c r="Q136" s="174"/>
      <c r="R136" s="174"/>
      <c r="S136" s="174"/>
      <c r="T136" s="174"/>
      <c r="U136" s="174"/>
      <c r="V136" s="174"/>
      <c r="W136" s="174"/>
      <c r="X136" s="174"/>
      <c r="Y136" s="174"/>
      <c r="Z136" s="174"/>
      <c r="AA136" s="174"/>
    </row>
    <row r="137" customFormat="false" ht="15.75" hidden="false" customHeight="false" outlineLevel="0" collapsed="false">
      <c r="A137" s="174" t="str">
        <f aca="false">IF(ISBLANK(B137),"",B137&amp;"|"&amp;C137)</f>
        <v/>
      </c>
      <c r="B137" s="174"/>
      <c r="C137" s="174"/>
      <c r="D137" s="174"/>
      <c r="E137" s="179"/>
      <c r="F137" s="174"/>
      <c r="G137" s="174"/>
      <c r="H137" s="174"/>
      <c r="I137" s="174"/>
      <c r="J137" s="174"/>
      <c r="K137" s="174"/>
      <c r="L137" s="174"/>
      <c r="M137" s="174"/>
      <c r="N137" s="174"/>
      <c r="O137" s="174"/>
      <c r="P137" s="174"/>
      <c r="Q137" s="174"/>
      <c r="R137" s="174"/>
      <c r="S137" s="174"/>
      <c r="T137" s="174"/>
      <c r="U137" s="174"/>
      <c r="V137" s="174"/>
      <c r="W137" s="174"/>
      <c r="X137" s="174"/>
      <c r="Y137" s="174"/>
      <c r="Z137" s="174"/>
      <c r="AA137" s="174"/>
    </row>
    <row r="138" customFormat="false" ht="15.75" hidden="false" customHeight="false" outlineLevel="0" collapsed="false">
      <c r="A138" s="174" t="str">
        <f aca="false">IF(ISBLANK(B138),"",B138&amp;"|"&amp;C138)</f>
        <v/>
      </c>
      <c r="B138" s="174"/>
      <c r="C138" s="174"/>
      <c r="D138" s="174"/>
      <c r="E138" s="179"/>
      <c r="F138" s="174"/>
      <c r="G138" s="174"/>
      <c r="H138" s="174"/>
      <c r="I138" s="174"/>
      <c r="J138" s="174"/>
      <c r="K138" s="174"/>
      <c r="L138" s="174"/>
      <c r="M138" s="174"/>
      <c r="N138" s="174"/>
      <c r="O138" s="174"/>
      <c r="P138" s="174"/>
      <c r="Q138" s="174"/>
      <c r="R138" s="174"/>
      <c r="S138" s="174"/>
      <c r="T138" s="174"/>
      <c r="U138" s="174"/>
      <c r="V138" s="174"/>
      <c r="W138" s="174"/>
      <c r="X138" s="174"/>
      <c r="Y138" s="174"/>
      <c r="Z138" s="174"/>
      <c r="AA138" s="174"/>
    </row>
    <row r="139" customFormat="false" ht="15.75" hidden="false" customHeight="false" outlineLevel="0" collapsed="false">
      <c r="A139" s="174" t="str">
        <f aca="false">IF(ISBLANK(B139),"",B139&amp;"|"&amp;C139)</f>
        <v/>
      </c>
      <c r="B139" s="174"/>
      <c r="C139" s="174"/>
      <c r="D139" s="174"/>
      <c r="E139" s="179"/>
      <c r="F139" s="174"/>
      <c r="G139" s="174"/>
      <c r="H139" s="174"/>
      <c r="I139" s="174"/>
      <c r="J139" s="174"/>
      <c r="K139" s="174"/>
      <c r="L139" s="174"/>
      <c r="M139" s="174"/>
      <c r="N139" s="174"/>
      <c r="O139" s="174"/>
      <c r="P139" s="174"/>
      <c r="Q139" s="174"/>
      <c r="R139" s="174"/>
      <c r="S139" s="174"/>
      <c r="T139" s="174"/>
      <c r="U139" s="174"/>
      <c r="V139" s="174"/>
      <c r="W139" s="174"/>
      <c r="X139" s="174"/>
      <c r="Y139" s="174"/>
      <c r="Z139" s="174"/>
      <c r="AA139" s="174"/>
    </row>
    <row r="140" customFormat="false" ht="15.75" hidden="false" customHeight="false" outlineLevel="0" collapsed="false">
      <c r="A140" s="174" t="str">
        <f aca="false">IF(ISBLANK(B140),"",B140&amp;"|"&amp;C140)</f>
        <v/>
      </c>
      <c r="B140" s="174"/>
      <c r="C140" s="174"/>
      <c r="D140" s="174"/>
      <c r="E140" s="179"/>
      <c r="F140" s="174"/>
      <c r="G140" s="174"/>
      <c r="H140" s="174"/>
      <c r="I140" s="174"/>
      <c r="J140" s="174"/>
      <c r="K140" s="174"/>
      <c r="L140" s="174"/>
      <c r="M140" s="174"/>
      <c r="N140" s="174"/>
      <c r="O140" s="174"/>
      <c r="P140" s="174"/>
      <c r="Q140" s="174"/>
      <c r="R140" s="174"/>
      <c r="S140" s="174"/>
      <c r="T140" s="174"/>
      <c r="U140" s="174"/>
      <c r="V140" s="174"/>
      <c r="W140" s="174"/>
      <c r="X140" s="174"/>
      <c r="Y140" s="174"/>
      <c r="Z140" s="174"/>
      <c r="AA140" s="174"/>
    </row>
    <row r="141" customFormat="false" ht="15.75" hidden="false" customHeight="false" outlineLevel="0" collapsed="false">
      <c r="A141" s="174" t="str">
        <f aca="false">IF(ISBLANK(B141),"",B141&amp;"|"&amp;C141)</f>
        <v/>
      </c>
      <c r="B141" s="174"/>
      <c r="C141" s="174"/>
      <c r="D141" s="174"/>
      <c r="E141" s="179"/>
      <c r="F141" s="174"/>
      <c r="G141" s="174"/>
      <c r="H141" s="174"/>
      <c r="I141" s="174"/>
      <c r="J141" s="174"/>
      <c r="K141" s="174"/>
      <c r="L141" s="174"/>
      <c r="M141" s="174"/>
      <c r="N141" s="174"/>
      <c r="O141" s="174"/>
      <c r="P141" s="174"/>
      <c r="Q141" s="174"/>
      <c r="R141" s="174"/>
      <c r="S141" s="174"/>
      <c r="T141" s="174"/>
      <c r="U141" s="174"/>
      <c r="V141" s="174"/>
      <c r="W141" s="174"/>
      <c r="X141" s="174"/>
      <c r="Y141" s="174"/>
      <c r="Z141" s="174"/>
      <c r="AA141" s="174"/>
    </row>
    <row r="142" customFormat="false" ht="15.75" hidden="false" customHeight="false" outlineLevel="0" collapsed="false">
      <c r="A142" s="174" t="str">
        <f aca="false">IF(ISBLANK(B142),"",B142&amp;"|"&amp;C142)</f>
        <v/>
      </c>
      <c r="B142" s="174"/>
      <c r="C142" s="174"/>
      <c r="D142" s="174"/>
      <c r="E142" s="179"/>
      <c r="F142" s="174"/>
      <c r="G142" s="174"/>
      <c r="H142" s="174"/>
      <c r="I142" s="174"/>
      <c r="J142" s="174"/>
      <c r="K142" s="174"/>
      <c r="L142" s="174"/>
      <c r="M142" s="174"/>
      <c r="N142" s="174"/>
      <c r="O142" s="174"/>
      <c r="P142" s="174"/>
      <c r="Q142" s="174"/>
      <c r="R142" s="174"/>
      <c r="S142" s="174"/>
      <c r="T142" s="174"/>
      <c r="U142" s="174"/>
      <c r="V142" s="174"/>
      <c r="W142" s="174"/>
      <c r="X142" s="174"/>
      <c r="Y142" s="174"/>
      <c r="Z142" s="174"/>
      <c r="AA142" s="174"/>
    </row>
    <row r="143" customFormat="false" ht="15.75" hidden="false" customHeight="false" outlineLevel="0" collapsed="false">
      <c r="A143" s="174" t="str">
        <f aca="false">IF(ISBLANK(B143),"",B143&amp;"|"&amp;C143)</f>
        <v/>
      </c>
      <c r="B143" s="174"/>
      <c r="C143" s="174"/>
      <c r="D143" s="174"/>
      <c r="E143" s="179"/>
      <c r="F143" s="174"/>
      <c r="G143" s="174"/>
      <c r="H143" s="174"/>
      <c r="I143" s="174"/>
      <c r="J143" s="174"/>
      <c r="K143" s="174"/>
      <c r="L143" s="174"/>
      <c r="M143" s="174"/>
      <c r="N143" s="174"/>
      <c r="O143" s="174"/>
      <c r="P143" s="174"/>
      <c r="Q143" s="174"/>
      <c r="R143" s="174"/>
      <c r="S143" s="174"/>
      <c r="T143" s="174"/>
      <c r="U143" s="174"/>
      <c r="V143" s="174"/>
      <c r="W143" s="174"/>
      <c r="X143" s="174"/>
      <c r="Y143" s="174"/>
      <c r="Z143" s="174"/>
      <c r="AA143" s="174"/>
    </row>
    <row r="144" customFormat="false" ht="15.75" hidden="false" customHeight="false" outlineLevel="0" collapsed="false">
      <c r="A144" s="174" t="str">
        <f aca="false">IF(ISBLANK(B144),"",B144&amp;"|"&amp;C144)</f>
        <v/>
      </c>
      <c r="B144" s="174"/>
      <c r="C144" s="174"/>
      <c r="D144" s="174"/>
      <c r="E144" s="179"/>
      <c r="F144" s="174"/>
      <c r="G144" s="174"/>
      <c r="H144" s="174"/>
      <c r="I144" s="174"/>
      <c r="J144" s="174"/>
      <c r="K144" s="174"/>
      <c r="L144" s="174"/>
      <c r="M144" s="174"/>
      <c r="N144" s="174"/>
      <c r="O144" s="174"/>
      <c r="P144" s="174"/>
      <c r="Q144" s="174"/>
      <c r="R144" s="174"/>
      <c r="S144" s="174"/>
      <c r="T144" s="174"/>
      <c r="U144" s="174"/>
      <c r="V144" s="174"/>
      <c r="W144" s="174"/>
      <c r="X144" s="174"/>
      <c r="Y144" s="174"/>
      <c r="Z144" s="174"/>
      <c r="AA144" s="174"/>
    </row>
    <row r="145" customFormat="false" ht="15.75" hidden="false" customHeight="false" outlineLevel="0" collapsed="false">
      <c r="A145" s="174" t="str">
        <f aca="false">IF(ISBLANK(B145),"",B145&amp;"|"&amp;C145)</f>
        <v/>
      </c>
      <c r="B145" s="174"/>
      <c r="C145" s="174"/>
      <c r="D145" s="174"/>
      <c r="E145" s="179"/>
      <c r="F145" s="174"/>
      <c r="G145" s="174"/>
      <c r="H145" s="174"/>
      <c r="I145" s="174"/>
      <c r="J145" s="174"/>
      <c r="K145" s="174"/>
      <c r="L145" s="174"/>
      <c r="M145" s="174"/>
      <c r="N145" s="174"/>
      <c r="O145" s="174"/>
      <c r="P145" s="174"/>
      <c r="Q145" s="174"/>
      <c r="R145" s="174"/>
      <c r="S145" s="174"/>
      <c r="T145" s="174"/>
      <c r="U145" s="174"/>
      <c r="V145" s="174"/>
      <c r="W145" s="174"/>
      <c r="X145" s="174"/>
      <c r="Y145" s="174"/>
      <c r="Z145" s="174"/>
      <c r="AA145" s="174"/>
    </row>
    <row r="146" customFormat="false" ht="15.75" hidden="false" customHeight="false" outlineLevel="0" collapsed="false">
      <c r="A146" s="174" t="str">
        <f aca="false">IF(ISBLANK(B146),"",B146&amp;"|"&amp;C146)</f>
        <v/>
      </c>
      <c r="B146" s="174"/>
      <c r="C146" s="174"/>
      <c r="D146" s="174"/>
      <c r="E146" s="179"/>
      <c r="F146" s="174"/>
      <c r="G146" s="174"/>
      <c r="H146" s="174"/>
      <c r="I146" s="174"/>
      <c r="J146" s="174"/>
      <c r="K146" s="174"/>
      <c r="L146" s="174"/>
      <c r="M146" s="174"/>
      <c r="N146" s="174"/>
      <c r="O146" s="174"/>
      <c r="P146" s="174"/>
      <c r="Q146" s="174"/>
      <c r="R146" s="174"/>
      <c r="S146" s="174"/>
      <c r="T146" s="174"/>
      <c r="U146" s="174"/>
      <c r="V146" s="174"/>
      <c r="W146" s="174"/>
      <c r="X146" s="174"/>
      <c r="Y146" s="174"/>
      <c r="Z146" s="174"/>
      <c r="AA146" s="174"/>
    </row>
    <row r="147" customFormat="false" ht="15.75" hidden="false" customHeight="false" outlineLevel="0" collapsed="false">
      <c r="A147" s="174" t="str">
        <f aca="false">IF(ISBLANK(B147),"",B147&amp;"|"&amp;C147)</f>
        <v/>
      </c>
      <c r="B147" s="174"/>
      <c r="C147" s="174"/>
      <c r="D147" s="174"/>
      <c r="E147" s="179"/>
      <c r="F147" s="174"/>
      <c r="G147" s="174"/>
      <c r="H147" s="174"/>
      <c r="I147" s="174"/>
      <c r="J147" s="174"/>
      <c r="K147" s="174"/>
      <c r="L147" s="174"/>
      <c r="M147" s="174"/>
      <c r="N147" s="174"/>
      <c r="O147" s="174"/>
      <c r="P147" s="174"/>
      <c r="Q147" s="174"/>
      <c r="R147" s="174"/>
      <c r="S147" s="174"/>
      <c r="T147" s="174"/>
      <c r="U147" s="174"/>
      <c r="V147" s="174"/>
      <c r="W147" s="174"/>
      <c r="X147" s="174"/>
      <c r="Y147" s="174"/>
      <c r="Z147" s="174"/>
      <c r="AA147" s="174"/>
    </row>
    <row r="148" customFormat="false" ht="15.75" hidden="false" customHeight="false" outlineLevel="0" collapsed="false">
      <c r="A148" s="174" t="str">
        <f aca="false">IF(ISBLANK(B148),"",B148&amp;"|"&amp;C148)</f>
        <v/>
      </c>
      <c r="B148" s="174"/>
      <c r="C148" s="174"/>
      <c r="D148" s="174"/>
      <c r="E148" s="179"/>
      <c r="F148" s="174"/>
      <c r="G148" s="174"/>
      <c r="H148" s="174"/>
      <c r="I148" s="174"/>
      <c r="J148" s="174"/>
      <c r="K148" s="174"/>
      <c r="L148" s="174"/>
      <c r="M148" s="174"/>
      <c r="N148" s="174"/>
      <c r="O148" s="174"/>
      <c r="P148" s="174"/>
      <c r="Q148" s="174"/>
      <c r="R148" s="174"/>
      <c r="S148" s="174"/>
      <c r="T148" s="174"/>
      <c r="U148" s="174"/>
      <c r="V148" s="174"/>
      <c r="W148" s="174"/>
      <c r="X148" s="174"/>
      <c r="Y148" s="174"/>
      <c r="Z148" s="174"/>
      <c r="AA148" s="174"/>
    </row>
    <row r="149" customFormat="false" ht="15.75" hidden="false" customHeight="false" outlineLevel="0" collapsed="false">
      <c r="A149" s="174" t="str">
        <f aca="false">IF(ISBLANK(B149),"",B149&amp;"|"&amp;C149)</f>
        <v/>
      </c>
      <c r="B149" s="174"/>
      <c r="C149" s="174"/>
      <c r="D149" s="174"/>
      <c r="E149" s="179"/>
      <c r="F149" s="174"/>
      <c r="G149" s="174"/>
      <c r="H149" s="174"/>
      <c r="I149" s="174"/>
      <c r="J149" s="174"/>
      <c r="K149" s="174"/>
      <c r="L149" s="174"/>
      <c r="M149" s="174"/>
      <c r="N149" s="174"/>
      <c r="O149" s="174"/>
      <c r="P149" s="174"/>
      <c r="Q149" s="174"/>
      <c r="R149" s="174"/>
      <c r="S149" s="174"/>
      <c r="T149" s="174"/>
      <c r="U149" s="174"/>
      <c r="V149" s="174"/>
      <c r="W149" s="174"/>
      <c r="X149" s="174"/>
      <c r="Y149" s="174"/>
      <c r="Z149" s="174"/>
      <c r="AA149" s="174"/>
    </row>
    <row r="150" customFormat="false" ht="15.75" hidden="false" customHeight="false" outlineLevel="0" collapsed="false">
      <c r="A150" s="174" t="str">
        <f aca="false">IF(ISBLANK(B150),"",B150&amp;"|"&amp;C150)</f>
        <v/>
      </c>
      <c r="B150" s="174"/>
      <c r="C150" s="174"/>
      <c r="D150" s="174"/>
      <c r="E150" s="179"/>
      <c r="F150" s="174"/>
      <c r="G150" s="174"/>
      <c r="H150" s="174"/>
      <c r="I150" s="174"/>
      <c r="J150" s="174"/>
      <c r="K150" s="174"/>
      <c r="L150" s="174"/>
      <c r="M150" s="174"/>
      <c r="N150" s="174"/>
      <c r="O150" s="174"/>
      <c r="P150" s="174"/>
      <c r="Q150" s="174"/>
      <c r="R150" s="174"/>
      <c r="S150" s="174"/>
      <c r="T150" s="174"/>
      <c r="U150" s="174"/>
      <c r="V150" s="174"/>
      <c r="W150" s="174"/>
      <c r="X150" s="174"/>
      <c r="Y150" s="174"/>
      <c r="Z150" s="174"/>
      <c r="AA150" s="174"/>
    </row>
    <row r="151" customFormat="false" ht="15.75" hidden="false" customHeight="false" outlineLevel="0" collapsed="false">
      <c r="A151" s="174" t="str">
        <f aca="false">IF(ISBLANK(B151),"",B151&amp;"|"&amp;C151)</f>
        <v/>
      </c>
      <c r="B151" s="174"/>
      <c r="C151" s="174"/>
      <c r="D151" s="174"/>
      <c r="E151" s="179"/>
      <c r="F151" s="174"/>
      <c r="G151" s="174"/>
      <c r="H151" s="174"/>
      <c r="I151" s="174"/>
      <c r="J151" s="174"/>
      <c r="K151" s="174"/>
      <c r="L151" s="174"/>
      <c r="M151" s="174"/>
      <c r="N151" s="174"/>
      <c r="O151" s="174"/>
      <c r="P151" s="174"/>
      <c r="Q151" s="174"/>
      <c r="R151" s="174"/>
      <c r="S151" s="174"/>
      <c r="T151" s="174"/>
      <c r="U151" s="174"/>
      <c r="V151" s="174"/>
      <c r="W151" s="174"/>
      <c r="X151" s="174"/>
      <c r="Y151" s="174"/>
      <c r="Z151" s="174"/>
      <c r="AA151" s="174"/>
    </row>
    <row r="152" customFormat="false" ht="15.75" hidden="false" customHeight="false" outlineLevel="0" collapsed="false">
      <c r="A152" s="174" t="str">
        <f aca="false">IF(ISBLANK(B152),"",B152&amp;"|"&amp;C152)</f>
        <v/>
      </c>
      <c r="B152" s="174"/>
      <c r="C152" s="174"/>
      <c r="D152" s="174"/>
      <c r="E152" s="179"/>
      <c r="F152" s="174"/>
      <c r="G152" s="174"/>
      <c r="H152" s="174"/>
      <c r="I152" s="174"/>
      <c r="J152" s="174"/>
      <c r="K152" s="174"/>
      <c r="L152" s="174"/>
      <c r="M152" s="174"/>
      <c r="N152" s="174"/>
      <c r="O152" s="174"/>
      <c r="P152" s="174"/>
      <c r="Q152" s="174"/>
      <c r="R152" s="174"/>
      <c r="S152" s="174"/>
      <c r="T152" s="174"/>
      <c r="U152" s="174"/>
      <c r="V152" s="174"/>
      <c r="W152" s="174"/>
      <c r="X152" s="174"/>
      <c r="Y152" s="174"/>
      <c r="Z152" s="174"/>
      <c r="AA152" s="174"/>
    </row>
    <row r="153" customFormat="false" ht="15.75" hidden="false" customHeight="false" outlineLevel="0" collapsed="false">
      <c r="A153" s="174" t="str">
        <f aca="false">IF(ISBLANK(B153),"",B153&amp;"|"&amp;C153)</f>
        <v/>
      </c>
      <c r="B153" s="174"/>
      <c r="C153" s="174"/>
      <c r="D153" s="174"/>
      <c r="E153" s="179"/>
      <c r="F153" s="174"/>
      <c r="G153" s="174"/>
      <c r="H153" s="174"/>
      <c r="I153" s="174"/>
      <c r="J153" s="174"/>
      <c r="K153" s="174"/>
      <c r="L153" s="174"/>
      <c r="M153" s="174"/>
      <c r="N153" s="174"/>
      <c r="O153" s="174"/>
      <c r="P153" s="174"/>
      <c r="Q153" s="174"/>
      <c r="R153" s="174"/>
      <c r="S153" s="174"/>
      <c r="T153" s="174"/>
      <c r="U153" s="174"/>
      <c r="V153" s="174"/>
      <c r="W153" s="174"/>
      <c r="X153" s="174"/>
      <c r="Y153" s="174"/>
      <c r="Z153" s="174"/>
      <c r="AA153" s="174"/>
    </row>
    <row r="154" customFormat="false" ht="15.75" hidden="false" customHeight="false" outlineLevel="0" collapsed="false">
      <c r="A154" s="174" t="str">
        <f aca="false">IF(ISBLANK(B154),"",B154&amp;"|"&amp;C154)</f>
        <v/>
      </c>
      <c r="B154" s="174"/>
      <c r="C154" s="174"/>
      <c r="D154" s="174"/>
      <c r="E154" s="179"/>
      <c r="F154" s="174"/>
      <c r="G154" s="174"/>
      <c r="H154" s="174"/>
      <c r="I154" s="174"/>
      <c r="J154" s="174"/>
      <c r="K154" s="174"/>
      <c r="L154" s="174"/>
      <c r="M154" s="174"/>
      <c r="N154" s="174"/>
      <c r="O154" s="174"/>
      <c r="P154" s="174"/>
      <c r="Q154" s="174"/>
      <c r="R154" s="174"/>
      <c r="S154" s="174"/>
      <c r="T154" s="174"/>
      <c r="U154" s="174"/>
      <c r="V154" s="174"/>
      <c r="W154" s="174"/>
      <c r="X154" s="174"/>
      <c r="Y154" s="174"/>
      <c r="Z154" s="174"/>
      <c r="AA154" s="174"/>
    </row>
    <row r="155" customFormat="false" ht="15.75" hidden="false" customHeight="false" outlineLevel="0" collapsed="false">
      <c r="A155" s="174" t="str">
        <f aca="false">IF(ISBLANK(B155),"",B155&amp;"|"&amp;C155)</f>
        <v/>
      </c>
      <c r="B155" s="174"/>
      <c r="C155" s="174"/>
      <c r="D155" s="174"/>
      <c r="E155" s="179"/>
      <c r="F155" s="174"/>
      <c r="G155" s="174"/>
      <c r="H155" s="174"/>
      <c r="I155" s="174"/>
      <c r="J155" s="174"/>
      <c r="K155" s="174"/>
      <c r="L155" s="174"/>
      <c r="M155" s="174"/>
      <c r="N155" s="174"/>
      <c r="O155" s="174"/>
      <c r="P155" s="174"/>
      <c r="Q155" s="174"/>
      <c r="R155" s="174"/>
      <c r="S155" s="174"/>
      <c r="T155" s="174"/>
      <c r="U155" s="174"/>
      <c r="V155" s="174"/>
      <c r="W155" s="174"/>
      <c r="X155" s="174"/>
      <c r="Y155" s="174"/>
      <c r="Z155" s="174"/>
      <c r="AA155" s="174"/>
    </row>
    <row r="156" customFormat="false" ht="15.75" hidden="false" customHeight="false" outlineLevel="0" collapsed="false">
      <c r="A156" s="174" t="str">
        <f aca="false">IF(ISBLANK(B156),"",B156&amp;"|"&amp;C156)</f>
        <v/>
      </c>
      <c r="B156" s="174"/>
      <c r="C156" s="174"/>
      <c r="D156" s="174"/>
      <c r="E156" s="179"/>
      <c r="F156" s="174"/>
      <c r="G156" s="174"/>
      <c r="H156" s="174"/>
      <c r="I156" s="174"/>
      <c r="J156" s="174"/>
      <c r="K156" s="174"/>
      <c r="L156" s="174"/>
      <c r="M156" s="174"/>
      <c r="N156" s="174"/>
      <c r="O156" s="174"/>
      <c r="P156" s="174"/>
      <c r="Q156" s="174"/>
      <c r="R156" s="174"/>
      <c r="S156" s="174"/>
      <c r="T156" s="174"/>
      <c r="U156" s="174"/>
      <c r="V156" s="174"/>
      <c r="W156" s="174"/>
      <c r="X156" s="174"/>
      <c r="Y156" s="174"/>
      <c r="Z156" s="174"/>
      <c r="AA156" s="174"/>
    </row>
    <row r="157" customFormat="false" ht="15.75" hidden="false" customHeight="false" outlineLevel="0" collapsed="false">
      <c r="A157" s="174" t="str">
        <f aca="false">IF(ISBLANK(B157),"",B157&amp;"|"&amp;C157)</f>
        <v/>
      </c>
      <c r="B157" s="174"/>
      <c r="C157" s="174"/>
      <c r="D157" s="174"/>
      <c r="E157" s="179"/>
      <c r="F157" s="174"/>
      <c r="G157" s="174"/>
      <c r="H157" s="174"/>
      <c r="I157" s="174"/>
      <c r="J157" s="174"/>
      <c r="K157" s="174"/>
      <c r="L157" s="174"/>
      <c r="M157" s="174"/>
      <c r="N157" s="174"/>
      <c r="O157" s="174"/>
      <c r="P157" s="174"/>
      <c r="Q157" s="174"/>
      <c r="R157" s="174"/>
      <c r="S157" s="174"/>
      <c r="T157" s="174"/>
      <c r="U157" s="174"/>
      <c r="V157" s="174"/>
      <c r="W157" s="174"/>
      <c r="X157" s="174"/>
      <c r="Y157" s="174"/>
      <c r="Z157" s="174"/>
      <c r="AA157" s="174"/>
    </row>
    <row r="158" customFormat="false" ht="15.75" hidden="false" customHeight="false" outlineLevel="0" collapsed="false">
      <c r="A158" s="174" t="str">
        <f aca="false">IF(ISBLANK(B158),"",B158&amp;"|"&amp;C158)</f>
        <v/>
      </c>
      <c r="B158" s="174"/>
      <c r="C158" s="174"/>
      <c r="D158" s="174"/>
      <c r="E158" s="179"/>
      <c r="F158" s="174"/>
      <c r="G158" s="174"/>
      <c r="H158" s="174"/>
      <c r="I158" s="174"/>
      <c r="J158" s="174"/>
      <c r="K158" s="174"/>
      <c r="L158" s="174"/>
      <c r="M158" s="174"/>
      <c r="N158" s="174"/>
      <c r="O158" s="174"/>
      <c r="P158" s="174"/>
      <c r="Q158" s="174"/>
      <c r="R158" s="174"/>
      <c r="S158" s="174"/>
      <c r="T158" s="174"/>
      <c r="U158" s="174"/>
      <c r="V158" s="174"/>
      <c r="W158" s="174"/>
      <c r="X158" s="174"/>
      <c r="Y158" s="174"/>
      <c r="Z158" s="174"/>
      <c r="AA158" s="174"/>
    </row>
    <row r="159" customFormat="false" ht="15.75" hidden="false" customHeight="false" outlineLevel="0" collapsed="false">
      <c r="A159" s="174" t="str">
        <f aca="false">IF(ISBLANK(B159),"",B159&amp;"|"&amp;C159)</f>
        <v/>
      </c>
      <c r="B159" s="174"/>
      <c r="C159" s="174"/>
      <c r="D159" s="174"/>
      <c r="E159" s="179"/>
      <c r="F159" s="174"/>
      <c r="G159" s="174"/>
      <c r="H159" s="174"/>
      <c r="I159" s="174"/>
      <c r="J159" s="174"/>
      <c r="K159" s="174"/>
      <c r="L159" s="174"/>
      <c r="M159" s="174"/>
      <c r="N159" s="174"/>
      <c r="O159" s="174"/>
      <c r="P159" s="174"/>
      <c r="Q159" s="174"/>
      <c r="R159" s="174"/>
      <c r="S159" s="174"/>
      <c r="T159" s="174"/>
      <c r="U159" s="174"/>
      <c r="V159" s="174"/>
      <c r="W159" s="174"/>
      <c r="X159" s="174"/>
      <c r="Y159" s="174"/>
      <c r="Z159" s="174"/>
      <c r="AA159" s="174"/>
    </row>
    <row r="160" customFormat="false" ht="15.75" hidden="false" customHeight="false" outlineLevel="0" collapsed="false">
      <c r="A160" s="174" t="str">
        <f aca="false">IF(ISBLANK(B160),"",B160&amp;"|"&amp;C160)</f>
        <v/>
      </c>
      <c r="B160" s="174"/>
      <c r="C160" s="174"/>
      <c r="D160" s="174"/>
      <c r="E160" s="179"/>
      <c r="F160" s="174"/>
      <c r="G160" s="174"/>
      <c r="H160" s="174"/>
      <c r="I160" s="174"/>
      <c r="J160" s="174"/>
      <c r="K160" s="174"/>
      <c r="L160" s="174"/>
      <c r="M160" s="174"/>
      <c r="N160" s="174"/>
      <c r="O160" s="174"/>
      <c r="P160" s="174"/>
      <c r="Q160" s="174"/>
      <c r="R160" s="174"/>
      <c r="S160" s="174"/>
      <c r="T160" s="174"/>
      <c r="U160" s="174"/>
      <c r="V160" s="174"/>
      <c r="W160" s="174"/>
      <c r="X160" s="174"/>
      <c r="Y160" s="174"/>
      <c r="Z160" s="174"/>
      <c r="AA160" s="174"/>
    </row>
    <row r="161" customFormat="false" ht="15.75" hidden="false" customHeight="false" outlineLevel="0" collapsed="false">
      <c r="A161" s="174" t="str">
        <f aca="false">IF(ISBLANK(B161),"",B161&amp;"|"&amp;C161)</f>
        <v/>
      </c>
      <c r="B161" s="174"/>
      <c r="C161" s="174"/>
      <c r="D161" s="174"/>
      <c r="E161" s="179"/>
      <c r="F161" s="174"/>
      <c r="G161" s="174"/>
      <c r="H161" s="174"/>
      <c r="I161" s="174"/>
      <c r="J161" s="174"/>
      <c r="K161" s="174"/>
      <c r="L161" s="174"/>
      <c r="M161" s="174"/>
      <c r="N161" s="174"/>
      <c r="O161" s="174"/>
      <c r="P161" s="174"/>
      <c r="Q161" s="174"/>
      <c r="R161" s="174"/>
      <c r="S161" s="174"/>
      <c r="T161" s="174"/>
      <c r="U161" s="174"/>
      <c r="V161" s="174"/>
      <c r="W161" s="174"/>
      <c r="X161" s="174"/>
      <c r="Y161" s="174"/>
      <c r="Z161" s="174"/>
      <c r="AA161" s="174"/>
    </row>
    <row r="162" customFormat="false" ht="15.75" hidden="false" customHeight="false" outlineLevel="0" collapsed="false">
      <c r="A162" s="174" t="str">
        <f aca="false">IF(ISBLANK(B162),"",B162&amp;"|"&amp;C162)</f>
        <v/>
      </c>
      <c r="B162" s="174"/>
      <c r="C162" s="174"/>
      <c r="D162" s="174"/>
      <c r="E162" s="179"/>
      <c r="F162" s="174"/>
      <c r="G162" s="174"/>
      <c r="H162" s="174"/>
      <c r="I162" s="174"/>
      <c r="J162" s="174"/>
      <c r="K162" s="174"/>
      <c r="L162" s="174"/>
      <c r="M162" s="174"/>
      <c r="N162" s="174"/>
      <c r="O162" s="174"/>
      <c r="P162" s="174"/>
      <c r="Q162" s="174"/>
      <c r="R162" s="174"/>
      <c r="S162" s="174"/>
      <c r="T162" s="174"/>
      <c r="U162" s="174"/>
      <c r="V162" s="174"/>
      <c r="W162" s="174"/>
      <c r="X162" s="174"/>
      <c r="Y162" s="174"/>
      <c r="Z162" s="174"/>
      <c r="AA162" s="174"/>
    </row>
    <row r="163" customFormat="false" ht="15.75" hidden="false" customHeight="false" outlineLevel="0" collapsed="false">
      <c r="A163" s="174" t="str">
        <f aca="false">IF(ISBLANK(B163),"",B163&amp;"|"&amp;C163)</f>
        <v/>
      </c>
      <c r="B163" s="174"/>
      <c r="C163" s="174"/>
      <c r="D163" s="174"/>
      <c r="E163" s="179"/>
      <c r="F163" s="174"/>
      <c r="G163" s="174"/>
      <c r="H163" s="174"/>
      <c r="I163" s="174"/>
      <c r="J163" s="174"/>
      <c r="K163" s="174"/>
      <c r="L163" s="174"/>
      <c r="M163" s="174"/>
      <c r="N163" s="174"/>
      <c r="O163" s="174"/>
      <c r="P163" s="174"/>
      <c r="Q163" s="174"/>
      <c r="R163" s="174"/>
      <c r="S163" s="174"/>
      <c r="T163" s="174"/>
      <c r="U163" s="174"/>
      <c r="V163" s="174"/>
      <c r="W163" s="174"/>
      <c r="X163" s="174"/>
      <c r="Y163" s="174"/>
      <c r="Z163" s="174"/>
      <c r="AA163" s="174"/>
    </row>
    <row r="164" customFormat="false" ht="15.75" hidden="false" customHeight="false" outlineLevel="0" collapsed="false">
      <c r="A164" s="174" t="str">
        <f aca="false">IF(ISBLANK(B164),"",B164&amp;"|"&amp;C164)</f>
        <v/>
      </c>
      <c r="B164" s="174"/>
      <c r="C164" s="174"/>
      <c r="D164" s="174"/>
      <c r="E164" s="179"/>
      <c r="F164" s="174"/>
      <c r="G164" s="174"/>
      <c r="H164" s="174"/>
      <c r="I164" s="174"/>
      <c r="J164" s="174"/>
      <c r="K164" s="174"/>
      <c r="L164" s="174"/>
      <c r="M164" s="174"/>
      <c r="N164" s="174"/>
      <c r="O164" s="174"/>
      <c r="P164" s="174"/>
      <c r="Q164" s="174"/>
      <c r="R164" s="174"/>
      <c r="S164" s="174"/>
      <c r="T164" s="174"/>
      <c r="U164" s="174"/>
      <c r="V164" s="174"/>
      <c r="W164" s="174"/>
      <c r="X164" s="174"/>
      <c r="Y164" s="174"/>
      <c r="Z164" s="174"/>
      <c r="AA164" s="174"/>
    </row>
    <row r="165" customFormat="false" ht="15.75" hidden="false" customHeight="false" outlineLevel="0" collapsed="false">
      <c r="A165" s="174" t="str">
        <f aca="false">IF(ISBLANK(B165),"",B165&amp;"|"&amp;C165)</f>
        <v/>
      </c>
      <c r="B165" s="174"/>
      <c r="C165" s="174"/>
      <c r="D165" s="174"/>
      <c r="E165" s="179"/>
      <c r="F165" s="174"/>
      <c r="G165" s="174"/>
      <c r="H165" s="174"/>
      <c r="I165" s="174"/>
      <c r="J165" s="174"/>
      <c r="K165" s="174"/>
      <c r="L165" s="174"/>
      <c r="M165" s="174"/>
      <c r="N165" s="174"/>
      <c r="O165" s="174"/>
      <c r="P165" s="174"/>
      <c r="Q165" s="174"/>
      <c r="R165" s="174"/>
      <c r="S165" s="174"/>
      <c r="T165" s="174"/>
      <c r="U165" s="174"/>
      <c r="V165" s="174"/>
      <c r="W165" s="174"/>
      <c r="X165" s="174"/>
      <c r="Y165" s="174"/>
      <c r="Z165" s="174"/>
      <c r="AA165" s="174"/>
    </row>
    <row r="166" customFormat="false" ht="15.75" hidden="false" customHeight="false" outlineLevel="0" collapsed="false">
      <c r="A166" s="174" t="str">
        <f aca="false">IF(ISBLANK(B166),"",B166&amp;"|"&amp;C166)</f>
        <v/>
      </c>
      <c r="B166" s="174"/>
      <c r="C166" s="174"/>
      <c r="D166" s="174"/>
      <c r="E166" s="179"/>
      <c r="F166" s="174"/>
      <c r="G166" s="174"/>
      <c r="H166" s="174"/>
      <c r="I166" s="174"/>
      <c r="J166" s="174"/>
      <c r="K166" s="174"/>
      <c r="L166" s="174"/>
      <c r="M166" s="174"/>
      <c r="N166" s="174"/>
      <c r="O166" s="174"/>
      <c r="P166" s="174"/>
      <c r="Q166" s="174"/>
      <c r="R166" s="174"/>
      <c r="S166" s="174"/>
      <c r="T166" s="174"/>
      <c r="U166" s="174"/>
      <c r="V166" s="174"/>
      <c r="W166" s="174"/>
      <c r="X166" s="174"/>
      <c r="Y166" s="174"/>
      <c r="Z166" s="174"/>
      <c r="AA166" s="174"/>
    </row>
    <row r="167" customFormat="false" ht="15.75" hidden="false" customHeight="false" outlineLevel="0" collapsed="false">
      <c r="A167" s="174" t="str">
        <f aca="false">IF(ISBLANK(B167),"",B167&amp;"|"&amp;C167)</f>
        <v/>
      </c>
      <c r="B167" s="174"/>
      <c r="C167" s="174"/>
      <c r="D167" s="174"/>
      <c r="E167" s="179"/>
      <c r="F167" s="174"/>
      <c r="G167" s="174"/>
      <c r="H167" s="174"/>
      <c r="I167" s="174"/>
      <c r="J167" s="174"/>
      <c r="K167" s="174"/>
      <c r="L167" s="174"/>
      <c r="M167" s="174"/>
      <c r="N167" s="174"/>
      <c r="O167" s="174"/>
      <c r="P167" s="174"/>
      <c r="Q167" s="174"/>
      <c r="R167" s="174"/>
      <c r="S167" s="174"/>
      <c r="T167" s="174"/>
      <c r="U167" s="174"/>
      <c r="V167" s="174"/>
      <c r="W167" s="174"/>
      <c r="X167" s="174"/>
      <c r="Y167" s="174"/>
      <c r="Z167" s="174"/>
      <c r="AA167" s="174"/>
    </row>
    <row r="168" customFormat="false" ht="15.75" hidden="false" customHeight="false" outlineLevel="0" collapsed="false">
      <c r="A168" s="174" t="str">
        <f aca="false">IF(ISBLANK(B168),"",B168&amp;"|"&amp;C168)</f>
        <v/>
      </c>
      <c r="B168" s="174"/>
      <c r="C168" s="174"/>
      <c r="D168" s="174"/>
      <c r="E168" s="179"/>
      <c r="F168" s="174"/>
      <c r="G168" s="174"/>
      <c r="H168" s="174"/>
      <c r="I168" s="174"/>
      <c r="J168" s="174"/>
      <c r="K168" s="174"/>
      <c r="L168" s="174"/>
      <c r="M168" s="174"/>
      <c r="N168" s="174"/>
      <c r="O168" s="174"/>
      <c r="P168" s="174"/>
      <c r="Q168" s="174"/>
      <c r="R168" s="174"/>
      <c r="S168" s="174"/>
      <c r="T168" s="174"/>
      <c r="U168" s="174"/>
      <c r="V168" s="174"/>
      <c r="W168" s="174"/>
      <c r="X168" s="174"/>
      <c r="Y168" s="174"/>
      <c r="Z168" s="174"/>
      <c r="AA168" s="174"/>
    </row>
    <row r="169" customFormat="false" ht="15.75" hidden="false" customHeight="false" outlineLevel="0" collapsed="false">
      <c r="A169" s="174" t="str">
        <f aca="false">IF(ISBLANK(B169),"",B169&amp;"|"&amp;C169)</f>
        <v/>
      </c>
      <c r="B169" s="174"/>
      <c r="C169" s="174"/>
      <c r="D169" s="174"/>
      <c r="E169" s="179"/>
      <c r="F169" s="174"/>
      <c r="G169" s="174"/>
      <c r="H169" s="174"/>
      <c r="I169" s="174"/>
      <c r="J169" s="174"/>
      <c r="K169" s="174"/>
      <c r="L169" s="174"/>
      <c r="M169" s="174"/>
      <c r="N169" s="174"/>
      <c r="O169" s="174"/>
      <c r="P169" s="174"/>
      <c r="Q169" s="174"/>
      <c r="R169" s="174"/>
      <c r="S169" s="174"/>
      <c r="T169" s="174"/>
      <c r="U169" s="174"/>
      <c r="V169" s="174"/>
      <c r="W169" s="174"/>
      <c r="X169" s="174"/>
      <c r="Y169" s="174"/>
      <c r="Z169" s="174"/>
      <c r="AA169" s="174"/>
    </row>
    <row r="170" customFormat="false" ht="15.75" hidden="false" customHeight="false" outlineLevel="0" collapsed="false">
      <c r="A170" s="174" t="str">
        <f aca="false">IF(ISBLANK(B170),"",B170&amp;"|"&amp;C170)</f>
        <v/>
      </c>
      <c r="B170" s="174"/>
      <c r="C170" s="174"/>
      <c r="D170" s="174"/>
      <c r="E170" s="179"/>
      <c r="F170" s="174"/>
      <c r="G170" s="174"/>
      <c r="H170" s="174"/>
      <c r="I170" s="174"/>
      <c r="J170" s="174"/>
      <c r="K170" s="174"/>
      <c r="L170" s="174"/>
      <c r="M170" s="174"/>
      <c r="N170" s="174"/>
      <c r="O170" s="174"/>
      <c r="P170" s="174"/>
      <c r="Q170" s="174"/>
      <c r="R170" s="174"/>
      <c r="S170" s="174"/>
      <c r="T170" s="174"/>
      <c r="U170" s="174"/>
      <c r="V170" s="174"/>
      <c r="W170" s="174"/>
      <c r="X170" s="174"/>
      <c r="Y170" s="174"/>
      <c r="Z170" s="174"/>
      <c r="AA170" s="174"/>
    </row>
    <row r="171" customFormat="false" ht="15.75" hidden="false" customHeight="false" outlineLevel="0" collapsed="false">
      <c r="A171" s="174" t="str">
        <f aca="false">IF(ISBLANK(B171),"",B171&amp;"|"&amp;C171)</f>
        <v/>
      </c>
      <c r="B171" s="174"/>
      <c r="C171" s="174"/>
      <c r="D171" s="174"/>
      <c r="E171" s="179"/>
      <c r="F171" s="174"/>
      <c r="G171" s="174"/>
      <c r="H171" s="174"/>
      <c r="I171" s="174"/>
      <c r="J171" s="174"/>
      <c r="K171" s="174"/>
      <c r="L171" s="174"/>
      <c r="M171" s="174"/>
      <c r="N171" s="174"/>
      <c r="O171" s="174"/>
      <c r="P171" s="174"/>
      <c r="Q171" s="174"/>
      <c r="R171" s="174"/>
      <c r="S171" s="174"/>
      <c r="T171" s="174"/>
      <c r="U171" s="174"/>
      <c r="V171" s="174"/>
      <c r="W171" s="174"/>
      <c r="X171" s="174"/>
      <c r="Y171" s="174"/>
      <c r="Z171" s="174"/>
      <c r="AA171" s="174"/>
    </row>
    <row r="172" customFormat="false" ht="15.75" hidden="false" customHeight="false" outlineLevel="0" collapsed="false">
      <c r="A172" s="174" t="str">
        <f aca="false">IF(ISBLANK(B172),"",B172&amp;"|"&amp;C172)</f>
        <v/>
      </c>
      <c r="B172" s="174"/>
      <c r="C172" s="174"/>
      <c r="D172" s="174"/>
      <c r="E172" s="179"/>
      <c r="F172" s="174"/>
      <c r="G172" s="174"/>
      <c r="H172" s="174"/>
      <c r="I172" s="174"/>
      <c r="J172" s="174"/>
      <c r="K172" s="174"/>
      <c r="L172" s="174"/>
      <c r="M172" s="174"/>
      <c r="N172" s="174"/>
      <c r="O172" s="174"/>
      <c r="P172" s="174"/>
      <c r="Q172" s="174"/>
      <c r="R172" s="174"/>
      <c r="S172" s="174"/>
      <c r="T172" s="174"/>
      <c r="U172" s="174"/>
      <c r="V172" s="174"/>
      <c r="W172" s="174"/>
      <c r="X172" s="174"/>
      <c r="Y172" s="174"/>
      <c r="Z172" s="174"/>
      <c r="AA172" s="174"/>
    </row>
    <row r="173" customFormat="false" ht="15.75" hidden="false" customHeight="false" outlineLevel="0" collapsed="false">
      <c r="A173" s="174" t="str">
        <f aca="false">IF(ISBLANK(B173),"",B173&amp;"|"&amp;C173)</f>
        <v/>
      </c>
      <c r="B173" s="174"/>
      <c r="C173" s="174"/>
      <c r="D173" s="174"/>
      <c r="E173" s="179"/>
      <c r="F173" s="174"/>
      <c r="G173" s="174"/>
      <c r="H173" s="174"/>
      <c r="I173" s="174"/>
      <c r="J173" s="174"/>
      <c r="K173" s="174"/>
      <c r="L173" s="174"/>
      <c r="M173" s="174"/>
      <c r="N173" s="174"/>
      <c r="O173" s="174"/>
      <c r="P173" s="174"/>
      <c r="Q173" s="174"/>
      <c r="R173" s="174"/>
      <c r="S173" s="174"/>
      <c r="T173" s="174"/>
      <c r="U173" s="174"/>
      <c r="V173" s="174"/>
      <c r="W173" s="174"/>
      <c r="X173" s="174"/>
      <c r="Y173" s="174"/>
      <c r="Z173" s="174"/>
      <c r="AA173" s="174"/>
    </row>
    <row r="174" customFormat="false" ht="15.75" hidden="false" customHeight="false" outlineLevel="0" collapsed="false">
      <c r="A174" s="174" t="str">
        <f aca="false">IF(ISBLANK(B174),"",B174&amp;"|"&amp;C174)</f>
        <v/>
      </c>
      <c r="B174" s="174"/>
      <c r="C174" s="174"/>
      <c r="D174" s="174"/>
      <c r="E174" s="179"/>
      <c r="F174" s="174"/>
      <c r="G174" s="174"/>
      <c r="H174" s="174"/>
      <c r="I174" s="174"/>
      <c r="J174" s="174"/>
      <c r="K174" s="174"/>
      <c r="L174" s="174"/>
      <c r="M174" s="174"/>
      <c r="N174" s="174"/>
      <c r="O174" s="174"/>
      <c r="P174" s="174"/>
      <c r="Q174" s="174"/>
      <c r="R174" s="174"/>
      <c r="S174" s="174"/>
      <c r="T174" s="174"/>
      <c r="U174" s="174"/>
      <c r="V174" s="174"/>
      <c r="W174" s="174"/>
      <c r="X174" s="174"/>
      <c r="Y174" s="174"/>
      <c r="Z174" s="174"/>
      <c r="AA174" s="174"/>
    </row>
    <row r="175" customFormat="false" ht="15.75" hidden="false" customHeight="false" outlineLevel="0" collapsed="false">
      <c r="A175" s="174" t="str">
        <f aca="false">IF(ISBLANK(B175),"",B175&amp;"|"&amp;C175)</f>
        <v/>
      </c>
      <c r="B175" s="174"/>
      <c r="C175" s="174"/>
      <c r="D175" s="174"/>
      <c r="E175" s="179"/>
      <c r="F175" s="174"/>
      <c r="G175" s="174"/>
      <c r="H175" s="174"/>
      <c r="I175" s="174"/>
      <c r="J175" s="174"/>
      <c r="K175" s="174"/>
      <c r="L175" s="174"/>
      <c r="M175" s="174"/>
      <c r="N175" s="174"/>
      <c r="O175" s="174"/>
      <c r="P175" s="174"/>
      <c r="Q175" s="174"/>
      <c r="R175" s="174"/>
      <c r="S175" s="174"/>
      <c r="T175" s="174"/>
      <c r="U175" s="174"/>
      <c r="V175" s="174"/>
      <c r="W175" s="174"/>
      <c r="X175" s="174"/>
      <c r="Y175" s="174"/>
      <c r="Z175" s="174"/>
      <c r="AA175" s="174"/>
    </row>
    <row r="176" customFormat="false" ht="15.75" hidden="false" customHeight="false" outlineLevel="0" collapsed="false">
      <c r="A176" s="174" t="str">
        <f aca="false">IF(ISBLANK(B176),"",B176&amp;"|"&amp;C176)</f>
        <v/>
      </c>
      <c r="B176" s="174"/>
      <c r="C176" s="174"/>
      <c r="D176" s="174"/>
      <c r="E176" s="179"/>
      <c r="F176" s="174"/>
      <c r="G176" s="174"/>
      <c r="H176" s="174"/>
      <c r="I176" s="174"/>
      <c r="J176" s="174"/>
      <c r="K176" s="174"/>
      <c r="L176" s="174"/>
      <c r="M176" s="174"/>
      <c r="N176" s="174"/>
      <c r="O176" s="174"/>
      <c r="P176" s="174"/>
      <c r="Q176" s="174"/>
      <c r="R176" s="174"/>
      <c r="S176" s="174"/>
      <c r="T176" s="174"/>
      <c r="U176" s="174"/>
      <c r="V176" s="174"/>
      <c r="W176" s="174"/>
      <c r="X176" s="174"/>
      <c r="Y176" s="174"/>
      <c r="Z176" s="174"/>
      <c r="AA176" s="174"/>
    </row>
    <row r="177" customFormat="false" ht="15.75" hidden="false" customHeight="false" outlineLevel="0" collapsed="false">
      <c r="A177" s="174" t="str">
        <f aca="false">IF(ISBLANK(B177),"",B177&amp;"|"&amp;C177)</f>
        <v/>
      </c>
      <c r="B177" s="174"/>
      <c r="C177" s="174"/>
      <c r="D177" s="174"/>
      <c r="E177" s="179"/>
      <c r="F177" s="174"/>
      <c r="G177" s="174"/>
      <c r="H177" s="174"/>
      <c r="I177" s="174"/>
      <c r="J177" s="174"/>
      <c r="K177" s="174"/>
      <c r="L177" s="174"/>
      <c r="M177" s="174"/>
      <c r="N177" s="174"/>
      <c r="O177" s="174"/>
      <c r="P177" s="174"/>
      <c r="Q177" s="174"/>
      <c r="R177" s="174"/>
      <c r="S177" s="174"/>
      <c r="T177" s="174"/>
      <c r="U177" s="174"/>
      <c r="V177" s="174"/>
      <c r="W177" s="174"/>
      <c r="X177" s="174"/>
      <c r="Y177" s="174"/>
      <c r="Z177" s="174"/>
      <c r="AA177" s="174"/>
    </row>
    <row r="178" customFormat="false" ht="15.75" hidden="false" customHeight="false" outlineLevel="0" collapsed="false">
      <c r="A178" s="174" t="str">
        <f aca="false">IF(ISBLANK(B178),"",B178&amp;"|"&amp;C178)</f>
        <v/>
      </c>
      <c r="B178" s="174"/>
      <c r="C178" s="174"/>
      <c r="D178" s="174"/>
      <c r="E178" s="179"/>
      <c r="F178" s="174"/>
      <c r="G178" s="174"/>
      <c r="H178" s="174"/>
      <c r="I178" s="174"/>
      <c r="J178" s="174"/>
      <c r="K178" s="174"/>
      <c r="L178" s="174"/>
      <c r="M178" s="174"/>
      <c r="N178" s="174"/>
      <c r="O178" s="174"/>
      <c r="P178" s="174"/>
      <c r="Q178" s="174"/>
      <c r="R178" s="174"/>
      <c r="S178" s="174"/>
      <c r="T178" s="174"/>
      <c r="U178" s="174"/>
      <c r="V178" s="174"/>
      <c r="W178" s="174"/>
      <c r="X178" s="174"/>
      <c r="Y178" s="174"/>
      <c r="Z178" s="174"/>
      <c r="AA178" s="174"/>
    </row>
    <row r="179" customFormat="false" ht="15.75" hidden="false" customHeight="false" outlineLevel="0" collapsed="false">
      <c r="A179" s="174" t="str">
        <f aca="false">IF(ISBLANK(B179),"",B179&amp;"|"&amp;C179)</f>
        <v/>
      </c>
      <c r="B179" s="174"/>
      <c r="C179" s="174"/>
      <c r="D179" s="174"/>
      <c r="E179" s="179"/>
      <c r="F179" s="174"/>
      <c r="G179" s="174"/>
      <c r="H179" s="174"/>
      <c r="I179" s="174"/>
      <c r="J179" s="174"/>
      <c r="K179" s="174"/>
      <c r="L179" s="174"/>
      <c r="M179" s="174"/>
      <c r="N179" s="174"/>
      <c r="O179" s="174"/>
      <c r="P179" s="174"/>
      <c r="Q179" s="174"/>
      <c r="R179" s="174"/>
      <c r="S179" s="174"/>
      <c r="T179" s="174"/>
      <c r="U179" s="174"/>
      <c r="V179" s="174"/>
      <c r="W179" s="174"/>
      <c r="X179" s="174"/>
      <c r="Y179" s="174"/>
      <c r="Z179" s="174"/>
      <c r="AA179" s="174"/>
    </row>
    <row r="180" customFormat="false" ht="15.75" hidden="false" customHeight="false" outlineLevel="0" collapsed="false">
      <c r="A180" s="174" t="str">
        <f aca="false">IF(ISBLANK(B180),"",B180&amp;"|"&amp;C180)</f>
        <v/>
      </c>
      <c r="B180" s="174"/>
      <c r="C180" s="174"/>
      <c r="D180" s="174"/>
      <c r="E180" s="179"/>
      <c r="F180" s="174"/>
      <c r="G180" s="174"/>
      <c r="H180" s="174"/>
      <c r="I180" s="174"/>
      <c r="J180" s="174"/>
      <c r="K180" s="174"/>
      <c r="L180" s="174"/>
      <c r="M180" s="174"/>
      <c r="N180" s="174"/>
      <c r="O180" s="174"/>
      <c r="P180" s="174"/>
      <c r="Q180" s="174"/>
      <c r="R180" s="174"/>
      <c r="S180" s="174"/>
      <c r="T180" s="174"/>
      <c r="U180" s="174"/>
      <c r="V180" s="174"/>
      <c r="W180" s="174"/>
      <c r="X180" s="174"/>
      <c r="Y180" s="174"/>
      <c r="Z180" s="174"/>
      <c r="AA180" s="174"/>
    </row>
    <row r="181" customFormat="false" ht="15.75" hidden="false" customHeight="false" outlineLevel="0" collapsed="false">
      <c r="A181" s="174" t="str">
        <f aca="false">IF(ISBLANK(B181),"",B181&amp;"|"&amp;C181)</f>
        <v/>
      </c>
      <c r="B181" s="174"/>
      <c r="C181" s="174"/>
      <c r="D181" s="174"/>
      <c r="E181" s="179"/>
      <c r="F181" s="174"/>
      <c r="G181" s="174"/>
      <c r="H181" s="174"/>
      <c r="I181" s="174"/>
      <c r="J181" s="174"/>
      <c r="K181" s="174"/>
      <c r="L181" s="174"/>
      <c r="M181" s="174"/>
      <c r="N181" s="174"/>
      <c r="O181" s="174"/>
      <c r="P181" s="174"/>
      <c r="Q181" s="174"/>
      <c r="R181" s="174"/>
      <c r="S181" s="174"/>
      <c r="T181" s="174"/>
      <c r="U181" s="174"/>
      <c r="V181" s="174"/>
      <c r="W181" s="174"/>
      <c r="X181" s="174"/>
      <c r="Y181" s="174"/>
      <c r="Z181" s="174"/>
      <c r="AA181" s="174"/>
    </row>
    <row r="182" customFormat="false" ht="15.75" hidden="false" customHeight="false" outlineLevel="0" collapsed="false">
      <c r="A182" s="174" t="str">
        <f aca="false">IF(ISBLANK(B182),"",B182&amp;"|"&amp;C182)</f>
        <v/>
      </c>
      <c r="B182" s="174"/>
      <c r="C182" s="174"/>
      <c r="D182" s="174"/>
      <c r="E182" s="179"/>
      <c r="F182" s="174"/>
      <c r="G182" s="174"/>
      <c r="H182" s="174"/>
      <c r="I182" s="174"/>
      <c r="J182" s="174"/>
      <c r="K182" s="174"/>
      <c r="L182" s="174"/>
      <c r="M182" s="174"/>
      <c r="N182" s="174"/>
      <c r="O182" s="174"/>
      <c r="P182" s="174"/>
      <c r="Q182" s="174"/>
      <c r="R182" s="174"/>
      <c r="S182" s="174"/>
      <c r="T182" s="174"/>
      <c r="U182" s="174"/>
      <c r="V182" s="174"/>
      <c r="W182" s="174"/>
      <c r="X182" s="174"/>
      <c r="Y182" s="174"/>
      <c r="Z182" s="174"/>
      <c r="AA182" s="174"/>
    </row>
    <row r="183" customFormat="false" ht="15.75" hidden="false" customHeight="false" outlineLevel="0" collapsed="false">
      <c r="A183" s="174" t="str">
        <f aca="false">IF(ISBLANK(B183),"",B183&amp;"|"&amp;C183)</f>
        <v/>
      </c>
      <c r="B183" s="174"/>
      <c r="C183" s="174"/>
      <c r="D183" s="174"/>
      <c r="E183" s="179"/>
      <c r="F183" s="174"/>
      <c r="G183" s="174"/>
      <c r="H183" s="174"/>
      <c r="I183" s="174"/>
      <c r="J183" s="174"/>
      <c r="K183" s="174"/>
      <c r="L183" s="174"/>
      <c r="M183" s="174"/>
      <c r="N183" s="174"/>
      <c r="O183" s="174"/>
      <c r="P183" s="174"/>
      <c r="Q183" s="174"/>
      <c r="R183" s="174"/>
      <c r="S183" s="174"/>
      <c r="T183" s="174"/>
      <c r="U183" s="174"/>
      <c r="V183" s="174"/>
      <c r="W183" s="174"/>
      <c r="X183" s="174"/>
      <c r="Y183" s="174"/>
      <c r="Z183" s="174"/>
      <c r="AA183" s="174"/>
    </row>
    <row r="184" customFormat="false" ht="15.75" hidden="false" customHeight="false" outlineLevel="0" collapsed="false">
      <c r="A184" s="174" t="str">
        <f aca="false">IF(ISBLANK(B184),"",B184&amp;"|"&amp;C184)</f>
        <v/>
      </c>
      <c r="B184" s="174"/>
      <c r="C184" s="174"/>
      <c r="D184" s="174"/>
      <c r="E184" s="179"/>
      <c r="F184" s="174"/>
      <c r="G184" s="174"/>
      <c r="H184" s="174"/>
      <c r="I184" s="174"/>
      <c r="J184" s="174"/>
      <c r="K184" s="174"/>
      <c r="L184" s="174"/>
      <c r="M184" s="174"/>
      <c r="N184" s="174"/>
      <c r="O184" s="174"/>
      <c r="P184" s="174"/>
      <c r="Q184" s="174"/>
      <c r="R184" s="174"/>
      <c r="S184" s="174"/>
      <c r="T184" s="174"/>
      <c r="U184" s="174"/>
      <c r="V184" s="174"/>
      <c r="W184" s="174"/>
      <c r="X184" s="174"/>
      <c r="Y184" s="174"/>
      <c r="Z184" s="174"/>
      <c r="AA184" s="174"/>
    </row>
    <row r="185" customFormat="false" ht="15.75" hidden="false" customHeight="false" outlineLevel="0" collapsed="false">
      <c r="A185" s="174" t="str">
        <f aca="false">IF(ISBLANK(B185),"",B185&amp;"|"&amp;C185)</f>
        <v/>
      </c>
      <c r="B185" s="174"/>
      <c r="C185" s="174"/>
      <c r="D185" s="174"/>
      <c r="E185" s="179"/>
      <c r="F185" s="174"/>
      <c r="G185" s="174"/>
      <c r="H185" s="174"/>
      <c r="I185" s="174"/>
      <c r="J185" s="174"/>
      <c r="K185" s="174"/>
      <c r="L185" s="174"/>
      <c r="M185" s="174"/>
      <c r="N185" s="174"/>
      <c r="O185" s="174"/>
      <c r="P185" s="174"/>
      <c r="Q185" s="174"/>
      <c r="R185" s="174"/>
      <c r="S185" s="174"/>
      <c r="T185" s="174"/>
      <c r="U185" s="174"/>
      <c r="V185" s="174"/>
      <c r="W185" s="174"/>
      <c r="X185" s="174"/>
      <c r="Y185" s="174"/>
      <c r="Z185" s="174"/>
      <c r="AA185" s="174"/>
    </row>
    <row r="186" customFormat="false" ht="15.75" hidden="false" customHeight="false" outlineLevel="0" collapsed="false">
      <c r="A186" s="174" t="str">
        <f aca="false">IF(ISBLANK(B186),"",B186&amp;"|"&amp;C186)</f>
        <v/>
      </c>
      <c r="B186" s="174"/>
      <c r="C186" s="174"/>
      <c r="D186" s="174"/>
      <c r="E186" s="179"/>
      <c r="F186" s="174"/>
      <c r="G186" s="174"/>
      <c r="H186" s="174"/>
      <c r="I186" s="174"/>
      <c r="J186" s="174"/>
      <c r="K186" s="174"/>
      <c r="L186" s="174"/>
      <c r="M186" s="174"/>
      <c r="N186" s="174"/>
      <c r="O186" s="174"/>
      <c r="P186" s="174"/>
      <c r="Q186" s="174"/>
      <c r="R186" s="174"/>
      <c r="S186" s="174"/>
      <c r="T186" s="174"/>
      <c r="U186" s="174"/>
      <c r="V186" s="174"/>
      <c r="W186" s="174"/>
      <c r="X186" s="174"/>
      <c r="Y186" s="174"/>
      <c r="Z186" s="174"/>
      <c r="AA186" s="174"/>
    </row>
    <row r="187" customFormat="false" ht="15.75" hidden="false" customHeight="false" outlineLevel="0" collapsed="false">
      <c r="A187" s="174" t="str">
        <f aca="false">IF(ISBLANK(B187),"",B187&amp;"|"&amp;C187)</f>
        <v/>
      </c>
      <c r="B187" s="174"/>
      <c r="C187" s="174"/>
      <c r="D187" s="174"/>
      <c r="E187" s="179"/>
      <c r="F187" s="174"/>
      <c r="G187" s="174"/>
      <c r="H187" s="174"/>
      <c r="I187" s="174"/>
      <c r="J187" s="174"/>
      <c r="K187" s="174"/>
      <c r="L187" s="174"/>
      <c r="M187" s="174"/>
      <c r="N187" s="174"/>
      <c r="O187" s="174"/>
      <c r="P187" s="174"/>
      <c r="Q187" s="174"/>
      <c r="R187" s="174"/>
      <c r="S187" s="174"/>
      <c r="T187" s="174"/>
      <c r="U187" s="174"/>
      <c r="V187" s="174"/>
      <c r="W187" s="174"/>
      <c r="X187" s="174"/>
      <c r="Y187" s="174"/>
      <c r="Z187" s="174"/>
      <c r="AA187" s="174"/>
    </row>
    <row r="188" customFormat="false" ht="15.75" hidden="false" customHeight="false" outlineLevel="0" collapsed="false">
      <c r="A188" s="174" t="str">
        <f aca="false">IF(ISBLANK(B188),"",B188&amp;"|"&amp;C188)</f>
        <v/>
      </c>
      <c r="B188" s="174"/>
      <c r="C188" s="174"/>
      <c r="D188" s="174"/>
      <c r="E188" s="179"/>
      <c r="F188" s="174"/>
      <c r="G188" s="174"/>
      <c r="H188" s="174"/>
      <c r="I188" s="174"/>
      <c r="J188" s="174"/>
      <c r="K188" s="174"/>
      <c r="L188" s="174"/>
      <c r="M188" s="174"/>
      <c r="N188" s="174"/>
      <c r="O188" s="174"/>
      <c r="P188" s="174"/>
      <c r="Q188" s="174"/>
      <c r="R188" s="174"/>
      <c r="S188" s="174"/>
      <c r="T188" s="174"/>
      <c r="U188" s="174"/>
      <c r="V188" s="174"/>
      <c r="W188" s="174"/>
      <c r="X188" s="174"/>
      <c r="Y188" s="174"/>
      <c r="Z188" s="174"/>
      <c r="AA188" s="174"/>
    </row>
    <row r="189" customFormat="false" ht="15.75" hidden="false" customHeight="false" outlineLevel="0" collapsed="false">
      <c r="A189" s="174" t="str">
        <f aca="false">IF(ISBLANK(B189),"",B189&amp;"|"&amp;C189)</f>
        <v/>
      </c>
      <c r="B189" s="174"/>
      <c r="C189" s="174"/>
      <c r="D189" s="174"/>
      <c r="E189" s="179"/>
      <c r="F189" s="174"/>
      <c r="G189" s="174"/>
      <c r="H189" s="174"/>
      <c r="I189" s="174"/>
      <c r="J189" s="174"/>
      <c r="K189" s="174"/>
      <c r="L189" s="174"/>
      <c r="M189" s="174"/>
      <c r="N189" s="174"/>
      <c r="O189" s="174"/>
      <c r="P189" s="174"/>
      <c r="Q189" s="174"/>
      <c r="R189" s="174"/>
      <c r="S189" s="174"/>
      <c r="T189" s="174"/>
      <c r="U189" s="174"/>
      <c r="V189" s="174"/>
      <c r="W189" s="174"/>
      <c r="X189" s="174"/>
      <c r="Y189" s="174"/>
      <c r="Z189" s="174"/>
      <c r="AA189" s="174"/>
    </row>
    <row r="190" customFormat="false" ht="15.75" hidden="false" customHeight="false" outlineLevel="0" collapsed="false">
      <c r="A190" s="174" t="str">
        <f aca="false">IF(ISBLANK(B190),"",B190&amp;"|"&amp;C190)</f>
        <v/>
      </c>
      <c r="B190" s="174"/>
      <c r="C190" s="174"/>
      <c r="D190" s="174"/>
      <c r="E190" s="179"/>
      <c r="F190" s="174"/>
      <c r="G190" s="174"/>
      <c r="H190" s="174"/>
      <c r="I190" s="174"/>
      <c r="J190" s="174"/>
      <c r="K190" s="174"/>
      <c r="L190" s="174"/>
      <c r="M190" s="174"/>
      <c r="N190" s="174"/>
      <c r="O190" s="174"/>
      <c r="P190" s="174"/>
      <c r="Q190" s="174"/>
      <c r="R190" s="174"/>
      <c r="S190" s="174"/>
      <c r="T190" s="174"/>
      <c r="U190" s="174"/>
      <c r="V190" s="174"/>
      <c r="W190" s="174"/>
      <c r="X190" s="174"/>
      <c r="Y190" s="174"/>
      <c r="Z190" s="174"/>
      <c r="AA190" s="174"/>
    </row>
    <row r="191" customFormat="false" ht="15.75" hidden="false" customHeight="false" outlineLevel="0" collapsed="false">
      <c r="A191" s="174" t="str">
        <f aca="false">IF(ISBLANK(B191),"",B191&amp;"|"&amp;C191)</f>
        <v/>
      </c>
      <c r="B191" s="174"/>
      <c r="C191" s="174"/>
      <c r="D191" s="174"/>
      <c r="E191" s="179"/>
      <c r="F191" s="174"/>
      <c r="G191" s="174"/>
      <c r="H191" s="174"/>
      <c r="I191" s="174"/>
      <c r="J191" s="174"/>
      <c r="K191" s="174"/>
      <c r="L191" s="174"/>
      <c r="M191" s="174"/>
      <c r="N191" s="174"/>
      <c r="O191" s="174"/>
      <c r="P191" s="174"/>
      <c r="Q191" s="174"/>
      <c r="R191" s="174"/>
      <c r="S191" s="174"/>
      <c r="T191" s="174"/>
      <c r="U191" s="174"/>
      <c r="V191" s="174"/>
      <c r="W191" s="174"/>
      <c r="X191" s="174"/>
      <c r="Y191" s="174"/>
      <c r="Z191" s="174"/>
      <c r="AA191" s="174"/>
    </row>
    <row r="192" customFormat="false" ht="15.75" hidden="false" customHeight="false" outlineLevel="0" collapsed="false">
      <c r="A192" s="174" t="str">
        <f aca="false">IF(ISBLANK(B192),"",B192&amp;"|"&amp;C192)</f>
        <v/>
      </c>
      <c r="B192" s="174"/>
      <c r="C192" s="174"/>
      <c r="D192" s="174"/>
      <c r="E192" s="179"/>
      <c r="F192" s="174"/>
      <c r="G192" s="174"/>
      <c r="H192" s="174"/>
      <c r="I192" s="174"/>
      <c r="J192" s="174"/>
      <c r="K192" s="174"/>
      <c r="L192" s="174"/>
      <c r="M192" s="174"/>
      <c r="N192" s="174"/>
      <c r="O192" s="174"/>
      <c r="P192" s="174"/>
      <c r="Q192" s="174"/>
      <c r="R192" s="174"/>
      <c r="S192" s="174"/>
      <c r="T192" s="174"/>
      <c r="U192" s="174"/>
      <c r="V192" s="174"/>
      <c r="W192" s="174"/>
      <c r="X192" s="174"/>
      <c r="Y192" s="174"/>
      <c r="Z192" s="174"/>
      <c r="AA192" s="174"/>
    </row>
    <row r="193" customFormat="false" ht="15.75" hidden="false" customHeight="false" outlineLevel="0" collapsed="false">
      <c r="A193" s="174" t="str">
        <f aca="false">IF(ISBLANK(B193),"",B193&amp;"|"&amp;C193)</f>
        <v/>
      </c>
      <c r="B193" s="174"/>
      <c r="C193" s="174"/>
      <c r="D193" s="174"/>
      <c r="E193" s="179"/>
      <c r="F193" s="174"/>
      <c r="G193" s="174"/>
      <c r="H193" s="174"/>
      <c r="I193" s="174"/>
      <c r="J193" s="174"/>
      <c r="K193" s="174"/>
      <c r="L193" s="174"/>
      <c r="M193" s="174"/>
      <c r="N193" s="174"/>
      <c r="O193" s="174"/>
      <c r="P193" s="174"/>
      <c r="Q193" s="174"/>
      <c r="R193" s="174"/>
      <c r="S193" s="174"/>
      <c r="T193" s="174"/>
      <c r="U193" s="174"/>
      <c r="V193" s="174"/>
      <c r="W193" s="174"/>
      <c r="X193" s="174"/>
      <c r="Y193" s="174"/>
      <c r="Z193" s="174"/>
      <c r="AA193" s="174"/>
    </row>
    <row r="194" customFormat="false" ht="15.75" hidden="false" customHeight="false" outlineLevel="0" collapsed="false">
      <c r="A194" s="174" t="str">
        <f aca="false">IF(ISBLANK(B194),"",B194&amp;"|"&amp;C194)</f>
        <v/>
      </c>
      <c r="B194" s="174"/>
      <c r="C194" s="174"/>
      <c r="D194" s="174"/>
      <c r="E194" s="179"/>
      <c r="F194" s="174"/>
      <c r="G194" s="174"/>
      <c r="H194" s="174"/>
      <c r="I194" s="174"/>
      <c r="J194" s="174"/>
      <c r="K194" s="174"/>
      <c r="L194" s="174"/>
      <c r="M194" s="174"/>
      <c r="N194" s="174"/>
      <c r="O194" s="174"/>
      <c r="P194" s="174"/>
      <c r="Q194" s="174"/>
      <c r="R194" s="174"/>
      <c r="S194" s="174"/>
      <c r="T194" s="174"/>
      <c r="U194" s="174"/>
      <c r="V194" s="174"/>
      <c r="W194" s="174"/>
      <c r="X194" s="174"/>
      <c r="Y194" s="174"/>
      <c r="Z194" s="174"/>
      <c r="AA194" s="174"/>
    </row>
    <row r="195" customFormat="false" ht="15.75" hidden="false" customHeight="false" outlineLevel="0" collapsed="false">
      <c r="A195" s="174" t="str">
        <f aca="false">IF(ISBLANK(B195),"",B195&amp;"|"&amp;C195)</f>
        <v/>
      </c>
      <c r="B195" s="174"/>
      <c r="C195" s="174"/>
      <c r="D195" s="174"/>
      <c r="E195" s="179"/>
      <c r="F195" s="174"/>
      <c r="G195" s="174"/>
      <c r="H195" s="174"/>
      <c r="I195" s="174"/>
      <c r="J195" s="174"/>
      <c r="K195" s="174"/>
      <c r="L195" s="174"/>
      <c r="M195" s="174"/>
      <c r="N195" s="174"/>
      <c r="O195" s="174"/>
      <c r="P195" s="174"/>
      <c r="Q195" s="174"/>
      <c r="R195" s="174"/>
      <c r="S195" s="174"/>
      <c r="T195" s="174"/>
      <c r="U195" s="174"/>
      <c r="V195" s="174"/>
      <c r="W195" s="174"/>
      <c r="X195" s="174"/>
      <c r="Y195" s="174"/>
      <c r="Z195" s="174"/>
      <c r="AA195" s="174"/>
    </row>
    <row r="196" customFormat="false" ht="15.75" hidden="false" customHeight="false" outlineLevel="0" collapsed="false">
      <c r="A196" s="174" t="str">
        <f aca="false">IF(ISBLANK(B196),"",B196&amp;"|"&amp;C196)</f>
        <v/>
      </c>
      <c r="B196" s="174"/>
      <c r="C196" s="174"/>
      <c r="D196" s="174"/>
      <c r="E196" s="179"/>
      <c r="F196" s="174"/>
      <c r="G196" s="174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  <c r="AA196" s="174"/>
    </row>
    <row r="197" customFormat="false" ht="15.75" hidden="false" customHeight="false" outlineLevel="0" collapsed="false">
      <c r="A197" s="174" t="str">
        <f aca="false">IF(ISBLANK(B197),"",B197&amp;"|"&amp;C197)</f>
        <v/>
      </c>
      <c r="B197" s="174"/>
      <c r="C197" s="174"/>
      <c r="D197" s="174"/>
      <c r="E197" s="179"/>
      <c r="F197" s="174"/>
      <c r="G197" s="174"/>
      <c r="H197" s="174"/>
      <c r="I197" s="174"/>
      <c r="J197" s="174"/>
      <c r="K197" s="174"/>
      <c r="L197" s="174"/>
      <c r="M197" s="174"/>
      <c r="N197" s="174"/>
      <c r="O197" s="174"/>
      <c r="P197" s="174"/>
      <c r="Q197" s="174"/>
      <c r="R197" s="174"/>
      <c r="S197" s="174"/>
      <c r="T197" s="174"/>
      <c r="U197" s="174"/>
      <c r="V197" s="174"/>
      <c r="W197" s="174"/>
      <c r="X197" s="174"/>
      <c r="Y197" s="174"/>
      <c r="Z197" s="174"/>
      <c r="AA197" s="174"/>
    </row>
    <row r="198" customFormat="false" ht="15.75" hidden="false" customHeight="false" outlineLevel="0" collapsed="false">
      <c r="A198" s="174" t="str">
        <f aca="false">IF(ISBLANK(B198),"",B198&amp;"|"&amp;C198)</f>
        <v/>
      </c>
      <c r="B198" s="174"/>
      <c r="C198" s="174"/>
      <c r="D198" s="174"/>
      <c r="E198" s="179"/>
      <c r="F198" s="174"/>
      <c r="G198" s="174"/>
      <c r="H198" s="174"/>
      <c r="I198" s="174"/>
      <c r="J198" s="174"/>
      <c r="K198" s="174"/>
      <c r="L198" s="174"/>
      <c r="M198" s="174"/>
      <c r="N198" s="174"/>
      <c r="O198" s="174"/>
      <c r="P198" s="174"/>
      <c r="Q198" s="174"/>
      <c r="R198" s="174"/>
      <c r="S198" s="174"/>
      <c r="T198" s="174"/>
      <c r="U198" s="174"/>
      <c r="V198" s="174"/>
      <c r="W198" s="174"/>
      <c r="X198" s="174"/>
      <c r="Y198" s="174"/>
      <c r="Z198" s="174"/>
      <c r="AA198" s="174"/>
    </row>
    <row r="199" customFormat="false" ht="15.75" hidden="false" customHeight="false" outlineLevel="0" collapsed="false">
      <c r="A199" s="174" t="str">
        <f aca="false">IF(ISBLANK(B199),"",B199&amp;"|"&amp;C199)</f>
        <v/>
      </c>
      <c r="B199" s="174"/>
      <c r="C199" s="174"/>
      <c r="D199" s="174"/>
      <c r="E199" s="179"/>
      <c r="F199" s="174"/>
      <c r="G199" s="174"/>
      <c r="H199" s="174"/>
      <c r="I199" s="174"/>
      <c r="J199" s="174"/>
      <c r="K199" s="174"/>
      <c r="L199" s="174"/>
      <c r="M199" s="174"/>
      <c r="N199" s="174"/>
      <c r="O199" s="174"/>
      <c r="P199" s="174"/>
      <c r="Q199" s="174"/>
      <c r="R199" s="174"/>
      <c r="S199" s="174"/>
      <c r="T199" s="174"/>
      <c r="U199" s="174"/>
      <c r="V199" s="174"/>
      <c r="W199" s="174"/>
      <c r="X199" s="174"/>
      <c r="Y199" s="174"/>
      <c r="Z199" s="174"/>
      <c r="AA199" s="174"/>
    </row>
    <row r="200" customFormat="false" ht="15.75" hidden="false" customHeight="false" outlineLevel="0" collapsed="false">
      <c r="A200" s="174" t="str">
        <f aca="false">IF(ISBLANK(B200),"",B200&amp;"|"&amp;C200)</f>
        <v/>
      </c>
      <c r="B200" s="174"/>
      <c r="C200" s="174"/>
      <c r="D200" s="174"/>
      <c r="E200" s="179"/>
      <c r="F200" s="174"/>
      <c r="G200" s="174"/>
      <c r="H200" s="174"/>
      <c r="I200" s="174"/>
      <c r="J200" s="174"/>
      <c r="K200" s="174"/>
      <c r="L200" s="174"/>
      <c r="M200" s="174"/>
      <c r="N200" s="174"/>
      <c r="O200" s="174"/>
      <c r="P200" s="174"/>
      <c r="Q200" s="174"/>
      <c r="R200" s="174"/>
      <c r="S200" s="174"/>
      <c r="T200" s="174"/>
      <c r="U200" s="174"/>
      <c r="V200" s="174"/>
      <c r="W200" s="174"/>
      <c r="X200" s="174"/>
      <c r="Y200" s="174"/>
      <c r="Z200" s="174"/>
      <c r="AA200" s="174"/>
    </row>
    <row r="201" customFormat="false" ht="15.75" hidden="false" customHeight="false" outlineLevel="0" collapsed="false">
      <c r="A201" s="174" t="str">
        <f aca="false">IF(ISBLANK(B201),"",B201&amp;"|"&amp;C201)</f>
        <v/>
      </c>
      <c r="B201" s="174"/>
      <c r="C201" s="174"/>
      <c r="D201" s="174"/>
      <c r="E201" s="179"/>
      <c r="F201" s="174"/>
      <c r="G201" s="174"/>
      <c r="H201" s="174"/>
      <c r="I201" s="174"/>
      <c r="J201" s="174"/>
      <c r="K201" s="174"/>
      <c r="L201" s="174"/>
      <c r="M201" s="174"/>
      <c r="N201" s="174"/>
      <c r="O201" s="174"/>
      <c r="P201" s="174"/>
      <c r="Q201" s="174"/>
      <c r="R201" s="174"/>
      <c r="S201" s="174"/>
      <c r="T201" s="174"/>
      <c r="U201" s="174"/>
      <c r="V201" s="174"/>
      <c r="W201" s="174"/>
      <c r="X201" s="174"/>
      <c r="Y201" s="174"/>
      <c r="Z201" s="174"/>
      <c r="AA201" s="174"/>
    </row>
    <row r="202" customFormat="false" ht="15.75" hidden="false" customHeight="false" outlineLevel="0" collapsed="false">
      <c r="A202" s="174" t="str">
        <f aca="false">IF(ISBLANK(B202),"",B202&amp;"|"&amp;C202)</f>
        <v/>
      </c>
      <c r="B202" s="174"/>
      <c r="C202" s="174"/>
      <c r="D202" s="174"/>
      <c r="E202" s="179"/>
      <c r="F202" s="174"/>
      <c r="G202" s="174"/>
      <c r="H202" s="174"/>
      <c r="I202" s="174"/>
      <c r="J202" s="174"/>
      <c r="K202" s="174"/>
      <c r="L202" s="174"/>
      <c r="M202" s="174"/>
      <c r="N202" s="174"/>
      <c r="O202" s="174"/>
      <c r="P202" s="174"/>
      <c r="Q202" s="174"/>
      <c r="R202" s="174"/>
      <c r="S202" s="174"/>
      <c r="T202" s="174"/>
      <c r="U202" s="174"/>
      <c r="V202" s="174"/>
      <c r="W202" s="174"/>
      <c r="X202" s="174"/>
      <c r="Y202" s="174"/>
      <c r="Z202" s="174"/>
      <c r="AA202" s="174"/>
    </row>
    <row r="203" customFormat="false" ht="15.75" hidden="false" customHeight="false" outlineLevel="0" collapsed="false">
      <c r="A203" s="174" t="str">
        <f aca="false">IF(ISBLANK(B203),"",B203&amp;"|"&amp;C203)</f>
        <v/>
      </c>
      <c r="B203" s="174"/>
      <c r="C203" s="174"/>
      <c r="D203" s="174"/>
      <c r="E203" s="179"/>
      <c r="F203" s="174"/>
      <c r="G203" s="174"/>
      <c r="H203" s="174"/>
      <c r="I203" s="174"/>
      <c r="J203" s="174"/>
      <c r="K203" s="174"/>
      <c r="L203" s="174"/>
      <c r="M203" s="174"/>
      <c r="N203" s="174"/>
      <c r="O203" s="174"/>
      <c r="P203" s="174"/>
      <c r="Q203" s="174"/>
      <c r="R203" s="174"/>
      <c r="S203" s="174"/>
      <c r="T203" s="174"/>
      <c r="U203" s="174"/>
      <c r="V203" s="174"/>
      <c r="W203" s="174"/>
      <c r="X203" s="174"/>
      <c r="Y203" s="174"/>
      <c r="Z203" s="174"/>
      <c r="AA203" s="174"/>
    </row>
    <row r="204" customFormat="false" ht="15.75" hidden="false" customHeight="false" outlineLevel="0" collapsed="false">
      <c r="A204" s="174" t="str">
        <f aca="false">IF(ISBLANK(B204),"",B204&amp;"|"&amp;C204)</f>
        <v/>
      </c>
      <c r="B204" s="174"/>
      <c r="C204" s="174"/>
      <c r="D204" s="174"/>
      <c r="E204" s="179"/>
      <c r="F204" s="174"/>
      <c r="G204" s="174"/>
      <c r="H204" s="174"/>
      <c r="I204" s="174"/>
      <c r="J204" s="174"/>
      <c r="K204" s="174"/>
      <c r="L204" s="174"/>
      <c r="M204" s="174"/>
      <c r="N204" s="174"/>
      <c r="O204" s="174"/>
      <c r="P204" s="174"/>
      <c r="Q204" s="174"/>
      <c r="R204" s="174"/>
      <c r="S204" s="174"/>
      <c r="T204" s="174"/>
      <c r="U204" s="174"/>
      <c r="V204" s="174"/>
      <c r="W204" s="174"/>
      <c r="X204" s="174"/>
      <c r="Y204" s="174"/>
      <c r="Z204" s="174"/>
      <c r="AA204" s="174"/>
    </row>
    <row r="205" customFormat="false" ht="15.75" hidden="false" customHeight="false" outlineLevel="0" collapsed="false">
      <c r="A205" s="174" t="str">
        <f aca="false">IF(ISBLANK(B205),"",B205&amp;"|"&amp;C205)</f>
        <v/>
      </c>
      <c r="B205" s="174"/>
      <c r="C205" s="174"/>
      <c r="D205" s="174"/>
      <c r="E205" s="179"/>
      <c r="F205" s="174"/>
      <c r="G205" s="174"/>
      <c r="H205" s="174"/>
      <c r="I205" s="174"/>
      <c r="J205" s="174"/>
      <c r="K205" s="174"/>
      <c r="L205" s="174"/>
      <c r="M205" s="174"/>
      <c r="N205" s="174"/>
      <c r="O205" s="174"/>
      <c r="P205" s="174"/>
      <c r="Q205" s="174"/>
      <c r="R205" s="174"/>
      <c r="S205" s="174"/>
      <c r="T205" s="174"/>
      <c r="U205" s="174"/>
      <c r="V205" s="174"/>
      <c r="W205" s="174"/>
      <c r="X205" s="174"/>
      <c r="Y205" s="174"/>
      <c r="Z205" s="174"/>
      <c r="AA205" s="174"/>
    </row>
    <row r="206" customFormat="false" ht="15.75" hidden="false" customHeight="false" outlineLevel="0" collapsed="false">
      <c r="A206" s="174" t="str">
        <f aca="false">IF(ISBLANK(B206),"",B206&amp;"|"&amp;C206)</f>
        <v/>
      </c>
      <c r="B206" s="174"/>
      <c r="C206" s="174"/>
      <c r="D206" s="174"/>
      <c r="E206" s="179"/>
      <c r="F206" s="174"/>
      <c r="G206" s="174"/>
      <c r="H206" s="174"/>
      <c r="I206" s="174"/>
      <c r="J206" s="174"/>
      <c r="K206" s="174"/>
      <c r="L206" s="174"/>
      <c r="M206" s="174"/>
      <c r="N206" s="174"/>
      <c r="O206" s="174"/>
      <c r="P206" s="174"/>
      <c r="Q206" s="174"/>
      <c r="R206" s="174"/>
      <c r="S206" s="174"/>
      <c r="T206" s="174"/>
      <c r="U206" s="174"/>
      <c r="V206" s="174"/>
      <c r="W206" s="174"/>
      <c r="X206" s="174"/>
      <c r="Y206" s="174"/>
      <c r="Z206" s="174"/>
      <c r="AA206" s="174"/>
    </row>
    <row r="207" customFormat="false" ht="15.75" hidden="false" customHeight="false" outlineLevel="0" collapsed="false">
      <c r="A207" s="174" t="str">
        <f aca="false">IF(ISBLANK(B207),"",B207&amp;"|"&amp;C207)</f>
        <v/>
      </c>
      <c r="B207" s="174"/>
      <c r="C207" s="174"/>
      <c r="D207" s="174"/>
      <c r="E207" s="179"/>
      <c r="F207" s="174"/>
      <c r="G207" s="174"/>
      <c r="H207" s="174"/>
      <c r="I207" s="174"/>
      <c r="J207" s="174"/>
      <c r="K207" s="174"/>
      <c r="L207" s="174"/>
      <c r="M207" s="174"/>
      <c r="N207" s="174"/>
      <c r="O207" s="174"/>
      <c r="P207" s="174"/>
      <c r="Q207" s="174"/>
      <c r="R207" s="174"/>
      <c r="S207" s="174"/>
      <c r="T207" s="174"/>
      <c r="U207" s="174"/>
      <c r="V207" s="174"/>
      <c r="W207" s="174"/>
      <c r="X207" s="174"/>
      <c r="Y207" s="174"/>
      <c r="Z207" s="174"/>
      <c r="AA207" s="174"/>
    </row>
    <row r="208" customFormat="false" ht="15.75" hidden="false" customHeight="false" outlineLevel="0" collapsed="false">
      <c r="A208" s="174" t="str">
        <f aca="false">IF(ISBLANK(B208),"",B208&amp;"|"&amp;C208)</f>
        <v/>
      </c>
      <c r="B208" s="174"/>
      <c r="C208" s="174"/>
      <c r="D208" s="174"/>
      <c r="E208" s="179"/>
      <c r="F208" s="174"/>
      <c r="G208" s="174"/>
      <c r="H208" s="174"/>
      <c r="I208" s="174"/>
      <c r="J208" s="174"/>
      <c r="K208" s="174"/>
      <c r="L208" s="174"/>
      <c r="M208" s="174"/>
      <c r="N208" s="174"/>
      <c r="O208" s="174"/>
      <c r="P208" s="174"/>
      <c r="Q208" s="174"/>
      <c r="R208" s="174"/>
      <c r="S208" s="174"/>
      <c r="T208" s="174"/>
      <c r="U208" s="174"/>
      <c r="V208" s="174"/>
      <c r="W208" s="174"/>
      <c r="X208" s="174"/>
      <c r="Y208" s="174"/>
      <c r="Z208" s="174"/>
      <c r="AA208" s="174"/>
    </row>
    <row r="209" customFormat="false" ht="15.75" hidden="false" customHeight="false" outlineLevel="0" collapsed="false">
      <c r="A209" s="174" t="str">
        <f aca="false">IF(ISBLANK(B209),"",B209&amp;"|"&amp;C209)</f>
        <v/>
      </c>
      <c r="B209" s="174"/>
      <c r="C209" s="174"/>
      <c r="D209" s="174"/>
      <c r="E209" s="179"/>
      <c r="F209" s="174"/>
      <c r="G209" s="174"/>
      <c r="H209" s="174"/>
      <c r="I209" s="174"/>
      <c r="J209" s="174"/>
      <c r="K209" s="174"/>
      <c r="L209" s="174"/>
      <c r="M209" s="174"/>
      <c r="N209" s="174"/>
      <c r="O209" s="174"/>
      <c r="P209" s="174"/>
      <c r="Q209" s="174"/>
      <c r="R209" s="174"/>
      <c r="S209" s="174"/>
      <c r="T209" s="174"/>
      <c r="U209" s="174"/>
      <c r="V209" s="174"/>
      <c r="W209" s="174"/>
      <c r="X209" s="174"/>
      <c r="Y209" s="174"/>
      <c r="Z209" s="174"/>
      <c r="AA209" s="174"/>
    </row>
    <row r="210" customFormat="false" ht="15.75" hidden="false" customHeight="false" outlineLevel="0" collapsed="false">
      <c r="A210" s="174" t="str">
        <f aca="false">IF(ISBLANK(B210),"",B210&amp;"|"&amp;C210)</f>
        <v/>
      </c>
      <c r="B210" s="174"/>
      <c r="C210" s="174"/>
      <c r="D210" s="174"/>
      <c r="E210" s="179"/>
      <c r="F210" s="174"/>
      <c r="G210" s="174"/>
      <c r="H210" s="174"/>
      <c r="I210" s="174"/>
      <c r="J210" s="174"/>
      <c r="K210" s="174"/>
      <c r="L210" s="174"/>
      <c r="M210" s="174"/>
      <c r="N210" s="174"/>
      <c r="O210" s="174"/>
      <c r="P210" s="174"/>
      <c r="Q210" s="174"/>
      <c r="R210" s="174"/>
      <c r="S210" s="174"/>
      <c r="T210" s="174"/>
      <c r="U210" s="174"/>
      <c r="V210" s="174"/>
      <c r="W210" s="174"/>
      <c r="X210" s="174"/>
      <c r="Y210" s="174"/>
      <c r="Z210" s="174"/>
      <c r="AA210" s="174"/>
    </row>
    <row r="211" customFormat="false" ht="15.75" hidden="false" customHeight="false" outlineLevel="0" collapsed="false">
      <c r="A211" s="174" t="str">
        <f aca="false">IF(ISBLANK(B211),"",B211&amp;"|"&amp;C211)</f>
        <v/>
      </c>
      <c r="B211" s="174"/>
      <c r="C211" s="174"/>
      <c r="D211" s="174"/>
      <c r="E211" s="179"/>
      <c r="F211" s="174"/>
      <c r="G211" s="174"/>
      <c r="H211" s="174"/>
      <c r="I211" s="174"/>
      <c r="J211" s="174"/>
      <c r="K211" s="174"/>
      <c r="L211" s="174"/>
      <c r="M211" s="174"/>
      <c r="N211" s="174"/>
      <c r="O211" s="174"/>
      <c r="P211" s="174"/>
      <c r="Q211" s="174"/>
      <c r="R211" s="174"/>
      <c r="S211" s="174"/>
      <c r="T211" s="174"/>
      <c r="U211" s="174"/>
      <c r="V211" s="174"/>
      <c r="W211" s="174"/>
      <c r="X211" s="174"/>
      <c r="Y211" s="174"/>
      <c r="Z211" s="174"/>
      <c r="AA211" s="174"/>
    </row>
    <row r="212" customFormat="false" ht="15.75" hidden="false" customHeight="false" outlineLevel="0" collapsed="false">
      <c r="A212" s="174" t="str">
        <f aca="false">IF(ISBLANK(B212),"",B212&amp;"|"&amp;C212)</f>
        <v/>
      </c>
      <c r="B212" s="174"/>
      <c r="C212" s="174"/>
      <c r="D212" s="174"/>
      <c r="E212" s="179"/>
      <c r="F212" s="174"/>
      <c r="G212" s="174"/>
      <c r="H212" s="174"/>
      <c r="I212" s="174"/>
      <c r="J212" s="174"/>
      <c r="K212" s="174"/>
      <c r="L212" s="174"/>
      <c r="M212" s="174"/>
      <c r="N212" s="174"/>
      <c r="O212" s="174"/>
      <c r="P212" s="174"/>
      <c r="Q212" s="174"/>
      <c r="R212" s="174"/>
      <c r="S212" s="174"/>
      <c r="T212" s="174"/>
      <c r="U212" s="174"/>
      <c r="V212" s="174"/>
      <c r="W212" s="174"/>
      <c r="X212" s="174"/>
      <c r="Y212" s="174"/>
      <c r="Z212" s="174"/>
      <c r="AA212" s="174"/>
    </row>
    <row r="213" customFormat="false" ht="15.75" hidden="false" customHeight="false" outlineLevel="0" collapsed="false">
      <c r="A213" s="174" t="str">
        <f aca="false">IF(ISBLANK(B213),"",B213&amp;"|"&amp;C213)</f>
        <v/>
      </c>
      <c r="B213" s="174"/>
      <c r="C213" s="174"/>
      <c r="D213" s="174"/>
      <c r="E213" s="179"/>
      <c r="F213" s="174"/>
      <c r="G213" s="174"/>
      <c r="H213" s="174"/>
      <c r="I213" s="174"/>
      <c r="J213" s="174"/>
      <c r="K213" s="174"/>
      <c r="L213" s="174"/>
      <c r="M213" s="174"/>
      <c r="N213" s="174"/>
      <c r="O213" s="174"/>
      <c r="P213" s="174"/>
      <c r="Q213" s="174"/>
      <c r="R213" s="174"/>
      <c r="S213" s="174"/>
      <c r="T213" s="174"/>
      <c r="U213" s="174"/>
      <c r="V213" s="174"/>
      <c r="W213" s="174"/>
      <c r="X213" s="174"/>
      <c r="Y213" s="174"/>
      <c r="Z213" s="174"/>
      <c r="AA213" s="174"/>
    </row>
    <row r="214" customFormat="false" ht="15.75" hidden="false" customHeight="false" outlineLevel="0" collapsed="false">
      <c r="A214" s="174" t="str">
        <f aca="false">IF(ISBLANK(B214),"",B214&amp;"|"&amp;C214)</f>
        <v/>
      </c>
      <c r="B214" s="174"/>
      <c r="C214" s="174"/>
      <c r="D214" s="174"/>
      <c r="E214" s="179"/>
      <c r="F214" s="174"/>
      <c r="G214" s="174"/>
      <c r="H214" s="174"/>
      <c r="I214" s="174"/>
      <c r="J214" s="174"/>
      <c r="K214" s="174"/>
      <c r="L214" s="174"/>
      <c r="M214" s="174"/>
      <c r="N214" s="174"/>
      <c r="O214" s="174"/>
      <c r="P214" s="174"/>
      <c r="Q214" s="174"/>
      <c r="R214" s="174"/>
      <c r="S214" s="174"/>
      <c r="T214" s="174"/>
      <c r="U214" s="174"/>
      <c r="V214" s="174"/>
      <c r="W214" s="174"/>
      <c r="X214" s="174"/>
      <c r="Y214" s="174"/>
      <c r="Z214" s="174"/>
      <c r="AA214" s="174"/>
    </row>
    <row r="215" customFormat="false" ht="15.75" hidden="false" customHeight="false" outlineLevel="0" collapsed="false">
      <c r="A215" s="174" t="str">
        <f aca="false">IF(ISBLANK(B215),"",B215&amp;"|"&amp;C215)</f>
        <v/>
      </c>
      <c r="B215" s="174"/>
      <c r="C215" s="174"/>
      <c r="D215" s="174"/>
      <c r="E215" s="179"/>
      <c r="F215" s="174"/>
      <c r="G215" s="174"/>
      <c r="H215" s="174"/>
      <c r="I215" s="174"/>
      <c r="J215" s="174"/>
      <c r="K215" s="174"/>
      <c r="L215" s="174"/>
      <c r="M215" s="174"/>
      <c r="N215" s="174"/>
      <c r="O215" s="174"/>
      <c r="P215" s="174"/>
      <c r="Q215" s="174"/>
      <c r="R215" s="174"/>
      <c r="S215" s="174"/>
      <c r="T215" s="174"/>
      <c r="U215" s="174"/>
      <c r="V215" s="174"/>
      <c r="W215" s="174"/>
      <c r="X215" s="174"/>
      <c r="Y215" s="174"/>
      <c r="Z215" s="174"/>
      <c r="AA215" s="174"/>
    </row>
    <row r="216" customFormat="false" ht="15.75" hidden="false" customHeight="false" outlineLevel="0" collapsed="false">
      <c r="A216" s="174" t="str">
        <f aca="false">IF(ISBLANK(B216),"",B216&amp;"|"&amp;C216)</f>
        <v/>
      </c>
      <c r="B216" s="174"/>
      <c r="C216" s="174"/>
      <c r="D216" s="174"/>
      <c r="E216" s="179"/>
      <c r="F216" s="174"/>
      <c r="G216" s="174"/>
      <c r="H216" s="174"/>
      <c r="I216" s="174"/>
      <c r="J216" s="174"/>
      <c r="K216" s="174"/>
      <c r="L216" s="174"/>
      <c r="M216" s="174"/>
      <c r="N216" s="174"/>
      <c r="O216" s="174"/>
      <c r="P216" s="174"/>
      <c r="Q216" s="174"/>
      <c r="R216" s="174"/>
      <c r="S216" s="174"/>
      <c r="T216" s="174"/>
      <c r="U216" s="174"/>
      <c r="V216" s="174"/>
      <c r="W216" s="174"/>
      <c r="X216" s="174"/>
      <c r="Y216" s="174"/>
      <c r="Z216" s="174"/>
      <c r="AA216" s="174"/>
    </row>
    <row r="217" customFormat="false" ht="15.75" hidden="false" customHeight="false" outlineLevel="0" collapsed="false">
      <c r="A217" s="174" t="str">
        <f aca="false">IF(ISBLANK(B217),"",B217&amp;"|"&amp;C217)</f>
        <v/>
      </c>
      <c r="B217" s="174"/>
      <c r="C217" s="174"/>
      <c r="D217" s="174"/>
      <c r="E217" s="179"/>
      <c r="F217" s="174"/>
      <c r="G217" s="174"/>
      <c r="H217" s="174"/>
      <c r="I217" s="174"/>
      <c r="J217" s="174"/>
      <c r="K217" s="174"/>
      <c r="L217" s="174"/>
      <c r="M217" s="174"/>
      <c r="N217" s="174"/>
      <c r="O217" s="174"/>
      <c r="P217" s="174"/>
      <c r="Q217" s="174"/>
      <c r="R217" s="174"/>
      <c r="S217" s="174"/>
      <c r="T217" s="174"/>
      <c r="U217" s="174"/>
      <c r="V217" s="174"/>
      <c r="W217" s="174"/>
      <c r="X217" s="174"/>
      <c r="Y217" s="174"/>
      <c r="Z217" s="174"/>
      <c r="AA217" s="174"/>
    </row>
    <row r="218" customFormat="false" ht="15.75" hidden="false" customHeight="false" outlineLevel="0" collapsed="false">
      <c r="A218" s="174" t="str">
        <f aca="false">IF(ISBLANK(B218),"",B218&amp;"|"&amp;C218)</f>
        <v/>
      </c>
      <c r="B218" s="174"/>
      <c r="C218" s="174"/>
      <c r="D218" s="174"/>
      <c r="E218" s="179"/>
      <c r="F218" s="174"/>
      <c r="G218" s="174"/>
      <c r="H218" s="174"/>
      <c r="I218" s="174"/>
      <c r="J218" s="174"/>
      <c r="K218" s="174"/>
      <c r="L218" s="174"/>
      <c r="M218" s="174"/>
      <c r="N218" s="174"/>
      <c r="O218" s="174"/>
      <c r="P218" s="174"/>
      <c r="Q218" s="174"/>
      <c r="R218" s="174"/>
      <c r="S218" s="174"/>
      <c r="T218" s="174"/>
      <c r="U218" s="174"/>
      <c r="V218" s="174"/>
      <c r="W218" s="174"/>
      <c r="X218" s="174"/>
      <c r="Y218" s="174"/>
      <c r="Z218" s="174"/>
      <c r="AA218" s="174"/>
    </row>
    <row r="219" customFormat="false" ht="15.75" hidden="false" customHeight="false" outlineLevel="0" collapsed="false">
      <c r="A219" s="174" t="str">
        <f aca="false">IF(ISBLANK(B219),"",B219&amp;"|"&amp;C219)</f>
        <v/>
      </c>
      <c r="B219" s="174"/>
      <c r="C219" s="174"/>
      <c r="D219" s="174"/>
      <c r="E219" s="179"/>
      <c r="F219" s="174"/>
      <c r="G219" s="174"/>
      <c r="H219" s="174"/>
      <c r="I219" s="174"/>
      <c r="J219" s="174"/>
      <c r="K219" s="174"/>
      <c r="L219" s="174"/>
      <c r="M219" s="174"/>
      <c r="N219" s="174"/>
      <c r="O219" s="174"/>
      <c r="P219" s="174"/>
      <c r="Q219" s="174"/>
      <c r="R219" s="174"/>
      <c r="S219" s="174"/>
      <c r="T219" s="174"/>
      <c r="U219" s="174"/>
      <c r="V219" s="174"/>
      <c r="W219" s="174"/>
      <c r="X219" s="174"/>
      <c r="Y219" s="174"/>
      <c r="Z219" s="174"/>
      <c r="AA219" s="174"/>
    </row>
    <row r="220" customFormat="false" ht="15.75" hidden="false" customHeight="false" outlineLevel="0" collapsed="false">
      <c r="A220" s="174" t="str">
        <f aca="false">IF(ISBLANK(B220),"",B220&amp;"|"&amp;C220)</f>
        <v/>
      </c>
      <c r="B220" s="174"/>
      <c r="C220" s="174"/>
      <c r="D220" s="174"/>
      <c r="E220" s="179"/>
      <c r="F220" s="174"/>
      <c r="G220" s="174"/>
      <c r="H220" s="174"/>
      <c r="I220" s="174"/>
      <c r="J220" s="174"/>
      <c r="K220" s="174"/>
      <c r="L220" s="174"/>
      <c r="M220" s="174"/>
      <c r="N220" s="174"/>
      <c r="O220" s="174"/>
      <c r="P220" s="174"/>
      <c r="Q220" s="174"/>
      <c r="R220" s="174"/>
      <c r="S220" s="174"/>
      <c r="T220" s="174"/>
      <c r="U220" s="174"/>
      <c r="V220" s="174"/>
      <c r="W220" s="174"/>
      <c r="X220" s="174"/>
      <c r="Y220" s="174"/>
      <c r="Z220" s="174"/>
      <c r="AA220" s="174"/>
    </row>
    <row r="221" customFormat="false" ht="15.75" hidden="false" customHeight="false" outlineLevel="0" collapsed="false">
      <c r="A221" s="174" t="str">
        <f aca="false">IF(ISBLANK(B221),"",B221&amp;"|"&amp;C221)</f>
        <v/>
      </c>
      <c r="B221" s="174"/>
      <c r="C221" s="174"/>
      <c r="D221" s="174"/>
      <c r="E221" s="179"/>
      <c r="F221" s="174"/>
      <c r="G221" s="174"/>
      <c r="H221" s="174"/>
      <c r="I221" s="174"/>
      <c r="J221" s="174"/>
      <c r="K221" s="174"/>
      <c r="L221" s="174"/>
      <c r="M221" s="174"/>
      <c r="N221" s="174"/>
      <c r="O221" s="174"/>
      <c r="P221" s="174"/>
      <c r="Q221" s="174"/>
      <c r="R221" s="174"/>
      <c r="S221" s="174"/>
      <c r="T221" s="174"/>
      <c r="U221" s="174"/>
      <c r="V221" s="174"/>
      <c r="W221" s="174"/>
      <c r="X221" s="174"/>
      <c r="Y221" s="174"/>
      <c r="Z221" s="174"/>
      <c r="AA221" s="174"/>
    </row>
    <row r="222" customFormat="false" ht="15.75" hidden="false" customHeight="false" outlineLevel="0" collapsed="false">
      <c r="A222" s="174" t="str">
        <f aca="false">IF(ISBLANK(B222),"",B222&amp;"|"&amp;C222)</f>
        <v/>
      </c>
      <c r="B222" s="174"/>
      <c r="C222" s="174"/>
      <c r="D222" s="174"/>
      <c r="E222" s="179"/>
      <c r="F222" s="174"/>
      <c r="G222" s="174"/>
      <c r="H222" s="174"/>
      <c r="I222" s="174"/>
      <c r="J222" s="174"/>
      <c r="K222" s="174"/>
      <c r="L222" s="174"/>
      <c r="M222" s="174"/>
      <c r="N222" s="174"/>
      <c r="O222" s="174"/>
      <c r="P222" s="174"/>
      <c r="Q222" s="174"/>
      <c r="R222" s="174"/>
      <c r="S222" s="174"/>
      <c r="T222" s="174"/>
      <c r="U222" s="174"/>
      <c r="V222" s="174"/>
      <c r="W222" s="174"/>
      <c r="X222" s="174"/>
      <c r="Y222" s="174"/>
      <c r="Z222" s="174"/>
      <c r="AA222" s="174"/>
    </row>
    <row r="223" customFormat="false" ht="15.75" hidden="false" customHeight="false" outlineLevel="0" collapsed="false">
      <c r="A223" s="174" t="str">
        <f aca="false">IF(ISBLANK(B223),"",B223&amp;"|"&amp;C223)</f>
        <v/>
      </c>
      <c r="B223" s="174"/>
      <c r="C223" s="174"/>
      <c r="D223" s="174"/>
      <c r="E223" s="179"/>
      <c r="F223" s="174"/>
      <c r="G223" s="174"/>
      <c r="H223" s="174"/>
      <c r="I223" s="174"/>
      <c r="J223" s="174"/>
      <c r="K223" s="174"/>
      <c r="L223" s="174"/>
      <c r="M223" s="174"/>
      <c r="N223" s="174"/>
      <c r="O223" s="174"/>
      <c r="P223" s="174"/>
      <c r="Q223" s="174"/>
      <c r="R223" s="174"/>
      <c r="S223" s="174"/>
      <c r="T223" s="174"/>
      <c r="U223" s="174"/>
      <c r="V223" s="174"/>
      <c r="W223" s="174"/>
      <c r="X223" s="174"/>
      <c r="Y223" s="174"/>
      <c r="Z223" s="174"/>
      <c r="AA223" s="174"/>
    </row>
    <row r="224" customFormat="false" ht="15.75" hidden="false" customHeight="false" outlineLevel="0" collapsed="false">
      <c r="A224" s="174" t="str">
        <f aca="false">IF(ISBLANK(B224),"",B224&amp;"|"&amp;C224)</f>
        <v/>
      </c>
      <c r="B224" s="174"/>
      <c r="C224" s="174"/>
      <c r="D224" s="174"/>
      <c r="E224" s="179"/>
      <c r="F224" s="174"/>
      <c r="G224" s="174"/>
      <c r="H224" s="174"/>
      <c r="I224" s="174"/>
      <c r="J224" s="174"/>
      <c r="K224" s="174"/>
      <c r="L224" s="174"/>
      <c r="M224" s="174"/>
      <c r="N224" s="174"/>
      <c r="O224" s="174"/>
      <c r="P224" s="174"/>
      <c r="Q224" s="174"/>
      <c r="R224" s="174"/>
      <c r="S224" s="174"/>
      <c r="T224" s="174"/>
      <c r="U224" s="174"/>
      <c r="V224" s="174"/>
      <c r="W224" s="174"/>
      <c r="X224" s="174"/>
      <c r="Y224" s="174"/>
      <c r="Z224" s="174"/>
      <c r="AA224" s="174"/>
    </row>
    <row r="225" customFormat="false" ht="15.75" hidden="false" customHeight="false" outlineLevel="0" collapsed="false">
      <c r="A225" s="174" t="str">
        <f aca="false">IF(ISBLANK(B225),"",B225&amp;"|"&amp;C225)</f>
        <v/>
      </c>
      <c r="B225" s="174"/>
      <c r="C225" s="174"/>
      <c r="D225" s="174"/>
      <c r="E225" s="179"/>
      <c r="F225" s="174"/>
      <c r="G225" s="174"/>
      <c r="H225" s="174"/>
      <c r="I225" s="174"/>
      <c r="J225" s="174"/>
      <c r="K225" s="174"/>
      <c r="L225" s="174"/>
      <c r="M225" s="174"/>
      <c r="N225" s="174"/>
      <c r="O225" s="174"/>
      <c r="P225" s="174"/>
      <c r="Q225" s="174"/>
      <c r="R225" s="174"/>
      <c r="S225" s="174"/>
      <c r="T225" s="174"/>
      <c r="U225" s="174"/>
      <c r="V225" s="174"/>
      <c r="W225" s="174"/>
      <c r="X225" s="174"/>
      <c r="Y225" s="174"/>
      <c r="Z225" s="174"/>
      <c r="AA225" s="174"/>
    </row>
    <row r="226" customFormat="false" ht="15.75" hidden="false" customHeight="false" outlineLevel="0" collapsed="false">
      <c r="A226" s="174" t="str">
        <f aca="false">IF(ISBLANK(B226),"",B226&amp;"|"&amp;C226)</f>
        <v/>
      </c>
      <c r="B226" s="174"/>
      <c r="C226" s="174"/>
      <c r="D226" s="174"/>
      <c r="E226" s="179"/>
      <c r="F226" s="174"/>
      <c r="G226" s="174"/>
      <c r="H226" s="174"/>
      <c r="I226" s="174"/>
      <c r="J226" s="174"/>
      <c r="K226" s="174"/>
      <c r="L226" s="174"/>
      <c r="M226" s="174"/>
      <c r="N226" s="174"/>
      <c r="O226" s="174"/>
      <c r="P226" s="174"/>
      <c r="Q226" s="174"/>
      <c r="R226" s="174"/>
      <c r="S226" s="174"/>
      <c r="T226" s="174"/>
      <c r="U226" s="174"/>
      <c r="V226" s="174"/>
      <c r="W226" s="174"/>
      <c r="X226" s="174"/>
      <c r="Y226" s="174"/>
      <c r="Z226" s="174"/>
      <c r="AA226" s="174"/>
    </row>
    <row r="227" customFormat="false" ht="15.75" hidden="false" customHeight="false" outlineLevel="0" collapsed="false">
      <c r="A227" s="174" t="str">
        <f aca="false">IF(ISBLANK(B227),"",B227&amp;"|"&amp;C227)</f>
        <v/>
      </c>
      <c r="B227" s="174"/>
      <c r="C227" s="174"/>
      <c r="D227" s="174"/>
      <c r="E227" s="179"/>
      <c r="F227" s="174"/>
      <c r="G227" s="174"/>
      <c r="H227" s="174"/>
      <c r="I227" s="174"/>
      <c r="J227" s="174"/>
      <c r="K227" s="174"/>
      <c r="L227" s="174"/>
      <c r="M227" s="174"/>
      <c r="N227" s="174"/>
      <c r="O227" s="174"/>
      <c r="P227" s="174"/>
      <c r="Q227" s="174"/>
      <c r="R227" s="174"/>
      <c r="S227" s="174"/>
      <c r="T227" s="174"/>
      <c r="U227" s="174"/>
      <c r="V227" s="174"/>
      <c r="W227" s="174"/>
      <c r="X227" s="174"/>
      <c r="Y227" s="174"/>
      <c r="Z227" s="174"/>
      <c r="AA227" s="174"/>
    </row>
    <row r="228" customFormat="false" ht="15.75" hidden="false" customHeight="false" outlineLevel="0" collapsed="false">
      <c r="A228" s="174" t="str">
        <f aca="false">IF(ISBLANK(B228),"",B228&amp;"|"&amp;C228)</f>
        <v/>
      </c>
      <c r="B228" s="174"/>
      <c r="C228" s="174"/>
      <c r="D228" s="174"/>
      <c r="E228" s="179"/>
      <c r="F228" s="174"/>
      <c r="G228" s="174"/>
      <c r="H228" s="174"/>
      <c r="I228" s="174"/>
      <c r="J228" s="174"/>
      <c r="K228" s="174"/>
      <c r="L228" s="174"/>
      <c r="M228" s="174"/>
      <c r="N228" s="174"/>
      <c r="O228" s="174"/>
      <c r="P228" s="174"/>
      <c r="Q228" s="174"/>
      <c r="R228" s="174"/>
      <c r="S228" s="174"/>
      <c r="T228" s="174"/>
      <c r="U228" s="174"/>
      <c r="V228" s="174"/>
      <c r="W228" s="174"/>
      <c r="X228" s="174"/>
      <c r="Y228" s="174"/>
      <c r="Z228" s="174"/>
      <c r="AA228" s="174"/>
    </row>
    <row r="229" customFormat="false" ht="15.75" hidden="false" customHeight="false" outlineLevel="0" collapsed="false">
      <c r="A229" s="174" t="str">
        <f aca="false">IF(ISBLANK(B229),"",B229&amp;"|"&amp;C229)</f>
        <v/>
      </c>
      <c r="B229" s="174"/>
      <c r="C229" s="174"/>
      <c r="D229" s="174"/>
      <c r="E229" s="179"/>
      <c r="F229" s="174"/>
      <c r="G229" s="174"/>
      <c r="H229" s="174"/>
      <c r="I229" s="174"/>
      <c r="J229" s="174"/>
      <c r="K229" s="174"/>
      <c r="L229" s="174"/>
      <c r="M229" s="174"/>
      <c r="N229" s="174"/>
      <c r="O229" s="174"/>
      <c r="P229" s="174"/>
      <c r="Q229" s="174"/>
      <c r="R229" s="174"/>
      <c r="S229" s="174"/>
      <c r="T229" s="174"/>
      <c r="U229" s="174"/>
      <c r="V229" s="174"/>
      <c r="W229" s="174"/>
      <c r="X229" s="174"/>
      <c r="Y229" s="174"/>
      <c r="Z229" s="174"/>
      <c r="AA229" s="174"/>
    </row>
    <row r="230" customFormat="false" ht="15.75" hidden="false" customHeight="false" outlineLevel="0" collapsed="false">
      <c r="A230" s="174" t="str">
        <f aca="false">IF(ISBLANK(B230),"",B230&amp;"|"&amp;C230)</f>
        <v/>
      </c>
      <c r="B230" s="174"/>
      <c r="C230" s="174"/>
      <c r="D230" s="174"/>
      <c r="E230" s="179"/>
      <c r="F230" s="174"/>
      <c r="G230" s="174"/>
      <c r="H230" s="174"/>
      <c r="I230" s="174"/>
      <c r="J230" s="174"/>
      <c r="K230" s="174"/>
      <c r="L230" s="174"/>
      <c r="M230" s="174"/>
      <c r="N230" s="174"/>
      <c r="O230" s="174"/>
      <c r="P230" s="174"/>
      <c r="Q230" s="174"/>
      <c r="R230" s="174"/>
      <c r="S230" s="174"/>
      <c r="T230" s="174"/>
      <c r="U230" s="174"/>
      <c r="V230" s="174"/>
      <c r="W230" s="174"/>
      <c r="X230" s="174"/>
      <c r="Y230" s="174"/>
      <c r="Z230" s="174"/>
      <c r="AA230" s="174"/>
    </row>
    <row r="231" customFormat="false" ht="15.75" hidden="false" customHeight="false" outlineLevel="0" collapsed="false">
      <c r="A231" s="174" t="str">
        <f aca="false">IF(ISBLANK(B231),"",B231&amp;"|"&amp;C231)</f>
        <v/>
      </c>
      <c r="B231" s="174"/>
      <c r="C231" s="174"/>
      <c r="D231" s="174"/>
      <c r="E231" s="179"/>
      <c r="F231" s="174"/>
      <c r="G231" s="174"/>
      <c r="H231" s="174"/>
      <c r="I231" s="174"/>
      <c r="J231" s="174"/>
      <c r="K231" s="174"/>
      <c r="L231" s="174"/>
      <c r="M231" s="174"/>
      <c r="N231" s="174"/>
      <c r="O231" s="174"/>
      <c r="P231" s="174"/>
      <c r="Q231" s="174"/>
      <c r="R231" s="174"/>
      <c r="S231" s="174"/>
      <c r="T231" s="174"/>
      <c r="U231" s="174"/>
      <c r="V231" s="174"/>
      <c r="W231" s="174"/>
      <c r="X231" s="174"/>
      <c r="Y231" s="174"/>
      <c r="Z231" s="174"/>
      <c r="AA231" s="174"/>
    </row>
    <row r="232" customFormat="false" ht="15.75" hidden="false" customHeight="false" outlineLevel="0" collapsed="false">
      <c r="A232" s="174" t="str">
        <f aca="false">IF(ISBLANK(B232),"",B232&amp;"|"&amp;C232)</f>
        <v/>
      </c>
      <c r="B232" s="174"/>
      <c r="C232" s="174"/>
      <c r="D232" s="174"/>
      <c r="E232" s="179"/>
      <c r="F232" s="174"/>
      <c r="G232" s="174"/>
      <c r="H232" s="174"/>
      <c r="I232" s="174"/>
      <c r="J232" s="174"/>
      <c r="K232" s="174"/>
      <c r="L232" s="174"/>
      <c r="M232" s="174"/>
      <c r="N232" s="174"/>
      <c r="O232" s="174"/>
      <c r="P232" s="174"/>
      <c r="Q232" s="174"/>
      <c r="R232" s="174"/>
      <c r="S232" s="174"/>
      <c r="T232" s="174"/>
      <c r="U232" s="174"/>
      <c r="V232" s="174"/>
      <c r="W232" s="174"/>
      <c r="X232" s="174"/>
      <c r="Y232" s="174"/>
      <c r="Z232" s="174"/>
      <c r="AA232" s="174"/>
    </row>
    <row r="233" customFormat="false" ht="15.75" hidden="false" customHeight="false" outlineLevel="0" collapsed="false">
      <c r="A233" s="174" t="str">
        <f aca="false">IF(ISBLANK(B233),"",B233&amp;"|"&amp;C233)</f>
        <v/>
      </c>
      <c r="B233" s="174"/>
      <c r="C233" s="174"/>
      <c r="D233" s="174"/>
      <c r="E233" s="179"/>
      <c r="F233" s="174"/>
      <c r="G233" s="174"/>
      <c r="H233" s="174"/>
      <c r="I233" s="174"/>
      <c r="J233" s="174"/>
      <c r="K233" s="174"/>
      <c r="L233" s="174"/>
      <c r="M233" s="174"/>
      <c r="N233" s="174"/>
      <c r="O233" s="174"/>
      <c r="P233" s="174"/>
      <c r="Q233" s="174"/>
      <c r="R233" s="174"/>
      <c r="S233" s="174"/>
      <c r="T233" s="174"/>
      <c r="U233" s="174"/>
      <c r="V233" s="174"/>
      <c r="W233" s="174"/>
      <c r="X233" s="174"/>
      <c r="Y233" s="174"/>
      <c r="Z233" s="174"/>
      <c r="AA233" s="174"/>
    </row>
    <row r="234" customFormat="false" ht="15.75" hidden="false" customHeight="false" outlineLevel="0" collapsed="false">
      <c r="A234" s="174" t="str">
        <f aca="false">IF(ISBLANK(B234),"",B234&amp;"|"&amp;C234)</f>
        <v/>
      </c>
      <c r="B234" s="174"/>
      <c r="C234" s="174"/>
      <c r="D234" s="174"/>
      <c r="E234" s="179"/>
      <c r="F234" s="174"/>
      <c r="G234" s="174"/>
      <c r="H234" s="174"/>
      <c r="I234" s="174"/>
      <c r="J234" s="174"/>
      <c r="K234" s="174"/>
      <c r="L234" s="174"/>
      <c r="M234" s="174"/>
      <c r="N234" s="174"/>
      <c r="O234" s="174"/>
      <c r="P234" s="174"/>
      <c r="Q234" s="174"/>
      <c r="R234" s="174"/>
      <c r="S234" s="174"/>
      <c r="T234" s="174"/>
      <c r="U234" s="174"/>
      <c r="V234" s="174"/>
      <c r="W234" s="174"/>
      <c r="X234" s="174"/>
      <c r="Y234" s="174"/>
      <c r="Z234" s="174"/>
      <c r="AA234" s="174"/>
    </row>
    <row r="235" customFormat="false" ht="15.75" hidden="false" customHeight="false" outlineLevel="0" collapsed="false">
      <c r="A235" s="174" t="str">
        <f aca="false">IF(ISBLANK(B235),"",B235&amp;"|"&amp;C235)</f>
        <v/>
      </c>
      <c r="B235" s="174"/>
      <c r="C235" s="174"/>
      <c r="D235" s="174"/>
      <c r="E235" s="179"/>
      <c r="F235" s="174"/>
      <c r="G235" s="174"/>
      <c r="H235" s="174"/>
      <c r="I235" s="174"/>
      <c r="J235" s="174"/>
      <c r="K235" s="174"/>
      <c r="L235" s="174"/>
      <c r="M235" s="174"/>
      <c r="N235" s="174"/>
      <c r="O235" s="174"/>
      <c r="P235" s="174"/>
      <c r="Q235" s="174"/>
      <c r="R235" s="174"/>
      <c r="S235" s="174"/>
      <c r="T235" s="174"/>
      <c r="U235" s="174"/>
      <c r="V235" s="174"/>
      <c r="W235" s="174"/>
      <c r="X235" s="174"/>
      <c r="Y235" s="174"/>
      <c r="Z235" s="174"/>
      <c r="AA235" s="174"/>
    </row>
    <row r="236" customFormat="false" ht="15.75" hidden="false" customHeight="false" outlineLevel="0" collapsed="false">
      <c r="A236" s="174" t="str">
        <f aca="false">IF(ISBLANK(B236),"",B236&amp;"|"&amp;C236)</f>
        <v/>
      </c>
      <c r="B236" s="174"/>
      <c r="C236" s="174"/>
      <c r="D236" s="174"/>
      <c r="E236" s="179"/>
      <c r="F236" s="174"/>
      <c r="G236" s="174"/>
      <c r="H236" s="174"/>
      <c r="I236" s="174"/>
      <c r="J236" s="174"/>
      <c r="K236" s="174"/>
      <c r="L236" s="174"/>
      <c r="M236" s="174"/>
      <c r="N236" s="174"/>
      <c r="O236" s="174"/>
      <c r="P236" s="174"/>
      <c r="Q236" s="174"/>
      <c r="R236" s="174"/>
      <c r="S236" s="174"/>
      <c r="T236" s="174"/>
      <c r="U236" s="174"/>
      <c r="V236" s="174"/>
      <c r="W236" s="174"/>
      <c r="X236" s="174"/>
      <c r="Y236" s="174"/>
      <c r="Z236" s="174"/>
      <c r="AA236" s="174"/>
    </row>
    <row r="237" customFormat="false" ht="15.75" hidden="false" customHeight="false" outlineLevel="0" collapsed="false">
      <c r="A237" s="174" t="str">
        <f aca="false">IF(ISBLANK(B237),"",B237&amp;"|"&amp;C237)</f>
        <v/>
      </c>
      <c r="B237" s="174"/>
      <c r="C237" s="174"/>
      <c r="D237" s="174"/>
      <c r="E237" s="179"/>
      <c r="F237" s="174"/>
      <c r="G237" s="174"/>
      <c r="H237" s="174"/>
      <c r="I237" s="174"/>
      <c r="J237" s="174"/>
      <c r="K237" s="174"/>
      <c r="L237" s="174"/>
      <c r="M237" s="174"/>
      <c r="N237" s="174"/>
      <c r="O237" s="174"/>
      <c r="P237" s="174"/>
      <c r="Q237" s="174"/>
      <c r="R237" s="174"/>
      <c r="S237" s="174"/>
      <c r="T237" s="174"/>
      <c r="U237" s="174"/>
      <c r="V237" s="174"/>
      <c r="W237" s="174"/>
      <c r="X237" s="174"/>
      <c r="Y237" s="174"/>
      <c r="Z237" s="174"/>
      <c r="AA237" s="174"/>
    </row>
    <row r="238" customFormat="false" ht="15.75" hidden="false" customHeight="false" outlineLevel="0" collapsed="false">
      <c r="A238" s="174" t="str">
        <f aca="false">IF(ISBLANK(B238),"",B238&amp;"|"&amp;C238)</f>
        <v/>
      </c>
      <c r="B238" s="174"/>
      <c r="C238" s="174"/>
      <c r="D238" s="174"/>
      <c r="E238" s="179"/>
      <c r="F238" s="174"/>
      <c r="G238" s="174"/>
      <c r="H238" s="174"/>
      <c r="I238" s="174"/>
      <c r="J238" s="174"/>
      <c r="K238" s="174"/>
      <c r="L238" s="174"/>
      <c r="M238" s="174"/>
      <c r="N238" s="174"/>
      <c r="O238" s="174"/>
      <c r="P238" s="174"/>
      <c r="Q238" s="174"/>
      <c r="R238" s="174"/>
      <c r="S238" s="174"/>
      <c r="T238" s="174"/>
      <c r="U238" s="174"/>
      <c r="V238" s="174"/>
      <c r="W238" s="174"/>
      <c r="X238" s="174"/>
      <c r="Y238" s="174"/>
      <c r="Z238" s="174"/>
      <c r="AA238" s="174"/>
    </row>
    <row r="239" customFormat="false" ht="15.75" hidden="false" customHeight="false" outlineLevel="0" collapsed="false">
      <c r="A239" s="174" t="str">
        <f aca="false">IF(ISBLANK(B239),"",B239&amp;"|"&amp;C239)</f>
        <v/>
      </c>
      <c r="B239" s="174"/>
      <c r="C239" s="174"/>
      <c r="D239" s="174"/>
      <c r="E239" s="179"/>
      <c r="F239" s="174"/>
      <c r="G239" s="174"/>
      <c r="H239" s="174"/>
      <c r="I239" s="174"/>
      <c r="J239" s="174"/>
      <c r="K239" s="174"/>
      <c r="L239" s="174"/>
      <c r="M239" s="174"/>
      <c r="N239" s="174"/>
      <c r="O239" s="174"/>
      <c r="P239" s="174"/>
      <c r="Q239" s="174"/>
      <c r="R239" s="174"/>
      <c r="S239" s="174"/>
      <c r="T239" s="174"/>
      <c r="U239" s="174"/>
      <c r="V239" s="174"/>
      <c r="W239" s="174"/>
      <c r="X239" s="174"/>
      <c r="Y239" s="174"/>
      <c r="Z239" s="174"/>
      <c r="AA239" s="174"/>
    </row>
    <row r="240" customFormat="false" ht="15.75" hidden="false" customHeight="false" outlineLevel="0" collapsed="false">
      <c r="A240" s="174" t="str">
        <f aca="false">IF(ISBLANK(B240),"",B240&amp;"|"&amp;C240)</f>
        <v/>
      </c>
      <c r="B240" s="174"/>
      <c r="C240" s="174"/>
      <c r="D240" s="174"/>
      <c r="E240" s="179"/>
      <c r="F240" s="174"/>
      <c r="G240" s="174"/>
      <c r="H240" s="174"/>
      <c r="I240" s="174"/>
      <c r="J240" s="174"/>
      <c r="K240" s="174"/>
      <c r="L240" s="174"/>
      <c r="M240" s="174"/>
      <c r="N240" s="174"/>
      <c r="O240" s="174"/>
      <c r="P240" s="174"/>
      <c r="Q240" s="174"/>
      <c r="R240" s="174"/>
      <c r="S240" s="174"/>
      <c r="T240" s="174"/>
      <c r="U240" s="174"/>
      <c r="V240" s="174"/>
      <c r="W240" s="174"/>
      <c r="X240" s="174"/>
      <c r="Y240" s="174"/>
      <c r="Z240" s="174"/>
      <c r="AA240" s="174"/>
    </row>
    <row r="241" customFormat="false" ht="15.75" hidden="false" customHeight="false" outlineLevel="0" collapsed="false">
      <c r="A241" s="174" t="str">
        <f aca="false">IF(ISBLANK(B241),"",B241&amp;"|"&amp;C241)</f>
        <v/>
      </c>
      <c r="B241" s="174"/>
      <c r="C241" s="174"/>
      <c r="D241" s="174"/>
      <c r="E241" s="179"/>
      <c r="F241" s="174"/>
      <c r="G241" s="174"/>
      <c r="H241" s="174"/>
      <c r="I241" s="174"/>
      <c r="J241" s="174"/>
      <c r="K241" s="174"/>
      <c r="L241" s="174"/>
      <c r="M241" s="174"/>
      <c r="N241" s="174"/>
      <c r="O241" s="174"/>
      <c r="P241" s="174"/>
      <c r="Q241" s="174"/>
      <c r="R241" s="174"/>
      <c r="S241" s="174"/>
      <c r="T241" s="174"/>
      <c r="U241" s="174"/>
      <c r="V241" s="174"/>
      <c r="W241" s="174"/>
      <c r="X241" s="174"/>
      <c r="Y241" s="174"/>
      <c r="Z241" s="174"/>
      <c r="AA241" s="174"/>
    </row>
    <row r="242" customFormat="false" ht="15.75" hidden="false" customHeight="false" outlineLevel="0" collapsed="false">
      <c r="A242" s="174" t="str">
        <f aca="false">IF(ISBLANK(B242),"",B242&amp;"|"&amp;C242)</f>
        <v/>
      </c>
      <c r="B242" s="174"/>
      <c r="C242" s="174"/>
      <c r="D242" s="174"/>
      <c r="E242" s="179"/>
      <c r="F242" s="174"/>
      <c r="G242" s="174"/>
      <c r="H242" s="174"/>
      <c r="I242" s="174"/>
      <c r="J242" s="174"/>
      <c r="K242" s="174"/>
      <c r="L242" s="174"/>
      <c r="M242" s="174"/>
      <c r="N242" s="174"/>
      <c r="O242" s="174"/>
      <c r="P242" s="174"/>
      <c r="Q242" s="174"/>
      <c r="R242" s="174"/>
      <c r="S242" s="174"/>
      <c r="T242" s="174"/>
      <c r="U242" s="174"/>
      <c r="V242" s="174"/>
      <c r="W242" s="174"/>
      <c r="X242" s="174"/>
      <c r="Y242" s="174"/>
      <c r="Z242" s="174"/>
      <c r="AA242" s="174"/>
    </row>
    <row r="243" customFormat="false" ht="15.75" hidden="false" customHeight="false" outlineLevel="0" collapsed="false">
      <c r="A243" s="174" t="str">
        <f aca="false">IF(ISBLANK(B243),"",B243&amp;"|"&amp;C243)</f>
        <v/>
      </c>
      <c r="B243" s="174"/>
      <c r="C243" s="174"/>
      <c r="D243" s="174"/>
      <c r="E243" s="179"/>
      <c r="F243" s="174"/>
      <c r="G243" s="174"/>
      <c r="H243" s="174"/>
      <c r="I243" s="174"/>
      <c r="J243" s="174"/>
      <c r="K243" s="174"/>
      <c r="L243" s="174"/>
      <c r="M243" s="174"/>
      <c r="N243" s="174"/>
      <c r="O243" s="174"/>
      <c r="P243" s="174"/>
      <c r="Q243" s="174"/>
      <c r="R243" s="174"/>
      <c r="S243" s="174"/>
      <c r="T243" s="174"/>
      <c r="U243" s="174"/>
      <c r="V243" s="174"/>
      <c r="W243" s="174"/>
      <c r="X243" s="174"/>
      <c r="Y243" s="174"/>
      <c r="Z243" s="174"/>
      <c r="AA243" s="174"/>
    </row>
    <row r="244" customFormat="false" ht="15.75" hidden="false" customHeight="false" outlineLevel="0" collapsed="false">
      <c r="A244" s="174" t="str">
        <f aca="false">IF(ISBLANK(B244),"",B244&amp;"|"&amp;C244)</f>
        <v/>
      </c>
      <c r="B244" s="174"/>
      <c r="C244" s="174"/>
      <c r="D244" s="174"/>
      <c r="E244" s="179"/>
      <c r="F244" s="174"/>
      <c r="G244" s="174"/>
      <c r="H244" s="174"/>
      <c r="I244" s="174"/>
      <c r="J244" s="174"/>
      <c r="K244" s="174"/>
      <c r="L244" s="174"/>
      <c r="M244" s="174"/>
      <c r="N244" s="174"/>
      <c r="O244" s="174"/>
      <c r="P244" s="174"/>
      <c r="Q244" s="174"/>
      <c r="R244" s="174"/>
      <c r="S244" s="174"/>
      <c r="T244" s="174"/>
      <c r="U244" s="174"/>
      <c r="V244" s="174"/>
      <c r="W244" s="174"/>
      <c r="X244" s="174"/>
      <c r="Y244" s="174"/>
      <c r="Z244" s="174"/>
      <c r="AA244" s="174"/>
    </row>
    <row r="245" customFormat="false" ht="15.75" hidden="false" customHeight="false" outlineLevel="0" collapsed="false">
      <c r="A245" s="174" t="str">
        <f aca="false">IF(ISBLANK(B245),"",B245&amp;"|"&amp;C245)</f>
        <v/>
      </c>
      <c r="B245" s="174"/>
      <c r="C245" s="174"/>
      <c r="D245" s="174"/>
      <c r="E245" s="179"/>
      <c r="F245" s="174"/>
      <c r="G245" s="174"/>
      <c r="H245" s="174"/>
      <c r="I245" s="174"/>
      <c r="J245" s="174"/>
      <c r="K245" s="174"/>
      <c r="L245" s="174"/>
      <c r="M245" s="174"/>
      <c r="N245" s="174"/>
      <c r="O245" s="174"/>
      <c r="P245" s="174"/>
      <c r="Q245" s="174"/>
      <c r="R245" s="174"/>
      <c r="S245" s="174"/>
      <c r="T245" s="174"/>
      <c r="U245" s="174"/>
      <c r="V245" s="174"/>
      <c r="W245" s="174"/>
      <c r="X245" s="174"/>
      <c r="Y245" s="174"/>
      <c r="Z245" s="174"/>
      <c r="AA245" s="174"/>
    </row>
    <row r="246" customFormat="false" ht="15.75" hidden="false" customHeight="false" outlineLevel="0" collapsed="false">
      <c r="A246" s="174" t="str">
        <f aca="false">IF(ISBLANK(B246),"",B246&amp;"|"&amp;C246)</f>
        <v/>
      </c>
      <c r="B246" s="174"/>
      <c r="C246" s="174"/>
      <c r="D246" s="174"/>
      <c r="E246" s="179"/>
      <c r="F246" s="174"/>
      <c r="G246" s="174"/>
      <c r="H246" s="174"/>
      <c r="I246" s="174"/>
      <c r="J246" s="174"/>
      <c r="K246" s="174"/>
      <c r="L246" s="174"/>
      <c r="M246" s="174"/>
      <c r="N246" s="174"/>
      <c r="O246" s="174"/>
      <c r="P246" s="174"/>
      <c r="Q246" s="174"/>
      <c r="R246" s="174"/>
      <c r="S246" s="174"/>
      <c r="T246" s="174"/>
      <c r="U246" s="174"/>
      <c r="V246" s="174"/>
      <c r="W246" s="174"/>
      <c r="X246" s="174"/>
      <c r="Y246" s="174"/>
      <c r="Z246" s="174"/>
      <c r="AA246" s="174"/>
    </row>
    <row r="247" customFormat="false" ht="15.75" hidden="false" customHeight="false" outlineLevel="0" collapsed="false">
      <c r="A247" s="174" t="str">
        <f aca="false">IF(ISBLANK(B247),"",B247&amp;"|"&amp;C247)</f>
        <v/>
      </c>
      <c r="B247" s="174"/>
      <c r="C247" s="174"/>
      <c r="D247" s="174"/>
      <c r="E247" s="179"/>
      <c r="F247" s="174"/>
      <c r="G247" s="174"/>
      <c r="H247" s="174"/>
      <c r="I247" s="174"/>
      <c r="J247" s="174"/>
      <c r="K247" s="174"/>
      <c r="L247" s="174"/>
      <c r="M247" s="174"/>
      <c r="N247" s="174"/>
      <c r="O247" s="174"/>
      <c r="P247" s="174"/>
      <c r="Q247" s="174"/>
      <c r="R247" s="174"/>
      <c r="S247" s="174"/>
      <c r="T247" s="174"/>
      <c r="U247" s="174"/>
      <c r="V247" s="174"/>
      <c r="W247" s="174"/>
      <c r="X247" s="174"/>
      <c r="Y247" s="174"/>
      <c r="Z247" s="174"/>
      <c r="AA247" s="174"/>
    </row>
    <row r="248" customFormat="false" ht="15.75" hidden="false" customHeight="false" outlineLevel="0" collapsed="false">
      <c r="A248" s="174" t="str">
        <f aca="false">IF(ISBLANK(B248),"",B248&amp;"|"&amp;C248)</f>
        <v/>
      </c>
      <c r="B248" s="174"/>
      <c r="C248" s="174"/>
      <c r="D248" s="174"/>
      <c r="E248" s="179"/>
      <c r="F248" s="174"/>
      <c r="G248" s="174"/>
      <c r="H248" s="174"/>
      <c r="I248" s="174"/>
      <c r="J248" s="174"/>
      <c r="K248" s="174"/>
      <c r="L248" s="174"/>
      <c r="M248" s="174"/>
      <c r="N248" s="174"/>
      <c r="O248" s="174"/>
      <c r="P248" s="174"/>
      <c r="Q248" s="174"/>
      <c r="R248" s="174"/>
      <c r="S248" s="174"/>
      <c r="T248" s="174"/>
      <c r="U248" s="174"/>
      <c r="V248" s="174"/>
      <c r="W248" s="174"/>
      <c r="X248" s="174"/>
      <c r="Y248" s="174"/>
      <c r="Z248" s="174"/>
      <c r="AA248" s="174"/>
    </row>
    <row r="249" customFormat="false" ht="15.75" hidden="false" customHeight="false" outlineLevel="0" collapsed="false">
      <c r="A249" s="174" t="str">
        <f aca="false">IF(ISBLANK(B249),"",B249&amp;"|"&amp;C249)</f>
        <v/>
      </c>
      <c r="B249" s="174"/>
      <c r="C249" s="174"/>
      <c r="D249" s="174"/>
      <c r="E249" s="179"/>
      <c r="F249" s="174"/>
      <c r="G249" s="174"/>
      <c r="H249" s="174"/>
      <c r="I249" s="174"/>
      <c r="J249" s="174"/>
      <c r="K249" s="174"/>
      <c r="L249" s="174"/>
      <c r="M249" s="174"/>
      <c r="N249" s="174"/>
      <c r="O249" s="174"/>
      <c r="P249" s="174"/>
      <c r="Q249" s="174"/>
      <c r="R249" s="174"/>
      <c r="S249" s="174"/>
      <c r="T249" s="174"/>
      <c r="U249" s="174"/>
      <c r="V249" s="174"/>
      <c r="W249" s="174"/>
      <c r="X249" s="174"/>
      <c r="Y249" s="174"/>
      <c r="Z249" s="174"/>
      <c r="AA249" s="174"/>
    </row>
    <row r="250" customFormat="false" ht="15.75" hidden="false" customHeight="false" outlineLevel="0" collapsed="false">
      <c r="A250" s="174" t="str">
        <f aca="false">IF(ISBLANK(B250),"",B250&amp;"|"&amp;C250)</f>
        <v/>
      </c>
      <c r="B250" s="174"/>
      <c r="C250" s="174"/>
      <c r="D250" s="174"/>
      <c r="E250" s="179"/>
      <c r="F250" s="174"/>
      <c r="G250" s="174"/>
      <c r="H250" s="174"/>
      <c r="I250" s="174"/>
      <c r="J250" s="174"/>
      <c r="K250" s="174"/>
      <c r="L250" s="174"/>
      <c r="M250" s="174"/>
      <c r="N250" s="174"/>
      <c r="O250" s="174"/>
      <c r="P250" s="174"/>
      <c r="Q250" s="174"/>
      <c r="R250" s="174"/>
      <c r="S250" s="174"/>
      <c r="T250" s="174"/>
      <c r="U250" s="174"/>
      <c r="V250" s="174"/>
      <c r="W250" s="174"/>
      <c r="X250" s="174"/>
      <c r="Y250" s="174"/>
      <c r="Z250" s="174"/>
      <c r="AA250" s="174"/>
    </row>
    <row r="251" customFormat="false" ht="15.75" hidden="false" customHeight="false" outlineLevel="0" collapsed="false">
      <c r="A251" s="174" t="str">
        <f aca="false">IF(ISBLANK(B251),"",B251&amp;"|"&amp;C251)</f>
        <v/>
      </c>
      <c r="B251" s="174"/>
      <c r="C251" s="174"/>
      <c r="D251" s="174"/>
      <c r="E251" s="179"/>
      <c r="F251" s="174"/>
      <c r="G251" s="174"/>
      <c r="H251" s="174"/>
      <c r="I251" s="174"/>
      <c r="J251" s="174"/>
      <c r="K251" s="174"/>
      <c r="L251" s="174"/>
      <c r="M251" s="174"/>
      <c r="N251" s="174"/>
      <c r="O251" s="174"/>
      <c r="P251" s="174"/>
      <c r="Q251" s="174"/>
      <c r="R251" s="174"/>
      <c r="S251" s="174"/>
      <c r="T251" s="174"/>
      <c r="U251" s="174"/>
      <c r="V251" s="174"/>
      <c r="W251" s="174"/>
      <c r="X251" s="174"/>
      <c r="Y251" s="174"/>
      <c r="Z251" s="174"/>
      <c r="AA251" s="174"/>
    </row>
    <row r="252" customFormat="false" ht="15.75" hidden="false" customHeight="false" outlineLevel="0" collapsed="false">
      <c r="A252" s="174" t="str">
        <f aca="false">IF(ISBLANK(B252),"",B252&amp;"|"&amp;C252)</f>
        <v/>
      </c>
      <c r="B252" s="174"/>
      <c r="C252" s="174"/>
      <c r="D252" s="174"/>
      <c r="E252" s="179"/>
      <c r="F252" s="174"/>
      <c r="G252" s="174"/>
      <c r="H252" s="174"/>
      <c r="I252" s="174"/>
      <c r="J252" s="174"/>
      <c r="K252" s="174"/>
      <c r="L252" s="174"/>
      <c r="M252" s="174"/>
      <c r="N252" s="174"/>
      <c r="O252" s="174"/>
      <c r="P252" s="174"/>
      <c r="Q252" s="174"/>
      <c r="R252" s="174"/>
      <c r="S252" s="174"/>
      <c r="T252" s="174"/>
      <c r="U252" s="174"/>
      <c r="V252" s="174"/>
      <c r="W252" s="174"/>
      <c r="X252" s="174"/>
      <c r="Y252" s="174"/>
      <c r="Z252" s="174"/>
      <c r="AA252" s="174"/>
    </row>
    <row r="253" customFormat="false" ht="15.75" hidden="false" customHeight="false" outlineLevel="0" collapsed="false">
      <c r="A253" s="174" t="str">
        <f aca="false">IF(ISBLANK(B253),"",B253&amp;"|"&amp;C253)</f>
        <v/>
      </c>
      <c r="B253" s="174"/>
      <c r="C253" s="174"/>
      <c r="D253" s="174"/>
      <c r="E253" s="179"/>
      <c r="F253" s="174"/>
      <c r="G253" s="174"/>
      <c r="H253" s="174"/>
      <c r="I253" s="174"/>
      <c r="J253" s="174"/>
      <c r="K253" s="174"/>
      <c r="L253" s="174"/>
      <c r="M253" s="174"/>
      <c r="N253" s="174"/>
      <c r="O253" s="174"/>
      <c r="P253" s="174"/>
      <c r="Q253" s="174"/>
      <c r="R253" s="174"/>
      <c r="S253" s="174"/>
      <c r="T253" s="174"/>
      <c r="U253" s="174"/>
      <c r="V253" s="174"/>
      <c r="W253" s="174"/>
      <c r="X253" s="174"/>
      <c r="Y253" s="174"/>
      <c r="Z253" s="174"/>
      <c r="AA253" s="174"/>
    </row>
    <row r="254" customFormat="false" ht="15.75" hidden="false" customHeight="false" outlineLevel="0" collapsed="false">
      <c r="A254" s="174" t="str">
        <f aca="false">IF(ISBLANK(B254),"",B254&amp;"|"&amp;C254)</f>
        <v/>
      </c>
      <c r="B254" s="174"/>
      <c r="C254" s="174"/>
      <c r="D254" s="174"/>
      <c r="E254" s="179"/>
      <c r="F254" s="174"/>
      <c r="G254" s="174"/>
      <c r="H254" s="174"/>
      <c r="I254" s="174"/>
      <c r="J254" s="174"/>
      <c r="K254" s="174"/>
      <c r="L254" s="174"/>
      <c r="M254" s="174"/>
      <c r="N254" s="174"/>
      <c r="O254" s="174"/>
      <c r="P254" s="174"/>
      <c r="Q254" s="174"/>
      <c r="R254" s="174"/>
      <c r="S254" s="174"/>
      <c r="T254" s="174"/>
      <c r="U254" s="174"/>
      <c r="V254" s="174"/>
      <c r="W254" s="174"/>
      <c r="X254" s="174"/>
      <c r="Y254" s="174"/>
      <c r="Z254" s="174"/>
      <c r="AA254" s="174"/>
    </row>
    <row r="255" customFormat="false" ht="15.75" hidden="false" customHeight="false" outlineLevel="0" collapsed="false">
      <c r="A255" s="174" t="str">
        <f aca="false">IF(ISBLANK(B255),"",B255&amp;"|"&amp;C255)</f>
        <v/>
      </c>
      <c r="B255" s="174"/>
      <c r="C255" s="174"/>
      <c r="D255" s="174"/>
      <c r="E255" s="179"/>
      <c r="F255" s="174"/>
      <c r="G255" s="174"/>
      <c r="H255" s="174"/>
      <c r="I255" s="174"/>
      <c r="J255" s="174"/>
      <c r="K255" s="174"/>
      <c r="L255" s="174"/>
      <c r="M255" s="174"/>
      <c r="N255" s="174"/>
      <c r="O255" s="174"/>
      <c r="P255" s="174"/>
      <c r="Q255" s="174"/>
      <c r="R255" s="174"/>
      <c r="S255" s="174"/>
      <c r="T255" s="174"/>
      <c r="U255" s="174"/>
      <c r="V255" s="174"/>
      <c r="W255" s="174"/>
      <c r="X255" s="174"/>
      <c r="Y255" s="174"/>
      <c r="Z255" s="174"/>
      <c r="AA255" s="174"/>
    </row>
    <row r="256" customFormat="false" ht="15.75" hidden="false" customHeight="false" outlineLevel="0" collapsed="false">
      <c r="A256" s="174" t="str">
        <f aca="false">IF(ISBLANK(B256),"",B256&amp;"|"&amp;C256)</f>
        <v/>
      </c>
      <c r="B256" s="174"/>
      <c r="C256" s="174"/>
      <c r="D256" s="174"/>
      <c r="E256" s="179"/>
      <c r="F256" s="174"/>
      <c r="G256" s="174"/>
      <c r="H256" s="174"/>
      <c r="I256" s="174"/>
      <c r="J256" s="174"/>
      <c r="K256" s="174"/>
      <c r="L256" s="174"/>
      <c r="M256" s="174"/>
      <c r="N256" s="174"/>
      <c r="O256" s="174"/>
      <c r="P256" s="174"/>
      <c r="Q256" s="174"/>
      <c r="R256" s="174"/>
      <c r="S256" s="174"/>
      <c r="T256" s="174"/>
      <c r="U256" s="174"/>
      <c r="V256" s="174"/>
      <c r="W256" s="174"/>
      <c r="X256" s="174"/>
      <c r="Y256" s="174"/>
      <c r="Z256" s="174"/>
      <c r="AA256" s="174"/>
    </row>
    <row r="257" customFormat="false" ht="15.75" hidden="false" customHeight="false" outlineLevel="0" collapsed="false">
      <c r="A257" s="174" t="str">
        <f aca="false">IF(ISBLANK(B257),"",B257&amp;"|"&amp;C257)</f>
        <v/>
      </c>
      <c r="B257" s="174"/>
      <c r="C257" s="174"/>
      <c r="D257" s="174"/>
      <c r="E257" s="179"/>
      <c r="F257" s="174"/>
      <c r="G257" s="174"/>
      <c r="H257" s="174"/>
      <c r="I257" s="174"/>
      <c r="J257" s="174"/>
      <c r="K257" s="174"/>
      <c r="L257" s="174"/>
      <c r="M257" s="174"/>
      <c r="N257" s="174"/>
      <c r="O257" s="174"/>
      <c r="P257" s="174"/>
      <c r="Q257" s="174"/>
      <c r="R257" s="174"/>
      <c r="S257" s="174"/>
      <c r="T257" s="174"/>
      <c r="U257" s="174"/>
      <c r="V257" s="174"/>
      <c r="W257" s="174"/>
      <c r="X257" s="174"/>
      <c r="Y257" s="174"/>
      <c r="Z257" s="174"/>
      <c r="AA257" s="174"/>
    </row>
    <row r="258" customFormat="false" ht="15.75" hidden="false" customHeight="false" outlineLevel="0" collapsed="false">
      <c r="A258" s="174" t="str">
        <f aca="false">IF(ISBLANK(B258),"",B258&amp;"|"&amp;C258)</f>
        <v/>
      </c>
      <c r="B258" s="174"/>
      <c r="C258" s="174"/>
      <c r="D258" s="174"/>
      <c r="E258" s="179"/>
      <c r="F258" s="174"/>
      <c r="G258" s="174"/>
      <c r="H258" s="174"/>
      <c r="I258" s="174"/>
      <c r="J258" s="174"/>
      <c r="K258" s="174"/>
      <c r="L258" s="174"/>
      <c r="M258" s="174"/>
      <c r="N258" s="174"/>
      <c r="O258" s="174"/>
      <c r="P258" s="174"/>
      <c r="Q258" s="174"/>
      <c r="R258" s="174"/>
      <c r="S258" s="174"/>
      <c r="T258" s="174"/>
      <c r="U258" s="174"/>
      <c r="V258" s="174"/>
      <c r="W258" s="174"/>
      <c r="X258" s="174"/>
      <c r="Y258" s="174"/>
      <c r="Z258" s="174"/>
      <c r="AA258" s="174"/>
    </row>
    <row r="259" customFormat="false" ht="15.75" hidden="false" customHeight="false" outlineLevel="0" collapsed="false">
      <c r="A259" s="174" t="str">
        <f aca="false">IF(ISBLANK(B259),"",B259&amp;"|"&amp;C259)</f>
        <v/>
      </c>
      <c r="B259" s="174"/>
      <c r="C259" s="174"/>
      <c r="D259" s="174"/>
      <c r="E259" s="179"/>
      <c r="F259" s="174"/>
      <c r="G259" s="174"/>
      <c r="H259" s="174"/>
      <c r="I259" s="174"/>
      <c r="J259" s="174"/>
      <c r="K259" s="174"/>
      <c r="L259" s="174"/>
      <c r="M259" s="174"/>
      <c r="N259" s="174"/>
      <c r="O259" s="174"/>
      <c r="P259" s="174"/>
      <c r="Q259" s="174"/>
      <c r="R259" s="174"/>
      <c r="S259" s="174"/>
      <c r="T259" s="174"/>
      <c r="U259" s="174"/>
      <c r="V259" s="174"/>
      <c r="W259" s="174"/>
      <c r="X259" s="174"/>
      <c r="Y259" s="174"/>
      <c r="Z259" s="174"/>
      <c r="AA259" s="174"/>
    </row>
    <row r="260" customFormat="false" ht="15.75" hidden="false" customHeight="false" outlineLevel="0" collapsed="false">
      <c r="A260" s="174" t="str">
        <f aca="false">IF(ISBLANK(B260),"",B260&amp;"|"&amp;C260)</f>
        <v/>
      </c>
      <c r="B260" s="174"/>
      <c r="C260" s="174"/>
      <c r="D260" s="174"/>
      <c r="E260" s="179"/>
      <c r="F260" s="174"/>
      <c r="G260" s="174"/>
      <c r="H260" s="174"/>
      <c r="I260" s="174"/>
      <c r="J260" s="174"/>
      <c r="K260" s="174"/>
      <c r="L260" s="174"/>
      <c r="M260" s="174"/>
      <c r="N260" s="174"/>
      <c r="O260" s="174"/>
      <c r="P260" s="174"/>
      <c r="Q260" s="174"/>
      <c r="R260" s="174"/>
      <c r="S260" s="174"/>
      <c r="T260" s="174"/>
      <c r="U260" s="174"/>
      <c r="V260" s="174"/>
      <c r="W260" s="174"/>
      <c r="X260" s="174"/>
      <c r="Y260" s="174"/>
      <c r="Z260" s="174"/>
      <c r="AA260" s="174"/>
    </row>
    <row r="261" customFormat="false" ht="15.75" hidden="false" customHeight="false" outlineLevel="0" collapsed="false">
      <c r="A261" s="174" t="str">
        <f aca="false">IF(ISBLANK(B261),"",B261&amp;"|"&amp;C261)</f>
        <v/>
      </c>
      <c r="B261" s="174"/>
      <c r="C261" s="174"/>
      <c r="D261" s="174"/>
      <c r="E261" s="179"/>
      <c r="F261" s="174"/>
      <c r="G261" s="174"/>
      <c r="H261" s="174"/>
      <c r="I261" s="174"/>
      <c r="J261" s="174"/>
      <c r="K261" s="174"/>
      <c r="L261" s="174"/>
      <c r="M261" s="174"/>
      <c r="N261" s="174"/>
      <c r="O261" s="174"/>
      <c r="P261" s="174"/>
      <c r="Q261" s="174"/>
      <c r="R261" s="174"/>
      <c r="S261" s="174"/>
      <c r="T261" s="174"/>
      <c r="U261" s="174"/>
      <c r="V261" s="174"/>
      <c r="W261" s="174"/>
      <c r="X261" s="174"/>
      <c r="Y261" s="174"/>
      <c r="Z261" s="174"/>
      <c r="AA261" s="174"/>
    </row>
    <row r="262" customFormat="false" ht="15.75" hidden="false" customHeight="false" outlineLevel="0" collapsed="false">
      <c r="A262" s="174" t="str">
        <f aca="false">IF(ISBLANK(B262),"",B262&amp;"|"&amp;C262)</f>
        <v/>
      </c>
      <c r="B262" s="174"/>
      <c r="C262" s="174"/>
      <c r="D262" s="174"/>
      <c r="E262" s="179"/>
      <c r="F262" s="174"/>
      <c r="G262" s="174"/>
      <c r="H262" s="174"/>
      <c r="I262" s="174"/>
      <c r="J262" s="174"/>
      <c r="K262" s="174"/>
      <c r="L262" s="174"/>
      <c r="M262" s="174"/>
      <c r="N262" s="174"/>
      <c r="O262" s="174"/>
      <c r="P262" s="174"/>
      <c r="Q262" s="174"/>
      <c r="R262" s="174"/>
      <c r="S262" s="174"/>
      <c r="T262" s="174"/>
      <c r="U262" s="174"/>
      <c r="V262" s="174"/>
      <c r="W262" s="174"/>
      <c r="X262" s="174"/>
      <c r="Y262" s="174"/>
      <c r="Z262" s="174"/>
      <c r="AA262" s="174"/>
    </row>
    <row r="263" customFormat="false" ht="15.75" hidden="false" customHeight="false" outlineLevel="0" collapsed="false">
      <c r="A263" s="174" t="str">
        <f aca="false">IF(ISBLANK(B263),"",B263&amp;"|"&amp;C263)</f>
        <v/>
      </c>
      <c r="B263" s="174"/>
      <c r="C263" s="174"/>
      <c r="D263" s="174"/>
      <c r="E263" s="179"/>
      <c r="F263" s="174"/>
      <c r="G263" s="174"/>
      <c r="H263" s="174"/>
      <c r="I263" s="174"/>
      <c r="J263" s="174"/>
      <c r="K263" s="174"/>
      <c r="L263" s="174"/>
      <c r="M263" s="174"/>
      <c r="N263" s="174"/>
      <c r="O263" s="174"/>
      <c r="P263" s="174"/>
      <c r="Q263" s="174"/>
      <c r="R263" s="174"/>
      <c r="S263" s="174"/>
      <c r="T263" s="174"/>
      <c r="U263" s="174"/>
      <c r="V263" s="174"/>
      <c r="W263" s="174"/>
      <c r="X263" s="174"/>
      <c r="Y263" s="174"/>
      <c r="Z263" s="174"/>
      <c r="AA263" s="174"/>
    </row>
    <row r="264" customFormat="false" ht="15.75" hidden="false" customHeight="false" outlineLevel="0" collapsed="false">
      <c r="A264" s="174" t="str">
        <f aca="false">IF(ISBLANK(B264),"",B264&amp;"|"&amp;C264)</f>
        <v/>
      </c>
      <c r="B264" s="174"/>
      <c r="C264" s="174"/>
      <c r="D264" s="174"/>
      <c r="E264" s="179"/>
      <c r="F264" s="174"/>
      <c r="G264" s="174"/>
      <c r="H264" s="174"/>
      <c r="I264" s="174"/>
      <c r="J264" s="174"/>
      <c r="K264" s="174"/>
      <c r="L264" s="174"/>
      <c r="M264" s="174"/>
      <c r="N264" s="174"/>
      <c r="O264" s="174"/>
      <c r="P264" s="174"/>
      <c r="Q264" s="174"/>
      <c r="R264" s="174"/>
      <c r="S264" s="174"/>
      <c r="T264" s="174"/>
      <c r="U264" s="174"/>
      <c r="V264" s="174"/>
      <c r="W264" s="174"/>
      <c r="X264" s="174"/>
      <c r="Y264" s="174"/>
      <c r="Z264" s="174"/>
      <c r="AA264" s="174"/>
    </row>
    <row r="265" customFormat="false" ht="15.75" hidden="false" customHeight="false" outlineLevel="0" collapsed="false">
      <c r="A265" s="174" t="str">
        <f aca="false">IF(ISBLANK(B265),"",B265&amp;"|"&amp;C265)</f>
        <v/>
      </c>
      <c r="B265" s="174"/>
      <c r="C265" s="174"/>
      <c r="D265" s="174"/>
      <c r="E265" s="179"/>
      <c r="F265" s="174"/>
      <c r="G265" s="174"/>
      <c r="H265" s="174"/>
      <c r="I265" s="174"/>
      <c r="J265" s="174"/>
      <c r="K265" s="174"/>
      <c r="L265" s="174"/>
      <c r="M265" s="174"/>
      <c r="N265" s="174"/>
      <c r="O265" s="174"/>
      <c r="P265" s="174"/>
      <c r="Q265" s="174"/>
      <c r="R265" s="174"/>
      <c r="S265" s="174"/>
      <c r="T265" s="174"/>
      <c r="U265" s="174"/>
      <c r="V265" s="174"/>
      <c r="W265" s="174"/>
      <c r="X265" s="174"/>
      <c r="Y265" s="174"/>
      <c r="Z265" s="174"/>
      <c r="AA265" s="174"/>
    </row>
    <row r="266" customFormat="false" ht="15.75" hidden="false" customHeight="false" outlineLevel="0" collapsed="false">
      <c r="A266" s="174" t="str">
        <f aca="false">IF(ISBLANK(B266),"",B266&amp;"|"&amp;C266)</f>
        <v/>
      </c>
      <c r="B266" s="174"/>
      <c r="C266" s="174"/>
      <c r="D266" s="174"/>
      <c r="E266" s="179"/>
      <c r="F266" s="174"/>
      <c r="G266" s="174"/>
      <c r="H266" s="174"/>
      <c r="I266" s="174"/>
      <c r="J266" s="174"/>
      <c r="K266" s="174"/>
      <c r="L266" s="174"/>
      <c r="M266" s="174"/>
      <c r="N266" s="174"/>
      <c r="O266" s="174"/>
      <c r="P266" s="174"/>
      <c r="Q266" s="174"/>
      <c r="R266" s="174"/>
      <c r="S266" s="174"/>
      <c r="T266" s="174"/>
      <c r="U266" s="174"/>
      <c r="V266" s="174"/>
      <c r="W266" s="174"/>
      <c r="X266" s="174"/>
      <c r="Y266" s="174"/>
      <c r="Z266" s="174"/>
      <c r="AA266" s="174"/>
    </row>
    <row r="267" customFormat="false" ht="15.75" hidden="false" customHeight="false" outlineLevel="0" collapsed="false">
      <c r="A267" s="174" t="str">
        <f aca="false">IF(ISBLANK(B267),"",B267&amp;"|"&amp;C267)</f>
        <v/>
      </c>
      <c r="B267" s="174"/>
      <c r="C267" s="174"/>
      <c r="D267" s="174"/>
      <c r="E267" s="179"/>
      <c r="F267" s="174"/>
      <c r="G267" s="174"/>
      <c r="H267" s="174"/>
      <c r="I267" s="174"/>
      <c r="J267" s="174"/>
      <c r="K267" s="174"/>
      <c r="L267" s="174"/>
      <c r="M267" s="174"/>
      <c r="N267" s="174"/>
      <c r="O267" s="174"/>
      <c r="P267" s="174"/>
      <c r="Q267" s="174"/>
      <c r="R267" s="174"/>
      <c r="S267" s="174"/>
      <c r="T267" s="174"/>
      <c r="U267" s="174"/>
      <c r="V267" s="174"/>
      <c r="W267" s="174"/>
      <c r="X267" s="174"/>
      <c r="Y267" s="174"/>
      <c r="Z267" s="174"/>
      <c r="AA267" s="174"/>
    </row>
    <row r="268" customFormat="false" ht="15.75" hidden="false" customHeight="false" outlineLevel="0" collapsed="false">
      <c r="A268" s="174" t="str">
        <f aca="false">IF(ISBLANK(B268),"",B268&amp;"|"&amp;C268)</f>
        <v/>
      </c>
      <c r="B268" s="174"/>
      <c r="C268" s="174"/>
      <c r="D268" s="174"/>
      <c r="E268" s="179"/>
      <c r="F268" s="174"/>
      <c r="G268" s="174"/>
      <c r="H268" s="174"/>
      <c r="I268" s="174"/>
      <c r="J268" s="174"/>
      <c r="K268" s="174"/>
      <c r="L268" s="174"/>
      <c r="M268" s="174"/>
      <c r="N268" s="174"/>
      <c r="O268" s="174"/>
      <c r="P268" s="174"/>
      <c r="Q268" s="174"/>
      <c r="R268" s="174"/>
      <c r="S268" s="174"/>
      <c r="T268" s="174"/>
      <c r="U268" s="174"/>
      <c r="V268" s="174"/>
      <c r="W268" s="174"/>
      <c r="X268" s="174"/>
      <c r="Y268" s="174"/>
      <c r="Z268" s="174"/>
      <c r="AA268" s="174"/>
    </row>
    <row r="269" customFormat="false" ht="15.75" hidden="false" customHeight="false" outlineLevel="0" collapsed="false">
      <c r="A269" s="174" t="str">
        <f aca="false">IF(ISBLANK(B269),"",B269&amp;"|"&amp;C269)</f>
        <v/>
      </c>
      <c r="B269" s="174"/>
      <c r="C269" s="174"/>
      <c r="D269" s="174"/>
      <c r="E269" s="179"/>
      <c r="F269" s="174"/>
      <c r="G269" s="174"/>
      <c r="H269" s="174"/>
      <c r="I269" s="174"/>
      <c r="J269" s="174"/>
      <c r="K269" s="174"/>
      <c r="L269" s="174"/>
      <c r="M269" s="174"/>
      <c r="N269" s="174"/>
      <c r="O269" s="174"/>
      <c r="P269" s="174"/>
      <c r="Q269" s="174"/>
      <c r="R269" s="174"/>
      <c r="S269" s="174"/>
      <c r="T269" s="174"/>
      <c r="U269" s="174"/>
      <c r="V269" s="174"/>
      <c r="W269" s="174"/>
      <c r="X269" s="174"/>
      <c r="Y269" s="174"/>
      <c r="Z269" s="174"/>
      <c r="AA269" s="174"/>
    </row>
    <row r="270" customFormat="false" ht="15.75" hidden="false" customHeight="false" outlineLevel="0" collapsed="false">
      <c r="A270" s="174" t="str">
        <f aca="false">IF(ISBLANK(B270),"",B270&amp;"|"&amp;C270)</f>
        <v/>
      </c>
      <c r="B270" s="174"/>
      <c r="C270" s="174"/>
      <c r="D270" s="174"/>
      <c r="E270" s="179"/>
      <c r="F270" s="174"/>
      <c r="G270" s="174"/>
      <c r="H270" s="174"/>
      <c r="I270" s="174"/>
      <c r="J270" s="174"/>
      <c r="K270" s="174"/>
      <c r="L270" s="174"/>
      <c r="M270" s="174"/>
      <c r="N270" s="174"/>
      <c r="O270" s="174"/>
      <c r="P270" s="174"/>
      <c r="Q270" s="174"/>
      <c r="R270" s="174"/>
      <c r="S270" s="174"/>
      <c r="T270" s="174"/>
      <c r="U270" s="174"/>
      <c r="V270" s="174"/>
      <c r="W270" s="174"/>
      <c r="X270" s="174"/>
      <c r="Y270" s="174"/>
      <c r="Z270" s="174"/>
      <c r="AA270" s="174"/>
    </row>
    <row r="271" customFormat="false" ht="15.75" hidden="false" customHeight="false" outlineLevel="0" collapsed="false">
      <c r="A271" s="174" t="str">
        <f aca="false">IF(ISBLANK(B271),"",B271&amp;"|"&amp;C271)</f>
        <v/>
      </c>
      <c r="B271" s="174"/>
      <c r="C271" s="174"/>
      <c r="D271" s="174"/>
      <c r="E271" s="179"/>
      <c r="F271" s="174"/>
      <c r="G271" s="174"/>
      <c r="H271" s="174"/>
      <c r="I271" s="174"/>
      <c r="J271" s="174"/>
      <c r="K271" s="174"/>
      <c r="L271" s="174"/>
      <c r="M271" s="174"/>
      <c r="N271" s="174"/>
      <c r="O271" s="174"/>
      <c r="P271" s="174"/>
      <c r="Q271" s="174"/>
      <c r="R271" s="174"/>
      <c r="S271" s="174"/>
      <c r="T271" s="174"/>
      <c r="U271" s="174"/>
      <c r="V271" s="174"/>
      <c r="W271" s="174"/>
      <c r="X271" s="174"/>
      <c r="Y271" s="174"/>
      <c r="Z271" s="174"/>
      <c r="AA271" s="174"/>
    </row>
    <row r="272" customFormat="false" ht="15.75" hidden="false" customHeight="false" outlineLevel="0" collapsed="false">
      <c r="A272" s="174" t="str">
        <f aca="false">IF(ISBLANK(B272),"",B272&amp;"|"&amp;C272)</f>
        <v/>
      </c>
      <c r="B272" s="174"/>
      <c r="C272" s="174"/>
      <c r="D272" s="174"/>
      <c r="E272" s="179"/>
      <c r="F272" s="174"/>
      <c r="G272" s="174"/>
      <c r="H272" s="174"/>
      <c r="I272" s="174"/>
      <c r="J272" s="174"/>
      <c r="K272" s="174"/>
      <c r="L272" s="174"/>
      <c r="M272" s="174"/>
      <c r="N272" s="174"/>
      <c r="O272" s="174"/>
      <c r="P272" s="174"/>
      <c r="Q272" s="174"/>
      <c r="R272" s="174"/>
      <c r="S272" s="174"/>
      <c r="T272" s="174"/>
      <c r="U272" s="174"/>
      <c r="V272" s="174"/>
      <c r="W272" s="174"/>
      <c r="X272" s="174"/>
      <c r="Y272" s="174"/>
      <c r="Z272" s="174"/>
      <c r="AA272" s="174"/>
    </row>
    <row r="273" customFormat="false" ht="15.75" hidden="false" customHeight="false" outlineLevel="0" collapsed="false">
      <c r="A273" s="174" t="str">
        <f aca="false">IF(ISBLANK(B273),"",B273&amp;"|"&amp;C273)</f>
        <v/>
      </c>
      <c r="B273" s="174"/>
      <c r="C273" s="174"/>
      <c r="D273" s="174"/>
      <c r="E273" s="179"/>
      <c r="F273" s="174"/>
      <c r="G273" s="174"/>
      <c r="H273" s="174"/>
      <c r="I273" s="174"/>
      <c r="J273" s="174"/>
      <c r="K273" s="174"/>
      <c r="L273" s="174"/>
      <c r="M273" s="174"/>
      <c r="N273" s="174"/>
      <c r="O273" s="174"/>
      <c r="P273" s="174"/>
      <c r="Q273" s="174"/>
      <c r="R273" s="174"/>
      <c r="S273" s="174"/>
      <c r="T273" s="174"/>
      <c r="U273" s="174"/>
      <c r="V273" s="174"/>
      <c r="W273" s="174"/>
      <c r="X273" s="174"/>
      <c r="Y273" s="174"/>
      <c r="Z273" s="174"/>
      <c r="AA273" s="174"/>
    </row>
    <row r="274" customFormat="false" ht="15.75" hidden="false" customHeight="false" outlineLevel="0" collapsed="false">
      <c r="A274" s="174" t="str">
        <f aca="false">IF(ISBLANK(B274),"",B274&amp;"|"&amp;C274)</f>
        <v/>
      </c>
      <c r="B274" s="174"/>
      <c r="C274" s="174"/>
      <c r="D274" s="174"/>
      <c r="E274" s="179"/>
      <c r="F274" s="174"/>
      <c r="G274" s="174"/>
      <c r="H274" s="174"/>
      <c r="I274" s="174"/>
      <c r="J274" s="174"/>
      <c r="K274" s="174"/>
      <c r="L274" s="174"/>
      <c r="M274" s="174"/>
      <c r="N274" s="174"/>
      <c r="O274" s="174"/>
      <c r="P274" s="174"/>
      <c r="Q274" s="174"/>
      <c r="R274" s="174"/>
      <c r="S274" s="174"/>
      <c r="T274" s="174"/>
      <c r="U274" s="174"/>
      <c r="V274" s="174"/>
      <c r="W274" s="174"/>
      <c r="X274" s="174"/>
      <c r="Y274" s="174"/>
      <c r="Z274" s="174"/>
      <c r="AA274" s="174"/>
    </row>
    <row r="275" customFormat="false" ht="15.75" hidden="false" customHeight="false" outlineLevel="0" collapsed="false">
      <c r="A275" s="174" t="str">
        <f aca="false">IF(ISBLANK(B275),"",B275&amp;"|"&amp;C275)</f>
        <v/>
      </c>
      <c r="B275" s="174"/>
      <c r="C275" s="174"/>
      <c r="D275" s="174"/>
      <c r="E275" s="179"/>
      <c r="F275" s="174"/>
      <c r="G275" s="174"/>
      <c r="H275" s="174"/>
      <c r="I275" s="174"/>
      <c r="J275" s="174"/>
      <c r="K275" s="174"/>
      <c r="L275" s="174"/>
      <c r="M275" s="174"/>
      <c r="N275" s="174"/>
      <c r="O275" s="174"/>
      <c r="P275" s="174"/>
      <c r="Q275" s="174"/>
      <c r="R275" s="174"/>
      <c r="S275" s="174"/>
      <c r="T275" s="174"/>
      <c r="U275" s="174"/>
      <c r="V275" s="174"/>
      <c r="W275" s="174"/>
      <c r="X275" s="174"/>
      <c r="Y275" s="174"/>
      <c r="Z275" s="174"/>
      <c r="AA275" s="174"/>
    </row>
    <row r="276" customFormat="false" ht="15.75" hidden="false" customHeight="false" outlineLevel="0" collapsed="false">
      <c r="A276" s="174" t="str">
        <f aca="false">IF(ISBLANK(B276),"",B276&amp;"|"&amp;C276)</f>
        <v/>
      </c>
      <c r="B276" s="174"/>
      <c r="C276" s="174"/>
      <c r="D276" s="174"/>
      <c r="E276" s="179"/>
      <c r="F276" s="174"/>
      <c r="G276" s="174"/>
      <c r="H276" s="174"/>
      <c r="I276" s="174"/>
      <c r="J276" s="174"/>
      <c r="K276" s="174"/>
      <c r="L276" s="174"/>
      <c r="M276" s="174"/>
      <c r="N276" s="174"/>
      <c r="O276" s="174"/>
      <c r="P276" s="174"/>
      <c r="Q276" s="174"/>
      <c r="R276" s="174"/>
      <c r="S276" s="174"/>
      <c r="T276" s="174"/>
      <c r="U276" s="174"/>
      <c r="V276" s="174"/>
      <c r="W276" s="174"/>
      <c r="X276" s="174"/>
      <c r="Y276" s="174"/>
      <c r="Z276" s="174"/>
      <c r="AA276" s="174"/>
    </row>
    <row r="277" customFormat="false" ht="15.75" hidden="false" customHeight="false" outlineLevel="0" collapsed="false">
      <c r="A277" s="174" t="str">
        <f aca="false">IF(ISBLANK(B277),"",B277&amp;"|"&amp;C277)</f>
        <v/>
      </c>
      <c r="B277" s="174"/>
      <c r="C277" s="174"/>
      <c r="D277" s="174"/>
      <c r="E277" s="179"/>
      <c r="F277" s="174"/>
      <c r="G277" s="174"/>
      <c r="H277" s="174"/>
      <c r="I277" s="174"/>
      <c r="J277" s="174"/>
      <c r="K277" s="174"/>
      <c r="L277" s="174"/>
      <c r="M277" s="174"/>
      <c r="N277" s="174"/>
      <c r="O277" s="174"/>
      <c r="P277" s="174"/>
      <c r="Q277" s="174"/>
      <c r="R277" s="174"/>
      <c r="S277" s="174"/>
      <c r="T277" s="174"/>
      <c r="U277" s="174"/>
      <c r="V277" s="174"/>
      <c r="W277" s="174"/>
      <c r="X277" s="174"/>
      <c r="Y277" s="174"/>
      <c r="Z277" s="174"/>
      <c r="AA277" s="174"/>
    </row>
    <row r="278" customFormat="false" ht="15.75" hidden="false" customHeight="false" outlineLevel="0" collapsed="false">
      <c r="A278" s="174" t="str">
        <f aca="false">IF(ISBLANK(B278),"",B278&amp;"|"&amp;C278)</f>
        <v/>
      </c>
      <c r="B278" s="174"/>
      <c r="C278" s="174"/>
      <c r="D278" s="174"/>
      <c r="E278" s="179"/>
      <c r="F278" s="174"/>
      <c r="G278" s="174"/>
      <c r="H278" s="174"/>
      <c r="I278" s="174"/>
      <c r="J278" s="174"/>
      <c r="K278" s="174"/>
      <c r="L278" s="174"/>
      <c r="M278" s="174"/>
      <c r="N278" s="174"/>
      <c r="O278" s="174"/>
      <c r="P278" s="174"/>
      <c r="Q278" s="174"/>
      <c r="R278" s="174"/>
      <c r="S278" s="174"/>
      <c r="T278" s="174"/>
      <c r="U278" s="174"/>
      <c r="V278" s="174"/>
      <c r="W278" s="174"/>
      <c r="X278" s="174"/>
      <c r="Y278" s="174"/>
      <c r="Z278" s="174"/>
      <c r="AA278" s="174"/>
    </row>
    <row r="279" customFormat="false" ht="15.75" hidden="false" customHeight="false" outlineLevel="0" collapsed="false">
      <c r="A279" s="174" t="str">
        <f aca="false">IF(ISBLANK(B279),"",B279&amp;"|"&amp;C279)</f>
        <v/>
      </c>
      <c r="B279" s="174"/>
      <c r="C279" s="174"/>
      <c r="D279" s="174"/>
      <c r="E279" s="179"/>
      <c r="F279" s="174"/>
      <c r="G279" s="174"/>
      <c r="H279" s="174"/>
      <c r="I279" s="174"/>
      <c r="J279" s="174"/>
      <c r="K279" s="174"/>
      <c r="L279" s="174"/>
      <c r="M279" s="174"/>
      <c r="N279" s="174"/>
      <c r="O279" s="174"/>
      <c r="P279" s="174"/>
      <c r="Q279" s="174"/>
      <c r="R279" s="174"/>
      <c r="S279" s="174"/>
      <c r="T279" s="174"/>
      <c r="U279" s="174"/>
      <c r="V279" s="174"/>
      <c r="W279" s="174"/>
      <c r="X279" s="174"/>
      <c r="Y279" s="174"/>
      <c r="Z279" s="174"/>
      <c r="AA279" s="174"/>
    </row>
    <row r="280" customFormat="false" ht="15.75" hidden="false" customHeight="false" outlineLevel="0" collapsed="false">
      <c r="A280" s="174" t="str">
        <f aca="false">IF(ISBLANK(B280),"",B280&amp;"|"&amp;C280)</f>
        <v/>
      </c>
      <c r="B280" s="174"/>
      <c r="C280" s="174"/>
      <c r="D280" s="174"/>
      <c r="E280" s="179"/>
      <c r="F280" s="174"/>
      <c r="G280" s="174"/>
      <c r="H280" s="174"/>
      <c r="I280" s="174"/>
      <c r="J280" s="174"/>
      <c r="K280" s="174"/>
      <c r="L280" s="174"/>
      <c r="M280" s="174"/>
      <c r="N280" s="174"/>
      <c r="O280" s="174"/>
      <c r="P280" s="174"/>
      <c r="Q280" s="174"/>
      <c r="R280" s="174"/>
      <c r="S280" s="174"/>
      <c r="T280" s="174"/>
      <c r="U280" s="174"/>
      <c r="V280" s="174"/>
      <c r="W280" s="174"/>
      <c r="X280" s="174"/>
      <c r="Y280" s="174"/>
      <c r="Z280" s="174"/>
      <c r="AA280" s="174"/>
    </row>
    <row r="281" customFormat="false" ht="15.75" hidden="false" customHeight="false" outlineLevel="0" collapsed="false">
      <c r="A281" s="174" t="str">
        <f aca="false">IF(ISBLANK(B281),"",B281&amp;"|"&amp;C281)</f>
        <v/>
      </c>
      <c r="B281" s="174"/>
      <c r="C281" s="174"/>
      <c r="D281" s="174"/>
      <c r="E281" s="179"/>
      <c r="F281" s="174"/>
      <c r="G281" s="174"/>
      <c r="H281" s="174"/>
      <c r="I281" s="174"/>
      <c r="J281" s="174"/>
      <c r="K281" s="174"/>
      <c r="L281" s="174"/>
      <c r="M281" s="174"/>
      <c r="N281" s="174"/>
      <c r="O281" s="174"/>
      <c r="P281" s="174"/>
      <c r="Q281" s="174"/>
      <c r="R281" s="174"/>
      <c r="S281" s="174"/>
      <c r="T281" s="174"/>
      <c r="U281" s="174"/>
      <c r="V281" s="174"/>
      <c r="W281" s="174"/>
      <c r="X281" s="174"/>
      <c r="Y281" s="174"/>
      <c r="Z281" s="174"/>
      <c r="AA281" s="174"/>
    </row>
    <row r="282" customFormat="false" ht="15.75" hidden="false" customHeight="false" outlineLevel="0" collapsed="false">
      <c r="A282" s="174" t="str">
        <f aca="false">IF(ISBLANK(B282),"",B282&amp;"|"&amp;C282)</f>
        <v/>
      </c>
      <c r="B282" s="174"/>
      <c r="C282" s="174"/>
      <c r="D282" s="174"/>
      <c r="E282" s="179"/>
      <c r="F282" s="174"/>
      <c r="G282" s="174"/>
      <c r="H282" s="174"/>
      <c r="I282" s="174"/>
      <c r="J282" s="174"/>
      <c r="K282" s="174"/>
      <c r="L282" s="174"/>
      <c r="M282" s="174"/>
      <c r="N282" s="174"/>
      <c r="O282" s="174"/>
      <c r="P282" s="174"/>
      <c r="Q282" s="174"/>
      <c r="R282" s="174"/>
      <c r="S282" s="174"/>
      <c r="T282" s="174"/>
      <c r="U282" s="174"/>
      <c r="V282" s="174"/>
      <c r="W282" s="174"/>
      <c r="X282" s="174"/>
      <c r="Y282" s="174"/>
      <c r="Z282" s="174"/>
      <c r="AA282" s="174"/>
    </row>
    <row r="283" customFormat="false" ht="15.75" hidden="false" customHeight="false" outlineLevel="0" collapsed="false">
      <c r="A283" s="174" t="str">
        <f aca="false">IF(ISBLANK(B283),"",B283&amp;"|"&amp;C283)</f>
        <v/>
      </c>
      <c r="B283" s="174"/>
      <c r="C283" s="174"/>
      <c r="D283" s="174"/>
      <c r="E283" s="179"/>
      <c r="F283" s="174"/>
      <c r="G283" s="174"/>
      <c r="H283" s="174"/>
      <c r="I283" s="174"/>
      <c r="J283" s="174"/>
      <c r="K283" s="174"/>
      <c r="L283" s="174"/>
      <c r="M283" s="174"/>
      <c r="N283" s="174"/>
      <c r="O283" s="174"/>
      <c r="P283" s="174"/>
      <c r="Q283" s="174"/>
      <c r="R283" s="174"/>
      <c r="S283" s="174"/>
      <c r="T283" s="174"/>
      <c r="U283" s="174"/>
      <c r="V283" s="174"/>
      <c r="W283" s="174"/>
      <c r="X283" s="174"/>
      <c r="Y283" s="174"/>
      <c r="Z283" s="174"/>
      <c r="AA283" s="174"/>
    </row>
    <row r="284" customFormat="false" ht="15.75" hidden="false" customHeight="false" outlineLevel="0" collapsed="false">
      <c r="A284" s="174" t="str">
        <f aca="false">IF(ISBLANK(B284),"",B284&amp;"|"&amp;C284)</f>
        <v/>
      </c>
      <c r="B284" s="174"/>
      <c r="C284" s="174"/>
      <c r="D284" s="174"/>
      <c r="E284" s="179"/>
      <c r="F284" s="174"/>
      <c r="G284" s="174"/>
      <c r="H284" s="174"/>
      <c r="I284" s="174"/>
      <c r="J284" s="174"/>
      <c r="K284" s="174"/>
      <c r="L284" s="174"/>
      <c r="M284" s="174"/>
      <c r="N284" s="174"/>
      <c r="O284" s="174"/>
      <c r="P284" s="174"/>
      <c r="Q284" s="174"/>
      <c r="R284" s="174"/>
      <c r="S284" s="174"/>
      <c r="T284" s="174"/>
      <c r="U284" s="174"/>
      <c r="V284" s="174"/>
      <c r="W284" s="174"/>
      <c r="X284" s="174"/>
      <c r="Y284" s="174"/>
      <c r="Z284" s="174"/>
      <c r="AA284" s="174"/>
    </row>
    <row r="285" customFormat="false" ht="15.75" hidden="false" customHeight="false" outlineLevel="0" collapsed="false">
      <c r="A285" s="174" t="str">
        <f aca="false">IF(ISBLANK(B285),"",B285&amp;"|"&amp;C285)</f>
        <v/>
      </c>
      <c r="B285" s="174"/>
      <c r="C285" s="174"/>
      <c r="D285" s="174"/>
      <c r="E285" s="179"/>
      <c r="F285" s="174"/>
      <c r="G285" s="174"/>
      <c r="H285" s="174"/>
      <c r="I285" s="174"/>
      <c r="J285" s="174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4"/>
      <c r="V285" s="174"/>
      <c r="W285" s="174"/>
      <c r="X285" s="174"/>
      <c r="Y285" s="174"/>
      <c r="Z285" s="174"/>
      <c r="AA285" s="174"/>
    </row>
    <row r="286" customFormat="false" ht="15.75" hidden="false" customHeight="false" outlineLevel="0" collapsed="false">
      <c r="A286" s="174" t="str">
        <f aca="false">IF(ISBLANK(B286),"",B286&amp;"|"&amp;C286)</f>
        <v/>
      </c>
      <c r="B286" s="174"/>
      <c r="C286" s="174"/>
      <c r="D286" s="174"/>
      <c r="E286" s="179"/>
      <c r="F286" s="174"/>
      <c r="G286" s="174"/>
      <c r="H286" s="174"/>
      <c r="I286" s="174"/>
      <c r="J286" s="174"/>
      <c r="K286" s="174"/>
      <c r="L286" s="174"/>
      <c r="M286" s="174"/>
      <c r="N286" s="174"/>
      <c r="O286" s="174"/>
      <c r="P286" s="174"/>
      <c r="Q286" s="174"/>
      <c r="R286" s="174"/>
      <c r="S286" s="174"/>
      <c r="T286" s="174"/>
      <c r="U286" s="174"/>
      <c r="V286" s="174"/>
      <c r="W286" s="174"/>
      <c r="X286" s="174"/>
      <c r="Y286" s="174"/>
      <c r="Z286" s="174"/>
      <c r="AA286" s="174"/>
    </row>
    <row r="287" customFormat="false" ht="15.75" hidden="false" customHeight="false" outlineLevel="0" collapsed="false">
      <c r="A287" s="174" t="str">
        <f aca="false">IF(ISBLANK(B287),"",B287&amp;"|"&amp;C287)</f>
        <v/>
      </c>
      <c r="B287" s="174"/>
      <c r="C287" s="174"/>
      <c r="D287" s="174"/>
      <c r="E287" s="179"/>
      <c r="F287" s="174"/>
      <c r="G287" s="174"/>
      <c r="H287" s="174"/>
      <c r="I287" s="174"/>
      <c r="J287" s="174"/>
      <c r="K287" s="174"/>
      <c r="L287" s="174"/>
      <c r="M287" s="174"/>
      <c r="N287" s="174"/>
      <c r="O287" s="174"/>
      <c r="P287" s="174"/>
      <c r="Q287" s="174"/>
      <c r="R287" s="174"/>
      <c r="S287" s="174"/>
      <c r="T287" s="174"/>
      <c r="U287" s="174"/>
      <c r="V287" s="174"/>
      <c r="W287" s="174"/>
      <c r="X287" s="174"/>
      <c r="Y287" s="174"/>
      <c r="Z287" s="174"/>
      <c r="AA287" s="174"/>
    </row>
    <row r="288" customFormat="false" ht="15.75" hidden="false" customHeight="false" outlineLevel="0" collapsed="false">
      <c r="A288" s="174" t="str">
        <f aca="false">IF(ISBLANK(B288),"",B288&amp;"|"&amp;C288)</f>
        <v/>
      </c>
      <c r="B288" s="174"/>
      <c r="C288" s="174"/>
      <c r="D288" s="174"/>
      <c r="E288" s="179"/>
      <c r="F288" s="174"/>
      <c r="G288" s="174"/>
      <c r="H288" s="174"/>
      <c r="I288" s="174"/>
      <c r="J288" s="174"/>
      <c r="K288" s="174"/>
      <c r="L288" s="174"/>
      <c r="M288" s="174"/>
      <c r="N288" s="174"/>
      <c r="O288" s="174"/>
      <c r="P288" s="174"/>
      <c r="Q288" s="174"/>
      <c r="R288" s="174"/>
      <c r="S288" s="174"/>
      <c r="T288" s="174"/>
      <c r="U288" s="174"/>
      <c r="V288" s="174"/>
      <c r="W288" s="174"/>
      <c r="X288" s="174"/>
      <c r="Y288" s="174"/>
      <c r="Z288" s="174"/>
      <c r="AA288" s="174"/>
    </row>
    <row r="289" customFormat="false" ht="15.75" hidden="false" customHeight="false" outlineLevel="0" collapsed="false">
      <c r="A289" s="174" t="str">
        <f aca="false">IF(ISBLANK(B289),"",B289&amp;"|"&amp;C289)</f>
        <v/>
      </c>
      <c r="B289" s="174"/>
      <c r="C289" s="174"/>
      <c r="D289" s="174"/>
      <c r="E289" s="179"/>
      <c r="F289" s="174"/>
      <c r="G289" s="174"/>
      <c r="H289" s="174"/>
      <c r="I289" s="174"/>
      <c r="J289" s="174"/>
      <c r="K289" s="174"/>
      <c r="L289" s="174"/>
      <c r="M289" s="174"/>
      <c r="N289" s="174"/>
      <c r="O289" s="174"/>
      <c r="P289" s="174"/>
      <c r="Q289" s="174"/>
      <c r="R289" s="174"/>
      <c r="S289" s="174"/>
      <c r="T289" s="174"/>
      <c r="U289" s="174"/>
      <c r="V289" s="174"/>
      <c r="W289" s="174"/>
      <c r="X289" s="174"/>
      <c r="Y289" s="174"/>
      <c r="Z289" s="174"/>
      <c r="AA289" s="174"/>
    </row>
    <row r="290" customFormat="false" ht="15.75" hidden="false" customHeight="false" outlineLevel="0" collapsed="false">
      <c r="A290" s="174" t="str">
        <f aca="false">IF(ISBLANK(B290),"",B290&amp;"|"&amp;C290)</f>
        <v/>
      </c>
      <c r="B290" s="174"/>
      <c r="C290" s="174"/>
      <c r="D290" s="174"/>
      <c r="E290" s="179"/>
      <c r="F290" s="174"/>
      <c r="G290" s="174"/>
      <c r="H290" s="174"/>
      <c r="I290" s="174"/>
      <c r="J290" s="174"/>
      <c r="K290" s="174"/>
      <c r="L290" s="174"/>
      <c r="M290" s="174"/>
      <c r="N290" s="174"/>
      <c r="O290" s="174"/>
      <c r="P290" s="174"/>
      <c r="Q290" s="174"/>
      <c r="R290" s="174"/>
      <c r="S290" s="174"/>
      <c r="T290" s="174"/>
      <c r="U290" s="174"/>
      <c r="V290" s="174"/>
      <c r="W290" s="174"/>
      <c r="X290" s="174"/>
      <c r="Y290" s="174"/>
      <c r="Z290" s="174"/>
      <c r="AA290" s="174"/>
    </row>
    <row r="291" customFormat="false" ht="15.75" hidden="false" customHeight="false" outlineLevel="0" collapsed="false">
      <c r="A291" s="174" t="str">
        <f aca="false">IF(ISBLANK(B291),"",B291&amp;"|"&amp;C291)</f>
        <v/>
      </c>
      <c r="B291" s="174"/>
      <c r="C291" s="174"/>
      <c r="D291" s="174"/>
      <c r="E291" s="179"/>
      <c r="F291" s="174"/>
      <c r="G291" s="174"/>
      <c r="H291" s="174"/>
      <c r="I291" s="174"/>
      <c r="J291" s="174"/>
      <c r="K291" s="174"/>
      <c r="L291" s="174"/>
      <c r="M291" s="174"/>
      <c r="N291" s="174"/>
      <c r="O291" s="174"/>
      <c r="P291" s="174"/>
      <c r="Q291" s="174"/>
      <c r="R291" s="174"/>
      <c r="S291" s="174"/>
      <c r="T291" s="174"/>
      <c r="U291" s="174"/>
      <c r="V291" s="174"/>
      <c r="W291" s="174"/>
      <c r="X291" s="174"/>
      <c r="Y291" s="174"/>
      <c r="Z291" s="174"/>
      <c r="AA291" s="174"/>
    </row>
    <row r="292" customFormat="false" ht="15.75" hidden="false" customHeight="false" outlineLevel="0" collapsed="false">
      <c r="A292" s="174" t="str">
        <f aca="false">IF(ISBLANK(B292),"",B292&amp;"|"&amp;C292)</f>
        <v/>
      </c>
      <c r="B292" s="174"/>
      <c r="C292" s="174"/>
      <c r="D292" s="174"/>
      <c r="E292" s="179"/>
      <c r="F292" s="174"/>
      <c r="G292" s="174"/>
      <c r="H292" s="174"/>
      <c r="I292" s="174"/>
      <c r="J292" s="174"/>
      <c r="K292" s="174"/>
      <c r="L292" s="174"/>
      <c r="M292" s="174"/>
      <c r="N292" s="174"/>
      <c r="O292" s="174"/>
      <c r="P292" s="174"/>
      <c r="Q292" s="174"/>
      <c r="R292" s="174"/>
      <c r="S292" s="174"/>
      <c r="T292" s="174"/>
      <c r="U292" s="174"/>
      <c r="V292" s="174"/>
      <c r="W292" s="174"/>
      <c r="X292" s="174"/>
      <c r="Y292" s="174"/>
      <c r="Z292" s="174"/>
      <c r="AA292" s="174"/>
    </row>
    <row r="293" customFormat="false" ht="15.75" hidden="false" customHeight="false" outlineLevel="0" collapsed="false">
      <c r="A293" s="174" t="str">
        <f aca="false">IF(ISBLANK(B293),"",B293&amp;"|"&amp;C293)</f>
        <v/>
      </c>
      <c r="B293" s="174"/>
      <c r="C293" s="174"/>
      <c r="D293" s="174"/>
      <c r="E293" s="179"/>
      <c r="F293" s="174"/>
      <c r="G293" s="174"/>
      <c r="H293" s="174"/>
      <c r="I293" s="174"/>
      <c r="J293" s="174"/>
      <c r="K293" s="174"/>
      <c r="L293" s="174"/>
      <c r="M293" s="174"/>
      <c r="N293" s="174"/>
      <c r="O293" s="174"/>
      <c r="P293" s="174"/>
      <c r="Q293" s="174"/>
      <c r="R293" s="174"/>
      <c r="S293" s="174"/>
      <c r="T293" s="174"/>
      <c r="U293" s="174"/>
      <c r="V293" s="174"/>
      <c r="W293" s="174"/>
      <c r="X293" s="174"/>
      <c r="Y293" s="174"/>
      <c r="Z293" s="174"/>
      <c r="AA293" s="174"/>
    </row>
    <row r="294" customFormat="false" ht="15.75" hidden="false" customHeight="false" outlineLevel="0" collapsed="false">
      <c r="A294" s="174" t="str">
        <f aca="false">IF(ISBLANK(B294),"",B294&amp;"|"&amp;C294)</f>
        <v/>
      </c>
      <c r="B294" s="174"/>
      <c r="C294" s="174"/>
      <c r="D294" s="174"/>
      <c r="E294" s="179"/>
      <c r="F294" s="174"/>
      <c r="G294" s="174"/>
      <c r="H294" s="174"/>
      <c r="I294" s="174"/>
      <c r="J294" s="174"/>
      <c r="K294" s="174"/>
      <c r="L294" s="174"/>
      <c r="M294" s="174"/>
      <c r="N294" s="174"/>
      <c r="O294" s="174"/>
      <c r="P294" s="174"/>
      <c r="Q294" s="174"/>
      <c r="R294" s="174"/>
      <c r="S294" s="174"/>
      <c r="T294" s="174"/>
      <c r="U294" s="174"/>
      <c r="V294" s="174"/>
      <c r="W294" s="174"/>
      <c r="X294" s="174"/>
      <c r="Y294" s="174"/>
      <c r="Z294" s="174"/>
      <c r="AA294" s="174"/>
    </row>
    <row r="295" customFormat="false" ht="15.75" hidden="false" customHeight="false" outlineLevel="0" collapsed="false">
      <c r="A295" s="174" t="str">
        <f aca="false">IF(ISBLANK(B295),"",B295&amp;"|"&amp;C295)</f>
        <v/>
      </c>
      <c r="B295" s="174"/>
      <c r="C295" s="174"/>
      <c r="D295" s="174"/>
      <c r="E295" s="179"/>
      <c r="F295" s="174"/>
      <c r="G295" s="174"/>
      <c r="H295" s="174"/>
      <c r="I295" s="174"/>
      <c r="J295" s="174"/>
      <c r="K295" s="174"/>
      <c r="L295" s="174"/>
      <c r="M295" s="174"/>
      <c r="N295" s="174"/>
      <c r="O295" s="174"/>
      <c r="P295" s="174"/>
      <c r="Q295" s="174"/>
      <c r="R295" s="174"/>
      <c r="S295" s="174"/>
      <c r="T295" s="174"/>
      <c r="U295" s="174"/>
      <c r="V295" s="174"/>
      <c r="W295" s="174"/>
      <c r="X295" s="174"/>
      <c r="Y295" s="174"/>
      <c r="Z295" s="174"/>
      <c r="AA295" s="174"/>
    </row>
    <row r="296" customFormat="false" ht="15.75" hidden="false" customHeight="false" outlineLevel="0" collapsed="false">
      <c r="A296" s="174" t="str">
        <f aca="false">IF(ISBLANK(B296),"",B296&amp;"|"&amp;C296)</f>
        <v/>
      </c>
      <c r="B296" s="174"/>
      <c r="C296" s="174"/>
      <c r="D296" s="174"/>
      <c r="E296" s="179"/>
      <c r="F296" s="174"/>
      <c r="G296" s="174"/>
      <c r="H296" s="174"/>
      <c r="I296" s="174"/>
      <c r="J296" s="174"/>
      <c r="K296" s="174"/>
      <c r="L296" s="174"/>
      <c r="M296" s="174"/>
      <c r="N296" s="174"/>
      <c r="O296" s="174"/>
      <c r="P296" s="174"/>
      <c r="Q296" s="174"/>
      <c r="R296" s="174"/>
      <c r="S296" s="174"/>
      <c r="T296" s="174"/>
      <c r="U296" s="174"/>
      <c r="V296" s="174"/>
      <c r="W296" s="174"/>
      <c r="X296" s="174"/>
      <c r="Y296" s="174"/>
      <c r="Z296" s="174"/>
      <c r="AA296" s="174"/>
    </row>
    <row r="297" customFormat="false" ht="15.75" hidden="false" customHeight="false" outlineLevel="0" collapsed="false">
      <c r="A297" s="174" t="str">
        <f aca="false">IF(ISBLANK(B297),"",B297&amp;"|"&amp;C297)</f>
        <v/>
      </c>
      <c r="B297" s="174"/>
      <c r="C297" s="174"/>
      <c r="D297" s="174"/>
      <c r="E297" s="179"/>
      <c r="F297" s="174"/>
      <c r="G297" s="174"/>
      <c r="H297" s="174"/>
      <c r="I297" s="174"/>
      <c r="J297" s="174"/>
      <c r="K297" s="174"/>
      <c r="L297" s="174"/>
      <c r="M297" s="174"/>
      <c r="N297" s="174"/>
      <c r="O297" s="174"/>
      <c r="P297" s="174"/>
      <c r="Q297" s="174"/>
      <c r="R297" s="174"/>
      <c r="S297" s="174"/>
      <c r="T297" s="174"/>
      <c r="U297" s="174"/>
      <c r="V297" s="174"/>
      <c r="W297" s="174"/>
      <c r="X297" s="174"/>
      <c r="Y297" s="174"/>
      <c r="Z297" s="174"/>
      <c r="AA297" s="174"/>
    </row>
    <row r="298" customFormat="false" ht="15.75" hidden="false" customHeight="false" outlineLevel="0" collapsed="false">
      <c r="A298" s="174" t="str">
        <f aca="false">IF(ISBLANK(B298),"",B298&amp;"|"&amp;C298)</f>
        <v/>
      </c>
      <c r="B298" s="174"/>
      <c r="C298" s="174"/>
      <c r="D298" s="174"/>
      <c r="E298" s="179"/>
      <c r="F298" s="174"/>
      <c r="G298" s="174"/>
      <c r="H298" s="174"/>
      <c r="I298" s="174"/>
      <c r="J298" s="174"/>
      <c r="K298" s="174"/>
      <c r="L298" s="174"/>
      <c r="M298" s="174"/>
      <c r="N298" s="174"/>
      <c r="O298" s="174"/>
      <c r="P298" s="174"/>
      <c r="Q298" s="174"/>
      <c r="R298" s="174"/>
      <c r="S298" s="174"/>
      <c r="T298" s="174"/>
      <c r="U298" s="174"/>
      <c r="V298" s="174"/>
      <c r="W298" s="174"/>
      <c r="X298" s="174"/>
      <c r="Y298" s="174"/>
      <c r="Z298" s="174"/>
      <c r="AA298" s="174"/>
    </row>
    <row r="299" customFormat="false" ht="15.75" hidden="false" customHeight="false" outlineLevel="0" collapsed="false">
      <c r="A299" s="174" t="str">
        <f aca="false">IF(ISBLANK(B299),"",B299&amp;"|"&amp;C299)</f>
        <v/>
      </c>
      <c r="B299" s="174"/>
      <c r="C299" s="174"/>
      <c r="D299" s="174"/>
      <c r="E299" s="179"/>
      <c r="F299" s="174"/>
      <c r="G299" s="174"/>
      <c r="H299" s="174"/>
      <c r="I299" s="174"/>
      <c r="J299" s="174"/>
      <c r="K299" s="174"/>
      <c r="L299" s="174"/>
      <c r="M299" s="174"/>
      <c r="N299" s="174"/>
      <c r="O299" s="174"/>
      <c r="P299" s="174"/>
      <c r="Q299" s="174"/>
      <c r="R299" s="174"/>
      <c r="S299" s="174"/>
      <c r="T299" s="174"/>
      <c r="U299" s="174"/>
      <c r="V299" s="174"/>
      <c r="W299" s="174"/>
      <c r="X299" s="174"/>
      <c r="Y299" s="174"/>
      <c r="Z299" s="174"/>
      <c r="AA299" s="174"/>
    </row>
    <row r="300" customFormat="false" ht="15.75" hidden="false" customHeight="false" outlineLevel="0" collapsed="false">
      <c r="A300" s="174" t="str">
        <f aca="false">IF(ISBLANK(B300),"",B300&amp;"|"&amp;C300)</f>
        <v/>
      </c>
      <c r="B300" s="174"/>
      <c r="C300" s="174"/>
      <c r="D300" s="174"/>
      <c r="E300" s="179"/>
      <c r="F300" s="174"/>
      <c r="G300" s="174"/>
      <c r="H300" s="174"/>
      <c r="I300" s="174"/>
      <c r="J300" s="174"/>
      <c r="K300" s="174"/>
      <c r="L300" s="174"/>
      <c r="M300" s="174"/>
      <c r="N300" s="174"/>
      <c r="O300" s="174"/>
      <c r="P300" s="174"/>
      <c r="Q300" s="174"/>
      <c r="R300" s="174"/>
      <c r="S300" s="174"/>
      <c r="T300" s="174"/>
      <c r="U300" s="174"/>
      <c r="V300" s="174"/>
      <c r="W300" s="174"/>
      <c r="X300" s="174"/>
      <c r="Y300" s="174"/>
      <c r="Z300" s="174"/>
      <c r="AA300" s="174"/>
    </row>
    <row r="301" customFormat="false" ht="15.75" hidden="false" customHeight="false" outlineLevel="0" collapsed="false">
      <c r="A301" s="174" t="str">
        <f aca="false">IF(ISBLANK(B301),"",B301&amp;"|"&amp;C301)</f>
        <v/>
      </c>
      <c r="B301" s="174"/>
      <c r="C301" s="174"/>
      <c r="D301" s="174"/>
      <c r="E301" s="179"/>
      <c r="F301" s="174"/>
      <c r="G301" s="174"/>
      <c r="H301" s="174"/>
      <c r="I301" s="174"/>
      <c r="J301" s="174"/>
      <c r="K301" s="174"/>
      <c r="L301" s="174"/>
      <c r="M301" s="174"/>
      <c r="N301" s="174"/>
      <c r="O301" s="174"/>
      <c r="P301" s="174"/>
      <c r="Q301" s="174"/>
      <c r="R301" s="174"/>
      <c r="S301" s="174"/>
      <c r="T301" s="174"/>
      <c r="U301" s="174"/>
      <c r="V301" s="174"/>
      <c r="W301" s="174"/>
      <c r="X301" s="174"/>
      <c r="Y301" s="174"/>
      <c r="Z301" s="174"/>
      <c r="AA301" s="174"/>
    </row>
    <row r="302" customFormat="false" ht="15.75" hidden="false" customHeight="false" outlineLevel="0" collapsed="false">
      <c r="A302" s="174" t="str">
        <f aca="false">IF(ISBLANK(B302),"",B302&amp;"|"&amp;C302)</f>
        <v/>
      </c>
      <c r="B302" s="174"/>
      <c r="C302" s="174"/>
      <c r="D302" s="174"/>
      <c r="E302" s="179"/>
      <c r="F302" s="174"/>
      <c r="G302" s="174"/>
      <c r="H302" s="174"/>
      <c r="I302" s="174"/>
      <c r="J302" s="174"/>
      <c r="K302" s="174"/>
      <c r="L302" s="174"/>
      <c r="M302" s="174"/>
      <c r="N302" s="174"/>
      <c r="O302" s="174"/>
      <c r="P302" s="174"/>
      <c r="Q302" s="174"/>
      <c r="R302" s="174"/>
      <c r="S302" s="174"/>
      <c r="T302" s="174"/>
      <c r="U302" s="174"/>
      <c r="V302" s="174"/>
      <c r="W302" s="174"/>
      <c r="X302" s="174"/>
      <c r="Y302" s="174"/>
      <c r="Z302" s="174"/>
      <c r="AA302" s="174"/>
    </row>
    <row r="303" customFormat="false" ht="15.75" hidden="false" customHeight="false" outlineLevel="0" collapsed="false">
      <c r="A303" s="174" t="str">
        <f aca="false">IF(ISBLANK(B303),"",B303&amp;"|"&amp;C303)</f>
        <v/>
      </c>
      <c r="B303" s="174"/>
      <c r="C303" s="174"/>
      <c r="D303" s="174"/>
      <c r="E303" s="179"/>
      <c r="F303" s="174"/>
      <c r="G303" s="174"/>
      <c r="H303" s="174"/>
      <c r="I303" s="174"/>
      <c r="J303" s="174"/>
      <c r="K303" s="174"/>
      <c r="L303" s="174"/>
      <c r="M303" s="174"/>
      <c r="N303" s="174"/>
      <c r="O303" s="174"/>
      <c r="P303" s="174"/>
      <c r="Q303" s="174"/>
      <c r="R303" s="174"/>
      <c r="S303" s="174"/>
      <c r="T303" s="174"/>
      <c r="U303" s="174"/>
      <c r="V303" s="174"/>
      <c r="W303" s="174"/>
      <c r="X303" s="174"/>
      <c r="Y303" s="174"/>
      <c r="Z303" s="174"/>
      <c r="AA303" s="174"/>
    </row>
    <row r="304" customFormat="false" ht="15.75" hidden="false" customHeight="false" outlineLevel="0" collapsed="false">
      <c r="A304" s="174" t="str">
        <f aca="false">IF(ISBLANK(B304),"",B304&amp;"|"&amp;C304)</f>
        <v/>
      </c>
      <c r="B304" s="174"/>
      <c r="C304" s="174"/>
      <c r="D304" s="174"/>
      <c r="E304" s="179"/>
      <c r="F304" s="174"/>
      <c r="G304" s="174"/>
      <c r="H304" s="174"/>
      <c r="I304" s="174"/>
      <c r="J304" s="174"/>
      <c r="K304" s="174"/>
      <c r="L304" s="174"/>
      <c r="M304" s="174"/>
      <c r="N304" s="174"/>
      <c r="O304" s="174"/>
      <c r="P304" s="174"/>
      <c r="Q304" s="174"/>
      <c r="R304" s="174"/>
      <c r="S304" s="174"/>
      <c r="T304" s="174"/>
      <c r="U304" s="174"/>
      <c r="V304" s="174"/>
      <c r="W304" s="174"/>
      <c r="X304" s="174"/>
      <c r="Y304" s="174"/>
      <c r="Z304" s="174"/>
      <c r="AA304" s="174"/>
    </row>
    <row r="305" customFormat="false" ht="15.75" hidden="false" customHeight="false" outlineLevel="0" collapsed="false">
      <c r="A305" s="174" t="str">
        <f aca="false">IF(ISBLANK(B305),"",B305&amp;"|"&amp;C305)</f>
        <v/>
      </c>
      <c r="B305" s="174"/>
      <c r="C305" s="174"/>
      <c r="D305" s="174"/>
      <c r="E305" s="179"/>
      <c r="F305" s="174"/>
      <c r="G305" s="174"/>
      <c r="H305" s="174"/>
      <c r="I305" s="174"/>
      <c r="J305" s="174"/>
      <c r="K305" s="174"/>
      <c r="L305" s="174"/>
      <c r="M305" s="174"/>
      <c r="N305" s="174"/>
      <c r="O305" s="174"/>
      <c r="P305" s="174"/>
      <c r="Q305" s="174"/>
      <c r="R305" s="174"/>
      <c r="S305" s="174"/>
      <c r="T305" s="174"/>
      <c r="U305" s="174"/>
      <c r="V305" s="174"/>
      <c r="W305" s="174"/>
      <c r="X305" s="174"/>
      <c r="Y305" s="174"/>
      <c r="Z305" s="174"/>
      <c r="AA305" s="174"/>
    </row>
    <row r="306" customFormat="false" ht="15.75" hidden="false" customHeight="false" outlineLevel="0" collapsed="false">
      <c r="A306" s="174" t="str">
        <f aca="false">IF(ISBLANK(B306),"",B306&amp;"|"&amp;C306)</f>
        <v/>
      </c>
      <c r="B306" s="174"/>
      <c r="C306" s="174"/>
      <c r="D306" s="174"/>
      <c r="E306" s="179"/>
      <c r="F306" s="174"/>
      <c r="G306" s="174"/>
      <c r="H306" s="174"/>
      <c r="I306" s="174"/>
      <c r="J306" s="174"/>
      <c r="K306" s="174"/>
      <c r="L306" s="174"/>
      <c r="M306" s="174"/>
      <c r="N306" s="174"/>
      <c r="O306" s="174"/>
      <c r="P306" s="174"/>
      <c r="Q306" s="174"/>
      <c r="R306" s="174"/>
      <c r="S306" s="174"/>
      <c r="T306" s="174"/>
      <c r="U306" s="174"/>
      <c r="V306" s="174"/>
      <c r="W306" s="174"/>
      <c r="X306" s="174"/>
      <c r="Y306" s="174"/>
      <c r="Z306" s="174"/>
      <c r="AA306" s="174"/>
    </row>
    <row r="307" customFormat="false" ht="15.75" hidden="false" customHeight="false" outlineLevel="0" collapsed="false">
      <c r="A307" s="174" t="str">
        <f aca="false">IF(ISBLANK(B307),"",B307&amp;"|"&amp;C307)</f>
        <v/>
      </c>
      <c r="B307" s="174"/>
      <c r="C307" s="174"/>
      <c r="D307" s="174"/>
      <c r="E307" s="179"/>
      <c r="F307" s="174"/>
      <c r="G307" s="174"/>
      <c r="H307" s="174"/>
      <c r="I307" s="174"/>
      <c r="J307" s="174"/>
      <c r="K307" s="174"/>
      <c r="L307" s="174"/>
      <c r="M307" s="174"/>
      <c r="N307" s="174"/>
      <c r="O307" s="174"/>
      <c r="P307" s="174"/>
      <c r="Q307" s="174"/>
      <c r="R307" s="174"/>
      <c r="S307" s="174"/>
      <c r="T307" s="174"/>
      <c r="U307" s="174"/>
      <c r="V307" s="174"/>
      <c r="W307" s="174"/>
      <c r="X307" s="174"/>
      <c r="Y307" s="174"/>
      <c r="Z307" s="174"/>
      <c r="AA307" s="174"/>
    </row>
    <row r="308" customFormat="false" ht="15.75" hidden="false" customHeight="false" outlineLevel="0" collapsed="false">
      <c r="A308" s="174" t="str">
        <f aca="false">IF(ISBLANK(B308),"",B308&amp;"|"&amp;C308)</f>
        <v/>
      </c>
      <c r="B308" s="174"/>
      <c r="C308" s="174"/>
      <c r="D308" s="174"/>
      <c r="E308" s="179"/>
      <c r="F308" s="174"/>
      <c r="G308" s="174"/>
      <c r="H308" s="174"/>
      <c r="I308" s="174"/>
      <c r="J308" s="174"/>
      <c r="K308" s="174"/>
      <c r="L308" s="174"/>
      <c r="M308" s="174"/>
      <c r="N308" s="174"/>
      <c r="O308" s="174"/>
      <c r="P308" s="174"/>
      <c r="Q308" s="174"/>
      <c r="R308" s="174"/>
      <c r="S308" s="174"/>
      <c r="T308" s="174"/>
      <c r="U308" s="174"/>
      <c r="V308" s="174"/>
      <c r="W308" s="174"/>
      <c r="X308" s="174"/>
      <c r="Y308" s="174"/>
      <c r="Z308" s="174"/>
      <c r="AA308" s="174"/>
    </row>
    <row r="309" customFormat="false" ht="15.75" hidden="false" customHeight="false" outlineLevel="0" collapsed="false">
      <c r="A309" s="174" t="str">
        <f aca="false">IF(ISBLANK(B309),"",B309&amp;"|"&amp;C309)</f>
        <v/>
      </c>
      <c r="B309" s="174"/>
      <c r="C309" s="174"/>
      <c r="D309" s="174"/>
      <c r="E309" s="179"/>
      <c r="F309" s="174"/>
      <c r="G309" s="174"/>
      <c r="H309" s="174"/>
      <c r="I309" s="174"/>
      <c r="J309" s="174"/>
      <c r="K309" s="174"/>
      <c r="L309" s="174"/>
      <c r="M309" s="174"/>
      <c r="N309" s="174"/>
      <c r="O309" s="174"/>
      <c r="P309" s="174"/>
      <c r="Q309" s="174"/>
      <c r="R309" s="174"/>
      <c r="S309" s="174"/>
      <c r="T309" s="174"/>
      <c r="U309" s="174"/>
      <c r="V309" s="174"/>
      <c r="W309" s="174"/>
      <c r="X309" s="174"/>
      <c r="Y309" s="174"/>
      <c r="Z309" s="174"/>
      <c r="AA309" s="174"/>
    </row>
    <row r="310" customFormat="false" ht="15.75" hidden="false" customHeight="false" outlineLevel="0" collapsed="false">
      <c r="A310" s="174" t="str">
        <f aca="false">IF(ISBLANK(B310),"",B310&amp;"|"&amp;C310)</f>
        <v/>
      </c>
      <c r="B310" s="174"/>
      <c r="C310" s="174"/>
      <c r="D310" s="174"/>
      <c r="E310" s="179"/>
      <c r="F310" s="174"/>
      <c r="G310" s="174"/>
      <c r="H310" s="174"/>
      <c r="I310" s="174"/>
      <c r="J310" s="174"/>
      <c r="K310" s="174"/>
      <c r="L310" s="174"/>
      <c r="M310" s="174"/>
      <c r="N310" s="174"/>
      <c r="O310" s="174"/>
      <c r="P310" s="174"/>
      <c r="Q310" s="174"/>
      <c r="R310" s="174"/>
      <c r="S310" s="174"/>
      <c r="T310" s="174"/>
      <c r="U310" s="174"/>
      <c r="V310" s="174"/>
      <c r="W310" s="174"/>
      <c r="X310" s="174"/>
      <c r="Y310" s="174"/>
      <c r="Z310" s="174"/>
      <c r="AA310" s="174"/>
    </row>
    <row r="311" customFormat="false" ht="15.75" hidden="false" customHeight="false" outlineLevel="0" collapsed="false">
      <c r="A311" s="174" t="str">
        <f aca="false">IF(ISBLANK(B311),"",B311&amp;"|"&amp;C311)</f>
        <v/>
      </c>
      <c r="B311" s="174"/>
      <c r="C311" s="174"/>
      <c r="D311" s="174"/>
      <c r="E311" s="179"/>
      <c r="F311" s="174"/>
      <c r="G311" s="174"/>
      <c r="H311" s="174"/>
      <c r="I311" s="174"/>
      <c r="J311" s="174"/>
      <c r="K311" s="174"/>
      <c r="L311" s="174"/>
      <c r="M311" s="174"/>
      <c r="N311" s="174"/>
      <c r="O311" s="174"/>
      <c r="P311" s="174"/>
      <c r="Q311" s="174"/>
      <c r="R311" s="174"/>
      <c r="S311" s="174"/>
      <c r="T311" s="174"/>
      <c r="U311" s="174"/>
      <c r="V311" s="174"/>
      <c r="W311" s="174"/>
      <c r="X311" s="174"/>
      <c r="Y311" s="174"/>
      <c r="Z311" s="174"/>
      <c r="AA311" s="174"/>
    </row>
    <row r="312" customFormat="false" ht="15.75" hidden="false" customHeight="false" outlineLevel="0" collapsed="false">
      <c r="A312" s="174" t="str">
        <f aca="false">IF(ISBLANK(B312),"",B312&amp;"|"&amp;C312)</f>
        <v/>
      </c>
      <c r="B312" s="174"/>
      <c r="C312" s="174"/>
      <c r="D312" s="174"/>
      <c r="E312" s="179"/>
      <c r="F312" s="174"/>
      <c r="G312" s="174"/>
      <c r="H312" s="174"/>
      <c r="I312" s="174"/>
      <c r="J312" s="174"/>
      <c r="K312" s="174"/>
      <c r="L312" s="174"/>
      <c r="M312" s="174"/>
      <c r="N312" s="174"/>
      <c r="O312" s="174"/>
      <c r="P312" s="174"/>
      <c r="Q312" s="174"/>
      <c r="R312" s="174"/>
      <c r="S312" s="174"/>
      <c r="T312" s="174"/>
      <c r="U312" s="174"/>
      <c r="V312" s="174"/>
      <c r="W312" s="174"/>
      <c r="X312" s="174"/>
      <c r="Y312" s="174"/>
      <c r="Z312" s="174"/>
      <c r="AA312" s="174"/>
    </row>
    <row r="313" customFormat="false" ht="15.75" hidden="false" customHeight="false" outlineLevel="0" collapsed="false">
      <c r="A313" s="174" t="str">
        <f aca="false">IF(ISBLANK(B313),"",B313&amp;"|"&amp;C313)</f>
        <v/>
      </c>
      <c r="B313" s="174"/>
      <c r="C313" s="174"/>
      <c r="D313" s="174"/>
      <c r="E313" s="179"/>
      <c r="F313" s="174"/>
      <c r="G313" s="174"/>
      <c r="H313" s="174"/>
      <c r="I313" s="174"/>
      <c r="J313" s="174"/>
      <c r="K313" s="174"/>
      <c r="L313" s="174"/>
      <c r="M313" s="174"/>
      <c r="N313" s="174"/>
      <c r="O313" s="174"/>
      <c r="P313" s="174"/>
      <c r="Q313" s="174"/>
      <c r="R313" s="174"/>
      <c r="S313" s="174"/>
      <c r="T313" s="174"/>
      <c r="U313" s="174"/>
      <c r="V313" s="174"/>
      <c r="W313" s="174"/>
      <c r="X313" s="174"/>
      <c r="Y313" s="174"/>
      <c r="Z313" s="174"/>
      <c r="AA313" s="174"/>
    </row>
    <row r="314" customFormat="false" ht="15.75" hidden="false" customHeight="false" outlineLevel="0" collapsed="false">
      <c r="A314" s="174" t="str">
        <f aca="false">IF(ISBLANK(B314),"",B314&amp;"|"&amp;C314)</f>
        <v/>
      </c>
      <c r="B314" s="174"/>
      <c r="C314" s="174"/>
      <c r="D314" s="174"/>
      <c r="E314" s="179"/>
      <c r="F314" s="174"/>
      <c r="G314" s="174"/>
      <c r="H314" s="174"/>
      <c r="I314" s="174"/>
      <c r="J314" s="174"/>
      <c r="K314" s="174"/>
      <c r="L314" s="174"/>
      <c r="M314" s="174"/>
      <c r="N314" s="174"/>
      <c r="O314" s="174"/>
      <c r="P314" s="174"/>
      <c r="Q314" s="174"/>
      <c r="R314" s="174"/>
      <c r="S314" s="174"/>
      <c r="T314" s="174"/>
      <c r="U314" s="174"/>
      <c r="V314" s="174"/>
      <c r="W314" s="174"/>
      <c r="X314" s="174"/>
      <c r="Y314" s="174"/>
      <c r="Z314" s="174"/>
      <c r="AA314" s="174"/>
    </row>
    <row r="315" customFormat="false" ht="15.75" hidden="false" customHeight="false" outlineLevel="0" collapsed="false">
      <c r="A315" s="174" t="str">
        <f aca="false">IF(ISBLANK(B315),"",B315&amp;"|"&amp;C315)</f>
        <v/>
      </c>
      <c r="B315" s="174"/>
      <c r="C315" s="174"/>
      <c r="D315" s="174"/>
      <c r="E315" s="179"/>
      <c r="F315" s="174"/>
      <c r="G315" s="174"/>
      <c r="H315" s="174"/>
      <c r="I315" s="174"/>
      <c r="J315" s="174"/>
      <c r="K315" s="174"/>
      <c r="L315" s="174"/>
      <c r="M315" s="174"/>
      <c r="N315" s="174"/>
      <c r="O315" s="174"/>
      <c r="P315" s="174"/>
      <c r="Q315" s="174"/>
      <c r="R315" s="174"/>
      <c r="S315" s="174"/>
      <c r="T315" s="174"/>
      <c r="U315" s="174"/>
      <c r="V315" s="174"/>
      <c r="W315" s="174"/>
      <c r="X315" s="174"/>
      <c r="Y315" s="174"/>
      <c r="Z315" s="174"/>
      <c r="AA315" s="174"/>
    </row>
    <row r="316" customFormat="false" ht="15.75" hidden="false" customHeight="false" outlineLevel="0" collapsed="false">
      <c r="A316" s="174" t="str">
        <f aca="false">IF(ISBLANK(B316),"",B316&amp;"|"&amp;C316)</f>
        <v/>
      </c>
      <c r="B316" s="174"/>
      <c r="C316" s="174"/>
      <c r="D316" s="174"/>
      <c r="E316" s="179"/>
      <c r="F316" s="174"/>
      <c r="G316" s="174"/>
      <c r="H316" s="174"/>
      <c r="I316" s="174"/>
      <c r="J316" s="174"/>
      <c r="K316" s="174"/>
      <c r="L316" s="174"/>
      <c r="M316" s="174"/>
      <c r="N316" s="174"/>
      <c r="O316" s="174"/>
      <c r="P316" s="174"/>
      <c r="Q316" s="174"/>
      <c r="R316" s="174"/>
      <c r="S316" s="174"/>
      <c r="T316" s="174"/>
      <c r="U316" s="174"/>
      <c r="V316" s="174"/>
      <c r="W316" s="174"/>
      <c r="X316" s="174"/>
      <c r="Y316" s="174"/>
      <c r="Z316" s="174"/>
      <c r="AA316" s="174"/>
    </row>
    <row r="317" customFormat="false" ht="15.75" hidden="false" customHeight="false" outlineLevel="0" collapsed="false">
      <c r="A317" s="174" t="str">
        <f aca="false">IF(ISBLANK(B317),"",B317&amp;"|"&amp;C317)</f>
        <v/>
      </c>
      <c r="B317" s="174"/>
      <c r="C317" s="174"/>
      <c r="D317" s="174"/>
      <c r="E317" s="179"/>
      <c r="F317" s="174"/>
      <c r="G317" s="174"/>
      <c r="H317" s="174"/>
      <c r="I317" s="174"/>
      <c r="J317" s="174"/>
      <c r="K317" s="174"/>
      <c r="L317" s="174"/>
      <c r="M317" s="174"/>
      <c r="N317" s="174"/>
      <c r="O317" s="174"/>
      <c r="P317" s="174"/>
      <c r="Q317" s="174"/>
      <c r="R317" s="174"/>
      <c r="S317" s="174"/>
      <c r="T317" s="174"/>
      <c r="U317" s="174"/>
      <c r="V317" s="174"/>
      <c r="W317" s="174"/>
      <c r="X317" s="174"/>
      <c r="Y317" s="174"/>
      <c r="Z317" s="174"/>
      <c r="AA317" s="174"/>
    </row>
    <row r="318" customFormat="false" ht="15.75" hidden="false" customHeight="false" outlineLevel="0" collapsed="false">
      <c r="A318" s="174" t="str">
        <f aca="false">IF(ISBLANK(B318),"",B318&amp;"|"&amp;C318)</f>
        <v/>
      </c>
      <c r="B318" s="174"/>
      <c r="C318" s="174"/>
      <c r="D318" s="174"/>
      <c r="E318" s="179"/>
      <c r="F318" s="174"/>
      <c r="G318" s="174"/>
      <c r="H318" s="174"/>
      <c r="I318" s="174"/>
      <c r="J318" s="174"/>
      <c r="K318" s="174"/>
      <c r="L318" s="174"/>
      <c r="M318" s="174"/>
      <c r="N318" s="174"/>
      <c r="O318" s="174"/>
      <c r="P318" s="174"/>
      <c r="Q318" s="174"/>
      <c r="R318" s="174"/>
      <c r="S318" s="174"/>
      <c r="T318" s="174"/>
      <c r="U318" s="174"/>
      <c r="V318" s="174"/>
      <c r="W318" s="174"/>
      <c r="X318" s="174"/>
      <c r="Y318" s="174"/>
      <c r="Z318" s="174"/>
      <c r="AA318" s="174"/>
    </row>
    <row r="319" customFormat="false" ht="15.75" hidden="false" customHeight="false" outlineLevel="0" collapsed="false">
      <c r="A319" s="174" t="str">
        <f aca="false">IF(ISBLANK(B319),"",B319&amp;"|"&amp;C319)</f>
        <v/>
      </c>
      <c r="B319" s="174"/>
      <c r="C319" s="174"/>
      <c r="D319" s="174"/>
      <c r="E319" s="179"/>
      <c r="F319" s="174"/>
      <c r="G319" s="174"/>
      <c r="H319" s="174"/>
      <c r="I319" s="174"/>
      <c r="J319" s="174"/>
      <c r="K319" s="174"/>
      <c r="L319" s="174"/>
      <c r="M319" s="174"/>
      <c r="N319" s="174"/>
      <c r="O319" s="174"/>
      <c r="P319" s="174"/>
      <c r="Q319" s="174"/>
      <c r="R319" s="174"/>
      <c r="S319" s="174"/>
      <c r="T319" s="174"/>
      <c r="U319" s="174"/>
      <c r="V319" s="174"/>
      <c r="W319" s="174"/>
      <c r="X319" s="174"/>
      <c r="Y319" s="174"/>
      <c r="Z319" s="174"/>
      <c r="AA319" s="174"/>
    </row>
    <row r="320" customFormat="false" ht="15.75" hidden="false" customHeight="false" outlineLevel="0" collapsed="false">
      <c r="A320" s="174" t="str">
        <f aca="false">IF(ISBLANK(B320),"",B320&amp;"|"&amp;C320)</f>
        <v/>
      </c>
      <c r="B320" s="174"/>
      <c r="C320" s="174"/>
      <c r="D320" s="174"/>
      <c r="E320" s="179"/>
      <c r="F320" s="174"/>
      <c r="G320" s="174"/>
      <c r="H320" s="174"/>
      <c r="I320" s="174"/>
      <c r="J320" s="174"/>
      <c r="K320" s="174"/>
      <c r="L320" s="174"/>
      <c r="M320" s="174"/>
      <c r="N320" s="174"/>
      <c r="O320" s="174"/>
      <c r="P320" s="174"/>
      <c r="Q320" s="174"/>
      <c r="R320" s="174"/>
      <c r="S320" s="174"/>
      <c r="T320" s="174"/>
      <c r="U320" s="174"/>
      <c r="V320" s="174"/>
      <c r="W320" s="174"/>
      <c r="X320" s="174"/>
      <c r="Y320" s="174"/>
      <c r="Z320" s="174"/>
      <c r="AA320" s="174"/>
    </row>
    <row r="321" customFormat="false" ht="15.75" hidden="false" customHeight="false" outlineLevel="0" collapsed="false">
      <c r="A321" s="174" t="str">
        <f aca="false">IF(ISBLANK(B321),"",B321&amp;"|"&amp;C321)</f>
        <v/>
      </c>
      <c r="B321" s="174"/>
      <c r="C321" s="174"/>
      <c r="D321" s="174"/>
      <c r="E321" s="179"/>
      <c r="F321" s="174"/>
      <c r="G321" s="174"/>
      <c r="H321" s="174"/>
      <c r="I321" s="174"/>
      <c r="J321" s="174"/>
      <c r="K321" s="174"/>
      <c r="L321" s="174"/>
      <c r="M321" s="174"/>
      <c r="N321" s="174"/>
      <c r="O321" s="174"/>
      <c r="P321" s="174"/>
      <c r="Q321" s="174"/>
      <c r="R321" s="174"/>
      <c r="S321" s="174"/>
      <c r="T321" s="174"/>
      <c r="U321" s="174"/>
      <c r="V321" s="174"/>
      <c r="W321" s="174"/>
      <c r="X321" s="174"/>
      <c r="Y321" s="174"/>
      <c r="Z321" s="174"/>
      <c r="AA321" s="174"/>
    </row>
    <row r="322" customFormat="false" ht="15.75" hidden="false" customHeight="false" outlineLevel="0" collapsed="false">
      <c r="A322" s="174" t="str">
        <f aca="false">IF(ISBLANK(B322),"",B322&amp;"|"&amp;C322)</f>
        <v/>
      </c>
      <c r="B322" s="174"/>
      <c r="C322" s="174"/>
      <c r="D322" s="174"/>
      <c r="E322" s="179"/>
      <c r="F322" s="174"/>
      <c r="G322" s="174"/>
      <c r="H322" s="174"/>
      <c r="I322" s="174"/>
      <c r="J322" s="174"/>
      <c r="K322" s="174"/>
      <c r="L322" s="174"/>
      <c r="M322" s="174"/>
      <c r="N322" s="174"/>
      <c r="O322" s="174"/>
      <c r="P322" s="174"/>
      <c r="Q322" s="174"/>
      <c r="R322" s="174"/>
      <c r="S322" s="174"/>
      <c r="T322" s="174"/>
      <c r="U322" s="174"/>
      <c r="V322" s="174"/>
      <c r="W322" s="174"/>
      <c r="X322" s="174"/>
      <c r="Y322" s="174"/>
      <c r="Z322" s="174"/>
      <c r="AA322" s="174"/>
    </row>
    <row r="323" customFormat="false" ht="15.75" hidden="false" customHeight="false" outlineLevel="0" collapsed="false">
      <c r="A323" s="174" t="str">
        <f aca="false">IF(ISBLANK(B323),"",B323&amp;"|"&amp;C323)</f>
        <v/>
      </c>
      <c r="B323" s="174"/>
      <c r="C323" s="174"/>
      <c r="D323" s="174"/>
      <c r="E323" s="179"/>
      <c r="F323" s="174"/>
      <c r="G323" s="174"/>
      <c r="H323" s="174"/>
      <c r="I323" s="174"/>
      <c r="J323" s="174"/>
      <c r="K323" s="174"/>
      <c r="L323" s="174"/>
      <c r="M323" s="174"/>
      <c r="N323" s="174"/>
      <c r="O323" s="174"/>
      <c r="P323" s="174"/>
      <c r="Q323" s="174"/>
      <c r="R323" s="174"/>
      <c r="S323" s="174"/>
      <c r="T323" s="174"/>
      <c r="U323" s="174"/>
      <c r="V323" s="174"/>
      <c r="W323" s="174"/>
      <c r="X323" s="174"/>
      <c r="Y323" s="174"/>
      <c r="Z323" s="174"/>
      <c r="AA323" s="174"/>
    </row>
    <row r="324" customFormat="false" ht="15.75" hidden="false" customHeight="false" outlineLevel="0" collapsed="false">
      <c r="A324" s="174" t="str">
        <f aca="false">IF(ISBLANK(B324),"",B324&amp;"|"&amp;C324)</f>
        <v/>
      </c>
      <c r="B324" s="174"/>
      <c r="C324" s="174"/>
      <c r="D324" s="174"/>
      <c r="E324" s="179"/>
      <c r="F324" s="174"/>
      <c r="G324" s="174"/>
      <c r="H324" s="174"/>
      <c r="I324" s="174"/>
      <c r="J324" s="174"/>
      <c r="K324" s="174"/>
      <c r="L324" s="174"/>
      <c r="M324" s="174"/>
      <c r="N324" s="174"/>
      <c r="O324" s="174"/>
      <c r="P324" s="174"/>
      <c r="Q324" s="174"/>
      <c r="R324" s="174"/>
      <c r="S324" s="174"/>
      <c r="T324" s="174"/>
      <c r="U324" s="174"/>
      <c r="V324" s="174"/>
      <c r="W324" s="174"/>
      <c r="X324" s="174"/>
      <c r="Y324" s="174"/>
      <c r="Z324" s="174"/>
      <c r="AA324" s="174"/>
    </row>
    <row r="325" customFormat="false" ht="15.75" hidden="false" customHeight="false" outlineLevel="0" collapsed="false">
      <c r="A325" s="174" t="str">
        <f aca="false">IF(ISBLANK(B325),"",B325&amp;"|"&amp;C325)</f>
        <v/>
      </c>
      <c r="B325" s="174"/>
      <c r="C325" s="174"/>
      <c r="D325" s="174"/>
      <c r="E325" s="179"/>
      <c r="F325" s="174"/>
      <c r="G325" s="174"/>
      <c r="H325" s="174"/>
      <c r="I325" s="174"/>
      <c r="J325" s="174"/>
      <c r="K325" s="174"/>
      <c r="L325" s="174"/>
      <c r="M325" s="174"/>
      <c r="N325" s="174"/>
      <c r="O325" s="174"/>
      <c r="P325" s="174"/>
      <c r="Q325" s="174"/>
      <c r="R325" s="174"/>
      <c r="S325" s="174"/>
      <c r="T325" s="174"/>
      <c r="U325" s="174"/>
      <c r="V325" s="174"/>
      <c r="W325" s="174"/>
      <c r="X325" s="174"/>
      <c r="Y325" s="174"/>
      <c r="Z325" s="174"/>
      <c r="AA325" s="174"/>
    </row>
    <row r="326" customFormat="false" ht="15.75" hidden="false" customHeight="false" outlineLevel="0" collapsed="false">
      <c r="A326" s="174" t="str">
        <f aca="false">IF(ISBLANK(B326),"",B326&amp;"|"&amp;C326)</f>
        <v/>
      </c>
      <c r="B326" s="174"/>
      <c r="C326" s="174"/>
      <c r="D326" s="174"/>
      <c r="E326" s="179"/>
      <c r="F326" s="174"/>
      <c r="G326" s="174"/>
      <c r="H326" s="174"/>
      <c r="I326" s="174"/>
      <c r="J326" s="174"/>
      <c r="K326" s="174"/>
      <c r="L326" s="174"/>
      <c r="M326" s="174"/>
      <c r="N326" s="174"/>
      <c r="O326" s="174"/>
      <c r="P326" s="174"/>
      <c r="Q326" s="174"/>
      <c r="R326" s="174"/>
      <c r="S326" s="174"/>
      <c r="T326" s="174"/>
      <c r="U326" s="174"/>
      <c r="V326" s="174"/>
      <c r="W326" s="174"/>
      <c r="X326" s="174"/>
      <c r="Y326" s="174"/>
      <c r="Z326" s="174"/>
      <c r="AA326" s="174"/>
    </row>
    <row r="327" customFormat="false" ht="15.75" hidden="false" customHeight="false" outlineLevel="0" collapsed="false">
      <c r="A327" s="174" t="str">
        <f aca="false">IF(ISBLANK(B327),"",B327&amp;"|"&amp;C327)</f>
        <v/>
      </c>
      <c r="B327" s="174"/>
      <c r="C327" s="174"/>
      <c r="D327" s="174"/>
      <c r="E327" s="179"/>
      <c r="F327" s="174"/>
      <c r="G327" s="174"/>
      <c r="H327" s="174"/>
      <c r="I327" s="174"/>
      <c r="J327" s="174"/>
      <c r="K327" s="174"/>
      <c r="L327" s="174"/>
      <c r="M327" s="174"/>
      <c r="N327" s="174"/>
      <c r="O327" s="174"/>
      <c r="P327" s="174"/>
      <c r="Q327" s="174"/>
      <c r="R327" s="174"/>
      <c r="S327" s="174"/>
      <c r="T327" s="174"/>
      <c r="U327" s="174"/>
      <c r="V327" s="174"/>
      <c r="W327" s="174"/>
      <c r="X327" s="174"/>
      <c r="Y327" s="174"/>
      <c r="Z327" s="174"/>
      <c r="AA327" s="174"/>
    </row>
    <row r="328" customFormat="false" ht="15.75" hidden="false" customHeight="false" outlineLevel="0" collapsed="false">
      <c r="A328" s="174" t="str">
        <f aca="false">IF(ISBLANK(B328),"",B328&amp;"|"&amp;C328)</f>
        <v/>
      </c>
      <c r="B328" s="174"/>
      <c r="C328" s="174"/>
      <c r="D328" s="174"/>
      <c r="E328" s="179"/>
      <c r="F328" s="174"/>
      <c r="G328" s="174"/>
      <c r="H328" s="174"/>
      <c r="I328" s="174"/>
      <c r="J328" s="174"/>
      <c r="K328" s="174"/>
      <c r="L328" s="174"/>
      <c r="M328" s="174"/>
      <c r="N328" s="174"/>
      <c r="O328" s="174"/>
      <c r="P328" s="174"/>
      <c r="Q328" s="174"/>
      <c r="R328" s="174"/>
      <c r="S328" s="174"/>
      <c r="T328" s="174"/>
      <c r="U328" s="174"/>
      <c r="V328" s="174"/>
      <c r="W328" s="174"/>
      <c r="X328" s="174"/>
      <c r="Y328" s="174"/>
      <c r="Z328" s="174"/>
      <c r="AA328" s="174"/>
    </row>
    <row r="329" customFormat="false" ht="15.75" hidden="false" customHeight="false" outlineLevel="0" collapsed="false">
      <c r="A329" s="174" t="str">
        <f aca="false">IF(ISBLANK(B329),"",B329&amp;"|"&amp;C329)</f>
        <v/>
      </c>
      <c r="B329" s="174"/>
      <c r="C329" s="174"/>
      <c r="D329" s="174"/>
      <c r="E329" s="179"/>
      <c r="F329" s="174"/>
      <c r="G329" s="174"/>
      <c r="H329" s="174"/>
      <c r="I329" s="174"/>
      <c r="J329" s="174"/>
      <c r="K329" s="174"/>
      <c r="L329" s="174"/>
      <c r="M329" s="174"/>
      <c r="N329" s="174"/>
      <c r="O329" s="174"/>
      <c r="P329" s="174"/>
      <c r="Q329" s="174"/>
      <c r="R329" s="174"/>
      <c r="S329" s="174"/>
      <c r="T329" s="174"/>
      <c r="U329" s="174"/>
      <c r="V329" s="174"/>
      <c r="W329" s="174"/>
      <c r="X329" s="174"/>
      <c r="Y329" s="174"/>
      <c r="Z329" s="174"/>
      <c r="AA329" s="174"/>
    </row>
    <row r="330" customFormat="false" ht="15.75" hidden="false" customHeight="false" outlineLevel="0" collapsed="false">
      <c r="A330" s="174" t="str">
        <f aca="false">IF(ISBLANK(B330),"",B330&amp;"|"&amp;C330)</f>
        <v/>
      </c>
      <c r="B330" s="174"/>
      <c r="C330" s="174"/>
      <c r="D330" s="174"/>
      <c r="E330" s="179"/>
      <c r="F330" s="174"/>
      <c r="G330" s="174"/>
      <c r="H330" s="174"/>
      <c r="I330" s="174"/>
      <c r="J330" s="174"/>
      <c r="K330" s="174"/>
      <c r="L330" s="174"/>
      <c r="M330" s="174"/>
      <c r="N330" s="174"/>
      <c r="O330" s="174"/>
      <c r="P330" s="174"/>
      <c r="Q330" s="174"/>
      <c r="R330" s="174"/>
      <c r="S330" s="174"/>
      <c r="T330" s="174"/>
      <c r="U330" s="174"/>
      <c r="V330" s="174"/>
      <c r="W330" s="174"/>
      <c r="X330" s="174"/>
      <c r="Y330" s="174"/>
      <c r="Z330" s="174"/>
      <c r="AA330" s="174"/>
    </row>
    <row r="331" customFormat="false" ht="15.75" hidden="false" customHeight="false" outlineLevel="0" collapsed="false">
      <c r="A331" s="174" t="str">
        <f aca="false">IF(ISBLANK(B331),"",B331&amp;"|"&amp;C331)</f>
        <v/>
      </c>
      <c r="B331" s="174"/>
      <c r="C331" s="174"/>
      <c r="D331" s="174"/>
      <c r="E331" s="179"/>
      <c r="F331" s="174"/>
      <c r="G331" s="174"/>
      <c r="H331" s="174"/>
      <c r="I331" s="174"/>
      <c r="J331" s="174"/>
      <c r="K331" s="174"/>
      <c r="L331" s="174"/>
      <c r="M331" s="174"/>
      <c r="N331" s="174"/>
      <c r="O331" s="174"/>
      <c r="P331" s="174"/>
      <c r="Q331" s="174"/>
      <c r="R331" s="174"/>
      <c r="S331" s="174"/>
      <c r="T331" s="174"/>
      <c r="U331" s="174"/>
      <c r="V331" s="174"/>
      <c r="W331" s="174"/>
      <c r="X331" s="174"/>
      <c r="Y331" s="174"/>
      <c r="Z331" s="174"/>
      <c r="AA331" s="174"/>
    </row>
    <row r="332" customFormat="false" ht="15.75" hidden="false" customHeight="false" outlineLevel="0" collapsed="false">
      <c r="A332" s="174" t="str">
        <f aca="false">IF(ISBLANK(B332),"",B332&amp;"|"&amp;C332)</f>
        <v/>
      </c>
      <c r="B332" s="174"/>
      <c r="C332" s="174"/>
      <c r="D332" s="174"/>
      <c r="E332" s="179"/>
      <c r="F332" s="174"/>
      <c r="G332" s="174"/>
      <c r="H332" s="174"/>
      <c r="I332" s="174"/>
      <c r="J332" s="174"/>
      <c r="K332" s="174"/>
      <c r="L332" s="174"/>
      <c r="M332" s="174"/>
      <c r="N332" s="174"/>
      <c r="O332" s="174"/>
      <c r="P332" s="174"/>
      <c r="Q332" s="174"/>
      <c r="R332" s="174"/>
      <c r="S332" s="174"/>
      <c r="T332" s="174"/>
      <c r="U332" s="174"/>
      <c r="V332" s="174"/>
      <c r="W332" s="174"/>
      <c r="X332" s="174"/>
      <c r="Y332" s="174"/>
      <c r="Z332" s="174"/>
      <c r="AA332" s="174"/>
    </row>
    <row r="333" customFormat="false" ht="15.75" hidden="false" customHeight="false" outlineLevel="0" collapsed="false">
      <c r="A333" s="174" t="str">
        <f aca="false">IF(ISBLANK(B333),"",B333&amp;"|"&amp;C333)</f>
        <v/>
      </c>
      <c r="B333" s="174"/>
      <c r="C333" s="174"/>
      <c r="D333" s="174"/>
      <c r="E333" s="179"/>
      <c r="F333" s="174"/>
      <c r="G333" s="174"/>
      <c r="H333" s="174"/>
      <c r="I333" s="174"/>
      <c r="J333" s="174"/>
      <c r="K333" s="174"/>
      <c r="L333" s="174"/>
      <c r="M333" s="174"/>
      <c r="N333" s="174"/>
      <c r="O333" s="174"/>
      <c r="P333" s="174"/>
      <c r="Q333" s="174"/>
      <c r="R333" s="174"/>
      <c r="S333" s="174"/>
      <c r="T333" s="174"/>
      <c r="U333" s="174"/>
      <c r="V333" s="174"/>
      <c r="W333" s="174"/>
      <c r="X333" s="174"/>
      <c r="Y333" s="174"/>
      <c r="Z333" s="174"/>
      <c r="AA333" s="174"/>
    </row>
    <row r="334" customFormat="false" ht="15.75" hidden="false" customHeight="false" outlineLevel="0" collapsed="false">
      <c r="A334" s="174" t="str">
        <f aca="false">IF(ISBLANK(B334),"",B334&amp;"|"&amp;C334)</f>
        <v/>
      </c>
      <c r="B334" s="174"/>
      <c r="C334" s="174"/>
      <c r="D334" s="174"/>
      <c r="E334" s="179"/>
      <c r="F334" s="174"/>
      <c r="G334" s="174"/>
      <c r="H334" s="174"/>
      <c r="I334" s="174"/>
      <c r="J334" s="174"/>
      <c r="K334" s="174"/>
      <c r="L334" s="174"/>
      <c r="M334" s="174"/>
      <c r="N334" s="174"/>
      <c r="O334" s="174"/>
      <c r="P334" s="174"/>
      <c r="Q334" s="174"/>
      <c r="R334" s="174"/>
      <c r="S334" s="174"/>
      <c r="T334" s="174"/>
      <c r="U334" s="174"/>
      <c r="V334" s="174"/>
      <c r="W334" s="174"/>
      <c r="X334" s="174"/>
      <c r="Y334" s="174"/>
      <c r="Z334" s="174"/>
      <c r="AA334" s="174"/>
    </row>
    <row r="335" customFormat="false" ht="15.75" hidden="false" customHeight="false" outlineLevel="0" collapsed="false">
      <c r="A335" s="174" t="str">
        <f aca="false">IF(ISBLANK(B335),"",B335&amp;"|"&amp;C335)</f>
        <v/>
      </c>
      <c r="B335" s="174"/>
      <c r="C335" s="174"/>
      <c r="D335" s="174"/>
      <c r="E335" s="179"/>
      <c r="F335" s="174"/>
      <c r="G335" s="174"/>
      <c r="H335" s="174"/>
      <c r="I335" s="174"/>
      <c r="J335" s="174"/>
      <c r="K335" s="174"/>
      <c r="L335" s="174"/>
      <c r="M335" s="174"/>
      <c r="N335" s="174"/>
      <c r="O335" s="174"/>
      <c r="P335" s="174"/>
      <c r="Q335" s="174"/>
      <c r="R335" s="174"/>
      <c r="S335" s="174"/>
      <c r="T335" s="174"/>
      <c r="U335" s="174"/>
      <c r="V335" s="174"/>
      <c r="W335" s="174"/>
      <c r="X335" s="174"/>
      <c r="Y335" s="174"/>
      <c r="Z335" s="174"/>
      <c r="AA335" s="174"/>
    </row>
    <row r="336" customFormat="false" ht="15.75" hidden="false" customHeight="false" outlineLevel="0" collapsed="false">
      <c r="A336" s="174" t="str">
        <f aca="false">IF(ISBLANK(B336),"",B336&amp;"|"&amp;C336)</f>
        <v/>
      </c>
      <c r="B336" s="174"/>
      <c r="C336" s="174"/>
      <c r="D336" s="174"/>
      <c r="E336" s="179"/>
      <c r="F336" s="174"/>
      <c r="G336" s="174"/>
      <c r="H336" s="174"/>
      <c r="I336" s="174"/>
      <c r="J336" s="174"/>
      <c r="K336" s="174"/>
      <c r="L336" s="174"/>
      <c r="M336" s="174"/>
      <c r="N336" s="174"/>
      <c r="O336" s="174"/>
      <c r="P336" s="174"/>
      <c r="Q336" s="174"/>
      <c r="R336" s="174"/>
      <c r="S336" s="174"/>
      <c r="T336" s="174"/>
      <c r="U336" s="174"/>
      <c r="V336" s="174"/>
      <c r="W336" s="174"/>
      <c r="X336" s="174"/>
      <c r="Y336" s="174"/>
      <c r="Z336" s="174"/>
      <c r="AA336" s="174"/>
    </row>
    <row r="337" customFormat="false" ht="15.75" hidden="false" customHeight="false" outlineLevel="0" collapsed="false">
      <c r="A337" s="174" t="str">
        <f aca="false">IF(ISBLANK(B337),"",B337&amp;"|"&amp;C337)</f>
        <v/>
      </c>
      <c r="B337" s="174"/>
      <c r="C337" s="174"/>
      <c r="D337" s="174"/>
      <c r="E337" s="179"/>
      <c r="F337" s="174"/>
      <c r="G337" s="174"/>
      <c r="H337" s="174"/>
      <c r="I337" s="174"/>
      <c r="J337" s="174"/>
      <c r="K337" s="174"/>
      <c r="L337" s="174"/>
      <c r="M337" s="174"/>
      <c r="N337" s="174"/>
      <c r="O337" s="174"/>
      <c r="P337" s="174"/>
      <c r="Q337" s="174"/>
      <c r="R337" s="174"/>
      <c r="S337" s="174"/>
      <c r="T337" s="174"/>
      <c r="U337" s="174"/>
      <c r="V337" s="174"/>
      <c r="W337" s="174"/>
      <c r="X337" s="174"/>
      <c r="Y337" s="174"/>
      <c r="Z337" s="174"/>
      <c r="AA337" s="174"/>
    </row>
    <row r="338" customFormat="false" ht="15.75" hidden="false" customHeight="false" outlineLevel="0" collapsed="false">
      <c r="A338" s="174" t="str">
        <f aca="false">IF(ISBLANK(B338),"",B338&amp;"|"&amp;C338)</f>
        <v/>
      </c>
      <c r="B338" s="174"/>
      <c r="C338" s="174"/>
      <c r="D338" s="174"/>
      <c r="E338" s="179"/>
      <c r="F338" s="174"/>
      <c r="G338" s="174"/>
      <c r="H338" s="174"/>
      <c r="I338" s="174"/>
      <c r="J338" s="174"/>
      <c r="K338" s="174"/>
      <c r="L338" s="174"/>
      <c r="M338" s="174"/>
      <c r="N338" s="174"/>
      <c r="O338" s="174"/>
      <c r="P338" s="174"/>
      <c r="Q338" s="174"/>
      <c r="R338" s="174"/>
      <c r="S338" s="174"/>
      <c r="T338" s="174"/>
      <c r="U338" s="174"/>
      <c r="V338" s="174"/>
      <c r="W338" s="174"/>
      <c r="X338" s="174"/>
      <c r="Y338" s="174"/>
      <c r="Z338" s="174"/>
      <c r="AA338" s="174"/>
    </row>
    <row r="339" customFormat="false" ht="15.75" hidden="false" customHeight="false" outlineLevel="0" collapsed="false">
      <c r="A339" s="174" t="str">
        <f aca="false">IF(ISBLANK(B339),"",B339&amp;"|"&amp;C339)</f>
        <v/>
      </c>
      <c r="B339" s="174"/>
      <c r="C339" s="174"/>
      <c r="D339" s="174"/>
      <c r="E339" s="179"/>
      <c r="F339" s="174"/>
      <c r="G339" s="174"/>
      <c r="H339" s="174"/>
      <c r="I339" s="174"/>
      <c r="J339" s="174"/>
      <c r="K339" s="174"/>
      <c r="L339" s="174"/>
      <c r="M339" s="174"/>
      <c r="N339" s="174"/>
      <c r="O339" s="174"/>
      <c r="P339" s="174"/>
      <c r="Q339" s="174"/>
      <c r="R339" s="174"/>
      <c r="S339" s="174"/>
      <c r="T339" s="174"/>
      <c r="U339" s="174"/>
      <c r="V339" s="174"/>
      <c r="W339" s="174"/>
      <c r="X339" s="174"/>
      <c r="Y339" s="174"/>
      <c r="Z339" s="174"/>
      <c r="AA339" s="174"/>
    </row>
    <row r="340" customFormat="false" ht="15.75" hidden="false" customHeight="false" outlineLevel="0" collapsed="false">
      <c r="A340" s="174" t="str">
        <f aca="false">IF(ISBLANK(B340),"",B340&amp;"|"&amp;C340)</f>
        <v/>
      </c>
      <c r="B340" s="174"/>
      <c r="C340" s="174"/>
      <c r="D340" s="174"/>
      <c r="E340" s="179"/>
      <c r="F340" s="174"/>
      <c r="G340" s="174"/>
      <c r="H340" s="174"/>
      <c r="I340" s="174"/>
      <c r="J340" s="174"/>
      <c r="K340" s="174"/>
      <c r="L340" s="174"/>
      <c r="M340" s="174"/>
      <c r="N340" s="174"/>
      <c r="O340" s="174"/>
      <c r="P340" s="174"/>
      <c r="Q340" s="174"/>
      <c r="R340" s="174"/>
      <c r="S340" s="174"/>
      <c r="T340" s="174"/>
      <c r="U340" s="174"/>
      <c r="V340" s="174"/>
      <c r="W340" s="174"/>
      <c r="X340" s="174"/>
      <c r="Y340" s="174"/>
      <c r="Z340" s="174"/>
      <c r="AA340" s="174"/>
    </row>
    <row r="341" customFormat="false" ht="15.75" hidden="false" customHeight="false" outlineLevel="0" collapsed="false">
      <c r="A341" s="174" t="str">
        <f aca="false">IF(ISBLANK(B341),"",B341&amp;"|"&amp;C341)</f>
        <v/>
      </c>
      <c r="B341" s="174"/>
      <c r="C341" s="174"/>
      <c r="D341" s="174"/>
      <c r="E341" s="179"/>
      <c r="F341" s="174"/>
      <c r="G341" s="174"/>
      <c r="H341" s="174"/>
      <c r="I341" s="174"/>
      <c r="J341" s="174"/>
      <c r="K341" s="174"/>
      <c r="L341" s="174"/>
      <c r="M341" s="174"/>
      <c r="N341" s="174"/>
      <c r="O341" s="174"/>
      <c r="P341" s="174"/>
      <c r="Q341" s="174"/>
      <c r="R341" s="174"/>
      <c r="S341" s="174"/>
      <c r="T341" s="174"/>
      <c r="U341" s="174"/>
      <c r="V341" s="174"/>
      <c r="W341" s="174"/>
      <c r="X341" s="174"/>
      <c r="Y341" s="174"/>
      <c r="Z341" s="174"/>
      <c r="AA341" s="174"/>
    </row>
    <row r="342" customFormat="false" ht="15.75" hidden="false" customHeight="false" outlineLevel="0" collapsed="false">
      <c r="A342" s="174" t="str">
        <f aca="false">IF(ISBLANK(B342),"",B342&amp;"|"&amp;C342)</f>
        <v/>
      </c>
      <c r="B342" s="174"/>
      <c r="C342" s="174"/>
      <c r="D342" s="174"/>
      <c r="E342" s="179"/>
      <c r="F342" s="174"/>
      <c r="G342" s="174"/>
      <c r="H342" s="174"/>
      <c r="I342" s="174"/>
      <c r="J342" s="174"/>
      <c r="K342" s="174"/>
      <c r="L342" s="174"/>
      <c r="M342" s="174"/>
      <c r="N342" s="174"/>
      <c r="O342" s="174"/>
      <c r="P342" s="174"/>
      <c r="Q342" s="174"/>
      <c r="R342" s="174"/>
      <c r="S342" s="174"/>
      <c r="T342" s="174"/>
      <c r="U342" s="174"/>
      <c r="V342" s="174"/>
      <c r="W342" s="174"/>
      <c r="X342" s="174"/>
      <c r="Y342" s="174"/>
      <c r="Z342" s="174"/>
      <c r="AA342" s="174"/>
    </row>
    <row r="343" customFormat="false" ht="15.75" hidden="false" customHeight="false" outlineLevel="0" collapsed="false">
      <c r="A343" s="174" t="str">
        <f aca="false">IF(ISBLANK(B343),"",B343&amp;"|"&amp;C343)</f>
        <v/>
      </c>
      <c r="B343" s="174"/>
      <c r="C343" s="174"/>
      <c r="D343" s="174"/>
      <c r="E343" s="179"/>
      <c r="F343" s="174"/>
      <c r="G343" s="174"/>
      <c r="H343" s="174"/>
      <c r="I343" s="174"/>
      <c r="J343" s="174"/>
      <c r="K343" s="174"/>
      <c r="L343" s="174"/>
      <c r="M343" s="174"/>
      <c r="N343" s="174"/>
      <c r="O343" s="174"/>
      <c r="P343" s="174"/>
      <c r="Q343" s="174"/>
      <c r="R343" s="174"/>
      <c r="S343" s="174"/>
      <c r="T343" s="174"/>
      <c r="U343" s="174"/>
      <c r="V343" s="174"/>
      <c r="W343" s="174"/>
      <c r="X343" s="174"/>
      <c r="Y343" s="174"/>
      <c r="Z343" s="174"/>
      <c r="AA343" s="174"/>
    </row>
    <row r="344" customFormat="false" ht="15.75" hidden="false" customHeight="false" outlineLevel="0" collapsed="false">
      <c r="A344" s="174" t="str">
        <f aca="false">IF(ISBLANK(B344),"",B344&amp;"|"&amp;C344)</f>
        <v/>
      </c>
      <c r="B344" s="174"/>
      <c r="C344" s="174"/>
      <c r="D344" s="174"/>
      <c r="E344" s="179"/>
      <c r="F344" s="174"/>
      <c r="G344" s="174"/>
      <c r="H344" s="174"/>
      <c r="I344" s="174"/>
      <c r="J344" s="174"/>
      <c r="K344" s="174"/>
      <c r="L344" s="174"/>
      <c r="M344" s="174"/>
      <c r="N344" s="174"/>
      <c r="O344" s="174"/>
      <c r="P344" s="174"/>
      <c r="Q344" s="174"/>
      <c r="R344" s="174"/>
      <c r="S344" s="174"/>
      <c r="T344" s="174"/>
      <c r="U344" s="174"/>
      <c r="V344" s="174"/>
      <c r="W344" s="174"/>
      <c r="X344" s="174"/>
      <c r="Y344" s="174"/>
      <c r="Z344" s="174"/>
      <c r="AA344" s="174"/>
    </row>
    <row r="345" customFormat="false" ht="15.75" hidden="false" customHeight="false" outlineLevel="0" collapsed="false">
      <c r="A345" s="174" t="str">
        <f aca="false">IF(ISBLANK(B345),"",B345&amp;"|"&amp;C345)</f>
        <v/>
      </c>
      <c r="B345" s="174"/>
      <c r="C345" s="174"/>
      <c r="D345" s="174"/>
      <c r="E345" s="179"/>
      <c r="F345" s="174"/>
      <c r="G345" s="174"/>
      <c r="H345" s="174"/>
      <c r="I345" s="174"/>
      <c r="J345" s="174"/>
      <c r="K345" s="174"/>
      <c r="L345" s="174"/>
      <c r="M345" s="174"/>
      <c r="N345" s="174"/>
      <c r="O345" s="174"/>
      <c r="P345" s="174"/>
      <c r="Q345" s="174"/>
      <c r="R345" s="174"/>
      <c r="S345" s="174"/>
      <c r="T345" s="174"/>
      <c r="U345" s="174"/>
      <c r="V345" s="174"/>
      <c r="W345" s="174"/>
      <c r="X345" s="174"/>
      <c r="Y345" s="174"/>
      <c r="Z345" s="174"/>
      <c r="AA345" s="174"/>
    </row>
    <row r="346" customFormat="false" ht="15.75" hidden="false" customHeight="false" outlineLevel="0" collapsed="false">
      <c r="A346" s="174" t="str">
        <f aca="false">IF(ISBLANK(B346),"",B346&amp;"|"&amp;C346)</f>
        <v/>
      </c>
      <c r="B346" s="174"/>
      <c r="C346" s="174"/>
      <c r="D346" s="174"/>
      <c r="E346" s="179"/>
      <c r="F346" s="174"/>
      <c r="G346" s="174"/>
      <c r="H346" s="174"/>
      <c r="I346" s="174"/>
      <c r="J346" s="174"/>
      <c r="K346" s="174"/>
      <c r="L346" s="174"/>
      <c r="M346" s="174"/>
      <c r="N346" s="174"/>
      <c r="O346" s="174"/>
      <c r="P346" s="174"/>
      <c r="Q346" s="174"/>
      <c r="R346" s="174"/>
      <c r="S346" s="174"/>
      <c r="T346" s="174"/>
      <c r="U346" s="174"/>
      <c r="V346" s="174"/>
      <c r="W346" s="174"/>
      <c r="X346" s="174"/>
      <c r="Y346" s="174"/>
      <c r="Z346" s="174"/>
      <c r="AA346" s="174"/>
    </row>
    <row r="347" customFormat="false" ht="15.75" hidden="false" customHeight="false" outlineLevel="0" collapsed="false">
      <c r="A347" s="174" t="str">
        <f aca="false">IF(ISBLANK(B347),"",B347&amp;"|"&amp;C347)</f>
        <v/>
      </c>
      <c r="B347" s="174"/>
      <c r="C347" s="174"/>
      <c r="D347" s="174"/>
      <c r="E347" s="179"/>
      <c r="F347" s="174"/>
      <c r="G347" s="174"/>
      <c r="H347" s="174"/>
      <c r="I347" s="174"/>
      <c r="J347" s="174"/>
      <c r="K347" s="174"/>
      <c r="L347" s="174"/>
      <c r="M347" s="174"/>
      <c r="N347" s="174"/>
      <c r="O347" s="174"/>
      <c r="P347" s="174"/>
      <c r="Q347" s="174"/>
      <c r="R347" s="174"/>
      <c r="S347" s="174"/>
      <c r="T347" s="174"/>
      <c r="U347" s="174"/>
      <c r="V347" s="174"/>
      <c r="W347" s="174"/>
      <c r="X347" s="174"/>
      <c r="Y347" s="174"/>
      <c r="Z347" s="174"/>
      <c r="AA347" s="174"/>
    </row>
    <row r="348" customFormat="false" ht="15.75" hidden="false" customHeight="false" outlineLevel="0" collapsed="false">
      <c r="A348" s="174" t="str">
        <f aca="false">IF(ISBLANK(B348),"",B348&amp;"|"&amp;C348)</f>
        <v/>
      </c>
      <c r="B348" s="174"/>
      <c r="C348" s="174"/>
      <c r="D348" s="174"/>
      <c r="E348" s="179"/>
      <c r="F348" s="174"/>
      <c r="G348" s="174"/>
      <c r="H348" s="174"/>
      <c r="I348" s="174"/>
      <c r="J348" s="174"/>
      <c r="K348" s="174"/>
      <c r="L348" s="174"/>
      <c r="M348" s="174"/>
      <c r="N348" s="174"/>
      <c r="O348" s="174"/>
      <c r="P348" s="174"/>
      <c r="Q348" s="174"/>
      <c r="R348" s="174"/>
      <c r="S348" s="174"/>
      <c r="T348" s="174"/>
      <c r="U348" s="174"/>
      <c r="V348" s="174"/>
      <c r="W348" s="174"/>
      <c r="X348" s="174"/>
      <c r="Y348" s="174"/>
      <c r="Z348" s="174"/>
      <c r="AA348" s="174"/>
    </row>
    <row r="349" customFormat="false" ht="15.75" hidden="false" customHeight="false" outlineLevel="0" collapsed="false">
      <c r="A349" s="174" t="str">
        <f aca="false">IF(ISBLANK(B349),"",B349&amp;"|"&amp;C349)</f>
        <v/>
      </c>
      <c r="B349" s="174"/>
      <c r="C349" s="174"/>
      <c r="D349" s="174"/>
      <c r="E349" s="179"/>
      <c r="F349" s="174"/>
      <c r="G349" s="174"/>
      <c r="H349" s="174"/>
      <c r="I349" s="174"/>
      <c r="J349" s="174"/>
      <c r="K349" s="174"/>
      <c r="L349" s="174"/>
      <c r="M349" s="174"/>
      <c r="N349" s="174"/>
      <c r="O349" s="174"/>
      <c r="P349" s="174"/>
      <c r="Q349" s="174"/>
      <c r="R349" s="174"/>
      <c r="S349" s="174"/>
      <c r="T349" s="174"/>
      <c r="U349" s="174"/>
      <c r="V349" s="174"/>
      <c r="W349" s="174"/>
      <c r="X349" s="174"/>
      <c r="Y349" s="174"/>
      <c r="Z349" s="174"/>
      <c r="AA349" s="174"/>
    </row>
    <row r="350" customFormat="false" ht="15.75" hidden="false" customHeight="false" outlineLevel="0" collapsed="false">
      <c r="A350" s="174" t="str">
        <f aca="false">IF(ISBLANK(B350),"",B350&amp;"|"&amp;C350)</f>
        <v/>
      </c>
      <c r="B350" s="174"/>
      <c r="C350" s="174"/>
      <c r="D350" s="174"/>
      <c r="E350" s="179"/>
      <c r="F350" s="174"/>
      <c r="G350" s="174"/>
      <c r="H350" s="174"/>
      <c r="I350" s="174"/>
      <c r="J350" s="174"/>
      <c r="K350" s="174"/>
      <c r="L350" s="174"/>
      <c r="M350" s="174"/>
      <c r="N350" s="174"/>
      <c r="O350" s="174"/>
      <c r="P350" s="174"/>
      <c r="Q350" s="174"/>
      <c r="R350" s="174"/>
      <c r="S350" s="174"/>
      <c r="T350" s="174"/>
      <c r="U350" s="174"/>
      <c r="V350" s="174"/>
      <c r="W350" s="174"/>
      <c r="X350" s="174"/>
      <c r="Y350" s="174"/>
      <c r="Z350" s="174"/>
      <c r="AA350" s="174"/>
    </row>
    <row r="351" customFormat="false" ht="15.75" hidden="false" customHeight="false" outlineLevel="0" collapsed="false">
      <c r="A351" s="174" t="str">
        <f aca="false">IF(ISBLANK(B351),"",B351&amp;"|"&amp;C351)</f>
        <v/>
      </c>
      <c r="B351" s="174"/>
      <c r="C351" s="174"/>
      <c r="D351" s="174"/>
      <c r="E351" s="179"/>
      <c r="F351" s="174"/>
      <c r="G351" s="174"/>
      <c r="H351" s="174"/>
      <c r="I351" s="174"/>
      <c r="J351" s="174"/>
      <c r="K351" s="174"/>
      <c r="L351" s="174"/>
      <c r="M351" s="174"/>
      <c r="N351" s="174"/>
      <c r="O351" s="174"/>
      <c r="P351" s="174"/>
      <c r="Q351" s="174"/>
      <c r="R351" s="174"/>
      <c r="S351" s="174"/>
      <c r="T351" s="174"/>
      <c r="U351" s="174"/>
      <c r="V351" s="174"/>
      <c r="W351" s="174"/>
      <c r="X351" s="174"/>
      <c r="Y351" s="174"/>
      <c r="Z351" s="174"/>
      <c r="AA351" s="174"/>
    </row>
    <row r="352" customFormat="false" ht="15.75" hidden="false" customHeight="false" outlineLevel="0" collapsed="false">
      <c r="A352" s="174" t="str">
        <f aca="false">IF(ISBLANK(B352),"",B352&amp;"|"&amp;C352)</f>
        <v/>
      </c>
      <c r="B352" s="174"/>
      <c r="C352" s="174"/>
      <c r="D352" s="174"/>
      <c r="E352" s="179"/>
      <c r="F352" s="174"/>
      <c r="G352" s="174"/>
      <c r="H352" s="174"/>
      <c r="I352" s="174"/>
      <c r="J352" s="174"/>
      <c r="K352" s="174"/>
      <c r="L352" s="174"/>
      <c r="M352" s="174"/>
      <c r="N352" s="174"/>
      <c r="O352" s="174"/>
      <c r="P352" s="174"/>
      <c r="Q352" s="174"/>
      <c r="R352" s="174"/>
      <c r="S352" s="174"/>
      <c r="T352" s="174"/>
      <c r="U352" s="174"/>
      <c r="V352" s="174"/>
      <c r="W352" s="174"/>
      <c r="X352" s="174"/>
      <c r="Y352" s="174"/>
      <c r="Z352" s="174"/>
      <c r="AA352" s="174"/>
    </row>
    <row r="353" customFormat="false" ht="15.75" hidden="false" customHeight="false" outlineLevel="0" collapsed="false">
      <c r="A353" s="174" t="str">
        <f aca="false">IF(ISBLANK(B353),"",B353&amp;"|"&amp;C353)</f>
        <v/>
      </c>
      <c r="B353" s="174"/>
      <c r="C353" s="174"/>
      <c r="D353" s="174"/>
      <c r="E353" s="179"/>
      <c r="F353" s="174"/>
      <c r="G353" s="174"/>
      <c r="H353" s="174"/>
      <c r="I353" s="174"/>
      <c r="J353" s="174"/>
      <c r="K353" s="174"/>
      <c r="L353" s="174"/>
      <c r="M353" s="174"/>
      <c r="N353" s="174"/>
      <c r="O353" s="174"/>
      <c r="P353" s="174"/>
      <c r="Q353" s="174"/>
      <c r="R353" s="174"/>
      <c r="S353" s="174"/>
      <c r="T353" s="174"/>
      <c r="U353" s="174"/>
      <c r="V353" s="174"/>
      <c r="W353" s="174"/>
      <c r="X353" s="174"/>
      <c r="Y353" s="174"/>
      <c r="Z353" s="174"/>
      <c r="AA353" s="174"/>
    </row>
    <row r="354" customFormat="false" ht="15.75" hidden="false" customHeight="false" outlineLevel="0" collapsed="false">
      <c r="A354" s="174" t="str">
        <f aca="false">IF(ISBLANK(B354),"",B354&amp;"|"&amp;C354)</f>
        <v/>
      </c>
      <c r="B354" s="174"/>
      <c r="C354" s="174"/>
      <c r="D354" s="174"/>
      <c r="E354" s="179"/>
      <c r="F354" s="174"/>
      <c r="G354" s="174"/>
      <c r="H354" s="174"/>
      <c r="I354" s="174"/>
      <c r="J354" s="174"/>
      <c r="K354" s="174"/>
      <c r="L354" s="174"/>
      <c r="M354" s="174"/>
      <c r="N354" s="174"/>
      <c r="O354" s="174"/>
      <c r="P354" s="174"/>
      <c r="Q354" s="174"/>
      <c r="R354" s="174"/>
      <c r="S354" s="174"/>
      <c r="T354" s="174"/>
      <c r="U354" s="174"/>
      <c r="V354" s="174"/>
      <c r="W354" s="174"/>
      <c r="X354" s="174"/>
      <c r="Y354" s="174"/>
      <c r="Z354" s="174"/>
      <c r="AA354" s="174"/>
    </row>
    <row r="355" customFormat="false" ht="15.75" hidden="false" customHeight="false" outlineLevel="0" collapsed="false">
      <c r="A355" s="174" t="str">
        <f aca="false">IF(ISBLANK(B355),"",B355&amp;"|"&amp;C355)</f>
        <v/>
      </c>
      <c r="B355" s="174"/>
      <c r="C355" s="174"/>
      <c r="D355" s="174"/>
      <c r="E355" s="179"/>
      <c r="F355" s="174"/>
      <c r="G355" s="174"/>
      <c r="H355" s="174"/>
      <c r="I355" s="174"/>
      <c r="J355" s="174"/>
      <c r="K355" s="174"/>
      <c r="L355" s="174"/>
      <c r="M355" s="174"/>
      <c r="N355" s="174"/>
      <c r="O355" s="174"/>
      <c r="P355" s="174"/>
      <c r="Q355" s="174"/>
      <c r="R355" s="174"/>
      <c r="S355" s="174"/>
      <c r="T355" s="174"/>
      <c r="U355" s="174"/>
      <c r="V355" s="174"/>
      <c r="W355" s="174"/>
      <c r="X355" s="174"/>
      <c r="Y355" s="174"/>
      <c r="Z355" s="174"/>
      <c r="AA355" s="174"/>
    </row>
    <row r="356" customFormat="false" ht="15.75" hidden="false" customHeight="false" outlineLevel="0" collapsed="false">
      <c r="A356" s="174" t="str">
        <f aca="false">IF(ISBLANK(B356),"",B356&amp;"|"&amp;C356)</f>
        <v/>
      </c>
      <c r="B356" s="174"/>
      <c r="C356" s="174"/>
      <c r="D356" s="174"/>
      <c r="E356" s="179"/>
      <c r="F356" s="174"/>
      <c r="G356" s="174"/>
      <c r="H356" s="174"/>
      <c r="I356" s="174"/>
      <c r="J356" s="174"/>
      <c r="K356" s="174"/>
      <c r="L356" s="174"/>
      <c r="M356" s="174"/>
      <c r="N356" s="174"/>
      <c r="O356" s="174"/>
      <c r="P356" s="174"/>
      <c r="Q356" s="174"/>
      <c r="R356" s="174"/>
      <c r="S356" s="174"/>
      <c r="T356" s="174"/>
      <c r="U356" s="174"/>
      <c r="V356" s="174"/>
      <c r="W356" s="174"/>
      <c r="X356" s="174"/>
      <c r="Y356" s="174"/>
      <c r="Z356" s="174"/>
      <c r="AA356" s="174"/>
    </row>
    <row r="357" customFormat="false" ht="15.75" hidden="false" customHeight="false" outlineLevel="0" collapsed="false">
      <c r="A357" s="174" t="str">
        <f aca="false">IF(ISBLANK(B357),"",B357&amp;"|"&amp;C357)</f>
        <v/>
      </c>
      <c r="B357" s="174"/>
      <c r="C357" s="174"/>
      <c r="D357" s="174"/>
      <c r="E357" s="179"/>
      <c r="F357" s="174"/>
      <c r="G357" s="174"/>
      <c r="H357" s="174"/>
      <c r="I357" s="174"/>
      <c r="J357" s="174"/>
      <c r="K357" s="174"/>
      <c r="L357" s="174"/>
      <c r="M357" s="174"/>
      <c r="N357" s="174"/>
      <c r="O357" s="174"/>
      <c r="P357" s="174"/>
      <c r="Q357" s="174"/>
      <c r="R357" s="174"/>
      <c r="S357" s="174"/>
      <c r="T357" s="174"/>
      <c r="U357" s="174"/>
      <c r="V357" s="174"/>
      <c r="W357" s="174"/>
      <c r="X357" s="174"/>
      <c r="Y357" s="174"/>
      <c r="Z357" s="174"/>
      <c r="AA357" s="174"/>
    </row>
    <row r="358" customFormat="false" ht="15.75" hidden="false" customHeight="false" outlineLevel="0" collapsed="false">
      <c r="A358" s="174" t="str">
        <f aca="false">IF(ISBLANK(B358),"",B358&amp;"|"&amp;C358)</f>
        <v/>
      </c>
      <c r="B358" s="174"/>
      <c r="C358" s="174"/>
      <c r="D358" s="174"/>
      <c r="E358" s="179"/>
      <c r="F358" s="174"/>
      <c r="G358" s="174"/>
      <c r="H358" s="174"/>
      <c r="I358" s="174"/>
      <c r="J358" s="174"/>
      <c r="K358" s="174"/>
      <c r="L358" s="174"/>
      <c r="M358" s="174"/>
      <c r="N358" s="174"/>
      <c r="O358" s="174"/>
      <c r="P358" s="174"/>
      <c r="Q358" s="174"/>
      <c r="R358" s="174"/>
      <c r="S358" s="174"/>
      <c r="T358" s="174"/>
      <c r="U358" s="174"/>
      <c r="V358" s="174"/>
      <c r="W358" s="174"/>
      <c r="X358" s="174"/>
      <c r="Y358" s="174"/>
      <c r="Z358" s="174"/>
      <c r="AA358" s="174"/>
    </row>
    <row r="359" customFormat="false" ht="15.75" hidden="false" customHeight="false" outlineLevel="0" collapsed="false">
      <c r="A359" s="174" t="str">
        <f aca="false">IF(ISBLANK(B359),"",B359&amp;"|"&amp;C359)</f>
        <v/>
      </c>
      <c r="B359" s="174"/>
      <c r="C359" s="174"/>
      <c r="D359" s="174"/>
      <c r="E359" s="179"/>
      <c r="F359" s="174"/>
      <c r="G359" s="174"/>
      <c r="H359" s="174"/>
      <c r="I359" s="174"/>
      <c r="J359" s="174"/>
      <c r="K359" s="174"/>
      <c r="L359" s="174"/>
      <c r="M359" s="174"/>
      <c r="N359" s="174"/>
      <c r="O359" s="174"/>
      <c r="P359" s="174"/>
      <c r="Q359" s="174"/>
      <c r="R359" s="174"/>
      <c r="S359" s="174"/>
      <c r="T359" s="174"/>
      <c r="U359" s="174"/>
      <c r="V359" s="174"/>
      <c r="W359" s="174"/>
      <c r="X359" s="174"/>
      <c r="Y359" s="174"/>
      <c r="Z359" s="174"/>
      <c r="AA359" s="174"/>
    </row>
    <row r="360" customFormat="false" ht="15.75" hidden="false" customHeight="false" outlineLevel="0" collapsed="false">
      <c r="A360" s="174" t="str">
        <f aca="false">IF(ISBLANK(B360),"",B360&amp;"|"&amp;C360)</f>
        <v/>
      </c>
      <c r="B360" s="174"/>
      <c r="C360" s="174"/>
      <c r="D360" s="174"/>
      <c r="E360" s="179"/>
      <c r="F360" s="174"/>
      <c r="G360" s="174"/>
      <c r="H360" s="174"/>
      <c r="I360" s="174"/>
      <c r="J360" s="174"/>
      <c r="K360" s="174"/>
      <c r="L360" s="174"/>
      <c r="M360" s="174"/>
      <c r="N360" s="174"/>
      <c r="O360" s="174"/>
      <c r="P360" s="174"/>
      <c r="Q360" s="174"/>
      <c r="R360" s="174"/>
      <c r="S360" s="174"/>
      <c r="T360" s="174"/>
      <c r="U360" s="174"/>
      <c r="V360" s="174"/>
      <c r="W360" s="174"/>
      <c r="X360" s="174"/>
      <c r="Y360" s="174"/>
      <c r="Z360" s="174"/>
      <c r="AA360" s="174"/>
    </row>
    <row r="361" customFormat="false" ht="15.75" hidden="false" customHeight="false" outlineLevel="0" collapsed="false">
      <c r="A361" s="174" t="str">
        <f aca="false">IF(ISBLANK(B361),"",B361&amp;"|"&amp;C361)</f>
        <v/>
      </c>
      <c r="B361" s="174"/>
      <c r="C361" s="174"/>
      <c r="D361" s="174"/>
      <c r="E361" s="179"/>
      <c r="F361" s="174"/>
      <c r="G361" s="174"/>
      <c r="H361" s="174"/>
      <c r="I361" s="174"/>
      <c r="J361" s="174"/>
      <c r="K361" s="174"/>
      <c r="L361" s="174"/>
      <c r="M361" s="174"/>
      <c r="N361" s="174"/>
      <c r="O361" s="174"/>
      <c r="P361" s="174"/>
      <c r="Q361" s="174"/>
      <c r="R361" s="174"/>
      <c r="S361" s="174"/>
      <c r="T361" s="174"/>
      <c r="U361" s="174"/>
      <c r="V361" s="174"/>
      <c r="W361" s="174"/>
      <c r="X361" s="174"/>
      <c r="Y361" s="174"/>
      <c r="Z361" s="174"/>
      <c r="AA361" s="174"/>
    </row>
    <row r="362" customFormat="false" ht="15.75" hidden="false" customHeight="false" outlineLevel="0" collapsed="false">
      <c r="A362" s="174" t="str">
        <f aca="false">IF(ISBLANK(B362),"",B362&amp;"|"&amp;C362)</f>
        <v/>
      </c>
      <c r="B362" s="174"/>
      <c r="C362" s="174"/>
      <c r="D362" s="174"/>
      <c r="E362" s="179"/>
      <c r="F362" s="174"/>
      <c r="G362" s="174"/>
      <c r="H362" s="174"/>
      <c r="I362" s="174"/>
      <c r="J362" s="174"/>
      <c r="K362" s="174"/>
      <c r="L362" s="174"/>
      <c r="M362" s="174"/>
      <c r="N362" s="174"/>
      <c r="O362" s="174"/>
      <c r="P362" s="174"/>
      <c r="Q362" s="174"/>
      <c r="R362" s="174"/>
      <c r="S362" s="174"/>
      <c r="T362" s="174"/>
      <c r="U362" s="174"/>
      <c r="V362" s="174"/>
      <c r="W362" s="174"/>
      <c r="X362" s="174"/>
      <c r="Y362" s="174"/>
      <c r="Z362" s="174"/>
      <c r="AA362" s="174"/>
    </row>
    <row r="363" customFormat="false" ht="15.75" hidden="false" customHeight="false" outlineLevel="0" collapsed="false">
      <c r="A363" s="174" t="str">
        <f aca="false">IF(ISBLANK(B363),"",B363&amp;"|"&amp;C363)</f>
        <v/>
      </c>
      <c r="B363" s="174"/>
      <c r="C363" s="174"/>
      <c r="D363" s="174"/>
      <c r="E363" s="179"/>
      <c r="F363" s="174"/>
      <c r="G363" s="174"/>
      <c r="H363" s="174"/>
      <c r="I363" s="174"/>
      <c r="J363" s="174"/>
      <c r="K363" s="174"/>
      <c r="L363" s="174"/>
      <c r="M363" s="174"/>
      <c r="N363" s="174"/>
      <c r="O363" s="174"/>
      <c r="P363" s="174"/>
      <c r="Q363" s="174"/>
      <c r="R363" s="174"/>
      <c r="S363" s="174"/>
      <c r="T363" s="174"/>
      <c r="U363" s="174"/>
      <c r="V363" s="174"/>
      <c r="W363" s="174"/>
      <c r="X363" s="174"/>
      <c r="Y363" s="174"/>
      <c r="Z363" s="174"/>
      <c r="AA363" s="174"/>
    </row>
    <row r="364" customFormat="false" ht="15.75" hidden="false" customHeight="false" outlineLevel="0" collapsed="false">
      <c r="A364" s="174" t="str">
        <f aca="false">IF(ISBLANK(B364),"",B364&amp;"|"&amp;C364)</f>
        <v/>
      </c>
      <c r="B364" s="174"/>
      <c r="C364" s="174"/>
      <c r="D364" s="174"/>
      <c r="E364" s="179"/>
      <c r="F364" s="174"/>
      <c r="G364" s="174"/>
      <c r="H364" s="174"/>
      <c r="I364" s="174"/>
      <c r="J364" s="174"/>
      <c r="K364" s="174"/>
      <c r="L364" s="174"/>
      <c r="M364" s="174"/>
      <c r="N364" s="174"/>
      <c r="O364" s="174"/>
      <c r="P364" s="174"/>
      <c r="Q364" s="174"/>
      <c r="R364" s="174"/>
      <c r="S364" s="174"/>
      <c r="T364" s="174"/>
      <c r="U364" s="174"/>
      <c r="V364" s="174"/>
      <c r="W364" s="174"/>
      <c r="X364" s="174"/>
      <c r="Y364" s="174"/>
      <c r="Z364" s="174"/>
      <c r="AA364" s="174"/>
    </row>
    <row r="365" customFormat="false" ht="15.75" hidden="false" customHeight="false" outlineLevel="0" collapsed="false">
      <c r="A365" s="174" t="str">
        <f aca="false">IF(ISBLANK(B365),"",B365&amp;"|"&amp;C365)</f>
        <v/>
      </c>
      <c r="B365" s="174"/>
      <c r="C365" s="174"/>
      <c r="D365" s="174"/>
      <c r="E365" s="179"/>
      <c r="F365" s="174"/>
      <c r="G365" s="174"/>
      <c r="H365" s="174"/>
      <c r="I365" s="174"/>
      <c r="J365" s="174"/>
      <c r="K365" s="174"/>
      <c r="L365" s="174"/>
      <c r="M365" s="174"/>
      <c r="N365" s="174"/>
      <c r="O365" s="174"/>
      <c r="P365" s="174"/>
      <c r="Q365" s="174"/>
      <c r="R365" s="174"/>
      <c r="S365" s="174"/>
      <c r="T365" s="174"/>
      <c r="U365" s="174"/>
      <c r="V365" s="174"/>
      <c r="W365" s="174"/>
      <c r="X365" s="174"/>
      <c r="Y365" s="174"/>
      <c r="Z365" s="174"/>
      <c r="AA365" s="174"/>
    </row>
    <row r="366" customFormat="false" ht="15.75" hidden="false" customHeight="false" outlineLevel="0" collapsed="false">
      <c r="A366" s="174" t="str">
        <f aca="false">IF(ISBLANK(B366),"",B366&amp;"|"&amp;C366)</f>
        <v/>
      </c>
      <c r="B366" s="174"/>
      <c r="C366" s="174"/>
      <c r="D366" s="174"/>
      <c r="E366" s="179"/>
      <c r="F366" s="174"/>
      <c r="G366" s="174"/>
      <c r="H366" s="174"/>
      <c r="I366" s="174"/>
      <c r="J366" s="174"/>
      <c r="K366" s="174"/>
      <c r="L366" s="174"/>
      <c r="M366" s="174"/>
      <c r="N366" s="174"/>
      <c r="O366" s="174"/>
      <c r="P366" s="174"/>
      <c r="Q366" s="174"/>
      <c r="R366" s="174"/>
      <c r="S366" s="174"/>
      <c r="T366" s="174"/>
      <c r="U366" s="174"/>
      <c r="V366" s="174"/>
      <c r="W366" s="174"/>
      <c r="X366" s="174"/>
      <c r="Y366" s="174"/>
      <c r="Z366" s="174"/>
      <c r="AA366" s="174"/>
    </row>
    <row r="367" customFormat="false" ht="15.75" hidden="false" customHeight="false" outlineLevel="0" collapsed="false">
      <c r="A367" s="174" t="str">
        <f aca="false">IF(ISBLANK(B367),"",B367&amp;"|"&amp;C367)</f>
        <v/>
      </c>
      <c r="B367" s="174"/>
      <c r="C367" s="174"/>
      <c r="D367" s="174"/>
      <c r="E367" s="179"/>
      <c r="F367" s="174"/>
      <c r="G367" s="174"/>
      <c r="H367" s="174"/>
      <c r="I367" s="174"/>
      <c r="J367" s="174"/>
      <c r="K367" s="174"/>
      <c r="L367" s="174"/>
      <c r="M367" s="174"/>
      <c r="N367" s="174"/>
      <c r="O367" s="174"/>
      <c r="P367" s="174"/>
      <c r="Q367" s="174"/>
      <c r="R367" s="174"/>
      <c r="S367" s="174"/>
      <c r="T367" s="174"/>
      <c r="U367" s="174"/>
      <c r="V367" s="174"/>
      <c r="W367" s="174"/>
      <c r="X367" s="174"/>
      <c r="Y367" s="174"/>
      <c r="Z367" s="174"/>
      <c r="AA367" s="174"/>
    </row>
    <row r="368" customFormat="false" ht="15.75" hidden="false" customHeight="false" outlineLevel="0" collapsed="false">
      <c r="A368" s="174" t="str">
        <f aca="false">IF(ISBLANK(B368),"",B368&amp;"|"&amp;C368)</f>
        <v/>
      </c>
      <c r="B368" s="174"/>
      <c r="C368" s="174"/>
      <c r="D368" s="174"/>
      <c r="E368" s="179"/>
      <c r="F368" s="174"/>
      <c r="G368" s="174"/>
      <c r="H368" s="174"/>
      <c r="I368" s="174"/>
      <c r="J368" s="174"/>
      <c r="K368" s="174"/>
      <c r="L368" s="174"/>
      <c r="M368" s="174"/>
      <c r="N368" s="174"/>
      <c r="O368" s="174"/>
      <c r="P368" s="174"/>
      <c r="Q368" s="174"/>
      <c r="R368" s="174"/>
      <c r="S368" s="174"/>
      <c r="T368" s="174"/>
      <c r="U368" s="174"/>
      <c r="V368" s="174"/>
      <c r="W368" s="174"/>
      <c r="X368" s="174"/>
      <c r="Y368" s="174"/>
      <c r="Z368" s="174"/>
      <c r="AA368" s="174"/>
    </row>
    <row r="369" customFormat="false" ht="15.75" hidden="false" customHeight="false" outlineLevel="0" collapsed="false">
      <c r="A369" s="174" t="str">
        <f aca="false">IF(ISBLANK(B369),"",B369&amp;"|"&amp;C369)</f>
        <v/>
      </c>
      <c r="B369" s="174"/>
      <c r="C369" s="174"/>
      <c r="D369" s="174"/>
      <c r="E369" s="179"/>
      <c r="F369" s="174"/>
      <c r="G369" s="174"/>
      <c r="H369" s="174"/>
      <c r="I369" s="174"/>
      <c r="J369" s="174"/>
      <c r="K369" s="174"/>
      <c r="L369" s="174"/>
      <c r="M369" s="174"/>
      <c r="N369" s="174"/>
      <c r="O369" s="174"/>
      <c r="P369" s="174"/>
      <c r="Q369" s="174"/>
      <c r="R369" s="174"/>
      <c r="S369" s="174"/>
      <c r="T369" s="174"/>
      <c r="U369" s="174"/>
      <c r="V369" s="174"/>
      <c r="W369" s="174"/>
      <c r="X369" s="174"/>
      <c r="Y369" s="174"/>
      <c r="Z369" s="174"/>
      <c r="AA369" s="174"/>
    </row>
    <row r="370" customFormat="false" ht="15.75" hidden="false" customHeight="false" outlineLevel="0" collapsed="false">
      <c r="A370" s="174" t="str">
        <f aca="false">IF(ISBLANK(B370),"",B370&amp;"|"&amp;C370)</f>
        <v/>
      </c>
      <c r="B370" s="174"/>
      <c r="C370" s="174"/>
      <c r="D370" s="174"/>
      <c r="E370" s="179"/>
      <c r="F370" s="174"/>
      <c r="G370" s="174"/>
      <c r="H370" s="174"/>
      <c r="I370" s="174"/>
      <c r="J370" s="174"/>
      <c r="K370" s="174"/>
      <c r="L370" s="174"/>
      <c r="M370" s="174"/>
      <c r="N370" s="174"/>
      <c r="O370" s="174"/>
      <c r="P370" s="174"/>
      <c r="Q370" s="174"/>
      <c r="R370" s="174"/>
      <c r="S370" s="174"/>
      <c r="T370" s="174"/>
      <c r="U370" s="174"/>
      <c r="V370" s="174"/>
      <c r="W370" s="174"/>
      <c r="X370" s="174"/>
      <c r="Y370" s="174"/>
      <c r="Z370" s="174"/>
      <c r="AA370" s="174"/>
    </row>
    <row r="371" customFormat="false" ht="15.75" hidden="false" customHeight="false" outlineLevel="0" collapsed="false">
      <c r="A371" s="174" t="str">
        <f aca="false">IF(ISBLANK(B371),"",B371&amp;"|"&amp;C371)</f>
        <v/>
      </c>
      <c r="B371" s="174"/>
      <c r="C371" s="174"/>
      <c r="D371" s="174"/>
      <c r="E371" s="179"/>
      <c r="F371" s="174"/>
      <c r="G371" s="174"/>
      <c r="H371" s="174"/>
      <c r="I371" s="174"/>
      <c r="J371" s="174"/>
      <c r="K371" s="174"/>
      <c r="L371" s="174"/>
      <c r="M371" s="174"/>
      <c r="N371" s="174"/>
      <c r="O371" s="174"/>
      <c r="P371" s="174"/>
      <c r="Q371" s="174"/>
      <c r="R371" s="174"/>
      <c r="S371" s="174"/>
      <c r="T371" s="174"/>
      <c r="U371" s="174"/>
      <c r="V371" s="174"/>
      <c r="W371" s="174"/>
      <c r="X371" s="174"/>
      <c r="Y371" s="174"/>
      <c r="Z371" s="174"/>
      <c r="AA371" s="174"/>
    </row>
    <row r="372" customFormat="false" ht="15.75" hidden="false" customHeight="false" outlineLevel="0" collapsed="false">
      <c r="A372" s="174" t="str">
        <f aca="false">IF(ISBLANK(B372),"",B372&amp;"|"&amp;C372)</f>
        <v/>
      </c>
      <c r="B372" s="174"/>
      <c r="C372" s="174"/>
      <c r="D372" s="174"/>
      <c r="E372" s="179"/>
      <c r="F372" s="174"/>
      <c r="G372" s="174"/>
      <c r="H372" s="174"/>
      <c r="I372" s="174"/>
      <c r="J372" s="174"/>
      <c r="K372" s="174"/>
      <c r="L372" s="174"/>
      <c r="M372" s="174"/>
      <c r="N372" s="174"/>
      <c r="O372" s="174"/>
      <c r="P372" s="174"/>
      <c r="Q372" s="174"/>
      <c r="R372" s="174"/>
      <c r="S372" s="174"/>
      <c r="T372" s="174"/>
      <c r="U372" s="174"/>
      <c r="V372" s="174"/>
      <c r="W372" s="174"/>
      <c r="X372" s="174"/>
      <c r="Y372" s="174"/>
      <c r="Z372" s="174"/>
      <c r="AA372" s="174"/>
    </row>
    <row r="373" customFormat="false" ht="15.75" hidden="false" customHeight="false" outlineLevel="0" collapsed="false">
      <c r="A373" s="174" t="str">
        <f aca="false">IF(ISBLANK(B373),"",B373&amp;"|"&amp;C373)</f>
        <v/>
      </c>
      <c r="B373" s="174"/>
      <c r="C373" s="174"/>
      <c r="D373" s="174"/>
      <c r="E373" s="179"/>
      <c r="F373" s="174"/>
      <c r="G373" s="174"/>
      <c r="H373" s="174"/>
      <c r="I373" s="174"/>
      <c r="J373" s="174"/>
      <c r="K373" s="174"/>
      <c r="L373" s="174"/>
      <c r="M373" s="174"/>
      <c r="N373" s="174"/>
      <c r="O373" s="174"/>
      <c r="P373" s="174"/>
      <c r="Q373" s="174"/>
      <c r="R373" s="174"/>
      <c r="S373" s="174"/>
      <c r="T373" s="174"/>
      <c r="U373" s="174"/>
      <c r="V373" s="174"/>
      <c r="W373" s="174"/>
      <c r="X373" s="174"/>
      <c r="Y373" s="174"/>
      <c r="Z373" s="174"/>
      <c r="AA373" s="174"/>
    </row>
    <row r="374" customFormat="false" ht="15.75" hidden="false" customHeight="false" outlineLevel="0" collapsed="false">
      <c r="A374" s="174" t="str">
        <f aca="false">IF(ISBLANK(B374),"",B374&amp;"|"&amp;C374)</f>
        <v/>
      </c>
      <c r="B374" s="174"/>
      <c r="C374" s="174"/>
      <c r="D374" s="174"/>
      <c r="E374" s="179"/>
      <c r="F374" s="174"/>
      <c r="G374" s="174"/>
      <c r="H374" s="174"/>
      <c r="I374" s="174"/>
      <c r="J374" s="174"/>
      <c r="K374" s="174"/>
      <c r="L374" s="174"/>
      <c r="M374" s="174"/>
      <c r="N374" s="174"/>
      <c r="O374" s="174"/>
      <c r="P374" s="174"/>
      <c r="Q374" s="174"/>
      <c r="R374" s="174"/>
      <c r="S374" s="174"/>
      <c r="T374" s="174"/>
      <c r="U374" s="174"/>
      <c r="V374" s="174"/>
      <c r="W374" s="174"/>
      <c r="X374" s="174"/>
      <c r="Y374" s="174"/>
      <c r="Z374" s="174"/>
      <c r="AA374" s="174"/>
    </row>
    <row r="375" customFormat="false" ht="15.75" hidden="false" customHeight="false" outlineLevel="0" collapsed="false">
      <c r="A375" s="174" t="str">
        <f aca="false">IF(ISBLANK(B375),"",B375&amp;"|"&amp;C375)</f>
        <v/>
      </c>
      <c r="B375" s="174"/>
      <c r="C375" s="174"/>
      <c r="D375" s="174"/>
      <c r="E375" s="179"/>
      <c r="F375" s="174"/>
      <c r="G375" s="174"/>
      <c r="H375" s="174"/>
      <c r="I375" s="174"/>
      <c r="J375" s="174"/>
      <c r="K375" s="174"/>
      <c r="L375" s="174"/>
      <c r="M375" s="174"/>
      <c r="N375" s="174"/>
      <c r="O375" s="174"/>
      <c r="P375" s="174"/>
      <c r="Q375" s="174"/>
      <c r="R375" s="174"/>
      <c r="S375" s="174"/>
      <c r="T375" s="174"/>
      <c r="U375" s="174"/>
      <c r="V375" s="174"/>
      <c r="W375" s="174"/>
      <c r="X375" s="174"/>
      <c r="Y375" s="174"/>
      <c r="Z375" s="174"/>
      <c r="AA375" s="174"/>
    </row>
    <row r="376" customFormat="false" ht="15.75" hidden="false" customHeight="false" outlineLevel="0" collapsed="false">
      <c r="A376" s="174" t="str">
        <f aca="false">IF(ISBLANK(B376),"",B376&amp;"|"&amp;C376)</f>
        <v/>
      </c>
      <c r="B376" s="174"/>
      <c r="C376" s="174"/>
      <c r="D376" s="174"/>
      <c r="E376" s="179"/>
      <c r="F376" s="174"/>
      <c r="G376" s="174"/>
      <c r="H376" s="174"/>
      <c r="I376" s="174"/>
      <c r="J376" s="174"/>
      <c r="K376" s="174"/>
      <c r="L376" s="174"/>
      <c r="M376" s="174"/>
      <c r="N376" s="174"/>
      <c r="O376" s="174"/>
      <c r="P376" s="174"/>
      <c r="Q376" s="174"/>
      <c r="R376" s="174"/>
      <c r="S376" s="174"/>
      <c r="T376" s="174"/>
      <c r="U376" s="174"/>
      <c r="V376" s="174"/>
      <c r="W376" s="174"/>
      <c r="X376" s="174"/>
      <c r="Y376" s="174"/>
      <c r="Z376" s="174"/>
      <c r="AA376" s="174"/>
    </row>
    <row r="377" customFormat="false" ht="15.75" hidden="false" customHeight="false" outlineLevel="0" collapsed="false">
      <c r="A377" s="174" t="str">
        <f aca="false">IF(ISBLANK(B377),"",B377&amp;"|"&amp;C377)</f>
        <v/>
      </c>
      <c r="B377" s="174"/>
      <c r="C377" s="174"/>
      <c r="D377" s="174"/>
      <c r="E377" s="179"/>
      <c r="F377" s="174"/>
      <c r="G377" s="174"/>
      <c r="H377" s="174"/>
      <c r="I377" s="174"/>
      <c r="J377" s="174"/>
      <c r="K377" s="174"/>
      <c r="L377" s="174"/>
      <c r="M377" s="174"/>
      <c r="N377" s="174"/>
      <c r="O377" s="174"/>
      <c r="P377" s="174"/>
      <c r="Q377" s="174"/>
      <c r="R377" s="174"/>
      <c r="S377" s="174"/>
      <c r="T377" s="174"/>
      <c r="U377" s="174"/>
      <c r="V377" s="174"/>
      <c r="W377" s="174"/>
      <c r="X377" s="174"/>
      <c r="Y377" s="174"/>
      <c r="Z377" s="174"/>
      <c r="AA377" s="174"/>
    </row>
    <row r="378" customFormat="false" ht="15.75" hidden="false" customHeight="false" outlineLevel="0" collapsed="false">
      <c r="A378" s="174" t="str">
        <f aca="false">IF(ISBLANK(B378),"",B378&amp;"|"&amp;C378)</f>
        <v/>
      </c>
      <c r="B378" s="174"/>
      <c r="C378" s="174"/>
      <c r="D378" s="174"/>
      <c r="E378" s="179"/>
      <c r="F378" s="174"/>
      <c r="G378" s="174"/>
      <c r="H378" s="174"/>
      <c r="I378" s="174"/>
      <c r="J378" s="174"/>
      <c r="K378" s="174"/>
      <c r="L378" s="174"/>
      <c r="M378" s="174"/>
      <c r="N378" s="174"/>
      <c r="O378" s="174"/>
      <c r="P378" s="174"/>
      <c r="Q378" s="174"/>
      <c r="R378" s="174"/>
      <c r="S378" s="174"/>
      <c r="T378" s="174"/>
      <c r="U378" s="174"/>
      <c r="V378" s="174"/>
      <c r="W378" s="174"/>
      <c r="X378" s="174"/>
      <c r="Y378" s="174"/>
      <c r="Z378" s="174"/>
      <c r="AA378" s="174"/>
    </row>
    <row r="379" customFormat="false" ht="15.75" hidden="false" customHeight="false" outlineLevel="0" collapsed="false">
      <c r="A379" s="174" t="str">
        <f aca="false">IF(ISBLANK(B379),"",B379&amp;"|"&amp;C379)</f>
        <v/>
      </c>
      <c r="B379" s="174"/>
      <c r="C379" s="174"/>
      <c r="D379" s="174"/>
      <c r="E379" s="179"/>
      <c r="F379" s="174"/>
      <c r="G379" s="174"/>
      <c r="H379" s="174"/>
      <c r="I379" s="174"/>
      <c r="J379" s="174"/>
      <c r="K379" s="174"/>
      <c r="L379" s="174"/>
      <c r="M379" s="174"/>
      <c r="N379" s="174"/>
      <c r="O379" s="174"/>
      <c r="P379" s="174"/>
      <c r="Q379" s="174"/>
      <c r="R379" s="174"/>
      <c r="S379" s="174"/>
      <c r="T379" s="174"/>
      <c r="U379" s="174"/>
      <c r="V379" s="174"/>
      <c r="W379" s="174"/>
      <c r="X379" s="174"/>
      <c r="Y379" s="174"/>
      <c r="Z379" s="174"/>
      <c r="AA379" s="174"/>
    </row>
    <row r="380" customFormat="false" ht="15.75" hidden="false" customHeight="false" outlineLevel="0" collapsed="false">
      <c r="A380" s="174" t="str">
        <f aca="false">IF(ISBLANK(B380),"",B380&amp;"|"&amp;C380)</f>
        <v/>
      </c>
      <c r="B380" s="174"/>
      <c r="C380" s="174"/>
      <c r="D380" s="174"/>
      <c r="E380" s="179"/>
      <c r="F380" s="174"/>
      <c r="G380" s="174"/>
      <c r="H380" s="174"/>
      <c r="I380" s="174"/>
      <c r="J380" s="174"/>
      <c r="K380" s="174"/>
      <c r="L380" s="174"/>
      <c r="M380" s="174"/>
      <c r="N380" s="174"/>
      <c r="O380" s="174"/>
      <c r="P380" s="174"/>
      <c r="Q380" s="174"/>
      <c r="R380" s="174"/>
      <c r="S380" s="174"/>
      <c r="T380" s="174"/>
      <c r="U380" s="174"/>
      <c r="V380" s="174"/>
      <c r="W380" s="174"/>
      <c r="X380" s="174"/>
      <c r="Y380" s="174"/>
      <c r="Z380" s="174"/>
      <c r="AA380" s="174"/>
    </row>
    <row r="381" customFormat="false" ht="15.75" hidden="false" customHeight="false" outlineLevel="0" collapsed="false">
      <c r="A381" s="174" t="str">
        <f aca="false">IF(ISBLANK(B381),"",B381&amp;"|"&amp;C381)</f>
        <v/>
      </c>
      <c r="B381" s="174"/>
      <c r="C381" s="174"/>
      <c r="D381" s="174"/>
      <c r="E381" s="179"/>
      <c r="F381" s="174"/>
      <c r="G381" s="174"/>
      <c r="H381" s="174"/>
      <c r="I381" s="174"/>
      <c r="J381" s="174"/>
      <c r="K381" s="174"/>
      <c r="L381" s="174"/>
      <c r="M381" s="174"/>
      <c r="N381" s="174"/>
      <c r="O381" s="174"/>
      <c r="P381" s="174"/>
      <c r="Q381" s="174"/>
      <c r="R381" s="174"/>
      <c r="S381" s="174"/>
      <c r="T381" s="174"/>
      <c r="U381" s="174"/>
      <c r="V381" s="174"/>
      <c r="W381" s="174"/>
      <c r="X381" s="174"/>
      <c r="Y381" s="174"/>
      <c r="Z381" s="174"/>
      <c r="AA381" s="174"/>
    </row>
    <row r="382" customFormat="false" ht="15.75" hidden="false" customHeight="false" outlineLevel="0" collapsed="false">
      <c r="A382" s="174" t="str">
        <f aca="false">IF(ISBLANK(B382),"",B382&amp;"|"&amp;C382)</f>
        <v/>
      </c>
      <c r="B382" s="174"/>
      <c r="C382" s="174"/>
      <c r="D382" s="174"/>
      <c r="E382" s="179"/>
      <c r="F382" s="174"/>
      <c r="G382" s="174"/>
      <c r="H382" s="174"/>
      <c r="I382" s="174"/>
      <c r="J382" s="174"/>
      <c r="K382" s="174"/>
      <c r="L382" s="174"/>
      <c r="M382" s="174"/>
      <c r="N382" s="174"/>
      <c r="O382" s="174"/>
      <c r="P382" s="174"/>
      <c r="Q382" s="174"/>
      <c r="R382" s="174"/>
      <c r="S382" s="174"/>
      <c r="T382" s="174"/>
      <c r="U382" s="174"/>
      <c r="V382" s="174"/>
      <c r="W382" s="174"/>
      <c r="X382" s="174"/>
      <c r="Y382" s="174"/>
      <c r="Z382" s="174"/>
      <c r="AA382" s="174"/>
    </row>
    <row r="383" customFormat="false" ht="15.75" hidden="false" customHeight="false" outlineLevel="0" collapsed="false">
      <c r="A383" s="174" t="str">
        <f aca="false">IF(ISBLANK(B383),"",B383&amp;"|"&amp;C383)</f>
        <v/>
      </c>
      <c r="B383" s="174"/>
      <c r="C383" s="174"/>
      <c r="D383" s="174"/>
      <c r="E383" s="179"/>
      <c r="F383" s="174"/>
      <c r="G383" s="174"/>
      <c r="H383" s="174"/>
      <c r="I383" s="174"/>
      <c r="J383" s="174"/>
      <c r="K383" s="174"/>
      <c r="L383" s="174"/>
      <c r="M383" s="174"/>
      <c r="N383" s="174"/>
      <c r="O383" s="174"/>
      <c r="P383" s="174"/>
      <c r="Q383" s="174"/>
      <c r="R383" s="174"/>
      <c r="S383" s="174"/>
      <c r="T383" s="174"/>
      <c r="U383" s="174"/>
      <c r="V383" s="174"/>
      <c r="W383" s="174"/>
      <c r="X383" s="174"/>
      <c r="Y383" s="174"/>
      <c r="Z383" s="174"/>
      <c r="AA383" s="174"/>
    </row>
    <row r="384" customFormat="false" ht="15.75" hidden="false" customHeight="false" outlineLevel="0" collapsed="false">
      <c r="A384" s="174" t="str">
        <f aca="false">IF(ISBLANK(B384),"",B384&amp;"|"&amp;C384)</f>
        <v/>
      </c>
      <c r="B384" s="174"/>
      <c r="C384" s="174"/>
      <c r="D384" s="174"/>
      <c r="E384" s="179"/>
      <c r="F384" s="174"/>
      <c r="G384" s="174"/>
      <c r="H384" s="174"/>
      <c r="I384" s="174"/>
      <c r="J384" s="174"/>
      <c r="K384" s="174"/>
      <c r="L384" s="174"/>
      <c r="M384" s="174"/>
      <c r="N384" s="174"/>
      <c r="O384" s="174"/>
      <c r="P384" s="174"/>
      <c r="Q384" s="174"/>
      <c r="R384" s="174"/>
      <c r="S384" s="174"/>
      <c r="T384" s="174"/>
      <c r="U384" s="174"/>
      <c r="V384" s="174"/>
      <c r="W384" s="174"/>
      <c r="X384" s="174"/>
      <c r="Y384" s="174"/>
      <c r="Z384" s="174"/>
      <c r="AA384" s="174"/>
    </row>
    <row r="385" customFormat="false" ht="15.75" hidden="false" customHeight="false" outlineLevel="0" collapsed="false">
      <c r="A385" s="174" t="str">
        <f aca="false">IF(ISBLANK(B385),"",B385&amp;"|"&amp;C385)</f>
        <v/>
      </c>
      <c r="B385" s="174"/>
      <c r="C385" s="174"/>
      <c r="D385" s="174"/>
      <c r="E385" s="179"/>
      <c r="F385" s="174"/>
      <c r="G385" s="174"/>
      <c r="H385" s="174"/>
      <c r="I385" s="174"/>
      <c r="J385" s="174"/>
      <c r="K385" s="174"/>
      <c r="L385" s="174"/>
      <c r="M385" s="174"/>
      <c r="N385" s="174"/>
      <c r="O385" s="174"/>
      <c r="P385" s="174"/>
      <c r="Q385" s="174"/>
      <c r="R385" s="174"/>
      <c r="S385" s="174"/>
      <c r="T385" s="174"/>
      <c r="U385" s="174"/>
      <c r="V385" s="174"/>
      <c r="W385" s="174"/>
      <c r="X385" s="174"/>
      <c r="Y385" s="174"/>
      <c r="Z385" s="174"/>
      <c r="AA385" s="174"/>
    </row>
    <row r="386" customFormat="false" ht="15.75" hidden="false" customHeight="false" outlineLevel="0" collapsed="false">
      <c r="A386" s="174" t="str">
        <f aca="false">IF(ISBLANK(B386),"",B386&amp;"|"&amp;C386)</f>
        <v/>
      </c>
      <c r="B386" s="174"/>
      <c r="C386" s="174"/>
      <c r="D386" s="174"/>
      <c r="E386" s="179"/>
      <c r="F386" s="174"/>
      <c r="G386" s="174"/>
      <c r="H386" s="174"/>
      <c r="I386" s="174"/>
      <c r="J386" s="174"/>
      <c r="K386" s="174"/>
      <c r="L386" s="174"/>
      <c r="M386" s="174"/>
      <c r="N386" s="174"/>
      <c r="O386" s="174"/>
      <c r="P386" s="174"/>
      <c r="Q386" s="174"/>
      <c r="R386" s="174"/>
      <c r="S386" s="174"/>
      <c r="T386" s="174"/>
      <c r="U386" s="174"/>
      <c r="V386" s="174"/>
      <c r="W386" s="174"/>
      <c r="X386" s="174"/>
      <c r="Y386" s="174"/>
      <c r="Z386" s="174"/>
      <c r="AA386" s="174"/>
    </row>
    <row r="387" customFormat="false" ht="15.75" hidden="false" customHeight="false" outlineLevel="0" collapsed="false">
      <c r="A387" s="174" t="str">
        <f aca="false">IF(ISBLANK(B387),"",B387&amp;"|"&amp;C387)</f>
        <v/>
      </c>
      <c r="B387" s="174"/>
      <c r="C387" s="174"/>
      <c r="D387" s="174"/>
      <c r="E387" s="179"/>
      <c r="F387" s="174"/>
      <c r="G387" s="174"/>
      <c r="H387" s="174"/>
      <c r="I387" s="174"/>
      <c r="J387" s="174"/>
      <c r="K387" s="174"/>
      <c r="L387" s="174"/>
      <c r="M387" s="174"/>
      <c r="N387" s="174"/>
      <c r="O387" s="174"/>
      <c r="P387" s="174"/>
      <c r="Q387" s="174"/>
      <c r="R387" s="174"/>
      <c r="S387" s="174"/>
      <c r="T387" s="174"/>
      <c r="U387" s="174"/>
      <c r="V387" s="174"/>
      <c r="W387" s="174"/>
      <c r="X387" s="174"/>
      <c r="Y387" s="174"/>
      <c r="Z387" s="174"/>
      <c r="AA387" s="174"/>
    </row>
    <row r="388" customFormat="false" ht="15.75" hidden="false" customHeight="false" outlineLevel="0" collapsed="false">
      <c r="A388" s="174" t="str">
        <f aca="false">IF(ISBLANK(B388),"",B388&amp;"|"&amp;C388)</f>
        <v/>
      </c>
      <c r="B388" s="174"/>
      <c r="C388" s="174"/>
      <c r="D388" s="174"/>
      <c r="E388" s="179"/>
      <c r="F388" s="174"/>
      <c r="G388" s="174"/>
      <c r="H388" s="174"/>
      <c r="I388" s="174"/>
      <c r="J388" s="174"/>
      <c r="K388" s="174"/>
      <c r="L388" s="174"/>
      <c r="M388" s="174"/>
      <c r="N388" s="174"/>
      <c r="O388" s="174"/>
      <c r="P388" s="174"/>
      <c r="Q388" s="174"/>
      <c r="R388" s="174"/>
      <c r="S388" s="174"/>
      <c r="T388" s="174"/>
      <c r="U388" s="174"/>
      <c r="V388" s="174"/>
      <c r="W388" s="174"/>
      <c r="X388" s="174"/>
      <c r="Y388" s="174"/>
      <c r="Z388" s="174"/>
      <c r="AA388" s="174"/>
    </row>
    <row r="389" customFormat="false" ht="15.75" hidden="false" customHeight="false" outlineLevel="0" collapsed="false">
      <c r="A389" s="174" t="str">
        <f aca="false">IF(ISBLANK(B389),"",B389&amp;"|"&amp;C389)</f>
        <v/>
      </c>
      <c r="B389" s="174"/>
      <c r="C389" s="174"/>
      <c r="D389" s="174"/>
      <c r="E389" s="179"/>
      <c r="F389" s="174"/>
      <c r="G389" s="174"/>
      <c r="H389" s="174"/>
      <c r="I389" s="174"/>
      <c r="J389" s="174"/>
      <c r="K389" s="174"/>
      <c r="L389" s="174"/>
      <c r="M389" s="174"/>
      <c r="N389" s="174"/>
      <c r="O389" s="174"/>
      <c r="P389" s="174"/>
      <c r="Q389" s="174"/>
      <c r="R389" s="174"/>
      <c r="S389" s="174"/>
      <c r="T389" s="174"/>
      <c r="U389" s="174"/>
      <c r="V389" s="174"/>
      <c r="W389" s="174"/>
      <c r="X389" s="174"/>
      <c r="Y389" s="174"/>
      <c r="Z389" s="174"/>
      <c r="AA389" s="174"/>
    </row>
    <row r="390" customFormat="false" ht="15.75" hidden="false" customHeight="false" outlineLevel="0" collapsed="false">
      <c r="A390" s="174" t="str">
        <f aca="false">IF(ISBLANK(B390),"",B390&amp;"|"&amp;C390)</f>
        <v/>
      </c>
      <c r="B390" s="174"/>
      <c r="C390" s="174"/>
      <c r="D390" s="174"/>
      <c r="E390" s="179"/>
      <c r="F390" s="174"/>
      <c r="G390" s="174"/>
      <c r="H390" s="174"/>
      <c r="I390" s="174"/>
      <c r="J390" s="174"/>
      <c r="K390" s="174"/>
      <c r="L390" s="174"/>
      <c r="M390" s="174"/>
      <c r="N390" s="174"/>
      <c r="O390" s="174"/>
      <c r="P390" s="174"/>
      <c r="Q390" s="174"/>
      <c r="R390" s="174"/>
      <c r="S390" s="174"/>
      <c r="T390" s="174"/>
      <c r="U390" s="174"/>
      <c r="V390" s="174"/>
      <c r="W390" s="174"/>
      <c r="X390" s="174"/>
      <c r="Y390" s="174"/>
      <c r="Z390" s="174"/>
      <c r="AA390" s="174"/>
    </row>
    <row r="391" customFormat="false" ht="15.75" hidden="false" customHeight="false" outlineLevel="0" collapsed="false">
      <c r="A391" s="174" t="str">
        <f aca="false">IF(ISBLANK(B391),"",B391&amp;"|"&amp;C391)</f>
        <v/>
      </c>
      <c r="B391" s="174"/>
      <c r="C391" s="174"/>
      <c r="D391" s="174"/>
      <c r="E391" s="179"/>
      <c r="F391" s="174"/>
      <c r="G391" s="174"/>
      <c r="H391" s="174"/>
      <c r="I391" s="174"/>
      <c r="J391" s="174"/>
      <c r="K391" s="174"/>
      <c r="L391" s="174"/>
      <c r="M391" s="174"/>
      <c r="N391" s="174"/>
      <c r="O391" s="174"/>
      <c r="P391" s="174"/>
      <c r="Q391" s="174"/>
      <c r="R391" s="174"/>
      <c r="S391" s="174"/>
      <c r="T391" s="174"/>
      <c r="U391" s="174"/>
      <c r="V391" s="174"/>
      <c r="W391" s="174"/>
      <c r="X391" s="174"/>
      <c r="Y391" s="174"/>
      <c r="Z391" s="174"/>
      <c r="AA391" s="174"/>
    </row>
    <row r="392" customFormat="false" ht="15.75" hidden="false" customHeight="false" outlineLevel="0" collapsed="false">
      <c r="A392" s="174" t="str">
        <f aca="false">IF(ISBLANK(B392),"",B392&amp;"|"&amp;C392)</f>
        <v/>
      </c>
      <c r="B392" s="174"/>
      <c r="C392" s="174"/>
      <c r="D392" s="174"/>
      <c r="E392" s="179"/>
      <c r="F392" s="174"/>
      <c r="G392" s="174"/>
      <c r="H392" s="174"/>
      <c r="I392" s="174"/>
      <c r="J392" s="174"/>
      <c r="K392" s="174"/>
      <c r="L392" s="174"/>
      <c r="M392" s="174"/>
      <c r="N392" s="174"/>
      <c r="O392" s="174"/>
      <c r="P392" s="174"/>
      <c r="Q392" s="174"/>
      <c r="R392" s="174"/>
      <c r="S392" s="174"/>
      <c r="T392" s="174"/>
      <c r="U392" s="174"/>
      <c r="V392" s="174"/>
      <c r="W392" s="174"/>
      <c r="X392" s="174"/>
      <c r="Y392" s="174"/>
      <c r="Z392" s="174"/>
      <c r="AA392" s="174"/>
    </row>
    <row r="393" customFormat="false" ht="15.75" hidden="false" customHeight="false" outlineLevel="0" collapsed="false">
      <c r="A393" s="174" t="str">
        <f aca="false">IF(ISBLANK(B393),"",B393&amp;"|"&amp;C393)</f>
        <v/>
      </c>
      <c r="B393" s="174"/>
      <c r="C393" s="174"/>
      <c r="D393" s="174"/>
      <c r="E393" s="179"/>
      <c r="F393" s="174"/>
      <c r="G393" s="174"/>
      <c r="H393" s="174"/>
      <c r="I393" s="174"/>
      <c r="J393" s="174"/>
      <c r="K393" s="174"/>
      <c r="L393" s="174"/>
      <c r="M393" s="174"/>
      <c r="N393" s="174"/>
      <c r="O393" s="174"/>
      <c r="P393" s="174"/>
      <c r="Q393" s="174"/>
      <c r="R393" s="174"/>
      <c r="S393" s="174"/>
      <c r="T393" s="174"/>
      <c r="U393" s="174"/>
      <c r="V393" s="174"/>
      <c r="W393" s="174"/>
      <c r="X393" s="174"/>
      <c r="Y393" s="174"/>
      <c r="Z393" s="174"/>
      <c r="AA393" s="174"/>
    </row>
    <row r="394" customFormat="false" ht="15.75" hidden="false" customHeight="false" outlineLevel="0" collapsed="false">
      <c r="A394" s="174" t="str">
        <f aca="false">IF(ISBLANK(B394),"",B394&amp;"|"&amp;C394)</f>
        <v/>
      </c>
      <c r="B394" s="174"/>
      <c r="C394" s="174"/>
      <c r="D394" s="174"/>
      <c r="E394" s="179"/>
      <c r="F394" s="174"/>
      <c r="G394" s="174"/>
      <c r="H394" s="174"/>
      <c r="I394" s="174"/>
      <c r="J394" s="174"/>
      <c r="K394" s="174"/>
      <c r="L394" s="174"/>
      <c r="M394" s="174"/>
      <c r="N394" s="174"/>
      <c r="O394" s="174"/>
      <c r="P394" s="174"/>
      <c r="Q394" s="174"/>
      <c r="R394" s="174"/>
      <c r="S394" s="174"/>
      <c r="T394" s="174"/>
      <c r="U394" s="174"/>
      <c r="V394" s="174"/>
      <c r="W394" s="174"/>
      <c r="X394" s="174"/>
      <c r="Y394" s="174"/>
      <c r="Z394" s="174"/>
      <c r="AA394" s="174"/>
    </row>
    <row r="395" customFormat="false" ht="15.75" hidden="false" customHeight="false" outlineLevel="0" collapsed="false">
      <c r="A395" s="174" t="str">
        <f aca="false">IF(ISBLANK(B395),"",B395&amp;"|"&amp;C395)</f>
        <v/>
      </c>
      <c r="B395" s="174"/>
      <c r="C395" s="174"/>
      <c r="D395" s="174"/>
      <c r="E395" s="179"/>
      <c r="F395" s="174"/>
      <c r="G395" s="174"/>
      <c r="H395" s="174"/>
      <c r="I395" s="174"/>
      <c r="J395" s="174"/>
      <c r="K395" s="174"/>
      <c r="L395" s="174"/>
      <c r="M395" s="174"/>
      <c r="N395" s="174"/>
      <c r="O395" s="174"/>
      <c r="P395" s="174"/>
      <c r="Q395" s="174"/>
      <c r="R395" s="174"/>
      <c r="S395" s="174"/>
      <c r="T395" s="174"/>
      <c r="U395" s="174"/>
      <c r="V395" s="174"/>
      <c r="W395" s="174"/>
      <c r="X395" s="174"/>
      <c r="Y395" s="174"/>
      <c r="Z395" s="174"/>
      <c r="AA395" s="174"/>
    </row>
    <row r="396" customFormat="false" ht="15.75" hidden="false" customHeight="false" outlineLevel="0" collapsed="false">
      <c r="A396" s="174" t="str">
        <f aca="false">IF(ISBLANK(B396),"",B396&amp;"|"&amp;C396)</f>
        <v/>
      </c>
      <c r="B396" s="174"/>
      <c r="C396" s="174"/>
      <c r="D396" s="174"/>
      <c r="E396" s="179"/>
      <c r="F396" s="174"/>
      <c r="G396" s="174"/>
      <c r="H396" s="174"/>
      <c r="I396" s="174"/>
      <c r="J396" s="174"/>
      <c r="K396" s="174"/>
      <c r="L396" s="174"/>
      <c r="M396" s="174"/>
      <c r="N396" s="174"/>
      <c r="O396" s="174"/>
      <c r="P396" s="174"/>
      <c r="Q396" s="174"/>
      <c r="R396" s="174"/>
      <c r="S396" s="174"/>
      <c r="T396" s="174"/>
      <c r="U396" s="174"/>
      <c r="V396" s="174"/>
      <c r="W396" s="174"/>
      <c r="X396" s="174"/>
      <c r="Y396" s="174"/>
      <c r="Z396" s="174"/>
      <c r="AA396" s="174"/>
    </row>
    <row r="397" customFormat="false" ht="15.75" hidden="false" customHeight="false" outlineLevel="0" collapsed="false">
      <c r="A397" s="174" t="str">
        <f aca="false">IF(ISBLANK(B397),"",B397&amp;"|"&amp;C397)</f>
        <v/>
      </c>
      <c r="B397" s="174"/>
      <c r="C397" s="174"/>
      <c r="D397" s="174"/>
      <c r="E397" s="179"/>
      <c r="F397" s="174"/>
      <c r="G397" s="174"/>
      <c r="H397" s="174"/>
      <c r="I397" s="174"/>
      <c r="J397" s="174"/>
      <c r="K397" s="174"/>
      <c r="L397" s="174"/>
      <c r="M397" s="174"/>
      <c r="N397" s="174"/>
      <c r="O397" s="174"/>
      <c r="P397" s="174"/>
      <c r="Q397" s="174"/>
      <c r="R397" s="174"/>
      <c r="S397" s="174"/>
      <c r="T397" s="174"/>
      <c r="U397" s="174"/>
      <c r="V397" s="174"/>
      <c r="W397" s="174"/>
      <c r="X397" s="174"/>
      <c r="Y397" s="174"/>
      <c r="Z397" s="174"/>
      <c r="AA397" s="174"/>
    </row>
    <row r="398" customFormat="false" ht="15.75" hidden="false" customHeight="false" outlineLevel="0" collapsed="false">
      <c r="A398" s="174" t="str">
        <f aca="false">IF(ISBLANK(B398),"",B398&amp;"|"&amp;C398)</f>
        <v/>
      </c>
      <c r="B398" s="174"/>
      <c r="C398" s="174"/>
      <c r="D398" s="174"/>
      <c r="E398" s="179"/>
      <c r="F398" s="174"/>
      <c r="G398" s="174"/>
      <c r="H398" s="174"/>
      <c r="I398" s="174"/>
      <c r="J398" s="174"/>
      <c r="K398" s="174"/>
      <c r="L398" s="174"/>
      <c r="M398" s="174"/>
      <c r="N398" s="174"/>
      <c r="O398" s="174"/>
      <c r="P398" s="174"/>
      <c r="Q398" s="174"/>
      <c r="R398" s="174"/>
      <c r="S398" s="174"/>
      <c r="T398" s="174"/>
      <c r="U398" s="174"/>
      <c r="V398" s="174"/>
      <c r="W398" s="174"/>
      <c r="X398" s="174"/>
      <c r="Y398" s="174"/>
      <c r="Z398" s="174"/>
      <c r="AA398" s="174"/>
    </row>
    <row r="399" customFormat="false" ht="15.75" hidden="false" customHeight="false" outlineLevel="0" collapsed="false">
      <c r="A399" s="174" t="str">
        <f aca="false">IF(ISBLANK(B399),"",B399&amp;"|"&amp;C399)</f>
        <v/>
      </c>
      <c r="B399" s="174"/>
      <c r="C399" s="174"/>
      <c r="D399" s="174"/>
      <c r="E399" s="179"/>
      <c r="F399" s="174"/>
      <c r="G399" s="174"/>
      <c r="H399" s="174"/>
      <c r="I399" s="174"/>
      <c r="J399" s="174"/>
      <c r="K399" s="174"/>
      <c r="L399" s="174"/>
      <c r="M399" s="174"/>
      <c r="N399" s="174"/>
      <c r="O399" s="174"/>
      <c r="P399" s="174"/>
      <c r="Q399" s="174"/>
      <c r="R399" s="174"/>
      <c r="S399" s="174"/>
      <c r="T399" s="174"/>
      <c r="U399" s="174"/>
      <c r="V399" s="174"/>
      <c r="W399" s="174"/>
      <c r="X399" s="174"/>
      <c r="Y399" s="174"/>
      <c r="Z399" s="174"/>
      <c r="AA399" s="174"/>
    </row>
    <row r="400" customFormat="false" ht="15.75" hidden="false" customHeight="false" outlineLevel="0" collapsed="false">
      <c r="A400" s="174" t="str">
        <f aca="false">IF(ISBLANK(B400),"",B400&amp;"|"&amp;C400)</f>
        <v/>
      </c>
      <c r="B400" s="174"/>
      <c r="C400" s="174"/>
      <c r="D400" s="174"/>
      <c r="E400" s="179"/>
      <c r="F400" s="174"/>
      <c r="G400" s="174"/>
      <c r="H400" s="174"/>
      <c r="I400" s="174"/>
      <c r="J400" s="174"/>
      <c r="K400" s="174"/>
      <c r="L400" s="174"/>
      <c r="M400" s="174"/>
      <c r="N400" s="174"/>
      <c r="O400" s="174"/>
      <c r="P400" s="174"/>
      <c r="Q400" s="174"/>
      <c r="R400" s="174"/>
      <c r="S400" s="174"/>
      <c r="T400" s="174"/>
      <c r="U400" s="174"/>
      <c r="V400" s="174"/>
      <c r="W400" s="174"/>
      <c r="X400" s="174"/>
      <c r="Y400" s="174"/>
      <c r="Z400" s="174"/>
      <c r="AA400" s="174"/>
    </row>
    <row r="401" customFormat="false" ht="15.75" hidden="false" customHeight="false" outlineLevel="0" collapsed="false">
      <c r="A401" s="174" t="str">
        <f aca="false">IF(ISBLANK(B401),"",B401&amp;"|"&amp;C401)</f>
        <v/>
      </c>
      <c r="B401" s="174"/>
      <c r="C401" s="174"/>
      <c r="D401" s="174"/>
      <c r="E401" s="179"/>
      <c r="F401" s="174"/>
      <c r="G401" s="174"/>
      <c r="H401" s="174"/>
      <c r="I401" s="174"/>
      <c r="J401" s="174"/>
      <c r="K401" s="174"/>
      <c r="L401" s="174"/>
      <c r="M401" s="174"/>
      <c r="N401" s="174"/>
      <c r="O401" s="174"/>
      <c r="P401" s="174"/>
      <c r="Q401" s="174"/>
      <c r="R401" s="174"/>
      <c r="S401" s="174"/>
      <c r="T401" s="174"/>
      <c r="U401" s="174"/>
      <c r="V401" s="174"/>
      <c r="W401" s="174"/>
      <c r="X401" s="174"/>
      <c r="Y401" s="174"/>
      <c r="Z401" s="174"/>
      <c r="AA401" s="174"/>
    </row>
    <row r="402" customFormat="false" ht="15.75" hidden="false" customHeight="false" outlineLevel="0" collapsed="false">
      <c r="A402" s="174" t="str">
        <f aca="false">IF(ISBLANK(B402),"",B402&amp;"|"&amp;C402)</f>
        <v/>
      </c>
      <c r="B402" s="174"/>
      <c r="C402" s="174"/>
      <c r="D402" s="174"/>
      <c r="E402" s="179"/>
      <c r="F402" s="174"/>
      <c r="G402" s="174"/>
      <c r="H402" s="174"/>
      <c r="I402" s="174"/>
      <c r="J402" s="174"/>
      <c r="K402" s="174"/>
      <c r="L402" s="174"/>
      <c r="M402" s="174"/>
      <c r="N402" s="174"/>
      <c r="O402" s="174"/>
      <c r="P402" s="174"/>
      <c r="Q402" s="174"/>
      <c r="R402" s="174"/>
      <c r="S402" s="174"/>
      <c r="T402" s="174"/>
      <c r="U402" s="174"/>
      <c r="V402" s="174"/>
      <c r="W402" s="174"/>
      <c r="X402" s="174"/>
      <c r="Y402" s="174"/>
      <c r="Z402" s="174"/>
      <c r="AA402" s="174"/>
    </row>
    <row r="403" customFormat="false" ht="15.75" hidden="false" customHeight="false" outlineLevel="0" collapsed="false">
      <c r="A403" s="174" t="str">
        <f aca="false">IF(ISBLANK(B403),"",B403&amp;"|"&amp;C403)</f>
        <v/>
      </c>
      <c r="B403" s="174"/>
      <c r="C403" s="174"/>
      <c r="D403" s="174"/>
      <c r="E403" s="179"/>
      <c r="F403" s="174"/>
      <c r="G403" s="174"/>
      <c r="H403" s="174"/>
      <c r="I403" s="174"/>
      <c r="J403" s="174"/>
      <c r="K403" s="174"/>
      <c r="L403" s="174"/>
      <c r="M403" s="174"/>
      <c r="N403" s="174"/>
      <c r="O403" s="174"/>
      <c r="P403" s="174"/>
      <c r="Q403" s="174"/>
      <c r="R403" s="174"/>
      <c r="S403" s="174"/>
      <c r="T403" s="174"/>
      <c r="U403" s="174"/>
      <c r="V403" s="174"/>
      <c r="W403" s="174"/>
      <c r="X403" s="174"/>
      <c r="Y403" s="174"/>
      <c r="Z403" s="174"/>
      <c r="AA403" s="174"/>
    </row>
    <row r="404" customFormat="false" ht="15.75" hidden="false" customHeight="false" outlineLevel="0" collapsed="false">
      <c r="A404" s="174" t="str">
        <f aca="false">IF(ISBLANK(B404),"",B404&amp;"|"&amp;C404)</f>
        <v/>
      </c>
      <c r="B404" s="174"/>
      <c r="C404" s="174"/>
      <c r="D404" s="174"/>
      <c r="E404" s="179"/>
      <c r="F404" s="174"/>
      <c r="G404" s="174"/>
      <c r="H404" s="174"/>
      <c r="I404" s="174"/>
      <c r="J404" s="174"/>
      <c r="K404" s="174"/>
      <c r="L404" s="174"/>
      <c r="M404" s="174"/>
      <c r="N404" s="174"/>
      <c r="O404" s="174"/>
      <c r="P404" s="174"/>
      <c r="Q404" s="174"/>
      <c r="R404" s="174"/>
      <c r="S404" s="174"/>
      <c r="T404" s="174"/>
      <c r="U404" s="174"/>
      <c r="V404" s="174"/>
      <c r="W404" s="174"/>
      <c r="X404" s="174"/>
      <c r="Y404" s="174"/>
      <c r="Z404" s="174"/>
      <c r="AA404" s="174"/>
    </row>
    <row r="405" customFormat="false" ht="15.75" hidden="false" customHeight="false" outlineLevel="0" collapsed="false">
      <c r="A405" s="174" t="str">
        <f aca="false">IF(ISBLANK(B405),"",B405&amp;"|"&amp;C405)</f>
        <v/>
      </c>
      <c r="B405" s="174"/>
      <c r="C405" s="174"/>
      <c r="D405" s="174"/>
      <c r="E405" s="179"/>
      <c r="F405" s="174"/>
      <c r="G405" s="174"/>
      <c r="H405" s="174"/>
      <c r="I405" s="174"/>
      <c r="J405" s="174"/>
      <c r="K405" s="174"/>
      <c r="L405" s="174"/>
      <c r="M405" s="174"/>
      <c r="N405" s="174"/>
      <c r="O405" s="174"/>
      <c r="P405" s="174"/>
      <c r="Q405" s="174"/>
      <c r="R405" s="174"/>
      <c r="S405" s="174"/>
      <c r="T405" s="174"/>
      <c r="U405" s="174"/>
      <c r="V405" s="174"/>
      <c r="W405" s="174"/>
      <c r="X405" s="174"/>
      <c r="Y405" s="174"/>
      <c r="Z405" s="174"/>
      <c r="AA405" s="174"/>
    </row>
    <row r="406" customFormat="false" ht="15.75" hidden="false" customHeight="false" outlineLevel="0" collapsed="false">
      <c r="A406" s="174" t="str">
        <f aca="false">IF(ISBLANK(B406),"",B406&amp;"|"&amp;C406)</f>
        <v/>
      </c>
      <c r="B406" s="174"/>
      <c r="C406" s="174"/>
      <c r="D406" s="174"/>
      <c r="E406" s="179"/>
      <c r="F406" s="174"/>
      <c r="G406" s="174"/>
      <c r="H406" s="174"/>
      <c r="I406" s="174"/>
      <c r="J406" s="174"/>
      <c r="K406" s="174"/>
      <c r="L406" s="174"/>
      <c r="M406" s="174"/>
      <c r="N406" s="174"/>
      <c r="O406" s="174"/>
      <c r="P406" s="174"/>
      <c r="Q406" s="174"/>
      <c r="R406" s="174"/>
      <c r="S406" s="174"/>
      <c r="T406" s="174"/>
      <c r="U406" s="174"/>
      <c r="V406" s="174"/>
      <c r="W406" s="174"/>
      <c r="X406" s="174"/>
      <c r="Y406" s="174"/>
      <c r="Z406" s="174"/>
      <c r="AA406" s="174"/>
    </row>
    <row r="407" customFormat="false" ht="15.75" hidden="false" customHeight="false" outlineLevel="0" collapsed="false">
      <c r="A407" s="174" t="str">
        <f aca="false">IF(ISBLANK(B407),"",B407&amp;"|"&amp;C407)</f>
        <v/>
      </c>
      <c r="B407" s="174"/>
      <c r="C407" s="174"/>
      <c r="D407" s="174"/>
      <c r="E407" s="179"/>
      <c r="F407" s="174"/>
      <c r="G407" s="174"/>
      <c r="H407" s="174"/>
      <c r="I407" s="174"/>
      <c r="J407" s="174"/>
      <c r="K407" s="174"/>
      <c r="L407" s="174"/>
      <c r="M407" s="174"/>
      <c r="N407" s="174"/>
      <c r="O407" s="174"/>
      <c r="P407" s="174"/>
      <c r="Q407" s="174"/>
      <c r="R407" s="174"/>
      <c r="S407" s="174"/>
      <c r="T407" s="174"/>
      <c r="U407" s="174"/>
      <c r="V407" s="174"/>
      <c r="W407" s="174"/>
      <c r="X407" s="174"/>
      <c r="Y407" s="174"/>
      <c r="Z407" s="174"/>
      <c r="AA407" s="174"/>
    </row>
    <row r="408" customFormat="false" ht="15.75" hidden="false" customHeight="false" outlineLevel="0" collapsed="false">
      <c r="A408" s="174" t="str">
        <f aca="false">IF(ISBLANK(B408),"",B408&amp;"|"&amp;C408)</f>
        <v/>
      </c>
      <c r="B408" s="174"/>
      <c r="C408" s="174"/>
      <c r="D408" s="174"/>
      <c r="E408" s="179"/>
      <c r="F408" s="174"/>
      <c r="G408" s="174"/>
      <c r="H408" s="174"/>
      <c r="I408" s="174"/>
      <c r="J408" s="174"/>
      <c r="K408" s="174"/>
      <c r="L408" s="174"/>
      <c r="M408" s="174"/>
      <c r="N408" s="174"/>
      <c r="O408" s="174"/>
      <c r="P408" s="174"/>
      <c r="Q408" s="174"/>
      <c r="R408" s="174"/>
      <c r="S408" s="174"/>
      <c r="T408" s="174"/>
      <c r="U408" s="174"/>
      <c r="V408" s="174"/>
      <c r="W408" s="174"/>
      <c r="X408" s="174"/>
      <c r="Y408" s="174"/>
      <c r="Z408" s="174"/>
      <c r="AA408" s="174"/>
    </row>
    <row r="409" customFormat="false" ht="15.75" hidden="false" customHeight="false" outlineLevel="0" collapsed="false">
      <c r="A409" s="174" t="str">
        <f aca="false">IF(ISBLANK(B409),"",B409&amp;"|"&amp;C409)</f>
        <v/>
      </c>
      <c r="B409" s="174"/>
      <c r="C409" s="174"/>
      <c r="D409" s="174"/>
      <c r="E409" s="179"/>
      <c r="F409" s="174"/>
      <c r="G409" s="174"/>
      <c r="H409" s="174"/>
      <c r="I409" s="174"/>
      <c r="J409" s="174"/>
      <c r="K409" s="174"/>
      <c r="L409" s="174"/>
      <c r="M409" s="174"/>
      <c r="N409" s="174"/>
      <c r="O409" s="174"/>
      <c r="P409" s="174"/>
      <c r="Q409" s="174"/>
      <c r="R409" s="174"/>
      <c r="S409" s="174"/>
      <c r="T409" s="174"/>
      <c r="U409" s="174"/>
      <c r="V409" s="174"/>
      <c r="W409" s="174"/>
      <c r="X409" s="174"/>
      <c r="Y409" s="174"/>
      <c r="Z409" s="174"/>
      <c r="AA409" s="174"/>
    </row>
    <row r="410" customFormat="false" ht="15.75" hidden="false" customHeight="false" outlineLevel="0" collapsed="false">
      <c r="A410" s="174" t="str">
        <f aca="false">IF(ISBLANK(B410),"",B410&amp;"|"&amp;C410)</f>
        <v/>
      </c>
      <c r="B410" s="174"/>
      <c r="C410" s="174"/>
      <c r="D410" s="174"/>
      <c r="E410" s="179"/>
      <c r="F410" s="174"/>
      <c r="G410" s="174"/>
      <c r="H410" s="174"/>
      <c r="I410" s="174"/>
      <c r="J410" s="174"/>
      <c r="K410" s="174"/>
      <c r="L410" s="174"/>
      <c r="M410" s="174"/>
      <c r="N410" s="174"/>
      <c r="O410" s="174"/>
      <c r="P410" s="174"/>
      <c r="Q410" s="174"/>
      <c r="R410" s="174"/>
      <c r="S410" s="174"/>
      <c r="T410" s="174"/>
      <c r="U410" s="174"/>
      <c r="V410" s="174"/>
      <c r="W410" s="174"/>
      <c r="X410" s="174"/>
      <c r="Y410" s="174"/>
      <c r="Z410" s="174"/>
      <c r="AA410" s="174"/>
    </row>
    <row r="411" customFormat="false" ht="15.75" hidden="false" customHeight="false" outlineLevel="0" collapsed="false">
      <c r="A411" s="174" t="str">
        <f aca="false">IF(ISBLANK(B411),"",B411&amp;"|"&amp;C411)</f>
        <v/>
      </c>
      <c r="B411" s="174"/>
      <c r="C411" s="174"/>
      <c r="D411" s="174"/>
      <c r="E411" s="179"/>
      <c r="F411" s="174"/>
      <c r="G411" s="174"/>
      <c r="H411" s="174"/>
      <c r="I411" s="174"/>
      <c r="J411" s="174"/>
      <c r="K411" s="174"/>
      <c r="L411" s="174"/>
      <c r="M411" s="174"/>
      <c r="N411" s="174"/>
      <c r="O411" s="174"/>
      <c r="P411" s="174"/>
      <c r="Q411" s="174"/>
      <c r="R411" s="174"/>
      <c r="S411" s="174"/>
      <c r="T411" s="174"/>
      <c r="U411" s="174"/>
      <c r="V411" s="174"/>
      <c r="W411" s="174"/>
      <c r="X411" s="174"/>
      <c r="Y411" s="174"/>
      <c r="Z411" s="174"/>
      <c r="AA411" s="174"/>
    </row>
    <row r="412" customFormat="false" ht="15.75" hidden="false" customHeight="false" outlineLevel="0" collapsed="false">
      <c r="A412" s="174" t="str">
        <f aca="false">IF(ISBLANK(B412),"",B412&amp;"|"&amp;C412)</f>
        <v/>
      </c>
      <c r="B412" s="174"/>
      <c r="C412" s="174"/>
      <c r="D412" s="174"/>
      <c r="E412" s="179"/>
      <c r="F412" s="174"/>
      <c r="G412" s="174"/>
      <c r="H412" s="174"/>
      <c r="I412" s="174"/>
      <c r="J412" s="174"/>
      <c r="K412" s="174"/>
      <c r="L412" s="174"/>
      <c r="M412" s="174"/>
      <c r="N412" s="174"/>
      <c r="O412" s="174"/>
      <c r="P412" s="174"/>
      <c r="Q412" s="174"/>
      <c r="R412" s="174"/>
      <c r="S412" s="174"/>
      <c r="T412" s="174"/>
      <c r="U412" s="174"/>
      <c r="V412" s="174"/>
      <c r="W412" s="174"/>
      <c r="X412" s="174"/>
      <c r="Y412" s="174"/>
      <c r="Z412" s="174"/>
      <c r="AA412" s="174"/>
    </row>
    <row r="413" customFormat="false" ht="15.75" hidden="false" customHeight="false" outlineLevel="0" collapsed="false">
      <c r="A413" s="174" t="str">
        <f aca="false">IF(ISBLANK(B413),"",B413&amp;"|"&amp;C413)</f>
        <v/>
      </c>
      <c r="B413" s="174"/>
      <c r="C413" s="174"/>
      <c r="D413" s="174"/>
      <c r="E413" s="179"/>
      <c r="F413" s="174"/>
      <c r="G413" s="174"/>
      <c r="H413" s="174"/>
      <c r="I413" s="174"/>
      <c r="J413" s="174"/>
      <c r="K413" s="174"/>
      <c r="L413" s="174"/>
      <c r="M413" s="174"/>
      <c r="N413" s="174"/>
      <c r="O413" s="174"/>
      <c r="P413" s="174"/>
      <c r="Q413" s="174"/>
      <c r="R413" s="174"/>
      <c r="S413" s="174"/>
      <c r="T413" s="174"/>
      <c r="U413" s="174"/>
      <c r="V413" s="174"/>
      <c r="W413" s="174"/>
      <c r="X413" s="174"/>
      <c r="Y413" s="174"/>
      <c r="Z413" s="174"/>
      <c r="AA413" s="174"/>
    </row>
    <row r="414" customFormat="false" ht="15.75" hidden="false" customHeight="false" outlineLevel="0" collapsed="false">
      <c r="A414" s="174" t="str">
        <f aca="false">IF(ISBLANK(B414),"",B414&amp;"|"&amp;C414)</f>
        <v/>
      </c>
      <c r="B414" s="174"/>
      <c r="C414" s="174"/>
      <c r="D414" s="174"/>
      <c r="E414" s="179"/>
      <c r="F414" s="174"/>
      <c r="G414" s="174"/>
      <c r="H414" s="174"/>
      <c r="I414" s="174"/>
      <c r="J414" s="174"/>
      <c r="K414" s="174"/>
      <c r="L414" s="174"/>
      <c r="M414" s="174"/>
      <c r="N414" s="174"/>
      <c r="O414" s="174"/>
      <c r="P414" s="174"/>
      <c r="Q414" s="174"/>
      <c r="R414" s="174"/>
      <c r="S414" s="174"/>
      <c r="T414" s="174"/>
      <c r="U414" s="174"/>
      <c r="V414" s="174"/>
      <c r="W414" s="174"/>
      <c r="X414" s="174"/>
      <c r="Y414" s="174"/>
      <c r="Z414" s="174"/>
      <c r="AA414" s="174"/>
    </row>
    <row r="415" customFormat="false" ht="15.75" hidden="false" customHeight="false" outlineLevel="0" collapsed="false">
      <c r="A415" s="174" t="str">
        <f aca="false">IF(ISBLANK(B415),"",B415&amp;"|"&amp;C415)</f>
        <v/>
      </c>
      <c r="B415" s="174"/>
      <c r="C415" s="174"/>
      <c r="D415" s="174"/>
      <c r="E415" s="179"/>
      <c r="F415" s="174"/>
      <c r="G415" s="174"/>
      <c r="H415" s="174"/>
      <c r="I415" s="174"/>
      <c r="J415" s="174"/>
      <c r="K415" s="174"/>
      <c r="L415" s="174"/>
      <c r="M415" s="174"/>
      <c r="N415" s="174"/>
      <c r="O415" s="174"/>
      <c r="P415" s="174"/>
      <c r="Q415" s="174"/>
      <c r="R415" s="174"/>
      <c r="S415" s="174"/>
      <c r="T415" s="174"/>
      <c r="U415" s="174"/>
      <c r="V415" s="174"/>
      <c r="W415" s="174"/>
      <c r="X415" s="174"/>
      <c r="Y415" s="174"/>
      <c r="Z415" s="174"/>
      <c r="AA415" s="174"/>
    </row>
    <row r="416" customFormat="false" ht="15.75" hidden="false" customHeight="false" outlineLevel="0" collapsed="false">
      <c r="A416" s="174" t="str">
        <f aca="false">IF(ISBLANK(B416),"",B416&amp;"|"&amp;C416)</f>
        <v/>
      </c>
      <c r="B416" s="174"/>
      <c r="C416" s="174"/>
      <c r="D416" s="174"/>
      <c r="E416" s="179"/>
      <c r="F416" s="174"/>
      <c r="G416" s="174"/>
      <c r="H416" s="174"/>
      <c r="I416" s="174"/>
      <c r="J416" s="174"/>
      <c r="K416" s="174"/>
      <c r="L416" s="174"/>
      <c r="M416" s="174"/>
      <c r="N416" s="174"/>
      <c r="O416" s="174"/>
      <c r="P416" s="174"/>
      <c r="Q416" s="174"/>
      <c r="R416" s="174"/>
      <c r="S416" s="174"/>
      <c r="T416" s="174"/>
      <c r="U416" s="174"/>
      <c r="V416" s="174"/>
      <c r="W416" s="174"/>
      <c r="X416" s="174"/>
      <c r="Y416" s="174"/>
      <c r="Z416" s="174"/>
      <c r="AA416" s="174"/>
    </row>
    <row r="417" customFormat="false" ht="15.75" hidden="false" customHeight="false" outlineLevel="0" collapsed="false">
      <c r="A417" s="174" t="str">
        <f aca="false">IF(ISBLANK(B417),"",B417&amp;"|"&amp;C417)</f>
        <v/>
      </c>
      <c r="B417" s="174"/>
      <c r="C417" s="174"/>
      <c r="D417" s="174"/>
      <c r="E417" s="179"/>
      <c r="F417" s="174"/>
      <c r="G417" s="174"/>
      <c r="H417" s="174"/>
      <c r="I417" s="174"/>
      <c r="J417" s="174"/>
      <c r="K417" s="174"/>
      <c r="L417" s="174"/>
      <c r="M417" s="174"/>
      <c r="N417" s="174"/>
      <c r="O417" s="174"/>
      <c r="P417" s="174"/>
      <c r="Q417" s="174"/>
      <c r="R417" s="174"/>
      <c r="S417" s="174"/>
      <c r="T417" s="174"/>
      <c r="U417" s="174"/>
      <c r="V417" s="174"/>
      <c r="W417" s="174"/>
      <c r="X417" s="174"/>
      <c r="Y417" s="174"/>
      <c r="Z417" s="174"/>
      <c r="AA417" s="174"/>
    </row>
    <row r="418" customFormat="false" ht="15.75" hidden="false" customHeight="false" outlineLevel="0" collapsed="false">
      <c r="A418" s="174" t="str">
        <f aca="false">IF(ISBLANK(B418),"",B418&amp;"|"&amp;C418)</f>
        <v/>
      </c>
      <c r="B418" s="174"/>
      <c r="C418" s="174"/>
      <c r="D418" s="174"/>
      <c r="E418" s="179"/>
      <c r="F418" s="174"/>
      <c r="G418" s="174"/>
      <c r="H418" s="174"/>
      <c r="I418" s="174"/>
      <c r="J418" s="174"/>
      <c r="K418" s="174"/>
      <c r="L418" s="174"/>
      <c r="M418" s="174"/>
      <c r="N418" s="174"/>
      <c r="O418" s="174"/>
      <c r="P418" s="174"/>
      <c r="Q418" s="174"/>
      <c r="R418" s="174"/>
      <c r="S418" s="174"/>
      <c r="T418" s="174"/>
      <c r="U418" s="174"/>
      <c r="V418" s="174"/>
      <c r="W418" s="174"/>
      <c r="X418" s="174"/>
      <c r="Y418" s="174"/>
      <c r="Z418" s="174"/>
      <c r="AA418" s="174"/>
    </row>
    <row r="419" customFormat="false" ht="15.75" hidden="false" customHeight="false" outlineLevel="0" collapsed="false">
      <c r="A419" s="174" t="str">
        <f aca="false">IF(ISBLANK(B419),"",B419&amp;"|"&amp;C419)</f>
        <v/>
      </c>
      <c r="B419" s="174"/>
      <c r="C419" s="174"/>
      <c r="D419" s="174"/>
      <c r="E419" s="179"/>
      <c r="F419" s="174"/>
      <c r="G419" s="174"/>
      <c r="H419" s="174"/>
      <c r="I419" s="174"/>
      <c r="J419" s="174"/>
      <c r="K419" s="174"/>
      <c r="L419" s="174"/>
      <c r="M419" s="174"/>
      <c r="N419" s="174"/>
      <c r="O419" s="174"/>
      <c r="P419" s="174"/>
      <c r="Q419" s="174"/>
      <c r="R419" s="174"/>
      <c r="S419" s="174"/>
      <c r="T419" s="174"/>
      <c r="U419" s="174"/>
      <c r="V419" s="174"/>
      <c r="W419" s="174"/>
      <c r="X419" s="174"/>
      <c r="Y419" s="174"/>
      <c r="Z419" s="174"/>
      <c r="AA419" s="174"/>
    </row>
    <row r="420" customFormat="false" ht="15.75" hidden="false" customHeight="false" outlineLevel="0" collapsed="false">
      <c r="A420" s="174" t="str">
        <f aca="false">IF(ISBLANK(B420),"",B420&amp;"|"&amp;C420)</f>
        <v/>
      </c>
      <c r="B420" s="174"/>
      <c r="C420" s="174"/>
      <c r="D420" s="174"/>
      <c r="E420" s="179"/>
      <c r="F420" s="174"/>
      <c r="G420" s="174"/>
      <c r="H420" s="174"/>
      <c r="I420" s="174"/>
      <c r="J420" s="174"/>
      <c r="K420" s="174"/>
      <c r="L420" s="174"/>
      <c r="M420" s="174"/>
      <c r="N420" s="174"/>
      <c r="O420" s="174"/>
      <c r="P420" s="174"/>
      <c r="Q420" s="174"/>
      <c r="R420" s="174"/>
      <c r="S420" s="174"/>
      <c r="T420" s="174"/>
      <c r="U420" s="174"/>
      <c r="V420" s="174"/>
      <c r="W420" s="174"/>
      <c r="X420" s="174"/>
      <c r="Y420" s="174"/>
      <c r="Z420" s="174"/>
      <c r="AA420" s="174"/>
    </row>
    <row r="421" customFormat="false" ht="15.75" hidden="false" customHeight="false" outlineLevel="0" collapsed="false">
      <c r="A421" s="174" t="str">
        <f aca="false">IF(ISBLANK(B421),"",B421&amp;"|"&amp;C421)</f>
        <v/>
      </c>
      <c r="B421" s="174"/>
      <c r="C421" s="174"/>
      <c r="D421" s="174"/>
      <c r="E421" s="179"/>
      <c r="F421" s="174"/>
      <c r="G421" s="174"/>
      <c r="H421" s="174"/>
      <c r="I421" s="174"/>
      <c r="J421" s="174"/>
      <c r="K421" s="174"/>
      <c r="L421" s="174"/>
      <c r="M421" s="174"/>
      <c r="N421" s="174"/>
      <c r="O421" s="174"/>
      <c r="P421" s="174"/>
      <c r="Q421" s="174"/>
      <c r="R421" s="174"/>
      <c r="S421" s="174"/>
      <c r="T421" s="174"/>
      <c r="U421" s="174"/>
      <c r="V421" s="174"/>
      <c r="W421" s="174"/>
      <c r="X421" s="174"/>
      <c r="Y421" s="174"/>
      <c r="Z421" s="174"/>
      <c r="AA421" s="174"/>
    </row>
    <row r="422" customFormat="false" ht="15.75" hidden="false" customHeight="false" outlineLevel="0" collapsed="false">
      <c r="A422" s="174" t="str">
        <f aca="false">IF(ISBLANK(B422),"",B422&amp;"|"&amp;C422)</f>
        <v/>
      </c>
      <c r="B422" s="174"/>
      <c r="C422" s="174"/>
      <c r="D422" s="174"/>
      <c r="E422" s="179"/>
      <c r="F422" s="174"/>
      <c r="G422" s="174"/>
      <c r="H422" s="174"/>
      <c r="I422" s="174"/>
      <c r="J422" s="174"/>
      <c r="K422" s="174"/>
      <c r="L422" s="174"/>
      <c r="M422" s="174"/>
      <c r="N422" s="174"/>
      <c r="O422" s="174"/>
      <c r="P422" s="174"/>
      <c r="Q422" s="174"/>
      <c r="R422" s="174"/>
      <c r="S422" s="174"/>
      <c r="T422" s="174"/>
      <c r="U422" s="174"/>
      <c r="V422" s="174"/>
      <c r="W422" s="174"/>
      <c r="X422" s="174"/>
      <c r="Y422" s="174"/>
      <c r="Z422" s="174"/>
      <c r="AA422" s="174"/>
    </row>
    <row r="423" customFormat="false" ht="15.75" hidden="false" customHeight="false" outlineLevel="0" collapsed="false">
      <c r="A423" s="174" t="str">
        <f aca="false">IF(ISBLANK(B423),"",B423&amp;"|"&amp;C423)</f>
        <v/>
      </c>
      <c r="B423" s="174"/>
      <c r="C423" s="174"/>
      <c r="D423" s="174"/>
      <c r="E423" s="179"/>
      <c r="F423" s="174"/>
      <c r="G423" s="174"/>
      <c r="H423" s="174"/>
      <c r="I423" s="174"/>
      <c r="J423" s="174"/>
      <c r="K423" s="174"/>
      <c r="L423" s="174"/>
      <c r="M423" s="174"/>
      <c r="N423" s="174"/>
      <c r="O423" s="174"/>
      <c r="P423" s="174"/>
      <c r="Q423" s="174"/>
      <c r="R423" s="174"/>
      <c r="S423" s="174"/>
      <c r="T423" s="174"/>
      <c r="U423" s="174"/>
      <c r="V423" s="174"/>
      <c r="W423" s="174"/>
      <c r="X423" s="174"/>
      <c r="Y423" s="174"/>
      <c r="Z423" s="174"/>
      <c r="AA423" s="174"/>
    </row>
    <row r="424" customFormat="false" ht="15.75" hidden="false" customHeight="false" outlineLevel="0" collapsed="false">
      <c r="A424" s="174" t="str">
        <f aca="false">IF(ISBLANK(B424),"",B424&amp;"|"&amp;C424)</f>
        <v/>
      </c>
      <c r="B424" s="174"/>
      <c r="C424" s="174"/>
      <c r="D424" s="174"/>
      <c r="E424" s="179"/>
      <c r="F424" s="174"/>
      <c r="G424" s="174"/>
      <c r="H424" s="174"/>
      <c r="I424" s="174"/>
      <c r="J424" s="174"/>
      <c r="K424" s="174"/>
      <c r="L424" s="174"/>
      <c r="M424" s="174"/>
      <c r="N424" s="174"/>
      <c r="O424" s="174"/>
      <c r="P424" s="174"/>
      <c r="Q424" s="174"/>
      <c r="R424" s="174"/>
      <c r="S424" s="174"/>
      <c r="T424" s="174"/>
      <c r="U424" s="174"/>
      <c r="V424" s="174"/>
      <c r="W424" s="174"/>
      <c r="X424" s="174"/>
      <c r="Y424" s="174"/>
      <c r="Z424" s="174"/>
      <c r="AA424" s="174"/>
    </row>
    <row r="425" customFormat="false" ht="15.75" hidden="false" customHeight="false" outlineLevel="0" collapsed="false">
      <c r="A425" s="174" t="str">
        <f aca="false">IF(ISBLANK(B425),"",B425&amp;"|"&amp;C425)</f>
        <v/>
      </c>
      <c r="B425" s="174"/>
      <c r="C425" s="174"/>
      <c r="D425" s="174"/>
      <c r="E425" s="179"/>
      <c r="F425" s="174"/>
      <c r="G425" s="174"/>
      <c r="H425" s="174"/>
      <c r="I425" s="174"/>
      <c r="J425" s="174"/>
      <c r="K425" s="174"/>
      <c r="L425" s="174"/>
      <c r="M425" s="174"/>
      <c r="N425" s="174"/>
      <c r="O425" s="174"/>
      <c r="P425" s="174"/>
      <c r="Q425" s="174"/>
      <c r="R425" s="174"/>
      <c r="S425" s="174"/>
      <c r="T425" s="174"/>
      <c r="U425" s="174"/>
      <c r="V425" s="174"/>
      <c r="W425" s="174"/>
      <c r="X425" s="174"/>
      <c r="Y425" s="174"/>
      <c r="Z425" s="174"/>
      <c r="AA425" s="174"/>
    </row>
    <row r="426" customFormat="false" ht="15.75" hidden="false" customHeight="false" outlineLevel="0" collapsed="false">
      <c r="A426" s="174" t="str">
        <f aca="false">IF(ISBLANK(B426),"",B426&amp;"|"&amp;C426)</f>
        <v/>
      </c>
      <c r="B426" s="174"/>
      <c r="C426" s="174"/>
      <c r="D426" s="174"/>
      <c r="E426" s="179"/>
      <c r="F426" s="174"/>
      <c r="G426" s="174"/>
      <c r="H426" s="174"/>
      <c r="I426" s="174"/>
      <c r="J426" s="174"/>
      <c r="K426" s="174"/>
      <c r="L426" s="174"/>
      <c r="M426" s="174"/>
      <c r="N426" s="174"/>
      <c r="O426" s="174"/>
      <c r="P426" s="174"/>
      <c r="Q426" s="174"/>
      <c r="R426" s="174"/>
      <c r="S426" s="174"/>
      <c r="T426" s="174"/>
      <c r="U426" s="174"/>
      <c r="V426" s="174"/>
      <c r="W426" s="174"/>
      <c r="X426" s="174"/>
      <c r="Y426" s="174"/>
      <c r="Z426" s="174"/>
      <c r="AA426" s="174"/>
    </row>
    <row r="427" customFormat="false" ht="15.75" hidden="false" customHeight="false" outlineLevel="0" collapsed="false">
      <c r="A427" s="174" t="str">
        <f aca="false">IF(ISBLANK(B427),"",B427&amp;"|"&amp;C427)</f>
        <v/>
      </c>
      <c r="B427" s="174"/>
      <c r="C427" s="174"/>
      <c r="D427" s="174"/>
      <c r="E427" s="179"/>
      <c r="F427" s="174"/>
      <c r="G427" s="174"/>
      <c r="H427" s="174"/>
      <c r="I427" s="174"/>
      <c r="J427" s="174"/>
      <c r="K427" s="174"/>
      <c r="L427" s="174"/>
      <c r="M427" s="174"/>
      <c r="N427" s="174"/>
      <c r="O427" s="174"/>
      <c r="P427" s="174"/>
      <c r="Q427" s="174"/>
      <c r="R427" s="174"/>
      <c r="S427" s="174"/>
      <c r="T427" s="174"/>
      <c r="U427" s="174"/>
      <c r="V427" s="174"/>
      <c r="W427" s="174"/>
      <c r="X427" s="174"/>
      <c r="Y427" s="174"/>
      <c r="Z427" s="174"/>
      <c r="AA427" s="174"/>
    </row>
    <row r="428" customFormat="false" ht="15.75" hidden="false" customHeight="false" outlineLevel="0" collapsed="false">
      <c r="A428" s="174" t="str">
        <f aca="false">IF(ISBLANK(B428),"",B428&amp;"|"&amp;C428)</f>
        <v/>
      </c>
      <c r="B428" s="174"/>
      <c r="C428" s="174"/>
      <c r="D428" s="174"/>
      <c r="E428" s="179"/>
      <c r="F428" s="174"/>
      <c r="G428" s="174"/>
      <c r="H428" s="174"/>
      <c r="I428" s="174"/>
      <c r="J428" s="174"/>
      <c r="K428" s="174"/>
      <c r="L428" s="174"/>
      <c r="M428" s="174"/>
      <c r="N428" s="174"/>
      <c r="O428" s="174"/>
      <c r="P428" s="174"/>
      <c r="Q428" s="174"/>
      <c r="R428" s="174"/>
      <c r="S428" s="174"/>
      <c r="T428" s="174"/>
      <c r="U428" s="174"/>
      <c r="V428" s="174"/>
      <c r="W428" s="174"/>
      <c r="X428" s="174"/>
      <c r="Y428" s="174"/>
      <c r="Z428" s="174"/>
      <c r="AA428" s="174"/>
    </row>
    <row r="429" customFormat="false" ht="15.75" hidden="false" customHeight="false" outlineLevel="0" collapsed="false">
      <c r="A429" s="174" t="str">
        <f aca="false">IF(ISBLANK(B429),"",B429&amp;"|"&amp;C429)</f>
        <v/>
      </c>
      <c r="B429" s="174"/>
      <c r="C429" s="174"/>
      <c r="D429" s="174"/>
      <c r="E429" s="179"/>
      <c r="F429" s="174"/>
      <c r="G429" s="174"/>
      <c r="H429" s="174"/>
      <c r="I429" s="174"/>
      <c r="J429" s="174"/>
      <c r="K429" s="174"/>
      <c r="L429" s="174"/>
      <c r="M429" s="174"/>
      <c r="N429" s="174"/>
      <c r="O429" s="174"/>
      <c r="P429" s="174"/>
      <c r="Q429" s="174"/>
      <c r="R429" s="174"/>
      <c r="S429" s="174"/>
      <c r="T429" s="174"/>
      <c r="U429" s="174"/>
      <c r="V429" s="174"/>
      <c r="W429" s="174"/>
      <c r="X429" s="174"/>
      <c r="Y429" s="174"/>
      <c r="Z429" s="174"/>
      <c r="AA429" s="174"/>
    </row>
    <row r="430" customFormat="false" ht="15.75" hidden="false" customHeight="false" outlineLevel="0" collapsed="false">
      <c r="A430" s="174" t="str">
        <f aca="false">IF(ISBLANK(B430),"",B430&amp;"|"&amp;C430)</f>
        <v/>
      </c>
      <c r="B430" s="174"/>
      <c r="C430" s="174"/>
      <c r="D430" s="174"/>
      <c r="E430" s="179"/>
      <c r="F430" s="174"/>
      <c r="G430" s="174"/>
      <c r="H430" s="174"/>
      <c r="I430" s="174"/>
      <c r="J430" s="174"/>
      <c r="K430" s="174"/>
      <c r="L430" s="174"/>
      <c r="M430" s="174"/>
      <c r="N430" s="174"/>
      <c r="O430" s="174"/>
      <c r="P430" s="174"/>
      <c r="Q430" s="174"/>
      <c r="R430" s="174"/>
      <c r="S430" s="174"/>
      <c r="T430" s="174"/>
      <c r="U430" s="174"/>
      <c r="V430" s="174"/>
      <c r="W430" s="174"/>
      <c r="X430" s="174"/>
      <c r="Y430" s="174"/>
      <c r="Z430" s="174"/>
      <c r="AA430" s="174"/>
    </row>
    <row r="431" customFormat="false" ht="15.75" hidden="false" customHeight="false" outlineLevel="0" collapsed="false">
      <c r="A431" s="174" t="str">
        <f aca="false">IF(ISBLANK(B431),"",B431&amp;"|"&amp;C431)</f>
        <v/>
      </c>
      <c r="B431" s="174"/>
      <c r="C431" s="174"/>
      <c r="D431" s="174"/>
      <c r="E431" s="179"/>
      <c r="F431" s="174"/>
      <c r="G431" s="174"/>
      <c r="H431" s="174"/>
      <c r="I431" s="174"/>
      <c r="J431" s="174"/>
      <c r="K431" s="174"/>
      <c r="L431" s="174"/>
      <c r="M431" s="174"/>
      <c r="N431" s="174"/>
      <c r="O431" s="174"/>
      <c r="P431" s="174"/>
      <c r="Q431" s="174"/>
      <c r="R431" s="174"/>
      <c r="S431" s="174"/>
      <c r="T431" s="174"/>
      <c r="U431" s="174"/>
      <c r="V431" s="174"/>
      <c r="W431" s="174"/>
      <c r="X431" s="174"/>
      <c r="Y431" s="174"/>
      <c r="Z431" s="174"/>
      <c r="AA431" s="174"/>
    </row>
    <row r="432" customFormat="false" ht="15.75" hidden="false" customHeight="false" outlineLevel="0" collapsed="false">
      <c r="A432" s="174" t="str">
        <f aca="false">IF(ISBLANK(B432),"",B432&amp;"|"&amp;C432)</f>
        <v/>
      </c>
      <c r="B432" s="174"/>
      <c r="C432" s="174"/>
      <c r="D432" s="174"/>
      <c r="E432" s="179"/>
      <c r="F432" s="174"/>
      <c r="G432" s="174"/>
      <c r="H432" s="174"/>
      <c r="I432" s="174"/>
      <c r="J432" s="174"/>
      <c r="K432" s="174"/>
      <c r="L432" s="174"/>
      <c r="M432" s="174"/>
      <c r="N432" s="174"/>
      <c r="O432" s="174"/>
      <c r="P432" s="174"/>
      <c r="Q432" s="174"/>
      <c r="R432" s="174"/>
      <c r="S432" s="174"/>
      <c r="T432" s="174"/>
      <c r="U432" s="174"/>
      <c r="V432" s="174"/>
      <c r="W432" s="174"/>
      <c r="X432" s="174"/>
      <c r="Y432" s="174"/>
      <c r="Z432" s="174"/>
      <c r="AA432" s="174"/>
    </row>
    <row r="433" customFormat="false" ht="15.75" hidden="false" customHeight="false" outlineLevel="0" collapsed="false">
      <c r="A433" s="174" t="str">
        <f aca="false">IF(ISBLANK(B433),"",B433&amp;"|"&amp;C433)</f>
        <v/>
      </c>
      <c r="B433" s="174"/>
      <c r="C433" s="174"/>
      <c r="D433" s="174"/>
      <c r="E433" s="179"/>
      <c r="F433" s="174"/>
      <c r="G433" s="174"/>
      <c r="H433" s="174"/>
      <c r="I433" s="174"/>
      <c r="J433" s="174"/>
      <c r="K433" s="174"/>
      <c r="L433" s="174"/>
      <c r="M433" s="174"/>
      <c r="N433" s="174"/>
      <c r="O433" s="174"/>
      <c r="P433" s="174"/>
      <c r="Q433" s="174"/>
      <c r="R433" s="174"/>
      <c r="S433" s="174"/>
      <c r="T433" s="174"/>
      <c r="U433" s="174"/>
      <c r="V433" s="174"/>
      <c r="W433" s="174"/>
      <c r="X433" s="174"/>
      <c r="Y433" s="174"/>
      <c r="Z433" s="174"/>
      <c r="AA433" s="174"/>
    </row>
    <row r="434" customFormat="false" ht="15.75" hidden="false" customHeight="false" outlineLevel="0" collapsed="false">
      <c r="A434" s="174" t="str">
        <f aca="false">IF(ISBLANK(B434),"",B434&amp;"|"&amp;C434)</f>
        <v/>
      </c>
      <c r="B434" s="174"/>
      <c r="C434" s="174"/>
      <c r="D434" s="174"/>
      <c r="E434" s="179"/>
      <c r="F434" s="174"/>
      <c r="G434" s="174"/>
      <c r="H434" s="174"/>
      <c r="I434" s="174"/>
      <c r="J434" s="174"/>
      <c r="K434" s="174"/>
      <c r="L434" s="174"/>
      <c r="M434" s="174"/>
      <c r="N434" s="174"/>
      <c r="O434" s="174"/>
      <c r="P434" s="174"/>
      <c r="Q434" s="174"/>
      <c r="R434" s="174"/>
      <c r="S434" s="174"/>
      <c r="T434" s="174"/>
      <c r="U434" s="174"/>
      <c r="V434" s="174"/>
      <c r="W434" s="174"/>
      <c r="X434" s="174"/>
      <c r="Y434" s="174"/>
      <c r="Z434" s="174"/>
      <c r="AA434" s="174"/>
    </row>
    <row r="435" customFormat="false" ht="15.75" hidden="false" customHeight="false" outlineLevel="0" collapsed="false">
      <c r="A435" s="174" t="str">
        <f aca="false">IF(ISBLANK(B435),"",B435&amp;"|"&amp;C435)</f>
        <v/>
      </c>
      <c r="B435" s="174"/>
      <c r="C435" s="174"/>
      <c r="D435" s="174"/>
      <c r="E435" s="179"/>
      <c r="F435" s="174"/>
      <c r="G435" s="174"/>
      <c r="H435" s="174"/>
      <c r="I435" s="174"/>
      <c r="J435" s="174"/>
      <c r="K435" s="174"/>
      <c r="L435" s="174"/>
      <c r="M435" s="174"/>
      <c r="N435" s="174"/>
      <c r="O435" s="174"/>
      <c r="P435" s="174"/>
      <c r="Q435" s="174"/>
      <c r="R435" s="174"/>
      <c r="S435" s="174"/>
      <c r="T435" s="174"/>
      <c r="U435" s="174"/>
      <c r="V435" s="174"/>
      <c r="W435" s="174"/>
      <c r="X435" s="174"/>
      <c r="Y435" s="174"/>
      <c r="Z435" s="174"/>
      <c r="AA435" s="174"/>
    </row>
    <row r="436" customFormat="false" ht="15.75" hidden="false" customHeight="false" outlineLevel="0" collapsed="false">
      <c r="A436" s="174" t="str">
        <f aca="false">IF(ISBLANK(B436),"",B436&amp;"|"&amp;C436)</f>
        <v/>
      </c>
      <c r="B436" s="174"/>
      <c r="C436" s="174"/>
      <c r="D436" s="174"/>
      <c r="E436" s="179"/>
      <c r="F436" s="174"/>
      <c r="G436" s="174"/>
      <c r="H436" s="174"/>
      <c r="I436" s="174"/>
      <c r="J436" s="174"/>
      <c r="K436" s="174"/>
      <c r="L436" s="174"/>
      <c r="M436" s="174"/>
      <c r="N436" s="174"/>
      <c r="O436" s="174"/>
      <c r="P436" s="174"/>
      <c r="Q436" s="174"/>
      <c r="R436" s="174"/>
      <c r="S436" s="174"/>
      <c r="T436" s="174"/>
      <c r="U436" s="174"/>
      <c r="V436" s="174"/>
      <c r="W436" s="174"/>
      <c r="X436" s="174"/>
      <c r="Y436" s="174"/>
      <c r="Z436" s="174"/>
      <c r="AA436" s="174"/>
    </row>
    <row r="437" customFormat="false" ht="15.75" hidden="false" customHeight="false" outlineLevel="0" collapsed="false">
      <c r="A437" s="174" t="str">
        <f aca="false">IF(ISBLANK(B437),"",B437&amp;"|"&amp;C437)</f>
        <v/>
      </c>
      <c r="B437" s="174"/>
      <c r="C437" s="174"/>
      <c r="D437" s="174"/>
      <c r="E437" s="179"/>
      <c r="F437" s="174"/>
      <c r="G437" s="174"/>
      <c r="H437" s="174"/>
      <c r="I437" s="174"/>
      <c r="J437" s="174"/>
      <c r="K437" s="174"/>
      <c r="L437" s="174"/>
      <c r="M437" s="174"/>
      <c r="N437" s="174"/>
      <c r="O437" s="174"/>
      <c r="P437" s="174"/>
      <c r="Q437" s="174"/>
      <c r="R437" s="174"/>
      <c r="S437" s="174"/>
      <c r="T437" s="174"/>
      <c r="U437" s="174"/>
      <c r="V437" s="174"/>
      <c r="W437" s="174"/>
      <c r="X437" s="174"/>
      <c r="Y437" s="174"/>
      <c r="Z437" s="174"/>
      <c r="AA437" s="174"/>
    </row>
    <row r="438" customFormat="false" ht="15.75" hidden="false" customHeight="false" outlineLevel="0" collapsed="false">
      <c r="A438" s="174" t="str">
        <f aca="false">IF(ISBLANK(B438),"",B438&amp;"|"&amp;C438)</f>
        <v/>
      </c>
      <c r="B438" s="174"/>
      <c r="C438" s="174"/>
      <c r="D438" s="174"/>
      <c r="E438" s="179"/>
      <c r="F438" s="174"/>
      <c r="G438" s="174"/>
      <c r="H438" s="174"/>
      <c r="I438" s="174"/>
      <c r="J438" s="174"/>
      <c r="K438" s="174"/>
      <c r="L438" s="174"/>
      <c r="M438" s="174"/>
      <c r="N438" s="174"/>
      <c r="O438" s="174"/>
      <c r="P438" s="174"/>
      <c r="Q438" s="174"/>
      <c r="R438" s="174"/>
      <c r="S438" s="174"/>
      <c r="T438" s="174"/>
      <c r="U438" s="174"/>
      <c r="V438" s="174"/>
      <c r="W438" s="174"/>
      <c r="X438" s="174"/>
      <c r="Y438" s="174"/>
      <c r="Z438" s="174"/>
      <c r="AA438" s="174"/>
    </row>
    <row r="439" customFormat="false" ht="15.75" hidden="false" customHeight="false" outlineLevel="0" collapsed="false">
      <c r="A439" s="174" t="str">
        <f aca="false">IF(ISBLANK(B439),"",B439&amp;"|"&amp;C439)</f>
        <v/>
      </c>
      <c r="B439" s="174"/>
      <c r="C439" s="174"/>
      <c r="D439" s="174"/>
      <c r="E439" s="179"/>
      <c r="F439" s="174"/>
      <c r="G439" s="174"/>
      <c r="H439" s="174"/>
      <c r="I439" s="174"/>
      <c r="J439" s="174"/>
      <c r="K439" s="174"/>
      <c r="L439" s="174"/>
      <c r="M439" s="174"/>
      <c r="N439" s="174"/>
      <c r="O439" s="174"/>
      <c r="P439" s="174"/>
      <c r="Q439" s="174"/>
      <c r="R439" s="174"/>
      <c r="S439" s="174"/>
      <c r="T439" s="174"/>
      <c r="U439" s="174"/>
      <c r="V439" s="174"/>
      <c r="W439" s="174"/>
      <c r="X439" s="174"/>
      <c r="Y439" s="174"/>
      <c r="Z439" s="174"/>
      <c r="AA439" s="174"/>
    </row>
    <row r="440" customFormat="false" ht="15.75" hidden="false" customHeight="false" outlineLevel="0" collapsed="false">
      <c r="A440" s="174" t="str">
        <f aca="false">IF(ISBLANK(B440),"",B440&amp;"|"&amp;C440)</f>
        <v/>
      </c>
      <c r="B440" s="174"/>
      <c r="C440" s="174"/>
      <c r="D440" s="174"/>
      <c r="E440" s="179"/>
      <c r="F440" s="174"/>
      <c r="G440" s="174"/>
      <c r="H440" s="174"/>
      <c r="I440" s="174"/>
      <c r="J440" s="174"/>
      <c r="K440" s="174"/>
      <c r="L440" s="174"/>
      <c r="M440" s="174"/>
      <c r="N440" s="174"/>
      <c r="O440" s="174"/>
      <c r="P440" s="174"/>
      <c r="Q440" s="174"/>
      <c r="R440" s="174"/>
      <c r="S440" s="174"/>
      <c r="T440" s="174"/>
      <c r="U440" s="174"/>
      <c r="V440" s="174"/>
      <c r="W440" s="174"/>
      <c r="X440" s="174"/>
      <c r="Y440" s="174"/>
      <c r="Z440" s="174"/>
      <c r="AA440" s="174"/>
    </row>
    <row r="441" customFormat="false" ht="15.75" hidden="false" customHeight="false" outlineLevel="0" collapsed="false">
      <c r="A441" s="174" t="str">
        <f aca="false">IF(ISBLANK(B441),"",B441&amp;"|"&amp;C441)</f>
        <v/>
      </c>
      <c r="B441" s="174"/>
      <c r="C441" s="174"/>
      <c r="D441" s="174"/>
      <c r="E441" s="179"/>
      <c r="F441" s="174"/>
      <c r="G441" s="174"/>
      <c r="H441" s="174"/>
      <c r="I441" s="174"/>
      <c r="J441" s="174"/>
      <c r="K441" s="174"/>
      <c r="L441" s="174"/>
      <c r="M441" s="174"/>
      <c r="N441" s="174"/>
      <c r="O441" s="174"/>
      <c r="P441" s="174"/>
      <c r="Q441" s="174"/>
      <c r="R441" s="174"/>
      <c r="S441" s="174"/>
      <c r="T441" s="174"/>
      <c r="U441" s="174"/>
      <c r="V441" s="174"/>
      <c r="W441" s="174"/>
      <c r="X441" s="174"/>
      <c r="Y441" s="174"/>
      <c r="Z441" s="174"/>
      <c r="AA441" s="174"/>
    </row>
    <row r="442" customFormat="false" ht="15.75" hidden="false" customHeight="false" outlineLevel="0" collapsed="false">
      <c r="A442" s="174" t="str">
        <f aca="false">IF(ISBLANK(B442),"",B442&amp;"|"&amp;C442)</f>
        <v/>
      </c>
      <c r="B442" s="174"/>
      <c r="C442" s="174"/>
      <c r="D442" s="174"/>
      <c r="E442" s="179"/>
      <c r="F442" s="174"/>
      <c r="G442" s="174"/>
      <c r="H442" s="174"/>
      <c r="I442" s="174"/>
      <c r="J442" s="174"/>
      <c r="K442" s="174"/>
      <c r="L442" s="174"/>
      <c r="M442" s="174"/>
      <c r="N442" s="174"/>
      <c r="O442" s="174"/>
      <c r="P442" s="174"/>
      <c r="Q442" s="174"/>
      <c r="R442" s="174"/>
      <c r="S442" s="174"/>
      <c r="T442" s="174"/>
      <c r="U442" s="174"/>
      <c r="V442" s="174"/>
      <c r="W442" s="174"/>
      <c r="X442" s="174"/>
      <c r="Y442" s="174"/>
      <c r="Z442" s="174"/>
      <c r="AA442" s="174"/>
    </row>
    <row r="443" customFormat="false" ht="15.75" hidden="false" customHeight="false" outlineLevel="0" collapsed="false">
      <c r="A443" s="174" t="str">
        <f aca="false">IF(ISBLANK(B443),"",B443&amp;"|"&amp;C443)</f>
        <v/>
      </c>
      <c r="B443" s="174"/>
      <c r="C443" s="174"/>
      <c r="D443" s="174"/>
      <c r="E443" s="179"/>
      <c r="F443" s="174"/>
      <c r="G443" s="174"/>
      <c r="H443" s="174"/>
      <c r="I443" s="174"/>
      <c r="J443" s="174"/>
      <c r="K443" s="174"/>
      <c r="L443" s="174"/>
      <c r="M443" s="174"/>
      <c r="N443" s="174"/>
      <c r="O443" s="174"/>
      <c r="P443" s="174"/>
      <c r="Q443" s="174"/>
      <c r="R443" s="174"/>
      <c r="S443" s="174"/>
      <c r="T443" s="174"/>
      <c r="U443" s="174"/>
      <c r="V443" s="174"/>
      <c r="W443" s="174"/>
      <c r="X443" s="174"/>
      <c r="Y443" s="174"/>
      <c r="Z443" s="174"/>
      <c r="AA443" s="174"/>
    </row>
    <row r="444" customFormat="false" ht="15.75" hidden="false" customHeight="false" outlineLevel="0" collapsed="false">
      <c r="A444" s="174" t="str">
        <f aca="false">IF(ISBLANK(B444),"",B444&amp;"|"&amp;C444)</f>
        <v/>
      </c>
      <c r="B444" s="174"/>
      <c r="C444" s="174"/>
      <c r="D444" s="174"/>
      <c r="E444" s="179"/>
      <c r="F444" s="174"/>
      <c r="G444" s="174"/>
      <c r="H444" s="174"/>
      <c r="I444" s="174"/>
      <c r="J444" s="174"/>
      <c r="K444" s="174"/>
      <c r="L444" s="174"/>
      <c r="M444" s="174"/>
      <c r="N444" s="174"/>
      <c r="O444" s="174"/>
      <c r="P444" s="174"/>
      <c r="Q444" s="174"/>
      <c r="R444" s="174"/>
      <c r="S444" s="174"/>
      <c r="T444" s="174"/>
      <c r="U444" s="174"/>
      <c r="V444" s="174"/>
      <c r="W444" s="174"/>
      <c r="X444" s="174"/>
      <c r="Y444" s="174"/>
      <c r="Z444" s="174"/>
      <c r="AA444" s="174"/>
    </row>
    <row r="445" customFormat="false" ht="15.75" hidden="false" customHeight="false" outlineLevel="0" collapsed="false">
      <c r="A445" s="174" t="str">
        <f aca="false">IF(ISBLANK(B445),"",B445&amp;"|"&amp;C445)</f>
        <v/>
      </c>
      <c r="B445" s="174"/>
      <c r="C445" s="174"/>
      <c r="D445" s="174"/>
      <c r="E445" s="179"/>
      <c r="F445" s="174"/>
      <c r="G445" s="174"/>
      <c r="H445" s="174"/>
      <c r="I445" s="174"/>
      <c r="J445" s="174"/>
      <c r="K445" s="174"/>
      <c r="L445" s="174"/>
      <c r="M445" s="174"/>
      <c r="N445" s="174"/>
      <c r="O445" s="174"/>
      <c r="P445" s="174"/>
      <c r="Q445" s="174"/>
      <c r="R445" s="174"/>
      <c r="S445" s="174"/>
      <c r="T445" s="174"/>
      <c r="U445" s="174"/>
      <c r="V445" s="174"/>
      <c r="W445" s="174"/>
      <c r="X445" s="174"/>
      <c r="Y445" s="174"/>
      <c r="Z445" s="174"/>
      <c r="AA445" s="174"/>
    </row>
    <row r="446" customFormat="false" ht="15.75" hidden="false" customHeight="false" outlineLevel="0" collapsed="false">
      <c r="A446" s="174" t="str">
        <f aca="false">IF(ISBLANK(B446),"",B446&amp;"|"&amp;C446)</f>
        <v/>
      </c>
      <c r="B446" s="174"/>
      <c r="C446" s="174"/>
      <c r="D446" s="174"/>
      <c r="E446" s="179"/>
      <c r="F446" s="174"/>
      <c r="G446" s="174"/>
      <c r="H446" s="174"/>
      <c r="I446" s="174"/>
      <c r="J446" s="174"/>
      <c r="K446" s="174"/>
      <c r="L446" s="174"/>
      <c r="M446" s="174"/>
      <c r="N446" s="174"/>
      <c r="O446" s="174"/>
      <c r="P446" s="174"/>
      <c r="Q446" s="174"/>
      <c r="R446" s="174"/>
      <c r="S446" s="174"/>
      <c r="T446" s="174"/>
      <c r="U446" s="174"/>
      <c r="V446" s="174"/>
      <c r="W446" s="174"/>
      <c r="X446" s="174"/>
      <c r="Y446" s="174"/>
      <c r="Z446" s="174"/>
      <c r="AA446" s="174"/>
    </row>
    <row r="447" customFormat="false" ht="15.75" hidden="false" customHeight="false" outlineLevel="0" collapsed="false">
      <c r="A447" s="174" t="str">
        <f aca="false">IF(ISBLANK(B447),"",B447&amp;"|"&amp;C447)</f>
        <v/>
      </c>
      <c r="B447" s="174"/>
      <c r="C447" s="174"/>
      <c r="D447" s="174"/>
      <c r="E447" s="179"/>
      <c r="F447" s="174"/>
      <c r="G447" s="174"/>
      <c r="H447" s="174"/>
      <c r="I447" s="174"/>
      <c r="J447" s="174"/>
      <c r="K447" s="174"/>
      <c r="L447" s="174"/>
      <c r="M447" s="174"/>
      <c r="N447" s="174"/>
      <c r="O447" s="174"/>
      <c r="P447" s="174"/>
      <c r="Q447" s="174"/>
      <c r="R447" s="174"/>
      <c r="S447" s="174"/>
      <c r="T447" s="174"/>
      <c r="U447" s="174"/>
      <c r="V447" s="174"/>
      <c r="W447" s="174"/>
      <c r="X447" s="174"/>
      <c r="Y447" s="174"/>
      <c r="Z447" s="174"/>
      <c r="AA447" s="174"/>
    </row>
    <row r="448" customFormat="false" ht="15.75" hidden="false" customHeight="false" outlineLevel="0" collapsed="false">
      <c r="A448" s="174" t="str">
        <f aca="false">IF(ISBLANK(B448),"",B448&amp;"|"&amp;C448)</f>
        <v/>
      </c>
      <c r="B448" s="174"/>
      <c r="C448" s="174"/>
      <c r="D448" s="174"/>
      <c r="E448" s="179"/>
      <c r="F448" s="174"/>
      <c r="G448" s="174"/>
      <c r="H448" s="174"/>
      <c r="I448" s="174"/>
      <c r="J448" s="174"/>
      <c r="K448" s="174"/>
      <c r="L448" s="174"/>
      <c r="M448" s="174"/>
      <c r="N448" s="174"/>
      <c r="O448" s="174"/>
      <c r="P448" s="174"/>
      <c r="Q448" s="174"/>
      <c r="R448" s="174"/>
      <c r="S448" s="174"/>
      <c r="T448" s="174"/>
      <c r="U448" s="174"/>
      <c r="V448" s="174"/>
      <c r="W448" s="174"/>
      <c r="X448" s="174"/>
      <c r="Y448" s="174"/>
      <c r="Z448" s="174"/>
      <c r="AA448" s="174"/>
    </row>
    <row r="449" customFormat="false" ht="15.75" hidden="false" customHeight="false" outlineLevel="0" collapsed="false">
      <c r="A449" s="174" t="str">
        <f aca="false">IF(ISBLANK(B449),"",B449&amp;"|"&amp;C449)</f>
        <v/>
      </c>
      <c r="B449" s="174"/>
      <c r="C449" s="174"/>
      <c r="D449" s="174"/>
      <c r="E449" s="179"/>
      <c r="F449" s="174"/>
      <c r="G449" s="174"/>
      <c r="H449" s="174"/>
      <c r="I449" s="174"/>
      <c r="J449" s="174"/>
      <c r="K449" s="174"/>
      <c r="L449" s="174"/>
      <c r="M449" s="174"/>
      <c r="N449" s="174"/>
      <c r="O449" s="174"/>
      <c r="P449" s="174"/>
      <c r="Q449" s="174"/>
      <c r="R449" s="174"/>
      <c r="S449" s="174"/>
      <c r="T449" s="174"/>
      <c r="U449" s="174"/>
      <c r="V449" s="174"/>
      <c r="W449" s="174"/>
      <c r="X449" s="174"/>
      <c r="Y449" s="174"/>
      <c r="Z449" s="174"/>
      <c r="AA449" s="174"/>
    </row>
    <row r="450" customFormat="false" ht="15.75" hidden="false" customHeight="false" outlineLevel="0" collapsed="false">
      <c r="A450" s="174" t="str">
        <f aca="false">IF(ISBLANK(B450),"",B450&amp;"|"&amp;C450)</f>
        <v/>
      </c>
      <c r="B450" s="174"/>
      <c r="C450" s="174"/>
      <c r="D450" s="174"/>
      <c r="E450" s="179"/>
      <c r="F450" s="174"/>
      <c r="G450" s="174"/>
      <c r="H450" s="174"/>
      <c r="I450" s="174"/>
      <c r="J450" s="174"/>
      <c r="K450" s="174"/>
      <c r="L450" s="174"/>
      <c r="M450" s="174"/>
      <c r="N450" s="174"/>
      <c r="O450" s="174"/>
      <c r="P450" s="174"/>
      <c r="Q450" s="174"/>
      <c r="R450" s="174"/>
      <c r="S450" s="174"/>
      <c r="T450" s="174"/>
      <c r="U450" s="174"/>
      <c r="V450" s="174"/>
      <c r="W450" s="174"/>
      <c r="X450" s="174"/>
      <c r="Y450" s="174"/>
      <c r="Z450" s="174"/>
      <c r="AA450" s="174"/>
    </row>
    <row r="451" customFormat="false" ht="15.75" hidden="false" customHeight="false" outlineLevel="0" collapsed="false">
      <c r="A451" s="174" t="str">
        <f aca="false">IF(ISBLANK(B451),"",B451&amp;"|"&amp;C451)</f>
        <v/>
      </c>
      <c r="B451" s="174"/>
      <c r="C451" s="174"/>
      <c r="D451" s="174"/>
      <c r="E451" s="179"/>
      <c r="F451" s="174"/>
      <c r="G451" s="174"/>
      <c r="H451" s="174"/>
      <c r="I451" s="174"/>
      <c r="J451" s="174"/>
      <c r="K451" s="174"/>
      <c r="L451" s="174"/>
      <c r="M451" s="174"/>
      <c r="N451" s="174"/>
      <c r="O451" s="174"/>
      <c r="P451" s="174"/>
      <c r="Q451" s="174"/>
      <c r="R451" s="174"/>
      <c r="S451" s="174"/>
      <c r="T451" s="174"/>
      <c r="U451" s="174"/>
      <c r="V451" s="174"/>
      <c r="W451" s="174"/>
      <c r="X451" s="174"/>
      <c r="Y451" s="174"/>
      <c r="Z451" s="174"/>
      <c r="AA451" s="174"/>
    </row>
    <row r="452" customFormat="false" ht="15.75" hidden="false" customHeight="false" outlineLevel="0" collapsed="false">
      <c r="A452" s="174" t="str">
        <f aca="false">IF(ISBLANK(B452),"",B452&amp;"|"&amp;C452)</f>
        <v/>
      </c>
      <c r="B452" s="174"/>
      <c r="C452" s="174"/>
      <c r="D452" s="174"/>
      <c r="E452" s="179"/>
      <c r="F452" s="174"/>
      <c r="G452" s="174"/>
      <c r="H452" s="174"/>
      <c r="I452" s="174"/>
      <c r="J452" s="174"/>
      <c r="K452" s="174"/>
      <c r="L452" s="174"/>
      <c r="M452" s="174"/>
      <c r="N452" s="174"/>
      <c r="O452" s="174"/>
      <c r="P452" s="174"/>
      <c r="Q452" s="174"/>
      <c r="R452" s="174"/>
      <c r="S452" s="174"/>
      <c r="T452" s="174"/>
      <c r="U452" s="174"/>
      <c r="V452" s="174"/>
      <c r="W452" s="174"/>
      <c r="X452" s="174"/>
      <c r="Y452" s="174"/>
      <c r="Z452" s="174"/>
      <c r="AA452" s="174"/>
    </row>
    <row r="453" customFormat="false" ht="15.75" hidden="false" customHeight="false" outlineLevel="0" collapsed="false">
      <c r="A453" s="174" t="str">
        <f aca="false">IF(ISBLANK(B453),"",B453&amp;"|"&amp;C453)</f>
        <v/>
      </c>
      <c r="B453" s="174"/>
      <c r="C453" s="174"/>
      <c r="D453" s="174"/>
      <c r="E453" s="179"/>
      <c r="F453" s="174"/>
      <c r="G453" s="174"/>
      <c r="H453" s="174"/>
      <c r="I453" s="174"/>
      <c r="J453" s="174"/>
      <c r="K453" s="174"/>
      <c r="L453" s="174"/>
      <c r="M453" s="174"/>
      <c r="N453" s="174"/>
      <c r="O453" s="174"/>
      <c r="P453" s="174"/>
      <c r="Q453" s="174"/>
      <c r="R453" s="174"/>
      <c r="S453" s="174"/>
      <c r="T453" s="174"/>
      <c r="U453" s="174"/>
      <c r="V453" s="174"/>
      <c r="W453" s="174"/>
      <c r="X453" s="174"/>
      <c r="Y453" s="174"/>
      <c r="Z453" s="174"/>
      <c r="AA453" s="174"/>
    </row>
    <row r="454" customFormat="false" ht="15.75" hidden="false" customHeight="false" outlineLevel="0" collapsed="false">
      <c r="A454" s="174" t="str">
        <f aca="false">IF(ISBLANK(B454),"",B454&amp;"|"&amp;C454)</f>
        <v/>
      </c>
      <c r="B454" s="174"/>
      <c r="C454" s="174"/>
      <c r="D454" s="174"/>
      <c r="E454" s="179"/>
      <c r="F454" s="174"/>
      <c r="G454" s="174"/>
      <c r="H454" s="174"/>
      <c r="I454" s="174"/>
      <c r="J454" s="174"/>
      <c r="K454" s="174"/>
      <c r="L454" s="174"/>
      <c r="M454" s="174"/>
      <c r="N454" s="174"/>
      <c r="O454" s="174"/>
      <c r="P454" s="174"/>
      <c r="Q454" s="174"/>
      <c r="R454" s="174"/>
      <c r="S454" s="174"/>
      <c r="T454" s="174"/>
      <c r="U454" s="174"/>
      <c r="V454" s="174"/>
      <c r="W454" s="174"/>
      <c r="X454" s="174"/>
      <c r="Y454" s="174"/>
      <c r="Z454" s="174"/>
      <c r="AA454" s="174"/>
    </row>
    <row r="455" customFormat="false" ht="15.75" hidden="false" customHeight="false" outlineLevel="0" collapsed="false">
      <c r="A455" s="174" t="str">
        <f aca="false">IF(ISBLANK(B455),"",B455&amp;"|"&amp;C455)</f>
        <v/>
      </c>
      <c r="B455" s="174"/>
      <c r="C455" s="174"/>
      <c r="D455" s="174"/>
      <c r="E455" s="179"/>
      <c r="F455" s="174"/>
      <c r="G455" s="174"/>
      <c r="H455" s="174"/>
      <c r="I455" s="174"/>
      <c r="J455" s="174"/>
      <c r="K455" s="174"/>
      <c r="L455" s="174"/>
      <c r="M455" s="174"/>
      <c r="N455" s="174"/>
      <c r="O455" s="174"/>
      <c r="P455" s="174"/>
      <c r="Q455" s="174"/>
      <c r="R455" s="174"/>
      <c r="S455" s="174"/>
      <c r="T455" s="174"/>
      <c r="U455" s="174"/>
      <c r="V455" s="174"/>
      <c r="W455" s="174"/>
      <c r="X455" s="174"/>
      <c r="Y455" s="174"/>
      <c r="Z455" s="174"/>
      <c r="AA455" s="174"/>
    </row>
    <row r="456" customFormat="false" ht="15.75" hidden="false" customHeight="false" outlineLevel="0" collapsed="false">
      <c r="A456" s="174" t="str">
        <f aca="false">IF(ISBLANK(B456),"",B456&amp;"|"&amp;C456)</f>
        <v/>
      </c>
      <c r="B456" s="174"/>
      <c r="C456" s="174"/>
      <c r="D456" s="174"/>
      <c r="E456" s="179"/>
      <c r="F456" s="174"/>
      <c r="G456" s="174"/>
      <c r="H456" s="174"/>
      <c r="I456" s="174"/>
      <c r="J456" s="174"/>
      <c r="K456" s="174"/>
      <c r="L456" s="174"/>
      <c r="M456" s="174"/>
      <c r="N456" s="174"/>
      <c r="O456" s="174"/>
      <c r="P456" s="174"/>
      <c r="Q456" s="174"/>
      <c r="R456" s="174"/>
      <c r="S456" s="174"/>
      <c r="T456" s="174"/>
      <c r="U456" s="174"/>
      <c r="V456" s="174"/>
      <c r="W456" s="174"/>
      <c r="X456" s="174"/>
      <c r="Y456" s="174"/>
      <c r="Z456" s="174"/>
      <c r="AA456" s="174"/>
    </row>
    <row r="457" customFormat="false" ht="15.75" hidden="false" customHeight="false" outlineLevel="0" collapsed="false">
      <c r="A457" s="174" t="str">
        <f aca="false">IF(ISBLANK(B457),"",B457&amp;"|"&amp;C457)</f>
        <v/>
      </c>
      <c r="B457" s="174"/>
      <c r="C457" s="174"/>
      <c r="D457" s="174"/>
      <c r="E457" s="179"/>
      <c r="F457" s="174"/>
      <c r="G457" s="174"/>
      <c r="H457" s="174"/>
      <c r="I457" s="174"/>
      <c r="J457" s="174"/>
      <c r="K457" s="174"/>
      <c r="L457" s="174"/>
      <c r="M457" s="174"/>
      <c r="N457" s="174"/>
      <c r="O457" s="174"/>
      <c r="P457" s="174"/>
      <c r="Q457" s="174"/>
      <c r="R457" s="174"/>
      <c r="S457" s="174"/>
      <c r="T457" s="174"/>
      <c r="U457" s="174"/>
      <c r="V457" s="174"/>
      <c r="W457" s="174"/>
      <c r="X457" s="174"/>
      <c r="Y457" s="174"/>
      <c r="Z457" s="174"/>
      <c r="AA457" s="174"/>
    </row>
    <row r="458" customFormat="false" ht="15.75" hidden="false" customHeight="false" outlineLevel="0" collapsed="false">
      <c r="A458" s="174" t="str">
        <f aca="false">IF(ISBLANK(B458),"",B458&amp;"|"&amp;C458)</f>
        <v/>
      </c>
      <c r="B458" s="174"/>
      <c r="C458" s="174"/>
      <c r="D458" s="174"/>
      <c r="E458" s="179"/>
      <c r="F458" s="174"/>
      <c r="G458" s="174"/>
      <c r="H458" s="174"/>
      <c r="I458" s="174"/>
      <c r="J458" s="174"/>
      <c r="K458" s="174"/>
      <c r="L458" s="174"/>
      <c r="M458" s="174"/>
      <c r="N458" s="174"/>
      <c r="O458" s="174"/>
      <c r="P458" s="174"/>
      <c r="Q458" s="174"/>
      <c r="R458" s="174"/>
      <c r="S458" s="174"/>
      <c r="T458" s="174"/>
      <c r="U458" s="174"/>
      <c r="V458" s="174"/>
      <c r="W458" s="174"/>
      <c r="X458" s="174"/>
      <c r="Y458" s="174"/>
      <c r="Z458" s="174"/>
      <c r="AA458" s="174"/>
    </row>
    <row r="459" customFormat="false" ht="15.75" hidden="false" customHeight="false" outlineLevel="0" collapsed="false">
      <c r="A459" s="174" t="str">
        <f aca="false">IF(ISBLANK(B459),"",B459&amp;"|"&amp;C459)</f>
        <v/>
      </c>
      <c r="B459" s="174"/>
      <c r="C459" s="174"/>
      <c r="D459" s="174"/>
      <c r="E459" s="179"/>
      <c r="F459" s="174"/>
      <c r="G459" s="174"/>
      <c r="H459" s="174"/>
      <c r="I459" s="174"/>
      <c r="J459" s="174"/>
      <c r="K459" s="174"/>
      <c r="L459" s="174"/>
      <c r="M459" s="174"/>
      <c r="N459" s="174"/>
      <c r="O459" s="174"/>
      <c r="P459" s="174"/>
      <c r="Q459" s="174"/>
      <c r="R459" s="174"/>
      <c r="S459" s="174"/>
      <c r="T459" s="174"/>
      <c r="U459" s="174"/>
      <c r="V459" s="174"/>
      <c r="W459" s="174"/>
      <c r="X459" s="174"/>
      <c r="Y459" s="174"/>
      <c r="Z459" s="174"/>
      <c r="AA459" s="174"/>
    </row>
    <row r="460" customFormat="false" ht="15.75" hidden="false" customHeight="false" outlineLevel="0" collapsed="false">
      <c r="A460" s="174" t="str">
        <f aca="false">IF(ISBLANK(B460),"",B460&amp;"|"&amp;C460)</f>
        <v/>
      </c>
      <c r="B460" s="174"/>
      <c r="C460" s="174"/>
      <c r="D460" s="174"/>
      <c r="E460" s="179"/>
      <c r="F460" s="174"/>
      <c r="G460" s="174"/>
      <c r="H460" s="174"/>
      <c r="I460" s="174"/>
      <c r="J460" s="174"/>
      <c r="K460" s="174"/>
      <c r="L460" s="174"/>
      <c r="M460" s="174"/>
      <c r="N460" s="174"/>
      <c r="O460" s="174"/>
      <c r="P460" s="174"/>
      <c r="Q460" s="174"/>
      <c r="R460" s="174"/>
      <c r="S460" s="174"/>
      <c r="T460" s="174"/>
      <c r="U460" s="174"/>
      <c r="V460" s="174"/>
      <c r="W460" s="174"/>
      <c r="X460" s="174"/>
      <c r="Y460" s="174"/>
      <c r="Z460" s="174"/>
      <c r="AA460" s="174"/>
    </row>
    <row r="461" customFormat="false" ht="15.75" hidden="false" customHeight="false" outlineLevel="0" collapsed="false">
      <c r="A461" s="174" t="str">
        <f aca="false">IF(ISBLANK(B461),"",B461&amp;"|"&amp;C461)</f>
        <v/>
      </c>
      <c r="B461" s="174"/>
      <c r="C461" s="174"/>
      <c r="D461" s="174"/>
      <c r="E461" s="179"/>
      <c r="F461" s="174"/>
      <c r="G461" s="174"/>
      <c r="H461" s="174"/>
      <c r="I461" s="174"/>
      <c r="J461" s="174"/>
      <c r="K461" s="174"/>
      <c r="L461" s="174"/>
      <c r="M461" s="174"/>
      <c r="N461" s="174"/>
      <c r="O461" s="174"/>
      <c r="P461" s="174"/>
      <c r="Q461" s="174"/>
      <c r="R461" s="174"/>
      <c r="S461" s="174"/>
      <c r="T461" s="174"/>
      <c r="U461" s="174"/>
      <c r="V461" s="174"/>
      <c r="W461" s="174"/>
      <c r="X461" s="174"/>
      <c r="Y461" s="174"/>
      <c r="Z461" s="174"/>
      <c r="AA461" s="174"/>
    </row>
    <row r="462" customFormat="false" ht="15.75" hidden="false" customHeight="false" outlineLevel="0" collapsed="false">
      <c r="A462" s="174" t="str">
        <f aca="false">IF(ISBLANK(B462),"",B462&amp;"|"&amp;C462)</f>
        <v/>
      </c>
      <c r="B462" s="174"/>
      <c r="C462" s="174"/>
      <c r="D462" s="174"/>
      <c r="E462" s="179"/>
      <c r="F462" s="174"/>
      <c r="G462" s="174"/>
      <c r="H462" s="174"/>
      <c r="I462" s="174"/>
      <c r="J462" s="174"/>
      <c r="K462" s="174"/>
      <c r="L462" s="174"/>
      <c r="M462" s="174"/>
      <c r="N462" s="174"/>
      <c r="O462" s="174"/>
      <c r="P462" s="174"/>
      <c r="Q462" s="174"/>
      <c r="R462" s="174"/>
      <c r="S462" s="174"/>
      <c r="T462" s="174"/>
      <c r="U462" s="174"/>
      <c r="V462" s="174"/>
      <c r="W462" s="174"/>
      <c r="X462" s="174"/>
      <c r="Y462" s="174"/>
      <c r="Z462" s="174"/>
      <c r="AA462" s="174"/>
    </row>
    <row r="463" customFormat="false" ht="15.75" hidden="false" customHeight="false" outlineLevel="0" collapsed="false">
      <c r="A463" s="174" t="str">
        <f aca="false">IF(ISBLANK(B463),"",B463&amp;"|"&amp;C463)</f>
        <v/>
      </c>
      <c r="B463" s="174"/>
      <c r="C463" s="174"/>
      <c r="D463" s="174"/>
      <c r="E463" s="179"/>
      <c r="F463" s="174"/>
      <c r="G463" s="174"/>
      <c r="H463" s="174"/>
      <c r="I463" s="174"/>
      <c r="J463" s="174"/>
      <c r="K463" s="174"/>
      <c r="L463" s="174"/>
      <c r="M463" s="174"/>
      <c r="N463" s="174"/>
      <c r="O463" s="174"/>
      <c r="P463" s="174"/>
      <c r="Q463" s="174"/>
      <c r="R463" s="174"/>
      <c r="S463" s="174"/>
      <c r="T463" s="174"/>
      <c r="U463" s="174"/>
      <c r="V463" s="174"/>
      <c r="W463" s="174"/>
      <c r="X463" s="174"/>
      <c r="Y463" s="174"/>
      <c r="Z463" s="174"/>
      <c r="AA463" s="174"/>
    </row>
    <row r="464" customFormat="false" ht="15.75" hidden="false" customHeight="false" outlineLevel="0" collapsed="false">
      <c r="A464" s="174" t="str">
        <f aca="false">IF(ISBLANK(B464),"",B464&amp;"|"&amp;C464)</f>
        <v/>
      </c>
      <c r="B464" s="174"/>
      <c r="C464" s="174"/>
      <c r="D464" s="174"/>
      <c r="E464" s="179"/>
      <c r="F464" s="174"/>
      <c r="G464" s="174"/>
      <c r="H464" s="174"/>
      <c r="I464" s="174"/>
      <c r="J464" s="174"/>
      <c r="K464" s="174"/>
      <c r="L464" s="174"/>
      <c r="M464" s="174"/>
      <c r="N464" s="174"/>
      <c r="O464" s="174"/>
      <c r="P464" s="174"/>
      <c r="Q464" s="174"/>
      <c r="R464" s="174"/>
      <c r="S464" s="174"/>
      <c r="T464" s="174"/>
      <c r="U464" s="174"/>
      <c r="V464" s="174"/>
      <c r="W464" s="174"/>
      <c r="X464" s="174"/>
      <c r="Y464" s="174"/>
      <c r="Z464" s="174"/>
      <c r="AA464" s="174"/>
    </row>
    <row r="465" customFormat="false" ht="15.75" hidden="false" customHeight="false" outlineLevel="0" collapsed="false">
      <c r="A465" s="174" t="str">
        <f aca="false">IF(ISBLANK(B465),"",B465&amp;"|"&amp;C465)</f>
        <v/>
      </c>
      <c r="B465" s="174"/>
      <c r="C465" s="174"/>
      <c r="D465" s="174"/>
      <c r="E465" s="179"/>
      <c r="F465" s="174"/>
      <c r="G465" s="174"/>
      <c r="H465" s="174"/>
      <c r="I465" s="174"/>
      <c r="J465" s="174"/>
      <c r="K465" s="174"/>
      <c r="L465" s="174"/>
      <c r="M465" s="174"/>
      <c r="N465" s="174"/>
      <c r="O465" s="174"/>
      <c r="P465" s="174"/>
      <c r="Q465" s="174"/>
      <c r="R465" s="174"/>
      <c r="S465" s="174"/>
      <c r="T465" s="174"/>
      <c r="U465" s="174"/>
      <c r="V465" s="174"/>
      <c r="W465" s="174"/>
      <c r="X465" s="174"/>
      <c r="Y465" s="174"/>
      <c r="Z465" s="174"/>
      <c r="AA465" s="174"/>
    </row>
    <row r="466" customFormat="false" ht="15.75" hidden="false" customHeight="false" outlineLevel="0" collapsed="false">
      <c r="A466" s="174" t="str">
        <f aca="false">IF(ISBLANK(B466),"",B466&amp;"|"&amp;C466)</f>
        <v/>
      </c>
      <c r="B466" s="174"/>
      <c r="C466" s="174"/>
      <c r="D466" s="174"/>
      <c r="E466" s="179"/>
      <c r="F466" s="174"/>
      <c r="G466" s="174"/>
      <c r="H466" s="174"/>
      <c r="I466" s="174"/>
      <c r="J466" s="174"/>
      <c r="K466" s="174"/>
      <c r="L466" s="174"/>
      <c r="M466" s="174"/>
      <c r="N466" s="174"/>
      <c r="O466" s="174"/>
      <c r="P466" s="174"/>
      <c r="Q466" s="174"/>
      <c r="R466" s="174"/>
      <c r="S466" s="174"/>
      <c r="T466" s="174"/>
      <c r="U466" s="174"/>
      <c r="V466" s="174"/>
      <c r="W466" s="174"/>
      <c r="X466" s="174"/>
      <c r="Y466" s="174"/>
      <c r="Z466" s="174"/>
      <c r="AA466" s="174"/>
    </row>
    <row r="467" customFormat="false" ht="15.75" hidden="false" customHeight="false" outlineLevel="0" collapsed="false">
      <c r="A467" s="174" t="str">
        <f aca="false">IF(ISBLANK(B467),"",B467&amp;"|"&amp;C467)</f>
        <v/>
      </c>
      <c r="B467" s="174"/>
      <c r="C467" s="174"/>
      <c r="D467" s="174"/>
      <c r="E467" s="179"/>
      <c r="F467" s="174"/>
      <c r="G467" s="174"/>
      <c r="H467" s="174"/>
      <c r="I467" s="174"/>
      <c r="J467" s="174"/>
      <c r="K467" s="174"/>
      <c r="L467" s="174"/>
      <c r="M467" s="174"/>
      <c r="N467" s="174"/>
      <c r="O467" s="174"/>
      <c r="P467" s="174"/>
      <c r="Q467" s="174"/>
      <c r="R467" s="174"/>
      <c r="S467" s="174"/>
      <c r="T467" s="174"/>
      <c r="U467" s="174"/>
      <c r="V467" s="174"/>
      <c r="W467" s="174"/>
      <c r="X467" s="174"/>
      <c r="Y467" s="174"/>
      <c r="Z467" s="174"/>
      <c r="AA467" s="174"/>
    </row>
    <row r="468" customFormat="false" ht="15.75" hidden="false" customHeight="false" outlineLevel="0" collapsed="false">
      <c r="A468" s="174" t="str">
        <f aca="false">IF(ISBLANK(B468),"",B468&amp;"|"&amp;C468)</f>
        <v/>
      </c>
      <c r="B468" s="174"/>
      <c r="C468" s="174"/>
      <c r="D468" s="174"/>
      <c r="E468" s="179"/>
      <c r="F468" s="174"/>
      <c r="G468" s="174"/>
      <c r="H468" s="174"/>
      <c r="I468" s="174"/>
      <c r="J468" s="174"/>
      <c r="K468" s="174"/>
      <c r="L468" s="174"/>
      <c r="M468" s="174"/>
      <c r="N468" s="174"/>
      <c r="O468" s="174"/>
      <c r="P468" s="174"/>
      <c r="Q468" s="174"/>
      <c r="R468" s="174"/>
      <c r="S468" s="174"/>
      <c r="T468" s="174"/>
      <c r="U468" s="174"/>
      <c r="V468" s="174"/>
      <c r="W468" s="174"/>
      <c r="X468" s="174"/>
      <c r="Y468" s="174"/>
      <c r="Z468" s="174"/>
      <c r="AA468" s="174"/>
    </row>
    <row r="469" customFormat="false" ht="15.75" hidden="false" customHeight="false" outlineLevel="0" collapsed="false">
      <c r="A469" s="174" t="str">
        <f aca="false">IF(ISBLANK(B469),"",B469&amp;"|"&amp;C469)</f>
        <v/>
      </c>
      <c r="B469" s="174"/>
      <c r="C469" s="174"/>
      <c r="D469" s="174"/>
      <c r="E469" s="179"/>
      <c r="F469" s="174"/>
      <c r="G469" s="174"/>
      <c r="H469" s="174"/>
      <c r="I469" s="174"/>
      <c r="J469" s="174"/>
      <c r="K469" s="174"/>
      <c r="L469" s="174"/>
      <c r="M469" s="174"/>
      <c r="N469" s="174"/>
      <c r="O469" s="174"/>
      <c r="P469" s="174"/>
      <c r="Q469" s="174"/>
      <c r="R469" s="174"/>
      <c r="S469" s="174"/>
      <c r="T469" s="174"/>
      <c r="U469" s="174"/>
      <c r="V469" s="174"/>
      <c r="W469" s="174"/>
      <c r="X469" s="174"/>
      <c r="Y469" s="174"/>
      <c r="Z469" s="174"/>
      <c r="AA469" s="174"/>
    </row>
    <row r="470" customFormat="false" ht="15.75" hidden="false" customHeight="false" outlineLevel="0" collapsed="false">
      <c r="A470" s="174" t="str">
        <f aca="false">IF(ISBLANK(B470),"",B470&amp;"|"&amp;C470)</f>
        <v/>
      </c>
      <c r="B470" s="174"/>
      <c r="C470" s="174"/>
      <c r="D470" s="174"/>
      <c r="E470" s="179"/>
      <c r="F470" s="174"/>
      <c r="G470" s="174"/>
      <c r="H470" s="174"/>
      <c r="I470" s="174"/>
      <c r="J470" s="174"/>
      <c r="K470" s="174"/>
      <c r="L470" s="174"/>
      <c r="M470" s="174"/>
      <c r="N470" s="174"/>
      <c r="O470" s="174"/>
      <c r="P470" s="174"/>
      <c r="Q470" s="174"/>
      <c r="R470" s="174"/>
      <c r="S470" s="174"/>
      <c r="T470" s="174"/>
      <c r="U470" s="174"/>
      <c r="V470" s="174"/>
      <c r="W470" s="174"/>
      <c r="X470" s="174"/>
      <c r="Y470" s="174"/>
      <c r="Z470" s="174"/>
      <c r="AA470" s="174"/>
    </row>
    <row r="471" customFormat="false" ht="15.75" hidden="false" customHeight="false" outlineLevel="0" collapsed="false">
      <c r="A471" s="174" t="str">
        <f aca="false">IF(ISBLANK(B471),"",B471&amp;"|"&amp;C471)</f>
        <v/>
      </c>
      <c r="B471" s="174"/>
      <c r="C471" s="174"/>
      <c r="D471" s="174"/>
      <c r="E471" s="179"/>
      <c r="F471" s="174"/>
      <c r="G471" s="174"/>
      <c r="H471" s="174"/>
      <c r="I471" s="174"/>
      <c r="J471" s="174"/>
      <c r="K471" s="174"/>
      <c r="L471" s="174"/>
      <c r="M471" s="174"/>
      <c r="N471" s="174"/>
      <c r="O471" s="174"/>
      <c r="P471" s="174"/>
      <c r="Q471" s="174"/>
      <c r="R471" s="174"/>
      <c r="S471" s="174"/>
      <c r="T471" s="174"/>
      <c r="U471" s="174"/>
      <c r="V471" s="174"/>
      <c r="W471" s="174"/>
      <c r="X471" s="174"/>
      <c r="Y471" s="174"/>
      <c r="Z471" s="174"/>
      <c r="AA471" s="174"/>
    </row>
    <row r="472" customFormat="false" ht="15.75" hidden="false" customHeight="false" outlineLevel="0" collapsed="false">
      <c r="A472" s="174" t="str">
        <f aca="false">IF(ISBLANK(B472),"",B472&amp;"|"&amp;C472)</f>
        <v/>
      </c>
      <c r="B472" s="174"/>
      <c r="C472" s="174"/>
      <c r="D472" s="174"/>
      <c r="E472" s="179"/>
      <c r="F472" s="174"/>
      <c r="G472" s="174"/>
      <c r="H472" s="174"/>
      <c r="I472" s="174"/>
      <c r="J472" s="174"/>
      <c r="K472" s="174"/>
      <c r="L472" s="174"/>
      <c r="M472" s="174"/>
      <c r="N472" s="174"/>
      <c r="O472" s="174"/>
      <c r="P472" s="174"/>
      <c r="Q472" s="174"/>
      <c r="R472" s="174"/>
      <c r="S472" s="174"/>
      <c r="T472" s="174"/>
      <c r="U472" s="174"/>
      <c r="V472" s="174"/>
      <c r="W472" s="174"/>
      <c r="X472" s="174"/>
      <c r="Y472" s="174"/>
      <c r="Z472" s="174"/>
      <c r="AA472" s="174"/>
    </row>
    <row r="473" customFormat="false" ht="15.75" hidden="false" customHeight="false" outlineLevel="0" collapsed="false">
      <c r="A473" s="174" t="str">
        <f aca="false">IF(ISBLANK(B473),"",B473&amp;"|"&amp;C473)</f>
        <v/>
      </c>
      <c r="B473" s="174"/>
      <c r="C473" s="174"/>
      <c r="D473" s="174"/>
      <c r="E473" s="179"/>
      <c r="F473" s="174"/>
      <c r="G473" s="174"/>
      <c r="H473" s="174"/>
      <c r="I473" s="174"/>
      <c r="J473" s="174"/>
      <c r="K473" s="174"/>
      <c r="L473" s="174"/>
      <c r="M473" s="174"/>
      <c r="N473" s="174"/>
      <c r="O473" s="174"/>
      <c r="P473" s="174"/>
      <c r="Q473" s="174"/>
      <c r="R473" s="174"/>
      <c r="S473" s="174"/>
      <c r="T473" s="174"/>
      <c r="U473" s="174"/>
      <c r="V473" s="174"/>
      <c r="W473" s="174"/>
      <c r="X473" s="174"/>
      <c r="Y473" s="174"/>
      <c r="Z473" s="174"/>
      <c r="AA473" s="174"/>
    </row>
    <row r="474" customFormat="false" ht="15.75" hidden="false" customHeight="false" outlineLevel="0" collapsed="false">
      <c r="A474" s="174" t="str">
        <f aca="false">IF(ISBLANK(B474),"",B474&amp;"|"&amp;C474)</f>
        <v/>
      </c>
      <c r="B474" s="174"/>
      <c r="C474" s="174"/>
      <c r="D474" s="174"/>
      <c r="E474" s="179"/>
      <c r="F474" s="174"/>
      <c r="G474" s="174"/>
      <c r="H474" s="174"/>
      <c r="I474" s="174"/>
      <c r="J474" s="174"/>
      <c r="K474" s="174"/>
      <c r="L474" s="174"/>
      <c r="M474" s="174"/>
      <c r="N474" s="174"/>
      <c r="O474" s="174"/>
      <c r="P474" s="174"/>
      <c r="Q474" s="174"/>
      <c r="R474" s="174"/>
      <c r="S474" s="174"/>
      <c r="T474" s="174"/>
      <c r="U474" s="174"/>
      <c r="V474" s="174"/>
      <c r="W474" s="174"/>
      <c r="X474" s="174"/>
      <c r="Y474" s="174"/>
      <c r="Z474" s="174"/>
      <c r="AA474" s="174"/>
    </row>
    <row r="475" customFormat="false" ht="15.75" hidden="false" customHeight="false" outlineLevel="0" collapsed="false">
      <c r="A475" s="174" t="str">
        <f aca="false">IF(ISBLANK(B475),"",B475&amp;"|"&amp;C475)</f>
        <v/>
      </c>
      <c r="B475" s="174"/>
      <c r="C475" s="174"/>
      <c r="D475" s="174"/>
      <c r="E475" s="179"/>
      <c r="F475" s="174"/>
      <c r="G475" s="174"/>
      <c r="H475" s="174"/>
      <c r="I475" s="174"/>
      <c r="J475" s="174"/>
      <c r="K475" s="174"/>
      <c r="L475" s="174"/>
      <c r="M475" s="174"/>
      <c r="N475" s="174"/>
      <c r="O475" s="174"/>
      <c r="P475" s="174"/>
      <c r="Q475" s="174"/>
      <c r="R475" s="174"/>
      <c r="S475" s="174"/>
      <c r="T475" s="174"/>
      <c r="U475" s="174"/>
      <c r="V475" s="174"/>
      <c r="W475" s="174"/>
      <c r="X475" s="174"/>
      <c r="Y475" s="174"/>
      <c r="Z475" s="174"/>
      <c r="AA475" s="174"/>
    </row>
    <row r="476" customFormat="false" ht="15.75" hidden="false" customHeight="false" outlineLevel="0" collapsed="false">
      <c r="A476" s="174" t="str">
        <f aca="false">IF(ISBLANK(B476),"",B476&amp;"|"&amp;C476)</f>
        <v/>
      </c>
      <c r="B476" s="174"/>
      <c r="C476" s="174"/>
      <c r="D476" s="174"/>
      <c r="E476" s="179"/>
      <c r="F476" s="174"/>
      <c r="G476" s="174"/>
      <c r="H476" s="174"/>
      <c r="I476" s="174"/>
      <c r="J476" s="174"/>
      <c r="K476" s="174"/>
      <c r="L476" s="174"/>
      <c r="M476" s="174"/>
      <c r="N476" s="174"/>
      <c r="O476" s="174"/>
      <c r="P476" s="174"/>
      <c r="Q476" s="174"/>
      <c r="R476" s="174"/>
      <c r="S476" s="174"/>
      <c r="T476" s="174"/>
      <c r="U476" s="174"/>
      <c r="V476" s="174"/>
      <c r="W476" s="174"/>
      <c r="X476" s="174"/>
      <c r="Y476" s="174"/>
      <c r="Z476" s="174"/>
      <c r="AA476" s="174"/>
    </row>
    <row r="477" customFormat="false" ht="15.75" hidden="false" customHeight="false" outlineLevel="0" collapsed="false">
      <c r="A477" s="174" t="str">
        <f aca="false">IF(ISBLANK(B477),"",B477&amp;"|"&amp;C477)</f>
        <v/>
      </c>
      <c r="B477" s="174"/>
      <c r="C477" s="174"/>
      <c r="D477" s="174"/>
      <c r="E477" s="179"/>
      <c r="F477" s="174"/>
      <c r="G477" s="174"/>
      <c r="H477" s="174"/>
      <c r="I477" s="174"/>
      <c r="J477" s="174"/>
      <c r="K477" s="174"/>
      <c r="L477" s="174"/>
      <c r="M477" s="174"/>
      <c r="N477" s="174"/>
      <c r="O477" s="174"/>
      <c r="P477" s="174"/>
      <c r="Q477" s="174"/>
      <c r="R477" s="174"/>
      <c r="S477" s="174"/>
      <c r="T477" s="174"/>
      <c r="U477" s="174"/>
      <c r="V477" s="174"/>
      <c r="W477" s="174"/>
      <c r="X477" s="174"/>
      <c r="Y477" s="174"/>
      <c r="Z477" s="174"/>
      <c r="AA477" s="174"/>
    </row>
    <row r="478" customFormat="false" ht="15.75" hidden="false" customHeight="false" outlineLevel="0" collapsed="false">
      <c r="A478" s="174" t="str">
        <f aca="false">IF(ISBLANK(B478),"",B478&amp;"|"&amp;C478)</f>
        <v/>
      </c>
      <c r="B478" s="174"/>
      <c r="C478" s="174"/>
      <c r="D478" s="174"/>
      <c r="E478" s="179"/>
      <c r="F478" s="174"/>
      <c r="G478" s="174"/>
      <c r="H478" s="174"/>
      <c r="I478" s="174"/>
      <c r="J478" s="174"/>
      <c r="K478" s="174"/>
      <c r="L478" s="174"/>
      <c r="M478" s="174"/>
      <c r="N478" s="174"/>
      <c r="O478" s="174"/>
      <c r="P478" s="174"/>
      <c r="Q478" s="174"/>
      <c r="R478" s="174"/>
      <c r="S478" s="174"/>
      <c r="T478" s="174"/>
      <c r="U478" s="174"/>
      <c r="V478" s="174"/>
      <c r="W478" s="174"/>
      <c r="X478" s="174"/>
      <c r="Y478" s="174"/>
      <c r="Z478" s="174"/>
      <c r="AA478" s="174"/>
    </row>
    <row r="479" customFormat="false" ht="15.75" hidden="false" customHeight="false" outlineLevel="0" collapsed="false">
      <c r="A479" s="174" t="str">
        <f aca="false">IF(ISBLANK(B479),"",B479&amp;"|"&amp;C479)</f>
        <v/>
      </c>
      <c r="B479" s="174"/>
      <c r="C479" s="174"/>
      <c r="D479" s="174"/>
      <c r="E479" s="179"/>
      <c r="F479" s="174"/>
      <c r="G479" s="174"/>
      <c r="H479" s="174"/>
      <c r="I479" s="174"/>
      <c r="J479" s="174"/>
      <c r="K479" s="174"/>
      <c r="L479" s="174"/>
      <c r="M479" s="174"/>
      <c r="N479" s="174"/>
      <c r="O479" s="174"/>
      <c r="P479" s="174"/>
      <c r="Q479" s="174"/>
      <c r="R479" s="174"/>
      <c r="S479" s="174"/>
      <c r="T479" s="174"/>
      <c r="U479" s="174"/>
      <c r="V479" s="174"/>
      <c r="W479" s="174"/>
      <c r="X479" s="174"/>
      <c r="Y479" s="174"/>
      <c r="Z479" s="174"/>
      <c r="AA479" s="174"/>
    </row>
    <row r="480" customFormat="false" ht="15.75" hidden="false" customHeight="false" outlineLevel="0" collapsed="false">
      <c r="A480" s="174" t="str">
        <f aca="false">IF(ISBLANK(B480),"",B480&amp;"|"&amp;C480)</f>
        <v/>
      </c>
      <c r="B480" s="174"/>
      <c r="C480" s="174"/>
      <c r="D480" s="174"/>
      <c r="E480" s="179"/>
      <c r="F480" s="174"/>
      <c r="G480" s="174"/>
      <c r="H480" s="174"/>
      <c r="I480" s="174"/>
      <c r="J480" s="174"/>
      <c r="K480" s="174"/>
      <c r="L480" s="174"/>
      <c r="M480" s="174"/>
      <c r="N480" s="174"/>
      <c r="O480" s="174"/>
      <c r="P480" s="174"/>
      <c r="Q480" s="174"/>
      <c r="R480" s="174"/>
      <c r="S480" s="174"/>
      <c r="T480" s="174"/>
      <c r="U480" s="174"/>
      <c r="V480" s="174"/>
      <c r="W480" s="174"/>
      <c r="X480" s="174"/>
      <c r="Y480" s="174"/>
      <c r="Z480" s="174"/>
      <c r="AA480" s="174"/>
    </row>
    <row r="481" customFormat="false" ht="15.75" hidden="false" customHeight="false" outlineLevel="0" collapsed="false">
      <c r="A481" s="174" t="str">
        <f aca="false">IF(ISBLANK(B481),"",B481&amp;"|"&amp;C481)</f>
        <v/>
      </c>
      <c r="B481" s="174"/>
      <c r="C481" s="174"/>
      <c r="D481" s="174"/>
      <c r="E481" s="179"/>
      <c r="F481" s="174"/>
      <c r="G481" s="174"/>
      <c r="H481" s="174"/>
      <c r="I481" s="174"/>
      <c r="J481" s="174"/>
      <c r="K481" s="174"/>
      <c r="L481" s="174"/>
      <c r="M481" s="174"/>
      <c r="N481" s="174"/>
      <c r="O481" s="174"/>
      <c r="P481" s="174"/>
      <c r="Q481" s="174"/>
      <c r="R481" s="174"/>
      <c r="S481" s="174"/>
      <c r="T481" s="174"/>
      <c r="U481" s="174"/>
      <c r="V481" s="174"/>
      <c r="W481" s="174"/>
      <c r="X481" s="174"/>
      <c r="Y481" s="174"/>
      <c r="Z481" s="174"/>
      <c r="AA481" s="174"/>
    </row>
    <row r="482" customFormat="false" ht="15.75" hidden="false" customHeight="false" outlineLevel="0" collapsed="false">
      <c r="A482" s="174" t="str">
        <f aca="false">IF(ISBLANK(B482),"",B482&amp;"|"&amp;C482)</f>
        <v/>
      </c>
      <c r="B482" s="174"/>
      <c r="C482" s="174"/>
      <c r="D482" s="174"/>
      <c r="E482" s="179"/>
      <c r="F482" s="174"/>
      <c r="G482" s="174"/>
      <c r="H482" s="174"/>
      <c r="I482" s="174"/>
      <c r="J482" s="174"/>
      <c r="K482" s="174"/>
      <c r="L482" s="174"/>
      <c r="M482" s="174"/>
      <c r="N482" s="174"/>
      <c r="O482" s="174"/>
      <c r="P482" s="174"/>
      <c r="Q482" s="174"/>
      <c r="R482" s="174"/>
      <c r="S482" s="174"/>
      <c r="T482" s="174"/>
      <c r="U482" s="174"/>
      <c r="V482" s="174"/>
      <c r="W482" s="174"/>
      <c r="X482" s="174"/>
      <c r="Y482" s="174"/>
      <c r="Z482" s="174"/>
      <c r="AA482" s="174"/>
    </row>
    <row r="483" customFormat="false" ht="15.75" hidden="false" customHeight="false" outlineLevel="0" collapsed="false">
      <c r="A483" s="174" t="str">
        <f aca="false">IF(ISBLANK(B483),"",B483&amp;"|"&amp;C483)</f>
        <v/>
      </c>
      <c r="B483" s="174"/>
      <c r="C483" s="174"/>
      <c r="D483" s="174"/>
      <c r="E483" s="179"/>
      <c r="F483" s="174"/>
      <c r="G483" s="174"/>
      <c r="H483" s="174"/>
      <c r="I483" s="174"/>
      <c r="J483" s="174"/>
      <c r="K483" s="174"/>
      <c r="L483" s="174"/>
      <c r="M483" s="174"/>
      <c r="N483" s="174"/>
      <c r="O483" s="174"/>
      <c r="P483" s="174"/>
      <c r="Q483" s="174"/>
      <c r="R483" s="174"/>
      <c r="S483" s="174"/>
      <c r="T483" s="174"/>
      <c r="U483" s="174"/>
      <c r="V483" s="174"/>
      <c r="W483" s="174"/>
      <c r="X483" s="174"/>
      <c r="Y483" s="174"/>
      <c r="Z483" s="174"/>
      <c r="AA483" s="174"/>
    </row>
    <row r="484" customFormat="false" ht="15.75" hidden="false" customHeight="false" outlineLevel="0" collapsed="false">
      <c r="A484" s="174" t="str">
        <f aca="false">IF(ISBLANK(B484),"",B484&amp;"|"&amp;C484)</f>
        <v/>
      </c>
      <c r="B484" s="174"/>
      <c r="C484" s="174"/>
      <c r="D484" s="174"/>
      <c r="E484" s="179"/>
      <c r="F484" s="174"/>
      <c r="G484" s="174"/>
      <c r="H484" s="174"/>
      <c r="I484" s="174"/>
      <c r="J484" s="174"/>
      <c r="K484" s="174"/>
      <c r="L484" s="174"/>
      <c r="M484" s="174"/>
      <c r="N484" s="174"/>
      <c r="O484" s="174"/>
      <c r="P484" s="174"/>
      <c r="Q484" s="174"/>
      <c r="R484" s="174"/>
      <c r="S484" s="174"/>
      <c r="T484" s="174"/>
      <c r="U484" s="174"/>
      <c r="V484" s="174"/>
      <c r="W484" s="174"/>
      <c r="X484" s="174"/>
      <c r="Y484" s="174"/>
      <c r="Z484" s="174"/>
      <c r="AA484" s="174"/>
    </row>
    <row r="485" customFormat="false" ht="15.75" hidden="false" customHeight="false" outlineLevel="0" collapsed="false">
      <c r="A485" s="174" t="str">
        <f aca="false">IF(ISBLANK(B485),"",B485&amp;"|"&amp;C485)</f>
        <v/>
      </c>
      <c r="B485" s="174"/>
      <c r="C485" s="174"/>
      <c r="D485" s="174"/>
      <c r="E485" s="179"/>
      <c r="F485" s="174"/>
      <c r="G485" s="174"/>
      <c r="H485" s="174"/>
      <c r="I485" s="174"/>
      <c r="J485" s="174"/>
      <c r="K485" s="174"/>
      <c r="L485" s="174"/>
      <c r="M485" s="174"/>
      <c r="N485" s="174"/>
      <c r="O485" s="174"/>
      <c r="P485" s="174"/>
      <c r="Q485" s="174"/>
      <c r="R485" s="174"/>
      <c r="S485" s="174"/>
      <c r="T485" s="174"/>
      <c r="U485" s="174"/>
      <c r="V485" s="174"/>
      <c r="W485" s="174"/>
      <c r="X485" s="174"/>
      <c r="Y485" s="174"/>
      <c r="Z485" s="174"/>
      <c r="AA485" s="174"/>
    </row>
    <row r="486" customFormat="false" ht="15.75" hidden="false" customHeight="false" outlineLevel="0" collapsed="false">
      <c r="A486" s="174" t="str">
        <f aca="false">IF(ISBLANK(B486),"",B486&amp;"|"&amp;C486)</f>
        <v/>
      </c>
      <c r="B486" s="174"/>
      <c r="C486" s="174"/>
      <c r="D486" s="174"/>
      <c r="E486" s="179"/>
      <c r="F486" s="174"/>
      <c r="G486" s="174"/>
      <c r="H486" s="174"/>
      <c r="I486" s="174"/>
      <c r="J486" s="174"/>
      <c r="K486" s="174"/>
      <c r="L486" s="174"/>
      <c r="M486" s="174"/>
      <c r="N486" s="174"/>
      <c r="O486" s="174"/>
      <c r="P486" s="174"/>
      <c r="Q486" s="174"/>
      <c r="R486" s="174"/>
      <c r="S486" s="174"/>
      <c r="T486" s="174"/>
      <c r="U486" s="174"/>
      <c r="V486" s="174"/>
      <c r="W486" s="174"/>
      <c r="X486" s="174"/>
      <c r="Y486" s="174"/>
      <c r="Z486" s="174"/>
      <c r="AA486" s="174"/>
    </row>
    <row r="487" customFormat="false" ht="15.75" hidden="false" customHeight="false" outlineLevel="0" collapsed="false">
      <c r="A487" s="174" t="str">
        <f aca="false">IF(ISBLANK(B487),"",B487&amp;"|"&amp;C487)</f>
        <v/>
      </c>
      <c r="B487" s="174"/>
      <c r="C487" s="174"/>
      <c r="D487" s="174"/>
      <c r="E487" s="179"/>
      <c r="F487" s="174"/>
      <c r="G487" s="174"/>
      <c r="H487" s="174"/>
      <c r="I487" s="174"/>
      <c r="J487" s="174"/>
      <c r="K487" s="174"/>
      <c r="L487" s="174"/>
      <c r="M487" s="174"/>
      <c r="N487" s="174"/>
      <c r="O487" s="174"/>
      <c r="P487" s="174"/>
      <c r="Q487" s="174"/>
      <c r="R487" s="174"/>
      <c r="S487" s="174"/>
      <c r="T487" s="174"/>
      <c r="U487" s="174"/>
      <c r="V487" s="174"/>
      <c r="W487" s="174"/>
      <c r="X487" s="174"/>
      <c r="Y487" s="174"/>
      <c r="Z487" s="174"/>
      <c r="AA487" s="174"/>
    </row>
    <row r="488" customFormat="false" ht="15.75" hidden="false" customHeight="false" outlineLevel="0" collapsed="false">
      <c r="A488" s="174" t="str">
        <f aca="false">IF(ISBLANK(B488),"",B488&amp;"|"&amp;C488)</f>
        <v/>
      </c>
      <c r="B488" s="174"/>
      <c r="C488" s="174"/>
      <c r="D488" s="174"/>
      <c r="E488" s="179"/>
      <c r="F488" s="174"/>
      <c r="G488" s="174"/>
      <c r="H488" s="174"/>
      <c r="I488" s="174"/>
      <c r="J488" s="174"/>
      <c r="K488" s="174"/>
      <c r="L488" s="174"/>
      <c r="M488" s="174"/>
      <c r="N488" s="174"/>
      <c r="O488" s="174"/>
      <c r="P488" s="174"/>
      <c r="Q488" s="174"/>
      <c r="R488" s="174"/>
      <c r="S488" s="174"/>
      <c r="T488" s="174"/>
      <c r="U488" s="174"/>
      <c r="V488" s="174"/>
      <c r="W488" s="174"/>
      <c r="X488" s="174"/>
      <c r="Y488" s="174"/>
      <c r="Z488" s="174"/>
      <c r="AA488" s="174"/>
    </row>
    <row r="489" customFormat="false" ht="15.75" hidden="false" customHeight="false" outlineLevel="0" collapsed="false">
      <c r="A489" s="174" t="str">
        <f aca="false">IF(ISBLANK(B489),"",B489&amp;"|"&amp;C489)</f>
        <v/>
      </c>
      <c r="B489" s="174"/>
      <c r="C489" s="174"/>
      <c r="D489" s="174"/>
      <c r="E489" s="179"/>
      <c r="F489" s="174"/>
      <c r="G489" s="174"/>
      <c r="H489" s="174"/>
      <c r="I489" s="174"/>
      <c r="J489" s="174"/>
      <c r="K489" s="174"/>
      <c r="L489" s="174"/>
      <c r="M489" s="174"/>
      <c r="N489" s="174"/>
      <c r="O489" s="174"/>
      <c r="P489" s="174"/>
      <c r="Q489" s="174"/>
      <c r="R489" s="174"/>
      <c r="S489" s="174"/>
      <c r="T489" s="174"/>
      <c r="U489" s="174"/>
      <c r="V489" s="174"/>
      <c r="W489" s="174"/>
      <c r="X489" s="174"/>
      <c r="Y489" s="174"/>
      <c r="Z489" s="174"/>
      <c r="AA489" s="174"/>
    </row>
    <row r="490" customFormat="false" ht="15.75" hidden="false" customHeight="false" outlineLevel="0" collapsed="false">
      <c r="A490" s="174" t="str">
        <f aca="false">IF(ISBLANK(B490),"",B490&amp;"|"&amp;C490)</f>
        <v/>
      </c>
      <c r="B490" s="174"/>
      <c r="C490" s="174"/>
      <c r="D490" s="174"/>
      <c r="E490" s="179"/>
      <c r="F490" s="174"/>
      <c r="G490" s="174"/>
      <c r="H490" s="174"/>
      <c r="I490" s="174"/>
      <c r="J490" s="174"/>
      <c r="K490" s="174"/>
      <c r="L490" s="174"/>
      <c r="M490" s="174"/>
      <c r="N490" s="174"/>
      <c r="O490" s="174"/>
      <c r="P490" s="174"/>
      <c r="Q490" s="174"/>
      <c r="R490" s="174"/>
      <c r="S490" s="174"/>
      <c r="T490" s="174"/>
      <c r="U490" s="174"/>
      <c r="V490" s="174"/>
      <c r="W490" s="174"/>
      <c r="X490" s="174"/>
      <c r="Y490" s="174"/>
      <c r="Z490" s="174"/>
      <c r="AA490" s="174"/>
    </row>
    <row r="491" customFormat="false" ht="15.75" hidden="false" customHeight="false" outlineLevel="0" collapsed="false">
      <c r="A491" s="174" t="str">
        <f aca="false">IF(ISBLANK(B491),"",B491&amp;"|"&amp;C491)</f>
        <v/>
      </c>
      <c r="B491" s="174"/>
      <c r="C491" s="174"/>
      <c r="D491" s="174"/>
      <c r="E491" s="179"/>
      <c r="F491" s="174"/>
      <c r="G491" s="174"/>
      <c r="H491" s="174"/>
      <c r="I491" s="174"/>
      <c r="J491" s="174"/>
      <c r="K491" s="174"/>
      <c r="L491" s="174"/>
      <c r="M491" s="174"/>
      <c r="N491" s="174"/>
      <c r="O491" s="174"/>
      <c r="P491" s="174"/>
      <c r="Q491" s="174"/>
      <c r="R491" s="174"/>
      <c r="S491" s="174"/>
      <c r="T491" s="174"/>
      <c r="U491" s="174"/>
      <c r="V491" s="174"/>
      <c r="W491" s="174"/>
      <c r="X491" s="174"/>
      <c r="Y491" s="174"/>
      <c r="Z491" s="174"/>
      <c r="AA491" s="174"/>
    </row>
    <row r="492" customFormat="false" ht="15.75" hidden="false" customHeight="false" outlineLevel="0" collapsed="false">
      <c r="A492" s="174" t="str">
        <f aca="false">IF(ISBLANK(B492),"",B492&amp;"|"&amp;C492)</f>
        <v/>
      </c>
      <c r="B492" s="174"/>
      <c r="C492" s="174"/>
      <c r="D492" s="174"/>
      <c r="E492" s="179"/>
      <c r="F492" s="174"/>
      <c r="G492" s="174"/>
      <c r="H492" s="174"/>
      <c r="I492" s="174"/>
      <c r="J492" s="174"/>
      <c r="K492" s="174"/>
      <c r="L492" s="174"/>
      <c r="M492" s="174"/>
      <c r="N492" s="174"/>
      <c r="O492" s="174"/>
      <c r="P492" s="174"/>
      <c r="Q492" s="174"/>
      <c r="R492" s="174"/>
      <c r="S492" s="174"/>
      <c r="T492" s="174"/>
      <c r="U492" s="174"/>
      <c r="V492" s="174"/>
      <c r="W492" s="174"/>
      <c r="X492" s="174"/>
      <c r="Y492" s="174"/>
      <c r="Z492" s="174"/>
      <c r="AA492" s="174"/>
    </row>
    <row r="493" customFormat="false" ht="15.75" hidden="false" customHeight="false" outlineLevel="0" collapsed="false">
      <c r="A493" s="174" t="str">
        <f aca="false">IF(ISBLANK(B493),"",B493&amp;"|"&amp;C493)</f>
        <v/>
      </c>
      <c r="B493" s="174"/>
      <c r="C493" s="174"/>
      <c r="D493" s="174"/>
      <c r="E493" s="179"/>
      <c r="F493" s="174"/>
      <c r="G493" s="174"/>
      <c r="H493" s="174"/>
      <c r="I493" s="174"/>
      <c r="J493" s="174"/>
      <c r="K493" s="174"/>
      <c r="L493" s="174"/>
      <c r="M493" s="174"/>
      <c r="N493" s="174"/>
      <c r="O493" s="174"/>
      <c r="P493" s="174"/>
      <c r="Q493" s="174"/>
      <c r="R493" s="174"/>
      <c r="S493" s="174"/>
      <c r="T493" s="174"/>
      <c r="U493" s="174"/>
      <c r="V493" s="174"/>
      <c r="W493" s="174"/>
      <c r="X493" s="174"/>
      <c r="Y493" s="174"/>
      <c r="Z493" s="174"/>
      <c r="AA493" s="174"/>
    </row>
    <row r="494" customFormat="false" ht="15.75" hidden="false" customHeight="false" outlineLevel="0" collapsed="false">
      <c r="A494" s="174" t="str">
        <f aca="false">IF(ISBLANK(B494),"",B494&amp;"|"&amp;C494)</f>
        <v/>
      </c>
      <c r="B494" s="174"/>
      <c r="C494" s="174"/>
      <c r="D494" s="174"/>
      <c r="E494" s="179"/>
      <c r="F494" s="174"/>
      <c r="G494" s="174"/>
      <c r="H494" s="174"/>
      <c r="I494" s="174"/>
      <c r="J494" s="174"/>
      <c r="K494" s="174"/>
      <c r="L494" s="174"/>
      <c r="M494" s="174"/>
      <c r="N494" s="174"/>
      <c r="O494" s="174"/>
      <c r="P494" s="174"/>
      <c r="Q494" s="174"/>
      <c r="R494" s="174"/>
      <c r="S494" s="174"/>
      <c r="T494" s="174"/>
      <c r="U494" s="174"/>
      <c r="V494" s="174"/>
      <c r="W494" s="174"/>
      <c r="X494" s="174"/>
      <c r="Y494" s="174"/>
      <c r="Z494" s="174"/>
      <c r="AA494" s="174"/>
    </row>
    <row r="495" customFormat="false" ht="15.75" hidden="false" customHeight="false" outlineLevel="0" collapsed="false">
      <c r="A495" s="174" t="str">
        <f aca="false">IF(ISBLANK(B495),"",B495&amp;"|"&amp;C495)</f>
        <v/>
      </c>
      <c r="B495" s="174"/>
      <c r="C495" s="174"/>
      <c r="D495" s="174"/>
      <c r="E495" s="179"/>
      <c r="F495" s="174"/>
      <c r="G495" s="174"/>
      <c r="H495" s="174"/>
      <c r="I495" s="174"/>
      <c r="J495" s="174"/>
      <c r="K495" s="174"/>
      <c r="L495" s="174"/>
      <c r="M495" s="174"/>
      <c r="N495" s="174"/>
      <c r="O495" s="174"/>
      <c r="P495" s="174"/>
      <c r="Q495" s="174"/>
      <c r="R495" s="174"/>
      <c r="S495" s="174"/>
      <c r="T495" s="174"/>
      <c r="U495" s="174"/>
      <c r="V495" s="174"/>
      <c r="W495" s="174"/>
      <c r="X495" s="174"/>
      <c r="Y495" s="174"/>
      <c r="Z495" s="174"/>
      <c r="AA495" s="174"/>
    </row>
    <row r="496" customFormat="false" ht="15.75" hidden="false" customHeight="false" outlineLevel="0" collapsed="false">
      <c r="A496" s="174" t="str">
        <f aca="false">IF(ISBLANK(B496),"",B496&amp;"|"&amp;C496)</f>
        <v/>
      </c>
      <c r="B496" s="174"/>
      <c r="C496" s="174"/>
      <c r="D496" s="174"/>
      <c r="E496" s="179"/>
      <c r="F496" s="174"/>
      <c r="G496" s="174"/>
      <c r="H496" s="174"/>
      <c r="I496" s="174"/>
      <c r="J496" s="174"/>
      <c r="K496" s="174"/>
      <c r="L496" s="174"/>
      <c r="M496" s="174"/>
      <c r="N496" s="174"/>
      <c r="O496" s="174"/>
      <c r="P496" s="174"/>
      <c r="Q496" s="174"/>
      <c r="R496" s="174"/>
      <c r="S496" s="174"/>
      <c r="T496" s="174"/>
      <c r="U496" s="174"/>
      <c r="V496" s="174"/>
      <c r="W496" s="174"/>
      <c r="X496" s="174"/>
      <c r="Y496" s="174"/>
      <c r="Z496" s="174"/>
      <c r="AA496" s="174"/>
    </row>
    <row r="497" customFormat="false" ht="15.75" hidden="false" customHeight="false" outlineLevel="0" collapsed="false">
      <c r="A497" s="174" t="str">
        <f aca="false">IF(ISBLANK(B497),"",B497&amp;"|"&amp;C497)</f>
        <v/>
      </c>
      <c r="B497" s="174"/>
      <c r="C497" s="174"/>
      <c r="D497" s="174"/>
      <c r="E497" s="179"/>
      <c r="F497" s="174"/>
      <c r="G497" s="174"/>
      <c r="H497" s="174"/>
      <c r="I497" s="174"/>
      <c r="J497" s="174"/>
      <c r="K497" s="174"/>
      <c r="L497" s="174"/>
      <c r="M497" s="174"/>
      <c r="N497" s="174"/>
      <c r="O497" s="174"/>
      <c r="P497" s="174"/>
      <c r="Q497" s="174"/>
      <c r="R497" s="174"/>
      <c r="S497" s="174"/>
      <c r="T497" s="174"/>
      <c r="U497" s="174"/>
      <c r="V497" s="174"/>
      <c r="W497" s="174"/>
      <c r="X497" s="174"/>
      <c r="Y497" s="174"/>
      <c r="Z497" s="174"/>
      <c r="AA497" s="174"/>
    </row>
    <row r="498" customFormat="false" ht="15.75" hidden="false" customHeight="false" outlineLevel="0" collapsed="false">
      <c r="A498" s="174" t="str">
        <f aca="false">IF(ISBLANK(B498),"",B498&amp;"|"&amp;C498)</f>
        <v/>
      </c>
      <c r="B498" s="174"/>
      <c r="C498" s="174"/>
      <c r="D498" s="174"/>
      <c r="E498" s="179"/>
      <c r="F498" s="174"/>
      <c r="G498" s="174"/>
      <c r="H498" s="174"/>
      <c r="I498" s="174"/>
      <c r="J498" s="174"/>
      <c r="K498" s="174"/>
      <c r="L498" s="174"/>
      <c r="M498" s="174"/>
      <c r="N498" s="174"/>
      <c r="O498" s="174"/>
      <c r="P498" s="174"/>
      <c r="Q498" s="174"/>
      <c r="R498" s="174"/>
      <c r="S498" s="174"/>
      <c r="T498" s="174"/>
      <c r="U498" s="174"/>
      <c r="V498" s="174"/>
      <c r="W498" s="174"/>
      <c r="X498" s="174"/>
      <c r="Y498" s="174"/>
      <c r="Z498" s="174"/>
      <c r="AA498" s="174"/>
    </row>
    <row r="499" customFormat="false" ht="15.75" hidden="false" customHeight="false" outlineLevel="0" collapsed="false">
      <c r="A499" s="174" t="str">
        <f aca="false">IF(ISBLANK(B499),"",B499&amp;"|"&amp;C499)</f>
        <v/>
      </c>
      <c r="B499" s="174"/>
      <c r="C499" s="174"/>
      <c r="D499" s="174"/>
      <c r="E499" s="179"/>
      <c r="F499" s="174"/>
      <c r="G499" s="174"/>
      <c r="H499" s="174"/>
      <c r="I499" s="174"/>
      <c r="J499" s="174"/>
      <c r="K499" s="174"/>
      <c r="L499" s="174"/>
      <c r="M499" s="174"/>
      <c r="N499" s="174"/>
      <c r="O499" s="174"/>
      <c r="P499" s="174"/>
      <c r="Q499" s="174"/>
      <c r="R499" s="174"/>
      <c r="S499" s="174"/>
      <c r="T499" s="174"/>
      <c r="U499" s="174"/>
      <c r="V499" s="174"/>
      <c r="W499" s="174"/>
      <c r="X499" s="174"/>
      <c r="Y499" s="174"/>
      <c r="Z499" s="174"/>
      <c r="AA499" s="174"/>
    </row>
    <row r="500" customFormat="false" ht="15.75" hidden="false" customHeight="false" outlineLevel="0" collapsed="false">
      <c r="A500" s="174" t="str">
        <f aca="false">IF(ISBLANK(B500),"",B500&amp;"|"&amp;C500)</f>
        <v/>
      </c>
      <c r="B500" s="174"/>
      <c r="C500" s="174"/>
      <c r="D500" s="174"/>
      <c r="E500" s="179"/>
      <c r="F500" s="174"/>
      <c r="G500" s="174"/>
      <c r="H500" s="174"/>
      <c r="I500" s="174"/>
      <c r="J500" s="174"/>
      <c r="K500" s="174"/>
      <c r="L500" s="174"/>
      <c r="M500" s="174"/>
      <c r="N500" s="174"/>
      <c r="O500" s="174"/>
      <c r="P500" s="174"/>
      <c r="Q500" s="174"/>
      <c r="R500" s="174"/>
      <c r="S500" s="174"/>
      <c r="T500" s="174"/>
      <c r="U500" s="174"/>
      <c r="V500" s="174"/>
      <c r="W500" s="174"/>
      <c r="X500" s="174"/>
      <c r="Y500" s="174"/>
      <c r="Z500" s="174"/>
      <c r="AA500" s="174"/>
    </row>
    <row r="501" customFormat="false" ht="15.75" hidden="false" customHeight="false" outlineLevel="0" collapsed="false">
      <c r="A501" s="174" t="str">
        <f aca="false">IF(ISBLANK(B501),"",B501&amp;"|"&amp;C501)</f>
        <v/>
      </c>
      <c r="B501" s="174"/>
      <c r="C501" s="174"/>
      <c r="D501" s="174"/>
      <c r="E501" s="179"/>
      <c r="F501" s="174"/>
      <c r="G501" s="174"/>
      <c r="H501" s="174"/>
      <c r="I501" s="174"/>
      <c r="J501" s="174"/>
      <c r="K501" s="174"/>
      <c r="L501" s="174"/>
      <c r="M501" s="174"/>
      <c r="N501" s="174"/>
      <c r="O501" s="174"/>
      <c r="P501" s="174"/>
      <c r="Q501" s="174"/>
      <c r="R501" s="174"/>
      <c r="S501" s="174"/>
      <c r="T501" s="174"/>
      <c r="U501" s="174"/>
      <c r="V501" s="174"/>
      <c r="W501" s="174"/>
      <c r="X501" s="174"/>
      <c r="Y501" s="174"/>
      <c r="Z501" s="174"/>
      <c r="AA501" s="174"/>
    </row>
    <row r="502" customFormat="false" ht="15.75" hidden="false" customHeight="false" outlineLevel="0" collapsed="false">
      <c r="A502" s="174" t="str">
        <f aca="false">IF(ISBLANK(B502),"",B502&amp;"|"&amp;C502)</f>
        <v/>
      </c>
      <c r="B502" s="174"/>
      <c r="C502" s="174"/>
      <c r="D502" s="174"/>
      <c r="E502" s="179"/>
      <c r="F502" s="174"/>
      <c r="G502" s="174"/>
      <c r="H502" s="174"/>
      <c r="I502" s="174"/>
      <c r="J502" s="174"/>
      <c r="K502" s="174"/>
      <c r="L502" s="174"/>
      <c r="M502" s="174"/>
      <c r="N502" s="174"/>
      <c r="O502" s="174"/>
      <c r="P502" s="174"/>
      <c r="Q502" s="174"/>
      <c r="R502" s="174"/>
      <c r="S502" s="174"/>
      <c r="T502" s="174"/>
      <c r="U502" s="174"/>
      <c r="V502" s="174"/>
      <c r="W502" s="174"/>
      <c r="X502" s="174"/>
      <c r="Y502" s="174"/>
      <c r="Z502" s="174"/>
      <c r="AA502" s="174"/>
    </row>
    <row r="503" customFormat="false" ht="15.75" hidden="false" customHeight="false" outlineLevel="0" collapsed="false">
      <c r="A503" s="174" t="str">
        <f aca="false">IF(ISBLANK(B503),"",B503&amp;"|"&amp;C503)</f>
        <v/>
      </c>
      <c r="B503" s="174"/>
      <c r="C503" s="174"/>
      <c r="D503" s="174"/>
      <c r="E503" s="179"/>
      <c r="F503" s="174"/>
      <c r="G503" s="174"/>
      <c r="H503" s="174"/>
      <c r="I503" s="174"/>
      <c r="J503" s="174"/>
      <c r="K503" s="174"/>
      <c r="L503" s="174"/>
      <c r="M503" s="174"/>
      <c r="N503" s="174"/>
      <c r="O503" s="174"/>
      <c r="P503" s="174"/>
      <c r="Q503" s="174"/>
      <c r="R503" s="174"/>
      <c r="S503" s="174"/>
      <c r="T503" s="174"/>
      <c r="U503" s="174"/>
      <c r="V503" s="174"/>
      <c r="W503" s="174"/>
      <c r="X503" s="174"/>
      <c r="Y503" s="174"/>
      <c r="Z503" s="174"/>
      <c r="AA503" s="174"/>
    </row>
    <row r="504" customFormat="false" ht="15.75" hidden="false" customHeight="false" outlineLevel="0" collapsed="false">
      <c r="A504" s="174" t="str">
        <f aca="false">IF(ISBLANK(B504),"",B504&amp;"|"&amp;C504)</f>
        <v/>
      </c>
      <c r="B504" s="174"/>
      <c r="C504" s="174"/>
      <c r="D504" s="174"/>
      <c r="E504" s="179"/>
      <c r="F504" s="174"/>
      <c r="G504" s="174"/>
      <c r="H504" s="174"/>
      <c r="I504" s="174"/>
      <c r="J504" s="174"/>
      <c r="K504" s="174"/>
      <c r="L504" s="174"/>
      <c r="M504" s="174"/>
      <c r="N504" s="174"/>
      <c r="O504" s="174"/>
      <c r="P504" s="174"/>
      <c r="Q504" s="174"/>
      <c r="R504" s="174"/>
      <c r="S504" s="174"/>
      <c r="T504" s="174"/>
      <c r="U504" s="174"/>
      <c r="V504" s="174"/>
      <c r="W504" s="174"/>
      <c r="X504" s="174"/>
      <c r="Y504" s="174"/>
      <c r="Z504" s="174"/>
      <c r="AA504" s="174"/>
    </row>
    <row r="505" customFormat="false" ht="15.75" hidden="false" customHeight="false" outlineLevel="0" collapsed="false">
      <c r="A505" s="174" t="str">
        <f aca="false">IF(ISBLANK(B505),"",B505&amp;"|"&amp;C505)</f>
        <v/>
      </c>
      <c r="B505" s="174"/>
      <c r="C505" s="174"/>
      <c r="D505" s="174"/>
      <c r="E505" s="179"/>
      <c r="F505" s="174"/>
      <c r="G505" s="174"/>
      <c r="H505" s="174"/>
      <c r="I505" s="174"/>
      <c r="J505" s="174"/>
      <c r="K505" s="174"/>
      <c r="L505" s="174"/>
      <c r="M505" s="174"/>
      <c r="N505" s="174"/>
      <c r="O505" s="174"/>
      <c r="P505" s="174"/>
      <c r="Q505" s="174"/>
      <c r="R505" s="174"/>
      <c r="S505" s="174"/>
      <c r="T505" s="174"/>
      <c r="U505" s="174"/>
      <c r="V505" s="174"/>
      <c r="W505" s="174"/>
      <c r="X505" s="174"/>
      <c r="Y505" s="174"/>
      <c r="Z505" s="174"/>
      <c r="AA505" s="174"/>
    </row>
    <row r="506" customFormat="false" ht="15.75" hidden="false" customHeight="false" outlineLevel="0" collapsed="false">
      <c r="A506" s="174" t="str">
        <f aca="false">IF(ISBLANK(B506),"",B506&amp;"|"&amp;C506)</f>
        <v/>
      </c>
      <c r="B506" s="174"/>
      <c r="C506" s="174"/>
      <c r="D506" s="174"/>
      <c r="E506" s="179"/>
      <c r="F506" s="174"/>
      <c r="G506" s="174"/>
      <c r="H506" s="174"/>
      <c r="I506" s="174"/>
      <c r="J506" s="174"/>
      <c r="K506" s="174"/>
      <c r="L506" s="174"/>
      <c r="M506" s="174"/>
      <c r="N506" s="174"/>
      <c r="O506" s="174"/>
      <c r="P506" s="174"/>
      <c r="Q506" s="174"/>
      <c r="R506" s="174"/>
      <c r="S506" s="174"/>
      <c r="T506" s="174"/>
      <c r="U506" s="174"/>
      <c r="V506" s="174"/>
      <c r="W506" s="174"/>
      <c r="X506" s="174"/>
      <c r="Y506" s="174"/>
      <c r="Z506" s="174"/>
      <c r="AA506" s="174"/>
    </row>
    <row r="507" customFormat="false" ht="15.75" hidden="false" customHeight="false" outlineLevel="0" collapsed="false">
      <c r="A507" s="174" t="str">
        <f aca="false">IF(ISBLANK(B507),"",B507&amp;"|"&amp;C507)</f>
        <v/>
      </c>
      <c r="B507" s="174"/>
      <c r="C507" s="174"/>
      <c r="D507" s="174"/>
      <c r="E507" s="179"/>
      <c r="F507" s="174"/>
      <c r="G507" s="174"/>
      <c r="H507" s="174"/>
      <c r="I507" s="174"/>
      <c r="J507" s="174"/>
      <c r="K507" s="174"/>
      <c r="L507" s="174"/>
      <c r="M507" s="174"/>
      <c r="N507" s="174"/>
      <c r="O507" s="174"/>
      <c r="P507" s="174"/>
      <c r="Q507" s="174"/>
      <c r="R507" s="174"/>
      <c r="S507" s="174"/>
      <c r="T507" s="174"/>
      <c r="U507" s="174"/>
      <c r="V507" s="174"/>
      <c r="W507" s="174"/>
      <c r="X507" s="174"/>
      <c r="Y507" s="174"/>
      <c r="Z507" s="174"/>
      <c r="AA507" s="174"/>
    </row>
    <row r="508" customFormat="false" ht="15.75" hidden="false" customHeight="false" outlineLevel="0" collapsed="false">
      <c r="A508" s="174" t="str">
        <f aca="false">IF(ISBLANK(B508),"",B508&amp;"|"&amp;C508)</f>
        <v/>
      </c>
      <c r="B508" s="174"/>
      <c r="C508" s="174"/>
      <c r="D508" s="174"/>
      <c r="E508" s="179"/>
      <c r="F508" s="174"/>
      <c r="G508" s="174"/>
      <c r="H508" s="174"/>
      <c r="I508" s="174"/>
      <c r="J508" s="174"/>
      <c r="K508" s="174"/>
      <c r="L508" s="174"/>
      <c r="M508" s="174"/>
      <c r="N508" s="174"/>
      <c r="O508" s="174"/>
      <c r="P508" s="174"/>
      <c r="Q508" s="174"/>
      <c r="R508" s="174"/>
      <c r="S508" s="174"/>
      <c r="T508" s="174"/>
      <c r="U508" s="174"/>
      <c r="V508" s="174"/>
      <c r="W508" s="174"/>
      <c r="X508" s="174"/>
      <c r="Y508" s="174"/>
      <c r="Z508" s="174"/>
      <c r="AA508" s="174"/>
    </row>
    <row r="509" customFormat="false" ht="15.75" hidden="false" customHeight="false" outlineLevel="0" collapsed="false">
      <c r="A509" s="174" t="str">
        <f aca="false">IF(ISBLANK(B509),"",B509&amp;"|"&amp;C509)</f>
        <v/>
      </c>
      <c r="B509" s="174"/>
      <c r="C509" s="174"/>
      <c r="D509" s="174"/>
      <c r="E509" s="179"/>
      <c r="F509" s="174"/>
      <c r="G509" s="174"/>
      <c r="H509" s="174"/>
      <c r="I509" s="174"/>
      <c r="J509" s="174"/>
      <c r="K509" s="174"/>
      <c r="L509" s="174"/>
      <c r="M509" s="174"/>
      <c r="N509" s="174"/>
      <c r="O509" s="174"/>
      <c r="P509" s="174"/>
      <c r="Q509" s="174"/>
      <c r="R509" s="174"/>
      <c r="S509" s="174"/>
      <c r="T509" s="174"/>
      <c r="U509" s="174"/>
      <c r="V509" s="174"/>
      <c r="W509" s="174"/>
      <c r="X509" s="174"/>
      <c r="Y509" s="174"/>
      <c r="Z509" s="174"/>
      <c r="AA509" s="174"/>
    </row>
    <row r="510" customFormat="false" ht="15.75" hidden="false" customHeight="false" outlineLevel="0" collapsed="false">
      <c r="A510" s="174" t="str">
        <f aca="false">IF(ISBLANK(B510),"",B510&amp;"|"&amp;C510)</f>
        <v/>
      </c>
      <c r="B510" s="174"/>
      <c r="C510" s="174"/>
      <c r="D510" s="174"/>
      <c r="E510" s="179"/>
      <c r="F510" s="174"/>
      <c r="G510" s="174"/>
      <c r="H510" s="174"/>
      <c r="I510" s="174"/>
      <c r="J510" s="174"/>
      <c r="K510" s="174"/>
      <c r="L510" s="174"/>
      <c r="M510" s="174"/>
      <c r="N510" s="174"/>
      <c r="O510" s="174"/>
      <c r="P510" s="174"/>
      <c r="Q510" s="174"/>
      <c r="R510" s="174"/>
      <c r="S510" s="174"/>
      <c r="T510" s="174"/>
      <c r="U510" s="174"/>
      <c r="V510" s="174"/>
      <c r="W510" s="174"/>
      <c r="X510" s="174"/>
      <c r="Y510" s="174"/>
      <c r="Z510" s="174"/>
      <c r="AA510" s="174"/>
    </row>
    <row r="511" customFormat="false" ht="15.75" hidden="false" customHeight="false" outlineLevel="0" collapsed="false">
      <c r="A511" s="174" t="str">
        <f aca="false">IF(ISBLANK(B511),"",B511&amp;"|"&amp;C511)</f>
        <v/>
      </c>
      <c r="B511" s="174"/>
      <c r="C511" s="174"/>
      <c r="D511" s="174"/>
      <c r="E511" s="179"/>
      <c r="F511" s="174"/>
      <c r="G511" s="174"/>
      <c r="H511" s="174"/>
      <c r="I511" s="174"/>
      <c r="J511" s="174"/>
      <c r="K511" s="174"/>
      <c r="L511" s="174"/>
      <c r="M511" s="174"/>
      <c r="N511" s="174"/>
      <c r="O511" s="174"/>
      <c r="P511" s="174"/>
      <c r="Q511" s="174"/>
      <c r="R511" s="174"/>
      <c r="S511" s="174"/>
      <c r="T511" s="174"/>
      <c r="U511" s="174"/>
      <c r="V511" s="174"/>
      <c r="W511" s="174"/>
      <c r="X511" s="174"/>
      <c r="Y511" s="174"/>
      <c r="Z511" s="174"/>
      <c r="AA511" s="174"/>
    </row>
    <row r="512" customFormat="false" ht="15.75" hidden="false" customHeight="false" outlineLevel="0" collapsed="false">
      <c r="A512" s="174" t="str">
        <f aca="false">IF(ISBLANK(B512),"",B512&amp;"|"&amp;C512)</f>
        <v/>
      </c>
      <c r="B512" s="174"/>
      <c r="C512" s="174"/>
      <c r="D512" s="174"/>
      <c r="E512" s="179"/>
      <c r="F512" s="174"/>
      <c r="G512" s="174"/>
      <c r="H512" s="174"/>
      <c r="I512" s="174"/>
      <c r="J512" s="174"/>
      <c r="K512" s="174"/>
      <c r="L512" s="174"/>
      <c r="M512" s="174"/>
      <c r="N512" s="174"/>
      <c r="O512" s="174"/>
      <c r="P512" s="174"/>
      <c r="Q512" s="174"/>
      <c r="R512" s="174"/>
      <c r="S512" s="174"/>
      <c r="T512" s="174"/>
      <c r="U512" s="174"/>
      <c r="V512" s="174"/>
      <c r="W512" s="174"/>
      <c r="X512" s="174"/>
      <c r="Y512" s="174"/>
      <c r="Z512" s="174"/>
      <c r="AA512" s="174"/>
    </row>
    <row r="513" customFormat="false" ht="15.75" hidden="false" customHeight="false" outlineLevel="0" collapsed="false">
      <c r="A513" s="174" t="str">
        <f aca="false">IF(ISBLANK(B513),"",B513&amp;"|"&amp;C513)</f>
        <v/>
      </c>
      <c r="B513" s="174"/>
      <c r="C513" s="174"/>
      <c r="D513" s="174"/>
      <c r="E513" s="179"/>
      <c r="F513" s="174"/>
      <c r="G513" s="174"/>
      <c r="H513" s="174"/>
      <c r="I513" s="174"/>
      <c r="J513" s="174"/>
      <c r="K513" s="174"/>
      <c r="L513" s="174"/>
      <c r="M513" s="174"/>
      <c r="N513" s="174"/>
      <c r="O513" s="174"/>
      <c r="P513" s="174"/>
      <c r="Q513" s="174"/>
      <c r="R513" s="174"/>
      <c r="S513" s="174"/>
      <c r="T513" s="174"/>
      <c r="U513" s="174"/>
      <c r="V513" s="174"/>
      <c r="W513" s="174"/>
      <c r="X513" s="174"/>
      <c r="Y513" s="174"/>
      <c r="Z513" s="174"/>
      <c r="AA513" s="174"/>
    </row>
    <row r="514" customFormat="false" ht="15.75" hidden="false" customHeight="false" outlineLevel="0" collapsed="false">
      <c r="A514" s="174" t="str">
        <f aca="false">IF(ISBLANK(B514),"",B514&amp;"|"&amp;C514)</f>
        <v/>
      </c>
      <c r="B514" s="174"/>
      <c r="C514" s="174"/>
      <c r="D514" s="174"/>
      <c r="E514" s="179"/>
      <c r="F514" s="174"/>
      <c r="G514" s="174"/>
      <c r="H514" s="174"/>
      <c r="I514" s="174"/>
      <c r="J514" s="174"/>
      <c r="K514" s="174"/>
      <c r="L514" s="174"/>
      <c r="M514" s="174"/>
      <c r="N514" s="174"/>
      <c r="O514" s="174"/>
      <c r="P514" s="174"/>
      <c r="Q514" s="174"/>
      <c r="R514" s="174"/>
      <c r="S514" s="174"/>
      <c r="T514" s="174"/>
      <c r="U514" s="174"/>
      <c r="V514" s="174"/>
      <c r="W514" s="174"/>
      <c r="X514" s="174"/>
      <c r="Y514" s="174"/>
      <c r="Z514" s="174"/>
      <c r="AA514" s="174"/>
    </row>
    <row r="515" customFormat="false" ht="15.75" hidden="false" customHeight="false" outlineLevel="0" collapsed="false">
      <c r="A515" s="174" t="str">
        <f aca="false">IF(ISBLANK(B515),"",B515&amp;"|"&amp;C515)</f>
        <v/>
      </c>
      <c r="B515" s="174"/>
      <c r="C515" s="174"/>
      <c r="D515" s="174"/>
      <c r="E515" s="179"/>
      <c r="F515" s="174"/>
      <c r="G515" s="174"/>
      <c r="H515" s="174"/>
      <c r="I515" s="174"/>
      <c r="J515" s="174"/>
      <c r="K515" s="174"/>
      <c r="L515" s="174"/>
      <c r="M515" s="174"/>
      <c r="N515" s="174"/>
      <c r="O515" s="174"/>
      <c r="P515" s="174"/>
      <c r="Q515" s="174"/>
      <c r="R515" s="174"/>
      <c r="S515" s="174"/>
      <c r="T515" s="174"/>
      <c r="U515" s="174"/>
      <c r="V515" s="174"/>
      <c r="W515" s="174"/>
      <c r="X515" s="174"/>
      <c r="Y515" s="174"/>
      <c r="Z515" s="174"/>
      <c r="AA515" s="174"/>
    </row>
    <row r="516" customFormat="false" ht="15.75" hidden="false" customHeight="false" outlineLevel="0" collapsed="false">
      <c r="A516" s="174" t="str">
        <f aca="false">IF(ISBLANK(B516),"",B516&amp;"|"&amp;C516)</f>
        <v/>
      </c>
      <c r="B516" s="174"/>
      <c r="C516" s="174"/>
      <c r="D516" s="174"/>
      <c r="E516" s="179"/>
      <c r="F516" s="174"/>
      <c r="G516" s="174"/>
      <c r="H516" s="174"/>
      <c r="I516" s="174"/>
      <c r="J516" s="174"/>
      <c r="K516" s="174"/>
      <c r="L516" s="174"/>
      <c r="M516" s="174"/>
      <c r="N516" s="174"/>
      <c r="O516" s="174"/>
      <c r="P516" s="174"/>
      <c r="Q516" s="174"/>
      <c r="R516" s="174"/>
      <c r="S516" s="174"/>
      <c r="T516" s="174"/>
      <c r="U516" s="174"/>
      <c r="V516" s="174"/>
      <c r="W516" s="174"/>
      <c r="X516" s="174"/>
      <c r="Y516" s="174"/>
      <c r="Z516" s="174"/>
      <c r="AA516" s="174"/>
    </row>
    <row r="517" customFormat="false" ht="15.75" hidden="false" customHeight="false" outlineLevel="0" collapsed="false">
      <c r="A517" s="174" t="str">
        <f aca="false">IF(ISBLANK(B517),"",B517&amp;"|"&amp;C517)</f>
        <v/>
      </c>
      <c r="B517" s="174"/>
      <c r="C517" s="174"/>
      <c r="D517" s="174"/>
      <c r="E517" s="179"/>
      <c r="F517" s="174"/>
      <c r="G517" s="174"/>
      <c r="H517" s="174"/>
      <c r="I517" s="174"/>
      <c r="J517" s="174"/>
      <c r="K517" s="174"/>
      <c r="L517" s="174"/>
      <c r="M517" s="174"/>
      <c r="N517" s="174"/>
      <c r="O517" s="174"/>
      <c r="P517" s="174"/>
      <c r="Q517" s="174"/>
      <c r="R517" s="174"/>
      <c r="S517" s="174"/>
      <c r="T517" s="174"/>
      <c r="U517" s="174"/>
      <c r="V517" s="174"/>
      <c r="W517" s="174"/>
      <c r="X517" s="174"/>
      <c r="Y517" s="174"/>
      <c r="Z517" s="174"/>
      <c r="AA517" s="174"/>
    </row>
    <row r="518" customFormat="false" ht="15.75" hidden="false" customHeight="false" outlineLevel="0" collapsed="false">
      <c r="A518" s="174" t="str">
        <f aca="false">IF(ISBLANK(B518),"",B518&amp;"|"&amp;C518)</f>
        <v/>
      </c>
      <c r="B518" s="174"/>
      <c r="C518" s="174"/>
      <c r="D518" s="174"/>
      <c r="E518" s="179"/>
      <c r="F518" s="174"/>
      <c r="G518" s="174"/>
      <c r="H518" s="174"/>
      <c r="I518" s="174"/>
      <c r="J518" s="174"/>
      <c r="K518" s="174"/>
      <c r="L518" s="174"/>
      <c r="M518" s="174"/>
      <c r="N518" s="174"/>
      <c r="O518" s="174"/>
      <c r="P518" s="174"/>
      <c r="Q518" s="174"/>
      <c r="R518" s="174"/>
      <c r="S518" s="174"/>
      <c r="T518" s="174"/>
      <c r="U518" s="174"/>
      <c r="V518" s="174"/>
      <c r="W518" s="174"/>
      <c r="X518" s="174"/>
      <c r="Y518" s="174"/>
      <c r="Z518" s="174"/>
      <c r="AA518" s="174"/>
    </row>
    <row r="519" customFormat="false" ht="15.75" hidden="false" customHeight="false" outlineLevel="0" collapsed="false">
      <c r="A519" s="174" t="str">
        <f aca="false">IF(ISBLANK(B519),"",B519&amp;"|"&amp;C519)</f>
        <v/>
      </c>
      <c r="B519" s="174"/>
      <c r="C519" s="174"/>
      <c r="D519" s="174"/>
      <c r="E519" s="179"/>
      <c r="F519" s="174"/>
      <c r="G519" s="174"/>
      <c r="H519" s="174"/>
      <c r="I519" s="174"/>
      <c r="J519" s="174"/>
      <c r="K519" s="174"/>
      <c r="L519" s="174"/>
      <c r="M519" s="174"/>
      <c r="N519" s="174"/>
      <c r="O519" s="174"/>
      <c r="P519" s="174"/>
      <c r="Q519" s="174"/>
      <c r="R519" s="174"/>
      <c r="S519" s="174"/>
      <c r="T519" s="174"/>
      <c r="U519" s="174"/>
      <c r="V519" s="174"/>
      <c r="W519" s="174"/>
      <c r="X519" s="174"/>
      <c r="Y519" s="174"/>
      <c r="Z519" s="174"/>
      <c r="AA519" s="174"/>
    </row>
    <row r="520" customFormat="false" ht="15.75" hidden="false" customHeight="false" outlineLevel="0" collapsed="false">
      <c r="A520" s="174" t="str">
        <f aca="false">IF(ISBLANK(B520),"",B520&amp;"|"&amp;C520)</f>
        <v/>
      </c>
      <c r="B520" s="174"/>
      <c r="C520" s="174"/>
      <c r="D520" s="174"/>
      <c r="E520" s="179"/>
      <c r="F520" s="174"/>
      <c r="G520" s="174"/>
      <c r="H520" s="174"/>
      <c r="I520" s="174"/>
      <c r="J520" s="174"/>
      <c r="K520" s="174"/>
      <c r="L520" s="174"/>
      <c r="M520" s="174"/>
      <c r="N520" s="174"/>
      <c r="O520" s="174"/>
      <c r="P520" s="174"/>
      <c r="Q520" s="174"/>
      <c r="R520" s="174"/>
      <c r="S520" s="174"/>
      <c r="T520" s="174"/>
      <c r="U520" s="174"/>
      <c r="V520" s="174"/>
      <c r="W520" s="174"/>
      <c r="X520" s="174"/>
      <c r="Y520" s="174"/>
      <c r="Z520" s="174"/>
      <c r="AA520" s="174"/>
    </row>
    <row r="521" customFormat="false" ht="15.75" hidden="false" customHeight="false" outlineLevel="0" collapsed="false">
      <c r="A521" s="174" t="str">
        <f aca="false">IF(ISBLANK(B521),"",B521&amp;"|"&amp;C521)</f>
        <v/>
      </c>
      <c r="B521" s="174"/>
      <c r="C521" s="174"/>
      <c r="D521" s="174"/>
      <c r="E521" s="179"/>
      <c r="F521" s="174"/>
      <c r="G521" s="174"/>
      <c r="H521" s="174"/>
      <c r="I521" s="174"/>
      <c r="J521" s="174"/>
      <c r="K521" s="174"/>
      <c r="L521" s="174"/>
      <c r="M521" s="174"/>
      <c r="N521" s="174"/>
      <c r="O521" s="174"/>
      <c r="P521" s="174"/>
      <c r="Q521" s="174"/>
      <c r="R521" s="174"/>
      <c r="S521" s="174"/>
      <c r="T521" s="174"/>
      <c r="U521" s="174"/>
      <c r="V521" s="174"/>
      <c r="W521" s="174"/>
      <c r="X521" s="174"/>
      <c r="Y521" s="174"/>
      <c r="Z521" s="174"/>
      <c r="AA521" s="174"/>
    </row>
    <row r="522" customFormat="false" ht="15.75" hidden="false" customHeight="false" outlineLevel="0" collapsed="false">
      <c r="A522" s="174" t="str">
        <f aca="false">IF(ISBLANK(B522),"",B522&amp;"|"&amp;C522)</f>
        <v/>
      </c>
      <c r="B522" s="174"/>
      <c r="C522" s="174"/>
      <c r="D522" s="174"/>
      <c r="E522" s="179"/>
      <c r="F522" s="174"/>
      <c r="G522" s="174"/>
      <c r="H522" s="174"/>
      <c r="I522" s="174"/>
      <c r="J522" s="174"/>
      <c r="K522" s="174"/>
      <c r="L522" s="174"/>
      <c r="M522" s="174"/>
      <c r="N522" s="174"/>
      <c r="O522" s="174"/>
      <c r="P522" s="174"/>
      <c r="Q522" s="174"/>
      <c r="R522" s="174"/>
      <c r="S522" s="174"/>
      <c r="T522" s="174"/>
      <c r="U522" s="174"/>
      <c r="V522" s="174"/>
      <c r="W522" s="174"/>
      <c r="X522" s="174"/>
      <c r="Y522" s="174"/>
      <c r="Z522" s="174"/>
      <c r="AA522" s="174"/>
    </row>
    <row r="523" customFormat="false" ht="15.75" hidden="false" customHeight="false" outlineLevel="0" collapsed="false">
      <c r="A523" s="174" t="str">
        <f aca="false">IF(ISBLANK(B523),"",B523&amp;"|"&amp;C523)</f>
        <v/>
      </c>
      <c r="B523" s="174"/>
      <c r="C523" s="174"/>
      <c r="D523" s="174"/>
      <c r="E523" s="179"/>
      <c r="F523" s="174"/>
      <c r="G523" s="174"/>
      <c r="H523" s="174"/>
      <c r="I523" s="174"/>
      <c r="J523" s="174"/>
      <c r="K523" s="174"/>
      <c r="L523" s="174"/>
      <c r="M523" s="174"/>
      <c r="N523" s="174"/>
      <c r="O523" s="174"/>
      <c r="P523" s="174"/>
      <c r="Q523" s="174"/>
      <c r="R523" s="174"/>
      <c r="S523" s="174"/>
      <c r="T523" s="174"/>
      <c r="U523" s="174"/>
      <c r="V523" s="174"/>
      <c r="W523" s="174"/>
      <c r="X523" s="174"/>
      <c r="Y523" s="174"/>
      <c r="Z523" s="174"/>
      <c r="AA523" s="174"/>
    </row>
    <row r="524" customFormat="false" ht="15.75" hidden="false" customHeight="false" outlineLevel="0" collapsed="false">
      <c r="A524" s="174" t="str">
        <f aca="false">IF(ISBLANK(B524),"",B524&amp;"|"&amp;C524)</f>
        <v/>
      </c>
      <c r="B524" s="174"/>
      <c r="C524" s="174"/>
      <c r="D524" s="174"/>
      <c r="E524" s="179"/>
      <c r="F524" s="174"/>
      <c r="G524" s="174"/>
      <c r="H524" s="174"/>
      <c r="I524" s="174"/>
      <c r="J524" s="174"/>
      <c r="K524" s="174"/>
      <c r="L524" s="174"/>
      <c r="M524" s="174"/>
      <c r="N524" s="174"/>
      <c r="O524" s="174"/>
      <c r="P524" s="174"/>
      <c r="Q524" s="174"/>
      <c r="R524" s="174"/>
      <c r="S524" s="174"/>
      <c r="T524" s="174"/>
      <c r="U524" s="174"/>
      <c r="V524" s="174"/>
      <c r="W524" s="174"/>
      <c r="X524" s="174"/>
      <c r="Y524" s="174"/>
      <c r="Z524" s="174"/>
      <c r="AA524" s="174"/>
    </row>
    <row r="525" customFormat="false" ht="15.75" hidden="false" customHeight="false" outlineLevel="0" collapsed="false">
      <c r="A525" s="174" t="str">
        <f aca="false">IF(ISBLANK(B525),"",B525&amp;"|"&amp;C525)</f>
        <v/>
      </c>
      <c r="B525" s="174"/>
      <c r="C525" s="174"/>
      <c r="D525" s="174"/>
      <c r="E525" s="179"/>
      <c r="F525" s="174"/>
      <c r="G525" s="174"/>
      <c r="H525" s="174"/>
      <c r="I525" s="174"/>
      <c r="J525" s="174"/>
      <c r="K525" s="174"/>
      <c r="L525" s="174"/>
      <c r="M525" s="174"/>
      <c r="N525" s="174"/>
      <c r="O525" s="174"/>
      <c r="P525" s="174"/>
      <c r="Q525" s="174"/>
      <c r="R525" s="174"/>
      <c r="S525" s="174"/>
      <c r="T525" s="174"/>
      <c r="U525" s="174"/>
      <c r="V525" s="174"/>
      <c r="W525" s="174"/>
      <c r="X525" s="174"/>
      <c r="Y525" s="174"/>
      <c r="Z525" s="174"/>
      <c r="AA525" s="174"/>
    </row>
    <row r="526" customFormat="false" ht="15.75" hidden="false" customHeight="false" outlineLevel="0" collapsed="false">
      <c r="A526" s="174" t="str">
        <f aca="false">IF(ISBLANK(B526),"",B526&amp;"|"&amp;C526)</f>
        <v/>
      </c>
      <c r="B526" s="174"/>
      <c r="C526" s="174"/>
      <c r="D526" s="174"/>
      <c r="E526" s="179"/>
      <c r="F526" s="174"/>
      <c r="G526" s="174"/>
      <c r="H526" s="174"/>
      <c r="I526" s="174"/>
      <c r="J526" s="174"/>
      <c r="K526" s="174"/>
      <c r="L526" s="174"/>
      <c r="M526" s="174"/>
      <c r="N526" s="174"/>
      <c r="O526" s="174"/>
      <c r="P526" s="174"/>
      <c r="Q526" s="174"/>
      <c r="R526" s="174"/>
      <c r="S526" s="174"/>
      <c r="T526" s="174"/>
      <c r="U526" s="174"/>
      <c r="V526" s="174"/>
      <c r="W526" s="174"/>
      <c r="X526" s="174"/>
      <c r="Y526" s="174"/>
      <c r="Z526" s="174"/>
      <c r="AA526" s="174"/>
    </row>
    <row r="527" customFormat="false" ht="15.75" hidden="false" customHeight="false" outlineLevel="0" collapsed="false">
      <c r="A527" s="174" t="str">
        <f aca="false">IF(ISBLANK(B527),"",B527&amp;"|"&amp;C527)</f>
        <v/>
      </c>
      <c r="B527" s="174"/>
      <c r="C527" s="174"/>
      <c r="D527" s="174"/>
      <c r="E527" s="179"/>
      <c r="F527" s="174"/>
      <c r="G527" s="174"/>
      <c r="H527" s="174"/>
      <c r="I527" s="174"/>
      <c r="J527" s="174"/>
      <c r="K527" s="174"/>
      <c r="L527" s="174"/>
      <c r="M527" s="174"/>
      <c r="N527" s="174"/>
      <c r="O527" s="174"/>
      <c r="P527" s="174"/>
      <c r="Q527" s="174"/>
      <c r="R527" s="174"/>
      <c r="S527" s="174"/>
      <c r="T527" s="174"/>
      <c r="U527" s="174"/>
      <c r="V527" s="174"/>
      <c r="W527" s="174"/>
      <c r="X527" s="174"/>
      <c r="Y527" s="174"/>
      <c r="Z527" s="174"/>
      <c r="AA527" s="174"/>
    </row>
    <row r="528" customFormat="false" ht="15.75" hidden="false" customHeight="false" outlineLevel="0" collapsed="false">
      <c r="A528" s="174" t="str">
        <f aca="false">IF(ISBLANK(B528),"",B528&amp;"|"&amp;C528)</f>
        <v/>
      </c>
      <c r="B528" s="174"/>
      <c r="C528" s="174"/>
      <c r="D528" s="174"/>
      <c r="E528" s="179"/>
      <c r="F528" s="174"/>
      <c r="G528" s="174"/>
      <c r="H528" s="174"/>
      <c r="I528" s="174"/>
      <c r="J528" s="174"/>
      <c r="K528" s="174"/>
      <c r="L528" s="174"/>
      <c r="M528" s="174"/>
      <c r="N528" s="174"/>
      <c r="O528" s="174"/>
      <c r="P528" s="174"/>
      <c r="Q528" s="174"/>
      <c r="R528" s="174"/>
      <c r="S528" s="174"/>
      <c r="T528" s="174"/>
      <c r="U528" s="174"/>
      <c r="V528" s="174"/>
      <c r="W528" s="174"/>
      <c r="X528" s="174"/>
      <c r="Y528" s="174"/>
      <c r="Z528" s="174"/>
      <c r="AA528" s="174"/>
    </row>
    <row r="529" customFormat="false" ht="15.75" hidden="false" customHeight="false" outlineLevel="0" collapsed="false">
      <c r="A529" s="174" t="str">
        <f aca="false">IF(ISBLANK(B529),"",B529&amp;"|"&amp;C529)</f>
        <v/>
      </c>
      <c r="B529" s="174"/>
      <c r="C529" s="174"/>
      <c r="D529" s="174"/>
      <c r="E529" s="179"/>
      <c r="F529" s="174"/>
      <c r="G529" s="174"/>
      <c r="H529" s="174"/>
      <c r="I529" s="174"/>
      <c r="J529" s="174"/>
      <c r="K529" s="174"/>
      <c r="L529" s="174"/>
      <c r="M529" s="174"/>
      <c r="N529" s="174"/>
      <c r="O529" s="174"/>
      <c r="P529" s="174"/>
      <c r="Q529" s="174"/>
      <c r="R529" s="174"/>
      <c r="S529" s="174"/>
      <c r="T529" s="174"/>
      <c r="U529" s="174"/>
      <c r="V529" s="174"/>
      <c r="W529" s="174"/>
      <c r="X529" s="174"/>
      <c r="Y529" s="174"/>
      <c r="Z529" s="174"/>
      <c r="AA529" s="174"/>
    </row>
    <row r="530" customFormat="false" ht="15.75" hidden="false" customHeight="false" outlineLevel="0" collapsed="false">
      <c r="A530" s="174" t="str">
        <f aca="false">IF(ISBLANK(B530),"",B530&amp;"|"&amp;C530)</f>
        <v/>
      </c>
      <c r="B530" s="174"/>
      <c r="C530" s="174"/>
      <c r="D530" s="174"/>
      <c r="E530" s="179"/>
      <c r="F530" s="174"/>
      <c r="G530" s="174"/>
      <c r="H530" s="174"/>
      <c r="I530" s="174"/>
      <c r="J530" s="174"/>
      <c r="K530" s="174"/>
      <c r="L530" s="174"/>
      <c r="M530" s="174"/>
      <c r="N530" s="174"/>
      <c r="O530" s="174"/>
      <c r="P530" s="174"/>
      <c r="Q530" s="174"/>
      <c r="R530" s="174"/>
      <c r="S530" s="174"/>
      <c r="T530" s="174"/>
      <c r="U530" s="174"/>
      <c r="V530" s="174"/>
      <c r="W530" s="174"/>
      <c r="X530" s="174"/>
      <c r="Y530" s="174"/>
      <c r="Z530" s="174"/>
      <c r="AA530" s="174"/>
    </row>
    <row r="531" customFormat="false" ht="15.75" hidden="false" customHeight="false" outlineLevel="0" collapsed="false">
      <c r="A531" s="174" t="str">
        <f aca="false">IF(ISBLANK(B531),"",B531&amp;"|"&amp;C531)</f>
        <v/>
      </c>
      <c r="B531" s="174"/>
      <c r="C531" s="174"/>
      <c r="D531" s="174"/>
      <c r="E531" s="179"/>
      <c r="F531" s="174"/>
      <c r="G531" s="174"/>
      <c r="H531" s="174"/>
      <c r="I531" s="174"/>
      <c r="J531" s="174"/>
      <c r="K531" s="174"/>
      <c r="L531" s="174"/>
      <c r="M531" s="174"/>
      <c r="N531" s="174"/>
      <c r="O531" s="174"/>
      <c r="P531" s="174"/>
      <c r="Q531" s="174"/>
      <c r="R531" s="174"/>
      <c r="S531" s="174"/>
      <c r="T531" s="174"/>
      <c r="U531" s="174"/>
      <c r="V531" s="174"/>
      <c r="W531" s="174"/>
      <c r="X531" s="174"/>
      <c r="Y531" s="174"/>
      <c r="Z531" s="174"/>
      <c r="AA531" s="174"/>
    </row>
    <row r="532" customFormat="false" ht="15.75" hidden="false" customHeight="false" outlineLevel="0" collapsed="false">
      <c r="A532" s="174" t="str">
        <f aca="false">IF(ISBLANK(B532),"",B532&amp;"|"&amp;C532)</f>
        <v/>
      </c>
      <c r="B532" s="174"/>
      <c r="C532" s="174"/>
      <c r="D532" s="174"/>
      <c r="E532" s="179"/>
      <c r="F532" s="174"/>
      <c r="G532" s="174"/>
      <c r="H532" s="174"/>
      <c r="I532" s="174"/>
      <c r="J532" s="174"/>
      <c r="K532" s="174"/>
      <c r="L532" s="174"/>
      <c r="M532" s="174"/>
      <c r="N532" s="174"/>
      <c r="O532" s="174"/>
      <c r="P532" s="174"/>
      <c r="Q532" s="174"/>
      <c r="R532" s="174"/>
      <c r="S532" s="174"/>
      <c r="T532" s="174"/>
      <c r="U532" s="174"/>
      <c r="V532" s="174"/>
      <c r="W532" s="174"/>
      <c r="X532" s="174"/>
      <c r="Y532" s="174"/>
      <c r="Z532" s="174"/>
      <c r="AA532" s="174"/>
    </row>
    <row r="533" customFormat="false" ht="15.75" hidden="false" customHeight="false" outlineLevel="0" collapsed="false">
      <c r="A533" s="174" t="str">
        <f aca="false">IF(ISBLANK(B533),"",B533&amp;"|"&amp;C533)</f>
        <v/>
      </c>
      <c r="B533" s="174"/>
      <c r="C533" s="174"/>
      <c r="D533" s="174"/>
      <c r="E533" s="179"/>
      <c r="F533" s="174"/>
      <c r="G533" s="174"/>
      <c r="H533" s="174"/>
      <c r="I533" s="174"/>
      <c r="J533" s="174"/>
      <c r="K533" s="174"/>
      <c r="L533" s="174"/>
      <c r="M533" s="174"/>
      <c r="N533" s="174"/>
      <c r="O533" s="174"/>
      <c r="P533" s="174"/>
      <c r="Q533" s="174"/>
      <c r="R533" s="174"/>
      <c r="S533" s="174"/>
      <c r="T533" s="174"/>
      <c r="U533" s="174"/>
      <c r="V533" s="174"/>
      <c r="W533" s="174"/>
      <c r="X533" s="174"/>
      <c r="Y533" s="174"/>
      <c r="Z533" s="174"/>
      <c r="AA533" s="174"/>
    </row>
    <row r="534" customFormat="false" ht="15.75" hidden="false" customHeight="false" outlineLevel="0" collapsed="false">
      <c r="A534" s="174" t="str">
        <f aca="false">IF(ISBLANK(B534),"",B534&amp;"|"&amp;C534)</f>
        <v/>
      </c>
      <c r="B534" s="174"/>
      <c r="C534" s="174"/>
      <c r="D534" s="174"/>
      <c r="E534" s="179"/>
      <c r="F534" s="174"/>
      <c r="G534" s="174"/>
      <c r="H534" s="174"/>
      <c r="I534" s="174"/>
      <c r="J534" s="174"/>
      <c r="K534" s="174"/>
      <c r="L534" s="174"/>
      <c r="M534" s="174"/>
      <c r="N534" s="174"/>
      <c r="O534" s="174"/>
      <c r="P534" s="174"/>
      <c r="Q534" s="174"/>
      <c r="R534" s="174"/>
      <c r="S534" s="174"/>
      <c r="T534" s="174"/>
      <c r="U534" s="174"/>
      <c r="V534" s="174"/>
      <c r="W534" s="174"/>
      <c r="X534" s="174"/>
      <c r="Y534" s="174"/>
      <c r="Z534" s="174"/>
      <c r="AA534" s="174"/>
    </row>
    <row r="535" customFormat="false" ht="15.75" hidden="false" customHeight="false" outlineLevel="0" collapsed="false">
      <c r="A535" s="174" t="str">
        <f aca="false">IF(ISBLANK(B535),"",B535&amp;"|"&amp;C535)</f>
        <v/>
      </c>
      <c r="B535" s="174"/>
      <c r="C535" s="174"/>
      <c r="D535" s="174"/>
      <c r="E535" s="179"/>
      <c r="F535" s="174"/>
      <c r="G535" s="174"/>
      <c r="H535" s="174"/>
      <c r="I535" s="174"/>
      <c r="J535" s="174"/>
      <c r="K535" s="174"/>
      <c r="L535" s="174"/>
      <c r="M535" s="174"/>
      <c r="N535" s="174"/>
      <c r="O535" s="174"/>
      <c r="P535" s="174"/>
      <c r="Q535" s="174"/>
      <c r="R535" s="174"/>
      <c r="S535" s="174"/>
      <c r="T535" s="174"/>
      <c r="U535" s="174"/>
      <c r="V535" s="174"/>
      <c r="W535" s="174"/>
      <c r="X535" s="174"/>
      <c r="Y535" s="174"/>
      <c r="Z535" s="174"/>
      <c r="AA535" s="174"/>
    </row>
    <row r="536" customFormat="false" ht="15.75" hidden="false" customHeight="false" outlineLevel="0" collapsed="false">
      <c r="A536" s="174" t="str">
        <f aca="false">IF(ISBLANK(B536),"",B536&amp;"|"&amp;C536)</f>
        <v/>
      </c>
      <c r="B536" s="174"/>
      <c r="C536" s="174"/>
      <c r="D536" s="174"/>
      <c r="E536" s="179"/>
      <c r="F536" s="174"/>
      <c r="G536" s="174"/>
      <c r="H536" s="174"/>
      <c r="I536" s="174"/>
      <c r="J536" s="174"/>
      <c r="K536" s="174"/>
      <c r="L536" s="174"/>
      <c r="M536" s="174"/>
      <c r="N536" s="174"/>
      <c r="O536" s="174"/>
      <c r="P536" s="174"/>
      <c r="Q536" s="174"/>
      <c r="R536" s="174"/>
      <c r="S536" s="174"/>
      <c r="T536" s="174"/>
      <c r="U536" s="174"/>
      <c r="V536" s="174"/>
      <c r="W536" s="174"/>
      <c r="X536" s="174"/>
      <c r="Y536" s="174"/>
      <c r="Z536" s="174"/>
      <c r="AA536" s="174"/>
    </row>
    <row r="537" customFormat="false" ht="15.75" hidden="false" customHeight="false" outlineLevel="0" collapsed="false">
      <c r="A537" s="174" t="str">
        <f aca="false">IF(ISBLANK(B537),"",B537&amp;"|"&amp;C537)</f>
        <v/>
      </c>
      <c r="B537" s="174"/>
      <c r="C537" s="174"/>
      <c r="D537" s="174"/>
      <c r="E537" s="179"/>
      <c r="F537" s="174"/>
      <c r="G537" s="174"/>
      <c r="H537" s="174"/>
      <c r="I537" s="174"/>
      <c r="J537" s="174"/>
      <c r="K537" s="174"/>
      <c r="L537" s="174"/>
      <c r="M537" s="174"/>
      <c r="N537" s="174"/>
      <c r="O537" s="174"/>
      <c r="P537" s="174"/>
      <c r="Q537" s="174"/>
      <c r="R537" s="174"/>
      <c r="S537" s="174"/>
      <c r="T537" s="174"/>
      <c r="U537" s="174"/>
      <c r="V537" s="174"/>
      <c r="W537" s="174"/>
      <c r="X537" s="174"/>
      <c r="Y537" s="174"/>
      <c r="Z537" s="174"/>
      <c r="AA537" s="174"/>
    </row>
    <row r="538" customFormat="false" ht="15.75" hidden="false" customHeight="false" outlineLevel="0" collapsed="false">
      <c r="A538" s="174" t="str">
        <f aca="false">IF(ISBLANK(B538),"",B538&amp;"|"&amp;C538)</f>
        <v/>
      </c>
      <c r="B538" s="174"/>
      <c r="C538" s="174"/>
      <c r="D538" s="174"/>
      <c r="E538" s="179"/>
      <c r="F538" s="174"/>
      <c r="G538" s="174"/>
      <c r="H538" s="174"/>
      <c r="I538" s="174"/>
      <c r="J538" s="174"/>
      <c r="K538" s="174"/>
      <c r="L538" s="174"/>
      <c r="M538" s="174"/>
      <c r="N538" s="174"/>
      <c r="O538" s="174"/>
      <c r="P538" s="174"/>
      <c r="Q538" s="174"/>
      <c r="R538" s="174"/>
      <c r="S538" s="174"/>
      <c r="T538" s="174"/>
      <c r="U538" s="174"/>
      <c r="V538" s="174"/>
      <c r="W538" s="174"/>
      <c r="X538" s="174"/>
      <c r="Y538" s="174"/>
      <c r="Z538" s="174"/>
      <c r="AA538" s="174"/>
    </row>
    <row r="539" customFormat="false" ht="15.75" hidden="false" customHeight="false" outlineLevel="0" collapsed="false">
      <c r="A539" s="174" t="str">
        <f aca="false">IF(ISBLANK(B539),"",B539&amp;"|"&amp;C539)</f>
        <v/>
      </c>
      <c r="B539" s="174"/>
      <c r="C539" s="174"/>
      <c r="D539" s="174"/>
      <c r="E539" s="179"/>
      <c r="F539" s="174"/>
      <c r="G539" s="174"/>
      <c r="H539" s="174"/>
      <c r="I539" s="174"/>
      <c r="J539" s="174"/>
      <c r="K539" s="174"/>
      <c r="L539" s="174"/>
      <c r="M539" s="174"/>
      <c r="N539" s="174"/>
      <c r="O539" s="174"/>
      <c r="P539" s="174"/>
      <c r="Q539" s="174"/>
      <c r="R539" s="174"/>
      <c r="S539" s="174"/>
      <c r="T539" s="174"/>
      <c r="U539" s="174"/>
      <c r="V539" s="174"/>
      <c r="W539" s="174"/>
      <c r="X539" s="174"/>
      <c r="Y539" s="174"/>
      <c r="Z539" s="174"/>
      <c r="AA539" s="174"/>
    </row>
    <row r="540" customFormat="false" ht="15.75" hidden="false" customHeight="false" outlineLevel="0" collapsed="false">
      <c r="A540" s="174" t="str">
        <f aca="false">IF(ISBLANK(B540),"",B540&amp;"|"&amp;C540)</f>
        <v/>
      </c>
      <c r="B540" s="174"/>
      <c r="C540" s="174"/>
      <c r="D540" s="174"/>
      <c r="E540" s="179"/>
      <c r="F540" s="174"/>
      <c r="G540" s="174"/>
      <c r="H540" s="174"/>
      <c r="I540" s="174"/>
      <c r="J540" s="174"/>
      <c r="K540" s="174"/>
      <c r="L540" s="174"/>
      <c r="M540" s="174"/>
      <c r="N540" s="174"/>
      <c r="O540" s="174"/>
      <c r="P540" s="174"/>
      <c r="Q540" s="174"/>
      <c r="R540" s="174"/>
      <c r="S540" s="174"/>
      <c r="T540" s="174"/>
      <c r="U540" s="174"/>
      <c r="V540" s="174"/>
      <c r="W540" s="174"/>
      <c r="X540" s="174"/>
      <c r="Y540" s="174"/>
      <c r="Z540" s="174"/>
      <c r="AA540" s="174"/>
    </row>
    <row r="541" customFormat="false" ht="15.75" hidden="false" customHeight="false" outlineLevel="0" collapsed="false">
      <c r="A541" s="174" t="str">
        <f aca="false">IF(ISBLANK(B541),"",B541&amp;"|"&amp;C541)</f>
        <v/>
      </c>
      <c r="B541" s="174"/>
      <c r="C541" s="174"/>
      <c r="D541" s="174"/>
      <c r="E541" s="179"/>
      <c r="F541" s="174"/>
      <c r="G541" s="174"/>
      <c r="H541" s="174"/>
      <c r="I541" s="174"/>
      <c r="J541" s="174"/>
      <c r="K541" s="174"/>
      <c r="L541" s="174"/>
      <c r="M541" s="174"/>
      <c r="N541" s="174"/>
      <c r="O541" s="174"/>
      <c r="P541" s="174"/>
      <c r="Q541" s="174"/>
      <c r="R541" s="174"/>
      <c r="S541" s="174"/>
      <c r="T541" s="174"/>
      <c r="U541" s="174"/>
      <c r="V541" s="174"/>
      <c r="W541" s="174"/>
      <c r="X541" s="174"/>
      <c r="Y541" s="174"/>
      <c r="Z541" s="174"/>
      <c r="AA541" s="174"/>
    </row>
    <row r="542" customFormat="false" ht="15.75" hidden="false" customHeight="false" outlineLevel="0" collapsed="false">
      <c r="A542" s="174" t="str">
        <f aca="false">IF(ISBLANK(B542),"",B542&amp;"|"&amp;C542)</f>
        <v/>
      </c>
      <c r="B542" s="174"/>
      <c r="C542" s="174"/>
      <c r="D542" s="174"/>
      <c r="E542" s="179"/>
      <c r="F542" s="174"/>
      <c r="G542" s="174"/>
      <c r="H542" s="174"/>
      <c r="I542" s="174"/>
      <c r="J542" s="174"/>
      <c r="K542" s="174"/>
      <c r="L542" s="174"/>
      <c r="M542" s="174"/>
      <c r="N542" s="174"/>
      <c r="O542" s="174"/>
      <c r="P542" s="174"/>
      <c r="Q542" s="174"/>
      <c r="R542" s="174"/>
      <c r="S542" s="174"/>
      <c r="T542" s="174"/>
      <c r="U542" s="174"/>
      <c r="V542" s="174"/>
      <c r="W542" s="174"/>
      <c r="X542" s="174"/>
      <c r="Y542" s="174"/>
      <c r="Z542" s="174"/>
      <c r="AA542" s="174"/>
    </row>
    <row r="543" customFormat="false" ht="15.75" hidden="false" customHeight="false" outlineLevel="0" collapsed="false">
      <c r="A543" s="174" t="str">
        <f aca="false">IF(ISBLANK(B543),"",B543&amp;"|"&amp;C543)</f>
        <v/>
      </c>
      <c r="B543" s="174"/>
      <c r="C543" s="174"/>
      <c r="D543" s="174"/>
      <c r="E543" s="179"/>
      <c r="F543" s="174"/>
      <c r="G543" s="174"/>
      <c r="H543" s="174"/>
      <c r="I543" s="174"/>
      <c r="J543" s="174"/>
      <c r="K543" s="174"/>
      <c r="L543" s="174"/>
      <c r="M543" s="174"/>
      <c r="N543" s="174"/>
      <c r="O543" s="174"/>
      <c r="P543" s="174"/>
      <c r="Q543" s="174"/>
      <c r="R543" s="174"/>
      <c r="S543" s="174"/>
      <c r="T543" s="174"/>
      <c r="U543" s="174"/>
      <c r="V543" s="174"/>
      <c r="W543" s="174"/>
      <c r="X543" s="174"/>
      <c r="Y543" s="174"/>
      <c r="Z543" s="174"/>
      <c r="AA543" s="174"/>
    </row>
    <row r="544" customFormat="false" ht="15.75" hidden="false" customHeight="false" outlineLevel="0" collapsed="false">
      <c r="A544" s="174" t="str">
        <f aca="false">IF(ISBLANK(B544),"",B544&amp;"|"&amp;C544)</f>
        <v/>
      </c>
      <c r="B544" s="174"/>
      <c r="C544" s="174"/>
      <c r="D544" s="174"/>
      <c r="E544" s="179"/>
      <c r="F544" s="174"/>
      <c r="G544" s="174"/>
      <c r="H544" s="174"/>
      <c r="I544" s="174"/>
      <c r="J544" s="174"/>
      <c r="K544" s="174"/>
      <c r="L544" s="174"/>
      <c r="M544" s="174"/>
      <c r="N544" s="174"/>
      <c r="O544" s="174"/>
      <c r="P544" s="174"/>
      <c r="Q544" s="174"/>
      <c r="R544" s="174"/>
      <c r="S544" s="174"/>
      <c r="T544" s="174"/>
      <c r="U544" s="174"/>
      <c r="V544" s="174"/>
      <c r="W544" s="174"/>
      <c r="X544" s="174"/>
      <c r="Y544" s="174"/>
      <c r="Z544" s="174"/>
      <c r="AA544" s="174"/>
    </row>
    <row r="545" customFormat="false" ht="15.75" hidden="false" customHeight="false" outlineLevel="0" collapsed="false">
      <c r="A545" s="174" t="str">
        <f aca="false">IF(ISBLANK(B545),"",B545&amp;"|"&amp;C545)</f>
        <v/>
      </c>
      <c r="B545" s="174"/>
      <c r="C545" s="174"/>
      <c r="D545" s="174"/>
      <c r="E545" s="179"/>
      <c r="F545" s="174"/>
      <c r="G545" s="174"/>
      <c r="H545" s="174"/>
      <c r="I545" s="174"/>
      <c r="J545" s="174"/>
      <c r="K545" s="174"/>
      <c r="L545" s="174"/>
      <c r="M545" s="174"/>
      <c r="N545" s="174"/>
      <c r="O545" s="174"/>
      <c r="P545" s="174"/>
      <c r="Q545" s="174"/>
      <c r="R545" s="174"/>
      <c r="S545" s="174"/>
      <c r="T545" s="174"/>
      <c r="U545" s="174"/>
      <c r="V545" s="174"/>
      <c r="W545" s="174"/>
      <c r="X545" s="174"/>
      <c r="Y545" s="174"/>
      <c r="Z545" s="174"/>
      <c r="AA545" s="174"/>
    </row>
    <row r="546" customFormat="false" ht="15.75" hidden="false" customHeight="false" outlineLevel="0" collapsed="false">
      <c r="A546" s="174" t="str">
        <f aca="false">IF(ISBLANK(B546),"",B546&amp;"|"&amp;C546)</f>
        <v/>
      </c>
      <c r="B546" s="174"/>
      <c r="C546" s="174"/>
      <c r="D546" s="174"/>
      <c r="E546" s="179"/>
      <c r="F546" s="174"/>
      <c r="G546" s="174"/>
      <c r="H546" s="174"/>
      <c r="I546" s="174"/>
      <c r="J546" s="174"/>
      <c r="K546" s="174"/>
      <c r="L546" s="174"/>
      <c r="M546" s="174"/>
      <c r="N546" s="174"/>
      <c r="O546" s="174"/>
      <c r="P546" s="174"/>
      <c r="Q546" s="174"/>
      <c r="R546" s="174"/>
      <c r="S546" s="174"/>
      <c r="T546" s="174"/>
      <c r="U546" s="174"/>
      <c r="V546" s="174"/>
      <c r="W546" s="174"/>
      <c r="X546" s="174"/>
      <c r="Y546" s="174"/>
      <c r="Z546" s="174"/>
      <c r="AA546" s="174"/>
    </row>
    <row r="547" customFormat="false" ht="15.75" hidden="false" customHeight="false" outlineLevel="0" collapsed="false">
      <c r="A547" s="174" t="str">
        <f aca="false">IF(ISBLANK(B547),"",B547&amp;"|"&amp;C547)</f>
        <v/>
      </c>
      <c r="B547" s="174"/>
      <c r="C547" s="174"/>
      <c r="D547" s="174"/>
      <c r="E547" s="179"/>
      <c r="F547" s="174"/>
      <c r="G547" s="174"/>
      <c r="H547" s="174"/>
      <c r="I547" s="174"/>
      <c r="J547" s="174"/>
      <c r="K547" s="174"/>
      <c r="L547" s="174"/>
      <c r="M547" s="174"/>
      <c r="N547" s="174"/>
      <c r="O547" s="174"/>
      <c r="P547" s="174"/>
      <c r="Q547" s="174"/>
      <c r="R547" s="174"/>
      <c r="S547" s="174"/>
      <c r="T547" s="174"/>
      <c r="U547" s="174"/>
      <c r="V547" s="174"/>
      <c r="W547" s="174"/>
      <c r="X547" s="174"/>
      <c r="Y547" s="174"/>
      <c r="Z547" s="174"/>
      <c r="AA547" s="174"/>
    </row>
    <row r="548" customFormat="false" ht="15.75" hidden="false" customHeight="false" outlineLevel="0" collapsed="false">
      <c r="A548" s="174" t="str">
        <f aca="false">IF(ISBLANK(B548),"",B548&amp;"|"&amp;C548)</f>
        <v/>
      </c>
      <c r="B548" s="174"/>
      <c r="C548" s="174"/>
      <c r="D548" s="174"/>
      <c r="E548" s="179"/>
      <c r="F548" s="174"/>
      <c r="G548" s="174"/>
      <c r="H548" s="174"/>
      <c r="I548" s="174"/>
      <c r="J548" s="174"/>
      <c r="K548" s="174"/>
      <c r="L548" s="174"/>
      <c r="M548" s="174"/>
      <c r="N548" s="174"/>
      <c r="O548" s="174"/>
      <c r="P548" s="174"/>
      <c r="Q548" s="174"/>
      <c r="R548" s="174"/>
      <c r="S548" s="174"/>
      <c r="T548" s="174"/>
      <c r="U548" s="174"/>
      <c r="V548" s="174"/>
      <c r="W548" s="174"/>
      <c r="X548" s="174"/>
      <c r="Y548" s="174"/>
      <c r="Z548" s="174"/>
      <c r="AA548" s="174"/>
    </row>
    <row r="549" customFormat="false" ht="15.75" hidden="false" customHeight="false" outlineLevel="0" collapsed="false">
      <c r="A549" s="174" t="str">
        <f aca="false">IF(ISBLANK(B549),"",B549&amp;"|"&amp;C549)</f>
        <v/>
      </c>
      <c r="B549" s="174"/>
      <c r="C549" s="174"/>
      <c r="D549" s="174"/>
      <c r="E549" s="179"/>
      <c r="F549" s="174"/>
      <c r="G549" s="174"/>
      <c r="H549" s="174"/>
      <c r="I549" s="174"/>
      <c r="J549" s="174"/>
      <c r="K549" s="174"/>
      <c r="L549" s="174"/>
      <c r="M549" s="174"/>
      <c r="N549" s="174"/>
      <c r="O549" s="174"/>
      <c r="P549" s="174"/>
      <c r="Q549" s="174"/>
      <c r="R549" s="174"/>
      <c r="S549" s="174"/>
      <c r="T549" s="174"/>
      <c r="U549" s="174"/>
      <c r="V549" s="174"/>
      <c r="W549" s="174"/>
      <c r="X549" s="174"/>
      <c r="Y549" s="174"/>
      <c r="Z549" s="174"/>
      <c r="AA549" s="174"/>
    </row>
    <row r="550" customFormat="false" ht="15.75" hidden="false" customHeight="false" outlineLevel="0" collapsed="false">
      <c r="A550" s="174" t="str">
        <f aca="false">IF(ISBLANK(B550),"",B550&amp;"|"&amp;C550)</f>
        <v/>
      </c>
      <c r="B550" s="174"/>
      <c r="C550" s="174"/>
      <c r="D550" s="174"/>
      <c r="E550" s="179"/>
      <c r="F550" s="174"/>
      <c r="G550" s="174"/>
      <c r="H550" s="174"/>
      <c r="I550" s="174"/>
      <c r="J550" s="174"/>
      <c r="K550" s="174"/>
      <c r="L550" s="174"/>
      <c r="M550" s="174"/>
      <c r="N550" s="174"/>
      <c r="O550" s="174"/>
      <c r="P550" s="174"/>
      <c r="Q550" s="174"/>
      <c r="R550" s="174"/>
      <c r="S550" s="174"/>
      <c r="T550" s="174"/>
      <c r="U550" s="174"/>
      <c r="V550" s="174"/>
      <c r="W550" s="174"/>
      <c r="X550" s="174"/>
      <c r="Y550" s="174"/>
      <c r="Z550" s="174"/>
      <c r="AA550" s="174"/>
    </row>
    <row r="551" customFormat="false" ht="15.75" hidden="false" customHeight="false" outlineLevel="0" collapsed="false">
      <c r="A551" s="174" t="str">
        <f aca="false">IF(ISBLANK(B551),"",B551&amp;"|"&amp;C551)</f>
        <v/>
      </c>
      <c r="B551" s="174"/>
      <c r="C551" s="174"/>
      <c r="D551" s="174"/>
      <c r="E551" s="179"/>
      <c r="F551" s="174"/>
      <c r="G551" s="174"/>
      <c r="H551" s="174"/>
      <c r="I551" s="174"/>
      <c r="J551" s="174"/>
      <c r="K551" s="174"/>
      <c r="L551" s="174"/>
      <c r="M551" s="174"/>
      <c r="N551" s="174"/>
      <c r="O551" s="174"/>
      <c r="P551" s="174"/>
      <c r="Q551" s="174"/>
      <c r="R551" s="174"/>
      <c r="S551" s="174"/>
      <c r="T551" s="174"/>
      <c r="U551" s="174"/>
      <c r="V551" s="174"/>
      <c r="W551" s="174"/>
      <c r="X551" s="174"/>
      <c r="Y551" s="174"/>
      <c r="Z551" s="174"/>
      <c r="AA551" s="174"/>
    </row>
    <row r="552" customFormat="false" ht="15.75" hidden="false" customHeight="false" outlineLevel="0" collapsed="false">
      <c r="A552" s="174" t="str">
        <f aca="false">IF(ISBLANK(B552),"",B552&amp;"|"&amp;C552)</f>
        <v/>
      </c>
      <c r="B552" s="174"/>
      <c r="C552" s="174"/>
      <c r="D552" s="174"/>
      <c r="E552" s="179"/>
      <c r="F552" s="174"/>
      <c r="G552" s="174"/>
      <c r="H552" s="174"/>
      <c r="I552" s="174"/>
      <c r="J552" s="174"/>
      <c r="K552" s="174"/>
      <c r="L552" s="174"/>
      <c r="M552" s="174"/>
      <c r="N552" s="174"/>
      <c r="O552" s="174"/>
      <c r="P552" s="174"/>
      <c r="Q552" s="174"/>
      <c r="R552" s="174"/>
      <c r="S552" s="174"/>
      <c r="T552" s="174"/>
      <c r="U552" s="174"/>
      <c r="V552" s="174"/>
      <c r="W552" s="174"/>
      <c r="X552" s="174"/>
      <c r="Y552" s="174"/>
      <c r="Z552" s="174"/>
      <c r="AA552" s="174"/>
    </row>
    <row r="553" customFormat="false" ht="15.75" hidden="false" customHeight="false" outlineLevel="0" collapsed="false">
      <c r="A553" s="174" t="str">
        <f aca="false">IF(ISBLANK(B553),"",B553&amp;"|"&amp;C553)</f>
        <v/>
      </c>
      <c r="B553" s="174"/>
      <c r="C553" s="174"/>
      <c r="D553" s="174"/>
      <c r="E553" s="179"/>
      <c r="F553" s="174"/>
      <c r="G553" s="174"/>
      <c r="H553" s="174"/>
      <c r="I553" s="174"/>
      <c r="J553" s="174"/>
      <c r="K553" s="174"/>
      <c r="L553" s="174"/>
      <c r="M553" s="174"/>
      <c r="N553" s="174"/>
      <c r="O553" s="174"/>
      <c r="P553" s="174"/>
      <c r="Q553" s="174"/>
      <c r="R553" s="174"/>
      <c r="S553" s="174"/>
      <c r="T553" s="174"/>
      <c r="U553" s="174"/>
      <c r="V553" s="174"/>
      <c r="W553" s="174"/>
      <c r="X553" s="174"/>
      <c r="Y553" s="174"/>
      <c r="Z553" s="174"/>
      <c r="AA553" s="174"/>
    </row>
    <row r="554" customFormat="false" ht="15.75" hidden="false" customHeight="false" outlineLevel="0" collapsed="false">
      <c r="A554" s="174" t="str">
        <f aca="false">IF(ISBLANK(B554),"",B554&amp;"|"&amp;C554)</f>
        <v/>
      </c>
      <c r="B554" s="174"/>
      <c r="C554" s="174"/>
      <c r="D554" s="174"/>
      <c r="E554" s="179"/>
      <c r="F554" s="174"/>
      <c r="G554" s="174"/>
      <c r="H554" s="174"/>
      <c r="I554" s="174"/>
      <c r="J554" s="174"/>
      <c r="K554" s="174"/>
      <c r="L554" s="174"/>
      <c r="M554" s="174"/>
      <c r="N554" s="174"/>
      <c r="O554" s="174"/>
      <c r="P554" s="174"/>
      <c r="Q554" s="174"/>
      <c r="R554" s="174"/>
      <c r="S554" s="174"/>
      <c r="T554" s="174"/>
      <c r="U554" s="174"/>
      <c r="V554" s="174"/>
      <c r="W554" s="174"/>
      <c r="X554" s="174"/>
      <c r="Y554" s="174"/>
      <c r="Z554" s="174"/>
      <c r="AA554" s="174"/>
    </row>
    <row r="555" customFormat="false" ht="15.75" hidden="false" customHeight="false" outlineLevel="0" collapsed="false">
      <c r="A555" s="174" t="str">
        <f aca="false">IF(ISBLANK(B555),"",B555&amp;"|"&amp;C555)</f>
        <v/>
      </c>
      <c r="B555" s="174"/>
      <c r="C555" s="174"/>
      <c r="D555" s="174"/>
      <c r="E555" s="179"/>
      <c r="F555" s="174"/>
      <c r="G555" s="174"/>
      <c r="H555" s="174"/>
      <c r="I555" s="174"/>
      <c r="J555" s="174"/>
      <c r="K555" s="174"/>
      <c r="L555" s="174"/>
      <c r="M555" s="174"/>
      <c r="N555" s="174"/>
      <c r="O555" s="174"/>
      <c r="P555" s="174"/>
      <c r="Q555" s="174"/>
      <c r="R555" s="174"/>
      <c r="S555" s="174"/>
      <c r="T555" s="174"/>
      <c r="U555" s="174"/>
      <c r="V555" s="174"/>
      <c r="W555" s="174"/>
      <c r="X555" s="174"/>
      <c r="Y555" s="174"/>
      <c r="Z555" s="174"/>
      <c r="AA555" s="174"/>
    </row>
    <row r="556" customFormat="false" ht="15.75" hidden="false" customHeight="false" outlineLevel="0" collapsed="false">
      <c r="A556" s="174" t="str">
        <f aca="false">IF(ISBLANK(B556),"",B556&amp;"|"&amp;C556)</f>
        <v/>
      </c>
      <c r="B556" s="174"/>
      <c r="C556" s="174"/>
      <c r="D556" s="174"/>
      <c r="E556" s="179"/>
      <c r="F556" s="174"/>
      <c r="G556" s="174"/>
      <c r="H556" s="174"/>
      <c r="I556" s="174"/>
      <c r="J556" s="174"/>
      <c r="K556" s="174"/>
      <c r="L556" s="174"/>
      <c r="M556" s="174"/>
      <c r="N556" s="174"/>
      <c r="O556" s="174"/>
      <c r="P556" s="174"/>
      <c r="Q556" s="174"/>
      <c r="R556" s="174"/>
      <c r="S556" s="174"/>
      <c r="T556" s="174"/>
      <c r="U556" s="174"/>
      <c r="V556" s="174"/>
      <c r="W556" s="174"/>
      <c r="X556" s="174"/>
      <c r="Y556" s="174"/>
      <c r="Z556" s="174"/>
      <c r="AA556" s="174"/>
    </row>
    <row r="557" customFormat="false" ht="15.75" hidden="false" customHeight="false" outlineLevel="0" collapsed="false">
      <c r="A557" s="174" t="str">
        <f aca="false">IF(ISBLANK(B557),"",B557&amp;"|"&amp;C557)</f>
        <v/>
      </c>
      <c r="B557" s="174"/>
      <c r="C557" s="174"/>
      <c r="D557" s="174"/>
      <c r="E557" s="179"/>
      <c r="F557" s="174"/>
      <c r="G557" s="174"/>
      <c r="H557" s="174"/>
      <c r="I557" s="174"/>
      <c r="J557" s="174"/>
      <c r="K557" s="174"/>
      <c r="L557" s="174"/>
      <c r="M557" s="174"/>
      <c r="N557" s="174"/>
      <c r="O557" s="174"/>
      <c r="P557" s="174"/>
      <c r="Q557" s="174"/>
      <c r="R557" s="174"/>
      <c r="S557" s="174"/>
      <c r="T557" s="174"/>
      <c r="U557" s="174"/>
      <c r="V557" s="174"/>
      <c r="W557" s="174"/>
      <c r="X557" s="174"/>
      <c r="Y557" s="174"/>
      <c r="Z557" s="174"/>
      <c r="AA557" s="174"/>
    </row>
    <row r="558" customFormat="false" ht="15.75" hidden="false" customHeight="false" outlineLevel="0" collapsed="false">
      <c r="A558" s="174" t="str">
        <f aca="false">IF(ISBLANK(B558),"",B558&amp;"|"&amp;C558)</f>
        <v/>
      </c>
      <c r="B558" s="174"/>
      <c r="C558" s="174"/>
      <c r="D558" s="174"/>
      <c r="E558" s="179"/>
      <c r="F558" s="174"/>
      <c r="G558" s="174"/>
      <c r="H558" s="174"/>
      <c r="I558" s="174"/>
      <c r="J558" s="174"/>
      <c r="K558" s="174"/>
      <c r="L558" s="174"/>
      <c r="M558" s="174"/>
      <c r="N558" s="174"/>
      <c r="O558" s="174"/>
      <c r="P558" s="174"/>
      <c r="Q558" s="174"/>
      <c r="R558" s="174"/>
      <c r="S558" s="174"/>
      <c r="T558" s="174"/>
      <c r="U558" s="174"/>
      <c r="V558" s="174"/>
      <c r="W558" s="174"/>
      <c r="X558" s="174"/>
      <c r="Y558" s="174"/>
      <c r="Z558" s="174"/>
      <c r="AA558" s="174"/>
    </row>
    <row r="559" customFormat="false" ht="15.75" hidden="false" customHeight="false" outlineLevel="0" collapsed="false">
      <c r="A559" s="174" t="str">
        <f aca="false">IF(ISBLANK(B559),"",B559&amp;"|"&amp;C559)</f>
        <v/>
      </c>
      <c r="B559" s="174"/>
      <c r="C559" s="174"/>
      <c r="D559" s="174"/>
      <c r="E559" s="179"/>
      <c r="F559" s="174"/>
      <c r="G559" s="174"/>
      <c r="H559" s="174"/>
      <c r="I559" s="174"/>
      <c r="J559" s="174"/>
      <c r="K559" s="174"/>
      <c r="L559" s="174"/>
      <c r="M559" s="174"/>
      <c r="N559" s="174"/>
      <c r="O559" s="174"/>
      <c r="P559" s="174"/>
      <c r="Q559" s="174"/>
      <c r="R559" s="174"/>
      <c r="S559" s="174"/>
      <c r="T559" s="174"/>
      <c r="U559" s="174"/>
      <c r="V559" s="174"/>
      <c r="W559" s="174"/>
      <c r="X559" s="174"/>
      <c r="Y559" s="174"/>
      <c r="Z559" s="174"/>
      <c r="AA559" s="174"/>
    </row>
    <row r="560" customFormat="false" ht="15.75" hidden="false" customHeight="false" outlineLevel="0" collapsed="false">
      <c r="A560" s="174" t="str">
        <f aca="false">IF(ISBLANK(B560),"",B560&amp;"|"&amp;C560)</f>
        <v/>
      </c>
      <c r="B560" s="174"/>
      <c r="C560" s="174"/>
      <c r="D560" s="174"/>
      <c r="E560" s="179"/>
      <c r="F560" s="174"/>
      <c r="G560" s="174"/>
      <c r="H560" s="174"/>
      <c r="I560" s="174"/>
      <c r="J560" s="174"/>
      <c r="K560" s="174"/>
      <c r="L560" s="174"/>
      <c r="M560" s="174"/>
      <c r="N560" s="174"/>
      <c r="O560" s="174"/>
      <c r="P560" s="174"/>
      <c r="Q560" s="174"/>
      <c r="R560" s="174"/>
      <c r="S560" s="174"/>
      <c r="T560" s="174"/>
      <c r="U560" s="174"/>
      <c r="V560" s="174"/>
      <c r="W560" s="174"/>
      <c r="X560" s="174"/>
      <c r="Y560" s="174"/>
      <c r="Z560" s="174"/>
      <c r="AA560" s="174"/>
    </row>
    <row r="561" customFormat="false" ht="15.75" hidden="false" customHeight="false" outlineLevel="0" collapsed="false">
      <c r="A561" s="174" t="str">
        <f aca="false">IF(ISBLANK(B561),"",B561&amp;"|"&amp;C561)</f>
        <v/>
      </c>
      <c r="B561" s="174"/>
      <c r="C561" s="174"/>
      <c r="D561" s="174"/>
      <c r="E561" s="179"/>
      <c r="F561" s="174"/>
      <c r="G561" s="174"/>
      <c r="H561" s="174"/>
      <c r="I561" s="174"/>
      <c r="J561" s="174"/>
      <c r="K561" s="174"/>
      <c r="L561" s="174"/>
      <c r="M561" s="174"/>
      <c r="N561" s="174"/>
      <c r="O561" s="174"/>
      <c r="P561" s="174"/>
      <c r="Q561" s="174"/>
      <c r="R561" s="174"/>
      <c r="S561" s="174"/>
      <c r="T561" s="174"/>
      <c r="U561" s="174"/>
      <c r="V561" s="174"/>
      <c r="W561" s="174"/>
      <c r="X561" s="174"/>
      <c r="Y561" s="174"/>
      <c r="Z561" s="174"/>
      <c r="AA561" s="174"/>
    </row>
    <row r="562" customFormat="false" ht="15.75" hidden="false" customHeight="false" outlineLevel="0" collapsed="false">
      <c r="A562" s="174" t="str">
        <f aca="false">IF(ISBLANK(B562),"",B562&amp;"|"&amp;C562)</f>
        <v/>
      </c>
      <c r="B562" s="174"/>
      <c r="C562" s="174"/>
      <c r="D562" s="174"/>
      <c r="E562" s="179"/>
      <c r="F562" s="174"/>
      <c r="G562" s="174"/>
      <c r="H562" s="174"/>
      <c r="I562" s="174"/>
      <c r="J562" s="174"/>
      <c r="K562" s="174"/>
      <c r="L562" s="174"/>
      <c r="M562" s="174"/>
      <c r="N562" s="174"/>
      <c r="O562" s="174"/>
      <c r="P562" s="174"/>
      <c r="Q562" s="174"/>
      <c r="R562" s="174"/>
      <c r="S562" s="174"/>
      <c r="T562" s="174"/>
      <c r="U562" s="174"/>
      <c r="V562" s="174"/>
      <c r="W562" s="174"/>
      <c r="X562" s="174"/>
      <c r="Y562" s="174"/>
      <c r="Z562" s="174"/>
      <c r="AA562" s="174"/>
    </row>
    <row r="563" customFormat="false" ht="15.75" hidden="false" customHeight="false" outlineLevel="0" collapsed="false">
      <c r="A563" s="174" t="str">
        <f aca="false">IF(ISBLANK(B563),"",B563&amp;"|"&amp;C563)</f>
        <v/>
      </c>
      <c r="B563" s="174"/>
      <c r="C563" s="174"/>
      <c r="D563" s="174"/>
      <c r="E563" s="179"/>
      <c r="F563" s="174"/>
      <c r="G563" s="174"/>
      <c r="H563" s="174"/>
      <c r="I563" s="174"/>
      <c r="J563" s="174"/>
      <c r="K563" s="174"/>
      <c r="L563" s="174"/>
      <c r="M563" s="174"/>
      <c r="N563" s="174"/>
      <c r="O563" s="174"/>
      <c r="P563" s="174"/>
      <c r="Q563" s="174"/>
      <c r="R563" s="174"/>
      <c r="S563" s="174"/>
      <c r="T563" s="174"/>
      <c r="U563" s="174"/>
      <c r="V563" s="174"/>
      <c r="W563" s="174"/>
      <c r="X563" s="174"/>
      <c r="Y563" s="174"/>
      <c r="Z563" s="174"/>
      <c r="AA563" s="174"/>
    </row>
    <row r="564" customFormat="false" ht="15.75" hidden="false" customHeight="false" outlineLevel="0" collapsed="false">
      <c r="A564" s="174" t="str">
        <f aca="false">IF(ISBLANK(B564),"",B564&amp;"|"&amp;C564)</f>
        <v/>
      </c>
      <c r="B564" s="174"/>
      <c r="C564" s="174"/>
      <c r="D564" s="174"/>
      <c r="E564" s="179"/>
      <c r="F564" s="174"/>
      <c r="G564" s="174"/>
      <c r="H564" s="174"/>
      <c r="I564" s="174"/>
      <c r="J564" s="174"/>
      <c r="K564" s="174"/>
      <c r="L564" s="174"/>
      <c r="M564" s="174"/>
      <c r="N564" s="174"/>
      <c r="O564" s="174"/>
      <c r="P564" s="174"/>
      <c r="Q564" s="174"/>
      <c r="R564" s="174"/>
      <c r="S564" s="174"/>
      <c r="T564" s="174"/>
      <c r="U564" s="174"/>
      <c r="V564" s="174"/>
      <c r="W564" s="174"/>
      <c r="X564" s="174"/>
      <c r="Y564" s="174"/>
      <c r="Z564" s="174"/>
      <c r="AA564" s="174"/>
    </row>
    <row r="565" customFormat="false" ht="15.75" hidden="false" customHeight="false" outlineLevel="0" collapsed="false">
      <c r="A565" s="174" t="str">
        <f aca="false">IF(ISBLANK(B565),"",B565&amp;"|"&amp;C565)</f>
        <v/>
      </c>
      <c r="B565" s="174"/>
      <c r="C565" s="174"/>
      <c r="D565" s="174"/>
      <c r="E565" s="179"/>
      <c r="F565" s="174"/>
      <c r="G565" s="174"/>
      <c r="H565" s="174"/>
      <c r="I565" s="174"/>
      <c r="J565" s="174"/>
      <c r="K565" s="174"/>
      <c r="L565" s="174"/>
      <c r="M565" s="174"/>
      <c r="N565" s="174"/>
      <c r="O565" s="174"/>
      <c r="P565" s="174"/>
      <c r="Q565" s="174"/>
      <c r="R565" s="174"/>
      <c r="S565" s="174"/>
      <c r="T565" s="174"/>
      <c r="U565" s="174"/>
      <c r="V565" s="174"/>
      <c r="W565" s="174"/>
      <c r="X565" s="174"/>
      <c r="Y565" s="174"/>
      <c r="Z565" s="174"/>
      <c r="AA565" s="174"/>
    </row>
    <row r="566" customFormat="false" ht="15.75" hidden="false" customHeight="false" outlineLevel="0" collapsed="false">
      <c r="A566" s="174" t="str">
        <f aca="false">IF(ISBLANK(B566),"",B566&amp;"|"&amp;C566)</f>
        <v/>
      </c>
      <c r="B566" s="174"/>
      <c r="C566" s="174"/>
      <c r="D566" s="174"/>
      <c r="E566" s="179"/>
      <c r="F566" s="174"/>
      <c r="G566" s="174"/>
      <c r="H566" s="174"/>
      <c r="I566" s="174"/>
      <c r="J566" s="174"/>
      <c r="K566" s="174"/>
      <c r="L566" s="174"/>
      <c r="M566" s="174"/>
      <c r="N566" s="174"/>
      <c r="O566" s="174"/>
      <c r="P566" s="174"/>
      <c r="Q566" s="174"/>
      <c r="R566" s="174"/>
      <c r="S566" s="174"/>
      <c r="T566" s="174"/>
      <c r="U566" s="174"/>
      <c r="V566" s="174"/>
      <c r="W566" s="174"/>
      <c r="X566" s="174"/>
      <c r="Y566" s="174"/>
      <c r="Z566" s="174"/>
      <c r="AA566" s="174"/>
    </row>
    <row r="567" customFormat="false" ht="15.75" hidden="false" customHeight="false" outlineLevel="0" collapsed="false">
      <c r="A567" s="174" t="str">
        <f aca="false">IF(ISBLANK(B567),"",B567&amp;"|"&amp;C567)</f>
        <v/>
      </c>
      <c r="B567" s="174"/>
      <c r="C567" s="174"/>
      <c r="D567" s="174"/>
      <c r="E567" s="179"/>
      <c r="F567" s="174"/>
      <c r="G567" s="174"/>
      <c r="H567" s="174"/>
      <c r="I567" s="174"/>
      <c r="J567" s="174"/>
      <c r="K567" s="174"/>
      <c r="L567" s="174"/>
      <c r="M567" s="174"/>
      <c r="N567" s="174"/>
      <c r="O567" s="174"/>
      <c r="P567" s="174"/>
      <c r="Q567" s="174"/>
      <c r="R567" s="174"/>
      <c r="S567" s="174"/>
      <c r="T567" s="174"/>
      <c r="U567" s="174"/>
      <c r="V567" s="174"/>
      <c r="W567" s="174"/>
      <c r="X567" s="174"/>
      <c r="Y567" s="174"/>
      <c r="Z567" s="174"/>
      <c r="AA567" s="174"/>
    </row>
    <row r="568" customFormat="false" ht="15.75" hidden="false" customHeight="false" outlineLevel="0" collapsed="false">
      <c r="A568" s="174" t="str">
        <f aca="false">IF(ISBLANK(B568),"",B568&amp;"|"&amp;C568)</f>
        <v/>
      </c>
      <c r="B568" s="174"/>
      <c r="C568" s="174"/>
      <c r="D568" s="174"/>
      <c r="E568" s="179"/>
      <c r="F568" s="174"/>
      <c r="G568" s="174"/>
      <c r="H568" s="174"/>
      <c r="I568" s="174"/>
      <c r="J568" s="174"/>
      <c r="K568" s="174"/>
      <c r="L568" s="174"/>
      <c r="M568" s="174"/>
      <c r="N568" s="174"/>
      <c r="O568" s="174"/>
      <c r="P568" s="174"/>
      <c r="Q568" s="174"/>
      <c r="R568" s="174"/>
      <c r="S568" s="174"/>
      <c r="T568" s="174"/>
      <c r="U568" s="174"/>
      <c r="V568" s="174"/>
      <c r="W568" s="174"/>
      <c r="X568" s="174"/>
      <c r="Y568" s="174"/>
      <c r="Z568" s="174"/>
      <c r="AA568" s="174"/>
    </row>
    <row r="569" customFormat="false" ht="15.75" hidden="false" customHeight="false" outlineLevel="0" collapsed="false">
      <c r="A569" s="174" t="str">
        <f aca="false">IF(ISBLANK(B569),"",B569&amp;"|"&amp;C569)</f>
        <v/>
      </c>
      <c r="B569" s="174"/>
      <c r="C569" s="174"/>
      <c r="D569" s="174"/>
      <c r="E569" s="179"/>
      <c r="F569" s="174"/>
      <c r="G569" s="174"/>
      <c r="H569" s="174"/>
      <c r="I569" s="174"/>
      <c r="J569" s="174"/>
      <c r="K569" s="174"/>
      <c r="L569" s="174"/>
      <c r="M569" s="174"/>
      <c r="N569" s="174"/>
      <c r="O569" s="174"/>
      <c r="P569" s="174"/>
      <c r="Q569" s="174"/>
      <c r="R569" s="174"/>
      <c r="S569" s="174"/>
      <c r="T569" s="174"/>
      <c r="U569" s="174"/>
      <c r="V569" s="174"/>
      <c r="W569" s="174"/>
      <c r="X569" s="174"/>
      <c r="Y569" s="174"/>
      <c r="Z569" s="174"/>
      <c r="AA569" s="174"/>
    </row>
    <row r="570" customFormat="false" ht="15.75" hidden="false" customHeight="false" outlineLevel="0" collapsed="false">
      <c r="A570" s="174" t="str">
        <f aca="false">IF(ISBLANK(B570),"",B570&amp;"|"&amp;C570)</f>
        <v/>
      </c>
      <c r="B570" s="174"/>
      <c r="C570" s="174"/>
      <c r="D570" s="174"/>
      <c r="E570" s="179"/>
      <c r="F570" s="174"/>
      <c r="G570" s="174"/>
      <c r="H570" s="174"/>
      <c r="I570" s="174"/>
      <c r="J570" s="174"/>
      <c r="K570" s="174"/>
      <c r="L570" s="174"/>
      <c r="M570" s="174"/>
      <c r="N570" s="174"/>
      <c r="O570" s="174"/>
      <c r="P570" s="174"/>
      <c r="Q570" s="174"/>
      <c r="R570" s="174"/>
      <c r="S570" s="174"/>
      <c r="T570" s="174"/>
      <c r="U570" s="174"/>
      <c r="V570" s="174"/>
      <c r="W570" s="174"/>
      <c r="X570" s="174"/>
      <c r="Y570" s="174"/>
      <c r="Z570" s="174"/>
      <c r="AA570" s="174"/>
    </row>
    <row r="571" customFormat="false" ht="15.75" hidden="false" customHeight="false" outlineLevel="0" collapsed="false">
      <c r="A571" s="174" t="str">
        <f aca="false">IF(ISBLANK(B571),"",B571&amp;"|"&amp;C571)</f>
        <v/>
      </c>
      <c r="B571" s="174"/>
      <c r="C571" s="174"/>
      <c r="D571" s="174"/>
      <c r="E571" s="179"/>
      <c r="F571" s="174"/>
      <c r="G571" s="174"/>
      <c r="H571" s="174"/>
      <c r="I571" s="174"/>
      <c r="J571" s="174"/>
      <c r="K571" s="174"/>
      <c r="L571" s="174"/>
      <c r="M571" s="174"/>
      <c r="N571" s="174"/>
      <c r="O571" s="174"/>
      <c r="P571" s="174"/>
      <c r="Q571" s="174"/>
      <c r="R571" s="174"/>
      <c r="S571" s="174"/>
      <c r="T571" s="174"/>
      <c r="U571" s="174"/>
      <c r="V571" s="174"/>
      <c r="W571" s="174"/>
      <c r="X571" s="174"/>
      <c r="Y571" s="174"/>
      <c r="Z571" s="174"/>
      <c r="AA571" s="174"/>
    </row>
    <row r="572" customFormat="false" ht="15.75" hidden="false" customHeight="false" outlineLevel="0" collapsed="false">
      <c r="A572" s="174" t="str">
        <f aca="false">IF(ISBLANK(B572),"",B572&amp;"|"&amp;C572)</f>
        <v/>
      </c>
      <c r="B572" s="174"/>
      <c r="C572" s="174"/>
      <c r="D572" s="174"/>
      <c r="E572" s="179"/>
      <c r="F572" s="174"/>
      <c r="G572" s="174"/>
      <c r="H572" s="174"/>
      <c r="I572" s="174"/>
      <c r="J572" s="174"/>
      <c r="K572" s="174"/>
      <c r="L572" s="174"/>
      <c r="M572" s="174"/>
      <c r="N572" s="174"/>
      <c r="O572" s="174"/>
      <c r="P572" s="174"/>
      <c r="Q572" s="174"/>
      <c r="R572" s="174"/>
      <c r="S572" s="174"/>
      <c r="T572" s="174"/>
      <c r="U572" s="174"/>
      <c r="V572" s="174"/>
      <c r="W572" s="174"/>
      <c r="X572" s="174"/>
      <c r="Y572" s="174"/>
      <c r="Z572" s="174"/>
      <c r="AA572" s="174"/>
    </row>
    <row r="573" customFormat="false" ht="15.75" hidden="false" customHeight="false" outlineLevel="0" collapsed="false">
      <c r="A573" s="174" t="str">
        <f aca="false">IF(ISBLANK(B573),"",B573&amp;"|"&amp;C573)</f>
        <v/>
      </c>
      <c r="B573" s="174"/>
      <c r="C573" s="174"/>
      <c r="D573" s="174"/>
      <c r="E573" s="179"/>
      <c r="F573" s="174"/>
      <c r="G573" s="174"/>
      <c r="H573" s="174"/>
      <c r="I573" s="174"/>
      <c r="J573" s="174"/>
      <c r="K573" s="174"/>
      <c r="L573" s="174"/>
      <c r="M573" s="174"/>
      <c r="N573" s="174"/>
      <c r="O573" s="174"/>
      <c r="P573" s="174"/>
      <c r="Q573" s="174"/>
      <c r="R573" s="174"/>
      <c r="S573" s="174"/>
      <c r="T573" s="174"/>
      <c r="U573" s="174"/>
      <c r="V573" s="174"/>
      <c r="W573" s="174"/>
      <c r="X573" s="174"/>
      <c r="Y573" s="174"/>
      <c r="Z573" s="174"/>
      <c r="AA573" s="174"/>
    </row>
    <row r="574" customFormat="false" ht="15.75" hidden="false" customHeight="false" outlineLevel="0" collapsed="false">
      <c r="A574" s="174" t="str">
        <f aca="false">IF(ISBLANK(B574),"",B574&amp;"|"&amp;C574)</f>
        <v/>
      </c>
      <c r="B574" s="174"/>
      <c r="C574" s="174"/>
      <c r="D574" s="174"/>
      <c r="E574" s="179"/>
      <c r="F574" s="174"/>
      <c r="G574" s="174"/>
      <c r="H574" s="174"/>
      <c r="I574" s="174"/>
      <c r="J574" s="174"/>
      <c r="K574" s="174"/>
      <c r="L574" s="174"/>
      <c r="M574" s="174"/>
      <c r="N574" s="174"/>
      <c r="O574" s="174"/>
      <c r="P574" s="174"/>
      <c r="Q574" s="174"/>
      <c r="R574" s="174"/>
      <c r="S574" s="174"/>
      <c r="T574" s="174"/>
      <c r="U574" s="174"/>
      <c r="V574" s="174"/>
      <c r="W574" s="174"/>
      <c r="X574" s="174"/>
      <c r="Y574" s="174"/>
      <c r="Z574" s="174"/>
      <c r="AA574" s="174"/>
    </row>
    <row r="575" customFormat="false" ht="15.75" hidden="false" customHeight="false" outlineLevel="0" collapsed="false">
      <c r="A575" s="174" t="str">
        <f aca="false">IF(ISBLANK(B575),"",B575&amp;"|"&amp;C575)</f>
        <v/>
      </c>
      <c r="B575" s="174"/>
      <c r="C575" s="174"/>
      <c r="D575" s="174"/>
      <c r="E575" s="179"/>
      <c r="F575" s="174"/>
      <c r="G575" s="174"/>
      <c r="H575" s="174"/>
      <c r="I575" s="174"/>
      <c r="J575" s="174"/>
      <c r="K575" s="174"/>
      <c r="L575" s="174"/>
      <c r="M575" s="174"/>
      <c r="N575" s="174"/>
      <c r="O575" s="174"/>
      <c r="P575" s="174"/>
      <c r="Q575" s="174"/>
      <c r="R575" s="174"/>
      <c r="S575" s="174"/>
      <c r="T575" s="174"/>
      <c r="U575" s="174"/>
      <c r="V575" s="174"/>
      <c r="W575" s="174"/>
      <c r="X575" s="174"/>
      <c r="Y575" s="174"/>
      <c r="Z575" s="174"/>
      <c r="AA575" s="174"/>
    </row>
    <row r="576" customFormat="false" ht="15.75" hidden="false" customHeight="false" outlineLevel="0" collapsed="false">
      <c r="A576" s="174" t="str">
        <f aca="false">IF(ISBLANK(B576),"",B576&amp;"|"&amp;C576)</f>
        <v/>
      </c>
      <c r="B576" s="174"/>
      <c r="C576" s="174"/>
      <c r="D576" s="174"/>
      <c r="E576" s="179"/>
      <c r="F576" s="174"/>
      <c r="G576" s="174"/>
      <c r="H576" s="174"/>
      <c r="I576" s="174"/>
      <c r="J576" s="174"/>
      <c r="K576" s="174"/>
      <c r="L576" s="174"/>
      <c r="M576" s="174"/>
      <c r="N576" s="174"/>
      <c r="O576" s="174"/>
      <c r="P576" s="174"/>
      <c r="Q576" s="174"/>
      <c r="R576" s="174"/>
      <c r="S576" s="174"/>
      <c r="T576" s="174"/>
      <c r="U576" s="174"/>
      <c r="V576" s="174"/>
      <c r="W576" s="174"/>
      <c r="X576" s="174"/>
      <c r="Y576" s="174"/>
      <c r="Z576" s="174"/>
      <c r="AA576" s="174"/>
    </row>
    <row r="577" customFormat="false" ht="15.75" hidden="false" customHeight="false" outlineLevel="0" collapsed="false">
      <c r="A577" s="174" t="str">
        <f aca="false">IF(ISBLANK(B577),"",B577&amp;"|"&amp;C577)</f>
        <v/>
      </c>
      <c r="B577" s="174"/>
      <c r="C577" s="174"/>
      <c r="D577" s="174"/>
      <c r="E577" s="179"/>
      <c r="F577" s="174"/>
      <c r="G577" s="174"/>
      <c r="H577" s="174"/>
      <c r="I577" s="174"/>
      <c r="J577" s="174"/>
      <c r="K577" s="174"/>
      <c r="L577" s="174"/>
      <c r="M577" s="174"/>
      <c r="N577" s="174"/>
      <c r="O577" s="174"/>
      <c r="P577" s="174"/>
      <c r="Q577" s="174"/>
      <c r="R577" s="174"/>
      <c r="S577" s="174"/>
      <c r="T577" s="174"/>
      <c r="U577" s="174"/>
      <c r="V577" s="174"/>
      <c r="W577" s="174"/>
      <c r="X577" s="174"/>
      <c r="Y577" s="174"/>
      <c r="Z577" s="174"/>
      <c r="AA577" s="174"/>
    </row>
    <row r="578" customFormat="false" ht="15.75" hidden="false" customHeight="false" outlineLevel="0" collapsed="false">
      <c r="A578" s="174" t="str">
        <f aca="false">IF(ISBLANK(B578),"",B578&amp;"|"&amp;C578)</f>
        <v/>
      </c>
      <c r="B578" s="174"/>
      <c r="C578" s="174"/>
      <c r="D578" s="174"/>
      <c r="E578" s="179"/>
      <c r="F578" s="174"/>
      <c r="G578" s="174"/>
      <c r="H578" s="174"/>
      <c r="I578" s="174"/>
      <c r="J578" s="174"/>
      <c r="K578" s="174"/>
      <c r="L578" s="174"/>
      <c r="M578" s="174"/>
      <c r="N578" s="174"/>
      <c r="O578" s="174"/>
      <c r="P578" s="174"/>
      <c r="Q578" s="174"/>
      <c r="R578" s="174"/>
      <c r="S578" s="174"/>
      <c r="T578" s="174"/>
      <c r="U578" s="174"/>
      <c r="V578" s="174"/>
      <c r="W578" s="174"/>
      <c r="X578" s="174"/>
      <c r="Y578" s="174"/>
      <c r="Z578" s="174"/>
      <c r="AA578" s="174"/>
    </row>
    <row r="579" customFormat="false" ht="15.75" hidden="false" customHeight="false" outlineLevel="0" collapsed="false">
      <c r="A579" s="174" t="str">
        <f aca="false">IF(ISBLANK(B579),"",B579&amp;"|"&amp;C579)</f>
        <v/>
      </c>
      <c r="B579" s="174"/>
      <c r="C579" s="174"/>
      <c r="D579" s="174"/>
      <c r="E579" s="179"/>
      <c r="F579" s="174"/>
      <c r="G579" s="174"/>
      <c r="H579" s="174"/>
      <c r="I579" s="174"/>
      <c r="J579" s="174"/>
      <c r="K579" s="174"/>
      <c r="L579" s="174"/>
      <c r="M579" s="174"/>
      <c r="N579" s="174"/>
      <c r="O579" s="174"/>
      <c r="P579" s="174"/>
      <c r="Q579" s="174"/>
      <c r="R579" s="174"/>
      <c r="S579" s="174"/>
      <c r="T579" s="174"/>
      <c r="U579" s="174"/>
      <c r="V579" s="174"/>
      <c r="W579" s="174"/>
      <c r="X579" s="174"/>
      <c r="Y579" s="174"/>
      <c r="Z579" s="174"/>
      <c r="AA579" s="174"/>
    </row>
    <row r="580" customFormat="false" ht="15.75" hidden="false" customHeight="false" outlineLevel="0" collapsed="false">
      <c r="A580" s="174" t="str">
        <f aca="false">IF(ISBLANK(B580),"",B580&amp;"|"&amp;C580)</f>
        <v/>
      </c>
      <c r="B580" s="174"/>
      <c r="C580" s="174"/>
      <c r="D580" s="174"/>
      <c r="E580" s="179"/>
      <c r="F580" s="174"/>
      <c r="G580" s="174"/>
      <c r="H580" s="174"/>
      <c r="I580" s="174"/>
      <c r="J580" s="174"/>
      <c r="K580" s="174"/>
      <c r="L580" s="174"/>
      <c r="M580" s="174"/>
      <c r="N580" s="174"/>
      <c r="O580" s="174"/>
      <c r="P580" s="174"/>
      <c r="Q580" s="174"/>
      <c r="R580" s="174"/>
      <c r="S580" s="174"/>
      <c r="T580" s="174"/>
      <c r="U580" s="174"/>
      <c r="V580" s="174"/>
      <c r="W580" s="174"/>
      <c r="X580" s="174"/>
      <c r="Y580" s="174"/>
      <c r="Z580" s="174"/>
      <c r="AA580" s="174"/>
    </row>
    <row r="581" customFormat="false" ht="15.75" hidden="false" customHeight="false" outlineLevel="0" collapsed="false">
      <c r="A581" s="174" t="str">
        <f aca="false">IF(ISBLANK(B581),"",B581&amp;"|"&amp;C581)</f>
        <v/>
      </c>
      <c r="B581" s="174"/>
      <c r="C581" s="174"/>
      <c r="D581" s="174"/>
      <c r="E581" s="179"/>
      <c r="F581" s="174"/>
      <c r="G581" s="174"/>
      <c r="H581" s="174"/>
      <c r="I581" s="174"/>
      <c r="J581" s="174"/>
      <c r="K581" s="174"/>
      <c r="L581" s="174"/>
      <c r="M581" s="174"/>
      <c r="N581" s="174"/>
      <c r="O581" s="174"/>
      <c r="P581" s="174"/>
      <c r="Q581" s="174"/>
      <c r="R581" s="174"/>
      <c r="S581" s="174"/>
      <c r="T581" s="174"/>
      <c r="U581" s="174"/>
      <c r="V581" s="174"/>
      <c r="W581" s="174"/>
      <c r="X581" s="174"/>
      <c r="Y581" s="174"/>
      <c r="Z581" s="174"/>
      <c r="AA581" s="174"/>
    </row>
    <row r="582" customFormat="false" ht="15.75" hidden="false" customHeight="false" outlineLevel="0" collapsed="false">
      <c r="A582" s="174" t="str">
        <f aca="false">IF(ISBLANK(B582),"",B582&amp;"|"&amp;C582)</f>
        <v/>
      </c>
      <c r="B582" s="174"/>
      <c r="C582" s="174"/>
      <c r="D582" s="174"/>
      <c r="E582" s="179"/>
      <c r="F582" s="174"/>
      <c r="G582" s="174"/>
      <c r="H582" s="174"/>
      <c r="I582" s="174"/>
      <c r="J582" s="174"/>
      <c r="K582" s="174"/>
      <c r="L582" s="174"/>
      <c r="M582" s="174"/>
      <c r="N582" s="174"/>
      <c r="O582" s="174"/>
      <c r="P582" s="174"/>
      <c r="Q582" s="174"/>
      <c r="R582" s="174"/>
      <c r="S582" s="174"/>
      <c r="T582" s="174"/>
      <c r="U582" s="174"/>
      <c r="V582" s="174"/>
      <c r="W582" s="174"/>
      <c r="X582" s="174"/>
      <c r="Y582" s="174"/>
      <c r="Z582" s="174"/>
      <c r="AA582" s="174"/>
    </row>
    <row r="583" customFormat="false" ht="15.75" hidden="false" customHeight="false" outlineLevel="0" collapsed="false">
      <c r="A583" s="174" t="str">
        <f aca="false">IF(ISBLANK(B583),"",B583&amp;"|"&amp;C583)</f>
        <v/>
      </c>
      <c r="B583" s="174"/>
      <c r="C583" s="174"/>
      <c r="D583" s="174"/>
      <c r="E583" s="179"/>
      <c r="F583" s="174"/>
      <c r="G583" s="174"/>
      <c r="H583" s="174"/>
      <c r="I583" s="174"/>
      <c r="J583" s="174"/>
      <c r="K583" s="174"/>
      <c r="L583" s="174"/>
      <c r="M583" s="174"/>
      <c r="N583" s="174"/>
      <c r="O583" s="174"/>
      <c r="P583" s="174"/>
      <c r="Q583" s="174"/>
      <c r="R583" s="174"/>
      <c r="S583" s="174"/>
      <c r="T583" s="174"/>
      <c r="U583" s="174"/>
      <c r="V583" s="174"/>
      <c r="W583" s="174"/>
      <c r="X583" s="174"/>
      <c r="Y583" s="174"/>
      <c r="Z583" s="174"/>
      <c r="AA583" s="174"/>
    </row>
    <row r="584" customFormat="false" ht="15.75" hidden="false" customHeight="false" outlineLevel="0" collapsed="false">
      <c r="A584" s="174" t="str">
        <f aca="false">IF(ISBLANK(B584),"",B584&amp;"|"&amp;C584)</f>
        <v/>
      </c>
      <c r="B584" s="174"/>
      <c r="C584" s="174"/>
      <c r="D584" s="174"/>
      <c r="E584" s="179"/>
      <c r="F584" s="174"/>
      <c r="G584" s="174"/>
      <c r="H584" s="174"/>
      <c r="I584" s="174"/>
      <c r="J584" s="174"/>
      <c r="K584" s="174"/>
      <c r="L584" s="174"/>
      <c r="M584" s="174"/>
      <c r="N584" s="174"/>
      <c r="O584" s="174"/>
      <c r="P584" s="174"/>
      <c r="Q584" s="174"/>
      <c r="R584" s="174"/>
      <c r="S584" s="174"/>
      <c r="T584" s="174"/>
      <c r="U584" s="174"/>
      <c r="V584" s="174"/>
      <c r="W584" s="174"/>
      <c r="X584" s="174"/>
      <c r="Y584" s="174"/>
      <c r="Z584" s="174"/>
      <c r="AA584" s="174"/>
    </row>
    <row r="585" customFormat="false" ht="15.75" hidden="false" customHeight="false" outlineLevel="0" collapsed="false">
      <c r="A585" s="174" t="str">
        <f aca="false">IF(ISBLANK(B585),"",B585&amp;"|"&amp;C585)</f>
        <v/>
      </c>
      <c r="B585" s="174"/>
      <c r="C585" s="174"/>
      <c r="D585" s="174"/>
      <c r="E585" s="179"/>
      <c r="F585" s="174"/>
      <c r="G585" s="174"/>
      <c r="H585" s="174"/>
      <c r="I585" s="174"/>
      <c r="J585" s="174"/>
      <c r="K585" s="174"/>
      <c r="L585" s="174"/>
      <c r="M585" s="174"/>
      <c r="N585" s="174"/>
      <c r="O585" s="174"/>
      <c r="P585" s="174"/>
      <c r="Q585" s="174"/>
      <c r="R585" s="174"/>
      <c r="S585" s="174"/>
      <c r="T585" s="174"/>
      <c r="U585" s="174"/>
      <c r="V585" s="174"/>
      <c r="W585" s="174"/>
      <c r="X585" s="174"/>
      <c r="Y585" s="174"/>
      <c r="Z585" s="174"/>
      <c r="AA585" s="174"/>
    </row>
    <row r="586" customFormat="false" ht="15.75" hidden="false" customHeight="false" outlineLevel="0" collapsed="false">
      <c r="A586" s="174" t="str">
        <f aca="false">IF(ISBLANK(B586),"",B586&amp;"|"&amp;C586)</f>
        <v/>
      </c>
      <c r="B586" s="174"/>
      <c r="C586" s="174"/>
      <c r="D586" s="174"/>
      <c r="E586" s="179"/>
      <c r="F586" s="174"/>
      <c r="G586" s="174"/>
      <c r="H586" s="174"/>
      <c r="I586" s="174"/>
      <c r="J586" s="174"/>
      <c r="K586" s="174"/>
      <c r="L586" s="174"/>
      <c r="M586" s="174"/>
      <c r="N586" s="174"/>
      <c r="O586" s="174"/>
      <c r="P586" s="174"/>
      <c r="Q586" s="174"/>
      <c r="R586" s="174"/>
      <c r="S586" s="174"/>
      <c r="T586" s="174"/>
      <c r="U586" s="174"/>
      <c r="V586" s="174"/>
      <c r="W586" s="174"/>
      <c r="X586" s="174"/>
      <c r="Y586" s="174"/>
      <c r="Z586" s="174"/>
      <c r="AA586" s="174"/>
    </row>
    <row r="587" customFormat="false" ht="15.75" hidden="false" customHeight="false" outlineLevel="0" collapsed="false">
      <c r="A587" s="174" t="str">
        <f aca="false">IF(ISBLANK(B587),"",B587&amp;"|"&amp;C587)</f>
        <v/>
      </c>
      <c r="B587" s="174"/>
      <c r="C587" s="174"/>
      <c r="D587" s="174"/>
      <c r="E587" s="179"/>
      <c r="F587" s="174"/>
      <c r="G587" s="174"/>
      <c r="H587" s="174"/>
      <c r="I587" s="174"/>
      <c r="J587" s="174"/>
      <c r="K587" s="174"/>
      <c r="L587" s="174"/>
      <c r="M587" s="174"/>
      <c r="N587" s="174"/>
      <c r="O587" s="174"/>
      <c r="P587" s="174"/>
      <c r="Q587" s="174"/>
      <c r="R587" s="174"/>
      <c r="S587" s="174"/>
      <c r="T587" s="174"/>
      <c r="U587" s="174"/>
      <c r="V587" s="174"/>
      <c r="W587" s="174"/>
      <c r="X587" s="174"/>
      <c r="Y587" s="174"/>
      <c r="Z587" s="174"/>
      <c r="AA587" s="174"/>
    </row>
    <row r="588" customFormat="false" ht="15.75" hidden="false" customHeight="false" outlineLevel="0" collapsed="false">
      <c r="A588" s="174" t="str">
        <f aca="false">IF(ISBLANK(B588),"",B588&amp;"|"&amp;C588)</f>
        <v/>
      </c>
      <c r="B588" s="174"/>
      <c r="C588" s="174"/>
      <c r="D588" s="174"/>
      <c r="E588" s="179"/>
      <c r="F588" s="174"/>
      <c r="G588" s="174"/>
      <c r="H588" s="174"/>
      <c r="I588" s="174"/>
      <c r="J588" s="174"/>
      <c r="K588" s="174"/>
      <c r="L588" s="174"/>
      <c r="M588" s="174"/>
      <c r="N588" s="174"/>
      <c r="O588" s="174"/>
      <c r="P588" s="174"/>
      <c r="Q588" s="174"/>
      <c r="R588" s="174"/>
      <c r="S588" s="174"/>
      <c r="T588" s="174"/>
      <c r="U588" s="174"/>
      <c r="V588" s="174"/>
      <c r="W588" s="174"/>
      <c r="X588" s="174"/>
      <c r="Y588" s="174"/>
      <c r="Z588" s="174"/>
      <c r="AA588" s="174"/>
    </row>
    <row r="589" customFormat="false" ht="15.75" hidden="false" customHeight="false" outlineLevel="0" collapsed="false">
      <c r="A589" s="174" t="str">
        <f aca="false">IF(ISBLANK(B589),"",B589&amp;"|"&amp;C589)</f>
        <v/>
      </c>
      <c r="B589" s="174"/>
      <c r="C589" s="174"/>
      <c r="D589" s="174"/>
      <c r="E589" s="179"/>
      <c r="F589" s="174"/>
      <c r="G589" s="174"/>
      <c r="H589" s="174"/>
      <c r="I589" s="174"/>
      <c r="J589" s="174"/>
      <c r="K589" s="174"/>
      <c r="L589" s="174"/>
      <c r="M589" s="174"/>
      <c r="N589" s="174"/>
      <c r="O589" s="174"/>
      <c r="P589" s="174"/>
      <c r="Q589" s="174"/>
      <c r="R589" s="174"/>
      <c r="S589" s="174"/>
      <c r="T589" s="174"/>
      <c r="U589" s="174"/>
      <c r="V589" s="174"/>
      <c r="W589" s="174"/>
      <c r="X589" s="174"/>
      <c r="Y589" s="174"/>
      <c r="Z589" s="174"/>
      <c r="AA589" s="174"/>
    </row>
    <row r="590" customFormat="false" ht="15.75" hidden="false" customHeight="false" outlineLevel="0" collapsed="false">
      <c r="A590" s="174" t="str">
        <f aca="false">IF(ISBLANK(B590),"",B590&amp;"|"&amp;C590)</f>
        <v/>
      </c>
      <c r="B590" s="174"/>
      <c r="C590" s="174"/>
      <c r="D590" s="174"/>
      <c r="E590" s="179"/>
      <c r="F590" s="174"/>
      <c r="G590" s="174"/>
      <c r="H590" s="174"/>
      <c r="I590" s="174"/>
      <c r="J590" s="174"/>
      <c r="K590" s="174"/>
      <c r="L590" s="174"/>
      <c r="M590" s="174"/>
      <c r="N590" s="174"/>
      <c r="O590" s="174"/>
      <c r="P590" s="174"/>
      <c r="Q590" s="174"/>
      <c r="R590" s="174"/>
      <c r="S590" s="174"/>
      <c r="T590" s="174"/>
      <c r="U590" s="174"/>
      <c r="V590" s="174"/>
      <c r="W590" s="174"/>
      <c r="X590" s="174"/>
      <c r="Y590" s="174"/>
      <c r="Z590" s="174"/>
      <c r="AA590" s="174"/>
    </row>
    <row r="591" customFormat="false" ht="15.75" hidden="false" customHeight="false" outlineLevel="0" collapsed="false">
      <c r="A591" s="174" t="str">
        <f aca="false">IF(ISBLANK(B591),"",B591&amp;"|"&amp;C591)</f>
        <v/>
      </c>
      <c r="B591" s="174"/>
      <c r="C591" s="174"/>
      <c r="D591" s="174"/>
      <c r="E591" s="179"/>
      <c r="F591" s="174"/>
      <c r="G591" s="174"/>
      <c r="H591" s="174"/>
      <c r="I591" s="174"/>
      <c r="J591" s="174"/>
      <c r="K591" s="174"/>
      <c r="L591" s="174"/>
      <c r="M591" s="174"/>
      <c r="N591" s="174"/>
      <c r="O591" s="174"/>
      <c r="P591" s="174"/>
      <c r="Q591" s="174"/>
      <c r="R591" s="174"/>
      <c r="S591" s="174"/>
      <c r="T591" s="174"/>
      <c r="U591" s="174"/>
      <c r="V591" s="174"/>
      <c r="W591" s="174"/>
      <c r="X591" s="174"/>
      <c r="Y591" s="174"/>
      <c r="Z591" s="174"/>
      <c r="AA591" s="174"/>
    </row>
    <row r="592" customFormat="false" ht="15.75" hidden="false" customHeight="false" outlineLevel="0" collapsed="false">
      <c r="A592" s="174" t="str">
        <f aca="false">IF(ISBLANK(B592),"",B592&amp;"|"&amp;C592)</f>
        <v/>
      </c>
      <c r="B592" s="174"/>
      <c r="C592" s="174"/>
      <c r="D592" s="174"/>
      <c r="E592" s="179"/>
      <c r="F592" s="174"/>
      <c r="G592" s="174"/>
      <c r="H592" s="174"/>
      <c r="I592" s="174"/>
      <c r="J592" s="174"/>
      <c r="K592" s="174"/>
      <c r="L592" s="174"/>
      <c r="M592" s="174"/>
      <c r="N592" s="174"/>
      <c r="O592" s="174"/>
      <c r="P592" s="174"/>
      <c r="Q592" s="174"/>
      <c r="R592" s="174"/>
      <c r="S592" s="174"/>
      <c r="T592" s="174"/>
      <c r="U592" s="174"/>
      <c r="V592" s="174"/>
      <c r="W592" s="174"/>
      <c r="X592" s="174"/>
      <c r="Y592" s="174"/>
      <c r="Z592" s="174"/>
      <c r="AA592" s="174"/>
    </row>
    <row r="593" customFormat="false" ht="15.75" hidden="false" customHeight="false" outlineLevel="0" collapsed="false">
      <c r="A593" s="174" t="str">
        <f aca="false">IF(ISBLANK(B593),"",B593&amp;"|"&amp;C593)</f>
        <v/>
      </c>
      <c r="B593" s="174"/>
      <c r="C593" s="174"/>
      <c r="D593" s="174"/>
      <c r="E593" s="179"/>
      <c r="F593" s="174"/>
      <c r="G593" s="174"/>
      <c r="H593" s="174"/>
      <c r="I593" s="174"/>
      <c r="J593" s="174"/>
      <c r="K593" s="174"/>
      <c r="L593" s="174"/>
      <c r="M593" s="174"/>
      <c r="N593" s="174"/>
      <c r="O593" s="174"/>
      <c r="P593" s="174"/>
      <c r="Q593" s="174"/>
      <c r="R593" s="174"/>
      <c r="S593" s="174"/>
      <c r="T593" s="174"/>
      <c r="U593" s="174"/>
      <c r="V593" s="174"/>
      <c r="W593" s="174"/>
      <c r="X593" s="174"/>
      <c r="Y593" s="174"/>
      <c r="Z593" s="174"/>
      <c r="AA593" s="174"/>
    </row>
    <row r="594" customFormat="false" ht="15.75" hidden="false" customHeight="false" outlineLevel="0" collapsed="false">
      <c r="A594" s="174" t="str">
        <f aca="false">IF(ISBLANK(B594),"",B594&amp;"|"&amp;C594)</f>
        <v/>
      </c>
      <c r="B594" s="174"/>
      <c r="C594" s="174"/>
      <c r="D594" s="174"/>
      <c r="E594" s="179"/>
      <c r="F594" s="174"/>
      <c r="G594" s="174"/>
      <c r="H594" s="174"/>
      <c r="I594" s="174"/>
      <c r="J594" s="174"/>
      <c r="K594" s="174"/>
      <c r="L594" s="174"/>
      <c r="M594" s="174"/>
      <c r="N594" s="174"/>
      <c r="O594" s="174"/>
      <c r="P594" s="174"/>
      <c r="Q594" s="174"/>
      <c r="R594" s="174"/>
      <c r="S594" s="174"/>
      <c r="T594" s="174"/>
      <c r="U594" s="174"/>
      <c r="V594" s="174"/>
      <c r="W594" s="174"/>
      <c r="X594" s="174"/>
      <c r="Y594" s="174"/>
      <c r="Z594" s="174"/>
      <c r="AA594" s="174"/>
    </row>
    <row r="595" customFormat="false" ht="15.75" hidden="false" customHeight="false" outlineLevel="0" collapsed="false">
      <c r="A595" s="174" t="str">
        <f aca="false">IF(ISBLANK(B595),"",B595&amp;"|"&amp;C595)</f>
        <v/>
      </c>
      <c r="B595" s="174"/>
      <c r="C595" s="174"/>
      <c r="D595" s="174"/>
      <c r="E595" s="179"/>
      <c r="F595" s="174"/>
      <c r="G595" s="174"/>
      <c r="H595" s="174"/>
      <c r="I595" s="174"/>
      <c r="J595" s="174"/>
      <c r="K595" s="174"/>
      <c r="L595" s="174"/>
      <c r="M595" s="174"/>
      <c r="N595" s="174"/>
      <c r="O595" s="174"/>
      <c r="P595" s="174"/>
      <c r="Q595" s="174"/>
      <c r="R595" s="174"/>
      <c r="S595" s="174"/>
      <c r="T595" s="174"/>
      <c r="U595" s="174"/>
      <c r="V595" s="174"/>
      <c r="W595" s="174"/>
      <c r="X595" s="174"/>
      <c r="Y595" s="174"/>
      <c r="Z595" s="174"/>
      <c r="AA595" s="174"/>
    </row>
    <row r="596" customFormat="false" ht="15.75" hidden="false" customHeight="false" outlineLevel="0" collapsed="false">
      <c r="A596" s="174" t="str">
        <f aca="false">IF(ISBLANK(B596),"",B596&amp;"|"&amp;C596)</f>
        <v/>
      </c>
      <c r="B596" s="174"/>
      <c r="C596" s="174"/>
      <c r="D596" s="174"/>
      <c r="E596" s="179"/>
      <c r="F596" s="174"/>
      <c r="G596" s="174"/>
      <c r="H596" s="174"/>
      <c r="I596" s="174"/>
      <c r="J596" s="174"/>
      <c r="K596" s="174"/>
      <c r="L596" s="174"/>
      <c r="M596" s="174"/>
      <c r="N596" s="174"/>
      <c r="O596" s="174"/>
      <c r="P596" s="174"/>
      <c r="Q596" s="174"/>
      <c r="R596" s="174"/>
      <c r="S596" s="174"/>
      <c r="T596" s="174"/>
      <c r="U596" s="174"/>
      <c r="V596" s="174"/>
      <c r="W596" s="174"/>
      <c r="X596" s="174"/>
      <c r="Y596" s="174"/>
      <c r="Z596" s="174"/>
      <c r="AA596" s="174"/>
    </row>
    <row r="597" customFormat="false" ht="15.75" hidden="false" customHeight="false" outlineLevel="0" collapsed="false">
      <c r="A597" s="174" t="str">
        <f aca="false">IF(ISBLANK(B597),"",B597&amp;"|"&amp;C597)</f>
        <v/>
      </c>
      <c r="B597" s="174"/>
      <c r="C597" s="174"/>
      <c r="D597" s="174"/>
      <c r="E597" s="179"/>
      <c r="F597" s="174"/>
      <c r="G597" s="174"/>
      <c r="H597" s="174"/>
      <c r="I597" s="174"/>
      <c r="J597" s="174"/>
      <c r="K597" s="174"/>
      <c r="L597" s="174"/>
      <c r="M597" s="174"/>
      <c r="N597" s="174"/>
      <c r="O597" s="174"/>
      <c r="P597" s="174"/>
      <c r="Q597" s="174"/>
      <c r="R597" s="174"/>
      <c r="S597" s="174"/>
      <c r="T597" s="174"/>
      <c r="U597" s="174"/>
      <c r="V597" s="174"/>
      <c r="W597" s="174"/>
      <c r="X597" s="174"/>
      <c r="Y597" s="174"/>
      <c r="Z597" s="174"/>
      <c r="AA597" s="174"/>
    </row>
    <row r="598" customFormat="false" ht="15.75" hidden="false" customHeight="false" outlineLevel="0" collapsed="false">
      <c r="A598" s="174" t="str">
        <f aca="false">IF(ISBLANK(B598),"",B598&amp;"|"&amp;C598)</f>
        <v/>
      </c>
      <c r="B598" s="174"/>
      <c r="C598" s="174"/>
      <c r="D598" s="174"/>
      <c r="E598" s="179"/>
      <c r="F598" s="174"/>
      <c r="G598" s="174"/>
      <c r="H598" s="174"/>
      <c r="I598" s="174"/>
      <c r="J598" s="174"/>
      <c r="K598" s="174"/>
      <c r="L598" s="174"/>
      <c r="M598" s="174"/>
      <c r="N598" s="174"/>
      <c r="O598" s="174"/>
      <c r="P598" s="174"/>
      <c r="Q598" s="174"/>
      <c r="R598" s="174"/>
      <c r="S598" s="174"/>
      <c r="T598" s="174"/>
      <c r="U598" s="174"/>
      <c r="V598" s="174"/>
      <c r="W598" s="174"/>
      <c r="X598" s="174"/>
      <c r="Y598" s="174"/>
      <c r="Z598" s="174"/>
      <c r="AA598" s="174"/>
    </row>
    <row r="599" customFormat="false" ht="15.75" hidden="false" customHeight="false" outlineLevel="0" collapsed="false">
      <c r="A599" s="174" t="str">
        <f aca="false">IF(ISBLANK(B599),"",B599&amp;"|"&amp;C599)</f>
        <v/>
      </c>
      <c r="B599" s="174"/>
      <c r="C599" s="174"/>
      <c r="D599" s="174"/>
      <c r="E599" s="179"/>
      <c r="F599" s="174"/>
      <c r="G599" s="174"/>
      <c r="H599" s="174"/>
      <c r="I599" s="174"/>
      <c r="J599" s="174"/>
      <c r="K599" s="174"/>
      <c r="L599" s="174"/>
      <c r="M599" s="174"/>
      <c r="N599" s="174"/>
      <c r="O599" s="174"/>
      <c r="P599" s="174"/>
      <c r="Q599" s="174"/>
      <c r="R599" s="174"/>
      <c r="S599" s="174"/>
      <c r="T599" s="174"/>
      <c r="U599" s="174"/>
      <c r="V599" s="174"/>
      <c r="W599" s="174"/>
      <c r="X599" s="174"/>
      <c r="Y599" s="174"/>
      <c r="Z599" s="174"/>
      <c r="AA599" s="174"/>
    </row>
    <row r="600" customFormat="false" ht="15.75" hidden="false" customHeight="false" outlineLevel="0" collapsed="false">
      <c r="A600" s="174" t="str">
        <f aca="false">IF(ISBLANK(B600),"",B600&amp;"|"&amp;C600)</f>
        <v/>
      </c>
      <c r="B600" s="174"/>
      <c r="C600" s="174"/>
      <c r="D600" s="174"/>
      <c r="E600" s="179"/>
      <c r="F600" s="174"/>
      <c r="G600" s="174"/>
      <c r="H600" s="174"/>
      <c r="I600" s="174"/>
      <c r="J600" s="174"/>
      <c r="K600" s="174"/>
      <c r="L600" s="174"/>
      <c r="M600" s="174"/>
      <c r="N600" s="174"/>
      <c r="O600" s="174"/>
      <c r="P600" s="174"/>
      <c r="Q600" s="174"/>
      <c r="R600" s="174"/>
      <c r="S600" s="174"/>
      <c r="T600" s="174"/>
      <c r="U600" s="174"/>
      <c r="V600" s="174"/>
      <c r="W600" s="174"/>
      <c r="X600" s="174"/>
      <c r="Y600" s="174"/>
      <c r="Z600" s="174"/>
      <c r="AA600" s="174"/>
    </row>
    <row r="601" customFormat="false" ht="15.75" hidden="false" customHeight="false" outlineLevel="0" collapsed="false">
      <c r="A601" s="174" t="str">
        <f aca="false">IF(ISBLANK(B601),"",B601&amp;"|"&amp;C601)</f>
        <v/>
      </c>
      <c r="B601" s="174"/>
      <c r="C601" s="174"/>
      <c r="D601" s="174"/>
      <c r="E601" s="179"/>
      <c r="F601" s="174"/>
      <c r="G601" s="174"/>
      <c r="H601" s="174"/>
      <c r="I601" s="174"/>
      <c r="J601" s="174"/>
      <c r="K601" s="174"/>
      <c r="L601" s="174"/>
      <c r="M601" s="174"/>
      <c r="N601" s="174"/>
      <c r="O601" s="174"/>
      <c r="P601" s="174"/>
      <c r="Q601" s="174"/>
      <c r="R601" s="174"/>
      <c r="S601" s="174"/>
      <c r="T601" s="174"/>
      <c r="U601" s="174"/>
      <c r="V601" s="174"/>
      <c r="W601" s="174"/>
      <c r="X601" s="174"/>
      <c r="Y601" s="174"/>
      <c r="Z601" s="174"/>
      <c r="AA601" s="174"/>
    </row>
    <row r="602" customFormat="false" ht="15.75" hidden="false" customHeight="false" outlineLevel="0" collapsed="false">
      <c r="A602" s="174" t="str">
        <f aca="false">IF(ISBLANK(B602),"",B602&amp;"|"&amp;C602)</f>
        <v/>
      </c>
      <c r="B602" s="174"/>
      <c r="C602" s="174"/>
      <c r="D602" s="174"/>
      <c r="E602" s="179"/>
      <c r="F602" s="174"/>
      <c r="G602" s="174"/>
      <c r="H602" s="174"/>
      <c r="I602" s="174"/>
      <c r="J602" s="174"/>
      <c r="K602" s="174"/>
      <c r="L602" s="174"/>
      <c r="M602" s="174"/>
      <c r="N602" s="174"/>
      <c r="O602" s="174"/>
      <c r="P602" s="174"/>
      <c r="Q602" s="174"/>
      <c r="R602" s="174"/>
      <c r="S602" s="174"/>
      <c r="T602" s="174"/>
      <c r="U602" s="174"/>
      <c r="V602" s="174"/>
      <c r="W602" s="174"/>
      <c r="X602" s="174"/>
      <c r="Y602" s="174"/>
      <c r="Z602" s="174"/>
      <c r="AA602" s="174"/>
    </row>
    <row r="603" customFormat="false" ht="15.75" hidden="false" customHeight="false" outlineLevel="0" collapsed="false">
      <c r="A603" s="174" t="str">
        <f aca="false">IF(ISBLANK(B603),"",B603&amp;"|"&amp;C603)</f>
        <v/>
      </c>
      <c r="B603" s="174"/>
      <c r="C603" s="174"/>
      <c r="D603" s="174"/>
      <c r="E603" s="179"/>
      <c r="F603" s="174"/>
      <c r="G603" s="174"/>
      <c r="H603" s="174"/>
      <c r="I603" s="174"/>
      <c r="J603" s="174"/>
      <c r="K603" s="174"/>
      <c r="L603" s="174"/>
      <c r="M603" s="174"/>
      <c r="N603" s="174"/>
      <c r="O603" s="174"/>
      <c r="P603" s="174"/>
      <c r="Q603" s="174"/>
      <c r="R603" s="174"/>
      <c r="S603" s="174"/>
      <c r="T603" s="174"/>
      <c r="U603" s="174"/>
      <c r="V603" s="174"/>
      <c r="W603" s="174"/>
      <c r="X603" s="174"/>
      <c r="Y603" s="174"/>
      <c r="Z603" s="174"/>
      <c r="AA603" s="174"/>
    </row>
    <row r="604" customFormat="false" ht="15.75" hidden="false" customHeight="false" outlineLevel="0" collapsed="false">
      <c r="A604" s="174" t="str">
        <f aca="false">IF(ISBLANK(B604),"",B604&amp;"|"&amp;C604)</f>
        <v/>
      </c>
      <c r="B604" s="174"/>
      <c r="C604" s="174"/>
      <c r="D604" s="174"/>
      <c r="E604" s="179"/>
      <c r="F604" s="174"/>
      <c r="G604" s="174"/>
      <c r="H604" s="174"/>
      <c r="I604" s="174"/>
      <c r="J604" s="174"/>
      <c r="K604" s="174"/>
      <c r="L604" s="174"/>
      <c r="M604" s="174"/>
      <c r="N604" s="174"/>
      <c r="O604" s="174"/>
      <c r="P604" s="174"/>
      <c r="Q604" s="174"/>
      <c r="R604" s="174"/>
      <c r="S604" s="174"/>
      <c r="T604" s="174"/>
      <c r="U604" s="174"/>
      <c r="V604" s="174"/>
      <c r="W604" s="174"/>
      <c r="X604" s="174"/>
      <c r="Y604" s="174"/>
      <c r="Z604" s="174"/>
      <c r="AA604" s="174"/>
    </row>
    <row r="605" customFormat="false" ht="15.75" hidden="false" customHeight="false" outlineLevel="0" collapsed="false">
      <c r="A605" s="174" t="str">
        <f aca="false">IF(ISBLANK(B605),"",B605&amp;"|"&amp;C605)</f>
        <v/>
      </c>
      <c r="B605" s="174"/>
      <c r="C605" s="174"/>
      <c r="D605" s="174"/>
      <c r="E605" s="179"/>
      <c r="F605" s="174"/>
      <c r="G605" s="174"/>
      <c r="H605" s="174"/>
      <c r="I605" s="174"/>
      <c r="J605" s="174"/>
      <c r="K605" s="174"/>
      <c r="L605" s="174"/>
      <c r="M605" s="174"/>
      <c r="N605" s="174"/>
      <c r="O605" s="174"/>
      <c r="P605" s="174"/>
      <c r="Q605" s="174"/>
      <c r="R605" s="174"/>
      <c r="S605" s="174"/>
      <c r="T605" s="174"/>
      <c r="U605" s="174"/>
      <c r="V605" s="174"/>
      <c r="W605" s="174"/>
      <c r="X605" s="174"/>
      <c r="Y605" s="174"/>
      <c r="Z605" s="174"/>
      <c r="AA605" s="174"/>
    </row>
    <row r="606" customFormat="false" ht="15.75" hidden="false" customHeight="false" outlineLevel="0" collapsed="false">
      <c r="A606" s="174" t="str">
        <f aca="false">IF(ISBLANK(B606),"",B606&amp;"|"&amp;C606)</f>
        <v/>
      </c>
      <c r="B606" s="174"/>
      <c r="C606" s="174"/>
      <c r="D606" s="174"/>
      <c r="E606" s="179"/>
      <c r="F606" s="174"/>
      <c r="G606" s="174"/>
      <c r="H606" s="174"/>
      <c r="I606" s="174"/>
      <c r="J606" s="174"/>
      <c r="K606" s="174"/>
      <c r="L606" s="174"/>
      <c r="M606" s="174"/>
      <c r="N606" s="174"/>
      <c r="O606" s="174"/>
      <c r="P606" s="174"/>
      <c r="Q606" s="174"/>
      <c r="R606" s="174"/>
      <c r="S606" s="174"/>
      <c r="T606" s="174"/>
      <c r="U606" s="174"/>
      <c r="V606" s="174"/>
      <c r="W606" s="174"/>
      <c r="X606" s="174"/>
      <c r="Y606" s="174"/>
      <c r="Z606" s="174"/>
      <c r="AA606" s="174"/>
    </row>
    <row r="607" customFormat="false" ht="15.75" hidden="false" customHeight="false" outlineLevel="0" collapsed="false">
      <c r="A607" s="174" t="str">
        <f aca="false">IF(ISBLANK(B607),"",B607&amp;"|"&amp;C607)</f>
        <v/>
      </c>
      <c r="B607" s="174"/>
      <c r="C607" s="174"/>
      <c r="D607" s="174"/>
      <c r="E607" s="179"/>
      <c r="F607" s="174"/>
      <c r="G607" s="174"/>
      <c r="H607" s="174"/>
      <c r="I607" s="174"/>
      <c r="J607" s="174"/>
      <c r="K607" s="174"/>
      <c r="L607" s="174"/>
      <c r="M607" s="174"/>
      <c r="N607" s="174"/>
      <c r="O607" s="174"/>
      <c r="P607" s="174"/>
      <c r="Q607" s="174"/>
      <c r="R607" s="174"/>
      <c r="S607" s="174"/>
      <c r="T607" s="174"/>
      <c r="U607" s="174"/>
      <c r="V607" s="174"/>
      <c r="W607" s="174"/>
      <c r="X607" s="174"/>
      <c r="Y607" s="174"/>
      <c r="Z607" s="174"/>
      <c r="AA607" s="174"/>
    </row>
    <row r="608" customFormat="false" ht="15.75" hidden="false" customHeight="false" outlineLevel="0" collapsed="false">
      <c r="A608" s="174" t="str">
        <f aca="false">IF(ISBLANK(B608),"",B608&amp;"|"&amp;C608)</f>
        <v/>
      </c>
      <c r="B608" s="174"/>
      <c r="C608" s="174"/>
      <c r="D608" s="174"/>
      <c r="E608" s="179"/>
      <c r="F608" s="174"/>
      <c r="G608" s="174"/>
      <c r="H608" s="174"/>
      <c r="I608" s="174"/>
      <c r="J608" s="174"/>
      <c r="K608" s="174"/>
      <c r="L608" s="174"/>
      <c r="M608" s="174"/>
      <c r="N608" s="174"/>
      <c r="O608" s="174"/>
      <c r="P608" s="174"/>
      <c r="Q608" s="174"/>
      <c r="R608" s="174"/>
      <c r="S608" s="174"/>
      <c r="T608" s="174"/>
      <c r="U608" s="174"/>
      <c r="V608" s="174"/>
      <c r="W608" s="174"/>
      <c r="X608" s="174"/>
      <c r="Y608" s="174"/>
      <c r="Z608" s="174"/>
      <c r="AA608" s="174"/>
    </row>
    <row r="609" customFormat="false" ht="15.75" hidden="false" customHeight="false" outlineLevel="0" collapsed="false">
      <c r="A609" s="174" t="str">
        <f aca="false">IF(ISBLANK(B609),"",B609&amp;"|"&amp;C609)</f>
        <v/>
      </c>
      <c r="B609" s="174"/>
      <c r="C609" s="174"/>
      <c r="D609" s="174"/>
      <c r="E609" s="179"/>
      <c r="F609" s="174"/>
      <c r="G609" s="174"/>
      <c r="H609" s="174"/>
      <c r="I609" s="174"/>
      <c r="J609" s="174"/>
      <c r="K609" s="174"/>
      <c r="L609" s="174"/>
      <c r="M609" s="174"/>
      <c r="N609" s="174"/>
      <c r="O609" s="174"/>
      <c r="P609" s="174"/>
      <c r="Q609" s="174"/>
      <c r="R609" s="174"/>
      <c r="S609" s="174"/>
      <c r="T609" s="174"/>
      <c r="U609" s="174"/>
      <c r="V609" s="174"/>
      <c r="W609" s="174"/>
      <c r="X609" s="174"/>
      <c r="Y609" s="174"/>
      <c r="Z609" s="174"/>
      <c r="AA609" s="174"/>
    </row>
    <row r="610" customFormat="false" ht="15.75" hidden="false" customHeight="false" outlineLevel="0" collapsed="false">
      <c r="A610" s="174" t="str">
        <f aca="false">IF(ISBLANK(B610),"",B610&amp;"|"&amp;C610)</f>
        <v/>
      </c>
      <c r="B610" s="174"/>
      <c r="C610" s="174"/>
      <c r="D610" s="174"/>
      <c r="E610" s="179"/>
      <c r="F610" s="174"/>
      <c r="G610" s="174"/>
      <c r="H610" s="174"/>
      <c r="I610" s="174"/>
      <c r="J610" s="174"/>
      <c r="K610" s="174"/>
      <c r="L610" s="174"/>
      <c r="M610" s="174"/>
      <c r="N610" s="174"/>
      <c r="O610" s="174"/>
      <c r="P610" s="174"/>
      <c r="Q610" s="174"/>
      <c r="R610" s="174"/>
      <c r="S610" s="174"/>
      <c r="T610" s="174"/>
      <c r="U610" s="174"/>
      <c r="V610" s="174"/>
      <c r="W610" s="174"/>
      <c r="X610" s="174"/>
      <c r="Y610" s="174"/>
      <c r="Z610" s="174"/>
      <c r="AA610" s="174"/>
    </row>
    <row r="611" customFormat="false" ht="15.75" hidden="false" customHeight="false" outlineLevel="0" collapsed="false">
      <c r="A611" s="174" t="str">
        <f aca="false">IF(ISBLANK(B611),"",B611&amp;"|"&amp;C611)</f>
        <v/>
      </c>
      <c r="B611" s="174"/>
      <c r="C611" s="174"/>
      <c r="D611" s="174"/>
      <c r="E611" s="179"/>
      <c r="F611" s="174"/>
      <c r="G611" s="174"/>
      <c r="H611" s="174"/>
      <c r="I611" s="174"/>
      <c r="J611" s="174"/>
      <c r="K611" s="174"/>
      <c r="L611" s="174"/>
      <c r="M611" s="174"/>
      <c r="N611" s="174"/>
      <c r="O611" s="174"/>
      <c r="P611" s="174"/>
      <c r="Q611" s="174"/>
      <c r="R611" s="174"/>
      <c r="S611" s="174"/>
      <c r="T611" s="174"/>
      <c r="U611" s="174"/>
      <c r="V611" s="174"/>
      <c r="W611" s="174"/>
      <c r="X611" s="174"/>
      <c r="Y611" s="174"/>
      <c r="Z611" s="174"/>
      <c r="AA611" s="174"/>
    </row>
    <row r="612" customFormat="false" ht="15.75" hidden="false" customHeight="false" outlineLevel="0" collapsed="false">
      <c r="A612" s="174" t="str">
        <f aca="false">IF(ISBLANK(B612),"",B612&amp;"|"&amp;C612)</f>
        <v/>
      </c>
      <c r="B612" s="174"/>
      <c r="C612" s="174"/>
      <c r="D612" s="174"/>
      <c r="E612" s="179"/>
      <c r="F612" s="174"/>
      <c r="G612" s="174"/>
      <c r="H612" s="174"/>
      <c r="I612" s="174"/>
      <c r="J612" s="174"/>
      <c r="K612" s="174"/>
      <c r="L612" s="174"/>
      <c r="M612" s="174"/>
      <c r="N612" s="174"/>
      <c r="O612" s="174"/>
      <c r="P612" s="174"/>
      <c r="Q612" s="174"/>
      <c r="R612" s="174"/>
      <c r="S612" s="174"/>
      <c r="T612" s="174"/>
      <c r="U612" s="174"/>
      <c r="V612" s="174"/>
      <c r="W612" s="174"/>
      <c r="X612" s="174"/>
      <c r="Y612" s="174"/>
      <c r="Z612" s="174"/>
      <c r="AA612" s="174"/>
    </row>
    <row r="613" customFormat="false" ht="15.75" hidden="false" customHeight="false" outlineLevel="0" collapsed="false">
      <c r="A613" s="174" t="str">
        <f aca="false">IF(ISBLANK(B613),"",B613&amp;"|"&amp;C613)</f>
        <v/>
      </c>
      <c r="B613" s="174"/>
      <c r="C613" s="174"/>
      <c r="D613" s="174"/>
      <c r="E613" s="179"/>
      <c r="F613" s="174"/>
      <c r="G613" s="174"/>
      <c r="H613" s="174"/>
      <c r="I613" s="174"/>
      <c r="J613" s="174"/>
      <c r="K613" s="174"/>
      <c r="L613" s="174"/>
      <c r="M613" s="174"/>
      <c r="N613" s="174"/>
      <c r="O613" s="174"/>
      <c r="P613" s="174"/>
      <c r="Q613" s="174"/>
      <c r="R613" s="174"/>
      <c r="S613" s="174"/>
      <c r="T613" s="174"/>
      <c r="U613" s="174"/>
      <c r="V613" s="174"/>
      <c r="W613" s="174"/>
      <c r="X613" s="174"/>
      <c r="Y613" s="174"/>
      <c r="Z613" s="174"/>
      <c r="AA613" s="174"/>
    </row>
    <row r="614" customFormat="false" ht="15.75" hidden="false" customHeight="false" outlineLevel="0" collapsed="false">
      <c r="A614" s="174" t="str">
        <f aca="false">IF(ISBLANK(B614),"",B614&amp;"|"&amp;C614)</f>
        <v/>
      </c>
      <c r="B614" s="174"/>
      <c r="C614" s="174"/>
      <c r="D614" s="174"/>
      <c r="E614" s="179"/>
      <c r="F614" s="174"/>
      <c r="G614" s="174"/>
      <c r="H614" s="174"/>
      <c r="I614" s="174"/>
      <c r="J614" s="174"/>
      <c r="K614" s="174"/>
      <c r="L614" s="174"/>
      <c r="M614" s="174"/>
      <c r="N614" s="174"/>
      <c r="O614" s="174"/>
      <c r="P614" s="174"/>
      <c r="Q614" s="174"/>
      <c r="R614" s="174"/>
      <c r="S614" s="174"/>
      <c r="T614" s="174"/>
      <c r="U614" s="174"/>
      <c r="V614" s="174"/>
      <c r="W614" s="174"/>
      <c r="X614" s="174"/>
      <c r="Y614" s="174"/>
      <c r="Z614" s="174"/>
      <c r="AA614" s="174"/>
    </row>
    <row r="615" customFormat="false" ht="15.75" hidden="false" customHeight="false" outlineLevel="0" collapsed="false">
      <c r="A615" s="174" t="str">
        <f aca="false">IF(ISBLANK(B615),"",B615&amp;"|"&amp;C615)</f>
        <v/>
      </c>
      <c r="B615" s="174"/>
      <c r="C615" s="174"/>
      <c r="D615" s="174"/>
      <c r="E615" s="179"/>
      <c r="F615" s="174"/>
      <c r="G615" s="174"/>
      <c r="H615" s="174"/>
      <c r="I615" s="174"/>
      <c r="J615" s="174"/>
      <c r="K615" s="174"/>
      <c r="L615" s="174"/>
      <c r="M615" s="174"/>
      <c r="N615" s="174"/>
      <c r="O615" s="174"/>
      <c r="P615" s="174"/>
      <c r="Q615" s="174"/>
      <c r="R615" s="174"/>
      <c r="S615" s="174"/>
      <c r="T615" s="174"/>
      <c r="U615" s="174"/>
      <c r="V615" s="174"/>
      <c r="W615" s="174"/>
      <c r="X615" s="174"/>
      <c r="Y615" s="174"/>
      <c r="Z615" s="174"/>
      <c r="AA615" s="174"/>
    </row>
    <row r="616" customFormat="false" ht="15.75" hidden="false" customHeight="false" outlineLevel="0" collapsed="false">
      <c r="A616" s="174" t="str">
        <f aca="false">IF(ISBLANK(B616),"",B616&amp;"|"&amp;C616)</f>
        <v/>
      </c>
      <c r="B616" s="174"/>
      <c r="C616" s="174"/>
      <c r="D616" s="174"/>
      <c r="E616" s="179"/>
      <c r="F616" s="174"/>
      <c r="G616" s="174"/>
      <c r="H616" s="174"/>
      <c r="I616" s="174"/>
      <c r="J616" s="174"/>
      <c r="K616" s="174"/>
      <c r="L616" s="174"/>
      <c r="M616" s="174"/>
      <c r="N616" s="174"/>
      <c r="O616" s="174"/>
      <c r="P616" s="174"/>
      <c r="Q616" s="174"/>
      <c r="R616" s="174"/>
      <c r="S616" s="174"/>
      <c r="T616" s="174"/>
      <c r="U616" s="174"/>
      <c r="V616" s="174"/>
      <c r="W616" s="174"/>
      <c r="X616" s="174"/>
      <c r="Y616" s="174"/>
      <c r="Z616" s="174"/>
      <c r="AA616" s="174"/>
    </row>
    <row r="617" customFormat="false" ht="15.75" hidden="false" customHeight="false" outlineLevel="0" collapsed="false">
      <c r="A617" s="174" t="str">
        <f aca="false">IF(ISBLANK(B617),"",B617&amp;"|"&amp;C617)</f>
        <v/>
      </c>
      <c r="B617" s="174"/>
      <c r="C617" s="174"/>
      <c r="D617" s="174"/>
      <c r="E617" s="179"/>
      <c r="F617" s="174"/>
      <c r="G617" s="174"/>
      <c r="H617" s="174"/>
      <c r="I617" s="174"/>
      <c r="J617" s="174"/>
      <c r="K617" s="174"/>
      <c r="L617" s="174"/>
      <c r="M617" s="174"/>
      <c r="N617" s="174"/>
      <c r="O617" s="174"/>
      <c r="P617" s="174"/>
      <c r="Q617" s="174"/>
      <c r="R617" s="174"/>
      <c r="S617" s="174"/>
      <c r="T617" s="174"/>
      <c r="U617" s="174"/>
      <c r="V617" s="174"/>
      <c r="W617" s="174"/>
      <c r="X617" s="174"/>
      <c r="Y617" s="174"/>
      <c r="Z617" s="174"/>
      <c r="AA617" s="174"/>
    </row>
    <row r="618" customFormat="false" ht="15.75" hidden="false" customHeight="false" outlineLevel="0" collapsed="false">
      <c r="A618" s="174" t="str">
        <f aca="false">IF(ISBLANK(B618),"",B618&amp;"|"&amp;C618)</f>
        <v/>
      </c>
      <c r="B618" s="174"/>
      <c r="C618" s="174"/>
      <c r="D618" s="174"/>
      <c r="E618" s="179"/>
      <c r="F618" s="174"/>
      <c r="G618" s="174"/>
      <c r="H618" s="174"/>
      <c r="I618" s="174"/>
      <c r="J618" s="174"/>
      <c r="K618" s="174"/>
      <c r="L618" s="174"/>
      <c r="M618" s="174"/>
      <c r="N618" s="174"/>
      <c r="O618" s="174"/>
      <c r="P618" s="174"/>
      <c r="Q618" s="174"/>
      <c r="R618" s="174"/>
      <c r="S618" s="174"/>
      <c r="T618" s="174"/>
      <c r="U618" s="174"/>
      <c r="V618" s="174"/>
      <c r="W618" s="174"/>
      <c r="X618" s="174"/>
      <c r="Y618" s="174"/>
      <c r="Z618" s="174"/>
      <c r="AA618" s="174"/>
    </row>
    <row r="619" customFormat="false" ht="15.75" hidden="false" customHeight="false" outlineLevel="0" collapsed="false">
      <c r="A619" s="174" t="str">
        <f aca="false">IF(ISBLANK(B619),"",B619&amp;"|"&amp;C619)</f>
        <v/>
      </c>
      <c r="B619" s="174"/>
      <c r="C619" s="174"/>
      <c r="D619" s="174"/>
      <c r="E619" s="179"/>
      <c r="F619" s="174"/>
      <c r="G619" s="174"/>
      <c r="H619" s="174"/>
      <c r="I619" s="174"/>
      <c r="J619" s="174"/>
      <c r="K619" s="174"/>
      <c r="L619" s="174"/>
      <c r="M619" s="174"/>
      <c r="N619" s="174"/>
      <c r="O619" s="174"/>
      <c r="P619" s="174"/>
      <c r="Q619" s="174"/>
      <c r="R619" s="174"/>
      <c r="S619" s="174"/>
      <c r="T619" s="174"/>
      <c r="U619" s="174"/>
      <c r="V619" s="174"/>
      <c r="W619" s="174"/>
      <c r="X619" s="174"/>
      <c r="Y619" s="174"/>
      <c r="Z619" s="174"/>
      <c r="AA619" s="174"/>
    </row>
    <row r="620" customFormat="false" ht="15.75" hidden="false" customHeight="false" outlineLevel="0" collapsed="false">
      <c r="A620" s="174" t="str">
        <f aca="false">IF(ISBLANK(B620),"",B620&amp;"|"&amp;C620)</f>
        <v/>
      </c>
      <c r="B620" s="174"/>
      <c r="C620" s="174"/>
      <c r="D620" s="174"/>
      <c r="E620" s="179"/>
      <c r="F620" s="174"/>
      <c r="G620" s="174"/>
      <c r="H620" s="174"/>
      <c r="I620" s="174"/>
      <c r="J620" s="174"/>
      <c r="K620" s="174"/>
      <c r="L620" s="174"/>
      <c r="M620" s="174"/>
      <c r="N620" s="174"/>
      <c r="O620" s="174"/>
      <c r="P620" s="174"/>
      <c r="Q620" s="174"/>
      <c r="R620" s="174"/>
      <c r="S620" s="174"/>
      <c r="T620" s="174"/>
      <c r="U620" s="174"/>
      <c r="V620" s="174"/>
      <c r="W620" s="174"/>
      <c r="X620" s="174"/>
      <c r="Y620" s="174"/>
      <c r="Z620" s="174"/>
      <c r="AA620" s="174"/>
    </row>
    <row r="621" customFormat="false" ht="15.75" hidden="false" customHeight="false" outlineLevel="0" collapsed="false">
      <c r="A621" s="174" t="str">
        <f aca="false">IF(ISBLANK(B621),"",B621&amp;"|"&amp;C621)</f>
        <v/>
      </c>
      <c r="B621" s="174"/>
      <c r="C621" s="174"/>
      <c r="D621" s="174"/>
      <c r="E621" s="179"/>
      <c r="F621" s="174"/>
      <c r="G621" s="174"/>
      <c r="H621" s="174"/>
      <c r="I621" s="174"/>
      <c r="J621" s="174"/>
      <c r="K621" s="174"/>
      <c r="L621" s="174"/>
      <c r="M621" s="174"/>
      <c r="N621" s="174"/>
      <c r="O621" s="174"/>
      <c r="P621" s="174"/>
      <c r="Q621" s="174"/>
      <c r="R621" s="174"/>
      <c r="S621" s="174"/>
      <c r="T621" s="174"/>
      <c r="U621" s="174"/>
      <c r="V621" s="174"/>
      <c r="W621" s="174"/>
      <c r="X621" s="174"/>
      <c r="Y621" s="174"/>
      <c r="Z621" s="174"/>
      <c r="AA621" s="174"/>
    </row>
    <row r="622" customFormat="false" ht="15.75" hidden="false" customHeight="false" outlineLevel="0" collapsed="false">
      <c r="A622" s="174" t="str">
        <f aca="false">IF(ISBLANK(B622),"",B622&amp;"|"&amp;C622)</f>
        <v/>
      </c>
      <c r="B622" s="174"/>
      <c r="C622" s="174"/>
      <c r="D622" s="174"/>
      <c r="E622" s="179"/>
      <c r="F622" s="174"/>
      <c r="G622" s="174"/>
      <c r="H622" s="174"/>
      <c r="I622" s="174"/>
      <c r="J622" s="174"/>
      <c r="K622" s="174"/>
      <c r="L622" s="174"/>
      <c r="M622" s="174"/>
      <c r="N622" s="174"/>
      <c r="O622" s="174"/>
      <c r="P622" s="174"/>
      <c r="Q622" s="174"/>
      <c r="R622" s="174"/>
      <c r="S622" s="174"/>
      <c r="T622" s="174"/>
      <c r="U622" s="174"/>
      <c r="V622" s="174"/>
      <c r="W622" s="174"/>
      <c r="X622" s="174"/>
      <c r="Y622" s="174"/>
      <c r="Z622" s="174"/>
      <c r="AA622" s="174"/>
    </row>
    <row r="623" customFormat="false" ht="15.75" hidden="false" customHeight="false" outlineLevel="0" collapsed="false">
      <c r="A623" s="174" t="str">
        <f aca="false">IF(ISBLANK(B623),"",B623&amp;"|"&amp;C623)</f>
        <v/>
      </c>
      <c r="B623" s="174"/>
      <c r="C623" s="174"/>
      <c r="D623" s="174"/>
      <c r="E623" s="179"/>
      <c r="F623" s="174"/>
      <c r="G623" s="174"/>
      <c r="H623" s="174"/>
      <c r="I623" s="174"/>
      <c r="J623" s="174"/>
      <c r="K623" s="174"/>
      <c r="L623" s="174"/>
      <c r="M623" s="174"/>
      <c r="N623" s="174"/>
      <c r="O623" s="174"/>
      <c r="P623" s="174"/>
      <c r="Q623" s="174"/>
      <c r="R623" s="174"/>
      <c r="S623" s="174"/>
      <c r="T623" s="174"/>
      <c r="U623" s="174"/>
      <c r="V623" s="174"/>
      <c r="W623" s="174"/>
      <c r="X623" s="174"/>
      <c r="Y623" s="174"/>
      <c r="Z623" s="174"/>
      <c r="AA623" s="174"/>
    </row>
    <row r="624" customFormat="false" ht="15.75" hidden="false" customHeight="false" outlineLevel="0" collapsed="false">
      <c r="A624" s="174" t="str">
        <f aca="false">IF(ISBLANK(B624),"",B624&amp;"|"&amp;C624)</f>
        <v/>
      </c>
      <c r="B624" s="174"/>
      <c r="C624" s="174"/>
      <c r="D624" s="174"/>
      <c r="E624" s="179"/>
      <c r="F624" s="174"/>
      <c r="G624" s="174"/>
      <c r="H624" s="174"/>
      <c r="I624" s="174"/>
      <c r="J624" s="174"/>
      <c r="K624" s="174"/>
      <c r="L624" s="174"/>
      <c r="M624" s="174"/>
      <c r="N624" s="174"/>
      <c r="O624" s="174"/>
      <c r="P624" s="174"/>
      <c r="Q624" s="174"/>
      <c r="R624" s="174"/>
      <c r="S624" s="174"/>
      <c r="T624" s="174"/>
      <c r="U624" s="174"/>
      <c r="V624" s="174"/>
      <c r="W624" s="174"/>
      <c r="X624" s="174"/>
      <c r="Y624" s="174"/>
      <c r="Z624" s="174"/>
      <c r="AA624" s="174"/>
    </row>
    <row r="625" customFormat="false" ht="15.75" hidden="false" customHeight="false" outlineLevel="0" collapsed="false">
      <c r="A625" s="174" t="str">
        <f aca="false">IF(ISBLANK(B625),"",B625&amp;"|"&amp;C625)</f>
        <v/>
      </c>
      <c r="B625" s="174"/>
      <c r="C625" s="174"/>
      <c r="D625" s="174"/>
      <c r="E625" s="179"/>
      <c r="F625" s="174"/>
      <c r="G625" s="174"/>
      <c r="H625" s="174"/>
      <c r="I625" s="174"/>
      <c r="J625" s="174"/>
      <c r="K625" s="174"/>
      <c r="L625" s="174"/>
      <c r="M625" s="174"/>
      <c r="N625" s="174"/>
      <c r="O625" s="174"/>
      <c r="P625" s="174"/>
      <c r="Q625" s="174"/>
      <c r="R625" s="174"/>
      <c r="S625" s="174"/>
      <c r="T625" s="174"/>
      <c r="U625" s="174"/>
      <c r="V625" s="174"/>
      <c r="W625" s="174"/>
      <c r="X625" s="174"/>
      <c r="Y625" s="174"/>
      <c r="Z625" s="174"/>
      <c r="AA625" s="174"/>
    </row>
    <row r="626" customFormat="false" ht="15.75" hidden="false" customHeight="false" outlineLevel="0" collapsed="false">
      <c r="A626" s="174" t="str">
        <f aca="false">IF(ISBLANK(B626),"",B626&amp;"|"&amp;C626)</f>
        <v/>
      </c>
      <c r="B626" s="174"/>
      <c r="C626" s="174"/>
      <c r="D626" s="174"/>
      <c r="E626" s="179"/>
      <c r="F626" s="174"/>
      <c r="G626" s="174"/>
      <c r="H626" s="174"/>
      <c r="I626" s="174"/>
      <c r="J626" s="174"/>
      <c r="K626" s="174"/>
      <c r="L626" s="174"/>
      <c r="M626" s="174"/>
      <c r="N626" s="174"/>
      <c r="O626" s="174"/>
      <c r="P626" s="174"/>
      <c r="Q626" s="174"/>
      <c r="R626" s="174"/>
      <c r="S626" s="174"/>
      <c r="T626" s="174"/>
      <c r="U626" s="174"/>
      <c r="V626" s="174"/>
      <c r="W626" s="174"/>
      <c r="X626" s="174"/>
      <c r="Y626" s="174"/>
      <c r="Z626" s="174"/>
      <c r="AA626" s="174"/>
    </row>
    <row r="627" customFormat="false" ht="15.75" hidden="false" customHeight="false" outlineLevel="0" collapsed="false">
      <c r="A627" s="174" t="str">
        <f aca="false">IF(ISBLANK(B627),"",B627&amp;"|"&amp;C627)</f>
        <v/>
      </c>
      <c r="B627" s="174"/>
      <c r="C627" s="174"/>
      <c r="D627" s="174"/>
      <c r="E627" s="179"/>
      <c r="F627" s="174"/>
      <c r="G627" s="174"/>
      <c r="H627" s="174"/>
      <c r="I627" s="174"/>
      <c r="J627" s="174"/>
      <c r="K627" s="174"/>
      <c r="L627" s="174"/>
      <c r="M627" s="174"/>
      <c r="N627" s="174"/>
      <c r="O627" s="174"/>
      <c r="P627" s="174"/>
      <c r="Q627" s="174"/>
      <c r="R627" s="174"/>
      <c r="S627" s="174"/>
      <c r="T627" s="174"/>
      <c r="U627" s="174"/>
      <c r="V627" s="174"/>
      <c r="W627" s="174"/>
      <c r="X627" s="174"/>
      <c r="Y627" s="174"/>
      <c r="Z627" s="174"/>
      <c r="AA627" s="174"/>
    </row>
    <row r="628" customFormat="false" ht="15.75" hidden="false" customHeight="false" outlineLevel="0" collapsed="false">
      <c r="A628" s="174" t="str">
        <f aca="false">IF(ISBLANK(B628),"",B628&amp;"|"&amp;C628)</f>
        <v/>
      </c>
      <c r="B628" s="174"/>
      <c r="C628" s="174"/>
      <c r="D628" s="174"/>
      <c r="E628" s="179"/>
      <c r="F628" s="174"/>
      <c r="G628" s="174"/>
      <c r="H628" s="174"/>
      <c r="I628" s="174"/>
      <c r="J628" s="174"/>
      <c r="K628" s="174"/>
      <c r="L628" s="174"/>
      <c r="M628" s="174"/>
      <c r="N628" s="174"/>
      <c r="O628" s="174"/>
      <c r="P628" s="174"/>
      <c r="Q628" s="174"/>
      <c r="R628" s="174"/>
      <c r="S628" s="174"/>
      <c r="T628" s="174"/>
      <c r="U628" s="174"/>
      <c r="V628" s="174"/>
      <c r="W628" s="174"/>
      <c r="X628" s="174"/>
      <c r="Y628" s="174"/>
      <c r="Z628" s="174"/>
      <c r="AA628" s="174"/>
    </row>
    <row r="629" customFormat="false" ht="15.75" hidden="false" customHeight="false" outlineLevel="0" collapsed="false">
      <c r="A629" s="174" t="str">
        <f aca="false">IF(ISBLANK(B629),"",B629&amp;"|"&amp;C629)</f>
        <v/>
      </c>
      <c r="B629" s="174"/>
      <c r="C629" s="174"/>
      <c r="D629" s="174"/>
      <c r="E629" s="179"/>
      <c r="F629" s="174"/>
      <c r="G629" s="174"/>
      <c r="H629" s="174"/>
      <c r="I629" s="174"/>
      <c r="J629" s="174"/>
      <c r="K629" s="174"/>
      <c r="L629" s="174"/>
      <c r="M629" s="174"/>
      <c r="N629" s="174"/>
      <c r="O629" s="174"/>
      <c r="P629" s="174"/>
      <c r="Q629" s="174"/>
      <c r="R629" s="174"/>
      <c r="S629" s="174"/>
      <c r="T629" s="174"/>
      <c r="U629" s="174"/>
      <c r="V629" s="174"/>
      <c r="W629" s="174"/>
      <c r="X629" s="174"/>
      <c r="Y629" s="174"/>
      <c r="Z629" s="174"/>
      <c r="AA629" s="174"/>
    </row>
    <row r="630" customFormat="false" ht="15.75" hidden="false" customHeight="false" outlineLevel="0" collapsed="false">
      <c r="A630" s="174" t="str">
        <f aca="false">IF(ISBLANK(B630),"",B630&amp;"|"&amp;C630)</f>
        <v/>
      </c>
      <c r="B630" s="174"/>
      <c r="C630" s="174"/>
      <c r="D630" s="174"/>
      <c r="E630" s="179"/>
      <c r="F630" s="174"/>
      <c r="G630" s="174"/>
      <c r="H630" s="174"/>
      <c r="I630" s="174"/>
      <c r="J630" s="174"/>
      <c r="K630" s="174"/>
      <c r="L630" s="174"/>
      <c r="M630" s="174"/>
      <c r="N630" s="174"/>
      <c r="O630" s="174"/>
      <c r="P630" s="174"/>
      <c r="Q630" s="174"/>
      <c r="R630" s="174"/>
      <c r="S630" s="174"/>
      <c r="T630" s="174"/>
      <c r="U630" s="174"/>
      <c r="V630" s="174"/>
      <c r="W630" s="174"/>
      <c r="X630" s="174"/>
      <c r="Y630" s="174"/>
      <c r="Z630" s="174"/>
      <c r="AA630" s="174"/>
    </row>
    <row r="631" customFormat="false" ht="15.75" hidden="false" customHeight="false" outlineLevel="0" collapsed="false">
      <c r="A631" s="174" t="str">
        <f aca="false">IF(ISBLANK(B631),"",B631&amp;"|"&amp;C631)</f>
        <v/>
      </c>
      <c r="B631" s="174"/>
      <c r="C631" s="174"/>
      <c r="D631" s="174"/>
      <c r="E631" s="179"/>
      <c r="F631" s="174"/>
      <c r="G631" s="174"/>
      <c r="H631" s="174"/>
      <c r="I631" s="174"/>
      <c r="J631" s="174"/>
      <c r="K631" s="174"/>
      <c r="L631" s="174"/>
      <c r="M631" s="174"/>
      <c r="N631" s="174"/>
      <c r="O631" s="174"/>
      <c r="P631" s="174"/>
      <c r="Q631" s="174"/>
      <c r="R631" s="174"/>
      <c r="S631" s="174"/>
      <c r="T631" s="174"/>
      <c r="U631" s="174"/>
      <c r="V631" s="174"/>
      <c r="W631" s="174"/>
      <c r="X631" s="174"/>
      <c r="Y631" s="174"/>
      <c r="Z631" s="174"/>
      <c r="AA631" s="174"/>
    </row>
    <row r="632" customFormat="false" ht="15.75" hidden="false" customHeight="false" outlineLevel="0" collapsed="false">
      <c r="A632" s="174" t="str">
        <f aca="false">IF(ISBLANK(B632),"",B632&amp;"|"&amp;C632)</f>
        <v/>
      </c>
      <c r="B632" s="174"/>
      <c r="C632" s="174"/>
      <c r="D632" s="174"/>
      <c r="E632" s="179"/>
      <c r="F632" s="174"/>
      <c r="G632" s="174"/>
      <c r="H632" s="174"/>
      <c r="I632" s="174"/>
      <c r="J632" s="174"/>
      <c r="K632" s="174"/>
      <c r="L632" s="174"/>
      <c r="M632" s="174"/>
      <c r="N632" s="174"/>
      <c r="O632" s="174"/>
      <c r="P632" s="174"/>
      <c r="Q632" s="174"/>
      <c r="R632" s="174"/>
      <c r="S632" s="174"/>
      <c r="T632" s="174"/>
      <c r="U632" s="174"/>
      <c r="V632" s="174"/>
      <c r="W632" s="174"/>
      <c r="X632" s="174"/>
      <c r="Y632" s="174"/>
      <c r="Z632" s="174"/>
      <c r="AA632" s="174"/>
    </row>
    <row r="633" customFormat="false" ht="15.75" hidden="false" customHeight="false" outlineLevel="0" collapsed="false">
      <c r="A633" s="174" t="str">
        <f aca="false">IF(ISBLANK(B633),"",B633&amp;"|"&amp;C633)</f>
        <v/>
      </c>
      <c r="B633" s="174"/>
      <c r="C633" s="174"/>
      <c r="D633" s="174"/>
      <c r="E633" s="179"/>
      <c r="F633" s="174"/>
      <c r="G633" s="174"/>
      <c r="H633" s="174"/>
      <c r="I633" s="174"/>
      <c r="J633" s="174"/>
      <c r="K633" s="174"/>
      <c r="L633" s="174"/>
      <c r="M633" s="174"/>
      <c r="N633" s="174"/>
      <c r="O633" s="174"/>
      <c r="P633" s="174"/>
      <c r="Q633" s="174"/>
      <c r="R633" s="174"/>
      <c r="S633" s="174"/>
      <c r="T633" s="174"/>
      <c r="U633" s="174"/>
      <c r="V633" s="174"/>
      <c r="W633" s="174"/>
      <c r="X633" s="174"/>
      <c r="Y633" s="174"/>
      <c r="Z633" s="174"/>
      <c r="AA633" s="174"/>
    </row>
    <row r="634" customFormat="false" ht="15.75" hidden="false" customHeight="false" outlineLevel="0" collapsed="false">
      <c r="A634" s="174" t="str">
        <f aca="false">IF(ISBLANK(B634),"",B634&amp;"|"&amp;C634)</f>
        <v/>
      </c>
      <c r="B634" s="174"/>
      <c r="C634" s="174"/>
      <c r="D634" s="174"/>
      <c r="E634" s="179"/>
      <c r="F634" s="174"/>
      <c r="G634" s="174"/>
      <c r="H634" s="174"/>
      <c r="I634" s="174"/>
      <c r="J634" s="174"/>
      <c r="K634" s="174"/>
      <c r="L634" s="174"/>
      <c r="M634" s="174"/>
      <c r="N634" s="174"/>
      <c r="O634" s="174"/>
      <c r="P634" s="174"/>
      <c r="Q634" s="174"/>
      <c r="R634" s="174"/>
      <c r="S634" s="174"/>
      <c r="T634" s="174"/>
      <c r="U634" s="174"/>
      <c r="V634" s="174"/>
      <c r="W634" s="174"/>
      <c r="X634" s="174"/>
      <c r="Y634" s="174"/>
      <c r="Z634" s="174"/>
      <c r="AA634" s="174"/>
    </row>
    <row r="635" customFormat="false" ht="15.75" hidden="false" customHeight="false" outlineLevel="0" collapsed="false">
      <c r="A635" s="174" t="str">
        <f aca="false">IF(ISBLANK(B635),"",B635&amp;"|"&amp;C635)</f>
        <v/>
      </c>
      <c r="B635" s="174"/>
      <c r="C635" s="174"/>
      <c r="D635" s="174"/>
      <c r="E635" s="179"/>
      <c r="F635" s="174"/>
      <c r="G635" s="174"/>
      <c r="H635" s="174"/>
      <c r="I635" s="174"/>
      <c r="J635" s="174"/>
      <c r="K635" s="174"/>
      <c r="L635" s="174"/>
      <c r="M635" s="174"/>
      <c r="N635" s="174"/>
      <c r="O635" s="174"/>
      <c r="P635" s="174"/>
      <c r="Q635" s="174"/>
      <c r="R635" s="174"/>
      <c r="S635" s="174"/>
      <c r="T635" s="174"/>
      <c r="U635" s="174"/>
      <c r="V635" s="174"/>
      <c r="W635" s="174"/>
      <c r="X635" s="174"/>
      <c r="Y635" s="174"/>
      <c r="Z635" s="174"/>
      <c r="AA635" s="174"/>
    </row>
    <row r="636" customFormat="false" ht="15.75" hidden="false" customHeight="false" outlineLevel="0" collapsed="false">
      <c r="A636" s="174" t="str">
        <f aca="false">IF(ISBLANK(B636),"",B636&amp;"|"&amp;C636)</f>
        <v/>
      </c>
      <c r="B636" s="174"/>
      <c r="C636" s="174"/>
      <c r="D636" s="174"/>
      <c r="E636" s="179"/>
      <c r="F636" s="174"/>
      <c r="G636" s="174"/>
      <c r="H636" s="174"/>
      <c r="I636" s="174"/>
      <c r="J636" s="174"/>
      <c r="K636" s="174"/>
      <c r="L636" s="174"/>
      <c r="M636" s="174"/>
      <c r="N636" s="174"/>
      <c r="O636" s="174"/>
      <c r="P636" s="174"/>
      <c r="Q636" s="174"/>
      <c r="R636" s="174"/>
      <c r="S636" s="174"/>
      <c r="T636" s="174"/>
      <c r="U636" s="174"/>
      <c r="V636" s="174"/>
      <c r="W636" s="174"/>
      <c r="X636" s="174"/>
      <c r="Y636" s="174"/>
      <c r="Z636" s="174"/>
      <c r="AA636" s="174"/>
    </row>
    <row r="637" customFormat="false" ht="15.75" hidden="false" customHeight="false" outlineLevel="0" collapsed="false">
      <c r="A637" s="174" t="str">
        <f aca="false">IF(ISBLANK(B637),"",B637&amp;"|"&amp;C637)</f>
        <v/>
      </c>
      <c r="B637" s="174"/>
      <c r="C637" s="174"/>
      <c r="D637" s="174"/>
      <c r="E637" s="179"/>
      <c r="F637" s="174"/>
      <c r="G637" s="174"/>
      <c r="H637" s="174"/>
      <c r="I637" s="174"/>
      <c r="J637" s="174"/>
      <c r="K637" s="174"/>
      <c r="L637" s="174"/>
      <c r="M637" s="174"/>
      <c r="N637" s="174"/>
      <c r="O637" s="174"/>
      <c r="P637" s="174"/>
      <c r="Q637" s="174"/>
      <c r="R637" s="174"/>
      <c r="S637" s="174"/>
      <c r="T637" s="174"/>
      <c r="U637" s="174"/>
      <c r="V637" s="174"/>
      <c r="W637" s="174"/>
      <c r="X637" s="174"/>
      <c r="Y637" s="174"/>
      <c r="Z637" s="174"/>
      <c r="AA637" s="174"/>
    </row>
    <row r="638" customFormat="false" ht="15.75" hidden="false" customHeight="false" outlineLevel="0" collapsed="false">
      <c r="A638" s="174" t="str">
        <f aca="false">IF(ISBLANK(B638),"",B638&amp;"|"&amp;C638)</f>
        <v/>
      </c>
      <c r="B638" s="174"/>
      <c r="C638" s="174"/>
      <c r="D638" s="174"/>
      <c r="E638" s="179"/>
      <c r="F638" s="174"/>
      <c r="G638" s="174"/>
      <c r="H638" s="174"/>
      <c r="I638" s="174"/>
      <c r="J638" s="174"/>
      <c r="K638" s="174"/>
      <c r="L638" s="174"/>
      <c r="M638" s="174"/>
      <c r="N638" s="174"/>
      <c r="O638" s="174"/>
      <c r="P638" s="174"/>
      <c r="Q638" s="174"/>
      <c r="R638" s="174"/>
      <c r="S638" s="174"/>
      <c r="T638" s="174"/>
      <c r="U638" s="174"/>
      <c r="V638" s="174"/>
      <c r="W638" s="174"/>
      <c r="X638" s="174"/>
      <c r="Y638" s="174"/>
      <c r="Z638" s="174"/>
      <c r="AA638" s="174"/>
    </row>
    <row r="639" customFormat="false" ht="15.75" hidden="false" customHeight="false" outlineLevel="0" collapsed="false">
      <c r="A639" s="174" t="str">
        <f aca="false">IF(ISBLANK(B639),"",B639&amp;"|"&amp;C639)</f>
        <v/>
      </c>
      <c r="B639" s="174"/>
      <c r="C639" s="174"/>
      <c r="D639" s="174"/>
      <c r="E639" s="179"/>
      <c r="F639" s="174"/>
      <c r="G639" s="174"/>
      <c r="H639" s="174"/>
      <c r="I639" s="174"/>
      <c r="J639" s="174"/>
      <c r="K639" s="174"/>
      <c r="L639" s="174"/>
      <c r="M639" s="174"/>
      <c r="N639" s="174"/>
      <c r="O639" s="174"/>
      <c r="P639" s="174"/>
      <c r="Q639" s="174"/>
      <c r="R639" s="174"/>
      <c r="S639" s="174"/>
      <c r="T639" s="174"/>
      <c r="U639" s="174"/>
      <c r="V639" s="174"/>
      <c r="W639" s="174"/>
      <c r="X639" s="174"/>
      <c r="Y639" s="174"/>
      <c r="Z639" s="174"/>
      <c r="AA639" s="174"/>
    </row>
    <row r="640" customFormat="false" ht="15.75" hidden="false" customHeight="false" outlineLevel="0" collapsed="false">
      <c r="A640" s="174" t="str">
        <f aca="false">IF(ISBLANK(B640),"",B640&amp;"|"&amp;C640)</f>
        <v/>
      </c>
      <c r="B640" s="174"/>
      <c r="C640" s="174"/>
      <c r="D640" s="174"/>
      <c r="E640" s="179"/>
      <c r="F640" s="174"/>
      <c r="G640" s="174"/>
      <c r="H640" s="174"/>
      <c r="I640" s="174"/>
      <c r="J640" s="174"/>
      <c r="K640" s="174"/>
      <c r="L640" s="174"/>
      <c r="M640" s="174"/>
      <c r="N640" s="174"/>
      <c r="O640" s="174"/>
      <c r="P640" s="174"/>
      <c r="Q640" s="174"/>
      <c r="R640" s="174"/>
      <c r="S640" s="174"/>
      <c r="T640" s="174"/>
      <c r="U640" s="174"/>
      <c r="V640" s="174"/>
      <c r="W640" s="174"/>
      <c r="X640" s="174"/>
      <c r="Y640" s="174"/>
      <c r="Z640" s="174"/>
      <c r="AA640" s="174"/>
    </row>
    <row r="641" customFormat="false" ht="15.75" hidden="false" customHeight="false" outlineLevel="0" collapsed="false">
      <c r="A641" s="174" t="str">
        <f aca="false">IF(ISBLANK(B641),"",B641&amp;"|"&amp;C641)</f>
        <v/>
      </c>
      <c r="B641" s="174"/>
      <c r="C641" s="174"/>
      <c r="D641" s="174"/>
      <c r="E641" s="179"/>
      <c r="F641" s="174"/>
      <c r="G641" s="174"/>
      <c r="H641" s="174"/>
      <c r="I641" s="174"/>
      <c r="J641" s="174"/>
      <c r="K641" s="174"/>
      <c r="L641" s="174"/>
      <c r="M641" s="174"/>
      <c r="N641" s="174"/>
      <c r="O641" s="174"/>
      <c r="P641" s="174"/>
      <c r="Q641" s="174"/>
      <c r="R641" s="174"/>
      <c r="S641" s="174"/>
      <c r="T641" s="174"/>
      <c r="U641" s="174"/>
      <c r="V641" s="174"/>
      <c r="W641" s="174"/>
      <c r="X641" s="174"/>
      <c r="Y641" s="174"/>
      <c r="Z641" s="174"/>
      <c r="AA641" s="174"/>
    </row>
    <row r="642" customFormat="false" ht="15.75" hidden="false" customHeight="false" outlineLevel="0" collapsed="false">
      <c r="A642" s="174" t="str">
        <f aca="false">IF(ISBLANK(B642),"",B642&amp;"|"&amp;C642)</f>
        <v/>
      </c>
      <c r="B642" s="174"/>
      <c r="C642" s="174"/>
      <c r="D642" s="174"/>
      <c r="E642" s="179"/>
      <c r="F642" s="174"/>
      <c r="G642" s="174"/>
      <c r="H642" s="174"/>
      <c r="I642" s="174"/>
      <c r="J642" s="174"/>
      <c r="K642" s="174"/>
      <c r="L642" s="174"/>
      <c r="M642" s="174"/>
      <c r="N642" s="174"/>
      <c r="O642" s="174"/>
      <c r="P642" s="174"/>
      <c r="Q642" s="174"/>
      <c r="R642" s="174"/>
      <c r="S642" s="174"/>
      <c r="T642" s="174"/>
      <c r="U642" s="174"/>
      <c r="V642" s="174"/>
      <c r="W642" s="174"/>
      <c r="X642" s="174"/>
      <c r="Y642" s="174"/>
      <c r="Z642" s="174"/>
      <c r="AA642" s="174"/>
    </row>
    <row r="643" customFormat="false" ht="15.75" hidden="false" customHeight="false" outlineLevel="0" collapsed="false">
      <c r="A643" s="174" t="str">
        <f aca="false">IF(ISBLANK(B643),"",B643&amp;"|"&amp;C643)</f>
        <v/>
      </c>
      <c r="B643" s="174"/>
      <c r="C643" s="174"/>
      <c r="D643" s="174"/>
      <c r="E643" s="179"/>
      <c r="F643" s="174"/>
      <c r="G643" s="174"/>
      <c r="H643" s="174"/>
      <c r="I643" s="174"/>
      <c r="J643" s="174"/>
      <c r="K643" s="174"/>
      <c r="L643" s="174"/>
      <c r="M643" s="174"/>
      <c r="N643" s="174"/>
      <c r="O643" s="174"/>
      <c r="P643" s="174"/>
      <c r="Q643" s="174"/>
      <c r="R643" s="174"/>
      <c r="S643" s="174"/>
      <c r="T643" s="174"/>
      <c r="U643" s="174"/>
      <c r="V643" s="174"/>
      <c r="W643" s="174"/>
      <c r="X643" s="174"/>
      <c r="Y643" s="174"/>
      <c r="Z643" s="174"/>
      <c r="AA643" s="174"/>
    </row>
    <row r="644" customFormat="false" ht="15.75" hidden="false" customHeight="false" outlineLevel="0" collapsed="false">
      <c r="A644" s="174" t="str">
        <f aca="false">IF(ISBLANK(B644),"",B644&amp;"|"&amp;C644)</f>
        <v/>
      </c>
      <c r="B644" s="174"/>
      <c r="C644" s="174"/>
      <c r="D644" s="174"/>
      <c r="E644" s="179"/>
      <c r="F644" s="174"/>
      <c r="G644" s="174"/>
      <c r="H644" s="174"/>
      <c r="I644" s="174"/>
      <c r="J644" s="174"/>
      <c r="K644" s="174"/>
      <c r="L644" s="174"/>
      <c r="M644" s="174"/>
      <c r="N644" s="174"/>
      <c r="O644" s="174"/>
      <c r="P644" s="174"/>
      <c r="Q644" s="174"/>
      <c r="R644" s="174"/>
      <c r="S644" s="174"/>
      <c r="T644" s="174"/>
      <c r="U644" s="174"/>
      <c r="V644" s="174"/>
      <c r="W644" s="174"/>
      <c r="X644" s="174"/>
      <c r="Y644" s="174"/>
      <c r="Z644" s="174"/>
      <c r="AA644" s="174"/>
    </row>
    <row r="645" customFormat="false" ht="15.75" hidden="false" customHeight="false" outlineLevel="0" collapsed="false">
      <c r="A645" s="174" t="str">
        <f aca="false">IF(ISBLANK(B645),"",B645&amp;"|"&amp;C645)</f>
        <v/>
      </c>
      <c r="B645" s="174"/>
      <c r="C645" s="174"/>
      <c r="D645" s="174"/>
      <c r="E645" s="179"/>
      <c r="F645" s="174"/>
      <c r="G645" s="174"/>
      <c r="H645" s="174"/>
      <c r="I645" s="174"/>
      <c r="J645" s="174"/>
      <c r="K645" s="174"/>
      <c r="L645" s="174"/>
      <c r="M645" s="174"/>
      <c r="N645" s="174"/>
      <c r="O645" s="174"/>
      <c r="P645" s="174"/>
      <c r="Q645" s="174"/>
      <c r="R645" s="174"/>
      <c r="S645" s="174"/>
      <c r="T645" s="174"/>
      <c r="U645" s="174"/>
      <c r="V645" s="174"/>
      <c r="W645" s="174"/>
      <c r="X645" s="174"/>
      <c r="Y645" s="174"/>
      <c r="Z645" s="174"/>
      <c r="AA645" s="174"/>
    </row>
    <row r="646" customFormat="false" ht="15.75" hidden="false" customHeight="false" outlineLevel="0" collapsed="false">
      <c r="A646" s="174" t="str">
        <f aca="false">IF(ISBLANK(B646),"",B646&amp;"|"&amp;C646)</f>
        <v/>
      </c>
      <c r="B646" s="174"/>
      <c r="C646" s="174"/>
      <c r="D646" s="174"/>
      <c r="E646" s="179"/>
      <c r="F646" s="174"/>
      <c r="G646" s="174"/>
      <c r="H646" s="174"/>
      <c r="I646" s="174"/>
      <c r="J646" s="174"/>
      <c r="K646" s="174"/>
      <c r="L646" s="174"/>
      <c r="M646" s="174"/>
      <c r="N646" s="174"/>
      <c r="O646" s="174"/>
      <c r="P646" s="174"/>
      <c r="Q646" s="174"/>
      <c r="R646" s="174"/>
      <c r="S646" s="174"/>
      <c r="T646" s="174"/>
      <c r="U646" s="174"/>
      <c r="V646" s="174"/>
      <c r="W646" s="174"/>
      <c r="X646" s="174"/>
      <c r="Y646" s="174"/>
      <c r="Z646" s="174"/>
      <c r="AA646" s="174"/>
    </row>
    <row r="647" customFormat="false" ht="15.75" hidden="false" customHeight="false" outlineLevel="0" collapsed="false">
      <c r="A647" s="174" t="str">
        <f aca="false">IF(ISBLANK(B647),"",B647&amp;"|"&amp;C647)</f>
        <v/>
      </c>
      <c r="B647" s="174"/>
      <c r="C647" s="174"/>
      <c r="D647" s="174"/>
      <c r="E647" s="179"/>
      <c r="F647" s="174"/>
      <c r="G647" s="174"/>
      <c r="H647" s="174"/>
      <c r="I647" s="174"/>
      <c r="J647" s="174"/>
      <c r="K647" s="174"/>
      <c r="L647" s="174"/>
      <c r="M647" s="174"/>
      <c r="N647" s="174"/>
      <c r="O647" s="174"/>
      <c r="P647" s="174"/>
      <c r="Q647" s="174"/>
      <c r="R647" s="174"/>
      <c r="S647" s="174"/>
      <c r="T647" s="174"/>
      <c r="U647" s="174"/>
      <c r="V647" s="174"/>
      <c r="W647" s="174"/>
      <c r="X647" s="174"/>
      <c r="Y647" s="174"/>
      <c r="Z647" s="174"/>
      <c r="AA647" s="174"/>
    </row>
    <row r="648" customFormat="false" ht="15.75" hidden="false" customHeight="false" outlineLevel="0" collapsed="false">
      <c r="A648" s="174" t="str">
        <f aca="false">IF(ISBLANK(B648),"",B648&amp;"|"&amp;C648)</f>
        <v/>
      </c>
      <c r="B648" s="174"/>
      <c r="C648" s="174"/>
      <c r="D648" s="174"/>
      <c r="E648" s="179"/>
      <c r="F648" s="174"/>
      <c r="G648" s="174"/>
      <c r="H648" s="174"/>
      <c r="I648" s="174"/>
      <c r="J648" s="174"/>
      <c r="K648" s="174"/>
      <c r="L648" s="174"/>
      <c r="M648" s="174"/>
      <c r="N648" s="174"/>
      <c r="O648" s="174"/>
      <c r="P648" s="174"/>
      <c r="Q648" s="174"/>
      <c r="R648" s="174"/>
      <c r="S648" s="174"/>
      <c r="T648" s="174"/>
      <c r="U648" s="174"/>
      <c r="V648" s="174"/>
      <c r="W648" s="174"/>
      <c r="X648" s="174"/>
      <c r="Y648" s="174"/>
      <c r="Z648" s="174"/>
      <c r="AA648" s="174"/>
    </row>
    <row r="649" customFormat="false" ht="15.75" hidden="false" customHeight="false" outlineLevel="0" collapsed="false">
      <c r="A649" s="174" t="str">
        <f aca="false">IF(ISBLANK(B649),"",B649&amp;"|"&amp;C649)</f>
        <v/>
      </c>
      <c r="B649" s="174"/>
      <c r="C649" s="174"/>
      <c r="D649" s="174"/>
      <c r="E649" s="179"/>
      <c r="F649" s="174"/>
      <c r="G649" s="174"/>
      <c r="H649" s="174"/>
      <c r="I649" s="174"/>
      <c r="J649" s="174"/>
      <c r="K649" s="174"/>
      <c r="L649" s="174"/>
      <c r="M649" s="174"/>
      <c r="N649" s="174"/>
      <c r="O649" s="174"/>
      <c r="P649" s="174"/>
      <c r="Q649" s="174"/>
      <c r="R649" s="174"/>
      <c r="S649" s="174"/>
      <c r="T649" s="174"/>
      <c r="U649" s="174"/>
      <c r="V649" s="174"/>
      <c r="W649" s="174"/>
      <c r="X649" s="174"/>
      <c r="Y649" s="174"/>
      <c r="Z649" s="174"/>
      <c r="AA649" s="174"/>
    </row>
    <row r="650" customFormat="false" ht="15.75" hidden="false" customHeight="false" outlineLevel="0" collapsed="false">
      <c r="A650" s="174" t="str">
        <f aca="false">IF(ISBLANK(B650),"",B650&amp;"|"&amp;C650)</f>
        <v/>
      </c>
      <c r="B650" s="174"/>
      <c r="C650" s="174"/>
      <c r="D650" s="174"/>
      <c r="E650" s="179"/>
      <c r="F650" s="174"/>
      <c r="G650" s="174"/>
      <c r="H650" s="174"/>
      <c r="I650" s="174"/>
      <c r="J650" s="174"/>
      <c r="K650" s="174"/>
      <c r="L650" s="174"/>
      <c r="M650" s="174"/>
      <c r="N650" s="174"/>
      <c r="O650" s="174"/>
      <c r="P650" s="174"/>
      <c r="Q650" s="174"/>
      <c r="R650" s="174"/>
      <c r="S650" s="174"/>
      <c r="T650" s="174"/>
      <c r="U650" s="174"/>
      <c r="V650" s="174"/>
      <c r="W650" s="174"/>
      <c r="X650" s="174"/>
      <c r="Y650" s="174"/>
      <c r="Z650" s="174"/>
      <c r="AA650" s="174"/>
    </row>
    <row r="651" customFormat="false" ht="15.75" hidden="false" customHeight="false" outlineLevel="0" collapsed="false">
      <c r="A651" s="174" t="str">
        <f aca="false">IF(ISBLANK(B651),"",B651&amp;"|"&amp;C651)</f>
        <v/>
      </c>
      <c r="B651" s="174"/>
      <c r="C651" s="174"/>
      <c r="D651" s="174"/>
      <c r="E651" s="179"/>
      <c r="F651" s="174"/>
      <c r="G651" s="174"/>
      <c r="H651" s="174"/>
      <c r="I651" s="174"/>
      <c r="J651" s="174"/>
      <c r="K651" s="174"/>
      <c r="L651" s="174"/>
      <c r="M651" s="174"/>
      <c r="N651" s="174"/>
      <c r="O651" s="174"/>
      <c r="P651" s="174"/>
      <c r="Q651" s="174"/>
      <c r="R651" s="174"/>
      <c r="S651" s="174"/>
      <c r="T651" s="174"/>
      <c r="U651" s="174"/>
      <c r="V651" s="174"/>
      <c r="W651" s="174"/>
      <c r="X651" s="174"/>
      <c r="Y651" s="174"/>
      <c r="Z651" s="174"/>
      <c r="AA651" s="174"/>
    </row>
    <row r="652" customFormat="false" ht="15.75" hidden="false" customHeight="false" outlineLevel="0" collapsed="false">
      <c r="A652" s="174" t="str">
        <f aca="false">IF(ISBLANK(B652),"",B652&amp;"|"&amp;C652)</f>
        <v/>
      </c>
      <c r="B652" s="174"/>
      <c r="C652" s="174"/>
      <c r="D652" s="174"/>
      <c r="E652" s="179"/>
      <c r="F652" s="174"/>
      <c r="G652" s="174"/>
      <c r="H652" s="174"/>
      <c r="I652" s="174"/>
      <c r="J652" s="174"/>
      <c r="K652" s="174"/>
      <c r="L652" s="174"/>
      <c r="M652" s="174"/>
      <c r="N652" s="174"/>
      <c r="O652" s="174"/>
      <c r="P652" s="174"/>
      <c r="Q652" s="174"/>
      <c r="R652" s="174"/>
      <c r="S652" s="174"/>
      <c r="T652" s="174"/>
      <c r="U652" s="174"/>
      <c r="V652" s="174"/>
      <c r="W652" s="174"/>
      <c r="X652" s="174"/>
      <c r="Y652" s="174"/>
      <c r="Z652" s="174"/>
      <c r="AA652" s="174"/>
    </row>
    <row r="653" customFormat="false" ht="15.75" hidden="false" customHeight="false" outlineLevel="0" collapsed="false">
      <c r="A653" s="174" t="str">
        <f aca="false">IF(ISBLANK(B653),"",B653&amp;"|"&amp;C653)</f>
        <v/>
      </c>
      <c r="B653" s="174"/>
      <c r="C653" s="174"/>
      <c r="D653" s="174"/>
      <c r="E653" s="179"/>
      <c r="F653" s="174"/>
      <c r="G653" s="174"/>
      <c r="H653" s="174"/>
      <c r="I653" s="174"/>
      <c r="J653" s="174"/>
      <c r="K653" s="174"/>
      <c r="L653" s="174"/>
      <c r="M653" s="174"/>
      <c r="N653" s="174"/>
      <c r="O653" s="174"/>
      <c r="P653" s="174"/>
      <c r="Q653" s="174"/>
      <c r="R653" s="174"/>
      <c r="S653" s="174"/>
      <c r="T653" s="174"/>
      <c r="U653" s="174"/>
      <c r="V653" s="174"/>
      <c r="W653" s="174"/>
      <c r="X653" s="174"/>
      <c r="Y653" s="174"/>
      <c r="Z653" s="174"/>
      <c r="AA653" s="174"/>
    </row>
    <row r="654" customFormat="false" ht="15.75" hidden="false" customHeight="false" outlineLevel="0" collapsed="false">
      <c r="A654" s="174" t="str">
        <f aca="false">IF(ISBLANK(B654),"",B654&amp;"|"&amp;C654)</f>
        <v/>
      </c>
      <c r="B654" s="174"/>
      <c r="C654" s="174"/>
      <c r="D654" s="174"/>
      <c r="E654" s="179"/>
      <c r="F654" s="174"/>
      <c r="G654" s="174"/>
      <c r="H654" s="174"/>
      <c r="I654" s="174"/>
      <c r="J654" s="174"/>
      <c r="K654" s="174"/>
      <c r="L654" s="174"/>
      <c r="M654" s="174"/>
      <c r="N654" s="174"/>
      <c r="O654" s="174"/>
      <c r="P654" s="174"/>
      <c r="Q654" s="174"/>
      <c r="R654" s="174"/>
      <c r="S654" s="174"/>
      <c r="T654" s="174"/>
      <c r="U654" s="174"/>
      <c r="V654" s="174"/>
      <c r="W654" s="174"/>
      <c r="X654" s="174"/>
      <c r="Y654" s="174"/>
      <c r="Z654" s="174"/>
      <c r="AA654" s="174"/>
    </row>
    <row r="655" customFormat="false" ht="15.75" hidden="false" customHeight="false" outlineLevel="0" collapsed="false">
      <c r="A655" s="174" t="str">
        <f aca="false">IF(ISBLANK(B655),"",B655&amp;"|"&amp;C655)</f>
        <v/>
      </c>
      <c r="B655" s="174"/>
      <c r="C655" s="174"/>
      <c r="D655" s="174"/>
      <c r="E655" s="179"/>
      <c r="F655" s="174"/>
      <c r="G655" s="174"/>
      <c r="H655" s="174"/>
      <c r="I655" s="174"/>
      <c r="J655" s="174"/>
      <c r="K655" s="174"/>
      <c r="L655" s="174"/>
      <c r="M655" s="174"/>
      <c r="N655" s="174"/>
      <c r="O655" s="174"/>
      <c r="P655" s="174"/>
      <c r="Q655" s="174"/>
      <c r="R655" s="174"/>
      <c r="S655" s="174"/>
      <c r="T655" s="174"/>
      <c r="U655" s="174"/>
      <c r="V655" s="174"/>
      <c r="W655" s="174"/>
      <c r="X655" s="174"/>
      <c r="Y655" s="174"/>
      <c r="Z655" s="174"/>
      <c r="AA655" s="174"/>
    </row>
    <row r="656" customFormat="false" ht="15.75" hidden="false" customHeight="false" outlineLevel="0" collapsed="false">
      <c r="A656" s="174" t="str">
        <f aca="false">IF(ISBLANK(B656),"",B656&amp;"|"&amp;C656)</f>
        <v/>
      </c>
      <c r="B656" s="174"/>
      <c r="C656" s="174"/>
      <c r="D656" s="174"/>
      <c r="E656" s="179"/>
      <c r="F656" s="174"/>
      <c r="G656" s="174"/>
      <c r="H656" s="174"/>
      <c r="I656" s="174"/>
      <c r="J656" s="174"/>
      <c r="K656" s="174"/>
      <c r="L656" s="174"/>
      <c r="M656" s="174"/>
      <c r="N656" s="174"/>
      <c r="O656" s="174"/>
      <c r="P656" s="174"/>
      <c r="Q656" s="174"/>
      <c r="R656" s="174"/>
      <c r="S656" s="174"/>
      <c r="T656" s="174"/>
      <c r="U656" s="174"/>
      <c r="V656" s="174"/>
      <c r="W656" s="174"/>
      <c r="X656" s="174"/>
      <c r="Y656" s="174"/>
      <c r="Z656" s="174"/>
      <c r="AA656" s="174"/>
    </row>
    <row r="657" customFormat="false" ht="15.75" hidden="false" customHeight="false" outlineLevel="0" collapsed="false">
      <c r="A657" s="174" t="str">
        <f aca="false">IF(ISBLANK(B657),"",B657&amp;"|"&amp;C657)</f>
        <v/>
      </c>
      <c r="B657" s="174"/>
      <c r="C657" s="174"/>
      <c r="D657" s="174"/>
      <c r="E657" s="179"/>
      <c r="F657" s="174"/>
      <c r="G657" s="174"/>
      <c r="H657" s="174"/>
      <c r="I657" s="174"/>
      <c r="J657" s="174"/>
      <c r="K657" s="174"/>
      <c r="L657" s="174"/>
      <c r="M657" s="174"/>
      <c r="N657" s="174"/>
      <c r="O657" s="174"/>
      <c r="P657" s="174"/>
      <c r="Q657" s="174"/>
      <c r="R657" s="174"/>
      <c r="S657" s="174"/>
      <c r="T657" s="174"/>
      <c r="U657" s="174"/>
      <c r="V657" s="174"/>
      <c r="W657" s="174"/>
      <c r="X657" s="174"/>
      <c r="Y657" s="174"/>
      <c r="Z657" s="174"/>
      <c r="AA657" s="174"/>
    </row>
    <row r="658" customFormat="false" ht="15.75" hidden="false" customHeight="false" outlineLevel="0" collapsed="false">
      <c r="A658" s="174" t="str">
        <f aca="false">IF(ISBLANK(B658),"",B658&amp;"|"&amp;C658)</f>
        <v/>
      </c>
      <c r="B658" s="174"/>
      <c r="C658" s="174"/>
      <c r="D658" s="174"/>
      <c r="E658" s="179"/>
      <c r="F658" s="174"/>
      <c r="G658" s="174"/>
      <c r="H658" s="174"/>
      <c r="I658" s="174"/>
      <c r="J658" s="174"/>
      <c r="K658" s="174"/>
      <c r="L658" s="174"/>
      <c r="M658" s="174"/>
      <c r="N658" s="174"/>
      <c r="O658" s="174"/>
      <c r="P658" s="174"/>
      <c r="Q658" s="174"/>
      <c r="R658" s="174"/>
      <c r="S658" s="174"/>
      <c r="T658" s="174"/>
      <c r="U658" s="174"/>
      <c r="V658" s="174"/>
      <c r="W658" s="174"/>
      <c r="X658" s="174"/>
      <c r="Y658" s="174"/>
      <c r="Z658" s="174"/>
      <c r="AA658" s="174"/>
    </row>
    <row r="659" customFormat="false" ht="15.75" hidden="false" customHeight="false" outlineLevel="0" collapsed="false">
      <c r="A659" s="174" t="str">
        <f aca="false">IF(ISBLANK(B659),"",B659&amp;"|"&amp;C659)</f>
        <v/>
      </c>
      <c r="B659" s="174"/>
      <c r="C659" s="174"/>
      <c r="D659" s="174"/>
      <c r="E659" s="179"/>
      <c r="F659" s="174"/>
      <c r="G659" s="174"/>
      <c r="H659" s="174"/>
      <c r="I659" s="174"/>
      <c r="J659" s="174"/>
      <c r="K659" s="174"/>
      <c r="L659" s="174"/>
      <c r="M659" s="174"/>
      <c r="N659" s="174"/>
      <c r="O659" s="174"/>
      <c r="P659" s="174"/>
      <c r="Q659" s="174"/>
      <c r="R659" s="174"/>
      <c r="S659" s="174"/>
      <c r="T659" s="174"/>
      <c r="U659" s="174"/>
      <c r="V659" s="174"/>
      <c r="W659" s="174"/>
      <c r="X659" s="174"/>
      <c r="Y659" s="174"/>
      <c r="Z659" s="174"/>
      <c r="AA659" s="174"/>
    </row>
    <row r="660" customFormat="false" ht="15.75" hidden="false" customHeight="false" outlineLevel="0" collapsed="false">
      <c r="A660" s="174" t="str">
        <f aca="false">IF(ISBLANK(B660),"",B660&amp;"|"&amp;C660)</f>
        <v/>
      </c>
      <c r="B660" s="174"/>
      <c r="C660" s="174"/>
      <c r="D660" s="174"/>
      <c r="E660" s="179"/>
      <c r="F660" s="174"/>
      <c r="G660" s="174"/>
      <c r="H660" s="174"/>
      <c r="I660" s="174"/>
      <c r="J660" s="174"/>
      <c r="K660" s="174"/>
      <c r="L660" s="174"/>
      <c r="M660" s="174"/>
      <c r="N660" s="174"/>
      <c r="O660" s="174"/>
      <c r="P660" s="174"/>
      <c r="Q660" s="174"/>
      <c r="R660" s="174"/>
      <c r="S660" s="174"/>
      <c r="T660" s="174"/>
      <c r="U660" s="174"/>
      <c r="V660" s="174"/>
      <c r="W660" s="174"/>
      <c r="X660" s="174"/>
      <c r="Y660" s="174"/>
      <c r="Z660" s="174"/>
      <c r="AA660" s="174"/>
    </row>
    <row r="661" customFormat="false" ht="15.75" hidden="false" customHeight="false" outlineLevel="0" collapsed="false">
      <c r="A661" s="174" t="str">
        <f aca="false">IF(ISBLANK(B661),"",B661&amp;"|"&amp;C661)</f>
        <v/>
      </c>
      <c r="B661" s="174"/>
      <c r="C661" s="174"/>
      <c r="D661" s="174"/>
      <c r="E661" s="179"/>
      <c r="F661" s="174"/>
      <c r="G661" s="174"/>
      <c r="H661" s="174"/>
      <c r="I661" s="174"/>
      <c r="J661" s="174"/>
      <c r="K661" s="174"/>
      <c r="L661" s="174"/>
      <c r="M661" s="174"/>
      <c r="N661" s="174"/>
      <c r="O661" s="174"/>
      <c r="P661" s="174"/>
      <c r="Q661" s="174"/>
      <c r="R661" s="174"/>
      <c r="S661" s="174"/>
      <c r="T661" s="174"/>
      <c r="U661" s="174"/>
      <c r="V661" s="174"/>
      <c r="W661" s="174"/>
      <c r="X661" s="174"/>
      <c r="Y661" s="174"/>
      <c r="Z661" s="174"/>
      <c r="AA661" s="174"/>
    </row>
    <row r="662" customFormat="false" ht="15.75" hidden="false" customHeight="false" outlineLevel="0" collapsed="false">
      <c r="A662" s="174" t="str">
        <f aca="false">IF(ISBLANK(B662),"",B662&amp;"|"&amp;C662)</f>
        <v/>
      </c>
      <c r="B662" s="174"/>
      <c r="C662" s="174"/>
      <c r="D662" s="174"/>
      <c r="E662" s="179"/>
      <c r="F662" s="174"/>
      <c r="G662" s="174"/>
      <c r="H662" s="174"/>
      <c r="I662" s="174"/>
      <c r="J662" s="174"/>
      <c r="K662" s="174"/>
      <c r="L662" s="174"/>
      <c r="M662" s="174"/>
      <c r="N662" s="174"/>
      <c r="O662" s="174"/>
      <c r="P662" s="174"/>
      <c r="Q662" s="174"/>
      <c r="R662" s="174"/>
      <c r="S662" s="174"/>
      <c r="T662" s="174"/>
      <c r="U662" s="174"/>
      <c r="V662" s="174"/>
      <c r="W662" s="174"/>
      <c r="X662" s="174"/>
      <c r="Y662" s="174"/>
      <c r="Z662" s="174"/>
      <c r="AA662" s="174"/>
    </row>
    <row r="663" customFormat="false" ht="15.75" hidden="false" customHeight="false" outlineLevel="0" collapsed="false">
      <c r="A663" s="174" t="str">
        <f aca="false">IF(ISBLANK(B663),"",B663&amp;"|"&amp;C663)</f>
        <v/>
      </c>
      <c r="B663" s="174"/>
      <c r="C663" s="174"/>
      <c r="D663" s="174"/>
      <c r="E663" s="179"/>
      <c r="F663" s="174"/>
      <c r="G663" s="174"/>
      <c r="H663" s="174"/>
      <c r="I663" s="174"/>
      <c r="J663" s="174"/>
      <c r="K663" s="174"/>
      <c r="L663" s="174"/>
      <c r="M663" s="174"/>
      <c r="N663" s="174"/>
      <c r="O663" s="174"/>
      <c r="P663" s="174"/>
      <c r="Q663" s="174"/>
      <c r="R663" s="174"/>
      <c r="S663" s="174"/>
      <c r="T663" s="174"/>
      <c r="U663" s="174"/>
      <c r="V663" s="174"/>
      <c r="W663" s="174"/>
      <c r="X663" s="174"/>
      <c r="Y663" s="174"/>
      <c r="Z663" s="174"/>
      <c r="AA663" s="174"/>
    </row>
    <row r="664" customFormat="false" ht="15.75" hidden="false" customHeight="false" outlineLevel="0" collapsed="false">
      <c r="A664" s="174" t="str">
        <f aca="false">IF(ISBLANK(B664),"",B664&amp;"|"&amp;C664)</f>
        <v/>
      </c>
      <c r="B664" s="174"/>
      <c r="C664" s="174"/>
      <c r="D664" s="174"/>
      <c r="E664" s="179"/>
      <c r="F664" s="174"/>
      <c r="G664" s="174"/>
      <c r="H664" s="174"/>
      <c r="I664" s="174"/>
      <c r="J664" s="174"/>
      <c r="K664" s="174"/>
      <c r="L664" s="174"/>
      <c r="M664" s="174"/>
      <c r="N664" s="174"/>
      <c r="O664" s="174"/>
      <c r="P664" s="174"/>
      <c r="Q664" s="174"/>
      <c r="R664" s="174"/>
      <c r="S664" s="174"/>
      <c r="T664" s="174"/>
      <c r="U664" s="174"/>
      <c r="V664" s="174"/>
      <c r="W664" s="174"/>
      <c r="X664" s="174"/>
      <c r="Y664" s="174"/>
      <c r="Z664" s="174"/>
      <c r="AA664" s="174"/>
    </row>
    <row r="665" customFormat="false" ht="15.75" hidden="false" customHeight="false" outlineLevel="0" collapsed="false">
      <c r="A665" s="174" t="str">
        <f aca="false">IF(ISBLANK(B665),"",B665&amp;"|"&amp;C665)</f>
        <v/>
      </c>
      <c r="B665" s="174"/>
      <c r="C665" s="174"/>
      <c r="D665" s="174"/>
      <c r="E665" s="179"/>
      <c r="F665" s="174"/>
      <c r="G665" s="174"/>
      <c r="H665" s="174"/>
      <c r="I665" s="174"/>
      <c r="J665" s="174"/>
      <c r="K665" s="174"/>
      <c r="L665" s="174"/>
      <c r="M665" s="174"/>
      <c r="N665" s="174"/>
      <c r="O665" s="174"/>
      <c r="P665" s="174"/>
      <c r="Q665" s="174"/>
      <c r="R665" s="174"/>
      <c r="S665" s="174"/>
      <c r="T665" s="174"/>
      <c r="U665" s="174"/>
      <c r="V665" s="174"/>
      <c r="W665" s="174"/>
      <c r="X665" s="174"/>
      <c r="Y665" s="174"/>
      <c r="Z665" s="174"/>
      <c r="AA665" s="174"/>
    </row>
    <row r="666" customFormat="false" ht="15.75" hidden="false" customHeight="false" outlineLevel="0" collapsed="false">
      <c r="A666" s="174" t="str">
        <f aca="false">IF(ISBLANK(B666),"",B666&amp;"|"&amp;C666)</f>
        <v/>
      </c>
      <c r="B666" s="174"/>
      <c r="C666" s="174"/>
      <c r="D666" s="174"/>
      <c r="E666" s="179"/>
      <c r="F666" s="174"/>
      <c r="G666" s="174"/>
      <c r="H666" s="174"/>
      <c r="I666" s="174"/>
      <c r="J666" s="174"/>
      <c r="K666" s="174"/>
      <c r="L666" s="174"/>
      <c r="M666" s="174"/>
      <c r="N666" s="174"/>
      <c r="O666" s="174"/>
      <c r="P666" s="174"/>
      <c r="Q666" s="174"/>
      <c r="R666" s="174"/>
      <c r="S666" s="174"/>
      <c r="T666" s="174"/>
      <c r="U666" s="174"/>
      <c r="V666" s="174"/>
      <c r="W666" s="174"/>
      <c r="X666" s="174"/>
      <c r="Y666" s="174"/>
      <c r="Z666" s="174"/>
      <c r="AA666" s="174"/>
    </row>
    <row r="667" customFormat="false" ht="15.75" hidden="false" customHeight="false" outlineLevel="0" collapsed="false">
      <c r="A667" s="174" t="str">
        <f aca="false">IF(ISBLANK(B667),"",B667&amp;"|"&amp;C667)</f>
        <v/>
      </c>
      <c r="B667" s="174"/>
      <c r="C667" s="174"/>
      <c r="D667" s="174"/>
      <c r="E667" s="179"/>
      <c r="F667" s="174"/>
      <c r="G667" s="174"/>
      <c r="H667" s="174"/>
      <c r="I667" s="174"/>
      <c r="J667" s="174"/>
      <c r="K667" s="174"/>
      <c r="L667" s="174"/>
      <c r="M667" s="174"/>
      <c r="N667" s="174"/>
      <c r="O667" s="174"/>
      <c r="P667" s="174"/>
      <c r="Q667" s="174"/>
      <c r="R667" s="174"/>
      <c r="S667" s="174"/>
      <c r="T667" s="174"/>
      <c r="U667" s="174"/>
      <c r="V667" s="174"/>
      <c r="W667" s="174"/>
      <c r="X667" s="174"/>
      <c r="Y667" s="174"/>
      <c r="Z667" s="174"/>
      <c r="AA667" s="174"/>
    </row>
    <row r="668" customFormat="false" ht="15.75" hidden="false" customHeight="false" outlineLevel="0" collapsed="false">
      <c r="A668" s="174" t="str">
        <f aca="false">IF(ISBLANK(B668),"",B668&amp;"|"&amp;C668)</f>
        <v/>
      </c>
      <c r="B668" s="174"/>
      <c r="C668" s="174"/>
      <c r="D668" s="174"/>
      <c r="E668" s="179"/>
      <c r="F668" s="174"/>
      <c r="G668" s="174"/>
      <c r="H668" s="174"/>
      <c r="I668" s="174"/>
      <c r="J668" s="174"/>
      <c r="K668" s="174"/>
      <c r="L668" s="174"/>
      <c r="M668" s="174"/>
      <c r="N668" s="174"/>
      <c r="O668" s="174"/>
      <c r="P668" s="174"/>
      <c r="Q668" s="174"/>
      <c r="R668" s="174"/>
      <c r="S668" s="174"/>
      <c r="T668" s="174"/>
      <c r="U668" s="174"/>
      <c r="V668" s="174"/>
      <c r="W668" s="174"/>
      <c r="X668" s="174"/>
      <c r="Y668" s="174"/>
      <c r="Z668" s="174"/>
      <c r="AA668" s="174"/>
    </row>
    <row r="669" customFormat="false" ht="15.75" hidden="false" customHeight="false" outlineLevel="0" collapsed="false">
      <c r="A669" s="174" t="str">
        <f aca="false">IF(ISBLANK(B669),"",B669&amp;"|"&amp;C669)</f>
        <v/>
      </c>
      <c r="B669" s="174"/>
      <c r="C669" s="174"/>
      <c r="D669" s="174"/>
      <c r="E669" s="179"/>
      <c r="F669" s="174"/>
      <c r="G669" s="174"/>
      <c r="H669" s="174"/>
      <c r="I669" s="174"/>
      <c r="J669" s="174"/>
      <c r="K669" s="174"/>
      <c r="L669" s="174"/>
      <c r="M669" s="174"/>
      <c r="N669" s="174"/>
      <c r="O669" s="174"/>
      <c r="P669" s="174"/>
      <c r="Q669" s="174"/>
      <c r="R669" s="174"/>
      <c r="S669" s="174"/>
      <c r="T669" s="174"/>
      <c r="U669" s="174"/>
      <c r="V669" s="174"/>
      <c r="W669" s="174"/>
      <c r="X669" s="174"/>
      <c r="Y669" s="174"/>
      <c r="Z669" s="174"/>
      <c r="AA669" s="174"/>
    </row>
    <row r="670" customFormat="false" ht="15.75" hidden="false" customHeight="false" outlineLevel="0" collapsed="false">
      <c r="A670" s="174" t="str">
        <f aca="false">IF(ISBLANK(B670),"",B670&amp;"|"&amp;C670)</f>
        <v/>
      </c>
      <c r="B670" s="174"/>
      <c r="C670" s="174"/>
      <c r="D670" s="174"/>
      <c r="E670" s="179"/>
      <c r="F670" s="174"/>
      <c r="G670" s="174"/>
      <c r="H670" s="174"/>
      <c r="I670" s="174"/>
      <c r="J670" s="174"/>
      <c r="K670" s="174"/>
      <c r="L670" s="174"/>
      <c r="M670" s="174"/>
      <c r="N670" s="174"/>
      <c r="O670" s="174"/>
      <c r="P670" s="174"/>
      <c r="Q670" s="174"/>
      <c r="R670" s="174"/>
      <c r="S670" s="174"/>
      <c r="T670" s="174"/>
      <c r="U670" s="174"/>
      <c r="V670" s="174"/>
      <c r="W670" s="174"/>
      <c r="X670" s="174"/>
      <c r="Y670" s="174"/>
      <c r="Z670" s="174"/>
      <c r="AA670" s="174"/>
    </row>
    <row r="671" customFormat="false" ht="15.75" hidden="false" customHeight="false" outlineLevel="0" collapsed="false">
      <c r="A671" s="174" t="str">
        <f aca="false">IF(ISBLANK(B671),"",B671&amp;"|"&amp;C671)</f>
        <v/>
      </c>
      <c r="B671" s="174"/>
      <c r="C671" s="174"/>
      <c r="D671" s="174"/>
      <c r="E671" s="179"/>
      <c r="F671" s="174"/>
      <c r="G671" s="174"/>
      <c r="H671" s="174"/>
      <c r="I671" s="174"/>
      <c r="J671" s="174"/>
      <c r="K671" s="174"/>
      <c r="L671" s="174"/>
      <c r="M671" s="174"/>
      <c r="N671" s="174"/>
      <c r="O671" s="174"/>
      <c r="P671" s="174"/>
      <c r="Q671" s="174"/>
      <c r="R671" s="174"/>
      <c r="S671" s="174"/>
      <c r="T671" s="174"/>
      <c r="U671" s="174"/>
      <c r="V671" s="174"/>
      <c r="W671" s="174"/>
      <c r="X671" s="174"/>
      <c r="Y671" s="174"/>
      <c r="Z671" s="174"/>
      <c r="AA671" s="174"/>
    </row>
    <row r="672" customFormat="false" ht="15.75" hidden="false" customHeight="false" outlineLevel="0" collapsed="false">
      <c r="A672" s="174" t="str">
        <f aca="false">IF(ISBLANK(B672),"",B672&amp;"|"&amp;C672)</f>
        <v/>
      </c>
      <c r="B672" s="174"/>
      <c r="C672" s="174"/>
      <c r="D672" s="174"/>
      <c r="E672" s="179"/>
      <c r="F672" s="174"/>
      <c r="G672" s="174"/>
      <c r="H672" s="174"/>
      <c r="I672" s="174"/>
      <c r="J672" s="174"/>
      <c r="K672" s="174"/>
      <c r="L672" s="174"/>
      <c r="M672" s="174"/>
      <c r="N672" s="174"/>
      <c r="O672" s="174"/>
      <c r="P672" s="174"/>
      <c r="Q672" s="174"/>
      <c r="R672" s="174"/>
      <c r="S672" s="174"/>
      <c r="T672" s="174"/>
      <c r="U672" s="174"/>
      <c r="V672" s="174"/>
      <c r="W672" s="174"/>
      <c r="X672" s="174"/>
      <c r="Y672" s="174"/>
      <c r="Z672" s="174"/>
      <c r="AA672" s="174"/>
    </row>
    <row r="673" customFormat="false" ht="15.75" hidden="false" customHeight="false" outlineLevel="0" collapsed="false">
      <c r="A673" s="174" t="str">
        <f aca="false">IF(ISBLANK(B673),"",B673&amp;"|"&amp;C673)</f>
        <v/>
      </c>
      <c r="B673" s="174"/>
      <c r="C673" s="174"/>
      <c r="D673" s="174"/>
      <c r="E673" s="179"/>
      <c r="F673" s="174"/>
      <c r="G673" s="174"/>
      <c r="H673" s="174"/>
      <c r="I673" s="174"/>
      <c r="J673" s="174"/>
      <c r="K673" s="174"/>
      <c r="L673" s="174"/>
      <c r="M673" s="174"/>
      <c r="N673" s="174"/>
      <c r="O673" s="174"/>
      <c r="P673" s="174"/>
      <c r="Q673" s="174"/>
      <c r="R673" s="174"/>
      <c r="S673" s="174"/>
      <c r="T673" s="174"/>
      <c r="U673" s="174"/>
      <c r="V673" s="174"/>
      <c r="W673" s="174"/>
      <c r="X673" s="174"/>
      <c r="Y673" s="174"/>
      <c r="Z673" s="174"/>
      <c r="AA673" s="174"/>
    </row>
    <row r="674" customFormat="false" ht="15.75" hidden="false" customHeight="false" outlineLevel="0" collapsed="false">
      <c r="A674" s="174" t="str">
        <f aca="false">IF(ISBLANK(B674),"",B674&amp;"|"&amp;C674)</f>
        <v/>
      </c>
      <c r="B674" s="174"/>
      <c r="C674" s="174"/>
      <c r="D674" s="174"/>
      <c r="E674" s="179"/>
      <c r="F674" s="174"/>
      <c r="G674" s="174"/>
      <c r="H674" s="174"/>
      <c r="I674" s="174"/>
      <c r="J674" s="174"/>
      <c r="K674" s="174"/>
      <c r="L674" s="174"/>
      <c r="M674" s="174"/>
      <c r="N674" s="174"/>
      <c r="O674" s="174"/>
      <c r="P674" s="174"/>
      <c r="Q674" s="174"/>
      <c r="R674" s="174"/>
      <c r="S674" s="174"/>
      <c r="T674" s="174"/>
      <c r="U674" s="174"/>
      <c r="V674" s="174"/>
      <c r="W674" s="174"/>
      <c r="X674" s="174"/>
      <c r="Y674" s="174"/>
      <c r="Z674" s="174"/>
      <c r="AA674" s="174"/>
    </row>
    <row r="675" customFormat="false" ht="15.75" hidden="false" customHeight="false" outlineLevel="0" collapsed="false">
      <c r="A675" s="174" t="str">
        <f aca="false">IF(ISBLANK(B675),"",B675&amp;"|"&amp;C675)</f>
        <v/>
      </c>
      <c r="B675" s="174"/>
      <c r="C675" s="174"/>
      <c r="D675" s="174"/>
      <c r="E675" s="179"/>
      <c r="F675" s="174"/>
      <c r="G675" s="174"/>
      <c r="H675" s="174"/>
      <c r="I675" s="174"/>
      <c r="J675" s="174"/>
      <c r="K675" s="174"/>
      <c r="L675" s="174"/>
      <c r="M675" s="174"/>
      <c r="N675" s="174"/>
      <c r="O675" s="174"/>
      <c r="P675" s="174"/>
      <c r="Q675" s="174"/>
      <c r="R675" s="174"/>
      <c r="S675" s="174"/>
      <c r="T675" s="174"/>
      <c r="U675" s="174"/>
      <c r="V675" s="174"/>
      <c r="W675" s="174"/>
      <c r="X675" s="174"/>
      <c r="Y675" s="174"/>
      <c r="Z675" s="174"/>
      <c r="AA675" s="174"/>
    </row>
    <row r="676" customFormat="false" ht="15.75" hidden="false" customHeight="false" outlineLevel="0" collapsed="false">
      <c r="A676" s="174" t="str">
        <f aca="false">IF(ISBLANK(B676),"",B676&amp;"|"&amp;C676)</f>
        <v/>
      </c>
      <c r="B676" s="174"/>
      <c r="C676" s="174"/>
      <c r="D676" s="174"/>
      <c r="E676" s="179"/>
      <c r="F676" s="174"/>
      <c r="G676" s="174"/>
      <c r="H676" s="174"/>
      <c r="I676" s="174"/>
      <c r="J676" s="174"/>
      <c r="K676" s="174"/>
      <c r="L676" s="174"/>
      <c r="M676" s="174"/>
      <c r="N676" s="174"/>
      <c r="O676" s="174"/>
      <c r="P676" s="174"/>
      <c r="Q676" s="174"/>
      <c r="R676" s="174"/>
      <c r="S676" s="174"/>
      <c r="T676" s="174"/>
      <c r="U676" s="174"/>
      <c r="V676" s="174"/>
      <c r="W676" s="174"/>
      <c r="X676" s="174"/>
      <c r="Y676" s="174"/>
      <c r="Z676" s="174"/>
      <c r="AA676" s="174"/>
    </row>
    <row r="677" customFormat="false" ht="15.75" hidden="false" customHeight="false" outlineLevel="0" collapsed="false">
      <c r="A677" s="174" t="str">
        <f aca="false">IF(ISBLANK(B677),"",B677&amp;"|"&amp;C677)</f>
        <v/>
      </c>
      <c r="B677" s="174"/>
      <c r="C677" s="174"/>
      <c r="D677" s="174"/>
      <c r="E677" s="179"/>
      <c r="F677" s="174"/>
      <c r="G677" s="174"/>
      <c r="H677" s="174"/>
      <c r="I677" s="174"/>
      <c r="J677" s="174"/>
      <c r="K677" s="174"/>
      <c r="L677" s="174"/>
      <c r="M677" s="174"/>
      <c r="N677" s="174"/>
      <c r="O677" s="174"/>
      <c r="P677" s="174"/>
      <c r="Q677" s="174"/>
      <c r="R677" s="174"/>
      <c r="S677" s="174"/>
      <c r="T677" s="174"/>
      <c r="U677" s="174"/>
      <c r="V677" s="174"/>
      <c r="W677" s="174"/>
      <c r="X677" s="174"/>
      <c r="Y677" s="174"/>
      <c r="Z677" s="174"/>
      <c r="AA677" s="174"/>
    </row>
    <row r="678" customFormat="false" ht="15.75" hidden="false" customHeight="false" outlineLevel="0" collapsed="false">
      <c r="A678" s="174" t="str">
        <f aca="false">IF(ISBLANK(B678),"",B678&amp;"|"&amp;C678)</f>
        <v/>
      </c>
      <c r="B678" s="174"/>
      <c r="C678" s="174"/>
      <c r="D678" s="174"/>
      <c r="E678" s="179"/>
      <c r="F678" s="174"/>
      <c r="G678" s="174"/>
      <c r="H678" s="174"/>
      <c r="I678" s="174"/>
      <c r="J678" s="174"/>
      <c r="K678" s="174"/>
      <c r="L678" s="174"/>
      <c r="M678" s="174"/>
      <c r="N678" s="174"/>
      <c r="O678" s="174"/>
      <c r="P678" s="174"/>
      <c r="Q678" s="174"/>
      <c r="R678" s="174"/>
      <c r="S678" s="174"/>
      <c r="T678" s="174"/>
      <c r="U678" s="174"/>
      <c r="V678" s="174"/>
      <c r="W678" s="174"/>
      <c r="X678" s="174"/>
      <c r="Y678" s="174"/>
      <c r="Z678" s="174"/>
      <c r="AA678" s="174"/>
    </row>
    <row r="679" customFormat="false" ht="15.75" hidden="false" customHeight="false" outlineLevel="0" collapsed="false">
      <c r="A679" s="174" t="str">
        <f aca="false">IF(ISBLANK(B679),"",B679&amp;"|"&amp;C679)</f>
        <v/>
      </c>
      <c r="B679" s="174"/>
      <c r="C679" s="174"/>
      <c r="D679" s="174"/>
      <c r="E679" s="179"/>
      <c r="F679" s="174"/>
      <c r="G679" s="174"/>
      <c r="H679" s="174"/>
      <c r="I679" s="174"/>
      <c r="J679" s="174"/>
      <c r="K679" s="174"/>
      <c r="L679" s="174"/>
      <c r="M679" s="174"/>
      <c r="N679" s="174"/>
      <c r="O679" s="174"/>
      <c r="P679" s="174"/>
      <c r="Q679" s="174"/>
      <c r="R679" s="174"/>
      <c r="S679" s="174"/>
      <c r="T679" s="174"/>
      <c r="U679" s="174"/>
      <c r="V679" s="174"/>
      <c r="W679" s="174"/>
      <c r="X679" s="174"/>
      <c r="Y679" s="174"/>
      <c r="Z679" s="174"/>
      <c r="AA679" s="174"/>
    </row>
    <row r="680" customFormat="false" ht="15.75" hidden="false" customHeight="false" outlineLevel="0" collapsed="false">
      <c r="A680" s="174" t="str">
        <f aca="false">IF(ISBLANK(B680),"",B680&amp;"|"&amp;C680)</f>
        <v/>
      </c>
      <c r="B680" s="174"/>
      <c r="C680" s="174"/>
      <c r="D680" s="174"/>
      <c r="E680" s="179"/>
      <c r="F680" s="174"/>
      <c r="G680" s="174"/>
      <c r="H680" s="174"/>
      <c r="I680" s="174"/>
      <c r="J680" s="174"/>
      <c r="K680" s="174"/>
      <c r="L680" s="174"/>
      <c r="M680" s="174"/>
      <c r="N680" s="174"/>
      <c r="O680" s="174"/>
      <c r="P680" s="174"/>
      <c r="Q680" s="174"/>
      <c r="R680" s="174"/>
      <c r="S680" s="174"/>
      <c r="T680" s="174"/>
      <c r="U680" s="174"/>
      <c r="V680" s="174"/>
      <c r="W680" s="174"/>
      <c r="X680" s="174"/>
      <c r="Y680" s="174"/>
      <c r="Z680" s="174"/>
      <c r="AA680" s="174"/>
    </row>
    <row r="681" customFormat="false" ht="15.75" hidden="false" customHeight="false" outlineLevel="0" collapsed="false">
      <c r="A681" s="174" t="str">
        <f aca="false">IF(ISBLANK(B681),"",B681&amp;"|"&amp;C681)</f>
        <v/>
      </c>
      <c r="B681" s="174"/>
      <c r="C681" s="174"/>
      <c r="D681" s="174"/>
      <c r="E681" s="179"/>
      <c r="F681" s="174"/>
      <c r="G681" s="174"/>
      <c r="H681" s="174"/>
      <c r="I681" s="174"/>
      <c r="J681" s="174"/>
      <c r="K681" s="174"/>
      <c r="L681" s="174"/>
      <c r="M681" s="174"/>
      <c r="N681" s="174"/>
      <c r="O681" s="174"/>
      <c r="P681" s="174"/>
      <c r="Q681" s="174"/>
      <c r="R681" s="174"/>
      <c r="S681" s="174"/>
      <c r="T681" s="174"/>
      <c r="U681" s="174"/>
      <c r="V681" s="174"/>
      <c r="W681" s="174"/>
      <c r="X681" s="174"/>
      <c r="Y681" s="174"/>
      <c r="Z681" s="174"/>
      <c r="AA681" s="174"/>
    </row>
    <row r="682" customFormat="false" ht="15.75" hidden="false" customHeight="false" outlineLevel="0" collapsed="false">
      <c r="A682" s="174" t="str">
        <f aca="false">IF(ISBLANK(B682),"",B682&amp;"|"&amp;C682)</f>
        <v/>
      </c>
      <c r="B682" s="174"/>
      <c r="C682" s="174"/>
      <c r="D682" s="174"/>
      <c r="E682" s="179"/>
      <c r="F682" s="174"/>
      <c r="G682" s="174"/>
      <c r="H682" s="174"/>
      <c r="I682" s="174"/>
      <c r="J682" s="174"/>
      <c r="K682" s="174"/>
      <c r="L682" s="174"/>
      <c r="M682" s="174"/>
      <c r="N682" s="174"/>
      <c r="O682" s="174"/>
      <c r="P682" s="174"/>
      <c r="Q682" s="174"/>
      <c r="R682" s="174"/>
      <c r="S682" s="174"/>
      <c r="T682" s="174"/>
      <c r="U682" s="174"/>
      <c r="V682" s="174"/>
      <c r="W682" s="174"/>
      <c r="X682" s="174"/>
      <c r="Y682" s="174"/>
      <c r="Z682" s="174"/>
      <c r="AA682" s="174"/>
    </row>
    <row r="683" customFormat="false" ht="15.75" hidden="false" customHeight="false" outlineLevel="0" collapsed="false">
      <c r="A683" s="174" t="str">
        <f aca="false">IF(ISBLANK(B683),"",B683&amp;"|"&amp;C683)</f>
        <v/>
      </c>
      <c r="B683" s="174"/>
      <c r="C683" s="174"/>
      <c r="D683" s="174"/>
      <c r="E683" s="179"/>
      <c r="F683" s="174"/>
      <c r="G683" s="174"/>
      <c r="H683" s="174"/>
      <c r="I683" s="174"/>
      <c r="J683" s="174"/>
      <c r="K683" s="174"/>
      <c r="L683" s="174"/>
      <c r="M683" s="174"/>
      <c r="N683" s="174"/>
      <c r="O683" s="174"/>
      <c r="P683" s="174"/>
      <c r="Q683" s="174"/>
      <c r="R683" s="174"/>
      <c r="S683" s="174"/>
      <c r="T683" s="174"/>
      <c r="U683" s="174"/>
      <c r="V683" s="174"/>
      <c r="W683" s="174"/>
      <c r="X683" s="174"/>
      <c r="Y683" s="174"/>
      <c r="Z683" s="174"/>
      <c r="AA683" s="174"/>
    </row>
    <row r="684" customFormat="false" ht="15.75" hidden="false" customHeight="false" outlineLevel="0" collapsed="false">
      <c r="A684" s="174" t="str">
        <f aca="false">IF(ISBLANK(B684),"",B684&amp;"|"&amp;C684)</f>
        <v/>
      </c>
      <c r="B684" s="174"/>
      <c r="C684" s="174"/>
      <c r="D684" s="174"/>
      <c r="E684" s="179"/>
      <c r="F684" s="174"/>
      <c r="G684" s="174"/>
      <c r="H684" s="174"/>
      <c r="I684" s="174"/>
      <c r="J684" s="174"/>
      <c r="K684" s="174"/>
      <c r="L684" s="174"/>
      <c r="M684" s="174"/>
      <c r="N684" s="174"/>
      <c r="O684" s="174"/>
      <c r="P684" s="174"/>
      <c r="Q684" s="174"/>
      <c r="R684" s="174"/>
      <c r="S684" s="174"/>
      <c r="T684" s="174"/>
      <c r="U684" s="174"/>
      <c r="V684" s="174"/>
      <c r="W684" s="174"/>
      <c r="X684" s="174"/>
      <c r="Y684" s="174"/>
      <c r="Z684" s="174"/>
      <c r="AA684" s="174"/>
    </row>
    <row r="685" customFormat="false" ht="15.75" hidden="false" customHeight="false" outlineLevel="0" collapsed="false">
      <c r="A685" s="174" t="str">
        <f aca="false">IF(ISBLANK(B685),"",B685&amp;"|"&amp;C685)</f>
        <v/>
      </c>
      <c r="B685" s="174"/>
      <c r="C685" s="174"/>
      <c r="D685" s="174"/>
      <c r="E685" s="179"/>
      <c r="F685" s="174"/>
      <c r="G685" s="174"/>
      <c r="H685" s="174"/>
      <c r="I685" s="174"/>
      <c r="J685" s="174"/>
      <c r="K685" s="174"/>
      <c r="L685" s="174"/>
      <c r="M685" s="174"/>
      <c r="N685" s="174"/>
      <c r="O685" s="174"/>
      <c r="P685" s="174"/>
      <c r="Q685" s="174"/>
      <c r="R685" s="174"/>
      <c r="S685" s="174"/>
      <c r="T685" s="174"/>
      <c r="U685" s="174"/>
      <c r="V685" s="174"/>
      <c r="W685" s="174"/>
      <c r="X685" s="174"/>
      <c r="Y685" s="174"/>
      <c r="Z685" s="174"/>
      <c r="AA685" s="174"/>
    </row>
    <row r="686" customFormat="false" ht="15.75" hidden="false" customHeight="false" outlineLevel="0" collapsed="false">
      <c r="A686" s="174" t="str">
        <f aca="false">IF(ISBLANK(B686),"",B686&amp;"|"&amp;C686)</f>
        <v/>
      </c>
      <c r="B686" s="174"/>
      <c r="C686" s="174"/>
      <c r="D686" s="174"/>
      <c r="E686" s="179"/>
      <c r="F686" s="174"/>
      <c r="G686" s="174"/>
      <c r="H686" s="174"/>
      <c r="I686" s="174"/>
      <c r="J686" s="174"/>
      <c r="K686" s="174"/>
      <c r="L686" s="174"/>
      <c r="M686" s="174"/>
      <c r="N686" s="174"/>
      <c r="O686" s="174"/>
      <c r="P686" s="174"/>
      <c r="Q686" s="174"/>
      <c r="R686" s="174"/>
      <c r="S686" s="174"/>
      <c r="T686" s="174"/>
      <c r="U686" s="174"/>
      <c r="V686" s="174"/>
      <c r="W686" s="174"/>
      <c r="X686" s="174"/>
      <c r="Y686" s="174"/>
      <c r="Z686" s="174"/>
      <c r="AA686" s="174"/>
    </row>
    <row r="687" customFormat="false" ht="15.75" hidden="false" customHeight="false" outlineLevel="0" collapsed="false">
      <c r="A687" s="174" t="str">
        <f aca="false">IF(ISBLANK(B687),"",B687&amp;"|"&amp;C687)</f>
        <v/>
      </c>
      <c r="B687" s="174"/>
      <c r="C687" s="174"/>
      <c r="D687" s="174"/>
      <c r="E687" s="179"/>
      <c r="F687" s="174"/>
      <c r="G687" s="174"/>
      <c r="H687" s="174"/>
      <c r="I687" s="174"/>
      <c r="J687" s="174"/>
      <c r="K687" s="174"/>
      <c r="L687" s="174"/>
      <c r="M687" s="174"/>
      <c r="N687" s="174"/>
      <c r="O687" s="174"/>
      <c r="P687" s="174"/>
      <c r="Q687" s="174"/>
      <c r="R687" s="174"/>
      <c r="S687" s="174"/>
      <c r="T687" s="174"/>
      <c r="U687" s="174"/>
      <c r="V687" s="174"/>
      <c r="W687" s="174"/>
      <c r="X687" s="174"/>
      <c r="Y687" s="174"/>
      <c r="Z687" s="174"/>
      <c r="AA687" s="174"/>
    </row>
    <row r="688" customFormat="false" ht="15.75" hidden="false" customHeight="false" outlineLevel="0" collapsed="false">
      <c r="A688" s="174" t="str">
        <f aca="false">IF(ISBLANK(B688),"",B688&amp;"|"&amp;C688)</f>
        <v/>
      </c>
      <c r="B688" s="174"/>
      <c r="C688" s="174"/>
      <c r="D688" s="174"/>
      <c r="E688" s="179"/>
      <c r="F688" s="174"/>
      <c r="G688" s="174"/>
      <c r="H688" s="174"/>
      <c r="I688" s="174"/>
      <c r="J688" s="174"/>
      <c r="K688" s="174"/>
      <c r="L688" s="174"/>
      <c r="M688" s="174"/>
      <c r="N688" s="174"/>
      <c r="O688" s="174"/>
      <c r="P688" s="174"/>
      <c r="Q688" s="174"/>
      <c r="R688" s="174"/>
      <c r="S688" s="174"/>
      <c r="T688" s="174"/>
      <c r="U688" s="174"/>
      <c r="V688" s="174"/>
      <c r="W688" s="174"/>
      <c r="X688" s="174"/>
      <c r="Y688" s="174"/>
      <c r="Z688" s="174"/>
      <c r="AA688" s="174"/>
    </row>
    <row r="689" customFormat="false" ht="15.75" hidden="false" customHeight="false" outlineLevel="0" collapsed="false">
      <c r="A689" s="174" t="str">
        <f aca="false">IF(ISBLANK(B689),"",B689&amp;"|"&amp;C689)</f>
        <v/>
      </c>
      <c r="B689" s="174"/>
      <c r="C689" s="174"/>
      <c r="D689" s="174"/>
      <c r="E689" s="179"/>
      <c r="F689" s="174"/>
      <c r="G689" s="174"/>
      <c r="H689" s="174"/>
      <c r="I689" s="174"/>
      <c r="J689" s="174"/>
      <c r="K689" s="174"/>
      <c r="L689" s="174"/>
      <c r="M689" s="174"/>
      <c r="N689" s="174"/>
      <c r="O689" s="174"/>
      <c r="P689" s="174"/>
      <c r="Q689" s="174"/>
      <c r="R689" s="174"/>
      <c r="S689" s="174"/>
      <c r="T689" s="174"/>
      <c r="U689" s="174"/>
      <c r="V689" s="174"/>
      <c r="W689" s="174"/>
      <c r="X689" s="174"/>
      <c r="Y689" s="174"/>
      <c r="Z689" s="174"/>
      <c r="AA689" s="174"/>
    </row>
    <row r="690" customFormat="false" ht="15.75" hidden="false" customHeight="false" outlineLevel="0" collapsed="false">
      <c r="A690" s="174" t="str">
        <f aca="false">IF(ISBLANK(B690),"",B690&amp;"|"&amp;C690)</f>
        <v/>
      </c>
      <c r="B690" s="174"/>
      <c r="C690" s="174"/>
      <c r="D690" s="174"/>
      <c r="E690" s="179"/>
      <c r="F690" s="174"/>
      <c r="G690" s="174"/>
      <c r="H690" s="174"/>
      <c r="I690" s="174"/>
      <c r="J690" s="174"/>
      <c r="K690" s="174"/>
      <c r="L690" s="174"/>
      <c r="M690" s="174"/>
      <c r="N690" s="174"/>
      <c r="O690" s="174"/>
      <c r="P690" s="174"/>
      <c r="Q690" s="174"/>
      <c r="R690" s="174"/>
      <c r="S690" s="174"/>
      <c r="T690" s="174"/>
      <c r="U690" s="174"/>
      <c r="V690" s="174"/>
      <c r="W690" s="174"/>
      <c r="X690" s="174"/>
      <c r="Y690" s="174"/>
      <c r="Z690" s="174"/>
      <c r="AA690" s="174"/>
    </row>
    <row r="691" customFormat="false" ht="15.75" hidden="false" customHeight="false" outlineLevel="0" collapsed="false">
      <c r="A691" s="174" t="str">
        <f aca="false">IF(ISBLANK(B691),"",B691&amp;"|"&amp;C691)</f>
        <v/>
      </c>
      <c r="B691" s="174"/>
      <c r="C691" s="174"/>
      <c r="D691" s="174"/>
      <c r="E691" s="179"/>
      <c r="F691" s="174"/>
      <c r="G691" s="174"/>
      <c r="H691" s="174"/>
      <c r="I691" s="174"/>
      <c r="J691" s="174"/>
      <c r="K691" s="174"/>
      <c r="L691" s="174"/>
      <c r="M691" s="174"/>
      <c r="N691" s="174"/>
      <c r="O691" s="174"/>
      <c r="P691" s="174"/>
      <c r="Q691" s="174"/>
      <c r="R691" s="174"/>
      <c r="S691" s="174"/>
      <c r="T691" s="174"/>
      <c r="U691" s="174"/>
      <c r="V691" s="174"/>
      <c r="W691" s="174"/>
      <c r="X691" s="174"/>
      <c r="Y691" s="174"/>
      <c r="Z691" s="174"/>
      <c r="AA691" s="174"/>
    </row>
    <row r="692" customFormat="false" ht="15.75" hidden="false" customHeight="false" outlineLevel="0" collapsed="false">
      <c r="A692" s="174" t="str">
        <f aca="false">IF(ISBLANK(B692),"",B692&amp;"|"&amp;C692)</f>
        <v/>
      </c>
      <c r="B692" s="174"/>
      <c r="C692" s="174"/>
      <c r="D692" s="174"/>
      <c r="E692" s="179"/>
      <c r="F692" s="174"/>
      <c r="G692" s="174"/>
      <c r="H692" s="174"/>
      <c r="I692" s="174"/>
      <c r="J692" s="174"/>
      <c r="K692" s="174"/>
      <c r="L692" s="174"/>
      <c r="M692" s="174"/>
      <c r="N692" s="174"/>
      <c r="O692" s="174"/>
      <c r="P692" s="174"/>
      <c r="Q692" s="174"/>
      <c r="R692" s="174"/>
      <c r="S692" s="174"/>
      <c r="T692" s="174"/>
      <c r="U692" s="174"/>
      <c r="V692" s="174"/>
      <c r="W692" s="174"/>
      <c r="X692" s="174"/>
      <c r="Y692" s="174"/>
      <c r="Z692" s="174"/>
      <c r="AA692" s="174"/>
    </row>
    <row r="693" customFormat="false" ht="15.75" hidden="false" customHeight="false" outlineLevel="0" collapsed="false">
      <c r="A693" s="174" t="str">
        <f aca="false">IF(ISBLANK(B693),"",B693&amp;"|"&amp;C693)</f>
        <v/>
      </c>
      <c r="B693" s="174"/>
      <c r="C693" s="174"/>
      <c r="D693" s="174"/>
      <c r="E693" s="179"/>
      <c r="F693" s="174"/>
      <c r="G693" s="174"/>
      <c r="H693" s="174"/>
      <c r="I693" s="174"/>
      <c r="J693" s="174"/>
      <c r="K693" s="174"/>
      <c r="L693" s="174"/>
      <c r="M693" s="174"/>
      <c r="N693" s="174"/>
      <c r="O693" s="174"/>
      <c r="P693" s="174"/>
      <c r="Q693" s="174"/>
      <c r="R693" s="174"/>
      <c r="S693" s="174"/>
      <c r="T693" s="174"/>
      <c r="U693" s="174"/>
      <c r="V693" s="174"/>
      <c r="W693" s="174"/>
      <c r="X693" s="174"/>
      <c r="Y693" s="174"/>
      <c r="Z693" s="174"/>
      <c r="AA693" s="174"/>
    </row>
    <row r="694" customFormat="false" ht="15.75" hidden="false" customHeight="false" outlineLevel="0" collapsed="false">
      <c r="A694" s="174" t="str">
        <f aca="false">IF(ISBLANK(B694),"",B694&amp;"|"&amp;C694)</f>
        <v/>
      </c>
      <c r="B694" s="174"/>
      <c r="C694" s="174"/>
      <c r="D694" s="174"/>
      <c r="E694" s="179"/>
      <c r="F694" s="174"/>
      <c r="G694" s="174"/>
      <c r="H694" s="174"/>
      <c r="I694" s="174"/>
      <c r="J694" s="174"/>
      <c r="K694" s="174"/>
      <c r="L694" s="174"/>
      <c r="M694" s="174"/>
      <c r="N694" s="174"/>
      <c r="O694" s="174"/>
      <c r="P694" s="174"/>
      <c r="Q694" s="174"/>
      <c r="R694" s="174"/>
      <c r="S694" s="174"/>
      <c r="T694" s="174"/>
      <c r="U694" s="174"/>
      <c r="V694" s="174"/>
      <c r="W694" s="174"/>
      <c r="X694" s="174"/>
      <c r="Y694" s="174"/>
      <c r="Z694" s="174"/>
      <c r="AA694" s="174"/>
    </row>
    <row r="695" customFormat="false" ht="15.75" hidden="false" customHeight="false" outlineLevel="0" collapsed="false">
      <c r="A695" s="174" t="str">
        <f aca="false">IF(ISBLANK(B695),"",B695&amp;"|"&amp;C695)</f>
        <v/>
      </c>
      <c r="B695" s="174"/>
      <c r="C695" s="174"/>
      <c r="D695" s="174"/>
      <c r="E695" s="179"/>
      <c r="F695" s="174"/>
      <c r="G695" s="174"/>
      <c r="H695" s="174"/>
      <c r="I695" s="174"/>
      <c r="J695" s="174"/>
      <c r="K695" s="174"/>
      <c r="L695" s="174"/>
      <c r="M695" s="174"/>
      <c r="N695" s="174"/>
      <c r="O695" s="174"/>
      <c r="P695" s="174"/>
      <c r="Q695" s="174"/>
      <c r="R695" s="174"/>
      <c r="S695" s="174"/>
      <c r="T695" s="174"/>
      <c r="U695" s="174"/>
      <c r="V695" s="174"/>
      <c r="W695" s="174"/>
      <c r="X695" s="174"/>
      <c r="Y695" s="174"/>
      <c r="Z695" s="174"/>
      <c r="AA695" s="174"/>
    </row>
    <row r="696" customFormat="false" ht="15.75" hidden="false" customHeight="false" outlineLevel="0" collapsed="false">
      <c r="A696" s="174" t="str">
        <f aca="false">IF(ISBLANK(B696),"",B696&amp;"|"&amp;C696)</f>
        <v/>
      </c>
      <c r="B696" s="174"/>
      <c r="C696" s="174"/>
      <c r="D696" s="174"/>
      <c r="E696" s="179"/>
      <c r="F696" s="174"/>
      <c r="G696" s="174"/>
      <c r="H696" s="174"/>
      <c r="I696" s="174"/>
      <c r="J696" s="174"/>
      <c r="K696" s="174"/>
      <c r="L696" s="174"/>
      <c r="M696" s="174"/>
      <c r="N696" s="174"/>
      <c r="O696" s="174"/>
      <c r="P696" s="174"/>
      <c r="Q696" s="174"/>
      <c r="R696" s="174"/>
      <c r="S696" s="174"/>
      <c r="T696" s="174"/>
      <c r="U696" s="174"/>
      <c r="V696" s="174"/>
      <c r="W696" s="174"/>
      <c r="X696" s="174"/>
      <c r="Y696" s="174"/>
      <c r="Z696" s="174"/>
      <c r="AA696" s="174"/>
    </row>
    <row r="697" customFormat="false" ht="15.75" hidden="false" customHeight="false" outlineLevel="0" collapsed="false">
      <c r="A697" s="174" t="str">
        <f aca="false">IF(ISBLANK(B697),"",B697&amp;"|"&amp;C697)</f>
        <v/>
      </c>
      <c r="B697" s="174"/>
      <c r="C697" s="174"/>
      <c r="D697" s="174"/>
      <c r="E697" s="179"/>
      <c r="F697" s="174"/>
      <c r="G697" s="174"/>
      <c r="H697" s="174"/>
      <c r="I697" s="174"/>
      <c r="J697" s="174"/>
      <c r="K697" s="174"/>
      <c r="L697" s="174"/>
      <c r="M697" s="174"/>
      <c r="N697" s="174"/>
      <c r="O697" s="174"/>
      <c r="P697" s="174"/>
      <c r="Q697" s="174"/>
      <c r="R697" s="174"/>
      <c r="S697" s="174"/>
      <c r="T697" s="174"/>
      <c r="U697" s="174"/>
      <c r="V697" s="174"/>
      <c r="W697" s="174"/>
      <c r="X697" s="174"/>
      <c r="Y697" s="174"/>
      <c r="Z697" s="174"/>
      <c r="AA697" s="174"/>
    </row>
    <row r="698" customFormat="false" ht="15.75" hidden="false" customHeight="false" outlineLevel="0" collapsed="false">
      <c r="A698" s="174" t="str">
        <f aca="false">IF(ISBLANK(B698),"",B698&amp;"|"&amp;C698)</f>
        <v/>
      </c>
      <c r="B698" s="174"/>
      <c r="C698" s="174"/>
      <c r="D698" s="174"/>
      <c r="E698" s="179"/>
      <c r="F698" s="174"/>
      <c r="G698" s="174"/>
      <c r="H698" s="174"/>
      <c r="I698" s="174"/>
      <c r="J698" s="174"/>
      <c r="K698" s="174"/>
      <c r="L698" s="174"/>
      <c r="M698" s="174"/>
      <c r="N698" s="174"/>
      <c r="O698" s="174"/>
      <c r="P698" s="174"/>
      <c r="Q698" s="174"/>
      <c r="R698" s="174"/>
      <c r="S698" s="174"/>
      <c r="T698" s="174"/>
      <c r="U698" s="174"/>
      <c r="V698" s="174"/>
      <c r="W698" s="174"/>
      <c r="X698" s="174"/>
      <c r="Y698" s="174"/>
      <c r="Z698" s="174"/>
      <c r="AA698" s="174"/>
    </row>
    <row r="699" customFormat="false" ht="15.75" hidden="false" customHeight="false" outlineLevel="0" collapsed="false">
      <c r="A699" s="174" t="str">
        <f aca="false">IF(ISBLANK(B699),"",B699&amp;"|"&amp;C699)</f>
        <v/>
      </c>
      <c r="B699" s="174"/>
      <c r="C699" s="174"/>
      <c r="D699" s="174"/>
      <c r="E699" s="179"/>
      <c r="F699" s="174"/>
      <c r="G699" s="174"/>
      <c r="H699" s="174"/>
      <c r="I699" s="174"/>
      <c r="J699" s="174"/>
      <c r="K699" s="174"/>
      <c r="L699" s="174"/>
      <c r="M699" s="174"/>
      <c r="N699" s="174"/>
      <c r="O699" s="174"/>
      <c r="P699" s="174"/>
      <c r="Q699" s="174"/>
      <c r="R699" s="174"/>
      <c r="S699" s="174"/>
      <c r="T699" s="174"/>
      <c r="U699" s="174"/>
      <c r="V699" s="174"/>
      <c r="W699" s="174"/>
      <c r="X699" s="174"/>
      <c r="Y699" s="174"/>
      <c r="Z699" s="174"/>
      <c r="AA699" s="174"/>
    </row>
    <row r="700" customFormat="false" ht="15.75" hidden="false" customHeight="false" outlineLevel="0" collapsed="false">
      <c r="A700" s="174" t="str">
        <f aca="false">IF(ISBLANK(B700),"",B700&amp;"|"&amp;C700)</f>
        <v/>
      </c>
      <c r="B700" s="174"/>
      <c r="C700" s="174"/>
      <c r="D700" s="174"/>
      <c r="E700" s="179"/>
      <c r="F700" s="174"/>
      <c r="G700" s="174"/>
      <c r="H700" s="174"/>
      <c r="I700" s="174"/>
      <c r="J700" s="174"/>
      <c r="K700" s="174"/>
      <c r="L700" s="174"/>
      <c r="M700" s="174"/>
      <c r="N700" s="174"/>
      <c r="O700" s="174"/>
      <c r="P700" s="174"/>
      <c r="Q700" s="174"/>
      <c r="R700" s="174"/>
      <c r="S700" s="174"/>
      <c r="T700" s="174"/>
      <c r="U700" s="174"/>
      <c r="V700" s="174"/>
      <c r="W700" s="174"/>
      <c r="X700" s="174"/>
      <c r="Y700" s="174"/>
      <c r="Z700" s="174"/>
      <c r="AA700" s="174"/>
    </row>
    <row r="701" customFormat="false" ht="15.75" hidden="false" customHeight="false" outlineLevel="0" collapsed="false">
      <c r="A701" s="174" t="str">
        <f aca="false">IF(ISBLANK(B701),"",B701&amp;"|"&amp;C701)</f>
        <v/>
      </c>
      <c r="B701" s="174"/>
      <c r="C701" s="174"/>
      <c r="D701" s="174"/>
      <c r="E701" s="179"/>
      <c r="F701" s="174"/>
      <c r="G701" s="174"/>
      <c r="H701" s="174"/>
      <c r="I701" s="174"/>
      <c r="J701" s="174"/>
      <c r="K701" s="174"/>
      <c r="L701" s="174"/>
      <c r="M701" s="174"/>
      <c r="N701" s="174"/>
      <c r="O701" s="174"/>
      <c r="P701" s="174"/>
      <c r="Q701" s="174"/>
      <c r="R701" s="174"/>
      <c r="S701" s="174"/>
      <c r="T701" s="174"/>
      <c r="U701" s="174"/>
      <c r="V701" s="174"/>
      <c r="W701" s="174"/>
      <c r="X701" s="174"/>
      <c r="Y701" s="174"/>
      <c r="Z701" s="174"/>
      <c r="AA701" s="174"/>
    </row>
    <row r="702" customFormat="false" ht="15.75" hidden="false" customHeight="false" outlineLevel="0" collapsed="false">
      <c r="A702" s="174" t="str">
        <f aca="false">IF(ISBLANK(B702),"",B702&amp;"|"&amp;C702)</f>
        <v/>
      </c>
      <c r="B702" s="174"/>
      <c r="C702" s="174"/>
      <c r="D702" s="174"/>
      <c r="E702" s="179"/>
      <c r="F702" s="174"/>
      <c r="G702" s="174"/>
      <c r="H702" s="174"/>
      <c r="I702" s="174"/>
      <c r="J702" s="174"/>
      <c r="K702" s="174"/>
      <c r="L702" s="174"/>
      <c r="M702" s="174"/>
      <c r="N702" s="174"/>
      <c r="O702" s="174"/>
      <c r="P702" s="174"/>
      <c r="Q702" s="174"/>
      <c r="R702" s="174"/>
      <c r="S702" s="174"/>
      <c r="T702" s="174"/>
      <c r="U702" s="174"/>
      <c r="V702" s="174"/>
      <c r="W702" s="174"/>
      <c r="X702" s="174"/>
      <c r="Y702" s="174"/>
      <c r="Z702" s="174"/>
      <c r="AA702" s="174"/>
    </row>
    <row r="703" customFormat="false" ht="15.75" hidden="false" customHeight="false" outlineLevel="0" collapsed="false">
      <c r="A703" s="174" t="str">
        <f aca="false">IF(ISBLANK(B703),"",B703&amp;"|"&amp;C703)</f>
        <v/>
      </c>
      <c r="B703" s="174"/>
      <c r="C703" s="174"/>
      <c r="D703" s="174"/>
      <c r="E703" s="179"/>
      <c r="F703" s="174"/>
      <c r="G703" s="174"/>
      <c r="H703" s="174"/>
      <c r="I703" s="174"/>
      <c r="J703" s="174"/>
      <c r="K703" s="174"/>
      <c r="L703" s="174"/>
      <c r="M703" s="174"/>
      <c r="N703" s="174"/>
      <c r="O703" s="174"/>
      <c r="P703" s="174"/>
      <c r="Q703" s="174"/>
      <c r="R703" s="174"/>
      <c r="S703" s="174"/>
      <c r="T703" s="174"/>
      <c r="U703" s="174"/>
      <c r="V703" s="174"/>
      <c r="W703" s="174"/>
      <c r="X703" s="174"/>
      <c r="Y703" s="174"/>
      <c r="Z703" s="174"/>
      <c r="AA703" s="174"/>
    </row>
    <row r="704" customFormat="false" ht="15.75" hidden="false" customHeight="false" outlineLevel="0" collapsed="false">
      <c r="A704" s="174" t="str">
        <f aca="false">IF(ISBLANK(B704),"",B704&amp;"|"&amp;C704)</f>
        <v/>
      </c>
      <c r="B704" s="174"/>
      <c r="C704" s="174"/>
      <c r="D704" s="174"/>
      <c r="E704" s="179"/>
      <c r="F704" s="174"/>
      <c r="G704" s="174"/>
      <c r="H704" s="174"/>
      <c r="I704" s="174"/>
      <c r="J704" s="174"/>
      <c r="K704" s="174"/>
      <c r="L704" s="174"/>
      <c r="M704" s="174"/>
      <c r="N704" s="174"/>
      <c r="O704" s="174"/>
      <c r="P704" s="174"/>
      <c r="Q704" s="174"/>
      <c r="R704" s="174"/>
      <c r="S704" s="174"/>
      <c r="T704" s="174"/>
      <c r="U704" s="174"/>
      <c r="V704" s="174"/>
      <c r="W704" s="174"/>
      <c r="X704" s="174"/>
      <c r="Y704" s="174"/>
      <c r="Z704" s="174"/>
      <c r="AA704" s="174"/>
    </row>
    <row r="705" customFormat="false" ht="15.75" hidden="false" customHeight="false" outlineLevel="0" collapsed="false">
      <c r="A705" s="174" t="str">
        <f aca="false">IF(ISBLANK(B705),"",B705&amp;"|"&amp;C705)</f>
        <v/>
      </c>
      <c r="B705" s="174"/>
      <c r="C705" s="174"/>
      <c r="D705" s="174"/>
      <c r="E705" s="179"/>
      <c r="F705" s="174"/>
      <c r="G705" s="174"/>
      <c r="H705" s="174"/>
      <c r="I705" s="174"/>
      <c r="J705" s="174"/>
      <c r="K705" s="174"/>
      <c r="L705" s="174"/>
      <c r="M705" s="174"/>
      <c r="N705" s="174"/>
      <c r="O705" s="174"/>
      <c r="P705" s="174"/>
      <c r="Q705" s="174"/>
      <c r="R705" s="174"/>
      <c r="S705" s="174"/>
      <c r="T705" s="174"/>
      <c r="U705" s="174"/>
      <c r="V705" s="174"/>
      <c r="W705" s="174"/>
      <c r="X705" s="174"/>
      <c r="Y705" s="174"/>
      <c r="Z705" s="174"/>
      <c r="AA705" s="174"/>
    </row>
    <row r="706" customFormat="false" ht="15.75" hidden="false" customHeight="false" outlineLevel="0" collapsed="false">
      <c r="A706" s="174" t="str">
        <f aca="false">IF(ISBLANK(B706),"",B706&amp;"|"&amp;C706)</f>
        <v/>
      </c>
      <c r="B706" s="174"/>
      <c r="C706" s="174"/>
      <c r="D706" s="174"/>
      <c r="E706" s="179"/>
      <c r="F706" s="174"/>
      <c r="G706" s="174"/>
      <c r="H706" s="174"/>
      <c r="I706" s="174"/>
      <c r="J706" s="174"/>
      <c r="K706" s="174"/>
      <c r="L706" s="174"/>
      <c r="M706" s="174"/>
      <c r="N706" s="174"/>
      <c r="O706" s="174"/>
      <c r="P706" s="174"/>
      <c r="Q706" s="174"/>
      <c r="R706" s="174"/>
      <c r="S706" s="174"/>
      <c r="T706" s="174"/>
      <c r="U706" s="174"/>
      <c r="V706" s="174"/>
      <c r="W706" s="174"/>
      <c r="X706" s="174"/>
      <c r="Y706" s="174"/>
      <c r="Z706" s="174"/>
      <c r="AA706" s="174"/>
    </row>
    <row r="707" customFormat="false" ht="15.75" hidden="false" customHeight="false" outlineLevel="0" collapsed="false">
      <c r="A707" s="174" t="str">
        <f aca="false">IF(ISBLANK(B707),"",B707&amp;"|"&amp;C707)</f>
        <v/>
      </c>
      <c r="B707" s="174"/>
      <c r="C707" s="174"/>
      <c r="D707" s="174"/>
      <c r="E707" s="179"/>
      <c r="F707" s="174"/>
      <c r="G707" s="174"/>
      <c r="H707" s="174"/>
      <c r="I707" s="174"/>
      <c r="J707" s="174"/>
      <c r="K707" s="174"/>
      <c r="L707" s="174"/>
      <c r="M707" s="174"/>
      <c r="N707" s="174"/>
      <c r="O707" s="174"/>
      <c r="P707" s="174"/>
      <c r="Q707" s="174"/>
      <c r="R707" s="174"/>
      <c r="S707" s="174"/>
      <c r="T707" s="174"/>
      <c r="U707" s="174"/>
      <c r="V707" s="174"/>
      <c r="W707" s="174"/>
      <c r="X707" s="174"/>
      <c r="Y707" s="174"/>
      <c r="Z707" s="174"/>
      <c r="AA707" s="174"/>
    </row>
    <row r="708" customFormat="false" ht="15.75" hidden="false" customHeight="false" outlineLevel="0" collapsed="false">
      <c r="A708" s="174" t="str">
        <f aca="false">IF(ISBLANK(B708),"",B708&amp;"|"&amp;C708)</f>
        <v/>
      </c>
      <c r="B708" s="174"/>
      <c r="C708" s="174"/>
      <c r="D708" s="174"/>
      <c r="E708" s="179"/>
      <c r="F708" s="174"/>
      <c r="G708" s="174"/>
      <c r="H708" s="174"/>
      <c r="I708" s="174"/>
      <c r="J708" s="174"/>
      <c r="K708" s="174"/>
      <c r="L708" s="174"/>
      <c r="M708" s="174"/>
      <c r="N708" s="174"/>
      <c r="O708" s="174"/>
      <c r="P708" s="174"/>
      <c r="Q708" s="174"/>
      <c r="R708" s="174"/>
      <c r="S708" s="174"/>
      <c r="T708" s="174"/>
      <c r="U708" s="174"/>
      <c r="V708" s="174"/>
      <c r="W708" s="174"/>
      <c r="X708" s="174"/>
      <c r="Y708" s="174"/>
      <c r="Z708" s="174"/>
      <c r="AA708" s="174"/>
    </row>
    <row r="709" customFormat="false" ht="15.75" hidden="false" customHeight="false" outlineLevel="0" collapsed="false">
      <c r="A709" s="174" t="str">
        <f aca="false">IF(ISBLANK(B709),"",B709&amp;"|"&amp;C709)</f>
        <v/>
      </c>
      <c r="B709" s="174"/>
      <c r="C709" s="174"/>
      <c r="D709" s="174"/>
      <c r="E709" s="179"/>
      <c r="F709" s="174"/>
      <c r="G709" s="174"/>
      <c r="H709" s="174"/>
      <c r="I709" s="174"/>
      <c r="J709" s="174"/>
      <c r="K709" s="174"/>
      <c r="L709" s="174"/>
      <c r="M709" s="174"/>
      <c r="N709" s="174"/>
      <c r="O709" s="174"/>
      <c r="P709" s="174"/>
      <c r="Q709" s="174"/>
      <c r="R709" s="174"/>
      <c r="S709" s="174"/>
      <c r="T709" s="174"/>
      <c r="U709" s="174"/>
      <c r="V709" s="174"/>
      <c r="W709" s="174"/>
      <c r="X709" s="174"/>
      <c r="Y709" s="174"/>
      <c r="Z709" s="174"/>
      <c r="AA709" s="174"/>
    </row>
    <row r="710" customFormat="false" ht="15.75" hidden="false" customHeight="false" outlineLevel="0" collapsed="false">
      <c r="A710" s="174" t="str">
        <f aca="false">IF(ISBLANK(B710),"",B710&amp;"|"&amp;C710)</f>
        <v/>
      </c>
      <c r="B710" s="174"/>
      <c r="C710" s="174"/>
      <c r="D710" s="174"/>
      <c r="E710" s="179"/>
      <c r="F710" s="174"/>
      <c r="G710" s="174"/>
      <c r="H710" s="174"/>
      <c r="I710" s="174"/>
      <c r="J710" s="174"/>
      <c r="K710" s="174"/>
      <c r="L710" s="174"/>
      <c r="M710" s="174"/>
      <c r="N710" s="174"/>
      <c r="O710" s="174"/>
      <c r="P710" s="174"/>
      <c r="Q710" s="174"/>
      <c r="R710" s="174"/>
      <c r="S710" s="174"/>
      <c r="T710" s="174"/>
      <c r="U710" s="174"/>
      <c r="V710" s="174"/>
      <c r="W710" s="174"/>
      <c r="X710" s="174"/>
      <c r="Y710" s="174"/>
      <c r="Z710" s="174"/>
      <c r="AA710" s="174"/>
    </row>
    <row r="711" customFormat="false" ht="15.75" hidden="false" customHeight="false" outlineLevel="0" collapsed="false">
      <c r="A711" s="174" t="str">
        <f aca="false">IF(ISBLANK(B711),"",B711&amp;"|"&amp;C711)</f>
        <v/>
      </c>
      <c r="B711" s="174"/>
      <c r="C711" s="174"/>
      <c r="D711" s="174"/>
      <c r="E711" s="179"/>
      <c r="F711" s="174"/>
      <c r="G711" s="174"/>
      <c r="H711" s="174"/>
      <c r="I711" s="174"/>
      <c r="J711" s="174"/>
      <c r="K711" s="174"/>
      <c r="L711" s="174"/>
      <c r="M711" s="174"/>
      <c r="N711" s="174"/>
      <c r="O711" s="174"/>
      <c r="P711" s="174"/>
      <c r="Q711" s="174"/>
      <c r="R711" s="174"/>
      <c r="S711" s="174"/>
      <c r="T711" s="174"/>
      <c r="U711" s="174"/>
      <c r="V711" s="174"/>
      <c r="W711" s="174"/>
      <c r="X711" s="174"/>
      <c r="Y711" s="174"/>
      <c r="Z711" s="174"/>
      <c r="AA711" s="174"/>
    </row>
    <row r="712" customFormat="false" ht="15.75" hidden="false" customHeight="false" outlineLevel="0" collapsed="false">
      <c r="A712" s="174" t="str">
        <f aca="false">IF(ISBLANK(B712),"",B712&amp;"|"&amp;C712)</f>
        <v/>
      </c>
      <c r="B712" s="174"/>
      <c r="C712" s="174"/>
      <c r="D712" s="174"/>
      <c r="E712" s="179"/>
      <c r="F712" s="174"/>
      <c r="G712" s="174"/>
      <c r="H712" s="174"/>
      <c r="I712" s="174"/>
      <c r="J712" s="174"/>
      <c r="K712" s="174"/>
      <c r="L712" s="174"/>
      <c r="M712" s="174"/>
      <c r="N712" s="174"/>
      <c r="O712" s="174"/>
      <c r="P712" s="174"/>
      <c r="Q712" s="174"/>
      <c r="R712" s="174"/>
      <c r="S712" s="174"/>
      <c r="T712" s="174"/>
      <c r="U712" s="174"/>
      <c r="V712" s="174"/>
      <c r="W712" s="174"/>
      <c r="X712" s="174"/>
      <c r="Y712" s="174"/>
      <c r="Z712" s="174"/>
      <c r="AA712" s="174"/>
    </row>
    <row r="713" customFormat="false" ht="15.75" hidden="false" customHeight="false" outlineLevel="0" collapsed="false">
      <c r="A713" s="174" t="str">
        <f aca="false">IF(ISBLANK(B713),"",B713&amp;"|"&amp;C713)</f>
        <v/>
      </c>
      <c r="B713" s="174"/>
      <c r="C713" s="174"/>
      <c r="D713" s="174"/>
      <c r="E713" s="179"/>
      <c r="F713" s="174"/>
      <c r="G713" s="174"/>
      <c r="H713" s="174"/>
      <c r="I713" s="174"/>
      <c r="J713" s="174"/>
      <c r="K713" s="174"/>
      <c r="L713" s="174"/>
      <c r="M713" s="174"/>
      <c r="N713" s="174"/>
      <c r="O713" s="174"/>
      <c r="P713" s="174"/>
      <c r="Q713" s="174"/>
      <c r="R713" s="174"/>
      <c r="S713" s="174"/>
      <c r="T713" s="174"/>
      <c r="U713" s="174"/>
      <c r="V713" s="174"/>
      <c r="W713" s="174"/>
      <c r="X713" s="174"/>
      <c r="Y713" s="174"/>
      <c r="Z713" s="174"/>
      <c r="AA713" s="174"/>
    </row>
    <row r="714" customFormat="false" ht="15.75" hidden="false" customHeight="false" outlineLevel="0" collapsed="false">
      <c r="A714" s="174" t="str">
        <f aca="false">IF(ISBLANK(B714),"",B714&amp;"|"&amp;C714)</f>
        <v/>
      </c>
      <c r="B714" s="174"/>
      <c r="C714" s="174"/>
      <c r="D714" s="174"/>
      <c r="E714" s="179"/>
      <c r="F714" s="174"/>
      <c r="G714" s="174"/>
      <c r="H714" s="174"/>
      <c r="I714" s="174"/>
      <c r="J714" s="174"/>
      <c r="K714" s="174"/>
      <c r="L714" s="174"/>
      <c r="M714" s="174"/>
      <c r="N714" s="174"/>
      <c r="O714" s="174"/>
      <c r="P714" s="174"/>
      <c r="Q714" s="174"/>
      <c r="R714" s="174"/>
      <c r="S714" s="174"/>
      <c r="T714" s="174"/>
      <c r="U714" s="174"/>
      <c r="V714" s="174"/>
      <c r="W714" s="174"/>
      <c r="X714" s="174"/>
      <c r="Y714" s="174"/>
      <c r="Z714" s="174"/>
      <c r="AA714" s="174"/>
    </row>
    <row r="715" customFormat="false" ht="15.75" hidden="false" customHeight="false" outlineLevel="0" collapsed="false">
      <c r="A715" s="174" t="str">
        <f aca="false">IF(ISBLANK(B715),"",B715&amp;"|"&amp;C715)</f>
        <v/>
      </c>
      <c r="B715" s="174"/>
      <c r="C715" s="174"/>
      <c r="D715" s="174"/>
      <c r="E715" s="179"/>
      <c r="F715" s="174"/>
      <c r="G715" s="174"/>
      <c r="H715" s="174"/>
      <c r="I715" s="174"/>
      <c r="J715" s="174"/>
      <c r="K715" s="174"/>
      <c r="L715" s="174"/>
      <c r="M715" s="174"/>
      <c r="N715" s="174"/>
      <c r="O715" s="174"/>
      <c r="P715" s="174"/>
      <c r="Q715" s="174"/>
      <c r="R715" s="174"/>
      <c r="S715" s="174"/>
      <c r="T715" s="174"/>
      <c r="U715" s="174"/>
      <c r="V715" s="174"/>
      <c r="W715" s="174"/>
      <c r="X715" s="174"/>
      <c r="Y715" s="174"/>
      <c r="Z715" s="174"/>
      <c r="AA715" s="174"/>
    </row>
    <row r="716" customFormat="false" ht="15.75" hidden="false" customHeight="false" outlineLevel="0" collapsed="false">
      <c r="A716" s="174" t="str">
        <f aca="false">IF(ISBLANK(B716),"",B716&amp;"|"&amp;C716)</f>
        <v/>
      </c>
      <c r="B716" s="174"/>
      <c r="C716" s="174"/>
      <c r="D716" s="174"/>
      <c r="E716" s="179"/>
      <c r="F716" s="174"/>
      <c r="G716" s="174"/>
      <c r="H716" s="174"/>
      <c r="I716" s="174"/>
      <c r="J716" s="174"/>
      <c r="K716" s="174"/>
      <c r="L716" s="174"/>
      <c r="M716" s="174"/>
      <c r="N716" s="174"/>
      <c r="O716" s="174"/>
      <c r="P716" s="174"/>
      <c r="Q716" s="174"/>
      <c r="R716" s="174"/>
      <c r="S716" s="174"/>
      <c r="T716" s="174"/>
      <c r="U716" s="174"/>
      <c r="V716" s="174"/>
      <c r="W716" s="174"/>
      <c r="X716" s="174"/>
      <c r="Y716" s="174"/>
      <c r="Z716" s="174"/>
      <c r="AA716" s="174"/>
    </row>
    <row r="717" customFormat="false" ht="15.75" hidden="false" customHeight="false" outlineLevel="0" collapsed="false">
      <c r="A717" s="174" t="str">
        <f aca="false">IF(ISBLANK(B717),"",B717&amp;"|"&amp;C717)</f>
        <v/>
      </c>
      <c r="B717" s="174"/>
      <c r="C717" s="174"/>
      <c r="D717" s="174"/>
      <c r="E717" s="179"/>
      <c r="F717" s="174"/>
      <c r="G717" s="174"/>
      <c r="H717" s="174"/>
      <c r="I717" s="174"/>
      <c r="J717" s="174"/>
      <c r="K717" s="174"/>
      <c r="L717" s="174"/>
      <c r="M717" s="174"/>
      <c r="N717" s="174"/>
      <c r="O717" s="174"/>
      <c r="P717" s="174"/>
      <c r="Q717" s="174"/>
      <c r="R717" s="174"/>
      <c r="S717" s="174"/>
      <c r="T717" s="174"/>
      <c r="U717" s="174"/>
      <c r="V717" s="174"/>
      <c r="W717" s="174"/>
      <c r="X717" s="174"/>
      <c r="Y717" s="174"/>
      <c r="Z717" s="174"/>
      <c r="AA717" s="174"/>
    </row>
    <row r="718" customFormat="false" ht="15.75" hidden="false" customHeight="false" outlineLevel="0" collapsed="false">
      <c r="A718" s="174" t="str">
        <f aca="false">IF(ISBLANK(B718),"",B718&amp;"|"&amp;C718)</f>
        <v/>
      </c>
      <c r="B718" s="174"/>
      <c r="C718" s="174"/>
      <c r="D718" s="174"/>
      <c r="E718" s="179"/>
      <c r="F718" s="174"/>
      <c r="G718" s="174"/>
      <c r="H718" s="174"/>
      <c r="I718" s="174"/>
      <c r="J718" s="174"/>
      <c r="K718" s="174"/>
      <c r="L718" s="174"/>
      <c r="M718" s="174"/>
      <c r="N718" s="174"/>
      <c r="O718" s="174"/>
      <c r="P718" s="174"/>
      <c r="Q718" s="174"/>
      <c r="R718" s="174"/>
      <c r="S718" s="174"/>
      <c r="T718" s="174"/>
      <c r="U718" s="174"/>
      <c r="V718" s="174"/>
      <c r="W718" s="174"/>
      <c r="X718" s="174"/>
      <c r="Y718" s="174"/>
      <c r="Z718" s="174"/>
      <c r="AA718" s="174"/>
    </row>
    <row r="719" customFormat="false" ht="15.75" hidden="false" customHeight="false" outlineLevel="0" collapsed="false">
      <c r="A719" s="174" t="str">
        <f aca="false">IF(ISBLANK(B719),"",B719&amp;"|"&amp;C719)</f>
        <v/>
      </c>
      <c r="B719" s="174"/>
      <c r="C719" s="174"/>
      <c r="D719" s="174"/>
      <c r="E719" s="179"/>
      <c r="F719" s="174"/>
      <c r="G719" s="174"/>
      <c r="H719" s="174"/>
      <c r="I719" s="174"/>
      <c r="J719" s="174"/>
      <c r="K719" s="174"/>
      <c r="L719" s="174"/>
      <c r="M719" s="174"/>
      <c r="N719" s="174"/>
      <c r="O719" s="174"/>
      <c r="P719" s="174"/>
      <c r="Q719" s="174"/>
      <c r="R719" s="174"/>
      <c r="S719" s="174"/>
      <c r="T719" s="174"/>
      <c r="U719" s="174"/>
      <c r="V719" s="174"/>
      <c r="W719" s="174"/>
      <c r="X719" s="174"/>
      <c r="Y719" s="174"/>
      <c r="Z719" s="174"/>
      <c r="AA719" s="174"/>
    </row>
    <row r="720" customFormat="false" ht="15.75" hidden="false" customHeight="false" outlineLevel="0" collapsed="false">
      <c r="A720" s="174" t="str">
        <f aca="false">IF(ISBLANK(B720),"",B720&amp;"|"&amp;C720)</f>
        <v/>
      </c>
      <c r="B720" s="174"/>
      <c r="C720" s="174"/>
      <c r="D720" s="174"/>
      <c r="E720" s="179"/>
      <c r="F720" s="174"/>
      <c r="G720" s="174"/>
      <c r="H720" s="174"/>
      <c r="I720" s="174"/>
      <c r="J720" s="174"/>
      <c r="K720" s="174"/>
      <c r="L720" s="174"/>
      <c r="M720" s="174"/>
      <c r="N720" s="174"/>
      <c r="O720" s="174"/>
      <c r="P720" s="174"/>
      <c r="Q720" s="174"/>
      <c r="R720" s="174"/>
      <c r="S720" s="174"/>
      <c r="T720" s="174"/>
      <c r="U720" s="174"/>
      <c r="V720" s="174"/>
      <c r="W720" s="174"/>
      <c r="X720" s="174"/>
      <c r="Y720" s="174"/>
      <c r="Z720" s="174"/>
      <c r="AA720" s="174"/>
    </row>
    <row r="721" customFormat="false" ht="15.75" hidden="false" customHeight="false" outlineLevel="0" collapsed="false">
      <c r="A721" s="174" t="str">
        <f aca="false">IF(ISBLANK(B721),"",B721&amp;"|"&amp;C721)</f>
        <v/>
      </c>
      <c r="B721" s="174"/>
      <c r="C721" s="174"/>
      <c r="D721" s="174"/>
      <c r="E721" s="179"/>
      <c r="F721" s="174"/>
      <c r="G721" s="174"/>
      <c r="H721" s="174"/>
      <c r="I721" s="174"/>
      <c r="J721" s="174"/>
      <c r="K721" s="174"/>
      <c r="L721" s="174"/>
      <c r="M721" s="174"/>
      <c r="N721" s="174"/>
      <c r="O721" s="174"/>
      <c r="P721" s="174"/>
      <c r="Q721" s="174"/>
      <c r="R721" s="174"/>
      <c r="S721" s="174"/>
      <c r="T721" s="174"/>
      <c r="U721" s="174"/>
      <c r="V721" s="174"/>
      <c r="W721" s="174"/>
      <c r="X721" s="174"/>
      <c r="Y721" s="174"/>
      <c r="Z721" s="174"/>
      <c r="AA721" s="174"/>
    </row>
    <row r="722" customFormat="false" ht="15.75" hidden="false" customHeight="false" outlineLevel="0" collapsed="false">
      <c r="A722" s="174" t="str">
        <f aca="false">IF(ISBLANK(B722),"",B722&amp;"|"&amp;C722)</f>
        <v/>
      </c>
      <c r="B722" s="174"/>
      <c r="C722" s="174"/>
      <c r="D722" s="174"/>
      <c r="E722" s="179"/>
      <c r="F722" s="174"/>
      <c r="G722" s="174"/>
      <c r="H722" s="174"/>
      <c r="I722" s="174"/>
      <c r="J722" s="174"/>
      <c r="K722" s="174"/>
      <c r="L722" s="174"/>
      <c r="M722" s="174"/>
      <c r="N722" s="174"/>
      <c r="O722" s="174"/>
      <c r="P722" s="174"/>
      <c r="Q722" s="174"/>
      <c r="R722" s="174"/>
      <c r="S722" s="174"/>
      <c r="T722" s="174"/>
      <c r="U722" s="174"/>
      <c r="V722" s="174"/>
      <c r="W722" s="174"/>
      <c r="X722" s="174"/>
      <c r="Y722" s="174"/>
      <c r="Z722" s="174"/>
      <c r="AA722" s="174"/>
    </row>
    <row r="723" customFormat="false" ht="15.75" hidden="false" customHeight="false" outlineLevel="0" collapsed="false">
      <c r="A723" s="174" t="str">
        <f aca="false">IF(ISBLANK(B723),"",B723&amp;"|"&amp;C723)</f>
        <v/>
      </c>
      <c r="B723" s="174"/>
      <c r="C723" s="174"/>
      <c r="D723" s="174"/>
      <c r="E723" s="179"/>
      <c r="F723" s="174"/>
      <c r="G723" s="174"/>
      <c r="H723" s="174"/>
      <c r="I723" s="174"/>
      <c r="J723" s="174"/>
      <c r="K723" s="174"/>
      <c r="L723" s="174"/>
      <c r="M723" s="174"/>
      <c r="N723" s="174"/>
      <c r="O723" s="174"/>
      <c r="P723" s="174"/>
      <c r="Q723" s="174"/>
      <c r="R723" s="174"/>
      <c r="S723" s="174"/>
      <c r="T723" s="174"/>
      <c r="U723" s="174"/>
      <c r="V723" s="174"/>
      <c r="W723" s="174"/>
      <c r="X723" s="174"/>
      <c r="Y723" s="174"/>
      <c r="Z723" s="174"/>
      <c r="AA723" s="174"/>
    </row>
    <row r="724" customFormat="false" ht="15.75" hidden="false" customHeight="false" outlineLevel="0" collapsed="false">
      <c r="A724" s="174" t="str">
        <f aca="false">IF(ISBLANK(B724),"",B724&amp;"|"&amp;C724)</f>
        <v/>
      </c>
      <c r="B724" s="174"/>
      <c r="C724" s="174"/>
      <c r="D724" s="174"/>
      <c r="E724" s="179"/>
      <c r="F724" s="174"/>
      <c r="G724" s="174"/>
      <c r="H724" s="174"/>
      <c r="I724" s="174"/>
      <c r="J724" s="174"/>
      <c r="K724" s="174"/>
      <c r="L724" s="174"/>
      <c r="M724" s="174"/>
      <c r="N724" s="174"/>
      <c r="O724" s="174"/>
      <c r="P724" s="174"/>
      <c r="Q724" s="174"/>
      <c r="R724" s="174"/>
      <c r="S724" s="174"/>
      <c r="T724" s="174"/>
      <c r="U724" s="174"/>
      <c r="V724" s="174"/>
      <c r="W724" s="174"/>
      <c r="X724" s="174"/>
      <c r="Y724" s="174"/>
      <c r="Z724" s="174"/>
      <c r="AA724" s="174"/>
    </row>
    <row r="725" customFormat="false" ht="15.75" hidden="false" customHeight="false" outlineLevel="0" collapsed="false">
      <c r="A725" s="174" t="str">
        <f aca="false">IF(ISBLANK(B725),"",B725&amp;"|"&amp;C725)</f>
        <v/>
      </c>
      <c r="B725" s="174"/>
      <c r="C725" s="174"/>
      <c r="D725" s="174"/>
      <c r="E725" s="179"/>
      <c r="F725" s="174"/>
      <c r="G725" s="174"/>
      <c r="H725" s="174"/>
      <c r="I725" s="174"/>
      <c r="J725" s="174"/>
      <c r="K725" s="174"/>
      <c r="L725" s="174"/>
      <c r="M725" s="174"/>
      <c r="N725" s="174"/>
      <c r="O725" s="174"/>
      <c r="P725" s="174"/>
      <c r="Q725" s="174"/>
      <c r="R725" s="174"/>
      <c r="S725" s="174"/>
      <c r="T725" s="174"/>
      <c r="U725" s="174"/>
      <c r="V725" s="174"/>
      <c r="W725" s="174"/>
      <c r="X725" s="174"/>
      <c r="Y725" s="174"/>
      <c r="Z725" s="174"/>
      <c r="AA725" s="174"/>
    </row>
    <row r="726" customFormat="false" ht="15.75" hidden="false" customHeight="false" outlineLevel="0" collapsed="false">
      <c r="A726" s="174" t="str">
        <f aca="false">IF(ISBLANK(B726),"",B726&amp;"|"&amp;C726)</f>
        <v/>
      </c>
      <c r="B726" s="174"/>
      <c r="C726" s="174"/>
      <c r="D726" s="174"/>
      <c r="E726" s="179"/>
      <c r="F726" s="174"/>
      <c r="G726" s="174"/>
      <c r="H726" s="174"/>
      <c r="I726" s="174"/>
      <c r="J726" s="174"/>
      <c r="K726" s="174"/>
      <c r="L726" s="174"/>
      <c r="M726" s="174"/>
      <c r="N726" s="174"/>
      <c r="O726" s="174"/>
      <c r="P726" s="174"/>
      <c r="Q726" s="174"/>
      <c r="R726" s="174"/>
      <c r="S726" s="174"/>
      <c r="T726" s="174"/>
      <c r="U726" s="174"/>
      <c r="V726" s="174"/>
      <c r="W726" s="174"/>
      <c r="X726" s="174"/>
      <c r="Y726" s="174"/>
      <c r="Z726" s="174"/>
      <c r="AA726" s="174"/>
    </row>
    <row r="727" customFormat="false" ht="15.75" hidden="false" customHeight="false" outlineLevel="0" collapsed="false">
      <c r="A727" s="174" t="str">
        <f aca="false">IF(ISBLANK(B727),"",B727&amp;"|"&amp;C727)</f>
        <v/>
      </c>
      <c r="B727" s="174"/>
      <c r="C727" s="174"/>
      <c r="D727" s="174"/>
      <c r="E727" s="179"/>
      <c r="F727" s="174"/>
      <c r="G727" s="174"/>
      <c r="H727" s="174"/>
      <c r="I727" s="174"/>
      <c r="J727" s="174"/>
      <c r="K727" s="174"/>
      <c r="L727" s="174"/>
      <c r="M727" s="174"/>
      <c r="N727" s="174"/>
      <c r="O727" s="174"/>
      <c r="P727" s="174"/>
      <c r="Q727" s="174"/>
      <c r="R727" s="174"/>
      <c r="S727" s="174"/>
      <c r="T727" s="174"/>
      <c r="U727" s="174"/>
      <c r="V727" s="174"/>
      <c r="W727" s="174"/>
      <c r="X727" s="174"/>
      <c r="Y727" s="174"/>
      <c r="Z727" s="174"/>
      <c r="AA727" s="174"/>
    </row>
    <row r="728" customFormat="false" ht="15.75" hidden="false" customHeight="false" outlineLevel="0" collapsed="false">
      <c r="A728" s="174" t="str">
        <f aca="false">IF(ISBLANK(B728),"",B728&amp;"|"&amp;C728)</f>
        <v/>
      </c>
      <c r="B728" s="174"/>
      <c r="C728" s="174"/>
      <c r="D728" s="174"/>
      <c r="E728" s="179"/>
      <c r="F728" s="174"/>
      <c r="G728" s="174"/>
      <c r="H728" s="174"/>
      <c r="I728" s="174"/>
      <c r="J728" s="174"/>
      <c r="K728" s="174"/>
      <c r="L728" s="174"/>
      <c r="M728" s="174"/>
      <c r="N728" s="174"/>
      <c r="O728" s="174"/>
      <c r="P728" s="174"/>
      <c r="Q728" s="174"/>
      <c r="R728" s="174"/>
      <c r="S728" s="174"/>
      <c r="T728" s="174"/>
      <c r="U728" s="174"/>
      <c r="V728" s="174"/>
      <c r="W728" s="174"/>
      <c r="X728" s="174"/>
      <c r="Y728" s="174"/>
      <c r="Z728" s="174"/>
      <c r="AA728" s="174"/>
    </row>
    <row r="729" customFormat="false" ht="15.75" hidden="false" customHeight="false" outlineLevel="0" collapsed="false">
      <c r="A729" s="174" t="str">
        <f aca="false">IF(ISBLANK(B729),"",B729&amp;"|"&amp;C729)</f>
        <v/>
      </c>
      <c r="B729" s="174"/>
      <c r="C729" s="174"/>
      <c r="D729" s="174"/>
      <c r="E729" s="179"/>
      <c r="F729" s="174"/>
      <c r="G729" s="174"/>
      <c r="H729" s="174"/>
      <c r="I729" s="174"/>
      <c r="J729" s="174"/>
      <c r="K729" s="174"/>
      <c r="L729" s="174"/>
      <c r="M729" s="174"/>
      <c r="N729" s="174"/>
      <c r="O729" s="174"/>
      <c r="P729" s="174"/>
      <c r="Q729" s="174"/>
      <c r="R729" s="174"/>
      <c r="S729" s="174"/>
      <c r="T729" s="174"/>
      <c r="U729" s="174"/>
      <c r="V729" s="174"/>
      <c r="W729" s="174"/>
      <c r="X729" s="174"/>
      <c r="Y729" s="174"/>
      <c r="Z729" s="174"/>
      <c r="AA729" s="174"/>
    </row>
    <row r="730" customFormat="false" ht="15.75" hidden="false" customHeight="false" outlineLevel="0" collapsed="false">
      <c r="A730" s="174" t="str">
        <f aca="false">IF(ISBLANK(B730),"",B730&amp;"|"&amp;C730)</f>
        <v/>
      </c>
      <c r="B730" s="174"/>
      <c r="C730" s="174"/>
      <c r="D730" s="174"/>
      <c r="E730" s="179"/>
      <c r="F730" s="174"/>
      <c r="G730" s="174"/>
      <c r="H730" s="174"/>
      <c r="I730" s="174"/>
      <c r="J730" s="174"/>
      <c r="K730" s="174"/>
      <c r="L730" s="174"/>
      <c r="M730" s="174"/>
      <c r="N730" s="174"/>
      <c r="O730" s="174"/>
      <c r="P730" s="174"/>
      <c r="Q730" s="174"/>
      <c r="R730" s="174"/>
      <c r="S730" s="174"/>
      <c r="T730" s="174"/>
      <c r="U730" s="174"/>
      <c r="V730" s="174"/>
      <c r="W730" s="174"/>
      <c r="X730" s="174"/>
      <c r="Y730" s="174"/>
      <c r="Z730" s="174"/>
      <c r="AA730" s="174"/>
    </row>
    <row r="731" customFormat="false" ht="15.75" hidden="false" customHeight="false" outlineLevel="0" collapsed="false">
      <c r="A731" s="174" t="str">
        <f aca="false">IF(ISBLANK(B731),"",B731&amp;"|"&amp;C731)</f>
        <v/>
      </c>
      <c r="B731" s="174"/>
      <c r="C731" s="174"/>
      <c r="D731" s="174"/>
      <c r="E731" s="179"/>
      <c r="F731" s="174"/>
      <c r="G731" s="174"/>
      <c r="H731" s="174"/>
      <c r="I731" s="174"/>
      <c r="J731" s="174"/>
      <c r="K731" s="174"/>
      <c r="L731" s="174"/>
      <c r="M731" s="174"/>
      <c r="N731" s="174"/>
      <c r="O731" s="174"/>
      <c r="P731" s="174"/>
      <c r="Q731" s="174"/>
      <c r="R731" s="174"/>
      <c r="S731" s="174"/>
      <c r="T731" s="174"/>
      <c r="U731" s="174"/>
      <c r="V731" s="174"/>
      <c r="W731" s="174"/>
      <c r="X731" s="174"/>
      <c r="Y731" s="174"/>
      <c r="Z731" s="174"/>
      <c r="AA731" s="174"/>
    </row>
    <row r="732" customFormat="false" ht="15.75" hidden="false" customHeight="false" outlineLevel="0" collapsed="false">
      <c r="A732" s="174" t="str">
        <f aca="false">IF(ISBLANK(B732),"",B732&amp;"|"&amp;C732)</f>
        <v/>
      </c>
      <c r="B732" s="174"/>
      <c r="C732" s="174"/>
      <c r="D732" s="174"/>
      <c r="E732" s="179"/>
      <c r="F732" s="174"/>
      <c r="G732" s="174"/>
      <c r="H732" s="174"/>
      <c r="I732" s="174"/>
      <c r="J732" s="174"/>
      <c r="K732" s="174"/>
      <c r="L732" s="174"/>
      <c r="M732" s="174"/>
      <c r="N732" s="174"/>
      <c r="O732" s="174"/>
      <c r="P732" s="174"/>
      <c r="Q732" s="174"/>
      <c r="R732" s="174"/>
      <c r="S732" s="174"/>
      <c r="T732" s="174"/>
      <c r="U732" s="174"/>
      <c r="V732" s="174"/>
      <c r="W732" s="174"/>
      <c r="X732" s="174"/>
      <c r="Y732" s="174"/>
      <c r="Z732" s="174"/>
      <c r="AA732" s="174"/>
    </row>
    <row r="733" customFormat="false" ht="15.75" hidden="false" customHeight="false" outlineLevel="0" collapsed="false">
      <c r="A733" s="174" t="str">
        <f aca="false">IF(ISBLANK(B733),"",B733&amp;"|"&amp;C733)</f>
        <v/>
      </c>
      <c r="B733" s="174"/>
      <c r="C733" s="174"/>
      <c r="D733" s="174"/>
      <c r="E733" s="179"/>
      <c r="F733" s="174"/>
      <c r="G733" s="174"/>
      <c r="H733" s="174"/>
      <c r="I733" s="174"/>
      <c r="J733" s="174"/>
      <c r="K733" s="174"/>
      <c r="L733" s="174"/>
      <c r="M733" s="174"/>
      <c r="N733" s="174"/>
      <c r="O733" s="174"/>
      <c r="P733" s="174"/>
      <c r="Q733" s="174"/>
      <c r="R733" s="174"/>
      <c r="S733" s="174"/>
      <c r="T733" s="174"/>
      <c r="U733" s="174"/>
      <c r="V733" s="174"/>
      <c r="W733" s="174"/>
      <c r="X733" s="174"/>
      <c r="Y733" s="174"/>
      <c r="Z733" s="174"/>
      <c r="AA733" s="174"/>
    </row>
    <row r="734" customFormat="false" ht="15.75" hidden="false" customHeight="false" outlineLevel="0" collapsed="false">
      <c r="A734" s="174" t="str">
        <f aca="false">IF(ISBLANK(B734),"",B734&amp;"|"&amp;C734)</f>
        <v/>
      </c>
      <c r="B734" s="174"/>
      <c r="C734" s="174"/>
      <c r="D734" s="174"/>
      <c r="E734" s="179"/>
      <c r="F734" s="174"/>
      <c r="G734" s="174"/>
      <c r="H734" s="174"/>
      <c r="I734" s="174"/>
      <c r="J734" s="174"/>
      <c r="K734" s="174"/>
      <c r="L734" s="174"/>
      <c r="M734" s="174"/>
      <c r="N734" s="174"/>
      <c r="O734" s="174"/>
      <c r="P734" s="174"/>
      <c r="Q734" s="174"/>
      <c r="R734" s="174"/>
      <c r="S734" s="174"/>
      <c r="T734" s="174"/>
      <c r="U734" s="174"/>
      <c r="V734" s="174"/>
      <c r="W734" s="174"/>
      <c r="X734" s="174"/>
      <c r="Y734" s="174"/>
      <c r="Z734" s="174"/>
      <c r="AA734" s="174"/>
    </row>
    <row r="735" customFormat="false" ht="15.75" hidden="false" customHeight="false" outlineLevel="0" collapsed="false">
      <c r="A735" s="174" t="str">
        <f aca="false">IF(ISBLANK(B735),"",B735&amp;"|"&amp;C735)</f>
        <v/>
      </c>
      <c r="B735" s="174"/>
      <c r="C735" s="174"/>
      <c r="D735" s="174"/>
      <c r="E735" s="179"/>
      <c r="F735" s="174"/>
      <c r="G735" s="174"/>
      <c r="H735" s="174"/>
      <c r="I735" s="174"/>
      <c r="J735" s="174"/>
      <c r="K735" s="174"/>
      <c r="L735" s="174"/>
      <c r="M735" s="174"/>
      <c r="N735" s="174"/>
      <c r="O735" s="174"/>
      <c r="P735" s="174"/>
      <c r="Q735" s="174"/>
      <c r="R735" s="174"/>
      <c r="S735" s="174"/>
      <c r="T735" s="174"/>
      <c r="U735" s="174"/>
      <c r="V735" s="174"/>
      <c r="W735" s="174"/>
      <c r="X735" s="174"/>
      <c r="Y735" s="174"/>
      <c r="Z735" s="174"/>
      <c r="AA735" s="174"/>
    </row>
    <row r="736" customFormat="false" ht="15.75" hidden="false" customHeight="false" outlineLevel="0" collapsed="false">
      <c r="A736" s="174" t="str">
        <f aca="false">IF(ISBLANK(B736),"",B736&amp;"|"&amp;C736)</f>
        <v/>
      </c>
      <c r="B736" s="174"/>
      <c r="C736" s="174"/>
      <c r="D736" s="174"/>
      <c r="E736" s="179"/>
      <c r="F736" s="174"/>
      <c r="G736" s="174"/>
      <c r="H736" s="174"/>
      <c r="I736" s="174"/>
      <c r="J736" s="174"/>
      <c r="K736" s="174"/>
      <c r="L736" s="174"/>
      <c r="M736" s="174"/>
      <c r="N736" s="174"/>
      <c r="O736" s="174"/>
      <c r="P736" s="174"/>
      <c r="Q736" s="174"/>
      <c r="R736" s="174"/>
      <c r="S736" s="174"/>
      <c r="T736" s="174"/>
      <c r="U736" s="174"/>
      <c r="V736" s="174"/>
      <c r="W736" s="174"/>
      <c r="X736" s="174"/>
      <c r="Y736" s="174"/>
      <c r="Z736" s="174"/>
      <c r="AA736" s="174"/>
    </row>
    <row r="737" customFormat="false" ht="15.75" hidden="false" customHeight="false" outlineLevel="0" collapsed="false">
      <c r="A737" s="174" t="str">
        <f aca="false">IF(ISBLANK(B737),"",B737&amp;"|"&amp;C737)</f>
        <v/>
      </c>
      <c r="B737" s="174"/>
      <c r="C737" s="174"/>
      <c r="D737" s="174"/>
      <c r="E737" s="179"/>
      <c r="F737" s="174"/>
      <c r="G737" s="174"/>
      <c r="H737" s="174"/>
      <c r="I737" s="174"/>
      <c r="J737" s="174"/>
      <c r="K737" s="174"/>
      <c r="L737" s="174"/>
      <c r="M737" s="174"/>
      <c r="N737" s="174"/>
      <c r="O737" s="174"/>
      <c r="P737" s="174"/>
      <c r="Q737" s="174"/>
      <c r="R737" s="174"/>
      <c r="S737" s="174"/>
      <c r="T737" s="174"/>
      <c r="U737" s="174"/>
      <c r="V737" s="174"/>
      <c r="W737" s="174"/>
      <c r="X737" s="174"/>
      <c r="Y737" s="174"/>
      <c r="Z737" s="174"/>
      <c r="AA737" s="174"/>
    </row>
    <row r="738" customFormat="false" ht="15.75" hidden="false" customHeight="false" outlineLevel="0" collapsed="false">
      <c r="A738" s="174" t="str">
        <f aca="false">IF(ISBLANK(B738),"",B738&amp;"|"&amp;C738)</f>
        <v/>
      </c>
      <c r="B738" s="174"/>
      <c r="C738" s="174"/>
      <c r="D738" s="174"/>
      <c r="E738" s="179"/>
      <c r="F738" s="174"/>
      <c r="G738" s="174"/>
      <c r="H738" s="174"/>
      <c r="I738" s="174"/>
      <c r="J738" s="174"/>
      <c r="K738" s="174"/>
      <c r="L738" s="174"/>
      <c r="M738" s="174"/>
      <c r="N738" s="174"/>
      <c r="O738" s="174"/>
      <c r="P738" s="174"/>
      <c r="Q738" s="174"/>
      <c r="R738" s="174"/>
      <c r="S738" s="174"/>
      <c r="T738" s="174"/>
      <c r="U738" s="174"/>
      <c r="V738" s="174"/>
      <c r="W738" s="174"/>
      <c r="X738" s="174"/>
      <c r="Y738" s="174"/>
      <c r="Z738" s="174"/>
      <c r="AA738" s="174"/>
    </row>
    <row r="739" customFormat="false" ht="15.75" hidden="false" customHeight="false" outlineLevel="0" collapsed="false">
      <c r="A739" s="174" t="str">
        <f aca="false">IF(ISBLANK(B739),"",B739&amp;"|"&amp;C739)</f>
        <v/>
      </c>
      <c r="B739" s="174"/>
      <c r="C739" s="174"/>
      <c r="D739" s="174"/>
      <c r="E739" s="179"/>
      <c r="F739" s="174"/>
      <c r="G739" s="174"/>
      <c r="H739" s="174"/>
      <c r="I739" s="174"/>
      <c r="J739" s="174"/>
      <c r="K739" s="174"/>
      <c r="L739" s="174"/>
      <c r="M739" s="174"/>
      <c r="N739" s="174"/>
      <c r="O739" s="174"/>
      <c r="P739" s="174"/>
      <c r="Q739" s="174"/>
      <c r="R739" s="174"/>
      <c r="S739" s="174"/>
      <c r="T739" s="174"/>
      <c r="U739" s="174"/>
      <c r="V739" s="174"/>
      <c r="W739" s="174"/>
      <c r="X739" s="174"/>
      <c r="Y739" s="174"/>
      <c r="Z739" s="174"/>
      <c r="AA739" s="174"/>
    </row>
    <row r="740" customFormat="false" ht="15.75" hidden="false" customHeight="false" outlineLevel="0" collapsed="false">
      <c r="A740" s="174" t="str">
        <f aca="false">IF(ISBLANK(B740),"",B740&amp;"|"&amp;C740)</f>
        <v/>
      </c>
      <c r="B740" s="174"/>
      <c r="C740" s="174"/>
      <c r="D740" s="174"/>
      <c r="E740" s="179"/>
      <c r="F740" s="174"/>
      <c r="G740" s="174"/>
      <c r="H740" s="174"/>
      <c r="I740" s="174"/>
      <c r="J740" s="174"/>
      <c r="K740" s="174"/>
      <c r="L740" s="174"/>
      <c r="M740" s="174"/>
      <c r="N740" s="174"/>
      <c r="O740" s="174"/>
      <c r="P740" s="174"/>
      <c r="Q740" s="174"/>
      <c r="R740" s="174"/>
      <c r="S740" s="174"/>
      <c r="T740" s="174"/>
      <c r="U740" s="174"/>
      <c r="V740" s="174"/>
      <c r="W740" s="174"/>
      <c r="X740" s="174"/>
      <c r="Y740" s="174"/>
      <c r="Z740" s="174"/>
      <c r="AA740" s="174"/>
    </row>
    <row r="741" customFormat="false" ht="15.75" hidden="false" customHeight="false" outlineLevel="0" collapsed="false">
      <c r="A741" s="174" t="str">
        <f aca="false">IF(ISBLANK(B741),"",B741&amp;"|"&amp;C741)</f>
        <v/>
      </c>
      <c r="B741" s="174"/>
      <c r="C741" s="174"/>
      <c r="D741" s="174"/>
      <c r="E741" s="179"/>
      <c r="F741" s="174"/>
      <c r="G741" s="174"/>
      <c r="H741" s="174"/>
      <c r="I741" s="174"/>
      <c r="J741" s="174"/>
      <c r="K741" s="174"/>
      <c r="L741" s="174"/>
      <c r="M741" s="174"/>
      <c r="N741" s="174"/>
      <c r="O741" s="174"/>
      <c r="P741" s="174"/>
      <c r="Q741" s="174"/>
      <c r="R741" s="174"/>
      <c r="S741" s="174"/>
      <c r="T741" s="174"/>
      <c r="U741" s="174"/>
      <c r="V741" s="174"/>
      <c r="W741" s="174"/>
      <c r="X741" s="174"/>
      <c r="Y741" s="174"/>
      <c r="Z741" s="174"/>
      <c r="AA741" s="174"/>
    </row>
    <row r="742" customFormat="false" ht="15.75" hidden="false" customHeight="false" outlineLevel="0" collapsed="false">
      <c r="A742" s="174" t="str">
        <f aca="false">IF(ISBLANK(B742),"",B742&amp;"|"&amp;C742)</f>
        <v/>
      </c>
      <c r="B742" s="174"/>
      <c r="C742" s="174"/>
      <c r="D742" s="174"/>
      <c r="E742" s="179"/>
      <c r="F742" s="174"/>
      <c r="G742" s="174"/>
      <c r="H742" s="174"/>
      <c r="I742" s="174"/>
      <c r="J742" s="174"/>
      <c r="K742" s="174"/>
      <c r="L742" s="174"/>
      <c r="M742" s="174"/>
      <c r="N742" s="174"/>
      <c r="O742" s="174"/>
      <c r="P742" s="174"/>
      <c r="Q742" s="174"/>
      <c r="R742" s="174"/>
      <c r="S742" s="174"/>
      <c r="T742" s="174"/>
      <c r="U742" s="174"/>
      <c r="V742" s="174"/>
      <c r="W742" s="174"/>
      <c r="X742" s="174"/>
      <c r="Y742" s="174"/>
      <c r="Z742" s="174"/>
      <c r="AA742" s="174"/>
    </row>
    <row r="743" customFormat="false" ht="15.75" hidden="false" customHeight="false" outlineLevel="0" collapsed="false">
      <c r="A743" s="174" t="str">
        <f aca="false">IF(ISBLANK(B743),"",B743&amp;"|"&amp;C743)</f>
        <v/>
      </c>
      <c r="B743" s="174"/>
      <c r="C743" s="174"/>
      <c r="D743" s="174"/>
      <c r="E743" s="179"/>
      <c r="F743" s="174"/>
      <c r="G743" s="174"/>
      <c r="H743" s="174"/>
      <c r="I743" s="174"/>
      <c r="J743" s="174"/>
      <c r="K743" s="174"/>
      <c r="L743" s="174"/>
      <c r="M743" s="174"/>
      <c r="N743" s="174"/>
      <c r="O743" s="174"/>
      <c r="P743" s="174"/>
      <c r="Q743" s="174"/>
      <c r="R743" s="174"/>
      <c r="S743" s="174"/>
      <c r="T743" s="174"/>
      <c r="U743" s="174"/>
      <c r="V743" s="174"/>
      <c r="W743" s="174"/>
      <c r="X743" s="174"/>
      <c r="Y743" s="174"/>
      <c r="Z743" s="174"/>
      <c r="AA743" s="174"/>
    </row>
    <row r="744" customFormat="false" ht="15.75" hidden="false" customHeight="false" outlineLevel="0" collapsed="false">
      <c r="A744" s="174" t="str">
        <f aca="false">IF(ISBLANK(B744),"",B744&amp;"|"&amp;C744)</f>
        <v/>
      </c>
      <c r="B744" s="174"/>
      <c r="C744" s="174"/>
      <c r="D744" s="174"/>
      <c r="E744" s="179"/>
      <c r="F744" s="174"/>
      <c r="G744" s="174"/>
      <c r="H744" s="174"/>
      <c r="I744" s="174"/>
      <c r="J744" s="174"/>
      <c r="K744" s="174"/>
      <c r="L744" s="174"/>
      <c r="M744" s="174"/>
      <c r="N744" s="174"/>
      <c r="O744" s="174"/>
      <c r="P744" s="174"/>
      <c r="Q744" s="174"/>
      <c r="R744" s="174"/>
      <c r="S744" s="174"/>
      <c r="T744" s="174"/>
      <c r="U744" s="174"/>
      <c r="V744" s="174"/>
      <c r="W744" s="174"/>
      <c r="X744" s="174"/>
      <c r="Y744" s="174"/>
      <c r="Z744" s="174"/>
      <c r="AA744" s="174"/>
    </row>
    <row r="745" customFormat="false" ht="15.75" hidden="false" customHeight="false" outlineLevel="0" collapsed="false">
      <c r="A745" s="174" t="str">
        <f aca="false">IF(ISBLANK(B745),"",B745&amp;"|"&amp;C745)</f>
        <v/>
      </c>
      <c r="B745" s="174"/>
      <c r="C745" s="174"/>
      <c r="D745" s="174"/>
      <c r="E745" s="179"/>
      <c r="F745" s="174"/>
      <c r="G745" s="174"/>
      <c r="H745" s="174"/>
      <c r="I745" s="174"/>
      <c r="J745" s="174"/>
      <c r="K745" s="174"/>
      <c r="L745" s="174"/>
      <c r="M745" s="174"/>
      <c r="N745" s="174"/>
      <c r="O745" s="174"/>
      <c r="P745" s="174"/>
      <c r="Q745" s="174"/>
      <c r="R745" s="174"/>
      <c r="S745" s="174"/>
      <c r="T745" s="174"/>
      <c r="U745" s="174"/>
      <c r="V745" s="174"/>
      <c r="W745" s="174"/>
      <c r="X745" s="174"/>
      <c r="Y745" s="174"/>
      <c r="Z745" s="174"/>
      <c r="AA745" s="174"/>
    </row>
    <row r="746" customFormat="false" ht="15.75" hidden="false" customHeight="false" outlineLevel="0" collapsed="false">
      <c r="A746" s="174" t="str">
        <f aca="false">IF(ISBLANK(B746),"",B746&amp;"|"&amp;C746)</f>
        <v/>
      </c>
      <c r="B746" s="174"/>
      <c r="C746" s="174"/>
      <c r="D746" s="174"/>
      <c r="E746" s="179"/>
      <c r="F746" s="174"/>
      <c r="G746" s="174"/>
      <c r="H746" s="174"/>
      <c r="I746" s="174"/>
      <c r="J746" s="174"/>
      <c r="K746" s="174"/>
      <c r="L746" s="174"/>
      <c r="M746" s="174"/>
      <c r="N746" s="174"/>
      <c r="O746" s="174"/>
      <c r="P746" s="174"/>
      <c r="Q746" s="174"/>
      <c r="R746" s="174"/>
      <c r="S746" s="174"/>
      <c r="T746" s="174"/>
      <c r="U746" s="174"/>
      <c r="V746" s="174"/>
      <c r="W746" s="174"/>
      <c r="X746" s="174"/>
      <c r="Y746" s="174"/>
      <c r="Z746" s="174"/>
      <c r="AA746" s="174"/>
    </row>
    <row r="747" customFormat="false" ht="15.75" hidden="false" customHeight="false" outlineLevel="0" collapsed="false">
      <c r="A747" s="174" t="str">
        <f aca="false">IF(ISBLANK(B747),"",B747&amp;"|"&amp;C747)</f>
        <v/>
      </c>
      <c r="B747" s="174"/>
      <c r="C747" s="174"/>
      <c r="D747" s="174"/>
      <c r="E747" s="179"/>
      <c r="F747" s="174"/>
      <c r="G747" s="174"/>
      <c r="H747" s="174"/>
      <c r="I747" s="174"/>
      <c r="J747" s="174"/>
      <c r="K747" s="174"/>
      <c r="L747" s="174"/>
      <c r="M747" s="174"/>
      <c r="N747" s="174"/>
      <c r="O747" s="174"/>
      <c r="P747" s="174"/>
      <c r="Q747" s="174"/>
      <c r="R747" s="174"/>
      <c r="S747" s="174"/>
      <c r="T747" s="174"/>
      <c r="U747" s="174"/>
      <c r="V747" s="174"/>
      <c r="W747" s="174"/>
      <c r="X747" s="174"/>
      <c r="Y747" s="174"/>
      <c r="Z747" s="174"/>
      <c r="AA747" s="174"/>
    </row>
    <row r="748" customFormat="false" ht="15.75" hidden="false" customHeight="false" outlineLevel="0" collapsed="false">
      <c r="A748" s="174" t="str">
        <f aca="false">IF(ISBLANK(B748),"",B748&amp;"|"&amp;C748)</f>
        <v/>
      </c>
      <c r="B748" s="174"/>
      <c r="C748" s="174"/>
      <c r="D748" s="174"/>
      <c r="E748" s="179"/>
      <c r="F748" s="174"/>
      <c r="G748" s="174"/>
      <c r="H748" s="174"/>
      <c r="I748" s="174"/>
      <c r="J748" s="174"/>
      <c r="K748" s="174"/>
      <c r="L748" s="174"/>
      <c r="M748" s="174"/>
      <c r="N748" s="174"/>
      <c r="O748" s="174"/>
      <c r="P748" s="174"/>
      <c r="Q748" s="174"/>
      <c r="R748" s="174"/>
      <c r="S748" s="174"/>
      <c r="T748" s="174"/>
      <c r="U748" s="174"/>
      <c r="V748" s="174"/>
      <c r="W748" s="174"/>
      <c r="X748" s="174"/>
      <c r="Y748" s="174"/>
      <c r="Z748" s="174"/>
      <c r="AA748" s="174"/>
    </row>
    <row r="749" customFormat="false" ht="15.75" hidden="false" customHeight="false" outlineLevel="0" collapsed="false">
      <c r="A749" s="174" t="str">
        <f aca="false">IF(ISBLANK(B749),"",B749&amp;"|"&amp;C749)</f>
        <v/>
      </c>
      <c r="B749" s="174"/>
      <c r="C749" s="174"/>
      <c r="D749" s="174"/>
      <c r="E749" s="179"/>
      <c r="F749" s="174"/>
      <c r="G749" s="174"/>
      <c r="H749" s="174"/>
      <c r="I749" s="174"/>
      <c r="J749" s="174"/>
      <c r="K749" s="174"/>
      <c r="L749" s="174"/>
      <c r="M749" s="174"/>
      <c r="N749" s="174"/>
      <c r="O749" s="174"/>
      <c r="P749" s="174"/>
      <c r="Q749" s="174"/>
      <c r="R749" s="174"/>
      <c r="S749" s="174"/>
      <c r="T749" s="174"/>
      <c r="U749" s="174"/>
      <c r="V749" s="174"/>
      <c r="W749" s="174"/>
      <c r="X749" s="174"/>
      <c r="Y749" s="174"/>
      <c r="Z749" s="174"/>
      <c r="AA749" s="174"/>
    </row>
    <row r="750" customFormat="false" ht="15.75" hidden="false" customHeight="false" outlineLevel="0" collapsed="false">
      <c r="A750" s="174" t="str">
        <f aca="false">IF(ISBLANK(B750),"",B750&amp;"|"&amp;C750)</f>
        <v/>
      </c>
      <c r="B750" s="174"/>
      <c r="C750" s="174"/>
      <c r="D750" s="174"/>
      <c r="E750" s="179"/>
      <c r="F750" s="174"/>
      <c r="G750" s="174"/>
      <c r="H750" s="174"/>
      <c r="I750" s="174"/>
      <c r="J750" s="174"/>
      <c r="K750" s="174"/>
      <c r="L750" s="174"/>
      <c r="M750" s="174"/>
      <c r="N750" s="174"/>
      <c r="O750" s="174"/>
      <c r="P750" s="174"/>
      <c r="Q750" s="174"/>
      <c r="R750" s="174"/>
      <c r="S750" s="174"/>
      <c r="T750" s="174"/>
      <c r="U750" s="174"/>
      <c r="V750" s="174"/>
      <c r="W750" s="174"/>
      <c r="X750" s="174"/>
      <c r="Y750" s="174"/>
      <c r="Z750" s="174"/>
      <c r="AA750" s="174"/>
    </row>
    <row r="751" customFormat="false" ht="15.75" hidden="false" customHeight="false" outlineLevel="0" collapsed="false">
      <c r="A751" s="174" t="str">
        <f aca="false">IF(ISBLANK(B751),"",B751&amp;"|"&amp;C751)</f>
        <v/>
      </c>
      <c r="B751" s="174"/>
      <c r="C751" s="174"/>
      <c r="D751" s="174"/>
      <c r="E751" s="179"/>
      <c r="F751" s="174"/>
      <c r="G751" s="174"/>
      <c r="H751" s="174"/>
      <c r="I751" s="174"/>
      <c r="J751" s="174"/>
      <c r="K751" s="174"/>
      <c r="L751" s="174"/>
      <c r="M751" s="174"/>
      <c r="N751" s="174"/>
      <c r="O751" s="174"/>
      <c r="P751" s="174"/>
      <c r="Q751" s="174"/>
      <c r="R751" s="174"/>
      <c r="S751" s="174"/>
      <c r="T751" s="174"/>
      <c r="U751" s="174"/>
      <c r="V751" s="174"/>
      <c r="W751" s="174"/>
      <c r="X751" s="174"/>
      <c r="Y751" s="174"/>
      <c r="Z751" s="174"/>
      <c r="AA751" s="174"/>
    </row>
    <row r="752" customFormat="false" ht="15.75" hidden="false" customHeight="false" outlineLevel="0" collapsed="false">
      <c r="A752" s="174" t="str">
        <f aca="false">IF(ISBLANK(B752),"",B752&amp;"|"&amp;C752)</f>
        <v/>
      </c>
      <c r="B752" s="174"/>
      <c r="C752" s="174"/>
      <c r="D752" s="174"/>
      <c r="E752" s="179"/>
      <c r="F752" s="174"/>
      <c r="G752" s="174"/>
      <c r="H752" s="174"/>
      <c r="I752" s="174"/>
      <c r="J752" s="174"/>
      <c r="K752" s="174"/>
      <c r="L752" s="174"/>
      <c r="M752" s="174"/>
      <c r="N752" s="174"/>
      <c r="O752" s="174"/>
      <c r="P752" s="174"/>
      <c r="Q752" s="174"/>
      <c r="R752" s="174"/>
      <c r="S752" s="174"/>
      <c r="T752" s="174"/>
      <c r="U752" s="174"/>
      <c r="V752" s="174"/>
      <c r="W752" s="174"/>
      <c r="X752" s="174"/>
      <c r="Y752" s="174"/>
      <c r="Z752" s="174"/>
      <c r="AA752" s="174"/>
    </row>
    <row r="753" customFormat="false" ht="15.75" hidden="false" customHeight="false" outlineLevel="0" collapsed="false">
      <c r="A753" s="174" t="str">
        <f aca="false">IF(ISBLANK(B753),"",B753&amp;"|"&amp;C753)</f>
        <v/>
      </c>
      <c r="B753" s="174"/>
      <c r="C753" s="174"/>
      <c r="D753" s="174"/>
      <c r="E753" s="179"/>
      <c r="F753" s="174"/>
      <c r="G753" s="174"/>
      <c r="H753" s="174"/>
      <c r="I753" s="174"/>
      <c r="J753" s="174"/>
      <c r="K753" s="174"/>
      <c r="L753" s="174"/>
      <c r="M753" s="174"/>
      <c r="N753" s="174"/>
      <c r="O753" s="174"/>
      <c r="P753" s="174"/>
      <c r="Q753" s="174"/>
      <c r="R753" s="174"/>
      <c r="S753" s="174"/>
      <c r="T753" s="174"/>
      <c r="U753" s="174"/>
      <c r="V753" s="174"/>
      <c r="W753" s="174"/>
      <c r="X753" s="174"/>
      <c r="Y753" s="174"/>
      <c r="Z753" s="174"/>
      <c r="AA753" s="174"/>
    </row>
    <row r="754" customFormat="false" ht="15.75" hidden="false" customHeight="false" outlineLevel="0" collapsed="false">
      <c r="A754" s="174" t="str">
        <f aca="false">IF(ISBLANK(B754),"",B754&amp;"|"&amp;C754)</f>
        <v/>
      </c>
      <c r="B754" s="174"/>
      <c r="C754" s="174"/>
      <c r="D754" s="174"/>
      <c r="E754" s="179"/>
      <c r="F754" s="174"/>
      <c r="G754" s="174"/>
      <c r="H754" s="174"/>
      <c r="I754" s="174"/>
      <c r="J754" s="174"/>
      <c r="K754" s="174"/>
      <c r="L754" s="174"/>
      <c r="M754" s="174"/>
      <c r="N754" s="174"/>
      <c r="O754" s="174"/>
      <c r="P754" s="174"/>
      <c r="Q754" s="174"/>
      <c r="R754" s="174"/>
      <c r="S754" s="174"/>
      <c r="T754" s="174"/>
      <c r="U754" s="174"/>
      <c r="V754" s="174"/>
      <c r="W754" s="174"/>
      <c r="X754" s="174"/>
      <c r="Y754" s="174"/>
      <c r="Z754" s="174"/>
      <c r="AA754" s="174"/>
    </row>
    <row r="755" customFormat="false" ht="15.75" hidden="false" customHeight="false" outlineLevel="0" collapsed="false">
      <c r="A755" s="174" t="str">
        <f aca="false">IF(ISBLANK(B755),"",B755&amp;"|"&amp;C755)</f>
        <v/>
      </c>
      <c r="B755" s="174"/>
      <c r="C755" s="174"/>
      <c r="D755" s="174"/>
      <c r="E755" s="179"/>
      <c r="F755" s="174"/>
      <c r="G755" s="174"/>
      <c r="H755" s="174"/>
      <c r="I755" s="174"/>
      <c r="J755" s="174"/>
      <c r="K755" s="174"/>
      <c r="L755" s="174"/>
      <c r="M755" s="174"/>
      <c r="N755" s="174"/>
      <c r="O755" s="174"/>
      <c r="P755" s="174"/>
      <c r="Q755" s="174"/>
      <c r="R755" s="174"/>
      <c r="S755" s="174"/>
      <c r="T755" s="174"/>
      <c r="U755" s="174"/>
      <c r="V755" s="174"/>
      <c r="W755" s="174"/>
      <c r="X755" s="174"/>
      <c r="Y755" s="174"/>
      <c r="Z755" s="174"/>
      <c r="AA755" s="174"/>
    </row>
    <row r="756" customFormat="false" ht="15.75" hidden="false" customHeight="false" outlineLevel="0" collapsed="false">
      <c r="A756" s="174" t="str">
        <f aca="false">IF(ISBLANK(B756),"",B756&amp;"|"&amp;C756)</f>
        <v/>
      </c>
      <c r="B756" s="174"/>
      <c r="C756" s="174"/>
      <c r="D756" s="174"/>
      <c r="E756" s="179"/>
      <c r="F756" s="174"/>
      <c r="G756" s="174"/>
      <c r="H756" s="174"/>
      <c r="I756" s="174"/>
      <c r="J756" s="174"/>
      <c r="K756" s="174"/>
      <c r="L756" s="174"/>
      <c r="M756" s="174"/>
      <c r="N756" s="174"/>
      <c r="O756" s="174"/>
      <c r="P756" s="174"/>
      <c r="Q756" s="174"/>
      <c r="R756" s="174"/>
      <c r="S756" s="174"/>
      <c r="T756" s="174"/>
      <c r="U756" s="174"/>
      <c r="V756" s="174"/>
      <c r="W756" s="174"/>
      <c r="X756" s="174"/>
      <c r="Y756" s="174"/>
      <c r="Z756" s="174"/>
      <c r="AA756" s="174"/>
    </row>
    <row r="757" customFormat="false" ht="15.75" hidden="false" customHeight="false" outlineLevel="0" collapsed="false">
      <c r="A757" s="174" t="str">
        <f aca="false">IF(ISBLANK(B757),"",B757&amp;"|"&amp;C757)</f>
        <v/>
      </c>
      <c r="B757" s="174"/>
      <c r="C757" s="174"/>
      <c r="D757" s="174"/>
      <c r="E757" s="179"/>
      <c r="F757" s="174"/>
      <c r="G757" s="174"/>
      <c r="H757" s="174"/>
      <c r="I757" s="174"/>
      <c r="J757" s="174"/>
      <c r="K757" s="174"/>
      <c r="L757" s="174"/>
      <c r="M757" s="174"/>
      <c r="N757" s="174"/>
      <c r="O757" s="174"/>
      <c r="P757" s="174"/>
      <c r="Q757" s="174"/>
      <c r="R757" s="174"/>
      <c r="S757" s="174"/>
      <c r="T757" s="174"/>
      <c r="U757" s="174"/>
      <c r="V757" s="174"/>
      <c r="W757" s="174"/>
      <c r="X757" s="174"/>
      <c r="Y757" s="174"/>
      <c r="Z757" s="174"/>
      <c r="AA757" s="174"/>
    </row>
    <row r="758" customFormat="false" ht="15.75" hidden="false" customHeight="false" outlineLevel="0" collapsed="false">
      <c r="A758" s="174" t="str">
        <f aca="false">IF(ISBLANK(B758),"",B758&amp;"|"&amp;C758)</f>
        <v/>
      </c>
      <c r="B758" s="174"/>
      <c r="C758" s="174"/>
      <c r="D758" s="174"/>
      <c r="E758" s="179"/>
      <c r="F758" s="174"/>
      <c r="G758" s="174"/>
      <c r="H758" s="174"/>
      <c r="I758" s="174"/>
      <c r="J758" s="174"/>
      <c r="K758" s="174"/>
      <c r="L758" s="174"/>
      <c r="M758" s="174"/>
      <c r="N758" s="174"/>
      <c r="O758" s="174"/>
      <c r="P758" s="174"/>
      <c r="Q758" s="174"/>
      <c r="R758" s="174"/>
      <c r="S758" s="174"/>
      <c r="T758" s="174"/>
      <c r="U758" s="174"/>
      <c r="V758" s="174"/>
      <c r="W758" s="174"/>
      <c r="X758" s="174"/>
      <c r="Y758" s="174"/>
      <c r="Z758" s="174"/>
      <c r="AA758" s="174"/>
    </row>
    <row r="759" customFormat="false" ht="15.75" hidden="false" customHeight="false" outlineLevel="0" collapsed="false">
      <c r="A759" s="174" t="str">
        <f aca="false">IF(ISBLANK(B759),"",B759&amp;"|"&amp;C759)</f>
        <v/>
      </c>
      <c r="B759" s="174"/>
      <c r="C759" s="174"/>
      <c r="D759" s="174"/>
      <c r="E759" s="179"/>
      <c r="F759" s="174"/>
      <c r="G759" s="174"/>
      <c r="H759" s="174"/>
      <c r="I759" s="174"/>
      <c r="J759" s="174"/>
      <c r="K759" s="174"/>
      <c r="L759" s="174"/>
      <c r="M759" s="174"/>
      <c r="N759" s="174"/>
      <c r="O759" s="174"/>
      <c r="P759" s="174"/>
      <c r="Q759" s="174"/>
      <c r="R759" s="174"/>
      <c r="S759" s="174"/>
      <c r="T759" s="174"/>
      <c r="U759" s="174"/>
      <c r="V759" s="174"/>
      <c r="W759" s="174"/>
      <c r="X759" s="174"/>
      <c r="Y759" s="174"/>
      <c r="Z759" s="174"/>
      <c r="AA759" s="174"/>
    </row>
    <row r="760" customFormat="false" ht="15.75" hidden="false" customHeight="false" outlineLevel="0" collapsed="false">
      <c r="A760" s="174" t="str">
        <f aca="false">IF(ISBLANK(B760),"",B760&amp;"|"&amp;C760)</f>
        <v/>
      </c>
      <c r="B760" s="174"/>
      <c r="C760" s="174"/>
      <c r="D760" s="174"/>
      <c r="E760" s="179"/>
      <c r="F760" s="174"/>
      <c r="G760" s="174"/>
      <c r="H760" s="174"/>
      <c r="I760" s="174"/>
      <c r="J760" s="174"/>
      <c r="K760" s="174"/>
      <c r="L760" s="174"/>
      <c r="M760" s="174"/>
      <c r="N760" s="174"/>
      <c r="O760" s="174"/>
      <c r="P760" s="174"/>
      <c r="Q760" s="174"/>
      <c r="R760" s="174"/>
      <c r="S760" s="174"/>
      <c r="T760" s="174"/>
      <c r="U760" s="174"/>
      <c r="V760" s="174"/>
      <c r="W760" s="174"/>
      <c r="X760" s="174"/>
      <c r="Y760" s="174"/>
      <c r="Z760" s="174"/>
      <c r="AA760" s="174"/>
    </row>
    <row r="761" customFormat="false" ht="15.75" hidden="false" customHeight="false" outlineLevel="0" collapsed="false">
      <c r="A761" s="174" t="str">
        <f aca="false">IF(ISBLANK(B761),"",B761&amp;"|"&amp;C761)</f>
        <v/>
      </c>
      <c r="B761" s="174"/>
      <c r="C761" s="174"/>
      <c r="D761" s="174"/>
      <c r="E761" s="179"/>
      <c r="F761" s="174"/>
      <c r="G761" s="174"/>
      <c r="H761" s="174"/>
      <c r="I761" s="174"/>
      <c r="J761" s="174"/>
      <c r="K761" s="174"/>
      <c r="L761" s="174"/>
      <c r="M761" s="174"/>
      <c r="N761" s="174"/>
      <c r="O761" s="174"/>
      <c r="P761" s="174"/>
      <c r="Q761" s="174"/>
      <c r="R761" s="174"/>
      <c r="S761" s="174"/>
      <c r="T761" s="174"/>
      <c r="U761" s="174"/>
      <c r="V761" s="174"/>
      <c r="W761" s="174"/>
      <c r="X761" s="174"/>
      <c r="Y761" s="174"/>
      <c r="Z761" s="174"/>
      <c r="AA761" s="174"/>
    </row>
    <row r="762" customFormat="false" ht="15.75" hidden="false" customHeight="false" outlineLevel="0" collapsed="false">
      <c r="A762" s="174" t="str">
        <f aca="false">IF(ISBLANK(B762),"",B762&amp;"|"&amp;C762)</f>
        <v/>
      </c>
      <c r="B762" s="174"/>
      <c r="C762" s="174"/>
      <c r="D762" s="174"/>
      <c r="E762" s="179"/>
      <c r="F762" s="174"/>
      <c r="G762" s="174"/>
      <c r="H762" s="174"/>
      <c r="I762" s="174"/>
      <c r="J762" s="174"/>
      <c r="K762" s="174"/>
      <c r="L762" s="174"/>
      <c r="M762" s="174"/>
      <c r="N762" s="174"/>
      <c r="O762" s="174"/>
      <c r="P762" s="174"/>
      <c r="Q762" s="174"/>
      <c r="R762" s="174"/>
      <c r="S762" s="174"/>
      <c r="T762" s="174"/>
      <c r="U762" s="174"/>
      <c r="V762" s="174"/>
      <c r="W762" s="174"/>
      <c r="X762" s="174"/>
      <c r="Y762" s="174"/>
      <c r="Z762" s="174"/>
      <c r="AA762" s="174"/>
    </row>
    <row r="763" customFormat="false" ht="15.75" hidden="false" customHeight="false" outlineLevel="0" collapsed="false">
      <c r="A763" s="174" t="str">
        <f aca="false">IF(ISBLANK(B763),"",B763&amp;"|"&amp;C763)</f>
        <v/>
      </c>
      <c r="B763" s="174"/>
      <c r="C763" s="174"/>
      <c r="D763" s="174"/>
      <c r="E763" s="179"/>
      <c r="F763" s="174"/>
      <c r="G763" s="174"/>
      <c r="H763" s="174"/>
      <c r="I763" s="174"/>
      <c r="J763" s="174"/>
      <c r="K763" s="174"/>
      <c r="L763" s="174"/>
      <c r="M763" s="174"/>
      <c r="N763" s="174"/>
      <c r="O763" s="174"/>
      <c r="P763" s="174"/>
      <c r="Q763" s="174"/>
      <c r="R763" s="174"/>
      <c r="S763" s="174"/>
      <c r="T763" s="174"/>
      <c r="U763" s="174"/>
      <c r="V763" s="174"/>
      <c r="W763" s="174"/>
      <c r="X763" s="174"/>
      <c r="Y763" s="174"/>
      <c r="Z763" s="174"/>
      <c r="AA763" s="174"/>
    </row>
    <row r="764" customFormat="false" ht="15.75" hidden="false" customHeight="false" outlineLevel="0" collapsed="false">
      <c r="A764" s="174" t="str">
        <f aca="false">IF(ISBLANK(B764),"",B764&amp;"|"&amp;C764)</f>
        <v/>
      </c>
      <c r="B764" s="174"/>
      <c r="C764" s="174"/>
      <c r="D764" s="174"/>
      <c r="E764" s="179"/>
      <c r="F764" s="174"/>
      <c r="G764" s="174"/>
      <c r="H764" s="174"/>
      <c r="I764" s="174"/>
      <c r="J764" s="174"/>
      <c r="K764" s="174"/>
      <c r="L764" s="174"/>
      <c r="M764" s="174"/>
      <c r="N764" s="174"/>
      <c r="O764" s="174"/>
      <c r="P764" s="174"/>
      <c r="Q764" s="174"/>
      <c r="R764" s="174"/>
      <c r="S764" s="174"/>
      <c r="T764" s="174"/>
      <c r="U764" s="174"/>
      <c r="V764" s="174"/>
      <c r="W764" s="174"/>
      <c r="X764" s="174"/>
      <c r="Y764" s="174"/>
      <c r="Z764" s="174"/>
      <c r="AA764" s="174"/>
    </row>
    <row r="765" customFormat="false" ht="15.75" hidden="false" customHeight="false" outlineLevel="0" collapsed="false">
      <c r="A765" s="174" t="str">
        <f aca="false">IF(ISBLANK(B765),"",B765&amp;"|"&amp;C765)</f>
        <v/>
      </c>
      <c r="B765" s="174"/>
      <c r="C765" s="174"/>
      <c r="D765" s="174"/>
      <c r="E765" s="179"/>
      <c r="F765" s="174"/>
      <c r="G765" s="174"/>
      <c r="H765" s="174"/>
      <c r="I765" s="174"/>
      <c r="J765" s="174"/>
      <c r="K765" s="174"/>
      <c r="L765" s="174"/>
      <c r="M765" s="174"/>
      <c r="N765" s="174"/>
      <c r="O765" s="174"/>
      <c r="P765" s="174"/>
      <c r="Q765" s="174"/>
      <c r="R765" s="174"/>
      <c r="S765" s="174"/>
      <c r="T765" s="174"/>
      <c r="U765" s="174"/>
      <c r="V765" s="174"/>
      <c r="W765" s="174"/>
      <c r="X765" s="174"/>
      <c r="Y765" s="174"/>
      <c r="Z765" s="174"/>
      <c r="AA765" s="174"/>
    </row>
    <row r="766" customFormat="false" ht="15.75" hidden="false" customHeight="false" outlineLevel="0" collapsed="false">
      <c r="A766" s="174" t="str">
        <f aca="false">IF(ISBLANK(B766),"",B766&amp;"|"&amp;C766)</f>
        <v/>
      </c>
      <c r="B766" s="174"/>
      <c r="C766" s="174"/>
      <c r="D766" s="174"/>
      <c r="E766" s="179"/>
      <c r="F766" s="174"/>
      <c r="G766" s="174"/>
      <c r="H766" s="174"/>
      <c r="I766" s="174"/>
      <c r="J766" s="174"/>
      <c r="K766" s="174"/>
      <c r="L766" s="174"/>
      <c r="M766" s="174"/>
      <c r="N766" s="174"/>
      <c r="O766" s="174"/>
      <c r="P766" s="174"/>
      <c r="Q766" s="174"/>
      <c r="R766" s="174"/>
      <c r="S766" s="174"/>
      <c r="T766" s="174"/>
      <c r="U766" s="174"/>
      <c r="V766" s="174"/>
      <c r="W766" s="174"/>
      <c r="X766" s="174"/>
      <c r="Y766" s="174"/>
      <c r="Z766" s="174"/>
      <c r="AA766" s="174"/>
    </row>
    <row r="767" customFormat="false" ht="15.75" hidden="false" customHeight="false" outlineLevel="0" collapsed="false">
      <c r="A767" s="174" t="str">
        <f aca="false">IF(ISBLANK(B767),"",B767&amp;"|"&amp;C767)</f>
        <v/>
      </c>
      <c r="B767" s="174"/>
      <c r="C767" s="174"/>
      <c r="D767" s="174"/>
      <c r="E767" s="179"/>
      <c r="F767" s="174"/>
      <c r="G767" s="174"/>
      <c r="H767" s="174"/>
      <c r="I767" s="174"/>
      <c r="J767" s="174"/>
      <c r="K767" s="174"/>
      <c r="L767" s="174"/>
      <c r="M767" s="174"/>
      <c r="N767" s="174"/>
      <c r="O767" s="174"/>
      <c r="P767" s="174"/>
      <c r="Q767" s="174"/>
      <c r="R767" s="174"/>
      <c r="S767" s="174"/>
      <c r="T767" s="174"/>
      <c r="U767" s="174"/>
      <c r="V767" s="174"/>
      <c r="W767" s="174"/>
      <c r="X767" s="174"/>
      <c r="Y767" s="174"/>
      <c r="Z767" s="174"/>
      <c r="AA767" s="174"/>
    </row>
    <row r="768" customFormat="false" ht="15.75" hidden="false" customHeight="false" outlineLevel="0" collapsed="false">
      <c r="A768" s="174" t="str">
        <f aca="false">IF(ISBLANK(B768),"",B768&amp;"|"&amp;C768)</f>
        <v/>
      </c>
      <c r="B768" s="174"/>
      <c r="C768" s="174"/>
      <c r="D768" s="174"/>
      <c r="E768" s="179"/>
      <c r="F768" s="174"/>
      <c r="G768" s="174"/>
      <c r="H768" s="174"/>
      <c r="I768" s="174"/>
      <c r="J768" s="174"/>
      <c r="K768" s="174"/>
      <c r="L768" s="174"/>
      <c r="M768" s="174"/>
      <c r="N768" s="174"/>
      <c r="O768" s="174"/>
      <c r="P768" s="174"/>
      <c r="Q768" s="174"/>
      <c r="R768" s="174"/>
      <c r="S768" s="174"/>
      <c r="T768" s="174"/>
      <c r="U768" s="174"/>
      <c r="V768" s="174"/>
      <c r="W768" s="174"/>
      <c r="X768" s="174"/>
      <c r="Y768" s="174"/>
      <c r="Z768" s="174"/>
      <c r="AA768" s="174"/>
    </row>
    <row r="769" customFormat="false" ht="15.75" hidden="false" customHeight="false" outlineLevel="0" collapsed="false">
      <c r="A769" s="174" t="str">
        <f aca="false">IF(ISBLANK(B769),"",B769&amp;"|"&amp;C769)</f>
        <v/>
      </c>
      <c r="B769" s="174"/>
      <c r="C769" s="174"/>
      <c r="D769" s="174"/>
      <c r="E769" s="179"/>
      <c r="F769" s="174"/>
      <c r="G769" s="174"/>
      <c r="H769" s="174"/>
      <c r="I769" s="174"/>
      <c r="J769" s="174"/>
      <c r="K769" s="174"/>
      <c r="L769" s="174"/>
      <c r="M769" s="174"/>
      <c r="N769" s="174"/>
      <c r="O769" s="174"/>
      <c r="P769" s="174"/>
      <c r="Q769" s="174"/>
      <c r="R769" s="174"/>
      <c r="S769" s="174"/>
      <c r="T769" s="174"/>
      <c r="U769" s="174"/>
      <c r="V769" s="174"/>
      <c r="W769" s="174"/>
      <c r="X769" s="174"/>
      <c r="Y769" s="174"/>
      <c r="Z769" s="174"/>
      <c r="AA769" s="174"/>
    </row>
    <row r="770" customFormat="false" ht="15.75" hidden="false" customHeight="false" outlineLevel="0" collapsed="false">
      <c r="A770" s="174" t="str">
        <f aca="false">IF(ISBLANK(B770),"",B770&amp;"|"&amp;C770)</f>
        <v/>
      </c>
      <c r="B770" s="174"/>
      <c r="C770" s="174"/>
      <c r="D770" s="174"/>
      <c r="E770" s="179"/>
      <c r="F770" s="174"/>
      <c r="G770" s="174"/>
      <c r="H770" s="174"/>
      <c r="I770" s="174"/>
      <c r="J770" s="174"/>
      <c r="K770" s="174"/>
      <c r="L770" s="174"/>
      <c r="M770" s="174"/>
      <c r="N770" s="174"/>
      <c r="O770" s="174"/>
      <c r="P770" s="174"/>
      <c r="Q770" s="174"/>
      <c r="R770" s="174"/>
      <c r="S770" s="174"/>
      <c r="T770" s="174"/>
      <c r="U770" s="174"/>
      <c r="V770" s="174"/>
      <c r="W770" s="174"/>
      <c r="X770" s="174"/>
      <c r="Y770" s="174"/>
      <c r="Z770" s="174"/>
      <c r="AA770" s="174"/>
    </row>
    <row r="771" customFormat="false" ht="15.75" hidden="false" customHeight="false" outlineLevel="0" collapsed="false">
      <c r="A771" s="174" t="str">
        <f aca="false">IF(ISBLANK(B771),"",B771&amp;"|"&amp;C771)</f>
        <v/>
      </c>
      <c r="B771" s="174"/>
      <c r="C771" s="174"/>
      <c r="D771" s="174"/>
      <c r="E771" s="179"/>
      <c r="F771" s="174"/>
      <c r="G771" s="174"/>
      <c r="H771" s="174"/>
      <c r="I771" s="174"/>
      <c r="J771" s="174"/>
      <c r="K771" s="174"/>
      <c r="L771" s="174"/>
      <c r="M771" s="174"/>
      <c r="N771" s="174"/>
      <c r="O771" s="174"/>
      <c r="P771" s="174"/>
      <c r="Q771" s="174"/>
      <c r="R771" s="174"/>
      <c r="S771" s="174"/>
      <c r="T771" s="174"/>
      <c r="U771" s="174"/>
      <c r="V771" s="174"/>
      <c r="W771" s="174"/>
      <c r="X771" s="174"/>
      <c r="Y771" s="174"/>
      <c r="Z771" s="174"/>
      <c r="AA771" s="174"/>
    </row>
    <row r="772" customFormat="false" ht="15.75" hidden="false" customHeight="false" outlineLevel="0" collapsed="false">
      <c r="A772" s="174" t="str">
        <f aca="false">IF(ISBLANK(B772),"",B772&amp;"|"&amp;C772)</f>
        <v/>
      </c>
      <c r="B772" s="174"/>
      <c r="C772" s="174"/>
      <c r="D772" s="174"/>
      <c r="E772" s="179"/>
      <c r="F772" s="174"/>
      <c r="G772" s="174"/>
      <c r="H772" s="174"/>
      <c r="I772" s="174"/>
      <c r="J772" s="174"/>
      <c r="K772" s="174"/>
      <c r="L772" s="174"/>
      <c r="M772" s="174"/>
      <c r="N772" s="174"/>
      <c r="O772" s="174"/>
      <c r="P772" s="174"/>
      <c r="Q772" s="174"/>
      <c r="R772" s="174"/>
      <c r="S772" s="174"/>
      <c r="T772" s="174"/>
      <c r="U772" s="174"/>
      <c r="V772" s="174"/>
      <c r="W772" s="174"/>
      <c r="X772" s="174"/>
      <c r="Y772" s="174"/>
      <c r="Z772" s="174"/>
      <c r="AA772" s="174"/>
    </row>
    <row r="773" customFormat="false" ht="15.75" hidden="false" customHeight="false" outlineLevel="0" collapsed="false">
      <c r="A773" s="174" t="str">
        <f aca="false">IF(ISBLANK(B773),"",B773&amp;"|"&amp;C773)</f>
        <v/>
      </c>
      <c r="B773" s="174"/>
      <c r="C773" s="174"/>
      <c r="D773" s="174"/>
      <c r="E773" s="179"/>
      <c r="F773" s="174"/>
      <c r="G773" s="174"/>
      <c r="H773" s="174"/>
      <c r="I773" s="174"/>
      <c r="J773" s="174"/>
      <c r="K773" s="174"/>
      <c r="L773" s="174"/>
      <c r="M773" s="174"/>
      <c r="N773" s="174"/>
      <c r="O773" s="174"/>
      <c r="P773" s="174"/>
      <c r="Q773" s="174"/>
      <c r="R773" s="174"/>
      <c r="S773" s="174"/>
      <c r="T773" s="174"/>
      <c r="U773" s="174"/>
      <c r="V773" s="174"/>
      <c r="W773" s="174"/>
      <c r="X773" s="174"/>
      <c r="Y773" s="174"/>
      <c r="Z773" s="174"/>
      <c r="AA773" s="174"/>
    </row>
    <row r="774" customFormat="false" ht="15.75" hidden="false" customHeight="false" outlineLevel="0" collapsed="false">
      <c r="A774" s="174" t="str">
        <f aca="false">IF(ISBLANK(B774),"",B774&amp;"|"&amp;C774)</f>
        <v/>
      </c>
      <c r="B774" s="174"/>
      <c r="C774" s="174"/>
      <c r="D774" s="174"/>
      <c r="E774" s="179"/>
      <c r="F774" s="174"/>
      <c r="G774" s="174"/>
      <c r="H774" s="174"/>
      <c r="I774" s="174"/>
      <c r="J774" s="174"/>
      <c r="K774" s="174"/>
      <c r="L774" s="174"/>
      <c r="M774" s="174"/>
      <c r="N774" s="174"/>
      <c r="O774" s="174"/>
      <c r="P774" s="174"/>
      <c r="Q774" s="174"/>
      <c r="R774" s="174"/>
      <c r="S774" s="174"/>
      <c r="T774" s="174"/>
      <c r="U774" s="174"/>
      <c r="V774" s="174"/>
      <c r="W774" s="174"/>
      <c r="X774" s="174"/>
      <c r="Y774" s="174"/>
      <c r="Z774" s="174"/>
      <c r="AA774" s="174"/>
    </row>
    <row r="775" customFormat="false" ht="15.75" hidden="false" customHeight="false" outlineLevel="0" collapsed="false">
      <c r="A775" s="174" t="str">
        <f aca="false">IF(ISBLANK(B775),"",B775&amp;"|"&amp;C775)</f>
        <v/>
      </c>
      <c r="B775" s="174"/>
      <c r="C775" s="174"/>
      <c r="D775" s="174"/>
      <c r="E775" s="179"/>
      <c r="F775" s="174"/>
      <c r="G775" s="174"/>
      <c r="H775" s="174"/>
      <c r="I775" s="174"/>
      <c r="J775" s="174"/>
      <c r="K775" s="174"/>
      <c r="L775" s="174"/>
      <c r="M775" s="174"/>
      <c r="N775" s="174"/>
      <c r="O775" s="174"/>
      <c r="P775" s="174"/>
      <c r="Q775" s="174"/>
      <c r="R775" s="174"/>
      <c r="S775" s="174"/>
      <c r="T775" s="174"/>
      <c r="U775" s="174"/>
      <c r="V775" s="174"/>
      <c r="W775" s="174"/>
      <c r="X775" s="174"/>
      <c r="Y775" s="174"/>
      <c r="Z775" s="174"/>
      <c r="AA775" s="174"/>
    </row>
    <row r="776" customFormat="false" ht="15.75" hidden="false" customHeight="false" outlineLevel="0" collapsed="false">
      <c r="A776" s="174" t="str">
        <f aca="false">IF(ISBLANK(B776),"",B776&amp;"|"&amp;C776)</f>
        <v/>
      </c>
      <c r="B776" s="174"/>
      <c r="C776" s="174"/>
      <c r="D776" s="174"/>
      <c r="E776" s="179"/>
      <c r="F776" s="174"/>
      <c r="G776" s="174"/>
      <c r="H776" s="174"/>
      <c r="I776" s="174"/>
      <c r="J776" s="174"/>
      <c r="K776" s="174"/>
      <c r="L776" s="174"/>
      <c r="M776" s="174"/>
      <c r="N776" s="174"/>
      <c r="O776" s="174"/>
      <c r="P776" s="174"/>
      <c r="Q776" s="174"/>
      <c r="R776" s="174"/>
      <c r="S776" s="174"/>
      <c r="T776" s="174"/>
      <c r="U776" s="174"/>
      <c r="V776" s="174"/>
      <c r="W776" s="174"/>
      <c r="X776" s="174"/>
      <c r="Y776" s="174"/>
      <c r="Z776" s="174"/>
      <c r="AA776" s="174"/>
    </row>
    <row r="777" customFormat="false" ht="15.75" hidden="false" customHeight="false" outlineLevel="0" collapsed="false">
      <c r="A777" s="174" t="str">
        <f aca="false">IF(ISBLANK(B777),"",B777&amp;"|"&amp;C777)</f>
        <v/>
      </c>
      <c r="B777" s="174"/>
      <c r="C777" s="174"/>
      <c r="D777" s="174"/>
      <c r="E777" s="179"/>
      <c r="F777" s="174"/>
      <c r="G777" s="174"/>
      <c r="H777" s="174"/>
      <c r="I777" s="174"/>
      <c r="J777" s="174"/>
      <c r="K777" s="174"/>
      <c r="L777" s="174"/>
      <c r="M777" s="174"/>
      <c r="N777" s="174"/>
      <c r="O777" s="174"/>
      <c r="P777" s="174"/>
      <c r="Q777" s="174"/>
      <c r="R777" s="174"/>
      <c r="S777" s="174"/>
      <c r="T777" s="174"/>
      <c r="U777" s="174"/>
      <c r="V777" s="174"/>
      <c r="W777" s="174"/>
      <c r="X777" s="174"/>
      <c r="Y777" s="174"/>
      <c r="Z777" s="174"/>
      <c r="AA777" s="174"/>
    </row>
    <row r="778" customFormat="false" ht="15.75" hidden="false" customHeight="false" outlineLevel="0" collapsed="false">
      <c r="A778" s="174" t="str">
        <f aca="false">IF(ISBLANK(B778),"",B778&amp;"|"&amp;C778)</f>
        <v/>
      </c>
      <c r="B778" s="174"/>
      <c r="C778" s="174"/>
      <c r="D778" s="174"/>
      <c r="E778" s="179"/>
      <c r="F778" s="174"/>
      <c r="G778" s="174"/>
      <c r="H778" s="174"/>
      <c r="I778" s="174"/>
      <c r="J778" s="174"/>
      <c r="K778" s="174"/>
      <c r="L778" s="174"/>
      <c r="M778" s="174"/>
      <c r="N778" s="174"/>
      <c r="O778" s="174"/>
      <c r="P778" s="174"/>
      <c r="Q778" s="174"/>
      <c r="R778" s="174"/>
      <c r="S778" s="174"/>
      <c r="T778" s="174"/>
      <c r="U778" s="174"/>
      <c r="V778" s="174"/>
      <c r="W778" s="174"/>
      <c r="X778" s="174"/>
      <c r="Y778" s="174"/>
      <c r="Z778" s="174"/>
      <c r="AA778" s="174"/>
    </row>
    <row r="779" customFormat="false" ht="15.75" hidden="false" customHeight="false" outlineLevel="0" collapsed="false">
      <c r="A779" s="174" t="str">
        <f aca="false">IF(ISBLANK(B779),"",B779&amp;"|"&amp;C779)</f>
        <v/>
      </c>
      <c r="B779" s="174"/>
      <c r="C779" s="174"/>
      <c r="D779" s="174"/>
      <c r="E779" s="179"/>
      <c r="F779" s="174"/>
      <c r="G779" s="174"/>
      <c r="H779" s="174"/>
      <c r="I779" s="174"/>
      <c r="J779" s="174"/>
      <c r="K779" s="174"/>
      <c r="L779" s="174"/>
      <c r="M779" s="174"/>
      <c r="N779" s="174"/>
      <c r="O779" s="174"/>
      <c r="P779" s="174"/>
      <c r="Q779" s="174"/>
      <c r="R779" s="174"/>
      <c r="S779" s="174"/>
      <c r="T779" s="174"/>
      <c r="U779" s="174"/>
      <c r="V779" s="174"/>
      <c r="W779" s="174"/>
      <c r="X779" s="174"/>
      <c r="Y779" s="174"/>
      <c r="Z779" s="174"/>
      <c r="AA779" s="174"/>
    </row>
    <row r="780" customFormat="false" ht="15.75" hidden="false" customHeight="false" outlineLevel="0" collapsed="false">
      <c r="A780" s="174" t="str">
        <f aca="false">IF(ISBLANK(B780),"",B780&amp;"|"&amp;C780)</f>
        <v/>
      </c>
      <c r="B780" s="174"/>
      <c r="C780" s="174"/>
      <c r="D780" s="174"/>
      <c r="E780" s="179"/>
      <c r="F780" s="174"/>
      <c r="G780" s="174"/>
      <c r="H780" s="174"/>
      <c r="I780" s="174"/>
      <c r="J780" s="174"/>
      <c r="K780" s="174"/>
      <c r="L780" s="174"/>
      <c r="M780" s="174"/>
      <c r="N780" s="174"/>
      <c r="O780" s="174"/>
      <c r="P780" s="174"/>
      <c r="Q780" s="174"/>
      <c r="R780" s="174"/>
      <c r="S780" s="174"/>
      <c r="T780" s="174"/>
      <c r="U780" s="174"/>
      <c r="V780" s="174"/>
      <c r="W780" s="174"/>
      <c r="X780" s="174"/>
      <c r="Y780" s="174"/>
      <c r="Z780" s="174"/>
      <c r="AA780" s="174"/>
    </row>
    <row r="781" customFormat="false" ht="15.75" hidden="false" customHeight="false" outlineLevel="0" collapsed="false">
      <c r="A781" s="174" t="str">
        <f aca="false">IF(ISBLANK(B781),"",B781&amp;"|"&amp;C781)</f>
        <v/>
      </c>
      <c r="B781" s="174"/>
      <c r="C781" s="174"/>
      <c r="D781" s="174"/>
      <c r="E781" s="179"/>
      <c r="F781" s="174"/>
      <c r="G781" s="174"/>
      <c r="H781" s="174"/>
      <c r="I781" s="174"/>
      <c r="J781" s="174"/>
      <c r="K781" s="174"/>
      <c r="L781" s="174"/>
      <c r="M781" s="174"/>
      <c r="N781" s="174"/>
      <c r="O781" s="174"/>
      <c r="P781" s="174"/>
      <c r="Q781" s="174"/>
      <c r="R781" s="174"/>
      <c r="S781" s="174"/>
      <c r="T781" s="174"/>
      <c r="U781" s="174"/>
      <c r="V781" s="174"/>
      <c r="W781" s="174"/>
      <c r="X781" s="174"/>
      <c r="Y781" s="174"/>
      <c r="Z781" s="174"/>
      <c r="AA781" s="174"/>
    </row>
    <row r="782" customFormat="false" ht="15.75" hidden="false" customHeight="false" outlineLevel="0" collapsed="false">
      <c r="A782" s="174" t="str">
        <f aca="false">IF(ISBLANK(B782),"",B782&amp;"|"&amp;C782)</f>
        <v/>
      </c>
      <c r="B782" s="174"/>
      <c r="C782" s="174"/>
      <c r="D782" s="174"/>
      <c r="E782" s="179"/>
      <c r="F782" s="174"/>
      <c r="G782" s="174"/>
      <c r="H782" s="174"/>
      <c r="I782" s="174"/>
      <c r="J782" s="174"/>
      <c r="K782" s="174"/>
      <c r="L782" s="174"/>
      <c r="M782" s="174"/>
      <c r="N782" s="174"/>
      <c r="O782" s="174"/>
      <c r="P782" s="174"/>
      <c r="Q782" s="174"/>
      <c r="R782" s="174"/>
      <c r="S782" s="174"/>
      <c r="T782" s="174"/>
      <c r="U782" s="174"/>
      <c r="V782" s="174"/>
      <c r="W782" s="174"/>
      <c r="X782" s="174"/>
      <c r="Y782" s="174"/>
      <c r="Z782" s="174"/>
      <c r="AA782" s="174"/>
    </row>
    <row r="783" customFormat="false" ht="15.75" hidden="false" customHeight="false" outlineLevel="0" collapsed="false">
      <c r="A783" s="174" t="str">
        <f aca="false">IF(ISBLANK(B783),"",B783&amp;"|"&amp;C783)</f>
        <v/>
      </c>
      <c r="B783" s="174"/>
      <c r="C783" s="174"/>
      <c r="D783" s="174"/>
      <c r="E783" s="179"/>
      <c r="F783" s="174"/>
      <c r="G783" s="174"/>
      <c r="H783" s="174"/>
      <c r="I783" s="174"/>
      <c r="J783" s="174"/>
      <c r="K783" s="174"/>
      <c r="L783" s="174"/>
      <c r="M783" s="174"/>
      <c r="N783" s="174"/>
      <c r="O783" s="174"/>
      <c r="P783" s="174"/>
      <c r="Q783" s="174"/>
      <c r="R783" s="174"/>
      <c r="S783" s="174"/>
      <c r="T783" s="174"/>
      <c r="U783" s="174"/>
      <c r="V783" s="174"/>
      <c r="W783" s="174"/>
      <c r="X783" s="174"/>
      <c r="Y783" s="174"/>
      <c r="Z783" s="174"/>
      <c r="AA783" s="174"/>
    </row>
    <row r="784" customFormat="false" ht="15.75" hidden="false" customHeight="false" outlineLevel="0" collapsed="false">
      <c r="A784" s="174" t="str">
        <f aca="false">IF(ISBLANK(B784),"",B784&amp;"|"&amp;C784)</f>
        <v/>
      </c>
      <c r="B784" s="174"/>
      <c r="C784" s="174"/>
      <c r="D784" s="174"/>
      <c r="E784" s="179"/>
      <c r="F784" s="174"/>
      <c r="G784" s="174"/>
      <c r="H784" s="174"/>
      <c r="I784" s="174"/>
      <c r="J784" s="174"/>
      <c r="K784" s="174"/>
      <c r="L784" s="174"/>
      <c r="M784" s="174"/>
      <c r="N784" s="174"/>
      <c r="O784" s="174"/>
      <c r="P784" s="174"/>
      <c r="Q784" s="174"/>
      <c r="R784" s="174"/>
      <c r="S784" s="174"/>
      <c r="T784" s="174"/>
      <c r="U784" s="174"/>
      <c r="V784" s="174"/>
      <c r="W784" s="174"/>
      <c r="X784" s="174"/>
      <c r="Y784" s="174"/>
      <c r="Z784" s="174"/>
      <c r="AA784" s="174"/>
    </row>
    <row r="785" customFormat="false" ht="15.75" hidden="false" customHeight="false" outlineLevel="0" collapsed="false">
      <c r="A785" s="174" t="str">
        <f aca="false">IF(ISBLANK(B785),"",B785&amp;"|"&amp;C785)</f>
        <v/>
      </c>
      <c r="B785" s="174"/>
      <c r="C785" s="174"/>
      <c r="D785" s="174"/>
      <c r="E785" s="179"/>
      <c r="F785" s="174"/>
      <c r="G785" s="174"/>
      <c r="H785" s="174"/>
      <c r="I785" s="174"/>
      <c r="J785" s="174"/>
      <c r="K785" s="174"/>
      <c r="L785" s="174"/>
      <c r="M785" s="174"/>
      <c r="N785" s="174"/>
      <c r="O785" s="174"/>
      <c r="P785" s="174"/>
      <c r="Q785" s="174"/>
      <c r="R785" s="174"/>
      <c r="S785" s="174"/>
      <c r="T785" s="174"/>
      <c r="U785" s="174"/>
      <c r="V785" s="174"/>
      <c r="W785" s="174"/>
      <c r="X785" s="174"/>
      <c r="Y785" s="174"/>
      <c r="Z785" s="174"/>
      <c r="AA785" s="174"/>
    </row>
    <row r="786" customFormat="false" ht="15.75" hidden="false" customHeight="false" outlineLevel="0" collapsed="false">
      <c r="A786" s="174" t="str">
        <f aca="false">IF(ISBLANK(B786),"",B786&amp;"|"&amp;C786)</f>
        <v/>
      </c>
      <c r="B786" s="174"/>
      <c r="C786" s="174"/>
      <c r="D786" s="174"/>
      <c r="E786" s="179"/>
      <c r="F786" s="174"/>
      <c r="G786" s="174"/>
      <c r="H786" s="174"/>
      <c r="I786" s="174"/>
      <c r="J786" s="174"/>
      <c r="K786" s="174"/>
      <c r="L786" s="174"/>
      <c r="M786" s="174"/>
      <c r="N786" s="174"/>
      <c r="O786" s="174"/>
      <c r="P786" s="174"/>
      <c r="Q786" s="174"/>
      <c r="R786" s="174"/>
      <c r="S786" s="174"/>
      <c r="T786" s="174"/>
      <c r="U786" s="174"/>
      <c r="V786" s="174"/>
      <c r="W786" s="174"/>
      <c r="X786" s="174"/>
      <c r="Y786" s="174"/>
      <c r="Z786" s="174"/>
      <c r="AA786" s="174"/>
    </row>
    <row r="787" customFormat="false" ht="15.75" hidden="false" customHeight="false" outlineLevel="0" collapsed="false">
      <c r="A787" s="174" t="str">
        <f aca="false">IF(ISBLANK(B787),"",B787&amp;"|"&amp;C787)</f>
        <v/>
      </c>
      <c r="B787" s="174"/>
      <c r="C787" s="174"/>
      <c r="D787" s="174"/>
      <c r="E787" s="179"/>
      <c r="F787" s="174"/>
      <c r="G787" s="174"/>
      <c r="H787" s="174"/>
      <c r="I787" s="174"/>
      <c r="J787" s="174"/>
      <c r="K787" s="174"/>
      <c r="L787" s="174"/>
      <c r="M787" s="174"/>
      <c r="N787" s="174"/>
      <c r="O787" s="174"/>
      <c r="P787" s="174"/>
      <c r="Q787" s="174"/>
      <c r="R787" s="174"/>
      <c r="S787" s="174"/>
      <c r="T787" s="174"/>
      <c r="U787" s="174"/>
      <c r="V787" s="174"/>
      <c r="W787" s="174"/>
      <c r="X787" s="174"/>
      <c r="Y787" s="174"/>
      <c r="Z787" s="174"/>
      <c r="AA787" s="174"/>
    </row>
    <row r="788" customFormat="false" ht="15.75" hidden="false" customHeight="false" outlineLevel="0" collapsed="false">
      <c r="A788" s="174" t="str">
        <f aca="false">IF(ISBLANK(B788),"",B788&amp;"|"&amp;C788)</f>
        <v/>
      </c>
      <c r="B788" s="174"/>
      <c r="C788" s="174"/>
      <c r="D788" s="174"/>
      <c r="E788" s="179"/>
      <c r="F788" s="174"/>
      <c r="G788" s="174"/>
      <c r="H788" s="174"/>
      <c r="I788" s="174"/>
      <c r="J788" s="174"/>
      <c r="K788" s="174"/>
      <c r="L788" s="174"/>
      <c r="M788" s="174"/>
      <c r="N788" s="174"/>
      <c r="O788" s="174"/>
      <c r="P788" s="174"/>
      <c r="Q788" s="174"/>
      <c r="R788" s="174"/>
      <c r="S788" s="174"/>
      <c r="T788" s="174"/>
      <c r="U788" s="174"/>
      <c r="V788" s="174"/>
      <c r="W788" s="174"/>
      <c r="X788" s="174"/>
      <c r="Y788" s="174"/>
      <c r="Z788" s="174"/>
      <c r="AA788" s="174"/>
    </row>
    <row r="789" customFormat="false" ht="15.75" hidden="false" customHeight="false" outlineLevel="0" collapsed="false">
      <c r="A789" s="174" t="str">
        <f aca="false">IF(ISBLANK(B789),"",B789&amp;"|"&amp;C789)</f>
        <v/>
      </c>
      <c r="B789" s="174"/>
      <c r="C789" s="174"/>
      <c r="D789" s="174"/>
      <c r="E789" s="179"/>
      <c r="F789" s="174"/>
      <c r="G789" s="174"/>
      <c r="H789" s="174"/>
      <c r="I789" s="174"/>
      <c r="J789" s="174"/>
      <c r="K789" s="174"/>
      <c r="L789" s="174"/>
      <c r="M789" s="174"/>
      <c r="N789" s="174"/>
      <c r="O789" s="174"/>
      <c r="P789" s="174"/>
      <c r="Q789" s="174"/>
      <c r="R789" s="174"/>
      <c r="S789" s="174"/>
      <c r="T789" s="174"/>
      <c r="U789" s="174"/>
      <c r="V789" s="174"/>
      <c r="W789" s="174"/>
      <c r="X789" s="174"/>
      <c r="Y789" s="174"/>
      <c r="Z789" s="174"/>
      <c r="AA789" s="174"/>
    </row>
    <row r="790" customFormat="false" ht="15.75" hidden="false" customHeight="false" outlineLevel="0" collapsed="false">
      <c r="A790" s="174" t="str">
        <f aca="false">IF(ISBLANK(B790),"",B790&amp;"|"&amp;C790)</f>
        <v/>
      </c>
      <c r="B790" s="174"/>
      <c r="C790" s="174"/>
      <c r="D790" s="174"/>
      <c r="E790" s="179"/>
      <c r="F790" s="174"/>
      <c r="G790" s="174"/>
      <c r="H790" s="174"/>
      <c r="I790" s="174"/>
      <c r="J790" s="174"/>
      <c r="K790" s="174"/>
      <c r="L790" s="174"/>
      <c r="M790" s="174"/>
      <c r="N790" s="174"/>
      <c r="O790" s="174"/>
      <c r="P790" s="174"/>
      <c r="Q790" s="174"/>
      <c r="R790" s="174"/>
      <c r="S790" s="174"/>
      <c r="T790" s="174"/>
      <c r="U790" s="174"/>
      <c r="V790" s="174"/>
      <c r="W790" s="174"/>
      <c r="X790" s="174"/>
      <c r="Y790" s="174"/>
      <c r="Z790" s="174"/>
      <c r="AA790" s="174"/>
    </row>
    <row r="791" customFormat="false" ht="15.75" hidden="false" customHeight="false" outlineLevel="0" collapsed="false">
      <c r="A791" s="174" t="str">
        <f aca="false">IF(ISBLANK(B791),"",B791&amp;"|"&amp;C791)</f>
        <v/>
      </c>
      <c r="B791" s="174"/>
      <c r="C791" s="174"/>
      <c r="D791" s="174"/>
      <c r="E791" s="179"/>
      <c r="F791" s="174"/>
      <c r="G791" s="174"/>
      <c r="H791" s="174"/>
      <c r="I791" s="174"/>
      <c r="J791" s="174"/>
      <c r="K791" s="174"/>
      <c r="L791" s="174"/>
      <c r="M791" s="174"/>
      <c r="N791" s="174"/>
      <c r="O791" s="174"/>
      <c r="P791" s="174"/>
      <c r="Q791" s="174"/>
      <c r="R791" s="174"/>
      <c r="S791" s="174"/>
      <c r="T791" s="174"/>
      <c r="U791" s="174"/>
      <c r="V791" s="174"/>
      <c r="W791" s="174"/>
      <c r="X791" s="174"/>
      <c r="Y791" s="174"/>
      <c r="Z791" s="174"/>
      <c r="AA791" s="174"/>
    </row>
    <row r="792" customFormat="false" ht="15.75" hidden="false" customHeight="false" outlineLevel="0" collapsed="false">
      <c r="A792" s="174" t="str">
        <f aca="false">IF(ISBLANK(B792),"",B792&amp;"|"&amp;C792)</f>
        <v/>
      </c>
      <c r="B792" s="174"/>
      <c r="C792" s="174"/>
      <c r="D792" s="174"/>
      <c r="E792" s="179"/>
      <c r="F792" s="174"/>
      <c r="G792" s="174"/>
      <c r="H792" s="174"/>
      <c r="I792" s="174"/>
      <c r="J792" s="174"/>
      <c r="K792" s="174"/>
      <c r="L792" s="174"/>
      <c r="M792" s="174"/>
      <c r="N792" s="174"/>
      <c r="O792" s="174"/>
      <c r="P792" s="174"/>
      <c r="Q792" s="174"/>
      <c r="R792" s="174"/>
      <c r="S792" s="174"/>
      <c r="T792" s="174"/>
      <c r="U792" s="174"/>
      <c r="V792" s="174"/>
      <c r="W792" s="174"/>
      <c r="X792" s="174"/>
      <c r="Y792" s="174"/>
      <c r="Z792" s="174"/>
      <c r="AA792" s="174"/>
    </row>
    <row r="793" customFormat="false" ht="15.75" hidden="false" customHeight="false" outlineLevel="0" collapsed="false">
      <c r="A793" s="174" t="str">
        <f aca="false">IF(ISBLANK(B793),"",B793&amp;"|"&amp;C793)</f>
        <v/>
      </c>
      <c r="B793" s="174"/>
      <c r="C793" s="174"/>
      <c r="D793" s="174"/>
      <c r="E793" s="179"/>
      <c r="F793" s="174"/>
      <c r="G793" s="174"/>
      <c r="H793" s="174"/>
      <c r="I793" s="174"/>
      <c r="J793" s="174"/>
      <c r="K793" s="174"/>
      <c r="L793" s="174"/>
      <c r="M793" s="174"/>
      <c r="N793" s="174"/>
      <c r="O793" s="174"/>
      <c r="P793" s="174"/>
      <c r="Q793" s="174"/>
      <c r="R793" s="174"/>
      <c r="S793" s="174"/>
      <c r="T793" s="174"/>
      <c r="U793" s="174"/>
      <c r="V793" s="174"/>
      <c r="W793" s="174"/>
      <c r="X793" s="174"/>
      <c r="Y793" s="174"/>
      <c r="Z793" s="174"/>
      <c r="AA793" s="174"/>
    </row>
    <row r="794" customFormat="false" ht="15.75" hidden="false" customHeight="false" outlineLevel="0" collapsed="false">
      <c r="A794" s="174" t="str">
        <f aca="false">IF(ISBLANK(B794),"",B794&amp;"|"&amp;C794)</f>
        <v/>
      </c>
      <c r="B794" s="174"/>
      <c r="C794" s="174"/>
      <c r="D794" s="174"/>
      <c r="E794" s="179"/>
      <c r="F794" s="174"/>
      <c r="G794" s="174"/>
      <c r="H794" s="174"/>
      <c r="I794" s="174"/>
      <c r="J794" s="174"/>
      <c r="K794" s="174"/>
      <c r="L794" s="174"/>
      <c r="M794" s="174"/>
      <c r="N794" s="174"/>
      <c r="O794" s="174"/>
      <c r="P794" s="174"/>
      <c r="Q794" s="174"/>
      <c r="R794" s="174"/>
      <c r="S794" s="174"/>
      <c r="T794" s="174"/>
      <c r="U794" s="174"/>
      <c r="V794" s="174"/>
      <c r="W794" s="174"/>
      <c r="X794" s="174"/>
      <c r="Y794" s="174"/>
      <c r="Z794" s="174"/>
      <c r="AA794" s="174"/>
    </row>
    <row r="795" customFormat="false" ht="15.75" hidden="false" customHeight="false" outlineLevel="0" collapsed="false">
      <c r="A795" s="174" t="str">
        <f aca="false">IF(ISBLANK(B795),"",B795&amp;"|"&amp;C795)</f>
        <v/>
      </c>
      <c r="B795" s="174"/>
      <c r="C795" s="174"/>
      <c r="D795" s="174"/>
      <c r="E795" s="179"/>
      <c r="F795" s="174"/>
      <c r="G795" s="174"/>
      <c r="H795" s="174"/>
      <c r="I795" s="174"/>
      <c r="J795" s="174"/>
      <c r="K795" s="174"/>
      <c r="L795" s="174"/>
      <c r="M795" s="174"/>
      <c r="N795" s="174"/>
      <c r="O795" s="174"/>
      <c r="P795" s="174"/>
      <c r="Q795" s="174"/>
      <c r="R795" s="174"/>
      <c r="S795" s="174"/>
      <c r="T795" s="174"/>
      <c r="U795" s="174"/>
      <c r="V795" s="174"/>
      <c r="W795" s="174"/>
      <c r="X795" s="174"/>
      <c r="Y795" s="174"/>
      <c r="Z795" s="174"/>
      <c r="AA795" s="174"/>
    </row>
    <row r="796" customFormat="false" ht="15.75" hidden="false" customHeight="false" outlineLevel="0" collapsed="false">
      <c r="A796" s="174" t="str">
        <f aca="false">IF(ISBLANK(B796),"",B796&amp;"|"&amp;C796)</f>
        <v/>
      </c>
      <c r="B796" s="174"/>
      <c r="C796" s="174"/>
      <c r="D796" s="174"/>
      <c r="E796" s="179"/>
      <c r="F796" s="174"/>
      <c r="G796" s="174"/>
      <c r="H796" s="174"/>
      <c r="I796" s="174"/>
      <c r="J796" s="174"/>
      <c r="K796" s="174"/>
      <c r="L796" s="174"/>
      <c r="M796" s="174"/>
      <c r="N796" s="174"/>
      <c r="O796" s="174"/>
      <c r="P796" s="174"/>
      <c r="Q796" s="174"/>
      <c r="R796" s="174"/>
      <c r="S796" s="174"/>
      <c r="T796" s="174"/>
      <c r="U796" s="174"/>
      <c r="V796" s="174"/>
      <c r="W796" s="174"/>
      <c r="X796" s="174"/>
      <c r="Y796" s="174"/>
      <c r="Z796" s="174"/>
      <c r="AA796" s="174"/>
    </row>
    <row r="797" customFormat="false" ht="15.75" hidden="false" customHeight="false" outlineLevel="0" collapsed="false">
      <c r="A797" s="174" t="str">
        <f aca="false">IF(ISBLANK(B797),"",B797&amp;"|"&amp;C797)</f>
        <v/>
      </c>
      <c r="B797" s="174"/>
      <c r="C797" s="174"/>
      <c r="D797" s="174"/>
      <c r="E797" s="179"/>
      <c r="F797" s="174"/>
      <c r="G797" s="174"/>
      <c r="H797" s="174"/>
      <c r="I797" s="174"/>
      <c r="J797" s="174"/>
      <c r="K797" s="174"/>
      <c r="L797" s="174"/>
      <c r="M797" s="174"/>
      <c r="N797" s="174"/>
      <c r="O797" s="174"/>
      <c r="P797" s="174"/>
      <c r="Q797" s="174"/>
      <c r="R797" s="174"/>
      <c r="S797" s="174"/>
      <c r="T797" s="174"/>
      <c r="U797" s="174"/>
      <c r="V797" s="174"/>
      <c r="W797" s="174"/>
      <c r="X797" s="174"/>
      <c r="Y797" s="174"/>
      <c r="Z797" s="174"/>
      <c r="AA797" s="174"/>
    </row>
    <row r="798" customFormat="false" ht="15.75" hidden="false" customHeight="false" outlineLevel="0" collapsed="false">
      <c r="A798" s="174" t="str">
        <f aca="false">IF(ISBLANK(B798),"",B798&amp;"|"&amp;C798)</f>
        <v/>
      </c>
      <c r="B798" s="174"/>
      <c r="C798" s="174"/>
      <c r="D798" s="174"/>
      <c r="E798" s="179"/>
      <c r="F798" s="174"/>
      <c r="G798" s="174"/>
      <c r="H798" s="174"/>
      <c r="I798" s="174"/>
      <c r="J798" s="174"/>
      <c r="K798" s="174"/>
      <c r="L798" s="174"/>
      <c r="M798" s="174"/>
      <c r="N798" s="174"/>
      <c r="O798" s="174"/>
      <c r="P798" s="174"/>
      <c r="Q798" s="174"/>
      <c r="R798" s="174"/>
      <c r="S798" s="174"/>
      <c r="T798" s="174"/>
      <c r="U798" s="174"/>
      <c r="V798" s="174"/>
      <c r="W798" s="174"/>
      <c r="X798" s="174"/>
      <c r="Y798" s="174"/>
      <c r="Z798" s="174"/>
      <c r="AA798" s="174"/>
    </row>
    <row r="799" customFormat="false" ht="15.75" hidden="false" customHeight="false" outlineLevel="0" collapsed="false">
      <c r="A799" s="174" t="str">
        <f aca="false">IF(ISBLANK(B799),"",B799&amp;"|"&amp;C799)</f>
        <v/>
      </c>
      <c r="B799" s="174"/>
      <c r="C799" s="174"/>
      <c r="D799" s="174"/>
      <c r="E799" s="179"/>
      <c r="F799" s="174"/>
      <c r="G799" s="174"/>
      <c r="H799" s="174"/>
      <c r="I799" s="174"/>
      <c r="J799" s="174"/>
      <c r="K799" s="174"/>
      <c r="L799" s="174"/>
      <c r="M799" s="174"/>
      <c r="N799" s="174"/>
      <c r="O799" s="174"/>
      <c r="P799" s="174"/>
      <c r="Q799" s="174"/>
      <c r="R799" s="174"/>
      <c r="S799" s="174"/>
      <c r="T799" s="174"/>
      <c r="U799" s="174"/>
      <c r="V799" s="174"/>
      <c r="W799" s="174"/>
      <c r="X799" s="174"/>
      <c r="Y799" s="174"/>
      <c r="Z799" s="174"/>
      <c r="AA799" s="174"/>
    </row>
    <row r="800" customFormat="false" ht="15.75" hidden="false" customHeight="false" outlineLevel="0" collapsed="false">
      <c r="A800" s="174" t="str">
        <f aca="false">IF(ISBLANK(B800),"",B800&amp;"|"&amp;C800)</f>
        <v/>
      </c>
      <c r="B800" s="174"/>
      <c r="C800" s="174"/>
      <c r="D800" s="174"/>
      <c r="E800" s="179"/>
      <c r="F800" s="174"/>
      <c r="G800" s="174"/>
      <c r="H800" s="174"/>
      <c r="I800" s="174"/>
      <c r="J800" s="174"/>
      <c r="K800" s="174"/>
      <c r="L800" s="174"/>
      <c r="M800" s="174"/>
      <c r="N800" s="174"/>
      <c r="O800" s="174"/>
      <c r="P800" s="174"/>
      <c r="Q800" s="174"/>
      <c r="R800" s="174"/>
      <c r="S800" s="174"/>
      <c r="T800" s="174"/>
      <c r="U800" s="174"/>
      <c r="V800" s="174"/>
      <c r="W800" s="174"/>
      <c r="X800" s="174"/>
      <c r="Y800" s="174"/>
      <c r="Z800" s="174"/>
      <c r="AA800" s="174"/>
    </row>
    <row r="801" customFormat="false" ht="15.75" hidden="false" customHeight="false" outlineLevel="0" collapsed="false">
      <c r="A801" s="174" t="str">
        <f aca="false">IF(ISBLANK(B801),"",B801&amp;"|"&amp;C801)</f>
        <v/>
      </c>
      <c r="B801" s="174"/>
      <c r="C801" s="174"/>
      <c r="D801" s="174"/>
      <c r="E801" s="179"/>
      <c r="F801" s="174"/>
      <c r="G801" s="174"/>
      <c r="H801" s="174"/>
      <c r="I801" s="174"/>
      <c r="J801" s="174"/>
      <c r="K801" s="174"/>
      <c r="L801" s="174"/>
      <c r="M801" s="174"/>
      <c r="N801" s="174"/>
      <c r="O801" s="174"/>
      <c r="P801" s="174"/>
      <c r="Q801" s="174"/>
      <c r="R801" s="174"/>
      <c r="S801" s="174"/>
      <c r="T801" s="174"/>
      <c r="U801" s="174"/>
      <c r="V801" s="174"/>
      <c r="W801" s="174"/>
      <c r="X801" s="174"/>
      <c r="Y801" s="174"/>
      <c r="Z801" s="174"/>
      <c r="AA801" s="174"/>
    </row>
    <row r="802" customFormat="false" ht="15.75" hidden="false" customHeight="false" outlineLevel="0" collapsed="false">
      <c r="A802" s="174" t="str">
        <f aca="false">IF(ISBLANK(B802),"",B802&amp;"|"&amp;C802)</f>
        <v/>
      </c>
      <c r="B802" s="174"/>
      <c r="C802" s="174"/>
      <c r="D802" s="174"/>
      <c r="E802" s="179"/>
      <c r="F802" s="174"/>
      <c r="G802" s="174"/>
      <c r="H802" s="174"/>
      <c r="I802" s="174"/>
      <c r="J802" s="174"/>
      <c r="K802" s="174"/>
      <c r="L802" s="174"/>
      <c r="M802" s="174"/>
      <c r="N802" s="174"/>
      <c r="O802" s="174"/>
      <c r="P802" s="174"/>
      <c r="Q802" s="174"/>
      <c r="R802" s="174"/>
      <c r="S802" s="174"/>
      <c r="T802" s="174"/>
      <c r="U802" s="174"/>
      <c r="V802" s="174"/>
      <c r="W802" s="174"/>
      <c r="X802" s="174"/>
      <c r="Y802" s="174"/>
      <c r="Z802" s="174"/>
      <c r="AA802" s="174"/>
    </row>
    <row r="803" customFormat="false" ht="15.75" hidden="false" customHeight="false" outlineLevel="0" collapsed="false">
      <c r="A803" s="174" t="str">
        <f aca="false">IF(ISBLANK(B803),"",B803&amp;"|"&amp;C803)</f>
        <v/>
      </c>
      <c r="B803" s="174"/>
      <c r="C803" s="174"/>
      <c r="D803" s="174"/>
      <c r="E803" s="179"/>
      <c r="F803" s="174"/>
      <c r="G803" s="174"/>
      <c r="H803" s="174"/>
      <c r="I803" s="174"/>
      <c r="J803" s="174"/>
      <c r="K803" s="174"/>
      <c r="L803" s="174"/>
      <c r="M803" s="174"/>
      <c r="N803" s="174"/>
      <c r="O803" s="174"/>
      <c r="P803" s="174"/>
      <c r="Q803" s="174"/>
      <c r="R803" s="174"/>
      <c r="S803" s="174"/>
      <c r="T803" s="174"/>
      <c r="U803" s="174"/>
      <c r="V803" s="174"/>
      <c r="W803" s="174"/>
      <c r="X803" s="174"/>
      <c r="Y803" s="174"/>
      <c r="Z803" s="174"/>
      <c r="AA803" s="174"/>
    </row>
    <row r="804" customFormat="false" ht="15.75" hidden="false" customHeight="false" outlineLevel="0" collapsed="false">
      <c r="A804" s="174" t="str">
        <f aca="false">IF(ISBLANK(B804),"",B804&amp;"|"&amp;C804)</f>
        <v/>
      </c>
      <c r="B804" s="174"/>
      <c r="C804" s="174"/>
      <c r="D804" s="174"/>
      <c r="E804" s="179"/>
      <c r="F804" s="174"/>
      <c r="G804" s="174"/>
      <c r="H804" s="174"/>
      <c r="I804" s="174"/>
      <c r="J804" s="174"/>
      <c r="K804" s="174"/>
      <c r="L804" s="174"/>
      <c r="M804" s="174"/>
      <c r="N804" s="174"/>
      <c r="O804" s="174"/>
      <c r="P804" s="174"/>
      <c r="Q804" s="174"/>
      <c r="R804" s="174"/>
      <c r="S804" s="174"/>
      <c r="T804" s="174"/>
      <c r="U804" s="174"/>
      <c r="V804" s="174"/>
      <c r="W804" s="174"/>
      <c r="X804" s="174"/>
      <c r="Y804" s="174"/>
      <c r="Z804" s="174"/>
      <c r="AA804" s="174"/>
    </row>
    <row r="805" customFormat="false" ht="15.75" hidden="false" customHeight="false" outlineLevel="0" collapsed="false">
      <c r="A805" s="174" t="str">
        <f aca="false">IF(ISBLANK(B805),"",B805&amp;"|"&amp;C805)</f>
        <v/>
      </c>
      <c r="B805" s="174"/>
      <c r="C805" s="174"/>
      <c r="D805" s="174"/>
      <c r="E805" s="179"/>
      <c r="F805" s="174"/>
      <c r="G805" s="174"/>
      <c r="H805" s="174"/>
      <c r="I805" s="174"/>
      <c r="J805" s="174"/>
      <c r="K805" s="174"/>
      <c r="L805" s="174"/>
      <c r="M805" s="174"/>
      <c r="N805" s="174"/>
      <c r="O805" s="174"/>
      <c r="P805" s="174"/>
      <c r="Q805" s="174"/>
      <c r="R805" s="174"/>
      <c r="S805" s="174"/>
      <c r="T805" s="174"/>
      <c r="U805" s="174"/>
      <c r="V805" s="174"/>
      <c r="W805" s="174"/>
      <c r="X805" s="174"/>
      <c r="Y805" s="174"/>
      <c r="Z805" s="174"/>
      <c r="AA805" s="174"/>
    </row>
    <row r="806" customFormat="false" ht="15.75" hidden="false" customHeight="false" outlineLevel="0" collapsed="false">
      <c r="A806" s="174" t="str">
        <f aca="false">IF(ISBLANK(B806),"",B806&amp;"|"&amp;C806)</f>
        <v/>
      </c>
      <c r="B806" s="174"/>
      <c r="C806" s="174"/>
      <c r="D806" s="174"/>
      <c r="E806" s="179"/>
      <c r="F806" s="174"/>
      <c r="G806" s="174"/>
      <c r="H806" s="174"/>
      <c r="I806" s="174"/>
      <c r="J806" s="174"/>
      <c r="K806" s="174"/>
      <c r="L806" s="174"/>
      <c r="M806" s="174"/>
      <c r="N806" s="174"/>
      <c r="O806" s="174"/>
      <c r="P806" s="174"/>
      <c r="Q806" s="174"/>
      <c r="R806" s="174"/>
      <c r="S806" s="174"/>
      <c r="T806" s="174"/>
      <c r="U806" s="174"/>
      <c r="V806" s="174"/>
      <c r="W806" s="174"/>
      <c r="X806" s="174"/>
      <c r="Y806" s="174"/>
      <c r="Z806" s="174"/>
      <c r="AA806" s="174"/>
    </row>
    <row r="807" customFormat="false" ht="15.75" hidden="false" customHeight="false" outlineLevel="0" collapsed="false">
      <c r="A807" s="174" t="str">
        <f aca="false">IF(ISBLANK(B807),"",B807&amp;"|"&amp;C807)</f>
        <v/>
      </c>
      <c r="B807" s="174"/>
      <c r="C807" s="174"/>
      <c r="D807" s="174"/>
      <c r="E807" s="179"/>
      <c r="F807" s="174"/>
      <c r="G807" s="174"/>
      <c r="H807" s="174"/>
      <c r="I807" s="174"/>
      <c r="J807" s="174"/>
      <c r="K807" s="174"/>
      <c r="L807" s="174"/>
      <c r="M807" s="174"/>
      <c r="N807" s="174"/>
      <c r="O807" s="174"/>
      <c r="P807" s="174"/>
      <c r="Q807" s="174"/>
      <c r="R807" s="174"/>
      <c r="S807" s="174"/>
      <c r="T807" s="174"/>
      <c r="U807" s="174"/>
      <c r="V807" s="174"/>
      <c r="W807" s="174"/>
      <c r="X807" s="174"/>
      <c r="Y807" s="174"/>
      <c r="Z807" s="174"/>
      <c r="AA807" s="174"/>
    </row>
    <row r="808" customFormat="false" ht="15.75" hidden="false" customHeight="false" outlineLevel="0" collapsed="false">
      <c r="A808" s="174" t="str">
        <f aca="false">IF(ISBLANK(B808),"",B808&amp;"|"&amp;C808)</f>
        <v/>
      </c>
      <c r="B808" s="174"/>
      <c r="C808" s="174"/>
      <c r="D808" s="174"/>
      <c r="E808" s="179"/>
      <c r="F808" s="174"/>
      <c r="G808" s="174"/>
      <c r="H808" s="174"/>
      <c r="I808" s="174"/>
      <c r="J808" s="174"/>
      <c r="K808" s="174"/>
      <c r="L808" s="174"/>
      <c r="M808" s="174"/>
      <c r="N808" s="174"/>
      <c r="O808" s="174"/>
      <c r="P808" s="174"/>
      <c r="Q808" s="174"/>
      <c r="R808" s="174"/>
      <c r="S808" s="174"/>
      <c r="T808" s="174"/>
      <c r="U808" s="174"/>
      <c r="V808" s="174"/>
      <c r="W808" s="174"/>
      <c r="X808" s="174"/>
      <c r="Y808" s="174"/>
      <c r="Z808" s="174"/>
      <c r="AA808" s="174"/>
    </row>
    <row r="809" customFormat="false" ht="15.75" hidden="false" customHeight="false" outlineLevel="0" collapsed="false">
      <c r="A809" s="174" t="str">
        <f aca="false">IF(ISBLANK(B809),"",B809&amp;"|"&amp;C809)</f>
        <v/>
      </c>
      <c r="B809" s="174"/>
      <c r="C809" s="174"/>
      <c r="D809" s="174"/>
      <c r="E809" s="179"/>
      <c r="F809" s="174"/>
      <c r="G809" s="174"/>
      <c r="H809" s="174"/>
      <c r="I809" s="174"/>
      <c r="J809" s="174"/>
      <c r="K809" s="174"/>
      <c r="L809" s="174"/>
      <c r="M809" s="174"/>
      <c r="N809" s="174"/>
      <c r="O809" s="174"/>
      <c r="P809" s="174"/>
      <c r="Q809" s="174"/>
      <c r="R809" s="174"/>
      <c r="S809" s="174"/>
      <c r="T809" s="174"/>
      <c r="U809" s="174"/>
      <c r="V809" s="174"/>
      <c r="W809" s="174"/>
      <c r="X809" s="174"/>
      <c r="Y809" s="174"/>
      <c r="Z809" s="174"/>
      <c r="AA809" s="174"/>
    </row>
    <row r="810" customFormat="false" ht="15.75" hidden="false" customHeight="false" outlineLevel="0" collapsed="false">
      <c r="A810" s="174" t="str">
        <f aca="false">IF(ISBLANK(B810),"",B810&amp;"|"&amp;C810)</f>
        <v/>
      </c>
      <c r="B810" s="174"/>
      <c r="C810" s="174"/>
      <c r="D810" s="174"/>
      <c r="E810" s="179"/>
      <c r="F810" s="174"/>
      <c r="G810" s="174"/>
      <c r="H810" s="174"/>
      <c r="I810" s="174"/>
      <c r="J810" s="174"/>
      <c r="K810" s="174"/>
      <c r="L810" s="174"/>
      <c r="M810" s="174"/>
      <c r="N810" s="174"/>
      <c r="O810" s="174"/>
      <c r="P810" s="174"/>
      <c r="Q810" s="174"/>
      <c r="R810" s="174"/>
      <c r="S810" s="174"/>
      <c r="T810" s="174"/>
      <c r="U810" s="174"/>
      <c r="V810" s="174"/>
      <c r="W810" s="174"/>
      <c r="X810" s="174"/>
      <c r="Y810" s="174"/>
      <c r="Z810" s="174"/>
      <c r="AA810" s="174"/>
    </row>
    <row r="811" customFormat="false" ht="15.75" hidden="false" customHeight="false" outlineLevel="0" collapsed="false">
      <c r="A811" s="174" t="str">
        <f aca="false">IF(ISBLANK(B811),"",B811&amp;"|"&amp;C811)</f>
        <v/>
      </c>
      <c r="B811" s="174"/>
      <c r="C811" s="174"/>
      <c r="D811" s="174"/>
      <c r="E811" s="179"/>
      <c r="F811" s="174"/>
      <c r="G811" s="174"/>
      <c r="H811" s="174"/>
      <c r="I811" s="174"/>
      <c r="J811" s="174"/>
      <c r="K811" s="174"/>
      <c r="L811" s="174"/>
      <c r="M811" s="174"/>
      <c r="N811" s="174"/>
      <c r="O811" s="174"/>
      <c r="P811" s="174"/>
      <c r="Q811" s="174"/>
      <c r="R811" s="174"/>
      <c r="S811" s="174"/>
      <c r="T811" s="174"/>
      <c r="U811" s="174"/>
      <c r="V811" s="174"/>
      <c r="W811" s="174"/>
      <c r="X811" s="174"/>
      <c r="Y811" s="174"/>
      <c r="Z811" s="174"/>
      <c r="AA811" s="174"/>
    </row>
    <row r="812" customFormat="false" ht="15.75" hidden="false" customHeight="false" outlineLevel="0" collapsed="false">
      <c r="A812" s="174" t="str">
        <f aca="false">IF(ISBLANK(B812),"",B812&amp;"|"&amp;C812)</f>
        <v/>
      </c>
      <c r="B812" s="174"/>
      <c r="C812" s="174"/>
      <c r="D812" s="174"/>
      <c r="E812" s="179"/>
      <c r="F812" s="174"/>
      <c r="G812" s="174"/>
      <c r="H812" s="174"/>
      <c r="I812" s="174"/>
      <c r="J812" s="174"/>
      <c r="K812" s="174"/>
      <c r="L812" s="174"/>
      <c r="M812" s="174"/>
      <c r="N812" s="174"/>
      <c r="O812" s="174"/>
      <c r="P812" s="174"/>
      <c r="Q812" s="174"/>
      <c r="R812" s="174"/>
      <c r="S812" s="174"/>
      <c r="T812" s="174"/>
      <c r="U812" s="174"/>
      <c r="V812" s="174"/>
      <c r="W812" s="174"/>
      <c r="X812" s="174"/>
      <c r="Y812" s="174"/>
      <c r="Z812" s="174"/>
      <c r="AA812" s="174"/>
    </row>
    <row r="813" customFormat="false" ht="15.75" hidden="false" customHeight="false" outlineLevel="0" collapsed="false">
      <c r="A813" s="174" t="str">
        <f aca="false">IF(ISBLANK(B813),"",B813&amp;"|"&amp;C813)</f>
        <v/>
      </c>
      <c r="B813" s="174"/>
      <c r="C813" s="174"/>
      <c r="D813" s="174"/>
      <c r="E813" s="179"/>
      <c r="F813" s="174"/>
      <c r="G813" s="174"/>
      <c r="H813" s="174"/>
      <c r="I813" s="174"/>
      <c r="J813" s="174"/>
      <c r="K813" s="174"/>
      <c r="L813" s="174"/>
      <c r="M813" s="174"/>
      <c r="N813" s="174"/>
      <c r="O813" s="174"/>
      <c r="P813" s="174"/>
      <c r="Q813" s="174"/>
      <c r="R813" s="174"/>
      <c r="S813" s="174"/>
      <c r="T813" s="174"/>
      <c r="U813" s="174"/>
      <c r="V813" s="174"/>
      <c r="W813" s="174"/>
      <c r="X813" s="174"/>
      <c r="Y813" s="174"/>
      <c r="Z813" s="174"/>
      <c r="AA813" s="174"/>
    </row>
    <row r="814" customFormat="false" ht="15.75" hidden="false" customHeight="false" outlineLevel="0" collapsed="false">
      <c r="A814" s="174" t="str">
        <f aca="false">IF(ISBLANK(B814),"",B814&amp;"|"&amp;C814)</f>
        <v/>
      </c>
      <c r="B814" s="174"/>
      <c r="C814" s="174"/>
      <c r="D814" s="174"/>
      <c r="E814" s="179"/>
      <c r="F814" s="174"/>
      <c r="G814" s="174"/>
      <c r="H814" s="174"/>
      <c r="I814" s="174"/>
      <c r="J814" s="174"/>
      <c r="K814" s="174"/>
      <c r="L814" s="174"/>
      <c r="M814" s="174"/>
      <c r="N814" s="174"/>
      <c r="O814" s="174"/>
      <c r="P814" s="174"/>
      <c r="Q814" s="174"/>
      <c r="R814" s="174"/>
      <c r="S814" s="174"/>
      <c r="T814" s="174"/>
      <c r="U814" s="174"/>
      <c r="V814" s="174"/>
      <c r="W814" s="174"/>
      <c r="X814" s="174"/>
      <c r="Y814" s="174"/>
      <c r="Z814" s="174"/>
      <c r="AA814" s="174"/>
    </row>
    <row r="815" customFormat="false" ht="15.75" hidden="false" customHeight="false" outlineLevel="0" collapsed="false">
      <c r="A815" s="174" t="str">
        <f aca="false">IF(ISBLANK(B815),"",B815&amp;"|"&amp;C815)</f>
        <v/>
      </c>
      <c r="B815" s="174"/>
      <c r="C815" s="174"/>
      <c r="D815" s="174"/>
      <c r="E815" s="179"/>
      <c r="F815" s="174"/>
      <c r="G815" s="174"/>
      <c r="H815" s="174"/>
      <c r="I815" s="174"/>
      <c r="J815" s="174"/>
      <c r="K815" s="174"/>
      <c r="L815" s="174"/>
      <c r="M815" s="174"/>
      <c r="N815" s="174"/>
      <c r="O815" s="174"/>
      <c r="P815" s="174"/>
      <c r="Q815" s="174"/>
      <c r="R815" s="174"/>
      <c r="S815" s="174"/>
      <c r="T815" s="174"/>
      <c r="U815" s="174"/>
      <c r="V815" s="174"/>
      <c r="W815" s="174"/>
      <c r="X815" s="174"/>
      <c r="Y815" s="174"/>
      <c r="Z815" s="174"/>
      <c r="AA815" s="174"/>
    </row>
    <row r="816" customFormat="false" ht="15.75" hidden="false" customHeight="false" outlineLevel="0" collapsed="false">
      <c r="A816" s="174" t="str">
        <f aca="false">IF(ISBLANK(B816),"",B816&amp;"|"&amp;C816)</f>
        <v/>
      </c>
      <c r="B816" s="174"/>
      <c r="C816" s="174"/>
      <c r="D816" s="174"/>
      <c r="E816" s="179"/>
      <c r="F816" s="174"/>
      <c r="G816" s="174"/>
      <c r="H816" s="174"/>
      <c r="I816" s="174"/>
      <c r="J816" s="174"/>
      <c r="K816" s="174"/>
      <c r="L816" s="174"/>
      <c r="M816" s="174"/>
      <c r="N816" s="174"/>
      <c r="O816" s="174"/>
      <c r="P816" s="174"/>
      <c r="Q816" s="174"/>
      <c r="R816" s="174"/>
      <c r="S816" s="174"/>
      <c r="T816" s="174"/>
      <c r="U816" s="174"/>
      <c r="V816" s="174"/>
      <c r="W816" s="174"/>
      <c r="X816" s="174"/>
      <c r="Y816" s="174"/>
      <c r="Z816" s="174"/>
      <c r="AA816" s="174"/>
    </row>
    <row r="817" customFormat="false" ht="15.75" hidden="false" customHeight="false" outlineLevel="0" collapsed="false">
      <c r="A817" s="174" t="str">
        <f aca="false">IF(ISBLANK(B817),"",B817&amp;"|"&amp;C817)</f>
        <v/>
      </c>
      <c r="B817" s="174"/>
      <c r="C817" s="174"/>
      <c r="D817" s="174"/>
      <c r="E817" s="179"/>
      <c r="F817" s="174"/>
      <c r="G817" s="174"/>
      <c r="H817" s="174"/>
      <c r="I817" s="174"/>
      <c r="J817" s="174"/>
      <c r="K817" s="174"/>
      <c r="L817" s="174"/>
      <c r="M817" s="174"/>
      <c r="N817" s="174"/>
      <c r="O817" s="174"/>
      <c r="P817" s="174"/>
      <c r="Q817" s="174"/>
      <c r="R817" s="174"/>
      <c r="S817" s="174"/>
      <c r="T817" s="174"/>
      <c r="U817" s="174"/>
      <c r="V817" s="174"/>
      <c r="W817" s="174"/>
      <c r="X817" s="174"/>
      <c r="Y817" s="174"/>
      <c r="Z817" s="174"/>
      <c r="AA817" s="174"/>
    </row>
    <row r="818" customFormat="false" ht="15.75" hidden="false" customHeight="false" outlineLevel="0" collapsed="false">
      <c r="A818" s="174" t="str">
        <f aca="false">IF(ISBLANK(B818),"",B818&amp;"|"&amp;C818)</f>
        <v/>
      </c>
      <c r="B818" s="174"/>
      <c r="C818" s="174"/>
      <c r="D818" s="174"/>
      <c r="E818" s="179"/>
      <c r="F818" s="174"/>
      <c r="G818" s="174"/>
      <c r="H818" s="174"/>
      <c r="I818" s="174"/>
      <c r="J818" s="174"/>
      <c r="K818" s="174"/>
      <c r="L818" s="174"/>
      <c r="M818" s="174"/>
      <c r="N818" s="174"/>
      <c r="O818" s="174"/>
      <c r="P818" s="174"/>
      <c r="Q818" s="174"/>
      <c r="R818" s="174"/>
      <c r="S818" s="174"/>
      <c r="T818" s="174"/>
      <c r="U818" s="174"/>
      <c r="V818" s="174"/>
      <c r="W818" s="174"/>
      <c r="X818" s="174"/>
      <c r="Y818" s="174"/>
      <c r="Z818" s="174"/>
      <c r="AA818" s="174"/>
    </row>
    <row r="819" customFormat="false" ht="15.75" hidden="false" customHeight="false" outlineLevel="0" collapsed="false">
      <c r="A819" s="174" t="str">
        <f aca="false">IF(ISBLANK(B819),"",B819&amp;"|"&amp;C819)</f>
        <v/>
      </c>
      <c r="B819" s="174"/>
      <c r="C819" s="174"/>
      <c r="D819" s="174"/>
      <c r="E819" s="179"/>
      <c r="F819" s="174"/>
      <c r="G819" s="174"/>
      <c r="H819" s="174"/>
      <c r="I819" s="174"/>
      <c r="J819" s="174"/>
      <c r="K819" s="174"/>
      <c r="L819" s="174"/>
      <c r="M819" s="174"/>
      <c r="N819" s="174"/>
      <c r="O819" s="174"/>
      <c r="P819" s="174"/>
      <c r="Q819" s="174"/>
      <c r="R819" s="174"/>
      <c r="S819" s="174"/>
      <c r="T819" s="174"/>
      <c r="U819" s="174"/>
      <c r="V819" s="174"/>
      <c r="W819" s="174"/>
      <c r="X819" s="174"/>
      <c r="Y819" s="174"/>
      <c r="Z819" s="174"/>
      <c r="AA819" s="174"/>
    </row>
    <row r="820" customFormat="false" ht="15.75" hidden="false" customHeight="false" outlineLevel="0" collapsed="false">
      <c r="A820" s="174" t="str">
        <f aca="false">IF(ISBLANK(B820),"",B820&amp;"|"&amp;C820)</f>
        <v/>
      </c>
      <c r="B820" s="174"/>
      <c r="C820" s="174"/>
      <c r="D820" s="174"/>
      <c r="E820" s="179"/>
      <c r="F820" s="174"/>
      <c r="G820" s="174"/>
      <c r="H820" s="174"/>
      <c r="I820" s="174"/>
      <c r="J820" s="174"/>
      <c r="K820" s="174"/>
      <c r="L820" s="174"/>
      <c r="M820" s="174"/>
      <c r="N820" s="174"/>
      <c r="O820" s="174"/>
      <c r="P820" s="174"/>
      <c r="Q820" s="174"/>
      <c r="R820" s="174"/>
      <c r="S820" s="174"/>
      <c r="T820" s="174"/>
      <c r="U820" s="174"/>
      <c r="V820" s="174"/>
      <c r="W820" s="174"/>
      <c r="X820" s="174"/>
      <c r="Y820" s="174"/>
      <c r="Z820" s="174"/>
      <c r="AA820" s="174"/>
    </row>
    <row r="821" customFormat="false" ht="15.75" hidden="false" customHeight="false" outlineLevel="0" collapsed="false">
      <c r="A821" s="174" t="str">
        <f aca="false">IF(ISBLANK(B821),"",B821&amp;"|"&amp;C821)</f>
        <v/>
      </c>
      <c r="B821" s="174"/>
      <c r="C821" s="174"/>
      <c r="D821" s="174"/>
      <c r="E821" s="179"/>
      <c r="F821" s="174"/>
      <c r="G821" s="174"/>
      <c r="H821" s="174"/>
      <c r="I821" s="174"/>
      <c r="J821" s="174"/>
      <c r="K821" s="174"/>
      <c r="L821" s="174"/>
      <c r="M821" s="174"/>
      <c r="N821" s="174"/>
      <c r="O821" s="174"/>
      <c r="P821" s="174"/>
      <c r="Q821" s="174"/>
      <c r="R821" s="174"/>
      <c r="S821" s="174"/>
      <c r="T821" s="174"/>
      <c r="U821" s="174"/>
      <c r="V821" s="174"/>
      <c r="W821" s="174"/>
      <c r="X821" s="174"/>
      <c r="Y821" s="174"/>
      <c r="Z821" s="174"/>
      <c r="AA821" s="174"/>
    </row>
    <row r="822" customFormat="false" ht="15.75" hidden="false" customHeight="false" outlineLevel="0" collapsed="false">
      <c r="A822" s="174" t="str">
        <f aca="false">IF(ISBLANK(B822),"",B822&amp;"|"&amp;C822)</f>
        <v/>
      </c>
      <c r="B822" s="174"/>
      <c r="C822" s="174"/>
      <c r="D822" s="174"/>
      <c r="E822" s="179"/>
      <c r="F822" s="174"/>
      <c r="G822" s="174"/>
      <c r="H822" s="174"/>
      <c r="I822" s="174"/>
      <c r="J822" s="174"/>
      <c r="K822" s="174"/>
      <c r="L822" s="174"/>
      <c r="M822" s="174"/>
      <c r="N822" s="174"/>
      <c r="O822" s="174"/>
      <c r="P822" s="174"/>
      <c r="Q822" s="174"/>
      <c r="R822" s="174"/>
      <c r="S822" s="174"/>
      <c r="T822" s="174"/>
      <c r="U822" s="174"/>
      <c r="V822" s="174"/>
      <c r="W822" s="174"/>
      <c r="X822" s="174"/>
      <c r="Y822" s="174"/>
      <c r="Z822" s="174"/>
      <c r="AA822" s="174"/>
    </row>
    <row r="823" customFormat="false" ht="15.75" hidden="false" customHeight="false" outlineLevel="0" collapsed="false">
      <c r="A823" s="174" t="str">
        <f aca="false">IF(ISBLANK(B823),"",B823&amp;"|"&amp;C823)</f>
        <v/>
      </c>
      <c r="B823" s="174"/>
      <c r="C823" s="174"/>
      <c r="D823" s="174"/>
      <c r="E823" s="179"/>
      <c r="F823" s="174"/>
      <c r="G823" s="174"/>
      <c r="H823" s="174"/>
      <c r="I823" s="174"/>
      <c r="J823" s="174"/>
      <c r="K823" s="174"/>
      <c r="L823" s="174"/>
      <c r="M823" s="174"/>
      <c r="N823" s="174"/>
      <c r="O823" s="174"/>
      <c r="P823" s="174"/>
      <c r="Q823" s="174"/>
      <c r="R823" s="174"/>
      <c r="S823" s="174"/>
      <c r="T823" s="174"/>
      <c r="U823" s="174"/>
      <c r="V823" s="174"/>
      <c r="W823" s="174"/>
      <c r="X823" s="174"/>
      <c r="Y823" s="174"/>
      <c r="Z823" s="174"/>
      <c r="AA823" s="174"/>
    </row>
    <row r="824" customFormat="false" ht="15.75" hidden="false" customHeight="false" outlineLevel="0" collapsed="false">
      <c r="A824" s="174" t="str">
        <f aca="false">IF(ISBLANK(B824),"",B824&amp;"|"&amp;C824)</f>
        <v/>
      </c>
      <c r="B824" s="174"/>
      <c r="C824" s="174"/>
      <c r="D824" s="174"/>
      <c r="E824" s="179"/>
      <c r="F824" s="174"/>
      <c r="G824" s="174"/>
      <c r="H824" s="174"/>
      <c r="I824" s="174"/>
      <c r="J824" s="174"/>
      <c r="K824" s="174"/>
      <c r="L824" s="174"/>
      <c r="M824" s="174"/>
      <c r="N824" s="174"/>
      <c r="O824" s="174"/>
      <c r="P824" s="174"/>
      <c r="Q824" s="174"/>
      <c r="R824" s="174"/>
      <c r="S824" s="174"/>
      <c r="T824" s="174"/>
      <c r="U824" s="174"/>
      <c r="V824" s="174"/>
      <c r="W824" s="174"/>
      <c r="X824" s="174"/>
      <c r="Y824" s="174"/>
      <c r="Z824" s="174"/>
      <c r="AA824" s="174"/>
    </row>
    <row r="825" customFormat="false" ht="15.75" hidden="false" customHeight="false" outlineLevel="0" collapsed="false">
      <c r="A825" s="174" t="str">
        <f aca="false">IF(ISBLANK(B825),"",B825&amp;"|"&amp;C825)</f>
        <v/>
      </c>
      <c r="B825" s="174"/>
      <c r="C825" s="174"/>
      <c r="D825" s="174"/>
      <c r="E825" s="179"/>
      <c r="F825" s="174"/>
      <c r="G825" s="174"/>
      <c r="H825" s="174"/>
      <c r="I825" s="174"/>
      <c r="J825" s="174"/>
      <c r="K825" s="174"/>
      <c r="L825" s="174"/>
      <c r="M825" s="174"/>
      <c r="N825" s="174"/>
      <c r="O825" s="174"/>
      <c r="P825" s="174"/>
      <c r="Q825" s="174"/>
      <c r="R825" s="174"/>
      <c r="S825" s="174"/>
      <c r="T825" s="174"/>
      <c r="U825" s="174"/>
      <c r="V825" s="174"/>
      <c r="W825" s="174"/>
      <c r="X825" s="174"/>
      <c r="Y825" s="174"/>
      <c r="Z825" s="174"/>
      <c r="AA825" s="174"/>
    </row>
    <row r="826" customFormat="false" ht="15.75" hidden="false" customHeight="false" outlineLevel="0" collapsed="false">
      <c r="A826" s="174" t="str">
        <f aca="false">IF(ISBLANK(B826),"",B826&amp;"|"&amp;C826)</f>
        <v/>
      </c>
      <c r="B826" s="174"/>
      <c r="C826" s="174"/>
      <c r="D826" s="174"/>
      <c r="E826" s="179"/>
      <c r="F826" s="174"/>
      <c r="G826" s="174"/>
      <c r="H826" s="174"/>
      <c r="I826" s="174"/>
      <c r="J826" s="174"/>
      <c r="K826" s="174"/>
      <c r="L826" s="174"/>
      <c r="M826" s="174"/>
      <c r="N826" s="174"/>
      <c r="O826" s="174"/>
      <c r="P826" s="174"/>
      <c r="Q826" s="174"/>
      <c r="R826" s="174"/>
      <c r="S826" s="174"/>
      <c r="T826" s="174"/>
      <c r="U826" s="174"/>
      <c r="V826" s="174"/>
      <c r="W826" s="174"/>
      <c r="X826" s="174"/>
      <c r="Y826" s="174"/>
      <c r="Z826" s="174"/>
      <c r="AA826" s="174"/>
    </row>
    <row r="827" customFormat="false" ht="15.75" hidden="false" customHeight="false" outlineLevel="0" collapsed="false">
      <c r="A827" s="174" t="str">
        <f aca="false">IF(ISBLANK(B827),"",B827&amp;"|"&amp;C827)</f>
        <v/>
      </c>
      <c r="B827" s="174"/>
      <c r="C827" s="174"/>
      <c r="D827" s="174"/>
      <c r="E827" s="179"/>
      <c r="F827" s="174"/>
      <c r="G827" s="174"/>
      <c r="H827" s="174"/>
      <c r="I827" s="174"/>
      <c r="J827" s="174"/>
      <c r="K827" s="174"/>
      <c r="L827" s="174"/>
      <c r="M827" s="174"/>
      <c r="N827" s="174"/>
      <c r="O827" s="174"/>
      <c r="P827" s="174"/>
      <c r="Q827" s="174"/>
      <c r="R827" s="174"/>
      <c r="S827" s="174"/>
      <c r="T827" s="174"/>
      <c r="U827" s="174"/>
      <c r="V827" s="174"/>
      <c r="W827" s="174"/>
      <c r="X827" s="174"/>
      <c r="Y827" s="174"/>
      <c r="Z827" s="174"/>
      <c r="AA827" s="174"/>
    </row>
    <row r="828" customFormat="false" ht="15.75" hidden="false" customHeight="false" outlineLevel="0" collapsed="false">
      <c r="A828" s="174" t="str">
        <f aca="false">IF(ISBLANK(B828),"",B828&amp;"|"&amp;C828)</f>
        <v/>
      </c>
      <c r="B828" s="174"/>
      <c r="C828" s="174"/>
      <c r="D828" s="174"/>
      <c r="E828" s="179"/>
      <c r="F828" s="174"/>
      <c r="G828" s="174"/>
      <c r="H828" s="174"/>
      <c r="I828" s="174"/>
      <c r="J828" s="174"/>
      <c r="K828" s="174"/>
      <c r="L828" s="174"/>
      <c r="M828" s="174"/>
      <c r="N828" s="174"/>
      <c r="O828" s="174"/>
      <c r="P828" s="174"/>
      <c r="Q828" s="174"/>
      <c r="R828" s="174"/>
      <c r="S828" s="174"/>
      <c r="T828" s="174"/>
      <c r="U828" s="174"/>
      <c r="V828" s="174"/>
      <c r="W828" s="174"/>
      <c r="X828" s="174"/>
      <c r="Y828" s="174"/>
      <c r="Z828" s="174"/>
      <c r="AA828" s="174"/>
    </row>
    <row r="829" customFormat="false" ht="15.75" hidden="false" customHeight="false" outlineLevel="0" collapsed="false">
      <c r="A829" s="174" t="str">
        <f aca="false">IF(ISBLANK(B829),"",B829&amp;"|"&amp;C829)</f>
        <v/>
      </c>
      <c r="B829" s="174"/>
      <c r="C829" s="174"/>
      <c r="D829" s="174"/>
      <c r="E829" s="179"/>
      <c r="F829" s="174"/>
      <c r="G829" s="174"/>
      <c r="H829" s="174"/>
      <c r="I829" s="174"/>
      <c r="J829" s="174"/>
      <c r="K829" s="174"/>
      <c r="L829" s="174"/>
      <c r="M829" s="174"/>
      <c r="N829" s="174"/>
      <c r="O829" s="174"/>
      <c r="P829" s="174"/>
      <c r="Q829" s="174"/>
      <c r="R829" s="174"/>
      <c r="S829" s="174"/>
      <c r="T829" s="174"/>
      <c r="U829" s="174"/>
      <c r="V829" s="174"/>
      <c r="W829" s="174"/>
      <c r="X829" s="174"/>
      <c r="Y829" s="174"/>
      <c r="Z829" s="174"/>
      <c r="AA829" s="174"/>
    </row>
    <row r="830" customFormat="false" ht="15.75" hidden="false" customHeight="false" outlineLevel="0" collapsed="false">
      <c r="A830" s="174" t="str">
        <f aca="false">IF(ISBLANK(B830),"",B830&amp;"|"&amp;C830)</f>
        <v/>
      </c>
      <c r="B830" s="174"/>
      <c r="C830" s="174"/>
      <c r="D830" s="174"/>
      <c r="E830" s="179"/>
      <c r="F830" s="174"/>
      <c r="G830" s="174"/>
      <c r="H830" s="174"/>
      <c r="I830" s="174"/>
      <c r="J830" s="174"/>
      <c r="K830" s="174"/>
      <c r="L830" s="174"/>
      <c r="M830" s="174"/>
      <c r="N830" s="174"/>
      <c r="O830" s="174"/>
      <c r="P830" s="174"/>
      <c r="Q830" s="174"/>
      <c r="R830" s="174"/>
      <c r="S830" s="174"/>
      <c r="T830" s="174"/>
      <c r="U830" s="174"/>
      <c r="V830" s="174"/>
      <c r="W830" s="174"/>
      <c r="X830" s="174"/>
      <c r="Y830" s="174"/>
      <c r="Z830" s="174"/>
      <c r="AA830" s="174"/>
    </row>
    <row r="831" customFormat="false" ht="15.75" hidden="false" customHeight="false" outlineLevel="0" collapsed="false">
      <c r="A831" s="174" t="str">
        <f aca="false">IF(ISBLANK(B831),"",B831&amp;"|"&amp;C831)</f>
        <v/>
      </c>
      <c r="B831" s="174"/>
      <c r="C831" s="174"/>
      <c r="D831" s="174"/>
      <c r="E831" s="179"/>
      <c r="F831" s="174"/>
      <c r="G831" s="174"/>
      <c r="H831" s="174"/>
      <c r="I831" s="174"/>
      <c r="J831" s="174"/>
      <c r="K831" s="174"/>
      <c r="L831" s="174"/>
      <c r="M831" s="174"/>
      <c r="N831" s="174"/>
      <c r="O831" s="174"/>
      <c r="P831" s="174"/>
      <c r="Q831" s="174"/>
      <c r="R831" s="174"/>
      <c r="S831" s="174"/>
      <c r="T831" s="174"/>
      <c r="U831" s="174"/>
      <c r="V831" s="174"/>
      <c r="W831" s="174"/>
      <c r="X831" s="174"/>
      <c r="Y831" s="174"/>
      <c r="Z831" s="174"/>
      <c r="AA831" s="174"/>
    </row>
    <row r="832" customFormat="false" ht="15.75" hidden="false" customHeight="false" outlineLevel="0" collapsed="false">
      <c r="A832" s="174" t="str">
        <f aca="false">IF(ISBLANK(B832),"",B832&amp;"|"&amp;C832)</f>
        <v/>
      </c>
      <c r="B832" s="174"/>
      <c r="C832" s="174"/>
      <c r="D832" s="174"/>
      <c r="E832" s="179"/>
      <c r="F832" s="174"/>
      <c r="G832" s="174"/>
      <c r="H832" s="174"/>
      <c r="I832" s="174"/>
      <c r="J832" s="174"/>
      <c r="K832" s="174"/>
      <c r="L832" s="174"/>
      <c r="M832" s="174"/>
      <c r="N832" s="174"/>
      <c r="O832" s="174"/>
      <c r="P832" s="174"/>
      <c r="Q832" s="174"/>
      <c r="R832" s="174"/>
      <c r="S832" s="174"/>
      <c r="T832" s="174"/>
      <c r="U832" s="174"/>
      <c r="V832" s="174"/>
      <c r="W832" s="174"/>
      <c r="X832" s="174"/>
      <c r="Y832" s="174"/>
      <c r="Z832" s="174"/>
      <c r="AA832" s="174"/>
    </row>
    <row r="833" customFormat="false" ht="15.75" hidden="false" customHeight="false" outlineLevel="0" collapsed="false">
      <c r="A833" s="174" t="str">
        <f aca="false">IF(ISBLANK(B833),"",B833&amp;"|"&amp;C833)</f>
        <v/>
      </c>
      <c r="B833" s="174"/>
      <c r="C833" s="174"/>
      <c r="D833" s="174"/>
      <c r="E833" s="179"/>
      <c r="F833" s="174"/>
      <c r="G833" s="174"/>
      <c r="H833" s="174"/>
      <c r="I833" s="174"/>
      <c r="J833" s="174"/>
      <c r="K833" s="174"/>
      <c r="L833" s="174"/>
      <c r="M833" s="174"/>
      <c r="N833" s="174"/>
      <c r="O833" s="174"/>
      <c r="P833" s="174"/>
      <c r="Q833" s="174"/>
      <c r="R833" s="174"/>
      <c r="S833" s="174"/>
      <c r="T833" s="174"/>
      <c r="U833" s="174"/>
      <c r="V833" s="174"/>
      <c r="W833" s="174"/>
      <c r="X833" s="174"/>
      <c r="Y833" s="174"/>
      <c r="Z833" s="174"/>
      <c r="AA833" s="174"/>
    </row>
    <row r="834" customFormat="false" ht="15.75" hidden="false" customHeight="false" outlineLevel="0" collapsed="false">
      <c r="A834" s="174" t="str">
        <f aca="false">IF(ISBLANK(B834),"",B834&amp;"|"&amp;C834)</f>
        <v/>
      </c>
      <c r="B834" s="174"/>
      <c r="C834" s="174"/>
      <c r="D834" s="174"/>
      <c r="E834" s="179"/>
      <c r="F834" s="174"/>
      <c r="G834" s="174"/>
      <c r="H834" s="174"/>
      <c r="I834" s="174"/>
      <c r="J834" s="174"/>
      <c r="K834" s="174"/>
      <c r="L834" s="174"/>
      <c r="M834" s="174"/>
      <c r="N834" s="174"/>
      <c r="O834" s="174"/>
      <c r="P834" s="174"/>
      <c r="Q834" s="174"/>
      <c r="R834" s="174"/>
      <c r="S834" s="174"/>
      <c r="T834" s="174"/>
      <c r="U834" s="174"/>
      <c r="V834" s="174"/>
      <c r="W834" s="174"/>
      <c r="X834" s="174"/>
      <c r="Y834" s="174"/>
      <c r="Z834" s="174"/>
      <c r="AA834" s="174"/>
    </row>
    <row r="835" customFormat="false" ht="15.75" hidden="false" customHeight="false" outlineLevel="0" collapsed="false">
      <c r="A835" s="174" t="str">
        <f aca="false">IF(ISBLANK(B835),"",B835&amp;"|"&amp;C835)</f>
        <v/>
      </c>
      <c r="B835" s="174"/>
      <c r="C835" s="174"/>
      <c r="D835" s="174"/>
      <c r="E835" s="179"/>
      <c r="F835" s="174"/>
      <c r="G835" s="174"/>
      <c r="H835" s="174"/>
      <c r="I835" s="174"/>
      <c r="J835" s="174"/>
      <c r="K835" s="174"/>
      <c r="L835" s="174"/>
      <c r="M835" s="174"/>
      <c r="N835" s="174"/>
      <c r="O835" s="174"/>
      <c r="P835" s="174"/>
      <c r="Q835" s="174"/>
      <c r="R835" s="174"/>
      <c r="S835" s="174"/>
      <c r="T835" s="174"/>
      <c r="U835" s="174"/>
      <c r="V835" s="174"/>
      <c r="W835" s="174"/>
      <c r="X835" s="174"/>
      <c r="Y835" s="174"/>
      <c r="Z835" s="174"/>
      <c r="AA835" s="174"/>
    </row>
    <row r="836" customFormat="false" ht="15.75" hidden="false" customHeight="false" outlineLevel="0" collapsed="false">
      <c r="A836" s="174" t="str">
        <f aca="false">IF(ISBLANK(B836),"",B836&amp;"|"&amp;C836)</f>
        <v/>
      </c>
      <c r="B836" s="174"/>
      <c r="C836" s="174"/>
      <c r="D836" s="174"/>
      <c r="E836" s="179"/>
      <c r="F836" s="174"/>
      <c r="G836" s="174"/>
      <c r="H836" s="174"/>
      <c r="I836" s="174"/>
      <c r="J836" s="174"/>
      <c r="K836" s="174"/>
      <c r="L836" s="174"/>
      <c r="M836" s="174"/>
      <c r="N836" s="174"/>
      <c r="O836" s="174"/>
      <c r="P836" s="174"/>
      <c r="Q836" s="174"/>
      <c r="R836" s="174"/>
      <c r="S836" s="174"/>
      <c r="T836" s="174"/>
      <c r="U836" s="174"/>
      <c r="V836" s="174"/>
      <c r="W836" s="174"/>
      <c r="X836" s="174"/>
      <c r="Y836" s="174"/>
      <c r="Z836" s="174"/>
      <c r="AA836" s="174"/>
    </row>
    <row r="837" customFormat="false" ht="15.75" hidden="false" customHeight="false" outlineLevel="0" collapsed="false">
      <c r="A837" s="174" t="str">
        <f aca="false">IF(ISBLANK(B837),"",B837&amp;"|"&amp;C837)</f>
        <v/>
      </c>
      <c r="B837" s="174"/>
      <c r="C837" s="174"/>
      <c r="D837" s="174"/>
      <c r="E837" s="179"/>
      <c r="F837" s="174"/>
      <c r="G837" s="174"/>
      <c r="H837" s="174"/>
      <c r="I837" s="174"/>
      <c r="J837" s="174"/>
      <c r="K837" s="174"/>
      <c r="L837" s="174"/>
      <c r="M837" s="174"/>
      <c r="N837" s="174"/>
      <c r="O837" s="174"/>
      <c r="P837" s="174"/>
      <c r="Q837" s="174"/>
      <c r="R837" s="174"/>
      <c r="S837" s="174"/>
      <c r="T837" s="174"/>
      <c r="U837" s="174"/>
      <c r="V837" s="174"/>
      <c r="W837" s="174"/>
      <c r="X837" s="174"/>
      <c r="Y837" s="174"/>
      <c r="Z837" s="174"/>
      <c r="AA837" s="174"/>
    </row>
    <row r="838" customFormat="false" ht="15.75" hidden="false" customHeight="false" outlineLevel="0" collapsed="false">
      <c r="A838" s="174" t="str">
        <f aca="false">IF(ISBLANK(B838),"",B838&amp;"|"&amp;C838)</f>
        <v/>
      </c>
      <c r="B838" s="174"/>
      <c r="C838" s="174"/>
      <c r="D838" s="174"/>
      <c r="E838" s="179"/>
      <c r="F838" s="174"/>
      <c r="G838" s="174"/>
      <c r="H838" s="174"/>
      <c r="I838" s="174"/>
      <c r="J838" s="174"/>
      <c r="K838" s="174"/>
      <c r="L838" s="174"/>
      <c r="M838" s="174"/>
      <c r="N838" s="174"/>
      <c r="O838" s="174"/>
      <c r="P838" s="174"/>
      <c r="Q838" s="174"/>
      <c r="R838" s="174"/>
      <c r="S838" s="174"/>
      <c r="T838" s="174"/>
      <c r="U838" s="174"/>
      <c r="V838" s="174"/>
      <c r="W838" s="174"/>
      <c r="X838" s="174"/>
      <c r="Y838" s="174"/>
      <c r="Z838" s="174"/>
      <c r="AA838" s="174"/>
    </row>
    <row r="839" customFormat="false" ht="15.75" hidden="false" customHeight="false" outlineLevel="0" collapsed="false">
      <c r="A839" s="174" t="str">
        <f aca="false">IF(ISBLANK(B839),"",B839&amp;"|"&amp;C839)</f>
        <v/>
      </c>
      <c r="B839" s="174"/>
      <c r="C839" s="174"/>
      <c r="D839" s="174"/>
      <c r="E839" s="179"/>
      <c r="F839" s="174"/>
      <c r="G839" s="174"/>
      <c r="H839" s="174"/>
      <c r="I839" s="174"/>
      <c r="J839" s="174"/>
      <c r="K839" s="174"/>
      <c r="L839" s="174"/>
      <c r="M839" s="174"/>
      <c r="N839" s="174"/>
      <c r="O839" s="174"/>
      <c r="P839" s="174"/>
      <c r="Q839" s="174"/>
      <c r="R839" s="174"/>
      <c r="S839" s="174"/>
      <c r="T839" s="174"/>
      <c r="U839" s="174"/>
      <c r="V839" s="174"/>
      <c r="W839" s="174"/>
      <c r="X839" s="174"/>
      <c r="Y839" s="174"/>
      <c r="Z839" s="174"/>
      <c r="AA839" s="174"/>
    </row>
    <row r="840" customFormat="false" ht="15.75" hidden="false" customHeight="false" outlineLevel="0" collapsed="false">
      <c r="A840" s="174" t="str">
        <f aca="false">IF(ISBLANK(B840),"",B840&amp;"|"&amp;C840)</f>
        <v/>
      </c>
      <c r="B840" s="174"/>
      <c r="C840" s="174"/>
      <c r="D840" s="174"/>
      <c r="E840" s="179"/>
      <c r="F840" s="174"/>
      <c r="G840" s="174"/>
      <c r="H840" s="174"/>
      <c r="I840" s="174"/>
      <c r="J840" s="174"/>
      <c r="K840" s="174"/>
      <c r="L840" s="174"/>
      <c r="M840" s="174"/>
      <c r="N840" s="174"/>
      <c r="O840" s="174"/>
      <c r="P840" s="174"/>
      <c r="Q840" s="174"/>
      <c r="R840" s="174"/>
      <c r="S840" s="174"/>
      <c r="T840" s="174"/>
      <c r="U840" s="174"/>
      <c r="V840" s="174"/>
      <c r="W840" s="174"/>
      <c r="X840" s="174"/>
      <c r="Y840" s="174"/>
      <c r="Z840" s="174"/>
      <c r="AA840" s="174"/>
    </row>
    <row r="841" customFormat="false" ht="15.75" hidden="false" customHeight="false" outlineLevel="0" collapsed="false">
      <c r="A841" s="174" t="str">
        <f aca="false">IF(ISBLANK(B841),"",B841&amp;"|"&amp;C841)</f>
        <v/>
      </c>
      <c r="B841" s="174"/>
      <c r="C841" s="174"/>
      <c r="D841" s="174"/>
      <c r="E841" s="179"/>
      <c r="F841" s="174"/>
      <c r="G841" s="174"/>
      <c r="H841" s="174"/>
      <c r="I841" s="174"/>
      <c r="J841" s="174"/>
      <c r="K841" s="174"/>
      <c r="L841" s="174"/>
      <c r="M841" s="174"/>
      <c r="N841" s="174"/>
      <c r="O841" s="174"/>
      <c r="P841" s="174"/>
      <c r="Q841" s="174"/>
      <c r="R841" s="174"/>
      <c r="S841" s="174"/>
      <c r="T841" s="174"/>
      <c r="U841" s="174"/>
      <c r="V841" s="174"/>
      <c r="W841" s="174"/>
      <c r="X841" s="174"/>
      <c r="Y841" s="174"/>
      <c r="Z841" s="174"/>
      <c r="AA841" s="174"/>
    </row>
    <row r="842" customFormat="false" ht="15.75" hidden="false" customHeight="false" outlineLevel="0" collapsed="false">
      <c r="A842" s="174" t="str">
        <f aca="false">IF(ISBLANK(B842),"",B842&amp;"|"&amp;C842)</f>
        <v/>
      </c>
      <c r="B842" s="174"/>
      <c r="C842" s="174"/>
      <c r="D842" s="174"/>
      <c r="E842" s="179"/>
      <c r="F842" s="174"/>
      <c r="G842" s="174"/>
      <c r="H842" s="174"/>
      <c r="I842" s="174"/>
      <c r="J842" s="174"/>
      <c r="K842" s="174"/>
      <c r="L842" s="174"/>
      <c r="M842" s="174"/>
      <c r="N842" s="174"/>
      <c r="O842" s="174"/>
      <c r="P842" s="174"/>
      <c r="Q842" s="174"/>
      <c r="R842" s="174"/>
      <c r="S842" s="174"/>
      <c r="T842" s="174"/>
      <c r="U842" s="174"/>
      <c r="V842" s="174"/>
      <c r="W842" s="174"/>
      <c r="X842" s="174"/>
      <c r="Y842" s="174"/>
      <c r="Z842" s="174"/>
      <c r="AA842" s="174"/>
    </row>
    <row r="843" customFormat="false" ht="15.75" hidden="false" customHeight="false" outlineLevel="0" collapsed="false">
      <c r="A843" s="174" t="str">
        <f aca="false">IF(ISBLANK(B843),"",B843&amp;"|"&amp;C843)</f>
        <v/>
      </c>
      <c r="B843" s="174"/>
      <c r="C843" s="174"/>
      <c r="D843" s="174"/>
      <c r="E843" s="179"/>
      <c r="F843" s="174"/>
      <c r="G843" s="174"/>
      <c r="H843" s="174"/>
      <c r="I843" s="174"/>
      <c r="J843" s="174"/>
      <c r="K843" s="174"/>
      <c r="L843" s="174"/>
      <c r="M843" s="174"/>
      <c r="N843" s="174"/>
      <c r="O843" s="174"/>
      <c r="P843" s="174"/>
      <c r="Q843" s="174"/>
      <c r="R843" s="174"/>
      <c r="S843" s="174"/>
      <c r="T843" s="174"/>
      <c r="U843" s="174"/>
      <c r="V843" s="174"/>
      <c r="W843" s="174"/>
      <c r="X843" s="174"/>
      <c r="Y843" s="174"/>
      <c r="Z843" s="174"/>
      <c r="AA843" s="174"/>
    </row>
    <row r="844" customFormat="false" ht="15.75" hidden="false" customHeight="false" outlineLevel="0" collapsed="false">
      <c r="A844" s="174" t="str">
        <f aca="false">IF(ISBLANK(B844),"",B844&amp;"|"&amp;C844)</f>
        <v/>
      </c>
      <c r="B844" s="174"/>
      <c r="C844" s="174"/>
      <c r="D844" s="174"/>
      <c r="E844" s="179"/>
      <c r="F844" s="174"/>
      <c r="G844" s="174"/>
      <c r="H844" s="174"/>
      <c r="I844" s="174"/>
      <c r="J844" s="174"/>
      <c r="K844" s="174"/>
      <c r="L844" s="174"/>
      <c r="M844" s="174"/>
      <c r="N844" s="174"/>
      <c r="O844" s="174"/>
      <c r="P844" s="174"/>
      <c r="Q844" s="174"/>
      <c r="R844" s="174"/>
      <c r="S844" s="174"/>
      <c r="T844" s="174"/>
      <c r="U844" s="174"/>
      <c r="V844" s="174"/>
      <c r="W844" s="174"/>
      <c r="X844" s="174"/>
      <c r="Y844" s="174"/>
      <c r="Z844" s="174"/>
      <c r="AA844" s="174"/>
    </row>
    <row r="845" customFormat="false" ht="15.75" hidden="false" customHeight="false" outlineLevel="0" collapsed="false">
      <c r="A845" s="174" t="str">
        <f aca="false">IF(ISBLANK(B845),"",B845&amp;"|"&amp;C845)</f>
        <v/>
      </c>
      <c r="B845" s="174"/>
      <c r="C845" s="174"/>
      <c r="D845" s="174"/>
      <c r="E845" s="179"/>
      <c r="F845" s="174"/>
      <c r="G845" s="174"/>
      <c r="H845" s="174"/>
      <c r="I845" s="174"/>
      <c r="J845" s="174"/>
      <c r="K845" s="174"/>
      <c r="L845" s="174"/>
      <c r="M845" s="174"/>
      <c r="N845" s="174"/>
      <c r="O845" s="174"/>
      <c r="P845" s="174"/>
      <c r="Q845" s="174"/>
      <c r="R845" s="174"/>
      <c r="S845" s="174"/>
      <c r="T845" s="174"/>
      <c r="U845" s="174"/>
      <c r="V845" s="174"/>
      <c r="W845" s="174"/>
      <c r="X845" s="174"/>
      <c r="Y845" s="174"/>
      <c r="Z845" s="174"/>
      <c r="AA845" s="174"/>
    </row>
    <row r="846" customFormat="false" ht="15.75" hidden="false" customHeight="false" outlineLevel="0" collapsed="false">
      <c r="A846" s="174" t="str">
        <f aca="false">IF(ISBLANK(B846),"",B846&amp;"|"&amp;C846)</f>
        <v/>
      </c>
      <c r="B846" s="174"/>
      <c r="C846" s="174"/>
      <c r="D846" s="174"/>
      <c r="E846" s="179"/>
      <c r="F846" s="174"/>
      <c r="G846" s="174"/>
      <c r="H846" s="174"/>
      <c r="I846" s="174"/>
      <c r="J846" s="174"/>
      <c r="K846" s="174"/>
      <c r="L846" s="174"/>
      <c r="M846" s="174"/>
      <c r="N846" s="174"/>
      <c r="O846" s="174"/>
      <c r="P846" s="174"/>
      <c r="Q846" s="174"/>
      <c r="R846" s="174"/>
      <c r="S846" s="174"/>
      <c r="T846" s="174"/>
      <c r="U846" s="174"/>
      <c r="V846" s="174"/>
      <c r="W846" s="174"/>
      <c r="X846" s="174"/>
      <c r="Y846" s="174"/>
      <c r="Z846" s="174"/>
      <c r="AA846" s="174"/>
    </row>
    <row r="847" customFormat="false" ht="15.75" hidden="false" customHeight="false" outlineLevel="0" collapsed="false">
      <c r="A847" s="174" t="str">
        <f aca="false">IF(ISBLANK(B847),"",B847&amp;"|"&amp;C847)</f>
        <v/>
      </c>
      <c r="B847" s="174"/>
      <c r="C847" s="174"/>
      <c r="D847" s="174"/>
      <c r="E847" s="179"/>
      <c r="F847" s="174"/>
      <c r="G847" s="174"/>
      <c r="H847" s="174"/>
      <c r="I847" s="174"/>
      <c r="J847" s="174"/>
      <c r="K847" s="174"/>
      <c r="L847" s="174"/>
      <c r="M847" s="174"/>
      <c r="N847" s="174"/>
      <c r="O847" s="174"/>
      <c r="P847" s="174"/>
      <c r="Q847" s="174"/>
      <c r="R847" s="174"/>
      <c r="S847" s="174"/>
      <c r="T847" s="174"/>
      <c r="U847" s="174"/>
      <c r="V847" s="174"/>
      <c r="W847" s="174"/>
      <c r="X847" s="174"/>
      <c r="Y847" s="174"/>
      <c r="Z847" s="174"/>
      <c r="AA847" s="174"/>
    </row>
    <row r="848" customFormat="false" ht="15.75" hidden="false" customHeight="false" outlineLevel="0" collapsed="false">
      <c r="A848" s="174" t="str">
        <f aca="false">IF(ISBLANK(B848),"",B848&amp;"|"&amp;C848)</f>
        <v/>
      </c>
      <c r="B848" s="174"/>
      <c r="C848" s="174"/>
      <c r="D848" s="174"/>
      <c r="E848" s="179"/>
      <c r="F848" s="174"/>
      <c r="G848" s="174"/>
      <c r="H848" s="174"/>
      <c r="I848" s="174"/>
      <c r="J848" s="174"/>
      <c r="K848" s="174"/>
      <c r="L848" s="174"/>
      <c r="M848" s="174"/>
      <c r="N848" s="174"/>
      <c r="O848" s="174"/>
      <c r="P848" s="174"/>
      <c r="Q848" s="174"/>
      <c r="R848" s="174"/>
      <c r="S848" s="174"/>
      <c r="T848" s="174"/>
      <c r="U848" s="174"/>
      <c r="V848" s="174"/>
      <c r="W848" s="174"/>
      <c r="X848" s="174"/>
      <c r="Y848" s="174"/>
      <c r="Z848" s="174"/>
      <c r="AA848" s="174"/>
    </row>
    <row r="849" customFormat="false" ht="15.75" hidden="false" customHeight="false" outlineLevel="0" collapsed="false">
      <c r="A849" s="174" t="str">
        <f aca="false">IF(ISBLANK(B849),"",B849&amp;"|"&amp;C849)</f>
        <v/>
      </c>
      <c r="B849" s="174"/>
      <c r="C849" s="174"/>
      <c r="D849" s="174"/>
      <c r="E849" s="179"/>
      <c r="F849" s="174"/>
      <c r="G849" s="174"/>
      <c r="H849" s="174"/>
      <c r="I849" s="174"/>
      <c r="J849" s="174"/>
      <c r="K849" s="174"/>
      <c r="L849" s="174"/>
      <c r="M849" s="174"/>
      <c r="N849" s="174"/>
      <c r="O849" s="174"/>
      <c r="P849" s="174"/>
      <c r="Q849" s="174"/>
      <c r="R849" s="174"/>
      <c r="S849" s="174"/>
      <c r="T849" s="174"/>
      <c r="U849" s="174"/>
      <c r="V849" s="174"/>
      <c r="W849" s="174"/>
      <c r="X849" s="174"/>
      <c r="Y849" s="174"/>
      <c r="Z849" s="174"/>
      <c r="AA849" s="174"/>
    </row>
    <row r="850" customFormat="false" ht="15.75" hidden="false" customHeight="false" outlineLevel="0" collapsed="false">
      <c r="A850" s="174" t="str">
        <f aca="false">IF(ISBLANK(B850),"",B850&amp;"|"&amp;C850)</f>
        <v/>
      </c>
      <c r="B850" s="174"/>
      <c r="C850" s="174"/>
      <c r="D850" s="174"/>
      <c r="E850" s="179"/>
      <c r="F850" s="174"/>
      <c r="G850" s="174"/>
      <c r="H850" s="174"/>
      <c r="I850" s="174"/>
      <c r="J850" s="174"/>
      <c r="K850" s="174"/>
      <c r="L850" s="174"/>
      <c r="M850" s="174"/>
      <c r="N850" s="174"/>
      <c r="O850" s="174"/>
      <c r="P850" s="174"/>
      <c r="Q850" s="174"/>
      <c r="R850" s="174"/>
      <c r="S850" s="174"/>
      <c r="T850" s="174"/>
      <c r="U850" s="174"/>
      <c r="V850" s="174"/>
      <c r="W850" s="174"/>
      <c r="X850" s="174"/>
      <c r="Y850" s="174"/>
      <c r="Z850" s="174"/>
      <c r="AA850" s="174"/>
    </row>
    <row r="851" customFormat="false" ht="15.75" hidden="false" customHeight="false" outlineLevel="0" collapsed="false">
      <c r="A851" s="174" t="str">
        <f aca="false">IF(ISBLANK(B851),"",B851&amp;"|"&amp;C851)</f>
        <v/>
      </c>
      <c r="B851" s="174"/>
      <c r="C851" s="174"/>
      <c r="D851" s="174"/>
      <c r="E851" s="179"/>
      <c r="F851" s="174"/>
      <c r="G851" s="174"/>
      <c r="H851" s="174"/>
      <c r="I851" s="174"/>
      <c r="J851" s="174"/>
      <c r="K851" s="174"/>
      <c r="L851" s="174"/>
      <c r="M851" s="174"/>
      <c r="N851" s="174"/>
      <c r="O851" s="174"/>
      <c r="P851" s="174"/>
      <c r="Q851" s="174"/>
      <c r="R851" s="174"/>
      <c r="S851" s="174"/>
      <c r="T851" s="174"/>
      <c r="U851" s="174"/>
      <c r="V851" s="174"/>
      <c r="W851" s="174"/>
      <c r="X851" s="174"/>
      <c r="Y851" s="174"/>
      <c r="Z851" s="174"/>
      <c r="AA851" s="174"/>
    </row>
    <row r="852" customFormat="false" ht="15.75" hidden="false" customHeight="false" outlineLevel="0" collapsed="false">
      <c r="A852" s="174" t="str">
        <f aca="false">IF(ISBLANK(B852),"",B852&amp;"|"&amp;C852)</f>
        <v/>
      </c>
      <c r="B852" s="174"/>
      <c r="C852" s="174"/>
      <c r="D852" s="174"/>
      <c r="E852" s="179"/>
      <c r="F852" s="174"/>
      <c r="G852" s="174"/>
      <c r="H852" s="174"/>
      <c r="I852" s="174"/>
      <c r="J852" s="174"/>
      <c r="K852" s="174"/>
      <c r="L852" s="174"/>
      <c r="M852" s="174"/>
      <c r="N852" s="174"/>
      <c r="O852" s="174"/>
      <c r="P852" s="174"/>
      <c r="Q852" s="174"/>
      <c r="R852" s="174"/>
      <c r="S852" s="174"/>
      <c r="T852" s="174"/>
      <c r="U852" s="174"/>
      <c r="V852" s="174"/>
      <c r="W852" s="174"/>
      <c r="X852" s="174"/>
      <c r="Y852" s="174"/>
      <c r="Z852" s="174"/>
      <c r="AA852" s="174"/>
    </row>
    <row r="853" customFormat="false" ht="15.75" hidden="false" customHeight="false" outlineLevel="0" collapsed="false">
      <c r="A853" s="174" t="str">
        <f aca="false">IF(ISBLANK(B853),"",B853&amp;"|"&amp;C853)</f>
        <v/>
      </c>
      <c r="B853" s="174"/>
      <c r="C853" s="174"/>
      <c r="D853" s="174"/>
      <c r="E853" s="179"/>
      <c r="F853" s="174"/>
      <c r="G853" s="174"/>
      <c r="H853" s="174"/>
      <c r="I853" s="174"/>
      <c r="J853" s="174"/>
      <c r="K853" s="174"/>
      <c r="L853" s="174"/>
      <c r="M853" s="174"/>
      <c r="N853" s="174"/>
      <c r="O853" s="174"/>
      <c r="P853" s="174"/>
      <c r="Q853" s="174"/>
      <c r="R853" s="174"/>
      <c r="S853" s="174"/>
      <c r="T853" s="174"/>
      <c r="U853" s="174"/>
      <c r="V853" s="174"/>
      <c r="W853" s="174"/>
      <c r="X853" s="174"/>
      <c r="Y853" s="174"/>
      <c r="Z853" s="174"/>
      <c r="AA853" s="174"/>
    </row>
    <row r="854" customFormat="false" ht="15.75" hidden="false" customHeight="false" outlineLevel="0" collapsed="false">
      <c r="A854" s="174" t="str">
        <f aca="false">IF(ISBLANK(B854),"",B854&amp;"|"&amp;C854)</f>
        <v/>
      </c>
      <c r="B854" s="174"/>
      <c r="C854" s="174"/>
      <c r="D854" s="174"/>
      <c r="E854" s="179"/>
      <c r="F854" s="174"/>
      <c r="G854" s="174"/>
      <c r="H854" s="174"/>
      <c r="I854" s="174"/>
      <c r="J854" s="174"/>
      <c r="K854" s="174"/>
      <c r="L854" s="174"/>
      <c r="M854" s="174"/>
      <c r="N854" s="174"/>
      <c r="O854" s="174"/>
      <c r="P854" s="174"/>
      <c r="Q854" s="174"/>
      <c r="R854" s="174"/>
      <c r="S854" s="174"/>
      <c r="T854" s="174"/>
      <c r="U854" s="174"/>
      <c r="V854" s="174"/>
      <c r="W854" s="174"/>
      <c r="X854" s="174"/>
      <c r="Y854" s="174"/>
      <c r="Z854" s="174"/>
      <c r="AA854" s="174"/>
    </row>
    <row r="855" customFormat="false" ht="15.75" hidden="false" customHeight="false" outlineLevel="0" collapsed="false">
      <c r="A855" s="174" t="str">
        <f aca="false">IF(ISBLANK(B855),"",B855&amp;"|"&amp;C855)</f>
        <v/>
      </c>
      <c r="B855" s="174"/>
      <c r="C855" s="174"/>
      <c r="D855" s="174"/>
      <c r="E855" s="179"/>
      <c r="F855" s="174"/>
      <c r="G855" s="174"/>
      <c r="H855" s="174"/>
      <c r="I855" s="174"/>
      <c r="J855" s="174"/>
      <c r="K855" s="174"/>
      <c r="L855" s="174"/>
      <c r="M855" s="174"/>
      <c r="N855" s="174"/>
      <c r="O855" s="174"/>
      <c r="P855" s="174"/>
      <c r="Q855" s="174"/>
      <c r="R855" s="174"/>
      <c r="S855" s="174"/>
      <c r="T855" s="174"/>
      <c r="U855" s="174"/>
      <c r="V855" s="174"/>
      <c r="W855" s="174"/>
      <c r="X855" s="174"/>
      <c r="Y855" s="174"/>
      <c r="Z855" s="174"/>
      <c r="AA855" s="174"/>
    </row>
    <row r="856" customFormat="false" ht="15.75" hidden="false" customHeight="false" outlineLevel="0" collapsed="false">
      <c r="A856" s="174" t="str">
        <f aca="false">IF(ISBLANK(B856),"",B856&amp;"|"&amp;C856)</f>
        <v/>
      </c>
      <c r="B856" s="174"/>
      <c r="C856" s="174"/>
      <c r="D856" s="174"/>
      <c r="E856" s="179"/>
      <c r="F856" s="174"/>
      <c r="G856" s="174"/>
      <c r="H856" s="174"/>
      <c r="I856" s="174"/>
      <c r="J856" s="174"/>
      <c r="K856" s="174"/>
      <c r="L856" s="174"/>
      <c r="M856" s="174"/>
      <c r="N856" s="174"/>
      <c r="O856" s="174"/>
      <c r="P856" s="174"/>
      <c r="Q856" s="174"/>
      <c r="R856" s="174"/>
      <c r="S856" s="174"/>
      <c r="T856" s="174"/>
      <c r="U856" s="174"/>
      <c r="V856" s="174"/>
      <c r="W856" s="174"/>
      <c r="X856" s="174"/>
      <c r="Y856" s="174"/>
      <c r="Z856" s="174"/>
      <c r="AA856" s="174"/>
    </row>
    <row r="857" customFormat="false" ht="15.75" hidden="false" customHeight="false" outlineLevel="0" collapsed="false">
      <c r="A857" s="174" t="str">
        <f aca="false">IF(ISBLANK(B857),"",B857&amp;"|"&amp;C857)</f>
        <v/>
      </c>
      <c r="B857" s="174"/>
      <c r="C857" s="174"/>
      <c r="D857" s="174"/>
      <c r="E857" s="179"/>
      <c r="F857" s="174"/>
      <c r="G857" s="174"/>
      <c r="H857" s="174"/>
      <c r="I857" s="174"/>
      <c r="J857" s="174"/>
      <c r="K857" s="174"/>
      <c r="L857" s="174"/>
      <c r="M857" s="174"/>
      <c r="N857" s="174"/>
      <c r="O857" s="174"/>
      <c r="P857" s="174"/>
      <c r="Q857" s="174"/>
      <c r="R857" s="174"/>
      <c r="S857" s="174"/>
      <c r="T857" s="174"/>
      <c r="U857" s="174"/>
      <c r="V857" s="174"/>
      <c r="W857" s="174"/>
      <c r="X857" s="174"/>
      <c r="Y857" s="174"/>
      <c r="Z857" s="174"/>
      <c r="AA857" s="174"/>
    </row>
    <row r="858" customFormat="false" ht="15.75" hidden="false" customHeight="false" outlineLevel="0" collapsed="false">
      <c r="A858" s="174" t="str">
        <f aca="false">IF(ISBLANK(B858),"",B858&amp;"|"&amp;C858)</f>
        <v/>
      </c>
      <c r="B858" s="174"/>
      <c r="C858" s="174"/>
      <c r="D858" s="174"/>
      <c r="E858" s="179"/>
      <c r="F858" s="174"/>
      <c r="G858" s="174"/>
      <c r="H858" s="174"/>
      <c r="I858" s="174"/>
      <c r="J858" s="174"/>
      <c r="K858" s="174"/>
      <c r="L858" s="174"/>
      <c r="M858" s="174"/>
      <c r="N858" s="174"/>
      <c r="O858" s="174"/>
      <c r="P858" s="174"/>
      <c r="Q858" s="174"/>
      <c r="R858" s="174"/>
      <c r="S858" s="174"/>
      <c r="T858" s="174"/>
      <c r="U858" s="174"/>
      <c r="V858" s="174"/>
      <c r="W858" s="174"/>
      <c r="X858" s="174"/>
      <c r="Y858" s="174"/>
      <c r="Z858" s="174"/>
      <c r="AA858" s="174"/>
    </row>
    <row r="859" customFormat="false" ht="15.75" hidden="false" customHeight="false" outlineLevel="0" collapsed="false">
      <c r="A859" s="174" t="str">
        <f aca="false">IF(ISBLANK(B859),"",B859&amp;"|"&amp;C859)</f>
        <v/>
      </c>
      <c r="B859" s="174"/>
      <c r="C859" s="174"/>
      <c r="D859" s="174"/>
      <c r="E859" s="179"/>
      <c r="F859" s="174"/>
      <c r="G859" s="174"/>
      <c r="H859" s="174"/>
      <c r="I859" s="174"/>
      <c r="J859" s="174"/>
      <c r="K859" s="174"/>
      <c r="L859" s="174"/>
      <c r="M859" s="174"/>
      <c r="N859" s="174"/>
      <c r="O859" s="174"/>
      <c r="P859" s="174"/>
      <c r="Q859" s="174"/>
      <c r="R859" s="174"/>
      <c r="S859" s="174"/>
      <c r="T859" s="174"/>
      <c r="U859" s="174"/>
      <c r="V859" s="174"/>
      <c r="W859" s="174"/>
      <c r="X859" s="174"/>
      <c r="Y859" s="174"/>
      <c r="Z859" s="174"/>
      <c r="AA859" s="174"/>
    </row>
    <row r="860" customFormat="false" ht="15.75" hidden="false" customHeight="false" outlineLevel="0" collapsed="false">
      <c r="A860" s="174" t="str">
        <f aca="false">IF(ISBLANK(B860),"",B860&amp;"|"&amp;C860)</f>
        <v/>
      </c>
      <c r="B860" s="174"/>
      <c r="C860" s="174"/>
      <c r="D860" s="174"/>
      <c r="E860" s="179"/>
      <c r="F860" s="174"/>
      <c r="G860" s="174"/>
      <c r="H860" s="174"/>
      <c r="I860" s="174"/>
      <c r="J860" s="174"/>
      <c r="K860" s="174"/>
      <c r="L860" s="174"/>
      <c r="M860" s="174"/>
      <c r="N860" s="174"/>
      <c r="O860" s="174"/>
      <c r="P860" s="174"/>
      <c r="Q860" s="174"/>
      <c r="R860" s="174"/>
      <c r="S860" s="174"/>
      <c r="T860" s="174"/>
      <c r="U860" s="174"/>
      <c r="V860" s="174"/>
      <c r="W860" s="174"/>
      <c r="X860" s="174"/>
      <c r="Y860" s="174"/>
      <c r="Z860" s="174"/>
      <c r="AA860" s="174"/>
    </row>
    <row r="861" customFormat="false" ht="15.75" hidden="false" customHeight="false" outlineLevel="0" collapsed="false">
      <c r="A861" s="174" t="str">
        <f aca="false">IF(ISBLANK(B861),"",B861&amp;"|"&amp;C861)</f>
        <v/>
      </c>
      <c r="B861" s="174"/>
      <c r="C861" s="174"/>
      <c r="D861" s="174"/>
      <c r="E861" s="179"/>
      <c r="F861" s="174"/>
      <c r="G861" s="174"/>
      <c r="H861" s="174"/>
      <c r="I861" s="174"/>
      <c r="J861" s="174"/>
      <c r="K861" s="174"/>
      <c r="L861" s="174"/>
      <c r="M861" s="174"/>
      <c r="N861" s="174"/>
      <c r="O861" s="174"/>
      <c r="P861" s="174"/>
      <c r="Q861" s="174"/>
      <c r="R861" s="174"/>
      <c r="S861" s="174"/>
      <c r="T861" s="174"/>
      <c r="U861" s="174"/>
      <c r="V861" s="174"/>
      <c r="W861" s="174"/>
      <c r="X861" s="174"/>
      <c r="Y861" s="174"/>
      <c r="Z861" s="174"/>
      <c r="AA861" s="174"/>
    </row>
    <row r="862" customFormat="false" ht="15.75" hidden="false" customHeight="false" outlineLevel="0" collapsed="false">
      <c r="A862" s="174" t="str">
        <f aca="false">IF(ISBLANK(B862),"",B862&amp;"|"&amp;C862)</f>
        <v/>
      </c>
      <c r="B862" s="174"/>
      <c r="C862" s="174"/>
      <c r="D862" s="174"/>
      <c r="E862" s="179"/>
      <c r="F862" s="174"/>
      <c r="G862" s="174"/>
      <c r="H862" s="174"/>
      <c r="I862" s="174"/>
      <c r="J862" s="174"/>
      <c r="K862" s="174"/>
      <c r="L862" s="174"/>
      <c r="M862" s="174"/>
      <c r="N862" s="174"/>
      <c r="O862" s="174"/>
      <c r="P862" s="174"/>
      <c r="Q862" s="174"/>
      <c r="R862" s="174"/>
      <c r="S862" s="174"/>
      <c r="T862" s="174"/>
      <c r="U862" s="174"/>
      <c r="V862" s="174"/>
      <c r="W862" s="174"/>
      <c r="X862" s="174"/>
      <c r="Y862" s="174"/>
      <c r="Z862" s="174"/>
      <c r="AA862" s="174"/>
    </row>
    <row r="863" customFormat="false" ht="15.75" hidden="false" customHeight="false" outlineLevel="0" collapsed="false">
      <c r="A863" s="174" t="str">
        <f aca="false">IF(ISBLANK(B863),"",B863&amp;"|"&amp;C863)</f>
        <v/>
      </c>
      <c r="B863" s="174"/>
      <c r="C863" s="174"/>
      <c r="D863" s="174"/>
      <c r="E863" s="179"/>
      <c r="F863" s="174"/>
      <c r="G863" s="174"/>
      <c r="H863" s="174"/>
      <c r="I863" s="174"/>
      <c r="J863" s="174"/>
      <c r="K863" s="174"/>
      <c r="L863" s="174"/>
      <c r="M863" s="174"/>
      <c r="N863" s="174"/>
      <c r="O863" s="174"/>
      <c r="P863" s="174"/>
      <c r="Q863" s="174"/>
      <c r="R863" s="174"/>
      <c r="S863" s="174"/>
      <c r="T863" s="174"/>
      <c r="U863" s="174"/>
      <c r="V863" s="174"/>
      <c r="W863" s="174"/>
      <c r="X863" s="174"/>
      <c r="Y863" s="174"/>
      <c r="Z863" s="174"/>
      <c r="AA863" s="174"/>
    </row>
    <row r="864" customFormat="false" ht="15.75" hidden="false" customHeight="false" outlineLevel="0" collapsed="false">
      <c r="A864" s="174" t="str">
        <f aca="false">IF(ISBLANK(B864),"",B864&amp;"|"&amp;C864)</f>
        <v/>
      </c>
      <c r="B864" s="174"/>
      <c r="C864" s="174"/>
      <c r="D864" s="174"/>
      <c r="E864" s="179"/>
      <c r="F864" s="174"/>
      <c r="G864" s="174"/>
      <c r="H864" s="174"/>
      <c r="I864" s="174"/>
      <c r="J864" s="174"/>
      <c r="K864" s="174"/>
      <c r="L864" s="174"/>
      <c r="M864" s="174"/>
      <c r="N864" s="174"/>
      <c r="O864" s="174"/>
      <c r="P864" s="174"/>
      <c r="Q864" s="174"/>
      <c r="R864" s="174"/>
      <c r="S864" s="174"/>
      <c r="T864" s="174"/>
      <c r="U864" s="174"/>
      <c r="V864" s="174"/>
      <c r="W864" s="174"/>
      <c r="X864" s="174"/>
      <c r="Y864" s="174"/>
      <c r="Z864" s="174"/>
      <c r="AA864" s="174"/>
    </row>
    <row r="865" customFormat="false" ht="15.75" hidden="false" customHeight="false" outlineLevel="0" collapsed="false">
      <c r="A865" s="174" t="str">
        <f aca="false">IF(ISBLANK(B865),"",B865&amp;"|"&amp;C865)</f>
        <v/>
      </c>
      <c r="B865" s="174"/>
      <c r="C865" s="174"/>
      <c r="D865" s="174"/>
      <c r="E865" s="179"/>
      <c r="F865" s="174"/>
      <c r="G865" s="174"/>
      <c r="H865" s="174"/>
      <c r="I865" s="174"/>
      <c r="J865" s="174"/>
      <c r="K865" s="174"/>
      <c r="L865" s="174"/>
      <c r="M865" s="174"/>
      <c r="N865" s="174"/>
      <c r="O865" s="174"/>
      <c r="P865" s="174"/>
      <c r="Q865" s="174"/>
      <c r="R865" s="174"/>
      <c r="S865" s="174"/>
      <c r="T865" s="174"/>
      <c r="U865" s="174"/>
      <c r="V865" s="174"/>
      <c r="W865" s="174"/>
      <c r="X865" s="174"/>
      <c r="Y865" s="174"/>
      <c r="Z865" s="174"/>
      <c r="AA865" s="174"/>
    </row>
    <row r="866" customFormat="false" ht="15.75" hidden="false" customHeight="false" outlineLevel="0" collapsed="false">
      <c r="A866" s="174" t="str">
        <f aca="false">IF(ISBLANK(B866),"",B866&amp;"|"&amp;C866)</f>
        <v/>
      </c>
      <c r="B866" s="174"/>
      <c r="C866" s="174"/>
      <c r="D866" s="174"/>
      <c r="E866" s="179"/>
      <c r="F866" s="174"/>
      <c r="G866" s="174"/>
      <c r="H866" s="174"/>
      <c r="I866" s="174"/>
      <c r="J866" s="174"/>
      <c r="K866" s="174"/>
      <c r="L866" s="174"/>
      <c r="M866" s="174"/>
      <c r="N866" s="174"/>
      <c r="O866" s="174"/>
      <c r="P866" s="174"/>
      <c r="Q866" s="174"/>
      <c r="R866" s="174"/>
      <c r="S866" s="174"/>
      <c r="T866" s="174"/>
      <c r="U866" s="174"/>
      <c r="V866" s="174"/>
      <c r="W866" s="174"/>
      <c r="X866" s="174"/>
      <c r="Y866" s="174"/>
      <c r="Z866" s="174"/>
      <c r="AA866" s="174"/>
    </row>
    <row r="867" customFormat="false" ht="15.75" hidden="false" customHeight="false" outlineLevel="0" collapsed="false">
      <c r="A867" s="174" t="str">
        <f aca="false">IF(ISBLANK(B867),"",B867&amp;"|"&amp;C867)</f>
        <v/>
      </c>
      <c r="B867" s="174"/>
      <c r="C867" s="174"/>
      <c r="D867" s="174"/>
      <c r="E867" s="179"/>
      <c r="F867" s="174"/>
      <c r="G867" s="174"/>
      <c r="H867" s="174"/>
      <c r="I867" s="174"/>
      <c r="J867" s="174"/>
      <c r="K867" s="174"/>
      <c r="L867" s="174"/>
      <c r="M867" s="174"/>
      <c r="N867" s="174"/>
      <c r="O867" s="174"/>
      <c r="P867" s="174"/>
      <c r="Q867" s="174"/>
      <c r="R867" s="174"/>
      <c r="S867" s="174"/>
      <c r="T867" s="174"/>
      <c r="U867" s="174"/>
      <c r="V867" s="174"/>
      <c r="W867" s="174"/>
      <c r="X867" s="174"/>
      <c r="Y867" s="174"/>
      <c r="Z867" s="174"/>
      <c r="AA867" s="174"/>
    </row>
    <row r="868" customFormat="false" ht="15.75" hidden="false" customHeight="false" outlineLevel="0" collapsed="false">
      <c r="A868" s="174" t="str">
        <f aca="false">IF(ISBLANK(B868),"",B868&amp;"|"&amp;C868)</f>
        <v/>
      </c>
      <c r="B868" s="174"/>
      <c r="C868" s="174"/>
      <c r="D868" s="174"/>
      <c r="E868" s="179"/>
      <c r="F868" s="174"/>
      <c r="G868" s="174"/>
      <c r="H868" s="174"/>
      <c r="I868" s="174"/>
      <c r="J868" s="174"/>
      <c r="K868" s="174"/>
      <c r="L868" s="174"/>
      <c r="M868" s="174"/>
      <c r="N868" s="174"/>
      <c r="O868" s="174"/>
      <c r="P868" s="174"/>
      <c r="Q868" s="174"/>
      <c r="R868" s="174"/>
      <c r="S868" s="174"/>
      <c r="T868" s="174"/>
      <c r="U868" s="174"/>
      <c r="V868" s="174"/>
      <c r="W868" s="174"/>
      <c r="X868" s="174"/>
      <c r="Y868" s="174"/>
      <c r="Z868" s="174"/>
      <c r="AA868" s="174"/>
    </row>
    <row r="869" customFormat="false" ht="15.75" hidden="false" customHeight="false" outlineLevel="0" collapsed="false">
      <c r="A869" s="174" t="str">
        <f aca="false">IF(ISBLANK(B869),"",B869&amp;"|"&amp;C869)</f>
        <v/>
      </c>
      <c r="B869" s="174"/>
      <c r="C869" s="174"/>
      <c r="D869" s="174"/>
      <c r="E869" s="179"/>
      <c r="F869" s="174"/>
      <c r="G869" s="174"/>
      <c r="H869" s="174"/>
      <c r="I869" s="174"/>
      <c r="J869" s="174"/>
      <c r="K869" s="174"/>
      <c r="L869" s="174"/>
      <c r="M869" s="174"/>
      <c r="N869" s="174"/>
      <c r="O869" s="174"/>
      <c r="P869" s="174"/>
      <c r="Q869" s="174"/>
      <c r="R869" s="174"/>
      <c r="S869" s="174"/>
      <c r="T869" s="174"/>
      <c r="U869" s="174"/>
      <c r="V869" s="174"/>
      <c r="W869" s="174"/>
      <c r="X869" s="174"/>
      <c r="Y869" s="174"/>
      <c r="Z869" s="174"/>
      <c r="AA869" s="174"/>
    </row>
    <row r="870" customFormat="false" ht="15.75" hidden="false" customHeight="false" outlineLevel="0" collapsed="false">
      <c r="A870" s="174" t="str">
        <f aca="false">IF(ISBLANK(B870),"",B870&amp;"|"&amp;C870)</f>
        <v/>
      </c>
      <c r="B870" s="174"/>
      <c r="C870" s="174"/>
      <c r="D870" s="174"/>
      <c r="E870" s="179"/>
      <c r="F870" s="174"/>
      <c r="G870" s="174"/>
      <c r="H870" s="174"/>
      <c r="I870" s="174"/>
      <c r="J870" s="174"/>
      <c r="K870" s="174"/>
      <c r="L870" s="174"/>
      <c r="M870" s="174"/>
      <c r="N870" s="174"/>
      <c r="O870" s="174"/>
      <c r="P870" s="174"/>
      <c r="Q870" s="174"/>
      <c r="R870" s="174"/>
      <c r="S870" s="174"/>
      <c r="T870" s="174"/>
      <c r="U870" s="174"/>
      <c r="V870" s="174"/>
      <c r="W870" s="174"/>
      <c r="X870" s="174"/>
      <c r="Y870" s="174"/>
      <c r="Z870" s="174"/>
      <c r="AA870" s="174"/>
    </row>
    <row r="871" customFormat="false" ht="15.75" hidden="false" customHeight="false" outlineLevel="0" collapsed="false">
      <c r="A871" s="174" t="str">
        <f aca="false">IF(ISBLANK(B871),"",B871&amp;"|"&amp;C871)</f>
        <v/>
      </c>
      <c r="B871" s="174"/>
      <c r="C871" s="174"/>
      <c r="D871" s="174"/>
      <c r="E871" s="179"/>
      <c r="F871" s="174"/>
      <c r="G871" s="174"/>
      <c r="H871" s="174"/>
      <c r="I871" s="174"/>
      <c r="J871" s="174"/>
      <c r="K871" s="174"/>
      <c r="L871" s="174"/>
      <c r="M871" s="174"/>
      <c r="N871" s="174"/>
      <c r="O871" s="174"/>
      <c r="P871" s="174"/>
      <c r="Q871" s="174"/>
      <c r="R871" s="174"/>
      <c r="S871" s="174"/>
      <c r="T871" s="174"/>
      <c r="U871" s="174"/>
      <c r="V871" s="174"/>
      <c r="W871" s="174"/>
      <c r="X871" s="174"/>
      <c r="Y871" s="174"/>
      <c r="Z871" s="174"/>
      <c r="AA871" s="174"/>
    </row>
    <row r="872" customFormat="false" ht="15.75" hidden="false" customHeight="false" outlineLevel="0" collapsed="false">
      <c r="A872" s="174" t="str">
        <f aca="false">IF(ISBLANK(B872),"",B872&amp;"|"&amp;C872)</f>
        <v/>
      </c>
      <c r="B872" s="174"/>
      <c r="C872" s="174"/>
      <c r="D872" s="174"/>
      <c r="E872" s="179"/>
      <c r="F872" s="174"/>
      <c r="G872" s="174"/>
      <c r="H872" s="174"/>
      <c r="I872" s="174"/>
      <c r="J872" s="174"/>
      <c r="K872" s="174"/>
      <c r="L872" s="174"/>
      <c r="M872" s="174"/>
      <c r="N872" s="174"/>
      <c r="O872" s="174"/>
      <c r="P872" s="174"/>
      <c r="Q872" s="174"/>
      <c r="R872" s="174"/>
      <c r="S872" s="174"/>
      <c r="T872" s="174"/>
      <c r="U872" s="174"/>
      <c r="V872" s="174"/>
      <c r="W872" s="174"/>
      <c r="X872" s="174"/>
      <c r="Y872" s="174"/>
      <c r="Z872" s="174"/>
      <c r="AA872" s="174"/>
    </row>
    <row r="873" customFormat="false" ht="15.75" hidden="false" customHeight="false" outlineLevel="0" collapsed="false">
      <c r="A873" s="174" t="str">
        <f aca="false">IF(ISBLANK(B873),"",B873&amp;"|"&amp;C873)</f>
        <v/>
      </c>
      <c r="B873" s="174"/>
      <c r="C873" s="174"/>
      <c r="D873" s="174"/>
      <c r="E873" s="179"/>
      <c r="F873" s="174"/>
      <c r="G873" s="174"/>
      <c r="H873" s="174"/>
      <c r="I873" s="174"/>
      <c r="J873" s="174"/>
      <c r="K873" s="174"/>
      <c r="L873" s="174"/>
      <c r="M873" s="174"/>
      <c r="N873" s="174"/>
      <c r="O873" s="174"/>
      <c r="P873" s="174"/>
      <c r="Q873" s="174"/>
      <c r="R873" s="174"/>
      <c r="S873" s="174"/>
      <c r="T873" s="174"/>
      <c r="U873" s="174"/>
      <c r="V873" s="174"/>
      <c r="W873" s="174"/>
      <c r="X873" s="174"/>
      <c r="Y873" s="174"/>
      <c r="Z873" s="174"/>
      <c r="AA873" s="174"/>
    </row>
    <row r="874" customFormat="false" ht="15.75" hidden="false" customHeight="false" outlineLevel="0" collapsed="false">
      <c r="A874" s="174" t="str">
        <f aca="false">IF(ISBLANK(B874),"",B874&amp;"|"&amp;C874)</f>
        <v/>
      </c>
      <c r="B874" s="174"/>
      <c r="C874" s="174"/>
      <c r="D874" s="174"/>
      <c r="E874" s="179"/>
      <c r="F874" s="174"/>
      <c r="G874" s="174"/>
      <c r="H874" s="174"/>
      <c r="I874" s="174"/>
      <c r="J874" s="174"/>
      <c r="K874" s="174"/>
      <c r="L874" s="174"/>
      <c r="M874" s="174"/>
      <c r="N874" s="174"/>
      <c r="O874" s="174"/>
      <c r="P874" s="174"/>
      <c r="Q874" s="174"/>
      <c r="R874" s="174"/>
      <c r="S874" s="174"/>
      <c r="T874" s="174"/>
      <c r="U874" s="174"/>
      <c r="V874" s="174"/>
      <c r="W874" s="174"/>
      <c r="X874" s="174"/>
      <c r="Y874" s="174"/>
      <c r="Z874" s="174"/>
      <c r="AA874" s="174"/>
    </row>
    <row r="875" customFormat="false" ht="15.75" hidden="false" customHeight="false" outlineLevel="0" collapsed="false">
      <c r="A875" s="174" t="str">
        <f aca="false">IF(ISBLANK(B875),"",B875&amp;"|"&amp;C875)</f>
        <v/>
      </c>
      <c r="B875" s="174"/>
      <c r="C875" s="174"/>
      <c r="D875" s="174"/>
      <c r="E875" s="179"/>
      <c r="F875" s="174"/>
      <c r="G875" s="174"/>
      <c r="H875" s="174"/>
      <c r="I875" s="174"/>
      <c r="J875" s="174"/>
      <c r="K875" s="174"/>
      <c r="L875" s="174"/>
      <c r="M875" s="174"/>
      <c r="N875" s="174"/>
      <c r="O875" s="174"/>
      <c r="P875" s="174"/>
      <c r="Q875" s="174"/>
      <c r="R875" s="174"/>
      <c r="S875" s="174"/>
      <c r="T875" s="174"/>
      <c r="U875" s="174"/>
      <c r="V875" s="174"/>
      <c r="W875" s="174"/>
      <c r="X875" s="174"/>
      <c r="Y875" s="174"/>
      <c r="Z875" s="174"/>
      <c r="AA875" s="174"/>
    </row>
    <row r="876" customFormat="false" ht="15.75" hidden="false" customHeight="false" outlineLevel="0" collapsed="false">
      <c r="A876" s="174" t="str">
        <f aca="false">IF(ISBLANK(B876),"",B876&amp;"|"&amp;C876)</f>
        <v/>
      </c>
      <c r="B876" s="174"/>
      <c r="C876" s="174"/>
      <c r="D876" s="174"/>
      <c r="E876" s="179"/>
      <c r="F876" s="174"/>
      <c r="G876" s="174"/>
      <c r="H876" s="174"/>
      <c r="I876" s="174"/>
      <c r="J876" s="174"/>
      <c r="K876" s="174"/>
      <c r="L876" s="174"/>
      <c r="M876" s="174"/>
      <c r="N876" s="174"/>
      <c r="O876" s="174"/>
      <c r="P876" s="174"/>
      <c r="Q876" s="174"/>
      <c r="R876" s="174"/>
      <c r="S876" s="174"/>
      <c r="T876" s="174"/>
      <c r="U876" s="174"/>
      <c r="V876" s="174"/>
      <c r="W876" s="174"/>
      <c r="X876" s="174"/>
      <c r="Y876" s="174"/>
      <c r="Z876" s="174"/>
      <c r="AA876" s="174"/>
    </row>
    <row r="877" customFormat="false" ht="15.75" hidden="false" customHeight="false" outlineLevel="0" collapsed="false">
      <c r="A877" s="174" t="str">
        <f aca="false">IF(ISBLANK(B877),"",B877&amp;"|"&amp;C877)</f>
        <v/>
      </c>
      <c r="B877" s="174"/>
      <c r="C877" s="174"/>
      <c r="D877" s="174"/>
      <c r="E877" s="179"/>
      <c r="F877" s="174"/>
      <c r="G877" s="174"/>
      <c r="H877" s="174"/>
      <c r="I877" s="174"/>
      <c r="J877" s="174"/>
      <c r="K877" s="174"/>
      <c r="L877" s="174"/>
      <c r="M877" s="174"/>
      <c r="N877" s="174"/>
      <c r="O877" s="174"/>
      <c r="P877" s="174"/>
      <c r="Q877" s="174"/>
      <c r="R877" s="174"/>
      <c r="S877" s="174"/>
      <c r="T877" s="174"/>
      <c r="U877" s="174"/>
      <c r="V877" s="174"/>
      <c r="W877" s="174"/>
      <c r="X877" s="174"/>
      <c r="Y877" s="174"/>
      <c r="Z877" s="174"/>
      <c r="AA877" s="174"/>
    </row>
    <row r="878" customFormat="false" ht="15.75" hidden="false" customHeight="false" outlineLevel="0" collapsed="false">
      <c r="A878" s="174" t="str">
        <f aca="false">IF(ISBLANK(B878),"",B878&amp;"|"&amp;C878)</f>
        <v/>
      </c>
      <c r="B878" s="174"/>
      <c r="C878" s="174"/>
      <c r="D878" s="174"/>
      <c r="E878" s="179"/>
      <c r="F878" s="174"/>
      <c r="G878" s="174"/>
      <c r="H878" s="174"/>
      <c r="I878" s="174"/>
      <c r="J878" s="174"/>
      <c r="K878" s="174"/>
      <c r="L878" s="174"/>
      <c r="M878" s="174"/>
      <c r="N878" s="174"/>
      <c r="O878" s="174"/>
      <c r="P878" s="174"/>
      <c r="Q878" s="174"/>
      <c r="R878" s="174"/>
      <c r="S878" s="174"/>
      <c r="T878" s="174"/>
      <c r="U878" s="174"/>
      <c r="V878" s="174"/>
      <c r="W878" s="174"/>
      <c r="X878" s="174"/>
      <c r="Y878" s="174"/>
      <c r="Z878" s="174"/>
      <c r="AA878" s="174"/>
    </row>
    <row r="879" customFormat="false" ht="15.75" hidden="false" customHeight="false" outlineLevel="0" collapsed="false">
      <c r="A879" s="174" t="str">
        <f aca="false">IF(ISBLANK(B879),"",B879&amp;"|"&amp;C879)</f>
        <v/>
      </c>
      <c r="B879" s="174"/>
      <c r="C879" s="174"/>
      <c r="D879" s="174"/>
      <c r="E879" s="179"/>
      <c r="F879" s="174"/>
      <c r="G879" s="174"/>
      <c r="H879" s="174"/>
      <c r="I879" s="174"/>
      <c r="J879" s="174"/>
      <c r="K879" s="174"/>
      <c r="L879" s="174"/>
      <c r="M879" s="174"/>
      <c r="N879" s="174"/>
      <c r="O879" s="174"/>
      <c r="P879" s="174"/>
      <c r="Q879" s="174"/>
      <c r="R879" s="174"/>
      <c r="S879" s="174"/>
      <c r="T879" s="174"/>
      <c r="U879" s="174"/>
      <c r="V879" s="174"/>
      <c r="W879" s="174"/>
      <c r="X879" s="174"/>
      <c r="Y879" s="174"/>
      <c r="Z879" s="174"/>
      <c r="AA879" s="174"/>
    </row>
    <row r="880" customFormat="false" ht="15.75" hidden="false" customHeight="false" outlineLevel="0" collapsed="false">
      <c r="A880" s="174" t="str">
        <f aca="false">IF(ISBLANK(B880),"",B880&amp;"|"&amp;C880)</f>
        <v/>
      </c>
      <c r="B880" s="174"/>
      <c r="C880" s="174"/>
      <c r="D880" s="174"/>
      <c r="E880" s="179"/>
      <c r="F880" s="174"/>
      <c r="G880" s="174"/>
      <c r="H880" s="174"/>
      <c r="I880" s="174"/>
      <c r="J880" s="174"/>
      <c r="K880" s="174"/>
      <c r="L880" s="174"/>
      <c r="M880" s="174"/>
      <c r="N880" s="174"/>
      <c r="O880" s="174"/>
      <c r="P880" s="174"/>
      <c r="Q880" s="174"/>
      <c r="R880" s="174"/>
      <c r="S880" s="174"/>
      <c r="T880" s="174"/>
      <c r="U880" s="174"/>
      <c r="V880" s="174"/>
      <c r="W880" s="174"/>
      <c r="X880" s="174"/>
      <c r="Y880" s="174"/>
      <c r="Z880" s="174"/>
      <c r="AA880" s="174"/>
    </row>
    <row r="881" customFormat="false" ht="15.75" hidden="false" customHeight="false" outlineLevel="0" collapsed="false">
      <c r="A881" s="174" t="str">
        <f aca="false">IF(ISBLANK(B881),"",B881&amp;"|"&amp;C881)</f>
        <v/>
      </c>
      <c r="B881" s="174"/>
      <c r="C881" s="174"/>
      <c r="D881" s="174"/>
      <c r="E881" s="179"/>
      <c r="F881" s="174"/>
      <c r="G881" s="174"/>
      <c r="H881" s="174"/>
      <c r="I881" s="174"/>
      <c r="J881" s="174"/>
      <c r="K881" s="174"/>
      <c r="L881" s="174"/>
      <c r="M881" s="174"/>
      <c r="N881" s="174"/>
      <c r="O881" s="174"/>
      <c r="P881" s="174"/>
      <c r="Q881" s="174"/>
      <c r="R881" s="174"/>
      <c r="S881" s="174"/>
      <c r="T881" s="174"/>
      <c r="U881" s="174"/>
      <c r="V881" s="174"/>
      <c r="W881" s="174"/>
      <c r="X881" s="174"/>
      <c r="Y881" s="174"/>
      <c r="Z881" s="174"/>
      <c r="AA881" s="174"/>
    </row>
    <row r="882" customFormat="false" ht="15.75" hidden="false" customHeight="false" outlineLevel="0" collapsed="false">
      <c r="A882" s="174" t="str">
        <f aca="false">IF(ISBLANK(B882),"",B882&amp;"|"&amp;C882)</f>
        <v/>
      </c>
      <c r="B882" s="174"/>
      <c r="C882" s="174"/>
      <c r="D882" s="174"/>
      <c r="E882" s="179"/>
      <c r="F882" s="174"/>
      <c r="G882" s="174"/>
      <c r="H882" s="174"/>
      <c r="I882" s="174"/>
      <c r="J882" s="174"/>
      <c r="K882" s="174"/>
      <c r="L882" s="174"/>
      <c r="M882" s="174"/>
      <c r="N882" s="174"/>
      <c r="O882" s="174"/>
      <c r="P882" s="174"/>
      <c r="Q882" s="174"/>
      <c r="R882" s="174"/>
      <c r="S882" s="174"/>
      <c r="T882" s="174"/>
      <c r="U882" s="174"/>
      <c r="V882" s="174"/>
      <c r="W882" s="174"/>
      <c r="X882" s="174"/>
      <c r="Y882" s="174"/>
      <c r="Z882" s="174"/>
      <c r="AA882" s="174"/>
    </row>
    <row r="883" customFormat="false" ht="15.75" hidden="false" customHeight="false" outlineLevel="0" collapsed="false">
      <c r="A883" s="174" t="str">
        <f aca="false">IF(ISBLANK(B883),"",B883&amp;"|"&amp;C883)</f>
        <v/>
      </c>
      <c r="B883" s="174"/>
      <c r="C883" s="174"/>
      <c r="D883" s="174"/>
      <c r="E883" s="179"/>
      <c r="F883" s="174"/>
      <c r="G883" s="174"/>
      <c r="H883" s="174"/>
      <c r="I883" s="174"/>
      <c r="J883" s="174"/>
      <c r="K883" s="174"/>
      <c r="L883" s="174"/>
      <c r="M883" s="174"/>
      <c r="N883" s="174"/>
      <c r="O883" s="174"/>
      <c r="P883" s="174"/>
      <c r="Q883" s="174"/>
      <c r="R883" s="174"/>
      <c r="S883" s="174"/>
      <c r="T883" s="174"/>
      <c r="U883" s="174"/>
      <c r="V883" s="174"/>
      <c r="W883" s="174"/>
      <c r="X883" s="174"/>
      <c r="Y883" s="174"/>
      <c r="Z883" s="174"/>
      <c r="AA883" s="174"/>
    </row>
    <row r="884" customFormat="false" ht="15.75" hidden="false" customHeight="false" outlineLevel="0" collapsed="false">
      <c r="A884" s="174" t="str">
        <f aca="false">IF(ISBLANK(B884),"",B884&amp;"|"&amp;C884)</f>
        <v/>
      </c>
      <c r="B884" s="174"/>
      <c r="C884" s="174"/>
      <c r="D884" s="174"/>
      <c r="E884" s="179"/>
      <c r="F884" s="174"/>
      <c r="G884" s="174"/>
      <c r="H884" s="174"/>
      <c r="I884" s="174"/>
      <c r="J884" s="174"/>
      <c r="K884" s="174"/>
      <c r="L884" s="174"/>
      <c r="M884" s="174"/>
      <c r="N884" s="174"/>
      <c r="O884" s="174"/>
      <c r="P884" s="174"/>
      <c r="Q884" s="174"/>
      <c r="R884" s="174"/>
      <c r="S884" s="174"/>
      <c r="T884" s="174"/>
      <c r="U884" s="174"/>
      <c r="V884" s="174"/>
      <c r="W884" s="174"/>
      <c r="X884" s="174"/>
      <c r="Y884" s="174"/>
      <c r="Z884" s="174"/>
      <c r="AA884" s="174"/>
    </row>
    <row r="885" customFormat="false" ht="15.75" hidden="false" customHeight="false" outlineLevel="0" collapsed="false">
      <c r="A885" s="174" t="str">
        <f aca="false">IF(ISBLANK(B885),"",B885&amp;"|"&amp;C885)</f>
        <v/>
      </c>
      <c r="B885" s="174"/>
      <c r="C885" s="174"/>
      <c r="D885" s="174"/>
      <c r="E885" s="179"/>
      <c r="F885" s="174"/>
      <c r="G885" s="174"/>
      <c r="H885" s="174"/>
      <c r="I885" s="174"/>
      <c r="J885" s="174"/>
      <c r="K885" s="174"/>
      <c r="L885" s="174"/>
      <c r="M885" s="174"/>
      <c r="N885" s="174"/>
      <c r="O885" s="174"/>
      <c r="P885" s="174"/>
      <c r="Q885" s="174"/>
      <c r="R885" s="174"/>
      <c r="S885" s="174"/>
      <c r="T885" s="174"/>
      <c r="U885" s="174"/>
      <c r="V885" s="174"/>
      <c r="W885" s="174"/>
      <c r="X885" s="174"/>
      <c r="Y885" s="174"/>
      <c r="Z885" s="174"/>
      <c r="AA885" s="174"/>
    </row>
    <row r="886" customFormat="false" ht="15.75" hidden="false" customHeight="false" outlineLevel="0" collapsed="false">
      <c r="A886" s="174" t="str">
        <f aca="false">IF(ISBLANK(B886),"",B886&amp;"|"&amp;C886)</f>
        <v/>
      </c>
      <c r="B886" s="174"/>
      <c r="C886" s="174"/>
      <c r="D886" s="174"/>
      <c r="E886" s="179"/>
      <c r="F886" s="174"/>
      <c r="G886" s="174"/>
      <c r="H886" s="174"/>
      <c r="I886" s="174"/>
      <c r="J886" s="174"/>
      <c r="K886" s="174"/>
      <c r="L886" s="174"/>
      <c r="M886" s="174"/>
      <c r="N886" s="174"/>
      <c r="O886" s="174"/>
      <c r="P886" s="174"/>
      <c r="Q886" s="174"/>
      <c r="R886" s="174"/>
      <c r="S886" s="174"/>
      <c r="T886" s="174"/>
      <c r="U886" s="174"/>
      <c r="V886" s="174"/>
      <c r="W886" s="174"/>
      <c r="X886" s="174"/>
      <c r="Y886" s="174"/>
      <c r="Z886" s="174"/>
      <c r="AA886" s="174"/>
    </row>
    <row r="887" customFormat="false" ht="15.75" hidden="false" customHeight="false" outlineLevel="0" collapsed="false">
      <c r="A887" s="174" t="str">
        <f aca="false">IF(ISBLANK(B887),"",B887&amp;"|"&amp;C887)</f>
        <v/>
      </c>
      <c r="B887" s="174"/>
      <c r="C887" s="174"/>
      <c r="D887" s="174"/>
      <c r="E887" s="179"/>
      <c r="F887" s="174"/>
      <c r="G887" s="174"/>
      <c r="H887" s="174"/>
      <c r="I887" s="174"/>
      <c r="J887" s="174"/>
      <c r="K887" s="174"/>
      <c r="L887" s="174"/>
      <c r="M887" s="174"/>
      <c r="N887" s="174"/>
      <c r="O887" s="174"/>
      <c r="P887" s="174"/>
      <c r="Q887" s="174"/>
      <c r="R887" s="174"/>
      <c r="S887" s="174"/>
      <c r="T887" s="174"/>
      <c r="U887" s="174"/>
      <c r="V887" s="174"/>
      <c r="W887" s="174"/>
      <c r="X887" s="174"/>
      <c r="Y887" s="174"/>
      <c r="Z887" s="174"/>
      <c r="AA887" s="174"/>
    </row>
    <row r="888" customFormat="false" ht="15.75" hidden="false" customHeight="false" outlineLevel="0" collapsed="false">
      <c r="A888" s="174" t="str">
        <f aca="false">IF(ISBLANK(B888),"",B888&amp;"|"&amp;C888)</f>
        <v/>
      </c>
      <c r="B888" s="174"/>
      <c r="C888" s="174"/>
      <c r="D888" s="174"/>
      <c r="E888" s="179"/>
      <c r="F888" s="174"/>
      <c r="G888" s="174"/>
      <c r="H888" s="174"/>
      <c r="I888" s="174"/>
      <c r="J888" s="174"/>
      <c r="K888" s="174"/>
      <c r="L888" s="174"/>
      <c r="M888" s="174"/>
      <c r="N888" s="174"/>
      <c r="O888" s="174"/>
      <c r="P888" s="174"/>
      <c r="Q888" s="174"/>
      <c r="R888" s="174"/>
      <c r="S888" s="174"/>
      <c r="T888" s="174"/>
      <c r="U888" s="174"/>
      <c r="V888" s="174"/>
      <c r="W888" s="174"/>
      <c r="X888" s="174"/>
      <c r="Y888" s="174"/>
      <c r="Z888" s="174"/>
      <c r="AA888" s="174"/>
    </row>
    <row r="889" customFormat="false" ht="15.75" hidden="false" customHeight="false" outlineLevel="0" collapsed="false">
      <c r="A889" s="174" t="str">
        <f aca="false">IF(ISBLANK(B889),"",B889&amp;"|"&amp;C889)</f>
        <v/>
      </c>
      <c r="B889" s="174"/>
      <c r="C889" s="174"/>
      <c r="D889" s="174"/>
      <c r="E889" s="179"/>
      <c r="F889" s="174"/>
      <c r="G889" s="174"/>
      <c r="H889" s="174"/>
      <c r="I889" s="174"/>
      <c r="J889" s="174"/>
      <c r="K889" s="174"/>
      <c r="L889" s="174"/>
      <c r="M889" s="174"/>
      <c r="N889" s="174"/>
      <c r="O889" s="174"/>
      <c r="P889" s="174"/>
      <c r="Q889" s="174"/>
      <c r="R889" s="174"/>
      <c r="S889" s="174"/>
      <c r="T889" s="174"/>
      <c r="U889" s="174"/>
      <c r="V889" s="174"/>
      <c r="W889" s="174"/>
      <c r="X889" s="174"/>
      <c r="Y889" s="174"/>
      <c r="Z889" s="174"/>
      <c r="AA889" s="174"/>
    </row>
    <row r="890" customFormat="false" ht="15.75" hidden="false" customHeight="false" outlineLevel="0" collapsed="false">
      <c r="A890" s="174" t="str">
        <f aca="false">IF(ISBLANK(B890),"",B890&amp;"|"&amp;C890)</f>
        <v/>
      </c>
      <c r="B890" s="174"/>
      <c r="C890" s="174"/>
      <c r="D890" s="174"/>
      <c r="E890" s="179"/>
      <c r="F890" s="174"/>
      <c r="G890" s="174"/>
      <c r="H890" s="174"/>
      <c r="I890" s="174"/>
      <c r="J890" s="174"/>
      <c r="K890" s="174"/>
      <c r="L890" s="174"/>
      <c r="M890" s="174"/>
      <c r="N890" s="174"/>
      <c r="O890" s="174"/>
      <c r="P890" s="174"/>
      <c r="Q890" s="174"/>
      <c r="R890" s="174"/>
      <c r="S890" s="174"/>
      <c r="T890" s="174"/>
      <c r="U890" s="174"/>
      <c r="V890" s="174"/>
      <c r="W890" s="174"/>
      <c r="X890" s="174"/>
      <c r="Y890" s="174"/>
      <c r="Z890" s="174"/>
      <c r="AA890" s="174"/>
    </row>
    <row r="891" customFormat="false" ht="15.75" hidden="false" customHeight="false" outlineLevel="0" collapsed="false">
      <c r="A891" s="174" t="str">
        <f aca="false">IF(ISBLANK(B891),"",B891&amp;"|"&amp;C891)</f>
        <v/>
      </c>
      <c r="B891" s="174"/>
      <c r="C891" s="174"/>
      <c r="D891" s="174"/>
      <c r="E891" s="179"/>
      <c r="F891" s="174"/>
      <c r="G891" s="174"/>
      <c r="H891" s="174"/>
      <c r="I891" s="174"/>
      <c r="J891" s="174"/>
      <c r="K891" s="174"/>
      <c r="L891" s="174"/>
      <c r="M891" s="174"/>
      <c r="N891" s="174"/>
      <c r="O891" s="174"/>
      <c r="P891" s="174"/>
      <c r="Q891" s="174"/>
      <c r="R891" s="174"/>
      <c r="S891" s="174"/>
      <c r="T891" s="174"/>
      <c r="U891" s="174"/>
      <c r="V891" s="174"/>
      <c r="W891" s="174"/>
      <c r="X891" s="174"/>
      <c r="Y891" s="174"/>
      <c r="Z891" s="174"/>
      <c r="AA891" s="174"/>
    </row>
    <row r="892" customFormat="false" ht="15.75" hidden="false" customHeight="false" outlineLevel="0" collapsed="false">
      <c r="A892" s="174" t="str">
        <f aca="false">IF(ISBLANK(B892),"",B892&amp;"|"&amp;C892)</f>
        <v/>
      </c>
      <c r="B892" s="174"/>
      <c r="C892" s="174"/>
      <c r="D892" s="174"/>
      <c r="E892" s="179"/>
      <c r="F892" s="174"/>
      <c r="G892" s="174"/>
      <c r="H892" s="174"/>
      <c r="I892" s="174"/>
      <c r="J892" s="174"/>
      <c r="K892" s="174"/>
      <c r="L892" s="174"/>
      <c r="M892" s="174"/>
      <c r="N892" s="174"/>
      <c r="O892" s="174"/>
      <c r="P892" s="174"/>
      <c r="Q892" s="174"/>
      <c r="R892" s="174"/>
      <c r="S892" s="174"/>
      <c r="T892" s="174"/>
      <c r="U892" s="174"/>
      <c r="V892" s="174"/>
      <c r="W892" s="174"/>
      <c r="X892" s="174"/>
      <c r="Y892" s="174"/>
      <c r="Z892" s="174"/>
      <c r="AA892" s="174"/>
    </row>
    <row r="893" customFormat="false" ht="15.75" hidden="false" customHeight="false" outlineLevel="0" collapsed="false">
      <c r="A893" s="174" t="str">
        <f aca="false">IF(ISBLANK(B893),"",B893&amp;"|"&amp;C893)</f>
        <v/>
      </c>
      <c r="B893" s="174"/>
      <c r="C893" s="174"/>
      <c r="D893" s="174"/>
      <c r="E893" s="179"/>
      <c r="F893" s="174"/>
      <c r="G893" s="174"/>
      <c r="H893" s="174"/>
      <c r="I893" s="174"/>
      <c r="J893" s="174"/>
      <c r="K893" s="174"/>
      <c r="L893" s="174"/>
      <c r="M893" s="174"/>
      <c r="N893" s="174"/>
      <c r="O893" s="174"/>
      <c r="P893" s="174"/>
      <c r="Q893" s="174"/>
      <c r="R893" s="174"/>
      <c r="S893" s="174"/>
      <c r="T893" s="174"/>
      <c r="U893" s="174"/>
      <c r="V893" s="174"/>
      <c r="W893" s="174"/>
      <c r="X893" s="174"/>
      <c r="Y893" s="174"/>
      <c r="Z893" s="174"/>
      <c r="AA893" s="174"/>
    </row>
    <row r="894" customFormat="false" ht="15.75" hidden="false" customHeight="false" outlineLevel="0" collapsed="false">
      <c r="A894" s="174" t="str">
        <f aca="false">IF(ISBLANK(B894),"",B894&amp;"|"&amp;C894)</f>
        <v/>
      </c>
      <c r="B894" s="174"/>
      <c r="C894" s="174"/>
      <c r="D894" s="174"/>
      <c r="E894" s="179"/>
      <c r="F894" s="174"/>
      <c r="G894" s="174"/>
      <c r="H894" s="174"/>
      <c r="I894" s="174"/>
      <c r="J894" s="174"/>
      <c r="K894" s="174"/>
      <c r="L894" s="174"/>
      <c r="M894" s="174"/>
      <c r="N894" s="174"/>
      <c r="O894" s="174"/>
      <c r="P894" s="174"/>
      <c r="Q894" s="174"/>
      <c r="R894" s="174"/>
      <c r="S894" s="174"/>
      <c r="T894" s="174"/>
      <c r="U894" s="174"/>
      <c r="V894" s="174"/>
      <c r="W894" s="174"/>
      <c r="X894" s="174"/>
      <c r="Y894" s="174"/>
      <c r="Z894" s="174"/>
      <c r="AA894" s="174"/>
    </row>
    <row r="895" customFormat="false" ht="15.75" hidden="false" customHeight="false" outlineLevel="0" collapsed="false">
      <c r="A895" s="174" t="str">
        <f aca="false">IF(ISBLANK(B895),"",B895&amp;"|"&amp;C895)</f>
        <v/>
      </c>
      <c r="B895" s="174"/>
      <c r="C895" s="174"/>
      <c r="D895" s="174"/>
      <c r="E895" s="179"/>
      <c r="F895" s="174"/>
      <c r="G895" s="174"/>
      <c r="H895" s="174"/>
      <c r="I895" s="174"/>
      <c r="J895" s="174"/>
      <c r="K895" s="174"/>
      <c r="L895" s="174"/>
      <c r="M895" s="174"/>
      <c r="N895" s="174"/>
      <c r="O895" s="174"/>
      <c r="P895" s="174"/>
      <c r="Q895" s="174"/>
      <c r="R895" s="174"/>
      <c r="S895" s="174"/>
      <c r="T895" s="174"/>
      <c r="U895" s="174"/>
      <c r="V895" s="174"/>
      <c r="W895" s="174"/>
      <c r="X895" s="174"/>
      <c r="Y895" s="174"/>
      <c r="Z895" s="174"/>
      <c r="AA895" s="174"/>
    </row>
    <row r="896" customFormat="false" ht="15.75" hidden="false" customHeight="false" outlineLevel="0" collapsed="false">
      <c r="A896" s="174" t="str">
        <f aca="false">IF(ISBLANK(B896),"",B896&amp;"|"&amp;C896)</f>
        <v/>
      </c>
      <c r="B896" s="174"/>
      <c r="C896" s="174"/>
      <c r="D896" s="174"/>
      <c r="E896" s="179"/>
      <c r="F896" s="174"/>
      <c r="G896" s="174"/>
      <c r="H896" s="174"/>
      <c r="I896" s="174"/>
      <c r="J896" s="174"/>
      <c r="K896" s="174"/>
      <c r="L896" s="174"/>
      <c r="M896" s="174"/>
      <c r="N896" s="174"/>
      <c r="O896" s="174"/>
      <c r="P896" s="174"/>
      <c r="Q896" s="174"/>
      <c r="R896" s="174"/>
      <c r="S896" s="174"/>
      <c r="T896" s="174"/>
      <c r="U896" s="174"/>
      <c r="V896" s="174"/>
      <c r="W896" s="174"/>
      <c r="X896" s="174"/>
      <c r="Y896" s="174"/>
      <c r="Z896" s="174"/>
      <c r="AA896" s="174"/>
    </row>
    <row r="897" customFormat="false" ht="15.75" hidden="false" customHeight="false" outlineLevel="0" collapsed="false">
      <c r="A897" s="174" t="str">
        <f aca="false">IF(ISBLANK(B897),"",B897&amp;"|"&amp;C897)</f>
        <v/>
      </c>
      <c r="B897" s="174"/>
      <c r="C897" s="174"/>
      <c r="D897" s="174"/>
      <c r="E897" s="179"/>
      <c r="F897" s="174"/>
      <c r="G897" s="174"/>
      <c r="H897" s="174"/>
      <c r="I897" s="174"/>
      <c r="J897" s="174"/>
      <c r="K897" s="174"/>
      <c r="L897" s="174"/>
      <c r="M897" s="174"/>
      <c r="N897" s="174"/>
      <c r="O897" s="174"/>
      <c r="P897" s="174"/>
      <c r="Q897" s="174"/>
      <c r="R897" s="174"/>
      <c r="S897" s="174"/>
      <c r="T897" s="174"/>
      <c r="U897" s="174"/>
      <c r="V897" s="174"/>
      <c r="W897" s="174"/>
      <c r="X897" s="174"/>
      <c r="Y897" s="174"/>
      <c r="Z897" s="174"/>
      <c r="AA897" s="174"/>
    </row>
    <row r="898" customFormat="false" ht="15.75" hidden="false" customHeight="false" outlineLevel="0" collapsed="false">
      <c r="A898" s="174" t="str">
        <f aca="false">IF(ISBLANK(B898),"",B898&amp;"|"&amp;C898)</f>
        <v/>
      </c>
      <c r="B898" s="174"/>
      <c r="C898" s="174"/>
      <c r="D898" s="174"/>
      <c r="E898" s="179"/>
      <c r="F898" s="174"/>
      <c r="G898" s="174"/>
      <c r="H898" s="174"/>
      <c r="I898" s="174"/>
      <c r="J898" s="174"/>
      <c r="K898" s="174"/>
      <c r="L898" s="174"/>
      <c r="M898" s="174"/>
      <c r="N898" s="174"/>
      <c r="O898" s="174"/>
      <c r="P898" s="174"/>
      <c r="Q898" s="174"/>
      <c r="R898" s="174"/>
      <c r="S898" s="174"/>
      <c r="T898" s="174"/>
      <c r="U898" s="174"/>
      <c r="V898" s="174"/>
      <c r="W898" s="174"/>
      <c r="X898" s="174"/>
      <c r="Y898" s="174"/>
      <c r="Z898" s="174"/>
      <c r="AA898" s="174"/>
    </row>
    <row r="899" customFormat="false" ht="15.75" hidden="false" customHeight="false" outlineLevel="0" collapsed="false">
      <c r="A899" s="174" t="str">
        <f aca="false">IF(ISBLANK(B899),"",B899&amp;"|"&amp;C899)</f>
        <v/>
      </c>
      <c r="B899" s="174"/>
      <c r="C899" s="174"/>
      <c r="D899" s="174"/>
      <c r="E899" s="179"/>
      <c r="F899" s="174"/>
      <c r="G899" s="174"/>
      <c r="H899" s="174"/>
      <c r="I899" s="174"/>
      <c r="J899" s="174"/>
      <c r="K899" s="174"/>
      <c r="L899" s="174"/>
      <c r="M899" s="174"/>
      <c r="N899" s="174"/>
      <c r="O899" s="174"/>
      <c r="P899" s="174"/>
      <c r="Q899" s="174"/>
      <c r="R899" s="174"/>
      <c r="S899" s="174"/>
      <c r="T899" s="174"/>
      <c r="U899" s="174"/>
      <c r="V899" s="174"/>
      <c r="W899" s="174"/>
      <c r="X899" s="174"/>
      <c r="Y899" s="174"/>
      <c r="Z899" s="174"/>
      <c r="AA899" s="174"/>
    </row>
    <row r="900" customFormat="false" ht="15.75" hidden="false" customHeight="false" outlineLevel="0" collapsed="false">
      <c r="A900" s="174" t="str">
        <f aca="false">IF(ISBLANK(B900),"",B900&amp;"|"&amp;C900)</f>
        <v/>
      </c>
      <c r="B900" s="174"/>
      <c r="C900" s="174"/>
      <c r="D900" s="174"/>
      <c r="E900" s="179"/>
      <c r="F900" s="174"/>
      <c r="G900" s="174"/>
      <c r="H900" s="174"/>
      <c r="I900" s="174"/>
      <c r="J900" s="174"/>
      <c r="K900" s="174"/>
      <c r="L900" s="174"/>
      <c r="M900" s="174"/>
      <c r="N900" s="174"/>
      <c r="O900" s="174"/>
      <c r="P900" s="174"/>
      <c r="Q900" s="174"/>
      <c r="R900" s="174"/>
      <c r="S900" s="174"/>
      <c r="T900" s="174"/>
      <c r="U900" s="174"/>
      <c r="V900" s="174"/>
      <c r="W900" s="174"/>
      <c r="X900" s="174"/>
      <c r="Y900" s="174"/>
      <c r="Z900" s="174"/>
      <c r="AA900" s="174"/>
    </row>
    <row r="901" customFormat="false" ht="15.75" hidden="false" customHeight="false" outlineLevel="0" collapsed="false">
      <c r="A901" s="174" t="str">
        <f aca="false">IF(ISBLANK(B901),"",B901&amp;"|"&amp;C901)</f>
        <v/>
      </c>
      <c r="B901" s="174"/>
      <c r="C901" s="174"/>
      <c r="D901" s="174"/>
      <c r="E901" s="179"/>
      <c r="F901" s="174"/>
      <c r="G901" s="174"/>
      <c r="H901" s="174"/>
      <c r="I901" s="174"/>
      <c r="J901" s="174"/>
      <c r="K901" s="174"/>
      <c r="L901" s="174"/>
      <c r="M901" s="174"/>
      <c r="N901" s="174"/>
      <c r="O901" s="174"/>
      <c r="P901" s="174"/>
      <c r="Q901" s="174"/>
      <c r="R901" s="174"/>
      <c r="S901" s="174"/>
      <c r="T901" s="174"/>
      <c r="U901" s="174"/>
      <c r="V901" s="174"/>
      <c r="W901" s="174"/>
      <c r="X901" s="174"/>
      <c r="Y901" s="174"/>
      <c r="Z901" s="174"/>
      <c r="AA901" s="174"/>
    </row>
    <row r="902" customFormat="false" ht="15.75" hidden="false" customHeight="false" outlineLevel="0" collapsed="false">
      <c r="A902" s="174" t="str">
        <f aca="false">IF(ISBLANK(B902),"",B902&amp;"|"&amp;C902)</f>
        <v/>
      </c>
      <c r="B902" s="174"/>
      <c r="C902" s="174"/>
      <c r="D902" s="174"/>
      <c r="E902" s="179"/>
      <c r="F902" s="174"/>
      <c r="G902" s="174"/>
      <c r="H902" s="174"/>
      <c r="I902" s="174"/>
      <c r="J902" s="174"/>
      <c r="K902" s="174"/>
      <c r="L902" s="174"/>
      <c r="M902" s="174"/>
      <c r="N902" s="174"/>
      <c r="O902" s="174"/>
      <c r="P902" s="174"/>
      <c r="Q902" s="174"/>
      <c r="R902" s="174"/>
      <c r="S902" s="174"/>
      <c r="T902" s="174"/>
      <c r="U902" s="174"/>
      <c r="V902" s="174"/>
      <c r="W902" s="174"/>
      <c r="X902" s="174"/>
      <c r="Y902" s="174"/>
      <c r="Z902" s="174"/>
      <c r="AA902" s="174"/>
    </row>
    <row r="903" customFormat="false" ht="15.75" hidden="false" customHeight="false" outlineLevel="0" collapsed="false">
      <c r="A903" s="174" t="str">
        <f aca="false">IF(ISBLANK(B903),"",B903&amp;"|"&amp;C903)</f>
        <v/>
      </c>
      <c r="B903" s="174"/>
      <c r="C903" s="174"/>
      <c r="D903" s="174"/>
      <c r="E903" s="179"/>
      <c r="F903" s="174"/>
      <c r="G903" s="174"/>
      <c r="H903" s="174"/>
      <c r="I903" s="174"/>
      <c r="J903" s="174"/>
      <c r="K903" s="174"/>
      <c r="L903" s="174"/>
      <c r="M903" s="174"/>
      <c r="N903" s="174"/>
      <c r="O903" s="174"/>
      <c r="P903" s="174"/>
      <c r="Q903" s="174"/>
      <c r="R903" s="174"/>
      <c r="S903" s="174"/>
      <c r="T903" s="174"/>
      <c r="U903" s="174"/>
      <c r="V903" s="174"/>
      <c r="W903" s="174"/>
      <c r="X903" s="174"/>
      <c r="Y903" s="174"/>
      <c r="Z903" s="174"/>
      <c r="AA903" s="174"/>
    </row>
    <row r="904" customFormat="false" ht="15.75" hidden="false" customHeight="false" outlineLevel="0" collapsed="false">
      <c r="A904" s="174" t="str">
        <f aca="false">IF(ISBLANK(B904),"",B904&amp;"|"&amp;C904)</f>
        <v/>
      </c>
      <c r="B904" s="174"/>
      <c r="C904" s="174"/>
      <c r="D904" s="174"/>
      <c r="E904" s="179"/>
      <c r="F904" s="174"/>
      <c r="G904" s="174"/>
      <c r="H904" s="174"/>
      <c r="I904" s="174"/>
      <c r="J904" s="174"/>
      <c r="K904" s="174"/>
      <c r="L904" s="174"/>
      <c r="M904" s="174"/>
      <c r="N904" s="174"/>
      <c r="O904" s="174"/>
      <c r="P904" s="174"/>
      <c r="Q904" s="174"/>
      <c r="R904" s="174"/>
      <c r="S904" s="174"/>
      <c r="T904" s="174"/>
      <c r="U904" s="174"/>
      <c r="V904" s="174"/>
      <c r="W904" s="174"/>
      <c r="X904" s="174"/>
      <c r="Y904" s="174"/>
      <c r="Z904" s="174"/>
      <c r="AA904" s="174"/>
    </row>
    <row r="905" customFormat="false" ht="15.75" hidden="false" customHeight="false" outlineLevel="0" collapsed="false">
      <c r="A905" s="174" t="str">
        <f aca="false">IF(ISBLANK(B905),"",B905&amp;"|"&amp;C905)</f>
        <v/>
      </c>
      <c r="B905" s="174"/>
      <c r="C905" s="174"/>
      <c r="D905" s="174"/>
      <c r="E905" s="179"/>
      <c r="F905" s="174"/>
      <c r="G905" s="174"/>
      <c r="H905" s="174"/>
      <c r="I905" s="174"/>
      <c r="J905" s="174"/>
      <c r="K905" s="174"/>
      <c r="L905" s="174"/>
      <c r="M905" s="174"/>
      <c r="N905" s="174"/>
      <c r="O905" s="174"/>
      <c r="P905" s="174"/>
      <c r="Q905" s="174"/>
      <c r="R905" s="174"/>
      <c r="S905" s="174"/>
      <c r="T905" s="174"/>
      <c r="U905" s="174"/>
      <c r="V905" s="174"/>
      <c r="W905" s="174"/>
      <c r="X905" s="174"/>
      <c r="Y905" s="174"/>
      <c r="Z905" s="174"/>
      <c r="AA905" s="174"/>
    </row>
    <row r="906" customFormat="false" ht="15.75" hidden="false" customHeight="false" outlineLevel="0" collapsed="false">
      <c r="A906" s="174" t="str">
        <f aca="false">IF(ISBLANK(B906),"",B906&amp;"|"&amp;C906)</f>
        <v/>
      </c>
      <c r="B906" s="174"/>
      <c r="C906" s="174"/>
      <c r="D906" s="174"/>
      <c r="E906" s="179"/>
      <c r="F906" s="174"/>
      <c r="G906" s="174"/>
      <c r="H906" s="174"/>
      <c r="I906" s="174"/>
      <c r="J906" s="174"/>
      <c r="K906" s="174"/>
      <c r="L906" s="174"/>
      <c r="M906" s="174"/>
      <c r="N906" s="174"/>
      <c r="O906" s="174"/>
      <c r="P906" s="174"/>
      <c r="Q906" s="174"/>
      <c r="R906" s="174"/>
      <c r="S906" s="174"/>
      <c r="T906" s="174"/>
      <c r="U906" s="174"/>
      <c r="V906" s="174"/>
      <c r="W906" s="174"/>
      <c r="X906" s="174"/>
      <c r="Y906" s="174"/>
      <c r="Z906" s="174"/>
      <c r="AA906" s="174"/>
    </row>
    <row r="907" customFormat="false" ht="15.75" hidden="false" customHeight="false" outlineLevel="0" collapsed="false">
      <c r="A907" s="174" t="str">
        <f aca="false">IF(ISBLANK(B907),"",B907&amp;"|"&amp;C907)</f>
        <v/>
      </c>
      <c r="B907" s="174"/>
      <c r="C907" s="174"/>
      <c r="D907" s="174"/>
      <c r="E907" s="179"/>
      <c r="F907" s="174"/>
      <c r="G907" s="174"/>
      <c r="H907" s="174"/>
      <c r="I907" s="174"/>
      <c r="J907" s="174"/>
      <c r="K907" s="174"/>
      <c r="L907" s="174"/>
      <c r="M907" s="174"/>
      <c r="N907" s="174"/>
      <c r="O907" s="174"/>
      <c r="P907" s="174"/>
      <c r="Q907" s="174"/>
      <c r="R907" s="174"/>
      <c r="S907" s="174"/>
      <c r="T907" s="174"/>
      <c r="U907" s="174"/>
      <c r="V907" s="174"/>
      <c r="W907" s="174"/>
      <c r="X907" s="174"/>
      <c r="Y907" s="174"/>
      <c r="Z907" s="174"/>
      <c r="AA907" s="174"/>
    </row>
    <row r="908" customFormat="false" ht="15.75" hidden="false" customHeight="false" outlineLevel="0" collapsed="false">
      <c r="A908" s="174" t="str">
        <f aca="false">IF(ISBLANK(B908),"",B908&amp;"|"&amp;C908)</f>
        <v/>
      </c>
      <c r="B908" s="174"/>
      <c r="C908" s="174"/>
      <c r="D908" s="174"/>
      <c r="E908" s="179"/>
      <c r="F908" s="174"/>
      <c r="G908" s="174"/>
      <c r="H908" s="174"/>
      <c r="I908" s="174"/>
      <c r="J908" s="174"/>
      <c r="K908" s="174"/>
      <c r="L908" s="174"/>
      <c r="M908" s="174"/>
      <c r="N908" s="174"/>
      <c r="O908" s="174"/>
      <c r="P908" s="174"/>
      <c r="Q908" s="174"/>
      <c r="R908" s="174"/>
      <c r="S908" s="174"/>
      <c r="T908" s="174"/>
      <c r="U908" s="174"/>
      <c r="V908" s="174"/>
      <c r="W908" s="174"/>
      <c r="X908" s="174"/>
      <c r="Y908" s="174"/>
      <c r="Z908" s="174"/>
      <c r="AA908" s="174"/>
    </row>
    <row r="909" customFormat="false" ht="15.75" hidden="false" customHeight="false" outlineLevel="0" collapsed="false">
      <c r="A909" s="174" t="str">
        <f aca="false">IF(ISBLANK(B909),"",B909&amp;"|"&amp;C909)</f>
        <v/>
      </c>
      <c r="B909" s="174"/>
      <c r="C909" s="174"/>
      <c r="D909" s="174"/>
      <c r="E909" s="179"/>
      <c r="F909" s="174"/>
      <c r="G909" s="174"/>
      <c r="H909" s="174"/>
      <c r="I909" s="174"/>
      <c r="J909" s="174"/>
      <c r="K909" s="174"/>
      <c r="L909" s="174"/>
      <c r="M909" s="174"/>
      <c r="N909" s="174"/>
      <c r="O909" s="174"/>
      <c r="P909" s="174"/>
      <c r="Q909" s="174"/>
      <c r="R909" s="174"/>
      <c r="S909" s="174"/>
      <c r="T909" s="174"/>
      <c r="U909" s="174"/>
      <c r="V909" s="174"/>
      <c r="W909" s="174"/>
      <c r="X909" s="174"/>
      <c r="Y909" s="174"/>
      <c r="Z909" s="174"/>
      <c r="AA909" s="174"/>
    </row>
    <row r="910" customFormat="false" ht="15.75" hidden="false" customHeight="false" outlineLevel="0" collapsed="false">
      <c r="A910" s="174" t="str">
        <f aca="false">IF(ISBLANK(B910),"",B910&amp;"|"&amp;C910)</f>
        <v/>
      </c>
      <c r="B910" s="174"/>
      <c r="C910" s="174"/>
      <c r="D910" s="174"/>
      <c r="E910" s="179"/>
      <c r="F910" s="174"/>
      <c r="G910" s="174"/>
      <c r="H910" s="174"/>
      <c r="I910" s="174"/>
      <c r="J910" s="174"/>
      <c r="K910" s="174"/>
      <c r="L910" s="174"/>
      <c r="M910" s="174"/>
      <c r="N910" s="174"/>
      <c r="O910" s="174"/>
      <c r="P910" s="174"/>
      <c r="Q910" s="174"/>
      <c r="R910" s="174"/>
      <c r="S910" s="174"/>
      <c r="T910" s="174"/>
      <c r="U910" s="174"/>
      <c r="V910" s="174"/>
      <c r="W910" s="174"/>
      <c r="X910" s="174"/>
      <c r="Y910" s="174"/>
      <c r="Z910" s="174"/>
      <c r="AA910" s="174"/>
    </row>
    <row r="911" customFormat="false" ht="15.75" hidden="false" customHeight="false" outlineLevel="0" collapsed="false">
      <c r="A911" s="174" t="str">
        <f aca="false">IF(ISBLANK(B911),"",B911&amp;"|"&amp;C911)</f>
        <v/>
      </c>
      <c r="B911" s="174"/>
      <c r="C911" s="174"/>
      <c r="D911" s="174"/>
      <c r="E911" s="179"/>
      <c r="F911" s="174"/>
      <c r="G911" s="174"/>
      <c r="H911" s="174"/>
      <c r="I911" s="174"/>
      <c r="J911" s="174"/>
      <c r="K911" s="174"/>
      <c r="L911" s="174"/>
      <c r="M911" s="174"/>
      <c r="N911" s="174"/>
      <c r="O911" s="174"/>
      <c r="P911" s="174"/>
      <c r="Q911" s="174"/>
      <c r="R911" s="174"/>
      <c r="S911" s="174"/>
      <c r="T911" s="174"/>
      <c r="U911" s="174"/>
      <c r="V911" s="174"/>
      <c r="W911" s="174"/>
      <c r="X911" s="174"/>
      <c r="Y911" s="174"/>
      <c r="Z911" s="174"/>
      <c r="AA911" s="174"/>
    </row>
    <row r="912" customFormat="false" ht="15.75" hidden="false" customHeight="false" outlineLevel="0" collapsed="false">
      <c r="A912" s="174" t="str">
        <f aca="false">IF(ISBLANK(B912),"",B912&amp;"|"&amp;C912)</f>
        <v/>
      </c>
      <c r="B912" s="174"/>
      <c r="C912" s="174"/>
      <c r="D912" s="174"/>
      <c r="E912" s="179"/>
      <c r="F912" s="174"/>
      <c r="G912" s="174"/>
      <c r="H912" s="174"/>
      <c r="I912" s="174"/>
      <c r="J912" s="174"/>
      <c r="K912" s="174"/>
      <c r="L912" s="174"/>
      <c r="M912" s="174"/>
      <c r="N912" s="174"/>
      <c r="O912" s="174"/>
      <c r="P912" s="174"/>
      <c r="Q912" s="174"/>
      <c r="R912" s="174"/>
      <c r="S912" s="174"/>
      <c r="T912" s="174"/>
      <c r="U912" s="174"/>
      <c r="V912" s="174"/>
      <c r="W912" s="174"/>
      <c r="X912" s="174"/>
      <c r="Y912" s="174"/>
      <c r="Z912" s="174"/>
      <c r="AA912" s="174"/>
    </row>
    <row r="913" customFormat="false" ht="15.75" hidden="false" customHeight="false" outlineLevel="0" collapsed="false">
      <c r="A913" s="174" t="str">
        <f aca="false">IF(ISBLANK(B913),"",B913&amp;"|"&amp;C913)</f>
        <v/>
      </c>
      <c r="B913" s="174"/>
      <c r="C913" s="174"/>
      <c r="D913" s="174"/>
      <c r="E913" s="179"/>
      <c r="F913" s="174"/>
      <c r="G913" s="174"/>
      <c r="H913" s="174"/>
      <c r="I913" s="174"/>
      <c r="J913" s="174"/>
      <c r="K913" s="174"/>
      <c r="L913" s="174"/>
      <c r="M913" s="174"/>
      <c r="N913" s="174"/>
      <c r="O913" s="174"/>
      <c r="P913" s="174"/>
      <c r="Q913" s="174"/>
      <c r="R913" s="174"/>
      <c r="S913" s="174"/>
      <c r="T913" s="174"/>
      <c r="U913" s="174"/>
      <c r="V913" s="174"/>
      <c r="W913" s="174"/>
      <c r="X913" s="174"/>
      <c r="Y913" s="174"/>
      <c r="Z913" s="174"/>
      <c r="AA913" s="174"/>
    </row>
    <row r="914" customFormat="false" ht="15.75" hidden="false" customHeight="false" outlineLevel="0" collapsed="false">
      <c r="A914" s="174" t="str">
        <f aca="false">IF(ISBLANK(B914),"",B914&amp;"|"&amp;C914)</f>
        <v/>
      </c>
      <c r="B914" s="174"/>
      <c r="C914" s="174"/>
      <c r="D914" s="174"/>
      <c r="E914" s="179"/>
      <c r="F914" s="174"/>
      <c r="G914" s="174"/>
      <c r="H914" s="174"/>
      <c r="I914" s="174"/>
      <c r="J914" s="174"/>
      <c r="K914" s="174"/>
      <c r="L914" s="174"/>
      <c r="M914" s="174"/>
      <c r="N914" s="174"/>
      <c r="O914" s="174"/>
      <c r="P914" s="174"/>
      <c r="Q914" s="174"/>
      <c r="R914" s="174"/>
      <c r="S914" s="174"/>
      <c r="T914" s="174"/>
      <c r="U914" s="174"/>
      <c r="V914" s="174"/>
      <c r="W914" s="174"/>
      <c r="X914" s="174"/>
      <c r="Y914" s="174"/>
      <c r="Z914" s="174"/>
      <c r="AA914" s="174"/>
    </row>
    <row r="915" customFormat="false" ht="15.75" hidden="false" customHeight="false" outlineLevel="0" collapsed="false">
      <c r="A915" s="174" t="str">
        <f aca="false">IF(ISBLANK(B915),"",B915&amp;"|"&amp;C915)</f>
        <v/>
      </c>
      <c r="B915" s="174"/>
      <c r="C915" s="174"/>
      <c r="D915" s="174"/>
      <c r="E915" s="179"/>
      <c r="F915" s="174"/>
      <c r="G915" s="174"/>
      <c r="H915" s="174"/>
      <c r="I915" s="174"/>
      <c r="J915" s="174"/>
      <c r="K915" s="174"/>
      <c r="L915" s="174"/>
      <c r="M915" s="174"/>
      <c r="N915" s="174"/>
      <c r="O915" s="174"/>
      <c r="P915" s="174"/>
      <c r="Q915" s="174"/>
      <c r="R915" s="174"/>
      <c r="S915" s="174"/>
      <c r="T915" s="174"/>
      <c r="U915" s="174"/>
      <c r="V915" s="174"/>
      <c r="W915" s="174"/>
      <c r="X915" s="174"/>
      <c r="Y915" s="174"/>
      <c r="Z915" s="174"/>
      <c r="AA915" s="174"/>
    </row>
    <row r="916" customFormat="false" ht="15.75" hidden="false" customHeight="false" outlineLevel="0" collapsed="false">
      <c r="A916" s="174" t="str">
        <f aca="false">IF(ISBLANK(B916),"",B916&amp;"|"&amp;C916)</f>
        <v/>
      </c>
      <c r="B916" s="174"/>
      <c r="C916" s="174"/>
      <c r="D916" s="174"/>
      <c r="E916" s="179"/>
      <c r="F916" s="174"/>
      <c r="G916" s="174"/>
      <c r="H916" s="174"/>
      <c r="I916" s="174"/>
      <c r="J916" s="174"/>
      <c r="K916" s="174"/>
      <c r="L916" s="174"/>
      <c r="M916" s="174"/>
      <c r="N916" s="174"/>
      <c r="O916" s="174"/>
      <c r="P916" s="174"/>
      <c r="Q916" s="174"/>
      <c r="R916" s="174"/>
      <c r="S916" s="174"/>
      <c r="T916" s="174"/>
      <c r="U916" s="174"/>
      <c r="V916" s="174"/>
      <c r="W916" s="174"/>
      <c r="X916" s="174"/>
      <c r="Y916" s="174"/>
      <c r="Z916" s="174"/>
      <c r="AA916" s="174"/>
    </row>
    <row r="917" customFormat="false" ht="15.75" hidden="false" customHeight="false" outlineLevel="0" collapsed="false">
      <c r="A917" s="174" t="str">
        <f aca="false">IF(ISBLANK(B917),"",B917&amp;"|"&amp;C917)</f>
        <v/>
      </c>
      <c r="B917" s="174"/>
      <c r="C917" s="174"/>
      <c r="D917" s="174"/>
      <c r="E917" s="179"/>
      <c r="F917" s="174"/>
      <c r="G917" s="174"/>
      <c r="H917" s="174"/>
      <c r="I917" s="174"/>
      <c r="J917" s="174"/>
      <c r="K917" s="174"/>
      <c r="L917" s="174"/>
      <c r="M917" s="174"/>
      <c r="N917" s="174"/>
      <c r="O917" s="174"/>
      <c r="P917" s="174"/>
      <c r="Q917" s="174"/>
      <c r="R917" s="174"/>
      <c r="S917" s="174"/>
      <c r="T917" s="174"/>
      <c r="U917" s="174"/>
      <c r="V917" s="174"/>
      <c r="W917" s="174"/>
      <c r="X917" s="174"/>
      <c r="Y917" s="174"/>
      <c r="Z917" s="174"/>
      <c r="AA917" s="174"/>
    </row>
    <row r="918" customFormat="false" ht="15.75" hidden="false" customHeight="false" outlineLevel="0" collapsed="false">
      <c r="A918" s="174" t="str">
        <f aca="false">IF(ISBLANK(B918),"",B918&amp;"|"&amp;C918)</f>
        <v/>
      </c>
      <c r="B918" s="174"/>
      <c r="C918" s="174"/>
      <c r="D918" s="174"/>
      <c r="E918" s="179"/>
      <c r="F918" s="174"/>
      <c r="G918" s="174"/>
      <c r="H918" s="174"/>
      <c r="I918" s="174"/>
      <c r="J918" s="174"/>
      <c r="K918" s="174"/>
      <c r="L918" s="174"/>
      <c r="M918" s="174"/>
      <c r="N918" s="174"/>
      <c r="O918" s="174"/>
      <c r="P918" s="174"/>
      <c r="Q918" s="174"/>
      <c r="R918" s="174"/>
      <c r="S918" s="174"/>
      <c r="T918" s="174"/>
      <c r="U918" s="174"/>
      <c r="V918" s="174"/>
      <c r="W918" s="174"/>
      <c r="X918" s="174"/>
      <c r="Y918" s="174"/>
      <c r="Z918" s="174"/>
      <c r="AA918" s="174"/>
    </row>
    <row r="919" customFormat="false" ht="15.75" hidden="false" customHeight="false" outlineLevel="0" collapsed="false">
      <c r="A919" s="174" t="str">
        <f aca="false">IF(ISBLANK(B919),"",B919&amp;"|"&amp;C919)</f>
        <v/>
      </c>
      <c r="B919" s="174"/>
      <c r="C919" s="174"/>
      <c r="D919" s="174"/>
      <c r="E919" s="179"/>
      <c r="F919" s="174"/>
      <c r="G919" s="174"/>
      <c r="H919" s="174"/>
      <c r="I919" s="174"/>
      <c r="J919" s="174"/>
      <c r="K919" s="174"/>
      <c r="L919" s="174"/>
      <c r="M919" s="174"/>
      <c r="N919" s="174"/>
      <c r="O919" s="174"/>
      <c r="P919" s="174"/>
      <c r="Q919" s="174"/>
      <c r="R919" s="174"/>
      <c r="S919" s="174"/>
      <c r="T919" s="174"/>
      <c r="U919" s="174"/>
      <c r="V919" s="174"/>
      <c r="W919" s="174"/>
      <c r="X919" s="174"/>
      <c r="Y919" s="174"/>
      <c r="Z919" s="174"/>
      <c r="AA919" s="174"/>
    </row>
    <row r="920" customFormat="false" ht="15.75" hidden="false" customHeight="false" outlineLevel="0" collapsed="false">
      <c r="A920" s="174" t="str">
        <f aca="false">IF(ISBLANK(B920),"",B920&amp;"|"&amp;C920)</f>
        <v/>
      </c>
      <c r="B920" s="174"/>
      <c r="C920" s="174"/>
      <c r="D920" s="174"/>
      <c r="E920" s="179"/>
      <c r="F920" s="174"/>
      <c r="G920" s="174"/>
      <c r="H920" s="174"/>
      <c r="I920" s="174"/>
      <c r="J920" s="174"/>
      <c r="K920" s="174"/>
      <c r="L920" s="174"/>
      <c r="M920" s="174"/>
      <c r="N920" s="174"/>
      <c r="O920" s="174"/>
      <c r="P920" s="174"/>
      <c r="Q920" s="174"/>
      <c r="R920" s="174"/>
      <c r="S920" s="174"/>
      <c r="T920" s="174"/>
      <c r="U920" s="174"/>
      <c r="V920" s="174"/>
      <c r="W920" s="174"/>
      <c r="X920" s="174"/>
      <c r="Y920" s="174"/>
      <c r="Z920" s="174"/>
      <c r="AA920" s="174"/>
    </row>
    <row r="921" customFormat="false" ht="15.75" hidden="false" customHeight="false" outlineLevel="0" collapsed="false">
      <c r="A921" s="174" t="str">
        <f aca="false">IF(ISBLANK(B921),"",B921&amp;"|"&amp;C921)</f>
        <v/>
      </c>
      <c r="B921" s="174"/>
      <c r="C921" s="174"/>
      <c r="D921" s="174"/>
      <c r="E921" s="179"/>
      <c r="F921" s="174"/>
      <c r="G921" s="174"/>
      <c r="H921" s="174"/>
      <c r="I921" s="174"/>
      <c r="J921" s="174"/>
      <c r="K921" s="174"/>
      <c r="L921" s="174"/>
      <c r="M921" s="174"/>
      <c r="N921" s="174"/>
      <c r="O921" s="174"/>
      <c r="P921" s="174"/>
      <c r="Q921" s="174"/>
      <c r="R921" s="174"/>
      <c r="S921" s="174"/>
      <c r="T921" s="174"/>
      <c r="U921" s="174"/>
      <c r="V921" s="174"/>
      <c r="W921" s="174"/>
      <c r="X921" s="174"/>
      <c r="Y921" s="174"/>
      <c r="Z921" s="174"/>
      <c r="AA921" s="174"/>
    </row>
    <row r="922" customFormat="false" ht="15.75" hidden="false" customHeight="false" outlineLevel="0" collapsed="false">
      <c r="A922" s="174" t="str">
        <f aca="false">IF(ISBLANK(B922),"",B922&amp;"|"&amp;C922)</f>
        <v/>
      </c>
      <c r="B922" s="174"/>
      <c r="C922" s="174"/>
      <c r="D922" s="174"/>
      <c r="E922" s="179"/>
      <c r="F922" s="174"/>
      <c r="G922" s="174"/>
      <c r="H922" s="174"/>
      <c r="I922" s="174"/>
      <c r="J922" s="174"/>
      <c r="K922" s="174"/>
      <c r="L922" s="174"/>
      <c r="M922" s="174"/>
      <c r="N922" s="174"/>
      <c r="O922" s="174"/>
      <c r="P922" s="174"/>
      <c r="Q922" s="174"/>
      <c r="R922" s="174"/>
      <c r="S922" s="174"/>
      <c r="T922" s="174"/>
      <c r="U922" s="174"/>
      <c r="V922" s="174"/>
      <c r="W922" s="174"/>
      <c r="X922" s="174"/>
      <c r="Y922" s="174"/>
      <c r="Z922" s="174"/>
      <c r="AA922" s="174"/>
    </row>
    <row r="923" customFormat="false" ht="15.75" hidden="false" customHeight="false" outlineLevel="0" collapsed="false">
      <c r="A923" s="174" t="str">
        <f aca="false">IF(ISBLANK(B923),"",B923&amp;"|"&amp;C923)</f>
        <v/>
      </c>
      <c r="B923" s="174"/>
      <c r="C923" s="174"/>
      <c r="D923" s="174"/>
      <c r="E923" s="179"/>
      <c r="F923" s="174"/>
      <c r="G923" s="174"/>
      <c r="H923" s="174"/>
      <c r="I923" s="174"/>
      <c r="J923" s="174"/>
      <c r="K923" s="174"/>
      <c r="L923" s="174"/>
      <c r="M923" s="174"/>
      <c r="N923" s="174"/>
      <c r="O923" s="174"/>
      <c r="P923" s="174"/>
      <c r="Q923" s="174"/>
      <c r="R923" s="174"/>
      <c r="S923" s="174"/>
      <c r="T923" s="174"/>
      <c r="U923" s="174"/>
      <c r="V923" s="174"/>
      <c r="W923" s="174"/>
      <c r="X923" s="174"/>
      <c r="Y923" s="174"/>
      <c r="Z923" s="174"/>
      <c r="AA923" s="174"/>
    </row>
    <row r="924" customFormat="false" ht="15.75" hidden="false" customHeight="false" outlineLevel="0" collapsed="false">
      <c r="A924" s="174" t="str">
        <f aca="false">IF(ISBLANK(B924),"",B924&amp;"|"&amp;C924)</f>
        <v/>
      </c>
      <c r="B924" s="174"/>
      <c r="C924" s="174"/>
      <c r="D924" s="174"/>
      <c r="E924" s="179"/>
      <c r="F924" s="174"/>
      <c r="G924" s="174"/>
      <c r="H924" s="174"/>
      <c r="I924" s="174"/>
      <c r="J924" s="174"/>
      <c r="K924" s="174"/>
      <c r="L924" s="174"/>
      <c r="M924" s="174"/>
      <c r="N924" s="174"/>
      <c r="O924" s="174"/>
      <c r="P924" s="174"/>
      <c r="Q924" s="174"/>
      <c r="R924" s="174"/>
      <c r="S924" s="174"/>
      <c r="T924" s="174"/>
      <c r="U924" s="174"/>
      <c r="V924" s="174"/>
      <c r="W924" s="174"/>
      <c r="X924" s="174"/>
      <c r="Y924" s="174"/>
      <c r="Z924" s="174"/>
      <c r="AA924" s="174"/>
    </row>
    <row r="925" customFormat="false" ht="15.75" hidden="false" customHeight="false" outlineLevel="0" collapsed="false">
      <c r="A925" s="174" t="str">
        <f aca="false">IF(ISBLANK(B925),"",B925&amp;"|"&amp;C925)</f>
        <v/>
      </c>
      <c r="B925" s="174"/>
      <c r="C925" s="174"/>
      <c r="D925" s="174"/>
      <c r="E925" s="179"/>
      <c r="F925" s="174"/>
      <c r="G925" s="174"/>
      <c r="H925" s="174"/>
      <c r="I925" s="174"/>
      <c r="J925" s="174"/>
      <c r="K925" s="174"/>
      <c r="L925" s="174"/>
      <c r="M925" s="174"/>
      <c r="N925" s="174"/>
      <c r="O925" s="174"/>
      <c r="P925" s="174"/>
      <c r="Q925" s="174"/>
      <c r="R925" s="174"/>
      <c r="S925" s="174"/>
      <c r="T925" s="174"/>
      <c r="U925" s="174"/>
      <c r="V925" s="174"/>
      <c r="W925" s="174"/>
      <c r="X925" s="174"/>
      <c r="Y925" s="174"/>
      <c r="Z925" s="174"/>
      <c r="AA925" s="174"/>
    </row>
    <row r="926" customFormat="false" ht="15.75" hidden="false" customHeight="false" outlineLevel="0" collapsed="false">
      <c r="A926" s="174" t="str">
        <f aca="false">IF(ISBLANK(B926),"",B926&amp;"|"&amp;C926)</f>
        <v/>
      </c>
      <c r="B926" s="174"/>
      <c r="C926" s="174"/>
      <c r="D926" s="174"/>
      <c r="E926" s="179"/>
      <c r="F926" s="174"/>
      <c r="G926" s="174"/>
      <c r="H926" s="174"/>
      <c r="I926" s="174"/>
      <c r="J926" s="174"/>
      <c r="K926" s="174"/>
      <c r="L926" s="174"/>
      <c r="M926" s="174"/>
      <c r="N926" s="174"/>
      <c r="O926" s="174"/>
      <c r="P926" s="174"/>
      <c r="Q926" s="174"/>
      <c r="R926" s="174"/>
      <c r="S926" s="174"/>
      <c r="T926" s="174"/>
      <c r="U926" s="174"/>
      <c r="V926" s="174"/>
      <c r="W926" s="174"/>
      <c r="X926" s="174"/>
      <c r="Y926" s="174"/>
      <c r="Z926" s="174"/>
      <c r="AA926" s="174"/>
    </row>
    <row r="927" customFormat="false" ht="15.75" hidden="false" customHeight="false" outlineLevel="0" collapsed="false">
      <c r="A927" s="174" t="str">
        <f aca="false">IF(ISBLANK(B927),"",B927&amp;"|"&amp;C927)</f>
        <v/>
      </c>
      <c r="B927" s="174"/>
      <c r="C927" s="174"/>
      <c r="D927" s="174"/>
      <c r="E927" s="179"/>
      <c r="F927" s="174"/>
      <c r="G927" s="174"/>
      <c r="H927" s="174"/>
      <c r="I927" s="174"/>
      <c r="J927" s="174"/>
      <c r="K927" s="174"/>
      <c r="L927" s="174"/>
      <c r="M927" s="174"/>
      <c r="N927" s="174"/>
      <c r="O927" s="174"/>
      <c r="P927" s="174"/>
      <c r="Q927" s="174"/>
      <c r="R927" s="174"/>
      <c r="S927" s="174"/>
      <c r="T927" s="174"/>
      <c r="U927" s="174"/>
      <c r="V927" s="174"/>
      <c r="W927" s="174"/>
      <c r="X927" s="174"/>
      <c r="Y927" s="174"/>
      <c r="Z927" s="174"/>
      <c r="AA927" s="174"/>
    </row>
    <row r="928" customFormat="false" ht="15.75" hidden="false" customHeight="false" outlineLevel="0" collapsed="false">
      <c r="A928" s="174" t="str">
        <f aca="false">IF(ISBLANK(B928),"",B928&amp;"|"&amp;C928)</f>
        <v/>
      </c>
      <c r="B928" s="174"/>
      <c r="C928" s="174"/>
      <c r="D928" s="174"/>
      <c r="E928" s="179"/>
      <c r="F928" s="174"/>
      <c r="G928" s="174"/>
      <c r="H928" s="174"/>
      <c r="I928" s="174"/>
      <c r="J928" s="174"/>
      <c r="K928" s="174"/>
      <c r="L928" s="174"/>
      <c r="M928" s="174"/>
      <c r="N928" s="174"/>
      <c r="O928" s="174"/>
      <c r="P928" s="174"/>
      <c r="Q928" s="174"/>
      <c r="R928" s="174"/>
      <c r="S928" s="174"/>
      <c r="T928" s="174"/>
      <c r="U928" s="174"/>
      <c r="V928" s="174"/>
      <c r="W928" s="174"/>
      <c r="X928" s="174"/>
      <c r="Y928" s="174"/>
      <c r="Z928" s="174"/>
      <c r="AA928" s="174"/>
    </row>
    <row r="929" customFormat="false" ht="15.75" hidden="false" customHeight="false" outlineLevel="0" collapsed="false">
      <c r="A929" s="174" t="str">
        <f aca="false">IF(ISBLANK(B929),"",B929&amp;"|"&amp;C929)</f>
        <v/>
      </c>
      <c r="B929" s="174"/>
      <c r="C929" s="174"/>
      <c r="D929" s="174"/>
      <c r="E929" s="179"/>
      <c r="F929" s="174"/>
      <c r="G929" s="174"/>
      <c r="H929" s="174"/>
      <c r="I929" s="174"/>
      <c r="J929" s="174"/>
      <c r="K929" s="174"/>
      <c r="L929" s="174"/>
      <c r="M929" s="174"/>
      <c r="N929" s="174"/>
      <c r="O929" s="174"/>
      <c r="P929" s="174"/>
      <c r="Q929" s="174"/>
      <c r="R929" s="174"/>
      <c r="S929" s="174"/>
      <c r="T929" s="174"/>
      <c r="U929" s="174"/>
      <c r="V929" s="174"/>
      <c r="W929" s="174"/>
      <c r="X929" s="174"/>
      <c r="Y929" s="174"/>
      <c r="Z929" s="174"/>
      <c r="AA929" s="174"/>
    </row>
    <row r="930" customFormat="false" ht="15.75" hidden="false" customHeight="false" outlineLevel="0" collapsed="false">
      <c r="A930" s="174" t="str">
        <f aca="false">IF(ISBLANK(B930),"",B930&amp;"|"&amp;C930)</f>
        <v/>
      </c>
      <c r="B930" s="174"/>
      <c r="C930" s="174"/>
      <c r="D930" s="174"/>
      <c r="E930" s="179"/>
      <c r="F930" s="174"/>
      <c r="G930" s="174"/>
      <c r="H930" s="174"/>
      <c r="I930" s="174"/>
      <c r="J930" s="174"/>
      <c r="K930" s="174"/>
      <c r="L930" s="174"/>
      <c r="M930" s="174"/>
      <c r="N930" s="174"/>
      <c r="O930" s="174"/>
      <c r="P930" s="174"/>
      <c r="Q930" s="174"/>
      <c r="R930" s="174"/>
      <c r="S930" s="174"/>
      <c r="T930" s="174"/>
      <c r="U930" s="174"/>
      <c r="V930" s="174"/>
      <c r="W930" s="174"/>
      <c r="X930" s="174"/>
      <c r="Y930" s="174"/>
      <c r="Z930" s="174"/>
      <c r="AA930" s="174"/>
    </row>
    <row r="931" customFormat="false" ht="15.75" hidden="false" customHeight="false" outlineLevel="0" collapsed="false">
      <c r="A931" s="174" t="str">
        <f aca="false">IF(ISBLANK(B931),"",B931&amp;"|"&amp;C931)</f>
        <v/>
      </c>
      <c r="B931" s="174"/>
      <c r="C931" s="174"/>
      <c r="D931" s="174"/>
      <c r="E931" s="179"/>
      <c r="F931" s="174"/>
      <c r="G931" s="174"/>
      <c r="H931" s="174"/>
      <c r="I931" s="174"/>
      <c r="J931" s="174"/>
      <c r="K931" s="174"/>
      <c r="L931" s="174"/>
      <c r="M931" s="174"/>
      <c r="N931" s="174"/>
      <c r="O931" s="174"/>
      <c r="P931" s="174"/>
      <c r="Q931" s="174"/>
      <c r="R931" s="174"/>
      <c r="S931" s="174"/>
      <c r="T931" s="174"/>
      <c r="U931" s="174"/>
      <c r="V931" s="174"/>
      <c r="W931" s="174"/>
      <c r="X931" s="174"/>
      <c r="Y931" s="174"/>
      <c r="Z931" s="174"/>
      <c r="AA931" s="174"/>
    </row>
    <row r="932" customFormat="false" ht="15.75" hidden="false" customHeight="false" outlineLevel="0" collapsed="false">
      <c r="A932" s="174" t="str">
        <f aca="false">IF(ISBLANK(B932),"",B932&amp;"|"&amp;C932)</f>
        <v/>
      </c>
      <c r="B932" s="174"/>
      <c r="C932" s="174"/>
      <c r="D932" s="174"/>
      <c r="E932" s="179"/>
      <c r="F932" s="174"/>
      <c r="G932" s="174"/>
      <c r="H932" s="174"/>
      <c r="I932" s="174"/>
      <c r="J932" s="174"/>
      <c r="K932" s="174"/>
      <c r="L932" s="174"/>
      <c r="M932" s="174"/>
      <c r="N932" s="174"/>
      <c r="O932" s="174"/>
      <c r="P932" s="174"/>
      <c r="Q932" s="174"/>
      <c r="R932" s="174"/>
      <c r="S932" s="174"/>
      <c r="T932" s="174"/>
      <c r="U932" s="174"/>
      <c r="V932" s="174"/>
      <c r="W932" s="174"/>
      <c r="X932" s="174"/>
      <c r="Y932" s="174"/>
      <c r="Z932" s="174"/>
      <c r="AA932" s="174"/>
    </row>
    <row r="933" customFormat="false" ht="15.75" hidden="false" customHeight="false" outlineLevel="0" collapsed="false">
      <c r="A933" s="174" t="str">
        <f aca="false">IF(ISBLANK(B933),"",B933&amp;"|"&amp;C933)</f>
        <v/>
      </c>
      <c r="B933" s="174"/>
      <c r="C933" s="174"/>
      <c r="D933" s="174"/>
      <c r="E933" s="179"/>
      <c r="F933" s="174"/>
      <c r="G933" s="174"/>
      <c r="H933" s="174"/>
      <c r="I933" s="174"/>
      <c r="J933" s="174"/>
      <c r="K933" s="174"/>
      <c r="L933" s="174"/>
      <c r="M933" s="174"/>
      <c r="N933" s="174"/>
      <c r="O933" s="174"/>
      <c r="P933" s="174"/>
      <c r="Q933" s="174"/>
      <c r="R933" s="174"/>
      <c r="S933" s="174"/>
      <c r="T933" s="174"/>
      <c r="U933" s="174"/>
      <c r="V933" s="174"/>
      <c r="W933" s="174"/>
      <c r="X933" s="174"/>
      <c r="Y933" s="174"/>
      <c r="Z933" s="174"/>
      <c r="AA933" s="174"/>
    </row>
    <row r="934" customFormat="false" ht="15.75" hidden="false" customHeight="false" outlineLevel="0" collapsed="false">
      <c r="A934" s="174" t="str">
        <f aca="false">IF(ISBLANK(B934),"",B934&amp;"|"&amp;C934)</f>
        <v/>
      </c>
      <c r="B934" s="174"/>
      <c r="C934" s="174"/>
      <c r="D934" s="174"/>
      <c r="E934" s="179"/>
      <c r="F934" s="174"/>
      <c r="G934" s="174"/>
      <c r="H934" s="174"/>
      <c r="I934" s="174"/>
      <c r="J934" s="174"/>
      <c r="K934" s="174"/>
      <c r="L934" s="174"/>
      <c r="M934" s="174"/>
      <c r="N934" s="174"/>
      <c r="O934" s="174"/>
      <c r="P934" s="174"/>
      <c r="Q934" s="174"/>
      <c r="R934" s="174"/>
      <c r="S934" s="174"/>
      <c r="T934" s="174"/>
      <c r="U934" s="174"/>
      <c r="V934" s="174"/>
      <c r="W934" s="174"/>
      <c r="X934" s="174"/>
      <c r="Y934" s="174"/>
      <c r="Z934" s="174"/>
      <c r="AA934" s="174"/>
    </row>
    <row r="935" customFormat="false" ht="15.75" hidden="false" customHeight="false" outlineLevel="0" collapsed="false">
      <c r="A935" s="174" t="str">
        <f aca="false">IF(ISBLANK(B935),"",B935&amp;"|"&amp;C935)</f>
        <v/>
      </c>
      <c r="B935" s="174"/>
      <c r="C935" s="174"/>
      <c r="D935" s="174"/>
      <c r="E935" s="179"/>
      <c r="F935" s="174"/>
      <c r="G935" s="174"/>
      <c r="H935" s="174"/>
      <c r="I935" s="174"/>
      <c r="J935" s="174"/>
      <c r="K935" s="174"/>
      <c r="L935" s="174"/>
      <c r="M935" s="174"/>
      <c r="N935" s="174"/>
      <c r="O935" s="174"/>
      <c r="P935" s="174"/>
      <c r="Q935" s="174"/>
      <c r="R935" s="174"/>
      <c r="S935" s="174"/>
      <c r="T935" s="174"/>
      <c r="U935" s="174"/>
      <c r="V935" s="174"/>
      <c r="W935" s="174"/>
      <c r="X935" s="174"/>
      <c r="Y935" s="174"/>
      <c r="Z935" s="174"/>
      <c r="AA935" s="174"/>
    </row>
    <row r="936" customFormat="false" ht="15.75" hidden="false" customHeight="false" outlineLevel="0" collapsed="false">
      <c r="A936" s="174" t="str">
        <f aca="false">IF(ISBLANK(B936),"",B936&amp;"|"&amp;C936)</f>
        <v/>
      </c>
      <c r="B936" s="174"/>
      <c r="C936" s="174"/>
      <c r="D936" s="174"/>
      <c r="E936" s="179"/>
      <c r="F936" s="174"/>
      <c r="G936" s="174"/>
      <c r="H936" s="174"/>
      <c r="I936" s="174"/>
      <c r="J936" s="174"/>
      <c r="K936" s="174"/>
      <c r="L936" s="174"/>
      <c r="M936" s="174"/>
      <c r="N936" s="174"/>
      <c r="O936" s="174"/>
      <c r="P936" s="174"/>
      <c r="Q936" s="174"/>
      <c r="R936" s="174"/>
      <c r="S936" s="174"/>
      <c r="T936" s="174"/>
      <c r="U936" s="174"/>
      <c r="V936" s="174"/>
      <c r="W936" s="174"/>
      <c r="X936" s="174"/>
      <c r="Y936" s="174"/>
      <c r="Z936" s="174"/>
      <c r="AA936" s="174"/>
    </row>
    <row r="937" customFormat="false" ht="15.75" hidden="false" customHeight="false" outlineLevel="0" collapsed="false">
      <c r="A937" s="174" t="str">
        <f aca="false">IF(ISBLANK(B937),"",B937&amp;"|"&amp;C937)</f>
        <v/>
      </c>
      <c r="B937" s="174"/>
      <c r="C937" s="174"/>
      <c r="D937" s="174"/>
      <c r="E937" s="179"/>
      <c r="F937" s="174"/>
      <c r="G937" s="174"/>
      <c r="H937" s="174"/>
      <c r="I937" s="174"/>
      <c r="J937" s="174"/>
      <c r="K937" s="174"/>
      <c r="L937" s="174"/>
      <c r="M937" s="174"/>
      <c r="N937" s="174"/>
      <c r="O937" s="174"/>
      <c r="P937" s="174"/>
      <c r="Q937" s="174"/>
      <c r="R937" s="174"/>
      <c r="S937" s="174"/>
      <c r="T937" s="174"/>
      <c r="U937" s="174"/>
      <c r="V937" s="174"/>
      <c r="W937" s="174"/>
      <c r="X937" s="174"/>
      <c r="Y937" s="174"/>
      <c r="Z937" s="174"/>
      <c r="AA937" s="174"/>
    </row>
    <row r="938" customFormat="false" ht="15.75" hidden="false" customHeight="false" outlineLevel="0" collapsed="false">
      <c r="A938" s="174" t="str">
        <f aca="false">IF(ISBLANK(B938),"",B938&amp;"|"&amp;C938)</f>
        <v/>
      </c>
      <c r="B938" s="174"/>
      <c r="C938" s="174"/>
      <c r="D938" s="174"/>
      <c r="E938" s="179"/>
      <c r="F938" s="174"/>
      <c r="G938" s="174"/>
      <c r="H938" s="174"/>
      <c r="I938" s="174"/>
      <c r="J938" s="174"/>
      <c r="K938" s="174"/>
      <c r="L938" s="174"/>
      <c r="M938" s="174"/>
      <c r="N938" s="174"/>
      <c r="O938" s="174"/>
      <c r="P938" s="174"/>
      <c r="Q938" s="174"/>
      <c r="R938" s="174"/>
      <c r="S938" s="174"/>
      <c r="T938" s="174"/>
      <c r="U938" s="174"/>
      <c r="V938" s="174"/>
      <c r="W938" s="174"/>
      <c r="X938" s="174"/>
      <c r="Y938" s="174"/>
      <c r="Z938" s="174"/>
      <c r="AA938" s="174"/>
    </row>
    <row r="939" customFormat="false" ht="15.75" hidden="false" customHeight="false" outlineLevel="0" collapsed="false">
      <c r="A939" s="174" t="str">
        <f aca="false">IF(ISBLANK(B939),"",B939&amp;"|"&amp;C939)</f>
        <v/>
      </c>
      <c r="B939" s="174"/>
      <c r="C939" s="174"/>
      <c r="D939" s="174"/>
      <c r="E939" s="179"/>
      <c r="F939" s="174"/>
      <c r="G939" s="174"/>
      <c r="H939" s="174"/>
      <c r="I939" s="174"/>
      <c r="J939" s="174"/>
      <c r="K939" s="174"/>
      <c r="L939" s="174"/>
      <c r="M939" s="174"/>
      <c r="N939" s="174"/>
      <c r="O939" s="174"/>
      <c r="P939" s="174"/>
      <c r="Q939" s="174"/>
      <c r="R939" s="174"/>
      <c r="S939" s="174"/>
      <c r="T939" s="174"/>
      <c r="U939" s="174"/>
      <c r="V939" s="174"/>
      <c r="W939" s="174"/>
      <c r="X939" s="174"/>
      <c r="Y939" s="174"/>
      <c r="Z939" s="174"/>
      <c r="AA939" s="174"/>
    </row>
    <row r="940" customFormat="false" ht="15.75" hidden="false" customHeight="false" outlineLevel="0" collapsed="false">
      <c r="A940" s="174" t="str">
        <f aca="false">IF(ISBLANK(B940),"",B940&amp;"|"&amp;C940)</f>
        <v/>
      </c>
      <c r="B940" s="174"/>
      <c r="C940" s="174"/>
      <c r="D940" s="174"/>
      <c r="E940" s="179"/>
      <c r="F940" s="174"/>
      <c r="G940" s="174"/>
      <c r="H940" s="174"/>
      <c r="I940" s="174"/>
      <c r="J940" s="174"/>
      <c r="K940" s="174"/>
      <c r="L940" s="174"/>
      <c r="M940" s="174"/>
      <c r="N940" s="174"/>
      <c r="O940" s="174"/>
      <c r="P940" s="174"/>
      <c r="Q940" s="174"/>
      <c r="R940" s="174"/>
      <c r="S940" s="174"/>
      <c r="T940" s="174"/>
      <c r="U940" s="174"/>
      <c r="V940" s="174"/>
      <c r="W940" s="174"/>
      <c r="X940" s="174"/>
      <c r="Y940" s="174"/>
      <c r="Z940" s="174"/>
      <c r="AA940" s="174"/>
    </row>
    <row r="941" customFormat="false" ht="15.75" hidden="false" customHeight="false" outlineLevel="0" collapsed="false">
      <c r="A941" s="174" t="str">
        <f aca="false">IF(ISBLANK(B941),"",B941&amp;"|"&amp;C941)</f>
        <v/>
      </c>
      <c r="B941" s="174"/>
      <c r="C941" s="174"/>
      <c r="D941" s="174"/>
      <c r="E941" s="179"/>
      <c r="F941" s="174"/>
      <c r="G941" s="174"/>
      <c r="H941" s="174"/>
      <c r="I941" s="174"/>
      <c r="J941" s="174"/>
      <c r="K941" s="174"/>
      <c r="L941" s="174"/>
      <c r="M941" s="174"/>
      <c r="N941" s="174"/>
      <c r="O941" s="174"/>
      <c r="P941" s="174"/>
      <c r="Q941" s="174"/>
      <c r="R941" s="174"/>
      <c r="S941" s="174"/>
      <c r="T941" s="174"/>
      <c r="U941" s="174"/>
      <c r="V941" s="174"/>
      <c r="W941" s="174"/>
      <c r="X941" s="174"/>
      <c r="Y941" s="174"/>
      <c r="Z941" s="174"/>
      <c r="AA941" s="174"/>
    </row>
    <row r="942" customFormat="false" ht="15.75" hidden="false" customHeight="false" outlineLevel="0" collapsed="false">
      <c r="A942" s="174" t="str">
        <f aca="false">IF(ISBLANK(B942),"",B942&amp;"|"&amp;C942)</f>
        <v/>
      </c>
      <c r="B942" s="174"/>
      <c r="C942" s="174"/>
      <c r="D942" s="174"/>
      <c r="E942" s="179"/>
      <c r="F942" s="174"/>
      <c r="G942" s="174"/>
      <c r="H942" s="174"/>
      <c r="I942" s="174"/>
      <c r="J942" s="174"/>
      <c r="K942" s="174"/>
      <c r="L942" s="174"/>
      <c r="M942" s="174"/>
      <c r="N942" s="174"/>
      <c r="O942" s="174"/>
      <c r="P942" s="174"/>
      <c r="Q942" s="174"/>
      <c r="R942" s="174"/>
      <c r="S942" s="174"/>
      <c r="T942" s="174"/>
      <c r="U942" s="174"/>
      <c r="V942" s="174"/>
      <c r="W942" s="174"/>
      <c r="X942" s="174"/>
      <c r="Y942" s="174"/>
      <c r="Z942" s="174"/>
      <c r="AA942" s="174"/>
    </row>
    <row r="943" customFormat="false" ht="15.75" hidden="false" customHeight="false" outlineLevel="0" collapsed="false">
      <c r="A943" s="174" t="str">
        <f aca="false">IF(ISBLANK(B943),"",B943&amp;"|"&amp;C943)</f>
        <v/>
      </c>
      <c r="B943" s="174"/>
      <c r="C943" s="174"/>
      <c r="D943" s="174"/>
      <c r="E943" s="179"/>
      <c r="F943" s="174"/>
      <c r="G943" s="174"/>
      <c r="H943" s="174"/>
      <c r="I943" s="174"/>
      <c r="J943" s="174"/>
      <c r="K943" s="174"/>
      <c r="L943" s="174"/>
      <c r="M943" s="174"/>
      <c r="N943" s="174"/>
      <c r="O943" s="174"/>
      <c r="P943" s="174"/>
      <c r="Q943" s="174"/>
      <c r="R943" s="174"/>
      <c r="S943" s="174"/>
      <c r="T943" s="174"/>
      <c r="U943" s="174"/>
      <c r="V943" s="174"/>
      <c r="W943" s="174"/>
      <c r="X943" s="174"/>
      <c r="Y943" s="174"/>
      <c r="Z943" s="174"/>
      <c r="AA943" s="174"/>
    </row>
    <row r="944" customFormat="false" ht="15.75" hidden="false" customHeight="false" outlineLevel="0" collapsed="false">
      <c r="A944" s="174" t="str">
        <f aca="false">IF(ISBLANK(B944),"",B944&amp;"|"&amp;C944)</f>
        <v/>
      </c>
      <c r="B944" s="174"/>
      <c r="C944" s="174"/>
      <c r="D944" s="174"/>
      <c r="E944" s="179"/>
      <c r="F944" s="174"/>
      <c r="G944" s="174"/>
      <c r="H944" s="174"/>
      <c r="I944" s="174"/>
      <c r="J944" s="174"/>
      <c r="K944" s="174"/>
      <c r="L944" s="174"/>
      <c r="M944" s="174"/>
      <c r="N944" s="174"/>
      <c r="O944" s="174"/>
      <c r="P944" s="174"/>
      <c r="Q944" s="174"/>
      <c r="R944" s="174"/>
      <c r="S944" s="174"/>
      <c r="T944" s="174"/>
      <c r="U944" s="174"/>
      <c r="V944" s="174"/>
      <c r="W944" s="174"/>
      <c r="X944" s="174"/>
      <c r="Y944" s="174"/>
      <c r="Z944" s="174"/>
      <c r="AA944" s="174"/>
    </row>
    <row r="945" customFormat="false" ht="15.75" hidden="false" customHeight="false" outlineLevel="0" collapsed="false">
      <c r="A945" s="174" t="str">
        <f aca="false">IF(ISBLANK(B945),"",B945&amp;"|"&amp;C945)</f>
        <v/>
      </c>
      <c r="B945" s="174"/>
      <c r="C945" s="174"/>
      <c r="D945" s="174"/>
      <c r="E945" s="179"/>
      <c r="F945" s="174"/>
      <c r="G945" s="174"/>
      <c r="H945" s="174"/>
      <c r="I945" s="174"/>
      <c r="J945" s="174"/>
      <c r="K945" s="174"/>
      <c r="L945" s="174"/>
      <c r="M945" s="174"/>
      <c r="N945" s="174"/>
      <c r="O945" s="174"/>
      <c r="P945" s="174"/>
      <c r="Q945" s="174"/>
      <c r="R945" s="174"/>
      <c r="S945" s="174"/>
      <c r="T945" s="174"/>
      <c r="U945" s="174"/>
      <c r="V945" s="174"/>
      <c r="W945" s="174"/>
      <c r="X945" s="174"/>
      <c r="Y945" s="174"/>
      <c r="Z945" s="174"/>
      <c r="AA945" s="174"/>
    </row>
    <row r="946" customFormat="false" ht="15.75" hidden="false" customHeight="false" outlineLevel="0" collapsed="false">
      <c r="A946" s="174" t="str">
        <f aca="false">IF(ISBLANK(B946),"",B946&amp;"|"&amp;C946)</f>
        <v/>
      </c>
      <c r="B946" s="174"/>
      <c r="C946" s="174"/>
      <c r="D946" s="174"/>
      <c r="E946" s="179"/>
      <c r="F946" s="174"/>
      <c r="G946" s="174"/>
      <c r="H946" s="174"/>
      <c r="I946" s="174"/>
      <c r="J946" s="174"/>
      <c r="K946" s="174"/>
      <c r="L946" s="174"/>
      <c r="M946" s="174"/>
      <c r="N946" s="174"/>
      <c r="O946" s="174"/>
      <c r="P946" s="174"/>
      <c r="Q946" s="174"/>
      <c r="R946" s="174"/>
      <c r="S946" s="174"/>
      <c r="T946" s="174"/>
      <c r="U946" s="174"/>
      <c r="V946" s="174"/>
      <c r="W946" s="174"/>
      <c r="X946" s="174"/>
      <c r="Y946" s="174"/>
      <c r="Z946" s="174"/>
      <c r="AA946" s="174"/>
    </row>
    <row r="947" customFormat="false" ht="15.75" hidden="false" customHeight="false" outlineLevel="0" collapsed="false">
      <c r="A947" s="174" t="str">
        <f aca="false">IF(ISBLANK(B947),"",B947&amp;"|"&amp;C947)</f>
        <v/>
      </c>
      <c r="B947" s="174"/>
      <c r="C947" s="174"/>
      <c r="D947" s="174"/>
      <c r="E947" s="179"/>
      <c r="F947" s="174"/>
      <c r="G947" s="174"/>
      <c r="H947" s="174"/>
      <c r="I947" s="174"/>
      <c r="J947" s="174"/>
      <c r="K947" s="174"/>
      <c r="L947" s="174"/>
      <c r="M947" s="174"/>
      <c r="N947" s="174"/>
      <c r="O947" s="174"/>
      <c r="P947" s="174"/>
      <c r="Q947" s="174"/>
      <c r="R947" s="174"/>
      <c r="S947" s="174"/>
      <c r="T947" s="174"/>
      <c r="U947" s="174"/>
      <c r="V947" s="174"/>
      <c r="W947" s="174"/>
      <c r="X947" s="174"/>
      <c r="Y947" s="174"/>
      <c r="Z947" s="174"/>
      <c r="AA947" s="174"/>
    </row>
    <row r="948" customFormat="false" ht="15.75" hidden="false" customHeight="false" outlineLevel="0" collapsed="false">
      <c r="A948" s="174" t="str">
        <f aca="false">IF(ISBLANK(B948),"",B948&amp;"|"&amp;C948)</f>
        <v/>
      </c>
      <c r="B948" s="174"/>
      <c r="C948" s="174"/>
      <c r="D948" s="174"/>
      <c r="E948" s="179"/>
      <c r="F948" s="174"/>
      <c r="G948" s="174"/>
      <c r="H948" s="174"/>
      <c r="I948" s="174"/>
      <c r="J948" s="174"/>
      <c r="K948" s="174"/>
      <c r="L948" s="174"/>
      <c r="M948" s="174"/>
      <c r="N948" s="174"/>
      <c r="O948" s="174"/>
      <c r="P948" s="174"/>
      <c r="Q948" s="174"/>
      <c r="R948" s="174"/>
      <c r="S948" s="174"/>
      <c r="T948" s="174"/>
      <c r="U948" s="174"/>
      <c r="V948" s="174"/>
      <c r="W948" s="174"/>
      <c r="X948" s="174"/>
      <c r="Y948" s="174"/>
      <c r="Z948" s="174"/>
      <c r="AA948" s="174"/>
    </row>
    <row r="949" customFormat="false" ht="15.75" hidden="false" customHeight="false" outlineLevel="0" collapsed="false">
      <c r="A949" s="174" t="str">
        <f aca="false">IF(ISBLANK(B949),"",B949&amp;"|"&amp;C949)</f>
        <v/>
      </c>
      <c r="B949" s="174"/>
      <c r="C949" s="174"/>
      <c r="D949" s="174"/>
      <c r="E949" s="179"/>
      <c r="F949" s="174"/>
      <c r="G949" s="174"/>
      <c r="H949" s="174"/>
      <c r="I949" s="174"/>
      <c r="J949" s="174"/>
      <c r="K949" s="174"/>
      <c r="L949" s="174"/>
      <c r="M949" s="174"/>
      <c r="N949" s="174"/>
      <c r="O949" s="174"/>
      <c r="P949" s="174"/>
      <c r="Q949" s="174"/>
      <c r="R949" s="174"/>
      <c r="S949" s="174"/>
      <c r="T949" s="174"/>
      <c r="U949" s="174"/>
      <c r="V949" s="174"/>
      <c r="W949" s="174"/>
      <c r="X949" s="174"/>
      <c r="Y949" s="174"/>
      <c r="Z949" s="174"/>
      <c r="AA949" s="174"/>
    </row>
    <row r="950" customFormat="false" ht="15.75" hidden="false" customHeight="false" outlineLevel="0" collapsed="false">
      <c r="A950" s="174" t="str">
        <f aca="false">IF(ISBLANK(B950),"",B950&amp;"|"&amp;C950)</f>
        <v/>
      </c>
      <c r="B950" s="174"/>
      <c r="C950" s="174"/>
      <c r="D950" s="174"/>
      <c r="E950" s="179"/>
      <c r="F950" s="174"/>
      <c r="G950" s="174"/>
      <c r="H950" s="174"/>
      <c r="I950" s="174"/>
      <c r="J950" s="174"/>
      <c r="K950" s="174"/>
      <c r="L950" s="174"/>
      <c r="M950" s="174"/>
      <c r="N950" s="174"/>
      <c r="O950" s="174"/>
      <c r="P950" s="174"/>
      <c r="Q950" s="174"/>
      <c r="R950" s="174"/>
      <c r="S950" s="174"/>
      <c r="T950" s="174"/>
      <c r="U950" s="174"/>
      <c r="V950" s="174"/>
      <c r="W950" s="174"/>
      <c r="X950" s="174"/>
      <c r="Y950" s="174"/>
      <c r="Z950" s="174"/>
      <c r="AA950" s="174"/>
    </row>
    <row r="951" customFormat="false" ht="15.75" hidden="false" customHeight="false" outlineLevel="0" collapsed="false">
      <c r="A951" s="174" t="str">
        <f aca="false">IF(ISBLANK(B951),"",B951&amp;"|"&amp;C951)</f>
        <v/>
      </c>
      <c r="B951" s="174"/>
      <c r="C951" s="174"/>
      <c r="D951" s="174"/>
      <c r="E951" s="179"/>
      <c r="F951" s="174"/>
      <c r="G951" s="174"/>
      <c r="H951" s="174"/>
      <c r="I951" s="174"/>
      <c r="J951" s="174"/>
      <c r="K951" s="174"/>
      <c r="L951" s="174"/>
      <c r="M951" s="174"/>
      <c r="N951" s="174"/>
      <c r="O951" s="174"/>
      <c r="P951" s="174"/>
      <c r="Q951" s="174"/>
      <c r="R951" s="174"/>
      <c r="S951" s="174"/>
      <c r="T951" s="174"/>
      <c r="U951" s="174"/>
      <c r="V951" s="174"/>
      <c r="W951" s="174"/>
      <c r="X951" s="174"/>
      <c r="Y951" s="174"/>
      <c r="Z951" s="174"/>
      <c r="AA951" s="174"/>
    </row>
    <row r="952" customFormat="false" ht="15.75" hidden="false" customHeight="false" outlineLevel="0" collapsed="false">
      <c r="A952" s="174" t="str">
        <f aca="false">IF(ISBLANK(B952),"",B952&amp;"|"&amp;C952)</f>
        <v/>
      </c>
      <c r="B952" s="174"/>
      <c r="C952" s="174"/>
      <c r="D952" s="174"/>
      <c r="E952" s="179"/>
      <c r="F952" s="174"/>
      <c r="G952" s="174"/>
      <c r="H952" s="174"/>
      <c r="I952" s="174"/>
      <c r="J952" s="174"/>
      <c r="K952" s="174"/>
      <c r="L952" s="174"/>
      <c r="M952" s="174"/>
      <c r="N952" s="174"/>
      <c r="O952" s="174"/>
      <c r="P952" s="174"/>
      <c r="Q952" s="174"/>
      <c r="R952" s="174"/>
      <c r="S952" s="174"/>
      <c r="T952" s="174"/>
      <c r="U952" s="174"/>
      <c r="V952" s="174"/>
      <c r="W952" s="174"/>
      <c r="X952" s="174"/>
      <c r="Y952" s="174"/>
      <c r="Z952" s="174"/>
      <c r="AA952" s="174"/>
    </row>
    <row r="953" customFormat="false" ht="15.75" hidden="false" customHeight="false" outlineLevel="0" collapsed="false">
      <c r="A953" s="174" t="str">
        <f aca="false">IF(ISBLANK(B953),"",B953&amp;"|"&amp;C953)</f>
        <v/>
      </c>
      <c r="B953" s="174"/>
      <c r="C953" s="174"/>
      <c r="D953" s="174"/>
      <c r="E953" s="179"/>
      <c r="F953" s="174"/>
      <c r="G953" s="174"/>
      <c r="H953" s="174"/>
      <c r="I953" s="174"/>
      <c r="J953" s="174"/>
      <c r="K953" s="174"/>
      <c r="L953" s="174"/>
      <c r="M953" s="174"/>
      <c r="N953" s="174"/>
      <c r="O953" s="174"/>
      <c r="P953" s="174"/>
      <c r="Q953" s="174"/>
      <c r="R953" s="174"/>
      <c r="S953" s="174"/>
      <c r="T953" s="174"/>
      <c r="U953" s="174"/>
      <c r="V953" s="174"/>
      <c r="W953" s="174"/>
      <c r="X953" s="174"/>
      <c r="Y953" s="174"/>
      <c r="Z953" s="174"/>
      <c r="AA953" s="174"/>
    </row>
    <row r="954" customFormat="false" ht="15.75" hidden="false" customHeight="false" outlineLevel="0" collapsed="false">
      <c r="A954" s="174" t="str">
        <f aca="false">IF(ISBLANK(B954),"",B954&amp;"|"&amp;C954)</f>
        <v/>
      </c>
      <c r="B954" s="174"/>
      <c r="C954" s="174"/>
      <c r="D954" s="174"/>
      <c r="E954" s="179"/>
      <c r="F954" s="174"/>
      <c r="G954" s="174"/>
      <c r="H954" s="174"/>
      <c r="I954" s="174"/>
      <c r="J954" s="174"/>
      <c r="K954" s="174"/>
      <c r="L954" s="174"/>
      <c r="M954" s="174"/>
      <c r="N954" s="174"/>
      <c r="O954" s="174"/>
      <c r="P954" s="174"/>
      <c r="Q954" s="174"/>
      <c r="R954" s="174"/>
      <c r="S954" s="174"/>
      <c r="T954" s="174"/>
      <c r="U954" s="174"/>
      <c r="V954" s="174"/>
      <c r="W954" s="174"/>
      <c r="X954" s="174"/>
      <c r="Y954" s="174"/>
      <c r="Z954" s="174"/>
      <c r="AA954" s="174"/>
    </row>
    <row r="955" customFormat="false" ht="15.75" hidden="false" customHeight="false" outlineLevel="0" collapsed="false">
      <c r="A955" s="174" t="str">
        <f aca="false">IF(ISBLANK(B955),"",B955&amp;"|"&amp;C955)</f>
        <v/>
      </c>
      <c r="B955" s="174"/>
      <c r="C955" s="174"/>
      <c r="D955" s="174"/>
      <c r="E955" s="179"/>
      <c r="F955" s="174"/>
      <c r="G955" s="174"/>
      <c r="H955" s="174"/>
      <c r="I955" s="174"/>
      <c r="J955" s="174"/>
      <c r="K955" s="174"/>
      <c r="L955" s="174"/>
      <c r="M955" s="174"/>
      <c r="N955" s="174"/>
      <c r="O955" s="174"/>
      <c r="P955" s="174"/>
      <c r="Q955" s="174"/>
      <c r="R955" s="174"/>
      <c r="S955" s="174"/>
      <c r="T955" s="174"/>
      <c r="U955" s="174"/>
      <c r="V955" s="174"/>
      <c r="W955" s="174"/>
      <c r="X955" s="174"/>
      <c r="Y955" s="174"/>
      <c r="Z955" s="174"/>
      <c r="AA955" s="174"/>
    </row>
    <row r="956" customFormat="false" ht="15.75" hidden="false" customHeight="false" outlineLevel="0" collapsed="false">
      <c r="A956" s="174" t="str">
        <f aca="false">IF(ISBLANK(B956),"",B956&amp;"|"&amp;C956)</f>
        <v/>
      </c>
      <c r="B956" s="174"/>
      <c r="C956" s="174"/>
      <c r="D956" s="174"/>
      <c r="E956" s="179"/>
      <c r="F956" s="174"/>
      <c r="G956" s="174"/>
      <c r="H956" s="174"/>
      <c r="I956" s="174"/>
      <c r="J956" s="174"/>
      <c r="K956" s="174"/>
      <c r="L956" s="174"/>
      <c r="M956" s="174"/>
      <c r="N956" s="174"/>
      <c r="O956" s="174"/>
      <c r="P956" s="174"/>
      <c r="Q956" s="174"/>
      <c r="R956" s="174"/>
      <c r="S956" s="174"/>
      <c r="T956" s="174"/>
      <c r="U956" s="174"/>
      <c r="V956" s="174"/>
      <c r="W956" s="174"/>
      <c r="X956" s="174"/>
      <c r="Y956" s="174"/>
      <c r="Z956" s="174"/>
      <c r="AA956" s="174"/>
    </row>
    <row r="957" customFormat="false" ht="15.75" hidden="false" customHeight="false" outlineLevel="0" collapsed="false">
      <c r="A957" s="174" t="str">
        <f aca="false">IF(ISBLANK(B957),"",B957&amp;"|"&amp;C957)</f>
        <v/>
      </c>
      <c r="B957" s="174"/>
      <c r="C957" s="174"/>
      <c r="D957" s="174"/>
      <c r="E957" s="179"/>
      <c r="F957" s="174"/>
      <c r="G957" s="174"/>
      <c r="H957" s="174"/>
      <c r="I957" s="174"/>
      <c r="J957" s="174"/>
      <c r="K957" s="174"/>
      <c r="L957" s="174"/>
      <c r="M957" s="174"/>
      <c r="N957" s="174"/>
      <c r="O957" s="174"/>
      <c r="P957" s="174"/>
      <c r="Q957" s="174"/>
      <c r="R957" s="174"/>
      <c r="S957" s="174"/>
      <c r="T957" s="174"/>
      <c r="U957" s="174"/>
      <c r="V957" s="174"/>
      <c r="W957" s="174"/>
      <c r="X957" s="174"/>
      <c r="Y957" s="174"/>
      <c r="Z957" s="174"/>
      <c r="AA957" s="174"/>
    </row>
    <row r="958" customFormat="false" ht="15.75" hidden="false" customHeight="false" outlineLevel="0" collapsed="false">
      <c r="A958" s="174" t="str">
        <f aca="false">IF(ISBLANK(B958),"",B958&amp;"|"&amp;C958)</f>
        <v/>
      </c>
      <c r="B958" s="174"/>
      <c r="C958" s="174"/>
      <c r="D958" s="174"/>
      <c r="E958" s="179"/>
      <c r="F958" s="174"/>
      <c r="G958" s="174"/>
      <c r="H958" s="174"/>
      <c r="I958" s="174"/>
      <c r="J958" s="174"/>
      <c r="K958" s="174"/>
      <c r="L958" s="174"/>
      <c r="M958" s="174"/>
      <c r="N958" s="174"/>
      <c r="O958" s="174"/>
      <c r="P958" s="174"/>
      <c r="Q958" s="174"/>
      <c r="R958" s="174"/>
      <c r="S958" s="174"/>
      <c r="T958" s="174"/>
      <c r="U958" s="174"/>
      <c r="V958" s="174"/>
      <c r="W958" s="174"/>
      <c r="X958" s="174"/>
      <c r="Y958" s="174"/>
      <c r="Z958" s="174"/>
      <c r="AA958" s="174"/>
    </row>
    <row r="959" customFormat="false" ht="15.75" hidden="false" customHeight="false" outlineLevel="0" collapsed="false">
      <c r="A959" s="174" t="str">
        <f aca="false">IF(ISBLANK(B959),"",B959&amp;"|"&amp;C959)</f>
        <v/>
      </c>
      <c r="B959" s="174"/>
      <c r="C959" s="174"/>
      <c r="D959" s="174"/>
      <c r="E959" s="179"/>
      <c r="F959" s="174"/>
      <c r="G959" s="174"/>
      <c r="H959" s="174"/>
      <c r="I959" s="174"/>
      <c r="J959" s="174"/>
      <c r="K959" s="174"/>
      <c r="L959" s="174"/>
      <c r="M959" s="174"/>
      <c r="N959" s="174"/>
      <c r="O959" s="174"/>
      <c r="P959" s="174"/>
      <c r="Q959" s="174"/>
      <c r="R959" s="174"/>
      <c r="S959" s="174"/>
      <c r="T959" s="174"/>
      <c r="U959" s="174"/>
      <c r="V959" s="174"/>
      <c r="W959" s="174"/>
      <c r="X959" s="174"/>
      <c r="Y959" s="174"/>
      <c r="Z959" s="174"/>
      <c r="AA959" s="174"/>
    </row>
    <row r="960" customFormat="false" ht="15.75" hidden="false" customHeight="false" outlineLevel="0" collapsed="false">
      <c r="A960" s="174" t="str">
        <f aca="false">IF(ISBLANK(B960),"",B960&amp;"|"&amp;C960)</f>
        <v/>
      </c>
      <c r="B960" s="174"/>
      <c r="C960" s="174"/>
      <c r="D960" s="174"/>
      <c r="E960" s="179"/>
      <c r="F960" s="174"/>
      <c r="G960" s="174"/>
      <c r="H960" s="174"/>
      <c r="I960" s="174"/>
      <c r="J960" s="174"/>
      <c r="K960" s="174"/>
      <c r="L960" s="174"/>
      <c r="M960" s="174"/>
      <c r="N960" s="174"/>
      <c r="O960" s="174"/>
      <c r="P960" s="174"/>
      <c r="Q960" s="174"/>
      <c r="R960" s="174"/>
      <c r="S960" s="174"/>
      <c r="T960" s="174"/>
      <c r="U960" s="174"/>
      <c r="V960" s="174"/>
      <c r="W960" s="174"/>
      <c r="X960" s="174"/>
      <c r="Y960" s="174"/>
      <c r="Z960" s="174"/>
      <c r="AA960" s="174"/>
    </row>
    <row r="961" customFormat="false" ht="15.75" hidden="false" customHeight="false" outlineLevel="0" collapsed="false">
      <c r="A961" s="174" t="str">
        <f aca="false">IF(ISBLANK(B961),"",B961&amp;"|"&amp;C961)</f>
        <v/>
      </c>
      <c r="B961" s="174"/>
      <c r="C961" s="174"/>
      <c r="D961" s="174"/>
      <c r="E961" s="179"/>
      <c r="F961" s="174"/>
      <c r="G961" s="174"/>
      <c r="H961" s="174"/>
      <c r="I961" s="174"/>
      <c r="J961" s="174"/>
      <c r="K961" s="174"/>
      <c r="L961" s="174"/>
      <c r="M961" s="174"/>
      <c r="N961" s="174"/>
      <c r="O961" s="174"/>
      <c r="P961" s="174"/>
      <c r="Q961" s="174"/>
      <c r="R961" s="174"/>
      <c r="S961" s="174"/>
      <c r="T961" s="174"/>
      <c r="U961" s="174"/>
      <c r="V961" s="174"/>
      <c r="W961" s="174"/>
      <c r="X961" s="174"/>
      <c r="Y961" s="174"/>
      <c r="Z961" s="174"/>
      <c r="AA961" s="174"/>
    </row>
    <row r="962" customFormat="false" ht="15.75" hidden="false" customHeight="false" outlineLevel="0" collapsed="false">
      <c r="A962" s="174" t="str">
        <f aca="false">IF(ISBLANK(B962),"",B962&amp;"|"&amp;C962)</f>
        <v/>
      </c>
      <c r="B962" s="174"/>
      <c r="C962" s="174"/>
      <c r="D962" s="174"/>
      <c r="E962" s="179"/>
      <c r="F962" s="174"/>
      <c r="G962" s="174"/>
      <c r="H962" s="174"/>
      <c r="I962" s="174"/>
      <c r="J962" s="174"/>
      <c r="K962" s="174"/>
      <c r="L962" s="174"/>
      <c r="M962" s="174"/>
      <c r="N962" s="174"/>
      <c r="O962" s="174"/>
      <c r="P962" s="174"/>
      <c r="Q962" s="174"/>
      <c r="R962" s="174"/>
      <c r="S962" s="174"/>
      <c r="T962" s="174"/>
      <c r="U962" s="174"/>
      <c r="V962" s="174"/>
      <c r="W962" s="174"/>
      <c r="X962" s="174"/>
      <c r="Y962" s="174"/>
      <c r="Z962" s="174"/>
      <c r="AA962" s="174"/>
    </row>
    <row r="963" customFormat="false" ht="15.75" hidden="false" customHeight="false" outlineLevel="0" collapsed="false">
      <c r="A963" s="174" t="str">
        <f aca="false">IF(ISBLANK(B963),"",B963&amp;"|"&amp;C963)</f>
        <v/>
      </c>
      <c r="B963" s="174"/>
      <c r="C963" s="174"/>
      <c r="D963" s="174"/>
      <c r="E963" s="179"/>
      <c r="F963" s="174"/>
      <c r="G963" s="174"/>
      <c r="H963" s="174"/>
      <c r="I963" s="174"/>
      <c r="J963" s="174"/>
      <c r="K963" s="174"/>
      <c r="L963" s="174"/>
      <c r="M963" s="174"/>
      <c r="N963" s="174"/>
      <c r="O963" s="174"/>
      <c r="P963" s="174"/>
      <c r="Q963" s="174"/>
      <c r="R963" s="174"/>
      <c r="S963" s="174"/>
      <c r="T963" s="174"/>
      <c r="U963" s="174"/>
      <c r="V963" s="174"/>
      <c r="W963" s="174"/>
      <c r="X963" s="174"/>
      <c r="Y963" s="174"/>
      <c r="Z963" s="174"/>
      <c r="AA963" s="174"/>
    </row>
    <row r="964" customFormat="false" ht="15.75" hidden="false" customHeight="false" outlineLevel="0" collapsed="false">
      <c r="A964" s="174" t="str">
        <f aca="false">IF(ISBLANK(B964),"",B964&amp;"|"&amp;C964)</f>
        <v/>
      </c>
      <c r="B964" s="174"/>
      <c r="C964" s="174"/>
      <c r="D964" s="174"/>
      <c r="E964" s="179"/>
      <c r="F964" s="174"/>
      <c r="G964" s="174"/>
      <c r="H964" s="174"/>
      <c r="I964" s="174"/>
      <c r="J964" s="174"/>
      <c r="K964" s="174"/>
      <c r="L964" s="174"/>
      <c r="M964" s="174"/>
      <c r="N964" s="174"/>
      <c r="O964" s="174"/>
      <c r="P964" s="174"/>
      <c r="Q964" s="174"/>
      <c r="R964" s="174"/>
      <c r="S964" s="174"/>
      <c r="T964" s="174"/>
      <c r="U964" s="174"/>
      <c r="V964" s="174"/>
      <c r="W964" s="174"/>
      <c r="X964" s="174"/>
      <c r="Y964" s="174"/>
      <c r="Z964" s="174"/>
      <c r="AA964" s="174"/>
    </row>
    <row r="965" customFormat="false" ht="15.75" hidden="false" customHeight="false" outlineLevel="0" collapsed="false">
      <c r="A965" s="174" t="str">
        <f aca="false">IF(ISBLANK(B965),"",B965&amp;"|"&amp;C965)</f>
        <v/>
      </c>
      <c r="B965" s="174"/>
      <c r="C965" s="174"/>
      <c r="D965" s="174"/>
      <c r="E965" s="179"/>
      <c r="F965" s="174"/>
      <c r="G965" s="174"/>
      <c r="H965" s="174"/>
      <c r="I965" s="174"/>
      <c r="J965" s="174"/>
      <c r="K965" s="174"/>
      <c r="L965" s="174"/>
      <c r="M965" s="174"/>
      <c r="N965" s="174"/>
      <c r="O965" s="174"/>
      <c r="P965" s="174"/>
      <c r="Q965" s="174"/>
      <c r="R965" s="174"/>
      <c r="S965" s="174"/>
      <c r="T965" s="174"/>
      <c r="U965" s="174"/>
      <c r="V965" s="174"/>
      <c r="W965" s="174"/>
      <c r="X965" s="174"/>
      <c r="Y965" s="174"/>
      <c r="Z965" s="174"/>
      <c r="AA965" s="174"/>
    </row>
    <row r="966" customFormat="false" ht="15.75" hidden="false" customHeight="false" outlineLevel="0" collapsed="false">
      <c r="A966" s="174" t="str">
        <f aca="false">IF(ISBLANK(B966),"",B966&amp;"|"&amp;C966)</f>
        <v/>
      </c>
      <c r="B966" s="174"/>
      <c r="C966" s="174"/>
      <c r="D966" s="174"/>
      <c r="E966" s="179"/>
      <c r="F966" s="174"/>
      <c r="G966" s="174"/>
      <c r="H966" s="174"/>
      <c r="I966" s="174"/>
      <c r="J966" s="174"/>
      <c r="K966" s="174"/>
      <c r="L966" s="174"/>
      <c r="M966" s="174"/>
      <c r="N966" s="174"/>
      <c r="O966" s="174"/>
      <c r="P966" s="174"/>
      <c r="Q966" s="174"/>
      <c r="R966" s="174"/>
      <c r="S966" s="174"/>
      <c r="T966" s="174"/>
      <c r="U966" s="174"/>
      <c r="V966" s="174"/>
      <c r="W966" s="174"/>
      <c r="X966" s="174"/>
      <c r="Y966" s="174"/>
      <c r="Z966" s="174"/>
      <c r="AA966" s="174"/>
    </row>
    <row r="967" customFormat="false" ht="15.75" hidden="false" customHeight="false" outlineLevel="0" collapsed="false">
      <c r="A967" s="174" t="str">
        <f aca="false">IF(ISBLANK(B967),"",B967&amp;"|"&amp;C967)</f>
        <v/>
      </c>
      <c r="B967" s="174"/>
      <c r="C967" s="174"/>
      <c r="D967" s="174"/>
      <c r="E967" s="179"/>
      <c r="F967" s="174"/>
      <c r="G967" s="174"/>
      <c r="H967" s="174"/>
      <c r="I967" s="174"/>
      <c r="J967" s="174"/>
      <c r="K967" s="174"/>
      <c r="L967" s="174"/>
      <c r="M967" s="174"/>
      <c r="N967" s="174"/>
      <c r="O967" s="174"/>
      <c r="P967" s="174"/>
      <c r="Q967" s="174"/>
      <c r="R967" s="174"/>
      <c r="S967" s="174"/>
      <c r="T967" s="174"/>
      <c r="U967" s="174"/>
      <c r="V967" s="174"/>
      <c r="W967" s="174"/>
      <c r="X967" s="174"/>
      <c r="Y967" s="174"/>
      <c r="Z967" s="174"/>
      <c r="AA967" s="174"/>
    </row>
    <row r="968" customFormat="false" ht="15.75" hidden="false" customHeight="false" outlineLevel="0" collapsed="false">
      <c r="A968" s="174" t="str">
        <f aca="false">IF(ISBLANK(B968),"",B968&amp;"|"&amp;C968)</f>
        <v/>
      </c>
      <c r="B968" s="174"/>
      <c r="C968" s="174"/>
      <c r="D968" s="174"/>
      <c r="E968" s="179"/>
      <c r="F968" s="174"/>
      <c r="G968" s="174"/>
      <c r="H968" s="174"/>
      <c r="I968" s="174"/>
      <c r="J968" s="174"/>
      <c r="K968" s="174"/>
      <c r="L968" s="174"/>
      <c r="M968" s="174"/>
      <c r="N968" s="174"/>
      <c r="O968" s="174"/>
      <c r="P968" s="174"/>
      <c r="Q968" s="174"/>
      <c r="R968" s="174"/>
      <c r="S968" s="174"/>
      <c r="T968" s="174"/>
      <c r="U968" s="174"/>
      <c r="V968" s="174"/>
      <c r="W968" s="174"/>
      <c r="X968" s="174"/>
      <c r="Y968" s="174"/>
      <c r="Z968" s="174"/>
      <c r="AA968" s="174"/>
    </row>
    <row r="969" customFormat="false" ht="15.75" hidden="false" customHeight="false" outlineLevel="0" collapsed="false">
      <c r="A969" s="174" t="str">
        <f aca="false">IF(ISBLANK(B969),"",B969&amp;"|"&amp;C969)</f>
        <v/>
      </c>
      <c r="B969" s="174"/>
      <c r="C969" s="174"/>
      <c r="D969" s="174"/>
      <c r="E969" s="179"/>
      <c r="F969" s="174"/>
      <c r="G969" s="174"/>
      <c r="H969" s="174"/>
      <c r="I969" s="174"/>
      <c r="J969" s="174"/>
      <c r="K969" s="174"/>
      <c r="L969" s="174"/>
      <c r="M969" s="174"/>
      <c r="N969" s="174"/>
      <c r="O969" s="174"/>
      <c r="P969" s="174"/>
      <c r="Q969" s="174"/>
      <c r="R969" s="174"/>
      <c r="S969" s="174"/>
      <c r="T969" s="174"/>
      <c r="U969" s="174"/>
      <c r="V969" s="174"/>
      <c r="W969" s="174"/>
      <c r="X969" s="174"/>
      <c r="Y969" s="174"/>
      <c r="Z969" s="174"/>
      <c r="AA969" s="174"/>
    </row>
    <row r="970" customFormat="false" ht="15.75" hidden="false" customHeight="false" outlineLevel="0" collapsed="false">
      <c r="A970" s="174" t="str">
        <f aca="false">IF(ISBLANK(B970),"",B970&amp;"|"&amp;C970)</f>
        <v/>
      </c>
      <c r="B970" s="174"/>
      <c r="C970" s="174"/>
      <c r="D970" s="174"/>
      <c r="E970" s="179"/>
      <c r="F970" s="174"/>
      <c r="G970" s="174"/>
      <c r="H970" s="174"/>
      <c r="I970" s="174"/>
      <c r="J970" s="174"/>
      <c r="K970" s="174"/>
      <c r="L970" s="174"/>
      <c r="M970" s="174"/>
      <c r="N970" s="174"/>
      <c r="O970" s="174"/>
      <c r="P970" s="174"/>
      <c r="Q970" s="174"/>
      <c r="R970" s="174"/>
      <c r="S970" s="174"/>
      <c r="T970" s="174"/>
      <c r="U970" s="174"/>
      <c r="V970" s="174"/>
      <c r="W970" s="174"/>
      <c r="X970" s="174"/>
      <c r="Y970" s="174"/>
      <c r="Z970" s="174"/>
      <c r="AA970" s="174"/>
    </row>
    <row r="971" customFormat="false" ht="15.75" hidden="false" customHeight="false" outlineLevel="0" collapsed="false">
      <c r="A971" s="174" t="str">
        <f aca="false">IF(ISBLANK(B971),"",B971&amp;"|"&amp;C971)</f>
        <v/>
      </c>
      <c r="B971" s="174"/>
      <c r="C971" s="174"/>
      <c r="D971" s="174"/>
      <c r="E971" s="179"/>
      <c r="F971" s="174"/>
      <c r="G971" s="174"/>
      <c r="H971" s="174"/>
      <c r="I971" s="174"/>
      <c r="J971" s="174"/>
      <c r="K971" s="174"/>
      <c r="L971" s="174"/>
      <c r="M971" s="174"/>
      <c r="N971" s="174"/>
      <c r="O971" s="174"/>
      <c r="P971" s="174"/>
      <c r="Q971" s="174"/>
      <c r="R971" s="174"/>
      <c r="S971" s="174"/>
      <c r="T971" s="174"/>
      <c r="U971" s="174"/>
      <c r="V971" s="174"/>
      <c r="W971" s="174"/>
      <c r="X971" s="174"/>
      <c r="Y971" s="174"/>
      <c r="Z971" s="174"/>
      <c r="AA971" s="174"/>
    </row>
    <row r="972" customFormat="false" ht="15.75" hidden="false" customHeight="false" outlineLevel="0" collapsed="false">
      <c r="A972" s="174" t="str">
        <f aca="false">IF(ISBLANK(B972),"",B972&amp;"|"&amp;C972)</f>
        <v/>
      </c>
      <c r="B972" s="174"/>
      <c r="C972" s="174"/>
      <c r="D972" s="174"/>
      <c r="E972" s="179"/>
      <c r="F972" s="174"/>
      <c r="G972" s="174"/>
      <c r="H972" s="174"/>
      <c r="I972" s="174"/>
      <c r="J972" s="174"/>
      <c r="K972" s="174"/>
      <c r="L972" s="174"/>
      <c r="M972" s="174"/>
      <c r="N972" s="174"/>
      <c r="O972" s="174"/>
      <c r="P972" s="174"/>
      <c r="Q972" s="174"/>
      <c r="R972" s="174"/>
      <c r="S972" s="174"/>
      <c r="T972" s="174"/>
      <c r="U972" s="174"/>
      <c r="V972" s="174"/>
      <c r="W972" s="174"/>
      <c r="X972" s="174"/>
      <c r="Y972" s="174"/>
      <c r="Z972" s="174"/>
      <c r="AA972" s="174"/>
    </row>
    <row r="973" customFormat="false" ht="15.75" hidden="false" customHeight="false" outlineLevel="0" collapsed="false">
      <c r="A973" s="174" t="str">
        <f aca="false">IF(ISBLANK(B973),"",B973&amp;"|"&amp;C973)</f>
        <v/>
      </c>
      <c r="B973" s="174"/>
      <c r="C973" s="174"/>
      <c r="D973" s="174"/>
      <c r="E973" s="179"/>
      <c r="F973" s="174"/>
      <c r="G973" s="174"/>
      <c r="H973" s="174"/>
      <c r="I973" s="174"/>
      <c r="J973" s="174"/>
      <c r="K973" s="174"/>
      <c r="L973" s="174"/>
      <c r="M973" s="174"/>
      <c r="N973" s="174"/>
      <c r="O973" s="174"/>
      <c r="P973" s="174"/>
      <c r="Q973" s="174"/>
      <c r="R973" s="174"/>
      <c r="S973" s="174"/>
      <c r="T973" s="174"/>
      <c r="U973" s="174"/>
      <c r="V973" s="174"/>
      <c r="W973" s="174"/>
      <c r="X973" s="174"/>
      <c r="Y973" s="174"/>
      <c r="Z973" s="174"/>
      <c r="AA973" s="174"/>
    </row>
    <row r="974" customFormat="false" ht="15.75" hidden="false" customHeight="false" outlineLevel="0" collapsed="false">
      <c r="A974" s="174" t="str">
        <f aca="false">IF(ISBLANK(B974),"",B974&amp;"|"&amp;C974)</f>
        <v/>
      </c>
      <c r="B974" s="174"/>
      <c r="C974" s="174"/>
      <c r="D974" s="174"/>
      <c r="E974" s="179"/>
      <c r="F974" s="174"/>
      <c r="G974" s="174"/>
      <c r="H974" s="174"/>
      <c r="I974" s="174"/>
      <c r="J974" s="174"/>
      <c r="K974" s="174"/>
      <c r="L974" s="174"/>
      <c r="M974" s="174"/>
      <c r="N974" s="174"/>
      <c r="O974" s="174"/>
      <c r="P974" s="174"/>
      <c r="Q974" s="174"/>
      <c r="R974" s="174"/>
      <c r="S974" s="174"/>
      <c r="T974" s="174"/>
      <c r="U974" s="174"/>
      <c r="V974" s="174"/>
      <c r="W974" s="174"/>
      <c r="X974" s="174"/>
      <c r="Y974" s="174"/>
      <c r="Z974" s="174"/>
      <c r="AA974" s="174"/>
    </row>
    <row r="975" customFormat="false" ht="15.75" hidden="false" customHeight="false" outlineLevel="0" collapsed="false">
      <c r="A975" s="174" t="str">
        <f aca="false">IF(ISBLANK(B975),"",B975&amp;"|"&amp;C975)</f>
        <v/>
      </c>
      <c r="B975" s="174"/>
      <c r="C975" s="174"/>
      <c r="D975" s="174"/>
      <c r="E975" s="179"/>
      <c r="F975" s="174"/>
      <c r="G975" s="174"/>
      <c r="H975" s="174"/>
      <c r="I975" s="174"/>
      <c r="J975" s="174"/>
      <c r="K975" s="174"/>
      <c r="L975" s="174"/>
      <c r="M975" s="174"/>
      <c r="N975" s="174"/>
      <c r="O975" s="174"/>
      <c r="P975" s="174"/>
      <c r="Q975" s="174"/>
      <c r="R975" s="174"/>
      <c r="S975" s="174"/>
      <c r="T975" s="174"/>
      <c r="U975" s="174"/>
      <c r="V975" s="174"/>
      <c r="W975" s="174"/>
      <c r="X975" s="174"/>
      <c r="Y975" s="174"/>
      <c r="Z975" s="174"/>
      <c r="AA975" s="174"/>
    </row>
    <row r="976" customFormat="false" ht="15.75" hidden="false" customHeight="false" outlineLevel="0" collapsed="false">
      <c r="A976" s="174" t="str">
        <f aca="false">IF(ISBLANK(B976),"",B976&amp;"|"&amp;C976)</f>
        <v/>
      </c>
      <c r="B976" s="174"/>
      <c r="C976" s="174"/>
      <c r="D976" s="174"/>
      <c r="E976" s="179"/>
      <c r="F976" s="174"/>
      <c r="G976" s="174"/>
      <c r="H976" s="174"/>
      <c r="I976" s="174"/>
      <c r="J976" s="174"/>
      <c r="K976" s="174"/>
      <c r="L976" s="174"/>
      <c r="M976" s="174"/>
      <c r="N976" s="174"/>
      <c r="O976" s="174"/>
      <c r="P976" s="174"/>
      <c r="Q976" s="174"/>
      <c r="R976" s="174"/>
      <c r="S976" s="174"/>
      <c r="T976" s="174"/>
      <c r="U976" s="174"/>
      <c r="V976" s="174"/>
      <c r="W976" s="174"/>
      <c r="X976" s="174"/>
      <c r="Y976" s="174"/>
      <c r="Z976" s="174"/>
      <c r="AA976" s="174"/>
    </row>
    <row r="977" customFormat="false" ht="15.75" hidden="false" customHeight="false" outlineLevel="0" collapsed="false">
      <c r="A977" s="174" t="str">
        <f aca="false">IF(ISBLANK(B977),"",B977&amp;"|"&amp;C977)</f>
        <v/>
      </c>
      <c r="B977" s="174"/>
      <c r="C977" s="174"/>
      <c r="D977" s="174"/>
      <c r="E977" s="179"/>
      <c r="F977" s="174"/>
      <c r="G977" s="174"/>
      <c r="H977" s="174"/>
      <c r="I977" s="174"/>
      <c r="J977" s="174"/>
      <c r="K977" s="174"/>
      <c r="L977" s="174"/>
      <c r="M977" s="174"/>
      <c r="N977" s="174"/>
      <c r="O977" s="174"/>
      <c r="P977" s="174"/>
      <c r="Q977" s="174"/>
      <c r="R977" s="174"/>
      <c r="S977" s="174"/>
      <c r="T977" s="174"/>
      <c r="U977" s="174"/>
      <c r="V977" s="174"/>
      <c r="W977" s="174"/>
      <c r="X977" s="174"/>
      <c r="Y977" s="174"/>
      <c r="Z977" s="174"/>
      <c r="AA977" s="174"/>
    </row>
    <row r="978" customFormat="false" ht="15.75" hidden="false" customHeight="false" outlineLevel="0" collapsed="false">
      <c r="A978" s="174" t="str">
        <f aca="false">IF(ISBLANK(B978),"",B978&amp;"|"&amp;C978)</f>
        <v/>
      </c>
      <c r="B978" s="174"/>
      <c r="C978" s="174"/>
      <c r="D978" s="174"/>
      <c r="E978" s="179"/>
      <c r="F978" s="174"/>
      <c r="G978" s="174"/>
      <c r="H978" s="174"/>
      <c r="I978" s="174"/>
      <c r="J978" s="174"/>
      <c r="K978" s="174"/>
      <c r="L978" s="174"/>
      <c r="M978" s="174"/>
      <c r="N978" s="174"/>
      <c r="O978" s="174"/>
      <c r="P978" s="174"/>
      <c r="Q978" s="174"/>
      <c r="R978" s="174"/>
      <c r="S978" s="174"/>
      <c r="T978" s="174"/>
      <c r="U978" s="174"/>
      <c r="V978" s="174"/>
      <c r="W978" s="174"/>
      <c r="X978" s="174"/>
      <c r="Y978" s="174"/>
      <c r="Z978" s="174"/>
      <c r="AA978" s="174"/>
    </row>
    <row r="979" customFormat="false" ht="15.75" hidden="false" customHeight="false" outlineLevel="0" collapsed="false">
      <c r="A979" s="174" t="str">
        <f aca="false">IF(ISBLANK(B979),"",B979&amp;"|"&amp;C979)</f>
        <v/>
      </c>
      <c r="B979" s="174"/>
      <c r="C979" s="174"/>
      <c r="D979" s="174"/>
      <c r="E979" s="179"/>
      <c r="F979" s="174"/>
      <c r="G979" s="174"/>
      <c r="H979" s="174"/>
      <c r="I979" s="174"/>
      <c r="J979" s="174"/>
      <c r="K979" s="174"/>
      <c r="L979" s="174"/>
      <c r="M979" s="174"/>
      <c r="N979" s="174"/>
      <c r="O979" s="174"/>
      <c r="P979" s="174"/>
      <c r="Q979" s="174"/>
      <c r="R979" s="174"/>
      <c r="S979" s="174"/>
      <c r="T979" s="174"/>
      <c r="U979" s="174"/>
      <c r="V979" s="174"/>
      <c r="W979" s="174"/>
      <c r="X979" s="174"/>
      <c r="Y979" s="174"/>
      <c r="Z979" s="174"/>
      <c r="AA979" s="174"/>
    </row>
    <row r="980" customFormat="false" ht="15.75" hidden="false" customHeight="false" outlineLevel="0" collapsed="false">
      <c r="A980" s="174" t="str">
        <f aca="false">IF(ISBLANK(B980),"",B980&amp;"|"&amp;C980)</f>
        <v/>
      </c>
      <c r="B980" s="174"/>
      <c r="C980" s="174"/>
      <c r="D980" s="174"/>
      <c r="E980" s="179"/>
      <c r="F980" s="174"/>
      <c r="G980" s="174"/>
      <c r="H980" s="174"/>
      <c r="I980" s="174"/>
      <c r="J980" s="174"/>
      <c r="K980" s="174"/>
      <c r="L980" s="174"/>
      <c r="M980" s="174"/>
      <c r="N980" s="174"/>
      <c r="O980" s="174"/>
      <c r="P980" s="174"/>
      <c r="Q980" s="174"/>
      <c r="R980" s="174"/>
      <c r="S980" s="174"/>
      <c r="T980" s="174"/>
      <c r="U980" s="174"/>
      <c r="V980" s="174"/>
      <c r="W980" s="174"/>
      <c r="X980" s="174"/>
      <c r="Y980" s="174"/>
      <c r="Z980" s="174"/>
      <c r="AA980" s="174"/>
    </row>
    <row r="981" customFormat="false" ht="15.75" hidden="false" customHeight="false" outlineLevel="0" collapsed="false">
      <c r="A981" s="174" t="str">
        <f aca="false">IF(ISBLANK(B981),"",B981&amp;"|"&amp;C981)</f>
        <v/>
      </c>
      <c r="B981" s="174"/>
      <c r="C981" s="174"/>
      <c r="D981" s="174"/>
      <c r="E981" s="179"/>
      <c r="F981" s="174"/>
      <c r="G981" s="174"/>
      <c r="H981" s="174"/>
      <c r="I981" s="174"/>
      <c r="J981" s="174"/>
      <c r="K981" s="174"/>
      <c r="L981" s="174"/>
      <c r="M981" s="174"/>
      <c r="N981" s="174"/>
      <c r="O981" s="174"/>
      <c r="P981" s="174"/>
      <c r="Q981" s="174"/>
      <c r="R981" s="174"/>
      <c r="S981" s="174"/>
      <c r="T981" s="174"/>
      <c r="U981" s="174"/>
      <c r="V981" s="174"/>
      <c r="W981" s="174"/>
      <c r="X981" s="174"/>
      <c r="Y981" s="174"/>
      <c r="Z981" s="174"/>
      <c r="AA981" s="174"/>
    </row>
    <row r="982" customFormat="false" ht="15.75" hidden="false" customHeight="false" outlineLevel="0" collapsed="false">
      <c r="A982" s="174" t="str">
        <f aca="false">IF(ISBLANK(B982),"",B982&amp;"|"&amp;C982)</f>
        <v/>
      </c>
      <c r="B982" s="174"/>
      <c r="C982" s="174"/>
      <c r="D982" s="174"/>
      <c r="E982" s="179"/>
      <c r="F982" s="174"/>
      <c r="G982" s="174"/>
      <c r="H982" s="174"/>
      <c r="I982" s="174"/>
      <c r="J982" s="174"/>
      <c r="K982" s="174"/>
      <c r="L982" s="174"/>
      <c r="M982" s="174"/>
      <c r="N982" s="174"/>
      <c r="O982" s="174"/>
      <c r="P982" s="174"/>
      <c r="Q982" s="174"/>
      <c r="R982" s="174"/>
      <c r="S982" s="174"/>
      <c r="T982" s="174"/>
      <c r="U982" s="174"/>
      <c r="V982" s="174"/>
      <c r="W982" s="174"/>
      <c r="X982" s="174"/>
      <c r="Y982" s="174"/>
      <c r="Z982" s="174"/>
      <c r="AA982" s="174"/>
    </row>
    <row r="983" customFormat="false" ht="15.75" hidden="false" customHeight="false" outlineLevel="0" collapsed="false">
      <c r="A983" s="174" t="str">
        <f aca="false">IF(ISBLANK(B983),"",B983&amp;"|"&amp;C983)</f>
        <v/>
      </c>
      <c r="B983" s="174"/>
      <c r="C983" s="174"/>
      <c r="D983" s="174"/>
      <c r="E983" s="179"/>
      <c r="F983" s="174"/>
      <c r="G983" s="174"/>
      <c r="H983" s="174"/>
      <c r="I983" s="174"/>
      <c r="J983" s="174"/>
      <c r="K983" s="174"/>
      <c r="L983" s="174"/>
      <c r="M983" s="174"/>
      <c r="N983" s="174"/>
      <c r="O983" s="174"/>
      <c r="P983" s="174"/>
      <c r="Q983" s="174"/>
      <c r="R983" s="174"/>
      <c r="S983" s="174"/>
      <c r="T983" s="174"/>
      <c r="U983" s="174"/>
      <c r="V983" s="174"/>
      <c r="W983" s="174"/>
      <c r="X983" s="174"/>
      <c r="Y983" s="174"/>
      <c r="Z983" s="174"/>
      <c r="AA983" s="174"/>
    </row>
    <row r="984" customFormat="false" ht="15.75" hidden="false" customHeight="false" outlineLevel="0" collapsed="false">
      <c r="A984" s="174" t="str">
        <f aca="false">IF(ISBLANK(B984),"",B984&amp;"|"&amp;C984)</f>
        <v/>
      </c>
      <c r="B984" s="174"/>
      <c r="C984" s="174"/>
      <c r="D984" s="174"/>
      <c r="E984" s="179"/>
      <c r="F984" s="174"/>
      <c r="G984" s="174"/>
      <c r="H984" s="174"/>
      <c r="I984" s="174"/>
      <c r="J984" s="174"/>
      <c r="K984" s="174"/>
      <c r="L984" s="174"/>
      <c r="M984" s="174"/>
      <c r="N984" s="174"/>
      <c r="O984" s="174"/>
      <c r="P984" s="174"/>
      <c r="Q984" s="174"/>
      <c r="R984" s="174"/>
      <c r="S984" s="174"/>
      <c r="T984" s="174"/>
      <c r="U984" s="174"/>
      <c r="V984" s="174"/>
      <c r="W984" s="174"/>
      <c r="X984" s="174"/>
      <c r="Y984" s="174"/>
      <c r="Z984" s="174"/>
      <c r="AA984" s="174"/>
    </row>
    <row r="985" customFormat="false" ht="15.75" hidden="false" customHeight="false" outlineLevel="0" collapsed="false">
      <c r="A985" s="174" t="str">
        <f aca="false">IF(ISBLANK(B985),"",B985&amp;"|"&amp;C985)</f>
        <v/>
      </c>
      <c r="B985" s="174"/>
      <c r="C985" s="174"/>
      <c r="D985" s="174"/>
      <c r="E985" s="179"/>
      <c r="F985" s="174"/>
      <c r="G985" s="174"/>
      <c r="H985" s="174"/>
      <c r="I985" s="174"/>
      <c r="J985" s="174"/>
      <c r="K985" s="174"/>
      <c r="L985" s="174"/>
      <c r="M985" s="174"/>
      <c r="N985" s="174"/>
      <c r="O985" s="174"/>
      <c r="P985" s="174"/>
      <c r="Q985" s="174"/>
      <c r="R985" s="174"/>
      <c r="S985" s="174"/>
      <c r="T985" s="174"/>
      <c r="U985" s="174"/>
      <c r="V985" s="174"/>
      <c r="W985" s="174"/>
      <c r="X985" s="174"/>
      <c r="Y985" s="174"/>
      <c r="Z985" s="174"/>
      <c r="AA985" s="174"/>
    </row>
    <row r="986" customFormat="false" ht="15.75" hidden="false" customHeight="false" outlineLevel="0" collapsed="false">
      <c r="A986" s="174" t="str">
        <f aca="false">IF(ISBLANK(B986),"",B986&amp;"|"&amp;C986)</f>
        <v/>
      </c>
      <c r="B986" s="174"/>
      <c r="C986" s="174"/>
      <c r="D986" s="174"/>
      <c r="E986" s="179"/>
      <c r="F986" s="174"/>
      <c r="G986" s="174"/>
      <c r="H986" s="174"/>
      <c r="I986" s="174"/>
      <c r="J986" s="174"/>
      <c r="K986" s="174"/>
      <c r="L986" s="174"/>
      <c r="M986" s="174"/>
      <c r="N986" s="174"/>
      <c r="O986" s="174"/>
      <c r="P986" s="174"/>
      <c r="Q986" s="174"/>
      <c r="R986" s="174"/>
      <c r="S986" s="174"/>
      <c r="T986" s="174"/>
      <c r="U986" s="174"/>
      <c r="V986" s="174"/>
      <c r="W986" s="174"/>
      <c r="X986" s="174"/>
      <c r="Y986" s="174"/>
      <c r="Z986" s="174"/>
      <c r="AA986" s="174"/>
    </row>
    <row r="987" customFormat="false" ht="15.75" hidden="false" customHeight="false" outlineLevel="0" collapsed="false">
      <c r="A987" s="174" t="str">
        <f aca="false">IF(ISBLANK(B987),"",B987&amp;"|"&amp;C987)</f>
        <v/>
      </c>
      <c r="B987" s="174"/>
      <c r="C987" s="174"/>
      <c r="D987" s="174"/>
      <c r="E987" s="179"/>
      <c r="F987" s="174"/>
      <c r="G987" s="174"/>
      <c r="H987" s="174"/>
      <c r="I987" s="174"/>
      <c r="J987" s="174"/>
      <c r="K987" s="174"/>
      <c r="L987" s="174"/>
      <c r="M987" s="174"/>
      <c r="N987" s="174"/>
      <c r="O987" s="174"/>
      <c r="P987" s="174"/>
      <c r="Q987" s="174"/>
      <c r="R987" s="174"/>
      <c r="S987" s="174"/>
      <c r="T987" s="174"/>
      <c r="U987" s="174"/>
      <c r="V987" s="174"/>
      <c r="W987" s="174"/>
      <c r="X987" s="174"/>
      <c r="Y987" s="174"/>
      <c r="Z987" s="174"/>
      <c r="AA987" s="174"/>
    </row>
    <row r="988" customFormat="false" ht="15.75" hidden="false" customHeight="false" outlineLevel="0" collapsed="false">
      <c r="A988" s="174" t="str">
        <f aca="false">IF(ISBLANK(B988),"",B988&amp;"|"&amp;C988)</f>
        <v/>
      </c>
      <c r="B988" s="174"/>
      <c r="C988" s="174"/>
      <c r="D988" s="174"/>
      <c r="E988" s="179"/>
      <c r="F988" s="174"/>
      <c r="G988" s="174"/>
      <c r="H988" s="174"/>
      <c r="I988" s="174"/>
      <c r="J988" s="174"/>
      <c r="K988" s="174"/>
      <c r="L988" s="174"/>
      <c r="M988" s="174"/>
      <c r="N988" s="174"/>
      <c r="O988" s="174"/>
      <c r="P988" s="174"/>
      <c r="Q988" s="174"/>
      <c r="R988" s="174"/>
      <c r="S988" s="174"/>
      <c r="T988" s="174"/>
      <c r="U988" s="174"/>
      <c r="V988" s="174"/>
      <c r="W988" s="174"/>
      <c r="X988" s="174"/>
      <c r="Y988" s="174"/>
      <c r="Z988" s="174"/>
      <c r="AA988" s="174"/>
    </row>
    <row r="989" customFormat="false" ht="15.75" hidden="false" customHeight="false" outlineLevel="0" collapsed="false">
      <c r="A989" s="174" t="str">
        <f aca="false">IF(ISBLANK(B989),"",B989&amp;"|"&amp;C989)</f>
        <v/>
      </c>
      <c r="B989" s="174"/>
      <c r="C989" s="174"/>
      <c r="D989" s="174"/>
      <c r="E989" s="179"/>
      <c r="F989" s="174"/>
      <c r="G989" s="174"/>
      <c r="H989" s="174"/>
      <c r="I989" s="174"/>
      <c r="J989" s="174"/>
      <c r="K989" s="174"/>
      <c r="L989" s="174"/>
      <c r="M989" s="174"/>
      <c r="N989" s="174"/>
      <c r="O989" s="174"/>
      <c r="P989" s="174"/>
      <c r="Q989" s="174"/>
      <c r="R989" s="174"/>
      <c r="S989" s="174"/>
      <c r="T989" s="174"/>
      <c r="U989" s="174"/>
      <c r="V989" s="174"/>
      <c r="W989" s="174"/>
      <c r="X989" s="174"/>
      <c r="Y989" s="174"/>
      <c r="Z989" s="174"/>
      <c r="AA989" s="174"/>
    </row>
    <row r="990" customFormat="false" ht="15.75" hidden="false" customHeight="false" outlineLevel="0" collapsed="false">
      <c r="A990" s="174" t="str">
        <f aca="false">IF(ISBLANK(B990),"",B990&amp;"|"&amp;C990)</f>
        <v/>
      </c>
      <c r="B990" s="174"/>
      <c r="C990" s="174"/>
      <c r="D990" s="174"/>
      <c r="E990" s="179"/>
      <c r="F990" s="174"/>
      <c r="G990" s="174"/>
      <c r="H990" s="174"/>
      <c r="I990" s="174"/>
      <c r="J990" s="174"/>
      <c r="K990" s="174"/>
      <c r="L990" s="174"/>
      <c r="M990" s="174"/>
      <c r="N990" s="174"/>
      <c r="O990" s="174"/>
      <c r="P990" s="174"/>
      <c r="Q990" s="174"/>
      <c r="R990" s="174"/>
      <c r="S990" s="174"/>
      <c r="T990" s="174"/>
      <c r="U990" s="174"/>
      <c r="V990" s="174"/>
      <c r="W990" s="174"/>
      <c r="X990" s="174"/>
      <c r="Y990" s="174"/>
      <c r="Z990" s="174"/>
      <c r="AA990" s="174"/>
    </row>
    <row r="991" customFormat="false" ht="15.75" hidden="false" customHeight="false" outlineLevel="0" collapsed="false">
      <c r="A991" s="174" t="str">
        <f aca="false">IF(ISBLANK(B991),"",B991&amp;"|"&amp;C991)</f>
        <v/>
      </c>
      <c r="B991" s="174"/>
      <c r="C991" s="174"/>
      <c r="D991" s="174"/>
      <c r="E991" s="179"/>
      <c r="F991" s="174"/>
      <c r="G991" s="174"/>
      <c r="H991" s="174"/>
      <c r="I991" s="174"/>
      <c r="J991" s="174"/>
      <c r="K991" s="174"/>
      <c r="L991" s="174"/>
      <c r="M991" s="174"/>
      <c r="N991" s="174"/>
      <c r="O991" s="174"/>
      <c r="P991" s="174"/>
      <c r="Q991" s="174"/>
      <c r="R991" s="174"/>
      <c r="S991" s="174"/>
      <c r="T991" s="174"/>
      <c r="U991" s="174"/>
      <c r="V991" s="174"/>
      <c r="W991" s="174"/>
      <c r="X991" s="174"/>
      <c r="Y991" s="174"/>
      <c r="Z991" s="174"/>
      <c r="AA991" s="174"/>
    </row>
    <row r="992" customFormat="false" ht="15.75" hidden="false" customHeight="false" outlineLevel="0" collapsed="false">
      <c r="A992" s="174" t="str">
        <f aca="false">IF(ISBLANK(B992),"",B992&amp;"|"&amp;C992)</f>
        <v/>
      </c>
      <c r="B992" s="174"/>
      <c r="C992" s="174"/>
      <c r="D992" s="174"/>
      <c r="E992" s="179"/>
      <c r="F992" s="174"/>
      <c r="G992" s="174"/>
      <c r="H992" s="174"/>
      <c r="I992" s="174"/>
      <c r="J992" s="174"/>
      <c r="K992" s="174"/>
      <c r="L992" s="174"/>
      <c r="M992" s="174"/>
      <c r="N992" s="174"/>
      <c r="O992" s="174"/>
      <c r="P992" s="174"/>
      <c r="Q992" s="174"/>
      <c r="R992" s="174"/>
      <c r="S992" s="174"/>
      <c r="T992" s="174"/>
      <c r="U992" s="174"/>
      <c r="V992" s="174"/>
      <c r="W992" s="174"/>
      <c r="X992" s="174"/>
      <c r="Y992" s="174"/>
      <c r="Z992" s="174"/>
      <c r="AA992" s="174"/>
    </row>
    <row r="993" customFormat="false" ht="15.75" hidden="false" customHeight="false" outlineLevel="0" collapsed="false">
      <c r="A993" s="174" t="str">
        <f aca="false">IF(ISBLANK(B993),"",B993&amp;"|"&amp;C993)</f>
        <v/>
      </c>
      <c r="B993" s="174"/>
      <c r="C993" s="174"/>
      <c r="D993" s="174"/>
      <c r="E993" s="179"/>
      <c r="F993" s="174"/>
      <c r="G993" s="174"/>
      <c r="H993" s="174"/>
      <c r="I993" s="174"/>
      <c r="J993" s="174"/>
      <c r="K993" s="174"/>
      <c r="L993" s="174"/>
      <c r="M993" s="174"/>
      <c r="N993" s="174"/>
      <c r="O993" s="174"/>
      <c r="P993" s="174"/>
      <c r="Q993" s="174"/>
      <c r="R993" s="174"/>
      <c r="S993" s="174"/>
      <c r="T993" s="174"/>
      <c r="U993" s="174"/>
      <c r="V993" s="174"/>
      <c r="W993" s="174"/>
      <c r="X993" s="174"/>
      <c r="Y993" s="174"/>
      <c r="Z993" s="174"/>
      <c r="AA993" s="174"/>
    </row>
    <row r="994" customFormat="false" ht="15.75" hidden="false" customHeight="false" outlineLevel="0" collapsed="false">
      <c r="A994" s="174" t="str">
        <f aca="false">IF(ISBLANK(B994),"",B994&amp;"|"&amp;C994)</f>
        <v/>
      </c>
      <c r="B994" s="174"/>
      <c r="C994" s="174"/>
      <c r="D994" s="174"/>
      <c r="E994" s="179"/>
      <c r="F994" s="174"/>
      <c r="G994" s="174"/>
      <c r="H994" s="174"/>
      <c r="I994" s="174"/>
      <c r="J994" s="174"/>
      <c r="K994" s="174"/>
      <c r="L994" s="174"/>
      <c r="M994" s="174"/>
      <c r="N994" s="174"/>
      <c r="O994" s="174"/>
      <c r="P994" s="174"/>
      <c r="Q994" s="174"/>
      <c r="R994" s="174"/>
      <c r="S994" s="174"/>
      <c r="T994" s="174"/>
      <c r="U994" s="174"/>
      <c r="V994" s="174"/>
      <c r="W994" s="174"/>
      <c r="X994" s="174"/>
      <c r="Y994" s="174"/>
      <c r="Z994" s="174"/>
      <c r="AA994" s="174"/>
    </row>
    <row r="995" customFormat="false" ht="15.75" hidden="false" customHeight="false" outlineLevel="0" collapsed="false">
      <c r="A995" s="174" t="str">
        <f aca="false">IF(ISBLANK(B995),"",B995&amp;"|"&amp;C995)</f>
        <v/>
      </c>
      <c r="B995" s="174"/>
      <c r="C995" s="174"/>
      <c r="D995" s="174"/>
      <c r="E995" s="179"/>
      <c r="F995" s="174"/>
      <c r="G995" s="174"/>
      <c r="H995" s="174"/>
      <c r="I995" s="174"/>
      <c r="J995" s="174"/>
      <c r="K995" s="174"/>
      <c r="L995" s="174"/>
      <c r="M995" s="174"/>
      <c r="N995" s="174"/>
      <c r="O995" s="174"/>
      <c r="P995" s="174"/>
      <c r="Q995" s="174"/>
      <c r="R995" s="174"/>
      <c r="S995" s="174"/>
      <c r="T995" s="174"/>
      <c r="U995" s="174"/>
      <c r="V995" s="174"/>
      <c r="W995" s="174"/>
      <c r="X995" s="174"/>
      <c r="Y995" s="174"/>
      <c r="Z995" s="174"/>
      <c r="AA995" s="174"/>
    </row>
    <row r="996" customFormat="false" ht="15.75" hidden="false" customHeight="false" outlineLevel="0" collapsed="false">
      <c r="A996" s="174" t="str">
        <f aca="false">IF(ISBLANK(B996),"",B996&amp;"|"&amp;C996)</f>
        <v/>
      </c>
      <c r="B996" s="174"/>
      <c r="C996" s="174"/>
      <c r="D996" s="174"/>
      <c r="E996" s="179"/>
      <c r="F996" s="174"/>
      <c r="G996" s="174"/>
      <c r="H996" s="174"/>
      <c r="I996" s="174"/>
      <c r="J996" s="174"/>
      <c r="K996" s="174"/>
      <c r="L996" s="174"/>
      <c r="M996" s="174"/>
      <c r="N996" s="174"/>
      <c r="O996" s="174"/>
      <c r="P996" s="174"/>
      <c r="Q996" s="174"/>
      <c r="R996" s="174"/>
      <c r="S996" s="174"/>
      <c r="T996" s="174"/>
      <c r="U996" s="174"/>
      <c r="V996" s="174"/>
      <c r="W996" s="174"/>
      <c r="X996" s="174"/>
      <c r="Y996" s="174"/>
      <c r="Z996" s="174"/>
      <c r="AA996" s="174"/>
    </row>
    <row r="997" customFormat="false" ht="15.75" hidden="false" customHeight="false" outlineLevel="0" collapsed="false">
      <c r="A997" s="174" t="str">
        <f aca="false">IF(ISBLANK(B997),"",B997&amp;"|"&amp;C997)</f>
        <v/>
      </c>
      <c r="B997" s="174"/>
      <c r="C997" s="174"/>
      <c r="D997" s="174"/>
      <c r="E997" s="179"/>
      <c r="F997" s="174"/>
      <c r="G997" s="174"/>
      <c r="H997" s="174"/>
      <c r="I997" s="174"/>
      <c r="J997" s="174"/>
      <c r="K997" s="174"/>
      <c r="L997" s="174"/>
      <c r="M997" s="174"/>
      <c r="N997" s="174"/>
      <c r="O997" s="174"/>
      <c r="P997" s="174"/>
      <c r="Q997" s="174"/>
      <c r="R997" s="174"/>
      <c r="S997" s="174"/>
      <c r="T997" s="174"/>
      <c r="U997" s="174"/>
      <c r="V997" s="174"/>
      <c r="W997" s="174"/>
      <c r="X997" s="174"/>
      <c r="Y997" s="174"/>
      <c r="Z997" s="174"/>
      <c r="AA997" s="174"/>
    </row>
    <row r="998" customFormat="false" ht="15.75" hidden="false" customHeight="false" outlineLevel="0" collapsed="false">
      <c r="A998" s="174" t="str">
        <f aca="false">IF(ISBLANK(B998),"",B998&amp;"|"&amp;C998)</f>
        <v/>
      </c>
      <c r="B998" s="174"/>
      <c r="C998" s="174"/>
      <c r="D998" s="174"/>
      <c r="E998" s="179"/>
      <c r="F998" s="174"/>
      <c r="G998" s="174"/>
      <c r="H998" s="174"/>
      <c r="I998" s="174"/>
      <c r="J998" s="174"/>
      <c r="K998" s="174"/>
      <c r="L998" s="174"/>
      <c r="M998" s="174"/>
      <c r="N998" s="174"/>
      <c r="O998" s="174"/>
      <c r="P998" s="174"/>
      <c r="Q998" s="174"/>
      <c r="R998" s="174"/>
      <c r="S998" s="174"/>
      <c r="T998" s="174"/>
      <c r="U998" s="174"/>
      <c r="V998" s="174"/>
      <c r="W998" s="174"/>
      <c r="X998" s="174"/>
      <c r="Y998" s="174"/>
      <c r="Z998" s="174"/>
      <c r="AA998" s="174"/>
    </row>
    <row r="999" customFormat="false" ht="15.75" hidden="false" customHeight="false" outlineLevel="0" collapsed="false">
      <c r="A999" s="174" t="str">
        <f aca="false">IF(ISBLANK(B999),"",B999&amp;"|"&amp;C999)</f>
        <v/>
      </c>
      <c r="B999" s="174"/>
      <c r="C999" s="174"/>
      <c r="D999" s="174"/>
      <c r="E999" s="179"/>
      <c r="F999" s="174"/>
      <c r="G999" s="174"/>
      <c r="H999" s="174"/>
      <c r="I999" s="174"/>
      <c r="J999" s="174"/>
      <c r="K999" s="174"/>
      <c r="L999" s="174"/>
      <c r="M999" s="174"/>
      <c r="N999" s="174"/>
      <c r="O999" s="174"/>
      <c r="P999" s="174"/>
      <c r="Q999" s="174"/>
      <c r="R999" s="174"/>
      <c r="S999" s="174"/>
      <c r="T999" s="174"/>
      <c r="U999" s="174"/>
      <c r="V999" s="174"/>
      <c r="W999" s="174"/>
      <c r="X999" s="174"/>
      <c r="Y999" s="174"/>
      <c r="Z999" s="174"/>
      <c r="AA999" s="174"/>
    </row>
    <row r="1000" customFormat="false" ht="15.75" hidden="false" customHeight="false" outlineLevel="0" collapsed="false">
      <c r="A1000" s="174" t="str">
        <f aca="false">IF(ISBLANK(B1000),"",B1000&amp;"|"&amp;C1000)</f>
        <v/>
      </c>
      <c r="B1000" s="174"/>
      <c r="C1000" s="174"/>
      <c r="D1000" s="174"/>
      <c r="E1000" s="179"/>
      <c r="F1000" s="174"/>
      <c r="G1000" s="174"/>
      <c r="H1000" s="174"/>
      <c r="I1000" s="174"/>
      <c r="J1000" s="174"/>
      <c r="K1000" s="174"/>
      <c r="L1000" s="174"/>
      <c r="M1000" s="174"/>
      <c r="N1000" s="174"/>
      <c r="O1000" s="174"/>
      <c r="P1000" s="174"/>
      <c r="Q1000" s="174"/>
      <c r="R1000" s="174"/>
      <c r="S1000" s="174"/>
      <c r="T1000" s="174"/>
      <c r="U1000" s="174"/>
      <c r="V1000" s="174"/>
      <c r="W1000" s="174"/>
      <c r="X1000" s="174"/>
      <c r="Y1000" s="174"/>
      <c r="Z1000" s="174"/>
      <c r="AA1000" s="17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2.6328125" defaultRowHeight="15.75" customHeight="true" zeroHeight="false" outlineLevelRow="0" outlineLevelCol="0"/>
  <cols>
    <col collapsed="false" customWidth="false" hidden="true" outlineLevel="0" max="8" min="4" style="1" width="12.63"/>
  </cols>
  <sheetData>
    <row r="1" customFormat="false" ht="15.75" hidden="false" customHeight="false" outlineLevel="0" collapsed="false">
      <c r="A1" s="174" t="s">
        <v>103</v>
      </c>
      <c r="B1" s="174" t="s">
        <v>104</v>
      </c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</row>
    <row r="2" customFormat="false" ht="15.75" hidden="false" customHeight="false" outlineLevel="0" collapsed="false">
      <c r="A2" s="174" t="s">
        <v>105</v>
      </c>
      <c r="B2" s="180" t="n">
        <v>46296</v>
      </c>
      <c r="C2" s="174"/>
      <c r="D2" s="174" t="s">
        <v>106</v>
      </c>
      <c r="E2" s="174" t="s">
        <v>107</v>
      </c>
      <c r="F2" s="174" t="s">
        <v>108</v>
      </c>
      <c r="G2" s="174" t="s">
        <v>109</v>
      </c>
      <c r="H2" s="174" t="s">
        <v>110</v>
      </c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</row>
    <row r="3" customFormat="false" ht="15.75" hidden="false" customHeight="false" outlineLevel="0" collapsed="false">
      <c r="A3" s="174" t="s">
        <v>111</v>
      </c>
      <c r="B3" s="7" t="s">
        <v>101</v>
      </c>
      <c r="C3" s="174"/>
      <c r="D3" s="178" t="n">
        <f aca="false">FIND(".",B3)</f>
        <v>2</v>
      </c>
      <c r="E3" s="178" t="n">
        <f aca="false">FIND(".",B3,D3+1)</f>
        <v>4</v>
      </c>
      <c r="F3" s="174" t="str">
        <f aca="false">LEFT(B3,D3-1)</f>
        <v>0</v>
      </c>
      <c r="G3" s="174" t="str">
        <f aca="false">MID(B3,D3+1,E3-D3-1)</f>
        <v>1</v>
      </c>
      <c r="H3" s="174" t="str">
        <f aca="false">RIGHT(B3,LEN(B3)-E3)</f>
        <v>0</v>
      </c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</row>
    <row r="4" customFormat="false" ht="15.75" hidden="false" customHeight="false" outlineLevel="0" collapsed="false">
      <c r="A4" s="174" t="s">
        <v>112</v>
      </c>
      <c r="B4" s="174" t="s">
        <v>113</v>
      </c>
      <c r="C4" s="174"/>
      <c r="D4" s="7"/>
      <c r="E4" s="7"/>
      <c r="F4" s="7"/>
      <c r="G4" s="7"/>
      <c r="H4" s="7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</row>
    <row r="5" customFormat="false" ht="15.75" hidden="false" customHeight="false" outlineLevel="0" collapsed="false">
      <c r="A5" s="174" t="s">
        <v>114</v>
      </c>
      <c r="B5" s="174" t="n">
        <v>2027</v>
      </c>
      <c r="C5" s="174"/>
      <c r="D5" s="7"/>
      <c r="E5" s="7"/>
      <c r="F5" s="7"/>
      <c r="G5" s="7"/>
      <c r="H5" s="7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4"/>
      <c r="Y5" s="174"/>
      <c r="Z5" s="174"/>
    </row>
    <row r="6" customFormat="false" ht="15.75" hidden="false" customHeight="false" outlineLevel="0" collapsed="false">
      <c r="A6" s="174" t="s">
        <v>115</v>
      </c>
      <c r="B6" s="174" t="str">
        <f aca="false">B1&amp;"|"&amp;B4</f>
        <v>Scrambler|B</v>
      </c>
      <c r="C6" s="174"/>
      <c r="D6" s="7"/>
      <c r="E6" s="7"/>
      <c r="F6" s="7"/>
      <c r="G6" s="7"/>
      <c r="H6" s="7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</row>
    <row r="7" customFormat="false" ht="15.75" hidden="false" customHeight="false" outlineLevel="0" collapsed="false">
      <c r="A7" s="174" t="s">
        <v>116</v>
      </c>
      <c r="B7" s="174" t="s">
        <v>101</v>
      </c>
      <c r="C7" s="174"/>
      <c r="D7" s="178" t="n">
        <f aca="false">FIND(".",B7)</f>
        <v>2</v>
      </c>
      <c r="E7" s="178" t="n">
        <f aca="false">FIND(".",B7,D7+1)</f>
        <v>4</v>
      </c>
      <c r="F7" s="174" t="str">
        <f aca="false">LEFT(B7,D7-1)</f>
        <v>0</v>
      </c>
      <c r="G7" s="174" t="str">
        <f aca="false">MID(B7,D7+1,E7-D7-1)</f>
        <v>1</v>
      </c>
      <c r="H7" s="174" t="str">
        <f aca="false">RIGHT(B7,LEN(B7)-E7)</f>
        <v>0</v>
      </c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</row>
    <row r="8" customFormat="false" ht="15.75" hidden="false" customHeight="false" outlineLevel="0" collapsed="false">
      <c r="A8" s="174" t="s">
        <v>117</v>
      </c>
      <c r="B8" s="174" t="str">
        <f aca="false">IF(CONCATENATE(F7,".",G7)=CONCATENATE(F3,".",G3),"F","T")</f>
        <v>F</v>
      </c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</row>
    <row r="9" customFormat="false" ht="15.75" hidden="false" customHeight="false" outlineLevel="0" collapsed="false">
      <c r="A9" s="174"/>
      <c r="B9" s="174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4"/>
      <c r="V9" s="174"/>
      <c r="W9" s="174"/>
      <c r="X9" s="174"/>
      <c r="Y9" s="174"/>
      <c r="Z9" s="174"/>
    </row>
    <row r="10" customFormat="false" ht="15.75" hidden="false" customHeight="false" outlineLevel="0" collapsed="false">
      <c r="A10" s="174"/>
      <c r="B10" s="174"/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</row>
    <row r="11" customFormat="false" ht="15.75" hidden="false" customHeight="false" outlineLevel="0" collapsed="false">
      <c r="A11" s="174"/>
      <c r="B11" s="174"/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4"/>
      <c r="R11" s="174"/>
      <c r="S11" s="174"/>
      <c r="T11" s="174"/>
      <c r="U11" s="174"/>
      <c r="V11" s="174"/>
      <c r="W11" s="174"/>
      <c r="X11" s="174"/>
      <c r="Y11" s="174"/>
      <c r="Z11" s="174"/>
    </row>
    <row r="12" customFormat="false" ht="15.75" hidden="false" customHeight="false" outlineLevel="0" collapsed="false">
      <c r="A12" s="174"/>
      <c r="B12" s="174"/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4"/>
      <c r="Q12" s="174"/>
      <c r="R12" s="174"/>
      <c r="S12" s="174"/>
      <c r="T12" s="174"/>
      <c r="U12" s="174"/>
      <c r="V12" s="174"/>
      <c r="W12" s="174"/>
      <c r="X12" s="174"/>
      <c r="Y12" s="174"/>
      <c r="Z12" s="174"/>
    </row>
    <row r="13" customFormat="false" ht="15.75" hidden="false" customHeight="false" outlineLevel="0" collapsed="false">
      <c r="A13" s="174"/>
      <c r="B13" s="174"/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74"/>
      <c r="Q13" s="174"/>
      <c r="R13" s="174"/>
      <c r="S13" s="174"/>
      <c r="T13" s="174"/>
      <c r="U13" s="174"/>
      <c r="V13" s="174"/>
      <c r="W13" s="174"/>
      <c r="X13" s="174"/>
      <c r="Y13" s="174"/>
      <c r="Z13" s="174"/>
    </row>
    <row r="14" customFormat="false" ht="15.75" hidden="false" customHeight="false" outlineLevel="0" collapsed="false">
      <c r="A14" s="174"/>
      <c r="B14" s="174"/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</row>
    <row r="15" customFormat="false" ht="15.75" hidden="false" customHeight="false" outlineLevel="0" collapsed="false">
      <c r="A15" s="174"/>
      <c r="B15" s="174"/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4"/>
      <c r="P15" s="174"/>
      <c r="Q15" s="174"/>
      <c r="R15" s="174"/>
      <c r="S15" s="174"/>
      <c r="T15" s="174"/>
      <c r="U15" s="174"/>
      <c r="V15" s="174"/>
      <c r="W15" s="174"/>
      <c r="X15" s="174"/>
      <c r="Y15" s="174"/>
      <c r="Z15" s="174"/>
    </row>
    <row r="16" customFormat="false" ht="15.75" hidden="false" customHeight="false" outlineLevel="0" collapsed="false">
      <c r="A16" s="174"/>
      <c r="B16" s="174"/>
      <c r="C16" s="174"/>
      <c r="D16" s="174"/>
      <c r="E16" s="174"/>
      <c r="F16" s="174"/>
      <c r="G16" s="174"/>
      <c r="H16" s="174"/>
      <c r="I16" s="174"/>
      <c r="J16" s="174"/>
      <c r="K16" s="174"/>
      <c r="L16" s="174"/>
      <c r="M16" s="174"/>
      <c r="N16" s="174"/>
      <c r="O16" s="174"/>
      <c r="P16" s="174"/>
      <c r="Q16" s="174"/>
      <c r="R16" s="174"/>
      <c r="S16" s="174"/>
      <c r="T16" s="174"/>
      <c r="U16" s="174"/>
      <c r="V16" s="174"/>
      <c r="W16" s="174"/>
      <c r="X16" s="174"/>
      <c r="Y16" s="174"/>
      <c r="Z16" s="174"/>
    </row>
    <row r="17" customFormat="false" ht="15.75" hidden="false" customHeight="false" outlineLevel="0" collapsed="false">
      <c r="A17" s="174"/>
      <c r="B17" s="174"/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74"/>
      <c r="O17" s="174"/>
      <c r="P17" s="174"/>
      <c r="Q17" s="174"/>
      <c r="R17" s="174"/>
      <c r="S17" s="174"/>
      <c r="T17" s="174"/>
      <c r="U17" s="174"/>
      <c r="V17" s="174"/>
      <c r="W17" s="174"/>
      <c r="X17" s="174"/>
      <c r="Y17" s="174"/>
      <c r="Z17" s="174"/>
    </row>
    <row r="18" customFormat="false" ht="15.75" hidden="false" customHeight="false" outlineLevel="0" collapsed="false">
      <c r="A18" s="174"/>
      <c r="B18" s="174"/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  <c r="N18" s="174"/>
      <c r="O18" s="174"/>
      <c r="P18" s="174"/>
      <c r="Q18" s="174"/>
      <c r="R18" s="174"/>
      <c r="S18" s="174"/>
      <c r="T18" s="174"/>
      <c r="U18" s="174"/>
      <c r="V18" s="174"/>
      <c r="W18" s="174"/>
      <c r="X18" s="174"/>
      <c r="Y18" s="174"/>
      <c r="Z18" s="174"/>
    </row>
    <row r="19" customFormat="false" ht="15.75" hidden="false" customHeight="false" outlineLevel="0" collapsed="false">
      <c r="A19" s="174"/>
      <c r="B19" s="174"/>
      <c r="C19" s="174"/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74"/>
      <c r="O19" s="174"/>
      <c r="P19" s="174"/>
      <c r="Q19" s="174"/>
      <c r="R19" s="174"/>
      <c r="S19" s="174"/>
      <c r="T19" s="174"/>
      <c r="U19" s="174"/>
      <c r="V19" s="174"/>
      <c r="W19" s="174"/>
      <c r="X19" s="174"/>
      <c r="Y19" s="174"/>
      <c r="Z19" s="174"/>
    </row>
    <row r="20" customFormat="false" ht="15.75" hidden="false" customHeight="false" outlineLevel="0" collapsed="false">
      <c r="A20" s="174"/>
      <c r="B20" s="174"/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</row>
    <row r="21" customFormat="false" ht="15.75" hidden="false" customHeight="false" outlineLevel="0" collapsed="false">
      <c r="A21" s="174"/>
      <c r="B21" s="174"/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74"/>
      <c r="Q21" s="174"/>
      <c r="R21" s="174"/>
      <c r="S21" s="174"/>
      <c r="T21" s="174"/>
      <c r="U21" s="174"/>
      <c r="V21" s="174"/>
      <c r="W21" s="174"/>
      <c r="X21" s="174"/>
      <c r="Y21" s="174"/>
      <c r="Z21" s="174"/>
    </row>
    <row r="22" customFormat="false" ht="15.75" hidden="false" customHeight="false" outlineLevel="0" collapsed="false">
      <c r="A22" s="174"/>
      <c r="B22" s="174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74"/>
      <c r="U22" s="174"/>
      <c r="V22" s="174"/>
      <c r="W22" s="174"/>
      <c r="X22" s="174"/>
      <c r="Y22" s="174"/>
      <c r="Z22" s="174"/>
    </row>
    <row r="23" customFormat="false" ht="15.75" hidden="false" customHeight="false" outlineLevel="0" collapsed="false">
      <c r="A23" s="174"/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</row>
    <row r="24" customFormat="false" ht="15.75" hidden="false" customHeight="false" outlineLevel="0" collapsed="false">
      <c r="A24" s="174"/>
      <c r="B24" s="174"/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  <c r="R24" s="174"/>
      <c r="S24" s="174"/>
      <c r="T24" s="174"/>
      <c r="U24" s="174"/>
      <c r="V24" s="174"/>
      <c r="W24" s="174"/>
      <c r="X24" s="174"/>
      <c r="Y24" s="174"/>
      <c r="Z24" s="174"/>
    </row>
    <row r="25" customFormat="false" ht="15.75" hidden="false" customHeight="false" outlineLevel="0" collapsed="false">
      <c r="A25" s="174"/>
      <c r="B25" s="174"/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4"/>
      <c r="U25" s="174"/>
      <c r="V25" s="174"/>
      <c r="W25" s="174"/>
      <c r="X25" s="174"/>
      <c r="Y25" s="174"/>
      <c r="Z25" s="174"/>
    </row>
    <row r="26" customFormat="false" ht="15.75" hidden="false" customHeight="false" outlineLevel="0" collapsed="false">
      <c r="A26" s="174"/>
      <c r="B26" s="174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</row>
    <row r="27" customFormat="false" ht="15.75" hidden="false" customHeight="false" outlineLevel="0" collapsed="false">
      <c r="A27" s="174"/>
      <c r="B27" s="174"/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74"/>
      <c r="Q27" s="174"/>
      <c r="R27" s="174"/>
      <c r="S27" s="174"/>
      <c r="T27" s="174"/>
      <c r="U27" s="174"/>
      <c r="V27" s="174"/>
      <c r="W27" s="174"/>
      <c r="X27" s="174"/>
      <c r="Y27" s="174"/>
      <c r="Z27" s="174"/>
    </row>
    <row r="28" customFormat="false" ht="15.75" hidden="false" customHeight="false" outlineLevel="0" collapsed="false">
      <c r="A28" s="174"/>
      <c r="B28" s="174"/>
      <c r="C28" s="174"/>
      <c r="D28" s="174"/>
      <c r="E28" s="174"/>
      <c r="F28" s="174"/>
      <c r="G28" s="174"/>
      <c r="H28" s="174"/>
      <c r="I28" s="174"/>
      <c r="J28" s="174"/>
      <c r="K28" s="174"/>
      <c r="L28" s="174"/>
      <c r="M28" s="174"/>
      <c r="N28" s="174"/>
      <c r="O28" s="174"/>
      <c r="P28" s="174"/>
      <c r="Q28" s="174"/>
      <c r="R28" s="174"/>
      <c r="S28" s="174"/>
      <c r="T28" s="174"/>
      <c r="U28" s="174"/>
      <c r="V28" s="174"/>
      <c r="W28" s="174"/>
      <c r="X28" s="174"/>
      <c r="Y28" s="174"/>
      <c r="Z28" s="174"/>
    </row>
    <row r="29" customFormat="false" ht="15.75" hidden="false" customHeight="false" outlineLevel="0" collapsed="false">
      <c r="A29" s="174"/>
      <c r="B29" s="174"/>
      <c r="C29" s="174"/>
      <c r="D29" s="174"/>
      <c r="E29" s="174"/>
      <c r="F29" s="174"/>
      <c r="G29" s="174"/>
      <c r="H29" s="174"/>
      <c r="I29" s="174"/>
      <c r="J29" s="174"/>
      <c r="K29" s="174"/>
      <c r="L29" s="174"/>
      <c r="M29" s="174"/>
      <c r="N29" s="174"/>
      <c r="O29" s="174"/>
      <c r="P29" s="174"/>
      <c r="Q29" s="174"/>
      <c r="R29" s="174"/>
      <c r="S29" s="174"/>
      <c r="T29" s="174"/>
      <c r="U29" s="174"/>
      <c r="V29" s="174"/>
      <c r="W29" s="174"/>
      <c r="X29" s="174"/>
      <c r="Y29" s="174"/>
      <c r="Z29" s="174"/>
    </row>
    <row r="30" customFormat="false" ht="15.75" hidden="false" customHeight="false" outlineLevel="0" collapsed="false">
      <c r="A30" s="174"/>
      <c r="B30" s="174"/>
      <c r="C30" s="174"/>
      <c r="D30" s="174"/>
      <c r="E30" s="174"/>
      <c r="F30" s="174"/>
      <c r="G30" s="174"/>
      <c r="H30" s="174"/>
      <c r="I30" s="174"/>
      <c r="J30" s="174"/>
      <c r="K30" s="174"/>
      <c r="L30" s="174"/>
      <c r="M30" s="174"/>
      <c r="N30" s="174"/>
      <c r="O30" s="174"/>
      <c r="P30" s="174"/>
      <c r="Q30" s="174"/>
      <c r="R30" s="174"/>
      <c r="S30" s="174"/>
      <c r="T30" s="174"/>
      <c r="U30" s="174"/>
      <c r="V30" s="174"/>
      <c r="W30" s="174"/>
      <c r="X30" s="174"/>
      <c r="Y30" s="174"/>
      <c r="Z30" s="174"/>
    </row>
    <row r="31" customFormat="false" ht="15.75" hidden="false" customHeight="false" outlineLevel="0" collapsed="false">
      <c r="A31" s="174"/>
      <c r="B31" s="174"/>
      <c r="C31" s="174"/>
      <c r="D31" s="174"/>
      <c r="E31" s="174"/>
      <c r="F31" s="174"/>
      <c r="G31" s="174"/>
      <c r="H31" s="174"/>
      <c r="I31" s="174"/>
      <c r="J31" s="174"/>
      <c r="K31" s="174"/>
      <c r="L31" s="174"/>
      <c r="M31" s="174"/>
      <c r="N31" s="174"/>
      <c r="O31" s="174"/>
      <c r="P31" s="174"/>
      <c r="Q31" s="174"/>
      <c r="R31" s="174"/>
      <c r="S31" s="174"/>
      <c r="T31" s="174"/>
      <c r="U31" s="174"/>
      <c r="V31" s="174"/>
      <c r="W31" s="174"/>
      <c r="X31" s="174"/>
      <c r="Y31" s="174"/>
      <c r="Z31" s="174"/>
    </row>
    <row r="32" customFormat="false" ht="15.75" hidden="false" customHeight="false" outlineLevel="0" collapsed="false">
      <c r="A32" s="174"/>
      <c r="B32" s="174"/>
      <c r="C32" s="174"/>
      <c r="D32" s="174"/>
      <c r="E32" s="174"/>
      <c r="F32" s="174"/>
      <c r="G32" s="174"/>
      <c r="H32" s="174"/>
      <c r="I32" s="174"/>
      <c r="J32" s="174"/>
      <c r="K32" s="174"/>
      <c r="L32" s="174"/>
      <c r="M32" s="174"/>
      <c r="N32" s="174"/>
      <c r="O32" s="174"/>
      <c r="P32" s="174"/>
      <c r="Q32" s="174"/>
      <c r="R32" s="174"/>
      <c r="S32" s="174"/>
      <c r="T32" s="174"/>
      <c r="U32" s="174"/>
      <c r="V32" s="174"/>
      <c r="W32" s="174"/>
      <c r="X32" s="174"/>
      <c r="Y32" s="174"/>
      <c r="Z32" s="174"/>
    </row>
    <row r="33" customFormat="false" ht="15.75" hidden="false" customHeight="false" outlineLevel="0" collapsed="false">
      <c r="A33" s="174"/>
      <c r="B33" s="174"/>
      <c r="C33" s="174"/>
      <c r="D33" s="174"/>
      <c r="E33" s="174"/>
      <c r="F33" s="174"/>
      <c r="G33" s="174"/>
      <c r="H33" s="174"/>
      <c r="I33" s="174"/>
      <c r="J33" s="174"/>
      <c r="K33" s="174"/>
      <c r="L33" s="174"/>
      <c r="M33" s="174"/>
      <c r="N33" s="174"/>
      <c r="O33" s="174"/>
      <c r="P33" s="174"/>
      <c r="Q33" s="174"/>
      <c r="R33" s="174"/>
      <c r="S33" s="174"/>
      <c r="T33" s="174"/>
      <c r="U33" s="174"/>
      <c r="V33" s="174"/>
      <c r="W33" s="174"/>
      <c r="X33" s="174"/>
      <c r="Y33" s="174"/>
      <c r="Z33" s="174"/>
    </row>
    <row r="34" customFormat="false" ht="15.75" hidden="false" customHeight="false" outlineLevel="0" collapsed="false">
      <c r="A34" s="174"/>
      <c r="B34" s="174"/>
      <c r="C34" s="174"/>
      <c r="D34" s="174"/>
      <c r="E34" s="174"/>
      <c r="F34" s="174"/>
      <c r="G34" s="174"/>
      <c r="H34" s="174"/>
      <c r="I34" s="174"/>
      <c r="J34" s="174"/>
      <c r="K34" s="174"/>
      <c r="L34" s="174"/>
      <c r="M34" s="174"/>
      <c r="N34" s="174"/>
      <c r="O34" s="174"/>
      <c r="P34" s="174"/>
      <c r="Q34" s="174"/>
      <c r="R34" s="174"/>
      <c r="S34" s="174"/>
      <c r="T34" s="174"/>
      <c r="U34" s="174"/>
      <c r="V34" s="174"/>
      <c r="W34" s="174"/>
      <c r="X34" s="174"/>
      <c r="Y34" s="174"/>
      <c r="Z34" s="174"/>
    </row>
    <row r="35" customFormat="false" ht="15.75" hidden="false" customHeight="false" outlineLevel="0" collapsed="false">
      <c r="A35" s="174"/>
      <c r="B35" s="174"/>
      <c r="C35" s="174"/>
      <c r="D35" s="174"/>
      <c r="E35" s="174"/>
      <c r="F35" s="174"/>
      <c r="G35" s="174"/>
      <c r="H35" s="174"/>
      <c r="I35" s="174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</row>
    <row r="36" customFormat="false" ht="15.75" hidden="false" customHeight="false" outlineLevel="0" collapsed="false">
      <c r="A36" s="174"/>
      <c r="B36" s="174"/>
      <c r="C36" s="174"/>
      <c r="D36" s="174"/>
      <c r="E36" s="174"/>
      <c r="F36" s="174"/>
      <c r="G36" s="174"/>
      <c r="H36" s="174"/>
      <c r="I36" s="174"/>
      <c r="J36" s="174"/>
      <c r="K36" s="174"/>
      <c r="L36" s="174"/>
      <c r="M36" s="174"/>
      <c r="N36" s="174"/>
      <c r="O36" s="174"/>
      <c r="P36" s="174"/>
      <c r="Q36" s="174"/>
      <c r="R36" s="174"/>
      <c r="S36" s="174"/>
      <c r="T36" s="174"/>
      <c r="U36" s="174"/>
      <c r="V36" s="174"/>
      <c r="W36" s="174"/>
      <c r="X36" s="174"/>
      <c r="Y36" s="174"/>
      <c r="Z36" s="174"/>
    </row>
    <row r="37" customFormat="false" ht="15.75" hidden="false" customHeight="false" outlineLevel="0" collapsed="false">
      <c r="A37" s="174"/>
      <c r="B37" s="174"/>
      <c r="C37" s="174"/>
      <c r="D37" s="174"/>
      <c r="E37" s="174"/>
      <c r="F37" s="174"/>
      <c r="G37" s="174"/>
      <c r="H37" s="174"/>
      <c r="I37" s="174"/>
      <c r="J37" s="174"/>
      <c r="K37" s="174"/>
      <c r="L37" s="174"/>
      <c r="M37" s="174"/>
      <c r="N37" s="174"/>
      <c r="O37" s="174"/>
      <c r="P37" s="174"/>
      <c r="Q37" s="174"/>
      <c r="R37" s="174"/>
      <c r="S37" s="174"/>
      <c r="T37" s="174"/>
      <c r="U37" s="174"/>
      <c r="V37" s="174"/>
      <c r="W37" s="174"/>
      <c r="X37" s="174"/>
      <c r="Y37" s="174"/>
      <c r="Z37" s="174"/>
    </row>
    <row r="38" customFormat="false" ht="15.75" hidden="false" customHeight="false" outlineLevel="0" collapsed="false">
      <c r="A38" s="174"/>
      <c r="B38" s="174"/>
      <c r="C38" s="174"/>
      <c r="D38" s="174"/>
      <c r="E38" s="174"/>
      <c r="F38" s="174"/>
      <c r="G38" s="174"/>
      <c r="H38" s="174"/>
      <c r="I38" s="174"/>
      <c r="J38" s="174"/>
      <c r="K38" s="174"/>
      <c r="L38" s="174"/>
      <c r="M38" s="174"/>
      <c r="N38" s="174"/>
      <c r="O38" s="174"/>
      <c r="P38" s="174"/>
      <c r="Q38" s="174"/>
      <c r="R38" s="174"/>
      <c r="S38" s="174"/>
      <c r="T38" s="174"/>
      <c r="U38" s="174"/>
      <c r="V38" s="174"/>
      <c r="W38" s="174"/>
      <c r="X38" s="174"/>
      <c r="Y38" s="174"/>
      <c r="Z38" s="174"/>
    </row>
    <row r="39" customFormat="false" ht="15.75" hidden="false" customHeight="false" outlineLevel="0" collapsed="false">
      <c r="A39" s="174"/>
      <c r="B39" s="174"/>
      <c r="C39" s="174"/>
      <c r="D39" s="174"/>
      <c r="E39" s="174"/>
      <c r="F39" s="174"/>
      <c r="G39" s="174"/>
      <c r="H39" s="174"/>
      <c r="I39" s="174"/>
      <c r="J39" s="174"/>
      <c r="K39" s="174"/>
      <c r="L39" s="174"/>
      <c r="M39" s="174"/>
      <c r="N39" s="174"/>
      <c r="O39" s="174"/>
      <c r="P39" s="174"/>
      <c r="Q39" s="174"/>
      <c r="R39" s="174"/>
      <c r="S39" s="174"/>
      <c r="T39" s="174"/>
      <c r="U39" s="174"/>
      <c r="V39" s="174"/>
      <c r="W39" s="174"/>
      <c r="X39" s="174"/>
      <c r="Y39" s="174"/>
      <c r="Z39" s="174"/>
    </row>
    <row r="40" customFormat="false" ht="15.75" hidden="false" customHeight="false" outlineLevel="0" collapsed="false">
      <c r="A40" s="174"/>
      <c r="B40" s="174"/>
      <c r="C40" s="174"/>
      <c r="D40" s="174"/>
      <c r="E40" s="174"/>
      <c r="F40" s="174"/>
      <c r="G40" s="174"/>
      <c r="H40" s="174"/>
      <c r="I40" s="174"/>
      <c r="J40" s="174"/>
      <c r="K40" s="174"/>
      <c r="L40" s="174"/>
      <c r="M40" s="174"/>
      <c r="N40" s="174"/>
      <c r="O40" s="174"/>
      <c r="P40" s="174"/>
      <c r="Q40" s="174"/>
      <c r="R40" s="174"/>
      <c r="S40" s="174"/>
      <c r="T40" s="174"/>
      <c r="U40" s="174"/>
      <c r="V40" s="174"/>
      <c r="W40" s="174"/>
      <c r="X40" s="174"/>
      <c r="Y40" s="174"/>
      <c r="Z40" s="174"/>
    </row>
    <row r="41" customFormat="false" ht="15.75" hidden="false" customHeight="false" outlineLevel="0" collapsed="false">
      <c r="A41" s="174"/>
      <c r="B41" s="174"/>
      <c r="C41" s="174"/>
      <c r="D41" s="174"/>
      <c r="E41" s="174"/>
      <c r="F41" s="174"/>
      <c r="G41" s="174"/>
      <c r="H41" s="174"/>
      <c r="I41" s="174"/>
      <c r="J41" s="174"/>
      <c r="K41" s="174"/>
      <c r="L41" s="174"/>
      <c r="M41" s="174"/>
      <c r="N41" s="174"/>
      <c r="O41" s="174"/>
      <c r="P41" s="174"/>
      <c r="Q41" s="174"/>
      <c r="R41" s="174"/>
      <c r="S41" s="174"/>
      <c r="T41" s="174"/>
      <c r="U41" s="174"/>
      <c r="V41" s="174"/>
      <c r="W41" s="174"/>
      <c r="X41" s="174"/>
      <c r="Y41" s="174"/>
      <c r="Z41" s="174"/>
    </row>
    <row r="42" customFormat="false" ht="15.75" hidden="false" customHeight="false" outlineLevel="0" collapsed="false">
      <c r="A42" s="174"/>
      <c r="B42" s="174"/>
      <c r="C42" s="174"/>
      <c r="D42" s="174"/>
      <c r="E42" s="174"/>
      <c r="F42" s="174"/>
      <c r="G42" s="174"/>
      <c r="H42" s="174"/>
      <c r="I42" s="174"/>
      <c r="J42" s="174"/>
      <c r="K42" s="174"/>
      <c r="L42" s="174"/>
      <c r="M42" s="174"/>
      <c r="N42" s="174"/>
      <c r="O42" s="174"/>
      <c r="P42" s="174"/>
      <c r="Q42" s="174"/>
      <c r="R42" s="174"/>
      <c r="S42" s="174"/>
      <c r="T42" s="174"/>
      <c r="U42" s="174"/>
      <c r="V42" s="174"/>
      <c r="W42" s="174"/>
      <c r="X42" s="174"/>
      <c r="Y42" s="174"/>
      <c r="Z42" s="174"/>
    </row>
    <row r="43" customFormat="false" ht="15.75" hidden="false" customHeight="false" outlineLevel="0" collapsed="false">
      <c r="A43" s="174"/>
      <c r="B43" s="174"/>
      <c r="C43" s="174"/>
      <c r="D43" s="174"/>
      <c r="E43" s="174"/>
      <c r="F43" s="174"/>
      <c r="G43" s="174"/>
      <c r="H43" s="174"/>
      <c r="I43" s="174"/>
      <c r="J43" s="174"/>
      <c r="K43" s="174"/>
      <c r="L43" s="174"/>
      <c r="M43" s="174"/>
      <c r="N43" s="174"/>
      <c r="O43" s="174"/>
      <c r="P43" s="174"/>
      <c r="Q43" s="174"/>
      <c r="R43" s="174"/>
      <c r="S43" s="174"/>
      <c r="T43" s="174"/>
      <c r="U43" s="174"/>
      <c r="V43" s="174"/>
      <c r="W43" s="174"/>
      <c r="X43" s="174"/>
      <c r="Y43" s="174"/>
      <c r="Z43" s="174"/>
    </row>
    <row r="44" customFormat="false" ht="15.75" hidden="false" customHeight="false" outlineLevel="0" collapsed="false">
      <c r="A44" s="174"/>
      <c r="B44" s="174"/>
      <c r="C44" s="174"/>
      <c r="D44" s="174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174"/>
      <c r="S44" s="174"/>
      <c r="T44" s="174"/>
      <c r="U44" s="174"/>
      <c r="V44" s="174"/>
      <c r="W44" s="174"/>
      <c r="X44" s="174"/>
      <c r="Y44" s="174"/>
      <c r="Z44" s="174"/>
    </row>
    <row r="45" customFormat="false" ht="15.75" hidden="false" customHeight="false" outlineLevel="0" collapsed="false">
      <c r="A45" s="174"/>
      <c r="B45" s="174"/>
      <c r="C45" s="174"/>
      <c r="D45" s="174"/>
      <c r="E45" s="174"/>
      <c r="F45" s="174"/>
      <c r="G45" s="174"/>
      <c r="H45" s="174"/>
      <c r="I45" s="174"/>
      <c r="J45" s="174"/>
      <c r="K45" s="174"/>
      <c r="L45" s="174"/>
      <c r="M45" s="174"/>
      <c r="N45" s="174"/>
      <c r="O45" s="174"/>
      <c r="P45" s="174"/>
      <c r="Q45" s="174"/>
      <c r="R45" s="174"/>
      <c r="S45" s="174"/>
      <c r="T45" s="174"/>
      <c r="U45" s="174"/>
      <c r="V45" s="174"/>
      <c r="W45" s="174"/>
      <c r="X45" s="174"/>
      <c r="Y45" s="174"/>
      <c r="Z45" s="174"/>
    </row>
    <row r="46" customFormat="false" ht="15.75" hidden="false" customHeight="false" outlineLevel="0" collapsed="false">
      <c r="A46" s="174"/>
      <c r="B46" s="174"/>
      <c r="C46" s="174"/>
      <c r="D46" s="174"/>
      <c r="E46" s="174"/>
      <c r="F46" s="174"/>
      <c r="G46" s="174"/>
      <c r="H46" s="174"/>
      <c r="I46" s="174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</row>
    <row r="47" customFormat="false" ht="15.75" hidden="false" customHeight="false" outlineLevel="0" collapsed="false">
      <c r="A47" s="174"/>
      <c r="B47" s="174"/>
      <c r="C47" s="174"/>
      <c r="D47" s="174"/>
      <c r="E47" s="174"/>
      <c r="F47" s="174"/>
      <c r="G47" s="174"/>
      <c r="H47" s="174"/>
      <c r="I47" s="174"/>
      <c r="J47" s="174"/>
      <c r="K47" s="174"/>
      <c r="L47" s="174"/>
      <c r="M47" s="174"/>
      <c r="N47" s="174"/>
      <c r="O47" s="174"/>
      <c r="P47" s="174"/>
      <c r="Q47" s="174"/>
      <c r="R47" s="174"/>
      <c r="S47" s="174"/>
      <c r="T47" s="174"/>
      <c r="U47" s="174"/>
      <c r="V47" s="174"/>
      <c r="W47" s="174"/>
      <c r="X47" s="174"/>
      <c r="Y47" s="174"/>
      <c r="Z47" s="174"/>
    </row>
    <row r="48" customFormat="false" ht="15.75" hidden="false" customHeight="false" outlineLevel="0" collapsed="false">
      <c r="A48" s="174"/>
      <c r="B48" s="174"/>
      <c r="C48" s="174"/>
      <c r="D48" s="174"/>
      <c r="E48" s="174"/>
      <c r="F48" s="174"/>
      <c r="G48" s="174"/>
      <c r="H48" s="174"/>
      <c r="I48" s="174"/>
      <c r="J48" s="174"/>
      <c r="K48" s="174"/>
      <c r="L48" s="174"/>
      <c r="M48" s="174"/>
      <c r="N48" s="174"/>
      <c r="O48" s="174"/>
      <c r="P48" s="174"/>
      <c r="Q48" s="174"/>
      <c r="R48" s="174"/>
      <c r="S48" s="174"/>
      <c r="T48" s="174"/>
      <c r="U48" s="174"/>
      <c r="V48" s="174"/>
      <c r="W48" s="174"/>
      <c r="X48" s="174"/>
      <c r="Y48" s="174"/>
      <c r="Z48" s="174"/>
    </row>
    <row r="49" customFormat="false" ht="15.75" hidden="false" customHeight="false" outlineLevel="0" collapsed="false">
      <c r="A49" s="174"/>
      <c r="B49" s="174"/>
      <c r="C49" s="174"/>
      <c r="D49" s="174"/>
      <c r="E49" s="174"/>
      <c r="F49" s="174"/>
      <c r="G49" s="174"/>
      <c r="H49" s="174"/>
      <c r="I49" s="174"/>
      <c r="J49" s="174"/>
      <c r="K49" s="174"/>
      <c r="L49" s="174"/>
      <c r="M49" s="174"/>
      <c r="N49" s="174"/>
      <c r="O49" s="174"/>
      <c r="P49" s="174"/>
      <c r="Q49" s="174"/>
      <c r="R49" s="174"/>
      <c r="S49" s="174"/>
      <c r="T49" s="174"/>
      <c r="U49" s="174"/>
      <c r="V49" s="174"/>
      <c r="W49" s="174"/>
      <c r="X49" s="174"/>
      <c r="Y49" s="174"/>
      <c r="Z49" s="174"/>
    </row>
    <row r="50" customFormat="false" ht="15.75" hidden="false" customHeight="false" outlineLevel="0" collapsed="false">
      <c r="A50" s="174"/>
      <c r="B50" s="174"/>
      <c r="C50" s="174"/>
      <c r="D50" s="174"/>
      <c r="E50" s="174"/>
      <c r="F50" s="174"/>
      <c r="G50" s="174"/>
      <c r="H50" s="174"/>
      <c r="I50" s="174"/>
      <c r="J50" s="174"/>
      <c r="K50" s="174"/>
      <c r="L50" s="174"/>
      <c r="M50" s="174"/>
      <c r="N50" s="174"/>
      <c r="O50" s="174"/>
      <c r="P50" s="174"/>
      <c r="Q50" s="174"/>
      <c r="R50" s="174"/>
      <c r="S50" s="174"/>
      <c r="T50" s="174"/>
      <c r="U50" s="174"/>
      <c r="V50" s="174"/>
      <c r="W50" s="174"/>
      <c r="X50" s="174"/>
      <c r="Y50" s="174"/>
      <c r="Z50" s="174"/>
    </row>
    <row r="51" customFormat="false" ht="15.75" hidden="false" customHeight="false" outlineLevel="0" collapsed="false">
      <c r="A51" s="174"/>
      <c r="B51" s="174"/>
      <c r="C51" s="174"/>
      <c r="D51" s="174"/>
      <c r="E51" s="174"/>
      <c r="F51" s="174"/>
      <c r="G51" s="174"/>
      <c r="H51" s="174"/>
      <c r="I51" s="174"/>
      <c r="J51" s="174"/>
      <c r="K51" s="174"/>
      <c r="L51" s="174"/>
      <c r="M51" s="174"/>
      <c r="N51" s="174"/>
      <c r="O51" s="174"/>
      <c r="P51" s="174"/>
      <c r="Q51" s="174"/>
      <c r="R51" s="174"/>
      <c r="S51" s="174"/>
      <c r="T51" s="174"/>
      <c r="U51" s="174"/>
      <c r="V51" s="174"/>
      <c r="W51" s="174"/>
      <c r="X51" s="174"/>
      <c r="Y51" s="174"/>
      <c r="Z51" s="174"/>
    </row>
    <row r="52" customFormat="false" ht="15.75" hidden="false" customHeight="false" outlineLevel="0" collapsed="false">
      <c r="A52" s="174"/>
      <c r="B52" s="174"/>
      <c r="C52" s="174"/>
      <c r="D52" s="174"/>
      <c r="E52" s="174"/>
      <c r="F52" s="174"/>
      <c r="G52" s="174"/>
      <c r="H52" s="174"/>
      <c r="I52" s="174"/>
      <c r="J52" s="174"/>
      <c r="K52" s="174"/>
      <c r="L52" s="174"/>
      <c r="M52" s="174"/>
      <c r="N52" s="174"/>
      <c r="O52" s="174"/>
      <c r="P52" s="174"/>
      <c r="Q52" s="174"/>
      <c r="R52" s="174"/>
      <c r="S52" s="174"/>
      <c r="T52" s="174"/>
      <c r="U52" s="174"/>
      <c r="V52" s="174"/>
      <c r="W52" s="174"/>
      <c r="X52" s="174"/>
      <c r="Y52" s="174"/>
      <c r="Z52" s="174"/>
    </row>
    <row r="53" customFormat="false" ht="15.75" hidden="false" customHeight="false" outlineLevel="0" collapsed="false">
      <c r="A53" s="174"/>
      <c r="B53" s="174"/>
      <c r="C53" s="174"/>
      <c r="D53" s="174"/>
      <c r="E53" s="174"/>
      <c r="F53" s="174"/>
      <c r="G53" s="174"/>
      <c r="H53" s="174"/>
      <c r="I53" s="174"/>
      <c r="J53" s="174"/>
      <c r="K53" s="174"/>
      <c r="L53" s="174"/>
      <c r="M53" s="174"/>
      <c r="N53" s="174"/>
      <c r="O53" s="174"/>
      <c r="P53" s="174"/>
      <c r="Q53" s="174"/>
      <c r="R53" s="174"/>
      <c r="S53" s="174"/>
      <c r="T53" s="174"/>
      <c r="U53" s="174"/>
      <c r="V53" s="174"/>
      <c r="W53" s="174"/>
      <c r="X53" s="174"/>
      <c r="Y53" s="174"/>
      <c r="Z53" s="174"/>
    </row>
    <row r="54" customFormat="false" ht="15.75" hidden="false" customHeight="false" outlineLevel="0" collapsed="false">
      <c r="A54" s="174"/>
      <c r="B54" s="174"/>
      <c r="C54" s="174"/>
      <c r="D54" s="174"/>
      <c r="E54" s="174"/>
      <c r="F54" s="174"/>
      <c r="G54" s="174"/>
      <c r="H54" s="174"/>
      <c r="I54" s="174"/>
      <c r="J54" s="174"/>
      <c r="K54" s="174"/>
      <c r="L54" s="174"/>
      <c r="M54" s="174"/>
      <c r="N54" s="174"/>
      <c r="O54" s="174"/>
      <c r="P54" s="174"/>
      <c r="Q54" s="174"/>
      <c r="R54" s="174"/>
      <c r="S54" s="174"/>
      <c r="T54" s="174"/>
      <c r="U54" s="174"/>
      <c r="V54" s="174"/>
      <c r="W54" s="174"/>
      <c r="X54" s="174"/>
      <c r="Y54" s="174"/>
      <c r="Z54" s="174"/>
    </row>
    <row r="55" customFormat="false" ht="15.75" hidden="false" customHeight="false" outlineLevel="0" collapsed="false">
      <c r="A55" s="174"/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4"/>
      <c r="P55" s="174"/>
      <c r="Q55" s="174"/>
      <c r="R55" s="174"/>
      <c r="S55" s="174"/>
      <c r="T55" s="174"/>
      <c r="U55" s="174"/>
      <c r="V55" s="174"/>
      <c r="W55" s="174"/>
      <c r="X55" s="174"/>
      <c r="Y55" s="174"/>
      <c r="Z55" s="174"/>
    </row>
    <row r="56" customFormat="false" ht="15.75" hidden="false" customHeight="false" outlineLevel="0" collapsed="false">
      <c r="A56" s="174"/>
      <c r="B56" s="174"/>
      <c r="C56" s="174"/>
      <c r="D56" s="174"/>
      <c r="E56" s="174"/>
      <c r="F56" s="174"/>
      <c r="G56" s="174"/>
      <c r="H56" s="174"/>
      <c r="I56" s="174"/>
      <c r="J56" s="174"/>
      <c r="K56" s="174"/>
      <c r="L56" s="174"/>
      <c r="M56" s="174"/>
      <c r="N56" s="174"/>
      <c r="O56" s="174"/>
      <c r="P56" s="174"/>
      <c r="Q56" s="174"/>
      <c r="R56" s="174"/>
      <c r="S56" s="174"/>
      <c r="T56" s="174"/>
      <c r="U56" s="174"/>
      <c r="V56" s="174"/>
      <c r="W56" s="174"/>
      <c r="X56" s="174"/>
      <c r="Y56" s="174"/>
      <c r="Z56" s="174"/>
    </row>
    <row r="57" customFormat="false" ht="15.75" hidden="false" customHeight="false" outlineLevel="0" collapsed="false">
      <c r="A57" s="174"/>
      <c r="B57" s="174"/>
      <c r="C57" s="174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</row>
    <row r="58" customFormat="false" ht="15.75" hidden="false" customHeight="false" outlineLevel="0" collapsed="false">
      <c r="A58" s="174"/>
      <c r="B58" s="174"/>
      <c r="C58" s="174"/>
      <c r="D58" s="174"/>
      <c r="E58" s="174"/>
      <c r="F58" s="174"/>
      <c r="G58" s="174"/>
      <c r="H58" s="174"/>
      <c r="I58" s="174"/>
      <c r="J58" s="174"/>
      <c r="K58" s="174"/>
      <c r="L58" s="174"/>
      <c r="M58" s="174"/>
      <c r="N58" s="174"/>
      <c r="O58" s="174"/>
      <c r="P58" s="174"/>
      <c r="Q58" s="174"/>
      <c r="R58" s="174"/>
      <c r="S58" s="174"/>
      <c r="T58" s="174"/>
      <c r="U58" s="174"/>
      <c r="V58" s="174"/>
      <c r="W58" s="174"/>
      <c r="X58" s="174"/>
      <c r="Y58" s="174"/>
      <c r="Z58" s="174"/>
    </row>
    <row r="59" customFormat="false" ht="15.75" hidden="false" customHeight="false" outlineLevel="0" collapsed="false">
      <c r="A59" s="174"/>
      <c r="B59" s="174"/>
      <c r="C59" s="174"/>
      <c r="D59" s="174"/>
      <c r="E59" s="174"/>
      <c r="F59" s="174"/>
      <c r="G59" s="174"/>
      <c r="H59" s="174"/>
      <c r="I59" s="174"/>
      <c r="J59" s="174"/>
      <c r="K59" s="174"/>
      <c r="L59" s="174"/>
      <c r="M59" s="174"/>
      <c r="N59" s="174"/>
      <c r="O59" s="174"/>
      <c r="P59" s="174"/>
      <c r="Q59" s="174"/>
      <c r="R59" s="174"/>
      <c r="S59" s="174"/>
      <c r="T59" s="174"/>
      <c r="U59" s="174"/>
      <c r="V59" s="174"/>
      <c r="W59" s="174"/>
      <c r="X59" s="174"/>
      <c r="Y59" s="174"/>
      <c r="Z59" s="174"/>
    </row>
    <row r="60" customFormat="false" ht="15.75" hidden="false" customHeight="false" outlineLevel="0" collapsed="false">
      <c r="A60" s="174"/>
      <c r="B60" s="174"/>
      <c r="C60" s="174"/>
      <c r="D60" s="174"/>
      <c r="E60" s="174"/>
      <c r="F60" s="174"/>
      <c r="G60" s="174"/>
      <c r="H60" s="174"/>
      <c r="I60" s="174"/>
      <c r="J60" s="174"/>
      <c r="K60" s="174"/>
      <c r="L60" s="174"/>
      <c r="M60" s="174"/>
      <c r="N60" s="174"/>
      <c r="O60" s="174"/>
      <c r="P60" s="174"/>
      <c r="Q60" s="174"/>
      <c r="R60" s="174"/>
      <c r="S60" s="174"/>
      <c r="T60" s="174"/>
      <c r="U60" s="174"/>
      <c r="V60" s="174"/>
      <c r="W60" s="174"/>
      <c r="X60" s="174"/>
      <c r="Y60" s="174"/>
      <c r="Z60" s="174"/>
    </row>
    <row r="61" customFormat="false" ht="15.75" hidden="false" customHeight="false" outlineLevel="0" collapsed="false">
      <c r="A61" s="174"/>
      <c r="B61" s="174"/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4"/>
    </row>
    <row r="62" customFormat="false" ht="15.75" hidden="false" customHeight="false" outlineLevel="0" collapsed="false">
      <c r="A62" s="174"/>
      <c r="B62" s="174"/>
      <c r="C62" s="174"/>
      <c r="D62" s="174"/>
      <c r="E62" s="174"/>
      <c r="F62" s="174"/>
      <c r="G62" s="174"/>
      <c r="H62" s="174"/>
      <c r="I62" s="174"/>
      <c r="J62" s="174"/>
      <c r="K62" s="174"/>
      <c r="L62" s="174"/>
      <c r="M62" s="174"/>
      <c r="N62" s="174"/>
      <c r="O62" s="174"/>
      <c r="P62" s="174"/>
      <c r="Q62" s="174"/>
      <c r="R62" s="174"/>
      <c r="S62" s="174"/>
      <c r="T62" s="174"/>
      <c r="U62" s="174"/>
      <c r="V62" s="174"/>
      <c r="W62" s="174"/>
      <c r="X62" s="174"/>
      <c r="Y62" s="174"/>
      <c r="Z62" s="174"/>
    </row>
    <row r="63" customFormat="false" ht="15.75" hidden="false" customHeight="false" outlineLevel="0" collapsed="false">
      <c r="A63" s="174"/>
      <c r="B63" s="174"/>
      <c r="C63" s="174"/>
      <c r="D63" s="174"/>
      <c r="E63" s="174"/>
      <c r="F63" s="174"/>
      <c r="G63" s="174"/>
      <c r="H63" s="174"/>
      <c r="I63" s="174"/>
      <c r="J63" s="174"/>
      <c r="K63" s="174"/>
      <c r="L63" s="174"/>
      <c r="M63" s="174"/>
      <c r="N63" s="174"/>
      <c r="O63" s="174"/>
      <c r="P63" s="174"/>
      <c r="Q63" s="174"/>
      <c r="R63" s="174"/>
      <c r="S63" s="174"/>
      <c r="T63" s="174"/>
      <c r="U63" s="174"/>
      <c r="V63" s="174"/>
      <c r="W63" s="174"/>
      <c r="X63" s="174"/>
      <c r="Y63" s="174"/>
      <c r="Z63" s="174"/>
    </row>
    <row r="64" customFormat="false" ht="15.75" hidden="false" customHeight="false" outlineLevel="0" collapsed="false">
      <c r="A64" s="174"/>
      <c r="B64" s="174"/>
      <c r="C64" s="174"/>
      <c r="D64" s="174"/>
      <c r="E64" s="174"/>
      <c r="F64" s="174"/>
      <c r="G64" s="174"/>
      <c r="H64" s="174"/>
      <c r="I64" s="174"/>
      <c r="J64" s="174"/>
      <c r="K64" s="174"/>
      <c r="L64" s="174"/>
      <c r="M64" s="174"/>
      <c r="N64" s="174"/>
      <c r="O64" s="174"/>
      <c r="P64" s="174"/>
      <c r="Q64" s="174"/>
      <c r="R64" s="174"/>
      <c r="S64" s="174"/>
      <c r="T64" s="174"/>
      <c r="U64" s="174"/>
      <c r="V64" s="174"/>
      <c r="W64" s="174"/>
      <c r="X64" s="174"/>
      <c r="Y64" s="174"/>
      <c r="Z64" s="174"/>
    </row>
    <row r="65" customFormat="false" ht="15.75" hidden="false" customHeight="false" outlineLevel="0" collapsed="false">
      <c r="A65" s="174"/>
      <c r="B65" s="174"/>
      <c r="C65" s="174"/>
      <c r="D65" s="174"/>
      <c r="E65" s="174"/>
      <c r="F65" s="174"/>
      <c r="G65" s="174"/>
      <c r="H65" s="174"/>
      <c r="I65" s="174"/>
      <c r="J65" s="174"/>
      <c r="K65" s="174"/>
      <c r="L65" s="174"/>
      <c r="M65" s="174"/>
      <c r="N65" s="174"/>
      <c r="O65" s="174"/>
      <c r="P65" s="174"/>
      <c r="Q65" s="174"/>
      <c r="R65" s="174"/>
      <c r="S65" s="174"/>
      <c r="T65" s="174"/>
      <c r="U65" s="174"/>
      <c r="V65" s="174"/>
      <c r="W65" s="174"/>
      <c r="X65" s="174"/>
      <c r="Y65" s="174"/>
      <c r="Z65" s="174"/>
    </row>
    <row r="66" customFormat="false" ht="15.75" hidden="false" customHeight="false" outlineLevel="0" collapsed="false">
      <c r="A66" s="174"/>
      <c r="B66" s="174"/>
      <c r="C66" s="174"/>
      <c r="D66" s="174"/>
      <c r="E66" s="174"/>
      <c r="F66" s="174"/>
      <c r="G66" s="174"/>
      <c r="H66" s="174"/>
      <c r="I66" s="174"/>
      <c r="J66" s="174"/>
      <c r="K66" s="174"/>
      <c r="L66" s="174"/>
      <c r="M66" s="174"/>
      <c r="N66" s="174"/>
      <c r="O66" s="174"/>
      <c r="P66" s="174"/>
      <c r="Q66" s="174"/>
      <c r="R66" s="174"/>
      <c r="S66" s="174"/>
      <c r="T66" s="174"/>
      <c r="U66" s="174"/>
      <c r="V66" s="174"/>
      <c r="W66" s="174"/>
      <c r="X66" s="174"/>
      <c r="Y66" s="174"/>
      <c r="Z66" s="174"/>
    </row>
    <row r="67" customFormat="false" ht="15.75" hidden="false" customHeight="false" outlineLevel="0" collapsed="false">
      <c r="A67" s="174"/>
      <c r="B67" s="174"/>
      <c r="C67" s="174"/>
      <c r="D67" s="174"/>
      <c r="E67" s="174"/>
      <c r="F67" s="174"/>
      <c r="G67" s="174"/>
      <c r="H67" s="174"/>
      <c r="I67" s="174"/>
      <c r="J67" s="174"/>
      <c r="K67" s="174"/>
      <c r="L67" s="174"/>
      <c r="M67" s="174"/>
      <c r="N67" s="174"/>
      <c r="O67" s="174"/>
      <c r="P67" s="174"/>
      <c r="Q67" s="174"/>
      <c r="R67" s="174"/>
      <c r="S67" s="174"/>
      <c r="T67" s="174"/>
      <c r="U67" s="174"/>
      <c r="V67" s="174"/>
      <c r="W67" s="174"/>
      <c r="X67" s="174"/>
      <c r="Y67" s="174"/>
      <c r="Z67" s="174"/>
    </row>
    <row r="68" customFormat="false" ht="15.75" hidden="false" customHeight="false" outlineLevel="0" collapsed="false">
      <c r="A68" s="174"/>
      <c r="B68" s="174"/>
      <c r="C68" s="174"/>
      <c r="D68" s="174"/>
      <c r="E68" s="174"/>
      <c r="F68" s="174"/>
      <c r="G68" s="174"/>
      <c r="H68" s="174"/>
      <c r="I68" s="174"/>
      <c r="J68" s="174"/>
      <c r="K68" s="174"/>
      <c r="L68" s="174"/>
      <c r="M68" s="174"/>
      <c r="N68" s="174"/>
      <c r="O68" s="174"/>
      <c r="P68" s="174"/>
      <c r="Q68" s="174"/>
      <c r="R68" s="174"/>
      <c r="S68" s="174"/>
      <c r="T68" s="174"/>
      <c r="U68" s="174"/>
      <c r="V68" s="174"/>
      <c r="W68" s="174"/>
      <c r="X68" s="174"/>
      <c r="Y68" s="174"/>
      <c r="Z68" s="174"/>
    </row>
    <row r="69" customFormat="false" ht="15.75" hidden="false" customHeight="false" outlineLevel="0" collapsed="false">
      <c r="A69" s="174"/>
      <c r="B69" s="174"/>
      <c r="C69" s="174"/>
      <c r="D69" s="174"/>
      <c r="E69" s="174"/>
      <c r="F69" s="174"/>
      <c r="G69" s="174"/>
      <c r="H69" s="174"/>
      <c r="I69" s="174"/>
      <c r="J69" s="174"/>
      <c r="K69" s="174"/>
      <c r="L69" s="174"/>
      <c r="M69" s="174"/>
      <c r="N69" s="174"/>
      <c r="O69" s="174"/>
      <c r="P69" s="174"/>
      <c r="Q69" s="174"/>
      <c r="R69" s="174"/>
      <c r="S69" s="174"/>
      <c r="T69" s="174"/>
      <c r="U69" s="174"/>
      <c r="V69" s="174"/>
      <c r="W69" s="174"/>
      <c r="X69" s="174"/>
      <c r="Y69" s="174"/>
      <c r="Z69" s="174"/>
    </row>
    <row r="70" customFormat="false" ht="15.75" hidden="false" customHeight="false" outlineLevel="0" collapsed="false">
      <c r="A70" s="174"/>
      <c r="B70" s="174"/>
      <c r="C70" s="174"/>
      <c r="D70" s="174"/>
      <c r="E70" s="174"/>
      <c r="F70" s="174"/>
      <c r="G70" s="174"/>
      <c r="H70" s="174"/>
      <c r="I70" s="174"/>
      <c r="J70" s="174"/>
      <c r="K70" s="174"/>
      <c r="L70" s="174"/>
      <c r="M70" s="174"/>
      <c r="N70" s="174"/>
      <c r="O70" s="174"/>
      <c r="P70" s="174"/>
      <c r="Q70" s="174"/>
      <c r="R70" s="174"/>
      <c r="S70" s="174"/>
      <c r="T70" s="174"/>
      <c r="U70" s="174"/>
      <c r="V70" s="174"/>
      <c r="W70" s="174"/>
      <c r="X70" s="174"/>
      <c r="Y70" s="174"/>
      <c r="Z70" s="174"/>
    </row>
    <row r="71" customFormat="false" ht="15.75" hidden="false" customHeight="false" outlineLevel="0" collapsed="false">
      <c r="A71" s="174"/>
      <c r="B71" s="174"/>
      <c r="C71" s="174"/>
      <c r="D71" s="174"/>
      <c r="E71" s="174"/>
      <c r="F71" s="174"/>
      <c r="G71" s="174"/>
      <c r="H71" s="174"/>
      <c r="I71" s="174"/>
      <c r="J71" s="174"/>
      <c r="K71" s="174"/>
      <c r="L71" s="174"/>
      <c r="M71" s="174"/>
      <c r="N71" s="174"/>
      <c r="O71" s="174"/>
      <c r="P71" s="174"/>
      <c r="Q71" s="174"/>
      <c r="R71" s="174"/>
      <c r="S71" s="174"/>
      <c r="T71" s="174"/>
      <c r="U71" s="174"/>
      <c r="V71" s="174"/>
      <c r="W71" s="174"/>
      <c r="X71" s="174"/>
      <c r="Y71" s="174"/>
      <c r="Z71" s="174"/>
    </row>
    <row r="72" customFormat="false" ht="15.75" hidden="false" customHeight="false" outlineLevel="0" collapsed="false">
      <c r="A72" s="174"/>
      <c r="B72" s="174"/>
      <c r="C72" s="174"/>
      <c r="D72" s="174"/>
      <c r="E72" s="174"/>
      <c r="F72" s="174"/>
      <c r="G72" s="174"/>
      <c r="H72" s="174"/>
      <c r="I72" s="174"/>
      <c r="J72" s="174"/>
      <c r="K72" s="174"/>
      <c r="L72" s="174"/>
      <c r="M72" s="174"/>
      <c r="N72" s="174"/>
      <c r="O72" s="174"/>
      <c r="P72" s="174"/>
      <c r="Q72" s="174"/>
      <c r="R72" s="174"/>
      <c r="S72" s="174"/>
      <c r="T72" s="174"/>
      <c r="U72" s="174"/>
      <c r="V72" s="174"/>
      <c r="W72" s="174"/>
      <c r="X72" s="174"/>
      <c r="Y72" s="174"/>
      <c r="Z72" s="174"/>
    </row>
    <row r="73" customFormat="false" ht="15.75" hidden="false" customHeight="false" outlineLevel="0" collapsed="false">
      <c r="A73" s="174"/>
      <c r="B73" s="174"/>
      <c r="C73" s="174"/>
      <c r="D73" s="174"/>
      <c r="E73" s="174"/>
      <c r="F73" s="174"/>
      <c r="G73" s="174"/>
      <c r="H73" s="174"/>
      <c r="I73" s="174"/>
      <c r="J73" s="174"/>
      <c r="K73" s="174"/>
      <c r="L73" s="174"/>
      <c r="M73" s="174"/>
      <c r="N73" s="174"/>
      <c r="O73" s="174"/>
      <c r="P73" s="174"/>
      <c r="Q73" s="174"/>
      <c r="R73" s="174"/>
      <c r="S73" s="174"/>
      <c r="T73" s="174"/>
      <c r="U73" s="174"/>
      <c r="V73" s="174"/>
      <c r="W73" s="174"/>
      <c r="X73" s="174"/>
      <c r="Y73" s="174"/>
      <c r="Z73" s="174"/>
    </row>
    <row r="74" customFormat="false" ht="15.75" hidden="false" customHeight="false" outlineLevel="0" collapsed="false">
      <c r="A74" s="174"/>
      <c r="B74" s="174"/>
      <c r="C74" s="174"/>
      <c r="D74" s="174"/>
      <c r="E74" s="174"/>
      <c r="F74" s="174"/>
      <c r="G74" s="174"/>
      <c r="H74" s="174"/>
      <c r="I74" s="174"/>
      <c r="J74" s="174"/>
      <c r="K74" s="174"/>
      <c r="L74" s="174"/>
      <c r="M74" s="174"/>
      <c r="N74" s="174"/>
      <c r="O74" s="174"/>
      <c r="P74" s="174"/>
      <c r="Q74" s="174"/>
      <c r="R74" s="174"/>
      <c r="S74" s="174"/>
      <c r="T74" s="174"/>
      <c r="U74" s="174"/>
      <c r="V74" s="174"/>
      <c r="W74" s="174"/>
      <c r="X74" s="174"/>
      <c r="Y74" s="174"/>
      <c r="Z74" s="174"/>
    </row>
    <row r="75" customFormat="false" ht="15.75" hidden="false" customHeight="false" outlineLevel="0" collapsed="false">
      <c r="A75" s="174"/>
      <c r="B75" s="174"/>
      <c r="C75" s="174"/>
      <c r="D75" s="174"/>
      <c r="E75" s="174"/>
      <c r="F75" s="174"/>
      <c r="G75" s="174"/>
      <c r="H75" s="174"/>
      <c r="I75" s="174"/>
      <c r="J75" s="174"/>
      <c r="K75" s="174"/>
      <c r="L75" s="174"/>
      <c r="M75" s="174"/>
      <c r="N75" s="174"/>
      <c r="O75" s="174"/>
      <c r="P75" s="174"/>
      <c r="Q75" s="174"/>
      <c r="R75" s="174"/>
      <c r="S75" s="174"/>
      <c r="T75" s="174"/>
      <c r="U75" s="174"/>
      <c r="V75" s="174"/>
      <c r="W75" s="174"/>
      <c r="X75" s="174"/>
      <c r="Y75" s="174"/>
      <c r="Z75" s="174"/>
    </row>
    <row r="76" customFormat="false" ht="15.75" hidden="false" customHeight="false" outlineLevel="0" collapsed="false">
      <c r="A76" s="174"/>
      <c r="B76" s="174"/>
      <c r="C76" s="174"/>
      <c r="D76" s="174"/>
      <c r="E76" s="174"/>
      <c r="F76" s="174"/>
      <c r="G76" s="174"/>
      <c r="H76" s="174"/>
      <c r="I76" s="174"/>
      <c r="J76" s="174"/>
      <c r="K76" s="174"/>
      <c r="L76" s="174"/>
      <c r="M76" s="174"/>
      <c r="N76" s="174"/>
      <c r="O76" s="174"/>
      <c r="P76" s="174"/>
      <c r="Q76" s="174"/>
      <c r="R76" s="174"/>
      <c r="S76" s="174"/>
      <c r="T76" s="174"/>
      <c r="U76" s="174"/>
      <c r="V76" s="174"/>
      <c r="W76" s="174"/>
      <c r="X76" s="174"/>
      <c r="Y76" s="174"/>
      <c r="Z76" s="174"/>
    </row>
    <row r="77" customFormat="false" ht="15.75" hidden="false" customHeight="false" outlineLevel="0" collapsed="false">
      <c r="A77" s="174"/>
      <c r="B77" s="174"/>
      <c r="C77" s="174"/>
      <c r="D77" s="174"/>
      <c r="E77" s="174"/>
      <c r="F77" s="174"/>
      <c r="G77" s="174"/>
      <c r="H77" s="174"/>
      <c r="I77" s="174"/>
      <c r="J77" s="174"/>
      <c r="K77" s="174"/>
      <c r="L77" s="174"/>
      <c r="M77" s="174"/>
      <c r="N77" s="174"/>
      <c r="O77" s="174"/>
      <c r="P77" s="174"/>
      <c r="Q77" s="174"/>
      <c r="R77" s="174"/>
      <c r="S77" s="174"/>
      <c r="T77" s="174"/>
      <c r="U77" s="174"/>
      <c r="V77" s="174"/>
      <c r="W77" s="174"/>
      <c r="X77" s="174"/>
      <c r="Y77" s="174"/>
      <c r="Z77" s="174"/>
    </row>
    <row r="78" customFormat="false" ht="15.75" hidden="false" customHeight="false" outlineLevel="0" collapsed="false">
      <c r="A78" s="174"/>
      <c r="B78" s="174"/>
      <c r="C78" s="174"/>
      <c r="D78" s="174"/>
      <c r="E78" s="174"/>
      <c r="F78" s="174"/>
      <c r="G78" s="174"/>
      <c r="H78" s="174"/>
      <c r="I78" s="174"/>
      <c r="J78" s="174"/>
      <c r="K78" s="174"/>
      <c r="L78" s="174"/>
      <c r="M78" s="174"/>
      <c r="N78" s="174"/>
      <c r="O78" s="174"/>
      <c r="P78" s="174"/>
      <c r="Q78" s="174"/>
      <c r="R78" s="174"/>
      <c r="S78" s="174"/>
      <c r="T78" s="174"/>
      <c r="U78" s="174"/>
      <c r="V78" s="174"/>
      <c r="W78" s="174"/>
      <c r="X78" s="174"/>
      <c r="Y78" s="174"/>
      <c r="Z78" s="174"/>
    </row>
    <row r="79" customFormat="false" ht="15.75" hidden="false" customHeight="false" outlineLevel="0" collapsed="false">
      <c r="A79" s="174"/>
      <c r="B79" s="174"/>
      <c r="C79" s="174"/>
      <c r="D79" s="174"/>
      <c r="E79" s="174"/>
      <c r="F79" s="174"/>
      <c r="G79" s="174"/>
      <c r="H79" s="174"/>
      <c r="I79" s="174"/>
      <c r="J79" s="174"/>
      <c r="K79" s="174"/>
      <c r="L79" s="174"/>
      <c r="M79" s="174"/>
      <c r="N79" s="174"/>
      <c r="O79" s="174"/>
      <c r="P79" s="174"/>
      <c r="Q79" s="174"/>
      <c r="R79" s="174"/>
      <c r="S79" s="174"/>
      <c r="T79" s="174"/>
      <c r="U79" s="174"/>
      <c r="V79" s="174"/>
      <c r="W79" s="174"/>
      <c r="X79" s="174"/>
      <c r="Y79" s="174"/>
      <c r="Z79" s="174"/>
    </row>
    <row r="80" customFormat="false" ht="15.75" hidden="false" customHeight="false" outlineLevel="0" collapsed="false">
      <c r="A80" s="174"/>
      <c r="B80" s="174"/>
      <c r="C80" s="174"/>
      <c r="D80" s="174"/>
      <c r="E80" s="174"/>
      <c r="F80" s="174"/>
      <c r="G80" s="174"/>
      <c r="H80" s="174"/>
      <c r="I80" s="174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</row>
    <row r="81" customFormat="false" ht="15.75" hidden="false" customHeight="false" outlineLevel="0" collapsed="false">
      <c r="A81" s="174"/>
      <c r="B81" s="174"/>
      <c r="C81" s="174"/>
      <c r="D81" s="174"/>
      <c r="E81" s="174"/>
      <c r="F81" s="174"/>
      <c r="G81" s="174"/>
      <c r="H81" s="174"/>
      <c r="I81" s="174"/>
      <c r="J81" s="174"/>
      <c r="K81" s="174"/>
      <c r="L81" s="174"/>
      <c r="M81" s="174"/>
      <c r="N81" s="174"/>
      <c r="O81" s="174"/>
      <c r="P81" s="174"/>
      <c r="Q81" s="174"/>
      <c r="R81" s="174"/>
      <c r="S81" s="174"/>
      <c r="T81" s="174"/>
      <c r="U81" s="174"/>
      <c r="V81" s="174"/>
      <c r="W81" s="174"/>
      <c r="X81" s="174"/>
      <c r="Y81" s="174"/>
      <c r="Z81" s="174"/>
    </row>
    <row r="82" customFormat="false" ht="15.75" hidden="false" customHeight="false" outlineLevel="0" collapsed="false">
      <c r="A82" s="174"/>
      <c r="B82" s="174"/>
      <c r="C82" s="174"/>
      <c r="D82" s="174"/>
      <c r="E82" s="174"/>
      <c r="F82" s="174"/>
      <c r="G82" s="174"/>
      <c r="H82" s="174"/>
      <c r="I82" s="174"/>
      <c r="J82" s="174"/>
      <c r="K82" s="174"/>
      <c r="L82" s="174"/>
      <c r="M82" s="174"/>
      <c r="N82" s="174"/>
      <c r="O82" s="174"/>
      <c r="P82" s="174"/>
      <c r="Q82" s="174"/>
      <c r="R82" s="174"/>
      <c r="S82" s="174"/>
      <c r="T82" s="174"/>
      <c r="U82" s="174"/>
      <c r="V82" s="174"/>
      <c r="W82" s="174"/>
      <c r="X82" s="174"/>
      <c r="Y82" s="174"/>
      <c r="Z82" s="174"/>
    </row>
    <row r="83" customFormat="false" ht="15.75" hidden="false" customHeight="false" outlineLevel="0" collapsed="false">
      <c r="A83" s="174"/>
      <c r="B83" s="174"/>
      <c r="C83" s="174"/>
      <c r="D83" s="174"/>
      <c r="E83" s="174"/>
      <c r="F83" s="174"/>
      <c r="G83" s="174"/>
      <c r="H83" s="174"/>
      <c r="I83" s="174"/>
      <c r="J83" s="174"/>
      <c r="K83" s="174"/>
      <c r="L83" s="174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4"/>
      <c r="X83" s="174"/>
      <c r="Y83" s="174"/>
      <c r="Z83" s="174"/>
    </row>
    <row r="84" customFormat="false" ht="15.75" hidden="false" customHeight="false" outlineLevel="0" collapsed="false">
      <c r="A84" s="174"/>
      <c r="B84" s="174"/>
      <c r="C84" s="174"/>
      <c r="D84" s="174"/>
      <c r="E84" s="174"/>
      <c r="F84" s="174"/>
      <c r="G84" s="174"/>
      <c r="H84" s="174"/>
      <c r="I84" s="174"/>
      <c r="J84" s="174"/>
      <c r="K84" s="174"/>
      <c r="L84" s="174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4"/>
      <c r="X84" s="174"/>
      <c r="Y84" s="174"/>
      <c r="Z84" s="174"/>
    </row>
    <row r="85" customFormat="false" ht="15.75" hidden="false" customHeight="false" outlineLevel="0" collapsed="false">
      <c r="A85" s="174"/>
      <c r="B85" s="174"/>
      <c r="C85" s="174"/>
      <c r="D85" s="174"/>
      <c r="E85" s="174"/>
      <c r="F85" s="174"/>
      <c r="G85" s="174"/>
      <c r="H85" s="174"/>
      <c r="I85" s="174"/>
      <c r="J85" s="174"/>
      <c r="K85" s="174"/>
      <c r="L85" s="174"/>
      <c r="M85" s="174"/>
      <c r="N85" s="174"/>
      <c r="O85" s="174"/>
      <c r="P85" s="174"/>
      <c r="Q85" s="174"/>
      <c r="R85" s="174"/>
      <c r="S85" s="174"/>
      <c r="T85" s="174"/>
      <c r="U85" s="174"/>
      <c r="V85" s="174"/>
      <c r="W85" s="174"/>
      <c r="X85" s="174"/>
      <c r="Y85" s="174"/>
      <c r="Z85" s="174"/>
    </row>
    <row r="86" customFormat="false" ht="15.75" hidden="false" customHeight="false" outlineLevel="0" collapsed="false">
      <c r="A86" s="174"/>
      <c r="B86" s="174"/>
      <c r="C86" s="174"/>
      <c r="D86" s="174"/>
      <c r="E86" s="174"/>
      <c r="F86" s="174"/>
      <c r="G86" s="174"/>
      <c r="H86" s="174"/>
      <c r="I86" s="174"/>
      <c r="J86" s="174"/>
      <c r="K86" s="174"/>
      <c r="L86" s="174"/>
      <c r="M86" s="174"/>
      <c r="N86" s="174"/>
      <c r="O86" s="174"/>
      <c r="P86" s="174"/>
      <c r="Q86" s="174"/>
      <c r="R86" s="174"/>
      <c r="S86" s="174"/>
      <c r="T86" s="174"/>
      <c r="U86" s="174"/>
      <c r="V86" s="174"/>
      <c r="W86" s="174"/>
      <c r="X86" s="174"/>
      <c r="Y86" s="174"/>
      <c r="Z86" s="174"/>
    </row>
    <row r="87" customFormat="false" ht="15.75" hidden="false" customHeight="false" outlineLevel="0" collapsed="false">
      <c r="A87" s="174"/>
      <c r="B87" s="174"/>
      <c r="C87" s="174"/>
      <c r="D87" s="174"/>
      <c r="E87" s="174"/>
      <c r="F87" s="174"/>
      <c r="G87" s="174"/>
      <c r="H87" s="174"/>
      <c r="I87" s="174"/>
      <c r="J87" s="174"/>
      <c r="K87" s="174"/>
      <c r="L87" s="174"/>
      <c r="M87" s="174"/>
      <c r="N87" s="174"/>
      <c r="O87" s="174"/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Z87" s="174"/>
    </row>
    <row r="88" customFormat="false" ht="15.75" hidden="false" customHeight="false" outlineLevel="0" collapsed="false">
      <c r="A88" s="174"/>
      <c r="B88" s="174"/>
      <c r="C88" s="174"/>
      <c r="D88" s="174"/>
      <c r="E88" s="174"/>
      <c r="F88" s="174"/>
      <c r="G88" s="174"/>
      <c r="H88" s="174"/>
      <c r="I88" s="174"/>
      <c r="J88" s="174"/>
      <c r="K88" s="174"/>
      <c r="L88" s="174"/>
      <c r="M88" s="174"/>
      <c r="N88" s="174"/>
      <c r="O88" s="174"/>
      <c r="P88" s="174"/>
      <c r="Q88" s="174"/>
      <c r="R88" s="174"/>
      <c r="S88" s="174"/>
      <c r="T88" s="174"/>
      <c r="U88" s="174"/>
      <c r="V88" s="174"/>
      <c r="W88" s="174"/>
      <c r="X88" s="174"/>
      <c r="Y88" s="174"/>
      <c r="Z88" s="174"/>
    </row>
    <row r="89" customFormat="false" ht="15.75" hidden="false" customHeight="false" outlineLevel="0" collapsed="false">
      <c r="A89" s="174"/>
      <c r="B89" s="174"/>
      <c r="C89" s="174"/>
      <c r="D89" s="174"/>
      <c r="E89" s="174"/>
      <c r="F89" s="174"/>
      <c r="G89" s="174"/>
      <c r="H89" s="174"/>
      <c r="I89" s="174"/>
      <c r="J89" s="174"/>
      <c r="K89" s="174"/>
      <c r="L89" s="174"/>
      <c r="M89" s="174"/>
      <c r="N89" s="174"/>
      <c r="O89" s="174"/>
      <c r="P89" s="174"/>
      <c r="Q89" s="174"/>
      <c r="R89" s="174"/>
      <c r="S89" s="174"/>
      <c r="T89" s="174"/>
      <c r="U89" s="174"/>
      <c r="V89" s="174"/>
      <c r="W89" s="174"/>
      <c r="X89" s="174"/>
      <c r="Y89" s="174"/>
      <c r="Z89" s="174"/>
    </row>
    <row r="90" customFormat="false" ht="15.75" hidden="false" customHeight="false" outlineLevel="0" collapsed="false">
      <c r="A90" s="174"/>
      <c r="B90" s="174"/>
      <c r="C90" s="174"/>
      <c r="D90" s="174"/>
      <c r="E90" s="174"/>
      <c r="F90" s="174"/>
      <c r="G90" s="174"/>
      <c r="H90" s="174"/>
      <c r="I90" s="174"/>
      <c r="J90" s="174"/>
      <c r="K90" s="174"/>
      <c r="L90" s="174"/>
      <c r="M90" s="174"/>
      <c r="N90" s="174"/>
      <c r="O90" s="174"/>
      <c r="P90" s="174"/>
      <c r="Q90" s="174"/>
      <c r="R90" s="174"/>
      <c r="S90" s="174"/>
      <c r="T90" s="174"/>
      <c r="U90" s="174"/>
      <c r="V90" s="174"/>
      <c r="W90" s="174"/>
      <c r="X90" s="174"/>
      <c r="Y90" s="174"/>
      <c r="Z90" s="174"/>
    </row>
    <row r="91" customFormat="false" ht="15.75" hidden="false" customHeight="false" outlineLevel="0" collapsed="false">
      <c r="A91" s="174"/>
      <c r="B91" s="174"/>
      <c r="C91" s="174"/>
      <c r="D91" s="174"/>
      <c r="E91" s="174"/>
      <c r="F91" s="174"/>
      <c r="G91" s="174"/>
      <c r="H91" s="174"/>
      <c r="I91" s="174"/>
      <c r="J91" s="174"/>
      <c r="K91" s="174"/>
      <c r="L91" s="174"/>
      <c r="M91" s="174"/>
      <c r="N91" s="174"/>
      <c r="O91" s="174"/>
      <c r="P91" s="174"/>
      <c r="Q91" s="174"/>
      <c r="R91" s="174"/>
      <c r="S91" s="174"/>
      <c r="T91" s="174"/>
      <c r="U91" s="174"/>
      <c r="V91" s="174"/>
      <c r="W91" s="174"/>
      <c r="X91" s="174"/>
      <c r="Y91" s="174"/>
      <c r="Z91" s="174"/>
    </row>
    <row r="92" customFormat="false" ht="15.75" hidden="false" customHeight="false" outlineLevel="0" collapsed="false">
      <c r="A92" s="174"/>
      <c r="B92" s="174"/>
      <c r="C92" s="174"/>
      <c r="D92" s="174"/>
      <c r="E92" s="174"/>
      <c r="F92" s="174"/>
      <c r="G92" s="174"/>
      <c r="H92" s="174"/>
      <c r="I92" s="174"/>
      <c r="J92" s="174"/>
      <c r="K92" s="174"/>
      <c r="L92" s="174"/>
      <c r="M92" s="174"/>
      <c r="N92" s="174"/>
      <c r="O92" s="174"/>
      <c r="P92" s="174"/>
      <c r="Q92" s="174"/>
      <c r="R92" s="174"/>
      <c r="S92" s="174"/>
      <c r="T92" s="174"/>
      <c r="U92" s="174"/>
      <c r="V92" s="174"/>
      <c r="W92" s="174"/>
      <c r="X92" s="174"/>
      <c r="Y92" s="174"/>
      <c r="Z92" s="174"/>
    </row>
    <row r="93" customFormat="false" ht="15.75" hidden="false" customHeight="false" outlineLevel="0" collapsed="false">
      <c r="A93" s="174"/>
      <c r="B93" s="174"/>
      <c r="C93" s="174"/>
      <c r="D93" s="174"/>
      <c r="E93" s="174"/>
      <c r="F93" s="174"/>
      <c r="G93" s="174"/>
      <c r="H93" s="174"/>
      <c r="I93" s="174"/>
      <c r="J93" s="174"/>
      <c r="K93" s="174"/>
      <c r="L93" s="174"/>
      <c r="M93" s="174"/>
      <c r="N93" s="174"/>
      <c r="O93" s="174"/>
      <c r="P93" s="174"/>
      <c r="Q93" s="174"/>
      <c r="R93" s="174"/>
      <c r="S93" s="174"/>
      <c r="T93" s="174"/>
      <c r="U93" s="174"/>
      <c r="V93" s="174"/>
      <c r="W93" s="174"/>
      <c r="X93" s="174"/>
      <c r="Y93" s="174"/>
      <c r="Z93" s="174"/>
    </row>
    <row r="94" customFormat="false" ht="15.75" hidden="false" customHeight="false" outlineLevel="0" collapsed="false">
      <c r="A94" s="174"/>
      <c r="B94" s="174"/>
      <c r="C94" s="174"/>
      <c r="D94" s="174"/>
      <c r="E94" s="174"/>
      <c r="F94" s="174"/>
      <c r="G94" s="174"/>
      <c r="H94" s="174"/>
      <c r="I94" s="174"/>
      <c r="J94" s="174"/>
      <c r="K94" s="174"/>
      <c r="L94" s="174"/>
      <c r="M94" s="174"/>
      <c r="N94" s="174"/>
      <c r="O94" s="174"/>
      <c r="P94" s="174"/>
      <c r="Q94" s="174"/>
      <c r="R94" s="174"/>
      <c r="S94" s="174"/>
      <c r="T94" s="174"/>
      <c r="U94" s="174"/>
      <c r="V94" s="174"/>
      <c r="W94" s="174"/>
      <c r="X94" s="174"/>
      <c r="Y94" s="174"/>
      <c r="Z94" s="174"/>
    </row>
    <row r="95" customFormat="false" ht="15.75" hidden="false" customHeight="false" outlineLevel="0" collapsed="false">
      <c r="A95" s="174"/>
      <c r="B95" s="174"/>
      <c r="C95" s="174"/>
      <c r="D95" s="174"/>
      <c r="E95" s="174"/>
      <c r="F95" s="174"/>
      <c r="G95" s="174"/>
      <c r="H95" s="174"/>
      <c r="I95" s="174"/>
      <c r="J95" s="174"/>
      <c r="K95" s="174"/>
      <c r="L95" s="174"/>
      <c r="M95" s="174"/>
      <c r="N95" s="174"/>
      <c r="O95" s="174"/>
      <c r="P95" s="174"/>
      <c r="Q95" s="174"/>
      <c r="R95" s="174"/>
      <c r="S95" s="174"/>
      <c r="T95" s="174"/>
      <c r="U95" s="174"/>
      <c r="V95" s="174"/>
      <c r="W95" s="174"/>
      <c r="X95" s="174"/>
      <c r="Y95" s="174"/>
      <c r="Z95" s="174"/>
    </row>
    <row r="96" customFormat="false" ht="15.75" hidden="false" customHeight="false" outlineLevel="0" collapsed="false">
      <c r="A96" s="174"/>
      <c r="B96" s="174"/>
      <c r="C96" s="174"/>
      <c r="D96" s="174"/>
      <c r="E96" s="174"/>
      <c r="F96" s="174"/>
      <c r="G96" s="174"/>
      <c r="H96" s="174"/>
      <c r="I96" s="174"/>
      <c r="J96" s="174"/>
      <c r="K96" s="174"/>
      <c r="L96" s="174"/>
      <c r="M96" s="174"/>
      <c r="N96" s="174"/>
      <c r="O96" s="174"/>
      <c r="P96" s="174"/>
      <c r="Q96" s="174"/>
      <c r="R96" s="174"/>
      <c r="S96" s="174"/>
      <c r="T96" s="174"/>
      <c r="U96" s="174"/>
      <c r="V96" s="174"/>
      <c r="W96" s="174"/>
      <c r="X96" s="174"/>
      <c r="Y96" s="174"/>
      <c r="Z96" s="174"/>
    </row>
    <row r="97" customFormat="false" ht="15.75" hidden="false" customHeight="false" outlineLevel="0" collapsed="false">
      <c r="A97" s="174"/>
      <c r="B97" s="174"/>
      <c r="C97" s="174"/>
      <c r="D97" s="174"/>
      <c r="E97" s="174"/>
      <c r="F97" s="174"/>
      <c r="G97" s="174"/>
      <c r="H97" s="174"/>
      <c r="I97" s="174"/>
      <c r="J97" s="174"/>
      <c r="K97" s="174"/>
      <c r="L97" s="174"/>
      <c r="M97" s="174"/>
      <c r="N97" s="174"/>
      <c r="O97" s="174"/>
      <c r="P97" s="174"/>
      <c r="Q97" s="174"/>
      <c r="R97" s="174"/>
      <c r="S97" s="174"/>
      <c r="T97" s="174"/>
      <c r="U97" s="174"/>
      <c r="V97" s="174"/>
      <c r="W97" s="174"/>
      <c r="X97" s="174"/>
      <c r="Y97" s="174"/>
      <c r="Z97" s="174"/>
    </row>
    <row r="98" customFormat="false" ht="15.75" hidden="false" customHeight="false" outlineLevel="0" collapsed="false">
      <c r="A98" s="174"/>
      <c r="B98" s="174"/>
      <c r="C98" s="174"/>
      <c r="D98" s="174"/>
      <c r="E98" s="174"/>
      <c r="F98" s="174"/>
      <c r="G98" s="174"/>
      <c r="H98" s="174"/>
      <c r="I98" s="174"/>
      <c r="J98" s="174"/>
      <c r="K98" s="174"/>
      <c r="L98" s="174"/>
      <c r="M98" s="174"/>
      <c r="N98" s="174"/>
      <c r="O98" s="174"/>
      <c r="P98" s="174"/>
      <c r="Q98" s="174"/>
      <c r="R98" s="174"/>
      <c r="S98" s="174"/>
      <c r="T98" s="174"/>
      <c r="U98" s="174"/>
      <c r="V98" s="174"/>
      <c r="W98" s="174"/>
      <c r="X98" s="174"/>
      <c r="Y98" s="174"/>
      <c r="Z98" s="174"/>
    </row>
    <row r="99" customFormat="false" ht="15.75" hidden="false" customHeight="false" outlineLevel="0" collapsed="false">
      <c r="A99" s="174"/>
      <c r="B99" s="174"/>
      <c r="C99" s="174"/>
      <c r="D99" s="174"/>
      <c r="E99" s="174"/>
      <c r="F99" s="174"/>
      <c r="G99" s="174"/>
      <c r="H99" s="174"/>
      <c r="I99" s="174"/>
      <c r="J99" s="174"/>
      <c r="K99" s="174"/>
      <c r="L99" s="174"/>
      <c r="M99" s="174"/>
      <c r="N99" s="174"/>
      <c r="O99" s="174"/>
      <c r="P99" s="174"/>
      <c r="Q99" s="174"/>
      <c r="R99" s="174"/>
      <c r="S99" s="174"/>
      <c r="T99" s="174"/>
      <c r="U99" s="174"/>
      <c r="V99" s="174"/>
      <c r="W99" s="174"/>
      <c r="X99" s="174"/>
      <c r="Y99" s="174"/>
      <c r="Z99" s="174"/>
    </row>
    <row r="100" customFormat="false" ht="15.75" hidden="false" customHeight="false" outlineLevel="0" collapsed="false">
      <c r="A100" s="174"/>
      <c r="B100" s="174"/>
      <c r="C100" s="174"/>
      <c r="D100" s="174"/>
      <c r="E100" s="174"/>
      <c r="F100" s="174"/>
      <c r="G100" s="174"/>
      <c r="H100" s="174"/>
      <c r="I100" s="174"/>
      <c r="J100" s="174"/>
      <c r="K100" s="174"/>
      <c r="L100" s="174"/>
      <c r="M100" s="174"/>
      <c r="N100" s="174"/>
      <c r="O100" s="174"/>
      <c r="P100" s="174"/>
      <c r="Q100" s="174"/>
      <c r="R100" s="174"/>
      <c r="S100" s="174"/>
      <c r="T100" s="174"/>
      <c r="U100" s="174"/>
      <c r="V100" s="174"/>
      <c r="W100" s="174"/>
      <c r="X100" s="174"/>
      <c r="Y100" s="174"/>
      <c r="Z100" s="174"/>
    </row>
    <row r="101" customFormat="false" ht="15.75" hidden="false" customHeight="false" outlineLevel="0" collapsed="false">
      <c r="A101" s="174"/>
      <c r="B101" s="174"/>
      <c r="C101" s="174"/>
      <c r="D101" s="174"/>
      <c r="E101" s="174"/>
      <c r="F101" s="174"/>
      <c r="G101" s="174"/>
      <c r="H101" s="174"/>
      <c r="I101" s="174"/>
      <c r="J101" s="174"/>
      <c r="K101" s="174"/>
      <c r="L101" s="174"/>
      <c r="M101" s="174"/>
      <c r="N101" s="174"/>
      <c r="O101" s="174"/>
      <c r="P101" s="174"/>
      <c r="Q101" s="174"/>
      <c r="R101" s="174"/>
      <c r="S101" s="174"/>
      <c r="T101" s="174"/>
      <c r="U101" s="174"/>
      <c r="V101" s="174"/>
      <c r="W101" s="174"/>
      <c r="X101" s="174"/>
      <c r="Y101" s="174"/>
      <c r="Z101" s="174"/>
    </row>
    <row r="102" customFormat="false" ht="15.75" hidden="false" customHeight="false" outlineLevel="0" collapsed="false">
      <c r="A102" s="174"/>
      <c r="B102" s="174"/>
      <c r="C102" s="174"/>
      <c r="D102" s="174"/>
      <c r="E102" s="174"/>
      <c r="F102" s="174"/>
      <c r="G102" s="174"/>
      <c r="H102" s="174"/>
      <c r="I102" s="174"/>
      <c r="J102" s="174"/>
      <c r="K102" s="174"/>
      <c r="L102" s="174"/>
      <c r="M102" s="174"/>
      <c r="N102" s="174"/>
      <c r="O102" s="174"/>
      <c r="P102" s="174"/>
      <c r="Q102" s="174"/>
      <c r="R102" s="174"/>
      <c r="S102" s="174"/>
      <c r="T102" s="174"/>
      <c r="U102" s="174"/>
      <c r="V102" s="174"/>
      <c r="W102" s="174"/>
      <c r="X102" s="174"/>
      <c r="Y102" s="174"/>
      <c r="Z102" s="174"/>
    </row>
    <row r="103" customFormat="false" ht="15.75" hidden="false" customHeight="false" outlineLevel="0" collapsed="false">
      <c r="A103" s="174"/>
      <c r="B103" s="174"/>
      <c r="C103" s="174"/>
      <c r="D103" s="174"/>
      <c r="E103" s="174"/>
      <c r="F103" s="174"/>
      <c r="G103" s="174"/>
      <c r="H103" s="174"/>
      <c r="I103" s="174"/>
      <c r="J103" s="174"/>
      <c r="K103" s="174"/>
      <c r="L103" s="174"/>
      <c r="M103" s="174"/>
      <c r="N103" s="174"/>
      <c r="O103" s="174"/>
      <c r="P103" s="174"/>
      <c r="Q103" s="174"/>
      <c r="R103" s="174"/>
      <c r="S103" s="174"/>
      <c r="T103" s="174"/>
      <c r="U103" s="174"/>
      <c r="V103" s="174"/>
      <c r="W103" s="174"/>
      <c r="X103" s="174"/>
      <c r="Y103" s="174"/>
      <c r="Z103" s="174"/>
    </row>
    <row r="104" customFormat="false" ht="15.75" hidden="false" customHeight="false" outlineLevel="0" collapsed="false">
      <c r="A104" s="174"/>
      <c r="B104" s="174"/>
      <c r="C104" s="174"/>
      <c r="D104" s="174"/>
      <c r="E104" s="174"/>
      <c r="F104" s="174"/>
      <c r="G104" s="174"/>
      <c r="H104" s="174"/>
      <c r="I104" s="174"/>
      <c r="J104" s="174"/>
      <c r="K104" s="174"/>
      <c r="L104" s="174"/>
      <c r="M104" s="174"/>
      <c r="N104" s="174"/>
      <c r="O104" s="174"/>
      <c r="P104" s="174"/>
      <c r="Q104" s="174"/>
      <c r="R104" s="174"/>
      <c r="S104" s="174"/>
      <c r="T104" s="174"/>
      <c r="U104" s="174"/>
      <c r="V104" s="174"/>
      <c r="W104" s="174"/>
      <c r="X104" s="174"/>
      <c r="Y104" s="174"/>
      <c r="Z104" s="174"/>
    </row>
    <row r="105" customFormat="false" ht="15.75" hidden="false" customHeight="false" outlineLevel="0" collapsed="false">
      <c r="A105" s="174"/>
      <c r="B105" s="174"/>
      <c r="C105" s="174"/>
      <c r="D105" s="174"/>
      <c r="E105" s="174"/>
      <c r="F105" s="174"/>
      <c r="G105" s="174"/>
      <c r="H105" s="174"/>
      <c r="I105" s="174"/>
      <c r="J105" s="174"/>
      <c r="K105" s="174"/>
      <c r="L105" s="174"/>
      <c r="M105" s="174"/>
      <c r="N105" s="174"/>
      <c r="O105" s="174"/>
      <c r="P105" s="174"/>
      <c r="Q105" s="174"/>
      <c r="R105" s="174"/>
      <c r="S105" s="174"/>
      <c r="T105" s="174"/>
      <c r="U105" s="174"/>
      <c r="V105" s="174"/>
      <c r="W105" s="174"/>
      <c r="X105" s="174"/>
      <c r="Y105" s="174"/>
      <c r="Z105" s="174"/>
    </row>
    <row r="106" customFormat="false" ht="15.75" hidden="false" customHeight="false" outlineLevel="0" collapsed="false">
      <c r="A106" s="174"/>
      <c r="B106" s="174"/>
      <c r="C106" s="174"/>
      <c r="D106" s="174"/>
      <c r="E106" s="174"/>
      <c r="F106" s="174"/>
      <c r="G106" s="174"/>
      <c r="H106" s="174"/>
      <c r="I106" s="174"/>
      <c r="J106" s="174"/>
      <c r="K106" s="174"/>
      <c r="L106" s="174"/>
      <c r="M106" s="174"/>
      <c r="N106" s="174"/>
      <c r="O106" s="174"/>
      <c r="P106" s="174"/>
      <c r="Q106" s="174"/>
      <c r="R106" s="174"/>
      <c r="S106" s="174"/>
      <c r="T106" s="174"/>
      <c r="U106" s="174"/>
      <c r="V106" s="174"/>
      <c r="W106" s="174"/>
      <c r="X106" s="174"/>
      <c r="Y106" s="174"/>
      <c r="Z106" s="174"/>
    </row>
    <row r="107" customFormat="false" ht="15.75" hidden="false" customHeight="false" outlineLevel="0" collapsed="false">
      <c r="A107" s="174"/>
      <c r="B107" s="174"/>
      <c r="C107" s="174"/>
      <c r="D107" s="174"/>
      <c r="E107" s="174"/>
      <c r="F107" s="174"/>
      <c r="G107" s="174"/>
      <c r="H107" s="174"/>
      <c r="I107" s="174"/>
      <c r="J107" s="174"/>
      <c r="K107" s="174"/>
      <c r="L107" s="174"/>
      <c r="M107" s="174"/>
      <c r="N107" s="174"/>
      <c r="O107" s="174"/>
      <c r="P107" s="174"/>
      <c r="Q107" s="174"/>
      <c r="R107" s="174"/>
      <c r="S107" s="174"/>
      <c r="T107" s="174"/>
      <c r="U107" s="174"/>
      <c r="V107" s="174"/>
      <c r="W107" s="174"/>
      <c r="X107" s="174"/>
      <c r="Y107" s="174"/>
      <c r="Z107" s="174"/>
    </row>
    <row r="108" customFormat="false" ht="15.75" hidden="false" customHeight="false" outlineLevel="0" collapsed="false">
      <c r="A108" s="174"/>
      <c r="B108" s="174"/>
      <c r="C108" s="174"/>
      <c r="D108" s="174"/>
      <c r="E108" s="174"/>
      <c r="F108" s="174"/>
      <c r="G108" s="174"/>
      <c r="H108" s="174"/>
      <c r="I108" s="174"/>
      <c r="J108" s="174"/>
      <c r="K108" s="174"/>
      <c r="L108" s="174"/>
      <c r="M108" s="174"/>
      <c r="N108" s="174"/>
      <c r="O108" s="174"/>
      <c r="P108" s="174"/>
      <c r="Q108" s="174"/>
      <c r="R108" s="174"/>
      <c r="S108" s="174"/>
      <c r="T108" s="174"/>
      <c r="U108" s="174"/>
      <c r="V108" s="174"/>
      <c r="W108" s="174"/>
      <c r="X108" s="174"/>
      <c r="Y108" s="174"/>
      <c r="Z108" s="174"/>
    </row>
    <row r="109" customFormat="false" ht="15.75" hidden="false" customHeight="false" outlineLevel="0" collapsed="false">
      <c r="A109" s="174"/>
      <c r="B109" s="174"/>
      <c r="C109" s="174"/>
      <c r="D109" s="174"/>
      <c r="E109" s="174"/>
      <c r="F109" s="174"/>
      <c r="G109" s="174"/>
      <c r="H109" s="174"/>
      <c r="I109" s="174"/>
      <c r="J109" s="174"/>
      <c r="K109" s="174"/>
      <c r="L109" s="174"/>
      <c r="M109" s="174"/>
      <c r="N109" s="174"/>
      <c r="O109" s="174"/>
      <c r="P109" s="174"/>
      <c r="Q109" s="174"/>
      <c r="R109" s="174"/>
      <c r="S109" s="174"/>
      <c r="T109" s="174"/>
      <c r="U109" s="174"/>
      <c r="V109" s="174"/>
      <c r="W109" s="174"/>
      <c r="X109" s="174"/>
      <c r="Y109" s="174"/>
      <c r="Z109" s="174"/>
    </row>
    <row r="110" customFormat="false" ht="15.75" hidden="false" customHeight="false" outlineLevel="0" collapsed="false">
      <c r="A110" s="174"/>
      <c r="B110" s="174"/>
      <c r="C110" s="174"/>
      <c r="D110" s="174"/>
      <c r="E110" s="174"/>
      <c r="F110" s="174"/>
      <c r="G110" s="174"/>
      <c r="H110" s="174"/>
      <c r="I110" s="174"/>
      <c r="J110" s="174"/>
      <c r="K110" s="174"/>
      <c r="L110" s="174"/>
      <c r="M110" s="174"/>
      <c r="N110" s="174"/>
      <c r="O110" s="174"/>
      <c r="P110" s="174"/>
      <c r="Q110" s="174"/>
      <c r="R110" s="174"/>
      <c r="S110" s="174"/>
      <c r="T110" s="174"/>
      <c r="U110" s="174"/>
      <c r="V110" s="174"/>
      <c r="W110" s="174"/>
      <c r="X110" s="174"/>
      <c r="Y110" s="174"/>
      <c r="Z110" s="174"/>
    </row>
    <row r="111" customFormat="false" ht="15.75" hidden="false" customHeight="false" outlineLevel="0" collapsed="false">
      <c r="A111" s="174"/>
      <c r="B111" s="174"/>
      <c r="C111" s="174"/>
      <c r="D111" s="174"/>
      <c r="E111" s="174"/>
      <c r="F111" s="174"/>
      <c r="G111" s="174"/>
      <c r="H111" s="174"/>
      <c r="I111" s="174"/>
      <c r="J111" s="174"/>
      <c r="K111" s="174"/>
      <c r="L111" s="174"/>
      <c r="M111" s="174"/>
      <c r="N111" s="174"/>
      <c r="O111" s="174"/>
      <c r="P111" s="174"/>
      <c r="Q111" s="174"/>
      <c r="R111" s="174"/>
      <c r="S111" s="174"/>
      <c r="T111" s="174"/>
      <c r="U111" s="174"/>
      <c r="V111" s="174"/>
      <c r="W111" s="174"/>
      <c r="X111" s="174"/>
      <c r="Y111" s="174"/>
      <c r="Z111" s="174"/>
    </row>
    <row r="112" customFormat="false" ht="15.75" hidden="false" customHeight="false" outlineLevel="0" collapsed="false">
      <c r="A112" s="174"/>
      <c r="B112" s="174"/>
      <c r="C112" s="174"/>
      <c r="D112" s="174"/>
      <c r="E112" s="174"/>
      <c r="F112" s="174"/>
      <c r="G112" s="174"/>
      <c r="H112" s="174"/>
      <c r="I112" s="174"/>
      <c r="J112" s="174"/>
      <c r="K112" s="174"/>
      <c r="L112" s="174"/>
      <c r="M112" s="174"/>
      <c r="N112" s="174"/>
      <c r="O112" s="174"/>
      <c r="P112" s="174"/>
      <c r="Q112" s="174"/>
      <c r="R112" s="174"/>
      <c r="S112" s="174"/>
      <c r="T112" s="174"/>
      <c r="U112" s="174"/>
      <c r="V112" s="174"/>
      <c r="W112" s="174"/>
      <c r="X112" s="174"/>
      <c r="Y112" s="174"/>
      <c r="Z112" s="174"/>
    </row>
    <row r="113" customFormat="false" ht="15.75" hidden="false" customHeight="false" outlineLevel="0" collapsed="false">
      <c r="A113" s="174"/>
      <c r="B113" s="174"/>
      <c r="C113" s="174"/>
      <c r="D113" s="174"/>
      <c r="E113" s="174"/>
      <c r="F113" s="174"/>
      <c r="G113" s="174"/>
      <c r="H113" s="174"/>
      <c r="I113" s="174"/>
      <c r="J113" s="174"/>
      <c r="K113" s="174"/>
      <c r="L113" s="174"/>
      <c r="M113" s="174"/>
      <c r="N113" s="174"/>
      <c r="O113" s="174"/>
      <c r="P113" s="174"/>
      <c r="Q113" s="174"/>
      <c r="R113" s="174"/>
      <c r="S113" s="174"/>
      <c r="T113" s="174"/>
      <c r="U113" s="174"/>
      <c r="V113" s="174"/>
      <c r="W113" s="174"/>
      <c r="X113" s="174"/>
      <c r="Y113" s="174"/>
      <c r="Z113" s="174"/>
    </row>
    <row r="114" customFormat="false" ht="15.75" hidden="false" customHeight="false" outlineLevel="0" collapsed="false">
      <c r="A114" s="174"/>
      <c r="B114" s="174"/>
      <c r="C114" s="174"/>
      <c r="D114" s="174"/>
      <c r="E114" s="174"/>
      <c r="F114" s="174"/>
      <c r="G114" s="174"/>
      <c r="H114" s="174"/>
      <c r="I114" s="174"/>
      <c r="J114" s="174"/>
      <c r="K114" s="174"/>
      <c r="L114" s="174"/>
      <c r="M114" s="174"/>
      <c r="N114" s="174"/>
      <c r="O114" s="174"/>
      <c r="P114" s="174"/>
      <c r="Q114" s="174"/>
      <c r="R114" s="174"/>
      <c r="S114" s="174"/>
      <c r="T114" s="174"/>
      <c r="U114" s="174"/>
      <c r="V114" s="174"/>
      <c r="W114" s="174"/>
      <c r="X114" s="174"/>
      <c r="Y114" s="174"/>
      <c r="Z114" s="174"/>
    </row>
    <row r="115" customFormat="false" ht="15.75" hidden="false" customHeight="false" outlineLevel="0" collapsed="false">
      <c r="A115" s="174"/>
      <c r="B115" s="174"/>
      <c r="C115" s="174"/>
      <c r="D115" s="174"/>
      <c r="E115" s="174"/>
      <c r="F115" s="174"/>
      <c r="G115" s="174"/>
      <c r="H115" s="174"/>
      <c r="I115" s="174"/>
      <c r="J115" s="174"/>
      <c r="K115" s="174"/>
      <c r="L115" s="174"/>
      <c r="M115" s="174"/>
      <c r="N115" s="174"/>
      <c r="O115" s="174"/>
      <c r="P115" s="174"/>
      <c r="Q115" s="174"/>
      <c r="R115" s="174"/>
      <c r="S115" s="174"/>
      <c r="T115" s="174"/>
      <c r="U115" s="174"/>
      <c r="V115" s="174"/>
      <c r="W115" s="174"/>
      <c r="X115" s="174"/>
      <c r="Y115" s="174"/>
      <c r="Z115" s="174"/>
    </row>
    <row r="116" customFormat="false" ht="15.75" hidden="false" customHeight="false" outlineLevel="0" collapsed="false">
      <c r="A116" s="174"/>
      <c r="B116" s="174"/>
      <c r="C116" s="174"/>
      <c r="D116" s="174"/>
      <c r="E116" s="174"/>
      <c r="F116" s="174"/>
      <c r="G116" s="174"/>
      <c r="H116" s="174"/>
      <c r="I116" s="174"/>
      <c r="J116" s="174"/>
      <c r="K116" s="174"/>
      <c r="L116" s="174"/>
      <c r="M116" s="174"/>
      <c r="N116" s="174"/>
      <c r="O116" s="174"/>
      <c r="P116" s="174"/>
      <c r="Q116" s="174"/>
      <c r="R116" s="174"/>
      <c r="S116" s="174"/>
      <c r="T116" s="174"/>
      <c r="U116" s="174"/>
      <c r="V116" s="174"/>
      <c r="W116" s="174"/>
      <c r="X116" s="174"/>
      <c r="Y116" s="174"/>
      <c r="Z116" s="174"/>
    </row>
    <row r="117" customFormat="false" ht="15.75" hidden="false" customHeight="false" outlineLevel="0" collapsed="false">
      <c r="A117" s="174"/>
      <c r="B117" s="174"/>
      <c r="C117" s="174"/>
      <c r="D117" s="174"/>
      <c r="E117" s="174"/>
      <c r="F117" s="174"/>
      <c r="G117" s="174"/>
      <c r="H117" s="174"/>
      <c r="I117" s="174"/>
      <c r="J117" s="174"/>
      <c r="K117" s="174"/>
      <c r="L117" s="174"/>
      <c r="M117" s="174"/>
      <c r="N117" s="174"/>
      <c r="O117" s="174"/>
      <c r="P117" s="174"/>
      <c r="Q117" s="174"/>
      <c r="R117" s="174"/>
      <c r="S117" s="174"/>
      <c r="T117" s="174"/>
      <c r="U117" s="174"/>
      <c r="V117" s="174"/>
      <c r="W117" s="174"/>
      <c r="X117" s="174"/>
      <c r="Y117" s="174"/>
      <c r="Z117" s="174"/>
    </row>
    <row r="118" customFormat="false" ht="15.75" hidden="false" customHeight="false" outlineLevel="0" collapsed="false">
      <c r="A118" s="174"/>
      <c r="B118" s="174"/>
      <c r="C118" s="174"/>
      <c r="D118" s="174"/>
      <c r="E118" s="174"/>
      <c r="F118" s="174"/>
      <c r="G118" s="174"/>
      <c r="H118" s="174"/>
      <c r="I118" s="174"/>
      <c r="J118" s="174"/>
      <c r="K118" s="174"/>
      <c r="L118" s="174"/>
      <c r="M118" s="174"/>
      <c r="N118" s="174"/>
      <c r="O118" s="174"/>
      <c r="P118" s="174"/>
      <c r="Q118" s="174"/>
      <c r="R118" s="174"/>
      <c r="S118" s="174"/>
      <c r="T118" s="174"/>
      <c r="U118" s="174"/>
      <c r="V118" s="174"/>
      <c r="W118" s="174"/>
      <c r="X118" s="174"/>
      <c r="Y118" s="174"/>
      <c r="Z118" s="174"/>
    </row>
    <row r="119" customFormat="false" ht="15.75" hidden="false" customHeight="false" outlineLevel="0" collapsed="false">
      <c r="A119" s="174"/>
      <c r="B119" s="174"/>
      <c r="C119" s="174"/>
      <c r="D119" s="174"/>
      <c r="E119" s="174"/>
      <c r="F119" s="174"/>
      <c r="G119" s="174"/>
      <c r="H119" s="174"/>
      <c r="I119" s="174"/>
      <c r="J119" s="174"/>
      <c r="K119" s="174"/>
      <c r="L119" s="174"/>
      <c r="M119" s="174"/>
      <c r="N119" s="174"/>
      <c r="O119" s="174"/>
      <c r="P119" s="174"/>
      <c r="Q119" s="174"/>
      <c r="R119" s="174"/>
      <c r="S119" s="174"/>
      <c r="T119" s="174"/>
      <c r="U119" s="174"/>
      <c r="V119" s="174"/>
      <c r="W119" s="174"/>
      <c r="X119" s="174"/>
      <c r="Y119" s="174"/>
      <c r="Z119" s="174"/>
    </row>
    <row r="120" customFormat="false" ht="15.75" hidden="false" customHeight="false" outlineLevel="0" collapsed="false">
      <c r="A120" s="174"/>
      <c r="B120" s="174"/>
      <c r="C120" s="174"/>
      <c r="D120" s="174"/>
      <c r="E120" s="174"/>
      <c r="F120" s="174"/>
      <c r="G120" s="174"/>
      <c r="H120" s="174"/>
      <c r="I120" s="174"/>
      <c r="J120" s="174"/>
      <c r="K120" s="174"/>
      <c r="L120" s="174"/>
      <c r="M120" s="174"/>
      <c r="N120" s="174"/>
      <c r="O120" s="174"/>
      <c r="P120" s="174"/>
      <c r="Q120" s="174"/>
      <c r="R120" s="174"/>
      <c r="S120" s="174"/>
      <c r="T120" s="174"/>
      <c r="U120" s="174"/>
      <c r="V120" s="174"/>
      <c r="W120" s="174"/>
      <c r="X120" s="174"/>
      <c r="Y120" s="174"/>
      <c r="Z120" s="174"/>
    </row>
    <row r="121" customFormat="false" ht="15.75" hidden="false" customHeight="false" outlineLevel="0" collapsed="false">
      <c r="A121" s="174"/>
      <c r="B121" s="174"/>
      <c r="C121" s="174"/>
      <c r="D121" s="174"/>
      <c r="E121" s="174"/>
      <c r="F121" s="174"/>
      <c r="G121" s="174"/>
      <c r="H121" s="174"/>
      <c r="I121" s="174"/>
      <c r="J121" s="174"/>
      <c r="K121" s="174"/>
      <c r="L121" s="174"/>
      <c r="M121" s="174"/>
      <c r="N121" s="174"/>
      <c r="O121" s="174"/>
      <c r="P121" s="174"/>
      <c r="Q121" s="174"/>
      <c r="R121" s="174"/>
      <c r="S121" s="174"/>
      <c r="T121" s="174"/>
      <c r="U121" s="174"/>
      <c r="V121" s="174"/>
      <c r="W121" s="174"/>
      <c r="X121" s="174"/>
      <c r="Y121" s="174"/>
      <c r="Z121" s="174"/>
    </row>
    <row r="122" customFormat="false" ht="15.75" hidden="false" customHeight="false" outlineLevel="0" collapsed="false">
      <c r="A122" s="174"/>
      <c r="B122" s="174"/>
      <c r="C122" s="174"/>
      <c r="D122" s="174"/>
      <c r="E122" s="174"/>
      <c r="F122" s="174"/>
      <c r="G122" s="174"/>
      <c r="H122" s="174"/>
      <c r="I122" s="174"/>
      <c r="J122" s="174"/>
      <c r="K122" s="174"/>
      <c r="L122" s="174"/>
      <c r="M122" s="174"/>
      <c r="N122" s="174"/>
      <c r="O122" s="174"/>
      <c r="P122" s="174"/>
      <c r="Q122" s="174"/>
      <c r="R122" s="174"/>
      <c r="S122" s="174"/>
      <c r="T122" s="174"/>
      <c r="U122" s="174"/>
      <c r="V122" s="174"/>
      <c r="W122" s="174"/>
      <c r="X122" s="174"/>
      <c r="Y122" s="174"/>
      <c r="Z122" s="174"/>
    </row>
    <row r="123" customFormat="false" ht="15.75" hidden="false" customHeight="false" outlineLevel="0" collapsed="false">
      <c r="A123" s="174"/>
      <c r="B123" s="174"/>
      <c r="C123" s="174"/>
      <c r="D123" s="174"/>
      <c r="E123" s="174"/>
      <c r="F123" s="174"/>
      <c r="G123" s="174"/>
      <c r="H123" s="174"/>
      <c r="I123" s="174"/>
      <c r="J123" s="174"/>
      <c r="K123" s="174"/>
      <c r="L123" s="174"/>
      <c r="M123" s="174"/>
      <c r="N123" s="174"/>
      <c r="O123" s="174"/>
      <c r="P123" s="174"/>
      <c r="Q123" s="174"/>
      <c r="R123" s="174"/>
      <c r="S123" s="174"/>
      <c r="T123" s="174"/>
      <c r="U123" s="174"/>
      <c r="V123" s="174"/>
      <c r="W123" s="174"/>
      <c r="X123" s="174"/>
      <c r="Y123" s="174"/>
      <c r="Z123" s="174"/>
    </row>
    <row r="124" customFormat="false" ht="15.75" hidden="false" customHeight="false" outlineLevel="0" collapsed="false">
      <c r="A124" s="174"/>
      <c r="B124" s="174"/>
      <c r="C124" s="174"/>
      <c r="D124" s="174"/>
      <c r="E124" s="174"/>
      <c r="F124" s="174"/>
      <c r="G124" s="174"/>
      <c r="H124" s="174"/>
      <c r="I124" s="174"/>
      <c r="J124" s="174"/>
      <c r="K124" s="174"/>
      <c r="L124" s="174"/>
      <c r="M124" s="174"/>
      <c r="N124" s="174"/>
      <c r="O124" s="174"/>
      <c r="P124" s="174"/>
      <c r="Q124" s="174"/>
      <c r="R124" s="174"/>
      <c r="S124" s="174"/>
      <c r="T124" s="174"/>
      <c r="U124" s="174"/>
      <c r="V124" s="174"/>
      <c r="W124" s="174"/>
      <c r="X124" s="174"/>
      <c r="Y124" s="174"/>
      <c r="Z124" s="174"/>
    </row>
    <row r="125" customFormat="false" ht="15.75" hidden="false" customHeight="false" outlineLevel="0" collapsed="false">
      <c r="A125" s="174"/>
      <c r="B125" s="174"/>
      <c r="C125" s="174"/>
      <c r="D125" s="174"/>
      <c r="E125" s="174"/>
      <c r="F125" s="174"/>
      <c r="G125" s="174"/>
      <c r="H125" s="174"/>
      <c r="I125" s="174"/>
      <c r="J125" s="174"/>
      <c r="K125" s="174"/>
      <c r="L125" s="174"/>
      <c r="M125" s="174"/>
      <c r="N125" s="174"/>
      <c r="O125" s="174"/>
      <c r="P125" s="174"/>
      <c r="Q125" s="174"/>
      <c r="R125" s="174"/>
      <c r="S125" s="174"/>
      <c r="T125" s="174"/>
      <c r="U125" s="174"/>
      <c r="V125" s="174"/>
      <c r="W125" s="174"/>
      <c r="X125" s="174"/>
      <c r="Y125" s="174"/>
      <c r="Z125" s="174"/>
    </row>
    <row r="126" customFormat="false" ht="15.75" hidden="false" customHeight="false" outlineLevel="0" collapsed="false">
      <c r="A126" s="174"/>
      <c r="B126" s="174"/>
      <c r="C126" s="174"/>
      <c r="D126" s="174"/>
      <c r="E126" s="174"/>
      <c r="F126" s="174"/>
      <c r="G126" s="174"/>
      <c r="H126" s="174"/>
      <c r="I126" s="174"/>
      <c r="J126" s="174"/>
      <c r="K126" s="174"/>
      <c r="L126" s="174"/>
      <c r="M126" s="174"/>
      <c r="N126" s="174"/>
      <c r="O126" s="174"/>
      <c r="P126" s="174"/>
      <c r="Q126" s="174"/>
      <c r="R126" s="174"/>
      <c r="S126" s="174"/>
      <c r="T126" s="174"/>
      <c r="U126" s="174"/>
      <c r="V126" s="174"/>
      <c r="W126" s="174"/>
      <c r="X126" s="174"/>
      <c r="Y126" s="174"/>
      <c r="Z126" s="174"/>
    </row>
    <row r="127" customFormat="false" ht="15.75" hidden="false" customHeight="false" outlineLevel="0" collapsed="false">
      <c r="A127" s="174"/>
      <c r="B127" s="174"/>
      <c r="C127" s="174"/>
      <c r="D127" s="174"/>
      <c r="E127" s="174"/>
      <c r="F127" s="174"/>
      <c r="G127" s="174"/>
      <c r="H127" s="174"/>
      <c r="I127" s="174"/>
      <c r="J127" s="174"/>
      <c r="K127" s="174"/>
      <c r="L127" s="174"/>
      <c r="M127" s="174"/>
      <c r="N127" s="174"/>
      <c r="O127" s="174"/>
      <c r="P127" s="174"/>
      <c r="Q127" s="174"/>
      <c r="R127" s="174"/>
      <c r="S127" s="174"/>
      <c r="T127" s="174"/>
      <c r="U127" s="174"/>
      <c r="V127" s="174"/>
      <c r="W127" s="174"/>
      <c r="X127" s="174"/>
      <c r="Y127" s="174"/>
      <c r="Z127" s="174"/>
    </row>
    <row r="128" customFormat="false" ht="15.75" hidden="false" customHeight="false" outlineLevel="0" collapsed="false">
      <c r="A128" s="174"/>
      <c r="B128" s="174"/>
      <c r="C128" s="174"/>
      <c r="D128" s="174"/>
      <c r="E128" s="174"/>
      <c r="F128" s="174"/>
      <c r="G128" s="174"/>
      <c r="H128" s="174"/>
      <c r="I128" s="174"/>
      <c r="J128" s="174"/>
      <c r="K128" s="174"/>
      <c r="L128" s="174"/>
      <c r="M128" s="174"/>
      <c r="N128" s="174"/>
      <c r="O128" s="174"/>
      <c r="P128" s="174"/>
      <c r="Q128" s="174"/>
      <c r="R128" s="174"/>
      <c r="S128" s="174"/>
      <c r="T128" s="174"/>
      <c r="U128" s="174"/>
      <c r="V128" s="174"/>
      <c r="W128" s="174"/>
      <c r="X128" s="174"/>
      <c r="Y128" s="174"/>
      <c r="Z128" s="174"/>
    </row>
    <row r="129" customFormat="false" ht="15.75" hidden="false" customHeight="false" outlineLevel="0" collapsed="false">
      <c r="A129" s="174"/>
      <c r="B129" s="174"/>
      <c r="C129" s="174"/>
      <c r="D129" s="174"/>
      <c r="E129" s="174"/>
      <c r="F129" s="174"/>
      <c r="G129" s="174"/>
      <c r="H129" s="174"/>
      <c r="I129" s="174"/>
      <c r="J129" s="174"/>
      <c r="K129" s="174"/>
      <c r="L129" s="174"/>
      <c r="M129" s="174"/>
      <c r="N129" s="174"/>
      <c r="O129" s="174"/>
      <c r="P129" s="174"/>
      <c r="Q129" s="174"/>
      <c r="R129" s="174"/>
      <c r="S129" s="174"/>
      <c r="T129" s="174"/>
      <c r="U129" s="174"/>
      <c r="V129" s="174"/>
      <c r="W129" s="174"/>
      <c r="X129" s="174"/>
      <c r="Y129" s="174"/>
      <c r="Z129" s="174"/>
    </row>
    <row r="130" customFormat="false" ht="15.75" hidden="false" customHeight="false" outlineLevel="0" collapsed="false">
      <c r="A130" s="174"/>
      <c r="B130" s="174"/>
      <c r="C130" s="174"/>
      <c r="D130" s="174"/>
      <c r="E130" s="174"/>
      <c r="F130" s="174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</row>
    <row r="131" customFormat="false" ht="15.75" hidden="false" customHeight="false" outlineLevel="0" collapsed="false">
      <c r="A131" s="174"/>
      <c r="B131" s="174"/>
      <c r="C131" s="174"/>
      <c r="D131" s="174"/>
      <c r="E131" s="174"/>
      <c r="F131" s="174"/>
      <c r="G131" s="174"/>
      <c r="H131" s="174"/>
      <c r="I131" s="174"/>
      <c r="J131" s="174"/>
      <c r="K131" s="174"/>
      <c r="L131" s="174"/>
      <c r="M131" s="174"/>
      <c r="N131" s="174"/>
      <c r="O131" s="174"/>
      <c r="P131" s="174"/>
      <c r="Q131" s="174"/>
      <c r="R131" s="174"/>
      <c r="S131" s="174"/>
      <c r="T131" s="174"/>
      <c r="U131" s="174"/>
      <c r="V131" s="174"/>
      <c r="W131" s="174"/>
      <c r="X131" s="174"/>
      <c r="Y131" s="174"/>
      <c r="Z131" s="174"/>
    </row>
    <row r="132" customFormat="false" ht="15.75" hidden="false" customHeight="false" outlineLevel="0" collapsed="false">
      <c r="A132" s="174"/>
      <c r="B132" s="174"/>
      <c r="C132" s="174"/>
      <c r="D132" s="174"/>
      <c r="E132" s="174"/>
      <c r="F132" s="174"/>
      <c r="G132" s="174"/>
      <c r="H132" s="174"/>
      <c r="I132" s="174"/>
      <c r="J132" s="174"/>
      <c r="K132" s="174"/>
      <c r="L132" s="174"/>
      <c r="M132" s="174"/>
      <c r="N132" s="174"/>
      <c r="O132" s="174"/>
      <c r="P132" s="174"/>
      <c r="Q132" s="174"/>
      <c r="R132" s="174"/>
      <c r="S132" s="174"/>
      <c r="T132" s="174"/>
      <c r="U132" s="174"/>
      <c r="V132" s="174"/>
      <c r="W132" s="174"/>
      <c r="X132" s="174"/>
      <c r="Y132" s="174"/>
      <c r="Z132" s="174"/>
    </row>
    <row r="133" customFormat="false" ht="15.75" hidden="false" customHeight="false" outlineLevel="0" collapsed="false">
      <c r="A133" s="174"/>
      <c r="B133" s="174"/>
      <c r="C133" s="174"/>
      <c r="D133" s="174"/>
      <c r="E133" s="174"/>
      <c r="F133" s="174"/>
      <c r="G133" s="174"/>
      <c r="H133" s="174"/>
      <c r="I133" s="174"/>
      <c r="J133" s="174"/>
      <c r="K133" s="174"/>
      <c r="L133" s="174"/>
      <c r="M133" s="174"/>
      <c r="N133" s="174"/>
      <c r="O133" s="174"/>
      <c r="P133" s="174"/>
      <c r="Q133" s="174"/>
      <c r="R133" s="174"/>
      <c r="S133" s="174"/>
      <c r="T133" s="174"/>
      <c r="U133" s="174"/>
      <c r="V133" s="174"/>
      <c r="W133" s="174"/>
      <c r="X133" s="174"/>
      <c r="Y133" s="174"/>
      <c r="Z133" s="174"/>
    </row>
    <row r="134" customFormat="false" ht="15.75" hidden="false" customHeight="false" outlineLevel="0" collapsed="false">
      <c r="A134" s="174"/>
      <c r="B134" s="174"/>
      <c r="C134" s="174"/>
      <c r="D134" s="174"/>
      <c r="E134" s="174"/>
      <c r="F134" s="174"/>
      <c r="G134" s="174"/>
      <c r="H134" s="174"/>
      <c r="I134" s="174"/>
      <c r="J134" s="174"/>
      <c r="K134" s="174"/>
      <c r="L134" s="174"/>
      <c r="M134" s="174"/>
      <c r="N134" s="174"/>
      <c r="O134" s="174"/>
      <c r="P134" s="174"/>
      <c r="Q134" s="174"/>
      <c r="R134" s="174"/>
      <c r="S134" s="174"/>
      <c r="T134" s="174"/>
      <c r="U134" s="174"/>
      <c r="V134" s="174"/>
      <c r="W134" s="174"/>
      <c r="X134" s="174"/>
      <c r="Y134" s="174"/>
      <c r="Z134" s="174"/>
    </row>
    <row r="135" customFormat="false" ht="15.75" hidden="false" customHeight="false" outlineLevel="0" collapsed="false">
      <c r="A135" s="174"/>
      <c r="B135" s="174"/>
      <c r="C135" s="174"/>
      <c r="D135" s="174"/>
      <c r="E135" s="174"/>
      <c r="F135" s="174"/>
      <c r="G135" s="174"/>
      <c r="H135" s="174"/>
      <c r="I135" s="174"/>
      <c r="J135" s="174"/>
      <c r="K135" s="174"/>
      <c r="L135" s="174"/>
      <c r="M135" s="174"/>
      <c r="N135" s="174"/>
      <c r="O135" s="174"/>
      <c r="P135" s="174"/>
      <c r="Q135" s="174"/>
      <c r="R135" s="174"/>
      <c r="S135" s="174"/>
      <c r="T135" s="174"/>
      <c r="U135" s="174"/>
      <c r="V135" s="174"/>
      <c r="W135" s="174"/>
      <c r="X135" s="174"/>
      <c r="Y135" s="174"/>
      <c r="Z135" s="174"/>
    </row>
    <row r="136" customFormat="false" ht="15.75" hidden="false" customHeight="false" outlineLevel="0" collapsed="false">
      <c r="A136" s="174"/>
      <c r="B136" s="174"/>
      <c r="C136" s="174"/>
      <c r="D136" s="174"/>
      <c r="E136" s="174"/>
      <c r="F136" s="174"/>
      <c r="G136" s="174"/>
      <c r="H136" s="174"/>
      <c r="I136" s="174"/>
      <c r="J136" s="174"/>
      <c r="K136" s="174"/>
      <c r="L136" s="174"/>
      <c r="M136" s="174"/>
      <c r="N136" s="174"/>
      <c r="O136" s="174"/>
      <c r="P136" s="174"/>
      <c r="Q136" s="174"/>
      <c r="R136" s="174"/>
      <c r="S136" s="174"/>
      <c r="T136" s="174"/>
      <c r="U136" s="174"/>
      <c r="V136" s="174"/>
      <c r="W136" s="174"/>
      <c r="X136" s="174"/>
      <c r="Y136" s="174"/>
      <c r="Z136" s="174"/>
    </row>
    <row r="137" customFormat="false" ht="15.75" hidden="false" customHeight="false" outlineLevel="0" collapsed="false">
      <c r="A137" s="174"/>
      <c r="B137" s="174"/>
      <c r="C137" s="174"/>
      <c r="D137" s="174"/>
      <c r="E137" s="174"/>
      <c r="F137" s="174"/>
      <c r="G137" s="174"/>
      <c r="H137" s="174"/>
      <c r="I137" s="174"/>
      <c r="J137" s="174"/>
      <c r="K137" s="174"/>
      <c r="L137" s="174"/>
      <c r="M137" s="174"/>
      <c r="N137" s="174"/>
      <c r="O137" s="174"/>
      <c r="P137" s="174"/>
      <c r="Q137" s="174"/>
      <c r="R137" s="174"/>
      <c r="S137" s="174"/>
      <c r="T137" s="174"/>
      <c r="U137" s="174"/>
      <c r="V137" s="174"/>
      <c r="W137" s="174"/>
      <c r="X137" s="174"/>
      <c r="Y137" s="174"/>
      <c r="Z137" s="174"/>
    </row>
    <row r="138" customFormat="false" ht="15.75" hidden="false" customHeight="false" outlineLevel="0" collapsed="false">
      <c r="A138" s="174"/>
      <c r="B138" s="174"/>
      <c r="C138" s="174"/>
      <c r="D138" s="174"/>
      <c r="E138" s="174"/>
      <c r="F138" s="174"/>
      <c r="G138" s="174"/>
      <c r="H138" s="174"/>
      <c r="I138" s="174"/>
      <c r="J138" s="174"/>
      <c r="K138" s="174"/>
      <c r="L138" s="174"/>
      <c r="M138" s="174"/>
      <c r="N138" s="174"/>
      <c r="O138" s="174"/>
      <c r="P138" s="174"/>
      <c r="Q138" s="174"/>
      <c r="R138" s="174"/>
      <c r="S138" s="174"/>
      <c r="T138" s="174"/>
      <c r="U138" s="174"/>
      <c r="V138" s="174"/>
      <c r="W138" s="174"/>
      <c r="X138" s="174"/>
      <c r="Y138" s="174"/>
      <c r="Z138" s="174"/>
    </row>
    <row r="139" customFormat="false" ht="15.75" hidden="false" customHeight="false" outlineLevel="0" collapsed="false">
      <c r="A139" s="174"/>
      <c r="B139" s="174"/>
      <c r="C139" s="174"/>
      <c r="D139" s="174"/>
      <c r="E139" s="174"/>
      <c r="F139" s="174"/>
      <c r="G139" s="174"/>
      <c r="H139" s="174"/>
      <c r="I139" s="174"/>
      <c r="J139" s="174"/>
      <c r="K139" s="174"/>
      <c r="L139" s="174"/>
      <c r="M139" s="174"/>
      <c r="N139" s="174"/>
      <c r="O139" s="174"/>
      <c r="P139" s="174"/>
      <c r="Q139" s="174"/>
      <c r="R139" s="174"/>
      <c r="S139" s="174"/>
      <c r="T139" s="174"/>
      <c r="U139" s="174"/>
      <c r="V139" s="174"/>
      <c r="W139" s="174"/>
      <c r="X139" s="174"/>
      <c r="Y139" s="174"/>
      <c r="Z139" s="174"/>
    </row>
    <row r="140" customFormat="false" ht="15.75" hidden="false" customHeight="false" outlineLevel="0" collapsed="false">
      <c r="A140" s="174"/>
      <c r="B140" s="174"/>
      <c r="C140" s="174"/>
      <c r="D140" s="174"/>
      <c r="E140" s="174"/>
      <c r="F140" s="174"/>
      <c r="G140" s="174"/>
      <c r="H140" s="174"/>
      <c r="I140" s="174"/>
      <c r="J140" s="174"/>
      <c r="K140" s="174"/>
      <c r="L140" s="174"/>
      <c r="M140" s="174"/>
      <c r="N140" s="174"/>
      <c r="O140" s="174"/>
      <c r="P140" s="174"/>
      <c r="Q140" s="174"/>
      <c r="R140" s="174"/>
      <c r="S140" s="174"/>
      <c r="T140" s="174"/>
      <c r="U140" s="174"/>
      <c r="V140" s="174"/>
      <c r="W140" s="174"/>
      <c r="X140" s="174"/>
      <c r="Y140" s="174"/>
      <c r="Z140" s="174"/>
    </row>
    <row r="141" customFormat="false" ht="15.75" hidden="false" customHeight="false" outlineLevel="0" collapsed="false">
      <c r="A141" s="174"/>
      <c r="B141" s="174"/>
      <c r="C141" s="174"/>
      <c r="D141" s="174"/>
      <c r="E141" s="174"/>
      <c r="F141" s="174"/>
      <c r="G141" s="174"/>
      <c r="H141" s="174"/>
      <c r="I141" s="174"/>
      <c r="J141" s="174"/>
      <c r="K141" s="174"/>
      <c r="L141" s="174"/>
      <c r="M141" s="174"/>
      <c r="N141" s="174"/>
      <c r="O141" s="174"/>
      <c r="P141" s="174"/>
      <c r="Q141" s="174"/>
      <c r="R141" s="174"/>
      <c r="S141" s="174"/>
      <c r="T141" s="174"/>
      <c r="U141" s="174"/>
      <c r="V141" s="174"/>
      <c r="W141" s="174"/>
      <c r="X141" s="174"/>
      <c r="Y141" s="174"/>
      <c r="Z141" s="174"/>
    </row>
    <row r="142" customFormat="false" ht="15.75" hidden="false" customHeight="false" outlineLevel="0" collapsed="false">
      <c r="A142" s="174"/>
      <c r="B142" s="174"/>
      <c r="C142" s="174"/>
      <c r="D142" s="174"/>
      <c r="E142" s="174"/>
      <c r="F142" s="174"/>
      <c r="G142" s="174"/>
      <c r="H142" s="174"/>
      <c r="I142" s="174"/>
      <c r="J142" s="174"/>
      <c r="K142" s="174"/>
      <c r="L142" s="174"/>
      <c r="M142" s="174"/>
      <c r="N142" s="174"/>
      <c r="O142" s="174"/>
      <c r="P142" s="174"/>
      <c r="Q142" s="174"/>
      <c r="R142" s="174"/>
      <c r="S142" s="174"/>
      <c r="T142" s="174"/>
      <c r="U142" s="174"/>
      <c r="V142" s="174"/>
      <c r="W142" s="174"/>
      <c r="X142" s="174"/>
      <c r="Y142" s="174"/>
      <c r="Z142" s="174"/>
    </row>
    <row r="143" customFormat="false" ht="15.75" hidden="false" customHeight="false" outlineLevel="0" collapsed="false">
      <c r="A143" s="174"/>
      <c r="B143" s="174"/>
      <c r="C143" s="174"/>
      <c r="D143" s="174"/>
      <c r="E143" s="174"/>
      <c r="F143" s="174"/>
      <c r="G143" s="174"/>
      <c r="H143" s="174"/>
      <c r="I143" s="174"/>
      <c r="J143" s="174"/>
      <c r="K143" s="174"/>
      <c r="L143" s="174"/>
      <c r="M143" s="174"/>
      <c r="N143" s="174"/>
      <c r="O143" s="174"/>
      <c r="P143" s="174"/>
      <c r="Q143" s="174"/>
      <c r="R143" s="174"/>
      <c r="S143" s="174"/>
      <c r="T143" s="174"/>
      <c r="U143" s="174"/>
      <c r="V143" s="174"/>
      <c r="W143" s="174"/>
      <c r="X143" s="174"/>
      <c r="Y143" s="174"/>
      <c r="Z143" s="174"/>
    </row>
    <row r="144" customFormat="false" ht="15.75" hidden="false" customHeight="false" outlineLevel="0" collapsed="false">
      <c r="A144" s="174"/>
      <c r="B144" s="174"/>
      <c r="C144" s="174"/>
      <c r="D144" s="174"/>
      <c r="E144" s="174"/>
      <c r="F144" s="174"/>
      <c r="G144" s="174"/>
      <c r="H144" s="174"/>
      <c r="I144" s="174"/>
      <c r="J144" s="174"/>
      <c r="K144" s="174"/>
      <c r="L144" s="174"/>
      <c r="M144" s="174"/>
      <c r="N144" s="174"/>
      <c r="O144" s="174"/>
      <c r="P144" s="174"/>
      <c r="Q144" s="174"/>
      <c r="R144" s="174"/>
      <c r="S144" s="174"/>
      <c r="T144" s="174"/>
      <c r="U144" s="174"/>
      <c r="V144" s="174"/>
      <c r="W144" s="174"/>
      <c r="X144" s="174"/>
      <c r="Y144" s="174"/>
      <c r="Z144" s="174"/>
    </row>
    <row r="145" customFormat="false" ht="15.75" hidden="false" customHeight="false" outlineLevel="0" collapsed="false">
      <c r="A145" s="174"/>
      <c r="B145" s="174"/>
      <c r="C145" s="174"/>
      <c r="D145" s="174"/>
      <c r="E145" s="174"/>
      <c r="F145" s="174"/>
      <c r="G145" s="174"/>
      <c r="H145" s="174"/>
      <c r="I145" s="174"/>
      <c r="J145" s="174"/>
      <c r="K145" s="174"/>
      <c r="L145" s="174"/>
      <c r="M145" s="174"/>
      <c r="N145" s="174"/>
      <c r="O145" s="174"/>
      <c r="P145" s="174"/>
      <c r="Q145" s="174"/>
      <c r="R145" s="174"/>
      <c r="S145" s="174"/>
      <c r="T145" s="174"/>
      <c r="U145" s="174"/>
      <c r="V145" s="174"/>
      <c r="W145" s="174"/>
      <c r="X145" s="174"/>
      <c r="Y145" s="174"/>
      <c r="Z145" s="174"/>
    </row>
    <row r="146" customFormat="false" ht="15.75" hidden="false" customHeight="false" outlineLevel="0" collapsed="false">
      <c r="A146" s="174"/>
      <c r="B146" s="174"/>
      <c r="C146" s="174"/>
      <c r="D146" s="174"/>
      <c r="E146" s="174"/>
      <c r="F146" s="174"/>
      <c r="G146" s="174"/>
      <c r="H146" s="174"/>
      <c r="I146" s="174"/>
      <c r="J146" s="174"/>
      <c r="K146" s="174"/>
      <c r="L146" s="174"/>
      <c r="M146" s="174"/>
      <c r="N146" s="174"/>
      <c r="O146" s="174"/>
      <c r="P146" s="174"/>
      <c r="Q146" s="174"/>
      <c r="R146" s="174"/>
      <c r="S146" s="174"/>
      <c r="T146" s="174"/>
      <c r="U146" s="174"/>
      <c r="V146" s="174"/>
      <c r="W146" s="174"/>
      <c r="X146" s="174"/>
      <c r="Y146" s="174"/>
      <c r="Z146" s="174"/>
    </row>
    <row r="147" customFormat="false" ht="15.75" hidden="false" customHeight="false" outlineLevel="0" collapsed="false">
      <c r="A147" s="174"/>
      <c r="B147" s="174"/>
      <c r="C147" s="174"/>
      <c r="D147" s="174"/>
      <c r="E147" s="174"/>
      <c r="F147" s="174"/>
      <c r="G147" s="174"/>
      <c r="H147" s="174"/>
      <c r="I147" s="174"/>
      <c r="J147" s="174"/>
      <c r="K147" s="174"/>
      <c r="L147" s="174"/>
      <c r="M147" s="174"/>
      <c r="N147" s="174"/>
      <c r="O147" s="174"/>
      <c r="P147" s="174"/>
      <c r="Q147" s="174"/>
      <c r="R147" s="174"/>
      <c r="S147" s="174"/>
      <c r="T147" s="174"/>
      <c r="U147" s="174"/>
      <c r="V147" s="174"/>
      <c r="W147" s="174"/>
      <c r="X147" s="174"/>
      <c r="Y147" s="174"/>
      <c r="Z147" s="174"/>
    </row>
    <row r="148" customFormat="false" ht="15.75" hidden="false" customHeight="false" outlineLevel="0" collapsed="false">
      <c r="A148" s="174"/>
      <c r="B148" s="174"/>
      <c r="C148" s="174"/>
      <c r="D148" s="174"/>
      <c r="E148" s="174"/>
      <c r="F148" s="174"/>
      <c r="G148" s="174"/>
      <c r="H148" s="174"/>
      <c r="I148" s="174"/>
      <c r="J148" s="174"/>
      <c r="K148" s="174"/>
      <c r="L148" s="174"/>
      <c r="M148" s="174"/>
      <c r="N148" s="174"/>
      <c r="O148" s="174"/>
      <c r="P148" s="174"/>
      <c r="Q148" s="174"/>
      <c r="R148" s="174"/>
      <c r="S148" s="174"/>
      <c r="T148" s="174"/>
      <c r="U148" s="174"/>
      <c r="V148" s="174"/>
      <c r="W148" s="174"/>
      <c r="X148" s="174"/>
      <c r="Y148" s="174"/>
      <c r="Z148" s="174"/>
    </row>
    <row r="149" customFormat="false" ht="15.75" hidden="false" customHeight="false" outlineLevel="0" collapsed="false">
      <c r="A149" s="174"/>
      <c r="B149" s="174"/>
      <c r="C149" s="174"/>
      <c r="D149" s="174"/>
      <c r="E149" s="174"/>
      <c r="F149" s="174"/>
      <c r="G149" s="174"/>
      <c r="H149" s="174"/>
      <c r="I149" s="174"/>
      <c r="J149" s="174"/>
      <c r="K149" s="174"/>
      <c r="L149" s="174"/>
      <c r="M149" s="174"/>
      <c r="N149" s="174"/>
      <c r="O149" s="174"/>
      <c r="P149" s="174"/>
      <c r="Q149" s="174"/>
      <c r="R149" s="174"/>
      <c r="S149" s="174"/>
      <c r="T149" s="174"/>
      <c r="U149" s="174"/>
      <c r="V149" s="174"/>
      <c r="W149" s="174"/>
      <c r="X149" s="174"/>
      <c r="Y149" s="174"/>
      <c r="Z149" s="174"/>
    </row>
    <row r="150" customFormat="false" ht="15.75" hidden="false" customHeight="false" outlineLevel="0" collapsed="false">
      <c r="A150" s="174"/>
      <c r="B150" s="174"/>
      <c r="C150" s="174"/>
      <c r="D150" s="174"/>
      <c r="E150" s="174"/>
      <c r="F150" s="174"/>
      <c r="G150" s="174"/>
      <c r="H150" s="174"/>
      <c r="I150" s="174"/>
      <c r="J150" s="174"/>
      <c r="K150" s="174"/>
      <c r="L150" s="174"/>
      <c r="M150" s="174"/>
      <c r="N150" s="174"/>
      <c r="O150" s="174"/>
      <c r="P150" s="174"/>
      <c r="Q150" s="174"/>
      <c r="R150" s="174"/>
      <c r="S150" s="174"/>
      <c r="T150" s="174"/>
      <c r="U150" s="174"/>
      <c r="V150" s="174"/>
      <c r="W150" s="174"/>
      <c r="X150" s="174"/>
      <c r="Y150" s="174"/>
      <c r="Z150" s="174"/>
    </row>
    <row r="151" customFormat="false" ht="15.75" hidden="false" customHeight="false" outlineLevel="0" collapsed="false">
      <c r="A151" s="174"/>
      <c r="B151" s="174"/>
      <c r="C151" s="174"/>
      <c r="D151" s="174"/>
      <c r="E151" s="174"/>
      <c r="F151" s="174"/>
      <c r="G151" s="174"/>
      <c r="H151" s="174"/>
      <c r="I151" s="174"/>
      <c r="J151" s="174"/>
      <c r="K151" s="174"/>
      <c r="L151" s="174"/>
      <c r="M151" s="174"/>
      <c r="N151" s="174"/>
      <c r="O151" s="174"/>
      <c r="P151" s="174"/>
      <c r="Q151" s="174"/>
      <c r="R151" s="174"/>
      <c r="S151" s="174"/>
      <c r="T151" s="174"/>
      <c r="U151" s="174"/>
      <c r="V151" s="174"/>
      <c r="W151" s="174"/>
      <c r="X151" s="174"/>
      <c r="Y151" s="174"/>
      <c r="Z151" s="174"/>
    </row>
    <row r="152" customFormat="false" ht="15.75" hidden="false" customHeight="false" outlineLevel="0" collapsed="false">
      <c r="A152" s="174"/>
      <c r="B152" s="174"/>
      <c r="C152" s="174"/>
      <c r="D152" s="174"/>
      <c r="E152" s="174"/>
      <c r="F152" s="174"/>
      <c r="G152" s="174"/>
      <c r="H152" s="174"/>
      <c r="I152" s="174"/>
      <c r="J152" s="174"/>
      <c r="K152" s="174"/>
      <c r="L152" s="174"/>
      <c r="M152" s="174"/>
      <c r="N152" s="174"/>
      <c r="O152" s="174"/>
      <c r="P152" s="174"/>
      <c r="Q152" s="174"/>
      <c r="R152" s="174"/>
      <c r="S152" s="174"/>
      <c r="T152" s="174"/>
      <c r="U152" s="174"/>
      <c r="V152" s="174"/>
      <c r="W152" s="174"/>
      <c r="X152" s="174"/>
      <c r="Y152" s="174"/>
      <c r="Z152" s="174"/>
    </row>
    <row r="153" customFormat="false" ht="15.75" hidden="false" customHeight="false" outlineLevel="0" collapsed="false">
      <c r="A153" s="174"/>
      <c r="B153" s="174"/>
      <c r="C153" s="174"/>
      <c r="D153" s="174"/>
      <c r="E153" s="174"/>
      <c r="F153" s="174"/>
      <c r="G153" s="174"/>
      <c r="H153" s="174"/>
      <c r="I153" s="174"/>
      <c r="J153" s="174"/>
      <c r="K153" s="174"/>
      <c r="L153" s="174"/>
      <c r="M153" s="174"/>
      <c r="N153" s="174"/>
      <c r="O153" s="174"/>
      <c r="P153" s="174"/>
      <c r="Q153" s="174"/>
      <c r="R153" s="174"/>
      <c r="S153" s="174"/>
      <c r="T153" s="174"/>
      <c r="U153" s="174"/>
      <c r="V153" s="174"/>
      <c r="W153" s="174"/>
      <c r="X153" s="174"/>
      <c r="Y153" s="174"/>
      <c r="Z153" s="174"/>
    </row>
    <row r="154" customFormat="false" ht="15.75" hidden="false" customHeight="false" outlineLevel="0" collapsed="false">
      <c r="A154" s="174"/>
      <c r="B154" s="174"/>
      <c r="C154" s="174"/>
      <c r="D154" s="174"/>
      <c r="E154" s="174"/>
      <c r="F154" s="174"/>
      <c r="G154" s="174"/>
      <c r="H154" s="174"/>
      <c r="I154" s="174"/>
      <c r="J154" s="174"/>
      <c r="K154" s="174"/>
      <c r="L154" s="174"/>
      <c r="M154" s="174"/>
      <c r="N154" s="174"/>
      <c r="O154" s="174"/>
      <c r="P154" s="174"/>
      <c r="Q154" s="174"/>
      <c r="R154" s="174"/>
      <c r="S154" s="174"/>
      <c r="T154" s="174"/>
      <c r="U154" s="174"/>
      <c r="V154" s="174"/>
      <c r="W154" s="174"/>
      <c r="X154" s="174"/>
      <c r="Y154" s="174"/>
      <c r="Z154" s="174"/>
    </row>
    <row r="155" customFormat="false" ht="15.75" hidden="false" customHeight="false" outlineLevel="0" collapsed="false">
      <c r="A155" s="174"/>
      <c r="B155" s="174"/>
      <c r="C155" s="174"/>
      <c r="D155" s="174"/>
      <c r="E155" s="174"/>
      <c r="F155" s="174"/>
      <c r="G155" s="174"/>
      <c r="H155" s="174"/>
      <c r="I155" s="174"/>
      <c r="J155" s="174"/>
      <c r="K155" s="174"/>
      <c r="L155" s="174"/>
      <c r="M155" s="174"/>
      <c r="N155" s="174"/>
      <c r="O155" s="174"/>
      <c r="P155" s="174"/>
      <c r="Q155" s="174"/>
      <c r="R155" s="174"/>
      <c r="S155" s="174"/>
      <c r="T155" s="174"/>
      <c r="U155" s="174"/>
      <c r="V155" s="174"/>
      <c r="W155" s="174"/>
      <c r="X155" s="174"/>
      <c r="Y155" s="174"/>
      <c r="Z155" s="174"/>
    </row>
    <row r="156" customFormat="false" ht="15.75" hidden="false" customHeight="false" outlineLevel="0" collapsed="false">
      <c r="A156" s="174"/>
      <c r="B156" s="174"/>
      <c r="C156" s="174"/>
      <c r="D156" s="174"/>
      <c r="E156" s="174"/>
      <c r="F156" s="174"/>
      <c r="G156" s="174"/>
      <c r="H156" s="174"/>
      <c r="I156" s="174"/>
      <c r="J156" s="174"/>
      <c r="K156" s="174"/>
      <c r="L156" s="174"/>
      <c r="M156" s="174"/>
      <c r="N156" s="174"/>
      <c r="O156" s="174"/>
      <c r="P156" s="174"/>
      <c r="Q156" s="174"/>
      <c r="R156" s="174"/>
      <c r="S156" s="174"/>
      <c r="T156" s="174"/>
      <c r="U156" s="174"/>
      <c r="V156" s="174"/>
      <c r="W156" s="174"/>
      <c r="X156" s="174"/>
      <c r="Y156" s="174"/>
      <c r="Z156" s="174"/>
    </row>
    <row r="157" customFormat="false" ht="15.75" hidden="false" customHeight="false" outlineLevel="0" collapsed="false">
      <c r="A157" s="174"/>
      <c r="B157" s="174"/>
      <c r="C157" s="174"/>
      <c r="D157" s="174"/>
      <c r="E157" s="174"/>
      <c r="F157" s="174"/>
      <c r="G157" s="174"/>
      <c r="H157" s="174"/>
      <c r="I157" s="174"/>
      <c r="J157" s="174"/>
      <c r="K157" s="174"/>
      <c r="L157" s="174"/>
      <c r="M157" s="174"/>
      <c r="N157" s="174"/>
      <c r="O157" s="174"/>
      <c r="P157" s="174"/>
      <c r="Q157" s="174"/>
      <c r="R157" s="174"/>
      <c r="S157" s="174"/>
      <c r="T157" s="174"/>
      <c r="U157" s="174"/>
      <c r="V157" s="174"/>
      <c r="W157" s="174"/>
      <c r="X157" s="174"/>
      <c r="Y157" s="174"/>
      <c r="Z157" s="174"/>
    </row>
    <row r="158" customFormat="false" ht="15.75" hidden="false" customHeight="false" outlineLevel="0" collapsed="false">
      <c r="A158" s="174"/>
      <c r="B158" s="174"/>
      <c r="C158" s="174"/>
      <c r="D158" s="174"/>
      <c r="E158" s="174"/>
      <c r="F158" s="174"/>
      <c r="G158" s="174"/>
      <c r="H158" s="174"/>
      <c r="I158" s="174"/>
      <c r="J158" s="174"/>
      <c r="K158" s="174"/>
      <c r="L158" s="174"/>
      <c r="M158" s="174"/>
      <c r="N158" s="174"/>
      <c r="O158" s="174"/>
      <c r="P158" s="174"/>
      <c r="Q158" s="174"/>
      <c r="R158" s="174"/>
      <c r="S158" s="174"/>
      <c r="T158" s="174"/>
      <c r="U158" s="174"/>
      <c r="V158" s="174"/>
      <c r="W158" s="174"/>
      <c r="X158" s="174"/>
      <c r="Y158" s="174"/>
      <c r="Z158" s="174"/>
    </row>
    <row r="159" customFormat="false" ht="15.75" hidden="false" customHeight="false" outlineLevel="0" collapsed="false">
      <c r="A159" s="174"/>
      <c r="B159" s="174"/>
      <c r="C159" s="174"/>
      <c r="D159" s="174"/>
      <c r="E159" s="174"/>
      <c r="F159" s="174"/>
      <c r="G159" s="174"/>
      <c r="H159" s="174"/>
      <c r="I159" s="174"/>
      <c r="J159" s="174"/>
      <c r="K159" s="174"/>
      <c r="L159" s="174"/>
      <c r="M159" s="174"/>
      <c r="N159" s="174"/>
      <c r="O159" s="174"/>
      <c r="P159" s="174"/>
      <c r="Q159" s="174"/>
      <c r="R159" s="174"/>
      <c r="S159" s="174"/>
      <c r="T159" s="174"/>
      <c r="U159" s="174"/>
      <c r="V159" s="174"/>
      <c r="W159" s="174"/>
      <c r="X159" s="174"/>
      <c r="Y159" s="174"/>
      <c r="Z159" s="174"/>
    </row>
    <row r="160" customFormat="false" ht="15.75" hidden="false" customHeight="false" outlineLevel="0" collapsed="false">
      <c r="A160" s="174"/>
      <c r="B160" s="174"/>
      <c r="C160" s="174"/>
      <c r="D160" s="174"/>
      <c r="E160" s="174"/>
      <c r="F160" s="174"/>
      <c r="G160" s="174"/>
      <c r="H160" s="174"/>
      <c r="I160" s="174"/>
      <c r="J160" s="174"/>
      <c r="K160" s="174"/>
      <c r="L160" s="174"/>
      <c r="M160" s="174"/>
      <c r="N160" s="174"/>
      <c r="O160" s="174"/>
      <c r="P160" s="174"/>
      <c r="Q160" s="174"/>
      <c r="R160" s="174"/>
      <c r="S160" s="174"/>
      <c r="T160" s="174"/>
      <c r="U160" s="174"/>
      <c r="V160" s="174"/>
      <c r="W160" s="174"/>
      <c r="X160" s="174"/>
      <c r="Y160" s="174"/>
      <c r="Z160" s="174"/>
    </row>
    <row r="161" customFormat="false" ht="15.75" hidden="false" customHeight="false" outlineLevel="0" collapsed="false">
      <c r="A161" s="174"/>
      <c r="B161" s="174"/>
      <c r="C161" s="174"/>
      <c r="D161" s="174"/>
      <c r="E161" s="174"/>
      <c r="F161" s="174"/>
      <c r="G161" s="174"/>
      <c r="H161" s="174"/>
      <c r="I161" s="174"/>
      <c r="J161" s="174"/>
      <c r="K161" s="174"/>
      <c r="L161" s="174"/>
      <c r="M161" s="174"/>
      <c r="N161" s="174"/>
      <c r="O161" s="174"/>
      <c r="P161" s="174"/>
      <c r="Q161" s="174"/>
      <c r="R161" s="174"/>
      <c r="S161" s="174"/>
      <c r="T161" s="174"/>
      <c r="U161" s="174"/>
      <c r="V161" s="174"/>
      <c r="W161" s="174"/>
      <c r="X161" s="174"/>
      <c r="Y161" s="174"/>
      <c r="Z161" s="174"/>
    </row>
    <row r="162" customFormat="false" ht="15.75" hidden="false" customHeight="false" outlineLevel="0" collapsed="false">
      <c r="A162" s="174"/>
      <c r="B162" s="174"/>
      <c r="C162" s="174"/>
      <c r="D162" s="174"/>
      <c r="E162" s="174"/>
      <c r="F162" s="174"/>
      <c r="G162" s="174"/>
      <c r="H162" s="174"/>
      <c r="I162" s="174"/>
      <c r="J162" s="174"/>
      <c r="K162" s="174"/>
      <c r="L162" s="174"/>
      <c r="M162" s="174"/>
      <c r="N162" s="174"/>
      <c r="O162" s="174"/>
      <c r="P162" s="174"/>
      <c r="Q162" s="174"/>
      <c r="R162" s="174"/>
      <c r="S162" s="174"/>
      <c r="T162" s="174"/>
      <c r="U162" s="174"/>
      <c r="V162" s="174"/>
      <c r="W162" s="174"/>
      <c r="X162" s="174"/>
      <c r="Y162" s="174"/>
      <c r="Z162" s="174"/>
    </row>
    <row r="163" customFormat="false" ht="15.75" hidden="false" customHeight="false" outlineLevel="0" collapsed="false">
      <c r="A163" s="174"/>
      <c r="B163" s="174"/>
      <c r="C163" s="174"/>
      <c r="D163" s="174"/>
      <c r="E163" s="174"/>
      <c r="F163" s="174"/>
      <c r="G163" s="174"/>
      <c r="H163" s="174"/>
      <c r="I163" s="174"/>
      <c r="J163" s="174"/>
      <c r="K163" s="174"/>
      <c r="L163" s="174"/>
      <c r="M163" s="174"/>
      <c r="N163" s="174"/>
      <c r="O163" s="174"/>
      <c r="P163" s="174"/>
      <c r="Q163" s="174"/>
      <c r="R163" s="174"/>
      <c r="S163" s="174"/>
      <c r="T163" s="174"/>
      <c r="U163" s="174"/>
      <c r="V163" s="174"/>
      <c r="W163" s="174"/>
      <c r="X163" s="174"/>
      <c r="Y163" s="174"/>
      <c r="Z163" s="174"/>
    </row>
    <row r="164" customFormat="false" ht="15.75" hidden="false" customHeight="false" outlineLevel="0" collapsed="false">
      <c r="A164" s="174"/>
      <c r="B164" s="174"/>
      <c r="C164" s="174"/>
      <c r="D164" s="174"/>
      <c r="E164" s="174"/>
      <c r="F164" s="174"/>
      <c r="G164" s="174"/>
      <c r="H164" s="174"/>
      <c r="I164" s="174"/>
      <c r="J164" s="174"/>
      <c r="K164" s="174"/>
      <c r="L164" s="174"/>
      <c r="M164" s="174"/>
      <c r="N164" s="174"/>
      <c r="O164" s="174"/>
      <c r="P164" s="174"/>
      <c r="Q164" s="174"/>
      <c r="R164" s="174"/>
      <c r="S164" s="174"/>
      <c r="T164" s="174"/>
      <c r="U164" s="174"/>
      <c r="V164" s="174"/>
      <c r="W164" s="174"/>
      <c r="X164" s="174"/>
      <c r="Y164" s="174"/>
      <c r="Z164" s="174"/>
    </row>
    <row r="165" customFormat="false" ht="15.75" hidden="false" customHeight="false" outlineLevel="0" collapsed="false">
      <c r="A165" s="174"/>
      <c r="B165" s="174"/>
      <c r="C165" s="174"/>
      <c r="D165" s="174"/>
      <c r="E165" s="174"/>
      <c r="F165" s="174"/>
      <c r="G165" s="174"/>
      <c r="H165" s="174"/>
      <c r="I165" s="174"/>
      <c r="J165" s="174"/>
      <c r="K165" s="174"/>
      <c r="L165" s="174"/>
      <c r="M165" s="174"/>
      <c r="N165" s="174"/>
      <c r="O165" s="174"/>
      <c r="P165" s="174"/>
      <c r="Q165" s="174"/>
      <c r="R165" s="174"/>
      <c r="S165" s="174"/>
      <c r="T165" s="174"/>
      <c r="U165" s="174"/>
      <c r="V165" s="174"/>
      <c r="W165" s="174"/>
      <c r="X165" s="174"/>
      <c r="Y165" s="174"/>
      <c r="Z165" s="174"/>
    </row>
    <row r="166" customFormat="false" ht="15.75" hidden="false" customHeight="false" outlineLevel="0" collapsed="false">
      <c r="A166" s="174"/>
      <c r="B166" s="174"/>
      <c r="C166" s="174"/>
      <c r="D166" s="174"/>
      <c r="E166" s="174"/>
      <c r="F166" s="174"/>
      <c r="G166" s="174"/>
      <c r="H166" s="174"/>
      <c r="I166" s="174"/>
      <c r="J166" s="174"/>
      <c r="K166" s="174"/>
      <c r="L166" s="174"/>
      <c r="M166" s="174"/>
      <c r="N166" s="174"/>
      <c r="O166" s="174"/>
      <c r="P166" s="174"/>
      <c r="Q166" s="174"/>
      <c r="R166" s="174"/>
      <c r="S166" s="174"/>
      <c r="T166" s="174"/>
      <c r="U166" s="174"/>
      <c r="V166" s="174"/>
      <c r="W166" s="174"/>
      <c r="X166" s="174"/>
      <c r="Y166" s="174"/>
      <c r="Z166" s="174"/>
    </row>
    <row r="167" customFormat="false" ht="15.75" hidden="false" customHeight="false" outlineLevel="0" collapsed="false">
      <c r="A167" s="174"/>
      <c r="B167" s="174"/>
      <c r="C167" s="174"/>
      <c r="D167" s="174"/>
      <c r="E167" s="174"/>
      <c r="F167" s="174"/>
      <c r="G167" s="174"/>
      <c r="H167" s="174"/>
      <c r="I167" s="174"/>
      <c r="J167" s="174"/>
      <c r="K167" s="174"/>
      <c r="L167" s="174"/>
      <c r="M167" s="174"/>
      <c r="N167" s="174"/>
      <c r="O167" s="174"/>
      <c r="P167" s="174"/>
      <c r="Q167" s="174"/>
      <c r="R167" s="174"/>
      <c r="S167" s="174"/>
      <c r="T167" s="174"/>
      <c r="U167" s="174"/>
      <c r="V167" s="174"/>
      <c r="W167" s="174"/>
      <c r="X167" s="174"/>
      <c r="Y167" s="174"/>
      <c r="Z167" s="174"/>
    </row>
    <row r="168" customFormat="false" ht="15.75" hidden="false" customHeight="false" outlineLevel="0" collapsed="false">
      <c r="A168" s="174"/>
      <c r="B168" s="174"/>
      <c r="C168" s="174"/>
      <c r="D168" s="174"/>
      <c r="E168" s="174"/>
      <c r="F168" s="174"/>
      <c r="G168" s="174"/>
      <c r="H168" s="174"/>
      <c r="I168" s="174"/>
      <c r="J168" s="174"/>
      <c r="K168" s="174"/>
      <c r="L168" s="174"/>
      <c r="M168" s="174"/>
      <c r="N168" s="174"/>
      <c r="O168" s="174"/>
      <c r="P168" s="174"/>
      <c r="Q168" s="174"/>
      <c r="R168" s="174"/>
      <c r="S168" s="174"/>
      <c r="T168" s="174"/>
      <c r="U168" s="174"/>
      <c r="V168" s="174"/>
      <c r="W168" s="174"/>
      <c r="X168" s="174"/>
      <c r="Y168" s="174"/>
      <c r="Z168" s="174"/>
    </row>
    <row r="169" customFormat="false" ht="15.75" hidden="false" customHeight="false" outlineLevel="0" collapsed="false">
      <c r="A169" s="174"/>
      <c r="B169" s="174"/>
      <c r="C169" s="174"/>
      <c r="D169" s="174"/>
      <c r="E169" s="174"/>
      <c r="F169" s="174"/>
      <c r="G169" s="174"/>
      <c r="H169" s="174"/>
      <c r="I169" s="174"/>
      <c r="J169" s="174"/>
      <c r="K169" s="174"/>
      <c r="L169" s="174"/>
      <c r="M169" s="174"/>
      <c r="N169" s="174"/>
      <c r="O169" s="174"/>
      <c r="P169" s="174"/>
      <c r="Q169" s="174"/>
      <c r="R169" s="174"/>
      <c r="S169" s="174"/>
      <c r="T169" s="174"/>
      <c r="U169" s="174"/>
      <c r="V169" s="174"/>
      <c r="W169" s="174"/>
      <c r="X169" s="174"/>
      <c r="Y169" s="174"/>
      <c r="Z169" s="174"/>
    </row>
    <row r="170" customFormat="false" ht="15.75" hidden="false" customHeight="false" outlineLevel="0" collapsed="false">
      <c r="A170" s="174"/>
      <c r="B170" s="174"/>
      <c r="C170" s="174"/>
      <c r="D170" s="174"/>
      <c r="E170" s="174"/>
      <c r="F170" s="174"/>
      <c r="G170" s="174"/>
      <c r="H170" s="174"/>
      <c r="I170" s="174"/>
      <c r="J170" s="174"/>
      <c r="K170" s="174"/>
      <c r="L170" s="174"/>
      <c r="M170" s="174"/>
      <c r="N170" s="174"/>
      <c r="O170" s="174"/>
      <c r="P170" s="174"/>
      <c r="Q170" s="174"/>
      <c r="R170" s="174"/>
      <c r="S170" s="174"/>
      <c r="T170" s="174"/>
      <c r="U170" s="174"/>
      <c r="V170" s="174"/>
      <c r="W170" s="174"/>
      <c r="X170" s="174"/>
      <c r="Y170" s="174"/>
      <c r="Z170" s="174"/>
    </row>
    <row r="171" customFormat="false" ht="15.75" hidden="false" customHeight="false" outlineLevel="0" collapsed="false">
      <c r="A171" s="174"/>
      <c r="B171" s="174"/>
      <c r="C171" s="174"/>
      <c r="D171" s="174"/>
      <c r="E171" s="174"/>
      <c r="F171" s="174"/>
      <c r="G171" s="174"/>
      <c r="H171" s="174"/>
      <c r="I171" s="174"/>
      <c r="J171" s="174"/>
      <c r="K171" s="174"/>
      <c r="L171" s="174"/>
      <c r="M171" s="174"/>
      <c r="N171" s="174"/>
      <c r="O171" s="174"/>
      <c r="P171" s="174"/>
      <c r="Q171" s="174"/>
      <c r="R171" s="174"/>
      <c r="S171" s="174"/>
      <c r="T171" s="174"/>
      <c r="U171" s="174"/>
      <c r="V171" s="174"/>
      <c r="W171" s="174"/>
      <c r="X171" s="174"/>
      <c r="Y171" s="174"/>
      <c r="Z171" s="174"/>
    </row>
    <row r="172" customFormat="false" ht="15.75" hidden="false" customHeight="false" outlineLevel="0" collapsed="false">
      <c r="A172" s="174"/>
      <c r="B172" s="174"/>
      <c r="C172" s="174"/>
      <c r="D172" s="174"/>
      <c r="E172" s="174"/>
      <c r="F172" s="174"/>
      <c r="G172" s="174"/>
      <c r="H172" s="174"/>
      <c r="I172" s="174"/>
      <c r="J172" s="174"/>
      <c r="K172" s="174"/>
      <c r="L172" s="174"/>
      <c r="M172" s="174"/>
      <c r="N172" s="174"/>
      <c r="O172" s="174"/>
      <c r="P172" s="174"/>
      <c r="Q172" s="174"/>
      <c r="R172" s="174"/>
      <c r="S172" s="174"/>
      <c r="T172" s="174"/>
      <c r="U172" s="174"/>
      <c r="V172" s="174"/>
      <c r="W172" s="174"/>
      <c r="X172" s="174"/>
      <c r="Y172" s="174"/>
      <c r="Z172" s="174"/>
    </row>
    <row r="173" customFormat="false" ht="15.75" hidden="false" customHeight="false" outlineLevel="0" collapsed="false">
      <c r="A173" s="174"/>
      <c r="B173" s="174"/>
      <c r="C173" s="174"/>
      <c r="D173" s="174"/>
      <c r="E173" s="174"/>
      <c r="F173" s="174"/>
      <c r="G173" s="174"/>
      <c r="H173" s="174"/>
      <c r="I173" s="174"/>
      <c r="J173" s="174"/>
      <c r="K173" s="174"/>
      <c r="L173" s="174"/>
      <c r="M173" s="174"/>
      <c r="N173" s="174"/>
      <c r="O173" s="174"/>
      <c r="P173" s="174"/>
      <c r="Q173" s="174"/>
      <c r="R173" s="174"/>
      <c r="S173" s="174"/>
      <c r="T173" s="174"/>
      <c r="U173" s="174"/>
      <c r="V173" s="174"/>
      <c r="W173" s="174"/>
      <c r="X173" s="174"/>
      <c r="Y173" s="174"/>
      <c r="Z173" s="174"/>
    </row>
    <row r="174" customFormat="false" ht="15.75" hidden="false" customHeight="false" outlineLevel="0" collapsed="false">
      <c r="A174" s="174"/>
      <c r="B174" s="174"/>
      <c r="C174" s="174"/>
      <c r="D174" s="174"/>
      <c r="E174" s="174"/>
      <c r="F174" s="174"/>
      <c r="G174" s="174"/>
      <c r="H174" s="174"/>
      <c r="I174" s="174"/>
      <c r="J174" s="174"/>
      <c r="K174" s="174"/>
      <c r="L174" s="174"/>
      <c r="M174" s="174"/>
      <c r="N174" s="174"/>
      <c r="O174" s="174"/>
      <c r="P174" s="174"/>
      <c r="Q174" s="174"/>
      <c r="R174" s="174"/>
      <c r="S174" s="174"/>
      <c r="T174" s="174"/>
      <c r="U174" s="174"/>
      <c r="V174" s="174"/>
      <c r="W174" s="174"/>
      <c r="X174" s="174"/>
      <c r="Y174" s="174"/>
      <c r="Z174" s="174"/>
    </row>
    <row r="175" customFormat="false" ht="15.75" hidden="false" customHeight="false" outlineLevel="0" collapsed="false">
      <c r="A175" s="174"/>
      <c r="B175" s="174"/>
      <c r="C175" s="174"/>
      <c r="D175" s="174"/>
      <c r="E175" s="174"/>
      <c r="F175" s="174"/>
      <c r="G175" s="174"/>
      <c r="H175" s="174"/>
      <c r="I175" s="174"/>
      <c r="J175" s="174"/>
      <c r="K175" s="174"/>
      <c r="L175" s="174"/>
      <c r="M175" s="174"/>
      <c r="N175" s="174"/>
      <c r="O175" s="174"/>
      <c r="P175" s="174"/>
      <c r="Q175" s="174"/>
      <c r="R175" s="174"/>
      <c r="S175" s="174"/>
      <c r="T175" s="174"/>
      <c r="U175" s="174"/>
      <c r="V175" s="174"/>
      <c r="W175" s="174"/>
      <c r="X175" s="174"/>
      <c r="Y175" s="174"/>
      <c r="Z175" s="174"/>
    </row>
    <row r="176" customFormat="false" ht="15.75" hidden="false" customHeight="false" outlineLevel="0" collapsed="false">
      <c r="A176" s="174"/>
      <c r="B176" s="174"/>
      <c r="C176" s="174"/>
      <c r="D176" s="174"/>
      <c r="E176" s="174"/>
      <c r="F176" s="174"/>
      <c r="G176" s="174"/>
      <c r="H176" s="174"/>
      <c r="I176" s="174"/>
      <c r="J176" s="174"/>
      <c r="K176" s="174"/>
      <c r="L176" s="174"/>
      <c r="M176" s="174"/>
      <c r="N176" s="174"/>
      <c r="O176" s="174"/>
      <c r="P176" s="174"/>
      <c r="Q176" s="174"/>
      <c r="R176" s="174"/>
      <c r="S176" s="174"/>
      <c r="T176" s="174"/>
      <c r="U176" s="174"/>
      <c r="V176" s="174"/>
      <c r="W176" s="174"/>
      <c r="X176" s="174"/>
      <c r="Y176" s="174"/>
      <c r="Z176" s="174"/>
    </row>
    <row r="177" customFormat="false" ht="15.75" hidden="false" customHeight="false" outlineLevel="0" collapsed="false">
      <c r="A177" s="174"/>
      <c r="B177" s="174"/>
      <c r="C177" s="174"/>
      <c r="D177" s="174"/>
      <c r="E177" s="174"/>
      <c r="F177" s="174"/>
      <c r="G177" s="174"/>
      <c r="H177" s="174"/>
      <c r="I177" s="174"/>
      <c r="J177" s="174"/>
      <c r="K177" s="174"/>
      <c r="L177" s="174"/>
      <c r="M177" s="174"/>
      <c r="N177" s="174"/>
      <c r="O177" s="174"/>
      <c r="P177" s="174"/>
      <c r="Q177" s="174"/>
      <c r="R177" s="174"/>
      <c r="S177" s="174"/>
      <c r="T177" s="174"/>
      <c r="U177" s="174"/>
      <c r="V177" s="174"/>
      <c r="W177" s="174"/>
      <c r="X177" s="174"/>
      <c r="Y177" s="174"/>
      <c r="Z177" s="174"/>
    </row>
    <row r="178" customFormat="false" ht="15.75" hidden="false" customHeight="false" outlineLevel="0" collapsed="false">
      <c r="A178" s="174"/>
      <c r="B178" s="174"/>
      <c r="C178" s="174"/>
      <c r="D178" s="174"/>
      <c r="E178" s="174"/>
      <c r="F178" s="174"/>
      <c r="G178" s="174"/>
      <c r="H178" s="174"/>
      <c r="I178" s="174"/>
      <c r="J178" s="174"/>
      <c r="K178" s="174"/>
      <c r="L178" s="174"/>
      <c r="M178" s="174"/>
      <c r="N178" s="174"/>
      <c r="O178" s="174"/>
      <c r="P178" s="174"/>
      <c r="Q178" s="174"/>
      <c r="R178" s="174"/>
      <c r="S178" s="174"/>
      <c r="T178" s="174"/>
      <c r="U178" s="174"/>
      <c r="V178" s="174"/>
      <c r="W178" s="174"/>
      <c r="X178" s="174"/>
      <c r="Y178" s="174"/>
      <c r="Z178" s="174"/>
    </row>
    <row r="179" customFormat="false" ht="15.75" hidden="false" customHeight="false" outlineLevel="0" collapsed="false">
      <c r="A179" s="174"/>
      <c r="B179" s="174"/>
      <c r="C179" s="174"/>
      <c r="D179" s="174"/>
      <c r="E179" s="174"/>
      <c r="F179" s="174"/>
      <c r="G179" s="174"/>
      <c r="H179" s="174"/>
      <c r="I179" s="174"/>
      <c r="J179" s="174"/>
      <c r="K179" s="174"/>
      <c r="L179" s="174"/>
      <c r="M179" s="174"/>
      <c r="N179" s="174"/>
      <c r="O179" s="174"/>
      <c r="P179" s="174"/>
      <c r="Q179" s="174"/>
      <c r="R179" s="174"/>
      <c r="S179" s="174"/>
      <c r="T179" s="174"/>
      <c r="U179" s="174"/>
      <c r="V179" s="174"/>
      <c r="W179" s="174"/>
      <c r="X179" s="174"/>
      <c r="Y179" s="174"/>
      <c r="Z179" s="174"/>
    </row>
    <row r="180" customFormat="false" ht="15.75" hidden="false" customHeight="false" outlineLevel="0" collapsed="false">
      <c r="A180" s="174"/>
      <c r="B180" s="174"/>
      <c r="C180" s="174"/>
      <c r="D180" s="174"/>
      <c r="E180" s="174"/>
      <c r="F180" s="174"/>
      <c r="G180" s="174"/>
      <c r="H180" s="174"/>
      <c r="I180" s="174"/>
      <c r="J180" s="174"/>
      <c r="K180" s="174"/>
      <c r="L180" s="174"/>
      <c r="M180" s="174"/>
      <c r="N180" s="174"/>
      <c r="O180" s="174"/>
      <c r="P180" s="174"/>
      <c r="Q180" s="174"/>
      <c r="R180" s="174"/>
      <c r="S180" s="174"/>
      <c r="T180" s="174"/>
      <c r="U180" s="174"/>
      <c r="V180" s="174"/>
      <c r="W180" s="174"/>
      <c r="X180" s="174"/>
      <c r="Y180" s="174"/>
      <c r="Z180" s="174"/>
    </row>
    <row r="181" customFormat="false" ht="15.75" hidden="false" customHeight="false" outlineLevel="0" collapsed="false">
      <c r="A181" s="174"/>
      <c r="B181" s="174"/>
      <c r="C181" s="174"/>
      <c r="D181" s="174"/>
      <c r="E181" s="174"/>
      <c r="F181" s="174"/>
      <c r="G181" s="174"/>
      <c r="H181" s="174"/>
      <c r="I181" s="174"/>
      <c r="J181" s="174"/>
      <c r="K181" s="174"/>
      <c r="L181" s="174"/>
      <c r="M181" s="174"/>
      <c r="N181" s="174"/>
      <c r="O181" s="174"/>
      <c r="P181" s="174"/>
      <c r="Q181" s="174"/>
      <c r="R181" s="174"/>
      <c r="S181" s="174"/>
      <c r="T181" s="174"/>
      <c r="U181" s="174"/>
      <c r="V181" s="174"/>
      <c r="W181" s="174"/>
      <c r="X181" s="174"/>
      <c r="Y181" s="174"/>
      <c r="Z181" s="174"/>
    </row>
    <row r="182" customFormat="false" ht="15.75" hidden="false" customHeight="false" outlineLevel="0" collapsed="false">
      <c r="A182" s="174"/>
      <c r="B182" s="174"/>
      <c r="C182" s="174"/>
      <c r="D182" s="174"/>
      <c r="E182" s="174"/>
      <c r="F182" s="174"/>
      <c r="G182" s="174"/>
      <c r="H182" s="174"/>
      <c r="I182" s="174"/>
      <c r="J182" s="174"/>
      <c r="K182" s="174"/>
      <c r="L182" s="174"/>
      <c r="M182" s="174"/>
      <c r="N182" s="174"/>
      <c r="O182" s="174"/>
      <c r="P182" s="174"/>
      <c r="Q182" s="174"/>
      <c r="R182" s="174"/>
      <c r="S182" s="174"/>
      <c r="T182" s="174"/>
      <c r="U182" s="174"/>
      <c r="V182" s="174"/>
      <c r="W182" s="174"/>
      <c r="X182" s="174"/>
      <c r="Y182" s="174"/>
      <c r="Z182" s="174"/>
    </row>
    <row r="183" customFormat="false" ht="15.75" hidden="false" customHeight="false" outlineLevel="0" collapsed="false">
      <c r="A183" s="174"/>
      <c r="B183" s="174"/>
      <c r="C183" s="174"/>
      <c r="D183" s="174"/>
      <c r="E183" s="174"/>
      <c r="F183" s="174"/>
      <c r="G183" s="174"/>
      <c r="H183" s="174"/>
      <c r="I183" s="174"/>
      <c r="J183" s="174"/>
      <c r="K183" s="174"/>
      <c r="L183" s="174"/>
      <c r="M183" s="174"/>
      <c r="N183" s="174"/>
      <c r="O183" s="174"/>
      <c r="P183" s="174"/>
      <c r="Q183" s="174"/>
      <c r="R183" s="174"/>
      <c r="S183" s="174"/>
      <c r="T183" s="174"/>
      <c r="U183" s="174"/>
      <c r="V183" s="174"/>
      <c r="W183" s="174"/>
      <c r="X183" s="174"/>
      <c r="Y183" s="174"/>
      <c r="Z183" s="174"/>
    </row>
    <row r="184" customFormat="false" ht="15.75" hidden="false" customHeight="false" outlineLevel="0" collapsed="false">
      <c r="A184" s="174"/>
      <c r="B184" s="174"/>
      <c r="C184" s="174"/>
      <c r="D184" s="174"/>
      <c r="E184" s="174"/>
      <c r="F184" s="174"/>
      <c r="G184" s="174"/>
      <c r="H184" s="174"/>
      <c r="I184" s="174"/>
      <c r="J184" s="174"/>
      <c r="K184" s="174"/>
      <c r="L184" s="174"/>
      <c r="M184" s="174"/>
      <c r="N184" s="174"/>
      <c r="O184" s="174"/>
      <c r="P184" s="174"/>
      <c r="Q184" s="174"/>
      <c r="R184" s="174"/>
      <c r="S184" s="174"/>
      <c r="T184" s="174"/>
      <c r="U184" s="174"/>
      <c r="V184" s="174"/>
      <c r="W184" s="174"/>
      <c r="X184" s="174"/>
      <c r="Y184" s="174"/>
      <c r="Z184" s="174"/>
    </row>
    <row r="185" customFormat="false" ht="15.75" hidden="false" customHeight="false" outlineLevel="0" collapsed="false">
      <c r="A185" s="174"/>
      <c r="B185" s="174"/>
      <c r="C185" s="174"/>
      <c r="D185" s="174"/>
      <c r="E185" s="174"/>
      <c r="F185" s="174"/>
      <c r="G185" s="174"/>
      <c r="H185" s="174"/>
      <c r="I185" s="174"/>
      <c r="J185" s="174"/>
      <c r="K185" s="174"/>
      <c r="L185" s="174"/>
      <c r="M185" s="174"/>
      <c r="N185" s="174"/>
      <c r="O185" s="174"/>
      <c r="P185" s="174"/>
      <c r="Q185" s="174"/>
      <c r="R185" s="174"/>
      <c r="S185" s="174"/>
      <c r="T185" s="174"/>
      <c r="U185" s="174"/>
      <c r="V185" s="174"/>
      <c r="W185" s="174"/>
      <c r="X185" s="174"/>
      <c r="Y185" s="174"/>
      <c r="Z185" s="174"/>
    </row>
    <row r="186" customFormat="false" ht="15.75" hidden="false" customHeight="false" outlineLevel="0" collapsed="false">
      <c r="A186" s="174"/>
      <c r="B186" s="174"/>
      <c r="C186" s="174"/>
      <c r="D186" s="174"/>
      <c r="E186" s="174"/>
      <c r="F186" s="174"/>
      <c r="G186" s="174"/>
      <c r="H186" s="174"/>
      <c r="I186" s="174"/>
      <c r="J186" s="174"/>
      <c r="K186" s="174"/>
      <c r="L186" s="174"/>
      <c r="M186" s="174"/>
      <c r="N186" s="174"/>
      <c r="O186" s="174"/>
      <c r="P186" s="174"/>
      <c r="Q186" s="174"/>
      <c r="R186" s="174"/>
      <c r="S186" s="174"/>
      <c r="T186" s="174"/>
      <c r="U186" s="174"/>
      <c r="V186" s="174"/>
      <c r="W186" s="174"/>
      <c r="X186" s="174"/>
      <c r="Y186" s="174"/>
      <c r="Z186" s="174"/>
    </row>
    <row r="187" customFormat="false" ht="15.75" hidden="false" customHeight="false" outlineLevel="0" collapsed="false">
      <c r="A187" s="174"/>
      <c r="B187" s="174"/>
      <c r="C187" s="174"/>
      <c r="D187" s="174"/>
      <c r="E187" s="174"/>
      <c r="F187" s="174"/>
      <c r="G187" s="174"/>
      <c r="H187" s="174"/>
      <c r="I187" s="174"/>
      <c r="J187" s="174"/>
      <c r="K187" s="174"/>
      <c r="L187" s="174"/>
      <c r="M187" s="174"/>
      <c r="N187" s="174"/>
      <c r="O187" s="174"/>
      <c r="P187" s="174"/>
      <c r="Q187" s="174"/>
      <c r="R187" s="174"/>
      <c r="S187" s="174"/>
      <c r="T187" s="174"/>
      <c r="U187" s="174"/>
      <c r="V187" s="174"/>
      <c r="W187" s="174"/>
      <c r="X187" s="174"/>
      <c r="Y187" s="174"/>
      <c r="Z187" s="174"/>
    </row>
    <row r="188" customFormat="false" ht="15.75" hidden="false" customHeight="false" outlineLevel="0" collapsed="false">
      <c r="A188" s="174"/>
      <c r="B188" s="174"/>
      <c r="C188" s="174"/>
      <c r="D188" s="174"/>
      <c r="E188" s="174"/>
      <c r="F188" s="174"/>
      <c r="G188" s="174"/>
      <c r="H188" s="174"/>
      <c r="I188" s="174"/>
      <c r="J188" s="174"/>
      <c r="K188" s="174"/>
      <c r="L188" s="174"/>
      <c r="M188" s="174"/>
      <c r="N188" s="174"/>
      <c r="O188" s="174"/>
      <c r="P188" s="174"/>
      <c r="Q188" s="174"/>
      <c r="R188" s="174"/>
      <c r="S188" s="174"/>
      <c r="T188" s="174"/>
      <c r="U188" s="174"/>
      <c r="V188" s="174"/>
      <c r="W188" s="174"/>
      <c r="X188" s="174"/>
      <c r="Y188" s="174"/>
      <c r="Z188" s="174"/>
    </row>
    <row r="189" customFormat="false" ht="15.75" hidden="false" customHeight="false" outlineLevel="0" collapsed="false">
      <c r="A189" s="174"/>
      <c r="B189" s="174"/>
      <c r="C189" s="174"/>
      <c r="D189" s="174"/>
      <c r="E189" s="174"/>
      <c r="F189" s="174"/>
      <c r="G189" s="174"/>
      <c r="H189" s="174"/>
      <c r="I189" s="174"/>
      <c r="J189" s="174"/>
      <c r="K189" s="174"/>
      <c r="L189" s="174"/>
      <c r="M189" s="174"/>
      <c r="N189" s="174"/>
      <c r="O189" s="174"/>
      <c r="P189" s="174"/>
      <c r="Q189" s="174"/>
      <c r="R189" s="174"/>
      <c r="S189" s="174"/>
      <c r="T189" s="174"/>
      <c r="U189" s="174"/>
      <c r="V189" s="174"/>
      <c r="W189" s="174"/>
      <c r="X189" s="174"/>
      <c r="Y189" s="174"/>
      <c r="Z189" s="174"/>
    </row>
    <row r="190" customFormat="false" ht="15.75" hidden="false" customHeight="false" outlineLevel="0" collapsed="false">
      <c r="A190" s="174"/>
      <c r="B190" s="174"/>
      <c r="C190" s="174"/>
      <c r="D190" s="174"/>
      <c r="E190" s="174"/>
      <c r="F190" s="174"/>
      <c r="G190" s="174"/>
      <c r="H190" s="174"/>
      <c r="I190" s="174"/>
      <c r="J190" s="174"/>
      <c r="K190" s="174"/>
      <c r="L190" s="174"/>
      <c r="M190" s="174"/>
      <c r="N190" s="174"/>
      <c r="O190" s="174"/>
      <c r="P190" s="174"/>
      <c r="Q190" s="174"/>
      <c r="R190" s="174"/>
      <c r="S190" s="174"/>
      <c r="T190" s="174"/>
      <c r="U190" s="174"/>
      <c r="V190" s="174"/>
      <c r="W190" s="174"/>
      <c r="X190" s="174"/>
      <c r="Y190" s="174"/>
      <c r="Z190" s="174"/>
    </row>
    <row r="191" customFormat="false" ht="15.75" hidden="false" customHeight="false" outlineLevel="0" collapsed="false">
      <c r="A191" s="174"/>
      <c r="B191" s="174"/>
      <c r="C191" s="174"/>
      <c r="D191" s="174"/>
      <c r="E191" s="174"/>
      <c r="F191" s="174"/>
      <c r="G191" s="174"/>
      <c r="H191" s="174"/>
      <c r="I191" s="174"/>
      <c r="J191" s="174"/>
      <c r="K191" s="174"/>
      <c r="L191" s="174"/>
      <c r="M191" s="174"/>
      <c r="N191" s="174"/>
      <c r="O191" s="174"/>
      <c r="P191" s="174"/>
      <c r="Q191" s="174"/>
      <c r="R191" s="174"/>
      <c r="S191" s="174"/>
      <c r="T191" s="174"/>
      <c r="U191" s="174"/>
      <c r="V191" s="174"/>
      <c r="W191" s="174"/>
      <c r="X191" s="174"/>
      <c r="Y191" s="174"/>
      <c r="Z191" s="174"/>
    </row>
    <row r="192" customFormat="false" ht="15.75" hidden="false" customHeight="false" outlineLevel="0" collapsed="false">
      <c r="A192" s="174"/>
      <c r="B192" s="174"/>
      <c r="C192" s="174"/>
      <c r="D192" s="174"/>
      <c r="E192" s="174"/>
      <c r="F192" s="174"/>
      <c r="G192" s="174"/>
      <c r="H192" s="174"/>
      <c r="I192" s="174"/>
      <c r="J192" s="174"/>
      <c r="K192" s="174"/>
      <c r="L192" s="174"/>
      <c r="M192" s="174"/>
      <c r="N192" s="174"/>
      <c r="O192" s="174"/>
      <c r="P192" s="174"/>
      <c r="Q192" s="174"/>
      <c r="R192" s="174"/>
      <c r="S192" s="174"/>
      <c r="T192" s="174"/>
      <c r="U192" s="174"/>
      <c r="V192" s="174"/>
      <c r="W192" s="174"/>
      <c r="X192" s="174"/>
      <c r="Y192" s="174"/>
      <c r="Z192" s="174"/>
    </row>
    <row r="193" customFormat="false" ht="15.75" hidden="false" customHeight="false" outlineLevel="0" collapsed="false">
      <c r="A193" s="174"/>
      <c r="B193" s="174"/>
      <c r="C193" s="174"/>
      <c r="D193" s="174"/>
      <c r="E193" s="174"/>
      <c r="F193" s="174"/>
      <c r="G193" s="174"/>
      <c r="H193" s="174"/>
      <c r="I193" s="174"/>
      <c r="J193" s="174"/>
      <c r="K193" s="174"/>
      <c r="L193" s="174"/>
      <c r="M193" s="174"/>
      <c r="N193" s="174"/>
      <c r="O193" s="174"/>
      <c r="P193" s="174"/>
      <c r="Q193" s="174"/>
      <c r="R193" s="174"/>
      <c r="S193" s="174"/>
      <c r="T193" s="174"/>
      <c r="U193" s="174"/>
      <c r="V193" s="174"/>
      <c r="W193" s="174"/>
      <c r="X193" s="174"/>
      <c r="Y193" s="174"/>
      <c r="Z193" s="174"/>
    </row>
    <row r="194" customFormat="false" ht="15.75" hidden="false" customHeight="false" outlineLevel="0" collapsed="false">
      <c r="A194" s="174"/>
      <c r="B194" s="174"/>
      <c r="C194" s="174"/>
      <c r="D194" s="174"/>
      <c r="E194" s="174"/>
      <c r="F194" s="174"/>
      <c r="G194" s="174"/>
      <c r="H194" s="174"/>
      <c r="I194" s="174"/>
      <c r="J194" s="174"/>
      <c r="K194" s="174"/>
      <c r="L194" s="174"/>
      <c r="M194" s="174"/>
      <c r="N194" s="174"/>
      <c r="O194" s="174"/>
      <c r="P194" s="174"/>
      <c r="Q194" s="174"/>
      <c r="R194" s="174"/>
      <c r="S194" s="174"/>
      <c r="T194" s="174"/>
      <c r="U194" s="174"/>
      <c r="V194" s="174"/>
      <c r="W194" s="174"/>
      <c r="X194" s="174"/>
      <c r="Y194" s="174"/>
      <c r="Z194" s="174"/>
    </row>
    <row r="195" customFormat="false" ht="15.75" hidden="false" customHeight="false" outlineLevel="0" collapsed="false">
      <c r="A195" s="174"/>
      <c r="B195" s="174"/>
      <c r="C195" s="174"/>
      <c r="D195" s="174"/>
      <c r="E195" s="174"/>
      <c r="F195" s="174"/>
      <c r="G195" s="174"/>
      <c r="H195" s="174"/>
      <c r="I195" s="174"/>
      <c r="J195" s="174"/>
      <c r="K195" s="174"/>
      <c r="L195" s="174"/>
      <c r="M195" s="174"/>
      <c r="N195" s="174"/>
      <c r="O195" s="174"/>
      <c r="P195" s="174"/>
      <c r="Q195" s="174"/>
      <c r="R195" s="174"/>
      <c r="S195" s="174"/>
      <c r="T195" s="174"/>
      <c r="U195" s="174"/>
      <c r="V195" s="174"/>
      <c r="W195" s="174"/>
      <c r="X195" s="174"/>
      <c r="Y195" s="174"/>
      <c r="Z195" s="174"/>
    </row>
    <row r="196" customFormat="false" ht="15.75" hidden="false" customHeight="false" outlineLevel="0" collapsed="false">
      <c r="A196" s="174"/>
      <c r="B196" s="174"/>
      <c r="C196" s="174"/>
      <c r="D196" s="174"/>
      <c r="E196" s="174"/>
      <c r="F196" s="174"/>
      <c r="G196" s="174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</row>
    <row r="197" customFormat="false" ht="15.75" hidden="false" customHeight="false" outlineLevel="0" collapsed="false">
      <c r="A197" s="174"/>
      <c r="B197" s="174"/>
      <c r="C197" s="174"/>
      <c r="D197" s="174"/>
      <c r="E197" s="174"/>
      <c r="F197" s="174"/>
      <c r="G197" s="174"/>
      <c r="H197" s="174"/>
      <c r="I197" s="174"/>
      <c r="J197" s="174"/>
      <c r="K197" s="174"/>
      <c r="L197" s="174"/>
      <c r="M197" s="174"/>
      <c r="N197" s="174"/>
      <c r="O197" s="174"/>
      <c r="P197" s="174"/>
      <c r="Q197" s="174"/>
      <c r="R197" s="174"/>
      <c r="S197" s="174"/>
      <c r="T197" s="174"/>
      <c r="U197" s="174"/>
      <c r="V197" s="174"/>
      <c r="W197" s="174"/>
      <c r="X197" s="174"/>
      <c r="Y197" s="174"/>
      <c r="Z197" s="174"/>
    </row>
    <row r="198" customFormat="false" ht="15.75" hidden="false" customHeight="false" outlineLevel="0" collapsed="false">
      <c r="A198" s="174"/>
      <c r="B198" s="174"/>
      <c r="C198" s="174"/>
      <c r="D198" s="174"/>
      <c r="E198" s="174"/>
      <c r="F198" s="174"/>
      <c r="G198" s="174"/>
      <c r="H198" s="174"/>
      <c r="I198" s="174"/>
      <c r="J198" s="174"/>
      <c r="K198" s="174"/>
      <c r="L198" s="174"/>
      <c r="M198" s="174"/>
      <c r="N198" s="174"/>
      <c r="O198" s="174"/>
      <c r="P198" s="174"/>
      <c r="Q198" s="174"/>
      <c r="R198" s="174"/>
      <c r="S198" s="174"/>
      <c r="T198" s="174"/>
      <c r="U198" s="174"/>
      <c r="V198" s="174"/>
      <c r="W198" s="174"/>
      <c r="X198" s="174"/>
      <c r="Y198" s="174"/>
      <c r="Z198" s="174"/>
    </row>
    <row r="199" customFormat="false" ht="15.75" hidden="false" customHeight="false" outlineLevel="0" collapsed="false">
      <c r="A199" s="174"/>
      <c r="B199" s="174"/>
      <c r="C199" s="174"/>
      <c r="D199" s="174"/>
      <c r="E199" s="174"/>
      <c r="F199" s="174"/>
      <c r="G199" s="174"/>
      <c r="H199" s="174"/>
      <c r="I199" s="174"/>
      <c r="J199" s="174"/>
      <c r="K199" s="174"/>
      <c r="L199" s="174"/>
      <c r="M199" s="174"/>
      <c r="N199" s="174"/>
      <c r="O199" s="174"/>
      <c r="P199" s="174"/>
      <c r="Q199" s="174"/>
      <c r="R199" s="174"/>
      <c r="S199" s="174"/>
      <c r="T199" s="174"/>
      <c r="U199" s="174"/>
      <c r="V199" s="174"/>
      <c r="W199" s="174"/>
      <c r="X199" s="174"/>
      <c r="Y199" s="174"/>
      <c r="Z199" s="174"/>
    </row>
    <row r="200" customFormat="false" ht="15.75" hidden="false" customHeight="false" outlineLevel="0" collapsed="false">
      <c r="A200" s="174"/>
      <c r="B200" s="174"/>
      <c r="C200" s="174"/>
      <c r="D200" s="174"/>
      <c r="E200" s="174"/>
      <c r="F200" s="174"/>
      <c r="G200" s="174"/>
      <c r="H200" s="174"/>
      <c r="I200" s="174"/>
      <c r="J200" s="174"/>
      <c r="K200" s="174"/>
      <c r="L200" s="174"/>
      <c r="M200" s="174"/>
      <c r="N200" s="174"/>
      <c r="O200" s="174"/>
      <c r="P200" s="174"/>
      <c r="Q200" s="174"/>
      <c r="R200" s="174"/>
      <c r="S200" s="174"/>
      <c r="T200" s="174"/>
      <c r="U200" s="174"/>
      <c r="V200" s="174"/>
      <c r="W200" s="174"/>
      <c r="X200" s="174"/>
      <c r="Y200" s="174"/>
      <c r="Z200" s="174"/>
    </row>
    <row r="201" customFormat="false" ht="15.75" hidden="false" customHeight="false" outlineLevel="0" collapsed="false">
      <c r="A201" s="174"/>
      <c r="B201" s="174"/>
      <c r="C201" s="174"/>
      <c r="D201" s="174"/>
      <c r="E201" s="174"/>
      <c r="F201" s="174"/>
      <c r="G201" s="174"/>
      <c r="H201" s="174"/>
      <c r="I201" s="174"/>
      <c r="J201" s="174"/>
      <c r="K201" s="174"/>
      <c r="L201" s="174"/>
      <c r="M201" s="174"/>
      <c r="N201" s="174"/>
      <c r="O201" s="174"/>
      <c r="P201" s="174"/>
      <c r="Q201" s="174"/>
      <c r="R201" s="174"/>
      <c r="S201" s="174"/>
      <c r="T201" s="174"/>
      <c r="U201" s="174"/>
      <c r="V201" s="174"/>
      <c r="W201" s="174"/>
      <c r="X201" s="174"/>
      <c r="Y201" s="174"/>
      <c r="Z201" s="174"/>
    </row>
    <row r="202" customFormat="false" ht="15.75" hidden="false" customHeight="false" outlineLevel="0" collapsed="false">
      <c r="A202" s="174"/>
      <c r="B202" s="174"/>
      <c r="C202" s="174"/>
      <c r="D202" s="174"/>
      <c r="E202" s="174"/>
      <c r="F202" s="174"/>
      <c r="G202" s="174"/>
      <c r="H202" s="174"/>
      <c r="I202" s="174"/>
      <c r="J202" s="174"/>
      <c r="K202" s="174"/>
      <c r="L202" s="174"/>
      <c r="M202" s="174"/>
      <c r="N202" s="174"/>
      <c r="O202" s="174"/>
      <c r="P202" s="174"/>
      <c r="Q202" s="174"/>
      <c r="R202" s="174"/>
      <c r="S202" s="174"/>
      <c r="T202" s="174"/>
      <c r="U202" s="174"/>
      <c r="V202" s="174"/>
      <c r="W202" s="174"/>
      <c r="X202" s="174"/>
      <c r="Y202" s="174"/>
      <c r="Z202" s="174"/>
    </row>
    <row r="203" customFormat="false" ht="15.75" hidden="false" customHeight="false" outlineLevel="0" collapsed="false">
      <c r="A203" s="174"/>
      <c r="B203" s="174"/>
      <c r="C203" s="174"/>
      <c r="D203" s="174"/>
      <c r="E203" s="174"/>
      <c r="F203" s="174"/>
      <c r="G203" s="174"/>
      <c r="H203" s="174"/>
      <c r="I203" s="174"/>
      <c r="J203" s="174"/>
      <c r="K203" s="174"/>
      <c r="L203" s="174"/>
      <c r="M203" s="174"/>
      <c r="N203" s="174"/>
      <c r="O203" s="174"/>
      <c r="P203" s="174"/>
      <c r="Q203" s="174"/>
      <c r="R203" s="174"/>
      <c r="S203" s="174"/>
      <c r="T203" s="174"/>
      <c r="U203" s="174"/>
      <c r="V203" s="174"/>
      <c r="W203" s="174"/>
      <c r="X203" s="174"/>
      <c r="Y203" s="174"/>
      <c r="Z203" s="174"/>
    </row>
    <row r="204" customFormat="false" ht="15.75" hidden="false" customHeight="false" outlineLevel="0" collapsed="false">
      <c r="A204" s="174"/>
      <c r="B204" s="174"/>
      <c r="C204" s="174"/>
      <c r="D204" s="174"/>
      <c r="E204" s="174"/>
      <c r="F204" s="174"/>
      <c r="G204" s="174"/>
      <c r="H204" s="174"/>
      <c r="I204" s="174"/>
      <c r="J204" s="174"/>
      <c r="K204" s="174"/>
      <c r="L204" s="174"/>
      <c r="M204" s="174"/>
      <c r="N204" s="174"/>
      <c r="O204" s="174"/>
      <c r="P204" s="174"/>
      <c r="Q204" s="174"/>
      <c r="R204" s="174"/>
      <c r="S204" s="174"/>
      <c r="T204" s="174"/>
      <c r="U204" s="174"/>
      <c r="V204" s="174"/>
      <c r="W204" s="174"/>
      <c r="X204" s="174"/>
      <c r="Y204" s="174"/>
      <c r="Z204" s="174"/>
    </row>
    <row r="205" customFormat="false" ht="15.75" hidden="false" customHeight="false" outlineLevel="0" collapsed="false">
      <c r="A205" s="174"/>
      <c r="B205" s="174"/>
      <c r="C205" s="174"/>
      <c r="D205" s="174"/>
      <c r="E205" s="174"/>
      <c r="F205" s="174"/>
      <c r="G205" s="174"/>
      <c r="H205" s="174"/>
      <c r="I205" s="174"/>
      <c r="J205" s="174"/>
      <c r="K205" s="174"/>
      <c r="L205" s="174"/>
      <c r="M205" s="174"/>
      <c r="N205" s="174"/>
      <c r="O205" s="174"/>
      <c r="P205" s="174"/>
      <c r="Q205" s="174"/>
      <c r="R205" s="174"/>
      <c r="S205" s="174"/>
      <c r="T205" s="174"/>
      <c r="U205" s="174"/>
      <c r="V205" s="174"/>
      <c r="W205" s="174"/>
      <c r="X205" s="174"/>
      <c r="Y205" s="174"/>
      <c r="Z205" s="174"/>
    </row>
    <row r="206" customFormat="false" ht="15.75" hidden="false" customHeight="false" outlineLevel="0" collapsed="false">
      <c r="A206" s="174"/>
      <c r="B206" s="174"/>
      <c r="C206" s="174"/>
      <c r="D206" s="174"/>
      <c r="E206" s="174"/>
      <c r="F206" s="174"/>
      <c r="G206" s="174"/>
      <c r="H206" s="174"/>
      <c r="I206" s="174"/>
      <c r="J206" s="174"/>
      <c r="K206" s="174"/>
      <c r="L206" s="174"/>
      <c r="M206" s="174"/>
      <c r="N206" s="174"/>
      <c r="O206" s="174"/>
      <c r="P206" s="174"/>
      <c r="Q206" s="174"/>
      <c r="R206" s="174"/>
      <c r="S206" s="174"/>
      <c r="T206" s="174"/>
      <c r="U206" s="174"/>
      <c r="V206" s="174"/>
      <c r="W206" s="174"/>
      <c r="X206" s="174"/>
      <c r="Y206" s="174"/>
      <c r="Z206" s="174"/>
    </row>
    <row r="207" customFormat="false" ht="15.75" hidden="false" customHeight="false" outlineLevel="0" collapsed="false">
      <c r="A207" s="174"/>
      <c r="B207" s="174"/>
      <c r="C207" s="174"/>
      <c r="D207" s="174"/>
      <c r="E207" s="174"/>
      <c r="F207" s="174"/>
      <c r="G207" s="174"/>
      <c r="H207" s="174"/>
      <c r="I207" s="174"/>
      <c r="J207" s="174"/>
      <c r="K207" s="174"/>
      <c r="L207" s="174"/>
      <c r="M207" s="174"/>
      <c r="N207" s="174"/>
      <c r="O207" s="174"/>
      <c r="P207" s="174"/>
      <c r="Q207" s="174"/>
      <c r="R207" s="174"/>
      <c r="S207" s="174"/>
      <c r="T207" s="174"/>
      <c r="U207" s="174"/>
      <c r="V207" s="174"/>
      <c r="W207" s="174"/>
      <c r="X207" s="174"/>
      <c r="Y207" s="174"/>
      <c r="Z207" s="174"/>
    </row>
    <row r="208" customFormat="false" ht="15.75" hidden="false" customHeight="false" outlineLevel="0" collapsed="false">
      <c r="A208" s="174"/>
      <c r="B208" s="174"/>
      <c r="C208" s="174"/>
      <c r="D208" s="174"/>
      <c r="E208" s="174"/>
      <c r="F208" s="174"/>
      <c r="G208" s="174"/>
      <c r="H208" s="174"/>
      <c r="I208" s="174"/>
      <c r="J208" s="174"/>
      <c r="K208" s="174"/>
      <c r="L208" s="174"/>
      <c r="M208" s="174"/>
      <c r="N208" s="174"/>
      <c r="O208" s="174"/>
      <c r="P208" s="174"/>
      <c r="Q208" s="174"/>
      <c r="R208" s="174"/>
      <c r="S208" s="174"/>
      <c r="T208" s="174"/>
      <c r="U208" s="174"/>
      <c r="V208" s="174"/>
      <c r="W208" s="174"/>
      <c r="X208" s="174"/>
      <c r="Y208" s="174"/>
      <c r="Z208" s="174"/>
    </row>
    <row r="209" customFormat="false" ht="15.75" hidden="false" customHeight="false" outlineLevel="0" collapsed="false">
      <c r="A209" s="174"/>
      <c r="B209" s="174"/>
      <c r="C209" s="174"/>
      <c r="D209" s="174"/>
      <c r="E209" s="174"/>
      <c r="F209" s="174"/>
      <c r="G209" s="174"/>
      <c r="H209" s="174"/>
      <c r="I209" s="174"/>
      <c r="J209" s="174"/>
      <c r="K209" s="174"/>
      <c r="L209" s="174"/>
      <c r="M209" s="174"/>
      <c r="N209" s="174"/>
      <c r="O209" s="174"/>
      <c r="P209" s="174"/>
      <c r="Q209" s="174"/>
      <c r="R209" s="174"/>
      <c r="S209" s="174"/>
      <c r="T209" s="174"/>
      <c r="U209" s="174"/>
      <c r="V209" s="174"/>
      <c r="W209" s="174"/>
      <c r="X209" s="174"/>
      <c r="Y209" s="174"/>
      <c r="Z209" s="174"/>
    </row>
    <row r="210" customFormat="false" ht="15.75" hidden="false" customHeight="false" outlineLevel="0" collapsed="false">
      <c r="A210" s="174"/>
      <c r="B210" s="174"/>
      <c r="C210" s="174"/>
      <c r="D210" s="174"/>
      <c r="E210" s="174"/>
      <c r="F210" s="174"/>
      <c r="G210" s="174"/>
      <c r="H210" s="174"/>
      <c r="I210" s="174"/>
      <c r="J210" s="174"/>
      <c r="K210" s="174"/>
      <c r="L210" s="174"/>
      <c r="M210" s="174"/>
      <c r="N210" s="174"/>
      <c r="O210" s="174"/>
      <c r="P210" s="174"/>
      <c r="Q210" s="174"/>
      <c r="R210" s="174"/>
      <c r="S210" s="174"/>
      <c r="T210" s="174"/>
      <c r="U210" s="174"/>
      <c r="V210" s="174"/>
      <c r="W210" s="174"/>
      <c r="X210" s="174"/>
      <c r="Y210" s="174"/>
      <c r="Z210" s="174"/>
    </row>
    <row r="211" customFormat="false" ht="15.75" hidden="false" customHeight="false" outlineLevel="0" collapsed="false">
      <c r="A211" s="174"/>
      <c r="B211" s="174"/>
      <c r="C211" s="174"/>
      <c r="D211" s="174"/>
      <c r="E211" s="174"/>
      <c r="F211" s="174"/>
      <c r="G211" s="174"/>
      <c r="H211" s="174"/>
      <c r="I211" s="174"/>
      <c r="J211" s="174"/>
      <c r="K211" s="174"/>
      <c r="L211" s="174"/>
      <c r="M211" s="174"/>
      <c r="N211" s="174"/>
      <c r="O211" s="174"/>
      <c r="P211" s="174"/>
      <c r="Q211" s="174"/>
      <c r="R211" s="174"/>
      <c r="S211" s="174"/>
      <c r="T211" s="174"/>
      <c r="U211" s="174"/>
      <c r="V211" s="174"/>
      <c r="W211" s="174"/>
      <c r="X211" s="174"/>
      <c r="Y211" s="174"/>
      <c r="Z211" s="174"/>
    </row>
    <row r="212" customFormat="false" ht="15.75" hidden="false" customHeight="false" outlineLevel="0" collapsed="false">
      <c r="A212" s="174"/>
      <c r="B212" s="174"/>
      <c r="C212" s="174"/>
      <c r="D212" s="174"/>
      <c r="E212" s="174"/>
      <c r="F212" s="174"/>
      <c r="G212" s="174"/>
      <c r="H212" s="174"/>
      <c r="I212" s="174"/>
      <c r="J212" s="174"/>
      <c r="K212" s="174"/>
      <c r="L212" s="174"/>
      <c r="M212" s="174"/>
      <c r="N212" s="174"/>
      <c r="O212" s="174"/>
      <c r="P212" s="174"/>
      <c r="Q212" s="174"/>
      <c r="R212" s="174"/>
      <c r="S212" s="174"/>
      <c r="T212" s="174"/>
      <c r="U212" s="174"/>
      <c r="V212" s="174"/>
      <c r="W212" s="174"/>
      <c r="X212" s="174"/>
      <c r="Y212" s="174"/>
      <c r="Z212" s="174"/>
    </row>
    <row r="213" customFormat="false" ht="15.75" hidden="false" customHeight="false" outlineLevel="0" collapsed="false">
      <c r="A213" s="174"/>
      <c r="B213" s="174"/>
      <c r="C213" s="174"/>
      <c r="D213" s="174"/>
      <c r="E213" s="174"/>
      <c r="F213" s="174"/>
      <c r="G213" s="174"/>
      <c r="H213" s="174"/>
      <c r="I213" s="174"/>
      <c r="J213" s="174"/>
      <c r="K213" s="174"/>
      <c r="L213" s="174"/>
      <c r="M213" s="174"/>
      <c r="N213" s="174"/>
      <c r="O213" s="174"/>
      <c r="P213" s="174"/>
      <c r="Q213" s="174"/>
      <c r="R213" s="174"/>
      <c r="S213" s="174"/>
      <c r="T213" s="174"/>
      <c r="U213" s="174"/>
      <c r="V213" s="174"/>
      <c r="W213" s="174"/>
      <c r="X213" s="174"/>
      <c r="Y213" s="174"/>
      <c r="Z213" s="174"/>
    </row>
    <row r="214" customFormat="false" ht="15.75" hidden="false" customHeight="false" outlineLevel="0" collapsed="false">
      <c r="A214" s="174"/>
      <c r="B214" s="174"/>
      <c r="C214" s="174"/>
      <c r="D214" s="174"/>
      <c r="E214" s="174"/>
      <c r="F214" s="174"/>
      <c r="G214" s="174"/>
      <c r="H214" s="174"/>
      <c r="I214" s="174"/>
      <c r="J214" s="174"/>
      <c r="K214" s="174"/>
      <c r="L214" s="174"/>
      <c r="M214" s="174"/>
      <c r="N214" s="174"/>
      <c r="O214" s="174"/>
      <c r="P214" s="174"/>
      <c r="Q214" s="174"/>
      <c r="R214" s="174"/>
      <c r="S214" s="174"/>
      <c r="T214" s="174"/>
      <c r="U214" s="174"/>
      <c r="V214" s="174"/>
      <c r="W214" s="174"/>
      <c r="X214" s="174"/>
      <c r="Y214" s="174"/>
      <c r="Z214" s="174"/>
    </row>
    <row r="215" customFormat="false" ht="15.75" hidden="false" customHeight="false" outlineLevel="0" collapsed="false">
      <c r="A215" s="174"/>
      <c r="B215" s="174"/>
      <c r="C215" s="174"/>
      <c r="D215" s="174"/>
      <c r="E215" s="174"/>
      <c r="F215" s="174"/>
      <c r="G215" s="174"/>
      <c r="H215" s="174"/>
      <c r="I215" s="174"/>
      <c r="J215" s="174"/>
      <c r="K215" s="174"/>
      <c r="L215" s="174"/>
      <c r="M215" s="174"/>
      <c r="N215" s="174"/>
      <c r="O215" s="174"/>
      <c r="P215" s="174"/>
      <c r="Q215" s="174"/>
      <c r="R215" s="174"/>
      <c r="S215" s="174"/>
      <c r="T215" s="174"/>
      <c r="U215" s="174"/>
      <c r="V215" s="174"/>
      <c r="W215" s="174"/>
      <c r="X215" s="174"/>
      <c r="Y215" s="174"/>
      <c r="Z215" s="174"/>
    </row>
    <row r="216" customFormat="false" ht="15.75" hidden="false" customHeight="false" outlineLevel="0" collapsed="false">
      <c r="A216" s="174"/>
      <c r="B216" s="174"/>
      <c r="C216" s="174"/>
      <c r="D216" s="174"/>
      <c r="E216" s="174"/>
      <c r="F216" s="174"/>
      <c r="G216" s="174"/>
      <c r="H216" s="174"/>
      <c r="I216" s="174"/>
      <c r="J216" s="174"/>
      <c r="K216" s="174"/>
      <c r="L216" s="174"/>
      <c r="M216" s="174"/>
      <c r="N216" s="174"/>
      <c r="O216" s="174"/>
      <c r="P216" s="174"/>
      <c r="Q216" s="174"/>
      <c r="R216" s="174"/>
      <c r="S216" s="174"/>
      <c r="T216" s="174"/>
      <c r="U216" s="174"/>
      <c r="V216" s="174"/>
      <c r="W216" s="174"/>
      <c r="X216" s="174"/>
      <c r="Y216" s="174"/>
      <c r="Z216" s="174"/>
    </row>
    <row r="217" customFormat="false" ht="15.75" hidden="false" customHeight="false" outlineLevel="0" collapsed="false">
      <c r="A217" s="174"/>
      <c r="B217" s="174"/>
      <c r="C217" s="174"/>
      <c r="D217" s="174"/>
      <c r="E217" s="174"/>
      <c r="F217" s="174"/>
      <c r="G217" s="174"/>
      <c r="H217" s="174"/>
      <c r="I217" s="174"/>
      <c r="J217" s="174"/>
      <c r="K217" s="174"/>
      <c r="L217" s="174"/>
      <c r="M217" s="174"/>
      <c r="N217" s="174"/>
      <c r="O217" s="174"/>
      <c r="P217" s="174"/>
      <c r="Q217" s="174"/>
      <c r="R217" s="174"/>
      <c r="S217" s="174"/>
      <c r="T217" s="174"/>
      <c r="U217" s="174"/>
      <c r="V217" s="174"/>
      <c r="W217" s="174"/>
      <c r="X217" s="174"/>
      <c r="Y217" s="174"/>
      <c r="Z217" s="174"/>
    </row>
    <row r="218" customFormat="false" ht="15.75" hidden="false" customHeight="false" outlineLevel="0" collapsed="false">
      <c r="A218" s="174"/>
      <c r="B218" s="174"/>
      <c r="C218" s="174"/>
      <c r="D218" s="174"/>
      <c r="E218" s="174"/>
      <c r="F218" s="174"/>
      <c r="G218" s="174"/>
      <c r="H218" s="174"/>
      <c r="I218" s="174"/>
      <c r="J218" s="174"/>
      <c r="K218" s="174"/>
      <c r="L218" s="174"/>
      <c r="M218" s="174"/>
      <c r="N218" s="174"/>
      <c r="O218" s="174"/>
      <c r="P218" s="174"/>
      <c r="Q218" s="174"/>
      <c r="R218" s="174"/>
      <c r="S218" s="174"/>
      <c r="T218" s="174"/>
      <c r="U218" s="174"/>
      <c r="V218" s="174"/>
      <c r="W218" s="174"/>
      <c r="X218" s="174"/>
      <c r="Y218" s="174"/>
      <c r="Z218" s="174"/>
    </row>
    <row r="219" customFormat="false" ht="15.75" hidden="false" customHeight="false" outlineLevel="0" collapsed="false">
      <c r="A219" s="174"/>
      <c r="B219" s="174"/>
      <c r="C219" s="174"/>
      <c r="D219" s="174"/>
      <c r="E219" s="174"/>
      <c r="F219" s="174"/>
      <c r="G219" s="174"/>
      <c r="H219" s="174"/>
      <c r="I219" s="174"/>
      <c r="J219" s="174"/>
      <c r="K219" s="174"/>
      <c r="L219" s="174"/>
      <c r="M219" s="174"/>
      <c r="N219" s="174"/>
      <c r="O219" s="174"/>
      <c r="P219" s="174"/>
      <c r="Q219" s="174"/>
      <c r="R219" s="174"/>
      <c r="S219" s="174"/>
      <c r="T219" s="174"/>
      <c r="U219" s="174"/>
      <c r="V219" s="174"/>
      <c r="W219" s="174"/>
      <c r="X219" s="174"/>
      <c r="Y219" s="174"/>
      <c r="Z219" s="174"/>
    </row>
    <row r="220" customFormat="false" ht="15.75" hidden="false" customHeight="false" outlineLevel="0" collapsed="false">
      <c r="A220" s="174"/>
      <c r="B220" s="174"/>
      <c r="C220" s="174"/>
      <c r="D220" s="174"/>
      <c r="E220" s="174"/>
      <c r="F220" s="174"/>
      <c r="G220" s="174"/>
      <c r="H220" s="174"/>
      <c r="I220" s="174"/>
      <c r="J220" s="174"/>
      <c r="K220" s="174"/>
      <c r="L220" s="174"/>
      <c r="M220" s="174"/>
      <c r="N220" s="174"/>
      <c r="O220" s="174"/>
      <c r="P220" s="174"/>
      <c r="Q220" s="174"/>
      <c r="R220" s="174"/>
      <c r="S220" s="174"/>
      <c r="T220" s="174"/>
      <c r="U220" s="174"/>
      <c r="V220" s="174"/>
      <c r="W220" s="174"/>
      <c r="X220" s="174"/>
      <c r="Y220" s="174"/>
      <c r="Z220" s="174"/>
    </row>
    <row r="221" customFormat="false" ht="15.75" hidden="false" customHeight="false" outlineLevel="0" collapsed="false">
      <c r="A221" s="174"/>
      <c r="B221" s="174"/>
      <c r="C221" s="174"/>
      <c r="D221" s="174"/>
      <c r="E221" s="174"/>
      <c r="F221" s="174"/>
      <c r="G221" s="174"/>
      <c r="H221" s="174"/>
      <c r="I221" s="174"/>
      <c r="J221" s="174"/>
      <c r="K221" s="174"/>
      <c r="L221" s="174"/>
      <c r="M221" s="174"/>
      <c r="N221" s="174"/>
      <c r="O221" s="174"/>
      <c r="P221" s="174"/>
      <c r="Q221" s="174"/>
      <c r="R221" s="174"/>
      <c r="S221" s="174"/>
      <c r="T221" s="174"/>
      <c r="U221" s="174"/>
      <c r="V221" s="174"/>
      <c r="W221" s="174"/>
      <c r="X221" s="174"/>
      <c r="Y221" s="174"/>
      <c r="Z221" s="174"/>
    </row>
    <row r="222" customFormat="false" ht="15.75" hidden="false" customHeight="false" outlineLevel="0" collapsed="false">
      <c r="A222" s="174"/>
      <c r="B222" s="174"/>
      <c r="C222" s="174"/>
      <c r="D222" s="174"/>
      <c r="E222" s="174"/>
      <c r="F222" s="174"/>
      <c r="G222" s="174"/>
      <c r="H222" s="174"/>
      <c r="I222" s="174"/>
      <c r="J222" s="174"/>
      <c r="K222" s="174"/>
      <c r="L222" s="174"/>
      <c r="M222" s="174"/>
      <c r="N222" s="174"/>
      <c r="O222" s="174"/>
      <c r="P222" s="174"/>
      <c r="Q222" s="174"/>
      <c r="R222" s="174"/>
      <c r="S222" s="174"/>
      <c r="T222" s="174"/>
      <c r="U222" s="174"/>
      <c r="V222" s="174"/>
      <c r="W222" s="174"/>
      <c r="X222" s="174"/>
      <c r="Y222" s="174"/>
      <c r="Z222" s="174"/>
    </row>
    <row r="223" customFormat="false" ht="15.75" hidden="false" customHeight="false" outlineLevel="0" collapsed="false">
      <c r="A223" s="174"/>
      <c r="B223" s="174"/>
      <c r="C223" s="174"/>
      <c r="D223" s="174"/>
      <c r="E223" s="174"/>
      <c r="F223" s="174"/>
      <c r="G223" s="174"/>
      <c r="H223" s="174"/>
      <c r="I223" s="174"/>
      <c r="J223" s="174"/>
      <c r="K223" s="174"/>
      <c r="L223" s="174"/>
      <c r="M223" s="174"/>
      <c r="N223" s="174"/>
      <c r="O223" s="174"/>
      <c r="P223" s="174"/>
      <c r="Q223" s="174"/>
      <c r="R223" s="174"/>
      <c r="S223" s="174"/>
      <c r="T223" s="174"/>
      <c r="U223" s="174"/>
      <c r="V223" s="174"/>
      <c r="W223" s="174"/>
      <c r="X223" s="174"/>
      <c r="Y223" s="174"/>
      <c r="Z223" s="174"/>
    </row>
    <row r="224" customFormat="false" ht="15.75" hidden="false" customHeight="false" outlineLevel="0" collapsed="false">
      <c r="A224" s="174"/>
      <c r="B224" s="174"/>
      <c r="C224" s="174"/>
      <c r="D224" s="174"/>
      <c r="E224" s="174"/>
      <c r="F224" s="174"/>
      <c r="G224" s="174"/>
      <c r="H224" s="174"/>
      <c r="I224" s="174"/>
      <c r="J224" s="174"/>
      <c r="K224" s="174"/>
      <c r="L224" s="174"/>
      <c r="M224" s="174"/>
      <c r="N224" s="174"/>
      <c r="O224" s="174"/>
      <c r="P224" s="174"/>
      <c r="Q224" s="174"/>
      <c r="R224" s="174"/>
      <c r="S224" s="174"/>
      <c r="T224" s="174"/>
      <c r="U224" s="174"/>
      <c r="V224" s="174"/>
      <c r="W224" s="174"/>
      <c r="X224" s="174"/>
      <c r="Y224" s="174"/>
      <c r="Z224" s="174"/>
    </row>
    <row r="225" customFormat="false" ht="15.75" hidden="false" customHeight="false" outlineLevel="0" collapsed="false">
      <c r="A225" s="174"/>
      <c r="B225" s="174"/>
      <c r="C225" s="174"/>
      <c r="D225" s="174"/>
      <c r="E225" s="174"/>
      <c r="F225" s="174"/>
      <c r="G225" s="174"/>
      <c r="H225" s="174"/>
      <c r="I225" s="174"/>
      <c r="J225" s="174"/>
      <c r="K225" s="174"/>
      <c r="L225" s="174"/>
      <c r="M225" s="174"/>
      <c r="N225" s="174"/>
      <c r="O225" s="174"/>
      <c r="P225" s="174"/>
      <c r="Q225" s="174"/>
      <c r="R225" s="174"/>
      <c r="S225" s="174"/>
      <c r="T225" s="174"/>
      <c r="U225" s="174"/>
      <c r="V225" s="174"/>
      <c r="W225" s="174"/>
      <c r="X225" s="174"/>
      <c r="Y225" s="174"/>
      <c r="Z225" s="174"/>
    </row>
    <row r="226" customFormat="false" ht="15.75" hidden="false" customHeight="false" outlineLevel="0" collapsed="false">
      <c r="A226" s="174"/>
      <c r="B226" s="174"/>
      <c r="C226" s="174"/>
      <c r="D226" s="174"/>
      <c r="E226" s="174"/>
      <c r="F226" s="174"/>
      <c r="G226" s="174"/>
      <c r="H226" s="174"/>
      <c r="I226" s="174"/>
      <c r="J226" s="174"/>
      <c r="K226" s="174"/>
      <c r="L226" s="174"/>
      <c r="M226" s="174"/>
      <c r="N226" s="174"/>
      <c r="O226" s="174"/>
      <c r="P226" s="174"/>
      <c r="Q226" s="174"/>
      <c r="R226" s="174"/>
      <c r="S226" s="174"/>
      <c r="T226" s="174"/>
      <c r="U226" s="174"/>
      <c r="V226" s="174"/>
      <c r="W226" s="174"/>
      <c r="X226" s="174"/>
      <c r="Y226" s="174"/>
      <c r="Z226" s="174"/>
    </row>
    <row r="227" customFormat="false" ht="15.75" hidden="false" customHeight="false" outlineLevel="0" collapsed="false">
      <c r="A227" s="174"/>
      <c r="B227" s="174"/>
      <c r="C227" s="174"/>
      <c r="D227" s="174"/>
      <c r="E227" s="174"/>
      <c r="F227" s="174"/>
      <c r="G227" s="174"/>
      <c r="H227" s="174"/>
      <c r="I227" s="174"/>
      <c r="J227" s="174"/>
      <c r="K227" s="174"/>
      <c r="L227" s="174"/>
      <c r="M227" s="174"/>
      <c r="N227" s="174"/>
      <c r="O227" s="174"/>
      <c r="P227" s="174"/>
      <c r="Q227" s="174"/>
      <c r="R227" s="174"/>
      <c r="S227" s="174"/>
      <c r="T227" s="174"/>
      <c r="U227" s="174"/>
      <c r="V227" s="174"/>
      <c r="W227" s="174"/>
      <c r="X227" s="174"/>
      <c r="Y227" s="174"/>
      <c r="Z227" s="174"/>
    </row>
    <row r="228" customFormat="false" ht="15.75" hidden="false" customHeight="false" outlineLevel="0" collapsed="false">
      <c r="A228" s="174"/>
      <c r="B228" s="174"/>
      <c r="C228" s="174"/>
      <c r="D228" s="174"/>
      <c r="E228" s="174"/>
      <c r="F228" s="174"/>
      <c r="G228" s="174"/>
      <c r="H228" s="174"/>
      <c r="I228" s="174"/>
      <c r="J228" s="174"/>
      <c r="K228" s="174"/>
      <c r="L228" s="174"/>
      <c r="M228" s="174"/>
      <c r="N228" s="174"/>
      <c r="O228" s="174"/>
      <c r="P228" s="174"/>
      <c r="Q228" s="174"/>
      <c r="R228" s="174"/>
      <c r="S228" s="174"/>
      <c r="T228" s="174"/>
      <c r="U228" s="174"/>
      <c r="V228" s="174"/>
      <c r="W228" s="174"/>
      <c r="X228" s="174"/>
      <c r="Y228" s="174"/>
      <c r="Z228" s="174"/>
    </row>
    <row r="229" customFormat="false" ht="15.75" hidden="false" customHeight="false" outlineLevel="0" collapsed="false">
      <c r="A229" s="174"/>
      <c r="B229" s="174"/>
      <c r="C229" s="174"/>
      <c r="D229" s="174"/>
      <c r="E229" s="174"/>
      <c r="F229" s="174"/>
      <c r="G229" s="174"/>
      <c r="H229" s="174"/>
      <c r="I229" s="174"/>
      <c r="J229" s="174"/>
      <c r="K229" s="174"/>
      <c r="L229" s="174"/>
      <c r="M229" s="174"/>
      <c r="N229" s="174"/>
      <c r="O229" s="174"/>
      <c r="P229" s="174"/>
      <c r="Q229" s="174"/>
      <c r="R229" s="174"/>
      <c r="S229" s="174"/>
      <c r="T229" s="174"/>
      <c r="U229" s="174"/>
      <c r="V229" s="174"/>
      <c r="W229" s="174"/>
      <c r="X229" s="174"/>
      <c r="Y229" s="174"/>
      <c r="Z229" s="174"/>
    </row>
    <row r="230" customFormat="false" ht="15.75" hidden="false" customHeight="false" outlineLevel="0" collapsed="false">
      <c r="A230" s="174"/>
      <c r="B230" s="174"/>
      <c r="C230" s="174"/>
      <c r="D230" s="174"/>
      <c r="E230" s="174"/>
      <c r="F230" s="174"/>
      <c r="G230" s="174"/>
      <c r="H230" s="174"/>
      <c r="I230" s="174"/>
      <c r="J230" s="174"/>
      <c r="K230" s="174"/>
      <c r="L230" s="174"/>
      <c r="M230" s="174"/>
      <c r="N230" s="174"/>
      <c r="O230" s="174"/>
      <c r="P230" s="174"/>
      <c r="Q230" s="174"/>
      <c r="R230" s="174"/>
      <c r="S230" s="174"/>
      <c r="T230" s="174"/>
      <c r="U230" s="174"/>
      <c r="V230" s="174"/>
      <c r="W230" s="174"/>
      <c r="X230" s="174"/>
      <c r="Y230" s="174"/>
      <c r="Z230" s="174"/>
    </row>
    <row r="231" customFormat="false" ht="15.75" hidden="false" customHeight="false" outlineLevel="0" collapsed="false">
      <c r="A231" s="174"/>
      <c r="B231" s="174"/>
      <c r="C231" s="174"/>
      <c r="D231" s="174"/>
      <c r="E231" s="174"/>
      <c r="F231" s="174"/>
      <c r="G231" s="174"/>
      <c r="H231" s="174"/>
      <c r="I231" s="174"/>
      <c r="J231" s="174"/>
      <c r="K231" s="174"/>
      <c r="L231" s="174"/>
      <c r="M231" s="174"/>
      <c r="N231" s="174"/>
      <c r="O231" s="174"/>
      <c r="P231" s="174"/>
      <c r="Q231" s="174"/>
      <c r="R231" s="174"/>
      <c r="S231" s="174"/>
      <c r="T231" s="174"/>
      <c r="U231" s="174"/>
      <c r="V231" s="174"/>
      <c r="W231" s="174"/>
      <c r="X231" s="174"/>
      <c r="Y231" s="174"/>
      <c r="Z231" s="174"/>
    </row>
    <row r="232" customFormat="false" ht="15.75" hidden="false" customHeight="false" outlineLevel="0" collapsed="false">
      <c r="A232" s="174"/>
      <c r="B232" s="174"/>
      <c r="C232" s="174"/>
      <c r="D232" s="174"/>
      <c r="E232" s="174"/>
      <c r="F232" s="174"/>
      <c r="G232" s="174"/>
      <c r="H232" s="174"/>
      <c r="I232" s="174"/>
      <c r="J232" s="174"/>
      <c r="K232" s="174"/>
      <c r="L232" s="174"/>
      <c r="M232" s="174"/>
      <c r="N232" s="174"/>
      <c r="O232" s="174"/>
      <c r="P232" s="174"/>
      <c r="Q232" s="174"/>
      <c r="R232" s="174"/>
      <c r="S232" s="174"/>
      <c r="T232" s="174"/>
      <c r="U232" s="174"/>
      <c r="V232" s="174"/>
      <c r="W232" s="174"/>
      <c r="X232" s="174"/>
      <c r="Y232" s="174"/>
      <c r="Z232" s="174"/>
    </row>
    <row r="233" customFormat="false" ht="15.75" hidden="false" customHeight="false" outlineLevel="0" collapsed="false">
      <c r="A233" s="174"/>
      <c r="B233" s="174"/>
      <c r="C233" s="174"/>
      <c r="D233" s="174"/>
      <c r="E233" s="174"/>
      <c r="F233" s="174"/>
      <c r="G233" s="174"/>
      <c r="H233" s="174"/>
      <c r="I233" s="174"/>
      <c r="J233" s="174"/>
      <c r="K233" s="174"/>
      <c r="L233" s="174"/>
      <c r="M233" s="174"/>
      <c r="N233" s="174"/>
      <c r="O233" s="174"/>
      <c r="P233" s="174"/>
      <c r="Q233" s="174"/>
      <c r="R233" s="174"/>
      <c r="S233" s="174"/>
      <c r="T233" s="174"/>
      <c r="U233" s="174"/>
      <c r="V233" s="174"/>
      <c r="W233" s="174"/>
      <c r="X233" s="174"/>
      <c r="Y233" s="174"/>
      <c r="Z233" s="174"/>
    </row>
    <row r="234" customFormat="false" ht="15.75" hidden="false" customHeight="false" outlineLevel="0" collapsed="false">
      <c r="A234" s="174"/>
      <c r="B234" s="174"/>
      <c r="C234" s="174"/>
      <c r="D234" s="174"/>
      <c r="E234" s="174"/>
      <c r="F234" s="174"/>
      <c r="G234" s="174"/>
      <c r="H234" s="174"/>
      <c r="I234" s="174"/>
      <c r="J234" s="174"/>
      <c r="K234" s="174"/>
      <c r="L234" s="174"/>
      <c r="M234" s="174"/>
      <c r="N234" s="174"/>
      <c r="O234" s="174"/>
      <c r="P234" s="174"/>
      <c r="Q234" s="174"/>
      <c r="R234" s="174"/>
      <c r="S234" s="174"/>
      <c r="T234" s="174"/>
      <c r="U234" s="174"/>
      <c r="V234" s="174"/>
      <c r="W234" s="174"/>
      <c r="X234" s="174"/>
      <c r="Y234" s="174"/>
      <c r="Z234" s="174"/>
    </row>
    <row r="235" customFormat="false" ht="15.75" hidden="false" customHeight="false" outlineLevel="0" collapsed="false">
      <c r="A235" s="174"/>
      <c r="B235" s="174"/>
      <c r="C235" s="174"/>
      <c r="D235" s="174"/>
      <c r="E235" s="174"/>
      <c r="F235" s="174"/>
      <c r="G235" s="174"/>
      <c r="H235" s="174"/>
      <c r="I235" s="174"/>
      <c r="J235" s="174"/>
      <c r="K235" s="174"/>
      <c r="L235" s="174"/>
      <c r="M235" s="174"/>
      <c r="N235" s="174"/>
      <c r="O235" s="174"/>
      <c r="P235" s="174"/>
      <c r="Q235" s="174"/>
      <c r="R235" s="174"/>
      <c r="S235" s="174"/>
      <c r="T235" s="174"/>
      <c r="U235" s="174"/>
      <c r="V235" s="174"/>
      <c r="W235" s="174"/>
      <c r="X235" s="174"/>
      <c r="Y235" s="174"/>
      <c r="Z235" s="174"/>
    </row>
    <row r="236" customFormat="false" ht="15.75" hidden="false" customHeight="false" outlineLevel="0" collapsed="false">
      <c r="A236" s="174"/>
      <c r="B236" s="174"/>
      <c r="C236" s="174"/>
      <c r="D236" s="174"/>
      <c r="E236" s="174"/>
      <c r="F236" s="174"/>
      <c r="G236" s="174"/>
      <c r="H236" s="174"/>
      <c r="I236" s="174"/>
      <c r="J236" s="174"/>
      <c r="K236" s="174"/>
      <c r="L236" s="174"/>
      <c r="M236" s="174"/>
      <c r="N236" s="174"/>
      <c r="O236" s="174"/>
      <c r="P236" s="174"/>
      <c r="Q236" s="174"/>
      <c r="R236" s="174"/>
      <c r="S236" s="174"/>
      <c r="T236" s="174"/>
      <c r="U236" s="174"/>
      <c r="V236" s="174"/>
      <c r="W236" s="174"/>
      <c r="X236" s="174"/>
      <c r="Y236" s="174"/>
      <c r="Z236" s="174"/>
    </row>
    <row r="237" customFormat="false" ht="15.75" hidden="false" customHeight="false" outlineLevel="0" collapsed="false">
      <c r="A237" s="174"/>
      <c r="B237" s="174"/>
      <c r="C237" s="174"/>
      <c r="D237" s="174"/>
      <c r="E237" s="174"/>
      <c r="F237" s="174"/>
      <c r="G237" s="174"/>
      <c r="H237" s="174"/>
      <c r="I237" s="174"/>
      <c r="J237" s="174"/>
      <c r="K237" s="174"/>
      <c r="L237" s="174"/>
      <c r="M237" s="174"/>
      <c r="N237" s="174"/>
      <c r="O237" s="174"/>
      <c r="P237" s="174"/>
      <c r="Q237" s="174"/>
      <c r="R237" s="174"/>
      <c r="S237" s="174"/>
      <c r="T237" s="174"/>
      <c r="U237" s="174"/>
      <c r="V237" s="174"/>
      <c r="W237" s="174"/>
      <c r="X237" s="174"/>
      <c r="Y237" s="174"/>
      <c r="Z237" s="174"/>
    </row>
    <row r="238" customFormat="false" ht="15.75" hidden="false" customHeight="false" outlineLevel="0" collapsed="false">
      <c r="A238" s="174"/>
      <c r="B238" s="174"/>
      <c r="C238" s="174"/>
      <c r="D238" s="174"/>
      <c r="E238" s="174"/>
      <c r="F238" s="174"/>
      <c r="G238" s="174"/>
      <c r="H238" s="174"/>
      <c r="I238" s="174"/>
      <c r="J238" s="174"/>
      <c r="K238" s="174"/>
      <c r="L238" s="174"/>
      <c r="M238" s="174"/>
      <c r="N238" s="174"/>
      <c r="O238" s="174"/>
      <c r="P238" s="174"/>
      <c r="Q238" s="174"/>
      <c r="R238" s="174"/>
      <c r="S238" s="174"/>
      <c r="T238" s="174"/>
      <c r="U238" s="174"/>
      <c r="V238" s="174"/>
      <c r="W238" s="174"/>
      <c r="X238" s="174"/>
      <c r="Y238" s="174"/>
      <c r="Z238" s="174"/>
    </row>
    <row r="239" customFormat="false" ht="15.75" hidden="false" customHeight="false" outlineLevel="0" collapsed="false">
      <c r="A239" s="174"/>
      <c r="B239" s="174"/>
      <c r="C239" s="174"/>
      <c r="D239" s="174"/>
      <c r="E239" s="174"/>
      <c r="F239" s="174"/>
      <c r="G239" s="174"/>
      <c r="H239" s="174"/>
      <c r="I239" s="174"/>
      <c r="J239" s="174"/>
      <c r="K239" s="174"/>
      <c r="L239" s="174"/>
      <c r="M239" s="174"/>
      <c r="N239" s="174"/>
      <c r="O239" s="174"/>
      <c r="P239" s="174"/>
      <c r="Q239" s="174"/>
      <c r="R239" s="174"/>
      <c r="S239" s="174"/>
      <c r="T239" s="174"/>
      <c r="U239" s="174"/>
      <c r="V239" s="174"/>
      <c r="W239" s="174"/>
      <c r="X239" s="174"/>
      <c r="Y239" s="174"/>
      <c r="Z239" s="174"/>
    </row>
    <row r="240" customFormat="false" ht="15.75" hidden="false" customHeight="false" outlineLevel="0" collapsed="false">
      <c r="A240" s="174"/>
      <c r="B240" s="174"/>
      <c r="C240" s="174"/>
      <c r="D240" s="174"/>
      <c r="E240" s="174"/>
      <c r="F240" s="174"/>
      <c r="G240" s="174"/>
      <c r="H240" s="174"/>
      <c r="I240" s="174"/>
      <c r="J240" s="174"/>
      <c r="K240" s="174"/>
      <c r="L240" s="174"/>
      <c r="M240" s="174"/>
      <c r="N240" s="174"/>
      <c r="O240" s="174"/>
      <c r="P240" s="174"/>
      <c r="Q240" s="174"/>
      <c r="R240" s="174"/>
      <c r="S240" s="174"/>
      <c r="T240" s="174"/>
      <c r="U240" s="174"/>
      <c r="V240" s="174"/>
      <c r="W240" s="174"/>
      <c r="X240" s="174"/>
      <c r="Y240" s="174"/>
      <c r="Z240" s="174"/>
    </row>
    <row r="241" customFormat="false" ht="15.75" hidden="false" customHeight="false" outlineLevel="0" collapsed="false">
      <c r="A241" s="174"/>
      <c r="B241" s="174"/>
      <c r="C241" s="174"/>
      <c r="D241" s="174"/>
      <c r="E241" s="174"/>
      <c r="F241" s="174"/>
      <c r="G241" s="174"/>
      <c r="H241" s="174"/>
      <c r="I241" s="174"/>
      <c r="J241" s="174"/>
      <c r="K241" s="174"/>
      <c r="L241" s="174"/>
      <c r="M241" s="174"/>
      <c r="N241" s="174"/>
      <c r="O241" s="174"/>
      <c r="P241" s="174"/>
      <c r="Q241" s="174"/>
      <c r="R241" s="174"/>
      <c r="S241" s="174"/>
      <c r="T241" s="174"/>
      <c r="U241" s="174"/>
      <c r="V241" s="174"/>
      <c r="W241" s="174"/>
      <c r="X241" s="174"/>
      <c r="Y241" s="174"/>
      <c r="Z241" s="174"/>
    </row>
    <row r="242" customFormat="false" ht="15.75" hidden="false" customHeight="false" outlineLevel="0" collapsed="false">
      <c r="A242" s="174"/>
      <c r="B242" s="174"/>
      <c r="C242" s="174"/>
      <c r="D242" s="174"/>
      <c r="E242" s="174"/>
      <c r="F242" s="174"/>
      <c r="G242" s="174"/>
      <c r="H242" s="174"/>
      <c r="I242" s="174"/>
      <c r="J242" s="174"/>
      <c r="K242" s="174"/>
      <c r="L242" s="174"/>
      <c r="M242" s="174"/>
      <c r="N242" s="174"/>
      <c r="O242" s="174"/>
      <c r="P242" s="174"/>
      <c r="Q242" s="174"/>
      <c r="R242" s="174"/>
      <c r="S242" s="174"/>
      <c r="T242" s="174"/>
      <c r="U242" s="174"/>
      <c r="V242" s="174"/>
      <c r="W242" s="174"/>
      <c r="X242" s="174"/>
      <c r="Y242" s="174"/>
      <c r="Z242" s="174"/>
    </row>
    <row r="243" customFormat="false" ht="15.75" hidden="false" customHeight="false" outlineLevel="0" collapsed="false">
      <c r="A243" s="174"/>
      <c r="B243" s="174"/>
      <c r="C243" s="174"/>
      <c r="D243" s="174"/>
      <c r="E243" s="174"/>
      <c r="F243" s="174"/>
      <c r="G243" s="174"/>
      <c r="H243" s="174"/>
      <c r="I243" s="174"/>
      <c r="J243" s="174"/>
      <c r="K243" s="174"/>
      <c r="L243" s="174"/>
      <c r="M243" s="174"/>
      <c r="N243" s="174"/>
      <c r="O243" s="174"/>
      <c r="P243" s="174"/>
      <c r="Q243" s="174"/>
      <c r="R243" s="174"/>
      <c r="S243" s="174"/>
      <c r="T243" s="174"/>
      <c r="U243" s="174"/>
      <c r="V243" s="174"/>
      <c r="W243" s="174"/>
      <c r="X243" s="174"/>
      <c r="Y243" s="174"/>
      <c r="Z243" s="174"/>
    </row>
    <row r="244" customFormat="false" ht="15.75" hidden="false" customHeight="false" outlineLevel="0" collapsed="false">
      <c r="A244" s="174"/>
      <c r="B244" s="174"/>
      <c r="C244" s="174"/>
      <c r="D244" s="174"/>
      <c r="E244" s="174"/>
      <c r="F244" s="174"/>
      <c r="G244" s="174"/>
      <c r="H244" s="174"/>
      <c r="I244" s="174"/>
      <c r="J244" s="174"/>
      <c r="K244" s="174"/>
      <c r="L244" s="174"/>
      <c r="M244" s="174"/>
      <c r="N244" s="174"/>
      <c r="O244" s="174"/>
      <c r="P244" s="174"/>
      <c r="Q244" s="174"/>
      <c r="R244" s="174"/>
      <c r="S244" s="174"/>
      <c r="T244" s="174"/>
      <c r="U244" s="174"/>
      <c r="V244" s="174"/>
      <c r="W244" s="174"/>
      <c r="X244" s="174"/>
      <c r="Y244" s="174"/>
      <c r="Z244" s="174"/>
    </row>
    <row r="245" customFormat="false" ht="15.75" hidden="false" customHeight="false" outlineLevel="0" collapsed="false">
      <c r="A245" s="174"/>
      <c r="B245" s="174"/>
      <c r="C245" s="174"/>
      <c r="D245" s="174"/>
      <c r="E245" s="174"/>
      <c r="F245" s="174"/>
      <c r="G245" s="174"/>
      <c r="H245" s="174"/>
      <c r="I245" s="174"/>
      <c r="J245" s="174"/>
      <c r="K245" s="174"/>
      <c r="L245" s="174"/>
      <c r="M245" s="174"/>
      <c r="N245" s="174"/>
      <c r="O245" s="174"/>
      <c r="P245" s="174"/>
      <c r="Q245" s="174"/>
      <c r="R245" s="174"/>
      <c r="S245" s="174"/>
      <c r="T245" s="174"/>
      <c r="U245" s="174"/>
      <c r="V245" s="174"/>
      <c r="W245" s="174"/>
      <c r="X245" s="174"/>
      <c r="Y245" s="174"/>
      <c r="Z245" s="174"/>
    </row>
    <row r="246" customFormat="false" ht="15.75" hidden="false" customHeight="false" outlineLevel="0" collapsed="false">
      <c r="A246" s="174"/>
      <c r="B246" s="174"/>
      <c r="C246" s="174"/>
      <c r="D246" s="174"/>
      <c r="E246" s="174"/>
      <c r="F246" s="174"/>
      <c r="G246" s="174"/>
      <c r="H246" s="174"/>
      <c r="I246" s="174"/>
      <c r="J246" s="174"/>
      <c r="K246" s="174"/>
      <c r="L246" s="174"/>
      <c r="M246" s="174"/>
      <c r="N246" s="174"/>
      <c r="O246" s="174"/>
      <c r="P246" s="174"/>
      <c r="Q246" s="174"/>
      <c r="R246" s="174"/>
      <c r="S246" s="174"/>
      <c r="T246" s="174"/>
      <c r="U246" s="174"/>
      <c r="V246" s="174"/>
      <c r="W246" s="174"/>
      <c r="X246" s="174"/>
      <c r="Y246" s="174"/>
      <c r="Z246" s="174"/>
    </row>
    <row r="247" customFormat="false" ht="15.75" hidden="false" customHeight="false" outlineLevel="0" collapsed="false">
      <c r="A247" s="174"/>
      <c r="B247" s="174"/>
      <c r="C247" s="174"/>
      <c r="D247" s="174"/>
      <c r="E247" s="174"/>
      <c r="F247" s="174"/>
      <c r="G247" s="174"/>
      <c r="H247" s="174"/>
      <c r="I247" s="174"/>
      <c r="J247" s="174"/>
      <c r="K247" s="174"/>
      <c r="L247" s="174"/>
      <c r="M247" s="174"/>
      <c r="N247" s="174"/>
      <c r="O247" s="174"/>
      <c r="P247" s="174"/>
      <c r="Q247" s="174"/>
      <c r="R247" s="174"/>
      <c r="S247" s="174"/>
      <c r="T247" s="174"/>
      <c r="U247" s="174"/>
      <c r="V247" s="174"/>
      <c r="W247" s="174"/>
      <c r="X247" s="174"/>
      <c r="Y247" s="174"/>
      <c r="Z247" s="174"/>
    </row>
    <row r="248" customFormat="false" ht="15.75" hidden="false" customHeight="false" outlineLevel="0" collapsed="false">
      <c r="A248" s="174"/>
      <c r="B248" s="174"/>
      <c r="C248" s="174"/>
      <c r="D248" s="174"/>
      <c r="E248" s="174"/>
      <c r="F248" s="174"/>
      <c r="G248" s="174"/>
      <c r="H248" s="174"/>
      <c r="I248" s="174"/>
      <c r="J248" s="174"/>
      <c r="K248" s="174"/>
      <c r="L248" s="174"/>
      <c r="M248" s="174"/>
      <c r="N248" s="174"/>
      <c r="O248" s="174"/>
      <c r="P248" s="174"/>
      <c r="Q248" s="174"/>
      <c r="R248" s="174"/>
      <c r="S248" s="174"/>
      <c r="T248" s="174"/>
      <c r="U248" s="174"/>
      <c r="V248" s="174"/>
      <c r="W248" s="174"/>
      <c r="X248" s="174"/>
      <c r="Y248" s="174"/>
      <c r="Z248" s="174"/>
    </row>
    <row r="249" customFormat="false" ht="15.75" hidden="false" customHeight="false" outlineLevel="0" collapsed="false">
      <c r="A249" s="174"/>
      <c r="B249" s="174"/>
      <c r="C249" s="174"/>
      <c r="D249" s="174"/>
      <c r="E249" s="174"/>
      <c r="F249" s="174"/>
      <c r="G249" s="174"/>
      <c r="H249" s="174"/>
      <c r="I249" s="174"/>
      <c r="J249" s="174"/>
      <c r="K249" s="174"/>
      <c r="L249" s="174"/>
      <c r="M249" s="174"/>
      <c r="N249" s="174"/>
      <c r="O249" s="174"/>
      <c r="P249" s="174"/>
      <c r="Q249" s="174"/>
      <c r="R249" s="174"/>
      <c r="S249" s="174"/>
      <c r="T249" s="174"/>
      <c r="U249" s="174"/>
      <c r="V249" s="174"/>
      <c r="W249" s="174"/>
      <c r="X249" s="174"/>
      <c r="Y249" s="174"/>
      <c r="Z249" s="174"/>
    </row>
    <row r="250" customFormat="false" ht="15.75" hidden="false" customHeight="false" outlineLevel="0" collapsed="false">
      <c r="A250" s="174"/>
      <c r="B250" s="174"/>
      <c r="C250" s="174"/>
      <c r="D250" s="174"/>
      <c r="E250" s="174"/>
      <c r="F250" s="174"/>
      <c r="G250" s="174"/>
      <c r="H250" s="174"/>
      <c r="I250" s="174"/>
      <c r="J250" s="174"/>
      <c r="K250" s="174"/>
      <c r="L250" s="174"/>
      <c r="M250" s="174"/>
      <c r="N250" s="174"/>
      <c r="O250" s="174"/>
      <c r="P250" s="174"/>
      <c r="Q250" s="174"/>
      <c r="R250" s="174"/>
      <c r="S250" s="174"/>
      <c r="T250" s="174"/>
      <c r="U250" s="174"/>
      <c r="V250" s="174"/>
      <c r="W250" s="174"/>
      <c r="X250" s="174"/>
      <c r="Y250" s="174"/>
      <c r="Z250" s="174"/>
    </row>
    <row r="251" customFormat="false" ht="15.75" hidden="false" customHeight="false" outlineLevel="0" collapsed="false">
      <c r="A251" s="174"/>
      <c r="B251" s="174"/>
      <c r="C251" s="174"/>
      <c r="D251" s="174"/>
      <c r="E251" s="174"/>
      <c r="F251" s="174"/>
      <c r="G251" s="174"/>
      <c r="H251" s="174"/>
      <c r="I251" s="174"/>
      <c r="J251" s="174"/>
      <c r="K251" s="174"/>
      <c r="L251" s="174"/>
      <c r="M251" s="174"/>
      <c r="N251" s="174"/>
      <c r="O251" s="174"/>
      <c r="P251" s="174"/>
      <c r="Q251" s="174"/>
      <c r="R251" s="174"/>
      <c r="S251" s="174"/>
      <c r="T251" s="174"/>
      <c r="U251" s="174"/>
      <c r="V251" s="174"/>
      <c r="W251" s="174"/>
      <c r="X251" s="174"/>
      <c r="Y251" s="174"/>
      <c r="Z251" s="174"/>
    </row>
    <row r="252" customFormat="false" ht="15.75" hidden="false" customHeight="false" outlineLevel="0" collapsed="false">
      <c r="A252" s="174"/>
      <c r="B252" s="174"/>
      <c r="C252" s="174"/>
      <c r="D252" s="174"/>
      <c r="E252" s="174"/>
      <c r="F252" s="174"/>
      <c r="G252" s="174"/>
      <c r="H252" s="174"/>
      <c r="I252" s="174"/>
      <c r="J252" s="174"/>
      <c r="K252" s="174"/>
      <c r="L252" s="174"/>
      <c r="M252" s="174"/>
      <c r="N252" s="174"/>
      <c r="O252" s="174"/>
      <c r="P252" s="174"/>
      <c r="Q252" s="174"/>
      <c r="R252" s="174"/>
      <c r="S252" s="174"/>
      <c r="T252" s="174"/>
      <c r="U252" s="174"/>
      <c r="V252" s="174"/>
      <c r="W252" s="174"/>
      <c r="X252" s="174"/>
      <c r="Y252" s="174"/>
      <c r="Z252" s="174"/>
    </row>
    <row r="253" customFormat="false" ht="15.75" hidden="false" customHeight="false" outlineLevel="0" collapsed="false">
      <c r="A253" s="174"/>
      <c r="B253" s="174"/>
      <c r="C253" s="174"/>
      <c r="D253" s="174"/>
      <c r="E253" s="174"/>
      <c r="F253" s="174"/>
      <c r="G253" s="174"/>
      <c r="H253" s="174"/>
      <c r="I253" s="174"/>
      <c r="J253" s="174"/>
      <c r="K253" s="174"/>
      <c r="L253" s="174"/>
      <c r="M253" s="174"/>
      <c r="N253" s="174"/>
      <c r="O253" s="174"/>
      <c r="P253" s="174"/>
      <c r="Q253" s="174"/>
      <c r="R253" s="174"/>
      <c r="S253" s="174"/>
      <c r="T253" s="174"/>
      <c r="U253" s="174"/>
      <c r="V253" s="174"/>
      <c r="W253" s="174"/>
      <c r="X253" s="174"/>
      <c r="Y253" s="174"/>
      <c r="Z253" s="174"/>
    </row>
    <row r="254" customFormat="false" ht="15.75" hidden="false" customHeight="false" outlineLevel="0" collapsed="false">
      <c r="A254" s="174"/>
      <c r="B254" s="174"/>
      <c r="C254" s="174"/>
      <c r="D254" s="174"/>
      <c r="E254" s="174"/>
      <c r="F254" s="174"/>
      <c r="G254" s="174"/>
      <c r="H254" s="174"/>
      <c r="I254" s="174"/>
      <c r="J254" s="174"/>
      <c r="K254" s="174"/>
      <c r="L254" s="174"/>
      <c r="M254" s="174"/>
      <c r="N254" s="174"/>
      <c r="O254" s="174"/>
      <c r="P254" s="174"/>
      <c r="Q254" s="174"/>
      <c r="R254" s="174"/>
      <c r="S254" s="174"/>
      <c r="T254" s="174"/>
      <c r="U254" s="174"/>
      <c r="V254" s="174"/>
      <c r="W254" s="174"/>
      <c r="X254" s="174"/>
      <c r="Y254" s="174"/>
      <c r="Z254" s="174"/>
    </row>
    <row r="255" customFormat="false" ht="15.75" hidden="false" customHeight="false" outlineLevel="0" collapsed="false">
      <c r="A255" s="174"/>
      <c r="B255" s="174"/>
      <c r="C255" s="174"/>
      <c r="D255" s="174"/>
      <c r="E255" s="174"/>
      <c r="F255" s="174"/>
      <c r="G255" s="174"/>
      <c r="H255" s="174"/>
      <c r="I255" s="174"/>
      <c r="J255" s="174"/>
      <c r="K255" s="174"/>
      <c r="L255" s="174"/>
      <c r="M255" s="174"/>
      <c r="N255" s="174"/>
      <c r="O255" s="174"/>
      <c r="P255" s="174"/>
      <c r="Q255" s="174"/>
      <c r="R255" s="174"/>
      <c r="S255" s="174"/>
      <c r="T255" s="174"/>
      <c r="U255" s="174"/>
      <c r="V255" s="174"/>
      <c r="W255" s="174"/>
      <c r="X255" s="174"/>
      <c r="Y255" s="174"/>
      <c r="Z255" s="174"/>
    </row>
    <row r="256" customFormat="false" ht="15.75" hidden="false" customHeight="false" outlineLevel="0" collapsed="false">
      <c r="A256" s="174"/>
      <c r="B256" s="174"/>
      <c r="C256" s="174"/>
      <c r="D256" s="174"/>
      <c r="E256" s="174"/>
      <c r="F256" s="174"/>
      <c r="G256" s="174"/>
      <c r="H256" s="174"/>
      <c r="I256" s="174"/>
      <c r="J256" s="174"/>
      <c r="K256" s="174"/>
      <c r="L256" s="174"/>
      <c r="M256" s="174"/>
      <c r="N256" s="174"/>
      <c r="O256" s="174"/>
      <c r="P256" s="174"/>
      <c r="Q256" s="174"/>
      <c r="R256" s="174"/>
      <c r="S256" s="174"/>
      <c r="T256" s="174"/>
      <c r="U256" s="174"/>
      <c r="V256" s="174"/>
      <c r="W256" s="174"/>
      <c r="X256" s="174"/>
      <c r="Y256" s="174"/>
      <c r="Z256" s="174"/>
    </row>
    <row r="257" customFormat="false" ht="15.75" hidden="false" customHeight="false" outlineLevel="0" collapsed="false">
      <c r="A257" s="174"/>
      <c r="B257" s="174"/>
      <c r="C257" s="174"/>
      <c r="D257" s="174"/>
      <c r="E257" s="174"/>
      <c r="F257" s="174"/>
      <c r="G257" s="174"/>
      <c r="H257" s="174"/>
      <c r="I257" s="174"/>
      <c r="J257" s="174"/>
      <c r="K257" s="174"/>
      <c r="L257" s="174"/>
      <c r="M257" s="174"/>
      <c r="N257" s="174"/>
      <c r="O257" s="174"/>
      <c r="P257" s="174"/>
      <c r="Q257" s="174"/>
      <c r="R257" s="174"/>
      <c r="S257" s="174"/>
      <c r="T257" s="174"/>
      <c r="U257" s="174"/>
      <c r="V257" s="174"/>
      <c r="W257" s="174"/>
      <c r="X257" s="174"/>
      <c r="Y257" s="174"/>
      <c r="Z257" s="174"/>
    </row>
    <row r="258" customFormat="false" ht="15.75" hidden="false" customHeight="false" outlineLevel="0" collapsed="false">
      <c r="A258" s="174"/>
      <c r="B258" s="174"/>
      <c r="C258" s="174"/>
      <c r="D258" s="174"/>
      <c r="E258" s="174"/>
      <c r="F258" s="174"/>
      <c r="G258" s="174"/>
      <c r="H258" s="174"/>
      <c r="I258" s="174"/>
      <c r="J258" s="174"/>
      <c r="K258" s="174"/>
      <c r="L258" s="174"/>
      <c r="M258" s="174"/>
      <c r="N258" s="174"/>
      <c r="O258" s="174"/>
      <c r="P258" s="174"/>
      <c r="Q258" s="174"/>
      <c r="R258" s="174"/>
      <c r="S258" s="174"/>
      <c r="T258" s="174"/>
      <c r="U258" s="174"/>
      <c r="V258" s="174"/>
      <c r="W258" s="174"/>
      <c r="X258" s="174"/>
      <c r="Y258" s="174"/>
      <c r="Z258" s="174"/>
    </row>
    <row r="259" customFormat="false" ht="15.75" hidden="false" customHeight="false" outlineLevel="0" collapsed="false">
      <c r="A259" s="174"/>
      <c r="B259" s="174"/>
      <c r="C259" s="174"/>
      <c r="D259" s="174"/>
      <c r="E259" s="174"/>
      <c r="F259" s="174"/>
      <c r="G259" s="174"/>
      <c r="H259" s="174"/>
      <c r="I259" s="174"/>
      <c r="J259" s="174"/>
      <c r="K259" s="174"/>
      <c r="L259" s="174"/>
      <c r="M259" s="174"/>
      <c r="N259" s="174"/>
      <c r="O259" s="174"/>
      <c r="P259" s="174"/>
      <c r="Q259" s="174"/>
      <c r="R259" s="174"/>
      <c r="S259" s="174"/>
      <c r="T259" s="174"/>
      <c r="U259" s="174"/>
      <c r="V259" s="174"/>
      <c r="W259" s="174"/>
      <c r="X259" s="174"/>
      <c r="Y259" s="174"/>
      <c r="Z259" s="174"/>
    </row>
    <row r="260" customFormat="false" ht="15.75" hidden="false" customHeight="false" outlineLevel="0" collapsed="false">
      <c r="A260" s="174"/>
      <c r="B260" s="174"/>
      <c r="C260" s="174"/>
      <c r="D260" s="174"/>
      <c r="E260" s="174"/>
      <c r="F260" s="174"/>
      <c r="G260" s="174"/>
      <c r="H260" s="174"/>
      <c r="I260" s="174"/>
      <c r="J260" s="174"/>
      <c r="K260" s="174"/>
      <c r="L260" s="174"/>
      <c r="M260" s="174"/>
      <c r="N260" s="174"/>
      <c r="O260" s="174"/>
      <c r="P260" s="174"/>
      <c r="Q260" s="174"/>
      <c r="R260" s="174"/>
      <c r="S260" s="174"/>
      <c r="T260" s="174"/>
      <c r="U260" s="174"/>
      <c r="V260" s="174"/>
      <c r="W260" s="174"/>
      <c r="X260" s="174"/>
      <c r="Y260" s="174"/>
      <c r="Z260" s="174"/>
    </row>
    <row r="261" customFormat="false" ht="15.75" hidden="false" customHeight="false" outlineLevel="0" collapsed="false">
      <c r="A261" s="174"/>
      <c r="B261" s="174"/>
      <c r="C261" s="174"/>
      <c r="D261" s="174"/>
      <c r="E261" s="174"/>
      <c r="F261" s="174"/>
      <c r="G261" s="174"/>
      <c r="H261" s="174"/>
      <c r="I261" s="174"/>
      <c r="J261" s="174"/>
      <c r="K261" s="174"/>
      <c r="L261" s="174"/>
      <c r="M261" s="174"/>
      <c r="N261" s="174"/>
      <c r="O261" s="174"/>
      <c r="P261" s="174"/>
      <c r="Q261" s="174"/>
      <c r="R261" s="174"/>
      <c r="S261" s="174"/>
      <c r="T261" s="174"/>
      <c r="U261" s="174"/>
      <c r="V261" s="174"/>
      <c r="W261" s="174"/>
      <c r="X261" s="174"/>
      <c r="Y261" s="174"/>
      <c r="Z261" s="174"/>
    </row>
    <row r="262" customFormat="false" ht="15.75" hidden="false" customHeight="false" outlineLevel="0" collapsed="false">
      <c r="A262" s="174"/>
      <c r="B262" s="174"/>
      <c r="C262" s="174"/>
      <c r="D262" s="174"/>
      <c r="E262" s="174"/>
      <c r="F262" s="174"/>
      <c r="G262" s="174"/>
      <c r="H262" s="174"/>
      <c r="I262" s="174"/>
      <c r="J262" s="174"/>
      <c r="K262" s="174"/>
      <c r="L262" s="174"/>
      <c r="M262" s="174"/>
      <c r="N262" s="174"/>
      <c r="O262" s="174"/>
      <c r="P262" s="174"/>
      <c r="Q262" s="174"/>
      <c r="R262" s="174"/>
      <c r="S262" s="174"/>
      <c r="T262" s="174"/>
      <c r="U262" s="174"/>
      <c r="V262" s="174"/>
      <c r="W262" s="174"/>
      <c r="X262" s="174"/>
      <c r="Y262" s="174"/>
      <c r="Z262" s="174"/>
    </row>
    <row r="263" customFormat="false" ht="15.75" hidden="false" customHeight="false" outlineLevel="0" collapsed="false">
      <c r="A263" s="174"/>
      <c r="B263" s="174"/>
      <c r="C263" s="174"/>
      <c r="D263" s="174"/>
      <c r="E263" s="174"/>
      <c r="F263" s="174"/>
      <c r="G263" s="174"/>
      <c r="H263" s="174"/>
      <c r="I263" s="174"/>
      <c r="J263" s="174"/>
      <c r="K263" s="174"/>
      <c r="L263" s="174"/>
      <c r="M263" s="174"/>
      <c r="N263" s="174"/>
      <c r="O263" s="174"/>
      <c r="P263" s="174"/>
      <c r="Q263" s="174"/>
      <c r="R263" s="174"/>
      <c r="S263" s="174"/>
      <c r="T263" s="174"/>
      <c r="U263" s="174"/>
      <c r="V263" s="174"/>
      <c r="W263" s="174"/>
      <c r="X263" s="174"/>
      <c r="Y263" s="174"/>
      <c r="Z263" s="174"/>
    </row>
    <row r="264" customFormat="false" ht="15.75" hidden="false" customHeight="false" outlineLevel="0" collapsed="false">
      <c r="A264" s="174"/>
      <c r="B264" s="174"/>
      <c r="C264" s="174"/>
      <c r="D264" s="174"/>
      <c r="E264" s="174"/>
      <c r="F264" s="174"/>
      <c r="G264" s="174"/>
      <c r="H264" s="174"/>
      <c r="I264" s="174"/>
      <c r="J264" s="174"/>
      <c r="K264" s="174"/>
      <c r="L264" s="174"/>
      <c r="M264" s="174"/>
      <c r="N264" s="174"/>
      <c r="O264" s="174"/>
      <c r="P264" s="174"/>
      <c r="Q264" s="174"/>
      <c r="R264" s="174"/>
      <c r="S264" s="174"/>
      <c r="T264" s="174"/>
      <c r="U264" s="174"/>
      <c r="V264" s="174"/>
      <c r="W264" s="174"/>
      <c r="X264" s="174"/>
      <c r="Y264" s="174"/>
      <c r="Z264" s="174"/>
    </row>
    <row r="265" customFormat="false" ht="15.75" hidden="false" customHeight="false" outlineLevel="0" collapsed="false">
      <c r="A265" s="174"/>
      <c r="B265" s="174"/>
      <c r="C265" s="174"/>
      <c r="D265" s="174"/>
      <c r="E265" s="174"/>
      <c r="F265" s="174"/>
      <c r="G265" s="174"/>
      <c r="H265" s="174"/>
      <c r="I265" s="174"/>
      <c r="J265" s="174"/>
      <c r="K265" s="174"/>
      <c r="L265" s="174"/>
      <c r="M265" s="174"/>
      <c r="N265" s="174"/>
      <c r="O265" s="174"/>
      <c r="P265" s="174"/>
      <c r="Q265" s="174"/>
      <c r="R265" s="174"/>
      <c r="S265" s="174"/>
      <c r="T265" s="174"/>
      <c r="U265" s="174"/>
      <c r="V265" s="174"/>
      <c r="W265" s="174"/>
      <c r="X265" s="174"/>
      <c r="Y265" s="174"/>
      <c r="Z265" s="174"/>
    </row>
    <row r="266" customFormat="false" ht="15.75" hidden="false" customHeight="false" outlineLevel="0" collapsed="false">
      <c r="A266" s="174"/>
      <c r="B266" s="174"/>
      <c r="C266" s="174"/>
      <c r="D266" s="174"/>
      <c r="E266" s="174"/>
      <c r="F266" s="174"/>
      <c r="G266" s="174"/>
      <c r="H266" s="174"/>
      <c r="I266" s="174"/>
      <c r="J266" s="174"/>
      <c r="K266" s="174"/>
      <c r="L266" s="174"/>
      <c r="M266" s="174"/>
      <c r="N266" s="174"/>
      <c r="O266" s="174"/>
      <c r="P266" s="174"/>
      <c r="Q266" s="174"/>
      <c r="R266" s="174"/>
      <c r="S266" s="174"/>
      <c r="T266" s="174"/>
      <c r="U266" s="174"/>
      <c r="V266" s="174"/>
      <c r="W266" s="174"/>
      <c r="X266" s="174"/>
      <c r="Y266" s="174"/>
      <c r="Z266" s="174"/>
    </row>
    <row r="267" customFormat="false" ht="15.75" hidden="false" customHeight="false" outlineLevel="0" collapsed="false">
      <c r="A267" s="174"/>
      <c r="B267" s="174"/>
      <c r="C267" s="174"/>
      <c r="D267" s="174"/>
      <c r="E267" s="174"/>
      <c r="F267" s="174"/>
      <c r="G267" s="174"/>
      <c r="H267" s="174"/>
      <c r="I267" s="174"/>
      <c r="J267" s="174"/>
      <c r="K267" s="174"/>
      <c r="L267" s="174"/>
      <c r="M267" s="174"/>
      <c r="N267" s="174"/>
      <c r="O267" s="174"/>
      <c r="P267" s="174"/>
      <c r="Q267" s="174"/>
      <c r="R267" s="174"/>
      <c r="S267" s="174"/>
      <c r="T267" s="174"/>
      <c r="U267" s="174"/>
      <c r="V267" s="174"/>
      <c r="W267" s="174"/>
      <c r="X267" s="174"/>
      <c r="Y267" s="174"/>
      <c r="Z267" s="174"/>
    </row>
    <row r="268" customFormat="false" ht="15.75" hidden="false" customHeight="false" outlineLevel="0" collapsed="false">
      <c r="A268" s="174"/>
      <c r="B268" s="174"/>
      <c r="C268" s="174"/>
      <c r="D268" s="174"/>
      <c r="E268" s="174"/>
      <c r="F268" s="174"/>
      <c r="G268" s="174"/>
      <c r="H268" s="174"/>
      <c r="I268" s="174"/>
      <c r="J268" s="174"/>
      <c r="K268" s="174"/>
      <c r="L268" s="174"/>
      <c r="M268" s="174"/>
      <c r="N268" s="174"/>
      <c r="O268" s="174"/>
      <c r="P268" s="174"/>
      <c r="Q268" s="174"/>
      <c r="R268" s="174"/>
      <c r="S268" s="174"/>
      <c r="T268" s="174"/>
      <c r="U268" s="174"/>
      <c r="V268" s="174"/>
      <c r="W268" s="174"/>
      <c r="X268" s="174"/>
      <c r="Y268" s="174"/>
      <c r="Z268" s="174"/>
    </row>
    <row r="269" customFormat="false" ht="15.75" hidden="false" customHeight="false" outlineLevel="0" collapsed="false">
      <c r="A269" s="174"/>
      <c r="B269" s="174"/>
      <c r="C269" s="174"/>
      <c r="D269" s="174"/>
      <c r="E269" s="174"/>
      <c r="F269" s="174"/>
      <c r="G269" s="174"/>
      <c r="H269" s="174"/>
      <c r="I269" s="174"/>
      <c r="J269" s="174"/>
      <c r="K269" s="174"/>
      <c r="L269" s="174"/>
      <c r="M269" s="174"/>
      <c r="N269" s="174"/>
      <c r="O269" s="174"/>
      <c r="P269" s="174"/>
      <c r="Q269" s="174"/>
      <c r="R269" s="174"/>
      <c r="S269" s="174"/>
      <c r="T269" s="174"/>
      <c r="U269" s="174"/>
      <c r="V269" s="174"/>
      <c r="W269" s="174"/>
      <c r="X269" s="174"/>
      <c r="Y269" s="174"/>
      <c r="Z269" s="174"/>
    </row>
    <row r="270" customFormat="false" ht="15.75" hidden="false" customHeight="false" outlineLevel="0" collapsed="false">
      <c r="A270" s="174"/>
      <c r="B270" s="174"/>
      <c r="C270" s="174"/>
      <c r="D270" s="174"/>
      <c r="E270" s="174"/>
      <c r="F270" s="174"/>
      <c r="G270" s="174"/>
      <c r="H270" s="174"/>
      <c r="I270" s="174"/>
      <c r="J270" s="174"/>
      <c r="K270" s="174"/>
      <c r="L270" s="174"/>
      <c r="M270" s="174"/>
      <c r="N270" s="174"/>
      <c r="O270" s="174"/>
      <c r="P270" s="174"/>
      <c r="Q270" s="174"/>
      <c r="R270" s="174"/>
      <c r="S270" s="174"/>
      <c r="T270" s="174"/>
      <c r="U270" s="174"/>
      <c r="V270" s="174"/>
      <c r="W270" s="174"/>
      <c r="X270" s="174"/>
      <c r="Y270" s="174"/>
      <c r="Z270" s="174"/>
    </row>
    <row r="271" customFormat="false" ht="15.75" hidden="false" customHeight="false" outlineLevel="0" collapsed="false">
      <c r="A271" s="174"/>
      <c r="B271" s="174"/>
      <c r="C271" s="174"/>
      <c r="D271" s="174"/>
      <c r="E271" s="174"/>
      <c r="F271" s="174"/>
      <c r="G271" s="174"/>
      <c r="H271" s="174"/>
      <c r="I271" s="174"/>
      <c r="J271" s="174"/>
      <c r="K271" s="174"/>
      <c r="L271" s="174"/>
      <c r="M271" s="174"/>
      <c r="N271" s="174"/>
      <c r="O271" s="174"/>
      <c r="P271" s="174"/>
      <c r="Q271" s="174"/>
      <c r="R271" s="174"/>
      <c r="S271" s="174"/>
      <c r="T271" s="174"/>
      <c r="U271" s="174"/>
      <c r="V271" s="174"/>
      <c r="W271" s="174"/>
      <c r="X271" s="174"/>
      <c r="Y271" s="174"/>
      <c r="Z271" s="174"/>
    </row>
    <row r="272" customFormat="false" ht="15.75" hidden="false" customHeight="false" outlineLevel="0" collapsed="false">
      <c r="A272" s="174"/>
      <c r="B272" s="174"/>
      <c r="C272" s="174"/>
      <c r="D272" s="174"/>
      <c r="E272" s="174"/>
      <c r="F272" s="174"/>
      <c r="G272" s="174"/>
      <c r="H272" s="174"/>
      <c r="I272" s="174"/>
      <c r="J272" s="174"/>
      <c r="K272" s="174"/>
      <c r="L272" s="174"/>
      <c r="M272" s="174"/>
      <c r="N272" s="174"/>
      <c r="O272" s="174"/>
      <c r="P272" s="174"/>
      <c r="Q272" s="174"/>
      <c r="R272" s="174"/>
      <c r="S272" s="174"/>
      <c r="T272" s="174"/>
      <c r="U272" s="174"/>
      <c r="V272" s="174"/>
      <c r="W272" s="174"/>
      <c r="X272" s="174"/>
      <c r="Y272" s="174"/>
      <c r="Z272" s="174"/>
    </row>
    <row r="273" customFormat="false" ht="15.75" hidden="false" customHeight="false" outlineLevel="0" collapsed="false">
      <c r="A273" s="174"/>
      <c r="B273" s="174"/>
      <c r="C273" s="174"/>
      <c r="D273" s="174"/>
      <c r="E273" s="174"/>
      <c r="F273" s="174"/>
      <c r="G273" s="174"/>
      <c r="H273" s="174"/>
      <c r="I273" s="174"/>
      <c r="J273" s="174"/>
      <c r="K273" s="174"/>
      <c r="L273" s="174"/>
      <c r="M273" s="174"/>
      <c r="N273" s="174"/>
      <c r="O273" s="174"/>
      <c r="P273" s="174"/>
      <c r="Q273" s="174"/>
      <c r="R273" s="174"/>
      <c r="S273" s="174"/>
      <c r="T273" s="174"/>
      <c r="U273" s="174"/>
      <c r="V273" s="174"/>
      <c r="W273" s="174"/>
      <c r="X273" s="174"/>
      <c r="Y273" s="174"/>
      <c r="Z273" s="174"/>
    </row>
    <row r="274" customFormat="false" ht="15.75" hidden="false" customHeight="false" outlineLevel="0" collapsed="false">
      <c r="A274" s="174"/>
      <c r="B274" s="174"/>
      <c r="C274" s="174"/>
      <c r="D274" s="174"/>
      <c r="E274" s="174"/>
      <c r="F274" s="174"/>
      <c r="G274" s="174"/>
      <c r="H274" s="174"/>
      <c r="I274" s="174"/>
      <c r="J274" s="174"/>
      <c r="K274" s="174"/>
      <c r="L274" s="174"/>
      <c r="M274" s="174"/>
      <c r="N274" s="174"/>
      <c r="O274" s="174"/>
      <c r="P274" s="174"/>
      <c r="Q274" s="174"/>
      <c r="R274" s="174"/>
      <c r="S274" s="174"/>
      <c r="T274" s="174"/>
      <c r="U274" s="174"/>
      <c r="V274" s="174"/>
      <c r="W274" s="174"/>
      <c r="X274" s="174"/>
      <c r="Y274" s="174"/>
      <c r="Z274" s="174"/>
    </row>
    <row r="275" customFormat="false" ht="15.75" hidden="false" customHeight="false" outlineLevel="0" collapsed="false">
      <c r="A275" s="174"/>
      <c r="B275" s="174"/>
      <c r="C275" s="174"/>
      <c r="D275" s="174"/>
      <c r="E275" s="174"/>
      <c r="F275" s="174"/>
      <c r="G275" s="174"/>
      <c r="H275" s="174"/>
      <c r="I275" s="174"/>
      <c r="J275" s="174"/>
      <c r="K275" s="174"/>
      <c r="L275" s="174"/>
      <c r="M275" s="174"/>
      <c r="N275" s="174"/>
      <c r="O275" s="174"/>
      <c r="P275" s="174"/>
      <c r="Q275" s="174"/>
      <c r="R275" s="174"/>
      <c r="S275" s="174"/>
      <c r="T275" s="174"/>
      <c r="U275" s="174"/>
      <c r="V275" s="174"/>
      <c r="W275" s="174"/>
      <c r="X275" s="174"/>
      <c r="Y275" s="174"/>
      <c r="Z275" s="174"/>
    </row>
    <row r="276" customFormat="false" ht="15.75" hidden="false" customHeight="false" outlineLevel="0" collapsed="false">
      <c r="A276" s="174"/>
      <c r="B276" s="174"/>
      <c r="C276" s="174"/>
      <c r="D276" s="174"/>
      <c r="E276" s="174"/>
      <c r="F276" s="174"/>
      <c r="G276" s="174"/>
      <c r="H276" s="174"/>
      <c r="I276" s="174"/>
      <c r="J276" s="174"/>
      <c r="K276" s="174"/>
      <c r="L276" s="174"/>
      <c r="M276" s="174"/>
      <c r="N276" s="174"/>
      <c r="O276" s="174"/>
      <c r="P276" s="174"/>
      <c r="Q276" s="174"/>
      <c r="R276" s="174"/>
      <c r="S276" s="174"/>
      <c r="T276" s="174"/>
      <c r="U276" s="174"/>
      <c r="V276" s="174"/>
      <c r="W276" s="174"/>
      <c r="X276" s="174"/>
      <c r="Y276" s="174"/>
      <c r="Z276" s="174"/>
    </row>
    <row r="277" customFormat="false" ht="15.75" hidden="false" customHeight="false" outlineLevel="0" collapsed="false">
      <c r="A277" s="174"/>
      <c r="B277" s="174"/>
      <c r="C277" s="174"/>
      <c r="D277" s="174"/>
      <c r="E277" s="174"/>
      <c r="F277" s="174"/>
      <c r="G277" s="174"/>
      <c r="H277" s="174"/>
      <c r="I277" s="174"/>
      <c r="J277" s="174"/>
      <c r="K277" s="174"/>
      <c r="L277" s="174"/>
      <c r="M277" s="174"/>
      <c r="N277" s="174"/>
      <c r="O277" s="174"/>
      <c r="P277" s="174"/>
      <c r="Q277" s="174"/>
      <c r="R277" s="174"/>
      <c r="S277" s="174"/>
      <c r="T277" s="174"/>
      <c r="U277" s="174"/>
      <c r="V277" s="174"/>
      <c r="W277" s="174"/>
      <c r="X277" s="174"/>
      <c r="Y277" s="174"/>
      <c r="Z277" s="174"/>
    </row>
    <row r="278" customFormat="false" ht="15.75" hidden="false" customHeight="false" outlineLevel="0" collapsed="false">
      <c r="A278" s="174"/>
      <c r="B278" s="174"/>
      <c r="C278" s="174"/>
      <c r="D278" s="174"/>
      <c r="E278" s="174"/>
      <c r="F278" s="174"/>
      <c r="G278" s="174"/>
      <c r="H278" s="174"/>
      <c r="I278" s="174"/>
      <c r="J278" s="174"/>
      <c r="K278" s="174"/>
      <c r="L278" s="174"/>
      <c r="M278" s="174"/>
      <c r="N278" s="174"/>
      <c r="O278" s="174"/>
      <c r="P278" s="174"/>
      <c r="Q278" s="174"/>
      <c r="R278" s="174"/>
      <c r="S278" s="174"/>
      <c r="T278" s="174"/>
      <c r="U278" s="174"/>
      <c r="V278" s="174"/>
      <c r="W278" s="174"/>
      <c r="X278" s="174"/>
      <c r="Y278" s="174"/>
      <c r="Z278" s="174"/>
    </row>
    <row r="279" customFormat="false" ht="15.75" hidden="false" customHeight="false" outlineLevel="0" collapsed="false">
      <c r="A279" s="174"/>
      <c r="B279" s="174"/>
      <c r="C279" s="174"/>
      <c r="D279" s="174"/>
      <c r="E279" s="174"/>
      <c r="F279" s="174"/>
      <c r="G279" s="174"/>
      <c r="H279" s="174"/>
      <c r="I279" s="174"/>
      <c r="J279" s="174"/>
      <c r="K279" s="174"/>
      <c r="L279" s="174"/>
      <c r="M279" s="174"/>
      <c r="N279" s="174"/>
      <c r="O279" s="174"/>
      <c r="P279" s="174"/>
      <c r="Q279" s="174"/>
      <c r="R279" s="174"/>
      <c r="S279" s="174"/>
      <c r="T279" s="174"/>
      <c r="U279" s="174"/>
      <c r="V279" s="174"/>
      <c r="W279" s="174"/>
      <c r="X279" s="174"/>
      <c r="Y279" s="174"/>
      <c r="Z279" s="174"/>
    </row>
    <row r="280" customFormat="false" ht="15.75" hidden="false" customHeight="false" outlineLevel="0" collapsed="false">
      <c r="A280" s="174"/>
      <c r="B280" s="174"/>
      <c r="C280" s="174"/>
      <c r="D280" s="174"/>
      <c r="E280" s="174"/>
      <c r="F280" s="174"/>
      <c r="G280" s="174"/>
      <c r="H280" s="174"/>
      <c r="I280" s="174"/>
      <c r="J280" s="174"/>
      <c r="K280" s="174"/>
      <c r="L280" s="174"/>
      <c r="M280" s="174"/>
      <c r="N280" s="174"/>
      <c r="O280" s="174"/>
      <c r="P280" s="174"/>
      <c r="Q280" s="174"/>
      <c r="R280" s="174"/>
      <c r="S280" s="174"/>
      <c r="T280" s="174"/>
      <c r="U280" s="174"/>
      <c r="V280" s="174"/>
      <c r="W280" s="174"/>
      <c r="X280" s="174"/>
      <c r="Y280" s="174"/>
      <c r="Z280" s="174"/>
    </row>
    <row r="281" customFormat="false" ht="15.75" hidden="false" customHeight="false" outlineLevel="0" collapsed="false">
      <c r="A281" s="174"/>
      <c r="B281" s="174"/>
      <c r="C281" s="174"/>
      <c r="D281" s="174"/>
      <c r="E281" s="174"/>
      <c r="F281" s="174"/>
      <c r="G281" s="174"/>
      <c r="H281" s="174"/>
      <c r="I281" s="174"/>
      <c r="J281" s="174"/>
      <c r="K281" s="174"/>
      <c r="L281" s="174"/>
      <c r="M281" s="174"/>
      <c r="N281" s="174"/>
      <c r="O281" s="174"/>
      <c r="P281" s="174"/>
      <c r="Q281" s="174"/>
      <c r="R281" s="174"/>
      <c r="S281" s="174"/>
      <c r="T281" s="174"/>
      <c r="U281" s="174"/>
      <c r="V281" s="174"/>
      <c r="W281" s="174"/>
      <c r="X281" s="174"/>
      <c r="Y281" s="174"/>
      <c r="Z281" s="174"/>
    </row>
    <row r="282" customFormat="false" ht="15.75" hidden="false" customHeight="false" outlineLevel="0" collapsed="false">
      <c r="A282" s="174"/>
      <c r="B282" s="174"/>
      <c r="C282" s="174"/>
      <c r="D282" s="174"/>
      <c r="E282" s="174"/>
      <c r="F282" s="174"/>
      <c r="G282" s="174"/>
      <c r="H282" s="174"/>
      <c r="I282" s="174"/>
      <c r="J282" s="174"/>
      <c r="K282" s="174"/>
      <c r="L282" s="174"/>
      <c r="M282" s="174"/>
      <c r="N282" s="174"/>
      <c r="O282" s="174"/>
      <c r="P282" s="174"/>
      <c r="Q282" s="174"/>
      <c r="R282" s="174"/>
      <c r="S282" s="174"/>
      <c r="T282" s="174"/>
      <c r="U282" s="174"/>
      <c r="V282" s="174"/>
      <c r="W282" s="174"/>
      <c r="X282" s="174"/>
      <c r="Y282" s="174"/>
      <c r="Z282" s="174"/>
    </row>
    <row r="283" customFormat="false" ht="15.75" hidden="false" customHeight="false" outlineLevel="0" collapsed="false">
      <c r="A283" s="174"/>
      <c r="B283" s="174"/>
      <c r="C283" s="174"/>
      <c r="D283" s="174"/>
      <c r="E283" s="174"/>
      <c r="F283" s="174"/>
      <c r="G283" s="174"/>
      <c r="H283" s="174"/>
      <c r="I283" s="174"/>
      <c r="J283" s="174"/>
      <c r="K283" s="174"/>
      <c r="L283" s="174"/>
      <c r="M283" s="174"/>
      <c r="N283" s="174"/>
      <c r="O283" s="174"/>
      <c r="P283" s="174"/>
      <c r="Q283" s="174"/>
      <c r="R283" s="174"/>
      <c r="S283" s="174"/>
      <c r="T283" s="174"/>
      <c r="U283" s="174"/>
      <c r="V283" s="174"/>
      <c r="W283" s="174"/>
      <c r="X283" s="174"/>
      <c r="Y283" s="174"/>
      <c r="Z283" s="174"/>
    </row>
    <row r="284" customFormat="false" ht="15.75" hidden="false" customHeight="false" outlineLevel="0" collapsed="false">
      <c r="A284" s="174"/>
      <c r="B284" s="174"/>
      <c r="C284" s="174"/>
      <c r="D284" s="174"/>
      <c r="E284" s="174"/>
      <c r="F284" s="174"/>
      <c r="G284" s="174"/>
      <c r="H284" s="174"/>
      <c r="I284" s="174"/>
      <c r="J284" s="174"/>
      <c r="K284" s="174"/>
      <c r="L284" s="174"/>
      <c r="M284" s="174"/>
      <c r="N284" s="174"/>
      <c r="O284" s="174"/>
      <c r="P284" s="174"/>
      <c r="Q284" s="174"/>
      <c r="R284" s="174"/>
      <c r="S284" s="174"/>
      <c r="T284" s="174"/>
      <c r="U284" s="174"/>
      <c r="V284" s="174"/>
      <c r="W284" s="174"/>
      <c r="X284" s="174"/>
      <c r="Y284" s="174"/>
      <c r="Z284" s="174"/>
    </row>
    <row r="285" customFormat="false" ht="15.75" hidden="false" customHeight="false" outlineLevel="0" collapsed="false">
      <c r="A285" s="174"/>
      <c r="B285" s="174"/>
      <c r="C285" s="174"/>
      <c r="D285" s="174"/>
      <c r="E285" s="174"/>
      <c r="F285" s="174"/>
      <c r="G285" s="174"/>
      <c r="H285" s="174"/>
      <c r="I285" s="174"/>
      <c r="J285" s="174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4"/>
      <c r="V285" s="174"/>
      <c r="W285" s="174"/>
      <c r="X285" s="174"/>
      <c r="Y285" s="174"/>
      <c r="Z285" s="174"/>
    </row>
    <row r="286" customFormat="false" ht="15.75" hidden="false" customHeight="false" outlineLevel="0" collapsed="false">
      <c r="A286" s="174"/>
      <c r="B286" s="174"/>
      <c r="C286" s="174"/>
      <c r="D286" s="174"/>
      <c r="E286" s="174"/>
      <c r="F286" s="174"/>
      <c r="G286" s="174"/>
      <c r="H286" s="174"/>
      <c r="I286" s="174"/>
      <c r="J286" s="174"/>
      <c r="K286" s="174"/>
      <c r="L286" s="174"/>
      <c r="M286" s="174"/>
      <c r="N286" s="174"/>
      <c r="O286" s="174"/>
      <c r="P286" s="174"/>
      <c r="Q286" s="174"/>
      <c r="R286" s="174"/>
      <c r="S286" s="174"/>
      <c r="T286" s="174"/>
      <c r="U286" s="174"/>
      <c r="V286" s="174"/>
      <c r="W286" s="174"/>
      <c r="X286" s="174"/>
      <c r="Y286" s="174"/>
      <c r="Z286" s="174"/>
    </row>
    <row r="287" customFormat="false" ht="15.75" hidden="false" customHeight="false" outlineLevel="0" collapsed="false">
      <c r="A287" s="174"/>
      <c r="B287" s="174"/>
      <c r="C287" s="174"/>
      <c r="D287" s="174"/>
      <c r="E287" s="174"/>
      <c r="F287" s="174"/>
      <c r="G287" s="174"/>
      <c r="H287" s="174"/>
      <c r="I287" s="174"/>
      <c r="J287" s="174"/>
      <c r="K287" s="174"/>
      <c r="L287" s="174"/>
      <c r="M287" s="174"/>
      <c r="N287" s="174"/>
      <c r="O287" s="174"/>
      <c r="P287" s="174"/>
      <c r="Q287" s="174"/>
      <c r="R287" s="174"/>
      <c r="S287" s="174"/>
      <c r="T287" s="174"/>
      <c r="U287" s="174"/>
      <c r="V287" s="174"/>
      <c r="W287" s="174"/>
      <c r="X287" s="174"/>
      <c r="Y287" s="174"/>
      <c r="Z287" s="174"/>
    </row>
    <row r="288" customFormat="false" ht="15.75" hidden="false" customHeight="false" outlineLevel="0" collapsed="false">
      <c r="A288" s="174"/>
      <c r="B288" s="174"/>
      <c r="C288" s="174"/>
      <c r="D288" s="174"/>
      <c r="E288" s="174"/>
      <c r="F288" s="174"/>
      <c r="G288" s="174"/>
      <c r="H288" s="174"/>
      <c r="I288" s="174"/>
      <c r="J288" s="174"/>
      <c r="K288" s="174"/>
      <c r="L288" s="174"/>
      <c r="M288" s="174"/>
      <c r="N288" s="174"/>
      <c r="O288" s="174"/>
      <c r="P288" s="174"/>
      <c r="Q288" s="174"/>
      <c r="R288" s="174"/>
      <c r="S288" s="174"/>
      <c r="T288" s="174"/>
      <c r="U288" s="174"/>
      <c r="V288" s="174"/>
      <c r="W288" s="174"/>
      <c r="X288" s="174"/>
      <c r="Y288" s="174"/>
      <c r="Z288" s="174"/>
    </row>
    <row r="289" customFormat="false" ht="15.75" hidden="false" customHeight="false" outlineLevel="0" collapsed="false">
      <c r="A289" s="174"/>
      <c r="B289" s="174"/>
      <c r="C289" s="174"/>
      <c r="D289" s="174"/>
      <c r="E289" s="174"/>
      <c r="F289" s="174"/>
      <c r="G289" s="174"/>
      <c r="H289" s="174"/>
      <c r="I289" s="174"/>
      <c r="J289" s="174"/>
      <c r="K289" s="174"/>
      <c r="L289" s="174"/>
      <c r="M289" s="174"/>
      <c r="N289" s="174"/>
      <c r="O289" s="174"/>
      <c r="P289" s="174"/>
      <c r="Q289" s="174"/>
      <c r="R289" s="174"/>
      <c r="S289" s="174"/>
      <c r="T289" s="174"/>
      <c r="U289" s="174"/>
      <c r="V289" s="174"/>
      <c r="W289" s="174"/>
      <c r="X289" s="174"/>
      <c r="Y289" s="174"/>
      <c r="Z289" s="174"/>
    </row>
    <row r="290" customFormat="false" ht="15.75" hidden="false" customHeight="false" outlineLevel="0" collapsed="false">
      <c r="A290" s="174"/>
      <c r="B290" s="174"/>
      <c r="C290" s="174"/>
      <c r="D290" s="174"/>
      <c r="E290" s="174"/>
      <c r="F290" s="174"/>
      <c r="G290" s="174"/>
      <c r="H290" s="174"/>
      <c r="I290" s="174"/>
      <c r="J290" s="174"/>
      <c r="K290" s="174"/>
      <c r="L290" s="174"/>
      <c r="M290" s="174"/>
      <c r="N290" s="174"/>
      <c r="O290" s="174"/>
      <c r="P290" s="174"/>
      <c r="Q290" s="174"/>
      <c r="R290" s="174"/>
      <c r="S290" s="174"/>
      <c r="T290" s="174"/>
      <c r="U290" s="174"/>
      <c r="V290" s="174"/>
      <c r="W290" s="174"/>
      <c r="X290" s="174"/>
      <c r="Y290" s="174"/>
      <c r="Z290" s="174"/>
    </row>
    <row r="291" customFormat="false" ht="15.75" hidden="false" customHeight="false" outlineLevel="0" collapsed="false">
      <c r="A291" s="174"/>
      <c r="B291" s="174"/>
      <c r="C291" s="174"/>
      <c r="D291" s="174"/>
      <c r="E291" s="174"/>
      <c r="F291" s="174"/>
      <c r="G291" s="174"/>
      <c r="H291" s="174"/>
      <c r="I291" s="174"/>
      <c r="J291" s="174"/>
      <c r="K291" s="174"/>
      <c r="L291" s="174"/>
      <c r="M291" s="174"/>
      <c r="N291" s="174"/>
      <c r="O291" s="174"/>
      <c r="P291" s="174"/>
      <c r="Q291" s="174"/>
      <c r="R291" s="174"/>
      <c r="S291" s="174"/>
      <c r="T291" s="174"/>
      <c r="U291" s="174"/>
      <c r="V291" s="174"/>
      <c r="W291" s="174"/>
      <c r="X291" s="174"/>
      <c r="Y291" s="174"/>
      <c r="Z291" s="174"/>
    </row>
    <row r="292" customFormat="false" ht="15.75" hidden="false" customHeight="false" outlineLevel="0" collapsed="false">
      <c r="A292" s="174"/>
      <c r="B292" s="174"/>
      <c r="C292" s="174"/>
      <c r="D292" s="174"/>
      <c r="E292" s="174"/>
      <c r="F292" s="174"/>
      <c r="G292" s="174"/>
      <c r="H292" s="174"/>
      <c r="I292" s="174"/>
      <c r="J292" s="174"/>
      <c r="K292" s="174"/>
      <c r="L292" s="174"/>
      <c r="M292" s="174"/>
      <c r="N292" s="174"/>
      <c r="O292" s="174"/>
      <c r="P292" s="174"/>
      <c r="Q292" s="174"/>
      <c r="R292" s="174"/>
      <c r="S292" s="174"/>
      <c r="T292" s="174"/>
      <c r="U292" s="174"/>
      <c r="V292" s="174"/>
      <c r="W292" s="174"/>
      <c r="X292" s="174"/>
      <c r="Y292" s="174"/>
      <c r="Z292" s="174"/>
    </row>
    <row r="293" customFormat="false" ht="15.75" hidden="false" customHeight="false" outlineLevel="0" collapsed="false">
      <c r="A293" s="174"/>
      <c r="B293" s="174"/>
      <c r="C293" s="174"/>
      <c r="D293" s="174"/>
      <c r="E293" s="174"/>
      <c r="F293" s="174"/>
      <c r="G293" s="174"/>
      <c r="H293" s="174"/>
      <c r="I293" s="174"/>
      <c r="J293" s="174"/>
      <c r="K293" s="174"/>
      <c r="L293" s="174"/>
      <c r="M293" s="174"/>
      <c r="N293" s="174"/>
      <c r="O293" s="174"/>
      <c r="P293" s="174"/>
      <c r="Q293" s="174"/>
      <c r="R293" s="174"/>
      <c r="S293" s="174"/>
      <c r="T293" s="174"/>
      <c r="U293" s="174"/>
      <c r="V293" s="174"/>
      <c r="W293" s="174"/>
      <c r="X293" s="174"/>
      <c r="Y293" s="174"/>
      <c r="Z293" s="174"/>
    </row>
    <row r="294" customFormat="false" ht="15.75" hidden="false" customHeight="false" outlineLevel="0" collapsed="false">
      <c r="A294" s="174"/>
      <c r="B294" s="174"/>
      <c r="C294" s="174"/>
      <c r="D294" s="174"/>
      <c r="E294" s="174"/>
      <c r="F294" s="174"/>
      <c r="G294" s="174"/>
      <c r="H294" s="174"/>
      <c r="I294" s="174"/>
      <c r="J294" s="174"/>
      <c r="K294" s="174"/>
      <c r="L294" s="174"/>
      <c r="M294" s="174"/>
      <c r="N294" s="174"/>
      <c r="O294" s="174"/>
      <c r="P294" s="174"/>
      <c r="Q294" s="174"/>
      <c r="R294" s="174"/>
      <c r="S294" s="174"/>
      <c r="T294" s="174"/>
      <c r="U294" s="174"/>
      <c r="V294" s="174"/>
      <c r="W294" s="174"/>
      <c r="X294" s="174"/>
      <c r="Y294" s="174"/>
      <c r="Z294" s="174"/>
    </row>
    <row r="295" customFormat="false" ht="15.75" hidden="false" customHeight="false" outlineLevel="0" collapsed="false">
      <c r="A295" s="174"/>
      <c r="B295" s="174"/>
      <c r="C295" s="174"/>
      <c r="D295" s="174"/>
      <c r="E295" s="174"/>
      <c r="F295" s="174"/>
      <c r="G295" s="174"/>
      <c r="H295" s="174"/>
      <c r="I295" s="174"/>
      <c r="J295" s="174"/>
      <c r="K295" s="174"/>
      <c r="L295" s="174"/>
      <c r="M295" s="174"/>
      <c r="N295" s="174"/>
      <c r="O295" s="174"/>
      <c r="P295" s="174"/>
      <c r="Q295" s="174"/>
      <c r="R295" s="174"/>
      <c r="S295" s="174"/>
      <c r="T295" s="174"/>
      <c r="U295" s="174"/>
      <c r="V295" s="174"/>
      <c r="W295" s="174"/>
      <c r="X295" s="174"/>
      <c r="Y295" s="174"/>
      <c r="Z295" s="174"/>
    </row>
    <row r="296" customFormat="false" ht="15.75" hidden="false" customHeight="false" outlineLevel="0" collapsed="false">
      <c r="A296" s="174"/>
      <c r="B296" s="174"/>
      <c r="C296" s="174"/>
      <c r="D296" s="174"/>
      <c r="E296" s="174"/>
      <c r="F296" s="174"/>
      <c r="G296" s="174"/>
      <c r="H296" s="174"/>
      <c r="I296" s="174"/>
      <c r="J296" s="174"/>
      <c r="K296" s="174"/>
      <c r="L296" s="174"/>
      <c r="M296" s="174"/>
      <c r="N296" s="174"/>
      <c r="O296" s="174"/>
      <c r="P296" s="174"/>
      <c r="Q296" s="174"/>
      <c r="R296" s="174"/>
      <c r="S296" s="174"/>
      <c r="T296" s="174"/>
      <c r="U296" s="174"/>
      <c r="V296" s="174"/>
      <c r="W296" s="174"/>
      <c r="X296" s="174"/>
      <c r="Y296" s="174"/>
      <c r="Z296" s="174"/>
    </row>
    <row r="297" customFormat="false" ht="15.75" hidden="false" customHeight="false" outlineLevel="0" collapsed="false">
      <c r="A297" s="174"/>
      <c r="B297" s="174"/>
      <c r="C297" s="174"/>
      <c r="D297" s="174"/>
      <c r="E297" s="174"/>
      <c r="F297" s="174"/>
      <c r="G297" s="174"/>
      <c r="H297" s="174"/>
      <c r="I297" s="174"/>
      <c r="J297" s="174"/>
      <c r="K297" s="174"/>
      <c r="L297" s="174"/>
      <c r="M297" s="174"/>
      <c r="N297" s="174"/>
      <c r="O297" s="174"/>
      <c r="P297" s="174"/>
      <c r="Q297" s="174"/>
      <c r="R297" s="174"/>
      <c r="S297" s="174"/>
      <c r="T297" s="174"/>
      <c r="U297" s="174"/>
      <c r="V297" s="174"/>
      <c r="W297" s="174"/>
      <c r="X297" s="174"/>
      <c r="Y297" s="174"/>
      <c r="Z297" s="174"/>
    </row>
    <row r="298" customFormat="false" ht="15.75" hidden="false" customHeight="false" outlineLevel="0" collapsed="false">
      <c r="A298" s="174"/>
      <c r="B298" s="174"/>
      <c r="C298" s="174"/>
      <c r="D298" s="174"/>
      <c r="E298" s="174"/>
      <c r="F298" s="174"/>
      <c r="G298" s="174"/>
      <c r="H298" s="174"/>
      <c r="I298" s="174"/>
      <c r="J298" s="174"/>
      <c r="K298" s="174"/>
      <c r="L298" s="174"/>
      <c r="M298" s="174"/>
      <c r="N298" s="174"/>
      <c r="O298" s="174"/>
      <c r="P298" s="174"/>
      <c r="Q298" s="174"/>
      <c r="R298" s="174"/>
      <c r="S298" s="174"/>
      <c r="T298" s="174"/>
      <c r="U298" s="174"/>
      <c r="V298" s="174"/>
      <c r="W298" s="174"/>
      <c r="X298" s="174"/>
      <c r="Y298" s="174"/>
      <c r="Z298" s="174"/>
    </row>
    <row r="299" customFormat="false" ht="15.75" hidden="false" customHeight="false" outlineLevel="0" collapsed="false">
      <c r="A299" s="174"/>
      <c r="B299" s="174"/>
      <c r="C299" s="174"/>
      <c r="D299" s="174"/>
      <c r="E299" s="174"/>
      <c r="F299" s="174"/>
      <c r="G299" s="174"/>
      <c r="H299" s="174"/>
      <c r="I299" s="174"/>
      <c r="J299" s="174"/>
      <c r="K299" s="174"/>
      <c r="L299" s="174"/>
      <c r="M299" s="174"/>
      <c r="N299" s="174"/>
      <c r="O299" s="174"/>
      <c r="P299" s="174"/>
      <c r="Q299" s="174"/>
      <c r="R299" s="174"/>
      <c r="S299" s="174"/>
      <c r="T299" s="174"/>
      <c r="U299" s="174"/>
      <c r="V299" s="174"/>
      <c r="W299" s="174"/>
      <c r="X299" s="174"/>
      <c r="Y299" s="174"/>
      <c r="Z299" s="174"/>
    </row>
    <row r="300" customFormat="false" ht="15.75" hidden="false" customHeight="false" outlineLevel="0" collapsed="false">
      <c r="A300" s="174"/>
      <c r="B300" s="174"/>
      <c r="C300" s="174"/>
      <c r="D300" s="174"/>
      <c r="E300" s="174"/>
      <c r="F300" s="174"/>
      <c r="G300" s="174"/>
      <c r="H300" s="174"/>
      <c r="I300" s="174"/>
      <c r="J300" s="174"/>
      <c r="K300" s="174"/>
      <c r="L300" s="174"/>
      <c r="M300" s="174"/>
      <c r="N300" s="174"/>
      <c r="O300" s="174"/>
      <c r="P300" s="174"/>
      <c r="Q300" s="174"/>
      <c r="R300" s="174"/>
      <c r="S300" s="174"/>
      <c r="T300" s="174"/>
      <c r="U300" s="174"/>
      <c r="V300" s="174"/>
      <c r="W300" s="174"/>
      <c r="X300" s="174"/>
      <c r="Y300" s="174"/>
      <c r="Z300" s="174"/>
    </row>
    <row r="301" customFormat="false" ht="15.75" hidden="false" customHeight="false" outlineLevel="0" collapsed="false">
      <c r="A301" s="174"/>
      <c r="B301" s="174"/>
      <c r="C301" s="174"/>
      <c r="D301" s="174"/>
      <c r="E301" s="174"/>
      <c r="F301" s="174"/>
      <c r="G301" s="174"/>
      <c r="H301" s="174"/>
      <c r="I301" s="174"/>
      <c r="J301" s="174"/>
      <c r="K301" s="174"/>
      <c r="L301" s="174"/>
      <c r="M301" s="174"/>
      <c r="N301" s="174"/>
      <c r="O301" s="174"/>
      <c r="P301" s="174"/>
      <c r="Q301" s="174"/>
      <c r="R301" s="174"/>
      <c r="S301" s="174"/>
      <c r="T301" s="174"/>
      <c r="U301" s="174"/>
      <c r="V301" s="174"/>
      <c r="W301" s="174"/>
      <c r="X301" s="174"/>
      <c r="Y301" s="174"/>
      <c r="Z301" s="174"/>
    </row>
    <row r="302" customFormat="false" ht="15.75" hidden="false" customHeight="false" outlineLevel="0" collapsed="false">
      <c r="A302" s="174"/>
      <c r="B302" s="174"/>
      <c r="C302" s="174"/>
      <c r="D302" s="174"/>
      <c r="E302" s="174"/>
      <c r="F302" s="174"/>
      <c r="G302" s="174"/>
      <c r="H302" s="174"/>
      <c r="I302" s="174"/>
      <c r="J302" s="174"/>
      <c r="K302" s="174"/>
      <c r="L302" s="174"/>
      <c r="M302" s="174"/>
      <c r="N302" s="174"/>
      <c r="O302" s="174"/>
      <c r="P302" s="174"/>
      <c r="Q302" s="174"/>
      <c r="R302" s="174"/>
      <c r="S302" s="174"/>
      <c r="T302" s="174"/>
      <c r="U302" s="174"/>
      <c r="V302" s="174"/>
      <c r="W302" s="174"/>
      <c r="X302" s="174"/>
      <c r="Y302" s="174"/>
      <c r="Z302" s="174"/>
    </row>
    <row r="303" customFormat="false" ht="15.75" hidden="false" customHeight="false" outlineLevel="0" collapsed="false">
      <c r="A303" s="174"/>
      <c r="B303" s="174"/>
      <c r="C303" s="174"/>
      <c r="D303" s="174"/>
      <c r="E303" s="174"/>
      <c r="F303" s="174"/>
      <c r="G303" s="174"/>
      <c r="H303" s="174"/>
      <c r="I303" s="174"/>
      <c r="J303" s="174"/>
      <c r="K303" s="174"/>
      <c r="L303" s="174"/>
      <c r="M303" s="174"/>
      <c r="N303" s="174"/>
      <c r="O303" s="174"/>
      <c r="P303" s="174"/>
      <c r="Q303" s="174"/>
      <c r="R303" s="174"/>
      <c r="S303" s="174"/>
      <c r="T303" s="174"/>
      <c r="U303" s="174"/>
      <c r="V303" s="174"/>
      <c r="W303" s="174"/>
      <c r="X303" s="174"/>
      <c r="Y303" s="174"/>
      <c r="Z303" s="174"/>
    </row>
    <row r="304" customFormat="false" ht="15.75" hidden="false" customHeight="false" outlineLevel="0" collapsed="false">
      <c r="A304" s="174"/>
      <c r="B304" s="174"/>
      <c r="C304" s="174"/>
      <c r="D304" s="174"/>
      <c r="E304" s="174"/>
      <c r="F304" s="174"/>
      <c r="G304" s="174"/>
      <c r="H304" s="174"/>
      <c r="I304" s="174"/>
      <c r="J304" s="174"/>
      <c r="K304" s="174"/>
      <c r="L304" s="174"/>
      <c r="M304" s="174"/>
      <c r="N304" s="174"/>
      <c r="O304" s="174"/>
      <c r="P304" s="174"/>
      <c r="Q304" s="174"/>
      <c r="R304" s="174"/>
      <c r="S304" s="174"/>
      <c r="T304" s="174"/>
      <c r="U304" s="174"/>
      <c r="V304" s="174"/>
      <c r="W304" s="174"/>
      <c r="X304" s="174"/>
      <c r="Y304" s="174"/>
      <c r="Z304" s="174"/>
    </row>
    <row r="305" customFormat="false" ht="15.75" hidden="false" customHeight="false" outlineLevel="0" collapsed="false">
      <c r="A305" s="174"/>
      <c r="B305" s="174"/>
      <c r="C305" s="174"/>
      <c r="D305" s="174"/>
      <c r="E305" s="174"/>
      <c r="F305" s="174"/>
      <c r="G305" s="174"/>
      <c r="H305" s="174"/>
      <c r="I305" s="174"/>
      <c r="J305" s="174"/>
      <c r="K305" s="174"/>
      <c r="L305" s="174"/>
      <c r="M305" s="174"/>
      <c r="N305" s="174"/>
      <c r="O305" s="174"/>
      <c r="P305" s="174"/>
      <c r="Q305" s="174"/>
      <c r="R305" s="174"/>
      <c r="S305" s="174"/>
      <c r="T305" s="174"/>
      <c r="U305" s="174"/>
      <c r="V305" s="174"/>
      <c r="W305" s="174"/>
      <c r="X305" s="174"/>
      <c r="Y305" s="174"/>
      <c r="Z305" s="174"/>
    </row>
    <row r="306" customFormat="false" ht="15.75" hidden="false" customHeight="false" outlineLevel="0" collapsed="false">
      <c r="A306" s="174"/>
      <c r="B306" s="174"/>
      <c r="C306" s="174"/>
      <c r="D306" s="174"/>
      <c r="E306" s="174"/>
      <c r="F306" s="174"/>
      <c r="G306" s="174"/>
      <c r="H306" s="174"/>
      <c r="I306" s="174"/>
      <c r="J306" s="174"/>
      <c r="K306" s="174"/>
      <c r="L306" s="174"/>
      <c r="M306" s="174"/>
      <c r="N306" s="174"/>
      <c r="O306" s="174"/>
      <c r="P306" s="174"/>
      <c r="Q306" s="174"/>
      <c r="R306" s="174"/>
      <c r="S306" s="174"/>
      <c r="T306" s="174"/>
      <c r="U306" s="174"/>
      <c r="V306" s="174"/>
      <c r="W306" s="174"/>
      <c r="X306" s="174"/>
      <c r="Y306" s="174"/>
      <c r="Z306" s="174"/>
    </row>
    <row r="307" customFormat="false" ht="15.75" hidden="false" customHeight="false" outlineLevel="0" collapsed="false">
      <c r="A307" s="174"/>
      <c r="B307" s="174"/>
      <c r="C307" s="174"/>
      <c r="D307" s="174"/>
      <c r="E307" s="174"/>
      <c r="F307" s="174"/>
      <c r="G307" s="174"/>
      <c r="H307" s="174"/>
      <c r="I307" s="174"/>
      <c r="J307" s="174"/>
      <c r="K307" s="174"/>
      <c r="L307" s="174"/>
      <c r="M307" s="174"/>
      <c r="N307" s="174"/>
      <c r="O307" s="174"/>
      <c r="P307" s="174"/>
      <c r="Q307" s="174"/>
      <c r="R307" s="174"/>
      <c r="S307" s="174"/>
      <c r="T307" s="174"/>
      <c r="U307" s="174"/>
      <c r="V307" s="174"/>
      <c r="W307" s="174"/>
      <c r="X307" s="174"/>
      <c r="Y307" s="174"/>
      <c r="Z307" s="174"/>
    </row>
    <row r="308" customFormat="false" ht="15.75" hidden="false" customHeight="false" outlineLevel="0" collapsed="false">
      <c r="A308" s="174"/>
      <c r="B308" s="174"/>
      <c r="C308" s="174"/>
      <c r="D308" s="174"/>
      <c r="E308" s="174"/>
      <c r="F308" s="174"/>
      <c r="G308" s="174"/>
      <c r="H308" s="174"/>
      <c r="I308" s="174"/>
      <c r="J308" s="174"/>
      <c r="K308" s="174"/>
      <c r="L308" s="174"/>
      <c r="M308" s="174"/>
      <c r="N308" s="174"/>
      <c r="O308" s="174"/>
      <c r="P308" s="174"/>
      <c r="Q308" s="174"/>
      <c r="R308" s="174"/>
      <c r="S308" s="174"/>
      <c r="T308" s="174"/>
      <c r="U308" s="174"/>
      <c r="V308" s="174"/>
      <c r="W308" s="174"/>
      <c r="X308" s="174"/>
      <c r="Y308" s="174"/>
      <c r="Z308" s="174"/>
    </row>
    <row r="309" customFormat="false" ht="15.75" hidden="false" customHeight="false" outlineLevel="0" collapsed="false">
      <c r="A309" s="174"/>
      <c r="B309" s="174"/>
      <c r="C309" s="174"/>
      <c r="D309" s="174"/>
      <c r="E309" s="174"/>
      <c r="F309" s="174"/>
      <c r="G309" s="174"/>
      <c r="H309" s="174"/>
      <c r="I309" s="174"/>
      <c r="J309" s="174"/>
      <c r="K309" s="174"/>
      <c r="L309" s="174"/>
      <c r="M309" s="174"/>
      <c r="N309" s="174"/>
      <c r="O309" s="174"/>
      <c r="P309" s="174"/>
      <c r="Q309" s="174"/>
      <c r="R309" s="174"/>
      <c r="S309" s="174"/>
      <c r="T309" s="174"/>
      <c r="U309" s="174"/>
      <c r="V309" s="174"/>
      <c r="W309" s="174"/>
      <c r="X309" s="174"/>
      <c r="Y309" s="174"/>
      <c r="Z309" s="174"/>
    </row>
    <row r="310" customFormat="false" ht="15.75" hidden="false" customHeight="false" outlineLevel="0" collapsed="false">
      <c r="A310" s="174"/>
      <c r="B310" s="174"/>
      <c r="C310" s="174"/>
      <c r="D310" s="174"/>
      <c r="E310" s="174"/>
      <c r="F310" s="174"/>
      <c r="G310" s="174"/>
      <c r="H310" s="174"/>
      <c r="I310" s="174"/>
      <c r="J310" s="174"/>
      <c r="K310" s="174"/>
      <c r="L310" s="174"/>
      <c r="M310" s="174"/>
      <c r="N310" s="174"/>
      <c r="O310" s="174"/>
      <c r="P310" s="174"/>
      <c r="Q310" s="174"/>
      <c r="R310" s="174"/>
      <c r="S310" s="174"/>
      <c r="T310" s="174"/>
      <c r="U310" s="174"/>
      <c r="V310" s="174"/>
      <c r="W310" s="174"/>
      <c r="X310" s="174"/>
      <c r="Y310" s="174"/>
      <c r="Z310" s="174"/>
    </row>
    <row r="311" customFormat="false" ht="15.75" hidden="false" customHeight="false" outlineLevel="0" collapsed="false">
      <c r="A311" s="174"/>
      <c r="B311" s="174"/>
      <c r="C311" s="174"/>
      <c r="D311" s="174"/>
      <c r="E311" s="174"/>
      <c r="F311" s="174"/>
      <c r="G311" s="174"/>
      <c r="H311" s="174"/>
      <c r="I311" s="174"/>
      <c r="J311" s="174"/>
      <c r="K311" s="174"/>
      <c r="L311" s="174"/>
      <c r="M311" s="174"/>
      <c r="N311" s="174"/>
      <c r="O311" s="174"/>
      <c r="P311" s="174"/>
      <c r="Q311" s="174"/>
      <c r="R311" s="174"/>
      <c r="S311" s="174"/>
      <c r="T311" s="174"/>
      <c r="U311" s="174"/>
      <c r="V311" s="174"/>
      <c r="W311" s="174"/>
      <c r="X311" s="174"/>
      <c r="Y311" s="174"/>
      <c r="Z311" s="174"/>
    </row>
    <row r="312" customFormat="false" ht="15.75" hidden="false" customHeight="false" outlineLevel="0" collapsed="false">
      <c r="A312" s="174"/>
      <c r="B312" s="174"/>
      <c r="C312" s="174"/>
      <c r="D312" s="174"/>
      <c r="E312" s="174"/>
      <c r="F312" s="174"/>
      <c r="G312" s="174"/>
      <c r="H312" s="174"/>
      <c r="I312" s="174"/>
      <c r="J312" s="174"/>
      <c r="K312" s="174"/>
      <c r="L312" s="174"/>
      <c r="M312" s="174"/>
      <c r="N312" s="174"/>
      <c r="O312" s="174"/>
      <c r="P312" s="174"/>
      <c r="Q312" s="174"/>
      <c r="R312" s="174"/>
      <c r="S312" s="174"/>
      <c r="T312" s="174"/>
      <c r="U312" s="174"/>
      <c r="V312" s="174"/>
      <c r="W312" s="174"/>
      <c r="X312" s="174"/>
      <c r="Y312" s="174"/>
      <c r="Z312" s="174"/>
    </row>
    <row r="313" customFormat="false" ht="15.75" hidden="false" customHeight="false" outlineLevel="0" collapsed="false">
      <c r="A313" s="174"/>
      <c r="B313" s="174"/>
      <c r="C313" s="174"/>
      <c r="D313" s="174"/>
      <c r="E313" s="174"/>
      <c r="F313" s="174"/>
      <c r="G313" s="174"/>
      <c r="H313" s="174"/>
      <c r="I313" s="174"/>
      <c r="J313" s="174"/>
      <c r="K313" s="174"/>
      <c r="L313" s="174"/>
      <c r="M313" s="174"/>
      <c r="N313" s="174"/>
      <c r="O313" s="174"/>
      <c r="P313" s="174"/>
      <c r="Q313" s="174"/>
      <c r="R313" s="174"/>
      <c r="S313" s="174"/>
      <c r="T313" s="174"/>
      <c r="U313" s="174"/>
      <c r="V313" s="174"/>
      <c r="W313" s="174"/>
      <c r="X313" s="174"/>
      <c r="Y313" s="174"/>
      <c r="Z313" s="174"/>
    </row>
    <row r="314" customFormat="false" ht="15.75" hidden="false" customHeight="false" outlineLevel="0" collapsed="false">
      <c r="A314" s="174"/>
      <c r="B314" s="174"/>
      <c r="C314" s="174"/>
      <c r="D314" s="174"/>
      <c r="E314" s="174"/>
      <c r="F314" s="174"/>
      <c r="G314" s="174"/>
      <c r="H314" s="174"/>
      <c r="I314" s="174"/>
      <c r="J314" s="174"/>
      <c r="K314" s="174"/>
      <c r="L314" s="174"/>
      <c r="M314" s="174"/>
      <c r="N314" s="174"/>
      <c r="O314" s="174"/>
      <c r="P314" s="174"/>
      <c r="Q314" s="174"/>
      <c r="R314" s="174"/>
      <c r="S314" s="174"/>
      <c r="T314" s="174"/>
      <c r="U314" s="174"/>
      <c r="V314" s="174"/>
      <c r="W314" s="174"/>
      <c r="X314" s="174"/>
      <c r="Y314" s="174"/>
      <c r="Z314" s="174"/>
    </row>
    <row r="315" customFormat="false" ht="15.75" hidden="false" customHeight="false" outlineLevel="0" collapsed="false">
      <c r="A315" s="174"/>
      <c r="B315" s="174"/>
      <c r="C315" s="174"/>
      <c r="D315" s="174"/>
      <c r="E315" s="174"/>
      <c r="F315" s="174"/>
      <c r="G315" s="174"/>
      <c r="H315" s="174"/>
      <c r="I315" s="174"/>
      <c r="J315" s="174"/>
      <c r="K315" s="174"/>
      <c r="L315" s="174"/>
      <c r="M315" s="174"/>
      <c r="N315" s="174"/>
      <c r="O315" s="174"/>
      <c r="P315" s="174"/>
      <c r="Q315" s="174"/>
      <c r="R315" s="174"/>
      <c r="S315" s="174"/>
      <c r="T315" s="174"/>
      <c r="U315" s="174"/>
      <c r="V315" s="174"/>
      <c r="W315" s="174"/>
      <c r="X315" s="174"/>
      <c r="Y315" s="174"/>
      <c r="Z315" s="174"/>
    </row>
    <row r="316" customFormat="false" ht="15.75" hidden="false" customHeight="false" outlineLevel="0" collapsed="false">
      <c r="A316" s="174"/>
      <c r="B316" s="174"/>
      <c r="C316" s="174"/>
      <c r="D316" s="174"/>
      <c r="E316" s="174"/>
      <c r="F316" s="174"/>
      <c r="G316" s="174"/>
      <c r="H316" s="174"/>
      <c r="I316" s="174"/>
      <c r="J316" s="174"/>
      <c r="K316" s="174"/>
      <c r="L316" s="174"/>
      <c r="M316" s="174"/>
      <c r="N316" s="174"/>
      <c r="O316" s="174"/>
      <c r="P316" s="174"/>
      <c r="Q316" s="174"/>
      <c r="R316" s="174"/>
      <c r="S316" s="174"/>
      <c r="T316" s="174"/>
      <c r="U316" s="174"/>
      <c r="V316" s="174"/>
      <c r="W316" s="174"/>
      <c r="X316" s="174"/>
      <c r="Y316" s="174"/>
      <c r="Z316" s="174"/>
    </row>
    <row r="317" customFormat="false" ht="15.75" hidden="false" customHeight="false" outlineLevel="0" collapsed="false">
      <c r="A317" s="174"/>
      <c r="B317" s="174"/>
      <c r="C317" s="174"/>
      <c r="D317" s="174"/>
      <c r="E317" s="174"/>
      <c r="F317" s="174"/>
      <c r="G317" s="174"/>
      <c r="H317" s="174"/>
      <c r="I317" s="174"/>
      <c r="J317" s="174"/>
      <c r="K317" s="174"/>
      <c r="L317" s="174"/>
      <c r="M317" s="174"/>
      <c r="N317" s="174"/>
      <c r="O317" s="174"/>
      <c r="P317" s="174"/>
      <c r="Q317" s="174"/>
      <c r="R317" s="174"/>
      <c r="S317" s="174"/>
      <c r="T317" s="174"/>
      <c r="U317" s="174"/>
      <c r="V317" s="174"/>
      <c r="W317" s="174"/>
      <c r="X317" s="174"/>
      <c r="Y317" s="174"/>
      <c r="Z317" s="174"/>
    </row>
    <row r="318" customFormat="false" ht="15.75" hidden="false" customHeight="false" outlineLevel="0" collapsed="false">
      <c r="A318" s="174"/>
      <c r="B318" s="174"/>
      <c r="C318" s="174"/>
      <c r="D318" s="174"/>
      <c r="E318" s="174"/>
      <c r="F318" s="174"/>
      <c r="G318" s="174"/>
      <c r="H318" s="174"/>
      <c r="I318" s="174"/>
      <c r="J318" s="174"/>
      <c r="K318" s="174"/>
      <c r="L318" s="174"/>
      <c r="M318" s="174"/>
      <c r="N318" s="174"/>
      <c r="O318" s="174"/>
      <c r="P318" s="174"/>
      <c r="Q318" s="174"/>
      <c r="R318" s="174"/>
      <c r="S318" s="174"/>
      <c r="T318" s="174"/>
      <c r="U318" s="174"/>
      <c r="V318" s="174"/>
      <c r="W318" s="174"/>
      <c r="X318" s="174"/>
      <c r="Y318" s="174"/>
      <c r="Z318" s="174"/>
    </row>
    <row r="319" customFormat="false" ht="15.75" hidden="false" customHeight="false" outlineLevel="0" collapsed="false">
      <c r="A319" s="174"/>
      <c r="B319" s="174"/>
      <c r="C319" s="174"/>
      <c r="D319" s="174"/>
      <c r="E319" s="174"/>
      <c r="F319" s="174"/>
      <c r="G319" s="174"/>
      <c r="H319" s="174"/>
      <c r="I319" s="174"/>
      <c r="J319" s="174"/>
      <c r="K319" s="174"/>
      <c r="L319" s="174"/>
      <c r="M319" s="174"/>
      <c r="N319" s="174"/>
      <c r="O319" s="174"/>
      <c r="P319" s="174"/>
      <c r="Q319" s="174"/>
      <c r="R319" s="174"/>
      <c r="S319" s="174"/>
      <c r="T319" s="174"/>
      <c r="U319" s="174"/>
      <c r="V319" s="174"/>
      <c r="W319" s="174"/>
      <c r="X319" s="174"/>
      <c r="Y319" s="174"/>
      <c r="Z319" s="174"/>
    </row>
    <row r="320" customFormat="false" ht="15.75" hidden="false" customHeight="false" outlineLevel="0" collapsed="false">
      <c r="A320" s="174"/>
      <c r="B320" s="174"/>
      <c r="C320" s="174"/>
      <c r="D320" s="174"/>
      <c r="E320" s="174"/>
      <c r="F320" s="174"/>
      <c r="G320" s="174"/>
      <c r="H320" s="174"/>
      <c r="I320" s="174"/>
      <c r="J320" s="174"/>
      <c r="K320" s="174"/>
      <c r="L320" s="174"/>
      <c r="M320" s="174"/>
      <c r="N320" s="174"/>
      <c r="O320" s="174"/>
      <c r="P320" s="174"/>
      <c r="Q320" s="174"/>
      <c r="R320" s="174"/>
      <c r="S320" s="174"/>
      <c r="T320" s="174"/>
      <c r="U320" s="174"/>
      <c r="V320" s="174"/>
      <c r="W320" s="174"/>
      <c r="X320" s="174"/>
      <c r="Y320" s="174"/>
      <c r="Z320" s="174"/>
    </row>
    <row r="321" customFormat="false" ht="15.75" hidden="false" customHeight="false" outlineLevel="0" collapsed="false">
      <c r="A321" s="174"/>
      <c r="B321" s="174"/>
      <c r="C321" s="174"/>
      <c r="D321" s="174"/>
      <c r="E321" s="174"/>
      <c r="F321" s="174"/>
      <c r="G321" s="174"/>
      <c r="H321" s="174"/>
      <c r="I321" s="174"/>
      <c r="J321" s="174"/>
      <c r="K321" s="174"/>
      <c r="L321" s="174"/>
      <c r="M321" s="174"/>
      <c r="N321" s="174"/>
      <c r="O321" s="174"/>
      <c r="P321" s="174"/>
      <c r="Q321" s="174"/>
      <c r="R321" s="174"/>
      <c r="S321" s="174"/>
      <c r="T321" s="174"/>
      <c r="U321" s="174"/>
      <c r="V321" s="174"/>
      <c r="W321" s="174"/>
      <c r="X321" s="174"/>
      <c r="Y321" s="174"/>
      <c r="Z321" s="174"/>
    </row>
    <row r="322" customFormat="false" ht="15.75" hidden="false" customHeight="false" outlineLevel="0" collapsed="false">
      <c r="A322" s="174"/>
      <c r="B322" s="174"/>
      <c r="C322" s="174"/>
      <c r="D322" s="174"/>
      <c r="E322" s="174"/>
      <c r="F322" s="174"/>
      <c r="G322" s="174"/>
      <c r="H322" s="174"/>
      <c r="I322" s="174"/>
      <c r="J322" s="174"/>
      <c r="K322" s="174"/>
      <c r="L322" s="174"/>
      <c r="M322" s="174"/>
      <c r="N322" s="174"/>
      <c r="O322" s="174"/>
      <c r="P322" s="174"/>
      <c r="Q322" s="174"/>
      <c r="R322" s="174"/>
      <c r="S322" s="174"/>
      <c r="T322" s="174"/>
      <c r="U322" s="174"/>
      <c r="V322" s="174"/>
      <c r="W322" s="174"/>
      <c r="X322" s="174"/>
      <c r="Y322" s="174"/>
      <c r="Z322" s="174"/>
    </row>
    <row r="323" customFormat="false" ht="15.75" hidden="false" customHeight="false" outlineLevel="0" collapsed="false">
      <c r="A323" s="174"/>
      <c r="B323" s="174"/>
      <c r="C323" s="174"/>
      <c r="D323" s="174"/>
      <c r="E323" s="174"/>
      <c r="F323" s="174"/>
      <c r="G323" s="174"/>
      <c r="H323" s="174"/>
      <c r="I323" s="174"/>
      <c r="J323" s="174"/>
      <c r="K323" s="174"/>
      <c r="L323" s="174"/>
      <c r="M323" s="174"/>
      <c r="N323" s="174"/>
      <c r="O323" s="174"/>
      <c r="P323" s="174"/>
      <c r="Q323" s="174"/>
      <c r="R323" s="174"/>
      <c r="S323" s="174"/>
      <c r="T323" s="174"/>
      <c r="U323" s="174"/>
      <c r="V323" s="174"/>
      <c r="W323" s="174"/>
      <c r="X323" s="174"/>
      <c r="Y323" s="174"/>
      <c r="Z323" s="174"/>
    </row>
    <row r="324" customFormat="false" ht="15.75" hidden="false" customHeight="false" outlineLevel="0" collapsed="false">
      <c r="A324" s="174"/>
      <c r="B324" s="174"/>
      <c r="C324" s="174"/>
      <c r="D324" s="174"/>
      <c r="E324" s="174"/>
      <c r="F324" s="174"/>
      <c r="G324" s="174"/>
      <c r="H324" s="174"/>
      <c r="I324" s="174"/>
      <c r="J324" s="174"/>
      <c r="K324" s="174"/>
      <c r="L324" s="174"/>
      <c r="M324" s="174"/>
      <c r="N324" s="174"/>
      <c r="O324" s="174"/>
      <c r="P324" s="174"/>
      <c r="Q324" s="174"/>
      <c r="R324" s="174"/>
      <c r="S324" s="174"/>
      <c r="T324" s="174"/>
      <c r="U324" s="174"/>
      <c r="V324" s="174"/>
      <c r="W324" s="174"/>
      <c r="X324" s="174"/>
      <c r="Y324" s="174"/>
      <c r="Z324" s="174"/>
    </row>
    <row r="325" customFormat="false" ht="15.75" hidden="false" customHeight="false" outlineLevel="0" collapsed="false">
      <c r="A325" s="174"/>
      <c r="B325" s="174"/>
      <c r="C325" s="174"/>
      <c r="D325" s="174"/>
      <c r="E325" s="174"/>
      <c r="F325" s="174"/>
      <c r="G325" s="174"/>
      <c r="H325" s="174"/>
      <c r="I325" s="174"/>
      <c r="J325" s="174"/>
      <c r="K325" s="174"/>
      <c r="L325" s="174"/>
      <c r="M325" s="174"/>
      <c r="N325" s="174"/>
      <c r="O325" s="174"/>
      <c r="P325" s="174"/>
      <c r="Q325" s="174"/>
      <c r="R325" s="174"/>
      <c r="S325" s="174"/>
      <c r="T325" s="174"/>
      <c r="U325" s="174"/>
      <c r="V325" s="174"/>
      <c r="W325" s="174"/>
      <c r="X325" s="174"/>
      <c r="Y325" s="174"/>
      <c r="Z325" s="174"/>
    </row>
    <row r="326" customFormat="false" ht="15.75" hidden="false" customHeight="false" outlineLevel="0" collapsed="false">
      <c r="A326" s="174"/>
      <c r="B326" s="174"/>
      <c r="C326" s="174"/>
      <c r="D326" s="174"/>
      <c r="E326" s="174"/>
      <c r="F326" s="174"/>
      <c r="G326" s="174"/>
      <c r="H326" s="174"/>
      <c r="I326" s="174"/>
      <c r="J326" s="174"/>
      <c r="K326" s="174"/>
      <c r="L326" s="174"/>
      <c r="M326" s="174"/>
      <c r="N326" s="174"/>
      <c r="O326" s="174"/>
      <c r="P326" s="174"/>
      <c r="Q326" s="174"/>
      <c r="R326" s="174"/>
      <c r="S326" s="174"/>
      <c r="T326" s="174"/>
      <c r="U326" s="174"/>
      <c r="V326" s="174"/>
      <c r="W326" s="174"/>
      <c r="X326" s="174"/>
      <c r="Y326" s="174"/>
      <c r="Z326" s="174"/>
    </row>
    <row r="327" customFormat="false" ht="15.75" hidden="false" customHeight="false" outlineLevel="0" collapsed="false">
      <c r="A327" s="174"/>
      <c r="B327" s="174"/>
      <c r="C327" s="174"/>
      <c r="D327" s="174"/>
      <c r="E327" s="174"/>
      <c r="F327" s="174"/>
      <c r="G327" s="174"/>
      <c r="H327" s="174"/>
      <c r="I327" s="174"/>
      <c r="J327" s="174"/>
      <c r="K327" s="174"/>
      <c r="L327" s="174"/>
      <c r="M327" s="174"/>
      <c r="N327" s="174"/>
      <c r="O327" s="174"/>
      <c r="P327" s="174"/>
      <c r="Q327" s="174"/>
      <c r="R327" s="174"/>
      <c r="S327" s="174"/>
      <c r="T327" s="174"/>
      <c r="U327" s="174"/>
      <c r="V327" s="174"/>
      <c r="W327" s="174"/>
      <c r="X327" s="174"/>
      <c r="Y327" s="174"/>
      <c r="Z327" s="174"/>
    </row>
    <row r="328" customFormat="false" ht="15.75" hidden="false" customHeight="false" outlineLevel="0" collapsed="false">
      <c r="A328" s="174"/>
      <c r="B328" s="174"/>
      <c r="C328" s="174"/>
      <c r="D328" s="174"/>
      <c r="E328" s="174"/>
      <c r="F328" s="174"/>
      <c r="G328" s="174"/>
      <c r="H328" s="174"/>
      <c r="I328" s="174"/>
      <c r="J328" s="174"/>
      <c r="K328" s="174"/>
      <c r="L328" s="174"/>
      <c r="M328" s="174"/>
      <c r="N328" s="174"/>
      <c r="O328" s="174"/>
      <c r="P328" s="174"/>
      <c r="Q328" s="174"/>
      <c r="R328" s="174"/>
      <c r="S328" s="174"/>
      <c r="T328" s="174"/>
      <c r="U328" s="174"/>
      <c r="V328" s="174"/>
      <c r="W328" s="174"/>
      <c r="X328" s="174"/>
      <c r="Y328" s="174"/>
      <c r="Z328" s="174"/>
    </row>
    <row r="329" customFormat="false" ht="15.75" hidden="false" customHeight="false" outlineLevel="0" collapsed="false">
      <c r="A329" s="174"/>
      <c r="B329" s="174"/>
      <c r="C329" s="174"/>
      <c r="D329" s="174"/>
      <c r="E329" s="174"/>
      <c r="F329" s="174"/>
      <c r="G329" s="174"/>
      <c r="H329" s="174"/>
      <c r="I329" s="174"/>
      <c r="J329" s="174"/>
      <c r="K329" s="174"/>
      <c r="L329" s="174"/>
      <c r="M329" s="174"/>
      <c r="N329" s="174"/>
      <c r="O329" s="174"/>
      <c r="P329" s="174"/>
      <c r="Q329" s="174"/>
      <c r="R329" s="174"/>
      <c r="S329" s="174"/>
      <c r="T329" s="174"/>
      <c r="U329" s="174"/>
      <c r="V329" s="174"/>
      <c r="W329" s="174"/>
      <c r="X329" s="174"/>
      <c r="Y329" s="174"/>
      <c r="Z329" s="174"/>
    </row>
    <row r="330" customFormat="false" ht="15.75" hidden="false" customHeight="false" outlineLevel="0" collapsed="false">
      <c r="A330" s="174"/>
      <c r="B330" s="174"/>
      <c r="C330" s="174"/>
      <c r="D330" s="174"/>
      <c r="E330" s="174"/>
      <c r="F330" s="174"/>
      <c r="G330" s="174"/>
      <c r="H330" s="174"/>
      <c r="I330" s="174"/>
      <c r="J330" s="174"/>
      <c r="K330" s="174"/>
      <c r="L330" s="174"/>
      <c r="M330" s="174"/>
      <c r="N330" s="174"/>
      <c r="O330" s="174"/>
      <c r="P330" s="174"/>
      <c r="Q330" s="174"/>
      <c r="R330" s="174"/>
      <c r="S330" s="174"/>
      <c r="T330" s="174"/>
      <c r="U330" s="174"/>
      <c r="V330" s="174"/>
      <c r="W330" s="174"/>
      <c r="X330" s="174"/>
      <c r="Y330" s="174"/>
      <c r="Z330" s="174"/>
    </row>
    <row r="331" customFormat="false" ht="15.75" hidden="false" customHeight="false" outlineLevel="0" collapsed="false">
      <c r="A331" s="174"/>
      <c r="B331" s="174"/>
      <c r="C331" s="174"/>
      <c r="D331" s="174"/>
      <c r="E331" s="174"/>
      <c r="F331" s="174"/>
      <c r="G331" s="174"/>
      <c r="H331" s="174"/>
      <c r="I331" s="174"/>
      <c r="J331" s="174"/>
      <c r="K331" s="174"/>
      <c r="L331" s="174"/>
      <c r="M331" s="174"/>
      <c r="N331" s="174"/>
      <c r="O331" s="174"/>
      <c r="P331" s="174"/>
      <c r="Q331" s="174"/>
      <c r="R331" s="174"/>
      <c r="S331" s="174"/>
      <c r="T331" s="174"/>
      <c r="U331" s="174"/>
      <c r="V331" s="174"/>
      <c r="W331" s="174"/>
      <c r="X331" s="174"/>
      <c r="Y331" s="174"/>
      <c r="Z331" s="174"/>
    </row>
    <row r="332" customFormat="false" ht="15.75" hidden="false" customHeight="false" outlineLevel="0" collapsed="false">
      <c r="A332" s="174"/>
      <c r="B332" s="174"/>
      <c r="C332" s="174"/>
      <c r="D332" s="174"/>
      <c r="E332" s="174"/>
      <c r="F332" s="174"/>
      <c r="G332" s="174"/>
      <c r="H332" s="174"/>
      <c r="I332" s="174"/>
      <c r="J332" s="174"/>
      <c r="K332" s="174"/>
      <c r="L332" s="174"/>
      <c r="M332" s="174"/>
      <c r="N332" s="174"/>
      <c r="O332" s="174"/>
      <c r="P332" s="174"/>
      <c r="Q332" s="174"/>
      <c r="R332" s="174"/>
      <c r="S332" s="174"/>
      <c r="T332" s="174"/>
      <c r="U332" s="174"/>
      <c r="V332" s="174"/>
      <c r="W332" s="174"/>
      <c r="X332" s="174"/>
      <c r="Y332" s="174"/>
      <c r="Z332" s="174"/>
    </row>
    <row r="333" customFormat="false" ht="15.75" hidden="false" customHeight="false" outlineLevel="0" collapsed="false">
      <c r="A333" s="174"/>
      <c r="B333" s="174"/>
      <c r="C333" s="174"/>
      <c r="D333" s="174"/>
      <c r="E333" s="174"/>
      <c r="F333" s="174"/>
      <c r="G333" s="174"/>
      <c r="H333" s="174"/>
      <c r="I333" s="174"/>
      <c r="J333" s="174"/>
      <c r="K333" s="174"/>
      <c r="L333" s="174"/>
      <c r="M333" s="174"/>
      <c r="N333" s="174"/>
      <c r="O333" s="174"/>
      <c r="P333" s="174"/>
      <c r="Q333" s="174"/>
      <c r="R333" s="174"/>
      <c r="S333" s="174"/>
      <c r="T333" s="174"/>
      <c r="U333" s="174"/>
      <c r="V333" s="174"/>
      <c r="W333" s="174"/>
      <c r="X333" s="174"/>
      <c r="Y333" s="174"/>
      <c r="Z333" s="174"/>
    </row>
    <row r="334" customFormat="false" ht="15.75" hidden="false" customHeight="false" outlineLevel="0" collapsed="false">
      <c r="A334" s="174"/>
      <c r="B334" s="174"/>
      <c r="C334" s="174"/>
      <c r="D334" s="174"/>
      <c r="E334" s="174"/>
      <c r="F334" s="174"/>
      <c r="G334" s="174"/>
      <c r="H334" s="174"/>
      <c r="I334" s="174"/>
      <c r="J334" s="174"/>
      <c r="K334" s="174"/>
      <c r="L334" s="174"/>
      <c r="M334" s="174"/>
      <c r="N334" s="174"/>
      <c r="O334" s="174"/>
      <c r="P334" s="174"/>
      <c r="Q334" s="174"/>
      <c r="R334" s="174"/>
      <c r="S334" s="174"/>
      <c r="T334" s="174"/>
      <c r="U334" s="174"/>
      <c r="V334" s="174"/>
      <c r="W334" s="174"/>
      <c r="X334" s="174"/>
      <c r="Y334" s="174"/>
      <c r="Z334" s="174"/>
    </row>
    <row r="335" customFormat="false" ht="15.75" hidden="false" customHeight="false" outlineLevel="0" collapsed="false">
      <c r="A335" s="174"/>
      <c r="B335" s="174"/>
      <c r="C335" s="174"/>
      <c r="D335" s="174"/>
      <c r="E335" s="174"/>
      <c r="F335" s="174"/>
      <c r="G335" s="174"/>
      <c r="H335" s="174"/>
      <c r="I335" s="174"/>
      <c r="J335" s="174"/>
      <c r="K335" s="174"/>
      <c r="L335" s="174"/>
      <c r="M335" s="174"/>
      <c r="N335" s="174"/>
      <c r="O335" s="174"/>
      <c r="P335" s="174"/>
      <c r="Q335" s="174"/>
      <c r="R335" s="174"/>
      <c r="S335" s="174"/>
      <c r="T335" s="174"/>
      <c r="U335" s="174"/>
      <c r="V335" s="174"/>
      <c r="W335" s="174"/>
      <c r="X335" s="174"/>
      <c r="Y335" s="174"/>
      <c r="Z335" s="174"/>
    </row>
    <row r="336" customFormat="false" ht="15.75" hidden="false" customHeight="false" outlineLevel="0" collapsed="false">
      <c r="A336" s="174"/>
      <c r="B336" s="174"/>
      <c r="C336" s="174"/>
      <c r="D336" s="174"/>
      <c r="E336" s="174"/>
      <c r="F336" s="174"/>
      <c r="G336" s="174"/>
      <c r="H336" s="174"/>
      <c r="I336" s="174"/>
      <c r="J336" s="174"/>
      <c r="K336" s="174"/>
      <c r="L336" s="174"/>
      <c r="M336" s="174"/>
      <c r="N336" s="174"/>
      <c r="O336" s="174"/>
      <c r="P336" s="174"/>
      <c r="Q336" s="174"/>
      <c r="R336" s="174"/>
      <c r="S336" s="174"/>
      <c r="T336" s="174"/>
      <c r="U336" s="174"/>
      <c r="V336" s="174"/>
      <c r="W336" s="174"/>
      <c r="X336" s="174"/>
      <c r="Y336" s="174"/>
      <c r="Z336" s="174"/>
    </row>
    <row r="337" customFormat="false" ht="15.75" hidden="false" customHeight="false" outlineLevel="0" collapsed="false">
      <c r="A337" s="174"/>
      <c r="B337" s="174"/>
      <c r="C337" s="174"/>
      <c r="D337" s="174"/>
      <c r="E337" s="174"/>
      <c r="F337" s="174"/>
      <c r="G337" s="174"/>
      <c r="H337" s="174"/>
      <c r="I337" s="174"/>
      <c r="J337" s="174"/>
      <c r="K337" s="174"/>
      <c r="L337" s="174"/>
      <c r="M337" s="174"/>
      <c r="N337" s="174"/>
      <c r="O337" s="174"/>
      <c r="P337" s="174"/>
      <c r="Q337" s="174"/>
      <c r="R337" s="174"/>
      <c r="S337" s="174"/>
      <c r="T337" s="174"/>
      <c r="U337" s="174"/>
      <c r="V337" s="174"/>
      <c r="W337" s="174"/>
      <c r="X337" s="174"/>
      <c r="Y337" s="174"/>
      <c r="Z337" s="174"/>
    </row>
    <row r="338" customFormat="false" ht="15.75" hidden="false" customHeight="false" outlineLevel="0" collapsed="false">
      <c r="A338" s="174"/>
      <c r="B338" s="174"/>
      <c r="C338" s="174"/>
      <c r="D338" s="174"/>
      <c r="E338" s="174"/>
      <c r="F338" s="174"/>
      <c r="G338" s="174"/>
      <c r="H338" s="174"/>
      <c r="I338" s="174"/>
      <c r="J338" s="174"/>
      <c r="K338" s="174"/>
      <c r="L338" s="174"/>
      <c r="M338" s="174"/>
      <c r="N338" s="174"/>
      <c r="O338" s="174"/>
      <c r="P338" s="174"/>
      <c r="Q338" s="174"/>
      <c r="R338" s="174"/>
      <c r="S338" s="174"/>
      <c r="T338" s="174"/>
      <c r="U338" s="174"/>
      <c r="V338" s="174"/>
      <c r="W338" s="174"/>
      <c r="X338" s="174"/>
      <c r="Y338" s="174"/>
      <c r="Z338" s="174"/>
    </row>
    <row r="339" customFormat="false" ht="15.75" hidden="false" customHeight="false" outlineLevel="0" collapsed="false">
      <c r="A339" s="174"/>
      <c r="B339" s="174"/>
      <c r="C339" s="174"/>
      <c r="D339" s="174"/>
      <c r="E339" s="174"/>
      <c r="F339" s="174"/>
      <c r="G339" s="174"/>
      <c r="H339" s="174"/>
      <c r="I339" s="174"/>
      <c r="J339" s="174"/>
      <c r="K339" s="174"/>
      <c r="L339" s="174"/>
      <c r="M339" s="174"/>
      <c r="N339" s="174"/>
      <c r="O339" s="174"/>
      <c r="P339" s="174"/>
      <c r="Q339" s="174"/>
      <c r="R339" s="174"/>
      <c r="S339" s="174"/>
      <c r="T339" s="174"/>
      <c r="U339" s="174"/>
      <c r="V339" s="174"/>
      <c r="W339" s="174"/>
      <c r="X339" s="174"/>
      <c r="Y339" s="174"/>
      <c r="Z339" s="174"/>
    </row>
    <row r="340" customFormat="false" ht="15.75" hidden="false" customHeight="false" outlineLevel="0" collapsed="false">
      <c r="A340" s="174"/>
      <c r="B340" s="174"/>
      <c r="C340" s="174"/>
      <c r="D340" s="174"/>
      <c r="E340" s="174"/>
      <c r="F340" s="174"/>
      <c r="G340" s="174"/>
      <c r="H340" s="174"/>
      <c r="I340" s="174"/>
      <c r="J340" s="174"/>
      <c r="K340" s="174"/>
      <c r="L340" s="174"/>
      <c r="M340" s="174"/>
      <c r="N340" s="174"/>
      <c r="O340" s="174"/>
      <c r="P340" s="174"/>
      <c r="Q340" s="174"/>
      <c r="R340" s="174"/>
      <c r="S340" s="174"/>
      <c r="T340" s="174"/>
      <c r="U340" s="174"/>
      <c r="V340" s="174"/>
      <c r="W340" s="174"/>
      <c r="X340" s="174"/>
      <c r="Y340" s="174"/>
      <c r="Z340" s="174"/>
    </row>
    <row r="341" customFormat="false" ht="15.75" hidden="false" customHeight="false" outlineLevel="0" collapsed="false">
      <c r="A341" s="174"/>
      <c r="B341" s="174"/>
      <c r="C341" s="174"/>
      <c r="D341" s="174"/>
      <c r="E341" s="174"/>
      <c r="F341" s="174"/>
      <c r="G341" s="174"/>
      <c r="H341" s="174"/>
      <c r="I341" s="174"/>
      <c r="J341" s="174"/>
      <c r="K341" s="174"/>
      <c r="L341" s="174"/>
      <c r="M341" s="174"/>
      <c r="N341" s="174"/>
      <c r="O341" s="174"/>
      <c r="P341" s="174"/>
      <c r="Q341" s="174"/>
      <c r="R341" s="174"/>
      <c r="S341" s="174"/>
      <c r="T341" s="174"/>
      <c r="U341" s="174"/>
      <c r="V341" s="174"/>
      <c r="W341" s="174"/>
      <c r="X341" s="174"/>
      <c r="Y341" s="174"/>
      <c r="Z341" s="174"/>
    </row>
    <row r="342" customFormat="false" ht="15.75" hidden="false" customHeight="false" outlineLevel="0" collapsed="false">
      <c r="A342" s="174"/>
      <c r="B342" s="174"/>
      <c r="C342" s="174"/>
      <c r="D342" s="174"/>
      <c r="E342" s="174"/>
      <c r="F342" s="174"/>
      <c r="G342" s="174"/>
      <c r="H342" s="174"/>
      <c r="I342" s="174"/>
      <c r="J342" s="174"/>
      <c r="K342" s="174"/>
      <c r="L342" s="174"/>
      <c r="M342" s="174"/>
      <c r="N342" s="174"/>
      <c r="O342" s="174"/>
      <c r="P342" s="174"/>
      <c r="Q342" s="174"/>
      <c r="R342" s="174"/>
      <c r="S342" s="174"/>
      <c r="T342" s="174"/>
      <c r="U342" s="174"/>
      <c r="V342" s="174"/>
      <c r="W342" s="174"/>
      <c r="X342" s="174"/>
      <c r="Y342" s="174"/>
      <c r="Z342" s="174"/>
    </row>
    <row r="343" customFormat="false" ht="15.75" hidden="false" customHeight="false" outlineLevel="0" collapsed="false">
      <c r="A343" s="174"/>
      <c r="B343" s="174"/>
      <c r="C343" s="174"/>
      <c r="D343" s="174"/>
      <c r="E343" s="174"/>
      <c r="F343" s="174"/>
      <c r="G343" s="174"/>
      <c r="H343" s="174"/>
      <c r="I343" s="174"/>
      <c r="J343" s="174"/>
      <c r="K343" s="174"/>
      <c r="L343" s="174"/>
      <c r="M343" s="174"/>
      <c r="N343" s="174"/>
      <c r="O343" s="174"/>
      <c r="P343" s="174"/>
      <c r="Q343" s="174"/>
      <c r="R343" s="174"/>
      <c r="S343" s="174"/>
      <c r="T343" s="174"/>
      <c r="U343" s="174"/>
      <c r="V343" s="174"/>
      <c r="W343" s="174"/>
      <c r="X343" s="174"/>
      <c r="Y343" s="174"/>
      <c r="Z343" s="174"/>
    </row>
    <row r="344" customFormat="false" ht="15.75" hidden="false" customHeight="false" outlineLevel="0" collapsed="false">
      <c r="A344" s="174"/>
      <c r="B344" s="174"/>
      <c r="C344" s="174"/>
      <c r="D344" s="174"/>
      <c r="E344" s="174"/>
      <c r="F344" s="174"/>
      <c r="G344" s="174"/>
      <c r="H344" s="174"/>
      <c r="I344" s="174"/>
      <c r="J344" s="174"/>
      <c r="K344" s="174"/>
      <c r="L344" s="174"/>
      <c r="M344" s="174"/>
      <c r="N344" s="174"/>
      <c r="O344" s="174"/>
      <c r="P344" s="174"/>
      <c r="Q344" s="174"/>
      <c r="R344" s="174"/>
      <c r="S344" s="174"/>
      <c r="T344" s="174"/>
      <c r="U344" s="174"/>
      <c r="V344" s="174"/>
      <c r="W344" s="174"/>
      <c r="X344" s="174"/>
      <c r="Y344" s="174"/>
      <c r="Z344" s="174"/>
    </row>
    <row r="345" customFormat="false" ht="15.75" hidden="false" customHeight="false" outlineLevel="0" collapsed="false">
      <c r="A345" s="174"/>
      <c r="B345" s="174"/>
      <c r="C345" s="174"/>
      <c r="D345" s="174"/>
      <c r="E345" s="174"/>
      <c r="F345" s="174"/>
      <c r="G345" s="174"/>
      <c r="H345" s="174"/>
      <c r="I345" s="174"/>
      <c r="J345" s="174"/>
      <c r="K345" s="174"/>
      <c r="L345" s="174"/>
      <c r="M345" s="174"/>
      <c r="N345" s="174"/>
      <c r="O345" s="174"/>
      <c r="P345" s="174"/>
      <c r="Q345" s="174"/>
      <c r="R345" s="174"/>
      <c r="S345" s="174"/>
      <c r="T345" s="174"/>
      <c r="U345" s="174"/>
      <c r="V345" s="174"/>
      <c r="W345" s="174"/>
      <c r="X345" s="174"/>
      <c r="Y345" s="174"/>
      <c r="Z345" s="174"/>
    </row>
    <row r="346" customFormat="false" ht="15.75" hidden="false" customHeight="false" outlineLevel="0" collapsed="false">
      <c r="A346" s="174"/>
      <c r="B346" s="174"/>
      <c r="C346" s="174"/>
      <c r="D346" s="174"/>
      <c r="E346" s="174"/>
      <c r="F346" s="174"/>
      <c r="G346" s="174"/>
      <c r="H346" s="174"/>
      <c r="I346" s="174"/>
      <c r="J346" s="174"/>
      <c r="K346" s="174"/>
      <c r="L346" s="174"/>
      <c r="M346" s="174"/>
      <c r="N346" s="174"/>
      <c r="O346" s="174"/>
      <c r="P346" s="174"/>
      <c r="Q346" s="174"/>
      <c r="R346" s="174"/>
      <c r="S346" s="174"/>
      <c r="T346" s="174"/>
      <c r="U346" s="174"/>
      <c r="V346" s="174"/>
      <c r="W346" s="174"/>
      <c r="X346" s="174"/>
      <c r="Y346" s="174"/>
      <c r="Z346" s="174"/>
    </row>
    <row r="347" customFormat="false" ht="15.75" hidden="false" customHeight="false" outlineLevel="0" collapsed="false">
      <c r="A347" s="174"/>
      <c r="B347" s="174"/>
      <c r="C347" s="174"/>
      <c r="D347" s="174"/>
      <c r="E347" s="174"/>
      <c r="F347" s="174"/>
      <c r="G347" s="174"/>
      <c r="H347" s="174"/>
      <c r="I347" s="174"/>
      <c r="J347" s="174"/>
      <c r="K347" s="174"/>
      <c r="L347" s="174"/>
      <c r="M347" s="174"/>
      <c r="N347" s="174"/>
      <c r="O347" s="174"/>
      <c r="P347" s="174"/>
      <c r="Q347" s="174"/>
      <c r="R347" s="174"/>
      <c r="S347" s="174"/>
      <c r="T347" s="174"/>
      <c r="U347" s="174"/>
      <c r="V347" s="174"/>
      <c r="W347" s="174"/>
      <c r="X347" s="174"/>
      <c r="Y347" s="174"/>
      <c r="Z347" s="174"/>
    </row>
    <row r="348" customFormat="false" ht="15.75" hidden="false" customHeight="false" outlineLevel="0" collapsed="false">
      <c r="A348" s="174"/>
      <c r="B348" s="174"/>
      <c r="C348" s="174"/>
      <c r="D348" s="174"/>
      <c r="E348" s="174"/>
      <c r="F348" s="174"/>
      <c r="G348" s="174"/>
      <c r="H348" s="174"/>
      <c r="I348" s="174"/>
      <c r="J348" s="174"/>
      <c r="K348" s="174"/>
      <c r="L348" s="174"/>
      <c r="M348" s="174"/>
      <c r="N348" s="174"/>
      <c r="O348" s="174"/>
      <c r="P348" s="174"/>
      <c r="Q348" s="174"/>
      <c r="R348" s="174"/>
      <c r="S348" s="174"/>
      <c r="T348" s="174"/>
      <c r="U348" s="174"/>
      <c r="V348" s="174"/>
      <c r="W348" s="174"/>
      <c r="X348" s="174"/>
      <c r="Y348" s="174"/>
      <c r="Z348" s="174"/>
    </row>
    <row r="349" customFormat="false" ht="15.75" hidden="false" customHeight="false" outlineLevel="0" collapsed="false">
      <c r="A349" s="174"/>
      <c r="B349" s="174"/>
      <c r="C349" s="174"/>
      <c r="D349" s="174"/>
      <c r="E349" s="174"/>
      <c r="F349" s="174"/>
      <c r="G349" s="174"/>
      <c r="H349" s="174"/>
      <c r="I349" s="174"/>
      <c r="J349" s="174"/>
      <c r="K349" s="174"/>
      <c r="L349" s="174"/>
      <c r="M349" s="174"/>
      <c r="N349" s="174"/>
      <c r="O349" s="174"/>
      <c r="P349" s="174"/>
      <c r="Q349" s="174"/>
      <c r="R349" s="174"/>
      <c r="S349" s="174"/>
      <c r="T349" s="174"/>
      <c r="U349" s="174"/>
      <c r="V349" s="174"/>
      <c r="W349" s="174"/>
      <c r="X349" s="174"/>
      <c r="Y349" s="174"/>
      <c r="Z349" s="174"/>
    </row>
    <row r="350" customFormat="false" ht="15.75" hidden="false" customHeight="false" outlineLevel="0" collapsed="false">
      <c r="A350" s="174"/>
      <c r="B350" s="174"/>
      <c r="C350" s="174"/>
      <c r="D350" s="174"/>
      <c r="E350" s="174"/>
      <c r="F350" s="174"/>
      <c r="G350" s="174"/>
      <c r="H350" s="174"/>
      <c r="I350" s="174"/>
      <c r="J350" s="174"/>
      <c r="K350" s="174"/>
      <c r="L350" s="174"/>
      <c r="M350" s="174"/>
      <c r="N350" s="174"/>
      <c r="O350" s="174"/>
      <c r="P350" s="174"/>
      <c r="Q350" s="174"/>
      <c r="R350" s="174"/>
      <c r="S350" s="174"/>
      <c r="T350" s="174"/>
      <c r="U350" s="174"/>
      <c r="V350" s="174"/>
      <c r="W350" s="174"/>
      <c r="X350" s="174"/>
      <c r="Y350" s="174"/>
      <c r="Z350" s="174"/>
    </row>
    <row r="351" customFormat="false" ht="15.75" hidden="false" customHeight="false" outlineLevel="0" collapsed="false">
      <c r="A351" s="174"/>
      <c r="B351" s="174"/>
      <c r="C351" s="174"/>
      <c r="D351" s="174"/>
      <c r="E351" s="174"/>
      <c r="F351" s="174"/>
      <c r="G351" s="174"/>
      <c r="H351" s="174"/>
      <c r="I351" s="174"/>
      <c r="J351" s="174"/>
      <c r="K351" s="174"/>
      <c r="L351" s="174"/>
      <c r="M351" s="174"/>
      <c r="N351" s="174"/>
      <c r="O351" s="174"/>
      <c r="P351" s="174"/>
      <c r="Q351" s="174"/>
      <c r="R351" s="174"/>
      <c r="S351" s="174"/>
      <c r="T351" s="174"/>
      <c r="U351" s="174"/>
      <c r="V351" s="174"/>
      <c r="W351" s="174"/>
      <c r="X351" s="174"/>
      <c r="Y351" s="174"/>
      <c r="Z351" s="174"/>
    </row>
    <row r="352" customFormat="false" ht="15.75" hidden="false" customHeight="false" outlineLevel="0" collapsed="false">
      <c r="A352" s="174"/>
      <c r="B352" s="174"/>
      <c r="C352" s="174"/>
      <c r="D352" s="174"/>
      <c r="E352" s="174"/>
      <c r="F352" s="174"/>
      <c r="G352" s="174"/>
      <c r="H352" s="174"/>
      <c r="I352" s="174"/>
      <c r="J352" s="174"/>
      <c r="K352" s="174"/>
      <c r="L352" s="174"/>
      <c r="M352" s="174"/>
      <c r="N352" s="174"/>
      <c r="O352" s="174"/>
      <c r="P352" s="174"/>
      <c r="Q352" s="174"/>
      <c r="R352" s="174"/>
      <c r="S352" s="174"/>
      <c r="T352" s="174"/>
      <c r="U352" s="174"/>
      <c r="V352" s="174"/>
      <c r="W352" s="174"/>
      <c r="X352" s="174"/>
      <c r="Y352" s="174"/>
      <c r="Z352" s="174"/>
    </row>
    <row r="353" customFormat="false" ht="15.75" hidden="false" customHeight="false" outlineLevel="0" collapsed="false">
      <c r="A353" s="174"/>
      <c r="B353" s="174"/>
      <c r="C353" s="174"/>
      <c r="D353" s="174"/>
      <c r="E353" s="174"/>
      <c r="F353" s="174"/>
      <c r="G353" s="174"/>
      <c r="H353" s="174"/>
      <c r="I353" s="174"/>
      <c r="J353" s="174"/>
      <c r="K353" s="174"/>
      <c r="L353" s="174"/>
      <c r="M353" s="174"/>
      <c r="N353" s="174"/>
      <c r="O353" s="174"/>
      <c r="P353" s="174"/>
      <c r="Q353" s="174"/>
      <c r="R353" s="174"/>
      <c r="S353" s="174"/>
      <c r="T353" s="174"/>
      <c r="U353" s="174"/>
      <c r="V353" s="174"/>
      <c r="W353" s="174"/>
      <c r="X353" s="174"/>
      <c r="Y353" s="174"/>
      <c r="Z353" s="174"/>
    </row>
    <row r="354" customFormat="false" ht="15.75" hidden="false" customHeight="false" outlineLevel="0" collapsed="false">
      <c r="A354" s="174"/>
      <c r="B354" s="174"/>
      <c r="C354" s="174"/>
      <c r="D354" s="174"/>
      <c r="E354" s="174"/>
      <c r="F354" s="174"/>
      <c r="G354" s="174"/>
      <c r="H354" s="174"/>
      <c r="I354" s="174"/>
      <c r="J354" s="174"/>
      <c r="K354" s="174"/>
      <c r="L354" s="174"/>
      <c r="M354" s="174"/>
      <c r="N354" s="174"/>
      <c r="O354" s="174"/>
      <c r="P354" s="174"/>
      <c r="Q354" s="174"/>
      <c r="R354" s="174"/>
      <c r="S354" s="174"/>
      <c r="T354" s="174"/>
      <c r="U354" s="174"/>
      <c r="V354" s="174"/>
      <c r="W354" s="174"/>
      <c r="X354" s="174"/>
      <c r="Y354" s="174"/>
      <c r="Z354" s="174"/>
    </row>
    <row r="355" customFormat="false" ht="15.75" hidden="false" customHeight="false" outlineLevel="0" collapsed="false">
      <c r="A355" s="174"/>
      <c r="B355" s="174"/>
      <c r="C355" s="174"/>
      <c r="D355" s="174"/>
      <c r="E355" s="174"/>
      <c r="F355" s="174"/>
      <c r="G355" s="174"/>
      <c r="H355" s="174"/>
      <c r="I355" s="174"/>
      <c r="J355" s="174"/>
      <c r="K355" s="174"/>
      <c r="L355" s="174"/>
      <c r="M355" s="174"/>
      <c r="N355" s="174"/>
      <c r="O355" s="174"/>
      <c r="P355" s="174"/>
      <c r="Q355" s="174"/>
      <c r="R355" s="174"/>
      <c r="S355" s="174"/>
      <c r="T355" s="174"/>
      <c r="U355" s="174"/>
      <c r="V355" s="174"/>
      <c r="W355" s="174"/>
      <c r="X355" s="174"/>
      <c r="Y355" s="174"/>
      <c r="Z355" s="174"/>
    </row>
    <row r="356" customFormat="false" ht="15.75" hidden="false" customHeight="false" outlineLevel="0" collapsed="false">
      <c r="A356" s="174"/>
      <c r="B356" s="174"/>
      <c r="C356" s="174"/>
      <c r="D356" s="174"/>
      <c r="E356" s="174"/>
      <c r="F356" s="174"/>
      <c r="G356" s="174"/>
      <c r="H356" s="174"/>
      <c r="I356" s="174"/>
      <c r="J356" s="174"/>
      <c r="K356" s="174"/>
      <c r="L356" s="174"/>
      <c r="M356" s="174"/>
      <c r="N356" s="174"/>
      <c r="O356" s="174"/>
      <c r="P356" s="174"/>
      <c r="Q356" s="174"/>
      <c r="R356" s="174"/>
      <c r="S356" s="174"/>
      <c r="T356" s="174"/>
      <c r="U356" s="174"/>
      <c r="V356" s="174"/>
      <c r="W356" s="174"/>
      <c r="X356" s="174"/>
      <c r="Y356" s="174"/>
      <c r="Z356" s="174"/>
    </row>
    <row r="357" customFormat="false" ht="15.75" hidden="false" customHeight="false" outlineLevel="0" collapsed="false">
      <c r="A357" s="174"/>
      <c r="B357" s="174"/>
      <c r="C357" s="174"/>
      <c r="D357" s="174"/>
      <c r="E357" s="174"/>
      <c r="F357" s="174"/>
      <c r="G357" s="174"/>
      <c r="H357" s="174"/>
      <c r="I357" s="174"/>
      <c r="J357" s="174"/>
      <c r="K357" s="174"/>
      <c r="L357" s="174"/>
      <c r="M357" s="174"/>
      <c r="N357" s="174"/>
      <c r="O357" s="174"/>
      <c r="P357" s="174"/>
      <c r="Q357" s="174"/>
      <c r="R357" s="174"/>
      <c r="S357" s="174"/>
      <c r="T357" s="174"/>
      <c r="U357" s="174"/>
      <c r="V357" s="174"/>
      <c r="W357" s="174"/>
      <c r="X357" s="174"/>
      <c r="Y357" s="174"/>
      <c r="Z357" s="174"/>
    </row>
    <row r="358" customFormat="false" ht="15.75" hidden="false" customHeight="false" outlineLevel="0" collapsed="false">
      <c r="A358" s="174"/>
      <c r="B358" s="174"/>
      <c r="C358" s="174"/>
      <c r="D358" s="174"/>
      <c r="E358" s="174"/>
      <c r="F358" s="174"/>
      <c r="G358" s="174"/>
      <c r="H358" s="174"/>
      <c r="I358" s="174"/>
      <c r="J358" s="174"/>
      <c r="K358" s="174"/>
      <c r="L358" s="174"/>
      <c r="M358" s="174"/>
      <c r="N358" s="174"/>
      <c r="O358" s="174"/>
      <c r="P358" s="174"/>
      <c r="Q358" s="174"/>
      <c r="R358" s="174"/>
      <c r="S358" s="174"/>
      <c r="T358" s="174"/>
      <c r="U358" s="174"/>
      <c r="V358" s="174"/>
      <c r="W358" s="174"/>
      <c r="X358" s="174"/>
      <c r="Y358" s="174"/>
      <c r="Z358" s="174"/>
    </row>
    <row r="359" customFormat="false" ht="15.75" hidden="false" customHeight="false" outlineLevel="0" collapsed="false">
      <c r="A359" s="174"/>
      <c r="B359" s="174"/>
      <c r="C359" s="174"/>
      <c r="D359" s="174"/>
      <c r="E359" s="174"/>
      <c r="F359" s="174"/>
      <c r="G359" s="174"/>
      <c r="H359" s="174"/>
      <c r="I359" s="174"/>
      <c r="J359" s="174"/>
      <c r="K359" s="174"/>
      <c r="L359" s="174"/>
      <c r="M359" s="174"/>
      <c r="N359" s="174"/>
      <c r="O359" s="174"/>
      <c r="P359" s="174"/>
      <c r="Q359" s="174"/>
      <c r="R359" s="174"/>
      <c r="S359" s="174"/>
      <c r="T359" s="174"/>
      <c r="U359" s="174"/>
      <c r="V359" s="174"/>
      <c r="W359" s="174"/>
      <c r="X359" s="174"/>
      <c r="Y359" s="174"/>
      <c r="Z359" s="174"/>
    </row>
    <row r="360" customFormat="false" ht="15.75" hidden="false" customHeight="false" outlineLevel="0" collapsed="false">
      <c r="A360" s="174"/>
      <c r="B360" s="174"/>
      <c r="C360" s="174"/>
      <c r="D360" s="174"/>
      <c r="E360" s="174"/>
      <c r="F360" s="174"/>
      <c r="G360" s="174"/>
      <c r="H360" s="174"/>
      <c r="I360" s="174"/>
      <c r="J360" s="174"/>
      <c r="K360" s="174"/>
      <c r="L360" s="174"/>
      <c r="M360" s="174"/>
      <c r="N360" s="174"/>
      <c r="O360" s="174"/>
      <c r="P360" s="174"/>
      <c r="Q360" s="174"/>
      <c r="R360" s="174"/>
      <c r="S360" s="174"/>
      <c r="T360" s="174"/>
      <c r="U360" s="174"/>
      <c r="V360" s="174"/>
      <c r="W360" s="174"/>
      <c r="X360" s="174"/>
      <c r="Y360" s="174"/>
      <c r="Z360" s="174"/>
    </row>
    <row r="361" customFormat="false" ht="15.75" hidden="false" customHeight="false" outlineLevel="0" collapsed="false">
      <c r="A361" s="174"/>
      <c r="B361" s="174"/>
      <c r="C361" s="174"/>
      <c r="D361" s="174"/>
      <c r="E361" s="174"/>
      <c r="F361" s="174"/>
      <c r="G361" s="174"/>
      <c r="H361" s="174"/>
      <c r="I361" s="174"/>
      <c r="J361" s="174"/>
      <c r="K361" s="174"/>
      <c r="L361" s="174"/>
      <c r="M361" s="174"/>
      <c r="N361" s="174"/>
      <c r="O361" s="174"/>
      <c r="P361" s="174"/>
      <c r="Q361" s="174"/>
      <c r="R361" s="174"/>
      <c r="S361" s="174"/>
      <c r="T361" s="174"/>
      <c r="U361" s="174"/>
      <c r="V361" s="174"/>
      <c r="W361" s="174"/>
      <c r="X361" s="174"/>
      <c r="Y361" s="174"/>
      <c r="Z361" s="174"/>
    </row>
    <row r="362" customFormat="false" ht="15.75" hidden="false" customHeight="false" outlineLevel="0" collapsed="false">
      <c r="A362" s="174"/>
      <c r="B362" s="174"/>
      <c r="C362" s="174"/>
      <c r="D362" s="174"/>
      <c r="E362" s="174"/>
      <c r="F362" s="174"/>
      <c r="G362" s="174"/>
      <c r="H362" s="174"/>
      <c r="I362" s="174"/>
      <c r="J362" s="174"/>
      <c r="K362" s="174"/>
      <c r="L362" s="174"/>
      <c r="M362" s="174"/>
      <c r="N362" s="174"/>
      <c r="O362" s="174"/>
      <c r="P362" s="174"/>
      <c r="Q362" s="174"/>
      <c r="R362" s="174"/>
      <c r="S362" s="174"/>
      <c r="T362" s="174"/>
      <c r="U362" s="174"/>
      <c r="V362" s="174"/>
      <c r="W362" s="174"/>
      <c r="X362" s="174"/>
      <c r="Y362" s="174"/>
      <c r="Z362" s="174"/>
    </row>
    <row r="363" customFormat="false" ht="15.75" hidden="false" customHeight="false" outlineLevel="0" collapsed="false">
      <c r="A363" s="174"/>
      <c r="B363" s="174"/>
      <c r="C363" s="174"/>
      <c r="D363" s="174"/>
      <c r="E363" s="174"/>
      <c r="F363" s="174"/>
      <c r="G363" s="174"/>
      <c r="H363" s="174"/>
      <c r="I363" s="174"/>
      <c r="J363" s="174"/>
      <c r="K363" s="174"/>
      <c r="L363" s="174"/>
      <c r="M363" s="174"/>
      <c r="N363" s="174"/>
      <c r="O363" s="174"/>
      <c r="P363" s="174"/>
      <c r="Q363" s="174"/>
      <c r="R363" s="174"/>
      <c r="S363" s="174"/>
      <c r="T363" s="174"/>
      <c r="U363" s="174"/>
      <c r="V363" s="174"/>
      <c r="W363" s="174"/>
      <c r="X363" s="174"/>
      <c r="Y363" s="174"/>
      <c r="Z363" s="174"/>
    </row>
    <row r="364" customFormat="false" ht="15.75" hidden="false" customHeight="false" outlineLevel="0" collapsed="false">
      <c r="A364" s="174"/>
      <c r="B364" s="174"/>
      <c r="C364" s="174"/>
      <c r="D364" s="174"/>
      <c r="E364" s="174"/>
      <c r="F364" s="174"/>
      <c r="G364" s="174"/>
      <c r="H364" s="174"/>
      <c r="I364" s="174"/>
      <c r="J364" s="174"/>
      <c r="K364" s="174"/>
      <c r="L364" s="174"/>
      <c r="M364" s="174"/>
      <c r="N364" s="174"/>
      <c r="O364" s="174"/>
      <c r="P364" s="174"/>
      <c r="Q364" s="174"/>
      <c r="R364" s="174"/>
      <c r="S364" s="174"/>
      <c r="T364" s="174"/>
      <c r="U364" s="174"/>
      <c r="V364" s="174"/>
      <c r="W364" s="174"/>
      <c r="X364" s="174"/>
      <c r="Y364" s="174"/>
      <c r="Z364" s="174"/>
    </row>
    <row r="365" customFormat="false" ht="15.75" hidden="false" customHeight="false" outlineLevel="0" collapsed="false">
      <c r="A365" s="174"/>
      <c r="B365" s="174"/>
      <c r="C365" s="174"/>
      <c r="D365" s="174"/>
      <c r="E365" s="174"/>
      <c r="F365" s="174"/>
      <c r="G365" s="174"/>
      <c r="H365" s="174"/>
      <c r="I365" s="174"/>
      <c r="J365" s="174"/>
      <c r="K365" s="174"/>
      <c r="L365" s="174"/>
      <c r="M365" s="174"/>
      <c r="N365" s="174"/>
      <c r="O365" s="174"/>
      <c r="P365" s="174"/>
      <c r="Q365" s="174"/>
      <c r="R365" s="174"/>
      <c r="S365" s="174"/>
      <c r="T365" s="174"/>
      <c r="U365" s="174"/>
      <c r="V365" s="174"/>
      <c r="W365" s="174"/>
      <c r="X365" s="174"/>
      <c r="Y365" s="174"/>
      <c r="Z365" s="174"/>
    </row>
    <row r="366" customFormat="false" ht="15.75" hidden="false" customHeight="false" outlineLevel="0" collapsed="false">
      <c r="A366" s="174"/>
      <c r="B366" s="174"/>
      <c r="C366" s="174"/>
      <c r="D366" s="174"/>
      <c r="E366" s="174"/>
      <c r="F366" s="174"/>
      <c r="G366" s="174"/>
      <c r="H366" s="174"/>
      <c r="I366" s="174"/>
      <c r="J366" s="174"/>
      <c r="K366" s="174"/>
      <c r="L366" s="174"/>
      <c r="M366" s="174"/>
      <c r="N366" s="174"/>
      <c r="O366" s="174"/>
      <c r="P366" s="174"/>
      <c r="Q366" s="174"/>
      <c r="R366" s="174"/>
      <c r="S366" s="174"/>
      <c r="T366" s="174"/>
      <c r="U366" s="174"/>
      <c r="V366" s="174"/>
      <c r="W366" s="174"/>
      <c r="X366" s="174"/>
      <c r="Y366" s="174"/>
      <c r="Z366" s="174"/>
    </row>
    <row r="367" customFormat="false" ht="15.75" hidden="false" customHeight="false" outlineLevel="0" collapsed="false">
      <c r="A367" s="174"/>
      <c r="B367" s="174"/>
      <c r="C367" s="174"/>
      <c r="D367" s="174"/>
      <c r="E367" s="174"/>
      <c r="F367" s="174"/>
      <c r="G367" s="174"/>
      <c r="H367" s="174"/>
      <c r="I367" s="174"/>
      <c r="J367" s="174"/>
      <c r="K367" s="174"/>
      <c r="L367" s="174"/>
      <c r="M367" s="174"/>
      <c r="N367" s="174"/>
      <c r="O367" s="174"/>
      <c r="P367" s="174"/>
      <c r="Q367" s="174"/>
      <c r="R367" s="174"/>
      <c r="S367" s="174"/>
      <c r="T367" s="174"/>
      <c r="U367" s="174"/>
      <c r="V367" s="174"/>
      <c r="W367" s="174"/>
      <c r="X367" s="174"/>
      <c r="Y367" s="174"/>
      <c r="Z367" s="174"/>
    </row>
    <row r="368" customFormat="false" ht="15.75" hidden="false" customHeight="false" outlineLevel="0" collapsed="false">
      <c r="A368" s="174"/>
      <c r="B368" s="174"/>
      <c r="C368" s="174"/>
      <c r="D368" s="174"/>
      <c r="E368" s="174"/>
      <c r="F368" s="174"/>
      <c r="G368" s="174"/>
      <c r="H368" s="174"/>
      <c r="I368" s="174"/>
      <c r="J368" s="174"/>
      <c r="K368" s="174"/>
      <c r="L368" s="174"/>
      <c r="M368" s="174"/>
      <c r="N368" s="174"/>
      <c r="O368" s="174"/>
      <c r="P368" s="174"/>
      <c r="Q368" s="174"/>
      <c r="R368" s="174"/>
      <c r="S368" s="174"/>
      <c r="T368" s="174"/>
      <c r="U368" s="174"/>
      <c r="V368" s="174"/>
      <c r="W368" s="174"/>
      <c r="X368" s="174"/>
      <c r="Y368" s="174"/>
      <c r="Z368" s="174"/>
    </row>
    <row r="369" customFormat="false" ht="15.75" hidden="false" customHeight="false" outlineLevel="0" collapsed="false">
      <c r="A369" s="174"/>
      <c r="B369" s="174"/>
      <c r="C369" s="174"/>
      <c r="D369" s="174"/>
      <c r="E369" s="174"/>
      <c r="F369" s="174"/>
      <c r="G369" s="174"/>
      <c r="H369" s="174"/>
      <c r="I369" s="174"/>
      <c r="J369" s="174"/>
      <c r="K369" s="174"/>
      <c r="L369" s="174"/>
      <c r="M369" s="174"/>
      <c r="N369" s="174"/>
      <c r="O369" s="174"/>
      <c r="P369" s="174"/>
      <c r="Q369" s="174"/>
      <c r="R369" s="174"/>
      <c r="S369" s="174"/>
      <c r="T369" s="174"/>
      <c r="U369" s="174"/>
      <c r="V369" s="174"/>
      <c r="W369" s="174"/>
      <c r="X369" s="174"/>
      <c r="Y369" s="174"/>
      <c r="Z369" s="174"/>
    </row>
    <row r="370" customFormat="false" ht="15.75" hidden="false" customHeight="false" outlineLevel="0" collapsed="false">
      <c r="A370" s="174"/>
      <c r="B370" s="174"/>
      <c r="C370" s="174"/>
      <c r="D370" s="174"/>
      <c r="E370" s="174"/>
      <c r="F370" s="174"/>
      <c r="G370" s="174"/>
      <c r="H370" s="174"/>
      <c r="I370" s="174"/>
      <c r="J370" s="174"/>
      <c r="K370" s="174"/>
      <c r="L370" s="174"/>
      <c r="M370" s="174"/>
      <c r="N370" s="174"/>
      <c r="O370" s="174"/>
      <c r="P370" s="174"/>
      <c r="Q370" s="174"/>
      <c r="R370" s="174"/>
      <c r="S370" s="174"/>
      <c r="T370" s="174"/>
      <c r="U370" s="174"/>
      <c r="V370" s="174"/>
      <c r="W370" s="174"/>
      <c r="X370" s="174"/>
      <c r="Y370" s="174"/>
      <c r="Z370" s="174"/>
    </row>
    <row r="371" customFormat="false" ht="15.75" hidden="false" customHeight="false" outlineLevel="0" collapsed="false">
      <c r="A371" s="174"/>
      <c r="B371" s="174"/>
      <c r="C371" s="174"/>
      <c r="D371" s="174"/>
      <c r="E371" s="174"/>
      <c r="F371" s="174"/>
      <c r="G371" s="174"/>
      <c r="H371" s="174"/>
      <c r="I371" s="174"/>
      <c r="J371" s="174"/>
      <c r="K371" s="174"/>
      <c r="L371" s="174"/>
      <c r="M371" s="174"/>
      <c r="N371" s="174"/>
      <c r="O371" s="174"/>
      <c r="P371" s="174"/>
      <c r="Q371" s="174"/>
      <c r="R371" s="174"/>
      <c r="S371" s="174"/>
      <c r="T371" s="174"/>
      <c r="U371" s="174"/>
      <c r="V371" s="174"/>
      <c r="W371" s="174"/>
      <c r="X371" s="174"/>
      <c r="Y371" s="174"/>
      <c r="Z371" s="174"/>
    </row>
    <row r="372" customFormat="false" ht="15.75" hidden="false" customHeight="false" outlineLevel="0" collapsed="false">
      <c r="A372" s="174"/>
      <c r="B372" s="174"/>
      <c r="C372" s="174"/>
      <c r="D372" s="174"/>
      <c r="E372" s="174"/>
      <c r="F372" s="174"/>
      <c r="G372" s="174"/>
      <c r="H372" s="174"/>
      <c r="I372" s="174"/>
      <c r="J372" s="174"/>
      <c r="K372" s="174"/>
      <c r="L372" s="174"/>
      <c r="M372" s="174"/>
      <c r="N372" s="174"/>
      <c r="O372" s="174"/>
      <c r="P372" s="174"/>
      <c r="Q372" s="174"/>
      <c r="R372" s="174"/>
      <c r="S372" s="174"/>
      <c r="T372" s="174"/>
      <c r="U372" s="174"/>
      <c r="V372" s="174"/>
      <c r="W372" s="174"/>
      <c r="X372" s="174"/>
      <c r="Y372" s="174"/>
      <c r="Z372" s="174"/>
    </row>
    <row r="373" customFormat="false" ht="15.75" hidden="false" customHeight="false" outlineLevel="0" collapsed="false">
      <c r="A373" s="174"/>
      <c r="B373" s="174"/>
      <c r="C373" s="174"/>
      <c r="D373" s="174"/>
      <c r="E373" s="174"/>
      <c r="F373" s="174"/>
      <c r="G373" s="174"/>
      <c r="H373" s="174"/>
      <c r="I373" s="174"/>
      <c r="J373" s="174"/>
      <c r="K373" s="174"/>
      <c r="L373" s="174"/>
      <c r="M373" s="174"/>
      <c r="N373" s="174"/>
      <c r="O373" s="174"/>
      <c r="P373" s="174"/>
      <c r="Q373" s="174"/>
      <c r="R373" s="174"/>
      <c r="S373" s="174"/>
      <c r="T373" s="174"/>
      <c r="U373" s="174"/>
      <c r="V373" s="174"/>
      <c r="W373" s="174"/>
      <c r="X373" s="174"/>
      <c r="Y373" s="174"/>
      <c r="Z373" s="174"/>
    </row>
    <row r="374" customFormat="false" ht="15.75" hidden="false" customHeight="false" outlineLevel="0" collapsed="false">
      <c r="A374" s="174"/>
      <c r="B374" s="174"/>
      <c r="C374" s="174"/>
      <c r="D374" s="174"/>
      <c r="E374" s="174"/>
      <c r="F374" s="174"/>
      <c r="G374" s="174"/>
      <c r="H374" s="174"/>
      <c r="I374" s="174"/>
      <c r="J374" s="174"/>
      <c r="K374" s="174"/>
      <c r="L374" s="174"/>
      <c r="M374" s="174"/>
      <c r="N374" s="174"/>
      <c r="O374" s="174"/>
      <c r="P374" s="174"/>
      <c r="Q374" s="174"/>
      <c r="R374" s="174"/>
      <c r="S374" s="174"/>
      <c r="T374" s="174"/>
      <c r="U374" s="174"/>
      <c r="V374" s="174"/>
      <c r="W374" s="174"/>
      <c r="X374" s="174"/>
      <c r="Y374" s="174"/>
      <c r="Z374" s="174"/>
    </row>
    <row r="375" customFormat="false" ht="15.75" hidden="false" customHeight="false" outlineLevel="0" collapsed="false">
      <c r="A375" s="174"/>
      <c r="B375" s="174"/>
      <c r="C375" s="174"/>
      <c r="D375" s="174"/>
      <c r="E375" s="174"/>
      <c r="F375" s="174"/>
      <c r="G375" s="174"/>
      <c r="H375" s="174"/>
      <c r="I375" s="174"/>
      <c r="J375" s="174"/>
      <c r="K375" s="174"/>
      <c r="L375" s="174"/>
      <c r="M375" s="174"/>
      <c r="N375" s="174"/>
      <c r="O375" s="174"/>
      <c r="P375" s="174"/>
      <c r="Q375" s="174"/>
      <c r="R375" s="174"/>
      <c r="S375" s="174"/>
      <c r="T375" s="174"/>
      <c r="U375" s="174"/>
      <c r="V375" s="174"/>
      <c r="W375" s="174"/>
      <c r="X375" s="174"/>
      <c r="Y375" s="174"/>
      <c r="Z375" s="174"/>
    </row>
    <row r="376" customFormat="false" ht="15.75" hidden="false" customHeight="false" outlineLevel="0" collapsed="false">
      <c r="A376" s="174"/>
      <c r="B376" s="174"/>
      <c r="C376" s="174"/>
      <c r="D376" s="174"/>
      <c r="E376" s="174"/>
      <c r="F376" s="174"/>
      <c r="G376" s="174"/>
      <c r="H376" s="174"/>
      <c r="I376" s="174"/>
      <c r="J376" s="174"/>
      <c r="K376" s="174"/>
      <c r="L376" s="174"/>
      <c r="M376" s="174"/>
      <c r="N376" s="174"/>
      <c r="O376" s="174"/>
      <c r="P376" s="174"/>
      <c r="Q376" s="174"/>
      <c r="R376" s="174"/>
      <c r="S376" s="174"/>
      <c r="T376" s="174"/>
      <c r="U376" s="174"/>
      <c r="V376" s="174"/>
      <c r="W376" s="174"/>
      <c r="X376" s="174"/>
      <c r="Y376" s="174"/>
      <c r="Z376" s="174"/>
    </row>
    <row r="377" customFormat="false" ht="15.75" hidden="false" customHeight="false" outlineLevel="0" collapsed="false">
      <c r="A377" s="174"/>
      <c r="B377" s="174"/>
      <c r="C377" s="174"/>
      <c r="D377" s="174"/>
      <c r="E377" s="174"/>
      <c r="F377" s="174"/>
      <c r="G377" s="174"/>
      <c r="H377" s="174"/>
      <c r="I377" s="174"/>
      <c r="J377" s="174"/>
      <c r="K377" s="174"/>
      <c r="L377" s="174"/>
      <c r="M377" s="174"/>
      <c r="N377" s="174"/>
      <c r="O377" s="174"/>
      <c r="P377" s="174"/>
      <c r="Q377" s="174"/>
      <c r="R377" s="174"/>
      <c r="S377" s="174"/>
      <c r="T377" s="174"/>
      <c r="U377" s="174"/>
      <c r="V377" s="174"/>
      <c r="W377" s="174"/>
      <c r="X377" s="174"/>
      <c r="Y377" s="174"/>
      <c r="Z377" s="174"/>
    </row>
    <row r="378" customFormat="false" ht="15.75" hidden="false" customHeight="false" outlineLevel="0" collapsed="false">
      <c r="A378" s="174"/>
      <c r="B378" s="174"/>
      <c r="C378" s="174"/>
      <c r="D378" s="174"/>
      <c r="E378" s="174"/>
      <c r="F378" s="174"/>
      <c r="G378" s="174"/>
      <c r="H378" s="174"/>
      <c r="I378" s="174"/>
      <c r="J378" s="174"/>
      <c r="K378" s="174"/>
      <c r="L378" s="174"/>
      <c r="M378" s="174"/>
      <c r="N378" s="174"/>
      <c r="O378" s="174"/>
      <c r="P378" s="174"/>
      <c r="Q378" s="174"/>
      <c r="R378" s="174"/>
      <c r="S378" s="174"/>
      <c r="T378" s="174"/>
      <c r="U378" s="174"/>
      <c r="V378" s="174"/>
      <c r="W378" s="174"/>
      <c r="X378" s="174"/>
      <c r="Y378" s="174"/>
      <c r="Z378" s="174"/>
    </row>
    <row r="379" customFormat="false" ht="15.75" hidden="false" customHeight="false" outlineLevel="0" collapsed="false">
      <c r="A379" s="174"/>
      <c r="B379" s="174"/>
      <c r="C379" s="174"/>
      <c r="D379" s="174"/>
      <c r="E379" s="174"/>
      <c r="F379" s="174"/>
      <c r="G379" s="174"/>
      <c r="H379" s="174"/>
      <c r="I379" s="174"/>
      <c r="J379" s="174"/>
      <c r="K379" s="174"/>
      <c r="L379" s="174"/>
      <c r="M379" s="174"/>
      <c r="N379" s="174"/>
      <c r="O379" s="174"/>
      <c r="P379" s="174"/>
      <c r="Q379" s="174"/>
      <c r="R379" s="174"/>
      <c r="S379" s="174"/>
      <c r="T379" s="174"/>
      <c r="U379" s="174"/>
      <c r="V379" s="174"/>
      <c r="W379" s="174"/>
      <c r="X379" s="174"/>
      <c r="Y379" s="174"/>
      <c r="Z379" s="174"/>
    </row>
    <row r="380" customFormat="false" ht="15.75" hidden="false" customHeight="false" outlineLevel="0" collapsed="false">
      <c r="A380" s="174"/>
      <c r="B380" s="174"/>
      <c r="C380" s="174"/>
      <c r="D380" s="174"/>
      <c r="E380" s="174"/>
      <c r="F380" s="174"/>
      <c r="G380" s="174"/>
      <c r="H380" s="174"/>
      <c r="I380" s="174"/>
      <c r="J380" s="174"/>
      <c r="K380" s="174"/>
      <c r="L380" s="174"/>
      <c r="M380" s="174"/>
      <c r="N380" s="174"/>
      <c r="O380" s="174"/>
      <c r="P380" s="174"/>
      <c r="Q380" s="174"/>
      <c r="R380" s="174"/>
      <c r="S380" s="174"/>
      <c r="T380" s="174"/>
      <c r="U380" s="174"/>
      <c r="V380" s="174"/>
      <c r="W380" s="174"/>
      <c r="X380" s="174"/>
      <c r="Y380" s="174"/>
      <c r="Z380" s="174"/>
    </row>
    <row r="381" customFormat="false" ht="15.75" hidden="false" customHeight="false" outlineLevel="0" collapsed="false">
      <c r="A381" s="174"/>
      <c r="B381" s="174"/>
      <c r="C381" s="174"/>
      <c r="D381" s="174"/>
      <c r="E381" s="174"/>
      <c r="F381" s="174"/>
      <c r="G381" s="174"/>
      <c r="H381" s="174"/>
      <c r="I381" s="174"/>
      <c r="J381" s="174"/>
      <c r="K381" s="174"/>
      <c r="L381" s="174"/>
      <c r="M381" s="174"/>
      <c r="N381" s="174"/>
      <c r="O381" s="174"/>
      <c r="P381" s="174"/>
      <c r="Q381" s="174"/>
      <c r="R381" s="174"/>
      <c r="S381" s="174"/>
      <c r="T381" s="174"/>
      <c r="U381" s="174"/>
      <c r="V381" s="174"/>
      <c r="W381" s="174"/>
      <c r="X381" s="174"/>
      <c r="Y381" s="174"/>
      <c r="Z381" s="174"/>
    </row>
    <row r="382" customFormat="false" ht="15.75" hidden="false" customHeight="false" outlineLevel="0" collapsed="false">
      <c r="A382" s="174"/>
      <c r="B382" s="174"/>
      <c r="C382" s="174"/>
      <c r="D382" s="174"/>
      <c r="E382" s="174"/>
      <c r="F382" s="174"/>
      <c r="G382" s="174"/>
      <c r="H382" s="174"/>
      <c r="I382" s="174"/>
      <c r="J382" s="174"/>
      <c r="K382" s="174"/>
      <c r="L382" s="174"/>
      <c r="M382" s="174"/>
      <c r="N382" s="174"/>
      <c r="O382" s="174"/>
      <c r="P382" s="174"/>
      <c r="Q382" s="174"/>
      <c r="R382" s="174"/>
      <c r="S382" s="174"/>
      <c r="T382" s="174"/>
      <c r="U382" s="174"/>
      <c r="V382" s="174"/>
      <c r="W382" s="174"/>
      <c r="X382" s="174"/>
      <c r="Y382" s="174"/>
      <c r="Z382" s="174"/>
    </row>
    <row r="383" customFormat="false" ht="15.75" hidden="false" customHeight="false" outlineLevel="0" collapsed="false">
      <c r="A383" s="174"/>
      <c r="B383" s="174"/>
      <c r="C383" s="174"/>
      <c r="D383" s="174"/>
      <c r="E383" s="174"/>
      <c r="F383" s="174"/>
      <c r="G383" s="174"/>
      <c r="H383" s="174"/>
      <c r="I383" s="174"/>
      <c r="J383" s="174"/>
      <c r="K383" s="174"/>
      <c r="L383" s="174"/>
      <c r="M383" s="174"/>
      <c r="N383" s="174"/>
      <c r="O383" s="174"/>
      <c r="P383" s="174"/>
      <c r="Q383" s="174"/>
      <c r="R383" s="174"/>
      <c r="S383" s="174"/>
      <c r="T383" s="174"/>
      <c r="U383" s="174"/>
      <c r="V383" s="174"/>
      <c r="W383" s="174"/>
      <c r="X383" s="174"/>
      <c r="Y383" s="174"/>
      <c r="Z383" s="174"/>
    </row>
    <row r="384" customFormat="false" ht="15.75" hidden="false" customHeight="false" outlineLevel="0" collapsed="false">
      <c r="A384" s="174"/>
      <c r="B384" s="174"/>
      <c r="C384" s="174"/>
      <c r="D384" s="174"/>
      <c r="E384" s="174"/>
      <c r="F384" s="174"/>
      <c r="G384" s="174"/>
      <c r="H384" s="174"/>
      <c r="I384" s="174"/>
      <c r="J384" s="174"/>
      <c r="K384" s="174"/>
      <c r="L384" s="174"/>
      <c r="M384" s="174"/>
      <c r="N384" s="174"/>
      <c r="O384" s="174"/>
      <c r="P384" s="174"/>
      <c r="Q384" s="174"/>
      <c r="R384" s="174"/>
      <c r="S384" s="174"/>
      <c r="T384" s="174"/>
      <c r="U384" s="174"/>
      <c r="V384" s="174"/>
      <c r="W384" s="174"/>
      <c r="X384" s="174"/>
      <c r="Y384" s="174"/>
      <c r="Z384" s="174"/>
    </row>
    <row r="385" customFormat="false" ht="15.75" hidden="false" customHeight="false" outlineLevel="0" collapsed="false">
      <c r="A385" s="174"/>
      <c r="B385" s="174"/>
      <c r="C385" s="174"/>
      <c r="D385" s="174"/>
      <c r="E385" s="174"/>
      <c r="F385" s="174"/>
      <c r="G385" s="174"/>
      <c r="H385" s="174"/>
      <c r="I385" s="174"/>
      <c r="J385" s="174"/>
      <c r="K385" s="174"/>
      <c r="L385" s="174"/>
      <c r="M385" s="174"/>
      <c r="N385" s="174"/>
      <c r="O385" s="174"/>
      <c r="P385" s="174"/>
      <c r="Q385" s="174"/>
      <c r="R385" s="174"/>
      <c r="S385" s="174"/>
      <c r="T385" s="174"/>
      <c r="U385" s="174"/>
      <c r="V385" s="174"/>
      <c r="W385" s="174"/>
      <c r="X385" s="174"/>
      <c r="Y385" s="174"/>
      <c r="Z385" s="174"/>
    </row>
    <row r="386" customFormat="false" ht="15.75" hidden="false" customHeight="false" outlineLevel="0" collapsed="false">
      <c r="A386" s="174"/>
      <c r="B386" s="174"/>
      <c r="C386" s="174"/>
      <c r="D386" s="174"/>
      <c r="E386" s="174"/>
      <c r="F386" s="174"/>
      <c r="G386" s="174"/>
      <c r="H386" s="174"/>
      <c r="I386" s="174"/>
      <c r="J386" s="174"/>
      <c r="K386" s="174"/>
      <c r="L386" s="174"/>
      <c r="M386" s="174"/>
      <c r="N386" s="174"/>
      <c r="O386" s="174"/>
      <c r="P386" s="174"/>
      <c r="Q386" s="174"/>
      <c r="R386" s="174"/>
      <c r="S386" s="174"/>
      <c r="T386" s="174"/>
      <c r="U386" s="174"/>
      <c r="V386" s="174"/>
      <c r="W386" s="174"/>
      <c r="X386" s="174"/>
      <c r="Y386" s="174"/>
      <c r="Z386" s="174"/>
    </row>
    <row r="387" customFormat="false" ht="15.75" hidden="false" customHeight="false" outlineLevel="0" collapsed="false">
      <c r="A387" s="174"/>
      <c r="B387" s="174"/>
      <c r="C387" s="174"/>
      <c r="D387" s="174"/>
      <c r="E387" s="174"/>
      <c r="F387" s="174"/>
      <c r="G387" s="174"/>
      <c r="H387" s="174"/>
      <c r="I387" s="174"/>
      <c r="J387" s="174"/>
      <c r="K387" s="174"/>
      <c r="L387" s="174"/>
      <c r="M387" s="174"/>
      <c r="N387" s="174"/>
      <c r="O387" s="174"/>
      <c r="P387" s="174"/>
      <c r="Q387" s="174"/>
      <c r="R387" s="174"/>
      <c r="S387" s="174"/>
      <c r="T387" s="174"/>
      <c r="U387" s="174"/>
      <c r="V387" s="174"/>
      <c r="W387" s="174"/>
      <c r="X387" s="174"/>
      <c r="Y387" s="174"/>
      <c r="Z387" s="174"/>
    </row>
    <row r="388" customFormat="false" ht="15.75" hidden="false" customHeight="false" outlineLevel="0" collapsed="false">
      <c r="A388" s="174"/>
      <c r="B388" s="174"/>
      <c r="C388" s="174"/>
      <c r="D388" s="174"/>
      <c r="E388" s="174"/>
      <c r="F388" s="174"/>
      <c r="G388" s="174"/>
      <c r="H388" s="174"/>
      <c r="I388" s="174"/>
      <c r="J388" s="174"/>
      <c r="K388" s="174"/>
      <c r="L388" s="174"/>
      <c r="M388" s="174"/>
      <c r="N388" s="174"/>
      <c r="O388" s="174"/>
      <c r="P388" s="174"/>
      <c r="Q388" s="174"/>
      <c r="R388" s="174"/>
      <c r="S388" s="174"/>
      <c r="T388" s="174"/>
      <c r="U388" s="174"/>
      <c r="V388" s="174"/>
      <c r="W388" s="174"/>
      <c r="X388" s="174"/>
      <c r="Y388" s="174"/>
      <c r="Z388" s="174"/>
    </row>
    <row r="389" customFormat="false" ht="15.75" hidden="false" customHeight="false" outlineLevel="0" collapsed="false">
      <c r="A389" s="174"/>
      <c r="B389" s="174"/>
      <c r="C389" s="174"/>
      <c r="D389" s="174"/>
      <c r="E389" s="174"/>
      <c r="F389" s="174"/>
      <c r="G389" s="174"/>
      <c r="H389" s="174"/>
      <c r="I389" s="174"/>
      <c r="J389" s="174"/>
      <c r="K389" s="174"/>
      <c r="L389" s="174"/>
      <c r="M389" s="174"/>
      <c r="N389" s="174"/>
      <c r="O389" s="174"/>
      <c r="P389" s="174"/>
      <c r="Q389" s="174"/>
      <c r="R389" s="174"/>
      <c r="S389" s="174"/>
      <c r="T389" s="174"/>
      <c r="U389" s="174"/>
      <c r="V389" s="174"/>
      <c r="W389" s="174"/>
      <c r="X389" s="174"/>
      <c r="Y389" s="174"/>
      <c r="Z389" s="174"/>
    </row>
    <row r="390" customFormat="false" ht="15.75" hidden="false" customHeight="false" outlineLevel="0" collapsed="false">
      <c r="A390" s="174"/>
      <c r="B390" s="174"/>
      <c r="C390" s="174"/>
      <c r="D390" s="174"/>
      <c r="E390" s="174"/>
      <c r="F390" s="174"/>
      <c r="G390" s="174"/>
      <c r="H390" s="174"/>
      <c r="I390" s="174"/>
      <c r="J390" s="174"/>
      <c r="K390" s="174"/>
      <c r="L390" s="174"/>
      <c r="M390" s="174"/>
      <c r="N390" s="174"/>
      <c r="O390" s="174"/>
      <c r="P390" s="174"/>
      <c r="Q390" s="174"/>
      <c r="R390" s="174"/>
      <c r="S390" s="174"/>
      <c r="T390" s="174"/>
      <c r="U390" s="174"/>
      <c r="V390" s="174"/>
      <c r="W390" s="174"/>
      <c r="X390" s="174"/>
      <c r="Y390" s="174"/>
      <c r="Z390" s="174"/>
    </row>
    <row r="391" customFormat="false" ht="15.75" hidden="false" customHeight="false" outlineLevel="0" collapsed="false">
      <c r="A391" s="174"/>
      <c r="B391" s="174"/>
      <c r="C391" s="174"/>
      <c r="D391" s="174"/>
      <c r="E391" s="174"/>
      <c r="F391" s="174"/>
      <c r="G391" s="174"/>
      <c r="H391" s="174"/>
      <c r="I391" s="174"/>
      <c r="J391" s="174"/>
      <c r="K391" s="174"/>
      <c r="L391" s="174"/>
      <c r="M391" s="174"/>
      <c r="N391" s="174"/>
      <c r="O391" s="174"/>
      <c r="P391" s="174"/>
      <c r="Q391" s="174"/>
      <c r="R391" s="174"/>
      <c r="S391" s="174"/>
      <c r="T391" s="174"/>
      <c r="U391" s="174"/>
      <c r="V391" s="174"/>
      <c r="W391" s="174"/>
      <c r="X391" s="174"/>
      <c r="Y391" s="174"/>
      <c r="Z391" s="174"/>
    </row>
    <row r="392" customFormat="false" ht="15.75" hidden="false" customHeight="false" outlineLevel="0" collapsed="false">
      <c r="A392" s="174"/>
      <c r="B392" s="174"/>
      <c r="C392" s="174"/>
      <c r="D392" s="174"/>
      <c r="E392" s="174"/>
      <c r="F392" s="174"/>
      <c r="G392" s="174"/>
      <c r="H392" s="174"/>
      <c r="I392" s="174"/>
      <c r="J392" s="174"/>
      <c r="K392" s="174"/>
      <c r="L392" s="174"/>
      <c r="M392" s="174"/>
      <c r="N392" s="174"/>
      <c r="O392" s="174"/>
      <c r="P392" s="174"/>
      <c r="Q392" s="174"/>
      <c r="R392" s="174"/>
      <c r="S392" s="174"/>
      <c r="T392" s="174"/>
      <c r="U392" s="174"/>
      <c r="V392" s="174"/>
      <c r="W392" s="174"/>
      <c r="X392" s="174"/>
      <c r="Y392" s="174"/>
      <c r="Z392" s="174"/>
    </row>
    <row r="393" customFormat="false" ht="15.75" hidden="false" customHeight="false" outlineLevel="0" collapsed="false">
      <c r="A393" s="174"/>
      <c r="B393" s="174"/>
      <c r="C393" s="174"/>
      <c r="D393" s="174"/>
      <c r="E393" s="174"/>
      <c r="F393" s="174"/>
      <c r="G393" s="174"/>
      <c r="H393" s="174"/>
      <c r="I393" s="174"/>
      <c r="J393" s="174"/>
      <c r="K393" s="174"/>
      <c r="L393" s="174"/>
      <c r="M393" s="174"/>
      <c r="N393" s="174"/>
      <c r="O393" s="174"/>
      <c r="P393" s="174"/>
      <c r="Q393" s="174"/>
      <c r="R393" s="174"/>
      <c r="S393" s="174"/>
      <c r="T393" s="174"/>
      <c r="U393" s="174"/>
      <c r="V393" s="174"/>
      <c r="W393" s="174"/>
      <c r="X393" s="174"/>
      <c r="Y393" s="174"/>
      <c r="Z393" s="174"/>
    </row>
    <row r="394" customFormat="false" ht="15.75" hidden="false" customHeight="false" outlineLevel="0" collapsed="false">
      <c r="A394" s="174"/>
      <c r="B394" s="174"/>
      <c r="C394" s="174"/>
      <c r="D394" s="174"/>
      <c r="E394" s="174"/>
      <c r="F394" s="174"/>
      <c r="G394" s="174"/>
      <c r="H394" s="174"/>
      <c r="I394" s="174"/>
      <c r="J394" s="174"/>
      <c r="K394" s="174"/>
      <c r="L394" s="174"/>
      <c r="M394" s="174"/>
      <c r="N394" s="174"/>
      <c r="O394" s="174"/>
      <c r="P394" s="174"/>
      <c r="Q394" s="174"/>
      <c r="R394" s="174"/>
      <c r="S394" s="174"/>
      <c r="T394" s="174"/>
      <c r="U394" s="174"/>
      <c r="V394" s="174"/>
      <c r="W394" s="174"/>
      <c r="X394" s="174"/>
      <c r="Y394" s="174"/>
      <c r="Z394" s="174"/>
    </row>
    <row r="395" customFormat="false" ht="15.75" hidden="false" customHeight="false" outlineLevel="0" collapsed="false">
      <c r="A395" s="174"/>
      <c r="B395" s="174"/>
      <c r="C395" s="174"/>
      <c r="D395" s="174"/>
      <c r="E395" s="174"/>
      <c r="F395" s="174"/>
      <c r="G395" s="174"/>
      <c r="H395" s="174"/>
      <c r="I395" s="174"/>
      <c r="J395" s="174"/>
      <c r="K395" s="174"/>
      <c r="L395" s="174"/>
      <c r="M395" s="174"/>
      <c r="N395" s="174"/>
      <c r="O395" s="174"/>
      <c r="P395" s="174"/>
      <c r="Q395" s="174"/>
      <c r="R395" s="174"/>
      <c r="S395" s="174"/>
      <c r="T395" s="174"/>
      <c r="U395" s="174"/>
      <c r="V395" s="174"/>
      <c r="W395" s="174"/>
      <c r="X395" s="174"/>
      <c r="Y395" s="174"/>
      <c r="Z395" s="174"/>
    </row>
    <row r="396" customFormat="false" ht="15.75" hidden="false" customHeight="false" outlineLevel="0" collapsed="false">
      <c r="A396" s="174"/>
      <c r="B396" s="174"/>
      <c r="C396" s="174"/>
      <c r="D396" s="174"/>
      <c r="E396" s="174"/>
      <c r="F396" s="174"/>
      <c r="G396" s="174"/>
      <c r="H396" s="174"/>
      <c r="I396" s="174"/>
      <c r="J396" s="174"/>
      <c r="K396" s="174"/>
      <c r="L396" s="174"/>
      <c r="M396" s="174"/>
      <c r="N396" s="174"/>
      <c r="O396" s="174"/>
      <c r="P396" s="174"/>
      <c r="Q396" s="174"/>
      <c r="R396" s="174"/>
      <c r="S396" s="174"/>
      <c r="T396" s="174"/>
      <c r="U396" s="174"/>
      <c r="V396" s="174"/>
      <c r="W396" s="174"/>
      <c r="X396" s="174"/>
      <c r="Y396" s="174"/>
      <c r="Z396" s="174"/>
    </row>
    <row r="397" customFormat="false" ht="15.75" hidden="false" customHeight="false" outlineLevel="0" collapsed="false">
      <c r="A397" s="174"/>
      <c r="B397" s="174"/>
      <c r="C397" s="174"/>
      <c r="D397" s="174"/>
      <c r="E397" s="174"/>
      <c r="F397" s="174"/>
      <c r="G397" s="174"/>
      <c r="H397" s="174"/>
      <c r="I397" s="174"/>
      <c r="J397" s="174"/>
      <c r="K397" s="174"/>
      <c r="L397" s="174"/>
      <c r="M397" s="174"/>
      <c r="N397" s="174"/>
      <c r="O397" s="174"/>
      <c r="P397" s="174"/>
      <c r="Q397" s="174"/>
      <c r="R397" s="174"/>
      <c r="S397" s="174"/>
      <c r="T397" s="174"/>
      <c r="U397" s="174"/>
      <c r="V397" s="174"/>
      <c r="W397" s="174"/>
      <c r="X397" s="174"/>
      <c r="Y397" s="174"/>
      <c r="Z397" s="174"/>
    </row>
    <row r="398" customFormat="false" ht="15.75" hidden="false" customHeight="false" outlineLevel="0" collapsed="false">
      <c r="A398" s="174"/>
      <c r="B398" s="174"/>
      <c r="C398" s="174"/>
      <c r="D398" s="174"/>
      <c r="E398" s="174"/>
      <c r="F398" s="174"/>
      <c r="G398" s="174"/>
      <c r="H398" s="174"/>
      <c r="I398" s="174"/>
      <c r="J398" s="174"/>
      <c r="K398" s="174"/>
      <c r="L398" s="174"/>
      <c r="M398" s="174"/>
      <c r="N398" s="174"/>
      <c r="O398" s="174"/>
      <c r="P398" s="174"/>
      <c r="Q398" s="174"/>
      <c r="R398" s="174"/>
      <c r="S398" s="174"/>
      <c r="T398" s="174"/>
      <c r="U398" s="174"/>
      <c r="V398" s="174"/>
      <c r="W398" s="174"/>
      <c r="X398" s="174"/>
      <c r="Y398" s="174"/>
      <c r="Z398" s="174"/>
    </row>
    <row r="399" customFormat="false" ht="15.75" hidden="false" customHeight="false" outlineLevel="0" collapsed="false">
      <c r="A399" s="174"/>
      <c r="B399" s="174"/>
      <c r="C399" s="174"/>
      <c r="D399" s="174"/>
      <c r="E399" s="174"/>
      <c r="F399" s="174"/>
      <c r="G399" s="174"/>
      <c r="H399" s="174"/>
      <c r="I399" s="174"/>
      <c r="J399" s="174"/>
      <c r="K399" s="174"/>
      <c r="L399" s="174"/>
      <c r="M399" s="174"/>
      <c r="N399" s="174"/>
      <c r="O399" s="174"/>
      <c r="P399" s="174"/>
      <c r="Q399" s="174"/>
      <c r="R399" s="174"/>
      <c r="S399" s="174"/>
      <c r="T399" s="174"/>
      <c r="U399" s="174"/>
      <c r="V399" s="174"/>
      <c r="W399" s="174"/>
      <c r="X399" s="174"/>
      <c r="Y399" s="174"/>
      <c r="Z399" s="174"/>
    </row>
    <row r="400" customFormat="false" ht="15.75" hidden="false" customHeight="false" outlineLevel="0" collapsed="false">
      <c r="A400" s="174"/>
      <c r="B400" s="174"/>
      <c r="C400" s="174"/>
      <c r="D400" s="174"/>
      <c r="E400" s="174"/>
      <c r="F400" s="174"/>
      <c r="G400" s="174"/>
      <c r="H400" s="174"/>
      <c r="I400" s="174"/>
      <c r="J400" s="174"/>
      <c r="K400" s="174"/>
      <c r="L400" s="174"/>
      <c r="M400" s="174"/>
      <c r="N400" s="174"/>
      <c r="O400" s="174"/>
      <c r="P400" s="174"/>
      <c r="Q400" s="174"/>
      <c r="R400" s="174"/>
      <c r="S400" s="174"/>
      <c r="T400" s="174"/>
      <c r="U400" s="174"/>
      <c r="V400" s="174"/>
      <c r="W400" s="174"/>
      <c r="X400" s="174"/>
      <c r="Y400" s="174"/>
      <c r="Z400" s="174"/>
    </row>
    <row r="401" customFormat="false" ht="15.75" hidden="false" customHeight="false" outlineLevel="0" collapsed="false">
      <c r="A401" s="174"/>
      <c r="B401" s="174"/>
      <c r="C401" s="174"/>
      <c r="D401" s="174"/>
      <c r="E401" s="174"/>
      <c r="F401" s="174"/>
      <c r="G401" s="174"/>
      <c r="H401" s="174"/>
      <c r="I401" s="174"/>
      <c r="J401" s="174"/>
      <c r="K401" s="174"/>
      <c r="L401" s="174"/>
      <c r="M401" s="174"/>
      <c r="N401" s="174"/>
      <c r="O401" s="174"/>
      <c r="P401" s="174"/>
      <c r="Q401" s="174"/>
      <c r="R401" s="174"/>
      <c r="S401" s="174"/>
      <c r="T401" s="174"/>
      <c r="U401" s="174"/>
      <c r="V401" s="174"/>
      <c r="W401" s="174"/>
      <c r="X401" s="174"/>
      <c r="Y401" s="174"/>
      <c r="Z401" s="174"/>
    </row>
    <row r="402" customFormat="false" ht="15.75" hidden="false" customHeight="false" outlineLevel="0" collapsed="false">
      <c r="A402" s="174"/>
      <c r="B402" s="174"/>
      <c r="C402" s="174"/>
      <c r="D402" s="174"/>
      <c r="E402" s="174"/>
      <c r="F402" s="174"/>
      <c r="G402" s="174"/>
      <c r="H402" s="174"/>
      <c r="I402" s="174"/>
      <c r="J402" s="174"/>
      <c r="K402" s="174"/>
      <c r="L402" s="174"/>
      <c r="M402" s="174"/>
      <c r="N402" s="174"/>
      <c r="O402" s="174"/>
      <c r="P402" s="174"/>
      <c r="Q402" s="174"/>
      <c r="R402" s="174"/>
      <c r="S402" s="174"/>
      <c r="T402" s="174"/>
      <c r="U402" s="174"/>
      <c r="V402" s="174"/>
      <c r="W402" s="174"/>
      <c r="X402" s="174"/>
      <c r="Y402" s="174"/>
      <c r="Z402" s="174"/>
    </row>
    <row r="403" customFormat="false" ht="15.75" hidden="false" customHeight="false" outlineLevel="0" collapsed="false">
      <c r="A403" s="174"/>
      <c r="B403" s="174"/>
      <c r="C403" s="174"/>
      <c r="D403" s="174"/>
      <c r="E403" s="174"/>
      <c r="F403" s="174"/>
      <c r="G403" s="174"/>
      <c r="H403" s="174"/>
      <c r="I403" s="174"/>
      <c r="J403" s="174"/>
      <c r="K403" s="174"/>
      <c r="L403" s="174"/>
      <c r="M403" s="174"/>
      <c r="N403" s="174"/>
      <c r="O403" s="174"/>
      <c r="P403" s="174"/>
      <c r="Q403" s="174"/>
      <c r="R403" s="174"/>
      <c r="S403" s="174"/>
      <c r="T403" s="174"/>
      <c r="U403" s="174"/>
      <c r="V403" s="174"/>
      <c r="W403" s="174"/>
      <c r="X403" s="174"/>
      <c r="Y403" s="174"/>
      <c r="Z403" s="174"/>
    </row>
    <row r="404" customFormat="false" ht="15.75" hidden="false" customHeight="false" outlineLevel="0" collapsed="false">
      <c r="A404" s="174"/>
      <c r="B404" s="174"/>
      <c r="C404" s="174"/>
      <c r="D404" s="174"/>
      <c r="E404" s="174"/>
      <c r="F404" s="174"/>
      <c r="G404" s="174"/>
      <c r="H404" s="174"/>
      <c r="I404" s="174"/>
      <c r="J404" s="174"/>
      <c r="K404" s="174"/>
      <c r="L404" s="174"/>
      <c r="M404" s="174"/>
      <c r="N404" s="174"/>
      <c r="O404" s="174"/>
      <c r="P404" s="174"/>
      <c r="Q404" s="174"/>
      <c r="R404" s="174"/>
      <c r="S404" s="174"/>
      <c r="T404" s="174"/>
      <c r="U404" s="174"/>
      <c r="V404" s="174"/>
      <c r="W404" s="174"/>
      <c r="X404" s="174"/>
      <c r="Y404" s="174"/>
      <c r="Z404" s="174"/>
    </row>
    <row r="405" customFormat="false" ht="15.75" hidden="false" customHeight="false" outlineLevel="0" collapsed="false">
      <c r="A405" s="174"/>
      <c r="B405" s="174"/>
      <c r="C405" s="174"/>
      <c r="D405" s="174"/>
      <c r="E405" s="174"/>
      <c r="F405" s="174"/>
      <c r="G405" s="174"/>
      <c r="H405" s="174"/>
      <c r="I405" s="174"/>
      <c r="J405" s="174"/>
      <c r="K405" s="174"/>
      <c r="L405" s="174"/>
      <c r="M405" s="174"/>
      <c r="N405" s="174"/>
      <c r="O405" s="174"/>
      <c r="P405" s="174"/>
      <c r="Q405" s="174"/>
      <c r="R405" s="174"/>
      <c r="S405" s="174"/>
      <c r="T405" s="174"/>
      <c r="U405" s="174"/>
      <c r="V405" s="174"/>
      <c r="W405" s="174"/>
      <c r="X405" s="174"/>
      <c r="Y405" s="174"/>
      <c r="Z405" s="174"/>
    </row>
    <row r="406" customFormat="false" ht="15.75" hidden="false" customHeight="false" outlineLevel="0" collapsed="false">
      <c r="A406" s="174"/>
      <c r="B406" s="174"/>
      <c r="C406" s="174"/>
      <c r="D406" s="174"/>
      <c r="E406" s="174"/>
      <c r="F406" s="174"/>
      <c r="G406" s="174"/>
      <c r="H406" s="174"/>
      <c r="I406" s="174"/>
      <c r="J406" s="174"/>
      <c r="K406" s="174"/>
      <c r="L406" s="174"/>
      <c r="M406" s="174"/>
      <c r="N406" s="174"/>
      <c r="O406" s="174"/>
      <c r="P406" s="174"/>
      <c r="Q406" s="174"/>
      <c r="R406" s="174"/>
      <c r="S406" s="174"/>
      <c r="T406" s="174"/>
      <c r="U406" s="174"/>
      <c r="V406" s="174"/>
      <c r="W406" s="174"/>
      <c r="X406" s="174"/>
      <c r="Y406" s="174"/>
      <c r="Z406" s="174"/>
    </row>
    <row r="407" customFormat="false" ht="15.75" hidden="false" customHeight="false" outlineLevel="0" collapsed="false">
      <c r="A407" s="174"/>
      <c r="B407" s="174"/>
      <c r="C407" s="174"/>
      <c r="D407" s="174"/>
      <c r="E407" s="174"/>
      <c r="F407" s="174"/>
      <c r="G407" s="174"/>
      <c r="H407" s="174"/>
      <c r="I407" s="174"/>
      <c r="J407" s="174"/>
      <c r="K407" s="174"/>
      <c r="L407" s="174"/>
      <c r="M407" s="174"/>
      <c r="N407" s="174"/>
      <c r="O407" s="174"/>
      <c r="P407" s="174"/>
      <c r="Q407" s="174"/>
      <c r="R407" s="174"/>
      <c r="S407" s="174"/>
      <c r="T407" s="174"/>
      <c r="U407" s="174"/>
      <c r="V407" s="174"/>
      <c r="W407" s="174"/>
      <c r="X407" s="174"/>
      <c r="Y407" s="174"/>
      <c r="Z407" s="174"/>
    </row>
    <row r="408" customFormat="false" ht="15.75" hidden="false" customHeight="false" outlineLevel="0" collapsed="false">
      <c r="A408" s="174"/>
      <c r="B408" s="174"/>
      <c r="C408" s="174"/>
      <c r="D408" s="174"/>
      <c r="E408" s="174"/>
      <c r="F408" s="174"/>
      <c r="G408" s="174"/>
      <c r="H408" s="174"/>
      <c r="I408" s="174"/>
      <c r="J408" s="174"/>
      <c r="K408" s="174"/>
      <c r="L408" s="174"/>
      <c r="M408" s="174"/>
      <c r="N408" s="174"/>
      <c r="O408" s="174"/>
      <c r="P408" s="174"/>
      <c r="Q408" s="174"/>
      <c r="R408" s="174"/>
      <c r="S408" s="174"/>
      <c r="T408" s="174"/>
      <c r="U408" s="174"/>
      <c r="V408" s="174"/>
      <c r="W408" s="174"/>
      <c r="X408" s="174"/>
      <c r="Y408" s="174"/>
      <c r="Z408" s="174"/>
    </row>
    <row r="409" customFormat="false" ht="15.75" hidden="false" customHeight="false" outlineLevel="0" collapsed="false">
      <c r="A409" s="174"/>
      <c r="B409" s="174"/>
      <c r="C409" s="174"/>
      <c r="D409" s="174"/>
      <c r="E409" s="174"/>
      <c r="F409" s="174"/>
      <c r="G409" s="174"/>
      <c r="H409" s="174"/>
      <c r="I409" s="174"/>
      <c r="J409" s="174"/>
      <c r="K409" s="174"/>
      <c r="L409" s="174"/>
      <c r="M409" s="174"/>
      <c r="N409" s="174"/>
      <c r="O409" s="174"/>
      <c r="P409" s="174"/>
      <c r="Q409" s="174"/>
      <c r="R409" s="174"/>
      <c r="S409" s="174"/>
      <c r="T409" s="174"/>
      <c r="U409" s="174"/>
      <c r="V409" s="174"/>
      <c r="W409" s="174"/>
      <c r="X409" s="174"/>
      <c r="Y409" s="174"/>
      <c r="Z409" s="174"/>
    </row>
    <row r="410" customFormat="false" ht="15.75" hidden="false" customHeight="false" outlineLevel="0" collapsed="false">
      <c r="A410" s="174"/>
      <c r="B410" s="174"/>
      <c r="C410" s="174"/>
      <c r="D410" s="174"/>
      <c r="E410" s="174"/>
      <c r="F410" s="174"/>
      <c r="G410" s="174"/>
      <c r="H410" s="174"/>
      <c r="I410" s="174"/>
      <c r="J410" s="174"/>
      <c r="K410" s="174"/>
      <c r="L410" s="174"/>
      <c r="M410" s="174"/>
      <c r="N410" s="174"/>
      <c r="O410" s="174"/>
      <c r="P410" s="174"/>
      <c r="Q410" s="174"/>
      <c r="R410" s="174"/>
      <c r="S410" s="174"/>
      <c r="T410" s="174"/>
      <c r="U410" s="174"/>
      <c r="V410" s="174"/>
      <c r="W410" s="174"/>
      <c r="X410" s="174"/>
      <c r="Y410" s="174"/>
      <c r="Z410" s="174"/>
    </row>
    <row r="411" customFormat="false" ht="15.75" hidden="false" customHeight="false" outlineLevel="0" collapsed="false">
      <c r="A411" s="174"/>
      <c r="B411" s="174"/>
      <c r="C411" s="174"/>
      <c r="D411" s="174"/>
      <c r="E411" s="174"/>
      <c r="F411" s="174"/>
      <c r="G411" s="174"/>
      <c r="H411" s="174"/>
      <c r="I411" s="174"/>
      <c r="J411" s="174"/>
      <c r="K411" s="174"/>
      <c r="L411" s="174"/>
      <c r="M411" s="174"/>
      <c r="N411" s="174"/>
      <c r="O411" s="174"/>
      <c r="P411" s="174"/>
      <c r="Q411" s="174"/>
      <c r="R411" s="174"/>
      <c r="S411" s="174"/>
      <c r="T411" s="174"/>
      <c r="U411" s="174"/>
      <c r="V411" s="174"/>
      <c r="W411" s="174"/>
      <c r="X411" s="174"/>
      <c r="Y411" s="174"/>
      <c r="Z411" s="174"/>
    </row>
    <row r="412" customFormat="false" ht="15.75" hidden="false" customHeight="false" outlineLevel="0" collapsed="false">
      <c r="A412" s="174"/>
      <c r="B412" s="174"/>
      <c r="C412" s="174"/>
      <c r="D412" s="174"/>
      <c r="E412" s="174"/>
      <c r="F412" s="174"/>
      <c r="G412" s="174"/>
      <c r="H412" s="174"/>
      <c r="I412" s="174"/>
      <c r="J412" s="174"/>
      <c r="K412" s="174"/>
      <c r="L412" s="174"/>
      <c r="M412" s="174"/>
      <c r="N412" s="174"/>
      <c r="O412" s="174"/>
      <c r="P412" s="174"/>
      <c r="Q412" s="174"/>
      <c r="R412" s="174"/>
      <c r="S412" s="174"/>
      <c r="T412" s="174"/>
      <c r="U412" s="174"/>
      <c r="V412" s="174"/>
      <c r="W412" s="174"/>
      <c r="X412" s="174"/>
      <c r="Y412" s="174"/>
      <c r="Z412" s="174"/>
    </row>
    <row r="413" customFormat="false" ht="15.75" hidden="false" customHeight="false" outlineLevel="0" collapsed="false">
      <c r="A413" s="174"/>
      <c r="B413" s="174"/>
      <c r="C413" s="174"/>
      <c r="D413" s="174"/>
      <c r="E413" s="174"/>
      <c r="F413" s="174"/>
      <c r="G413" s="174"/>
      <c r="H413" s="174"/>
      <c r="I413" s="174"/>
      <c r="J413" s="174"/>
      <c r="K413" s="174"/>
      <c r="L413" s="174"/>
      <c r="M413" s="174"/>
      <c r="N413" s="174"/>
      <c r="O413" s="174"/>
      <c r="P413" s="174"/>
      <c r="Q413" s="174"/>
      <c r="R413" s="174"/>
      <c r="S413" s="174"/>
      <c r="T413" s="174"/>
      <c r="U413" s="174"/>
      <c r="V413" s="174"/>
      <c r="W413" s="174"/>
      <c r="X413" s="174"/>
      <c r="Y413" s="174"/>
      <c r="Z413" s="174"/>
    </row>
    <row r="414" customFormat="false" ht="15.75" hidden="false" customHeight="false" outlineLevel="0" collapsed="false">
      <c r="A414" s="174"/>
      <c r="B414" s="174"/>
      <c r="C414" s="174"/>
      <c r="D414" s="174"/>
      <c r="E414" s="174"/>
      <c r="F414" s="174"/>
      <c r="G414" s="174"/>
      <c r="H414" s="174"/>
      <c r="I414" s="174"/>
      <c r="J414" s="174"/>
      <c r="K414" s="174"/>
      <c r="L414" s="174"/>
      <c r="M414" s="174"/>
      <c r="N414" s="174"/>
      <c r="O414" s="174"/>
      <c r="P414" s="174"/>
      <c r="Q414" s="174"/>
      <c r="R414" s="174"/>
      <c r="S414" s="174"/>
      <c r="T414" s="174"/>
      <c r="U414" s="174"/>
      <c r="V414" s="174"/>
      <c r="W414" s="174"/>
      <c r="X414" s="174"/>
      <c r="Y414" s="174"/>
      <c r="Z414" s="174"/>
    </row>
    <row r="415" customFormat="false" ht="15.75" hidden="false" customHeight="false" outlineLevel="0" collapsed="false">
      <c r="A415" s="174"/>
      <c r="B415" s="174"/>
      <c r="C415" s="174"/>
      <c r="D415" s="174"/>
      <c r="E415" s="174"/>
      <c r="F415" s="174"/>
      <c r="G415" s="174"/>
      <c r="H415" s="174"/>
      <c r="I415" s="174"/>
      <c r="J415" s="174"/>
      <c r="K415" s="174"/>
      <c r="L415" s="174"/>
      <c r="M415" s="174"/>
      <c r="N415" s="174"/>
      <c r="O415" s="174"/>
      <c r="P415" s="174"/>
      <c r="Q415" s="174"/>
      <c r="R415" s="174"/>
      <c r="S415" s="174"/>
      <c r="T415" s="174"/>
      <c r="U415" s="174"/>
      <c r="V415" s="174"/>
      <c r="W415" s="174"/>
      <c r="X415" s="174"/>
      <c r="Y415" s="174"/>
      <c r="Z415" s="174"/>
    </row>
    <row r="416" customFormat="false" ht="15.75" hidden="false" customHeight="false" outlineLevel="0" collapsed="false">
      <c r="A416" s="174"/>
      <c r="B416" s="174"/>
      <c r="C416" s="174"/>
      <c r="D416" s="174"/>
      <c r="E416" s="174"/>
      <c r="F416" s="174"/>
      <c r="G416" s="174"/>
      <c r="H416" s="174"/>
      <c r="I416" s="174"/>
      <c r="J416" s="174"/>
      <c r="K416" s="174"/>
      <c r="L416" s="174"/>
      <c r="M416" s="174"/>
      <c r="N416" s="174"/>
      <c r="O416" s="174"/>
      <c r="P416" s="174"/>
      <c r="Q416" s="174"/>
      <c r="R416" s="174"/>
      <c r="S416" s="174"/>
      <c r="T416" s="174"/>
      <c r="U416" s="174"/>
      <c r="V416" s="174"/>
      <c r="W416" s="174"/>
      <c r="X416" s="174"/>
      <c r="Y416" s="174"/>
      <c r="Z416" s="174"/>
    </row>
    <row r="417" customFormat="false" ht="15.75" hidden="false" customHeight="false" outlineLevel="0" collapsed="false">
      <c r="A417" s="174"/>
      <c r="B417" s="174"/>
      <c r="C417" s="174"/>
      <c r="D417" s="174"/>
      <c r="E417" s="174"/>
      <c r="F417" s="174"/>
      <c r="G417" s="174"/>
      <c r="H417" s="174"/>
      <c r="I417" s="174"/>
      <c r="J417" s="174"/>
      <c r="K417" s="174"/>
      <c r="L417" s="174"/>
      <c r="M417" s="174"/>
      <c r="N417" s="174"/>
      <c r="O417" s="174"/>
      <c r="P417" s="174"/>
      <c r="Q417" s="174"/>
      <c r="R417" s="174"/>
      <c r="S417" s="174"/>
      <c r="T417" s="174"/>
      <c r="U417" s="174"/>
      <c r="V417" s="174"/>
      <c r="W417" s="174"/>
      <c r="X417" s="174"/>
      <c r="Y417" s="174"/>
      <c r="Z417" s="174"/>
    </row>
    <row r="418" customFormat="false" ht="15.75" hidden="false" customHeight="false" outlineLevel="0" collapsed="false">
      <c r="A418" s="174"/>
      <c r="B418" s="174"/>
      <c r="C418" s="174"/>
      <c r="D418" s="174"/>
      <c r="E418" s="174"/>
      <c r="F418" s="174"/>
      <c r="G418" s="174"/>
      <c r="H418" s="174"/>
      <c r="I418" s="174"/>
      <c r="J418" s="174"/>
      <c r="K418" s="174"/>
      <c r="L418" s="174"/>
      <c r="M418" s="174"/>
      <c r="N418" s="174"/>
      <c r="O418" s="174"/>
      <c r="P418" s="174"/>
      <c r="Q418" s="174"/>
      <c r="R418" s="174"/>
      <c r="S418" s="174"/>
      <c r="T418" s="174"/>
      <c r="U418" s="174"/>
      <c r="V418" s="174"/>
      <c r="W418" s="174"/>
      <c r="X418" s="174"/>
      <c r="Y418" s="174"/>
      <c r="Z418" s="174"/>
    </row>
    <row r="419" customFormat="false" ht="15.75" hidden="false" customHeight="false" outlineLevel="0" collapsed="false">
      <c r="A419" s="174"/>
      <c r="B419" s="174"/>
      <c r="C419" s="174"/>
      <c r="D419" s="174"/>
      <c r="E419" s="174"/>
      <c r="F419" s="174"/>
      <c r="G419" s="174"/>
      <c r="H419" s="174"/>
      <c r="I419" s="174"/>
      <c r="J419" s="174"/>
      <c r="K419" s="174"/>
      <c r="L419" s="174"/>
      <c r="M419" s="174"/>
      <c r="N419" s="174"/>
      <c r="O419" s="174"/>
      <c r="P419" s="174"/>
      <c r="Q419" s="174"/>
      <c r="R419" s="174"/>
      <c r="S419" s="174"/>
      <c r="T419" s="174"/>
      <c r="U419" s="174"/>
      <c r="V419" s="174"/>
      <c r="W419" s="174"/>
      <c r="X419" s="174"/>
      <c r="Y419" s="174"/>
      <c r="Z419" s="174"/>
    </row>
    <row r="420" customFormat="false" ht="15.75" hidden="false" customHeight="false" outlineLevel="0" collapsed="false">
      <c r="A420" s="174"/>
      <c r="B420" s="174"/>
      <c r="C420" s="174"/>
      <c r="D420" s="174"/>
      <c r="E420" s="174"/>
      <c r="F420" s="174"/>
      <c r="G420" s="174"/>
      <c r="H420" s="174"/>
      <c r="I420" s="174"/>
      <c r="J420" s="174"/>
      <c r="K420" s="174"/>
      <c r="L420" s="174"/>
      <c r="M420" s="174"/>
      <c r="N420" s="174"/>
      <c r="O420" s="174"/>
      <c r="P420" s="174"/>
      <c r="Q420" s="174"/>
      <c r="R420" s="174"/>
      <c r="S420" s="174"/>
      <c r="T420" s="174"/>
      <c r="U420" s="174"/>
      <c r="V420" s="174"/>
      <c r="W420" s="174"/>
      <c r="X420" s="174"/>
      <c r="Y420" s="174"/>
      <c r="Z420" s="174"/>
    </row>
    <row r="421" customFormat="false" ht="15.75" hidden="false" customHeight="false" outlineLevel="0" collapsed="false">
      <c r="A421" s="174"/>
      <c r="B421" s="174"/>
      <c r="C421" s="174"/>
      <c r="D421" s="174"/>
      <c r="E421" s="174"/>
      <c r="F421" s="174"/>
      <c r="G421" s="174"/>
      <c r="H421" s="174"/>
      <c r="I421" s="174"/>
      <c r="J421" s="174"/>
      <c r="K421" s="174"/>
      <c r="L421" s="174"/>
      <c r="M421" s="174"/>
      <c r="N421" s="174"/>
      <c r="O421" s="174"/>
      <c r="P421" s="174"/>
      <c r="Q421" s="174"/>
      <c r="R421" s="174"/>
      <c r="S421" s="174"/>
      <c r="T421" s="174"/>
      <c r="U421" s="174"/>
      <c r="V421" s="174"/>
      <c r="W421" s="174"/>
      <c r="X421" s="174"/>
      <c r="Y421" s="174"/>
      <c r="Z421" s="174"/>
    </row>
    <row r="422" customFormat="false" ht="15.75" hidden="false" customHeight="false" outlineLevel="0" collapsed="false">
      <c r="A422" s="174"/>
      <c r="B422" s="174"/>
      <c r="C422" s="174"/>
      <c r="D422" s="174"/>
      <c r="E422" s="174"/>
      <c r="F422" s="174"/>
      <c r="G422" s="174"/>
      <c r="H422" s="174"/>
      <c r="I422" s="174"/>
      <c r="J422" s="174"/>
      <c r="K422" s="174"/>
      <c r="L422" s="174"/>
      <c r="M422" s="174"/>
      <c r="N422" s="174"/>
      <c r="O422" s="174"/>
      <c r="P422" s="174"/>
      <c r="Q422" s="174"/>
      <c r="R422" s="174"/>
      <c r="S422" s="174"/>
      <c r="T422" s="174"/>
      <c r="U422" s="174"/>
      <c r="V422" s="174"/>
      <c r="W422" s="174"/>
      <c r="X422" s="174"/>
      <c r="Y422" s="174"/>
      <c r="Z422" s="174"/>
    </row>
    <row r="423" customFormat="false" ht="15.75" hidden="false" customHeight="false" outlineLevel="0" collapsed="false">
      <c r="A423" s="174"/>
      <c r="B423" s="174"/>
      <c r="C423" s="174"/>
      <c r="D423" s="174"/>
      <c r="E423" s="174"/>
      <c r="F423" s="174"/>
      <c r="G423" s="174"/>
      <c r="H423" s="174"/>
      <c r="I423" s="174"/>
      <c r="J423" s="174"/>
      <c r="K423" s="174"/>
      <c r="L423" s="174"/>
      <c r="M423" s="174"/>
      <c r="N423" s="174"/>
      <c r="O423" s="174"/>
      <c r="P423" s="174"/>
      <c r="Q423" s="174"/>
      <c r="R423" s="174"/>
      <c r="S423" s="174"/>
      <c r="T423" s="174"/>
      <c r="U423" s="174"/>
      <c r="V423" s="174"/>
      <c r="W423" s="174"/>
      <c r="X423" s="174"/>
      <c r="Y423" s="174"/>
      <c r="Z423" s="174"/>
    </row>
    <row r="424" customFormat="false" ht="15.75" hidden="false" customHeight="false" outlineLevel="0" collapsed="false">
      <c r="A424" s="174"/>
      <c r="B424" s="174"/>
      <c r="C424" s="174"/>
      <c r="D424" s="174"/>
      <c r="E424" s="174"/>
      <c r="F424" s="174"/>
      <c r="G424" s="174"/>
      <c r="H424" s="174"/>
      <c r="I424" s="174"/>
      <c r="J424" s="174"/>
      <c r="K424" s="174"/>
      <c r="L424" s="174"/>
      <c r="M424" s="174"/>
      <c r="N424" s="174"/>
      <c r="O424" s="174"/>
      <c r="P424" s="174"/>
      <c r="Q424" s="174"/>
      <c r="R424" s="174"/>
      <c r="S424" s="174"/>
      <c r="T424" s="174"/>
      <c r="U424" s="174"/>
      <c r="V424" s="174"/>
      <c r="W424" s="174"/>
      <c r="X424" s="174"/>
      <c r="Y424" s="174"/>
      <c r="Z424" s="174"/>
    </row>
    <row r="425" customFormat="false" ht="15.75" hidden="false" customHeight="false" outlineLevel="0" collapsed="false">
      <c r="A425" s="174"/>
      <c r="B425" s="174"/>
      <c r="C425" s="174"/>
      <c r="D425" s="174"/>
      <c r="E425" s="174"/>
      <c r="F425" s="174"/>
      <c r="G425" s="174"/>
      <c r="H425" s="174"/>
      <c r="I425" s="174"/>
      <c r="J425" s="174"/>
      <c r="K425" s="174"/>
      <c r="L425" s="174"/>
      <c r="M425" s="174"/>
      <c r="N425" s="174"/>
      <c r="O425" s="174"/>
      <c r="P425" s="174"/>
      <c r="Q425" s="174"/>
      <c r="R425" s="174"/>
      <c r="S425" s="174"/>
      <c r="T425" s="174"/>
      <c r="U425" s="174"/>
      <c r="V425" s="174"/>
      <c r="W425" s="174"/>
      <c r="X425" s="174"/>
      <c r="Y425" s="174"/>
      <c r="Z425" s="174"/>
    </row>
    <row r="426" customFormat="false" ht="15.75" hidden="false" customHeight="false" outlineLevel="0" collapsed="false">
      <c r="A426" s="174"/>
      <c r="B426" s="174"/>
      <c r="C426" s="174"/>
      <c r="D426" s="174"/>
      <c r="E426" s="174"/>
      <c r="F426" s="174"/>
      <c r="G426" s="174"/>
      <c r="H426" s="174"/>
      <c r="I426" s="174"/>
      <c r="J426" s="174"/>
      <c r="K426" s="174"/>
      <c r="L426" s="174"/>
      <c r="M426" s="174"/>
      <c r="N426" s="174"/>
      <c r="O426" s="174"/>
      <c r="P426" s="174"/>
      <c r="Q426" s="174"/>
      <c r="R426" s="174"/>
      <c r="S426" s="174"/>
      <c r="T426" s="174"/>
      <c r="U426" s="174"/>
      <c r="V426" s="174"/>
      <c r="W426" s="174"/>
      <c r="X426" s="174"/>
      <c r="Y426" s="174"/>
      <c r="Z426" s="174"/>
    </row>
    <row r="427" customFormat="false" ht="15.75" hidden="false" customHeight="false" outlineLevel="0" collapsed="false">
      <c r="A427" s="174"/>
      <c r="B427" s="174"/>
      <c r="C427" s="174"/>
      <c r="D427" s="174"/>
      <c r="E427" s="174"/>
      <c r="F427" s="174"/>
      <c r="G427" s="174"/>
      <c r="H427" s="174"/>
      <c r="I427" s="174"/>
      <c r="J427" s="174"/>
      <c r="K427" s="174"/>
      <c r="L427" s="174"/>
      <c r="M427" s="174"/>
      <c r="N427" s="174"/>
      <c r="O427" s="174"/>
      <c r="P427" s="174"/>
      <c r="Q427" s="174"/>
      <c r="R427" s="174"/>
      <c r="S427" s="174"/>
      <c r="T427" s="174"/>
      <c r="U427" s="174"/>
      <c r="V427" s="174"/>
      <c r="W427" s="174"/>
      <c r="X427" s="174"/>
      <c r="Y427" s="174"/>
      <c r="Z427" s="174"/>
    </row>
    <row r="428" customFormat="false" ht="15.75" hidden="false" customHeight="false" outlineLevel="0" collapsed="false">
      <c r="A428" s="174"/>
      <c r="B428" s="174"/>
      <c r="C428" s="174"/>
      <c r="D428" s="174"/>
      <c r="E428" s="174"/>
      <c r="F428" s="174"/>
      <c r="G428" s="174"/>
      <c r="H428" s="174"/>
      <c r="I428" s="174"/>
      <c r="J428" s="174"/>
      <c r="K428" s="174"/>
      <c r="L428" s="174"/>
      <c r="M428" s="174"/>
      <c r="N428" s="174"/>
      <c r="O428" s="174"/>
      <c r="P428" s="174"/>
      <c r="Q428" s="174"/>
      <c r="R428" s="174"/>
      <c r="S428" s="174"/>
      <c r="T428" s="174"/>
      <c r="U428" s="174"/>
      <c r="V428" s="174"/>
      <c r="W428" s="174"/>
      <c r="X428" s="174"/>
      <c r="Y428" s="174"/>
      <c r="Z428" s="174"/>
    </row>
    <row r="429" customFormat="false" ht="15.75" hidden="false" customHeight="false" outlineLevel="0" collapsed="false">
      <c r="A429" s="174"/>
      <c r="B429" s="174"/>
      <c r="C429" s="174"/>
      <c r="D429" s="174"/>
      <c r="E429" s="174"/>
      <c r="F429" s="174"/>
      <c r="G429" s="174"/>
      <c r="H429" s="174"/>
      <c r="I429" s="174"/>
      <c r="J429" s="174"/>
      <c r="K429" s="174"/>
      <c r="L429" s="174"/>
      <c r="M429" s="174"/>
      <c r="N429" s="174"/>
      <c r="O429" s="174"/>
      <c r="P429" s="174"/>
      <c r="Q429" s="174"/>
      <c r="R429" s="174"/>
      <c r="S429" s="174"/>
      <c r="T429" s="174"/>
      <c r="U429" s="174"/>
      <c r="V429" s="174"/>
      <c r="W429" s="174"/>
      <c r="X429" s="174"/>
      <c r="Y429" s="174"/>
      <c r="Z429" s="174"/>
    </row>
    <row r="430" customFormat="false" ht="15.75" hidden="false" customHeight="false" outlineLevel="0" collapsed="false">
      <c r="A430" s="174"/>
      <c r="B430" s="174"/>
      <c r="C430" s="174"/>
      <c r="D430" s="174"/>
      <c r="E430" s="174"/>
      <c r="F430" s="174"/>
      <c r="G430" s="174"/>
      <c r="H430" s="174"/>
      <c r="I430" s="174"/>
      <c r="J430" s="174"/>
      <c r="K430" s="174"/>
      <c r="L430" s="174"/>
      <c r="M430" s="174"/>
      <c r="N430" s="174"/>
      <c r="O430" s="174"/>
      <c r="P430" s="174"/>
      <c r="Q430" s="174"/>
      <c r="R430" s="174"/>
      <c r="S430" s="174"/>
      <c r="T430" s="174"/>
      <c r="U430" s="174"/>
      <c r="V430" s="174"/>
      <c r="W430" s="174"/>
      <c r="X430" s="174"/>
      <c r="Y430" s="174"/>
      <c r="Z430" s="174"/>
    </row>
    <row r="431" customFormat="false" ht="15.75" hidden="false" customHeight="false" outlineLevel="0" collapsed="false">
      <c r="A431" s="174"/>
      <c r="B431" s="174"/>
      <c r="C431" s="174"/>
      <c r="D431" s="174"/>
      <c r="E431" s="174"/>
      <c r="F431" s="174"/>
      <c r="G431" s="174"/>
      <c r="H431" s="174"/>
      <c r="I431" s="174"/>
      <c r="J431" s="174"/>
      <c r="K431" s="174"/>
      <c r="L431" s="174"/>
      <c r="M431" s="174"/>
      <c r="N431" s="174"/>
      <c r="O431" s="174"/>
      <c r="P431" s="174"/>
      <c r="Q431" s="174"/>
      <c r="R431" s="174"/>
      <c r="S431" s="174"/>
      <c r="T431" s="174"/>
      <c r="U431" s="174"/>
      <c r="V431" s="174"/>
      <c r="W431" s="174"/>
      <c r="X431" s="174"/>
      <c r="Y431" s="174"/>
      <c r="Z431" s="174"/>
    </row>
    <row r="432" customFormat="false" ht="15.75" hidden="false" customHeight="false" outlineLevel="0" collapsed="false">
      <c r="A432" s="174"/>
      <c r="B432" s="174"/>
      <c r="C432" s="174"/>
      <c r="D432" s="174"/>
      <c r="E432" s="174"/>
      <c r="F432" s="174"/>
      <c r="G432" s="174"/>
      <c r="H432" s="174"/>
      <c r="I432" s="174"/>
      <c r="J432" s="174"/>
      <c r="K432" s="174"/>
      <c r="L432" s="174"/>
      <c r="M432" s="174"/>
      <c r="N432" s="174"/>
      <c r="O432" s="174"/>
      <c r="P432" s="174"/>
      <c r="Q432" s="174"/>
      <c r="R432" s="174"/>
      <c r="S432" s="174"/>
      <c r="T432" s="174"/>
      <c r="U432" s="174"/>
      <c r="V432" s="174"/>
      <c r="W432" s="174"/>
      <c r="X432" s="174"/>
      <c r="Y432" s="174"/>
      <c r="Z432" s="174"/>
    </row>
    <row r="433" customFormat="false" ht="15.75" hidden="false" customHeight="false" outlineLevel="0" collapsed="false">
      <c r="A433" s="174"/>
      <c r="B433" s="174"/>
      <c r="C433" s="174"/>
      <c r="D433" s="174"/>
      <c r="E433" s="174"/>
      <c r="F433" s="174"/>
      <c r="G433" s="174"/>
      <c r="H433" s="174"/>
      <c r="I433" s="174"/>
      <c r="J433" s="174"/>
      <c r="K433" s="174"/>
      <c r="L433" s="174"/>
      <c r="M433" s="174"/>
      <c r="N433" s="174"/>
      <c r="O433" s="174"/>
      <c r="P433" s="174"/>
      <c r="Q433" s="174"/>
      <c r="R433" s="174"/>
      <c r="S433" s="174"/>
      <c r="T433" s="174"/>
      <c r="U433" s="174"/>
      <c r="V433" s="174"/>
      <c r="W433" s="174"/>
      <c r="X433" s="174"/>
      <c r="Y433" s="174"/>
      <c r="Z433" s="174"/>
    </row>
    <row r="434" customFormat="false" ht="15.75" hidden="false" customHeight="false" outlineLevel="0" collapsed="false">
      <c r="A434" s="174"/>
      <c r="B434" s="174"/>
      <c r="C434" s="174"/>
      <c r="D434" s="174"/>
      <c r="E434" s="174"/>
      <c r="F434" s="174"/>
      <c r="G434" s="174"/>
      <c r="H434" s="174"/>
      <c r="I434" s="174"/>
      <c r="J434" s="174"/>
      <c r="K434" s="174"/>
      <c r="L434" s="174"/>
      <c r="M434" s="174"/>
      <c r="N434" s="174"/>
      <c r="O434" s="174"/>
      <c r="P434" s="174"/>
      <c r="Q434" s="174"/>
      <c r="R434" s="174"/>
      <c r="S434" s="174"/>
      <c r="T434" s="174"/>
      <c r="U434" s="174"/>
      <c r="V434" s="174"/>
      <c r="W434" s="174"/>
      <c r="X434" s="174"/>
      <c r="Y434" s="174"/>
      <c r="Z434" s="174"/>
    </row>
    <row r="435" customFormat="false" ht="15.75" hidden="false" customHeight="false" outlineLevel="0" collapsed="false">
      <c r="A435" s="174"/>
      <c r="B435" s="174"/>
      <c r="C435" s="174"/>
      <c r="D435" s="174"/>
      <c r="E435" s="174"/>
      <c r="F435" s="174"/>
      <c r="G435" s="174"/>
      <c r="H435" s="174"/>
      <c r="I435" s="174"/>
      <c r="J435" s="174"/>
      <c r="K435" s="174"/>
      <c r="L435" s="174"/>
      <c r="M435" s="174"/>
      <c r="N435" s="174"/>
      <c r="O435" s="174"/>
      <c r="P435" s="174"/>
      <c r="Q435" s="174"/>
      <c r="R435" s="174"/>
      <c r="S435" s="174"/>
      <c r="T435" s="174"/>
      <c r="U435" s="174"/>
      <c r="V435" s="174"/>
      <c r="W435" s="174"/>
      <c r="X435" s="174"/>
      <c r="Y435" s="174"/>
      <c r="Z435" s="174"/>
    </row>
    <row r="436" customFormat="false" ht="15.75" hidden="false" customHeight="false" outlineLevel="0" collapsed="false">
      <c r="A436" s="174"/>
      <c r="B436" s="174"/>
      <c r="C436" s="174"/>
      <c r="D436" s="174"/>
      <c r="E436" s="174"/>
      <c r="F436" s="174"/>
      <c r="G436" s="174"/>
      <c r="H436" s="174"/>
      <c r="I436" s="174"/>
      <c r="J436" s="174"/>
      <c r="K436" s="174"/>
      <c r="L436" s="174"/>
      <c r="M436" s="174"/>
      <c r="N436" s="174"/>
      <c r="O436" s="174"/>
      <c r="P436" s="174"/>
      <c r="Q436" s="174"/>
      <c r="R436" s="174"/>
      <c r="S436" s="174"/>
      <c r="T436" s="174"/>
      <c r="U436" s="174"/>
      <c r="V436" s="174"/>
      <c r="W436" s="174"/>
      <c r="X436" s="174"/>
      <c r="Y436" s="174"/>
      <c r="Z436" s="174"/>
    </row>
    <row r="437" customFormat="false" ht="15.75" hidden="false" customHeight="false" outlineLevel="0" collapsed="false">
      <c r="A437" s="174"/>
      <c r="B437" s="174"/>
      <c r="C437" s="174"/>
      <c r="D437" s="174"/>
      <c r="E437" s="174"/>
      <c r="F437" s="174"/>
      <c r="G437" s="174"/>
      <c r="H437" s="174"/>
      <c r="I437" s="174"/>
      <c r="J437" s="174"/>
      <c r="K437" s="174"/>
      <c r="L437" s="174"/>
      <c r="M437" s="174"/>
      <c r="N437" s="174"/>
      <c r="O437" s="174"/>
      <c r="P437" s="174"/>
      <c r="Q437" s="174"/>
      <c r="R437" s="174"/>
      <c r="S437" s="174"/>
      <c r="T437" s="174"/>
      <c r="U437" s="174"/>
      <c r="V437" s="174"/>
      <c r="W437" s="174"/>
      <c r="X437" s="174"/>
      <c r="Y437" s="174"/>
      <c r="Z437" s="174"/>
    </row>
    <row r="438" customFormat="false" ht="15.75" hidden="false" customHeight="false" outlineLevel="0" collapsed="false">
      <c r="A438" s="174"/>
      <c r="B438" s="174"/>
      <c r="C438" s="174"/>
      <c r="D438" s="174"/>
      <c r="E438" s="174"/>
      <c r="F438" s="174"/>
      <c r="G438" s="174"/>
      <c r="H438" s="174"/>
      <c r="I438" s="174"/>
      <c r="J438" s="174"/>
      <c r="K438" s="174"/>
      <c r="L438" s="174"/>
      <c r="M438" s="174"/>
      <c r="N438" s="174"/>
      <c r="O438" s="174"/>
      <c r="P438" s="174"/>
      <c r="Q438" s="174"/>
      <c r="R438" s="174"/>
      <c r="S438" s="174"/>
      <c r="T438" s="174"/>
      <c r="U438" s="174"/>
      <c r="V438" s="174"/>
      <c r="W438" s="174"/>
      <c r="X438" s="174"/>
      <c r="Y438" s="174"/>
      <c r="Z438" s="174"/>
    </row>
    <row r="439" customFormat="false" ht="15.75" hidden="false" customHeight="false" outlineLevel="0" collapsed="false">
      <c r="A439" s="174"/>
      <c r="B439" s="174"/>
      <c r="C439" s="174"/>
      <c r="D439" s="174"/>
      <c r="E439" s="174"/>
      <c r="F439" s="174"/>
      <c r="G439" s="174"/>
      <c r="H439" s="174"/>
      <c r="I439" s="174"/>
      <c r="J439" s="174"/>
      <c r="K439" s="174"/>
      <c r="L439" s="174"/>
      <c r="M439" s="174"/>
      <c r="N439" s="174"/>
      <c r="O439" s="174"/>
      <c r="P439" s="174"/>
      <c r="Q439" s="174"/>
      <c r="R439" s="174"/>
      <c r="S439" s="174"/>
      <c r="T439" s="174"/>
      <c r="U439" s="174"/>
      <c r="V439" s="174"/>
      <c r="W439" s="174"/>
      <c r="X439" s="174"/>
      <c r="Y439" s="174"/>
      <c r="Z439" s="174"/>
    </row>
    <row r="440" customFormat="false" ht="15.75" hidden="false" customHeight="false" outlineLevel="0" collapsed="false">
      <c r="A440" s="174"/>
      <c r="B440" s="174"/>
      <c r="C440" s="174"/>
      <c r="D440" s="174"/>
      <c r="E440" s="174"/>
      <c r="F440" s="174"/>
      <c r="G440" s="174"/>
      <c r="H440" s="174"/>
      <c r="I440" s="174"/>
      <c r="J440" s="174"/>
      <c r="K440" s="174"/>
      <c r="L440" s="174"/>
      <c r="M440" s="174"/>
      <c r="N440" s="174"/>
      <c r="O440" s="174"/>
      <c r="P440" s="174"/>
      <c r="Q440" s="174"/>
      <c r="R440" s="174"/>
      <c r="S440" s="174"/>
      <c r="T440" s="174"/>
      <c r="U440" s="174"/>
      <c r="V440" s="174"/>
      <c r="W440" s="174"/>
      <c r="X440" s="174"/>
      <c r="Y440" s="174"/>
      <c r="Z440" s="174"/>
    </row>
    <row r="441" customFormat="false" ht="15.75" hidden="false" customHeight="false" outlineLevel="0" collapsed="false">
      <c r="A441" s="174"/>
      <c r="B441" s="174"/>
      <c r="C441" s="174"/>
      <c r="D441" s="174"/>
      <c r="E441" s="174"/>
      <c r="F441" s="174"/>
      <c r="G441" s="174"/>
      <c r="H441" s="174"/>
      <c r="I441" s="174"/>
      <c r="J441" s="174"/>
      <c r="K441" s="174"/>
      <c r="L441" s="174"/>
      <c r="M441" s="174"/>
      <c r="N441" s="174"/>
      <c r="O441" s="174"/>
      <c r="P441" s="174"/>
      <c r="Q441" s="174"/>
      <c r="R441" s="174"/>
      <c r="S441" s="174"/>
      <c r="T441" s="174"/>
      <c r="U441" s="174"/>
      <c r="V441" s="174"/>
      <c r="W441" s="174"/>
      <c r="X441" s="174"/>
      <c r="Y441" s="174"/>
      <c r="Z441" s="174"/>
    </row>
    <row r="442" customFormat="false" ht="15.75" hidden="false" customHeight="false" outlineLevel="0" collapsed="false">
      <c r="A442" s="174"/>
      <c r="B442" s="174"/>
      <c r="C442" s="174"/>
      <c r="D442" s="174"/>
      <c r="E442" s="174"/>
      <c r="F442" s="174"/>
      <c r="G442" s="174"/>
      <c r="H442" s="174"/>
      <c r="I442" s="174"/>
      <c r="J442" s="174"/>
      <c r="K442" s="174"/>
      <c r="L442" s="174"/>
      <c r="M442" s="174"/>
      <c r="N442" s="174"/>
      <c r="O442" s="174"/>
      <c r="P442" s="174"/>
      <c r="Q442" s="174"/>
      <c r="R442" s="174"/>
      <c r="S442" s="174"/>
      <c r="T442" s="174"/>
      <c r="U442" s="174"/>
      <c r="V442" s="174"/>
      <c r="W442" s="174"/>
      <c r="X442" s="174"/>
      <c r="Y442" s="174"/>
      <c r="Z442" s="174"/>
    </row>
    <row r="443" customFormat="false" ht="15.75" hidden="false" customHeight="false" outlineLevel="0" collapsed="false">
      <c r="A443" s="174"/>
      <c r="B443" s="174"/>
      <c r="C443" s="174"/>
      <c r="D443" s="174"/>
      <c r="E443" s="174"/>
      <c r="F443" s="174"/>
      <c r="G443" s="174"/>
      <c r="H443" s="174"/>
      <c r="I443" s="174"/>
      <c r="J443" s="174"/>
      <c r="K443" s="174"/>
      <c r="L443" s="174"/>
      <c r="M443" s="174"/>
      <c r="N443" s="174"/>
      <c r="O443" s="174"/>
      <c r="P443" s="174"/>
      <c r="Q443" s="174"/>
      <c r="R443" s="174"/>
      <c r="S443" s="174"/>
      <c r="T443" s="174"/>
      <c r="U443" s="174"/>
      <c r="V443" s="174"/>
      <c r="W443" s="174"/>
      <c r="X443" s="174"/>
      <c r="Y443" s="174"/>
      <c r="Z443" s="174"/>
    </row>
    <row r="444" customFormat="false" ht="15.75" hidden="false" customHeight="false" outlineLevel="0" collapsed="false">
      <c r="A444" s="174"/>
      <c r="B444" s="174"/>
      <c r="C444" s="174"/>
      <c r="D444" s="174"/>
      <c r="E444" s="174"/>
      <c r="F444" s="174"/>
      <c r="G444" s="174"/>
      <c r="H444" s="174"/>
      <c r="I444" s="174"/>
      <c r="J444" s="174"/>
      <c r="K444" s="174"/>
      <c r="L444" s="174"/>
      <c r="M444" s="174"/>
      <c r="N444" s="174"/>
      <c r="O444" s="174"/>
      <c r="P444" s="174"/>
      <c r="Q444" s="174"/>
      <c r="R444" s="174"/>
      <c r="S444" s="174"/>
      <c r="T444" s="174"/>
      <c r="U444" s="174"/>
      <c r="V444" s="174"/>
      <c r="W444" s="174"/>
      <c r="X444" s="174"/>
      <c r="Y444" s="174"/>
      <c r="Z444" s="174"/>
    </row>
    <row r="445" customFormat="false" ht="15.75" hidden="false" customHeight="false" outlineLevel="0" collapsed="false">
      <c r="A445" s="174"/>
      <c r="B445" s="174"/>
      <c r="C445" s="174"/>
      <c r="D445" s="174"/>
      <c r="E445" s="174"/>
      <c r="F445" s="174"/>
      <c r="G445" s="174"/>
      <c r="H445" s="174"/>
      <c r="I445" s="174"/>
      <c r="J445" s="174"/>
      <c r="K445" s="174"/>
      <c r="L445" s="174"/>
      <c r="M445" s="174"/>
      <c r="N445" s="174"/>
      <c r="O445" s="174"/>
      <c r="P445" s="174"/>
      <c r="Q445" s="174"/>
      <c r="R445" s="174"/>
      <c r="S445" s="174"/>
      <c r="T445" s="174"/>
      <c r="U445" s="174"/>
      <c r="V445" s="174"/>
      <c r="W445" s="174"/>
      <c r="X445" s="174"/>
      <c r="Y445" s="174"/>
      <c r="Z445" s="174"/>
    </row>
    <row r="446" customFormat="false" ht="15.75" hidden="false" customHeight="false" outlineLevel="0" collapsed="false">
      <c r="A446" s="174"/>
      <c r="B446" s="174"/>
      <c r="C446" s="174"/>
      <c r="D446" s="174"/>
      <c r="E446" s="174"/>
      <c r="F446" s="174"/>
      <c r="G446" s="174"/>
      <c r="H446" s="174"/>
      <c r="I446" s="174"/>
      <c r="J446" s="174"/>
      <c r="K446" s="174"/>
      <c r="L446" s="174"/>
      <c r="M446" s="174"/>
      <c r="N446" s="174"/>
      <c r="O446" s="174"/>
      <c r="P446" s="174"/>
      <c r="Q446" s="174"/>
      <c r="R446" s="174"/>
      <c r="S446" s="174"/>
      <c r="T446" s="174"/>
      <c r="U446" s="174"/>
      <c r="V446" s="174"/>
      <c r="W446" s="174"/>
      <c r="X446" s="174"/>
      <c r="Y446" s="174"/>
      <c r="Z446" s="174"/>
    </row>
    <row r="447" customFormat="false" ht="15.75" hidden="false" customHeight="false" outlineLevel="0" collapsed="false">
      <c r="A447" s="174"/>
      <c r="B447" s="174"/>
      <c r="C447" s="174"/>
      <c r="D447" s="174"/>
      <c r="E447" s="174"/>
      <c r="F447" s="174"/>
      <c r="G447" s="174"/>
      <c r="H447" s="174"/>
      <c r="I447" s="174"/>
      <c r="J447" s="174"/>
      <c r="K447" s="174"/>
      <c r="L447" s="174"/>
      <c r="M447" s="174"/>
      <c r="N447" s="174"/>
      <c r="O447" s="174"/>
      <c r="P447" s="174"/>
      <c r="Q447" s="174"/>
      <c r="R447" s="174"/>
      <c r="S447" s="174"/>
      <c r="T447" s="174"/>
      <c r="U447" s="174"/>
      <c r="V447" s="174"/>
      <c r="W447" s="174"/>
      <c r="X447" s="174"/>
      <c r="Y447" s="174"/>
      <c r="Z447" s="174"/>
    </row>
    <row r="448" customFormat="false" ht="15.75" hidden="false" customHeight="false" outlineLevel="0" collapsed="false">
      <c r="A448" s="174"/>
      <c r="B448" s="174"/>
      <c r="C448" s="174"/>
      <c r="D448" s="174"/>
      <c r="E448" s="174"/>
      <c r="F448" s="174"/>
      <c r="G448" s="174"/>
      <c r="H448" s="174"/>
      <c r="I448" s="174"/>
      <c r="J448" s="174"/>
      <c r="K448" s="174"/>
      <c r="L448" s="174"/>
      <c r="M448" s="174"/>
      <c r="N448" s="174"/>
      <c r="O448" s="174"/>
      <c r="P448" s="174"/>
      <c r="Q448" s="174"/>
      <c r="R448" s="174"/>
      <c r="S448" s="174"/>
      <c r="T448" s="174"/>
      <c r="U448" s="174"/>
      <c r="V448" s="174"/>
      <c r="W448" s="174"/>
      <c r="X448" s="174"/>
      <c r="Y448" s="174"/>
      <c r="Z448" s="174"/>
    </row>
    <row r="449" customFormat="false" ht="15.75" hidden="false" customHeight="false" outlineLevel="0" collapsed="false">
      <c r="A449" s="174"/>
      <c r="B449" s="174"/>
      <c r="C449" s="174"/>
      <c r="D449" s="174"/>
      <c r="E449" s="174"/>
      <c r="F449" s="174"/>
      <c r="G449" s="174"/>
      <c r="H449" s="174"/>
      <c r="I449" s="174"/>
      <c r="J449" s="174"/>
      <c r="K449" s="174"/>
      <c r="L449" s="174"/>
      <c r="M449" s="174"/>
      <c r="N449" s="174"/>
      <c r="O449" s="174"/>
      <c r="P449" s="174"/>
      <c r="Q449" s="174"/>
      <c r="R449" s="174"/>
      <c r="S449" s="174"/>
      <c r="T449" s="174"/>
      <c r="U449" s="174"/>
      <c r="V449" s="174"/>
      <c r="W449" s="174"/>
      <c r="X449" s="174"/>
      <c r="Y449" s="174"/>
      <c r="Z449" s="174"/>
    </row>
    <row r="450" customFormat="false" ht="15.75" hidden="false" customHeight="false" outlineLevel="0" collapsed="false">
      <c r="A450" s="174"/>
      <c r="B450" s="174"/>
      <c r="C450" s="174"/>
      <c r="D450" s="174"/>
      <c r="E450" s="174"/>
      <c r="F450" s="174"/>
      <c r="G450" s="174"/>
      <c r="H450" s="174"/>
      <c r="I450" s="174"/>
      <c r="J450" s="174"/>
      <c r="K450" s="174"/>
      <c r="L450" s="174"/>
      <c r="M450" s="174"/>
      <c r="N450" s="174"/>
      <c r="O450" s="174"/>
      <c r="P450" s="174"/>
      <c r="Q450" s="174"/>
      <c r="R450" s="174"/>
      <c r="S450" s="174"/>
      <c r="T450" s="174"/>
      <c r="U450" s="174"/>
      <c r="V450" s="174"/>
      <c r="W450" s="174"/>
      <c r="X450" s="174"/>
      <c r="Y450" s="174"/>
      <c r="Z450" s="174"/>
    </row>
    <row r="451" customFormat="false" ht="15.75" hidden="false" customHeight="false" outlineLevel="0" collapsed="false">
      <c r="A451" s="174"/>
      <c r="B451" s="174"/>
      <c r="C451" s="174"/>
      <c r="D451" s="174"/>
      <c r="E451" s="174"/>
      <c r="F451" s="174"/>
      <c r="G451" s="174"/>
      <c r="H451" s="174"/>
      <c r="I451" s="174"/>
      <c r="J451" s="174"/>
      <c r="K451" s="174"/>
      <c r="L451" s="174"/>
      <c r="M451" s="174"/>
      <c r="N451" s="174"/>
      <c r="O451" s="174"/>
      <c r="P451" s="174"/>
      <c r="Q451" s="174"/>
      <c r="R451" s="174"/>
      <c r="S451" s="174"/>
      <c r="T451" s="174"/>
      <c r="U451" s="174"/>
      <c r="V451" s="174"/>
      <c r="W451" s="174"/>
      <c r="X451" s="174"/>
      <c r="Y451" s="174"/>
      <c r="Z451" s="174"/>
    </row>
    <row r="452" customFormat="false" ht="15.75" hidden="false" customHeight="false" outlineLevel="0" collapsed="false">
      <c r="A452" s="174"/>
      <c r="B452" s="174"/>
      <c r="C452" s="174"/>
      <c r="D452" s="174"/>
      <c r="E452" s="174"/>
      <c r="F452" s="174"/>
      <c r="G452" s="174"/>
      <c r="H452" s="174"/>
      <c r="I452" s="174"/>
      <c r="J452" s="174"/>
      <c r="K452" s="174"/>
      <c r="L452" s="174"/>
      <c r="M452" s="174"/>
      <c r="N452" s="174"/>
      <c r="O452" s="174"/>
      <c r="P452" s="174"/>
      <c r="Q452" s="174"/>
      <c r="R452" s="174"/>
      <c r="S452" s="174"/>
      <c r="T452" s="174"/>
      <c r="U452" s="174"/>
      <c r="V452" s="174"/>
      <c r="W452" s="174"/>
      <c r="X452" s="174"/>
      <c r="Y452" s="174"/>
      <c r="Z452" s="174"/>
    </row>
    <row r="453" customFormat="false" ht="15.75" hidden="false" customHeight="false" outlineLevel="0" collapsed="false">
      <c r="A453" s="174"/>
      <c r="B453" s="174"/>
      <c r="C453" s="174"/>
      <c r="D453" s="174"/>
      <c r="E453" s="174"/>
      <c r="F453" s="174"/>
      <c r="G453" s="174"/>
      <c r="H453" s="174"/>
      <c r="I453" s="174"/>
      <c r="J453" s="174"/>
      <c r="K453" s="174"/>
      <c r="L453" s="174"/>
      <c r="M453" s="174"/>
      <c r="N453" s="174"/>
      <c r="O453" s="174"/>
      <c r="P453" s="174"/>
      <c r="Q453" s="174"/>
      <c r="R453" s="174"/>
      <c r="S453" s="174"/>
      <c r="T453" s="174"/>
      <c r="U453" s="174"/>
      <c r="V453" s="174"/>
      <c r="W453" s="174"/>
      <c r="X453" s="174"/>
      <c r="Y453" s="174"/>
      <c r="Z453" s="174"/>
    </row>
    <row r="454" customFormat="false" ht="15.75" hidden="false" customHeight="false" outlineLevel="0" collapsed="false">
      <c r="A454" s="174"/>
      <c r="B454" s="174"/>
      <c r="C454" s="174"/>
      <c r="D454" s="174"/>
      <c r="E454" s="174"/>
      <c r="F454" s="174"/>
      <c r="G454" s="174"/>
      <c r="H454" s="174"/>
      <c r="I454" s="174"/>
      <c r="J454" s="174"/>
      <c r="K454" s="174"/>
      <c r="L454" s="174"/>
      <c r="M454" s="174"/>
      <c r="N454" s="174"/>
      <c r="O454" s="174"/>
      <c r="P454" s="174"/>
      <c r="Q454" s="174"/>
      <c r="R454" s="174"/>
      <c r="S454" s="174"/>
      <c r="T454" s="174"/>
      <c r="U454" s="174"/>
      <c r="V454" s="174"/>
      <c r="W454" s="174"/>
      <c r="X454" s="174"/>
      <c r="Y454" s="174"/>
      <c r="Z454" s="174"/>
    </row>
    <row r="455" customFormat="false" ht="15.75" hidden="false" customHeight="false" outlineLevel="0" collapsed="false">
      <c r="A455" s="174"/>
      <c r="B455" s="174"/>
      <c r="C455" s="174"/>
      <c r="D455" s="174"/>
      <c r="E455" s="174"/>
      <c r="F455" s="174"/>
      <c r="G455" s="174"/>
      <c r="H455" s="174"/>
      <c r="I455" s="174"/>
      <c r="J455" s="174"/>
      <c r="K455" s="174"/>
      <c r="L455" s="174"/>
      <c r="M455" s="174"/>
      <c r="N455" s="174"/>
      <c r="O455" s="174"/>
      <c r="P455" s="174"/>
      <c r="Q455" s="174"/>
      <c r="R455" s="174"/>
      <c r="S455" s="174"/>
      <c r="T455" s="174"/>
      <c r="U455" s="174"/>
      <c r="V455" s="174"/>
      <c r="W455" s="174"/>
      <c r="X455" s="174"/>
      <c r="Y455" s="174"/>
      <c r="Z455" s="174"/>
    </row>
    <row r="456" customFormat="false" ht="15.75" hidden="false" customHeight="false" outlineLevel="0" collapsed="false">
      <c r="A456" s="174"/>
      <c r="B456" s="174"/>
      <c r="C456" s="174"/>
      <c r="D456" s="174"/>
      <c r="E456" s="174"/>
      <c r="F456" s="174"/>
      <c r="G456" s="174"/>
      <c r="H456" s="174"/>
      <c r="I456" s="174"/>
      <c r="J456" s="174"/>
      <c r="K456" s="174"/>
      <c r="L456" s="174"/>
      <c r="M456" s="174"/>
      <c r="N456" s="174"/>
      <c r="O456" s="174"/>
      <c r="P456" s="174"/>
      <c r="Q456" s="174"/>
      <c r="R456" s="174"/>
      <c r="S456" s="174"/>
      <c r="T456" s="174"/>
      <c r="U456" s="174"/>
      <c r="V456" s="174"/>
      <c r="W456" s="174"/>
      <c r="X456" s="174"/>
      <c r="Y456" s="174"/>
      <c r="Z456" s="174"/>
    </row>
    <row r="457" customFormat="false" ht="15.75" hidden="false" customHeight="false" outlineLevel="0" collapsed="false">
      <c r="A457" s="174"/>
      <c r="B457" s="174"/>
      <c r="C457" s="174"/>
      <c r="D457" s="174"/>
      <c r="E457" s="174"/>
      <c r="F457" s="174"/>
      <c r="G457" s="174"/>
      <c r="H457" s="174"/>
      <c r="I457" s="174"/>
      <c r="J457" s="174"/>
      <c r="K457" s="174"/>
      <c r="L457" s="174"/>
      <c r="M457" s="174"/>
      <c r="N457" s="174"/>
      <c r="O457" s="174"/>
      <c r="P457" s="174"/>
      <c r="Q457" s="174"/>
      <c r="R457" s="174"/>
      <c r="S457" s="174"/>
      <c r="T457" s="174"/>
      <c r="U457" s="174"/>
      <c r="V457" s="174"/>
      <c r="W457" s="174"/>
      <c r="X457" s="174"/>
      <c r="Y457" s="174"/>
      <c r="Z457" s="174"/>
    </row>
    <row r="458" customFormat="false" ht="15.75" hidden="false" customHeight="false" outlineLevel="0" collapsed="false">
      <c r="A458" s="174"/>
      <c r="B458" s="174"/>
      <c r="C458" s="174"/>
      <c r="D458" s="174"/>
      <c r="E458" s="174"/>
      <c r="F458" s="174"/>
      <c r="G458" s="174"/>
      <c r="H458" s="174"/>
      <c r="I458" s="174"/>
      <c r="J458" s="174"/>
      <c r="K458" s="174"/>
      <c r="L458" s="174"/>
      <c r="M458" s="174"/>
      <c r="N458" s="174"/>
      <c r="O458" s="174"/>
      <c r="P458" s="174"/>
      <c r="Q458" s="174"/>
      <c r="R458" s="174"/>
      <c r="S458" s="174"/>
      <c r="T458" s="174"/>
      <c r="U458" s="174"/>
      <c r="V458" s="174"/>
      <c r="W458" s="174"/>
      <c r="X458" s="174"/>
      <c r="Y458" s="174"/>
      <c r="Z458" s="174"/>
    </row>
    <row r="459" customFormat="false" ht="15.75" hidden="false" customHeight="false" outlineLevel="0" collapsed="false">
      <c r="A459" s="174"/>
      <c r="B459" s="174"/>
      <c r="C459" s="174"/>
      <c r="D459" s="174"/>
      <c r="E459" s="174"/>
      <c r="F459" s="174"/>
      <c r="G459" s="174"/>
      <c r="H459" s="174"/>
      <c r="I459" s="174"/>
      <c r="J459" s="174"/>
      <c r="K459" s="174"/>
      <c r="L459" s="174"/>
      <c r="M459" s="174"/>
      <c r="N459" s="174"/>
      <c r="O459" s="174"/>
      <c r="P459" s="174"/>
      <c r="Q459" s="174"/>
      <c r="R459" s="174"/>
      <c r="S459" s="174"/>
      <c r="T459" s="174"/>
      <c r="U459" s="174"/>
      <c r="V459" s="174"/>
      <c r="W459" s="174"/>
      <c r="X459" s="174"/>
      <c r="Y459" s="174"/>
      <c r="Z459" s="174"/>
    </row>
    <row r="460" customFormat="false" ht="15.75" hidden="false" customHeight="false" outlineLevel="0" collapsed="false">
      <c r="A460" s="174"/>
      <c r="B460" s="174"/>
      <c r="C460" s="174"/>
      <c r="D460" s="174"/>
      <c r="E460" s="174"/>
      <c r="F460" s="174"/>
      <c r="G460" s="174"/>
      <c r="H460" s="174"/>
      <c r="I460" s="174"/>
      <c r="J460" s="174"/>
      <c r="K460" s="174"/>
      <c r="L460" s="174"/>
      <c r="M460" s="174"/>
      <c r="N460" s="174"/>
      <c r="O460" s="174"/>
      <c r="P460" s="174"/>
      <c r="Q460" s="174"/>
      <c r="R460" s="174"/>
      <c r="S460" s="174"/>
      <c r="T460" s="174"/>
      <c r="U460" s="174"/>
      <c r="V460" s="174"/>
      <c r="W460" s="174"/>
      <c r="X460" s="174"/>
      <c r="Y460" s="174"/>
      <c r="Z460" s="174"/>
    </row>
    <row r="461" customFormat="false" ht="15.75" hidden="false" customHeight="false" outlineLevel="0" collapsed="false">
      <c r="A461" s="174"/>
      <c r="B461" s="174"/>
      <c r="C461" s="174"/>
      <c r="D461" s="174"/>
      <c r="E461" s="174"/>
      <c r="F461" s="174"/>
      <c r="G461" s="174"/>
      <c r="H461" s="174"/>
      <c r="I461" s="174"/>
      <c r="J461" s="174"/>
      <c r="K461" s="174"/>
      <c r="L461" s="174"/>
      <c r="M461" s="174"/>
      <c r="N461" s="174"/>
      <c r="O461" s="174"/>
      <c r="P461" s="174"/>
      <c r="Q461" s="174"/>
      <c r="R461" s="174"/>
      <c r="S461" s="174"/>
      <c r="T461" s="174"/>
      <c r="U461" s="174"/>
      <c r="V461" s="174"/>
      <c r="W461" s="174"/>
      <c r="X461" s="174"/>
      <c r="Y461" s="174"/>
      <c r="Z461" s="174"/>
    </row>
    <row r="462" customFormat="false" ht="15.75" hidden="false" customHeight="false" outlineLevel="0" collapsed="false">
      <c r="A462" s="174"/>
      <c r="B462" s="174"/>
      <c r="C462" s="174"/>
      <c r="D462" s="174"/>
      <c r="E462" s="174"/>
      <c r="F462" s="174"/>
      <c r="G462" s="174"/>
      <c r="H462" s="174"/>
      <c r="I462" s="174"/>
      <c r="J462" s="174"/>
      <c r="K462" s="174"/>
      <c r="L462" s="174"/>
      <c r="M462" s="174"/>
      <c r="N462" s="174"/>
      <c r="O462" s="174"/>
      <c r="P462" s="174"/>
      <c r="Q462" s="174"/>
      <c r="R462" s="174"/>
      <c r="S462" s="174"/>
      <c r="T462" s="174"/>
      <c r="U462" s="174"/>
      <c r="V462" s="174"/>
      <c r="W462" s="174"/>
      <c r="X462" s="174"/>
      <c r="Y462" s="174"/>
      <c r="Z462" s="174"/>
    </row>
    <row r="463" customFormat="false" ht="15.75" hidden="false" customHeight="false" outlineLevel="0" collapsed="false">
      <c r="A463" s="174"/>
      <c r="B463" s="174"/>
      <c r="C463" s="174"/>
      <c r="D463" s="174"/>
      <c r="E463" s="174"/>
      <c r="F463" s="174"/>
      <c r="G463" s="174"/>
      <c r="H463" s="174"/>
      <c r="I463" s="174"/>
      <c r="J463" s="174"/>
      <c r="K463" s="174"/>
      <c r="L463" s="174"/>
      <c r="M463" s="174"/>
      <c r="N463" s="174"/>
      <c r="O463" s="174"/>
      <c r="P463" s="174"/>
      <c r="Q463" s="174"/>
      <c r="R463" s="174"/>
      <c r="S463" s="174"/>
      <c r="T463" s="174"/>
      <c r="U463" s="174"/>
      <c r="V463" s="174"/>
      <c r="W463" s="174"/>
      <c r="X463" s="174"/>
      <c r="Y463" s="174"/>
      <c r="Z463" s="174"/>
    </row>
    <row r="464" customFormat="false" ht="15.75" hidden="false" customHeight="false" outlineLevel="0" collapsed="false">
      <c r="A464" s="174"/>
      <c r="B464" s="174"/>
      <c r="C464" s="174"/>
      <c r="D464" s="174"/>
      <c r="E464" s="174"/>
      <c r="F464" s="174"/>
      <c r="G464" s="174"/>
      <c r="H464" s="174"/>
      <c r="I464" s="174"/>
      <c r="J464" s="174"/>
      <c r="K464" s="174"/>
      <c r="L464" s="174"/>
      <c r="M464" s="174"/>
      <c r="N464" s="174"/>
      <c r="O464" s="174"/>
      <c r="P464" s="174"/>
      <c r="Q464" s="174"/>
      <c r="R464" s="174"/>
      <c r="S464" s="174"/>
      <c r="T464" s="174"/>
      <c r="U464" s="174"/>
      <c r="V464" s="174"/>
      <c r="W464" s="174"/>
      <c r="X464" s="174"/>
      <c r="Y464" s="174"/>
      <c r="Z464" s="174"/>
    </row>
    <row r="465" customFormat="false" ht="15.75" hidden="false" customHeight="false" outlineLevel="0" collapsed="false">
      <c r="A465" s="174"/>
      <c r="B465" s="174"/>
      <c r="C465" s="174"/>
      <c r="D465" s="174"/>
      <c r="E465" s="174"/>
      <c r="F465" s="174"/>
      <c r="G465" s="174"/>
      <c r="H465" s="174"/>
      <c r="I465" s="174"/>
      <c r="J465" s="174"/>
      <c r="K465" s="174"/>
      <c r="L465" s="174"/>
      <c r="M465" s="174"/>
      <c r="N465" s="174"/>
      <c r="O465" s="174"/>
      <c r="P465" s="174"/>
      <c r="Q465" s="174"/>
      <c r="R465" s="174"/>
      <c r="S465" s="174"/>
      <c r="T465" s="174"/>
      <c r="U465" s="174"/>
      <c r="V465" s="174"/>
      <c r="W465" s="174"/>
      <c r="X465" s="174"/>
      <c r="Y465" s="174"/>
      <c r="Z465" s="174"/>
    </row>
    <row r="466" customFormat="false" ht="15.75" hidden="false" customHeight="false" outlineLevel="0" collapsed="false">
      <c r="A466" s="174"/>
      <c r="B466" s="174"/>
      <c r="C466" s="174"/>
      <c r="D466" s="174"/>
      <c r="E466" s="174"/>
      <c r="F466" s="174"/>
      <c r="G466" s="174"/>
      <c r="H466" s="174"/>
      <c r="I466" s="174"/>
      <c r="J466" s="174"/>
      <c r="K466" s="174"/>
      <c r="L466" s="174"/>
      <c r="M466" s="174"/>
      <c r="N466" s="174"/>
      <c r="O466" s="174"/>
      <c r="P466" s="174"/>
      <c r="Q466" s="174"/>
      <c r="R466" s="174"/>
      <c r="S466" s="174"/>
      <c r="T466" s="174"/>
      <c r="U466" s="174"/>
      <c r="V466" s="174"/>
      <c r="W466" s="174"/>
      <c r="X466" s="174"/>
      <c r="Y466" s="174"/>
      <c r="Z466" s="174"/>
    </row>
    <row r="467" customFormat="false" ht="15.75" hidden="false" customHeight="false" outlineLevel="0" collapsed="false">
      <c r="A467" s="174"/>
      <c r="B467" s="174"/>
      <c r="C467" s="174"/>
      <c r="D467" s="174"/>
      <c r="E467" s="174"/>
      <c r="F467" s="174"/>
      <c r="G467" s="174"/>
      <c r="H467" s="174"/>
      <c r="I467" s="174"/>
      <c r="J467" s="174"/>
      <c r="K467" s="174"/>
      <c r="L467" s="174"/>
      <c r="M467" s="174"/>
      <c r="N467" s="174"/>
      <c r="O467" s="174"/>
      <c r="P467" s="174"/>
      <c r="Q467" s="174"/>
      <c r="R467" s="174"/>
      <c r="S467" s="174"/>
      <c r="T467" s="174"/>
      <c r="U467" s="174"/>
      <c r="V467" s="174"/>
      <c r="W467" s="174"/>
      <c r="X467" s="174"/>
      <c r="Y467" s="174"/>
      <c r="Z467" s="174"/>
    </row>
    <row r="468" customFormat="false" ht="15.75" hidden="false" customHeight="false" outlineLevel="0" collapsed="false">
      <c r="A468" s="174"/>
      <c r="B468" s="174"/>
      <c r="C468" s="174"/>
      <c r="D468" s="174"/>
      <c r="E468" s="174"/>
      <c r="F468" s="174"/>
      <c r="G468" s="174"/>
      <c r="H468" s="174"/>
      <c r="I468" s="174"/>
      <c r="J468" s="174"/>
      <c r="K468" s="174"/>
      <c r="L468" s="174"/>
      <c r="M468" s="174"/>
      <c r="N468" s="174"/>
      <c r="O468" s="174"/>
      <c r="P468" s="174"/>
      <c r="Q468" s="174"/>
      <c r="R468" s="174"/>
      <c r="S468" s="174"/>
      <c r="T468" s="174"/>
      <c r="U468" s="174"/>
      <c r="V468" s="174"/>
      <c r="W468" s="174"/>
      <c r="X468" s="174"/>
      <c r="Y468" s="174"/>
      <c r="Z468" s="174"/>
    </row>
    <row r="469" customFormat="false" ht="15.75" hidden="false" customHeight="false" outlineLevel="0" collapsed="false">
      <c r="A469" s="174"/>
      <c r="B469" s="174"/>
      <c r="C469" s="174"/>
      <c r="D469" s="174"/>
      <c r="E469" s="174"/>
      <c r="F469" s="174"/>
      <c r="G469" s="174"/>
      <c r="H469" s="174"/>
      <c r="I469" s="174"/>
      <c r="J469" s="174"/>
      <c r="K469" s="174"/>
      <c r="L469" s="174"/>
      <c r="M469" s="174"/>
      <c r="N469" s="174"/>
      <c r="O469" s="174"/>
      <c r="P469" s="174"/>
      <c r="Q469" s="174"/>
      <c r="R469" s="174"/>
      <c r="S469" s="174"/>
      <c r="T469" s="174"/>
      <c r="U469" s="174"/>
      <c r="V469" s="174"/>
      <c r="W469" s="174"/>
      <c r="X469" s="174"/>
      <c r="Y469" s="174"/>
      <c r="Z469" s="174"/>
    </row>
    <row r="470" customFormat="false" ht="15.75" hidden="false" customHeight="false" outlineLevel="0" collapsed="false">
      <c r="A470" s="174"/>
      <c r="B470" s="174"/>
      <c r="C470" s="174"/>
      <c r="D470" s="174"/>
      <c r="E470" s="174"/>
      <c r="F470" s="174"/>
      <c r="G470" s="174"/>
      <c r="H470" s="174"/>
      <c r="I470" s="174"/>
      <c r="J470" s="174"/>
      <c r="K470" s="174"/>
      <c r="L470" s="174"/>
      <c r="M470" s="174"/>
      <c r="N470" s="174"/>
      <c r="O470" s="174"/>
      <c r="P470" s="174"/>
      <c r="Q470" s="174"/>
      <c r="R470" s="174"/>
      <c r="S470" s="174"/>
      <c r="T470" s="174"/>
      <c r="U470" s="174"/>
      <c r="V470" s="174"/>
      <c r="W470" s="174"/>
      <c r="X470" s="174"/>
      <c r="Y470" s="174"/>
      <c r="Z470" s="174"/>
    </row>
    <row r="471" customFormat="false" ht="15.75" hidden="false" customHeight="false" outlineLevel="0" collapsed="false">
      <c r="A471" s="174"/>
      <c r="B471" s="174"/>
      <c r="C471" s="174"/>
      <c r="D471" s="174"/>
      <c r="E471" s="174"/>
      <c r="F471" s="174"/>
      <c r="G471" s="174"/>
      <c r="H471" s="174"/>
      <c r="I471" s="174"/>
      <c r="J471" s="174"/>
      <c r="K471" s="174"/>
      <c r="L471" s="174"/>
      <c r="M471" s="174"/>
      <c r="N471" s="174"/>
      <c r="O471" s="174"/>
      <c r="P471" s="174"/>
      <c r="Q471" s="174"/>
      <c r="R471" s="174"/>
      <c r="S471" s="174"/>
      <c r="T471" s="174"/>
      <c r="U471" s="174"/>
      <c r="V471" s="174"/>
      <c r="W471" s="174"/>
      <c r="X471" s="174"/>
      <c r="Y471" s="174"/>
      <c r="Z471" s="174"/>
    </row>
    <row r="472" customFormat="false" ht="15.75" hidden="false" customHeight="false" outlineLevel="0" collapsed="false">
      <c r="A472" s="174"/>
      <c r="B472" s="174"/>
      <c r="C472" s="174"/>
      <c r="D472" s="174"/>
      <c r="E472" s="174"/>
      <c r="F472" s="174"/>
      <c r="G472" s="174"/>
      <c r="H472" s="174"/>
      <c r="I472" s="174"/>
      <c r="J472" s="174"/>
      <c r="K472" s="174"/>
      <c r="L472" s="174"/>
      <c r="M472" s="174"/>
      <c r="N472" s="174"/>
      <c r="O472" s="174"/>
      <c r="P472" s="174"/>
      <c r="Q472" s="174"/>
      <c r="R472" s="174"/>
      <c r="S472" s="174"/>
      <c r="T472" s="174"/>
      <c r="U472" s="174"/>
      <c r="V472" s="174"/>
      <c r="W472" s="174"/>
      <c r="X472" s="174"/>
      <c r="Y472" s="174"/>
      <c r="Z472" s="174"/>
    </row>
    <row r="473" customFormat="false" ht="15.75" hidden="false" customHeight="false" outlineLevel="0" collapsed="false">
      <c r="A473" s="174"/>
      <c r="B473" s="174"/>
      <c r="C473" s="174"/>
      <c r="D473" s="174"/>
      <c r="E473" s="174"/>
      <c r="F473" s="174"/>
      <c r="G473" s="174"/>
      <c r="H473" s="174"/>
      <c r="I473" s="174"/>
      <c r="J473" s="174"/>
      <c r="K473" s="174"/>
      <c r="L473" s="174"/>
      <c r="M473" s="174"/>
      <c r="N473" s="174"/>
      <c r="O473" s="174"/>
      <c r="P473" s="174"/>
      <c r="Q473" s="174"/>
      <c r="R473" s="174"/>
      <c r="S473" s="174"/>
      <c r="T473" s="174"/>
      <c r="U473" s="174"/>
      <c r="V473" s="174"/>
      <c r="W473" s="174"/>
      <c r="X473" s="174"/>
      <c r="Y473" s="174"/>
      <c r="Z473" s="174"/>
    </row>
    <row r="474" customFormat="false" ht="15.75" hidden="false" customHeight="false" outlineLevel="0" collapsed="false">
      <c r="A474" s="174"/>
      <c r="B474" s="174"/>
      <c r="C474" s="174"/>
      <c r="D474" s="174"/>
      <c r="E474" s="174"/>
      <c r="F474" s="174"/>
      <c r="G474" s="174"/>
      <c r="H474" s="174"/>
      <c r="I474" s="174"/>
      <c r="J474" s="174"/>
      <c r="K474" s="174"/>
      <c r="L474" s="174"/>
      <c r="M474" s="174"/>
      <c r="N474" s="174"/>
      <c r="O474" s="174"/>
      <c r="P474" s="174"/>
      <c r="Q474" s="174"/>
      <c r="R474" s="174"/>
      <c r="S474" s="174"/>
      <c r="T474" s="174"/>
      <c r="U474" s="174"/>
      <c r="V474" s="174"/>
      <c r="W474" s="174"/>
      <c r="X474" s="174"/>
      <c r="Y474" s="174"/>
      <c r="Z474" s="174"/>
    </row>
    <row r="475" customFormat="false" ht="15.75" hidden="false" customHeight="false" outlineLevel="0" collapsed="false">
      <c r="A475" s="174"/>
      <c r="B475" s="174"/>
      <c r="C475" s="174"/>
      <c r="D475" s="174"/>
      <c r="E475" s="174"/>
      <c r="F475" s="174"/>
      <c r="G475" s="174"/>
      <c r="H475" s="174"/>
      <c r="I475" s="174"/>
      <c r="J475" s="174"/>
      <c r="K475" s="174"/>
      <c r="L475" s="174"/>
      <c r="M475" s="174"/>
      <c r="N475" s="174"/>
      <c r="O475" s="174"/>
      <c r="P475" s="174"/>
      <c r="Q475" s="174"/>
      <c r="R475" s="174"/>
      <c r="S475" s="174"/>
      <c r="T475" s="174"/>
      <c r="U475" s="174"/>
      <c r="V475" s="174"/>
      <c r="W475" s="174"/>
      <c r="X475" s="174"/>
      <c r="Y475" s="174"/>
      <c r="Z475" s="174"/>
    </row>
    <row r="476" customFormat="false" ht="15.75" hidden="false" customHeight="false" outlineLevel="0" collapsed="false">
      <c r="A476" s="174"/>
      <c r="B476" s="174"/>
      <c r="C476" s="174"/>
      <c r="D476" s="174"/>
      <c r="E476" s="174"/>
      <c r="F476" s="174"/>
      <c r="G476" s="174"/>
      <c r="H476" s="174"/>
      <c r="I476" s="174"/>
      <c r="J476" s="174"/>
      <c r="K476" s="174"/>
      <c r="L476" s="174"/>
      <c r="M476" s="174"/>
      <c r="N476" s="174"/>
      <c r="O476" s="174"/>
      <c r="P476" s="174"/>
      <c r="Q476" s="174"/>
      <c r="R476" s="174"/>
      <c r="S476" s="174"/>
      <c r="T476" s="174"/>
      <c r="U476" s="174"/>
      <c r="V476" s="174"/>
      <c r="W476" s="174"/>
      <c r="X476" s="174"/>
      <c r="Y476" s="174"/>
      <c r="Z476" s="174"/>
    </row>
    <row r="477" customFormat="false" ht="15.75" hidden="false" customHeight="false" outlineLevel="0" collapsed="false">
      <c r="A477" s="174"/>
      <c r="B477" s="174"/>
      <c r="C477" s="174"/>
      <c r="D477" s="174"/>
      <c r="E477" s="174"/>
      <c r="F477" s="174"/>
      <c r="G477" s="174"/>
      <c r="H477" s="174"/>
      <c r="I477" s="174"/>
      <c r="J477" s="174"/>
      <c r="K477" s="174"/>
      <c r="L477" s="174"/>
      <c r="M477" s="174"/>
      <c r="N477" s="174"/>
      <c r="O477" s="174"/>
      <c r="P477" s="174"/>
      <c r="Q477" s="174"/>
      <c r="R477" s="174"/>
      <c r="S477" s="174"/>
      <c r="T477" s="174"/>
      <c r="U477" s="174"/>
      <c r="V477" s="174"/>
      <c r="W477" s="174"/>
      <c r="X477" s="174"/>
      <c r="Y477" s="174"/>
      <c r="Z477" s="174"/>
    </row>
    <row r="478" customFormat="false" ht="15.75" hidden="false" customHeight="false" outlineLevel="0" collapsed="false">
      <c r="A478" s="174"/>
      <c r="B478" s="174"/>
      <c r="C478" s="174"/>
      <c r="D478" s="174"/>
      <c r="E478" s="174"/>
      <c r="F478" s="174"/>
      <c r="G478" s="174"/>
      <c r="H478" s="174"/>
      <c r="I478" s="174"/>
      <c r="J478" s="174"/>
      <c r="K478" s="174"/>
      <c r="L478" s="174"/>
      <c r="M478" s="174"/>
      <c r="N478" s="174"/>
      <c r="O478" s="174"/>
      <c r="P478" s="174"/>
      <c r="Q478" s="174"/>
      <c r="R478" s="174"/>
      <c r="S478" s="174"/>
      <c r="T478" s="174"/>
      <c r="U478" s="174"/>
      <c r="V478" s="174"/>
      <c r="W478" s="174"/>
      <c r="X478" s="174"/>
      <c r="Y478" s="174"/>
      <c r="Z478" s="174"/>
    </row>
    <row r="479" customFormat="false" ht="15.75" hidden="false" customHeight="false" outlineLevel="0" collapsed="false">
      <c r="A479" s="174"/>
      <c r="B479" s="174"/>
      <c r="C479" s="174"/>
      <c r="D479" s="174"/>
      <c r="E479" s="174"/>
      <c r="F479" s="174"/>
      <c r="G479" s="174"/>
      <c r="H479" s="174"/>
      <c r="I479" s="174"/>
      <c r="J479" s="174"/>
      <c r="K479" s="174"/>
      <c r="L479" s="174"/>
      <c r="M479" s="174"/>
      <c r="N479" s="174"/>
      <c r="O479" s="174"/>
      <c r="P479" s="174"/>
      <c r="Q479" s="174"/>
      <c r="R479" s="174"/>
      <c r="S479" s="174"/>
      <c r="T479" s="174"/>
      <c r="U479" s="174"/>
      <c r="V479" s="174"/>
      <c r="W479" s="174"/>
      <c r="X479" s="174"/>
      <c r="Y479" s="174"/>
      <c r="Z479" s="174"/>
    </row>
    <row r="480" customFormat="false" ht="15.75" hidden="false" customHeight="false" outlineLevel="0" collapsed="false">
      <c r="A480" s="174"/>
      <c r="B480" s="174"/>
      <c r="C480" s="174"/>
      <c r="D480" s="174"/>
      <c r="E480" s="174"/>
      <c r="F480" s="174"/>
      <c r="G480" s="174"/>
      <c r="H480" s="174"/>
      <c r="I480" s="174"/>
      <c r="J480" s="174"/>
      <c r="K480" s="174"/>
      <c r="L480" s="174"/>
      <c r="M480" s="174"/>
      <c r="N480" s="174"/>
      <c r="O480" s="174"/>
      <c r="P480" s="174"/>
      <c r="Q480" s="174"/>
      <c r="R480" s="174"/>
      <c r="S480" s="174"/>
      <c r="T480" s="174"/>
      <c r="U480" s="174"/>
      <c r="V480" s="174"/>
      <c r="W480" s="174"/>
      <c r="X480" s="174"/>
      <c r="Y480" s="174"/>
      <c r="Z480" s="174"/>
    </row>
    <row r="481" customFormat="false" ht="15.75" hidden="false" customHeight="false" outlineLevel="0" collapsed="false">
      <c r="A481" s="174"/>
      <c r="B481" s="174"/>
      <c r="C481" s="174"/>
      <c r="D481" s="174"/>
      <c r="E481" s="174"/>
      <c r="F481" s="174"/>
      <c r="G481" s="174"/>
      <c r="H481" s="174"/>
      <c r="I481" s="174"/>
      <c r="J481" s="174"/>
      <c r="K481" s="174"/>
      <c r="L481" s="174"/>
      <c r="M481" s="174"/>
      <c r="N481" s="174"/>
      <c r="O481" s="174"/>
      <c r="P481" s="174"/>
      <c r="Q481" s="174"/>
      <c r="R481" s="174"/>
      <c r="S481" s="174"/>
      <c r="T481" s="174"/>
      <c r="U481" s="174"/>
      <c r="V481" s="174"/>
      <c r="W481" s="174"/>
      <c r="X481" s="174"/>
      <c r="Y481" s="174"/>
      <c r="Z481" s="174"/>
    </row>
    <row r="482" customFormat="false" ht="15.75" hidden="false" customHeight="false" outlineLevel="0" collapsed="false">
      <c r="A482" s="174"/>
      <c r="B482" s="174"/>
      <c r="C482" s="174"/>
      <c r="D482" s="174"/>
      <c r="E482" s="174"/>
      <c r="F482" s="174"/>
      <c r="G482" s="174"/>
      <c r="H482" s="174"/>
      <c r="I482" s="174"/>
      <c r="J482" s="174"/>
      <c r="K482" s="174"/>
      <c r="L482" s="174"/>
      <c r="M482" s="174"/>
      <c r="N482" s="174"/>
      <c r="O482" s="174"/>
      <c r="P482" s="174"/>
      <c r="Q482" s="174"/>
      <c r="R482" s="174"/>
      <c r="S482" s="174"/>
      <c r="T482" s="174"/>
      <c r="U482" s="174"/>
      <c r="V482" s="174"/>
      <c r="W482" s="174"/>
      <c r="X482" s="174"/>
      <c r="Y482" s="174"/>
      <c r="Z482" s="174"/>
    </row>
    <row r="483" customFormat="false" ht="15.75" hidden="false" customHeight="false" outlineLevel="0" collapsed="false">
      <c r="A483" s="174"/>
      <c r="B483" s="174"/>
      <c r="C483" s="174"/>
      <c r="D483" s="174"/>
      <c r="E483" s="174"/>
      <c r="F483" s="174"/>
      <c r="G483" s="174"/>
      <c r="H483" s="174"/>
      <c r="I483" s="174"/>
      <c r="J483" s="174"/>
      <c r="K483" s="174"/>
      <c r="L483" s="174"/>
      <c r="M483" s="174"/>
      <c r="N483" s="174"/>
      <c r="O483" s="174"/>
      <c r="P483" s="174"/>
      <c r="Q483" s="174"/>
      <c r="R483" s="174"/>
      <c r="S483" s="174"/>
      <c r="T483" s="174"/>
      <c r="U483" s="174"/>
      <c r="V483" s="174"/>
      <c r="W483" s="174"/>
      <c r="X483" s="174"/>
      <c r="Y483" s="174"/>
      <c r="Z483" s="174"/>
    </row>
    <row r="484" customFormat="false" ht="15.75" hidden="false" customHeight="false" outlineLevel="0" collapsed="false">
      <c r="A484" s="174"/>
      <c r="B484" s="174"/>
      <c r="C484" s="174"/>
      <c r="D484" s="174"/>
      <c r="E484" s="174"/>
      <c r="F484" s="174"/>
      <c r="G484" s="174"/>
      <c r="H484" s="174"/>
      <c r="I484" s="174"/>
      <c r="J484" s="174"/>
      <c r="K484" s="174"/>
      <c r="L484" s="174"/>
      <c r="M484" s="174"/>
      <c r="N484" s="174"/>
      <c r="O484" s="174"/>
      <c r="P484" s="174"/>
      <c r="Q484" s="174"/>
      <c r="R484" s="174"/>
      <c r="S484" s="174"/>
      <c r="T484" s="174"/>
      <c r="U484" s="174"/>
      <c r="V484" s="174"/>
      <c r="W484" s="174"/>
      <c r="X484" s="174"/>
      <c r="Y484" s="174"/>
      <c r="Z484" s="174"/>
    </row>
    <row r="485" customFormat="false" ht="15.75" hidden="false" customHeight="false" outlineLevel="0" collapsed="false">
      <c r="A485" s="174"/>
      <c r="B485" s="174"/>
      <c r="C485" s="174"/>
      <c r="D485" s="174"/>
      <c r="E485" s="174"/>
      <c r="F485" s="174"/>
      <c r="G485" s="174"/>
      <c r="H485" s="174"/>
      <c r="I485" s="174"/>
      <c r="J485" s="174"/>
      <c r="K485" s="174"/>
      <c r="L485" s="174"/>
      <c r="M485" s="174"/>
      <c r="N485" s="174"/>
      <c r="O485" s="174"/>
      <c r="P485" s="174"/>
      <c r="Q485" s="174"/>
      <c r="R485" s="174"/>
      <c r="S485" s="174"/>
      <c r="T485" s="174"/>
      <c r="U485" s="174"/>
      <c r="V485" s="174"/>
      <c r="W485" s="174"/>
      <c r="X485" s="174"/>
      <c r="Y485" s="174"/>
      <c r="Z485" s="174"/>
    </row>
    <row r="486" customFormat="false" ht="15.75" hidden="false" customHeight="false" outlineLevel="0" collapsed="false">
      <c r="A486" s="174"/>
      <c r="B486" s="174"/>
      <c r="C486" s="174"/>
      <c r="D486" s="174"/>
      <c r="E486" s="174"/>
      <c r="F486" s="174"/>
      <c r="G486" s="174"/>
      <c r="H486" s="174"/>
      <c r="I486" s="174"/>
      <c r="J486" s="174"/>
      <c r="K486" s="174"/>
      <c r="L486" s="174"/>
      <c r="M486" s="174"/>
      <c r="N486" s="174"/>
      <c r="O486" s="174"/>
      <c r="P486" s="174"/>
      <c r="Q486" s="174"/>
      <c r="R486" s="174"/>
      <c r="S486" s="174"/>
      <c r="T486" s="174"/>
      <c r="U486" s="174"/>
      <c r="V486" s="174"/>
      <c r="W486" s="174"/>
      <c r="X486" s="174"/>
      <c r="Y486" s="174"/>
      <c r="Z486" s="174"/>
    </row>
    <row r="487" customFormat="false" ht="15.75" hidden="false" customHeight="false" outlineLevel="0" collapsed="false">
      <c r="A487" s="174"/>
      <c r="B487" s="174"/>
      <c r="C487" s="174"/>
      <c r="D487" s="174"/>
      <c r="E487" s="174"/>
      <c r="F487" s="174"/>
      <c r="G487" s="174"/>
      <c r="H487" s="174"/>
      <c r="I487" s="174"/>
      <c r="J487" s="174"/>
      <c r="K487" s="174"/>
      <c r="L487" s="174"/>
      <c r="M487" s="174"/>
      <c r="N487" s="174"/>
      <c r="O487" s="174"/>
      <c r="P487" s="174"/>
      <c r="Q487" s="174"/>
      <c r="R487" s="174"/>
      <c r="S487" s="174"/>
      <c r="T487" s="174"/>
      <c r="U487" s="174"/>
      <c r="V487" s="174"/>
      <c r="W487" s="174"/>
      <c r="X487" s="174"/>
      <c r="Y487" s="174"/>
      <c r="Z487" s="174"/>
    </row>
    <row r="488" customFormat="false" ht="15.75" hidden="false" customHeight="false" outlineLevel="0" collapsed="false">
      <c r="A488" s="174"/>
      <c r="B488" s="174"/>
      <c r="C488" s="174"/>
      <c r="D488" s="174"/>
      <c r="E488" s="174"/>
      <c r="F488" s="174"/>
      <c r="G488" s="174"/>
      <c r="H488" s="174"/>
      <c r="I488" s="174"/>
      <c r="J488" s="174"/>
      <c r="K488" s="174"/>
      <c r="L488" s="174"/>
      <c r="M488" s="174"/>
      <c r="N488" s="174"/>
      <c r="O488" s="174"/>
      <c r="P488" s="174"/>
      <c r="Q488" s="174"/>
      <c r="R488" s="174"/>
      <c r="S488" s="174"/>
      <c r="T488" s="174"/>
      <c r="U488" s="174"/>
      <c r="V488" s="174"/>
      <c r="W488" s="174"/>
      <c r="X488" s="174"/>
      <c r="Y488" s="174"/>
      <c r="Z488" s="174"/>
    </row>
    <row r="489" customFormat="false" ht="15.75" hidden="false" customHeight="false" outlineLevel="0" collapsed="false">
      <c r="A489" s="174"/>
      <c r="B489" s="174"/>
      <c r="C489" s="174"/>
      <c r="D489" s="174"/>
      <c r="E489" s="174"/>
      <c r="F489" s="174"/>
      <c r="G489" s="174"/>
      <c r="H489" s="174"/>
      <c r="I489" s="174"/>
      <c r="J489" s="174"/>
      <c r="K489" s="174"/>
      <c r="L489" s="174"/>
      <c r="M489" s="174"/>
      <c r="N489" s="174"/>
      <c r="O489" s="174"/>
      <c r="P489" s="174"/>
      <c r="Q489" s="174"/>
      <c r="R489" s="174"/>
      <c r="S489" s="174"/>
      <c r="T489" s="174"/>
      <c r="U489" s="174"/>
      <c r="V489" s="174"/>
      <c r="W489" s="174"/>
      <c r="X489" s="174"/>
      <c r="Y489" s="174"/>
      <c r="Z489" s="174"/>
    </row>
    <row r="490" customFormat="false" ht="15.75" hidden="false" customHeight="false" outlineLevel="0" collapsed="false">
      <c r="A490" s="174"/>
      <c r="B490" s="174"/>
      <c r="C490" s="174"/>
      <c r="D490" s="174"/>
      <c r="E490" s="174"/>
      <c r="F490" s="174"/>
      <c r="G490" s="174"/>
      <c r="H490" s="174"/>
      <c r="I490" s="174"/>
      <c r="J490" s="174"/>
      <c r="K490" s="174"/>
      <c r="L490" s="174"/>
      <c r="M490" s="174"/>
      <c r="N490" s="174"/>
      <c r="O490" s="174"/>
      <c r="P490" s="174"/>
      <c r="Q490" s="174"/>
      <c r="R490" s="174"/>
      <c r="S490" s="174"/>
      <c r="T490" s="174"/>
      <c r="U490" s="174"/>
      <c r="V490" s="174"/>
      <c r="W490" s="174"/>
      <c r="X490" s="174"/>
      <c r="Y490" s="174"/>
      <c r="Z490" s="174"/>
    </row>
    <row r="491" customFormat="false" ht="15.75" hidden="false" customHeight="false" outlineLevel="0" collapsed="false">
      <c r="A491" s="174"/>
      <c r="B491" s="174"/>
      <c r="C491" s="174"/>
      <c r="D491" s="174"/>
      <c r="E491" s="174"/>
      <c r="F491" s="174"/>
      <c r="G491" s="174"/>
      <c r="H491" s="174"/>
      <c r="I491" s="174"/>
      <c r="J491" s="174"/>
      <c r="K491" s="174"/>
      <c r="L491" s="174"/>
      <c r="M491" s="174"/>
      <c r="N491" s="174"/>
      <c r="O491" s="174"/>
      <c r="P491" s="174"/>
      <c r="Q491" s="174"/>
      <c r="R491" s="174"/>
      <c r="S491" s="174"/>
      <c r="T491" s="174"/>
      <c r="U491" s="174"/>
      <c r="V491" s="174"/>
      <c r="W491" s="174"/>
      <c r="X491" s="174"/>
      <c r="Y491" s="174"/>
      <c r="Z491" s="174"/>
    </row>
    <row r="492" customFormat="false" ht="15.75" hidden="false" customHeight="false" outlineLevel="0" collapsed="false">
      <c r="A492" s="174"/>
      <c r="B492" s="174"/>
      <c r="C492" s="174"/>
      <c r="D492" s="174"/>
      <c r="E492" s="174"/>
      <c r="F492" s="174"/>
      <c r="G492" s="174"/>
      <c r="H492" s="174"/>
      <c r="I492" s="174"/>
      <c r="J492" s="174"/>
      <c r="K492" s="174"/>
      <c r="L492" s="174"/>
      <c r="M492" s="174"/>
      <c r="N492" s="174"/>
      <c r="O492" s="174"/>
      <c r="P492" s="174"/>
      <c r="Q492" s="174"/>
      <c r="R492" s="174"/>
      <c r="S492" s="174"/>
      <c r="T492" s="174"/>
      <c r="U492" s="174"/>
      <c r="V492" s="174"/>
      <c r="W492" s="174"/>
      <c r="X492" s="174"/>
      <c r="Y492" s="174"/>
      <c r="Z492" s="174"/>
    </row>
    <row r="493" customFormat="false" ht="15.75" hidden="false" customHeight="false" outlineLevel="0" collapsed="false">
      <c r="A493" s="174"/>
      <c r="B493" s="174"/>
      <c r="C493" s="174"/>
      <c r="D493" s="174"/>
      <c r="E493" s="174"/>
      <c r="F493" s="174"/>
      <c r="G493" s="174"/>
      <c r="H493" s="174"/>
      <c r="I493" s="174"/>
      <c r="J493" s="174"/>
      <c r="K493" s="174"/>
      <c r="L493" s="174"/>
      <c r="M493" s="174"/>
      <c r="N493" s="174"/>
      <c r="O493" s="174"/>
      <c r="P493" s="174"/>
      <c r="Q493" s="174"/>
      <c r="R493" s="174"/>
      <c r="S493" s="174"/>
      <c r="T493" s="174"/>
      <c r="U493" s="174"/>
      <c r="V493" s="174"/>
      <c r="W493" s="174"/>
      <c r="X493" s="174"/>
      <c r="Y493" s="174"/>
      <c r="Z493" s="174"/>
    </row>
    <row r="494" customFormat="false" ht="15.75" hidden="false" customHeight="false" outlineLevel="0" collapsed="false">
      <c r="A494" s="174"/>
      <c r="B494" s="174"/>
      <c r="C494" s="174"/>
      <c r="D494" s="174"/>
      <c r="E494" s="174"/>
      <c r="F494" s="174"/>
      <c r="G494" s="174"/>
      <c r="H494" s="174"/>
      <c r="I494" s="174"/>
      <c r="J494" s="174"/>
      <c r="K494" s="174"/>
      <c r="L494" s="174"/>
      <c r="M494" s="174"/>
      <c r="N494" s="174"/>
      <c r="O494" s="174"/>
      <c r="P494" s="174"/>
      <c r="Q494" s="174"/>
      <c r="R494" s="174"/>
      <c r="S494" s="174"/>
      <c r="T494" s="174"/>
      <c r="U494" s="174"/>
      <c r="V494" s="174"/>
      <c r="W494" s="174"/>
      <c r="X494" s="174"/>
      <c r="Y494" s="174"/>
      <c r="Z494" s="174"/>
    </row>
    <row r="495" customFormat="false" ht="15.75" hidden="false" customHeight="false" outlineLevel="0" collapsed="false">
      <c r="A495" s="174"/>
      <c r="B495" s="174"/>
      <c r="C495" s="174"/>
      <c r="D495" s="174"/>
      <c r="E495" s="174"/>
      <c r="F495" s="174"/>
      <c r="G495" s="174"/>
      <c r="H495" s="174"/>
      <c r="I495" s="174"/>
      <c r="J495" s="174"/>
      <c r="K495" s="174"/>
      <c r="L495" s="174"/>
      <c r="M495" s="174"/>
      <c r="N495" s="174"/>
      <c r="O495" s="174"/>
      <c r="P495" s="174"/>
      <c r="Q495" s="174"/>
      <c r="R495" s="174"/>
      <c r="S495" s="174"/>
      <c r="T495" s="174"/>
      <c r="U495" s="174"/>
      <c r="V495" s="174"/>
      <c r="W495" s="174"/>
      <c r="X495" s="174"/>
      <c r="Y495" s="174"/>
      <c r="Z495" s="174"/>
    </row>
    <row r="496" customFormat="false" ht="15.75" hidden="false" customHeight="false" outlineLevel="0" collapsed="false">
      <c r="A496" s="174"/>
      <c r="B496" s="174"/>
      <c r="C496" s="174"/>
      <c r="D496" s="174"/>
      <c r="E496" s="174"/>
      <c r="F496" s="174"/>
      <c r="G496" s="174"/>
      <c r="H496" s="174"/>
      <c r="I496" s="174"/>
      <c r="J496" s="174"/>
      <c r="K496" s="174"/>
      <c r="L496" s="174"/>
      <c r="M496" s="174"/>
      <c r="N496" s="174"/>
      <c r="O496" s="174"/>
      <c r="P496" s="174"/>
      <c r="Q496" s="174"/>
      <c r="R496" s="174"/>
      <c r="S496" s="174"/>
      <c r="T496" s="174"/>
      <c r="U496" s="174"/>
      <c r="V496" s="174"/>
      <c r="W496" s="174"/>
      <c r="X496" s="174"/>
      <c r="Y496" s="174"/>
      <c r="Z496" s="174"/>
    </row>
    <row r="497" customFormat="false" ht="15.75" hidden="false" customHeight="false" outlineLevel="0" collapsed="false">
      <c r="A497" s="174"/>
      <c r="B497" s="174"/>
      <c r="C497" s="174"/>
      <c r="D497" s="174"/>
      <c r="E497" s="174"/>
      <c r="F497" s="174"/>
      <c r="G497" s="174"/>
      <c r="H497" s="174"/>
      <c r="I497" s="174"/>
      <c r="J497" s="174"/>
      <c r="K497" s="174"/>
      <c r="L497" s="174"/>
      <c r="M497" s="174"/>
      <c r="N497" s="174"/>
      <c r="O497" s="174"/>
      <c r="P497" s="174"/>
      <c r="Q497" s="174"/>
      <c r="R497" s="174"/>
      <c r="S497" s="174"/>
      <c r="T497" s="174"/>
      <c r="U497" s="174"/>
      <c r="V497" s="174"/>
      <c r="W497" s="174"/>
      <c r="X497" s="174"/>
      <c r="Y497" s="174"/>
      <c r="Z497" s="174"/>
    </row>
    <row r="498" customFormat="false" ht="15.75" hidden="false" customHeight="false" outlineLevel="0" collapsed="false">
      <c r="A498" s="174"/>
      <c r="B498" s="174"/>
      <c r="C498" s="174"/>
      <c r="D498" s="174"/>
      <c r="E498" s="174"/>
      <c r="F498" s="174"/>
      <c r="G498" s="174"/>
      <c r="H498" s="174"/>
      <c r="I498" s="174"/>
      <c r="J498" s="174"/>
      <c r="K498" s="174"/>
      <c r="L498" s="174"/>
      <c r="M498" s="174"/>
      <c r="N498" s="174"/>
      <c r="O498" s="174"/>
      <c r="P498" s="174"/>
      <c r="Q498" s="174"/>
      <c r="R498" s="174"/>
      <c r="S498" s="174"/>
      <c r="T498" s="174"/>
      <c r="U498" s="174"/>
      <c r="V498" s="174"/>
      <c r="W498" s="174"/>
      <c r="X498" s="174"/>
      <c r="Y498" s="174"/>
      <c r="Z498" s="174"/>
    </row>
    <row r="499" customFormat="false" ht="15.75" hidden="false" customHeight="false" outlineLevel="0" collapsed="false">
      <c r="A499" s="174"/>
      <c r="B499" s="174"/>
      <c r="C499" s="174"/>
      <c r="D499" s="174"/>
      <c r="E499" s="174"/>
      <c r="F499" s="174"/>
      <c r="G499" s="174"/>
      <c r="H499" s="174"/>
      <c r="I499" s="174"/>
      <c r="J499" s="174"/>
      <c r="K499" s="174"/>
      <c r="L499" s="174"/>
      <c r="M499" s="174"/>
      <c r="N499" s="174"/>
      <c r="O499" s="174"/>
      <c r="P499" s="174"/>
      <c r="Q499" s="174"/>
      <c r="R499" s="174"/>
      <c r="S499" s="174"/>
      <c r="T499" s="174"/>
      <c r="U499" s="174"/>
      <c r="V499" s="174"/>
      <c r="W499" s="174"/>
      <c r="X499" s="174"/>
      <c r="Y499" s="174"/>
      <c r="Z499" s="174"/>
    </row>
    <row r="500" customFormat="false" ht="15.75" hidden="false" customHeight="false" outlineLevel="0" collapsed="false">
      <c r="A500" s="174"/>
      <c r="B500" s="174"/>
      <c r="C500" s="174"/>
      <c r="D500" s="174"/>
      <c r="E500" s="174"/>
      <c r="F500" s="174"/>
      <c r="G500" s="174"/>
      <c r="H500" s="174"/>
      <c r="I500" s="174"/>
      <c r="J500" s="174"/>
      <c r="K500" s="174"/>
      <c r="L500" s="174"/>
      <c r="M500" s="174"/>
      <c r="N500" s="174"/>
      <c r="O500" s="174"/>
      <c r="P500" s="174"/>
      <c r="Q500" s="174"/>
      <c r="R500" s="174"/>
      <c r="S500" s="174"/>
      <c r="T500" s="174"/>
      <c r="U500" s="174"/>
      <c r="V500" s="174"/>
      <c r="W500" s="174"/>
      <c r="X500" s="174"/>
      <c r="Y500" s="174"/>
      <c r="Z500" s="174"/>
    </row>
    <row r="501" customFormat="false" ht="15.75" hidden="false" customHeight="false" outlineLevel="0" collapsed="false">
      <c r="A501" s="174"/>
      <c r="B501" s="174"/>
      <c r="C501" s="174"/>
      <c r="D501" s="174"/>
      <c r="E501" s="174"/>
      <c r="F501" s="174"/>
      <c r="G501" s="174"/>
      <c r="H501" s="174"/>
      <c r="I501" s="174"/>
      <c r="J501" s="174"/>
      <c r="K501" s="174"/>
      <c r="L501" s="174"/>
      <c r="M501" s="174"/>
      <c r="N501" s="174"/>
      <c r="O501" s="174"/>
      <c r="P501" s="174"/>
      <c r="Q501" s="174"/>
      <c r="R501" s="174"/>
      <c r="S501" s="174"/>
      <c r="T501" s="174"/>
      <c r="U501" s="174"/>
      <c r="V501" s="174"/>
      <c r="W501" s="174"/>
      <c r="X501" s="174"/>
      <c r="Y501" s="174"/>
      <c r="Z501" s="174"/>
    </row>
    <row r="502" customFormat="false" ht="15.75" hidden="false" customHeight="false" outlineLevel="0" collapsed="false">
      <c r="A502" s="174"/>
      <c r="B502" s="174"/>
      <c r="C502" s="174"/>
      <c r="D502" s="174"/>
      <c r="E502" s="174"/>
      <c r="F502" s="174"/>
      <c r="G502" s="174"/>
      <c r="H502" s="174"/>
      <c r="I502" s="174"/>
      <c r="J502" s="174"/>
      <c r="K502" s="174"/>
      <c r="L502" s="174"/>
      <c r="M502" s="174"/>
      <c r="N502" s="174"/>
      <c r="O502" s="174"/>
      <c r="P502" s="174"/>
      <c r="Q502" s="174"/>
      <c r="R502" s="174"/>
      <c r="S502" s="174"/>
      <c r="T502" s="174"/>
      <c r="U502" s="174"/>
      <c r="V502" s="174"/>
      <c r="W502" s="174"/>
      <c r="X502" s="174"/>
      <c r="Y502" s="174"/>
      <c r="Z502" s="174"/>
    </row>
    <row r="503" customFormat="false" ht="15.75" hidden="false" customHeight="false" outlineLevel="0" collapsed="false">
      <c r="A503" s="174"/>
      <c r="B503" s="174"/>
      <c r="C503" s="174"/>
      <c r="D503" s="174"/>
      <c r="E503" s="174"/>
      <c r="F503" s="174"/>
      <c r="G503" s="174"/>
      <c r="H503" s="174"/>
      <c r="I503" s="174"/>
      <c r="J503" s="174"/>
      <c r="K503" s="174"/>
      <c r="L503" s="174"/>
      <c r="M503" s="174"/>
      <c r="N503" s="174"/>
      <c r="O503" s="174"/>
      <c r="P503" s="174"/>
      <c r="Q503" s="174"/>
      <c r="R503" s="174"/>
      <c r="S503" s="174"/>
      <c r="T503" s="174"/>
      <c r="U503" s="174"/>
      <c r="V503" s="174"/>
      <c r="W503" s="174"/>
      <c r="X503" s="174"/>
      <c r="Y503" s="174"/>
      <c r="Z503" s="174"/>
    </row>
    <row r="504" customFormat="false" ht="15.75" hidden="false" customHeight="false" outlineLevel="0" collapsed="false">
      <c r="A504" s="174"/>
      <c r="B504" s="174"/>
      <c r="C504" s="174"/>
      <c r="D504" s="174"/>
      <c r="E504" s="174"/>
      <c r="F504" s="174"/>
      <c r="G504" s="174"/>
      <c r="H504" s="174"/>
      <c r="I504" s="174"/>
      <c r="J504" s="174"/>
      <c r="K504" s="174"/>
      <c r="L504" s="174"/>
      <c r="M504" s="174"/>
      <c r="N504" s="174"/>
      <c r="O504" s="174"/>
      <c r="P504" s="174"/>
      <c r="Q504" s="174"/>
      <c r="R504" s="174"/>
      <c r="S504" s="174"/>
      <c r="T504" s="174"/>
      <c r="U504" s="174"/>
      <c r="V504" s="174"/>
      <c r="W504" s="174"/>
      <c r="X504" s="174"/>
      <c r="Y504" s="174"/>
      <c r="Z504" s="174"/>
    </row>
    <row r="505" customFormat="false" ht="15.75" hidden="false" customHeight="false" outlineLevel="0" collapsed="false">
      <c r="A505" s="174"/>
      <c r="B505" s="174"/>
      <c r="C505" s="174"/>
      <c r="D505" s="174"/>
      <c r="E505" s="174"/>
      <c r="F505" s="174"/>
      <c r="G505" s="174"/>
      <c r="H505" s="174"/>
      <c r="I505" s="174"/>
      <c r="J505" s="174"/>
      <c r="K505" s="174"/>
      <c r="L505" s="174"/>
      <c r="M505" s="174"/>
      <c r="N505" s="174"/>
      <c r="O505" s="174"/>
      <c r="P505" s="174"/>
      <c r="Q505" s="174"/>
      <c r="R505" s="174"/>
      <c r="S505" s="174"/>
      <c r="T505" s="174"/>
      <c r="U505" s="174"/>
      <c r="V505" s="174"/>
      <c r="W505" s="174"/>
      <c r="X505" s="174"/>
      <c r="Y505" s="174"/>
      <c r="Z505" s="174"/>
    </row>
    <row r="506" customFormat="false" ht="15.75" hidden="false" customHeight="false" outlineLevel="0" collapsed="false">
      <c r="A506" s="174"/>
      <c r="B506" s="174"/>
      <c r="C506" s="174"/>
      <c r="D506" s="174"/>
      <c r="E506" s="174"/>
      <c r="F506" s="174"/>
      <c r="G506" s="174"/>
      <c r="H506" s="174"/>
      <c r="I506" s="174"/>
      <c r="J506" s="174"/>
      <c r="K506" s="174"/>
      <c r="L506" s="174"/>
      <c r="M506" s="174"/>
      <c r="N506" s="174"/>
      <c r="O506" s="174"/>
      <c r="P506" s="174"/>
      <c r="Q506" s="174"/>
      <c r="R506" s="174"/>
      <c r="S506" s="174"/>
      <c r="T506" s="174"/>
      <c r="U506" s="174"/>
      <c r="V506" s="174"/>
      <c r="W506" s="174"/>
      <c r="X506" s="174"/>
      <c r="Y506" s="174"/>
      <c r="Z506" s="174"/>
    </row>
    <row r="507" customFormat="false" ht="15.75" hidden="false" customHeight="false" outlineLevel="0" collapsed="false">
      <c r="A507" s="174"/>
      <c r="B507" s="174"/>
      <c r="C507" s="174"/>
      <c r="D507" s="174"/>
      <c r="E507" s="174"/>
      <c r="F507" s="174"/>
      <c r="G507" s="174"/>
      <c r="H507" s="174"/>
      <c r="I507" s="174"/>
      <c r="J507" s="174"/>
      <c r="K507" s="174"/>
      <c r="L507" s="174"/>
      <c r="M507" s="174"/>
      <c r="N507" s="174"/>
      <c r="O507" s="174"/>
      <c r="P507" s="174"/>
      <c r="Q507" s="174"/>
      <c r="R507" s="174"/>
      <c r="S507" s="174"/>
      <c r="T507" s="174"/>
      <c r="U507" s="174"/>
      <c r="V507" s="174"/>
      <c r="W507" s="174"/>
      <c r="X507" s="174"/>
      <c r="Y507" s="174"/>
      <c r="Z507" s="174"/>
    </row>
    <row r="508" customFormat="false" ht="15.75" hidden="false" customHeight="false" outlineLevel="0" collapsed="false">
      <c r="A508" s="174"/>
      <c r="B508" s="174"/>
      <c r="C508" s="174"/>
      <c r="D508" s="174"/>
      <c r="E508" s="174"/>
      <c r="F508" s="174"/>
      <c r="G508" s="174"/>
      <c r="H508" s="174"/>
      <c r="I508" s="174"/>
      <c r="J508" s="174"/>
      <c r="K508" s="174"/>
      <c r="L508" s="174"/>
      <c r="M508" s="174"/>
      <c r="N508" s="174"/>
      <c r="O508" s="174"/>
      <c r="P508" s="174"/>
      <c r="Q508" s="174"/>
      <c r="R508" s="174"/>
      <c r="S508" s="174"/>
      <c r="T508" s="174"/>
      <c r="U508" s="174"/>
      <c r="V508" s="174"/>
      <c r="W508" s="174"/>
      <c r="X508" s="174"/>
      <c r="Y508" s="174"/>
      <c r="Z508" s="174"/>
    </row>
    <row r="509" customFormat="false" ht="15.75" hidden="false" customHeight="false" outlineLevel="0" collapsed="false">
      <c r="A509" s="174"/>
      <c r="B509" s="174"/>
      <c r="C509" s="174"/>
      <c r="D509" s="174"/>
      <c r="E509" s="174"/>
      <c r="F509" s="174"/>
      <c r="G509" s="174"/>
      <c r="H509" s="174"/>
      <c r="I509" s="174"/>
      <c r="J509" s="174"/>
      <c r="K509" s="174"/>
      <c r="L509" s="174"/>
      <c r="M509" s="174"/>
      <c r="N509" s="174"/>
      <c r="O509" s="174"/>
      <c r="P509" s="174"/>
      <c r="Q509" s="174"/>
      <c r="R509" s="174"/>
      <c r="S509" s="174"/>
      <c r="T509" s="174"/>
      <c r="U509" s="174"/>
      <c r="V509" s="174"/>
      <c r="W509" s="174"/>
      <c r="X509" s="174"/>
      <c r="Y509" s="174"/>
      <c r="Z509" s="174"/>
    </row>
    <row r="510" customFormat="false" ht="15.75" hidden="false" customHeight="false" outlineLevel="0" collapsed="false">
      <c r="A510" s="174"/>
      <c r="B510" s="174"/>
      <c r="C510" s="174"/>
      <c r="D510" s="174"/>
      <c r="E510" s="174"/>
      <c r="F510" s="174"/>
      <c r="G510" s="174"/>
      <c r="H510" s="174"/>
      <c r="I510" s="174"/>
      <c r="J510" s="174"/>
      <c r="K510" s="174"/>
      <c r="L510" s="174"/>
      <c r="M510" s="174"/>
      <c r="N510" s="174"/>
      <c r="O510" s="174"/>
      <c r="P510" s="174"/>
      <c r="Q510" s="174"/>
      <c r="R510" s="174"/>
      <c r="S510" s="174"/>
      <c r="T510" s="174"/>
      <c r="U510" s="174"/>
      <c r="V510" s="174"/>
      <c r="W510" s="174"/>
      <c r="X510" s="174"/>
      <c r="Y510" s="174"/>
      <c r="Z510" s="174"/>
    </row>
    <row r="511" customFormat="false" ht="15.75" hidden="false" customHeight="false" outlineLevel="0" collapsed="false">
      <c r="A511" s="174"/>
      <c r="B511" s="174"/>
      <c r="C511" s="174"/>
      <c r="D511" s="174"/>
      <c r="E511" s="174"/>
      <c r="F511" s="174"/>
      <c r="G511" s="174"/>
      <c r="H511" s="174"/>
      <c r="I511" s="174"/>
      <c r="J511" s="174"/>
      <c r="K511" s="174"/>
      <c r="L511" s="174"/>
      <c r="M511" s="174"/>
      <c r="N511" s="174"/>
      <c r="O511" s="174"/>
      <c r="P511" s="174"/>
      <c r="Q511" s="174"/>
      <c r="R511" s="174"/>
      <c r="S511" s="174"/>
      <c r="T511" s="174"/>
      <c r="U511" s="174"/>
      <c r="V511" s="174"/>
      <c r="W511" s="174"/>
      <c r="X511" s="174"/>
      <c r="Y511" s="174"/>
      <c r="Z511" s="174"/>
    </row>
    <row r="512" customFormat="false" ht="15.75" hidden="false" customHeight="false" outlineLevel="0" collapsed="false">
      <c r="A512" s="174"/>
      <c r="B512" s="174"/>
      <c r="C512" s="174"/>
      <c r="D512" s="174"/>
      <c r="E512" s="174"/>
      <c r="F512" s="174"/>
      <c r="G512" s="174"/>
      <c r="H512" s="174"/>
      <c r="I512" s="174"/>
      <c r="J512" s="174"/>
      <c r="K512" s="174"/>
      <c r="L512" s="174"/>
      <c r="M512" s="174"/>
      <c r="N512" s="174"/>
      <c r="O512" s="174"/>
      <c r="P512" s="174"/>
      <c r="Q512" s="174"/>
      <c r="R512" s="174"/>
      <c r="S512" s="174"/>
      <c r="T512" s="174"/>
      <c r="U512" s="174"/>
      <c r="V512" s="174"/>
      <c r="W512" s="174"/>
      <c r="X512" s="174"/>
      <c r="Y512" s="174"/>
      <c r="Z512" s="174"/>
    </row>
    <row r="513" customFormat="false" ht="15.75" hidden="false" customHeight="false" outlineLevel="0" collapsed="false">
      <c r="A513" s="174"/>
      <c r="B513" s="174"/>
      <c r="C513" s="174"/>
      <c r="D513" s="174"/>
      <c r="E513" s="174"/>
      <c r="F513" s="174"/>
      <c r="G513" s="174"/>
      <c r="H513" s="174"/>
      <c r="I513" s="174"/>
      <c r="J513" s="174"/>
      <c r="K513" s="174"/>
      <c r="L513" s="174"/>
      <c r="M513" s="174"/>
      <c r="N513" s="174"/>
      <c r="O513" s="174"/>
      <c r="P513" s="174"/>
      <c r="Q513" s="174"/>
      <c r="R513" s="174"/>
      <c r="S513" s="174"/>
      <c r="T513" s="174"/>
      <c r="U513" s="174"/>
      <c r="V513" s="174"/>
      <c r="W513" s="174"/>
      <c r="X513" s="174"/>
      <c r="Y513" s="174"/>
      <c r="Z513" s="174"/>
    </row>
    <row r="514" customFormat="false" ht="15.75" hidden="false" customHeight="false" outlineLevel="0" collapsed="false">
      <c r="A514" s="174"/>
      <c r="B514" s="174"/>
      <c r="C514" s="174"/>
      <c r="D514" s="174"/>
      <c r="E514" s="174"/>
      <c r="F514" s="174"/>
      <c r="G514" s="174"/>
      <c r="H514" s="174"/>
      <c r="I514" s="174"/>
      <c r="J514" s="174"/>
      <c r="K514" s="174"/>
      <c r="L514" s="174"/>
      <c r="M514" s="174"/>
      <c r="N514" s="174"/>
      <c r="O514" s="174"/>
      <c r="P514" s="174"/>
      <c r="Q514" s="174"/>
      <c r="R514" s="174"/>
      <c r="S514" s="174"/>
      <c r="T514" s="174"/>
      <c r="U514" s="174"/>
      <c r="V514" s="174"/>
      <c r="W514" s="174"/>
      <c r="X514" s="174"/>
      <c r="Y514" s="174"/>
      <c r="Z514" s="174"/>
    </row>
    <row r="515" customFormat="false" ht="15.75" hidden="false" customHeight="false" outlineLevel="0" collapsed="false">
      <c r="A515" s="174"/>
      <c r="B515" s="174"/>
      <c r="C515" s="174"/>
      <c r="D515" s="174"/>
      <c r="E515" s="174"/>
      <c r="F515" s="174"/>
      <c r="G515" s="174"/>
      <c r="H515" s="174"/>
      <c r="I515" s="174"/>
      <c r="J515" s="174"/>
      <c r="K515" s="174"/>
      <c r="L515" s="174"/>
      <c r="M515" s="174"/>
      <c r="N515" s="174"/>
      <c r="O515" s="174"/>
      <c r="P515" s="174"/>
      <c r="Q515" s="174"/>
      <c r="R515" s="174"/>
      <c r="S515" s="174"/>
      <c r="T515" s="174"/>
      <c r="U515" s="174"/>
      <c r="V515" s="174"/>
      <c r="W515" s="174"/>
      <c r="X515" s="174"/>
      <c r="Y515" s="174"/>
      <c r="Z515" s="174"/>
    </row>
    <row r="516" customFormat="false" ht="15.75" hidden="false" customHeight="false" outlineLevel="0" collapsed="false">
      <c r="A516" s="174"/>
      <c r="B516" s="174"/>
      <c r="C516" s="174"/>
      <c r="D516" s="174"/>
      <c r="E516" s="174"/>
      <c r="F516" s="174"/>
      <c r="G516" s="174"/>
      <c r="H516" s="174"/>
      <c r="I516" s="174"/>
      <c r="J516" s="174"/>
      <c r="K516" s="174"/>
      <c r="L516" s="174"/>
      <c r="M516" s="174"/>
      <c r="N516" s="174"/>
      <c r="O516" s="174"/>
      <c r="P516" s="174"/>
      <c r="Q516" s="174"/>
      <c r="R516" s="174"/>
      <c r="S516" s="174"/>
      <c r="T516" s="174"/>
      <c r="U516" s="174"/>
      <c r="V516" s="174"/>
      <c r="W516" s="174"/>
      <c r="X516" s="174"/>
      <c r="Y516" s="174"/>
      <c r="Z516" s="174"/>
    </row>
    <row r="517" customFormat="false" ht="15.75" hidden="false" customHeight="false" outlineLevel="0" collapsed="false">
      <c r="A517" s="174"/>
      <c r="B517" s="174"/>
      <c r="C517" s="174"/>
      <c r="D517" s="174"/>
      <c r="E517" s="174"/>
      <c r="F517" s="174"/>
      <c r="G517" s="174"/>
      <c r="H517" s="174"/>
      <c r="I517" s="174"/>
      <c r="J517" s="174"/>
      <c r="K517" s="174"/>
      <c r="L517" s="174"/>
      <c r="M517" s="174"/>
      <c r="N517" s="174"/>
      <c r="O517" s="174"/>
      <c r="P517" s="174"/>
      <c r="Q517" s="174"/>
      <c r="R517" s="174"/>
      <c r="S517" s="174"/>
      <c r="T517" s="174"/>
      <c r="U517" s="174"/>
      <c r="V517" s="174"/>
      <c r="W517" s="174"/>
      <c r="X517" s="174"/>
      <c r="Y517" s="174"/>
      <c r="Z517" s="174"/>
    </row>
    <row r="518" customFormat="false" ht="15.75" hidden="false" customHeight="false" outlineLevel="0" collapsed="false">
      <c r="A518" s="174"/>
      <c r="B518" s="174"/>
      <c r="C518" s="174"/>
      <c r="D518" s="174"/>
      <c r="E518" s="174"/>
      <c r="F518" s="174"/>
      <c r="G518" s="174"/>
      <c r="H518" s="174"/>
      <c r="I518" s="174"/>
      <c r="J518" s="174"/>
      <c r="K518" s="174"/>
      <c r="L518" s="174"/>
      <c r="M518" s="174"/>
      <c r="N518" s="174"/>
      <c r="O518" s="174"/>
      <c r="P518" s="174"/>
      <c r="Q518" s="174"/>
      <c r="R518" s="174"/>
      <c r="S518" s="174"/>
      <c r="T518" s="174"/>
      <c r="U518" s="174"/>
      <c r="V518" s="174"/>
      <c r="W518" s="174"/>
      <c r="X518" s="174"/>
      <c r="Y518" s="174"/>
      <c r="Z518" s="174"/>
    </row>
    <row r="519" customFormat="false" ht="15.75" hidden="false" customHeight="false" outlineLevel="0" collapsed="false">
      <c r="A519" s="174"/>
      <c r="B519" s="174"/>
      <c r="C519" s="174"/>
      <c r="D519" s="174"/>
      <c r="E519" s="174"/>
      <c r="F519" s="174"/>
      <c r="G519" s="174"/>
      <c r="H519" s="174"/>
      <c r="I519" s="174"/>
      <c r="J519" s="174"/>
      <c r="K519" s="174"/>
      <c r="L519" s="174"/>
      <c r="M519" s="174"/>
      <c r="N519" s="174"/>
      <c r="O519" s="174"/>
      <c r="P519" s="174"/>
      <c r="Q519" s="174"/>
      <c r="R519" s="174"/>
      <c r="S519" s="174"/>
      <c r="T519" s="174"/>
      <c r="U519" s="174"/>
      <c r="V519" s="174"/>
      <c r="W519" s="174"/>
      <c r="X519" s="174"/>
      <c r="Y519" s="174"/>
      <c r="Z519" s="174"/>
    </row>
    <row r="520" customFormat="false" ht="15.75" hidden="false" customHeight="false" outlineLevel="0" collapsed="false">
      <c r="A520" s="174"/>
      <c r="B520" s="174"/>
      <c r="C520" s="174"/>
      <c r="D520" s="174"/>
      <c r="E520" s="174"/>
      <c r="F520" s="174"/>
      <c r="G520" s="174"/>
      <c r="H520" s="174"/>
      <c r="I520" s="174"/>
      <c r="J520" s="174"/>
      <c r="K520" s="174"/>
      <c r="L520" s="174"/>
      <c r="M520" s="174"/>
      <c r="N520" s="174"/>
      <c r="O520" s="174"/>
      <c r="P520" s="174"/>
      <c r="Q520" s="174"/>
      <c r="R520" s="174"/>
      <c r="S520" s="174"/>
      <c r="T520" s="174"/>
      <c r="U520" s="174"/>
      <c r="V520" s="174"/>
      <c r="W520" s="174"/>
      <c r="X520" s="174"/>
      <c r="Y520" s="174"/>
      <c r="Z520" s="174"/>
    </row>
    <row r="521" customFormat="false" ht="15.75" hidden="false" customHeight="false" outlineLevel="0" collapsed="false">
      <c r="A521" s="174"/>
      <c r="B521" s="174"/>
      <c r="C521" s="174"/>
      <c r="D521" s="174"/>
      <c r="E521" s="174"/>
      <c r="F521" s="174"/>
      <c r="G521" s="174"/>
      <c r="H521" s="174"/>
      <c r="I521" s="174"/>
      <c r="J521" s="174"/>
      <c r="K521" s="174"/>
      <c r="L521" s="174"/>
      <c r="M521" s="174"/>
      <c r="N521" s="174"/>
      <c r="O521" s="174"/>
      <c r="P521" s="174"/>
      <c r="Q521" s="174"/>
      <c r="R521" s="174"/>
      <c r="S521" s="174"/>
      <c r="T521" s="174"/>
      <c r="U521" s="174"/>
      <c r="V521" s="174"/>
      <c r="W521" s="174"/>
      <c r="X521" s="174"/>
      <c r="Y521" s="174"/>
      <c r="Z521" s="174"/>
    </row>
    <row r="522" customFormat="false" ht="15.75" hidden="false" customHeight="false" outlineLevel="0" collapsed="false">
      <c r="A522" s="174"/>
      <c r="B522" s="174"/>
      <c r="C522" s="174"/>
      <c r="D522" s="174"/>
      <c r="E522" s="174"/>
      <c r="F522" s="174"/>
      <c r="G522" s="174"/>
      <c r="H522" s="174"/>
      <c r="I522" s="174"/>
      <c r="J522" s="174"/>
      <c r="K522" s="174"/>
      <c r="L522" s="174"/>
      <c r="M522" s="174"/>
      <c r="N522" s="174"/>
      <c r="O522" s="174"/>
      <c r="P522" s="174"/>
      <c r="Q522" s="174"/>
      <c r="R522" s="174"/>
      <c r="S522" s="174"/>
      <c r="T522" s="174"/>
      <c r="U522" s="174"/>
      <c r="V522" s="174"/>
      <c r="W522" s="174"/>
      <c r="X522" s="174"/>
      <c r="Y522" s="174"/>
      <c r="Z522" s="174"/>
    </row>
    <row r="523" customFormat="false" ht="15.75" hidden="false" customHeight="false" outlineLevel="0" collapsed="false">
      <c r="A523" s="174"/>
      <c r="B523" s="174"/>
      <c r="C523" s="174"/>
      <c r="D523" s="174"/>
      <c r="E523" s="174"/>
      <c r="F523" s="174"/>
      <c r="G523" s="174"/>
      <c r="H523" s="174"/>
      <c r="I523" s="174"/>
      <c r="J523" s="174"/>
      <c r="K523" s="174"/>
      <c r="L523" s="174"/>
      <c r="M523" s="174"/>
      <c r="N523" s="174"/>
      <c r="O523" s="174"/>
      <c r="P523" s="174"/>
      <c r="Q523" s="174"/>
      <c r="R523" s="174"/>
      <c r="S523" s="174"/>
      <c r="T523" s="174"/>
      <c r="U523" s="174"/>
      <c r="V523" s="174"/>
      <c r="W523" s="174"/>
      <c r="X523" s="174"/>
      <c r="Y523" s="174"/>
      <c r="Z523" s="174"/>
    </row>
    <row r="524" customFormat="false" ht="15.75" hidden="false" customHeight="false" outlineLevel="0" collapsed="false">
      <c r="A524" s="174"/>
      <c r="B524" s="174"/>
      <c r="C524" s="174"/>
      <c r="D524" s="174"/>
      <c r="E524" s="174"/>
      <c r="F524" s="174"/>
      <c r="G524" s="174"/>
      <c r="H524" s="174"/>
      <c r="I524" s="174"/>
      <c r="J524" s="174"/>
      <c r="K524" s="174"/>
      <c r="L524" s="174"/>
      <c r="M524" s="174"/>
      <c r="N524" s="174"/>
      <c r="O524" s="174"/>
      <c r="P524" s="174"/>
      <c r="Q524" s="174"/>
      <c r="R524" s="174"/>
      <c r="S524" s="174"/>
      <c r="T524" s="174"/>
      <c r="U524" s="174"/>
      <c r="V524" s="174"/>
      <c r="W524" s="174"/>
      <c r="X524" s="174"/>
      <c r="Y524" s="174"/>
      <c r="Z524" s="174"/>
    </row>
    <row r="525" customFormat="false" ht="15.75" hidden="false" customHeight="false" outlineLevel="0" collapsed="false">
      <c r="A525" s="174"/>
      <c r="B525" s="174"/>
      <c r="C525" s="174"/>
      <c r="D525" s="174"/>
      <c r="E525" s="174"/>
      <c r="F525" s="174"/>
      <c r="G525" s="174"/>
      <c r="H525" s="174"/>
      <c r="I525" s="174"/>
      <c r="J525" s="174"/>
      <c r="K525" s="174"/>
      <c r="L525" s="174"/>
      <c r="M525" s="174"/>
      <c r="N525" s="174"/>
      <c r="O525" s="174"/>
      <c r="P525" s="174"/>
      <c r="Q525" s="174"/>
      <c r="R525" s="174"/>
      <c r="S525" s="174"/>
      <c r="T525" s="174"/>
      <c r="U525" s="174"/>
      <c r="V525" s="174"/>
      <c r="W525" s="174"/>
      <c r="X525" s="174"/>
      <c r="Y525" s="174"/>
      <c r="Z525" s="174"/>
    </row>
    <row r="526" customFormat="false" ht="15.75" hidden="false" customHeight="false" outlineLevel="0" collapsed="false">
      <c r="A526" s="174"/>
      <c r="B526" s="174"/>
      <c r="C526" s="174"/>
      <c r="D526" s="174"/>
      <c r="E526" s="174"/>
      <c r="F526" s="174"/>
      <c r="G526" s="174"/>
      <c r="H526" s="174"/>
      <c r="I526" s="174"/>
      <c r="J526" s="174"/>
      <c r="K526" s="174"/>
      <c r="L526" s="174"/>
      <c r="M526" s="174"/>
      <c r="N526" s="174"/>
      <c r="O526" s="174"/>
      <c r="P526" s="174"/>
      <c r="Q526" s="174"/>
      <c r="R526" s="174"/>
      <c r="S526" s="174"/>
      <c r="T526" s="174"/>
      <c r="U526" s="174"/>
      <c r="V526" s="174"/>
      <c r="W526" s="174"/>
      <c r="X526" s="174"/>
      <c r="Y526" s="174"/>
      <c r="Z526" s="174"/>
    </row>
    <row r="527" customFormat="false" ht="15.75" hidden="false" customHeight="false" outlineLevel="0" collapsed="false">
      <c r="A527" s="174"/>
      <c r="B527" s="174"/>
      <c r="C527" s="174"/>
      <c r="D527" s="174"/>
      <c r="E527" s="174"/>
      <c r="F527" s="174"/>
      <c r="G527" s="174"/>
      <c r="H527" s="174"/>
      <c r="I527" s="174"/>
      <c r="J527" s="174"/>
      <c r="K527" s="174"/>
      <c r="L527" s="174"/>
      <c r="M527" s="174"/>
      <c r="N527" s="174"/>
      <c r="O527" s="174"/>
      <c r="P527" s="174"/>
      <c r="Q527" s="174"/>
      <c r="R527" s="174"/>
      <c r="S527" s="174"/>
      <c r="T527" s="174"/>
      <c r="U527" s="174"/>
      <c r="V527" s="174"/>
      <c r="W527" s="174"/>
      <c r="X527" s="174"/>
      <c r="Y527" s="174"/>
      <c r="Z527" s="174"/>
    </row>
    <row r="528" customFormat="false" ht="15.75" hidden="false" customHeight="false" outlineLevel="0" collapsed="false">
      <c r="A528" s="174"/>
      <c r="B528" s="174"/>
      <c r="C528" s="174"/>
      <c r="D528" s="174"/>
      <c r="E528" s="174"/>
      <c r="F528" s="174"/>
      <c r="G528" s="174"/>
      <c r="H528" s="174"/>
      <c r="I528" s="174"/>
      <c r="J528" s="174"/>
      <c r="K528" s="174"/>
      <c r="L528" s="174"/>
      <c r="M528" s="174"/>
      <c r="N528" s="174"/>
      <c r="O528" s="174"/>
      <c r="P528" s="174"/>
      <c r="Q528" s="174"/>
      <c r="R528" s="174"/>
      <c r="S528" s="174"/>
      <c r="T528" s="174"/>
      <c r="U528" s="174"/>
      <c r="V528" s="174"/>
      <c r="W528" s="174"/>
      <c r="X528" s="174"/>
      <c r="Y528" s="174"/>
      <c r="Z528" s="174"/>
    </row>
    <row r="529" customFormat="false" ht="15.75" hidden="false" customHeight="false" outlineLevel="0" collapsed="false">
      <c r="A529" s="174"/>
      <c r="B529" s="174"/>
      <c r="C529" s="174"/>
      <c r="D529" s="174"/>
      <c r="E529" s="174"/>
      <c r="F529" s="174"/>
      <c r="G529" s="174"/>
      <c r="H529" s="174"/>
      <c r="I529" s="174"/>
      <c r="J529" s="174"/>
      <c r="K529" s="174"/>
      <c r="L529" s="174"/>
      <c r="M529" s="174"/>
      <c r="N529" s="174"/>
      <c r="O529" s="174"/>
      <c r="P529" s="174"/>
      <c r="Q529" s="174"/>
      <c r="R529" s="174"/>
      <c r="S529" s="174"/>
      <c r="T529" s="174"/>
      <c r="U529" s="174"/>
      <c r="V529" s="174"/>
      <c r="W529" s="174"/>
      <c r="X529" s="174"/>
      <c r="Y529" s="174"/>
      <c r="Z529" s="174"/>
    </row>
    <row r="530" customFormat="false" ht="15.75" hidden="false" customHeight="false" outlineLevel="0" collapsed="false">
      <c r="A530" s="174"/>
      <c r="B530" s="174"/>
      <c r="C530" s="174"/>
      <c r="D530" s="174"/>
      <c r="E530" s="174"/>
      <c r="F530" s="174"/>
      <c r="G530" s="174"/>
      <c r="H530" s="174"/>
      <c r="I530" s="174"/>
      <c r="J530" s="174"/>
      <c r="K530" s="174"/>
      <c r="L530" s="174"/>
      <c r="M530" s="174"/>
      <c r="N530" s="174"/>
      <c r="O530" s="174"/>
      <c r="P530" s="174"/>
      <c r="Q530" s="174"/>
      <c r="R530" s="174"/>
      <c r="S530" s="174"/>
      <c r="T530" s="174"/>
      <c r="U530" s="174"/>
      <c r="V530" s="174"/>
      <c r="W530" s="174"/>
      <c r="X530" s="174"/>
      <c r="Y530" s="174"/>
      <c r="Z530" s="174"/>
    </row>
    <row r="531" customFormat="false" ht="15.75" hidden="false" customHeight="false" outlineLevel="0" collapsed="false">
      <c r="A531" s="174"/>
      <c r="B531" s="174"/>
      <c r="C531" s="174"/>
      <c r="D531" s="174"/>
      <c r="E531" s="174"/>
      <c r="F531" s="174"/>
      <c r="G531" s="174"/>
      <c r="H531" s="174"/>
      <c r="I531" s="174"/>
      <c r="J531" s="174"/>
      <c r="K531" s="174"/>
      <c r="L531" s="174"/>
      <c r="M531" s="174"/>
      <c r="N531" s="174"/>
      <c r="O531" s="174"/>
      <c r="P531" s="174"/>
      <c r="Q531" s="174"/>
      <c r="R531" s="174"/>
      <c r="S531" s="174"/>
      <c r="T531" s="174"/>
      <c r="U531" s="174"/>
      <c r="V531" s="174"/>
      <c r="W531" s="174"/>
      <c r="X531" s="174"/>
      <c r="Y531" s="174"/>
      <c r="Z531" s="174"/>
    </row>
    <row r="532" customFormat="false" ht="15.75" hidden="false" customHeight="false" outlineLevel="0" collapsed="false">
      <c r="A532" s="174"/>
      <c r="B532" s="174"/>
      <c r="C532" s="174"/>
      <c r="D532" s="174"/>
      <c r="E532" s="174"/>
      <c r="F532" s="174"/>
      <c r="G532" s="174"/>
      <c r="H532" s="174"/>
      <c r="I532" s="174"/>
      <c r="J532" s="174"/>
      <c r="K532" s="174"/>
      <c r="L532" s="174"/>
      <c r="M532" s="174"/>
      <c r="N532" s="174"/>
      <c r="O532" s="174"/>
      <c r="P532" s="174"/>
      <c r="Q532" s="174"/>
      <c r="R532" s="174"/>
      <c r="S532" s="174"/>
      <c r="T532" s="174"/>
      <c r="U532" s="174"/>
      <c r="V532" s="174"/>
      <c r="W532" s="174"/>
      <c r="X532" s="174"/>
      <c r="Y532" s="174"/>
      <c r="Z532" s="174"/>
    </row>
    <row r="533" customFormat="false" ht="15.75" hidden="false" customHeight="false" outlineLevel="0" collapsed="false">
      <c r="A533" s="174"/>
      <c r="B533" s="174"/>
      <c r="C533" s="174"/>
      <c r="D533" s="174"/>
      <c r="E533" s="174"/>
      <c r="F533" s="174"/>
      <c r="G533" s="174"/>
      <c r="H533" s="174"/>
      <c r="I533" s="174"/>
      <c r="J533" s="174"/>
      <c r="K533" s="174"/>
      <c r="L533" s="174"/>
      <c r="M533" s="174"/>
      <c r="N533" s="174"/>
      <c r="O533" s="174"/>
      <c r="P533" s="174"/>
      <c r="Q533" s="174"/>
      <c r="R533" s="174"/>
      <c r="S533" s="174"/>
      <c r="T533" s="174"/>
      <c r="U533" s="174"/>
      <c r="V533" s="174"/>
      <c r="W533" s="174"/>
      <c r="X533" s="174"/>
      <c r="Y533" s="174"/>
      <c r="Z533" s="174"/>
    </row>
    <row r="534" customFormat="false" ht="15.75" hidden="false" customHeight="false" outlineLevel="0" collapsed="false">
      <c r="A534" s="174"/>
      <c r="B534" s="174"/>
      <c r="C534" s="174"/>
      <c r="D534" s="174"/>
      <c r="E534" s="174"/>
      <c r="F534" s="174"/>
      <c r="G534" s="174"/>
      <c r="H534" s="174"/>
      <c r="I534" s="174"/>
      <c r="J534" s="174"/>
      <c r="K534" s="174"/>
      <c r="L534" s="174"/>
      <c r="M534" s="174"/>
      <c r="N534" s="174"/>
      <c r="O534" s="174"/>
      <c r="P534" s="174"/>
      <c r="Q534" s="174"/>
      <c r="R534" s="174"/>
      <c r="S534" s="174"/>
      <c r="T534" s="174"/>
      <c r="U534" s="174"/>
      <c r="V534" s="174"/>
      <c r="W534" s="174"/>
      <c r="X534" s="174"/>
      <c r="Y534" s="174"/>
      <c r="Z534" s="174"/>
    </row>
    <row r="535" customFormat="false" ht="15.75" hidden="false" customHeight="false" outlineLevel="0" collapsed="false">
      <c r="A535" s="174"/>
      <c r="B535" s="174"/>
      <c r="C535" s="174"/>
      <c r="D535" s="174"/>
      <c r="E535" s="174"/>
      <c r="F535" s="174"/>
      <c r="G535" s="174"/>
      <c r="H535" s="174"/>
      <c r="I535" s="174"/>
      <c r="J535" s="174"/>
      <c r="K535" s="174"/>
      <c r="L535" s="174"/>
      <c r="M535" s="174"/>
      <c r="N535" s="174"/>
      <c r="O535" s="174"/>
      <c r="P535" s="174"/>
      <c r="Q535" s="174"/>
      <c r="R535" s="174"/>
      <c r="S535" s="174"/>
      <c r="T535" s="174"/>
      <c r="U535" s="174"/>
      <c r="V535" s="174"/>
      <c r="W535" s="174"/>
      <c r="X535" s="174"/>
      <c r="Y535" s="174"/>
      <c r="Z535" s="174"/>
    </row>
    <row r="536" customFormat="false" ht="15.75" hidden="false" customHeight="false" outlineLevel="0" collapsed="false">
      <c r="A536" s="174"/>
      <c r="B536" s="174"/>
      <c r="C536" s="174"/>
      <c r="D536" s="174"/>
      <c r="E536" s="174"/>
      <c r="F536" s="174"/>
      <c r="G536" s="174"/>
      <c r="H536" s="174"/>
      <c r="I536" s="174"/>
      <c r="J536" s="174"/>
      <c r="K536" s="174"/>
      <c r="L536" s="174"/>
      <c r="M536" s="174"/>
      <c r="N536" s="174"/>
      <c r="O536" s="174"/>
      <c r="P536" s="174"/>
      <c r="Q536" s="174"/>
      <c r="R536" s="174"/>
      <c r="S536" s="174"/>
      <c r="T536" s="174"/>
      <c r="U536" s="174"/>
      <c r="V536" s="174"/>
      <c r="W536" s="174"/>
      <c r="X536" s="174"/>
      <c r="Y536" s="174"/>
      <c r="Z536" s="174"/>
    </row>
    <row r="537" customFormat="false" ht="15.75" hidden="false" customHeight="false" outlineLevel="0" collapsed="false">
      <c r="A537" s="174"/>
      <c r="B537" s="174"/>
      <c r="C537" s="174"/>
      <c r="D537" s="174"/>
      <c r="E537" s="174"/>
      <c r="F537" s="174"/>
      <c r="G537" s="174"/>
      <c r="H537" s="174"/>
      <c r="I537" s="174"/>
      <c r="J537" s="174"/>
      <c r="K537" s="174"/>
      <c r="L537" s="174"/>
      <c r="M537" s="174"/>
      <c r="N537" s="174"/>
      <c r="O537" s="174"/>
      <c r="P537" s="174"/>
      <c r="Q537" s="174"/>
      <c r="R537" s="174"/>
      <c r="S537" s="174"/>
      <c r="T537" s="174"/>
      <c r="U537" s="174"/>
      <c r="V537" s="174"/>
      <c r="W537" s="174"/>
      <c r="X537" s="174"/>
      <c r="Y537" s="174"/>
      <c r="Z537" s="174"/>
    </row>
    <row r="538" customFormat="false" ht="15.75" hidden="false" customHeight="false" outlineLevel="0" collapsed="false">
      <c r="A538" s="174"/>
      <c r="B538" s="174"/>
      <c r="C538" s="174"/>
      <c r="D538" s="174"/>
      <c r="E538" s="174"/>
      <c r="F538" s="174"/>
      <c r="G538" s="174"/>
      <c r="H538" s="174"/>
      <c r="I538" s="174"/>
      <c r="J538" s="174"/>
      <c r="K538" s="174"/>
      <c r="L538" s="174"/>
      <c r="M538" s="174"/>
      <c r="N538" s="174"/>
      <c r="O538" s="174"/>
      <c r="P538" s="174"/>
      <c r="Q538" s="174"/>
      <c r="R538" s="174"/>
      <c r="S538" s="174"/>
      <c r="T538" s="174"/>
      <c r="U538" s="174"/>
      <c r="V538" s="174"/>
      <c r="W538" s="174"/>
      <c r="X538" s="174"/>
      <c r="Y538" s="174"/>
      <c r="Z538" s="174"/>
    </row>
    <row r="539" customFormat="false" ht="15.75" hidden="false" customHeight="false" outlineLevel="0" collapsed="false">
      <c r="A539" s="174"/>
      <c r="B539" s="174"/>
      <c r="C539" s="174"/>
      <c r="D539" s="174"/>
      <c r="E539" s="174"/>
      <c r="F539" s="174"/>
      <c r="G539" s="174"/>
      <c r="H539" s="174"/>
      <c r="I539" s="174"/>
      <c r="J539" s="174"/>
      <c r="K539" s="174"/>
      <c r="L539" s="174"/>
      <c r="M539" s="174"/>
      <c r="N539" s="174"/>
      <c r="O539" s="174"/>
      <c r="P539" s="174"/>
      <c r="Q539" s="174"/>
      <c r="R539" s="174"/>
      <c r="S539" s="174"/>
      <c r="T539" s="174"/>
      <c r="U539" s="174"/>
      <c r="V539" s="174"/>
      <c r="W539" s="174"/>
      <c r="X539" s="174"/>
      <c r="Y539" s="174"/>
      <c r="Z539" s="174"/>
    </row>
    <row r="540" customFormat="false" ht="15.75" hidden="false" customHeight="false" outlineLevel="0" collapsed="false">
      <c r="A540" s="174"/>
      <c r="B540" s="174"/>
      <c r="C540" s="174"/>
      <c r="D540" s="174"/>
      <c r="E540" s="174"/>
      <c r="F540" s="174"/>
      <c r="G540" s="174"/>
      <c r="H540" s="174"/>
      <c r="I540" s="174"/>
      <c r="J540" s="174"/>
      <c r="K540" s="174"/>
      <c r="L540" s="174"/>
      <c r="M540" s="174"/>
      <c r="N540" s="174"/>
      <c r="O540" s="174"/>
      <c r="P540" s="174"/>
      <c r="Q540" s="174"/>
      <c r="R540" s="174"/>
      <c r="S540" s="174"/>
      <c r="T540" s="174"/>
      <c r="U540" s="174"/>
      <c r="V540" s="174"/>
      <c r="W540" s="174"/>
      <c r="X540" s="174"/>
      <c r="Y540" s="174"/>
      <c r="Z540" s="174"/>
    </row>
    <row r="541" customFormat="false" ht="15.75" hidden="false" customHeight="false" outlineLevel="0" collapsed="false">
      <c r="A541" s="174"/>
      <c r="B541" s="174"/>
      <c r="C541" s="174"/>
      <c r="D541" s="174"/>
      <c r="E541" s="174"/>
      <c r="F541" s="174"/>
      <c r="G541" s="174"/>
      <c r="H541" s="174"/>
      <c r="I541" s="174"/>
      <c r="J541" s="174"/>
      <c r="K541" s="174"/>
      <c r="L541" s="174"/>
      <c r="M541" s="174"/>
      <c r="N541" s="174"/>
      <c r="O541" s="174"/>
      <c r="P541" s="174"/>
      <c r="Q541" s="174"/>
      <c r="R541" s="174"/>
      <c r="S541" s="174"/>
      <c r="T541" s="174"/>
      <c r="U541" s="174"/>
      <c r="V541" s="174"/>
      <c r="W541" s="174"/>
      <c r="X541" s="174"/>
      <c r="Y541" s="174"/>
      <c r="Z541" s="174"/>
    </row>
    <row r="542" customFormat="false" ht="15.75" hidden="false" customHeight="false" outlineLevel="0" collapsed="false">
      <c r="A542" s="174"/>
      <c r="B542" s="174"/>
      <c r="C542" s="174"/>
      <c r="D542" s="174"/>
      <c r="E542" s="174"/>
      <c r="F542" s="174"/>
      <c r="G542" s="174"/>
      <c r="H542" s="174"/>
      <c r="I542" s="174"/>
      <c r="J542" s="174"/>
      <c r="K542" s="174"/>
      <c r="L542" s="174"/>
      <c r="M542" s="174"/>
      <c r="N542" s="174"/>
      <c r="O542" s="174"/>
      <c r="P542" s="174"/>
      <c r="Q542" s="174"/>
      <c r="R542" s="174"/>
      <c r="S542" s="174"/>
      <c r="T542" s="174"/>
      <c r="U542" s="174"/>
      <c r="V542" s="174"/>
      <c r="W542" s="174"/>
      <c r="X542" s="174"/>
      <c r="Y542" s="174"/>
      <c r="Z542" s="174"/>
    </row>
    <row r="543" customFormat="false" ht="15.75" hidden="false" customHeight="false" outlineLevel="0" collapsed="false">
      <c r="A543" s="174"/>
      <c r="B543" s="174"/>
      <c r="C543" s="174"/>
      <c r="D543" s="174"/>
      <c r="E543" s="174"/>
      <c r="F543" s="174"/>
      <c r="G543" s="174"/>
      <c r="H543" s="174"/>
      <c r="I543" s="174"/>
      <c r="J543" s="174"/>
      <c r="K543" s="174"/>
      <c r="L543" s="174"/>
      <c r="M543" s="174"/>
      <c r="N543" s="174"/>
      <c r="O543" s="174"/>
      <c r="P543" s="174"/>
      <c r="Q543" s="174"/>
      <c r="R543" s="174"/>
      <c r="S543" s="174"/>
      <c r="T543" s="174"/>
      <c r="U543" s="174"/>
      <c r="V543" s="174"/>
      <c r="W543" s="174"/>
      <c r="X543" s="174"/>
      <c r="Y543" s="174"/>
      <c r="Z543" s="174"/>
    </row>
    <row r="544" customFormat="false" ht="15.75" hidden="false" customHeight="false" outlineLevel="0" collapsed="false">
      <c r="A544" s="174"/>
      <c r="B544" s="174"/>
      <c r="C544" s="174"/>
      <c r="D544" s="174"/>
      <c r="E544" s="174"/>
      <c r="F544" s="174"/>
      <c r="G544" s="174"/>
      <c r="H544" s="174"/>
      <c r="I544" s="174"/>
      <c r="J544" s="174"/>
      <c r="K544" s="174"/>
      <c r="L544" s="174"/>
      <c r="M544" s="174"/>
      <c r="N544" s="174"/>
      <c r="O544" s="174"/>
      <c r="P544" s="174"/>
      <c r="Q544" s="174"/>
      <c r="R544" s="174"/>
      <c r="S544" s="174"/>
      <c r="T544" s="174"/>
      <c r="U544" s="174"/>
      <c r="V544" s="174"/>
      <c r="W544" s="174"/>
      <c r="X544" s="174"/>
      <c r="Y544" s="174"/>
      <c r="Z544" s="174"/>
    </row>
    <row r="545" customFormat="false" ht="15.75" hidden="false" customHeight="false" outlineLevel="0" collapsed="false">
      <c r="A545" s="174"/>
      <c r="B545" s="174"/>
      <c r="C545" s="174"/>
      <c r="D545" s="174"/>
      <c r="E545" s="174"/>
      <c r="F545" s="174"/>
      <c r="G545" s="174"/>
      <c r="H545" s="174"/>
      <c r="I545" s="174"/>
      <c r="J545" s="174"/>
      <c r="K545" s="174"/>
      <c r="L545" s="174"/>
      <c r="M545" s="174"/>
      <c r="N545" s="174"/>
      <c r="O545" s="174"/>
      <c r="P545" s="174"/>
      <c r="Q545" s="174"/>
      <c r="R545" s="174"/>
      <c r="S545" s="174"/>
      <c r="T545" s="174"/>
      <c r="U545" s="174"/>
      <c r="V545" s="174"/>
      <c r="W545" s="174"/>
      <c r="X545" s="174"/>
      <c r="Y545" s="174"/>
      <c r="Z545" s="174"/>
    </row>
    <row r="546" customFormat="false" ht="15.75" hidden="false" customHeight="false" outlineLevel="0" collapsed="false">
      <c r="A546" s="174"/>
      <c r="B546" s="174"/>
      <c r="C546" s="174"/>
      <c r="D546" s="174"/>
      <c r="E546" s="174"/>
      <c r="F546" s="174"/>
      <c r="G546" s="174"/>
      <c r="H546" s="174"/>
      <c r="I546" s="174"/>
      <c r="J546" s="174"/>
      <c r="K546" s="174"/>
      <c r="L546" s="174"/>
      <c r="M546" s="174"/>
      <c r="N546" s="174"/>
      <c r="O546" s="174"/>
      <c r="P546" s="174"/>
      <c r="Q546" s="174"/>
      <c r="R546" s="174"/>
      <c r="S546" s="174"/>
      <c r="T546" s="174"/>
      <c r="U546" s="174"/>
      <c r="V546" s="174"/>
      <c r="W546" s="174"/>
      <c r="X546" s="174"/>
      <c r="Y546" s="174"/>
      <c r="Z546" s="174"/>
    </row>
    <row r="547" customFormat="false" ht="15.75" hidden="false" customHeight="false" outlineLevel="0" collapsed="false">
      <c r="A547" s="174"/>
      <c r="B547" s="174"/>
      <c r="C547" s="174"/>
      <c r="D547" s="174"/>
      <c r="E547" s="174"/>
      <c r="F547" s="174"/>
      <c r="G547" s="174"/>
      <c r="H547" s="174"/>
      <c r="I547" s="174"/>
      <c r="J547" s="174"/>
      <c r="K547" s="174"/>
      <c r="L547" s="174"/>
      <c r="M547" s="174"/>
      <c r="N547" s="174"/>
      <c r="O547" s="174"/>
      <c r="P547" s="174"/>
      <c r="Q547" s="174"/>
      <c r="R547" s="174"/>
      <c r="S547" s="174"/>
      <c r="T547" s="174"/>
      <c r="U547" s="174"/>
      <c r="V547" s="174"/>
      <c r="W547" s="174"/>
      <c r="X547" s="174"/>
      <c r="Y547" s="174"/>
      <c r="Z547" s="174"/>
    </row>
    <row r="548" customFormat="false" ht="15.75" hidden="false" customHeight="false" outlineLevel="0" collapsed="false">
      <c r="A548" s="174"/>
      <c r="B548" s="174"/>
      <c r="C548" s="174"/>
      <c r="D548" s="174"/>
      <c r="E548" s="174"/>
      <c r="F548" s="174"/>
      <c r="G548" s="174"/>
      <c r="H548" s="174"/>
      <c r="I548" s="174"/>
      <c r="J548" s="174"/>
      <c r="K548" s="174"/>
      <c r="L548" s="174"/>
      <c r="M548" s="174"/>
      <c r="N548" s="174"/>
      <c r="O548" s="174"/>
      <c r="P548" s="174"/>
      <c r="Q548" s="174"/>
      <c r="R548" s="174"/>
      <c r="S548" s="174"/>
      <c r="T548" s="174"/>
      <c r="U548" s="174"/>
      <c r="V548" s="174"/>
      <c r="W548" s="174"/>
      <c r="X548" s="174"/>
      <c r="Y548" s="174"/>
      <c r="Z548" s="174"/>
    </row>
    <row r="549" customFormat="false" ht="15.75" hidden="false" customHeight="false" outlineLevel="0" collapsed="false">
      <c r="A549" s="174"/>
      <c r="B549" s="174"/>
      <c r="C549" s="174"/>
      <c r="D549" s="174"/>
      <c r="E549" s="174"/>
      <c r="F549" s="174"/>
      <c r="G549" s="174"/>
      <c r="H549" s="174"/>
      <c r="I549" s="174"/>
      <c r="J549" s="174"/>
      <c r="K549" s="174"/>
      <c r="L549" s="174"/>
      <c r="M549" s="174"/>
      <c r="N549" s="174"/>
      <c r="O549" s="174"/>
      <c r="P549" s="174"/>
      <c r="Q549" s="174"/>
      <c r="R549" s="174"/>
      <c r="S549" s="174"/>
      <c r="T549" s="174"/>
      <c r="U549" s="174"/>
      <c r="V549" s="174"/>
      <c r="W549" s="174"/>
      <c r="X549" s="174"/>
      <c r="Y549" s="174"/>
      <c r="Z549" s="174"/>
    </row>
    <row r="550" customFormat="false" ht="15.75" hidden="false" customHeight="false" outlineLevel="0" collapsed="false">
      <c r="A550" s="174"/>
      <c r="B550" s="174"/>
      <c r="C550" s="174"/>
      <c r="D550" s="174"/>
      <c r="E550" s="174"/>
      <c r="F550" s="174"/>
      <c r="G550" s="174"/>
      <c r="H550" s="174"/>
      <c r="I550" s="174"/>
      <c r="J550" s="174"/>
      <c r="K550" s="174"/>
      <c r="L550" s="174"/>
      <c r="M550" s="174"/>
      <c r="N550" s="174"/>
      <c r="O550" s="174"/>
      <c r="P550" s="174"/>
      <c r="Q550" s="174"/>
      <c r="R550" s="174"/>
      <c r="S550" s="174"/>
      <c r="T550" s="174"/>
      <c r="U550" s="174"/>
      <c r="V550" s="174"/>
      <c r="W550" s="174"/>
      <c r="X550" s="174"/>
      <c r="Y550" s="174"/>
      <c r="Z550" s="174"/>
    </row>
    <row r="551" customFormat="false" ht="15.75" hidden="false" customHeight="false" outlineLevel="0" collapsed="false">
      <c r="A551" s="174"/>
      <c r="B551" s="174"/>
      <c r="C551" s="174"/>
      <c r="D551" s="174"/>
      <c r="E551" s="174"/>
      <c r="F551" s="174"/>
      <c r="G551" s="174"/>
      <c r="H551" s="174"/>
      <c r="I551" s="174"/>
      <c r="J551" s="174"/>
      <c r="K551" s="174"/>
      <c r="L551" s="174"/>
      <c r="M551" s="174"/>
      <c r="N551" s="174"/>
      <c r="O551" s="174"/>
      <c r="P551" s="174"/>
      <c r="Q551" s="174"/>
      <c r="R551" s="174"/>
      <c r="S551" s="174"/>
      <c r="T551" s="174"/>
      <c r="U551" s="174"/>
      <c r="V551" s="174"/>
      <c r="W551" s="174"/>
      <c r="X551" s="174"/>
      <c r="Y551" s="174"/>
      <c r="Z551" s="174"/>
    </row>
    <row r="552" customFormat="false" ht="15.75" hidden="false" customHeight="false" outlineLevel="0" collapsed="false">
      <c r="A552" s="174"/>
      <c r="B552" s="174"/>
      <c r="C552" s="174"/>
      <c r="D552" s="174"/>
      <c r="E552" s="174"/>
      <c r="F552" s="174"/>
      <c r="G552" s="174"/>
      <c r="H552" s="174"/>
      <c r="I552" s="174"/>
      <c r="J552" s="174"/>
      <c r="K552" s="174"/>
      <c r="L552" s="174"/>
      <c r="M552" s="174"/>
      <c r="N552" s="174"/>
      <c r="O552" s="174"/>
      <c r="P552" s="174"/>
      <c r="Q552" s="174"/>
      <c r="R552" s="174"/>
      <c r="S552" s="174"/>
      <c r="T552" s="174"/>
      <c r="U552" s="174"/>
      <c r="V552" s="174"/>
      <c r="W552" s="174"/>
      <c r="X552" s="174"/>
      <c r="Y552" s="174"/>
      <c r="Z552" s="174"/>
    </row>
    <row r="553" customFormat="false" ht="15.75" hidden="false" customHeight="false" outlineLevel="0" collapsed="false">
      <c r="A553" s="174"/>
      <c r="B553" s="174"/>
      <c r="C553" s="174"/>
      <c r="D553" s="174"/>
      <c r="E553" s="174"/>
      <c r="F553" s="174"/>
      <c r="G553" s="174"/>
      <c r="H553" s="174"/>
      <c r="I553" s="174"/>
      <c r="J553" s="174"/>
      <c r="K553" s="174"/>
      <c r="L553" s="174"/>
      <c r="M553" s="174"/>
      <c r="N553" s="174"/>
      <c r="O553" s="174"/>
      <c r="P553" s="174"/>
      <c r="Q553" s="174"/>
      <c r="R553" s="174"/>
      <c r="S553" s="174"/>
      <c r="T553" s="174"/>
      <c r="U553" s="174"/>
      <c r="V553" s="174"/>
      <c r="W553" s="174"/>
      <c r="X553" s="174"/>
      <c r="Y553" s="174"/>
      <c r="Z553" s="174"/>
    </row>
    <row r="554" customFormat="false" ht="15.75" hidden="false" customHeight="false" outlineLevel="0" collapsed="false">
      <c r="A554" s="174"/>
      <c r="B554" s="174"/>
      <c r="C554" s="174"/>
      <c r="D554" s="174"/>
      <c r="E554" s="174"/>
      <c r="F554" s="174"/>
      <c r="G554" s="174"/>
      <c r="H554" s="174"/>
      <c r="I554" s="174"/>
      <c r="J554" s="174"/>
      <c r="K554" s="174"/>
      <c r="L554" s="174"/>
      <c r="M554" s="174"/>
      <c r="N554" s="174"/>
      <c r="O554" s="174"/>
      <c r="P554" s="174"/>
      <c r="Q554" s="174"/>
      <c r="R554" s="174"/>
      <c r="S554" s="174"/>
      <c r="T554" s="174"/>
      <c r="U554" s="174"/>
      <c r="V554" s="174"/>
      <c r="W554" s="174"/>
      <c r="X554" s="174"/>
      <c r="Y554" s="174"/>
      <c r="Z554" s="174"/>
    </row>
    <row r="555" customFormat="false" ht="15.75" hidden="false" customHeight="false" outlineLevel="0" collapsed="false">
      <c r="A555" s="174"/>
      <c r="B555" s="174"/>
      <c r="C555" s="174"/>
      <c r="D555" s="174"/>
      <c r="E555" s="174"/>
      <c r="F555" s="174"/>
      <c r="G555" s="174"/>
      <c r="H555" s="174"/>
      <c r="I555" s="174"/>
      <c r="J555" s="174"/>
      <c r="K555" s="174"/>
      <c r="L555" s="174"/>
      <c r="M555" s="174"/>
      <c r="N555" s="174"/>
      <c r="O555" s="174"/>
      <c r="P555" s="174"/>
      <c r="Q555" s="174"/>
      <c r="R555" s="174"/>
      <c r="S555" s="174"/>
      <c r="T555" s="174"/>
      <c r="U555" s="174"/>
      <c r="V555" s="174"/>
      <c r="W555" s="174"/>
      <c r="X555" s="174"/>
      <c r="Y555" s="174"/>
      <c r="Z555" s="174"/>
    </row>
    <row r="556" customFormat="false" ht="15.75" hidden="false" customHeight="false" outlineLevel="0" collapsed="false">
      <c r="A556" s="174"/>
      <c r="B556" s="174"/>
      <c r="C556" s="174"/>
      <c r="D556" s="174"/>
      <c r="E556" s="174"/>
      <c r="F556" s="174"/>
      <c r="G556" s="174"/>
      <c r="H556" s="174"/>
      <c r="I556" s="174"/>
      <c r="J556" s="174"/>
      <c r="K556" s="174"/>
      <c r="L556" s="174"/>
      <c r="M556" s="174"/>
      <c r="N556" s="174"/>
      <c r="O556" s="174"/>
      <c r="P556" s="174"/>
      <c r="Q556" s="174"/>
      <c r="R556" s="174"/>
      <c r="S556" s="174"/>
      <c r="T556" s="174"/>
      <c r="U556" s="174"/>
      <c r="V556" s="174"/>
      <c r="W556" s="174"/>
      <c r="X556" s="174"/>
      <c r="Y556" s="174"/>
      <c r="Z556" s="174"/>
    </row>
    <row r="557" customFormat="false" ht="15.75" hidden="false" customHeight="false" outlineLevel="0" collapsed="false">
      <c r="A557" s="174"/>
      <c r="B557" s="174"/>
      <c r="C557" s="174"/>
      <c r="D557" s="174"/>
      <c r="E557" s="174"/>
      <c r="F557" s="174"/>
      <c r="G557" s="174"/>
      <c r="H557" s="174"/>
      <c r="I557" s="174"/>
      <c r="J557" s="174"/>
      <c r="K557" s="174"/>
      <c r="L557" s="174"/>
      <c r="M557" s="174"/>
      <c r="N557" s="174"/>
      <c r="O557" s="174"/>
      <c r="P557" s="174"/>
      <c r="Q557" s="174"/>
      <c r="R557" s="174"/>
      <c r="S557" s="174"/>
      <c r="T557" s="174"/>
      <c r="U557" s="174"/>
      <c r="V557" s="174"/>
      <c r="W557" s="174"/>
      <c r="X557" s="174"/>
      <c r="Y557" s="174"/>
      <c r="Z557" s="174"/>
    </row>
    <row r="558" customFormat="false" ht="15.75" hidden="false" customHeight="false" outlineLevel="0" collapsed="false">
      <c r="A558" s="174"/>
      <c r="B558" s="174"/>
      <c r="C558" s="174"/>
      <c r="D558" s="174"/>
      <c r="E558" s="174"/>
      <c r="F558" s="174"/>
      <c r="G558" s="174"/>
      <c r="H558" s="174"/>
      <c r="I558" s="174"/>
      <c r="J558" s="174"/>
      <c r="K558" s="174"/>
      <c r="L558" s="174"/>
      <c r="M558" s="174"/>
      <c r="N558" s="174"/>
      <c r="O558" s="174"/>
      <c r="P558" s="174"/>
      <c r="Q558" s="174"/>
      <c r="R558" s="174"/>
      <c r="S558" s="174"/>
      <c r="T558" s="174"/>
      <c r="U558" s="174"/>
      <c r="V558" s="174"/>
      <c r="W558" s="174"/>
      <c r="X558" s="174"/>
      <c r="Y558" s="174"/>
      <c r="Z558" s="174"/>
    </row>
    <row r="559" customFormat="false" ht="15.75" hidden="false" customHeight="false" outlineLevel="0" collapsed="false">
      <c r="A559" s="174"/>
      <c r="B559" s="174"/>
      <c r="C559" s="174"/>
      <c r="D559" s="174"/>
      <c r="E559" s="174"/>
      <c r="F559" s="174"/>
      <c r="G559" s="174"/>
      <c r="H559" s="174"/>
      <c r="I559" s="174"/>
      <c r="J559" s="174"/>
      <c r="K559" s="174"/>
      <c r="L559" s="174"/>
      <c r="M559" s="174"/>
      <c r="N559" s="174"/>
      <c r="O559" s="174"/>
      <c r="P559" s="174"/>
      <c r="Q559" s="174"/>
      <c r="R559" s="174"/>
      <c r="S559" s="174"/>
      <c r="T559" s="174"/>
      <c r="U559" s="174"/>
      <c r="V559" s="174"/>
      <c r="W559" s="174"/>
      <c r="X559" s="174"/>
      <c r="Y559" s="174"/>
      <c r="Z559" s="174"/>
    </row>
    <row r="560" customFormat="false" ht="15.75" hidden="false" customHeight="false" outlineLevel="0" collapsed="false">
      <c r="A560" s="174"/>
      <c r="B560" s="174"/>
      <c r="C560" s="174"/>
      <c r="D560" s="174"/>
      <c r="E560" s="174"/>
      <c r="F560" s="174"/>
      <c r="G560" s="174"/>
      <c r="H560" s="174"/>
      <c r="I560" s="174"/>
      <c r="J560" s="174"/>
      <c r="K560" s="174"/>
      <c r="L560" s="174"/>
      <c r="M560" s="174"/>
      <c r="N560" s="174"/>
      <c r="O560" s="174"/>
      <c r="P560" s="174"/>
      <c r="Q560" s="174"/>
      <c r="R560" s="174"/>
      <c r="S560" s="174"/>
      <c r="T560" s="174"/>
      <c r="U560" s="174"/>
      <c r="V560" s="174"/>
      <c r="W560" s="174"/>
      <c r="X560" s="174"/>
      <c r="Y560" s="174"/>
      <c r="Z560" s="174"/>
    </row>
    <row r="561" customFormat="false" ht="15.75" hidden="false" customHeight="false" outlineLevel="0" collapsed="false">
      <c r="A561" s="174"/>
      <c r="B561" s="174"/>
      <c r="C561" s="174"/>
      <c r="D561" s="174"/>
      <c r="E561" s="174"/>
      <c r="F561" s="174"/>
      <c r="G561" s="174"/>
      <c r="H561" s="174"/>
      <c r="I561" s="174"/>
      <c r="J561" s="174"/>
      <c r="K561" s="174"/>
      <c r="L561" s="174"/>
      <c r="M561" s="174"/>
      <c r="N561" s="174"/>
      <c r="O561" s="174"/>
      <c r="P561" s="174"/>
      <c r="Q561" s="174"/>
      <c r="R561" s="174"/>
      <c r="S561" s="174"/>
      <c r="T561" s="174"/>
      <c r="U561" s="174"/>
      <c r="V561" s="174"/>
      <c r="W561" s="174"/>
      <c r="X561" s="174"/>
      <c r="Y561" s="174"/>
      <c r="Z561" s="174"/>
    </row>
    <row r="562" customFormat="false" ht="15.75" hidden="false" customHeight="false" outlineLevel="0" collapsed="false">
      <c r="A562" s="174"/>
      <c r="B562" s="174"/>
      <c r="C562" s="174"/>
      <c r="D562" s="174"/>
      <c r="E562" s="174"/>
      <c r="F562" s="174"/>
      <c r="G562" s="174"/>
      <c r="H562" s="174"/>
      <c r="I562" s="174"/>
      <c r="J562" s="174"/>
      <c r="K562" s="174"/>
      <c r="L562" s="174"/>
      <c r="M562" s="174"/>
      <c r="N562" s="174"/>
      <c r="O562" s="174"/>
      <c r="P562" s="174"/>
      <c r="Q562" s="174"/>
      <c r="R562" s="174"/>
      <c r="S562" s="174"/>
      <c r="T562" s="174"/>
      <c r="U562" s="174"/>
      <c r="V562" s="174"/>
      <c r="W562" s="174"/>
      <c r="X562" s="174"/>
      <c r="Y562" s="174"/>
      <c r="Z562" s="174"/>
    </row>
    <row r="563" customFormat="false" ht="15.75" hidden="false" customHeight="false" outlineLevel="0" collapsed="false">
      <c r="A563" s="174"/>
      <c r="B563" s="174"/>
      <c r="C563" s="174"/>
      <c r="D563" s="174"/>
      <c r="E563" s="174"/>
      <c r="F563" s="174"/>
      <c r="G563" s="174"/>
      <c r="H563" s="174"/>
      <c r="I563" s="174"/>
      <c r="J563" s="174"/>
      <c r="K563" s="174"/>
      <c r="L563" s="174"/>
      <c r="M563" s="174"/>
      <c r="N563" s="174"/>
      <c r="O563" s="174"/>
      <c r="P563" s="174"/>
      <c r="Q563" s="174"/>
      <c r="R563" s="174"/>
      <c r="S563" s="174"/>
      <c r="T563" s="174"/>
      <c r="U563" s="174"/>
      <c r="V563" s="174"/>
      <c r="W563" s="174"/>
      <c r="X563" s="174"/>
      <c r="Y563" s="174"/>
      <c r="Z563" s="174"/>
    </row>
    <row r="564" customFormat="false" ht="15.75" hidden="false" customHeight="false" outlineLevel="0" collapsed="false">
      <c r="A564" s="174"/>
      <c r="B564" s="174"/>
      <c r="C564" s="174"/>
      <c r="D564" s="174"/>
      <c r="E564" s="174"/>
      <c r="F564" s="174"/>
      <c r="G564" s="174"/>
      <c r="H564" s="174"/>
      <c r="I564" s="174"/>
      <c r="J564" s="174"/>
      <c r="K564" s="174"/>
      <c r="L564" s="174"/>
      <c r="M564" s="174"/>
      <c r="N564" s="174"/>
      <c r="O564" s="174"/>
      <c r="P564" s="174"/>
      <c r="Q564" s="174"/>
      <c r="R564" s="174"/>
      <c r="S564" s="174"/>
      <c r="T564" s="174"/>
      <c r="U564" s="174"/>
      <c r="V564" s="174"/>
      <c r="W564" s="174"/>
      <c r="X564" s="174"/>
      <c r="Y564" s="174"/>
      <c r="Z564" s="174"/>
    </row>
    <row r="565" customFormat="false" ht="15.75" hidden="false" customHeight="false" outlineLevel="0" collapsed="false">
      <c r="A565" s="174"/>
      <c r="B565" s="174"/>
      <c r="C565" s="174"/>
      <c r="D565" s="174"/>
      <c r="E565" s="174"/>
      <c r="F565" s="174"/>
      <c r="G565" s="174"/>
      <c r="H565" s="174"/>
      <c r="I565" s="174"/>
      <c r="J565" s="174"/>
      <c r="K565" s="174"/>
      <c r="L565" s="174"/>
      <c r="M565" s="174"/>
      <c r="N565" s="174"/>
      <c r="O565" s="174"/>
      <c r="P565" s="174"/>
      <c r="Q565" s="174"/>
      <c r="R565" s="174"/>
      <c r="S565" s="174"/>
      <c r="T565" s="174"/>
      <c r="U565" s="174"/>
      <c r="V565" s="174"/>
      <c r="W565" s="174"/>
      <c r="X565" s="174"/>
      <c r="Y565" s="174"/>
      <c r="Z565" s="174"/>
    </row>
    <row r="566" customFormat="false" ht="15.75" hidden="false" customHeight="false" outlineLevel="0" collapsed="false">
      <c r="A566" s="174"/>
      <c r="B566" s="174"/>
      <c r="C566" s="174"/>
      <c r="D566" s="174"/>
      <c r="E566" s="174"/>
      <c r="F566" s="174"/>
      <c r="G566" s="174"/>
      <c r="H566" s="174"/>
      <c r="I566" s="174"/>
      <c r="J566" s="174"/>
      <c r="K566" s="174"/>
      <c r="L566" s="174"/>
      <c r="M566" s="174"/>
      <c r="N566" s="174"/>
      <c r="O566" s="174"/>
      <c r="P566" s="174"/>
      <c r="Q566" s="174"/>
      <c r="R566" s="174"/>
      <c r="S566" s="174"/>
      <c r="T566" s="174"/>
      <c r="U566" s="174"/>
      <c r="V566" s="174"/>
      <c r="W566" s="174"/>
      <c r="X566" s="174"/>
      <c r="Y566" s="174"/>
      <c r="Z566" s="174"/>
    </row>
    <row r="567" customFormat="false" ht="15.75" hidden="false" customHeight="false" outlineLevel="0" collapsed="false">
      <c r="A567" s="174"/>
      <c r="B567" s="174"/>
      <c r="C567" s="174"/>
      <c r="D567" s="174"/>
      <c r="E567" s="174"/>
      <c r="F567" s="174"/>
      <c r="G567" s="174"/>
      <c r="H567" s="174"/>
      <c r="I567" s="174"/>
      <c r="J567" s="174"/>
      <c r="K567" s="174"/>
      <c r="L567" s="174"/>
      <c r="M567" s="174"/>
      <c r="N567" s="174"/>
      <c r="O567" s="174"/>
      <c r="P567" s="174"/>
      <c r="Q567" s="174"/>
      <c r="R567" s="174"/>
      <c r="S567" s="174"/>
      <c r="T567" s="174"/>
      <c r="U567" s="174"/>
      <c r="V567" s="174"/>
      <c r="W567" s="174"/>
      <c r="X567" s="174"/>
      <c r="Y567" s="174"/>
      <c r="Z567" s="174"/>
    </row>
    <row r="568" customFormat="false" ht="15.75" hidden="false" customHeight="false" outlineLevel="0" collapsed="false">
      <c r="A568" s="174"/>
      <c r="B568" s="174"/>
      <c r="C568" s="174"/>
      <c r="D568" s="174"/>
      <c r="E568" s="174"/>
      <c r="F568" s="174"/>
      <c r="G568" s="174"/>
      <c r="H568" s="174"/>
      <c r="I568" s="174"/>
      <c r="J568" s="174"/>
      <c r="K568" s="174"/>
      <c r="L568" s="174"/>
      <c r="M568" s="174"/>
      <c r="N568" s="174"/>
      <c r="O568" s="174"/>
      <c r="P568" s="174"/>
      <c r="Q568" s="174"/>
      <c r="R568" s="174"/>
      <c r="S568" s="174"/>
      <c r="T568" s="174"/>
      <c r="U568" s="174"/>
      <c r="V568" s="174"/>
      <c r="W568" s="174"/>
      <c r="X568" s="174"/>
      <c r="Y568" s="174"/>
      <c r="Z568" s="174"/>
    </row>
    <row r="569" customFormat="false" ht="15.75" hidden="false" customHeight="false" outlineLevel="0" collapsed="false">
      <c r="A569" s="174"/>
      <c r="B569" s="174"/>
      <c r="C569" s="174"/>
      <c r="D569" s="174"/>
      <c r="E569" s="174"/>
      <c r="F569" s="174"/>
      <c r="G569" s="174"/>
      <c r="H569" s="174"/>
      <c r="I569" s="174"/>
      <c r="J569" s="174"/>
      <c r="K569" s="174"/>
      <c r="L569" s="174"/>
      <c r="M569" s="174"/>
      <c r="N569" s="174"/>
      <c r="O569" s="174"/>
      <c r="P569" s="174"/>
      <c r="Q569" s="174"/>
      <c r="R569" s="174"/>
      <c r="S569" s="174"/>
      <c r="T569" s="174"/>
      <c r="U569" s="174"/>
      <c r="V569" s="174"/>
      <c r="W569" s="174"/>
      <c r="X569" s="174"/>
      <c r="Y569" s="174"/>
      <c r="Z569" s="174"/>
    </row>
    <row r="570" customFormat="false" ht="15.75" hidden="false" customHeight="false" outlineLevel="0" collapsed="false">
      <c r="A570" s="174"/>
      <c r="B570" s="174"/>
      <c r="C570" s="174"/>
      <c r="D570" s="174"/>
      <c r="E570" s="174"/>
      <c r="F570" s="174"/>
      <c r="G570" s="174"/>
      <c r="H570" s="174"/>
      <c r="I570" s="174"/>
      <c r="J570" s="174"/>
      <c r="K570" s="174"/>
      <c r="L570" s="174"/>
      <c r="M570" s="174"/>
      <c r="N570" s="174"/>
      <c r="O570" s="174"/>
      <c r="P570" s="174"/>
      <c r="Q570" s="174"/>
      <c r="R570" s="174"/>
      <c r="S570" s="174"/>
      <c r="T570" s="174"/>
      <c r="U570" s="174"/>
      <c r="V570" s="174"/>
      <c r="W570" s="174"/>
      <c r="X570" s="174"/>
      <c r="Y570" s="174"/>
      <c r="Z570" s="174"/>
    </row>
    <row r="571" customFormat="false" ht="15.75" hidden="false" customHeight="false" outlineLevel="0" collapsed="false">
      <c r="A571" s="174"/>
      <c r="B571" s="174"/>
      <c r="C571" s="174"/>
      <c r="D571" s="174"/>
      <c r="E571" s="174"/>
      <c r="F571" s="174"/>
      <c r="G571" s="174"/>
      <c r="H571" s="174"/>
      <c r="I571" s="174"/>
      <c r="J571" s="174"/>
      <c r="K571" s="174"/>
      <c r="L571" s="174"/>
      <c r="M571" s="174"/>
      <c r="N571" s="174"/>
      <c r="O571" s="174"/>
      <c r="P571" s="174"/>
      <c r="Q571" s="174"/>
      <c r="R571" s="174"/>
      <c r="S571" s="174"/>
      <c r="T571" s="174"/>
      <c r="U571" s="174"/>
      <c r="V571" s="174"/>
      <c r="W571" s="174"/>
      <c r="X571" s="174"/>
      <c r="Y571" s="174"/>
      <c r="Z571" s="174"/>
    </row>
    <row r="572" customFormat="false" ht="15.75" hidden="false" customHeight="false" outlineLevel="0" collapsed="false">
      <c r="A572" s="174"/>
      <c r="B572" s="174"/>
      <c r="C572" s="174"/>
      <c r="D572" s="174"/>
      <c r="E572" s="174"/>
      <c r="F572" s="174"/>
      <c r="G572" s="174"/>
      <c r="H572" s="174"/>
      <c r="I572" s="174"/>
      <c r="J572" s="174"/>
      <c r="K572" s="174"/>
      <c r="L572" s="174"/>
      <c r="M572" s="174"/>
      <c r="N572" s="174"/>
      <c r="O572" s="174"/>
      <c r="P572" s="174"/>
      <c r="Q572" s="174"/>
      <c r="R572" s="174"/>
      <c r="S572" s="174"/>
      <c r="T572" s="174"/>
      <c r="U572" s="174"/>
      <c r="V572" s="174"/>
      <c r="W572" s="174"/>
      <c r="X572" s="174"/>
      <c r="Y572" s="174"/>
      <c r="Z572" s="174"/>
    </row>
    <row r="573" customFormat="false" ht="15.75" hidden="false" customHeight="false" outlineLevel="0" collapsed="false">
      <c r="A573" s="174"/>
      <c r="B573" s="174"/>
      <c r="C573" s="174"/>
      <c r="D573" s="174"/>
      <c r="E573" s="174"/>
      <c r="F573" s="174"/>
      <c r="G573" s="174"/>
      <c r="H573" s="174"/>
      <c r="I573" s="174"/>
      <c r="J573" s="174"/>
      <c r="K573" s="174"/>
      <c r="L573" s="174"/>
      <c r="M573" s="174"/>
      <c r="N573" s="174"/>
      <c r="O573" s="174"/>
      <c r="P573" s="174"/>
      <c r="Q573" s="174"/>
      <c r="R573" s="174"/>
      <c r="S573" s="174"/>
      <c r="T573" s="174"/>
      <c r="U573" s="174"/>
      <c r="V573" s="174"/>
      <c r="W573" s="174"/>
      <c r="X573" s="174"/>
      <c r="Y573" s="174"/>
      <c r="Z573" s="174"/>
    </row>
    <row r="574" customFormat="false" ht="15.75" hidden="false" customHeight="false" outlineLevel="0" collapsed="false">
      <c r="A574" s="174"/>
      <c r="B574" s="174"/>
      <c r="C574" s="174"/>
      <c r="D574" s="174"/>
      <c r="E574" s="174"/>
      <c r="F574" s="174"/>
      <c r="G574" s="174"/>
      <c r="H574" s="174"/>
      <c r="I574" s="174"/>
      <c r="J574" s="174"/>
      <c r="K574" s="174"/>
      <c r="L574" s="174"/>
      <c r="M574" s="174"/>
      <c r="N574" s="174"/>
      <c r="O574" s="174"/>
      <c r="P574" s="174"/>
      <c r="Q574" s="174"/>
      <c r="R574" s="174"/>
      <c r="S574" s="174"/>
      <c r="T574" s="174"/>
      <c r="U574" s="174"/>
      <c r="V574" s="174"/>
      <c r="W574" s="174"/>
      <c r="X574" s="174"/>
      <c r="Y574" s="174"/>
      <c r="Z574" s="174"/>
    </row>
    <row r="575" customFormat="false" ht="15.75" hidden="false" customHeight="false" outlineLevel="0" collapsed="false">
      <c r="A575" s="174"/>
      <c r="B575" s="174"/>
      <c r="C575" s="174"/>
      <c r="D575" s="174"/>
      <c r="E575" s="174"/>
      <c r="F575" s="174"/>
      <c r="G575" s="174"/>
      <c r="H575" s="174"/>
      <c r="I575" s="174"/>
      <c r="J575" s="174"/>
      <c r="K575" s="174"/>
      <c r="L575" s="174"/>
      <c r="M575" s="174"/>
      <c r="N575" s="174"/>
      <c r="O575" s="174"/>
      <c r="P575" s="174"/>
      <c r="Q575" s="174"/>
      <c r="R575" s="174"/>
      <c r="S575" s="174"/>
      <c r="T575" s="174"/>
      <c r="U575" s="174"/>
      <c r="V575" s="174"/>
      <c r="W575" s="174"/>
      <c r="X575" s="174"/>
      <c r="Y575" s="174"/>
      <c r="Z575" s="174"/>
    </row>
    <row r="576" customFormat="false" ht="15.75" hidden="false" customHeight="false" outlineLevel="0" collapsed="false">
      <c r="A576" s="174"/>
      <c r="B576" s="174"/>
      <c r="C576" s="174"/>
      <c r="D576" s="174"/>
      <c r="E576" s="174"/>
      <c r="F576" s="174"/>
      <c r="G576" s="174"/>
      <c r="H576" s="174"/>
      <c r="I576" s="174"/>
      <c r="J576" s="174"/>
      <c r="K576" s="174"/>
      <c r="L576" s="174"/>
      <c r="M576" s="174"/>
      <c r="N576" s="174"/>
      <c r="O576" s="174"/>
      <c r="P576" s="174"/>
      <c r="Q576" s="174"/>
      <c r="R576" s="174"/>
      <c r="S576" s="174"/>
      <c r="T576" s="174"/>
      <c r="U576" s="174"/>
      <c r="V576" s="174"/>
      <c r="W576" s="174"/>
      <c r="X576" s="174"/>
      <c r="Y576" s="174"/>
      <c r="Z576" s="174"/>
    </row>
    <row r="577" customFormat="false" ht="15.75" hidden="false" customHeight="false" outlineLevel="0" collapsed="false">
      <c r="A577" s="174"/>
      <c r="B577" s="174"/>
      <c r="C577" s="174"/>
      <c r="D577" s="174"/>
      <c r="E577" s="174"/>
      <c r="F577" s="174"/>
      <c r="G577" s="174"/>
      <c r="H577" s="174"/>
      <c r="I577" s="174"/>
      <c r="J577" s="174"/>
      <c r="K577" s="174"/>
      <c r="L577" s="174"/>
      <c r="M577" s="174"/>
      <c r="N577" s="174"/>
      <c r="O577" s="174"/>
      <c r="P577" s="174"/>
      <c r="Q577" s="174"/>
      <c r="R577" s="174"/>
      <c r="S577" s="174"/>
      <c r="T577" s="174"/>
      <c r="U577" s="174"/>
      <c r="V577" s="174"/>
      <c r="W577" s="174"/>
      <c r="X577" s="174"/>
      <c r="Y577" s="174"/>
      <c r="Z577" s="174"/>
    </row>
    <row r="578" customFormat="false" ht="15.75" hidden="false" customHeight="false" outlineLevel="0" collapsed="false">
      <c r="A578" s="174"/>
      <c r="B578" s="174"/>
      <c r="C578" s="174"/>
      <c r="D578" s="174"/>
      <c r="E578" s="174"/>
      <c r="F578" s="174"/>
      <c r="G578" s="174"/>
      <c r="H578" s="174"/>
      <c r="I578" s="174"/>
      <c r="J578" s="174"/>
      <c r="K578" s="174"/>
      <c r="L578" s="174"/>
      <c r="M578" s="174"/>
      <c r="N578" s="174"/>
      <c r="O578" s="174"/>
      <c r="P578" s="174"/>
      <c r="Q578" s="174"/>
      <c r="R578" s="174"/>
      <c r="S578" s="174"/>
      <c r="T578" s="174"/>
      <c r="U578" s="174"/>
      <c r="V578" s="174"/>
      <c r="W578" s="174"/>
      <c r="X578" s="174"/>
      <c r="Y578" s="174"/>
      <c r="Z578" s="174"/>
    </row>
    <row r="579" customFormat="false" ht="15.75" hidden="false" customHeight="false" outlineLevel="0" collapsed="false">
      <c r="A579" s="174"/>
      <c r="B579" s="174"/>
      <c r="C579" s="174"/>
      <c r="D579" s="174"/>
      <c r="E579" s="174"/>
      <c r="F579" s="174"/>
      <c r="G579" s="174"/>
      <c r="H579" s="174"/>
      <c r="I579" s="174"/>
      <c r="J579" s="174"/>
      <c r="K579" s="174"/>
      <c r="L579" s="174"/>
      <c r="M579" s="174"/>
      <c r="N579" s="174"/>
      <c r="O579" s="174"/>
      <c r="P579" s="174"/>
      <c r="Q579" s="174"/>
      <c r="R579" s="174"/>
      <c r="S579" s="174"/>
      <c r="T579" s="174"/>
      <c r="U579" s="174"/>
      <c r="V579" s="174"/>
      <c r="W579" s="174"/>
      <c r="X579" s="174"/>
      <c r="Y579" s="174"/>
      <c r="Z579" s="174"/>
    </row>
    <row r="580" customFormat="false" ht="15.75" hidden="false" customHeight="false" outlineLevel="0" collapsed="false">
      <c r="A580" s="174"/>
      <c r="B580" s="174"/>
      <c r="C580" s="174"/>
      <c r="D580" s="174"/>
      <c r="E580" s="174"/>
      <c r="F580" s="174"/>
      <c r="G580" s="174"/>
      <c r="H580" s="174"/>
      <c r="I580" s="174"/>
      <c r="J580" s="174"/>
      <c r="K580" s="174"/>
      <c r="L580" s="174"/>
      <c r="M580" s="174"/>
      <c r="N580" s="174"/>
      <c r="O580" s="174"/>
      <c r="P580" s="174"/>
      <c r="Q580" s="174"/>
      <c r="R580" s="174"/>
      <c r="S580" s="174"/>
      <c r="T580" s="174"/>
      <c r="U580" s="174"/>
      <c r="V580" s="174"/>
      <c r="W580" s="174"/>
      <c r="X580" s="174"/>
      <c r="Y580" s="174"/>
      <c r="Z580" s="174"/>
    </row>
    <row r="581" customFormat="false" ht="15.75" hidden="false" customHeight="false" outlineLevel="0" collapsed="false">
      <c r="A581" s="174"/>
      <c r="B581" s="174"/>
      <c r="C581" s="174"/>
      <c r="D581" s="174"/>
      <c r="E581" s="174"/>
      <c r="F581" s="174"/>
      <c r="G581" s="174"/>
      <c r="H581" s="174"/>
      <c r="I581" s="174"/>
      <c r="J581" s="174"/>
      <c r="K581" s="174"/>
      <c r="L581" s="174"/>
      <c r="M581" s="174"/>
      <c r="N581" s="174"/>
      <c r="O581" s="174"/>
      <c r="P581" s="174"/>
      <c r="Q581" s="174"/>
      <c r="R581" s="174"/>
      <c r="S581" s="174"/>
      <c r="T581" s="174"/>
      <c r="U581" s="174"/>
      <c r="V581" s="174"/>
      <c r="W581" s="174"/>
      <c r="X581" s="174"/>
      <c r="Y581" s="174"/>
      <c r="Z581" s="174"/>
    </row>
    <row r="582" customFormat="false" ht="15.75" hidden="false" customHeight="false" outlineLevel="0" collapsed="false">
      <c r="A582" s="174"/>
      <c r="B582" s="174"/>
      <c r="C582" s="174"/>
      <c r="D582" s="174"/>
      <c r="E582" s="174"/>
      <c r="F582" s="174"/>
      <c r="G582" s="174"/>
      <c r="H582" s="174"/>
      <c r="I582" s="174"/>
      <c r="J582" s="174"/>
      <c r="K582" s="174"/>
      <c r="L582" s="174"/>
      <c r="M582" s="174"/>
      <c r="N582" s="174"/>
      <c r="O582" s="174"/>
      <c r="P582" s="174"/>
      <c r="Q582" s="174"/>
      <c r="R582" s="174"/>
      <c r="S582" s="174"/>
      <c r="T582" s="174"/>
      <c r="U582" s="174"/>
      <c r="V582" s="174"/>
      <c r="W582" s="174"/>
      <c r="X582" s="174"/>
      <c r="Y582" s="174"/>
      <c r="Z582" s="174"/>
    </row>
    <row r="583" customFormat="false" ht="15.75" hidden="false" customHeight="false" outlineLevel="0" collapsed="false">
      <c r="A583" s="174"/>
      <c r="B583" s="174"/>
      <c r="C583" s="174"/>
      <c r="D583" s="174"/>
      <c r="E583" s="174"/>
      <c r="F583" s="174"/>
      <c r="G583" s="174"/>
      <c r="H583" s="174"/>
      <c r="I583" s="174"/>
      <c r="J583" s="174"/>
      <c r="K583" s="174"/>
      <c r="L583" s="174"/>
      <c r="M583" s="174"/>
      <c r="N583" s="174"/>
      <c r="O583" s="174"/>
      <c r="P583" s="174"/>
      <c r="Q583" s="174"/>
      <c r="R583" s="174"/>
      <c r="S583" s="174"/>
      <c r="T583" s="174"/>
      <c r="U583" s="174"/>
      <c r="V583" s="174"/>
      <c r="W583" s="174"/>
      <c r="X583" s="174"/>
      <c r="Y583" s="174"/>
      <c r="Z583" s="174"/>
    </row>
    <row r="584" customFormat="false" ht="15.75" hidden="false" customHeight="false" outlineLevel="0" collapsed="false">
      <c r="A584" s="174"/>
      <c r="B584" s="174"/>
      <c r="C584" s="174"/>
      <c r="D584" s="174"/>
      <c r="E584" s="174"/>
      <c r="F584" s="174"/>
      <c r="G584" s="174"/>
      <c r="H584" s="174"/>
      <c r="I584" s="174"/>
      <c r="J584" s="174"/>
      <c r="K584" s="174"/>
      <c r="L584" s="174"/>
      <c r="M584" s="174"/>
      <c r="N584" s="174"/>
      <c r="O584" s="174"/>
      <c r="P584" s="174"/>
      <c r="Q584" s="174"/>
      <c r="R584" s="174"/>
      <c r="S584" s="174"/>
      <c r="T584" s="174"/>
      <c r="U584" s="174"/>
      <c r="V584" s="174"/>
      <c r="W584" s="174"/>
      <c r="X584" s="174"/>
      <c r="Y584" s="174"/>
      <c r="Z584" s="174"/>
    </row>
    <row r="585" customFormat="false" ht="15.75" hidden="false" customHeight="false" outlineLevel="0" collapsed="false">
      <c r="A585" s="174"/>
      <c r="B585" s="174"/>
      <c r="C585" s="174"/>
      <c r="D585" s="174"/>
      <c r="E585" s="174"/>
      <c r="F585" s="174"/>
      <c r="G585" s="174"/>
      <c r="H585" s="174"/>
      <c r="I585" s="174"/>
      <c r="J585" s="174"/>
      <c r="K585" s="174"/>
      <c r="L585" s="174"/>
      <c r="M585" s="174"/>
      <c r="N585" s="174"/>
      <c r="O585" s="174"/>
      <c r="P585" s="174"/>
      <c r="Q585" s="174"/>
      <c r="R585" s="174"/>
      <c r="S585" s="174"/>
      <c r="T585" s="174"/>
      <c r="U585" s="174"/>
      <c r="V585" s="174"/>
      <c r="W585" s="174"/>
      <c r="X585" s="174"/>
      <c r="Y585" s="174"/>
      <c r="Z585" s="174"/>
    </row>
    <row r="586" customFormat="false" ht="15.75" hidden="false" customHeight="false" outlineLevel="0" collapsed="false">
      <c r="A586" s="174"/>
      <c r="B586" s="174"/>
      <c r="C586" s="174"/>
      <c r="D586" s="174"/>
      <c r="E586" s="174"/>
      <c r="F586" s="174"/>
      <c r="G586" s="174"/>
      <c r="H586" s="174"/>
      <c r="I586" s="174"/>
      <c r="J586" s="174"/>
      <c r="K586" s="174"/>
      <c r="L586" s="174"/>
      <c r="M586" s="174"/>
      <c r="N586" s="174"/>
      <c r="O586" s="174"/>
      <c r="P586" s="174"/>
      <c r="Q586" s="174"/>
      <c r="R586" s="174"/>
      <c r="S586" s="174"/>
      <c r="T586" s="174"/>
      <c r="U586" s="174"/>
      <c r="V586" s="174"/>
      <c r="W586" s="174"/>
      <c r="X586" s="174"/>
      <c r="Y586" s="174"/>
      <c r="Z586" s="174"/>
    </row>
    <row r="587" customFormat="false" ht="15.75" hidden="false" customHeight="false" outlineLevel="0" collapsed="false">
      <c r="A587" s="174"/>
      <c r="B587" s="174"/>
      <c r="C587" s="174"/>
      <c r="D587" s="174"/>
      <c r="E587" s="174"/>
      <c r="F587" s="174"/>
      <c r="G587" s="174"/>
      <c r="H587" s="174"/>
      <c r="I587" s="174"/>
      <c r="J587" s="174"/>
      <c r="K587" s="174"/>
      <c r="L587" s="174"/>
      <c r="M587" s="174"/>
      <c r="N587" s="174"/>
      <c r="O587" s="174"/>
      <c r="P587" s="174"/>
      <c r="Q587" s="174"/>
      <c r="R587" s="174"/>
      <c r="S587" s="174"/>
      <c r="T587" s="174"/>
      <c r="U587" s="174"/>
      <c r="V587" s="174"/>
      <c r="W587" s="174"/>
      <c r="X587" s="174"/>
      <c r="Y587" s="174"/>
      <c r="Z587" s="174"/>
    </row>
    <row r="588" customFormat="false" ht="15.75" hidden="false" customHeight="false" outlineLevel="0" collapsed="false">
      <c r="A588" s="174"/>
      <c r="B588" s="174"/>
      <c r="C588" s="174"/>
      <c r="D588" s="174"/>
      <c r="E588" s="174"/>
      <c r="F588" s="174"/>
      <c r="G588" s="174"/>
      <c r="H588" s="174"/>
      <c r="I588" s="174"/>
      <c r="J588" s="174"/>
      <c r="K588" s="174"/>
      <c r="L588" s="174"/>
      <c r="M588" s="174"/>
      <c r="N588" s="174"/>
      <c r="O588" s="174"/>
      <c r="P588" s="174"/>
      <c r="Q588" s="174"/>
      <c r="R588" s="174"/>
      <c r="S588" s="174"/>
      <c r="T588" s="174"/>
      <c r="U588" s="174"/>
      <c r="V588" s="174"/>
      <c r="W588" s="174"/>
      <c r="X588" s="174"/>
      <c r="Y588" s="174"/>
      <c r="Z588" s="174"/>
    </row>
    <row r="589" customFormat="false" ht="15.75" hidden="false" customHeight="false" outlineLevel="0" collapsed="false">
      <c r="A589" s="174"/>
      <c r="B589" s="174"/>
      <c r="C589" s="174"/>
      <c r="D589" s="174"/>
      <c r="E589" s="174"/>
      <c r="F589" s="174"/>
      <c r="G589" s="174"/>
      <c r="H589" s="174"/>
      <c r="I589" s="174"/>
      <c r="J589" s="174"/>
      <c r="K589" s="174"/>
      <c r="L589" s="174"/>
      <c r="M589" s="174"/>
      <c r="N589" s="174"/>
      <c r="O589" s="174"/>
      <c r="P589" s="174"/>
      <c r="Q589" s="174"/>
      <c r="R589" s="174"/>
      <c r="S589" s="174"/>
      <c r="T589" s="174"/>
      <c r="U589" s="174"/>
      <c r="V589" s="174"/>
      <c r="W589" s="174"/>
      <c r="X589" s="174"/>
      <c r="Y589" s="174"/>
      <c r="Z589" s="174"/>
    </row>
    <row r="590" customFormat="false" ht="15.75" hidden="false" customHeight="false" outlineLevel="0" collapsed="false">
      <c r="A590" s="174"/>
      <c r="B590" s="174"/>
      <c r="C590" s="174"/>
      <c r="D590" s="174"/>
      <c r="E590" s="174"/>
      <c r="F590" s="174"/>
      <c r="G590" s="174"/>
      <c r="H590" s="174"/>
      <c r="I590" s="174"/>
      <c r="J590" s="174"/>
      <c r="K590" s="174"/>
      <c r="L590" s="174"/>
      <c r="M590" s="174"/>
      <c r="N590" s="174"/>
      <c r="O590" s="174"/>
      <c r="P590" s="174"/>
      <c r="Q590" s="174"/>
      <c r="R590" s="174"/>
      <c r="S590" s="174"/>
      <c r="T590" s="174"/>
      <c r="U590" s="174"/>
      <c r="V590" s="174"/>
      <c r="W590" s="174"/>
      <c r="X590" s="174"/>
      <c r="Y590" s="174"/>
      <c r="Z590" s="174"/>
    </row>
    <row r="591" customFormat="false" ht="15.75" hidden="false" customHeight="false" outlineLevel="0" collapsed="false">
      <c r="A591" s="174"/>
      <c r="B591" s="174"/>
      <c r="C591" s="174"/>
      <c r="D591" s="174"/>
      <c r="E591" s="174"/>
      <c r="F591" s="174"/>
      <c r="G591" s="174"/>
      <c r="H591" s="174"/>
      <c r="I591" s="174"/>
      <c r="J591" s="174"/>
      <c r="K591" s="174"/>
      <c r="L591" s="174"/>
      <c r="M591" s="174"/>
      <c r="N591" s="174"/>
      <c r="O591" s="174"/>
      <c r="P591" s="174"/>
      <c r="Q591" s="174"/>
      <c r="R591" s="174"/>
      <c r="S591" s="174"/>
      <c r="T591" s="174"/>
      <c r="U591" s="174"/>
      <c r="V591" s="174"/>
      <c r="W591" s="174"/>
      <c r="X591" s="174"/>
      <c r="Y591" s="174"/>
      <c r="Z591" s="174"/>
    </row>
    <row r="592" customFormat="false" ht="15.75" hidden="false" customHeight="false" outlineLevel="0" collapsed="false">
      <c r="A592" s="174"/>
      <c r="B592" s="174"/>
      <c r="C592" s="174"/>
      <c r="D592" s="174"/>
      <c r="E592" s="174"/>
      <c r="F592" s="174"/>
      <c r="G592" s="174"/>
      <c r="H592" s="174"/>
      <c r="I592" s="174"/>
      <c r="J592" s="174"/>
      <c r="K592" s="174"/>
      <c r="L592" s="174"/>
      <c r="M592" s="174"/>
      <c r="N592" s="174"/>
      <c r="O592" s="174"/>
      <c r="P592" s="174"/>
      <c r="Q592" s="174"/>
      <c r="R592" s="174"/>
      <c r="S592" s="174"/>
      <c r="T592" s="174"/>
      <c r="U592" s="174"/>
      <c r="V592" s="174"/>
      <c r="W592" s="174"/>
      <c r="X592" s="174"/>
      <c r="Y592" s="174"/>
      <c r="Z592" s="174"/>
    </row>
    <row r="593" customFormat="false" ht="15.75" hidden="false" customHeight="false" outlineLevel="0" collapsed="false">
      <c r="A593" s="174"/>
      <c r="B593" s="174"/>
      <c r="C593" s="174"/>
      <c r="D593" s="174"/>
      <c r="E593" s="174"/>
      <c r="F593" s="174"/>
      <c r="G593" s="174"/>
      <c r="H593" s="174"/>
      <c r="I593" s="174"/>
      <c r="J593" s="174"/>
      <c r="K593" s="174"/>
      <c r="L593" s="174"/>
      <c r="M593" s="174"/>
      <c r="N593" s="174"/>
      <c r="O593" s="174"/>
      <c r="P593" s="174"/>
      <c r="Q593" s="174"/>
      <c r="R593" s="174"/>
      <c r="S593" s="174"/>
      <c r="T593" s="174"/>
      <c r="U593" s="174"/>
      <c r="V593" s="174"/>
      <c r="W593" s="174"/>
      <c r="X593" s="174"/>
      <c r="Y593" s="174"/>
      <c r="Z593" s="174"/>
    </row>
    <row r="594" customFormat="false" ht="15.75" hidden="false" customHeight="false" outlineLevel="0" collapsed="false">
      <c r="A594" s="174"/>
      <c r="B594" s="174"/>
      <c r="C594" s="174"/>
      <c r="D594" s="174"/>
      <c r="E594" s="174"/>
      <c r="F594" s="174"/>
      <c r="G594" s="174"/>
      <c r="H594" s="174"/>
      <c r="I594" s="174"/>
      <c r="J594" s="174"/>
      <c r="K594" s="174"/>
      <c r="L594" s="174"/>
      <c r="M594" s="174"/>
      <c r="N594" s="174"/>
      <c r="O594" s="174"/>
      <c r="P594" s="174"/>
      <c r="Q594" s="174"/>
      <c r="R594" s="174"/>
      <c r="S594" s="174"/>
      <c r="T594" s="174"/>
      <c r="U594" s="174"/>
      <c r="V594" s="174"/>
      <c r="W594" s="174"/>
      <c r="X594" s="174"/>
      <c r="Y594" s="174"/>
      <c r="Z594" s="174"/>
    </row>
    <row r="595" customFormat="false" ht="15.75" hidden="false" customHeight="false" outlineLevel="0" collapsed="false">
      <c r="A595" s="174"/>
      <c r="B595" s="174"/>
      <c r="C595" s="174"/>
      <c r="D595" s="174"/>
      <c r="E595" s="174"/>
      <c r="F595" s="174"/>
      <c r="G595" s="174"/>
      <c r="H595" s="174"/>
      <c r="I595" s="174"/>
      <c r="J595" s="174"/>
      <c r="K595" s="174"/>
      <c r="L595" s="174"/>
      <c r="M595" s="174"/>
      <c r="N595" s="174"/>
      <c r="O595" s="174"/>
      <c r="P595" s="174"/>
      <c r="Q595" s="174"/>
      <c r="R595" s="174"/>
      <c r="S595" s="174"/>
      <c r="T595" s="174"/>
      <c r="U595" s="174"/>
      <c r="V595" s="174"/>
      <c r="W595" s="174"/>
      <c r="X595" s="174"/>
      <c r="Y595" s="174"/>
      <c r="Z595" s="174"/>
    </row>
    <row r="596" customFormat="false" ht="15.75" hidden="false" customHeight="false" outlineLevel="0" collapsed="false">
      <c r="A596" s="174"/>
      <c r="B596" s="174"/>
      <c r="C596" s="174"/>
      <c r="D596" s="174"/>
      <c r="E596" s="174"/>
      <c r="F596" s="174"/>
      <c r="G596" s="174"/>
      <c r="H596" s="174"/>
      <c r="I596" s="174"/>
      <c r="J596" s="174"/>
      <c r="K596" s="174"/>
      <c r="L596" s="174"/>
      <c r="M596" s="174"/>
      <c r="N596" s="174"/>
      <c r="O596" s="174"/>
      <c r="P596" s="174"/>
      <c r="Q596" s="174"/>
      <c r="R596" s="174"/>
      <c r="S596" s="174"/>
      <c r="T596" s="174"/>
      <c r="U596" s="174"/>
      <c r="V596" s="174"/>
      <c r="W596" s="174"/>
      <c r="X596" s="174"/>
      <c r="Y596" s="174"/>
      <c r="Z596" s="174"/>
    </row>
    <row r="597" customFormat="false" ht="15.75" hidden="false" customHeight="false" outlineLevel="0" collapsed="false">
      <c r="A597" s="174"/>
      <c r="B597" s="174"/>
      <c r="C597" s="174"/>
      <c r="D597" s="174"/>
      <c r="E597" s="174"/>
      <c r="F597" s="174"/>
      <c r="G597" s="174"/>
      <c r="H597" s="174"/>
      <c r="I597" s="174"/>
      <c r="J597" s="174"/>
      <c r="K597" s="174"/>
      <c r="L597" s="174"/>
      <c r="M597" s="174"/>
      <c r="N597" s="174"/>
      <c r="O597" s="174"/>
      <c r="P597" s="174"/>
      <c r="Q597" s="174"/>
      <c r="R597" s="174"/>
      <c r="S597" s="174"/>
      <c r="T597" s="174"/>
      <c r="U597" s="174"/>
      <c r="V597" s="174"/>
      <c r="W597" s="174"/>
      <c r="X597" s="174"/>
      <c r="Y597" s="174"/>
      <c r="Z597" s="174"/>
    </row>
    <row r="598" customFormat="false" ht="15.75" hidden="false" customHeight="false" outlineLevel="0" collapsed="false">
      <c r="A598" s="174"/>
      <c r="B598" s="174"/>
      <c r="C598" s="174"/>
      <c r="D598" s="174"/>
      <c r="E598" s="174"/>
      <c r="F598" s="174"/>
      <c r="G598" s="174"/>
      <c r="H598" s="174"/>
      <c r="I598" s="174"/>
      <c r="J598" s="174"/>
      <c r="K598" s="174"/>
      <c r="L598" s="174"/>
      <c r="M598" s="174"/>
      <c r="N598" s="174"/>
      <c r="O598" s="174"/>
      <c r="P598" s="174"/>
      <c r="Q598" s="174"/>
      <c r="R598" s="174"/>
      <c r="S598" s="174"/>
      <c r="T598" s="174"/>
      <c r="U598" s="174"/>
      <c r="V598" s="174"/>
      <c r="W598" s="174"/>
      <c r="X598" s="174"/>
      <c r="Y598" s="174"/>
      <c r="Z598" s="174"/>
    </row>
    <row r="599" customFormat="false" ht="15.75" hidden="false" customHeight="false" outlineLevel="0" collapsed="false">
      <c r="A599" s="174"/>
      <c r="B599" s="174"/>
      <c r="C599" s="174"/>
      <c r="D599" s="174"/>
      <c r="E599" s="174"/>
      <c r="F599" s="174"/>
      <c r="G599" s="174"/>
      <c r="H599" s="174"/>
      <c r="I599" s="174"/>
      <c r="J599" s="174"/>
      <c r="K599" s="174"/>
      <c r="L599" s="174"/>
      <c r="M599" s="174"/>
      <c r="N599" s="174"/>
      <c r="O599" s="174"/>
      <c r="P599" s="174"/>
      <c r="Q599" s="174"/>
      <c r="R599" s="174"/>
      <c r="S599" s="174"/>
      <c r="T599" s="174"/>
      <c r="U599" s="174"/>
      <c r="V599" s="174"/>
      <c r="W599" s="174"/>
      <c r="X599" s="174"/>
      <c r="Y599" s="174"/>
      <c r="Z599" s="174"/>
    </row>
    <row r="600" customFormat="false" ht="15.75" hidden="false" customHeight="false" outlineLevel="0" collapsed="false">
      <c r="A600" s="174"/>
      <c r="B600" s="174"/>
      <c r="C600" s="174"/>
      <c r="D600" s="174"/>
      <c r="E600" s="174"/>
      <c r="F600" s="174"/>
      <c r="G600" s="174"/>
      <c r="H600" s="174"/>
      <c r="I600" s="174"/>
      <c r="J600" s="174"/>
      <c r="K600" s="174"/>
      <c r="L600" s="174"/>
      <c r="M600" s="174"/>
      <c r="N600" s="174"/>
      <c r="O600" s="174"/>
      <c r="P600" s="174"/>
      <c r="Q600" s="174"/>
      <c r="R600" s="174"/>
      <c r="S600" s="174"/>
      <c r="T600" s="174"/>
      <c r="U600" s="174"/>
      <c r="V600" s="174"/>
      <c r="W600" s="174"/>
      <c r="X600" s="174"/>
      <c r="Y600" s="174"/>
      <c r="Z600" s="174"/>
    </row>
    <row r="601" customFormat="false" ht="15.75" hidden="false" customHeight="false" outlineLevel="0" collapsed="false">
      <c r="A601" s="174"/>
      <c r="B601" s="174"/>
      <c r="C601" s="174"/>
      <c r="D601" s="174"/>
      <c r="E601" s="174"/>
      <c r="F601" s="174"/>
      <c r="G601" s="174"/>
      <c r="H601" s="174"/>
      <c r="I601" s="174"/>
      <c r="J601" s="174"/>
      <c r="K601" s="174"/>
      <c r="L601" s="174"/>
      <c r="M601" s="174"/>
      <c r="N601" s="174"/>
      <c r="O601" s="174"/>
      <c r="P601" s="174"/>
      <c r="Q601" s="174"/>
      <c r="R601" s="174"/>
      <c r="S601" s="174"/>
      <c r="T601" s="174"/>
      <c r="U601" s="174"/>
      <c r="V601" s="174"/>
      <c r="W601" s="174"/>
      <c r="X601" s="174"/>
      <c r="Y601" s="174"/>
      <c r="Z601" s="174"/>
    </row>
    <row r="602" customFormat="false" ht="15.75" hidden="false" customHeight="false" outlineLevel="0" collapsed="false">
      <c r="A602" s="174"/>
      <c r="B602" s="174"/>
      <c r="C602" s="174"/>
      <c r="D602" s="174"/>
      <c r="E602" s="174"/>
      <c r="F602" s="174"/>
      <c r="G602" s="174"/>
      <c r="H602" s="174"/>
      <c r="I602" s="174"/>
      <c r="J602" s="174"/>
      <c r="K602" s="174"/>
      <c r="L602" s="174"/>
      <c r="M602" s="174"/>
      <c r="N602" s="174"/>
      <c r="O602" s="174"/>
      <c r="P602" s="174"/>
      <c r="Q602" s="174"/>
      <c r="R602" s="174"/>
      <c r="S602" s="174"/>
      <c r="T602" s="174"/>
      <c r="U602" s="174"/>
      <c r="V602" s="174"/>
      <c r="W602" s="174"/>
      <c r="X602" s="174"/>
      <c r="Y602" s="174"/>
      <c r="Z602" s="174"/>
    </row>
    <row r="603" customFormat="false" ht="15.75" hidden="false" customHeight="false" outlineLevel="0" collapsed="false">
      <c r="A603" s="174"/>
      <c r="B603" s="174"/>
      <c r="C603" s="174"/>
      <c r="D603" s="174"/>
      <c r="E603" s="174"/>
      <c r="F603" s="174"/>
      <c r="G603" s="174"/>
      <c r="H603" s="174"/>
      <c r="I603" s="174"/>
      <c r="J603" s="174"/>
      <c r="K603" s="174"/>
      <c r="L603" s="174"/>
      <c r="M603" s="174"/>
      <c r="N603" s="174"/>
      <c r="O603" s="174"/>
      <c r="P603" s="174"/>
      <c r="Q603" s="174"/>
      <c r="R603" s="174"/>
      <c r="S603" s="174"/>
      <c r="T603" s="174"/>
      <c r="U603" s="174"/>
      <c r="V603" s="174"/>
      <c r="W603" s="174"/>
      <c r="X603" s="174"/>
      <c r="Y603" s="174"/>
      <c r="Z603" s="174"/>
    </row>
    <row r="604" customFormat="false" ht="15.75" hidden="false" customHeight="false" outlineLevel="0" collapsed="false">
      <c r="A604" s="174"/>
      <c r="B604" s="174"/>
      <c r="C604" s="174"/>
      <c r="D604" s="174"/>
      <c r="E604" s="174"/>
      <c r="F604" s="174"/>
      <c r="G604" s="174"/>
      <c r="H604" s="174"/>
      <c r="I604" s="174"/>
      <c r="J604" s="174"/>
      <c r="K604" s="174"/>
      <c r="L604" s="174"/>
      <c r="M604" s="174"/>
      <c r="N604" s="174"/>
      <c r="O604" s="174"/>
      <c r="P604" s="174"/>
      <c r="Q604" s="174"/>
      <c r="R604" s="174"/>
      <c r="S604" s="174"/>
      <c r="T604" s="174"/>
      <c r="U604" s="174"/>
      <c r="V604" s="174"/>
      <c r="W604" s="174"/>
      <c r="X604" s="174"/>
      <c r="Y604" s="174"/>
      <c r="Z604" s="174"/>
    </row>
    <row r="605" customFormat="false" ht="15.75" hidden="false" customHeight="false" outlineLevel="0" collapsed="false">
      <c r="A605" s="174"/>
      <c r="B605" s="174"/>
      <c r="C605" s="174"/>
      <c r="D605" s="174"/>
      <c r="E605" s="174"/>
      <c r="F605" s="174"/>
      <c r="G605" s="174"/>
      <c r="H605" s="174"/>
      <c r="I605" s="174"/>
      <c r="J605" s="174"/>
      <c r="K605" s="174"/>
      <c r="L605" s="174"/>
      <c r="M605" s="174"/>
      <c r="N605" s="174"/>
      <c r="O605" s="174"/>
      <c r="P605" s="174"/>
      <c r="Q605" s="174"/>
      <c r="R605" s="174"/>
      <c r="S605" s="174"/>
      <c r="T605" s="174"/>
      <c r="U605" s="174"/>
      <c r="V605" s="174"/>
      <c r="W605" s="174"/>
      <c r="X605" s="174"/>
      <c r="Y605" s="174"/>
      <c r="Z605" s="174"/>
    </row>
    <row r="606" customFormat="false" ht="15.75" hidden="false" customHeight="false" outlineLevel="0" collapsed="false">
      <c r="A606" s="174"/>
      <c r="B606" s="174"/>
      <c r="C606" s="174"/>
      <c r="D606" s="174"/>
      <c r="E606" s="174"/>
      <c r="F606" s="174"/>
      <c r="G606" s="174"/>
      <c r="H606" s="174"/>
      <c r="I606" s="174"/>
      <c r="J606" s="174"/>
      <c r="K606" s="174"/>
      <c r="L606" s="174"/>
      <c r="M606" s="174"/>
      <c r="N606" s="174"/>
      <c r="O606" s="174"/>
      <c r="P606" s="174"/>
      <c r="Q606" s="174"/>
      <c r="R606" s="174"/>
      <c r="S606" s="174"/>
      <c r="T606" s="174"/>
      <c r="U606" s="174"/>
      <c r="V606" s="174"/>
      <c r="W606" s="174"/>
      <c r="X606" s="174"/>
      <c r="Y606" s="174"/>
      <c r="Z606" s="174"/>
    </row>
    <row r="607" customFormat="false" ht="15.75" hidden="false" customHeight="false" outlineLevel="0" collapsed="false">
      <c r="A607" s="174"/>
      <c r="B607" s="174"/>
      <c r="C607" s="174"/>
      <c r="D607" s="174"/>
      <c r="E607" s="174"/>
      <c r="F607" s="174"/>
      <c r="G607" s="174"/>
      <c r="H607" s="174"/>
      <c r="I607" s="174"/>
      <c r="J607" s="174"/>
      <c r="K607" s="174"/>
      <c r="L607" s="174"/>
      <c r="M607" s="174"/>
      <c r="N607" s="174"/>
      <c r="O607" s="174"/>
      <c r="P607" s="174"/>
      <c r="Q607" s="174"/>
      <c r="R607" s="174"/>
      <c r="S607" s="174"/>
      <c r="T607" s="174"/>
      <c r="U607" s="174"/>
      <c r="V607" s="174"/>
      <c r="W607" s="174"/>
      <c r="X607" s="174"/>
      <c r="Y607" s="174"/>
      <c r="Z607" s="174"/>
    </row>
    <row r="608" customFormat="false" ht="15.75" hidden="false" customHeight="false" outlineLevel="0" collapsed="false">
      <c r="A608" s="174"/>
      <c r="B608" s="174"/>
      <c r="C608" s="174"/>
      <c r="D608" s="174"/>
      <c r="E608" s="174"/>
      <c r="F608" s="174"/>
      <c r="G608" s="174"/>
      <c r="H608" s="174"/>
      <c r="I608" s="174"/>
      <c r="J608" s="174"/>
      <c r="K608" s="174"/>
      <c r="L608" s="174"/>
      <c r="M608" s="174"/>
      <c r="N608" s="174"/>
      <c r="O608" s="174"/>
      <c r="P608" s="174"/>
      <c r="Q608" s="174"/>
      <c r="R608" s="174"/>
      <c r="S608" s="174"/>
      <c r="T608" s="174"/>
      <c r="U608" s="174"/>
      <c r="V608" s="174"/>
      <c r="W608" s="174"/>
      <c r="X608" s="174"/>
      <c r="Y608" s="174"/>
      <c r="Z608" s="174"/>
    </row>
    <row r="609" customFormat="false" ht="15.75" hidden="false" customHeight="false" outlineLevel="0" collapsed="false">
      <c r="A609" s="174"/>
      <c r="B609" s="174"/>
      <c r="C609" s="174"/>
      <c r="D609" s="174"/>
      <c r="E609" s="174"/>
      <c r="F609" s="174"/>
      <c r="G609" s="174"/>
      <c r="H609" s="174"/>
      <c r="I609" s="174"/>
      <c r="J609" s="174"/>
      <c r="K609" s="174"/>
      <c r="L609" s="174"/>
      <c r="M609" s="174"/>
      <c r="N609" s="174"/>
      <c r="O609" s="174"/>
      <c r="P609" s="174"/>
      <c r="Q609" s="174"/>
      <c r="R609" s="174"/>
      <c r="S609" s="174"/>
      <c r="T609" s="174"/>
      <c r="U609" s="174"/>
      <c r="V609" s="174"/>
      <c r="W609" s="174"/>
      <c r="X609" s="174"/>
      <c r="Y609" s="174"/>
      <c r="Z609" s="174"/>
    </row>
    <row r="610" customFormat="false" ht="15.75" hidden="false" customHeight="false" outlineLevel="0" collapsed="false">
      <c r="A610" s="174"/>
      <c r="B610" s="174"/>
      <c r="C610" s="174"/>
      <c r="D610" s="174"/>
      <c r="E610" s="174"/>
      <c r="F610" s="174"/>
      <c r="G610" s="174"/>
      <c r="H610" s="174"/>
      <c r="I610" s="174"/>
      <c r="J610" s="174"/>
      <c r="K610" s="174"/>
      <c r="L610" s="174"/>
      <c r="M610" s="174"/>
      <c r="N610" s="174"/>
      <c r="O610" s="174"/>
      <c r="P610" s="174"/>
      <c r="Q610" s="174"/>
      <c r="R610" s="174"/>
      <c r="S610" s="174"/>
      <c r="T610" s="174"/>
      <c r="U610" s="174"/>
      <c r="V610" s="174"/>
      <c r="W610" s="174"/>
      <c r="X610" s="174"/>
      <c r="Y610" s="174"/>
      <c r="Z610" s="174"/>
    </row>
    <row r="611" customFormat="false" ht="15.75" hidden="false" customHeight="false" outlineLevel="0" collapsed="false">
      <c r="A611" s="174"/>
      <c r="B611" s="174"/>
      <c r="C611" s="174"/>
      <c r="D611" s="174"/>
      <c r="E611" s="174"/>
      <c r="F611" s="174"/>
      <c r="G611" s="174"/>
      <c r="H611" s="174"/>
      <c r="I611" s="174"/>
      <c r="J611" s="174"/>
      <c r="K611" s="174"/>
      <c r="L611" s="174"/>
      <c r="M611" s="174"/>
      <c r="N611" s="174"/>
      <c r="O611" s="174"/>
      <c r="P611" s="174"/>
      <c r="Q611" s="174"/>
      <c r="R611" s="174"/>
      <c r="S611" s="174"/>
      <c r="T611" s="174"/>
      <c r="U611" s="174"/>
      <c r="V611" s="174"/>
      <c r="W611" s="174"/>
      <c r="X611" s="174"/>
      <c r="Y611" s="174"/>
      <c r="Z611" s="174"/>
    </row>
    <row r="612" customFormat="false" ht="15.75" hidden="false" customHeight="false" outlineLevel="0" collapsed="false">
      <c r="A612" s="174"/>
      <c r="B612" s="174"/>
      <c r="C612" s="174"/>
      <c r="D612" s="174"/>
      <c r="E612" s="174"/>
      <c r="F612" s="174"/>
      <c r="G612" s="174"/>
      <c r="H612" s="174"/>
      <c r="I612" s="174"/>
      <c r="J612" s="174"/>
      <c r="K612" s="174"/>
      <c r="L612" s="174"/>
      <c r="M612" s="174"/>
      <c r="N612" s="174"/>
      <c r="O612" s="174"/>
      <c r="P612" s="174"/>
      <c r="Q612" s="174"/>
      <c r="R612" s="174"/>
      <c r="S612" s="174"/>
      <c r="T612" s="174"/>
      <c r="U612" s="174"/>
      <c r="V612" s="174"/>
      <c r="W612" s="174"/>
      <c r="X612" s="174"/>
      <c r="Y612" s="174"/>
      <c r="Z612" s="174"/>
    </row>
    <row r="613" customFormat="false" ht="15.75" hidden="false" customHeight="false" outlineLevel="0" collapsed="false">
      <c r="A613" s="174"/>
      <c r="B613" s="174"/>
      <c r="C613" s="174"/>
      <c r="D613" s="174"/>
      <c r="E613" s="174"/>
      <c r="F613" s="174"/>
      <c r="G613" s="174"/>
      <c r="H613" s="174"/>
      <c r="I613" s="174"/>
      <c r="J613" s="174"/>
      <c r="K613" s="174"/>
      <c r="L613" s="174"/>
      <c r="M613" s="174"/>
      <c r="N613" s="174"/>
      <c r="O613" s="174"/>
      <c r="P613" s="174"/>
      <c r="Q613" s="174"/>
      <c r="R613" s="174"/>
      <c r="S613" s="174"/>
      <c r="T613" s="174"/>
      <c r="U613" s="174"/>
      <c r="V613" s="174"/>
      <c r="W613" s="174"/>
      <c r="X613" s="174"/>
      <c r="Y613" s="174"/>
      <c r="Z613" s="174"/>
    </row>
    <row r="614" customFormat="false" ht="15.75" hidden="false" customHeight="false" outlineLevel="0" collapsed="false">
      <c r="A614" s="174"/>
      <c r="B614" s="174"/>
      <c r="C614" s="174"/>
      <c r="D614" s="174"/>
      <c r="E614" s="174"/>
      <c r="F614" s="174"/>
      <c r="G614" s="174"/>
      <c r="H614" s="174"/>
      <c r="I614" s="174"/>
      <c r="J614" s="174"/>
      <c r="K614" s="174"/>
      <c r="L614" s="174"/>
      <c r="M614" s="174"/>
      <c r="N614" s="174"/>
      <c r="O614" s="174"/>
      <c r="P614" s="174"/>
      <c r="Q614" s="174"/>
      <c r="R614" s="174"/>
      <c r="S614" s="174"/>
      <c r="T614" s="174"/>
      <c r="U614" s="174"/>
      <c r="V614" s="174"/>
      <c r="W614" s="174"/>
      <c r="X614" s="174"/>
      <c r="Y614" s="174"/>
      <c r="Z614" s="174"/>
    </row>
    <row r="615" customFormat="false" ht="15.75" hidden="false" customHeight="false" outlineLevel="0" collapsed="false">
      <c r="A615" s="174"/>
      <c r="B615" s="174"/>
      <c r="C615" s="174"/>
      <c r="D615" s="174"/>
      <c r="E615" s="174"/>
      <c r="F615" s="174"/>
      <c r="G615" s="174"/>
      <c r="H615" s="174"/>
      <c r="I615" s="174"/>
      <c r="J615" s="174"/>
      <c r="K615" s="174"/>
      <c r="L615" s="174"/>
      <c r="M615" s="174"/>
      <c r="N615" s="174"/>
      <c r="O615" s="174"/>
      <c r="P615" s="174"/>
      <c r="Q615" s="174"/>
      <c r="R615" s="174"/>
      <c r="S615" s="174"/>
      <c r="T615" s="174"/>
      <c r="U615" s="174"/>
      <c r="V615" s="174"/>
      <c r="W615" s="174"/>
      <c r="X615" s="174"/>
      <c r="Y615" s="174"/>
      <c r="Z615" s="174"/>
    </row>
    <row r="616" customFormat="false" ht="15.75" hidden="false" customHeight="false" outlineLevel="0" collapsed="false">
      <c r="A616" s="174"/>
      <c r="B616" s="174"/>
      <c r="C616" s="174"/>
      <c r="D616" s="174"/>
      <c r="E616" s="174"/>
      <c r="F616" s="174"/>
      <c r="G616" s="174"/>
      <c r="H616" s="174"/>
      <c r="I616" s="174"/>
      <c r="J616" s="174"/>
      <c r="K616" s="174"/>
      <c r="L616" s="174"/>
      <c r="M616" s="174"/>
      <c r="N616" s="174"/>
      <c r="O616" s="174"/>
      <c r="P616" s="174"/>
      <c r="Q616" s="174"/>
      <c r="R616" s="174"/>
      <c r="S616" s="174"/>
      <c r="T616" s="174"/>
      <c r="U616" s="174"/>
      <c r="V616" s="174"/>
      <c r="W616" s="174"/>
      <c r="X616" s="174"/>
      <c r="Y616" s="174"/>
      <c r="Z616" s="174"/>
    </row>
    <row r="617" customFormat="false" ht="15.75" hidden="false" customHeight="false" outlineLevel="0" collapsed="false">
      <c r="A617" s="174"/>
      <c r="B617" s="174"/>
      <c r="C617" s="174"/>
      <c r="D617" s="174"/>
      <c r="E617" s="174"/>
      <c r="F617" s="174"/>
      <c r="G617" s="174"/>
      <c r="H617" s="174"/>
      <c r="I617" s="174"/>
      <c r="J617" s="174"/>
      <c r="K617" s="174"/>
      <c r="L617" s="174"/>
      <c r="M617" s="174"/>
      <c r="N617" s="174"/>
      <c r="O617" s="174"/>
      <c r="P617" s="174"/>
      <c r="Q617" s="174"/>
      <c r="R617" s="174"/>
      <c r="S617" s="174"/>
      <c r="T617" s="174"/>
      <c r="U617" s="174"/>
      <c r="V617" s="174"/>
      <c r="W617" s="174"/>
      <c r="X617" s="174"/>
      <c r="Y617" s="174"/>
      <c r="Z617" s="174"/>
    </row>
    <row r="618" customFormat="false" ht="15.75" hidden="false" customHeight="false" outlineLevel="0" collapsed="false">
      <c r="A618" s="174"/>
      <c r="B618" s="174"/>
      <c r="C618" s="174"/>
      <c r="D618" s="174"/>
      <c r="E618" s="174"/>
      <c r="F618" s="174"/>
      <c r="G618" s="174"/>
      <c r="H618" s="174"/>
      <c r="I618" s="174"/>
      <c r="J618" s="174"/>
      <c r="K618" s="174"/>
      <c r="L618" s="174"/>
      <c r="M618" s="174"/>
      <c r="N618" s="174"/>
      <c r="O618" s="174"/>
      <c r="P618" s="174"/>
      <c r="Q618" s="174"/>
      <c r="R618" s="174"/>
      <c r="S618" s="174"/>
      <c r="T618" s="174"/>
      <c r="U618" s="174"/>
      <c r="V618" s="174"/>
      <c r="W618" s="174"/>
      <c r="X618" s="174"/>
      <c r="Y618" s="174"/>
      <c r="Z618" s="174"/>
    </row>
    <row r="619" customFormat="false" ht="15.75" hidden="false" customHeight="false" outlineLevel="0" collapsed="false">
      <c r="A619" s="174"/>
      <c r="B619" s="174"/>
      <c r="C619" s="174"/>
      <c r="D619" s="174"/>
      <c r="E619" s="174"/>
      <c r="F619" s="174"/>
      <c r="G619" s="174"/>
      <c r="H619" s="174"/>
      <c r="I619" s="174"/>
      <c r="J619" s="174"/>
      <c r="K619" s="174"/>
      <c r="L619" s="174"/>
      <c r="M619" s="174"/>
      <c r="N619" s="174"/>
      <c r="O619" s="174"/>
      <c r="P619" s="174"/>
      <c r="Q619" s="174"/>
      <c r="R619" s="174"/>
      <c r="S619" s="174"/>
      <c r="T619" s="174"/>
      <c r="U619" s="174"/>
      <c r="V619" s="174"/>
      <c r="W619" s="174"/>
      <c r="X619" s="174"/>
      <c r="Y619" s="174"/>
      <c r="Z619" s="174"/>
    </row>
    <row r="620" customFormat="false" ht="15.75" hidden="false" customHeight="false" outlineLevel="0" collapsed="false">
      <c r="A620" s="174"/>
      <c r="B620" s="174"/>
      <c r="C620" s="174"/>
      <c r="D620" s="174"/>
      <c r="E620" s="174"/>
      <c r="F620" s="174"/>
      <c r="G620" s="174"/>
      <c r="H620" s="174"/>
      <c r="I620" s="174"/>
      <c r="J620" s="174"/>
      <c r="K620" s="174"/>
      <c r="L620" s="174"/>
      <c r="M620" s="174"/>
      <c r="N620" s="174"/>
      <c r="O620" s="174"/>
      <c r="P620" s="174"/>
      <c r="Q620" s="174"/>
      <c r="R620" s="174"/>
      <c r="S620" s="174"/>
      <c r="T620" s="174"/>
      <c r="U620" s="174"/>
      <c r="V620" s="174"/>
      <c r="W620" s="174"/>
      <c r="X620" s="174"/>
      <c r="Y620" s="174"/>
      <c r="Z620" s="174"/>
    </row>
    <row r="621" customFormat="false" ht="15.75" hidden="false" customHeight="false" outlineLevel="0" collapsed="false">
      <c r="A621" s="174"/>
      <c r="B621" s="174"/>
      <c r="C621" s="174"/>
      <c r="D621" s="174"/>
      <c r="E621" s="174"/>
      <c r="F621" s="174"/>
      <c r="G621" s="174"/>
      <c r="H621" s="174"/>
      <c r="I621" s="174"/>
      <c r="J621" s="174"/>
      <c r="K621" s="174"/>
      <c r="L621" s="174"/>
      <c r="M621" s="174"/>
      <c r="N621" s="174"/>
      <c r="O621" s="174"/>
      <c r="P621" s="174"/>
      <c r="Q621" s="174"/>
      <c r="R621" s="174"/>
      <c r="S621" s="174"/>
      <c r="T621" s="174"/>
      <c r="U621" s="174"/>
      <c r="V621" s="174"/>
      <c r="W621" s="174"/>
      <c r="X621" s="174"/>
      <c r="Y621" s="174"/>
      <c r="Z621" s="174"/>
    </row>
    <row r="622" customFormat="false" ht="15.75" hidden="false" customHeight="false" outlineLevel="0" collapsed="false">
      <c r="A622" s="174"/>
      <c r="B622" s="174"/>
      <c r="C622" s="174"/>
      <c r="D622" s="174"/>
      <c r="E622" s="174"/>
      <c r="F622" s="174"/>
      <c r="G622" s="174"/>
      <c r="H622" s="174"/>
      <c r="I622" s="174"/>
      <c r="J622" s="174"/>
      <c r="K622" s="174"/>
      <c r="L622" s="174"/>
      <c r="M622" s="174"/>
      <c r="N622" s="174"/>
      <c r="O622" s="174"/>
      <c r="P622" s="174"/>
      <c r="Q622" s="174"/>
      <c r="R622" s="174"/>
      <c r="S622" s="174"/>
      <c r="T622" s="174"/>
      <c r="U622" s="174"/>
      <c r="V622" s="174"/>
      <c r="W622" s="174"/>
      <c r="X622" s="174"/>
      <c r="Y622" s="174"/>
      <c r="Z622" s="174"/>
    </row>
    <row r="623" customFormat="false" ht="15.75" hidden="false" customHeight="false" outlineLevel="0" collapsed="false">
      <c r="A623" s="174"/>
      <c r="B623" s="174"/>
      <c r="C623" s="174"/>
      <c r="D623" s="174"/>
      <c r="E623" s="174"/>
      <c r="F623" s="174"/>
      <c r="G623" s="174"/>
      <c r="H623" s="174"/>
      <c r="I623" s="174"/>
      <c r="J623" s="174"/>
      <c r="K623" s="174"/>
      <c r="L623" s="174"/>
      <c r="M623" s="174"/>
      <c r="N623" s="174"/>
      <c r="O623" s="174"/>
      <c r="P623" s="174"/>
      <c r="Q623" s="174"/>
      <c r="R623" s="174"/>
      <c r="S623" s="174"/>
      <c r="T623" s="174"/>
      <c r="U623" s="174"/>
      <c r="V623" s="174"/>
      <c r="W623" s="174"/>
      <c r="X623" s="174"/>
      <c r="Y623" s="174"/>
      <c r="Z623" s="174"/>
    </row>
    <row r="624" customFormat="false" ht="15.75" hidden="false" customHeight="false" outlineLevel="0" collapsed="false">
      <c r="A624" s="174"/>
      <c r="B624" s="174"/>
      <c r="C624" s="174"/>
      <c r="D624" s="174"/>
      <c r="E624" s="174"/>
      <c r="F624" s="174"/>
      <c r="G624" s="174"/>
      <c r="H624" s="174"/>
      <c r="I624" s="174"/>
      <c r="J624" s="174"/>
      <c r="K624" s="174"/>
      <c r="L624" s="174"/>
      <c r="M624" s="174"/>
      <c r="N624" s="174"/>
      <c r="O624" s="174"/>
      <c r="P624" s="174"/>
      <c r="Q624" s="174"/>
      <c r="R624" s="174"/>
      <c r="S624" s="174"/>
      <c r="T624" s="174"/>
      <c r="U624" s="174"/>
      <c r="V624" s="174"/>
      <c r="W624" s="174"/>
      <c r="X624" s="174"/>
      <c r="Y624" s="174"/>
      <c r="Z624" s="174"/>
    </row>
    <row r="625" customFormat="false" ht="15.75" hidden="false" customHeight="false" outlineLevel="0" collapsed="false">
      <c r="A625" s="174"/>
      <c r="B625" s="174"/>
      <c r="C625" s="174"/>
      <c r="D625" s="174"/>
      <c r="E625" s="174"/>
      <c r="F625" s="174"/>
      <c r="G625" s="174"/>
      <c r="H625" s="174"/>
      <c r="I625" s="174"/>
      <c r="J625" s="174"/>
      <c r="K625" s="174"/>
      <c r="L625" s="174"/>
      <c r="M625" s="174"/>
      <c r="N625" s="174"/>
      <c r="O625" s="174"/>
      <c r="P625" s="174"/>
      <c r="Q625" s="174"/>
      <c r="R625" s="174"/>
      <c r="S625" s="174"/>
      <c r="T625" s="174"/>
      <c r="U625" s="174"/>
      <c r="V625" s="174"/>
      <c r="W625" s="174"/>
      <c r="X625" s="174"/>
      <c r="Y625" s="174"/>
      <c r="Z625" s="174"/>
    </row>
    <row r="626" customFormat="false" ht="15.75" hidden="false" customHeight="false" outlineLevel="0" collapsed="false">
      <c r="A626" s="174"/>
      <c r="B626" s="174"/>
      <c r="C626" s="174"/>
      <c r="D626" s="174"/>
      <c r="E626" s="174"/>
      <c r="F626" s="174"/>
      <c r="G626" s="174"/>
      <c r="H626" s="174"/>
      <c r="I626" s="174"/>
      <c r="J626" s="174"/>
      <c r="K626" s="174"/>
      <c r="L626" s="174"/>
      <c r="M626" s="174"/>
      <c r="N626" s="174"/>
      <c r="O626" s="174"/>
      <c r="P626" s="174"/>
      <c r="Q626" s="174"/>
      <c r="R626" s="174"/>
      <c r="S626" s="174"/>
      <c r="T626" s="174"/>
      <c r="U626" s="174"/>
      <c r="V626" s="174"/>
      <c r="W626" s="174"/>
      <c r="X626" s="174"/>
      <c r="Y626" s="174"/>
      <c r="Z626" s="174"/>
    </row>
    <row r="627" customFormat="false" ht="15.75" hidden="false" customHeight="false" outlineLevel="0" collapsed="false">
      <c r="A627" s="174"/>
      <c r="B627" s="174"/>
      <c r="C627" s="174"/>
      <c r="D627" s="174"/>
      <c r="E627" s="174"/>
      <c r="F627" s="174"/>
      <c r="G627" s="174"/>
      <c r="H627" s="174"/>
      <c r="I627" s="174"/>
      <c r="J627" s="174"/>
      <c r="K627" s="174"/>
      <c r="L627" s="174"/>
      <c r="M627" s="174"/>
      <c r="N627" s="174"/>
      <c r="O627" s="174"/>
      <c r="P627" s="174"/>
      <c r="Q627" s="174"/>
      <c r="R627" s="174"/>
      <c r="S627" s="174"/>
      <c r="T627" s="174"/>
      <c r="U627" s="174"/>
      <c r="V627" s="174"/>
      <c r="W627" s="174"/>
      <c r="X627" s="174"/>
      <c r="Y627" s="174"/>
      <c r="Z627" s="174"/>
    </row>
    <row r="628" customFormat="false" ht="15.75" hidden="false" customHeight="false" outlineLevel="0" collapsed="false">
      <c r="A628" s="174"/>
      <c r="B628" s="174"/>
      <c r="C628" s="174"/>
      <c r="D628" s="174"/>
      <c r="E628" s="174"/>
      <c r="F628" s="174"/>
      <c r="G628" s="174"/>
      <c r="H628" s="174"/>
      <c r="I628" s="174"/>
      <c r="J628" s="174"/>
      <c r="K628" s="174"/>
      <c r="L628" s="174"/>
      <c r="M628" s="174"/>
      <c r="N628" s="174"/>
      <c r="O628" s="174"/>
      <c r="P628" s="174"/>
      <c r="Q628" s="174"/>
      <c r="R628" s="174"/>
      <c r="S628" s="174"/>
      <c r="T628" s="174"/>
      <c r="U628" s="174"/>
      <c r="V628" s="174"/>
      <c r="W628" s="174"/>
      <c r="X628" s="174"/>
      <c r="Y628" s="174"/>
      <c r="Z628" s="174"/>
    </row>
    <row r="629" customFormat="false" ht="15.75" hidden="false" customHeight="false" outlineLevel="0" collapsed="false">
      <c r="A629" s="174"/>
      <c r="B629" s="174"/>
      <c r="C629" s="174"/>
      <c r="D629" s="174"/>
      <c r="E629" s="174"/>
      <c r="F629" s="174"/>
      <c r="G629" s="174"/>
      <c r="H629" s="174"/>
      <c r="I629" s="174"/>
      <c r="J629" s="174"/>
      <c r="K629" s="174"/>
      <c r="L629" s="174"/>
      <c r="M629" s="174"/>
      <c r="N629" s="174"/>
      <c r="O629" s="174"/>
      <c r="P629" s="174"/>
      <c r="Q629" s="174"/>
      <c r="R629" s="174"/>
      <c r="S629" s="174"/>
      <c r="T629" s="174"/>
      <c r="U629" s="174"/>
      <c r="V629" s="174"/>
      <c r="W629" s="174"/>
      <c r="X629" s="174"/>
      <c r="Y629" s="174"/>
      <c r="Z629" s="174"/>
    </row>
    <row r="630" customFormat="false" ht="15.75" hidden="false" customHeight="false" outlineLevel="0" collapsed="false">
      <c r="A630" s="174"/>
      <c r="B630" s="174"/>
      <c r="C630" s="174"/>
      <c r="D630" s="174"/>
      <c r="E630" s="174"/>
      <c r="F630" s="174"/>
      <c r="G630" s="174"/>
      <c r="H630" s="174"/>
      <c r="I630" s="174"/>
      <c r="J630" s="174"/>
      <c r="K630" s="174"/>
      <c r="L630" s="174"/>
      <c r="M630" s="174"/>
      <c r="N630" s="174"/>
      <c r="O630" s="174"/>
      <c r="P630" s="174"/>
      <c r="Q630" s="174"/>
      <c r="R630" s="174"/>
      <c r="S630" s="174"/>
      <c r="T630" s="174"/>
      <c r="U630" s="174"/>
      <c r="V630" s="174"/>
      <c r="W630" s="174"/>
      <c r="X630" s="174"/>
      <c r="Y630" s="174"/>
      <c r="Z630" s="174"/>
    </row>
    <row r="631" customFormat="false" ht="15.75" hidden="false" customHeight="false" outlineLevel="0" collapsed="false">
      <c r="A631" s="174"/>
      <c r="B631" s="174"/>
      <c r="C631" s="174"/>
      <c r="D631" s="174"/>
      <c r="E631" s="174"/>
      <c r="F631" s="174"/>
      <c r="G631" s="174"/>
      <c r="H631" s="174"/>
      <c r="I631" s="174"/>
      <c r="J631" s="174"/>
      <c r="K631" s="174"/>
      <c r="L631" s="174"/>
      <c r="M631" s="174"/>
      <c r="N631" s="174"/>
      <c r="O631" s="174"/>
      <c r="P631" s="174"/>
      <c r="Q631" s="174"/>
      <c r="R631" s="174"/>
      <c r="S631" s="174"/>
      <c r="T631" s="174"/>
      <c r="U631" s="174"/>
      <c r="V631" s="174"/>
      <c r="W631" s="174"/>
      <c r="X631" s="174"/>
      <c r="Y631" s="174"/>
      <c r="Z631" s="174"/>
    </row>
    <row r="632" customFormat="false" ht="15.75" hidden="false" customHeight="false" outlineLevel="0" collapsed="false">
      <c r="A632" s="174"/>
      <c r="B632" s="174"/>
      <c r="C632" s="174"/>
      <c r="D632" s="174"/>
      <c r="E632" s="174"/>
      <c r="F632" s="174"/>
      <c r="G632" s="174"/>
      <c r="H632" s="174"/>
      <c r="I632" s="174"/>
      <c r="J632" s="174"/>
      <c r="K632" s="174"/>
      <c r="L632" s="174"/>
      <c r="M632" s="174"/>
      <c r="N632" s="174"/>
      <c r="O632" s="174"/>
      <c r="P632" s="174"/>
      <c r="Q632" s="174"/>
      <c r="R632" s="174"/>
      <c r="S632" s="174"/>
      <c r="T632" s="174"/>
      <c r="U632" s="174"/>
      <c r="V632" s="174"/>
      <c r="W632" s="174"/>
      <c r="X632" s="174"/>
      <c r="Y632" s="174"/>
      <c r="Z632" s="174"/>
    </row>
    <row r="633" customFormat="false" ht="15.75" hidden="false" customHeight="false" outlineLevel="0" collapsed="false">
      <c r="A633" s="174"/>
      <c r="B633" s="174"/>
      <c r="C633" s="174"/>
      <c r="D633" s="174"/>
      <c r="E633" s="174"/>
      <c r="F633" s="174"/>
      <c r="G633" s="174"/>
      <c r="H633" s="174"/>
      <c r="I633" s="174"/>
      <c r="J633" s="174"/>
      <c r="K633" s="174"/>
      <c r="L633" s="174"/>
      <c r="M633" s="174"/>
      <c r="N633" s="174"/>
      <c r="O633" s="174"/>
      <c r="P633" s="174"/>
      <c r="Q633" s="174"/>
      <c r="R633" s="174"/>
      <c r="S633" s="174"/>
      <c r="T633" s="174"/>
      <c r="U633" s="174"/>
      <c r="V633" s="174"/>
      <c r="W633" s="174"/>
      <c r="X633" s="174"/>
      <c r="Y633" s="174"/>
      <c r="Z633" s="174"/>
    </row>
    <row r="634" customFormat="false" ht="15.75" hidden="false" customHeight="false" outlineLevel="0" collapsed="false">
      <c r="A634" s="174"/>
      <c r="B634" s="174"/>
      <c r="C634" s="174"/>
      <c r="D634" s="174"/>
      <c r="E634" s="174"/>
      <c r="F634" s="174"/>
      <c r="G634" s="174"/>
      <c r="H634" s="174"/>
      <c r="I634" s="174"/>
      <c r="J634" s="174"/>
      <c r="K634" s="174"/>
      <c r="L634" s="174"/>
      <c r="M634" s="174"/>
      <c r="N634" s="174"/>
      <c r="O634" s="174"/>
      <c r="P634" s="174"/>
      <c r="Q634" s="174"/>
      <c r="R634" s="174"/>
      <c r="S634" s="174"/>
      <c r="T634" s="174"/>
      <c r="U634" s="174"/>
      <c r="V634" s="174"/>
      <c r="W634" s="174"/>
      <c r="X634" s="174"/>
      <c r="Y634" s="174"/>
      <c r="Z634" s="174"/>
    </row>
    <row r="635" customFormat="false" ht="15.75" hidden="false" customHeight="false" outlineLevel="0" collapsed="false">
      <c r="A635" s="174"/>
      <c r="B635" s="174"/>
      <c r="C635" s="174"/>
      <c r="D635" s="174"/>
      <c r="E635" s="174"/>
      <c r="F635" s="174"/>
      <c r="G635" s="174"/>
      <c r="H635" s="174"/>
      <c r="I635" s="174"/>
      <c r="J635" s="174"/>
      <c r="K635" s="174"/>
      <c r="L635" s="174"/>
      <c r="M635" s="174"/>
      <c r="N635" s="174"/>
      <c r="O635" s="174"/>
      <c r="P635" s="174"/>
      <c r="Q635" s="174"/>
      <c r="R635" s="174"/>
      <c r="S635" s="174"/>
      <c r="T635" s="174"/>
      <c r="U635" s="174"/>
      <c r="V635" s="174"/>
      <c r="W635" s="174"/>
      <c r="X635" s="174"/>
      <c r="Y635" s="174"/>
      <c r="Z635" s="174"/>
    </row>
    <row r="636" customFormat="false" ht="15.75" hidden="false" customHeight="false" outlineLevel="0" collapsed="false">
      <c r="A636" s="174"/>
      <c r="B636" s="174"/>
      <c r="C636" s="174"/>
      <c r="D636" s="174"/>
      <c r="E636" s="174"/>
      <c r="F636" s="174"/>
      <c r="G636" s="174"/>
      <c r="H636" s="174"/>
      <c r="I636" s="174"/>
      <c r="J636" s="174"/>
      <c r="K636" s="174"/>
      <c r="L636" s="174"/>
      <c r="M636" s="174"/>
      <c r="N636" s="174"/>
      <c r="O636" s="174"/>
      <c r="P636" s="174"/>
      <c r="Q636" s="174"/>
      <c r="R636" s="174"/>
      <c r="S636" s="174"/>
      <c r="T636" s="174"/>
      <c r="U636" s="174"/>
      <c r="V636" s="174"/>
      <c r="W636" s="174"/>
      <c r="X636" s="174"/>
      <c r="Y636" s="174"/>
      <c r="Z636" s="174"/>
    </row>
    <row r="637" customFormat="false" ht="15.75" hidden="false" customHeight="false" outlineLevel="0" collapsed="false">
      <c r="A637" s="174"/>
      <c r="B637" s="174"/>
      <c r="C637" s="174"/>
      <c r="D637" s="174"/>
      <c r="E637" s="174"/>
      <c r="F637" s="174"/>
      <c r="G637" s="174"/>
      <c r="H637" s="174"/>
      <c r="I637" s="174"/>
      <c r="J637" s="174"/>
      <c r="K637" s="174"/>
      <c r="L637" s="174"/>
      <c r="M637" s="174"/>
      <c r="N637" s="174"/>
      <c r="O637" s="174"/>
      <c r="P637" s="174"/>
      <c r="Q637" s="174"/>
      <c r="R637" s="174"/>
      <c r="S637" s="174"/>
      <c r="T637" s="174"/>
      <c r="U637" s="174"/>
      <c r="V637" s="174"/>
      <c r="W637" s="174"/>
      <c r="X637" s="174"/>
      <c r="Y637" s="174"/>
      <c r="Z637" s="174"/>
    </row>
    <row r="638" customFormat="false" ht="15.75" hidden="false" customHeight="false" outlineLevel="0" collapsed="false">
      <c r="A638" s="174"/>
      <c r="B638" s="174"/>
      <c r="C638" s="174"/>
      <c r="D638" s="174"/>
      <c r="E638" s="174"/>
      <c r="F638" s="174"/>
      <c r="G638" s="174"/>
      <c r="H638" s="174"/>
      <c r="I638" s="174"/>
      <c r="J638" s="174"/>
      <c r="K638" s="174"/>
      <c r="L638" s="174"/>
      <c r="M638" s="174"/>
      <c r="N638" s="174"/>
      <c r="O638" s="174"/>
      <c r="P638" s="174"/>
      <c r="Q638" s="174"/>
      <c r="R638" s="174"/>
      <c r="S638" s="174"/>
      <c r="T638" s="174"/>
      <c r="U638" s="174"/>
      <c r="V638" s="174"/>
      <c r="W638" s="174"/>
      <c r="X638" s="174"/>
      <c r="Y638" s="174"/>
      <c r="Z638" s="174"/>
    </row>
    <row r="639" customFormat="false" ht="15.75" hidden="false" customHeight="false" outlineLevel="0" collapsed="false">
      <c r="A639" s="174"/>
      <c r="B639" s="174"/>
      <c r="C639" s="174"/>
      <c r="D639" s="174"/>
      <c r="E639" s="174"/>
      <c r="F639" s="174"/>
      <c r="G639" s="174"/>
      <c r="H639" s="174"/>
      <c r="I639" s="174"/>
      <c r="J639" s="174"/>
      <c r="K639" s="174"/>
      <c r="L639" s="174"/>
      <c r="M639" s="174"/>
      <c r="N639" s="174"/>
      <c r="O639" s="174"/>
      <c r="P639" s="174"/>
      <c r="Q639" s="174"/>
      <c r="R639" s="174"/>
      <c r="S639" s="174"/>
      <c r="T639" s="174"/>
      <c r="U639" s="174"/>
      <c r="V639" s="174"/>
      <c r="W639" s="174"/>
      <c r="X639" s="174"/>
      <c r="Y639" s="174"/>
      <c r="Z639" s="174"/>
    </row>
    <row r="640" customFormat="false" ht="15.75" hidden="false" customHeight="false" outlineLevel="0" collapsed="false">
      <c r="A640" s="174"/>
      <c r="B640" s="174"/>
      <c r="C640" s="174"/>
      <c r="D640" s="174"/>
      <c r="E640" s="174"/>
      <c r="F640" s="174"/>
      <c r="G640" s="174"/>
      <c r="H640" s="174"/>
      <c r="I640" s="174"/>
      <c r="J640" s="174"/>
      <c r="K640" s="174"/>
      <c r="L640" s="174"/>
      <c r="M640" s="174"/>
      <c r="N640" s="174"/>
      <c r="O640" s="174"/>
      <c r="P640" s="174"/>
      <c r="Q640" s="174"/>
      <c r="R640" s="174"/>
      <c r="S640" s="174"/>
      <c r="T640" s="174"/>
      <c r="U640" s="174"/>
      <c r="V640" s="174"/>
      <c r="W640" s="174"/>
      <c r="X640" s="174"/>
      <c r="Y640" s="174"/>
      <c r="Z640" s="174"/>
    </row>
    <row r="641" customFormat="false" ht="15.75" hidden="false" customHeight="false" outlineLevel="0" collapsed="false">
      <c r="A641" s="174"/>
      <c r="B641" s="174"/>
      <c r="C641" s="174"/>
      <c r="D641" s="174"/>
      <c r="E641" s="174"/>
      <c r="F641" s="174"/>
      <c r="G641" s="174"/>
      <c r="H641" s="174"/>
      <c r="I641" s="174"/>
      <c r="J641" s="174"/>
      <c r="K641" s="174"/>
      <c r="L641" s="174"/>
      <c r="M641" s="174"/>
      <c r="N641" s="174"/>
      <c r="O641" s="174"/>
      <c r="P641" s="174"/>
      <c r="Q641" s="174"/>
      <c r="R641" s="174"/>
      <c r="S641" s="174"/>
      <c r="T641" s="174"/>
      <c r="U641" s="174"/>
      <c r="V641" s="174"/>
      <c r="W641" s="174"/>
      <c r="X641" s="174"/>
      <c r="Y641" s="174"/>
      <c r="Z641" s="174"/>
    </row>
    <row r="642" customFormat="false" ht="15.75" hidden="false" customHeight="false" outlineLevel="0" collapsed="false">
      <c r="A642" s="174"/>
      <c r="B642" s="174"/>
      <c r="C642" s="174"/>
      <c r="D642" s="174"/>
      <c r="E642" s="174"/>
      <c r="F642" s="174"/>
      <c r="G642" s="174"/>
      <c r="H642" s="174"/>
      <c r="I642" s="174"/>
      <c r="J642" s="174"/>
      <c r="K642" s="174"/>
      <c r="L642" s="174"/>
      <c r="M642" s="174"/>
      <c r="N642" s="174"/>
      <c r="O642" s="174"/>
      <c r="P642" s="174"/>
      <c r="Q642" s="174"/>
      <c r="R642" s="174"/>
      <c r="S642" s="174"/>
      <c r="T642" s="174"/>
      <c r="U642" s="174"/>
      <c r="V642" s="174"/>
      <c r="W642" s="174"/>
      <c r="X642" s="174"/>
      <c r="Y642" s="174"/>
      <c r="Z642" s="174"/>
    </row>
    <row r="643" customFormat="false" ht="15.75" hidden="false" customHeight="false" outlineLevel="0" collapsed="false">
      <c r="A643" s="174"/>
      <c r="B643" s="174"/>
      <c r="C643" s="174"/>
      <c r="D643" s="174"/>
      <c r="E643" s="174"/>
      <c r="F643" s="174"/>
      <c r="G643" s="174"/>
      <c r="H643" s="174"/>
      <c r="I643" s="174"/>
      <c r="J643" s="174"/>
      <c r="K643" s="174"/>
      <c r="L643" s="174"/>
      <c r="M643" s="174"/>
      <c r="N643" s="174"/>
      <c r="O643" s="174"/>
      <c r="P643" s="174"/>
      <c r="Q643" s="174"/>
      <c r="R643" s="174"/>
      <c r="S643" s="174"/>
      <c r="T643" s="174"/>
      <c r="U643" s="174"/>
      <c r="V643" s="174"/>
      <c r="W643" s="174"/>
      <c r="X643" s="174"/>
      <c r="Y643" s="174"/>
      <c r="Z643" s="174"/>
    </row>
    <row r="644" customFormat="false" ht="15.75" hidden="false" customHeight="false" outlineLevel="0" collapsed="false">
      <c r="A644" s="174"/>
      <c r="B644" s="174"/>
      <c r="C644" s="174"/>
      <c r="D644" s="174"/>
      <c r="E644" s="174"/>
      <c r="F644" s="174"/>
      <c r="G644" s="174"/>
      <c r="H644" s="174"/>
      <c r="I644" s="174"/>
      <c r="J644" s="174"/>
      <c r="K644" s="174"/>
      <c r="L644" s="174"/>
      <c r="M644" s="174"/>
      <c r="N644" s="174"/>
      <c r="O644" s="174"/>
      <c r="P644" s="174"/>
      <c r="Q644" s="174"/>
      <c r="R644" s="174"/>
      <c r="S644" s="174"/>
      <c r="T644" s="174"/>
      <c r="U644" s="174"/>
      <c r="V644" s="174"/>
      <c r="W644" s="174"/>
      <c r="X644" s="174"/>
      <c r="Y644" s="174"/>
      <c r="Z644" s="174"/>
    </row>
    <row r="645" customFormat="false" ht="15.75" hidden="false" customHeight="false" outlineLevel="0" collapsed="false">
      <c r="A645" s="174"/>
      <c r="B645" s="174"/>
      <c r="C645" s="174"/>
      <c r="D645" s="174"/>
      <c r="E645" s="174"/>
      <c r="F645" s="174"/>
      <c r="G645" s="174"/>
      <c r="H645" s="174"/>
      <c r="I645" s="174"/>
      <c r="J645" s="174"/>
      <c r="K645" s="174"/>
      <c r="L645" s="174"/>
      <c r="M645" s="174"/>
      <c r="N645" s="174"/>
      <c r="O645" s="174"/>
      <c r="P645" s="174"/>
      <c r="Q645" s="174"/>
      <c r="R645" s="174"/>
      <c r="S645" s="174"/>
      <c r="T645" s="174"/>
      <c r="U645" s="174"/>
      <c r="V645" s="174"/>
      <c r="W645" s="174"/>
      <c r="X645" s="174"/>
      <c r="Y645" s="174"/>
      <c r="Z645" s="174"/>
    </row>
    <row r="646" customFormat="false" ht="15.75" hidden="false" customHeight="false" outlineLevel="0" collapsed="false">
      <c r="A646" s="174"/>
      <c r="B646" s="174"/>
      <c r="C646" s="174"/>
      <c r="D646" s="174"/>
      <c r="E646" s="174"/>
      <c r="F646" s="174"/>
      <c r="G646" s="174"/>
      <c r="H646" s="174"/>
      <c r="I646" s="174"/>
      <c r="J646" s="174"/>
      <c r="K646" s="174"/>
      <c r="L646" s="174"/>
      <c r="M646" s="174"/>
      <c r="N646" s="174"/>
      <c r="O646" s="174"/>
      <c r="P646" s="174"/>
      <c r="Q646" s="174"/>
      <c r="R646" s="174"/>
      <c r="S646" s="174"/>
      <c r="T646" s="174"/>
      <c r="U646" s="174"/>
      <c r="V646" s="174"/>
      <c r="W646" s="174"/>
      <c r="X646" s="174"/>
      <c r="Y646" s="174"/>
      <c r="Z646" s="174"/>
    </row>
    <row r="647" customFormat="false" ht="15.75" hidden="false" customHeight="false" outlineLevel="0" collapsed="false">
      <c r="A647" s="174"/>
      <c r="B647" s="174"/>
      <c r="C647" s="174"/>
      <c r="D647" s="174"/>
      <c r="E647" s="174"/>
      <c r="F647" s="174"/>
      <c r="G647" s="174"/>
      <c r="H647" s="174"/>
      <c r="I647" s="174"/>
      <c r="J647" s="174"/>
      <c r="K647" s="174"/>
      <c r="L647" s="174"/>
      <c r="M647" s="174"/>
      <c r="N647" s="174"/>
      <c r="O647" s="174"/>
      <c r="P647" s="174"/>
      <c r="Q647" s="174"/>
      <c r="R647" s="174"/>
      <c r="S647" s="174"/>
      <c r="T647" s="174"/>
      <c r="U647" s="174"/>
      <c r="V647" s="174"/>
      <c r="W647" s="174"/>
      <c r="X647" s="174"/>
      <c r="Y647" s="174"/>
      <c r="Z647" s="174"/>
    </row>
    <row r="648" customFormat="false" ht="15.75" hidden="false" customHeight="false" outlineLevel="0" collapsed="false">
      <c r="A648" s="174"/>
      <c r="B648" s="174"/>
      <c r="C648" s="174"/>
      <c r="D648" s="174"/>
      <c r="E648" s="174"/>
      <c r="F648" s="174"/>
      <c r="G648" s="174"/>
      <c r="H648" s="174"/>
      <c r="I648" s="174"/>
      <c r="J648" s="174"/>
      <c r="K648" s="174"/>
      <c r="L648" s="174"/>
      <c r="M648" s="174"/>
      <c r="N648" s="174"/>
      <c r="O648" s="174"/>
      <c r="P648" s="174"/>
      <c r="Q648" s="174"/>
      <c r="R648" s="174"/>
      <c r="S648" s="174"/>
      <c r="T648" s="174"/>
      <c r="U648" s="174"/>
      <c r="V648" s="174"/>
      <c r="W648" s="174"/>
      <c r="X648" s="174"/>
      <c r="Y648" s="174"/>
      <c r="Z648" s="174"/>
    </row>
    <row r="649" customFormat="false" ht="15.75" hidden="false" customHeight="false" outlineLevel="0" collapsed="false">
      <c r="A649" s="174"/>
      <c r="B649" s="174"/>
      <c r="C649" s="174"/>
      <c r="D649" s="174"/>
      <c r="E649" s="174"/>
      <c r="F649" s="174"/>
      <c r="G649" s="174"/>
      <c r="H649" s="174"/>
      <c r="I649" s="174"/>
      <c r="J649" s="174"/>
      <c r="K649" s="174"/>
      <c r="L649" s="174"/>
      <c r="M649" s="174"/>
      <c r="N649" s="174"/>
      <c r="O649" s="174"/>
      <c r="P649" s="174"/>
      <c r="Q649" s="174"/>
      <c r="R649" s="174"/>
      <c r="S649" s="174"/>
      <c r="T649" s="174"/>
      <c r="U649" s="174"/>
      <c r="V649" s="174"/>
      <c r="W649" s="174"/>
      <c r="X649" s="174"/>
      <c r="Y649" s="174"/>
      <c r="Z649" s="174"/>
    </row>
    <row r="650" customFormat="false" ht="15.75" hidden="false" customHeight="false" outlineLevel="0" collapsed="false">
      <c r="A650" s="174"/>
      <c r="B650" s="174"/>
      <c r="C650" s="174"/>
      <c r="D650" s="174"/>
      <c r="E650" s="174"/>
      <c r="F650" s="174"/>
      <c r="G650" s="174"/>
      <c r="H650" s="174"/>
      <c r="I650" s="174"/>
      <c r="J650" s="174"/>
      <c r="K650" s="174"/>
      <c r="L650" s="174"/>
      <c r="M650" s="174"/>
      <c r="N650" s="174"/>
      <c r="O650" s="174"/>
      <c r="P650" s="174"/>
      <c r="Q650" s="174"/>
      <c r="R650" s="174"/>
      <c r="S650" s="174"/>
      <c r="T650" s="174"/>
      <c r="U650" s="174"/>
      <c r="V650" s="174"/>
      <c r="W650" s="174"/>
      <c r="X650" s="174"/>
      <c r="Y650" s="174"/>
      <c r="Z650" s="174"/>
    </row>
    <row r="651" customFormat="false" ht="15.75" hidden="false" customHeight="false" outlineLevel="0" collapsed="false">
      <c r="A651" s="174"/>
      <c r="B651" s="174"/>
      <c r="C651" s="174"/>
      <c r="D651" s="174"/>
      <c r="E651" s="174"/>
      <c r="F651" s="174"/>
      <c r="G651" s="174"/>
      <c r="H651" s="174"/>
      <c r="I651" s="174"/>
      <c r="J651" s="174"/>
      <c r="K651" s="174"/>
      <c r="L651" s="174"/>
      <c r="M651" s="174"/>
      <c r="N651" s="174"/>
      <c r="O651" s="174"/>
      <c r="P651" s="174"/>
      <c r="Q651" s="174"/>
      <c r="R651" s="174"/>
      <c r="S651" s="174"/>
      <c r="T651" s="174"/>
      <c r="U651" s="174"/>
      <c r="V651" s="174"/>
      <c r="W651" s="174"/>
      <c r="X651" s="174"/>
      <c r="Y651" s="174"/>
      <c r="Z651" s="174"/>
    </row>
    <row r="652" customFormat="false" ht="15.75" hidden="false" customHeight="false" outlineLevel="0" collapsed="false">
      <c r="A652" s="174"/>
      <c r="B652" s="174"/>
      <c r="C652" s="174"/>
      <c r="D652" s="174"/>
      <c r="E652" s="174"/>
      <c r="F652" s="174"/>
      <c r="G652" s="174"/>
      <c r="H652" s="174"/>
      <c r="I652" s="174"/>
      <c r="J652" s="174"/>
      <c r="K652" s="174"/>
      <c r="L652" s="174"/>
      <c r="M652" s="174"/>
      <c r="N652" s="174"/>
      <c r="O652" s="174"/>
      <c r="P652" s="174"/>
      <c r="Q652" s="174"/>
      <c r="R652" s="174"/>
      <c r="S652" s="174"/>
      <c r="T652" s="174"/>
      <c r="U652" s="174"/>
      <c r="V652" s="174"/>
      <c r="W652" s="174"/>
      <c r="X652" s="174"/>
      <c r="Y652" s="174"/>
      <c r="Z652" s="174"/>
    </row>
    <row r="653" customFormat="false" ht="15.75" hidden="false" customHeight="false" outlineLevel="0" collapsed="false">
      <c r="A653" s="174"/>
      <c r="B653" s="174"/>
      <c r="C653" s="174"/>
      <c r="D653" s="174"/>
      <c r="E653" s="174"/>
      <c r="F653" s="174"/>
      <c r="G653" s="174"/>
      <c r="H653" s="174"/>
      <c r="I653" s="174"/>
      <c r="J653" s="174"/>
      <c r="K653" s="174"/>
      <c r="L653" s="174"/>
      <c r="M653" s="174"/>
      <c r="N653" s="174"/>
      <c r="O653" s="174"/>
      <c r="P653" s="174"/>
      <c r="Q653" s="174"/>
      <c r="R653" s="174"/>
      <c r="S653" s="174"/>
      <c r="T653" s="174"/>
      <c r="U653" s="174"/>
      <c r="V653" s="174"/>
      <c r="W653" s="174"/>
      <c r="X653" s="174"/>
      <c r="Y653" s="174"/>
      <c r="Z653" s="174"/>
    </row>
    <row r="654" customFormat="false" ht="15.75" hidden="false" customHeight="false" outlineLevel="0" collapsed="false">
      <c r="A654" s="174"/>
      <c r="B654" s="174"/>
      <c r="C654" s="174"/>
      <c r="D654" s="174"/>
      <c r="E654" s="174"/>
      <c r="F654" s="174"/>
      <c r="G654" s="174"/>
      <c r="H654" s="174"/>
      <c r="I654" s="174"/>
      <c r="J654" s="174"/>
      <c r="K654" s="174"/>
      <c r="L654" s="174"/>
      <c r="M654" s="174"/>
      <c r="N654" s="174"/>
      <c r="O654" s="174"/>
      <c r="P654" s="174"/>
      <c r="Q654" s="174"/>
      <c r="R654" s="174"/>
      <c r="S654" s="174"/>
      <c r="T654" s="174"/>
      <c r="U654" s="174"/>
      <c r="V654" s="174"/>
      <c r="W654" s="174"/>
      <c r="X654" s="174"/>
      <c r="Y654" s="174"/>
      <c r="Z654" s="174"/>
    </row>
    <row r="655" customFormat="false" ht="15.75" hidden="false" customHeight="false" outlineLevel="0" collapsed="false">
      <c r="A655" s="174"/>
      <c r="B655" s="174"/>
      <c r="C655" s="174"/>
      <c r="D655" s="174"/>
      <c r="E655" s="174"/>
      <c r="F655" s="174"/>
      <c r="G655" s="174"/>
      <c r="H655" s="174"/>
      <c r="I655" s="174"/>
      <c r="J655" s="174"/>
      <c r="K655" s="174"/>
      <c r="L655" s="174"/>
      <c r="M655" s="174"/>
      <c r="N655" s="174"/>
      <c r="O655" s="174"/>
      <c r="P655" s="174"/>
      <c r="Q655" s="174"/>
      <c r="R655" s="174"/>
      <c r="S655" s="174"/>
      <c r="T655" s="174"/>
      <c r="U655" s="174"/>
      <c r="V655" s="174"/>
      <c r="W655" s="174"/>
      <c r="X655" s="174"/>
      <c r="Y655" s="174"/>
      <c r="Z655" s="174"/>
    </row>
    <row r="656" customFormat="false" ht="15.75" hidden="false" customHeight="false" outlineLevel="0" collapsed="false">
      <c r="A656" s="174"/>
      <c r="B656" s="174"/>
      <c r="C656" s="174"/>
      <c r="D656" s="174"/>
      <c r="E656" s="174"/>
      <c r="F656" s="174"/>
      <c r="G656" s="174"/>
      <c r="H656" s="174"/>
      <c r="I656" s="174"/>
      <c r="J656" s="174"/>
      <c r="K656" s="174"/>
      <c r="L656" s="174"/>
      <c r="M656" s="174"/>
      <c r="N656" s="174"/>
      <c r="O656" s="174"/>
      <c r="P656" s="174"/>
      <c r="Q656" s="174"/>
      <c r="R656" s="174"/>
      <c r="S656" s="174"/>
      <c r="T656" s="174"/>
      <c r="U656" s="174"/>
      <c r="V656" s="174"/>
      <c r="W656" s="174"/>
      <c r="X656" s="174"/>
      <c r="Y656" s="174"/>
      <c r="Z656" s="174"/>
    </row>
    <row r="657" customFormat="false" ht="15.75" hidden="false" customHeight="false" outlineLevel="0" collapsed="false">
      <c r="A657" s="174"/>
      <c r="B657" s="174"/>
      <c r="C657" s="174"/>
      <c r="D657" s="174"/>
      <c r="E657" s="174"/>
      <c r="F657" s="174"/>
      <c r="G657" s="174"/>
      <c r="H657" s="174"/>
      <c r="I657" s="174"/>
      <c r="J657" s="174"/>
      <c r="K657" s="174"/>
      <c r="L657" s="174"/>
      <c r="M657" s="174"/>
      <c r="N657" s="174"/>
      <c r="O657" s="174"/>
      <c r="P657" s="174"/>
      <c r="Q657" s="174"/>
      <c r="R657" s="174"/>
      <c r="S657" s="174"/>
      <c r="T657" s="174"/>
      <c r="U657" s="174"/>
      <c r="V657" s="174"/>
      <c r="W657" s="174"/>
      <c r="X657" s="174"/>
      <c r="Y657" s="174"/>
      <c r="Z657" s="174"/>
    </row>
    <row r="658" customFormat="false" ht="15.75" hidden="false" customHeight="false" outlineLevel="0" collapsed="false">
      <c r="A658" s="174"/>
      <c r="B658" s="174"/>
      <c r="C658" s="174"/>
      <c r="D658" s="174"/>
      <c r="E658" s="174"/>
      <c r="F658" s="174"/>
      <c r="G658" s="174"/>
      <c r="H658" s="174"/>
      <c r="I658" s="174"/>
      <c r="J658" s="174"/>
      <c r="K658" s="174"/>
      <c r="L658" s="174"/>
      <c r="M658" s="174"/>
      <c r="N658" s="174"/>
      <c r="O658" s="174"/>
      <c r="P658" s="174"/>
      <c r="Q658" s="174"/>
      <c r="R658" s="174"/>
      <c r="S658" s="174"/>
      <c r="T658" s="174"/>
      <c r="U658" s="174"/>
      <c r="V658" s="174"/>
      <c r="W658" s="174"/>
      <c r="X658" s="174"/>
      <c r="Y658" s="174"/>
      <c r="Z658" s="174"/>
    </row>
    <row r="659" customFormat="false" ht="15.75" hidden="false" customHeight="false" outlineLevel="0" collapsed="false">
      <c r="A659" s="174"/>
      <c r="B659" s="174"/>
      <c r="C659" s="174"/>
      <c r="D659" s="174"/>
      <c r="E659" s="174"/>
      <c r="F659" s="174"/>
      <c r="G659" s="174"/>
      <c r="H659" s="174"/>
      <c r="I659" s="174"/>
      <c r="J659" s="174"/>
      <c r="K659" s="174"/>
      <c r="L659" s="174"/>
      <c r="M659" s="174"/>
      <c r="N659" s="174"/>
      <c r="O659" s="174"/>
      <c r="P659" s="174"/>
      <c r="Q659" s="174"/>
      <c r="R659" s="174"/>
      <c r="S659" s="174"/>
      <c r="T659" s="174"/>
      <c r="U659" s="174"/>
      <c r="V659" s="174"/>
      <c r="W659" s="174"/>
      <c r="X659" s="174"/>
      <c r="Y659" s="174"/>
      <c r="Z659" s="174"/>
    </row>
    <row r="660" customFormat="false" ht="15.75" hidden="false" customHeight="false" outlineLevel="0" collapsed="false">
      <c r="A660" s="174"/>
      <c r="B660" s="174"/>
      <c r="C660" s="174"/>
      <c r="D660" s="174"/>
      <c r="E660" s="174"/>
      <c r="F660" s="174"/>
      <c r="G660" s="174"/>
      <c r="H660" s="174"/>
      <c r="I660" s="174"/>
      <c r="J660" s="174"/>
      <c r="K660" s="174"/>
      <c r="L660" s="174"/>
      <c r="M660" s="174"/>
      <c r="N660" s="174"/>
      <c r="O660" s="174"/>
      <c r="P660" s="174"/>
      <c r="Q660" s="174"/>
      <c r="R660" s="174"/>
      <c r="S660" s="174"/>
      <c r="T660" s="174"/>
      <c r="U660" s="174"/>
      <c r="V660" s="174"/>
      <c r="W660" s="174"/>
      <c r="X660" s="174"/>
      <c r="Y660" s="174"/>
      <c r="Z660" s="174"/>
    </row>
    <row r="661" customFormat="false" ht="15.75" hidden="false" customHeight="false" outlineLevel="0" collapsed="false">
      <c r="A661" s="174"/>
      <c r="B661" s="174"/>
      <c r="C661" s="174"/>
      <c r="D661" s="174"/>
      <c r="E661" s="174"/>
      <c r="F661" s="174"/>
      <c r="G661" s="174"/>
      <c r="H661" s="174"/>
      <c r="I661" s="174"/>
      <c r="J661" s="174"/>
      <c r="K661" s="174"/>
      <c r="L661" s="174"/>
      <c r="M661" s="174"/>
      <c r="N661" s="174"/>
      <c r="O661" s="174"/>
      <c r="P661" s="174"/>
      <c r="Q661" s="174"/>
      <c r="R661" s="174"/>
      <c r="S661" s="174"/>
      <c r="T661" s="174"/>
      <c r="U661" s="174"/>
      <c r="V661" s="174"/>
      <c r="W661" s="174"/>
      <c r="X661" s="174"/>
      <c r="Y661" s="174"/>
      <c r="Z661" s="174"/>
    </row>
    <row r="662" customFormat="false" ht="15.75" hidden="false" customHeight="false" outlineLevel="0" collapsed="false">
      <c r="A662" s="174"/>
      <c r="B662" s="174"/>
      <c r="C662" s="174"/>
      <c r="D662" s="174"/>
      <c r="E662" s="174"/>
      <c r="F662" s="174"/>
      <c r="G662" s="174"/>
      <c r="H662" s="174"/>
      <c r="I662" s="174"/>
      <c r="J662" s="174"/>
      <c r="K662" s="174"/>
      <c r="L662" s="174"/>
      <c r="M662" s="174"/>
      <c r="N662" s="174"/>
      <c r="O662" s="174"/>
      <c r="P662" s="174"/>
      <c r="Q662" s="174"/>
      <c r="R662" s="174"/>
      <c r="S662" s="174"/>
      <c r="T662" s="174"/>
      <c r="U662" s="174"/>
      <c r="V662" s="174"/>
      <c r="W662" s="174"/>
      <c r="X662" s="174"/>
      <c r="Y662" s="174"/>
      <c r="Z662" s="174"/>
    </row>
    <row r="663" customFormat="false" ht="15.75" hidden="false" customHeight="false" outlineLevel="0" collapsed="false">
      <c r="A663" s="174"/>
      <c r="B663" s="174"/>
      <c r="C663" s="174"/>
      <c r="D663" s="174"/>
      <c r="E663" s="174"/>
      <c r="F663" s="174"/>
      <c r="G663" s="174"/>
      <c r="H663" s="174"/>
      <c r="I663" s="174"/>
      <c r="J663" s="174"/>
      <c r="K663" s="174"/>
      <c r="L663" s="174"/>
      <c r="M663" s="174"/>
      <c r="N663" s="174"/>
      <c r="O663" s="174"/>
      <c r="P663" s="174"/>
      <c r="Q663" s="174"/>
      <c r="R663" s="174"/>
      <c r="S663" s="174"/>
      <c r="T663" s="174"/>
      <c r="U663" s="174"/>
      <c r="V663" s="174"/>
      <c r="W663" s="174"/>
      <c r="X663" s="174"/>
      <c r="Y663" s="174"/>
      <c r="Z663" s="174"/>
    </row>
    <row r="664" customFormat="false" ht="15.75" hidden="false" customHeight="false" outlineLevel="0" collapsed="false">
      <c r="A664" s="174"/>
      <c r="B664" s="174"/>
      <c r="C664" s="174"/>
      <c r="D664" s="174"/>
      <c r="E664" s="174"/>
      <c r="F664" s="174"/>
      <c r="G664" s="174"/>
      <c r="H664" s="174"/>
      <c r="I664" s="174"/>
      <c r="J664" s="174"/>
      <c r="K664" s="174"/>
      <c r="L664" s="174"/>
      <c r="M664" s="174"/>
      <c r="N664" s="174"/>
      <c r="O664" s="174"/>
      <c r="P664" s="174"/>
      <c r="Q664" s="174"/>
      <c r="R664" s="174"/>
      <c r="S664" s="174"/>
      <c r="T664" s="174"/>
      <c r="U664" s="174"/>
      <c r="V664" s="174"/>
      <c r="W664" s="174"/>
      <c r="X664" s="174"/>
      <c r="Y664" s="174"/>
      <c r="Z664" s="174"/>
    </row>
    <row r="665" customFormat="false" ht="15.75" hidden="false" customHeight="false" outlineLevel="0" collapsed="false">
      <c r="A665" s="174"/>
      <c r="B665" s="174"/>
      <c r="C665" s="174"/>
      <c r="D665" s="174"/>
      <c r="E665" s="174"/>
      <c r="F665" s="174"/>
      <c r="G665" s="174"/>
      <c r="H665" s="174"/>
      <c r="I665" s="174"/>
      <c r="J665" s="174"/>
      <c r="K665" s="174"/>
      <c r="L665" s="174"/>
      <c r="M665" s="174"/>
      <c r="N665" s="174"/>
      <c r="O665" s="174"/>
      <c r="P665" s="174"/>
      <c r="Q665" s="174"/>
      <c r="R665" s="174"/>
      <c r="S665" s="174"/>
      <c r="T665" s="174"/>
      <c r="U665" s="174"/>
      <c r="V665" s="174"/>
      <c r="W665" s="174"/>
      <c r="X665" s="174"/>
      <c r="Y665" s="174"/>
      <c r="Z665" s="174"/>
    </row>
    <row r="666" customFormat="false" ht="15.75" hidden="false" customHeight="false" outlineLevel="0" collapsed="false">
      <c r="A666" s="174"/>
      <c r="B666" s="174"/>
      <c r="C666" s="174"/>
      <c r="D666" s="174"/>
      <c r="E666" s="174"/>
      <c r="F666" s="174"/>
      <c r="G666" s="174"/>
      <c r="H666" s="174"/>
      <c r="I666" s="174"/>
      <c r="J666" s="174"/>
      <c r="K666" s="174"/>
      <c r="L666" s="174"/>
      <c r="M666" s="174"/>
      <c r="N666" s="174"/>
      <c r="O666" s="174"/>
      <c r="P666" s="174"/>
      <c r="Q666" s="174"/>
      <c r="R666" s="174"/>
      <c r="S666" s="174"/>
      <c r="T666" s="174"/>
      <c r="U666" s="174"/>
      <c r="V666" s="174"/>
      <c r="W666" s="174"/>
      <c r="X666" s="174"/>
      <c r="Y666" s="174"/>
      <c r="Z666" s="174"/>
    </row>
    <row r="667" customFormat="false" ht="15.75" hidden="false" customHeight="false" outlineLevel="0" collapsed="false">
      <c r="A667" s="174"/>
      <c r="B667" s="174"/>
      <c r="C667" s="174"/>
      <c r="D667" s="174"/>
      <c r="E667" s="174"/>
      <c r="F667" s="174"/>
      <c r="G667" s="174"/>
      <c r="H667" s="174"/>
      <c r="I667" s="174"/>
      <c r="J667" s="174"/>
      <c r="K667" s="174"/>
      <c r="L667" s="174"/>
      <c r="M667" s="174"/>
      <c r="N667" s="174"/>
      <c r="O667" s="174"/>
      <c r="P667" s="174"/>
      <c r="Q667" s="174"/>
      <c r="R667" s="174"/>
      <c r="S667" s="174"/>
      <c r="T667" s="174"/>
      <c r="U667" s="174"/>
      <c r="V667" s="174"/>
      <c r="W667" s="174"/>
      <c r="X667" s="174"/>
      <c r="Y667" s="174"/>
      <c r="Z667" s="174"/>
    </row>
    <row r="668" customFormat="false" ht="15.75" hidden="false" customHeight="false" outlineLevel="0" collapsed="false">
      <c r="A668" s="174"/>
      <c r="B668" s="174"/>
      <c r="C668" s="174"/>
      <c r="D668" s="174"/>
      <c r="E668" s="174"/>
      <c r="F668" s="174"/>
      <c r="G668" s="174"/>
      <c r="H668" s="174"/>
      <c r="I668" s="174"/>
      <c r="J668" s="174"/>
      <c r="K668" s="174"/>
      <c r="L668" s="174"/>
      <c r="M668" s="174"/>
      <c r="N668" s="174"/>
      <c r="O668" s="174"/>
      <c r="P668" s="174"/>
      <c r="Q668" s="174"/>
      <c r="R668" s="174"/>
      <c r="S668" s="174"/>
      <c r="T668" s="174"/>
      <c r="U668" s="174"/>
      <c r="V668" s="174"/>
      <c r="W668" s="174"/>
      <c r="X668" s="174"/>
      <c r="Y668" s="174"/>
      <c r="Z668" s="174"/>
    </row>
    <row r="669" customFormat="false" ht="15.75" hidden="false" customHeight="false" outlineLevel="0" collapsed="false">
      <c r="A669" s="174"/>
      <c r="B669" s="174"/>
      <c r="C669" s="174"/>
      <c r="D669" s="174"/>
      <c r="E669" s="174"/>
      <c r="F669" s="174"/>
      <c r="G669" s="174"/>
      <c r="H669" s="174"/>
      <c r="I669" s="174"/>
      <c r="J669" s="174"/>
      <c r="K669" s="174"/>
      <c r="L669" s="174"/>
      <c r="M669" s="174"/>
      <c r="N669" s="174"/>
      <c r="O669" s="174"/>
      <c r="P669" s="174"/>
      <c r="Q669" s="174"/>
      <c r="R669" s="174"/>
      <c r="S669" s="174"/>
      <c r="T669" s="174"/>
      <c r="U669" s="174"/>
      <c r="V669" s="174"/>
      <c r="W669" s="174"/>
      <c r="X669" s="174"/>
      <c r="Y669" s="174"/>
      <c r="Z669" s="174"/>
    </row>
    <row r="670" customFormat="false" ht="15.75" hidden="false" customHeight="false" outlineLevel="0" collapsed="false">
      <c r="A670" s="174"/>
      <c r="B670" s="174"/>
      <c r="C670" s="174"/>
      <c r="D670" s="174"/>
      <c r="E670" s="174"/>
      <c r="F670" s="174"/>
      <c r="G670" s="174"/>
      <c r="H670" s="174"/>
      <c r="I670" s="174"/>
      <c r="J670" s="174"/>
      <c r="K670" s="174"/>
      <c r="L670" s="174"/>
      <c r="M670" s="174"/>
      <c r="N670" s="174"/>
      <c r="O670" s="174"/>
      <c r="P670" s="174"/>
      <c r="Q670" s="174"/>
      <c r="R670" s="174"/>
      <c r="S670" s="174"/>
      <c r="T670" s="174"/>
      <c r="U670" s="174"/>
      <c r="V670" s="174"/>
      <c r="W670" s="174"/>
      <c r="X670" s="174"/>
      <c r="Y670" s="174"/>
      <c r="Z670" s="174"/>
    </row>
    <row r="671" customFormat="false" ht="15.75" hidden="false" customHeight="false" outlineLevel="0" collapsed="false">
      <c r="A671" s="174"/>
      <c r="B671" s="174"/>
      <c r="C671" s="174"/>
      <c r="D671" s="174"/>
      <c r="E671" s="174"/>
      <c r="F671" s="174"/>
      <c r="G671" s="174"/>
      <c r="H671" s="174"/>
      <c r="I671" s="174"/>
      <c r="J671" s="174"/>
      <c r="K671" s="174"/>
      <c r="L671" s="174"/>
      <c r="M671" s="174"/>
      <c r="N671" s="174"/>
      <c r="O671" s="174"/>
      <c r="P671" s="174"/>
      <c r="Q671" s="174"/>
      <c r="R671" s="174"/>
      <c r="S671" s="174"/>
      <c r="T671" s="174"/>
      <c r="U671" s="174"/>
      <c r="V671" s="174"/>
      <c r="W671" s="174"/>
      <c r="X671" s="174"/>
      <c r="Y671" s="174"/>
      <c r="Z671" s="174"/>
    </row>
    <row r="672" customFormat="false" ht="15.75" hidden="false" customHeight="false" outlineLevel="0" collapsed="false">
      <c r="A672" s="174"/>
      <c r="B672" s="174"/>
      <c r="C672" s="174"/>
      <c r="D672" s="174"/>
      <c r="E672" s="174"/>
      <c r="F672" s="174"/>
      <c r="G672" s="174"/>
      <c r="H672" s="174"/>
      <c r="I672" s="174"/>
      <c r="J672" s="174"/>
      <c r="K672" s="174"/>
      <c r="L672" s="174"/>
      <c r="M672" s="174"/>
      <c r="N672" s="174"/>
      <c r="O672" s="174"/>
      <c r="P672" s="174"/>
      <c r="Q672" s="174"/>
      <c r="R672" s="174"/>
      <c r="S672" s="174"/>
      <c r="T672" s="174"/>
      <c r="U672" s="174"/>
      <c r="V672" s="174"/>
      <c r="W672" s="174"/>
      <c r="X672" s="174"/>
      <c r="Y672" s="174"/>
      <c r="Z672" s="174"/>
    </row>
    <row r="673" customFormat="false" ht="15.75" hidden="false" customHeight="false" outlineLevel="0" collapsed="false">
      <c r="A673" s="174"/>
      <c r="B673" s="174"/>
      <c r="C673" s="174"/>
      <c r="D673" s="174"/>
      <c r="E673" s="174"/>
      <c r="F673" s="174"/>
      <c r="G673" s="174"/>
      <c r="H673" s="174"/>
      <c r="I673" s="174"/>
      <c r="J673" s="174"/>
      <c r="K673" s="174"/>
      <c r="L673" s="174"/>
      <c r="M673" s="174"/>
      <c r="N673" s="174"/>
      <c r="O673" s="174"/>
      <c r="P673" s="174"/>
      <c r="Q673" s="174"/>
      <c r="R673" s="174"/>
      <c r="S673" s="174"/>
      <c r="T673" s="174"/>
      <c r="U673" s="174"/>
      <c r="V673" s="174"/>
      <c r="W673" s="174"/>
      <c r="X673" s="174"/>
      <c r="Y673" s="174"/>
      <c r="Z673" s="174"/>
    </row>
    <row r="674" customFormat="false" ht="15.75" hidden="false" customHeight="false" outlineLevel="0" collapsed="false">
      <c r="A674" s="174"/>
      <c r="B674" s="174"/>
      <c r="C674" s="174"/>
      <c r="D674" s="174"/>
      <c r="E674" s="174"/>
      <c r="F674" s="174"/>
      <c r="G674" s="174"/>
      <c r="H674" s="174"/>
      <c r="I674" s="174"/>
      <c r="J674" s="174"/>
      <c r="K674" s="174"/>
      <c r="L674" s="174"/>
      <c r="M674" s="174"/>
      <c r="N674" s="174"/>
      <c r="O674" s="174"/>
      <c r="P674" s="174"/>
      <c r="Q674" s="174"/>
      <c r="R674" s="174"/>
      <c r="S674" s="174"/>
      <c r="T674" s="174"/>
      <c r="U674" s="174"/>
      <c r="V674" s="174"/>
      <c r="W674" s="174"/>
      <c r="X674" s="174"/>
      <c r="Y674" s="174"/>
      <c r="Z674" s="174"/>
    </row>
    <row r="675" customFormat="false" ht="15.75" hidden="false" customHeight="false" outlineLevel="0" collapsed="false">
      <c r="A675" s="174"/>
      <c r="B675" s="174"/>
      <c r="C675" s="174"/>
      <c r="D675" s="174"/>
      <c r="E675" s="174"/>
      <c r="F675" s="174"/>
      <c r="G675" s="174"/>
      <c r="H675" s="174"/>
      <c r="I675" s="174"/>
      <c r="J675" s="174"/>
      <c r="K675" s="174"/>
      <c r="L675" s="174"/>
      <c r="M675" s="174"/>
      <c r="N675" s="174"/>
      <c r="O675" s="174"/>
      <c r="P675" s="174"/>
      <c r="Q675" s="174"/>
      <c r="R675" s="174"/>
      <c r="S675" s="174"/>
      <c r="T675" s="174"/>
      <c r="U675" s="174"/>
      <c r="V675" s="174"/>
      <c r="W675" s="174"/>
      <c r="X675" s="174"/>
      <c r="Y675" s="174"/>
      <c r="Z675" s="174"/>
    </row>
    <row r="676" customFormat="false" ht="15.75" hidden="false" customHeight="false" outlineLevel="0" collapsed="false">
      <c r="A676" s="174"/>
      <c r="B676" s="174"/>
      <c r="C676" s="174"/>
      <c r="D676" s="174"/>
      <c r="E676" s="174"/>
      <c r="F676" s="174"/>
      <c r="G676" s="174"/>
      <c r="H676" s="174"/>
      <c r="I676" s="174"/>
      <c r="J676" s="174"/>
      <c r="K676" s="174"/>
      <c r="L676" s="174"/>
      <c r="M676" s="174"/>
      <c r="N676" s="174"/>
      <c r="O676" s="174"/>
      <c r="P676" s="174"/>
      <c r="Q676" s="174"/>
      <c r="R676" s="174"/>
      <c r="S676" s="174"/>
      <c r="T676" s="174"/>
      <c r="U676" s="174"/>
      <c r="V676" s="174"/>
      <c r="W676" s="174"/>
      <c r="X676" s="174"/>
      <c r="Y676" s="174"/>
      <c r="Z676" s="174"/>
    </row>
    <row r="677" customFormat="false" ht="15.75" hidden="false" customHeight="false" outlineLevel="0" collapsed="false">
      <c r="A677" s="174"/>
      <c r="B677" s="174"/>
      <c r="C677" s="174"/>
      <c r="D677" s="174"/>
      <c r="E677" s="174"/>
      <c r="F677" s="174"/>
      <c r="G677" s="174"/>
      <c r="H677" s="174"/>
      <c r="I677" s="174"/>
      <c r="J677" s="174"/>
      <c r="K677" s="174"/>
      <c r="L677" s="174"/>
      <c r="M677" s="174"/>
      <c r="N677" s="174"/>
      <c r="O677" s="174"/>
      <c r="P677" s="174"/>
      <c r="Q677" s="174"/>
      <c r="R677" s="174"/>
      <c r="S677" s="174"/>
      <c r="T677" s="174"/>
      <c r="U677" s="174"/>
      <c r="V677" s="174"/>
      <c r="W677" s="174"/>
      <c r="X677" s="174"/>
      <c r="Y677" s="174"/>
      <c r="Z677" s="174"/>
    </row>
    <row r="678" customFormat="false" ht="15.75" hidden="false" customHeight="false" outlineLevel="0" collapsed="false">
      <c r="A678" s="174"/>
      <c r="B678" s="174"/>
      <c r="C678" s="174"/>
      <c r="D678" s="174"/>
      <c r="E678" s="174"/>
      <c r="F678" s="174"/>
      <c r="G678" s="174"/>
      <c r="H678" s="174"/>
      <c r="I678" s="174"/>
      <c r="J678" s="174"/>
      <c r="K678" s="174"/>
      <c r="L678" s="174"/>
      <c r="M678" s="174"/>
      <c r="N678" s="174"/>
      <c r="O678" s="174"/>
      <c r="P678" s="174"/>
      <c r="Q678" s="174"/>
      <c r="R678" s="174"/>
      <c r="S678" s="174"/>
      <c r="T678" s="174"/>
      <c r="U678" s="174"/>
      <c r="V678" s="174"/>
      <c r="W678" s="174"/>
      <c r="X678" s="174"/>
      <c r="Y678" s="174"/>
      <c r="Z678" s="174"/>
    </row>
    <row r="679" customFormat="false" ht="15.75" hidden="false" customHeight="false" outlineLevel="0" collapsed="false">
      <c r="A679" s="174"/>
      <c r="B679" s="174"/>
      <c r="C679" s="174"/>
      <c r="D679" s="174"/>
      <c r="E679" s="174"/>
      <c r="F679" s="174"/>
      <c r="G679" s="174"/>
      <c r="H679" s="174"/>
      <c r="I679" s="174"/>
      <c r="J679" s="174"/>
      <c r="K679" s="174"/>
      <c r="L679" s="174"/>
      <c r="M679" s="174"/>
      <c r="N679" s="174"/>
      <c r="O679" s="174"/>
      <c r="P679" s="174"/>
      <c r="Q679" s="174"/>
      <c r="R679" s="174"/>
      <c r="S679" s="174"/>
      <c r="T679" s="174"/>
      <c r="U679" s="174"/>
      <c r="V679" s="174"/>
      <c r="W679" s="174"/>
      <c r="X679" s="174"/>
      <c r="Y679" s="174"/>
      <c r="Z679" s="174"/>
    </row>
    <row r="680" customFormat="false" ht="15.75" hidden="false" customHeight="false" outlineLevel="0" collapsed="false">
      <c r="A680" s="174"/>
      <c r="B680" s="174"/>
      <c r="C680" s="174"/>
      <c r="D680" s="174"/>
      <c r="E680" s="174"/>
      <c r="F680" s="174"/>
      <c r="G680" s="174"/>
      <c r="H680" s="174"/>
      <c r="I680" s="174"/>
      <c r="J680" s="174"/>
      <c r="K680" s="174"/>
      <c r="L680" s="174"/>
      <c r="M680" s="174"/>
      <c r="N680" s="174"/>
      <c r="O680" s="174"/>
      <c r="P680" s="174"/>
      <c r="Q680" s="174"/>
      <c r="R680" s="174"/>
      <c r="S680" s="174"/>
      <c r="T680" s="174"/>
      <c r="U680" s="174"/>
      <c r="V680" s="174"/>
      <c r="W680" s="174"/>
      <c r="X680" s="174"/>
      <c r="Y680" s="174"/>
      <c r="Z680" s="174"/>
    </row>
    <row r="681" customFormat="false" ht="15.75" hidden="false" customHeight="false" outlineLevel="0" collapsed="false">
      <c r="A681" s="174"/>
      <c r="B681" s="174"/>
      <c r="C681" s="174"/>
      <c r="D681" s="174"/>
      <c r="E681" s="174"/>
      <c r="F681" s="174"/>
      <c r="G681" s="174"/>
      <c r="H681" s="174"/>
      <c r="I681" s="174"/>
      <c r="J681" s="174"/>
      <c r="K681" s="174"/>
      <c r="L681" s="174"/>
      <c r="M681" s="174"/>
      <c r="N681" s="174"/>
      <c r="O681" s="174"/>
      <c r="P681" s="174"/>
      <c r="Q681" s="174"/>
      <c r="R681" s="174"/>
      <c r="S681" s="174"/>
      <c r="T681" s="174"/>
      <c r="U681" s="174"/>
      <c r="V681" s="174"/>
      <c r="W681" s="174"/>
      <c r="X681" s="174"/>
      <c r="Y681" s="174"/>
      <c r="Z681" s="174"/>
    </row>
    <row r="682" customFormat="false" ht="15.75" hidden="false" customHeight="false" outlineLevel="0" collapsed="false">
      <c r="A682" s="174"/>
      <c r="B682" s="174"/>
      <c r="C682" s="174"/>
      <c r="D682" s="174"/>
      <c r="E682" s="174"/>
      <c r="F682" s="174"/>
      <c r="G682" s="174"/>
      <c r="H682" s="174"/>
      <c r="I682" s="174"/>
      <c r="J682" s="174"/>
      <c r="K682" s="174"/>
      <c r="L682" s="174"/>
      <c r="M682" s="174"/>
      <c r="N682" s="174"/>
      <c r="O682" s="174"/>
      <c r="P682" s="174"/>
      <c r="Q682" s="174"/>
      <c r="R682" s="174"/>
      <c r="S682" s="174"/>
      <c r="T682" s="174"/>
      <c r="U682" s="174"/>
      <c r="V682" s="174"/>
      <c r="W682" s="174"/>
      <c r="X682" s="174"/>
      <c r="Y682" s="174"/>
      <c r="Z682" s="174"/>
    </row>
    <row r="683" customFormat="false" ht="15.75" hidden="false" customHeight="false" outlineLevel="0" collapsed="false">
      <c r="A683" s="174"/>
      <c r="B683" s="174"/>
      <c r="C683" s="174"/>
      <c r="D683" s="174"/>
      <c r="E683" s="174"/>
      <c r="F683" s="174"/>
      <c r="G683" s="174"/>
      <c r="H683" s="174"/>
      <c r="I683" s="174"/>
      <c r="J683" s="174"/>
      <c r="K683" s="174"/>
      <c r="L683" s="174"/>
      <c r="M683" s="174"/>
      <c r="N683" s="174"/>
      <c r="O683" s="174"/>
      <c r="P683" s="174"/>
      <c r="Q683" s="174"/>
      <c r="R683" s="174"/>
      <c r="S683" s="174"/>
      <c r="T683" s="174"/>
      <c r="U683" s="174"/>
      <c r="V683" s="174"/>
      <c r="W683" s="174"/>
      <c r="X683" s="174"/>
      <c r="Y683" s="174"/>
      <c r="Z683" s="174"/>
    </row>
    <row r="684" customFormat="false" ht="15.75" hidden="false" customHeight="false" outlineLevel="0" collapsed="false">
      <c r="A684" s="174"/>
      <c r="B684" s="174"/>
      <c r="C684" s="174"/>
      <c r="D684" s="174"/>
      <c r="E684" s="174"/>
      <c r="F684" s="174"/>
      <c r="G684" s="174"/>
      <c r="H684" s="174"/>
      <c r="I684" s="174"/>
      <c r="J684" s="174"/>
      <c r="K684" s="174"/>
      <c r="L684" s="174"/>
      <c r="M684" s="174"/>
      <c r="N684" s="174"/>
      <c r="O684" s="174"/>
      <c r="P684" s="174"/>
      <c r="Q684" s="174"/>
      <c r="R684" s="174"/>
      <c r="S684" s="174"/>
      <c r="T684" s="174"/>
      <c r="U684" s="174"/>
      <c r="V684" s="174"/>
      <c r="W684" s="174"/>
      <c r="X684" s="174"/>
      <c r="Y684" s="174"/>
      <c r="Z684" s="174"/>
    </row>
    <row r="685" customFormat="false" ht="15.75" hidden="false" customHeight="false" outlineLevel="0" collapsed="false">
      <c r="A685" s="174"/>
      <c r="B685" s="174"/>
      <c r="C685" s="174"/>
      <c r="D685" s="174"/>
      <c r="E685" s="174"/>
      <c r="F685" s="174"/>
      <c r="G685" s="174"/>
      <c r="H685" s="174"/>
      <c r="I685" s="174"/>
      <c r="J685" s="174"/>
      <c r="K685" s="174"/>
      <c r="L685" s="174"/>
      <c r="M685" s="174"/>
      <c r="N685" s="174"/>
      <c r="O685" s="174"/>
      <c r="P685" s="174"/>
      <c r="Q685" s="174"/>
      <c r="R685" s="174"/>
      <c r="S685" s="174"/>
      <c r="T685" s="174"/>
      <c r="U685" s="174"/>
      <c r="V685" s="174"/>
      <c r="W685" s="174"/>
      <c r="X685" s="174"/>
      <c r="Y685" s="174"/>
      <c r="Z685" s="174"/>
    </row>
    <row r="686" customFormat="false" ht="15.75" hidden="false" customHeight="false" outlineLevel="0" collapsed="false">
      <c r="A686" s="174"/>
      <c r="B686" s="174"/>
      <c r="C686" s="174"/>
      <c r="D686" s="174"/>
      <c r="E686" s="174"/>
      <c r="F686" s="174"/>
      <c r="G686" s="174"/>
      <c r="H686" s="174"/>
      <c r="I686" s="174"/>
      <c r="J686" s="174"/>
      <c r="K686" s="174"/>
      <c r="L686" s="174"/>
      <c r="M686" s="174"/>
      <c r="N686" s="174"/>
      <c r="O686" s="174"/>
      <c r="P686" s="174"/>
      <c r="Q686" s="174"/>
      <c r="R686" s="174"/>
      <c r="S686" s="174"/>
      <c r="T686" s="174"/>
      <c r="U686" s="174"/>
      <c r="V686" s="174"/>
      <c r="W686" s="174"/>
      <c r="X686" s="174"/>
      <c r="Y686" s="174"/>
      <c r="Z686" s="174"/>
    </row>
    <row r="687" customFormat="false" ht="15.75" hidden="false" customHeight="false" outlineLevel="0" collapsed="false">
      <c r="A687" s="174"/>
      <c r="B687" s="174"/>
      <c r="C687" s="174"/>
      <c r="D687" s="174"/>
      <c r="E687" s="174"/>
      <c r="F687" s="174"/>
      <c r="G687" s="174"/>
      <c r="H687" s="174"/>
      <c r="I687" s="174"/>
      <c r="J687" s="174"/>
      <c r="K687" s="174"/>
      <c r="L687" s="174"/>
      <c r="M687" s="174"/>
      <c r="N687" s="174"/>
      <c r="O687" s="174"/>
      <c r="P687" s="174"/>
      <c r="Q687" s="174"/>
      <c r="R687" s="174"/>
      <c r="S687" s="174"/>
      <c r="T687" s="174"/>
      <c r="U687" s="174"/>
      <c r="V687" s="174"/>
      <c r="W687" s="174"/>
      <c r="X687" s="174"/>
      <c r="Y687" s="174"/>
      <c r="Z687" s="174"/>
    </row>
    <row r="688" customFormat="false" ht="15.75" hidden="false" customHeight="false" outlineLevel="0" collapsed="false">
      <c r="A688" s="174"/>
      <c r="B688" s="174"/>
      <c r="C688" s="174"/>
      <c r="D688" s="174"/>
      <c r="E688" s="174"/>
      <c r="F688" s="174"/>
      <c r="G688" s="174"/>
      <c r="H688" s="174"/>
      <c r="I688" s="174"/>
      <c r="J688" s="174"/>
      <c r="K688" s="174"/>
      <c r="L688" s="174"/>
      <c r="M688" s="174"/>
      <c r="N688" s="174"/>
      <c r="O688" s="174"/>
      <c r="P688" s="174"/>
      <c r="Q688" s="174"/>
      <c r="R688" s="174"/>
      <c r="S688" s="174"/>
      <c r="T688" s="174"/>
      <c r="U688" s="174"/>
      <c r="V688" s="174"/>
      <c r="W688" s="174"/>
      <c r="X688" s="174"/>
      <c r="Y688" s="174"/>
      <c r="Z688" s="174"/>
    </row>
    <row r="689" customFormat="false" ht="15.75" hidden="false" customHeight="false" outlineLevel="0" collapsed="false">
      <c r="A689" s="174"/>
      <c r="B689" s="174"/>
      <c r="C689" s="174"/>
      <c r="D689" s="174"/>
      <c r="E689" s="174"/>
      <c r="F689" s="174"/>
      <c r="G689" s="174"/>
      <c r="H689" s="174"/>
      <c r="I689" s="174"/>
      <c r="J689" s="174"/>
      <c r="K689" s="174"/>
      <c r="L689" s="174"/>
      <c r="M689" s="174"/>
      <c r="N689" s="174"/>
      <c r="O689" s="174"/>
      <c r="P689" s="174"/>
      <c r="Q689" s="174"/>
      <c r="R689" s="174"/>
      <c r="S689" s="174"/>
      <c r="T689" s="174"/>
      <c r="U689" s="174"/>
      <c r="V689" s="174"/>
      <c r="W689" s="174"/>
      <c r="X689" s="174"/>
      <c r="Y689" s="174"/>
      <c r="Z689" s="174"/>
    </row>
    <row r="690" customFormat="false" ht="15.75" hidden="false" customHeight="false" outlineLevel="0" collapsed="false">
      <c r="A690" s="174"/>
      <c r="B690" s="174"/>
      <c r="C690" s="174"/>
      <c r="D690" s="174"/>
      <c r="E690" s="174"/>
      <c r="F690" s="174"/>
      <c r="G690" s="174"/>
      <c r="H690" s="174"/>
      <c r="I690" s="174"/>
      <c r="J690" s="174"/>
      <c r="K690" s="174"/>
      <c r="L690" s="174"/>
      <c r="M690" s="174"/>
      <c r="N690" s="174"/>
      <c r="O690" s="174"/>
      <c r="P690" s="174"/>
      <c r="Q690" s="174"/>
      <c r="R690" s="174"/>
      <c r="S690" s="174"/>
      <c r="T690" s="174"/>
      <c r="U690" s="174"/>
      <c r="V690" s="174"/>
      <c r="W690" s="174"/>
      <c r="X690" s="174"/>
      <c r="Y690" s="174"/>
      <c r="Z690" s="174"/>
    </row>
    <row r="691" customFormat="false" ht="15.75" hidden="false" customHeight="false" outlineLevel="0" collapsed="false">
      <c r="A691" s="174"/>
      <c r="B691" s="174"/>
      <c r="C691" s="174"/>
      <c r="D691" s="174"/>
      <c r="E691" s="174"/>
      <c r="F691" s="174"/>
      <c r="G691" s="174"/>
      <c r="H691" s="174"/>
      <c r="I691" s="174"/>
      <c r="J691" s="174"/>
      <c r="K691" s="174"/>
      <c r="L691" s="174"/>
      <c r="M691" s="174"/>
      <c r="N691" s="174"/>
      <c r="O691" s="174"/>
      <c r="P691" s="174"/>
      <c r="Q691" s="174"/>
      <c r="R691" s="174"/>
      <c r="S691" s="174"/>
      <c r="T691" s="174"/>
      <c r="U691" s="174"/>
      <c r="V691" s="174"/>
      <c r="W691" s="174"/>
      <c r="X691" s="174"/>
      <c r="Y691" s="174"/>
      <c r="Z691" s="174"/>
    </row>
    <row r="692" customFormat="false" ht="15.75" hidden="false" customHeight="false" outlineLevel="0" collapsed="false">
      <c r="A692" s="174"/>
      <c r="B692" s="174"/>
      <c r="C692" s="174"/>
      <c r="D692" s="174"/>
      <c r="E692" s="174"/>
      <c r="F692" s="174"/>
      <c r="G692" s="174"/>
      <c r="H692" s="174"/>
      <c r="I692" s="174"/>
      <c r="J692" s="174"/>
      <c r="K692" s="174"/>
      <c r="L692" s="174"/>
      <c r="M692" s="174"/>
      <c r="N692" s="174"/>
      <c r="O692" s="174"/>
      <c r="P692" s="174"/>
      <c r="Q692" s="174"/>
      <c r="R692" s="174"/>
      <c r="S692" s="174"/>
      <c r="T692" s="174"/>
      <c r="U692" s="174"/>
      <c r="V692" s="174"/>
      <c r="W692" s="174"/>
      <c r="X692" s="174"/>
      <c r="Y692" s="174"/>
      <c r="Z692" s="174"/>
    </row>
    <row r="693" customFormat="false" ht="15.75" hidden="false" customHeight="false" outlineLevel="0" collapsed="false">
      <c r="A693" s="174"/>
      <c r="B693" s="174"/>
      <c r="C693" s="174"/>
      <c r="D693" s="174"/>
      <c r="E693" s="174"/>
      <c r="F693" s="174"/>
      <c r="G693" s="174"/>
      <c r="H693" s="174"/>
      <c r="I693" s="174"/>
      <c r="J693" s="174"/>
      <c r="K693" s="174"/>
      <c r="L693" s="174"/>
      <c r="M693" s="174"/>
      <c r="N693" s="174"/>
      <c r="O693" s="174"/>
      <c r="P693" s="174"/>
      <c r="Q693" s="174"/>
      <c r="R693" s="174"/>
      <c r="S693" s="174"/>
      <c r="T693" s="174"/>
      <c r="U693" s="174"/>
      <c r="V693" s="174"/>
      <c r="W693" s="174"/>
      <c r="X693" s="174"/>
      <c r="Y693" s="174"/>
      <c r="Z693" s="174"/>
    </row>
    <row r="694" customFormat="false" ht="15.75" hidden="false" customHeight="false" outlineLevel="0" collapsed="false">
      <c r="A694" s="174"/>
      <c r="B694" s="174"/>
      <c r="C694" s="174"/>
      <c r="D694" s="174"/>
      <c r="E694" s="174"/>
      <c r="F694" s="174"/>
      <c r="G694" s="174"/>
      <c r="H694" s="174"/>
      <c r="I694" s="174"/>
      <c r="J694" s="174"/>
      <c r="K694" s="174"/>
      <c r="L694" s="174"/>
      <c r="M694" s="174"/>
      <c r="N694" s="174"/>
      <c r="O694" s="174"/>
      <c r="P694" s="174"/>
      <c r="Q694" s="174"/>
      <c r="R694" s="174"/>
      <c r="S694" s="174"/>
      <c r="T694" s="174"/>
      <c r="U694" s="174"/>
      <c r="V694" s="174"/>
      <c r="W694" s="174"/>
      <c r="X694" s="174"/>
      <c r="Y694" s="174"/>
      <c r="Z694" s="174"/>
    </row>
    <row r="695" customFormat="false" ht="15.75" hidden="false" customHeight="false" outlineLevel="0" collapsed="false">
      <c r="A695" s="174"/>
      <c r="B695" s="174"/>
      <c r="C695" s="174"/>
      <c r="D695" s="174"/>
      <c r="E695" s="174"/>
      <c r="F695" s="174"/>
      <c r="G695" s="174"/>
      <c r="H695" s="174"/>
      <c r="I695" s="174"/>
      <c r="J695" s="174"/>
      <c r="K695" s="174"/>
      <c r="L695" s="174"/>
      <c r="M695" s="174"/>
      <c r="N695" s="174"/>
      <c r="O695" s="174"/>
      <c r="P695" s="174"/>
      <c r="Q695" s="174"/>
      <c r="R695" s="174"/>
      <c r="S695" s="174"/>
      <c r="T695" s="174"/>
      <c r="U695" s="174"/>
      <c r="V695" s="174"/>
      <c r="W695" s="174"/>
      <c r="X695" s="174"/>
      <c r="Y695" s="174"/>
      <c r="Z695" s="174"/>
    </row>
    <row r="696" customFormat="false" ht="15.75" hidden="false" customHeight="false" outlineLevel="0" collapsed="false">
      <c r="A696" s="174"/>
      <c r="B696" s="174"/>
      <c r="C696" s="174"/>
      <c r="D696" s="174"/>
      <c r="E696" s="174"/>
      <c r="F696" s="174"/>
      <c r="G696" s="174"/>
      <c r="H696" s="174"/>
      <c r="I696" s="174"/>
      <c r="J696" s="174"/>
      <c r="K696" s="174"/>
      <c r="L696" s="174"/>
      <c r="M696" s="174"/>
      <c r="N696" s="174"/>
      <c r="O696" s="174"/>
      <c r="P696" s="174"/>
      <c r="Q696" s="174"/>
      <c r="R696" s="174"/>
      <c r="S696" s="174"/>
      <c r="T696" s="174"/>
      <c r="U696" s="174"/>
      <c r="V696" s="174"/>
      <c r="W696" s="174"/>
      <c r="X696" s="174"/>
      <c r="Y696" s="174"/>
      <c r="Z696" s="174"/>
    </row>
    <row r="697" customFormat="false" ht="15.75" hidden="false" customHeight="false" outlineLevel="0" collapsed="false">
      <c r="A697" s="174"/>
      <c r="B697" s="174"/>
      <c r="C697" s="174"/>
      <c r="D697" s="174"/>
      <c r="E697" s="174"/>
      <c r="F697" s="174"/>
      <c r="G697" s="174"/>
      <c r="H697" s="174"/>
      <c r="I697" s="174"/>
      <c r="J697" s="174"/>
      <c r="K697" s="174"/>
      <c r="L697" s="174"/>
      <c r="M697" s="174"/>
      <c r="N697" s="174"/>
      <c r="O697" s="174"/>
      <c r="P697" s="174"/>
      <c r="Q697" s="174"/>
      <c r="R697" s="174"/>
      <c r="S697" s="174"/>
      <c r="T697" s="174"/>
      <c r="U697" s="174"/>
      <c r="V697" s="174"/>
      <c r="W697" s="174"/>
      <c r="X697" s="174"/>
      <c r="Y697" s="174"/>
      <c r="Z697" s="174"/>
    </row>
    <row r="698" customFormat="false" ht="15.75" hidden="false" customHeight="false" outlineLevel="0" collapsed="false">
      <c r="A698" s="174"/>
      <c r="B698" s="174"/>
      <c r="C698" s="174"/>
      <c r="D698" s="174"/>
      <c r="E698" s="174"/>
      <c r="F698" s="174"/>
      <c r="G698" s="174"/>
      <c r="H698" s="174"/>
      <c r="I698" s="174"/>
      <c r="J698" s="174"/>
      <c r="K698" s="174"/>
      <c r="L698" s="174"/>
      <c r="M698" s="174"/>
      <c r="N698" s="174"/>
      <c r="O698" s="174"/>
      <c r="P698" s="174"/>
      <c r="Q698" s="174"/>
      <c r="R698" s="174"/>
      <c r="S698" s="174"/>
      <c r="T698" s="174"/>
      <c r="U698" s="174"/>
      <c r="V698" s="174"/>
      <c r="W698" s="174"/>
      <c r="X698" s="174"/>
      <c r="Y698" s="174"/>
      <c r="Z698" s="174"/>
    </row>
    <row r="699" customFormat="false" ht="15.75" hidden="false" customHeight="false" outlineLevel="0" collapsed="false">
      <c r="A699" s="174"/>
      <c r="B699" s="174"/>
      <c r="C699" s="174"/>
      <c r="D699" s="174"/>
      <c r="E699" s="174"/>
      <c r="F699" s="174"/>
      <c r="G699" s="174"/>
      <c r="H699" s="174"/>
      <c r="I699" s="174"/>
      <c r="J699" s="174"/>
      <c r="K699" s="174"/>
      <c r="L699" s="174"/>
      <c r="M699" s="174"/>
      <c r="N699" s="174"/>
      <c r="O699" s="174"/>
      <c r="P699" s="174"/>
      <c r="Q699" s="174"/>
      <c r="R699" s="174"/>
      <c r="S699" s="174"/>
      <c r="T699" s="174"/>
      <c r="U699" s="174"/>
      <c r="V699" s="174"/>
      <c r="W699" s="174"/>
      <c r="X699" s="174"/>
      <c r="Y699" s="174"/>
      <c r="Z699" s="174"/>
    </row>
    <row r="700" customFormat="false" ht="15.75" hidden="false" customHeight="false" outlineLevel="0" collapsed="false">
      <c r="A700" s="174"/>
      <c r="B700" s="174"/>
      <c r="C700" s="174"/>
      <c r="D700" s="174"/>
      <c r="E700" s="174"/>
      <c r="F700" s="174"/>
      <c r="G700" s="174"/>
      <c r="H700" s="174"/>
      <c r="I700" s="174"/>
      <c r="J700" s="174"/>
      <c r="K700" s="174"/>
      <c r="L700" s="174"/>
      <c r="M700" s="174"/>
      <c r="N700" s="174"/>
      <c r="O700" s="174"/>
      <c r="P700" s="174"/>
      <c r="Q700" s="174"/>
      <c r="R700" s="174"/>
      <c r="S700" s="174"/>
      <c r="T700" s="174"/>
      <c r="U700" s="174"/>
      <c r="V700" s="174"/>
      <c r="W700" s="174"/>
      <c r="X700" s="174"/>
      <c r="Y700" s="174"/>
      <c r="Z700" s="174"/>
    </row>
    <row r="701" customFormat="false" ht="15.75" hidden="false" customHeight="false" outlineLevel="0" collapsed="false">
      <c r="A701" s="174"/>
      <c r="B701" s="174"/>
      <c r="C701" s="174"/>
      <c r="D701" s="174"/>
      <c r="E701" s="174"/>
      <c r="F701" s="174"/>
      <c r="G701" s="174"/>
      <c r="H701" s="174"/>
      <c r="I701" s="174"/>
      <c r="J701" s="174"/>
      <c r="K701" s="174"/>
      <c r="L701" s="174"/>
      <c r="M701" s="174"/>
      <c r="N701" s="174"/>
      <c r="O701" s="174"/>
      <c r="P701" s="174"/>
      <c r="Q701" s="174"/>
      <c r="R701" s="174"/>
      <c r="S701" s="174"/>
      <c r="T701" s="174"/>
      <c r="U701" s="174"/>
      <c r="V701" s="174"/>
      <c r="W701" s="174"/>
      <c r="X701" s="174"/>
      <c r="Y701" s="174"/>
      <c r="Z701" s="174"/>
    </row>
    <row r="702" customFormat="false" ht="15.75" hidden="false" customHeight="false" outlineLevel="0" collapsed="false">
      <c r="A702" s="174"/>
      <c r="B702" s="174"/>
      <c r="C702" s="174"/>
      <c r="D702" s="174"/>
      <c r="E702" s="174"/>
      <c r="F702" s="174"/>
      <c r="G702" s="174"/>
      <c r="H702" s="174"/>
      <c r="I702" s="174"/>
      <c r="J702" s="174"/>
      <c r="K702" s="174"/>
      <c r="L702" s="174"/>
      <c r="M702" s="174"/>
      <c r="N702" s="174"/>
      <c r="O702" s="174"/>
      <c r="P702" s="174"/>
      <c r="Q702" s="174"/>
      <c r="R702" s="174"/>
      <c r="S702" s="174"/>
      <c r="T702" s="174"/>
      <c r="U702" s="174"/>
      <c r="V702" s="174"/>
      <c r="W702" s="174"/>
      <c r="X702" s="174"/>
      <c r="Y702" s="174"/>
      <c r="Z702" s="174"/>
    </row>
    <row r="703" customFormat="false" ht="15.75" hidden="false" customHeight="false" outlineLevel="0" collapsed="false">
      <c r="A703" s="174"/>
      <c r="B703" s="174"/>
      <c r="C703" s="174"/>
      <c r="D703" s="174"/>
      <c r="E703" s="174"/>
      <c r="F703" s="174"/>
      <c r="G703" s="174"/>
      <c r="H703" s="174"/>
      <c r="I703" s="174"/>
      <c r="J703" s="174"/>
      <c r="K703" s="174"/>
      <c r="L703" s="174"/>
      <c r="M703" s="174"/>
      <c r="N703" s="174"/>
      <c r="O703" s="174"/>
      <c r="P703" s="174"/>
      <c r="Q703" s="174"/>
      <c r="R703" s="174"/>
      <c r="S703" s="174"/>
      <c r="T703" s="174"/>
      <c r="U703" s="174"/>
      <c r="V703" s="174"/>
      <c r="W703" s="174"/>
      <c r="X703" s="174"/>
      <c r="Y703" s="174"/>
      <c r="Z703" s="174"/>
    </row>
    <row r="704" customFormat="false" ht="15.75" hidden="false" customHeight="false" outlineLevel="0" collapsed="false">
      <c r="A704" s="174"/>
      <c r="B704" s="174"/>
      <c r="C704" s="174"/>
      <c r="D704" s="174"/>
      <c r="E704" s="174"/>
      <c r="F704" s="174"/>
      <c r="G704" s="174"/>
      <c r="H704" s="174"/>
      <c r="I704" s="174"/>
      <c r="J704" s="174"/>
      <c r="K704" s="174"/>
      <c r="L704" s="174"/>
      <c r="M704" s="174"/>
      <c r="N704" s="174"/>
      <c r="O704" s="174"/>
      <c r="P704" s="174"/>
      <c r="Q704" s="174"/>
      <c r="R704" s="174"/>
      <c r="S704" s="174"/>
      <c r="T704" s="174"/>
      <c r="U704" s="174"/>
      <c r="V704" s="174"/>
      <c r="W704" s="174"/>
      <c r="X704" s="174"/>
      <c r="Y704" s="174"/>
      <c r="Z704" s="174"/>
    </row>
    <row r="705" customFormat="false" ht="15.75" hidden="false" customHeight="false" outlineLevel="0" collapsed="false">
      <c r="A705" s="174"/>
      <c r="B705" s="174"/>
      <c r="C705" s="174"/>
      <c r="D705" s="174"/>
      <c r="E705" s="174"/>
      <c r="F705" s="174"/>
      <c r="G705" s="174"/>
      <c r="H705" s="174"/>
      <c r="I705" s="174"/>
      <c r="J705" s="174"/>
      <c r="K705" s="174"/>
      <c r="L705" s="174"/>
      <c r="M705" s="174"/>
      <c r="N705" s="174"/>
      <c r="O705" s="174"/>
      <c r="P705" s="174"/>
      <c r="Q705" s="174"/>
      <c r="R705" s="174"/>
      <c r="S705" s="174"/>
      <c r="T705" s="174"/>
      <c r="U705" s="174"/>
      <c r="V705" s="174"/>
      <c r="W705" s="174"/>
      <c r="X705" s="174"/>
      <c r="Y705" s="174"/>
      <c r="Z705" s="174"/>
    </row>
    <row r="706" customFormat="false" ht="15.75" hidden="false" customHeight="false" outlineLevel="0" collapsed="false">
      <c r="A706" s="174"/>
      <c r="B706" s="174"/>
      <c r="C706" s="174"/>
      <c r="D706" s="174"/>
      <c r="E706" s="174"/>
      <c r="F706" s="174"/>
      <c r="G706" s="174"/>
      <c r="H706" s="174"/>
      <c r="I706" s="174"/>
      <c r="J706" s="174"/>
      <c r="K706" s="174"/>
      <c r="L706" s="174"/>
      <c r="M706" s="174"/>
      <c r="N706" s="174"/>
      <c r="O706" s="174"/>
      <c r="P706" s="174"/>
      <c r="Q706" s="174"/>
      <c r="R706" s="174"/>
      <c r="S706" s="174"/>
      <c r="T706" s="174"/>
      <c r="U706" s="174"/>
      <c r="V706" s="174"/>
      <c r="W706" s="174"/>
      <c r="X706" s="174"/>
      <c r="Y706" s="174"/>
      <c r="Z706" s="174"/>
    </row>
    <row r="707" customFormat="false" ht="15.75" hidden="false" customHeight="false" outlineLevel="0" collapsed="false">
      <c r="A707" s="174"/>
      <c r="B707" s="174"/>
      <c r="C707" s="174"/>
      <c r="D707" s="174"/>
      <c r="E707" s="174"/>
      <c r="F707" s="174"/>
      <c r="G707" s="174"/>
      <c r="H707" s="174"/>
      <c r="I707" s="174"/>
      <c r="J707" s="174"/>
      <c r="K707" s="174"/>
      <c r="L707" s="174"/>
      <c r="M707" s="174"/>
      <c r="N707" s="174"/>
      <c r="O707" s="174"/>
      <c r="P707" s="174"/>
      <c r="Q707" s="174"/>
      <c r="R707" s="174"/>
      <c r="S707" s="174"/>
      <c r="T707" s="174"/>
      <c r="U707" s="174"/>
      <c r="V707" s="174"/>
      <c r="W707" s="174"/>
      <c r="X707" s="174"/>
      <c r="Y707" s="174"/>
      <c r="Z707" s="174"/>
    </row>
    <row r="708" customFormat="false" ht="15.75" hidden="false" customHeight="false" outlineLevel="0" collapsed="false">
      <c r="A708" s="174"/>
      <c r="B708" s="174"/>
      <c r="C708" s="174"/>
      <c r="D708" s="174"/>
      <c r="E708" s="174"/>
      <c r="F708" s="174"/>
      <c r="G708" s="174"/>
      <c r="H708" s="174"/>
      <c r="I708" s="174"/>
      <c r="J708" s="174"/>
      <c r="K708" s="174"/>
      <c r="L708" s="174"/>
      <c r="M708" s="174"/>
      <c r="N708" s="174"/>
      <c r="O708" s="174"/>
      <c r="P708" s="174"/>
      <c r="Q708" s="174"/>
      <c r="R708" s="174"/>
      <c r="S708" s="174"/>
      <c r="T708" s="174"/>
      <c r="U708" s="174"/>
      <c r="V708" s="174"/>
      <c r="W708" s="174"/>
      <c r="X708" s="174"/>
      <c r="Y708" s="174"/>
      <c r="Z708" s="174"/>
    </row>
    <row r="709" customFormat="false" ht="15.75" hidden="false" customHeight="false" outlineLevel="0" collapsed="false">
      <c r="A709" s="174"/>
      <c r="B709" s="174"/>
      <c r="C709" s="174"/>
      <c r="D709" s="174"/>
      <c r="E709" s="174"/>
      <c r="F709" s="174"/>
      <c r="G709" s="174"/>
      <c r="H709" s="174"/>
      <c r="I709" s="174"/>
      <c r="J709" s="174"/>
      <c r="K709" s="174"/>
      <c r="L709" s="174"/>
      <c r="M709" s="174"/>
      <c r="N709" s="174"/>
      <c r="O709" s="174"/>
      <c r="P709" s="174"/>
      <c r="Q709" s="174"/>
      <c r="R709" s="174"/>
      <c r="S709" s="174"/>
      <c r="T709" s="174"/>
      <c r="U709" s="174"/>
      <c r="V709" s="174"/>
      <c r="W709" s="174"/>
      <c r="X709" s="174"/>
      <c r="Y709" s="174"/>
      <c r="Z709" s="174"/>
    </row>
    <row r="710" customFormat="false" ht="15.75" hidden="false" customHeight="false" outlineLevel="0" collapsed="false">
      <c r="A710" s="174"/>
      <c r="B710" s="174"/>
      <c r="C710" s="174"/>
      <c r="D710" s="174"/>
      <c r="E710" s="174"/>
      <c r="F710" s="174"/>
      <c r="G710" s="174"/>
      <c r="H710" s="174"/>
      <c r="I710" s="174"/>
      <c r="J710" s="174"/>
      <c r="K710" s="174"/>
      <c r="L710" s="174"/>
      <c r="M710" s="174"/>
      <c r="N710" s="174"/>
      <c r="O710" s="174"/>
      <c r="P710" s="174"/>
      <c r="Q710" s="174"/>
      <c r="R710" s="174"/>
      <c r="S710" s="174"/>
      <c r="T710" s="174"/>
      <c r="U710" s="174"/>
      <c r="V710" s="174"/>
      <c r="W710" s="174"/>
      <c r="X710" s="174"/>
      <c r="Y710" s="174"/>
      <c r="Z710" s="174"/>
    </row>
    <row r="711" customFormat="false" ht="15.75" hidden="false" customHeight="false" outlineLevel="0" collapsed="false">
      <c r="A711" s="174"/>
      <c r="B711" s="174"/>
      <c r="C711" s="174"/>
      <c r="D711" s="174"/>
      <c r="E711" s="174"/>
      <c r="F711" s="174"/>
      <c r="G711" s="174"/>
      <c r="H711" s="174"/>
      <c r="I711" s="174"/>
      <c r="J711" s="174"/>
      <c r="K711" s="174"/>
      <c r="L711" s="174"/>
      <c r="M711" s="174"/>
      <c r="N711" s="174"/>
      <c r="O711" s="174"/>
      <c r="P711" s="174"/>
      <c r="Q711" s="174"/>
      <c r="R711" s="174"/>
      <c r="S711" s="174"/>
      <c r="T711" s="174"/>
      <c r="U711" s="174"/>
      <c r="V711" s="174"/>
      <c r="W711" s="174"/>
      <c r="X711" s="174"/>
      <c r="Y711" s="174"/>
      <c r="Z711" s="174"/>
    </row>
    <row r="712" customFormat="false" ht="15.75" hidden="false" customHeight="false" outlineLevel="0" collapsed="false">
      <c r="A712" s="174"/>
      <c r="B712" s="174"/>
      <c r="C712" s="174"/>
      <c r="D712" s="174"/>
      <c r="E712" s="174"/>
      <c r="F712" s="174"/>
      <c r="G712" s="174"/>
      <c r="H712" s="174"/>
      <c r="I712" s="174"/>
      <c r="J712" s="174"/>
      <c r="K712" s="174"/>
      <c r="L712" s="174"/>
      <c r="M712" s="174"/>
      <c r="N712" s="174"/>
      <c r="O712" s="174"/>
      <c r="P712" s="174"/>
      <c r="Q712" s="174"/>
      <c r="R712" s="174"/>
      <c r="S712" s="174"/>
      <c r="T712" s="174"/>
      <c r="U712" s="174"/>
      <c r="V712" s="174"/>
      <c r="W712" s="174"/>
      <c r="X712" s="174"/>
      <c r="Y712" s="174"/>
      <c r="Z712" s="174"/>
    </row>
    <row r="713" customFormat="false" ht="15.75" hidden="false" customHeight="false" outlineLevel="0" collapsed="false">
      <c r="A713" s="174"/>
      <c r="B713" s="174"/>
      <c r="C713" s="174"/>
      <c r="D713" s="174"/>
      <c r="E713" s="174"/>
      <c r="F713" s="174"/>
      <c r="G713" s="174"/>
      <c r="H713" s="174"/>
      <c r="I713" s="174"/>
      <c r="J713" s="174"/>
      <c r="K713" s="174"/>
      <c r="L713" s="174"/>
      <c r="M713" s="174"/>
      <c r="N713" s="174"/>
      <c r="O713" s="174"/>
      <c r="P713" s="174"/>
      <c r="Q713" s="174"/>
      <c r="R713" s="174"/>
      <c r="S713" s="174"/>
      <c r="T713" s="174"/>
      <c r="U713" s="174"/>
      <c r="V713" s="174"/>
      <c r="W713" s="174"/>
      <c r="X713" s="174"/>
      <c r="Y713" s="174"/>
      <c r="Z713" s="174"/>
    </row>
    <row r="714" customFormat="false" ht="15.75" hidden="false" customHeight="false" outlineLevel="0" collapsed="false">
      <c r="A714" s="174"/>
      <c r="B714" s="174"/>
      <c r="C714" s="174"/>
      <c r="D714" s="174"/>
      <c r="E714" s="174"/>
      <c r="F714" s="174"/>
      <c r="G714" s="174"/>
      <c r="H714" s="174"/>
      <c r="I714" s="174"/>
      <c r="J714" s="174"/>
      <c r="K714" s="174"/>
      <c r="L714" s="174"/>
      <c r="M714" s="174"/>
      <c r="N714" s="174"/>
      <c r="O714" s="174"/>
      <c r="P714" s="174"/>
      <c r="Q714" s="174"/>
      <c r="R714" s="174"/>
      <c r="S714" s="174"/>
      <c r="T714" s="174"/>
      <c r="U714" s="174"/>
      <c r="V714" s="174"/>
      <c r="W714" s="174"/>
      <c r="X714" s="174"/>
      <c r="Y714" s="174"/>
      <c r="Z714" s="174"/>
    </row>
    <row r="715" customFormat="false" ht="15.75" hidden="false" customHeight="false" outlineLevel="0" collapsed="false">
      <c r="A715" s="174"/>
      <c r="B715" s="174"/>
      <c r="C715" s="174"/>
      <c r="D715" s="174"/>
      <c r="E715" s="174"/>
      <c r="F715" s="174"/>
      <c r="G715" s="174"/>
      <c r="H715" s="174"/>
      <c r="I715" s="174"/>
      <c r="J715" s="174"/>
      <c r="K715" s="174"/>
      <c r="L715" s="174"/>
      <c r="M715" s="174"/>
      <c r="N715" s="174"/>
      <c r="O715" s="174"/>
      <c r="P715" s="174"/>
      <c r="Q715" s="174"/>
      <c r="R715" s="174"/>
      <c r="S715" s="174"/>
      <c r="T715" s="174"/>
      <c r="U715" s="174"/>
      <c r="V715" s="174"/>
      <c r="W715" s="174"/>
      <c r="X715" s="174"/>
      <c r="Y715" s="174"/>
      <c r="Z715" s="174"/>
    </row>
    <row r="716" customFormat="false" ht="15.75" hidden="false" customHeight="false" outlineLevel="0" collapsed="false">
      <c r="A716" s="174"/>
      <c r="B716" s="174"/>
      <c r="C716" s="174"/>
      <c r="D716" s="174"/>
      <c r="E716" s="174"/>
      <c r="F716" s="174"/>
      <c r="G716" s="174"/>
      <c r="H716" s="174"/>
      <c r="I716" s="174"/>
      <c r="J716" s="174"/>
      <c r="K716" s="174"/>
      <c r="L716" s="174"/>
      <c r="M716" s="174"/>
      <c r="N716" s="174"/>
      <c r="O716" s="174"/>
      <c r="P716" s="174"/>
      <c r="Q716" s="174"/>
      <c r="R716" s="174"/>
      <c r="S716" s="174"/>
      <c r="T716" s="174"/>
      <c r="U716" s="174"/>
      <c r="V716" s="174"/>
      <c r="W716" s="174"/>
      <c r="X716" s="174"/>
      <c r="Y716" s="174"/>
      <c r="Z716" s="174"/>
    </row>
    <row r="717" customFormat="false" ht="15.75" hidden="false" customHeight="false" outlineLevel="0" collapsed="false">
      <c r="A717" s="174"/>
      <c r="B717" s="174"/>
      <c r="C717" s="174"/>
      <c r="D717" s="174"/>
      <c r="E717" s="174"/>
      <c r="F717" s="174"/>
      <c r="G717" s="174"/>
      <c r="H717" s="174"/>
      <c r="I717" s="174"/>
      <c r="J717" s="174"/>
      <c r="K717" s="174"/>
      <c r="L717" s="174"/>
      <c r="M717" s="174"/>
      <c r="N717" s="174"/>
      <c r="O717" s="174"/>
      <c r="P717" s="174"/>
      <c r="Q717" s="174"/>
      <c r="R717" s="174"/>
      <c r="S717" s="174"/>
      <c r="T717" s="174"/>
      <c r="U717" s="174"/>
      <c r="V717" s="174"/>
      <c r="W717" s="174"/>
      <c r="X717" s="174"/>
      <c r="Y717" s="174"/>
      <c r="Z717" s="174"/>
    </row>
    <row r="718" customFormat="false" ht="15.75" hidden="false" customHeight="false" outlineLevel="0" collapsed="false">
      <c r="A718" s="174"/>
      <c r="B718" s="174"/>
      <c r="C718" s="174"/>
      <c r="D718" s="174"/>
      <c r="E718" s="174"/>
      <c r="F718" s="174"/>
      <c r="G718" s="174"/>
      <c r="H718" s="174"/>
      <c r="I718" s="174"/>
      <c r="J718" s="174"/>
      <c r="K718" s="174"/>
      <c r="L718" s="174"/>
      <c r="M718" s="174"/>
      <c r="N718" s="174"/>
      <c r="O718" s="174"/>
      <c r="P718" s="174"/>
      <c r="Q718" s="174"/>
      <c r="R718" s="174"/>
      <c r="S718" s="174"/>
      <c r="T718" s="174"/>
      <c r="U718" s="174"/>
      <c r="V718" s="174"/>
      <c r="W718" s="174"/>
      <c r="X718" s="174"/>
      <c r="Y718" s="174"/>
      <c r="Z718" s="174"/>
    </row>
    <row r="719" customFormat="false" ht="15.75" hidden="false" customHeight="false" outlineLevel="0" collapsed="false">
      <c r="A719" s="174"/>
      <c r="B719" s="174"/>
      <c r="C719" s="174"/>
      <c r="D719" s="174"/>
      <c r="E719" s="174"/>
      <c r="F719" s="174"/>
      <c r="G719" s="174"/>
      <c r="H719" s="174"/>
      <c r="I719" s="174"/>
      <c r="J719" s="174"/>
      <c r="K719" s="174"/>
      <c r="L719" s="174"/>
      <c r="M719" s="174"/>
      <c r="N719" s="174"/>
      <c r="O719" s="174"/>
      <c r="P719" s="174"/>
      <c r="Q719" s="174"/>
      <c r="R719" s="174"/>
      <c r="S719" s="174"/>
      <c r="T719" s="174"/>
      <c r="U719" s="174"/>
      <c r="V719" s="174"/>
      <c r="W719" s="174"/>
      <c r="X719" s="174"/>
      <c r="Y719" s="174"/>
      <c r="Z719" s="174"/>
    </row>
    <row r="720" customFormat="false" ht="15.75" hidden="false" customHeight="false" outlineLevel="0" collapsed="false">
      <c r="A720" s="174"/>
      <c r="B720" s="174"/>
      <c r="C720" s="174"/>
      <c r="D720" s="174"/>
      <c r="E720" s="174"/>
      <c r="F720" s="174"/>
      <c r="G720" s="174"/>
      <c r="H720" s="174"/>
      <c r="I720" s="174"/>
      <c r="J720" s="174"/>
      <c r="K720" s="174"/>
      <c r="L720" s="174"/>
      <c r="M720" s="174"/>
      <c r="N720" s="174"/>
      <c r="O720" s="174"/>
      <c r="P720" s="174"/>
      <c r="Q720" s="174"/>
      <c r="R720" s="174"/>
      <c r="S720" s="174"/>
      <c r="T720" s="174"/>
      <c r="U720" s="174"/>
      <c r="V720" s="174"/>
      <c r="W720" s="174"/>
      <c r="X720" s="174"/>
      <c r="Y720" s="174"/>
      <c r="Z720" s="174"/>
    </row>
    <row r="721" customFormat="false" ht="15.75" hidden="false" customHeight="false" outlineLevel="0" collapsed="false">
      <c r="A721" s="174"/>
      <c r="B721" s="174"/>
      <c r="C721" s="174"/>
      <c r="D721" s="174"/>
      <c r="E721" s="174"/>
      <c r="F721" s="174"/>
      <c r="G721" s="174"/>
      <c r="H721" s="174"/>
      <c r="I721" s="174"/>
      <c r="J721" s="174"/>
      <c r="K721" s="174"/>
      <c r="L721" s="174"/>
      <c r="M721" s="174"/>
      <c r="N721" s="174"/>
      <c r="O721" s="174"/>
      <c r="P721" s="174"/>
      <c r="Q721" s="174"/>
      <c r="R721" s="174"/>
      <c r="S721" s="174"/>
      <c r="T721" s="174"/>
      <c r="U721" s="174"/>
      <c r="V721" s="174"/>
      <c r="W721" s="174"/>
      <c r="X721" s="174"/>
      <c r="Y721" s="174"/>
      <c r="Z721" s="174"/>
    </row>
    <row r="722" customFormat="false" ht="15.75" hidden="false" customHeight="false" outlineLevel="0" collapsed="false">
      <c r="A722" s="174"/>
      <c r="B722" s="174"/>
      <c r="C722" s="174"/>
      <c r="D722" s="174"/>
      <c r="E722" s="174"/>
      <c r="F722" s="174"/>
      <c r="G722" s="174"/>
      <c r="H722" s="174"/>
      <c r="I722" s="174"/>
      <c r="J722" s="174"/>
      <c r="K722" s="174"/>
      <c r="L722" s="174"/>
      <c r="M722" s="174"/>
      <c r="N722" s="174"/>
      <c r="O722" s="174"/>
      <c r="P722" s="174"/>
      <c r="Q722" s="174"/>
      <c r="R722" s="174"/>
      <c r="S722" s="174"/>
      <c r="T722" s="174"/>
      <c r="U722" s="174"/>
      <c r="V722" s="174"/>
      <c r="W722" s="174"/>
      <c r="X722" s="174"/>
      <c r="Y722" s="174"/>
      <c r="Z722" s="174"/>
    </row>
    <row r="723" customFormat="false" ht="15.75" hidden="false" customHeight="false" outlineLevel="0" collapsed="false">
      <c r="A723" s="174"/>
      <c r="B723" s="174"/>
      <c r="C723" s="174"/>
      <c r="D723" s="174"/>
      <c r="E723" s="174"/>
      <c r="F723" s="174"/>
      <c r="G723" s="174"/>
      <c r="H723" s="174"/>
      <c r="I723" s="174"/>
      <c r="J723" s="174"/>
      <c r="K723" s="174"/>
      <c r="L723" s="174"/>
      <c r="M723" s="174"/>
      <c r="N723" s="174"/>
      <c r="O723" s="174"/>
      <c r="P723" s="174"/>
      <c r="Q723" s="174"/>
      <c r="R723" s="174"/>
      <c r="S723" s="174"/>
      <c r="T723" s="174"/>
      <c r="U723" s="174"/>
      <c r="V723" s="174"/>
      <c r="W723" s="174"/>
      <c r="X723" s="174"/>
      <c r="Y723" s="174"/>
      <c r="Z723" s="174"/>
    </row>
    <row r="724" customFormat="false" ht="15.75" hidden="false" customHeight="false" outlineLevel="0" collapsed="false">
      <c r="A724" s="174"/>
      <c r="B724" s="174"/>
      <c r="C724" s="174"/>
      <c r="D724" s="174"/>
      <c r="E724" s="174"/>
      <c r="F724" s="174"/>
      <c r="G724" s="174"/>
      <c r="H724" s="174"/>
      <c r="I724" s="174"/>
      <c r="J724" s="174"/>
      <c r="K724" s="174"/>
      <c r="L724" s="174"/>
      <c r="M724" s="174"/>
      <c r="N724" s="174"/>
      <c r="O724" s="174"/>
      <c r="P724" s="174"/>
      <c r="Q724" s="174"/>
      <c r="R724" s="174"/>
      <c r="S724" s="174"/>
      <c r="T724" s="174"/>
      <c r="U724" s="174"/>
      <c r="V724" s="174"/>
      <c r="W724" s="174"/>
      <c r="X724" s="174"/>
      <c r="Y724" s="174"/>
      <c r="Z724" s="174"/>
    </row>
    <row r="725" customFormat="false" ht="15.75" hidden="false" customHeight="false" outlineLevel="0" collapsed="false">
      <c r="A725" s="174"/>
      <c r="B725" s="174"/>
      <c r="C725" s="174"/>
      <c r="D725" s="174"/>
      <c r="E725" s="174"/>
      <c r="F725" s="174"/>
      <c r="G725" s="174"/>
      <c r="H725" s="174"/>
      <c r="I725" s="174"/>
      <c r="J725" s="174"/>
      <c r="K725" s="174"/>
      <c r="L725" s="174"/>
      <c r="M725" s="174"/>
      <c r="N725" s="174"/>
      <c r="O725" s="174"/>
      <c r="P725" s="174"/>
      <c r="Q725" s="174"/>
      <c r="R725" s="174"/>
      <c r="S725" s="174"/>
      <c r="T725" s="174"/>
      <c r="U725" s="174"/>
      <c r="V725" s="174"/>
      <c r="W725" s="174"/>
      <c r="X725" s="174"/>
      <c r="Y725" s="174"/>
      <c r="Z725" s="174"/>
    </row>
    <row r="726" customFormat="false" ht="15.75" hidden="false" customHeight="false" outlineLevel="0" collapsed="false">
      <c r="A726" s="174"/>
      <c r="B726" s="174"/>
      <c r="C726" s="174"/>
      <c r="D726" s="174"/>
      <c r="E726" s="174"/>
      <c r="F726" s="174"/>
      <c r="G726" s="174"/>
      <c r="H726" s="174"/>
      <c r="I726" s="174"/>
      <c r="J726" s="174"/>
      <c r="K726" s="174"/>
      <c r="L726" s="174"/>
      <c r="M726" s="174"/>
      <c r="N726" s="174"/>
      <c r="O726" s="174"/>
      <c r="P726" s="174"/>
      <c r="Q726" s="174"/>
      <c r="R726" s="174"/>
      <c r="S726" s="174"/>
      <c r="T726" s="174"/>
      <c r="U726" s="174"/>
      <c r="V726" s="174"/>
      <c r="W726" s="174"/>
      <c r="X726" s="174"/>
      <c r="Y726" s="174"/>
      <c r="Z726" s="174"/>
    </row>
    <row r="727" customFormat="false" ht="15.75" hidden="false" customHeight="false" outlineLevel="0" collapsed="false">
      <c r="A727" s="174"/>
      <c r="B727" s="174"/>
      <c r="C727" s="174"/>
      <c r="D727" s="174"/>
      <c r="E727" s="174"/>
      <c r="F727" s="174"/>
      <c r="G727" s="174"/>
      <c r="H727" s="174"/>
      <c r="I727" s="174"/>
      <c r="J727" s="174"/>
      <c r="K727" s="174"/>
      <c r="L727" s="174"/>
      <c r="M727" s="174"/>
      <c r="N727" s="174"/>
      <c r="O727" s="174"/>
      <c r="P727" s="174"/>
      <c r="Q727" s="174"/>
      <c r="R727" s="174"/>
      <c r="S727" s="174"/>
      <c r="T727" s="174"/>
      <c r="U727" s="174"/>
      <c r="V727" s="174"/>
      <c r="W727" s="174"/>
      <c r="X727" s="174"/>
      <c r="Y727" s="174"/>
      <c r="Z727" s="174"/>
    </row>
    <row r="728" customFormat="false" ht="15.75" hidden="false" customHeight="false" outlineLevel="0" collapsed="false">
      <c r="A728" s="174"/>
      <c r="B728" s="174"/>
      <c r="C728" s="174"/>
      <c r="D728" s="174"/>
      <c r="E728" s="174"/>
      <c r="F728" s="174"/>
      <c r="G728" s="174"/>
      <c r="H728" s="174"/>
      <c r="I728" s="174"/>
      <c r="J728" s="174"/>
      <c r="K728" s="174"/>
      <c r="L728" s="174"/>
      <c r="M728" s="174"/>
      <c r="N728" s="174"/>
      <c r="O728" s="174"/>
      <c r="P728" s="174"/>
      <c r="Q728" s="174"/>
      <c r="R728" s="174"/>
      <c r="S728" s="174"/>
      <c r="T728" s="174"/>
      <c r="U728" s="174"/>
      <c r="V728" s="174"/>
      <c r="W728" s="174"/>
      <c r="X728" s="174"/>
      <c r="Y728" s="174"/>
      <c r="Z728" s="174"/>
    </row>
    <row r="729" customFormat="false" ht="15.75" hidden="false" customHeight="false" outlineLevel="0" collapsed="false">
      <c r="A729" s="174"/>
      <c r="B729" s="174"/>
      <c r="C729" s="174"/>
      <c r="D729" s="174"/>
      <c r="E729" s="174"/>
      <c r="F729" s="174"/>
      <c r="G729" s="174"/>
      <c r="H729" s="174"/>
      <c r="I729" s="174"/>
      <c r="J729" s="174"/>
      <c r="K729" s="174"/>
      <c r="L729" s="174"/>
      <c r="M729" s="174"/>
      <c r="N729" s="174"/>
      <c r="O729" s="174"/>
      <c r="P729" s="174"/>
      <c r="Q729" s="174"/>
      <c r="R729" s="174"/>
      <c r="S729" s="174"/>
      <c r="T729" s="174"/>
      <c r="U729" s="174"/>
      <c r="V729" s="174"/>
      <c r="W729" s="174"/>
      <c r="X729" s="174"/>
      <c r="Y729" s="174"/>
      <c r="Z729" s="174"/>
    </row>
    <row r="730" customFormat="false" ht="15.75" hidden="false" customHeight="false" outlineLevel="0" collapsed="false">
      <c r="A730" s="174"/>
      <c r="B730" s="174"/>
      <c r="C730" s="174"/>
      <c r="D730" s="174"/>
      <c r="E730" s="174"/>
      <c r="F730" s="174"/>
      <c r="G730" s="174"/>
      <c r="H730" s="174"/>
      <c r="I730" s="174"/>
      <c r="J730" s="174"/>
      <c r="K730" s="174"/>
      <c r="L730" s="174"/>
      <c r="M730" s="174"/>
      <c r="N730" s="174"/>
      <c r="O730" s="174"/>
      <c r="P730" s="174"/>
      <c r="Q730" s="174"/>
      <c r="R730" s="174"/>
      <c r="S730" s="174"/>
      <c r="T730" s="174"/>
      <c r="U730" s="174"/>
      <c r="V730" s="174"/>
      <c r="W730" s="174"/>
      <c r="X730" s="174"/>
      <c r="Y730" s="174"/>
      <c r="Z730" s="174"/>
    </row>
    <row r="731" customFormat="false" ht="15.75" hidden="false" customHeight="false" outlineLevel="0" collapsed="false">
      <c r="A731" s="174"/>
      <c r="B731" s="174"/>
      <c r="C731" s="174"/>
      <c r="D731" s="174"/>
      <c r="E731" s="174"/>
      <c r="F731" s="174"/>
      <c r="G731" s="174"/>
      <c r="H731" s="174"/>
      <c r="I731" s="174"/>
      <c r="J731" s="174"/>
      <c r="K731" s="174"/>
      <c r="L731" s="174"/>
      <c r="M731" s="174"/>
      <c r="N731" s="174"/>
      <c r="O731" s="174"/>
      <c r="P731" s="174"/>
      <c r="Q731" s="174"/>
      <c r="R731" s="174"/>
      <c r="S731" s="174"/>
      <c r="T731" s="174"/>
      <c r="U731" s="174"/>
      <c r="V731" s="174"/>
      <c r="W731" s="174"/>
      <c r="X731" s="174"/>
      <c r="Y731" s="174"/>
      <c r="Z731" s="174"/>
    </row>
    <row r="732" customFormat="false" ht="15.75" hidden="false" customHeight="false" outlineLevel="0" collapsed="false">
      <c r="A732" s="174"/>
      <c r="B732" s="174"/>
      <c r="C732" s="174"/>
      <c r="D732" s="174"/>
      <c r="E732" s="174"/>
      <c r="F732" s="174"/>
      <c r="G732" s="174"/>
      <c r="H732" s="174"/>
      <c r="I732" s="174"/>
      <c r="J732" s="174"/>
      <c r="K732" s="174"/>
      <c r="L732" s="174"/>
      <c r="M732" s="174"/>
      <c r="N732" s="174"/>
      <c r="O732" s="174"/>
      <c r="P732" s="174"/>
      <c r="Q732" s="174"/>
      <c r="R732" s="174"/>
      <c r="S732" s="174"/>
      <c r="T732" s="174"/>
      <c r="U732" s="174"/>
      <c r="V732" s="174"/>
      <c r="W732" s="174"/>
      <c r="X732" s="174"/>
      <c r="Y732" s="174"/>
      <c r="Z732" s="174"/>
    </row>
    <row r="733" customFormat="false" ht="15.75" hidden="false" customHeight="false" outlineLevel="0" collapsed="false">
      <c r="A733" s="174"/>
      <c r="B733" s="174"/>
      <c r="C733" s="174"/>
      <c r="D733" s="174"/>
      <c r="E733" s="174"/>
      <c r="F733" s="174"/>
      <c r="G733" s="174"/>
      <c r="H733" s="174"/>
      <c r="I733" s="174"/>
      <c r="J733" s="174"/>
      <c r="K733" s="174"/>
      <c r="L733" s="174"/>
      <c r="M733" s="174"/>
      <c r="N733" s="174"/>
      <c r="O733" s="174"/>
      <c r="P733" s="174"/>
      <c r="Q733" s="174"/>
      <c r="R733" s="174"/>
      <c r="S733" s="174"/>
      <c r="T733" s="174"/>
      <c r="U733" s="174"/>
      <c r="V733" s="174"/>
      <c r="W733" s="174"/>
      <c r="X733" s="174"/>
      <c r="Y733" s="174"/>
      <c r="Z733" s="174"/>
    </row>
    <row r="734" customFormat="false" ht="15.75" hidden="false" customHeight="false" outlineLevel="0" collapsed="false">
      <c r="A734" s="174"/>
      <c r="B734" s="174"/>
      <c r="C734" s="174"/>
      <c r="D734" s="174"/>
      <c r="E734" s="174"/>
      <c r="F734" s="174"/>
      <c r="G734" s="174"/>
      <c r="H734" s="174"/>
      <c r="I734" s="174"/>
      <c r="J734" s="174"/>
      <c r="K734" s="174"/>
      <c r="L734" s="174"/>
      <c r="M734" s="174"/>
      <c r="N734" s="174"/>
      <c r="O734" s="174"/>
      <c r="P734" s="174"/>
      <c r="Q734" s="174"/>
      <c r="R734" s="174"/>
      <c r="S734" s="174"/>
      <c r="T734" s="174"/>
      <c r="U734" s="174"/>
      <c r="V734" s="174"/>
      <c r="W734" s="174"/>
      <c r="X734" s="174"/>
      <c r="Y734" s="174"/>
      <c r="Z734" s="174"/>
    </row>
    <row r="735" customFormat="false" ht="15.75" hidden="false" customHeight="false" outlineLevel="0" collapsed="false">
      <c r="A735" s="174"/>
      <c r="B735" s="174"/>
      <c r="C735" s="174"/>
      <c r="D735" s="174"/>
      <c r="E735" s="174"/>
      <c r="F735" s="174"/>
      <c r="G735" s="174"/>
      <c r="H735" s="174"/>
      <c r="I735" s="174"/>
      <c r="J735" s="174"/>
      <c r="K735" s="174"/>
      <c r="L735" s="174"/>
      <c r="M735" s="174"/>
      <c r="N735" s="174"/>
      <c r="O735" s="174"/>
      <c r="P735" s="174"/>
      <c r="Q735" s="174"/>
      <c r="R735" s="174"/>
      <c r="S735" s="174"/>
      <c r="T735" s="174"/>
      <c r="U735" s="174"/>
      <c r="V735" s="174"/>
      <c r="W735" s="174"/>
      <c r="X735" s="174"/>
      <c r="Y735" s="174"/>
      <c r="Z735" s="174"/>
    </row>
    <row r="736" customFormat="false" ht="15.75" hidden="false" customHeight="false" outlineLevel="0" collapsed="false">
      <c r="A736" s="174"/>
      <c r="B736" s="174"/>
      <c r="C736" s="174"/>
      <c r="D736" s="174"/>
      <c r="E736" s="174"/>
      <c r="F736" s="174"/>
      <c r="G736" s="174"/>
      <c r="H736" s="174"/>
      <c r="I736" s="174"/>
      <c r="J736" s="174"/>
      <c r="K736" s="174"/>
      <c r="L736" s="174"/>
      <c r="M736" s="174"/>
      <c r="N736" s="174"/>
      <c r="O736" s="174"/>
      <c r="P736" s="174"/>
      <c r="Q736" s="174"/>
      <c r="R736" s="174"/>
      <c r="S736" s="174"/>
      <c r="T736" s="174"/>
      <c r="U736" s="174"/>
      <c r="V736" s="174"/>
      <c r="W736" s="174"/>
      <c r="X736" s="174"/>
      <c r="Y736" s="174"/>
      <c r="Z736" s="174"/>
    </row>
    <row r="737" customFormat="false" ht="15.75" hidden="false" customHeight="false" outlineLevel="0" collapsed="false">
      <c r="A737" s="174"/>
      <c r="B737" s="174"/>
      <c r="C737" s="174"/>
      <c r="D737" s="174"/>
      <c r="E737" s="174"/>
      <c r="F737" s="174"/>
      <c r="G737" s="174"/>
      <c r="H737" s="174"/>
      <c r="I737" s="174"/>
      <c r="J737" s="174"/>
      <c r="K737" s="174"/>
      <c r="L737" s="174"/>
      <c r="M737" s="174"/>
      <c r="N737" s="174"/>
      <c r="O737" s="174"/>
      <c r="P737" s="174"/>
      <c r="Q737" s="174"/>
      <c r="R737" s="174"/>
      <c r="S737" s="174"/>
      <c r="T737" s="174"/>
      <c r="U737" s="174"/>
      <c r="V737" s="174"/>
      <c r="W737" s="174"/>
      <c r="X737" s="174"/>
      <c r="Y737" s="174"/>
      <c r="Z737" s="174"/>
    </row>
    <row r="738" customFormat="false" ht="15.75" hidden="false" customHeight="false" outlineLevel="0" collapsed="false">
      <c r="A738" s="174"/>
      <c r="B738" s="174"/>
      <c r="C738" s="174"/>
      <c r="D738" s="174"/>
      <c r="E738" s="174"/>
      <c r="F738" s="174"/>
      <c r="G738" s="174"/>
      <c r="H738" s="174"/>
      <c r="I738" s="174"/>
      <c r="J738" s="174"/>
      <c r="K738" s="174"/>
      <c r="L738" s="174"/>
      <c r="M738" s="174"/>
      <c r="N738" s="174"/>
      <c r="O738" s="174"/>
      <c r="P738" s="174"/>
      <c r="Q738" s="174"/>
      <c r="R738" s="174"/>
      <c r="S738" s="174"/>
      <c r="T738" s="174"/>
      <c r="U738" s="174"/>
      <c r="V738" s="174"/>
      <c r="W738" s="174"/>
      <c r="X738" s="174"/>
      <c r="Y738" s="174"/>
      <c r="Z738" s="174"/>
    </row>
    <row r="739" customFormat="false" ht="15.75" hidden="false" customHeight="false" outlineLevel="0" collapsed="false">
      <c r="A739" s="174"/>
      <c r="B739" s="174"/>
      <c r="C739" s="174"/>
      <c r="D739" s="174"/>
      <c r="E739" s="174"/>
      <c r="F739" s="174"/>
      <c r="G739" s="174"/>
      <c r="H739" s="174"/>
      <c r="I739" s="174"/>
      <c r="J739" s="174"/>
      <c r="K739" s="174"/>
      <c r="L739" s="174"/>
      <c r="M739" s="174"/>
      <c r="N739" s="174"/>
      <c r="O739" s="174"/>
      <c r="P739" s="174"/>
      <c r="Q739" s="174"/>
      <c r="R739" s="174"/>
      <c r="S739" s="174"/>
      <c r="T739" s="174"/>
      <c r="U739" s="174"/>
      <c r="V739" s="174"/>
      <c r="W739" s="174"/>
      <c r="X739" s="174"/>
      <c r="Y739" s="174"/>
      <c r="Z739" s="174"/>
    </row>
    <row r="740" customFormat="false" ht="15.75" hidden="false" customHeight="false" outlineLevel="0" collapsed="false">
      <c r="A740" s="174"/>
      <c r="B740" s="174"/>
      <c r="C740" s="174"/>
      <c r="D740" s="174"/>
      <c r="E740" s="174"/>
      <c r="F740" s="174"/>
      <c r="G740" s="174"/>
      <c r="H740" s="174"/>
      <c r="I740" s="174"/>
      <c r="J740" s="174"/>
      <c r="K740" s="174"/>
      <c r="L740" s="174"/>
      <c r="M740" s="174"/>
      <c r="N740" s="174"/>
      <c r="O740" s="174"/>
      <c r="P740" s="174"/>
      <c r="Q740" s="174"/>
      <c r="R740" s="174"/>
      <c r="S740" s="174"/>
      <c r="T740" s="174"/>
      <c r="U740" s="174"/>
      <c r="V740" s="174"/>
      <c r="W740" s="174"/>
      <c r="X740" s="174"/>
      <c r="Y740" s="174"/>
      <c r="Z740" s="174"/>
    </row>
    <row r="741" customFormat="false" ht="15.75" hidden="false" customHeight="false" outlineLevel="0" collapsed="false">
      <c r="A741" s="174"/>
      <c r="B741" s="174"/>
      <c r="C741" s="174"/>
      <c r="D741" s="174"/>
      <c r="E741" s="174"/>
      <c r="F741" s="174"/>
      <c r="G741" s="174"/>
      <c r="H741" s="174"/>
      <c r="I741" s="174"/>
      <c r="J741" s="174"/>
      <c r="K741" s="174"/>
      <c r="L741" s="174"/>
      <c r="M741" s="174"/>
      <c r="N741" s="174"/>
      <c r="O741" s="174"/>
      <c r="P741" s="174"/>
      <c r="Q741" s="174"/>
      <c r="R741" s="174"/>
      <c r="S741" s="174"/>
      <c r="T741" s="174"/>
      <c r="U741" s="174"/>
      <c r="V741" s="174"/>
      <c r="W741" s="174"/>
      <c r="X741" s="174"/>
      <c r="Y741" s="174"/>
      <c r="Z741" s="174"/>
    </row>
    <row r="742" customFormat="false" ht="15.75" hidden="false" customHeight="false" outlineLevel="0" collapsed="false">
      <c r="A742" s="174"/>
      <c r="B742" s="174"/>
      <c r="C742" s="174"/>
      <c r="D742" s="174"/>
      <c r="E742" s="174"/>
      <c r="F742" s="174"/>
      <c r="G742" s="174"/>
      <c r="H742" s="174"/>
      <c r="I742" s="174"/>
      <c r="J742" s="174"/>
      <c r="K742" s="174"/>
      <c r="L742" s="174"/>
      <c r="M742" s="174"/>
      <c r="N742" s="174"/>
      <c r="O742" s="174"/>
      <c r="P742" s="174"/>
      <c r="Q742" s="174"/>
      <c r="R742" s="174"/>
      <c r="S742" s="174"/>
      <c r="T742" s="174"/>
      <c r="U742" s="174"/>
      <c r="V742" s="174"/>
      <c r="W742" s="174"/>
      <c r="X742" s="174"/>
      <c r="Y742" s="174"/>
      <c r="Z742" s="174"/>
    </row>
    <row r="743" customFormat="false" ht="15.75" hidden="false" customHeight="false" outlineLevel="0" collapsed="false">
      <c r="A743" s="174"/>
      <c r="B743" s="174"/>
      <c r="C743" s="174"/>
      <c r="D743" s="174"/>
      <c r="E743" s="174"/>
      <c r="F743" s="174"/>
      <c r="G743" s="174"/>
      <c r="H743" s="174"/>
      <c r="I743" s="174"/>
      <c r="J743" s="174"/>
      <c r="K743" s="174"/>
      <c r="L743" s="174"/>
      <c r="M743" s="174"/>
      <c r="N743" s="174"/>
      <c r="O743" s="174"/>
      <c r="P743" s="174"/>
      <c r="Q743" s="174"/>
      <c r="R743" s="174"/>
      <c r="S743" s="174"/>
      <c r="T743" s="174"/>
      <c r="U743" s="174"/>
      <c r="V743" s="174"/>
      <c r="W743" s="174"/>
      <c r="X743" s="174"/>
      <c r="Y743" s="174"/>
      <c r="Z743" s="174"/>
    </row>
    <row r="744" customFormat="false" ht="15.75" hidden="false" customHeight="false" outlineLevel="0" collapsed="false">
      <c r="A744" s="174"/>
      <c r="B744" s="174"/>
      <c r="C744" s="174"/>
      <c r="D744" s="174"/>
      <c r="E744" s="174"/>
      <c r="F744" s="174"/>
      <c r="G744" s="174"/>
      <c r="H744" s="174"/>
      <c r="I744" s="174"/>
      <c r="J744" s="174"/>
      <c r="K744" s="174"/>
      <c r="L744" s="174"/>
      <c r="M744" s="174"/>
      <c r="N744" s="174"/>
      <c r="O744" s="174"/>
      <c r="P744" s="174"/>
      <c r="Q744" s="174"/>
      <c r="R744" s="174"/>
      <c r="S744" s="174"/>
      <c r="T744" s="174"/>
      <c r="U744" s="174"/>
      <c r="V744" s="174"/>
      <c r="W744" s="174"/>
      <c r="X744" s="174"/>
      <c r="Y744" s="174"/>
      <c r="Z744" s="174"/>
    </row>
    <row r="745" customFormat="false" ht="15.75" hidden="false" customHeight="false" outlineLevel="0" collapsed="false">
      <c r="A745" s="174"/>
      <c r="B745" s="174"/>
      <c r="C745" s="174"/>
      <c r="D745" s="174"/>
      <c r="E745" s="174"/>
      <c r="F745" s="174"/>
      <c r="G745" s="174"/>
      <c r="H745" s="174"/>
      <c r="I745" s="174"/>
      <c r="J745" s="174"/>
      <c r="K745" s="174"/>
      <c r="L745" s="174"/>
      <c r="M745" s="174"/>
      <c r="N745" s="174"/>
      <c r="O745" s="174"/>
      <c r="P745" s="174"/>
      <c r="Q745" s="174"/>
      <c r="R745" s="174"/>
      <c r="S745" s="174"/>
      <c r="T745" s="174"/>
      <c r="U745" s="174"/>
      <c r="V745" s="174"/>
      <c r="W745" s="174"/>
      <c r="X745" s="174"/>
      <c r="Y745" s="174"/>
      <c r="Z745" s="174"/>
    </row>
    <row r="746" customFormat="false" ht="15.75" hidden="false" customHeight="false" outlineLevel="0" collapsed="false">
      <c r="A746" s="174"/>
      <c r="B746" s="174"/>
      <c r="C746" s="174"/>
      <c r="D746" s="174"/>
      <c r="E746" s="174"/>
      <c r="F746" s="174"/>
      <c r="G746" s="174"/>
      <c r="H746" s="174"/>
      <c r="I746" s="174"/>
      <c r="J746" s="174"/>
      <c r="K746" s="174"/>
      <c r="L746" s="174"/>
      <c r="M746" s="174"/>
      <c r="N746" s="174"/>
      <c r="O746" s="174"/>
      <c r="P746" s="174"/>
      <c r="Q746" s="174"/>
      <c r="R746" s="174"/>
      <c r="S746" s="174"/>
      <c r="T746" s="174"/>
      <c r="U746" s="174"/>
      <c r="V746" s="174"/>
      <c r="W746" s="174"/>
      <c r="X746" s="174"/>
      <c r="Y746" s="174"/>
      <c r="Z746" s="174"/>
    </row>
    <row r="747" customFormat="false" ht="15.75" hidden="false" customHeight="false" outlineLevel="0" collapsed="false">
      <c r="A747" s="174"/>
      <c r="B747" s="174"/>
      <c r="C747" s="174"/>
      <c r="D747" s="174"/>
      <c r="E747" s="174"/>
      <c r="F747" s="174"/>
      <c r="G747" s="174"/>
      <c r="H747" s="174"/>
      <c r="I747" s="174"/>
      <c r="J747" s="174"/>
      <c r="K747" s="174"/>
      <c r="L747" s="174"/>
      <c r="M747" s="174"/>
      <c r="N747" s="174"/>
      <c r="O747" s="174"/>
      <c r="P747" s="174"/>
      <c r="Q747" s="174"/>
      <c r="R747" s="174"/>
      <c r="S747" s="174"/>
      <c r="T747" s="174"/>
      <c r="U747" s="174"/>
      <c r="V747" s="174"/>
      <c r="W747" s="174"/>
      <c r="X747" s="174"/>
      <c r="Y747" s="174"/>
      <c r="Z747" s="174"/>
    </row>
    <row r="748" customFormat="false" ht="15.75" hidden="false" customHeight="false" outlineLevel="0" collapsed="false">
      <c r="A748" s="174"/>
      <c r="B748" s="174"/>
      <c r="C748" s="174"/>
      <c r="D748" s="174"/>
      <c r="E748" s="174"/>
      <c r="F748" s="174"/>
      <c r="G748" s="174"/>
      <c r="H748" s="174"/>
      <c r="I748" s="174"/>
      <c r="J748" s="174"/>
      <c r="K748" s="174"/>
      <c r="L748" s="174"/>
      <c r="M748" s="174"/>
      <c r="N748" s="174"/>
      <c r="O748" s="174"/>
      <c r="P748" s="174"/>
      <c r="Q748" s="174"/>
      <c r="R748" s="174"/>
      <c r="S748" s="174"/>
      <c r="T748" s="174"/>
      <c r="U748" s="174"/>
      <c r="V748" s="174"/>
      <c r="W748" s="174"/>
      <c r="X748" s="174"/>
      <c r="Y748" s="174"/>
      <c r="Z748" s="174"/>
    </row>
    <row r="749" customFormat="false" ht="15.75" hidden="false" customHeight="false" outlineLevel="0" collapsed="false">
      <c r="A749" s="174"/>
      <c r="B749" s="174"/>
      <c r="C749" s="174"/>
      <c r="D749" s="174"/>
      <c r="E749" s="174"/>
      <c r="F749" s="174"/>
      <c r="G749" s="174"/>
      <c r="H749" s="174"/>
      <c r="I749" s="174"/>
      <c r="J749" s="174"/>
      <c r="K749" s="174"/>
      <c r="L749" s="174"/>
      <c r="M749" s="174"/>
      <c r="N749" s="174"/>
      <c r="O749" s="174"/>
      <c r="P749" s="174"/>
      <c r="Q749" s="174"/>
      <c r="R749" s="174"/>
      <c r="S749" s="174"/>
      <c r="T749" s="174"/>
      <c r="U749" s="174"/>
      <c r="V749" s="174"/>
      <c r="W749" s="174"/>
      <c r="X749" s="174"/>
      <c r="Y749" s="174"/>
      <c r="Z749" s="174"/>
    </row>
    <row r="750" customFormat="false" ht="15.75" hidden="false" customHeight="false" outlineLevel="0" collapsed="false">
      <c r="A750" s="174"/>
      <c r="B750" s="174"/>
      <c r="C750" s="174"/>
      <c r="D750" s="174"/>
      <c r="E750" s="174"/>
      <c r="F750" s="174"/>
      <c r="G750" s="174"/>
      <c r="H750" s="174"/>
      <c r="I750" s="174"/>
      <c r="J750" s="174"/>
      <c r="K750" s="174"/>
      <c r="L750" s="174"/>
      <c r="M750" s="174"/>
      <c r="N750" s="174"/>
      <c r="O750" s="174"/>
      <c r="P750" s="174"/>
      <c r="Q750" s="174"/>
      <c r="R750" s="174"/>
      <c r="S750" s="174"/>
      <c r="T750" s="174"/>
      <c r="U750" s="174"/>
      <c r="V750" s="174"/>
      <c r="W750" s="174"/>
      <c r="X750" s="174"/>
      <c r="Y750" s="174"/>
      <c r="Z750" s="174"/>
    </row>
    <row r="751" customFormat="false" ht="15.75" hidden="false" customHeight="false" outlineLevel="0" collapsed="false">
      <c r="A751" s="174"/>
      <c r="B751" s="174"/>
      <c r="C751" s="174"/>
      <c r="D751" s="174"/>
      <c r="E751" s="174"/>
      <c r="F751" s="174"/>
      <c r="G751" s="174"/>
      <c r="H751" s="174"/>
      <c r="I751" s="174"/>
      <c r="J751" s="174"/>
      <c r="K751" s="174"/>
      <c r="L751" s="174"/>
      <c r="M751" s="174"/>
      <c r="N751" s="174"/>
      <c r="O751" s="174"/>
      <c r="P751" s="174"/>
      <c r="Q751" s="174"/>
      <c r="R751" s="174"/>
      <c r="S751" s="174"/>
      <c r="T751" s="174"/>
      <c r="U751" s="174"/>
      <c r="V751" s="174"/>
      <c r="W751" s="174"/>
      <c r="X751" s="174"/>
      <c r="Y751" s="174"/>
      <c r="Z751" s="174"/>
    </row>
    <row r="752" customFormat="false" ht="15.75" hidden="false" customHeight="false" outlineLevel="0" collapsed="false">
      <c r="A752" s="174"/>
      <c r="B752" s="174"/>
      <c r="C752" s="174"/>
      <c r="D752" s="174"/>
      <c r="E752" s="174"/>
      <c r="F752" s="174"/>
      <c r="G752" s="174"/>
      <c r="H752" s="174"/>
      <c r="I752" s="174"/>
      <c r="J752" s="174"/>
      <c r="K752" s="174"/>
      <c r="L752" s="174"/>
      <c r="M752" s="174"/>
      <c r="N752" s="174"/>
      <c r="O752" s="174"/>
      <c r="P752" s="174"/>
      <c r="Q752" s="174"/>
      <c r="R752" s="174"/>
      <c r="S752" s="174"/>
      <c r="T752" s="174"/>
      <c r="U752" s="174"/>
      <c r="V752" s="174"/>
      <c r="W752" s="174"/>
      <c r="X752" s="174"/>
      <c r="Y752" s="174"/>
      <c r="Z752" s="174"/>
    </row>
    <row r="753" customFormat="false" ht="15.75" hidden="false" customHeight="false" outlineLevel="0" collapsed="false">
      <c r="A753" s="174"/>
      <c r="B753" s="174"/>
      <c r="C753" s="174"/>
      <c r="D753" s="174"/>
      <c r="E753" s="174"/>
      <c r="F753" s="174"/>
      <c r="G753" s="174"/>
      <c r="H753" s="174"/>
      <c r="I753" s="174"/>
      <c r="J753" s="174"/>
      <c r="K753" s="174"/>
      <c r="L753" s="174"/>
      <c r="M753" s="174"/>
      <c r="N753" s="174"/>
      <c r="O753" s="174"/>
      <c r="P753" s="174"/>
      <c r="Q753" s="174"/>
      <c r="R753" s="174"/>
      <c r="S753" s="174"/>
      <c r="T753" s="174"/>
      <c r="U753" s="174"/>
      <c r="V753" s="174"/>
      <c r="W753" s="174"/>
      <c r="X753" s="174"/>
      <c r="Y753" s="174"/>
      <c r="Z753" s="174"/>
    </row>
    <row r="754" customFormat="false" ht="15.75" hidden="false" customHeight="false" outlineLevel="0" collapsed="false">
      <c r="A754" s="174"/>
      <c r="B754" s="174"/>
      <c r="C754" s="174"/>
      <c r="D754" s="174"/>
      <c r="E754" s="174"/>
      <c r="F754" s="174"/>
      <c r="G754" s="174"/>
      <c r="H754" s="174"/>
      <c r="I754" s="174"/>
      <c r="J754" s="174"/>
      <c r="K754" s="174"/>
      <c r="L754" s="174"/>
      <c r="M754" s="174"/>
      <c r="N754" s="174"/>
      <c r="O754" s="174"/>
      <c r="P754" s="174"/>
      <c r="Q754" s="174"/>
      <c r="R754" s="174"/>
      <c r="S754" s="174"/>
      <c r="T754" s="174"/>
      <c r="U754" s="174"/>
      <c r="V754" s="174"/>
      <c r="W754" s="174"/>
      <c r="X754" s="174"/>
      <c r="Y754" s="174"/>
      <c r="Z754" s="174"/>
    </row>
    <row r="755" customFormat="false" ht="15.75" hidden="false" customHeight="false" outlineLevel="0" collapsed="false">
      <c r="A755" s="174"/>
      <c r="B755" s="174"/>
      <c r="C755" s="174"/>
      <c r="D755" s="174"/>
      <c r="E755" s="174"/>
      <c r="F755" s="174"/>
      <c r="G755" s="174"/>
      <c r="H755" s="174"/>
      <c r="I755" s="174"/>
      <c r="J755" s="174"/>
      <c r="K755" s="174"/>
      <c r="L755" s="174"/>
      <c r="M755" s="174"/>
      <c r="N755" s="174"/>
      <c r="O755" s="174"/>
      <c r="P755" s="174"/>
      <c r="Q755" s="174"/>
      <c r="R755" s="174"/>
      <c r="S755" s="174"/>
      <c r="T755" s="174"/>
      <c r="U755" s="174"/>
      <c r="V755" s="174"/>
      <c r="W755" s="174"/>
      <c r="X755" s="174"/>
      <c r="Y755" s="174"/>
      <c r="Z755" s="174"/>
    </row>
    <row r="756" customFormat="false" ht="15.75" hidden="false" customHeight="false" outlineLevel="0" collapsed="false">
      <c r="A756" s="174"/>
      <c r="B756" s="174"/>
      <c r="C756" s="174"/>
      <c r="D756" s="174"/>
      <c r="E756" s="174"/>
      <c r="F756" s="174"/>
      <c r="G756" s="174"/>
      <c r="H756" s="174"/>
      <c r="I756" s="174"/>
      <c r="J756" s="174"/>
      <c r="K756" s="174"/>
      <c r="L756" s="174"/>
      <c r="M756" s="174"/>
      <c r="N756" s="174"/>
      <c r="O756" s="174"/>
      <c r="P756" s="174"/>
      <c r="Q756" s="174"/>
      <c r="R756" s="174"/>
      <c r="S756" s="174"/>
      <c r="T756" s="174"/>
      <c r="U756" s="174"/>
      <c r="V756" s="174"/>
      <c r="W756" s="174"/>
      <c r="X756" s="174"/>
      <c r="Y756" s="174"/>
      <c r="Z756" s="174"/>
    </row>
    <row r="757" customFormat="false" ht="15.75" hidden="false" customHeight="false" outlineLevel="0" collapsed="false">
      <c r="A757" s="174"/>
      <c r="B757" s="174"/>
      <c r="C757" s="174"/>
      <c r="D757" s="174"/>
      <c r="E757" s="174"/>
      <c r="F757" s="174"/>
      <c r="G757" s="174"/>
      <c r="H757" s="174"/>
      <c r="I757" s="174"/>
      <c r="J757" s="174"/>
      <c r="K757" s="174"/>
      <c r="L757" s="174"/>
      <c r="M757" s="174"/>
      <c r="N757" s="174"/>
      <c r="O757" s="174"/>
      <c r="P757" s="174"/>
      <c r="Q757" s="174"/>
      <c r="R757" s="174"/>
      <c r="S757" s="174"/>
      <c r="T757" s="174"/>
      <c r="U757" s="174"/>
      <c r="V757" s="174"/>
      <c r="W757" s="174"/>
      <c r="X757" s="174"/>
      <c r="Y757" s="174"/>
      <c r="Z757" s="174"/>
    </row>
    <row r="758" customFormat="false" ht="15.75" hidden="false" customHeight="false" outlineLevel="0" collapsed="false">
      <c r="A758" s="174"/>
      <c r="B758" s="174"/>
      <c r="C758" s="174"/>
      <c r="D758" s="174"/>
      <c r="E758" s="174"/>
      <c r="F758" s="174"/>
      <c r="G758" s="174"/>
      <c r="H758" s="174"/>
      <c r="I758" s="174"/>
      <c r="J758" s="174"/>
      <c r="K758" s="174"/>
      <c r="L758" s="174"/>
      <c r="M758" s="174"/>
      <c r="N758" s="174"/>
      <c r="O758" s="174"/>
      <c r="P758" s="174"/>
      <c r="Q758" s="174"/>
      <c r="R758" s="174"/>
      <c r="S758" s="174"/>
      <c r="T758" s="174"/>
      <c r="U758" s="174"/>
      <c r="V758" s="174"/>
      <c r="W758" s="174"/>
      <c r="X758" s="174"/>
      <c r="Y758" s="174"/>
      <c r="Z758" s="174"/>
    </row>
    <row r="759" customFormat="false" ht="15.75" hidden="false" customHeight="false" outlineLevel="0" collapsed="false">
      <c r="A759" s="174"/>
      <c r="B759" s="174"/>
      <c r="C759" s="174"/>
      <c r="D759" s="174"/>
      <c r="E759" s="174"/>
      <c r="F759" s="174"/>
      <c r="G759" s="174"/>
      <c r="H759" s="174"/>
      <c r="I759" s="174"/>
      <c r="J759" s="174"/>
      <c r="K759" s="174"/>
      <c r="L759" s="174"/>
      <c r="M759" s="174"/>
      <c r="N759" s="174"/>
      <c r="O759" s="174"/>
      <c r="P759" s="174"/>
      <c r="Q759" s="174"/>
      <c r="R759" s="174"/>
      <c r="S759" s="174"/>
      <c r="T759" s="174"/>
      <c r="U759" s="174"/>
      <c r="V759" s="174"/>
      <c r="W759" s="174"/>
      <c r="X759" s="174"/>
      <c r="Y759" s="174"/>
      <c r="Z759" s="174"/>
    </row>
    <row r="760" customFormat="false" ht="15.75" hidden="false" customHeight="false" outlineLevel="0" collapsed="false">
      <c r="A760" s="174"/>
      <c r="B760" s="174"/>
      <c r="C760" s="174"/>
      <c r="D760" s="174"/>
      <c r="E760" s="174"/>
      <c r="F760" s="174"/>
      <c r="G760" s="174"/>
      <c r="H760" s="174"/>
      <c r="I760" s="174"/>
      <c r="J760" s="174"/>
      <c r="K760" s="174"/>
      <c r="L760" s="174"/>
      <c r="M760" s="174"/>
      <c r="N760" s="174"/>
      <c r="O760" s="174"/>
      <c r="P760" s="174"/>
      <c r="Q760" s="174"/>
      <c r="R760" s="174"/>
      <c r="S760" s="174"/>
      <c r="T760" s="174"/>
      <c r="U760" s="174"/>
      <c r="V760" s="174"/>
      <c r="W760" s="174"/>
      <c r="X760" s="174"/>
      <c r="Y760" s="174"/>
      <c r="Z760" s="174"/>
    </row>
    <row r="761" customFormat="false" ht="15.75" hidden="false" customHeight="false" outlineLevel="0" collapsed="false">
      <c r="A761" s="174"/>
      <c r="B761" s="174"/>
      <c r="C761" s="174"/>
      <c r="D761" s="174"/>
      <c r="E761" s="174"/>
      <c r="F761" s="174"/>
      <c r="G761" s="174"/>
      <c r="H761" s="174"/>
      <c r="I761" s="174"/>
      <c r="J761" s="174"/>
      <c r="K761" s="174"/>
      <c r="L761" s="174"/>
      <c r="M761" s="174"/>
      <c r="N761" s="174"/>
      <c r="O761" s="174"/>
      <c r="P761" s="174"/>
      <c r="Q761" s="174"/>
      <c r="R761" s="174"/>
      <c r="S761" s="174"/>
      <c r="T761" s="174"/>
      <c r="U761" s="174"/>
      <c r="V761" s="174"/>
      <c r="W761" s="174"/>
      <c r="X761" s="174"/>
      <c r="Y761" s="174"/>
      <c r="Z761" s="174"/>
    </row>
    <row r="762" customFormat="false" ht="15.75" hidden="false" customHeight="false" outlineLevel="0" collapsed="false">
      <c r="A762" s="174"/>
      <c r="B762" s="174"/>
      <c r="C762" s="174"/>
      <c r="D762" s="174"/>
      <c r="E762" s="174"/>
      <c r="F762" s="174"/>
      <c r="G762" s="174"/>
      <c r="H762" s="174"/>
      <c r="I762" s="174"/>
      <c r="J762" s="174"/>
      <c r="K762" s="174"/>
      <c r="L762" s="174"/>
      <c r="M762" s="174"/>
      <c r="N762" s="174"/>
      <c r="O762" s="174"/>
      <c r="P762" s="174"/>
      <c r="Q762" s="174"/>
      <c r="R762" s="174"/>
      <c r="S762" s="174"/>
      <c r="T762" s="174"/>
      <c r="U762" s="174"/>
      <c r="V762" s="174"/>
      <c r="W762" s="174"/>
      <c r="X762" s="174"/>
      <c r="Y762" s="174"/>
      <c r="Z762" s="174"/>
    </row>
    <row r="763" customFormat="false" ht="15.75" hidden="false" customHeight="false" outlineLevel="0" collapsed="false">
      <c r="A763" s="174"/>
      <c r="B763" s="174"/>
      <c r="C763" s="174"/>
      <c r="D763" s="174"/>
      <c r="E763" s="174"/>
      <c r="F763" s="174"/>
      <c r="G763" s="174"/>
      <c r="H763" s="174"/>
      <c r="I763" s="174"/>
      <c r="J763" s="174"/>
      <c r="K763" s="174"/>
      <c r="L763" s="174"/>
      <c r="M763" s="174"/>
      <c r="N763" s="174"/>
      <c r="O763" s="174"/>
      <c r="P763" s="174"/>
      <c r="Q763" s="174"/>
      <c r="R763" s="174"/>
      <c r="S763" s="174"/>
      <c r="T763" s="174"/>
      <c r="U763" s="174"/>
      <c r="V763" s="174"/>
      <c r="W763" s="174"/>
      <c r="X763" s="174"/>
      <c r="Y763" s="174"/>
      <c r="Z763" s="174"/>
    </row>
    <row r="764" customFormat="false" ht="15.75" hidden="false" customHeight="false" outlineLevel="0" collapsed="false">
      <c r="A764" s="174"/>
      <c r="B764" s="174"/>
      <c r="C764" s="174"/>
      <c r="D764" s="174"/>
      <c r="E764" s="174"/>
      <c r="F764" s="174"/>
      <c r="G764" s="174"/>
      <c r="H764" s="174"/>
      <c r="I764" s="174"/>
      <c r="J764" s="174"/>
      <c r="K764" s="174"/>
      <c r="L764" s="174"/>
      <c r="M764" s="174"/>
      <c r="N764" s="174"/>
      <c r="O764" s="174"/>
      <c r="P764" s="174"/>
      <c r="Q764" s="174"/>
      <c r="R764" s="174"/>
      <c r="S764" s="174"/>
      <c r="T764" s="174"/>
      <c r="U764" s="174"/>
      <c r="V764" s="174"/>
      <c r="W764" s="174"/>
      <c r="X764" s="174"/>
      <c r="Y764" s="174"/>
      <c r="Z764" s="174"/>
    </row>
    <row r="765" customFormat="false" ht="15.75" hidden="false" customHeight="false" outlineLevel="0" collapsed="false">
      <c r="A765" s="174"/>
      <c r="B765" s="174"/>
      <c r="C765" s="174"/>
      <c r="D765" s="174"/>
      <c r="E765" s="174"/>
      <c r="F765" s="174"/>
      <c r="G765" s="174"/>
      <c r="H765" s="174"/>
      <c r="I765" s="174"/>
      <c r="J765" s="174"/>
      <c r="K765" s="174"/>
      <c r="L765" s="174"/>
      <c r="M765" s="174"/>
      <c r="N765" s="174"/>
      <c r="O765" s="174"/>
      <c r="P765" s="174"/>
      <c r="Q765" s="174"/>
      <c r="R765" s="174"/>
      <c r="S765" s="174"/>
      <c r="T765" s="174"/>
      <c r="U765" s="174"/>
      <c r="V765" s="174"/>
      <c r="W765" s="174"/>
      <c r="X765" s="174"/>
      <c r="Y765" s="174"/>
      <c r="Z765" s="174"/>
    </row>
    <row r="766" customFormat="false" ht="15.75" hidden="false" customHeight="false" outlineLevel="0" collapsed="false">
      <c r="A766" s="174"/>
      <c r="B766" s="174"/>
      <c r="C766" s="174"/>
      <c r="D766" s="174"/>
      <c r="E766" s="174"/>
      <c r="F766" s="174"/>
      <c r="G766" s="174"/>
      <c r="H766" s="174"/>
      <c r="I766" s="174"/>
      <c r="J766" s="174"/>
      <c r="K766" s="174"/>
      <c r="L766" s="174"/>
      <c r="M766" s="174"/>
      <c r="N766" s="174"/>
      <c r="O766" s="174"/>
      <c r="P766" s="174"/>
      <c r="Q766" s="174"/>
      <c r="R766" s="174"/>
      <c r="S766" s="174"/>
      <c r="T766" s="174"/>
      <c r="U766" s="174"/>
      <c r="V766" s="174"/>
      <c r="W766" s="174"/>
      <c r="X766" s="174"/>
      <c r="Y766" s="174"/>
      <c r="Z766" s="174"/>
    </row>
    <row r="767" customFormat="false" ht="15.75" hidden="false" customHeight="false" outlineLevel="0" collapsed="false">
      <c r="A767" s="174"/>
      <c r="B767" s="174"/>
      <c r="C767" s="174"/>
      <c r="D767" s="174"/>
      <c r="E767" s="174"/>
      <c r="F767" s="174"/>
      <c r="G767" s="174"/>
      <c r="H767" s="174"/>
      <c r="I767" s="174"/>
      <c r="J767" s="174"/>
      <c r="K767" s="174"/>
      <c r="L767" s="174"/>
      <c r="M767" s="174"/>
      <c r="N767" s="174"/>
      <c r="O767" s="174"/>
      <c r="P767" s="174"/>
      <c r="Q767" s="174"/>
      <c r="R767" s="174"/>
      <c r="S767" s="174"/>
      <c r="T767" s="174"/>
      <c r="U767" s="174"/>
      <c r="V767" s="174"/>
      <c r="W767" s="174"/>
      <c r="X767" s="174"/>
      <c r="Y767" s="174"/>
      <c r="Z767" s="174"/>
    </row>
    <row r="768" customFormat="false" ht="15.75" hidden="false" customHeight="false" outlineLevel="0" collapsed="false">
      <c r="A768" s="174"/>
      <c r="B768" s="174"/>
      <c r="C768" s="174"/>
      <c r="D768" s="174"/>
      <c r="E768" s="174"/>
      <c r="F768" s="174"/>
      <c r="G768" s="174"/>
      <c r="H768" s="174"/>
      <c r="I768" s="174"/>
      <c r="J768" s="174"/>
      <c r="K768" s="174"/>
      <c r="L768" s="174"/>
      <c r="M768" s="174"/>
      <c r="N768" s="174"/>
      <c r="O768" s="174"/>
      <c r="P768" s="174"/>
      <c r="Q768" s="174"/>
      <c r="R768" s="174"/>
      <c r="S768" s="174"/>
      <c r="T768" s="174"/>
      <c r="U768" s="174"/>
      <c r="V768" s="174"/>
      <c r="W768" s="174"/>
      <c r="X768" s="174"/>
      <c r="Y768" s="174"/>
      <c r="Z768" s="174"/>
    </row>
    <row r="769" customFormat="false" ht="15.75" hidden="false" customHeight="false" outlineLevel="0" collapsed="false">
      <c r="A769" s="174"/>
      <c r="B769" s="174"/>
      <c r="C769" s="174"/>
      <c r="D769" s="174"/>
      <c r="E769" s="174"/>
      <c r="F769" s="174"/>
      <c r="G769" s="174"/>
      <c r="H769" s="174"/>
      <c r="I769" s="174"/>
      <c r="J769" s="174"/>
      <c r="K769" s="174"/>
      <c r="L769" s="174"/>
      <c r="M769" s="174"/>
      <c r="N769" s="174"/>
      <c r="O769" s="174"/>
      <c r="P769" s="174"/>
      <c r="Q769" s="174"/>
      <c r="R769" s="174"/>
      <c r="S769" s="174"/>
      <c r="T769" s="174"/>
      <c r="U769" s="174"/>
      <c r="V769" s="174"/>
      <c r="W769" s="174"/>
      <c r="X769" s="174"/>
      <c r="Y769" s="174"/>
      <c r="Z769" s="174"/>
    </row>
    <row r="770" customFormat="false" ht="15.75" hidden="false" customHeight="false" outlineLevel="0" collapsed="false">
      <c r="A770" s="174"/>
      <c r="B770" s="174"/>
      <c r="C770" s="174"/>
      <c r="D770" s="174"/>
      <c r="E770" s="174"/>
      <c r="F770" s="174"/>
      <c r="G770" s="174"/>
      <c r="H770" s="174"/>
      <c r="I770" s="174"/>
      <c r="J770" s="174"/>
      <c r="K770" s="174"/>
      <c r="L770" s="174"/>
      <c r="M770" s="174"/>
      <c r="N770" s="174"/>
      <c r="O770" s="174"/>
      <c r="P770" s="174"/>
      <c r="Q770" s="174"/>
      <c r="R770" s="174"/>
      <c r="S770" s="174"/>
      <c r="T770" s="174"/>
      <c r="U770" s="174"/>
      <c r="V770" s="174"/>
      <c r="W770" s="174"/>
      <c r="X770" s="174"/>
      <c r="Y770" s="174"/>
      <c r="Z770" s="174"/>
    </row>
    <row r="771" customFormat="false" ht="15.75" hidden="false" customHeight="false" outlineLevel="0" collapsed="false">
      <c r="A771" s="174"/>
      <c r="B771" s="174"/>
      <c r="C771" s="174"/>
      <c r="D771" s="174"/>
      <c r="E771" s="174"/>
      <c r="F771" s="174"/>
      <c r="G771" s="174"/>
      <c r="H771" s="174"/>
      <c r="I771" s="174"/>
      <c r="J771" s="174"/>
      <c r="K771" s="174"/>
      <c r="L771" s="174"/>
      <c r="M771" s="174"/>
      <c r="N771" s="174"/>
      <c r="O771" s="174"/>
      <c r="P771" s="174"/>
      <c r="Q771" s="174"/>
      <c r="R771" s="174"/>
      <c r="S771" s="174"/>
      <c r="T771" s="174"/>
      <c r="U771" s="174"/>
      <c r="V771" s="174"/>
      <c r="W771" s="174"/>
      <c r="X771" s="174"/>
      <c r="Y771" s="174"/>
      <c r="Z771" s="174"/>
    </row>
    <row r="772" customFormat="false" ht="15.75" hidden="false" customHeight="false" outlineLevel="0" collapsed="false">
      <c r="A772" s="174"/>
      <c r="B772" s="174"/>
      <c r="C772" s="174"/>
      <c r="D772" s="174"/>
      <c r="E772" s="174"/>
      <c r="F772" s="174"/>
      <c r="G772" s="174"/>
      <c r="H772" s="174"/>
      <c r="I772" s="174"/>
      <c r="J772" s="174"/>
      <c r="K772" s="174"/>
      <c r="L772" s="174"/>
      <c r="M772" s="174"/>
      <c r="N772" s="174"/>
      <c r="O772" s="174"/>
      <c r="P772" s="174"/>
      <c r="Q772" s="174"/>
      <c r="R772" s="174"/>
      <c r="S772" s="174"/>
      <c r="T772" s="174"/>
      <c r="U772" s="174"/>
      <c r="V772" s="174"/>
      <c r="W772" s="174"/>
      <c r="X772" s="174"/>
      <c r="Y772" s="174"/>
      <c r="Z772" s="174"/>
    </row>
    <row r="773" customFormat="false" ht="15.75" hidden="false" customHeight="false" outlineLevel="0" collapsed="false">
      <c r="A773" s="174"/>
      <c r="B773" s="174"/>
      <c r="C773" s="174"/>
      <c r="D773" s="174"/>
      <c r="E773" s="174"/>
      <c r="F773" s="174"/>
      <c r="G773" s="174"/>
      <c r="H773" s="174"/>
      <c r="I773" s="174"/>
      <c r="J773" s="174"/>
      <c r="K773" s="174"/>
      <c r="L773" s="174"/>
      <c r="M773" s="174"/>
      <c r="N773" s="174"/>
      <c r="O773" s="174"/>
      <c r="P773" s="174"/>
      <c r="Q773" s="174"/>
      <c r="R773" s="174"/>
      <c r="S773" s="174"/>
      <c r="T773" s="174"/>
      <c r="U773" s="174"/>
      <c r="V773" s="174"/>
      <c r="W773" s="174"/>
      <c r="X773" s="174"/>
      <c r="Y773" s="174"/>
      <c r="Z773" s="174"/>
    </row>
    <row r="774" customFormat="false" ht="15.75" hidden="false" customHeight="false" outlineLevel="0" collapsed="false">
      <c r="A774" s="174"/>
      <c r="B774" s="174"/>
      <c r="C774" s="174"/>
      <c r="D774" s="174"/>
      <c r="E774" s="174"/>
      <c r="F774" s="174"/>
      <c r="G774" s="174"/>
      <c r="H774" s="174"/>
      <c r="I774" s="174"/>
      <c r="J774" s="174"/>
      <c r="K774" s="174"/>
      <c r="L774" s="174"/>
      <c r="M774" s="174"/>
      <c r="N774" s="174"/>
      <c r="O774" s="174"/>
      <c r="P774" s="174"/>
      <c r="Q774" s="174"/>
      <c r="R774" s="174"/>
      <c r="S774" s="174"/>
      <c r="T774" s="174"/>
      <c r="U774" s="174"/>
      <c r="V774" s="174"/>
      <c r="W774" s="174"/>
      <c r="X774" s="174"/>
      <c r="Y774" s="174"/>
      <c r="Z774" s="174"/>
    </row>
    <row r="775" customFormat="false" ht="15.75" hidden="false" customHeight="false" outlineLevel="0" collapsed="false">
      <c r="A775" s="174"/>
      <c r="B775" s="174"/>
      <c r="C775" s="174"/>
      <c r="D775" s="174"/>
      <c r="E775" s="174"/>
      <c r="F775" s="174"/>
      <c r="G775" s="174"/>
      <c r="H775" s="174"/>
      <c r="I775" s="174"/>
      <c r="J775" s="174"/>
      <c r="K775" s="174"/>
      <c r="L775" s="174"/>
      <c r="M775" s="174"/>
      <c r="N775" s="174"/>
      <c r="O775" s="174"/>
      <c r="P775" s="174"/>
      <c r="Q775" s="174"/>
      <c r="R775" s="174"/>
      <c r="S775" s="174"/>
      <c r="T775" s="174"/>
      <c r="U775" s="174"/>
      <c r="V775" s="174"/>
      <c r="W775" s="174"/>
      <c r="X775" s="174"/>
      <c r="Y775" s="174"/>
      <c r="Z775" s="174"/>
    </row>
    <row r="776" customFormat="false" ht="15.75" hidden="false" customHeight="false" outlineLevel="0" collapsed="false">
      <c r="A776" s="174"/>
      <c r="B776" s="174"/>
      <c r="C776" s="174"/>
      <c r="D776" s="174"/>
      <c r="E776" s="174"/>
      <c r="F776" s="174"/>
      <c r="G776" s="174"/>
      <c r="H776" s="174"/>
      <c r="I776" s="174"/>
      <c r="J776" s="174"/>
      <c r="K776" s="174"/>
      <c r="L776" s="174"/>
      <c r="M776" s="174"/>
      <c r="N776" s="174"/>
      <c r="O776" s="174"/>
      <c r="P776" s="174"/>
      <c r="Q776" s="174"/>
      <c r="R776" s="174"/>
      <c r="S776" s="174"/>
      <c r="T776" s="174"/>
      <c r="U776" s="174"/>
      <c r="V776" s="174"/>
      <c r="W776" s="174"/>
      <c r="X776" s="174"/>
      <c r="Y776" s="174"/>
      <c r="Z776" s="174"/>
    </row>
    <row r="777" customFormat="false" ht="15.75" hidden="false" customHeight="false" outlineLevel="0" collapsed="false">
      <c r="A777" s="174"/>
      <c r="B777" s="174"/>
      <c r="C777" s="174"/>
      <c r="D777" s="174"/>
      <c r="E777" s="174"/>
      <c r="F777" s="174"/>
      <c r="G777" s="174"/>
      <c r="H777" s="174"/>
      <c r="I777" s="174"/>
      <c r="J777" s="174"/>
      <c r="K777" s="174"/>
      <c r="L777" s="174"/>
      <c r="M777" s="174"/>
      <c r="N777" s="174"/>
      <c r="O777" s="174"/>
      <c r="P777" s="174"/>
      <c r="Q777" s="174"/>
      <c r="R777" s="174"/>
      <c r="S777" s="174"/>
      <c r="T777" s="174"/>
      <c r="U777" s="174"/>
      <c r="V777" s="174"/>
      <c r="W777" s="174"/>
      <c r="X777" s="174"/>
      <c r="Y777" s="174"/>
      <c r="Z777" s="174"/>
    </row>
    <row r="778" customFormat="false" ht="15.75" hidden="false" customHeight="false" outlineLevel="0" collapsed="false">
      <c r="A778" s="174"/>
      <c r="B778" s="174"/>
      <c r="C778" s="174"/>
      <c r="D778" s="174"/>
      <c r="E778" s="174"/>
      <c r="F778" s="174"/>
      <c r="G778" s="174"/>
      <c r="H778" s="174"/>
      <c r="I778" s="174"/>
      <c r="J778" s="174"/>
      <c r="K778" s="174"/>
      <c r="L778" s="174"/>
      <c r="M778" s="174"/>
      <c r="N778" s="174"/>
      <c r="O778" s="174"/>
      <c r="P778" s="174"/>
      <c r="Q778" s="174"/>
      <c r="R778" s="174"/>
      <c r="S778" s="174"/>
      <c r="T778" s="174"/>
      <c r="U778" s="174"/>
      <c r="V778" s="174"/>
      <c r="W778" s="174"/>
      <c r="X778" s="174"/>
      <c r="Y778" s="174"/>
      <c r="Z778" s="174"/>
    </row>
    <row r="779" customFormat="false" ht="15.75" hidden="false" customHeight="false" outlineLevel="0" collapsed="false">
      <c r="A779" s="174"/>
      <c r="B779" s="174"/>
      <c r="C779" s="174"/>
      <c r="D779" s="174"/>
      <c r="E779" s="174"/>
      <c r="F779" s="174"/>
      <c r="G779" s="174"/>
      <c r="H779" s="174"/>
      <c r="I779" s="174"/>
      <c r="J779" s="174"/>
      <c r="K779" s="174"/>
      <c r="L779" s="174"/>
      <c r="M779" s="174"/>
      <c r="N779" s="174"/>
      <c r="O779" s="174"/>
      <c r="P779" s="174"/>
      <c r="Q779" s="174"/>
      <c r="R779" s="174"/>
      <c r="S779" s="174"/>
      <c r="T779" s="174"/>
      <c r="U779" s="174"/>
      <c r="V779" s="174"/>
      <c r="W779" s="174"/>
      <c r="X779" s="174"/>
      <c r="Y779" s="174"/>
      <c r="Z779" s="174"/>
    </row>
    <row r="780" customFormat="false" ht="15.75" hidden="false" customHeight="false" outlineLevel="0" collapsed="false">
      <c r="A780" s="174"/>
      <c r="B780" s="174"/>
      <c r="C780" s="174"/>
      <c r="D780" s="174"/>
      <c r="E780" s="174"/>
      <c r="F780" s="174"/>
      <c r="G780" s="174"/>
      <c r="H780" s="174"/>
      <c r="I780" s="174"/>
      <c r="J780" s="174"/>
      <c r="K780" s="174"/>
      <c r="L780" s="174"/>
      <c r="M780" s="174"/>
      <c r="N780" s="174"/>
      <c r="O780" s="174"/>
      <c r="P780" s="174"/>
      <c r="Q780" s="174"/>
      <c r="R780" s="174"/>
      <c r="S780" s="174"/>
      <c r="T780" s="174"/>
      <c r="U780" s="174"/>
      <c r="V780" s="174"/>
      <c r="W780" s="174"/>
      <c r="X780" s="174"/>
      <c r="Y780" s="174"/>
      <c r="Z780" s="174"/>
    </row>
    <row r="781" customFormat="false" ht="15.75" hidden="false" customHeight="false" outlineLevel="0" collapsed="false">
      <c r="A781" s="174"/>
      <c r="B781" s="174"/>
      <c r="C781" s="174"/>
      <c r="D781" s="174"/>
      <c r="E781" s="174"/>
      <c r="F781" s="174"/>
      <c r="G781" s="174"/>
      <c r="H781" s="174"/>
      <c r="I781" s="174"/>
      <c r="J781" s="174"/>
      <c r="K781" s="174"/>
      <c r="L781" s="174"/>
      <c r="M781" s="174"/>
      <c r="N781" s="174"/>
      <c r="O781" s="174"/>
      <c r="P781" s="174"/>
      <c r="Q781" s="174"/>
      <c r="R781" s="174"/>
      <c r="S781" s="174"/>
      <c r="T781" s="174"/>
      <c r="U781" s="174"/>
      <c r="V781" s="174"/>
      <c r="W781" s="174"/>
      <c r="X781" s="174"/>
      <c r="Y781" s="174"/>
      <c r="Z781" s="174"/>
    </row>
    <row r="782" customFormat="false" ht="15.75" hidden="false" customHeight="false" outlineLevel="0" collapsed="false">
      <c r="A782" s="174"/>
      <c r="B782" s="174"/>
      <c r="C782" s="174"/>
      <c r="D782" s="174"/>
      <c r="E782" s="174"/>
      <c r="F782" s="174"/>
      <c r="G782" s="174"/>
      <c r="H782" s="174"/>
      <c r="I782" s="174"/>
      <c r="J782" s="174"/>
      <c r="K782" s="174"/>
      <c r="L782" s="174"/>
      <c r="M782" s="174"/>
      <c r="N782" s="174"/>
      <c r="O782" s="174"/>
      <c r="P782" s="174"/>
      <c r="Q782" s="174"/>
      <c r="R782" s="174"/>
      <c r="S782" s="174"/>
      <c r="T782" s="174"/>
      <c r="U782" s="174"/>
      <c r="V782" s="174"/>
      <c r="W782" s="174"/>
      <c r="X782" s="174"/>
      <c r="Y782" s="174"/>
      <c r="Z782" s="174"/>
    </row>
    <row r="783" customFormat="false" ht="15.75" hidden="false" customHeight="false" outlineLevel="0" collapsed="false">
      <c r="A783" s="174"/>
      <c r="B783" s="174"/>
      <c r="C783" s="174"/>
      <c r="D783" s="174"/>
      <c r="E783" s="174"/>
      <c r="F783" s="174"/>
      <c r="G783" s="174"/>
      <c r="H783" s="174"/>
      <c r="I783" s="174"/>
      <c r="J783" s="174"/>
      <c r="K783" s="174"/>
      <c r="L783" s="174"/>
      <c r="M783" s="174"/>
      <c r="N783" s="174"/>
      <c r="O783" s="174"/>
      <c r="P783" s="174"/>
      <c r="Q783" s="174"/>
      <c r="R783" s="174"/>
      <c r="S783" s="174"/>
      <c r="T783" s="174"/>
      <c r="U783" s="174"/>
      <c r="V783" s="174"/>
      <c r="W783" s="174"/>
      <c r="X783" s="174"/>
      <c r="Y783" s="174"/>
      <c r="Z783" s="174"/>
    </row>
    <row r="784" customFormat="false" ht="15.75" hidden="false" customHeight="false" outlineLevel="0" collapsed="false">
      <c r="A784" s="174"/>
      <c r="B784" s="174"/>
      <c r="C784" s="174"/>
      <c r="D784" s="174"/>
      <c r="E784" s="174"/>
      <c r="F784" s="174"/>
      <c r="G784" s="174"/>
      <c r="H784" s="174"/>
      <c r="I784" s="174"/>
      <c r="J784" s="174"/>
      <c r="K784" s="174"/>
      <c r="L784" s="174"/>
      <c r="M784" s="174"/>
      <c r="N784" s="174"/>
      <c r="O784" s="174"/>
      <c r="P784" s="174"/>
      <c r="Q784" s="174"/>
      <c r="R784" s="174"/>
      <c r="S784" s="174"/>
      <c r="T784" s="174"/>
      <c r="U784" s="174"/>
      <c r="V784" s="174"/>
      <c r="W784" s="174"/>
      <c r="X784" s="174"/>
      <c r="Y784" s="174"/>
      <c r="Z784" s="174"/>
    </row>
    <row r="785" customFormat="false" ht="15.75" hidden="false" customHeight="false" outlineLevel="0" collapsed="false">
      <c r="A785" s="174"/>
      <c r="B785" s="174"/>
      <c r="C785" s="174"/>
      <c r="D785" s="174"/>
      <c r="E785" s="174"/>
      <c r="F785" s="174"/>
      <c r="G785" s="174"/>
      <c r="H785" s="174"/>
      <c r="I785" s="174"/>
      <c r="J785" s="174"/>
      <c r="K785" s="174"/>
      <c r="L785" s="174"/>
      <c r="M785" s="174"/>
      <c r="N785" s="174"/>
      <c r="O785" s="174"/>
      <c r="P785" s="174"/>
      <c r="Q785" s="174"/>
      <c r="R785" s="174"/>
      <c r="S785" s="174"/>
      <c r="T785" s="174"/>
      <c r="U785" s="174"/>
      <c r="V785" s="174"/>
      <c r="W785" s="174"/>
      <c r="X785" s="174"/>
      <c r="Y785" s="174"/>
      <c r="Z785" s="174"/>
    </row>
    <row r="786" customFormat="false" ht="15.75" hidden="false" customHeight="false" outlineLevel="0" collapsed="false">
      <c r="A786" s="174"/>
      <c r="B786" s="174"/>
      <c r="C786" s="174"/>
      <c r="D786" s="174"/>
      <c r="E786" s="174"/>
      <c r="F786" s="174"/>
      <c r="G786" s="174"/>
      <c r="H786" s="174"/>
      <c r="I786" s="174"/>
      <c r="J786" s="174"/>
      <c r="K786" s="174"/>
      <c r="L786" s="174"/>
      <c r="M786" s="174"/>
      <c r="N786" s="174"/>
      <c r="O786" s="174"/>
      <c r="P786" s="174"/>
      <c r="Q786" s="174"/>
      <c r="R786" s="174"/>
      <c r="S786" s="174"/>
      <c r="T786" s="174"/>
      <c r="U786" s="174"/>
      <c r="V786" s="174"/>
      <c r="W786" s="174"/>
      <c r="X786" s="174"/>
      <c r="Y786" s="174"/>
      <c r="Z786" s="174"/>
    </row>
    <row r="787" customFormat="false" ht="15.75" hidden="false" customHeight="false" outlineLevel="0" collapsed="false">
      <c r="A787" s="174"/>
      <c r="B787" s="174"/>
      <c r="C787" s="174"/>
      <c r="D787" s="174"/>
      <c r="E787" s="174"/>
      <c r="F787" s="174"/>
      <c r="G787" s="174"/>
      <c r="H787" s="174"/>
      <c r="I787" s="174"/>
      <c r="J787" s="174"/>
      <c r="K787" s="174"/>
      <c r="L787" s="174"/>
      <c r="M787" s="174"/>
      <c r="N787" s="174"/>
      <c r="O787" s="174"/>
      <c r="P787" s="174"/>
      <c r="Q787" s="174"/>
      <c r="R787" s="174"/>
      <c r="S787" s="174"/>
      <c r="T787" s="174"/>
      <c r="U787" s="174"/>
      <c r="V787" s="174"/>
      <c r="W787" s="174"/>
      <c r="X787" s="174"/>
      <c r="Y787" s="174"/>
      <c r="Z787" s="174"/>
    </row>
    <row r="788" customFormat="false" ht="15.75" hidden="false" customHeight="false" outlineLevel="0" collapsed="false">
      <c r="A788" s="174"/>
      <c r="B788" s="174"/>
      <c r="C788" s="174"/>
      <c r="D788" s="174"/>
      <c r="E788" s="174"/>
      <c r="F788" s="174"/>
      <c r="G788" s="174"/>
      <c r="H788" s="174"/>
      <c r="I788" s="174"/>
      <c r="J788" s="174"/>
      <c r="K788" s="174"/>
      <c r="L788" s="174"/>
      <c r="M788" s="174"/>
      <c r="N788" s="174"/>
      <c r="O788" s="174"/>
      <c r="P788" s="174"/>
      <c r="Q788" s="174"/>
      <c r="R788" s="174"/>
      <c r="S788" s="174"/>
      <c r="T788" s="174"/>
      <c r="U788" s="174"/>
      <c r="V788" s="174"/>
      <c r="W788" s="174"/>
      <c r="X788" s="174"/>
      <c r="Y788" s="174"/>
      <c r="Z788" s="174"/>
    </row>
    <row r="789" customFormat="false" ht="15.75" hidden="false" customHeight="false" outlineLevel="0" collapsed="false">
      <c r="A789" s="174"/>
      <c r="B789" s="174"/>
      <c r="C789" s="174"/>
      <c r="D789" s="174"/>
      <c r="E789" s="174"/>
      <c r="F789" s="174"/>
      <c r="G789" s="174"/>
      <c r="H789" s="174"/>
      <c r="I789" s="174"/>
      <c r="J789" s="174"/>
      <c r="K789" s="174"/>
      <c r="L789" s="174"/>
      <c r="M789" s="174"/>
      <c r="N789" s="174"/>
      <c r="O789" s="174"/>
      <c r="P789" s="174"/>
      <c r="Q789" s="174"/>
      <c r="R789" s="174"/>
      <c r="S789" s="174"/>
      <c r="T789" s="174"/>
      <c r="U789" s="174"/>
      <c r="V789" s="174"/>
      <c r="W789" s="174"/>
      <c r="X789" s="174"/>
      <c r="Y789" s="174"/>
      <c r="Z789" s="174"/>
    </row>
    <row r="790" customFormat="false" ht="15.75" hidden="false" customHeight="false" outlineLevel="0" collapsed="false">
      <c r="A790" s="174"/>
      <c r="B790" s="174"/>
      <c r="C790" s="174"/>
      <c r="D790" s="174"/>
      <c r="E790" s="174"/>
      <c r="F790" s="174"/>
      <c r="G790" s="174"/>
      <c r="H790" s="174"/>
      <c r="I790" s="174"/>
      <c r="J790" s="174"/>
      <c r="K790" s="174"/>
      <c r="L790" s="174"/>
      <c r="M790" s="174"/>
      <c r="N790" s="174"/>
      <c r="O790" s="174"/>
      <c r="P790" s="174"/>
      <c r="Q790" s="174"/>
      <c r="R790" s="174"/>
      <c r="S790" s="174"/>
      <c r="T790" s="174"/>
      <c r="U790" s="174"/>
      <c r="V790" s="174"/>
      <c r="W790" s="174"/>
      <c r="X790" s="174"/>
      <c r="Y790" s="174"/>
      <c r="Z790" s="174"/>
    </row>
    <row r="791" customFormat="false" ht="15.75" hidden="false" customHeight="false" outlineLevel="0" collapsed="false">
      <c r="A791" s="174"/>
      <c r="B791" s="174"/>
      <c r="C791" s="174"/>
      <c r="D791" s="174"/>
      <c r="E791" s="174"/>
      <c r="F791" s="174"/>
      <c r="G791" s="174"/>
      <c r="H791" s="174"/>
      <c r="I791" s="174"/>
      <c r="J791" s="174"/>
      <c r="K791" s="174"/>
      <c r="L791" s="174"/>
      <c r="M791" s="174"/>
      <c r="N791" s="174"/>
      <c r="O791" s="174"/>
      <c r="P791" s="174"/>
      <c r="Q791" s="174"/>
      <c r="R791" s="174"/>
      <c r="S791" s="174"/>
      <c r="T791" s="174"/>
      <c r="U791" s="174"/>
      <c r="V791" s="174"/>
      <c r="W791" s="174"/>
      <c r="X791" s="174"/>
      <c r="Y791" s="174"/>
      <c r="Z791" s="174"/>
    </row>
    <row r="792" customFormat="false" ht="15.75" hidden="false" customHeight="false" outlineLevel="0" collapsed="false">
      <c r="A792" s="174"/>
      <c r="B792" s="174"/>
      <c r="C792" s="174"/>
      <c r="D792" s="174"/>
      <c r="E792" s="174"/>
      <c r="F792" s="174"/>
      <c r="G792" s="174"/>
      <c r="H792" s="174"/>
      <c r="I792" s="174"/>
      <c r="J792" s="174"/>
      <c r="K792" s="174"/>
      <c r="L792" s="174"/>
      <c r="M792" s="174"/>
      <c r="N792" s="174"/>
      <c r="O792" s="174"/>
      <c r="P792" s="174"/>
      <c r="Q792" s="174"/>
      <c r="R792" s="174"/>
      <c r="S792" s="174"/>
      <c r="T792" s="174"/>
      <c r="U792" s="174"/>
      <c r="V792" s="174"/>
      <c r="W792" s="174"/>
      <c r="X792" s="174"/>
      <c r="Y792" s="174"/>
      <c r="Z792" s="174"/>
    </row>
    <row r="793" customFormat="false" ht="15.75" hidden="false" customHeight="false" outlineLevel="0" collapsed="false">
      <c r="A793" s="174"/>
      <c r="B793" s="174"/>
      <c r="C793" s="174"/>
      <c r="D793" s="174"/>
      <c r="E793" s="174"/>
      <c r="F793" s="174"/>
      <c r="G793" s="174"/>
      <c r="H793" s="174"/>
      <c r="I793" s="174"/>
      <c r="J793" s="174"/>
      <c r="K793" s="174"/>
      <c r="L793" s="174"/>
      <c r="M793" s="174"/>
      <c r="N793" s="174"/>
      <c r="O793" s="174"/>
      <c r="P793" s="174"/>
      <c r="Q793" s="174"/>
      <c r="R793" s="174"/>
      <c r="S793" s="174"/>
      <c r="T793" s="174"/>
      <c r="U793" s="174"/>
      <c r="V793" s="174"/>
      <c r="W793" s="174"/>
      <c r="X793" s="174"/>
      <c r="Y793" s="174"/>
      <c r="Z793" s="174"/>
    </row>
    <row r="794" customFormat="false" ht="15.75" hidden="false" customHeight="false" outlineLevel="0" collapsed="false">
      <c r="A794" s="174"/>
      <c r="B794" s="174"/>
      <c r="C794" s="174"/>
      <c r="D794" s="174"/>
      <c r="E794" s="174"/>
      <c r="F794" s="174"/>
      <c r="G794" s="174"/>
      <c r="H794" s="174"/>
      <c r="I794" s="174"/>
      <c r="J794" s="174"/>
      <c r="K794" s="174"/>
      <c r="L794" s="174"/>
      <c r="M794" s="174"/>
      <c r="N794" s="174"/>
      <c r="O794" s="174"/>
      <c r="P794" s="174"/>
      <c r="Q794" s="174"/>
      <c r="R794" s="174"/>
      <c r="S794" s="174"/>
      <c r="T794" s="174"/>
      <c r="U794" s="174"/>
      <c r="V794" s="174"/>
      <c r="W794" s="174"/>
      <c r="X794" s="174"/>
      <c r="Y794" s="174"/>
      <c r="Z794" s="174"/>
    </row>
    <row r="795" customFormat="false" ht="15.75" hidden="false" customHeight="false" outlineLevel="0" collapsed="false">
      <c r="A795" s="174"/>
      <c r="B795" s="174"/>
      <c r="C795" s="174"/>
      <c r="D795" s="174"/>
      <c r="E795" s="174"/>
      <c r="F795" s="174"/>
      <c r="G795" s="174"/>
      <c r="H795" s="174"/>
      <c r="I795" s="174"/>
      <c r="J795" s="174"/>
      <c r="K795" s="174"/>
      <c r="L795" s="174"/>
      <c r="M795" s="174"/>
      <c r="N795" s="174"/>
      <c r="O795" s="174"/>
      <c r="P795" s="174"/>
      <c r="Q795" s="174"/>
      <c r="R795" s="174"/>
      <c r="S795" s="174"/>
      <c r="T795" s="174"/>
      <c r="U795" s="174"/>
      <c r="V795" s="174"/>
      <c r="W795" s="174"/>
      <c r="X795" s="174"/>
      <c r="Y795" s="174"/>
      <c r="Z795" s="174"/>
    </row>
    <row r="796" customFormat="false" ht="15.75" hidden="false" customHeight="false" outlineLevel="0" collapsed="false">
      <c r="A796" s="174"/>
      <c r="B796" s="174"/>
      <c r="C796" s="174"/>
      <c r="D796" s="174"/>
      <c r="E796" s="174"/>
      <c r="F796" s="174"/>
      <c r="G796" s="174"/>
      <c r="H796" s="174"/>
      <c r="I796" s="174"/>
      <c r="J796" s="174"/>
      <c r="K796" s="174"/>
      <c r="L796" s="174"/>
      <c r="M796" s="174"/>
      <c r="N796" s="174"/>
      <c r="O796" s="174"/>
      <c r="P796" s="174"/>
      <c r="Q796" s="174"/>
      <c r="R796" s="174"/>
      <c r="S796" s="174"/>
      <c r="T796" s="174"/>
      <c r="U796" s="174"/>
      <c r="V796" s="174"/>
      <c r="W796" s="174"/>
      <c r="X796" s="174"/>
      <c r="Y796" s="174"/>
      <c r="Z796" s="174"/>
    </row>
    <row r="797" customFormat="false" ht="15.75" hidden="false" customHeight="false" outlineLevel="0" collapsed="false">
      <c r="A797" s="174"/>
      <c r="B797" s="174"/>
      <c r="C797" s="174"/>
      <c r="D797" s="174"/>
      <c r="E797" s="174"/>
      <c r="F797" s="174"/>
      <c r="G797" s="174"/>
      <c r="H797" s="174"/>
      <c r="I797" s="174"/>
      <c r="J797" s="174"/>
      <c r="K797" s="174"/>
      <c r="L797" s="174"/>
      <c r="M797" s="174"/>
      <c r="N797" s="174"/>
      <c r="O797" s="174"/>
      <c r="P797" s="174"/>
      <c r="Q797" s="174"/>
      <c r="R797" s="174"/>
      <c r="S797" s="174"/>
      <c r="T797" s="174"/>
      <c r="U797" s="174"/>
      <c r="V797" s="174"/>
      <c r="W797" s="174"/>
      <c r="X797" s="174"/>
      <c r="Y797" s="174"/>
      <c r="Z797" s="174"/>
    </row>
    <row r="798" customFormat="false" ht="15.75" hidden="false" customHeight="false" outlineLevel="0" collapsed="false">
      <c r="A798" s="174"/>
      <c r="B798" s="174"/>
      <c r="C798" s="174"/>
      <c r="D798" s="174"/>
      <c r="E798" s="174"/>
      <c r="F798" s="174"/>
      <c r="G798" s="174"/>
      <c r="H798" s="174"/>
      <c r="I798" s="174"/>
      <c r="J798" s="174"/>
      <c r="K798" s="174"/>
      <c r="L798" s="174"/>
      <c r="M798" s="174"/>
      <c r="N798" s="174"/>
      <c r="O798" s="174"/>
      <c r="P798" s="174"/>
      <c r="Q798" s="174"/>
      <c r="R798" s="174"/>
      <c r="S798" s="174"/>
      <c r="T798" s="174"/>
      <c r="U798" s="174"/>
      <c r="V798" s="174"/>
      <c r="W798" s="174"/>
      <c r="X798" s="174"/>
      <c r="Y798" s="174"/>
      <c r="Z798" s="174"/>
    </row>
    <row r="799" customFormat="false" ht="15.75" hidden="false" customHeight="false" outlineLevel="0" collapsed="false">
      <c r="A799" s="174"/>
      <c r="B799" s="174"/>
      <c r="C799" s="174"/>
      <c r="D799" s="174"/>
      <c r="E799" s="174"/>
      <c r="F799" s="174"/>
      <c r="G799" s="174"/>
      <c r="H799" s="174"/>
      <c r="I799" s="174"/>
      <c r="J799" s="174"/>
      <c r="K799" s="174"/>
      <c r="L799" s="174"/>
      <c r="M799" s="174"/>
      <c r="N799" s="174"/>
      <c r="O799" s="174"/>
      <c r="P799" s="174"/>
      <c r="Q799" s="174"/>
      <c r="R799" s="174"/>
      <c r="S799" s="174"/>
      <c r="T799" s="174"/>
      <c r="U799" s="174"/>
      <c r="V799" s="174"/>
      <c r="W799" s="174"/>
      <c r="X799" s="174"/>
      <c r="Y799" s="174"/>
      <c r="Z799" s="174"/>
    </row>
    <row r="800" customFormat="false" ht="15.75" hidden="false" customHeight="false" outlineLevel="0" collapsed="false">
      <c r="A800" s="174"/>
      <c r="B800" s="174"/>
      <c r="C800" s="174"/>
      <c r="D800" s="174"/>
      <c r="E800" s="174"/>
      <c r="F800" s="174"/>
      <c r="G800" s="174"/>
      <c r="H800" s="174"/>
      <c r="I800" s="174"/>
      <c r="J800" s="174"/>
      <c r="K800" s="174"/>
      <c r="L800" s="174"/>
      <c r="M800" s="174"/>
      <c r="N800" s="174"/>
      <c r="O800" s="174"/>
      <c r="P800" s="174"/>
      <c r="Q800" s="174"/>
      <c r="R800" s="174"/>
      <c r="S800" s="174"/>
      <c r="T800" s="174"/>
      <c r="U800" s="174"/>
      <c r="V800" s="174"/>
      <c r="W800" s="174"/>
      <c r="X800" s="174"/>
      <c r="Y800" s="174"/>
      <c r="Z800" s="174"/>
    </row>
    <row r="801" customFormat="false" ht="15.75" hidden="false" customHeight="false" outlineLevel="0" collapsed="false">
      <c r="A801" s="174"/>
      <c r="B801" s="174"/>
      <c r="C801" s="174"/>
      <c r="D801" s="174"/>
      <c r="E801" s="174"/>
      <c r="F801" s="174"/>
      <c r="G801" s="174"/>
      <c r="H801" s="174"/>
      <c r="I801" s="174"/>
      <c r="J801" s="174"/>
      <c r="K801" s="174"/>
      <c r="L801" s="174"/>
      <c r="M801" s="174"/>
      <c r="N801" s="174"/>
      <c r="O801" s="174"/>
      <c r="P801" s="174"/>
      <c r="Q801" s="174"/>
      <c r="R801" s="174"/>
      <c r="S801" s="174"/>
      <c r="T801" s="174"/>
      <c r="U801" s="174"/>
      <c r="V801" s="174"/>
      <c r="W801" s="174"/>
      <c r="X801" s="174"/>
      <c r="Y801" s="174"/>
      <c r="Z801" s="174"/>
    </row>
    <row r="802" customFormat="false" ht="15.75" hidden="false" customHeight="false" outlineLevel="0" collapsed="false">
      <c r="A802" s="174"/>
      <c r="B802" s="174"/>
      <c r="C802" s="174"/>
      <c r="D802" s="174"/>
      <c r="E802" s="174"/>
      <c r="F802" s="174"/>
      <c r="G802" s="174"/>
      <c r="H802" s="174"/>
      <c r="I802" s="174"/>
      <c r="J802" s="174"/>
      <c r="K802" s="174"/>
      <c r="L802" s="174"/>
      <c r="M802" s="174"/>
      <c r="N802" s="174"/>
      <c r="O802" s="174"/>
      <c r="P802" s="174"/>
      <c r="Q802" s="174"/>
      <c r="R802" s="174"/>
      <c r="S802" s="174"/>
      <c r="T802" s="174"/>
      <c r="U802" s="174"/>
      <c r="V802" s="174"/>
      <c r="W802" s="174"/>
      <c r="X802" s="174"/>
      <c r="Y802" s="174"/>
      <c r="Z802" s="174"/>
    </row>
    <row r="803" customFormat="false" ht="15.75" hidden="false" customHeight="false" outlineLevel="0" collapsed="false">
      <c r="A803" s="174"/>
      <c r="B803" s="174"/>
      <c r="C803" s="174"/>
      <c r="D803" s="174"/>
      <c r="E803" s="174"/>
      <c r="F803" s="174"/>
      <c r="G803" s="174"/>
      <c r="H803" s="174"/>
      <c r="I803" s="174"/>
      <c r="J803" s="174"/>
      <c r="K803" s="174"/>
      <c r="L803" s="174"/>
      <c r="M803" s="174"/>
      <c r="N803" s="174"/>
      <c r="O803" s="174"/>
      <c r="P803" s="174"/>
      <c r="Q803" s="174"/>
      <c r="R803" s="174"/>
      <c r="S803" s="174"/>
      <c r="T803" s="174"/>
      <c r="U803" s="174"/>
      <c r="V803" s="174"/>
      <c r="W803" s="174"/>
      <c r="X803" s="174"/>
      <c r="Y803" s="174"/>
      <c r="Z803" s="174"/>
    </row>
    <row r="804" customFormat="false" ht="15.75" hidden="false" customHeight="false" outlineLevel="0" collapsed="false">
      <c r="A804" s="174"/>
      <c r="B804" s="174"/>
      <c r="C804" s="174"/>
      <c r="D804" s="174"/>
      <c r="E804" s="174"/>
      <c r="F804" s="174"/>
      <c r="G804" s="174"/>
      <c r="H804" s="174"/>
      <c r="I804" s="174"/>
      <c r="J804" s="174"/>
      <c r="K804" s="174"/>
      <c r="L804" s="174"/>
      <c r="M804" s="174"/>
      <c r="N804" s="174"/>
      <c r="O804" s="174"/>
      <c r="P804" s="174"/>
      <c r="Q804" s="174"/>
      <c r="R804" s="174"/>
      <c r="S804" s="174"/>
      <c r="T804" s="174"/>
      <c r="U804" s="174"/>
      <c r="V804" s="174"/>
      <c r="W804" s="174"/>
      <c r="X804" s="174"/>
      <c r="Y804" s="174"/>
      <c r="Z804" s="174"/>
    </row>
    <row r="805" customFormat="false" ht="15.75" hidden="false" customHeight="false" outlineLevel="0" collapsed="false">
      <c r="A805" s="174"/>
      <c r="B805" s="174"/>
      <c r="C805" s="174"/>
      <c r="D805" s="174"/>
      <c r="E805" s="174"/>
      <c r="F805" s="174"/>
      <c r="G805" s="174"/>
      <c r="H805" s="174"/>
      <c r="I805" s="174"/>
      <c r="J805" s="174"/>
      <c r="K805" s="174"/>
      <c r="L805" s="174"/>
      <c r="M805" s="174"/>
      <c r="N805" s="174"/>
      <c r="O805" s="174"/>
      <c r="P805" s="174"/>
      <c r="Q805" s="174"/>
      <c r="R805" s="174"/>
      <c r="S805" s="174"/>
      <c r="T805" s="174"/>
      <c r="U805" s="174"/>
      <c r="V805" s="174"/>
      <c r="W805" s="174"/>
      <c r="X805" s="174"/>
      <c r="Y805" s="174"/>
      <c r="Z805" s="174"/>
    </row>
    <row r="806" customFormat="false" ht="15.75" hidden="false" customHeight="false" outlineLevel="0" collapsed="false">
      <c r="A806" s="174"/>
      <c r="B806" s="174"/>
      <c r="C806" s="174"/>
      <c r="D806" s="174"/>
      <c r="E806" s="174"/>
      <c r="F806" s="174"/>
      <c r="G806" s="174"/>
      <c r="H806" s="174"/>
      <c r="I806" s="174"/>
      <c r="J806" s="174"/>
      <c r="K806" s="174"/>
      <c r="L806" s="174"/>
      <c r="M806" s="174"/>
      <c r="N806" s="174"/>
      <c r="O806" s="174"/>
      <c r="P806" s="174"/>
      <c r="Q806" s="174"/>
      <c r="R806" s="174"/>
      <c r="S806" s="174"/>
      <c r="T806" s="174"/>
      <c r="U806" s="174"/>
      <c r="V806" s="174"/>
      <c r="W806" s="174"/>
      <c r="X806" s="174"/>
      <c r="Y806" s="174"/>
      <c r="Z806" s="174"/>
    </row>
    <row r="807" customFormat="false" ht="15.75" hidden="false" customHeight="false" outlineLevel="0" collapsed="false">
      <c r="A807" s="174"/>
      <c r="B807" s="174"/>
      <c r="C807" s="174"/>
      <c r="D807" s="174"/>
      <c r="E807" s="174"/>
      <c r="F807" s="174"/>
      <c r="G807" s="174"/>
      <c r="H807" s="174"/>
      <c r="I807" s="174"/>
      <c r="J807" s="174"/>
      <c r="K807" s="174"/>
      <c r="L807" s="174"/>
      <c r="M807" s="174"/>
      <c r="N807" s="174"/>
      <c r="O807" s="174"/>
      <c r="P807" s="174"/>
      <c r="Q807" s="174"/>
      <c r="R807" s="174"/>
      <c r="S807" s="174"/>
      <c r="T807" s="174"/>
      <c r="U807" s="174"/>
      <c r="V807" s="174"/>
      <c r="W807" s="174"/>
      <c r="X807" s="174"/>
      <c r="Y807" s="174"/>
      <c r="Z807" s="174"/>
    </row>
    <row r="808" customFormat="false" ht="15.75" hidden="false" customHeight="false" outlineLevel="0" collapsed="false">
      <c r="A808" s="174"/>
      <c r="B808" s="174"/>
      <c r="C808" s="174"/>
      <c r="D808" s="174"/>
      <c r="E808" s="174"/>
      <c r="F808" s="174"/>
      <c r="G808" s="174"/>
      <c r="H808" s="174"/>
      <c r="I808" s="174"/>
      <c r="J808" s="174"/>
      <c r="K808" s="174"/>
      <c r="L808" s="174"/>
      <c r="M808" s="174"/>
      <c r="N808" s="174"/>
      <c r="O808" s="174"/>
      <c r="P808" s="174"/>
      <c r="Q808" s="174"/>
      <c r="R808" s="174"/>
      <c r="S808" s="174"/>
      <c r="T808" s="174"/>
      <c r="U808" s="174"/>
      <c r="V808" s="174"/>
      <c r="W808" s="174"/>
      <c r="X808" s="174"/>
      <c r="Y808" s="174"/>
      <c r="Z808" s="174"/>
    </row>
    <row r="809" customFormat="false" ht="15.75" hidden="false" customHeight="false" outlineLevel="0" collapsed="false">
      <c r="A809" s="174"/>
      <c r="B809" s="174"/>
      <c r="C809" s="174"/>
      <c r="D809" s="174"/>
      <c r="E809" s="174"/>
      <c r="F809" s="174"/>
      <c r="G809" s="174"/>
      <c r="H809" s="174"/>
      <c r="I809" s="174"/>
      <c r="J809" s="174"/>
      <c r="K809" s="174"/>
      <c r="L809" s="174"/>
      <c r="M809" s="174"/>
      <c r="N809" s="174"/>
      <c r="O809" s="174"/>
      <c r="P809" s="174"/>
      <c r="Q809" s="174"/>
      <c r="R809" s="174"/>
      <c r="S809" s="174"/>
      <c r="T809" s="174"/>
      <c r="U809" s="174"/>
      <c r="V809" s="174"/>
      <c r="W809" s="174"/>
      <c r="X809" s="174"/>
      <c r="Y809" s="174"/>
      <c r="Z809" s="174"/>
    </row>
    <row r="810" customFormat="false" ht="15.75" hidden="false" customHeight="false" outlineLevel="0" collapsed="false">
      <c r="A810" s="174"/>
      <c r="B810" s="174"/>
      <c r="C810" s="174"/>
      <c r="D810" s="174"/>
      <c r="E810" s="174"/>
      <c r="F810" s="174"/>
      <c r="G810" s="174"/>
      <c r="H810" s="174"/>
      <c r="I810" s="174"/>
      <c r="J810" s="174"/>
      <c r="K810" s="174"/>
      <c r="L810" s="174"/>
      <c r="M810" s="174"/>
      <c r="N810" s="174"/>
      <c r="O810" s="174"/>
      <c r="P810" s="174"/>
      <c r="Q810" s="174"/>
      <c r="R810" s="174"/>
      <c r="S810" s="174"/>
      <c r="T810" s="174"/>
      <c r="U810" s="174"/>
      <c r="V810" s="174"/>
      <c r="W810" s="174"/>
      <c r="X810" s="174"/>
      <c r="Y810" s="174"/>
      <c r="Z810" s="174"/>
    </row>
    <row r="811" customFormat="false" ht="15.75" hidden="false" customHeight="false" outlineLevel="0" collapsed="false">
      <c r="A811" s="174"/>
      <c r="B811" s="174"/>
      <c r="C811" s="174"/>
      <c r="D811" s="174"/>
      <c r="E811" s="174"/>
      <c r="F811" s="174"/>
      <c r="G811" s="174"/>
      <c r="H811" s="174"/>
      <c r="I811" s="174"/>
      <c r="J811" s="174"/>
      <c r="K811" s="174"/>
      <c r="L811" s="174"/>
      <c r="M811" s="174"/>
      <c r="N811" s="174"/>
      <c r="O811" s="174"/>
      <c r="P811" s="174"/>
      <c r="Q811" s="174"/>
      <c r="R811" s="174"/>
      <c r="S811" s="174"/>
      <c r="T811" s="174"/>
      <c r="U811" s="174"/>
      <c r="V811" s="174"/>
      <c r="W811" s="174"/>
      <c r="X811" s="174"/>
      <c r="Y811" s="174"/>
      <c r="Z811" s="174"/>
    </row>
    <row r="812" customFormat="false" ht="15.75" hidden="false" customHeight="false" outlineLevel="0" collapsed="false">
      <c r="A812" s="174"/>
      <c r="B812" s="174"/>
      <c r="C812" s="174"/>
      <c r="D812" s="174"/>
      <c r="E812" s="174"/>
      <c r="F812" s="174"/>
      <c r="G812" s="174"/>
      <c r="H812" s="174"/>
      <c r="I812" s="174"/>
      <c r="J812" s="174"/>
      <c r="K812" s="174"/>
      <c r="L812" s="174"/>
      <c r="M812" s="174"/>
      <c r="N812" s="174"/>
      <c r="O812" s="174"/>
      <c r="P812" s="174"/>
      <c r="Q812" s="174"/>
      <c r="R812" s="174"/>
      <c r="S812" s="174"/>
      <c r="T812" s="174"/>
      <c r="U812" s="174"/>
      <c r="V812" s="174"/>
      <c r="W812" s="174"/>
      <c r="X812" s="174"/>
      <c r="Y812" s="174"/>
      <c r="Z812" s="174"/>
    </row>
    <row r="813" customFormat="false" ht="15.75" hidden="false" customHeight="false" outlineLevel="0" collapsed="false">
      <c r="A813" s="174"/>
      <c r="B813" s="174"/>
      <c r="C813" s="174"/>
      <c r="D813" s="174"/>
      <c r="E813" s="174"/>
      <c r="F813" s="174"/>
      <c r="G813" s="174"/>
      <c r="H813" s="174"/>
      <c r="I813" s="174"/>
      <c r="J813" s="174"/>
      <c r="K813" s="174"/>
      <c r="L813" s="174"/>
      <c r="M813" s="174"/>
      <c r="N813" s="174"/>
      <c r="O813" s="174"/>
      <c r="P813" s="174"/>
      <c r="Q813" s="174"/>
      <c r="R813" s="174"/>
      <c r="S813" s="174"/>
      <c r="T813" s="174"/>
      <c r="U813" s="174"/>
      <c r="V813" s="174"/>
      <c r="W813" s="174"/>
      <c r="X813" s="174"/>
      <c r="Y813" s="174"/>
      <c r="Z813" s="174"/>
    </row>
    <row r="814" customFormat="false" ht="15.75" hidden="false" customHeight="false" outlineLevel="0" collapsed="false">
      <c r="A814" s="174"/>
      <c r="B814" s="174"/>
      <c r="C814" s="174"/>
      <c r="D814" s="174"/>
      <c r="E814" s="174"/>
      <c r="F814" s="174"/>
      <c r="G814" s="174"/>
      <c r="H814" s="174"/>
      <c r="I814" s="174"/>
      <c r="J814" s="174"/>
      <c r="K814" s="174"/>
      <c r="L814" s="174"/>
      <c r="M814" s="174"/>
      <c r="N814" s="174"/>
      <c r="O814" s="174"/>
      <c r="P814" s="174"/>
      <c r="Q814" s="174"/>
      <c r="R814" s="174"/>
      <c r="S814" s="174"/>
      <c r="T814" s="174"/>
      <c r="U814" s="174"/>
      <c r="V814" s="174"/>
      <c r="W814" s="174"/>
      <c r="X814" s="174"/>
      <c r="Y814" s="174"/>
      <c r="Z814" s="174"/>
    </row>
    <row r="815" customFormat="false" ht="15.75" hidden="false" customHeight="false" outlineLevel="0" collapsed="false">
      <c r="A815" s="174"/>
      <c r="B815" s="174"/>
      <c r="C815" s="174"/>
      <c r="D815" s="174"/>
      <c r="E815" s="174"/>
      <c r="F815" s="174"/>
      <c r="G815" s="174"/>
      <c r="H815" s="174"/>
      <c r="I815" s="174"/>
      <c r="J815" s="174"/>
      <c r="K815" s="174"/>
      <c r="L815" s="174"/>
      <c r="M815" s="174"/>
      <c r="N815" s="174"/>
      <c r="O815" s="174"/>
      <c r="P815" s="174"/>
      <c r="Q815" s="174"/>
      <c r="R815" s="174"/>
      <c r="S815" s="174"/>
      <c r="T815" s="174"/>
      <c r="U815" s="174"/>
      <c r="V815" s="174"/>
      <c r="W815" s="174"/>
      <c r="X815" s="174"/>
      <c r="Y815" s="174"/>
      <c r="Z815" s="174"/>
    </row>
    <row r="816" customFormat="false" ht="15.75" hidden="false" customHeight="false" outlineLevel="0" collapsed="false">
      <c r="A816" s="174"/>
      <c r="B816" s="174"/>
      <c r="C816" s="174"/>
      <c r="D816" s="174"/>
      <c r="E816" s="174"/>
      <c r="F816" s="174"/>
      <c r="G816" s="174"/>
      <c r="H816" s="174"/>
      <c r="I816" s="174"/>
      <c r="J816" s="174"/>
      <c r="K816" s="174"/>
      <c r="L816" s="174"/>
      <c r="M816" s="174"/>
      <c r="N816" s="174"/>
      <c r="O816" s="174"/>
      <c r="P816" s="174"/>
      <c r="Q816" s="174"/>
      <c r="R816" s="174"/>
      <c r="S816" s="174"/>
      <c r="T816" s="174"/>
      <c r="U816" s="174"/>
      <c r="V816" s="174"/>
      <c r="W816" s="174"/>
      <c r="X816" s="174"/>
      <c r="Y816" s="174"/>
      <c r="Z816" s="174"/>
    </row>
    <row r="817" customFormat="false" ht="15.75" hidden="false" customHeight="false" outlineLevel="0" collapsed="false">
      <c r="A817" s="174"/>
      <c r="B817" s="174"/>
      <c r="C817" s="174"/>
      <c r="D817" s="174"/>
      <c r="E817" s="174"/>
      <c r="F817" s="174"/>
      <c r="G817" s="174"/>
      <c r="H817" s="174"/>
      <c r="I817" s="174"/>
      <c r="J817" s="174"/>
      <c r="K817" s="174"/>
      <c r="L817" s="174"/>
      <c r="M817" s="174"/>
      <c r="N817" s="174"/>
      <c r="O817" s="174"/>
      <c r="P817" s="174"/>
      <c r="Q817" s="174"/>
      <c r="R817" s="174"/>
      <c r="S817" s="174"/>
      <c r="T817" s="174"/>
      <c r="U817" s="174"/>
      <c r="V817" s="174"/>
      <c r="W817" s="174"/>
      <c r="X817" s="174"/>
      <c r="Y817" s="174"/>
      <c r="Z817" s="174"/>
    </row>
    <row r="818" customFormat="false" ht="15.75" hidden="false" customHeight="false" outlineLevel="0" collapsed="false">
      <c r="A818" s="174"/>
      <c r="B818" s="174"/>
      <c r="C818" s="174"/>
      <c r="D818" s="174"/>
      <c r="E818" s="174"/>
      <c r="F818" s="174"/>
      <c r="G818" s="174"/>
      <c r="H818" s="174"/>
      <c r="I818" s="174"/>
      <c r="J818" s="174"/>
      <c r="K818" s="174"/>
      <c r="L818" s="174"/>
      <c r="M818" s="174"/>
      <c r="N818" s="174"/>
      <c r="O818" s="174"/>
      <c r="P818" s="174"/>
      <c r="Q818" s="174"/>
      <c r="R818" s="174"/>
      <c r="S818" s="174"/>
      <c r="T818" s="174"/>
      <c r="U818" s="174"/>
      <c r="V818" s="174"/>
      <c r="W818" s="174"/>
      <c r="X818" s="174"/>
      <c r="Y818" s="174"/>
      <c r="Z818" s="174"/>
    </row>
    <row r="819" customFormat="false" ht="15.75" hidden="false" customHeight="false" outlineLevel="0" collapsed="false">
      <c r="A819" s="174"/>
      <c r="B819" s="174"/>
      <c r="C819" s="174"/>
      <c r="D819" s="174"/>
      <c r="E819" s="174"/>
      <c r="F819" s="174"/>
      <c r="G819" s="174"/>
      <c r="H819" s="174"/>
      <c r="I819" s="174"/>
      <c r="J819" s="174"/>
      <c r="K819" s="174"/>
      <c r="L819" s="174"/>
      <c r="M819" s="174"/>
      <c r="N819" s="174"/>
      <c r="O819" s="174"/>
      <c r="P819" s="174"/>
      <c r="Q819" s="174"/>
      <c r="R819" s="174"/>
      <c r="S819" s="174"/>
      <c r="T819" s="174"/>
      <c r="U819" s="174"/>
      <c r="V819" s="174"/>
      <c r="W819" s="174"/>
      <c r="X819" s="174"/>
      <c r="Y819" s="174"/>
      <c r="Z819" s="174"/>
    </row>
    <row r="820" customFormat="false" ht="15.75" hidden="false" customHeight="false" outlineLevel="0" collapsed="false">
      <c r="A820" s="174"/>
      <c r="B820" s="174"/>
      <c r="C820" s="174"/>
      <c r="D820" s="174"/>
      <c r="E820" s="174"/>
      <c r="F820" s="174"/>
      <c r="G820" s="174"/>
      <c r="H820" s="174"/>
      <c r="I820" s="174"/>
      <c r="J820" s="174"/>
      <c r="K820" s="174"/>
      <c r="L820" s="174"/>
      <c r="M820" s="174"/>
      <c r="N820" s="174"/>
      <c r="O820" s="174"/>
      <c r="P820" s="174"/>
      <c r="Q820" s="174"/>
      <c r="R820" s="174"/>
      <c r="S820" s="174"/>
      <c r="T820" s="174"/>
      <c r="U820" s="174"/>
      <c r="V820" s="174"/>
      <c r="W820" s="174"/>
      <c r="X820" s="174"/>
      <c r="Y820" s="174"/>
      <c r="Z820" s="174"/>
    </row>
    <row r="821" customFormat="false" ht="15.75" hidden="false" customHeight="false" outlineLevel="0" collapsed="false">
      <c r="A821" s="174"/>
      <c r="B821" s="174"/>
      <c r="C821" s="174"/>
      <c r="D821" s="174"/>
      <c r="E821" s="174"/>
      <c r="F821" s="174"/>
      <c r="G821" s="174"/>
      <c r="H821" s="174"/>
      <c r="I821" s="174"/>
      <c r="J821" s="174"/>
      <c r="K821" s="174"/>
      <c r="L821" s="174"/>
      <c r="M821" s="174"/>
      <c r="N821" s="174"/>
      <c r="O821" s="174"/>
      <c r="P821" s="174"/>
      <c r="Q821" s="174"/>
      <c r="R821" s="174"/>
      <c r="S821" s="174"/>
      <c r="T821" s="174"/>
      <c r="U821" s="174"/>
      <c r="V821" s="174"/>
      <c r="W821" s="174"/>
      <c r="X821" s="174"/>
      <c r="Y821" s="174"/>
      <c r="Z821" s="174"/>
    </row>
    <row r="822" customFormat="false" ht="15.75" hidden="false" customHeight="false" outlineLevel="0" collapsed="false">
      <c r="A822" s="174"/>
      <c r="B822" s="174"/>
      <c r="C822" s="174"/>
      <c r="D822" s="174"/>
      <c r="E822" s="174"/>
      <c r="F822" s="174"/>
      <c r="G822" s="174"/>
      <c r="H822" s="174"/>
      <c r="I822" s="174"/>
      <c r="J822" s="174"/>
      <c r="K822" s="174"/>
      <c r="L822" s="174"/>
      <c r="M822" s="174"/>
      <c r="N822" s="174"/>
      <c r="O822" s="174"/>
      <c r="P822" s="174"/>
      <c r="Q822" s="174"/>
      <c r="R822" s="174"/>
      <c r="S822" s="174"/>
      <c r="T822" s="174"/>
      <c r="U822" s="174"/>
      <c r="V822" s="174"/>
      <c r="W822" s="174"/>
      <c r="X822" s="174"/>
      <c r="Y822" s="174"/>
      <c r="Z822" s="174"/>
    </row>
    <row r="823" customFormat="false" ht="15.75" hidden="false" customHeight="false" outlineLevel="0" collapsed="false">
      <c r="A823" s="174"/>
      <c r="B823" s="174"/>
      <c r="C823" s="174"/>
      <c r="D823" s="174"/>
      <c r="E823" s="174"/>
      <c r="F823" s="174"/>
      <c r="G823" s="174"/>
      <c r="H823" s="174"/>
      <c r="I823" s="174"/>
      <c r="J823" s="174"/>
      <c r="K823" s="174"/>
      <c r="L823" s="174"/>
      <c r="M823" s="174"/>
      <c r="N823" s="174"/>
      <c r="O823" s="174"/>
      <c r="P823" s="174"/>
      <c r="Q823" s="174"/>
      <c r="R823" s="174"/>
      <c r="S823" s="174"/>
      <c r="T823" s="174"/>
      <c r="U823" s="174"/>
      <c r="V823" s="174"/>
      <c r="W823" s="174"/>
      <c r="X823" s="174"/>
      <c r="Y823" s="174"/>
      <c r="Z823" s="174"/>
    </row>
    <row r="824" customFormat="false" ht="15.75" hidden="false" customHeight="false" outlineLevel="0" collapsed="false">
      <c r="A824" s="174"/>
      <c r="B824" s="174"/>
      <c r="C824" s="174"/>
      <c r="D824" s="174"/>
      <c r="E824" s="174"/>
      <c r="F824" s="174"/>
      <c r="G824" s="174"/>
      <c r="H824" s="174"/>
      <c r="I824" s="174"/>
      <c r="J824" s="174"/>
      <c r="K824" s="174"/>
      <c r="L824" s="174"/>
      <c r="M824" s="174"/>
      <c r="N824" s="174"/>
      <c r="O824" s="174"/>
      <c r="P824" s="174"/>
      <c r="Q824" s="174"/>
      <c r="R824" s="174"/>
      <c r="S824" s="174"/>
      <c r="T824" s="174"/>
      <c r="U824" s="174"/>
      <c r="V824" s="174"/>
      <c r="W824" s="174"/>
      <c r="X824" s="174"/>
      <c r="Y824" s="174"/>
      <c r="Z824" s="174"/>
    </row>
    <row r="825" customFormat="false" ht="15.75" hidden="false" customHeight="false" outlineLevel="0" collapsed="false">
      <c r="A825" s="174"/>
      <c r="B825" s="174"/>
      <c r="C825" s="174"/>
      <c r="D825" s="174"/>
      <c r="E825" s="174"/>
      <c r="F825" s="174"/>
      <c r="G825" s="174"/>
      <c r="H825" s="174"/>
      <c r="I825" s="174"/>
      <c r="J825" s="174"/>
      <c r="K825" s="174"/>
      <c r="L825" s="174"/>
      <c r="M825" s="174"/>
      <c r="N825" s="174"/>
      <c r="O825" s="174"/>
      <c r="P825" s="174"/>
      <c r="Q825" s="174"/>
      <c r="R825" s="174"/>
      <c r="S825" s="174"/>
      <c r="T825" s="174"/>
      <c r="U825" s="174"/>
      <c r="V825" s="174"/>
      <c r="W825" s="174"/>
      <c r="X825" s="174"/>
      <c r="Y825" s="174"/>
      <c r="Z825" s="174"/>
    </row>
    <row r="826" customFormat="false" ht="15.75" hidden="false" customHeight="false" outlineLevel="0" collapsed="false">
      <c r="A826" s="174"/>
      <c r="B826" s="174"/>
      <c r="C826" s="174"/>
      <c r="D826" s="174"/>
      <c r="E826" s="174"/>
      <c r="F826" s="174"/>
      <c r="G826" s="174"/>
      <c r="H826" s="174"/>
      <c r="I826" s="174"/>
      <c r="J826" s="174"/>
      <c r="K826" s="174"/>
      <c r="L826" s="174"/>
      <c r="M826" s="174"/>
      <c r="N826" s="174"/>
      <c r="O826" s="174"/>
      <c r="P826" s="174"/>
      <c r="Q826" s="174"/>
      <c r="R826" s="174"/>
      <c r="S826" s="174"/>
      <c r="T826" s="174"/>
      <c r="U826" s="174"/>
      <c r="V826" s="174"/>
      <c r="W826" s="174"/>
      <c r="X826" s="174"/>
      <c r="Y826" s="174"/>
      <c r="Z826" s="174"/>
    </row>
    <row r="827" customFormat="false" ht="15.75" hidden="false" customHeight="false" outlineLevel="0" collapsed="false">
      <c r="A827" s="174"/>
      <c r="B827" s="174"/>
      <c r="C827" s="174"/>
      <c r="D827" s="174"/>
      <c r="E827" s="174"/>
      <c r="F827" s="174"/>
      <c r="G827" s="174"/>
      <c r="H827" s="174"/>
      <c r="I827" s="174"/>
      <c r="J827" s="174"/>
      <c r="K827" s="174"/>
      <c r="L827" s="174"/>
      <c r="M827" s="174"/>
      <c r="N827" s="174"/>
      <c r="O827" s="174"/>
      <c r="P827" s="174"/>
      <c r="Q827" s="174"/>
      <c r="R827" s="174"/>
      <c r="S827" s="174"/>
      <c r="T827" s="174"/>
      <c r="U827" s="174"/>
      <c r="V827" s="174"/>
      <c r="W827" s="174"/>
      <c r="X827" s="174"/>
      <c r="Y827" s="174"/>
      <c r="Z827" s="174"/>
    </row>
    <row r="828" customFormat="false" ht="15.75" hidden="false" customHeight="false" outlineLevel="0" collapsed="false">
      <c r="A828" s="174"/>
      <c r="B828" s="174"/>
      <c r="C828" s="174"/>
      <c r="D828" s="174"/>
      <c r="E828" s="174"/>
      <c r="F828" s="174"/>
      <c r="G828" s="174"/>
      <c r="H828" s="174"/>
      <c r="I828" s="174"/>
      <c r="J828" s="174"/>
      <c r="K828" s="174"/>
      <c r="L828" s="174"/>
      <c r="M828" s="174"/>
      <c r="N828" s="174"/>
      <c r="O828" s="174"/>
      <c r="P828" s="174"/>
      <c r="Q828" s="174"/>
      <c r="R828" s="174"/>
      <c r="S828" s="174"/>
      <c r="T828" s="174"/>
      <c r="U828" s="174"/>
      <c r="V828" s="174"/>
      <c r="W828" s="174"/>
      <c r="X828" s="174"/>
      <c r="Y828" s="174"/>
      <c r="Z828" s="174"/>
    </row>
    <row r="829" customFormat="false" ht="15.75" hidden="false" customHeight="false" outlineLevel="0" collapsed="false">
      <c r="A829" s="174"/>
      <c r="B829" s="174"/>
      <c r="C829" s="174"/>
      <c r="D829" s="174"/>
      <c r="E829" s="174"/>
      <c r="F829" s="174"/>
      <c r="G829" s="174"/>
      <c r="H829" s="174"/>
      <c r="I829" s="174"/>
      <c r="J829" s="174"/>
      <c r="K829" s="174"/>
      <c r="L829" s="174"/>
      <c r="M829" s="174"/>
      <c r="N829" s="174"/>
      <c r="O829" s="174"/>
      <c r="P829" s="174"/>
      <c r="Q829" s="174"/>
      <c r="R829" s="174"/>
      <c r="S829" s="174"/>
      <c r="T829" s="174"/>
      <c r="U829" s="174"/>
      <c r="V829" s="174"/>
      <c r="W829" s="174"/>
      <c r="X829" s="174"/>
      <c r="Y829" s="174"/>
      <c r="Z829" s="174"/>
    </row>
    <row r="830" customFormat="false" ht="15.75" hidden="false" customHeight="false" outlineLevel="0" collapsed="false">
      <c r="A830" s="174"/>
      <c r="B830" s="174"/>
      <c r="C830" s="174"/>
      <c r="D830" s="174"/>
      <c r="E830" s="174"/>
      <c r="F830" s="174"/>
      <c r="G830" s="174"/>
      <c r="H830" s="174"/>
      <c r="I830" s="174"/>
      <c r="J830" s="174"/>
      <c r="K830" s="174"/>
      <c r="L830" s="174"/>
      <c r="M830" s="174"/>
      <c r="N830" s="174"/>
      <c r="O830" s="174"/>
      <c r="P830" s="174"/>
      <c r="Q830" s="174"/>
      <c r="R830" s="174"/>
      <c r="S830" s="174"/>
      <c r="T830" s="174"/>
      <c r="U830" s="174"/>
      <c r="V830" s="174"/>
      <c r="W830" s="174"/>
      <c r="X830" s="174"/>
      <c r="Y830" s="174"/>
      <c r="Z830" s="174"/>
    </row>
    <row r="831" customFormat="false" ht="15.75" hidden="false" customHeight="false" outlineLevel="0" collapsed="false">
      <c r="A831" s="174"/>
      <c r="B831" s="174"/>
      <c r="C831" s="174"/>
      <c r="D831" s="174"/>
      <c r="E831" s="174"/>
      <c r="F831" s="174"/>
      <c r="G831" s="174"/>
      <c r="H831" s="174"/>
      <c r="I831" s="174"/>
      <c r="J831" s="174"/>
      <c r="K831" s="174"/>
      <c r="L831" s="174"/>
      <c r="M831" s="174"/>
      <c r="N831" s="174"/>
      <c r="O831" s="174"/>
      <c r="P831" s="174"/>
      <c r="Q831" s="174"/>
      <c r="R831" s="174"/>
      <c r="S831" s="174"/>
      <c r="T831" s="174"/>
      <c r="U831" s="174"/>
      <c r="V831" s="174"/>
      <c r="W831" s="174"/>
      <c r="X831" s="174"/>
      <c r="Y831" s="174"/>
      <c r="Z831" s="174"/>
    </row>
    <row r="832" customFormat="false" ht="15.75" hidden="false" customHeight="false" outlineLevel="0" collapsed="false">
      <c r="A832" s="174"/>
      <c r="B832" s="174"/>
      <c r="C832" s="174"/>
      <c r="D832" s="174"/>
      <c r="E832" s="174"/>
      <c r="F832" s="174"/>
      <c r="G832" s="174"/>
      <c r="H832" s="174"/>
      <c r="I832" s="174"/>
      <c r="J832" s="174"/>
      <c r="K832" s="174"/>
      <c r="L832" s="174"/>
      <c r="M832" s="174"/>
      <c r="N832" s="174"/>
      <c r="O832" s="174"/>
      <c r="P832" s="174"/>
      <c r="Q832" s="174"/>
      <c r="R832" s="174"/>
      <c r="S832" s="174"/>
      <c r="T832" s="174"/>
      <c r="U832" s="174"/>
      <c r="V832" s="174"/>
      <c r="W832" s="174"/>
      <c r="X832" s="174"/>
      <c r="Y832" s="174"/>
      <c r="Z832" s="174"/>
    </row>
    <row r="833" customFormat="false" ht="15.75" hidden="false" customHeight="false" outlineLevel="0" collapsed="false">
      <c r="A833" s="174"/>
      <c r="B833" s="174"/>
      <c r="C833" s="174"/>
      <c r="D833" s="174"/>
      <c r="E833" s="174"/>
      <c r="F833" s="174"/>
      <c r="G833" s="174"/>
      <c r="H833" s="174"/>
      <c r="I833" s="174"/>
      <c r="J833" s="174"/>
      <c r="K833" s="174"/>
      <c r="L833" s="174"/>
      <c r="M833" s="174"/>
      <c r="N833" s="174"/>
      <c r="O833" s="174"/>
      <c r="P833" s="174"/>
      <c r="Q833" s="174"/>
      <c r="R833" s="174"/>
      <c r="S833" s="174"/>
      <c r="T833" s="174"/>
      <c r="U833" s="174"/>
      <c r="V833" s="174"/>
      <c r="W833" s="174"/>
      <c r="X833" s="174"/>
      <c r="Y833" s="174"/>
      <c r="Z833" s="174"/>
    </row>
    <row r="834" customFormat="false" ht="15.75" hidden="false" customHeight="false" outlineLevel="0" collapsed="false">
      <c r="A834" s="174"/>
      <c r="B834" s="174"/>
      <c r="C834" s="174"/>
      <c r="D834" s="174"/>
      <c r="E834" s="174"/>
      <c r="F834" s="174"/>
      <c r="G834" s="174"/>
      <c r="H834" s="174"/>
      <c r="I834" s="174"/>
      <c r="J834" s="174"/>
      <c r="K834" s="174"/>
      <c r="L834" s="174"/>
      <c r="M834" s="174"/>
      <c r="N834" s="174"/>
      <c r="O834" s="174"/>
      <c r="P834" s="174"/>
      <c r="Q834" s="174"/>
      <c r="R834" s="174"/>
      <c r="S834" s="174"/>
      <c r="T834" s="174"/>
      <c r="U834" s="174"/>
      <c r="V834" s="174"/>
      <c r="W834" s="174"/>
      <c r="X834" s="174"/>
      <c r="Y834" s="174"/>
      <c r="Z834" s="174"/>
    </row>
    <row r="835" customFormat="false" ht="15.75" hidden="false" customHeight="false" outlineLevel="0" collapsed="false">
      <c r="A835" s="174"/>
      <c r="B835" s="174"/>
      <c r="C835" s="174"/>
      <c r="D835" s="174"/>
      <c r="E835" s="174"/>
      <c r="F835" s="174"/>
      <c r="G835" s="174"/>
      <c r="H835" s="174"/>
      <c r="I835" s="174"/>
      <c r="J835" s="174"/>
      <c r="K835" s="174"/>
      <c r="L835" s="174"/>
      <c r="M835" s="174"/>
      <c r="N835" s="174"/>
      <c r="O835" s="174"/>
      <c r="P835" s="174"/>
      <c r="Q835" s="174"/>
      <c r="R835" s="174"/>
      <c r="S835" s="174"/>
      <c r="T835" s="174"/>
      <c r="U835" s="174"/>
      <c r="V835" s="174"/>
      <c r="W835" s="174"/>
      <c r="X835" s="174"/>
      <c r="Y835" s="174"/>
      <c r="Z835" s="174"/>
    </row>
    <row r="836" customFormat="false" ht="15.75" hidden="false" customHeight="false" outlineLevel="0" collapsed="false">
      <c r="A836" s="174"/>
      <c r="B836" s="174"/>
      <c r="C836" s="174"/>
      <c r="D836" s="174"/>
      <c r="E836" s="174"/>
      <c r="F836" s="174"/>
      <c r="G836" s="174"/>
      <c r="H836" s="174"/>
      <c r="I836" s="174"/>
      <c r="J836" s="174"/>
      <c r="K836" s="174"/>
      <c r="L836" s="174"/>
      <c r="M836" s="174"/>
      <c r="N836" s="174"/>
      <c r="O836" s="174"/>
      <c r="P836" s="174"/>
      <c r="Q836" s="174"/>
      <c r="R836" s="174"/>
      <c r="S836" s="174"/>
      <c r="T836" s="174"/>
      <c r="U836" s="174"/>
      <c r="V836" s="174"/>
      <c r="W836" s="174"/>
      <c r="X836" s="174"/>
      <c r="Y836" s="174"/>
      <c r="Z836" s="174"/>
    </row>
    <row r="837" customFormat="false" ht="15.75" hidden="false" customHeight="false" outlineLevel="0" collapsed="false">
      <c r="A837" s="174"/>
      <c r="B837" s="174"/>
      <c r="C837" s="174"/>
      <c r="D837" s="174"/>
      <c r="E837" s="174"/>
      <c r="F837" s="174"/>
      <c r="G837" s="174"/>
      <c r="H837" s="174"/>
      <c r="I837" s="174"/>
      <c r="J837" s="174"/>
      <c r="K837" s="174"/>
      <c r="L837" s="174"/>
      <c r="M837" s="174"/>
      <c r="N837" s="174"/>
      <c r="O837" s="174"/>
      <c r="P837" s="174"/>
      <c r="Q837" s="174"/>
      <c r="R837" s="174"/>
      <c r="S837" s="174"/>
      <c r="T837" s="174"/>
      <c r="U837" s="174"/>
      <c r="V837" s="174"/>
      <c r="W837" s="174"/>
      <c r="X837" s="174"/>
      <c r="Y837" s="174"/>
      <c r="Z837" s="174"/>
    </row>
    <row r="838" customFormat="false" ht="15.75" hidden="false" customHeight="false" outlineLevel="0" collapsed="false">
      <c r="A838" s="174"/>
      <c r="B838" s="174"/>
      <c r="C838" s="174"/>
      <c r="D838" s="174"/>
      <c r="E838" s="174"/>
      <c r="F838" s="174"/>
      <c r="G838" s="174"/>
      <c r="H838" s="174"/>
      <c r="I838" s="174"/>
      <c r="J838" s="174"/>
      <c r="K838" s="174"/>
      <c r="L838" s="174"/>
      <c r="M838" s="174"/>
      <c r="N838" s="174"/>
      <c r="O838" s="174"/>
      <c r="P838" s="174"/>
      <c r="Q838" s="174"/>
      <c r="R838" s="174"/>
      <c r="S838" s="174"/>
      <c r="T838" s="174"/>
      <c r="U838" s="174"/>
      <c r="V838" s="174"/>
      <c r="W838" s="174"/>
      <c r="X838" s="174"/>
      <c r="Y838" s="174"/>
      <c r="Z838" s="174"/>
    </row>
    <row r="839" customFormat="false" ht="15.75" hidden="false" customHeight="false" outlineLevel="0" collapsed="false">
      <c r="A839" s="174"/>
      <c r="B839" s="174"/>
      <c r="C839" s="174"/>
      <c r="D839" s="174"/>
      <c r="E839" s="174"/>
      <c r="F839" s="174"/>
      <c r="G839" s="174"/>
      <c r="H839" s="174"/>
      <c r="I839" s="174"/>
      <c r="J839" s="174"/>
      <c r="K839" s="174"/>
      <c r="L839" s="174"/>
      <c r="M839" s="174"/>
      <c r="N839" s="174"/>
      <c r="O839" s="174"/>
      <c r="P839" s="174"/>
      <c r="Q839" s="174"/>
      <c r="R839" s="174"/>
      <c r="S839" s="174"/>
      <c r="T839" s="174"/>
      <c r="U839" s="174"/>
      <c r="V839" s="174"/>
      <c r="W839" s="174"/>
      <c r="X839" s="174"/>
      <c r="Y839" s="174"/>
      <c r="Z839" s="174"/>
    </row>
    <row r="840" customFormat="false" ht="15.75" hidden="false" customHeight="false" outlineLevel="0" collapsed="false">
      <c r="A840" s="174"/>
      <c r="B840" s="174"/>
      <c r="C840" s="174"/>
      <c r="D840" s="174"/>
      <c r="E840" s="174"/>
      <c r="F840" s="174"/>
      <c r="G840" s="174"/>
      <c r="H840" s="174"/>
      <c r="I840" s="174"/>
      <c r="J840" s="174"/>
      <c r="K840" s="174"/>
      <c r="L840" s="174"/>
      <c r="M840" s="174"/>
      <c r="N840" s="174"/>
      <c r="O840" s="174"/>
      <c r="P840" s="174"/>
      <c r="Q840" s="174"/>
      <c r="R840" s="174"/>
      <c r="S840" s="174"/>
      <c r="T840" s="174"/>
      <c r="U840" s="174"/>
      <c r="V840" s="174"/>
      <c r="W840" s="174"/>
      <c r="X840" s="174"/>
      <c r="Y840" s="174"/>
      <c r="Z840" s="174"/>
    </row>
    <row r="841" customFormat="false" ht="15.75" hidden="false" customHeight="false" outlineLevel="0" collapsed="false">
      <c r="A841" s="174"/>
      <c r="B841" s="174"/>
      <c r="C841" s="174"/>
      <c r="D841" s="174"/>
      <c r="E841" s="174"/>
      <c r="F841" s="174"/>
      <c r="G841" s="174"/>
      <c r="H841" s="174"/>
      <c r="I841" s="174"/>
      <c r="J841" s="174"/>
      <c r="K841" s="174"/>
      <c r="L841" s="174"/>
      <c r="M841" s="174"/>
      <c r="N841" s="174"/>
      <c r="O841" s="174"/>
      <c r="P841" s="174"/>
      <c r="Q841" s="174"/>
      <c r="R841" s="174"/>
      <c r="S841" s="174"/>
      <c r="T841" s="174"/>
      <c r="U841" s="174"/>
      <c r="V841" s="174"/>
      <c r="W841" s="174"/>
      <c r="X841" s="174"/>
      <c r="Y841" s="174"/>
      <c r="Z841" s="174"/>
    </row>
    <row r="842" customFormat="false" ht="15.75" hidden="false" customHeight="false" outlineLevel="0" collapsed="false">
      <c r="A842" s="174"/>
      <c r="B842" s="174"/>
      <c r="C842" s="174"/>
      <c r="D842" s="174"/>
      <c r="E842" s="174"/>
      <c r="F842" s="174"/>
      <c r="G842" s="174"/>
      <c r="H842" s="174"/>
      <c r="I842" s="174"/>
      <c r="J842" s="174"/>
      <c r="K842" s="174"/>
      <c r="L842" s="174"/>
      <c r="M842" s="174"/>
      <c r="N842" s="174"/>
      <c r="O842" s="174"/>
      <c r="P842" s="174"/>
      <c r="Q842" s="174"/>
      <c r="R842" s="174"/>
      <c r="S842" s="174"/>
      <c r="T842" s="174"/>
      <c r="U842" s="174"/>
      <c r="V842" s="174"/>
      <c r="W842" s="174"/>
      <c r="X842" s="174"/>
      <c r="Y842" s="174"/>
      <c r="Z842" s="174"/>
    </row>
    <row r="843" customFormat="false" ht="15.75" hidden="false" customHeight="false" outlineLevel="0" collapsed="false">
      <c r="A843" s="174"/>
      <c r="B843" s="174"/>
      <c r="C843" s="174"/>
      <c r="D843" s="174"/>
      <c r="E843" s="174"/>
      <c r="F843" s="174"/>
      <c r="G843" s="174"/>
      <c r="H843" s="174"/>
      <c r="I843" s="174"/>
      <c r="J843" s="174"/>
      <c r="K843" s="174"/>
      <c r="L843" s="174"/>
      <c r="M843" s="174"/>
      <c r="N843" s="174"/>
      <c r="O843" s="174"/>
      <c r="P843" s="174"/>
      <c r="Q843" s="174"/>
      <c r="R843" s="174"/>
      <c r="S843" s="174"/>
      <c r="T843" s="174"/>
      <c r="U843" s="174"/>
      <c r="V843" s="174"/>
      <c r="W843" s="174"/>
      <c r="X843" s="174"/>
      <c r="Y843" s="174"/>
      <c r="Z843" s="174"/>
    </row>
    <row r="844" customFormat="false" ht="15.75" hidden="false" customHeight="false" outlineLevel="0" collapsed="false">
      <c r="A844" s="174"/>
      <c r="B844" s="174"/>
      <c r="C844" s="174"/>
      <c r="D844" s="174"/>
      <c r="E844" s="174"/>
      <c r="F844" s="174"/>
      <c r="G844" s="174"/>
      <c r="H844" s="174"/>
      <c r="I844" s="174"/>
      <c r="J844" s="174"/>
      <c r="K844" s="174"/>
      <c r="L844" s="174"/>
      <c r="M844" s="174"/>
      <c r="N844" s="174"/>
      <c r="O844" s="174"/>
      <c r="P844" s="174"/>
      <c r="Q844" s="174"/>
      <c r="R844" s="174"/>
      <c r="S844" s="174"/>
      <c r="T844" s="174"/>
      <c r="U844" s="174"/>
      <c r="V844" s="174"/>
      <c r="W844" s="174"/>
      <c r="X844" s="174"/>
      <c r="Y844" s="174"/>
      <c r="Z844" s="174"/>
    </row>
    <row r="845" customFormat="false" ht="15.75" hidden="false" customHeight="false" outlineLevel="0" collapsed="false">
      <c r="A845" s="174"/>
      <c r="B845" s="174"/>
      <c r="C845" s="174"/>
      <c r="D845" s="174"/>
      <c r="E845" s="174"/>
      <c r="F845" s="174"/>
      <c r="G845" s="174"/>
      <c r="H845" s="174"/>
      <c r="I845" s="174"/>
      <c r="J845" s="174"/>
      <c r="K845" s="174"/>
      <c r="L845" s="174"/>
      <c r="M845" s="174"/>
      <c r="N845" s="174"/>
      <c r="O845" s="174"/>
      <c r="P845" s="174"/>
      <c r="Q845" s="174"/>
      <c r="R845" s="174"/>
      <c r="S845" s="174"/>
      <c r="T845" s="174"/>
      <c r="U845" s="174"/>
      <c r="V845" s="174"/>
      <c r="W845" s="174"/>
      <c r="X845" s="174"/>
      <c r="Y845" s="174"/>
      <c r="Z845" s="174"/>
    </row>
    <row r="846" customFormat="false" ht="15.75" hidden="false" customHeight="false" outlineLevel="0" collapsed="false">
      <c r="A846" s="174"/>
      <c r="B846" s="174"/>
      <c r="C846" s="174"/>
      <c r="D846" s="174"/>
      <c r="E846" s="174"/>
      <c r="F846" s="174"/>
      <c r="G846" s="174"/>
      <c r="H846" s="174"/>
      <c r="I846" s="174"/>
      <c r="J846" s="174"/>
      <c r="K846" s="174"/>
      <c r="L846" s="174"/>
      <c r="M846" s="174"/>
      <c r="N846" s="174"/>
      <c r="O846" s="174"/>
      <c r="P846" s="174"/>
      <c r="Q846" s="174"/>
      <c r="R846" s="174"/>
      <c r="S846" s="174"/>
      <c r="T846" s="174"/>
      <c r="U846" s="174"/>
      <c r="V846" s="174"/>
      <c r="W846" s="174"/>
      <c r="X846" s="174"/>
      <c r="Y846" s="174"/>
      <c r="Z846" s="174"/>
    </row>
    <row r="847" customFormat="false" ht="15.75" hidden="false" customHeight="false" outlineLevel="0" collapsed="false">
      <c r="A847" s="174"/>
      <c r="B847" s="174"/>
      <c r="C847" s="174"/>
      <c r="D847" s="174"/>
      <c r="E847" s="174"/>
      <c r="F847" s="174"/>
      <c r="G847" s="174"/>
      <c r="H847" s="174"/>
      <c r="I847" s="174"/>
      <c r="J847" s="174"/>
      <c r="K847" s="174"/>
      <c r="L847" s="174"/>
      <c r="M847" s="174"/>
      <c r="N847" s="174"/>
      <c r="O847" s="174"/>
      <c r="P847" s="174"/>
      <c r="Q847" s="174"/>
      <c r="R847" s="174"/>
      <c r="S847" s="174"/>
      <c r="T847" s="174"/>
      <c r="U847" s="174"/>
      <c r="V847" s="174"/>
      <c r="W847" s="174"/>
      <c r="X847" s="174"/>
      <c r="Y847" s="174"/>
      <c r="Z847" s="174"/>
    </row>
    <row r="848" customFormat="false" ht="15.75" hidden="false" customHeight="false" outlineLevel="0" collapsed="false">
      <c r="A848" s="174"/>
      <c r="B848" s="174"/>
      <c r="C848" s="174"/>
      <c r="D848" s="174"/>
      <c r="E848" s="174"/>
      <c r="F848" s="174"/>
      <c r="G848" s="174"/>
      <c r="H848" s="174"/>
      <c r="I848" s="174"/>
      <c r="J848" s="174"/>
      <c r="K848" s="174"/>
      <c r="L848" s="174"/>
      <c r="M848" s="174"/>
      <c r="N848" s="174"/>
      <c r="O848" s="174"/>
      <c r="P848" s="174"/>
      <c r="Q848" s="174"/>
      <c r="R848" s="174"/>
      <c r="S848" s="174"/>
      <c r="T848" s="174"/>
      <c r="U848" s="174"/>
      <c r="V848" s="174"/>
      <c r="W848" s="174"/>
      <c r="X848" s="174"/>
      <c r="Y848" s="174"/>
      <c r="Z848" s="174"/>
    </row>
    <row r="849" customFormat="false" ht="15.75" hidden="false" customHeight="false" outlineLevel="0" collapsed="false">
      <c r="A849" s="174"/>
      <c r="B849" s="174"/>
      <c r="C849" s="174"/>
      <c r="D849" s="174"/>
      <c r="E849" s="174"/>
      <c r="F849" s="174"/>
      <c r="G849" s="174"/>
      <c r="H849" s="174"/>
      <c r="I849" s="174"/>
      <c r="J849" s="174"/>
      <c r="K849" s="174"/>
      <c r="L849" s="174"/>
      <c r="M849" s="174"/>
      <c r="N849" s="174"/>
      <c r="O849" s="174"/>
      <c r="P849" s="174"/>
      <c r="Q849" s="174"/>
      <c r="R849" s="174"/>
      <c r="S849" s="174"/>
      <c r="T849" s="174"/>
      <c r="U849" s="174"/>
      <c r="V849" s="174"/>
      <c r="W849" s="174"/>
      <c r="X849" s="174"/>
      <c r="Y849" s="174"/>
      <c r="Z849" s="174"/>
    </row>
    <row r="850" customFormat="false" ht="15.75" hidden="false" customHeight="false" outlineLevel="0" collapsed="false">
      <c r="A850" s="174"/>
      <c r="B850" s="174"/>
      <c r="C850" s="174"/>
      <c r="D850" s="174"/>
      <c r="E850" s="174"/>
      <c r="F850" s="174"/>
      <c r="G850" s="174"/>
      <c r="H850" s="174"/>
      <c r="I850" s="174"/>
      <c r="J850" s="174"/>
      <c r="K850" s="174"/>
      <c r="L850" s="174"/>
      <c r="M850" s="174"/>
      <c r="N850" s="174"/>
      <c r="O850" s="174"/>
      <c r="P850" s="174"/>
      <c r="Q850" s="174"/>
      <c r="R850" s="174"/>
      <c r="S850" s="174"/>
      <c r="T850" s="174"/>
      <c r="U850" s="174"/>
      <c r="V850" s="174"/>
      <c r="W850" s="174"/>
      <c r="X850" s="174"/>
      <c r="Y850" s="174"/>
      <c r="Z850" s="174"/>
    </row>
    <row r="851" customFormat="false" ht="15.75" hidden="false" customHeight="false" outlineLevel="0" collapsed="false">
      <c r="A851" s="174"/>
      <c r="B851" s="174"/>
      <c r="C851" s="174"/>
      <c r="D851" s="174"/>
      <c r="E851" s="174"/>
      <c r="F851" s="174"/>
      <c r="G851" s="174"/>
      <c r="H851" s="174"/>
      <c r="I851" s="174"/>
      <c r="J851" s="174"/>
      <c r="K851" s="174"/>
      <c r="L851" s="174"/>
      <c r="M851" s="174"/>
      <c r="N851" s="174"/>
      <c r="O851" s="174"/>
      <c r="P851" s="174"/>
      <c r="Q851" s="174"/>
      <c r="R851" s="174"/>
      <c r="S851" s="174"/>
      <c r="T851" s="174"/>
      <c r="U851" s="174"/>
      <c r="V851" s="174"/>
      <c r="W851" s="174"/>
      <c r="X851" s="174"/>
      <c r="Y851" s="174"/>
      <c r="Z851" s="174"/>
    </row>
    <row r="852" customFormat="false" ht="15.75" hidden="false" customHeight="false" outlineLevel="0" collapsed="false">
      <c r="A852" s="174"/>
      <c r="B852" s="174"/>
      <c r="C852" s="174"/>
      <c r="D852" s="174"/>
      <c r="E852" s="174"/>
      <c r="F852" s="174"/>
      <c r="G852" s="174"/>
      <c r="H852" s="174"/>
      <c r="I852" s="174"/>
      <c r="J852" s="174"/>
      <c r="K852" s="174"/>
      <c r="L852" s="174"/>
      <c r="M852" s="174"/>
      <c r="N852" s="174"/>
      <c r="O852" s="174"/>
      <c r="P852" s="174"/>
      <c r="Q852" s="174"/>
      <c r="R852" s="174"/>
      <c r="S852" s="174"/>
      <c r="T852" s="174"/>
      <c r="U852" s="174"/>
      <c r="V852" s="174"/>
      <c r="W852" s="174"/>
      <c r="X852" s="174"/>
      <c r="Y852" s="174"/>
      <c r="Z852" s="174"/>
    </row>
    <row r="853" customFormat="false" ht="15.75" hidden="false" customHeight="false" outlineLevel="0" collapsed="false">
      <c r="A853" s="174"/>
      <c r="B853" s="174"/>
      <c r="C853" s="174"/>
      <c r="D853" s="174"/>
      <c r="E853" s="174"/>
      <c r="F853" s="174"/>
      <c r="G853" s="174"/>
      <c r="H853" s="174"/>
      <c r="I853" s="174"/>
      <c r="J853" s="174"/>
      <c r="K853" s="174"/>
      <c r="L853" s="174"/>
      <c r="M853" s="174"/>
      <c r="N853" s="174"/>
      <c r="O853" s="174"/>
      <c r="P853" s="174"/>
      <c r="Q853" s="174"/>
      <c r="R853" s="174"/>
      <c r="S853" s="174"/>
      <c r="T853" s="174"/>
      <c r="U853" s="174"/>
      <c r="V853" s="174"/>
      <c r="W853" s="174"/>
      <c r="X853" s="174"/>
      <c r="Y853" s="174"/>
      <c r="Z853" s="174"/>
    </row>
    <row r="854" customFormat="false" ht="15.75" hidden="false" customHeight="false" outlineLevel="0" collapsed="false">
      <c r="A854" s="174"/>
      <c r="B854" s="174"/>
      <c r="C854" s="174"/>
      <c r="D854" s="174"/>
      <c r="E854" s="174"/>
      <c r="F854" s="174"/>
      <c r="G854" s="174"/>
      <c r="H854" s="174"/>
      <c r="I854" s="174"/>
      <c r="J854" s="174"/>
      <c r="K854" s="174"/>
      <c r="L854" s="174"/>
      <c r="M854" s="174"/>
      <c r="N854" s="174"/>
      <c r="O854" s="174"/>
      <c r="P854" s="174"/>
      <c r="Q854" s="174"/>
      <c r="R854" s="174"/>
      <c r="S854" s="174"/>
      <c r="T854" s="174"/>
      <c r="U854" s="174"/>
      <c r="V854" s="174"/>
      <c r="W854" s="174"/>
      <c r="X854" s="174"/>
      <c r="Y854" s="174"/>
      <c r="Z854" s="174"/>
    </row>
    <row r="855" customFormat="false" ht="15.75" hidden="false" customHeight="false" outlineLevel="0" collapsed="false">
      <c r="A855" s="174"/>
      <c r="B855" s="174"/>
      <c r="C855" s="174"/>
      <c r="D855" s="174"/>
      <c r="E855" s="174"/>
      <c r="F855" s="174"/>
      <c r="G855" s="174"/>
      <c r="H855" s="174"/>
      <c r="I855" s="174"/>
      <c r="J855" s="174"/>
      <c r="K855" s="174"/>
      <c r="L855" s="174"/>
      <c r="M855" s="174"/>
      <c r="N855" s="174"/>
      <c r="O855" s="174"/>
      <c r="P855" s="174"/>
      <c r="Q855" s="174"/>
      <c r="R855" s="174"/>
      <c r="S855" s="174"/>
      <c r="T855" s="174"/>
      <c r="U855" s="174"/>
      <c r="V855" s="174"/>
      <c r="W855" s="174"/>
      <c r="X855" s="174"/>
      <c r="Y855" s="174"/>
      <c r="Z855" s="174"/>
    </row>
    <row r="856" customFormat="false" ht="15.75" hidden="false" customHeight="false" outlineLevel="0" collapsed="false">
      <c r="A856" s="174"/>
      <c r="B856" s="174"/>
      <c r="C856" s="174"/>
      <c r="D856" s="174"/>
      <c r="E856" s="174"/>
      <c r="F856" s="174"/>
      <c r="G856" s="174"/>
      <c r="H856" s="174"/>
      <c r="I856" s="174"/>
      <c r="J856" s="174"/>
      <c r="K856" s="174"/>
      <c r="L856" s="174"/>
      <c r="M856" s="174"/>
      <c r="N856" s="174"/>
      <c r="O856" s="174"/>
      <c r="P856" s="174"/>
      <c r="Q856" s="174"/>
      <c r="R856" s="174"/>
      <c r="S856" s="174"/>
      <c r="T856" s="174"/>
      <c r="U856" s="174"/>
      <c r="V856" s="174"/>
      <c r="W856" s="174"/>
      <c r="X856" s="174"/>
      <c r="Y856" s="174"/>
      <c r="Z856" s="174"/>
    </row>
    <row r="857" customFormat="false" ht="15.75" hidden="false" customHeight="false" outlineLevel="0" collapsed="false">
      <c r="A857" s="174"/>
      <c r="B857" s="174"/>
      <c r="C857" s="174"/>
      <c r="D857" s="174"/>
      <c r="E857" s="174"/>
      <c r="F857" s="174"/>
      <c r="G857" s="174"/>
      <c r="H857" s="174"/>
      <c r="I857" s="174"/>
      <c r="J857" s="174"/>
      <c r="K857" s="174"/>
      <c r="L857" s="174"/>
      <c r="M857" s="174"/>
      <c r="N857" s="174"/>
      <c r="O857" s="174"/>
      <c r="P857" s="174"/>
      <c r="Q857" s="174"/>
      <c r="R857" s="174"/>
      <c r="S857" s="174"/>
      <c r="T857" s="174"/>
      <c r="U857" s="174"/>
      <c r="V857" s="174"/>
      <c r="W857" s="174"/>
      <c r="X857" s="174"/>
      <c r="Y857" s="174"/>
      <c r="Z857" s="174"/>
    </row>
    <row r="858" customFormat="false" ht="15.75" hidden="false" customHeight="false" outlineLevel="0" collapsed="false">
      <c r="A858" s="174"/>
      <c r="B858" s="174"/>
      <c r="C858" s="174"/>
      <c r="D858" s="174"/>
      <c r="E858" s="174"/>
      <c r="F858" s="174"/>
      <c r="G858" s="174"/>
      <c r="H858" s="174"/>
      <c r="I858" s="174"/>
      <c r="J858" s="174"/>
      <c r="K858" s="174"/>
      <c r="L858" s="174"/>
      <c r="M858" s="174"/>
      <c r="N858" s="174"/>
      <c r="O858" s="174"/>
      <c r="P858" s="174"/>
      <c r="Q858" s="174"/>
      <c r="R858" s="174"/>
      <c r="S858" s="174"/>
      <c r="T858" s="174"/>
      <c r="U858" s="174"/>
      <c r="V858" s="174"/>
      <c r="W858" s="174"/>
      <c r="X858" s="174"/>
      <c r="Y858" s="174"/>
      <c r="Z858" s="174"/>
    </row>
    <row r="859" customFormat="false" ht="15.75" hidden="false" customHeight="false" outlineLevel="0" collapsed="false">
      <c r="A859" s="174"/>
      <c r="B859" s="174"/>
      <c r="C859" s="174"/>
      <c r="D859" s="174"/>
      <c r="E859" s="174"/>
      <c r="F859" s="174"/>
      <c r="G859" s="174"/>
      <c r="H859" s="174"/>
      <c r="I859" s="174"/>
      <c r="J859" s="174"/>
      <c r="K859" s="174"/>
      <c r="L859" s="174"/>
      <c r="M859" s="174"/>
      <c r="N859" s="174"/>
      <c r="O859" s="174"/>
      <c r="P859" s="174"/>
      <c r="Q859" s="174"/>
      <c r="R859" s="174"/>
      <c r="S859" s="174"/>
      <c r="T859" s="174"/>
      <c r="U859" s="174"/>
      <c r="V859" s="174"/>
      <c r="W859" s="174"/>
      <c r="X859" s="174"/>
      <c r="Y859" s="174"/>
      <c r="Z859" s="174"/>
    </row>
    <row r="860" customFormat="false" ht="15.75" hidden="false" customHeight="false" outlineLevel="0" collapsed="false">
      <c r="A860" s="174"/>
      <c r="B860" s="174"/>
      <c r="C860" s="174"/>
      <c r="D860" s="174"/>
      <c r="E860" s="174"/>
      <c r="F860" s="174"/>
      <c r="G860" s="174"/>
      <c r="H860" s="174"/>
      <c r="I860" s="174"/>
      <c r="J860" s="174"/>
      <c r="K860" s="174"/>
      <c r="L860" s="174"/>
      <c r="M860" s="174"/>
      <c r="N860" s="174"/>
      <c r="O860" s="174"/>
      <c r="P860" s="174"/>
      <c r="Q860" s="174"/>
      <c r="R860" s="174"/>
      <c r="S860" s="174"/>
      <c r="T860" s="174"/>
      <c r="U860" s="174"/>
      <c r="V860" s="174"/>
      <c r="W860" s="174"/>
      <c r="X860" s="174"/>
      <c r="Y860" s="174"/>
      <c r="Z860" s="174"/>
    </row>
    <row r="861" customFormat="false" ht="15.75" hidden="false" customHeight="false" outlineLevel="0" collapsed="false">
      <c r="A861" s="174"/>
      <c r="B861" s="174"/>
      <c r="C861" s="174"/>
      <c r="D861" s="174"/>
      <c r="E861" s="174"/>
      <c r="F861" s="174"/>
      <c r="G861" s="174"/>
      <c r="H861" s="174"/>
      <c r="I861" s="174"/>
      <c r="J861" s="174"/>
      <c r="K861" s="174"/>
      <c r="L861" s="174"/>
      <c r="M861" s="174"/>
      <c r="N861" s="174"/>
      <c r="O861" s="174"/>
      <c r="P861" s="174"/>
      <c r="Q861" s="174"/>
      <c r="R861" s="174"/>
      <c r="S861" s="174"/>
      <c r="T861" s="174"/>
      <c r="U861" s="174"/>
      <c r="V861" s="174"/>
      <c r="W861" s="174"/>
      <c r="X861" s="174"/>
      <c r="Y861" s="174"/>
      <c r="Z861" s="174"/>
    </row>
    <row r="862" customFormat="false" ht="15.75" hidden="false" customHeight="false" outlineLevel="0" collapsed="false">
      <c r="A862" s="174"/>
      <c r="B862" s="174"/>
      <c r="C862" s="174"/>
      <c r="D862" s="174"/>
      <c r="E862" s="174"/>
      <c r="F862" s="174"/>
      <c r="G862" s="174"/>
      <c r="H862" s="174"/>
      <c r="I862" s="174"/>
      <c r="J862" s="174"/>
      <c r="K862" s="174"/>
      <c r="L862" s="174"/>
      <c r="M862" s="174"/>
      <c r="N862" s="174"/>
      <c r="O862" s="174"/>
      <c r="P862" s="174"/>
      <c r="Q862" s="174"/>
      <c r="R862" s="174"/>
      <c r="S862" s="174"/>
      <c r="T862" s="174"/>
      <c r="U862" s="174"/>
      <c r="V862" s="174"/>
      <c r="W862" s="174"/>
      <c r="X862" s="174"/>
      <c r="Y862" s="174"/>
      <c r="Z862" s="174"/>
    </row>
    <row r="863" customFormat="false" ht="15.75" hidden="false" customHeight="false" outlineLevel="0" collapsed="false">
      <c r="A863" s="174"/>
      <c r="B863" s="174"/>
      <c r="C863" s="174"/>
      <c r="D863" s="174"/>
      <c r="E863" s="174"/>
      <c r="F863" s="174"/>
      <c r="G863" s="174"/>
      <c r="H863" s="174"/>
      <c r="I863" s="174"/>
      <c r="J863" s="174"/>
      <c r="K863" s="174"/>
      <c r="L863" s="174"/>
      <c r="M863" s="174"/>
      <c r="N863" s="174"/>
      <c r="O863" s="174"/>
      <c r="P863" s="174"/>
      <c r="Q863" s="174"/>
      <c r="R863" s="174"/>
      <c r="S863" s="174"/>
      <c r="T863" s="174"/>
      <c r="U863" s="174"/>
      <c r="V863" s="174"/>
      <c r="W863" s="174"/>
      <c r="X863" s="174"/>
      <c r="Y863" s="174"/>
      <c r="Z863" s="174"/>
    </row>
    <row r="864" customFormat="false" ht="15.75" hidden="false" customHeight="false" outlineLevel="0" collapsed="false">
      <c r="A864" s="174"/>
      <c r="B864" s="174"/>
      <c r="C864" s="174"/>
      <c r="D864" s="174"/>
      <c r="E864" s="174"/>
      <c r="F864" s="174"/>
      <c r="G864" s="174"/>
      <c r="H864" s="174"/>
      <c r="I864" s="174"/>
      <c r="J864" s="174"/>
      <c r="K864" s="174"/>
      <c r="L864" s="174"/>
      <c r="M864" s="174"/>
      <c r="N864" s="174"/>
      <c r="O864" s="174"/>
      <c r="P864" s="174"/>
      <c r="Q864" s="174"/>
      <c r="R864" s="174"/>
      <c r="S864" s="174"/>
      <c r="T864" s="174"/>
      <c r="U864" s="174"/>
      <c r="V864" s="174"/>
      <c r="W864" s="174"/>
      <c r="X864" s="174"/>
      <c r="Y864" s="174"/>
      <c r="Z864" s="174"/>
    </row>
    <row r="865" customFormat="false" ht="15.75" hidden="false" customHeight="false" outlineLevel="0" collapsed="false">
      <c r="A865" s="174"/>
      <c r="B865" s="174"/>
      <c r="C865" s="174"/>
      <c r="D865" s="174"/>
      <c r="E865" s="174"/>
      <c r="F865" s="174"/>
      <c r="G865" s="174"/>
      <c r="H865" s="174"/>
      <c r="I865" s="174"/>
      <c r="J865" s="174"/>
      <c r="K865" s="174"/>
      <c r="L865" s="174"/>
      <c r="M865" s="174"/>
      <c r="N865" s="174"/>
      <c r="O865" s="174"/>
      <c r="P865" s="174"/>
      <c r="Q865" s="174"/>
      <c r="R865" s="174"/>
      <c r="S865" s="174"/>
      <c r="T865" s="174"/>
      <c r="U865" s="174"/>
      <c r="V865" s="174"/>
      <c r="W865" s="174"/>
      <c r="X865" s="174"/>
      <c r="Y865" s="174"/>
      <c r="Z865" s="174"/>
    </row>
    <row r="866" customFormat="false" ht="15.75" hidden="false" customHeight="false" outlineLevel="0" collapsed="false">
      <c r="A866" s="174"/>
      <c r="B866" s="174"/>
      <c r="C866" s="174"/>
      <c r="D866" s="174"/>
      <c r="E866" s="174"/>
      <c r="F866" s="174"/>
      <c r="G866" s="174"/>
      <c r="H866" s="174"/>
      <c r="I866" s="174"/>
      <c r="J866" s="174"/>
      <c r="K866" s="174"/>
      <c r="L866" s="174"/>
      <c r="M866" s="174"/>
      <c r="N866" s="174"/>
      <c r="O866" s="174"/>
      <c r="P866" s="174"/>
      <c r="Q866" s="174"/>
      <c r="R866" s="174"/>
      <c r="S866" s="174"/>
      <c r="T866" s="174"/>
      <c r="U866" s="174"/>
      <c r="V866" s="174"/>
      <c r="W866" s="174"/>
      <c r="X866" s="174"/>
      <c r="Y866" s="174"/>
      <c r="Z866" s="174"/>
    </row>
    <row r="867" customFormat="false" ht="15.75" hidden="false" customHeight="false" outlineLevel="0" collapsed="false">
      <c r="A867" s="174"/>
      <c r="B867" s="174"/>
      <c r="C867" s="174"/>
      <c r="D867" s="174"/>
      <c r="E867" s="174"/>
      <c r="F867" s="174"/>
      <c r="G867" s="174"/>
      <c r="H867" s="174"/>
      <c r="I867" s="174"/>
      <c r="J867" s="174"/>
      <c r="K867" s="174"/>
      <c r="L867" s="174"/>
      <c r="M867" s="174"/>
      <c r="N867" s="174"/>
      <c r="O867" s="174"/>
      <c r="P867" s="174"/>
      <c r="Q867" s="174"/>
      <c r="R867" s="174"/>
      <c r="S867" s="174"/>
      <c r="T867" s="174"/>
      <c r="U867" s="174"/>
      <c r="V867" s="174"/>
      <c r="W867" s="174"/>
      <c r="X867" s="174"/>
      <c r="Y867" s="174"/>
      <c r="Z867" s="174"/>
    </row>
    <row r="868" customFormat="false" ht="15.75" hidden="false" customHeight="false" outlineLevel="0" collapsed="false">
      <c r="A868" s="174"/>
      <c r="B868" s="174"/>
      <c r="C868" s="174"/>
      <c r="D868" s="174"/>
      <c r="E868" s="174"/>
      <c r="F868" s="174"/>
      <c r="G868" s="174"/>
      <c r="H868" s="174"/>
      <c r="I868" s="174"/>
      <c r="J868" s="174"/>
      <c r="K868" s="174"/>
      <c r="L868" s="174"/>
      <c r="M868" s="174"/>
      <c r="N868" s="174"/>
      <c r="O868" s="174"/>
      <c r="P868" s="174"/>
      <c r="Q868" s="174"/>
      <c r="R868" s="174"/>
      <c r="S868" s="174"/>
      <c r="T868" s="174"/>
      <c r="U868" s="174"/>
      <c r="V868" s="174"/>
      <c r="W868" s="174"/>
      <c r="X868" s="174"/>
      <c r="Y868" s="174"/>
      <c r="Z868" s="174"/>
    </row>
    <row r="869" customFormat="false" ht="15.75" hidden="false" customHeight="false" outlineLevel="0" collapsed="false">
      <c r="A869" s="174"/>
      <c r="B869" s="174"/>
      <c r="C869" s="174"/>
      <c r="D869" s="174"/>
      <c r="E869" s="174"/>
      <c r="F869" s="174"/>
      <c r="G869" s="174"/>
      <c r="H869" s="174"/>
      <c r="I869" s="174"/>
      <c r="J869" s="174"/>
      <c r="K869" s="174"/>
      <c r="L869" s="174"/>
      <c r="M869" s="174"/>
      <c r="N869" s="174"/>
      <c r="O869" s="174"/>
      <c r="P869" s="174"/>
      <c r="Q869" s="174"/>
      <c r="R869" s="174"/>
      <c r="S869" s="174"/>
      <c r="T869" s="174"/>
      <c r="U869" s="174"/>
      <c r="V869" s="174"/>
      <c r="W869" s="174"/>
      <c r="X869" s="174"/>
      <c r="Y869" s="174"/>
      <c r="Z869" s="174"/>
    </row>
    <row r="870" customFormat="false" ht="15.75" hidden="false" customHeight="false" outlineLevel="0" collapsed="false">
      <c r="A870" s="174"/>
      <c r="B870" s="174"/>
      <c r="C870" s="174"/>
      <c r="D870" s="174"/>
      <c r="E870" s="174"/>
      <c r="F870" s="174"/>
      <c r="G870" s="174"/>
      <c r="H870" s="174"/>
      <c r="I870" s="174"/>
      <c r="J870" s="174"/>
      <c r="K870" s="174"/>
      <c r="L870" s="174"/>
      <c r="M870" s="174"/>
      <c r="N870" s="174"/>
      <c r="O870" s="174"/>
      <c r="P870" s="174"/>
      <c r="Q870" s="174"/>
      <c r="R870" s="174"/>
      <c r="S870" s="174"/>
      <c r="T870" s="174"/>
      <c r="U870" s="174"/>
      <c r="V870" s="174"/>
      <c r="W870" s="174"/>
      <c r="X870" s="174"/>
      <c r="Y870" s="174"/>
      <c r="Z870" s="174"/>
    </row>
    <row r="871" customFormat="false" ht="15.75" hidden="false" customHeight="false" outlineLevel="0" collapsed="false">
      <c r="A871" s="174"/>
      <c r="B871" s="174"/>
      <c r="C871" s="174"/>
      <c r="D871" s="174"/>
      <c r="E871" s="174"/>
      <c r="F871" s="174"/>
      <c r="G871" s="174"/>
      <c r="H871" s="174"/>
      <c r="I871" s="174"/>
      <c r="J871" s="174"/>
      <c r="K871" s="174"/>
      <c r="L871" s="174"/>
      <c r="M871" s="174"/>
      <c r="N871" s="174"/>
      <c r="O871" s="174"/>
      <c r="P871" s="174"/>
      <c r="Q871" s="174"/>
      <c r="R871" s="174"/>
      <c r="S871" s="174"/>
      <c r="T871" s="174"/>
      <c r="U871" s="174"/>
      <c r="V871" s="174"/>
      <c r="W871" s="174"/>
      <c r="X871" s="174"/>
      <c r="Y871" s="174"/>
      <c r="Z871" s="174"/>
    </row>
    <row r="872" customFormat="false" ht="15.75" hidden="false" customHeight="false" outlineLevel="0" collapsed="false">
      <c r="A872" s="174"/>
      <c r="B872" s="174"/>
      <c r="C872" s="174"/>
      <c r="D872" s="174"/>
      <c r="E872" s="174"/>
      <c r="F872" s="174"/>
      <c r="G872" s="174"/>
      <c r="H872" s="174"/>
      <c r="I872" s="174"/>
      <c r="J872" s="174"/>
      <c r="K872" s="174"/>
      <c r="L872" s="174"/>
      <c r="M872" s="174"/>
      <c r="N872" s="174"/>
      <c r="O872" s="174"/>
      <c r="P872" s="174"/>
      <c r="Q872" s="174"/>
      <c r="R872" s="174"/>
      <c r="S872" s="174"/>
      <c r="T872" s="174"/>
      <c r="U872" s="174"/>
      <c r="V872" s="174"/>
      <c r="W872" s="174"/>
      <c r="X872" s="174"/>
      <c r="Y872" s="174"/>
      <c r="Z872" s="174"/>
    </row>
    <row r="873" customFormat="false" ht="15.75" hidden="false" customHeight="false" outlineLevel="0" collapsed="false">
      <c r="A873" s="174"/>
      <c r="B873" s="174"/>
      <c r="C873" s="174"/>
      <c r="D873" s="174"/>
      <c r="E873" s="174"/>
      <c r="F873" s="174"/>
      <c r="G873" s="174"/>
      <c r="H873" s="174"/>
      <c r="I873" s="174"/>
      <c r="J873" s="174"/>
      <c r="K873" s="174"/>
      <c r="L873" s="174"/>
      <c r="M873" s="174"/>
      <c r="N873" s="174"/>
      <c r="O873" s="174"/>
      <c r="P873" s="174"/>
      <c r="Q873" s="174"/>
      <c r="R873" s="174"/>
      <c r="S873" s="174"/>
      <c r="T873" s="174"/>
      <c r="U873" s="174"/>
      <c r="V873" s="174"/>
      <c r="W873" s="174"/>
      <c r="X873" s="174"/>
      <c r="Y873" s="174"/>
      <c r="Z873" s="174"/>
    </row>
    <row r="874" customFormat="false" ht="15.75" hidden="false" customHeight="false" outlineLevel="0" collapsed="false">
      <c r="A874" s="174"/>
      <c r="B874" s="174"/>
      <c r="C874" s="174"/>
      <c r="D874" s="174"/>
      <c r="E874" s="174"/>
      <c r="F874" s="174"/>
      <c r="G874" s="174"/>
      <c r="H874" s="174"/>
      <c r="I874" s="174"/>
      <c r="J874" s="174"/>
      <c r="K874" s="174"/>
      <c r="L874" s="174"/>
      <c r="M874" s="174"/>
      <c r="N874" s="174"/>
      <c r="O874" s="174"/>
      <c r="P874" s="174"/>
      <c r="Q874" s="174"/>
      <c r="R874" s="174"/>
      <c r="S874" s="174"/>
      <c r="T874" s="174"/>
      <c r="U874" s="174"/>
      <c r="V874" s="174"/>
      <c r="W874" s="174"/>
      <c r="X874" s="174"/>
      <c r="Y874" s="174"/>
      <c r="Z874" s="174"/>
    </row>
    <row r="875" customFormat="false" ht="15.75" hidden="false" customHeight="false" outlineLevel="0" collapsed="false">
      <c r="A875" s="174"/>
      <c r="B875" s="174"/>
      <c r="C875" s="174"/>
      <c r="D875" s="174"/>
      <c r="E875" s="174"/>
      <c r="F875" s="174"/>
      <c r="G875" s="174"/>
      <c r="H875" s="174"/>
      <c r="I875" s="174"/>
      <c r="J875" s="174"/>
      <c r="K875" s="174"/>
      <c r="L875" s="174"/>
      <c r="M875" s="174"/>
      <c r="N875" s="174"/>
      <c r="O875" s="174"/>
      <c r="P875" s="174"/>
      <c r="Q875" s="174"/>
      <c r="R875" s="174"/>
      <c r="S875" s="174"/>
      <c r="T875" s="174"/>
      <c r="U875" s="174"/>
      <c r="V875" s="174"/>
      <c r="W875" s="174"/>
      <c r="X875" s="174"/>
      <c r="Y875" s="174"/>
      <c r="Z875" s="174"/>
    </row>
    <row r="876" customFormat="false" ht="15.75" hidden="false" customHeight="false" outlineLevel="0" collapsed="false">
      <c r="A876" s="174"/>
      <c r="B876" s="174"/>
      <c r="C876" s="174"/>
      <c r="D876" s="174"/>
      <c r="E876" s="174"/>
      <c r="F876" s="174"/>
      <c r="G876" s="174"/>
      <c r="H876" s="174"/>
      <c r="I876" s="174"/>
      <c r="J876" s="174"/>
      <c r="K876" s="174"/>
      <c r="L876" s="174"/>
      <c r="M876" s="174"/>
      <c r="N876" s="174"/>
      <c r="O876" s="174"/>
      <c r="P876" s="174"/>
      <c r="Q876" s="174"/>
      <c r="R876" s="174"/>
      <c r="S876" s="174"/>
      <c r="T876" s="174"/>
      <c r="U876" s="174"/>
      <c r="V876" s="174"/>
      <c r="W876" s="174"/>
      <c r="X876" s="174"/>
      <c r="Y876" s="174"/>
      <c r="Z876" s="174"/>
    </row>
    <row r="877" customFormat="false" ht="15.75" hidden="false" customHeight="false" outlineLevel="0" collapsed="false">
      <c r="A877" s="174"/>
      <c r="B877" s="174"/>
      <c r="C877" s="174"/>
      <c r="D877" s="174"/>
      <c r="E877" s="174"/>
      <c r="F877" s="174"/>
      <c r="G877" s="174"/>
      <c r="H877" s="174"/>
      <c r="I877" s="174"/>
      <c r="J877" s="174"/>
      <c r="K877" s="174"/>
      <c r="L877" s="174"/>
      <c r="M877" s="174"/>
      <c r="N877" s="174"/>
      <c r="O877" s="174"/>
      <c r="P877" s="174"/>
      <c r="Q877" s="174"/>
      <c r="R877" s="174"/>
      <c r="S877" s="174"/>
      <c r="T877" s="174"/>
      <c r="U877" s="174"/>
      <c r="V877" s="174"/>
      <c r="W877" s="174"/>
      <c r="X877" s="174"/>
      <c r="Y877" s="174"/>
      <c r="Z877" s="174"/>
    </row>
    <row r="878" customFormat="false" ht="15.75" hidden="false" customHeight="false" outlineLevel="0" collapsed="false">
      <c r="A878" s="174"/>
      <c r="B878" s="174"/>
      <c r="C878" s="174"/>
      <c r="D878" s="174"/>
      <c r="E878" s="174"/>
      <c r="F878" s="174"/>
      <c r="G878" s="174"/>
      <c r="H878" s="174"/>
      <c r="I878" s="174"/>
      <c r="J878" s="174"/>
      <c r="K878" s="174"/>
      <c r="L878" s="174"/>
      <c r="M878" s="174"/>
      <c r="N878" s="174"/>
      <c r="O878" s="174"/>
      <c r="P878" s="174"/>
      <c r="Q878" s="174"/>
      <c r="R878" s="174"/>
      <c r="S878" s="174"/>
      <c r="T878" s="174"/>
      <c r="U878" s="174"/>
      <c r="V878" s="174"/>
      <c r="W878" s="174"/>
      <c r="X878" s="174"/>
      <c r="Y878" s="174"/>
      <c r="Z878" s="174"/>
    </row>
    <row r="879" customFormat="false" ht="15.75" hidden="false" customHeight="false" outlineLevel="0" collapsed="false">
      <c r="A879" s="174"/>
      <c r="B879" s="174"/>
      <c r="C879" s="174"/>
      <c r="D879" s="174"/>
      <c r="E879" s="174"/>
      <c r="F879" s="174"/>
      <c r="G879" s="174"/>
      <c r="H879" s="174"/>
      <c r="I879" s="174"/>
      <c r="J879" s="174"/>
      <c r="K879" s="174"/>
      <c r="L879" s="174"/>
      <c r="M879" s="174"/>
      <c r="N879" s="174"/>
      <c r="O879" s="174"/>
      <c r="P879" s="174"/>
      <c r="Q879" s="174"/>
      <c r="R879" s="174"/>
      <c r="S879" s="174"/>
      <c r="T879" s="174"/>
      <c r="U879" s="174"/>
      <c r="V879" s="174"/>
      <c r="W879" s="174"/>
      <c r="X879" s="174"/>
      <c r="Y879" s="174"/>
      <c r="Z879" s="174"/>
    </row>
    <row r="880" customFormat="false" ht="15.75" hidden="false" customHeight="false" outlineLevel="0" collapsed="false">
      <c r="A880" s="174"/>
      <c r="B880" s="174"/>
      <c r="C880" s="174"/>
      <c r="D880" s="174"/>
      <c r="E880" s="174"/>
      <c r="F880" s="174"/>
      <c r="G880" s="174"/>
      <c r="H880" s="174"/>
      <c r="I880" s="174"/>
      <c r="J880" s="174"/>
      <c r="K880" s="174"/>
      <c r="L880" s="174"/>
      <c r="M880" s="174"/>
      <c r="N880" s="174"/>
      <c r="O880" s="174"/>
      <c r="P880" s="174"/>
      <c r="Q880" s="174"/>
      <c r="R880" s="174"/>
      <c r="S880" s="174"/>
      <c r="T880" s="174"/>
      <c r="U880" s="174"/>
      <c r="V880" s="174"/>
      <c r="W880" s="174"/>
      <c r="X880" s="174"/>
      <c r="Y880" s="174"/>
      <c r="Z880" s="174"/>
    </row>
    <row r="881" customFormat="false" ht="15.75" hidden="false" customHeight="false" outlineLevel="0" collapsed="false">
      <c r="A881" s="174"/>
      <c r="B881" s="174"/>
      <c r="C881" s="174"/>
      <c r="D881" s="174"/>
      <c r="E881" s="174"/>
      <c r="F881" s="174"/>
      <c r="G881" s="174"/>
      <c r="H881" s="174"/>
      <c r="I881" s="174"/>
      <c r="J881" s="174"/>
      <c r="K881" s="174"/>
      <c r="L881" s="174"/>
      <c r="M881" s="174"/>
      <c r="N881" s="174"/>
      <c r="O881" s="174"/>
      <c r="P881" s="174"/>
      <c r="Q881" s="174"/>
      <c r="R881" s="174"/>
      <c r="S881" s="174"/>
      <c r="T881" s="174"/>
      <c r="U881" s="174"/>
      <c r="V881" s="174"/>
      <c r="W881" s="174"/>
      <c r="X881" s="174"/>
      <c r="Y881" s="174"/>
      <c r="Z881" s="174"/>
    </row>
    <row r="882" customFormat="false" ht="15.75" hidden="false" customHeight="false" outlineLevel="0" collapsed="false">
      <c r="A882" s="174"/>
      <c r="B882" s="174"/>
      <c r="C882" s="174"/>
      <c r="D882" s="174"/>
      <c r="E882" s="174"/>
      <c r="F882" s="174"/>
      <c r="G882" s="174"/>
      <c r="H882" s="174"/>
      <c r="I882" s="174"/>
      <c r="J882" s="174"/>
      <c r="K882" s="174"/>
      <c r="L882" s="174"/>
      <c r="M882" s="174"/>
      <c r="N882" s="174"/>
      <c r="O882" s="174"/>
      <c r="P882" s="174"/>
      <c r="Q882" s="174"/>
      <c r="R882" s="174"/>
      <c r="S882" s="174"/>
      <c r="T882" s="174"/>
      <c r="U882" s="174"/>
      <c r="V882" s="174"/>
      <c r="W882" s="174"/>
      <c r="X882" s="174"/>
      <c r="Y882" s="174"/>
      <c r="Z882" s="174"/>
    </row>
    <row r="883" customFormat="false" ht="15.75" hidden="false" customHeight="false" outlineLevel="0" collapsed="false">
      <c r="A883" s="174"/>
      <c r="B883" s="174"/>
      <c r="C883" s="174"/>
      <c r="D883" s="174"/>
      <c r="E883" s="174"/>
      <c r="F883" s="174"/>
      <c r="G883" s="174"/>
      <c r="H883" s="174"/>
      <c r="I883" s="174"/>
      <c r="J883" s="174"/>
      <c r="K883" s="174"/>
      <c r="L883" s="174"/>
      <c r="M883" s="174"/>
      <c r="N883" s="174"/>
      <c r="O883" s="174"/>
      <c r="P883" s="174"/>
      <c r="Q883" s="174"/>
      <c r="R883" s="174"/>
      <c r="S883" s="174"/>
      <c r="T883" s="174"/>
      <c r="U883" s="174"/>
      <c r="V883" s="174"/>
      <c r="W883" s="174"/>
      <c r="X883" s="174"/>
      <c r="Y883" s="174"/>
      <c r="Z883" s="174"/>
    </row>
    <row r="884" customFormat="false" ht="15.75" hidden="false" customHeight="false" outlineLevel="0" collapsed="false">
      <c r="A884" s="174"/>
      <c r="B884" s="174"/>
      <c r="C884" s="174"/>
      <c r="D884" s="174"/>
      <c r="E884" s="174"/>
      <c r="F884" s="174"/>
      <c r="G884" s="174"/>
      <c r="H884" s="174"/>
      <c r="I884" s="174"/>
      <c r="J884" s="174"/>
      <c r="K884" s="174"/>
      <c r="L884" s="174"/>
      <c r="M884" s="174"/>
      <c r="N884" s="174"/>
      <c r="O884" s="174"/>
      <c r="P884" s="174"/>
      <c r="Q884" s="174"/>
      <c r="R884" s="174"/>
      <c r="S884" s="174"/>
      <c r="T884" s="174"/>
      <c r="U884" s="174"/>
      <c r="V884" s="174"/>
      <c r="W884" s="174"/>
      <c r="X884" s="174"/>
      <c r="Y884" s="174"/>
      <c r="Z884" s="174"/>
    </row>
    <row r="885" customFormat="false" ht="15.75" hidden="false" customHeight="false" outlineLevel="0" collapsed="false">
      <c r="A885" s="174"/>
      <c r="B885" s="174"/>
      <c r="C885" s="174"/>
      <c r="D885" s="174"/>
      <c r="E885" s="174"/>
      <c r="F885" s="174"/>
      <c r="G885" s="174"/>
      <c r="H885" s="174"/>
      <c r="I885" s="174"/>
      <c r="J885" s="174"/>
      <c r="K885" s="174"/>
      <c r="L885" s="174"/>
      <c r="M885" s="174"/>
      <c r="N885" s="174"/>
      <c r="O885" s="174"/>
      <c r="P885" s="174"/>
      <c r="Q885" s="174"/>
      <c r="R885" s="174"/>
      <c r="S885" s="174"/>
      <c r="T885" s="174"/>
      <c r="U885" s="174"/>
      <c r="V885" s="174"/>
      <c r="W885" s="174"/>
      <c r="X885" s="174"/>
      <c r="Y885" s="174"/>
      <c r="Z885" s="174"/>
    </row>
    <row r="886" customFormat="false" ht="15.75" hidden="false" customHeight="false" outlineLevel="0" collapsed="false">
      <c r="A886" s="174"/>
      <c r="B886" s="174"/>
      <c r="C886" s="174"/>
      <c r="D886" s="174"/>
      <c r="E886" s="174"/>
      <c r="F886" s="174"/>
      <c r="G886" s="174"/>
      <c r="H886" s="174"/>
      <c r="I886" s="174"/>
      <c r="J886" s="174"/>
      <c r="K886" s="174"/>
      <c r="L886" s="174"/>
      <c r="M886" s="174"/>
      <c r="N886" s="174"/>
      <c r="O886" s="174"/>
      <c r="P886" s="174"/>
      <c r="Q886" s="174"/>
      <c r="R886" s="174"/>
      <c r="S886" s="174"/>
      <c r="T886" s="174"/>
      <c r="U886" s="174"/>
      <c r="V886" s="174"/>
      <c r="W886" s="174"/>
      <c r="X886" s="174"/>
      <c r="Y886" s="174"/>
      <c r="Z886" s="174"/>
    </row>
    <row r="887" customFormat="false" ht="15.75" hidden="false" customHeight="false" outlineLevel="0" collapsed="false">
      <c r="A887" s="174"/>
      <c r="B887" s="174"/>
      <c r="C887" s="174"/>
      <c r="D887" s="174"/>
      <c r="E887" s="174"/>
      <c r="F887" s="174"/>
      <c r="G887" s="174"/>
      <c r="H887" s="174"/>
      <c r="I887" s="174"/>
      <c r="J887" s="174"/>
      <c r="K887" s="174"/>
      <c r="L887" s="174"/>
      <c r="M887" s="174"/>
      <c r="N887" s="174"/>
      <c r="O887" s="174"/>
      <c r="P887" s="174"/>
      <c r="Q887" s="174"/>
      <c r="R887" s="174"/>
      <c r="S887" s="174"/>
      <c r="T887" s="174"/>
      <c r="U887" s="174"/>
      <c r="V887" s="174"/>
      <c r="W887" s="174"/>
      <c r="X887" s="174"/>
      <c r="Y887" s="174"/>
      <c r="Z887" s="174"/>
    </row>
    <row r="888" customFormat="false" ht="15.75" hidden="false" customHeight="false" outlineLevel="0" collapsed="false">
      <c r="A888" s="174"/>
      <c r="B888" s="174"/>
      <c r="C888" s="174"/>
      <c r="D888" s="174"/>
      <c r="E888" s="174"/>
      <c r="F888" s="174"/>
      <c r="G888" s="174"/>
      <c r="H888" s="174"/>
      <c r="I888" s="174"/>
      <c r="J888" s="174"/>
      <c r="K888" s="174"/>
      <c r="L888" s="174"/>
      <c r="M888" s="174"/>
      <c r="N888" s="174"/>
      <c r="O888" s="174"/>
      <c r="P888" s="174"/>
      <c r="Q888" s="174"/>
      <c r="R888" s="174"/>
      <c r="S888" s="174"/>
      <c r="T888" s="174"/>
      <c r="U888" s="174"/>
      <c r="V888" s="174"/>
      <c r="W888" s="174"/>
      <c r="X888" s="174"/>
      <c r="Y888" s="174"/>
      <c r="Z888" s="174"/>
    </row>
    <row r="889" customFormat="false" ht="15.75" hidden="false" customHeight="false" outlineLevel="0" collapsed="false">
      <c r="A889" s="174"/>
      <c r="B889" s="174"/>
      <c r="C889" s="174"/>
      <c r="D889" s="174"/>
      <c r="E889" s="174"/>
      <c r="F889" s="174"/>
      <c r="G889" s="174"/>
      <c r="H889" s="174"/>
      <c r="I889" s="174"/>
      <c r="J889" s="174"/>
      <c r="K889" s="174"/>
      <c r="L889" s="174"/>
      <c r="M889" s="174"/>
      <c r="N889" s="174"/>
      <c r="O889" s="174"/>
      <c r="P889" s="174"/>
      <c r="Q889" s="174"/>
      <c r="R889" s="174"/>
      <c r="S889" s="174"/>
      <c r="T889" s="174"/>
      <c r="U889" s="174"/>
      <c r="V889" s="174"/>
      <c r="W889" s="174"/>
      <c r="X889" s="174"/>
      <c r="Y889" s="174"/>
      <c r="Z889" s="174"/>
    </row>
    <row r="890" customFormat="false" ht="15.75" hidden="false" customHeight="false" outlineLevel="0" collapsed="false">
      <c r="A890" s="174"/>
      <c r="B890" s="174"/>
      <c r="C890" s="174"/>
      <c r="D890" s="174"/>
      <c r="E890" s="174"/>
      <c r="F890" s="174"/>
      <c r="G890" s="174"/>
      <c r="H890" s="174"/>
      <c r="I890" s="174"/>
      <c r="J890" s="174"/>
      <c r="K890" s="174"/>
      <c r="L890" s="174"/>
      <c r="M890" s="174"/>
      <c r="N890" s="174"/>
      <c r="O890" s="174"/>
      <c r="P890" s="174"/>
      <c r="Q890" s="174"/>
      <c r="R890" s="174"/>
      <c r="S890" s="174"/>
      <c r="T890" s="174"/>
      <c r="U890" s="174"/>
      <c r="V890" s="174"/>
      <c r="W890" s="174"/>
      <c r="X890" s="174"/>
      <c r="Y890" s="174"/>
      <c r="Z890" s="174"/>
    </row>
    <row r="891" customFormat="false" ht="15.75" hidden="false" customHeight="false" outlineLevel="0" collapsed="false">
      <c r="A891" s="174"/>
      <c r="B891" s="174"/>
      <c r="C891" s="174"/>
      <c r="D891" s="174"/>
      <c r="E891" s="174"/>
      <c r="F891" s="174"/>
      <c r="G891" s="174"/>
      <c r="H891" s="174"/>
      <c r="I891" s="174"/>
      <c r="J891" s="174"/>
      <c r="K891" s="174"/>
      <c r="L891" s="174"/>
      <c r="M891" s="174"/>
      <c r="N891" s="174"/>
      <c r="O891" s="174"/>
      <c r="P891" s="174"/>
      <c r="Q891" s="174"/>
      <c r="R891" s="174"/>
      <c r="S891" s="174"/>
      <c r="T891" s="174"/>
      <c r="U891" s="174"/>
      <c r="V891" s="174"/>
      <c r="W891" s="174"/>
      <c r="X891" s="174"/>
      <c r="Y891" s="174"/>
      <c r="Z891" s="174"/>
    </row>
    <row r="892" customFormat="false" ht="15.75" hidden="false" customHeight="false" outlineLevel="0" collapsed="false">
      <c r="A892" s="174"/>
      <c r="B892" s="174"/>
      <c r="C892" s="174"/>
      <c r="D892" s="174"/>
      <c r="E892" s="174"/>
      <c r="F892" s="174"/>
      <c r="G892" s="174"/>
      <c r="H892" s="174"/>
      <c r="I892" s="174"/>
      <c r="J892" s="174"/>
      <c r="K892" s="174"/>
      <c r="L892" s="174"/>
      <c r="M892" s="174"/>
      <c r="N892" s="174"/>
      <c r="O892" s="174"/>
      <c r="P892" s="174"/>
      <c r="Q892" s="174"/>
      <c r="R892" s="174"/>
      <c r="S892" s="174"/>
      <c r="T892" s="174"/>
      <c r="U892" s="174"/>
      <c r="V892" s="174"/>
      <c r="W892" s="174"/>
      <c r="X892" s="174"/>
      <c r="Y892" s="174"/>
      <c r="Z892" s="174"/>
    </row>
    <row r="893" customFormat="false" ht="15.75" hidden="false" customHeight="false" outlineLevel="0" collapsed="false">
      <c r="A893" s="174"/>
      <c r="B893" s="174"/>
      <c r="C893" s="174"/>
      <c r="D893" s="174"/>
      <c r="E893" s="174"/>
      <c r="F893" s="174"/>
      <c r="G893" s="174"/>
      <c r="H893" s="174"/>
      <c r="I893" s="174"/>
      <c r="J893" s="174"/>
      <c r="K893" s="174"/>
      <c r="L893" s="174"/>
      <c r="M893" s="174"/>
      <c r="N893" s="174"/>
      <c r="O893" s="174"/>
      <c r="P893" s="174"/>
      <c r="Q893" s="174"/>
      <c r="R893" s="174"/>
      <c r="S893" s="174"/>
      <c r="T893" s="174"/>
      <c r="U893" s="174"/>
      <c r="V893" s="174"/>
      <c r="W893" s="174"/>
      <c r="X893" s="174"/>
      <c r="Y893" s="174"/>
      <c r="Z893" s="174"/>
    </row>
    <row r="894" customFormat="false" ht="15.75" hidden="false" customHeight="false" outlineLevel="0" collapsed="false">
      <c r="A894" s="174"/>
      <c r="B894" s="174"/>
      <c r="C894" s="174"/>
      <c r="D894" s="174"/>
      <c r="E894" s="174"/>
      <c r="F894" s="174"/>
      <c r="G894" s="174"/>
      <c r="H894" s="174"/>
      <c r="I894" s="174"/>
      <c r="J894" s="174"/>
      <c r="K894" s="174"/>
      <c r="L894" s="174"/>
      <c r="M894" s="174"/>
      <c r="N894" s="174"/>
      <c r="O894" s="174"/>
      <c r="P894" s="174"/>
      <c r="Q894" s="174"/>
      <c r="R894" s="174"/>
      <c r="S894" s="174"/>
      <c r="T894" s="174"/>
      <c r="U894" s="174"/>
      <c r="V894" s="174"/>
      <c r="W894" s="174"/>
      <c r="X894" s="174"/>
      <c r="Y894" s="174"/>
      <c r="Z894" s="174"/>
    </row>
    <row r="895" customFormat="false" ht="15.75" hidden="false" customHeight="false" outlineLevel="0" collapsed="false">
      <c r="A895" s="174"/>
      <c r="B895" s="174"/>
      <c r="C895" s="174"/>
      <c r="D895" s="174"/>
      <c r="E895" s="174"/>
      <c r="F895" s="174"/>
      <c r="G895" s="174"/>
      <c r="H895" s="174"/>
      <c r="I895" s="174"/>
      <c r="J895" s="174"/>
      <c r="K895" s="174"/>
      <c r="L895" s="174"/>
      <c r="M895" s="174"/>
      <c r="N895" s="174"/>
      <c r="O895" s="174"/>
      <c r="P895" s="174"/>
      <c r="Q895" s="174"/>
      <c r="R895" s="174"/>
      <c r="S895" s="174"/>
      <c r="T895" s="174"/>
      <c r="U895" s="174"/>
      <c r="V895" s="174"/>
      <c r="W895" s="174"/>
      <c r="X895" s="174"/>
      <c r="Y895" s="174"/>
      <c r="Z895" s="174"/>
    </row>
    <row r="896" customFormat="false" ht="15.75" hidden="false" customHeight="false" outlineLevel="0" collapsed="false">
      <c r="A896" s="174"/>
      <c r="B896" s="174"/>
      <c r="C896" s="174"/>
      <c r="D896" s="174"/>
      <c r="E896" s="174"/>
      <c r="F896" s="174"/>
      <c r="G896" s="174"/>
      <c r="H896" s="174"/>
      <c r="I896" s="174"/>
      <c r="J896" s="174"/>
      <c r="K896" s="174"/>
      <c r="L896" s="174"/>
      <c r="M896" s="174"/>
      <c r="N896" s="174"/>
      <c r="O896" s="174"/>
      <c r="P896" s="174"/>
      <c r="Q896" s="174"/>
      <c r="R896" s="174"/>
      <c r="S896" s="174"/>
      <c r="T896" s="174"/>
      <c r="U896" s="174"/>
      <c r="V896" s="174"/>
      <c r="W896" s="174"/>
      <c r="X896" s="174"/>
      <c r="Y896" s="174"/>
      <c r="Z896" s="174"/>
    </row>
    <row r="897" customFormat="false" ht="15.75" hidden="false" customHeight="false" outlineLevel="0" collapsed="false">
      <c r="A897" s="174"/>
      <c r="B897" s="174"/>
      <c r="C897" s="174"/>
      <c r="D897" s="174"/>
      <c r="E897" s="174"/>
      <c r="F897" s="174"/>
      <c r="G897" s="174"/>
      <c r="H897" s="174"/>
      <c r="I897" s="174"/>
      <c r="J897" s="174"/>
      <c r="K897" s="174"/>
      <c r="L897" s="174"/>
      <c r="M897" s="174"/>
      <c r="N897" s="174"/>
      <c r="O897" s="174"/>
      <c r="P897" s="174"/>
      <c r="Q897" s="174"/>
      <c r="R897" s="174"/>
      <c r="S897" s="174"/>
      <c r="T897" s="174"/>
      <c r="U897" s="174"/>
      <c r="V897" s="174"/>
      <c r="W897" s="174"/>
      <c r="X897" s="174"/>
      <c r="Y897" s="174"/>
      <c r="Z897" s="174"/>
    </row>
    <row r="898" customFormat="false" ht="15.75" hidden="false" customHeight="false" outlineLevel="0" collapsed="false">
      <c r="A898" s="174"/>
      <c r="B898" s="174"/>
      <c r="C898" s="174"/>
      <c r="D898" s="174"/>
      <c r="E898" s="174"/>
      <c r="F898" s="174"/>
      <c r="G898" s="174"/>
      <c r="H898" s="174"/>
      <c r="I898" s="174"/>
      <c r="J898" s="174"/>
      <c r="K898" s="174"/>
      <c r="L898" s="174"/>
      <c r="M898" s="174"/>
      <c r="N898" s="174"/>
      <c r="O898" s="174"/>
      <c r="P898" s="174"/>
      <c r="Q898" s="174"/>
      <c r="R898" s="174"/>
      <c r="S898" s="174"/>
      <c r="T898" s="174"/>
      <c r="U898" s="174"/>
      <c r="V898" s="174"/>
      <c r="W898" s="174"/>
      <c r="X898" s="174"/>
      <c r="Y898" s="174"/>
      <c r="Z898" s="174"/>
    </row>
    <row r="899" customFormat="false" ht="15.75" hidden="false" customHeight="false" outlineLevel="0" collapsed="false">
      <c r="A899" s="174"/>
      <c r="B899" s="174"/>
      <c r="C899" s="174"/>
      <c r="D899" s="174"/>
      <c r="E899" s="174"/>
      <c r="F899" s="174"/>
      <c r="G899" s="174"/>
      <c r="H899" s="174"/>
      <c r="I899" s="174"/>
      <c r="J899" s="174"/>
      <c r="K899" s="174"/>
      <c r="L899" s="174"/>
      <c r="M899" s="174"/>
      <c r="N899" s="174"/>
      <c r="O899" s="174"/>
      <c r="P899" s="174"/>
      <c r="Q899" s="174"/>
      <c r="R899" s="174"/>
      <c r="S899" s="174"/>
      <c r="T899" s="174"/>
      <c r="U899" s="174"/>
      <c r="V899" s="174"/>
      <c r="W899" s="174"/>
      <c r="X899" s="174"/>
      <c r="Y899" s="174"/>
      <c r="Z899" s="174"/>
    </row>
    <row r="900" customFormat="false" ht="15.75" hidden="false" customHeight="false" outlineLevel="0" collapsed="false">
      <c r="A900" s="174"/>
      <c r="B900" s="174"/>
      <c r="C900" s="174"/>
      <c r="D900" s="174"/>
      <c r="E900" s="174"/>
      <c r="F900" s="174"/>
      <c r="G900" s="174"/>
      <c r="H900" s="174"/>
      <c r="I900" s="174"/>
      <c r="J900" s="174"/>
      <c r="K900" s="174"/>
      <c r="L900" s="174"/>
      <c r="M900" s="174"/>
      <c r="N900" s="174"/>
      <c r="O900" s="174"/>
      <c r="P900" s="174"/>
      <c r="Q900" s="174"/>
      <c r="R900" s="174"/>
      <c r="S900" s="174"/>
      <c r="T900" s="174"/>
      <c r="U900" s="174"/>
      <c r="V900" s="174"/>
      <c r="W900" s="174"/>
      <c r="X900" s="174"/>
      <c r="Y900" s="174"/>
      <c r="Z900" s="174"/>
    </row>
    <row r="901" customFormat="false" ht="15.75" hidden="false" customHeight="false" outlineLevel="0" collapsed="false">
      <c r="A901" s="174"/>
      <c r="B901" s="174"/>
      <c r="C901" s="174"/>
      <c r="D901" s="174"/>
      <c r="E901" s="174"/>
      <c r="F901" s="174"/>
      <c r="G901" s="174"/>
      <c r="H901" s="174"/>
      <c r="I901" s="174"/>
      <c r="J901" s="174"/>
      <c r="K901" s="174"/>
      <c r="L901" s="174"/>
      <c r="M901" s="174"/>
      <c r="N901" s="174"/>
      <c r="O901" s="174"/>
      <c r="P901" s="174"/>
      <c r="Q901" s="174"/>
      <c r="R901" s="174"/>
      <c r="S901" s="174"/>
      <c r="T901" s="174"/>
      <c r="U901" s="174"/>
      <c r="V901" s="174"/>
      <c r="W901" s="174"/>
      <c r="X901" s="174"/>
      <c r="Y901" s="174"/>
      <c r="Z901" s="174"/>
    </row>
    <row r="902" customFormat="false" ht="15.75" hidden="false" customHeight="false" outlineLevel="0" collapsed="false">
      <c r="A902" s="174"/>
      <c r="B902" s="174"/>
      <c r="C902" s="174"/>
      <c r="D902" s="174"/>
      <c r="E902" s="174"/>
      <c r="F902" s="174"/>
      <c r="G902" s="174"/>
      <c r="H902" s="174"/>
      <c r="I902" s="174"/>
      <c r="J902" s="174"/>
      <c r="K902" s="174"/>
      <c r="L902" s="174"/>
      <c r="M902" s="174"/>
      <c r="N902" s="174"/>
      <c r="O902" s="174"/>
      <c r="P902" s="174"/>
      <c r="Q902" s="174"/>
      <c r="R902" s="174"/>
      <c r="S902" s="174"/>
      <c r="T902" s="174"/>
      <c r="U902" s="174"/>
      <c r="V902" s="174"/>
      <c r="W902" s="174"/>
      <c r="X902" s="174"/>
      <c r="Y902" s="174"/>
      <c r="Z902" s="174"/>
    </row>
    <row r="903" customFormat="false" ht="15.75" hidden="false" customHeight="false" outlineLevel="0" collapsed="false">
      <c r="A903" s="174"/>
      <c r="B903" s="174"/>
      <c r="C903" s="174"/>
      <c r="D903" s="174"/>
      <c r="E903" s="174"/>
      <c r="F903" s="174"/>
      <c r="G903" s="174"/>
      <c r="H903" s="174"/>
      <c r="I903" s="174"/>
      <c r="J903" s="174"/>
      <c r="K903" s="174"/>
      <c r="L903" s="174"/>
      <c r="M903" s="174"/>
      <c r="N903" s="174"/>
      <c r="O903" s="174"/>
      <c r="P903" s="174"/>
      <c r="Q903" s="174"/>
      <c r="R903" s="174"/>
      <c r="S903" s="174"/>
      <c r="T903" s="174"/>
      <c r="U903" s="174"/>
      <c r="V903" s="174"/>
      <c r="W903" s="174"/>
      <c r="X903" s="174"/>
      <c r="Y903" s="174"/>
      <c r="Z903" s="174"/>
    </row>
    <row r="904" customFormat="false" ht="15.75" hidden="false" customHeight="false" outlineLevel="0" collapsed="false">
      <c r="A904" s="174"/>
      <c r="B904" s="174"/>
      <c r="C904" s="174"/>
      <c r="D904" s="174"/>
      <c r="E904" s="174"/>
      <c r="F904" s="174"/>
      <c r="G904" s="174"/>
      <c r="H904" s="174"/>
      <c r="I904" s="174"/>
      <c r="J904" s="174"/>
      <c r="K904" s="174"/>
      <c r="L904" s="174"/>
      <c r="M904" s="174"/>
      <c r="N904" s="174"/>
      <c r="O904" s="174"/>
      <c r="P904" s="174"/>
      <c r="Q904" s="174"/>
      <c r="R904" s="174"/>
      <c r="S904" s="174"/>
      <c r="T904" s="174"/>
      <c r="U904" s="174"/>
      <c r="V904" s="174"/>
      <c r="W904" s="174"/>
      <c r="X904" s="174"/>
      <c r="Y904" s="174"/>
      <c r="Z904" s="174"/>
    </row>
    <row r="905" customFormat="false" ht="15.75" hidden="false" customHeight="false" outlineLevel="0" collapsed="false">
      <c r="A905" s="174"/>
      <c r="B905" s="174"/>
      <c r="C905" s="174"/>
      <c r="D905" s="174"/>
      <c r="E905" s="174"/>
      <c r="F905" s="174"/>
      <c r="G905" s="174"/>
      <c r="H905" s="174"/>
      <c r="I905" s="174"/>
      <c r="J905" s="174"/>
      <c r="K905" s="174"/>
      <c r="L905" s="174"/>
      <c r="M905" s="174"/>
      <c r="N905" s="174"/>
      <c r="O905" s="174"/>
      <c r="P905" s="174"/>
      <c r="Q905" s="174"/>
      <c r="R905" s="174"/>
      <c r="S905" s="174"/>
      <c r="T905" s="174"/>
      <c r="U905" s="174"/>
      <c r="V905" s="174"/>
      <c r="W905" s="174"/>
      <c r="X905" s="174"/>
      <c r="Y905" s="174"/>
      <c r="Z905" s="174"/>
    </row>
    <row r="906" customFormat="false" ht="15.75" hidden="false" customHeight="false" outlineLevel="0" collapsed="false">
      <c r="A906" s="174"/>
      <c r="B906" s="174"/>
      <c r="C906" s="174"/>
      <c r="D906" s="174"/>
      <c r="E906" s="174"/>
      <c r="F906" s="174"/>
      <c r="G906" s="174"/>
      <c r="H906" s="174"/>
      <c r="I906" s="174"/>
      <c r="J906" s="174"/>
      <c r="K906" s="174"/>
      <c r="L906" s="174"/>
      <c r="M906" s="174"/>
      <c r="N906" s="174"/>
      <c r="O906" s="174"/>
      <c r="P906" s="174"/>
      <c r="Q906" s="174"/>
      <c r="R906" s="174"/>
      <c r="S906" s="174"/>
      <c r="T906" s="174"/>
      <c r="U906" s="174"/>
      <c r="V906" s="174"/>
      <c r="W906" s="174"/>
      <c r="X906" s="174"/>
      <c r="Y906" s="174"/>
      <c r="Z906" s="174"/>
    </row>
    <row r="907" customFormat="false" ht="15.75" hidden="false" customHeight="false" outlineLevel="0" collapsed="false">
      <c r="A907" s="174"/>
      <c r="B907" s="174"/>
      <c r="C907" s="174"/>
      <c r="D907" s="174"/>
      <c r="E907" s="174"/>
      <c r="F907" s="174"/>
      <c r="G907" s="174"/>
      <c r="H907" s="174"/>
      <c r="I907" s="174"/>
      <c r="J907" s="174"/>
      <c r="K907" s="174"/>
      <c r="L907" s="174"/>
      <c r="M907" s="174"/>
      <c r="N907" s="174"/>
      <c r="O907" s="174"/>
      <c r="P907" s="174"/>
      <c r="Q907" s="174"/>
      <c r="R907" s="174"/>
      <c r="S907" s="174"/>
      <c r="T907" s="174"/>
      <c r="U907" s="174"/>
      <c r="V907" s="174"/>
      <c r="W907" s="174"/>
      <c r="X907" s="174"/>
      <c r="Y907" s="174"/>
      <c r="Z907" s="174"/>
    </row>
    <row r="908" customFormat="false" ht="15.75" hidden="false" customHeight="false" outlineLevel="0" collapsed="false">
      <c r="A908" s="174"/>
      <c r="B908" s="174"/>
      <c r="C908" s="174"/>
      <c r="D908" s="174"/>
      <c r="E908" s="174"/>
      <c r="F908" s="174"/>
      <c r="G908" s="174"/>
      <c r="H908" s="174"/>
      <c r="I908" s="174"/>
      <c r="J908" s="174"/>
      <c r="K908" s="174"/>
      <c r="L908" s="174"/>
      <c r="M908" s="174"/>
      <c r="N908" s="174"/>
      <c r="O908" s="174"/>
      <c r="P908" s="174"/>
      <c r="Q908" s="174"/>
      <c r="R908" s="174"/>
      <c r="S908" s="174"/>
      <c r="T908" s="174"/>
      <c r="U908" s="174"/>
      <c r="V908" s="174"/>
      <c r="W908" s="174"/>
      <c r="X908" s="174"/>
      <c r="Y908" s="174"/>
      <c r="Z908" s="174"/>
    </row>
    <row r="909" customFormat="false" ht="15.75" hidden="false" customHeight="false" outlineLevel="0" collapsed="false">
      <c r="A909" s="174"/>
      <c r="B909" s="174"/>
      <c r="C909" s="174"/>
      <c r="D909" s="174"/>
      <c r="E909" s="174"/>
      <c r="F909" s="174"/>
      <c r="G909" s="174"/>
      <c r="H909" s="174"/>
      <c r="I909" s="174"/>
      <c r="J909" s="174"/>
      <c r="K909" s="174"/>
      <c r="L909" s="174"/>
      <c r="M909" s="174"/>
      <c r="N909" s="174"/>
      <c r="O909" s="174"/>
      <c r="P909" s="174"/>
      <c r="Q909" s="174"/>
      <c r="R909" s="174"/>
      <c r="S909" s="174"/>
      <c r="T909" s="174"/>
      <c r="U909" s="174"/>
      <c r="V909" s="174"/>
      <c r="W909" s="174"/>
      <c r="X909" s="174"/>
      <c r="Y909" s="174"/>
      <c r="Z909" s="174"/>
    </row>
    <row r="910" customFormat="false" ht="15.75" hidden="false" customHeight="false" outlineLevel="0" collapsed="false">
      <c r="A910" s="174"/>
      <c r="B910" s="174"/>
      <c r="C910" s="174"/>
      <c r="D910" s="174"/>
      <c r="E910" s="174"/>
      <c r="F910" s="174"/>
      <c r="G910" s="174"/>
      <c r="H910" s="174"/>
      <c r="I910" s="174"/>
      <c r="J910" s="174"/>
      <c r="K910" s="174"/>
      <c r="L910" s="174"/>
      <c r="M910" s="174"/>
      <c r="N910" s="174"/>
      <c r="O910" s="174"/>
      <c r="P910" s="174"/>
      <c r="Q910" s="174"/>
      <c r="R910" s="174"/>
      <c r="S910" s="174"/>
      <c r="T910" s="174"/>
      <c r="U910" s="174"/>
      <c r="V910" s="174"/>
      <c r="W910" s="174"/>
      <c r="X910" s="174"/>
      <c r="Y910" s="174"/>
      <c r="Z910" s="174"/>
    </row>
    <row r="911" customFormat="false" ht="15.75" hidden="false" customHeight="false" outlineLevel="0" collapsed="false">
      <c r="A911" s="174"/>
      <c r="B911" s="174"/>
      <c r="C911" s="174"/>
      <c r="D911" s="174"/>
      <c r="E911" s="174"/>
      <c r="F911" s="174"/>
      <c r="G911" s="174"/>
      <c r="H911" s="174"/>
      <c r="I911" s="174"/>
      <c r="J911" s="174"/>
      <c r="K911" s="174"/>
      <c r="L911" s="174"/>
      <c r="M911" s="174"/>
      <c r="N911" s="174"/>
      <c r="O911" s="174"/>
      <c r="P911" s="174"/>
      <c r="Q911" s="174"/>
      <c r="R911" s="174"/>
      <c r="S911" s="174"/>
      <c r="T911" s="174"/>
      <c r="U911" s="174"/>
      <c r="V911" s="174"/>
      <c r="W911" s="174"/>
      <c r="X911" s="174"/>
      <c r="Y911" s="174"/>
      <c r="Z911" s="174"/>
    </row>
    <row r="912" customFormat="false" ht="15.75" hidden="false" customHeight="false" outlineLevel="0" collapsed="false">
      <c r="A912" s="174"/>
      <c r="B912" s="174"/>
      <c r="C912" s="174"/>
      <c r="D912" s="174"/>
      <c r="E912" s="174"/>
      <c r="F912" s="174"/>
      <c r="G912" s="174"/>
      <c r="H912" s="174"/>
      <c r="I912" s="174"/>
      <c r="J912" s="174"/>
      <c r="K912" s="174"/>
      <c r="L912" s="174"/>
      <c r="M912" s="174"/>
      <c r="N912" s="174"/>
      <c r="O912" s="174"/>
      <c r="P912" s="174"/>
      <c r="Q912" s="174"/>
      <c r="R912" s="174"/>
      <c r="S912" s="174"/>
      <c r="T912" s="174"/>
      <c r="U912" s="174"/>
      <c r="V912" s="174"/>
      <c r="W912" s="174"/>
      <c r="X912" s="174"/>
      <c r="Y912" s="174"/>
      <c r="Z912" s="174"/>
    </row>
    <row r="913" customFormat="false" ht="15.75" hidden="false" customHeight="false" outlineLevel="0" collapsed="false">
      <c r="A913" s="174"/>
      <c r="B913" s="174"/>
      <c r="C913" s="174"/>
      <c r="D913" s="174"/>
      <c r="E913" s="174"/>
      <c r="F913" s="174"/>
      <c r="G913" s="174"/>
      <c r="H913" s="174"/>
      <c r="I913" s="174"/>
      <c r="J913" s="174"/>
      <c r="K913" s="174"/>
      <c r="L913" s="174"/>
      <c r="M913" s="174"/>
      <c r="N913" s="174"/>
      <c r="O913" s="174"/>
      <c r="P913" s="174"/>
      <c r="Q913" s="174"/>
      <c r="R913" s="174"/>
      <c r="S913" s="174"/>
      <c r="T913" s="174"/>
      <c r="U913" s="174"/>
      <c r="V913" s="174"/>
      <c r="W913" s="174"/>
      <c r="X913" s="174"/>
      <c r="Y913" s="174"/>
      <c r="Z913" s="174"/>
    </row>
    <row r="914" customFormat="false" ht="15.75" hidden="false" customHeight="false" outlineLevel="0" collapsed="false">
      <c r="A914" s="174"/>
      <c r="B914" s="174"/>
      <c r="C914" s="174"/>
      <c r="D914" s="174"/>
      <c r="E914" s="174"/>
      <c r="F914" s="174"/>
      <c r="G914" s="174"/>
      <c r="H914" s="174"/>
      <c r="I914" s="174"/>
      <c r="J914" s="174"/>
      <c r="K914" s="174"/>
      <c r="L914" s="174"/>
      <c r="M914" s="174"/>
      <c r="N914" s="174"/>
      <c r="O914" s="174"/>
      <c r="P914" s="174"/>
      <c r="Q914" s="174"/>
      <c r="R914" s="174"/>
      <c r="S914" s="174"/>
      <c r="T914" s="174"/>
      <c r="U914" s="174"/>
      <c r="V914" s="174"/>
      <c r="W914" s="174"/>
      <c r="X914" s="174"/>
      <c r="Y914" s="174"/>
      <c r="Z914" s="174"/>
    </row>
    <row r="915" customFormat="false" ht="15.75" hidden="false" customHeight="false" outlineLevel="0" collapsed="false">
      <c r="A915" s="174"/>
      <c r="B915" s="174"/>
      <c r="C915" s="174"/>
      <c r="D915" s="174"/>
      <c r="E915" s="174"/>
      <c r="F915" s="174"/>
      <c r="G915" s="174"/>
      <c r="H915" s="174"/>
      <c r="I915" s="174"/>
      <c r="J915" s="174"/>
      <c r="K915" s="174"/>
      <c r="L915" s="174"/>
      <c r="M915" s="174"/>
      <c r="N915" s="174"/>
      <c r="O915" s="174"/>
      <c r="P915" s="174"/>
      <c r="Q915" s="174"/>
      <c r="R915" s="174"/>
      <c r="S915" s="174"/>
      <c r="T915" s="174"/>
      <c r="U915" s="174"/>
      <c r="V915" s="174"/>
      <c r="W915" s="174"/>
      <c r="X915" s="174"/>
      <c r="Y915" s="174"/>
      <c r="Z915" s="174"/>
    </row>
    <row r="916" customFormat="false" ht="15.75" hidden="false" customHeight="false" outlineLevel="0" collapsed="false">
      <c r="A916" s="174"/>
      <c r="B916" s="174"/>
      <c r="C916" s="174"/>
      <c r="D916" s="174"/>
      <c r="E916" s="174"/>
      <c r="F916" s="174"/>
      <c r="G916" s="174"/>
      <c r="H916" s="174"/>
      <c r="I916" s="174"/>
      <c r="J916" s="174"/>
      <c r="K916" s="174"/>
      <c r="L916" s="174"/>
      <c r="M916" s="174"/>
      <c r="N916" s="174"/>
      <c r="O916" s="174"/>
      <c r="P916" s="174"/>
      <c r="Q916" s="174"/>
      <c r="R916" s="174"/>
      <c r="S916" s="174"/>
      <c r="T916" s="174"/>
      <c r="U916" s="174"/>
      <c r="V916" s="174"/>
      <c r="W916" s="174"/>
      <c r="X916" s="174"/>
      <c r="Y916" s="174"/>
      <c r="Z916" s="174"/>
    </row>
    <row r="917" customFormat="false" ht="15.75" hidden="false" customHeight="false" outlineLevel="0" collapsed="false">
      <c r="A917" s="174"/>
      <c r="B917" s="174"/>
      <c r="C917" s="174"/>
      <c r="D917" s="174"/>
      <c r="E917" s="174"/>
      <c r="F917" s="174"/>
      <c r="G917" s="174"/>
      <c r="H917" s="174"/>
      <c r="I917" s="174"/>
      <c r="J917" s="174"/>
      <c r="K917" s="174"/>
      <c r="L917" s="174"/>
      <c r="M917" s="174"/>
      <c r="N917" s="174"/>
      <c r="O917" s="174"/>
      <c r="P917" s="174"/>
      <c r="Q917" s="174"/>
      <c r="R917" s="174"/>
      <c r="S917" s="174"/>
      <c r="T917" s="174"/>
      <c r="U917" s="174"/>
      <c r="V917" s="174"/>
      <c r="W917" s="174"/>
      <c r="X917" s="174"/>
      <c r="Y917" s="174"/>
      <c r="Z917" s="174"/>
    </row>
    <row r="918" customFormat="false" ht="15.75" hidden="false" customHeight="false" outlineLevel="0" collapsed="false">
      <c r="A918" s="174"/>
      <c r="B918" s="174"/>
      <c r="C918" s="174"/>
      <c r="D918" s="174"/>
      <c r="E918" s="174"/>
      <c r="F918" s="174"/>
      <c r="G918" s="174"/>
      <c r="H918" s="174"/>
      <c r="I918" s="174"/>
      <c r="J918" s="174"/>
      <c r="K918" s="174"/>
      <c r="L918" s="174"/>
      <c r="M918" s="174"/>
      <c r="N918" s="174"/>
      <c r="O918" s="174"/>
      <c r="P918" s="174"/>
      <c r="Q918" s="174"/>
      <c r="R918" s="174"/>
      <c r="S918" s="174"/>
      <c r="T918" s="174"/>
      <c r="U918" s="174"/>
      <c r="V918" s="174"/>
      <c r="W918" s="174"/>
      <c r="X918" s="174"/>
      <c r="Y918" s="174"/>
      <c r="Z918" s="174"/>
    </row>
    <row r="919" customFormat="false" ht="15.75" hidden="false" customHeight="false" outlineLevel="0" collapsed="false">
      <c r="A919" s="174"/>
      <c r="B919" s="174"/>
      <c r="C919" s="174"/>
      <c r="D919" s="174"/>
      <c r="E919" s="174"/>
      <c r="F919" s="174"/>
      <c r="G919" s="174"/>
      <c r="H919" s="174"/>
      <c r="I919" s="174"/>
      <c r="J919" s="174"/>
      <c r="K919" s="174"/>
      <c r="L919" s="174"/>
      <c r="M919" s="174"/>
      <c r="N919" s="174"/>
      <c r="O919" s="174"/>
      <c r="P919" s="174"/>
      <c r="Q919" s="174"/>
      <c r="R919" s="174"/>
      <c r="S919" s="174"/>
      <c r="T919" s="174"/>
      <c r="U919" s="174"/>
      <c r="V919" s="174"/>
      <c r="W919" s="174"/>
      <c r="X919" s="174"/>
      <c r="Y919" s="174"/>
      <c r="Z919" s="174"/>
    </row>
    <row r="920" customFormat="false" ht="15.75" hidden="false" customHeight="false" outlineLevel="0" collapsed="false">
      <c r="A920" s="174"/>
      <c r="B920" s="174"/>
      <c r="C920" s="174"/>
      <c r="D920" s="174"/>
      <c r="E920" s="174"/>
      <c r="F920" s="174"/>
      <c r="G920" s="174"/>
      <c r="H920" s="174"/>
      <c r="I920" s="174"/>
      <c r="J920" s="174"/>
      <c r="K920" s="174"/>
      <c r="L920" s="174"/>
      <c r="M920" s="174"/>
      <c r="N920" s="174"/>
      <c r="O920" s="174"/>
      <c r="P920" s="174"/>
      <c r="Q920" s="174"/>
      <c r="R920" s="174"/>
      <c r="S920" s="174"/>
      <c r="T920" s="174"/>
      <c r="U920" s="174"/>
      <c r="V920" s="174"/>
      <c r="W920" s="174"/>
      <c r="X920" s="174"/>
      <c r="Y920" s="174"/>
      <c r="Z920" s="174"/>
    </row>
    <row r="921" customFormat="false" ht="15.75" hidden="false" customHeight="false" outlineLevel="0" collapsed="false">
      <c r="A921" s="174"/>
      <c r="B921" s="174"/>
      <c r="C921" s="174"/>
      <c r="D921" s="174"/>
      <c r="E921" s="174"/>
      <c r="F921" s="174"/>
      <c r="G921" s="174"/>
      <c r="H921" s="174"/>
      <c r="I921" s="174"/>
      <c r="J921" s="174"/>
      <c r="K921" s="174"/>
      <c r="L921" s="174"/>
      <c r="M921" s="174"/>
      <c r="N921" s="174"/>
      <c r="O921" s="174"/>
      <c r="P921" s="174"/>
      <c r="Q921" s="174"/>
      <c r="R921" s="174"/>
      <c r="S921" s="174"/>
      <c r="T921" s="174"/>
      <c r="U921" s="174"/>
      <c r="V921" s="174"/>
      <c r="W921" s="174"/>
      <c r="X921" s="174"/>
      <c r="Y921" s="174"/>
      <c r="Z921" s="174"/>
    </row>
    <row r="922" customFormat="false" ht="15.75" hidden="false" customHeight="false" outlineLevel="0" collapsed="false">
      <c r="A922" s="174"/>
      <c r="B922" s="174"/>
      <c r="C922" s="174"/>
      <c r="D922" s="174"/>
      <c r="E922" s="174"/>
      <c r="F922" s="174"/>
      <c r="G922" s="174"/>
      <c r="H922" s="174"/>
      <c r="I922" s="174"/>
      <c r="J922" s="174"/>
      <c r="K922" s="174"/>
      <c r="L922" s="174"/>
      <c r="M922" s="174"/>
      <c r="N922" s="174"/>
      <c r="O922" s="174"/>
      <c r="P922" s="174"/>
      <c r="Q922" s="174"/>
      <c r="R922" s="174"/>
      <c r="S922" s="174"/>
      <c r="T922" s="174"/>
      <c r="U922" s="174"/>
      <c r="V922" s="174"/>
      <c r="W922" s="174"/>
      <c r="X922" s="174"/>
      <c r="Y922" s="174"/>
      <c r="Z922" s="174"/>
    </row>
    <row r="923" customFormat="false" ht="15.75" hidden="false" customHeight="false" outlineLevel="0" collapsed="false">
      <c r="A923" s="174"/>
      <c r="B923" s="174"/>
      <c r="C923" s="174"/>
      <c r="D923" s="174"/>
      <c r="E923" s="174"/>
      <c r="F923" s="174"/>
      <c r="G923" s="174"/>
      <c r="H923" s="174"/>
      <c r="I923" s="174"/>
      <c r="J923" s="174"/>
      <c r="K923" s="174"/>
      <c r="L923" s="174"/>
      <c r="M923" s="174"/>
      <c r="N923" s="174"/>
      <c r="O923" s="174"/>
      <c r="P923" s="174"/>
      <c r="Q923" s="174"/>
      <c r="R923" s="174"/>
      <c r="S923" s="174"/>
      <c r="T923" s="174"/>
      <c r="U923" s="174"/>
      <c r="V923" s="174"/>
      <c r="W923" s="174"/>
      <c r="X923" s="174"/>
      <c r="Y923" s="174"/>
      <c r="Z923" s="174"/>
    </row>
    <row r="924" customFormat="false" ht="15.75" hidden="false" customHeight="false" outlineLevel="0" collapsed="false">
      <c r="A924" s="174"/>
      <c r="B924" s="174"/>
      <c r="C924" s="174"/>
      <c r="D924" s="174"/>
      <c r="E924" s="174"/>
      <c r="F924" s="174"/>
      <c r="G924" s="174"/>
      <c r="H924" s="174"/>
      <c r="I924" s="174"/>
      <c r="J924" s="174"/>
      <c r="K924" s="174"/>
      <c r="L924" s="174"/>
      <c r="M924" s="174"/>
      <c r="N924" s="174"/>
      <c r="O924" s="174"/>
      <c r="P924" s="174"/>
      <c r="Q924" s="174"/>
      <c r="R924" s="174"/>
      <c r="S924" s="174"/>
      <c r="T924" s="174"/>
      <c r="U924" s="174"/>
      <c r="V924" s="174"/>
      <c r="W924" s="174"/>
      <c r="X924" s="174"/>
      <c r="Y924" s="174"/>
      <c r="Z924" s="174"/>
    </row>
    <row r="925" customFormat="false" ht="15.75" hidden="false" customHeight="false" outlineLevel="0" collapsed="false">
      <c r="A925" s="174"/>
      <c r="B925" s="174"/>
      <c r="C925" s="174"/>
      <c r="D925" s="174"/>
      <c r="E925" s="174"/>
      <c r="F925" s="174"/>
      <c r="G925" s="174"/>
      <c r="H925" s="174"/>
      <c r="I925" s="174"/>
      <c r="J925" s="174"/>
      <c r="K925" s="174"/>
      <c r="L925" s="174"/>
      <c r="M925" s="174"/>
      <c r="N925" s="174"/>
      <c r="O925" s="174"/>
      <c r="P925" s="174"/>
      <c r="Q925" s="174"/>
      <c r="R925" s="174"/>
      <c r="S925" s="174"/>
      <c r="T925" s="174"/>
      <c r="U925" s="174"/>
      <c r="V925" s="174"/>
      <c r="W925" s="174"/>
      <c r="X925" s="174"/>
      <c r="Y925" s="174"/>
      <c r="Z925" s="174"/>
    </row>
    <row r="926" customFormat="false" ht="15.75" hidden="false" customHeight="false" outlineLevel="0" collapsed="false">
      <c r="A926" s="174"/>
      <c r="B926" s="174"/>
      <c r="C926" s="174"/>
      <c r="D926" s="174"/>
      <c r="E926" s="174"/>
      <c r="F926" s="174"/>
      <c r="G926" s="174"/>
      <c r="H926" s="174"/>
      <c r="I926" s="174"/>
      <c r="J926" s="174"/>
      <c r="K926" s="174"/>
      <c r="L926" s="174"/>
      <c r="M926" s="174"/>
      <c r="N926" s="174"/>
      <c r="O926" s="174"/>
      <c r="P926" s="174"/>
      <c r="Q926" s="174"/>
      <c r="R926" s="174"/>
      <c r="S926" s="174"/>
      <c r="T926" s="174"/>
      <c r="U926" s="174"/>
      <c r="V926" s="174"/>
      <c r="W926" s="174"/>
      <c r="X926" s="174"/>
      <c r="Y926" s="174"/>
      <c r="Z926" s="174"/>
    </row>
    <row r="927" customFormat="false" ht="15.75" hidden="false" customHeight="false" outlineLevel="0" collapsed="false">
      <c r="A927" s="174"/>
      <c r="B927" s="174"/>
      <c r="C927" s="174"/>
      <c r="D927" s="174"/>
      <c r="E927" s="174"/>
      <c r="F927" s="174"/>
      <c r="G927" s="174"/>
      <c r="H927" s="174"/>
      <c r="I927" s="174"/>
      <c r="J927" s="174"/>
      <c r="K927" s="174"/>
      <c r="L927" s="174"/>
      <c r="M927" s="174"/>
      <c r="N927" s="174"/>
      <c r="O927" s="174"/>
      <c r="P927" s="174"/>
      <c r="Q927" s="174"/>
      <c r="R927" s="174"/>
      <c r="S927" s="174"/>
      <c r="T927" s="174"/>
      <c r="U927" s="174"/>
      <c r="V927" s="174"/>
      <c r="W927" s="174"/>
      <c r="X927" s="174"/>
      <c r="Y927" s="174"/>
      <c r="Z927" s="174"/>
    </row>
    <row r="928" customFormat="false" ht="15.75" hidden="false" customHeight="false" outlineLevel="0" collapsed="false">
      <c r="A928" s="174"/>
      <c r="B928" s="174"/>
      <c r="C928" s="174"/>
      <c r="D928" s="174"/>
      <c r="E928" s="174"/>
      <c r="F928" s="174"/>
      <c r="G928" s="174"/>
      <c r="H928" s="174"/>
      <c r="I928" s="174"/>
      <c r="J928" s="174"/>
      <c r="K928" s="174"/>
      <c r="L928" s="174"/>
      <c r="M928" s="174"/>
      <c r="N928" s="174"/>
      <c r="O928" s="174"/>
      <c r="P928" s="174"/>
      <c r="Q928" s="174"/>
      <c r="R928" s="174"/>
      <c r="S928" s="174"/>
      <c r="T928" s="174"/>
      <c r="U928" s="174"/>
      <c r="V928" s="174"/>
      <c r="W928" s="174"/>
      <c r="X928" s="174"/>
      <c r="Y928" s="174"/>
      <c r="Z928" s="174"/>
    </row>
    <row r="929" customFormat="false" ht="15.75" hidden="false" customHeight="false" outlineLevel="0" collapsed="false">
      <c r="A929" s="174"/>
      <c r="B929" s="174"/>
      <c r="C929" s="174"/>
      <c r="D929" s="174"/>
      <c r="E929" s="174"/>
      <c r="F929" s="174"/>
      <c r="G929" s="174"/>
      <c r="H929" s="174"/>
      <c r="I929" s="174"/>
      <c r="J929" s="174"/>
      <c r="K929" s="174"/>
      <c r="L929" s="174"/>
      <c r="M929" s="174"/>
      <c r="N929" s="174"/>
      <c r="O929" s="174"/>
      <c r="P929" s="174"/>
      <c r="Q929" s="174"/>
      <c r="R929" s="174"/>
      <c r="S929" s="174"/>
      <c r="T929" s="174"/>
      <c r="U929" s="174"/>
      <c r="V929" s="174"/>
      <c r="W929" s="174"/>
      <c r="X929" s="174"/>
      <c r="Y929" s="174"/>
      <c r="Z929" s="174"/>
    </row>
    <row r="930" customFormat="false" ht="15.75" hidden="false" customHeight="false" outlineLevel="0" collapsed="false">
      <c r="A930" s="174"/>
      <c r="B930" s="174"/>
      <c r="C930" s="174"/>
      <c r="D930" s="174"/>
      <c r="E930" s="174"/>
      <c r="F930" s="174"/>
      <c r="G930" s="174"/>
      <c r="H930" s="174"/>
      <c r="I930" s="174"/>
      <c r="J930" s="174"/>
      <c r="K930" s="174"/>
      <c r="L930" s="174"/>
      <c r="M930" s="174"/>
      <c r="N930" s="174"/>
      <c r="O930" s="174"/>
      <c r="P930" s="174"/>
      <c r="Q930" s="174"/>
      <c r="R930" s="174"/>
      <c r="S930" s="174"/>
      <c r="T930" s="174"/>
      <c r="U930" s="174"/>
      <c r="V930" s="174"/>
      <c r="W930" s="174"/>
      <c r="X930" s="174"/>
      <c r="Y930" s="174"/>
      <c r="Z930" s="174"/>
    </row>
    <row r="931" customFormat="false" ht="15.75" hidden="false" customHeight="false" outlineLevel="0" collapsed="false">
      <c r="A931" s="174"/>
      <c r="B931" s="174"/>
      <c r="C931" s="174"/>
      <c r="D931" s="174"/>
      <c r="E931" s="174"/>
      <c r="F931" s="174"/>
      <c r="G931" s="174"/>
      <c r="H931" s="174"/>
      <c r="I931" s="174"/>
      <c r="J931" s="174"/>
      <c r="K931" s="174"/>
      <c r="L931" s="174"/>
      <c r="M931" s="174"/>
      <c r="N931" s="174"/>
      <c r="O931" s="174"/>
      <c r="P931" s="174"/>
      <c r="Q931" s="174"/>
      <c r="R931" s="174"/>
      <c r="S931" s="174"/>
      <c r="T931" s="174"/>
      <c r="U931" s="174"/>
      <c r="V931" s="174"/>
      <c r="W931" s="174"/>
      <c r="X931" s="174"/>
      <c r="Y931" s="174"/>
      <c r="Z931" s="174"/>
    </row>
    <row r="932" customFormat="false" ht="15.75" hidden="false" customHeight="false" outlineLevel="0" collapsed="false">
      <c r="A932" s="174"/>
      <c r="B932" s="174"/>
      <c r="C932" s="174"/>
      <c r="D932" s="174"/>
      <c r="E932" s="174"/>
      <c r="F932" s="174"/>
      <c r="G932" s="174"/>
      <c r="H932" s="174"/>
      <c r="I932" s="174"/>
      <c r="J932" s="174"/>
      <c r="K932" s="174"/>
      <c r="L932" s="174"/>
      <c r="M932" s="174"/>
      <c r="N932" s="174"/>
      <c r="O932" s="174"/>
      <c r="P932" s="174"/>
      <c r="Q932" s="174"/>
      <c r="R932" s="174"/>
      <c r="S932" s="174"/>
      <c r="T932" s="174"/>
      <c r="U932" s="174"/>
      <c r="V932" s="174"/>
      <c r="W932" s="174"/>
      <c r="X932" s="174"/>
      <c r="Y932" s="174"/>
      <c r="Z932" s="174"/>
    </row>
    <row r="933" customFormat="false" ht="15.75" hidden="false" customHeight="false" outlineLevel="0" collapsed="false">
      <c r="A933" s="174"/>
      <c r="B933" s="174"/>
      <c r="C933" s="174"/>
      <c r="D933" s="174"/>
      <c r="E933" s="174"/>
      <c r="F933" s="174"/>
      <c r="G933" s="174"/>
      <c r="H933" s="174"/>
      <c r="I933" s="174"/>
      <c r="J933" s="174"/>
      <c r="K933" s="174"/>
      <c r="L933" s="174"/>
      <c r="M933" s="174"/>
      <c r="N933" s="174"/>
      <c r="O933" s="174"/>
      <c r="P933" s="174"/>
      <c r="Q933" s="174"/>
      <c r="R933" s="174"/>
      <c r="S933" s="174"/>
      <c r="T933" s="174"/>
      <c r="U933" s="174"/>
      <c r="V933" s="174"/>
      <c r="W933" s="174"/>
      <c r="X933" s="174"/>
      <c r="Y933" s="174"/>
      <c r="Z933" s="174"/>
    </row>
    <row r="934" customFormat="false" ht="15.75" hidden="false" customHeight="false" outlineLevel="0" collapsed="false">
      <c r="A934" s="174"/>
      <c r="B934" s="174"/>
      <c r="C934" s="174"/>
      <c r="D934" s="174"/>
      <c r="E934" s="174"/>
      <c r="F934" s="174"/>
      <c r="G934" s="174"/>
      <c r="H934" s="174"/>
      <c r="I934" s="174"/>
      <c r="J934" s="174"/>
      <c r="K934" s="174"/>
      <c r="L934" s="174"/>
      <c r="M934" s="174"/>
      <c r="N934" s="174"/>
      <c r="O934" s="174"/>
      <c r="P934" s="174"/>
      <c r="Q934" s="174"/>
      <c r="R934" s="174"/>
      <c r="S934" s="174"/>
      <c r="T934" s="174"/>
      <c r="U934" s="174"/>
      <c r="V934" s="174"/>
      <c r="W934" s="174"/>
      <c r="X934" s="174"/>
      <c r="Y934" s="174"/>
      <c r="Z934" s="174"/>
    </row>
    <row r="935" customFormat="false" ht="15.75" hidden="false" customHeight="false" outlineLevel="0" collapsed="false">
      <c r="A935" s="174"/>
      <c r="B935" s="174"/>
      <c r="C935" s="174"/>
      <c r="D935" s="174"/>
      <c r="E935" s="174"/>
      <c r="F935" s="174"/>
      <c r="G935" s="174"/>
      <c r="H935" s="174"/>
      <c r="I935" s="174"/>
      <c r="J935" s="174"/>
      <c r="K935" s="174"/>
      <c r="L935" s="174"/>
      <c r="M935" s="174"/>
      <c r="N935" s="174"/>
      <c r="O935" s="174"/>
      <c r="P935" s="174"/>
      <c r="Q935" s="174"/>
      <c r="R935" s="174"/>
      <c r="S935" s="174"/>
      <c r="T935" s="174"/>
      <c r="U935" s="174"/>
      <c r="V935" s="174"/>
      <c r="W935" s="174"/>
      <c r="X935" s="174"/>
      <c r="Y935" s="174"/>
      <c r="Z935" s="174"/>
    </row>
    <row r="936" customFormat="false" ht="15.75" hidden="false" customHeight="false" outlineLevel="0" collapsed="false">
      <c r="A936" s="174"/>
      <c r="B936" s="174"/>
      <c r="C936" s="174"/>
      <c r="D936" s="174"/>
      <c r="E936" s="174"/>
      <c r="F936" s="174"/>
      <c r="G936" s="174"/>
      <c r="H936" s="174"/>
      <c r="I936" s="174"/>
      <c r="J936" s="174"/>
      <c r="K936" s="174"/>
      <c r="L936" s="174"/>
      <c r="M936" s="174"/>
      <c r="N936" s="174"/>
      <c r="O936" s="174"/>
      <c r="P936" s="174"/>
      <c r="Q936" s="174"/>
      <c r="R936" s="174"/>
      <c r="S936" s="174"/>
      <c r="T936" s="174"/>
      <c r="U936" s="174"/>
      <c r="V936" s="174"/>
      <c r="W936" s="174"/>
      <c r="X936" s="174"/>
      <c r="Y936" s="174"/>
      <c r="Z936" s="174"/>
    </row>
    <row r="937" customFormat="false" ht="15.75" hidden="false" customHeight="false" outlineLevel="0" collapsed="false">
      <c r="A937" s="174"/>
      <c r="B937" s="174"/>
      <c r="C937" s="174"/>
      <c r="D937" s="174"/>
      <c r="E937" s="174"/>
      <c r="F937" s="174"/>
      <c r="G937" s="174"/>
      <c r="H937" s="174"/>
      <c r="I937" s="174"/>
      <c r="J937" s="174"/>
      <c r="K937" s="174"/>
      <c r="L937" s="174"/>
      <c r="M937" s="174"/>
      <c r="N937" s="174"/>
      <c r="O937" s="174"/>
      <c r="P937" s="174"/>
      <c r="Q937" s="174"/>
      <c r="R937" s="174"/>
      <c r="S937" s="174"/>
      <c r="T937" s="174"/>
      <c r="U937" s="174"/>
      <c r="V937" s="174"/>
      <c r="W937" s="174"/>
      <c r="X937" s="174"/>
      <c r="Y937" s="174"/>
      <c r="Z937" s="174"/>
    </row>
    <row r="938" customFormat="false" ht="15.75" hidden="false" customHeight="false" outlineLevel="0" collapsed="false">
      <c r="A938" s="174"/>
      <c r="B938" s="174"/>
      <c r="C938" s="174"/>
      <c r="D938" s="174"/>
      <c r="E938" s="174"/>
      <c r="F938" s="174"/>
      <c r="G938" s="174"/>
      <c r="H938" s="174"/>
      <c r="I938" s="174"/>
      <c r="J938" s="174"/>
      <c r="K938" s="174"/>
      <c r="L938" s="174"/>
      <c r="M938" s="174"/>
      <c r="N938" s="174"/>
      <c r="O938" s="174"/>
      <c r="P938" s="174"/>
      <c r="Q938" s="174"/>
      <c r="R938" s="174"/>
      <c r="S938" s="174"/>
      <c r="T938" s="174"/>
      <c r="U938" s="174"/>
      <c r="V938" s="174"/>
      <c r="W938" s="174"/>
      <c r="X938" s="174"/>
      <c r="Y938" s="174"/>
      <c r="Z938" s="174"/>
    </row>
    <row r="939" customFormat="false" ht="15.75" hidden="false" customHeight="false" outlineLevel="0" collapsed="false">
      <c r="A939" s="174"/>
      <c r="B939" s="174"/>
      <c r="C939" s="174"/>
      <c r="D939" s="174"/>
      <c r="E939" s="174"/>
      <c r="F939" s="174"/>
      <c r="G939" s="174"/>
      <c r="H939" s="174"/>
      <c r="I939" s="174"/>
      <c r="J939" s="174"/>
      <c r="K939" s="174"/>
      <c r="L939" s="174"/>
      <c r="M939" s="174"/>
      <c r="N939" s="174"/>
      <c r="O939" s="174"/>
      <c r="P939" s="174"/>
      <c r="Q939" s="174"/>
      <c r="R939" s="174"/>
      <c r="S939" s="174"/>
      <c r="T939" s="174"/>
      <c r="U939" s="174"/>
      <c r="V939" s="174"/>
      <c r="W939" s="174"/>
      <c r="X939" s="174"/>
      <c r="Y939" s="174"/>
      <c r="Z939" s="174"/>
    </row>
    <row r="940" customFormat="false" ht="15.75" hidden="false" customHeight="false" outlineLevel="0" collapsed="false">
      <c r="A940" s="174"/>
      <c r="B940" s="174"/>
      <c r="C940" s="174"/>
      <c r="D940" s="174"/>
      <c r="E940" s="174"/>
      <c r="F940" s="174"/>
      <c r="G940" s="174"/>
      <c r="H940" s="174"/>
      <c r="I940" s="174"/>
      <c r="J940" s="174"/>
      <c r="K940" s="174"/>
      <c r="L940" s="174"/>
      <c r="M940" s="174"/>
      <c r="N940" s="174"/>
      <c r="O940" s="174"/>
      <c r="P940" s="174"/>
      <c r="Q940" s="174"/>
      <c r="R940" s="174"/>
      <c r="S940" s="174"/>
      <c r="T940" s="174"/>
      <c r="U940" s="174"/>
      <c r="V940" s="174"/>
      <c r="W940" s="174"/>
      <c r="X940" s="174"/>
      <c r="Y940" s="174"/>
      <c r="Z940" s="174"/>
    </row>
    <row r="941" customFormat="false" ht="15.75" hidden="false" customHeight="false" outlineLevel="0" collapsed="false">
      <c r="A941" s="174"/>
      <c r="B941" s="174"/>
      <c r="C941" s="174"/>
      <c r="D941" s="174"/>
      <c r="E941" s="174"/>
      <c r="F941" s="174"/>
      <c r="G941" s="174"/>
      <c r="H941" s="174"/>
      <c r="I941" s="174"/>
      <c r="J941" s="174"/>
      <c r="K941" s="174"/>
      <c r="L941" s="174"/>
      <c r="M941" s="174"/>
      <c r="N941" s="174"/>
      <c r="O941" s="174"/>
      <c r="P941" s="174"/>
      <c r="Q941" s="174"/>
      <c r="R941" s="174"/>
      <c r="S941" s="174"/>
      <c r="T941" s="174"/>
      <c r="U941" s="174"/>
      <c r="V941" s="174"/>
      <c r="W941" s="174"/>
      <c r="X941" s="174"/>
      <c r="Y941" s="174"/>
      <c r="Z941" s="174"/>
    </row>
    <row r="942" customFormat="false" ht="15.75" hidden="false" customHeight="false" outlineLevel="0" collapsed="false">
      <c r="A942" s="174"/>
      <c r="B942" s="174"/>
      <c r="C942" s="174"/>
      <c r="D942" s="174"/>
      <c r="E942" s="174"/>
      <c r="F942" s="174"/>
      <c r="G942" s="174"/>
      <c r="H942" s="174"/>
      <c r="I942" s="174"/>
      <c r="J942" s="174"/>
      <c r="K942" s="174"/>
      <c r="L942" s="174"/>
      <c r="M942" s="174"/>
      <c r="N942" s="174"/>
      <c r="O942" s="174"/>
      <c r="P942" s="174"/>
      <c r="Q942" s="174"/>
      <c r="R942" s="174"/>
      <c r="S942" s="174"/>
      <c r="T942" s="174"/>
      <c r="U942" s="174"/>
      <c r="V942" s="174"/>
      <c r="W942" s="174"/>
      <c r="X942" s="174"/>
      <c r="Y942" s="174"/>
      <c r="Z942" s="174"/>
    </row>
    <row r="943" customFormat="false" ht="15.75" hidden="false" customHeight="false" outlineLevel="0" collapsed="false">
      <c r="A943" s="174"/>
      <c r="B943" s="174"/>
      <c r="C943" s="174"/>
      <c r="D943" s="174"/>
      <c r="E943" s="174"/>
      <c r="F943" s="174"/>
      <c r="G943" s="174"/>
      <c r="H943" s="174"/>
      <c r="I943" s="174"/>
      <c r="J943" s="174"/>
      <c r="K943" s="174"/>
      <c r="L943" s="174"/>
      <c r="M943" s="174"/>
      <c r="N943" s="174"/>
      <c r="O943" s="174"/>
      <c r="P943" s="174"/>
      <c r="Q943" s="174"/>
      <c r="R943" s="174"/>
      <c r="S943" s="174"/>
      <c r="T943" s="174"/>
      <c r="U943" s="174"/>
      <c r="V943" s="174"/>
      <c r="W943" s="174"/>
      <c r="X943" s="174"/>
      <c r="Y943" s="174"/>
      <c r="Z943" s="174"/>
    </row>
    <row r="944" customFormat="false" ht="15.75" hidden="false" customHeight="false" outlineLevel="0" collapsed="false">
      <c r="A944" s="174"/>
      <c r="B944" s="174"/>
      <c r="C944" s="174"/>
      <c r="D944" s="174"/>
      <c r="E944" s="174"/>
      <c r="F944" s="174"/>
      <c r="G944" s="174"/>
      <c r="H944" s="174"/>
      <c r="I944" s="174"/>
      <c r="J944" s="174"/>
      <c r="K944" s="174"/>
      <c r="L944" s="174"/>
      <c r="M944" s="174"/>
      <c r="N944" s="174"/>
      <c r="O944" s="174"/>
      <c r="P944" s="174"/>
      <c r="Q944" s="174"/>
      <c r="R944" s="174"/>
      <c r="S944" s="174"/>
      <c r="T944" s="174"/>
      <c r="U944" s="174"/>
      <c r="V944" s="174"/>
      <c r="W944" s="174"/>
      <c r="X944" s="174"/>
      <c r="Y944" s="174"/>
      <c r="Z944" s="174"/>
    </row>
    <row r="945" customFormat="false" ht="15.75" hidden="false" customHeight="false" outlineLevel="0" collapsed="false">
      <c r="A945" s="174"/>
      <c r="B945" s="174"/>
      <c r="C945" s="174"/>
      <c r="D945" s="174"/>
      <c r="E945" s="174"/>
      <c r="F945" s="174"/>
      <c r="G945" s="174"/>
      <c r="H945" s="174"/>
      <c r="I945" s="174"/>
      <c r="J945" s="174"/>
      <c r="K945" s="174"/>
      <c r="L945" s="174"/>
      <c r="M945" s="174"/>
      <c r="N945" s="174"/>
      <c r="O945" s="174"/>
      <c r="P945" s="174"/>
      <c r="Q945" s="174"/>
      <c r="R945" s="174"/>
      <c r="S945" s="174"/>
      <c r="T945" s="174"/>
      <c r="U945" s="174"/>
      <c r="V945" s="174"/>
      <c r="W945" s="174"/>
      <c r="X945" s="174"/>
      <c r="Y945" s="174"/>
      <c r="Z945" s="174"/>
    </row>
    <row r="946" customFormat="false" ht="15.75" hidden="false" customHeight="false" outlineLevel="0" collapsed="false">
      <c r="A946" s="174"/>
      <c r="B946" s="174"/>
      <c r="C946" s="174"/>
      <c r="D946" s="174"/>
      <c r="E946" s="174"/>
      <c r="F946" s="174"/>
      <c r="G946" s="174"/>
      <c r="H946" s="174"/>
      <c r="I946" s="174"/>
      <c r="J946" s="174"/>
      <c r="K946" s="174"/>
      <c r="L946" s="174"/>
      <c r="M946" s="174"/>
      <c r="N946" s="174"/>
      <c r="O946" s="174"/>
      <c r="P946" s="174"/>
      <c r="Q946" s="174"/>
      <c r="R946" s="174"/>
      <c r="S946" s="174"/>
      <c r="T946" s="174"/>
      <c r="U946" s="174"/>
      <c r="V946" s="174"/>
      <c r="W946" s="174"/>
      <c r="X946" s="174"/>
      <c r="Y946" s="174"/>
      <c r="Z946" s="174"/>
    </row>
    <row r="947" customFormat="false" ht="15.75" hidden="false" customHeight="false" outlineLevel="0" collapsed="false">
      <c r="A947" s="174"/>
      <c r="B947" s="174"/>
      <c r="C947" s="174"/>
      <c r="D947" s="174"/>
      <c r="E947" s="174"/>
      <c r="F947" s="174"/>
      <c r="G947" s="174"/>
      <c r="H947" s="174"/>
      <c r="I947" s="174"/>
      <c r="J947" s="174"/>
      <c r="K947" s="174"/>
      <c r="L947" s="174"/>
      <c r="M947" s="174"/>
      <c r="N947" s="174"/>
      <c r="O947" s="174"/>
      <c r="P947" s="174"/>
      <c r="Q947" s="174"/>
      <c r="R947" s="174"/>
      <c r="S947" s="174"/>
      <c r="T947" s="174"/>
      <c r="U947" s="174"/>
      <c r="V947" s="174"/>
      <c r="W947" s="174"/>
      <c r="X947" s="174"/>
      <c r="Y947" s="174"/>
      <c r="Z947" s="174"/>
    </row>
    <row r="948" customFormat="false" ht="15.75" hidden="false" customHeight="false" outlineLevel="0" collapsed="false">
      <c r="A948" s="174"/>
      <c r="B948" s="174"/>
      <c r="C948" s="174"/>
      <c r="D948" s="174"/>
      <c r="E948" s="174"/>
      <c r="F948" s="174"/>
      <c r="G948" s="174"/>
      <c r="H948" s="174"/>
      <c r="I948" s="174"/>
      <c r="J948" s="174"/>
      <c r="K948" s="174"/>
      <c r="L948" s="174"/>
      <c r="M948" s="174"/>
      <c r="N948" s="174"/>
      <c r="O948" s="174"/>
      <c r="P948" s="174"/>
      <c r="Q948" s="174"/>
      <c r="R948" s="174"/>
      <c r="S948" s="174"/>
      <c r="T948" s="174"/>
      <c r="U948" s="174"/>
      <c r="V948" s="174"/>
      <c r="W948" s="174"/>
      <c r="X948" s="174"/>
      <c r="Y948" s="174"/>
      <c r="Z948" s="174"/>
    </row>
    <row r="949" customFormat="false" ht="15.75" hidden="false" customHeight="false" outlineLevel="0" collapsed="false">
      <c r="A949" s="174"/>
      <c r="B949" s="174"/>
      <c r="C949" s="174"/>
      <c r="D949" s="174"/>
      <c r="E949" s="174"/>
      <c r="F949" s="174"/>
      <c r="G949" s="174"/>
      <c r="H949" s="174"/>
      <c r="I949" s="174"/>
      <c r="J949" s="174"/>
      <c r="K949" s="174"/>
      <c r="L949" s="174"/>
      <c r="M949" s="174"/>
      <c r="N949" s="174"/>
      <c r="O949" s="174"/>
      <c r="P949" s="174"/>
      <c r="Q949" s="174"/>
      <c r="R949" s="174"/>
      <c r="S949" s="174"/>
      <c r="T949" s="174"/>
      <c r="U949" s="174"/>
      <c r="V949" s="174"/>
      <c r="W949" s="174"/>
      <c r="X949" s="174"/>
      <c r="Y949" s="174"/>
      <c r="Z949" s="174"/>
    </row>
    <row r="950" customFormat="false" ht="15.75" hidden="false" customHeight="false" outlineLevel="0" collapsed="false">
      <c r="A950" s="174"/>
      <c r="B950" s="174"/>
      <c r="C950" s="174"/>
      <c r="D950" s="174"/>
      <c r="E950" s="174"/>
      <c r="F950" s="174"/>
      <c r="G950" s="174"/>
      <c r="H950" s="174"/>
      <c r="I950" s="174"/>
      <c r="J950" s="174"/>
      <c r="K950" s="174"/>
      <c r="L950" s="174"/>
      <c r="M950" s="174"/>
      <c r="N950" s="174"/>
      <c r="O950" s="174"/>
      <c r="P950" s="174"/>
      <c r="Q950" s="174"/>
      <c r="R950" s="174"/>
      <c r="S950" s="174"/>
      <c r="T950" s="174"/>
      <c r="U950" s="174"/>
      <c r="V950" s="174"/>
      <c r="W950" s="174"/>
      <c r="X950" s="174"/>
      <c r="Y950" s="174"/>
      <c r="Z950" s="174"/>
    </row>
    <row r="951" customFormat="false" ht="15.75" hidden="false" customHeight="false" outlineLevel="0" collapsed="false">
      <c r="A951" s="174"/>
      <c r="B951" s="174"/>
      <c r="C951" s="174"/>
      <c r="D951" s="174"/>
      <c r="E951" s="174"/>
      <c r="F951" s="174"/>
      <c r="G951" s="174"/>
      <c r="H951" s="174"/>
      <c r="I951" s="174"/>
      <c r="J951" s="174"/>
      <c r="K951" s="174"/>
      <c r="L951" s="174"/>
      <c r="M951" s="174"/>
      <c r="N951" s="174"/>
      <c r="O951" s="174"/>
      <c r="P951" s="174"/>
      <c r="Q951" s="174"/>
      <c r="R951" s="174"/>
      <c r="S951" s="174"/>
      <c r="T951" s="174"/>
      <c r="U951" s="174"/>
      <c r="V951" s="174"/>
      <c r="W951" s="174"/>
      <c r="X951" s="174"/>
      <c r="Y951" s="174"/>
      <c r="Z951" s="174"/>
    </row>
    <row r="952" customFormat="false" ht="15.75" hidden="false" customHeight="false" outlineLevel="0" collapsed="false">
      <c r="A952" s="174"/>
      <c r="B952" s="174"/>
      <c r="C952" s="174"/>
      <c r="D952" s="174"/>
      <c r="E952" s="174"/>
      <c r="F952" s="174"/>
      <c r="G952" s="174"/>
      <c r="H952" s="174"/>
      <c r="I952" s="174"/>
      <c r="J952" s="174"/>
      <c r="K952" s="174"/>
      <c r="L952" s="174"/>
      <c r="M952" s="174"/>
      <c r="N952" s="174"/>
      <c r="O952" s="174"/>
      <c r="P952" s="174"/>
      <c r="Q952" s="174"/>
      <c r="R952" s="174"/>
      <c r="S952" s="174"/>
      <c r="T952" s="174"/>
      <c r="U952" s="174"/>
      <c r="V952" s="174"/>
      <c r="W952" s="174"/>
      <c r="X952" s="174"/>
      <c r="Y952" s="174"/>
      <c r="Z952" s="174"/>
    </row>
    <row r="953" customFormat="false" ht="15.75" hidden="false" customHeight="false" outlineLevel="0" collapsed="false">
      <c r="A953" s="174"/>
      <c r="B953" s="174"/>
      <c r="C953" s="174"/>
      <c r="D953" s="174"/>
      <c r="E953" s="174"/>
      <c r="F953" s="174"/>
      <c r="G953" s="174"/>
      <c r="H953" s="174"/>
      <c r="I953" s="174"/>
      <c r="J953" s="174"/>
      <c r="K953" s="174"/>
      <c r="L953" s="174"/>
      <c r="M953" s="174"/>
      <c r="N953" s="174"/>
      <c r="O953" s="174"/>
      <c r="P953" s="174"/>
      <c r="Q953" s="174"/>
      <c r="R953" s="174"/>
      <c r="S953" s="174"/>
      <c r="T953" s="174"/>
      <c r="U953" s="174"/>
      <c r="V953" s="174"/>
      <c r="W953" s="174"/>
      <c r="X953" s="174"/>
      <c r="Y953" s="174"/>
      <c r="Z953" s="174"/>
    </row>
    <row r="954" customFormat="false" ht="15.75" hidden="false" customHeight="false" outlineLevel="0" collapsed="false">
      <c r="A954" s="174"/>
      <c r="B954" s="174"/>
      <c r="C954" s="174"/>
      <c r="D954" s="174"/>
      <c r="E954" s="174"/>
      <c r="F954" s="174"/>
      <c r="G954" s="174"/>
      <c r="H954" s="174"/>
      <c r="I954" s="174"/>
      <c r="J954" s="174"/>
      <c r="K954" s="174"/>
      <c r="L954" s="174"/>
      <c r="M954" s="174"/>
      <c r="N954" s="174"/>
      <c r="O954" s="174"/>
      <c r="P954" s="174"/>
      <c r="Q954" s="174"/>
      <c r="R954" s="174"/>
      <c r="S954" s="174"/>
      <c r="T954" s="174"/>
      <c r="U954" s="174"/>
      <c r="V954" s="174"/>
      <c r="W954" s="174"/>
      <c r="X954" s="174"/>
      <c r="Y954" s="174"/>
      <c r="Z954" s="174"/>
    </row>
    <row r="955" customFormat="false" ht="15.75" hidden="false" customHeight="false" outlineLevel="0" collapsed="false">
      <c r="A955" s="174"/>
      <c r="B955" s="174"/>
      <c r="C955" s="174"/>
      <c r="D955" s="174"/>
      <c r="E955" s="174"/>
      <c r="F955" s="174"/>
      <c r="G955" s="174"/>
      <c r="H955" s="174"/>
      <c r="I955" s="174"/>
      <c r="J955" s="174"/>
      <c r="K955" s="174"/>
      <c r="L955" s="174"/>
      <c r="M955" s="174"/>
      <c r="N955" s="174"/>
      <c r="O955" s="174"/>
      <c r="P955" s="174"/>
      <c r="Q955" s="174"/>
      <c r="R955" s="174"/>
      <c r="S955" s="174"/>
      <c r="T955" s="174"/>
      <c r="U955" s="174"/>
      <c r="V955" s="174"/>
      <c r="W955" s="174"/>
      <c r="X955" s="174"/>
      <c r="Y955" s="174"/>
      <c r="Z955" s="174"/>
    </row>
    <row r="956" customFormat="false" ht="15.75" hidden="false" customHeight="false" outlineLevel="0" collapsed="false">
      <c r="A956" s="174"/>
      <c r="B956" s="174"/>
      <c r="C956" s="174"/>
      <c r="D956" s="174"/>
      <c r="E956" s="174"/>
      <c r="F956" s="174"/>
      <c r="G956" s="174"/>
      <c r="H956" s="174"/>
      <c r="I956" s="174"/>
      <c r="J956" s="174"/>
      <c r="K956" s="174"/>
      <c r="L956" s="174"/>
      <c r="M956" s="174"/>
      <c r="N956" s="174"/>
      <c r="O956" s="174"/>
      <c r="P956" s="174"/>
      <c r="Q956" s="174"/>
      <c r="R956" s="174"/>
      <c r="S956" s="174"/>
      <c r="T956" s="174"/>
      <c r="U956" s="174"/>
      <c r="V956" s="174"/>
      <c r="W956" s="174"/>
      <c r="X956" s="174"/>
      <c r="Y956" s="174"/>
      <c r="Z956" s="174"/>
    </row>
    <row r="957" customFormat="false" ht="15.75" hidden="false" customHeight="false" outlineLevel="0" collapsed="false">
      <c r="A957" s="174"/>
      <c r="B957" s="174"/>
      <c r="C957" s="174"/>
      <c r="D957" s="174"/>
      <c r="E957" s="174"/>
      <c r="F957" s="174"/>
      <c r="G957" s="174"/>
      <c r="H957" s="174"/>
      <c r="I957" s="174"/>
      <c r="J957" s="174"/>
      <c r="K957" s="174"/>
      <c r="L957" s="174"/>
      <c r="M957" s="174"/>
      <c r="N957" s="174"/>
      <c r="O957" s="174"/>
      <c r="P957" s="174"/>
      <c r="Q957" s="174"/>
      <c r="R957" s="174"/>
      <c r="S957" s="174"/>
      <c r="T957" s="174"/>
      <c r="U957" s="174"/>
      <c r="V957" s="174"/>
      <c r="W957" s="174"/>
      <c r="X957" s="174"/>
      <c r="Y957" s="174"/>
      <c r="Z957" s="174"/>
    </row>
    <row r="958" customFormat="false" ht="15.75" hidden="false" customHeight="false" outlineLevel="0" collapsed="false">
      <c r="A958" s="174"/>
      <c r="B958" s="174"/>
      <c r="C958" s="174"/>
      <c r="D958" s="174"/>
      <c r="E958" s="174"/>
      <c r="F958" s="174"/>
      <c r="G958" s="174"/>
      <c r="H958" s="174"/>
      <c r="I958" s="174"/>
      <c r="J958" s="174"/>
      <c r="K958" s="174"/>
      <c r="L958" s="174"/>
      <c r="M958" s="174"/>
      <c r="N958" s="174"/>
      <c r="O958" s="174"/>
      <c r="P958" s="174"/>
      <c r="Q958" s="174"/>
      <c r="R958" s="174"/>
      <c r="S958" s="174"/>
      <c r="T958" s="174"/>
      <c r="U958" s="174"/>
      <c r="V958" s="174"/>
      <c r="W958" s="174"/>
      <c r="X958" s="174"/>
      <c r="Y958" s="174"/>
      <c r="Z958" s="174"/>
    </row>
    <row r="959" customFormat="false" ht="15.75" hidden="false" customHeight="false" outlineLevel="0" collapsed="false">
      <c r="A959" s="174"/>
      <c r="B959" s="174"/>
      <c r="C959" s="174"/>
      <c r="D959" s="174"/>
      <c r="E959" s="174"/>
      <c r="F959" s="174"/>
      <c r="G959" s="174"/>
      <c r="H959" s="174"/>
      <c r="I959" s="174"/>
      <c r="J959" s="174"/>
      <c r="K959" s="174"/>
      <c r="L959" s="174"/>
      <c r="M959" s="174"/>
      <c r="N959" s="174"/>
      <c r="O959" s="174"/>
      <c r="P959" s="174"/>
      <c r="Q959" s="174"/>
      <c r="R959" s="174"/>
      <c r="S959" s="174"/>
      <c r="T959" s="174"/>
      <c r="U959" s="174"/>
      <c r="V959" s="174"/>
      <c r="W959" s="174"/>
      <c r="X959" s="174"/>
      <c r="Y959" s="174"/>
      <c r="Z959" s="174"/>
    </row>
    <row r="960" customFormat="false" ht="15.75" hidden="false" customHeight="false" outlineLevel="0" collapsed="false">
      <c r="A960" s="174"/>
      <c r="B960" s="174"/>
      <c r="C960" s="174"/>
      <c r="D960" s="174"/>
      <c r="E960" s="174"/>
      <c r="F960" s="174"/>
      <c r="G960" s="174"/>
      <c r="H960" s="174"/>
      <c r="I960" s="174"/>
      <c r="J960" s="174"/>
      <c r="K960" s="174"/>
      <c r="L960" s="174"/>
      <c r="M960" s="174"/>
      <c r="N960" s="174"/>
      <c r="O960" s="174"/>
      <c r="P960" s="174"/>
      <c r="Q960" s="174"/>
      <c r="R960" s="174"/>
      <c r="S960" s="174"/>
      <c r="T960" s="174"/>
      <c r="U960" s="174"/>
      <c r="V960" s="174"/>
      <c r="W960" s="174"/>
      <c r="X960" s="174"/>
      <c r="Y960" s="174"/>
      <c r="Z960" s="174"/>
    </row>
    <row r="961" customFormat="false" ht="15.75" hidden="false" customHeight="false" outlineLevel="0" collapsed="false">
      <c r="A961" s="174"/>
      <c r="B961" s="174"/>
      <c r="C961" s="174"/>
      <c r="D961" s="174"/>
      <c r="E961" s="174"/>
      <c r="F961" s="174"/>
      <c r="G961" s="174"/>
      <c r="H961" s="174"/>
      <c r="I961" s="174"/>
      <c r="J961" s="174"/>
      <c r="K961" s="174"/>
      <c r="L961" s="174"/>
      <c r="M961" s="174"/>
      <c r="N961" s="174"/>
      <c r="O961" s="174"/>
      <c r="P961" s="174"/>
      <c r="Q961" s="174"/>
      <c r="R961" s="174"/>
      <c r="S961" s="174"/>
      <c r="T961" s="174"/>
      <c r="U961" s="174"/>
      <c r="V961" s="174"/>
      <c r="W961" s="174"/>
      <c r="X961" s="174"/>
      <c r="Y961" s="174"/>
      <c r="Z961" s="174"/>
    </row>
    <row r="962" customFormat="false" ht="15.75" hidden="false" customHeight="false" outlineLevel="0" collapsed="false">
      <c r="A962" s="174"/>
      <c r="B962" s="174"/>
      <c r="C962" s="174"/>
      <c r="D962" s="174"/>
      <c r="E962" s="174"/>
      <c r="F962" s="174"/>
      <c r="G962" s="174"/>
      <c r="H962" s="174"/>
      <c r="I962" s="174"/>
      <c r="J962" s="174"/>
      <c r="K962" s="174"/>
      <c r="L962" s="174"/>
      <c r="M962" s="174"/>
      <c r="N962" s="174"/>
      <c r="O962" s="174"/>
      <c r="P962" s="174"/>
      <c r="Q962" s="174"/>
      <c r="R962" s="174"/>
      <c r="S962" s="174"/>
      <c r="T962" s="174"/>
      <c r="U962" s="174"/>
      <c r="V962" s="174"/>
      <c r="W962" s="174"/>
      <c r="X962" s="174"/>
      <c r="Y962" s="174"/>
      <c r="Z962" s="174"/>
    </row>
    <row r="963" customFormat="false" ht="15.75" hidden="false" customHeight="false" outlineLevel="0" collapsed="false">
      <c r="A963" s="174"/>
      <c r="B963" s="174"/>
      <c r="C963" s="174"/>
      <c r="D963" s="174"/>
      <c r="E963" s="174"/>
      <c r="F963" s="174"/>
      <c r="G963" s="174"/>
      <c r="H963" s="174"/>
      <c r="I963" s="174"/>
      <c r="J963" s="174"/>
      <c r="K963" s="174"/>
      <c r="L963" s="174"/>
      <c r="M963" s="174"/>
      <c r="N963" s="174"/>
      <c r="O963" s="174"/>
      <c r="P963" s="174"/>
      <c r="Q963" s="174"/>
      <c r="R963" s="174"/>
      <c r="S963" s="174"/>
      <c r="T963" s="174"/>
      <c r="U963" s="174"/>
      <c r="V963" s="174"/>
      <c r="W963" s="174"/>
      <c r="X963" s="174"/>
      <c r="Y963" s="174"/>
      <c r="Z963" s="174"/>
    </row>
    <row r="964" customFormat="false" ht="15.75" hidden="false" customHeight="false" outlineLevel="0" collapsed="false">
      <c r="A964" s="174"/>
      <c r="B964" s="174"/>
      <c r="C964" s="174"/>
      <c r="D964" s="174"/>
      <c r="E964" s="174"/>
      <c r="F964" s="174"/>
      <c r="G964" s="174"/>
      <c r="H964" s="174"/>
      <c r="I964" s="174"/>
      <c r="J964" s="174"/>
      <c r="K964" s="174"/>
      <c r="L964" s="174"/>
      <c r="M964" s="174"/>
      <c r="N964" s="174"/>
      <c r="O964" s="174"/>
      <c r="P964" s="174"/>
      <c r="Q964" s="174"/>
      <c r="R964" s="174"/>
      <c r="S964" s="174"/>
      <c r="T964" s="174"/>
      <c r="U964" s="174"/>
      <c r="V964" s="174"/>
      <c r="W964" s="174"/>
      <c r="X964" s="174"/>
      <c r="Y964" s="174"/>
      <c r="Z964" s="174"/>
    </row>
    <row r="965" customFormat="false" ht="15.75" hidden="false" customHeight="false" outlineLevel="0" collapsed="false">
      <c r="A965" s="174"/>
      <c r="B965" s="174"/>
      <c r="C965" s="174"/>
      <c r="D965" s="174"/>
      <c r="E965" s="174"/>
      <c r="F965" s="174"/>
      <c r="G965" s="174"/>
      <c r="H965" s="174"/>
      <c r="I965" s="174"/>
      <c r="J965" s="174"/>
      <c r="K965" s="174"/>
      <c r="L965" s="174"/>
      <c r="M965" s="174"/>
      <c r="N965" s="174"/>
      <c r="O965" s="174"/>
      <c r="P965" s="174"/>
      <c r="Q965" s="174"/>
      <c r="R965" s="174"/>
      <c r="S965" s="174"/>
      <c r="T965" s="174"/>
      <c r="U965" s="174"/>
      <c r="V965" s="174"/>
      <c r="W965" s="174"/>
      <c r="X965" s="174"/>
      <c r="Y965" s="174"/>
      <c r="Z965" s="174"/>
    </row>
    <row r="966" customFormat="false" ht="15.75" hidden="false" customHeight="false" outlineLevel="0" collapsed="false">
      <c r="A966" s="174"/>
      <c r="B966" s="174"/>
      <c r="C966" s="174"/>
      <c r="D966" s="174"/>
      <c r="E966" s="174"/>
      <c r="F966" s="174"/>
      <c r="G966" s="174"/>
      <c r="H966" s="174"/>
      <c r="I966" s="174"/>
      <c r="J966" s="174"/>
      <c r="K966" s="174"/>
      <c r="L966" s="174"/>
      <c r="M966" s="174"/>
      <c r="N966" s="174"/>
      <c r="O966" s="174"/>
      <c r="P966" s="174"/>
      <c r="Q966" s="174"/>
      <c r="R966" s="174"/>
      <c r="S966" s="174"/>
      <c r="T966" s="174"/>
      <c r="U966" s="174"/>
      <c r="V966" s="174"/>
      <c r="W966" s="174"/>
      <c r="X966" s="174"/>
      <c r="Y966" s="174"/>
      <c r="Z966" s="174"/>
    </row>
    <row r="967" customFormat="false" ht="15.75" hidden="false" customHeight="false" outlineLevel="0" collapsed="false">
      <c r="A967" s="174"/>
      <c r="B967" s="174"/>
      <c r="C967" s="174"/>
      <c r="D967" s="174"/>
      <c r="E967" s="174"/>
      <c r="F967" s="174"/>
      <c r="G967" s="174"/>
      <c r="H967" s="174"/>
      <c r="I967" s="174"/>
      <c r="J967" s="174"/>
      <c r="K967" s="174"/>
      <c r="L967" s="174"/>
      <c r="M967" s="174"/>
      <c r="N967" s="174"/>
      <c r="O967" s="174"/>
      <c r="P967" s="174"/>
      <c r="Q967" s="174"/>
      <c r="R967" s="174"/>
      <c r="S967" s="174"/>
      <c r="T967" s="174"/>
      <c r="U967" s="174"/>
      <c r="V967" s="174"/>
      <c r="W967" s="174"/>
      <c r="X967" s="174"/>
      <c r="Y967" s="174"/>
      <c r="Z967" s="174"/>
    </row>
    <row r="968" customFormat="false" ht="15.75" hidden="false" customHeight="false" outlineLevel="0" collapsed="false">
      <c r="A968" s="174"/>
      <c r="B968" s="174"/>
      <c r="C968" s="174"/>
      <c r="D968" s="174"/>
      <c r="E968" s="174"/>
      <c r="F968" s="174"/>
      <c r="G968" s="174"/>
      <c r="H968" s="174"/>
      <c r="I968" s="174"/>
      <c r="J968" s="174"/>
      <c r="K968" s="174"/>
      <c r="L968" s="174"/>
      <c r="M968" s="174"/>
      <c r="N968" s="174"/>
      <c r="O968" s="174"/>
      <c r="P968" s="174"/>
      <c r="Q968" s="174"/>
      <c r="R968" s="174"/>
      <c r="S968" s="174"/>
      <c r="T968" s="174"/>
      <c r="U968" s="174"/>
      <c r="V968" s="174"/>
      <c r="W968" s="174"/>
      <c r="X968" s="174"/>
      <c r="Y968" s="174"/>
      <c r="Z968" s="174"/>
    </row>
    <row r="969" customFormat="false" ht="15.75" hidden="false" customHeight="false" outlineLevel="0" collapsed="false">
      <c r="A969" s="174"/>
      <c r="B969" s="174"/>
      <c r="C969" s="174"/>
      <c r="D969" s="174"/>
      <c r="E969" s="174"/>
      <c r="F969" s="174"/>
      <c r="G969" s="174"/>
      <c r="H969" s="174"/>
      <c r="I969" s="174"/>
      <c r="J969" s="174"/>
      <c r="K969" s="174"/>
      <c r="L969" s="174"/>
      <c r="M969" s="174"/>
      <c r="N969" s="174"/>
      <c r="O969" s="174"/>
      <c r="P969" s="174"/>
      <c r="Q969" s="174"/>
      <c r="R969" s="174"/>
      <c r="S969" s="174"/>
      <c r="T969" s="174"/>
      <c r="U969" s="174"/>
      <c r="V969" s="174"/>
      <c r="W969" s="174"/>
      <c r="X969" s="174"/>
      <c r="Y969" s="174"/>
      <c r="Z969" s="174"/>
    </row>
    <row r="970" customFormat="false" ht="15.75" hidden="false" customHeight="false" outlineLevel="0" collapsed="false">
      <c r="A970" s="174"/>
      <c r="B970" s="174"/>
      <c r="C970" s="174"/>
      <c r="D970" s="174"/>
      <c r="E970" s="174"/>
      <c r="F970" s="174"/>
      <c r="G970" s="174"/>
      <c r="H970" s="174"/>
      <c r="I970" s="174"/>
      <c r="J970" s="174"/>
      <c r="K970" s="174"/>
      <c r="L970" s="174"/>
      <c r="M970" s="174"/>
      <c r="N970" s="174"/>
      <c r="O970" s="174"/>
      <c r="P970" s="174"/>
      <c r="Q970" s="174"/>
      <c r="R970" s="174"/>
      <c r="S970" s="174"/>
      <c r="T970" s="174"/>
      <c r="U970" s="174"/>
      <c r="V970" s="174"/>
      <c r="W970" s="174"/>
      <c r="X970" s="174"/>
      <c r="Y970" s="174"/>
      <c r="Z970" s="174"/>
    </row>
    <row r="971" customFormat="false" ht="15.75" hidden="false" customHeight="false" outlineLevel="0" collapsed="false">
      <c r="A971" s="174"/>
      <c r="B971" s="174"/>
      <c r="C971" s="174"/>
      <c r="D971" s="174"/>
      <c r="E971" s="174"/>
      <c r="F971" s="174"/>
      <c r="G971" s="174"/>
      <c r="H971" s="174"/>
      <c r="I971" s="174"/>
      <c r="J971" s="174"/>
      <c r="K971" s="174"/>
      <c r="L971" s="174"/>
      <c r="M971" s="174"/>
      <c r="N971" s="174"/>
      <c r="O971" s="174"/>
      <c r="P971" s="174"/>
      <c r="Q971" s="174"/>
      <c r="R971" s="174"/>
      <c r="S971" s="174"/>
      <c r="T971" s="174"/>
      <c r="U971" s="174"/>
      <c r="V971" s="174"/>
      <c r="W971" s="174"/>
      <c r="X971" s="174"/>
      <c r="Y971" s="174"/>
      <c r="Z971" s="174"/>
    </row>
    <row r="972" customFormat="false" ht="15.75" hidden="false" customHeight="false" outlineLevel="0" collapsed="false">
      <c r="A972" s="174"/>
      <c r="B972" s="174"/>
      <c r="C972" s="174"/>
      <c r="D972" s="174"/>
      <c r="E972" s="174"/>
      <c r="F972" s="174"/>
      <c r="G972" s="174"/>
      <c r="H972" s="174"/>
      <c r="I972" s="174"/>
      <c r="J972" s="174"/>
      <c r="K972" s="174"/>
      <c r="L972" s="174"/>
      <c r="M972" s="174"/>
      <c r="N972" s="174"/>
      <c r="O972" s="174"/>
      <c r="P972" s="174"/>
      <c r="Q972" s="174"/>
      <c r="R972" s="174"/>
      <c r="S972" s="174"/>
      <c r="T972" s="174"/>
      <c r="U972" s="174"/>
      <c r="V972" s="174"/>
      <c r="W972" s="174"/>
      <c r="X972" s="174"/>
      <c r="Y972" s="174"/>
      <c r="Z972" s="174"/>
    </row>
    <row r="973" customFormat="false" ht="15.75" hidden="false" customHeight="false" outlineLevel="0" collapsed="false">
      <c r="A973" s="174"/>
      <c r="B973" s="174"/>
      <c r="C973" s="174"/>
      <c r="D973" s="174"/>
      <c r="E973" s="174"/>
      <c r="F973" s="174"/>
      <c r="G973" s="174"/>
      <c r="H973" s="174"/>
      <c r="I973" s="174"/>
      <c r="J973" s="174"/>
      <c r="K973" s="174"/>
      <c r="L973" s="174"/>
      <c r="M973" s="174"/>
      <c r="N973" s="174"/>
      <c r="O973" s="174"/>
      <c r="P973" s="174"/>
      <c r="Q973" s="174"/>
      <c r="R973" s="174"/>
      <c r="S973" s="174"/>
      <c r="T973" s="174"/>
      <c r="U973" s="174"/>
      <c r="V973" s="174"/>
      <c r="W973" s="174"/>
      <c r="X973" s="174"/>
      <c r="Y973" s="174"/>
      <c r="Z973" s="174"/>
    </row>
    <row r="974" customFormat="false" ht="15.75" hidden="false" customHeight="false" outlineLevel="0" collapsed="false">
      <c r="A974" s="174"/>
      <c r="B974" s="174"/>
      <c r="C974" s="174"/>
      <c r="D974" s="174"/>
      <c r="E974" s="174"/>
      <c r="F974" s="174"/>
      <c r="G974" s="174"/>
      <c r="H974" s="174"/>
      <c r="I974" s="174"/>
      <c r="J974" s="174"/>
      <c r="K974" s="174"/>
      <c r="L974" s="174"/>
      <c r="M974" s="174"/>
      <c r="N974" s="174"/>
      <c r="O974" s="174"/>
      <c r="P974" s="174"/>
      <c r="Q974" s="174"/>
      <c r="R974" s="174"/>
      <c r="S974" s="174"/>
      <c r="T974" s="174"/>
      <c r="U974" s="174"/>
      <c r="V974" s="174"/>
      <c r="W974" s="174"/>
      <c r="X974" s="174"/>
      <c r="Y974" s="174"/>
      <c r="Z974" s="174"/>
    </row>
    <row r="975" customFormat="false" ht="15.75" hidden="false" customHeight="false" outlineLevel="0" collapsed="false">
      <c r="A975" s="174"/>
      <c r="B975" s="174"/>
      <c r="C975" s="174"/>
      <c r="D975" s="174"/>
      <c r="E975" s="174"/>
      <c r="F975" s="174"/>
      <c r="G975" s="174"/>
      <c r="H975" s="174"/>
      <c r="I975" s="174"/>
      <c r="J975" s="174"/>
      <c r="K975" s="174"/>
      <c r="L975" s="174"/>
      <c r="M975" s="174"/>
      <c r="N975" s="174"/>
      <c r="O975" s="174"/>
      <c r="P975" s="174"/>
      <c r="Q975" s="174"/>
      <c r="R975" s="174"/>
      <c r="S975" s="174"/>
      <c r="T975" s="174"/>
      <c r="U975" s="174"/>
      <c r="V975" s="174"/>
      <c r="W975" s="174"/>
      <c r="X975" s="174"/>
      <c r="Y975" s="174"/>
      <c r="Z975" s="174"/>
    </row>
    <row r="976" customFormat="false" ht="15.75" hidden="false" customHeight="false" outlineLevel="0" collapsed="false">
      <c r="A976" s="174"/>
      <c r="B976" s="174"/>
      <c r="C976" s="174"/>
      <c r="D976" s="174"/>
      <c r="E976" s="174"/>
      <c r="F976" s="174"/>
      <c r="G976" s="174"/>
      <c r="H976" s="174"/>
      <c r="I976" s="174"/>
      <c r="J976" s="174"/>
      <c r="K976" s="174"/>
      <c r="L976" s="174"/>
      <c r="M976" s="174"/>
      <c r="N976" s="174"/>
      <c r="O976" s="174"/>
      <c r="P976" s="174"/>
      <c r="Q976" s="174"/>
      <c r="R976" s="174"/>
      <c r="S976" s="174"/>
      <c r="T976" s="174"/>
      <c r="U976" s="174"/>
      <c r="V976" s="174"/>
      <c r="W976" s="174"/>
      <c r="X976" s="174"/>
      <c r="Y976" s="174"/>
      <c r="Z976" s="174"/>
    </row>
    <row r="977" customFormat="false" ht="15.75" hidden="false" customHeight="false" outlineLevel="0" collapsed="false">
      <c r="A977" s="174"/>
      <c r="B977" s="174"/>
      <c r="C977" s="174"/>
      <c r="D977" s="174"/>
      <c r="E977" s="174"/>
      <c r="F977" s="174"/>
      <c r="G977" s="174"/>
      <c r="H977" s="174"/>
      <c r="I977" s="174"/>
      <c r="J977" s="174"/>
      <c r="K977" s="174"/>
      <c r="L977" s="174"/>
      <c r="M977" s="174"/>
      <c r="N977" s="174"/>
      <c r="O977" s="174"/>
      <c r="P977" s="174"/>
      <c r="Q977" s="174"/>
      <c r="R977" s="174"/>
      <c r="S977" s="174"/>
      <c r="T977" s="174"/>
      <c r="U977" s="174"/>
      <c r="V977" s="174"/>
      <c r="W977" s="174"/>
      <c r="X977" s="174"/>
      <c r="Y977" s="174"/>
      <c r="Z977" s="174"/>
    </row>
    <row r="978" customFormat="false" ht="15.75" hidden="false" customHeight="false" outlineLevel="0" collapsed="false">
      <c r="A978" s="174"/>
      <c r="B978" s="174"/>
      <c r="C978" s="174"/>
      <c r="D978" s="174"/>
      <c r="E978" s="174"/>
      <c r="F978" s="174"/>
      <c r="G978" s="174"/>
      <c r="H978" s="174"/>
      <c r="I978" s="174"/>
      <c r="J978" s="174"/>
      <c r="K978" s="174"/>
      <c r="L978" s="174"/>
      <c r="M978" s="174"/>
      <c r="N978" s="174"/>
      <c r="O978" s="174"/>
      <c r="P978" s="174"/>
      <c r="Q978" s="174"/>
      <c r="R978" s="174"/>
      <c r="S978" s="174"/>
      <c r="T978" s="174"/>
      <c r="U978" s="174"/>
      <c r="V978" s="174"/>
      <c r="W978" s="174"/>
      <c r="X978" s="174"/>
      <c r="Y978" s="174"/>
      <c r="Z978" s="174"/>
    </row>
    <row r="979" customFormat="false" ht="15.75" hidden="false" customHeight="false" outlineLevel="0" collapsed="false">
      <c r="A979" s="174"/>
      <c r="B979" s="174"/>
      <c r="C979" s="174"/>
      <c r="D979" s="174"/>
      <c r="E979" s="174"/>
      <c r="F979" s="174"/>
      <c r="G979" s="174"/>
      <c r="H979" s="174"/>
      <c r="I979" s="174"/>
      <c r="J979" s="174"/>
      <c r="K979" s="174"/>
      <c r="L979" s="174"/>
      <c r="M979" s="174"/>
      <c r="N979" s="174"/>
      <c r="O979" s="174"/>
      <c r="P979" s="174"/>
      <c r="Q979" s="174"/>
      <c r="R979" s="174"/>
      <c r="S979" s="174"/>
      <c r="T979" s="174"/>
      <c r="U979" s="174"/>
      <c r="V979" s="174"/>
      <c r="W979" s="174"/>
      <c r="X979" s="174"/>
      <c r="Y979" s="174"/>
      <c r="Z979" s="174"/>
    </row>
    <row r="980" customFormat="false" ht="15.75" hidden="false" customHeight="false" outlineLevel="0" collapsed="false">
      <c r="A980" s="174"/>
      <c r="B980" s="174"/>
      <c r="C980" s="174"/>
      <c r="D980" s="174"/>
      <c r="E980" s="174"/>
      <c r="F980" s="174"/>
      <c r="G980" s="174"/>
      <c r="H980" s="174"/>
      <c r="I980" s="174"/>
      <c r="J980" s="174"/>
      <c r="K980" s="174"/>
      <c r="L980" s="174"/>
      <c r="M980" s="174"/>
      <c r="N980" s="174"/>
      <c r="O980" s="174"/>
      <c r="P980" s="174"/>
      <c r="Q980" s="174"/>
      <c r="R980" s="174"/>
      <c r="S980" s="174"/>
      <c r="T980" s="174"/>
      <c r="U980" s="174"/>
      <c r="V980" s="174"/>
      <c r="W980" s="174"/>
      <c r="X980" s="174"/>
      <c r="Y980" s="174"/>
      <c r="Z980" s="174"/>
    </row>
    <row r="981" customFormat="false" ht="15.75" hidden="false" customHeight="false" outlineLevel="0" collapsed="false">
      <c r="A981" s="174"/>
      <c r="B981" s="174"/>
      <c r="C981" s="174"/>
      <c r="D981" s="174"/>
      <c r="E981" s="174"/>
      <c r="F981" s="174"/>
      <c r="G981" s="174"/>
      <c r="H981" s="174"/>
      <c r="I981" s="174"/>
      <c r="J981" s="174"/>
      <c r="K981" s="174"/>
      <c r="L981" s="174"/>
      <c r="M981" s="174"/>
      <c r="N981" s="174"/>
      <c r="O981" s="174"/>
      <c r="P981" s="174"/>
      <c r="Q981" s="174"/>
      <c r="R981" s="174"/>
      <c r="S981" s="174"/>
      <c r="T981" s="174"/>
      <c r="U981" s="174"/>
      <c r="V981" s="174"/>
      <c r="W981" s="174"/>
      <c r="X981" s="174"/>
      <c r="Y981" s="174"/>
      <c r="Z981" s="174"/>
    </row>
    <row r="982" customFormat="false" ht="15.75" hidden="false" customHeight="false" outlineLevel="0" collapsed="false">
      <c r="A982" s="174"/>
      <c r="B982" s="174"/>
      <c r="C982" s="174"/>
      <c r="D982" s="174"/>
      <c r="E982" s="174"/>
      <c r="F982" s="174"/>
      <c r="G982" s="174"/>
      <c r="H982" s="174"/>
      <c r="I982" s="174"/>
      <c r="J982" s="174"/>
      <c r="K982" s="174"/>
      <c r="L982" s="174"/>
      <c r="M982" s="174"/>
      <c r="N982" s="174"/>
      <c r="O982" s="174"/>
      <c r="P982" s="174"/>
      <c r="Q982" s="174"/>
      <c r="R982" s="174"/>
      <c r="S982" s="174"/>
      <c r="T982" s="174"/>
      <c r="U982" s="174"/>
      <c r="V982" s="174"/>
      <c r="W982" s="174"/>
      <c r="X982" s="174"/>
      <c r="Y982" s="174"/>
      <c r="Z982" s="174"/>
    </row>
    <row r="983" customFormat="false" ht="15.75" hidden="false" customHeight="false" outlineLevel="0" collapsed="false">
      <c r="A983" s="174"/>
      <c r="B983" s="174"/>
      <c r="C983" s="174"/>
      <c r="D983" s="174"/>
      <c r="E983" s="174"/>
      <c r="F983" s="174"/>
      <c r="G983" s="174"/>
      <c r="H983" s="174"/>
      <c r="I983" s="174"/>
      <c r="J983" s="174"/>
      <c r="K983" s="174"/>
      <c r="L983" s="174"/>
      <c r="M983" s="174"/>
      <c r="N983" s="174"/>
      <c r="O983" s="174"/>
      <c r="P983" s="174"/>
      <c r="Q983" s="174"/>
      <c r="R983" s="174"/>
      <c r="S983" s="174"/>
      <c r="T983" s="174"/>
      <c r="U983" s="174"/>
      <c r="V983" s="174"/>
      <c r="W983" s="174"/>
      <c r="X983" s="174"/>
      <c r="Y983" s="174"/>
      <c r="Z983" s="174"/>
    </row>
    <row r="984" customFormat="false" ht="15.75" hidden="false" customHeight="false" outlineLevel="0" collapsed="false">
      <c r="A984" s="174"/>
      <c r="B984" s="174"/>
      <c r="C984" s="174"/>
      <c r="D984" s="174"/>
      <c r="E984" s="174"/>
      <c r="F984" s="174"/>
      <c r="G984" s="174"/>
      <c r="H984" s="174"/>
      <c r="I984" s="174"/>
      <c r="J984" s="174"/>
      <c r="K984" s="174"/>
      <c r="L984" s="174"/>
      <c r="M984" s="174"/>
      <c r="N984" s="174"/>
      <c r="O984" s="174"/>
      <c r="P984" s="174"/>
      <c r="Q984" s="174"/>
      <c r="R984" s="174"/>
      <c r="S984" s="174"/>
      <c r="T984" s="174"/>
      <c r="U984" s="174"/>
      <c r="V984" s="174"/>
      <c r="W984" s="174"/>
      <c r="X984" s="174"/>
      <c r="Y984" s="174"/>
      <c r="Z984" s="174"/>
    </row>
    <row r="985" customFormat="false" ht="15.75" hidden="false" customHeight="false" outlineLevel="0" collapsed="false">
      <c r="A985" s="174"/>
      <c r="B985" s="174"/>
      <c r="C985" s="174"/>
      <c r="D985" s="174"/>
      <c r="E985" s="174"/>
      <c r="F985" s="174"/>
      <c r="G985" s="174"/>
      <c r="H985" s="174"/>
      <c r="I985" s="174"/>
      <c r="J985" s="174"/>
      <c r="K985" s="174"/>
      <c r="L985" s="174"/>
      <c r="M985" s="174"/>
      <c r="N985" s="174"/>
      <c r="O985" s="174"/>
      <c r="P985" s="174"/>
      <c r="Q985" s="174"/>
      <c r="R985" s="174"/>
      <c r="S985" s="174"/>
      <c r="T985" s="174"/>
      <c r="U985" s="174"/>
      <c r="V985" s="174"/>
      <c r="W985" s="174"/>
      <c r="X985" s="174"/>
      <c r="Y985" s="174"/>
      <c r="Z985" s="174"/>
    </row>
    <row r="986" customFormat="false" ht="15.75" hidden="false" customHeight="false" outlineLevel="0" collapsed="false">
      <c r="A986" s="174"/>
      <c r="B986" s="174"/>
      <c r="C986" s="174"/>
      <c r="D986" s="174"/>
      <c r="E986" s="174"/>
      <c r="F986" s="174"/>
      <c r="G986" s="174"/>
      <c r="H986" s="174"/>
      <c r="I986" s="174"/>
      <c r="J986" s="174"/>
      <c r="K986" s="174"/>
      <c r="L986" s="174"/>
      <c r="M986" s="174"/>
      <c r="N986" s="174"/>
      <c r="O986" s="174"/>
      <c r="P986" s="174"/>
      <c r="Q986" s="174"/>
      <c r="R986" s="174"/>
      <c r="S986" s="174"/>
      <c r="T986" s="174"/>
      <c r="U986" s="174"/>
      <c r="V986" s="174"/>
      <c r="W986" s="174"/>
      <c r="X986" s="174"/>
      <c r="Y986" s="174"/>
      <c r="Z986" s="174"/>
    </row>
    <row r="987" customFormat="false" ht="15.75" hidden="false" customHeight="false" outlineLevel="0" collapsed="false">
      <c r="A987" s="174"/>
      <c r="B987" s="174"/>
      <c r="C987" s="174"/>
      <c r="D987" s="174"/>
      <c r="E987" s="174"/>
      <c r="F987" s="174"/>
      <c r="G987" s="174"/>
      <c r="H987" s="174"/>
      <c r="I987" s="174"/>
      <c r="J987" s="174"/>
      <c r="K987" s="174"/>
      <c r="L987" s="174"/>
      <c r="M987" s="174"/>
      <c r="N987" s="174"/>
      <c r="O987" s="174"/>
      <c r="P987" s="174"/>
      <c r="Q987" s="174"/>
      <c r="R987" s="174"/>
      <c r="S987" s="174"/>
      <c r="T987" s="174"/>
      <c r="U987" s="174"/>
      <c r="V987" s="174"/>
      <c r="W987" s="174"/>
      <c r="X987" s="174"/>
      <c r="Y987" s="174"/>
      <c r="Z987" s="174"/>
    </row>
    <row r="988" customFormat="false" ht="15.75" hidden="false" customHeight="false" outlineLevel="0" collapsed="false">
      <c r="A988" s="174"/>
      <c r="B988" s="174"/>
      <c r="C988" s="174"/>
      <c r="D988" s="174"/>
      <c r="E988" s="174"/>
      <c r="F988" s="174"/>
      <c r="G988" s="174"/>
      <c r="H988" s="174"/>
      <c r="I988" s="174"/>
      <c r="J988" s="174"/>
      <c r="K988" s="174"/>
      <c r="L988" s="174"/>
      <c r="M988" s="174"/>
      <c r="N988" s="174"/>
      <c r="O988" s="174"/>
      <c r="P988" s="174"/>
      <c r="Q988" s="174"/>
      <c r="R988" s="174"/>
      <c r="S988" s="174"/>
      <c r="T988" s="174"/>
      <c r="U988" s="174"/>
      <c r="V988" s="174"/>
      <c r="W988" s="174"/>
      <c r="X988" s="174"/>
      <c r="Y988" s="174"/>
      <c r="Z988" s="174"/>
    </row>
    <row r="989" customFormat="false" ht="15.75" hidden="false" customHeight="false" outlineLevel="0" collapsed="false">
      <c r="A989" s="174"/>
      <c r="B989" s="174"/>
      <c r="C989" s="174"/>
      <c r="D989" s="174"/>
      <c r="E989" s="174"/>
      <c r="F989" s="174"/>
      <c r="G989" s="174"/>
      <c r="H989" s="174"/>
      <c r="I989" s="174"/>
      <c r="J989" s="174"/>
      <c r="K989" s="174"/>
      <c r="L989" s="174"/>
      <c r="M989" s="174"/>
      <c r="N989" s="174"/>
      <c r="O989" s="174"/>
      <c r="P989" s="174"/>
      <c r="Q989" s="174"/>
      <c r="R989" s="174"/>
      <c r="S989" s="174"/>
      <c r="T989" s="174"/>
      <c r="U989" s="174"/>
      <c r="V989" s="174"/>
      <c r="W989" s="174"/>
      <c r="X989" s="174"/>
      <c r="Y989" s="174"/>
      <c r="Z989" s="174"/>
    </row>
    <row r="990" customFormat="false" ht="15.75" hidden="false" customHeight="false" outlineLevel="0" collapsed="false">
      <c r="A990" s="174"/>
      <c r="B990" s="174"/>
      <c r="C990" s="174"/>
      <c r="D990" s="174"/>
      <c r="E990" s="174"/>
      <c r="F990" s="174"/>
      <c r="G990" s="174"/>
      <c r="H990" s="174"/>
      <c r="I990" s="174"/>
      <c r="J990" s="174"/>
      <c r="K990" s="174"/>
      <c r="L990" s="174"/>
      <c r="M990" s="174"/>
      <c r="N990" s="174"/>
      <c r="O990" s="174"/>
      <c r="P990" s="174"/>
      <c r="Q990" s="174"/>
      <c r="R990" s="174"/>
      <c r="S990" s="174"/>
      <c r="T990" s="174"/>
      <c r="U990" s="174"/>
      <c r="V990" s="174"/>
      <c r="W990" s="174"/>
      <c r="X990" s="174"/>
      <c r="Y990" s="174"/>
      <c r="Z990" s="174"/>
    </row>
    <row r="991" customFormat="false" ht="15.75" hidden="false" customHeight="false" outlineLevel="0" collapsed="false">
      <c r="A991" s="174"/>
      <c r="B991" s="174"/>
      <c r="C991" s="174"/>
      <c r="D991" s="174"/>
      <c r="E991" s="174"/>
      <c r="F991" s="174"/>
      <c r="G991" s="174"/>
      <c r="H991" s="174"/>
      <c r="I991" s="174"/>
      <c r="J991" s="174"/>
      <c r="K991" s="174"/>
      <c r="L991" s="174"/>
      <c r="M991" s="174"/>
      <c r="N991" s="174"/>
      <c r="O991" s="174"/>
      <c r="P991" s="174"/>
      <c r="Q991" s="174"/>
      <c r="R991" s="174"/>
      <c r="S991" s="174"/>
      <c r="T991" s="174"/>
      <c r="U991" s="174"/>
      <c r="V991" s="174"/>
      <c r="W991" s="174"/>
      <c r="X991" s="174"/>
      <c r="Y991" s="174"/>
      <c r="Z991" s="174"/>
    </row>
    <row r="992" customFormat="false" ht="15.75" hidden="false" customHeight="false" outlineLevel="0" collapsed="false">
      <c r="A992" s="174"/>
      <c r="B992" s="174"/>
      <c r="C992" s="174"/>
      <c r="D992" s="174"/>
      <c r="E992" s="174"/>
      <c r="F992" s="174"/>
      <c r="G992" s="174"/>
      <c r="H992" s="174"/>
      <c r="I992" s="174"/>
      <c r="J992" s="174"/>
      <c r="K992" s="174"/>
      <c r="L992" s="174"/>
      <c r="M992" s="174"/>
      <c r="N992" s="174"/>
      <c r="O992" s="174"/>
      <c r="P992" s="174"/>
      <c r="Q992" s="174"/>
      <c r="R992" s="174"/>
      <c r="S992" s="174"/>
      <c r="T992" s="174"/>
      <c r="U992" s="174"/>
      <c r="V992" s="174"/>
      <c r="W992" s="174"/>
      <c r="X992" s="174"/>
      <c r="Y992" s="174"/>
      <c r="Z992" s="174"/>
    </row>
    <row r="993" customFormat="false" ht="15.75" hidden="false" customHeight="false" outlineLevel="0" collapsed="false">
      <c r="A993" s="174"/>
      <c r="B993" s="174"/>
      <c r="C993" s="174"/>
      <c r="D993" s="174"/>
      <c r="E993" s="174"/>
      <c r="F993" s="174"/>
      <c r="G993" s="174"/>
      <c r="H993" s="174"/>
      <c r="I993" s="174"/>
      <c r="J993" s="174"/>
      <c r="K993" s="174"/>
      <c r="L993" s="174"/>
      <c r="M993" s="174"/>
      <c r="N993" s="174"/>
      <c r="O993" s="174"/>
      <c r="P993" s="174"/>
      <c r="Q993" s="174"/>
      <c r="R993" s="174"/>
      <c r="S993" s="174"/>
      <c r="T993" s="174"/>
      <c r="U993" s="174"/>
      <c r="V993" s="174"/>
      <c r="W993" s="174"/>
      <c r="X993" s="174"/>
      <c r="Y993" s="174"/>
      <c r="Z993" s="174"/>
    </row>
    <row r="994" customFormat="false" ht="15.75" hidden="false" customHeight="false" outlineLevel="0" collapsed="false">
      <c r="A994" s="174"/>
      <c r="B994" s="174"/>
      <c r="C994" s="174"/>
      <c r="D994" s="174"/>
      <c r="E994" s="174"/>
      <c r="F994" s="174"/>
      <c r="G994" s="174"/>
      <c r="H994" s="174"/>
      <c r="I994" s="174"/>
      <c r="J994" s="174"/>
      <c r="K994" s="174"/>
      <c r="L994" s="174"/>
      <c r="M994" s="174"/>
      <c r="N994" s="174"/>
      <c r="O994" s="174"/>
      <c r="P994" s="174"/>
      <c r="Q994" s="174"/>
      <c r="R994" s="174"/>
      <c r="S994" s="174"/>
      <c r="T994" s="174"/>
      <c r="U994" s="174"/>
      <c r="V994" s="174"/>
      <c r="W994" s="174"/>
      <c r="X994" s="174"/>
      <c r="Y994" s="174"/>
      <c r="Z994" s="174"/>
    </row>
    <row r="995" customFormat="false" ht="15.75" hidden="false" customHeight="false" outlineLevel="0" collapsed="false">
      <c r="A995" s="174"/>
      <c r="B995" s="174"/>
      <c r="C995" s="174"/>
      <c r="D995" s="174"/>
      <c r="E995" s="174"/>
      <c r="F995" s="174"/>
      <c r="G995" s="174"/>
      <c r="H995" s="174"/>
      <c r="I995" s="174"/>
      <c r="J995" s="174"/>
      <c r="K995" s="174"/>
      <c r="L995" s="174"/>
      <c r="M995" s="174"/>
      <c r="N995" s="174"/>
      <c r="O995" s="174"/>
      <c r="P995" s="174"/>
      <c r="Q995" s="174"/>
      <c r="R995" s="174"/>
      <c r="S995" s="174"/>
      <c r="T995" s="174"/>
      <c r="U995" s="174"/>
      <c r="V995" s="174"/>
      <c r="W995" s="174"/>
      <c r="X995" s="174"/>
      <c r="Y995" s="174"/>
      <c r="Z995" s="174"/>
    </row>
    <row r="996" customFormat="false" ht="15.75" hidden="false" customHeight="false" outlineLevel="0" collapsed="false">
      <c r="A996" s="174"/>
      <c r="B996" s="174"/>
      <c r="C996" s="174"/>
      <c r="D996" s="174"/>
      <c r="E996" s="174"/>
      <c r="F996" s="174"/>
      <c r="G996" s="174"/>
      <c r="H996" s="174"/>
      <c r="I996" s="174"/>
      <c r="J996" s="174"/>
      <c r="K996" s="174"/>
      <c r="L996" s="174"/>
      <c r="M996" s="174"/>
      <c r="N996" s="174"/>
      <c r="O996" s="174"/>
      <c r="P996" s="174"/>
      <c r="Q996" s="174"/>
      <c r="R996" s="174"/>
      <c r="S996" s="174"/>
      <c r="T996" s="174"/>
      <c r="U996" s="174"/>
      <c r="V996" s="174"/>
      <c r="W996" s="174"/>
      <c r="X996" s="174"/>
      <c r="Y996" s="174"/>
      <c r="Z996" s="174"/>
    </row>
    <row r="997" customFormat="false" ht="15.75" hidden="false" customHeight="false" outlineLevel="0" collapsed="false">
      <c r="A997" s="174"/>
      <c r="B997" s="174"/>
      <c r="C997" s="174"/>
      <c r="D997" s="174"/>
      <c r="E997" s="174"/>
      <c r="F997" s="174"/>
      <c r="G997" s="174"/>
      <c r="H997" s="174"/>
      <c r="I997" s="174"/>
      <c r="J997" s="174"/>
      <c r="K997" s="174"/>
      <c r="L997" s="174"/>
      <c r="M997" s="174"/>
      <c r="N997" s="174"/>
      <c r="O997" s="174"/>
      <c r="P997" s="174"/>
      <c r="Q997" s="174"/>
      <c r="R997" s="174"/>
      <c r="S997" s="174"/>
      <c r="T997" s="174"/>
      <c r="U997" s="174"/>
      <c r="V997" s="174"/>
      <c r="W997" s="174"/>
      <c r="X997" s="174"/>
      <c r="Y997" s="174"/>
      <c r="Z997" s="174"/>
    </row>
    <row r="998" customFormat="false" ht="15.75" hidden="false" customHeight="false" outlineLevel="0" collapsed="false">
      <c r="A998" s="174"/>
      <c r="B998" s="174"/>
      <c r="C998" s="174"/>
      <c r="D998" s="174"/>
      <c r="E998" s="174"/>
      <c r="F998" s="174"/>
      <c r="G998" s="174"/>
      <c r="H998" s="174"/>
      <c r="I998" s="174"/>
      <c r="J998" s="174"/>
      <c r="K998" s="174"/>
      <c r="L998" s="174"/>
      <c r="M998" s="174"/>
      <c r="N998" s="174"/>
      <c r="O998" s="174"/>
      <c r="P998" s="174"/>
      <c r="Q998" s="174"/>
      <c r="R998" s="174"/>
      <c r="S998" s="174"/>
      <c r="T998" s="174"/>
      <c r="U998" s="174"/>
      <c r="V998" s="174"/>
      <c r="W998" s="174"/>
      <c r="X998" s="174"/>
      <c r="Y998" s="174"/>
      <c r="Z998" s="174"/>
    </row>
    <row r="999" customFormat="false" ht="15.75" hidden="false" customHeight="false" outlineLevel="0" collapsed="false">
      <c r="A999" s="174"/>
      <c r="B999" s="174"/>
      <c r="C999" s="174"/>
      <c r="D999" s="174"/>
      <c r="E999" s="174"/>
      <c r="F999" s="174"/>
      <c r="G999" s="174"/>
      <c r="H999" s="174"/>
      <c r="I999" s="174"/>
      <c r="J999" s="174"/>
      <c r="K999" s="174"/>
      <c r="L999" s="174"/>
      <c r="M999" s="174"/>
      <c r="N999" s="174"/>
      <c r="O999" s="174"/>
      <c r="P999" s="174"/>
      <c r="Q999" s="174"/>
      <c r="R999" s="174"/>
      <c r="S999" s="174"/>
      <c r="T999" s="174"/>
      <c r="U999" s="174"/>
      <c r="V999" s="174"/>
      <c r="W999" s="174"/>
      <c r="X999" s="174"/>
      <c r="Y999" s="174"/>
      <c r="Z999" s="174"/>
    </row>
    <row r="1000" customFormat="false" ht="15.75" hidden="false" customHeight="false" outlineLevel="0" collapsed="false">
      <c r="A1000" s="174"/>
      <c r="B1000" s="174"/>
      <c r="C1000" s="174"/>
      <c r="D1000" s="174"/>
      <c r="E1000" s="174"/>
      <c r="F1000" s="174"/>
      <c r="G1000" s="174"/>
      <c r="H1000" s="174"/>
      <c r="I1000" s="174"/>
      <c r="J1000" s="174"/>
      <c r="K1000" s="174"/>
      <c r="L1000" s="174"/>
      <c r="M1000" s="174"/>
      <c r="N1000" s="174"/>
      <c r="O1000" s="174"/>
      <c r="P1000" s="174"/>
      <c r="Q1000" s="174"/>
      <c r="R1000" s="174"/>
      <c r="S1000" s="174"/>
      <c r="T1000" s="174"/>
      <c r="U1000" s="174"/>
      <c r="V1000" s="174"/>
      <c r="W1000" s="174"/>
      <c r="X1000" s="174"/>
      <c r="Y1000" s="174"/>
      <c r="Z1000" s="174"/>
    </row>
    <row r="1001" customFormat="false" ht="15.75" hidden="false" customHeight="false" outlineLevel="0" collapsed="false">
      <c r="A1001" s="174"/>
      <c r="B1001" s="174"/>
      <c r="C1001" s="174"/>
      <c r="D1001" s="174"/>
      <c r="E1001" s="174"/>
      <c r="F1001" s="174"/>
      <c r="G1001" s="174"/>
      <c r="H1001" s="174"/>
      <c r="I1001" s="174"/>
      <c r="J1001" s="174"/>
      <c r="K1001" s="174"/>
      <c r="L1001" s="174"/>
      <c r="M1001" s="174"/>
      <c r="N1001" s="174"/>
      <c r="O1001" s="174"/>
      <c r="P1001" s="174"/>
      <c r="Q1001" s="174"/>
      <c r="R1001" s="174"/>
      <c r="S1001" s="174"/>
      <c r="T1001" s="174"/>
      <c r="U1001" s="174"/>
      <c r="V1001" s="174"/>
      <c r="W1001" s="174"/>
      <c r="X1001" s="174"/>
      <c r="Y1001" s="174"/>
      <c r="Z1001" s="17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74" t="s">
        <v>118</v>
      </c>
      <c r="B1" s="174" t="s">
        <v>119</v>
      </c>
      <c r="C1" s="174" t="s">
        <v>29</v>
      </c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</row>
    <row r="2" customFormat="false" ht="15.75" hidden="false" customHeight="false" outlineLevel="0" collapsed="false">
      <c r="A2" s="174" t="s">
        <v>120</v>
      </c>
      <c r="B2" s="174" t="s">
        <v>120</v>
      </c>
      <c r="C2" s="174" t="s">
        <v>28</v>
      </c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</row>
    <row r="3" customFormat="false" ht="15.75" hidden="false" customHeight="false" outlineLevel="0" collapsed="false">
      <c r="A3" s="174" t="s">
        <v>121</v>
      </c>
      <c r="B3" s="174" t="s">
        <v>122</v>
      </c>
      <c r="C3" s="174" t="s">
        <v>31</v>
      </c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</row>
    <row r="4" customFormat="false" ht="15.75" hidden="false" customHeight="false" outlineLevel="0" collapsed="false">
      <c r="A4" s="174" t="s">
        <v>122</v>
      </c>
      <c r="B4" s="174"/>
      <c r="C4" s="174" t="s">
        <v>25</v>
      </c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</row>
    <row r="5" customFormat="false" ht="15.75" hidden="false" customHeight="false" outlineLevel="0" collapsed="false">
      <c r="A5" s="174"/>
      <c r="B5" s="174"/>
      <c r="C5" s="174" t="s">
        <v>55</v>
      </c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4"/>
      <c r="Y5" s="174"/>
      <c r="Z5" s="174"/>
    </row>
    <row r="6" customFormat="false" ht="15.75" hidden="false" customHeight="false" outlineLevel="0" collapsed="false">
      <c r="A6" s="174"/>
      <c r="B6" s="174"/>
      <c r="C6" s="174" t="s">
        <v>30</v>
      </c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</row>
    <row r="7" customFormat="false" ht="15.75" hidden="false" customHeight="false" outlineLevel="0" collapsed="false">
      <c r="A7" s="174"/>
      <c r="B7" s="174"/>
      <c r="C7" s="174" t="s">
        <v>32</v>
      </c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</row>
    <row r="8" customFormat="false" ht="15.75" hidden="false" customHeight="false" outlineLevel="0" collapsed="false">
      <c r="A8" s="174"/>
      <c r="B8" s="174"/>
      <c r="C8" s="174" t="s">
        <v>27</v>
      </c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</row>
    <row r="9" customFormat="false" ht="15.75" hidden="false" customHeight="false" outlineLevel="0" collapsed="false">
      <c r="A9" s="174"/>
      <c r="B9" s="174"/>
      <c r="C9" s="174" t="s">
        <v>26</v>
      </c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4"/>
      <c r="V9" s="174"/>
      <c r="W9" s="174"/>
      <c r="X9" s="174"/>
      <c r="Y9" s="174"/>
      <c r="Z9" s="174"/>
    </row>
    <row r="10" customFormat="false" ht="15.75" hidden="false" customHeight="false" outlineLevel="0" collapsed="false">
      <c r="A10" s="174"/>
      <c r="B10" s="174"/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</row>
    <row r="11" customFormat="false" ht="15.75" hidden="false" customHeight="false" outlineLevel="0" collapsed="false">
      <c r="A11" s="174"/>
      <c r="B11" s="174"/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4"/>
      <c r="R11" s="174"/>
      <c r="S11" s="174"/>
      <c r="T11" s="174"/>
      <c r="U11" s="174"/>
      <c r="V11" s="174"/>
      <c r="W11" s="174"/>
      <c r="X11" s="174"/>
      <c r="Y11" s="174"/>
      <c r="Z11" s="174"/>
    </row>
    <row r="12" customFormat="false" ht="15.75" hidden="false" customHeight="false" outlineLevel="0" collapsed="false">
      <c r="A12" s="174"/>
      <c r="B12" s="174"/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4"/>
      <c r="Q12" s="174"/>
      <c r="R12" s="174"/>
      <c r="S12" s="174"/>
      <c r="T12" s="174"/>
      <c r="U12" s="174"/>
      <c r="V12" s="174"/>
      <c r="W12" s="174"/>
      <c r="X12" s="174"/>
      <c r="Y12" s="174"/>
      <c r="Z12" s="174"/>
    </row>
    <row r="13" customFormat="false" ht="15.75" hidden="false" customHeight="false" outlineLevel="0" collapsed="false">
      <c r="A13" s="174"/>
      <c r="B13" s="174"/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74"/>
      <c r="Q13" s="174"/>
      <c r="R13" s="174"/>
      <c r="S13" s="174"/>
      <c r="T13" s="174"/>
      <c r="U13" s="174"/>
      <c r="V13" s="174"/>
      <c r="W13" s="174"/>
      <c r="X13" s="174"/>
      <c r="Y13" s="174"/>
      <c r="Z13" s="174"/>
    </row>
    <row r="14" customFormat="false" ht="15.75" hidden="false" customHeight="false" outlineLevel="0" collapsed="false">
      <c r="A14" s="174"/>
      <c r="B14" s="174"/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</row>
    <row r="15" customFormat="false" ht="15.75" hidden="false" customHeight="false" outlineLevel="0" collapsed="false">
      <c r="A15" s="174"/>
      <c r="B15" s="174"/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4"/>
      <c r="P15" s="174"/>
      <c r="Q15" s="174"/>
      <c r="R15" s="174"/>
      <c r="S15" s="174"/>
      <c r="T15" s="174"/>
      <c r="U15" s="174"/>
      <c r="V15" s="174"/>
      <c r="W15" s="174"/>
      <c r="X15" s="174"/>
      <c r="Y15" s="174"/>
      <c r="Z15" s="174"/>
    </row>
    <row r="16" customFormat="false" ht="15.75" hidden="false" customHeight="false" outlineLevel="0" collapsed="false">
      <c r="A16" s="174"/>
      <c r="B16" s="174"/>
      <c r="C16" s="174"/>
      <c r="D16" s="174"/>
      <c r="E16" s="174"/>
      <c r="F16" s="174"/>
      <c r="G16" s="174"/>
      <c r="H16" s="174"/>
      <c r="I16" s="174"/>
      <c r="J16" s="174"/>
      <c r="K16" s="174"/>
      <c r="L16" s="174"/>
      <c r="M16" s="174"/>
      <c r="N16" s="174"/>
      <c r="O16" s="174"/>
      <c r="P16" s="174"/>
      <c r="Q16" s="174"/>
      <c r="R16" s="174"/>
      <c r="S16" s="174"/>
      <c r="T16" s="174"/>
      <c r="U16" s="174"/>
      <c r="V16" s="174"/>
      <c r="W16" s="174"/>
      <c r="X16" s="174"/>
      <c r="Y16" s="174"/>
      <c r="Z16" s="174"/>
    </row>
    <row r="17" customFormat="false" ht="15.75" hidden="false" customHeight="false" outlineLevel="0" collapsed="false">
      <c r="A17" s="174"/>
      <c r="B17" s="174"/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74"/>
      <c r="O17" s="174"/>
      <c r="P17" s="174"/>
      <c r="Q17" s="174"/>
      <c r="R17" s="174"/>
      <c r="S17" s="174"/>
      <c r="T17" s="174"/>
      <c r="U17" s="174"/>
      <c r="V17" s="174"/>
      <c r="W17" s="174"/>
      <c r="X17" s="174"/>
      <c r="Y17" s="174"/>
      <c r="Z17" s="174"/>
    </row>
    <row r="18" customFormat="false" ht="15.75" hidden="false" customHeight="false" outlineLevel="0" collapsed="false">
      <c r="A18" s="174"/>
      <c r="B18" s="174"/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  <c r="N18" s="174"/>
      <c r="O18" s="174"/>
      <c r="P18" s="174"/>
      <c r="Q18" s="174"/>
      <c r="R18" s="174"/>
      <c r="S18" s="174"/>
      <c r="T18" s="174"/>
      <c r="U18" s="174"/>
      <c r="V18" s="174"/>
      <c r="W18" s="174"/>
      <c r="X18" s="174"/>
      <c r="Y18" s="174"/>
      <c r="Z18" s="174"/>
    </row>
    <row r="19" customFormat="false" ht="15.75" hidden="false" customHeight="false" outlineLevel="0" collapsed="false">
      <c r="A19" s="174"/>
      <c r="B19" s="174"/>
      <c r="C19" s="174"/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74"/>
      <c r="O19" s="174"/>
      <c r="P19" s="174"/>
      <c r="Q19" s="174"/>
      <c r="R19" s="174"/>
      <c r="S19" s="174"/>
      <c r="T19" s="174"/>
      <c r="U19" s="174"/>
      <c r="V19" s="174"/>
      <c r="W19" s="174"/>
      <c r="X19" s="174"/>
      <c r="Y19" s="174"/>
      <c r="Z19" s="174"/>
    </row>
    <row r="20" customFormat="false" ht="15.75" hidden="false" customHeight="false" outlineLevel="0" collapsed="false">
      <c r="A20" s="174"/>
      <c r="B20" s="174"/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</row>
    <row r="21" customFormat="false" ht="15.75" hidden="false" customHeight="false" outlineLevel="0" collapsed="false">
      <c r="A21" s="174"/>
      <c r="B21" s="174"/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74"/>
      <c r="Q21" s="174"/>
      <c r="R21" s="174"/>
      <c r="S21" s="174"/>
      <c r="T21" s="174"/>
      <c r="U21" s="174"/>
      <c r="V21" s="174"/>
      <c r="W21" s="174"/>
      <c r="X21" s="174"/>
      <c r="Y21" s="174"/>
      <c r="Z21" s="174"/>
    </row>
    <row r="22" customFormat="false" ht="15.75" hidden="false" customHeight="false" outlineLevel="0" collapsed="false">
      <c r="A22" s="174"/>
      <c r="B22" s="174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74"/>
      <c r="U22" s="174"/>
      <c r="V22" s="174"/>
      <c r="W22" s="174"/>
      <c r="X22" s="174"/>
      <c r="Y22" s="174"/>
      <c r="Z22" s="174"/>
    </row>
    <row r="23" customFormat="false" ht="15.75" hidden="false" customHeight="false" outlineLevel="0" collapsed="false">
      <c r="A23" s="174"/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</row>
    <row r="24" customFormat="false" ht="15.75" hidden="false" customHeight="false" outlineLevel="0" collapsed="false">
      <c r="A24" s="174"/>
      <c r="B24" s="174"/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  <c r="R24" s="174"/>
      <c r="S24" s="174"/>
      <c r="T24" s="174"/>
      <c r="U24" s="174"/>
      <c r="V24" s="174"/>
      <c r="W24" s="174"/>
      <c r="X24" s="174"/>
      <c r="Y24" s="174"/>
      <c r="Z24" s="174"/>
    </row>
    <row r="25" customFormat="false" ht="15.75" hidden="false" customHeight="false" outlineLevel="0" collapsed="false">
      <c r="A25" s="174"/>
      <c r="B25" s="174"/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4"/>
      <c r="U25" s="174"/>
      <c r="V25" s="174"/>
      <c r="W25" s="174"/>
      <c r="X25" s="174"/>
      <c r="Y25" s="174"/>
      <c r="Z25" s="174"/>
    </row>
    <row r="26" customFormat="false" ht="15.75" hidden="false" customHeight="false" outlineLevel="0" collapsed="false">
      <c r="A26" s="174"/>
      <c r="B26" s="174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</row>
    <row r="27" customFormat="false" ht="15.75" hidden="false" customHeight="false" outlineLevel="0" collapsed="false">
      <c r="A27" s="174"/>
      <c r="B27" s="174"/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74"/>
      <c r="Q27" s="174"/>
      <c r="R27" s="174"/>
      <c r="S27" s="174"/>
      <c r="T27" s="174"/>
      <c r="U27" s="174"/>
      <c r="V27" s="174"/>
      <c r="W27" s="174"/>
      <c r="X27" s="174"/>
      <c r="Y27" s="174"/>
      <c r="Z27" s="174"/>
    </row>
    <row r="28" customFormat="false" ht="15.75" hidden="false" customHeight="false" outlineLevel="0" collapsed="false">
      <c r="A28" s="174"/>
      <c r="B28" s="174"/>
      <c r="C28" s="174"/>
      <c r="D28" s="174"/>
      <c r="E28" s="174"/>
      <c r="F28" s="174"/>
      <c r="G28" s="174"/>
      <c r="H28" s="174"/>
      <c r="I28" s="174"/>
      <c r="J28" s="174"/>
      <c r="K28" s="174"/>
      <c r="L28" s="174"/>
      <c r="M28" s="174"/>
      <c r="N28" s="174"/>
      <c r="O28" s="174"/>
      <c r="P28" s="174"/>
      <c r="Q28" s="174"/>
      <c r="R28" s="174"/>
      <c r="S28" s="174"/>
      <c r="T28" s="174"/>
      <c r="U28" s="174"/>
      <c r="V28" s="174"/>
      <c r="W28" s="174"/>
      <c r="X28" s="174"/>
      <c r="Y28" s="174"/>
      <c r="Z28" s="174"/>
    </row>
    <row r="29" customFormat="false" ht="15.75" hidden="false" customHeight="false" outlineLevel="0" collapsed="false">
      <c r="A29" s="174"/>
      <c r="B29" s="174"/>
      <c r="C29" s="174"/>
      <c r="D29" s="174"/>
      <c r="E29" s="174"/>
      <c r="F29" s="174"/>
      <c r="G29" s="174"/>
      <c r="H29" s="174"/>
      <c r="I29" s="174"/>
      <c r="J29" s="174"/>
      <c r="K29" s="174"/>
      <c r="L29" s="174"/>
      <c r="M29" s="174"/>
      <c r="N29" s="174"/>
      <c r="O29" s="174"/>
      <c r="P29" s="174"/>
      <c r="Q29" s="174"/>
      <c r="R29" s="174"/>
      <c r="S29" s="174"/>
      <c r="T29" s="174"/>
      <c r="U29" s="174"/>
      <c r="V29" s="174"/>
      <c r="W29" s="174"/>
      <c r="X29" s="174"/>
      <c r="Y29" s="174"/>
      <c r="Z29" s="174"/>
    </row>
    <row r="30" customFormat="false" ht="15.75" hidden="false" customHeight="false" outlineLevel="0" collapsed="false">
      <c r="A30" s="174"/>
      <c r="B30" s="174"/>
      <c r="C30" s="174"/>
      <c r="D30" s="174"/>
      <c r="E30" s="174"/>
      <c r="F30" s="174"/>
      <c r="G30" s="174"/>
      <c r="H30" s="174"/>
      <c r="I30" s="174"/>
      <c r="J30" s="174"/>
      <c r="K30" s="174"/>
      <c r="L30" s="174"/>
      <c r="M30" s="174"/>
      <c r="N30" s="174"/>
      <c r="O30" s="174"/>
      <c r="P30" s="174"/>
      <c r="Q30" s="174"/>
      <c r="R30" s="174"/>
      <c r="S30" s="174"/>
      <c r="T30" s="174"/>
      <c r="U30" s="174"/>
      <c r="V30" s="174"/>
      <c r="W30" s="174"/>
      <c r="X30" s="174"/>
      <c r="Y30" s="174"/>
      <c r="Z30" s="174"/>
    </row>
    <row r="31" customFormat="false" ht="15.75" hidden="false" customHeight="false" outlineLevel="0" collapsed="false">
      <c r="A31" s="174"/>
      <c r="B31" s="174"/>
      <c r="C31" s="174"/>
      <c r="D31" s="174"/>
      <c r="E31" s="174"/>
      <c r="F31" s="174"/>
      <c r="G31" s="174"/>
      <c r="H31" s="174"/>
      <c r="I31" s="174"/>
      <c r="J31" s="174"/>
      <c r="K31" s="174"/>
      <c r="L31" s="174"/>
      <c r="M31" s="174"/>
      <c r="N31" s="174"/>
      <c r="O31" s="174"/>
      <c r="P31" s="174"/>
      <c r="Q31" s="174"/>
      <c r="R31" s="174"/>
      <c r="S31" s="174"/>
      <c r="T31" s="174"/>
      <c r="U31" s="174"/>
      <c r="V31" s="174"/>
      <c r="W31" s="174"/>
      <c r="X31" s="174"/>
      <c r="Y31" s="174"/>
      <c r="Z31" s="174"/>
    </row>
    <row r="32" customFormat="false" ht="15.75" hidden="false" customHeight="false" outlineLevel="0" collapsed="false">
      <c r="A32" s="174"/>
      <c r="B32" s="174"/>
      <c r="C32" s="174"/>
      <c r="D32" s="174"/>
      <c r="E32" s="174"/>
      <c r="F32" s="174"/>
      <c r="G32" s="174"/>
      <c r="H32" s="174"/>
      <c r="I32" s="174"/>
      <c r="J32" s="174"/>
      <c r="K32" s="174"/>
      <c r="L32" s="174"/>
      <c r="M32" s="174"/>
      <c r="N32" s="174"/>
      <c r="O32" s="174"/>
      <c r="P32" s="174"/>
      <c r="Q32" s="174"/>
      <c r="R32" s="174"/>
      <c r="S32" s="174"/>
      <c r="T32" s="174"/>
      <c r="U32" s="174"/>
      <c r="V32" s="174"/>
      <c r="W32" s="174"/>
      <c r="X32" s="174"/>
      <c r="Y32" s="174"/>
      <c r="Z32" s="174"/>
    </row>
    <row r="33" customFormat="false" ht="15.75" hidden="false" customHeight="false" outlineLevel="0" collapsed="false">
      <c r="A33" s="174"/>
      <c r="B33" s="174"/>
      <c r="C33" s="174"/>
      <c r="D33" s="174"/>
      <c r="E33" s="174"/>
      <c r="F33" s="174"/>
      <c r="G33" s="174"/>
      <c r="H33" s="174"/>
      <c r="I33" s="174"/>
      <c r="J33" s="174"/>
      <c r="K33" s="174"/>
      <c r="L33" s="174"/>
      <c r="M33" s="174"/>
      <c r="N33" s="174"/>
      <c r="O33" s="174"/>
      <c r="P33" s="174"/>
      <c r="Q33" s="174"/>
      <c r="R33" s="174"/>
      <c r="S33" s="174"/>
      <c r="T33" s="174"/>
      <c r="U33" s="174"/>
      <c r="V33" s="174"/>
      <c r="W33" s="174"/>
      <c r="X33" s="174"/>
      <c r="Y33" s="174"/>
      <c r="Z33" s="174"/>
    </row>
    <row r="34" customFormat="false" ht="15.75" hidden="false" customHeight="false" outlineLevel="0" collapsed="false">
      <c r="A34" s="174"/>
      <c r="B34" s="174"/>
      <c r="C34" s="174"/>
      <c r="D34" s="174"/>
      <c r="E34" s="174"/>
      <c r="F34" s="174"/>
      <c r="G34" s="174"/>
      <c r="H34" s="174"/>
      <c r="I34" s="174"/>
      <c r="J34" s="174"/>
      <c r="K34" s="174"/>
      <c r="L34" s="174"/>
      <c r="M34" s="174"/>
      <c r="N34" s="174"/>
      <c r="O34" s="174"/>
      <c r="P34" s="174"/>
      <c r="Q34" s="174"/>
      <c r="R34" s="174"/>
      <c r="S34" s="174"/>
      <c r="T34" s="174"/>
      <c r="U34" s="174"/>
      <c r="V34" s="174"/>
      <c r="W34" s="174"/>
      <c r="X34" s="174"/>
      <c r="Y34" s="174"/>
      <c r="Z34" s="174"/>
    </row>
    <row r="35" customFormat="false" ht="15.75" hidden="false" customHeight="false" outlineLevel="0" collapsed="false">
      <c r="A35" s="174"/>
      <c r="B35" s="174"/>
      <c r="C35" s="174"/>
      <c r="D35" s="174"/>
      <c r="E35" s="174"/>
      <c r="F35" s="174"/>
      <c r="G35" s="174"/>
      <c r="H35" s="174"/>
      <c r="I35" s="174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</row>
    <row r="36" customFormat="false" ht="15.75" hidden="false" customHeight="false" outlineLevel="0" collapsed="false">
      <c r="A36" s="174"/>
      <c r="B36" s="174"/>
      <c r="C36" s="174"/>
      <c r="D36" s="174"/>
      <c r="E36" s="174"/>
      <c r="F36" s="174"/>
      <c r="G36" s="174"/>
      <c r="H36" s="174"/>
      <c r="I36" s="174"/>
      <c r="J36" s="174"/>
      <c r="K36" s="174"/>
      <c r="L36" s="174"/>
      <c r="M36" s="174"/>
      <c r="N36" s="174"/>
      <c r="O36" s="174"/>
      <c r="P36" s="174"/>
      <c r="Q36" s="174"/>
      <c r="R36" s="174"/>
      <c r="S36" s="174"/>
      <c r="T36" s="174"/>
      <c r="U36" s="174"/>
      <c r="V36" s="174"/>
      <c r="W36" s="174"/>
      <c r="X36" s="174"/>
      <c r="Y36" s="174"/>
      <c r="Z36" s="174"/>
    </row>
    <row r="37" customFormat="false" ht="15.75" hidden="false" customHeight="false" outlineLevel="0" collapsed="false">
      <c r="A37" s="174"/>
      <c r="B37" s="174"/>
      <c r="C37" s="174"/>
      <c r="D37" s="174"/>
      <c r="E37" s="174"/>
      <c r="F37" s="174"/>
      <c r="G37" s="174"/>
      <c r="H37" s="174"/>
      <c r="I37" s="174"/>
      <c r="J37" s="174"/>
      <c r="K37" s="174"/>
      <c r="L37" s="174"/>
      <c r="M37" s="174"/>
      <c r="N37" s="174"/>
      <c r="O37" s="174"/>
      <c r="P37" s="174"/>
      <c r="Q37" s="174"/>
      <c r="R37" s="174"/>
      <c r="S37" s="174"/>
      <c r="T37" s="174"/>
      <c r="U37" s="174"/>
      <c r="V37" s="174"/>
      <c r="W37" s="174"/>
      <c r="X37" s="174"/>
      <c r="Y37" s="174"/>
      <c r="Z37" s="174"/>
    </row>
    <row r="38" customFormat="false" ht="15.75" hidden="false" customHeight="false" outlineLevel="0" collapsed="false">
      <c r="A38" s="174"/>
      <c r="B38" s="174"/>
      <c r="C38" s="174"/>
      <c r="D38" s="174"/>
      <c r="E38" s="174"/>
      <c r="F38" s="174"/>
      <c r="G38" s="174"/>
      <c r="H38" s="174"/>
      <c r="I38" s="174"/>
      <c r="J38" s="174"/>
      <c r="K38" s="174"/>
      <c r="L38" s="174"/>
      <c r="M38" s="174"/>
      <c r="N38" s="174"/>
      <c r="O38" s="174"/>
      <c r="P38" s="174"/>
      <c r="Q38" s="174"/>
      <c r="R38" s="174"/>
      <c r="S38" s="174"/>
      <c r="T38" s="174"/>
      <c r="U38" s="174"/>
      <c r="V38" s="174"/>
      <c r="W38" s="174"/>
      <c r="X38" s="174"/>
      <c r="Y38" s="174"/>
      <c r="Z38" s="174"/>
    </row>
    <row r="39" customFormat="false" ht="15.75" hidden="false" customHeight="false" outlineLevel="0" collapsed="false">
      <c r="A39" s="174"/>
      <c r="B39" s="174"/>
      <c r="C39" s="174"/>
      <c r="D39" s="174"/>
      <c r="E39" s="174"/>
      <c r="F39" s="174"/>
      <c r="G39" s="174"/>
      <c r="H39" s="174"/>
      <c r="I39" s="174"/>
      <c r="J39" s="174"/>
      <c r="K39" s="174"/>
      <c r="L39" s="174"/>
      <c r="M39" s="174"/>
      <c r="N39" s="174"/>
      <c r="O39" s="174"/>
      <c r="P39" s="174"/>
      <c r="Q39" s="174"/>
      <c r="R39" s="174"/>
      <c r="S39" s="174"/>
      <c r="T39" s="174"/>
      <c r="U39" s="174"/>
      <c r="V39" s="174"/>
      <c r="W39" s="174"/>
      <c r="X39" s="174"/>
      <c r="Y39" s="174"/>
      <c r="Z39" s="174"/>
    </row>
    <row r="40" customFormat="false" ht="15.75" hidden="false" customHeight="false" outlineLevel="0" collapsed="false">
      <c r="A40" s="174"/>
      <c r="B40" s="174"/>
      <c r="C40" s="174"/>
      <c r="D40" s="174"/>
      <c r="E40" s="174"/>
      <c r="F40" s="174"/>
      <c r="G40" s="174"/>
      <c r="H40" s="174"/>
      <c r="I40" s="174"/>
      <c r="J40" s="174"/>
      <c r="K40" s="174"/>
      <c r="L40" s="174"/>
      <c r="M40" s="174"/>
      <c r="N40" s="174"/>
      <c r="O40" s="174"/>
      <c r="P40" s="174"/>
      <c r="Q40" s="174"/>
      <c r="R40" s="174"/>
      <c r="S40" s="174"/>
      <c r="T40" s="174"/>
      <c r="U40" s="174"/>
      <c r="V40" s="174"/>
      <c r="W40" s="174"/>
      <c r="X40" s="174"/>
      <c r="Y40" s="174"/>
      <c r="Z40" s="174"/>
    </row>
    <row r="41" customFormat="false" ht="15.75" hidden="false" customHeight="false" outlineLevel="0" collapsed="false">
      <c r="A41" s="174"/>
      <c r="B41" s="174"/>
      <c r="C41" s="174"/>
      <c r="D41" s="174"/>
      <c r="E41" s="174"/>
      <c r="F41" s="174"/>
      <c r="G41" s="174"/>
      <c r="H41" s="174"/>
      <c r="I41" s="174"/>
      <c r="J41" s="174"/>
      <c r="K41" s="174"/>
      <c r="L41" s="174"/>
      <c r="M41" s="174"/>
      <c r="N41" s="174"/>
      <c r="O41" s="174"/>
      <c r="P41" s="174"/>
      <c r="Q41" s="174"/>
      <c r="R41" s="174"/>
      <c r="S41" s="174"/>
      <c r="T41" s="174"/>
      <c r="U41" s="174"/>
      <c r="V41" s="174"/>
      <c r="W41" s="174"/>
      <c r="X41" s="174"/>
      <c r="Y41" s="174"/>
      <c r="Z41" s="174"/>
    </row>
    <row r="42" customFormat="false" ht="15.75" hidden="false" customHeight="false" outlineLevel="0" collapsed="false">
      <c r="A42" s="174"/>
      <c r="B42" s="174"/>
      <c r="C42" s="174"/>
      <c r="D42" s="174"/>
      <c r="E42" s="174"/>
      <c r="F42" s="174"/>
      <c r="G42" s="174"/>
      <c r="H42" s="174"/>
      <c r="I42" s="174"/>
      <c r="J42" s="174"/>
      <c r="K42" s="174"/>
      <c r="L42" s="174"/>
      <c r="M42" s="174"/>
      <c r="N42" s="174"/>
      <c r="O42" s="174"/>
      <c r="P42" s="174"/>
      <c r="Q42" s="174"/>
      <c r="R42" s="174"/>
      <c r="S42" s="174"/>
      <c r="T42" s="174"/>
      <c r="U42" s="174"/>
      <c r="V42" s="174"/>
      <c r="W42" s="174"/>
      <c r="X42" s="174"/>
      <c r="Y42" s="174"/>
      <c r="Z42" s="174"/>
    </row>
    <row r="43" customFormat="false" ht="15.75" hidden="false" customHeight="false" outlineLevel="0" collapsed="false">
      <c r="A43" s="174"/>
      <c r="B43" s="174"/>
      <c r="C43" s="174"/>
      <c r="D43" s="174"/>
      <c r="E43" s="174"/>
      <c r="F43" s="174"/>
      <c r="G43" s="174"/>
      <c r="H43" s="174"/>
      <c r="I43" s="174"/>
      <c r="J43" s="174"/>
      <c r="K43" s="174"/>
      <c r="L43" s="174"/>
      <c r="M43" s="174"/>
      <c r="N43" s="174"/>
      <c r="O43" s="174"/>
      <c r="P43" s="174"/>
      <c r="Q43" s="174"/>
      <c r="R43" s="174"/>
      <c r="S43" s="174"/>
      <c r="T43" s="174"/>
      <c r="U43" s="174"/>
      <c r="V43" s="174"/>
      <c r="W43" s="174"/>
      <c r="X43" s="174"/>
      <c r="Y43" s="174"/>
      <c r="Z43" s="174"/>
    </row>
    <row r="44" customFormat="false" ht="15.75" hidden="false" customHeight="false" outlineLevel="0" collapsed="false">
      <c r="A44" s="174"/>
      <c r="B44" s="174"/>
      <c r="C44" s="174"/>
      <c r="D44" s="174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174"/>
      <c r="S44" s="174"/>
      <c r="T44" s="174"/>
      <c r="U44" s="174"/>
      <c r="V44" s="174"/>
      <c r="W44" s="174"/>
      <c r="X44" s="174"/>
      <c r="Y44" s="174"/>
      <c r="Z44" s="174"/>
    </row>
    <row r="45" customFormat="false" ht="15.75" hidden="false" customHeight="false" outlineLevel="0" collapsed="false">
      <c r="A45" s="174"/>
      <c r="B45" s="174"/>
      <c r="C45" s="174"/>
      <c r="D45" s="174"/>
      <c r="E45" s="174"/>
      <c r="F45" s="174"/>
      <c r="G45" s="174"/>
      <c r="H45" s="174"/>
      <c r="I45" s="174"/>
      <c r="J45" s="174"/>
      <c r="K45" s="174"/>
      <c r="L45" s="174"/>
      <c r="M45" s="174"/>
      <c r="N45" s="174"/>
      <c r="O45" s="174"/>
      <c r="P45" s="174"/>
      <c r="Q45" s="174"/>
      <c r="R45" s="174"/>
      <c r="S45" s="174"/>
      <c r="T45" s="174"/>
      <c r="U45" s="174"/>
      <c r="V45" s="174"/>
      <c r="W45" s="174"/>
      <c r="X45" s="174"/>
      <c r="Y45" s="174"/>
      <c r="Z45" s="174"/>
    </row>
    <row r="46" customFormat="false" ht="15.75" hidden="false" customHeight="false" outlineLevel="0" collapsed="false">
      <c r="A46" s="174"/>
      <c r="B46" s="174"/>
      <c r="C46" s="174"/>
      <c r="D46" s="174"/>
      <c r="E46" s="174"/>
      <c r="F46" s="174"/>
      <c r="G46" s="174"/>
      <c r="H46" s="174"/>
      <c r="I46" s="174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</row>
    <row r="47" customFormat="false" ht="15.75" hidden="false" customHeight="false" outlineLevel="0" collapsed="false">
      <c r="A47" s="174"/>
      <c r="B47" s="174"/>
      <c r="C47" s="174"/>
      <c r="D47" s="174"/>
      <c r="E47" s="174"/>
      <c r="F47" s="174"/>
      <c r="G47" s="174"/>
      <c r="H47" s="174"/>
      <c r="I47" s="174"/>
      <c r="J47" s="174"/>
      <c r="K47" s="174"/>
      <c r="L47" s="174"/>
      <c r="M47" s="174"/>
      <c r="N47" s="174"/>
      <c r="O47" s="174"/>
      <c r="P47" s="174"/>
      <c r="Q47" s="174"/>
      <c r="R47" s="174"/>
      <c r="S47" s="174"/>
      <c r="T47" s="174"/>
      <c r="U47" s="174"/>
      <c r="V47" s="174"/>
      <c r="W47" s="174"/>
      <c r="X47" s="174"/>
      <c r="Y47" s="174"/>
      <c r="Z47" s="174"/>
    </row>
    <row r="48" customFormat="false" ht="15.75" hidden="false" customHeight="false" outlineLevel="0" collapsed="false">
      <c r="A48" s="174"/>
      <c r="B48" s="174"/>
      <c r="C48" s="174"/>
      <c r="D48" s="174"/>
      <c r="E48" s="174"/>
      <c r="F48" s="174"/>
      <c r="G48" s="174"/>
      <c r="H48" s="174"/>
      <c r="I48" s="174"/>
      <c r="J48" s="174"/>
      <c r="K48" s="174"/>
      <c r="L48" s="174"/>
      <c r="M48" s="174"/>
      <c r="N48" s="174"/>
      <c r="O48" s="174"/>
      <c r="P48" s="174"/>
      <c r="Q48" s="174"/>
      <c r="R48" s="174"/>
      <c r="S48" s="174"/>
      <c r="T48" s="174"/>
      <c r="U48" s="174"/>
      <c r="V48" s="174"/>
      <c r="W48" s="174"/>
      <c r="X48" s="174"/>
      <c r="Y48" s="174"/>
      <c r="Z48" s="174"/>
    </row>
    <row r="49" customFormat="false" ht="15.75" hidden="false" customHeight="false" outlineLevel="0" collapsed="false">
      <c r="A49" s="174"/>
      <c r="B49" s="174"/>
      <c r="C49" s="174"/>
      <c r="D49" s="174"/>
      <c r="E49" s="174"/>
      <c r="F49" s="174"/>
      <c r="G49" s="174"/>
      <c r="H49" s="174"/>
      <c r="I49" s="174"/>
      <c r="J49" s="174"/>
      <c r="K49" s="174"/>
      <c r="L49" s="174"/>
      <c r="M49" s="174"/>
      <c r="N49" s="174"/>
      <c r="O49" s="174"/>
      <c r="P49" s="174"/>
      <c r="Q49" s="174"/>
      <c r="R49" s="174"/>
      <c r="S49" s="174"/>
      <c r="T49" s="174"/>
      <c r="U49" s="174"/>
      <c r="V49" s="174"/>
      <c r="W49" s="174"/>
      <c r="X49" s="174"/>
      <c r="Y49" s="174"/>
      <c r="Z49" s="174"/>
    </row>
    <row r="50" customFormat="false" ht="15.75" hidden="false" customHeight="false" outlineLevel="0" collapsed="false">
      <c r="A50" s="174"/>
      <c r="B50" s="174"/>
      <c r="C50" s="174"/>
      <c r="D50" s="174"/>
      <c r="E50" s="174"/>
      <c r="F50" s="174"/>
      <c r="G50" s="174"/>
      <c r="H50" s="174"/>
      <c r="I50" s="174"/>
      <c r="J50" s="174"/>
      <c r="K50" s="174"/>
      <c r="L50" s="174"/>
      <c r="M50" s="174"/>
      <c r="N50" s="174"/>
      <c r="O50" s="174"/>
      <c r="P50" s="174"/>
      <c r="Q50" s="174"/>
      <c r="R50" s="174"/>
      <c r="S50" s="174"/>
      <c r="T50" s="174"/>
      <c r="U50" s="174"/>
      <c r="V50" s="174"/>
      <c r="W50" s="174"/>
      <c r="X50" s="174"/>
      <c r="Y50" s="174"/>
      <c r="Z50" s="174"/>
    </row>
    <row r="51" customFormat="false" ht="15.75" hidden="false" customHeight="false" outlineLevel="0" collapsed="false">
      <c r="A51" s="174"/>
      <c r="B51" s="174"/>
      <c r="C51" s="174"/>
      <c r="D51" s="174"/>
      <c r="E51" s="174"/>
      <c r="F51" s="174"/>
      <c r="G51" s="174"/>
      <c r="H51" s="174"/>
      <c r="I51" s="174"/>
      <c r="J51" s="174"/>
      <c r="K51" s="174"/>
      <c r="L51" s="174"/>
      <c r="M51" s="174"/>
      <c r="N51" s="174"/>
      <c r="O51" s="174"/>
      <c r="P51" s="174"/>
      <c r="Q51" s="174"/>
      <c r="R51" s="174"/>
      <c r="S51" s="174"/>
      <c r="T51" s="174"/>
      <c r="U51" s="174"/>
      <c r="V51" s="174"/>
      <c r="W51" s="174"/>
      <c r="X51" s="174"/>
      <c r="Y51" s="174"/>
      <c r="Z51" s="174"/>
    </row>
    <row r="52" customFormat="false" ht="15.75" hidden="false" customHeight="false" outlineLevel="0" collapsed="false">
      <c r="A52" s="174"/>
      <c r="B52" s="174"/>
      <c r="C52" s="174"/>
      <c r="D52" s="174"/>
      <c r="E52" s="174"/>
      <c r="F52" s="174"/>
      <c r="G52" s="174"/>
      <c r="H52" s="174"/>
      <c r="I52" s="174"/>
      <c r="J52" s="174"/>
      <c r="K52" s="174"/>
      <c r="L52" s="174"/>
      <c r="M52" s="174"/>
      <c r="N52" s="174"/>
      <c r="O52" s="174"/>
      <c r="P52" s="174"/>
      <c r="Q52" s="174"/>
      <c r="R52" s="174"/>
      <c r="S52" s="174"/>
      <c r="T52" s="174"/>
      <c r="U52" s="174"/>
      <c r="V52" s="174"/>
      <c r="W52" s="174"/>
      <c r="X52" s="174"/>
      <c r="Y52" s="174"/>
      <c r="Z52" s="174"/>
    </row>
    <row r="53" customFormat="false" ht="15.75" hidden="false" customHeight="false" outlineLevel="0" collapsed="false">
      <c r="A53" s="174"/>
      <c r="B53" s="174"/>
      <c r="C53" s="174"/>
      <c r="D53" s="174"/>
      <c r="E53" s="174"/>
      <c r="F53" s="174"/>
      <c r="G53" s="174"/>
      <c r="H53" s="174"/>
      <c r="I53" s="174"/>
      <c r="J53" s="174"/>
      <c r="K53" s="174"/>
      <c r="L53" s="174"/>
      <c r="M53" s="174"/>
      <c r="N53" s="174"/>
      <c r="O53" s="174"/>
      <c r="P53" s="174"/>
      <c r="Q53" s="174"/>
      <c r="R53" s="174"/>
      <c r="S53" s="174"/>
      <c r="T53" s="174"/>
      <c r="U53" s="174"/>
      <c r="V53" s="174"/>
      <c r="W53" s="174"/>
      <c r="X53" s="174"/>
      <c r="Y53" s="174"/>
      <c r="Z53" s="174"/>
    </row>
    <row r="54" customFormat="false" ht="15.75" hidden="false" customHeight="false" outlineLevel="0" collapsed="false">
      <c r="A54" s="174"/>
      <c r="B54" s="174"/>
      <c r="C54" s="174"/>
      <c r="D54" s="174"/>
      <c r="E54" s="174"/>
      <c r="F54" s="174"/>
      <c r="G54" s="174"/>
      <c r="H54" s="174"/>
      <c r="I54" s="174"/>
      <c r="J54" s="174"/>
      <c r="K54" s="174"/>
      <c r="L54" s="174"/>
      <c r="M54" s="174"/>
      <c r="N54" s="174"/>
      <c r="O54" s="174"/>
      <c r="P54" s="174"/>
      <c r="Q54" s="174"/>
      <c r="R54" s="174"/>
      <c r="S54" s="174"/>
      <c r="T54" s="174"/>
      <c r="U54" s="174"/>
      <c r="V54" s="174"/>
      <c r="W54" s="174"/>
      <c r="X54" s="174"/>
      <c r="Y54" s="174"/>
      <c r="Z54" s="174"/>
    </row>
    <row r="55" customFormat="false" ht="15.75" hidden="false" customHeight="false" outlineLevel="0" collapsed="false">
      <c r="A55" s="174"/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4"/>
      <c r="P55" s="174"/>
      <c r="Q55" s="174"/>
      <c r="R55" s="174"/>
      <c r="S55" s="174"/>
      <c r="T55" s="174"/>
      <c r="U55" s="174"/>
      <c r="V55" s="174"/>
      <c r="W55" s="174"/>
      <c r="X55" s="174"/>
      <c r="Y55" s="174"/>
      <c r="Z55" s="174"/>
    </row>
    <row r="56" customFormat="false" ht="15.75" hidden="false" customHeight="false" outlineLevel="0" collapsed="false">
      <c r="A56" s="174"/>
      <c r="B56" s="174"/>
      <c r="C56" s="174"/>
      <c r="D56" s="174"/>
      <c r="E56" s="174"/>
      <c r="F56" s="174"/>
      <c r="G56" s="174"/>
      <c r="H56" s="174"/>
      <c r="I56" s="174"/>
      <c r="J56" s="174"/>
      <c r="K56" s="174"/>
      <c r="L56" s="174"/>
      <c r="M56" s="174"/>
      <c r="N56" s="174"/>
      <c r="O56" s="174"/>
      <c r="P56" s="174"/>
      <c r="Q56" s="174"/>
      <c r="R56" s="174"/>
      <c r="S56" s="174"/>
      <c r="T56" s="174"/>
      <c r="U56" s="174"/>
      <c r="V56" s="174"/>
      <c r="W56" s="174"/>
      <c r="X56" s="174"/>
      <c r="Y56" s="174"/>
      <c r="Z56" s="174"/>
    </row>
    <row r="57" customFormat="false" ht="15.75" hidden="false" customHeight="false" outlineLevel="0" collapsed="false">
      <c r="A57" s="174"/>
      <c r="B57" s="174"/>
      <c r="C57" s="174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</row>
    <row r="58" customFormat="false" ht="15.75" hidden="false" customHeight="false" outlineLevel="0" collapsed="false">
      <c r="A58" s="174"/>
      <c r="B58" s="174"/>
      <c r="C58" s="174"/>
      <c r="D58" s="174"/>
      <c r="E58" s="174"/>
      <c r="F58" s="174"/>
      <c r="G58" s="174"/>
      <c r="H58" s="174"/>
      <c r="I58" s="174"/>
      <c r="J58" s="174"/>
      <c r="K58" s="174"/>
      <c r="L58" s="174"/>
      <c r="M58" s="174"/>
      <c r="N58" s="174"/>
      <c r="O58" s="174"/>
      <c r="P58" s="174"/>
      <c r="Q58" s="174"/>
      <c r="R58" s="174"/>
      <c r="S58" s="174"/>
      <c r="T58" s="174"/>
      <c r="U58" s="174"/>
      <c r="V58" s="174"/>
      <c r="W58" s="174"/>
      <c r="X58" s="174"/>
      <c r="Y58" s="174"/>
      <c r="Z58" s="174"/>
    </row>
    <row r="59" customFormat="false" ht="15.75" hidden="false" customHeight="false" outlineLevel="0" collapsed="false">
      <c r="A59" s="174"/>
      <c r="B59" s="174"/>
      <c r="C59" s="174"/>
      <c r="D59" s="174"/>
      <c r="E59" s="174"/>
      <c r="F59" s="174"/>
      <c r="G59" s="174"/>
      <c r="H59" s="174"/>
      <c r="I59" s="174"/>
      <c r="J59" s="174"/>
      <c r="K59" s="174"/>
      <c r="L59" s="174"/>
      <c r="M59" s="174"/>
      <c r="N59" s="174"/>
      <c r="O59" s="174"/>
      <c r="P59" s="174"/>
      <c r="Q59" s="174"/>
      <c r="R59" s="174"/>
      <c r="S59" s="174"/>
      <c r="T59" s="174"/>
      <c r="U59" s="174"/>
      <c r="V59" s="174"/>
      <c r="W59" s="174"/>
      <c r="X59" s="174"/>
      <c r="Y59" s="174"/>
      <c r="Z59" s="174"/>
    </row>
    <row r="60" customFormat="false" ht="15.75" hidden="false" customHeight="false" outlineLevel="0" collapsed="false">
      <c r="A60" s="174"/>
      <c r="B60" s="174"/>
      <c r="C60" s="174"/>
      <c r="D60" s="174"/>
      <c r="E60" s="174"/>
      <c r="F60" s="174"/>
      <c r="G60" s="174"/>
      <c r="H60" s="174"/>
      <c r="I60" s="174"/>
      <c r="J60" s="174"/>
      <c r="K60" s="174"/>
      <c r="L60" s="174"/>
      <c r="M60" s="174"/>
      <c r="N60" s="174"/>
      <c r="O60" s="174"/>
      <c r="P60" s="174"/>
      <c r="Q60" s="174"/>
      <c r="R60" s="174"/>
      <c r="S60" s="174"/>
      <c r="T60" s="174"/>
      <c r="U60" s="174"/>
      <c r="V60" s="174"/>
      <c r="W60" s="174"/>
      <c r="X60" s="174"/>
      <c r="Y60" s="174"/>
      <c r="Z60" s="174"/>
    </row>
    <row r="61" customFormat="false" ht="15.75" hidden="false" customHeight="false" outlineLevel="0" collapsed="false">
      <c r="A61" s="174"/>
      <c r="B61" s="174"/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4"/>
    </row>
    <row r="62" customFormat="false" ht="15.75" hidden="false" customHeight="false" outlineLevel="0" collapsed="false">
      <c r="A62" s="174"/>
      <c r="B62" s="174"/>
      <c r="C62" s="174"/>
      <c r="D62" s="174"/>
      <c r="E62" s="174"/>
      <c r="F62" s="174"/>
      <c r="G62" s="174"/>
      <c r="H62" s="174"/>
      <c r="I62" s="174"/>
      <c r="J62" s="174"/>
      <c r="K62" s="174"/>
      <c r="L62" s="174"/>
      <c r="M62" s="174"/>
      <c r="N62" s="174"/>
      <c r="O62" s="174"/>
      <c r="P62" s="174"/>
      <c r="Q62" s="174"/>
      <c r="R62" s="174"/>
      <c r="S62" s="174"/>
      <c r="T62" s="174"/>
      <c r="U62" s="174"/>
      <c r="V62" s="174"/>
      <c r="W62" s="174"/>
      <c r="X62" s="174"/>
      <c r="Y62" s="174"/>
      <c r="Z62" s="174"/>
    </row>
    <row r="63" customFormat="false" ht="15.75" hidden="false" customHeight="false" outlineLevel="0" collapsed="false">
      <c r="A63" s="174"/>
      <c r="B63" s="174"/>
      <c r="C63" s="174"/>
      <c r="D63" s="174"/>
      <c r="E63" s="174"/>
      <c r="F63" s="174"/>
      <c r="G63" s="174"/>
      <c r="H63" s="174"/>
      <c r="I63" s="174"/>
      <c r="J63" s="174"/>
      <c r="K63" s="174"/>
      <c r="L63" s="174"/>
      <c r="M63" s="174"/>
      <c r="N63" s="174"/>
      <c r="O63" s="174"/>
      <c r="P63" s="174"/>
      <c r="Q63" s="174"/>
      <c r="R63" s="174"/>
      <c r="S63" s="174"/>
      <c r="T63" s="174"/>
      <c r="U63" s="174"/>
      <c r="V63" s="174"/>
      <c r="W63" s="174"/>
      <c r="X63" s="174"/>
      <c r="Y63" s="174"/>
      <c r="Z63" s="174"/>
    </row>
    <row r="64" customFormat="false" ht="15.75" hidden="false" customHeight="false" outlineLevel="0" collapsed="false">
      <c r="A64" s="174"/>
      <c r="B64" s="174"/>
      <c r="C64" s="174"/>
      <c r="D64" s="174"/>
      <c r="E64" s="174"/>
      <c r="F64" s="174"/>
      <c r="G64" s="174"/>
      <c r="H64" s="174"/>
      <c r="I64" s="174"/>
      <c r="J64" s="174"/>
      <c r="K64" s="174"/>
      <c r="L64" s="174"/>
      <c r="M64" s="174"/>
      <c r="N64" s="174"/>
      <c r="O64" s="174"/>
      <c r="P64" s="174"/>
      <c r="Q64" s="174"/>
      <c r="R64" s="174"/>
      <c r="S64" s="174"/>
      <c r="T64" s="174"/>
      <c r="U64" s="174"/>
      <c r="V64" s="174"/>
      <c r="W64" s="174"/>
      <c r="X64" s="174"/>
      <c r="Y64" s="174"/>
      <c r="Z64" s="174"/>
    </row>
    <row r="65" customFormat="false" ht="15.75" hidden="false" customHeight="false" outlineLevel="0" collapsed="false">
      <c r="A65" s="174"/>
      <c r="B65" s="174"/>
      <c r="C65" s="174"/>
      <c r="D65" s="174"/>
      <c r="E65" s="174"/>
      <c r="F65" s="174"/>
      <c r="G65" s="174"/>
      <c r="H65" s="174"/>
      <c r="I65" s="174"/>
      <c r="J65" s="174"/>
      <c r="K65" s="174"/>
      <c r="L65" s="174"/>
      <c r="M65" s="174"/>
      <c r="N65" s="174"/>
      <c r="O65" s="174"/>
      <c r="P65" s="174"/>
      <c r="Q65" s="174"/>
      <c r="R65" s="174"/>
      <c r="S65" s="174"/>
      <c r="T65" s="174"/>
      <c r="U65" s="174"/>
      <c r="V65" s="174"/>
      <c r="W65" s="174"/>
      <c r="X65" s="174"/>
      <c r="Y65" s="174"/>
      <c r="Z65" s="174"/>
    </row>
    <row r="66" customFormat="false" ht="15.75" hidden="false" customHeight="false" outlineLevel="0" collapsed="false">
      <c r="A66" s="174"/>
      <c r="B66" s="174"/>
      <c r="C66" s="174"/>
      <c r="D66" s="174"/>
      <c r="E66" s="174"/>
      <c r="F66" s="174"/>
      <c r="G66" s="174"/>
      <c r="H66" s="174"/>
      <c r="I66" s="174"/>
      <c r="J66" s="174"/>
      <c r="K66" s="174"/>
      <c r="L66" s="174"/>
      <c r="M66" s="174"/>
      <c r="N66" s="174"/>
      <c r="O66" s="174"/>
      <c r="P66" s="174"/>
      <c r="Q66" s="174"/>
      <c r="R66" s="174"/>
      <c r="S66" s="174"/>
      <c r="T66" s="174"/>
      <c r="U66" s="174"/>
      <c r="V66" s="174"/>
      <c r="W66" s="174"/>
      <c r="X66" s="174"/>
      <c r="Y66" s="174"/>
      <c r="Z66" s="174"/>
    </row>
    <row r="67" customFormat="false" ht="15.75" hidden="false" customHeight="false" outlineLevel="0" collapsed="false">
      <c r="A67" s="174"/>
      <c r="B67" s="174"/>
      <c r="C67" s="174"/>
      <c r="D67" s="174"/>
      <c r="E67" s="174"/>
      <c r="F67" s="174"/>
      <c r="G67" s="174"/>
      <c r="H67" s="174"/>
      <c r="I67" s="174"/>
      <c r="J67" s="174"/>
      <c r="K67" s="174"/>
      <c r="L67" s="174"/>
      <c r="M67" s="174"/>
      <c r="N67" s="174"/>
      <c r="O67" s="174"/>
      <c r="P67" s="174"/>
      <c r="Q67" s="174"/>
      <c r="R67" s="174"/>
      <c r="S67" s="174"/>
      <c r="T67" s="174"/>
      <c r="U67" s="174"/>
      <c r="V67" s="174"/>
      <c r="W67" s="174"/>
      <c r="X67" s="174"/>
      <c r="Y67" s="174"/>
      <c r="Z67" s="174"/>
    </row>
    <row r="68" customFormat="false" ht="15.75" hidden="false" customHeight="false" outlineLevel="0" collapsed="false">
      <c r="A68" s="174"/>
      <c r="B68" s="174"/>
      <c r="C68" s="174"/>
      <c r="D68" s="174"/>
      <c r="E68" s="174"/>
      <c r="F68" s="174"/>
      <c r="G68" s="174"/>
      <c r="H68" s="174"/>
      <c r="I68" s="174"/>
      <c r="J68" s="174"/>
      <c r="K68" s="174"/>
      <c r="L68" s="174"/>
      <c r="M68" s="174"/>
      <c r="N68" s="174"/>
      <c r="O68" s="174"/>
      <c r="P68" s="174"/>
      <c r="Q68" s="174"/>
      <c r="R68" s="174"/>
      <c r="S68" s="174"/>
      <c r="T68" s="174"/>
      <c r="U68" s="174"/>
      <c r="V68" s="174"/>
      <c r="W68" s="174"/>
      <c r="X68" s="174"/>
      <c r="Y68" s="174"/>
      <c r="Z68" s="174"/>
    </row>
    <row r="69" customFormat="false" ht="15.75" hidden="false" customHeight="false" outlineLevel="0" collapsed="false">
      <c r="A69" s="174"/>
      <c r="B69" s="174"/>
      <c r="C69" s="174"/>
      <c r="D69" s="174"/>
      <c r="E69" s="174"/>
      <c r="F69" s="174"/>
      <c r="G69" s="174"/>
      <c r="H69" s="174"/>
      <c r="I69" s="174"/>
      <c r="J69" s="174"/>
      <c r="K69" s="174"/>
      <c r="L69" s="174"/>
      <c r="M69" s="174"/>
      <c r="N69" s="174"/>
      <c r="O69" s="174"/>
      <c r="P69" s="174"/>
      <c r="Q69" s="174"/>
      <c r="R69" s="174"/>
      <c r="S69" s="174"/>
      <c r="T69" s="174"/>
      <c r="U69" s="174"/>
      <c r="V69" s="174"/>
      <c r="W69" s="174"/>
      <c r="X69" s="174"/>
      <c r="Y69" s="174"/>
      <c r="Z69" s="174"/>
    </row>
    <row r="70" customFormat="false" ht="15.75" hidden="false" customHeight="false" outlineLevel="0" collapsed="false">
      <c r="A70" s="174"/>
      <c r="B70" s="174"/>
      <c r="C70" s="174"/>
      <c r="D70" s="174"/>
      <c r="E70" s="174"/>
      <c r="F70" s="174"/>
      <c r="G70" s="174"/>
      <c r="H70" s="174"/>
      <c r="I70" s="174"/>
      <c r="J70" s="174"/>
      <c r="K70" s="174"/>
      <c r="L70" s="174"/>
      <c r="M70" s="174"/>
      <c r="N70" s="174"/>
      <c r="O70" s="174"/>
      <c r="P70" s="174"/>
      <c r="Q70" s="174"/>
      <c r="R70" s="174"/>
      <c r="S70" s="174"/>
      <c r="T70" s="174"/>
      <c r="U70" s="174"/>
      <c r="V70" s="174"/>
      <c r="W70" s="174"/>
      <c r="X70" s="174"/>
      <c r="Y70" s="174"/>
      <c r="Z70" s="174"/>
    </row>
    <row r="71" customFormat="false" ht="15.75" hidden="false" customHeight="false" outlineLevel="0" collapsed="false">
      <c r="A71" s="174"/>
      <c r="B71" s="174"/>
      <c r="C71" s="174"/>
      <c r="D71" s="174"/>
      <c r="E71" s="174"/>
      <c r="F71" s="174"/>
      <c r="G71" s="174"/>
      <c r="H71" s="174"/>
      <c r="I71" s="174"/>
      <c r="J71" s="174"/>
      <c r="K71" s="174"/>
      <c r="L71" s="174"/>
      <c r="M71" s="174"/>
      <c r="N71" s="174"/>
      <c r="O71" s="174"/>
      <c r="P71" s="174"/>
      <c r="Q71" s="174"/>
      <c r="R71" s="174"/>
      <c r="S71" s="174"/>
      <c r="T71" s="174"/>
      <c r="U71" s="174"/>
      <c r="V71" s="174"/>
      <c r="W71" s="174"/>
      <c r="X71" s="174"/>
      <c r="Y71" s="174"/>
      <c r="Z71" s="174"/>
    </row>
    <row r="72" customFormat="false" ht="15.75" hidden="false" customHeight="false" outlineLevel="0" collapsed="false">
      <c r="A72" s="174"/>
      <c r="B72" s="174"/>
      <c r="C72" s="174"/>
      <c r="D72" s="174"/>
      <c r="E72" s="174"/>
      <c r="F72" s="174"/>
      <c r="G72" s="174"/>
      <c r="H72" s="174"/>
      <c r="I72" s="174"/>
      <c r="J72" s="174"/>
      <c r="K72" s="174"/>
      <c r="L72" s="174"/>
      <c r="M72" s="174"/>
      <c r="N72" s="174"/>
      <c r="O72" s="174"/>
      <c r="P72" s="174"/>
      <c r="Q72" s="174"/>
      <c r="R72" s="174"/>
      <c r="S72" s="174"/>
      <c r="T72" s="174"/>
      <c r="U72" s="174"/>
      <c r="V72" s="174"/>
      <c r="W72" s="174"/>
      <c r="X72" s="174"/>
      <c r="Y72" s="174"/>
      <c r="Z72" s="174"/>
    </row>
    <row r="73" customFormat="false" ht="15.75" hidden="false" customHeight="false" outlineLevel="0" collapsed="false">
      <c r="A73" s="174"/>
      <c r="B73" s="174"/>
      <c r="C73" s="174"/>
      <c r="D73" s="174"/>
      <c r="E73" s="174"/>
      <c r="F73" s="174"/>
      <c r="G73" s="174"/>
      <c r="H73" s="174"/>
      <c r="I73" s="174"/>
      <c r="J73" s="174"/>
      <c r="K73" s="174"/>
      <c r="L73" s="174"/>
      <c r="M73" s="174"/>
      <c r="N73" s="174"/>
      <c r="O73" s="174"/>
      <c r="P73" s="174"/>
      <c r="Q73" s="174"/>
      <c r="R73" s="174"/>
      <c r="S73" s="174"/>
      <c r="T73" s="174"/>
      <c r="U73" s="174"/>
      <c r="V73" s="174"/>
      <c r="W73" s="174"/>
      <c r="X73" s="174"/>
      <c r="Y73" s="174"/>
      <c r="Z73" s="174"/>
    </row>
    <row r="74" customFormat="false" ht="15.75" hidden="false" customHeight="false" outlineLevel="0" collapsed="false">
      <c r="A74" s="174"/>
      <c r="B74" s="174"/>
      <c r="C74" s="174"/>
      <c r="D74" s="174"/>
      <c r="E74" s="174"/>
      <c r="F74" s="174"/>
      <c r="G74" s="174"/>
      <c r="H74" s="174"/>
      <c r="I74" s="174"/>
      <c r="J74" s="174"/>
      <c r="K74" s="174"/>
      <c r="L74" s="174"/>
      <c r="M74" s="174"/>
      <c r="N74" s="174"/>
      <c r="O74" s="174"/>
      <c r="P74" s="174"/>
      <c r="Q74" s="174"/>
      <c r="R74" s="174"/>
      <c r="S74" s="174"/>
      <c r="T74" s="174"/>
      <c r="U74" s="174"/>
      <c r="V74" s="174"/>
      <c r="W74" s="174"/>
      <c r="X74" s="174"/>
      <c r="Y74" s="174"/>
      <c r="Z74" s="174"/>
    </row>
    <row r="75" customFormat="false" ht="15.75" hidden="false" customHeight="false" outlineLevel="0" collapsed="false">
      <c r="A75" s="174"/>
      <c r="B75" s="174"/>
      <c r="C75" s="174"/>
      <c r="D75" s="174"/>
      <c r="E75" s="174"/>
      <c r="F75" s="174"/>
      <c r="G75" s="174"/>
      <c r="H75" s="174"/>
      <c r="I75" s="174"/>
      <c r="J75" s="174"/>
      <c r="K75" s="174"/>
      <c r="L75" s="174"/>
      <c r="M75" s="174"/>
      <c r="N75" s="174"/>
      <c r="O75" s="174"/>
      <c r="P75" s="174"/>
      <c r="Q75" s="174"/>
      <c r="R75" s="174"/>
      <c r="S75" s="174"/>
      <c r="T75" s="174"/>
      <c r="U75" s="174"/>
      <c r="V75" s="174"/>
      <c r="W75" s="174"/>
      <c r="X75" s="174"/>
      <c r="Y75" s="174"/>
      <c r="Z75" s="174"/>
    </row>
    <row r="76" customFormat="false" ht="15.75" hidden="false" customHeight="false" outlineLevel="0" collapsed="false">
      <c r="A76" s="174"/>
      <c r="B76" s="174"/>
      <c r="C76" s="174"/>
      <c r="D76" s="174"/>
      <c r="E76" s="174"/>
      <c r="F76" s="174"/>
      <c r="G76" s="174"/>
      <c r="H76" s="174"/>
      <c r="I76" s="174"/>
      <c r="J76" s="174"/>
      <c r="K76" s="174"/>
      <c r="L76" s="174"/>
      <c r="M76" s="174"/>
      <c r="N76" s="174"/>
      <c r="O76" s="174"/>
      <c r="P76" s="174"/>
      <c r="Q76" s="174"/>
      <c r="R76" s="174"/>
      <c r="S76" s="174"/>
      <c r="T76" s="174"/>
      <c r="U76" s="174"/>
      <c r="V76" s="174"/>
      <c r="W76" s="174"/>
      <c r="X76" s="174"/>
      <c r="Y76" s="174"/>
      <c r="Z76" s="174"/>
    </row>
    <row r="77" customFormat="false" ht="15.75" hidden="false" customHeight="false" outlineLevel="0" collapsed="false">
      <c r="A77" s="174"/>
      <c r="B77" s="174"/>
      <c r="C77" s="174"/>
      <c r="D77" s="174"/>
      <c r="E77" s="174"/>
      <c r="F77" s="174"/>
      <c r="G77" s="174"/>
      <c r="H77" s="174"/>
      <c r="I77" s="174"/>
      <c r="J77" s="174"/>
      <c r="K77" s="174"/>
      <c r="L77" s="174"/>
      <c r="M77" s="174"/>
      <c r="N77" s="174"/>
      <c r="O77" s="174"/>
      <c r="P77" s="174"/>
      <c r="Q77" s="174"/>
      <c r="R77" s="174"/>
      <c r="S77" s="174"/>
      <c r="T77" s="174"/>
      <c r="U77" s="174"/>
      <c r="V77" s="174"/>
      <c r="W77" s="174"/>
      <c r="X77" s="174"/>
      <c r="Y77" s="174"/>
      <c r="Z77" s="174"/>
    </row>
    <row r="78" customFormat="false" ht="15.75" hidden="false" customHeight="false" outlineLevel="0" collapsed="false">
      <c r="A78" s="174"/>
      <c r="B78" s="174"/>
      <c r="C78" s="174"/>
      <c r="D78" s="174"/>
      <c r="E78" s="174"/>
      <c r="F78" s="174"/>
      <c r="G78" s="174"/>
      <c r="H78" s="174"/>
      <c r="I78" s="174"/>
      <c r="J78" s="174"/>
      <c r="K78" s="174"/>
      <c r="L78" s="174"/>
      <c r="M78" s="174"/>
      <c r="N78" s="174"/>
      <c r="O78" s="174"/>
      <c r="P78" s="174"/>
      <c r="Q78" s="174"/>
      <c r="R78" s="174"/>
      <c r="S78" s="174"/>
      <c r="T78" s="174"/>
      <c r="U78" s="174"/>
      <c r="V78" s="174"/>
      <c r="W78" s="174"/>
      <c r="X78" s="174"/>
      <c r="Y78" s="174"/>
      <c r="Z78" s="174"/>
    </row>
    <row r="79" customFormat="false" ht="15.75" hidden="false" customHeight="false" outlineLevel="0" collapsed="false">
      <c r="A79" s="174"/>
      <c r="B79" s="174"/>
      <c r="C79" s="174"/>
      <c r="D79" s="174"/>
      <c r="E79" s="174"/>
      <c r="F79" s="174"/>
      <c r="G79" s="174"/>
      <c r="H79" s="174"/>
      <c r="I79" s="174"/>
      <c r="J79" s="174"/>
      <c r="K79" s="174"/>
      <c r="L79" s="174"/>
      <c r="M79" s="174"/>
      <c r="N79" s="174"/>
      <c r="O79" s="174"/>
      <c r="P79" s="174"/>
      <c r="Q79" s="174"/>
      <c r="R79" s="174"/>
      <c r="S79" s="174"/>
      <c r="T79" s="174"/>
      <c r="U79" s="174"/>
      <c r="V79" s="174"/>
      <c r="W79" s="174"/>
      <c r="X79" s="174"/>
      <c r="Y79" s="174"/>
      <c r="Z79" s="174"/>
    </row>
    <row r="80" customFormat="false" ht="15.75" hidden="false" customHeight="false" outlineLevel="0" collapsed="false">
      <c r="A80" s="174"/>
      <c r="B80" s="174"/>
      <c r="C80" s="174"/>
      <c r="D80" s="174"/>
      <c r="E80" s="174"/>
      <c r="F80" s="174"/>
      <c r="G80" s="174"/>
      <c r="H80" s="174"/>
      <c r="I80" s="174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</row>
    <row r="81" customFormat="false" ht="15.75" hidden="false" customHeight="false" outlineLevel="0" collapsed="false">
      <c r="A81" s="174"/>
      <c r="B81" s="174"/>
      <c r="C81" s="174"/>
      <c r="D81" s="174"/>
      <c r="E81" s="174"/>
      <c r="F81" s="174"/>
      <c r="G81" s="174"/>
      <c r="H81" s="174"/>
      <c r="I81" s="174"/>
      <c r="J81" s="174"/>
      <c r="K81" s="174"/>
      <c r="L81" s="174"/>
      <c r="M81" s="174"/>
      <c r="N81" s="174"/>
      <c r="O81" s="174"/>
      <c r="P81" s="174"/>
      <c r="Q81" s="174"/>
      <c r="R81" s="174"/>
      <c r="S81" s="174"/>
      <c r="T81" s="174"/>
      <c r="U81" s="174"/>
      <c r="V81" s="174"/>
      <c r="W81" s="174"/>
      <c r="X81" s="174"/>
      <c r="Y81" s="174"/>
      <c r="Z81" s="174"/>
    </row>
    <row r="82" customFormat="false" ht="15.75" hidden="false" customHeight="false" outlineLevel="0" collapsed="false">
      <c r="A82" s="174"/>
      <c r="B82" s="174"/>
      <c r="C82" s="174"/>
      <c r="D82" s="174"/>
      <c r="E82" s="174"/>
      <c r="F82" s="174"/>
      <c r="G82" s="174"/>
      <c r="H82" s="174"/>
      <c r="I82" s="174"/>
      <c r="J82" s="174"/>
      <c r="K82" s="174"/>
      <c r="L82" s="174"/>
      <c r="M82" s="174"/>
      <c r="N82" s="174"/>
      <c r="O82" s="174"/>
      <c r="P82" s="174"/>
      <c r="Q82" s="174"/>
      <c r="R82" s="174"/>
      <c r="S82" s="174"/>
      <c r="T82" s="174"/>
      <c r="U82" s="174"/>
      <c r="V82" s="174"/>
      <c r="W82" s="174"/>
      <c r="X82" s="174"/>
      <c r="Y82" s="174"/>
      <c r="Z82" s="174"/>
    </row>
    <row r="83" customFormat="false" ht="15.75" hidden="false" customHeight="false" outlineLevel="0" collapsed="false">
      <c r="A83" s="174"/>
      <c r="B83" s="174"/>
      <c r="C83" s="174"/>
      <c r="D83" s="174"/>
      <c r="E83" s="174"/>
      <c r="F83" s="174"/>
      <c r="G83" s="174"/>
      <c r="H83" s="174"/>
      <c r="I83" s="174"/>
      <c r="J83" s="174"/>
      <c r="K83" s="174"/>
      <c r="L83" s="174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4"/>
      <c r="X83" s="174"/>
      <c r="Y83" s="174"/>
      <c r="Z83" s="174"/>
    </row>
    <row r="84" customFormat="false" ht="15.75" hidden="false" customHeight="false" outlineLevel="0" collapsed="false">
      <c r="A84" s="174"/>
      <c r="B84" s="174"/>
      <c r="C84" s="174"/>
      <c r="D84" s="174"/>
      <c r="E84" s="174"/>
      <c r="F84" s="174"/>
      <c r="G84" s="174"/>
      <c r="H84" s="174"/>
      <c r="I84" s="174"/>
      <c r="J84" s="174"/>
      <c r="K84" s="174"/>
      <c r="L84" s="174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4"/>
      <c r="X84" s="174"/>
      <c r="Y84" s="174"/>
      <c r="Z84" s="174"/>
    </row>
    <row r="85" customFormat="false" ht="15.75" hidden="false" customHeight="false" outlineLevel="0" collapsed="false">
      <c r="A85" s="174"/>
      <c r="B85" s="174"/>
      <c r="C85" s="174"/>
      <c r="D85" s="174"/>
      <c r="E85" s="174"/>
      <c r="F85" s="174"/>
      <c r="G85" s="174"/>
      <c r="H85" s="174"/>
      <c r="I85" s="174"/>
      <c r="J85" s="174"/>
      <c r="K85" s="174"/>
      <c r="L85" s="174"/>
      <c r="M85" s="174"/>
      <c r="N85" s="174"/>
      <c r="O85" s="174"/>
      <c r="P85" s="174"/>
      <c r="Q85" s="174"/>
      <c r="R85" s="174"/>
      <c r="S85" s="174"/>
      <c r="T85" s="174"/>
      <c r="U85" s="174"/>
      <c r="V85" s="174"/>
      <c r="W85" s="174"/>
      <c r="X85" s="174"/>
      <c r="Y85" s="174"/>
      <c r="Z85" s="174"/>
    </row>
    <row r="86" customFormat="false" ht="15.75" hidden="false" customHeight="false" outlineLevel="0" collapsed="false">
      <c r="A86" s="174"/>
      <c r="B86" s="174"/>
      <c r="C86" s="174"/>
      <c r="D86" s="174"/>
      <c r="E86" s="174"/>
      <c r="F86" s="174"/>
      <c r="G86" s="174"/>
      <c r="H86" s="174"/>
      <c r="I86" s="174"/>
      <c r="J86" s="174"/>
      <c r="K86" s="174"/>
      <c r="L86" s="174"/>
      <c r="M86" s="174"/>
      <c r="N86" s="174"/>
      <c r="O86" s="174"/>
      <c r="P86" s="174"/>
      <c r="Q86" s="174"/>
      <c r="R86" s="174"/>
      <c r="S86" s="174"/>
      <c r="T86" s="174"/>
      <c r="U86" s="174"/>
      <c r="V86" s="174"/>
      <c r="W86" s="174"/>
      <c r="X86" s="174"/>
      <c r="Y86" s="174"/>
      <c r="Z86" s="174"/>
    </row>
    <row r="87" customFormat="false" ht="15.75" hidden="false" customHeight="false" outlineLevel="0" collapsed="false">
      <c r="A87" s="174"/>
      <c r="B87" s="174"/>
      <c r="C87" s="174"/>
      <c r="D87" s="174"/>
      <c r="E87" s="174"/>
      <c r="F87" s="174"/>
      <c r="G87" s="174"/>
      <c r="H87" s="174"/>
      <c r="I87" s="174"/>
      <c r="J87" s="174"/>
      <c r="K87" s="174"/>
      <c r="L87" s="174"/>
      <c r="M87" s="174"/>
      <c r="N87" s="174"/>
      <c r="O87" s="174"/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Z87" s="174"/>
    </row>
    <row r="88" customFormat="false" ht="15.75" hidden="false" customHeight="false" outlineLevel="0" collapsed="false">
      <c r="A88" s="174"/>
      <c r="B88" s="174"/>
      <c r="C88" s="174"/>
      <c r="D88" s="174"/>
      <c r="E88" s="174"/>
      <c r="F88" s="174"/>
      <c r="G88" s="174"/>
      <c r="H88" s="174"/>
      <c r="I88" s="174"/>
      <c r="J88" s="174"/>
      <c r="K88" s="174"/>
      <c r="L88" s="174"/>
      <c r="M88" s="174"/>
      <c r="N88" s="174"/>
      <c r="O88" s="174"/>
      <c r="P88" s="174"/>
      <c r="Q88" s="174"/>
      <c r="R88" s="174"/>
      <c r="S88" s="174"/>
      <c r="T88" s="174"/>
      <c r="U88" s="174"/>
      <c r="V88" s="174"/>
      <c r="W88" s="174"/>
      <c r="X88" s="174"/>
      <c r="Y88" s="174"/>
      <c r="Z88" s="174"/>
    </row>
    <row r="89" customFormat="false" ht="15.75" hidden="false" customHeight="false" outlineLevel="0" collapsed="false">
      <c r="A89" s="174"/>
      <c r="B89" s="174"/>
      <c r="C89" s="174"/>
      <c r="D89" s="174"/>
      <c r="E89" s="174"/>
      <c r="F89" s="174"/>
      <c r="G89" s="174"/>
      <c r="H89" s="174"/>
      <c r="I89" s="174"/>
      <c r="J89" s="174"/>
      <c r="K89" s="174"/>
      <c r="L89" s="174"/>
      <c r="M89" s="174"/>
      <c r="N89" s="174"/>
      <c r="O89" s="174"/>
      <c r="P89" s="174"/>
      <c r="Q89" s="174"/>
      <c r="R89" s="174"/>
      <c r="S89" s="174"/>
      <c r="T89" s="174"/>
      <c r="U89" s="174"/>
      <c r="V89" s="174"/>
      <c r="W89" s="174"/>
      <c r="X89" s="174"/>
      <c r="Y89" s="174"/>
      <c r="Z89" s="174"/>
    </row>
    <row r="90" customFormat="false" ht="15.75" hidden="false" customHeight="false" outlineLevel="0" collapsed="false">
      <c r="A90" s="174"/>
      <c r="B90" s="174"/>
      <c r="C90" s="174"/>
      <c r="D90" s="174"/>
      <c r="E90" s="174"/>
      <c r="F90" s="174"/>
      <c r="G90" s="174"/>
      <c r="H90" s="174"/>
      <c r="I90" s="174"/>
      <c r="J90" s="174"/>
      <c r="K90" s="174"/>
      <c r="L90" s="174"/>
      <c r="M90" s="174"/>
      <c r="N90" s="174"/>
      <c r="O90" s="174"/>
      <c r="P90" s="174"/>
      <c r="Q90" s="174"/>
      <c r="R90" s="174"/>
      <c r="S90" s="174"/>
      <c r="T90" s="174"/>
      <c r="U90" s="174"/>
      <c r="V90" s="174"/>
      <c r="W90" s="174"/>
      <c r="X90" s="174"/>
      <c r="Y90" s="174"/>
      <c r="Z90" s="174"/>
    </row>
    <row r="91" customFormat="false" ht="15.75" hidden="false" customHeight="false" outlineLevel="0" collapsed="false">
      <c r="A91" s="174"/>
      <c r="B91" s="174"/>
      <c r="C91" s="174"/>
      <c r="D91" s="174"/>
      <c r="E91" s="174"/>
      <c r="F91" s="174"/>
      <c r="G91" s="174"/>
      <c r="H91" s="174"/>
      <c r="I91" s="174"/>
      <c r="J91" s="174"/>
      <c r="K91" s="174"/>
      <c r="L91" s="174"/>
      <c r="M91" s="174"/>
      <c r="N91" s="174"/>
      <c r="O91" s="174"/>
      <c r="P91" s="174"/>
      <c r="Q91" s="174"/>
      <c r="R91" s="174"/>
      <c r="S91" s="174"/>
      <c r="T91" s="174"/>
      <c r="U91" s="174"/>
      <c r="V91" s="174"/>
      <c r="W91" s="174"/>
      <c r="X91" s="174"/>
      <c r="Y91" s="174"/>
      <c r="Z91" s="174"/>
    </row>
    <row r="92" customFormat="false" ht="15.75" hidden="false" customHeight="false" outlineLevel="0" collapsed="false">
      <c r="A92" s="174"/>
      <c r="B92" s="174"/>
      <c r="C92" s="174"/>
      <c r="D92" s="174"/>
      <c r="E92" s="174"/>
      <c r="F92" s="174"/>
      <c r="G92" s="174"/>
      <c r="H92" s="174"/>
      <c r="I92" s="174"/>
      <c r="J92" s="174"/>
      <c r="K92" s="174"/>
      <c r="L92" s="174"/>
      <c r="M92" s="174"/>
      <c r="N92" s="174"/>
      <c r="O92" s="174"/>
      <c r="P92" s="174"/>
      <c r="Q92" s="174"/>
      <c r="R92" s="174"/>
      <c r="S92" s="174"/>
      <c r="T92" s="174"/>
      <c r="U92" s="174"/>
      <c r="V92" s="174"/>
      <c r="W92" s="174"/>
      <c r="X92" s="174"/>
      <c r="Y92" s="174"/>
      <c r="Z92" s="174"/>
    </row>
    <row r="93" customFormat="false" ht="15.75" hidden="false" customHeight="false" outlineLevel="0" collapsed="false">
      <c r="A93" s="174"/>
      <c r="B93" s="174"/>
      <c r="C93" s="174"/>
      <c r="D93" s="174"/>
      <c r="E93" s="174"/>
      <c r="F93" s="174"/>
      <c r="G93" s="174"/>
      <c r="H93" s="174"/>
      <c r="I93" s="174"/>
      <c r="J93" s="174"/>
      <c r="K93" s="174"/>
      <c r="L93" s="174"/>
      <c r="M93" s="174"/>
      <c r="N93" s="174"/>
      <c r="O93" s="174"/>
      <c r="P93" s="174"/>
      <c r="Q93" s="174"/>
      <c r="R93" s="174"/>
      <c r="S93" s="174"/>
      <c r="T93" s="174"/>
      <c r="U93" s="174"/>
      <c r="V93" s="174"/>
      <c r="W93" s="174"/>
      <c r="X93" s="174"/>
      <c r="Y93" s="174"/>
      <c r="Z93" s="174"/>
    </row>
    <row r="94" customFormat="false" ht="15.75" hidden="false" customHeight="false" outlineLevel="0" collapsed="false">
      <c r="A94" s="174"/>
      <c r="B94" s="174"/>
      <c r="C94" s="174"/>
      <c r="D94" s="174"/>
      <c r="E94" s="174"/>
      <c r="F94" s="174"/>
      <c r="G94" s="174"/>
      <c r="H94" s="174"/>
      <c r="I94" s="174"/>
      <c r="J94" s="174"/>
      <c r="K94" s="174"/>
      <c r="L94" s="174"/>
      <c r="M94" s="174"/>
      <c r="N94" s="174"/>
      <c r="O94" s="174"/>
      <c r="P94" s="174"/>
      <c r="Q94" s="174"/>
      <c r="R94" s="174"/>
      <c r="S94" s="174"/>
      <c r="T94" s="174"/>
      <c r="U94" s="174"/>
      <c r="V94" s="174"/>
      <c r="W94" s="174"/>
      <c r="X94" s="174"/>
      <c r="Y94" s="174"/>
      <c r="Z94" s="174"/>
    </row>
    <row r="95" customFormat="false" ht="15.75" hidden="false" customHeight="false" outlineLevel="0" collapsed="false">
      <c r="A95" s="174"/>
      <c r="B95" s="174"/>
      <c r="C95" s="174"/>
      <c r="D95" s="174"/>
      <c r="E95" s="174"/>
      <c r="F95" s="174"/>
      <c r="G95" s="174"/>
      <c r="H95" s="174"/>
      <c r="I95" s="174"/>
      <c r="J95" s="174"/>
      <c r="K95" s="174"/>
      <c r="L95" s="174"/>
      <c r="M95" s="174"/>
      <c r="N95" s="174"/>
      <c r="O95" s="174"/>
      <c r="P95" s="174"/>
      <c r="Q95" s="174"/>
      <c r="R95" s="174"/>
      <c r="S95" s="174"/>
      <c r="T95" s="174"/>
      <c r="U95" s="174"/>
      <c r="V95" s="174"/>
      <c r="W95" s="174"/>
      <c r="X95" s="174"/>
      <c r="Y95" s="174"/>
      <c r="Z95" s="174"/>
    </row>
    <row r="96" customFormat="false" ht="15.75" hidden="false" customHeight="false" outlineLevel="0" collapsed="false">
      <c r="A96" s="174"/>
      <c r="B96" s="174"/>
      <c r="C96" s="174"/>
      <c r="D96" s="174"/>
      <c r="E96" s="174"/>
      <c r="F96" s="174"/>
      <c r="G96" s="174"/>
      <c r="H96" s="174"/>
      <c r="I96" s="174"/>
      <c r="J96" s="174"/>
      <c r="K96" s="174"/>
      <c r="L96" s="174"/>
      <c r="M96" s="174"/>
      <c r="N96" s="174"/>
      <c r="O96" s="174"/>
      <c r="P96" s="174"/>
      <c r="Q96" s="174"/>
      <c r="R96" s="174"/>
      <c r="S96" s="174"/>
      <c r="T96" s="174"/>
      <c r="U96" s="174"/>
      <c r="V96" s="174"/>
      <c r="W96" s="174"/>
      <c r="X96" s="174"/>
      <c r="Y96" s="174"/>
      <c r="Z96" s="174"/>
    </row>
    <row r="97" customFormat="false" ht="15.75" hidden="false" customHeight="false" outlineLevel="0" collapsed="false">
      <c r="A97" s="174"/>
      <c r="B97" s="174"/>
      <c r="C97" s="174"/>
      <c r="D97" s="174"/>
      <c r="E97" s="174"/>
      <c r="F97" s="174"/>
      <c r="G97" s="174"/>
      <c r="H97" s="174"/>
      <c r="I97" s="174"/>
      <c r="J97" s="174"/>
      <c r="K97" s="174"/>
      <c r="L97" s="174"/>
      <c r="M97" s="174"/>
      <c r="N97" s="174"/>
      <c r="O97" s="174"/>
      <c r="P97" s="174"/>
      <c r="Q97" s="174"/>
      <c r="R97" s="174"/>
      <c r="S97" s="174"/>
      <c r="T97" s="174"/>
      <c r="U97" s="174"/>
      <c r="V97" s="174"/>
      <c r="W97" s="174"/>
      <c r="X97" s="174"/>
      <c r="Y97" s="174"/>
      <c r="Z97" s="174"/>
    </row>
    <row r="98" customFormat="false" ht="15.75" hidden="false" customHeight="false" outlineLevel="0" collapsed="false">
      <c r="A98" s="174"/>
      <c r="B98" s="174"/>
      <c r="C98" s="174"/>
      <c r="D98" s="174"/>
      <c r="E98" s="174"/>
      <c r="F98" s="174"/>
      <c r="G98" s="174"/>
      <c r="H98" s="174"/>
      <c r="I98" s="174"/>
      <c r="J98" s="174"/>
      <c r="K98" s="174"/>
      <c r="L98" s="174"/>
      <c r="M98" s="174"/>
      <c r="N98" s="174"/>
      <c r="O98" s="174"/>
      <c r="P98" s="174"/>
      <c r="Q98" s="174"/>
      <c r="R98" s="174"/>
      <c r="S98" s="174"/>
      <c r="T98" s="174"/>
      <c r="U98" s="174"/>
      <c r="V98" s="174"/>
      <c r="W98" s="174"/>
      <c r="X98" s="174"/>
      <c r="Y98" s="174"/>
      <c r="Z98" s="174"/>
    </row>
    <row r="99" customFormat="false" ht="15.75" hidden="false" customHeight="false" outlineLevel="0" collapsed="false">
      <c r="A99" s="174"/>
      <c r="B99" s="174"/>
      <c r="C99" s="174"/>
      <c r="D99" s="174"/>
      <c r="E99" s="174"/>
      <c r="F99" s="174"/>
      <c r="G99" s="174"/>
      <c r="H99" s="174"/>
      <c r="I99" s="174"/>
      <c r="J99" s="174"/>
      <c r="K99" s="174"/>
      <c r="L99" s="174"/>
      <c r="M99" s="174"/>
      <c r="N99" s="174"/>
      <c r="O99" s="174"/>
      <c r="P99" s="174"/>
      <c r="Q99" s="174"/>
      <c r="R99" s="174"/>
      <c r="S99" s="174"/>
      <c r="T99" s="174"/>
      <c r="U99" s="174"/>
      <c r="V99" s="174"/>
      <c r="W99" s="174"/>
      <c r="X99" s="174"/>
      <c r="Y99" s="174"/>
      <c r="Z99" s="174"/>
    </row>
    <row r="100" customFormat="false" ht="15.75" hidden="false" customHeight="false" outlineLevel="0" collapsed="false">
      <c r="A100" s="174"/>
      <c r="B100" s="174"/>
      <c r="C100" s="174"/>
      <c r="D100" s="174"/>
      <c r="E100" s="174"/>
      <c r="F100" s="174"/>
      <c r="G100" s="174"/>
      <c r="H100" s="174"/>
      <c r="I100" s="174"/>
      <c r="J100" s="174"/>
      <c r="K100" s="174"/>
      <c r="L100" s="174"/>
      <c r="M100" s="174"/>
      <c r="N100" s="174"/>
      <c r="O100" s="174"/>
      <c r="P100" s="174"/>
      <c r="Q100" s="174"/>
      <c r="R100" s="174"/>
      <c r="S100" s="174"/>
      <c r="T100" s="174"/>
      <c r="U100" s="174"/>
      <c r="V100" s="174"/>
      <c r="W100" s="174"/>
      <c r="X100" s="174"/>
      <c r="Y100" s="174"/>
      <c r="Z100" s="174"/>
    </row>
    <row r="101" customFormat="false" ht="15.75" hidden="false" customHeight="false" outlineLevel="0" collapsed="false">
      <c r="A101" s="174"/>
      <c r="B101" s="174"/>
      <c r="C101" s="174"/>
      <c r="D101" s="174"/>
      <c r="E101" s="174"/>
      <c r="F101" s="174"/>
      <c r="G101" s="174"/>
      <c r="H101" s="174"/>
      <c r="I101" s="174"/>
      <c r="J101" s="174"/>
      <c r="K101" s="174"/>
      <c r="L101" s="174"/>
      <c r="M101" s="174"/>
      <c r="N101" s="174"/>
      <c r="O101" s="174"/>
      <c r="P101" s="174"/>
      <c r="Q101" s="174"/>
      <c r="R101" s="174"/>
      <c r="S101" s="174"/>
      <c r="T101" s="174"/>
      <c r="U101" s="174"/>
      <c r="V101" s="174"/>
      <c r="W101" s="174"/>
      <c r="X101" s="174"/>
      <c r="Y101" s="174"/>
      <c r="Z101" s="174"/>
    </row>
    <row r="102" customFormat="false" ht="15.75" hidden="false" customHeight="false" outlineLevel="0" collapsed="false">
      <c r="A102" s="174"/>
      <c r="B102" s="174"/>
      <c r="C102" s="174"/>
      <c r="D102" s="174"/>
      <c r="E102" s="174"/>
      <c r="F102" s="174"/>
      <c r="G102" s="174"/>
      <c r="H102" s="174"/>
      <c r="I102" s="174"/>
      <c r="J102" s="174"/>
      <c r="K102" s="174"/>
      <c r="L102" s="174"/>
      <c r="M102" s="174"/>
      <c r="N102" s="174"/>
      <c r="O102" s="174"/>
      <c r="P102" s="174"/>
      <c r="Q102" s="174"/>
      <c r="R102" s="174"/>
      <c r="S102" s="174"/>
      <c r="T102" s="174"/>
      <c r="U102" s="174"/>
      <c r="V102" s="174"/>
      <c r="W102" s="174"/>
      <c r="X102" s="174"/>
      <c r="Y102" s="174"/>
      <c r="Z102" s="174"/>
    </row>
    <row r="103" customFormat="false" ht="15.75" hidden="false" customHeight="false" outlineLevel="0" collapsed="false">
      <c r="A103" s="174"/>
      <c r="B103" s="174"/>
      <c r="C103" s="174"/>
      <c r="D103" s="174"/>
      <c r="E103" s="174"/>
      <c r="F103" s="174"/>
      <c r="G103" s="174"/>
      <c r="H103" s="174"/>
      <c r="I103" s="174"/>
      <c r="J103" s="174"/>
      <c r="K103" s="174"/>
      <c r="L103" s="174"/>
      <c r="M103" s="174"/>
      <c r="N103" s="174"/>
      <c r="O103" s="174"/>
      <c r="P103" s="174"/>
      <c r="Q103" s="174"/>
      <c r="R103" s="174"/>
      <c r="S103" s="174"/>
      <c r="T103" s="174"/>
      <c r="U103" s="174"/>
      <c r="V103" s="174"/>
      <c r="W103" s="174"/>
      <c r="X103" s="174"/>
      <c r="Y103" s="174"/>
      <c r="Z103" s="174"/>
    </row>
    <row r="104" customFormat="false" ht="15.75" hidden="false" customHeight="false" outlineLevel="0" collapsed="false">
      <c r="A104" s="174"/>
      <c r="B104" s="174"/>
      <c r="C104" s="174"/>
      <c r="D104" s="174"/>
      <c r="E104" s="174"/>
      <c r="F104" s="174"/>
      <c r="G104" s="174"/>
      <c r="H104" s="174"/>
      <c r="I104" s="174"/>
      <c r="J104" s="174"/>
      <c r="K104" s="174"/>
      <c r="L104" s="174"/>
      <c r="M104" s="174"/>
      <c r="N104" s="174"/>
      <c r="O104" s="174"/>
      <c r="P104" s="174"/>
      <c r="Q104" s="174"/>
      <c r="R104" s="174"/>
      <c r="S104" s="174"/>
      <c r="T104" s="174"/>
      <c r="U104" s="174"/>
      <c r="V104" s="174"/>
      <c r="W104" s="174"/>
      <c r="X104" s="174"/>
      <c r="Y104" s="174"/>
      <c r="Z104" s="174"/>
    </row>
    <row r="105" customFormat="false" ht="15.75" hidden="false" customHeight="false" outlineLevel="0" collapsed="false">
      <c r="A105" s="174"/>
      <c r="B105" s="174"/>
      <c r="C105" s="174"/>
      <c r="D105" s="174"/>
      <c r="E105" s="174"/>
      <c r="F105" s="174"/>
      <c r="G105" s="174"/>
      <c r="H105" s="174"/>
      <c r="I105" s="174"/>
      <c r="J105" s="174"/>
      <c r="K105" s="174"/>
      <c r="L105" s="174"/>
      <c r="M105" s="174"/>
      <c r="N105" s="174"/>
      <c r="O105" s="174"/>
      <c r="P105" s="174"/>
      <c r="Q105" s="174"/>
      <c r="R105" s="174"/>
      <c r="S105" s="174"/>
      <c r="T105" s="174"/>
      <c r="U105" s="174"/>
      <c r="V105" s="174"/>
      <c r="W105" s="174"/>
      <c r="X105" s="174"/>
      <c r="Y105" s="174"/>
      <c r="Z105" s="174"/>
    </row>
    <row r="106" customFormat="false" ht="15.75" hidden="false" customHeight="false" outlineLevel="0" collapsed="false">
      <c r="A106" s="174"/>
      <c r="B106" s="174"/>
      <c r="C106" s="174"/>
      <c r="D106" s="174"/>
      <c r="E106" s="174"/>
      <c r="F106" s="174"/>
      <c r="G106" s="174"/>
      <c r="H106" s="174"/>
      <c r="I106" s="174"/>
      <c r="J106" s="174"/>
      <c r="K106" s="174"/>
      <c r="L106" s="174"/>
      <c r="M106" s="174"/>
      <c r="N106" s="174"/>
      <c r="O106" s="174"/>
      <c r="P106" s="174"/>
      <c r="Q106" s="174"/>
      <c r="R106" s="174"/>
      <c r="S106" s="174"/>
      <c r="T106" s="174"/>
      <c r="U106" s="174"/>
      <c r="V106" s="174"/>
      <c r="W106" s="174"/>
      <c r="X106" s="174"/>
      <c r="Y106" s="174"/>
      <c r="Z106" s="174"/>
    </row>
    <row r="107" customFormat="false" ht="15.75" hidden="false" customHeight="false" outlineLevel="0" collapsed="false">
      <c r="A107" s="174"/>
      <c r="B107" s="174"/>
      <c r="C107" s="174"/>
      <c r="D107" s="174"/>
      <c r="E107" s="174"/>
      <c r="F107" s="174"/>
      <c r="G107" s="174"/>
      <c r="H107" s="174"/>
      <c r="I107" s="174"/>
      <c r="J107" s="174"/>
      <c r="K107" s="174"/>
      <c r="L107" s="174"/>
      <c r="M107" s="174"/>
      <c r="N107" s="174"/>
      <c r="O107" s="174"/>
      <c r="P107" s="174"/>
      <c r="Q107" s="174"/>
      <c r="R107" s="174"/>
      <c r="S107" s="174"/>
      <c r="T107" s="174"/>
      <c r="U107" s="174"/>
      <c r="V107" s="174"/>
      <c r="W107" s="174"/>
      <c r="X107" s="174"/>
      <c r="Y107" s="174"/>
      <c r="Z107" s="174"/>
    </row>
    <row r="108" customFormat="false" ht="15.75" hidden="false" customHeight="false" outlineLevel="0" collapsed="false">
      <c r="A108" s="174"/>
      <c r="B108" s="174"/>
      <c r="C108" s="174"/>
      <c r="D108" s="174"/>
      <c r="E108" s="174"/>
      <c r="F108" s="174"/>
      <c r="G108" s="174"/>
      <c r="H108" s="174"/>
      <c r="I108" s="174"/>
      <c r="J108" s="174"/>
      <c r="K108" s="174"/>
      <c r="L108" s="174"/>
      <c r="M108" s="174"/>
      <c r="N108" s="174"/>
      <c r="O108" s="174"/>
      <c r="P108" s="174"/>
      <c r="Q108" s="174"/>
      <c r="R108" s="174"/>
      <c r="S108" s="174"/>
      <c r="T108" s="174"/>
      <c r="U108" s="174"/>
      <c r="V108" s="174"/>
      <c r="W108" s="174"/>
      <c r="X108" s="174"/>
      <c r="Y108" s="174"/>
      <c r="Z108" s="174"/>
    </row>
    <row r="109" customFormat="false" ht="15.75" hidden="false" customHeight="false" outlineLevel="0" collapsed="false">
      <c r="A109" s="174"/>
      <c r="B109" s="174"/>
      <c r="C109" s="174"/>
      <c r="D109" s="174"/>
      <c r="E109" s="174"/>
      <c r="F109" s="174"/>
      <c r="G109" s="174"/>
      <c r="H109" s="174"/>
      <c r="I109" s="174"/>
      <c r="J109" s="174"/>
      <c r="K109" s="174"/>
      <c r="L109" s="174"/>
      <c r="M109" s="174"/>
      <c r="N109" s="174"/>
      <c r="O109" s="174"/>
      <c r="P109" s="174"/>
      <c r="Q109" s="174"/>
      <c r="R109" s="174"/>
      <c r="S109" s="174"/>
      <c r="T109" s="174"/>
      <c r="U109" s="174"/>
      <c r="V109" s="174"/>
      <c r="W109" s="174"/>
      <c r="X109" s="174"/>
      <c r="Y109" s="174"/>
      <c r="Z109" s="174"/>
    </row>
    <row r="110" customFormat="false" ht="15.75" hidden="false" customHeight="false" outlineLevel="0" collapsed="false">
      <c r="A110" s="174"/>
      <c r="B110" s="174"/>
      <c r="C110" s="174"/>
      <c r="D110" s="174"/>
      <c r="E110" s="174"/>
      <c r="F110" s="174"/>
      <c r="G110" s="174"/>
      <c r="H110" s="174"/>
      <c r="I110" s="174"/>
      <c r="J110" s="174"/>
      <c r="K110" s="174"/>
      <c r="L110" s="174"/>
      <c r="M110" s="174"/>
      <c r="N110" s="174"/>
      <c r="O110" s="174"/>
      <c r="P110" s="174"/>
      <c r="Q110" s="174"/>
      <c r="R110" s="174"/>
      <c r="S110" s="174"/>
      <c r="T110" s="174"/>
      <c r="U110" s="174"/>
      <c r="V110" s="174"/>
      <c r="W110" s="174"/>
      <c r="X110" s="174"/>
      <c r="Y110" s="174"/>
      <c r="Z110" s="174"/>
    </row>
    <row r="111" customFormat="false" ht="15.75" hidden="false" customHeight="false" outlineLevel="0" collapsed="false">
      <c r="A111" s="174"/>
      <c r="B111" s="174"/>
      <c r="C111" s="174"/>
      <c r="D111" s="174"/>
      <c r="E111" s="174"/>
      <c r="F111" s="174"/>
      <c r="G111" s="174"/>
      <c r="H111" s="174"/>
      <c r="I111" s="174"/>
      <c r="J111" s="174"/>
      <c r="K111" s="174"/>
      <c r="L111" s="174"/>
      <c r="M111" s="174"/>
      <c r="N111" s="174"/>
      <c r="O111" s="174"/>
      <c r="P111" s="174"/>
      <c r="Q111" s="174"/>
      <c r="R111" s="174"/>
      <c r="S111" s="174"/>
      <c r="T111" s="174"/>
      <c r="U111" s="174"/>
      <c r="V111" s="174"/>
      <c r="W111" s="174"/>
      <c r="X111" s="174"/>
      <c r="Y111" s="174"/>
      <c r="Z111" s="174"/>
    </row>
    <row r="112" customFormat="false" ht="15.75" hidden="false" customHeight="false" outlineLevel="0" collapsed="false">
      <c r="A112" s="174"/>
      <c r="B112" s="174"/>
      <c r="C112" s="174"/>
      <c r="D112" s="174"/>
      <c r="E112" s="174"/>
      <c r="F112" s="174"/>
      <c r="G112" s="174"/>
      <c r="H112" s="174"/>
      <c r="I112" s="174"/>
      <c r="J112" s="174"/>
      <c r="K112" s="174"/>
      <c r="L112" s="174"/>
      <c r="M112" s="174"/>
      <c r="N112" s="174"/>
      <c r="O112" s="174"/>
      <c r="P112" s="174"/>
      <c r="Q112" s="174"/>
      <c r="R112" s="174"/>
      <c r="S112" s="174"/>
      <c r="T112" s="174"/>
      <c r="U112" s="174"/>
      <c r="V112" s="174"/>
      <c r="W112" s="174"/>
      <c r="X112" s="174"/>
      <c r="Y112" s="174"/>
      <c r="Z112" s="174"/>
    </row>
    <row r="113" customFormat="false" ht="15.75" hidden="false" customHeight="false" outlineLevel="0" collapsed="false">
      <c r="A113" s="174"/>
      <c r="B113" s="174"/>
      <c r="C113" s="174"/>
      <c r="D113" s="174"/>
      <c r="E113" s="174"/>
      <c r="F113" s="174"/>
      <c r="G113" s="174"/>
      <c r="H113" s="174"/>
      <c r="I113" s="174"/>
      <c r="J113" s="174"/>
      <c r="K113" s="174"/>
      <c r="L113" s="174"/>
      <c r="M113" s="174"/>
      <c r="N113" s="174"/>
      <c r="O113" s="174"/>
      <c r="P113" s="174"/>
      <c r="Q113" s="174"/>
      <c r="R113" s="174"/>
      <c r="S113" s="174"/>
      <c r="T113" s="174"/>
      <c r="U113" s="174"/>
      <c r="V113" s="174"/>
      <c r="W113" s="174"/>
      <c r="X113" s="174"/>
      <c r="Y113" s="174"/>
      <c r="Z113" s="174"/>
    </row>
    <row r="114" customFormat="false" ht="15.75" hidden="false" customHeight="false" outlineLevel="0" collapsed="false">
      <c r="A114" s="174"/>
      <c r="B114" s="174"/>
      <c r="C114" s="174"/>
      <c r="D114" s="174"/>
      <c r="E114" s="174"/>
      <c r="F114" s="174"/>
      <c r="G114" s="174"/>
      <c r="H114" s="174"/>
      <c r="I114" s="174"/>
      <c r="J114" s="174"/>
      <c r="K114" s="174"/>
      <c r="L114" s="174"/>
      <c r="M114" s="174"/>
      <c r="N114" s="174"/>
      <c r="O114" s="174"/>
      <c r="P114" s="174"/>
      <c r="Q114" s="174"/>
      <c r="R114" s="174"/>
      <c r="S114" s="174"/>
      <c r="T114" s="174"/>
      <c r="U114" s="174"/>
      <c r="V114" s="174"/>
      <c r="W114" s="174"/>
      <c r="X114" s="174"/>
      <c r="Y114" s="174"/>
      <c r="Z114" s="174"/>
    </row>
    <row r="115" customFormat="false" ht="15.75" hidden="false" customHeight="false" outlineLevel="0" collapsed="false">
      <c r="A115" s="174"/>
      <c r="B115" s="174"/>
      <c r="C115" s="174"/>
      <c r="D115" s="174"/>
      <c r="E115" s="174"/>
      <c r="F115" s="174"/>
      <c r="G115" s="174"/>
      <c r="H115" s="174"/>
      <c r="I115" s="174"/>
      <c r="J115" s="174"/>
      <c r="K115" s="174"/>
      <c r="L115" s="174"/>
      <c r="M115" s="174"/>
      <c r="N115" s="174"/>
      <c r="O115" s="174"/>
      <c r="P115" s="174"/>
      <c r="Q115" s="174"/>
      <c r="R115" s="174"/>
      <c r="S115" s="174"/>
      <c r="T115" s="174"/>
      <c r="U115" s="174"/>
      <c r="V115" s="174"/>
      <c r="W115" s="174"/>
      <c r="X115" s="174"/>
      <c r="Y115" s="174"/>
      <c r="Z115" s="174"/>
    </row>
    <row r="116" customFormat="false" ht="15.75" hidden="false" customHeight="false" outlineLevel="0" collapsed="false">
      <c r="A116" s="174"/>
      <c r="B116" s="174"/>
      <c r="C116" s="174"/>
      <c r="D116" s="174"/>
      <c r="E116" s="174"/>
      <c r="F116" s="174"/>
      <c r="G116" s="174"/>
      <c r="H116" s="174"/>
      <c r="I116" s="174"/>
      <c r="J116" s="174"/>
      <c r="K116" s="174"/>
      <c r="L116" s="174"/>
      <c r="M116" s="174"/>
      <c r="N116" s="174"/>
      <c r="O116" s="174"/>
      <c r="P116" s="174"/>
      <c r="Q116" s="174"/>
      <c r="R116" s="174"/>
      <c r="S116" s="174"/>
      <c r="T116" s="174"/>
      <c r="U116" s="174"/>
      <c r="V116" s="174"/>
      <c r="W116" s="174"/>
      <c r="X116" s="174"/>
      <c r="Y116" s="174"/>
      <c r="Z116" s="174"/>
    </row>
    <row r="117" customFormat="false" ht="15.75" hidden="false" customHeight="false" outlineLevel="0" collapsed="false">
      <c r="A117" s="174"/>
      <c r="B117" s="174"/>
      <c r="C117" s="174"/>
      <c r="D117" s="174"/>
      <c r="E117" s="174"/>
      <c r="F117" s="174"/>
      <c r="G117" s="174"/>
      <c r="H117" s="174"/>
      <c r="I117" s="174"/>
      <c r="J117" s="174"/>
      <c r="K117" s="174"/>
      <c r="L117" s="174"/>
      <c r="M117" s="174"/>
      <c r="N117" s="174"/>
      <c r="O117" s="174"/>
      <c r="P117" s="174"/>
      <c r="Q117" s="174"/>
      <c r="R117" s="174"/>
      <c r="S117" s="174"/>
      <c r="T117" s="174"/>
      <c r="U117" s="174"/>
      <c r="V117" s="174"/>
      <c r="W117" s="174"/>
      <c r="X117" s="174"/>
      <c r="Y117" s="174"/>
      <c r="Z117" s="174"/>
    </row>
    <row r="118" customFormat="false" ht="15.75" hidden="false" customHeight="false" outlineLevel="0" collapsed="false">
      <c r="A118" s="174"/>
      <c r="B118" s="174"/>
      <c r="C118" s="174"/>
      <c r="D118" s="174"/>
      <c r="E118" s="174"/>
      <c r="F118" s="174"/>
      <c r="G118" s="174"/>
      <c r="H118" s="174"/>
      <c r="I118" s="174"/>
      <c r="J118" s="174"/>
      <c r="K118" s="174"/>
      <c r="L118" s="174"/>
      <c r="M118" s="174"/>
      <c r="N118" s="174"/>
      <c r="O118" s="174"/>
      <c r="P118" s="174"/>
      <c r="Q118" s="174"/>
      <c r="R118" s="174"/>
      <c r="S118" s="174"/>
      <c r="T118" s="174"/>
      <c r="U118" s="174"/>
      <c r="V118" s="174"/>
      <c r="W118" s="174"/>
      <c r="X118" s="174"/>
      <c r="Y118" s="174"/>
      <c r="Z118" s="174"/>
    </row>
    <row r="119" customFormat="false" ht="15.75" hidden="false" customHeight="false" outlineLevel="0" collapsed="false">
      <c r="A119" s="174"/>
      <c r="B119" s="174"/>
      <c r="C119" s="174"/>
      <c r="D119" s="174"/>
      <c r="E119" s="174"/>
      <c r="F119" s="174"/>
      <c r="G119" s="174"/>
      <c r="H119" s="174"/>
      <c r="I119" s="174"/>
      <c r="J119" s="174"/>
      <c r="K119" s="174"/>
      <c r="L119" s="174"/>
      <c r="M119" s="174"/>
      <c r="N119" s="174"/>
      <c r="O119" s="174"/>
      <c r="P119" s="174"/>
      <c r="Q119" s="174"/>
      <c r="R119" s="174"/>
      <c r="S119" s="174"/>
      <c r="T119" s="174"/>
      <c r="U119" s="174"/>
      <c r="V119" s="174"/>
      <c r="W119" s="174"/>
      <c r="X119" s="174"/>
      <c r="Y119" s="174"/>
      <c r="Z119" s="174"/>
    </row>
    <row r="120" customFormat="false" ht="15.75" hidden="false" customHeight="false" outlineLevel="0" collapsed="false">
      <c r="A120" s="174"/>
      <c r="B120" s="174"/>
      <c r="C120" s="174"/>
      <c r="D120" s="174"/>
      <c r="E120" s="174"/>
      <c r="F120" s="174"/>
      <c r="G120" s="174"/>
      <c r="H120" s="174"/>
      <c r="I120" s="174"/>
      <c r="J120" s="174"/>
      <c r="K120" s="174"/>
      <c r="L120" s="174"/>
      <c r="M120" s="174"/>
      <c r="N120" s="174"/>
      <c r="O120" s="174"/>
      <c r="P120" s="174"/>
      <c r="Q120" s="174"/>
      <c r="R120" s="174"/>
      <c r="S120" s="174"/>
      <c r="T120" s="174"/>
      <c r="U120" s="174"/>
      <c r="V120" s="174"/>
      <c r="W120" s="174"/>
      <c r="X120" s="174"/>
      <c r="Y120" s="174"/>
      <c r="Z120" s="174"/>
    </row>
    <row r="121" customFormat="false" ht="15.75" hidden="false" customHeight="false" outlineLevel="0" collapsed="false">
      <c r="A121" s="174"/>
      <c r="B121" s="174"/>
      <c r="C121" s="174"/>
      <c r="D121" s="174"/>
      <c r="E121" s="174"/>
      <c r="F121" s="174"/>
      <c r="G121" s="174"/>
      <c r="H121" s="174"/>
      <c r="I121" s="174"/>
      <c r="J121" s="174"/>
      <c r="K121" s="174"/>
      <c r="L121" s="174"/>
      <c r="M121" s="174"/>
      <c r="N121" s="174"/>
      <c r="O121" s="174"/>
      <c r="P121" s="174"/>
      <c r="Q121" s="174"/>
      <c r="R121" s="174"/>
      <c r="S121" s="174"/>
      <c r="T121" s="174"/>
      <c r="U121" s="174"/>
      <c r="V121" s="174"/>
      <c r="W121" s="174"/>
      <c r="X121" s="174"/>
      <c r="Y121" s="174"/>
      <c r="Z121" s="174"/>
    </row>
    <row r="122" customFormat="false" ht="15.75" hidden="false" customHeight="false" outlineLevel="0" collapsed="false">
      <c r="A122" s="174"/>
      <c r="B122" s="174"/>
      <c r="C122" s="174"/>
      <c r="D122" s="174"/>
      <c r="E122" s="174"/>
      <c r="F122" s="174"/>
      <c r="G122" s="174"/>
      <c r="H122" s="174"/>
      <c r="I122" s="174"/>
      <c r="J122" s="174"/>
      <c r="K122" s="174"/>
      <c r="L122" s="174"/>
      <c r="M122" s="174"/>
      <c r="N122" s="174"/>
      <c r="O122" s="174"/>
      <c r="P122" s="174"/>
      <c r="Q122" s="174"/>
      <c r="R122" s="174"/>
      <c r="S122" s="174"/>
      <c r="T122" s="174"/>
      <c r="U122" s="174"/>
      <c r="V122" s="174"/>
      <c r="W122" s="174"/>
      <c r="X122" s="174"/>
      <c r="Y122" s="174"/>
      <c r="Z122" s="174"/>
    </row>
    <row r="123" customFormat="false" ht="15.75" hidden="false" customHeight="false" outlineLevel="0" collapsed="false">
      <c r="A123" s="174"/>
      <c r="B123" s="174"/>
      <c r="C123" s="174"/>
      <c r="D123" s="174"/>
      <c r="E123" s="174"/>
      <c r="F123" s="174"/>
      <c r="G123" s="174"/>
      <c r="H123" s="174"/>
      <c r="I123" s="174"/>
      <c r="J123" s="174"/>
      <c r="K123" s="174"/>
      <c r="L123" s="174"/>
      <c r="M123" s="174"/>
      <c r="N123" s="174"/>
      <c r="O123" s="174"/>
      <c r="P123" s="174"/>
      <c r="Q123" s="174"/>
      <c r="R123" s="174"/>
      <c r="S123" s="174"/>
      <c r="T123" s="174"/>
      <c r="U123" s="174"/>
      <c r="V123" s="174"/>
      <c r="W123" s="174"/>
      <c r="X123" s="174"/>
      <c r="Y123" s="174"/>
      <c r="Z123" s="174"/>
    </row>
    <row r="124" customFormat="false" ht="15.75" hidden="false" customHeight="false" outlineLevel="0" collapsed="false">
      <c r="A124" s="174"/>
      <c r="B124" s="174"/>
      <c r="C124" s="174"/>
      <c r="D124" s="174"/>
      <c r="E124" s="174"/>
      <c r="F124" s="174"/>
      <c r="G124" s="174"/>
      <c r="H124" s="174"/>
      <c r="I124" s="174"/>
      <c r="J124" s="174"/>
      <c r="K124" s="174"/>
      <c r="L124" s="174"/>
      <c r="M124" s="174"/>
      <c r="N124" s="174"/>
      <c r="O124" s="174"/>
      <c r="P124" s="174"/>
      <c r="Q124" s="174"/>
      <c r="R124" s="174"/>
      <c r="S124" s="174"/>
      <c r="T124" s="174"/>
      <c r="U124" s="174"/>
      <c r="V124" s="174"/>
      <c r="W124" s="174"/>
      <c r="X124" s="174"/>
      <c r="Y124" s="174"/>
      <c r="Z124" s="174"/>
    </row>
    <row r="125" customFormat="false" ht="15.75" hidden="false" customHeight="false" outlineLevel="0" collapsed="false">
      <c r="A125" s="174"/>
      <c r="B125" s="174"/>
      <c r="C125" s="174"/>
      <c r="D125" s="174"/>
      <c r="E125" s="174"/>
      <c r="F125" s="174"/>
      <c r="G125" s="174"/>
      <c r="H125" s="174"/>
      <c r="I125" s="174"/>
      <c r="J125" s="174"/>
      <c r="K125" s="174"/>
      <c r="L125" s="174"/>
      <c r="M125" s="174"/>
      <c r="N125" s="174"/>
      <c r="O125" s="174"/>
      <c r="P125" s="174"/>
      <c r="Q125" s="174"/>
      <c r="R125" s="174"/>
      <c r="S125" s="174"/>
      <c r="T125" s="174"/>
      <c r="U125" s="174"/>
      <c r="V125" s="174"/>
      <c r="W125" s="174"/>
      <c r="X125" s="174"/>
      <c r="Y125" s="174"/>
      <c r="Z125" s="174"/>
    </row>
    <row r="126" customFormat="false" ht="15.75" hidden="false" customHeight="false" outlineLevel="0" collapsed="false">
      <c r="A126" s="174"/>
      <c r="B126" s="174"/>
      <c r="C126" s="174"/>
      <c r="D126" s="174"/>
      <c r="E126" s="174"/>
      <c r="F126" s="174"/>
      <c r="G126" s="174"/>
      <c r="H126" s="174"/>
      <c r="I126" s="174"/>
      <c r="J126" s="174"/>
      <c r="K126" s="174"/>
      <c r="L126" s="174"/>
      <c r="M126" s="174"/>
      <c r="N126" s="174"/>
      <c r="O126" s="174"/>
      <c r="P126" s="174"/>
      <c r="Q126" s="174"/>
      <c r="R126" s="174"/>
      <c r="S126" s="174"/>
      <c r="T126" s="174"/>
      <c r="U126" s="174"/>
      <c r="V126" s="174"/>
      <c r="W126" s="174"/>
      <c r="X126" s="174"/>
      <c r="Y126" s="174"/>
      <c r="Z126" s="174"/>
    </row>
    <row r="127" customFormat="false" ht="15.75" hidden="false" customHeight="false" outlineLevel="0" collapsed="false">
      <c r="A127" s="174"/>
      <c r="B127" s="174"/>
      <c r="C127" s="174"/>
      <c r="D127" s="174"/>
      <c r="E127" s="174"/>
      <c r="F127" s="174"/>
      <c r="G127" s="174"/>
      <c r="H127" s="174"/>
      <c r="I127" s="174"/>
      <c r="J127" s="174"/>
      <c r="K127" s="174"/>
      <c r="L127" s="174"/>
      <c r="M127" s="174"/>
      <c r="N127" s="174"/>
      <c r="O127" s="174"/>
      <c r="P127" s="174"/>
      <c r="Q127" s="174"/>
      <c r="R127" s="174"/>
      <c r="S127" s="174"/>
      <c r="T127" s="174"/>
      <c r="U127" s="174"/>
      <c r="V127" s="174"/>
      <c r="W127" s="174"/>
      <c r="X127" s="174"/>
      <c r="Y127" s="174"/>
      <c r="Z127" s="174"/>
    </row>
    <row r="128" customFormat="false" ht="15.75" hidden="false" customHeight="false" outlineLevel="0" collapsed="false">
      <c r="A128" s="174"/>
      <c r="B128" s="174"/>
      <c r="C128" s="174"/>
      <c r="D128" s="174"/>
      <c r="E128" s="174"/>
      <c r="F128" s="174"/>
      <c r="G128" s="174"/>
      <c r="H128" s="174"/>
      <c r="I128" s="174"/>
      <c r="J128" s="174"/>
      <c r="K128" s="174"/>
      <c r="L128" s="174"/>
      <c r="M128" s="174"/>
      <c r="N128" s="174"/>
      <c r="O128" s="174"/>
      <c r="P128" s="174"/>
      <c r="Q128" s="174"/>
      <c r="R128" s="174"/>
      <c r="S128" s="174"/>
      <c r="T128" s="174"/>
      <c r="U128" s="174"/>
      <c r="V128" s="174"/>
      <c r="W128" s="174"/>
      <c r="X128" s="174"/>
      <c r="Y128" s="174"/>
      <c r="Z128" s="174"/>
    </row>
    <row r="129" customFormat="false" ht="15.75" hidden="false" customHeight="false" outlineLevel="0" collapsed="false">
      <c r="A129" s="174"/>
      <c r="B129" s="174"/>
      <c r="C129" s="174"/>
      <c r="D129" s="174"/>
      <c r="E129" s="174"/>
      <c r="F129" s="174"/>
      <c r="G129" s="174"/>
      <c r="H129" s="174"/>
      <c r="I129" s="174"/>
      <c r="J129" s="174"/>
      <c r="K129" s="174"/>
      <c r="L129" s="174"/>
      <c r="M129" s="174"/>
      <c r="N129" s="174"/>
      <c r="O129" s="174"/>
      <c r="P129" s="174"/>
      <c r="Q129" s="174"/>
      <c r="R129" s="174"/>
      <c r="S129" s="174"/>
      <c r="T129" s="174"/>
      <c r="U129" s="174"/>
      <c r="V129" s="174"/>
      <c r="W129" s="174"/>
      <c r="X129" s="174"/>
      <c r="Y129" s="174"/>
      <c r="Z129" s="174"/>
    </row>
    <row r="130" customFormat="false" ht="15.75" hidden="false" customHeight="false" outlineLevel="0" collapsed="false">
      <c r="A130" s="174"/>
      <c r="B130" s="174"/>
      <c r="C130" s="174"/>
      <c r="D130" s="174"/>
      <c r="E130" s="174"/>
      <c r="F130" s="174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</row>
    <row r="131" customFormat="false" ht="15.75" hidden="false" customHeight="false" outlineLevel="0" collapsed="false">
      <c r="A131" s="174"/>
      <c r="B131" s="174"/>
      <c r="C131" s="174"/>
      <c r="D131" s="174"/>
      <c r="E131" s="174"/>
      <c r="F131" s="174"/>
      <c r="G131" s="174"/>
      <c r="H131" s="174"/>
      <c r="I131" s="174"/>
      <c r="J131" s="174"/>
      <c r="K131" s="174"/>
      <c r="L131" s="174"/>
      <c r="M131" s="174"/>
      <c r="N131" s="174"/>
      <c r="O131" s="174"/>
      <c r="P131" s="174"/>
      <c r="Q131" s="174"/>
      <c r="R131" s="174"/>
      <c r="S131" s="174"/>
      <c r="T131" s="174"/>
      <c r="U131" s="174"/>
      <c r="V131" s="174"/>
      <c r="W131" s="174"/>
      <c r="X131" s="174"/>
      <c r="Y131" s="174"/>
      <c r="Z131" s="174"/>
    </row>
    <row r="132" customFormat="false" ht="15.75" hidden="false" customHeight="false" outlineLevel="0" collapsed="false">
      <c r="A132" s="174"/>
      <c r="B132" s="174"/>
      <c r="C132" s="174"/>
      <c r="D132" s="174"/>
      <c r="E132" s="174"/>
      <c r="F132" s="174"/>
      <c r="G132" s="174"/>
      <c r="H132" s="174"/>
      <c r="I132" s="174"/>
      <c r="J132" s="174"/>
      <c r="K132" s="174"/>
      <c r="L132" s="174"/>
      <c r="M132" s="174"/>
      <c r="N132" s="174"/>
      <c r="O132" s="174"/>
      <c r="P132" s="174"/>
      <c r="Q132" s="174"/>
      <c r="R132" s="174"/>
      <c r="S132" s="174"/>
      <c r="T132" s="174"/>
      <c r="U132" s="174"/>
      <c r="V132" s="174"/>
      <c r="W132" s="174"/>
      <c r="X132" s="174"/>
      <c r="Y132" s="174"/>
      <c r="Z132" s="174"/>
    </row>
    <row r="133" customFormat="false" ht="15.75" hidden="false" customHeight="false" outlineLevel="0" collapsed="false">
      <c r="A133" s="174"/>
      <c r="B133" s="174"/>
      <c r="C133" s="174"/>
      <c r="D133" s="174"/>
      <c r="E133" s="174"/>
      <c r="F133" s="174"/>
      <c r="G133" s="174"/>
      <c r="H133" s="174"/>
      <c r="I133" s="174"/>
      <c r="J133" s="174"/>
      <c r="K133" s="174"/>
      <c r="L133" s="174"/>
      <c r="M133" s="174"/>
      <c r="N133" s="174"/>
      <c r="O133" s="174"/>
      <c r="P133" s="174"/>
      <c r="Q133" s="174"/>
      <c r="R133" s="174"/>
      <c r="S133" s="174"/>
      <c r="T133" s="174"/>
      <c r="U133" s="174"/>
      <c r="V133" s="174"/>
      <c r="W133" s="174"/>
      <c r="X133" s="174"/>
      <c r="Y133" s="174"/>
      <c r="Z133" s="174"/>
    </row>
    <row r="134" customFormat="false" ht="15.75" hidden="false" customHeight="false" outlineLevel="0" collapsed="false">
      <c r="A134" s="174"/>
      <c r="B134" s="174"/>
      <c r="C134" s="174"/>
      <c r="D134" s="174"/>
      <c r="E134" s="174"/>
      <c r="F134" s="174"/>
      <c r="G134" s="174"/>
      <c r="H134" s="174"/>
      <c r="I134" s="174"/>
      <c r="J134" s="174"/>
      <c r="K134" s="174"/>
      <c r="L134" s="174"/>
      <c r="M134" s="174"/>
      <c r="N134" s="174"/>
      <c r="O134" s="174"/>
      <c r="P134" s="174"/>
      <c r="Q134" s="174"/>
      <c r="R134" s="174"/>
      <c r="S134" s="174"/>
      <c r="T134" s="174"/>
      <c r="U134" s="174"/>
      <c r="V134" s="174"/>
      <c r="W134" s="174"/>
      <c r="X134" s="174"/>
      <c r="Y134" s="174"/>
      <c r="Z134" s="174"/>
    </row>
    <row r="135" customFormat="false" ht="15.75" hidden="false" customHeight="false" outlineLevel="0" collapsed="false">
      <c r="A135" s="174"/>
      <c r="B135" s="174"/>
      <c r="C135" s="174"/>
      <c r="D135" s="174"/>
      <c r="E135" s="174"/>
      <c r="F135" s="174"/>
      <c r="G135" s="174"/>
      <c r="H135" s="174"/>
      <c r="I135" s="174"/>
      <c r="J135" s="174"/>
      <c r="K135" s="174"/>
      <c r="L135" s="174"/>
      <c r="M135" s="174"/>
      <c r="N135" s="174"/>
      <c r="O135" s="174"/>
      <c r="P135" s="174"/>
      <c r="Q135" s="174"/>
      <c r="R135" s="174"/>
      <c r="S135" s="174"/>
      <c r="T135" s="174"/>
      <c r="U135" s="174"/>
      <c r="V135" s="174"/>
      <c r="W135" s="174"/>
      <c r="X135" s="174"/>
      <c r="Y135" s="174"/>
      <c r="Z135" s="174"/>
    </row>
    <row r="136" customFormat="false" ht="15.75" hidden="false" customHeight="false" outlineLevel="0" collapsed="false">
      <c r="A136" s="174"/>
      <c r="B136" s="174"/>
      <c r="C136" s="174"/>
      <c r="D136" s="174"/>
      <c r="E136" s="174"/>
      <c r="F136" s="174"/>
      <c r="G136" s="174"/>
      <c r="H136" s="174"/>
      <c r="I136" s="174"/>
      <c r="J136" s="174"/>
      <c r="K136" s="174"/>
      <c r="L136" s="174"/>
      <c r="M136" s="174"/>
      <c r="N136" s="174"/>
      <c r="O136" s="174"/>
      <c r="P136" s="174"/>
      <c r="Q136" s="174"/>
      <c r="R136" s="174"/>
      <c r="S136" s="174"/>
      <c r="T136" s="174"/>
      <c r="U136" s="174"/>
      <c r="V136" s="174"/>
      <c r="W136" s="174"/>
      <c r="X136" s="174"/>
      <c r="Y136" s="174"/>
      <c r="Z136" s="174"/>
    </row>
    <row r="137" customFormat="false" ht="15.75" hidden="false" customHeight="false" outlineLevel="0" collapsed="false">
      <c r="A137" s="174"/>
      <c r="B137" s="174"/>
      <c r="C137" s="174"/>
      <c r="D137" s="174"/>
      <c r="E137" s="174"/>
      <c r="F137" s="174"/>
      <c r="G137" s="174"/>
      <c r="H137" s="174"/>
      <c r="I137" s="174"/>
      <c r="J137" s="174"/>
      <c r="K137" s="174"/>
      <c r="L137" s="174"/>
      <c r="M137" s="174"/>
      <c r="N137" s="174"/>
      <c r="O137" s="174"/>
      <c r="P137" s="174"/>
      <c r="Q137" s="174"/>
      <c r="R137" s="174"/>
      <c r="S137" s="174"/>
      <c r="T137" s="174"/>
      <c r="U137" s="174"/>
      <c r="V137" s="174"/>
      <c r="W137" s="174"/>
      <c r="X137" s="174"/>
      <c r="Y137" s="174"/>
      <c r="Z137" s="174"/>
    </row>
    <row r="138" customFormat="false" ht="15.75" hidden="false" customHeight="false" outlineLevel="0" collapsed="false">
      <c r="A138" s="174"/>
      <c r="B138" s="174"/>
      <c r="C138" s="174"/>
      <c r="D138" s="174"/>
      <c r="E138" s="174"/>
      <c r="F138" s="174"/>
      <c r="G138" s="174"/>
      <c r="H138" s="174"/>
      <c r="I138" s="174"/>
      <c r="J138" s="174"/>
      <c r="K138" s="174"/>
      <c r="L138" s="174"/>
      <c r="M138" s="174"/>
      <c r="N138" s="174"/>
      <c r="O138" s="174"/>
      <c r="P138" s="174"/>
      <c r="Q138" s="174"/>
      <c r="R138" s="174"/>
      <c r="S138" s="174"/>
      <c r="T138" s="174"/>
      <c r="U138" s="174"/>
      <c r="V138" s="174"/>
      <c r="W138" s="174"/>
      <c r="X138" s="174"/>
      <c r="Y138" s="174"/>
      <c r="Z138" s="174"/>
    </row>
    <row r="139" customFormat="false" ht="15.75" hidden="false" customHeight="false" outlineLevel="0" collapsed="false">
      <c r="A139" s="174"/>
      <c r="B139" s="174"/>
      <c r="C139" s="174"/>
      <c r="D139" s="174"/>
      <c r="E139" s="174"/>
      <c r="F139" s="174"/>
      <c r="G139" s="174"/>
      <c r="H139" s="174"/>
      <c r="I139" s="174"/>
      <c r="J139" s="174"/>
      <c r="K139" s="174"/>
      <c r="L139" s="174"/>
      <c r="M139" s="174"/>
      <c r="N139" s="174"/>
      <c r="O139" s="174"/>
      <c r="P139" s="174"/>
      <c r="Q139" s="174"/>
      <c r="R139" s="174"/>
      <c r="S139" s="174"/>
      <c r="T139" s="174"/>
      <c r="U139" s="174"/>
      <c r="V139" s="174"/>
      <c r="W139" s="174"/>
      <c r="X139" s="174"/>
      <c r="Y139" s="174"/>
      <c r="Z139" s="174"/>
    </row>
    <row r="140" customFormat="false" ht="15.75" hidden="false" customHeight="false" outlineLevel="0" collapsed="false">
      <c r="A140" s="174"/>
      <c r="B140" s="174"/>
      <c r="C140" s="174"/>
      <c r="D140" s="174"/>
      <c r="E140" s="174"/>
      <c r="F140" s="174"/>
      <c r="G140" s="174"/>
      <c r="H140" s="174"/>
      <c r="I140" s="174"/>
      <c r="J140" s="174"/>
      <c r="K140" s="174"/>
      <c r="L140" s="174"/>
      <c r="M140" s="174"/>
      <c r="N140" s="174"/>
      <c r="O140" s="174"/>
      <c r="P140" s="174"/>
      <c r="Q140" s="174"/>
      <c r="R140" s="174"/>
      <c r="S140" s="174"/>
      <c r="T140" s="174"/>
      <c r="U140" s="174"/>
      <c r="V140" s="174"/>
      <c r="W140" s="174"/>
      <c r="X140" s="174"/>
      <c r="Y140" s="174"/>
      <c r="Z140" s="174"/>
    </row>
    <row r="141" customFormat="false" ht="15.75" hidden="false" customHeight="false" outlineLevel="0" collapsed="false">
      <c r="A141" s="174"/>
      <c r="B141" s="174"/>
      <c r="C141" s="174"/>
      <c r="D141" s="174"/>
      <c r="E141" s="174"/>
      <c r="F141" s="174"/>
      <c r="G141" s="174"/>
      <c r="H141" s="174"/>
      <c r="I141" s="174"/>
      <c r="J141" s="174"/>
      <c r="K141" s="174"/>
      <c r="L141" s="174"/>
      <c r="M141" s="174"/>
      <c r="N141" s="174"/>
      <c r="O141" s="174"/>
      <c r="P141" s="174"/>
      <c r="Q141" s="174"/>
      <c r="R141" s="174"/>
      <c r="S141" s="174"/>
      <c r="T141" s="174"/>
      <c r="U141" s="174"/>
      <c r="V141" s="174"/>
      <c r="W141" s="174"/>
      <c r="X141" s="174"/>
      <c r="Y141" s="174"/>
      <c r="Z141" s="174"/>
    </row>
    <row r="142" customFormat="false" ht="15.75" hidden="false" customHeight="false" outlineLevel="0" collapsed="false">
      <c r="A142" s="174"/>
      <c r="B142" s="174"/>
      <c r="C142" s="174"/>
      <c r="D142" s="174"/>
      <c r="E142" s="174"/>
      <c r="F142" s="174"/>
      <c r="G142" s="174"/>
      <c r="H142" s="174"/>
      <c r="I142" s="174"/>
      <c r="J142" s="174"/>
      <c r="K142" s="174"/>
      <c r="L142" s="174"/>
      <c r="M142" s="174"/>
      <c r="N142" s="174"/>
      <c r="O142" s="174"/>
      <c r="P142" s="174"/>
      <c r="Q142" s="174"/>
      <c r="R142" s="174"/>
      <c r="S142" s="174"/>
      <c r="T142" s="174"/>
      <c r="U142" s="174"/>
      <c r="V142" s="174"/>
      <c r="W142" s="174"/>
      <c r="X142" s="174"/>
      <c r="Y142" s="174"/>
      <c r="Z142" s="174"/>
    </row>
    <row r="143" customFormat="false" ht="15.75" hidden="false" customHeight="false" outlineLevel="0" collapsed="false">
      <c r="A143" s="174"/>
      <c r="B143" s="174"/>
      <c r="C143" s="174"/>
      <c r="D143" s="174"/>
      <c r="E143" s="174"/>
      <c r="F143" s="174"/>
      <c r="G143" s="174"/>
      <c r="H143" s="174"/>
      <c r="I143" s="174"/>
      <c r="J143" s="174"/>
      <c r="K143" s="174"/>
      <c r="L143" s="174"/>
      <c r="M143" s="174"/>
      <c r="N143" s="174"/>
      <c r="O143" s="174"/>
      <c r="P143" s="174"/>
      <c r="Q143" s="174"/>
      <c r="R143" s="174"/>
      <c r="S143" s="174"/>
      <c r="T143" s="174"/>
      <c r="U143" s="174"/>
      <c r="V143" s="174"/>
      <c r="W143" s="174"/>
      <c r="X143" s="174"/>
      <c r="Y143" s="174"/>
      <c r="Z143" s="174"/>
    </row>
    <row r="144" customFormat="false" ht="15.75" hidden="false" customHeight="false" outlineLevel="0" collapsed="false">
      <c r="A144" s="174"/>
      <c r="B144" s="174"/>
      <c r="C144" s="174"/>
      <c r="D144" s="174"/>
      <c r="E144" s="174"/>
      <c r="F144" s="174"/>
      <c r="G144" s="174"/>
      <c r="H144" s="174"/>
      <c r="I144" s="174"/>
      <c r="J144" s="174"/>
      <c r="K144" s="174"/>
      <c r="L144" s="174"/>
      <c r="M144" s="174"/>
      <c r="N144" s="174"/>
      <c r="O144" s="174"/>
      <c r="P144" s="174"/>
      <c r="Q144" s="174"/>
      <c r="R144" s="174"/>
      <c r="S144" s="174"/>
      <c r="T144" s="174"/>
      <c r="U144" s="174"/>
      <c r="V144" s="174"/>
      <c r="W144" s="174"/>
      <c r="X144" s="174"/>
      <c r="Y144" s="174"/>
      <c r="Z144" s="174"/>
    </row>
    <row r="145" customFormat="false" ht="15.75" hidden="false" customHeight="false" outlineLevel="0" collapsed="false">
      <c r="A145" s="174"/>
      <c r="B145" s="174"/>
      <c r="C145" s="174"/>
      <c r="D145" s="174"/>
      <c r="E145" s="174"/>
      <c r="F145" s="174"/>
      <c r="G145" s="174"/>
      <c r="H145" s="174"/>
      <c r="I145" s="174"/>
      <c r="J145" s="174"/>
      <c r="K145" s="174"/>
      <c r="L145" s="174"/>
      <c r="M145" s="174"/>
      <c r="N145" s="174"/>
      <c r="O145" s="174"/>
      <c r="P145" s="174"/>
      <c r="Q145" s="174"/>
      <c r="R145" s="174"/>
      <c r="S145" s="174"/>
      <c r="T145" s="174"/>
      <c r="U145" s="174"/>
      <c r="V145" s="174"/>
      <c r="W145" s="174"/>
      <c r="X145" s="174"/>
      <c r="Y145" s="174"/>
      <c r="Z145" s="174"/>
    </row>
    <row r="146" customFormat="false" ht="15.75" hidden="false" customHeight="false" outlineLevel="0" collapsed="false">
      <c r="A146" s="174"/>
      <c r="B146" s="174"/>
      <c r="C146" s="174"/>
      <c r="D146" s="174"/>
      <c r="E146" s="174"/>
      <c r="F146" s="174"/>
      <c r="G146" s="174"/>
      <c r="H146" s="174"/>
      <c r="I146" s="174"/>
      <c r="J146" s="174"/>
      <c r="K146" s="174"/>
      <c r="L146" s="174"/>
      <c r="M146" s="174"/>
      <c r="N146" s="174"/>
      <c r="O146" s="174"/>
      <c r="P146" s="174"/>
      <c r="Q146" s="174"/>
      <c r="R146" s="174"/>
      <c r="S146" s="174"/>
      <c r="T146" s="174"/>
      <c r="U146" s="174"/>
      <c r="V146" s="174"/>
      <c r="W146" s="174"/>
      <c r="X146" s="174"/>
      <c r="Y146" s="174"/>
      <c r="Z146" s="174"/>
    </row>
    <row r="147" customFormat="false" ht="15.75" hidden="false" customHeight="false" outlineLevel="0" collapsed="false">
      <c r="A147" s="174"/>
      <c r="B147" s="174"/>
      <c r="C147" s="174"/>
      <c r="D147" s="174"/>
      <c r="E147" s="174"/>
      <c r="F147" s="174"/>
      <c r="G147" s="174"/>
      <c r="H147" s="174"/>
      <c r="I147" s="174"/>
      <c r="J147" s="174"/>
      <c r="K147" s="174"/>
      <c r="L147" s="174"/>
      <c r="M147" s="174"/>
      <c r="N147" s="174"/>
      <c r="O147" s="174"/>
      <c r="P147" s="174"/>
      <c r="Q147" s="174"/>
      <c r="R147" s="174"/>
      <c r="S147" s="174"/>
      <c r="T147" s="174"/>
      <c r="U147" s="174"/>
      <c r="V147" s="174"/>
      <c r="W147" s="174"/>
      <c r="X147" s="174"/>
      <c r="Y147" s="174"/>
      <c r="Z147" s="174"/>
    </row>
    <row r="148" customFormat="false" ht="15.75" hidden="false" customHeight="false" outlineLevel="0" collapsed="false">
      <c r="A148" s="174"/>
      <c r="B148" s="174"/>
      <c r="C148" s="174"/>
      <c r="D148" s="174"/>
      <c r="E148" s="174"/>
      <c r="F148" s="174"/>
      <c r="G148" s="174"/>
      <c r="H148" s="174"/>
      <c r="I148" s="174"/>
      <c r="J148" s="174"/>
      <c r="K148" s="174"/>
      <c r="L148" s="174"/>
      <c r="M148" s="174"/>
      <c r="N148" s="174"/>
      <c r="O148" s="174"/>
      <c r="P148" s="174"/>
      <c r="Q148" s="174"/>
      <c r="R148" s="174"/>
      <c r="S148" s="174"/>
      <c r="T148" s="174"/>
      <c r="U148" s="174"/>
      <c r="V148" s="174"/>
      <c r="W148" s="174"/>
      <c r="X148" s="174"/>
      <c r="Y148" s="174"/>
      <c r="Z148" s="174"/>
    </row>
    <row r="149" customFormat="false" ht="15.75" hidden="false" customHeight="false" outlineLevel="0" collapsed="false">
      <c r="A149" s="174"/>
      <c r="B149" s="174"/>
      <c r="C149" s="174"/>
      <c r="D149" s="174"/>
      <c r="E149" s="174"/>
      <c r="F149" s="174"/>
      <c r="G149" s="174"/>
      <c r="H149" s="174"/>
      <c r="I149" s="174"/>
      <c r="J149" s="174"/>
      <c r="K149" s="174"/>
      <c r="L149" s="174"/>
      <c r="M149" s="174"/>
      <c r="N149" s="174"/>
      <c r="O149" s="174"/>
      <c r="P149" s="174"/>
      <c r="Q149" s="174"/>
      <c r="R149" s="174"/>
      <c r="S149" s="174"/>
      <c r="T149" s="174"/>
      <c r="U149" s="174"/>
      <c r="V149" s="174"/>
      <c r="W149" s="174"/>
      <c r="X149" s="174"/>
      <c r="Y149" s="174"/>
      <c r="Z149" s="174"/>
    </row>
    <row r="150" customFormat="false" ht="15.75" hidden="false" customHeight="false" outlineLevel="0" collapsed="false">
      <c r="A150" s="174"/>
      <c r="B150" s="174"/>
      <c r="C150" s="174"/>
      <c r="D150" s="174"/>
      <c r="E150" s="174"/>
      <c r="F150" s="174"/>
      <c r="G150" s="174"/>
      <c r="H150" s="174"/>
      <c r="I150" s="174"/>
      <c r="J150" s="174"/>
      <c r="K150" s="174"/>
      <c r="L150" s="174"/>
      <c r="M150" s="174"/>
      <c r="N150" s="174"/>
      <c r="O150" s="174"/>
      <c r="P150" s="174"/>
      <c r="Q150" s="174"/>
      <c r="R150" s="174"/>
      <c r="S150" s="174"/>
      <c r="T150" s="174"/>
      <c r="U150" s="174"/>
      <c r="V150" s="174"/>
      <c r="W150" s="174"/>
      <c r="X150" s="174"/>
      <c r="Y150" s="174"/>
      <c r="Z150" s="174"/>
    </row>
    <row r="151" customFormat="false" ht="15.75" hidden="false" customHeight="false" outlineLevel="0" collapsed="false">
      <c r="A151" s="174"/>
      <c r="B151" s="174"/>
      <c r="C151" s="174"/>
      <c r="D151" s="174"/>
      <c r="E151" s="174"/>
      <c r="F151" s="174"/>
      <c r="G151" s="174"/>
      <c r="H151" s="174"/>
      <c r="I151" s="174"/>
      <c r="J151" s="174"/>
      <c r="K151" s="174"/>
      <c r="L151" s="174"/>
      <c r="M151" s="174"/>
      <c r="N151" s="174"/>
      <c r="O151" s="174"/>
      <c r="P151" s="174"/>
      <c r="Q151" s="174"/>
      <c r="R151" s="174"/>
      <c r="S151" s="174"/>
      <c r="T151" s="174"/>
      <c r="U151" s="174"/>
      <c r="V151" s="174"/>
      <c r="W151" s="174"/>
      <c r="X151" s="174"/>
      <c r="Y151" s="174"/>
      <c r="Z151" s="174"/>
    </row>
    <row r="152" customFormat="false" ht="15.75" hidden="false" customHeight="false" outlineLevel="0" collapsed="false">
      <c r="A152" s="174"/>
      <c r="B152" s="174"/>
      <c r="C152" s="174"/>
      <c r="D152" s="174"/>
      <c r="E152" s="174"/>
      <c r="F152" s="174"/>
      <c r="G152" s="174"/>
      <c r="H152" s="174"/>
      <c r="I152" s="174"/>
      <c r="J152" s="174"/>
      <c r="K152" s="174"/>
      <c r="L152" s="174"/>
      <c r="M152" s="174"/>
      <c r="N152" s="174"/>
      <c r="O152" s="174"/>
      <c r="P152" s="174"/>
      <c r="Q152" s="174"/>
      <c r="R152" s="174"/>
      <c r="S152" s="174"/>
      <c r="T152" s="174"/>
      <c r="U152" s="174"/>
      <c r="V152" s="174"/>
      <c r="W152" s="174"/>
      <c r="X152" s="174"/>
      <c r="Y152" s="174"/>
      <c r="Z152" s="174"/>
    </row>
    <row r="153" customFormat="false" ht="15.75" hidden="false" customHeight="false" outlineLevel="0" collapsed="false">
      <c r="A153" s="174"/>
      <c r="B153" s="174"/>
      <c r="C153" s="174"/>
      <c r="D153" s="174"/>
      <c r="E153" s="174"/>
      <c r="F153" s="174"/>
      <c r="G153" s="174"/>
      <c r="H153" s="174"/>
      <c r="I153" s="174"/>
      <c r="J153" s="174"/>
      <c r="K153" s="174"/>
      <c r="L153" s="174"/>
      <c r="M153" s="174"/>
      <c r="N153" s="174"/>
      <c r="O153" s="174"/>
      <c r="P153" s="174"/>
      <c r="Q153" s="174"/>
      <c r="R153" s="174"/>
      <c r="S153" s="174"/>
      <c r="T153" s="174"/>
      <c r="U153" s="174"/>
      <c r="V153" s="174"/>
      <c r="W153" s="174"/>
      <c r="X153" s="174"/>
      <c r="Y153" s="174"/>
      <c r="Z153" s="174"/>
    </row>
    <row r="154" customFormat="false" ht="15.75" hidden="false" customHeight="false" outlineLevel="0" collapsed="false">
      <c r="A154" s="174"/>
      <c r="B154" s="174"/>
      <c r="C154" s="174"/>
      <c r="D154" s="174"/>
      <c r="E154" s="174"/>
      <c r="F154" s="174"/>
      <c r="G154" s="174"/>
      <c r="H154" s="174"/>
      <c r="I154" s="174"/>
      <c r="J154" s="174"/>
      <c r="K154" s="174"/>
      <c r="L154" s="174"/>
      <c r="M154" s="174"/>
      <c r="N154" s="174"/>
      <c r="O154" s="174"/>
      <c r="P154" s="174"/>
      <c r="Q154" s="174"/>
      <c r="R154" s="174"/>
      <c r="S154" s="174"/>
      <c r="T154" s="174"/>
      <c r="U154" s="174"/>
      <c r="V154" s="174"/>
      <c r="W154" s="174"/>
      <c r="X154" s="174"/>
      <c r="Y154" s="174"/>
      <c r="Z154" s="174"/>
    </row>
    <row r="155" customFormat="false" ht="15.75" hidden="false" customHeight="false" outlineLevel="0" collapsed="false">
      <c r="A155" s="174"/>
      <c r="B155" s="174"/>
      <c r="C155" s="174"/>
      <c r="D155" s="174"/>
      <c r="E155" s="174"/>
      <c r="F155" s="174"/>
      <c r="G155" s="174"/>
      <c r="H155" s="174"/>
      <c r="I155" s="174"/>
      <c r="J155" s="174"/>
      <c r="K155" s="174"/>
      <c r="L155" s="174"/>
      <c r="M155" s="174"/>
      <c r="N155" s="174"/>
      <c r="O155" s="174"/>
      <c r="P155" s="174"/>
      <c r="Q155" s="174"/>
      <c r="R155" s="174"/>
      <c r="S155" s="174"/>
      <c r="T155" s="174"/>
      <c r="U155" s="174"/>
      <c r="V155" s="174"/>
      <c r="W155" s="174"/>
      <c r="X155" s="174"/>
      <c r="Y155" s="174"/>
      <c r="Z155" s="174"/>
    </row>
    <row r="156" customFormat="false" ht="15.75" hidden="false" customHeight="false" outlineLevel="0" collapsed="false">
      <c r="A156" s="174"/>
      <c r="B156" s="174"/>
      <c r="C156" s="174"/>
      <c r="D156" s="174"/>
      <c r="E156" s="174"/>
      <c r="F156" s="174"/>
      <c r="G156" s="174"/>
      <c r="H156" s="174"/>
      <c r="I156" s="174"/>
      <c r="J156" s="174"/>
      <c r="K156" s="174"/>
      <c r="L156" s="174"/>
      <c r="M156" s="174"/>
      <c r="N156" s="174"/>
      <c r="O156" s="174"/>
      <c r="P156" s="174"/>
      <c r="Q156" s="174"/>
      <c r="R156" s="174"/>
      <c r="S156" s="174"/>
      <c r="T156" s="174"/>
      <c r="U156" s="174"/>
      <c r="V156" s="174"/>
      <c r="W156" s="174"/>
      <c r="X156" s="174"/>
      <c r="Y156" s="174"/>
      <c r="Z156" s="174"/>
    </row>
    <row r="157" customFormat="false" ht="15.75" hidden="false" customHeight="false" outlineLevel="0" collapsed="false">
      <c r="A157" s="174"/>
      <c r="B157" s="174"/>
      <c r="C157" s="174"/>
      <c r="D157" s="174"/>
      <c r="E157" s="174"/>
      <c r="F157" s="174"/>
      <c r="G157" s="174"/>
      <c r="H157" s="174"/>
      <c r="I157" s="174"/>
      <c r="J157" s="174"/>
      <c r="K157" s="174"/>
      <c r="L157" s="174"/>
      <c r="M157" s="174"/>
      <c r="N157" s="174"/>
      <c r="O157" s="174"/>
      <c r="P157" s="174"/>
      <c r="Q157" s="174"/>
      <c r="R157" s="174"/>
      <c r="S157" s="174"/>
      <c r="T157" s="174"/>
      <c r="U157" s="174"/>
      <c r="V157" s="174"/>
      <c r="W157" s="174"/>
      <c r="X157" s="174"/>
      <c r="Y157" s="174"/>
      <c r="Z157" s="174"/>
    </row>
    <row r="158" customFormat="false" ht="15.75" hidden="false" customHeight="false" outlineLevel="0" collapsed="false">
      <c r="A158" s="174"/>
      <c r="B158" s="174"/>
      <c r="C158" s="174"/>
      <c r="D158" s="174"/>
      <c r="E158" s="174"/>
      <c r="F158" s="174"/>
      <c r="G158" s="174"/>
      <c r="H158" s="174"/>
      <c r="I158" s="174"/>
      <c r="J158" s="174"/>
      <c r="K158" s="174"/>
      <c r="L158" s="174"/>
      <c r="M158" s="174"/>
      <c r="N158" s="174"/>
      <c r="O158" s="174"/>
      <c r="P158" s="174"/>
      <c r="Q158" s="174"/>
      <c r="R158" s="174"/>
      <c r="S158" s="174"/>
      <c r="T158" s="174"/>
      <c r="U158" s="174"/>
      <c r="V158" s="174"/>
      <c r="W158" s="174"/>
      <c r="X158" s="174"/>
      <c r="Y158" s="174"/>
      <c r="Z158" s="174"/>
    </row>
    <row r="159" customFormat="false" ht="15.75" hidden="false" customHeight="false" outlineLevel="0" collapsed="false">
      <c r="A159" s="174"/>
      <c r="B159" s="174"/>
      <c r="C159" s="174"/>
      <c r="D159" s="174"/>
      <c r="E159" s="174"/>
      <c r="F159" s="174"/>
      <c r="G159" s="174"/>
      <c r="H159" s="174"/>
      <c r="I159" s="174"/>
      <c r="J159" s="174"/>
      <c r="K159" s="174"/>
      <c r="L159" s="174"/>
      <c r="M159" s="174"/>
      <c r="N159" s="174"/>
      <c r="O159" s="174"/>
      <c r="P159" s="174"/>
      <c r="Q159" s="174"/>
      <c r="R159" s="174"/>
      <c r="S159" s="174"/>
      <c r="T159" s="174"/>
      <c r="U159" s="174"/>
      <c r="V159" s="174"/>
      <c r="W159" s="174"/>
      <c r="X159" s="174"/>
      <c r="Y159" s="174"/>
      <c r="Z159" s="174"/>
    </row>
    <row r="160" customFormat="false" ht="15.75" hidden="false" customHeight="false" outlineLevel="0" collapsed="false">
      <c r="A160" s="174"/>
      <c r="B160" s="174"/>
      <c r="C160" s="174"/>
      <c r="D160" s="174"/>
      <c r="E160" s="174"/>
      <c r="F160" s="174"/>
      <c r="G160" s="174"/>
      <c r="H160" s="174"/>
      <c r="I160" s="174"/>
      <c r="J160" s="174"/>
      <c r="K160" s="174"/>
      <c r="L160" s="174"/>
      <c r="M160" s="174"/>
      <c r="N160" s="174"/>
      <c r="O160" s="174"/>
      <c r="P160" s="174"/>
      <c r="Q160" s="174"/>
      <c r="R160" s="174"/>
      <c r="S160" s="174"/>
      <c r="T160" s="174"/>
      <c r="U160" s="174"/>
      <c r="V160" s="174"/>
      <c r="W160" s="174"/>
      <c r="X160" s="174"/>
      <c r="Y160" s="174"/>
      <c r="Z160" s="174"/>
    </row>
    <row r="161" customFormat="false" ht="15.75" hidden="false" customHeight="false" outlineLevel="0" collapsed="false">
      <c r="A161" s="174"/>
      <c r="B161" s="174"/>
      <c r="C161" s="174"/>
      <c r="D161" s="174"/>
      <c r="E161" s="174"/>
      <c r="F161" s="174"/>
      <c r="G161" s="174"/>
      <c r="H161" s="174"/>
      <c r="I161" s="174"/>
      <c r="J161" s="174"/>
      <c r="K161" s="174"/>
      <c r="L161" s="174"/>
      <c r="M161" s="174"/>
      <c r="N161" s="174"/>
      <c r="O161" s="174"/>
      <c r="P161" s="174"/>
      <c r="Q161" s="174"/>
      <c r="R161" s="174"/>
      <c r="S161" s="174"/>
      <c r="T161" s="174"/>
      <c r="U161" s="174"/>
      <c r="V161" s="174"/>
      <c r="W161" s="174"/>
      <c r="X161" s="174"/>
      <c r="Y161" s="174"/>
      <c r="Z161" s="174"/>
    </row>
    <row r="162" customFormat="false" ht="15.75" hidden="false" customHeight="false" outlineLevel="0" collapsed="false">
      <c r="A162" s="174"/>
      <c r="B162" s="174"/>
      <c r="C162" s="174"/>
      <c r="D162" s="174"/>
      <c r="E162" s="174"/>
      <c r="F162" s="174"/>
      <c r="G162" s="174"/>
      <c r="H162" s="174"/>
      <c r="I162" s="174"/>
      <c r="J162" s="174"/>
      <c r="K162" s="174"/>
      <c r="L162" s="174"/>
      <c r="M162" s="174"/>
      <c r="N162" s="174"/>
      <c r="O162" s="174"/>
      <c r="P162" s="174"/>
      <c r="Q162" s="174"/>
      <c r="R162" s="174"/>
      <c r="S162" s="174"/>
      <c r="T162" s="174"/>
      <c r="U162" s="174"/>
      <c r="V162" s="174"/>
      <c r="W162" s="174"/>
      <c r="X162" s="174"/>
      <c r="Y162" s="174"/>
      <c r="Z162" s="174"/>
    </row>
    <row r="163" customFormat="false" ht="15.75" hidden="false" customHeight="false" outlineLevel="0" collapsed="false">
      <c r="A163" s="174"/>
      <c r="B163" s="174"/>
      <c r="C163" s="174"/>
      <c r="D163" s="174"/>
      <c r="E163" s="174"/>
      <c r="F163" s="174"/>
      <c r="G163" s="174"/>
      <c r="H163" s="174"/>
      <c r="I163" s="174"/>
      <c r="J163" s="174"/>
      <c r="K163" s="174"/>
      <c r="L163" s="174"/>
      <c r="M163" s="174"/>
      <c r="N163" s="174"/>
      <c r="O163" s="174"/>
      <c r="P163" s="174"/>
      <c r="Q163" s="174"/>
      <c r="R163" s="174"/>
      <c r="S163" s="174"/>
      <c r="T163" s="174"/>
      <c r="U163" s="174"/>
      <c r="V163" s="174"/>
      <c r="W163" s="174"/>
      <c r="X163" s="174"/>
      <c r="Y163" s="174"/>
      <c r="Z163" s="174"/>
    </row>
    <row r="164" customFormat="false" ht="15.75" hidden="false" customHeight="false" outlineLevel="0" collapsed="false">
      <c r="A164" s="174"/>
      <c r="B164" s="174"/>
      <c r="C164" s="174"/>
      <c r="D164" s="174"/>
      <c r="E164" s="174"/>
      <c r="F164" s="174"/>
      <c r="G164" s="174"/>
      <c r="H164" s="174"/>
      <c r="I164" s="174"/>
      <c r="J164" s="174"/>
      <c r="K164" s="174"/>
      <c r="L164" s="174"/>
      <c r="M164" s="174"/>
      <c r="N164" s="174"/>
      <c r="O164" s="174"/>
      <c r="P164" s="174"/>
      <c r="Q164" s="174"/>
      <c r="R164" s="174"/>
      <c r="S164" s="174"/>
      <c r="T164" s="174"/>
      <c r="U164" s="174"/>
      <c r="V164" s="174"/>
      <c r="W164" s="174"/>
      <c r="X164" s="174"/>
      <c r="Y164" s="174"/>
      <c r="Z164" s="174"/>
    </row>
    <row r="165" customFormat="false" ht="15.75" hidden="false" customHeight="false" outlineLevel="0" collapsed="false">
      <c r="A165" s="174"/>
      <c r="B165" s="174"/>
      <c r="C165" s="174"/>
      <c r="D165" s="174"/>
      <c r="E165" s="174"/>
      <c r="F165" s="174"/>
      <c r="G165" s="174"/>
      <c r="H165" s="174"/>
      <c r="I165" s="174"/>
      <c r="J165" s="174"/>
      <c r="K165" s="174"/>
      <c r="L165" s="174"/>
      <c r="M165" s="174"/>
      <c r="N165" s="174"/>
      <c r="O165" s="174"/>
      <c r="P165" s="174"/>
      <c r="Q165" s="174"/>
      <c r="R165" s="174"/>
      <c r="S165" s="174"/>
      <c r="T165" s="174"/>
      <c r="U165" s="174"/>
      <c r="V165" s="174"/>
      <c r="W165" s="174"/>
      <c r="X165" s="174"/>
      <c r="Y165" s="174"/>
      <c r="Z165" s="174"/>
    </row>
    <row r="166" customFormat="false" ht="15.75" hidden="false" customHeight="false" outlineLevel="0" collapsed="false">
      <c r="A166" s="174"/>
      <c r="B166" s="174"/>
      <c r="C166" s="174"/>
      <c r="D166" s="174"/>
      <c r="E166" s="174"/>
      <c r="F166" s="174"/>
      <c r="G166" s="174"/>
      <c r="H166" s="174"/>
      <c r="I166" s="174"/>
      <c r="J166" s="174"/>
      <c r="K166" s="174"/>
      <c r="L166" s="174"/>
      <c r="M166" s="174"/>
      <c r="N166" s="174"/>
      <c r="O166" s="174"/>
      <c r="P166" s="174"/>
      <c r="Q166" s="174"/>
      <c r="R166" s="174"/>
      <c r="S166" s="174"/>
      <c r="T166" s="174"/>
      <c r="U166" s="174"/>
      <c r="V166" s="174"/>
      <c r="W166" s="174"/>
      <c r="X166" s="174"/>
      <c r="Y166" s="174"/>
      <c r="Z166" s="174"/>
    </row>
    <row r="167" customFormat="false" ht="15.75" hidden="false" customHeight="false" outlineLevel="0" collapsed="false">
      <c r="A167" s="174"/>
      <c r="B167" s="174"/>
      <c r="C167" s="174"/>
      <c r="D167" s="174"/>
      <c r="E167" s="174"/>
      <c r="F167" s="174"/>
      <c r="G167" s="174"/>
      <c r="H167" s="174"/>
      <c r="I167" s="174"/>
      <c r="J167" s="174"/>
      <c r="K167" s="174"/>
      <c r="L167" s="174"/>
      <c r="M167" s="174"/>
      <c r="N167" s="174"/>
      <c r="O167" s="174"/>
      <c r="P167" s="174"/>
      <c r="Q167" s="174"/>
      <c r="R167" s="174"/>
      <c r="S167" s="174"/>
      <c r="T167" s="174"/>
      <c r="U167" s="174"/>
      <c r="V167" s="174"/>
      <c r="W167" s="174"/>
      <c r="X167" s="174"/>
      <c r="Y167" s="174"/>
      <c r="Z167" s="174"/>
    </row>
    <row r="168" customFormat="false" ht="15.75" hidden="false" customHeight="false" outlineLevel="0" collapsed="false">
      <c r="A168" s="174"/>
      <c r="B168" s="174"/>
      <c r="C168" s="174"/>
      <c r="D168" s="174"/>
      <c r="E168" s="174"/>
      <c r="F168" s="174"/>
      <c r="G168" s="174"/>
      <c r="H168" s="174"/>
      <c r="I168" s="174"/>
      <c r="J168" s="174"/>
      <c r="K168" s="174"/>
      <c r="L168" s="174"/>
      <c r="M168" s="174"/>
      <c r="N168" s="174"/>
      <c r="O168" s="174"/>
      <c r="P168" s="174"/>
      <c r="Q168" s="174"/>
      <c r="R168" s="174"/>
      <c r="S168" s="174"/>
      <c r="T168" s="174"/>
      <c r="U168" s="174"/>
      <c r="V168" s="174"/>
      <c r="W168" s="174"/>
      <c r="X168" s="174"/>
      <c r="Y168" s="174"/>
      <c r="Z168" s="174"/>
    </row>
    <row r="169" customFormat="false" ht="15.75" hidden="false" customHeight="false" outlineLevel="0" collapsed="false">
      <c r="A169" s="174"/>
      <c r="B169" s="174"/>
      <c r="C169" s="174"/>
      <c r="D169" s="174"/>
      <c r="E169" s="174"/>
      <c r="F169" s="174"/>
      <c r="G169" s="174"/>
      <c r="H169" s="174"/>
      <c r="I169" s="174"/>
      <c r="J169" s="174"/>
      <c r="K169" s="174"/>
      <c r="L169" s="174"/>
      <c r="M169" s="174"/>
      <c r="N169" s="174"/>
      <c r="O169" s="174"/>
      <c r="P169" s="174"/>
      <c r="Q169" s="174"/>
      <c r="R169" s="174"/>
      <c r="S169" s="174"/>
      <c r="T169" s="174"/>
      <c r="U169" s="174"/>
      <c r="V169" s="174"/>
      <c r="W169" s="174"/>
      <c r="X169" s="174"/>
      <c r="Y169" s="174"/>
      <c r="Z169" s="174"/>
    </row>
    <row r="170" customFormat="false" ht="15.75" hidden="false" customHeight="false" outlineLevel="0" collapsed="false">
      <c r="A170" s="174"/>
      <c r="B170" s="174"/>
      <c r="C170" s="174"/>
      <c r="D170" s="174"/>
      <c r="E170" s="174"/>
      <c r="F170" s="174"/>
      <c r="G170" s="174"/>
      <c r="H170" s="174"/>
      <c r="I170" s="174"/>
      <c r="J170" s="174"/>
      <c r="K170" s="174"/>
      <c r="L170" s="174"/>
      <c r="M170" s="174"/>
      <c r="N170" s="174"/>
      <c r="O170" s="174"/>
      <c r="P170" s="174"/>
      <c r="Q170" s="174"/>
      <c r="R170" s="174"/>
      <c r="S170" s="174"/>
      <c r="T170" s="174"/>
      <c r="U170" s="174"/>
      <c r="V170" s="174"/>
      <c r="W170" s="174"/>
      <c r="X170" s="174"/>
      <c r="Y170" s="174"/>
      <c r="Z170" s="174"/>
    </row>
    <row r="171" customFormat="false" ht="15.75" hidden="false" customHeight="false" outlineLevel="0" collapsed="false">
      <c r="A171" s="174"/>
      <c r="B171" s="174"/>
      <c r="C171" s="174"/>
      <c r="D171" s="174"/>
      <c r="E171" s="174"/>
      <c r="F171" s="174"/>
      <c r="G171" s="174"/>
      <c r="H171" s="174"/>
      <c r="I171" s="174"/>
      <c r="J171" s="174"/>
      <c r="K171" s="174"/>
      <c r="L171" s="174"/>
      <c r="M171" s="174"/>
      <c r="N171" s="174"/>
      <c r="O171" s="174"/>
      <c r="P171" s="174"/>
      <c r="Q171" s="174"/>
      <c r="R171" s="174"/>
      <c r="S171" s="174"/>
      <c r="T171" s="174"/>
      <c r="U171" s="174"/>
      <c r="V171" s="174"/>
      <c r="W171" s="174"/>
      <c r="X171" s="174"/>
      <c r="Y171" s="174"/>
      <c r="Z171" s="174"/>
    </row>
    <row r="172" customFormat="false" ht="15.75" hidden="false" customHeight="false" outlineLevel="0" collapsed="false">
      <c r="A172" s="174"/>
      <c r="B172" s="174"/>
      <c r="C172" s="174"/>
      <c r="D172" s="174"/>
      <c r="E172" s="174"/>
      <c r="F172" s="174"/>
      <c r="G172" s="174"/>
      <c r="H172" s="174"/>
      <c r="I172" s="174"/>
      <c r="J172" s="174"/>
      <c r="K172" s="174"/>
      <c r="L172" s="174"/>
      <c r="M172" s="174"/>
      <c r="N172" s="174"/>
      <c r="O172" s="174"/>
      <c r="P172" s="174"/>
      <c r="Q172" s="174"/>
      <c r="R172" s="174"/>
      <c r="S172" s="174"/>
      <c r="T172" s="174"/>
      <c r="U172" s="174"/>
      <c r="V172" s="174"/>
      <c r="W172" s="174"/>
      <c r="X172" s="174"/>
      <c r="Y172" s="174"/>
      <c r="Z172" s="174"/>
    </row>
    <row r="173" customFormat="false" ht="15.75" hidden="false" customHeight="false" outlineLevel="0" collapsed="false">
      <c r="A173" s="174"/>
      <c r="B173" s="174"/>
      <c r="C173" s="174"/>
      <c r="D173" s="174"/>
      <c r="E173" s="174"/>
      <c r="F173" s="174"/>
      <c r="G173" s="174"/>
      <c r="H173" s="174"/>
      <c r="I173" s="174"/>
      <c r="J173" s="174"/>
      <c r="K173" s="174"/>
      <c r="L173" s="174"/>
      <c r="M173" s="174"/>
      <c r="N173" s="174"/>
      <c r="O173" s="174"/>
      <c r="P173" s="174"/>
      <c r="Q173" s="174"/>
      <c r="R173" s="174"/>
      <c r="S173" s="174"/>
      <c r="T173" s="174"/>
      <c r="U173" s="174"/>
      <c r="V173" s="174"/>
      <c r="W173" s="174"/>
      <c r="X173" s="174"/>
      <c r="Y173" s="174"/>
      <c r="Z173" s="174"/>
    </row>
    <row r="174" customFormat="false" ht="15.75" hidden="false" customHeight="false" outlineLevel="0" collapsed="false">
      <c r="A174" s="174"/>
      <c r="B174" s="174"/>
      <c r="C174" s="174"/>
      <c r="D174" s="174"/>
      <c r="E174" s="174"/>
      <c r="F174" s="174"/>
      <c r="G174" s="174"/>
      <c r="H174" s="174"/>
      <c r="I174" s="174"/>
      <c r="J174" s="174"/>
      <c r="K174" s="174"/>
      <c r="L174" s="174"/>
      <c r="M174" s="174"/>
      <c r="N174" s="174"/>
      <c r="O174" s="174"/>
      <c r="P174" s="174"/>
      <c r="Q174" s="174"/>
      <c r="R174" s="174"/>
      <c r="S174" s="174"/>
      <c r="T174" s="174"/>
      <c r="U174" s="174"/>
      <c r="V174" s="174"/>
      <c r="W174" s="174"/>
      <c r="X174" s="174"/>
      <c r="Y174" s="174"/>
      <c r="Z174" s="174"/>
    </row>
    <row r="175" customFormat="false" ht="15.75" hidden="false" customHeight="false" outlineLevel="0" collapsed="false">
      <c r="A175" s="174"/>
      <c r="B175" s="174"/>
      <c r="C175" s="174"/>
      <c r="D175" s="174"/>
      <c r="E175" s="174"/>
      <c r="F175" s="174"/>
      <c r="G175" s="174"/>
      <c r="H175" s="174"/>
      <c r="I175" s="174"/>
      <c r="J175" s="174"/>
      <c r="K175" s="174"/>
      <c r="L175" s="174"/>
      <c r="M175" s="174"/>
      <c r="N175" s="174"/>
      <c r="O175" s="174"/>
      <c r="P175" s="174"/>
      <c r="Q175" s="174"/>
      <c r="R175" s="174"/>
      <c r="S175" s="174"/>
      <c r="T175" s="174"/>
      <c r="U175" s="174"/>
      <c r="V175" s="174"/>
      <c r="W175" s="174"/>
      <c r="X175" s="174"/>
      <c r="Y175" s="174"/>
      <c r="Z175" s="174"/>
    </row>
    <row r="176" customFormat="false" ht="15.75" hidden="false" customHeight="false" outlineLevel="0" collapsed="false">
      <c r="A176" s="174"/>
      <c r="B176" s="174"/>
      <c r="C176" s="174"/>
      <c r="D176" s="174"/>
      <c r="E176" s="174"/>
      <c r="F176" s="174"/>
      <c r="G176" s="174"/>
      <c r="H176" s="174"/>
      <c r="I176" s="174"/>
      <c r="J176" s="174"/>
      <c r="K176" s="174"/>
      <c r="L176" s="174"/>
      <c r="M176" s="174"/>
      <c r="N176" s="174"/>
      <c r="O176" s="174"/>
      <c r="P176" s="174"/>
      <c r="Q176" s="174"/>
      <c r="R176" s="174"/>
      <c r="S176" s="174"/>
      <c r="T176" s="174"/>
      <c r="U176" s="174"/>
      <c r="V176" s="174"/>
      <c r="W176" s="174"/>
      <c r="X176" s="174"/>
      <c r="Y176" s="174"/>
      <c r="Z176" s="174"/>
    </row>
    <row r="177" customFormat="false" ht="15.75" hidden="false" customHeight="false" outlineLevel="0" collapsed="false">
      <c r="A177" s="174"/>
      <c r="B177" s="174"/>
      <c r="C177" s="174"/>
      <c r="D177" s="174"/>
      <c r="E177" s="174"/>
      <c r="F177" s="174"/>
      <c r="G177" s="174"/>
      <c r="H177" s="174"/>
      <c r="I177" s="174"/>
      <c r="J177" s="174"/>
      <c r="K177" s="174"/>
      <c r="L177" s="174"/>
      <c r="M177" s="174"/>
      <c r="N177" s="174"/>
      <c r="O177" s="174"/>
      <c r="P177" s="174"/>
      <c r="Q177" s="174"/>
      <c r="R177" s="174"/>
      <c r="S177" s="174"/>
      <c r="T177" s="174"/>
      <c r="U177" s="174"/>
      <c r="V177" s="174"/>
      <c r="W177" s="174"/>
      <c r="X177" s="174"/>
      <c r="Y177" s="174"/>
      <c r="Z177" s="174"/>
    </row>
    <row r="178" customFormat="false" ht="15.75" hidden="false" customHeight="false" outlineLevel="0" collapsed="false">
      <c r="A178" s="174"/>
      <c r="B178" s="174"/>
      <c r="C178" s="174"/>
      <c r="D178" s="174"/>
      <c r="E178" s="174"/>
      <c r="F178" s="174"/>
      <c r="G178" s="174"/>
      <c r="H178" s="174"/>
      <c r="I178" s="174"/>
      <c r="J178" s="174"/>
      <c r="K178" s="174"/>
      <c r="L178" s="174"/>
      <c r="M178" s="174"/>
      <c r="N178" s="174"/>
      <c r="O178" s="174"/>
      <c r="P178" s="174"/>
      <c r="Q178" s="174"/>
      <c r="R178" s="174"/>
      <c r="S178" s="174"/>
      <c r="T178" s="174"/>
      <c r="U178" s="174"/>
      <c r="V178" s="174"/>
      <c r="W178" s="174"/>
      <c r="X178" s="174"/>
      <c r="Y178" s="174"/>
      <c r="Z178" s="174"/>
    </row>
    <row r="179" customFormat="false" ht="15.75" hidden="false" customHeight="false" outlineLevel="0" collapsed="false">
      <c r="A179" s="174"/>
      <c r="B179" s="174"/>
      <c r="C179" s="174"/>
      <c r="D179" s="174"/>
      <c r="E179" s="174"/>
      <c r="F179" s="174"/>
      <c r="G179" s="174"/>
      <c r="H179" s="174"/>
      <c r="I179" s="174"/>
      <c r="J179" s="174"/>
      <c r="K179" s="174"/>
      <c r="L179" s="174"/>
      <c r="M179" s="174"/>
      <c r="N179" s="174"/>
      <c r="O179" s="174"/>
      <c r="P179" s="174"/>
      <c r="Q179" s="174"/>
      <c r="R179" s="174"/>
      <c r="S179" s="174"/>
      <c r="T179" s="174"/>
      <c r="U179" s="174"/>
      <c r="V179" s="174"/>
      <c r="W179" s="174"/>
      <c r="X179" s="174"/>
      <c r="Y179" s="174"/>
      <c r="Z179" s="174"/>
    </row>
    <row r="180" customFormat="false" ht="15.75" hidden="false" customHeight="false" outlineLevel="0" collapsed="false">
      <c r="A180" s="174"/>
      <c r="B180" s="174"/>
      <c r="C180" s="174"/>
      <c r="D180" s="174"/>
      <c r="E180" s="174"/>
      <c r="F180" s="174"/>
      <c r="G180" s="174"/>
      <c r="H180" s="174"/>
      <c r="I180" s="174"/>
      <c r="J180" s="174"/>
      <c r="K180" s="174"/>
      <c r="L180" s="174"/>
      <c r="M180" s="174"/>
      <c r="N180" s="174"/>
      <c r="O180" s="174"/>
      <c r="P180" s="174"/>
      <c r="Q180" s="174"/>
      <c r="R180" s="174"/>
      <c r="S180" s="174"/>
      <c r="T180" s="174"/>
      <c r="U180" s="174"/>
      <c r="V180" s="174"/>
      <c r="W180" s="174"/>
      <c r="X180" s="174"/>
      <c r="Y180" s="174"/>
      <c r="Z180" s="174"/>
    </row>
    <row r="181" customFormat="false" ht="15.75" hidden="false" customHeight="false" outlineLevel="0" collapsed="false">
      <c r="A181" s="174"/>
      <c r="B181" s="174"/>
      <c r="C181" s="174"/>
      <c r="D181" s="174"/>
      <c r="E181" s="174"/>
      <c r="F181" s="174"/>
      <c r="G181" s="174"/>
      <c r="H181" s="174"/>
      <c r="I181" s="174"/>
      <c r="J181" s="174"/>
      <c r="K181" s="174"/>
      <c r="L181" s="174"/>
      <c r="M181" s="174"/>
      <c r="N181" s="174"/>
      <c r="O181" s="174"/>
      <c r="P181" s="174"/>
      <c r="Q181" s="174"/>
      <c r="R181" s="174"/>
      <c r="S181" s="174"/>
      <c r="T181" s="174"/>
      <c r="U181" s="174"/>
      <c r="V181" s="174"/>
      <c r="W181" s="174"/>
      <c r="X181" s="174"/>
      <c r="Y181" s="174"/>
      <c r="Z181" s="174"/>
    </row>
    <row r="182" customFormat="false" ht="15.75" hidden="false" customHeight="false" outlineLevel="0" collapsed="false">
      <c r="A182" s="174"/>
      <c r="B182" s="174"/>
      <c r="C182" s="174"/>
      <c r="D182" s="174"/>
      <c r="E182" s="174"/>
      <c r="F182" s="174"/>
      <c r="G182" s="174"/>
      <c r="H182" s="174"/>
      <c r="I182" s="174"/>
      <c r="J182" s="174"/>
      <c r="K182" s="174"/>
      <c r="L182" s="174"/>
      <c r="M182" s="174"/>
      <c r="N182" s="174"/>
      <c r="O182" s="174"/>
      <c r="P182" s="174"/>
      <c r="Q182" s="174"/>
      <c r="R182" s="174"/>
      <c r="S182" s="174"/>
      <c r="T182" s="174"/>
      <c r="U182" s="174"/>
      <c r="V182" s="174"/>
      <c r="W182" s="174"/>
      <c r="X182" s="174"/>
      <c r="Y182" s="174"/>
      <c r="Z182" s="174"/>
    </row>
    <row r="183" customFormat="false" ht="15.75" hidden="false" customHeight="false" outlineLevel="0" collapsed="false">
      <c r="A183" s="174"/>
      <c r="B183" s="174"/>
      <c r="C183" s="174"/>
      <c r="D183" s="174"/>
      <c r="E183" s="174"/>
      <c r="F183" s="174"/>
      <c r="G183" s="174"/>
      <c r="H183" s="174"/>
      <c r="I183" s="174"/>
      <c r="J183" s="174"/>
      <c r="K183" s="174"/>
      <c r="L183" s="174"/>
      <c r="M183" s="174"/>
      <c r="N183" s="174"/>
      <c r="O183" s="174"/>
      <c r="P183" s="174"/>
      <c r="Q183" s="174"/>
      <c r="R183" s="174"/>
      <c r="S183" s="174"/>
      <c r="T183" s="174"/>
      <c r="U183" s="174"/>
      <c r="V183" s="174"/>
      <c r="W183" s="174"/>
      <c r="X183" s="174"/>
      <c r="Y183" s="174"/>
      <c r="Z183" s="174"/>
    </row>
    <row r="184" customFormat="false" ht="15.75" hidden="false" customHeight="false" outlineLevel="0" collapsed="false">
      <c r="A184" s="174"/>
      <c r="B184" s="174"/>
      <c r="C184" s="174"/>
      <c r="D184" s="174"/>
      <c r="E184" s="174"/>
      <c r="F184" s="174"/>
      <c r="G184" s="174"/>
      <c r="H184" s="174"/>
      <c r="I184" s="174"/>
      <c r="J184" s="174"/>
      <c r="K184" s="174"/>
      <c r="L184" s="174"/>
      <c r="M184" s="174"/>
      <c r="N184" s="174"/>
      <c r="O184" s="174"/>
      <c r="P184" s="174"/>
      <c r="Q184" s="174"/>
      <c r="R184" s="174"/>
      <c r="S184" s="174"/>
      <c r="T184" s="174"/>
      <c r="U184" s="174"/>
      <c r="V184" s="174"/>
      <c r="W184" s="174"/>
      <c r="X184" s="174"/>
      <c r="Y184" s="174"/>
      <c r="Z184" s="174"/>
    </row>
    <row r="185" customFormat="false" ht="15.75" hidden="false" customHeight="false" outlineLevel="0" collapsed="false">
      <c r="A185" s="174"/>
      <c r="B185" s="174"/>
      <c r="C185" s="174"/>
      <c r="D185" s="174"/>
      <c r="E185" s="174"/>
      <c r="F185" s="174"/>
      <c r="G185" s="174"/>
      <c r="H185" s="174"/>
      <c r="I185" s="174"/>
      <c r="J185" s="174"/>
      <c r="K185" s="174"/>
      <c r="L185" s="174"/>
      <c r="M185" s="174"/>
      <c r="N185" s="174"/>
      <c r="O185" s="174"/>
      <c r="P185" s="174"/>
      <c r="Q185" s="174"/>
      <c r="R185" s="174"/>
      <c r="S185" s="174"/>
      <c r="T185" s="174"/>
      <c r="U185" s="174"/>
      <c r="V185" s="174"/>
      <c r="W185" s="174"/>
      <c r="X185" s="174"/>
      <c r="Y185" s="174"/>
      <c r="Z185" s="174"/>
    </row>
    <row r="186" customFormat="false" ht="15.75" hidden="false" customHeight="false" outlineLevel="0" collapsed="false">
      <c r="A186" s="174"/>
      <c r="B186" s="174"/>
      <c r="C186" s="174"/>
      <c r="D186" s="174"/>
      <c r="E186" s="174"/>
      <c r="F186" s="174"/>
      <c r="G186" s="174"/>
      <c r="H186" s="174"/>
      <c r="I186" s="174"/>
      <c r="J186" s="174"/>
      <c r="K186" s="174"/>
      <c r="L186" s="174"/>
      <c r="M186" s="174"/>
      <c r="N186" s="174"/>
      <c r="O186" s="174"/>
      <c r="P186" s="174"/>
      <c r="Q186" s="174"/>
      <c r="R186" s="174"/>
      <c r="S186" s="174"/>
      <c r="T186" s="174"/>
      <c r="U186" s="174"/>
      <c r="V186" s="174"/>
      <c r="W186" s="174"/>
      <c r="X186" s="174"/>
      <c r="Y186" s="174"/>
      <c r="Z186" s="174"/>
    </row>
    <row r="187" customFormat="false" ht="15.75" hidden="false" customHeight="false" outlineLevel="0" collapsed="false">
      <c r="A187" s="174"/>
      <c r="B187" s="174"/>
      <c r="C187" s="174"/>
      <c r="D187" s="174"/>
      <c r="E187" s="174"/>
      <c r="F187" s="174"/>
      <c r="G187" s="174"/>
      <c r="H187" s="174"/>
      <c r="I187" s="174"/>
      <c r="J187" s="174"/>
      <c r="K187" s="174"/>
      <c r="L187" s="174"/>
      <c r="M187" s="174"/>
      <c r="N187" s="174"/>
      <c r="O187" s="174"/>
      <c r="P187" s="174"/>
      <c r="Q187" s="174"/>
      <c r="R187" s="174"/>
      <c r="S187" s="174"/>
      <c r="T187" s="174"/>
      <c r="U187" s="174"/>
      <c r="V187" s="174"/>
      <c r="W187" s="174"/>
      <c r="X187" s="174"/>
      <c r="Y187" s="174"/>
      <c r="Z187" s="174"/>
    </row>
    <row r="188" customFormat="false" ht="15.75" hidden="false" customHeight="false" outlineLevel="0" collapsed="false">
      <c r="A188" s="174"/>
      <c r="B188" s="174"/>
      <c r="C188" s="174"/>
      <c r="D188" s="174"/>
      <c r="E188" s="174"/>
      <c r="F188" s="174"/>
      <c r="G188" s="174"/>
      <c r="H188" s="174"/>
      <c r="I188" s="174"/>
      <c r="J188" s="174"/>
      <c r="K188" s="174"/>
      <c r="L188" s="174"/>
      <c r="M188" s="174"/>
      <c r="N188" s="174"/>
      <c r="O188" s="174"/>
      <c r="P188" s="174"/>
      <c r="Q188" s="174"/>
      <c r="R188" s="174"/>
      <c r="S188" s="174"/>
      <c r="T188" s="174"/>
      <c r="U188" s="174"/>
      <c r="V188" s="174"/>
      <c r="W188" s="174"/>
      <c r="X188" s="174"/>
      <c r="Y188" s="174"/>
      <c r="Z188" s="174"/>
    </row>
    <row r="189" customFormat="false" ht="15.75" hidden="false" customHeight="false" outlineLevel="0" collapsed="false">
      <c r="A189" s="174"/>
      <c r="B189" s="174"/>
      <c r="C189" s="174"/>
      <c r="D189" s="174"/>
      <c r="E189" s="174"/>
      <c r="F189" s="174"/>
      <c r="G189" s="174"/>
      <c r="H189" s="174"/>
      <c r="I189" s="174"/>
      <c r="J189" s="174"/>
      <c r="K189" s="174"/>
      <c r="L189" s="174"/>
      <c r="M189" s="174"/>
      <c r="N189" s="174"/>
      <c r="O189" s="174"/>
      <c r="P189" s="174"/>
      <c r="Q189" s="174"/>
      <c r="R189" s="174"/>
      <c r="S189" s="174"/>
      <c r="T189" s="174"/>
      <c r="U189" s="174"/>
      <c r="V189" s="174"/>
      <c r="W189" s="174"/>
      <c r="X189" s="174"/>
      <c r="Y189" s="174"/>
      <c r="Z189" s="174"/>
    </row>
    <row r="190" customFormat="false" ht="15.75" hidden="false" customHeight="false" outlineLevel="0" collapsed="false">
      <c r="A190" s="174"/>
      <c r="B190" s="174"/>
      <c r="C190" s="174"/>
      <c r="D190" s="174"/>
      <c r="E190" s="174"/>
      <c r="F190" s="174"/>
      <c r="G190" s="174"/>
      <c r="H190" s="174"/>
      <c r="I190" s="174"/>
      <c r="J190" s="174"/>
      <c r="K190" s="174"/>
      <c r="L190" s="174"/>
      <c r="M190" s="174"/>
      <c r="N190" s="174"/>
      <c r="O190" s="174"/>
      <c r="P190" s="174"/>
      <c r="Q190" s="174"/>
      <c r="R190" s="174"/>
      <c r="S190" s="174"/>
      <c r="T190" s="174"/>
      <c r="U190" s="174"/>
      <c r="V190" s="174"/>
      <c r="W190" s="174"/>
      <c r="X190" s="174"/>
      <c r="Y190" s="174"/>
      <c r="Z190" s="174"/>
    </row>
    <row r="191" customFormat="false" ht="15.75" hidden="false" customHeight="false" outlineLevel="0" collapsed="false">
      <c r="A191" s="174"/>
      <c r="B191" s="174"/>
      <c r="C191" s="174"/>
      <c r="D191" s="174"/>
      <c r="E191" s="174"/>
      <c r="F191" s="174"/>
      <c r="G191" s="174"/>
      <c r="H191" s="174"/>
      <c r="I191" s="174"/>
      <c r="J191" s="174"/>
      <c r="K191" s="174"/>
      <c r="L191" s="174"/>
      <c r="M191" s="174"/>
      <c r="N191" s="174"/>
      <c r="O191" s="174"/>
      <c r="P191" s="174"/>
      <c r="Q191" s="174"/>
      <c r="R191" s="174"/>
      <c r="S191" s="174"/>
      <c r="T191" s="174"/>
      <c r="U191" s="174"/>
      <c r="V191" s="174"/>
      <c r="W191" s="174"/>
      <c r="X191" s="174"/>
      <c r="Y191" s="174"/>
      <c r="Z191" s="174"/>
    </row>
    <row r="192" customFormat="false" ht="15.75" hidden="false" customHeight="false" outlineLevel="0" collapsed="false">
      <c r="A192" s="174"/>
      <c r="B192" s="174"/>
      <c r="C192" s="174"/>
      <c r="D192" s="174"/>
      <c r="E192" s="174"/>
      <c r="F192" s="174"/>
      <c r="G192" s="174"/>
      <c r="H192" s="174"/>
      <c r="I192" s="174"/>
      <c r="J192" s="174"/>
      <c r="K192" s="174"/>
      <c r="L192" s="174"/>
      <c r="M192" s="174"/>
      <c r="N192" s="174"/>
      <c r="O192" s="174"/>
      <c r="P192" s="174"/>
      <c r="Q192" s="174"/>
      <c r="R192" s="174"/>
      <c r="S192" s="174"/>
      <c r="T192" s="174"/>
      <c r="U192" s="174"/>
      <c r="V192" s="174"/>
      <c r="W192" s="174"/>
      <c r="X192" s="174"/>
      <c r="Y192" s="174"/>
      <c r="Z192" s="174"/>
    </row>
    <row r="193" customFormat="false" ht="15.75" hidden="false" customHeight="false" outlineLevel="0" collapsed="false">
      <c r="A193" s="174"/>
      <c r="B193" s="174"/>
      <c r="C193" s="174"/>
      <c r="D193" s="174"/>
      <c r="E193" s="174"/>
      <c r="F193" s="174"/>
      <c r="G193" s="174"/>
      <c r="H193" s="174"/>
      <c r="I193" s="174"/>
      <c r="J193" s="174"/>
      <c r="K193" s="174"/>
      <c r="L193" s="174"/>
      <c r="M193" s="174"/>
      <c r="N193" s="174"/>
      <c r="O193" s="174"/>
      <c r="P193" s="174"/>
      <c r="Q193" s="174"/>
      <c r="R193" s="174"/>
      <c r="S193" s="174"/>
      <c r="T193" s="174"/>
      <c r="U193" s="174"/>
      <c r="V193" s="174"/>
      <c r="W193" s="174"/>
      <c r="X193" s="174"/>
      <c r="Y193" s="174"/>
      <c r="Z193" s="174"/>
    </row>
    <row r="194" customFormat="false" ht="15.75" hidden="false" customHeight="false" outlineLevel="0" collapsed="false">
      <c r="A194" s="174"/>
      <c r="B194" s="174"/>
      <c r="C194" s="174"/>
      <c r="D194" s="174"/>
      <c r="E194" s="174"/>
      <c r="F194" s="174"/>
      <c r="G194" s="174"/>
      <c r="H194" s="174"/>
      <c r="I194" s="174"/>
      <c r="J194" s="174"/>
      <c r="K194" s="174"/>
      <c r="L194" s="174"/>
      <c r="M194" s="174"/>
      <c r="N194" s="174"/>
      <c r="O194" s="174"/>
      <c r="P194" s="174"/>
      <c r="Q194" s="174"/>
      <c r="R194" s="174"/>
      <c r="S194" s="174"/>
      <c r="T194" s="174"/>
      <c r="U194" s="174"/>
      <c r="V194" s="174"/>
      <c r="W194" s="174"/>
      <c r="X194" s="174"/>
      <c r="Y194" s="174"/>
      <c r="Z194" s="174"/>
    </row>
    <row r="195" customFormat="false" ht="15.75" hidden="false" customHeight="false" outlineLevel="0" collapsed="false">
      <c r="A195" s="174"/>
      <c r="B195" s="174"/>
      <c r="C195" s="174"/>
      <c r="D195" s="174"/>
      <c r="E195" s="174"/>
      <c r="F195" s="174"/>
      <c r="G195" s="174"/>
      <c r="H195" s="174"/>
      <c r="I195" s="174"/>
      <c r="J195" s="174"/>
      <c r="K195" s="174"/>
      <c r="L195" s="174"/>
      <c r="M195" s="174"/>
      <c r="N195" s="174"/>
      <c r="O195" s="174"/>
      <c r="P195" s="174"/>
      <c r="Q195" s="174"/>
      <c r="R195" s="174"/>
      <c r="S195" s="174"/>
      <c r="T195" s="174"/>
      <c r="U195" s="174"/>
      <c r="V195" s="174"/>
      <c r="W195" s="174"/>
      <c r="X195" s="174"/>
      <c r="Y195" s="174"/>
      <c r="Z195" s="174"/>
    </row>
    <row r="196" customFormat="false" ht="15.75" hidden="false" customHeight="false" outlineLevel="0" collapsed="false">
      <c r="A196" s="174"/>
      <c r="B196" s="174"/>
      <c r="C196" s="174"/>
      <c r="D196" s="174"/>
      <c r="E196" s="174"/>
      <c r="F196" s="174"/>
      <c r="G196" s="174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</row>
    <row r="197" customFormat="false" ht="15.75" hidden="false" customHeight="false" outlineLevel="0" collapsed="false">
      <c r="A197" s="174"/>
      <c r="B197" s="174"/>
      <c r="C197" s="174"/>
      <c r="D197" s="174"/>
      <c r="E197" s="174"/>
      <c r="F197" s="174"/>
      <c r="G197" s="174"/>
      <c r="H197" s="174"/>
      <c r="I197" s="174"/>
      <c r="J197" s="174"/>
      <c r="K197" s="174"/>
      <c r="L197" s="174"/>
      <c r="M197" s="174"/>
      <c r="N197" s="174"/>
      <c r="O197" s="174"/>
      <c r="P197" s="174"/>
      <c r="Q197" s="174"/>
      <c r="R197" s="174"/>
      <c r="S197" s="174"/>
      <c r="T197" s="174"/>
      <c r="U197" s="174"/>
      <c r="V197" s="174"/>
      <c r="W197" s="174"/>
      <c r="X197" s="174"/>
      <c r="Y197" s="174"/>
      <c r="Z197" s="174"/>
    </row>
    <row r="198" customFormat="false" ht="15.75" hidden="false" customHeight="false" outlineLevel="0" collapsed="false">
      <c r="A198" s="174"/>
      <c r="B198" s="174"/>
      <c r="C198" s="174"/>
      <c r="D198" s="174"/>
      <c r="E198" s="174"/>
      <c r="F198" s="174"/>
      <c r="G198" s="174"/>
      <c r="H198" s="174"/>
      <c r="I198" s="174"/>
      <c r="J198" s="174"/>
      <c r="K198" s="174"/>
      <c r="L198" s="174"/>
      <c r="M198" s="174"/>
      <c r="N198" s="174"/>
      <c r="O198" s="174"/>
      <c r="P198" s="174"/>
      <c r="Q198" s="174"/>
      <c r="R198" s="174"/>
      <c r="S198" s="174"/>
      <c r="T198" s="174"/>
      <c r="U198" s="174"/>
      <c r="V198" s="174"/>
      <c r="W198" s="174"/>
      <c r="X198" s="174"/>
      <c r="Y198" s="174"/>
      <c r="Z198" s="174"/>
    </row>
    <row r="199" customFormat="false" ht="15.75" hidden="false" customHeight="false" outlineLevel="0" collapsed="false">
      <c r="A199" s="174"/>
      <c r="B199" s="174"/>
      <c r="C199" s="174"/>
      <c r="D199" s="174"/>
      <c r="E199" s="174"/>
      <c r="F199" s="174"/>
      <c r="G199" s="174"/>
      <c r="H199" s="174"/>
      <c r="I199" s="174"/>
      <c r="J199" s="174"/>
      <c r="K199" s="174"/>
      <c r="L199" s="174"/>
      <c r="M199" s="174"/>
      <c r="N199" s="174"/>
      <c r="O199" s="174"/>
      <c r="P199" s="174"/>
      <c r="Q199" s="174"/>
      <c r="R199" s="174"/>
      <c r="S199" s="174"/>
      <c r="T199" s="174"/>
      <c r="U199" s="174"/>
      <c r="V199" s="174"/>
      <c r="W199" s="174"/>
      <c r="X199" s="174"/>
      <c r="Y199" s="174"/>
      <c r="Z199" s="174"/>
    </row>
    <row r="200" customFormat="false" ht="15.75" hidden="false" customHeight="false" outlineLevel="0" collapsed="false">
      <c r="A200" s="174"/>
      <c r="B200" s="174"/>
      <c r="C200" s="174"/>
      <c r="D200" s="174"/>
      <c r="E200" s="174"/>
      <c r="F200" s="174"/>
      <c r="G200" s="174"/>
      <c r="H200" s="174"/>
      <c r="I200" s="174"/>
      <c r="J200" s="174"/>
      <c r="K200" s="174"/>
      <c r="L200" s="174"/>
      <c r="M200" s="174"/>
      <c r="N200" s="174"/>
      <c r="O200" s="174"/>
      <c r="P200" s="174"/>
      <c r="Q200" s="174"/>
      <c r="R200" s="174"/>
      <c r="S200" s="174"/>
      <c r="T200" s="174"/>
      <c r="U200" s="174"/>
      <c r="V200" s="174"/>
      <c r="W200" s="174"/>
      <c r="X200" s="174"/>
      <c r="Y200" s="174"/>
      <c r="Z200" s="174"/>
    </row>
    <row r="201" customFormat="false" ht="15.75" hidden="false" customHeight="false" outlineLevel="0" collapsed="false">
      <c r="A201" s="174"/>
      <c r="B201" s="174"/>
      <c r="C201" s="174"/>
      <c r="D201" s="174"/>
      <c r="E201" s="174"/>
      <c r="F201" s="174"/>
      <c r="G201" s="174"/>
      <c r="H201" s="174"/>
      <c r="I201" s="174"/>
      <c r="J201" s="174"/>
      <c r="K201" s="174"/>
      <c r="L201" s="174"/>
      <c r="M201" s="174"/>
      <c r="N201" s="174"/>
      <c r="O201" s="174"/>
      <c r="P201" s="174"/>
      <c r="Q201" s="174"/>
      <c r="R201" s="174"/>
      <c r="S201" s="174"/>
      <c r="T201" s="174"/>
      <c r="U201" s="174"/>
      <c r="V201" s="174"/>
      <c r="W201" s="174"/>
      <c r="X201" s="174"/>
      <c r="Y201" s="174"/>
      <c r="Z201" s="174"/>
    </row>
    <row r="202" customFormat="false" ht="15.75" hidden="false" customHeight="false" outlineLevel="0" collapsed="false">
      <c r="A202" s="174"/>
      <c r="B202" s="174"/>
      <c r="C202" s="174"/>
      <c r="D202" s="174"/>
      <c r="E202" s="174"/>
      <c r="F202" s="174"/>
      <c r="G202" s="174"/>
      <c r="H202" s="174"/>
      <c r="I202" s="174"/>
      <c r="J202" s="174"/>
      <c r="K202" s="174"/>
      <c r="L202" s="174"/>
      <c r="M202" s="174"/>
      <c r="N202" s="174"/>
      <c r="O202" s="174"/>
      <c r="P202" s="174"/>
      <c r="Q202" s="174"/>
      <c r="R202" s="174"/>
      <c r="S202" s="174"/>
      <c r="T202" s="174"/>
      <c r="U202" s="174"/>
      <c r="V202" s="174"/>
      <c r="W202" s="174"/>
      <c r="X202" s="174"/>
      <c r="Y202" s="174"/>
      <c r="Z202" s="174"/>
    </row>
    <row r="203" customFormat="false" ht="15.75" hidden="false" customHeight="false" outlineLevel="0" collapsed="false">
      <c r="A203" s="174"/>
      <c r="B203" s="174"/>
      <c r="C203" s="174"/>
      <c r="D203" s="174"/>
      <c r="E203" s="174"/>
      <c r="F203" s="174"/>
      <c r="G203" s="174"/>
      <c r="H203" s="174"/>
      <c r="I203" s="174"/>
      <c r="J203" s="174"/>
      <c r="K203" s="174"/>
      <c r="L203" s="174"/>
      <c r="M203" s="174"/>
      <c r="N203" s="174"/>
      <c r="O203" s="174"/>
      <c r="P203" s="174"/>
      <c r="Q203" s="174"/>
      <c r="R203" s="174"/>
      <c r="S203" s="174"/>
      <c r="T203" s="174"/>
      <c r="U203" s="174"/>
      <c r="V203" s="174"/>
      <c r="W203" s="174"/>
      <c r="X203" s="174"/>
      <c r="Y203" s="174"/>
      <c r="Z203" s="174"/>
    </row>
    <row r="204" customFormat="false" ht="15.75" hidden="false" customHeight="false" outlineLevel="0" collapsed="false">
      <c r="A204" s="174"/>
      <c r="B204" s="174"/>
      <c r="C204" s="174"/>
      <c r="D204" s="174"/>
      <c r="E204" s="174"/>
      <c r="F204" s="174"/>
      <c r="G204" s="174"/>
      <c r="H204" s="174"/>
      <c r="I204" s="174"/>
      <c r="J204" s="174"/>
      <c r="K204" s="174"/>
      <c r="L204" s="174"/>
      <c r="M204" s="174"/>
      <c r="N204" s="174"/>
      <c r="O204" s="174"/>
      <c r="P204" s="174"/>
      <c r="Q204" s="174"/>
      <c r="R204" s="174"/>
      <c r="S204" s="174"/>
      <c r="T204" s="174"/>
      <c r="U204" s="174"/>
      <c r="V204" s="174"/>
      <c r="W204" s="174"/>
      <c r="X204" s="174"/>
      <c r="Y204" s="174"/>
      <c r="Z204" s="174"/>
    </row>
    <row r="205" customFormat="false" ht="15.75" hidden="false" customHeight="false" outlineLevel="0" collapsed="false">
      <c r="A205" s="174"/>
      <c r="B205" s="174"/>
      <c r="C205" s="174"/>
      <c r="D205" s="174"/>
      <c r="E205" s="174"/>
      <c r="F205" s="174"/>
      <c r="G205" s="174"/>
      <c r="H205" s="174"/>
      <c r="I205" s="174"/>
      <c r="J205" s="174"/>
      <c r="K205" s="174"/>
      <c r="L205" s="174"/>
      <c r="M205" s="174"/>
      <c r="N205" s="174"/>
      <c r="O205" s="174"/>
      <c r="P205" s="174"/>
      <c r="Q205" s="174"/>
      <c r="R205" s="174"/>
      <c r="S205" s="174"/>
      <c r="T205" s="174"/>
      <c r="U205" s="174"/>
      <c r="V205" s="174"/>
      <c r="W205" s="174"/>
      <c r="X205" s="174"/>
      <c r="Y205" s="174"/>
      <c r="Z205" s="174"/>
    </row>
    <row r="206" customFormat="false" ht="15.75" hidden="false" customHeight="false" outlineLevel="0" collapsed="false">
      <c r="A206" s="174"/>
      <c r="B206" s="174"/>
      <c r="C206" s="174"/>
      <c r="D206" s="174"/>
      <c r="E206" s="174"/>
      <c r="F206" s="174"/>
      <c r="G206" s="174"/>
      <c r="H206" s="174"/>
      <c r="I206" s="174"/>
      <c r="J206" s="174"/>
      <c r="K206" s="174"/>
      <c r="L206" s="174"/>
      <c r="M206" s="174"/>
      <c r="N206" s="174"/>
      <c r="O206" s="174"/>
      <c r="P206" s="174"/>
      <c r="Q206" s="174"/>
      <c r="R206" s="174"/>
      <c r="S206" s="174"/>
      <c r="T206" s="174"/>
      <c r="U206" s="174"/>
      <c r="V206" s="174"/>
      <c r="W206" s="174"/>
      <c r="X206" s="174"/>
      <c r="Y206" s="174"/>
      <c r="Z206" s="174"/>
    </row>
    <row r="207" customFormat="false" ht="15.75" hidden="false" customHeight="false" outlineLevel="0" collapsed="false">
      <c r="A207" s="174"/>
      <c r="B207" s="174"/>
      <c r="C207" s="174"/>
      <c r="D207" s="174"/>
      <c r="E207" s="174"/>
      <c r="F207" s="174"/>
      <c r="G207" s="174"/>
      <c r="H207" s="174"/>
      <c r="I207" s="174"/>
      <c r="J207" s="174"/>
      <c r="K207" s="174"/>
      <c r="L207" s="174"/>
      <c r="M207" s="174"/>
      <c r="N207" s="174"/>
      <c r="O207" s="174"/>
      <c r="P207" s="174"/>
      <c r="Q207" s="174"/>
      <c r="R207" s="174"/>
      <c r="S207" s="174"/>
      <c r="T207" s="174"/>
      <c r="U207" s="174"/>
      <c r="V207" s="174"/>
      <c r="W207" s="174"/>
      <c r="X207" s="174"/>
      <c r="Y207" s="174"/>
      <c r="Z207" s="174"/>
    </row>
    <row r="208" customFormat="false" ht="15.75" hidden="false" customHeight="false" outlineLevel="0" collapsed="false">
      <c r="A208" s="174"/>
      <c r="B208" s="174"/>
      <c r="C208" s="174"/>
      <c r="D208" s="174"/>
      <c r="E208" s="174"/>
      <c r="F208" s="174"/>
      <c r="G208" s="174"/>
      <c r="H208" s="174"/>
      <c r="I208" s="174"/>
      <c r="J208" s="174"/>
      <c r="K208" s="174"/>
      <c r="L208" s="174"/>
      <c r="M208" s="174"/>
      <c r="N208" s="174"/>
      <c r="O208" s="174"/>
      <c r="P208" s="174"/>
      <c r="Q208" s="174"/>
      <c r="R208" s="174"/>
      <c r="S208" s="174"/>
      <c r="T208" s="174"/>
      <c r="U208" s="174"/>
      <c r="V208" s="174"/>
      <c r="W208" s="174"/>
      <c r="X208" s="174"/>
      <c r="Y208" s="174"/>
      <c r="Z208" s="174"/>
    </row>
    <row r="209" customFormat="false" ht="15.75" hidden="false" customHeight="false" outlineLevel="0" collapsed="false">
      <c r="A209" s="174"/>
      <c r="B209" s="174"/>
      <c r="C209" s="174"/>
      <c r="D209" s="174"/>
      <c r="E209" s="174"/>
      <c r="F209" s="174"/>
      <c r="G209" s="174"/>
      <c r="H209" s="174"/>
      <c r="I209" s="174"/>
      <c r="J209" s="174"/>
      <c r="K209" s="174"/>
      <c r="L209" s="174"/>
      <c r="M209" s="174"/>
      <c r="N209" s="174"/>
      <c r="O209" s="174"/>
      <c r="P209" s="174"/>
      <c r="Q209" s="174"/>
      <c r="R209" s="174"/>
      <c r="S209" s="174"/>
      <c r="T209" s="174"/>
      <c r="U209" s="174"/>
      <c r="V209" s="174"/>
      <c r="W209" s="174"/>
      <c r="X209" s="174"/>
      <c r="Y209" s="174"/>
      <c r="Z209" s="174"/>
    </row>
    <row r="210" customFormat="false" ht="15.75" hidden="false" customHeight="false" outlineLevel="0" collapsed="false">
      <c r="A210" s="174"/>
      <c r="B210" s="174"/>
      <c r="C210" s="174"/>
      <c r="D210" s="174"/>
      <c r="E210" s="174"/>
      <c r="F210" s="174"/>
      <c r="G210" s="174"/>
      <c r="H210" s="174"/>
      <c r="I210" s="174"/>
      <c r="J210" s="174"/>
      <c r="K210" s="174"/>
      <c r="L210" s="174"/>
      <c r="M210" s="174"/>
      <c r="N210" s="174"/>
      <c r="O210" s="174"/>
      <c r="P210" s="174"/>
      <c r="Q210" s="174"/>
      <c r="R210" s="174"/>
      <c r="S210" s="174"/>
      <c r="T210" s="174"/>
      <c r="U210" s="174"/>
      <c r="V210" s="174"/>
      <c r="W210" s="174"/>
      <c r="X210" s="174"/>
      <c r="Y210" s="174"/>
      <c r="Z210" s="174"/>
    </row>
    <row r="211" customFormat="false" ht="15.75" hidden="false" customHeight="false" outlineLevel="0" collapsed="false">
      <c r="A211" s="174"/>
      <c r="B211" s="174"/>
      <c r="C211" s="174"/>
      <c r="D211" s="174"/>
      <c r="E211" s="174"/>
      <c r="F211" s="174"/>
      <c r="G211" s="174"/>
      <c r="H211" s="174"/>
      <c r="I211" s="174"/>
      <c r="J211" s="174"/>
      <c r="K211" s="174"/>
      <c r="L211" s="174"/>
      <c r="M211" s="174"/>
      <c r="N211" s="174"/>
      <c r="O211" s="174"/>
      <c r="P211" s="174"/>
      <c r="Q211" s="174"/>
      <c r="R211" s="174"/>
      <c r="S211" s="174"/>
      <c r="T211" s="174"/>
      <c r="U211" s="174"/>
      <c r="V211" s="174"/>
      <c r="W211" s="174"/>
      <c r="X211" s="174"/>
      <c r="Y211" s="174"/>
      <c r="Z211" s="174"/>
    </row>
    <row r="212" customFormat="false" ht="15.75" hidden="false" customHeight="false" outlineLevel="0" collapsed="false">
      <c r="A212" s="174"/>
      <c r="B212" s="174"/>
      <c r="C212" s="174"/>
      <c r="D212" s="174"/>
      <c r="E212" s="174"/>
      <c r="F212" s="174"/>
      <c r="G212" s="174"/>
      <c r="H212" s="174"/>
      <c r="I212" s="174"/>
      <c r="J212" s="174"/>
      <c r="K212" s="174"/>
      <c r="L212" s="174"/>
      <c r="M212" s="174"/>
      <c r="N212" s="174"/>
      <c r="O212" s="174"/>
      <c r="P212" s="174"/>
      <c r="Q212" s="174"/>
      <c r="R212" s="174"/>
      <c r="S212" s="174"/>
      <c r="T212" s="174"/>
      <c r="U212" s="174"/>
      <c r="V212" s="174"/>
      <c r="W212" s="174"/>
      <c r="X212" s="174"/>
      <c r="Y212" s="174"/>
      <c r="Z212" s="174"/>
    </row>
    <row r="213" customFormat="false" ht="15.75" hidden="false" customHeight="false" outlineLevel="0" collapsed="false">
      <c r="A213" s="174"/>
      <c r="B213" s="174"/>
      <c r="C213" s="174"/>
      <c r="D213" s="174"/>
      <c r="E213" s="174"/>
      <c r="F213" s="174"/>
      <c r="G213" s="174"/>
      <c r="H213" s="174"/>
      <c r="I213" s="174"/>
      <c r="J213" s="174"/>
      <c r="K213" s="174"/>
      <c r="L213" s="174"/>
      <c r="M213" s="174"/>
      <c r="N213" s="174"/>
      <c r="O213" s="174"/>
      <c r="P213" s="174"/>
      <c r="Q213" s="174"/>
      <c r="R213" s="174"/>
      <c r="S213" s="174"/>
      <c r="T213" s="174"/>
      <c r="U213" s="174"/>
      <c r="V213" s="174"/>
      <c r="W213" s="174"/>
      <c r="X213" s="174"/>
      <c r="Y213" s="174"/>
      <c r="Z213" s="174"/>
    </row>
    <row r="214" customFormat="false" ht="15.75" hidden="false" customHeight="false" outlineLevel="0" collapsed="false">
      <c r="A214" s="174"/>
      <c r="B214" s="174"/>
      <c r="C214" s="174"/>
      <c r="D214" s="174"/>
      <c r="E214" s="174"/>
      <c r="F214" s="174"/>
      <c r="G214" s="174"/>
      <c r="H214" s="174"/>
      <c r="I214" s="174"/>
      <c r="J214" s="174"/>
      <c r="K214" s="174"/>
      <c r="L214" s="174"/>
      <c r="M214" s="174"/>
      <c r="N214" s="174"/>
      <c r="O214" s="174"/>
      <c r="P214" s="174"/>
      <c r="Q214" s="174"/>
      <c r="R214" s="174"/>
      <c r="S214" s="174"/>
      <c r="T214" s="174"/>
      <c r="U214" s="174"/>
      <c r="V214" s="174"/>
      <c r="W214" s="174"/>
      <c r="X214" s="174"/>
      <c r="Y214" s="174"/>
      <c r="Z214" s="174"/>
    </row>
    <row r="215" customFormat="false" ht="15.75" hidden="false" customHeight="false" outlineLevel="0" collapsed="false">
      <c r="A215" s="174"/>
      <c r="B215" s="174"/>
      <c r="C215" s="174"/>
      <c r="D215" s="174"/>
      <c r="E215" s="174"/>
      <c r="F215" s="174"/>
      <c r="G215" s="174"/>
      <c r="H215" s="174"/>
      <c r="I215" s="174"/>
      <c r="J215" s="174"/>
      <c r="K215" s="174"/>
      <c r="L215" s="174"/>
      <c r="M215" s="174"/>
      <c r="N215" s="174"/>
      <c r="O215" s="174"/>
      <c r="P215" s="174"/>
      <c r="Q215" s="174"/>
      <c r="R215" s="174"/>
      <c r="S215" s="174"/>
      <c r="T215" s="174"/>
      <c r="U215" s="174"/>
      <c r="V215" s="174"/>
      <c r="W215" s="174"/>
      <c r="X215" s="174"/>
      <c r="Y215" s="174"/>
      <c r="Z215" s="174"/>
    </row>
    <row r="216" customFormat="false" ht="15.75" hidden="false" customHeight="false" outlineLevel="0" collapsed="false">
      <c r="A216" s="174"/>
      <c r="B216" s="174"/>
      <c r="C216" s="174"/>
      <c r="D216" s="174"/>
      <c r="E216" s="174"/>
      <c r="F216" s="174"/>
      <c r="G216" s="174"/>
      <c r="H216" s="174"/>
      <c r="I216" s="174"/>
      <c r="J216" s="174"/>
      <c r="K216" s="174"/>
      <c r="L216" s="174"/>
      <c r="M216" s="174"/>
      <c r="N216" s="174"/>
      <c r="O216" s="174"/>
      <c r="P216" s="174"/>
      <c r="Q216" s="174"/>
      <c r="R216" s="174"/>
      <c r="S216" s="174"/>
      <c r="T216" s="174"/>
      <c r="U216" s="174"/>
      <c r="V216" s="174"/>
      <c r="W216" s="174"/>
      <c r="X216" s="174"/>
      <c r="Y216" s="174"/>
      <c r="Z216" s="174"/>
    </row>
    <row r="217" customFormat="false" ht="15.75" hidden="false" customHeight="false" outlineLevel="0" collapsed="false">
      <c r="A217" s="174"/>
      <c r="B217" s="174"/>
      <c r="C217" s="174"/>
      <c r="D217" s="174"/>
      <c r="E217" s="174"/>
      <c r="F217" s="174"/>
      <c r="G217" s="174"/>
      <c r="H217" s="174"/>
      <c r="I217" s="174"/>
      <c r="J217" s="174"/>
      <c r="K217" s="174"/>
      <c r="L217" s="174"/>
      <c r="M217" s="174"/>
      <c r="N217" s="174"/>
      <c r="O217" s="174"/>
      <c r="P217" s="174"/>
      <c r="Q217" s="174"/>
      <c r="R217" s="174"/>
      <c r="S217" s="174"/>
      <c r="T217" s="174"/>
      <c r="U217" s="174"/>
      <c r="V217" s="174"/>
      <c r="W217" s="174"/>
      <c r="X217" s="174"/>
      <c r="Y217" s="174"/>
      <c r="Z217" s="174"/>
    </row>
    <row r="218" customFormat="false" ht="15.75" hidden="false" customHeight="false" outlineLevel="0" collapsed="false">
      <c r="A218" s="174"/>
      <c r="B218" s="174"/>
      <c r="C218" s="174"/>
      <c r="D218" s="174"/>
      <c r="E218" s="174"/>
      <c r="F218" s="174"/>
      <c r="G218" s="174"/>
      <c r="H218" s="174"/>
      <c r="I218" s="174"/>
      <c r="J218" s="174"/>
      <c r="K218" s="174"/>
      <c r="L218" s="174"/>
      <c r="M218" s="174"/>
      <c r="N218" s="174"/>
      <c r="O218" s="174"/>
      <c r="P218" s="174"/>
      <c r="Q218" s="174"/>
      <c r="R218" s="174"/>
      <c r="S218" s="174"/>
      <c r="T218" s="174"/>
      <c r="U218" s="174"/>
      <c r="V218" s="174"/>
      <c r="W218" s="174"/>
      <c r="X218" s="174"/>
      <c r="Y218" s="174"/>
      <c r="Z218" s="174"/>
    </row>
    <row r="219" customFormat="false" ht="15.75" hidden="false" customHeight="false" outlineLevel="0" collapsed="false">
      <c r="A219" s="174"/>
      <c r="B219" s="174"/>
      <c r="C219" s="174"/>
      <c r="D219" s="174"/>
      <c r="E219" s="174"/>
      <c r="F219" s="174"/>
      <c r="G219" s="174"/>
      <c r="H219" s="174"/>
      <c r="I219" s="174"/>
      <c r="J219" s="174"/>
      <c r="K219" s="174"/>
      <c r="L219" s="174"/>
      <c r="M219" s="174"/>
      <c r="N219" s="174"/>
      <c r="O219" s="174"/>
      <c r="P219" s="174"/>
      <c r="Q219" s="174"/>
      <c r="R219" s="174"/>
      <c r="S219" s="174"/>
      <c r="T219" s="174"/>
      <c r="U219" s="174"/>
      <c r="V219" s="174"/>
      <c r="W219" s="174"/>
      <c r="X219" s="174"/>
      <c r="Y219" s="174"/>
      <c r="Z219" s="174"/>
    </row>
    <row r="220" customFormat="false" ht="15.75" hidden="false" customHeight="false" outlineLevel="0" collapsed="false">
      <c r="A220" s="174"/>
      <c r="B220" s="174"/>
      <c r="C220" s="174"/>
      <c r="D220" s="174"/>
      <c r="E220" s="174"/>
      <c r="F220" s="174"/>
      <c r="G220" s="174"/>
      <c r="H220" s="174"/>
      <c r="I220" s="174"/>
      <c r="J220" s="174"/>
      <c r="K220" s="174"/>
      <c r="L220" s="174"/>
      <c r="M220" s="174"/>
      <c r="N220" s="174"/>
      <c r="O220" s="174"/>
      <c r="P220" s="174"/>
      <c r="Q220" s="174"/>
      <c r="R220" s="174"/>
      <c r="S220" s="174"/>
      <c r="T220" s="174"/>
      <c r="U220" s="174"/>
      <c r="V220" s="174"/>
      <c r="W220" s="174"/>
      <c r="X220" s="174"/>
      <c r="Y220" s="174"/>
      <c r="Z220" s="174"/>
    </row>
    <row r="221" customFormat="false" ht="15.75" hidden="false" customHeight="false" outlineLevel="0" collapsed="false">
      <c r="A221" s="174"/>
      <c r="B221" s="174"/>
      <c r="C221" s="174"/>
      <c r="D221" s="174"/>
      <c r="E221" s="174"/>
      <c r="F221" s="174"/>
      <c r="G221" s="174"/>
      <c r="H221" s="174"/>
      <c r="I221" s="174"/>
      <c r="J221" s="174"/>
      <c r="K221" s="174"/>
      <c r="L221" s="174"/>
      <c r="M221" s="174"/>
      <c r="N221" s="174"/>
      <c r="O221" s="174"/>
      <c r="P221" s="174"/>
      <c r="Q221" s="174"/>
      <c r="R221" s="174"/>
      <c r="S221" s="174"/>
      <c r="T221" s="174"/>
      <c r="U221" s="174"/>
      <c r="V221" s="174"/>
      <c r="W221" s="174"/>
      <c r="X221" s="174"/>
      <c r="Y221" s="174"/>
      <c r="Z221" s="174"/>
    </row>
    <row r="222" customFormat="false" ht="15.75" hidden="false" customHeight="false" outlineLevel="0" collapsed="false">
      <c r="A222" s="174"/>
      <c r="B222" s="174"/>
      <c r="C222" s="174"/>
      <c r="D222" s="174"/>
      <c r="E222" s="174"/>
      <c r="F222" s="174"/>
      <c r="G222" s="174"/>
      <c r="H222" s="174"/>
      <c r="I222" s="174"/>
      <c r="J222" s="174"/>
      <c r="K222" s="174"/>
      <c r="L222" s="174"/>
      <c r="M222" s="174"/>
      <c r="N222" s="174"/>
      <c r="O222" s="174"/>
      <c r="P222" s="174"/>
      <c r="Q222" s="174"/>
      <c r="R222" s="174"/>
      <c r="S222" s="174"/>
      <c r="T222" s="174"/>
      <c r="U222" s="174"/>
      <c r="V222" s="174"/>
      <c r="W222" s="174"/>
      <c r="X222" s="174"/>
      <c r="Y222" s="174"/>
      <c r="Z222" s="174"/>
    </row>
    <row r="223" customFormat="false" ht="15.75" hidden="false" customHeight="false" outlineLevel="0" collapsed="false">
      <c r="A223" s="174"/>
      <c r="B223" s="174"/>
      <c r="C223" s="174"/>
      <c r="D223" s="174"/>
      <c r="E223" s="174"/>
      <c r="F223" s="174"/>
      <c r="G223" s="174"/>
      <c r="H223" s="174"/>
      <c r="I223" s="174"/>
      <c r="J223" s="174"/>
      <c r="K223" s="174"/>
      <c r="L223" s="174"/>
      <c r="M223" s="174"/>
      <c r="N223" s="174"/>
      <c r="O223" s="174"/>
      <c r="P223" s="174"/>
      <c r="Q223" s="174"/>
      <c r="R223" s="174"/>
      <c r="S223" s="174"/>
      <c r="T223" s="174"/>
      <c r="U223" s="174"/>
      <c r="V223" s="174"/>
      <c r="W223" s="174"/>
      <c r="X223" s="174"/>
      <c r="Y223" s="174"/>
      <c r="Z223" s="174"/>
    </row>
    <row r="224" customFormat="false" ht="15.75" hidden="false" customHeight="false" outlineLevel="0" collapsed="false">
      <c r="A224" s="174"/>
      <c r="B224" s="174"/>
      <c r="C224" s="174"/>
      <c r="D224" s="174"/>
      <c r="E224" s="174"/>
      <c r="F224" s="174"/>
      <c r="G224" s="174"/>
      <c r="H224" s="174"/>
      <c r="I224" s="174"/>
      <c r="J224" s="174"/>
      <c r="K224" s="174"/>
      <c r="L224" s="174"/>
      <c r="M224" s="174"/>
      <c r="N224" s="174"/>
      <c r="O224" s="174"/>
      <c r="P224" s="174"/>
      <c r="Q224" s="174"/>
      <c r="R224" s="174"/>
      <c r="S224" s="174"/>
      <c r="T224" s="174"/>
      <c r="U224" s="174"/>
      <c r="V224" s="174"/>
      <c r="W224" s="174"/>
      <c r="X224" s="174"/>
      <c r="Y224" s="174"/>
      <c r="Z224" s="174"/>
    </row>
    <row r="225" customFormat="false" ht="15.75" hidden="false" customHeight="false" outlineLevel="0" collapsed="false">
      <c r="A225" s="174"/>
      <c r="B225" s="174"/>
      <c r="C225" s="174"/>
      <c r="D225" s="174"/>
      <c r="E225" s="174"/>
      <c r="F225" s="174"/>
      <c r="G225" s="174"/>
      <c r="H225" s="174"/>
      <c r="I225" s="174"/>
      <c r="J225" s="174"/>
      <c r="K225" s="174"/>
      <c r="L225" s="174"/>
      <c r="M225" s="174"/>
      <c r="N225" s="174"/>
      <c r="O225" s="174"/>
      <c r="P225" s="174"/>
      <c r="Q225" s="174"/>
      <c r="R225" s="174"/>
      <c r="S225" s="174"/>
      <c r="T225" s="174"/>
      <c r="U225" s="174"/>
      <c r="V225" s="174"/>
      <c r="W225" s="174"/>
      <c r="X225" s="174"/>
      <c r="Y225" s="174"/>
      <c r="Z225" s="174"/>
    </row>
    <row r="226" customFormat="false" ht="15.75" hidden="false" customHeight="false" outlineLevel="0" collapsed="false">
      <c r="A226" s="174"/>
      <c r="B226" s="174"/>
      <c r="C226" s="174"/>
      <c r="D226" s="174"/>
      <c r="E226" s="174"/>
      <c r="F226" s="174"/>
      <c r="G226" s="174"/>
      <c r="H226" s="174"/>
      <c r="I226" s="174"/>
      <c r="J226" s="174"/>
      <c r="K226" s="174"/>
      <c r="L226" s="174"/>
      <c r="M226" s="174"/>
      <c r="N226" s="174"/>
      <c r="O226" s="174"/>
      <c r="P226" s="174"/>
      <c r="Q226" s="174"/>
      <c r="R226" s="174"/>
      <c r="S226" s="174"/>
      <c r="T226" s="174"/>
      <c r="U226" s="174"/>
      <c r="V226" s="174"/>
      <c r="W226" s="174"/>
      <c r="X226" s="174"/>
      <c r="Y226" s="174"/>
      <c r="Z226" s="174"/>
    </row>
    <row r="227" customFormat="false" ht="15.75" hidden="false" customHeight="false" outlineLevel="0" collapsed="false">
      <c r="A227" s="174"/>
      <c r="B227" s="174"/>
      <c r="C227" s="174"/>
      <c r="D227" s="174"/>
      <c r="E227" s="174"/>
      <c r="F227" s="174"/>
      <c r="G227" s="174"/>
      <c r="H227" s="174"/>
      <c r="I227" s="174"/>
      <c r="J227" s="174"/>
      <c r="K227" s="174"/>
      <c r="L227" s="174"/>
      <c r="M227" s="174"/>
      <c r="N227" s="174"/>
      <c r="O227" s="174"/>
      <c r="P227" s="174"/>
      <c r="Q227" s="174"/>
      <c r="R227" s="174"/>
      <c r="S227" s="174"/>
      <c r="T227" s="174"/>
      <c r="U227" s="174"/>
      <c r="V227" s="174"/>
      <c r="W227" s="174"/>
      <c r="X227" s="174"/>
      <c r="Y227" s="174"/>
      <c r="Z227" s="174"/>
    </row>
    <row r="228" customFormat="false" ht="15.75" hidden="false" customHeight="false" outlineLevel="0" collapsed="false">
      <c r="A228" s="174"/>
      <c r="B228" s="174"/>
      <c r="C228" s="174"/>
      <c r="D228" s="174"/>
      <c r="E228" s="174"/>
      <c r="F228" s="174"/>
      <c r="G228" s="174"/>
      <c r="H228" s="174"/>
      <c r="I228" s="174"/>
      <c r="J228" s="174"/>
      <c r="K228" s="174"/>
      <c r="L228" s="174"/>
      <c r="M228" s="174"/>
      <c r="N228" s="174"/>
      <c r="O228" s="174"/>
      <c r="P228" s="174"/>
      <c r="Q228" s="174"/>
      <c r="R228" s="174"/>
      <c r="S228" s="174"/>
      <c r="T228" s="174"/>
      <c r="U228" s="174"/>
      <c r="V228" s="174"/>
      <c r="W228" s="174"/>
      <c r="X228" s="174"/>
      <c r="Y228" s="174"/>
      <c r="Z228" s="174"/>
    </row>
    <row r="229" customFormat="false" ht="15.75" hidden="false" customHeight="false" outlineLevel="0" collapsed="false">
      <c r="A229" s="174"/>
      <c r="B229" s="174"/>
      <c r="C229" s="174"/>
      <c r="D229" s="174"/>
      <c r="E229" s="174"/>
      <c r="F229" s="174"/>
      <c r="G229" s="174"/>
      <c r="H229" s="174"/>
      <c r="I229" s="174"/>
      <c r="J229" s="174"/>
      <c r="K229" s="174"/>
      <c r="L229" s="174"/>
      <c r="M229" s="174"/>
      <c r="N229" s="174"/>
      <c r="O229" s="174"/>
      <c r="P229" s="174"/>
      <c r="Q229" s="174"/>
      <c r="R229" s="174"/>
      <c r="S229" s="174"/>
      <c r="T229" s="174"/>
      <c r="U229" s="174"/>
      <c r="V229" s="174"/>
      <c r="W229" s="174"/>
      <c r="X229" s="174"/>
      <c r="Y229" s="174"/>
      <c r="Z229" s="174"/>
    </row>
    <row r="230" customFormat="false" ht="15.75" hidden="false" customHeight="false" outlineLevel="0" collapsed="false">
      <c r="A230" s="174"/>
      <c r="B230" s="174"/>
      <c r="C230" s="174"/>
      <c r="D230" s="174"/>
      <c r="E230" s="174"/>
      <c r="F230" s="174"/>
      <c r="G230" s="174"/>
      <c r="H230" s="174"/>
      <c r="I230" s="174"/>
      <c r="J230" s="174"/>
      <c r="K230" s="174"/>
      <c r="L230" s="174"/>
      <c r="M230" s="174"/>
      <c r="N230" s="174"/>
      <c r="O230" s="174"/>
      <c r="P230" s="174"/>
      <c r="Q230" s="174"/>
      <c r="R230" s="174"/>
      <c r="S230" s="174"/>
      <c r="T230" s="174"/>
      <c r="U230" s="174"/>
      <c r="V230" s="174"/>
      <c r="W230" s="174"/>
      <c r="X230" s="174"/>
      <c r="Y230" s="174"/>
      <c r="Z230" s="174"/>
    </row>
    <row r="231" customFormat="false" ht="15.75" hidden="false" customHeight="false" outlineLevel="0" collapsed="false">
      <c r="A231" s="174"/>
      <c r="B231" s="174"/>
      <c r="C231" s="174"/>
      <c r="D231" s="174"/>
      <c r="E231" s="174"/>
      <c r="F231" s="174"/>
      <c r="G231" s="174"/>
      <c r="H231" s="174"/>
      <c r="I231" s="174"/>
      <c r="J231" s="174"/>
      <c r="K231" s="174"/>
      <c r="L231" s="174"/>
      <c r="M231" s="174"/>
      <c r="N231" s="174"/>
      <c r="O231" s="174"/>
      <c r="P231" s="174"/>
      <c r="Q231" s="174"/>
      <c r="R231" s="174"/>
      <c r="S231" s="174"/>
      <c r="T231" s="174"/>
      <c r="U231" s="174"/>
      <c r="V231" s="174"/>
      <c r="W231" s="174"/>
      <c r="X231" s="174"/>
      <c r="Y231" s="174"/>
      <c r="Z231" s="174"/>
    </row>
    <row r="232" customFormat="false" ht="15.75" hidden="false" customHeight="false" outlineLevel="0" collapsed="false">
      <c r="A232" s="174"/>
      <c r="B232" s="174"/>
      <c r="C232" s="174"/>
      <c r="D232" s="174"/>
      <c r="E232" s="174"/>
      <c r="F232" s="174"/>
      <c r="G232" s="174"/>
      <c r="H232" s="174"/>
      <c r="I232" s="174"/>
      <c r="J232" s="174"/>
      <c r="K232" s="174"/>
      <c r="L232" s="174"/>
      <c r="M232" s="174"/>
      <c r="N232" s="174"/>
      <c r="O232" s="174"/>
      <c r="P232" s="174"/>
      <c r="Q232" s="174"/>
      <c r="R232" s="174"/>
      <c r="S232" s="174"/>
      <c r="T232" s="174"/>
      <c r="U232" s="174"/>
      <c r="V232" s="174"/>
      <c r="W232" s="174"/>
      <c r="X232" s="174"/>
      <c r="Y232" s="174"/>
      <c r="Z232" s="174"/>
    </row>
    <row r="233" customFormat="false" ht="15.75" hidden="false" customHeight="false" outlineLevel="0" collapsed="false">
      <c r="A233" s="174"/>
      <c r="B233" s="174"/>
      <c r="C233" s="174"/>
      <c r="D233" s="174"/>
      <c r="E233" s="174"/>
      <c r="F233" s="174"/>
      <c r="G233" s="174"/>
      <c r="H233" s="174"/>
      <c r="I233" s="174"/>
      <c r="J233" s="174"/>
      <c r="K233" s="174"/>
      <c r="L233" s="174"/>
      <c r="M233" s="174"/>
      <c r="N233" s="174"/>
      <c r="O233" s="174"/>
      <c r="P233" s="174"/>
      <c r="Q233" s="174"/>
      <c r="R233" s="174"/>
      <c r="S233" s="174"/>
      <c r="T233" s="174"/>
      <c r="U233" s="174"/>
      <c r="V233" s="174"/>
      <c r="W233" s="174"/>
      <c r="X233" s="174"/>
      <c r="Y233" s="174"/>
      <c r="Z233" s="174"/>
    </row>
    <row r="234" customFormat="false" ht="15.75" hidden="false" customHeight="false" outlineLevel="0" collapsed="false">
      <c r="A234" s="174"/>
      <c r="B234" s="174"/>
      <c r="C234" s="174"/>
      <c r="D234" s="174"/>
      <c r="E234" s="174"/>
      <c r="F234" s="174"/>
      <c r="G234" s="174"/>
      <c r="H234" s="174"/>
      <c r="I234" s="174"/>
      <c r="J234" s="174"/>
      <c r="K234" s="174"/>
      <c r="L234" s="174"/>
      <c r="M234" s="174"/>
      <c r="N234" s="174"/>
      <c r="O234" s="174"/>
      <c r="P234" s="174"/>
      <c r="Q234" s="174"/>
      <c r="R234" s="174"/>
      <c r="S234" s="174"/>
      <c r="T234" s="174"/>
      <c r="U234" s="174"/>
      <c r="V234" s="174"/>
      <c r="W234" s="174"/>
      <c r="X234" s="174"/>
      <c r="Y234" s="174"/>
      <c r="Z234" s="174"/>
    </row>
    <row r="235" customFormat="false" ht="15.75" hidden="false" customHeight="false" outlineLevel="0" collapsed="false">
      <c r="A235" s="174"/>
      <c r="B235" s="174"/>
      <c r="C235" s="174"/>
      <c r="D235" s="174"/>
      <c r="E235" s="174"/>
      <c r="F235" s="174"/>
      <c r="G235" s="174"/>
      <c r="H235" s="174"/>
      <c r="I235" s="174"/>
      <c r="J235" s="174"/>
      <c r="K235" s="174"/>
      <c r="L235" s="174"/>
      <c r="M235" s="174"/>
      <c r="N235" s="174"/>
      <c r="O235" s="174"/>
      <c r="P235" s="174"/>
      <c r="Q235" s="174"/>
      <c r="R235" s="174"/>
      <c r="S235" s="174"/>
      <c r="T235" s="174"/>
      <c r="U235" s="174"/>
      <c r="V235" s="174"/>
      <c r="W235" s="174"/>
      <c r="X235" s="174"/>
      <c r="Y235" s="174"/>
      <c r="Z235" s="174"/>
    </row>
    <row r="236" customFormat="false" ht="15.75" hidden="false" customHeight="false" outlineLevel="0" collapsed="false">
      <c r="A236" s="174"/>
      <c r="B236" s="174"/>
      <c r="C236" s="174"/>
      <c r="D236" s="174"/>
      <c r="E236" s="174"/>
      <c r="F236" s="174"/>
      <c r="G236" s="174"/>
      <c r="H236" s="174"/>
      <c r="I236" s="174"/>
      <c r="J236" s="174"/>
      <c r="K236" s="174"/>
      <c r="L236" s="174"/>
      <c r="M236" s="174"/>
      <c r="N236" s="174"/>
      <c r="O236" s="174"/>
      <c r="P236" s="174"/>
      <c r="Q236" s="174"/>
      <c r="R236" s="174"/>
      <c r="S236" s="174"/>
      <c r="T236" s="174"/>
      <c r="U236" s="174"/>
      <c r="V236" s="174"/>
      <c r="W236" s="174"/>
      <c r="X236" s="174"/>
      <c r="Y236" s="174"/>
      <c r="Z236" s="174"/>
    </row>
    <row r="237" customFormat="false" ht="15.75" hidden="false" customHeight="false" outlineLevel="0" collapsed="false">
      <c r="A237" s="174"/>
      <c r="B237" s="174"/>
      <c r="C237" s="174"/>
      <c r="D237" s="174"/>
      <c r="E237" s="174"/>
      <c r="F237" s="174"/>
      <c r="G237" s="174"/>
      <c r="H237" s="174"/>
      <c r="I237" s="174"/>
      <c r="J237" s="174"/>
      <c r="K237" s="174"/>
      <c r="L237" s="174"/>
      <c r="M237" s="174"/>
      <c r="N237" s="174"/>
      <c r="O237" s="174"/>
      <c r="P237" s="174"/>
      <c r="Q237" s="174"/>
      <c r="R237" s="174"/>
      <c r="S237" s="174"/>
      <c r="T237" s="174"/>
      <c r="U237" s="174"/>
      <c r="V237" s="174"/>
      <c r="W237" s="174"/>
      <c r="X237" s="174"/>
      <c r="Y237" s="174"/>
      <c r="Z237" s="174"/>
    </row>
    <row r="238" customFormat="false" ht="15.75" hidden="false" customHeight="false" outlineLevel="0" collapsed="false">
      <c r="A238" s="174"/>
      <c r="B238" s="174"/>
      <c r="C238" s="174"/>
      <c r="D238" s="174"/>
      <c r="E238" s="174"/>
      <c r="F238" s="174"/>
      <c r="G238" s="174"/>
      <c r="H238" s="174"/>
      <c r="I238" s="174"/>
      <c r="J238" s="174"/>
      <c r="K238" s="174"/>
      <c r="L238" s="174"/>
      <c r="M238" s="174"/>
      <c r="N238" s="174"/>
      <c r="O238" s="174"/>
      <c r="P238" s="174"/>
      <c r="Q238" s="174"/>
      <c r="R238" s="174"/>
      <c r="S238" s="174"/>
      <c r="T238" s="174"/>
      <c r="U238" s="174"/>
      <c r="V238" s="174"/>
      <c r="W238" s="174"/>
      <c r="X238" s="174"/>
      <c r="Y238" s="174"/>
      <c r="Z238" s="174"/>
    </row>
    <row r="239" customFormat="false" ht="15.75" hidden="false" customHeight="false" outlineLevel="0" collapsed="false">
      <c r="A239" s="174"/>
      <c r="B239" s="174"/>
      <c r="C239" s="174"/>
      <c r="D239" s="174"/>
      <c r="E239" s="174"/>
      <c r="F239" s="174"/>
      <c r="G239" s="174"/>
      <c r="H239" s="174"/>
      <c r="I239" s="174"/>
      <c r="J239" s="174"/>
      <c r="K239" s="174"/>
      <c r="L239" s="174"/>
      <c r="M239" s="174"/>
      <c r="N239" s="174"/>
      <c r="O239" s="174"/>
      <c r="P239" s="174"/>
      <c r="Q239" s="174"/>
      <c r="R239" s="174"/>
      <c r="S239" s="174"/>
      <c r="T239" s="174"/>
      <c r="U239" s="174"/>
      <c r="V239" s="174"/>
      <c r="W239" s="174"/>
      <c r="X239" s="174"/>
      <c r="Y239" s="174"/>
      <c r="Z239" s="174"/>
    </row>
    <row r="240" customFormat="false" ht="15.75" hidden="false" customHeight="false" outlineLevel="0" collapsed="false">
      <c r="A240" s="174"/>
      <c r="B240" s="174"/>
      <c r="C240" s="174"/>
      <c r="D240" s="174"/>
      <c r="E240" s="174"/>
      <c r="F240" s="174"/>
      <c r="G240" s="174"/>
      <c r="H240" s="174"/>
      <c r="I240" s="174"/>
      <c r="J240" s="174"/>
      <c r="K240" s="174"/>
      <c r="L240" s="174"/>
      <c r="M240" s="174"/>
      <c r="N240" s="174"/>
      <c r="O240" s="174"/>
      <c r="P240" s="174"/>
      <c r="Q240" s="174"/>
      <c r="R240" s="174"/>
      <c r="S240" s="174"/>
      <c r="T240" s="174"/>
      <c r="U240" s="174"/>
      <c r="V240" s="174"/>
      <c r="W240" s="174"/>
      <c r="X240" s="174"/>
      <c r="Y240" s="174"/>
      <c r="Z240" s="174"/>
    </row>
    <row r="241" customFormat="false" ht="15.75" hidden="false" customHeight="false" outlineLevel="0" collapsed="false">
      <c r="A241" s="174"/>
      <c r="B241" s="174"/>
      <c r="C241" s="174"/>
      <c r="D241" s="174"/>
      <c r="E241" s="174"/>
      <c r="F241" s="174"/>
      <c r="G241" s="174"/>
      <c r="H241" s="174"/>
      <c r="I241" s="174"/>
      <c r="J241" s="174"/>
      <c r="K241" s="174"/>
      <c r="L241" s="174"/>
      <c r="M241" s="174"/>
      <c r="N241" s="174"/>
      <c r="O241" s="174"/>
      <c r="P241" s="174"/>
      <c r="Q241" s="174"/>
      <c r="R241" s="174"/>
      <c r="S241" s="174"/>
      <c r="T241" s="174"/>
      <c r="U241" s="174"/>
      <c r="V241" s="174"/>
      <c r="W241" s="174"/>
      <c r="X241" s="174"/>
      <c r="Y241" s="174"/>
      <c r="Z241" s="174"/>
    </row>
    <row r="242" customFormat="false" ht="15.75" hidden="false" customHeight="false" outlineLevel="0" collapsed="false">
      <c r="A242" s="174"/>
      <c r="B242" s="174"/>
      <c r="C242" s="174"/>
      <c r="D242" s="174"/>
      <c r="E242" s="174"/>
      <c r="F242" s="174"/>
      <c r="G242" s="174"/>
      <c r="H242" s="174"/>
      <c r="I242" s="174"/>
      <c r="J242" s="174"/>
      <c r="K242" s="174"/>
      <c r="L242" s="174"/>
      <c r="M242" s="174"/>
      <c r="N242" s="174"/>
      <c r="O242" s="174"/>
      <c r="P242" s="174"/>
      <c r="Q242" s="174"/>
      <c r="R242" s="174"/>
      <c r="S242" s="174"/>
      <c r="T242" s="174"/>
      <c r="U242" s="174"/>
      <c r="V242" s="174"/>
      <c r="W242" s="174"/>
      <c r="X242" s="174"/>
      <c r="Y242" s="174"/>
      <c r="Z242" s="174"/>
    </row>
    <row r="243" customFormat="false" ht="15.75" hidden="false" customHeight="false" outlineLevel="0" collapsed="false">
      <c r="A243" s="174"/>
      <c r="B243" s="174"/>
      <c r="C243" s="174"/>
      <c r="D243" s="174"/>
      <c r="E243" s="174"/>
      <c r="F243" s="174"/>
      <c r="G243" s="174"/>
      <c r="H243" s="174"/>
      <c r="I243" s="174"/>
      <c r="J243" s="174"/>
      <c r="K243" s="174"/>
      <c r="L243" s="174"/>
      <c r="M243" s="174"/>
      <c r="N243" s="174"/>
      <c r="O243" s="174"/>
      <c r="P243" s="174"/>
      <c r="Q243" s="174"/>
      <c r="R243" s="174"/>
      <c r="S243" s="174"/>
      <c r="T243" s="174"/>
      <c r="U243" s="174"/>
      <c r="V243" s="174"/>
      <c r="W243" s="174"/>
      <c r="X243" s="174"/>
      <c r="Y243" s="174"/>
      <c r="Z243" s="174"/>
    </row>
    <row r="244" customFormat="false" ht="15.75" hidden="false" customHeight="false" outlineLevel="0" collapsed="false">
      <c r="A244" s="174"/>
      <c r="B244" s="174"/>
      <c r="C244" s="174"/>
      <c r="D244" s="174"/>
      <c r="E244" s="174"/>
      <c r="F244" s="174"/>
      <c r="G244" s="174"/>
      <c r="H244" s="174"/>
      <c r="I244" s="174"/>
      <c r="J244" s="174"/>
      <c r="K244" s="174"/>
      <c r="L244" s="174"/>
      <c r="M244" s="174"/>
      <c r="N244" s="174"/>
      <c r="O244" s="174"/>
      <c r="P244" s="174"/>
      <c r="Q244" s="174"/>
      <c r="R244" s="174"/>
      <c r="S244" s="174"/>
      <c r="T244" s="174"/>
      <c r="U244" s="174"/>
      <c r="V244" s="174"/>
      <c r="W244" s="174"/>
      <c r="X244" s="174"/>
      <c r="Y244" s="174"/>
      <c r="Z244" s="174"/>
    </row>
    <row r="245" customFormat="false" ht="15.75" hidden="false" customHeight="false" outlineLevel="0" collapsed="false">
      <c r="A245" s="174"/>
      <c r="B245" s="174"/>
      <c r="C245" s="174"/>
      <c r="D245" s="174"/>
      <c r="E245" s="174"/>
      <c r="F245" s="174"/>
      <c r="G245" s="174"/>
      <c r="H245" s="174"/>
      <c r="I245" s="174"/>
      <c r="J245" s="174"/>
      <c r="K245" s="174"/>
      <c r="L245" s="174"/>
      <c r="M245" s="174"/>
      <c r="N245" s="174"/>
      <c r="O245" s="174"/>
      <c r="P245" s="174"/>
      <c r="Q245" s="174"/>
      <c r="R245" s="174"/>
      <c r="S245" s="174"/>
      <c r="T245" s="174"/>
      <c r="U245" s="174"/>
      <c r="V245" s="174"/>
      <c r="W245" s="174"/>
      <c r="X245" s="174"/>
      <c r="Y245" s="174"/>
      <c r="Z245" s="174"/>
    </row>
    <row r="246" customFormat="false" ht="15.75" hidden="false" customHeight="false" outlineLevel="0" collapsed="false">
      <c r="A246" s="174"/>
      <c r="B246" s="174"/>
      <c r="C246" s="174"/>
      <c r="D246" s="174"/>
      <c r="E246" s="174"/>
      <c r="F246" s="174"/>
      <c r="G246" s="174"/>
      <c r="H246" s="174"/>
      <c r="I246" s="174"/>
      <c r="J246" s="174"/>
      <c r="K246" s="174"/>
      <c r="L246" s="174"/>
      <c r="M246" s="174"/>
      <c r="N246" s="174"/>
      <c r="O246" s="174"/>
      <c r="P246" s="174"/>
      <c r="Q246" s="174"/>
      <c r="R246" s="174"/>
      <c r="S246" s="174"/>
      <c r="T246" s="174"/>
      <c r="U246" s="174"/>
      <c r="V246" s="174"/>
      <c r="W246" s="174"/>
      <c r="X246" s="174"/>
      <c r="Y246" s="174"/>
      <c r="Z246" s="174"/>
    </row>
    <row r="247" customFormat="false" ht="15.75" hidden="false" customHeight="false" outlineLevel="0" collapsed="false">
      <c r="A247" s="174"/>
      <c r="B247" s="174"/>
      <c r="C247" s="174"/>
      <c r="D247" s="174"/>
      <c r="E247" s="174"/>
      <c r="F247" s="174"/>
      <c r="G247" s="174"/>
      <c r="H247" s="174"/>
      <c r="I247" s="174"/>
      <c r="J247" s="174"/>
      <c r="K247" s="174"/>
      <c r="L247" s="174"/>
      <c r="M247" s="174"/>
      <c r="N247" s="174"/>
      <c r="O247" s="174"/>
      <c r="P247" s="174"/>
      <c r="Q247" s="174"/>
      <c r="R247" s="174"/>
      <c r="S247" s="174"/>
      <c r="T247" s="174"/>
      <c r="U247" s="174"/>
      <c r="V247" s="174"/>
      <c r="W247" s="174"/>
      <c r="X247" s="174"/>
      <c r="Y247" s="174"/>
      <c r="Z247" s="174"/>
    </row>
    <row r="248" customFormat="false" ht="15.75" hidden="false" customHeight="false" outlineLevel="0" collapsed="false">
      <c r="A248" s="174"/>
      <c r="B248" s="174"/>
      <c r="C248" s="174"/>
      <c r="D248" s="174"/>
      <c r="E248" s="174"/>
      <c r="F248" s="174"/>
      <c r="G248" s="174"/>
      <c r="H248" s="174"/>
      <c r="I248" s="174"/>
      <c r="J248" s="174"/>
      <c r="K248" s="174"/>
      <c r="L248" s="174"/>
      <c r="M248" s="174"/>
      <c r="N248" s="174"/>
      <c r="O248" s="174"/>
      <c r="P248" s="174"/>
      <c r="Q248" s="174"/>
      <c r="R248" s="174"/>
      <c r="S248" s="174"/>
      <c r="T248" s="174"/>
      <c r="U248" s="174"/>
      <c r="V248" s="174"/>
      <c r="W248" s="174"/>
      <c r="X248" s="174"/>
      <c r="Y248" s="174"/>
      <c r="Z248" s="174"/>
    </row>
    <row r="249" customFormat="false" ht="15.75" hidden="false" customHeight="false" outlineLevel="0" collapsed="false">
      <c r="A249" s="174"/>
      <c r="B249" s="174"/>
      <c r="C249" s="174"/>
      <c r="D249" s="174"/>
      <c r="E249" s="174"/>
      <c r="F249" s="174"/>
      <c r="G249" s="174"/>
      <c r="H249" s="174"/>
      <c r="I249" s="174"/>
      <c r="J249" s="174"/>
      <c r="K249" s="174"/>
      <c r="L249" s="174"/>
      <c r="M249" s="174"/>
      <c r="N249" s="174"/>
      <c r="O249" s="174"/>
      <c r="P249" s="174"/>
      <c r="Q249" s="174"/>
      <c r="R249" s="174"/>
      <c r="S249" s="174"/>
      <c r="T249" s="174"/>
      <c r="U249" s="174"/>
      <c r="V249" s="174"/>
      <c r="W249" s="174"/>
      <c r="X249" s="174"/>
      <c r="Y249" s="174"/>
      <c r="Z249" s="174"/>
    </row>
    <row r="250" customFormat="false" ht="15.75" hidden="false" customHeight="false" outlineLevel="0" collapsed="false">
      <c r="A250" s="174"/>
      <c r="B250" s="174"/>
      <c r="C250" s="174"/>
      <c r="D250" s="174"/>
      <c r="E250" s="174"/>
      <c r="F250" s="174"/>
      <c r="G250" s="174"/>
      <c r="H250" s="174"/>
      <c r="I250" s="174"/>
      <c r="J250" s="174"/>
      <c r="K250" s="174"/>
      <c r="L250" s="174"/>
      <c r="M250" s="174"/>
      <c r="N250" s="174"/>
      <c r="O250" s="174"/>
      <c r="P250" s="174"/>
      <c r="Q250" s="174"/>
      <c r="R250" s="174"/>
      <c r="S250" s="174"/>
      <c r="T250" s="174"/>
      <c r="U250" s="174"/>
      <c r="V250" s="174"/>
      <c r="W250" s="174"/>
      <c r="X250" s="174"/>
      <c r="Y250" s="174"/>
      <c r="Z250" s="174"/>
    </row>
    <row r="251" customFormat="false" ht="15.75" hidden="false" customHeight="false" outlineLevel="0" collapsed="false">
      <c r="A251" s="174"/>
      <c r="B251" s="174"/>
      <c r="C251" s="174"/>
      <c r="D251" s="174"/>
      <c r="E251" s="174"/>
      <c r="F251" s="174"/>
      <c r="G251" s="174"/>
      <c r="H251" s="174"/>
      <c r="I251" s="174"/>
      <c r="J251" s="174"/>
      <c r="K251" s="174"/>
      <c r="L251" s="174"/>
      <c r="M251" s="174"/>
      <c r="N251" s="174"/>
      <c r="O251" s="174"/>
      <c r="P251" s="174"/>
      <c r="Q251" s="174"/>
      <c r="R251" s="174"/>
      <c r="S251" s="174"/>
      <c r="T251" s="174"/>
      <c r="U251" s="174"/>
      <c r="V251" s="174"/>
      <c r="W251" s="174"/>
      <c r="X251" s="174"/>
      <c r="Y251" s="174"/>
      <c r="Z251" s="174"/>
    </row>
    <row r="252" customFormat="false" ht="15.75" hidden="false" customHeight="false" outlineLevel="0" collapsed="false">
      <c r="A252" s="174"/>
      <c r="B252" s="174"/>
      <c r="C252" s="174"/>
      <c r="D252" s="174"/>
      <c r="E252" s="174"/>
      <c r="F252" s="174"/>
      <c r="G252" s="174"/>
      <c r="H252" s="174"/>
      <c r="I252" s="174"/>
      <c r="J252" s="174"/>
      <c r="K252" s="174"/>
      <c r="L252" s="174"/>
      <c r="M252" s="174"/>
      <c r="N252" s="174"/>
      <c r="O252" s="174"/>
      <c r="P252" s="174"/>
      <c r="Q252" s="174"/>
      <c r="R252" s="174"/>
      <c r="S252" s="174"/>
      <c r="T252" s="174"/>
      <c r="U252" s="174"/>
      <c r="V252" s="174"/>
      <c r="W252" s="174"/>
      <c r="X252" s="174"/>
      <c r="Y252" s="174"/>
      <c r="Z252" s="174"/>
    </row>
    <row r="253" customFormat="false" ht="15.75" hidden="false" customHeight="false" outlineLevel="0" collapsed="false">
      <c r="A253" s="174"/>
      <c r="B253" s="174"/>
      <c r="C253" s="174"/>
      <c r="D253" s="174"/>
      <c r="E253" s="174"/>
      <c r="F253" s="174"/>
      <c r="G253" s="174"/>
      <c r="H253" s="174"/>
      <c r="I253" s="174"/>
      <c r="J253" s="174"/>
      <c r="K253" s="174"/>
      <c r="L253" s="174"/>
      <c r="M253" s="174"/>
      <c r="N253" s="174"/>
      <c r="O253" s="174"/>
      <c r="P253" s="174"/>
      <c r="Q253" s="174"/>
      <c r="R253" s="174"/>
      <c r="S253" s="174"/>
      <c r="T253" s="174"/>
      <c r="U253" s="174"/>
      <c r="V253" s="174"/>
      <c r="W253" s="174"/>
      <c r="X253" s="174"/>
      <c r="Y253" s="174"/>
      <c r="Z253" s="174"/>
    </row>
    <row r="254" customFormat="false" ht="15.75" hidden="false" customHeight="false" outlineLevel="0" collapsed="false">
      <c r="A254" s="174"/>
      <c r="B254" s="174"/>
      <c r="C254" s="174"/>
      <c r="D254" s="174"/>
      <c r="E254" s="174"/>
      <c r="F254" s="174"/>
      <c r="G254" s="174"/>
      <c r="H254" s="174"/>
      <c r="I254" s="174"/>
      <c r="J254" s="174"/>
      <c r="K254" s="174"/>
      <c r="L254" s="174"/>
      <c r="M254" s="174"/>
      <c r="N254" s="174"/>
      <c r="O254" s="174"/>
      <c r="P254" s="174"/>
      <c r="Q254" s="174"/>
      <c r="R254" s="174"/>
      <c r="S254" s="174"/>
      <c r="T254" s="174"/>
      <c r="U254" s="174"/>
      <c r="V254" s="174"/>
      <c r="W254" s="174"/>
      <c r="X254" s="174"/>
      <c r="Y254" s="174"/>
      <c r="Z254" s="174"/>
    </row>
    <row r="255" customFormat="false" ht="15.75" hidden="false" customHeight="false" outlineLevel="0" collapsed="false">
      <c r="A255" s="174"/>
      <c r="B255" s="174"/>
      <c r="C255" s="174"/>
      <c r="D255" s="174"/>
      <c r="E255" s="174"/>
      <c r="F255" s="174"/>
      <c r="G255" s="174"/>
      <c r="H255" s="174"/>
      <c r="I255" s="174"/>
      <c r="J255" s="174"/>
      <c r="K255" s="174"/>
      <c r="L255" s="174"/>
      <c r="M255" s="174"/>
      <c r="N255" s="174"/>
      <c r="O255" s="174"/>
      <c r="P255" s="174"/>
      <c r="Q255" s="174"/>
      <c r="R255" s="174"/>
      <c r="S255" s="174"/>
      <c r="T255" s="174"/>
      <c r="U255" s="174"/>
      <c r="V255" s="174"/>
      <c r="W255" s="174"/>
      <c r="X255" s="174"/>
      <c r="Y255" s="174"/>
      <c r="Z255" s="174"/>
    </row>
    <row r="256" customFormat="false" ht="15.75" hidden="false" customHeight="false" outlineLevel="0" collapsed="false">
      <c r="A256" s="174"/>
      <c r="B256" s="174"/>
      <c r="C256" s="174"/>
      <c r="D256" s="174"/>
      <c r="E256" s="174"/>
      <c r="F256" s="174"/>
      <c r="G256" s="174"/>
      <c r="H256" s="174"/>
      <c r="I256" s="174"/>
      <c r="J256" s="174"/>
      <c r="K256" s="174"/>
      <c r="L256" s="174"/>
      <c r="M256" s="174"/>
      <c r="N256" s="174"/>
      <c r="O256" s="174"/>
      <c r="P256" s="174"/>
      <c r="Q256" s="174"/>
      <c r="R256" s="174"/>
      <c r="S256" s="174"/>
      <c r="T256" s="174"/>
      <c r="U256" s="174"/>
      <c r="V256" s="174"/>
      <c r="W256" s="174"/>
      <c r="X256" s="174"/>
      <c r="Y256" s="174"/>
      <c r="Z256" s="174"/>
    </row>
    <row r="257" customFormat="false" ht="15.75" hidden="false" customHeight="false" outlineLevel="0" collapsed="false">
      <c r="A257" s="174"/>
      <c r="B257" s="174"/>
      <c r="C257" s="174"/>
      <c r="D257" s="174"/>
      <c r="E257" s="174"/>
      <c r="F257" s="174"/>
      <c r="G257" s="174"/>
      <c r="H257" s="174"/>
      <c r="I257" s="174"/>
      <c r="J257" s="174"/>
      <c r="K257" s="174"/>
      <c r="L257" s="174"/>
      <c r="M257" s="174"/>
      <c r="N257" s="174"/>
      <c r="O257" s="174"/>
      <c r="P257" s="174"/>
      <c r="Q257" s="174"/>
      <c r="R257" s="174"/>
      <c r="S257" s="174"/>
      <c r="T257" s="174"/>
      <c r="U257" s="174"/>
      <c r="V257" s="174"/>
      <c r="W257" s="174"/>
      <c r="X257" s="174"/>
      <c r="Y257" s="174"/>
      <c r="Z257" s="174"/>
    </row>
    <row r="258" customFormat="false" ht="15.75" hidden="false" customHeight="false" outlineLevel="0" collapsed="false">
      <c r="A258" s="174"/>
      <c r="B258" s="174"/>
      <c r="C258" s="174"/>
      <c r="D258" s="174"/>
      <c r="E258" s="174"/>
      <c r="F258" s="174"/>
      <c r="G258" s="174"/>
      <c r="H258" s="174"/>
      <c r="I258" s="174"/>
      <c r="J258" s="174"/>
      <c r="K258" s="174"/>
      <c r="L258" s="174"/>
      <c r="M258" s="174"/>
      <c r="N258" s="174"/>
      <c r="O258" s="174"/>
      <c r="P258" s="174"/>
      <c r="Q258" s="174"/>
      <c r="R258" s="174"/>
      <c r="S258" s="174"/>
      <c r="T258" s="174"/>
      <c r="U258" s="174"/>
      <c r="V258" s="174"/>
      <c r="W258" s="174"/>
      <c r="X258" s="174"/>
      <c r="Y258" s="174"/>
      <c r="Z258" s="174"/>
    </row>
    <row r="259" customFormat="false" ht="15.75" hidden="false" customHeight="false" outlineLevel="0" collapsed="false">
      <c r="A259" s="174"/>
      <c r="B259" s="174"/>
      <c r="C259" s="174"/>
      <c r="D259" s="174"/>
      <c r="E259" s="174"/>
      <c r="F259" s="174"/>
      <c r="G259" s="174"/>
      <c r="H259" s="174"/>
      <c r="I259" s="174"/>
      <c r="J259" s="174"/>
      <c r="K259" s="174"/>
      <c r="L259" s="174"/>
      <c r="M259" s="174"/>
      <c r="N259" s="174"/>
      <c r="O259" s="174"/>
      <c r="P259" s="174"/>
      <c r="Q259" s="174"/>
      <c r="R259" s="174"/>
      <c r="S259" s="174"/>
      <c r="T259" s="174"/>
      <c r="U259" s="174"/>
      <c r="V259" s="174"/>
      <c r="W259" s="174"/>
      <c r="X259" s="174"/>
      <c r="Y259" s="174"/>
      <c r="Z259" s="174"/>
    </row>
    <row r="260" customFormat="false" ht="15.75" hidden="false" customHeight="false" outlineLevel="0" collapsed="false">
      <c r="A260" s="174"/>
      <c r="B260" s="174"/>
      <c r="C260" s="174"/>
      <c r="D260" s="174"/>
      <c r="E260" s="174"/>
      <c r="F260" s="174"/>
      <c r="G260" s="174"/>
      <c r="H260" s="174"/>
      <c r="I260" s="174"/>
      <c r="J260" s="174"/>
      <c r="K260" s="174"/>
      <c r="L260" s="174"/>
      <c r="M260" s="174"/>
      <c r="N260" s="174"/>
      <c r="O260" s="174"/>
      <c r="P260" s="174"/>
      <c r="Q260" s="174"/>
      <c r="R260" s="174"/>
      <c r="S260" s="174"/>
      <c r="T260" s="174"/>
      <c r="U260" s="174"/>
      <c r="V260" s="174"/>
      <c r="W260" s="174"/>
      <c r="X260" s="174"/>
      <c r="Y260" s="174"/>
      <c r="Z260" s="174"/>
    </row>
    <row r="261" customFormat="false" ht="15.75" hidden="false" customHeight="false" outlineLevel="0" collapsed="false">
      <c r="A261" s="174"/>
      <c r="B261" s="174"/>
      <c r="C261" s="174"/>
      <c r="D261" s="174"/>
      <c r="E261" s="174"/>
      <c r="F261" s="174"/>
      <c r="G261" s="174"/>
      <c r="H261" s="174"/>
      <c r="I261" s="174"/>
      <c r="J261" s="174"/>
      <c r="K261" s="174"/>
      <c r="L261" s="174"/>
      <c r="M261" s="174"/>
      <c r="N261" s="174"/>
      <c r="O261" s="174"/>
      <c r="P261" s="174"/>
      <c r="Q261" s="174"/>
      <c r="R261" s="174"/>
      <c r="S261" s="174"/>
      <c r="T261" s="174"/>
      <c r="U261" s="174"/>
      <c r="V261" s="174"/>
      <c r="W261" s="174"/>
      <c r="X261" s="174"/>
      <c r="Y261" s="174"/>
      <c r="Z261" s="174"/>
    </row>
    <row r="262" customFormat="false" ht="15.75" hidden="false" customHeight="false" outlineLevel="0" collapsed="false">
      <c r="A262" s="174"/>
      <c r="B262" s="174"/>
      <c r="C262" s="174"/>
      <c r="D262" s="174"/>
      <c r="E262" s="174"/>
      <c r="F262" s="174"/>
      <c r="G262" s="174"/>
      <c r="H262" s="174"/>
      <c r="I262" s="174"/>
      <c r="J262" s="174"/>
      <c r="K262" s="174"/>
      <c r="L262" s="174"/>
      <c r="M262" s="174"/>
      <c r="N262" s="174"/>
      <c r="O262" s="174"/>
      <c r="P262" s="174"/>
      <c r="Q262" s="174"/>
      <c r="R262" s="174"/>
      <c r="S262" s="174"/>
      <c r="T262" s="174"/>
      <c r="U262" s="174"/>
      <c r="V262" s="174"/>
      <c r="W262" s="174"/>
      <c r="X262" s="174"/>
      <c r="Y262" s="174"/>
      <c r="Z262" s="174"/>
    </row>
    <row r="263" customFormat="false" ht="15.75" hidden="false" customHeight="false" outlineLevel="0" collapsed="false">
      <c r="A263" s="174"/>
      <c r="B263" s="174"/>
      <c r="C263" s="174"/>
      <c r="D263" s="174"/>
      <c r="E263" s="174"/>
      <c r="F263" s="174"/>
      <c r="G263" s="174"/>
      <c r="H263" s="174"/>
      <c r="I263" s="174"/>
      <c r="J263" s="174"/>
      <c r="K263" s="174"/>
      <c r="L263" s="174"/>
      <c r="M263" s="174"/>
      <c r="N263" s="174"/>
      <c r="O263" s="174"/>
      <c r="P263" s="174"/>
      <c r="Q263" s="174"/>
      <c r="R263" s="174"/>
      <c r="S263" s="174"/>
      <c r="T263" s="174"/>
      <c r="U263" s="174"/>
      <c r="V263" s="174"/>
      <c r="W263" s="174"/>
      <c r="X263" s="174"/>
      <c r="Y263" s="174"/>
      <c r="Z263" s="174"/>
    </row>
    <row r="264" customFormat="false" ht="15.75" hidden="false" customHeight="false" outlineLevel="0" collapsed="false">
      <c r="A264" s="174"/>
      <c r="B264" s="174"/>
      <c r="C264" s="174"/>
      <c r="D264" s="174"/>
      <c r="E264" s="174"/>
      <c r="F264" s="174"/>
      <c r="G264" s="174"/>
      <c r="H264" s="174"/>
      <c r="I264" s="174"/>
      <c r="J264" s="174"/>
      <c r="K264" s="174"/>
      <c r="L264" s="174"/>
      <c r="M264" s="174"/>
      <c r="N264" s="174"/>
      <c r="O264" s="174"/>
      <c r="P264" s="174"/>
      <c r="Q264" s="174"/>
      <c r="R264" s="174"/>
      <c r="S264" s="174"/>
      <c r="T264" s="174"/>
      <c r="U264" s="174"/>
      <c r="V264" s="174"/>
      <c r="W264" s="174"/>
      <c r="X264" s="174"/>
      <c r="Y264" s="174"/>
      <c r="Z264" s="174"/>
    </row>
    <row r="265" customFormat="false" ht="15.75" hidden="false" customHeight="false" outlineLevel="0" collapsed="false">
      <c r="A265" s="174"/>
      <c r="B265" s="174"/>
      <c r="C265" s="174"/>
      <c r="D265" s="174"/>
      <c r="E265" s="174"/>
      <c r="F265" s="174"/>
      <c r="G265" s="174"/>
      <c r="H265" s="174"/>
      <c r="I265" s="174"/>
      <c r="J265" s="174"/>
      <c r="K265" s="174"/>
      <c r="L265" s="174"/>
      <c r="M265" s="174"/>
      <c r="N265" s="174"/>
      <c r="O265" s="174"/>
      <c r="P265" s="174"/>
      <c r="Q265" s="174"/>
      <c r="R265" s="174"/>
      <c r="S265" s="174"/>
      <c r="T265" s="174"/>
      <c r="U265" s="174"/>
      <c r="V265" s="174"/>
      <c r="W265" s="174"/>
      <c r="X265" s="174"/>
      <c r="Y265" s="174"/>
      <c r="Z265" s="174"/>
    </row>
    <row r="266" customFormat="false" ht="15.75" hidden="false" customHeight="false" outlineLevel="0" collapsed="false">
      <c r="A266" s="174"/>
      <c r="B266" s="174"/>
      <c r="C266" s="174"/>
      <c r="D266" s="174"/>
      <c r="E266" s="174"/>
      <c r="F266" s="174"/>
      <c r="G266" s="174"/>
      <c r="H266" s="174"/>
      <c r="I266" s="174"/>
      <c r="J266" s="174"/>
      <c r="K266" s="174"/>
      <c r="L266" s="174"/>
      <c r="M266" s="174"/>
      <c r="N266" s="174"/>
      <c r="O266" s="174"/>
      <c r="P266" s="174"/>
      <c r="Q266" s="174"/>
      <c r="R266" s="174"/>
      <c r="S266" s="174"/>
      <c r="T266" s="174"/>
      <c r="U266" s="174"/>
      <c r="V266" s="174"/>
      <c r="W266" s="174"/>
      <c r="X266" s="174"/>
      <c r="Y266" s="174"/>
      <c r="Z266" s="174"/>
    </row>
    <row r="267" customFormat="false" ht="15.75" hidden="false" customHeight="false" outlineLevel="0" collapsed="false">
      <c r="A267" s="174"/>
      <c r="B267" s="174"/>
      <c r="C267" s="174"/>
      <c r="D267" s="174"/>
      <c r="E267" s="174"/>
      <c r="F267" s="174"/>
      <c r="G267" s="174"/>
      <c r="H267" s="174"/>
      <c r="I267" s="174"/>
      <c r="J267" s="174"/>
      <c r="K267" s="174"/>
      <c r="L267" s="174"/>
      <c r="M267" s="174"/>
      <c r="N267" s="174"/>
      <c r="O267" s="174"/>
      <c r="P267" s="174"/>
      <c r="Q267" s="174"/>
      <c r="R267" s="174"/>
      <c r="S267" s="174"/>
      <c r="T267" s="174"/>
      <c r="U267" s="174"/>
      <c r="V267" s="174"/>
      <c r="W267" s="174"/>
      <c r="X267" s="174"/>
      <c r="Y267" s="174"/>
      <c r="Z267" s="174"/>
    </row>
    <row r="268" customFormat="false" ht="15.75" hidden="false" customHeight="false" outlineLevel="0" collapsed="false">
      <c r="A268" s="174"/>
      <c r="B268" s="174"/>
      <c r="C268" s="174"/>
      <c r="D268" s="174"/>
      <c r="E268" s="174"/>
      <c r="F268" s="174"/>
      <c r="G268" s="174"/>
      <c r="H268" s="174"/>
      <c r="I268" s="174"/>
      <c r="J268" s="174"/>
      <c r="K268" s="174"/>
      <c r="L268" s="174"/>
      <c r="M268" s="174"/>
      <c r="N268" s="174"/>
      <c r="O268" s="174"/>
      <c r="P268" s="174"/>
      <c r="Q268" s="174"/>
      <c r="R268" s="174"/>
      <c r="S268" s="174"/>
      <c r="T268" s="174"/>
      <c r="U268" s="174"/>
      <c r="V268" s="174"/>
      <c r="W268" s="174"/>
      <c r="X268" s="174"/>
      <c r="Y268" s="174"/>
      <c r="Z268" s="174"/>
    </row>
    <row r="269" customFormat="false" ht="15.75" hidden="false" customHeight="false" outlineLevel="0" collapsed="false">
      <c r="A269" s="174"/>
      <c r="B269" s="174"/>
      <c r="C269" s="174"/>
      <c r="D269" s="174"/>
      <c r="E269" s="174"/>
      <c r="F269" s="174"/>
      <c r="G269" s="174"/>
      <c r="H269" s="174"/>
      <c r="I269" s="174"/>
      <c r="J269" s="174"/>
      <c r="K269" s="174"/>
      <c r="L269" s="174"/>
      <c r="M269" s="174"/>
      <c r="N269" s="174"/>
      <c r="O269" s="174"/>
      <c r="P269" s="174"/>
      <c r="Q269" s="174"/>
      <c r="R269" s="174"/>
      <c r="S269" s="174"/>
      <c r="T269" s="174"/>
      <c r="U269" s="174"/>
      <c r="V269" s="174"/>
      <c r="W269" s="174"/>
      <c r="X269" s="174"/>
      <c r="Y269" s="174"/>
      <c r="Z269" s="174"/>
    </row>
    <row r="270" customFormat="false" ht="15.75" hidden="false" customHeight="false" outlineLevel="0" collapsed="false">
      <c r="A270" s="174"/>
      <c r="B270" s="174"/>
      <c r="C270" s="174"/>
      <c r="D270" s="174"/>
      <c r="E270" s="174"/>
      <c r="F270" s="174"/>
      <c r="G270" s="174"/>
      <c r="H270" s="174"/>
      <c r="I270" s="174"/>
      <c r="J270" s="174"/>
      <c r="K270" s="174"/>
      <c r="L270" s="174"/>
      <c r="M270" s="174"/>
      <c r="N270" s="174"/>
      <c r="O270" s="174"/>
      <c r="P270" s="174"/>
      <c r="Q270" s="174"/>
      <c r="R270" s="174"/>
      <c r="S270" s="174"/>
      <c r="T270" s="174"/>
      <c r="U270" s="174"/>
      <c r="V270" s="174"/>
      <c r="W270" s="174"/>
      <c r="X270" s="174"/>
      <c r="Y270" s="174"/>
      <c r="Z270" s="174"/>
    </row>
    <row r="271" customFormat="false" ht="15.75" hidden="false" customHeight="false" outlineLevel="0" collapsed="false">
      <c r="A271" s="174"/>
      <c r="B271" s="174"/>
      <c r="C271" s="174"/>
      <c r="D271" s="174"/>
      <c r="E271" s="174"/>
      <c r="F271" s="174"/>
      <c r="G271" s="174"/>
      <c r="H271" s="174"/>
      <c r="I271" s="174"/>
      <c r="J271" s="174"/>
      <c r="K271" s="174"/>
      <c r="L271" s="174"/>
      <c r="M271" s="174"/>
      <c r="N271" s="174"/>
      <c r="O271" s="174"/>
      <c r="P271" s="174"/>
      <c r="Q271" s="174"/>
      <c r="R271" s="174"/>
      <c r="S271" s="174"/>
      <c r="T271" s="174"/>
      <c r="U271" s="174"/>
      <c r="V271" s="174"/>
      <c r="W271" s="174"/>
      <c r="X271" s="174"/>
      <c r="Y271" s="174"/>
      <c r="Z271" s="174"/>
    </row>
    <row r="272" customFormat="false" ht="15.75" hidden="false" customHeight="false" outlineLevel="0" collapsed="false">
      <c r="A272" s="174"/>
      <c r="B272" s="174"/>
      <c r="C272" s="174"/>
      <c r="D272" s="174"/>
      <c r="E272" s="174"/>
      <c r="F272" s="174"/>
      <c r="G272" s="174"/>
      <c r="H272" s="174"/>
      <c r="I272" s="174"/>
      <c r="J272" s="174"/>
      <c r="K272" s="174"/>
      <c r="L272" s="174"/>
      <c r="M272" s="174"/>
      <c r="N272" s="174"/>
      <c r="O272" s="174"/>
      <c r="P272" s="174"/>
      <c r="Q272" s="174"/>
      <c r="R272" s="174"/>
      <c r="S272" s="174"/>
      <c r="T272" s="174"/>
      <c r="U272" s="174"/>
      <c r="V272" s="174"/>
      <c r="W272" s="174"/>
      <c r="X272" s="174"/>
      <c r="Y272" s="174"/>
      <c r="Z272" s="174"/>
    </row>
    <row r="273" customFormat="false" ht="15.75" hidden="false" customHeight="false" outlineLevel="0" collapsed="false">
      <c r="A273" s="174"/>
      <c r="B273" s="174"/>
      <c r="C273" s="174"/>
      <c r="D273" s="174"/>
      <c r="E273" s="174"/>
      <c r="F273" s="174"/>
      <c r="G273" s="174"/>
      <c r="H273" s="174"/>
      <c r="I273" s="174"/>
      <c r="J273" s="174"/>
      <c r="K273" s="174"/>
      <c r="L273" s="174"/>
      <c r="M273" s="174"/>
      <c r="N273" s="174"/>
      <c r="O273" s="174"/>
      <c r="P273" s="174"/>
      <c r="Q273" s="174"/>
      <c r="R273" s="174"/>
      <c r="S273" s="174"/>
      <c r="T273" s="174"/>
      <c r="U273" s="174"/>
      <c r="V273" s="174"/>
      <c r="W273" s="174"/>
      <c r="X273" s="174"/>
      <c r="Y273" s="174"/>
      <c r="Z273" s="174"/>
    </row>
    <row r="274" customFormat="false" ht="15.75" hidden="false" customHeight="false" outlineLevel="0" collapsed="false">
      <c r="A274" s="174"/>
      <c r="B274" s="174"/>
      <c r="C274" s="174"/>
      <c r="D274" s="174"/>
      <c r="E274" s="174"/>
      <c r="F274" s="174"/>
      <c r="G274" s="174"/>
      <c r="H274" s="174"/>
      <c r="I274" s="174"/>
      <c r="J274" s="174"/>
      <c r="K274" s="174"/>
      <c r="L274" s="174"/>
      <c r="M274" s="174"/>
      <c r="N274" s="174"/>
      <c r="O274" s="174"/>
      <c r="P274" s="174"/>
      <c r="Q274" s="174"/>
      <c r="R274" s="174"/>
      <c r="S274" s="174"/>
      <c r="T274" s="174"/>
      <c r="U274" s="174"/>
      <c r="V274" s="174"/>
      <c r="W274" s="174"/>
      <c r="X274" s="174"/>
      <c r="Y274" s="174"/>
      <c r="Z274" s="174"/>
    </row>
    <row r="275" customFormat="false" ht="15.75" hidden="false" customHeight="false" outlineLevel="0" collapsed="false">
      <c r="A275" s="174"/>
      <c r="B275" s="174"/>
      <c r="C275" s="174"/>
      <c r="D275" s="174"/>
      <c r="E275" s="174"/>
      <c r="F275" s="174"/>
      <c r="G275" s="174"/>
      <c r="H275" s="174"/>
      <c r="I275" s="174"/>
      <c r="J275" s="174"/>
      <c r="K275" s="174"/>
      <c r="L275" s="174"/>
      <c r="M275" s="174"/>
      <c r="N275" s="174"/>
      <c r="O275" s="174"/>
      <c r="P275" s="174"/>
      <c r="Q275" s="174"/>
      <c r="R275" s="174"/>
      <c r="S275" s="174"/>
      <c r="T275" s="174"/>
      <c r="U275" s="174"/>
      <c r="V275" s="174"/>
      <c r="W275" s="174"/>
      <c r="X275" s="174"/>
      <c r="Y275" s="174"/>
      <c r="Z275" s="174"/>
    </row>
    <row r="276" customFormat="false" ht="15.75" hidden="false" customHeight="false" outlineLevel="0" collapsed="false">
      <c r="A276" s="174"/>
      <c r="B276" s="174"/>
      <c r="C276" s="174"/>
      <c r="D276" s="174"/>
      <c r="E276" s="174"/>
      <c r="F276" s="174"/>
      <c r="G276" s="174"/>
      <c r="H276" s="174"/>
      <c r="I276" s="174"/>
      <c r="J276" s="174"/>
      <c r="K276" s="174"/>
      <c r="L276" s="174"/>
      <c r="M276" s="174"/>
      <c r="N276" s="174"/>
      <c r="O276" s="174"/>
      <c r="P276" s="174"/>
      <c r="Q276" s="174"/>
      <c r="R276" s="174"/>
      <c r="S276" s="174"/>
      <c r="T276" s="174"/>
      <c r="U276" s="174"/>
      <c r="V276" s="174"/>
      <c r="W276" s="174"/>
      <c r="X276" s="174"/>
      <c r="Y276" s="174"/>
      <c r="Z276" s="174"/>
    </row>
    <row r="277" customFormat="false" ht="15.75" hidden="false" customHeight="false" outlineLevel="0" collapsed="false">
      <c r="A277" s="174"/>
      <c r="B277" s="174"/>
      <c r="C277" s="174"/>
      <c r="D277" s="174"/>
      <c r="E277" s="174"/>
      <c r="F277" s="174"/>
      <c r="G277" s="174"/>
      <c r="H277" s="174"/>
      <c r="I277" s="174"/>
      <c r="J277" s="174"/>
      <c r="K277" s="174"/>
      <c r="L277" s="174"/>
      <c r="M277" s="174"/>
      <c r="N277" s="174"/>
      <c r="O277" s="174"/>
      <c r="P277" s="174"/>
      <c r="Q277" s="174"/>
      <c r="R277" s="174"/>
      <c r="S277" s="174"/>
      <c r="T277" s="174"/>
      <c r="U277" s="174"/>
      <c r="V277" s="174"/>
      <c r="W277" s="174"/>
      <c r="X277" s="174"/>
      <c r="Y277" s="174"/>
      <c r="Z277" s="174"/>
    </row>
    <row r="278" customFormat="false" ht="15.75" hidden="false" customHeight="false" outlineLevel="0" collapsed="false">
      <c r="A278" s="174"/>
      <c r="B278" s="174"/>
      <c r="C278" s="174"/>
      <c r="D278" s="174"/>
      <c r="E278" s="174"/>
      <c r="F278" s="174"/>
      <c r="G278" s="174"/>
      <c r="H278" s="174"/>
      <c r="I278" s="174"/>
      <c r="J278" s="174"/>
      <c r="K278" s="174"/>
      <c r="L278" s="174"/>
      <c r="M278" s="174"/>
      <c r="N278" s="174"/>
      <c r="O278" s="174"/>
      <c r="P278" s="174"/>
      <c r="Q278" s="174"/>
      <c r="R278" s="174"/>
      <c r="S278" s="174"/>
      <c r="T278" s="174"/>
      <c r="U278" s="174"/>
      <c r="V278" s="174"/>
      <c r="W278" s="174"/>
      <c r="X278" s="174"/>
      <c r="Y278" s="174"/>
      <c r="Z278" s="174"/>
    </row>
    <row r="279" customFormat="false" ht="15.75" hidden="false" customHeight="false" outlineLevel="0" collapsed="false">
      <c r="A279" s="174"/>
      <c r="B279" s="174"/>
      <c r="C279" s="174"/>
      <c r="D279" s="174"/>
      <c r="E279" s="174"/>
      <c r="F279" s="174"/>
      <c r="G279" s="174"/>
      <c r="H279" s="174"/>
      <c r="I279" s="174"/>
      <c r="J279" s="174"/>
      <c r="K279" s="174"/>
      <c r="L279" s="174"/>
      <c r="M279" s="174"/>
      <c r="N279" s="174"/>
      <c r="O279" s="174"/>
      <c r="P279" s="174"/>
      <c r="Q279" s="174"/>
      <c r="R279" s="174"/>
      <c r="S279" s="174"/>
      <c r="T279" s="174"/>
      <c r="U279" s="174"/>
      <c r="V279" s="174"/>
      <c r="W279" s="174"/>
      <c r="X279" s="174"/>
      <c r="Y279" s="174"/>
      <c r="Z279" s="174"/>
    </row>
    <row r="280" customFormat="false" ht="15.75" hidden="false" customHeight="false" outlineLevel="0" collapsed="false">
      <c r="A280" s="174"/>
      <c r="B280" s="174"/>
      <c r="C280" s="174"/>
      <c r="D280" s="174"/>
      <c r="E280" s="174"/>
      <c r="F280" s="174"/>
      <c r="G280" s="174"/>
      <c r="H280" s="174"/>
      <c r="I280" s="174"/>
      <c r="J280" s="174"/>
      <c r="K280" s="174"/>
      <c r="L280" s="174"/>
      <c r="M280" s="174"/>
      <c r="N280" s="174"/>
      <c r="O280" s="174"/>
      <c r="P280" s="174"/>
      <c r="Q280" s="174"/>
      <c r="R280" s="174"/>
      <c r="S280" s="174"/>
      <c r="T280" s="174"/>
      <c r="U280" s="174"/>
      <c r="V280" s="174"/>
      <c r="W280" s="174"/>
      <c r="X280" s="174"/>
      <c r="Y280" s="174"/>
      <c r="Z280" s="174"/>
    </row>
    <row r="281" customFormat="false" ht="15.75" hidden="false" customHeight="false" outlineLevel="0" collapsed="false">
      <c r="A281" s="174"/>
      <c r="B281" s="174"/>
      <c r="C281" s="174"/>
      <c r="D281" s="174"/>
      <c r="E281" s="174"/>
      <c r="F281" s="174"/>
      <c r="G281" s="174"/>
      <c r="H281" s="174"/>
      <c r="I281" s="174"/>
      <c r="J281" s="174"/>
      <c r="K281" s="174"/>
      <c r="L281" s="174"/>
      <c r="M281" s="174"/>
      <c r="N281" s="174"/>
      <c r="O281" s="174"/>
      <c r="P281" s="174"/>
      <c r="Q281" s="174"/>
      <c r="R281" s="174"/>
      <c r="S281" s="174"/>
      <c r="T281" s="174"/>
      <c r="U281" s="174"/>
      <c r="V281" s="174"/>
      <c r="W281" s="174"/>
      <c r="X281" s="174"/>
      <c r="Y281" s="174"/>
      <c r="Z281" s="174"/>
    </row>
    <row r="282" customFormat="false" ht="15.75" hidden="false" customHeight="false" outlineLevel="0" collapsed="false">
      <c r="A282" s="174"/>
      <c r="B282" s="174"/>
      <c r="C282" s="174"/>
      <c r="D282" s="174"/>
      <c r="E282" s="174"/>
      <c r="F282" s="174"/>
      <c r="G282" s="174"/>
      <c r="H282" s="174"/>
      <c r="I282" s="174"/>
      <c r="J282" s="174"/>
      <c r="K282" s="174"/>
      <c r="L282" s="174"/>
      <c r="M282" s="174"/>
      <c r="N282" s="174"/>
      <c r="O282" s="174"/>
      <c r="P282" s="174"/>
      <c r="Q282" s="174"/>
      <c r="R282" s="174"/>
      <c r="S282" s="174"/>
      <c r="T282" s="174"/>
      <c r="U282" s="174"/>
      <c r="V282" s="174"/>
      <c r="W282" s="174"/>
      <c r="X282" s="174"/>
      <c r="Y282" s="174"/>
      <c r="Z282" s="174"/>
    </row>
    <row r="283" customFormat="false" ht="15.75" hidden="false" customHeight="false" outlineLevel="0" collapsed="false">
      <c r="A283" s="174"/>
      <c r="B283" s="174"/>
      <c r="C283" s="174"/>
      <c r="D283" s="174"/>
      <c r="E283" s="174"/>
      <c r="F283" s="174"/>
      <c r="G283" s="174"/>
      <c r="H283" s="174"/>
      <c r="I283" s="174"/>
      <c r="J283" s="174"/>
      <c r="K283" s="174"/>
      <c r="L283" s="174"/>
      <c r="M283" s="174"/>
      <c r="N283" s="174"/>
      <c r="O283" s="174"/>
      <c r="P283" s="174"/>
      <c r="Q283" s="174"/>
      <c r="R283" s="174"/>
      <c r="S283" s="174"/>
      <c r="T283" s="174"/>
      <c r="U283" s="174"/>
      <c r="V283" s="174"/>
      <c r="W283" s="174"/>
      <c r="X283" s="174"/>
      <c r="Y283" s="174"/>
      <c r="Z283" s="174"/>
    </row>
    <row r="284" customFormat="false" ht="15.75" hidden="false" customHeight="false" outlineLevel="0" collapsed="false">
      <c r="A284" s="174"/>
      <c r="B284" s="174"/>
      <c r="C284" s="174"/>
      <c r="D284" s="174"/>
      <c r="E284" s="174"/>
      <c r="F284" s="174"/>
      <c r="G284" s="174"/>
      <c r="H284" s="174"/>
      <c r="I284" s="174"/>
      <c r="J284" s="174"/>
      <c r="K284" s="174"/>
      <c r="L284" s="174"/>
      <c r="M284" s="174"/>
      <c r="N284" s="174"/>
      <c r="O284" s="174"/>
      <c r="P284" s="174"/>
      <c r="Q284" s="174"/>
      <c r="R284" s="174"/>
      <c r="S284" s="174"/>
      <c r="T284" s="174"/>
      <c r="U284" s="174"/>
      <c r="V284" s="174"/>
      <c r="W284" s="174"/>
      <c r="X284" s="174"/>
      <c r="Y284" s="174"/>
      <c r="Z284" s="174"/>
    </row>
    <row r="285" customFormat="false" ht="15.75" hidden="false" customHeight="false" outlineLevel="0" collapsed="false">
      <c r="A285" s="174"/>
      <c r="B285" s="174"/>
      <c r="C285" s="174"/>
      <c r="D285" s="174"/>
      <c r="E285" s="174"/>
      <c r="F285" s="174"/>
      <c r="G285" s="174"/>
      <c r="H285" s="174"/>
      <c r="I285" s="174"/>
      <c r="J285" s="174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4"/>
      <c r="V285" s="174"/>
      <c r="W285" s="174"/>
      <c r="X285" s="174"/>
      <c r="Y285" s="174"/>
      <c r="Z285" s="174"/>
    </row>
    <row r="286" customFormat="false" ht="15.75" hidden="false" customHeight="false" outlineLevel="0" collapsed="false">
      <c r="A286" s="174"/>
      <c r="B286" s="174"/>
      <c r="C286" s="174"/>
      <c r="D286" s="174"/>
      <c r="E286" s="174"/>
      <c r="F286" s="174"/>
      <c r="G286" s="174"/>
      <c r="H286" s="174"/>
      <c r="I286" s="174"/>
      <c r="J286" s="174"/>
      <c r="K286" s="174"/>
      <c r="L286" s="174"/>
      <c r="M286" s="174"/>
      <c r="N286" s="174"/>
      <c r="O286" s="174"/>
      <c r="P286" s="174"/>
      <c r="Q286" s="174"/>
      <c r="R286" s="174"/>
      <c r="S286" s="174"/>
      <c r="T286" s="174"/>
      <c r="U286" s="174"/>
      <c r="V286" s="174"/>
      <c r="W286" s="174"/>
      <c r="X286" s="174"/>
      <c r="Y286" s="174"/>
      <c r="Z286" s="174"/>
    </row>
    <row r="287" customFormat="false" ht="15.75" hidden="false" customHeight="false" outlineLevel="0" collapsed="false">
      <c r="A287" s="174"/>
      <c r="B287" s="174"/>
      <c r="C287" s="174"/>
      <c r="D287" s="174"/>
      <c r="E287" s="174"/>
      <c r="F287" s="174"/>
      <c r="G287" s="174"/>
      <c r="H287" s="174"/>
      <c r="I287" s="174"/>
      <c r="J287" s="174"/>
      <c r="K287" s="174"/>
      <c r="L287" s="174"/>
      <c r="M287" s="174"/>
      <c r="N287" s="174"/>
      <c r="O287" s="174"/>
      <c r="P287" s="174"/>
      <c r="Q287" s="174"/>
      <c r="R287" s="174"/>
      <c r="S287" s="174"/>
      <c r="T287" s="174"/>
      <c r="U287" s="174"/>
      <c r="V287" s="174"/>
      <c r="W287" s="174"/>
      <c r="X287" s="174"/>
      <c r="Y287" s="174"/>
      <c r="Z287" s="174"/>
    </row>
    <row r="288" customFormat="false" ht="15.75" hidden="false" customHeight="false" outlineLevel="0" collapsed="false">
      <c r="A288" s="174"/>
      <c r="B288" s="174"/>
      <c r="C288" s="174"/>
      <c r="D288" s="174"/>
      <c r="E288" s="174"/>
      <c r="F288" s="174"/>
      <c r="G288" s="174"/>
      <c r="H288" s="174"/>
      <c r="I288" s="174"/>
      <c r="J288" s="174"/>
      <c r="K288" s="174"/>
      <c r="L288" s="174"/>
      <c r="M288" s="174"/>
      <c r="N288" s="174"/>
      <c r="O288" s="174"/>
      <c r="P288" s="174"/>
      <c r="Q288" s="174"/>
      <c r="R288" s="174"/>
      <c r="S288" s="174"/>
      <c r="T288" s="174"/>
      <c r="U288" s="174"/>
      <c r="V288" s="174"/>
      <c r="W288" s="174"/>
      <c r="X288" s="174"/>
      <c r="Y288" s="174"/>
      <c r="Z288" s="174"/>
    </row>
    <row r="289" customFormat="false" ht="15.75" hidden="false" customHeight="false" outlineLevel="0" collapsed="false">
      <c r="A289" s="174"/>
      <c r="B289" s="174"/>
      <c r="C289" s="174"/>
      <c r="D289" s="174"/>
      <c r="E289" s="174"/>
      <c r="F289" s="174"/>
      <c r="G289" s="174"/>
      <c r="H289" s="174"/>
      <c r="I289" s="174"/>
      <c r="J289" s="174"/>
      <c r="K289" s="174"/>
      <c r="L289" s="174"/>
      <c r="M289" s="174"/>
      <c r="N289" s="174"/>
      <c r="O289" s="174"/>
      <c r="P289" s="174"/>
      <c r="Q289" s="174"/>
      <c r="R289" s="174"/>
      <c r="S289" s="174"/>
      <c r="T289" s="174"/>
      <c r="U289" s="174"/>
      <c r="V289" s="174"/>
      <c r="W289" s="174"/>
      <c r="X289" s="174"/>
      <c r="Y289" s="174"/>
      <c r="Z289" s="174"/>
    </row>
    <row r="290" customFormat="false" ht="15.75" hidden="false" customHeight="false" outlineLevel="0" collapsed="false">
      <c r="A290" s="174"/>
      <c r="B290" s="174"/>
      <c r="C290" s="174"/>
      <c r="D290" s="174"/>
      <c r="E290" s="174"/>
      <c r="F290" s="174"/>
      <c r="G290" s="174"/>
      <c r="H290" s="174"/>
      <c r="I290" s="174"/>
      <c r="J290" s="174"/>
      <c r="K290" s="174"/>
      <c r="L290" s="174"/>
      <c r="M290" s="174"/>
      <c r="N290" s="174"/>
      <c r="O290" s="174"/>
      <c r="P290" s="174"/>
      <c r="Q290" s="174"/>
      <c r="R290" s="174"/>
      <c r="S290" s="174"/>
      <c r="T290" s="174"/>
      <c r="U290" s="174"/>
      <c r="V290" s="174"/>
      <c r="W290" s="174"/>
      <c r="X290" s="174"/>
      <c r="Y290" s="174"/>
      <c r="Z290" s="174"/>
    </row>
    <row r="291" customFormat="false" ht="15.75" hidden="false" customHeight="false" outlineLevel="0" collapsed="false">
      <c r="A291" s="174"/>
      <c r="B291" s="174"/>
      <c r="C291" s="174"/>
      <c r="D291" s="174"/>
      <c r="E291" s="174"/>
      <c r="F291" s="174"/>
      <c r="G291" s="174"/>
      <c r="H291" s="174"/>
      <c r="I291" s="174"/>
      <c r="J291" s="174"/>
      <c r="K291" s="174"/>
      <c r="L291" s="174"/>
      <c r="M291" s="174"/>
      <c r="N291" s="174"/>
      <c r="O291" s="174"/>
      <c r="P291" s="174"/>
      <c r="Q291" s="174"/>
      <c r="R291" s="174"/>
      <c r="S291" s="174"/>
      <c r="T291" s="174"/>
      <c r="U291" s="174"/>
      <c r="V291" s="174"/>
      <c r="W291" s="174"/>
      <c r="X291" s="174"/>
      <c r="Y291" s="174"/>
      <c r="Z291" s="174"/>
    </row>
    <row r="292" customFormat="false" ht="15.75" hidden="false" customHeight="false" outlineLevel="0" collapsed="false">
      <c r="A292" s="174"/>
      <c r="B292" s="174"/>
      <c r="C292" s="174"/>
      <c r="D292" s="174"/>
      <c r="E292" s="174"/>
      <c r="F292" s="174"/>
      <c r="G292" s="174"/>
      <c r="H292" s="174"/>
      <c r="I292" s="174"/>
      <c r="J292" s="174"/>
      <c r="K292" s="174"/>
      <c r="L292" s="174"/>
      <c r="M292" s="174"/>
      <c r="N292" s="174"/>
      <c r="O292" s="174"/>
      <c r="P292" s="174"/>
      <c r="Q292" s="174"/>
      <c r="R292" s="174"/>
      <c r="S292" s="174"/>
      <c r="T292" s="174"/>
      <c r="U292" s="174"/>
      <c r="V292" s="174"/>
      <c r="W292" s="174"/>
      <c r="X292" s="174"/>
      <c r="Y292" s="174"/>
      <c r="Z292" s="174"/>
    </row>
    <row r="293" customFormat="false" ht="15.75" hidden="false" customHeight="false" outlineLevel="0" collapsed="false">
      <c r="A293" s="174"/>
      <c r="B293" s="174"/>
      <c r="C293" s="174"/>
      <c r="D293" s="174"/>
      <c r="E293" s="174"/>
      <c r="F293" s="174"/>
      <c r="G293" s="174"/>
      <c r="H293" s="174"/>
      <c r="I293" s="174"/>
      <c r="J293" s="174"/>
      <c r="K293" s="174"/>
      <c r="L293" s="174"/>
      <c r="M293" s="174"/>
      <c r="N293" s="174"/>
      <c r="O293" s="174"/>
      <c r="P293" s="174"/>
      <c r="Q293" s="174"/>
      <c r="R293" s="174"/>
      <c r="S293" s="174"/>
      <c r="T293" s="174"/>
      <c r="U293" s="174"/>
      <c r="V293" s="174"/>
      <c r="W293" s="174"/>
      <c r="X293" s="174"/>
      <c r="Y293" s="174"/>
      <c r="Z293" s="174"/>
    </row>
    <row r="294" customFormat="false" ht="15.75" hidden="false" customHeight="false" outlineLevel="0" collapsed="false">
      <c r="A294" s="174"/>
      <c r="B294" s="174"/>
      <c r="C294" s="174"/>
      <c r="D294" s="174"/>
      <c r="E294" s="174"/>
      <c r="F294" s="174"/>
      <c r="G294" s="174"/>
      <c r="H294" s="174"/>
      <c r="I294" s="174"/>
      <c r="J294" s="174"/>
      <c r="K294" s="174"/>
      <c r="L294" s="174"/>
      <c r="M294" s="174"/>
      <c r="N294" s="174"/>
      <c r="O294" s="174"/>
      <c r="P294" s="174"/>
      <c r="Q294" s="174"/>
      <c r="R294" s="174"/>
      <c r="S294" s="174"/>
      <c r="T294" s="174"/>
      <c r="U294" s="174"/>
      <c r="V294" s="174"/>
      <c r="W294" s="174"/>
      <c r="X294" s="174"/>
      <c r="Y294" s="174"/>
      <c r="Z294" s="174"/>
    </row>
    <row r="295" customFormat="false" ht="15.75" hidden="false" customHeight="false" outlineLevel="0" collapsed="false">
      <c r="A295" s="174"/>
      <c r="B295" s="174"/>
      <c r="C295" s="174"/>
      <c r="D295" s="174"/>
      <c r="E295" s="174"/>
      <c r="F295" s="174"/>
      <c r="G295" s="174"/>
      <c r="H295" s="174"/>
      <c r="I295" s="174"/>
      <c r="J295" s="174"/>
      <c r="K295" s="174"/>
      <c r="L295" s="174"/>
      <c r="M295" s="174"/>
      <c r="N295" s="174"/>
      <c r="O295" s="174"/>
      <c r="P295" s="174"/>
      <c r="Q295" s="174"/>
      <c r="R295" s="174"/>
      <c r="S295" s="174"/>
      <c r="T295" s="174"/>
      <c r="U295" s="174"/>
      <c r="V295" s="174"/>
      <c r="W295" s="174"/>
      <c r="X295" s="174"/>
      <c r="Y295" s="174"/>
      <c r="Z295" s="174"/>
    </row>
    <row r="296" customFormat="false" ht="15.75" hidden="false" customHeight="false" outlineLevel="0" collapsed="false">
      <c r="A296" s="174"/>
      <c r="B296" s="174"/>
      <c r="C296" s="174"/>
      <c r="D296" s="174"/>
      <c r="E296" s="174"/>
      <c r="F296" s="174"/>
      <c r="G296" s="174"/>
      <c r="H296" s="174"/>
      <c r="I296" s="174"/>
      <c r="J296" s="174"/>
      <c r="K296" s="174"/>
      <c r="L296" s="174"/>
      <c r="M296" s="174"/>
      <c r="N296" s="174"/>
      <c r="O296" s="174"/>
      <c r="P296" s="174"/>
      <c r="Q296" s="174"/>
      <c r="R296" s="174"/>
      <c r="S296" s="174"/>
      <c r="T296" s="174"/>
      <c r="U296" s="174"/>
      <c r="V296" s="174"/>
      <c r="W296" s="174"/>
      <c r="X296" s="174"/>
      <c r="Y296" s="174"/>
      <c r="Z296" s="174"/>
    </row>
    <row r="297" customFormat="false" ht="15.75" hidden="false" customHeight="false" outlineLevel="0" collapsed="false">
      <c r="A297" s="174"/>
      <c r="B297" s="174"/>
      <c r="C297" s="174"/>
      <c r="D297" s="174"/>
      <c r="E297" s="174"/>
      <c r="F297" s="174"/>
      <c r="G297" s="174"/>
      <c r="H297" s="174"/>
      <c r="I297" s="174"/>
      <c r="J297" s="174"/>
      <c r="K297" s="174"/>
      <c r="L297" s="174"/>
      <c r="M297" s="174"/>
      <c r="N297" s="174"/>
      <c r="O297" s="174"/>
      <c r="P297" s="174"/>
      <c r="Q297" s="174"/>
      <c r="R297" s="174"/>
      <c r="S297" s="174"/>
      <c r="T297" s="174"/>
      <c r="U297" s="174"/>
      <c r="V297" s="174"/>
      <c r="W297" s="174"/>
      <c r="X297" s="174"/>
      <c r="Y297" s="174"/>
      <c r="Z297" s="174"/>
    </row>
    <row r="298" customFormat="false" ht="15.75" hidden="false" customHeight="false" outlineLevel="0" collapsed="false">
      <c r="A298" s="174"/>
      <c r="B298" s="174"/>
      <c r="C298" s="174"/>
      <c r="D298" s="174"/>
      <c r="E298" s="174"/>
      <c r="F298" s="174"/>
      <c r="G298" s="174"/>
      <c r="H298" s="174"/>
      <c r="I298" s="174"/>
      <c r="J298" s="174"/>
      <c r="K298" s="174"/>
      <c r="L298" s="174"/>
      <c r="M298" s="174"/>
      <c r="N298" s="174"/>
      <c r="O298" s="174"/>
      <c r="P298" s="174"/>
      <c r="Q298" s="174"/>
      <c r="R298" s="174"/>
      <c r="S298" s="174"/>
      <c r="T298" s="174"/>
      <c r="U298" s="174"/>
      <c r="V298" s="174"/>
      <c r="W298" s="174"/>
      <c r="X298" s="174"/>
      <c r="Y298" s="174"/>
      <c r="Z298" s="174"/>
    </row>
    <row r="299" customFormat="false" ht="15.75" hidden="false" customHeight="false" outlineLevel="0" collapsed="false">
      <c r="A299" s="174"/>
      <c r="B299" s="174"/>
      <c r="C299" s="174"/>
      <c r="D299" s="174"/>
      <c r="E299" s="174"/>
      <c r="F299" s="174"/>
      <c r="G299" s="174"/>
      <c r="H299" s="174"/>
      <c r="I299" s="174"/>
      <c r="J299" s="174"/>
      <c r="K299" s="174"/>
      <c r="L299" s="174"/>
      <c r="M299" s="174"/>
      <c r="N299" s="174"/>
      <c r="O299" s="174"/>
      <c r="P299" s="174"/>
      <c r="Q299" s="174"/>
      <c r="R299" s="174"/>
      <c r="S299" s="174"/>
      <c r="T299" s="174"/>
      <c r="U299" s="174"/>
      <c r="V299" s="174"/>
      <c r="W299" s="174"/>
      <c r="X299" s="174"/>
      <c r="Y299" s="174"/>
      <c r="Z299" s="174"/>
    </row>
    <row r="300" customFormat="false" ht="15.75" hidden="false" customHeight="false" outlineLevel="0" collapsed="false">
      <c r="A300" s="174"/>
      <c r="B300" s="174"/>
      <c r="C300" s="174"/>
      <c r="D300" s="174"/>
      <c r="E300" s="174"/>
      <c r="F300" s="174"/>
      <c r="G300" s="174"/>
      <c r="H300" s="174"/>
      <c r="I300" s="174"/>
      <c r="J300" s="174"/>
      <c r="K300" s="174"/>
      <c r="L300" s="174"/>
      <c r="M300" s="174"/>
      <c r="N300" s="174"/>
      <c r="O300" s="174"/>
      <c r="P300" s="174"/>
      <c r="Q300" s="174"/>
      <c r="R300" s="174"/>
      <c r="S300" s="174"/>
      <c r="T300" s="174"/>
      <c r="U300" s="174"/>
      <c r="V300" s="174"/>
      <c r="W300" s="174"/>
      <c r="X300" s="174"/>
      <c r="Y300" s="174"/>
      <c r="Z300" s="174"/>
    </row>
    <row r="301" customFormat="false" ht="15.75" hidden="false" customHeight="false" outlineLevel="0" collapsed="false">
      <c r="A301" s="174"/>
      <c r="B301" s="174"/>
      <c r="C301" s="174"/>
      <c r="D301" s="174"/>
      <c r="E301" s="174"/>
      <c r="F301" s="174"/>
      <c r="G301" s="174"/>
      <c r="H301" s="174"/>
      <c r="I301" s="174"/>
      <c r="J301" s="174"/>
      <c r="K301" s="174"/>
      <c r="L301" s="174"/>
      <c r="M301" s="174"/>
      <c r="N301" s="174"/>
      <c r="O301" s="174"/>
      <c r="P301" s="174"/>
      <c r="Q301" s="174"/>
      <c r="R301" s="174"/>
      <c r="S301" s="174"/>
      <c r="T301" s="174"/>
      <c r="U301" s="174"/>
      <c r="V301" s="174"/>
      <c r="W301" s="174"/>
      <c r="X301" s="174"/>
      <c r="Y301" s="174"/>
      <c r="Z301" s="174"/>
    </row>
    <row r="302" customFormat="false" ht="15.75" hidden="false" customHeight="false" outlineLevel="0" collapsed="false">
      <c r="A302" s="174"/>
      <c r="B302" s="174"/>
      <c r="C302" s="174"/>
      <c r="D302" s="174"/>
      <c r="E302" s="174"/>
      <c r="F302" s="174"/>
      <c r="G302" s="174"/>
      <c r="H302" s="174"/>
      <c r="I302" s="174"/>
      <c r="J302" s="174"/>
      <c r="K302" s="174"/>
      <c r="L302" s="174"/>
      <c r="M302" s="174"/>
      <c r="N302" s="174"/>
      <c r="O302" s="174"/>
      <c r="P302" s="174"/>
      <c r="Q302" s="174"/>
      <c r="R302" s="174"/>
      <c r="S302" s="174"/>
      <c r="T302" s="174"/>
      <c r="U302" s="174"/>
      <c r="V302" s="174"/>
      <c r="W302" s="174"/>
      <c r="X302" s="174"/>
      <c r="Y302" s="174"/>
      <c r="Z302" s="174"/>
    </row>
    <row r="303" customFormat="false" ht="15.75" hidden="false" customHeight="false" outlineLevel="0" collapsed="false">
      <c r="A303" s="174"/>
      <c r="B303" s="174"/>
      <c r="C303" s="174"/>
      <c r="D303" s="174"/>
      <c r="E303" s="174"/>
      <c r="F303" s="174"/>
      <c r="G303" s="174"/>
      <c r="H303" s="174"/>
      <c r="I303" s="174"/>
      <c r="J303" s="174"/>
      <c r="K303" s="174"/>
      <c r="L303" s="174"/>
      <c r="M303" s="174"/>
      <c r="N303" s="174"/>
      <c r="O303" s="174"/>
      <c r="P303" s="174"/>
      <c r="Q303" s="174"/>
      <c r="R303" s="174"/>
      <c r="S303" s="174"/>
      <c r="T303" s="174"/>
      <c r="U303" s="174"/>
      <c r="V303" s="174"/>
      <c r="W303" s="174"/>
      <c r="X303" s="174"/>
      <c r="Y303" s="174"/>
      <c r="Z303" s="174"/>
    </row>
    <row r="304" customFormat="false" ht="15.75" hidden="false" customHeight="false" outlineLevel="0" collapsed="false">
      <c r="A304" s="174"/>
      <c r="B304" s="174"/>
      <c r="C304" s="174"/>
      <c r="D304" s="174"/>
      <c r="E304" s="174"/>
      <c r="F304" s="174"/>
      <c r="G304" s="174"/>
      <c r="H304" s="174"/>
      <c r="I304" s="174"/>
      <c r="J304" s="174"/>
      <c r="K304" s="174"/>
      <c r="L304" s="174"/>
      <c r="M304" s="174"/>
      <c r="N304" s="174"/>
      <c r="O304" s="174"/>
      <c r="P304" s="174"/>
      <c r="Q304" s="174"/>
      <c r="R304" s="174"/>
      <c r="S304" s="174"/>
      <c r="T304" s="174"/>
      <c r="U304" s="174"/>
      <c r="V304" s="174"/>
      <c r="W304" s="174"/>
      <c r="X304" s="174"/>
      <c r="Y304" s="174"/>
      <c r="Z304" s="174"/>
    </row>
    <row r="305" customFormat="false" ht="15.75" hidden="false" customHeight="false" outlineLevel="0" collapsed="false">
      <c r="A305" s="174"/>
      <c r="B305" s="174"/>
      <c r="C305" s="174"/>
      <c r="D305" s="174"/>
      <c r="E305" s="174"/>
      <c r="F305" s="174"/>
      <c r="G305" s="174"/>
      <c r="H305" s="174"/>
      <c r="I305" s="174"/>
      <c r="J305" s="174"/>
      <c r="K305" s="174"/>
      <c r="L305" s="174"/>
      <c r="M305" s="174"/>
      <c r="N305" s="174"/>
      <c r="O305" s="174"/>
      <c r="P305" s="174"/>
      <c r="Q305" s="174"/>
      <c r="R305" s="174"/>
      <c r="S305" s="174"/>
      <c r="T305" s="174"/>
      <c r="U305" s="174"/>
      <c r="V305" s="174"/>
      <c r="W305" s="174"/>
      <c r="X305" s="174"/>
      <c r="Y305" s="174"/>
      <c r="Z305" s="174"/>
    </row>
    <row r="306" customFormat="false" ht="15.75" hidden="false" customHeight="false" outlineLevel="0" collapsed="false">
      <c r="A306" s="174"/>
      <c r="B306" s="174"/>
      <c r="C306" s="174"/>
      <c r="D306" s="174"/>
      <c r="E306" s="174"/>
      <c r="F306" s="174"/>
      <c r="G306" s="174"/>
      <c r="H306" s="174"/>
      <c r="I306" s="174"/>
      <c r="J306" s="174"/>
      <c r="K306" s="174"/>
      <c r="L306" s="174"/>
      <c r="M306" s="174"/>
      <c r="N306" s="174"/>
      <c r="O306" s="174"/>
      <c r="P306" s="174"/>
      <c r="Q306" s="174"/>
      <c r="R306" s="174"/>
      <c r="S306" s="174"/>
      <c r="T306" s="174"/>
      <c r="U306" s="174"/>
      <c r="V306" s="174"/>
      <c r="W306" s="174"/>
      <c r="X306" s="174"/>
      <c r="Y306" s="174"/>
      <c r="Z306" s="174"/>
    </row>
    <row r="307" customFormat="false" ht="15.75" hidden="false" customHeight="false" outlineLevel="0" collapsed="false">
      <c r="A307" s="174"/>
      <c r="B307" s="174"/>
      <c r="C307" s="174"/>
      <c r="D307" s="174"/>
      <c r="E307" s="174"/>
      <c r="F307" s="174"/>
      <c r="G307" s="174"/>
      <c r="H307" s="174"/>
      <c r="I307" s="174"/>
      <c r="J307" s="174"/>
      <c r="K307" s="174"/>
      <c r="L307" s="174"/>
      <c r="M307" s="174"/>
      <c r="N307" s="174"/>
      <c r="O307" s="174"/>
      <c r="P307" s="174"/>
      <c r="Q307" s="174"/>
      <c r="R307" s="174"/>
      <c r="S307" s="174"/>
      <c r="T307" s="174"/>
      <c r="U307" s="174"/>
      <c r="V307" s="174"/>
      <c r="W307" s="174"/>
      <c r="X307" s="174"/>
      <c r="Y307" s="174"/>
      <c r="Z307" s="174"/>
    </row>
    <row r="308" customFormat="false" ht="15.75" hidden="false" customHeight="false" outlineLevel="0" collapsed="false">
      <c r="A308" s="174"/>
      <c r="B308" s="174"/>
      <c r="C308" s="174"/>
      <c r="D308" s="174"/>
      <c r="E308" s="174"/>
      <c r="F308" s="174"/>
      <c r="G308" s="174"/>
      <c r="H308" s="174"/>
      <c r="I308" s="174"/>
      <c r="J308" s="174"/>
      <c r="K308" s="174"/>
      <c r="L308" s="174"/>
      <c r="M308" s="174"/>
      <c r="N308" s="174"/>
      <c r="O308" s="174"/>
      <c r="P308" s="174"/>
      <c r="Q308" s="174"/>
      <c r="R308" s="174"/>
      <c r="S308" s="174"/>
      <c r="T308" s="174"/>
      <c r="U308" s="174"/>
      <c r="V308" s="174"/>
      <c r="W308" s="174"/>
      <c r="X308" s="174"/>
      <c r="Y308" s="174"/>
      <c r="Z308" s="174"/>
    </row>
    <row r="309" customFormat="false" ht="15.75" hidden="false" customHeight="false" outlineLevel="0" collapsed="false">
      <c r="A309" s="174"/>
      <c r="B309" s="174"/>
      <c r="C309" s="174"/>
      <c r="D309" s="174"/>
      <c r="E309" s="174"/>
      <c r="F309" s="174"/>
      <c r="G309" s="174"/>
      <c r="H309" s="174"/>
      <c r="I309" s="174"/>
      <c r="J309" s="174"/>
      <c r="K309" s="174"/>
      <c r="L309" s="174"/>
      <c r="M309" s="174"/>
      <c r="N309" s="174"/>
      <c r="O309" s="174"/>
      <c r="P309" s="174"/>
      <c r="Q309" s="174"/>
      <c r="R309" s="174"/>
      <c r="S309" s="174"/>
      <c r="T309" s="174"/>
      <c r="U309" s="174"/>
      <c r="V309" s="174"/>
      <c r="W309" s="174"/>
      <c r="X309" s="174"/>
      <c r="Y309" s="174"/>
      <c r="Z309" s="174"/>
    </row>
    <row r="310" customFormat="false" ht="15.75" hidden="false" customHeight="false" outlineLevel="0" collapsed="false">
      <c r="A310" s="174"/>
      <c r="B310" s="174"/>
      <c r="C310" s="174"/>
      <c r="D310" s="174"/>
      <c r="E310" s="174"/>
      <c r="F310" s="174"/>
      <c r="G310" s="174"/>
      <c r="H310" s="174"/>
      <c r="I310" s="174"/>
      <c r="J310" s="174"/>
      <c r="K310" s="174"/>
      <c r="L310" s="174"/>
      <c r="M310" s="174"/>
      <c r="N310" s="174"/>
      <c r="O310" s="174"/>
      <c r="P310" s="174"/>
      <c r="Q310" s="174"/>
      <c r="R310" s="174"/>
      <c r="S310" s="174"/>
      <c r="T310" s="174"/>
      <c r="U310" s="174"/>
      <c r="V310" s="174"/>
      <c r="W310" s="174"/>
      <c r="X310" s="174"/>
      <c r="Y310" s="174"/>
      <c r="Z310" s="174"/>
    </row>
    <row r="311" customFormat="false" ht="15.75" hidden="false" customHeight="false" outlineLevel="0" collapsed="false">
      <c r="A311" s="174"/>
      <c r="B311" s="174"/>
      <c r="C311" s="174"/>
      <c r="D311" s="174"/>
      <c r="E311" s="174"/>
      <c r="F311" s="174"/>
      <c r="G311" s="174"/>
      <c r="H311" s="174"/>
      <c r="I311" s="174"/>
      <c r="J311" s="174"/>
      <c r="K311" s="174"/>
      <c r="L311" s="174"/>
      <c r="M311" s="174"/>
      <c r="N311" s="174"/>
      <c r="O311" s="174"/>
      <c r="P311" s="174"/>
      <c r="Q311" s="174"/>
      <c r="R311" s="174"/>
      <c r="S311" s="174"/>
      <c r="T311" s="174"/>
      <c r="U311" s="174"/>
      <c r="V311" s="174"/>
      <c r="W311" s="174"/>
      <c r="X311" s="174"/>
      <c r="Y311" s="174"/>
      <c r="Z311" s="174"/>
    </row>
    <row r="312" customFormat="false" ht="15.75" hidden="false" customHeight="false" outlineLevel="0" collapsed="false">
      <c r="A312" s="174"/>
      <c r="B312" s="174"/>
      <c r="C312" s="174"/>
      <c r="D312" s="174"/>
      <c r="E312" s="174"/>
      <c r="F312" s="174"/>
      <c r="G312" s="174"/>
      <c r="H312" s="174"/>
      <c r="I312" s="174"/>
      <c r="J312" s="174"/>
      <c r="K312" s="174"/>
      <c r="L312" s="174"/>
      <c r="M312" s="174"/>
      <c r="N312" s="174"/>
      <c r="O312" s="174"/>
      <c r="P312" s="174"/>
      <c r="Q312" s="174"/>
      <c r="R312" s="174"/>
      <c r="S312" s="174"/>
      <c r="T312" s="174"/>
      <c r="U312" s="174"/>
      <c r="V312" s="174"/>
      <c r="W312" s="174"/>
      <c r="X312" s="174"/>
      <c r="Y312" s="174"/>
      <c r="Z312" s="174"/>
    </row>
    <row r="313" customFormat="false" ht="15.75" hidden="false" customHeight="false" outlineLevel="0" collapsed="false">
      <c r="A313" s="174"/>
      <c r="B313" s="174"/>
      <c r="C313" s="174"/>
      <c r="D313" s="174"/>
      <c r="E313" s="174"/>
      <c r="F313" s="174"/>
      <c r="G313" s="174"/>
      <c r="H313" s="174"/>
      <c r="I313" s="174"/>
      <c r="J313" s="174"/>
      <c r="K313" s="174"/>
      <c r="L313" s="174"/>
      <c r="M313" s="174"/>
      <c r="N313" s="174"/>
      <c r="O313" s="174"/>
      <c r="P313" s="174"/>
      <c r="Q313" s="174"/>
      <c r="R313" s="174"/>
      <c r="S313" s="174"/>
      <c r="T313" s="174"/>
      <c r="U313" s="174"/>
      <c r="V313" s="174"/>
      <c r="W313" s="174"/>
      <c r="X313" s="174"/>
      <c r="Y313" s="174"/>
      <c r="Z313" s="174"/>
    </row>
    <row r="314" customFormat="false" ht="15.75" hidden="false" customHeight="false" outlineLevel="0" collapsed="false">
      <c r="A314" s="174"/>
      <c r="B314" s="174"/>
      <c r="C314" s="174"/>
      <c r="D314" s="174"/>
      <c r="E314" s="174"/>
      <c r="F314" s="174"/>
      <c r="G314" s="174"/>
      <c r="H314" s="174"/>
      <c r="I314" s="174"/>
      <c r="J314" s="174"/>
      <c r="K314" s="174"/>
      <c r="L314" s="174"/>
      <c r="M314" s="174"/>
      <c r="N314" s="174"/>
      <c r="O314" s="174"/>
      <c r="P314" s="174"/>
      <c r="Q314" s="174"/>
      <c r="R314" s="174"/>
      <c r="S314" s="174"/>
      <c r="T314" s="174"/>
      <c r="U314" s="174"/>
      <c r="V314" s="174"/>
      <c r="W314" s="174"/>
      <c r="X314" s="174"/>
      <c r="Y314" s="174"/>
      <c r="Z314" s="174"/>
    </row>
    <row r="315" customFormat="false" ht="15.75" hidden="false" customHeight="false" outlineLevel="0" collapsed="false">
      <c r="A315" s="174"/>
      <c r="B315" s="174"/>
      <c r="C315" s="174"/>
      <c r="D315" s="174"/>
      <c r="E315" s="174"/>
      <c r="F315" s="174"/>
      <c r="G315" s="174"/>
      <c r="H315" s="174"/>
      <c r="I315" s="174"/>
      <c r="J315" s="174"/>
      <c r="K315" s="174"/>
      <c r="L315" s="174"/>
      <c r="M315" s="174"/>
      <c r="N315" s="174"/>
      <c r="O315" s="174"/>
      <c r="P315" s="174"/>
      <c r="Q315" s="174"/>
      <c r="R315" s="174"/>
      <c r="S315" s="174"/>
      <c r="T315" s="174"/>
      <c r="U315" s="174"/>
      <c r="V315" s="174"/>
      <c r="W315" s="174"/>
      <c r="X315" s="174"/>
      <c r="Y315" s="174"/>
      <c r="Z315" s="174"/>
    </row>
    <row r="316" customFormat="false" ht="15.75" hidden="false" customHeight="false" outlineLevel="0" collapsed="false">
      <c r="A316" s="174"/>
      <c r="B316" s="174"/>
      <c r="C316" s="174"/>
      <c r="D316" s="174"/>
      <c r="E316" s="174"/>
      <c r="F316" s="174"/>
      <c r="G316" s="174"/>
      <c r="H316" s="174"/>
      <c r="I316" s="174"/>
      <c r="J316" s="174"/>
      <c r="K316" s="174"/>
      <c r="L316" s="174"/>
      <c r="M316" s="174"/>
      <c r="N316" s="174"/>
      <c r="O316" s="174"/>
      <c r="P316" s="174"/>
      <c r="Q316" s="174"/>
      <c r="R316" s="174"/>
      <c r="S316" s="174"/>
      <c r="T316" s="174"/>
      <c r="U316" s="174"/>
      <c r="V316" s="174"/>
      <c r="W316" s="174"/>
      <c r="X316" s="174"/>
      <c r="Y316" s="174"/>
      <c r="Z316" s="174"/>
    </row>
    <row r="317" customFormat="false" ht="15.75" hidden="false" customHeight="false" outlineLevel="0" collapsed="false">
      <c r="A317" s="174"/>
      <c r="B317" s="174"/>
      <c r="C317" s="174"/>
      <c r="D317" s="174"/>
      <c r="E317" s="174"/>
      <c r="F317" s="174"/>
      <c r="G317" s="174"/>
      <c r="H317" s="174"/>
      <c r="I317" s="174"/>
      <c r="J317" s="174"/>
      <c r="K317" s="174"/>
      <c r="L317" s="174"/>
      <c r="M317" s="174"/>
      <c r="N317" s="174"/>
      <c r="O317" s="174"/>
      <c r="P317" s="174"/>
      <c r="Q317" s="174"/>
      <c r="R317" s="174"/>
      <c r="S317" s="174"/>
      <c r="T317" s="174"/>
      <c r="U317" s="174"/>
      <c r="V317" s="174"/>
      <c r="W317" s="174"/>
      <c r="X317" s="174"/>
      <c r="Y317" s="174"/>
      <c r="Z317" s="174"/>
    </row>
    <row r="318" customFormat="false" ht="15.75" hidden="false" customHeight="false" outlineLevel="0" collapsed="false">
      <c r="A318" s="174"/>
      <c r="B318" s="174"/>
      <c r="C318" s="174"/>
      <c r="D318" s="174"/>
      <c r="E318" s="174"/>
      <c r="F318" s="174"/>
      <c r="G318" s="174"/>
      <c r="H318" s="174"/>
      <c r="I318" s="174"/>
      <c r="J318" s="174"/>
      <c r="K318" s="174"/>
      <c r="L318" s="174"/>
      <c r="M318" s="174"/>
      <c r="N318" s="174"/>
      <c r="O318" s="174"/>
      <c r="P318" s="174"/>
      <c r="Q318" s="174"/>
      <c r="R318" s="174"/>
      <c r="S318" s="174"/>
      <c r="T318" s="174"/>
      <c r="U318" s="174"/>
      <c r="V318" s="174"/>
      <c r="W318" s="174"/>
      <c r="X318" s="174"/>
      <c r="Y318" s="174"/>
      <c r="Z318" s="174"/>
    </row>
    <row r="319" customFormat="false" ht="15.75" hidden="false" customHeight="false" outlineLevel="0" collapsed="false">
      <c r="A319" s="174"/>
      <c r="B319" s="174"/>
      <c r="C319" s="174"/>
      <c r="D319" s="174"/>
      <c r="E319" s="174"/>
      <c r="F319" s="174"/>
      <c r="G319" s="174"/>
      <c r="H319" s="174"/>
      <c r="I319" s="174"/>
      <c r="J319" s="174"/>
      <c r="K319" s="174"/>
      <c r="L319" s="174"/>
      <c r="M319" s="174"/>
      <c r="N319" s="174"/>
      <c r="O319" s="174"/>
      <c r="P319" s="174"/>
      <c r="Q319" s="174"/>
      <c r="R319" s="174"/>
      <c r="S319" s="174"/>
      <c r="T319" s="174"/>
      <c r="U319" s="174"/>
      <c r="V319" s="174"/>
      <c r="W319" s="174"/>
      <c r="X319" s="174"/>
      <c r="Y319" s="174"/>
      <c r="Z319" s="174"/>
    </row>
    <row r="320" customFormat="false" ht="15.75" hidden="false" customHeight="false" outlineLevel="0" collapsed="false">
      <c r="A320" s="174"/>
      <c r="B320" s="174"/>
      <c r="C320" s="174"/>
      <c r="D320" s="174"/>
      <c r="E320" s="174"/>
      <c r="F320" s="174"/>
      <c r="G320" s="174"/>
      <c r="H320" s="174"/>
      <c r="I320" s="174"/>
      <c r="J320" s="174"/>
      <c r="K320" s="174"/>
      <c r="L320" s="174"/>
      <c r="M320" s="174"/>
      <c r="N320" s="174"/>
      <c r="O320" s="174"/>
      <c r="P320" s="174"/>
      <c r="Q320" s="174"/>
      <c r="R320" s="174"/>
      <c r="S320" s="174"/>
      <c r="T320" s="174"/>
      <c r="U320" s="174"/>
      <c r="V320" s="174"/>
      <c r="W320" s="174"/>
      <c r="X320" s="174"/>
      <c r="Y320" s="174"/>
      <c r="Z320" s="174"/>
    </row>
    <row r="321" customFormat="false" ht="15.75" hidden="false" customHeight="false" outlineLevel="0" collapsed="false">
      <c r="A321" s="174"/>
      <c r="B321" s="174"/>
      <c r="C321" s="174"/>
      <c r="D321" s="174"/>
      <c r="E321" s="174"/>
      <c r="F321" s="174"/>
      <c r="G321" s="174"/>
      <c r="H321" s="174"/>
      <c r="I321" s="174"/>
      <c r="J321" s="174"/>
      <c r="K321" s="174"/>
      <c r="L321" s="174"/>
      <c r="M321" s="174"/>
      <c r="N321" s="174"/>
      <c r="O321" s="174"/>
      <c r="P321" s="174"/>
      <c r="Q321" s="174"/>
      <c r="R321" s="174"/>
      <c r="S321" s="174"/>
      <c r="T321" s="174"/>
      <c r="U321" s="174"/>
      <c r="V321" s="174"/>
      <c r="W321" s="174"/>
      <c r="X321" s="174"/>
      <c r="Y321" s="174"/>
      <c r="Z321" s="174"/>
    </row>
    <row r="322" customFormat="false" ht="15.75" hidden="false" customHeight="false" outlineLevel="0" collapsed="false">
      <c r="A322" s="174"/>
      <c r="B322" s="174"/>
      <c r="C322" s="174"/>
      <c r="D322" s="174"/>
      <c r="E322" s="174"/>
      <c r="F322" s="174"/>
      <c r="G322" s="174"/>
      <c r="H322" s="174"/>
      <c r="I322" s="174"/>
      <c r="J322" s="174"/>
      <c r="K322" s="174"/>
      <c r="L322" s="174"/>
      <c r="M322" s="174"/>
      <c r="N322" s="174"/>
      <c r="O322" s="174"/>
      <c r="P322" s="174"/>
      <c r="Q322" s="174"/>
      <c r="R322" s="174"/>
      <c r="S322" s="174"/>
      <c r="T322" s="174"/>
      <c r="U322" s="174"/>
      <c r="V322" s="174"/>
      <c r="W322" s="174"/>
      <c r="X322" s="174"/>
      <c r="Y322" s="174"/>
      <c r="Z322" s="174"/>
    </row>
    <row r="323" customFormat="false" ht="15.75" hidden="false" customHeight="false" outlineLevel="0" collapsed="false">
      <c r="A323" s="174"/>
      <c r="B323" s="174"/>
      <c r="C323" s="174"/>
      <c r="D323" s="174"/>
      <c r="E323" s="174"/>
      <c r="F323" s="174"/>
      <c r="G323" s="174"/>
      <c r="H323" s="174"/>
      <c r="I323" s="174"/>
      <c r="J323" s="174"/>
      <c r="K323" s="174"/>
      <c r="L323" s="174"/>
      <c r="M323" s="174"/>
      <c r="N323" s="174"/>
      <c r="O323" s="174"/>
      <c r="P323" s="174"/>
      <c r="Q323" s="174"/>
      <c r="R323" s="174"/>
      <c r="S323" s="174"/>
      <c r="T323" s="174"/>
      <c r="U323" s="174"/>
      <c r="V323" s="174"/>
      <c r="W323" s="174"/>
      <c r="X323" s="174"/>
      <c r="Y323" s="174"/>
      <c r="Z323" s="174"/>
    </row>
    <row r="324" customFormat="false" ht="15.75" hidden="false" customHeight="false" outlineLevel="0" collapsed="false">
      <c r="A324" s="174"/>
      <c r="B324" s="174"/>
      <c r="C324" s="174"/>
      <c r="D324" s="174"/>
      <c r="E324" s="174"/>
      <c r="F324" s="174"/>
      <c r="G324" s="174"/>
      <c r="H324" s="174"/>
      <c r="I324" s="174"/>
      <c r="J324" s="174"/>
      <c r="K324" s="174"/>
      <c r="L324" s="174"/>
      <c r="M324" s="174"/>
      <c r="N324" s="174"/>
      <c r="O324" s="174"/>
      <c r="P324" s="174"/>
      <c r="Q324" s="174"/>
      <c r="R324" s="174"/>
      <c r="S324" s="174"/>
      <c r="T324" s="174"/>
      <c r="U324" s="174"/>
      <c r="V324" s="174"/>
      <c r="W324" s="174"/>
      <c r="X324" s="174"/>
      <c r="Y324" s="174"/>
      <c r="Z324" s="174"/>
    </row>
    <row r="325" customFormat="false" ht="15.75" hidden="false" customHeight="false" outlineLevel="0" collapsed="false">
      <c r="A325" s="174"/>
      <c r="B325" s="174"/>
      <c r="C325" s="174"/>
      <c r="D325" s="174"/>
      <c r="E325" s="174"/>
      <c r="F325" s="174"/>
      <c r="G325" s="174"/>
      <c r="H325" s="174"/>
      <c r="I325" s="174"/>
      <c r="J325" s="174"/>
      <c r="K325" s="174"/>
      <c r="L325" s="174"/>
      <c r="M325" s="174"/>
      <c r="N325" s="174"/>
      <c r="O325" s="174"/>
      <c r="P325" s="174"/>
      <c r="Q325" s="174"/>
      <c r="R325" s="174"/>
      <c r="S325" s="174"/>
      <c r="T325" s="174"/>
      <c r="U325" s="174"/>
      <c r="V325" s="174"/>
      <c r="W325" s="174"/>
      <c r="X325" s="174"/>
      <c r="Y325" s="174"/>
      <c r="Z325" s="174"/>
    </row>
    <row r="326" customFormat="false" ht="15.75" hidden="false" customHeight="false" outlineLevel="0" collapsed="false">
      <c r="A326" s="174"/>
      <c r="B326" s="174"/>
      <c r="C326" s="174"/>
      <c r="D326" s="174"/>
      <c r="E326" s="174"/>
      <c r="F326" s="174"/>
      <c r="G326" s="174"/>
      <c r="H326" s="174"/>
      <c r="I326" s="174"/>
      <c r="J326" s="174"/>
      <c r="K326" s="174"/>
      <c r="L326" s="174"/>
      <c r="M326" s="174"/>
      <c r="N326" s="174"/>
      <c r="O326" s="174"/>
      <c r="P326" s="174"/>
      <c r="Q326" s="174"/>
      <c r="R326" s="174"/>
      <c r="S326" s="174"/>
      <c r="T326" s="174"/>
      <c r="U326" s="174"/>
      <c r="V326" s="174"/>
      <c r="W326" s="174"/>
      <c r="X326" s="174"/>
      <c r="Y326" s="174"/>
      <c r="Z326" s="174"/>
    </row>
    <row r="327" customFormat="false" ht="15.75" hidden="false" customHeight="false" outlineLevel="0" collapsed="false">
      <c r="A327" s="174"/>
      <c r="B327" s="174"/>
      <c r="C327" s="174"/>
      <c r="D327" s="174"/>
      <c r="E327" s="174"/>
      <c r="F327" s="174"/>
      <c r="G327" s="174"/>
      <c r="H327" s="174"/>
      <c r="I327" s="174"/>
      <c r="J327" s="174"/>
      <c r="K327" s="174"/>
      <c r="L327" s="174"/>
      <c r="M327" s="174"/>
      <c r="N327" s="174"/>
      <c r="O327" s="174"/>
      <c r="P327" s="174"/>
      <c r="Q327" s="174"/>
      <c r="R327" s="174"/>
      <c r="S327" s="174"/>
      <c r="T327" s="174"/>
      <c r="U327" s="174"/>
      <c r="V327" s="174"/>
      <c r="W327" s="174"/>
      <c r="X327" s="174"/>
      <c r="Y327" s="174"/>
      <c r="Z327" s="174"/>
    </row>
    <row r="328" customFormat="false" ht="15.75" hidden="false" customHeight="false" outlineLevel="0" collapsed="false">
      <c r="A328" s="174"/>
      <c r="B328" s="174"/>
      <c r="C328" s="174"/>
      <c r="D328" s="174"/>
      <c r="E328" s="174"/>
      <c r="F328" s="174"/>
      <c r="G328" s="174"/>
      <c r="H328" s="174"/>
      <c r="I328" s="174"/>
      <c r="J328" s="174"/>
      <c r="K328" s="174"/>
      <c r="L328" s="174"/>
      <c r="M328" s="174"/>
      <c r="N328" s="174"/>
      <c r="O328" s="174"/>
      <c r="P328" s="174"/>
      <c r="Q328" s="174"/>
      <c r="R328" s="174"/>
      <c r="S328" s="174"/>
      <c r="T328" s="174"/>
      <c r="U328" s="174"/>
      <c r="V328" s="174"/>
      <c r="W328" s="174"/>
      <c r="X328" s="174"/>
      <c r="Y328" s="174"/>
      <c r="Z328" s="174"/>
    </row>
    <row r="329" customFormat="false" ht="15.75" hidden="false" customHeight="false" outlineLevel="0" collapsed="false">
      <c r="A329" s="174"/>
      <c r="B329" s="174"/>
      <c r="C329" s="174"/>
      <c r="D329" s="174"/>
      <c r="E329" s="174"/>
      <c r="F329" s="174"/>
      <c r="G329" s="174"/>
      <c r="H329" s="174"/>
      <c r="I329" s="174"/>
      <c r="J329" s="174"/>
      <c r="K329" s="174"/>
      <c r="L329" s="174"/>
      <c r="M329" s="174"/>
      <c r="N329" s="174"/>
      <c r="O329" s="174"/>
      <c r="P329" s="174"/>
      <c r="Q329" s="174"/>
      <c r="R329" s="174"/>
      <c r="S329" s="174"/>
      <c r="T329" s="174"/>
      <c r="U329" s="174"/>
      <c r="V329" s="174"/>
      <c r="W329" s="174"/>
      <c r="X329" s="174"/>
      <c r="Y329" s="174"/>
      <c r="Z329" s="174"/>
    </row>
    <row r="330" customFormat="false" ht="15.75" hidden="false" customHeight="false" outlineLevel="0" collapsed="false">
      <c r="A330" s="174"/>
      <c r="B330" s="174"/>
      <c r="C330" s="174"/>
      <c r="D330" s="174"/>
      <c r="E330" s="174"/>
      <c r="F330" s="174"/>
      <c r="G330" s="174"/>
      <c r="H330" s="174"/>
      <c r="I330" s="174"/>
      <c r="J330" s="174"/>
      <c r="K330" s="174"/>
      <c r="L330" s="174"/>
      <c r="M330" s="174"/>
      <c r="N330" s="174"/>
      <c r="O330" s="174"/>
      <c r="P330" s="174"/>
      <c r="Q330" s="174"/>
      <c r="R330" s="174"/>
      <c r="S330" s="174"/>
      <c r="T330" s="174"/>
      <c r="U330" s="174"/>
      <c r="V330" s="174"/>
      <c r="W330" s="174"/>
      <c r="X330" s="174"/>
      <c r="Y330" s="174"/>
      <c r="Z330" s="174"/>
    </row>
    <row r="331" customFormat="false" ht="15.75" hidden="false" customHeight="false" outlineLevel="0" collapsed="false">
      <c r="A331" s="174"/>
      <c r="B331" s="174"/>
      <c r="C331" s="174"/>
      <c r="D331" s="174"/>
      <c r="E331" s="174"/>
      <c r="F331" s="174"/>
      <c r="G331" s="174"/>
      <c r="H331" s="174"/>
      <c r="I331" s="174"/>
      <c r="J331" s="174"/>
      <c r="K331" s="174"/>
      <c r="L331" s="174"/>
      <c r="M331" s="174"/>
      <c r="N331" s="174"/>
      <c r="O331" s="174"/>
      <c r="P331" s="174"/>
      <c r="Q331" s="174"/>
      <c r="R331" s="174"/>
      <c r="S331" s="174"/>
      <c r="T331" s="174"/>
      <c r="U331" s="174"/>
      <c r="V331" s="174"/>
      <c r="W331" s="174"/>
      <c r="X331" s="174"/>
      <c r="Y331" s="174"/>
      <c r="Z331" s="174"/>
    </row>
    <row r="332" customFormat="false" ht="15.75" hidden="false" customHeight="false" outlineLevel="0" collapsed="false">
      <c r="A332" s="174"/>
      <c r="B332" s="174"/>
      <c r="C332" s="174"/>
      <c r="D332" s="174"/>
      <c r="E332" s="174"/>
      <c r="F332" s="174"/>
      <c r="G332" s="174"/>
      <c r="H332" s="174"/>
      <c r="I332" s="174"/>
      <c r="J332" s="174"/>
      <c r="K332" s="174"/>
      <c r="L332" s="174"/>
      <c r="M332" s="174"/>
      <c r="N332" s="174"/>
      <c r="O332" s="174"/>
      <c r="P332" s="174"/>
      <c r="Q332" s="174"/>
      <c r="R332" s="174"/>
      <c r="S332" s="174"/>
      <c r="T332" s="174"/>
      <c r="U332" s="174"/>
      <c r="V332" s="174"/>
      <c r="W332" s="174"/>
      <c r="X332" s="174"/>
      <c r="Y332" s="174"/>
      <c r="Z332" s="174"/>
    </row>
    <row r="333" customFormat="false" ht="15.75" hidden="false" customHeight="false" outlineLevel="0" collapsed="false">
      <c r="A333" s="174"/>
      <c r="B333" s="174"/>
      <c r="C333" s="174"/>
      <c r="D333" s="174"/>
      <c r="E333" s="174"/>
      <c r="F333" s="174"/>
      <c r="G333" s="174"/>
      <c r="H333" s="174"/>
      <c r="I333" s="174"/>
      <c r="J333" s="174"/>
      <c r="K333" s="174"/>
      <c r="L333" s="174"/>
      <c r="M333" s="174"/>
      <c r="N333" s="174"/>
      <c r="O333" s="174"/>
      <c r="P333" s="174"/>
      <c r="Q333" s="174"/>
      <c r="R333" s="174"/>
      <c r="S333" s="174"/>
      <c r="T333" s="174"/>
      <c r="U333" s="174"/>
      <c r="V333" s="174"/>
      <c r="W333" s="174"/>
      <c r="X333" s="174"/>
      <c r="Y333" s="174"/>
      <c r="Z333" s="174"/>
    </row>
    <row r="334" customFormat="false" ht="15.75" hidden="false" customHeight="false" outlineLevel="0" collapsed="false">
      <c r="A334" s="174"/>
      <c r="B334" s="174"/>
      <c r="C334" s="174"/>
      <c r="D334" s="174"/>
      <c r="E334" s="174"/>
      <c r="F334" s="174"/>
      <c r="G334" s="174"/>
      <c r="H334" s="174"/>
      <c r="I334" s="174"/>
      <c r="J334" s="174"/>
      <c r="K334" s="174"/>
      <c r="L334" s="174"/>
      <c r="M334" s="174"/>
      <c r="N334" s="174"/>
      <c r="O334" s="174"/>
      <c r="P334" s="174"/>
      <c r="Q334" s="174"/>
      <c r="R334" s="174"/>
      <c r="S334" s="174"/>
      <c r="T334" s="174"/>
      <c r="U334" s="174"/>
      <c r="V334" s="174"/>
      <c r="W334" s="174"/>
      <c r="X334" s="174"/>
      <c r="Y334" s="174"/>
      <c r="Z334" s="174"/>
    </row>
    <row r="335" customFormat="false" ht="15.75" hidden="false" customHeight="false" outlineLevel="0" collapsed="false">
      <c r="A335" s="174"/>
      <c r="B335" s="174"/>
      <c r="C335" s="174"/>
      <c r="D335" s="174"/>
      <c r="E335" s="174"/>
      <c r="F335" s="174"/>
      <c r="G335" s="174"/>
      <c r="H335" s="174"/>
      <c r="I335" s="174"/>
      <c r="J335" s="174"/>
      <c r="K335" s="174"/>
      <c r="L335" s="174"/>
      <c r="M335" s="174"/>
      <c r="N335" s="174"/>
      <c r="O335" s="174"/>
      <c r="P335" s="174"/>
      <c r="Q335" s="174"/>
      <c r="R335" s="174"/>
      <c r="S335" s="174"/>
      <c r="T335" s="174"/>
      <c r="U335" s="174"/>
      <c r="V335" s="174"/>
      <c r="W335" s="174"/>
      <c r="X335" s="174"/>
      <c r="Y335" s="174"/>
      <c r="Z335" s="174"/>
    </row>
    <row r="336" customFormat="false" ht="15.75" hidden="false" customHeight="false" outlineLevel="0" collapsed="false">
      <c r="A336" s="174"/>
      <c r="B336" s="174"/>
      <c r="C336" s="174"/>
      <c r="D336" s="174"/>
      <c r="E336" s="174"/>
      <c r="F336" s="174"/>
      <c r="G336" s="174"/>
      <c r="H336" s="174"/>
      <c r="I336" s="174"/>
      <c r="J336" s="174"/>
      <c r="K336" s="174"/>
      <c r="L336" s="174"/>
      <c r="M336" s="174"/>
      <c r="N336" s="174"/>
      <c r="O336" s="174"/>
      <c r="P336" s="174"/>
      <c r="Q336" s="174"/>
      <c r="R336" s="174"/>
      <c r="S336" s="174"/>
      <c r="T336" s="174"/>
      <c r="U336" s="174"/>
      <c r="V336" s="174"/>
      <c r="W336" s="174"/>
      <c r="X336" s="174"/>
      <c r="Y336" s="174"/>
      <c r="Z336" s="174"/>
    </row>
    <row r="337" customFormat="false" ht="15.75" hidden="false" customHeight="false" outlineLevel="0" collapsed="false">
      <c r="A337" s="174"/>
      <c r="B337" s="174"/>
      <c r="C337" s="174"/>
      <c r="D337" s="174"/>
      <c r="E337" s="174"/>
      <c r="F337" s="174"/>
      <c r="G337" s="174"/>
      <c r="H337" s="174"/>
      <c r="I337" s="174"/>
      <c r="J337" s="174"/>
      <c r="K337" s="174"/>
      <c r="L337" s="174"/>
      <c r="M337" s="174"/>
      <c r="N337" s="174"/>
      <c r="O337" s="174"/>
      <c r="P337" s="174"/>
      <c r="Q337" s="174"/>
      <c r="R337" s="174"/>
      <c r="S337" s="174"/>
      <c r="T337" s="174"/>
      <c r="U337" s="174"/>
      <c r="V337" s="174"/>
      <c r="W337" s="174"/>
      <c r="X337" s="174"/>
      <c r="Y337" s="174"/>
      <c r="Z337" s="174"/>
    </row>
    <row r="338" customFormat="false" ht="15.75" hidden="false" customHeight="false" outlineLevel="0" collapsed="false">
      <c r="A338" s="174"/>
      <c r="B338" s="174"/>
      <c r="C338" s="174"/>
      <c r="D338" s="174"/>
      <c r="E338" s="174"/>
      <c r="F338" s="174"/>
      <c r="G338" s="174"/>
      <c r="H338" s="174"/>
      <c r="I338" s="174"/>
      <c r="J338" s="174"/>
      <c r="K338" s="174"/>
      <c r="L338" s="174"/>
      <c r="M338" s="174"/>
      <c r="N338" s="174"/>
      <c r="O338" s="174"/>
      <c r="P338" s="174"/>
      <c r="Q338" s="174"/>
      <c r="R338" s="174"/>
      <c r="S338" s="174"/>
      <c r="T338" s="174"/>
      <c r="U338" s="174"/>
      <c r="V338" s="174"/>
      <c r="W338" s="174"/>
      <c r="X338" s="174"/>
      <c r="Y338" s="174"/>
      <c r="Z338" s="174"/>
    </row>
    <row r="339" customFormat="false" ht="15.75" hidden="false" customHeight="false" outlineLevel="0" collapsed="false">
      <c r="A339" s="174"/>
      <c r="B339" s="174"/>
      <c r="C339" s="174"/>
      <c r="D339" s="174"/>
      <c r="E339" s="174"/>
      <c r="F339" s="174"/>
      <c r="G339" s="174"/>
      <c r="H339" s="174"/>
      <c r="I339" s="174"/>
      <c r="J339" s="174"/>
      <c r="K339" s="174"/>
      <c r="L339" s="174"/>
      <c r="M339" s="174"/>
      <c r="N339" s="174"/>
      <c r="O339" s="174"/>
      <c r="P339" s="174"/>
      <c r="Q339" s="174"/>
      <c r="R339" s="174"/>
      <c r="S339" s="174"/>
      <c r="T339" s="174"/>
      <c r="U339" s="174"/>
      <c r="V339" s="174"/>
      <c r="W339" s="174"/>
      <c r="X339" s="174"/>
      <c r="Y339" s="174"/>
      <c r="Z339" s="174"/>
    </row>
    <row r="340" customFormat="false" ht="15.75" hidden="false" customHeight="false" outlineLevel="0" collapsed="false">
      <c r="A340" s="174"/>
      <c r="B340" s="174"/>
      <c r="C340" s="174"/>
      <c r="D340" s="174"/>
      <c r="E340" s="174"/>
      <c r="F340" s="174"/>
      <c r="G340" s="174"/>
      <c r="H340" s="174"/>
      <c r="I340" s="174"/>
      <c r="J340" s="174"/>
      <c r="K340" s="174"/>
      <c r="L340" s="174"/>
      <c r="M340" s="174"/>
      <c r="N340" s="174"/>
      <c r="O340" s="174"/>
      <c r="P340" s="174"/>
      <c r="Q340" s="174"/>
      <c r="R340" s="174"/>
      <c r="S340" s="174"/>
      <c r="T340" s="174"/>
      <c r="U340" s="174"/>
      <c r="V340" s="174"/>
      <c r="W340" s="174"/>
      <c r="X340" s="174"/>
      <c r="Y340" s="174"/>
      <c r="Z340" s="174"/>
    </row>
    <row r="341" customFormat="false" ht="15.75" hidden="false" customHeight="false" outlineLevel="0" collapsed="false">
      <c r="A341" s="174"/>
      <c r="B341" s="174"/>
      <c r="C341" s="174"/>
      <c r="D341" s="174"/>
      <c r="E341" s="174"/>
      <c r="F341" s="174"/>
      <c r="G341" s="174"/>
      <c r="H341" s="174"/>
      <c r="I341" s="174"/>
      <c r="J341" s="174"/>
      <c r="K341" s="174"/>
      <c r="L341" s="174"/>
      <c r="M341" s="174"/>
      <c r="N341" s="174"/>
      <c r="O341" s="174"/>
      <c r="P341" s="174"/>
      <c r="Q341" s="174"/>
      <c r="R341" s="174"/>
      <c r="S341" s="174"/>
      <c r="T341" s="174"/>
      <c r="U341" s="174"/>
      <c r="V341" s="174"/>
      <c r="W341" s="174"/>
      <c r="X341" s="174"/>
      <c r="Y341" s="174"/>
      <c r="Z341" s="174"/>
    </row>
    <row r="342" customFormat="false" ht="15.75" hidden="false" customHeight="false" outlineLevel="0" collapsed="false">
      <c r="A342" s="174"/>
      <c r="B342" s="174"/>
      <c r="C342" s="174"/>
      <c r="D342" s="174"/>
      <c r="E342" s="174"/>
      <c r="F342" s="174"/>
      <c r="G342" s="174"/>
      <c r="H342" s="174"/>
      <c r="I342" s="174"/>
      <c r="J342" s="174"/>
      <c r="K342" s="174"/>
      <c r="L342" s="174"/>
      <c r="M342" s="174"/>
      <c r="N342" s="174"/>
      <c r="O342" s="174"/>
      <c r="P342" s="174"/>
      <c r="Q342" s="174"/>
      <c r="R342" s="174"/>
      <c r="S342" s="174"/>
      <c r="T342" s="174"/>
      <c r="U342" s="174"/>
      <c r="V342" s="174"/>
      <c r="W342" s="174"/>
      <c r="X342" s="174"/>
      <c r="Y342" s="174"/>
      <c r="Z342" s="174"/>
    </row>
    <row r="343" customFormat="false" ht="15.75" hidden="false" customHeight="false" outlineLevel="0" collapsed="false">
      <c r="A343" s="174"/>
      <c r="B343" s="174"/>
      <c r="C343" s="174"/>
      <c r="D343" s="174"/>
      <c r="E343" s="174"/>
      <c r="F343" s="174"/>
      <c r="G343" s="174"/>
      <c r="H343" s="174"/>
      <c r="I343" s="174"/>
      <c r="J343" s="174"/>
      <c r="K343" s="174"/>
      <c r="L343" s="174"/>
      <c r="M343" s="174"/>
      <c r="N343" s="174"/>
      <c r="O343" s="174"/>
      <c r="P343" s="174"/>
      <c r="Q343" s="174"/>
      <c r="R343" s="174"/>
      <c r="S343" s="174"/>
      <c r="T343" s="174"/>
      <c r="U343" s="174"/>
      <c r="V343" s="174"/>
      <c r="W343" s="174"/>
      <c r="X343" s="174"/>
      <c r="Y343" s="174"/>
      <c r="Z343" s="174"/>
    </row>
    <row r="344" customFormat="false" ht="15.75" hidden="false" customHeight="false" outlineLevel="0" collapsed="false">
      <c r="A344" s="174"/>
      <c r="B344" s="174"/>
      <c r="C344" s="174"/>
      <c r="D344" s="174"/>
      <c r="E344" s="174"/>
      <c r="F344" s="174"/>
      <c r="G344" s="174"/>
      <c r="H344" s="174"/>
      <c r="I344" s="174"/>
      <c r="J344" s="174"/>
      <c r="K344" s="174"/>
      <c r="L344" s="174"/>
      <c r="M344" s="174"/>
      <c r="N344" s="174"/>
      <c r="O344" s="174"/>
      <c r="P344" s="174"/>
      <c r="Q344" s="174"/>
      <c r="R344" s="174"/>
      <c r="S344" s="174"/>
      <c r="T344" s="174"/>
      <c r="U344" s="174"/>
      <c r="V344" s="174"/>
      <c r="W344" s="174"/>
      <c r="X344" s="174"/>
      <c r="Y344" s="174"/>
      <c r="Z344" s="174"/>
    </row>
    <row r="345" customFormat="false" ht="15.75" hidden="false" customHeight="false" outlineLevel="0" collapsed="false">
      <c r="A345" s="174"/>
      <c r="B345" s="174"/>
      <c r="C345" s="174"/>
      <c r="D345" s="174"/>
      <c r="E345" s="174"/>
      <c r="F345" s="174"/>
      <c r="G345" s="174"/>
      <c r="H345" s="174"/>
      <c r="I345" s="174"/>
      <c r="J345" s="174"/>
      <c r="K345" s="174"/>
      <c r="L345" s="174"/>
      <c r="M345" s="174"/>
      <c r="N345" s="174"/>
      <c r="O345" s="174"/>
      <c r="P345" s="174"/>
      <c r="Q345" s="174"/>
      <c r="R345" s="174"/>
      <c r="S345" s="174"/>
      <c r="T345" s="174"/>
      <c r="U345" s="174"/>
      <c r="V345" s="174"/>
      <c r="W345" s="174"/>
      <c r="X345" s="174"/>
      <c r="Y345" s="174"/>
      <c r="Z345" s="174"/>
    </row>
    <row r="346" customFormat="false" ht="15.75" hidden="false" customHeight="false" outlineLevel="0" collapsed="false">
      <c r="A346" s="174"/>
      <c r="B346" s="174"/>
      <c r="C346" s="174"/>
      <c r="D346" s="174"/>
      <c r="E346" s="174"/>
      <c r="F346" s="174"/>
      <c r="G346" s="174"/>
      <c r="H346" s="174"/>
      <c r="I346" s="174"/>
      <c r="J346" s="174"/>
      <c r="K346" s="174"/>
      <c r="L346" s="174"/>
      <c r="M346" s="174"/>
      <c r="N346" s="174"/>
      <c r="O346" s="174"/>
      <c r="P346" s="174"/>
      <c r="Q346" s="174"/>
      <c r="R346" s="174"/>
      <c r="S346" s="174"/>
      <c r="T346" s="174"/>
      <c r="U346" s="174"/>
      <c r="V346" s="174"/>
      <c r="W346" s="174"/>
      <c r="X346" s="174"/>
      <c r="Y346" s="174"/>
      <c r="Z346" s="174"/>
    </row>
    <row r="347" customFormat="false" ht="15.75" hidden="false" customHeight="false" outlineLevel="0" collapsed="false">
      <c r="A347" s="174"/>
      <c r="B347" s="174"/>
      <c r="C347" s="174"/>
      <c r="D347" s="174"/>
      <c r="E347" s="174"/>
      <c r="F347" s="174"/>
      <c r="G347" s="174"/>
      <c r="H347" s="174"/>
      <c r="I347" s="174"/>
      <c r="J347" s="174"/>
      <c r="K347" s="174"/>
      <c r="L347" s="174"/>
      <c r="M347" s="174"/>
      <c r="N347" s="174"/>
      <c r="O347" s="174"/>
      <c r="P347" s="174"/>
      <c r="Q347" s="174"/>
      <c r="R347" s="174"/>
      <c r="S347" s="174"/>
      <c r="T347" s="174"/>
      <c r="U347" s="174"/>
      <c r="V347" s="174"/>
      <c r="W347" s="174"/>
      <c r="X347" s="174"/>
      <c r="Y347" s="174"/>
      <c r="Z347" s="174"/>
    </row>
    <row r="348" customFormat="false" ht="15.75" hidden="false" customHeight="false" outlineLevel="0" collapsed="false">
      <c r="A348" s="174"/>
      <c r="B348" s="174"/>
      <c r="C348" s="174"/>
      <c r="D348" s="174"/>
      <c r="E348" s="174"/>
      <c r="F348" s="174"/>
      <c r="G348" s="174"/>
      <c r="H348" s="174"/>
      <c r="I348" s="174"/>
      <c r="J348" s="174"/>
      <c r="K348" s="174"/>
      <c r="L348" s="174"/>
      <c r="M348" s="174"/>
      <c r="N348" s="174"/>
      <c r="O348" s="174"/>
      <c r="P348" s="174"/>
      <c r="Q348" s="174"/>
      <c r="R348" s="174"/>
      <c r="S348" s="174"/>
      <c r="T348" s="174"/>
      <c r="U348" s="174"/>
      <c r="V348" s="174"/>
      <c r="W348" s="174"/>
      <c r="X348" s="174"/>
      <c r="Y348" s="174"/>
      <c r="Z348" s="174"/>
    </row>
    <row r="349" customFormat="false" ht="15.75" hidden="false" customHeight="false" outlineLevel="0" collapsed="false">
      <c r="A349" s="174"/>
      <c r="B349" s="174"/>
      <c r="C349" s="174"/>
      <c r="D349" s="174"/>
      <c r="E349" s="174"/>
      <c r="F349" s="174"/>
      <c r="G349" s="174"/>
      <c r="H349" s="174"/>
      <c r="I349" s="174"/>
      <c r="J349" s="174"/>
      <c r="K349" s="174"/>
      <c r="L349" s="174"/>
      <c r="M349" s="174"/>
      <c r="N349" s="174"/>
      <c r="O349" s="174"/>
      <c r="P349" s="174"/>
      <c r="Q349" s="174"/>
      <c r="R349" s="174"/>
      <c r="S349" s="174"/>
      <c r="T349" s="174"/>
      <c r="U349" s="174"/>
      <c r="V349" s="174"/>
      <c r="W349" s="174"/>
      <c r="X349" s="174"/>
      <c r="Y349" s="174"/>
      <c r="Z349" s="174"/>
    </row>
    <row r="350" customFormat="false" ht="15.75" hidden="false" customHeight="false" outlineLevel="0" collapsed="false">
      <c r="A350" s="174"/>
      <c r="B350" s="174"/>
      <c r="C350" s="174"/>
      <c r="D350" s="174"/>
      <c r="E350" s="174"/>
      <c r="F350" s="174"/>
      <c r="G350" s="174"/>
      <c r="H350" s="174"/>
      <c r="I350" s="174"/>
      <c r="J350" s="174"/>
      <c r="K350" s="174"/>
      <c r="L350" s="174"/>
      <c r="M350" s="174"/>
      <c r="N350" s="174"/>
      <c r="O350" s="174"/>
      <c r="P350" s="174"/>
      <c r="Q350" s="174"/>
      <c r="R350" s="174"/>
      <c r="S350" s="174"/>
      <c r="T350" s="174"/>
      <c r="U350" s="174"/>
      <c r="V350" s="174"/>
      <c r="W350" s="174"/>
      <c r="X350" s="174"/>
      <c r="Y350" s="174"/>
      <c r="Z350" s="174"/>
    </row>
    <row r="351" customFormat="false" ht="15.75" hidden="false" customHeight="false" outlineLevel="0" collapsed="false">
      <c r="A351" s="174"/>
      <c r="B351" s="174"/>
      <c r="C351" s="174"/>
      <c r="D351" s="174"/>
      <c r="E351" s="174"/>
      <c r="F351" s="174"/>
      <c r="G351" s="174"/>
      <c r="H351" s="174"/>
      <c r="I351" s="174"/>
      <c r="J351" s="174"/>
      <c r="K351" s="174"/>
      <c r="L351" s="174"/>
      <c r="M351" s="174"/>
      <c r="N351" s="174"/>
      <c r="O351" s="174"/>
      <c r="P351" s="174"/>
      <c r="Q351" s="174"/>
      <c r="R351" s="174"/>
      <c r="S351" s="174"/>
      <c r="T351" s="174"/>
      <c r="U351" s="174"/>
      <c r="V351" s="174"/>
      <c r="W351" s="174"/>
      <c r="X351" s="174"/>
      <c r="Y351" s="174"/>
      <c r="Z351" s="174"/>
    </row>
    <row r="352" customFormat="false" ht="15.75" hidden="false" customHeight="false" outlineLevel="0" collapsed="false">
      <c r="A352" s="174"/>
      <c r="B352" s="174"/>
      <c r="C352" s="174"/>
      <c r="D352" s="174"/>
      <c r="E352" s="174"/>
      <c r="F352" s="174"/>
      <c r="G352" s="174"/>
      <c r="H352" s="174"/>
      <c r="I352" s="174"/>
      <c r="J352" s="174"/>
      <c r="K352" s="174"/>
      <c r="L352" s="174"/>
      <c r="M352" s="174"/>
      <c r="N352" s="174"/>
      <c r="O352" s="174"/>
      <c r="P352" s="174"/>
      <c r="Q352" s="174"/>
      <c r="R352" s="174"/>
      <c r="S352" s="174"/>
      <c r="T352" s="174"/>
      <c r="U352" s="174"/>
      <c r="V352" s="174"/>
      <c r="W352" s="174"/>
      <c r="X352" s="174"/>
      <c r="Y352" s="174"/>
      <c r="Z352" s="174"/>
    </row>
    <row r="353" customFormat="false" ht="15.75" hidden="false" customHeight="false" outlineLevel="0" collapsed="false">
      <c r="A353" s="174"/>
      <c r="B353" s="174"/>
      <c r="C353" s="174"/>
      <c r="D353" s="174"/>
      <c r="E353" s="174"/>
      <c r="F353" s="174"/>
      <c r="G353" s="174"/>
      <c r="H353" s="174"/>
      <c r="I353" s="174"/>
      <c r="J353" s="174"/>
      <c r="K353" s="174"/>
      <c r="L353" s="174"/>
      <c r="M353" s="174"/>
      <c r="N353" s="174"/>
      <c r="O353" s="174"/>
      <c r="P353" s="174"/>
      <c r="Q353" s="174"/>
      <c r="R353" s="174"/>
      <c r="S353" s="174"/>
      <c r="T353" s="174"/>
      <c r="U353" s="174"/>
      <c r="V353" s="174"/>
      <c r="W353" s="174"/>
      <c r="X353" s="174"/>
      <c r="Y353" s="174"/>
      <c r="Z353" s="174"/>
    </row>
    <row r="354" customFormat="false" ht="15.75" hidden="false" customHeight="false" outlineLevel="0" collapsed="false">
      <c r="A354" s="174"/>
      <c r="B354" s="174"/>
      <c r="C354" s="174"/>
      <c r="D354" s="174"/>
      <c r="E354" s="174"/>
      <c r="F354" s="174"/>
      <c r="G354" s="174"/>
      <c r="H354" s="174"/>
      <c r="I354" s="174"/>
      <c r="J354" s="174"/>
      <c r="K354" s="174"/>
      <c r="L354" s="174"/>
      <c r="M354" s="174"/>
      <c r="N354" s="174"/>
      <c r="O354" s="174"/>
      <c r="P354" s="174"/>
      <c r="Q354" s="174"/>
      <c r="R354" s="174"/>
      <c r="S354" s="174"/>
      <c r="T354" s="174"/>
      <c r="U354" s="174"/>
      <c r="V354" s="174"/>
      <c r="W354" s="174"/>
      <c r="X354" s="174"/>
      <c r="Y354" s="174"/>
      <c r="Z354" s="174"/>
    </row>
    <row r="355" customFormat="false" ht="15.75" hidden="false" customHeight="false" outlineLevel="0" collapsed="false">
      <c r="A355" s="174"/>
      <c r="B355" s="174"/>
      <c r="C355" s="174"/>
      <c r="D355" s="174"/>
      <c r="E355" s="174"/>
      <c r="F355" s="174"/>
      <c r="G355" s="174"/>
      <c r="H355" s="174"/>
      <c r="I355" s="174"/>
      <c r="J355" s="174"/>
      <c r="K355" s="174"/>
      <c r="L355" s="174"/>
      <c r="M355" s="174"/>
      <c r="N355" s="174"/>
      <c r="O355" s="174"/>
      <c r="P355" s="174"/>
      <c r="Q355" s="174"/>
      <c r="R355" s="174"/>
      <c r="S355" s="174"/>
      <c r="T355" s="174"/>
      <c r="U355" s="174"/>
      <c r="V355" s="174"/>
      <c r="W355" s="174"/>
      <c r="X355" s="174"/>
      <c r="Y355" s="174"/>
      <c r="Z355" s="174"/>
    </row>
    <row r="356" customFormat="false" ht="15.75" hidden="false" customHeight="false" outlineLevel="0" collapsed="false">
      <c r="A356" s="174"/>
      <c r="B356" s="174"/>
      <c r="C356" s="174"/>
      <c r="D356" s="174"/>
      <c r="E356" s="174"/>
      <c r="F356" s="174"/>
      <c r="G356" s="174"/>
      <c r="H356" s="174"/>
      <c r="I356" s="174"/>
      <c r="J356" s="174"/>
      <c r="K356" s="174"/>
      <c r="L356" s="174"/>
      <c r="M356" s="174"/>
      <c r="N356" s="174"/>
      <c r="O356" s="174"/>
      <c r="P356" s="174"/>
      <c r="Q356" s="174"/>
      <c r="R356" s="174"/>
      <c r="S356" s="174"/>
      <c r="T356" s="174"/>
      <c r="U356" s="174"/>
      <c r="V356" s="174"/>
      <c r="W356" s="174"/>
      <c r="X356" s="174"/>
      <c r="Y356" s="174"/>
      <c r="Z356" s="174"/>
    </row>
    <row r="357" customFormat="false" ht="15.75" hidden="false" customHeight="false" outlineLevel="0" collapsed="false">
      <c r="A357" s="174"/>
      <c r="B357" s="174"/>
      <c r="C357" s="174"/>
      <c r="D357" s="174"/>
      <c r="E357" s="174"/>
      <c r="F357" s="174"/>
      <c r="G357" s="174"/>
      <c r="H357" s="174"/>
      <c r="I357" s="174"/>
      <c r="J357" s="174"/>
      <c r="K357" s="174"/>
      <c r="L357" s="174"/>
      <c r="M357" s="174"/>
      <c r="N357" s="174"/>
      <c r="O357" s="174"/>
      <c r="P357" s="174"/>
      <c r="Q357" s="174"/>
      <c r="R357" s="174"/>
      <c r="S357" s="174"/>
      <c r="T357" s="174"/>
      <c r="U357" s="174"/>
      <c r="V357" s="174"/>
      <c r="W357" s="174"/>
      <c r="X357" s="174"/>
      <c r="Y357" s="174"/>
      <c r="Z357" s="174"/>
    </row>
    <row r="358" customFormat="false" ht="15.75" hidden="false" customHeight="false" outlineLevel="0" collapsed="false">
      <c r="A358" s="174"/>
      <c r="B358" s="174"/>
      <c r="C358" s="174"/>
      <c r="D358" s="174"/>
      <c r="E358" s="174"/>
      <c r="F358" s="174"/>
      <c r="G358" s="174"/>
      <c r="H358" s="174"/>
      <c r="I358" s="174"/>
      <c r="J358" s="174"/>
      <c r="K358" s="174"/>
      <c r="L358" s="174"/>
      <c r="M358" s="174"/>
      <c r="N358" s="174"/>
      <c r="O358" s="174"/>
      <c r="P358" s="174"/>
      <c r="Q358" s="174"/>
      <c r="R358" s="174"/>
      <c r="S358" s="174"/>
      <c r="T358" s="174"/>
      <c r="U358" s="174"/>
      <c r="V358" s="174"/>
      <c r="W358" s="174"/>
      <c r="X358" s="174"/>
      <c r="Y358" s="174"/>
      <c r="Z358" s="174"/>
    </row>
    <row r="359" customFormat="false" ht="15.75" hidden="false" customHeight="false" outlineLevel="0" collapsed="false">
      <c r="A359" s="174"/>
      <c r="B359" s="174"/>
      <c r="C359" s="174"/>
      <c r="D359" s="174"/>
      <c r="E359" s="174"/>
      <c r="F359" s="174"/>
      <c r="G359" s="174"/>
      <c r="H359" s="174"/>
      <c r="I359" s="174"/>
      <c r="J359" s="174"/>
      <c r="K359" s="174"/>
      <c r="L359" s="174"/>
      <c r="M359" s="174"/>
      <c r="N359" s="174"/>
      <c r="O359" s="174"/>
      <c r="P359" s="174"/>
      <c r="Q359" s="174"/>
      <c r="R359" s="174"/>
      <c r="S359" s="174"/>
      <c r="T359" s="174"/>
      <c r="U359" s="174"/>
      <c r="V359" s="174"/>
      <c r="W359" s="174"/>
      <c r="X359" s="174"/>
      <c r="Y359" s="174"/>
      <c r="Z359" s="174"/>
    </row>
    <row r="360" customFormat="false" ht="15.75" hidden="false" customHeight="false" outlineLevel="0" collapsed="false">
      <c r="A360" s="174"/>
      <c r="B360" s="174"/>
      <c r="C360" s="174"/>
      <c r="D360" s="174"/>
      <c r="E360" s="174"/>
      <c r="F360" s="174"/>
      <c r="G360" s="174"/>
      <c r="H360" s="174"/>
      <c r="I360" s="174"/>
      <c r="J360" s="174"/>
      <c r="K360" s="174"/>
      <c r="L360" s="174"/>
      <c r="M360" s="174"/>
      <c r="N360" s="174"/>
      <c r="O360" s="174"/>
      <c r="P360" s="174"/>
      <c r="Q360" s="174"/>
      <c r="R360" s="174"/>
      <c r="S360" s="174"/>
      <c r="T360" s="174"/>
      <c r="U360" s="174"/>
      <c r="V360" s="174"/>
      <c r="W360" s="174"/>
      <c r="X360" s="174"/>
      <c r="Y360" s="174"/>
      <c r="Z360" s="174"/>
    </row>
    <row r="361" customFormat="false" ht="15.75" hidden="false" customHeight="false" outlineLevel="0" collapsed="false">
      <c r="A361" s="174"/>
      <c r="B361" s="174"/>
      <c r="C361" s="174"/>
      <c r="D361" s="174"/>
      <c r="E361" s="174"/>
      <c r="F361" s="174"/>
      <c r="G361" s="174"/>
      <c r="H361" s="174"/>
      <c r="I361" s="174"/>
      <c r="J361" s="174"/>
      <c r="K361" s="174"/>
      <c r="L361" s="174"/>
      <c r="M361" s="174"/>
      <c r="N361" s="174"/>
      <c r="O361" s="174"/>
      <c r="P361" s="174"/>
      <c r="Q361" s="174"/>
      <c r="R361" s="174"/>
      <c r="S361" s="174"/>
      <c r="T361" s="174"/>
      <c r="U361" s="174"/>
      <c r="V361" s="174"/>
      <c r="W361" s="174"/>
      <c r="X361" s="174"/>
      <c r="Y361" s="174"/>
      <c r="Z361" s="174"/>
    </row>
    <row r="362" customFormat="false" ht="15.75" hidden="false" customHeight="false" outlineLevel="0" collapsed="false">
      <c r="A362" s="174"/>
      <c r="B362" s="174"/>
      <c r="C362" s="174"/>
      <c r="D362" s="174"/>
      <c r="E362" s="174"/>
      <c r="F362" s="174"/>
      <c r="G362" s="174"/>
      <c r="H362" s="174"/>
      <c r="I362" s="174"/>
      <c r="J362" s="174"/>
      <c r="K362" s="174"/>
      <c r="L362" s="174"/>
      <c r="M362" s="174"/>
      <c r="N362" s="174"/>
      <c r="O362" s="174"/>
      <c r="P362" s="174"/>
      <c r="Q362" s="174"/>
      <c r="R362" s="174"/>
      <c r="S362" s="174"/>
      <c r="T362" s="174"/>
      <c r="U362" s="174"/>
      <c r="V362" s="174"/>
      <c r="W362" s="174"/>
      <c r="X362" s="174"/>
      <c r="Y362" s="174"/>
      <c r="Z362" s="174"/>
    </row>
    <row r="363" customFormat="false" ht="15.75" hidden="false" customHeight="false" outlineLevel="0" collapsed="false">
      <c r="A363" s="174"/>
      <c r="B363" s="174"/>
      <c r="C363" s="174"/>
      <c r="D363" s="174"/>
      <c r="E363" s="174"/>
      <c r="F363" s="174"/>
      <c r="G363" s="174"/>
      <c r="H363" s="174"/>
      <c r="I363" s="174"/>
      <c r="J363" s="174"/>
      <c r="K363" s="174"/>
      <c r="L363" s="174"/>
      <c r="M363" s="174"/>
      <c r="N363" s="174"/>
      <c r="O363" s="174"/>
      <c r="P363" s="174"/>
      <c r="Q363" s="174"/>
      <c r="R363" s="174"/>
      <c r="S363" s="174"/>
      <c r="T363" s="174"/>
      <c r="U363" s="174"/>
      <c r="V363" s="174"/>
      <c r="W363" s="174"/>
      <c r="X363" s="174"/>
      <c r="Y363" s="174"/>
      <c r="Z363" s="174"/>
    </row>
    <row r="364" customFormat="false" ht="15.75" hidden="false" customHeight="false" outlineLevel="0" collapsed="false">
      <c r="A364" s="174"/>
      <c r="B364" s="174"/>
      <c r="C364" s="174"/>
      <c r="D364" s="174"/>
      <c r="E364" s="174"/>
      <c r="F364" s="174"/>
      <c r="G364" s="174"/>
      <c r="H364" s="174"/>
      <c r="I364" s="174"/>
      <c r="J364" s="174"/>
      <c r="K364" s="174"/>
      <c r="L364" s="174"/>
      <c r="M364" s="174"/>
      <c r="N364" s="174"/>
      <c r="O364" s="174"/>
      <c r="P364" s="174"/>
      <c r="Q364" s="174"/>
      <c r="R364" s="174"/>
      <c r="S364" s="174"/>
      <c r="T364" s="174"/>
      <c r="U364" s="174"/>
      <c r="V364" s="174"/>
      <c r="W364" s="174"/>
      <c r="X364" s="174"/>
      <c r="Y364" s="174"/>
      <c r="Z364" s="174"/>
    </row>
    <row r="365" customFormat="false" ht="15.75" hidden="false" customHeight="false" outlineLevel="0" collapsed="false">
      <c r="A365" s="174"/>
      <c r="B365" s="174"/>
      <c r="C365" s="174"/>
      <c r="D365" s="174"/>
      <c r="E365" s="174"/>
      <c r="F365" s="174"/>
      <c r="G365" s="174"/>
      <c r="H365" s="174"/>
      <c r="I365" s="174"/>
      <c r="J365" s="174"/>
      <c r="K365" s="174"/>
      <c r="L365" s="174"/>
      <c r="M365" s="174"/>
      <c r="N365" s="174"/>
      <c r="O365" s="174"/>
      <c r="P365" s="174"/>
      <c r="Q365" s="174"/>
      <c r="R365" s="174"/>
      <c r="S365" s="174"/>
      <c r="T365" s="174"/>
      <c r="U365" s="174"/>
      <c r="V365" s="174"/>
      <c r="W365" s="174"/>
      <c r="X365" s="174"/>
      <c r="Y365" s="174"/>
      <c r="Z365" s="174"/>
    </row>
    <row r="366" customFormat="false" ht="15.75" hidden="false" customHeight="false" outlineLevel="0" collapsed="false">
      <c r="A366" s="174"/>
      <c r="B366" s="174"/>
      <c r="C366" s="174"/>
      <c r="D366" s="174"/>
      <c r="E366" s="174"/>
      <c r="F366" s="174"/>
      <c r="G366" s="174"/>
      <c r="H366" s="174"/>
      <c r="I366" s="174"/>
      <c r="J366" s="174"/>
      <c r="K366" s="174"/>
      <c r="L366" s="174"/>
      <c r="M366" s="174"/>
      <c r="N366" s="174"/>
      <c r="O366" s="174"/>
      <c r="P366" s="174"/>
      <c r="Q366" s="174"/>
      <c r="R366" s="174"/>
      <c r="S366" s="174"/>
      <c r="T366" s="174"/>
      <c r="U366" s="174"/>
      <c r="V366" s="174"/>
      <c r="W366" s="174"/>
      <c r="X366" s="174"/>
      <c r="Y366" s="174"/>
      <c r="Z366" s="174"/>
    </row>
    <row r="367" customFormat="false" ht="15.75" hidden="false" customHeight="false" outlineLevel="0" collapsed="false">
      <c r="A367" s="174"/>
      <c r="B367" s="174"/>
      <c r="C367" s="174"/>
      <c r="D367" s="174"/>
      <c r="E367" s="174"/>
      <c r="F367" s="174"/>
      <c r="G367" s="174"/>
      <c r="H367" s="174"/>
      <c r="I367" s="174"/>
      <c r="J367" s="174"/>
      <c r="K367" s="174"/>
      <c r="L367" s="174"/>
      <c r="M367" s="174"/>
      <c r="N367" s="174"/>
      <c r="O367" s="174"/>
      <c r="P367" s="174"/>
      <c r="Q367" s="174"/>
      <c r="R367" s="174"/>
      <c r="S367" s="174"/>
      <c r="T367" s="174"/>
      <c r="U367" s="174"/>
      <c r="V367" s="174"/>
      <c r="W367" s="174"/>
      <c r="X367" s="174"/>
      <c r="Y367" s="174"/>
      <c r="Z367" s="174"/>
    </row>
    <row r="368" customFormat="false" ht="15.75" hidden="false" customHeight="false" outlineLevel="0" collapsed="false">
      <c r="A368" s="174"/>
      <c r="B368" s="174"/>
      <c r="C368" s="174"/>
      <c r="D368" s="174"/>
      <c r="E368" s="174"/>
      <c r="F368" s="174"/>
      <c r="G368" s="174"/>
      <c r="H368" s="174"/>
      <c r="I368" s="174"/>
      <c r="J368" s="174"/>
      <c r="K368" s="174"/>
      <c r="L368" s="174"/>
      <c r="M368" s="174"/>
      <c r="N368" s="174"/>
      <c r="O368" s="174"/>
      <c r="P368" s="174"/>
      <c r="Q368" s="174"/>
      <c r="R368" s="174"/>
      <c r="S368" s="174"/>
      <c r="T368" s="174"/>
      <c r="U368" s="174"/>
      <c r="V368" s="174"/>
      <c r="W368" s="174"/>
      <c r="X368" s="174"/>
      <c r="Y368" s="174"/>
      <c r="Z368" s="174"/>
    </row>
    <row r="369" customFormat="false" ht="15.75" hidden="false" customHeight="false" outlineLevel="0" collapsed="false">
      <c r="A369" s="174"/>
      <c r="B369" s="174"/>
      <c r="C369" s="174"/>
      <c r="D369" s="174"/>
      <c r="E369" s="174"/>
      <c r="F369" s="174"/>
      <c r="G369" s="174"/>
      <c r="H369" s="174"/>
      <c r="I369" s="174"/>
      <c r="J369" s="174"/>
      <c r="K369" s="174"/>
      <c r="L369" s="174"/>
      <c r="M369" s="174"/>
      <c r="N369" s="174"/>
      <c r="O369" s="174"/>
      <c r="P369" s="174"/>
      <c r="Q369" s="174"/>
      <c r="R369" s="174"/>
      <c r="S369" s="174"/>
      <c r="T369" s="174"/>
      <c r="U369" s="174"/>
      <c r="V369" s="174"/>
      <c r="W369" s="174"/>
      <c r="X369" s="174"/>
      <c r="Y369" s="174"/>
      <c r="Z369" s="174"/>
    </row>
    <row r="370" customFormat="false" ht="15.75" hidden="false" customHeight="false" outlineLevel="0" collapsed="false">
      <c r="A370" s="174"/>
      <c r="B370" s="174"/>
      <c r="C370" s="174"/>
      <c r="D370" s="174"/>
      <c r="E370" s="174"/>
      <c r="F370" s="174"/>
      <c r="G370" s="174"/>
      <c r="H370" s="174"/>
      <c r="I370" s="174"/>
      <c r="J370" s="174"/>
      <c r="K370" s="174"/>
      <c r="L370" s="174"/>
      <c r="M370" s="174"/>
      <c r="N370" s="174"/>
      <c r="O370" s="174"/>
      <c r="P370" s="174"/>
      <c r="Q370" s="174"/>
      <c r="R370" s="174"/>
      <c r="S370" s="174"/>
      <c r="T370" s="174"/>
      <c r="U370" s="174"/>
      <c r="V370" s="174"/>
      <c r="W370" s="174"/>
      <c r="X370" s="174"/>
      <c r="Y370" s="174"/>
      <c r="Z370" s="174"/>
    </row>
    <row r="371" customFormat="false" ht="15.75" hidden="false" customHeight="false" outlineLevel="0" collapsed="false">
      <c r="A371" s="174"/>
      <c r="B371" s="174"/>
      <c r="C371" s="174"/>
      <c r="D371" s="174"/>
      <c r="E371" s="174"/>
      <c r="F371" s="174"/>
      <c r="G371" s="174"/>
      <c r="H371" s="174"/>
      <c r="I371" s="174"/>
      <c r="J371" s="174"/>
      <c r="K371" s="174"/>
      <c r="L371" s="174"/>
      <c r="M371" s="174"/>
      <c r="N371" s="174"/>
      <c r="O371" s="174"/>
      <c r="P371" s="174"/>
      <c r="Q371" s="174"/>
      <c r="R371" s="174"/>
      <c r="S371" s="174"/>
      <c r="T371" s="174"/>
      <c r="U371" s="174"/>
      <c r="V371" s="174"/>
      <c r="W371" s="174"/>
      <c r="X371" s="174"/>
      <c r="Y371" s="174"/>
      <c r="Z371" s="174"/>
    </row>
    <row r="372" customFormat="false" ht="15.75" hidden="false" customHeight="false" outlineLevel="0" collapsed="false">
      <c r="A372" s="174"/>
      <c r="B372" s="174"/>
      <c r="C372" s="174"/>
      <c r="D372" s="174"/>
      <c r="E372" s="174"/>
      <c r="F372" s="174"/>
      <c r="G372" s="174"/>
      <c r="H372" s="174"/>
      <c r="I372" s="174"/>
      <c r="J372" s="174"/>
      <c r="K372" s="174"/>
      <c r="L372" s="174"/>
      <c r="M372" s="174"/>
      <c r="N372" s="174"/>
      <c r="O372" s="174"/>
      <c r="P372" s="174"/>
      <c r="Q372" s="174"/>
      <c r="R372" s="174"/>
      <c r="S372" s="174"/>
      <c r="T372" s="174"/>
      <c r="U372" s="174"/>
      <c r="V372" s="174"/>
      <c r="W372" s="174"/>
      <c r="X372" s="174"/>
      <c r="Y372" s="174"/>
      <c r="Z372" s="174"/>
    </row>
    <row r="373" customFormat="false" ht="15.75" hidden="false" customHeight="false" outlineLevel="0" collapsed="false">
      <c r="A373" s="174"/>
      <c r="B373" s="174"/>
      <c r="C373" s="174"/>
      <c r="D373" s="174"/>
      <c r="E373" s="174"/>
      <c r="F373" s="174"/>
      <c r="G373" s="174"/>
      <c r="H373" s="174"/>
      <c r="I373" s="174"/>
      <c r="J373" s="174"/>
      <c r="K373" s="174"/>
      <c r="L373" s="174"/>
      <c r="M373" s="174"/>
      <c r="N373" s="174"/>
      <c r="O373" s="174"/>
      <c r="P373" s="174"/>
      <c r="Q373" s="174"/>
      <c r="R373" s="174"/>
      <c r="S373" s="174"/>
      <c r="T373" s="174"/>
      <c r="U373" s="174"/>
      <c r="V373" s="174"/>
      <c r="W373" s="174"/>
      <c r="X373" s="174"/>
      <c r="Y373" s="174"/>
      <c r="Z373" s="174"/>
    </row>
    <row r="374" customFormat="false" ht="15.75" hidden="false" customHeight="false" outlineLevel="0" collapsed="false">
      <c r="A374" s="174"/>
      <c r="B374" s="174"/>
      <c r="C374" s="174"/>
      <c r="D374" s="174"/>
      <c r="E374" s="174"/>
      <c r="F374" s="174"/>
      <c r="G374" s="174"/>
      <c r="H374" s="174"/>
      <c r="I374" s="174"/>
      <c r="J374" s="174"/>
      <c r="K374" s="174"/>
      <c r="L374" s="174"/>
      <c r="M374" s="174"/>
      <c r="N374" s="174"/>
      <c r="O374" s="174"/>
      <c r="P374" s="174"/>
      <c r="Q374" s="174"/>
      <c r="R374" s="174"/>
      <c r="S374" s="174"/>
      <c r="T374" s="174"/>
      <c r="U374" s="174"/>
      <c r="V374" s="174"/>
      <c r="W374" s="174"/>
      <c r="X374" s="174"/>
      <c r="Y374" s="174"/>
      <c r="Z374" s="174"/>
    </row>
    <row r="375" customFormat="false" ht="15.75" hidden="false" customHeight="false" outlineLevel="0" collapsed="false">
      <c r="A375" s="174"/>
      <c r="B375" s="174"/>
      <c r="C375" s="174"/>
      <c r="D375" s="174"/>
      <c r="E375" s="174"/>
      <c r="F375" s="174"/>
      <c r="G375" s="174"/>
      <c r="H375" s="174"/>
      <c r="I375" s="174"/>
      <c r="J375" s="174"/>
      <c r="K375" s="174"/>
      <c r="L375" s="174"/>
      <c r="M375" s="174"/>
      <c r="N375" s="174"/>
      <c r="O375" s="174"/>
      <c r="P375" s="174"/>
      <c r="Q375" s="174"/>
      <c r="R375" s="174"/>
      <c r="S375" s="174"/>
      <c r="T375" s="174"/>
      <c r="U375" s="174"/>
      <c r="V375" s="174"/>
      <c r="W375" s="174"/>
      <c r="X375" s="174"/>
      <c r="Y375" s="174"/>
      <c r="Z375" s="174"/>
    </row>
    <row r="376" customFormat="false" ht="15.75" hidden="false" customHeight="false" outlineLevel="0" collapsed="false">
      <c r="A376" s="174"/>
      <c r="B376" s="174"/>
      <c r="C376" s="174"/>
      <c r="D376" s="174"/>
      <c r="E376" s="174"/>
      <c r="F376" s="174"/>
      <c r="G376" s="174"/>
      <c r="H376" s="174"/>
      <c r="I376" s="174"/>
      <c r="J376" s="174"/>
      <c r="K376" s="174"/>
      <c r="L376" s="174"/>
      <c r="M376" s="174"/>
      <c r="N376" s="174"/>
      <c r="O376" s="174"/>
      <c r="P376" s="174"/>
      <c r="Q376" s="174"/>
      <c r="R376" s="174"/>
      <c r="S376" s="174"/>
      <c r="T376" s="174"/>
      <c r="U376" s="174"/>
      <c r="V376" s="174"/>
      <c r="W376" s="174"/>
      <c r="X376" s="174"/>
      <c r="Y376" s="174"/>
      <c r="Z376" s="174"/>
    </row>
    <row r="377" customFormat="false" ht="15.75" hidden="false" customHeight="false" outlineLevel="0" collapsed="false">
      <c r="A377" s="174"/>
      <c r="B377" s="174"/>
      <c r="C377" s="174"/>
      <c r="D377" s="174"/>
      <c r="E377" s="174"/>
      <c r="F377" s="174"/>
      <c r="G377" s="174"/>
      <c r="H377" s="174"/>
      <c r="I377" s="174"/>
      <c r="J377" s="174"/>
      <c r="K377" s="174"/>
      <c r="L377" s="174"/>
      <c r="M377" s="174"/>
      <c r="N377" s="174"/>
      <c r="O377" s="174"/>
      <c r="P377" s="174"/>
      <c r="Q377" s="174"/>
      <c r="R377" s="174"/>
      <c r="S377" s="174"/>
      <c r="T377" s="174"/>
      <c r="U377" s="174"/>
      <c r="V377" s="174"/>
      <c r="W377" s="174"/>
      <c r="X377" s="174"/>
      <c r="Y377" s="174"/>
      <c r="Z377" s="174"/>
    </row>
    <row r="378" customFormat="false" ht="15.75" hidden="false" customHeight="false" outlineLevel="0" collapsed="false">
      <c r="A378" s="174"/>
      <c r="B378" s="174"/>
      <c r="C378" s="174"/>
      <c r="D378" s="174"/>
      <c r="E378" s="174"/>
      <c r="F378" s="174"/>
      <c r="G378" s="174"/>
      <c r="H378" s="174"/>
      <c r="I378" s="174"/>
      <c r="J378" s="174"/>
      <c r="K378" s="174"/>
      <c r="L378" s="174"/>
      <c r="M378" s="174"/>
      <c r="N378" s="174"/>
      <c r="O378" s="174"/>
      <c r="P378" s="174"/>
      <c r="Q378" s="174"/>
      <c r="R378" s="174"/>
      <c r="S378" s="174"/>
      <c r="T378" s="174"/>
      <c r="U378" s="174"/>
      <c r="V378" s="174"/>
      <c r="W378" s="174"/>
      <c r="X378" s="174"/>
      <c r="Y378" s="174"/>
      <c r="Z378" s="174"/>
    </row>
    <row r="379" customFormat="false" ht="15.75" hidden="false" customHeight="false" outlineLevel="0" collapsed="false">
      <c r="A379" s="174"/>
      <c r="B379" s="174"/>
      <c r="C379" s="174"/>
      <c r="D379" s="174"/>
      <c r="E379" s="174"/>
      <c r="F379" s="174"/>
      <c r="G379" s="174"/>
      <c r="H379" s="174"/>
      <c r="I379" s="174"/>
      <c r="J379" s="174"/>
      <c r="K379" s="174"/>
      <c r="L379" s="174"/>
      <c r="M379" s="174"/>
      <c r="N379" s="174"/>
      <c r="O379" s="174"/>
      <c r="P379" s="174"/>
      <c r="Q379" s="174"/>
      <c r="R379" s="174"/>
      <c r="S379" s="174"/>
      <c r="T379" s="174"/>
      <c r="U379" s="174"/>
      <c r="V379" s="174"/>
      <c r="W379" s="174"/>
      <c r="X379" s="174"/>
      <c r="Y379" s="174"/>
      <c r="Z379" s="174"/>
    </row>
    <row r="380" customFormat="false" ht="15.75" hidden="false" customHeight="false" outlineLevel="0" collapsed="false">
      <c r="A380" s="174"/>
      <c r="B380" s="174"/>
      <c r="C380" s="174"/>
      <c r="D380" s="174"/>
      <c r="E380" s="174"/>
      <c r="F380" s="174"/>
      <c r="G380" s="174"/>
      <c r="H380" s="174"/>
      <c r="I380" s="174"/>
      <c r="J380" s="174"/>
      <c r="K380" s="174"/>
      <c r="L380" s="174"/>
      <c r="M380" s="174"/>
      <c r="N380" s="174"/>
      <c r="O380" s="174"/>
      <c r="P380" s="174"/>
      <c r="Q380" s="174"/>
      <c r="R380" s="174"/>
      <c r="S380" s="174"/>
      <c r="T380" s="174"/>
      <c r="U380" s="174"/>
      <c r="V380" s="174"/>
      <c r="W380" s="174"/>
      <c r="X380" s="174"/>
      <c r="Y380" s="174"/>
      <c r="Z380" s="174"/>
    </row>
    <row r="381" customFormat="false" ht="15.75" hidden="false" customHeight="false" outlineLevel="0" collapsed="false">
      <c r="A381" s="174"/>
      <c r="B381" s="174"/>
      <c r="C381" s="174"/>
      <c r="D381" s="174"/>
      <c r="E381" s="174"/>
      <c r="F381" s="174"/>
      <c r="G381" s="174"/>
      <c r="H381" s="174"/>
      <c r="I381" s="174"/>
      <c r="J381" s="174"/>
      <c r="K381" s="174"/>
      <c r="L381" s="174"/>
      <c r="M381" s="174"/>
      <c r="N381" s="174"/>
      <c r="O381" s="174"/>
      <c r="P381" s="174"/>
      <c r="Q381" s="174"/>
      <c r="R381" s="174"/>
      <c r="S381" s="174"/>
      <c r="T381" s="174"/>
      <c r="U381" s="174"/>
      <c r="V381" s="174"/>
      <c r="W381" s="174"/>
      <c r="X381" s="174"/>
      <c r="Y381" s="174"/>
      <c r="Z381" s="174"/>
    </row>
    <row r="382" customFormat="false" ht="15.75" hidden="false" customHeight="false" outlineLevel="0" collapsed="false">
      <c r="A382" s="174"/>
      <c r="B382" s="174"/>
      <c r="C382" s="174"/>
      <c r="D382" s="174"/>
      <c r="E382" s="174"/>
      <c r="F382" s="174"/>
      <c r="G382" s="174"/>
      <c r="H382" s="174"/>
      <c r="I382" s="174"/>
      <c r="J382" s="174"/>
      <c r="K382" s="174"/>
      <c r="L382" s="174"/>
      <c r="M382" s="174"/>
      <c r="N382" s="174"/>
      <c r="O382" s="174"/>
      <c r="P382" s="174"/>
      <c r="Q382" s="174"/>
      <c r="R382" s="174"/>
      <c r="S382" s="174"/>
      <c r="T382" s="174"/>
      <c r="U382" s="174"/>
      <c r="V382" s="174"/>
      <c r="W382" s="174"/>
      <c r="X382" s="174"/>
      <c r="Y382" s="174"/>
      <c r="Z382" s="174"/>
    </row>
    <row r="383" customFormat="false" ht="15.75" hidden="false" customHeight="false" outlineLevel="0" collapsed="false">
      <c r="A383" s="174"/>
      <c r="B383" s="174"/>
      <c r="C383" s="174"/>
      <c r="D383" s="174"/>
      <c r="E383" s="174"/>
      <c r="F383" s="174"/>
      <c r="G383" s="174"/>
      <c r="H383" s="174"/>
      <c r="I383" s="174"/>
      <c r="J383" s="174"/>
      <c r="K383" s="174"/>
      <c r="L383" s="174"/>
      <c r="M383" s="174"/>
      <c r="N383" s="174"/>
      <c r="O383" s="174"/>
      <c r="P383" s="174"/>
      <c r="Q383" s="174"/>
      <c r="R383" s="174"/>
      <c r="S383" s="174"/>
      <c r="T383" s="174"/>
      <c r="U383" s="174"/>
      <c r="V383" s="174"/>
      <c r="W383" s="174"/>
      <c r="X383" s="174"/>
      <c r="Y383" s="174"/>
      <c r="Z383" s="174"/>
    </row>
    <row r="384" customFormat="false" ht="15.75" hidden="false" customHeight="false" outlineLevel="0" collapsed="false">
      <c r="A384" s="174"/>
      <c r="B384" s="174"/>
      <c r="C384" s="174"/>
      <c r="D384" s="174"/>
      <c r="E384" s="174"/>
      <c r="F384" s="174"/>
      <c r="G384" s="174"/>
      <c r="H384" s="174"/>
      <c r="I384" s="174"/>
      <c r="J384" s="174"/>
      <c r="K384" s="174"/>
      <c r="L384" s="174"/>
      <c r="M384" s="174"/>
      <c r="N384" s="174"/>
      <c r="O384" s="174"/>
      <c r="P384" s="174"/>
      <c r="Q384" s="174"/>
      <c r="R384" s="174"/>
      <c r="S384" s="174"/>
      <c r="T384" s="174"/>
      <c r="U384" s="174"/>
      <c r="V384" s="174"/>
      <c r="W384" s="174"/>
      <c r="X384" s="174"/>
      <c r="Y384" s="174"/>
      <c r="Z384" s="174"/>
    </row>
    <row r="385" customFormat="false" ht="15.75" hidden="false" customHeight="false" outlineLevel="0" collapsed="false">
      <c r="A385" s="174"/>
      <c r="B385" s="174"/>
      <c r="C385" s="174"/>
      <c r="D385" s="174"/>
      <c r="E385" s="174"/>
      <c r="F385" s="174"/>
      <c r="G385" s="174"/>
      <c r="H385" s="174"/>
      <c r="I385" s="174"/>
      <c r="J385" s="174"/>
      <c r="K385" s="174"/>
      <c r="L385" s="174"/>
      <c r="M385" s="174"/>
      <c r="N385" s="174"/>
      <c r="O385" s="174"/>
      <c r="P385" s="174"/>
      <c r="Q385" s="174"/>
      <c r="R385" s="174"/>
      <c r="S385" s="174"/>
      <c r="T385" s="174"/>
      <c r="U385" s="174"/>
      <c r="V385" s="174"/>
      <c r="W385" s="174"/>
      <c r="X385" s="174"/>
      <c r="Y385" s="174"/>
      <c r="Z385" s="174"/>
    </row>
    <row r="386" customFormat="false" ht="15.75" hidden="false" customHeight="false" outlineLevel="0" collapsed="false">
      <c r="A386" s="174"/>
      <c r="B386" s="174"/>
      <c r="C386" s="174"/>
      <c r="D386" s="174"/>
      <c r="E386" s="174"/>
      <c r="F386" s="174"/>
      <c r="G386" s="174"/>
      <c r="H386" s="174"/>
      <c r="I386" s="174"/>
      <c r="J386" s="174"/>
      <c r="K386" s="174"/>
      <c r="L386" s="174"/>
      <c r="M386" s="174"/>
      <c r="N386" s="174"/>
      <c r="O386" s="174"/>
      <c r="P386" s="174"/>
      <c r="Q386" s="174"/>
      <c r="R386" s="174"/>
      <c r="S386" s="174"/>
      <c r="T386" s="174"/>
      <c r="U386" s="174"/>
      <c r="V386" s="174"/>
      <c r="W386" s="174"/>
      <c r="X386" s="174"/>
      <c r="Y386" s="174"/>
      <c r="Z386" s="174"/>
    </row>
    <row r="387" customFormat="false" ht="15.75" hidden="false" customHeight="false" outlineLevel="0" collapsed="false">
      <c r="A387" s="174"/>
      <c r="B387" s="174"/>
      <c r="C387" s="174"/>
      <c r="D387" s="174"/>
      <c r="E387" s="174"/>
      <c r="F387" s="174"/>
      <c r="G387" s="174"/>
      <c r="H387" s="174"/>
      <c r="I387" s="174"/>
      <c r="J387" s="174"/>
      <c r="K387" s="174"/>
      <c r="L387" s="174"/>
      <c r="M387" s="174"/>
      <c r="N387" s="174"/>
      <c r="O387" s="174"/>
      <c r="P387" s="174"/>
      <c r="Q387" s="174"/>
      <c r="R387" s="174"/>
      <c r="S387" s="174"/>
      <c r="T387" s="174"/>
      <c r="U387" s="174"/>
      <c r="V387" s="174"/>
      <c r="W387" s="174"/>
      <c r="X387" s="174"/>
      <c r="Y387" s="174"/>
      <c r="Z387" s="174"/>
    </row>
    <row r="388" customFormat="false" ht="15.75" hidden="false" customHeight="false" outlineLevel="0" collapsed="false">
      <c r="A388" s="174"/>
      <c r="B388" s="174"/>
      <c r="C388" s="174"/>
      <c r="D388" s="174"/>
      <c r="E388" s="174"/>
      <c r="F388" s="174"/>
      <c r="G388" s="174"/>
      <c r="H388" s="174"/>
      <c r="I388" s="174"/>
      <c r="J388" s="174"/>
      <c r="K388" s="174"/>
      <c r="L388" s="174"/>
      <c r="M388" s="174"/>
      <c r="N388" s="174"/>
      <c r="O388" s="174"/>
      <c r="P388" s="174"/>
      <c r="Q388" s="174"/>
      <c r="R388" s="174"/>
      <c r="S388" s="174"/>
      <c r="T388" s="174"/>
      <c r="U388" s="174"/>
      <c r="V388" s="174"/>
      <c r="W388" s="174"/>
      <c r="X388" s="174"/>
      <c r="Y388" s="174"/>
      <c r="Z388" s="174"/>
    </row>
    <row r="389" customFormat="false" ht="15.75" hidden="false" customHeight="false" outlineLevel="0" collapsed="false">
      <c r="A389" s="174"/>
      <c r="B389" s="174"/>
      <c r="C389" s="174"/>
      <c r="D389" s="174"/>
      <c r="E389" s="174"/>
      <c r="F389" s="174"/>
      <c r="G389" s="174"/>
      <c r="H389" s="174"/>
      <c r="I389" s="174"/>
      <c r="J389" s="174"/>
      <c r="K389" s="174"/>
      <c r="L389" s="174"/>
      <c r="M389" s="174"/>
      <c r="N389" s="174"/>
      <c r="O389" s="174"/>
      <c r="P389" s="174"/>
      <c r="Q389" s="174"/>
      <c r="R389" s="174"/>
      <c r="S389" s="174"/>
      <c r="T389" s="174"/>
      <c r="U389" s="174"/>
      <c r="V389" s="174"/>
      <c r="W389" s="174"/>
      <c r="X389" s="174"/>
      <c r="Y389" s="174"/>
      <c r="Z389" s="174"/>
    </row>
    <row r="390" customFormat="false" ht="15.75" hidden="false" customHeight="false" outlineLevel="0" collapsed="false">
      <c r="A390" s="174"/>
      <c r="B390" s="174"/>
      <c r="C390" s="174"/>
      <c r="D390" s="174"/>
      <c r="E390" s="174"/>
      <c r="F390" s="174"/>
      <c r="G390" s="174"/>
      <c r="H390" s="174"/>
      <c r="I390" s="174"/>
      <c r="J390" s="174"/>
      <c r="K390" s="174"/>
      <c r="L390" s="174"/>
      <c r="M390" s="174"/>
      <c r="N390" s="174"/>
      <c r="O390" s="174"/>
      <c r="P390" s="174"/>
      <c r="Q390" s="174"/>
      <c r="R390" s="174"/>
      <c r="S390" s="174"/>
      <c r="T390" s="174"/>
      <c r="U390" s="174"/>
      <c r="V390" s="174"/>
      <c r="W390" s="174"/>
      <c r="X390" s="174"/>
      <c r="Y390" s="174"/>
      <c r="Z390" s="174"/>
    </row>
    <row r="391" customFormat="false" ht="15.75" hidden="false" customHeight="false" outlineLevel="0" collapsed="false">
      <c r="A391" s="174"/>
      <c r="B391" s="174"/>
      <c r="C391" s="174"/>
      <c r="D391" s="174"/>
      <c r="E391" s="174"/>
      <c r="F391" s="174"/>
      <c r="G391" s="174"/>
      <c r="H391" s="174"/>
      <c r="I391" s="174"/>
      <c r="J391" s="174"/>
      <c r="K391" s="174"/>
      <c r="L391" s="174"/>
      <c r="M391" s="174"/>
      <c r="N391" s="174"/>
      <c r="O391" s="174"/>
      <c r="P391" s="174"/>
      <c r="Q391" s="174"/>
      <c r="R391" s="174"/>
      <c r="S391" s="174"/>
      <c r="T391" s="174"/>
      <c r="U391" s="174"/>
      <c r="V391" s="174"/>
      <c r="W391" s="174"/>
      <c r="X391" s="174"/>
      <c r="Y391" s="174"/>
      <c r="Z391" s="174"/>
    </row>
    <row r="392" customFormat="false" ht="15.75" hidden="false" customHeight="false" outlineLevel="0" collapsed="false">
      <c r="A392" s="174"/>
      <c r="B392" s="174"/>
      <c r="C392" s="174"/>
      <c r="D392" s="174"/>
      <c r="E392" s="174"/>
      <c r="F392" s="174"/>
      <c r="G392" s="174"/>
      <c r="H392" s="174"/>
      <c r="I392" s="174"/>
      <c r="J392" s="174"/>
      <c r="K392" s="174"/>
      <c r="L392" s="174"/>
      <c r="M392" s="174"/>
      <c r="N392" s="174"/>
      <c r="O392" s="174"/>
      <c r="P392" s="174"/>
      <c r="Q392" s="174"/>
      <c r="R392" s="174"/>
      <c r="S392" s="174"/>
      <c r="T392" s="174"/>
      <c r="U392" s="174"/>
      <c r="V392" s="174"/>
      <c r="W392" s="174"/>
      <c r="X392" s="174"/>
      <c r="Y392" s="174"/>
      <c r="Z392" s="174"/>
    </row>
    <row r="393" customFormat="false" ht="15.75" hidden="false" customHeight="false" outlineLevel="0" collapsed="false">
      <c r="A393" s="174"/>
      <c r="B393" s="174"/>
      <c r="C393" s="174"/>
      <c r="D393" s="174"/>
      <c r="E393" s="174"/>
      <c r="F393" s="174"/>
      <c r="G393" s="174"/>
      <c r="H393" s="174"/>
      <c r="I393" s="174"/>
      <c r="J393" s="174"/>
      <c r="K393" s="174"/>
      <c r="L393" s="174"/>
      <c r="M393" s="174"/>
      <c r="N393" s="174"/>
      <c r="O393" s="174"/>
      <c r="P393" s="174"/>
      <c r="Q393" s="174"/>
      <c r="R393" s="174"/>
      <c r="S393" s="174"/>
      <c r="T393" s="174"/>
      <c r="U393" s="174"/>
      <c r="V393" s="174"/>
      <c r="W393" s="174"/>
      <c r="X393" s="174"/>
      <c r="Y393" s="174"/>
      <c r="Z393" s="174"/>
    </row>
    <row r="394" customFormat="false" ht="15.75" hidden="false" customHeight="false" outlineLevel="0" collapsed="false">
      <c r="A394" s="174"/>
      <c r="B394" s="174"/>
      <c r="C394" s="174"/>
      <c r="D394" s="174"/>
      <c r="E394" s="174"/>
      <c r="F394" s="174"/>
      <c r="G394" s="174"/>
      <c r="H394" s="174"/>
      <c r="I394" s="174"/>
      <c r="J394" s="174"/>
      <c r="K394" s="174"/>
      <c r="L394" s="174"/>
      <c r="M394" s="174"/>
      <c r="N394" s="174"/>
      <c r="O394" s="174"/>
      <c r="P394" s="174"/>
      <c r="Q394" s="174"/>
      <c r="R394" s="174"/>
      <c r="S394" s="174"/>
      <c r="T394" s="174"/>
      <c r="U394" s="174"/>
      <c r="V394" s="174"/>
      <c r="W394" s="174"/>
      <c r="X394" s="174"/>
      <c r="Y394" s="174"/>
      <c r="Z394" s="174"/>
    </row>
    <row r="395" customFormat="false" ht="15.75" hidden="false" customHeight="false" outlineLevel="0" collapsed="false">
      <c r="A395" s="174"/>
      <c r="B395" s="174"/>
      <c r="C395" s="174"/>
      <c r="D395" s="174"/>
      <c r="E395" s="174"/>
      <c r="F395" s="174"/>
      <c r="G395" s="174"/>
      <c r="H395" s="174"/>
      <c r="I395" s="174"/>
      <c r="J395" s="174"/>
      <c r="K395" s="174"/>
      <c r="L395" s="174"/>
      <c r="M395" s="174"/>
      <c r="N395" s="174"/>
      <c r="O395" s="174"/>
      <c r="P395" s="174"/>
      <c r="Q395" s="174"/>
      <c r="R395" s="174"/>
      <c r="S395" s="174"/>
      <c r="T395" s="174"/>
      <c r="U395" s="174"/>
      <c r="V395" s="174"/>
      <c r="W395" s="174"/>
      <c r="X395" s="174"/>
      <c r="Y395" s="174"/>
      <c r="Z395" s="174"/>
    </row>
    <row r="396" customFormat="false" ht="15.75" hidden="false" customHeight="false" outlineLevel="0" collapsed="false">
      <c r="A396" s="174"/>
      <c r="B396" s="174"/>
      <c r="C396" s="174"/>
      <c r="D396" s="174"/>
      <c r="E396" s="174"/>
      <c r="F396" s="174"/>
      <c r="G396" s="174"/>
      <c r="H396" s="174"/>
      <c r="I396" s="174"/>
      <c r="J396" s="174"/>
      <c r="K396" s="174"/>
      <c r="L396" s="174"/>
      <c r="M396" s="174"/>
      <c r="N396" s="174"/>
      <c r="O396" s="174"/>
      <c r="P396" s="174"/>
      <c r="Q396" s="174"/>
      <c r="R396" s="174"/>
      <c r="S396" s="174"/>
      <c r="T396" s="174"/>
      <c r="U396" s="174"/>
      <c r="V396" s="174"/>
      <c r="W396" s="174"/>
      <c r="X396" s="174"/>
      <c r="Y396" s="174"/>
      <c r="Z396" s="174"/>
    </row>
    <row r="397" customFormat="false" ht="15.75" hidden="false" customHeight="false" outlineLevel="0" collapsed="false">
      <c r="A397" s="174"/>
      <c r="B397" s="174"/>
      <c r="C397" s="174"/>
      <c r="D397" s="174"/>
      <c r="E397" s="174"/>
      <c r="F397" s="174"/>
      <c r="G397" s="174"/>
      <c r="H397" s="174"/>
      <c r="I397" s="174"/>
      <c r="J397" s="174"/>
      <c r="K397" s="174"/>
      <c r="L397" s="174"/>
      <c r="M397" s="174"/>
      <c r="N397" s="174"/>
      <c r="O397" s="174"/>
      <c r="P397" s="174"/>
      <c r="Q397" s="174"/>
      <c r="R397" s="174"/>
      <c r="S397" s="174"/>
      <c r="T397" s="174"/>
      <c r="U397" s="174"/>
      <c r="V397" s="174"/>
      <c r="W397" s="174"/>
      <c r="X397" s="174"/>
      <c r="Y397" s="174"/>
      <c r="Z397" s="174"/>
    </row>
    <row r="398" customFormat="false" ht="15.75" hidden="false" customHeight="false" outlineLevel="0" collapsed="false">
      <c r="A398" s="174"/>
      <c r="B398" s="174"/>
      <c r="C398" s="174"/>
      <c r="D398" s="174"/>
      <c r="E398" s="174"/>
      <c r="F398" s="174"/>
      <c r="G398" s="174"/>
      <c r="H398" s="174"/>
      <c r="I398" s="174"/>
      <c r="J398" s="174"/>
      <c r="K398" s="174"/>
      <c r="L398" s="174"/>
      <c r="M398" s="174"/>
      <c r="N398" s="174"/>
      <c r="O398" s="174"/>
      <c r="P398" s="174"/>
      <c r="Q398" s="174"/>
      <c r="R398" s="174"/>
      <c r="S398" s="174"/>
      <c r="T398" s="174"/>
      <c r="U398" s="174"/>
      <c r="V398" s="174"/>
      <c r="W398" s="174"/>
      <c r="X398" s="174"/>
      <c r="Y398" s="174"/>
      <c r="Z398" s="174"/>
    </row>
    <row r="399" customFormat="false" ht="15.75" hidden="false" customHeight="false" outlineLevel="0" collapsed="false">
      <c r="A399" s="174"/>
      <c r="B399" s="174"/>
      <c r="C399" s="174"/>
      <c r="D399" s="174"/>
      <c r="E399" s="174"/>
      <c r="F399" s="174"/>
      <c r="G399" s="174"/>
      <c r="H399" s="174"/>
      <c r="I399" s="174"/>
      <c r="J399" s="174"/>
      <c r="K399" s="174"/>
      <c r="L399" s="174"/>
      <c r="M399" s="174"/>
      <c r="N399" s="174"/>
      <c r="O399" s="174"/>
      <c r="P399" s="174"/>
      <c r="Q399" s="174"/>
      <c r="R399" s="174"/>
      <c r="S399" s="174"/>
      <c r="T399" s="174"/>
      <c r="U399" s="174"/>
      <c r="V399" s="174"/>
      <c r="W399" s="174"/>
      <c r="X399" s="174"/>
      <c r="Y399" s="174"/>
      <c r="Z399" s="174"/>
    </row>
    <row r="400" customFormat="false" ht="15.75" hidden="false" customHeight="false" outlineLevel="0" collapsed="false">
      <c r="A400" s="174"/>
      <c r="B400" s="174"/>
      <c r="C400" s="174"/>
      <c r="D400" s="174"/>
      <c r="E400" s="174"/>
      <c r="F400" s="174"/>
      <c r="G400" s="174"/>
      <c r="H400" s="174"/>
      <c r="I400" s="174"/>
      <c r="J400" s="174"/>
      <c r="K400" s="174"/>
      <c r="L400" s="174"/>
      <c r="M400" s="174"/>
      <c r="N400" s="174"/>
      <c r="O400" s="174"/>
      <c r="P400" s="174"/>
      <c r="Q400" s="174"/>
      <c r="R400" s="174"/>
      <c r="S400" s="174"/>
      <c r="T400" s="174"/>
      <c r="U400" s="174"/>
      <c r="V400" s="174"/>
      <c r="W400" s="174"/>
      <c r="X400" s="174"/>
      <c r="Y400" s="174"/>
      <c r="Z400" s="174"/>
    </row>
    <row r="401" customFormat="false" ht="15.75" hidden="false" customHeight="false" outlineLevel="0" collapsed="false">
      <c r="A401" s="174"/>
      <c r="B401" s="174"/>
      <c r="C401" s="174"/>
      <c r="D401" s="174"/>
      <c r="E401" s="174"/>
      <c r="F401" s="174"/>
      <c r="G401" s="174"/>
      <c r="H401" s="174"/>
      <c r="I401" s="174"/>
      <c r="J401" s="174"/>
      <c r="K401" s="174"/>
      <c r="L401" s="174"/>
      <c r="M401" s="174"/>
      <c r="N401" s="174"/>
      <c r="O401" s="174"/>
      <c r="P401" s="174"/>
      <c r="Q401" s="174"/>
      <c r="R401" s="174"/>
      <c r="S401" s="174"/>
      <c r="T401" s="174"/>
      <c r="U401" s="174"/>
      <c r="V401" s="174"/>
      <c r="W401" s="174"/>
      <c r="X401" s="174"/>
      <c r="Y401" s="174"/>
      <c r="Z401" s="174"/>
    </row>
    <row r="402" customFormat="false" ht="15.75" hidden="false" customHeight="false" outlineLevel="0" collapsed="false">
      <c r="A402" s="174"/>
      <c r="B402" s="174"/>
      <c r="C402" s="174"/>
      <c r="D402" s="174"/>
      <c r="E402" s="174"/>
      <c r="F402" s="174"/>
      <c r="G402" s="174"/>
      <c r="H402" s="174"/>
      <c r="I402" s="174"/>
      <c r="J402" s="174"/>
      <c r="K402" s="174"/>
      <c r="L402" s="174"/>
      <c r="M402" s="174"/>
      <c r="N402" s="174"/>
      <c r="O402" s="174"/>
      <c r="P402" s="174"/>
      <c r="Q402" s="174"/>
      <c r="R402" s="174"/>
      <c r="S402" s="174"/>
      <c r="T402" s="174"/>
      <c r="U402" s="174"/>
      <c r="V402" s="174"/>
      <c r="W402" s="174"/>
      <c r="X402" s="174"/>
      <c r="Y402" s="174"/>
      <c r="Z402" s="174"/>
    </row>
    <row r="403" customFormat="false" ht="15.75" hidden="false" customHeight="false" outlineLevel="0" collapsed="false">
      <c r="A403" s="174"/>
      <c r="B403" s="174"/>
      <c r="C403" s="174"/>
      <c r="D403" s="174"/>
      <c r="E403" s="174"/>
      <c r="F403" s="174"/>
      <c r="G403" s="174"/>
      <c r="H403" s="174"/>
      <c r="I403" s="174"/>
      <c r="J403" s="174"/>
      <c r="K403" s="174"/>
      <c r="L403" s="174"/>
      <c r="M403" s="174"/>
      <c r="N403" s="174"/>
      <c r="O403" s="174"/>
      <c r="P403" s="174"/>
      <c r="Q403" s="174"/>
      <c r="R403" s="174"/>
      <c r="S403" s="174"/>
      <c r="T403" s="174"/>
      <c r="U403" s="174"/>
      <c r="V403" s="174"/>
      <c r="W403" s="174"/>
      <c r="X403" s="174"/>
      <c r="Y403" s="174"/>
      <c r="Z403" s="174"/>
    </row>
    <row r="404" customFormat="false" ht="15.75" hidden="false" customHeight="false" outlineLevel="0" collapsed="false">
      <c r="A404" s="174"/>
      <c r="B404" s="174"/>
      <c r="C404" s="174"/>
      <c r="D404" s="174"/>
      <c r="E404" s="174"/>
      <c r="F404" s="174"/>
      <c r="G404" s="174"/>
      <c r="H404" s="174"/>
      <c r="I404" s="174"/>
      <c r="J404" s="174"/>
      <c r="K404" s="174"/>
      <c r="L404" s="174"/>
      <c r="M404" s="174"/>
      <c r="N404" s="174"/>
      <c r="O404" s="174"/>
      <c r="P404" s="174"/>
      <c r="Q404" s="174"/>
      <c r="R404" s="174"/>
      <c r="S404" s="174"/>
      <c r="T404" s="174"/>
      <c r="U404" s="174"/>
      <c r="V404" s="174"/>
      <c r="W404" s="174"/>
      <c r="X404" s="174"/>
      <c r="Y404" s="174"/>
      <c r="Z404" s="174"/>
    </row>
    <row r="405" customFormat="false" ht="15.75" hidden="false" customHeight="false" outlineLevel="0" collapsed="false">
      <c r="A405" s="174"/>
      <c r="B405" s="174"/>
      <c r="C405" s="174"/>
      <c r="D405" s="174"/>
      <c r="E405" s="174"/>
      <c r="F405" s="174"/>
      <c r="G405" s="174"/>
      <c r="H405" s="174"/>
      <c r="I405" s="174"/>
      <c r="J405" s="174"/>
      <c r="K405" s="174"/>
      <c r="L405" s="174"/>
      <c r="M405" s="174"/>
      <c r="N405" s="174"/>
      <c r="O405" s="174"/>
      <c r="P405" s="174"/>
      <c r="Q405" s="174"/>
      <c r="R405" s="174"/>
      <c r="S405" s="174"/>
      <c r="T405" s="174"/>
      <c r="U405" s="174"/>
      <c r="V405" s="174"/>
      <c r="W405" s="174"/>
      <c r="X405" s="174"/>
      <c r="Y405" s="174"/>
      <c r="Z405" s="174"/>
    </row>
    <row r="406" customFormat="false" ht="15.75" hidden="false" customHeight="false" outlineLevel="0" collapsed="false">
      <c r="A406" s="174"/>
      <c r="B406" s="174"/>
      <c r="C406" s="174"/>
      <c r="D406" s="174"/>
      <c r="E406" s="174"/>
      <c r="F406" s="174"/>
      <c r="G406" s="174"/>
      <c r="H406" s="174"/>
      <c r="I406" s="174"/>
      <c r="J406" s="174"/>
      <c r="K406" s="174"/>
      <c r="L406" s="174"/>
      <c r="M406" s="174"/>
      <c r="N406" s="174"/>
      <c r="O406" s="174"/>
      <c r="P406" s="174"/>
      <c r="Q406" s="174"/>
      <c r="R406" s="174"/>
      <c r="S406" s="174"/>
      <c r="T406" s="174"/>
      <c r="U406" s="174"/>
      <c r="V406" s="174"/>
      <c r="W406" s="174"/>
      <c r="X406" s="174"/>
      <c r="Y406" s="174"/>
      <c r="Z406" s="174"/>
    </row>
    <row r="407" customFormat="false" ht="15.75" hidden="false" customHeight="false" outlineLevel="0" collapsed="false">
      <c r="A407" s="174"/>
      <c r="B407" s="174"/>
      <c r="C407" s="174"/>
      <c r="D407" s="174"/>
      <c r="E407" s="174"/>
      <c r="F407" s="174"/>
      <c r="G407" s="174"/>
      <c r="H407" s="174"/>
      <c r="I407" s="174"/>
      <c r="J407" s="174"/>
      <c r="K407" s="174"/>
      <c r="L407" s="174"/>
      <c r="M407" s="174"/>
      <c r="N407" s="174"/>
      <c r="O407" s="174"/>
      <c r="P407" s="174"/>
      <c r="Q407" s="174"/>
      <c r="R407" s="174"/>
      <c r="S407" s="174"/>
      <c r="T407" s="174"/>
      <c r="U407" s="174"/>
      <c r="V407" s="174"/>
      <c r="W407" s="174"/>
      <c r="X407" s="174"/>
      <c r="Y407" s="174"/>
      <c r="Z407" s="174"/>
    </row>
    <row r="408" customFormat="false" ht="15.75" hidden="false" customHeight="false" outlineLevel="0" collapsed="false">
      <c r="A408" s="174"/>
      <c r="B408" s="174"/>
      <c r="C408" s="174"/>
      <c r="D408" s="174"/>
      <c r="E408" s="174"/>
      <c r="F408" s="174"/>
      <c r="G408" s="174"/>
      <c r="H408" s="174"/>
      <c r="I408" s="174"/>
      <c r="J408" s="174"/>
      <c r="K408" s="174"/>
      <c r="L408" s="174"/>
      <c r="M408" s="174"/>
      <c r="N408" s="174"/>
      <c r="O408" s="174"/>
      <c r="P408" s="174"/>
      <c r="Q408" s="174"/>
      <c r="R408" s="174"/>
      <c r="S408" s="174"/>
      <c r="T408" s="174"/>
      <c r="U408" s="174"/>
      <c r="V408" s="174"/>
      <c r="W408" s="174"/>
      <c r="X408" s="174"/>
      <c r="Y408" s="174"/>
      <c r="Z408" s="174"/>
    </row>
    <row r="409" customFormat="false" ht="15.75" hidden="false" customHeight="false" outlineLevel="0" collapsed="false">
      <c r="A409" s="174"/>
      <c r="B409" s="174"/>
      <c r="C409" s="174"/>
      <c r="D409" s="174"/>
      <c r="E409" s="174"/>
      <c r="F409" s="174"/>
      <c r="G409" s="174"/>
      <c r="H409" s="174"/>
      <c r="I409" s="174"/>
      <c r="J409" s="174"/>
      <c r="K409" s="174"/>
      <c r="L409" s="174"/>
      <c r="M409" s="174"/>
      <c r="N409" s="174"/>
      <c r="O409" s="174"/>
      <c r="P409" s="174"/>
      <c r="Q409" s="174"/>
      <c r="R409" s="174"/>
      <c r="S409" s="174"/>
      <c r="T409" s="174"/>
      <c r="U409" s="174"/>
      <c r="V409" s="174"/>
      <c r="W409" s="174"/>
      <c r="X409" s="174"/>
      <c r="Y409" s="174"/>
      <c r="Z409" s="174"/>
    </row>
    <row r="410" customFormat="false" ht="15.75" hidden="false" customHeight="false" outlineLevel="0" collapsed="false">
      <c r="A410" s="174"/>
      <c r="B410" s="174"/>
      <c r="C410" s="174"/>
      <c r="D410" s="174"/>
      <c r="E410" s="174"/>
      <c r="F410" s="174"/>
      <c r="G410" s="174"/>
      <c r="H410" s="174"/>
      <c r="I410" s="174"/>
      <c r="J410" s="174"/>
      <c r="K410" s="174"/>
      <c r="L410" s="174"/>
      <c r="M410" s="174"/>
      <c r="N410" s="174"/>
      <c r="O410" s="174"/>
      <c r="P410" s="174"/>
      <c r="Q410" s="174"/>
      <c r="R410" s="174"/>
      <c r="S410" s="174"/>
      <c r="T410" s="174"/>
      <c r="U410" s="174"/>
      <c r="V410" s="174"/>
      <c r="W410" s="174"/>
      <c r="X410" s="174"/>
      <c r="Y410" s="174"/>
      <c r="Z410" s="174"/>
    </row>
    <row r="411" customFormat="false" ht="15.75" hidden="false" customHeight="false" outlineLevel="0" collapsed="false">
      <c r="A411" s="174"/>
      <c r="B411" s="174"/>
      <c r="C411" s="174"/>
      <c r="D411" s="174"/>
      <c r="E411" s="174"/>
      <c r="F411" s="174"/>
      <c r="G411" s="174"/>
      <c r="H411" s="174"/>
      <c r="I411" s="174"/>
      <c r="J411" s="174"/>
      <c r="K411" s="174"/>
      <c r="L411" s="174"/>
      <c r="M411" s="174"/>
      <c r="N411" s="174"/>
      <c r="O411" s="174"/>
      <c r="P411" s="174"/>
      <c r="Q411" s="174"/>
      <c r="R411" s="174"/>
      <c r="S411" s="174"/>
      <c r="T411" s="174"/>
      <c r="U411" s="174"/>
      <c r="V411" s="174"/>
      <c r="W411" s="174"/>
      <c r="X411" s="174"/>
      <c r="Y411" s="174"/>
      <c r="Z411" s="174"/>
    </row>
    <row r="412" customFormat="false" ht="15.75" hidden="false" customHeight="false" outlineLevel="0" collapsed="false">
      <c r="A412" s="174"/>
      <c r="B412" s="174"/>
      <c r="C412" s="174"/>
      <c r="D412" s="174"/>
      <c r="E412" s="174"/>
      <c r="F412" s="174"/>
      <c r="G412" s="174"/>
      <c r="H412" s="174"/>
      <c r="I412" s="174"/>
      <c r="J412" s="174"/>
      <c r="K412" s="174"/>
      <c r="L412" s="174"/>
      <c r="M412" s="174"/>
      <c r="N412" s="174"/>
      <c r="O412" s="174"/>
      <c r="P412" s="174"/>
      <c r="Q412" s="174"/>
      <c r="R412" s="174"/>
      <c r="S412" s="174"/>
      <c r="T412" s="174"/>
      <c r="U412" s="174"/>
      <c r="V412" s="174"/>
      <c r="W412" s="174"/>
      <c r="X412" s="174"/>
      <c r="Y412" s="174"/>
      <c r="Z412" s="174"/>
    </row>
    <row r="413" customFormat="false" ht="15.75" hidden="false" customHeight="false" outlineLevel="0" collapsed="false">
      <c r="A413" s="174"/>
      <c r="B413" s="174"/>
      <c r="C413" s="174"/>
      <c r="D413" s="174"/>
      <c r="E413" s="174"/>
      <c r="F413" s="174"/>
      <c r="G413" s="174"/>
      <c r="H413" s="174"/>
      <c r="I413" s="174"/>
      <c r="J413" s="174"/>
      <c r="K413" s="174"/>
      <c r="L413" s="174"/>
      <c r="M413" s="174"/>
      <c r="N413" s="174"/>
      <c r="O413" s="174"/>
      <c r="P413" s="174"/>
      <c r="Q413" s="174"/>
      <c r="R413" s="174"/>
      <c r="S413" s="174"/>
      <c r="T413" s="174"/>
      <c r="U413" s="174"/>
      <c r="V413" s="174"/>
      <c r="W413" s="174"/>
      <c r="X413" s="174"/>
      <c r="Y413" s="174"/>
      <c r="Z413" s="174"/>
    </row>
    <row r="414" customFormat="false" ht="15.75" hidden="false" customHeight="false" outlineLevel="0" collapsed="false">
      <c r="A414" s="174"/>
      <c r="B414" s="174"/>
      <c r="C414" s="174"/>
      <c r="D414" s="174"/>
      <c r="E414" s="174"/>
      <c r="F414" s="174"/>
      <c r="G414" s="174"/>
      <c r="H414" s="174"/>
      <c r="I414" s="174"/>
      <c r="J414" s="174"/>
      <c r="K414" s="174"/>
      <c r="L414" s="174"/>
      <c r="M414" s="174"/>
      <c r="N414" s="174"/>
      <c r="O414" s="174"/>
      <c r="P414" s="174"/>
      <c r="Q414" s="174"/>
      <c r="R414" s="174"/>
      <c r="S414" s="174"/>
      <c r="T414" s="174"/>
      <c r="U414" s="174"/>
      <c r="V414" s="174"/>
      <c r="W414" s="174"/>
      <c r="X414" s="174"/>
      <c r="Y414" s="174"/>
      <c r="Z414" s="174"/>
    </row>
    <row r="415" customFormat="false" ht="15.75" hidden="false" customHeight="false" outlineLevel="0" collapsed="false">
      <c r="A415" s="174"/>
      <c r="B415" s="174"/>
      <c r="C415" s="174"/>
      <c r="D415" s="174"/>
      <c r="E415" s="174"/>
      <c r="F415" s="174"/>
      <c r="G415" s="174"/>
      <c r="H415" s="174"/>
      <c r="I415" s="174"/>
      <c r="J415" s="174"/>
      <c r="K415" s="174"/>
      <c r="L415" s="174"/>
      <c r="M415" s="174"/>
      <c r="N415" s="174"/>
      <c r="O415" s="174"/>
      <c r="P415" s="174"/>
      <c r="Q415" s="174"/>
      <c r="R415" s="174"/>
      <c r="S415" s="174"/>
      <c r="T415" s="174"/>
      <c r="U415" s="174"/>
      <c r="V415" s="174"/>
      <c r="W415" s="174"/>
      <c r="X415" s="174"/>
      <c r="Y415" s="174"/>
      <c r="Z415" s="174"/>
    </row>
    <row r="416" customFormat="false" ht="15.75" hidden="false" customHeight="false" outlineLevel="0" collapsed="false">
      <c r="A416" s="174"/>
      <c r="B416" s="174"/>
      <c r="C416" s="174"/>
      <c r="D416" s="174"/>
      <c r="E416" s="174"/>
      <c r="F416" s="174"/>
      <c r="G416" s="174"/>
      <c r="H416" s="174"/>
      <c r="I416" s="174"/>
      <c r="J416" s="174"/>
      <c r="K416" s="174"/>
      <c r="L416" s="174"/>
      <c r="M416" s="174"/>
      <c r="N416" s="174"/>
      <c r="O416" s="174"/>
      <c r="P416" s="174"/>
      <c r="Q416" s="174"/>
      <c r="R416" s="174"/>
      <c r="S416" s="174"/>
      <c r="T416" s="174"/>
      <c r="U416" s="174"/>
      <c r="V416" s="174"/>
      <c r="W416" s="174"/>
      <c r="X416" s="174"/>
      <c r="Y416" s="174"/>
      <c r="Z416" s="174"/>
    </row>
    <row r="417" customFormat="false" ht="15.75" hidden="false" customHeight="false" outlineLevel="0" collapsed="false">
      <c r="A417" s="174"/>
      <c r="B417" s="174"/>
      <c r="C417" s="174"/>
      <c r="D417" s="174"/>
      <c r="E417" s="174"/>
      <c r="F417" s="174"/>
      <c r="G417" s="174"/>
      <c r="H417" s="174"/>
      <c r="I417" s="174"/>
      <c r="J417" s="174"/>
      <c r="K417" s="174"/>
      <c r="L417" s="174"/>
      <c r="M417" s="174"/>
      <c r="N417" s="174"/>
      <c r="O417" s="174"/>
      <c r="P417" s="174"/>
      <c r="Q417" s="174"/>
      <c r="R417" s="174"/>
      <c r="S417" s="174"/>
      <c r="T417" s="174"/>
      <c r="U417" s="174"/>
      <c r="V417" s="174"/>
      <c r="W417" s="174"/>
      <c r="X417" s="174"/>
      <c r="Y417" s="174"/>
      <c r="Z417" s="174"/>
    </row>
    <row r="418" customFormat="false" ht="15.75" hidden="false" customHeight="false" outlineLevel="0" collapsed="false">
      <c r="A418" s="174"/>
      <c r="B418" s="174"/>
      <c r="C418" s="174"/>
      <c r="D418" s="174"/>
      <c r="E418" s="174"/>
      <c r="F418" s="174"/>
      <c r="G418" s="174"/>
      <c r="H418" s="174"/>
      <c r="I418" s="174"/>
      <c r="J418" s="174"/>
      <c r="K418" s="174"/>
      <c r="L418" s="174"/>
      <c r="M418" s="174"/>
      <c r="N418" s="174"/>
      <c r="O418" s="174"/>
      <c r="P418" s="174"/>
      <c r="Q418" s="174"/>
      <c r="R418" s="174"/>
      <c r="S418" s="174"/>
      <c r="T418" s="174"/>
      <c r="U418" s="174"/>
      <c r="V418" s="174"/>
      <c r="W418" s="174"/>
      <c r="X418" s="174"/>
      <c r="Y418" s="174"/>
      <c r="Z418" s="174"/>
    </row>
    <row r="419" customFormat="false" ht="15.75" hidden="false" customHeight="false" outlineLevel="0" collapsed="false">
      <c r="A419" s="174"/>
      <c r="B419" s="174"/>
      <c r="C419" s="174"/>
      <c r="D419" s="174"/>
      <c r="E419" s="174"/>
      <c r="F419" s="174"/>
      <c r="G419" s="174"/>
      <c r="H419" s="174"/>
      <c r="I419" s="174"/>
      <c r="J419" s="174"/>
      <c r="K419" s="174"/>
      <c r="L419" s="174"/>
      <c r="M419" s="174"/>
      <c r="N419" s="174"/>
      <c r="O419" s="174"/>
      <c r="P419" s="174"/>
      <c r="Q419" s="174"/>
      <c r="R419" s="174"/>
      <c r="S419" s="174"/>
      <c r="T419" s="174"/>
      <c r="U419" s="174"/>
      <c r="V419" s="174"/>
      <c r="W419" s="174"/>
      <c r="X419" s="174"/>
      <c r="Y419" s="174"/>
      <c r="Z419" s="174"/>
    </row>
    <row r="420" customFormat="false" ht="15.75" hidden="false" customHeight="false" outlineLevel="0" collapsed="false">
      <c r="A420" s="174"/>
      <c r="B420" s="174"/>
      <c r="C420" s="174"/>
      <c r="D420" s="174"/>
      <c r="E420" s="174"/>
      <c r="F420" s="174"/>
      <c r="G420" s="174"/>
      <c r="H420" s="174"/>
      <c r="I420" s="174"/>
      <c r="J420" s="174"/>
      <c r="K420" s="174"/>
      <c r="L420" s="174"/>
      <c r="M420" s="174"/>
      <c r="N420" s="174"/>
      <c r="O420" s="174"/>
      <c r="P420" s="174"/>
      <c r="Q420" s="174"/>
      <c r="R420" s="174"/>
      <c r="S420" s="174"/>
      <c r="T420" s="174"/>
      <c r="U420" s="174"/>
      <c r="V420" s="174"/>
      <c r="W420" s="174"/>
      <c r="X420" s="174"/>
      <c r="Y420" s="174"/>
      <c r="Z420" s="174"/>
    </row>
    <row r="421" customFormat="false" ht="15.75" hidden="false" customHeight="false" outlineLevel="0" collapsed="false">
      <c r="A421" s="174"/>
      <c r="B421" s="174"/>
      <c r="C421" s="174"/>
      <c r="D421" s="174"/>
      <c r="E421" s="174"/>
      <c r="F421" s="174"/>
      <c r="G421" s="174"/>
      <c r="H421" s="174"/>
      <c r="I421" s="174"/>
      <c r="J421" s="174"/>
      <c r="K421" s="174"/>
      <c r="L421" s="174"/>
      <c r="M421" s="174"/>
      <c r="N421" s="174"/>
      <c r="O421" s="174"/>
      <c r="P421" s="174"/>
      <c r="Q421" s="174"/>
      <c r="R421" s="174"/>
      <c r="S421" s="174"/>
      <c r="T421" s="174"/>
      <c r="U421" s="174"/>
      <c r="V421" s="174"/>
      <c r="W421" s="174"/>
      <c r="X421" s="174"/>
      <c r="Y421" s="174"/>
      <c r="Z421" s="174"/>
    </row>
    <row r="422" customFormat="false" ht="15.75" hidden="false" customHeight="false" outlineLevel="0" collapsed="false">
      <c r="A422" s="174"/>
      <c r="B422" s="174"/>
      <c r="C422" s="174"/>
      <c r="D422" s="174"/>
      <c r="E422" s="174"/>
      <c r="F422" s="174"/>
      <c r="G422" s="174"/>
      <c r="H422" s="174"/>
      <c r="I422" s="174"/>
      <c r="J422" s="174"/>
      <c r="K422" s="174"/>
      <c r="L422" s="174"/>
      <c r="M422" s="174"/>
      <c r="N422" s="174"/>
      <c r="O422" s="174"/>
      <c r="P422" s="174"/>
      <c r="Q422" s="174"/>
      <c r="R422" s="174"/>
      <c r="S422" s="174"/>
      <c r="T422" s="174"/>
      <c r="U422" s="174"/>
      <c r="V422" s="174"/>
      <c r="W422" s="174"/>
      <c r="X422" s="174"/>
      <c r="Y422" s="174"/>
      <c r="Z422" s="174"/>
    </row>
    <row r="423" customFormat="false" ht="15.75" hidden="false" customHeight="false" outlineLevel="0" collapsed="false">
      <c r="A423" s="174"/>
      <c r="B423" s="174"/>
      <c r="C423" s="174"/>
      <c r="D423" s="174"/>
      <c r="E423" s="174"/>
      <c r="F423" s="174"/>
      <c r="G423" s="174"/>
      <c r="H423" s="174"/>
      <c r="I423" s="174"/>
      <c r="J423" s="174"/>
      <c r="K423" s="174"/>
      <c r="L423" s="174"/>
      <c r="M423" s="174"/>
      <c r="N423" s="174"/>
      <c r="O423" s="174"/>
      <c r="P423" s="174"/>
      <c r="Q423" s="174"/>
      <c r="R423" s="174"/>
      <c r="S423" s="174"/>
      <c r="T423" s="174"/>
      <c r="U423" s="174"/>
      <c r="V423" s="174"/>
      <c r="W423" s="174"/>
      <c r="X423" s="174"/>
      <c r="Y423" s="174"/>
      <c r="Z423" s="174"/>
    </row>
    <row r="424" customFormat="false" ht="15.75" hidden="false" customHeight="false" outlineLevel="0" collapsed="false">
      <c r="A424" s="174"/>
      <c r="B424" s="174"/>
      <c r="C424" s="174"/>
      <c r="D424" s="174"/>
      <c r="E424" s="174"/>
      <c r="F424" s="174"/>
      <c r="G424" s="174"/>
      <c r="H424" s="174"/>
      <c r="I424" s="174"/>
      <c r="J424" s="174"/>
      <c r="K424" s="174"/>
      <c r="L424" s="174"/>
      <c r="M424" s="174"/>
      <c r="N424" s="174"/>
      <c r="O424" s="174"/>
      <c r="P424" s="174"/>
      <c r="Q424" s="174"/>
      <c r="R424" s="174"/>
      <c r="S424" s="174"/>
      <c r="T424" s="174"/>
      <c r="U424" s="174"/>
      <c r="V424" s="174"/>
      <c r="W424" s="174"/>
      <c r="X424" s="174"/>
      <c r="Y424" s="174"/>
      <c r="Z424" s="174"/>
    </row>
    <row r="425" customFormat="false" ht="15.75" hidden="false" customHeight="false" outlineLevel="0" collapsed="false">
      <c r="A425" s="174"/>
      <c r="B425" s="174"/>
      <c r="C425" s="174"/>
      <c r="D425" s="174"/>
      <c r="E425" s="174"/>
      <c r="F425" s="174"/>
      <c r="G425" s="174"/>
      <c r="H425" s="174"/>
      <c r="I425" s="174"/>
      <c r="J425" s="174"/>
      <c r="K425" s="174"/>
      <c r="L425" s="174"/>
      <c r="M425" s="174"/>
      <c r="N425" s="174"/>
      <c r="O425" s="174"/>
      <c r="P425" s="174"/>
      <c r="Q425" s="174"/>
      <c r="R425" s="174"/>
      <c r="S425" s="174"/>
      <c r="T425" s="174"/>
      <c r="U425" s="174"/>
      <c r="V425" s="174"/>
      <c r="W425" s="174"/>
      <c r="X425" s="174"/>
      <c r="Y425" s="174"/>
      <c r="Z425" s="174"/>
    </row>
    <row r="426" customFormat="false" ht="15.75" hidden="false" customHeight="false" outlineLevel="0" collapsed="false">
      <c r="A426" s="174"/>
      <c r="B426" s="174"/>
      <c r="C426" s="174"/>
      <c r="D426" s="174"/>
      <c r="E426" s="174"/>
      <c r="F426" s="174"/>
      <c r="G426" s="174"/>
      <c r="H426" s="174"/>
      <c r="I426" s="174"/>
      <c r="J426" s="174"/>
      <c r="K426" s="174"/>
      <c r="L426" s="174"/>
      <c r="M426" s="174"/>
      <c r="N426" s="174"/>
      <c r="O426" s="174"/>
      <c r="P426" s="174"/>
      <c r="Q426" s="174"/>
      <c r="R426" s="174"/>
      <c r="S426" s="174"/>
      <c r="T426" s="174"/>
      <c r="U426" s="174"/>
      <c r="V426" s="174"/>
      <c r="W426" s="174"/>
      <c r="X426" s="174"/>
      <c r="Y426" s="174"/>
      <c r="Z426" s="174"/>
    </row>
    <row r="427" customFormat="false" ht="15.75" hidden="false" customHeight="false" outlineLevel="0" collapsed="false">
      <c r="A427" s="174"/>
      <c r="B427" s="174"/>
      <c r="C427" s="174"/>
      <c r="D427" s="174"/>
      <c r="E427" s="174"/>
      <c r="F427" s="174"/>
      <c r="G427" s="174"/>
      <c r="H427" s="174"/>
      <c r="I427" s="174"/>
      <c r="J427" s="174"/>
      <c r="K427" s="174"/>
      <c r="L427" s="174"/>
      <c r="M427" s="174"/>
      <c r="N427" s="174"/>
      <c r="O427" s="174"/>
      <c r="P427" s="174"/>
      <c r="Q427" s="174"/>
      <c r="R427" s="174"/>
      <c r="S427" s="174"/>
      <c r="T427" s="174"/>
      <c r="U427" s="174"/>
      <c r="V427" s="174"/>
      <c r="W427" s="174"/>
      <c r="X427" s="174"/>
      <c r="Y427" s="174"/>
      <c r="Z427" s="174"/>
    </row>
    <row r="428" customFormat="false" ht="15.75" hidden="false" customHeight="false" outlineLevel="0" collapsed="false">
      <c r="A428" s="174"/>
      <c r="B428" s="174"/>
      <c r="C428" s="174"/>
      <c r="D428" s="174"/>
      <c r="E428" s="174"/>
      <c r="F428" s="174"/>
      <c r="G428" s="174"/>
      <c r="H428" s="174"/>
      <c r="I428" s="174"/>
      <c r="J428" s="174"/>
      <c r="K428" s="174"/>
      <c r="L428" s="174"/>
      <c r="M428" s="174"/>
      <c r="N428" s="174"/>
      <c r="O428" s="174"/>
      <c r="P428" s="174"/>
      <c r="Q428" s="174"/>
      <c r="R428" s="174"/>
      <c r="S428" s="174"/>
      <c r="T428" s="174"/>
      <c r="U428" s="174"/>
      <c r="V428" s="174"/>
      <c r="W428" s="174"/>
      <c r="X428" s="174"/>
      <c r="Y428" s="174"/>
      <c r="Z428" s="174"/>
    </row>
    <row r="429" customFormat="false" ht="15.75" hidden="false" customHeight="false" outlineLevel="0" collapsed="false">
      <c r="A429" s="174"/>
      <c r="B429" s="174"/>
      <c r="C429" s="174"/>
      <c r="D429" s="174"/>
      <c r="E429" s="174"/>
      <c r="F429" s="174"/>
      <c r="G429" s="174"/>
      <c r="H429" s="174"/>
      <c r="I429" s="174"/>
      <c r="J429" s="174"/>
      <c r="K429" s="174"/>
      <c r="L429" s="174"/>
      <c r="M429" s="174"/>
      <c r="N429" s="174"/>
      <c r="O429" s="174"/>
      <c r="P429" s="174"/>
      <c r="Q429" s="174"/>
      <c r="R429" s="174"/>
      <c r="S429" s="174"/>
      <c r="T429" s="174"/>
      <c r="U429" s="174"/>
      <c r="V429" s="174"/>
      <c r="W429" s="174"/>
      <c r="X429" s="174"/>
      <c r="Y429" s="174"/>
      <c r="Z429" s="174"/>
    </row>
    <row r="430" customFormat="false" ht="15.75" hidden="false" customHeight="false" outlineLevel="0" collapsed="false">
      <c r="A430" s="174"/>
      <c r="B430" s="174"/>
      <c r="C430" s="174"/>
      <c r="D430" s="174"/>
      <c r="E430" s="174"/>
      <c r="F430" s="174"/>
      <c r="G430" s="174"/>
      <c r="H430" s="174"/>
      <c r="I430" s="174"/>
      <c r="J430" s="174"/>
      <c r="K430" s="174"/>
      <c r="L430" s="174"/>
      <c r="M430" s="174"/>
      <c r="N430" s="174"/>
      <c r="O430" s="174"/>
      <c r="P430" s="174"/>
      <c r="Q430" s="174"/>
      <c r="R430" s="174"/>
      <c r="S430" s="174"/>
      <c r="T430" s="174"/>
      <c r="U430" s="174"/>
      <c r="V430" s="174"/>
      <c r="W430" s="174"/>
      <c r="X430" s="174"/>
      <c r="Y430" s="174"/>
      <c r="Z430" s="174"/>
    </row>
    <row r="431" customFormat="false" ht="15.75" hidden="false" customHeight="false" outlineLevel="0" collapsed="false">
      <c r="A431" s="174"/>
      <c r="B431" s="174"/>
      <c r="C431" s="174"/>
      <c r="D431" s="174"/>
      <c r="E431" s="174"/>
      <c r="F431" s="174"/>
      <c r="G431" s="174"/>
      <c r="H431" s="174"/>
      <c r="I431" s="174"/>
      <c r="J431" s="174"/>
      <c r="K431" s="174"/>
      <c r="L431" s="174"/>
      <c r="M431" s="174"/>
      <c r="N431" s="174"/>
      <c r="O431" s="174"/>
      <c r="P431" s="174"/>
      <c r="Q431" s="174"/>
      <c r="R431" s="174"/>
      <c r="S431" s="174"/>
      <c r="T431" s="174"/>
      <c r="U431" s="174"/>
      <c r="V431" s="174"/>
      <c r="W431" s="174"/>
      <c r="X431" s="174"/>
      <c r="Y431" s="174"/>
      <c r="Z431" s="174"/>
    </row>
    <row r="432" customFormat="false" ht="15.75" hidden="false" customHeight="false" outlineLevel="0" collapsed="false">
      <c r="A432" s="174"/>
      <c r="B432" s="174"/>
      <c r="C432" s="174"/>
      <c r="D432" s="174"/>
      <c r="E432" s="174"/>
      <c r="F432" s="174"/>
      <c r="G432" s="174"/>
      <c r="H432" s="174"/>
      <c r="I432" s="174"/>
      <c r="J432" s="174"/>
      <c r="K432" s="174"/>
      <c r="L432" s="174"/>
      <c r="M432" s="174"/>
      <c r="N432" s="174"/>
      <c r="O432" s="174"/>
      <c r="P432" s="174"/>
      <c r="Q432" s="174"/>
      <c r="R432" s="174"/>
      <c r="S432" s="174"/>
      <c r="T432" s="174"/>
      <c r="U432" s="174"/>
      <c r="V432" s="174"/>
      <c r="W432" s="174"/>
      <c r="X432" s="174"/>
      <c r="Y432" s="174"/>
      <c r="Z432" s="174"/>
    </row>
    <row r="433" customFormat="false" ht="15.75" hidden="false" customHeight="false" outlineLevel="0" collapsed="false">
      <c r="A433" s="174"/>
      <c r="B433" s="174"/>
      <c r="C433" s="174"/>
      <c r="D433" s="174"/>
      <c r="E433" s="174"/>
      <c r="F433" s="174"/>
      <c r="G433" s="174"/>
      <c r="H433" s="174"/>
      <c r="I433" s="174"/>
      <c r="J433" s="174"/>
      <c r="K433" s="174"/>
      <c r="L433" s="174"/>
      <c r="M433" s="174"/>
      <c r="N433" s="174"/>
      <c r="O433" s="174"/>
      <c r="P433" s="174"/>
      <c r="Q433" s="174"/>
      <c r="R433" s="174"/>
      <c r="S433" s="174"/>
      <c r="T433" s="174"/>
      <c r="U433" s="174"/>
      <c r="V433" s="174"/>
      <c r="W433" s="174"/>
      <c r="X433" s="174"/>
      <c r="Y433" s="174"/>
      <c r="Z433" s="174"/>
    </row>
    <row r="434" customFormat="false" ht="15.75" hidden="false" customHeight="false" outlineLevel="0" collapsed="false">
      <c r="A434" s="174"/>
      <c r="B434" s="174"/>
      <c r="C434" s="174"/>
      <c r="D434" s="174"/>
      <c r="E434" s="174"/>
      <c r="F434" s="174"/>
      <c r="G434" s="174"/>
      <c r="H434" s="174"/>
      <c r="I434" s="174"/>
      <c r="J434" s="174"/>
      <c r="K434" s="174"/>
      <c r="L434" s="174"/>
      <c r="M434" s="174"/>
      <c r="N434" s="174"/>
      <c r="O434" s="174"/>
      <c r="P434" s="174"/>
      <c r="Q434" s="174"/>
      <c r="R434" s="174"/>
      <c r="S434" s="174"/>
      <c r="T434" s="174"/>
      <c r="U434" s="174"/>
      <c r="V434" s="174"/>
      <c r="W434" s="174"/>
      <c r="X434" s="174"/>
      <c r="Y434" s="174"/>
      <c r="Z434" s="174"/>
    </row>
    <row r="435" customFormat="false" ht="15.75" hidden="false" customHeight="false" outlineLevel="0" collapsed="false">
      <c r="A435" s="174"/>
      <c r="B435" s="174"/>
      <c r="C435" s="174"/>
      <c r="D435" s="174"/>
      <c r="E435" s="174"/>
      <c r="F435" s="174"/>
      <c r="G435" s="174"/>
      <c r="H435" s="174"/>
      <c r="I435" s="174"/>
      <c r="J435" s="174"/>
      <c r="K435" s="174"/>
      <c r="L435" s="174"/>
      <c r="M435" s="174"/>
      <c r="N435" s="174"/>
      <c r="O435" s="174"/>
      <c r="P435" s="174"/>
      <c r="Q435" s="174"/>
      <c r="R435" s="174"/>
      <c r="S435" s="174"/>
      <c r="T435" s="174"/>
      <c r="U435" s="174"/>
      <c r="V435" s="174"/>
      <c r="W435" s="174"/>
      <c r="X435" s="174"/>
      <c r="Y435" s="174"/>
      <c r="Z435" s="174"/>
    </row>
    <row r="436" customFormat="false" ht="15.75" hidden="false" customHeight="false" outlineLevel="0" collapsed="false">
      <c r="A436" s="174"/>
      <c r="B436" s="174"/>
      <c r="C436" s="174"/>
      <c r="D436" s="174"/>
      <c r="E436" s="174"/>
      <c r="F436" s="174"/>
      <c r="G436" s="174"/>
      <c r="H436" s="174"/>
      <c r="I436" s="174"/>
      <c r="J436" s="174"/>
      <c r="K436" s="174"/>
      <c r="L436" s="174"/>
      <c r="M436" s="174"/>
      <c r="N436" s="174"/>
      <c r="O436" s="174"/>
      <c r="P436" s="174"/>
      <c r="Q436" s="174"/>
      <c r="R436" s="174"/>
      <c r="S436" s="174"/>
      <c r="T436" s="174"/>
      <c r="U436" s="174"/>
      <c r="V436" s="174"/>
      <c r="W436" s="174"/>
      <c r="X436" s="174"/>
      <c r="Y436" s="174"/>
      <c r="Z436" s="174"/>
    </row>
    <row r="437" customFormat="false" ht="15.75" hidden="false" customHeight="false" outlineLevel="0" collapsed="false">
      <c r="A437" s="174"/>
      <c r="B437" s="174"/>
      <c r="C437" s="174"/>
      <c r="D437" s="174"/>
      <c r="E437" s="174"/>
      <c r="F437" s="174"/>
      <c r="G437" s="174"/>
      <c r="H437" s="174"/>
      <c r="I437" s="174"/>
      <c r="J437" s="174"/>
      <c r="K437" s="174"/>
      <c r="L437" s="174"/>
      <c r="M437" s="174"/>
      <c r="N437" s="174"/>
      <c r="O437" s="174"/>
      <c r="P437" s="174"/>
      <c r="Q437" s="174"/>
      <c r="R437" s="174"/>
      <c r="S437" s="174"/>
      <c r="T437" s="174"/>
      <c r="U437" s="174"/>
      <c r="V437" s="174"/>
      <c r="W437" s="174"/>
      <c r="X437" s="174"/>
      <c r="Y437" s="174"/>
      <c r="Z437" s="174"/>
    </row>
    <row r="438" customFormat="false" ht="15.75" hidden="false" customHeight="false" outlineLevel="0" collapsed="false">
      <c r="A438" s="174"/>
      <c r="B438" s="174"/>
      <c r="C438" s="174"/>
      <c r="D438" s="174"/>
      <c r="E438" s="174"/>
      <c r="F438" s="174"/>
      <c r="G438" s="174"/>
      <c r="H438" s="174"/>
      <c r="I438" s="174"/>
      <c r="J438" s="174"/>
      <c r="K438" s="174"/>
      <c r="L438" s="174"/>
      <c r="M438" s="174"/>
      <c r="N438" s="174"/>
      <c r="O438" s="174"/>
      <c r="P438" s="174"/>
      <c r="Q438" s="174"/>
      <c r="R438" s="174"/>
      <c r="S438" s="174"/>
      <c r="T438" s="174"/>
      <c r="U438" s="174"/>
      <c r="V438" s="174"/>
      <c r="W438" s="174"/>
      <c r="X438" s="174"/>
      <c r="Y438" s="174"/>
      <c r="Z438" s="174"/>
    </row>
    <row r="439" customFormat="false" ht="15.75" hidden="false" customHeight="false" outlineLevel="0" collapsed="false">
      <c r="A439" s="174"/>
      <c r="B439" s="174"/>
      <c r="C439" s="174"/>
      <c r="D439" s="174"/>
      <c r="E439" s="174"/>
      <c r="F439" s="174"/>
      <c r="G439" s="174"/>
      <c r="H439" s="174"/>
      <c r="I439" s="174"/>
      <c r="J439" s="174"/>
      <c r="K439" s="174"/>
      <c r="L439" s="174"/>
      <c r="M439" s="174"/>
      <c r="N439" s="174"/>
      <c r="O439" s="174"/>
      <c r="P439" s="174"/>
      <c r="Q439" s="174"/>
      <c r="R439" s="174"/>
      <c r="S439" s="174"/>
      <c r="T439" s="174"/>
      <c r="U439" s="174"/>
      <c r="V439" s="174"/>
      <c r="W439" s="174"/>
      <c r="X439" s="174"/>
      <c r="Y439" s="174"/>
      <c r="Z439" s="174"/>
    </row>
    <row r="440" customFormat="false" ht="15.75" hidden="false" customHeight="false" outlineLevel="0" collapsed="false">
      <c r="A440" s="174"/>
      <c r="B440" s="174"/>
      <c r="C440" s="174"/>
      <c r="D440" s="174"/>
      <c r="E440" s="174"/>
      <c r="F440" s="174"/>
      <c r="G440" s="174"/>
      <c r="H440" s="174"/>
      <c r="I440" s="174"/>
      <c r="J440" s="174"/>
      <c r="K440" s="174"/>
      <c r="L440" s="174"/>
      <c r="M440" s="174"/>
      <c r="N440" s="174"/>
      <c r="O440" s="174"/>
      <c r="P440" s="174"/>
      <c r="Q440" s="174"/>
      <c r="R440" s="174"/>
      <c r="S440" s="174"/>
      <c r="T440" s="174"/>
      <c r="U440" s="174"/>
      <c r="V440" s="174"/>
      <c r="W440" s="174"/>
      <c r="X440" s="174"/>
      <c r="Y440" s="174"/>
      <c r="Z440" s="174"/>
    </row>
    <row r="441" customFormat="false" ht="15.75" hidden="false" customHeight="false" outlineLevel="0" collapsed="false">
      <c r="A441" s="174"/>
      <c r="B441" s="174"/>
      <c r="C441" s="174"/>
      <c r="D441" s="174"/>
      <c r="E441" s="174"/>
      <c r="F441" s="174"/>
      <c r="G441" s="174"/>
      <c r="H441" s="174"/>
      <c r="I441" s="174"/>
      <c r="J441" s="174"/>
      <c r="K441" s="174"/>
      <c r="L441" s="174"/>
      <c r="M441" s="174"/>
      <c r="N441" s="174"/>
      <c r="O441" s="174"/>
      <c r="P441" s="174"/>
      <c r="Q441" s="174"/>
      <c r="R441" s="174"/>
      <c r="S441" s="174"/>
      <c r="T441" s="174"/>
      <c r="U441" s="174"/>
      <c r="V441" s="174"/>
      <c r="W441" s="174"/>
      <c r="X441" s="174"/>
      <c r="Y441" s="174"/>
      <c r="Z441" s="174"/>
    </row>
    <row r="442" customFormat="false" ht="15.75" hidden="false" customHeight="false" outlineLevel="0" collapsed="false">
      <c r="A442" s="174"/>
      <c r="B442" s="174"/>
      <c r="C442" s="174"/>
      <c r="D442" s="174"/>
      <c r="E442" s="174"/>
      <c r="F442" s="174"/>
      <c r="G442" s="174"/>
      <c r="H442" s="174"/>
      <c r="I442" s="174"/>
      <c r="J442" s="174"/>
      <c r="K442" s="174"/>
      <c r="L442" s="174"/>
      <c r="M442" s="174"/>
      <c r="N442" s="174"/>
      <c r="O442" s="174"/>
      <c r="P442" s="174"/>
      <c r="Q442" s="174"/>
      <c r="R442" s="174"/>
      <c r="S442" s="174"/>
      <c r="T442" s="174"/>
      <c r="U442" s="174"/>
      <c r="V442" s="174"/>
      <c r="W442" s="174"/>
      <c r="X442" s="174"/>
      <c r="Y442" s="174"/>
      <c r="Z442" s="174"/>
    </row>
    <row r="443" customFormat="false" ht="15.75" hidden="false" customHeight="false" outlineLevel="0" collapsed="false">
      <c r="A443" s="174"/>
      <c r="B443" s="174"/>
      <c r="C443" s="174"/>
      <c r="D443" s="174"/>
      <c r="E443" s="174"/>
      <c r="F443" s="174"/>
      <c r="G443" s="174"/>
      <c r="H443" s="174"/>
      <c r="I443" s="174"/>
      <c r="J443" s="174"/>
      <c r="K443" s="174"/>
      <c r="L443" s="174"/>
      <c r="M443" s="174"/>
      <c r="N443" s="174"/>
      <c r="O443" s="174"/>
      <c r="P443" s="174"/>
      <c r="Q443" s="174"/>
      <c r="R443" s="174"/>
      <c r="S443" s="174"/>
      <c r="T443" s="174"/>
      <c r="U443" s="174"/>
      <c r="V443" s="174"/>
      <c r="W443" s="174"/>
      <c r="X443" s="174"/>
      <c r="Y443" s="174"/>
      <c r="Z443" s="174"/>
    </row>
    <row r="444" customFormat="false" ht="15.75" hidden="false" customHeight="false" outlineLevel="0" collapsed="false">
      <c r="A444" s="174"/>
      <c r="B444" s="174"/>
      <c r="C444" s="174"/>
      <c r="D444" s="174"/>
      <c r="E444" s="174"/>
      <c r="F444" s="174"/>
      <c r="G444" s="174"/>
      <c r="H444" s="174"/>
      <c r="I444" s="174"/>
      <c r="J444" s="174"/>
      <c r="K444" s="174"/>
      <c r="L444" s="174"/>
      <c r="M444" s="174"/>
      <c r="N444" s="174"/>
      <c r="O444" s="174"/>
      <c r="P444" s="174"/>
      <c r="Q444" s="174"/>
      <c r="R444" s="174"/>
      <c r="S444" s="174"/>
      <c r="T444" s="174"/>
      <c r="U444" s="174"/>
      <c r="V444" s="174"/>
      <c r="W444" s="174"/>
      <c r="X444" s="174"/>
      <c r="Y444" s="174"/>
      <c r="Z444" s="174"/>
    </row>
    <row r="445" customFormat="false" ht="15.75" hidden="false" customHeight="false" outlineLevel="0" collapsed="false">
      <c r="A445" s="174"/>
      <c r="B445" s="174"/>
      <c r="C445" s="174"/>
      <c r="D445" s="174"/>
      <c r="E445" s="174"/>
      <c r="F445" s="174"/>
      <c r="G445" s="174"/>
      <c r="H445" s="174"/>
      <c r="I445" s="174"/>
      <c r="J445" s="174"/>
      <c r="K445" s="174"/>
      <c r="L445" s="174"/>
      <c r="M445" s="174"/>
      <c r="N445" s="174"/>
      <c r="O445" s="174"/>
      <c r="P445" s="174"/>
      <c r="Q445" s="174"/>
      <c r="R445" s="174"/>
      <c r="S445" s="174"/>
      <c r="T445" s="174"/>
      <c r="U445" s="174"/>
      <c r="V445" s="174"/>
      <c r="W445" s="174"/>
      <c r="X445" s="174"/>
      <c r="Y445" s="174"/>
      <c r="Z445" s="174"/>
    </row>
    <row r="446" customFormat="false" ht="15.75" hidden="false" customHeight="false" outlineLevel="0" collapsed="false">
      <c r="A446" s="174"/>
      <c r="B446" s="174"/>
      <c r="C446" s="174"/>
      <c r="D446" s="174"/>
      <c r="E446" s="174"/>
      <c r="F446" s="174"/>
      <c r="G446" s="174"/>
      <c r="H446" s="174"/>
      <c r="I446" s="174"/>
      <c r="J446" s="174"/>
      <c r="K446" s="174"/>
      <c r="L446" s="174"/>
      <c r="M446" s="174"/>
      <c r="N446" s="174"/>
      <c r="O446" s="174"/>
      <c r="P446" s="174"/>
      <c r="Q446" s="174"/>
      <c r="R446" s="174"/>
      <c r="S446" s="174"/>
      <c r="T446" s="174"/>
      <c r="U446" s="174"/>
      <c r="V446" s="174"/>
      <c r="W446" s="174"/>
      <c r="X446" s="174"/>
      <c r="Y446" s="174"/>
      <c r="Z446" s="174"/>
    </row>
    <row r="447" customFormat="false" ht="15.75" hidden="false" customHeight="false" outlineLevel="0" collapsed="false">
      <c r="A447" s="174"/>
      <c r="B447" s="174"/>
      <c r="C447" s="174"/>
      <c r="D447" s="174"/>
      <c r="E447" s="174"/>
      <c r="F447" s="174"/>
      <c r="G447" s="174"/>
      <c r="H447" s="174"/>
      <c r="I447" s="174"/>
      <c r="J447" s="174"/>
      <c r="K447" s="174"/>
      <c r="L447" s="174"/>
      <c r="M447" s="174"/>
      <c r="N447" s="174"/>
      <c r="O447" s="174"/>
      <c r="P447" s="174"/>
      <c r="Q447" s="174"/>
      <c r="R447" s="174"/>
      <c r="S447" s="174"/>
      <c r="T447" s="174"/>
      <c r="U447" s="174"/>
      <c r="V447" s="174"/>
      <c r="W447" s="174"/>
      <c r="X447" s="174"/>
      <c r="Y447" s="174"/>
      <c r="Z447" s="174"/>
    </row>
    <row r="448" customFormat="false" ht="15.75" hidden="false" customHeight="false" outlineLevel="0" collapsed="false">
      <c r="A448" s="174"/>
      <c r="B448" s="174"/>
      <c r="C448" s="174"/>
      <c r="D448" s="174"/>
      <c r="E448" s="174"/>
      <c r="F448" s="174"/>
      <c r="G448" s="174"/>
      <c r="H448" s="174"/>
      <c r="I448" s="174"/>
      <c r="J448" s="174"/>
      <c r="K448" s="174"/>
      <c r="L448" s="174"/>
      <c r="M448" s="174"/>
      <c r="N448" s="174"/>
      <c r="O448" s="174"/>
      <c r="P448" s="174"/>
      <c r="Q448" s="174"/>
      <c r="R448" s="174"/>
      <c r="S448" s="174"/>
      <c r="T448" s="174"/>
      <c r="U448" s="174"/>
      <c r="V448" s="174"/>
      <c r="W448" s="174"/>
      <c r="X448" s="174"/>
      <c r="Y448" s="174"/>
      <c r="Z448" s="174"/>
    </row>
    <row r="449" customFormat="false" ht="15.75" hidden="false" customHeight="false" outlineLevel="0" collapsed="false">
      <c r="A449" s="174"/>
      <c r="B449" s="174"/>
      <c r="C449" s="174"/>
      <c r="D449" s="174"/>
      <c r="E449" s="174"/>
      <c r="F449" s="174"/>
      <c r="G449" s="174"/>
      <c r="H449" s="174"/>
      <c r="I449" s="174"/>
      <c r="J449" s="174"/>
      <c r="K449" s="174"/>
      <c r="L449" s="174"/>
      <c r="M449" s="174"/>
      <c r="N449" s="174"/>
      <c r="O449" s="174"/>
      <c r="P449" s="174"/>
      <c r="Q449" s="174"/>
      <c r="R449" s="174"/>
      <c r="S449" s="174"/>
      <c r="T449" s="174"/>
      <c r="U449" s="174"/>
      <c r="V449" s="174"/>
      <c r="W449" s="174"/>
      <c r="X449" s="174"/>
      <c r="Y449" s="174"/>
      <c r="Z449" s="174"/>
    </row>
    <row r="450" customFormat="false" ht="15.75" hidden="false" customHeight="false" outlineLevel="0" collapsed="false">
      <c r="A450" s="174"/>
      <c r="B450" s="174"/>
      <c r="C450" s="174"/>
      <c r="D450" s="174"/>
      <c r="E450" s="174"/>
      <c r="F450" s="174"/>
      <c r="G450" s="174"/>
      <c r="H450" s="174"/>
      <c r="I450" s="174"/>
      <c r="J450" s="174"/>
      <c r="K450" s="174"/>
      <c r="L450" s="174"/>
      <c r="M450" s="174"/>
      <c r="N450" s="174"/>
      <c r="O450" s="174"/>
      <c r="P450" s="174"/>
      <c r="Q450" s="174"/>
      <c r="R450" s="174"/>
      <c r="S450" s="174"/>
      <c r="T450" s="174"/>
      <c r="U450" s="174"/>
      <c r="V450" s="174"/>
      <c r="W450" s="174"/>
      <c r="X450" s="174"/>
      <c r="Y450" s="174"/>
      <c r="Z450" s="174"/>
    </row>
    <row r="451" customFormat="false" ht="15.75" hidden="false" customHeight="false" outlineLevel="0" collapsed="false">
      <c r="A451" s="174"/>
      <c r="B451" s="174"/>
      <c r="C451" s="174"/>
      <c r="D451" s="174"/>
      <c r="E451" s="174"/>
      <c r="F451" s="174"/>
      <c r="G451" s="174"/>
      <c r="H451" s="174"/>
      <c r="I451" s="174"/>
      <c r="J451" s="174"/>
      <c r="K451" s="174"/>
      <c r="L451" s="174"/>
      <c r="M451" s="174"/>
      <c r="N451" s="174"/>
      <c r="O451" s="174"/>
      <c r="P451" s="174"/>
      <c r="Q451" s="174"/>
      <c r="R451" s="174"/>
      <c r="S451" s="174"/>
      <c r="T451" s="174"/>
      <c r="U451" s="174"/>
      <c r="V451" s="174"/>
      <c r="W451" s="174"/>
      <c r="X451" s="174"/>
      <c r="Y451" s="174"/>
      <c r="Z451" s="174"/>
    </row>
    <row r="452" customFormat="false" ht="15.75" hidden="false" customHeight="false" outlineLevel="0" collapsed="false">
      <c r="A452" s="174"/>
      <c r="B452" s="174"/>
      <c r="C452" s="174"/>
      <c r="D452" s="174"/>
      <c r="E452" s="174"/>
      <c r="F452" s="174"/>
      <c r="G452" s="174"/>
      <c r="H452" s="174"/>
      <c r="I452" s="174"/>
      <c r="J452" s="174"/>
      <c r="K452" s="174"/>
      <c r="L452" s="174"/>
      <c r="M452" s="174"/>
      <c r="N452" s="174"/>
      <c r="O452" s="174"/>
      <c r="P452" s="174"/>
      <c r="Q452" s="174"/>
      <c r="R452" s="174"/>
      <c r="S452" s="174"/>
      <c r="T452" s="174"/>
      <c r="U452" s="174"/>
      <c r="V452" s="174"/>
      <c r="W452" s="174"/>
      <c r="X452" s="174"/>
      <c r="Y452" s="174"/>
      <c r="Z452" s="174"/>
    </row>
    <row r="453" customFormat="false" ht="15.75" hidden="false" customHeight="false" outlineLevel="0" collapsed="false">
      <c r="A453" s="174"/>
      <c r="B453" s="174"/>
      <c r="C453" s="174"/>
      <c r="D453" s="174"/>
      <c r="E453" s="174"/>
      <c r="F453" s="174"/>
      <c r="G453" s="174"/>
      <c r="H453" s="174"/>
      <c r="I453" s="174"/>
      <c r="J453" s="174"/>
      <c r="K453" s="174"/>
      <c r="L453" s="174"/>
      <c r="M453" s="174"/>
      <c r="N453" s="174"/>
      <c r="O453" s="174"/>
      <c r="P453" s="174"/>
      <c r="Q453" s="174"/>
      <c r="R453" s="174"/>
      <c r="S453" s="174"/>
      <c r="T453" s="174"/>
      <c r="U453" s="174"/>
      <c r="V453" s="174"/>
      <c r="W453" s="174"/>
      <c r="X453" s="174"/>
      <c r="Y453" s="174"/>
      <c r="Z453" s="174"/>
    </row>
    <row r="454" customFormat="false" ht="15.75" hidden="false" customHeight="false" outlineLevel="0" collapsed="false">
      <c r="A454" s="174"/>
      <c r="B454" s="174"/>
      <c r="C454" s="174"/>
      <c r="D454" s="174"/>
      <c r="E454" s="174"/>
      <c r="F454" s="174"/>
      <c r="G454" s="174"/>
      <c r="H454" s="174"/>
      <c r="I454" s="174"/>
      <c r="J454" s="174"/>
      <c r="K454" s="174"/>
      <c r="L454" s="174"/>
      <c r="M454" s="174"/>
      <c r="N454" s="174"/>
      <c r="O454" s="174"/>
      <c r="P454" s="174"/>
      <c r="Q454" s="174"/>
      <c r="R454" s="174"/>
      <c r="S454" s="174"/>
      <c r="T454" s="174"/>
      <c r="U454" s="174"/>
      <c r="V454" s="174"/>
      <c r="W454" s="174"/>
      <c r="X454" s="174"/>
      <c r="Y454" s="174"/>
      <c r="Z454" s="174"/>
    </row>
    <row r="455" customFormat="false" ht="15.75" hidden="false" customHeight="false" outlineLevel="0" collapsed="false">
      <c r="A455" s="174"/>
      <c r="B455" s="174"/>
      <c r="C455" s="174"/>
      <c r="D455" s="174"/>
      <c r="E455" s="174"/>
      <c r="F455" s="174"/>
      <c r="G455" s="174"/>
      <c r="H455" s="174"/>
      <c r="I455" s="174"/>
      <c r="J455" s="174"/>
      <c r="K455" s="174"/>
      <c r="L455" s="174"/>
      <c r="M455" s="174"/>
      <c r="N455" s="174"/>
      <c r="O455" s="174"/>
      <c r="P455" s="174"/>
      <c r="Q455" s="174"/>
      <c r="R455" s="174"/>
      <c r="S455" s="174"/>
      <c r="T455" s="174"/>
      <c r="U455" s="174"/>
      <c r="V455" s="174"/>
      <c r="W455" s="174"/>
      <c r="X455" s="174"/>
      <c r="Y455" s="174"/>
      <c r="Z455" s="174"/>
    </row>
    <row r="456" customFormat="false" ht="15.75" hidden="false" customHeight="false" outlineLevel="0" collapsed="false">
      <c r="A456" s="174"/>
      <c r="B456" s="174"/>
      <c r="C456" s="174"/>
      <c r="D456" s="174"/>
      <c r="E456" s="174"/>
      <c r="F456" s="174"/>
      <c r="G456" s="174"/>
      <c r="H456" s="174"/>
      <c r="I456" s="174"/>
      <c r="J456" s="174"/>
      <c r="K456" s="174"/>
      <c r="L456" s="174"/>
      <c r="M456" s="174"/>
      <c r="N456" s="174"/>
      <c r="O456" s="174"/>
      <c r="P456" s="174"/>
      <c r="Q456" s="174"/>
      <c r="R456" s="174"/>
      <c r="S456" s="174"/>
      <c r="T456" s="174"/>
      <c r="U456" s="174"/>
      <c r="V456" s="174"/>
      <c r="W456" s="174"/>
      <c r="X456" s="174"/>
      <c r="Y456" s="174"/>
      <c r="Z456" s="174"/>
    </row>
    <row r="457" customFormat="false" ht="15.75" hidden="false" customHeight="false" outlineLevel="0" collapsed="false">
      <c r="A457" s="174"/>
      <c r="B457" s="174"/>
      <c r="C457" s="174"/>
      <c r="D457" s="174"/>
      <c r="E457" s="174"/>
      <c r="F457" s="174"/>
      <c r="G457" s="174"/>
      <c r="H457" s="174"/>
      <c r="I457" s="174"/>
      <c r="J457" s="174"/>
      <c r="K457" s="174"/>
      <c r="L457" s="174"/>
      <c r="M457" s="174"/>
      <c r="N457" s="174"/>
      <c r="O457" s="174"/>
      <c r="P457" s="174"/>
      <c r="Q457" s="174"/>
      <c r="R457" s="174"/>
      <c r="S457" s="174"/>
      <c r="T457" s="174"/>
      <c r="U457" s="174"/>
      <c r="V457" s="174"/>
      <c r="W457" s="174"/>
      <c r="X457" s="174"/>
      <c r="Y457" s="174"/>
      <c r="Z457" s="174"/>
    </row>
    <row r="458" customFormat="false" ht="15.75" hidden="false" customHeight="false" outlineLevel="0" collapsed="false">
      <c r="A458" s="174"/>
      <c r="B458" s="174"/>
      <c r="C458" s="174"/>
      <c r="D458" s="174"/>
      <c r="E458" s="174"/>
      <c r="F458" s="174"/>
      <c r="G458" s="174"/>
      <c r="H458" s="174"/>
      <c r="I458" s="174"/>
      <c r="J458" s="174"/>
      <c r="K458" s="174"/>
      <c r="L458" s="174"/>
      <c r="M458" s="174"/>
      <c r="N458" s="174"/>
      <c r="O458" s="174"/>
      <c r="P458" s="174"/>
      <c r="Q458" s="174"/>
      <c r="R458" s="174"/>
      <c r="S458" s="174"/>
      <c r="T458" s="174"/>
      <c r="U458" s="174"/>
      <c r="V458" s="174"/>
      <c r="W458" s="174"/>
      <c r="X458" s="174"/>
      <c r="Y458" s="174"/>
      <c r="Z458" s="174"/>
    </row>
    <row r="459" customFormat="false" ht="15.75" hidden="false" customHeight="false" outlineLevel="0" collapsed="false">
      <c r="A459" s="174"/>
      <c r="B459" s="174"/>
      <c r="C459" s="174"/>
      <c r="D459" s="174"/>
      <c r="E459" s="174"/>
      <c r="F459" s="174"/>
      <c r="G459" s="174"/>
      <c r="H459" s="174"/>
      <c r="I459" s="174"/>
      <c r="J459" s="174"/>
      <c r="K459" s="174"/>
      <c r="L459" s="174"/>
      <c r="M459" s="174"/>
      <c r="N459" s="174"/>
      <c r="O459" s="174"/>
      <c r="P459" s="174"/>
      <c r="Q459" s="174"/>
      <c r="R459" s="174"/>
      <c r="S459" s="174"/>
      <c r="T459" s="174"/>
      <c r="U459" s="174"/>
      <c r="V459" s="174"/>
      <c r="W459" s="174"/>
      <c r="X459" s="174"/>
      <c r="Y459" s="174"/>
      <c r="Z459" s="174"/>
    </row>
    <row r="460" customFormat="false" ht="15.75" hidden="false" customHeight="false" outlineLevel="0" collapsed="false">
      <c r="A460" s="174"/>
      <c r="B460" s="174"/>
      <c r="C460" s="174"/>
      <c r="D460" s="174"/>
      <c r="E460" s="174"/>
      <c r="F460" s="174"/>
      <c r="G460" s="174"/>
      <c r="H460" s="174"/>
      <c r="I460" s="174"/>
      <c r="J460" s="174"/>
      <c r="K460" s="174"/>
      <c r="L460" s="174"/>
      <c r="M460" s="174"/>
      <c r="N460" s="174"/>
      <c r="O460" s="174"/>
      <c r="P460" s="174"/>
      <c r="Q460" s="174"/>
      <c r="R460" s="174"/>
      <c r="S460" s="174"/>
      <c r="T460" s="174"/>
      <c r="U460" s="174"/>
      <c r="V460" s="174"/>
      <c r="W460" s="174"/>
      <c r="X460" s="174"/>
      <c r="Y460" s="174"/>
      <c r="Z460" s="174"/>
    </row>
    <row r="461" customFormat="false" ht="15.75" hidden="false" customHeight="false" outlineLevel="0" collapsed="false">
      <c r="A461" s="174"/>
      <c r="B461" s="174"/>
      <c r="C461" s="174"/>
      <c r="D461" s="174"/>
      <c r="E461" s="174"/>
      <c r="F461" s="174"/>
      <c r="G461" s="174"/>
      <c r="H461" s="174"/>
      <c r="I461" s="174"/>
      <c r="J461" s="174"/>
      <c r="K461" s="174"/>
      <c r="L461" s="174"/>
      <c r="M461" s="174"/>
      <c r="N461" s="174"/>
      <c r="O461" s="174"/>
      <c r="P461" s="174"/>
      <c r="Q461" s="174"/>
      <c r="R461" s="174"/>
      <c r="S461" s="174"/>
      <c r="T461" s="174"/>
      <c r="U461" s="174"/>
      <c r="V461" s="174"/>
      <c r="W461" s="174"/>
      <c r="X461" s="174"/>
      <c r="Y461" s="174"/>
      <c r="Z461" s="174"/>
    </row>
    <row r="462" customFormat="false" ht="15.75" hidden="false" customHeight="false" outlineLevel="0" collapsed="false">
      <c r="A462" s="174"/>
      <c r="B462" s="174"/>
      <c r="C462" s="174"/>
      <c r="D462" s="174"/>
      <c r="E462" s="174"/>
      <c r="F462" s="174"/>
      <c r="G462" s="174"/>
      <c r="H462" s="174"/>
      <c r="I462" s="174"/>
      <c r="J462" s="174"/>
      <c r="K462" s="174"/>
      <c r="L462" s="174"/>
      <c r="M462" s="174"/>
      <c r="N462" s="174"/>
      <c r="O462" s="174"/>
      <c r="P462" s="174"/>
      <c r="Q462" s="174"/>
      <c r="R462" s="174"/>
      <c r="S462" s="174"/>
      <c r="T462" s="174"/>
      <c r="U462" s="174"/>
      <c r="V462" s="174"/>
      <c r="W462" s="174"/>
      <c r="X462" s="174"/>
      <c r="Y462" s="174"/>
      <c r="Z462" s="174"/>
    </row>
    <row r="463" customFormat="false" ht="15.75" hidden="false" customHeight="false" outlineLevel="0" collapsed="false">
      <c r="A463" s="174"/>
      <c r="B463" s="174"/>
      <c r="C463" s="174"/>
      <c r="D463" s="174"/>
      <c r="E463" s="174"/>
      <c r="F463" s="174"/>
      <c r="G463" s="174"/>
      <c r="H463" s="174"/>
      <c r="I463" s="174"/>
      <c r="J463" s="174"/>
      <c r="K463" s="174"/>
      <c r="L463" s="174"/>
      <c r="M463" s="174"/>
      <c r="N463" s="174"/>
      <c r="O463" s="174"/>
      <c r="P463" s="174"/>
      <c r="Q463" s="174"/>
      <c r="R463" s="174"/>
      <c r="S463" s="174"/>
      <c r="T463" s="174"/>
      <c r="U463" s="174"/>
      <c r="V463" s="174"/>
      <c r="W463" s="174"/>
      <c r="X463" s="174"/>
      <c r="Y463" s="174"/>
      <c r="Z463" s="174"/>
    </row>
    <row r="464" customFormat="false" ht="15.75" hidden="false" customHeight="false" outlineLevel="0" collapsed="false">
      <c r="A464" s="174"/>
      <c r="B464" s="174"/>
      <c r="C464" s="174"/>
      <c r="D464" s="174"/>
      <c r="E464" s="174"/>
      <c r="F464" s="174"/>
      <c r="G464" s="174"/>
      <c r="H464" s="174"/>
      <c r="I464" s="174"/>
      <c r="J464" s="174"/>
      <c r="K464" s="174"/>
      <c r="L464" s="174"/>
      <c r="M464" s="174"/>
      <c r="N464" s="174"/>
      <c r="O464" s="174"/>
      <c r="P464" s="174"/>
      <c r="Q464" s="174"/>
      <c r="R464" s="174"/>
      <c r="S464" s="174"/>
      <c r="T464" s="174"/>
      <c r="U464" s="174"/>
      <c r="V464" s="174"/>
      <c r="W464" s="174"/>
      <c r="X464" s="174"/>
      <c r="Y464" s="174"/>
      <c r="Z464" s="174"/>
    </row>
    <row r="465" customFormat="false" ht="15.75" hidden="false" customHeight="false" outlineLevel="0" collapsed="false">
      <c r="A465" s="174"/>
      <c r="B465" s="174"/>
      <c r="C465" s="174"/>
      <c r="D465" s="174"/>
      <c r="E465" s="174"/>
      <c r="F465" s="174"/>
      <c r="G465" s="174"/>
      <c r="H465" s="174"/>
      <c r="I465" s="174"/>
      <c r="J465" s="174"/>
      <c r="K465" s="174"/>
      <c r="L465" s="174"/>
      <c r="M465" s="174"/>
      <c r="N465" s="174"/>
      <c r="O465" s="174"/>
      <c r="P465" s="174"/>
      <c r="Q465" s="174"/>
      <c r="R465" s="174"/>
      <c r="S465" s="174"/>
      <c r="T465" s="174"/>
      <c r="U465" s="174"/>
      <c r="V465" s="174"/>
      <c r="W465" s="174"/>
      <c r="X465" s="174"/>
      <c r="Y465" s="174"/>
      <c r="Z465" s="174"/>
    </row>
    <row r="466" customFormat="false" ht="15.75" hidden="false" customHeight="false" outlineLevel="0" collapsed="false">
      <c r="A466" s="174"/>
      <c r="B466" s="174"/>
      <c r="C466" s="174"/>
      <c r="D466" s="174"/>
      <c r="E466" s="174"/>
      <c r="F466" s="174"/>
      <c r="G466" s="174"/>
      <c r="H466" s="174"/>
      <c r="I466" s="174"/>
      <c r="J466" s="174"/>
      <c r="K466" s="174"/>
      <c r="L466" s="174"/>
      <c r="M466" s="174"/>
      <c r="N466" s="174"/>
      <c r="O466" s="174"/>
      <c r="P466" s="174"/>
      <c r="Q466" s="174"/>
      <c r="R466" s="174"/>
      <c r="S466" s="174"/>
      <c r="T466" s="174"/>
      <c r="U466" s="174"/>
      <c r="V466" s="174"/>
      <c r="W466" s="174"/>
      <c r="X466" s="174"/>
      <c r="Y466" s="174"/>
      <c r="Z466" s="174"/>
    </row>
    <row r="467" customFormat="false" ht="15.75" hidden="false" customHeight="false" outlineLevel="0" collapsed="false">
      <c r="A467" s="174"/>
      <c r="B467" s="174"/>
      <c r="C467" s="174"/>
      <c r="D467" s="174"/>
      <c r="E467" s="174"/>
      <c r="F467" s="174"/>
      <c r="G467" s="174"/>
      <c r="H467" s="174"/>
      <c r="I467" s="174"/>
      <c r="J467" s="174"/>
      <c r="K467" s="174"/>
      <c r="L467" s="174"/>
      <c r="M467" s="174"/>
      <c r="N467" s="174"/>
      <c r="O467" s="174"/>
      <c r="P467" s="174"/>
      <c r="Q467" s="174"/>
      <c r="R467" s="174"/>
      <c r="S467" s="174"/>
      <c r="T467" s="174"/>
      <c r="U467" s="174"/>
      <c r="V467" s="174"/>
      <c r="W467" s="174"/>
      <c r="X467" s="174"/>
      <c r="Y467" s="174"/>
      <c r="Z467" s="174"/>
    </row>
    <row r="468" customFormat="false" ht="15.75" hidden="false" customHeight="false" outlineLevel="0" collapsed="false">
      <c r="A468" s="174"/>
      <c r="B468" s="174"/>
      <c r="C468" s="174"/>
      <c r="D468" s="174"/>
      <c r="E468" s="174"/>
      <c r="F468" s="174"/>
      <c r="G468" s="174"/>
      <c r="H468" s="174"/>
      <c r="I468" s="174"/>
      <c r="J468" s="174"/>
      <c r="K468" s="174"/>
      <c r="L468" s="174"/>
      <c r="M468" s="174"/>
      <c r="N468" s="174"/>
      <c r="O468" s="174"/>
      <c r="P468" s="174"/>
      <c r="Q468" s="174"/>
      <c r="R468" s="174"/>
      <c r="S468" s="174"/>
      <c r="T468" s="174"/>
      <c r="U468" s="174"/>
      <c r="V468" s="174"/>
      <c r="W468" s="174"/>
      <c r="X468" s="174"/>
      <c r="Y468" s="174"/>
      <c r="Z468" s="174"/>
    </row>
    <row r="469" customFormat="false" ht="15.75" hidden="false" customHeight="false" outlineLevel="0" collapsed="false">
      <c r="A469" s="174"/>
      <c r="B469" s="174"/>
      <c r="C469" s="174"/>
      <c r="D469" s="174"/>
      <c r="E469" s="174"/>
      <c r="F469" s="174"/>
      <c r="G469" s="174"/>
      <c r="H469" s="174"/>
      <c r="I469" s="174"/>
      <c r="J469" s="174"/>
      <c r="K469" s="174"/>
      <c r="L469" s="174"/>
      <c r="M469" s="174"/>
      <c r="N469" s="174"/>
      <c r="O469" s="174"/>
      <c r="P469" s="174"/>
      <c r="Q469" s="174"/>
      <c r="R469" s="174"/>
      <c r="S469" s="174"/>
      <c r="T469" s="174"/>
      <c r="U469" s="174"/>
      <c r="V469" s="174"/>
      <c r="W469" s="174"/>
      <c r="X469" s="174"/>
      <c r="Y469" s="174"/>
      <c r="Z469" s="174"/>
    </row>
    <row r="470" customFormat="false" ht="15.75" hidden="false" customHeight="false" outlineLevel="0" collapsed="false">
      <c r="A470" s="174"/>
      <c r="B470" s="174"/>
      <c r="C470" s="174"/>
      <c r="D470" s="174"/>
      <c r="E470" s="174"/>
      <c r="F470" s="174"/>
      <c r="G470" s="174"/>
      <c r="H470" s="174"/>
      <c r="I470" s="174"/>
      <c r="J470" s="174"/>
      <c r="K470" s="174"/>
      <c r="L470" s="174"/>
      <c r="M470" s="174"/>
      <c r="N470" s="174"/>
      <c r="O470" s="174"/>
      <c r="P470" s="174"/>
      <c r="Q470" s="174"/>
      <c r="R470" s="174"/>
      <c r="S470" s="174"/>
      <c r="T470" s="174"/>
      <c r="U470" s="174"/>
      <c r="V470" s="174"/>
      <c r="W470" s="174"/>
      <c r="X470" s="174"/>
      <c r="Y470" s="174"/>
      <c r="Z470" s="174"/>
    </row>
    <row r="471" customFormat="false" ht="15.75" hidden="false" customHeight="false" outlineLevel="0" collapsed="false">
      <c r="A471" s="174"/>
      <c r="B471" s="174"/>
      <c r="C471" s="174"/>
      <c r="D471" s="174"/>
      <c r="E471" s="174"/>
      <c r="F471" s="174"/>
      <c r="G471" s="174"/>
      <c r="H471" s="174"/>
      <c r="I471" s="174"/>
      <c r="J471" s="174"/>
      <c r="K471" s="174"/>
      <c r="L471" s="174"/>
      <c r="M471" s="174"/>
      <c r="N471" s="174"/>
      <c r="O471" s="174"/>
      <c r="P471" s="174"/>
      <c r="Q471" s="174"/>
      <c r="R471" s="174"/>
      <c r="S471" s="174"/>
      <c r="T471" s="174"/>
      <c r="U471" s="174"/>
      <c r="V471" s="174"/>
      <c r="W471" s="174"/>
      <c r="X471" s="174"/>
      <c r="Y471" s="174"/>
      <c r="Z471" s="174"/>
    </row>
    <row r="472" customFormat="false" ht="15.75" hidden="false" customHeight="false" outlineLevel="0" collapsed="false">
      <c r="A472" s="174"/>
      <c r="B472" s="174"/>
      <c r="C472" s="174"/>
      <c r="D472" s="174"/>
      <c r="E472" s="174"/>
      <c r="F472" s="174"/>
      <c r="G472" s="174"/>
      <c r="H472" s="174"/>
      <c r="I472" s="174"/>
      <c r="J472" s="174"/>
      <c r="K472" s="174"/>
      <c r="L472" s="174"/>
      <c r="M472" s="174"/>
      <c r="N472" s="174"/>
      <c r="O472" s="174"/>
      <c r="P472" s="174"/>
      <c r="Q472" s="174"/>
      <c r="R472" s="174"/>
      <c r="S472" s="174"/>
      <c r="T472" s="174"/>
      <c r="U472" s="174"/>
      <c r="V472" s="174"/>
      <c r="W472" s="174"/>
      <c r="X472" s="174"/>
      <c r="Y472" s="174"/>
      <c r="Z472" s="174"/>
    </row>
    <row r="473" customFormat="false" ht="15.75" hidden="false" customHeight="false" outlineLevel="0" collapsed="false">
      <c r="A473" s="174"/>
      <c r="B473" s="174"/>
      <c r="C473" s="174"/>
      <c r="D473" s="174"/>
      <c r="E473" s="174"/>
      <c r="F473" s="174"/>
      <c r="G473" s="174"/>
      <c r="H473" s="174"/>
      <c r="I473" s="174"/>
      <c r="J473" s="174"/>
      <c r="K473" s="174"/>
      <c r="L473" s="174"/>
      <c r="M473" s="174"/>
      <c r="N473" s="174"/>
      <c r="O473" s="174"/>
      <c r="P473" s="174"/>
      <c r="Q473" s="174"/>
      <c r="R473" s="174"/>
      <c r="S473" s="174"/>
      <c r="T473" s="174"/>
      <c r="U473" s="174"/>
      <c r="V473" s="174"/>
      <c r="W473" s="174"/>
      <c r="X473" s="174"/>
      <c r="Y473" s="174"/>
      <c r="Z473" s="174"/>
    </row>
    <row r="474" customFormat="false" ht="15.75" hidden="false" customHeight="false" outlineLevel="0" collapsed="false">
      <c r="A474" s="174"/>
      <c r="B474" s="174"/>
      <c r="C474" s="174"/>
      <c r="D474" s="174"/>
      <c r="E474" s="174"/>
      <c r="F474" s="174"/>
      <c r="G474" s="174"/>
      <c r="H474" s="174"/>
      <c r="I474" s="174"/>
      <c r="J474" s="174"/>
      <c r="K474" s="174"/>
      <c r="L474" s="174"/>
      <c r="M474" s="174"/>
      <c r="N474" s="174"/>
      <c r="O474" s="174"/>
      <c r="P474" s="174"/>
      <c r="Q474" s="174"/>
      <c r="R474" s="174"/>
      <c r="S474" s="174"/>
      <c r="T474" s="174"/>
      <c r="U474" s="174"/>
      <c r="V474" s="174"/>
      <c r="W474" s="174"/>
      <c r="X474" s="174"/>
      <c r="Y474" s="174"/>
      <c r="Z474" s="174"/>
    </row>
    <row r="475" customFormat="false" ht="15.75" hidden="false" customHeight="false" outlineLevel="0" collapsed="false">
      <c r="A475" s="174"/>
      <c r="B475" s="174"/>
      <c r="C475" s="174"/>
      <c r="D475" s="174"/>
      <c r="E475" s="174"/>
      <c r="F475" s="174"/>
      <c r="G475" s="174"/>
      <c r="H475" s="174"/>
      <c r="I475" s="174"/>
      <c r="J475" s="174"/>
      <c r="K475" s="174"/>
      <c r="L475" s="174"/>
      <c r="M475" s="174"/>
      <c r="N475" s="174"/>
      <c r="O475" s="174"/>
      <c r="P475" s="174"/>
      <c r="Q475" s="174"/>
      <c r="R475" s="174"/>
      <c r="S475" s="174"/>
      <c r="T475" s="174"/>
      <c r="U475" s="174"/>
      <c r="V475" s="174"/>
      <c r="W475" s="174"/>
      <c r="X475" s="174"/>
      <c r="Y475" s="174"/>
      <c r="Z475" s="174"/>
    </row>
    <row r="476" customFormat="false" ht="15.75" hidden="false" customHeight="false" outlineLevel="0" collapsed="false">
      <c r="A476" s="174"/>
      <c r="B476" s="174"/>
      <c r="C476" s="174"/>
      <c r="D476" s="174"/>
      <c r="E476" s="174"/>
      <c r="F476" s="174"/>
      <c r="G476" s="174"/>
      <c r="H476" s="174"/>
      <c r="I476" s="174"/>
      <c r="J476" s="174"/>
      <c r="K476" s="174"/>
      <c r="L476" s="174"/>
      <c r="M476" s="174"/>
      <c r="N476" s="174"/>
      <c r="O476" s="174"/>
      <c r="P476" s="174"/>
      <c r="Q476" s="174"/>
      <c r="R476" s="174"/>
      <c r="S476" s="174"/>
      <c r="T476" s="174"/>
      <c r="U476" s="174"/>
      <c r="V476" s="174"/>
      <c r="W476" s="174"/>
      <c r="X476" s="174"/>
      <c r="Y476" s="174"/>
      <c r="Z476" s="174"/>
    </row>
    <row r="477" customFormat="false" ht="15.75" hidden="false" customHeight="false" outlineLevel="0" collapsed="false">
      <c r="A477" s="174"/>
      <c r="B477" s="174"/>
      <c r="C477" s="174"/>
      <c r="D477" s="174"/>
      <c r="E477" s="174"/>
      <c r="F477" s="174"/>
      <c r="G477" s="174"/>
      <c r="H477" s="174"/>
      <c r="I477" s="174"/>
      <c r="J477" s="174"/>
      <c r="K477" s="174"/>
      <c r="L477" s="174"/>
      <c r="M477" s="174"/>
      <c r="N477" s="174"/>
      <c r="O477" s="174"/>
      <c r="P477" s="174"/>
      <c r="Q477" s="174"/>
      <c r="R477" s="174"/>
      <c r="S477" s="174"/>
      <c r="T477" s="174"/>
      <c r="U477" s="174"/>
      <c r="V477" s="174"/>
      <c r="W477" s="174"/>
      <c r="X477" s="174"/>
      <c r="Y477" s="174"/>
      <c r="Z477" s="174"/>
    </row>
    <row r="478" customFormat="false" ht="15.75" hidden="false" customHeight="false" outlineLevel="0" collapsed="false">
      <c r="A478" s="174"/>
      <c r="B478" s="174"/>
      <c r="C478" s="174"/>
      <c r="D478" s="174"/>
      <c r="E478" s="174"/>
      <c r="F478" s="174"/>
      <c r="G478" s="174"/>
      <c r="H478" s="174"/>
      <c r="I478" s="174"/>
      <c r="J478" s="174"/>
      <c r="K478" s="174"/>
      <c r="L478" s="174"/>
      <c r="M478" s="174"/>
      <c r="N478" s="174"/>
      <c r="O478" s="174"/>
      <c r="P478" s="174"/>
      <c r="Q478" s="174"/>
      <c r="R478" s="174"/>
      <c r="S478" s="174"/>
      <c r="T478" s="174"/>
      <c r="U478" s="174"/>
      <c r="V478" s="174"/>
      <c r="W478" s="174"/>
      <c r="X478" s="174"/>
      <c r="Y478" s="174"/>
      <c r="Z478" s="174"/>
    </row>
    <row r="479" customFormat="false" ht="15.75" hidden="false" customHeight="false" outlineLevel="0" collapsed="false">
      <c r="A479" s="174"/>
      <c r="B479" s="174"/>
      <c r="C479" s="174"/>
      <c r="D479" s="174"/>
      <c r="E479" s="174"/>
      <c r="F479" s="174"/>
      <c r="G479" s="174"/>
      <c r="H479" s="174"/>
      <c r="I479" s="174"/>
      <c r="J479" s="174"/>
      <c r="K479" s="174"/>
      <c r="L479" s="174"/>
      <c r="M479" s="174"/>
      <c r="N479" s="174"/>
      <c r="O479" s="174"/>
      <c r="P479" s="174"/>
      <c r="Q479" s="174"/>
      <c r="R479" s="174"/>
      <c r="S479" s="174"/>
      <c r="T479" s="174"/>
      <c r="U479" s="174"/>
      <c r="V479" s="174"/>
      <c r="W479" s="174"/>
      <c r="X479" s="174"/>
      <c r="Y479" s="174"/>
      <c r="Z479" s="174"/>
    </row>
    <row r="480" customFormat="false" ht="15.75" hidden="false" customHeight="false" outlineLevel="0" collapsed="false">
      <c r="A480" s="174"/>
      <c r="B480" s="174"/>
      <c r="C480" s="174"/>
      <c r="D480" s="174"/>
      <c r="E480" s="174"/>
      <c r="F480" s="174"/>
      <c r="G480" s="174"/>
      <c r="H480" s="174"/>
      <c r="I480" s="174"/>
      <c r="J480" s="174"/>
      <c r="K480" s="174"/>
      <c r="L480" s="174"/>
      <c r="M480" s="174"/>
      <c r="N480" s="174"/>
      <c r="O480" s="174"/>
      <c r="P480" s="174"/>
      <c r="Q480" s="174"/>
      <c r="R480" s="174"/>
      <c r="S480" s="174"/>
      <c r="T480" s="174"/>
      <c r="U480" s="174"/>
      <c r="V480" s="174"/>
      <c r="W480" s="174"/>
      <c r="X480" s="174"/>
      <c r="Y480" s="174"/>
      <c r="Z480" s="174"/>
    </row>
    <row r="481" customFormat="false" ht="15.75" hidden="false" customHeight="false" outlineLevel="0" collapsed="false">
      <c r="A481" s="174"/>
      <c r="B481" s="174"/>
      <c r="C481" s="174"/>
      <c r="D481" s="174"/>
      <c r="E481" s="174"/>
      <c r="F481" s="174"/>
      <c r="G481" s="174"/>
      <c r="H481" s="174"/>
      <c r="I481" s="174"/>
      <c r="J481" s="174"/>
      <c r="K481" s="174"/>
      <c r="L481" s="174"/>
      <c r="M481" s="174"/>
      <c r="N481" s="174"/>
      <c r="O481" s="174"/>
      <c r="P481" s="174"/>
      <c r="Q481" s="174"/>
      <c r="R481" s="174"/>
      <c r="S481" s="174"/>
      <c r="T481" s="174"/>
      <c r="U481" s="174"/>
      <c r="V481" s="174"/>
      <c r="W481" s="174"/>
      <c r="X481" s="174"/>
      <c r="Y481" s="174"/>
      <c r="Z481" s="174"/>
    </row>
    <row r="482" customFormat="false" ht="15.75" hidden="false" customHeight="false" outlineLevel="0" collapsed="false">
      <c r="A482" s="174"/>
      <c r="B482" s="174"/>
      <c r="C482" s="174"/>
      <c r="D482" s="174"/>
      <c r="E482" s="174"/>
      <c r="F482" s="174"/>
      <c r="G482" s="174"/>
      <c r="H482" s="174"/>
      <c r="I482" s="174"/>
      <c r="J482" s="174"/>
      <c r="K482" s="174"/>
      <c r="L482" s="174"/>
      <c r="M482" s="174"/>
      <c r="N482" s="174"/>
      <c r="O482" s="174"/>
      <c r="P482" s="174"/>
      <c r="Q482" s="174"/>
      <c r="R482" s="174"/>
      <c r="S482" s="174"/>
      <c r="T482" s="174"/>
      <c r="U482" s="174"/>
      <c r="V482" s="174"/>
      <c r="W482" s="174"/>
      <c r="X482" s="174"/>
      <c r="Y482" s="174"/>
      <c r="Z482" s="174"/>
    </row>
    <row r="483" customFormat="false" ht="15.75" hidden="false" customHeight="false" outlineLevel="0" collapsed="false">
      <c r="A483" s="174"/>
      <c r="B483" s="174"/>
      <c r="C483" s="174"/>
      <c r="D483" s="174"/>
      <c r="E483" s="174"/>
      <c r="F483" s="174"/>
      <c r="G483" s="174"/>
      <c r="H483" s="174"/>
      <c r="I483" s="174"/>
      <c r="J483" s="174"/>
      <c r="K483" s="174"/>
      <c r="L483" s="174"/>
      <c r="M483" s="174"/>
      <c r="N483" s="174"/>
      <c r="O483" s="174"/>
      <c r="P483" s="174"/>
      <c r="Q483" s="174"/>
      <c r="R483" s="174"/>
      <c r="S483" s="174"/>
      <c r="T483" s="174"/>
      <c r="U483" s="174"/>
      <c r="V483" s="174"/>
      <c r="W483" s="174"/>
      <c r="X483" s="174"/>
      <c r="Y483" s="174"/>
      <c r="Z483" s="174"/>
    </row>
    <row r="484" customFormat="false" ht="15.75" hidden="false" customHeight="false" outlineLevel="0" collapsed="false">
      <c r="A484" s="174"/>
      <c r="B484" s="174"/>
      <c r="C484" s="174"/>
      <c r="D484" s="174"/>
      <c r="E484" s="174"/>
      <c r="F484" s="174"/>
      <c r="G484" s="174"/>
      <c r="H484" s="174"/>
      <c r="I484" s="174"/>
      <c r="J484" s="174"/>
      <c r="K484" s="174"/>
      <c r="L484" s="174"/>
      <c r="M484" s="174"/>
      <c r="N484" s="174"/>
      <c r="O484" s="174"/>
      <c r="P484" s="174"/>
      <c r="Q484" s="174"/>
      <c r="R484" s="174"/>
      <c r="S484" s="174"/>
      <c r="T484" s="174"/>
      <c r="U484" s="174"/>
      <c r="V484" s="174"/>
      <c r="W484" s="174"/>
      <c r="X484" s="174"/>
      <c r="Y484" s="174"/>
      <c r="Z484" s="174"/>
    </row>
    <row r="485" customFormat="false" ht="15.75" hidden="false" customHeight="false" outlineLevel="0" collapsed="false">
      <c r="A485" s="174"/>
      <c r="B485" s="174"/>
      <c r="C485" s="174"/>
      <c r="D485" s="174"/>
      <c r="E485" s="174"/>
      <c r="F485" s="174"/>
      <c r="G485" s="174"/>
      <c r="H485" s="174"/>
      <c r="I485" s="174"/>
      <c r="J485" s="174"/>
      <c r="K485" s="174"/>
      <c r="L485" s="174"/>
      <c r="M485" s="174"/>
      <c r="N485" s="174"/>
      <c r="O485" s="174"/>
      <c r="P485" s="174"/>
      <c r="Q485" s="174"/>
      <c r="R485" s="174"/>
      <c r="S485" s="174"/>
      <c r="T485" s="174"/>
      <c r="U485" s="174"/>
      <c r="V485" s="174"/>
      <c r="W485" s="174"/>
      <c r="X485" s="174"/>
      <c r="Y485" s="174"/>
      <c r="Z485" s="174"/>
    </row>
    <row r="486" customFormat="false" ht="15.75" hidden="false" customHeight="false" outlineLevel="0" collapsed="false">
      <c r="A486" s="174"/>
      <c r="B486" s="174"/>
      <c r="C486" s="174"/>
      <c r="D486" s="174"/>
      <c r="E486" s="174"/>
      <c r="F486" s="174"/>
      <c r="G486" s="174"/>
      <c r="H486" s="174"/>
      <c r="I486" s="174"/>
      <c r="J486" s="174"/>
      <c r="K486" s="174"/>
      <c r="L486" s="174"/>
      <c r="M486" s="174"/>
      <c r="N486" s="174"/>
      <c r="O486" s="174"/>
      <c r="P486" s="174"/>
      <c r="Q486" s="174"/>
      <c r="R486" s="174"/>
      <c r="S486" s="174"/>
      <c r="T486" s="174"/>
      <c r="U486" s="174"/>
      <c r="V486" s="174"/>
      <c r="W486" s="174"/>
      <c r="X486" s="174"/>
      <c r="Y486" s="174"/>
      <c r="Z486" s="174"/>
    </row>
    <row r="487" customFormat="false" ht="15.75" hidden="false" customHeight="false" outlineLevel="0" collapsed="false">
      <c r="A487" s="174"/>
      <c r="B487" s="174"/>
      <c r="C487" s="174"/>
      <c r="D487" s="174"/>
      <c r="E487" s="174"/>
      <c r="F487" s="174"/>
      <c r="G487" s="174"/>
      <c r="H487" s="174"/>
      <c r="I487" s="174"/>
      <c r="J487" s="174"/>
      <c r="K487" s="174"/>
      <c r="L487" s="174"/>
      <c r="M487" s="174"/>
      <c r="N487" s="174"/>
      <c r="O487" s="174"/>
      <c r="P487" s="174"/>
      <c r="Q487" s="174"/>
      <c r="R487" s="174"/>
      <c r="S487" s="174"/>
      <c r="T487" s="174"/>
      <c r="U487" s="174"/>
      <c r="V487" s="174"/>
      <c r="W487" s="174"/>
      <c r="X487" s="174"/>
      <c r="Y487" s="174"/>
      <c r="Z487" s="174"/>
    </row>
    <row r="488" customFormat="false" ht="15.75" hidden="false" customHeight="false" outlineLevel="0" collapsed="false">
      <c r="A488" s="174"/>
      <c r="B488" s="174"/>
      <c r="C488" s="174"/>
      <c r="D488" s="174"/>
      <c r="E488" s="174"/>
      <c r="F488" s="174"/>
      <c r="G488" s="174"/>
      <c r="H488" s="174"/>
      <c r="I488" s="174"/>
      <c r="J488" s="174"/>
      <c r="K488" s="174"/>
      <c r="L488" s="174"/>
      <c r="M488" s="174"/>
      <c r="N488" s="174"/>
      <c r="O488" s="174"/>
      <c r="P488" s="174"/>
      <c r="Q488" s="174"/>
      <c r="R488" s="174"/>
      <c r="S488" s="174"/>
      <c r="T488" s="174"/>
      <c r="U488" s="174"/>
      <c r="V488" s="174"/>
      <c r="W488" s="174"/>
      <c r="X488" s="174"/>
      <c r="Y488" s="174"/>
      <c r="Z488" s="174"/>
    </row>
    <row r="489" customFormat="false" ht="15.75" hidden="false" customHeight="false" outlineLevel="0" collapsed="false">
      <c r="A489" s="174"/>
      <c r="B489" s="174"/>
      <c r="C489" s="174"/>
      <c r="D489" s="174"/>
      <c r="E489" s="174"/>
      <c r="F489" s="174"/>
      <c r="G489" s="174"/>
      <c r="H489" s="174"/>
      <c r="I489" s="174"/>
      <c r="J489" s="174"/>
      <c r="K489" s="174"/>
      <c r="L489" s="174"/>
      <c r="M489" s="174"/>
      <c r="N489" s="174"/>
      <c r="O489" s="174"/>
      <c r="P489" s="174"/>
      <c r="Q489" s="174"/>
      <c r="R489" s="174"/>
      <c r="S489" s="174"/>
      <c r="T489" s="174"/>
      <c r="U489" s="174"/>
      <c r="V489" s="174"/>
      <c r="W489" s="174"/>
      <c r="X489" s="174"/>
      <c r="Y489" s="174"/>
      <c r="Z489" s="174"/>
    </row>
    <row r="490" customFormat="false" ht="15.75" hidden="false" customHeight="false" outlineLevel="0" collapsed="false">
      <c r="A490" s="174"/>
      <c r="B490" s="174"/>
      <c r="C490" s="174"/>
      <c r="D490" s="174"/>
      <c r="E490" s="174"/>
      <c r="F490" s="174"/>
      <c r="G490" s="174"/>
      <c r="H490" s="174"/>
      <c r="I490" s="174"/>
      <c r="J490" s="174"/>
      <c r="K490" s="174"/>
      <c r="L490" s="174"/>
      <c r="M490" s="174"/>
      <c r="N490" s="174"/>
      <c r="O490" s="174"/>
      <c r="P490" s="174"/>
      <c r="Q490" s="174"/>
      <c r="R490" s="174"/>
      <c r="S490" s="174"/>
      <c r="T490" s="174"/>
      <c r="U490" s="174"/>
      <c r="V490" s="174"/>
      <c r="W490" s="174"/>
      <c r="X490" s="174"/>
      <c r="Y490" s="174"/>
      <c r="Z490" s="174"/>
    </row>
    <row r="491" customFormat="false" ht="15.75" hidden="false" customHeight="false" outlineLevel="0" collapsed="false">
      <c r="A491" s="174"/>
      <c r="B491" s="174"/>
      <c r="C491" s="174"/>
      <c r="D491" s="174"/>
      <c r="E491" s="174"/>
      <c r="F491" s="174"/>
      <c r="G491" s="174"/>
      <c r="H491" s="174"/>
      <c r="I491" s="174"/>
      <c r="J491" s="174"/>
      <c r="K491" s="174"/>
      <c r="L491" s="174"/>
      <c r="M491" s="174"/>
      <c r="N491" s="174"/>
      <c r="O491" s="174"/>
      <c r="P491" s="174"/>
      <c r="Q491" s="174"/>
      <c r="R491" s="174"/>
      <c r="S491" s="174"/>
      <c r="T491" s="174"/>
      <c r="U491" s="174"/>
      <c r="V491" s="174"/>
      <c r="W491" s="174"/>
      <c r="X491" s="174"/>
      <c r="Y491" s="174"/>
      <c r="Z491" s="174"/>
    </row>
    <row r="492" customFormat="false" ht="15.75" hidden="false" customHeight="false" outlineLevel="0" collapsed="false">
      <c r="A492" s="174"/>
      <c r="B492" s="174"/>
      <c r="C492" s="174"/>
      <c r="D492" s="174"/>
      <c r="E492" s="174"/>
      <c r="F492" s="174"/>
      <c r="G492" s="174"/>
      <c r="H492" s="174"/>
      <c r="I492" s="174"/>
      <c r="J492" s="174"/>
      <c r="K492" s="174"/>
      <c r="L492" s="174"/>
      <c r="M492" s="174"/>
      <c r="N492" s="174"/>
      <c r="O492" s="174"/>
      <c r="P492" s="174"/>
      <c r="Q492" s="174"/>
      <c r="R492" s="174"/>
      <c r="S492" s="174"/>
      <c r="T492" s="174"/>
      <c r="U492" s="174"/>
      <c r="V492" s="174"/>
      <c r="W492" s="174"/>
      <c r="X492" s="174"/>
      <c r="Y492" s="174"/>
      <c r="Z492" s="174"/>
    </row>
    <row r="493" customFormat="false" ht="15.75" hidden="false" customHeight="false" outlineLevel="0" collapsed="false">
      <c r="A493" s="174"/>
      <c r="B493" s="174"/>
      <c r="C493" s="174"/>
      <c r="D493" s="174"/>
      <c r="E493" s="174"/>
      <c r="F493" s="174"/>
      <c r="G493" s="174"/>
      <c r="H493" s="174"/>
      <c r="I493" s="174"/>
      <c r="J493" s="174"/>
      <c r="K493" s="174"/>
      <c r="L493" s="174"/>
      <c r="M493" s="174"/>
      <c r="N493" s="174"/>
      <c r="O493" s="174"/>
      <c r="P493" s="174"/>
      <c r="Q493" s="174"/>
      <c r="R493" s="174"/>
      <c r="S493" s="174"/>
      <c r="T493" s="174"/>
      <c r="U493" s="174"/>
      <c r="V493" s="174"/>
      <c r="W493" s="174"/>
      <c r="X493" s="174"/>
      <c r="Y493" s="174"/>
      <c r="Z493" s="174"/>
    </row>
    <row r="494" customFormat="false" ht="15.75" hidden="false" customHeight="false" outlineLevel="0" collapsed="false">
      <c r="A494" s="174"/>
      <c r="B494" s="174"/>
      <c r="C494" s="174"/>
      <c r="D494" s="174"/>
      <c r="E494" s="174"/>
      <c r="F494" s="174"/>
      <c r="G494" s="174"/>
      <c r="H494" s="174"/>
      <c r="I494" s="174"/>
      <c r="J494" s="174"/>
      <c r="K494" s="174"/>
      <c r="L494" s="174"/>
      <c r="M494" s="174"/>
      <c r="N494" s="174"/>
      <c r="O494" s="174"/>
      <c r="P494" s="174"/>
      <c r="Q494" s="174"/>
      <c r="R494" s="174"/>
      <c r="S494" s="174"/>
      <c r="T494" s="174"/>
      <c r="U494" s="174"/>
      <c r="V494" s="174"/>
      <c r="W494" s="174"/>
      <c r="X494" s="174"/>
      <c r="Y494" s="174"/>
      <c r="Z494" s="174"/>
    </row>
    <row r="495" customFormat="false" ht="15.75" hidden="false" customHeight="false" outlineLevel="0" collapsed="false">
      <c r="A495" s="174"/>
      <c r="B495" s="174"/>
      <c r="C495" s="174"/>
      <c r="D495" s="174"/>
      <c r="E495" s="174"/>
      <c r="F495" s="174"/>
      <c r="G495" s="174"/>
      <c r="H495" s="174"/>
      <c r="I495" s="174"/>
      <c r="J495" s="174"/>
      <c r="K495" s="174"/>
      <c r="L495" s="174"/>
      <c r="M495" s="174"/>
      <c r="N495" s="174"/>
      <c r="O495" s="174"/>
      <c r="P495" s="174"/>
      <c r="Q495" s="174"/>
      <c r="R495" s="174"/>
      <c r="S495" s="174"/>
      <c r="T495" s="174"/>
      <c r="U495" s="174"/>
      <c r="V495" s="174"/>
      <c r="W495" s="174"/>
      <c r="X495" s="174"/>
      <c r="Y495" s="174"/>
      <c r="Z495" s="174"/>
    </row>
    <row r="496" customFormat="false" ht="15.75" hidden="false" customHeight="false" outlineLevel="0" collapsed="false">
      <c r="A496" s="174"/>
      <c r="B496" s="174"/>
      <c r="C496" s="174"/>
      <c r="D496" s="174"/>
      <c r="E496" s="174"/>
      <c r="F496" s="174"/>
      <c r="G496" s="174"/>
      <c r="H496" s="174"/>
      <c r="I496" s="174"/>
      <c r="J496" s="174"/>
      <c r="K496" s="174"/>
      <c r="L496" s="174"/>
      <c r="M496" s="174"/>
      <c r="N496" s="174"/>
      <c r="O496" s="174"/>
      <c r="P496" s="174"/>
      <c r="Q496" s="174"/>
      <c r="R496" s="174"/>
      <c r="S496" s="174"/>
      <c r="T496" s="174"/>
      <c r="U496" s="174"/>
      <c r="V496" s="174"/>
      <c r="W496" s="174"/>
      <c r="X496" s="174"/>
      <c r="Y496" s="174"/>
      <c r="Z496" s="174"/>
    </row>
    <row r="497" customFormat="false" ht="15.75" hidden="false" customHeight="false" outlineLevel="0" collapsed="false">
      <c r="A497" s="174"/>
      <c r="B497" s="174"/>
      <c r="C497" s="174"/>
      <c r="D497" s="174"/>
      <c r="E497" s="174"/>
      <c r="F497" s="174"/>
      <c r="G497" s="174"/>
      <c r="H497" s="174"/>
      <c r="I497" s="174"/>
      <c r="J497" s="174"/>
      <c r="K497" s="174"/>
      <c r="L497" s="174"/>
      <c r="M497" s="174"/>
      <c r="N497" s="174"/>
      <c r="O497" s="174"/>
      <c r="P497" s="174"/>
      <c r="Q497" s="174"/>
      <c r="R497" s="174"/>
      <c r="S497" s="174"/>
      <c r="T497" s="174"/>
      <c r="U497" s="174"/>
      <c r="V497" s="174"/>
      <c r="W497" s="174"/>
      <c r="X497" s="174"/>
      <c r="Y497" s="174"/>
      <c r="Z497" s="174"/>
    </row>
    <row r="498" customFormat="false" ht="15.75" hidden="false" customHeight="false" outlineLevel="0" collapsed="false">
      <c r="A498" s="174"/>
      <c r="B498" s="174"/>
      <c r="C498" s="174"/>
      <c r="D498" s="174"/>
      <c r="E498" s="174"/>
      <c r="F498" s="174"/>
      <c r="G498" s="174"/>
      <c r="H498" s="174"/>
      <c r="I498" s="174"/>
      <c r="J498" s="174"/>
      <c r="K498" s="174"/>
      <c r="L498" s="174"/>
      <c r="M498" s="174"/>
      <c r="N498" s="174"/>
      <c r="O498" s="174"/>
      <c r="P498" s="174"/>
      <c r="Q498" s="174"/>
      <c r="R498" s="174"/>
      <c r="S498" s="174"/>
      <c r="T498" s="174"/>
      <c r="U498" s="174"/>
      <c r="V498" s="174"/>
      <c r="W498" s="174"/>
      <c r="X498" s="174"/>
      <c r="Y498" s="174"/>
      <c r="Z498" s="174"/>
    </row>
    <row r="499" customFormat="false" ht="15.75" hidden="false" customHeight="false" outlineLevel="0" collapsed="false">
      <c r="A499" s="174"/>
      <c r="B499" s="174"/>
      <c r="C499" s="174"/>
      <c r="D499" s="174"/>
      <c r="E499" s="174"/>
      <c r="F499" s="174"/>
      <c r="G499" s="174"/>
      <c r="H499" s="174"/>
      <c r="I499" s="174"/>
      <c r="J499" s="174"/>
      <c r="K499" s="174"/>
      <c r="L499" s="174"/>
      <c r="M499" s="174"/>
      <c r="N499" s="174"/>
      <c r="O499" s="174"/>
      <c r="P499" s="174"/>
      <c r="Q499" s="174"/>
      <c r="R499" s="174"/>
      <c r="S499" s="174"/>
      <c r="T499" s="174"/>
      <c r="U499" s="174"/>
      <c r="V499" s="174"/>
      <c r="W499" s="174"/>
      <c r="X499" s="174"/>
      <c r="Y499" s="174"/>
      <c r="Z499" s="174"/>
    </row>
    <row r="500" customFormat="false" ht="15.75" hidden="false" customHeight="false" outlineLevel="0" collapsed="false">
      <c r="A500" s="174"/>
      <c r="B500" s="174"/>
      <c r="C500" s="174"/>
      <c r="D500" s="174"/>
      <c r="E500" s="174"/>
      <c r="F500" s="174"/>
      <c r="G500" s="174"/>
      <c r="H500" s="174"/>
      <c r="I500" s="174"/>
      <c r="J500" s="174"/>
      <c r="K500" s="174"/>
      <c r="L500" s="174"/>
      <c r="M500" s="174"/>
      <c r="N500" s="174"/>
      <c r="O500" s="174"/>
      <c r="P500" s="174"/>
      <c r="Q500" s="174"/>
      <c r="R500" s="174"/>
      <c r="S500" s="174"/>
      <c r="T500" s="174"/>
      <c r="U500" s="174"/>
      <c r="V500" s="174"/>
      <c r="W500" s="174"/>
      <c r="X500" s="174"/>
      <c r="Y500" s="174"/>
      <c r="Z500" s="174"/>
    </row>
    <row r="501" customFormat="false" ht="15.75" hidden="false" customHeight="false" outlineLevel="0" collapsed="false">
      <c r="A501" s="174"/>
      <c r="B501" s="174"/>
      <c r="C501" s="174"/>
      <c r="D501" s="174"/>
      <c r="E501" s="174"/>
      <c r="F501" s="174"/>
      <c r="G501" s="174"/>
      <c r="H501" s="174"/>
      <c r="I501" s="174"/>
      <c r="J501" s="174"/>
      <c r="K501" s="174"/>
      <c r="L501" s="174"/>
      <c r="M501" s="174"/>
      <c r="N501" s="174"/>
      <c r="O501" s="174"/>
      <c r="P501" s="174"/>
      <c r="Q501" s="174"/>
      <c r="R501" s="174"/>
      <c r="S501" s="174"/>
      <c r="T501" s="174"/>
      <c r="U501" s="174"/>
      <c r="V501" s="174"/>
      <c r="W501" s="174"/>
      <c r="X501" s="174"/>
      <c r="Y501" s="174"/>
      <c r="Z501" s="174"/>
    </row>
    <row r="502" customFormat="false" ht="15.75" hidden="false" customHeight="false" outlineLevel="0" collapsed="false">
      <c r="A502" s="174"/>
      <c r="B502" s="174"/>
      <c r="C502" s="174"/>
      <c r="D502" s="174"/>
      <c r="E502" s="174"/>
      <c r="F502" s="174"/>
      <c r="G502" s="174"/>
      <c r="H502" s="174"/>
      <c r="I502" s="174"/>
      <c r="J502" s="174"/>
      <c r="K502" s="174"/>
      <c r="L502" s="174"/>
      <c r="M502" s="174"/>
      <c r="N502" s="174"/>
      <c r="O502" s="174"/>
      <c r="P502" s="174"/>
      <c r="Q502" s="174"/>
      <c r="R502" s="174"/>
      <c r="S502" s="174"/>
      <c r="T502" s="174"/>
      <c r="U502" s="174"/>
      <c r="V502" s="174"/>
      <c r="W502" s="174"/>
      <c r="X502" s="174"/>
      <c r="Y502" s="174"/>
      <c r="Z502" s="174"/>
    </row>
    <row r="503" customFormat="false" ht="15.75" hidden="false" customHeight="false" outlineLevel="0" collapsed="false">
      <c r="A503" s="174"/>
      <c r="B503" s="174"/>
      <c r="C503" s="174"/>
      <c r="D503" s="174"/>
      <c r="E503" s="174"/>
      <c r="F503" s="174"/>
      <c r="G503" s="174"/>
      <c r="H503" s="174"/>
      <c r="I503" s="174"/>
      <c r="J503" s="174"/>
      <c r="K503" s="174"/>
      <c r="L503" s="174"/>
      <c r="M503" s="174"/>
      <c r="N503" s="174"/>
      <c r="O503" s="174"/>
      <c r="P503" s="174"/>
      <c r="Q503" s="174"/>
      <c r="R503" s="174"/>
      <c r="S503" s="174"/>
      <c r="T503" s="174"/>
      <c r="U503" s="174"/>
      <c r="V503" s="174"/>
      <c r="W503" s="174"/>
      <c r="X503" s="174"/>
      <c r="Y503" s="174"/>
      <c r="Z503" s="174"/>
    </row>
    <row r="504" customFormat="false" ht="15.75" hidden="false" customHeight="false" outlineLevel="0" collapsed="false">
      <c r="A504" s="174"/>
      <c r="B504" s="174"/>
      <c r="C504" s="174"/>
      <c r="D504" s="174"/>
      <c r="E504" s="174"/>
      <c r="F504" s="174"/>
      <c r="G504" s="174"/>
      <c r="H504" s="174"/>
      <c r="I504" s="174"/>
      <c r="J504" s="174"/>
      <c r="K504" s="174"/>
      <c r="L504" s="174"/>
      <c r="M504" s="174"/>
      <c r="N504" s="174"/>
      <c r="O504" s="174"/>
      <c r="P504" s="174"/>
      <c r="Q504" s="174"/>
      <c r="R504" s="174"/>
      <c r="S504" s="174"/>
      <c r="T504" s="174"/>
      <c r="U504" s="174"/>
      <c r="V504" s="174"/>
      <c r="W504" s="174"/>
      <c r="X504" s="174"/>
      <c r="Y504" s="174"/>
      <c r="Z504" s="174"/>
    </row>
    <row r="505" customFormat="false" ht="15.75" hidden="false" customHeight="false" outlineLevel="0" collapsed="false">
      <c r="A505" s="174"/>
      <c r="B505" s="174"/>
      <c r="C505" s="174"/>
      <c r="D505" s="174"/>
      <c r="E505" s="174"/>
      <c r="F505" s="174"/>
      <c r="G505" s="174"/>
      <c r="H505" s="174"/>
      <c r="I505" s="174"/>
      <c r="J505" s="174"/>
      <c r="K505" s="174"/>
      <c r="L505" s="174"/>
      <c r="M505" s="174"/>
      <c r="N505" s="174"/>
      <c r="O505" s="174"/>
      <c r="P505" s="174"/>
      <c r="Q505" s="174"/>
      <c r="R505" s="174"/>
      <c r="S505" s="174"/>
      <c r="T505" s="174"/>
      <c r="U505" s="174"/>
      <c r="V505" s="174"/>
      <c r="W505" s="174"/>
      <c r="X505" s="174"/>
      <c r="Y505" s="174"/>
      <c r="Z505" s="174"/>
    </row>
    <row r="506" customFormat="false" ht="15.75" hidden="false" customHeight="false" outlineLevel="0" collapsed="false">
      <c r="A506" s="174"/>
      <c r="B506" s="174"/>
      <c r="C506" s="174"/>
      <c r="D506" s="174"/>
      <c r="E506" s="174"/>
      <c r="F506" s="174"/>
      <c r="G506" s="174"/>
      <c r="H506" s="174"/>
      <c r="I506" s="174"/>
      <c r="J506" s="174"/>
      <c r="K506" s="174"/>
      <c r="L506" s="174"/>
      <c r="M506" s="174"/>
      <c r="N506" s="174"/>
      <c r="O506" s="174"/>
      <c r="P506" s="174"/>
      <c r="Q506" s="174"/>
      <c r="R506" s="174"/>
      <c r="S506" s="174"/>
      <c r="T506" s="174"/>
      <c r="U506" s="174"/>
      <c r="V506" s="174"/>
      <c r="W506" s="174"/>
      <c r="X506" s="174"/>
      <c r="Y506" s="174"/>
      <c r="Z506" s="174"/>
    </row>
    <row r="507" customFormat="false" ht="15.75" hidden="false" customHeight="false" outlineLevel="0" collapsed="false">
      <c r="A507" s="174"/>
      <c r="B507" s="174"/>
      <c r="C507" s="174"/>
      <c r="D507" s="174"/>
      <c r="E507" s="174"/>
      <c r="F507" s="174"/>
      <c r="G507" s="174"/>
      <c r="H507" s="174"/>
      <c r="I507" s="174"/>
      <c r="J507" s="174"/>
      <c r="K507" s="174"/>
      <c r="L507" s="174"/>
      <c r="M507" s="174"/>
      <c r="N507" s="174"/>
      <c r="O507" s="174"/>
      <c r="P507" s="174"/>
      <c r="Q507" s="174"/>
      <c r="R507" s="174"/>
      <c r="S507" s="174"/>
      <c r="T507" s="174"/>
      <c r="U507" s="174"/>
      <c r="V507" s="174"/>
      <c r="W507" s="174"/>
      <c r="X507" s="174"/>
      <c r="Y507" s="174"/>
      <c r="Z507" s="174"/>
    </row>
    <row r="508" customFormat="false" ht="15.75" hidden="false" customHeight="false" outlineLevel="0" collapsed="false">
      <c r="A508" s="174"/>
      <c r="B508" s="174"/>
      <c r="C508" s="174"/>
      <c r="D508" s="174"/>
      <c r="E508" s="174"/>
      <c r="F508" s="174"/>
      <c r="G508" s="174"/>
      <c r="H508" s="174"/>
      <c r="I508" s="174"/>
      <c r="J508" s="174"/>
      <c r="K508" s="174"/>
      <c r="L508" s="174"/>
      <c r="M508" s="174"/>
      <c r="N508" s="174"/>
      <c r="O508" s="174"/>
      <c r="P508" s="174"/>
      <c r="Q508" s="174"/>
      <c r="R508" s="174"/>
      <c r="S508" s="174"/>
      <c r="T508" s="174"/>
      <c r="U508" s="174"/>
      <c r="V508" s="174"/>
      <c r="W508" s="174"/>
      <c r="X508" s="174"/>
      <c r="Y508" s="174"/>
      <c r="Z508" s="174"/>
    </row>
    <row r="509" customFormat="false" ht="15.75" hidden="false" customHeight="false" outlineLevel="0" collapsed="false">
      <c r="A509" s="174"/>
      <c r="B509" s="174"/>
      <c r="C509" s="174"/>
      <c r="D509" s="174"/>
      <c r="E509" s="174"/>
      <c r="F509" s="174"/>
      <c r="G509" s="174"/>
      <c r="H509" s="174"/>
      <c r="I509" s="174"/>
      <c r="J509" s="174"/>
      <c r="K509" s="174"/>
      <c r="L509" s="174"/>
      <c r="M509" s="174"/>
      <c r="N509" s="174"/>
      <c r="O509" s="174"/>
      <c r="P509" s="174"/>
      <c r="Q509" s="174"/>
      <c r="R509" s="174"/>
      <c r="S509" s="174"/>
      <c r="T509" s="174"/>
      <c r="U509" s="174"/>
      <c r="V509" s="174"/>
      <c r="W509" s="174"/>
      <c r="X509" s="174"/>
      <c r="Y509" s="174"/>
      <c r="Z509" s="174"/>
    </row>
    <row r="510" customFormat="false" ht="15.75" hidden="false" customHeight="false" outlineLevel="0" collapsed="false">
      <c r="A510" s="174"/>
      <c r="B510" s="174"/>
      <c r="C510" s="174"/>
      <c r="D510" s="174"/>
      <c r="E510" s="174"/>
      <c r="F510" s="174"/>
      <c r="G510" s="174"/>
      <c r="H510" s="174"/>
      <c r="I510" s="174"/>
      <c r="J510" s="174"/>
      <c r="K510" s="174"/>
      <c r="L510" s="174"/>
      <c r="M510" s="174"/>
      <c r="N510" s="174"/>
      <c r="O510" s="174"/>
      <c r="P510" s="174"/>
      <c r="Q510" s="174"/>
      <c r="R510" s="174"/>
      <c r="S510" s="174"/>
      <c r="T510" s="174"/>
      <c r="U510" s="174"/>
      <c r="V510" s="174"/>
      <c r="W510" s="174"/>
      <c r="X510" s="174"/>
      <c r="Y510" s="174"/>
      <c r="Z510" s="174"/>
    </row>
    <row r="511" customFormat="false" ht="15.75" hidden="false" customHeight="false" outlineLevel="0" collapsed="false">
      <c r="A511" s="174"/>
      <c r="B511" s="174"/>
      <c r="C511" s="174"/>
      <c r="D511" s="174"/>
      <c r="E511" s="174"/>
      <c r="F511" s="174"/>
      <c r="G511" s="174"/>
      <c r="H511" s="174"/>
      <c r="I511" s="174"/>
      <c r="J511" s="174"/>
      <c r="K511" s="174"/>
      <c r="L511" s="174"/>
      <c r="M511" s="174"/>
      <c r="N511" s="174"/>
      <c r="O511" s="174"/>
      <c r="P511" s="174"/>
      <c r="Q511" s="174"/>
      <c r="R511" s="174"/>
      <c r="S511" s="174"/>
      <c r="T511" s="174"/>
      <c r="U511" s="174"/>
      <c r="V511" s="174"/>
      <c r="W511" s="174"/>
      <c r="X511" s="174"/>
      <c r="Y511" s="174"/>
      <c r="Z511" s="174"/>
    </row>
    <row r="512" customFormat="false" ht="15.75" hidden="false" customHeight="false" outlineLevel="0" collapsed="false">
      <c r="A512" s="174"/>
      <c r="B512" s="174"/>
      <c r="C512" s="174"/>
      <c r="D512" s="174"/>
      <c r="E512" s="174"/>
      <c r="F512" s="174"/>
      <c r="G512" s="174"/>
      <c r="H512" s="174"/>
      <c r="I512" s="174"/>
      <c r="J512" s="174"/>
      <c r="K512" s="174"/>
      <c r="L512" s="174"/>
      <c r="M512" s="174"/>
      <c r="N512" s="174"/>
      <c r="O512" s="174"/>
      <c r="P512" s="174"/>
      <c r="Q512" s="174"/>
      <c r="R512" s="174"/>
      <c r="S512" s="174"/>
      <c r="T512" s="174"/>
      <c r="U512" s="174"/>
      <c r="V512" s="174"/>
      <c r="W512" s="174"/>
      <c r="X512" s="174"/>
      <c r="Y512" s="174"/>
      <c r="Z512" s="174"/>
    </row>
    <row r="513" customFormat="false" ht="15.75" hidden="false" customHeight="false" outlineLevel="0" collapsed="false">
      <c r="A513" s="174"/>
      <c r="B513" s="174"/>
      <c r="C513" s="174"/>
      <c r="D513" s="174"/>
      <c r="E513" s="174"/>
      <c r="F513" s="174"/>
      <c r="G513" s="174"/>
      <c r="H513" s="174"/>
      <c r="I513" s="174"/>
      <c r="J513" s="174"/>
      <c r="K513" s="174"/>
      <c r="L513" s="174"/>
      <c r="M513" s="174"/>
      <c r="N513" s="174"/>
      <c r="O513" s="174"/>
      <c r="P513" s="174"/>
      <c r="Q513" s="174"/>
      <c r="R513" s="174"/>
      <c r="S513" s="174"/>
      <c r="T513" s="174"/>
      <c r="U513" s="174"/>
      <c r="V513" s="174"/>
      <c r="W513" s="174"/>
      <c r="X513" s="174"/>
      <c r="Y513" s="174"/>
      <c r="Z513" s="174"/>
    </row>
    <row r="514" customFormat="false" ht="15.75" hidden="false" customHeight="false" outlineLevel="0" collapsed="false">
      <c r="A514" s="174"/>
      <c r="B514" s="174"/>
      <c r="C514" s="174"/>
      <c r="D514" s="174"/>
      <c r="E514" s="174"/>
      <c r="F514" s="174"/>
      <c r="G514" s="174"/>
      <c r="H514" s="174"/>
      <c r="I514" s="174"/>
      <c r="J514" s="174"/>
      <c r="K514" s="174"/>
      <c r="L514" s="174"/>
      <c r="M514" s="174"/>
      <c r="N514" s="174"/>
      <c r="O514" s="174"/>
      <c r="P514" s="174"/>
      <c r="Q514" s="174"/>
      <c r="R514" s="174"/>
      <c r="S514" s="174"/>
      <c r="T514" s="174"/>
      <c r="U514" s="174"/>
      <c r="V514" s="174"/>
      <c r="W514" s="174"/>
      <c r="X514" s="174"/>
      <c r="Y514" s="174"/>
      <c r="Z514" s="174"/>
    </row>
    <row r="515" customFormat="false" ht="15.75" hidden="false" customHeight="false" outlineLevel="0" collapsed="false">
      <c r="A515" s="174"/>
      <c r="B515" s="174"/>
      <c r="C515" s="174"/>
      <c r="D515" s="174"/>
      <c r="E515" s="174"/>
      <c r="F515" s="174"/>
      <c r="G515" s="174"/>
      <c r="H515" s="174"/>
      <c r="I515" s="174"/>
      <c r="J515" s="174"/>
      <c r="K515" s="174"/>
      <c r="L515" s="174"/>
      <c r="M515" s="174"/>
      <c r="N515" s="174"/>
      <c r="O515" s="174"/>
      <c r="P515" s="174"/>
      <c r="Q515" s="174"/>
      <c r="R515" s="174"/>
      <c r="S515" s="174"/>
      <c r="T515" s="174"/>
      <c r="U515" s="174"/>
      <c r="V515" s="174"/>
      <c r="W515" s="174"/>
      <c r="X515" s="174"/>
      <c r="Y515" s="174"/>
      <c r="Z515" s="174"/>
    </row>
    <row r="516" customFormat="false" ht="15.75" hidden="false" customHeight="false" outlineLevel="0" collapsed="false">
      <c r="A516" s="174"/>
      <c r="B516" s="174"/>
      <c r="C516" s="174"/>
      <c r="D516" s="174"/>
      <c r="E516" s="174"/>
      <c r="F516" s="174"/>
      <c r="G516" s="174"/>
      <c r="H516" s="174"/>
      <c r="I516" s="174"/>
      <c r="J516" s="174"/>
      <c r="K516" s="174"/>
      <c r="L516" s="174"/>
      <c r="M516" s="174"/>
      <c r="N516" s="174"/>
      <c r="O516" s="174"/>
      <c r="P516" s="174"/>
      <c r="Q516" s="174"/>
      <c r="R516" s="174"/>
      <c r="S516" s="174"/>
      <c r="T516" s="174"/>
      <c r="U516" s="174"/>
      <c r="V516" s="174"/>
      <c r="W516" s="174"/>
      <c r="X516" s="174"/>
      <c r="Y516" s="174"/>
      <c r="Z516" s="174"/>
    </row>
    <row r="517" customFormat="false" ht="15.75" hidden="false" customHeight="false" outlineLevel="0" collapsed="false">
      <c r="A517" s="174"/>
      <c r="B517" s="174"/>
      <c r="C517" s="174"/>
      <c r="D517" s="174"/>
      <c r="E517" s="174"/>
      <c r="F517" s="174"/>
      <c r="G517" s="174"/>
      <c r="H517" s="174"/>
      <c r="I517" s="174"/>
      <c r="J517" s="174"/>
      <c r="K517" s="174"/>
      <c r="L517" s="174"/>
      <c r="M517" s="174"/>
      <c r="N517" s="174"/>
      <c r="O517" s="174"/>
      <c r="P517" s="174"/>
      <c r="Q517" s="174"/>
      <c r="R517" s="174"/>
      <c r="S517" s="174"/>
      <c r="T517" s="174"/>
      <c r="U517" s="174"/>
      <c r="V517" s="174"/>
      <c r="W517" s="174"/>
      <c r="X517" s="174"/>
      <c r="Y517" s="174"/>
      <c r="Z517" s="174"/>
    </row>
    <row r="518" customFormat="false" ht="15.75" hidden="false" customHeight="false" outlineLevel="0" collapsed="false">
      <c r="A518" s="174"/>
      <c r="B518" s="174"/>
      <c r="C518" s="174"/>
      <c r="D518" s="174"/>
      <c r="E518" s="174"/>
      <c r="F518" s="174"/>
      <c r="G518" s="174"/>
      <c r="H518" s="174"/>
      <c r="I518" s="174"/>
      <c r="J518" s="174"/>
      <c r="K518" s="174"/>
      <c r="L518" s="174"/>
      <c r="M518" s="174"/>
      <c r="N518" s="174"/>
      <c r="O518" s="174"/>
      <c r="P518" s="174"/>
      <c r="Q518" s="174"/>
      <c r="R518" s="174"/>
      <c r="S518" s="174"/>
      <c r="T518" s="174"/>
      <c r="U518" s="174"/>
      <c r="V518" s="174"/>
      <c r="W518" s="174"/>
      <c r="X518" s="174"/>
      <c r="Y518" s="174"/>
      <c r="Z518" s="174"/>
    </row>
    <row r="519" customFormat="false" ht="15.75" hidden="false" customHeight="false" outlineLevel="0" collapsed="false">
      <c r="A519" s="174"/>
      <c r="B519" s="174"/>
      <c r="C519" s="174"/>
      <c r="D519" s="174"/>
      <c r="E519" s="174"/>
      <c r="F519" s="174"/>
      <c r="G519" s="174"/>
      <c r="H519" s="174"/>
      <c r="I519" s="174"/>
      <c r="J519" s="174"/>
      <c r="K519" s="174"/>
      <c r="L519" s="174"/>
      <c r="M519" s="174"/>
      <c r="N519" s="174"/>
      <c r="O519" s="174"/>
      <c r="P519" s="174"/>
      <c r="Q519" s="174"/>
      <c r="R519" s="174"/>
      <c r="S519" s="174"/>
      <c r="T519" s="174"/>
      <c r="U519" s="174"/>
      <c r="V519" s="174"/>
      <c r="W519" s="174"/>
      <c r="X519" s="174"/>
      <c r="Y519" s="174"/>
      <c r="Z519" s="174"/>
    </row>
    <row r="520" customFormat="false" ht="15.75" hidden="false" customHeight="false" outlineLevel="0" collapsed="false">
      <c r="A520" s="174"/>
      <c r="B520" s="174"/>
      <c r="C520" s="174"/>
      <c r="D520" s="174"/>
      <c r="E520" s="174"/>
      <c r="F520" s="174"/>
      <c r="G520" s="174"/>
      <c r="H520" s="174"/>
      <c r="I520" s="174"/>
      <c r="J520" s="174"/>
      <c r="K520" s="174"/>
      <c r="L520" s="174"/>
      <c r="M520" s="174"/>
      <c r="N520" s="174"/>
      <c r="O520" s="174"/>
      <c r="P520" s="174"/>
      <c r="Q520" s="174"/>
      <c r="R520" s="174"/>
      <c r="S520" s="174"/>
      <c r="T520" s="174"/>
      <c r="U520" s="174"/>
      <c r="V520" s="174"/>
      <c r="W520" s="174"/>
      <c r="X520" s="174"/>
      <c r="Y520" s="174"/>
      <c r="Z520" s="174"/>
    </row>
    <row r="521" customFormat="false" ht="15.75" hidden="false" customHeight="false" outlineLevel="0" collapsed="false">
      <c r="A521" s="174"/>
      <c r="B521" s="174"/>
      <c r="C521" s="174"/>
      <c r="D521" s="174"/>
      <c r="E521" s="174"/>
      <c r="F521" s="174"/>
      <c r="G521" s="174"/>
      <c r="H521" s="174"/>
      <c r="I521" s="174"/>
      <c r="J521" s="174"/>
      <c r="K521" s="174"/>
      <c r="L521" s="174"/>
      <c r="M521" s="174"/>
      <c r="N521" s="174"/>
      <c r="O521" s="174"/>
      <c r="P521" s="174"/>
      <c r="Q521" s="174"/>
      <c r="R521" s="174"/>
      <c r="S521" s="174"/>
      <c r="T521" s="174"/>
      <c r="U521" s="174"/>
      <c r="V521" s="174"/>
      <c r="W521" s="174"/>
      <c r="X521" s="174"/>
      <c r="Y521" s="174"/>
      <c r="Z521" s="174"/>
    </row>
    <row r="522" customFormat="false" ht="15.75" hidden="false" customHeight="false" outlineLevel="0" collapsed="false">
      <c r="A522" s="174"/>
      <c r="B522" s="174"/>
      <c r="C522" s="174"/>
      <c r="D522" s="174"/>
      <c r="E522" s="174"/>
      <c r="F522" s="174"/>
      <c r="G522" s="174"/>
      <c r="H522" s="174"/>
      <c r="I522" s="174"/>
      <c r="J522" s="174"/>
      <c r="K522" s="174"/>
      <c r="L522" s="174"/>
      <c r="M522" s="174"/>
      <c r="N522" s="174"/>
      <c r="O522" s="174"/>
      <c r="P522" s="174"/>
      <c r="Q522" s="174"/>
      <c r="R522" s="174"/>
      <c r="S522" s="174"/>
      <c r="T522" s="174"/>
      <c r="U522" s="174"/>
      <c r="V522" s="174"/>
      <c r="W522" s="174"/>
      <c r="X522" s="174"/>
      <c r="Y522" s="174"/>
      <c r="Z522" s="174"/>
    </row>
    <row r="523" customFormat="false" ht="15.75" hidden="false" customHeight="false" outlineLevel="0" collapsed="false">
      <c r="A523" s="174"/>
      <c r="B523" s="174"/>
      <c r="C523" s="174"/>
      <c r="D523" s="174"/>
      <c r="E523" s="174"/>
      <c r="F523" s="174"/>
      <c r="G523" s="174"/>
      <c r="H523" s="174"/>
      <c r="I523" s="174"/>
      <c r="J523" s="174"/>
      <c r="K523" s="174"/>
      <c r="L523" s="174"/>
      <c r="M523" s="174"/>
      <c r="N523" s="174"/>
      <c r="O523" s="174"/>
      <c r="P523" s="174"/>
      <c r="Q523" s="174"/>
      <c r="R523" s="174"/>
      <c r="S523" s="174"/>
      <c r="T523" s="174"/>
      <c r="U523" s="174"/>
      <c r="V523" s="174"/>
      <c r="W523" s="174"/>
      <c r="X523" s="174"/>
      <c r="Y523" s="174"/>
      <c r="Z523" s="174"/>
    </row>
    <row r="524" customFormat="false" ht="15.75" hidden="false" customHeight="false" outlineLevel="0" collapsed="false">
      <c r="A524" s="174"/>
      <c r="B524" s="174"/>
      <c r="C524" s="174"/>
      <c r="D524" s="174"/>
      <c r="E524" s="174"/>
      <c r="F524" s="174"/>
      <c r="G524" s="174"/>
      <c r="H524" s="174"/>
      <c r="I524" s="174"/>
      <c r="J524" s="174"/>
      <c r="K524" s="174"/>
      <c r="L524" s="174"/>
      <c r="M524" s="174"/>
      <c r="N524" s="174"/>
      <c r="O524" s="174"/>
      <c r="P524" s="174"/>
      <c r="Q524" s="174"/>
      <c r="R524" s="174"/>
      <c r="S524" s="174"/>
      <c r="T524" s="174"/>
      <c r="U524" s="174"/>
      <c r="V524" s="174"/>
      <c r="W524" s="174"/>
      <c r="X524" s="174"/>
      <c r="Y524" s="174"/>
      <c r="Z524" s="174"/>
    </row>
    <row r="525" customFormat="false" ht="15.75" hidden="false" customHeight="false" outlineLevel="0" collapsed="false">
      <c r="A525" s="174"/>
      <c r="B525" s="174"/>
      <c r="C525" s="174"/>
      <c r="D525" s="174"/>
      <c r="E525" s="174"/>
      <c r="F525" s="174"/>
      <c r="G525" s="174"/>
      <c r="H525" s="174"/>
      <c r="I525" s="174"/>
      <c r="J525" s="174"/>
      <c r="K525" s="174"/>
      <c r="L525" s="174"/>
      <c r="M525" s="174"/>
      <c r="N525" s="174"/>
      <c r="O525" s="174"/>
      <c r="P525" s="174"/>
      <c r="Q525" s="174"/>
      <c r="R525" s="174"/>
      <c r="S525" s="174"/>
      <c r="T525" s="174"/>
      <c r="U525" s="174"/>
      <c r="V525" s="174"/>
      <c r="W525" s="174"/>
      <c r="X525" s="174"/>
      <c r="Y525" s="174"/>
      <c r="Z525" s="174"/>
    </row>
    <row r="526" customFormat="false" ht="15.75" hidden="false" customHeight="false" outlineLevel="0" collapsed="false">
      <c r="A526" s="174"/>
      <c r="B526" s="174"/>
      <c r="C526" s="174"/>
      <c r="D526" s="174"/>
      <c r="E526" s="174"/>
      <c r="F526" s="174"/>
      <c r="G526" s="174"/>
      <c r="H526" s="174"/>
      <c r="I526" s="174"/>
      <c r="J526" s="174"/>
      <c r="K526" s="174"/>
      <c r="L526" s="174"/>
      <c r="M526" s="174"/>
      <c r="N526" s="174"/>
      <c r="O526" s="174"/>
      <c r="P526" s="174"/>
      <c r="Q526" s="174"/>
      <c r="R526" s="174"/>
      <c r="S526" s="174"/>
      <c r="T526" s="174"/>
      <c r="U526" s="174"/>
      <c r="V526" s="174"/>
      <c r="W526" s="174"/>
      <c r="X526" s="174"/>
      <c r="Y526" s="174"/>
      <c r="Z526" s="174"/>
    </row>
    <row r="527" customFormat="false" ht="15.75" hidden="false" customHeight="false" outlineLevel="0" collapsed="false">
      <c r="A527" s="174"/>
      <c r="B527" s="174"/>
      <c r="C527" s="174"/>
      <c r="D527" s="174"/>
      <c r="E527" s="174"/>
      <c r="F527" s="174"/>
      <c r="G527" s="174"/>
      <c r="H527" s="174"/>
      <c r="I527" s="174"/>
      <c r="J527" s="174"/>
      <c r="K527" s="174"/>
      <c r="L527" s="174"/>
      <c r="M527" s="174"/>
      <c r="N527" s="174"/>
      <c r="O527" s="174"/>
      <c r="P527" s="174"/>
      <c r="Q527" s="174"/>
      <c r="R527" s="174"/>
      <c r="S527" s="174"/>
      <c r="T527" s="174"/>
      <c r="U527" s="174"/>
      <c r="V527" s="174"/>
      <c r="W527" s="174"/>
      <c r="X527" s="174"/>
      <c r="Y527" s="174"/>
      <c r="Z527" s="174"/>
    </row>
    <row r="528" customFormat="false" ht="15.75" hidden="false" customHeight="false" outlineLevel="0" collapsed="false">
      <c r="A528" s="174"/>
      <c r="B528" s="174"/>
      <c r="C528" s="174"/>
      <c r="D528" s="174"/>
      <c r="E528" s="174"/>
      <c r="F528" s="174"/>
      <c r="G528" s="174"/>
      <c r="H528" s="174"/>
      <c r="I528" s="174"/>
      <c r="J528" s="174"/>
      <c r="K528" s="174"/>
      <c r="L528" s="174"/>
      <c r="M528" s="174"/>
      <c r="N528" s="174"/>
      <c r="O528" s="174"/>
      <c r="P528" s="174"/>
      <c r="Q528" s="174"/>
      <c r="R528" s="174"/>
      <c r="S528" s="174"/>
      <c r="T528" s="174"/>
      <c r="U528" s="174"/>
      <c r="V528" s="174"/>
      <c r="W528" s="174"/>
      <c r="X528" s="174"/>
      <c r="Y528" s="174"/>
      <c r="Z528" s="174"/>
    </row>
    <row r="529" customFormat="false" ht="15.75" hidden="false" customHeight="false" outlineLevel="0" collapsed="false">
      <c r="A529" s="174"/>
      <c r="B529" s="174"/>
      <c r="C529" s="174"/>
      <c r="D529" s="174"/>
      <c r="E529" s="174"/>
      <c r="F529" s="174"/>
      <c r="G529" s="174"/>
      <c r="H529" s="174"/>
      <c r="I529" s="174"/>
      <c r="J529" s="174"/>
      <c r="K529" s="174"/>
      <c r="L529" s="174"/>
      <c r="M529" s="174"/>
      <c r="N529" s="174"/>
      <c r="O529" s="174"/>
      <c r="P529" s="174"/>
      <c r="Q529" s="174"/>
      <c r="R529" s="174"/>
      <c r="S529" s="174"/>
      <c r="T529" s="174"/>
      <c r="U529" s="174"/>
      <c r="V529" s="174"/>
      <c r="W529" s="174"/>
      <c r="X529" s="174"/>
      <c r="Y529" s="174"/>
      <c r="Z529" s="174"/>
    </row>
    <row r="530" customFormat="false" ht="15.75" hidden="false" customHeight="false" outlineLevel="0" collapsed="false">
      <c r="A530" s="174"/>
      <c r="B530" s="174"/>
      <c r="C530" s="174"/>
      <c r="D530" s="174"/>
      <c r="E530" s="174"/>
      <c r="F530" s="174"/>
      <c r="G530" s="174"/>
      <c r="H530" s="174"/>
      <c r="I530" s="174"/>
      <c r="J530" s="174"/>
      <c r="K530" s="174"/>
      <c r="L530" s="174"/>
      <c r="M530" s="174"/>
      <c r="N530" s="174"/>
      <c r="O530" s="174"/>
      <c r="P530" s="174"/>
      <c r="Q530" s="174"/>
      <c r="R530" s="174"/>
      <c r="S530" s="174"/>
      <c r="T530" s="174"/>
      <c r="U530" s="174"/>
      <c r="V530" s="174"/>
      <c r="W530" s="174"/>
      <c r="X530" s="174"/>
      <c r="Y530" s="174"/>
      <c r="Z530" s="174"/>
    </row>
    <row r="531" customFormat="false" ht="15.75" hidden="false" customHeight="false" outlineLevel="0" collapsed="false">
      <c r="A531" s="174"/>
      <c r="B531" s="174"/>
      <c r="C531" s="174"/>
      <c r="D531" s="174"/>
      <c r="E531" s="174"/>
      <c r="F531" s="174"/>
      <c r="G531" s="174"/>
      <c r="H531" s="174"/>
      <c r="I531" s="174"/>
      <c r="J531" s="174"/>
      <c r="K531" s="174"/>
      <c r="L531" s="174"/>
      <c r="M531" s="174"/>
      <c r="N531" s="174"/>
      <c r="O531" s="174"/>
      <c r="P531" s="174"/>
      <c r="Q531" s="174"/>
      <c r="R531" s="174"/>
      <c r="S531" s="174"/>
      <c r="T531" s="174"/>
      <c r="U531" s="174"/>
      <c r="V531" s="174"/>
      <c r="W531" s="174"/>
      <c r="X531" s="174"/>
      <c r="Y531" s="174"/>
      <c r="Z531" s="174"/>
    </row>
    <row r="532" customFormat="false" ht="15.75" hidden="false" customHeight="false" outlineLevel="0" collapsed="false">
      <c r="A532" s="174"/>
      <c r="B532" s="174"/>
      <c r="C532" s="174"/>
      <c r="D532" s="174"/>
      <c r="E532" s="174"/>
      <c r="F532" s="174"/>
      <c r="G532" s="174"/>
      <c r="H532" s="174"/>
      <c r="I532" s="174"/>
      <c r="J532" s="174"/>
      <c r="K532" s="174"/>
      <c r="L532" s="174"/>
      <c r="M532" s="174"/>
      <c r="N532" s="174"/>
      <c r="O532" s="174"/>
      <c r="P532" s="174"/>
      <c r="Q532" s="174"/>
      <c r="R532" s="174"/>
      <c r="S532" s="174"/>
      <c r="T532" s="174"/>
      <c r="U532" s="174"/>
      <c r="V532" s="174"/>
      <c r="W532" s="174"/>
      <c r="X532" s="174"/>
      <c r="Y532" s="174"/>
      <c r="Z532" s="174"/>
    </row>
    <row r="533" customFormat="false" ht="15.75" hidden="false" customHeight="false" outlineLevel="0" collapsed="false">
      <c r="A533" s="174"/>
      <c r="B533" s="174"/>
      <c r="C533" s="174"/>
      <c r="D533" s="174"/>
      <c r="E533" s="174"/>
      <c r="F533" s="174"/>
      <c r="G533" s="174"/>
      <c r="H533" s="174"/>
      <c r="I533" s="174"/>
      <c r="J533" s="174"/>
      <c r="K533" s="174"/>
      <c r="L533" s="174"/>
      <c r="M533" s="174"/>
      <c r="N533" s="174"/>
      <c r="O533" s="174"/>
      <c r="P533" s="174"/>
      <c r="Q533" s="174"/>
      <c r="R533" s="174"/>
      <c r="S533" s="174"/>
      <c r="T533" s="174"/>
      <c r="U533" s="174"/>
      <c r="V533" s="174"/>
      <c r="W533" s="174"/>
      <c r="X533" s="174"/>
      <c r="Y533" s="174"/>
      <c r="Z533" s="174"/>
    </row>
    <row r="534" customFormat="false" ht="15.75" hidden="false" customHeight="false" outlineLevel="0" collapsed="false">
      <c r="A534" s="174"/>
      <c r="B534" s="174"/>
      <c r="C534" s="174"/>
      <c r="D534" s="174"/>
      <c r="E534" s="174"/>
      <c r="F534" s="174"/>
      <c r="G534" s="174"/>
      <c r="H534" s="174"/>
      <c r="I534" s="174"/>
      <c r="J534" s="174"/>
      <c r="K534" s="174"/>
      <c r="L534" s="174"/>
      <c r="M534" s="174"/>
      <c r="N534" s="174"/>
      <c r="O534" s="174"/>
      <c r="P534" s="174"/>
      <c r="Q534" s="174"/>
      <c r="R534" s="174"/>
      <c r="S534" s="174"/>
      <c r="T534" s="174"/>
      <c r="U534" s="174"/>
      <c r="V534" s="174"/>
      <c r="W534" s="174"/>
      <c r="X534" s="174"/>
      <c r="Y534" s="174"/>
      <c r="Z534" s="174"/>
    </row>
    <row r="535" customFormat="false" ht="15.75" hidden="false" customHeight="false" outlineLevel="0" collapsed="false">
      <c r="A535" s="174"/>
      <c r="B535" s="174"/>
      <c r="C535" s="174"/>
      <c r="D535" s="174"/>
      <c r="E535" s="174"/>
      <c r="F535" s="174"/>
      <c r="G535" s="174"/>
      <c r="H535" s="174"/>
      <c r="I535" s="174"/>
      <c r="J535" s="174"/>
      <c r="K535" s="174"/>
      <c r="L535" s="174"/>
      <c r="M535" s="174"/>
      <c r="N535" s="174"/>
      <c r="O535" s="174"/>
      <c r="P535" s="174"/>
      <c r="Q535" s="174"/>
      <c r="R535" s="174"/>
      <c r="S535" s="174"/>
      <c r="T535" s="174"/>
      <c r="U535" s="174"/>
      <c r="V535" s="174"/>
      <c r="W535" s="174"/>
      <c r="X535" s="174"/>
      <c r="Y535" s="174"/>
      <c r="Z535" s="174"/>
    </row>
    <row r="536" customFormat="false" ht="15.75" hidden="false" customHeight="false" outlineLevel="0" collapsed="false">
      <c r="A536" s="174"/>
      <c r="B536" s="174"/>
      <c r="C536" s="174"/>
      <c r="D536" s="174"/>
      <c r="E536" s="174"/>
      <c r="F536" s="174"/>
      <c r="G536" s="174"/>
      <c r="H536" s="174"/>
      <c r="I536" s="174"/>
      <c r="J536" s="174"/>
      <c r="K536" s="174"/>
      <c r="L536" s="174"/>
      <c r="M536" s="174"/>
      <c r="N536" s="174"/>
      <c r="O536" s="174"/>
      <c r="P536" s="174"/>
      <c r="Q536" s="174"/>
      <c r="R536" s="174"/>
      <c r="S536" s="174"/>
      <c r="T536" s="174"/>
      <c r="U536" s="174"/>
      <c r="V536" s="174"/>
      <c r="W536" s="174"/>
      <c r="X536" s="174"/>
      <c r="Y536" s="174"/>
      <c r="Z536" s="174"/>
    </row>
    <row r="537" customFormat="false" ht="15.75" hidden="false" customHeight="false" outlineLevel="0" collapsed="false">
      <c r="A537" s="174"/>
      <c r="B537" s="174"/>
      <c r="C537" s="174"/>
      <c r="D537" s="174"/>
      <c r="E537" s="174"/>
      <c r="F537" s="174"/>
      <c r="G537" s="174"/>
      <c r="H537" s="174"/>
      <c r="I537" s="174"/>
      <c r="J537" s="174"/>
      <c r="K537" s="174"/>
      <c r="L537" s="174"/>
      <c r="M537" s="174"/>
      <c r="N537" s="174"/>
      <c r="O537" s="174"/>
      <c r="P537" s="174"/>
      <c r="Q537" s="174"/>
      <c r="R537" s="174"/>
      <c r="S537" s="174"/>
      <c r="T537" s="174"/>
      <c r="U537" s="174"/>
      <c r="V537" s="174"/>
      <c r="W537" s="174"/>
      <c r="X537" s="174"/>
      <c r="Y537" s="174"/>
      <c r="Z537" s="174"/>
    </row>
    <row r="538" customFormat="false" ht="15.75" hidden="false" customHeight="false" outlineLevel="0" collapsed="false">
      <c r="A538" s="174"/>
      <c r="B538" s="174"/>
      <c r="C538" s="174"/>
      <c r="D538" s="174"/>
      <c r="E538" s="174"/>
      <c r="F538" s="174"/>
      <c r="G538" s="174"/>
      <c r="H538" s="174"/>
      <c r="I538" s="174"/>
      <c r="J538" s="174"/>
      <c r="K538" s="174"/>
      <c r="L538" s="174"/>
      <c r="M538" s="174"/>
      <c r="N538" s="174"/>
      <c r="O538" s="174"/>
      <c r="P538" s="174"/>
      <c r="Q538" s="174"/>
      <c r="R538" s="174"/>
      <c r="S538" s="174"/>
      <c r="T538" s="174"/>
      <c r="U538" s="174"/>
      <c r="V538" s="174"/>
      <c r="W538" s="174"/>
      <c r="X538" s="174"/>
      <c r="Y538" s="174"/>
      <c r="Z538" s="174"/>
    </row>
    <row r="539" customFormat="false" ht="15.75" hidden="false" customHeight="false" outlineLevel="0" collapsed="false">
      <c r="A539" s="174"/>
      <c r="B539" s="174"/>
      <c r="C539" s="174"/>
      <c r="D539" s="174"/>
      <c r="E539" s="174"/>
      <c r="F539" s="174"/>
      <c r="G539" s="174"/>
      <c r="H539" s="174"/>
      <c r="I539" s="174"/>
      <c r="J539" s="174"/>
      <c r="K539" s="174"/>
      <c r="L539" s="174"/>
      <c r="M539" s="174"/>
      <c r="N539" s="174"/>
      <c r="O539" s="174"/>
      <c r="P539" s="174"/>
      <c r="Q539" s="174"/>
      <c r="R539" s="174"/>
      <c r="S539" s="174"/>
      <c r="T539" s="174"/>
      <c r="U539" s="174"/>
      <c r="V539" s="174"/>
      <c r="W539" s="174"/>
      <c r="X539" s="174"/>
      <c r="Y539" s="174"/>
      <c r="Z539" s="174"/>
    </row>
    <row r="540" customFormat="false" ht="15.75" hidden="false" customHeight="false" outlineLevel="0" collapsed="false">
      <c r="A540" s="174"/>
      <c r="B540" s="174"/>
      <c r="C540" s="174"/>
      <c r="D540" s="174"/>
      <c r="E540" s="174"/>
      <c r="F540" s="174"/>
      <c r="G540" s="174"/>
      <c r="H540" s="174"/>
      <c r="I540" s="174"/>
      <c r="J540" s="174"/>
      <c r="K540" s="174"/>
      <c r="L540" s="174"/>
      <c r="M540" s="174"/>
      <c r="N540" s="174"/>
      <c r="O540" s="174"/>
      <c r="P540" s="174"/>
      <c r="Q540" s="174"/>
      <c r="R540" s="174"/>
      <c r="S540" s="174"/>
      <c r="T540" s="174"/>
      <c r="U540" s="174"/>
      <c r="V540" s="174"/>
      <c r="W540" s="174"/>
      <c r="X540" s="174"/>
      <c r="Y540" s="174"/>
      <c r="Z540" s="174"/>
    </row>
    <row r="541" customFormat="false" ht="15.75" hidden="false" customHeight="false" outlineLevel="0" collapsed="false">
      <c r="A541" s="174"/>
      <c r="B541" s="174"/>
      <c r="C541" s="174"/>
      <c r="D541" s="174"/>
      <c r="E541" s="174"/>
      <c r="F541" s="174"/>
      <c r="G541" s="174"/>
      <c r="H541" s="174"/>
      <c r="I541" s="174"/>
      <c r="J541" s="174"/>
      <c r="K541" s="174"/>
      <c r="L541" s="174"/>
      <c r="M541" s="174"/>
      <c r="N541" s="174"/>
      <c r="O541" s="174"/>
      <c r="P541" s="174"/>
      <c r="Q541" s="174"/>
      <c r="R541" s="174"/>
      <c r="S541" s="174"/>
      <c r="T541" s="174"/>
      <c r="U541" s="174"/>
      <c r="V541" s="174"/>
      <c r="W541" s="174"/>
      <c r="X541" s="174"/>
      <c r="Y541" s="174"/>
      <c r="Z541" s="174"/>
    </row>
    <row r="542" customFormat="false" ht="15.75" hidden="false" customHeight="false" outlineLevel="0" collapsed="false">
      <c r="A542" s="174"/>
      <c r="B542" s="174"/>
      <c r="C542" s="174"/>
      <c r="D542" s="174"/>
      <c r="E542" s="174"/>
      <c r="F542" s="174"/>
      <c r="G542" s="174"/>
      <c r="H542" s="174"/>
      <c r="I542" s="174"/>
      <c r="J542" s="174"/>
      <c r="K542" s="174"/>
      <c r="L542" s="174"/>
      <c r="M542" s="174"/>
      <c r="N542" s="174"/>
      <c r="O542" s="174"/>
      <c r="P542" s="174"/>
      <c r="Q542" s="174"/>
      <c r="R542" s="174"/>
      <c r="S542" s="174"/>
      <c r="T542" s="174"/>
      <c r="U542" s="174"/>
      <c r="V542" s="174"/>
      <c r="W542" s="174"/>
      <c r="X542" s="174"/>
      <c r="Y542" s="174"/>
      <c r="Z542" s="174"/>
    </row>
    <row r="543" customFormat="false" ht="15.75" hidden="false" customHeight="false" outlineLevel="0" collapsed="false">
      <c r="A543" s="174"/>
      <c r="B543" s="174"/>
      <c r="C543" s="174"/>
      <c r="D543" s="174"/>
      <c r="E543" s="174"/>
      <c r="F543" s="174"/>
      <c r="G543" s="174"/>
      <c r="H543" s="174"/>
      <c r="I543" s="174"/>
      <c r="J543" s="174"/>
      <c r="K543" s="174"/>
      <c r="L543" s="174"/>
      <c r="M543" s="174"/>
      <c r="N543" s="174"/>
      <c r="O543" s="174"/>
      <c r="P543" s="174"/>
      <c r="Q543" s="174"/>
      <c r="R543" s="174"/>
      <c r="S543" s="174"/>
      <c r="T543" s="174"/>
      <c r="U543" s="174"/>
      <c r="V543" s="174"/>
      <c r="W543" s="174"/>
      <c r="X543" s="174"/>
      <c r="Y543" s="174"/>
      <c r="Z543" s="174"/>
    </row>
    <row r="544" customFormat="false" ht="15.75" hidden="false" customHeight="false" outlineLevel="0" collapsed="false">
      <c r="A544" s="174"/>
      <c r="B544" s="174"/>
      <c r="C544" s="174"/>
      <c r="D544" s="174"/>
      <c r="E544" s="174"/>
      <c r="F544" s="174"/>
      <c r="G544" s="174"/>
      <c r="H544" s="174"/>
      <c r="I544" s="174"/>
      <c r="J544" s="174"/>
      <c r="K544" s="174"/>
      <c r="L544" s="174"/>
      <c r="M544" s="174"/>
      <c r="N544" s="174"/>
      <c r="O544" s="174"/>
      <c r="P544" s="174"/>
      <c r="Q544" s="174"/>
      <c r="R544" s="174"/>
      <c r="S544" s="174"/>
      <c r="T544" s="174"/>
      <c r="U544" s="174"/>
      <c r="V544" s="174"/>
      <c r="W544" s="174"/>
      <c r="X544" s="174"/>
      <c r="Y544" s="174"/>
      <c r="Z544" s="174"/>
    </row>
    <row r="545" customFormat="false" ht="15.75" hidden="false" customHeight="false" outlineLevel="0" collapsed="false">
      <c r="A545" s="174"/>
      <c r="B545" s="174"/>
      <c r="C545" s="174"/>
      <c r="D545" s="174"/>
      <c r="E545" s="174"/>
      <c r="F545" s="174"/>
      <c r="G545" s="174"/>
      <c r="H545" s="174"/>
      <c r="I545" s="174"/>
      <c r="J545" s="174"/>
      <c r="K545" s="174"/>
      <c r="L545" s="174"/>
      <c r="M545" s="174"/>
      <c r="N545" s="174"/>
      <c r="O545" s="174"/>
      <c r="P545" s="174"/>
      <c r="Q545" s="174"/>
      <c r="R545" s="174"/>
      <c r="S545" s="174"/>
      <c r="T545" s="174"/>
      <c r="U545" s="174"/>
      <c r="V545" s="174"/>
      <c r="W545" s="174"/>
      <c r="X545" s="174"/>
      <c r="Y545" s="174"/>
      <c r="Z545" s="174"/>
    </row>
    <row r="546" customFormat="false" ht="15.75" hidden="false" customHeight="false" outlineLevel="0" collapsed="false">
      <c r="A546" s="174"/>
      <c r="B546" s="174"/>
      <c r="C546" s="174"/>
      <c r="D546" s="174"/>
      <c r="E546" s="174"/>
      <c r="F546" s="174"/>
      <c r="G546" s="174"/>
      <c r="H546" s="174"/>
      <c r="I546" s="174"/>
      <c r="J546" s="174"/>
      <c r="K546" s="174"/>
      <c r="L546" s="174"/>
      <c r="M546" s="174"/>
      <c r="N546" s="174"/>
      <c r="O546" s="174"/>
      <c r="P546" s="174"/>
      <c r="Q546" s="174"/>
      <c r="R546" s="174"/>
      <c r="S546" s="174"/>
      <c r="T546" s="174"/>
      <c r="U546" s="174"/>
      <c r="V546" s="174"/>
      <c r="W546" s="174"/>
      <c r="X546" s="174"/>
      <c r="Y546" s="174"/>
      <c r="Z546" s="174"/>
    </row>
    <row r="547" customFormat="false" ht="15.75" hidden="false" customHeight="false" outlineLevel="0" collapsed="false">
      <c r="A547" s="174"/>
      <c r="B547" s="174"/>
      <c r="C547" s="174"/>
      <c r="D547" s="174"/>
      <c r="E547" s="174"/>
      <c r="F547" s="174"/>
      <c r="G547" s="174"/>
      <c r="H547" s="174"/>
      <c r="I547" s="174"/>
      <c r="J547" s="174"/>
      <c r="K547" s="174"/>
      <c r="L547" s="174"/>
      <c r="M547" s="174"/>
      <c r="N547" s="174"/>
      <c r="O547" s="174"/>
      <c r="P547" s="174"/>
      <c r="Q547" s="174"/>
      <c r="R547" s="174"/>
      <c r="S547" s="174"/>
      <c r="T547" s="174"/>
      <c r="U547" s="174"/>
      <c r="V547" s="174"/>
      <c r="W547" s="174"/>
      <c r="X547" s="174"/>
      <c r="Y547" s="174"/>
      <c r="Z547" s="174"/>
    </row>
    <row r="548" customFormat="false" ht="15.75" hidden="false" customHeight="false" outlineLevel="0" collapsed="false">
      <c r="A548" s="174"/>
      <c r="B548" s="174"/>
      <c r="C548" s="174"/>
      <c r="D548" s="174"/>
      <c r="E548" s="174"/>
      <c r="F548" s="174"/>
      <c r="G548" s="174"/>
      <c r="H548" s="174"/>
      <c r="I548" s="174"/>
      <c r="J548" s="174"/>
      <c r="K548" s="174"/>
      <c r="L548" s="174"/>
      <c r="M548" s="174"/>
      <c r="N548" s="174"/>
      <c r="O548" s="174"/>
      <c r="P548" s="174"/>
      <c r="Q548" s="174"/>
      <c r="R548" s="174"/>
      <c r="S548" s="174"/>
      <c r="T548" s="174"/>
      <c r="U548" s="174"/>
      <c r="V548" s="174"/>
      <c r="W548" s="174"/>
      <c r="X548" s="174"/>
      <c r="Y548" s="174"/>
      <c r="Z548" s="174"/>
    </row>
    <row r="549" customFormat="false" ht="15.75" hidden="false" customHeight="false" outlineLevel="0" collapsed="false">
      <c r="A549" s="174"/>
      <c r="B549" s="174"/>
      <c r="C549" s="174"/>
      <c r="D549" s="174"/>
      <c r="E549" s="174"/>
      <c r="F549" s="174"/>
      <c r="G549" s="174"/>
      <c r="H549" s="174"/>
      <c r="I549" s="174"/>
      <c r="J549" s="174"/>
      <c r="K549" s="174"/>
      <c r="L549" s="174"/>
      <c r="M549" s="174"/>
      <c r="N549" s="174"/>
      <c r="O549" s="174"/>
      <c r="P549" s="174"/>
      <c r="Q549" s="174"/>
      <c r="R549" s="174"/>
      <c r="S549" s="174"/>
      <c r="T549" s="174"/>
      <c r="U549" s="174"/>
      <c r="V549" s="174"/>
      <c r="W549" s="174"/>
      <c r="X549" s="174"/>
      <c r="Y549" s="174"/>
      <c r="Z549" s="174"/>
    </row>
    <row r="550" customFormat="false" ht="15.75" hidden="false" customHeight="false" outlineLevel="0" collapsed="false">
      <c r="A550" s="174"/>
      <c r="B550" s="174"/>
      <c r="C550" s="174"/>
      <c r="D550" s="174"/>
      <c r="E550" s="174"/>
      <c r="F550" s="174"/>
      <c r="G550" s="174"/>
      <c r="H550" s="174"/>
      <c r="I550" s="174"/>
      <c r="J550" s="174"/>
      <c r="K550" s="174"/>
      <c r="L550" s="174"/>
      <c r="M550" s="174"/>
      <c r="N550" s="174"/>
      <c r="O550" s="174"/>
      <c r="P550" s="174"/>
      <c r="Q550" s="174"/>
      <c r="R550" s="174"/>
      <c r="S550" s="174"/>
      <c r="T550" s="174"/>
      <c r="U550" s="174"/>
      <c r="V550" s="174"/>
      <c r="W550" s="174"/>
      <c r="X550" s="174"/>
      <c r="Y550" s="174"/>
      <c r="Z550" s="174"/>
    </row>
    <row r="551" customFormat="false" ht="15.75" hidden="false" customHeight="false" outlineLevel="0" collapsed="false">
      <c r="A551" s="174"/>
      <c r="B551" s="174"/>
      <c r="C551" s="174"/>
      <c r="D551" s="174"/>
      <c r="E551" s="174"/>
      <c r="F551" s="174"/>
      <c r="G551" s="174"/>
      <c r="H551" s="174"/>
      <c r="I551" s="174"/>
      <c r="J551" s="174"/>
      <c r="K551" s="174"/>
      <c r="L551" s="174"/>
      <c r="M551" s="174"/>
      <c r="N551" s="174"/>
      <c r="O551" s="174"/>
      <c r="P551" s="174"/>
      <c r="Q551" s="174"/>
      <c r="R551" s="174"/>
      <c r="S551" s="174"/>
      <c r="T551" s="174"/>
      <c r="U551" s="174"/>
      <c r="V551" s="174"/>
      <c r="W551" s="174"/>
      <c r="X551" s="174"/>
      <c r="Y551" s="174"/>
      <c r="Z551" s="174"/>
    </row>
    <row r="552" customFormat="false" ht="15.75" hidden="false" customHeight="false" outlineLevel="0" collapsed="false">
      <c r="A552" s="174"/>
      <c r="B552" s="174"/>
      <c r="C552" s="174"/>
      <c r="D552" s="174"/>
      <c r="E552" s="174"/>
      <c r="F552" s="174"/>
      <c r="G552" s="174"/>
      <c r="H552" s="174"/>
      <c r="I552" s="174"/>
      <c r="J552" s="174"/>
      <c r="K552" s="174"/>
      <c r="L552" s="174"/>
      <c r="M552" s="174"/>
      <c r="N552" s="174"/>
      <c r="O552" s="174"/>
      <c r="P552" s="174"/>
      <c r="Q552" s="174"/>
      <c r="R552" s="174"/>
      <c r="S552" s="174"/>
      <c r="T552" s="174"/>
      <c r="U552" s="174"/>
      <c r="V552" s="174"/>
      <c r="W552" s="174"/>
      <c r="X552" s="174"/>
      <c r="Y552" s="174"/>
      <c r="Z552" s="174"/>
    </row>
    <row r="553" customFormat="false" ht="15.75" hidden="false" customHeight="false" outlineLevel="0" collapsed="false">
      <c r="A553" s="174"/>
      <c r="B553" s="174"/>
      <c r="C553" s="174"/>
      <c r="D553" s="174"/>
      <c r="E553" s="174"/>
      <c r="F553" s="174"/>
      <c r="G553" s="174"/>
      <c r="H553" s="174"/>
      <c r="I553" s="174"/>
      <c r="J553" s="174"/>
      <c r="K553" s="174"/>
      <c r="L553" s="174"/>
      <c r="M553" s="174"/>
      <c r="N553" s="174"/>
      <c r="O553" s="174"/>
      <c r="P553" s="174"/>
      <c r="Q553" s="174"/>
      <c r="R553" s="174"/>
      <c r="S553" s="174"/>
      <c r="T553" s="174"/>
      <c r="U553" s="174"/>
      <c r="V553" s="174"/>
      <c r="W553" s="174"/>
      <c r="X553" s="174"/>
      <c r="Y553" s="174"/>
      <c r="Z553" s="174"/>
    </row>
    <row r="554" customFormat="false" ht="15.75" hidden="false" customHeight="false" outlineLevel="0" collapsed="false">
      <c r="A554" s="174"/>
      <c r="B554" s="174"/>
      <c r="C554" s="174"/>
      <c r="D554" s="174"/>
      <c r="E554" s="174"/>
      <c r="F554" s="174"/>
      <c r="G554" s="174"/>
      <c r="H554" s="174"/>
      <c r="I554" s="174"/>
      <c r="J554" s="174"/>
      <c r="K554" s="174"/>
      <c r="L554" s="174"/>
      <c r="M554" s="174"/>
      <c r="N554" s="174"/>
      <c r="O554" s="174"/>
      <c r="P554" s="174"/>
      <c r="Q554" s="174"/>
      <c r="R554" s="174"/>
      <c r="S554" s="174"/>
      <c r="T554" s="174"/>
      <c r="U554" s="174"/>
      <c r="V554" s="174"/>
      <c r="W554" s="174"/>
      <c r="X554" s="174"/>
      <c r="Y554" s="174"/>
      <c r="Z554" s="174"/>
    </row>
    <row r="555" customFormat="false" ht="15.75" hidden="false" customHeight="false" outlineLevel="0" collapsed="false">
      <c r="A555" s="174"/>
      <c r="B555" s="174"/>
      <c r="C555" s="174"/>
      <c r="D555" s="174"/>
      <c r="E555" s="174"/>
      <c r="F555" s="174"/>
      <c r="G555" s="174"/>
      <c r="H555" s="174"/>
      <c r="I555" s="174"/>
      <c r="J555" s="174"/>
      <c r="K555" s="174"/>
      <c r="L555" s="174"/>
      <c r="M555" s="174"/>
      <c r="N555" s="174"/>
      <c r="O555" s="174"/>
      <c r="P555" s="174"/>
      <c r="Q555" s="174"/>
      <c r="R555" s="174"/>
      <c r="S555" s="174"/>
      <c r="T555" s="174"/>
      <c r="U555" s="174"/>
      <c r="V555" s="174"/>
      <c r="W555" s="174"/>
      <c r="X555" s="174"/>
      <c r="Y555" s="174"/>
      <c r="Z555" s="174"/>
    </row>
    <row r="556" customFormat="false" ht="15.75" hidden="false" customHeight="false" outlineLevel="0" collapsed="false">
      <c r="A556" s="174"/>
      <c r="B556" s="174"/>
      <c r="C556" s="174"/>
      <c r="D556" s="174"/>
      <c r="E556" s="174"/>
      <c r="F556" s="174"/>
      <c r="G556" s="174"/>
      <c r="H556" s="174"/>
      <c r="I556" s="174"/>
      <c r="J556" s="174"/>
      <c r="K556" s="174"/>
      <c r="L556" s="174"/>
      <c r="M556" s="174"/>
      <c r="N556" s="174"/>
      <c r="O556" s="174"/>
      <c r="P556" s="174"/>
      <c r="Q556" s="174"/>
      <c r="R556" s="174"/>
      <c r="S556" s="174"/>
      <c r="T556" s="174"/>
      <c r="U556" s="174"/>
      <c r="V556" s="174"/>
      <c r="W556" s="174"/>
      <c r="X556" s="174"/>
      <c r="Y556" s="174"/>
      <c r="Z556" s="174"/>
    </row>
    <row r="557" customFormat="false" ht="15.75" hidden="false" customHeight="false" outlineLevel="0" collapsed="false">
      <c r="A557" s="174"/>
      <c r="B557" s="174"/>
      <c r="C557" s="174"/>
      <c r="D557" s="174"/>
      <c r="E557" s="174"/>
      <c r="F557" s="174"/>
      <c r="G557" s="174"/>
      <c r="H557" s="174"/>
      <c r="I557" s="174"/>
      <c r="J557" s="174"/>
      <c r="K557" s="174"/>
      <c r="L557" s="174"/>
      <c r="M557" s="174"/>
      <c r="N557" s="174"/>
      <c r="O557" s="174"/>
      <c r="P557" s="174"/>
      <c r="Q557" s="174"/>
      <c r="R557" s="174"/>
      <c r="S557" s="174"/>
      <c r="T557" s="174"/>
      <c r="U557" s="174"/>
      <c r="V557" s="174"/>
      <c r="W557" s="174"/>
      <c r="X557" s="174"/>
      <c r="Y557" s="174"/>
      <c r="Z557" s="174"/>
    </row>
    <row r="558" customFormat="false" ht="15.75" hidden="false" customHeight="false" outlineLevel="0" collapsed="false">
      <c r="A558" s="174"/>
      <c r="B558" s="174"/>
      <c r="C558" s="174"/>
      <c r="D558" s="174"/>
      <c r="E558" s="174"/>
      <c r="F558" s="174"/>
      <c r="G558" s="174"/>
      <c r="H558" s="174"/>
      <c r="I558" s="174"/>
      <c r="J558" s="174"/>
      <c r="K558" s="174"/>
      <c r="L558" s="174"/>
      <c r="M558" s="174"/>
      <c r="N558" s="174"/>
      <c r="O558" s="174"/>
      <c r="P558" s="174"/>
      <c r="Q558" s="174"/>
      <c r="R558" s="174"/>
      <c r="S558" s="174"/>
      <c r="T558" s="174"/>
      <c r="U558" s="174"/>
      <c r="V558" s="174"/>
      <c r="W558" s="174"/>
      <c r="X558" s="174"/>
      <c r="Y558" s="174"/>
      <c r="Z558" s="174"/>
    </row>
    <row r="559" customFormat="false" ht="15.75" hidden="false" customHeight="false" outlineLevel="0" collapsed="false">
      <c r="A559" s="174"/>
      <c r="B559" s="174"/>
      <c r="C559" s="174"/>
      <c r="D559" s="174"/>
      <c r="E559" s="174"/>
      <c r="F559" s="174"/>
      <c r="G559" s="174"/>
      <c r="H559" s="174"/>
      <c r="I559" s="174"/>
      <c r="J559" s="174"/>
      <c r="K559" s="174"/>
      <c r="L559" s="174"/>
      <c r="M559" s="174"/>
      <c r="N559" s="174"/>
      <c r="O559" s="174"/>
      <c r="P559" s="174"/>
      <c r="Q559" s="174"/>
      <c r="R559" s="174"/>
      <c r="S559" s="174"/>
      <c r="T559" s="174"/>
      <c r="U559" s="174"/>
      <c r="V559" s="174"/>
      <c r="W559" s="174"/>
      <c r="X559" s="174"/>
      <c r="Y559" s="174"/>
      <c r="Z559" s="174"/>
    </row>
    <row r="560" customFormat="false" ht="15.75" hidden="false" customHeight="false" outlineLevel="0" collapsed="false">
      <c r="A560" s="174"/>
      <c r="B560" s="174"/>
      <c r="C560" s="174"/>
      <c r="D560" s="174"/>
      <c r="E560" s="174"/>
      <c r="F560" s="174"/>
      <c r="G560" s="174"/>
      <c r="H560" s="174"/>
      <c r="I560" s="174"/>
      <c r="J560" s="174"/>
      <c r="K560" s="174"/>
      <c r="L560" s="174"/>
      <c r="M560" s="174"/>
      <c r="N560" s="174"/>
      <c r="O560" s="174"/>
      <c r="P560" s="174"/>
      <c r="Q560" s="174"/>
      <c r="R560" s="174"/>
      <c r="S560" s="174"/>
      <c r="T560" s="174"/>
      <c r="U560" s="174"/>
      <c r="V560" s="174"/>
      <c r="W560" s="174"/>
      <c r="X560" s="174"/>
      <c r="Y560" s="174"/>
      <c r="Z560" s="174"/>
    </row>
    <row r="561" customFormat="false" ht="15.75" hidden="false" customHeight="false" outlineLevel="0" collapsed="false">
      <c r="A561" s="174"/>
      <c r="B561" s="174"/>
      <c r="C561" s="174"/>
      <c r="D561" s="174"/>
      <c r="E561" s="174"/>
      <c r="F561" s="174"/>
      <c r="G561" s="174"/>
      <c r="H561" s="174"/>
      <c r="I561" s="174"/>
      <c r="J561" s="174"/>
      <c r="K561" s="174"/>
      <c r="L561" s="174"/>
      <c r="M561" s="174"/>
      <c r="N561" s="174"/>
      <c r="O561" s="174"/>
      <c r="P561" s="174"/>
      <c r="Q561" s="174"/>
      <c r="R561" s="174"/>
      <c r="S561" s="174"/>
      <c r="T561" s="174"/>
      <c r="U561" s="174"/>
      <c r="V561" s="174"/>
      <c r="W561" s="174"/>
      <c r="X561" s="174"/>
      <c r="Y561" s="174"/>
      <c r="Z561" s="174"/>
    </row>
    <row r="562" customFormat="false" ht="15.75" hidden="false" customHeight="false" outlineLevel="0" collapsed="false">
      <c r="A562" s="174"/>
      <c r="B562" s="174"/>
      <c r="C562" s="174"/>
      <c r="D562" s="174"/>
      <c r="E562" s="174"/>
      <c r="F562" s="174"/>
      <c r="G562" s="174"/>
      <c r="H562" s="174"/>
      <c r="I562" s="174"/>
      <c r="J562" s="174"/>
      <c r="K562" s="174"/>
      <c r="L562" s="174"/>
      <c r="M562" s="174"/>
      <c r="N562" s="174"/>
      <c r="O562" s="174"/>
      <c r="P562" s="174"/>
      <c r="Q562" s="174"/>
      <c r="R562" s="174"/>
      <c r="S562" s="174"/>
      <c r="T562" s="174"/>
      <c r="U562" s="174"/>
      <c r="V562" s="174"/>
      <c r="W562" s="174"/>
      <c r="X562" s="174"/>
      <c r="Y562" s="174"/>
      <c r="Z562" s="174"/>
    </row>
    <row r="563" customFormat="false" ht="15.75" hidden="false" customHeight="false" outlineLevel="0" collapsed="false">
      <c r="A563" s="174"/>
      <c r="B563" s="174"/>
      <c r="C563" s="174"/>
      <c r="D563" s="174"/>
      <c r="E563" s="174"/>
      <c r="F563" s="174"/>
      <c r="G563" s="174"/>
      <c r="H563" s="174"/>
      <c r="I563" s="174"/>
      <c r="J563" s="174"/>
      <c r="K563" s="174"/>
      <c r="L563" s="174"/>
      <c r="M563" s="174"/>
      <c r="N563" s="174"/>
      <c r="O563" s="174"/>
      <c r="P563" s="174"/>
      <c r="Q563" s="174"/>
      <c r="R563" s="174"/>
      <c r="S563" s="174"/>
      <c r="T563" s="174"/>
      <c r="U563" s="174"/>
      <c r="V563" s="174"/>
      <c r="W563" s="174"/>
      <c r="X563" s="174"/>
      <c r="Y563" s="174"/>
      <c r="Z563" s="174"/>
    </row>
    <row r="564" customFormat="false" ht="15.75" hidden="false" customHeight="false" outlineLevel="0" collapsed="false">
      <c r="A564" s="174"/>
      <c r="B564" s="174"/>
      <c r="C564" s="174"/>
      <c r="D564" s="174"/>
      <c r="E564" s="174"/>
      <c r="F564" s="174"/>
      <c r="G564" s="174"/>
      <c r="H564" s="174"/>
      <c r="I564" s="174"/>
      <c r="J564" s="174"/>
      <c r="K564" s="174"/>
      <c r="L564" s="174"/>
      <c r="M564" s="174"/>
      <c r="N564" s="174"/>
      <c r="O564" s="174"/>
      <c r="P564" s="174"/>
      <c r="Q564" s="174"/>
      <c r="R564" s="174"/>
      <c r="S564" s="174"/>
      <c r="T564" s="174"/>
      <c r="U564" s="174"/>
      <c r="V564" s="174"/>
      <c r="W564" s="174"/>
      <c r="X564" s="174"/>
      <c r="Y564" s="174"/>
      <c r="Z564" s="174"/>
    </row>
    <row r="565" customFormat="false" ht="15.75" hidden="false" customHeight="false" outlineLevel="0" collapsed="false">
      <c r="A565" s="174"/>
      <c r="B565" s="174"/>
      <c r="C565" s="174"/>
      <c r="D565" s="174"/>
      <c r="E565" s="174"/>
      <c r="F565" s="174"/>
      <c r="G565" s="174"/>
      <c r="H565" s="174"/>
      <c r="I565" s="174"/>
      <c r="J565" s="174"/>
      <c r="K565" s="174"/>
      <c r="L565" s="174"/>
      <c r="M565" s="174"/>
      <c r="N565" s="174"/>
      <c r="O565" s="174"/>
      <c r="P565" s="174"/>
      <c r="Q565" s="174"/>
      <c r="R565" s="174"/>
      <c r="S565" s="174"/>
      <c r="T565" s="174"/>
      <c r="U565" s="174"/>
      <c r="V565" s="174"/>
      <c r="W565" s="174"/>
      <c r="X565" s="174"/>
      <c r="Y565" s="174"/>
      <c r="Z565" s="174"/>
    </row>
    <row r="566" customFormat="false" ht="15.75" hidden="false" customHeight="false" outlineLevel="0" collapsed="false">
      <c r="A566" s="174"/>
      <c r="B566" s="174"/>
      <c r="C566" s="174"/>
      <c r="D566" s="174"/>
      <c r="E566" s="174"/>
      <c r="F566" s="174"/>
      <c r="G566" s="174"/>
      <c r="H566" s="174"/>
      <c r="I566" s="174"/>
      <c r="J566" s="174"/>
      <c r="K566" s="174"/>
      <c r="L566" s="174"/>
      <c r="M566" s="174"/>
      <c r="N566" s="174"/>
      <c r="O566" s="174"/>
      <c r="P566" s="174"/>
      <c r="Q566" s="174"/>
      <c r="R566" s="174"/>
      <c r="S566" s="174"/>
      <c r="T566" s="174"/>
      <c r="U566" s="174"/>
      <c r="V566" s="174"/>
      <c r="W566" s="174"/>
      <c r="X566" s="174"/>
      <c r="Y566" s="174"/>
      <c r="Z566" s="174"/>
    </row>
    <row r="567" customFormat="false" ht="15.75" hidden="false" customHeight="false" outlineLevel="0" collapsed="false">
      <c r="A567" s="174"/>
      <c r="B567" s="174"/>
      <c r="C567" s="174"/>
      <c r="D567" s="174"/>
      <c r="E567" s="174"/>
      <c r="F567" s="174"/>
      <c r="G567" s="174"/>
      <c r="H567" s="174"/>
      <c r="I567" s="174"/>
      <c r="J567" s="174"/>
      <c r="K567" s="174"/>
      <c r="L567" s="174"/>
      <c r="M567" s="174"/>
      <c r="N567" s="174"/>
      <c r="O567" s="174"/>
      <c r="P567" s="174"/>
      <c r="Q567" s="174"/>
      <c r="R567" s="174"/>
      <c r="S567" s="174"/>
      <c r="T567" s="174"/>
      <c r="U567" s="174"/>
      <c r="V567" s="174"/>
      <c r="W567" s="174"/>
      <c r="X567" s="174"/>
      <c r="Y567" s="174"/>
      <c r="Z567" s="174"/>
    </row>
    <row r="568" customFormat="false" ht="15.75" hidden="false" customHeight="false" outlineLevel="0" collapsed="false">
      <c r="A568" s="174"/>
      <c r="B568" s="174"/>
      <c r="C568" s="174"/>
      <c r="D568" s="174"/>
      <c r="E568" s="174"/>
      <c r="F568" s="174"/>
      <c r="G568" s="174"/>
      <c r="H568" s="174"/>
      <c r="I568" s="174"/>
      <c r="J568" s="174"/>
      <c r="K568" s="174"/>
      <c r="L568" s="174"/>
      <c r="M568" s="174"/>
      <c r="N568" s="174"/>
      <c r="O568" s="174"/>
      <c r="P568" s="174"/>
      <c r="Q568" s="174"/>
      <c r="R568" s="174"/>
      <c r="S568" s="174"/>
      <c r="T568" s="174"/>
      <c r="U568" s="174"/>
      <c r="V568" s="174"/>
      <c r="W568" s="174"/>
      <c r="X568" s="174"/>
      <c r="Y568" s="174"/>
      <c r="Z568" s="174"/>
    </row>
    <row r="569" customFormat="false" ht="15.75" hidden="false" customHeight="false" outlineLevel="0" collapsed="false">
      <c r="A569" s="174"/>
      <c r="B569" s="174"/>
      <c r="C569" s="174"/>
      <c r="D569" s="174"/>
      <c r="E569" s="174"/>
      <c r="F569" s="174"/>
      <c r="G569" s="174"/>
      <c r="H569" s="174"/>
      <c r="I569" s="174"/>
      <c r="J569" s="174"/>
      <c r="K569" s="174"/>
      <c r="L569" s="174"/>
      <c r="M569" s="174"/>
      <c r="N569" s="174"/>
      <c r="O569" s="174"/>
      <c r="P569" s="174"/>
      <c r="Q569" s="174"/>
      <c r="R569" s="174"/>
      <c r="S569" s="174"/>
      <c r="T569" s="174"/>
      <c r="U569" s="174"/>
      <c r="V569" s="174"/>
      <c r="W569" s="174"/>
      <c r="X569" s="174"/>
      <c r="Y569" s="174"/>
      <c r="Z569" s="174"/>
    </row>
    <row r="570" customFormat="false" ht="15.75" hidden="false" customHeight="false" outlineLevel="0" collapsed="false">
      <c r="A570" s="174"/>
      <c r="B570" s="174"/>
      <c r="C570" s="174"/>
      <c r="D570" s="174"/>
      <c r="E570" s="174"/>
      <c r="F570" s="174"/>
      <c r="G570" s="174"/>
      <c r="H570" s="174"/>
      <c r="I570" s="174"/>
      <c r="J570" s="174"/>
      <c r="K570" s="174"/>
      <c r="L570" s="174"/>
      <c r="M570" s="174"/>
      <c r="N570" s="174"/>
      <c r="O570" s="174"/>
      <c r="P570" s="174"/>
      <c r="Q570" s="174"/>
      <c r="R570" s="174"/>
      <c r="S570" s="174"/>
      <c r="T570" s="174"/>
      <c r="U570" s="174"/>
      <c r="V570" s="174"/>
      <c r="W570" s="174"/>
      <c r="X570" s="174"/>
      <c r="Y570" s="174"/>
      <c r="Z570" s="174"/>
    </row>
    <row r="571" customFormat="false" ht="15.75" hidden="false" customHeight="false" outlineLevel="0" collapsed="false">
      <c r="A571" s="174"/>
      <c r="B571" s="174"/>
      <c r="C571" s="174"/>
      <c r="D571" s="174"/>
      <c r="E571" s="174"/>
      <c r="F571" s="174"/>
      <c r="G571" s="174"/>
      <c r="H571" s="174"/>
      <c r="I571" s="174"/>
      <c r="J571" s="174"/>
      <c r="K571" s="174"/>
      <c r="L571" s="174"/>
      <c r="M571" s="174"/>
      <c r="N571" s="174"/>
      <c r="O571" s="174"/>
      <c r="P571" s="174"/>
      <c r="Q571" s="174"/>
      <c r="R571" s="174"/>
      <c r="S571" s="174"/>
      <c r="T571" s="174"/>
      <c r="U571" s="174"/>
      <c r="V571" s="174"/>
      <c r="W571" s="174"/>
      <c r="X571" s="174"/>
      <c r="Y571" s="174"/>
      <c r="Z571" s="174"/>
    </row>
    <row r="572" customFormat="false" ht="15.75" hidden="false" customHeight="false" outlineLevel="0" collapsed="false">
      <c r="A572" s="174"/>
      <c r="B572" s="174"/>
      <c r="C572" s="174"/>
      <c r="D572" s="174"/>
      <c r="E572" s="174"/>
      <c r="F572" s="174"/>
      <c r="G572" s="174"/>
      <c r="H572" s="174"/>
      <c r="I572" s="174"/>
      <c r="J572" s="174"/>
      <c r="K572" s="174"/>
      <c r="L572" s="174"/>
      <c r="M572" s="174"/>
      <c r="N572" s="174"/>
      <c r="O572" s="174"/>
      <c r="P572" s="174"/>
      <c r="Q572" s="174"/>
      <c r="R572" s="174"/>
      <c r="S572" s="174"/>
      <c r="T572" s="174"/>
      <c r="U572" s="174"/>
      <c r="V572" s="174"/>
      <c r="W572" s="174"/>
      <c r="X572" s="174"/>
      <c r="Y572" s="174"/>
      <c r="Z572" s="174"/>
    </row>
    <row r="573" customFormat="false" ht="15.75" hidden="false" customHeight="false" outlineLevel="0" collapsed="false">
      <c r="A573" s="174"/>
      <c r="B573" s="174"/>
      <c r="C573" s="174"/>
      <c r="D573" s="174"/>
      <c r="E573" s="174"/>
      <c r="F573" s="174"/>
      <c r="G573" s="174"/>
      <c r="H573" s="174"/>
      <c r="I573" s="174"/>
      <c r="J573" s="174"/>
      <c r="K573" s="174"/>
      <c r="L573" s="174"/>
      <c r="M573" s="174"/>
      <c r="N573" s="174"/>
      <c r="O573" s="174"/>
      <c r="P573" s="174"/>
      <c r="Q573" s="174"/>
      <c r="R573" s="174"/>
      <c r="S573" s="174"/>
      <c r="T573" s="174"/>
      <c r="U573" s="174"/>
      <c r="V573" s="174"/>
      <c r="W573" s="174"/>
      <c r="X573" s="174"/>
      <c r="Y573" s="174"/>
      <c r="Z573" s="174"/>
    </row>
    <row r="574" customFormat="false" ht="15.75" hidden="false" customHeight="false" outlineLevel="0" collapsed="false">
      <c r="A574" s="174"/>
      <c r="B574" s="174"/>
      <c r="C574" s="174"/>
      <c r="D574" s="174"/>
      <c r="E574" s="174"/>
      <c r="F574" s="174"/>
      <c r="G574" s="174"/>
      <c r="H574" s="174"/>
      <c r="I574" s="174"/>
      <c r="J574" s="174"/>
      <c r="K574" s="174"/>
      <c r="L574" s="174"/>
      <c r="M574" s="174"/>
      <c r="N574" s="174"/>
      <c r="O574" s="174"/>
      <c r="P574" s="174"/>
      <c r="Q574" s="174"/>
      <c r="R574" s="174"/>
      <c r="S574" s="174"/>
      <c r="T574" s="174"/>
      <c r="U574" s="174"/>
      <c r="V574" s="174"/>
      <c r="W574" s="174"/>
      <c r="X574" s="174"/>
      <c r="Y574" s="174"/>
      <c r="Z574" s="174"/>
    </row>
    <row r="575" customFormat="false" ht="15.75" hidden="false" customHeight="false" outlineLevel="0" collapsed="false">
      <c r="A575" s="174"/>
      <c r="B575" s="174"/>
      <c r="C575" s="174"/>
      <c r="D575" s="174"/>
      <c r="E575" s="174"/>
      <c r="F575" s="174"/>
      <c r="G575" s="174"/>
      <c r="H575" s="174"/>
      <c r="I575" s="174"/>
      <c r="J575" s="174"/>
      <c r="K575" s="174"/>
      <c r="L575" s="174"/>
      <c r="M575" s="174"/>
      <c r="N575" s="174"/>
      <c r="O575" s="174"/>
      <c r="P575" s="174"/>
      <c r="Q575" s="174"/>
      <c r="R575" s="174"/>
      <c r="S575" s="174"/>
      <c r="T575" s="174"/>
      <c r="U575" s="174"/>
      <c r="V575" s="174"/>
      <c r="W575" s="174"/>
      <c r="X575" s="174"/>
      <c r="Y575" s="174"/>
      <c r="Z575" s="174"/>
    </row>
    <row r="576" customFormat="false" ht="15.75" hidden="false" customHeight="false" outlineLevel="0" collapsed="false">
      <c r="A576" s="174"/>
      <c r="B576" s="174"/>
      <c r="C576" s="174"/>
      <c r="D576" s="174"/>
      <c r="E576" s="174"/>
      <c r="F576" s="174"/>
      <c r="G576" s="174"/>
      <c r="H576" s="174"/>
      <c r="I576" s="174"/>
      <c r="J576" s="174"/>
      <c r="K576" s="174"/>
      <c r="L576" s="174"/>
      <c r="M576" s="174"/>
      <c r="N576" s="174"/>
      <c r="O576" s="174"/>
      <c r="P576" s="174"/>
      <c r="Q576" s="174"/>
      <c r="R576" s="174"/>
      <c r="S576" s="174"/>
      <c r="T576" s="174"/>
      <c r="U576" s="174"/>
      <c r="V576" s="174"/>
      <c r="W576" s="174"/>
      <c r="X576" s="174"/>
      <c r="Y576" s="174"/>
      <c r="Z576" s="174"/>
    </row>
    <row r="577" customFormat="false" ht="15.75" hidden="false" customHeight="false" outlineLevel="0" collapsed="false">
      <c r="A577" s="174"/>
      <c r="B577" s="174"/>
      <c r="C577" s="174"/>
      <c r="D577" s="174"/>
      <c r="E577" s="174"/>
      <c r="F577" s="174"/>
      <c r="G577" s="174"/>
      <c r="H577" s="174"/>
      <c r="I577" s="174"/>
      <c r="J577" s="174"/>
      <c r="K577" s="174"/>
      <c r="L577" s="174"/>
      <c r="M577" s="174"/>
      <c r="N577" s="174"/>
      <c r="O577" s="174"/>
      <c r="P577" s="174"/>
      <c r="Q577" s="174"/>
      <c r="R577" s="174"/>
      <c r="S577" s="174"/>
      <c r="T577" s="174"/>
      <c r="U577" s="174"/>
      <c r="V577" s="174"/>
      <c r="W577" s="174"/>
      <c r="X577" s="174"/>
      <c r="Y577" s="174"/>
      <c r="Z577" s="174"/>
    </row>
    <row r="578" customFormat="false" ht="15.75" hidden="false" customHeight="false" outlineLevel="0" collapsed="false">
      <c r="A578" s="174"/>
      <c r="B578" s="174"/>
      <c r="C578" s="174"/>
      <c r="D578" s="174"/>
      <c r="E578" s="174"/>
      <c r="F578" s="174"/>
      <c r="G578" s="174"/>
      <c r="H578" s="174"/>
      <c r="I578" s="174"/>
      <c r="J578" s="174"/>
      <c r="K578" s="174"/>
      <c r="L578" s="174"/>
      <c r="M578" s="174"/>
      <c r="N578" s="174"/>
      <c r="O578" s="174"/>
      <c r="P578" s="174"/>
      <c r="Q578" s="174"/>
      <c r="R578" s="174"/>
      <c r="S578" s="174"/>
      <c r="T578" s="174"/>
      <c r="U578" s="174"/>
      <c r="V578" s="174"/>
      <c r="W578" s="174"/>
      <c r="X578" s="174"/>
      <c r="Y578" s="174"/>
      <c r="Z578" s="174"/>
    </row>
    <row r="579" customFormat="false" ht="15.75" hidden="false" customHeight="false" outlineLevel="0" collapsed="false">
      <c r="A579" s="174"/>
      <c r="B579" s="174"/>
      <c r="C579" s="174"/>
      <c r="D579" s="174"/>
      <c r="E579" s="174"/>
      <c r="F579" s="174"/>
      <c r="G579" s="174"/>
      <c r="H579" s="174"/>
      <c r="I579" s="174"/>
      <c r="J579" s="174"/>
      <c r="K579" s="174"/>
      <c r="L579" s="174"/>
      <c r="M579" s="174"/>
      <c r="N579" s="174"/>
      <c r="O579" s="174"/>
      <c r="P579" s="174"/>
      <c r="Q579" s="174"/>
      <c r="R579" s="174"/>
      <c r="S579" s="174"/>
      <c r="T579" s="174"/>
      <c r="U579" s="174"/>
      <c r="V579" s="174"/>
      <c r="W579" s="174"/>
      <c r="X579" s="174"/>
      <c r="Y579" s="174"/>
      <c r="Z579" s="174"/>
    </row>
    <row r="580" customFormat="false" ht="15.75" hidden="false" customHeight="false" outlineLevel="0" collapsed="false">
      <c r="A580" s="174"/>
      <c r="B580" s="174"/>
      <c r="C580" s="174"/>
      <c r="D580" s="174"/>
      <c r="E580" s="174"/>
      <c r="F580" s="174"/>
      <c r="G580" s="174"/>
      <c r="H580" s="174"/>
      <c r="I580" s="174"/>
      <c r="J580" s="174"/>
      <c r="K580" s="174"/>
      <c r="L580" s="174"/>
      <c r="M580" s="174"/>
      <c r="N580" s="174"/>
      <c r="O580" s="174"/>
      <c r="P580" s="174"/>
      <c r="Q580" s="174"/>
      <c r="R580" s="174"/>
      <c r="S580" s="174"/>
      <c r="T580" s="174"/>
      <c r="U580" s="174"/>
      <c r="V580" s="174"/>
      <c r="W580" s="174"/>
      <c r="X580" s="174"/>
      <c r="Y580" s="174"/>
      <c r="Z580" s="174"/>
    </row>
    <row r="581" customFormat="false" ht="15.75" hidden="false" customHeight="false" outlineLevel="0" collapsed="false">
      <c r="A581" s="174"/>
      <c r="B581" s="174"/>
      <c r="C581" s="174"/>
      <c r="D581" s="174"/>
      <c r="E581" s="174"/>
      <c r="F581" s="174"/>
      <c r="G581" s="174"/>
      <c r="H581" s="174"/>
      <c r="I581" s="174"/>
      <c r="J581" s="174"/>
      <c r="K581" s="174"/>
      <c r="L581" s="174"/>
      <c r="M581" s="174"/>
      <c r="N581" s="174"/>
      <c r="O581" s="174"/>
      <c r="P581" s="174"/>
      <c r="Q581" s="174"/>
      <c r="R581" s="174"/>
      <c r="S581" s="174"/>
      <c r="T581" s="174"/>
      <c r="U581" s="174"/>
      <c r="V581" s="174"/>
      <c r="W581" s="174"/>
      <c r="X581" s="174"/>
      <c r="Y581" s="174"/>
      <c r="Z581" s="174"/>
    </row>
    <row r="582" customFormat="false" ht="15.75" hidden="false" customHeight="false" outlineLevel="0" collapsed="false">
      <c r="A582" s="174"/>
      <c r="B582" s="174"/>
      <c r="C582" s="174"/>
      <c r="D582" s="174"/>
      <c r="E582" s="174"/>
      <c r="F582" s="174"/>
      <c r="G582" s="174"/>
      <c r="H582" s="174"/>
      <c r="I582" s="174"/>
      <c r="J582" s="174"/>
      <c r="K582" s="174"/>
      <c r="L582" s="174"/>
      <c r="M582" s="174"/>
      <c r="N582" s="174"/>
      <c r="O582" s="174"/>
      <c r="P582" s="174"/>
      <c r="Q582" s="174"/>
      <c r="R582" s="174"/>
      <c r="S582" s="174"/>
      <c r="T582" s="174"/>
      <c r="U582" s="174"/>
      <c r="V582" s="174"/>
      <c r="W582" s="174"/>
      <c r="X582" s="174"/>
      <c r="Y582" s="174"/>
      <c r="Z582" s="174"/>
    </row>
    <row r="583" customFormat="false" ht="15.75" hidden="false" customHeight="false" outlineLevel="0" collapsed="false">
      <c r="A583" s="174"/>
      <c r="B583" s="174"/>
      <c r="C583" s="174"/>
      <c r="D583" s="174"/>
      <c r="E583" s="174"/>
      <c r="F583" s="174"/>
      <c r="G583" s="174"/>
      <c r="H583" s="174"/>
      <c r="I583" s="174"/>
      <c r="J583" s="174"/>
      <c r="K583" s="174"/>
      <c r="L583" s="174"/>
      <c r="M583" s="174"/>
      <c r="N583" s="174"/>
      <c r="O583" s="174"/>
      <c r="P583" s="174"/>
      <c r="Q583" s="174"/>
      <c r="R583" s="174"/>
      <c r="S583" s="174"/>
      <c r="T583" s="174"/>
      <c r="U583" s="174"/>
      <c r="V583" s="174"/>
      <c r="W583" s="174"/>
      <c r="X583" s="174"/>
      <c r="Y583" s="174"/>
      <c r="Z583" s="174"/>
    </row>
    <row r="584" customFormat="false" ht="15.75" hidden="false" customHeight="false" outlineLevel="0" collapsed="false">
      <c r="A584" s="174"/>
      <c r="B584" s="174"/>
      <c r="C584" s="174"/>
      <c r="D584" s="174"/>
      <c r="E584" s="174"/>
      <c r="F584" s="174"/>
      <c r="G584" s="174"/>
      <c r="H584" s="174"/>
      <c r="I584" s="174"/>
      <c r="J584" s="174"/>
      <c r="K584" s="174"/>
      <c r="L584" s="174"/>
      <c r="M584" s="174"/>
      <c r="N584" s="174"/>
      <c r="O584" s="174"/>
      <c r="P584" s="174"/>
      <c r="Q584" s="174"/>
      <c r="R584" s="174"/>
      <c r="S584" s="174"/>
      <c r="T584" s="174"/>
      <c r="U584" s="174"/>
      <c r="V584" s="174"/>
      <c r="W584" s="174"/>
      <c r="X584" s="174"/>
      <c r="Y584" s="174"/>
      <c r="Z584" s="174"/>
    </row>
    <row r="585" customFormat="false" ht="15.75" hidden="false" customHeight="false" outlineLevel="0" collapsed="false">
      <c r="A585" s="174"/>
      <c r="B585" s="174"/>
      <c r="C585" s="174"/>
      <c r="D585" s="174"/>
      <c r="E585" s="174"/>
      <c r="F585" s="174"/>
      <c r="G585" s="174"/>
      <c r="H585" s="174"/>
      <c r="I585" s="174"/>
      <c r="J585" s="174"/>
      <c r="K585" s="174"/>
      <c r="L585" s="174"/>
      <c r="M585" s="174"/>
      <c r="N585" s="174"/>
      <c r="O585" s="174"/>
      <c r="P585" s="174"/>
      <c r="Q585" s="174"/>
      <c r="R585" s="174"/>
      <c r="S585" s="174"/>
      <c r="T585" s="174"/>
      <c r="U585" s="174"/>
      <c r="V585" s="174"/>
      <c r="W585" s="174"/>
      <c r="X585" s="174"/>
      <c r="Y585" s="174"/>
      <c r="Z585" s="174"/>
    </row>
    <row r="586" customFormat="false" ht="15.75" hidden="false" customHeight="false" outlineLevel="0" collapsed="false">
      <c r="A586" s="174"/>
      <c r="B586" s="174"/>
      <c r="C586" s="174"/>
      <c r="D586" s="174"/>
      <c r="E586" s="174"/>
      <c r="F586" s="174"/>
      <c r="G586" s="174"/>
      <c r="H586" s="174"/>
      <c r="I586" s="174"/>
      <c r="J586" s="174"/>
      <c r="K586" s="174"/>
      <c r="L586" s="174"/>
      <c r="M586" s="174"/>
      <c r="N586" s="174"/>
      <c r="O586" s="174"/>
      <c r="P586" s="174"/>
      <c r="Q586" s="174"/>
      <c r="R586" s="174"/>
      <c r="S586" s="174"/>
      <c r="T586" s="174"/>
      <c r="U586" s="174"/>
      <c r="V586" s="174"/>
      <c r="W586" s="174"/>
      <c r="X586" s="174"/>
      <c r="Y586" s="174"/>
      <c r="Z586" s="174"/>
    </row>
    <row r="587" customFormat="false" ht="15.75" hidden="false" customHeight="false" outlineLevel="0" collapsed="false">
      <c r="A587" s="174"/>
      <c r="B587" s="174"/>
      <c r="C587" s="174"/>
      <c r="D587" s="174"/>
      <c r="E587" s="174"/>
      <c r="F587" s="174"/>
      <c r="G587" s="174"/>
      <c r="H587" s="174"/>
      <c r="I587" s="174"/>
      <c r="J587" s="174"/>
      <c r="K587" s="174"/>
      <c r="L587" s="174"/>
      <c r="M587" s="174"/>
      <c r="N587" s="174"/>
      <c r="O587" s="174"/>
      <c r="P587" s="174"/>
      <c r="Q587" s="174"/>
      <c r="R587" s="174"/>
      <c r="S587" s="174"/>
      <c r="T587" s="174"/>
      <c r="U587" s="174"/>
      <c r="V587" s="174"/>
      <c r="W587" s="174"/>
      <c r="X587" s="174"/>
      <c r="Y587" s="174"/>
      <c r="Z587" s="174"/>
    </row>
    <row r="588" customFormat="false" ht="15.75" hidden="false" customHeight="false" outlineLevel="0" collapsed="false">
      <c r="A588" s="174"/>
      <c r="B588" s="174"/>
      <c r="C588" s="174"/>
      <c r="D588" s="174"/>
      <c r="E588" s="174"/>
      <c r="F588" s="174"/>
      <c r="G588" s="174"/>
      <c r="H588" s="174"/>
      <c r="I588" s="174"/>
      <c r="J588" s="174"/>
      <c r="K588" s="174"/>
      <c r="L588" s="174"/>
      <c r="M588" s="174"/>
      <c r="N588" s="174"/>
      <c r="O588" s="174"/>
      <c r="P588" s="174"/>
      <c r="Q588" s="174"/>
      <c r="R588" s="174"/>
      <c r="S588" s="174"/>
      <c r="T588" s="174"/>
      <c r="U588" s="174"/>
      <c r="V588" s="174"/>
      <c r="W588" s="174"/>
      <c r="X588" s="174"/>
      <c r="Y588" s="174"/>
      <c r="Z588" s="174"/>
    </row>
    <row r="589" customFormat="false" ht="15.75" hidden="false" customHeight="false" outlineLevel="0" collapsed="false">
      <c r="A589" s="174"/>
      <c r="B589" s="174"/>
      <c r="C589" s="174"/>
      <c r="D589" s="174"/>
      <c r="E589" s="174"/>
      <c r="F589" s="174"/>
      <c r="G589" s="174"/>
      <c r="H589" s="174"/>
      <c r="I589" s="174"/>
      <c r="J589" s="174"/>
      <c r="K589" s="174"/>
      <c r="L589" s="174"/>
      <c r="M589" s="174"/>
      <c r="N589" s="174"/>
      <c r="O589" s="174"/>
      <c r="P589" s="174"/>
      <c r="Q589" s="174"/>
      <c r="R589" s="174"/>
      <c r="S589" s="174"/>
      <c r="T589" s="174"/>
      <c r="U589" s="174"/>
      <c r="V589" s="174"/>
      <c r="W589" s="174"/>
      <c r="X589" s="174"/>
      <c r="Y589" s="174"/>
      <c r="Z589" s="174"/>
    </row>
    <row r="590" customFormat="false" ht="15.75" hidden="false" customHeight="false" outlineLevel="0" collapsed="false">
      <c r="A590" s="174"/>
      <c r="B590" s="174"/>
      <c r="C590" s="174"/>
      <c r="D590" s="174"/>
      <c r="E590" s="174"/>
      <c r="F590" s="174"/>
      <c r="G590" s="174"/>
      <c r="H590" s="174"/>
      <c r="I590" s="174"/>
      <c r="J590" s="174"/>
      <c r="K590" s="174"/>
      <c r="L590" s="174"/>
      <c r="M590" s="174"/>
      <c r="N590" s="174"/>
      <c r="O590" s="174"/>
      <c r="P590" s="174"/>
      <c r="Q590" s="174"/>
      <c r="R590" s="174"/>
      <c r="S590" s="174"/>
      <c r="T590" s="174"/>
      <c r="U590" s="174"/>
      <c r="V590" s="174"/>
      <c r="W590" s="174"/>
      <c r="X590" s="174"/>
      <c r="Y590" s="174"/>
      <c r="Z590" s="174"/>
    </row>
    <row r="591" customFormat="false" ht="15.75" hidden="false" customHeight="false" outlineLevel="0" collapsed="false">
      <c r="A591" s="174"/>
      <c r="B591" s="174"/>
      <c r="C591" s="174"/>
      <c r="D591" s="174"/>
      <c r="E591" s="174"/>
      <c r="F591" s="174"/>
      <c r="G591" s="174"/>
      <c r="H591" s="174"/>
      <c r="I591" s="174"/>
      <c r="J591" s="174"/>
      <c r="K591" s="174"/>
      <c r="L591" s="174"/>
      <c r="M591" s="174"/>
      <c r="N591" s="174"/>
      <c r="O591" s="174"/>
      <c r="P591" s="174"/>
      <c r="Q591" s="174"/>
      <c r="R591" s="174"/>
      <c r="S591" s="174"/>
      <c r="T591" s="174"/>
      <c r="U591" s="174"/>
      <c r="V591" s="174"/>
      <c r="W591" s="174"/>
      <c r="X591" s="174"/>
      <c r="Y591" s="174"/>
      <c r="Z591" s="174"/>
    </row>
    <row r="592" customFormat="false" ht="15.75" hidden="false" customHeight="false" outlineLevel="0" collapsed="false">
      <c r="A592" s="174"/>
      <c r="B592" s="174"/>
      <c r="C592" s="174"/>
      <c r="D592" s="174"/>
      <c r="E592" s="174"/>
      <c r="F592" s="174"/>
      <c r="G592" s="174"/>
      <c r="H592" s="174"/>
      <c r="I592" s="174"/>
      <c r="J592" s="174"/>
      <c r="K592" s="174"/>
      <c r="L592" s="174"/>
      <c r="M592" s="174"/>
      <c r="N592" s="174"/>
      <c r="O592" s="174"/>
      <c r="P592" s="174"/>
      <c r="Q592" s="174"/>
      <c r="R592" s="174"/>
      <c r="S592" s="174"/>
      <c r="T592" s="174"/>
      <c r="U592" s="174"/>
      <c r="V592" s="174"/>
      <c r="W592" s="174"/>
      <c r="X592" s="174"/>
      <c r="Y592" s="174"/>
      <c r="Z592" s="174"/>
    </row>
    <row r="593" customFormat="false" ht="15.75" hidden="false" customHeight="false" outlineLevel="0" collapsed="false">
      <c r="A593" s="174"/>
      <c r="B593" s="174"/>
      <c r="C593" s="174"/>
      <c r="D593" s="174"/>
      <c r="E593" s="174"/>
      <c r="F593" s="174"/>
      <c r="G593" s="174"/>
      <c r="H593" s="174"/>
      <c r="I593" s="174"/>
      <c r="J593" s="174"/>
      <c r="K593" s="174"/>
      <c r="L593" s="174"/>
      <c r="M593" s="174"/>
      <c r="N593" s="174"/>
      <c r="O593" s="174"/>
      <c r="P593" s="174"/>
      <c r="Q593" s="174"/>
      <c r="R593" s="174"/>
      <c r="S593" s="174"/>
      <c r="T593" s="174"/>
      <c r="U593" s="174"/>
      <c r="V593" s="174"/>
      <c r="W593" s="174"/>
      <c r="X593" s="174"/>
      <c r="Y593" s="174"/>
      <c r="Z593" s="174"/>
    </row>
    <row r="594" customFormat="false" ht="15.75" hidden="false" customHeight="false" outlineLevel="0" collapsed="false">
      <c r="A594" s="174"/>
      <c r="B594" s="174"/>
      <c r="C594" s="174"/>
      <c r="D594" s="174"/>
      <c r="E594" s="174"/>
      <c r="F594" s="174"/>
      <c r="G594" s="174"/>
      <c r="H594" s="174"/>
      <c r="I594" s="174"/>
      <c r="J594" s="174"/>
      <c r="K594" s="174"/>
      <c r="L594" s="174"/>
      <c r="M594" s="174"/>
      <c r="N594" s="174"/>
      <c r="O594" s="174"/>
      <c r="P594" s="174"/>
      <c r="Q594" s="174"/>
      <c r="R594" s="174"/>
      <c r="S594" s="174"/>
      <c r="T594" s="174"/>
      <c r="U594" s="174"/>
      <c r="V594" s="174"/>
      <c r="W594" s="174"/>
      <c r="X594" s="174"/>
      <c r="Y594" s="174"/>
      <c r="Z594" s="174"/>
    </row>
    <row r="595" customFormat="false" ht="15.75" hidden="false" customHeight="false" outlineLevel="0" collapsed="false">
      <c r="A595" s="174"/>
      <c r="B595" s="174"/>
      <c r="C595" s="174"/>
      <c r="D595" s="174"/>
      <c r="E595" s="174"/>
      <c r="F595" s="174"/>
      <c r="G595" s="174"/>
      <c r="H595" s="174"/>
      <c r="I595" s="174"/>
      <c r="J595" s="174"/>
      <c r="K595" s="174"/>
      <c r="L595" s="174"/>
      <c r="M595" s="174"/>
      <c r="N595" s="174"/>
      <c r="O595" s="174"/>
      <c r="P595" s="174"/>
      <c r="Q595" s="174"/>
      <c r="R595" s="174"/>
      <c r="S595" s="174"/>
      <c r="T595" s="174"/>
      <c r="U595" s="174"/>
      <c r="V595" s="174"/>
      <c r="W595" s="174"/>
      <c r="X595" s="174"/>
      <c r="Y595" s="174"/>
      <c r="Z595" s="174"/>
    </row>
    <row r="596" customFormat="false" ht="15.75" hidden="false" customHeight="false" outlineLevel="0" collapsed="false">
      <c r="A596" s="174"/>
      <c r="B596" s="174"/>
      <c r="C596" s="174"/>
      <c r="D596" s="174"/>
      <c r="E596" s="174"/>
      <c r="F596" s="174"/>
      <c r="G596" s="174"/>
      <c r="H596" s="174"/>
      <c r="I596" s="174"/>
      <c r="J596" s="174"/>
      <c r="K596" s="174"/>
      <c r="L596" s="174"/>
      <c r="M596" s="174"/>
      <c r="N596" s="174"/>
      <c r="O596" s="174"/>
      <c r="P596" s="174"/>
      <c r="Q596" s="174"/>
      <c r="R596" s="174"/>
      <c r="S596" s="174"/>
      <c r="T596" s="174"/>
      <c r="U596" s="174"/>
      <c r="V596" s="174"/>
      <c r="W596" s="174"/>
      <c r="X596" s="174"/>
      <c r="Y596" s="174"/>
      <c r="Z596" s="174"/>
    </row>
    <row r="597" customFormat="false" ht="15.75" hidden="false" customHeight="false" outlineLevel="0" collapsed="false">
      <c r="A597" s="174"/>
      <c r="B597" s="174"/>
      <c r="C597" s="174"/>
      <c r="D597" s="174"/>
      <c r="E597" s="174"/>
      <c r="F597" s="174"/>
      <c r="G597" s="174"/>
      <c r="H597" s="174"/>
      <c r="I597" s="174"/>
      <c r="J597" s="174"/>
      <c r="K597" s="174"/>
      <c r="L597" s="174"/>
      <c r="M597" s="174"/>
      <c r="N597" s="174"/>
      <c r="O597" s="174"/>
      <c r="P597" s="174"/>
      <c r="Q597" s="174"/>
      <c r="R597" s="174"/>
      <c r="S597" s="174"/>
      <c r="T597" s="174"/>
      <c r="U597" s="174"/>
      <c r="V597" s="174"/>
      <c r="W597" s="174"/>
      <c r="X597" s="174"/>
      <c r="Y597" s="174"/>
      <c r="Z597" s="174"/>
    </row>
    <row r="598" customFormat="false" ht="15.75" hidden="false" customHeight="false" outlineLevel="0" collapsed="false">
      <c r="A598" s="174"/>
      <c r="B598" s="174"/>
      <c r="C598" s="174"/>
      <c r="D598" s="174"/>
      <c r="E598" s="174"/>
      <c r="F598" s="174"/>
      <c r="G598" s="174"/>
      <c r="H598" s="174"/>
      <c r="I598" s="174"/>
      <c r="J598" s="174"/>
      <c r="K598" s="174"/>
      <c r="L598" s="174"/>
      <c r="M598" s="174"/>
      <c r="N598" s="174"/>
      <c r="O598" s="174"/>
      <c r="P598" s="174"/>
      <c r="Q598" s="174"/>
      <c r="R598" s="174"/>
      <c r="S598" s="174"/>
      <c r="T598" s="174"/>
      <c r="U598" s="174"/>
      <c r="V598" s="174"/>
      <c r="W598" s="174"/>
      <c r="X598" s="174"/>
      <c r="Y598" s="174"/>
      <c r="Z598" s="174"/>
    </row>
    <row r="599" customFormat="false" ht="15.75" hidden="false" customHeight="false" outlineLevel="0" collapsed="false">
      <c r="A599" s="174"/>
      <c r="B599" s="174"/>
      <c r="C599" s="174"/>
      <c r="D599" s="174"/>
      <c r="E599" s="174"/>
      <c r="F599" s="174"/>
      <c r="G599" s="174"/>
      <c r="H599" s="174"/>
      <c r="I599" s="174"/>
      <c r="J599" s="174"/>
      <c r="K599" s="174"/>
      <c r="L599" s="174"/>
      <c r="M599" s="174"/>
      <c r="N599" s="174"/>
      <c r="O599" s="174"/>
      <c r="P599" s="174"/>
      <c r="Q599" s="174"/>
      <c r="R599" s="174"/>
      <c r="S599" s="174"/>
      <c r="T599" s="174"/>
      <c r="U599" s="174"/>
      <c r="V599" s="174"/>
      <c r="W599" s="174"/>
      <c r="X599" s="174"/>
      <c r="Y599" s="174"/>
      <c r="Z599" s="174"/>
    </row>
    <row r="600" customFormat="false" ht="15.75" hidden="false" customHeight="false" outlineLevel="0" collapsed="false">
      <c r="A600" s="174"/>
      <c r="B600" s="174"/>
      <c r="C600" s="174"/>
      <c r="D600" s="174"/>
      <c r="E600" s="174"/>
      <c r="F600" s="174"/>
      <c r="G600" s="174"/>
      <c r="H600" s="174"/>
      <c r="I600" s="174"/>
      <c r="J600" s="174"/>
      <c r="K600" s="174"/>
      <c r="L600" s="174"/>
      <c r="M600" s="174"/>
      <c r="N600" s="174"/>
      <c r="O600" s="174"/>
      <c r="P600" s="174"/>
      <c r="Q600" s="174"/>
      <c r="R600" s="174"/>
      <c r="S600" s="174"/>
      <c r="T600" s="174"/>
      <c r="U600" s="174"/>
      <c r="V600" s="174"/>
      <c r="W600" s="174"/>
      <c r="X600" s="174"/>
      <c r="Y600" s="174"/>
      <c r="Z600" s="174"/>
    </row>
    <row r="601" customFormat="false" ht="15.75" hidden="false" customHeight="false" outlineLevel="0" collapsed="false">
      <c r="A601" s="174"/>
      <c r="B601" s="174"/>
      <c r="C601" s="174"/>
      <c r="D601" s="174"/>
      <c r="E601" s="174"/>
      <c r="F601" s="174"/>
      <c r="G601" s="174"/>
      <c r="H601" s="174"/>
      <c r="I601" s="174"/>
      <c r="J601" s="174"/>
      <c r="K601" s="174"/>
      <c r="L601" s="174"/>
      <c r="M601" s="174"/>
      <c r="N601" s="174"/>
      <c r="O601" s="174"/>
      <c r="P601" s="174"/>
      <c r="Q601" s="174"/>
      <c r="R601" s="174"/>
      <c r="S601" s="174"/>
      <c r="T601" s="174"/>
      <c r="U601" s="174"/>
      <c r="V601" s="174"/>
      <c r="W601" s="174"/>
      <c r="X601" s="174"/>
      <c r="Y601" s="174"/>
      <c r="Z601" s="174"/>
    </row>
    <row r="602" customFormat="false" ht="15.75" hidden="false" customHeight="false" outlineLevel="0" collapsed="false">
      <c r="A602" s="174"/>
      <c r="B602" s="174"/>
      <c r="C602" s="174"/>
      <c r="D602" s="174"/>
      <c r="E602" s="174"/>
      <c r="F602" s="174"/>
      <c r="G602" s="174"/>
      <c r="H602" s="174"/>
      <c r="I602" s="174"/>
      <c r="J602" s="174"/>
      <c r="K602" s="174"/>
      <c r="L602" s="174"/>
      <c r="M602" s="174"/>
      <c r="N602" s="174"/>
      <c r="O602" s="174"/>
      <c r="P602" s="174"/>
      <c r="Q602" s="174"/>
      <c r="R602" s="174"/>
      <c r="S602" s="174"/>
      <c r="T602" s="174"/>
      <c r="U602" s="174"/>
      <c r="V602" s="174"/>
      <c r="W602" s="174"/>
      <c r="X602" s="174"/>
      <c r="Y602" s="174"/>
      <c r="Z602" s="174"/>
    </row>
    <row r="603" customFormat="false" ht="15.75" hidden="false" customHeight="false" outlineLevel="0" collapsed="false">
      <c r="A603" s="174"/>
      <c r="B603" s="174"/>
      <c r="C603" s="174"/>
      <c r="D603" s="174"/>
      <c r="E603" s="174"/>
      <c r="F603" s="174"/>
      <c r="G603" s="174"/>
      <c r="H603" s="174"/>
      <c r="I603" s="174"/>
      <c r="J603" s="174"/>
      <c r="K603" s="174"/>
      <c r="L603" s="174"/>
      <c r="M603" s="174"/>
      <c r="N603" s="174"/>
      <c r="O603" s="174"/>
      <c r="P603" s="174"/>
      <c r="Q603" s="174"/>
      <c r="R603" s="174"/>
      <c r="S603" s="174"/>
      <c r="T603" s="174"/>
      <c r="U603" s="174"/>
      <c r="V603" s="174"/>
      <c r="W603" s="174"/>
      <c r="X603" s="174"/>
      <c r="Y603" s="174"/>
      <c r="Z603" s="174"/>
    </row>
    <row r="604" customFormat="false" ht="15.75" hidden="false" customHeight="false" outlineLevel="0" collapsed="false">
      <c r="A604" s="174"/>
      <c r="B604" s="174"/>
      <c r="C604" s="174"/>
      <c r="D604" s="174"/>
      <c r="E604" s="174"/>
      <c r="F604" s="174"/>
      <c r="G604" s="174"/>
      <c r="H604" s="174"/>
      <c r="I604" s="174"/>
      <c r="J604" s="174"/>
      <c r="K604" s="174"/>
      <c r="L604" s="174"/>
      <c r="M604" s="174"/>
      <c r="N604" s="174"/>
      <c r="O604" s="174"/>
      <c r="P604" s="174"/>
      <c r="Q604" s="174"/>
      <c r="R604" s="174"/>
      <c r="S604" s="174"/>
      <c r="T604" s="174"/>
      <c r="U604" s="174"/>
      <c r="V604" s="174"/>
      <c r="W604" s="174"/>
      <c r="X604" s="174"/>
      <c r="Y604" s="174"/>
      <c r="Z604" s="174"/>
    </row>
    <row r="605" customFormat="false" ht="15.75" hidden="false" customHeight="false" outlineLevel="0" collapsed="false">
      <c r="A605" s="174"/>
      <c r="B605" s="174"/>
      <c r="C605" s="174"/>
      <c r="D605" s="174"/>
      <c r="E605" s="174"/>
      <c r="F605" s="174"/>
      <c r="G605" s="174"/>
      <c r="H605" s="174"/>
      <c r="I605" s="174"/>
      <c r="J605" s="174"/>
      <c r="K605" s="174"/>
      <c r="L605" s="174"/>
      <c r="M605" s="174"/>
      <c r="N605" s="174"/>
      <c r="O605" s="174"/>
      <c r="P605" s="174"/>
      <c r="Q605" s="174"/>
      <c r="R605" s="174"/>
      <c r="S605" s="174"/>
      <c r="T605" s="174"/>
      <c r="U605" s="174"/>
      <c r="V605" s="174"/>
      <c r="W605" s="174"/>
      <c r="X605" s="174"/>
      <c r="Y605" s="174"/>
      <c r="Z605" s="174"/>
    </row>
    <row r="606" customFormat="false" ht="15.75" hidden="false" customHeight="false" outlineLevel="0" collapsed="false">
      <c r="A606" s="174"/>
      <c r="B606" s="174"/>
      <c r="C606" s="174"/>
      <c r="D606" s="174"/>
      <c r="E606" s="174"/>
      <c r="F606" s="174"/>
      <c r="G606" s="174"/>
      <c r="H606" s="174"/>
      <c r="I606" s="174"/>
      <c r="J606" s="174"/>
      <c r="K606" s="174"/>
      <c r="L606" s="174"/>
      <c r="M606" s="174"/>
      <c r="N606" s="174"/>
      <c r="O606" s="174"/>
      <c r="P606" s="174"/>
      <c r="Q606" s="174"/>
      <c r="R606" s="174"/>
      <c r="S606" s="174"/>
      <c r="T606" s="174"/>
      <c r="U606" s="174"/>
      <c r="V606" s="174"/>
      <c r="W606" s="174"/>
      <c r="X606" s="174"/>
      <c r="Y606" s="174"/>
      <c r="Z606" s="174"/>
    </row>
    <row r="607" customFormat="false" ht="15.75" hidden="false" customHeight="false" outlineLevel="0" collapsed="false">
      <c r="A607" s="174"/>
      <c r="B607" s="174"/>
      <c r="C607" s="174"/>
      <c r="D607" s="174"/>
      <c r="E607" s="174"/>
      <c r="F607" s="174"/>
      <c r="G607" s="174"/>
      <c r="H607" s="174"/>
      <c r="I607" s="174"/>
      <c r="J607" s="174"/>
      <c r="K607" s="174"/>
      <c r="L607" s="174"/>
      <c r="M607" s="174"/>
      <c r="N607" s="174"/>
      <c r="O607" s="174"/>
      <c r="P607" s="174"/>
      <c r="Q607" s="174"/>
      <c r="R607" s="174"/>
      <c r="S607" s="174"/>
      <c r="T607" s="174"/>
      <c r="U607" s="174"/>
      <c r="V607" s="174"/>
      <c r="W607" s="174"/>
      <c r="X607" s="174"/>
      <c r="Y607" s="174"/>
      <c r="Z607" s="174"/>
    </row>
    <row r="608" customFormat="false" ht="15.75" hidden="false" customHeight="false" outlineLevel="0" collapsed="false">
      <c r="A608" s="174"/>
      <c r="B608" s="174"/>
      <c r="C608" s="174"/>
      <c r="D608" s="174"/>
      <c r="E608" s="174"/>
      <c r="F608" s="174"/>
      <c r="G608" s="174"/>
      <c r="H608" s="174"/>
      <c r="I608" s="174"/>
      <c r="J608" s="174"/>
      <c r="K608" s="174"/>
      <c r="L608" s="174"/>
      <c r="M608" s="174"/>
      <c r="N608" s="174"/>
      <c r="O608" s="174"/>
      <c r="P608" s="174"/>
      <c r="Q608" s="174"/>
      <c r="R608" s="174"/>
      <c r="S608" s="174"/>
      <c r="T608" s="174"/>
      <c r="U608" s="174"/>
      <c r="V608" s="174"/>
      <c r="W608" s="174"/>
      <c r="X608" s="174"/>
      <c r="Y608" s="174"/>
      <c r="Z608" s="174"/>
    </row>
    <row r="609" customFormat="false" ht="15.75" hidden="false" customHeight="false" outlineLevel="0" collapsed="false">
      <c r="A609" s="174"/>
      <c r="B609" s="174"/>
      <c r="C609" s="174"/>
      <c r="D609" s="174"/>
      <c r="E609" s="174"/>
      <c r="F609" s="174"/>
      <c r="G609" s="174"/>
      <c r="H609" s="174"/>
      <c r="I609" s="174"/>
      <c r="J609" s="174"/>
      <c r="K609" s="174"/>
      <c r="L609" s="174"/>
      <c r="M609" s="174"/>
      <c r="N609" s="174"/>
      <c r="O609" s="174"/>
      <c r="P609" s="174"/>
      <c r="Q609" s="174"/>
      <c r="R609" s="174"/>
      <c r="S609" s="174"/>
      <c r="T609" s="174"/>
      <c r="U609" s="174"/>
      <c r="V609" s="174"/>
      <c r="W609" s="174"/>
      <c r="X609" s="174"/>
      <c r="Y609" s="174"/>
      <c r="Z609" s="174"/>
    </row>
    <row r="610" customFormat="false" ht="15.75" hidden="false" customHeight="false" outlineLevel="0" collapsed="false">
      <c r="A610" s="174"/>
      <c r="B610" s="174"/>
      <c r="C610" s="174"/>
      <c r="D610" s="174"/>
      <c r="E610" s="174"/>
      <c r="F610" s="174"/>
      <c r="G610" s="174"/>
      <c r="H610" s="174"/>
      <c r="I610" s="174"/>
      <c r="J610" s="174"/>
      <c r="K610" s="174"/>
      <c r="L610" s="174"/>
      <c r="M610" s="174"/>
      <c r="N610" s="174"/>
      <c r="O610" s="174"/>
      <c r="P610" s="174"/>
      <c r="Q610" s="174"/>
      <c r="R610" s="174"/>
      <c r="S610" s="174"/>
      <c r="T610" s="174"/>
      <c r="U610" s="174"/>
      <c r="V610" s="174"/>
      <c r="W610" s="174"/>
      <c r="X610" s="174"/>
      <c r="Y610" s="174"/>
      <c r="Z610" s="174"/>
    </row>
    <row r="611" customFormat="false" ht="15.75" hidden="false" customHeight="false" outlineLevel="0" collapsed="false">
      <c r="A611" s="174"/>
      <c r="B611" s="174"/>
      <c r="C611" s="174"/>
      <c r="D611" s="174"/>
      <c r="E611" s="174"/>
      <c r="F611" s="174"/>
      <c r="G611" s="174"/>
      <c r="H611" s="174"/>
      <c r="I611" s="174"/>
      <c r="J611" s="174"/>
      <c r="K611" s="174"/>
      <c r="L611" s="174"/>
      <c r="M611" s="174"/>
      <c r="N611" s="174"/>
      <c r="O611" s="174"/>
      <c r="P611" s="174"/>
      <c r="Q611" s="174"/>
      <c r="R611" s="174"/>
      <c r="S611" s="174"/>
      <c r="T611" s="174"/>
      <c r="U611" s="174"/>
      <c r="V611" s="174"/>
      <c r="W611" s="174"/>
      <c r="X611" s="174"/>
      <c r="Y611" s="174"/>
      <c r="Z611" s="174"/>
    </row>
    <row r="612" customFormat="false" ht="15.75" hidden="false" customHeight="false" outlineLevel="0" collapsed="false">
      <c r="A612" s="174"/>
      <c r="B612" s="174"/>
      <c r="C612" s="174"/>
      <c r="D612" s="174"/>
      <c r="E612" s="174"/>
      <c r="F612" s="174"/>
      <c r="G612" s="174"/>
      <c r="H612" s="174"/>
      <c r="I612" s="174"/>
      <c r="J612" s="174"/>
      <c r="K612" s="174"/>
      <c r="L612" s="174"/>
      <c r="M612" s="174"/>
      <c r="N612" s="174"/>
      <c r="O612" s="174"/>
      <c r="P612" s="174"/>
      <c r="Q612" s="174"/>
      <c r="R612" s="174"/>
      <c r="S612" s="174"/>
      <c r="T612" s="174"/>
      <c r="U612" s="174"/>
      <c r="V612" s="174"/>
      <c r="W612" s="174"/>
      <c r="X612" s="174"/>
      <c r="Y612" s="174"/>
      <c r="Z612" s="174"/>
    </row>
    <row r="613" customFormat="false" ht="15.75" hidden="false" customHeight="false" outlineLevel="0" collapsed="false">
      <c r="A613" s="174"/>
      <c r="B613" s="174"/>
      <c r="C613" s="174"/>
      <c r="D613" s="174"/>
      <c r="E613" s="174"/>
      <c r="F613" s="174"/>
      <c r="G613" s="174"/>
      <c r="H613" s="174"/>
      <c r="I613" s="174"/>
      <c r="J613" s="174"/>
      <c r="K613" s="174"/>
      <c r="L613" s="174"/>
      <c r="M613" s="174"/>
      <c r="N613" s="174"/>
      <c r="O613" s="174"/>
      <c r="P613" s="174"/>
      <c r="Q613" s="174"/>
      <c r="R613" s="174"/>
      <c r="S613" s="174"/>
      <c r="T613" s="174"/>
      <c r="U613" s="174"/>
      <c r="V613" s="174"/>
      <c r="W613" s="174"/>
      <c r="X613" s="174"/>
      <c r="Y613" s="174"/>
      <c r="Z613" s="174"/>
    </row>
    <row r="614" customFormat="false" ht="15.75" hidden="false" customHeight="false" outlineLevel="0" collapsed="false">
      <c r="A614" s="174"/>
      <c r="B614" s="174"/>
      <c r="C614" s="174"/>
      <c r="D614" s="174"/>
      <c r="E614" s="174"/>
      <c r="F614" s="174"/>
      <c r="G614" s="174"/>
      <c r="H614" s="174"/>
      <c r="I614" s="174"/>
      <c r="J614" s="174"/>
      <c r="K614" s="174"/>
      <c r="L614" s="174"/>
      <c r="M614" s="174"/>
      <c r="N614" s="174"/>
      <c r="O614" s="174"/>
      <c r="P614" s="174"/>
      <c r="Q614" s="174"/>
      <c r="R614" s="174"/>
      <c r="S614" s="174"/>
      <c r="T614" s="174"/>
      <c r="U614" s="174"/>
      <c r="V614" s="174"/>
      <c r="W614" s="174"/>
      <c r="X614" s="174"/>
      <c r="Y614" s="174"/>
      <c r="Z614" s="174"/>
    </row>
    <row r="615" customFormat="false" ht="15.75" hidden="false" customHeight="false" outlineLevel="0" collapsed="false">
      <c r="A615" s="174"/>
      <c r="B615" s="174"/>
      <c r="C615" s="174"/>
      <c r="D615" s="174"/>
      <c r="E615" s="174"/>
      <c r="F615" s="174"/>
      <c r="G615" s="174"/>
      <c r="H615" s="174"/>
      <c r="I615" s="174"/>
      <c r="J615" s="174"/>
      <c r="K615" s="174"/>
      <c r="L615" s="174"/>
      <c r="M615" s="174"/>
      <c r="N615" s="174"/>
      <c r="O615" s="174"/>
      <c r="P615" s="174"/>
      <c r="Q615" s="174"/>
      <c r="R615" s="174"/>
      <c r="S615" s="174"/>
      <c r="T615" s="174"/>
      <c r="U615" s="174"/>
      <c r="V615" s="174"/>
      <c r="W615" s="174"/>
      <c r="X615" s="174"/>
      <c r="Y615" s="174"/>
      <c r="Z615" s="174"/>
    </row>
    <row r="616" customFormat="false" ht="15.75" hidden="false" customHeight="false" outlineLevel="0" collapsed="false">
      <c r="A616" s="174"/>
      <c r="B616" s="174"/>
      <c r="C616" s="174"/>
      <c r="D616" s="174"/>
      <c r="E616" s="174"/>
      <c r="F616" s="174"/>
      <c r="G616" s="174"/>
      <c r="H616" s="174"/>
      <c r="I616" s="174"/>
      <c r="J616" s="174"/>
      <c r="K616" s="174"/>
      <c r="L616" s="174"/>
      <c r="M616" s="174"/>
      <c r="N616" s="174"/>
      <c r="O616" s="174"/>
      <c r="P616" s="174"/>
      <c r="Q616" s="174"/>
      <c r="R616" s="174"/>
      <c r="S616" s="174"/>
      <c r="T616" s="174"/>
      <c r="U616" s="174"/>
      <c r="V616" s="174"/>
      <c r="W616" s="174"/>
      <c r="X616" s="174"/>
      <c r="Y616" s="174"/>
      <c r="Z616" s="174"/>
    </row>
    <row r="617" customFormat="false" ht="15.75" hidden="false" customHeight="false" outlineLevel="0" collapsed="false">
      <c r="A617" s="174"/>
      <c r="B617" s="174"/>
      <c r="C617" s="174"/>
      <c r="D617" s="174"/>
      <c r="E617" s="174"/>
      <c r="F617" s="174"/>
      <c r="G617" s="174"/>
      <c r="H617" s="174"/>
      <c r="I617" s="174"/>
      <c r="J617" s="174"/>
      <c r="K617" s="174"/>
      <c r="L617" s="174"/>
      <c r="M617" s="174"/>
      <c r="N617" s="174"/>
      <c r="O617" s="174"/>
      <c r="P617" s="174"/>
      <c r="Q617" s="174"/>
      <c r="R617" s="174"/>
      <c r="S617" s="174"/>
      <c r="T617" s="174"/>
      <c r="U617" s="174"/>
      <c r="V617" s="174"/>
      <c r="W617" s="174"/>
      <c r="X617" s="174"/>
      <c r="Y617" s="174"/>
      <c r="Z617" s="174"/>
    </row>
    <row r="618" customFormat="false" ht="15.75" hidden="false" customHeight="false" outlineLevel="0" collapsed="false">
      <c r="A618" s="174"/>
      <c r="B618" s="174"/>
      <c r="C618" s="174"/>
      <c r="D618" s="174"/>
      <c r="E618" s="174"/>
      <c r="F618" s="174"/>
      <c r="G618" s="174"/>
      <c r="H618" s="174"/>
      <c r="I618" s="174"/>
      <c r="J618" s="174"/>
      <c r="K618" s="174"/>
      <c r="L618" s="174"/>
      <c r="M618" s="174"/>
      <c r="N618" s="174"/>
      <c r="O618" s="174"/>
      <c r="P618" s="174"/>
      <c r="Q618" s="174"/>
      <c r="R618" s="174"/>
      <c r="S618" s="174"/>
      <c r="T618" s="174"/>
      <c r="U618" s="174"/>
      <c r="V618" s="174"/>
      <c r="W618" s="174"/>
      <c r="X618" s="174"/>
      <c r="Y618" s="174"/>
      <c r="Z618" s="174"/>
    </row>
    <row r="619" customFormat="false" ht="15.75" hidden="false" customHeight="false" outlineLevel="0" collapsed="false">
      <c r="A619" s="174"/>
      <c r="B619" s="174"/>
      <c r="C619" s="174"/>
      <c r="D619" s="174"/>
      <c r="E619" s="174"/>
      <c r="F619" s="174"/>
      <c r="G619" s="174"/>
      <c r="H619" s="174"/>
      <c r="I619" s="174"/>
      <c r="J619" s="174"/>
      <c r="K619" s="174"/>
      <c r="L619" s="174"/>
      <c r="M619" s="174"/>
      <c r="N619" s="174"/>
      <c r="O619" s="174"/>
      <c r="P619" s="174"/>
      <c r="Q619" s="174"/>
      <c r="R619" s="174"/>
      <c r="S619" s="174"/>
      <c r="T619" s="174"/>
      <c r="U619" s="174"/>
      <c r="V619" s="174"/>
      <c r="W619" s="174"/>
      <c r="X619" s="174"/>
      <c r="Y619" s="174"/>
      <c r="Z619" s="174"/>
    </row>
    <row r="620" customFormat="false" ht="15.75" hidden="false" customHeight="false" outlineLevel="0" collapsed="false">
      <c r="A620" s="174"/>
      <c r="B620" s="174"/>
      <c r="C620" s="174"/>
      <c r="D620" s="174"/>
      <c r="E620" s="174"/>
      <c r="F620" s="174"/>
      <c r="G620" s="174"/>
      <c r="H620" s="174"/>
      <c r="I620" s="174"/>
      <c r="J620" s="174"/>
      <c r="K620" s="174"/>
      <c r="L620" s="174"/>
      <c r="M620" s="174"/>
      <c r="N620" s="174"/>
      <c r="O620" s="174"/>
      <c r="P620" s="174"/>
      <c r="Q620" s="174"/>
      <c r="R620" s="174"/>
      <c r="S620" s="174"/>
      <c r="T620" s="174"/>
      <c r="U620" s="174"/>
      <c r="V620" s="174"/>
      <c r="W620" s="174"/>
      <c r="X620" s="174"/>
      <c r="Y620" s="174"/>
      <c r="Z620" s="174"/>
    </row>
    <row r="621" customFormat="false" ht="15.75" hidden="false" customHeight="false" outlineLevel="0" collapsed="false">
      <c r="A621" s="174"/>
      <c r="B621" s="174"/>
      <c r="C621" s="174"/>
      <c r="D621" s="174"/>
      <c r="E621" s="174"/>
      <c r="F621" s="174"/>
      <c r="G621" s="174"/>
      <c r="H621" s="174"/>
      <c r="I621" s="174"/>
      <c r="J621" s="174"/>
      <c r="K621" s="174"/>
      <c r="L621" s="174"/>
      <c r="M621" s="174"/>
      <c r="N621" s="174"/>
      <c r="O621" s="174"/>
      <c r="P621" s="174"/>
      <c r="Q621" s="174"/>
      <c r="R621" s="174"/>
      <c r="S621" s="174"/>
      <c r="T621" s="174"/>
      <c r="U621" s="174"/>
      <c r="V621" s="174"/>
      <c r="W621" s="174"/>
      <c r="X621" s="174"/>
      <c r="Y621" s="174"/>
      <c r="Z621" s="174"/>
    </row>
    <row r="622" customFormat="false" ht="15.75" hidden="false" customHeight="false" outlineLevel="0" collapsed="false">
      <c r="A622" s="174"/>
      <c r="B622" s="174"/>
      <c r="C622" s="174"/>
      <c r="D622" s="174"/>
      <c r="E622" s="174"/>
      <c r="F622" s="174"/>
      <c r="G622" s="174"/>
      <c r="H622" s="174"/>
      <c r="I622" s="174"/>
      <c r="J622" s="174"/>
      <c r="K622" s="174"/>
      <c r="L622" s="174"/>
      <c r="M622" s="174"/>
      <c r="N622" s="174"/>
      <c r="O622" s="174"/>
      <c r="P622" s="174"/>
      <c r="Q622" s="174"/>
      <c r="R622" s="174"/>
      <c r="S622" s="174"/>
      <c r="T622" s="174"/>
      <c r="U622" s="174"/>
      <c r="V622" s="174"/>
      <c r="W622" s="174"/>
      <c r="X622" s="174"/>
      <c r="Y622" s="174"/>
      <c r="Z622" s="174"/>
    </row>
    <row r="623" customFormat="false" ht="15.75" hidden="false" customHeight="false" outlineLevel="0" collapsed="false">
      <c r="A623" s="174"/>
      <c r="B623" s="174"/>
      <c r="C623" s="174"/>
      <c r="D623" s="174"/>
      <c r="E623" s="174"/>
      <c r="F623" s="174"/>
      <c r="G623" s="174"/>
      <c r="H623" s="174"/>
      <c r="I623" s="174"/>
      <c r="J623" s="174"/>
      <c r="K623" s="174"/>
      <c r="L623" s="174"/>
      <c r="M623" s="174"/>
      <c r="N623" s="174"/>
      <c r="O623" s="174"/>
      <c r="P623" s="174"/>
      <c r="Q623" s="174"/>
      <c r="R623" s="174"/>
      <c r="S623" s="174"/>
      <c r="T623" s="174"/>
      <c r="U623" s="174"/>
      <c r="V623" s="174"/>
      <c r="W623" s="174"/>
      <c r="X623" s="174"/>
      <c r="Y623" s="174"/>
      <c r="Z623" s="174"/>
    </row>
    <row r="624" customFormat="false" ht="15.75" hidden="false" customHeight="false" outlineLevel="0" collapsed="false">
      <c r="A624" s="174"/>
      <c r="B624" s="174"/>
      <c r="C624" s="174"/>
      <c r="D624" s="174"/>
      <c r="E624" s="174"/>
      <c r="F624" s="174"/>
      <c r="G624" s="174"/>
      <c r="H624" s="174"/>
      <c r="I624" s="174"/>
      <c r="J624" s="174"/>
      <c r="K624" s="174"/>
      <c r="L624" s="174"/>
      <c r="M624" s="174"/>
      <c r="N624" s="174"/>
      <c r="O624" s="174"/>
      <c r="P624" s="174"/>
      <c r="Q624" s="174"/>
      <c r="R624" s="174"/>
      <c r="S624" s="174"/>
      <c r="T624" s="174"/>
      <c r="U624" s="174"/>
      <c r="V624" s="174"/>
      <c r="W624" s="174"/>
      <c r="X624" s="174"/>
      <c r="Y624" s="174"/>
      <c r="Z624" s="174"/>
    </row>
    <row r="625" customFormat="false" ht="15.75" hidden="false" customHeight="false" outlineLevel="0" collapsed="false">
      <c r="A625" s="174"/>
      <c r="B625" s="174"/>
      <c r="C625" s="174"/>
      <c r="D625" s="174"/>
      <c r="E625" s="174"/>
      <c r="F625" s="174"/>
      <c r="G625" s="174"/>
      <c r="H625" s="174"/>
      <c r="I625" s="174"/>
      <c r="J625" s="174"/>
      <c r="K625" s="174"/>
      <c r="L625" s="174"/>
      <c r="M625" s="174"/>
      <c r="N625" s="174"/>
      <c r="O625" s="174"/>
      <c r="P625" s="174"/>
      <c r="Q625" s="174"/>
      <c r="R625" s="174"/>
      <c r="S625" s="174"/>
      <c r="T625" s="174"/>
      <c r="U625" s="174"/>
      <c r="V625" s="174"/>
      <c r="W625" s="174"/>
      <c r="X625" s="174"/>
      <c r="Y625" s="174"/>
      <c r="Z625" s="174"/>
    </row>
    <row r="626" customFormat="false" ht="15.75" hidden="false" customHeight="false" outlineLevel="0" collapsed="false">
      <c r="A626" s="174"/>
      <c r="B626" s="174"/>
      <c r="C626" s="174"/>
      <c r="D626" s="174"/>
      <c r="E626" s="174"/>
      <c r="F626" s="174"/>
      <c r="G626" s="174"/>
      <c r="H626" s="174"/>
      <c r="I626" s="174"/>
      <c r="J626" s="174"/>
      <c r="K626" s="174"/>
      <c r="L626" s="174"/>
      <c r="M626" s="174"/>
      <c r="N626" s="174"/>
      <c r="O626" s="174"/>
      <c r="P626" s="174"/>
      <c r="Q626" s="174"/>
      <c r="R626" s="174"/>
      <c r="S626" s="174"/>
      <c r="T626" s="174"/>
      <c r="U626" s="174"/>
      <c r="V626" s="174"/>
      <c r="W626" s="174"/>
      <c r="X626" s="174"/>
      <c r="Y626" s="174"/>
      <c r="Z626" s="174"/>
    </row>
    <row r="627" customFormat="false" ht="15.75" hidden="false" customHeight="false" outlineLevel="0" collapsed="false">
      <c r="A627" s="174"/>
      <c r="B627" s="174"/>
      <c r="C627" s="174"/>
      <c r="D627" s="174"/>
      <c r="E627" s="174"/>
      <c r="F627" s="174"/>
      <c r="G627" s="174"/>
      <c r="H627" s="174"/>
      <c r="I627" s="174"/>
      <c r="J627" s="174"/>
      <c r="K627" s="174"/>
      <c r="L627" s="174"/>
      <c r="M627" s="174"/>
      <c r="N627" s="174"/>
      <c r="O627" s="174"/>
      <c r="P627" s="174"/>
      <c r="Q627" s="174"/>
      <c r="R627" s="174"/>
      <c r="S627" s="174"/>
      <c r="T627" s="174"/>
      <c r="U627" s="174"/>
      <c r="V627" s="174"/>
      <c r="W627" s="174"/>
      <c r="X627" s="174"/>
      <c r="Y627" s="174"/>
      <c r="Z627" s="174"/>
    </row>
    <row r="628" customFormat="false" ht="15.75" hidden="false" customHeight="false" outlineLevel="0" collapsed="false">
      <c r="A628" s="174"/>
      <c r="B628" s="174"/>
      <c r="C628" s="174"/>
      <c r="D628" s="174"/>
      <c r="E628" s="174"/>
      <c r="F628" s="174"/>
      <c r="G628" s="174"/>
      <c r="H628" s="174"/>
      <c r="I628" s="174"/>
      <c r="J628" s="174"/>
      <c r="K628" s="174"/>
      <c r="L628" s="174"/>
      <c r="M628" s="174"/>
      <c r="N628" s="174"/>
      <c r="O628" s="174"/>
      <c r="P628" s="174"/>
      <c r="Q628" s="174"/>
      <c r="R628" s="174"/>
      <c r="S628" s="174"/>
      <c r="T628" s="174"/>
      <c r="U628" s="174"/>
      <c r="V628" s="174"/>
      <c r="W628" s="174"/>
      <c r="X628" s="174"/>
      <c r="Y628" s="174"/>
      <c r="Z628" s="174"/>
    </row>
    <row r="629" customFormat="false" ht="15.75" hidden="false" customHeight="false" outlineLevel="0" collapsed="false">
      <c r="A629" s="174"/>
      <c r="B629" s="174"/>
      <c r="C629" s="174"/>
      <c r="D629" s="174"/>
      <c r="E629" s="174"/>
      <c r="F629" s="174"/>
      <c r="G629" s="174"/>
      <c r="H629" s="174"/>
      <c r="I629" s="174"/>
      <c r="J629" s="174"/>
      <c r="K629" s="174"/>
      <c r="L629" s="174"/>
      <c r="M629" s="174"/>
      <c r="N629" s="174"/>
      <c r="O629" s="174"/>
      <c r="P629" s="174"/>
      <c r="Q629" s="174"/>
      <c r="R629" s="174"/>
      <c r="S629" s="174"/>
      <c r="T629" s="174"/>
      <c r="U629" s="174"/>
      <c r="V629" s="174"/>
      <c r="W629" s="174"/>
      <c r="X629" s="174"/>
      <c r="Y629" s="174"/>
      <c r="Z629" s="174"/>
    </row>
    <row r="630" customFormat="false" ht="15.75" hidden="false" customHeight="false" outlineLevel="0" collapsed="false">
      <c r="A630" s="174"/>
      <c r="B630" s="174"/>
      <c r="C630" s="174"/>
      <c r="D630" s="174"/>
      <c r="E630" s="174"/>
      <c r="F630" s="174"/>
      <c r="G630" s="174"/>
      <c r="H630" s="174"/>
      <c r="I630" s="174"/>
      <c r="J630" s="174"/>
      <c r="K630" s="174"/>
      <c r="L630" s="174"/>
      <c r="M630" s="174"/>
      <c r="N630" s="174"/>
      <c r="O630" s="174"/>
      <c r="P630" s="174"/>
      <c r="Q630" s="174"/>
      <c r="R630" s="174"/>
      <c r="S630" s="174"/>
      <c r="T630" s="174"/>
      <c r="U630" s="174"/>
      <c r="V630" s="174"/>
      <c r="W630" s="174"/>
      <c r="X630" s="174"/>
      <c r="Y630" s="174"/>
      <c r="Z630" s="174"/>
    </row>
    <row r="631" customFormat="false" ht="15.75" hidden="false" customHeight="false" outlineLevel="0" collapsed="false">
      <c r="A631" s="174"/>
      <c r="B631" s="174"/>
      <c r="C631" s="174"/>
      <c r="D631" s="174"/>
      <c r="E631" s="174"/>
      <c r="F631" s="174"/>
      <c r="G631" s="174"/>
      <c r="H631" s="174"/>
      <c r="I631" s="174"/>
      <c r="J631" s="174"/>
      <c r="K631" s="174"/>
      <c r="L631" s="174"/>
      <c r="M631" s="174"/>
      <c r="N631" s="174"/>
      <c r="O631" s="174"/>
      <c r="P631" s="174"/>
      <c r="Q631" s="174"/>
      <c r="R631" s="174"/>
      <c r="S631" s="174"/>
      <c r="T631" s="174"/>
      <c r="U631" s="174"/>
      <c r="V631" s="174"/>
      <c r="W631" s="174"/>
      <c r="X631" s="174"/>
      <c r="Y631" s="174"/>
      <c r="Z631" s="174"/>
    </row>
    <row r="632" customFormat="false" ht="15.75" hidden="false" customHeight="false" outlineLevel="0" collapsed="false">
      <c r="A632" s="174"/>
      <c r="B632" s="174"/>
      <c r="C632" s="174"/>
      <c r="D632" s="174"/>
      <c r="E632" s="174"/>
      <c r="F632" s="174"/>
      <c r="G632" s="174"/>
      <c r="H632" s="174"/>
      <c r="I632" s="174"/>
      <c r="J632" s="174"/>
      <c r="K632" s="174"/>
      <c r="L632" s="174"/>
      <c r="M632" s="174"/>
      <c r="N632" s="174"/>
      <c r="O632" s="174"/>
      <c r="P632" s="174"/>
      <c r="Q632" s="174"/>
      <c r="R632" s="174"/>
      <c r="S632" s="174"/>
      <c r="T632" s="174"/>
      <c r="U632" s="174"/>
      <c r="V632" s="174"/>
      <c r="W632" s="174"/>
      <c r="X632" s="174"/>
      <c r="Y632" s="174"/>
      <c r="Z632" s="174"/>
    </row>
    <row r="633" customFormat="false" ht="15.75" hidden="false" customHeight="false" outlineLevel="0" collapsed="false">
      <c r="A633" s="174"/>
      <c r="B633" s="174"/>
      <c r="C633" s="174"/>
      <c r="D633" s="174"/>
      <c r="E633" s="174"/>
      <c r="F633" s="174"/>
      <c r="G633" s="174"/>
      <c r="H633" s="174"/>
      <c r="I633" s="174"/>
      <c r="J633" s="174"/>
      <c r="K633" s="174"/>
      <c r="L633" s="174"/>
      <c r="M633" s="174"/>
      <c r="N633" s="174"/>
      <c r="O633" s="174"/>
      <c r="P633" s="174"/>
      <c r="Q633" s="174"/>
      <c r="R633" s="174"/>
      <c r="S633" s="174"/>
      <c r="T633" s="174"/>
      <c r="U633" s="174"/>
      <c r="V633" s="174"/>
      <c r="W633" s="174"/>
      <c r="X633" s="174"/>
      <c r="Y633" s="174"/>
      <c r="Z633" s="174"/>
    </row>
    <row r="634" customFormat="false" ht="15.75" hidden="false" customHeight="false" outlineLevel="0" collapsed="false">
      <c r="A634" s="174"/>
      <c r="B634" s="174"/>
      <c r="C634" s="174"/>
      <c r="D634" s="174"/>
      <c r="E634" s="174"/>
      <c r="F634" s="174"/>
      <c r="G634" s="174"/>
      <c r="H634" s="174"/>
      <c r="I634" s="174"/>
      <c r="J634" s="174"/>
      <c r="K634" s="174"/>
      <c r="L634" s="174"/>
      <c r="M634" s="174"/>
      <c r="N634" s="174"/>
      <c r="O634" s="174"/>
      <c r="P634" s="174"/>
      <c r="Q634" s="174"/>
      <c r="R634" s="174"/>
      <c r="S634" s="174"/>
      <c r="T634" s="174"/>
      <c r="U634" s="174"/>
      <c r="V634" s="174"/>
      <c r="W634" s="174"/>
      <c r="X634" s="174"/>
      <c r="Y634" s="174"/>
      <c r="Z634" s="174"/>
    </row>
    <row r="635" customFormat="false" ht="15.75" hidden="false" customHeight="false" outlineLevel="0" collapsed="false">
      <c r="A635" s="174"/>
      <c r="B635" s="174"/>
      <c r="C635" s="174"/>
      <c r="D635" s="174"/>
      <c r="E635" s="174"/>
      <c r="F635" s="174"/>
      <c r="G635" s="174"/>
      <c r="H635" s="174"/>
      <c r="I635" s="174"/>
      <c r="J635" s="174"/>
      <c r="K635" s="174"/>
      <c r="L635" s="174"/>
      <c r="M635" s="174"/>
      <c r="N635" s="174"/>
      <c r="O635" s="174"/>
      <c r="P635" s="174"/>
      <c r="Q635" s="174"/>
      <c r="R635" s="174"/>
      <c r="S635" s="174"/>
      <c r="T635" s="174"/>
      <c r="U635" s="174"/>
      <c r="V635" s="174"/>
      <c r="W635" s="174"/>
      <c r="X635" s="174"/>
      <c r="Y635" s="174"/>
      <c r="Z635" s="174"/>
    </row>
    <row r="636" customFormat="false" ht="15.75" hidden="false" customHeight="false" outlineLevel="0" collapsed="false">
      <c r="A636" s="174"/>
      <c r="B636" s="174"/>
      <c r="C636" s="174"/>
      <c r="D636" s="174"/>
      <c r="E636" s="174"/>
      <c r="F636" s="174"/>
      <c r="G636" s="174"/>
      <c r="H636" s="174"/>
      <c r="I636" s="174"/>
      <c r="J636" s="174"/>
      <c r="K636" s="174"/>
      <c r="L636" s="174"/>
      <c r="M636" s="174"/>
      <c r="N636" s="174"/>
      <c r="O636" s="174"/>
      <c r="P636" s="174"/>
      <c r="Q636" s="174"/>
      <c r="R636" s="174"/>
      <c r="S636" s="174"/>
      <c r="T636" s="174"/>
      <c r="U636" s="174"/>
      <c r="V636" s="174"/>
      <c r="W636" s="174"/>
      <c r="X636" s="174"/>
      <c r="Y636" s="174"/>
      <c r="Z636" s="174"/>
    </row>
    <row r="637" customFormat="false" ht="15.75" hidden="false" customHeight="false" outlineLevel="0" collapsed="false">
      <c r="A637" s="174"/>
      <c r="B637" s="174"/>
      <c r="C637" s="174"/>
      <c r="D637" s="174"/>
      <c r="E637" s="174"/>
      <c r="F637" s="174"/>
      <c r="G637" s="174"/>
      <c r="H637" s="174"/>
      <c r="I637" s="174"/>
      <c r="J637" s="174"/>
      <c r="K637" s="174"/>
      <c r="L637" s="174"/>
      <c r="M637" s="174"/>
      <c r="N637" s="174"/>
      <c r="O637" s="174"/>
      <c r="P637" s="174"/>
      <c r="Q637" s="174"/>
      <c r="R637" s="174"/>
      <c r="S637" s="174"/>
      <c r="T637" s="174"/>
      <c r="U637" s="174"/>
      <c r="V637" s="174"/>
      <c r="W637" s="174"/>
      <c r="X637" s="174"/>
      <c r="Y637" s="174"/>
      <c r="Z637" s="174"/>
    </row>
    <row r="638" customFormat="false" ht="15.75" hidden="false" customHeight="false" outlineLevel="0" collapsed="false">
      <c r="A638" s="174"/>
      <c r="B638" s="174"/>
      <c r="C638" s="174"/>
      <c r="D638" s="174"/>
      <c r="E638" s="174"/>
      <c r="F638" s="174"/>
      <c r="G638" s="174"/>
      <c r="H638" s="174"/>
      <c r="I638" s="174"/>
      <c r="J638" s="174"/>
      <c r="K638" s="174"/>
      <c r="L638" s="174"/>
      <c r="M638" s="174"/>
      <c r="N638" s="174"/>
      <c r="O638" s="174"/>
      <c r="P638" s="174"/>
      <c r="Q638" s="174"/>
      <c r="R638" s="174"/>
      <c r="S638" s="174"/>
      <c r="T638" s="174"/>
      <c r="U638" s="174"/>
      <c r="V638" s="174"/>
      <c r="W638" s="174"/>
      <c r="X638" s="174"/>
      <c r="Y638" s="174"/>
      <c r="Z638" s="174"/>
    </row>
    <row r="639" customFormat="false" ht="15.75" hidden="false" customHeight="false" outlineLevel="0" collapsed="false">
      <c r="A639" s="174"/>
      <c r="B639" s="174"/>
      <c r="C639" s="174"/>
      <c r="D639" s="174"/>
      <c r="E639" s="174"/>
      <c r="F639" s="174"/>
      <c r="G639" s="174"/>
      <c r="H639" s="174"/>
      <c r="I639" s="174"/>
      <c r="J639" s="174"/>
      <c r="K639" s="174"/>
      <c r="L639" s="174"/>
      <c r="M639" s="174"/>
      <c r="N639" s="174"/>
      <c r="O639" s="174"/>
      <c r="P639" s="174"/>
      <c r="Q639" s="174"/>
      <c r="R639" s="174"/>
      <c r="S639" s="174"/>
      <c r="T639" s="174"/>
      <c r="U639" s="174"/>
      <c r="V639" s="174"/>
      <c r="W639" s="174"/>
      <c r="X639" s="174"/>
      <c r="Y639" s="174"/>
      <c r="Z639" s="174"/>
    </row>
    <row r="640" customFormat="false" ht="15.75" hidden="false" customHeight="false" outlineLevel="0" collapsed="false">
      <c r="A640" s="174"/>
      <c r="B640" s="174"/>
      <c r="C640" s="174"/>
      <c r="D640" s="174"/>
      <c r="E640" s="174"/>
      <c r="F640" s="174"/>
      <c r="G640" s="174"/>
      <c r="H640" s="174"/>
      <c r="I640" s="174"/>
      <c r="J640" s="174"/>
      <c r="K640" s="174"/>
      <c r="L640" s="174"/>
      <c r="M640" s="174"/>
      <c r="N640" s="174"/>
      <c r="O640" s="174"/>
      <c r="P640" s="174"/>
      <c r="Q640" s="174"/>
      <c r="R640" s="174"/>
      <c r="S640" s="174"/>
      <c r="T640" s="174"/>
      <c r="U640" s="174"/>
      <c r="V640" s="174"/>
      <c r="W640" s="174"/>
      <c r="X640" s="174"/>
      <c r="Y640" s="174"/>
      <c r="Z640" s="174"/>
    </row>
    <row r="641" customFormat="false" ht="15.75" hidden="false" customHeight="false" outlineLevel="0" collapsed="false">
      <c r="A641" s="174"/>
      <c r="B641" s="174"/>
      <c r="C641" s="174"/>
      <c r="D641" s="174"/>
      <c r="E641" s="174"/>
      <c r="F641" s="174"/>
      <c r="G641" s="174"/>
      <c r="H641" s="174"/>
      <c r="I641" s="174"/>
      <c r="J641" s="174"/>
      <c r="K641" s="174"/>
      <c r="L641" s="174"/>
      <c r="M641" s="174"/>
      <c r="N641" s="174"/>
      <c r="O641" s="174"/>
      <c r="P641" s="174"/>
      <c r="Q641" s="174"/>
      <c r="R641" s="174"/>
      <c r="S641" s="174"/>
      <c r="T641" s="174"/>
      <c r="U641" s="174"/>
      <c r="V641" s="174"/>
      <c r="W641" s="174"/>
      <c r="X641" s="174"/>
      <c r="Y641" s="174"/>
      <c r="Z641" s="174"/>
    </row>
    <row r="642" customFormat="false" ht="15.75" hidden="false" customHeight="false" outlineLevel="0" collapsed="false">
      <c r="A642" s="174"/>
      <c r="B642" s="174"/>
      <c r="C642" s="174"/>
      <c r="D642" s="174"/>
      <c r="E642" s="174"/>
      <c r="F642" s="174"/>
      <c r="G642" s="174"/>
      <c r="H642" s="174"/>
      <c r="I642" s="174"/>
      <c r="J642" s="174"/>
      <c r="K642" s="174"/>
      <c r="L642" s="174"/>
      <c r="M642" s="174"/>
      <c r="N642" s="174"/>
      <c r="O642" s="174"/>
      <c r="P642" s="174"/>
      <c r="Q642" s="174"/>
      <c r="R642" s="174"/>
      <c r="S642" s="174"/>
      <c r="T642" s="174"/>
      <c r="U642" s="174"/>
      <c r="V642" s="174"/>
      <c r="W642" s="174"/>
      <c r="X642" s="174"/>
      <c r="Y642" s="174"/>
      <c r="Z642" s="174"/>
    </row>
    <row r="643" customFormat="false" ht="15.75" hidden="false" customHeight="false" outlineLevel="0" collapsed="false">
      <c r="A643" s="174"/>
      <c r="B643" s="174"/>
      <c r="C643" s="174"/>
      <c r="D643" s="174"/>
      <c r="E643" s="174"/>
      <c r="F643" s="174"/>
      <c r="G643" s="174"/>
      <c r="H643" s="174"/>
      <c r="I643" s="174"/>
      <c r="J643" s="174"/>
      <c r="K643" s="174"/>
      <c r="L643" s="174"/>
      <c r="M643" s="174"/>
      <c r="N643" s="174"/>
      <c r="O643" s="174"/>
      <c r="P643" s="174"/>
      <c r="Q643" s="174"/>
      <c r="R643" s="174"/>
      <c r="S643" s="174"/>
      <c r="T643" s="174"/>
      <c r="U643" s="174"/>
      <c r="V643" s="174"/>
      <c r="W643" s="174"/>
      <c r="X643" s="174"/>
      <c r="Y643" s="174"/>
      <c r="Z643" s="174"/>
    </row>
    <row r="644" customFormat="false" ht="15.75" hidden="false" customHeight="false" outlineLevel="0" collapsed="false">
      <c r="A644" s="174"/>
      <c r="B644" s="174"/>
      <c r="C644" s="174"/>
      <c r="D644" s="174"/>
      <c r="E644" s="174"/>
      <c r="F644" s="174"/>
      <c r="G644" s="174"/>
      <c r="H644" s="174"/>
      <c r="I644" s="174"/>
      <c r="J644" s="174"/>
      <c r="K644" s="174"/>
      <c r="L644" s="174"/>
      <c r="M644" s="174"/>
      <c r="N644" s="174"/>
      <c r="O644" s="174"/>
      <c r="P644" s="174"/>
      <c r="Q644" s="174"/>
      <c r="R644" s="174"/>
      <c r="S644" s="174"/>
      <c r="T644" s="174"/>
      <c r="U644" s="174"/>
      <c r="V644" s="174"/>
      <c r="W644" s="174"/>
      <c r="X644" s="174"/>
      <c r="Y644" s="174"/>
      <c r="Z644" s="174"/>
    </row>
    <row r="645" customFormat="false" ht="15.75" hidden="false" customHeight="false" outlineLevel="0" collapsed="false">
      <c r="A645" s="174"/>
      <c r="B645" s="174"/>
      <c r="C645" s="174"/>
      <c r="D645" s="174"/>
      <c r="E645" s="174"/>
      <c r="F645" s="174"/>
      <c r="G645" s="174"/>
      <c r="H645" s="174"/>
      <c r="I645" s="174"/>
      <c r="J645" s="174"/>
      <c r="K645" s="174"/>
      <c r="L645" s="174"/>
      <c r="M645" s="174"/>
      <c r="N645" s="174"/>
      <c r="O645" s="174"/>
      <c r="P645" s="174"/>
      <c r="Q645" s="174"/>
      <c r="R645" s="174"/>
      <c r="S645" s="174"/>
      <c r="T645" s="174"/>
      <c r="U645" s="174"/>
      <c r="V645" s="174"/>
      <c r="W645" s="174"/>
      <c r="X645" s="174"/>
      <c r="Y645" s="174"/>
      <c r="Z645" s="174"/>
    </row>
    <row r="646" customFormat="false" ht="15.75" hidden="false" customHeight="false" outlineLevel="0" collapsed="false">
      <c r="A646" s="174"/>
      <c r="B646" s="174"/>
      <c r="C646" s="174"/>
      <c r="D646" s="174"/>
      <c r="E646" s="174"/>
      <c r="F646" s="174"/>
      <c r="G646" s="174"/>
      <c r="H646" s="174"/>
      <c r="I646" s="174"/>
      <c r="J646" s="174"/>
      <c r="K646" s="174"/>
      <c r="L646" s="174"/>
      <c r="M646" s="174"/>
      <c r="N646" s="174"/>
      <c r="O646" s="174"/>
      <c r="P646" s="174"/>
      <c r="Q646" s="174"/>
      <c r="R646" s="174"/>
      <c r="S646" s="174"/>
      <c r="T646" s="174"/>
      <c r="U646" s="174"/>
      <c r="V646" s="174"/>
      <c r="W646" s="174"/>
      <c r="X646" s="174"/>
      <c r="Y646" s="174"/>
      <c r="Z646" s="174"/>
    </row>
    <row r="647" customFormat="false" ht="15.75" hidden="false" customHeight="false" outlineLevel="0" collapsed="false">
      <c r="A647" s="174"/>
      <c r="B647" s="174"/>
      <c r="C647" s="174"/>
      <c r="D647" s="174"/>
      <c r="E647" s="174"/>
      <c r="F647" s="174"/>
      <c r="G647" s="174"/>
      <c r="H647" s="174"/>
      <c r="I647" s="174"/>
      <c r="J647" s="174"/>
      <c r="K647" s="174"/>
      <c r="L647" s="174"/>
      <c r="M647" s="174"/>
      <c r="N647" s="174"/>
      <c r="O647" s="174"/>
      <c r="P647" s="174"/>
      <c r="Q647" s="174"/>
      <c r="R647" s="174"/>
      <c r="S647" s="174"/>
      <c r="T647" s="174"/>
      <c r="U647" s="174"/>
      <c r="V647" s="174"/>
      <c r="W647" s="174"/>
      <c r="X647" s="174"/>
      <c r="Y647" s="174"/>
      <c r="Z647" s="174"/>
    </row>
    <row r="648" customFormat="false" ht="15.75" hidden="false" customHeight="false" outlineLevel="0" collapsed="false">
      <c r="A648" s="174"/>
      <c r="B648" s="174"/>
      <c r="C648" s="174"/>
      <c r="D648" s="174"/>
      <c r="E648" s="174"/>
      <c r="F648" s="174"/>
      <c r="G648" s="174"/>
      <c r="H648" s="174"/>
      <c r="I648" s="174"/>
      <c r="J648" s="174"/>
      <c r="K648" s="174"/>
      <c r="L648" s="174"/>
      <c r="M648" s="174"/>
      <c r="N648" s="174"/>
      <c r="O648" s="174"/>
      <c r="P648" s="174"/>
      <c r="Q648" s="174"/>
      <c r="R648" s="174"/>
      <c r="S648" s="174"/>
      <c r="T648" s="174"/>
      <c r="U648" s="174"/>
      <c r="V648" s="174"/>
      <c r="W648" s="174"/>
      <c r="X648" s="174"/>
      <c r="Y648" s="174"/>
      <c r="Z648" s="174"/>
    </row>
    <row r="649" customFormat="false" ht="15.75" hidden="false" customHeight="false" outlineLevel="0" collapsed="false">
      <c r="A649" s="174"/>
      <c r="B649" s="174"/>
      <c r="C649" s="174"/>
      <c r="D649" s="174"/>
      <c r="E649" s="174"/>
      <c r="F649" s="174"/>
      <c r="G649" s="174"/>
      <c r="H649" s="174"/>
      <c r="I649" s="174"/>
      <c r="J649" s="174"/>
      <c r="K649" s="174"/>
      <c r="L649" s="174"/>
      <c r="M649" s="174"/>
      <c r="N649" s="174"/>
      <c r="O649" s="174"/>
      <c r="P649" s="174"/>
      <c r="Q649" s="174"/>
      <c r="R649" s="174"/>
      <c r="S649" s="174"/>
      <c r="T649" s="174"/>
      <c r="U649" s="174"/>
      <c r="V649" s="174"/>
      <c r="W649" s="174"/>
      <c r="X649" s="174"/>
      <c r="Y649" s="174"/>
      <c r="Z649" s="174"/>
    </row>
    <row r="650" customFormat="false" ht="15.75" hidden="false" customHeight="false" outlineLevel="0" collapsed="false">
      <c r="A650" s="174"/>
      <c r="B650" s="174"/>
      <c r="C650" s="174"/>
      <c r="D650" s="174"/>
      <c r="E650" s="174"/>
      <c r="F650" s="174"/>
      <c r="G650" s="174"/>
      <c r="H650" s="174"/>
      <c r="I650" s="174"/>
      <c r="J650" s="174"/>
      <c r="K650" s="174"/>
      <c r="L650" s="174"/>
      <c r="M650" s="174"/>
      <c r="N650" s="174"/>
      <c r="O650" s="174"/>
      <c r="P650" s="174"/>
      <c r="Q650" s="174"/>
      <c r="R650" s="174"/>
      <c r="S650" s="174"/>
      <c r="T650" s="174"/>
      <c r="U650" s="174"/>
      <c r="V650" s="174"/>
      <c r="W650" s="174"/>
      <c r="X650" s="174"/>
      <c r="Y650" s="174"/>
      <c r="Z650" s="174"/>
    </row>
    <row r="651" customFormat="false" ht="15.75" hidden="false" customHeight="false" outlineLevel="0" collapsed="false">
      <c r="A651" s="174"/>
      <c r="B651" s="174"/>
      <c r="C651" s="174"/>
      <c r="D651" s="174"/>
      <c r="E651" s="174"/>
      <c r="F651" s="174"/>
      <c r="G651" s="174"/>
      <c r="H651" s="174"/>
      <c r="I651" s="174"/>
      <c r="J651" s="174"/>
      <c r="K651" s="174"/>
      <c r="L651" s="174"/>
      <c r="M651" s="174"/>
      <c r="N651" s="174"/>
      <c r="O651" s="174"/>
      <c r="P651" s="174"/>
      <c r="Q651" s="174"/>
      <c r="R651" s="174"/>
      <c r="S651" s="174"/>
      <c r="T651" s="174"/>
      <c r="U651" s="174"/>
      <c r="V651" s="174"/>
      <c r="W651" s="174"/>
      <c r="X651" s="174"/>
      <c r="Y651" s="174"/>
      <c r="Z651" s="174"/>
    </row>
    <row r="652" customFormat="false" ht="15.75" hidden="false" customHeight="false" outlineLevel="0" collapsed="false">
      <c r="A652" s="174"/>
      <c r="B652" s="174"/>
      <c r="C652" s="174"/>
      <c r="D652" s="174"/>
      <c r="E652" s="174"/>
      <c r="F652" s="174"/>
      <c r="G652" s="174"/>
      <c r="H652" s="174"/>
      <c r="I652" s="174"/>
      <c r="J652" s="174"/>
      <c r="K652" s="174"/>
      <c r="L652" s="174"/>
      <c r="M652" s="174"/>
      <c r="N652" s="174"/>
      <c r="O652" s="174"/>
      <c r="P652" s="174"/>
      <c r="Q652" s="174"/>
      <c r="R652" s="174"/>
      <c r="S652" s="174"/>
      <c r="T652" s="174"/>
      <c r="U652" s="174"/>
      <c r="V652" s="174"/>
      <c r="W652" s="174"/>
      <c r="X652" s="174"/>
      <c r="Y652" s="174"/>
      <c r="Z652" s="174"/>
    </row>
    <row r="653" customFormat="false" ht="15.75" hidden="false" customHeight="false" outlineLevel="0" collapsed="false">
      <c r="A653" s="174"/>
      <c r="B653" s="174"/>
      <c r="C653" s="174"/>
      <c r="D653" s="174"/>
      <c r="E653" s="174"/>
      <c r="F653" s="174"/>
      <c r="G653" s="174"/>
      <c r="H653" s="174"/>
      <c r="I653" s="174"/>
      <c r="J653" s="174"/>
      <c r="K653" s="174"/>
      <c r="L653" s="174"/>
      <c r="M653" s="174"/>
      <c r="N653" s="174"/>
      <c r="O653" s="174"/>
      <c r="P653" s="174"/>
      <c r="Q653" s="174"/>
      <c r="R653" s="174"/>
      <c r="S653" s="174"/>
      <c r="T653" s="174"/>
      <c r="U653" s="174"/>
      <c r="V653" s="174"/>
      <c r="W653" s="174"/>
      <c r="X653" s="174"/>
      <c r="Y653" s="174"/>
      <c r="Z653" s="174"/>
    </row>
    <row r="654" customFormat="false" ht="15.75" hidden="false" customHeight="false" outlineLevel="0" collapsed="false">
      <c r="A654" s="174"/>
      <c r="B654" s="174"/>
      <c r="C654" s="174"/>
      <c r="D654" s="174"/>
      <c r="E654" s="174"/>
      <c r="F654" s="174"/>
      <c r="G654" s="174"/>
      <c r="H654" s="174"/>
      <c r="I654" s="174"/>
      <c r="J654" s="174"/>
      <c r="K654" s="174"/>
      <c r="L654" s="174"/>
      <c r="M654" s="174"/>
      <c r="N654" s="174"/>
      <c r="O654" s="174"/>
      <c r="P654" s="174"/>
      <c r="Q654" s="174"/>
      <c r="R654" s="174"/>
      <c r="S654" s="174"/>
      <c r="T654" s="174"/>
      <c r="U654" s="174"/>
      <c r="V654" s="174"/>
      <c r="W654" s="174"/>
      <c r="X654" s="174"/>
      <c r="Y654" s="174"/>
      <c r="Z654" s="174"/>
    </row>
    <row r="655" customFormat="false" ht="15.75" hidden="false" customHeight="false" outlineLevel="0" collapsed="false">
      <c r="A655" s="174"/>
      <c r="B655" s="174"/>
      <c r="C655" s="174"/>
      <c r="D655" s="174"/>
      <c r="E655" s="174"/>
      <c r="F655" s="174"/>
      <c r="G655" s="174"/>
      <c r="H655" s="174"/>
      <c r="I655" s="174"/>
      <c r="J655" s="174"/>
      <c r="K655" s="174"/>
      <c r="L655" s="174"/>
      <c r="M655" s="174"/>
      <c r="N655" s="174"/>
      <c r="O655" s="174"/>
      <c r="P655" s="174"/>
      <c r="Q655" s="174"/>
      <c r="R655" s="174"/>
      <c r="S655" s="174"/>
      <c r="T655" s="174"/>
      <c r="U655" s="174"/>
      <c r="V655" s="174"/>
      <c r="W655" s="174"/>
      <c r="X655" s="174"/>
      <c r="Y655" s="174"/>
      <c r="Z655" s="174"/>
    </row>
    <row r="656" customFormat="false" ht="15.75" hidden="false" customHeight="false" outlineLevel="0" collapsed="false">
      <c r="A656" s="174"/>
      <c r="B656" s="174"/>
      <c r="C656" s="174"/>
      <c r="D656" s="174"/>
      <c r="E656" s="174"/>
      <c r="F656" s="174"/>
      <c r="G656" s="174"/>
      <c r="H656" s="174"/>
      <c r="I656" s="174"/>
      <c r="J656" s="174"/>
      <c r="K656" s="174"/>
      <c r="L656" s="174"/>
      <c r="M656" s="174"/>
      <c r="N656" s="174"/>
      <c r="O656" s="174"/>
      <c r="P656" s="174"/>
      <c r="Q656" s="174"/>
      <c r="R656" s="174"/>
      <c r="S656" s="174"/>
      <c r="T656" s="174"/>
      <c r="U656" s="174"/>
      <c r="V656" s="174"/>
      <c r="W656" s="174"/>
      <c r="X656" s="174"/>
      <c r="Y656" s="174"/>
      <c r="Z656" s="174"/>
    </row>
    <row r="657" customFormat="false" ht="15.75" hidden="false" customHeight="false" outlineLevel="0" collapsed="false">
      <c r="A657" s="174"/>
      <c r="B657" s="174"/>
      <c r="C657" s="174"/>
      <c r="D657" s="174"/>
      <c r="E657" s="174"/>
      <c r="F657" s="174"/>
      <c r="G657" s="174"/>
      <c r="H657" s="174"/>
      <c r="I657" s="174"/>
      <c r="J657" s="174"/>
      <c r="K657" s="174"/>
      <c r="L657" s="174"/>
      <c r="M657" s="174"/>
      <c r="N657" s="174"/>
      <c r="O657" s="174"/>
      <c r="P657" s="174"/>
      <c r="Q657" s="174"/>
      <c r="R657" s="174"/>
      <c r="S657" s="174"/>
      <c r="T657" s="174"/>
      <c r="U657" s="174"/>
      <c r="V657" s="174"/>
      <c r="W657" s="174"/>
      <c r="X657" s="174"/>
      <c r="Y657" s="174"/>
      <c r="Z657" s="174"/>
    </row>
    <row r="658" customFormat="false" ht="15.75" hidden="false" customHeight="false" outlineLevel="0" collapsed="false">
      <c r="A658" s="174"/>
      <c r="B658" s="174"/>
      <c r="C658" s="174"/>
      <c r="D658" s="174"/>
      <c r="E658" s="174"/>
      <c r="F658" s="174"/>
      <c r="G658" s="174"/>
      <c r="H658" s="174"/>
      <c r="I658" s="174"/>
      <c r="J658" s="174"/>
      <c r="K658" s="174"/>
      <c r="L658" s="174"/>
      <c r="M658" s="174"/>
      <c r="N658" s="174"/>
      <c r="O658" s="174"/>
      <c r="P658" s="174"/>
      <c r="Q658" s="174"/>
      <c r="R658" s="174"/>
      <c r="S658" s="174"/>
      <c r="T658" s="174"/>
      <c r="U658" s="174"/>
      <c r="V658" s="174"/>
      <c r="W658" s="174"/>
      <c r="X658" s="174"/>
      <c r="Y658" s="174"/>
      <c r="Z658" s="174"/>
    </row>
    <row r="659" customFormat="false" ht="15.75" hidden="false" customHeight="false" outlineLevel="0" collapsed="false">
      <c r="A659" s="174"/>
      <c r="B659" s="174"/>
      <c r="C659" s="174"/>
      <c r="D659" s="174"/>
      <c r="E659" s="174"/>
      <c r="F659" s="174"/>
      <c r="G659" s="174"/>
      <c r="H659" s="174"/>
      <c r="I659" s="174"/>
      <c r="J659" s="174"/>
      <c r="K659" s="174"/>
      <c r="L659" s="174"/>
      <c r="M659" s="174"/>
      <c r="N659" s="174"/>
      <c r="O659" s="174"/>
      <c r="P659" s="174"/>
      <c r="Q659" s="174"/>
      <c r="R659" s="174"/>
      <c r="S659" s="174"/>
      <c r="T659" s="174"/>
      <c r="U659" s="174"/>
      <c r="V659" s="174"/>
      <c r="W659" s="174"/>
      <c r="X659" s="174"/>
      <c r="Y659" s="174"/>
      <c r="Z659" s="174"/>
    </row>
    <row r="660" customFormat="false" ht="15.75" hidden="false" customHeight="false" outlineLevel="0" collapsed="false">
      <c r="A660" s="174"/>
      <c r="B660" s="174"/>
      <c r="C660" s="174"/>
      <c r="D660" s="174"/>
      <c r="E660" s="174"/>
      <c r="F660" s="174"/>
      <c r="G660" s="174"/>
      <c r="H660" s="174"/>
      <c r="I660" s="174"/>
      <c r="J660" s="174"/>
      <c r="K660" s="174"/>
      <c r="L660" s="174"/>
      <c r="M660" s="174"/>
      <c r="N660" s="174"/>
      <c r="O660" s="174"/>
      <c r="P660" s="174"/>
      <c r="Q660" s="174"/>
      <c r="R660" s="174"/>
      <c r="S660" s="174"/>
      <c r="T660" s="174"/>
      <c r="U660" s="174"/>
      <c r="V660" s="174"/>
      <c r="W660" s="174"/>
      <c r="X660" s="174"/>
      <c r="Y660" s="174"/>
      <c r="Z660" s="174"/>
    </row>
    <row r="661" customFormat="false" ht="15.75" hidden="false" customHeight="false" outlineLevel="0" collapsed="false">
      <c r="A661" s="174"/>
      <c r="B661" s="174"/>
      <c r="C661" s="174"/>
      <c r="D661" s="174"/>
      <c r="E661" s="174"/>
      <c r="F661" s="174"/>
      <c r="G661" s="174"/>
      <c r="H661" s="174"/>
      <c r="I661" s="174"/>
      <c r="J661" s="174"/>
      <c r="K661" s="174"/>
      <c r="L661" s="174"/>
      <c r="M661" s="174"/>
      <c r="N661" s="174"/>
      <c r="O661" s="174"/>
      <c r="P661" s="174"/>
      <c r="Q661" s="174"/>
      <c r="R661" s="174"/>
      <c r="S661" s="174"/>
      <c r="T661" s="174"/>
      <c r="U661" s="174"/>
      <c r="V661" s="174"/>
      <c r="W661" s="174"/>
      <c r="X661" s="174"/>
      <c r="Y661" s="174"/>
      <c r="Z661" s="174"/>
    </row>
    <row r="662" customFormat="false" ht="15.75" hidden="false" customHeight="false" outlineLevel="0" collapsed="false">
      <c r="A662" s="174"/>
      <c r="B662" s="174"/>
      <c r="C662" s="174"/>
      <c r="D662" s="174"/>
      <c r="E662" s="174"/>
      <c r="F662" s="174"/>
      <c r="G662" s="174"/>
      <c r="H662" s="174"/>
      <c r="I662" s="174"/>
      <c r="J662" s="174"/>
      <c r="K662" s="174"/>
      <c r="L662" s="174"/>
      <c r="M662" s="174"/>
      <c r="N662" s="174"/>
      <c r="O662" s="174"/>
      <c r="P662" s="174"/>
      <c r="Q662" s="174"/>
      <c r="R662" s="174"/>
      <c r="S662" s="174"/>
      <c r="T662" s="174"/>
      <c r="U662" s="174"/>
      <c r="V662" s="174"/>
      <c r="W662" s="174"/>
      <c r="X662" s="174"/>
      <c r="Y662" s="174"/>
      <c r="Z662" s="174"/>
    </row>
    <row r="663" customFormat="false" ht="15.75" hidden="false" customHeight="false" outlineLevel="0" collapsed="false">
      <c r="A663" s="174"/>
      <c r="B663" s="174"/>
      <c r="C663" s="174"/>
      <c r="D663" s="174"/>
      <c r="E663" s="174"/>
      <c r="F663" s="174"/>
      <c r="G663" s="174"/>
      <c r="H663" s="174"/>
      <c r="I663" s="174"/>
      <c r="J663" s="174"/>
      <c r="K663" s="174"/>
      <c r="L663" s="174"/>
      <c r="M663" s="174"/>
      <c r="N663" s="174"/>
      <c r="O663" s="174"/>
      <c r="P663" s="174"/>
      <c r="Q663" s="174"/>
      <c r="R663" s="174"/>
      <c r="S663" s="174"/>
      <c r="T663" s="174"/>
      <c r="U663" s="174"/>
      <c r="V663" s="174"/>
      <c r="W663" s="174"/>
      <c r="X663" s="174"/>
      <c r="Y663" s="174"/>
      <c r="Z663" s="174"/>
    </row>
    <row r="664" customFormat="false" ht="15.75" hidden="false" customHeight="false" outlineLevel="0" collapsed="false">
      <c r="A664" s="174"/>
      <c r="B664" s="174"/>
      <c r="C664" s="174"/>
      <c r="D664" s="174"/>
      <c r="E664" s="174"/>
      <c r="F664" s="174"/>
      <c r="G664" s="174"/>
      <c r="H664" s="174"/>
      <c r="I664" s="174"/>
      <c r="J664" s="174"/>
      <c r="K664" s="174"/>
      <c r="L664" s="174"/>
      <c r="M664" s="174"/>
      <c r="N664" s="174"/>
      <c r="O664" s="174"/>
      <c r="P664" s="174"/>
      <c r="Q664" s="174"/>
      <c r="R664" s="174"/>
      <c r="S664" s="174"/>
      <c r="T664" s="174"/>
      <c r="U664" s="174"/>
      <c r="V664" s="174"/>
      <c r="W664" s="174"/>
      <c r="X664" s="174"/>
      <c r="Y664" s="174"/>
      <c r="Z664" s="174"/>
    </row>
    <row r="665" customFormat="false" ht="15.75" hidden="false" customHeight="false" outlineLevel="0" collapsed="false">
      <c r="A665" s="174"/>
      <c r="B665" s="174"/>
      <c r="C665" s="174"/>
      <c r="D665" s="174"/>
      <c r="E665" s="174"/>
      <c r="F665" s="174"/>
      <c r="G665" s="174"/>
      <c r="H665" s="174"/>
      <c r="I665" s="174"/>
      <c r="J665" s="174"/>
      <c r="K665" s="174"/>
      <c r="L665" s="174"/>
      <c r="M665" s="174"/>
      <c r="N665" s="174"/>
      <c r="O665" s="174"/>
      <c r="P665" s="174"/>
      <c r="Q665" s="174"/>
      <c r="R665" s="174"/>
      <c r="S665" s="174"/>
      <c r="T665" s="174"/>
      <c r="U665" s="174"/>
      <c r="V665" s="174"/>
      <c r="W665" s="174"/>
      <c r="X665" s="174"/>
      <c r="Y665" s="174"/>
      <c r="Z665" s="174"/>
    </row>
    <row r="666" customFormat="false" ht="15.75" hidden="false" customHeight="false" outlineLevel="0" collapsed="false">
      <c r="A666" s="174"/>
      <c r="B666" s="174"/>
      <c r="C666" s="174"/>
      <c r="D666" s="174"/>
      <c r="E666" s="174"/>
      <c r="F666" s="174"/>
      <c r="G666" s="174"/>
      <c r="H666" s="174"/>
      <c r="I666" s="174"/>
      <c r="J666" s="174"/>
      <c r="K666" s="174"/>
      <c r="L666" s="174"/>
      <c r="M666" s="174"/>
      <c r="N666" s="174"/>
      <c r="O666" s="174"/>
      <c r="P666" s="174"/>
      <c r="Q666" s="174"/>
      <c r="R666" s="174"/>
      <c r="S666" s="174"/>
      <c r="T666" s="174"/>
      <c r="U666" s="174"/>
      <c r="V666" s="174"/>
      <c r="W666" s="174"/>
      <c r="X666" s="174"/>
      <c r="Y666" s="174"/>
      <c r="Z666" s="174"/>
    </row>
    <row r="667" customFormat="false" ht="15.75" hidden="false" customHeight="false" outlineLevel="0" collapsed="false">
      <c r="A667" s="174"/>
      <c r="B667" s="174"/>
      <c r="C667" s="174"/>
      <c r="D667" s="174"/>
      <c r="E667" s="174"/>
      <c r="F667" s="174"/>
      <c r="G667" s="174"/>
      <c r="H667" s="174"/>
      <c r="I667" s="174"/>
      <c r="J667" s="174"/>
      <c r="K667" s="174"/>
      <c r="L667" s="174"/>
      <c r="M667" s="174"/>
      <c r="N667" s="174"/>
      <c r="O667" s="174"/>
      <c r="P667" s="174"/>
      <c r="Q667" s="174"/>
      <c r="R667" s="174"/>
      <c r="S667" s="174"/>
      <c r="T667" s="174"/>
      <c r="U667" s="174"/>
      <c r="V667" s="174"/>
      <c r="W667" s="174"/>
      <c r="X667" s="174"/>
      <c r="Y667" s="174"/>
      <c r="Z667" s="174"/>
    </row>
    <row r="668" customFormat="false" ht="15.75" hidden="false" customHeight="false" outlineLevel="0" collapsed="false">
      <c r="A668" s="174"/>
      <c r="B668" s="174"/>
      <c r="C668" s="174"/>
      <c r="D668" s="174"/>
      <c r="E668" s="174"/>
      <c r="F668" s="174"/>
      <c r="G668" s="174"/>
      <c r="H668" s="174"/>
      <c r="I668" s="174"/>
      <c r="J668" s="174"/>
      <c r="K668" s="174"/>
      <c r="L668" s="174"/>
      <c r="M668" s="174"/>
      <c r="N668" s="174"/>
      <c r="O668" s="174"/>
      <c r="P668" s="174"/>
      <c r="Q668" s="174"/>
      <c r="R668" s="174"/>
      <c r="S668" s="174"/>
      <c r="T668" s="174"/>
      <c r="U668" s="174"/>
      <c r="V668" s="174"/>
      <c r="W668" s="174"/>
      <c r="X668" s="174"/>
      <c r="Y668" s="174"/>
      <c r="Z668" s="174"/>
    </row>
    <row r="669" customFormat="false" ht="15.75" hidden="false" customHeight="false" outlineLevel="0" collapsed="false">
      <c r="A669" s="174"/>
      <c r="B669" s="174"/>
      <c r="C669" s="174"/>
      <c r="D669" s="174"/>
      <c r="E669" s="174"/>
      <c r="F669" s="174"/>
      <c r="G669" s="174"/>
      <c r="H669" s="174"/>
      <c r="I669" s="174"/>
      <c r="J669" s="174"/>
      <c r="K669" s="174"/>
      <c r="L669" s="174"/>
      <c r="M669" s="174"/>
      <c r="N669" s="174"/>
      <c r="O669" s="174"/>
      <c r="P669" s="174"/>
      <c r="Q669" s="174"/>
      <c r="R669" s="174"/>
      <c r="S669" s="174"/>
      <c r="T669" s="174"/>
      <c r="U669" s="174"/>
      <c r="V669" s="174"/>
      <c r="W669" s="174"/>
      <c r="X669" s="174"/>
      <c r="Y669" s="174"/>
      <c r="Z669" s="174"/>
    </row>
    <row r="670" customFormat="false" ht="15.75" hidden="false" customHeight="false" outlineLevel="0" collapsed="false">
      <c r="A670" s="174"/>
      <c r="B670" s="174"/>
      <c r="C670" s="174"/>
      <c r="D670" s="174"/>
      <c r="E670" s="174"/>
      <c r="F670" s="174"/>
      <c r="G670" s="174"/>
      <c r="H670" s="174"/>
      <c r="I670" s="174"/>
      <c r="J670" s="174"/>
      <c r="K670" s="174"/>
      <c r="L670" s="174"/>
      <c r="M670" s="174"/>
      <c r="N670" s="174"/>
      <c r="O670" s="174"/>
      <c r="P670" s="174"/>
      <c r="Q670" s="174"/>
      <c r="R670" s="174"/>
      <c r="S670" s="174"/>
      <c r="T670" s="174"/>
      <c r="U670" s="174"/>
      <c r="V670" s="174"/>
      <c r="W670" s="174"/>
      <c r="X670" s="174"/>
      <c r="Y670" s="174"/>
      <c r="Z670" s="174"/>
    </row>
    <row r="671" customFormat="false" ht="15.75" hidden="false" customHeight="false" outlineLevel="0" collapsed="false">
      <c r="A671" s="174"/>
      <c r="B671" s="174"/>
      <c r="C671" s="174"/>
      <c r="D671" s="174"/>
      <c r="E671" s="174"/>
      <c r="F671" s="174"/>
      <c r="G671" s="174"/>
      <c r="H671" s="174"/>
      <c r="I671" s="174"/>
      <c r="J671" s="174"/>
      <c r="K671" s="174"/>
      <c r="L671" s="174"/>
      <c r="M671" s="174"/>
      <c r="N671" s="174"/>
      <c r="O671" s="174"/>
      <c r="P671" s="174"/>
      <c r="Q671" s="174"/>
      <c r="R671" s="174"/>
      <c r="S671" s="174"/>
      <c r="T671" s="174"/>
      <c r="U671" s="174"/>
      <c r="V671" s="174"/>
      <c r="W671" s="174"/>
      <c r="X671" s="174"/>
      <c r="Y671" s="174"/>
      <c r="Z671" s="174"/>
    </row>
    <row r="672" customFormat="false" ht="15.75" hidden="false" customHeight="false" outlineLevel="0" collapsed="false">
      <c r="A672" s="174"/>
      <c r="B672" s="174"/>
      <c r="C672" s="174"/>
      <c r="D672" s="174"/>
      <c r="E672" s="174"/>
      <c r="F672" s="174"/>
      <c r="G672" s="174"/>
      <c r="H672" s="174"/>
      <c r="I672" s="174"/>
      <c r="J672" s="174"/>
      <c r="K672" s="174"/>
      <c r="L672" s="174"/>
      <c r="M672" s="174"/>
      <c r="N672" s="174"/>
      <c r="O672" s="174"/>
      <c r="P672" s="174"/>
      <c r="Q672" s="174"/>
      <c r="R672" s="174"/>
      <c r="S672" s="174"/>
      <c r="T672" s="174"/>
      <c r="U672" s="174"/>
      <c r="V672" s="174"/>
      <c r="W672" s="174"/>
      <c r="X672" s="174"/>
      <c r="Y672" s="174"/>
      <c r="Z672" s="174"/>
    </row>
    <row r="673" customFormat="false" ht="15.75" hidden="false" customHeight="false" outlineLevel="0" collapsed="false">
      <c r="A673" s="174"/>
      <c r="B673" s="174"/>
      <c r="C673" s="174"/>
      <c r="D673" s="174"/>
      <c r="E673" s="174"/>
      <c r="F673" s="174"/>
      <c r="G673" s="174"/>
      <c r="H673" s="174"/>
      <c r="I673" s="174"/>
      <c r="J673" s="174"/>
      <c r="K673" s="174"/>
      <c r="L673" s="174"/>
      <c r="M673" s="174"/>
      <c r="N673" s="174"/>
      <c r="O673" s="174"/>
      <c r="P673" s="174"/>
      <c r="Q673" s="174"/>
      <c r="R673" s="174"/>
      <c r="S673" s="174"/>
      <c r="T673" s="174"/>
      <c r="U673" s="174"/>
      <c r="V673" s="174"/>
      <c r="W673" s="174"/>
      <c r="X673" s="174"/>
      <c r="Y673" s="174"/>
      <c r="Z673" s="174"/>
    </row>
    <row r="674" customFormat="false" ht="15.75" hidden="false" customHeight="false" outlineLevel="0" collapsed="false">
      <c r="A674" s="174"/>
      <c r="B674" s="174"/>
      <c r="C674" s="174"/>
      <c r="D674" s="174"/>
      <c r="E674" s="174"/>
      <c r="F674" s="174"/>
      <c r="G674" s="174"/>
      <c r="H674" s="174"/>
      <c r="I674" s="174"/>
      <c r="J674" s="174"/>
      <c r="K674" s="174"/>
      <c r="L674" s="174"/>
      <c r="M674" s="174"/>
      <c r="N674" s="174"/>
      <c r="O674" s="174"/>
      <c r="P674" s="174"/>
      <c r="Q674" s="174"/>
      <c r="R674" s="174"/>
      <c r="S674" s="174"/>
      <c r="T674" s="174"/>
      <c r="U674" s="174"/>
      <c r="V674" s="174"/>
      <c r="W674" s="174"/>
      <c r="X674" s="174"/>
      <c r="Y674" s="174"/>
      <c r="Z674" s="174"/>
    </row>
    <row r="675" customFormat="false" ht="15.75" hidden="false" customHeight="false" outlineLevel="0" collapsed="false">
      <c r="A675" s="174"/>
      <c r="B675" s="174"/>
      <c r="C675" s="174"/>
      <c r="D675" s="174"/>
      <c r="E675" s="174"/>
      <c r="F675" s="174"/>
      <c r="G675" s="174"/>
      <c r="H675" s="174"/>
      <c r="I675" s="174"/>
      <c r="J675" s="174"/>
      <c r="K675" s="174"/>
      <c r="L675" s="174"/>
      <c r="M675" s="174"/>
      <c r="N675" s="174"/>
      <c r="O675" s="174"/>
      <c r="P675" s="174"/>
      <c r="Q675" s="174"/>
      <c r="R675" s="174"/>
      <c r="S675" s="174"/>
      <c r="T675" s="174"/>
      <c r="U675" s="174"/>
      <c r="V675" s="174"/>
      <c r="W675" s="174"/>
      <c r="X675" s="174"/>
      <c r="Y675" s="174"/>
      <c r="Z675" s="174"/>
    </row>
    <row r="676" customFormat="false" ht="15.75" hidden="false" customHeight="false" outlineLevel="0" collapsed="false">
      <c r="A676" s="174"/>
      <c r="B676" s="174"/>
      <c r="C676" s="174"/>
      <c r="D676" s="174"/>
      <c r="E676" s="174"/>
      <c r="F676" s="174"/>
      <c r="G676" s="174"/>
      <c r="H676" s="174"/>
      <c r="I676" s="174"/>
      <c r="J676" s="174"/>
      <c r="K676" s="174"/>
      <c r="L676" s="174"/>
      <c r="M676" s="174"/>
      <c r="N676" s="174"/>
      <c r="O676" s="174"/>
      <c r="P676" s="174"/>
      <c r="Q676" s="174"/>
      <c r="R676" s="174"/>
      <c r="S676" s="174"/>
      <c r="T676" s="174"/>
      <c r="U676" s="174"/>
      <c r="V676" s="174"/>
      <c r="W676" s="174"/>
      <c r="X676" s="174"/>
      <c r="Y676" s="174"/>
      <c r="Z676" s="174"/>
    </row>
    <row r="677" customFormat="false" ht="15.75" hidden="false" customHeight="false" outlineLevel="0" collapsed="false">
      <c r="A677" s="174"/>
      <c r="B677" s="174"/>
      <c r="C677" s="174"/>
      <c r="D677" s="174"/>
      <c r="E677" s="174"/>
      <c r="F677" s="174"/>
      <c r="G677" s="174"/>
      <c r="H677" s="174"/>
      <c r="I677" s="174"/>
      <c r="J677" s="174"/>
      <c r="K677" s="174"/>
      <c r="L677" s="174"/>
      <c r="M677" s="174"/>
      <c r="N677" s="174"/>
      <c r="O677" s="174"/>
      <c r="P677" s="174"/>
      <c r="Q677" s="174"/>
      <c r="R677" s="174"/>
      <c r="S677" s="174"/>
      <c r="T677" s="174"/>
      <c r="U677" s="174"/>
      <c r="V677" s="174"/>
      <c r="W677" s="174"/>
      <c r="X677" s="174"/>
      <c r="Y677" s="174"/>
      <c r="Z677" s="174"/>
    </row>
    <row r="678" customFormat="false" ht="15.75" hidden="false" customHeight="false" outlineLevel="0" collapsed="false">
      <c r="A678" s="174"/>
      <c r="B678" s="174"/>
      <c r="C678" s="174"/>
      <c r="D678" s="174"/>
      <c r="E678" s="174"/>
      <c r="F678" s="174"/>
      <c r="G678" s="174"/>
      <c r="H678" s="174"/>
      <c r="I678" s="174"/>
      <c r="J678" s="174"/>
      <c r="K678" s="174"/>
      <c r="L678" s="174"/>
      <c r="M678" s="174"/>
      <c r="N678" s="174"/>
      <c r="O678" s="174"/>
      <c r="P678" s="174"/>
      <c r="Q678" s="174"/>
      <c r="R678" s="174"/>
      <c r="S678" s="174"/>
      <c r="T678" s="174"/>
      <c r="U678" s="174"/>
      <c r="V678" s="174"/>
      <c r="W678" s="174"/>
      <c r="X678" s="174"/>
      <c r="Y678" s="174"/>
      <c r="Z678" s="174"/>
    </row>
    <row r="679" customFormat="false" ht="15.75" hidden="false" customHeight="false" outlineLevel="0" collapsed="false">
      <c r="A679" s="174"/>
      <c r="B679" s="174"/>
      <c r="C679" s="174"/>
      <c r="D679" s="174"/>
      <c r="E679" s="174"/>
      <c r="F679" s="174"/>
      <c r="G679" s="174"/>
      <c r="H679" s="174"/>
      <c r="I679" s="174"/>
      <c r="J679" s="174"/>
      <c r="K679" s="174"/>
      <c r="L679" s="174"/>
      <c r="M679" s="174"/>
      <c r="N679" s="174"/>
      <c r="O679" s="174"/>
      <c r="P679" s="174"/>
      <c r="Q679" s="174"/>
      <c r="R679" s="174"/>
      <c r="S679" s="174"/>
      <c r="T679" s="174"/>
      <c r="U679" s="174"/>
      <c r="V679" s="174"/>
      <c r="W679" s="174"/>
      <c r="X679" s="174"/>
      <c r="Y679" s="174"/>
      <c r="Z679" s="174"/>
    </row>
    <row r="680" customFormat="false" ht="15.75" hidden="false" customHeight="false" outlineLevel="0" collapsed="false">
      <c r="A680" s="174"/>
      <c r="B680" s="174"/>
      <c r="C680" s="174"/>
      <c r="D680" s="174"/>
      <c r="E680" s="174"/>
      <c r="F680" s="174"/>
      <c r="G680" s="174"/>
      <c r="H680" s="174"/>
      <c r="I680" s="174"/>
      <c r="J680" s="174"/>
      <c r="K680" s="174"/>
      <c r="L680" s="174"/>
      <c r="M680" s="174"/>
      <c r="N680" s="174"/>
      <c r="O680" s="174"/>
      <c r="P680" s="174"/>
      <c r="Q680" s="174"/>
      <c r="R680" s="174"/>
      <c r="S680" s="174"/>
      <c r="T680" s="174"/>
      <c r="U680" s="174"/>
      <c r="V680" s="174"/>
      <c r="W680" s="174"/>
      <c r="X680" s="174"/>
      <c r="Y680" s="174"/>
      <c r="Z680" s="174"/>
    </row>
    <row r="681" customFormat="false" ht="15.75" hidden="false" customHeight="false" outlineLevel="0" collapsed="false">
      <c r="A681" s="174"/>
      <c r="B681" s="174"/>
      <c r="C681" s="174"/>
      <c r="D681" s="174"/>
      <c r="E681" s="174"/>
      <c r="F681" s="174"/>
      <c r="G681" s="174"/>
      <c r="H681" s="174"/>
      <c r="I681" s="174"/>
      <c r="J681" s="174"/>
      <c r="K681" s="174"/>
      <c r="L681" s="174"/>
      <c r="M681" s="174"/>
      <c r="N681" s="174"/>
      <c r="O681" s="174"/>
      <c r="P681" s="174"/>
      <c r="Q681" s="174"/>
      <c r="R681" s="174"/>
      <c r="S681" s="174"/>
      <c r="T681" s="174"/>
      <c r="U681" s="174"/>
      <c r="V681" s="174"/>
      <c r="W681" s="174"/>
      <c r="X681" s="174"/>
      <c r="Y681" s="174"/>
      <c r="Z681" s="174"/>
    </row>
    <row r="682" customFormat="false" ht="15.75" hidden="false" customHeight="false" outlineLevel="0" collapsed="false">
      <c r="A682" s="174"/>
      <c r="B682" s="174"/>
      <c r="C682" s="174"/>
      <c r="D682" s="174"/>
      <c r="E682" s="174"/>
      <c r="F682" s="174"/>
      <c r="G682" s="174"/>
      <c r="H682" s="174"/>
      <c r="I682" s="174"/>
      <c r="J682" s="174"/>
      <c r="K682" s="174"/>
      <c r="L682" s="174"/>
      <c r="M682" s="174"/>
      <c r="N682" s="174"/>
      <c r="O682" s="174"/>
      <c r="P682" s="174"/>
      <c r="Q682" s="174"/>
      <c r="R682" s="174"/>
      <c r="S682" s="174"/>
      <c r="T682" s="174"/>
      <c r="U682" s="174"/>
      <c r="V682" s="174"/>
      <c r="W682" s="174"/>
      <c r="X682" s="174"/>
      <c r="Y682" s="174"/>
      <c r="Z682" s="174"/>
    </row>
    <row r="683" customFormat="false" ht="15.75" hidden="false" customHeight="false" outlineLevel="0" collapsed="false">
      <c r="A683" s="174"/>
      <c r="B683" s="174"/>
      <c r="C683" s="174"/>
      <c r="D683" s="174"/>
      <c r="E683" s="174"/>
      <c r="F683" s="174"/>
      <c r="G683" s="174"/>
      <c r="H683" s="174"/>
      <c r="I683" s="174"/>
      <c r="J683" s="174"/>
      <c r="K683" s="174"/>
      <c r="L683" s="174"/>
      <c r="M683" s="174"/>
      <c r="N683" s="174"/>
      <c r="O683" s="174"/>
      <c r="P683" s="174"/>
      <c r="Q683" s="174"/>
      <c r="R683" s="174"/>
      <c r="S683" s="174"/>
      <c r="T683" s="174"/>
      <c r="U683" s="174"/>
      <c r="V683" s="174"/>
      <c r="W683" s="174"/>
      <c r="X683" s="174"/>
      <c r="Y683" s="174"/>
      <c r="Z683" s="174"/>
    </row>
    <row r="684" customFormat="false" ht="15.75" hidden="false" customHeight="false" outlineLevel="0" collapsed="false">
      <c r="A684" s="174"/>
      <c r="B684" s="174"/>
      <c r="C684" s="174"/>
      <c r="D684" s="174"/>
      <c r="E684" s="174"/>
      <c r="F684" s="174"/>
      <c r="G684" s="174"/>
      <c r="H684" s="174"/>
      <c r="I684" s="174"/>
      <c r="J684" s="174"/>
      <c r="K684" s="174"/>
      <c r="L684" s="174"/>
      <c r="M684" s="174"/>
      <c r="N684" s="174"/>
      <c r="O684" s="174"/>
      <c r="P684" s="174"/>
      <c r="Q684" s="174"/>
      <c r="R684" s="174"/>
      <c r="S684" s="174"/>
      <c r="T684" s="174"/>
      <c r="U684" s="174"/>
      <c r="V684" s="174"/>
      <c r="W684" s="174"/>
      <c r="X684" s="174"/>
      <c r="Y684" s="174"/>
      <c r="Z684" s="174"/>
    </row>
    <row r="685" customFormat="false" ht="15.75" hidden="false" customHeight="false" outlineLevel="0" collapsed="false">
      <c r="A685" s="174"/>
      <c r="B685" s="174"/>
      <c r="C685" s="174"/>
      <c r="D685" s="174"/>
      <c r="E685" s="174"/>
      <c r="F685" s="174"/>
      <c r="G685" s="174"/>
      <c r="H685" s="174"/>
      <c r="I685" s="174"/>
      <c r="J685" s="174"/>
      <c r="K685" s="174"/>
      <c r="L685" s="174"/>
      <c r="M685" s="174"/>
      <c r="N685" s="174"/>
      <c r="O685" s="174"/>
      <c r="P685" s="174"/>
      <c r="Q685" s="174"/>
      <c r="R685" s="174"/>
      <c r="S685" s="174"/>
      <c r="T685" s="174"/>
      <c r="U685" s="174"/>
      <c r="V685" s="174"/>
      <c r="W685" s="174"/>
      <c r="X685" s="174"/>
      <c r="Y685" s="174"/>
      <c r="Z685" s="174"/>
    </row>
    <row r="686" customFormat="false" ht="15.75" hidden="false" customHeight="false" outlineLevel="0" collapsed="false">
      <c r="A686" s="174"/>
      <c r="B686" s="174"/>
      <c r="C686" s="174"/>
      <c r="D686" s="174"/>
      <c r="E686" s="174"/>
      <c r="F686" s="174"/>
      <c r="G686" s="174"/>
      <c r="H686" s="174"/>
      <c r="I686" s="174"/>
      <c r="J686" s="174"/>
      <c r="K686" s="174"/>
      <c r="L686" s="174"/>
      <c r="M686" s="174"/>
      <c r="N686" s="174"/>
      <c r="O686" s="174"/>
      <c r="P686" s="174"/>
      <c r="Q686" s="174"/>
      <c r="R686" s="174"/>
      <c r="S686" s="174"/>
      <c r="T686" s="174"/>
      <c r="U686" s="174"/>
      <c r="V686" s="174"/>
      <c r="W686" s="174"/>
      <c r="X686" s="174"/>
      <c r="Y686" s="174"/>
      <c r="Z686" s="174"/>
    </row>
    <row r="687" customFormat="false" ht="15.75" hidden="false" customHeight="false" outlineLevel="0" collapsed="false">
      <c r="A687" s="174"/>
      <c r="B687" s="174"/>
      <c r="C687" s="174"/>
      <c r="D687" s="174"/>
      <c r="E687" s="174"/>
      <c r="F687" s="174"/>
      <c r="G687" s="174"/>
      <c r="H687" s="174"/>
      <c r="I687" s="174"/>
      <c r="J687" s="174"/>
      <c r="K687" s="174"/>
      <c r="L687" s="174"/>
      <c r="M687" s="174"/>
      <c r="N687" s="174"/>
      <c r="O687" s="174"/>
      <c r="P687" s="174"/>
      <c r="Q687" s="174"/>
      <c r="R687" s="174"/>
      <c r="S687" s="174"/>
      <c r="T687" s="174"/>
      <c r="U687" s="174"/>
      <c r="V687" s="174"/>
      <c r="W687" s="174"/>
      <c r="X687" s="174"/>
      <c r="Y687" s="174"/>
      <c r="Z687" s="174"/>
    </row>
    <row r="688" customFormat="false" ht="15.75" hidden="false" customHeight="false" outlineLevel="0" collapsed="false">
      <c r="A688" s="174"/>
      <c r="B688" s="174"/>
      <c r="C688" s="174"/>
      <c r="D688" s="174"/>
      <c r="E688" s="174"/>
      <c r="F688" s="174"/>
      <c r="G688" s="174"/>
      <c r="H688" s="174"/>
      <c r="I688" s="174"/>
      <c r="J688" s="174"/>
      <c r="K688" s="174"/>
      <c r="L688" s="174"/>
      <c r="M688" s="174"/>
      <c r="N688" s="174"/>
      <c r="O688" s="174"/>
      <c r="P688" s="174"/>
      <c r="Q688" s="174"/>
      <c r="R688" s="174"/>
      <c r="S688" s="174"/>
      <c r="T688" s="174"/>
      <c r="U688" s="174"/>
      <c r="V688" s="174"/>
      <c r="W688" s="174"/>
      <c r="X688" s="174"/>
      <c r="Y688" s="174"/>
      <c r="Z688" s="174"/>
    </row>
    <row r="689" customFormat="false" ht="15.75" hidden="false" customHeight="false" outlineLevel="0" collapsed="false">
      <c r="A689" s="174"/>
      <c r="B689" s="174"/>
      <c r="C689" s="174"/>
      <c r="D689" s="174"/>
      <c r="E689" s="174"/>
      <c r="F689" s="174"/>
      <c r="G689" s="174"/>
      <c r="H689" s="174"/>
      <c r="I689" s="174"/>
      <c r="J689" s="174"/>
      <c r="K689" s="174"/>
      <c r="L689" s="174"/>
      <c r="M689" s="174"/>
      <c r="N689" s="174"/>
      <c r="O689" s="174"/>
      <c r="P689" s="174"/>
      <c r="Q689" s="174"/>
      <c r="R689" s="174"/>
      <c r="S689" s="174"/>
      <c r="T689" s="174"/>
      <c r="U689" s="174"/>
      <c r="V689" s="174"/>
      <c r="W689" s="174"/>
      <c r="X689" s="174"/>
      <c r="Y689" s="174"/>
      <c r="Z689" s="174"/>
    </row>
    <row r="690" customFormat="false" ht="15.75" hidden="false" customHeight="false" outlineLevel="0" collapsed="false">
      <c r="A690" s="174"/>
      <c r="B690" s="174"/>
      <c r="C690" s="174"/>
      <c r="D690" s="174"/>
      <c r="E690" s="174"/>
      <c r="F690" s="174"/>
      <c r="G690" s="174"/>
      <c r="H690" s="174"/>
      <c r="I690" s="174"/>
      <c r="J690" s="174"/>
      <c r="K690" s="174"/>
      <c r="L690" s="174"/>
      <c r="M690" s="174"/>
      <c r="N690" s="174"/>
      <c r="O690" s="174"/>
      <c r="P690" s="174"/>
      <c r="Q690" s="174"/>
      <c r="R690" s="174"/>
      <c r="S690" s="174"/>
      <c r="T690" s="174"/>
      <c r="U690" s="174"/>
      <c r="V690" s="174"/>
      <c r="W690" s="174"/>
      <c r="X690" s="174"/>
      <c r="Y690" s="174"/>
      <c r="Z690" s="174"/>
    </row>
    <row r="691" customFormat="false" ht="15.75" hidden="false" customHeight="false" outlineLevel="0" collapsed="false">
      <c r="A691" s="174"/>
      <c r="B691" s="174"/>
      <c r="C691" s="174"/>
      <c r="D691" s="174"/>
      <c r="E691" s="174"/>
      <c r="F691" s="174"/>
      <c r="G691" s="174"/>
      <c r="H691" s="174"/>
      <c r="I691" s="174"/>
      <c r="J691" s="174"/>
      <c r="K691" s="174"/>
      <c r="L691" s="174"/>
      <c r="M691" s="174"/>
      <c r="N691" s="174"/>
      <c r="O691" s="174"/>
      <c r="P691" s="174"/>
      <c r="Q691" s="174"/>
      <c r="R691" s="174"/>
      <c r="S691" s="174"/>
      <c r="T691" s="174"/>
      <c r="U691" s="174"/>
      <c r="V691" s="174"/>
      <c r="W691" s="174"/>
      <c r="X691" s="174"/>
      <c r="Y691" s="174"/>
      <c r="Z691" s="174"/>
    </row>
    <row r="692" customFormat="false" ht="15.75" hidden="false" customHeight="false" outlineLevel="0" collapsed="false">
      <c r="A692" s="174"/>
      <c r="B692" s="174"/>
      <c r="C692" s="174"/>
      <c r="D692" s="174"/>
      <c r="E692" s="174"/>
      <c r="F692" s="174"/>
      <c r="G692" s="174"/>
      <c r="H692" s="174"/>
      <c r="I692" s="174"/>
      <c r="J692" s="174"/>
      <c r="K692" s="174"/>
      <c r="L692" s="174"/>
      <c r="M692" s="174"/>
      <c r="N692" s="174"/>
      <c r="O692" s="174"/>
      <c r="P692" s="174"/>
      <c r="Q692" s="174"/>
      <c r="R692" s="174"/>
      <c r="S692" s="174"/>
      <c r="T692" s="174"/>
      <c r="U692" s="174"/>
      <c r="V692" s="174"/>
      <c r="W692" s="174"/>
      <c r="X692" s="174"/>
      <c r="Y692" s="174"/>
      <c r="Z692" s="174"/>
    </row>
    <row r="693" customFormat="false" ht="15.75" hidden="false" customHeight="false" outlineLevel="0" collapsed="false">
      <c r="A693" s="174"/>
      <c r="B693" s="174"/>
      <c r="C693" s="174"/>
      <c r="D693" s="174"/>
      <c r="E693" s="174"/>
      <c r="F693" s="174"/>
      <c r="G693" s="174"/>
      <c r="H693" s="174"/>
      <c r="I693" s="174"/>
      <c r="J693" s="174"/>
      <c r="K693" s="174"/>
      <c r="L693" s="174"/>
      <c r="M693" s="174"/>
      <c r="N693" s="174"/>
      <c r="O693" s="174"/>
      <c r="P693" s="174"/>
      <c r="Q693" s="174"/>
      <c r="R693" s="174"/>
      <c r="S693" s="174"/>
      <c r="T693" s="174"/>
      <c r="U693" s="174"/>
      <c r="V693" s="174"/>
      <c r="W693" s="174"/>
      <c r="X693" s="174"/>
      <c r="Y693" s="174"/>
      <c r="Z693" s="174"/>
    </row>
    <row r="694" customFormat="false" ht="15.75" hidden="false" customHeight="false" outlineLevel="0" collapsed="false">
      <c r="A694" s="174"/>
      <c r="B694" s="174"/>
      <c r="C694" s="174"/>
      <c r="D694" s="174"/>
      <c r="E694" s="174"/>
      <c r="F694" s="174"/>
      <c r="G694" s="174"/>
      <c r="H694" s="174"/>
      <c r="I694" s="174"/>
      <c r="J694" s="174"/>
      <c r="K694" s="174"/>
      <c r="L694" s="174"/>
      <c r="M694" s="174"/>
      <c r="N694" s="174"/>
      <c r="O694" s="174"/>
      <c r="P694" s="174"/>
      <c r="Q694" s="174"/>
      <c r="R694" s="174"/>
      <c r="S694" s="174"/>
      <c r="T694" s="174"/>
      <c r="U694" s="174"/>
      <c r="V694" s="174"/>
      <c r="W694" s="174"/>
      <c r="X694" s="174"/>
      <c r="Y694" s="174"/>
      <c r="Z694" s="174"/>
    </row>
    <row r="695" customFormat="false" ht="15.75" hidden="false" customHeight="false" outlineLevel="0" collapsed="false">
      <c r="A695" s="174"/>
      <c r="B695" s="174"/>
      <c r="C695" s="174"/>
      <c r="D695" s="174"/>
      <c r="E695" s="174"/>
      <c r="F695" s="174"/>
      <c r="G695" s="174"/>
      <c r="H695" s="174"/>
      <c r="I695" s="174"/>
      <c r="J695" s="174"/>
      <c r="K695" s="174"/>
      <c r="L695" s="174"/>
      <c r="M695" s="174"/>
      <c r="N695" s="174"/>
      <c r="O695" s="174"/>
      <c r="P695" s="174"/>
      <c r="Q695" s="174"/>
      <c r="R695" s="174"/>
      <c r="S695" s="174"/>
      <c r="T695" s="174"/>
      <c r="U695" s="174"/>
      <c r="V695" s="174"/>
      <c r="W695" s="174"/>
      <c r="X695" s="174"/>
      <c r="Y695" s="174"/>
      <c r="Z695" s="174"/>
    </row>
    <row r="696" customFormat="false" ht="15.75" hidden="false" customHeight="false" outlineLevel="0" collapsed="false">
      <c r="A696" s="174"/>
      <c r="B696" s="174"/>
      <c r="C696" s="174"/>
      <c r="D696" s="174"/>
      <c r="E696" s="174"/>
      <c r="F696" s="174"/>
      <c r="G696" s="174"/>
      <c r="H696" s="174"/>
      <c r="I696" s="174"/>
      <c r="J696" s="174"/>
      <c r="K696" s="174"/>
      <c r="L696" s="174"/>
      <c r="M696" s="174"/>
      <c r="N696" s="174"/>
      <c r="O696" s="174"/>
      <c r="P696" s="174"/>
      <c r="Q696" s="174"/>
      <c r="R696" s="174"/>
      <c r="S696" s="174"/>
      <c r="T696" s="174"/>
      <c r="U696" s="174"/>
      <c r="V696" s="174"/>
      <c r="W696" s="174"/>
      <c r="X696" s="174"/>
      <c r="Y696" s="174"/>
      <c r="Z696" s="174"/>
    </row>
    <row r="697" customFormat="false" ht="15.75" hidden="false" customHeight="false" outlineLevel="0" collapsed="false">
      <c r="A697" s="174"/>
      <c r="B697" s="174"/>
      <c r="C697" s="174"/>
      <c r="D697" s="174"/>
      <c r="E697" s="174"/>
      <c r="F697" s="174"/>
      <c r="G697" s="174"/>
      <c r="H697" s="174"/>
      <c r="I697" s="174"/>
      <c r="J697" s="174"/>
      <c r="K697" s="174"/>
      <c r="L697" s="174"/>
      <c r="M697" s="174"/>
      <c r="N697" s="174"/>
      <c r="O697" s="174"/>
      <c r="P697" s="174"/>
      <c r="Q697" s="174"/>
      <c r="R697" s="174"/>
      <c r="S697" s="174"/>
      <c r="T697" s="174"/>
      <c r="U697" s="174"/>
      <c r="V697" s="174"/>
      <c r="W697" s="174"/>
      <c r="X697" s="174"/>
      <c r="Y697" s="174"/>
      <c r="Z697" s="174"/>
    </row>
    <row r="698" customFormat="false" ht="15.75" hidden="false" customHeight="false" outlineLevel="0" collapsed="false">
      <c r="A698" s="174"/>
      <c r="B698" s="174"/>
      <c r="C698" s="174"/>
      <c r="D698" s="174"/>
      <c r="E698" s="174"/>
      <c r="F698" s="174"/>
      <c r="G698" s="174"/>
      <c r="H698" s="174"/>
      <c r="I698" s="174"/>
      <c r="J698" s="174"/>
      <c r="K698" s="174"/>
      <c r="L698" s="174"/>
      <c r="M698" s="174"/>
      <c r="N698" s="174"/>
      <c r="O698" s="174"/>
      <c r="P698" s="174"/>
      <c r="Q698" s="174"/>
      <c r="R698" s="174"/>
      <c r="S698" s="174"/>
      <c r="T698" s="174"/>
      <c r="U698" s="174"/>
      <c r="V698" s="174"/>
      <c r="W698" s="174"/>
      <c r="X698" s="174"/>
      <c r="Y698" s="174"/>
      <c r="Z698" s="174"/>
    </row>
    <row r="699" customFormat="false" ht="15.75" hidden="false" customHeight="false" outlineLevel="0" collapsed="false">
      <c r="A699" s="174"/>
      <c r="B699" s="174"/>
      <c r="C699" s="174"/>
      <c r="D699" s="174"/>
      <c r="E699" s="174"/>
      <c r="F699" s="174"/>
      <c r="G699" s="174"/>
      <c r="H699" s="174"/>
      <c r="I699" s="174"/>
      <c r="J699" s="174"/>
      <c r="K699" s="174"/>
      <c r="L699" s="174"/>
      <c r="M699" s="174"/>
      <c r="N699" s="174"/>
      <c r="O699" s="174"/>
      <c r="P699" s="174"/>
      <c r="Q699" s="174"/>
      <c r="R699" s="174"/>
      <c r="S699" s="174"/>
      <c r="T699" s="174"/>
      <c r="U699" s="174"/>
      <c r="V699" s="174"/>
      <c r="W699" s="174"/>
      <c r="X699" s="174"/>
      <c r="Y699" s="174"/>
      <c r="Z699" s="174"/>
    </row>
    <row r="700" customFormat="false" ht="15.75" hidden="false" customHeight="false" outlineLevel="0" collapsed="false">
      <c r="A700" s="174"/>
      <c r="B700" s="174"/>
      <c r="C700" s="174"/>
      <c r="D700" s="174"/>
      <c r="E700" s="174"/>
      <c r="F700" s="174"/>
      <c r="G700" s="174"/>
      <c r="H700" s="174"/>
      <c r="I700" s="174"/>
      <c r="J700" s="174"/>
      <c r="K700" s="174"/>
      <c r="L700" s="174"/>
      <c r="M700" s="174"/>
      <c r="N700" s="174"/>
      <c r="O700" s="174"/>
      <c r="P700" s="174"/>
      <c r="Q700" s="174"/>
      <c r="R700" s="174"/>
      <c r="S700" s="174"/>
      <c r="T700" s="174"/>
      <c r="U700" s="174"/>
      <c r="V700" s="174"/>
      <c r="W700" s="174"/>
      <c r="X700" s="174"/>
      <c r="Y700" s="174"/>
      <c r="Z700" s="174"/>
    </row>
    <row r="701" customFormat="false" ht="15.75" hidden="false" customHeight="false" outlineLevel="0" collapsed="false">
      <c r="A701" s="174"/>
      <c r="B701" s="174"/>
      <c r="C701" s="174"/>
      <c r="D701" s="174"/>
      <c r="E701" s="174"/>
      <c r="F701" s="174"/>
      <c r="G701" s="174"/>
      <c r="H701" s="174"/>
      <c r="I701" s="174"/>
      <c r="J701" s="174"/>
      <c r="K701" s="174"/>
      <c r="L701" s="174"/>
      <c r="M701" s="174"/>
      <c r="N701" s="174"/>
      <c r="O701" s="174"/>
      <c r="P701" s="174"/>
      <c r="Q701" s="174"/>
      <c r="R701" s="174"/>
      <c r="S701" s="174"/>
      <c r="T701" s="174"/>
      <c r="U701" s="174"/>
      <c r="V701" s="174"/>
      <c r="W701" s="174"/>
      <c r="X701" s="174"/>
      <c r="Y701" s="174"/>
      <c r="Z701" s="174"/>
    </row>
    <row r="702" customFormat="false" ht="15.75" hidden="false" customHeight="false" outlineLevel="0" collapsed="false">
      <c r="A702" s="174"/>
      <c r="B702" s="174"/>
      <c r="C702" s="174"/>
      <c r="D702" s="174"/>
      <c r="E702" s="174"/>
      <c r="F702" s="174"/>
      <c r="G702" s="174"/>
      <c r="H702" s="174"/>
      <c r="I702" s="174"/>
      <c r="J702" s="174"/>
      <c r="K702" s="174"/>
      <c r="L702" s="174"/>
      <c r="M702" s="174"/>
      <c r="N702" s="174"/>
      <c r="O702" s="174"/>
      <c r="P702" s="174"/>
      <c r="Q702" s="174"/>
      <c r="R702" s="174"/>
      <c r="S702" s="174"/>
      <c r="T702" s="174"/>
      <c r="U702" s="174"/>
      <c r="V702" s="174"/>
      <c r="W702" s="174"/>
      <c r="X702" s="174"/>
      <c r="Y702" s="174"/>
      <c r="Z702" s="174"/>
    </row>
    <row r="703" customFormat="false" ht="15.75" hidden="false" customHeight="false" outlineLevel="0" collapsed="false">
      <c r="A703" s="174"/>
      <c r="B703" s="174"/>
      <c r="C703" s="174"/>
      <c r="D703" s="174"/>
      <c r="E703" s="174"/>
      <c r="F703" s="174"/>
      <c r="G703" s="174"/>
      <c r="H703" s="174"/>
      <c r="I703" s="174"/>
      <c r="J703" s="174"/>
      <c r="K703" s="174"/>
      <c r="L703" s="174"/>
      <c r="M703" s="174"/>
      <c r="N703" s="174"/>
      <c r="O703" s="174"/>
      <c r="P703" s="174"/>
      <c r="Q703" s="174"/>
      <c r="R703" s="174"/>
      <c r="S703" s="174"/>
      <c r="T703" s="174"/>
      <c r="U703" s="174"/>
      <c r="V703" s="174"/>
      <c r="W703" s="174"/>
      <c r="X703" s="174"/>
      <c r="Y703" s="174"/>
      <c r="Z703" s="174"/>
    </row>
    <row r="704" customFormat="false" ht="15.75" hidden="false" customHeight="false" outlineLevel="0" collapsed="false">
      <c r="A704" s="174"/>
      <c r="B704" s="174"/>
      <c r="C704" s="174"/>
      <c r="D704" s="174"/>
      <c r="E704" s="174"/>
      <c r="F704" s="174"/>
      <c r="G704" s="174"/>
      <c r="H704" s="174"/>
      <c r="I704" s="174"/>
      <c r="J704" s="174"/>
      <c r="K704" s="174"/>
      <c r="L704" s="174"/>
      <c r="M704" s="174"/>
      <c r="N704" s="174"/>
      <c r="O704" s="174"/>
      <c r="P704" s="174"/>
      <c r="Q704" s="174"/>
      <c r="R704" s="174"/>
      <c r="S704" s="174"/>
      <c r="T704" s="174"/>
      <c r="U704" s="174"/>
      <c r="V704" s="174"/>
      <c r="W704" s="174"/>
      <c r="X704" s="174"/>
      <c r="Y704" s="174"/>
      <c r="Z704" s="174"/>
    </row>
    <row r="705" customFormat="false" ht="15.75" hidden="false" customHeight="false" outlineLevel="0" collapsed="false">
      <c r="A705" s="174"/>
      <c r="B705" s="174"/>
      <c r="C705" s="174"/>
      <c r="D705" s="174"/>
      <c r="E705" s="174"/>
      <c r="F705" s="174"/>
      <c r="G705" s="174"/>
      <c r="H705" s="174"/>
      <c r="I705" s="174"/>
      <c r="J705" s="174"/>
      <c r="K705" s="174"/>
      <c r="L705" s="174"/>
      <c r="M705" s="174"/>
      <c r="N705" s="174"/>
      <c r="O705" s="174"/>
      <c r="P705" s="174"/>
      <c r="Q705" s="174"/>
      <c r="R705" s="174"/>
      <c r="S705" s="174"/>
      <c r="T705" s="174"/>
      <c r="U705" s="174"/>
      <c r="V705" s="174"/>
      <c r="W705" s="174"/>
      <c r="X705" s="174"/>
      <c r="Y705" s="174"/>
      <c r="Z705" s="174"/>
    </row>
    <row r="706" customFormat="false" ht="15.75" hidden="false" customHeight="false" outlineLevel="0" collapsed="false">
      <c r="A706" s="174"/>
      <c r="B706" s="174"/>
      <c r="C706" s="174"/>
      <c r="D706" s="174"/>
      <c r="E706" s="174"/>
      <c r="F706" s="174"/>
      <c r="G706" s="174"/>
      <c r="H706" s="174"/>
      <c r="I706" s="174"/>
      <c r="J706" s="174"/>
      <c r="K706" s="174"/>
      <c r="L706" s="174"/>
      <c r="M706" s="174"/>
      <c r="N706" s="174"/>
      <c r="O706" s="174"/>
      <c r="P706" s="174"/>
      <c r="Q706" s="174"/>
      <c r="R706" s="174"/>
      <c r="S706" s="174"/>
      <c r="T706" s="174"/>
      <c r="U706" s="174"/>
      <c r="V706" s="174"/>
      <c r="W706" s="174"/>
      <c r="X706" s="174"/>
      <c r="Y706" s="174"/>
      <c r="Z706" s="174"/>
    </row>
    <row r="707" customFormat="false" ht="15.75" hidden="false" customHeight="false" outlineLevel="0" collapsed="false">
      <c r="A707" s="174"/>
      <c r="B707" s="174"/>
      <c r="C707" s="174"/>
      <c r="D707" s="174"/>
      <c r="E707" s="174"/>
      <c r="F707" s="174"/>
      <c r="G707" s="174"/>
      <c r="H707" s="174"/>
      <c r="I707" s="174"/>
      <c r="J707" s="174"/>
      <c r="K707" s="174"/>
      <c r="L707" s="174"/>
      <c r="M707" s="174"/>
      <c r="N707" s="174"/>
      <c r="O707" s="174"/>
      <c r="P707" s="174"/>
      <c r="Q707" s="174"/>
      <c r="R707" s="174"/>
      <c r="S707" s="174"/>
      <c r="T707" s="174"/>
      <c r="U707" s="174"/>
      <c r="V707" s="174"/>
      <c r="W707" s="174"/>
      <c r="X707" s="174"/>
      <c r="Y707" s="174"/>
      <c r="Z707" s="174"/>
    </row>
    <row r="708" customFormat="false" ht="15.75" hidden="false" customHeight="false" outlineLevel="0" collapsed="false">
      <c r="A708" s="174"/>
      <c r="B708" s="174"/>
      <c r="C708" s="174"/>
      <c r="D708" s="174"/>
      <c r="E708" s="174"/>
      <c r="F708" s="174"/>
      <c r="G708" s="174"/>
      <c r="H708" s="174"/>
      <c r="I708" s="174"/>
      <c r="J708" s="174"/>
      <c r="K708" s="174"/>
      <c r="L708" s="174"/>
      <c r="M708" s="174"/>
      <c r="N708" s="174"/>
      <c r="O708" s="174"/>
      <c r="P708" s="174"/>
      <c r="Q708" s="174"/>
      <c r="R708" s="174"/>
      <c r="S708" s="174"/>
      <c r="T708" s="174"/>
      <c r="U708" s="174"/>
      <c r="V708" s="174"/>
      <c r="W708" s="174"/>
      <c r="X708" s="174"/>
      <c r="Y708" s="174"/>
      <c r="Z708" s="174"/>
    </row>
    <row r="709" customFormat="false" ht="15.75" hidden="false" customHeight="false" outlineLevel="0" collapsed="false">
      <c r="A709" s="174"/>
      <c r="B709" s="174"/>
      <c r="C709" s="174"/>
      <c r="D709" s="174"/>
      <c r="E709" s="174"/>
      <c r="F709" s="174"/>
      <c r="G709" s="174"/>
      <c r="H709" s="174"/>
      <c r="I709" s="174"/>
      <c r="J709" s="174"/>
      <c r="K709" s="174"/>
      <c r="L709" s="174"/>
      <c r="M709" s="174"/>
      <c r="N709" s="174"/>
      <c r="O709" s="174"/>
      <c r="P709" s="174"/>
      <c r="Q709" s="174"/>
      <c r="R709" s="174"/>
      <c r="S709" s="174"/>
      <c r="T709" s="174"/>
      <c r="U709" s="174"/>
      <c r="V709" s="174"/>
      <c r="W709" s="174"/>
      <c r="X709" s="174"/>
      <c r="Y709" s="174"/>
      <c r="Z709" s="174"/>
    </row>
    <row r="710" customFormat="false" ht="15.75" hidden="false" customHeight="false" outlineLevel="0" collapsed="false">
      <c r="A710" s="174"/>
      <c r="B710" s="174"/>
      <c r="C710" s="174"/>
      <c r="D710" s="174"/>
      <c r="E710" s="174"/>
      <c r="F710" s="174"/>
      <c r="G710" s="174"/>
      <c r="H710" s="174"/>
      <c r="I710" s="174"/>
      <c r="J710" s="174"/>
      <c r="K710" s="174"/>
      <c r="L710" s="174"/>
      <c r="M710" s="174"/>
      <c r="N710" s="174"/>
      <c r="O710" s="174"/>
      <c r="P710" s="174"/>
      <c r="Q710" s="174"/>
      <c r="R710" s="174"/>
      <c r="S710" s="174"/>
      <c r="T710" s="174"/>
      <c r="U710" s="174"/>
      <c r="V710" s="174"/>
      <c r="W710" s="174"/>
      <c r="X710" s="174"/>
      <c r="Y710" s="174"/>
      <c r="Z710" s="174"/>
    </row>
    <row r="711" customFormat="false" ht="15.75" hidden="false" customHeight="false" outlineLevel="0" collapsed="false">
      <c r="A711" s="174"/>
      <c r="B711" s="174"/>
      <c r="C711" s="174"/>
      <c r="D711" s="174"/>
      <c r="E711" s="174"/>
      <c r="F711" s="174"/>
      <c r="G711" s="174"/>
      <c r="H711" s="174"/>
      <c r="I711" s="174"/>
      <c r="J711" s="174"/>
      <c r="K711" s="174"/>
      <c r="L711" s="174"/>
      <c r="M711" s="174"/>
      <c r="N711" s="174"/>
      <c r="O711" s="174"/>
      <c r="P711" s="174"/>
      <c r="Q711" s="174"/>
      <c r="R711" s="174"/>
      <c r="S711" s="174"/>
      <c r="T711" s="174"/>
      <c r="U711" s="174"/>
      <c r="V711" s="174"/>
      <c r="W711" s="174"/>
      <c r="X711" s="174"/>
      <c r="Y711" s="174"/>
      <c r="Z711" s="174"/>
    </row>
    <row r="712" customFormat="false" ht="15.75" hidden="false" customHeight="false" outlineLevel="0" collapsed="false">
      <c r="A712" s="174"/>
      <c r="B712" s="174"/>
      <c r="C712" s="174"/>
      <c r="D712" s="174"/>
      <c r="E712" s="174"/>
      <c r="F712" s="174"/>
      <c r="G712" s="174"/>
      <c r="H712" s="174"/>
      <c r="I712" s="174"/>
      <c r="J712" s="174"/>
      <c r="K712" s="174"/>
      <c r="L712" s="174"/>
      <c r="M712" s="174"/>
      <c r="N712" s="174"/>
      <c r="O712" s="174"/>
      <c r="P712" s="174"/>
      <c r="Q712" s="174"/>
      <c r="R712" s="174"/>
      <c r="S712" s="174"/>
      <c r="T712" s="174"/>
      <c r="U712" s="174"/>
      <c r="V712" s="174"/>
      <c r="W712" s="174"/>
      <c r="X712" s="174"/>
      <c r="Y712" s="174"/>
      <c r="Z712" s="174"/>
    </row>
    <row r="713" customFormat="false" ht="15.75" hidden="false" customHeight="false" outlineLevel="0" collapsed="false">
      <c r="A713" s="174"/>
      <c r="B713" s="174"/>
      <c r="C713" s="174"/>
      <c r="D713" s="174"/>
      <c r="E713" s="174"/>
      <c r="F713" s="174"/>
      <c r="G713" s="174"/>
      <c r="H713" s="174"/>
      <c r="I713" s="174"/>
      <c r="J713" s="174"/>
      <c r="K713" s="174"/>
      <c r="L713" s="174"/>
      <c r="M713" s="174"/>
      <c r="N713" s="174"/>
      <c r="O713" s="174"/>
      <c r="P713" s="174"/>
      <c r="Q713" s="174"/>
      <c r="R713" s="174"/>
      <c r="S713" s="174"/>
      <c r="T713" s="174"/>
      <c r="U713" s="174"/>
      <c r="V713" s="174"/>
      <c r="W713" s="174"/>
      <c r="X713" s="174"/>
      <c r="Y713" s="174"/>
      <c r="Z713" s="174"/>
    </row>
    <row r="714" customFormat="false" ht="15.75" hidden="false" customHeight="false" outlineLevel="0" collapsed="false">
      <c r="A714" s="174"/>
      <c r="B714" s="174"/>
      <c r="C714" s="174"/>
      <c r="D714" s="174"/>
      <c r="E714" s="174"/>
      <c r="F714" s="174"/>
      <c r="G714" s="174"/>
      <c r="H714" s="174"/>
      <c r="I714" s="174"/>
      <c r="J714" s="174"/>
      <c r="K714" s="174"/>
      <c r="L714" s="174"/>
      <c r="M714" s="174"/>
      <c r="N714" s="174"/>
      <c r="O714" s="174"/>
      <c r="P714" s="174"/>
      <c r="Q714" s="174"/>
      <c r="R714" s="174"/>
      <c r="S714" s="174"/>
      <c r="T714" s="174"/>
      <c r="U714" s="174"/>
      <c r="V714" s="174"/>
      <c r="W714" s="174"/>
      <c r="X714" s="174"/>
      <c r="Y714" s="174"/>
      <c r="Z714" s="174"/>
    </row>
    <row r="715" customFormat="false" ht="15.75" hidden="false" customHeight="false" outlineLevel="0" collapsed="false">
      <c r="A715" s="174"/>
      <c r="B715" s="174"/>
      <c r="C715" s="174"/>
      <c r="D715" s="174"/>
      <c r="E715" s="174"/>
      <c r="F715" s="174"/>
      <c r="G715" s="174"/>
      <c r="H715" s="174"/>
      <c r="I715" s="174"/>
      <c r="J715" s="174"/>
      <c r="K715" s="174"/>
      <c r="L715" s="174"/>
      <c r="M715" s="174"/>
      <c r="N715" s="174"/>
      <c r="O715" s="174"/>
      <c r="P715" s="174"/>
      <c r="Q715" s="174"/>
      <c r="R715" s="174"/>
      <c r="S715" s="174"/>
      <c r="T715" s="174"/>
      <c r="U715" s="174"/>
      <c r="V715" s="174"/>
      <c r="W715" s="174"/>
      <c r="X715" s="174"/>
      <c r="Y715" s="174"/>
      <c r="Z715" s="174"/>
    </row>
    <row r="716" customFormat="false" ht="15.75" hidden="false" customHeight="false" outlineLevel="0" collapsed="false">
      <c r="A716" s="174"/>
      <c r="B716" s="174"/>
      <c r="C716" s="174"/>
      <c r="D716" s="174"/>
      <c r="E716" s="174"/>
      <c r="F716" s="174"/>
      <c r="G716" s="174"/>
      <c r="H716" s="174"/>
      <c r="I716" s="174"/>
      <c r="J716" s="174"/>
      <c r="K716" s="174"/>
      <c r="L716" s="174"/>
      <c r="M716" s="174"/>
      <c r="N716" s="174"/>
      <c r="O716" s="174"/>
      <c r="P716" s="174"/>
      <c r="Q716" s="174"/>
      <c r="R716" s="174"/>
      <c r="S716" s="174"/>
      <c r="T716" s="174"/>
      <c r="U716" s="174"/>
      <c r="V716" s="174"/>
      <c r="W716" s="174"/>
      <c r="X716" s="174"/>
      <c r="Y716" s="174"/>
      <c r="Z716" s="174"/>
    </row>
    <row r="717" customFormat="false" ht="15.75" hidden="false" customHeight="false" outlineLevel="0" collapsed="false">
      <c r="A717" s="174"/>
      <c r="B717" s="174"/>
      <c r="C717" s="174"/>
      <c r="D717" s="174"/>
      <c r="E717" s="174"/>
      <c r="F717" s="174"/>
      <c r="G717" s="174"/>
      <c r="H717" s="174"/>
      <c r="I717" s="174"/>
      <c r="J717" s="174"/>
      <c r="K717" s="174"/>
      <c r="L717" s="174"/>
      <c r="M717" s="174"/>
      <c r="N717" s="174"/>
      <c r="O717" s="174"/>
      <c r="P717" s="174"/>
      <c r="Q717" s="174"/>
      <c r="R717" s="174"/>
      <c r="S717" s="174"/>
      <c r="T717" s="174"/>
      <c r="U717" s="174"/>
      <c r="V717" s="174"/>
      <c r="W717" s="174"/>
      <c r="X717" s="174"/>
      <c r="Y717" s="174"/>
      <c r="Z717" s="174"/>
    </row>
    <row r="718" customFormat="false" ht="15.75" hidden="false" customHeight="false" outlineLevel="0" collapsed="false">
      <c r="A718" s="174"/>
      <c r="B718" s="174"/>
      <c r="C718" s="174"/>
      <c r="D718" s="174"/>
      <c r="E718" s="174"/>
      <c r="F718" s="174"/>
      <c r="G718" s="174"/>
      <c r="H718" s="174"/>
      <c r="I718" s="174"/>
      <c r="J718" s="174"/>
      <c r="K718" s="174"/>
      <c r="L718" s="174"/>
      <c r="M718" s="174"/>
      <c r="N718" s="174"/>
      <c r="O718" s="174"/>
      <c r="P718" s="174"/>
      <c r="Q718" s="174"/>
      <c r="R718" s="174"/>
      <c r="S718" s="174"/>
      <c r="T718" s="174"/>
      <c r="U718" s="174"/>
      <c r="V718" s="174"/>
      <c r="W718" s="174"/>
      <c r="X718" s="174"/>
      <c r="Y718" s="174"/>
      <c r="Z718" s="174"/>
    </row>
    <row r="719" customFormat="false" ht="15.75" hidden="false" customHeight="false" outlineLevel="0" collapsed="false">
      <c r="A719" s="174"/>
      <c r="B719" s="174"/>
      <c r="C719" s="174"/>
      <c r="D719" s="174"/>
      <c r="E719" s="174"/>
      <c r="F719" s="174"/>
      <c r="G719" s="174"/>
      <c r="H719" s="174"/>
      <c r="I719" s="174"/>
      <c r="J719" s="174"/>
      <c r="K719" s="174"/>
      <c r="L719" s="174"/>
      <c r="M719" s="174"/>
      <c r="N719" s="174"/>
      <c r="O719" s="174"/>
      <c r="P719" s="174"/>
      <c r="Q719" s="174"/>
      <c r="R719" s="174"/>
      <c r="S719" s="174"/>
      <c r="T719" s="174"/>
      <c r="U719" s="174"/>
      <c r="V719" s="174"/>
      <c r="W719" s="174"/>
      <c r="X719" s="174"/>
      <c r="Y719" s="174"/>
      <c r="Z719" s="174"/>
    </row>
    <row r="720" customFormat="false" ht="15.75" hidden="false" customHeight="false" outlineLevel="0" collapsed="false">
      <c r="A720" s="174"/>
      <c r="B720" s="174"/>
      <c r="C720" s="174"/>
      <c r="D720" s="174"/>
      <c r="E720" s="174"/>
      <c r="F720" s="174"/>
      <c r="G720" s="174"/>
      <c r="H720" s="174"/>
      <c r="I720" s="174"/>
      <c r="J720" s="174"/>
      <c r="K720" s="174"/>
      <c r="L720" s="174"/>
      <c r="M720" s="174"/>
      <c r="N720" s="174"/>
      <c r="O720" s="174"/>
      <c r="P720" s="174"/>
      <c r="Q720" s="174"/>
      <c r="R720" s="174"/>
      <c r="S720" s="174"/>
      <c r="T720" s="174"/>
      <c r="U720" s="174"/>
      <c r="V720" s="174"/>
      <c r="W720" s="174"/>
      <c r="X720" s="174"/>
      <c r="Y720" s="174"/>
      <c r="Z720" s="174"/>
    </row>
    <row r="721" customFormat="false" ht="15.75" hidden="false" customHeight="false" outlineLevel="0" collapsed="false">
      <c r="A721" s="174"/>
      <c r="B721" s="174"/>
      <c r="C721" s="174"/>
      <c r="D721" s="174"/>
      <c r="E721" s="174"/>
      <c r="F721" s="174"/>
      <c r="G721" s="174"/>
      <c r="H721" s="174"/>
      <c r="I721" s="174"/>
      <c r="J721" s="174"/>
      <c r="K721" s="174"/>
      <c r="L721" s="174"/>
      <c r="M721" s="174"/>
      <c r="N721" s="174"/>
      <c r="O721" s="174"/>
      <c r="P721" s="174"/>
      <c r="Q721" s="174"/>
      <c r="R721" s="174"/>
      <c r="S721" s="174"/>
      <c r="T721" s="174"/>
      <c r="U721" s="174"/>
      <c r="V721" s="174"/>
      <c r="W721" s="174"/>
      <c r="X721" s="174"/>
      <c r="Y721" s="174"/>
      <c r="Z721" s="174"/>
    </row>
    <row r="722" customFormat="false" ht="15.75" hidden="false" customHeight="false" outlineLevel="0" collapsed="false">
      <c r="A722" s="174"/>
      <c r="B722" s="174"/>
      <c r="C722" s="174"/>
      <c r="D722" s="174"/>
      <c r="E722" s="174"/>
      <c r="F722" s="174"/>
      <c r="G722" s="174"/>
      <c r="H722" s="174"/>
      <c r="I722" s="174"/>
      <c r="J722" s="174"/>
      <c r="K722" s="174"/>
      <c r="L722" s="174"/>
      <c r="M722" s="174"/>
      <c r="N722" s="174"/>
      <c r="O722" s="174"/>
      <c r="P722" s="174"/>
      <c r="Q722" s="174"/>
      <c r="R722" s="174"/>
      <c r="S722" s="174"/>
      <c r="T722" s="174"/>
      <c r="U722" s="174"/>
      <c r="V722" s="174"/>
      <c r="W722" s="174"/>
      <c r="X722" s="174"/>
      <c r="Y722" s="174"/>
      <c r="Z722" s="174"/>
    </row>
    <row r="723" customFormat="false" ht="15.75" hidden="false" customHeight="false" outlineLevel="0" collapsed="false">
      <c r="A723" s="174"/>
      <c r="B723" s="174"/>
      <c r="C723" s="174"/>
      <c r="D723" s="174"/>
      <c r="E723" s="174"/>
      <c r="F723" s="174"/>
      <c r="G723" s="174"/>
      <c r="H723" s="174"/>
      <c r="I723" s="174"/>
      <c r="J723" s="174"/>
      <c r="K723" s="174"/>
      <c r="L723" s="174"/>
      <c r="M723" s="174"/>
      <c r="N723" s="174"/>
      <c r="O723" s="174"/>
      <c r="P723" s="174"/>
      <c r="Q723" s="174"/>
      <c r="R723" s="174"/>
      <c r="S723" s="174"/>
      <c r="T723" s="174"/>
      <c r="U723" s="174"/>
      <c r="V723" s="174"/>
      <c r="W723" s="174"/>
      <c r="X723" s="174"/>
      <c r="Y723" s="174"/>
      <c r="Z723" s="174"/>
    </row>
    <row r="724" customFormat="false" ht="15.75" hidden="false" customHeight="false" outlineLevel="0" collapsed="false">
      <c r="A724" s="174"/>
      <c r="B724" s="174"/>
      <c r="C724" s="174"/>
      <c r="D724" s="174"/>
      <c r="E724" s="174"/>
      <c r="F724" s="174"/>
      <c r="G724" s="174"/>
      <c r="H724" s="174"/>
      <c r="I724" s="174"/>
      <c r="J724" s="174"/>
      <c r="K724" s="174"/>
      <c r="L724" s="174"/>
      <c r="M724" s="174"/>
      <c r="N724" s="174"/>
      <c r="O724" s="174"/>
      <c r="P724" s="174"/>
      <c r="Q724" s="174"/>
      <c r="R724" s="174"/>
      <c r="S724" s="174"/>
      <c r="T724" s="174"/>
      <c r="U724" s="174"/>
      <c r="V724" s="174"/>
      <c r="W724" s="174"/>
      <c r="X724" s="174"/>
      <c r="Y724" s="174"/>
      <c r="Z724" s="174"/>
    </row>
    <row r="725" customFormat="false" ht="15.75" hidden="false" customHeight="false" outlineLevel="0" collapsed="false">
      <c r="A725" s="174"/>
      <c r="B725" s="174"/>
      <c r="C725" s="174"/>
      <c r="D725" s="174"/>
      <c r="E725" s="174"/>
      <c r="F725" s="174"/>
      <c r="G725" s="174"/>
      <c r="H725" s="174"/>
      <c r="I725" s="174"/>
      <c r="J725" s="174"/>
      <c r="K725" s="174"/>
      <c r="L725" s="174"/>
      <c r="M725" s="174"/>
      <c r="N725" s="174"/>
      <c r="O725" s="174"/>
      <c r="P725" s="174"/>
      <c r="Q725" s="174"/>
      <c r="R725" s="174"/>
      <c r="S725" s="174"/>
      <c r="T725" s="174"/>
      <c r="U725" s="174"/>
      <c r="V725" s="174"/>
      <c r="W725" s="174"/>
      <c r="X725" s="174"/>
      <c r="Y725" s="174"/>
      <c r="Z725" s="174"/>
    </row>
    <row r="726" customFormat="false" ht="15.75" hidden="false" customHeight="false" outlineLevel="0" collapsed="false">
      <c r="A726" s="174"/>
      <c r="B726" s="174"/>
      <c r="C726" s="174"/>
      <c r="D726" s="174"/>
      <c r="E726" s="174"/>
      <c r="F726" s="174"/>
      <c r="G726" s="174"/>
      <c r="H726" s="174"/>
      <c r="I726" s="174"/>
      <c r="J726" s="174"/>
      <c r="K726" s="174"/>
      <c r="L726" s="174"/>
      <c r="M726" s="174"/>
      <c r="N726" s="174"/>
      <c r="O726" s="174"/>
      <c r="P726" s="174"/>
      <c r="Q726" s="174"/>
      <c r="R726" s="174"/>
      <c r="S726" s="174"/>
      <c r="T726" s="174"/>
      <c r="U726" s="174"/>
      <c r="V726" s="174"/>
      <c r="W726" s="174"/>
      <c r="X726" s="174"/>
      <c r="Y726" s="174"/>
      <c r="Z726" s="174"/>
    </row>
    <row r="727" customFormat="false" ht="15.75" hidden="false" customHeight="false" outlineLevel="0" collapsed="false">
      <c r="A727" s="174"/>
      <c r="B727" s="174"/>
      <c r="C727" s="174"/>
      <c r="D727" s="174"/>
      <c r="E727" s="174"/>
      <c r="F727" s="174"/>
      <c r="G727" s="174"/>
      <c r="H727" s="174"/>
      <c r="I727" s="174"/>
      <c r="J727" s="174"/>
      <c r="K727" s="174"/>
      <c r="L727" s="174"/>
      <c r="M727" s="174"/>
      <c r="N727" s="174"/>
      <c r="O727" s="174"/>
      <c r="P727" s="174"/>
      <c r="Q727" s="174"/>
      <c r="R727" s="174"/>
      <c r="S727" s="174"/>
      <c r="T727" s="174"/>
      <c r="U727" s="174"/>
      <c r="V727" s="174"/>
      <c r="W727" s="174"/>
      <c r="X727" s="174"/>
      <c r="Y727" s="174"/>
      <c r="Z727" s="174"/>
    </row>
    <row r="728" customFormat="false" ht="15.75" hidden="false" customHeight="false" outlineLevel="0" collapsed="false">
      <c r="A728" s="174"/>
      <c r="B728" s="174"/>
      <c r="C728" s="174"/>
      <c r="D728" s="174"/>
      <c r="E728" s="174"/>
      <c r="F728" s="174"/>
      <c r="G728" s="174"/>
      <c r="H728" s="174"/>
      <c r="I728" s="174"/>
      <c r="J728" s="174"/>
      <c r="K728" s="174"/>
      <c r="L728" s="174"/>
      <c r="M728" s="174"/>
      <c r="N728" s="174"/>
      <c r="O728" s="174"/>
      <c r="P728" s="174"/>
      <c r="Q728" s="174"/>
      <c r="R728" s="174"/>
      <c r="S728" s="174"/>
      <c r="T728" s="174"/>
      <c r="U728" s="174"/>
      <c r="V728" s="174"/>
      <c r="W728" s="174"/>
      <c r="X728" s="174"/>
      <c r="Y728" s="174"/>
      <c r="Z728" s="174"/>
    </row>
    <row r="729" customFormat="false" ht="15.75" hidden="false" customHeight="false" outlineLevel="0" collapsed="false">
      <c r="A729" s="174"/>
      <c r="B729" s="174"/>
      <c r="C729" s="174"/>
      <c r="D729" s="174"/>
      <c r="E729" s="174"/>
      <c r="F729" s="174"/>
      <c r="G729" s="174"/>
      <c r="H729" s="174"/>
      <c r="I729" s="174"/>
      <c r="J729" s="174"/>
      <c r="K729" s="174"/>
      <c r="L729" s="174"/>
      <c r="M729" s="174"/>
      <c r="N729" s="174"/>
      <c r="O729" s="174"/>
      <c r="P729" s="174"/>
      <c r="Q729" s="174"/>
      <c r="R729" s="174"/>
      <c r="S729" s="174"/>
      <c r="T729" s="174"/>
      <c r="U729" s="174"/>
      <c r="V729" s="174"/>
      <c r="W729" s="174"/>
      <c r="X729" s="174"/>
      <c r="Y729" s="174"/>
      <c r="Z729" s="174"/>
    </row>
    <row r="730" customFormat="false" ht="15.75" hidden="false" customHeight="false" outlineLevel="0" collapsed="false">
      <c r="A730" s="174"/>
      <c r="B730" s="174"/>
      <c r="C730" s="174"/>
      <c r="D730" s="174"/>
      <c r="E730" s="174"/>
      <c r="F730" s="174"/>
      <c r="G730" s="174"/>
      <c r="H730" s="174"/>
      <c r="I730" s="174"/>
      <c r="J730" s="174"/>
      <c r="K730" s="174"/>
      <c r="L730" s="174"/>
      <c r="M730" s="174"/>
      <c r="N730" s="174"/>
      <c r="O730" s="174"/>
      <c r="P730" s="174"/>
      <c r="Q730" s="174"/>
      <c r="R730" s="174"/>
      <c r="S730" s="174"/>
      <c r="T730" s="174"/>
      <c r="U730" s="174"/>
      <c r="V730" s="174"/>
      <c r="W730" s="174"/>
      <c r="X730" s="174"/>
      <c r="Y730" s="174"/>
      <c r="Z730" s="174"/>
    </row>
    <row r="731" customFormat="false" ht="15.75" hidden="false" customHeight="false" outlineLevel="0" collapsed="false">
      <c r="A731" s="174"/>
      <c r="B731" s="174"/>
      <c r="C731" s="174"/>
      <c r="D731" s="174"/>
      <c r="E731" s="174"/>
      <c r="F731" s="174"/>
      <c r="G731" s="174"/>
      <c r="H731" s="174"/>
      <c r="I731" s="174"/>
      <c r="J731" s="174"/>
      <c r="K731" s="174"/>
      <c r="L731" s="174"/>
      <c r="M731" s="174"/>
      <c r="N731" s="174"/>
      <c r="O731" s="174"/>
      <c r="P731" s="174"/>
      <c r="Q731" s="174"/>
      <c r="R731" s="174"/>
      <c r="S731" s="174"/>
      <c r="T731" s="174"/>
      <c r="U731" s="174"/>
      <c r="V731" s="174"/>
      <c r="W731" s="174"/>
      <c r="X731" s="174"/>
      <c r="Y731" s="174"/>
      <c r="Z731" s="174"/>
    </row>
    <row r="732" customFormat="false" ht="15.75" hidden="false" customHeight="false" outlineLevel="0" collapsed="false">
      <c r="A732" s="174"/>
      <c r="B732" s="174"/>
      <c r="C732" s="174"/>
      <c r="D732" s="174"/>
      <c r="E732" s="174"/>
      <c r="F732" s="174"/>
      <c r="G732" s="174"/>
      <c r="H732" s="174"/>
      <c r="I732" s="174"/>
      <c r="J732" s="174"/>
      <c r="K732" s="174"/>
      <c r="L732" s="174"/>
      <c r="M732" s="174"/>
      <c r="N732" s="174"/>
      <c r="O732" s="174"/>
      <c r="P732" s="174"/>
      <c r="Q732" s="174"/>
      <c r="R732" s="174"/>
      <c r="S732" s="174"/>
      <c r="T732" s="174"/>
      <c r="U732" s="174"/>
      <c r="V732" s="174"/>
      <c r="W732" s="174"/>
      <c r="X732" s="174"/>
      <c r="Y732" s="174"/>
      <c r="Z732" s="174"/>
    </row>
    <row r="733" customFormat="false" ht="15.75" hidden="false" customHeight="false" outlineLevel="0" collapsed="false">
      <c r="A733" s="174"/>
      <c r="B733" s="174"/>
      <c r="C733" s="174"/>
      <c r="D733" s="174"/>
      <c r="E733" s="174"/>
      <c r="F733" s="174"/>
      <c r="G733" s="174"/>
      <c r="H733" s="174"/>
      <c r="I733" s="174"/>
      <c r="J733" s="174"/>
      <c r="K733" s="174"/>
      <c r="L733" s="174"/>
      <c r="M733" s="174"/>
      <c r="N733" s="174"/>
      <c r="O733" s="174"/>
      <c r="P733" s="174"/>
      <c r="Q733" s="174"/>
      <c r="R733" s="174"/>
      <c r="S733" s="174"/>
      <c r="T733" s="174"/>
      <c r="U733" s="174"/>
      <c r="V733" s="174"/>
      <c r="W733" s="174"/>
      <c r="X733" s="174"/>
      <c r="Y733" s="174"/>
      <c r="Z733" s="174"/>
    </row>
    <row r="734" customFormat="false" ht="15.75" hidden="false" customHeight="false" outlineLevel="0" collapsed="false">
      <c r="A734" s="174"/>
      <c r="B734" s="174"/>
      <c r="C734" s="174"/>
      <c r="D734" s="174"/>
      <c r="E734" s="174"/>
      <c r="F734" s="174"/>
      <c r="G734" s="174"/>
      <c r="H734" s="174"/>
      <c r="I734" s="174"/>
      <c r="J734" s="174"/>
      <c r="K734" s="174"/>
      <c r="L734" s="174"/>
      <c r="M734" s="174"/>
      <c r="N734" s="174"/>
      <c r="O734" s="174"/>
      <c r="P734" s="174"/>
      <c r="Q734" s="174"/>
      <c r="R734" s="174"/>
      <c r="S734" s="174"/>
      <c r="T734" s="174"/>
      <c r="U734" s="174"/>
      <c r="V734" s="174"/>
      <c r="W734" s="174"/>
      <c r="X734" s="174"/>
      <c r="Y734" s="174"/>
      <c r="Z734" s="174"/>
    </row>
    <row r="735" customFormat="false" ht="15.75" hidden="false" customHeight="false" outlineLevel="0" collapsed="false">
      <c r="A735" s="174"/>
      <c r="B735" s="174"/>
      <c r="C735" s="174"/>
      <c r="D735" s="174"/>
      <c r="E735" s="174"/>
      <c r="F735" s="174"/>
      <c r="G735" s="174"/>
      <c r="H735" s="174"/>
      <c r="I735" s="174"/>
      <c r="J735" s="174"/>
      <c r="K735" s="174"/>
      <c r="L735" s="174"/>
      <c r="M735" s="174"/>
      <c r="N735" s="174"/>
      <c r="O735" s="174"/>
      <c r="P735" s="174"/>
      <c r="Q735" s="174"/>
      <c r="R735" s="174"/>
      <c r="S735" s="174"/>
      <c r="T735" s="174"/>
      <c r="U735" s="174"/>
      <c r="V735" s="174"/>
      <c r="W735" s="174"/>
      <c r="X735" s="174"/>
      <c r="Y735" s="174"/>
      <c r="Z735" s="174"/>
    </row>
    <row r="736" customFormat="false" ht="15.75" hidden="false" customHeight="false" outlineLevel="0" collapsed="false">
      <c r="A736" s="174"/>
      <c r="B736" s="174"/>
      <c r="C736" s="174"/>
      <c r="D736" s="174"/>
      <c r="E736" s="174"/>
      <c r="F736" s="174"/>
      <c r="G736" s="174"/>
      <c r="H736" s="174"/>
      <c r="I736" s="174"/>
      <c r="J736" s="174"/>
      <c r="K736" s="174"/>
      <c r="L736" s="174"/>
      <c r="M736" s="174"/>
      <c r="N736" s="174"/>
      <c r="O736" s="174"/>
      <c r="P736" s="174"/>
      <c r="Q736" s="174"/>
      <c r="R736" s="174"/>
      <c r="S736" s="174"/>
      <c r="T736" s="174"/>
      <c r="U736" s="174"/>
      <c r="V736" s="174"/>
      <c r="W736" s="174"/>
      <c r="X736" s="174"/>
      <c r="Y736" s="174"/>
      <c r="Z736" s="174"/>
    </row>
    <row r="737" customFormat="false" ht="15.75" hidden="false" customHeight="false" outlineLevel="0" collapsed="false">
      <c r="A737" s="174"/>
      <c r="B737" s="174"/>
      <c r="C737" s="174"/>
      <c r="D737" s="174"/>
      <c r="E737" s="174"/>
      <c r="F737" s="174"/>
      <c r="G737" s="174"/>
      <c r="H737" s="174"/>
      <c r="I737" s="174"/>
      <c r="J737" s="174"/>
      <c r="K737" s="174"/>
      <c r="L737" s="174"/>
      <c r="M737" s="174"/>
      <c r="N737" s="174"/>
      <c r="O737" s="174"/>
      <c r="P737" s="174"/>
      <c r="Q737" s="174"/>
      <c r="R737" s="174"/>
      <c r="S737" s="174"/>
      <c r="T737" s="174"/>
      <c r="U737" s="174"/>
      <c r="V737" s="174"/>
      <c r="W737" s="174"/>
      <c r="X737" s="174"/>
      <c r="Y737" s="174"/>
      <c r="Z737" s="174"/>
    </row>
    <row r="738" customFormat="false" ht="15.75" hidden="false" customHeight="false" outlineLevel="0" collapsed="false">
      <c r="A738" s="174"/>
      <c r="B738" s="174"/>
      <c r="C738" s="174"/>
      <c r="D738" s="174"/>
      <c r="E738" s="174"/>
      <c r="F738" s="174"/>
      <c r="G738" s="174"/>
      <c r="H738" s="174"/>
      <c r="I738" s="174"/>
      <c r="J738" s="174"/>
      <c r="K738" s="174"/>
      <c r="L738" s="174"/>
      <c r="M738" s="174"/>
      <c r="N738" s="174"/>
      <c r="O738" s="174"/>
      <c r="P738" s="174"/>
      <c r="Q738" s="174"/>
      <c r="R738" s="174"/>
      <c r="S738" s="174"/>
      <c r="T738" s="174"/>
      <c r="U738" s="174"/>
      <c r="V738" s="174"/>
      <c r="W738" s="174"/>
      <c r="X738" s="174"/>
      <c r="Y738" s="174"/>
      <c r="Z738" s="174"/>
    </row>
    <row r="739" customFormat="false" ht="15.75" hidden="false" customHeight="false" outlineLevel="0" collapsed="false">
      <c r="A739" s="174"/>
      <c r="B739" s="174"/>
      <c r="C739" s="174"/>
      <c r="D739" s="174"/>
      <c r="E739" s="174"/>
      <c r="F739" s="174"/>
      <c r="G739" s="174"/>
      <c r="H739" s="174"/>
      <c r="I739" s="174"/>
      <c r="J739" s="174"/>
      <c r="K739" s="174"/>
      <c r="L739" s="174"/>
      <c r="M739" s="174"/>
      <c r="N739" s="174"/>
      <c r="O739" s="174"/>
      <c r="P739" s="174"/>
      <c r="Q739" s="174"/>
      <c r="R739" s="174"/>
      <c r="S739" s="174"/>
      <c r="T739" s="174"/>
      <c r="U739" s="174"/>
      <c r="V739" s="174"/>
      <c r="W739" s="174"/>
      <c r="X739" s="174"/>
      <c r="Y739" s="174"/>
      <c r="Z739" s="174"/>
    </row>
    <row r="740" customFormat="false" ht="15.75" hidden="false" customHeight="false" outlineLevel="0" collapsed="false">
      <c r="A740" s="174"/>
      <c r="B740" s="174"/>
      <c r="C740" s="174"/>
      <c r="D740" s="174"/>
      <c r="E740" s="174"/>
      <c r="F740" s="174"/>
      <c r="G740" s="174"/>
      <c r="H740" s="174"/>
      <c r="I740" s="174"/>
      <c r="J740" s="174"/>
      <c r="K740" s="174"/>
      <c r="L740" s="174"/>
      <c r="M740" s="174"/>
      <c r="N740" s="174"/>
      <c r="O740" s="174"/>
      <c r="P740" s="174"/>
      <c r="Q740" s="174"/>
      <c r="R740" s="174"/>
      <c r="S740" s="174"/>
      <c r="T740" s="174"/>
      <c r="U740" s="174"/>
      <c r="V740" s="174"/>
      <c r="W740" s="174"/>
      <c r="X740" s="174"/>
      <c r="Y740" s="174"/>
      <c r="Z740" s="174"/>
    </row>
    <row r="741" customFormat="false" ht="15.75" hidden="false" customHeight="false" outlineLevel="0" collapsed="false">
      <c r="A741" s="174"/>
      <c r="B741" s="174"/>
      <c r="C741" s="174"/>
      <c r="D741" s="174"/>
      <c r="E741" s="174"/>
      <c r="F741" s="174"/>
      <c r="G741" s="174"/>
      <c r="H741" s="174"/>
      <c r="I741" s="174"/>
      <c r="J741" s="174"/>
      <c r="K741" s="174"/>
      <c r="L741" s="174"/>
      <c r="M741" s="174"/>
      <c r="N741" s="174"/>
      <c r="O741" s="174"/>
      <c r="P741" s="174"/>
      <c r="Q741" s="174"/>
      <c r="R741" s="174"/>
      <c r="S741" s="174"/>
      <c r="T741" s="174"/>
      <c r="U741" s="174"/>
      <c r="V741" s="174"/>
      <c r="W741" s="174"/>
      <c r="X741" s="174"/>
      <c r="Y741" s="174"/>
      <c r="Z741" s="174"/>
    </row>
    <row r="742" customFormat="false" ht="15.75" hidden="false" customHeight="false" outlineLevel="0" collapsed="false">
      <c r="A742" s="174"/>
      <c r="B742" s="174"/>
      <c r="C742" s="174"/>
      <c r="D742" s="174"/>
      <c r="E742" s="174"/>
      <c r="F742" s="174"/>
      <c r="G742" s="174"/>
      <c r="H742" s="174"/>
      <c r="I742" s="174"/>
      <c r="J742" s="174"/>
      <c r="K742" s="174"/>
      <c r="L742" s="174"/>
      <c r="M742" s="174"/>
      <c r="N742" s="174"/>
      <c r="O742" s="174"/>
      <c r="P742" s="174"/>
      <c r="Q742" s="174"/>
      <c r="R742" s="174"/>
      <c r="S742" s="174"/>
      <c r="T742" s="174"/>
      <c r="U742" s="174"/>
      <c r="V742" s="174"/>
      <c r="W742" s="174"/>
      <c r="X742" s="174"/>
      <c r="Y742" s="174"/>
      <c r="Z742" s="174"/>
    </row>
    <row r="743" customFormat="false" ht="15.75" hidden="false" customHeight="false" outlineLevel="0" collapsed="false">
      <c r="A743" s="174"/>
      <c r="B743" s="174"/>
      <c r="C743" s="174"/>
      <c r="D743" s="174"/>
      <c r="E743" s="174"/>
      <c r="F743" s="174"/>
      <c r="G743" s="174"/>
      <c r="H743" s="174"/>
      <c r="I743" s="174"/>
      <c r="J743" s="174"/>
      <c r="K743" s="174"/>
      <c r="L743" s="174"/>
      <c r="M743" s="174"/>
      <c r="N743" s="174"/>
      <c r="O743" s="174"/>
      <c r="P743" s="174"/>
      <c r="Q743" s="174"/>
      <c r="R743" s="174"/>
      <c r="S743" s="174"/>
      <c r="T743" s="174"/>
      <c r="U743" s="174"/>
      <c r="V743" s="174"/>
      <c r="W743" s="174"/>
      <c r="X743" s="174"/>
      <c r="Y743" s="174"/>
      <c r="Z743" s="174"/>
    </row>
    <row r="744" customFormat="false" ht="15.75" hidden="false" customHeight="false" outlineLevel="0" collapsed="false">
      <c r="A744" s="174"/>
      <c r="B744" s="174"/>
      <c r="C744" s="174"/>
      <c r="D744" s="174"/>
      <c r="E744" s="174"/>
      <c r="F744" s="174"/>
      <c r="G744" s="174"/>
      <c r="H744" s="174"/>
      <c r="I744" s="174"/>
      <c r="J744" s="174"/>
      <c r="K744" s="174"/>
      <c r="L744" s="174"/>
      <c r="M744" s="174"/>
      <c r="N744" s="174"/>
      <c r="O744" s="174"/>
      <c r="P744" s="174"/>
      <c r="Q744" s="174"/>
      <c r="R744" s="174"/>
      <c r="S744" s="174"/>
      <c r="T744" s="174"/>
      <c r="U744" s="174"/>
      <c r="V744" s="174"/>
      <c r="W744" s="174"/>
      <c r="X744" s="174"/>
      <c r="Y744" s="174"/>
      <c r="Z744" s="174"/>
    </row>
    <row r="745" customFormat="false" ht="15.75" hidden="false" customHeight="false" outlineLevel="0" collapsed="false">
      <c r="A745" s="174"/>
      <c r="B745" s="174"/>
      <c r="C745" s="174"/>
      <c r="D745" s="174"/>
      <c r="E745" s="174"/>
      <c r="F745" s="174"/>
      <c r="G745" s="174"/>
      <c r="H745" s="174"/>
      <c r="I745" s="174"/>
      <c r="J745" s="174"/>
      <c r="K745" s="174"/>
      <c r="L745" s="174"/>
      <c r="M745" s="174"/>
      <c r="N745" s="174"/>
      <c r="O745" s="174"/>
      <c r="P745" s="174"/>
      <c r="Q745" s="174"/>
      <c r="R745" s="174"/>
      <c r="S745" s="174"/>
      <c r="T745" s="174"/>
      <c r="U745" s="174"/>
      <c r="V745" s="174"/>
      <c r="W745" s="174"/>
      <c r="X745" s="174"/>
      <c r="Y745" s="174"/>
      <c r="Z745" s="174"/>
    </row>
    <row r="746" customFormat="false" ht="15.75" hidden="false" customHeight="false" outlineLevel="0" collapsed="false">
      <c r="A746" s="174"/>
      <c r="B746" s="174"/>
      <c r="C746" s="174"/>
      <c r="D746" s="174"/>
      <c r="E746" s="174"/>
      <c r="F746" s="174"/>
      <c r="G746" s="174"/>
      <c r="H746" s="174"/>
      <c r="I746" s="174"/>
      <c r="J746" s="174"/>
      <c r="K746" s="174"/>
      <c r="L746" s="174"/>
      <c r="M746" s="174"/>
      <c r="N746" s="174"/>
      <c r="O746" s="174"/>
      <c r="P746" s="174"/>
      <c r="Q746" s="174"/>
      <c r="R746" s="174"/>
      <c r="S746" s="174"/>
      <c r="T746" s="174"/>
      <c r="U746" s="174"/>
      <c r="V746" s="174"/>
      <c r="W746" s="174"/>
      <c r="X746" s="174"/>
      <c r="Y746" s="174"/>
      <c r="Z746" s="174"/>
    </row>
    <row r="747" customFormat="false" ht="15.75" hidden="false" customHeight="false" outlineLevel="0" collapsed="false">
      <c r="A747" s="174"/>
      <c r="B747" s="174"/>
      <c r="C747" s="174"/>
      <c r="D747" s="174"/>
      <c r="E747" s="174"/>
      <c r="F747" s="174"/>
      <c r="G747" s="174"/>
      <c r="H747" s="174"/>
      <c r="I747" s="174"/>
      <c r="J747" s="174"/>
      <c r="K747" s="174"/>
      <c r="L747" s="174"/>
      <c r="M747" s="174"/>
      <c r="N747" s="174"/>
      <c r="O747" s="174"/>
      <c r="P747" s="174"/>
      <c r="Q747" s="174"/>
      <c r="R747" s="174"/>
      <c r="S747" s="174"/>
      <c r="T747" s="174"/>
      <c r="U747" s="174"/>
      <c r="V747" s="174"/>
      <c r="W747" s="174"/>
      <c r="X747" s="174"/>
      <c r="Y747" s="174"/>
      <c r="Z747" s="174"/>
    </row>
    <row r="748" customFormat="false" ht="15.75" hidden="false" customHeight="false" outlineLevel="0" collapsed="false">
      <c r="A748" s="174"/>
      <c r="B748" s="174"/>
      <c r="C748" s="174"/>
      <c r="D748" s="174"/>
      <c r="E748" s="174"/>
      <c r="F748" s="174"/>
      <c r="G748" s="174"/>
      <c r="H748" s="174"/>
      <c r="I748" s="174"/>
      <c r="J748" s="174"/>
      <c r="K748" s="174"/>
      <c r="L748" s="174"/>
      <c r="M748" s="174"/>
      <c r="N748" s="174"/>
      <c r="O748" s="174"/>
      <c r="P748" s="174"/>
      <c r="Q748" s="174"/>
      <c r="R748" s="174"/>
      <c r="S748" s="174"/>
      <c r="T748" s="174"/>
      <c r="U748" s="174"/>
      <c r="V748" s="174"/>
      <c r="W748" s="174"/>
      <c r="X748" s="174"/>
      <c r="Y748" s="174"/>
      <c r="Z748" s="174"/>
    </row>
    <row r="749" customFormat="false" ht="15.75" hidden="false" customHeight="false" outlineLevel="0" collapsed="false">
      <c r="A749" s="174"/>
      <c r="B749" s="174"/>
      <c r="C749" s="174"/>
      <c r="D749" s="174"/>
      <c r="E749" s="174"/>
      <c r="F749" s="174"/>
      <c r="G749" s="174"/>
      <c r="H749" s="174"/>
      <c r="I749" s="174"/>
      <c r="J749" s="174"/>
      <c r="K749" s="174"/>
      <c r="L749" s="174"/>
      <c r="M749" s="174"/>
      <c r="N749" s="174"/>
      <c r="O749" s="174"/>
      <c r="P749" s="174"/>
      <c r="Q749" s="174"/>
      <c r="R749" s="174"/>
      <c r="S749" s="174"/>
      <c r="T749" s="174"/>
      <c r="U749" s="174"/>
      <c r="V749" s="174"/>
      <c r="W749" s="174"/>
      <c r="X749" s="174"/>
      <c r="Y749" s="174"/>
      <c r="Z749" s="174"/>
    </row>
    <row r="750" customFormat="false" ht="15.75" hidden="false" customHeight="false" outlineLevel="0" collapsed="false">
      <c r="A750" s="174"/>
      <c r="B750" s="174"/>
      <c r="C750" s="174"/>
      <c r="D750" s="174"/>
      <c r="E750" s="174"/>
      <c r="F750" s="174"/>
      <c r="G750" s="174"/>
      <c r="H750" s="174"/>
      <c r="I750" s="174"/>
      <c r="J750" s="174"/>
      <c r="K750" s="174"/>
      <c r="L750" s="174"/>
      <c r="M750" s="174"/>
      <c r="N750" s="174"/>
      <c r="O750" s="174"/>
      <c r="P750" s="174"/>
      <c r="Q750" s="174"/>
      <c r="R750" s="174"/>
      <c r="S750" s="174"/>
      <c r="T750" s="174"/>
      <c r="U750" s="174"/>
      <c r="V750" s="174"/>
      <c r="W750" s="174"/>
      <c r="X750" s="174"/>
      <c r="Y750" s="174"/>
      <c r="Z750" s="174"/>
    </row>
    <row r="751" customFormat="false" ht="15.75" hidden="false" customHeight="false" outlineLevel="0" collapsed="false">
      <c r="A751" s="174"/>
      <c r="B751" s="174"/>
      <c r="C751" s="174"/>
      <c r="D751" s="174"/>
      <c r="E751" s="174"/>
      <c r="F751" s="174"/>
      <c r="G751" s="174"/>
      <c r="H751" s="174"/>
      <c r="I751" s="174"/>
      <c r="J751" s="174"/>
      <c r="K751" s="174"/>
      <c r="L751" s="174"/>
      <c r="M751" s="174"/>
      <c r="N751" s="174"/>
      <c r="O751" s="174"/>
      <c r="P751" s="174"/>
      <c r="Q751" s="174"/>
      <c r="R751" s="174"/>
      <c r="S751" s="174"/>
      <c r="T751" s="174"/>
      <c r="U751" s="174"/>
      <c r="V751" s="174"/>
      <c r="W751" s="174"/>
      <c r="X751" s="174"/>
      <c r="Y751" s="174"/>
      <c r="Z751" s="174"/>
    </row>
    <row r="752" customFormat="false" ht="15.75" hidden="false" customHeight="false" outlineLevel="0" collapsed="false">
      <c r="A752" s="174"/>
      <c r="B752" s="174"/>
      <c r="C752" s="174"/>
      <c r="D752" s="174"/>
      <c r="E752" s="174"/>
      <c r="F752" s="174"/>
      <c r="G752" s="174"/>
      <c r="H752" s="174"/>
      <c r="I752" s="174"/>
      <c r="J752" s="174"/>
      <c r="K752" s="174"/>
      <c r="L752" s="174"/>
      <c r="M752" s="174"/>
      <c r="N752" s="174"/>
      <c r="O752" s="174"/>
      <c r="P752" s="174"/>
      <c r="Q752" s="174"/>
      <c r="R752" s="174"/>
      <c r="S752" s="174"/>
      <c r="T752" s="174"/>
      <c r="U752" s="174"/>
      <c r="V752" s="174"/>
      <c r="W752" s="174"/>
      <c r="X752" s="174"/>
      <c r="Y752" s="174"/>
      <c r="Z752" s="174"/>
    </row>
    <row r="753" customFormat="false" ht="15.75" hidden="false" customHeight="false" outlineLevel="0" collapsed="false">
      <c r="A753" s="174"/>
      <c r="B753" s="174"/>
      <c r="C753" s="174"/>
      <c r="D753" s="174"/>
      <c r="E753" s="174"/>
      <c r="F753" s="174"/>
      <c r="G753" s="174"/>
      <c r="H753" s="174"/>
      <c r="I753" s="174"/>
      <c r="J753" s="174"/>
      <c r="K753" s="174"/>
      <c r="L753" s="174"/>
      <c r="M753" s="174"/>
      <c r="N753" s="174"/>
      <c r="O753" s="174"/>
      <c r="P753" s="174"/>
      <c r="Q753" s="174"/>
      <c r="R753" s="174"/>
      <c r="S753" s="174"/>
      <c r="T753" s="174"/>
      <c r="U753" s="174"/>
      <c r="V753" s="174"/>
      <c r="W753" s="174"/>
      <c r="X753" s="174"/>
      <c r="Y753" s="174"/>
      <c r="Z753" s="174"/>
    </row>
    <row r="754" customFormat="false" ht="15.75" hidden="false" customHeight="false" outlineLevel="0" collapsed="false">
      <c r="A754" s="174"/>
      <c r="B754" s="174"/>
      <c r="C754" s="174"/>
      <c r="D754" s="174"/>
      <c r="E754" s="174"/>
      <c r="F754" s="174"/>
      <c r="G754" s="174"/>
      <c r="H754" s="174"/>
      <c r="I754" s="174"/>
      <c r="J754" s="174"/>
      <c r="K754" s="174"/>
      <c r="L754" s="174"/>
      <c r="M754" s="174"/>
      <c r="N754" s="174"/>
      <c r="O754" s="174"/>
      <c r="P754" s="174"/>
      <c r="Q754" s="174"/>
      <c r="R754" s="174"/>
      <c r="S754" s="174"/>
      <c r="T754" s="174"/>
      <c r="U754" s="174"/>
      <c r="V754" s="174"/>
      <c r="W754" s="174"/>
      <c r="X754" s="174"/>
      <c r="Y754" s="174"/>
      <c r="Z754" s="174"/>
    </row>
    <row r="755" customFormat="false" ht="15.75" hidden="false" customHeight="false" outlineLevel="0" collapsed="false">
      <c r="A755" s="174"/>
      <c r="B755" s="174"/>
      <c r="C755" s="174"/>
      <c r="D755" s="174"/>
      <c r="E755" s="174"/>
      <c r="F755" s="174"/>
      <c r="G755" s="174"/>
      <c r="H755" s="174"/>
      <c r="I755" s="174"/>
      <c r="J755" s="174"/>
      <c r="K755" s="174"/>
      <c r="L755" s="174"/>
      <c r="M755" s="174"/>
      <c r="N755" s="174"/>
      <c r="O755" s="174"/>
      <c r="P755" s="174"/>
      <c r="Q755" s="174"/>
      <c r="R755" s="174"/>
      <c r="S755" s="174"/>
      <c r="T755" s="174"/>
      <c r="U755" s="174"/>
      <c r="V755" s="174"/>
      <c r="W755" s="174"/>
      <c r="X755" s="174"/>
      <c r="Y755" s="174"/>
      <c r="Z755" s="174"/>
    </row>
    <row r="756" customFormat="false" ht="15.75" hidden="false" customHeight="false" outlineLevel="0" collapsed="false">
      <c r="A756" s="174"/>
      <c r="B756" s="174"/>
      <c r="C756" s="174"/>
      <c r="D756" s="174"/>
      <c r="E756" s="174"/>
      <c r="F756" s="174"/>
      <c r="G756" s="174"/>
      <c r="H756" s="174"/>
      <c r="I756" s="174"/>
      <c r="J756" s="174"/>
      <c r="K756" s="174"/>
      <c r="L756" s="174"/>
      <c r="M756" s="174"/>
      <c r="N756" s="174"/>
      <c r="O756" s="174"/>
      <c r="P756" s="174"/>
      <c r="Q756" s="174"/>
      <c r="R756" s="174"/>
      <c r="S756" s="174"/>
      <c r="T756" s="174"/>
      <c r="U756" s="174"/>
      <c r="V756" s="174"/>
      <c r="W756" s="174"/>
      <c r="X756" s="174"/>
      <c r="Y756" s="174"/>
      <c r="Z756" s="174"/>
    </row>
    <row r="757" customFormat="false" ht="15.75" hidden="false" customHeight="false" outlineLevel="0" collapsed="false">
      <c r="A757" s="174"/>
      <c r="B757" s="174"/>
      <c r="C757" s="174"/>
      <c r="D757" s="174"/>
      <c r="E757" s="174"/>
      <c r="F757" s="174"/>
      <c r="G757" s="174"/>
      <c r="H757" s="174"/>
      <c r="I757" s="174"/>
      <c r="J757" s="174"/>
      <c r="K757" s="174"/>
      <c r="L757" s="174"/>
      <c r="M757" s="174"/>
      <c r="N757" s="174"/>
      <c r="O757" s="174"/>
      <c r="P757" s="174"/>
      <c r="Q757" s="174"/>
      <c r="R757" s="174"/>
      <c r="S757" s="174"/>
      <c r="T757" s="174"/>
      <c r="U757" s="174"/>
      <c r="V757" s="174"/>
      <c r="W757" s="174"/>
      <c r="X757" s="174"/>
      <c r="Y757" s="174"/>
      <c r="Z757" s="174"/>
    </row>
    <row r="758" customFormat="false" ht="15.75" hidden="false" customHeight="false" outlineLevel="0" collapsed="false">
      <c r="A758" s="174"/>
      <c r="B758" s="174"/>
      <c r="C758" s="174"/>
      <c r="D758" s="174"/>
      <c r="E758" s="174"/>
      <c r="F758" s="174"/>
      <c r="G758" s="174"/>
      <c r="H758" s="174"/>
      <c r="I758" s="174"/>
      <c r="J758" s="174"/>
      <c r="K758" s="174"/>
      <c r="L758" s="174"/>
      <c r="M758" s="174"/>
      <c r="N758" s="174"/>
      <c r="O758" s="174"/>
      <c r="P758" s="174"/>
      <c r="Q758" s="174"/>
      <c r="R758" s="174"/>
      <c r="S758" s="174"/>
      <c r="T758" s="174"/>
      <c r="U758" s="174"/>
      <c r="V758" s="174"/>
      <c r="W758" s="174"/>
      <c r="X758" s="174"/>
      <c r="Y758" s="174"/>
      <c r="Z758" s="174"/>
    </row>
    <row r="759" customFormat="false" ht="15.75" hidden="false" customHeight="false" outlineLevel="0" collapsed="false">
      <c r="A759" s="174"/>
      <c r="B759" s="174"/>
      <c r="C759" s="174"/>
      <c r="D759" s="174"/>
      <c r="E759" s="174"/>
      <c r="F759" s="174"/>
      <c r="G759" s="174"/>
      <c r="H759" s="174"/>
      <c r="I759" s="174"/>
      <c r="J759" s="174"/>
      <c r="K759" s="174"/>
      <c r="L759" s="174"/>
      <c r="M759" s="174"/>
      <c r="N759" s="174"/>
      <c r="O759" s="174"/>
      <c r="P759" s="174"/>
      <c r="Q759" s="174"/>
      <c r="R759" s="174"/>
      <c r="S759" s="174"/>
      <c r="T759" s="174"/>
      <c r="U759" s="174"/>
      <c r="V759" s="174"/>
      <c r="W759" s="174"/>
      <c r="X759" s="174"/>
      <c r="Y759" s="174"/>
      <c r="Z759" s="174"/>
    </row>
    <row r="760" customFormat="false" ht="15.75" hidden="false" customHeight="false" outlineLevel="0" collapsed="false">
      <c r="A760" s="174"/>
      <c r="B760" s="174"/>
      <c r="C760" s="174"/>
      <c r="D760" s="174"/>
      <c r="E760" s="174"/>
      <c r="F760" s="174"/>
      <c r="G760" s="174"/>
      <c r="H760" s="174"/>
      <c r="I760" s="174"/>
      <c r="J760" s="174"/>
      <c r="K760" s="174"/>
      <c r="L760" s="174"/>
      <c r="M760" s="174"/>
      <c r="N760" s="174"/>
      <c r="O760" s="174"/>
      <c r="P760" s="174"/>
      <c r="Q760" s="174"/>
      <c r="R760" s="174"/>
      <c r="S760" s="174"/>
      <c r="T760" s="174"/>
      <c r="U760" s="174"/>
      <c r="V760" s="174"/>
      <c r="W760" s="174"/>
      <c r="X760" s="174"/>
      <c r="Y760" s="174"/>
      <c r="Z760" s="174"/>
    </row>
    <row r="761" customFormat="false" ht="15.75" hidden="false" customHeight="false" outlineLevel="0" collapsed="false">
      <c r="A761" s="174"/>
      <c r="B761" s="174"/>
      <c r="C761" s="174"/>
      <c r="D761" s="174"/>
      <c r="E761" s="174"/>
      <c r="F761" s="174"/>
      <c r="G761" s="174"/>
      <c r="H761" s="174"/>
      <c r="I761" s="174"/>
      <c r="J761" s="174"/>
      <c r="K761" s="174"/>
      <c r="L761" s="174"/>
      <c r="M761" s="174"/>
      <c r="N761" s="174"/>
      <c r="O761" s="174"/>
      <c r="P761" s="174"/>
      <c r="Q761" s="174"/>
      <c r="R761" s="174"/>
      <c r="S761" s="174"/>
      <c r="T761" s="174"/>
      <c r="U761" s="174"/>
      <c r="V761" s="174"/>
      <c r="W761" s="174"/>
      <c r="X761" s="174"/>
      <c r="Y761" s="174"/>
      <c r="Z761" s="174"/>
    </row>
    <row r="762" customFormat="false" ht="15.75" hidden="false" customHeight="false" outlineLevel="0" collapsed="false">
      <c r="A762" s="174"/>
      <c r="B762" s="174"/>
      <c r="C762" s="174"/>
      <c r="D762" s="174"/>
      <c r="E762" s="174"/>
      <c r="F762" s="174"/>
      <c r="G762" s="174"/>
      <c r="H762" s="174"/>
      <c r="I762" s="174"/>
      <c r="J762" s="174"/>
      <c r="K762" s="174"/>
      <c r="L762" s="174"/>
      <c r="M762" s="174"/>
      <c r="N762" s="174"/>
      <c r="O762" s="174"/>
      <c r="P762" s="174"/>
      <c r="Q762" s="174"/>
      <c r="R762" s="174"/>
      <c r="S762" s="174"/>
      <c r="T762" s="174"/>
      <c r="U762" s="174"/>
      <c r="V762" s="174"/>
      <c r="W762" s="174"/>
      <c r="X762" s="174"/>
      <c r="Y762" s="174"/>
      <c r="Z762" s="174"/>
    </row>
    <row r="763" customFormat="false" ht="15.75" hidden="false" customHeight="false" outlineLevel="0" collapsed="false">
      <c r="A763" s="174"/>
      <c r="B763" s="174"/>
      <c r="C763" s="174"/>
      <c r="D763" s="174"/>
      <c r="E763" s="174"/>
      <c r="F763" s="174"/>
      <c r="G763" s="174"/>
      <c r="H763" s="174"/>
      <c r="I763" s="174"/>
      <c r="J763" s="174"/>
      <c r="K763" s="174"/>
      <c r="L763" s="174"/>
      <c r="M763" s="174"/>
      <c r="N763" s="174"/>
      <c r="O763" s="174"/>
      <c r="P763" s="174"/>
      <c r="Q763" s="174"/>
      <c r="R763" s="174"/>
      <c r="S763" s="174"/>
      <c r="T763" s="174"/>
      <c r="U763" s="174"/>
      <c r="V763" s="174"/>
      <c r="W763" s="174"/>
      <c r="X763" s="174"/>
      <c r="Y763" s="174"/>
      <c r="Z763" s="174"/>
    </row>
    <row r="764" customFormat="false" ht="15.75" hidden="false" customHeight="false" outlineLevel="0" collapsed="false">
      <c r="A764" s="174"/>
      <c r="B764" s="174"/>
      <c r="C764" s="174"/>
      <c r="D764" s="174"/>
      <c r="E764" s="174"/>
      <c r="F764" s="174"/>
      <c r="G764" s="174"/>
      <c r="H764" s="174"/>
      <c r="I764" s="174"/>
      <c r="J764" s="174"/>
      <c r="K764" s="174"/>
      <c r="L764" s="174"/>
      <c r="M764" s="174"/>
      <c r="N764" s="174"/>
      <c r="O764" s="174"/>
      <c r="P764" s="174"/>
      <c r="Q764" s="174"/>
      <c r="R764" s="174"/>
      <c r="S764" s="174"/>
      <c r="T764" s="174"/>
      <c r="U764" s="174"/>
      <c r="V764" s="174"/>
      <c r="W764" s="174"/>
      <c r="X764" s="174"/>
      <c r="Y764" s="174"/>
      <c r="Z764" s="174"/>
    </row>
    <row r="765" customFormat="false" ht="15.75" hidden="false" customHeight="false" outlineLevel="0" collapsed="false">
      <c r="A765" s="174"/>
      <c r="B765" s="174"/>
      <c r="C765" s="174"/>
      <c r="D765" s="174"/>
      <c r="E765" s="174"/>
      <c r="F765" s="174"/>
      <c r="G765" s="174"/>
      <c r="H765" s="174"/>
      <c r="I765" s="174"/>
      <c r="J765" s="174"/>
      <c r="K765" s="174"/>
      <c r="L765" s="174"/>
      <c r="M765" s="174"/>
      <c r="N765" s="174"/>
      <c r="O765" s="174"/>
      <c r="P765" s="174"/>
      <c r="Q765" s="174"/>
      <c r="R765" s="174"/>
      <c r="S765" s="174"/>
      <c r="T765" s="174"/>
      <c r="U765" s="174"/>
      <c r="V765" s="174"/>
      <c r="W765" s="174"/>
      <c r="X765" s="174"/>
      <c r="Y765" s="174"/>
      <c r="Z765" s="174"/>
    </row>
    <row r="766" customFormat="false" ht="15.75" hidden="false" customHeight="false" outlineLevel="0" collapsed="false">
      <c r="A766" s="174"/>
      <c r="B766" s="174"/>
      <c r="C766" s="174"/>
      <c r="D766" s="174"/>
      <c r="E766" s="174"/>
      <c r="F766" s="174"/>
      <c r="G766" s="174"/>
      <c r="H766" s="174"/>
      <c r="I766" s="174"/>
      <c r="J766" s="174"/>
      <c r="K766" s="174"/>
      <c r="L766" s="174"/>
      <c r="M766" s="174"/>
      <c r="N766" s="174"/>
      <c r="O766" s="174"/>
      <c r="P766" s="174"/>
      <c r="Q766" s="174"/>
      <c r="R766" s="174"/>
      <c r="S766" s="174"/>
      <c r="T766" s="174"/>
      <c r="U766" s="174"/>
      <c r="V766" s="174"/>
      <c r="W766" s="174"/>
      <c r="X766" s="174"/>
      <c r="Y766" s="174"/>
      <c r="Z766" s="174"/>
    </row>
    <row r="767" customFormat="false" ht="15.75" hidden="false" customHeight="false" outlineLevel="0" collapsed="false">
      <c r="A767" s="174"/>
      <c r="B767" s="174"/>
      <c r="C767" s="174"/>
      <c r="D767" s="174"/>
      <c r="E767" s="174"/>
      <c r="F767" s="174"/>
      <c r="G767" s="174"/>
      <c r="H767" s="174"/>
      <c r="I767" s="174"/>
      <c r="J767" s="174"/>
      <c r="K767" s="174"/>
      <c r="L767" s="174"/>
      <c r="M767" s="174"/>
      <c r="N767" s="174"/>
      <c r="O767" s="174"/>
      <c r="P767" s="174"/>
      <c r="Q767" s="174"/>
      <c r="R767" s="174"/>
      <c r="S767" s="174"/>
      <c r="T767" s="174"/>
      <c r="U767" s="174"/>
      <c r="V767" s="174"/>
      <c r="W767" s="174"/>
      <c r="X767" s="174"/>
      <c r="Y767" s="174"/>
      <c r="Z767" s="174"/>
    </row>
    <row r="768" customFormat="false" ht="15.75" hidden="false" customHeight="false" outlineLevel="0" collapsed="false">
      <c r="A768" s="174"/>
      <c r="B768" s="174"/>
      <c r="C768" s="174"/>
      <c r="D768" s="174"/>
      <c r="E768" s="174"/>
      <c r="F768" s="174"/>
      <c r="G768" s="174"/>
      <c r="H768" s="174"/>
      <c r="I768" s="174"/>
      <c r="J768" s="174"/>
      <c r="K768" s="174"/>
      <c r="L768" s="174"/>
      <c r="M768" s="174"/>
      <c r="N768" s="174"/>
      <c r="O768" s="174"/>
      <c r="P768" s="174"/>
      <c r="Q768" s="174"/>
      <c r="R768" s="174"/>
      <c r="S768" s="174"/>
      <c r="T768" s="174"/>
      <c r="U768" s="174"/>
      <c r="V768" s="174"/>
      <c r="W768" s="174"/>
      <c r="X768" s="174"/>
      <c r="Y768" s="174"/>
      <c r="Z768" s="174"/>
    </row>
    <row r="769" customFormat="false" ht="15.75" hidden="false" customHeight="false" outlineLevel="0" collapsed="false">
      <c r="A769" s="174"/>
      <c r="B769" s="174"/>
      <c r="C769" s="174"/>
      <c r="D769" s="174"/>
      <c r="E769" s="174"/>
      <c r="F769" s="174"/>
      <c r="G769" s="174"/>
      <c r="H769" s="174"/>
      <c r="I769" s="174"/>
      <c r="J769" s="174"/>
      <c r="K769" s="174"/>
      <c r="L769" s="174"/>
      <c r="M769" s="174"/>
      <c r="N769" s="174"/>
      <c r="O769" s="174"/>
      <c r="P769" s="174"/>
      <c r="Q769" s="174"/>
      <c r="R769" s="174"/>
      <c r="S769" s="174"/>
      <c r="T769" s="174"/>
      <c r="U769" s="174"/>
      <c r="V769" s="174"/>
      <c r="W769" s="174"/>
      <c r="X769" s="174"/>
      <c r="Y769" s="174"/>
      <c r="Z769" s="174"/>
    </row>
    <row r="770" customFormat="false" ht="15.75" hidden="false" customHeight="false" outlineLevel="0" collapsed="false">
      <c r="A770" s="174"/>
      <c r="B770" s="174"/>
      <c r="C770" s="174"/>
      <c r="D770" s="174"/>
      <c r="E770" s="174"/>
      <c r="F770" s="174"/>
      <c r="G770" s="174"/>
      <c r="H770" s="174"/>
      <c r="I770" s="174"/>
      <c r="J770" s="174"/>
      <c r="K770" s="174"/>
      <c r="L770" s="174"/>
      <c r="M770" s="174"/>
      <c r="N770" s="174"/>
      <c r="O770" s="174"/>
      <c r="P770" s="174"/>
      <c r="Q770" s="174"/>
      <c r="R770" s="174"/>
      <c r="S770" s="174"/>
      <c r="T770" s="174"/>
      <c r="U770" s="174"/>
      <c r="V770" s="174"/>
      <c r="W770" s="174"/>
      <c r="X770" s="174"/>
      <c r="Y770" s="174"/>
      <c r="Z770" s="174"/>
    </row>
    <row r="771" customFormat="false" ht="15.75" hidden="false" customHeight="false" outlineLevel="0" collapsed="false">
      <c r="A771" s="174"/>
      <c r="B771" s="174"/>
      <c r="C771" s="174"/>
      <c r="D771" s="174"/>
      <c r="E771" s="174"/>
      <c r="F771" s="174"/>
      <c r="G771" s="174"/>
      <c r="H771" s="174"/>
      <c r="I771" s="174"/>
      <c r="J771" s="174"/>
      <c r="K771" s="174"/>
      <c r="L771" s="174"/>
      <c r="M771" s="174"/>
      <c r="N771" s="174"/>
      <c r="O771" s="174"/>
      <c r="P771" s="174"/>
      <c r="Q771" s="174"/>
      <c r="R771" s="174"/>
      <c r="S771" s="174"/>
      <c r="T771" s="174"/>
      <c r="U771" s="174"/>
      <c r="V771" s="174"/>
      <c r="W771" s="174"/>
      <c r="X771" s="174"/>
      <c r="Y771" s="174"/>
      <c r="Z771" s="174"/>
    </row>
    <row r="772" customFormat="false" ht="15.75" hidden="false" customHeight="false" outlineLevel="0" collapsed="false">
      <c r="A772" s="174"/>
      <c r="B772" s="174"/>
      <c r="C772" s="174"/>
      <c r="D772" s="174"/>
      <c r="E772" s="174"/>
      <c r="F772" s="174"/>
      <c r="G772" s="174"/>
      <c r="H772" s="174"/>
      <c r="I772" s="174"/>
      <c r="J772" s="174"/>
      <c r="K772" s="174"/>
      <c r="L772" s="174"/>
      <c r="M772" s="174"/>
      <c r="N772" s="174"/>
      <c r="O772" s="174"/>
      <c r="P772" s="174"/>
      <c r="Q772" s="174"/>
      <c r="R772" s="174"/>
      <c r="S772" s="174"/>
      <c r="T772" s="174"/>
      <c r="U772" s="174"/>
      <c r="V772" s="174"/>
      <c r="W772" s="174"/>
      <c r="X772" s="174"/>
      <c r="Y772" s="174"/>
      <c r="Z772" s="174"/>
    </row>
    <row r="773" customFormat="false" ht="15.75" hidden="false" customHeight="false" outlineLevel="0" collapsed="false">
      <c r="A773" s="174"/>
      <c r="B773" s="174"/>
      <c r="C773" s="174"/>
      <c r="D773" s="174"/>
      <c r="E773" s="174"/>
      <c r="F773" s="174"/>
      <c r="G773" s="174"/>
      <c r="H773" s="174"/>
      <c r="I773" s="174"/>
      <c r="J773" s="174"/>
      <c r="K773" s="174"/>
      <c r="L773" s="174"/>
      <c r="M773" s="174"/>
      <c r="N773" s="174"/>
      <c r="O773" s="174"/>
      <c r="P773" s="174"/>
      <c r="Q773" s="174"/>
      <c r="R773" s="174"/>
      <c r="S773" s="174"/>
      <c r="T773" s="174"/>
      <c r="U773" s="174"/>
      <c r="V773" s="174"/>
      <c r="W773" s="174"/>
      <c r="X773" s="174"/>
      <c r="Y773" s="174"/>
      <c r="Z773" s="174"/>
    </row>
    <row r="774" customFormat="false" ht="15.75" hidden="false" customHeight="false" outlineLevel="0" collapsed="false">
      <c r="A774" s="174"/>
      <c r="B774" s="174"/>
      <c r="C774" s="174"/>
      <c r="D774" s="174"/>
      <c r="E774" s="174"/>
      <c r="F774" s="174"/>
      <c r="G774" s="174"/>
      <c r="H774" s="174"/>
      <c r="I774" s="174"/>
      <c r="J774" s="174"/>
      <c r="K774" s="174"/>
      <c r="L774" s="174"/>
      <c r="M774" s="174"/>
      <c r="N774" s="174"/>
      <c r="O774" s="174"/>
      <c r="P774" s="174"/>
      <c r="Q774" s="174"/>
      <c r="R774" s="174"/>
      <c r="S774" s="174"/>
      <c r="T774" s="174"/>
      <c r="U774" s="174"/>
      <c r="V774" s="174"/>
      <c r="W774" s="174"/>
      <c r="X774" s="174"/>
      <c r="Y774" s="174"/>
      <c r="Z774" s="174"/>
    </row>
    <row r="775" customFormat="false" ht="15.75" hidden="false" customHeight="false" outlineLevel="0" collapsed="false">
      <c r="A775" s="174"/>
      <c r="B775" s="174"/>
      <c r="C775" s="174"/>
      <c r="D775" s="174"/>
      <c r="E775" s="174"/>
      <c r="F775" s="174"/>
      <c r="G775" s="174"/>
      <c r="H775" s="174"/>
      <c r="I775" s="174"/>
      <c r="J775" s="174"/>
      <c r="K775" s="174"/>
      <c r="L775" s="174"/>
      <c r="M775" s="174"/>
      <c r="N775" s="174"/>
      <c r="O775" s="174"/>
      <c r="P775" s="174"/>
      <c r="Q775" s="174"/>
      <c r="R775" s="174"/>
      <c r="S775" s="174"/>
      <c r="T775" s="174"/>
      <c r="U775" s="174"/>
      <c r="V775" s="174"/>
      <c r="W775" s="174"/>
      <c r="X775" s="174"/>
      <c r="Y775" s="174"/>
      <c r="Z775" s="174"/>
    </row>
    <row r="776" customFormat="false" ht="15.75" hidden="false" customHeight="false" outlineLevel="0" collapsed="false">
      <c r="A776" s="174"/>
      <c r="B776" s="174"/>
      <c r="C776" s="174"/>
      <c r="D776" s="174"/>
      <c r="E776" s="174"/>
      <c r="F776" s="174"/>
      <c r="G776" s="174"/>
      <c r="H776" s="174"/>
      <c r="I776" s="174"/>
      <c r="J776" s="174"/>
      <c r="K776" s="174"/>
      <c r="L776" s="174"/>
      <c r="M776" s="174"/>
      <c r="N776" s="174"/>
      <c r="O776" s="174"/>
      <c r="P776" s="174"/>
      <c r="Q776" s="174"/>
      <c r="R776" s="174"/>
      <c r="S776" s="174"/>
      <c r="T776" s="174"/>
      <c r="U776" s="174"/>
      <c r="V776" s="174"/>
      <c r="W776" s="174"/>
      <c r="X776" s="174"/>
      <c r="Y776" s="174"/>
      <c r="Z776" s="174"/>
    </row>
    <row r="777" customFormat="false" ht="15.75" hidden="false" customHeight="false" outlineLevel="0" collapsed="false">
      <c r="A777" s="174"/>
      <c r="B777" s="174"/>
      <c r="C777" s="174"/>
      <c r="D777" s="174"/>
      <c r="E777" s="174"/>
      <c r="F777" s="174"/>
      <c r="G777" s="174"/>
      <c r="H777" s="174"/>
      <c r="I777" s="174"/>
      <c r="J777" s="174"/>
      <c r="K777" s="174"/>
      <c r="L777" s="174"/>
      <c r="M777" s="174"/>
      <c r="N777" s="174"/>
      <c r="O777" s="174"/>
      <c r="P777" s="174"/>
      <c r="Q777" s="174"/>
      <c r="R777" s="174"/>
      <c r="S777" s="174"/>
      <c r="T777" s="174"/>
      <c r="U777" s="174"/>
      <c r="V777" s="174"/>
      <c r="W777" s="174"/>
      <c r="X777" s="174"/>
      <c r="Y777" s="174"/>
      <c r="Z777" s="174"/>
    </row>
    <row r="778" customFormat="false" ht="15.75" hidden="false" customHeight="false" outlineLevel="0" collapsed="false">
      <c r="A778" s="174"/>
      <c r="B778" s="174"/>
      <c r="C778" s="174"/>
      <c r="D778" s="174"/>
      <c r="E778" s="174"/>
      <c r="F778" s="174"/>
      <c r="G778" s="174"/>
      <c r="H778" s="174"/>
      <c r="I778" s="174"/>
      <c r="J778" s="174"/>
      <c r="K778" s="174"/>
      <c r="L778" s="174"/>
      <c r="M778" s="174"/>
      <c r="N778" s="174"/>
      <c r="O778" s="174"/>
      <c r="P778" s="174"/>
      <c r="Q778" s="174"/>
      <c r="R778" s="174"/>
      <c r="S778" s="174"/>
      <c r="T778" s="174"/>
      <c r="U778" s="174"/>
      <c r="V778" s="174"/>
      <c r="W778" s="174"/>
      <c r="X778" s="174"/>
      <c r="Y778" s="174"/>
      <c r="Z778" s="174"/>
    </row>
    <row r="779" customFormat="false" ht="15.75" hidden="false" customHeight="false" outlineLevel="0" collapsed="false">
      <c r="A779" s="174"/>
      <c r="B779" s="174"/>
      <c r="C779" s="174"/>
      <c r="D779" s="174"/>
      <c r="E779" s="174"/>
      <c r="F779" s="174"/>
      <c r="G779" s="174"/>
      <c r="H779" s="174"/>
      <c r="I779" s="174"/>
      <c r="J779" s="174"/>
      <c r="K779" s="174"/>
      <c r="L779" s="174"/>
      <c r="M779" s="174"/>
      <c r="N779" s="174"/>
      <c r="O779" s="174"/>
      <c r="P779" s="174"/>
      <c r="Q779" s="174"/>
      <c r="R779" s="174"/>
      <c r="S779" s="174"/>
      <c r="T779" s="174"/>
      <c r="U779" s="174"/>
      <c r="V779" s="174"/>
      <c r="W779" s="174"/>
      <c r="X779" s="174"/>
      <c r="Y779" s="174"/>
      <c r="Z779" s="174"/>
    </row>
    <row r="780" customFormat="false" ht="15.75" hidden="false" customHeight="false" outlineLevel="0" collapsed="false">
      <c r="A780" s="174"/>
      <c r="B780" s="174"/>
      <c r="C780" s="174"/>
      <c r="D780" s="174"/>
      <c r="E780" s="174"/>
      <c r="F780" s="174"/>
      <c r="G780" s="174"/>
      <c r="H780" s="174"/>
      <c r="I780" s="174"/>
      <c r="J780" s="174"/>
      <c r="K780" s="174"/>
      <c r="L780" s="174"/>
      <c r="M780" s="174"/>
      <c r="N780" s="174"/>
      <c r="O780" s="174"/>
      <c r="P780" s="174"/>
      <c r="Q780" s="174"/>
      <c r="R780" s="174"/>
      <c r="S780" s="174"/>
      <c r="T780" s="174"/>
      <c r="U780" s="174"/>
      <c r="V780" s="174"/>
      <c r="W780" s="174"/>
      <c r="X780" s="174"/>
      <c r="Y780" s="174"/>
      <c r="Z780" s="174"/>
    </row>
    <row r="781" customFormat="false" ht="15.75" hidden="false" customHeight="false" outlineLevel="0" collapsed="false">
      <c r="A781" s="174"/>
      <c r="B781" s="174"/>
      <c r="C781" s="174"/>
      <c r="D781" s="174"/>
      <c r="E781" s="174"/>
      <c r="F781" s="174"/>
      <c r="G781" s="174"/>
      <c r="H781" s="174"/>
      <c r="I781" s="174"/>
      <c r="J781" s="174"/>
      <c r="K781" s="174"/>
      <c r="L781" s="174"/>
      <c r="M781" s="174"/>
      <c r="N781" s="174"/>
      <c r="O781" s="174"/>
      <c r="P781" s="174"/>
      <c r="Q781" s="174"/>
      <c r="R781" s="174"/>
      <c r="S781" s="174"/>
      <c r="T781" s="174"/>
      <c r="U781" s="174"/>
      <c r="V781" s="174"/>
      <c r="W781" s="174"/>
      <c r="X781" s="174"/>
      <c r="Y781" s="174"/>
      <c r="Z781" s="174"/>
    </row>
    <row r="782" customFormat="false" ht="15.75" hidden="false" customHeight="false" outlineLevel="0" collapsed="false">
      <c r="A782" s="174"/>
      <c r="B782" s="174"/>
      <c r="C782" s="174"/>
      <c r="D782" s="174"/>
      <c r="E782" s="174"/>
      <c r="F782" s="174"/>
      <c r="G782" s="174"/>
      <c r="H782" s="174"/>
      <c r="I782" s="174"/>
      <c r="J782" s="174"/>
      <c r="K782" s="174"/>
      <c r="L782" s="174"/>
      <c r="M782" s="174"/>
      <c r="N782" s="174"/>
      <c r="O782" s="174"/>
      <c r="P782" s="174"/>
      <c r="Q782" s="174"/>
      <c r="R782" s="174"/>
      <c r="S782" s="174"/>
      <c r="T782" s="174"/>
      <c r="U782" s="174"/>
      <c r="V782" s="174"/>
      <c r="W782" s="174"/>
      <c r="X782" s="174"/>
      <c r="Y782" s="174"/>
      <c r="Z782" s="174"/>
    </row>
    <row r="783" customFormat="false" ht="15.75" hidden="false" customHeight="false" outlineLevel="0" collapsed="false">
      <c r="A783" s="174"/>
      <c r="B783" s="174"/>
      <c r="C783" s="174"/>
      <c r="D783" s="174"/>
      <c r="E783" s="174"/>
      <c r="F783" s="174"/>
      <c r="G783" s="174"/>
      <c r="H783" s="174"/>
      <c r="I783" s="174"/>
      <c r="J783" s="174"/>
      <c r="K783" s="174"/>
      <c r="L783" s="174"/>
      <c r="M783" s="174"/>
      <c r="N783" s="174"/>
      <c r="O783" s="174"/>
      <c r="P783" s="174"/>
      <c r="Q783" s="174"/>
      <c r="R783" s="174"/>
      <c r="S783" s="174"/>
      <c r="T783" s="174"/>
      <c r="U783" s="174"/>
      <c r="V783" s="174"/>
      <c r="W783" s="174"/>
      <c r="X783" s="174"/>
      <c r="Y783" s="174"/>
      <c r="Z783" s="174"/>
    </row>
    <row r="784" customFormat="false" ht="15.75" hidden="false" customHeight="false" outlineLevel="0" collapsed="false">
      <c r="A784" s="174"/>
      <c r="B784" s="174"/>
      <c r="C784" s="174"/>
      <c r="D784" s="174"/>
      <c r="E784" s="174"/>
      <c r="F784" s="174"/>
      <c r="G784" s="174"/>
      <c r="H784" s="174"/>
      <c r="I784" s="174"/>
      <c r="J784" s="174"/>
      <c r="K784" s="174"/>
      <c r="L784" s="174"/>
      <c r="M784" s="174"/>
      <c r="N784" s="174"/>
      <c r="O784" s="174"/>
      <c r="P784" s="174"/>
      <c r="Q784" s="174"/>
      <c r="R784" s="174"/>
      <c r="S784" s="174"/>
      <c r="T784" s="174"/>
      <c r="U784" s="174"/>
      <c r="V784" s="174"/>
      <c r="W784" s="174"/>
      <c r="X784" s="174"/>
      <c r="Y784" s="174"/>
      <c r="Z784" s="174"/>
    </row>
    <row r="785" customFormat="false" ht="15.75" hidden="false" customHeight="false" outlineLevel="0" collapsed="false">
      <c r="A785" s="174"/>
      <c r="B785" s="174"/>
      <c r="C785" s="174"/>
      <c r="D785" s="174"/>
      <c r="E785" s="174"/>
      <c r="F785" s="174"/>
      <c r="G785" s="174"/>
      <c r="H785" s="174"/>
      <c r="I785" s="174"/>
      <c r="J785" s="174"/>
      <c r="K785" s="174"/>
      <c r="L785" s="174"/>
      <c r="M785" s="174"/>
      <c r="N785" s="174"/>
      <c r="O785" s="174"/>
      <c r="P785" s="174"/>
      <c r="Q785" s="174"/>
      <c r="R785" s="174"/>
      <c r="S785" s="174"/>
      <c r="T785" s="174"/>
      <c r="U785" s="174"/>
      <c r="V785" s="174"/>
      <c r="W785" s="174"/>
      <c r="X785" s="174"/>
      <c r="Y785" s="174"/>
      <c r="Z785" s="174"/>
    </row>
    <row r="786" customFormat="false" ht="15.75" hidden="false" customHeight="false" outlineLevel="0" collapsed="false">
      <c r="A786" s="174"/>
      <c r="B786" s="174"/>
      <c r="C786" s="174"/>
      <c r="D786" s="174"/>
      <c r="E786" s="174"/>
      <c r="F786" s="174"/>
      <c r="G786" s="174"/>
      <c r="H786" s="174"/>
      <c r="I786" s="174"/>
      <c r="J786" s="174"/>
      <c r="K786" s="174"/>
      <c r="L786" s="174"/>
      <c r="M786" s="174"/>
      <c r="N786" s="174"/>
      <c r="O786" s="174"/>
      <c r="P786" s="174"/>
      <c r="Q786" s="174"/>
      <c r="R786" s="174"/>
      <c r="S786" s="174"/>
      <c r="T786" s="174"/>
      <c r="U786" s="174"/>
      <c r="V786" s="174"/>
      <c r="W786" s="174"/>
      <c r="X786" s="174"/>
      <c r="Y786" s="174"/>
      <c r="Z786" s="174"/>
    </row>
    <row r="787" customFormat="false" ht="15.75" hidden="false" customHeight="false" outlineLevel="0" collapsed="false">
      <c r="A787" s="174"/>
      <c r="B787" s="174"/>
      <c r="C787" s="174"/>
      <c r="D787" s="174"/>
      <c r="E787" s="174"/>
      <c r="F787" s="174"/>
      <c r="G787" s="174"/>
      <c r="H787" s="174"/>
      <c r="I787" s="174"/>
      <c r="J787" s="174"/>
      <c r="K787" s="174"/>
      <c r="L787" s="174"/>
      <c r="M787" s="174"/>
      <c r="N787" s="174"/>
      <c r="O787" s="174"/>
      <c r="P787" s="174"/>
      <c r="Q787" s="174"/>
      <c r="R787" s="174"/>
      <c r="S787" s="174"/>
      <c r="T787" s="174"/>
      <c r="U787" s="174"/>
      <c r="V787" s="174"/>
      <c r="W787" s="174"/>
      <c r="X787" s="174"/>
      <c r="Y787" s="174"/>
      <c r="Z787" s="174"/>
    </row>
    <row r="788" customFormat="false" ht="15.75" hidden="false" customHeight="false" outlineLevel="0" collapsed="false">
      <c r="A788" s="174"/>
      <c r="B788" s="174"/>
      <c r="C788" s="174"/>
      <c r="D788" s="174"/>
      <c r="E788" s="174"/>
      <c r="F788" s="174"/>
      <c r="G788" s="174"/>
      <c r="H788" s="174"/>
      <c r="I788" s="174"/>
      <c r="J788" s="174"/>
      <c r="K788" s="174"/>
      <c r="L788" s="174"/>
      <c r="M788" s="174"/>
      <c r="N788" s="174"/>
      <c r="O788" s="174"/>
      <c r="P788" s="174"/>
      <c r="Q788" s="174"/>
      <c r="R788" s="174"/>
      <c r="S788" s="174"/>
      <c r="T788" s="174"/>
      <c r="U788" s="174"/>
      <c r="V788" s="174"/>
      <c r="W788" s="174"/>
      <c r="X788" s="174"/>
      <c r="Y788" s="174"/>
      <c r="Z788" s="174"/>
    </row>
    <row r="789" customFormat="false" ht="15.75" hidden="false" customHeight="false" outlineLevel="0" collapsed="false">
      <c r="A789" s="174"/>
      <c r="B789" s="174"/>
      <c r="C789" s="174"/>
      <c r="D789" s="174"/>
      <c r="E789" s="174"/>
      <c r="F789" s="174"/>
      <c r="G789" s="174"/>
      <c r="H789" s="174"/>
      <c r="I789" s="174"/>
      <c r="J789" s="174"/>
      <c r="K789" s="174"/>
      <c r="L789" s="174"/>
      <c r="M789" s="174"/>
      <c r="N789" s="174"/>
      <c r="O789" s="174"/>
      <c r="P789" s="174"/>
      <c r="Q789" s="174"/>
      <c r="R789" s="174"/>
      <c r="S789" s="174"/>
      <c r="T789" s="174"/>
      <c r="U789" s="174"/>
      <c r="V789" s="174"/>
      <c r="W789" s="174"/>
      <c r="X789" s="174"/>
      <c r="Y789" s="174"/>
      <c r="Z789" s="174"/>
    </row>
    <row r="790" customFormat="false" ht="15.75" hidden="false" customHeight="false" outlineLevel="0" collapsed="false">
      <c r="A790" s="174"/>
      <c r="B790" s="174"/>
      <c r="C790" s="174"/>
      <c r="D790" s="174"/>
      <c r="E790" s="174"/>
      <c r="F790" s="174"/>
      <c r="G790" s="174"/>
      <c r="H790" s="174"/>
      <c r="I790" s="174"/>
      <c r="J790" s="174"/>
      <c r="K790" s="174"/>
      <c r="L790" s="174"/>
      <c r="M790" s="174"/>
      <c r="N790" s="174"/>
      <c r="O790" s="174"/>
      <c r="P790" s="174"/>
      <c r="Q790" s="174"/>
      <c r="R790" s="174"/>
      <c r="S790" s="174"/>
      <c r="T790" s="174"/>
      <c r="U790" s="174"/>
      <c r="V790" s="174"/>
      <c r="W790" s="174"/>
      <c r="X790" s="174"/>
      <c r="Y790" s="174"/>
      <c r="Z790" s="174"/>
    </row>
    <row r="791" customFormat="false" ht="15.75" hidden="false" customHeight="false" outlineLevel="0" collapsed="false">
      <c r="A791" s="174"/>
      <c r="B791" s="174"/>
      <c r="C791" s="174"/>
      <c r="D791" s="174"/>
      <c r="E791" s="174"/>
      <c r="F791" s="174"/>
      <c r="G791" s="174"/>
      <c r="H791" s="174"/>
      <c r="I791" s="174"/>
      <c r="J791" s="174"/>
      <c r="K791" s="174"/>
      <c r="L791" s="174"/>
      <c r="M791" s="174"/>
      <c r="N791" s="174"/>
      <c r="O791" s="174"/>
      <c r="P791" s="174"/>
      <c r="Q791" s="174"/>
      <c r="R791" s="174"/>
      <c r="S791" s="174"/>
      <c r="T791" s="174"/>
      <c r="U791" s="174"/>
      <c r="V791" s="174"/>
      <c r="W791" s="174"/>
      <c r="X791" s="174"/>
      <c r="Y791" s="174"/>
      <c r="Z791" s="174"/>
    </row>
    <row r="792" customFormat="false" ht="15.75" hidden="false" customHeight="false" outlineLevel="0" collapsed="false">
      <c r="A792" s="174"/>
      <c r="B792" s="174"/>
      <c r="C792" s="174"/>
      <c r="D792" s="174"/>
      <c r="E792" s="174"/>
      <c r="F792" s="174"/>
      <c r="G792" s="174"/>
      <c r="H792" s="174"/>
      <c r="I792" s="174"/>
      <c r="J792" s="174"/>
      <c r="K792" s="174"/>
      <c r="L792" s="174"/>
      <c r="M792" s="174"/>
      <c r="N792" s="174"/>
      <c r="O792" s="174"/>
      <c r="P792" s="174"/>
      <c r="Q792" s="174"/>
      <c r="R792" s="174"/>
      <c r="S792" s="174"/>
      <c r="T792" s="174"/>
      <c r="U792" s="174"/>
      <c r="V792" s="174"/>
      <c r="W792" s="174"/>
      <c r="X792" s="174"/>
      <c r="Y792" s="174"/>
      <c r="Z792" s="174"/>
    </row>
    <row r="793" customFormat="false" ht="15.75" hidden="false" customHeight="false" outlineLevel="0" collapsed="false">
      <c r="A793" s="174"/>
      <c r="B793" s="174"/>
      <c r="C793" s="174"/>
      <c r="D793" s="174"/>
      <c r="E793" s="174"/>
      <c r="F793" s="174"/>
      <c r="G793" s="174"/>
      <c r="H793" s="174"/>
      <c r="I793" s="174"/>
      <c r="J793" s="174"/>
      <c r="K793" s="174"/>
      <c r="L793" s="174"/>
      <c r="M793" s="174"/>
      <c r="N793" s="174"/>
      <c r="O793" s="174"/>
      <c r="P793" s="174"/>
      <c r="Q793" s="174"/>
      <c r="R793" s="174"/>
      <c r="S793" s="174"/>
      <c r="T793" s="174"/>
      <c r="U793" s="174"/>
      <c r="V793" s="174"/>
      <c r="W793" s="174"/>
      <c r="X793" s="174"/>
      <c r="Y793" s="174"/>
      <c r="Z793" s="174"/>
    </row>
    <row r="794" customFormat="false" ht="15.75" hidden="false" customHeight="false" outlineLevel="0" collapsed="false">
      <c r="A794" s="174"/>
      <c r="B794" s="174"/>
      <c r="C794" s="174"/>
      <c r="D794" s="174"/>
      <c r="E794" s="174"/>
      <c r="F794" s="174"/>
      <c r="G794" s="174"/>
      <c r="H794" s="174"/>
      <c r="I794" s="174"/>
      <c r="J794" s="174"/>
      <c r="K794" s="174"/>
      <c r="L794" s="174"/>
      <c r="M794" s="174"/>
      <c r="N794" s="174"/>
      <c r="O794" s="174"/>
      <c r="P794" s="174"/>
      <c r="Q794" s="174"/>
      <c r="R794" s="174"/>
      <c r="S794" s="174"/>
      <c r="T794" s="174"/>
      <c r="U794" s="174"/>
      <c r="V794" s="174"/>
      <c r="W794" s="174"/>
      <c r="X794" s="174"/>
      <c r="Y794" s="174"/>
      <c r="Z794" s="174"/>
    </row>
    <row r="795" customFormat="false" ht="15.75" hidden="false" customHeight="false" outlineLevel="0" collapsed="false">
      <c r="A795" s="174"/>
      <c r="B795" s="174"/>
      <c r="C795" s="174"/>
      <c r="D795" s="174"/>
      <c r="E795" s="174"/>
      <c r="F795" s="174"/>
      <c r="G795" s="174"/>
      <c r="H795" s="174"/>
      <c r="I795" s="174"/>
      <c r="J795" s="174"/>
      <c r="K795" s="174"/>
      <c r="L795" s="174"/>
      <c r="M795" s="174"/>
      <c r="N795" s="174"/>
      <c r="O795" s="174"/>
      <c r="P795" s="174"/>
      <c r="Q795" s="174"/>
      <c r="R795" s="174"/>
      <c r="S795" s="174"/>
      <c r="T795" s="174"/>
      <c r="U795" s="174"/>
      <c r="V795" s="174"/>
      <c r="W795" s="174"/>
      <c r="X795" s="174"/>
      <c r="Y795" s="174"/>
      <c r="Z795" s="174"/>
    </row>
    <row r="796" customFormat="false" ht="15.75" hidden="false" customHeight="false" outlineLevel="0" collapsed="false">
      <c r="A796" s="174"/>
      <c r="B796" s="174"/>
      <c r="C796" s="174"/>
      <c r="D796" s="174"/>
      <c r="E796" s="174"/>
      <c r="F796" s="174"/>
      <c r="G796" s="174"/>
      <c r="H796" s="174"/>
      <c r="I796" s="174"/>
      <c r="J796" s="174"/>
      <c r="K796" s="174"/>
      <c r="L796" s="174"/>
      <c r="M796" s="174"/>
      <c r="N796" s="174"/>
      <c r="O796" s="174"/>
      <c r="P796" s="174"/>
      <c r="Q796" s="174"/>
      <c r="R796" s="174"/>
      <c r="S796" s="174"/>
      <c r="T796" s="174"/>
      <c r="U796" s="174"/>
      <c r="V796" s="174"/>
      <c r="W796" s="174"/>
      <c r="X796" s="174"/>
      <c r="Y796" s="174"/>
      <c r="Z796" s="174"/>
    </row>
    <row r="797" customFormat="false" ht="15.75" hidden="false" customHeight="false" outlineLevel="0" collapsed="false">
      <c r="A797" s="174"/>
      <c r="B797" s="174"/>
      <c r="C797" s="174"/>
      <c r="D797" s="174"/>
      <c r="E797" s="174"/>
      <c r="F797" s="174"/>
      <c r="G797" s="174"/>
      <c r="H797" s="174"/>
      <c r="I797" s="174"/>
      <c r="J797" s="174"/>
      <c r="K797" s="174"/>
      <c r="L797" s="174"/>
      <c r="M797" s="174"/>
      <c r="N797" s="174"/>
      <c r="O797" s="174"/>
      <c r="P797" s="174"/>
      <c r="Q797" s="174"/>
      <c r="R797" s="174"/>
      <c r="S797" s="174"/>
      <c r="T797" s="174"/>
      <c r="U797" s="174"/>
      <c r="V797" s="174"/>
      <c r="W797" s="174"/>
      <c r="X797" s="174"/>
      <c r="Y797" s="174"/>
      <c r="Z797" s="174"/>
    </row>
    <row r="798" customFormat="false" ht="15.75" hidden="false" customHeight="false" outlineLevel="0" collapsed="false">
      <c r="A798" s="174"/>
      <c r="B798" s="174"/>
      <c r="C798" s="174"/>
      <c r="D798" s="174"/>
      <c r="E798" s="174"/>
      <c r="F798" s="174"/>
      <c r="G798" s="174"/>
      <c r="H798" s="174"/>
      <c r="I798" s="174"/>
      <c r="J798" s="174"/>
      <c r="K798" s="174"/>
      <c r="L798" s="174"/>
      <c r="M798" s="174"/>
      <c r="N798" s="174"/>
      <c r="O798" s="174"/>
      <c r="P798" s="174"/>
      <c r="Q798" s="174"/>
      <c r="R798" s="174"/>
      <c r="S798" s="174"/>
      <c r="T798" s="174"/>
      <c r="U798" s="174"/>
      <c r="V798" s="174"/>
      <c r="W798" s="174"/>
      <c r="X798" s="174"/>
      <c r="Y798" s="174"/>
      <c r="Z798" s="174"/>
    </row>
    <row r="799" customFormat="false" ht="15.75" hidden="false" customHeight="false" outlineLevel="0" collapsed="false">
      <c r="A799" s="174"/>
      <c r="B799" s="174"/>
      <c r="C799" s="174"/>
      <c r="D799" s="174"/>
      <c r="E799" s="174"/>
      <c r="F799" s="174"/>
      <c r="G799" s="174"/>
      <c r="H799" s="174"/>
      <c r="I799" s="174"/>
      <c r="J799" s="174"/>
      <c r="K799" s="174"/>
      <c r="L799" s="174"/>
      <c r="M799" s="174"/>
      <c r="N799" s="174"/>
      <c r="O799" s="174"/>
      <c r="P799" s="174"/>
      <c r="Q799" s="174"/>
      <c r="R799" s="174"/>
      <c r="S799" s="174"/>
      <c r="T799" s="174"/>
      <c r="U799" s="174"/>
      <c r="V799" s="174"/>
      <c r="W799" s="174"/>
      <c r="X799" s="174"/>
      <c r="Y799" s="174"/>
      <c r="Z799" s="174"/>
    </row>
    <row r="800" customFormat="false" ht="15.75" hidden="false" customHeight="false" outlineLevel="0" collapsed="false">
      <c r="A800" s="174"/>
      <c r="B800" s="174"/>
      <c r="C800" s="174"/>
      <c r="D800" s="174"/>
      <c r="E800" s="174"/>
      <c r="F800" s="174"/>
      <c r="G800" s="174"/>
      <c r="H800" s="174"/>
      <c r="I800" s="174"/>
      <c r="J800" s="174"/>
      <c r="K800" s="174"/>
      <c r="L800" s="174"/>
      <c r="M800" s="174"/>
      <c r="N800" s="174"/>
      <c r="O800" s="174"/>
      <c r="P800" s="174"/>
      <c r="Q800" s="174"/>
      <c r="R800" s="174"/>
      <c r="S800" s="174"/>
      <c r="T800" s="174"/>
      <c r="U800" s="174"/>
      <c r="V800" s="174"/>
      <c r="W800" s="174"/>
      <c r="X800" s="174"/>
      <c r="Y800" s="174"/>
      <c r="Z800" s="174"/>
    </row>
    <row r="801" customFormat="false" ht="15.75" hidden="false" customHeight="false" outlineLevel="0" collapsed="false">
      <c r="A801" s="174"/>
      <c r="B801" s="174"/>
      <c r="C801" s="174"/>
      <c r="D801" s="174"/>
      <c r="E801" s="174"/>
      <c r="F801" s="174"/>
      <c r="G801" s="174"/>
      <c r="H801" s="174"/>
      <c r="I801" s="174"/>
      <c r="J801" s="174"/>
      <c r="K801" s="174"/>
      <c r="L801" s="174"/>
      <c r="M801" s="174"/>
      <c r="N801" s="174"/>
      <c r="O801" s="174"/>
      <c r="P801" s="174"/>
      <c r="Q801" s="174"/>
      <c r="R801" s="174"/>
      <c r="S801" s="174"/>
      <c r="T801" s="174"/>
      <c r="U801" s="174"/>
      <c r="V801" s="174"/>
      <c r="W801" s="174"/>
      <c r="X801" s="174"/>
      <c r="Y801" s="174"/>
      <c r="Z801" s="174"/>
    </row>
    <row r="802" customFormat="false" ht="15.75" hidden="false" customHeight="false" outlineLevel="0" collapsed="false">
      <c r="A802" s="174"/>
      <c r="B802" s="174"/>
      <c r="C802" s="174"/>
      <c r="D802" s="174"/>
      <c r="E802" s="174"/>
      <c r="F802" s="174"/>
      <c r="G802" s="174"/>
      <c r="H802" s="174"/>
      <c r="I802" s="174"/>
      <c r="J802" s="174"/>
      <c r="K802" s="174"/>
      <c r="L802" s="174"/>
      <c r="M802" s="174"/>
      <c r="N802" s="174"/>
      <c r="O802" s="174"/>
      <c r="P802" s="174"/>
      <c r="Q802" s="174"/>
      <c r="R802" s="174"/>
      <c r="S802" s="174"/>
      <c r="T802" s="174"/>
      <c r="U802" s="174"/>
      <c r="V802" s="174"/>
      <c r="W802" s="174"/>
      <c r="X802" s="174"/>
      <c r="Y802" s="174"/>
      <c r="Z802" s="174"/>
    </row>
    <row r="803" customFormat="false" ht="15.75" hidden="false" customHeight="false" outlineLevel="0" collapsed="false">
      <c r="A803" s="174"/>
      <c r="B803" s="174"/>
      <c r="C803" s="174"/>
      <c r="D803" s="174"/>
      <c r="E803" s="174"/>
      <c r="F803" s="174"/>
      <c r="G803" s="174"/>
      <c r="H803" s="174"/>
      <c r="I803" s="174"/>
      <c r="J803" s="174"/>
      <c r="K803" s="174"/>
      <c r="L803" s="174"/>
      <c r="M803" s="174"/>
      <c r="N803" s="174"/>
      <c r="O803" s="174"/>
      <c r="P803" s="174"/>
      <c r="Q803" s="174"/>
      <c r="R803" s="174"/>
      <c r="S803" s="174"/>
      <c r="T803" s="174"/>
      <c r="U803" s="174"/>
      <c r="V803" s="174"/>
      <c r="W803" s="174"/>
      <c r="X803" s="174"/>
      <c r="Y803" s="174"/>
      <c r="Z803" s="174"/>
    </row>
    <row r="804" customFormat="false" ht="15.75" hidden="false" customHeight="false" outlineLevel="0" collapsed="false">
      <c r="A804" s="174"/>
      <c r="B804" s="174"/>
      <c r="C804" s="174"/>
      <c r="D804" s="174"/>
      <c r="E804" s="174"/>
      <c r="F804" s="174"/>
      <c r="G804" s="174"/>
      <c r="H804" s="174"/>
      <c r="I804" s="174"/>
      <c r="J804" s="174"/>
      <c r="K804" s="174"/>
      <c r="L804" s="174"/>
      <c r="M804" s="174"/>
      <c r="N804" s="174"/>
      <c r="O804" s="174"/>
      <c r="P804" s="174"/>
      <c r="Q804" s="174"/>
      <c r="R804" s="174"/>
      <c r="S804" s="174"/>
      <c r="T804" s="174"/>
      <c r="U804" s="174"/>
      <c r="V804" s="174"/>
      <c r="W804" s="174"/>
      <c r="X804" s="174"/>
      <c r="Y804" s="174"/>
      <c r="Z804" s="174"/>
    </row>
    <row r="805" customFormat="false" ht="15.75" hidden="false" customHeight="false" outlineLevel="0" collapsed="false">
      <c r="A805" s="174"/>
      <c r="B805" s="174"/>
      <c r="C805" s="174"/>
      <c r="D805" s="174"/>
      <c r="E805" s="174"/>
      <c r="F805" s="174"/>
      <c r="G805" s="174"/>
      <c r="H805" s="174"/>
      <c r="I805" s="174"/>
      <c r="J805" s="174"/>
      <c r="K805" s="174"/>
      <c r="L805" s="174"/>
      <c r="M805" s="174"/>
      <c r="N805" s="174"/>
      <c r="O805" s="174"/>
      <c r="P805" s="174"/>
      <c r="Q805" s="174"/>
      <c r="R805" s="174"/>
      <c r="S805" s="174"/>
      <c r="T805" s="174"/>
      <c r="U805" s="174"/>
      <c r="V805" s="174"/>
      <c r="W805" s="174"/>
      <c r="X805" s="174"/>
      <c r="Y805" s="174"/>
      <c r="Z805" s="174"/>
    </row>
    <row r="806" customFormat="false" ht="15.75" hidden="false" customHeight="false" outlineLevel="0" collapsed="false">
      <c r="A806" s="174"/>
      <c r="B806" s="174"/>
      <c r="C806" s="174"/>
      <c r="D806" s="174"/>
      <c r="E806" s="174"/>
      <c r="F806" s="174"/>
      <c r="G806" s="174"/>
      <c r="H806" s="174"/>
      <c r="I806" s="174"/>
      <c r="J806" s="174"/>
      <c r="K806" s="174"/>
      <c r="L806" s="174"/>
      <c r="M806" s="174"/>
      <c r="N806" s="174"/>
      <c r="O806" s="174"/>
      <c r="P806" s="174"/>
      <c r="Q806" s="174"/>
      <c r="R806" s="174"/>
      <c r="S806" s="174"/>
      <c r="T806" s="174"/>
      <c r="U806" s="174"/>
      <c r="V806" s="174"/>
      <c r="W806" s="174"/>
      <c r="X806" s="174"/>
      <c r="Y806" s="174"/>
      <c r="Z806" s="174"/>
    </row>
    <row r="807" customFormat="false" ht="15.75" hidden="false" customHeight="false" outlineLevel="0" collapsed="false">
      <c r="A807" s="174"/>
      <c r="B807" s="174"/>
      <c r="C807" s="174"/>
      <c r="D807" s="174"/>
      <c r="E807" s="174"/>
      <c r="F807" s="174"/>
      <c r="G807" s="174"/>
      <c r="H807" s="174"/>
      <c r="I807" s="174"/>
      <c r="J807" s="174"/>
      <c r="K807" s="174"/>
      <c r="L807" s="174"/>
      <c r="M807" s="174"/>
      <c r="N807" s="174"/>
      <c r="O807" s="174"/>
      <c r="P807" s="174"/>
      <c r="Q807" s="174"/>
      <c r="R807" s="174"/>
      <c r="S807" s="174"/>
      <c r="T807" s="174"/>
      <c r="U807" s="174"/>
      <c r="V807" s="174"/>
      <c r="W807" s="174"/>
      <c r="X807" s="174"/>
      <c r="Y807" s="174"/>
      <c r="Z807" s="174"/>
    </row>
    <row r="808" customFormat="false" ht="15.75" hidden="false" customHeight="false" outlineLevel="0" collapsed="false">
      <c r="A808" s="174"/>
      <c r="B808" s="174"/>
      <c r="C808" s="174"/>
      <c r="D808" s="174"/>
      <c r="E808" s="174"/>
      <c r="F808" s="174"/>
      <c r="G808" s="174"/>
      <c r="H808" s="174"/>
      <c r="I808" s="174"/>
      <c r="J808" s="174"/>
      <c r="K808" s="174"/>
      <c r="L808" s="174"/>
      <c r="M808" s="174"/>
      <c r="N808" s="174"/>
      <c r="O808" s="174"/>
      <c r="P808" s="174"/>
      <c r="Q808" s="174"/>
      <c r="R808" s="174"/>
      <c r="S808" s="174"/>
      <c r="T808" s="174"/>
      <c r="U808" s="174"/>
      <c r="V808" s="174"/>
      <c r="W808" s="174"/>
      <c r="X808" s="174"/>
      <c r="Y808" s="174"/>
      <c r="Z808" s="174"/>
    </row>
    <row r="809" customFormat="false" ht="15.75" hidden="false" customHeight="false" outlineLevel="0" collapsed="false">
      <c r="A809" s="174"/>
      <c r="B809" s="174"/>
      <c r="C809" s="174"/>
      <c r="D809" s="174"/>
      <c r="E809" s="174"/>
      <c r="F809" s="174"/>
      <c r="G809" s="174"/>
      <c r="H809" s="174"/>
      <c r="I809" s="174"/>
      <c r="J809" s="174"/>
      <c r="K809" s="174"/>
      <c r="L809" s="174"/>
      <c r="M809" s="174"/>
      <c r="N809" s="174"/>
      <c r="O809" s="174"/>
      <c r="P809" s="174"/>
      <c r="Q809" s="174"/>
      <c r="R809" s="174"/>
      <c r="S809" s="174"/>
      <c r="T809" s="174"/>
      <c r="U809" s="174"/>
      <c r="V809" s="174"/>
      <c r="W809" s="174"/>
      <c r="X809" s="174"/>
      <c r="Y809" s="174"/>
      <c r="Z809" s="174"/>
    </row>
    <row r="810" customFormat="false" ht="15.75" hidden="false" customHeight="false" outlineLevel="0" collapsed="false">
      <c r="A810" s="174"/>
      <c r="B810" s="174"/>
      <c r="C810" s="174"/>
      <c r="D810" s="174"/>
      <c r="E810" s="174"/>
      <c r="F810" s="174"/>
      <c r="G810" s="174"/>
      <c r="H810" s="174"/>
      <c r="I810" s="174"/>
      <c r="J810" s="174"/>
      <c r="K810" s="174"/>
      <c r="L810" s="174"/>
      <c r="M810" s="174"/>
      <c r="N810" s="174"/>
      <c r="O810" s="174"/>
      <c r="P810" s="174"/>
      <c r="Q810" s="174"/>
      <c r="R810" s="174"/>
      <c r="S810" s="174"/>
      <c r="T810" s="174"/>
      <c r="U810" s="174"/>
      <c r="V810" s="174"/>
      <c r="W810" s="174"/>
      <c r="X810" s="174"/>
      <c r="Y810" s="174"/>
      <c r="Z810" s="174"/>
    </row>
    <row r="811" customFormat="false" ht="15.75" hidden="false" customHeight="false" outlineLevel="0" collapsed="false">
      <c r="A811" s="174"/>
      <c r="B811" s="174"/>
      <c r="C811" s="174"/>
      <c r="D811" s="174"/>
      <c r="E811" s="174"/>
      <c r="F811" s="174"/>
      <c r="G811" s="174"/>
      <c r="H811" s="174"/>
      <c r="I811" s="174"/>
      <c r="J811" s="174"/>
      <c r="K811" s="174"/>
      <c r="L811" s="174"/>
      <c r="M811" s="174"/>
      <c r="N811" s="174"/>
      <c r="O811" s="174"/>
      <c r="P811" s="174"/>
      <c r="Q811" s="174"/>
      <c r="R811" s="174"/>
      <c r="S811" s="174"/>
      <c r="T811" s="174"/>
      <c r="U811" s="174"/>
      <c r="V811" s="174"/>
      <c r="W811" s="174"/>
      <c r="X811" s="174"/>
      <c r="Y811" s="174"/>
      <c r="Z811" s="174"/>
    </row>
    <row r="812" customFormat="false" ht="15.75" hidden="false" customHeight="false" outlineLevel="0" collapsed="false">
      <c r="A812" s="174"/>
      <c r="B812" s="174"/>
      <c r="C812" s="174"/>
      <c r="D812" s="174"/>
      <c r="E812" s="174"/>
      <c r="F812" s="174"/>
      <c r="G812" s="174"/>
      <c r="H812" s="174"/>
      <c r="I812" s="174"/>
      <c r="J812" s="174"/>
      <c r="K812" s="174"/>
      <c r="L812" s="174"/>
      <c r="M812" s="174"/>
      <c r="N812" s="174"/>
      <c r="O812" s="174"/>
      <c r="P812" s="174"/>
      <c r="Q812" s="174"/>
      <c r="R812" s="174"/>
      <c r="S812" s="174"/>
      <c r="T812" s="174"/>
      <c r="U812" s="174"/>
      <c r="V812" s="174"/>
      <c r="W812" s="174"/>
      <c r="X812" s="174"/>
      <c r="Y812" s="174"/>
      <c r="Z812" s="174"/>
    </row>
    <row r="813" customFormat="false" ht="15.75" hidden="false" customHeight="false" outlineLevel="0" collapsed="false">
      <c r="A813" s="174"/>
      <c r="B813" s="174"/>
      <c r="C813" s="174"/>
      <c r="D813" s="174"/>
      <c r="E813" s="174"/>
      <c r="F813" s="174"/>
      <c r="G813" s="174"/>
      <c r="H813" s="174"/>
      <c r="I813" s="174"/>
      <c r="J813" s="174"/>
      <c r="K813" s="174"/>
      <c r="L813" s="174"/>
      <c r="M813" s="174"/>
      <c r="N813" s="174"/>
      <c r="O813" s="174"/>
      <c r="P813" s="174"/>
      <c r="Q813" s="174"/>
      <c r="R813" s="174"/>
      <c r="S813" s="174"/>
      <c r="T813" s="174"/>
      <c r="U813" s="174"/>
      <c r="V813" s="174"/>
      <c r="W813" s="174"/>
      <c r="X813" s="174"/>
      <c r="Y813" s="174"/>
      <c r="Z813" s="174"/>
    </row>
    <row r="814" customFormat="false" ht="15.75" hidden="false" customHeight="false" outlineLevel="0" collapsed="false">
      <c r="A814" s="174"/>
      <c r="B814" s="174"/>
      <c r="C814" s="174"/>
      <c r="D814" s="174"/>
      <c r="E814" s="174"/>
      <c r="F814" s="174"/>
      <c r="G814" s="174"/>
      <c r="H814" s="174"/>
      <c r="I814" s="174"/>
      <c r="J814" s="174"/>
      <c r="K814" s="174"/>
      <c r="L814" s="174"/>
      <c r="M814" s="174"/>
      <c r="N814" s="174"/>
      <c r="O814" s="174"/>
      <c r="P814" s="174"/>
      <c r="Q814" s="174"/>
      <c r="R814" s="174"/>
      <c r="S814" s="174"/>
      <c r="T814" s="174"/>
      <c r="U814" s="174"/>
      <c r="V814" s="174"/>
      <c r="W814" s="174"/>
      <c r="X814" s="174"/>
      <c r="Y814" s="174"/>
      <c r="Z814" s="174"/>
    </row>
    <row r="815" customFormat="false" ht="15.75" hidden="false" customHeight="false" outlineLevel="0" collapsed="false">
      <c r="A815" s="174"/>
      <c r="B815" s="174"/>
      <c r="C815" s="174"/>
      <c r="D815" s="174"/>
      <c r="E815" s="174"/>
      <c r="F815" s="174"/>
      <c r="G815" s="174"/>
      <c r="H815" s="174"/>
      <c r="I815" s="174"/>
      <c r="J815" s="174"/>
      <c r="K815" s="174"/>
      <c r="L815" s="174"/>
      <c r="M815" s="174"/>
      <c r="N815" s="174"/>
      <c r="O815" s="174"/>
      <c r="P815" s="174"/>
      <c r="Q815" s="174"/>
      <c r="R815" s="174"/>
      <c r="S815" s="174"/>
      <c r="T815" s="174"/>
      <c r="U815" s="174"/>
      <c r="V815" s="174"/>
      <c r="W815" s="174"/>
      <c r="X815" s="174"/>
      <c r="Y815" s="174"/>
      <c r="Z815" s="174"/>
    </row>
    <row r="816" customFormat="false" ht="15.75" hidden="false" customHeight="false" outlineLevel="0" collapsed="false">
      <c r="A816" s="174"/>
      <c r="B816" s="174"/>
      <c r="C816" s="174"/>
      <c r="D816" s="174"/>
      <c r="E816" s="174"/>
      <c r="F816" s="174"/>
      <c r="G816" s="174"/>
      <c r="H816" s="174"/>
      <c r="I816" s="174"/>
      <c r="J816" s="174"/>
      <c r="K816" s="174"/>
      <c r="L816" s="174"/>
      <c r="M816" s="174"/>
      <c r="N816" s="174"/>
      <c r="O816" s="174"/>
      <c r="P816" s="174"/>
      <c r="Q816" s="174"/>
      <c r="R816" s="174"/>
      <c r="S816" s="174"/>
      <c r="T816" s="174"/>
      <c r="U816" s="174"/>
      <c r="V816" s="174"/>
      <c r="W816" s="174"/>
      <c r="X816" s="174"/>
      <c r="Y816" s="174"/>
      <c r="Z816" s="174"/>
    </row>
    <row r="817" customFormat="false" ht="15.75" hidden="false" customHeight="false" outlineLevel="0" collapsed="false">
      <c r="A817" s="174"/>
      <c r="B817" s="174"/>
      <c r="C817" s="174"/>
      <c r="D817" s="174"/>
      <c r="E817" s="174"/>
      <c r="F817" s="174"/>
      <c r="G817" s="174"/>
      <c r="H817" s="174"/>
      <c r="I817" s="174"/>
      <c r="J817" s="174"/>
      <c r="K817" s="174"/>
      <c r="L817" s="174"/>
      <c r="M817" s="174"/>
      <c r="N817" s="174"/>
      <c r="O817" s="174"/>
      <c r="P817" s="174"/>
      <c r="Q817" s="174"/>
      <c r="R817" s="174"/>
      <c r="S817" s="174"/>
      <c r="T817" s="174"/>
      <c r="U817" s="174"/>
      <c r="V817" s="174"/>
      <c r="W817" s="174"/>
      <c r="X817" s="174"/>
      <c r="Y817" s="174"/>
      <c r="Z817" s="174"/>
    </row>
    <row r="818" customFormat="false" ht="15.75" hidden="false" customHeight="false" outlineLevel="0" collapsed="false">
      <c r="A818" s="174"/>
      <c r="B818" s="174"/>
      <c r="C818" s="174"/>
      <c r="D818" s="174"/>
      <c r="E818" s="174"/>
      <c r="F818" s="174"/>
      <c r="G818" s="174"/>
      <c r="H818" s="174"/>
      <c r="I818" s="174"/>
      <c r="J818" s="174"/>
      <c r="K818" s="174"/>
      <c r="L818" s="174"/>
      <c r="M818" s="174"/>
      <c r="N818" s="174"/>
      <c r="O818" s="174"/>
      <c r="P818" s="174"/>
      <c r="Q818" s="174"/>
      <c r="R818" s="174"/>
      <c r="S818" s="174"/>
      <c r="T818" s="174"/>
      <c r="U818" s="174"/>
      <c r="V818" s="174"/>
      <c r="W818" s="174"/>
      <c r="X818" s="174"/>
      <c r="Y818" s="174"/>
      <c r="Z818" s="174"/>
    </row>
    <row r="819" customFormat="false" ht="15.75" hidden="false" customHeight="false" outlineLevel="0" collapsed="false">
      <c r="A819" s="174"/>
      <c r="B819" s="174"/>
      <c r="C819" s="174"/>
      <c r="D819" s="174"/>
      <c r="E819" s="174"/>
      <c r="F819" s="174"/>
      <c r="G819" s="174"/>
      <c r="H819" s="174"/>
      <c r="I819" s="174"/>
      <c r="J819" s="174"/>
      <c r="K819" s="174"/>
      <c r="L819" s="174"/>
      <c r="M819" s="174"/>
      <c r="N819" s="174"/>
      <c r="O819" s="174"/>
      <c r="P819" s="174"/>
      <c r="Q819" s="174"/>
      <c r="R819" s="174"/>
      <c r="S819" s="174"/>
      <c r="T819" s="174"/>
      <c r="U819" s="174"/>
      <c r="V819" s="174"/>
      <c r="W819" s="174"/>
      <c r="X819" s="174"/>
      <c r="Y819" s="174"/>
      <c r="Z819" s="174"/>
    </row>
    <row r="820" customFormat="false" ht="15.75" hidden="false" customHeight="false" outlineLevel="0" collapsed="false">
      <c r="A820" s="174"/>
      <c r="B820" s="174"/>
      <c r="C820" s="174"/>
      <c r="D820" s="174"/>
      <c r="E820" s="174"/>
      <c r="F820" s="174"/>
      <c r="G820" s="174"/>
      <c r="H820" s="174"/>
      <c r="I820" s="174"/>
      <c r="J820" s="174"/>
      <c r="K820" s="174"/>
      <c r="L820" s="174"/>
      <c r="M820" s="174"/>
      <c r="N820" s="174"/>
      <c r="O820" s="174"/>
      <c r="P820" s="174"/>
      <c r="Q820" s="174"/>
      <c r="R820" s="174"/>
      <c r="S820" s="174"/>
      <c r="T820" s="174"/>
      <c r="U820" s="174"/>
      <c r="V820" s="174"/>
      <c r="W820" s="174"/>
      <c r="X820" s="174"/>
      <c r="Y820" s="174"/>
      <c r="Z820" s="174"/>
    </row>
    <row r="821" customFormat="false" ht="15.75" hidden="false" customHeight="false" outlineLevel="0" collapsed="false">
      <c r="A821" s="174"/>
      <c r="B821" s="174"/>
      <c r="C821" s="174"/>
      <c r="D821" s="174"/>
      <c r="E821" s="174"/>
      <c r="F821" s="174"/>
      <c r="G821" s="174"/>
      <c r="H821" s="174"/>
      <c r="I821" s="174"/>
      <c r="J821" s="174"/>
      <c r="K821" s="174"/>
      <c r="L821" s="174"/>
      <c r="M821" s="174"/>
      <c r="N821" s="174"/>
      <c r="O821" s="174"/>
      <c r="P821" s="174"/>
      <c r="Q821" s="174"/>
      <c r="R821" s="174"/>
      <c r="S821" s="174"/>
      <c r="T821" s="174"/>
      <c r="U821" s="174"/>
      <c r="V821" s="174"/>
      <c r="W821" s="174"/>
      <c r="X821" s="174"/>
      <c r="Y821" s="174"/>
      <c r="Z821" s="174"/>
    </row>
    <row r="822" customFormat="false" ht="15.75" hidden="false" customHeight="false" outlineLevel="0" collapsed="false">
      <c r="A822" s="174"/>
      <c r="B822" s="174"/>
      <c r="C822" s="174"/>
      <c r="D822" s="174"/>
      <c r="E822" s="174"/>
      <c r="F822" s="174"/>
      <c r="G822" s="174"/>
      <c r="H822" s="174"/>
      <c r="I822" s="174"/>
      <c r="J822" s="174"/>
      <c r="K822" s="174"/>
      <c r="L822" s="174"/>
      <c r="M822" s="174"/>
      <c r="N822" s="174"/>
      <c r="O822" s="174"/>
      <c r="P822" s="174"/>
      <c r="Q822" s="174"/>
      <c r="R822" s="174"/>
      <c r="S822" s="174"/>
      <c r="T822" s="174"/>
      <c r="U822" s="174"/>
      <c r="V822" s="174"/>
      <c r="W822" s="174"/>
      <c r="X822" s="174"/>
      <c r="Y822" s="174"/>
      <c r="Z822" s="174"/>
    </row>
    <row r="823" customFormat="false" ht="15.75" hidden="false" customHeight="false" outlineLevel="0" collapsed="false">
      <c r="A823" s="174"/>
      <c r="B823" s="174"/>
      <c r="C823" s="174"/>
      <c r="D823" s="174"/>
      <c r="E823" s="174"/>
      <c r="F823" s="174"/>
      <c r="G823" s="174"/>
      <c r="H823" s="174"/>
      <c r="I823" s="174"/>
      <c r="J823" s="174"/>
      <c r="K823" s="174"/>
      <c r="L823" s="174"/>
      <c r="M823" s="174"/>
      <c r="N823" s="174"/>
      <c r="O823" s="174"/>
      <c r="P823" s="174"/>
      <c r="Q823" s="174"/>
      <c r="R823" s="174"/>
      <c r="S823" s="174"/>
      <c r="T823" s="174"/>
      <c r="U823" s="174"/>
      <c r="V823" s="174"/>
      <c r="W823" s="174"/>
      <c r="X823" s="174"/>
      <c r="Y823" s="174"/>
      <c r="Z823" s="174"/>
    </row>
    <row r="824" customFormat="false" ht="15.75" hidden="false" customHeight="false" outlineLevel="0" collapsed="false">
      <c r="A824" s="174"/>
      <c r="B824" s="174"/>
      <c r="C824" s="174"/>
      <c r="D824" s="174"/>
      <c r="E824" s="174"/>
      <c r="F824" s="174"/>
      <c r="G824" s="174"/>
      <c r="H824" s="174"/>
      <c r="I824" s="174"/>
      <c r="J824" s="174"/>
      <c r="K824" s="174"/>
      <c r="L824" s="174"/>
      <c r="M824" s="174"/>
      <c r="N824" s="174"/>
      <c r="O824" s="174"/>
      <c r="P824" s="174"/>
      <c r="Q824" s="174"/>
      <c r="R824" s="174"/>
      <c r="S824" s="174"/>
      <c r="T824" s="174"/>
      <c r="U824" s="174"/>
      <c r="V824" s="174"/>
      <c r="W824" s="174"/>
      <c r="X824" s="174"/>
      <c r="Y824" s="174"/>
      <c r="Z824" s="174"/>
    </row>
    <row r="825" customFormat="false" ht="15.75" hidden="false" customHeight="false" outlineLevel="0" collapsed="false">
      <c r="A825" s="174"/>
      <c r="B825" s="174"/>
      <c r="C825" s="174"/>
      <c r="D825" s="174"/>
      <c r="E825" s="174"/>
      <c r="F825" s="174"/>
      <c r="G825" s="174"/>
      <c r="H825" s="174"/>
      <c r="I825" s="174"/>
      <c r="J825" s="174"/>
      <c r="K825" s="174"/>
      <c r="L825" s="174"/>
      <c r="M825" s="174"/>
      <c r="N825" s="174"/>
      <c r="O825" s="174"/>
      <c r="P825" s="174"/>
      <c r="Q825" s="174"/>
      <c r="R825" s="174"/>
      <c r="S825" s="174"/>
      <c r="T825" s="174"/>
      <c r="U825" s="174"/>
      <c r="V825" s="174"/>
      <c r="W825" s="174"/>
      <c r="X825" s="174"/>
      <c r="Y825" s="174"/>
      <c r="Z825" s="174"/>
    </row>
    <row r="826" customFormat="false" ht="15.75" hidden="false" customHeight="false" outlineLevel="0" collapsed="false">
      <c r="A826" s="174"/>
      <c r="B826" s="174"/>
      <c r="C826" s="174"/>
      <c r="D826" s="174"/>
      <c r="E826" s="174"/>
      <c r="F826" s="174"/>
      <c r="G826" s="174"/>
      <c r="H826" s="174"/>
      <c r="I826" s="174"/>
      <c r="J826" s="174"/>
      <c r="K826" s="174"/>
      <c r="L826" s="174"/>
      <c r="M826" s="174"/>
      <c r="N826" s="174"/>
      <c r="O826" s="174"/>
      <c r="P826" s="174"/>
      <c r="Q826" s="174"/>
      <c r="R826" s="174"/>
      <c r="S826" s="174"/>
      <c r="T826" s="174"/>
      <c r="U826" s="174"/>
      <c r="V826" s="174"/>
      <c r="W826" s="174"/>
      <c r="X826" s="174"/>
      <c r="Y826" s="174"/>
      <c r="Z826" s="174"/>
    </row>
    <row r="827" customFormat="false" ht="15.75" hidden="false" customHeight="false" outlineLevel="0" collapsed="false">
      <c r="A827" s="174"/>
      <c r="B827" s="174"/>
      <c r="C827" s="174"/>
      <c r="D827" s="174"/>
      <c r="E827" s="174"/>
      <c r="F827" s="174"/>
      <c r="G827" s="174"/>
      <c r="H827" s="174"/>
      <c r="I827" s="174"/>
      <c r="J827" s="174"/>
      <c r="K827" s="174"/>
      <c r="L827" s="174"/>
      <c r="M827" s="174"/>
      <c r="N827" s="174"/>
      <c r="O827" s="174"/>
      <c r="P827" s="174"/>
      <c r="Q827" s="174"/>
      <c r="R827" s="174"/>
      <c r="S827" s="174"/>
      <c r="T827" s="174"/>
      <c r="U827" s="174"/>
      <c r="V827" s="174"/>
      <c r="W827" s="174"/>
      <c r="X827" s="174"/>
      <c r="Y827" s="174"/>
      <c r="Z827" s="174"/>
    </row>
    <row r="828" customFormat="false" ht="15.75" hidden="false" customHeight="false" outlineLevel="0" collapsed="false">
      <c r="A828" s="174"/>
      <c r="B828" s="174"/>
      <c r="C828" s="174"/>
      <c r="D828" s="174"/>
      <c r="E828" s="174"/>
      <c r="F828" s="174"/>
      <c r="G828" s="174"/>
      <c r="H828" s="174"/>
      <c r="I828" s="174"/>
      <c r="J828" s="174"/>
      <c r="K828" s="174"/>
      <c r="L828" s="174"/>
      <c r="M828" s="174"/>
      <c r="N828" s="174"/>
      <c r="O828" s="174"/>
      <c r="P828" s="174"/>
      <c r="Q828" s="174"/>
      <c r="R828" s="174"/>
      <c r="S828" s="174"/>
      <c r="T828" s="174"/>
      <c r="U828" s="174"/>
      <c r="V828" s="174"/>
      <c r="W828" s="174"/>
      <c r="X828" s="174"/>
      <c r="Y828" s="174"/>
      <c r="Z828" s="174"/>
    </row>
    <row r="829" customFormat="false" ht="15.75" hidden="false" customHeight="false" outlineLevel="0" collapsed="false">
      <c r="A829" s="174"/>
      <c r="B829" s="174"/>
      <c r="C829" s="174"/>
      <c r="D829" s="174"/>
      <c r="E829" s="174"/>
      <c r="F829" s="174"/>
      <c r="G829" s="174"/>
      <c r="H829" s="174"/>
      <c r="I829" s="174"/>
      <c r="J829" s="174"/>
      <c r="K829" s="174"/>
      <c r="L829" s="174"/>
      <c r="M829" s="174"/>
      <c r="N829" s="174"/>
      <c r="O829" s="174"/>
      <c r="P829" s="174"/>
      <c r="Q829" s="174"/>
      <c r="R829" s="174"/>
      <c r="S829" s="174"/>
      <c r="T829" s="174"/>
      <c r="U829" s="174"/>
      <c r="V829" s="174"/>
      <c r="W829" s="174"/>
      <c r="X829" s="174"/>
      <c r="Y829" s="174"/>
      <c r="Z829" s="174"/>
    </row>
    <row r="830" customFormat="false" ht="15.75" hidden="false" customHeight="false" outlineLevel="0" collapsed="false">
      <c r="A830" s="174"/>
      <c r="B830" s="174"/>
      <c r="C830" s="174"/>
      <c r="D830" s="174"/>
      <c r="E830" s="174"/>
      <c r="F830" s="174"/>
      <c r="G830" s="174"/>
      <c r="H830" s="174"/>
      <c r="I830" s="174"/>
      <c r="J830" s="174"/>
      <c r="K830" s="174"/>
      <c r="L830" s="174"/>
      <c r="M830" s="174"/>
      <c r="N830" s="174"/>
      <c r="O830" s="174"/>
      <c r="P830" s="174"/>
      <c r="Q830" s="174"/>
      <c r="R830" s="174"/>
      <c r="S830" s="174"/>
      <c r="T830" s="174"/>
      <c r="U830" s="174"/>
      <c r="V830" s="174"/>
      <c r="W830" s="174"/>
      <c r="X830" s="174"/>
      <c r="Y830" s="174"/>
      <c r="Z830" s="174"/>
    </row>
    <row r="831" customFormat="false" ht="15.75" hidden="false" customHeight="false" outlineLevel="0" collapsed="false">
      <c r="A831" s="174"/>
      <c r="B831" s="174"/>
      <c r="C831" s="174"/>
      <c r="D831" s="174"/>
      <c r="E831" s="174"/>
      <c r="F831" s="174"/>
      <c r="G831" s="174"/>
      <c r="H831" s="174"/>
      <c r="I831" s="174"/>
      <c r="J831" s="174"/>
      <c r="K831" s="174"/>
      <c r="L831" s="174"/>
      <c r="M831" s="174"/>
      <c r="N831" s="174"/>
      <c r="O831" s="174"/>
      <c r="P831" s="174"/>
      <c r="Q831" s="174"/>
      <c r="R831" s="174"/>
      <c r="S831" s="174"/>
      <c r="T831" s="174"/>
      <c r="U831" s="174"/>
      <c r="V831" s="174"/>
      <c r="W831" s="174"/>
      <c r="X831" s="174"/>
      <c r="Y831" s="174"/>
      <c r="Z831" s="174"/>
    </row>
    <row r="832" customFormat="false" ht="15.75" hidden="false" customHeight="false" outlineLevel="0" collapsed="false">
      <c r="A832" s="174"/>
      <c r="B832" s="174"/>
      <c r="C832" s="174"/>
      <c r="D832" s="174"/>
      <c r="E832" s="174"/>
      <c r="F832" s="174"/>
      <c r="G832" s="174"/>
      <c r="H832" s="174"/>
      <c r="I832" s="174"/>
      <c r="J832" s="174"/>
      <c r="K832" s="174"/>
      <c r="L832" s="174"/>
      <c r="M832" s="174"/>
      <c r="N832" s="174"/>
      <c r="O832" s="174"/>
      <c r="P832" s="174"/>
      <c r="Q832" s="174"/>
      <c r="R832" s="174"/>
      <c r="S832" s="174"/>
      <c r="T832" s="174"/>
      <c r="U832" s="174"/>
      <c r="V832" s="174"/>
      <c r="W832" s="174"/>
      <c r="X832" s="174"/>
      <c r="Y832" s="174"/>
      <c r="Z832" s="174"/>
    </row>
    <row r="833" customFormat="false" ht="15.75" hidden="false" customHeight="false" outlineLevel="0" collapsed="false">
      <c r="A833" s="174"/>
      <c r="B833" s="174"/>
      <c r="C833" s="174"/>
      <c r="D833" s="174"/>
      <c r="E833" s="174"/>
      <c r="F833" s="174"/>
      <c r="G833" s="174"/>
      <c r="H833" s="174"/>
      <c r="I833" s="174"/>
      <c r="J833" s="174"/>
      <c r="K833" s="174"/>
      <c r="L833" s="174"/>
      <c r="M833" s="174"/>
      <c r="N833" s="174"/>
      <c r="O833" s="174"/>
      <c r="P833" s="174"/>
      <c r="Q833" s="174"/>
      <c r="R833" s="174"/>
      <c r="S833" s="174"/>
      <c r="T833" s="174"/>
      <c r="U833" s="174"/>
      <c r="V833" s="174"/>
      <c r="W833" s="174"/>
      <c r="X833" s="174"/>
      <c r="Y833" s="174"/>
      <c r="Z833" s="174"/>
    </row>
    <row r="834" customFormat="false" ht="15.75" hidden="false" customHeight="false" outlineLevel="0" collapsed="false">
      <c r="A834" s="174"/>
      <c r="B834" s="174"/>
      <c r="C834" s="174"/>
      <c r="D834" s="174"/>
      <c r="E834" s="174"/>
      <c r="F834" s="174"/>
      <c r="G834" s="174"/>
      <c r="H834" s="174"/>
      <c r="I834" s="174"/>
      <c r="J834" s="174"/>
      <c r="K834" s="174"/>
      <c r="L834" s="174"/>
      <c r="M834" s="174"/>
      <c r="N834" s="174"/>
      <c r="O834" s="174"/>
      <c r="P834" s="174"/>
      <c r="Q834" s="174"/>
      <c r="R834" s="174"/>
      <c r="S834" s="174"/>
      <c r="T834" s="174"/>
      <c r="U834" s="174"/>
      <c r="V834" s="174"/>
      <c r="W834" s="174"/>
      <c r="X834" s="174"/>
      <c r="Y834" s="174"/>
      <c r="Z834" s="174"/>
    </row>
    <row r="835" customFormat="false" ht="15.75" hidden="false" customHeight="false" outlineLevel="0" collapsed="false">
      <c r="A835" s="174"/>
      <c r="B835" s="174"/>
      <c r="C835" s="174"/>
      <c r="D835" s="174"/>
      <c r="E835" s="174"/>
      <c r="F835" s="174"/>
      <c r="G835" s="174"/>
      <c r="H835" s="174"/>
      <c r="I835" s="174"/>
      <c r="J835" s="174"/>
      <c r="K835" s="174"/>
      <c r="L835" s="174"/>
      <c r="M835" s="174"/>
      <c r="N835" s="174"/>
      <c r="O835" s="174"/>
      <c r="P835" s="174"/>
      <c r="Q835" s="174"/>
      <c r="R835" s="174"/>
      <c r="S835" s="174"/>
      <c r="T835" s="174"/>
      <c r="U835" s="174"/>
      <c r="V835" s="174"/>
      <c r="W835" s="174"/>
      <c r="X835" s="174"/>
      <c r="Y835" s="174"/>
      <c r="Z835" s="174"/>
    </row>
    <row r="836" customFormat="false" ht="15.75" hidden="false" customHeight="false" outlineLevel="0" collapsed="false">
      <c r="A836" s="174"/>
      <c r="B836" s="174"/>
      <c r="C836" s="174"/>
      <c r="D836" s="174"/>
      <c r="E836" s="174"/>
      <c r="F836" s="174"/>
      <c r="G836" s="174"/>
      <c r="H836" s="174"/>
      <c r="I836" s="174"/>
      <c r="J836" s="174"/>
      <c r="K836" s="174"/>
      <c r="L836" s="174"/>
      <c r="M836" s="174"/>
      <c r="N836" s="174"/>
      <c r="O836" s="174"/>
      <c r="P836" s="174"/>
      <c r="Q836" s="174"/>
      <c r="R836" s="174"/>
      <c r="S836" s="174"/>
      <c r="T836" s="174"/>
      <c r="U836" s="174"/>
      <c r="V836" s="174"/>
      <c r="W836" s="174"/>
      <c r="X836" s="174"/>
      <c r="Y836" s="174"/>
      <c r="Z836" s="174"/>
    </row>
    <row r="837" customFormat="false" ht="15.75" hidden="false" customHeight="false" outlineLevel="0" collapsed="false">
      <c r="A837" s="174"/>
      <c r="B837" s="174"/>
      <c r="C837" s="174"/>
      <c r="D837" s="174"/>
      <c r="E837" s="174"/>
      <c r="F837" s="174"/>
      <c r="G837" s="174"/>
      <c r="H837" s="174"/>
      <c r="I837" s="174"/>
      <c r="J837" s="174"/>
      <c r="K837" s="174"/>
      <c r="L837" s="174"/>
      <c r="M837" s="174"/>
      <c r="N837" s="174"/>
      <c r="O837" s="174"/>
      <c r="P837" s="174"/>
      <c r="Q837" s="174"/>
      <c r="R837" s="174"/>
      <c r="S837" s="174"/>
      <c r="T837" s="174"/>
      <c r="U837" s="174"/>
      <c r="V837" s="174"/>
      <c r="W837" s="174"/>
      <c r="X837" s="174"/>
      <c r="Y837" s="174"/>
      <c r="Z837" s="174"/>
    </row>
    <row r="838" customFormat="false" ht="15.75" hidden="false" customHeight="false" outlineLevel="0" collapsed="false">
      <c r="A838" s="174"/>
      <c r="B838" s="174"/>
      <c r="C838" s="174"/>
      <c r="D838" s="174"/>
      <c r="E838" s="174"/>
      <c r="F838" s="174"/>
      <c r="G838" s="174"/>
      <c r="H838" s="174"/>
      <c r="I838" s="174"/>
      <c r="J838" s="174"/>
      <c r="K838" s="174"/>
      <c r="L838" s="174"/>
      <c r="M838" s="174"/>
      <c r="N838" s="174"/>
      <c r="O838" s="174"/>
      <c r="P838" s="174"/>
      <c r="Q838" s="174"/>
      <c r="R838" s="174"/>
      <c r="S838" s="174"/>
      <c r="T838" s="174"/>
      <c r="U838" s="174"/>
      <c r="V838" s="174"/>
      <c r="W838" s="174"/>
      <c r="X838" s="174"/>
      <c r="Y838" s="174"/>
      <c r="Z838" s="174"/>
    </row>
    <row r="839" customFormat="false" ht="15.75" hidden="false" customHeight="false" outlineLevel="0" collapsed="false">
      <c r="A839" s="174"/>
      <c r="B839" s="174"/>
      <c r="C839" s="174"/>
      <c r="D839" s="174"/>
      <c r="E839" s="174"/>
      <c r="F839" s="174"/>
      <c r="G839" s="174"/>
      <c r="H839" s="174"/>
      <c r="I839" s="174"/>
      <c r="J839" s="174"/>
      <c r="K839" s="174"/>
      <c r="L839" s="174"/>
      <c r="M839" s="174"/>
      <c r="N839" s="174"/>
      <c r="O839" s="174"/>
      <c r="P839" s="174"/>
      <c r="Q839" s="174"/>
      <c r="R839" s="174"/>
      <c r="S839" s="174"/>
      <c r="T839" s="174"/>
      <c r="U839" s="174"/>
      <c r="V839" s="174"/>
      <c r="W839" s="174"/>
      <c r="X839" s="174"/>
      <c r="Y839" s="174"/>
      <c r="Z839" s="174"/>
    </row>
    <row r="840" customFormat="false" ht="15.75" hidden="false" customHeight="false" outlineLevel="0" collapsed="false">
      <c r="A840" s="174"/>
      <c r="B840" s="174"/>
      <c r="C840" s="174"/>
      <c r="D840" s="174"/>
      <c r="E840" s="174"/>
      <c r="F840" s="174"/>
      <c r="G840" s="174"/>
      <c r="H840" s="174"/>
      <c r="I840" s="174"/>
      <c r="J840" s="174"/>
      <c r="K840" s="174"/>
      <c r="L840" s="174"/>
      <c r="M840" s="174"/>
      <c r="N840" s="174"/>
      <c r="O840" s="174"/>
      <c r="P840" s="174"/>
      <c r="Q840" s="174"/>
      <c r="R840" s="174"/>
      <c r="S840" s="174"/>
      <c r="T840" s="174"/>
      <c r="U840" s="174"/>
      <c r="V840" s="174"/>
      <c r="W840" s="174"/>
      <c r="X840" s="174"/>
      <c r="Y840" s="174"/>
      <c r="Z840" s="174"/>
    </row>
    <row r="841" customFormat="false" ht="15.75" hidden="false" customHeight="false" outlineLevel="0" collapsed="false">
      <c r="A841" s="174"/>
      <c r="B841" s="174"/>
      <c r="C841" s="174"/>
      <c r="D841" s="174"/>
      <c r="E841" s="174"/>
      <c r="F841" s="174"/>
      <c r="G841" s="174"/>
      <c r="H841" s="174"/>
      <c r="I841" s="174"/>
      <c r="J841" s="174"/>
      <c r="K841" s="174"/>
      <c r="L841" s="174"/>
      <c r="M841" s="174"/>
      <c r="N841" s="174"/>
      <c r="O841" s="174"/>
      <c r="P841" s="174"/>
      <c r="Q841" s="174"/>
      <c r="R841" s="174"/>
      <c r="S841" s="174"/>
      <c r="T841" s="174"/>
      <c r="U841" s="174"/>
      <c r="V841" s="174"/>
      <c r="W841" s="174"/>
      <c r="X841" s="174"/>
      <c r="Y841" s="174"/>
      <c r="Z841" s="174"/>
    </row>
    <row r="842" customFormat="false" ht="15.75" hidden="false" customHeight="false" outlineLevel="0" collapsed="false">
      <c r="A842" s="174"/>
      <c r="B842" s="174"/>
      <c r="C842" s="174"/>
      <c r="D842" s="174"/>
      <c r="E842" s="174"/>
      <c r="F842" s="174"/>
      <c r="G842" s="174"/>
      <c r="H842" s="174"/>
      <c r="I842" s="174"/>
      <c r="J842" s="174"/>
      <c r="K842" s="174"/>
      <c r="L842" s="174"/>
      <c r="M842" s="174"/>
      <c r="N842" s="174"/>
      <c r="O842" s="174"/>
      <c r="P842" s="174"/>
      <c r="Q842" s="174"/>
      <c r="R842" s="174"/>
      <c r="S842" s="174"/>
      <c r="T842" s="174"/>
      <c r="U842" s="174"/>
      <c r="V842" s="174"/>
      <c r="W842" s="174"/>
      <c r="X842" s="174"/>
      <c r="Y842" s="174"/>
      <c r="Z842" s="174"/>
    </row>
    <row r="843" customFormat="false" ht="15.75" hidden="false" customHeight="false" outlineLevel="0" collapsed="false">
      <c r="A843" s="174"/>
      <c r="B843" s="174"/>
      <c r="C843" s="174"/>
      <c r="D843" s="174"/>
      <c r="E843" s="174"/>
      <c r="F843" s="174"/>
      <c r="G843" s="174"/>
      <c r="H843" s="174"/>
      <c r="I843" s="174"/>
      <c r="J843" s="174"/>
      <c r="K843" s="174"/>
      <c r="L843" s="174"/>
      <c r="M843" s="174"/>
      <c r="N843" s="174"/>
      <c r="O843" s="174"/>
      <c r="P843" s="174"/>
      <c r="Q843" s="174"/>
      <c r="R843" s="174"/>
      <c r="S843" s="174"/>
      <c r="T843" s="174"/>
      <c r="U843" s="174"/>
      <c r="V843" s="174"/>
      <c r="W843" s="174"/>
      <c r="X843" s="174"/>
      <c r="Y843" s="174"/>
      <c r="Z843" s="174"/>
    </row>
    <row r="844" customFormat="false" ht="15.75" hidden="false" customHeight="false" outlineLevel="0" collapsed="false">
      <c r="A844" s="174"/>
      <c r="B844" s="174"/>
      <c r="C844" s="174"/>
      <c r="D844" s="174"/>
      <c r="E844" s="174"/>
      <c r="F844" s="174"/>
      <c r="G844" s="174"/>
      <c r="H844" s="174"/>
      <c r="I844" s="174"/>
      <c r="J844" s="174"/>
      <c r="K844" s="174"/>
      <c r="L844" s="174"/>
      <c r="M844" s="174"/>
      <c r="N844" s="174"/>
      <c r="O844" s="174"/>
      <c r="P844" s="174"/>
      <c r="Q844" s="174"/>
      <c r="R844" s="174"/>
      <c r="S844" s="174"/>
      <c r="T844" s="174"/>
      <c r="U844" s="174"/>
      <c r="V844" s="174"/>
      <c r="W844" s="174"/>
      <c r="X844" s="174"/>
      <c r="Y844" s="174"/>
      <c r="Z844" s="174"/>
    </row>
    <row r="845" customFormat="false" ht="15.75" hidden="false" customHeight="false" outlineLevel="0" collapsed="false">
      <c r="A845" s="174"/>
      <c r="B845" s="174"/>
      <c r="C845" s="174"/>
      <c r="D845" s="174"/>
      <c r="E845" s="174"/>
      <c r="F845" s="174"/>
      <c r="G845" s="174"/>
      <c r="H845" s="174"/>
      <c r="I845" s="174"/>
      <c r="J845" s="174"/>
      <c r="K845" s="174"/>
      <c r="L845" s="174"/>
      <c r="M845" s="174"/>
      <c r="N845" s="174"/>
      <c r="O845" s="174"/>
      <c r="P845" s="174"/>
      <c r="Q845" s="174"/>
      <c r="R845" s="174"/>
      <c r="S845" s="174"/>
      <c r="T845" s="174"/>
      <c r="U845" s="174"/>
      <c r="V845" s="174"/>
      <c r="W845" s="174"/>
      <c r="X845" s="174"/>
      <c r="Y845" s="174"/>
      <c r="Z845" s="174"/>
    </row>
    <row r="846" customFormat="false" ht="15.75" hidden="false" customHeight="false" outlineLevel="0" collapsed="false">
      <c r="A846" s="174"/>
      <c r="B846" s="174"/>
      <c r="C846" s="174"/>
      <c r="D846" s="174"/>
      <c r="E846" s="174"/>
      <c r="F846" s="174"/>
      <c r="G846" s="174"/>
      <c r="H846" s="174"/>
      <c r="I846" s="174"/>
      <c r="J846" s="174"/>
      <c r="K846" s="174"/>
      <c r="L846" s="174"/>
      <c r="M846" s="174"/>
      <c r="N846" s="174"/>
      <c r="O846" s="174"/>
      <c r="P846" s="174"/>
      <c r="Q846" s="174"/>
      <c r="R846" s="174"/>
      <c r="S846" s="174"/>
      <c r="T846" s="174"/>
      <c r="U846" s="174"/>
      <c r="V846" s="174"/>
      <c r="W846" s="174"/>
      <c r="X846" s="174"/>
      <c r="Y846" s="174"/>
      <c r="Z846" s="174"/>
    </row>
    <row r="847" customFormat="false" ht="15.75" hidden="false" customHeight="false" outlineLevel="0" collapsed="false">
      <c r="A847" s="174"/>
      <c r="B847" s="174"/>
      <c r="C847" s="174"/>
      <c r="D847" s="174"/>
      <c r="E847" s="174"/>
      <c r="F847" s="174"/>
      <c r="G847" s="174"/>
      <c r="H847" s="174"/>
      <c r="I847" s="174"/>
      <c r="J847" s="174"/>
      <c r="K847" s="174"/>
      <c r="L847" s="174"/>
      <c r="M847" s="174"/>
      <c r="N847" s="174"/>
      <c r="O847" s="174"/>
      <c r="P847" s="174"/>
      <c r="Q847" s="174"/>
      <c r="R847" s="174"/>
      <c r="S847" s="174"/>
      <c r="T847" s="174"/>
      <c r="U847" s="174"/>
      <c r="V847" s="174"/>
      <c r="W847" s="174"/>
      <c r="X847" s="174"/>
      <c r="Y847" s="174"/>
      <c r="Z847" s="174"/>
    </row>
    <row r="848" customFormat="false" ht="15.75" hidden="false" customHeight="false" outlineLevel="0" collapsed="false">
      <c r="A848" s="174"/>
      <c r="B848" s="174"/>
      <c r="C848" s="174"/>
      <c r="D848" s="174"/>
      <c r="E848" s="174"/>
      <c r="F848" s="174"/>
      <c r="G848" s="174"/>
      <c r="H848" s="174"/>
      <c r="I848" s="174"/>
      <c r="J848" s="174"/>
      <c r="K848" s="174"/>
      <c r="L848" s="174"/>
      <c r="M848" s="174"/>
      <c r="N848" s="174"/>
      <c r="O848" s="174"/>
      <c r="P848" s="174"/>
      <c r="Q848" s="174"/>
      <c r="R848" s="174"/>
      <c r="S848" s="174"/>
      <c r="T848" s="174"/>
      <c r="U848" s="174"/>
      <c r="V848" s="174"/>
      <c r="W848" s="174"/>
      <c r="X848" s="174"/>
      <c r="Y848" s="174"/>
      <c r="Z848" s="174"/>
    </row>
    <row r="849" customFormat="false" ht="15.75" hidden="false" customHeight="false" outlineLevel="0" collapsed="false">
      <c r="A849" s="174"/>
      <c r="B849" s="174"/>
      <c r="C849" s="174"/>
      <c r="D849" s="174"/>
      <c r="E849" s="174"/>
      <c r="F849" s="174"/>
      <c r="G849" s="174"/>
      <c r="H849" s="174"/>
      <c r="I849" s="174"/>
      <c r="J849" s="174"/>
      <c r="K849" s="174"/>
      <c r="L849" s="174"/>
      <c r="M849" s="174"/>
      <c r="N849" s="174"/>
      <c r="O849" s="174"/>
      <c r="P849" s="174"/>
      <c r="Q849" s="174"/>
      <c r="R849" s="174"/>
      <c r="S849" s="174"/>
      <c r="T849" s="174"/>
      <c r="U849" s="174"/>
      <c r="V849" s="174"/>
      <c r="W849" s="174"/>
      <c r="X849" s="174"/>
      <c r="Y849" s="174"/>
      <c r="Z849" s="174"/>
    </row>
    <row r="850" customFormat="false" ht="15.75" hidden="false" customHeight="false" outlineLevel="0" collapsed="false">
      <c r="A850" s="174"/>
      <c r="B850" s="174"/>
      <c r="C850" s="174"/>
      <c r="D850" s="174"/>
      <c r="E850" s="174"/>
      <c r="F850" s="174"/>
      <c r="G850" s="174"/>
      <c r="H850" s="174"/>
      <c r="I850" s="174"/>
      <c r="J850" s="174"/>
      <c r="K850" s="174"/>
      <c r="L850" s="174"/>
      <c r="M850" s="174"/>
      <c r="N850" s="174"/>
      <c r="O850" s="174"/>
      <c r="P850" s="174"/>
      <c r="Q850" s="174"/>
      <c r="R850" s="174"/>
      <c r="S850" s="174"/>
      <c r="T850" s="174"/>
      <c r="U850" s="174"/>
      <c r="V850" s="174"/>
      <c r="W850" s="174"/>
      <c r="X850" s="174"/>
      <c r="Y850" s="174"/>
      <c r="Z850" s="174"/>
    </row>
    <row r="851" customFormat="false" ht="15.75" hidden="false" customHeight="false" outlineLevel="0" collapsed="false">
      <c r="A851" s="174"/>
      <c r="B851" s="174"/>
      <c r="C851" s="174"/>
      <c r="D851" s="174"/>
      <c r="E851" s="174"/>
      <c r="F851" s="174"/>
      <c r="G851" s="174"/>
      <c r="H851" s="174"/>
      <c r="I851" s="174"/>
      <c r="J851" s="174"/>
      <c r="K851" s="174"/>
      <c r="L851" s="174"/>
      <c r="M851" s="174"/>
      <c r="N851" s="174"/>
      <c r="O851" s="174"/>
      <c r="P851" s="174"/>
      <c r="Q851" s="174"/>
      <c r="R851" s="174"/>
      <c r="S851" s="174"/>
      <c r="T851" s="174"/>
      <c r="U851" s="174"/>
      <c r="V851" s="174"/>
      <c r="W851" s="174"/>
      <c r="X851" s="174"/>
      <c r="Y851" s="174"/>
      <c r="Z851" s="174"/>
    </row>
    <row r="852" customFormat="false" ht="15.75" hidden="false" customHeight="false" outlineLevel="0" collapsed="false">
      <c r="A852" s="174"/>
      <c r="B852" s="174"/>
      <c r="C852" s="174"/>
      <c r="D852" s="174"/>
      <c r="E852" s="174"/>
      <c r="F852" s="174"/>
      <c r="G852" s="174"/>
      <c r="H852" s="174"/>
      <c r="I852" s="174"/>
      <c r="J852" s="174"/>
      <c r="K852" s="174"/>
      <c r="L852" s="174"/>
      <c r="M852" s="174"/>
      <c r="N852" s="174"/>
      <c r="O852" s="174"/>
      <c r="P852" s="174"/>
      <c r="Q852" s="174"/>
      <c r="R852" s="174"/>
      <c r="S852" s="174"/>
      <c r="T852" s="174"/>
      <c r="U852" s="174"/>
      <c r="V852" s="174"/>
      <c r="W852" s="174"/>
      <c r="X852" s="174"/>
      <c r="Y852" s="174"/>
      <c r="Z852" s="174"/>
    </row>
    <row r="853" customFormat="false" ht="15.75" hidden="false" customHeight="false" outlineLevel="0" collapsed="false">
      <c r="A853" s="174"/>
      <c r="B853" s="174"/>
      <c r="C853" s="174"/>
      <c r="D853" s="174"/>
      <c r="E853" s="174"/>
      <c r="F853" s="174"/>
      <c r="G853" s="174"/>
      <c r="H853" s="174"/>
      <c r="I853" s="174"/>
      <c r="J853" s="174"/>
      <c r="K853" s="174"/>
      <c r="L853" s="174"/>
      <c r="M853" s="174"/>
      <c r="N853" s="174"/>
      <c r="O853" s="174"/>
      <c r="P853" s="174"/>
      <c r="Q853" s="174"/>
      <c r="R853" s="174"/>
      <c r="S853" s="174"/>
      <c r="T853" s="174"/>
      <c r="U853" s="174"/>
      <c r="V853" s="174"/>
      <c r="W853" s="174"/>
      <c r="X853" s="174"/>
      <c r="Y853" s="174"/>
      <c r="Z853" s="174"/>
    </row>
    <row r="854" customFormat="false" ht="15.75" hidden="false" customHeight="false" outlineLevel="0" collapsed="false">
      <c r="A854" s="174"/>
      <c r="B854" s="174"/>
      <c r="C854" s="174"/>
      <c r="D854" s="174"/>
      <c r="E854" s="174"/>
      <c r="F854" s="174"/>
      <c r="G854" s="174"/>
      <c r="H854" s="174"/>
      <c r="I854" s="174"/>
      <c r="J854" s="174"/>
      <c r="K854" s="174"/>
      <c r="L854" s="174"/>
      <c r="M854" s="174"/>
      <c r="N854" s="174"/>
      <c r="O854" s="174"/>
      <c r="P854" s="174"/>
      <c r="Q854" s="174"/>
      <c r="R854" s="174"/>
      <c r="S854" s="174"/>
      <c r="T854" s="174"/>
      <c r="U854" s="174"/>
      <c r="V854" s="174"/>
      <c r="W854" s="174"/>
      <c r="X854" s="174"/>
      <c r="Y854" s="174"/>
      <c r="Z854" s="174"/>
    </row>
    <row r="855" customFormat="false" ht="15.75" hidden="false" customHeight="false" outlineLevel="0" collapsed="false">
      <c r="A855" s="174"/>
      <c r="B855" s="174"/>
      <c r="C855" s="174"/>
      <c r="D855" s="174"/>
      <c r="E855" s="174"/>
      <c r="F855" s="174"/>
      <c r="G855" s="174"/>
      <c r="H855" s="174"/>
      <c r="I855" s="174"/>
      <c r="J855" s="174"/>
      <c r="K855" s="174"/>
      <c r="L855" s="174"/>
      <c r="M855" s="174"/>
      <c r="N855" s="174"/>
      <c r="O855" s="174"/>
      <c r="P855" s="174"/>
      <c r="Q855" s="174"/>
      <c r="R855" s="174"/>
      <c r="S855" s="174"/>
      <c r="T855" s="174"/>
      <c r="U855" s="174"/>
      <c r="V855" s="174"/>
      <c r="W855" s="174"/>
      <c r="X855" s="174"/>
      <c r="Y855" s="174"/>
      <c r="Z855" s="174"/>
    </row>
    <row r="856" customFormat="false" ht="15.75" hidden="false" customHeight="false" outlineLevel="0" collapsed="false">
      <c r="A856" s="174"/>
      <c r="B856" s="174"/>
      <c r="C856" s="174"/>
      <c r="D856" s="174"/>
      <c r="E856" s="174"/>
      <c r="F856" s="174"/>
      <c r="G856" s="174"/>
      <c r="H856" s="174"/>
      <c r="I856" s="174"/>
      <c r="J856" s="174"/>
      <c r="K856" s="174"/>
      <c r="L856" s="174"/>
      <c r="M856" s="174"/>
      <c r="N856" s="174"/>
      <c r="O856" s="174"/>
      <c r="P856" s="174"/>
      <c r="Q856" s="174"/>
      <c r="R856" s="174"/>
      <c r="S856" s="174"/>
      <c r="T856" s="174"/>
      <c r="U856" s="174"/>
      <c r="V856" s="174"/>
      <c r="W856" s="174"/>
      <c r="X856" s="174"/>
      <c r="Y856" s="174"/>
      <c r="Z856" s="174"/>
    </row>
    <row r="857" customFormat="false" ht="15.75" hidden="false" customHeight="false" outlineLevel="0" collapsed="false">
      <c r="A857" s="174"/>
      <c r="B857" s="174"/>
      <c r="C857" s="174"/>
      <c r="D857" s="174"/>
      <c r="E857" s="174"/>
      <c r="F857" s="174"/>
      <c r="G857" s="174"/>
      <c r="H857" s="174"/>
      <c r="I857" s="174"/>
      <c r="J857" s="174"/>
      <c r="K857" s="174"/>
      <c r="L857" s="174"/>
      <c r="M857" s="174"/>
      <c r="N857" s="174"/>
      <c r="O857" s="174"/>
      <c r="P857" s="174"/>
      <c r="Q857" s="174"/>
      <c r="R857" s="174"/>
      <c r="S857" s="174"/>
      <c r="T857" s="174"/>
      <c r="U857" s="174"/>
      <c r="V857" s="174"/>
      <c r="W857" s="174"/>
      <c r="X857" s="174"/>
      <c r="Y857" s="174"/>
      <c r="Z857" s="174"/>
    </row>
    <row r="858" customFormat="false" ht="15.75" hidden="false" customHeight="false" outlineLevel="0" collapsed="false">
      <c r="A858" s="174"/>
      <c r="B858" s="174"/>
      <c r="C858" s="174"/>
      <c r="D858" s="174"/>
      <c r="E858" s="174"/>
      <c r="F858" s="174"/>
      <c r="G858" s="174"/>
      <c r="H858" s="174"/>
      <c r="I858" s="174"/>
      <c r="J858" s="174"/>
      <c r="K858" s="174"/>
      <c r="L858" s="174"/>
      <c r="M858" s="174"/>
      <c r="N858" s="174"/>
      <c r="O858" s="174"/>
      <c r="P858" s="174"/>
      <c r="Q858" s="174"/>
      <c r="R858" s="174"/>
      <c r="S858" s="174"/>
      <c r="T858" s="174"/>
      <c r="U858" s="174"/>
      <c r="V858" s="174"/>
      <c r="W858" s="174"/>
      <c r="X858" s="174"/>
      <c r="Y858" s="174"/>
      <c r="Z858" s="174"/>
    </row>
    <row r="859" customFormat="false" ht="15.75" hidden="false" customHeight="false" outlineLevel="0" collapsed="false">
      <c r="A859" s="174"/>
      <c r="B859" s="174"/>
      <c r="C859" s="174"/>
      <c r="D859" s="174"/>
      <c r="E859" s="174"/>
      <c r="F859" s="174"/>
      <c r="G859" s="174"/>
      <c r="H859" s="174"/>
      <c r="I859" s="174"/>
      <c r="J859" s="174"/>
      <c r="K859" s="174"/>
      <c r="L859" s="174"/>
      <c r="M859" s="174"/>
      <c r="N859" s="174"/>
      <c r="O859" s="174"/>
      <c r="P859" s="174"/>
      <c r="Q859" s="174"/>
      <c r="R859" s="174"/>
      <c r="S859" s="174"/>
      <c r="T859" s="174"/>
      <c r="U859" s="174"/>
      <c r="V859" s="174"/>
      <c r="W859" s="174"/>
      <c r="X859" s="174"/>
      <c r="Y859" s="174"/>
      <c r="Z859" s="174"/>
    </row>
    <row r="860" customFormat="false" ht="15.75" hidden="false" customHeight="false" outlineLevel="0" collapsed="false">
      <c r="A860" s="174"/>
      <c r="B860" s="174"/>
      <c r="C860" s="174"/>
      <c r="D860" s="174"/>
      <c r="E860" s="174"/>
      <c r="F860" s="174"/>
      <c r="G860" s="174"/>
      <c r="H860" s="174"/>
      <c r="I860" s="174"/>
      <c r="J860" s="174"/>
      <c r="K860" s="174"/>
      <c r="L860" s="174"/>
      <c r="M860" s="174"/>
      <c r="N860" s="174"/>
      <c r="O860" s="174"/>
      <c r="P860" s="174"/>
      <c r="Q860" s="174"/>
      <c r="R860" s="174"/>
      <c r="S860" s="174"/>
      <c r="T860" s="174"/>
      <c r="U860" s="174"/>
      <c r="V860" s="174"/>
      <c r="W860" s="174"/>
      <c r="X860" s="174"/>
      <c r="Y860" s="174"/>
      <c r="Z860" s="174"/>
    </row>
    <row r="861" customFormat="false" ht="15.75" hidden="false" customHeight="false" outlineLevel="0" collapsed="false">
      <c r="A861" s="174"/>
      <c r="B861" s="174"/>
      <c r="C861" s="174"/>
      <c r="D861" s="174"/>
      <c r="E861" s="174"/>
      <c r="F861" s="174"/>
      <c r="G861" s="174"/>
      <c r="H861" s="174"/>
      <c r="I861" s="174"/>
      <c r="J861" s="174"/>
      <c r="K861" s="174"/>
      <c r="L861" s="174"/>
      <c r="M861" s="174"/>
      <c r="N861" s="174"/>
      <c r="O861" s="174"/>
      <c r="P861" s="174"/>
      <c r="Q861" s="174"/>
      <c r="R861" s="174"/>
      <c r="S861" s="174"/>
      <c r="T861" s="174"/>
      <c r="U861" s="174"/>
      <c r="V861" s="174"/>
      <c r="W861" s="174"/>
      <c r="X861" s="174"/>
      <c r="Y861" s="174"/>
      <c r="Z861" s="174"/>
    </row>
    <row r="862" customFormat="false" ht="15.75" hidden="false" customHeight="false" outlineLevel="0" collapsed="false">
      <c r="A862" s="174"/>
      <c r="B862" s="174"/>
      <c r="C862" s="174"/>
      <c r="D862" s="174"/>
      <c r="E862" s="174"/>
      <c r="F862" s="174"/>
      <c r="G862" s="174"/>
      <c r="H862" s="174"/>
      <c r="I862" s="174"/>
      <c r="J862" s="174"/>
      <c r="K862" s="174"/>
      <c r="L862" s="174"/>
      <c r="M862" s="174"/>
      <c r="N862" s="174"/>
      <c r="O862" s="174"/>
      <c r="P862" s="174"/>
      <c r="Q862" s="174"/>
      <c r="R862" s="174"/>
      <c r="S862" s="174"/>
      <c r="T862" s="174"/>
      <c r="U862" s="174"/>
      <c r="V862" s="174"/>
      <c r="W862" s="174"/>
      <c r="X862" s="174"/>
      <c r="Y862" s="174"/>
      <c r="Z862" s="174"/>
    </row>
    <row r="863" customFormat="false" ht="15.75" hidden="false" customHeight="false" outlineLevel="0" collapsed="false">
      <c r="A863" s="174"/>
      <c r="B863" s="174"/>
      <c r="C863" s="174"/>
      <c r="D863" s="174"/>
      <c r="E863" s="174"/>
      <c r="F863" s="174"/>
      <c r="G863" s="174"/>
      <c r="H863" s="174"/>
      <c r="I863" s="174"/>
      <c r="J863" s="174"/>
      <c r="K863" s="174"/>
      <c r="L863" s="174"/>
      <c r="M863" s="174"/>
      <c r="N863" s="174"/>
      <c r="O863" s="174"/>
      <c r="P863" s="174"/>
      <c r="Q863" s="174"/>
      <c r="R863" s="174"/>
      <c r="S863" s="174"/>
      <c r="T863" s="174"/>
      <c r="U863" s="174"/>
      <c r="V863" s="174"/>
      <c r="W863" s="174"/>
      <c r="X863" s="174"/>
      <c r="Y863" s="174"/>
      <c r="Z863" s="174"/>
    </row>
    <row r="864" customFormat="false" ht="15.75" hidden="false" customHeight="false" outlineLevel="0" collapsed="false">
      <c r="A864" s="174"/>
      <c r="B864" s="174"/>
      <c r="C864" s="174"/>
      <c r="D864" s="174"/>
      <c r="E864" s="174"/>
      <c r="F864" s="174"/>
      <c r="G864" s="174"/>
      <c r="H864" s="174"/>
      <c r="I864" s="174"/>
      <c r="J864" s="174"/>
      <c r="K864" s="174"/>
      <c r="L864" s="174"/>
      <c r="M864" s="174"/>
      <c r="N864" s="174"/>
      <c r="O864" s="174"/>
      <c r="P864" s="174"/>
      <c r="Q864" s="174"/>
      <c r="R864" s="174"/>
      <c r="S864" s="174"/>
      <c r="T864" s="174"/>
      <c r="U864" s="174"/>
      <c r="V864" s="174"/>
      <c r="W864" s="174"/>
      <c r="X864" s="174"/>
      <c r="Y864" s="174"/>
      <c r="Z864" s="174"/>
    </row>
    <row r="865" customFormat="false" ht="15.75" hidden="false" customHeight="false" outlineLevel="0" collapsed="false">
      <c r="A865" s="174"/>
      <c r="B865" s="174"/>
      <c r="C865" s="174"/>
      <c r="D865" s="174"/>
      <c r="E865" s="174"/>
      <c r="F865" s="174"/>
      <c r="G865" s="174"/>
      <c r="H865" s="174"/>
      <c r="I865" s="174"/>
      <c r="J865" s="174"/>
      <c r="K865" s="174"/>
      <c r="L865" s="174"/>
      <c r="M865" s="174"/>
      <c r="N865" s="174"/>
      <c r="O865" s="174"/>
      <c r="P865" s="174"/>
      <c r="Q865" s="174"/>
      <c r="R865" s="174"/>
      <c r="S865" s="174"/>
      <c r="T865" s="174"/>
      <c r="U865" s="174"/>
      <c r="V865" s="174"/>
      <c r="W865" s="174"/>
      <c r="X865" s="174"/>
      <c r="Y865" s="174"/>
      <c r="Z865" s="174"/>
    </row>
    <row r="866" customFormat="false" ht="15.75" hidden="false" customHeight="false" outlineLevel="0" collapsed="false">
      <c r="A866" s="174"/>
      <c r="B866" s="174"/>
      <c r="C866" s="174"/>
      <c r="D866" s="174"/>
      <c r="E866" s="174"/>
      <c r="F866" s="174"/>
      <c r="G866" s="174"/>
      <c r="H866" s="174"/>
      <c r="I866" s="174"/>
      <c r="J866" s="174"/>
      <c r="K866" s="174"/>
      <c r="L866" s="174"/>
      <c r="M866" s="174"/>
      <c r="N866" s="174"/>
      <c r="O866" s="174"/>
      <c r="P866" s="174"/>
      <c r="Q866" s="174"/>
      <c r="R866" s="174"/>
      <c r="S866" s="174"/>
      <c r="T866" s="174"/>
      <c r="U866" s="174"/>
      <c r="V866" s="174"/>
      <c r="W866" s="174"/>
      <c r="X866" s="174"/>
      <c r="Y866" s="174"/>
      <c r="Z866" s="174"/>
    </row>
    <row r="867" customFormat="false" ht="15.75" hidden="false" customHeight="false" outlineLevel="0" collapsed="false">
      <c r="A867" s="174"/>
      <c r="B867" s="174"/>
      <c r="C867" s="174"/>
      <c r="D867" s="174"/>
      <c r="E867" s="174"/>
      <c r="F867" s="174"/>
      <c r="G867" s="174"/>
      <c r="H867" s="174"/>
      <c r="I867" s="174"/>
      <c r="J867" s="174"/>
      <c r="K867" s="174"/>
      <c r="L867" s="174"/>
      <c r="M867" s="174"/>
      <c r="N867" s="174"/>
      <c r="O867" s="174"/>
      <c r="P867" s="174"/>
      <c r="Q867" s="174"/>
      <c r="R867" s="174"/>
      <c r="S867" s="174"/>
      <c r="T867" s="174"/>
      <c r="U867" s="174"/>
      <c r="V867" s="174"/>
      <c r="W867" s="174"/>
      <c r="X867" s="174"/>
      <c r="Y867" s="174"/>
      <c r="Z867" s="174"/>
    </row>
    <row r="868" customFormat="false" ht="15.75" hidden="false" customHeight="false" outlineLevel="0" collapsed="false">
      <c r="A868" s="174"/>
      <c r="B868" s="174"/>
      <c r="C868" s="174"/>
      <c r="D868" s="174"/>
      <c r="E868" s="174"/>
      <c r="F868" s="174"/>
      <c r="G868" s="174"/>
      <c r="H868" s="174"/>
      <c r="I868" s="174"/>
      <c r="J868" s="174"/>
      <c r="K868" s="174"/>
      <c r="L868" s="174"/>
      <c r="M868" s="174"/>
      <c r="N868" s="174"/>
      <c r="O868" s="174"/>
      <c r="P868" s="174"/>
      <c r="Q868" s="174"/>
      <c r="R868" s="174"/>
      <c r="S868" s="174"/>
      <c r="T868" s="174"/>
      <c r="U868" s="174"/>
      <c r="V868" s="174"/>
      <c r="W868" s="174"/>
      <c r="X868" s="174"/>
      <c r="Y868" s="174"/>
      <c r="Z868" s="174"/>
    </row>
    <row r="869" customFormat="false" ht="15.75" hidden="false" customHeight="false" outlineLevel="0" collapsed="false">
      <c r="A869" s="174"/>
      <c r="B869" s="174"/>
      <c r="C869" s="174"/>
      <c r="D869" s="174"/>
      <c r="E869" s="174"/>
      <c r="F869" s="174"/>
      <c r="G869" s="174"/>
      <c r="H869" s="174"/>
      <c r="I869" s="174"/>
      <c r="J869" s="174"/>
      <c r="K869" s="174"/>
      <c r="L869" s="174"/>
      <c r="M869" s="174"/>
      <c r="N869" s="174"/>
      <c r="O869" s="174"/>
      <c r="P869" s="174"/>
      <c r="Q869" s="174"/>
      <c r="R869" s="174"/>
      <c r="S869" s="174"/>
      <c r="T869" s="174"/>
      <c r="U869" s="174"/>
      <c r="V869" s="174"/>
      <c r="W869" s="174"/>
      <c r="X869" s="174"/>
      <c r="Y869" s="174"/>
      <c r="Z869" s="174"/>
    </row>
    <row r="870" customFormat="false" ht="15.75" hidden="false" customHeight="false" outlineLevel="0" collapsed="false">
      <c r="A870" s="174"/>
      <c r="B870" s="174"/>
      <c r="C870" s="174"/>
      <c r="D870" s="174"/>
      <c r="E870" s="174"/>
      <c r="F870" s="174"/>
      <c r="G870" s="174"/>
      <c r="H870" s="174"/>
      <c r="I870" s="174"/>
      <c r="J870" s="174"/>
      <c r="K870" s="174"/>
      <c r="L870" s="174"/>
      <c r="M870" s="174"/>
      <c r="N870" s="174"/>
      <c r="O870" s="174"/>
      <c r="P870" s="174"/>
      <c r="Q870" s="174"/>
      <c r="R870" s="174"/>
      <c r="S870" s="174"/>
      <c r="T870" s="174"/>
      <c r="U870" s="174"/>
      <c r="V870" s="174"/>
      <c r="W870" s="174"/>
      <c r="X870" s="174"/>
      <c r="Y870" s="174"/>
      <c r="Z870" s="174"/>
    </row>
    <row r="871" customFormat="false" ht="15.75" hidden="false" customHeight="false" outlineLevel="0" collapsed="false">
      <c r="A871" s="174"/>
      <c r="B871" s="174"/>
      <c r="C871" s="174"/>
      <c r="D871" s="174"/>
      <c r="E871" s="174"/>
      <c r="F871" s="174"/>
      <c r="G871" s="174"/>
      <c r="H871" s="174"/>
      <c r="I871" s="174"/>
      <c r="J871" s="174"/>
      <c r="K871" s="174"/>
      <c r="L871" s="174"/>
      <c r="M871" s="174"/>
      <c r="N871" s="174"/>
      <c r="O871" s="174"/>
      <c r="P871" s="174"/>
      <c r="Q871" s="174"/>
      <c r="R871" s="174"/>
      <c r="S871" s="174"/>
      <c r="T871" s="174"/>
      <c r="U871" s="174"/>
      <c r="V871" s="174"/>
      <c r="W871" s="174"/>
      <c r="X871" s="174"/>
      <c r="Y871" s="174"/>
      <c r="Z871" s="174"/>
    </row>
    <row r="872" customFormat="false" ht="15.75" hidden="false" customHeight="false" outlineLevel="0" collapsed="false">
      <c r="A872" s="174"/>
      <c r="B872" s="174"/>
      <c r="C872" s="174"/>
      <c r="D872" s="174"/>
      <c r="E872" s="174"/>
      <c r="F872" s="174"/>
      <c r="G872" s="174"/>
      <c r="H872" s="174"/>
      <c r="I872" s="174"/>
      <c r="J872" s="174"/>
      <c r="K872" s="174"/>
      <c r="L872" s="174"/>
      <c r="M872" s="174"/>
      <c r="N872" s="174"/>
      <c r="O872" s="174"/>
      <c r="P872" s="174"/>
      <c r="Q872" s="174"/>
      <c r="R872" s="174"/>
      <c r="S872" s="174"/>
      <c r="T872" s="174"/>
      <c r="U872" s="174"/>
      <c r="V872" s="174"/>
      <c r="W872" s="174"/>
      <c r="X872" s="174"/>
      <c r="Y872" s="174"/>
      <c r="Z872" s="174"/>
    </row>
    <row r="873" customFormat="false" ht="15.75" hidden="false" customHeight="false" outlineLevel="0" collapsed="false">
      <c r="A873" s="174"/>
      <c r="B873" s="174"/>
      <c r="C873" s="174"/>
      <c r="D873" s="174"/>
      <c r="E873" s="174"/>
      <c r="F873" s="174"/>
      <c r="G873" s="174"/>
      <c r="H873" s="174"/>
      <c r="I873" s="174"/>
      <c r="J873" s="174"/>
      <c r="K873" s="174"/>
      <c r="L873" s="174"/>
      <c r="M873" s="174"/>
      <c r="N873" s="174"/>
      <c r="O873" s="174"/>
      <c r="P873" s="174"/>
      <c r="Q873" s="174"/>
      <c r="R873" s="174"/>
      <c r="S873" s="174"/>
      <c r="T873" s="174"/>
      <c r="U873" s="174"/>
      <c r="V873" s="174"/>
      <c r="W873" s="174"/>
      <c r="X873" s="174"/>
      <c r="Y873" s="174"/>
      <c r="Z873" s="174"/>
    </row>
    <row r="874" customFormat="false" ht="15.75" hidden="false" customHeight="false" outlineLevel="0" collapsed="false">
      <c r="A874" s="174"/>
      <c r="B874" s="174"/>
      <c r="C874" s="174"/>
      <c r="D874" s="174"/>
      <c r="E874" s="174"/>
      <c r="F874" s="174"/>
      <c r="G874" s="174"/>
      <c r="H874" s="174"/>
      <c r="I874" s="174"/>
      <c r="J874" s="174"/>
      <c r="K874" s="174"/>
      <c r="L874" s="174"/>
      <c r="M874" s="174"/>
      <c r="N874" s="174"/>
      <c r="O874" s="174"/>
      <c r="P874" s="174"/>
      <c r="Q874" s="174"/>
      <c r="R874" s="174"/>
      <c r="S874" s="174"/>
      <c r="T874" s="174"/>
      <c r="U874" s="174"/>
      <c r="V874" s="174"/>
      <c r="W874" s="174"/>
      <c r="X874" s="174"/>
      <c r="Y874" s="174"/>
      <c r="Z874" s="174"/>
    </row>
    <row r="875" customFormat="false" ht="15.75" hidden="false" customHeight="false" outlineLevel="0" collapsed="false">
      <c r="A875" s="174"/>
      <c r="B875" s="174"/>
      <c r="C875" s="174"/>
      <c r="D875" s="174"/>
      <c r="E875" s="174"/>
      <c r="F875" s="174"/>
      <c r="G875" s="174"/>
      <c r="H875" s="174"/>
      <c r="I875" s="174"/>
      <c r="J875" s="174"/>
      <c r="K875" s="174"/>
      <c r="L875" s="174"/>
      <c r="M875" s="174"/>
      <c r="N875" s="174"/>
      <c r="O875" s="174"/>
      <c r="P875" s="174"/>
      <c r="Q875" s="174"/>
      <c r="R875" s="174"/>
      <c r="S875" s="174"/>
      <c r="T875" s="174"/>
      <c r="U875" s="174"/>
      <c r="V875" s="174"/>
      <c r="W875" s="174"/>
      <c r="X875" s="174"/>
      <c r="Y875" s="174"/>
      <c r="Z875" s="174"/>
    </row>
    <row r="876" customFormat="false" ht="15.75" hidden="false" customHeight="false" outlineLevel="0" collapsed="false">
      <c r="A876" s="174"/>
      <c r="B876" s="174"/>
      <c r="C876" s="174"/>
      <c r="D876" s="174"/>
      <c r="E876" s="174"/>
      <c r="F876" s="174"/>
      <c r="G876" s="174"/>
      <c r="H876" s="174"/>
      <c r="I876" s="174"/>
      <c r="J876" s="174"/>
      <c r="K876" s="174"/>
      <c r="L876" s="174"/>
      <c r="M876" s="174"/>
      <c r="N876" s="174"/>
      <c r="O876" s="174"/>
      <c r="P876" s="174"/>
      <c r="Q876" s="174"/>
      <c r="R876" s="174"/>
      <c r="S876" s="174"/>
      <c r="T876" s="174"/>
      <c r="U876" s="174"/>
      <c r="V876" s="174"/>
      <c r="W876" s="174"/>
      <c r="X876" s="174"/>
      <c r="Y876" s="174"/>
      <c r="Z876" s="174"/>
    </row>
    <row r="877" customFormat="false" ht="15.75" hidden="false" customHeight="false" outlineLevel="0" collapsed="false">
      <c r="A877" s="174"/>
      <c r="B877" s="174"/>
      <c r="C877" s="174"/>
      <c r="D877" s="174"/>
      <c r="E877" s="174"/>
      <c r="F877" s="174"/>
      <c r="G877" s="174"/>
      <c r="H877" s="174"/>
      <c r="I877" s="174"/>
      <c r="J877" s="174"/>
      <c r="K877" s="174"/>
      <c r="L877" s="174"/>
      <c r="M877" s="174"/>
      <c r="N877" s="174"/>
      <c r="O877" s="174"/>
      <c r="P877" s="174"/>
      <c r="Q877" s="174"/>
      <c r="R877" s="174"/>
      <c r="S877" s="174"/>
      <c r="T877" s="174"/>
      <c r="U877" s="174"/>
      <c r="V877" s="174"/>
      <c r="W877" s="174"/>
      <c r="X877" s="174"/>
      <c r="Y877" s="174"/>
      <c r="Z877" s="174"/>
    </row>
    <row r="878" customFormat="false" ht="15.75" hidden="false" customHeight="false" outlineLevel="0" collapsed="false">
      <c r="A878" s="174"/>
      <c r="B878" s="174"/>
      <c r="C878" s="174"/>
      <c r="D878" s="174"/>
      <c r="E878" s="174"/>
      <c r="F878" s="174"/>
      <c r="G878" s="174"/>
      <c r="H878" s="174"/>
      <c r="I878" s="174"/>
      <c r="J878" s="174"/>
      <c r="K878" s="174"/>
      <c r="L878" s="174"/>
      <c r="M878" s="174"/>
      <c r="N878" s="174"/>
      <c r="O878" s="174"/>
      <c r="P878" s="174"/>
      <c r="Q878" s="174"/>
      <c r="R878" s="174"/>
      <c r="S878" s="174"/>
      <c r="T878" s="174"/>
      <c r="U878" s="174"/>
      <c r="V878" s="174"/>
      <c r="W878" s="174"/>
      <c r="X878" s="174"/>
      <c r="Y878" s="174"/>
      <c r="Z878" s="174"/>
    </row>
    <row r="879" customFormat="false" ht="15.75" hidden="false" customHeight="false" outlineLevel="0" collapsed="false">
      <c r="A879" s="174"/>
      <c r="B879" s="174"/>
      <c r="C879" s="174"/>
      <c r="D879" s="174"/>
      <c r="E879" s="174"/>
      <c r="F879" s="174"/>
      <c r="G879" s="174"/>
      <c r="H879" s="174"/>
      <c r="I879" s="174"/>
      <c r="J879" s="174"/>
      <c r="K879" s="174"/>
      <c r="L879" s="174"/>
      <c r="M879" s="174"/>
      <c r="N879" s="174"/>
      <c r="O879" s="174"/>
      <c r="P879" s="174"/>
      <c r="Q879" s="174"/>
      <c r="R879" s="174"/>
      <c r="S879" s="174"/>
      <c r="T879" s="174"/>
      <c r="U879" s="174"/>
      <c r="V879" s="174"/>
      <c r="W879" s="174"/>
      <c r="X879" s="174"/>
      <c r="Y879" s="174"/>
      <c r="Z879" s="174"/>
    </row>
    <row r="880" customFormat="false" ht="15.75" hidden="false" customHeight="false" outlineLevel="0" collapsed="false">
      <c r="A880" s="174"/>
      <c r="B880" s="174"/>
      <c r="C880" s="174"/>
      <c r="D880" s="174"/>
      <c r="E880" s="174"/>
      <c r="F880" s="174"/>
      <c r="G880" s="174"/>
      <c r="H880" s="174"/>
      <c r="I880" s="174"/>
      <c r="J880" s="174"/>
      <c r="K880" s="174"/>
      <c r="L880" s="174"/>
      <c r="M880" s="174"/>
      <c r="N880" s="174"/>
      <c r="O880" s="174"/>
      <c r="P880" s="174"/>
      <c r="Q880" s="174"/>
      <c r="R880" s="174"/>
      <c r="S880" s="174"/>
      <c r="T880" s="174"/>
      <c r="U880" s="174"/>
      <c r="V880" s="174"/>
      <c r="W880" s="174"/>
      <c r="X880" s="174"/>
      <c r="Y880" s="174"/>
      <c r="Z880" s="174"/>
    </row>
    <row r="881" customFormat="false" ht="15.75" hidden="false" customHeight="false" outlineLevel="0" collapsed="false">
      <c r="A881" s="174"/>
      <c r="B881" s="174"/>
      <c r="C881" s="174"/>
      <c r="D881" s="174"/>
      <c r="E881" s="174"/>
      <c r="F881" s="174"/>
      <c r="G881" s="174"/>
      <c r="H881" s="174"/>
      <c r="I881" s="174"/>
      <c r="J881" s="174"/>
      <c r="K881" s="174"/>
      <c r="L881" s="174"/>
      <c r="M881" s="174"/>
      <c r="N881" s="174"/>
      <c r="O881" s="174"/>
      <c r="P881" s="174"/>
      <c r="Q881" s="174"/>
      <c r="R881" s="174"/>
      <c r="S881" s="174"/>
      <c r="T881" s="174"/>
      <c r="U881" s="174"/>
      <c r="V881" s="174"/>
      <c r="W881" s="174"/>
      <c r="X881" s="174"/>
      <c r="Y881" s="174"/>
      <c r="Z881" s="174"/>
    </row>
    <row r="882" customFormat="false" ht="15.75" hidden="false" customHeight="false" outlineLevel="0" collapsed="false">
      <c r="A882" s="174"/>
      <c r="B882" s="174"/>
      <c r="C882" s="174"/>
      <c r="D882" s="174"/>
      <c r="E882" s="174"/>
      <c r="F882" s="174"/>
      <c r="G882" s="174"/>
      <c r="H882" s="174"/>
      <c r="I882" s="174"/>
      <c r="J882" s="174"/>
      <c r="K882" s="174"/>
      <c r="L882" s="174"/>
      <c r="M882" s="174"/>
      <c r="N882" s="174"/>
      <c r="O882" s="174"/>
      <c r="P882" s="174"/>
      <c r="Q882" s="174"/>
      <c r="R882" s="174"/>
      <c r="S882" s="174"/>
      <c r="T882" s="174"/>
      <c r="U882" s="174"/>
      <c r="V882" s="174"/>
      <c r="W882" s="174"/>
      <c r="X882" s="174"/>
      <c r="Y882" s="174"/>
      <c r="Z882" s="174"/>
    </row>
    <row r="883" customFormat="false" ht="15.75" hidden="false" customHeight="false" outlineLevel="0" collapsed="false">
      <c r="A883" s="174"/>
      <c r="B883" s="174"/>
      <c r="C883" s="174"/>
      <c r="D883" s="174"/>
      <c r="E883" s="174"/>
      <c r="F883" s="174"/>
      <c r="G883" s="174"/>
      <c r="H883" s="174"/>
      <c r="I883" s="174"/>
      <c r="J883" s="174"/>
      <c r="K883" s="174"/>
      <c r="L883" s="174"/>
      <c r="M883" s="174"/>
      <c r="N883" s="174"/>
      <c r="O883" s="174"/>
      <c r="P883" s="174"/>
      <c r="Q883" s="174"/>
      <c r="R883" s="174"/>
      <c r="S883" s="174"/>
      <c r="T883" s="174"/>
      <c r="U883" s="174"/>
      <c r="V883" s="174"/>
      <c r="W883" s="174"/>
      <c r="X883" s="174"/>
      <c r="Y883" s="174"/>
      <c r="Z883" s="174"/>
    </row>
    <row r="884" customFormat="false" ht="15.75" hidden="false" customHeight="false" outlineLevel="0" collapsed="false">
      <c r="A884" s="174"/>
      <c r="B884" s="174"/>
      <c r="C884" s="174"/>
      <c r="D884" s="174"/>
      <c r="E884" s="174"/>
      <c r="F884" s="174"/>
      <c r="G884" s="174"/>
      <c r="H884" s="174"/>
      <c r="I884" s="174"/>
      <c r="J884" s="174"/>
      <c r="K884" s="174"/>
      <c r="L884" s="174"/>
      <c r="M884" s="174"/>
      <c r="N884" s="174"/>
      <c r="O884" s="174"/>
      <c r="P884" s="174"/>
      <c r="Q884" s="174"/>
      <c r="R884" s="174"/>
      <c r="S884" s="174"/>
      <c r="T884" s="174"/>
      <c r="U884" s="174"/>
      <c r="V884" s="174"/>
      <c r="W884" s="174"/>
      <c r="X884" s="174"/>
      <c r="Y884" s="174"/>
      <c r="Z884" s="174"/>
    </row>
    <row r="885" customFormat="false" ht="15.75" hidden="false" customHeight="false" outlineLevel="0" collapsed="false">
      <c r="A885" s="174"/>
      <c r="B885" s="174"/>
      <c r="C885" s="174"/>
      <c r="D885" s="174"/>
      <c r="E885" s="174"/>
      <c r="F885" s="174"/>
      <c r="G885" s="174"/>
      <c r="H885" s="174"/>
      <c r="I885" s="174"/>
      <c r="J885" s="174"/>
      <c r="K885" s="174"/>
      <c r="L885" s="174"/>
      <c r="M885" s="174"/>
      <c r="N885" s="174"/>
      <c r="O885" s="174"/>
      <c r="P885" s="174"/>
      <c r="Q885" s="174"/>
      <c r="R885" s="174"/>
      <c r="S885" s="174"/>
      <c r="T885" s="174"/>
      <c r="U885" s="174"/>
      <c r="V885" s="174"/>
      <c r="W885" s="174"/>
      <c r="X885" s="174"/>
      <c r="Y885" s="174"/>
      <c r="Z885" s="174"/>
    </row>
    <row r="886" customFormat="false" ht="15.75" hidden="false" customHeight="false" outlineLevel="0" collapsed="false">
      <c r="A886" s="174"/>
      <c r="B886" s="174"/>
      <c r="C886" s="174"/>
      <c r="D886" s="174"/>
      <c r="E886" s="174"/>
      <c r="F886" s="174"/>
      <c r="G886" s="174"/>
      <c r="H886" s="174"/>
      <c r="I886" s="174"/>
      <c r="J886" s="174"/>
      <c r="K886" s="174"/>
      <c r="L886" s="174"/>
      <c r="M886" s="174"/>
      <c r="N886" s="174"/>
      <c r="O886" s="174"/>
      <c r="P886" s="174"/>
      <c r="Q886" s="174"/>
      <c r="R886" s="174"/>
      <c r="S886" s="174"/>
      <c r="T886" s="174"/>
      <c r="U886" s="174"/>
      <c r="V886" s="174"/>
      <c r="W886" s="174"/>
      <c r="X886" s="174"/>
      <c r="Y886" s="174"/>
      <c r="Z886" s="174"/>
    </row>
    <row r="887" customFormat="false" ht="15.75" hidden="false" customHeight="false" outlineLevel="0" collapsed="false">
      <c r="A887" s="174"/>
      <c r="B887" s="174"/>
      <c r="C887" s="174"/>
      <c r="D887" s="174"/>
      <c r="E887" s="174"/>
      <c r="F887" s="174"/>
      <c r="G887" s="174"/>
      <c r="H887" s="174"/>
      <c r="I887" s="174"/>
      <c r="J887" s="174"/>
      <c r="K887" s="174"/>
      <c r="L887" s="174"/>
      <c r="M887" s="174"/>
      <c r="N887" s="174"/>
      <c r="O887" s="174"/>
      <c r="P887" s="174"/>
      <c r="Q887" s="174"/>
      <c r="R887" s="174"/>
      <c r="S887" s="174"/>
      <c r="T887" s="174"/>
      <c r="U887" s="174"/>
      <c r="V887" s="174"/>
      <c r="W887" s="174"/>
      <c r="X887" s="174"/>
      <c r="Y887" s="174"/>
      <c r="Z887" s="174"/>
    </row>
    <row r="888" customFormat="false" ht="15.75" hidden="false" customHeight="false" outlineLevel="0" collapsed="false">
      <c r="A888" s="174"/>
      <c r="B888" s="174"/>
      <c r="C888" s="174"/>
      <c r="D888" s="174"/>
      <c r="E888" s="174"/>
      <c r="F888" s="174"/>
      <c r="G888" s="174"/>
      <c r="H888" s="174"/>
      <c r="I888" s="174"/>
      <c r="J888" s="174"/>
      <c r="K888" s="174"/>
      <c r="L888" s="174"/>
      <c r="M888" s="174"/>
      <c r="N888" s="174"/>
      <c r="O888" s="174"/>
      <c r="P888" s="174"/>
      <c r="Q888" s="174"/>
      <c r="R888" s="174"/>
      <c r="S888" s="174"/>
      <c r="T888" s="174"/>
      <c r="U888" s="174"/>
      <c r="V888" s="174"/>
      <c r="W888" s="174"/>
      <c r="X888" s="174"/>
      <c r="Y888" s="174"/>
      <c r="Z888" s="174"/>
    </row>
    <row r="889" customFormat="false" ht="15.75" hidden="false" customHeight="false" outlineLevel="0" collapsed="false">
      <c r="A889" s="174"/>
      <c r="B889" s="174"/>
      <c r="C889" s="174"/>
      <c r="D889" s="174"/>
      <c r="E889" s="174"/>
      <c r="F889" s="174"/>
      <c r="G889" s="174"/>
      <c r="H889" s="174"/>
      <c r="I889" s="174"/>
      <c r="J889" s="174"/>
      <c r="K889" s="174"/>
      <c r="L889" s="174"/>
      <c r="M889" s="174"/>
      <c r="N889" s="174"/>
      <c r="O889" s="174"/>
      <c r="P889" s="174"/>
      <c r="Q889" s="174"/>
      <c r="R889" s="174"/>
      <c r="S889" s="174"/>
      <c r="T889" s="174"/>
      <c r="U889" s="174"/>
      <c r="V889" s="174"/>
      <c r="W889" s="174"/>
      <c r="X889" s="174"/>
      <c r="Y889" s="174"/>
      <c r="Z889" s="174"/>
    </row>
    <row r="890" customFormat="false" ht="15.75" hidden="false" customHeight="false" outlineLevel="0" collapsed="false">
      <c r="A890" s="174"/>
      <c r="B890" s="174"/>
      <c r="C890" s="174"/>
      <c r="D890" s="174"/>
      <c r="E890" s="174"/>
      <c r="F890" s="174"/>
      <c r="G890" s="174"/>
      <c r="H890" s="174"/>
      <c r="I890" s="174"/>
      <c r="J890" s="174"/>
      <c r="K890" s="174"/>
      <c r="L890" s="174"/>
      <c r="M890" s="174"/>
      <c r="N890" s="174"/>
      <c r="O890" s="174"/>
      <c r="P890" s="174"/>
      <c r="Q890" s="174"/>
      <c r="R890" s="174"/>
      <c r="S890" s="174"/>
      <c r="T890" s="174"/>
      <c r="U890" s="174"/>
      <c r="V890" s="174"/>
      <c r="W890" s="174"/>
      <c r="X890" s="174"/>
      <c r="Y890" s="174"/>
      <c r="Z890" s="174"/>
    </row>
    <row r="891" customFormat="false" ht="15.75" hidden="false" customHeight="false" outlineLevel="0" collapsed="false">
      <c r="A891" s="174"/>
      <c r="B891" s="174"/>
      <c r="C891" s="174"/>
      <c r="D891" s="174"/>
      <c r="E891" s="174"/>
      <c r="F891" s="174"/>
      <c r="G891" s="174"/>
      <c r="H891" s="174"/>
      <c r="I891" s="174"/>
      <c r="J891" s="174"/>
      <c r="K891" s="174"/>
      <c r="L891" s="174"/>
      <c r="M891" s="174"/>
      <c r="N891" s="174"/>
      <c r="O891" s="174"/>
      <c r="P891" s="174"/>
      <c r="Q891" s="174"/>
      <c r="R891" s="174"/>
      <c r="S891" s="174"/>
      <c r="T891" s="174"/>
      <c r="U891" s="174"/>
      <c r="V891" s="174"/>
      <c r="W891" s="174"/>
      <c r="X891" s="174"/>
      <c r="Y891" s="174"/>
      <c r="Z891" s="174"/>
    </row>
    <row r="892" customFormat="false" ht="15.75" hidden="false" customHeight="false" outlineLevel="0" collapsed="false">
      <c r="A892" s="174"/>
      <c r="B892" s="174"/>
      <c r="C892" s="174"/>
      <c r="D892" s="174"/>
      <c r="E892" s="174"/>
      <c r="F892" s="174"/>
      <c r="G892" s="174"/>
      <c r="H892" s="174"/>
      <c r="I892" s="174"/>
      <c r="J892" s="174"/>
      <c r="K892" s="174"/>
      <c r="L892" s="174"/>
      <c r="M892" s="174"/>
      <c r="N892" s="174"/>
      <c r="O892" s="174"/>
      <c r="P892" s="174"/>
      <c r="Q892" s="174"/>
      <c r="R892" s="174"/>
      <c r="S892" s="174"/>
      <c r="T892" s="174"/>
      <c r="U892" s="174"/>
      <c r="V892" s="174"/>
      <c r="W892" s="174"/>
      <c r="X892" s="174"/>
      <c r="Y892" s="174"/>
      <c r="Z892" s="174"/>
    </row>
    <row r="893" customFormat="false" ht="15.75" hidden="false" customHeight="false" outlineLevel="0" collapsed="false">
      <c r="A893" s="174"/>
      <c r="B893" s="174"/>
      <c r="C893" s="174"/>
      <c r="D893" s="174"/>
      <c r="E893" s="174"/>
      <c r="F893" s="174"/>
      <c r="G893" s="174"/>
      <c r="H893" s="174"/>
      <c r="I893" s="174"/>
      <c r="J893" s="174"/>
      <c r="K893" s="174"/>
      <c r="L893" s="174"/>
      <c r="M893" s="174"/>
      <c r="N893" s="174"/>
      <c r="O893" s="174"/>
      <c r="P893" s="174"/>
      <c r="Q893" s="174"/>
      <c r="R893" s="174"/>
      <c r="S893" s="174"/>
      <c r="T893" s="174"/>
      <c r="U893" s="174"/>
      <c r="V893" s="174"/>
      <c r="W893" s="174"/>
      <c r="X893" s="174"/>
      <c r="Y893" s="174"/>
      <c r="Z893" s="174"/>
    </row>
    <row r="894" customFormat="false" ht="15.75" hidden="false" customHeight="false" outlineLevel="0" collapsed="false">
      <c r="A894" s="174"/>
      <c r="B894" s="174"/>
      <c r="C894" s="174"/>
      <c r="D894" s="174"/>
      <c r="E894" s="174"/>
      <c r="F894" s="174"/>
      <c r="G894" s="174"/>
      <c r="H894" s="174"/>
      <c r="I894" s="174"/>
      <c r="J894" s="174"/>
      <c r="K894" s="174"/>
      <c r="L894" s="174"/>
      <c r="M894" s="174"/>
      <c r="N894" s="174"/>
      <c r="O894" s="174"/>
      <c r="P894" s="174"/>
      <c r="Q894" s="174"/>
      <c r="R894" s="174"/>
      <c r="S894" s="174"/>
      <c r="T894" s="174"/>
      <c r="U894" s="174"/>
      <c r="V894" s="174"/>
      <c r="W894" s="174"/>
      <c r="X894" s="174"/>
      <c r="Y894" s="174"/>
      <c r="Z894" s="174"/>
    </row>
    <row r="895" customFormat="false" ht="15.75" hidden="false" customHeight="false" outlineLevel="0" collapsed="false">
      <c r="A895" s="174"/>
      <c r="B895" s="174"/>
      <c r="C895" s="174"/>
      <c r="D895" s="174"/>
      <c r="E895" s="174"/>
      <c r="F895" s="174"/>
      <c r="G895" s="174"/>
      <c r="H895" s="174"/>
      <c r="I895" s="174"/>
      <c r="J895" s="174"/>
      <c r="K895" s="174"/>
      <c r="L895" s="174"/>
      <c r="M895" s="174"/>
      <c r="N895" s="174"/>
      <c r="O895" s="174"/>
      <c r="P895" s="174"/>
      <c r="Q895" s="174"/>
      <c r="R895" s="174"/>
      <c r="S895" s="174"/>
      <c r="T895" s="174"/>
      <c r="U895" s="174"/>
      <c r="V895" s="174"/>
      <c r="W895" s="174"/>
      <c r="X895" s="174"/>
      <c r="Y895" s="174"/>
      <c r="Z895" s="174"/>
    </row>
    <row r="896" customFormat="false" ht="15.75" hidden="false" customHeight="false" outlineLevel="0" collapsed="false">
      <c r="A896" s="174"/>
      <c r="B896" s="174"/>
      <c r="C896" s="174"/>
      <c r="D896" s="174"/>
      <c r="E896" s="174"/>
      <c r="F896" s="174"/>
      <c r="G896" s="174"/>
      <c r="H896" s="174"/>
      <c r="I896" s="174"/>
      <c r="J896" s="174"/>
      <c r="K896" s="174"/>
      <c r="L896" s="174"/>
      <c r="M896" s="174"/>
      <c r="N896" s="174"/>
      <c r="O896" s="174"/>
      <c r="P896" s="174"/>
      <c r="Q896" s="174"/>
      <c r="R896" s="174"/>
      <c r="S896" s="174"/>
      <c r="T896" s="174"/>
      <c r="U896" s="174"/>
      <c r="V896" s="174"/>
      <c r="W896" s="174"/>
      <c r="X896" s="174"/>
      <c r="Y896" s="174"/>
      <c r="Z896" s="174"/>
    </row>
    <row r="897" customFormat="false" ht="15.75" hidden="false" customHeight="false" outlineLevel="0" collapsed="false">
      <c r="A897" s="174"/>
      <c r="B897" s="174"/>
      <c r="C897" s="174"/>
      <c r="D897" s="174"/>
      <c r="E897" s="174"/>
      <c r="F897" s="174"/>
      <c r="G897" s="174"/>
      <c r="H897" s="174"/>
      <c r="I897" s="174"/>
      <c r="J897" s="174"/>
      <c r="K897" s="174"/>
      <c r="L897" s="174"/>
      <c r="M897" s="174"/>
      <c r="N897" s="174"/>
      <c r="O897" s="174"/>
      <c r="P897" s="174"/>
      <c r="Q897" s="174"/>
      <c r="R897" s="174"/>
      <c r="S897" s="174"/>
      <c r="T897" s="174"/>
      <c r="U897" s="174"/>
      <c r="V897" s="174"/>
      <c r="W897" s="174"/>
      <c r="X897" s="174"/>
      <c r="Y897" s="174"/>
      <c r="Z897" s="174"/>
    </row>
    <row r="898" customFormat="false" ht="15.75" hidden="false" customHeight="false" outlineLevel="0" collapsed="false">
      <c r="A898" s="174"/>
      <c r="B898" s="174"/>
      <c r="C898" s="174"/>
      <c r="D898" s="174"/>
      <c r="E898" s="174"/>
      <c r="F898" s="174"/>
      <c r="G898" s="174"/>
      <c r="H898" s="174"/>
      <c r="I898" s="174"/>
      <c r="J898" s="174"/>
      <c r="K898" s="174"/>
      <c r="L898" s="174"/>
      <c r="M898" s="174"/>
      <c r="N898" s="174"/>
      <c r="O898" s="174"/>
      <c r="P898" s="174"/>
      <c r="Q898" s="174"/>
      <c r="R898" s="174"/>
      <c r="S898" s="174"/>
      <c r="T898" s="174"/>
      <c r="U898" s="174"/>
      <c r="V898" s="174"/>
      <c r="W898" s="174"/>
      <c r="X898" s="174"/>
      <c r="Y898" s="174"/>
      <c r="Z898" s="174"/>
    </row>
    <row r="899" customFormat="false" ht="15.75" hidden="false" customHeight="false" outlineLevel="0" collapsed="false">
      <c r="A899" s="174"/>
      <c r="B899" s="174"/>
      <c r="C899" s="174"/>
      <c r="D899" s="174"/>
      <c r="E899" s="174"/>
      <c r="F899" s="174"/>
      <c r="G899" s="174"/>
      <c r="H899" s="174"/>
      <c r="I899" s="174"/>
      <c r="J899" s="174"/>
      <c r="K899" s="174"/>
      <c r="L899" s="174"/>
      <c r="M899" s="174"/>
      <c r="N899" s="174"/>
      <c r="O899" s="174"/>
      <c r="P899" s="174"/>
      <c r="Q899" s="174"/>
      <c r="R899" s="174"/>
      <c r="S899" s="174"/>
      <c r="T899" s="174"/>
      <c r="U899" s="174"/>
      <c r="V899" s="174"/>
      <c r="W899" s="174"/>
      <c r="X899" s="174"/>
      <c r="Y899" s="174"/>
      <c r="Z899" s="174"/>
    </row>
    <row r="900" customFormat="false" ht="15.75" hidden="false" customHeight="false" outlineLevel="0" collapsed="false">
      <c r="A900" s="174"/>
      <c r="B900" s="174"/>
      <c r="C900" s="174"/>
      <c r="D900" s="174"/>
      <c r="E900" s="174"/>
      <c r="F900" s="174"/>
      <c r="G900" s="174"/>
      <c r="H900" s="174"/>
      <c r="I900" s="174"/>
      <c r="J900" s="174"/>
      <c r="K900" s="174"/>
      <c r="L900" s="174"/>
      <c r="M900" s="174"/>
      <c r="N900" s="174"/>
      <c r="O900" s="174"/>
      <c r="P900" s="174"/>
      <c r="Q900" s="174"/>
      <c r="R900" s="174"/>
      <c r="S900" s="174"/>
      <c r="T900" s="174"/>
      <c r="U900" s="174"/>
      <c r="V900" s="174"/>
      <c r="W900" s="174"/>
      <c r="X900" s="174"/>
      <c r="Y900" s="174"/>
      <c r="Z900" s="174"/>
    </row>
    <row r="901" customFormat="false" ht="15.75" hidden="false" customHeight="false" outlineLevel="0" collapsed="false">
      <c r="A901" s="174"/>
      <c r="B901" s="174"/>
      <c r="C901" s="174"/>
      <c r="D901" s="174"/>
      <c r="E901" s="174"/>
      <c r="F901" s="174"/>
      <c r="G901" s="174"/>
      <c r="H901" s="174"/>
      <c r="I901" s="174"/>
      <c r="J901" s="174"/>
      <c r="K901" s="174"/>
      <c r="L901" s="174"/>
      <c r="M901" s="174"/>
      <c r="N901" s="174"/>
      <c r="O901" s="174"/>
      <c r="P901" s="174"/>
      <c r="Q901" s="174"/>
      <c r="R901" s="174"/>
      <c r="S901" s="174"/>
      <c r="T901" s="174"/>
      <c r="U901" s="174"/>
      <c r="V901" s="174"/>
      <c r="W901" s="174"/>
      <c r="X901" s="174"/>
      <c r="Y901" s="174"/>
      <c r="Z901" s="174"/>
    </row>
    <row r="902" customFormat="false" ht="15.75" hidden="false" customHeight="false" outlineLevel="0" collapsed="false">
      <c r="A902" s="174"/>
      <c r="B902" s="174"/>
      <c r="C902" s="174"/>
      <c r="D902" s="174"/>
      <c r="E902" s="174"/>
      <c r="F902" s="174"/>
      <c r="G902" s="174"/>
      <c r="H902" s="174"/>
      <c r="I902" s="174"/>
      <c r="J902" s="174"/>
      <c r="K902" s="174"/>
      <c r="L902" s="174"/>
      <c r="M902" s="174"/>
      <c r="N902" s="174"/>
      <c r="O902" s="174"/>
      <c r="P902" s="174"/>
      <c r="Q902" s="174"/>
      <c r="R902" s="174"/>
      <c r="S902" s="174"/>
      <c r="T902" s="174"/>
      <c r="U902" s="174"/>
      <c r="V902" s="174"/>
      <c r="W902" s="174"/>
      <c r="X902" s="174"/>
      <c r="Y902" s="174"/>
      <c r="Z902" s="174"/>
    </row>
    <row r="903" customFormat="false" ht="15.75" hidden="false" customHeight="false" outlineLevel="0" collapsed="false">
      <c r="A903" s="174"/>
      <c r="B903" s="174"/>
      <c r="C903" s="174"/>
      <c r="D903" s="174"/>
      <c r="E903" s="174"/>
      <c r="F903" s="174"/>
      <c r="G903" s="174"/>
      <c r="H903" s="174"/>
      <c r="I903" s="174"/>
      <c r="J903" s="174"/>
      <c r="K903" s="174"/>
      <c r="L903" s="174"/>
      <c r="M903" s="174"/>
      <c r="N903" s="174"/>
      <c r="O903" s="174"/>
      <c r="P903" s="174"/>
      <c r="Q903" s="174"/>
      <c r="R903" s="174"/>
      <c r="S903" s="174"/>
      <c r="T903" s="174"/>
      <c r="U903" s="174"/>
      <c r="V903" s="174"/>
      <c r="W903" s="174"/>
      <c r="X903" s="174"/>
      <c r="Y903" s="174"/>
      <c r="Z903" s="174"/>
    </row>
    <row r="904" customFormat="false" ht="15.75" hidden="false" customHeight="false" outlineLevel="0" collapsed="false">
      <c r="A904" s="174"/>
      <c r="B904" s="174"/>
      <c r="C904" s="174"/>
      <c r="D904" s="174"/>
      <c r="E904" s="174"/>
      <c r="F904" s="174"/>
      <c r="G904" s="174"/>
      <c r="H904" s="174"/>
      <c r="I904" s="174"/>
      <c r="J904" s="174"/>
      <c r="K904" s="174"/>
      <c r="L904" s="174"/>
      <c r="M904" s="174"/>
      <c r="N904" s="174"/>
      <c r="O904" s="174"/>
      <c r="P904" s="174"/>
      <c r="Q904" s="174"/>
      <c r="R904" s="174"/>
      <c r="S904" s="174"/>
      <c r="T904" s="174"/>
      <c r="U904" s="174"/>
      <c r="V904" s="174"/>
      <c r="W904" s="174"/>
      <c r="X904" s="174"/>
      <c r="Y904" s="174"/>
      <c r="Z904" s="174"/>
    </row>
    <row r="905" customFormat="false" ht="15.75" hidden="false" customHeight="false" outlineLevel="0" collapsed="false">
      <c r="A905" s="174"/>
      <c r="B905" s="174"/>
      <c r="C905" s="174"/>
      <c r="D905" s="174"/>
      <c r="E905" s="174"/>
      <c r="F905" s="174"/>
      <c r="G905" s="174"/>
      <c r="H905" s="174"/>
      <c r="I905" s="174"/>
      <c r="J905" s="174"/>
      <c r="K905" s="174"/>
      <c r="L905" s="174"/>
      <c r="M905" s="174"/>
      <c r="N905" s="174"/>
      <c r="O905" s="174"/>
      <c r="P905" s="174"/>
      <c r="Q905" s="174"/>
      <c r="R905" s="174"/>
      <c r="S905" s="174"/>
      <c r="T905" s="174"/>
      <c r="U905" s="174"/>
      <c r="V905" s="174"/>
      <c r="W905" s="174"/>
      <c r="X905" s="174"/>
      <c r="Y905" s="174"/>
      <c r="Z905" s="174"/>
    </row>
    <row r="906" customFormat="false" ht="15.75" hidden="false" customHeight="false" outlineLevel="0" collapsed="false">
      <c r="A906" s="174"/>
      <c r="B906" s="174"/>
      <c r="C906" s="174"/>
      <c r="D906" s="174"/>
      <c r="E906" s="174"/>
      <c r="F906" s="174"/>
      <c r="G906" s="174"/>
      <c r="H906" s="174"/>
      <c r="I906" s="174"/>
      <c r="J906" s="174"/>
      <c r="K906" s="174"/>
      <c r="L906" s="174"/>
      <c r="M906" s="174"/>
      <c r="N906" s="174"/>
      <c r="O906" s="174"/>
      <c r="P906" s="174"/>
      <c r="Q906" s="174"/>
      <c r="R906" s="174"/>
      <c r="S906" s="174"/>
      <c r="T906" s="174"/>
      <c r="U906" s="174"/>
      <c r="V906" s="174"/>
      <c r="W906" s="174"/>
      <c r="X906" s="174"/>
      <c r="Y906" s="174"/>
      <c r="Z906" s="174"/>
    </row>
    <row r="907" customFormat="false" ht="15.75" hidden="false" customHeight="false" outlineLevel="0" collapsed="false">
      <c r="A907" s="174"/>
      <c r="B907" s="174"/>
      <c r="C907" s="174"/>
      <c r="D907" s="174"/>
      <c r="E907" s="174"/>
      <c r="F907" s="174"/>
      <c r="G907" s="174"/>
      <c r="H907" s="174"/>
      <c r="I907" s="174"/>
      <c r="J907" s="174"/>
      <c r="K907" s="174"/>
      <c r="L907" s="174"/>
      <c r="M907" s="174"/>
      <c r="N907" s="174"/>
      <c r="O907" s="174"/>
      <c r="P907" s="174"/>
      <c r="Q907" s="174"/>
      <c r="R907" s="174"/>
      <c r="S907" s="174"/>
      <c r="T907" s="174"/>
      <c r="U907" s="174"/>
      <c r="V907" s="174"/>
      <c r="W907" s="174"/>
      <c r="X907" s="174"/>
      <c r="Y907" s="174"/>
      <c r="Z907" s="174"/>
    </row>
    <row r="908" customFormat="false" ht="15.75" hidden="false" customHeight="false" outlineLevel="0" collapsed="false">
      <c r="A908" s="174"/>
      <c r="B908" s="174"/>
      <c r="C908" s="174"/>
      <c r="D908" s="174"/>
      <c r="E908" s="174"/>
      <c r="F908" s="174"/>
      <c r="G908" s="174"/>
      <c r="H908" s="174"/>
      <c r="I908" s="174"/>
      <c r="J908" s="174"/>
      <c r="K908" s="174"/>
      <c r="L908" s="174"/>
      <c r="M908" s="174"/>
      <c r="N908" s="174"/>
      <c r="O908" s="174"/>
      <c r="P908" s="174"/>
      <c r="Q908" s="174"/>
      <c r="R908" s="174"/>
      <c r="S908" s="174"/>
      <c r="T908" s="174"/>
      <c r="U908" s="174"/>
      <c r="V908" s="174"/>
      <c r="W908" s="174"/>
      <c r="X908" s="174"/>
      <c r="Y908" s="174"/>
      <c r="Z908" s="174"/>
    </row>
    <row r="909" customFormat="false" ht="15.75" hidden="false" customHeight="false" outlineLevel="0" collapsed="false">
      <c r="A909" s="174"/>
      <c r="B909" s="174"/>
      <c r="C909" s="174"/>
      <c r="D909" s="174"/>
      <c r="E909" s="174"/>
      <c r="F909" s="174"/>
      <c r="G909" s="174"/>
      <c r="H909" s="174"/>
      <c r="I909" s="174"/>
      <c r="J909" s="174"/>
      <c r="K909" s="174"/>
      <c r="L909" s="174"/>
      <c r="M909" s="174"/>
      <c r="N909" s="174"/>
      <c r="O909" s="174"/>
      <c r="P909" s="174"/>
      <c r="Q909" s="174"/>
      <c r="R909" s="174"/>
      <c r="S909" s="174"/>
      <c r="T909" s="174"/>
      <c r="U909" s="174"/>
      <c r="V909" s="174"/>
      <c r="W909" s="174"/>
      <c r="X909" s="174"/>
      <c r="Y909" s="174"/>
      <c r="Z909" s="174"/>
    </row>
    <row r="910" customFormat="false" ht="15.75" hidden="false" customHeight="false" outlineLevel="0" collapsed="false">
      <c r="A910" s="174"/>
      <c r="B910" s="174"/>
      <c r="C910" s="174"/>
      <c r="D910" s="174"/>
      <c r="E910" s="174"/>
      <c r="F910" s="174"/>
      <c r="G910" s="174"/>
      <c r="H910" s="174"/>
      <c r="I910" s="174"/>
      <c r="J910" s="174"/>
      <c r="K910" s="174"/>
      <c r="L910" s="174"/>
      <c r="M910" s="174"/>
      <c r="N910" s="174"/>
      <c r="O910" s="174"/>
      <c r="P910" s="174"/>
      <c r="Q910" s="174"/>
      <c r="R910" s="174"/>
      <c r="S910" s="174"/>
      <c r="T910" s="174"/>
      <c r="U910" s="174"/>
      <c r="V910" s="174"/>
      <c r="W910" s="174"/>
      <c r="X910" s="174"/>
      <c r="Y910" s="174"/>
      <c r="Z910" s="174"/>
    </row>
    <row r="911" customFormat="false" ht="15.75" hidden="false" customHeight="false" outlineLevel="0" collapsed="false">
      <c r="A911" s="174"/>
      <c r="B911" s="174"/>
      <c r="C911" s="174"/>
      <c r="D911" s="174"/>
      <c r="E911" s="174"/>
      <c r="F911" s="174"/>
      <c r="G911" s="174"/>
      <c r="H911" s="174"/>
      <c r="I911" s="174"/>
      <c r="J911" s="174"/>
      <c r="K911" s="174"/>
      <c r="L911" s="174"/>
      <c r="M911" s="174"/>
      <c r="N911" s="174"/>
      <c r="O911" s="174"/>
      <c r="P911" s="174"/>
      <c r="Q911" s="174"/>
      <c r="R911" s="174"/>
      <c r="S911" s="174"/>
      <c r="T911" s="174"/>
      <c r="U911" s="174"/>
      <c r="V911" s="174"/>
      <c r="W911" s="174"/>
      <c r="X911" s="174"/>
      <c r="Y911" s="174"/>
      <c r="Z911" s="174"/>
    </row>
    <row r="912" customFormat="false" ht="15.75" hidden="false" customHeight="false" outlineLevel="0" collapsed="false">
      <c r="A912" s="174"/>
      <c r="B912" s="174"/>
      <c r="C912" s="174"/>
      <c r="D912" s="174"/>
      <c r="E912" s="174"/>
      <c r="F912" s="174"/>
      <c r="G912" s="174"/>
      <c r="H912" s="174"/>
      <c r="I912" s="174"/>
      <c r="J912" s="174"/>
      <c r="K912" s="174"/>
      <c r="L912" s="174"/>
      <c r="M912" s="174"/>
      <c r="N912" s="174"/>
      <c r="O912" s="174"/>
      <c r="P912" s="174"/>
      <c r="Q912" s="174"/>
      <c r="R912" s="174"/>
      <c r="S912" s="174"/>
      <c r="T912" s="174"/>
      <c r="U912" s="174"/>
      <c r="V912" s="174"/>
      <c r="W912" s="174"/>
      <c r="X912" s="174"/>
      <c r="Y912" s="174"/>
      <c r="Z912" s="174"/>
    </row>
    <row r="913" customFormat="false" ht="15.75" hidden="false" customHeight="false" outlineLevel="0" collapsed="false">
      <c r="A913" s="174"/>
      <c r="B913" s="174"/>
      <c r="C913" s="174"/>
      <c r="D913" s="174"/>
      <c r="E913" s="174"/>
      <c r="F913" s="174"/>
      <c r="G913" s="174"/>
      <c r="H913" s="174"/>
      <c r="I913" s="174"/>
      <c r="J913" s="174"/>
      <c r="K913" s="174"/>
      <c r="L913" s="174"/>
      <c r="M913" s="174"/>
      <c r="N913" s="174"/>
      <c r="O913" s="174"/>
      <c r="P913" s="174"/>
      <c r="Q913" s="174"/>
      <c r="R913" s="174"/>
      <c r="S913" s="174"/>
      <c r="T913" s="174"/>
      <c r="U913" s="174"/>
      <c r="V913" s="174"/>
      <c r="W913" s="174"/>
      <c r="X913" s="174"/>
      <c r="Y913" s="174"/>
      <c r="Z913" s="174"/>
    </row>
    <row r="914" customFormat="false" ht="15.75" hidden="false" customHeight="false" outlineLevel="0" collapsed="false">
      <c r="A914" s="174"/>
      <c r="B914" s="174"/>
      <c r="C914" s="174"/>
      <c r="D914" s="174"/>
      <c r="E914" s="174"/>
      <c r="F914" s="174"/>
      <c r="G914" s="174"/>
      <c r="H914" s="174"/>
      <c r="I914" s="174"/>
      <c r="J914" s="174"/>
      <c r="K914" s="174"/>
      <c r="L914" s="174"/>
      <c r="M914" s="174"/>
      <c r="N914" s="174"/>
      <c r="O914" s="174"/>
      <c r="P914" s="174"/>
      <c r="Q914" s="174"/>
      <c r="R914" s="174"/>
      <c r="S914" s="174"/>
      <c r="T914" s="174"/>
      <c r="U914" s="174"/>
      <c r="V914" s="174"/>
      <c r="W914" s="174"/>
      <c r="X914" s="174"/>
      <c r="Y914" s="174"/>
      <c r="Z914" s="174"/>
    </row>
    <row r="915" customFormat="false" ht="15.75" hidden="false" customHeight="false" outlineLevel="0" collapsed="false">
      <c r="A915" s="174"/>
      <c r="B915" s="174"/>
      <c r="C915" s="174"/>
      <c r="D915" s="174"/>
      <c r="E915" s="174"/>
      <c r="F915" s="174"/>
      <c r="G915" s="174"/>
      <c r="H915" s="174"/>
      <c r="I915" s="174"/>
      <c r="J915" s="174"/>
      <c r="K915" s="174"/>
      <c r="L915" s="174"/>
      <c r="M915" s="174"/>
      <c r="N915" s="174"/>
      <c r="O915" s="174"/>
      <c r="P915" s="174"/>
      <c r="Q915" s="174"/>
      <c r="R915" s="174"/>
      <c r="S915" s="174"/>
      <c r="T915" s="174"/>
      <c r="U915" s="174"/>
      <c r="V915" s="174"/>
      <c r="W915" s="174"/>
      <c r="X915" s="174"/>
      <c r="Y915" s="174"/>
      <c r="Z915" s="174"/>
    </row>
    <row r="916" customFormat="false" ht="15.75" hidden="false" customHeight="false" outlineLevel="0" collapsed="false">
      <c r="A916" s="174"/>
      <c r="B916" s="174"/>
      <c r="C916" s="174"/>
      <c r="D916" s="174"/>
      <c r="E916" s="174"/>
      <c r="F916" s="174"/>
      <c r="G916" s="174"/>
      <c r="H916" s="174"/>
      <c r="I916" s="174"/>
      <c r="J916" s="174"/>
      <c r="K916" s="174"/>
      <c r="L916" s="174"/>
      <c r="M916" s="174"/>
      <c r="N916" s="174"/>
      <c r="O916" s="174"/>
      <c r="P916" s="174"/>
      <c r="Q916" s="174"/>
      <c r="R916" s="174"/>
      <c r="S916" s="174"/>
      <c r="T916" s="174"/>
      <c r="U916" s="174"/>
      <c r="V916" s="174"/>
      <c r="W916" s="174"/>
      <c r="X916" s="174"/>
      <c r="Y916" s="174"/>
      <c r="Z916" s="174"/>
    </row>
    <row r="917" customFormat="false" ht="15.75" hidden="false" customHeight="false" outlineLevel="0" collapsed="false">
      <c r="A917" s="174"/>
      <c r="B917" s="174"/>
      <c r="C917" s="174"/>
      <c r="D917" s="174"/>
      <c r="E917" s="174"/>
      <c r="F917" s="174"/>
      <c r="G917" s="174"/>
      <c r="H917" s="174"/>
      <c r="I917" s="174"/>
      <c r="J917" s="174"/>
      <c r="K917" s="174"/>
      <c r="L917" s="174"/>
      <c r="M917" s="174"/>
      <c r="N917" s="174"/>
      <c r="O917" s="174"/>
      <c r="P917" s="174"/>
      <c r="Q917" s="174"/>
      <c r="R917" s="174"/>
      <c r="S917" s="174"/>
      <c r="T917" s="174"/>
      <c r="U917" s="174"/>
      <c r="V917" s="174"/>
      <c r="W917" s="174"/>
      <c r="X917" s="174"/>
      <c r="Y917" s="174"/>
      <c r="Z917" s="174"/>
    </row>
    <row r="918" customFormat="false" ht="15.75" hidden="false" customHeight="false" outlineLevel="0" collapsed="false">
      <c r="A918" s="174"/>
      <c r="B918" s="174"/>
      <c r="C918" s="174"/>
      <c r="D918" s="174"/>
      <c r="E918" s="174"/>
      <c r="F918" s="174"/>
      <c r="G918" s="174"/>
      <c r="H918" s="174"/>
      <c r="I918" s="174"/>
      <c r="J918" s="174"/>
      <c r="K918" s="174"/>
      <c r="L918" s="174"/>
      <c r="M918" s="174"/>
      <c r="N918" s="174"/>
      <c r="O918" s="174"/>
      <c r="P918" s="174"/>
      <c r="Q918" s="174"/>
      <c r="R918" s="174"/>
      <c r="S918" s="174"/>
      <c r="T918" s="174"/>
      <c r="U918" s="174"/>
      <c r="V918" s="174"/>
      <c r="W918" s="174"/>
      <c r="X918" s="174"/>
      <c r="Y918" s="174"/>
      <c r="Z918" s="174"/>
    </row>
    <row r="919" customFormat="false" ht="15.75" hidden="false" customHeight="false" outlineLevel="0" collapsed="false">
      <c r="A919" s="174"/>
      <c r="B919" s="174"/>
      <c r="C919" s="174"/>
      <c r="D919" s="174"/>
      <c r="E919" s="174"/>
      <c r="F919" s="174"/>
      <c r="G919" s="174"/>
      <c r="H919" s="174"/>
      <c r="I919" s="174"/>
      <c r="J919" s="174"/>
      <c r="K919" s="174"/>
      <c r="L919" s="174"/>
      <c r="M919" s="174"/>
      <c r="N919" s="174"/>
      <c r="O919" s="174"/>
      <c r="P919" s="174"/>
      <c r="Q919" s="174"/>
      <c r="R919" s="174"/>
      <c r="S919" s="174"/>
      <c r="T919" s="174"/>
      <c r="U919" s="174"/>
      <c r="V919" s="174"/>
      <c r="W919" s="174"/>
      <c r="X919" s="174"/>
      <c r="Y919" s="174"/>
      <c r="Z919" s="174"/>
    </row>
    <row r="920" customFormat="false" ht="15.75" hidden="false" customHeight="false" outlineLevel="0" collapsed="false">
      <c r="A920" s="174"/>
      <c r="B920" s="174"/>
      <c r="C920" s="174"/>
      <c r="D920" s="174"/>
      <c r="E920" s="174"/>
      <c r="F920" s="174"/>
      <c r="G920" s="174"/>
      <c r="H920" s="174"/>
      <c r="I920" s="174"/>
      <c r="J920" s="174"/>
      <c r="K920" s="174"/>
      <c r="L920" s="174"/>
      <c r="M920" s="174"/>
      <c r="N920" s="174"/>
      <c r="O920" s="174"/>
      <c r="P920" s="174"/>
      <c r="Q920" s="174"/>
      <c r="R920" s="174"/>
      <c r="S920" s="174"/>
      <c r="T920" s="174"/>
      <c r="U920" s="174"/>
      <c r="V920" s="174"/>
      <c r="W920" s="174"/>
      <c r="X920" s="174"/>
      <c r="Y920" s="174"/>
      <c r="Z920" s="174"/>
    </row>
    <row r="921" customFormat="false" ht="15.75" hidden="false" customHeight="false" outlineLevel="0" collapsed="false">
      <c r="A921" s="174"/>
      <c r="B921" s="174"/>
      <c r="C921" s="174"/>
      <c r="D921" s="174"/>
      <c r="E921" s="174"/>
      <c r="F921" s="174"/>
      <c r="G921" s="174"/>
      <c r="H921" s="174"/>
      <c r="I921" s="174"/>
      <c r="J921" s="174"/>
      <c r="K921" s="174"/>
      <c r="L921" s="174"/>
      <c r="M921" s="174"/>
      <c r="N921" s="174"/>
      <c r="O921" s="174"/>
      <c r="P921" s="174"/>
      <c r="Q921" s="174"/>
      <c r="R921" s="174"/>
      <c r="S921" s="174"/>
      <c r="T921" s="174"/>
      <c r="U921" s="174"/>
      <c r="V921" s="174"/>
      <c r="W921" s="174"/>
      <c r="X921" s="174"/>
      <c r="Y921" s="174"/>
      <c r="Z921" s="174"/>
    </row>
    <row r="922" customFormat="false" ht="15.75" hidden="false" customHeight="false" outlineLevel="0" collapsed="false">
      <c r="A922" s="174"/>
      <c r="B922" s="174"/>
      <c r="C922" s="174"/>
      <c r="D922" s="174"/>
      <c r="E922" s="174"/>
      <c r="F922" s="174"/>
      <c r="G922" s="174"/>
      <c r="H922" s="174"/>
      <c r="I922" s="174"/>
      <c r="J922" s="174"/>
      <c r="K922" s="174"/>
      <c r="L922" s="174"/>
      <c r="M922" s="174"/>
      <c r="N922" s="174"/>
      <c r="O922" s="174"/>
      <c r="P922" s="174"/>
      <c r="Q922" s="174"/>
      <c r="R922" s="174"/>
      <c r="S922" s="174"/>
      <c r="T922" s="174"/>
      <c r="U922" s="174"/>
      <c r="V922" s="174"/>
      <c r="W922" s="174"/>
      <c r="X922" s="174"/>
      <c r="Y922" s="174"/>
      <c r="Z922" s="174"/>
    </row>
    <row r="923" customFormat="false" ht="15.75" hidden="false" customHeight="false" outlineLevel="0" collapsed="false">
      <c r="A923" s="174"/>
      <c r="B923" s="174"/>
      <c r="C923" s="174"/>
      <c r="D923" s="174"/>
      <c r="E923" s="174"/>
      <c r="F923" s="174"/>
      <c r="G923" s="174"/>
      <c r="H923" s="174"/>
      <c r="I923" s="174"/>
      <c r="J923" s="174"/>
      <c r="K923" s="174"/>
      <c r="L923" s="174"/>
      <c r="M923" s="174"/>
      <c r="N923" s="174"/>
      <c r="O923" s="174"/>
      <c r="P923" s="174"/>
      <c r="Q923" s="174"/>
      <c r="R923" s="174"/>
      <c r="S923" s="174"/>
      <c r="T923" s="174"/>
      <c r="U923" s="174"/>
      <c r="V923" s="174"/>
      <c r="W923" s="174"/>
      <c r="X923" s="174"/>
      <c r="Y923" s="174"/>
      <c r="Z923" s="174"/>
    </row>
    <row r="924" customFormat="false" ht="15.75" hidden="false" customHeight="false" outlineLevel="0" collapsed="false">
      <c r="A924" s="174"/>
      <c r="B924" s="174"/>
      <c r="C924" s="174"/>
      <c r="D924" s="174"/>
      <c r="E924" s="174"/>
      <c r="F924" s="174"/>
      <c r="G924" s="174"/>
      <c r="H924" s="174"/>
      <c r="I924" s="174"/>
      <c r="J924" s="174"/>
      <c r="K924" s="174"/>
      <c r="L924" s="174"/>
      <c r="M924" s="174"/>
      <c r="N924" s="174"/>
      <c r="O924" s="174"/>
      <c r="P924" s="174"/>
      <c r="Q924" s="174"/>
      <c r="R924" s="174"/>
      <c r="S924" s="174"/>
      <c r="T924" s="174"/>
      <c r="U924" s="174"/>
      <c r="V924" s="174"/>
      <c r="W924" s="174"/>
      <c r="X924" s="174"/>
      <c r="Y924" s="174"/>
      <c r="Z924" s="174"/>
    </row>
    <row r="925" customFormat="false" ht="15.75" hidden="false" customHeight="false" outlineLevel="0" collapsed="false">
      <c r="A925" s="174"/>
      <c r="B925" s="174"/>
      <c r="C925" s="174"/>
      <c r="D925" s="174"/>
      <c r="E925" s="174"/>
      <c r="F925" s="174"/>
      <c r="G925" s="174"/>
      <c r="H925" s="174"/>
      <c r="I925" s="174"/>
      <c r="J925" s="174"/>
      <c r="K925" s="174"/>
      <c r="L925" s="174"/>
      <c r="M925" s="174"/>
      <c r="N925" s="174"/>
      <c r="O925" s="174"/>
      <c r="P925" s="174"/>
      <c r="Q925" s="174"/>
      <c r="R925" s="174"/>
      <c r="S925" s="174"/>
      <c r="T925" s="174"/>
      <c r="U925" s="174"/>
      <c r="V925" s="174"/>
      <c r="W925" s="174"/>
      <c r="X925" s="174"/>
      <c r="Y925" s="174"/>
      <c r="Z925" s="174"/>
    </row>
    <row r="926" customFormat="false" ht="15.75" hidden="false" customHeight="false" outlineLevel="0" collapsed="false">
      <c r="A926" s="174"/>
      <c r="B926" s="174"/>
      <c r="C926" s="174"/>
      <c r="D926" s="174"/>
      <c r="E926" s="174"/>
      <c r="F926" s="174"/>
      <c r="G926" s="174"/>
      <c r="H926" s="174"/>
      <c r="I926" s="174"/>
      <c r="J926" s="174"/>
      <c r="K926" s="174"/>
      <c r="L926" s="174"/>
      <c r="M926" s="174"/>
      <c r="N926" s="174"/>
      <c r="O926" s="174"/>
      <c r="P926" s="174"/>
      <c r="Q926" s="174"/>
      <c r="R926" s="174"/>
      <c r="S926" s="174"/>
      <c r="T926" s="174"/>
      <c r="U926" s="174"/>
      <c r="V926" s="174"/>
      <c r="W926" s="174"/>
      <c r="X926" s="174"/>
      <c r="Y926" s="174"/>
      <c r="Z926" s="174"/>
    </row>
    <row r="927" customFormat="false" ht="15.75" hidden="false" customHeight="false" outlineLevel="0" collapsed="false">
      <c r="A927" s="174"/>
      <c r="B927" s="174"/>
      <c r="C927" s="174"/>
      <c r="D927" s="174"/>
      <c r="E927" s="174"/>
      <c r="F927" s="174"/>
      <c r="G927" s="174"/>
      <c r="H927" s="174"/>
      <c r="I927" s="174"/>
      <c r="J927" s="174"/>
      <c r="K927" s="174"/>
      <c r="L927" s="174"/>
      <c r="M927" s="174"/>
      <c r="N927" s="174"/>
      <c r="O927" s="174"/>
      <c r="P927" s="174"/>
      <c r="Q927" s="174"/>
      <c r="R927" s="174"/>
      <c r="S927" s="174"/>
      <c r="T927" s="174"/>
      <c r="U927" s="174"/>
      <c r="V927" s="174"/>
      <c r="W927" s="174"/>
      <c r="X927" s="174"/>
      <c r="Y927" s="174"/>
      <c r="Z927" s="174"/>
    </row>
    <row r="928" customFormat="false" ht="15.75" hidden="false" customHeight="false" outlineLevel="0" collapsed="false">
      <c r="A928" s="174"/>
      <c r="B928" s="174"/>
      <c r="C928" s="174"/>
      <c r="D928" s="174"/>
      <c r="E928" s="174"/>
      <c r="F928" s="174"/>
      <c r="G928" s="174"/>
      <c r="H928" s="174"/>
      <c r="I928" s="174"/>
      <c r="J928" s="174"/>
      <c r="K928" s="174"/>
      <c r="L928" s="174"/>
      <c r="M928" s="174"/>
      <c r="N928" s="174"/>
      <c r="O928" s="174"/>
      <c r="P928" s="174"/>
      <c r="Q928" s="174"/>
      <c r="R928" s="174"/>
      <c r="S928" s="174"/>
      <c r="T928" s="174"/>
      <c r="U928" s="174"/>
      <c r="V928" s="174"/>
      <c r="W928" s="174"/>
      <c r="X928" s="174"/>
      <c r="Y928" s="174"/>
      <c r="Z928" s="174"/>
    </row>
    <row r="929" customFormat="false" ht="15.75" hidden="false" customHeight="false" outlineLevel="0" collapsed="false">
      <c r="A929" s="174"/>
      <c r="B929" s="174"/>
      <c r="C929" s="174"/>
      <c r="D929" s="174"/>
      <c r="E929" s="174"/>
      <c r="F929" s="174"/>
      <c r="G929" s="174"/>
      <c r="H929" s="174"/>
      <c r="I929" s="174"/>
      <c r="J929" s="174"/>
      <c r="K929" s="174"/>
      <c r="L929" s="174"/>
      <c r="M929" s="174"/>
      <c r="N929" s="174"/>
      <c r="O929" s="174"/>
      <c r="P929" s="174"/>
      <c r="Q929" s="174"/>
      <c r="R929" s="174"/>
      <c r="S929" s="174"/>
      <c r="T929" s="174"/>
      <c r="U929" s="174"/>
      <c r="V929" s="174"/>
      <c r="W929" s="174"/>
      <c r="X929" s="174"/>
      <c r="Y929" s="174"/>
      <c r="Z929" s="174"/>
    </row>
    <row r="930" customFormat="false" ht="15.75" hidden="false" customHeight="false" outlineLevel="0" collapsed="false">
      <c r="A930" s="174"/>
      <c r="B930" s="174"/>
      <c r="C930" s="174"/>
      <c r="D930" s="174"/>
      <c r="E930" s="174"/>
      <c r="F930" s="174"/>
      <c r="G930" s="174"/>
      <c r="H930" s="174"/>
      <c r="I930" s="174"/>
      <c r="J930" s="174"/>
      <c r="K930" s="174"/>
      <c r="L930" s="174"/>
      <c r="M930" s="174"/>
      <c r="N930" s="174"/>
      <c r="O930" s="174"/>
      <c r="P930" s="174"/>
      <c r="Q930" s="174"/>
      <c r="R930" s="174"/>
      <c r="S930" s="174"/>
      <c r="T930" s="174"/>
      <c r="U930" s="174"/>
      <c r="V930" s="174"/>
      <c r="W930" s="174"/>
      <c r="X930" s="174"/>
      <c r="Y930" s="174"/>
      <c r="Z930" s="174"/>
    </row>
    <row r="931" customFormat="false" ht="15.75" hidden="false" customHeight="false" outlineLevel="0" collapsed="false">
      <c r="A931" s="174"/>
      <c r="B931" s="174"/>
      <c r="C931" s="174"/>
      <c r="D931" s="174"/>
      <c r="E931" s="174"/>
      <c r="F931" s="174"/>
      <c r="G931" s="174"/>
      <c r="H931" s="174"/>
      <c r="I931" s="174"/>
      <c r="J931" s="174"/>
      <c r="K931" s="174"/>
      <c r="L931" s="174"/>
      <c r="M931" s="174"/>
      <c r="N931" s="174"/>
      <c r="O931" s="174"/>
      <c r="P931" s="174"/>
      <c r="Q931" s="174"/>
      <c r="R931" s="174"/>
      <c r="S931" s="174"/>
      <c r="T931" s="174"/>
      <c r="U931" s="174"/>
      <c r="V931" s="174"/>
      <c r="W931" s="174"/>
      <c r="X931" s="174"/>
      <c r="Y931" s="174"/>
      <c r="Z931" s="174"/>
    </row>
    <row r="932" customFormat="false" ht="15.75" hidden="false" customHeight="false" outlineLevel="0" collapsed="false">
      <c r="A932" s="174"/>
      <c r="B932" s="174"/>
      <c r="C932" s="174"/>
      <c r="D932" s="174"/>
      <c r="E932" s="174"/>
      <c r="F932" s="174"/>
      <c r="G932" s="174"/>
      <c r="H932" s="174"/>
      <c r="I932" s="174"/>
      <c r="J932" s="174"/>
      <c r="K932" s="174"/>
      <c r="L932" s="174"/>
      <c r="M932" s="174"/>
      <c r="N932" s="174"/>
      <c r="O932" s="174"/>
      <c r="P932" s="174"/>
      <c r="Q932" s="174"/>
      <c r="R932" s="174"/>
      <c r="S932" s="174"/>
      <c r="T932" s="174"/>
      <c r="U932" s="174"/>
      <c r="V932" s="174"/>
      <c r="W932" s="174"/>
      <c r="X932" s="174"/>
      <c r="Y932" s="174"/>
      <c r="Z932" s="174"/>
    </row>
    <row r="933" customFormat="false" ht="15.75" hidden="false" customHeight="false" outlineLevel="0" collapsed="false">
      <c r="A933" s="174"/>
      <c r="B933" s="174"/>
      <c r="C933" s="174"/>
      <c r="D933" s="174"/>
      <c r="E933" s="174"/>
      <c r="F933" s="174"/>
      <c r="G933" s="174"/>
      <c r="H933" s="174"/>
      <c r="I933" s="174"/>
      <c r="J933" s="174"/>
      <c r="K933" s="174"/>
      <c r="L933" s="174"/>
      <c r="M933" s="174"/>
      <c r="N933" s="174"/>
      <c r="O933" s="174"/>
      <c r="P933" s="174"/>
      <c r="Q933" s="174"/>
      <c r="R933" s="174"/>
      <c r="S933" s="174"/>
      <c r="T933" s="174"/>
      <c r="U933" s="174"/>
      <c r="V933" s="174"/>
      <c r="W933" s="174"/>
      <c r="X933" s="174"/>
      <c r="Y933" s="174"/>
      <c r="Z933" s="174"/>
    </row>
    <row r="934" customFormat="false" ht="15.75" hidden="false" customHeight="false" outlineLevel="0" collapsed="false">
      <c r="A934" s="174"/>
      <c r="B934" s="174"/>
      <c r="C934" s="174"/>
      <c r="D934" s="174"/>
      <c r="E934" s="174"/>
      <c r="F934" s="174"/>
      <c r="G934" s="174"/>
      <c r="H934" s="174"/>
      <c r="I934" s="174"/>
      <c r="J934" s="174"/>
      <c r="K934" s="174"/>
      <c r="L934" s="174"/>
      <c r="M934" s="174"/>
      <c r="N934" s="174"/>
      <c r="O934" s="174"/>
      <c r="P934" s="174"/>
      <c r="Q934" s="174"/>
      <c r="R934" s="174"/>
      <c r="S934" s="174"/>
      <c r="T934" s="174"/>
      <c r="U934" s="174"/>
      <c r="V934" s="174"/>
      <c r="W934" s="174"/>
      <c r="X934" s="174"/>
      <c r="Y934" s="174"/>
      <c r="Z934" s="174"/>
    </row>
    <row r="935" customFormat="false" ht="15.75" hidden="false" customHeight="false" outlineLevel="0" collapsed="false">
      <c r="A935" s="174"/>
      <c r="B935" s="174"/>
      <c r="C935" s="174"/>
      <c r="D935" s="174"/>
      <c r="E935" s="174"/>
      <c r="F935" s="174"/>
      <c r="G935" s="174"/>
      <c r="H935" s="174"/>
      <c r="I935" s="174"/>
      <c r="J935" s="174"/>
      <c r="K935" s="174"/>
      <c r="L935" s="174"/>
      <c r="M935" s="174"/>
      <c r="N935" s="174"/>
      <c r="O935" s="174"/>
      <c r="P935" s="174"/>
      <c r="Q935" s="174"/>
      <c r="R935" s="174"/>
      <c r="S935" s="174"/>
      <c r="T935" s="174"/>
      <c r="U935" s="174"/>
      <c r="V935" s="174"/>
      <c r="W935" s="174"/>
      <c r="X935" s="174"/>
      <c r="Y935" s="174"/>
      <c r="Z935" s="174"/>
    </row>
    <row r="936" customFormat="false" ht="15.75" hidden="false" customHeight="false" outlineLevel="0" collapsed="false">
      <c r="A936" s="174"/>
      <c r="B936" s="174"/>
      <c r="C936" s="174"/>
      <c r="D936" s="174"/>
      <c r="E936" s="174"/>
      <c r="F936" s="174"/>
      <c r="G936" s="174"/>
      <c r="H936" s="174"/>
      <c r="I936" s="174"/>
      <c r="J936" s="174"/>
      <c r="K936" s="174"/>
      <c r="L936" s="174"/>
      <c r="M936" s="174"/>
      <c r="N936" s="174"/>
      <c r="O936" s="174"/>
      <c r="P936" s="174"/>
      <c r="Q936" s="174"/>
      <c r="R936" s="174"/>
      <c r="S936" s="174"/>
      <c r="T936" s="174"/>
      <c r="U936" s="174"/>
      <c r="V936" s="174"/>
      <c r="W936" s="174"/>
      <c r="X936" s="174"/>
      <c r="Y936" s="174"/>
      <c r="Z936" s="174"/>
    </row>
    <row r="937" customFormat="false" ht="15.75" hidden="false" customHeight="false" outlineLevel="0" collapsed="false">
      <c r="A937" s="174"/>
      <c r="B937" s="174"/>
      <c r="C937" s="174"/>
      <c r="D937" s="174"/>
      <c r="E937" s="174"/>
      <c r="F937" s="174"/>
      <c r="G937" s="174"/>
      <c r="H937" s="174"/>
      <c r="I937" s="174"/>
      <c r="J937" s="174"/>
      <c r="K937" s="174"/>
      <c r="L937" s="174"/>
      <c r="M937" s="174"/>
      <c r="N937" s="174"/>
      <c r="O937" s="174"/>
      <c r="P937" s="174"/>
      <c r="Q937" s="174"/>
      <c r="R937" s="174"/>
      <c r="S937" s="174"/>
      <c r="T937" s="174"/>
      <c r="U937" s="174"/>
      <c r="V937" s="174"/>
      <c r="W937" s="174"/>
      <c r="X937" s="174"/>
      <c r="Y937" s="174"/>
      <c r="Z937" s="174"/>
    </row>
    <row r="938" customFormat="false" ht="15.75" hidden="false" customHeight="false" outlineLevel="0" collapsed="false">
      <c r="A938" s="174"/>
      <c r="B938" s="174"/>
      <c r="C938" s="174"/>
      <c r="D938" s="174"/>
      <c r="E938" s="174"/>
      <c r="F938" s="174"/>
      <c r="G938" s="174"/>
      <c r="H938" s="174"/>
      <c r="I938" s="174"/>
      <c r="J938" s="174"/>
      <c r="K938" s="174"/>
      <c r="L938" s="174"/>
      <c r="M938" s="174"/>
      <c r="N938" s="174"/>
      <c r="O938" s="174"/>
      <c r="P938" s="174"/>
      <c r="Q938" s="174"/>
      <c r="R938" s="174"/>
      <c r="S938" s="174"/>
      <c r="T938" s="174"/>
      <c r="U938" s="174"/>
      <c r="V938" s="174"/>
      <c r="W938" s="174"/>
      <c r="X938" s="174"/>
      <c r="Y938" s="174"/>
      <c r="Z938" s="174"/>
    </row>
    <row r="939" customFormat="false" ht="15.75" hidden="false" customHeight="false" outlineLevel="0" collapsed="false">
      <c r="A939" s="174"/>
      <c r="B939" s="174"/>
      <c r="C939" s="174"/>
      <c r="D939" s="174"/>
      <c r="E939" s="174"/>
      <c r="F939" s="174"/>
      <c r="G939" s="174"/>
      <c r="H939" s="174"/>
      <c r="I939" s="174"/>
      <c r="J939" s="174"/>
      <c r="K939" s="174"/>
      <c r="L939" s="174"/>
      <c r="M939" s="174"/>
      <c r="N939" s="174"/>
      <c r="O939" s="174"/>
      <c r="P939" s="174"/>
      <c r="Q939" s="174"/>
      <c r="R939" s="174"/>
      <c r="S939" s="174"/>
      <c r="T939" s="174"/>
      <c r="U939" s="174"/>
      <c r="V939" s="174"/>
      <c r="W939" s="174"/>
      <c r="X939" s="174"/>
      <c r="Y939" s="174"/>
      <c r="Z939" s="174"/>
    </row>
    <row r="940" customFormat="false" ht="15.75" hidden="false" customHeight="false" outlineLevel="0" collapsed="false">
      <c r="A940" s="174"/>
      <c r="B940" s="174"/>
      <c r="C940" s="174"/>
      <c r="D940" s="174"/>
      <c r="E940" s="174"/>
      <c r="F940" s="174"/>
      <c r="G940" s="174"/>
      <c r="H940" s="174"/>
      <c r="I940" s="174"/>
      <c r="J940" s="174"/>
      <c r="K940" s="174"/>
      <c r="L940" s="174"/>
      <c r="M940" s="174"/>
      <c r="N940" s="174"/>
      <c r="O940" s="174"/>
      <c r="P940" s="174"/>
      <c r="Q940" s="174"/>
      <c r="R940" s="174"/>
      <c r="S940" s="174"/>
      <c r="T940" s="174"/>
      <c r="U940" s="174"/>
      <c r="V940" s="174"/>
      <c r="W940" s="174"/>
      <c r="X940" s="174"/>
      <c r="Y940" s="174"/>
      <c r="Z940" s="174"/>
    </row>
    <row r="941" customFormat="false" ht="15.75" hidden="false" customHeight="false" outlineLevel="0" collapsed="false">
      <c r="A941" s="174"/>
      <c r="B941" s="174"/>
      <c r="C941" s="174"/>
      <c r="D941" s="174"/>
      <c r="E941" s="174"/>
      <c r="F941" s="174"/>
      <c r="G941" s="174"/>
      <c r="H941" s="174"/>
      <c r="I941" s="174"/>
      <c r="J941" s="174"/>
      <c r="K941" s="174"/>
      <c r="L941" s="174"/>
      <c r="M941" s="174"/>
      <c r="N941" s="174"/>
      <c r="O941" s="174"/>
      <c r="P941" s="174"/>
      <c r="Q941" s="174"/>
      <c r="R941" s="174"/>
      <c r="S941" s="174"/>
      <c r="T941" s="174"/>
      <c r="U941" s="174"/>
      <c r="V941" s="174"/>
      <c r="W941" s="174"/>
      <c r="X941" s="174"/>
      <c r="Y941" s="174"/>
      <c r="Z941" s="174"/>
    </row>
    <row r="942" customFormat="false" ht="15.75" hidden="false" customHeight="false" outlineLevel="0" collapsed="false">
      <c r="A942" s="174"/>
      <c r="B942" s="174"/>
      <c r="C942" s="174"/>
      <c r="D942" s="174"/>
      <c r="E942" s="174"/>
      <c r="F942" s="174"/>
      <c r="G942" s="174"/>
      <c r="H942" s="174"/>
      <c r="I942" s="174"/>
      <c r="J942" s="174"/>
      <c r="K942" s="174"/>
      <c r="L942" s="174"/>
      <c r="M942" s="174"/>
      <c r="N942" s="174"/>
      <c r="O942" s="174"/>
      <c r="P942" s="174"/>
      <c r="Q942" s="174"/>
      <c r="R942" s="174"/>
      <c r="S942" s="174"/>
      <c r="T942" s="174"/>
      <c r="U942" s="174"/>
      <c r="V942" s="174"/>
      <c r="W942" s="174"/>
      <c r="X942" s="174"/>
      <c r="Y942" s="174"/>
      <c r="Z942" s="174"/>
    </row>
    <row r="943" customFormat="false" ht="15.75" hidden="false" customHeight="false" outlineLevel="0" collapsed="false">
      <c r="A943" s="174"/>
      <c r="B943" s="174"/>
      <c r="C943" s="174"/>
      <c r="D943" s="174"/>
      <c r="E943" s="174"/>
      <c r="F943" s="174"/>
      <c r="G943" s="174"/>
      <c r="H943" s="174"/>
      <c r="I943" s="174"/>
      <c r="J943" s="174"/>
      <c r="K943" s="174"/>
      <c r="L943" s="174"/>
      <c r="M943" s="174"/>
      <c r="N943" s="174"/>
      <c r="O943" s="174"/>
      <c r="P943" s="174"/>
      <c r="Q943" s="174"/>
      <c r="R943" s="174"/>
      <c r="S943" s="174"/>
      <c r="T943" s="174"/>
      <c r="U943" s="174"/>
      <c r="V943" s="174"/>
      <c r="W943" s="174"/>
      <c r="X943" s="174"/>
      <c r="Y943" s="174"/>
      <c r="Z943" s="174"/>
    </row>
    <row r="944" customFormat="false" ht="15.75" hidden="false" customHeight="false" outlineLevel="0" collapsed="false">
      <c r="A944" s="174"/>
      <c r="B944" s="174"/>
      <c r="C944" s="174"/>
      <c r="D944" s="174"/>
      <c r="E944" s="174"/>
      <c r="F944" s="174"/>
      <c r="G944" s="174"/>
      <c r="H944" s="174"/>
      <c r="I944" s="174"/>
      <c r="J944" s="174"/>
      <c r="K944" s="174"/>
      <c r="L944" s="174"/>
      <c r="M944" s="174"/>
      <c r="N944" s="174"/>
      <c r="O944" s="174"/>
      <c r="P944" s="174"/>
      <c r="Q944" s="174"/>
      <c r="R944" s="174"/>
      <c r="S944" s="174"/>
      <c r="T944" s="174"/>
      <c r="U944" s="174"/>
      <c r="V944" s="174"/>
      <c r="W944" s="174"/>
      <c r="X944" s="174"/>
      <c r="Y944" s="174"/>
      <c r="Z944" s="174"/>
    </row>
    <row r="945" customFormat="false" ht="15.75" hidden="false" customHeight="false" outlineLevel="0" collapsed="false">
      <c r="A945" s="174"/>
      <c r="B945" s="174"/>
      <c r="C945" s="174"/>
      <c r="D945" s="174"/>
      <c r="E945" s="174"/>
      <c r="F945" s="174"/>
      <c r="G945" s="174"/>
      <c r="H945" s="174"/>
      <c r="I945" s="174"/>
      <c r="J945" s="174"/>
      <c r="K945" s="174"/>
      <c r="L945" s="174"/>
      <c r="M945" s="174"/>
      <c r="N945" s="174"/>
      <c r="O945" s="174"/>
      <c r="P945" s="174"/>
      <c r="Q945" s="174"/>
      <c r="R945" s="174"/>
      <c r="S945" s="174"/>
      <c r="T945" s="174"/>
      <c r="U945" s="174"/>
      <c r="V945" s="174"/>
      <c r="W945" s="174"/>
      <c r="X945" s="174"/>
      <c r="Y945" s="174"/>
      <c r="Z945" s="174"/>
    </row>
    <row r="946" customFormat="false" ht="15.75" hidden="false" customHeight="false" outlineLevel="0" collapsed="false">
      <c r="A946" s="174"/>
      <c r="B946" s="174"/>
      <c r="C946" s="174"/>
      <c r="D946" s="174"/>
      <c r="E946" s="174"/>
      <c r="F946" s="174"/>
      <c r="G946" s="174"/>
      <c r="H946" s="174"/>
      <c r="I946" s="174"/>
      <c r="J946" s="174"/>
      <c r="K946" s="174"/>
      <c r="L946" s="174"/>
      <c r="M946" s="174"/>
      <c r="N946" s="174"/>
      <c r="O946" s="174"/>
      <c r="P946" s="174"/>
      <c r="Q946" s="174"/>
      <c r="R946" s="174"/>
      <c r="S946" s="174"/>
      <c r="T946" s="174"/>
      <c r="U946" s="174"/>
      <c r="V946" s="174"/>
      <c r="W946" s="174"/>
      <c r="X946" s="174"/>
      <c r="Y946" s="174"/>
      <c r="Z946" s="174"/>
    </row>
    <row r="947" customFormat="false" ht="15.75" hidden="false" customHeight="false" outlineLevel="0" collapsed="false">
      <c r="A947" s="174"/>
      <c r="B947" s="174"/>
      <c r="C947" s="174"/>
      <c r="D947" s="174"/>
      <c r="E947" s="174"/>
      <c r="F947" s="174"/>
      <c r="G947" s="174"/>
      <c r="H947" s="174"/>
      <c r="I947" s="174"/>
      <c r="J947" s="174"/>
      <c r="K947" s="174"/>
      <c r="L947" s="174"/>
      <c r="M947" s="174"/>
      <c r="N947" s="174"/>
      <c r="O947" s="174"/>
      <c r="P947" s="174"/>
      <c r="Q947" s="174"/>
      <c r="R947" s="174"/>
      <c r="S947" s="174"/>
      <c r="T947" s="174"/>
      <c r="U947" s="174"/>
      <c r="V947" s="174"/>
      <c r="W947" s="174"/>
      <c r="X947" s="174"/>
      <c r="Y947" s="174"/>
      <c r="Z947" s="174"/>
    </row>
    <row r="948" customFormat="false" ht="15.75" hidden="false" customHeight="false" outlineLevel="0" collapsed="false">
      <c r="A948" s="174"/>
      <c r="B948" s="174"/>
      <c r="C948" s="174"/>
      <c r="D948" s="174"/>
      <c r="E948" s="174"/>
      <c r="F948" s="174"/>
      <c r="G948" s="174"/>
      <c r="H948" s="174"/>
      <c r="I948" s="174"/>
      <c r="J948" s="174"/>
      <c r="K948" s="174"/>
      <c r="L948" s="174"/>
      <c r="M948" s="174"/>
      <c r="N948" s="174"/>
      <c r="O948" s="174"/>
      <c r="P948" s="174"/>
      <c r="Q948" s="174"/>
      <c r="R948" s="174"/>
      <c r="S948" s="174"/>
      <c r="T948" s="174"/>
      <c r="U948" s="174"/>
      <c r="V948" s="174"/>
      <c r="W948" s="174"/>
      <c r="X948" s="174"/>
      <c r="Y948" s="174"/>
      <c r="Z948" s="174"/>
    </row>
    <row r="949" customFormat="false" ht="15.75" hidden="false" customHeight="false" outlineLevel="0" collapsed="false">
      <c r="A949" s="174"/>
      <c r="B949" s="174"/>
      <c r="C949" s="174"/>
      <c r="D949" s="174"/>
      <c r="E949" s="174"/>
      <c r="F949" s="174"/>
      <c r="G949" s="174"/>
      <c r="H949" s="174"/>
      <c r="I949" s="174"/>
      <c r="J949" s="174"/>
      <c r="K949" s="174"/>
      <c r="L949" s="174"/>
      <c r="M949" s="174"/>
      <c r="N949" s="174"/>
      <c r="O949" s="174"/>
      <c r="P949" s="174"/>
      <c r="Q949" s="174"/>
      <c r="R949" s="174"/>
      <c r="S949" s="174"/>
      <c r="T949" s="174"/>
      <c r="U949" s="174"/>
      <c r="V949" s="174"/>
      <c r="W949" s="174"/>
      <c r="X949" s="174"/>
      <c r="Y949" s="174"/>
      <c r="Z949" s="174"/>
    </row>
    <row r="950" customFormat="false" ht="15.75" hidden="false" customHeight="false" outlineLevel="0" collapsed="false">
      <c r="A950" s="174"/>
      <c r="B950" s="174"/>
      <c r="C950" s="174"/>
      <c r="D950" s="174"/>
      <c r="E950" s="174"/>
      <c r="F950" s="174"/>
      <c r="G950" s="174"/>
      <c r="H950" s="174"/>
      <c r="I950" s="174"/>
      <c r="J950" s="174"/>
      <c r="K950" s="174"/>
      <c r="L950" s="174"/>
      <c r="M950" s="174"/>
      <c r="N950" s="174"/>
      <c r="O950" s="174"/>
      <c r="P950" s="174"/>
      <c r="Q950" s="174"/>
      <c r="R950" s="174"/>
      <c r="S950" s="174"/>
      <c r="T950" s="174"/>
      <c r="U950" s="174"/>
      <c r="V950" s="174"/>
      <c r="W950" s="174"/>
      <c r="X950" s="174"/>
      <c r="Y950" s="174"/>
      <c r="Z950" s="174"/>
    </row>
    <row r="951" customFormat="false" ht="15.75" hidden="false" customHeight="false" outlineLevel="0" collapsed="false">
      <c r="A951" s="174"/>
      <c r="B951" s="174"/>
      <c r="C951" s="174"/>
      <c r="D951" s="174"/>
      <c r="E951" s="174"/>
      <c r="F951" s="174"/>
      <c r="G951" s="174"/>
      <c r="H951" s="174"/>
      <c r="I951" s="174"/>
      <c r="J951" s="174"/>
      <c r="K951" s="174"/>
      <c r="L951" s="174"/>
      <c r="M951" s="174"/>
      <c r="N951" s="174"/>
      <c r="O951" s="174"/>
      <c r="P951" s="174"/>
      <c r="Q951" s="174"/>
      <c r="R951" s="174"/>
      <c r="S951" s="174"/>
      <c r="T951" s="174"/>
      <c r="U951" s="174"/>
      <c r="V951" s="174"/>
      <c r="W951" s="174"/>
      <c r="X951" s="174"/>
      <c r="Y951" s="174"/>
      <c r="Z951" s="174"/>
    </row>
    <row r="952" customFormat="false" ht="15.75" hidden="false" customHeight="false" outlineLevel="0" collapsed="false">
      <c r="A952" s="174"/>
      <c r="B952" s="174"/>
      <c r="C952" s="174"/>
      <c r="D952" s="174"/>
      <c r="E952" s="174"/>
      <c r="F952" s="174"/>
      <c r="G952" s="174"/>
      <c r="H952" s="174"/>
      <c r="I952" s="174"/>
      <c r="J952" s="174"/>
      <c r="K952" s="174"/>
      <c r="L952" s="174"/>
      <c r="M952" s="174"/>
      <c r="N952" s="174"/>
      <c r="O952" s="174"/>
      <c r="P952" s="174"/>
      <c r="Q952" s="174"/>
      <c r="R952" s="174"/>
      <c r="S952" s="174"/>
      <c r="T952" s="174"/>
      <c r="U952" s="174"/>
      <c r="V952" s="174"/>
      <c r="W952" s="174"/>
      <c r="X952" s="174"/>
      <c r="Y952" s="174"/>
      <c r="Z952" s="174"/>
    </row>
    <row r="953" customFormat="false" ht="15.75" hidden="false" customHeight="false" outlineLevel="0" collapsed="false">
      <c r="A953" s="174"/>
      <c r="B953" s="174"/>
      <c r="C953" s="174"/>
      <c r="D953" s="174"/>
      <c r="E953" s="174"/>
      <c r="F953" s="174"/>
      <c r="G953" s="174"/>
      <c r="H953" s="174"/>
      <c r="I953" s="174"/>
      <c r="J953" s="174"/>
      <c r="K953" s="174"/>
      <c r="L953" s="174"/>
      <c r="M953" s="174"/>
      <c r="N953" s="174"/>
      <c r="O953" s="174"/>
      <c r="P953" s="174"/>
      <c r="Q953" s="174"/>
      <c r="R953" s="174"/>
      <c r="S953" s="174"/>
      <c r="T953" s="174"/>
      <c r="U953" s="174"/>
      <c r="V953" s="174"/>
      <c r="W953" s="174"/>
      <c r="X953" s="174"/>
      <c r="Y953" s="174"/>
      <c r="Z953" s="174"/>
    </row>
    <row r="954" customFormat="false" ht="15.75" hidden="false" customHeight="false" outlineLevel="0" collapsed="false">
      <c r="A954" s="174"/>
      <c r="B954" s="174"/>
      <c r="C954" s="174"/>
      <c r="D954" s="174"/>
      <c r="E954" s="174"/>
      <c r="F954" s="174"/>
      <c r="G954" s="174"/>
      <c r="H954" s="174"/>
      <c r="I954" s="174"/>
      <c r="J954" s="174"/>
      <c r="K954" s="174"/>
      <c r="L954" s="174"/>
      <c r="M954" s="174"/>
      <c r="N954" s="174"/>
      <c r="O954" s="174"/>
      <c r="P954" s="174"/>
      <c r="Q954" s="174"/>
      <c r="R954" s="174"/>
      <c r="S954" s="174"/>
      <c r="T954" s="174"/>
      <c r="U954" s="174"/>
      <c r="V954" s="174"/>
      <c r="W954" s="174"/>
      <c r="X954" s="174"/>
      <c r="Y954" s="174"/>
      <c r="Z954" s="174"/>
    </row>
    <row r="955" customFormat="false" ht="15.75" hidden="false" customHeight="false" outlineLevel="0" collapsed="false">
      <c r="A955" s="174"/>
      <c r="B955" s="174"/>
      <c r="C955" s="174"/>
      <c r="D955" s="174"/>
      <c r="E955" s="174"/>
      <c r="F955" s="174"/>
      <c r="G955" s="174"/>
      <c r="H955" s="174"/>
      <c r="I955" s="174"/>
      <c r="J955" s="174"/>
      <c r="K955" s="174"/>
      <c r="L955" s="174"/>
      <c r="M955" s="174"/>
      <c r="N955" s="174"/>
      <c r="O955" s="174"/>
      <c r="P955" s="174"/>
      <c r="Q955" s="174"/>
      <c r="R955" s="174"/>
      <c r="S955" s="174"/>
      <c r="T955" s="174"/>
      <c r="U955" s="174"/>
      <c r="V955" s="174"/>
      <c r="W955" s="174"/>
      <c r="X955" s="174"/>
      <c r="Y955" s="174"/>
      <c r="Z955" s="174"/>
    </row>
    <row r="956" customFormat="false" ht="15.75" hidden="false" customHeight="false" outlineLevel="0" collapsed="false">
      <c r="A956" s="174"/>
      <c r="B956" s="174"/>
      <c r="C956" s="174"/>
      <c r="D956" s="174"/>
      <c r="E956" s="174"/>
      <c r="F956" s="174"/>
      <c r="G956" s="174"/>
      <c r="H956" s="174"/>
      <c r="I956" s="174"/>
      <c r="J956" s="174"/>
      <c r="K956" s="174"/>
      <c r="L956" s="174"/>
      <c r="M956" s="174"/>
      <c r="N956" s="174"/>
      <c r="O956" s="174"/>
      <c r="P956" s="174"/>
      <c r="Q956" s="174"/>
      <c r="R956" s="174"/>
      <c r="S956" s="174"/>
      <c r="T956" s="174"/>
      <c r="U956" s="174"/>
      <c r="V956" s="174"/>
      <c r="W956" s="174"/>
      <c r="X956" s="174"/>
      <c r="Y956" s="174"/>
      <c r="Z956" s="174"/>
    </row>
    <row r="957" customFormat="false" ht="15.75" hidden="false" customHeight="false" outlineLevel="0" collapsed="false">
      <c r="A957" s="174"/>
      <c r="B957" s="174"/>
      <c r="C957" s="174"/>
      <c r="D957" s="174"/>
      <c r="E957" s="174"/>
      <c r="F957" s="174"/>
      <c r="G957" s="174"/>
      <c r="H957" s="174"/>
      <c r="I957" s="174"/>
      <c r="J957" s="174"/>
      <c r="K957" s="174"/>
      <c r="L957" s="174"/>
      <c r="M957" s="174"/>
      <c r="N957" s="174"/>
      <c r="O957" s="174"/>
      <c r="P957" s="174"/>
      <c r="Q957" s="174"/>
      <c r="R957" s="174"/>
      <c r="S957" s="174"/>
      <c r="T957" s="174"/>
      <c r="U957" s="174"/>
      <c r="V957" s="174"/>
      <c r="W957" s="174"/>
      <c r="X957" s="174"/>
      <c r="Y957" s="174"/>
      <c r="Z957" s="174"/>
    </row>
    <row r="958" customFormat="false" ht="15.75" hidden="false" customHeight="false" outlineLevel="0" collapsed="false">
      <c r="A958" s="174"/>
      <c r="B958" s="174"/>
      <c r="C958" s="174"/>
      <c r="D958" s="174"/>
      <c r="E958" s="174"/>
      <c r="F958" s="174"/>
      <c r="G958" s="174"/>
      <c r="H958" s="174"/>
      <c r="I958" s="174"/>
      <c r="J958" s="174"/>
      <c r="K958" s="174"/>
      <c r="L958" s="174"/>
      <c r="M958" s="174"/>
      <c r="N958" s="174"/>
      <c r="O958" s="174"/>
      <c r="P958" s="174"/>
      <c r="Q958" s="174"/>
      <c r="R958" s="174"/>
      <c r="S958" s="174"/>
      <c r="T958" s="174"/>
      <c r="U958" s="174"/>
      <c r="V958" s="174"/>
      <c r="W958" s="174"/>
      <c r="X958" s="174"/>
      <c r="Y958" s="174"/>
      <c r="Z958" s="174"/>
    </row>
    <row r="959" customFormat="false" ht="15.75" hidden="false" customHeight="false" outlineLevel="0" collapsed="false">
      <c r="A959" s="174"/>
      <c r="B959" s="174"/>
      <c r="C959" s="174"/>
      <c r="D959" s="174"/>
      <c r="E959" s="174"/>
      <c r="F959" s="174"/>
      <c r="G959" s="174"/>
      <c r="H959" s="174"/>
      <c r="I959" s="174"/>
      <c r="J959" s="174"/>
      <c r="K959" s="174"/>
      <c r="L959" s="174"/>
      <c r="M959" s="174"/>
      <c r="N959" s="174"/>
      <c r="O959" s="174"/>
      <c r="P959" s="174"/>
      <c r="Q959" s="174"/>
      <c r="R959" s="174"/>
      <c r="S959" s="174"/>
      <c r="T959" s="174"/>
      <c r="U959" s="174"/>
      <c r="V959" s="174"/>
      <c r="W959" s="174"/>
      <c r="X959" s="174"/>
      <c r="Y959" s="174"/>
      <c r="Z959" s="174"/>
    </row>
    <row r="960" customFormat="false" ht="15.75" hidden="false" customHeight="false" outlineLevel="0" collapsed="false">
      <c r="A960" s="174"/>
      <c r="B960" s="174"/>
      <c r="C960" s="174"/>
      <c r="D960" s="174"/>
      <c r="E960" s="174"/>
      <c r="F960" s="174"/>
      <c r="G960" s="174"/>
      <c r="H960" s="174"/>
      <c r="I960" s="174"/>
      <c r="J960" s="174"/>
      <c r="K960" s="174"/>
      <c r="L960" s="174"/>
      <c r="M960" s="174"/>
      <c r="N960" s="174"/>
      <c r="O960" s="174"/>
      <c r="P960" s="174"/>
      <c r="Q960" s="174"/>
      <c r="R960" s="174"/>
      <c r="S960" s="174"/>
      <c r="T960" s="174"/>
      <c r="U960" s="174"/>
      <c r="V960" s="174"/>
      <c r="W960" s="174"/>
      <c r="X960" s="174"/>
      <c r="Y960" s="174"/>
      <c r="Z960" s="174"/>
    </row>
    <row r="961" customFormat="false" ht="15.75" hidden="false" customHeight="false" outlineLevel="0" collapsed="false">
      <c r="A961" s="174"/>
      <c r="B961" s="174"/>
      <c r="C961" s="174"/>
      <c r="D961" s="174"/>
      <c r="E961" s="174"/>
      <c r="F961" s="174"/>
      <c r="G961" s="174"/>
      <c r="H961" s="174"/>
      <c r="I961" s="174"/>
      <c r="J961" s="174"/>
      <c r="K961" s="174"/>
      <c r="L961" s="174"/>
      <c r="M961" s="174"/>
      <c r="N961" s="174"/>
      <c r="O961" s="174"/>
      <c r="P961" s="174"/>
      <c r="Q961" s="174"/>
      <c r="R961" s="174"/>
      <c r="S961" s="174"/>
      <c r="T961" s="174"/>
      <c r="U961" s="174"/>
      <c r="V961" s="174"/>
      <c r="W961" s="174"/>
      <c r="X961" s="174"/>
      <c r="Y961" s="174"/>
      <c r="Z961" s="174"/>
    </row>
    <row r="962" customFormat="false" ht="15.75" hidden="false" customHeight="false" outlineLevel="0" collapsed="false">
      <c r="A962" s="174"/>
      <c r="B962" s="174"/>
      <c r="C962" s="174"/>
      <c r="D962" s="174"/>
      <c r="E962" s="174"/>
      <c r="F962" s="174"/>
      <c r="G962" s="174"/>
      <c r="H962" s="174"/>
      <c r="I962" s="174"/>
      <c r="J962" s="174"/>
      <c r="K962" s="174"/>
      <c r="L962" s="174"/>
      <c r="M962" s="174"/>
      <c r="N962" s="174"/>
      <c r="O962" s="174"/>
      <c r="P962" s="174"/>
      <c r="Q962" s="174"/>
      <c r="R962" s="174"/>
      <c r="S962" s="174"/>
      <c r="T962" s="174"/>
      <c r="U962" s="174"/>
      <c r="V962" s="174"/>
      <c r="W962" s="174"/>
      <c r="X962" s="174"/>
      <c r="Y962" s="174"/>
      <c r="Z962" s="174"/>
    </row>
    <row r="963" customFormat="false" ht="15.75" hidden="false" customHeight="false" outlineLevel="0" collapsed="false">
      <c r="A963" s="174"/>
      <c r="B963" s="174"/>
      <c r="C963" s="174"/>
      <c r="D963" s="174"/>
      <c r="E963" s="174"/>
      <c r="F963" s="174"/>
      <c r="G963" s="174"/>
      <c r="H963" s="174"/>
      <c r="I963" s="174"/>
      <c r="J963" s="174"/>
      <c r="K963" s="174"/>
      <c r="L963" s="174"/>
      <c r="M963" s="174"/>
      <c r="N963" s="174"/>
      <c r="O963" s="174"/>
      <c r="P963" s="174"/>
      <c r="Q963" s="174"/>
      <c r="R963" s="174"/>
      <c r="S963" s="174"/>
      <c r="T963" s="174"/>
      <c r="U963" s="174"/>
      <c r="V963" s="174"/>
      <c r="W963" s="174"/>
      <c r="X963" s="174"/>
      <c r="Y963" s="174"/>
      <c r="Z963" s="174"/>
    </row>
    <row r="964" customFormat="false" ht="15.75" hidden="false" customHeight="false" outlineLevel="0" collapsed="false">
      <c r="A964" s="174"/>
      <c r="B964" s="174"/>
      <c r="C964" s="174"/>
      <c r="D964" s="174"/>
      <c r="E964" s="174"/>
      <c r="F964" s="174"/>
      <c r="G964" s="174"/>
      <c r="H964" s="174"/>
      <c r="I964" s="174"/>
      <c r="J964" s="174"/>
      <c r="K964" s="174"/>
      <c r="L964" s="174"/>
      <c r="M964" s="174"/>
      <c r="N964" s="174"/>
      <c r="O964" s="174"/>
      <c r="P964" s="174"/>
      <c r="Q964" s="174"/>
      <c r="R964" s="174"/>
      <c r="S964" s="174"/>
      <c r="T964" s="174"/>
      <c r="U964" s="174"/>
      <c r="V964" s="174"/>
      <c r="W964" s="174"/>
      <c r="X964" s="174"/>
      <c r="Y964" s="174"/>
      <c r="Z964" s="174"/>
    </row>
    <row r="965" customFormat="false" ht="15.75" hidden="false" customHeight="false" outlineLevel="0" collapsed="false">
      <c r="A965" s="174"/>
      <c r="B965" s="174"/>
      <c r="C965" s="174"/>
      <c r="D965" s="174"/>
      <c r="E965" s="174"/>
      <c r="F965" s="174"/>
      <c r="G965" s="174"/>
      <c r="H965" s="174"/>
      <c r="I965" s="174"/>
      <c r="J965" s="174"/>
      <c r="K965" s="174"/>
      <c r="L965" s="174"/>
      <c r="M965" s="174"/>
      <c r="N965" s="174"/>
      <c r="O965" s="174"/>
      <c r="P965" s="174"/>
      <c r="Q965" s="174"/>
      <c r="R965" s="174"/>
      <c r="S965" s="174"/>
      <c r="T965" s="174"/>
      <c r="U965" s="174"/>
      <c r="V965" s="174"/>
      <c r="W965" s="174"/>
      <c r="X965" s="174"/>
      <c r="Y965" s="174"/>
      <c r="Z965" s="174"/>
    </row>
    <row r="966" customFormat="false" ht="15.75" hidden="false" customHeight="false" outlineLevel="0" collapsed="false">
      <c r="A966" s="174"/>
      <c r="B966" s="174"/>
      <c r="C966" s="174"/>
      <c r="D966" s="174"/>
      <c r="E966" s="174"/>
      <c r="F966" s="174"/>
      <c r="G966" s="174"/>
      <c r="H966" s="174"/>
      <c r="I966" s="174"/>
      <c r="J966" s="174"/>
      <c r="K966" s="174"/>
      <c r="L966" s="174"/>
      <c r="M966" s="174"/>
      <c r="N966" s="174"/>
      <c r="O966" s="174"/>
      <c r="P966" s="174"/>
      <c r="Q966" s="174"/>
      <c r="R966" s="174"/>
      <c r="S966" s="174"/>
      <c r="T966" s="174"/>
      <c r="U966" s="174"/>
      <c r="V966" s="174"/>
      <c r="W966" s="174"/>
      <c r="X966" s="174"/>
      <c r="Y966" s="174"/>
      <c r="Z966" s="174"/>
    </row>
    <row r="967" customFormat="false" ht="15.75" hidden="false" customHeight="false" outlineLevel="0" collapsed="false">
      <c r="A967" s="174"/>
      <c r="B967" s="174"/>
      <c r="C967" s="174"/>
      <c r="D967" s="174"/>
      <c r="E967" s="174"/>
      <c r="F967" s="174"/>
      <c r="G967" s="174"/>
      <c r="H967" s="174"/>
      <c r="I967" s="174"/>
      <c r="J967" s="174"/>
      <c r="K967" s="174"/>
      <c r="L967" s="174"/>
      <c r="M967" s="174"/>
      <c r="N967" s="174"/>
      <c r="O967" s="174"/>
      <c r="P967" s="174"/>
      <c r="Q967" s="174"/>
      <c r="R967" s="174"/>
      <c r="S967" s="174"/>
      <c r="T967" s="174"/>
      <c r="U967" s="174"/>
      <c r="V967" s="174"/>
      <c r="W967" s="174"/>
      <c r="X967" s="174"/>
      <c r="Y967" s="174"/>
      <c r="Z967" s="174"/>
    </row>
    <row r="968" customFormat="false" ht="15.75" hidden="false" customHeight="false" outlineLevel="0" collapsed="false">
      <c r="A968" s="174"/>
      <c r="B968" s="174"/>
      <c r="C968" s="174"/>
      <c r="D968" s="174"/>
      <c r="E968" s="174"/>
      <c r="F968" s="174"/>
      <c r="G968" s="174"/>
      <c r="H968" s="174"/>
      <c r="I968" s="174"/>
      <c r="J968" s="174"/>
      <c r="K968" s="174"/>
      <c r="L968" s="174"/>
      <c r="M968" s="174"/>
      <c r="N968" s="174"/>
      <c r="O968" s="174"/>
      <c r="P968" s="174"/>
      <c r="Q968" s="174"/>
      <c r="R968" s="174"/>
      <c r="S968" s="174"/>
      <c r="T968" s="174"/>
      <c r="U968" s="174"/>
      <c r="V968" s="174"/>
      <c r="W968" s="174"/>
      <c r="X968" s="174"/>
      <c r="Y968" s="174"/>
      <c r="Z968" s="174"/>
    </row>
    <row r="969" customFormat="false" ht="15.75" hidden="false" customHeight="false" outlineLevel="0" collapsed="false">
      <c r="A969" s="174"/>
      <c r="B969" s="174"/>
      <c r="C969" s="174"/>
      <c r="D969" s="174"/>
      <c r="E969" s="174"/>
      <c r="F969" s="174"/>
      <c r="G969" s="174"/>
      <c r="H969" s="174"/>
      <c r="I969" s="174"/>
      <c r="J969" s="174"/>
      <c r="K969" s="174"/>
      <c r="L969" s="174"/>
      <c r="M969" s="174"/>
      <c r="N969" s="174"/>
      <c r="O969" s="174"/>
      <c r="P969" s="174"/>
      <c r="Q969" s="174"/>
      <c r="R969" s="174"/>
      <c r="S969" s="174"/>
      <c r="T969" s="174"/>
      <c r="U969" s="174"/>
      <c r="V969" s="174"/>
      <c r="W969" s="174"/>
      <c r="X969" s="174"/>
      <c r="Y969" s="174"/>
      <c r="Z969" s="174"/>
    </row>
    <row r="970" customFormat="false" ht="15.75" hidden="false" customHeight="false" outlineLevel="0" collapsed="false">
      <c r="A970" s="174"/>
      <c r="B970" s="174"/>
      <c r="C970" s="174"/>
      <c r="D970" s="174"/>
      <c r="E970" s="174"/>
      <c r="F970" s="174"/>
      <c r="G970" s="174"/>
      <c r="H970" s="174"/>
      <c r="I970" s="174"/>
      <c r="J970" s="174"/>
      <c r="K970" s="174"/>
      <c r="L970" s="174"/>
      <c r="M970" s="174"/>
      <c r="N970" s="174"/>
      <c r="O970" s="174"/>
      <c r="P970" s="174"/>
      <c r="Q970" s="174"/>
      <c r="R970" s="174"/>
      <c r="S970" s="174"/>
      <c r="T970" s="174"/>
      <c r="U970" s="174"/>
      <c r="V970" s="174"/>
      <c r="W970" s="174"/>
      <c r="X970" s="174"/>
      <c r="Y970" s="174"/>
      <c r="Z970" s="174"/>
    </row>
    <row r="971" customFormat="false" ht="15.75" hidden="false" customHeight="false" outlineLevel="0" collapsed="false">
      <c r="A971" s="174"/>
      <c r="B971" s="174"/>
      <c r="C971" s="174"/>
      <c r="D971" s="174"/>
      <c r="E971" s="174"/>
      <c r="F971" s="174"/>
      <c r="G971" s="174"/>
      <c r="H971" s="174"/>
      <c r="I971" s="174"/>
      <c r="J971" s="174"/>
      <c r="K971" s="174"/>
      <c r="L971" s="174"/>
      <c r="M971" s="174"/>
      <c r="N971" s="174"/>
      <c r="O971" s="174"/>
      <c r="P971" s="174"/>
      <c r="Q971" s="174"/>
      <c r="R971" s="174"/>
      <c r="S971" s="174"/>
      <c r="T971" s="174"/>
      <c r="U971" s="174"/>
      <c r="V971" s="174"/>
      <c r="W971" s="174"/>
      <c r="X971" s="174"/>
      <c r="Y971" s="174"/>
      <c r="Z971" s="174"/>
    </row>
    <row r="972" customFormat="false" ht="15.75" hidden="false" customHeight="false" outlineLevel="0" collapsed="false">
      <c r="A972" s="174"/>
      <c r="B972" s="174"/>
      <c r="C972" s="174"/>
      <c r="D972" s="174"/>
      <c r="E972" s="174"/>
      <c r="F972" s="174"/>
      <c r="G972" s="174"/>
      <c r="H972" s="174"/>
      <c r="I972" s="174"/>
      <c r="J972" s="174"/>
      <c r="K972" s="174"/>
      <c r="L972" s="174"/>
      <c r="M972" s="174"/>
      <c r="N972" s="174"/>
      <c r="O972" s="174"/>
      <c r="P972" s="174"/>
      <c r="Q972" s="174"/>
      <c r="R972" s="174"/>
      <c r="S972" s="174"/>
      <c r="T972" s="174"/>
      <c r="U972" s="174"/>
      <c r="V972" s="174"/>
      <c r="W972" s="174"/>
      <c r="X972" s="174"/>
      <c r="Y972" s="174"/>
      <c r="Z972" s="174"/>
    </row>
    <row r="973" customFormat="false" ht="15.75" hidden="false" customHeight="false" outlineLevel="0" collapsed="false">
      <c r="A973" s="174"/>
      <c r="B973" s="174"/>
      <c r="C973" s="174"/>
      <c r="D973" s="174"/>
      <c r="E973" s="174"/>
      <c r="F973" s="174"/>
      <c r="G973" s="174"/>
      <c r="H973" s="174"/>
      <c r="I973" s="174"/>
      <c r="J973" s="174"/>
      <c r="K973" s="174"/>
      <c r="L973" s="174"/>
      <c r="M973" s="174"/>
      <c r="N973" s="174"/>
      <c r="O973" s="174"/>
      <c r="P973" s="174"/>
      <c r="Q973" s="174"/>
      <c r="R973" s="174"/>
      <c r="S973" s="174"/>
      <c r="T973" s="174"/>
      <c r="U973" s="174"/>
      <c r="V973" s="174"/>
      <c r="W973" s="174"/>
      <c r="X973" s="174"/>
      <c r="Y973" s="174"/>
      <c r="Z973" s="174"/>
    </row>
    <row r="974" customFormat="false" ht="15.75" hidden="false" customHeight="false" outlineLevel="0" collapsed="false">
      <c r="A974" s="174"/>
      <c r="B974" s="174"/>
      <c r="C974" s="174"/>
      <c r="D974" s="174"/>
      <c r="E974" s="174"/>
      <c r="F974" s="174"/>
      <c r="G974" s="174"/>
      <c r="H974" s="174"/>
      <c r="I974" s="174"/>
      <c r="J974" s="174"/>
      <c r="K974" s="174"/>
      <c r="L974" s="174"/>
      <c r="M974" s="174"/>
      <c r="N974" s="174"/>
      <c r="O974" s="174"/>
      <c r="P974" s="174"/>
      <c r="Q974" s="174"/>
      <c r="R974" s="174"/>
      <c r="S974" s="174"/>
      <c r="T974" s="174"/>
      <c r="U974" s="174"/>
      <c r="V974" s="174"/>
      <c r="W974" s="174"/>
      <c r="X974" s="174"/>
      <c r="Y974" s="174"/>
      <c r="Z974" s="174"/>
    </row>
    <row r="975" customFormat="false" ht="15.75" hidden="false" customHeight="false" outlineLevel="0" collapsed="false">
      <c r="A975" s="174"/>
      <c r="B975" s="174"/>
      <c r="C975" s="174"/>
      <c r="D975" s="174"/>
      <c r="E975" s="174"/>
      <c r="F975" s="174"/>
      <c r="G975" s="174"/>
      <c r="H975" s="174"/>
      <c r="I975" s="174"/>
      <c r="J975" s="174"/>
      <c r="K975" s="174"/>
      <c r="L975" s="174"/>
      <c r="M975" s="174"/>
      <c r="N975" s="174"/>
      <c r="O975" s="174"/>
      <c r="P975" s="174"/>
      <c r="Q975" s="174"/>
      <c r="R975" s="174"/>
      <c r="S975" s="174"/>
      <c r="T975" s="174"/>
      <c r="U975" s="174"/>
      <c r="V975" s="174"/>
      <c r="W975" s="174"/>
      <c r="X975" s="174"/>
      <c r="Y975" s="174"/>
      <c r="Z975" s="174"/>
    </row>
    <row r="976" customFormat="false" ht="15.75" hidden="false" customHeight="false" outlineLevel="0" collapsed="false">
      <c r="A976" s="174"/>
      <c r="B976" s="174"/>
      <c r="C976" s="174"/>
      <c r="D976" s="174"/>
      <c r="E976" s="174"/>
      <c r="F976" s="174"/>
      <c r="G976" s="174"/>
      <c r="H976" s="174"/>
      <c r="I976" s="174"/>
      <c r="J976" s="174"/>
      <c r="K976" s="174"/>
      <c r="L976" s="174"/>
      <c r="M976" s="174"/>
      <c r="N976" s="174"/>
      <c r="O976" s="174"/>
      <c r="P976" s="174"/>
      <c r="Q976" s="174"/>
      <c r="R976" s="174"/>
      <c r="S976" s="174"/>
      <c r="T976" s="174"/>
      <c r="U976" s="174"/>
      <c r="V976" s="174"/>
      <c r="W976" s="174"/>
      <c r="X976" s="174"/>
      <c r="Y976" s="174"/>
      <c r="Z976" s="174"/>
    </row>
    <row r="977" customFormat="false" ht="15.75" hidden="false" customHeight="false" outlineLevel="0" collapsed="false">
      <c r="A977" s="174"/>
      <c r="B977" s="174"/>
      <c r="C977" s="174"/>
      <c r="D977" s="174"/>
      <c r="E977" s="174"/>
      <c r="F977" s="174"/>
      <c r="G977" s="174"/>
      <c r="H977" s="174"/>
      <c r="I977" s="174"/>
      <c r="J977" s="174"/>
      <c r="K977" s="174"/>
      <c r="L977" s="174"/>
      <c r="M977" s="174"/>
      <c r="N977" s="174"/>
      <c r="O977" s="174"/>
      <c r="P977" s="174"/>
      <c r="Q977" s="174"/>
      <c r="R977" s="174"/>
      <c r="S977" s="174"/>
      <c r="T977" s="174"/>
      <c r="U977" s="174"/>
      <c r="V977" s="174"/>
      <c r="W977" s="174"/>
      <c r="X977" s="174"/>
      <c r="Y977" s="174"/>
      <c r="Z977" s="174"/>
    </row>
    <row r="978" customFormat="false" ht="15.75" hidden="false" customHeight="false" outlineLevel="0" collapsed="false">
      <c r="A978" s="174"/>
      <c r="B978" s="174"/>
      <c r="C978" s="174"/>
      <c r="D978" s="174"/>
      <c r="E978" s="174"/>
      <c r="F978" s="174"/>
      <c r="G978" s="174"/>
      <c r="H978" s="174"/>
      <c r="I978" s="174"/>
      <c r="J978" s="174"/>
      <c r="K978" s="174"/>
      <c r="L978" s="174"/>
      <c r="M978" s="174"/>
      <c r="N978" s="174"/>
      <c r="O978" s="174"/>
      <c r="P978" s="174"/>
      <c r="Q978" s="174"/>
      <c r="R978" s="174"/>
      <c r="S978" s="174"/>
      <c r="T978" s="174"/>
      <c r="U978" s="174"/>
      <c r="V978" s="174"/>
      <c r="W978" s="174"/>
      <c r="X978" s="174"/>
      <c r="Y978" s="174"/>
      <c r="Z978" s="174"/>
    </row>
    <row r="979" customFormat="false" ht="15.75" hidden="false" customHeight="false" outlineLevel="0" collapsed="false">
      <c r="A979" s="174"/>
      <c r="B979" s="174"/>
      <c r="C979" s="174"/>
      <c r="D979" s="174"/>
      <c r="E979" s="174"/>
      <c r="F979" s="174"/>
      <c r="G979" s="174"/>
      <c r="H979" s="174"/>
      <c r="I979" s="174"/>
      <c r="J979" s="174"/>
      <c r="K979" s="174"/>
      <c r="L979" s="174"/>
      <c r="M979" s="174"/>
      <c r="N979" s="174"/>
      <c r="O979" s="174"/>
      <c r="P979" s="174"/>
      <c r="Q979" s="174"/>
      <c r="R979" s="174"/>
      <c r="S979" s="174"/>
      <c r="T979" s="174"/>
      <c r="U979" s="174"/>
      <c r="V979" s="174"/>
      <c r="W979" s="174"/>
      <c r="X979" s="174"/>
      <c r="Y979" s="174"/>
      <c r="Z979" s="174"/>
    </row>
    <row r="980" customFormat="false" ht="15.75" hidden="false" customHeight="false" outlineLevel="0" collapsed="false">
      <c r="A980" s="174"/>
      <c r="B980" s="174"/>
      <c r="C980" s="174"/>
      <c r="D980" s="174"/>
      <c r="E980" s="174"/>
      <c r="F980" s="174"/>
      <c r="G980" s="174"/>
      <c r="H980" s="174"/>
      <c r="I980" s="174"/>
      <c r="J980" s="174"/>
      <c r="K980" s="174"/>
      <c r="L980" s="174"/>
      <c r="M980" s="174"/>
      <c r="N980" s="174"/>
      <c r="O980" s="174"/>
      <c r="P980" s="174"/>
      <c r="Q980" s="174"/>
      <c r="R980" s="174"/>
      <c r="S980" s="174"/>
      <c r="T980" s="174"/>
      <c r="U980" s="174"/>
      <c r="V980" s="174"/>
      <c r="W980" s="174"/>
      <c r="X980" s="174"/>
      <c r="Y980" s="174"/>
      <c r="Z980" s="174"/>
    </row>
    <row r="981" customFormat="false" ht="15.75" hidden="false" customHeight="false" outlineLevel="0" collapsed="false">
      <c r="A981" s="174"/>
      <c r="B981" s="174"/>
      <c r="C981" s="174"/>
      <c r="D981" s="174"/>
      <c r="E981" s="174"/>
      <c r="F981" s="174"/>
      <c r="G981" s="174"/>
      <c r="H981" s="174"/>
      <c r="I981" s="174"/>
      <c r="J981" s="174"/>
      <c r="K981" s="174"/>
      <c r="L981" s="174"/>
      <c r="M981" s="174"/>
      <c r="N981" s="174"/>
      <c r="O981" s="174"/>
      <c r="P981" s="174"/>
      <c r="Q981" s="174"/>
      <c r="R981" s="174"/>
      <c r="S981" s="174"/>
      <c r="T981" s="174"/>
      <c r="U981" s="174"/>
      <c r="V981" s="174"/>
      <c r="W981" s="174"/>
      <c r="X981" s="174"/>
      <c r="Y981" s="174"/>
      <c r="Z981" s="174"/>
    </row>
    <row r="982" customFormat="false" ht="15.75" hidden="false" customHeight="false" outlineLevel="0" collapsed="false">
      <c r="A982" s="174"/>
      <c r="B982" s="174"/>
      <c r="C982" s="174"/>
      <c r="D982" s="174"/>
      <c r="E982" s="174"/>
      <c r="F982" s="174"/>
      <c r="G982" s="174"/>
      <c r="H982" s="174"/>
      <c r="I982" s="174"/>
      <c r="J982" s="174"/>
      <c r="K982" s="174"/>
      <c r="L982" s="174"/>
      <c r="M982" s="174"/>
      <c r="N982" s="174"/>
      <c r="O982" s="174"/>
      <c r="P982" s="174"/>
      <c r="Q982" s="174"/>
      <c r="R982" s="174"/>
      <c r="S982" s="174"/>
      <c r="T982" s="174"/>
      <c r="U982" s="174"/>
      <c r="V982" s="174"/>
      <c r="W982" s="174"/>
      <c r="X982" s="174"/>
      <c r="Y982" s="174"/>
      <c r="Z982" s="174"/>
    </row>
    <row r="983" customFormat="false" ht="15.75" hidden="false" customHeight="false" outlineLevel="0" collapsed="false">
      <c r="A983" s="174"/>
      <c r="B983" s="174"/>
      <c r="C983" s="174"/>
      <c r="D983" s="174"/>
      <c r="E983" s="174"/>
      <c r="F983" s="174"/>
      <c r="G983" s="174"/>
      <c r="H983" s="174"/>
      <c r="I983" s="174"/>
      <c r="J983" s="174"/>
      <c r="K983" s="174"/>
      <c r="L983" s="174"/>
      <c r="M983" s="174"/>
      <c r="N983" s="174"/>
      <c r="O983" s="174"/>
      <c r="P983" s="174"/>
      <c r="Q983" s="174"/>
      <c r="R983" s="174"/>
      <c r="S983" s="174"/>
      <c r="T983" s="174"/>
      <c r="U983" s="174"/>
      <c r="V983" s="174"/>
      <c r="W983" s="174"/>
      <c r="X983" s="174"/>
      <c r="Y983" s="174"/>
      <c r="Z983" s="174"/>
    </row>
    <row r="984" customFormat="false" ht="15.75" hidden="false" customHeight="false" outlineLevel="0" collapsed="false">
      <c r="A984" s="174"/>
      <c r="B984" s="174"/>
      <c r="C984" s="174"/>
      <c r="D984" s="174"/>
      <c r="E984" s="174"/>
      <c r="F984" s="174"/>
      <c r="G984" s="174"/>
      <c r="H984" s="174"/>
      <c r="I984" s="174"/>
      <c r="J984" s="174"/>
      <c r="K984" s="174"/>
      <c r="L984" s="174"/>
      <c r="M984" s="174"/>
      <c r="N984" s="174"/>
      <c r="O984" s="174"/>
      <c r="P984" s="174"/>
      <c r="Q984" s="174"/>
      <c r="R984" s="174"/>
      <c r="S984" s="174"/>
      <c r="T984" s="174"/>
      <c r="U984" s="174"/>
      <c r="V984" s="174"/>
      <c r="W984" s="174"/>
      <c r="X984" s="174"/>
      <c r="Y984" s="174"/>
      <c r="Z984" s="174"/>
    </row>
    <row r="985" customFormat="false" ht="15.75" hidden="false" customHeight="false" outlineLevel="0" collapsed="false">
      <c r="A985" s="174"/>
      <c r="B985" s="174"/>
      <c r="C985" s="174"/>
      <c r="D985" s="174"/>
      <c r="E985" s="174"/>
      <c r="F985" s="174"/>
      <c r="G985" s="174"/>
      <c r="H985" s="174"/>
      <c r="I985" s="174"/>
      <c r="J985" s="174"/>
      <c r="K985" s="174"/>
      <c r="L985" s="174"/>
      <c r="M985" s="174"/>
      <c r="N985" s="174"/>
      <c r="O985" s="174"/>
      <c r="P985" s="174"/>
      <c r="Q985" s="174"/>
      <c r="R985" s="174"/>
      <c r="S985" s="174"/>
      <c r="T985" s="174"/>
      <c r="U985" s="174"/>
      <c r="V985" s="174"/>
      <c r="W985" s="174"/>
      <c r="X985" s="174"/>
      <c r="Y985" s="174"/>
      <c r="Z985" s="174"/>
    </row>
    <row r="986" customFormat="false" ht="15.75" hidden="false" customHeight="false" outlineLevel="0" collapsed="false">
      <c r="A986" s="174"/>
      <c r="B986" s="174"/>
      <c r="C986" s="174"/>
      <c r="D986" s="174"/>
      <c r="E986" s="174"/>
      <c r="F986" s="174"/>
      <c r="G986" s="174"/>
      <c r="H986" s="174"/>
      <c r="I986" s="174"/>
      <c r="J986" s="174"/>
      <c r="K986" s="174"/>
      <c r="L986" s="174"/>
      <c r="M986" s="174"/>
      <c r="N986" s="174"/>
      <c r="O986" s="174"/>
      <c r="P986" s="174"/>
      <c r="Q986" s="174"/>
      <c r="R986" s="174"/>
      <c r="S986" s="174"/>
      <c r="T986" s="174"/>
      <c r="U986" s="174"/>
      <c r="V986" s="174"/>
      <c r="W986" s="174"/>
      <c r="X986" s="174"/>
      <c r="Y986" s="174"/>
      <c r="Z986" s="174"/>
    </row>
    <row r="987" customFormat="false" ht="15.75" hidden="false" customHeight="false" outlineLevel="0" collapsed="false">
      <c r="A987" s="174"/>
      <c r="B987" s="174"/>
      <c r="C987" s="174"/>
      <c r="D987" s="174"/>
      <c r="E987" s="174"/>
      <c r="F987" s="174"/>
      <c r="G987" s="174"/>
      <c r="H987" s="174"/>
      <c r="I987" s="174"/>
      <c r="J987" s="174"/>
      <c r="K987" s="174"/>
      <c r="L987" s="174"/>
      <c r="M987" s="174"/>
      <c r="N987" s="174"/>
      <c r="O987" s="174"/>
      <c r="P987" s="174"/>
      <c r="Q987" s="174"/>
      <c r="R987" s="174"/>
      <c r="S987" s="174"/>
      <c r="T987" s="174"/>
      <c r="U987" s="174"/>
      <c r="V987" s="174"/>
      <c r="W987" s="174"/>
      <c r="X987" s="174"/>
      <c r="Y987" s="174"/>
      <c r="Z987" s="174"/>
    </row>
    <row r="988" customFormat="false" ht="15.75" hidden="false" customHeight="false" outlineLevel="0" collapsed="false">
      <c r="A988" s="174"/>
      <c r="B988" s="174"/>
      <c r="C988" s="174"/>
      <c r="D988" s="174"/>
      <c r="E988" s="174"/>
      <c r="F988" s="174"/>
      <c r="G988" s="174"/>
      <c r="H988" s="174"/>
      <c r="I988" s="174"/>
      <c r="J988" s="174"/>
      <c r="K988" s="174"/>
      <c r="L988" s="174"/>
      <c r="M988" s="174"/>
      <c r="N988" s="174"/>
      <c r="O988" s="174"/>
      <c r="P988" s="174"/>
      <c r="Q988" s="174"/>
      <c r="R988" s="174"/>
      <c r="S988" s="174"/>
      <c r="T988" s="174"/>
      <c r="U988" s="174"/>
      <c r="V988" s="174"/>
      <c r="W988" s="174"/>
      <c r="X988" s="174"/>
      <c r="Y988" s="174"/>
      <c r="Z988" s="174"/>
    </row>
    <row r="989" customFormat="false" ht="15.75" hidden="false" customHeight="false" outlineLevel="0" collapsed="false">
      <c r="A989" s="174"/>
      <c r="B989" s="174"/>
      <c r="C989" s="174"/>
      <c r="D989" s="174"/>
      <c r="E989" s="174"/>
      <c r="F989" s="174"/>
      <c r="G989" s="174"/>
      <c r="H989" s="174"/>
      <c r="I989" s="174"/>
      <c r="J989" s="174"/>
      <c r="K989" s="174"/>
      <c r="L989" s="174"/>
      <c r="M989" s="174"/>
      <c r="N989" s="174"/>
      <c r="O989" s="174"/>
      <c r="P989" s="174"/>
      <c r="Q989" s="174"/>
      <c r="R989" s="174"/>
      <c r="S989" s="174"/>
      <c r="T989" s="174"/>
      <c r="U989" s="174"/>
      <c r="V989" s="174"/>
      <c r="W989" s="174"/>
      <c r="X989" s="174"/>
      <c r="Y989" s="174"/>
      <c r="Z989" s="174"/>
    </row>
    <row r="990" customFormat="false" ht="15.75" hidden="false" customHeight="false" outlineLevel="0" collapsed="false">
      <c r="A990" s="174"/>
      <c r="B990" s="174"/>
      <c r="C990" s="174"/>
      <c r="D990" s="174"/>
      <c r="E990" s="174"/>
      <c r="F990" s="174"/>
      <c r="G990" s="174"/>
      <c r="H990" s="174"/>
      <c r="I990" s="174"/>
      <c r="J990" s="174"/>
      <c r="K990" s="174"/>
      <c r="L990" s="174"/>
      <c r="M990" s="174"/>
      <c r="N990" s="174"/>
      <c r="O990" s="174"/>
      <c r="P990" s="174"/>
      <c r="Q990" s="174"/>
      <c r="R990" s="174"/>
      <c r="S990" s="174"/>
      <c r="T990" s="174"/>
      <c r="U990" s="174"/>
      <c r="V990" s="174"/>
      <c r="W990" s="174"/>
      <c r="X990" s="174"/>
      <c r="Y990" s="174"/>
      <c r="Z990" s="174"/>
    </row>
    <row r="991" customFormat="false" ht="15.75" hidden="false" customHeight="false" outlineLevel="0" collapsed="false">
      <c r="A991" s="174"/>
      <c r="B991" s="174"/>
      <c r="C991" s="174"/>
      <c r="D991" s="174"/>
      <c r="E991" s="174"/>
      <c r="F991" s="174"/>
      <c r="G991" s="174"/>
      <c r="H991" s="174"/>
      <c r="I991" s="174"/>
      <c r="J991" s="174"/>
      <c r="K991" s="174"/>
      <c r="L991" s="174"/>
      <c r="M991" s="174"/>
      <c r="N991" s="174"/>
      <c r="O991" s="174"/>
      <c r="P991" s="174"/>
      <c r="Q991" s="174"/>
      <c r="R991" s="174"/>
      <c r="S991" s="174"/>
      <c r="T991" s="174"/>
      <c r="U991" s="174"/>
      <c r="V991" s="174"/>
      <c r="W991" s="174"/>
      <c r="X991" s="174"/>
      <c r="Y991" s="174"/>
      <c r="Z991" s="174"/>
    </row>
    <row r="992" customFormat="false" ht="15.75" hidden="false" customHeight="false" outlineLevel="0" collapsed="false">
      <c r="A992" s="174"/>
      <c r="B992" s="174"/>
      <c r="C992" s="174"/>
      <c r="D992" s="174"/>
      <c r="E992" s="174"/>
      <c r="F992" s="174"/>
      <c r="G992" s="174"/>
      <c r="H992" s="174"/>
      <c r="I992" s="174"/>
      <c r="J992" s="174"/>
      <c r="K992" s="174"/>
      <c r="L992" s="174"/>
      <c r="M992" s="174"/>
      <c r="N992" s="174"/>
      <c r="O992" s="174"/>
      <c r="P992" s="174"/>
      <c r="Q992" s="174"/>
      <c r="R992" s="174"/>
      <c r="S992" s="174"/>
      <c r="T992" s="174"/>
      <c r="U992" s="174"/>
      <c r="V992" s="174"/>
      <c r="W992" s="174"/>
      <c r="X992" s="174"/>
      <c r="Y992" s="174"/>
      <c r="Z992" s="174"/>
    </row>
    <row r="993" customFormat="false" ht="15.75" hidden="false" customHeight="false" outlineLevel="0" collapsed="false">
      <c r="A993" s="174"/>
      <c r="B993" s="174"/>
      <c r="C993" s="174"/>
      <c r="D993" s="174"/>
      <c r="E993" s="174"/>
      <c r="F993" s="174"/>
      <c r="G993" s="174"/>
      <c r="H993" s="174"/>
      <c r="I993" s="174"/>
      <c r="J993" s="174"/>
      <c r="K993" s="174"/>
      <c r="L993" s="174"/>
      <c r="M993" s="174"/>
      <c r="N993" s="174"/>
      <c r="O993" s="174"/>
      <c r="P993" s="174"/>
      <c r="Q993" s="174"/>
      <c r="R993" s="174"/>
      <c r="S993" s="174"/>
      <c r="T993" s="174"/>
      <c r="U993" s="174"/>
      <c r="V993" s="174"/>
      <c r="W993" s="174"/>
      <c r="X993" s="174"/>
      <c r="Y993" s="174"/>
      <c r="Z993" s="174"/>
    </row>
    <row r="994" customFormat="false" ht="15.75" hidden="false" customHeight="false" outlineLevel="0" collapsed="false">
      <c r="A994" s="174"/>
      <c r="B994" s="174"/>
      <c r="C994" s="174"/>
      <c r="D994" s="174"/>
      <c r="E994" s="174"/>
      <c r="F994" s="174"/>
      <c r="G994" s="174"/>
      <c r="H994" s="174"/>
      <c r="I994" s="174"/>
      <c r="J994" s="174"/>
      <c r="K994" s="174"/>
      <c r="L994" s="174"/>
      <c r="M994" s="174"/>
      <c r="N994" s="174"/>
      <c r="O994" s="174"/>
      <c r="P994" s="174"/>
      <c r="Q994" s="174"/>
      <c r="R994" s="174"/>
      <c r="S994" s="174"/>
      <c r="T994" s="174"/>
      <c r="U994" s="174"/>
      <c r="V994" s="174"/>
      <c r="W994" s="174"/>
      <c r="X994" s="174"/>
      <c r="Y994" s="174"/>
      <c r="Z994" s="174"/>
    </row>
    <row r="995" customFormat="false" ht="15.75" hidden="false" customHeight="false" outlineLevel="0" collapsed="false">
      <c r="A995" s="174"/>
      <c r="B995" s="174"/>
      <c r="C995" s="174"/>
      <c r="D995" s="174"/>
      <c r="E995" s="174"/>
      <c r="F995" s="174"/>
      <c r="G995" s="174"/>
      <c r="H995" s="174"/>
      <c r="I995" s="174"/>
      <c r="J995" s="174"/>
      <c r="K995" s="174"/>
      <c r="L995" s="174"/>
      <c r="M995" s="174"/>
      <c r="N995" s="174"/>
      <c r="O995" s="174"/>
      <c r="P995" s="174"/>
      <c r="Q995" s="174"/>
      <c r="R995" s="174"/>
      <c r="S995" s="174"/>
      <c r="T995" s="174"/>
      <c r="U995" s="174"/>
      <c r="V995" s="174"/>
      <c r="W995" s="174"/>
      <c r="X995" s="174"/>
      <c r="Y995" s="174"/>
      <c r="Z995" s="174"/>
    </row>
    <row r="996" customFormat="false" ht="15.75" hidden="false" customHeight="false" outlineLevel="0" collapsed="false">
      <c r="A996" s="174"/>
      <c r="B996" s="174"/>
      <c r="C996" s="174"/>
      <c r="D996" s="174"/>
      <c r="E996" s="174"/>
      <c r="F996" s="174"/>
      <c r="G996" s="174"/>
      <c r="H996" s="174"/>
      <c r="I996" s="174"/>
      <c r="J996" s="174"/>
      <c r="K996" s="174"/>
      <c r="L996" s="174"/>
      <c r="M996" s="174"/>
      <c r="N996" s="174"/>
      <c r="O996" s="174"/>
      <c r="P996" s="174"/>
      <c r="Q996" s="174"/>
      <c r="R996" s="174"/>
      <c r="S996" s="174"/>
      <c r="T996" s="174"/>
      <c r="U996" s="174"/>
      <c r="V996" s="174"/>
      <c r="W996" s="174"/>
      <c r="X996" s="174"/>
      <c r="Y996" s="174"/>
      <c r="Z996" s="174"/>
    </row>
    <row r="997" customFormat="false" ht="15.75" hidden="false" customHeight="false" outlineLevel="0" collapsed="false">
      <c r="A997" s="174"/>
      <c r="B997" s="174"/>
      <c r="C997" s="174"/>
      <c r="D997" s="174"/>
      <c r="E997" s="174"/>
      <c r="F997" s="174"/>
      <c r="G997" s="174"/>
      <c r="H997" s="174"/>
      <c r="I997" s="174"/>
      <c r="J997" s="174"/>
      <c r="K997" s="174"/>
      <c r="L997" s="174"/>
      <c r="M997" s="174"/>
      <c r="N997" s="174"/>
      <c r="O997" s="174"/>
      <c r="P997" s="174"/>
      <c r="Q997" s="174"/>
      <c r="R997" s="174"/>
      <c r="S997" s="174"/>
      <c r="T997" s="174"/>
      <c r="U997" s="174"/>
      <c r="V997" s="174"/>
      <c r="W997" s="174"/>
      <c r="X997" s="174"/>
      <c r="Y997" s="174"/>
      <c r="Z997" s="174"/>
    </row>
    <row r="998" customFormat="false" ht="15.75" hidden="false" customHeight="false" outlineLevel="0" collapsed="false">
      <c r="A998" s="174"/>
      <c r="B998" s="174"/>
      <c r="C998" s="174"/>
      <c r="D998" s="174"/>
      <c r="E998" s="174"/>
      <c r="F998" s="174"/>
      <c r="G998" s="174"/>
      <c r="H998" s="174"/>
      <c r="I998" s="174"/>
      <c r="J998" s="174"/>
      <c r="K998" s="174"/>
      <c r="L998" s="174"/>
      <c r="M998" s="174"/>
      <c r="N998" s="174"/>
      <c r="O998" s="174"/>
      <c r="P998" s="174"/>
      <c r="Q998" s="174"/>
      <c r="R998" s="174"/>
      <c r="S998" s="174"/>
      <c r="T998" s="174"/>
      <c r="U998" s="174"/>
      <c r="V998" s="174"/>
      <c r="W998" s="174"/>
      <c r="X998" s="174"/>
      <c r="Y998" s="174"/>
      <c r="Z998" s="174"/>
    </row>
    <row r="999" customFormat="false" ht="15.75" hidden="false" customHeight="false" outlineLevel="0" collapsed="false">
      <c r="A999" s="174"/>
      <c r="B999" s="174"/>
      <c r="C999" s="174"/>
      <c r="D999" s="174"/>
      <c r="E999" s="174"/>
      <c r="F999" s="174"/>
      <c r="G999" s="174"/>
      <c r="H999" s="174"/>
      <c r="I999" s="174"/>
      <c r="J999" s="174"/>
      <c r="K999" s="174"/>
      <c r="L999" s="174"/>
      <c r="M999" s="174"/>
      <c r="N999" s="174"/>
      <c r="O999" s="174"/>
      <c r="P999" s="174"/>
      <c r="Q999" s="174"/>
      <c r="R999" s="174"/>
      <c r="S999" s="174"/>
      <c r="T999" s="174"/>
      <c r="U999" s="174"/>
      <c r="V999" s="174"/>
      <c r="W999" s="174"/>
      <c r="X999" s="174"/>
      <c r="Y999" s="174"/>
      <c r="Z999" s="174"/>
    </row>
    <row r="1000" customFormat="false" ht="15.75" hidden="false" customHeight="false" outlineLevel="0" collapsed="false">
      <c r="A1000" s="174"/>
      <c r="B1000" s="174"/>
      <c r="C1000" s="174"/>
      <c r="D1000" s="174"/>
      <c r="E1000" s="174"/>
      <c r="F1000" s="174"/>
      <c r="G1000" s="174"/>
      <c r="H1000" s="174"/>
      <c r="I1000" s="174"/>
      <c r="J1000" s="174"/>
      <c r="K1000" s="174"/>
      <c r="L1000" s="174"/>
      <c r="M1000" s="174"/>
      <c r="N1000" s="174"/>
      <c r="O1000" s="174"/>
      <c r="P1000" s="174"/>
      <c r="Q1000" s="174"/>
      <c r="R1000" s="174"/>
      <c r="S1000" s="174"/>
      <c r="T1000" s="174"/>
      <c r="U1000" s="174"/>
      <c r="V1000" s="174"/>
      <c r="W1000" s="174"/>
      <c r="X1000" s="174"/>
      <c r="Y1000" s="174"/>
      <c r="Z1000" s="17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7" t="s">
        <v>29</v>
      </c>
      <c r="B1" s="7" t="s">
        <v>28</v>
      </c>
      <c r="C1" s="7" t="s">
        <v>31</v>
      </c>
      <c r="D1" s="7" t="s">
        <v>25</v>
      </c>
      <c r="E1" s="7" t="s">
        <v>55</v>
      </c>
      <c r="F1" s="7" t="s">
        <v>30</v>
      </c>
      <c r="G1" s="7" t="s">
        <v>32</v>
      </c>
      <c r="H1" s="7" t="s">
        <v>27</v>
      </c>
      <c r="I1" s="7" t="s">
        <v>26</v>
      </c>
    </row>
    <row r="2" customFormat="false" ht="15.75" hidden="false" customHeight="false" outlineLevel="0" collapsed="false">
      <c r="A2" s="7" t="str">
        <f aca="false">Scoring!CE9</f>
        <v/>
      </c>
      <c r="B2" s="7" t="str">
        <f aca="false">Scoring!CD9</f>
        <v/>
      </c>
      <c r="C2" s="7" t="n">
        <f aca="false">Scoring!C9</f>
        <v>0</v>
      </c>
      <c r="D2" s="181" t="str">
        <f aca="false">Scoring!CA9</f>
        <v/>
      </c>
      <c r="E2" s="7" t="str">
        <f aca="false">Scoring!BD9</f>
        <v/>
      </c>
      <c r="F2" s="7" t="n">
        <f aca="false">Scoring!B9</f>
        <v>0</v>
      </c>
      <c r="G2" s="7" t="n">
        <f aca="false">Scoring!D9</f>
        <v>0</v>
      </c>
      <c r="H2" s="7" t="str">
        <f aca="false">Scoring!CC9</f>
        <v/>
      </c>
      <c r="I2" s="182" t="str">
        <f aca="false">Scoring!CB9</f>
        <v/>
      </c>
    </row>
    <row r="3" customFormat="false" ht="15.75" hidden="false" customHeight="false" outlineLevel="0" collapsed="false">
      <c r="A3" s="7" t="str">
        <f aca="false">Scoring!CE10</f>
        <v/>
      </c>
      <c r="B3" s="7" t="str">
        <f aca="false">Scoring!CD10</f>
        <v/>
      </c>
      <c r="C3" s="7" t="n">
        <f aca="false">Scoring!C10</f>
        <v>0</v>
      </c>
      <c r="D3" s="181" t="str">
        <f aca="false">Scoring!CA10</f>
        <v/>
      </c>
      <c r="E3" s="7" t="str">
        <f aca="false">Scoring!BD10</f>
        <v/>
      </c>
      <c r="F3" s="7" t="n">
        <f aca="false">Scoring!B10</f>
        <v>0</v>
      </c>
      <c r="G3" s="7" t="n">
        <f aca="false">Scoring!D10</f>
        <v>0</v>
      </c>
      <c r="H3" s="7" t="str">
        <f aca="false">Scoring!CC10</f>
        <v/>
      </c>
      <c r="I3" s="182" t="str">
        <f aca="false">Scoring!CB10</f>
        <v/>
      </c>
    </row>
    <row r="4" customFormat="false" ht="15.75" hidden="false" customHeight="false" outlineLevel="0" collapsed="false">
      <c r="A4" s="7" t="str">
        <f aca="false">Scoring!CE11</f>
        <v/>
      </c>
      <c r="B4" s="7" t="str">
        <f aca="false">Scoring!CD11</f>
        <v/>
      </c>
      <c r="C4" s="7" t="n">
        <f aca="false">Scoring!C11</f>
        <v>0</v>
      </c>
      <c r="D4" s="181" t="str">
        <f aca="false">Scoring!CA11</f>
        <v/>
      </c>
      <c r="E4" s="7" t="str">
        <f aca="false">Scoring!BD11</f>
        <v/>
      </c>
      <c r="F4" s="7" t="n">
        <f aca="false">Scoring!B11</f>
        <v>0</v>
      </c>
      <c r="G4" s="7" t="n">
        <f aca="false">Scoring!D11</f>
        <v>0</v>
      </c>
      <c r="H4" s="7" t="str">
        <f aca="false">Scoring!CC11</f>
        <v/>
      </c>
      <c r="I4" s="182" t="str">
        <f aca="false">Scoring!CB11</f>
        <v/>
      </c>
    </row>
    <row r="5" customFormat="false" ht="15.75" hidden="false" customHeight="false" outlineLevel="0" collapsed="false">
      <c r="A5" s="7" t="str">
        <f aca="false">Scoring!CE12</f>
        <v/>
      </c>
      <c r="B5" s="7" t="str">
        <f aca="false">Scoring!CD12</f>
        <v/>
      </c>
      <c r="C5" s="7" t="n">
        <f aca="false">Scoring!C12</f>
        <v>0</v>
      </c>
      <c r="D5" s="181" t="str">
        <f aca="false">Scoring!CA12</f>
        <v/>
      </c>
      <c r="E5" s="7" t="str">
        <f aca="false">Scoring!BD12</f>
        <v/>
      </c>
      <c r="F5" s="7" t="n">
        <f aca="false">Scoring!B12</f>
        <v>0</v>
      </c>
      <c r="G5" s="7" t="n">
        <f aca="false">Scoring!D12</f>
        <v>0</v>
      </c>
      <c r="H5" s="7" t="str">
        <f aca="false">Scoring!CC12</f>
        <v/>
      </c>
      <c r="I5" s="182" t="str">
        <f aca="false">Scoring!CB12</f>
        <v/>
      </c>
    </row>
    <row r="6" customFormat="false" ht="15.75" hidden="false" customHeight="false" outlineLevel="0" collapsed="false">
      <c r="A6" s="7" t="str">
        <f aca="false">Scoring!CE13</f>
        <v/>
      </c>
      <c r="B6" s="7" t="str">
        <f aca="false">Scoring!CD13</f>
        <v/>
      </c>
      <c r="C6" s="7" t="n">
        <f aca="false">Scoring!C13</f>
        <v>0</v>
      </c>
      <c r="D6" s="181" t="str">
        <f aca="false">Scoring!CA13</f>
        <v/>
      </c>
      <c r="E6" s="7" t="str">
        <f aca="false">Scoring!BD13</f>
        <v/>
      </c>
      <c r="F6" s="7" t="n">
        <f aca="false">Scoring!B13</f>
        <v>0</v>
      </c>
      <c r="G6" s="7" t="n">
        <f aca="false">Scoring!D13</f>
        <v>0</v>
      </c>
      <c r="H6" s="7" t="str">
        <f aca="false">Scoring!CC13</f>
        <v/>
      </c>
      <c r="I6" s="182" t="str">
        <f aca="false">Scoring!CB13</f>
        <v/>
      </c>
    </row>
    <row r="7" customFormat="false" ht="15.75" hidden="false" customHeight="false" outlineLevel="0" collapsed="false">
      <c r="A7" s="7" t="str">
        <f aca="false">Scoring!CE14</f>
        <v/>
      </c>
      <c r="B7" s="7" t="str">
        <f aca="false">Scoring!CD14</f>
        <v/>
      </c>
      <c r="C7" s="7" t="n">
        <f aca="false">Scoring!C14</f>
        <v>0</v>
      </c>
      <c r="D7" s="181" t="str">
        <f aca="false">Scoring!CA14</f>
        <v/>
      </c>
      <c r="E7" s="7" t="str">
        <f aca="false">Scoring!BD14</f>
        <v/>
      </c>
      <c r="F7" s="7" t="n">
        <f aca="false">Scoring!B14</f>
        <v>0</v>
      </c>
      <c r="G7" s="7" t="n">
        <f aca="false">Scoring!D14</f>
        <v>0</v>
      </c>
      <c r="H7" s="7" t="str">
        <f aca="false">Scoring!CC14</f>
        <v/>
      </c>
      <c r="I7" s="182" t="str">
        <f aca="false">Scoring!CB14</f>
        <v/>
      </c>
    </row>
    <row r="8" customFormat="false" ht="15.75" hidden="false" customHeight="false" outlineLevel="0" collapsed="false">
      <c r="A8" s="7" t="str">
        <f aca="false">Scoring!CE15</f>
        <v/>
      </c>
      <c r="B8" s="7" t="str">
        <f aca="false">Scoring!CD15</f>
        <v/>
      </c>
      <c r="C8" s="7" t="n">
        <f aca="false">Scoring!C15</f>
        <v>0</v>
      </c>
      <c r="D8" s="181" t="str">
        <f aca="false">Scoring!CA15</f>
        <v/>
      </c>
      <c r="E8" s="7" t="str">
        <f aca="false">Scoring!BD15</f>
        <v/>
      </c>
      <c r="F8" s="7" t="n">
        <f aca="false">Scoring!B15</f>
        <v>0</v>
      </c>
      <c r="G8" s="7" t="n">
        <f aca="false">Scoring!D15</f>
        <v>0</v>
      </c>
      <c r="H8" s="7" t="str">
        <f aca="false">Scoring!CC15</f>
        <v/>
      </c>
      <c r="I8" s="182" t="str">
        <f aca="false">Scoring!CB15</f>
        <v/>
      </c>
    </row>
    <row r="9" customFormat="false" ht="15.75" hidden="false" customHeight="false" outlineLevel="0" collapsed="false">
      <c r="A9" s="7" t="str">
        <f aca="false">Scoring!CE16</f>
        <v/>
      </c>
      <c r="B9" s="7" t="str">
        <f aca="false">Scoring!CD16</f>
        <v/>
      </c>
      <c r="C9" s="7" t="n">
        <f aca="false">Scoring!C16</f>
        <v>0</v>
      </c>
      <c r="D9" s="181" t="str">
        <f aca="false">Scoring!CA16</f>
        <v/>
      </c>
      <c r="E9" s="7" t="str">
        <f aca="false">Scoring!BD16</f>
        <v/>
      </c>
      <c r="F9" s="7" t="n">
        <f aca="false">Scoring!B16</f>
        <v>0</v>
      </c>
      <c r="G9" s="7" t="n">
        <f aca="false">Scoring!D16</f>
        <v>0</v>
      </c>
      <c r="H9" s="7" t="str">
        <f aca="false">Scoring!CC16</f>
        <v/>
      </c>
      <c r="I9" s="182" t="str">
        <f aca="false">Scoring!CB16</f>
        <v/>
      </c>
    </row>
    <row r="10" customFormat="false" ht="15.75" hidden="false" customHeight="false" outlineLevel="0" collapsed="false">
      <c r="A10" s="7" t="str">
        <f aca="false">Scoring!CE17</f>
        <v/>
      </c>
      <c r="B10" s="7" t="str">
        <f aca="false">Scoring!CD17</f>
        <v/>
      </c>
      <c r="C10" s="7" t="n">
        <f aca="false">Scoring!C17</f>
        <v>0</v>
      </c>
      <c r="D10" s="181" t="str">
        <f aca="false">Scoring!CA17</f>
        <v/>
      </c>
      <c r="E10" s="7" t="str">
        <f aca="false">Scoring!BD17</f>
        <v/>
      </c>
      <c r="F10" s="7" t="n">
        <f aca="false">Scoring!B17</f>
        <v>0</v>
      </c>
      <c r="G10" s="7" t="n">
        <f aca="false">Scoring!D17</f>
        <v>0</v>
      </c>
      <c r="H10" s="7" t="str">
        <f aca="false">Scoring!CC17</f>
        <v/>
      </c>
      <c r="I10" s="182" t="str">
        <f aca="false">Scoring!CB17</f>
        <v/>
      </c>
    </row>
    <row r="11" customFormat="false" ht="15.75" hidden="false" customHeight="false" outlineLevel="0" collapsed="false">
      <c r="A11" s="7" t="str">
        <f aca="false">Scoring!CE18</f>
        <v/>
      </c>
      <c r="B11" s="7" t="str">
        <f aca="false">Scoring!CD18</f>
        <v/>
      </c>
      <c r="C11" s="7" t="n">
        <f aca="false">Scoring!C18</f>
        <v>0</v>
      </c>
      <c r="D11" s="181" t="str">
        <f aca="false">Scoring!CA18</f>
        <v/>
      </c>
      <c r="E11" s="7" t="str">
        <f aca="false">Scoring!BD18</f>
        <v/>
      </c>
      <c r="F11" s="7" t="n">
        <f aca="false">Scoring!B18</f>
        <v>0</v>
      </c>
      <c r="G11" s="7" t="n">
        <f aca="false">Scoring!D18</f>
        <v>0</v>
      </c>
      <c r="H11" s="7" t="str">
        <f aca="false">Scoring!CC18</f>
        <v/>
      </c>
      <c r="I11" s="182" t="str">
        <f aca="false">Scoring!CB18</f>
        <v/>
      </c>
    </row>
    <row r="12" customFormat="false" ht="15.75" hidden="false" customHeight="false" outlineLevel="0" collapsed="false">
      <c r="A12" s="7" t="str">
        <f aca="false">Scoring!CE19</f>
        <v/>
      </c>
      <c r="B12" s="7" t="str">
        <f aca="false">Scoring!CD19</f>
        <v/>
      </c>
      <c r="C12" s="7" t="n">
        <f aca="false">Scoring!C19</f>
        <v>0</v>
      </c>
      <c r="D12" s="181" t="str">
        <f aca="false">Scoring!CA19</f>
        <v/>
      </c>
      <c r="E12" s="7" t="str">
        <f aca="false">Scoring!BD19</f>
        <v/>
      </c>
      <c r="F12" s="7" t="n">
        <f aca="false">Scoring!B19</f>
        <v>0</v>
      </c>
      <c r="G12" s="7" t="n">
        <f aca="false">Scoring!D19</f>
        <v>0</v>
      </c>
      <c r="H12" s="7" t="str">
        <f aca="false">Scoring!CC19</f>
        <v/>
      </c>
      <c r="I12" s="182" t="str">
        <f aca="false">Scoring!CB19</f>
        <v/>
      </c>
    </row>
    <row r="13" customFormat="false" ht="15.75" hidden="false" customHeight="false" outlineLevel="0" collapsed="false">
      <c r="A13" s="7" t="str">
        <f aca="false">Scoring!CE20</f>
        <v/>
      </c>
      <c r="B13" s="7" t="str">
        <f aca="false">Scoring!CD20</f>
        <v/>
      </c>
      <c r="C13" s="7" t="n">
        <f aca="false">Scoring!C20</f>
        <v>0</v>
      </c>
      <c r="D13" s="181" t="str">
        <f aca="false">Scoring!CA20</f>
        <v/>
      </c>
      <c r="E13" s="7" t="str">
        <f aca="false">Scoring!BD20</f>
        <v/>
      </c>
      <c r="F13" s="7" t="n">
        <f aca="false">Scoring!B20</f>
        <v>0</v>
      </c>
      <c r="G13" s="7" t="n">
        <f aca="false">Scoring!D20</f>
        <v>0</v>
      </c>
      <c r="H13" s="7" t="str">
        <f aca="false">Scoring!CC20</f>
        <v/>
      </c>
      <c r="I13" s="182" t="str">
        <f aca="false">Scoring!CB20</f>
        <v/>
      </c>
    </row>
    <row r="14" customFormat="false" ht="15.75" hidden="false" customHeight="false" outlineLevel="0" collapsed="false">
      <c r="A14" s="7" t="str">
        <f aca="false">Scoring!CE21</f>
        <v/>
      </c>
      <c r="B14" s="7" t="str">
        <f aca="false">Scoring!CD21</f>
        <v/>
      </c>
      <c r="C14" s="7" t="n">
        <f aca="false">Scoring!C21</f>
        <v>0</v>
      </c>
      <c r="D14" s="181" t="str">
        <f aca="false">Scoring!CA21</f>
        <v/>
      </c>
      <c r="E14" s="7" t="str">
        <f aca="false">Scoring!BD21</f>
        <v/>
      </c>
      <c r="F14" s="7" t="n">
        <f aca="false">Scoring!B21</f>
        <v>0</v>
      </c>
      <c r="G14" s="7" t="n">
        <f aca="false">Scoring!D21</f>
        <v>0</v>
      </c>
      <c r="H14" s="7" t="str">
        <f aca="false">Scoring!CC21</f>
        <v/>
      </c>
      <c r="I14" s="182" t="str">
        <f aca="false">Scoring!CB21</f>
        <v/>
      </c>
    </row>
    <row r="15" customFormat="false" ht="15.75" hidden="false" customHeight="false" outlineLevel="0" collapsed="false">
      <c r="A15" s="7" t="str">
        <f aca="false">Scoring!CE22</f>
        <v/>
      </c>
      <c r="B15" s="7" t="str">
        <f aca="false">Scoring!CD22</f>
        <v/>
      </c>
      <c r="C15" s="7" t="n">
        <f aca="false">Scoring!C22</f>
        <v>0</v>
      </c>
      <c r="D15" s="181" t="str">
        <f aca="false">Scoring!CA22</f>
        <v/>
      </c>
      <c r="E15" s="7" t="str">
        <f aca="false">Scoring!BD22</f>
        <v/>
      </c>
      <c r="F15" s="7" t="n">
        <f aca="false">Scoring!B22</f>
        <v>0</v>
      </c>
      <c r="G15" s="7" t="n">
        <f aca="false">Scoring!D22</f>
        <v>0</v>
      </c>
      <c r="H15" s="7" t="str">
        <f aca="false">Scoring!CC22</f>
        <v/>
      </c>
      <c r="I15" s="182" t="str">
        <f aca="false">Scoring!CB22</f>
        <v/>
      </c>
    </row>
    <row r="16" customFormat="false" ht="15.75" hidden="false" customHeight="false" outlineLevel="0" collapsed="false">
      <c r="A16" s="7" t="str">
        <f aca="false">Scoring!CE23</f>
        <v/>
      </c>
      <c r="B16" s="7" t="str">
        <f aca="false">Scoring!CD23</f>
        <v/>
      </c>
      <c r="C16" s="7" t="n">
        <f aca="false">Scoring!C23</f>
        <v>0</v>
      </c>
      <c r="D16" s="181" t="str">
        <f aca="false">Scoring!CA23</f>
        <v/>
      </c>
      <c r="E16" s="7" t="str">
        <f aca="false">Scoring!BD23</f>
        <v/>
      </c>
      <c r="F16" s="7" t="n">
        <f aca="false">Scoring!B23</f>
        <v>0</v>
      </c>
      <c r="G16" s="7" t="n">
        <f aca="false">Scoring!D23</f>
        <v>0</v>
      </c>
      <c r="H16" s="7" t="str">
        <f aca="false">Scoring!CC23</f>
        <v/>
      </c>
      <c r="I16" s="182" t="str">
        <f aca="false">Scoring!CB23</f>
        <v/>
      </c>
    </row>
    <row r="17" customFormat="false" ht="15.75" hidden="false" customHeight="false" outlineLevel="0" collapsed="false">
      <c r="A17" s="7" t="str">
        <f aca="false">Scoring!CE24</f>
        <v/>
      </c>
      <c r="B17" s="7" t="str">
        <f aca="false">Scoring!CD24</f>
        <v/>
      </c>
      <c r="C17" s="7" t="n">
        <f aca="false">Scoring!C24</f>
        <v>0</v>
      </c>
      <c r="D17" s="181" t="str">
        <f aca="false">Scoring!CA24</f>
        <v/>
      </c>
      <c r="E17" s="7" t="str">
        <f aca="false">Scoring!BD24</f>
        <v/>
      </c>
      <c r="F17" s="7" t="n">
        <f aca="false">Scoring!B24</f>
        <v>0</v>
      </c>
      <c r="G17" s="7" t="n">
        <f aca="false">Scoring!D24</f>
        <v>0</v>
      </c>
      <c r="H17" s="7" t="str">
        <f aca="false">Scoring!CC24</f>
        <v/>
      </c>
      <c r="I17" s="182" t="str">
        <f aca="false">Scoring!CB24</f>
        <v/>
      </c>
    </row>
    <row r="18" customFormat="false" ht="15.75" hidden="false" customHeight="false" outlineLevel="0" collapsed="false">
      <c r="A18" s="7" t="str">
        <f aca="false">Scoring!CE25</f>
        <v/>
      </c>
      <c r="B18" s="7" t="str">
        <f aca="false">Scoring!CD25</f>
        <v/>
      </c>
      <c r="C18" s="7" t="n">
        <f aca="false">Scoring!C25</f>
        <v>0</v>
      </c>
      <c r="D18" s="181" t="str">
        <f aca="false">Scoring!CA25</f>
        <v/>
      </c>
      <c r="E18" s="7" t="str">
        <f aca="false">Scoring!BD25</f>
        <v/>
      </c>
      <c r="F18" s="7" t="n">
        <f aca="false">Scoring!B25</f>
        <v>0</v>
      </c>
      <c r="G18" s="7" t="n">
        <f aca="false">Scoring!D25</f>
        <v>0</v>
      </c>
      <c r="H18" s="7" t="str">
        <f aca="false">Scoring!CC25</f>
        <v/>
      </c>
      <c r="I18" s="182" t="str">
        <f aca="false">Scoring!CB25</f>
        <v/>
      </c>
    </row>
    <row r="19" customFormat="false" ht="15.75" hidden="false" customHeight="false" outlineLevel="0" collapsed="false">
      <c r="A19" s="7" t="str">
        <f aca="false">Scoring!CE26</f>
        <v/>
      </c>
      <c r="B19" s="7" t="str">
        <f aca="false">Scoring!CD26</f>
        <v/>
      </c>
      <c r="C19" s="7" t="n">
        <f aca="false">Scoring!C26</f>
        <v>0</v>
      </c>
      <c r="D19" s="181" t="str">
        <f aca="false">Scoring!CA26</f>
        <v/>
      </c>
      <c r="E19" s="7" t="str">
        <f aca="false">Scoring!BD26</f>
        <v/>
      </c>
      <c r="F19" s="7" t="n">
        <f aca="false">Scoring!B26</f>
        <v>0</v>
      </c>
      <c r="G19" s="7" t="n">
        <f aca="false">Scoring!D26</f>
        <v>0</v>
      </c>
      <c r="H19" s="7" t="str">
        <f aca="false">Scoring!CC26</f>
        <v/>
      </c>
      <c r="I19" s="182" t="str">
        <f aca="false">Scoring!CB26</f>
        <v/>
      </c>
    </row>
    <row r="20" customFormat="false" ht="15.75" hidden="false" customHeight="false" outlineLevel="0" collapsed="false">
      <c r="A20" s="7" t="str">
        <f aca="false">Scoring!CE27</f>
        <v/>
      </c>
      <c r="B20" s="7" t="str">
        <f aca="false">Scoring!CD27</f>
        <v/>
      </c>
      <c r="C20" s="7" t="n">
        <f aca="false">Scoring!C27</f>
        <v>0</v>
      </c>
      <c r="D20" s="181" t="str">
        <f aca="false">Scoring!CA27</f>
        <v/>
      </c>
      <c r="E20" s="7" t="str">
        <f aca="false">Scoring!BD27</f>
        <v/>
      </c>
      <c r="F20" s="7" t="n">
        <f aca="false">Scoring!B27</f>
        <v>0</v>
      </c>
      <c r="G20" s="7" t="n">
        <f aca="false">Scoring!D27</f>
        <v>0</v>
      </c>
      <c r="H20" s="7" t="str">
        <f aca="false">Scoring!CC27</f>
        <v/>
      </c>
      <c r="I20" s="182" t="str">
        <f aca="false">Scoring!CB27</f>
        <v/>
      </c>
    </row>
    <row r="21" customFormat="false" ht="15.75" hidden="false" customHeight="false" outlineLevel="0" collapsed="false">
      <c r="A21" s="7" t="str">
        <f aca="false">Scoring!CE28</f>
        <v/>
      </c>
      <c r="B21" s="7" t="str">
        <f aca="false">Scoring!CD28</f>
        <v/>
      </c>
      <c r="C21" s="7" t="n">
        <f aca="false">Scoring!C28</f>
        <v>0</v>
      </c>
      <c r="D21" s="181" t="str">
        <f aca="false">Scoring!CA28</f>
        <v/>
      </c>
      <c r="E21" s="7" t="str">
        <f aca="false">Scoring!BD28</f>
        <v/>
      </c>
      <c r="F21" s="7" t="n">
        <f aca="false">Scoring!B28</f>
        <v>0</v>
      </c>
      <c r="G21" s="7" t="n">
        <f aca="false">Scoring!D28</f>
        <v>0</v>
      </c>
      <c r="H21" s="7" t="str">
        <f aca="false">Scoring!CC28</f>
        <v/>
      </c>
      <c r="I21" s="182" t="str">
        <f aca="false">Scoring!CB28</f>
        <v/>
      </c>
    </row>
    <row r="22" customFormat="false" ht="15.75" hidden="false" customHeight="false" outlineLevel="0" collapsed="false">
      <c r="A22" s="7" t="str">
        <f aca="false">Scoring!CE29</f>
        <v/>
      </c>
      <c r="B22" s="7" t="str">
        <f aca="false">Scoring!CD29</f>
        <v/>
      </c>
      <c r="C22" s="7" t="n">
        <f aca="false">Scoring!C29</f>
        <v>0</v>
      </c>
      <c r="D22" s="181" t="str">
        <f aca="false">Scoring!CA29</f>
        <v/>
      </c>
      <c r="E22" s="7" t="str">
        <f aca="false">Scoring!BD29</f>
        <v/>
      </c>
      <c r="F22" s="7" t="n">
        <f aca="false">Scoring!B29</f>
        <v>0</v>
      </c>
      <c r="G22" s="7" t="n">
        <f aca="false">Scoring!D29</f>
        <v>0</v>
      </c>
      <c r="H22" s="7" t="str">
        <f aca="false">Scoring!CC29</f>
        <v/>
      </c>
      <c r="I22" s="182" t="str">
        <f aca="false">Scoring!CB29</f>
        <v/>
      </c>
    </row>
    <row r="23" customFormat="false" ht="15.75" hidden="false" customHeight="false" outlineLevel="0" collapsed="false">
      <c r="A23" s="7" t="str">
        <f aca="false">Scoring!CE30</f>
        <v/>
      </c>
      <c r="B23" s="7" t="str">
        <f aca="false">Scoring!CD30</f>
        <v/>
      </c>
      <c r="C23" s="7" t="n">
        <f aca="false">Scoring!C30</f>
        <v>0</v>
      </c>
      <c r="D23" s="181" t="str">
        <f aca="false">Scoring!CA30</f>
        <v/>
      </c>
      <c r="E23" s="7" t="str">
        <f aca="false">Scoring!BD30</f>
        <v/>
      </c>
      <c r="F23" s="7" t="n">
        <f aca="false">Scoring!B30</f>
        <v>0</v>
      </c>
      <c r="G23" s="7" t="n">
        <f aca="false">Scoring!D30</f>
        <v>0</v>
      </c>
      <c r="H23" s="7" t="str">
        <f aca="false">Scoring!CC30</f>
        <v/>
      </c>
      <c r="I23" s="182" t="str">
        <f aca="false">Scoring!CB30</f>
        <v/>
      </c>
    </row>
    <row r="24" customFormat="false" ht="15.75" hidden="false" customHeight="false" outlineLevel="0" collapsed="false">
      <c r="A24" s="7" t="str">
        <f aca="false">Scoring!CE31</f>
        <v/>
      </c>
      <c r="B24" s="7" t="str">
        <f aca="false">Scoring!CD31</f>
        <v/>
      </c>
      <c r="C24" s="7" t="n">
        <f aca="false">Scoring!C31</f>
        <v>0</v>
      </c>
      <c r="D24" s="181" t="str">
        <f aca="false">Scoring!CA31</f>
        <v/>
      </c>
      <c r="E24" s="7" t="str">
        <f aca="false">Scoring!BD31</f>
        <v/>
      </c>
      <c r="F24" s="7" t="n">
        <f aca="false">Scoring!B31</f>
        <v>0</v>
      </c>
      <c r="G24" s="7" t="n">
        <f aca="false">Scoring!D31</f>
        <v>0</v>
      </c>
      <c r="H24" s="7" t="str">
        <f aca="false">Scoring!CC31</f>
        <v/>
      </c>
      <c r="I24" s="182" t="str">
        <f aca="false">Scoring!CB31</f>
        <v/>
      </c>
    </row>
    <row r="25" customFormat="false" ht="15.75" hidden="false" customHeight="false" outlineLevel="0" collapsed="false">
      <c r="A25" s="7" t="str">
        <f aca="false">Scoring!CE32</f>
        <v/>
      </c>
      <c r="B25" s="7" t="str">
        <f aca="false">Scoring!CD32</f>
        <v/>
      </c>
      <c r="C25" s="7" t="n">
        <f aca="false">Scoring!C32</f>
        <v>0</v>
      </c>
      <c r="D25" s="181" t="str">
        <f aca="false">Scoring!CA32</f>
        <v/>
      </c>
      <c r="E25" s="7" t="str">
        <f aca="false">Scoring!BD32</f>
        <v/>
      </c>
      <c r="F25" s="7" t="n">
        <f aca="false">Scoring!B32</f>
        <v>0</v>
      </c>
      <c r="G25" s="7" t="n">
        <f aca="false">Scoring!D32</f>
        <v>0</v>
      </c>
      <c r="H25" s="7" t="str">
        <f aca="false">Scoring!CC32</f>
        <v/>
      </c>
      <c r="I25" s="182" t="str">
        <f aca="false">Scoring!CB32</f>
        <v/>
      </c>
    </row>
    <row r="26" customFormat="false" ht="15.75" hidden="false" customHeight="false" outlineLevel="0" collapsed="false">
      <c r="A26" s="7" t="str">
        <f aca="false">Scoring!CE33</f>
        <v/>
      </c>
      <c r="B26" s="7" t="str">
        <f aca="false">Scoring!CD33</f>
        <v/>
      </c>
      <c r="C26" s="7" t="n">
        <f aca="false">Scoring!C33</f>
        <v>0</v>
      </c>
      <c r="D26" s="181" t="str">
        <f aca="false">Scoring!CA33</f>
        <v/>
      </c>
      <c r="E26" s="7" t="str">
        <f aca="false">Scoring!BD33</f>
        <v/>
      </c>
      <c r="F26" s="7" t="n">
        <f aca="false">Scoring!B33</f>
        <v>0</v>
      </c>
      <c r="G26" s="7" t="n">
        <f aca="false">Scoring!D33</f>
        <v>0</v>
      </c>
      <c r="H26" s="7" t="str">
        <f aca="false">Scoring!CC33</f>
        <v/>
      </c>
      <c r="I26" s="182" t="str">
        <f aca="false">Scoring!CB33</f>
        <v/>
      </c>
    </row>
    <row r="27" customFormat="false" ht="15.75" hidden="false" customHeight="false" outlineLevel="0" collapsed="false">
      <c r="A27" s="7" t="str">
        <f aca="false">Scoring!CE34</f>
        <v/>
      </c>
      <c r="B27" s="7" t="str">
        <f aca="false">Scoring!CD34</f>
        <v/>
      </c>
      <c r="C27" s="7" t="n">
        <f aca="false">Scoring!C34</f>
        <v>0</v>
      </c>
      <c r="D27" s="181" t="str">
        <f aca="false">Scoring!CA34</f>
        <v/>
      </c>
      <c r="E27" s="7" t="str">
        <f aca="false">Scoring!BD34</f>
        <v/>
      </c>
      <c r="F27" s="7" t="n">
        <f aca="false">Scoring!B34</f>
        <v>0</v>
      </c>
      <c r="G27" s="7" t="n">
        <f aca="false">Scoring!D34</f>
        <v>0</v>
      </c>
      <c r="H27" s="7" t="str">
        <f aca="false">Scoring!CC34</f>
        <v/>
      </c>
      <c r="I27" s="182" t="str">
        <f aca="false">Scoring!CB34</f>
        <v/>
      </c>
    </row>
    <row r="28" customFormat="false" ht="15.75" hidden="false" customHeight="false" outlineLevel="0" collapsed="false">
      <c r="A28" s="7" t="str">
        <f aca="false">Scoring!CE35</f>
        <v/>
      </c>
      <c r="B28" s="7" t="str">
        <f aca="false">Scoring!CD35</f>
        <v/>
      </c>
      <c r="C28" s="7" t="n">
        <f aca="false">Scoring!C35</f>
        <v>0</v>
      </c>
      <c r="D28" s="181" t="str">
        <f aca="false">Scoring!CA35</f>
        <v/>
      </c>
      <c r="E28" s="7" t="str">
        <f aca="false">Scoring!BD35</f>
        <v/>
      </c>
      <c r="F28" s="7" t="n">
        <f aca="false">Scoring!B35</f>
        <v>0</v>
      </c>
      <c r="G28" s="7" t="n">
        <f aca="false">Scoring!D35</f>
        <v>0</v>
      </c>
      <c r="H28" s="7" t="str">
        <f aca="false">Scoring!CC35</f>
        <v/>
      </c>
      <c r="I28" s="182" t="str">
        <f aca="false">Scoring!CB35</f>
        <v/>
      </c>
    </row>
    <row r="29" customFormat="false" ht="15.75" hidden="false" customHeight="false" outlineLevel="0" collapsed="false">
      <c r="A29" s="7" t="str">
        <f aca="false">Scoring!CE36</f>
        <v/>
      </c>
      <c r="B29" s="7" t="str">
        <f aca="false">Scoring!CD36</f>
        <v/>
      </c>
      <c r="C29" s="7" t="n">
        <f aca="false">Scoring!C36</f>
        <v>0</v>
      </c>
      <c r="D29" s="181" t="str">
        <f aca="false">Scoring!CA36</f>
        <v/>
      </c>
      <c r="E29" s="7" t="str">
        <f aca="false">Scoring!BD36</f>
        <v/>
      </c>
      <c r="F29" s="7" t="n">
        <f aca="false">Scoring!B36</f>
        <v>0</v>
      </c>
      <c r="G29" s="7" t="n">
        <f aca="false">Scoring!D36</f>
        <v>0</v>
      </c>
      <c r="H29" s="7" t="str">
        <f aca="false">Scoring!CC36</f>
        <v/>
      </c>
      <c r="I29" s="182" t="str">
        <f aca="false">Scoring!CB36</f>
        <v/>
      </c>
    </row>
    <row r="30" customFormat="false" ht="15.75" hidden="false" customHeight="false" outlineLevel="0" collapsed="false">
      <c r="A30" s="7" t="str">
        <f aca="false">Scoring!CE37</f>
        <v/>
      </c>
      <c r="B30" s="7" t="str">
        <f aca="false">Scoring!CD37</f>
        <v/>
      </c>
      <c r="C30" s="7" t="n">
        <f aca="false">Scoring!C37</f>
        <v>0</v>
      </c>
      <c r="D30" s="181" t="str">
        <f aca="false">Scoring!CA37</f>
        <v/>
      </c>
      <c r="E30" s="7" t="str">
        <f aca="false">Scoring!BD37</f>
        <v/>
      </c>
      <c r="F30" s="7" t="n">
        <f aca="false">Scoring!B37</f>
        <v>0</v>
      </c>
      <c r="G30" s="7" t="n">
        <f aca="false">Scoring!D37</f>
        <v>0</v>
      </c>
      <c r="H30" s="7" t="str">
        <f aca="false">Scoring!CC37</f>
        <v/>
      </c>
      <c r="I30" s="182" t="str">
        <f aca="false">Scoring!CB37</f>
        <v/>
      </c>
    </row>
    <row r="31" customFormat="false" ht="15.75" hidden="false" customHeight="false" outlineLevel="0" collapsed="false">
      <c r="A31" s="7" t="str">
        <f aca="false">Scoring!CE38</f>
        <v/>
      </c>
      <c r="B31" s="7" t="str">
        <f aca="false">Scoring!CD38</f>
        <v/>
      </c>
      <c r="C31" s="7" t="n">
        <f aca="false">Scoring!C38</f>
        <v>0</v>
      </c>
      <c r="D31" s="181" t="str">
        <f aca="false">Scoring!CA38</f>
        <v/>
      </c>
      <c r="E31" s="7" t="str">
        <f aca="false">Scoring!BD38</f>
        <v/>
      </c>
      <c r="F31" s="7" t="n">
        <f aca="false">Scoring!B38</f>
        <v>0</v>
      </c>
      <c r="G31" s="7" t="n">
        <f aca="false">Scoring!D38</f>
        <v>0</v>
      </c>
      <c r="H31" s="7" t="str">
        <f aca="false">Scoring!CC38</f>
        <v/>
      </c>
      <c r="I31" s="182" t="str">
        <f aca="false">Scoring!CB38</f>
        <v/>
      </c>
    </row>
    <row r="32" customFormat="false" ht="15.75" hidden="false" customHeight="false" outlineLevel="0" collapsed="false">
      <c r="A32" s="7" t="str">
        <f aca="false">Scoring!CE39</f>
        <v/>
      </c>
      <c r="B32" s="7" t="str">
        <f aca="false">Scoring!CD39</f>
        <v/>
      </c>
      <c r="C32" s="7" t="n">
        <f aca="false">Scoring!C39</f>
        <v>0</v>
      </c>
      <c r="D32" s="181" t="str">
        <f aca="false">Scoring!CA39</f>
        <v/>
      </c>
      <c r="E32" s="7" t="str">
        <f aca="false">Scoring!BD39</f>
        <v/>
      </c>
      <c r="F32" s="7" t="n">
        <f aca="false">Scoring!B39</f>
        <v>0</v>
      </c>
      <c r="G32" s="7" t="n">
        <f aca="false">Scoring!D39</f>
        <v>0</v>
      </c>
      <c r="H32" s="7" t="str">
        <f aca="false">Scoring!CC39</f>
        <v/>
      </c>
      <c r="I32" s="182" t="str">
        <f aca="false">Scoring!CB39</f>
        <v/>
      </c>
    </row>
    <row r="33" customFormat="false" ht="15.75" hidden="false" customHeight="false" outlineLevel="0" collapsed="false">
      <c r="A33" s="7" t="str">
        <f aca="false">Scoring!CE40</f>
        <v/>
      </c>
      <c r="B33" s="7" t="str">
        <f aca="false">Scoring!CD40</f>
        <v/>
      </c>
      <c r="C33" s="7" t="n">
        <f aca="false">Scoring!C40</f>
        <v>0</v>
      </c>
      <c r="D33" s="181" t="str">
        <f aca="false">Scoring!CA40</f>
        <v/>
      </c>
      <c r="E33" s="7" t="str">
        <f aca="false">Scoring!BD40</f>
        <v/>
      </c>
      <c r="F33" s="7" t="n">
        <f aca="false">Scoring!B40</f>
        <v>0</v>
      </c>
      <c r="G33" s="7" t="n">
        <f aca="false">Scoring!D40</f>
        <v>0</v>
      </c>
      <c r="H33" s="7" t="str">
        <f aca="false">Scoring!CC40</f>
        <v/>
      </c>
      <c r="I33" s="182" t="str">
        <f aca="false">Scoring!CB40</f>
        <v/>
      </c>
    </row>
    <row r="34" customFormat="false" ht="15.75" hidden="false" customHeight="false" outlineLevel="0" collapsed="false">
      <c r="A34" s="7" t="str">
        <f aca="false">Scoring!CE41</f>
        <v/>
      </c>
      <c r="B34" s="7" t="str">
        <f aca="false">Scoring!CD41</f>
        <v/>
      </c>
      <c r="C34" s="7" t="n">
        <f aca="false">Scoring!C41</f>
        <v>0</v>
      </c>
      <c r="D34" s="181" t="str">
        <f aca="false">Scoring!CA41</f>
        <v/>
      </c>
      <c r="E34" s="7" t="str">
        <f aca="false">Scoring!BD41</f>
        <v/>
      </c>
      <c r="F34" s="7" t="n">
        <f aca="false">Scoring!B41</f>
        <v>0</v>
      </c>
      <c r="G34" s="7" t="n">
        <f aca="false">Scoring!D41</f>
        <v>0</v>
      </c>
      <c r="H34" s="7" t="str">
        <f aca="false">Scoring!CC41</f>
        <v/>
      </c>
      <c r="I34" s="182" t="str">
        <f aca="false">Scoring!CB41</f>
        <v/>
      </c>
    </row>
    <row r="35" customFormat="false" ht="15.75" hidden="false" customHeight="false" outlineLevel="0" collapsed="false">
      <c r="A35" s="7" t="str">
        <f aca="false">Scoring!CE42</f>
        <v/>
      </c>
      <c r="B35" s="7" t="str">
        <f aca="false">Scoring!CD42</f>
        <v/>
      </c>
      <c r="C35" s="7" t="n">
        <f aca="false">Scoring!C42</f>
        <v>0</v>
      </c>
      <c r="D35" s="181" t="str">
        <f aca="false">Scoring!CA42</f>
        <v/>
      </c>
      <c r="E35" s="7" t="str">
        <f aca="false">Scoring!BD42</f>
        <v/>
      </c>
      <c r="F35" s="7" t="n">
        <f aca="false">Scoring!B42</f>
        <v>0</v>
      </c>
      <c r="G35" s="7" t="n">
        <f aca="false">Scoring!D42</f>
        <v>0</v>
      </c>
      <c r="H35" s="7" t="str">
        <f aca="false">Scoring!CC42</f>
        <v/>
      </c>
      <c r="I35" s="182" t="str">
        <f aca="false">Scoring!CB42</f>
        <v/>
      </c>
    </row>
    <row r="36" customFormat="false" ht="15.75" hidden="false" customHeight="false" outlineLevel="0" collapsed="false">
      <c r="A36" s="7" t="str">
        <f aca="false">Scoring!CE43</f>
        <v/>
      </c>
      <c r="B36" s="7" t="str">
        <f aca="false">Scoring!CD43</f>
        <v/>
      </c>
      <c r="C36" s="7" t="n">
        <f aca="false">Scoring!C43</f>
        <v>0</v>
      </c>
      <c r="D36" s="181" t="str">
        <f aca="false">Scoring!CA43</f>
        <v/>
      </c>
      <c r="E36" s="7" t="str">
        <f aca="false">Scoring!BD43</f>
        <v/>
      </c>
      <c r="F36" s="7" t="n">
        <f aca="false">Scoring!B43</f>
        <v>0</v>
      </c>
      <c r="G36" s="7" t="n">
        <f aca="false">Scoring!D43</f>
        <v>0</v>
      </c>
      <c r="H36" s="7" t="str">
        <f aca="false">Scoring!CC43</f>
        <v/>
      </c>
      <c r="I36" s="182" t="str">
        <f aca="false">Scoring!CB43</f>
        <v/>
      </c>
    </row>
    <row r="37" customFormat="false" ht="15.75" hidden="false" customHeight="false" outlineLevel="0" collapsed="false">
      <c r="A37" s="7" t="str">
        <f aca="false">Scoring!CE44</f>
        <v/>
      </c>
      <c r="B37" s="7" t="str">
        <f aca="false">Scoring!CD44</f>
        <v/>
      </c>
      <c r="C37" s="7" t="n">
        <f aca="false">Scoring!C44</f>
        <v>0</v>
      </c>
      <c r="D37" s="181" t="str">
        <f aca="false">Scoring!CA44</f>
        <v/>
      </c>
      <c r="E37" s="7" t="str">
        <f aca="false">Scoring!BD44</f>
        <v/>
      </c>
      <c r="F37" s="7" t="n">
        <f aca="false">Scoring!B44</f>
        <v>0</v>
      </c>
      <c r="G37" s="7" t="n">
        <f aca="false">Scoring!D44</f>
        <v>0</v>
      </c>
      <c r="H37" s="7" t="str">
        <f aca="false">Scoring!CC44</f>
        <v/>
      </c>
      <c r="I37" s="182" t="str">
        <f aca="false">Scoring!CB44</f>
        <v/>
      </c>
    </row>
    <row r="38" customFormat="false" ht="15.75" hidden="false" customHeight="false" outlineLevel="0" collapsed="false">
      <c r="A38" s="7" t="str">
        <f aca="false">Scoring!CE45</f>
        <v/>
      </c>
      <c r="B38" s="7" t="str">
        <f aca="false">Scoring!CD45</f>
        <v/>
      </c>
      <c r="C38" s="7" t="n">
        <f aca="false">Scoring!C45</f>
        <v>0</v>
      </c>
      <c r="D38" s="181" t="str">
        <f aca="false">Scoring!CA45</f>
        <v/>
      </c>
      <c r="E38" s="7" t="str">
        <f aca="false">Scoring!BD45</f>
        <v/>
      </c>
      <c r="F38" s="7" t="n">
        <f aca="false">Scoring!B45</f>
        <v>0</v>
      </c>
      <c r="G38" s="7" t="n">
        <f aca="false">Scoring!D45</f>
        <v>0</v>
      </c>
      <c r="H38" s="7" t="str">
        <f aca="false">Scoring!CC45</f>
        <v/>
      </c>
      <c r="I38" s="182" t="str">
        <f aca="false">Scoring!CB45</f>
        <v/>
      </c>
    </row>
    <row r="39" customFormat="false" ht="15.75" hidden="false" customHeight="false" outlineLevel="0" collapsed="false">
      <c r="A39" s="7" t="str">
        <f aca="false">Scoring!CE46</f>
        <v/>
      </c>
      <c r="B39" s="7" t="str">
        <f aca="false">Scoring!CD46</f>
        <v/>
      </c>
      <c r="C39" s="7" t="n">
        <f aca="false">Scoring!C46</f>
        <v>0</v>
      </c>
      <c r="D39" s="181" t="str">
        <f aca="false">Scoring!CA46</f>
        <v/>
      </c>
      <c r="E39" s="7" t="str">
        <f aca="false">Scoring!BD46</f>
        <v/>
      </c>
      <c r="F39" s="7" t="n">
        <f aca="false">Scoring!B46</f>
        <v>0</v>
      </c>
      <c r="G39" s="7" t="n">
        <f aca="false">Scoring!D46</f>
        <v>0</v>
      </c>
      <c r="H39" s="7" t="str">
        <f aca="false">Scoring!CC46</f>
        <v/>
      </c>
      <c r="I39" s="182" t="str">
        <f aca="false">Scoring!CB46</f>
        <v/>
      </c>
    </row>
    <row r="40" customFormat="false" ht="15.75" hidden="false" customHeight="false" outlineLevel="0" collapsed="false">
      <c r="A40" s="7" t="str">
        <f aca="false">Scoring!CE47</f>
        <v/>
      </c>
      <c r="B40" s="7" t="str">
        <f aca="false">Scoring!CD47</f>
        <v/>
      </c>
      <c r="C40" s="7" t="n">
        <f aca="false">Scoring!C47</f>
        <v>0</v>
      </c>
      <c r="D40" s="181" t="str">
        <f aca="false">Scoring!CA47</f>
        <v/>
      </c>
      <c r="E40" s="7" t="str">
        <f aca="false">Scoring!BD47</f>
        <v/>
      </c>
      <c r="F40" s="7" t="n">
        <f aca="false">Scoring!B47</f>
        <v>0</v>
      </c>
      <c r="G40" s="7" t="n">
        <f aca="false">Scoring!D47</f>
        <v>0</v>
      </c>
      <c r="H40" s="7" t="str">
        <f aca="false">Scoring!CC47</f>
        <v/>
      </c>
      <c r="I40" s="182" t="str">
        <f aca="false">Scoring!CB47</f>
        <v/>
      </c>
    </row>
    <row r="41" customFormat="false" ht="15.75" hidden="false" customHeight="false" outlineLevel="0" collapsed="false">
      <c r="A41" s="7" t="str">
        <f aca="false">Scoring!CE48</f>
        <v/>
      </c>
      <c r="B41" s="7" t="str">
        <f aca="false">Scoring!CD48</f>
        <v/>
      </c>
      <c r="C41" s="7" t="n">
        <f aca="false">Scoring!C48</f>
        <v>0</v>
      </c>
      <c r="D41" s="181" t="str">
        <f aca="false">Scoring!CA48</f>
        <v/>
      </c>
      <c r="E41" s="7" t="str">
        <f aca="false">Scoring!BD48</f>
        <v/>
      </c>
      <c r="F41" s="7" t="n">
        <f aca="false">Scoring!B48</f>
        <v>0</v>
      </c>
      <c r="G41" s="7" t="n">
        <f aca="false">Scoring!D48</f>
        <v>0</v>
      </c>
      <c r="H41" s="7" t="str">
        <f aca="false">Scoring!CC48</f>
        <v/>
      </c>
      <c r="I41" s="182" t="str">
        <f aca="false">Scoring!CB48</f>
        <v/>
      </c>
    </row>
    <row r="42" customFormat="false" ht="15.75" hidden="false" customHeight="false" outlineLevel="0" collapsed="false">
      <c r="A42" s="7" t="str">
        <f aca="false">Scoring!CE49</f>
        <v/>
      </c>
      <c r="B42" s="7" t="str">
        <f aca="false">Scoring!CD49</f>
        <v/>
      </c>
      <c r="C42" s="7" t="n">
        <f aca="false">Scoring!C49</f>
        <v>0</v>
      </c>
      <c r="D42" s="181" t="str">
        <f aca="false">Scoring!CA49</f>
        <v/>
      </c>
      <c r="E42" s="7" t="str">
        <f aca="false">Scoring!BD49</f>
        <v/>
      </c>
      <c r="F42" s="7" t="n">
        <f aca="false">Scoring!B49</f>
        <v>0</v>
      </c>
      <c r="G42" s="7" t="n">
        <f aca="false">Scoring!D49</f>
        <v>0</v>
      </c>
      <c r="H42" s="7" t="str">
        <f aca="false">Scoring!CC49</f>
        <v/>
      </c>
      <c r="I42" s="182" t="str">
        <f aca="false">Scoring!CB49</f>
        <v/>
      </c>
    </row>
    <row r="43" customFormat="false" ht="15.75" hidden="false" customHeight="false" outlineLevel="0" collapsed="false">
      <c r="A43" s="7" t="str">
        <f aca="false">Scoring!CE50</f>
        <v/>
      </c>
      <c r="B43" s="7" t="str">
        <f aca="false">Scoring!CD50</f>
        <v/>
      </c>
      <c r="C43" s="7" t="n">
        <f aca="false">Scoring!C50</f>
        <v>0</v>
      </c>
      <c r="D43" s="181" t="str">
        <f aca="false">Scoring!CA50</f>
        <v/>
      </c>
      <c r="E43" s="7" t="str">
        <f aca="false">Scoring!BD50</f>
        <v/>
      </c>
      <c r="F43" s="7" t="n">
        <f aca="false">Scoring!B50</f>
        <v>0</v>
      </c>
      <c r="G43" s="7" t="n">
        <f aca="false">Scoring!D50</f>
        <v>0</v>
      </c>
      <c r="H43" s="7" t="str">
        <f aca="false">Scoring!CC50</f>
        <v/>
      </c>
      <c r="I43" s="182" t="str">
        <f aca="false">Scoring!CB50</f>
        <v/>
      </c>
    </row>
    <row r="44" customFormat="false" ht="15.75" hidden="false" customHeight="false" outlineLevel="0" collapsed="false">
      <c r="A44" s="7" t="str">
        <f aca="false">Scoring!CE51</f>
        <v/>
      </c>
      <c r="B44" s="7" t="str">
        <f aca="false">Scoring!CD51</f>
        <v/>
      </c>
      <c r="C44" s="7" t="n">
        <f aca="false">Scoring!C51</f>
        <v>0</v>
      </c>
      <c r="D44" s="181" t="str">
        <f aca="false">Scoring!CA51</f>
        <v/>
      </c>
      <c r="E44" s="7" t="str">
        <f aca="false">Scoring!BD51</f>
        <v/>
      </c>
      <c r="F44" s="7" t="n">
        <f aca="false">Scoring!B51</f>
        <v>0</v>
      </c>
      <c r="G44" s="7" t="n">
        <f aca="false">Scoring!D51</f>
        <v>0</v>
      </c>
      <c r="H44" s="7" t="str">
        <f aca="false">Scoring!CC51</f>
        <v/>
      </c>
      <c r="I44" s="182" t="str">
        <f aca="false">Scoring!CB51</f>
        <v/>
      </c>
    </row>
    <row r="45" customFormat="false" ht="15.75" hidden="false" customHeight="false" outlineLevel="0" collapsed="false">
      <c r="A45" s="7" t="str">
        <f aca="false">Scoring!CE52</f>
        <v/>
      </c>
      <c r="B45" s="7" t="str">
        <f aca="false">Scoring!CD52</f>
        <v/>
      </c>
      <c r="C45" s="7" t="n">
        <f aca="false">Scoring!C52</f>
        <v>0</v>
      </c>
      <c r="D45" s="181" t="str">
        <f aca="false">Scoring!CA52</f>
        <v/>
      </c>
      <c r="E45" s="7" t="str">
        <f aca="false">Scoring!BD52</f>
        <v/>
      </c>
      <c r="F45" s="7" t="n">
        <f aca="false">Scoring!B52</f>
        <v>0</v>
      </c>
      <c r="G45" s="7" t="n">
        <f aca="false">Scoring!D52</f>
        <v>0</v>
      </c>
      <c r="H45" s="7" t="str">
        <f aca="false">Scoring!CC52</f>
        <v/>
      </c>
      <c r="I45" s="182" t="str">
        <f aca="false">Scoring!CB52</f>
        <v/>
      </c>
    </row>
    <row r="46" customFormat="false" ht="15.75" hidden="false" customHeight="false" outlineLevel="0" collapsed="false">
      <c r="A46" s="7" t="str">
        <f aca="false">Scoring!CE53</f>
        <v/>
      </c>
      <c r="B46" s="7" t="str">
        <f aca="false">Scoring!CD53</f>
        <v/>
      </c>
      <c r="C46" s="7" t="n">
        <f aca="false">Scoring!C53</f>
        <v>0</v>
      </c>
      <c r="D46" s="181" t="str">
        <f aca="false">Scoring!CA53</f>
        <v/>
      </c>
      <c r="E46" s="7" t="str">
        <f aca="false">Scoring!BD53</f>
        <v/>
      </c>
      <c r="F46" s="7" t="n">
        <f aca="false">Scoring!B53</f>
        <v>0</v>
      </c>
      <c r="G46" s="7" t="n">
        <f aca="false">Scoring!D53</f>
        <v>0</v>
      </c>
      <c r="H46" s="7" t="str">
        <f aca="false">Scoring!CC53</f>
        <v/>
      </c>
      <c r="I46" s="182" t="str">
        <f aca="false">Scoring!CB53</f>
        <v/>
      </c>
    </row>
    <row r="47" customFormat="false" ht="15.75" hidden="false" customHeight="false" outlineLevel="0" collapsed="false">
      <c r="A47" s="7" t="str">
        <f aca="false">Scoring!CE54</f>
        <v/>
      </c>
      <c r="B47" s="7" t="str">
        <f aca="false">Scoring!CD54</f>
        <v/>
      </c>
      <c r="C47" s="7" t="n">
        <f aca="false">Scoring!C54</f>
        <v>0</v>
      </c>
      <c r="D47" s="181" t="str">
        <f aca="false">Scoring!CA54</f>
        <v/>
      </c>
      <c r="E47" s="7" t="str">
        <f aca="false">Scoring!BD54</f>
        <v/>
      </c>
      <c r="F47" s="7" t="n">
        <f aca="false">Scoring!B54</f>
        <v>0</v>
      </c>
      <c r="G47" s="7" t="n">
        <f aca="false">Scoring!D54</f>
        <v>0</v>
      </c>
      <c r="H47" s="7" t="str">
        <f aca="false">Scoring!CC54</f>
        <v/>
      </c>
      <c r="I47" s="182" t="str">
        <f aca="false">Scoring!CB54</f>
        <v/>
      </c>
    </row>
    <row r="48" customFormat="false" ht="15.75" hidden="false" customHeight="false" outlineLevel="0" collapsed="false">
      <c r="A48" s="7" t="str">
        <f aca="false">Scoring!CE55</f>
        <v/>
      </c>
      <c r="B48" s="7" t="str">
        <f aca="false">Scoring!CD55</f>
        <v/>
      </c>
      <c r="C48" s="7" t="n">
        <f aca="false">Scoring!C55</f>
        <v>0</v>
      </c>
      <c r="D48" s="181" t="str">
        <f aca="false">Scoring!CA55</f>
        <v/>
      </c>
      <c r="E48" s="7" t="str">
        <f aca="false">Scoring!BD55</f>
        <v/>
      </c>
      <c r="F48" s="7" t="n">
        <f aca="false">Scoring!B55</f>
        <v>0</v>
      </c>
      <c r="G48" s="7" t="n">
        <f aca="false">Scoring!D55</f>
        <v>0</v>
      </c>
      <c r="H48" s="7" t="str">
        <f aca="false">Scoring!CC55</f>
        <v/>
      </c>
      <c r="I48" s="182" t="str">
        <f aca="false">Scoring!CB55</f>
        <v/>
      </c>
    </row>
    <row r="49" customFormat="false" ht="15.75" hidden="false" customHeight="false" outlineLevel="0" collapsed="false">
      <c r="A49" s="7" t="str">
        <f aca="false">Scoring!CE56</f>
        <v/>
      </c>
      <c r="B49" s="7" t="str">
        <f aca="false">Scoring!CD56</f>
        <v/>
      </c>
      <c r="C49" s="7" t="n">
        <f aca="false">Scoring!C56</f>
        <v>0</v>
      </c>
      <c r="D49" s="181" t="str">
        <f aca="false">Scoring!CA56</f>
        <v/>
      </c>
      <c r="E49" s="7" t="str">
        <f aca="false">Scoring!BD56</f>
        <v/>
      </c>
      <c r="F49" s="7" t="n">
        <f aca="false">Scoring!B56</f>
        <v>0</v>
      </c>
      <c r="G49" s="7" t="n">
        <f aca="false">Scoring!D56</f>
        <v>0</v>
      </c>
      <c r="H49" s="7" t="str">
        <f aca="false">Scoring!CC56</f>
        <v/>
      </c>
      <c r="I49" s="182" t="str">
        <f aca="false">Scoring!CB56</f>
        <v/>
      </c>
    </row>
    <row r="50" customFormat="false" ht="15.75" hidden="false" customHeight="false" outlineLevel="0" collapsed="false">
      <c r="A50" s="7" t="str">
        <f aca="false">Scoring!CE57</f>
        <v/>
      </c>
      <c r="B50" s="7" t="str">
        <f aca="false">Scoring!CD57</f>
        <v/>
      </c>
      <c r="C50" s="7" t="n">
        <f aca="false">Scoring!C57</f>
        <v>0</v>
      </c>
      <c r="D50" s="181" t="str">
        <f aca="false">Scoring!CA57</f>
        <v/>
      </c>
      <c r="E50" s="7" t="str">
        <f aca="false">Scoring!BD57</f>
        <v/>
      </c>
      <c r="F50" s="7" t="n">
        <f aca="false">Scoring!B57</f>
        <v>0</v>
      </c>
      <c r="G50" s="7" t="n">
        <f aca="false">Scoring!D57</f>
        <v>0</v>
      </c>
      <c r="H50" s="7" t="str">
        <f aca="false">Scoring!CC57</f>
        <v/>
      </c>
      <c r="I50" s="182" t="str">
        <f aca="false">Scoring!CB57</f>
        <v/>
      </c>
    </row>
    <row r="51" customFormat="false" ht="15.75" hidden="false" customHeight="false" outlineLevel="0" collapsed="false">
      <c r="A51" s="7" t="str">
        <f aca="false">Scoring!CE58</f>
        <v/>
      </c>
      <c r="B51" s="7" t="str">
        <f aca="false">Scoring!CD58</f>
        <v/>
      </c>
      <c r="C51" s="7" t="n">
        <f aca="false">Scoring!C58</f>
        <v>0</v>
      </c>
      <c r="D51" s="181" t="str">
        <f aca="false">Scoring!CA58</f>
        <v/>
      </c>
      <c r="E51" s="7" t="str">
        <f aca="false">Scoring!BD58</f>
        <v/>
      </c>
      <c r="F51" s="7" t="n">
        <f aca="false">Scoring!B58</f>
        <v>0</v>
      </c>
      <c r="G51" s="7" t="n">
        <f aca="false">Scoring!D58</f>
        <v>0</v>
      </c>
      <c r="H51" s="7" t="str">
        <f aca="false">Scoring!CC58</f>
        <v/>
      </c>
      <c r="I51" s="182" t="str">
        <f aca="false">Scoring!CB58</f>
        <v/>
      </c>
    </row>
    <row r="52" customFormat="false" ht="15.75" hidden="false" customHeight="false" outlineLevel="0" collapsed="false">
      <c r="A52" s="7" t="str">
        <f aca="false">Scoring!CE59</f>
        <v/>
      </c>
      <c r="B52" s="7" t="str">
        <f aca="false">Scoring!CD59</f>
        <v/>
      </c>
      <c r="C52" s="7" t="n">
        <f aca="false">Scoring!C59</f>
        <v>0</v>
      </c>
      <c r="D52" s="181" t="str">
        <f aca="false">Scoring!CA59</f>
        <v/>
      </c>
      <c r="E52" s="7" t="str">
        <f aca="false">Scoring!BD59</f>
        <v/>
      </c>
      <c r="F52" s="7" t="n">
        <f aca="false">Scoring!B59</f>
        <v>0</v>
      </c>
      <c r="G52" s="7" t="n">
        <f aca="false">Scoring!D59</f>
        <v>0</v>
      </c>
      <c r="H52" s="7" t="str">
        <f aca="false">Scoring!CC59</f>
        <v/>
      </c>
      <c r="I52" s="182" t="str">
        <f aca="false">Scoring!CB59</f>
        <v/>
      </c>
    </row>
    <row r="53" customFormat="false" ht="15.75" hidden="false" customHeight="false" outlineLevel="0" collapsed="false">
      <c r="A53" s="7" t="str">
        <f aca="false">Scoring!CE60</f>
        <v/>
      </c>
      <c r="B53" s="7" t="str">
        <f aca="false">Scoring!CD60</f>
        <v/>
      </c>
      <c r="C53" s="7" t="n">
        <f aca="false">Scoring!C60</f>
        <v>0</v>
      </c>
      <c r="D53" s="181" t="str">
        <f aca="false">Scoring!CA60</f>
        <v/>
      </c>
      <c r="E53" s="7" t="str">
        <f aca="false">Scoring!BD60</f>
        <v/>
      </c>
      <c r="F53" s="7" t="n">
        <f aca="false">Scoring!B60</f>
        <v>0</v>
      </c>
      <c r="G53" s="7" t="n">
        <f aca="false">Scoring!D60</f>
        <v>0</v>
      </c>
      <c r="H53" s="7" t="str">
        <f aca="false">Scoring!CC60</f>
        <v/>
      </c>
      <c r="I53" s="182" t="str">
        <f aca="false">Scoring!CB60</f>
        <v/>
      </c>
    </row>
    <row r="54" customFormat="false" ht="15.75" hidden="false" customHeight="false" outlineLevel="0" collapsed="false">
      <c r="A54" s="7" t="str">
        <f aca="false">Scoring!CE61</f>
        <v/>
      </c>
      <c r="B54" s="7" t="str">
        <f aca="false">Scoring!CD61</f>
        <v/>
      </c>
      <c r="C54" s="7" t="n">
        <f aca="false">Scoring!C61</f>
        <v>0</v>
      </c>
      <c r="D54" s="181" t="str">
        <f aca="false">Scoring!CA61</f>
        <v/>
      </c>
      <c r="E54" s="7" t="str">
        <f aca="false">Scoring!BD61</f>
        <v/>
      </c>
      <c r="F54" s="7" t="n">
        <f aca="false">Scoring!B61</f>
        <v>0</v>
      </c>
      <c r="G54" s="7" t="n">
        <f aca="false">Scoring!D61</f>
        <v>0</v>
      </c>
      <c r="H54" s="7" t="str">
        <f aca="false">Scoring!CC61</f>
        <v/>
      </c>
      <c r="I54" s="182" t="str">
        <f aca="false">Scoring!CB61</f>
        <v/>
      </c>
    </row>
    <row r="55" customFormat="false" ht="15.75" hidden="false" customHeight="false" outlineLevel="0" collapsed="false">
      <c r="A55" s="7" t="str">
        <f aca="false">Scoring!CE62</f>
        <v/>
      </c>
      <c r="B55" s="7" t="str">
        <f aca="false">Scoring!CD62</f>
        <v/>
      </c>
      <c r="C55" s="7" t="n">
        <f aca="false">Scoring!C62</f>
        <v>0</v>
      </c>
      <c r="D55" s="181" t="str">
        <f aca="false">Scoring!CA62</f>
        <v/>
      </c>
      <c r="E55" s="7" t="str">
        <f aca="false">Scoring!BD62</f>
        <v/>
      </c>
      <c r="F55" s="7" t="n">
        <f aca="false">Scoring!B62</f>
        <v>0</v>
      </c>
      <c r="G55" s="7" t="n">
        <f aca="false">Scoring!D62</f>
        <v>0</v>
      </c>
      <c r="H55" s="7" t="str">
        <f aca="false">Scoring!CC62</f>
        <v/>
      </c>
      <c r="I55" s="182" t="str">
        <f aca="false">Scoring!CB62</f>
        <v/>
      </c>
    </row>
    <row r="56" customFormat="false" ht="15.75" hidden="false" customHeight="false" outlineLevel="0" collapsed="false">
      <c r="A56" s="7" t="str">
        <f aca="false">Scoring!CE63</f>
        <v/>
      </c>
      <c r="B56" s="7" t="str">
        <f aca="false">Scoring!CD63</f>
        <v/>
      </c>
      <c r="C56" s="7" t="n">
        <f aca="false">Scoring!C63</f>
        <v>0</v>
      </c>
      <c r="D56" s="181" t="str">
        <f aca="false">Scoring!CA63</f>
        <v/>
      </c>
      <c r="E56" s="7" t="str">
        <f aca="false">Scoring!BD63</f>
        <v/>
      </c>
      <c r="F56" s="7" t="n">
        <f aca="false">Scoring!B63</f>
        <v>0</v>
      </c>
      <c r="G56" s="7" t="n">
        <f aca="false">Scoring!D63</f>
        <v>0</v>
      </c>
      <c r="H56" s="7" t="str">
        <f aca="false">Scoring!CC63</f>
        <v/>
      </c>
      <c r="I56" s="182" t="str">
        <f aca="false">Scoring!CB63</f>
        <v/>
      </c>
    </row>
    <row r="57" customFormat="false" ht="15.75" hidden="false" customHeight="false" outlineLevel="0" collapsed="false">
      <c r="A57" s="7" t="str">
        <f aca="false">Scoring!CE64</f>
        <v/>
      </c>
      <c r="B57" s="7" t="str">
        <f aca="false">Scoring!CD64</f>
        <v/>
      </c>
      <c r="C57" s="7" t="n">
        <f aca="false">Scoring!C64</f>
        <v>0</v>
      </c>
      <c r="D57" s="181" t="str">
        <f aca="false">Scoring!CA64</f>
        <v/>
      </c>
      <c r="E57" s="7" t="str">
        <f aca="false">Scoring!BD64</f>
        <v/>
      </c>
      <c r="F57" s="7" t="n">
        <f aca="false">Scoring!B64</f>
        <v>0</v>
      </c>
      <c r="G57" s="7" t="n">
        <f aca="false">Scoring!D64</f>
        <v>0</v>
      </c>
      <c r="H57" s="7" t="str">
        <f aca="false">Scoring!CC64</f>
        <v/>
      </c>
      <c r="I57" s="182" t="str">
        <f aca="false">Scoring!CB64</f>
        <v/>
      </c>
    </row>
    <row r="58" customFormat="false" ht="15.75" hidden="false" customHeight="false" outlineLevel="0" collapsed="false">
      <c r="A58" s="7" t="str">
        <f aca="false">Scoring!CE65</f>
        <v/>
      </c>
      <c r="B58" s="7" t="str">
        <f aca="false">Scoring!CD65</f>
        <v/>
      </c>
      <c r="C58" s="7" t="n">
        <f aca="false">Scoring!C65</f>
        <v>0</v>
      </c>
      <c r="D58" s="181" t="str">
        <f aca="false">Scoring!CA65</f>
        <v/>
      </c>
      <c r="E58" s="7" t="str">
        <f aca="false">Scoring!BD65</f>
        <v/>
      </c>
      <c r="F58" s="7" t="n">
        <f aca="false">Scoring!B65</f>
        <v>0</v>
      </c>
      <c r="G58" s="7" t="n">
        <f aca="false">Scoring!D65</f>
        <v>0</v>
      </c>
      <c r="H58" s="7" t="str">
        <f aca="false">Scoring!CC65</f>
        <v/>
      </c>
      <c r="I58" s="182" t="str">
        <f aca="false">Scoring!CB65</f>
        <v/>
      </c>
    </row>
    <row r="59" customFormat="false" ht="15.75" hidden="false" customHeight="false" outlineLevel="0" collapsed="false">
      <c r="A59" s="7" t="str">
        <f aca="false">Scoring!CE66</f>
        <v/>
      </c>
      <c r="B59" s="7" t="str">
        <f aca="false">Scoring!CD66</f>
        <v/>
      </c>
      <c r="C59" s="7" t="n">
        <f aca="false">Scoring!C66</f>
        <v>0</v>
      </c>
      <c r="D59" s="181" t="str">
        <f aca="false">Scoring!CA66</f>
        <v/>
      </c>
      <c r="E59" s="7" t="str">
        <f aca="false">Scoring!BD66</f>
        <v/>
      </c>
      <c r="F59" s="7" t="n">
        <f aca="false">Scoring!B66</f>
        <v>0</v>
      </c>
      <c r="G59" s="7" t="n">
        <f aca="false">Scoring!D66</f>
        <v>0</v>
      </c>
      <c r="H59" s="7" t="str">
        <f aca="false">Scoring!CC66</f>
        <v/>
      </c>
      <c r="I59" s="182" t="str">
        <f aca="false">Scoring!CB66</f>
        <v/>
      </c>
    </row>
    <row r="60" customFormat="false" ht="15.75" hidden="false" customHeight="false" outlineLevel="0" collapsed="false">
      <c r="A60" s="7" t="str">
        <f aca="false">Scoring!CE67</f>
        <v/>
      </c>
      <c r="B60" s="7" t="str">
        <f aca="false">Scoring!CD67</f>
        <v/>
      </c>
      <c r="C60" s="7" t="n">
        <f aca="false">Scoring!C67</f>
        <v>0</v>
      </c>
      <c r="D60" s="181" t="str">
        <f aca="false">Scoring!CA67</f>
        <v/>
      </c>
      <c r="E60" s="7" t="str">
        <f aca="false">Scoring!BD67</f>
        <v/>
      </c>
      <c r="F60" s="7" t="n">
        <f aca="false">Scoring!B67</f>
        <v>0</v>
      </c>
      <c r="G60" s="7" t="n">
        <f aca="false">Scoring!D67</f>
        <v>0</v>
      </c>
      <c r="H60" s="7" t="str">
        <f aca="false">Scoring!CC67</f>
        <v/>
      </c>
      <c r="I60" s="182" t="str">
        <f aca="false">Scoring!CB67</f>
        <v/>
      </c>
    </row>
    <row r="61" customFormat="false" ht="15.75" hidden="false" customHeight="false" outlineLevel="0" collapsed="false">
      <c r="A61" s="7" t="str">
        <f aca="false">Scoring!CE68</f>
        <v/>
      </c>
      <c r="B61" s="7" t="str">
        <f aca="false">Scoring!CD68</f>
        <v/>
      </c>
      <c r="C61" s="7" t="n">
        <f aca="false">Scoring!C68</f>
        <v>0</v>
      </c>
      <c r="D61" s="181" t="str">
        <f aca="false">Scoring!CA68</f>
        <v/>
      </c>
      <c r="E61" s="7" t="str">
        <f aca="false">Scoring!BD68</f>
        <v/>
      </c>
      <c r="F61" s="7" t="n">
        <f aca="false">Scoring!B68</f>
        <v>0</v>
      </c>
      <c r="G61" s="7" t="n">
        <f aca="false">Scoring!D68</f>
        <v>0</v>
      </c>
      <c r="H61" s="7" t="str">
        <f aca="false">Scoring!CC68</f>
        <v/>
      </c>
      <c r="I61" s="182" t="str">
        <f aca="false">Scoring!CB68</f>
        <v/>
      </c>
    </row>
    <row r="62" customFormat="false" ht="15.75" hidden="false" customHeight="false" outlineLevel="0" collapsed="false">
      <c r="A62" s="7" t="str">
        <f aca="false">Scoring!CE69</f>
        <v/>
      </c>
      <c r="B62" s="7" t="str">
        <f aca="false">Scoring!CD69</f>
        <v/>
      </c>
      <c r="C62" s="7" t="n">
        <f aca="false">Scoring!C69</f>
        <v>0</v>
      </c>
      <c r="D62" s="181" t="str">
        <f aca="false">Scoring!CA69</f>
        <v/>
      </c>
      <c r="E62" s="7" t="str">
        <f aca="false">Scoring!BD69</f>
        <v/>
      </c>
      <c r="F62" s="7" t="n">
        <f aca="false">Scoring!B69</f>
        <v>0</v>
      </c>
      <c r="G62" s="7" t="n">
        <f aca="false">Scoring!D69</f>
        <v>0</v>
      </c>
      <c r="H62" s="7" t="str">
        <f aca="false">Scoring!CC69</f>
        <v/>
      </c>
      <c r="I62" s="182" t="str">
        <f aca="false">Scoring!CB69</f>
        <v/>
      </c>
    </row>
    <row r="63" customFormat="false" ht="15.75" hidden="false" customHeight="false" outlineLevel="0" collapsed="false">
      <c r="A63" s="7" t="str">
        <f aca="false">Scoring!CE70</f>
        <v/>
      </c>
      <c r="B63" s="7" t="str">
        <f aca="false">Scoring!CD70</f>
        <v/>
      </c>
      <c r="C63" s="7" t="n">
        <f aca="false">Scoring!C70</f>
        <v>0</v>
      </c>
      <c r="D63" s="181" t="str">
        <f aca="false">Scoring!CA70</f>
        <v/>
      </c>
      <c r="E63" s="7" t="str">
        <f aca="false">Scoring!BD70</f>
        <v/>
      </c>
      <c r="F63" s="7" t="n">
        <f aca="false">Scoring!B70</f>
        <v>0</v>
      </c>
      <c r="G63" s="7" t="n">
        <f aca="false">Scoring!D70</f>
        <v>0</v>
      </c>
      <c r="H63" s="7" t="str">
        <f aca="false">Scoring!CC70</f>
        <v/>
      </c>
      <c r="I63" s="182" t="str">
        <f aca="false">Scoring!CB70</f>
        <v/>
      </c>
    </row>
    <row r="64" customFormat="false" ht="15.75" hidden="false" customHeight="false" outlineLevel="0" collapsed="false">
      <c r="A64" s="7" t="str">
        <f aca="false">Scoring!CE71</f>
        <v/>
      </c>
      <c r="B64" s="7" t="str">
        <f aca="false">Scoring!CD71</f>
        <v/>
      </c>
      <c r="C64" s="7" t="n">
        <f aca="false">Scoring!C71</f>
        <v>0</v>
      </c>
      <c r="D64" s="181" t="str">
        <f aca="false">Scoring!CA71</f>
        <v/>
      </c>
      <c r="E64" s="7" t="str">
        <f aca="false">Scoring!BD71</f>
        <v/>
      </c>
      <c r="F64" s="7" t="n">
        <f aca="false">Scoring!B71</f>
        <v>0</v>
      </c>
      <c r="G64" s="7" t="n">
        <f aca="false">Scoring!D71</f>
        <v>0</v>
      </c>
      <c r="H64" s="7" t="str">
        <f aca="false">Scoring!CC71</f>
        <v/>
      </c>
      <c r="I64" s="182" t="str">
        <f aca="false">Scoring!CB71</f>
        <v/>
      </c>
    </row>
    <row r="65" customFormat="false" ht="15.75" hidden="false" customHeight="false" outlineLevel="0" collapsed="false">
      <c r="A65" s="7" t="str">
        <f aca="false">Scoring!CE72</f>
        <v/>
      </c>
      <c r="B65" s="7" t="str">
        <f aca="false">Scoring!CD72</f>
        <v/>
      </c>
      <c r="C65" s="7" t="n">
        <f aca="false">Scoring!C72</f>
        <v>0</v>
      </c>
      <c r="D65" s="181" t="str">
        <f aca="false">Scoring!CA72</f>
        <v/>
      </c>
      <c r="E65" s="7" t="str">
        <f aca="false">Scoring!BD72</f>
        <v/>
      </c>
      <c r="F65" s="7" t="n">
        <f aca="false">Scoring!B72</f>
        <v>0</v>
      </c>
      <c r="G65" s="7" t="n">
        <f aca="false">Scoring!D72</f>
        <v>0</v>
      </c>
      <c r="H65" s="7" t="str">
        <f aca="false">Scoring!CC72</f>
        <v/>
      </c>
      <c r="I65" s="182" t="str">
        <f aca="false">Scoring!CB72</f>
        <v/>
      </c>
    </row>
    <row r="66" customFormat="false" ht="15.75" hidden="false" customHeight="false" outlineLevel="0" collapsed="false">
      <c r="A66" s="7" t="str">
        <f aca="false">Scoring!CE73</f>
        <v/>
      </c>
      <c r="B66" s="7" t="str">
        <f aca="false">Scoring!CD73</f>
        <v/>
      </c>
      <c r="C66" s="7" t="n">
        <f aca="false">Scoring!C73</f>
        <v>0</v>
      </c>
      <c r="D66" s="181" t="str">
        <f aca="false">Scoring!CA73</f>
        <v/>
      </c>
      <c r="E66" s="7" t="str">
        <f aca="false">Scoring!BD73</f>
        <v/>
      </c>
      <c r="F66" s="7" t="n">
        <f aca="false">Scoring!B73</f>
        <v>0</v>
      </c>
      <c r="G66" s="7" t="n">
        <f aca="false">Scoring!D73</f>
        <v>0</v>
      </c>
      <c r="H66" s="7" t="str">
        <f aca="false">Scoring!CC73</f>
        <v/>
      </c>
      <c r="I66" s="182" t="str">
        <f aca="false">Scoring!CB73</f>
        <v/>
      </c>
    </row>
    <row r="67" customFormat="false" ht="15.75" hidden="false" customHeight="false" outlineLevel="0" collapsed="false">
      <c r="A67" s="7" t="str">
        <f aca="false">Scoring!CE74</f>
        <v/>
      </c>
      <c r="B67" s="7" t="str">
        <f aca="false">Scoring!CD74</f>
        <v/>
      </c>
      <c r="C67" s="7" t="n">
        <f aca="false">Scoring!C74</f>
        <v>0</v>
      </c>
      <c r="D67" s="181" t="str">
        <f aca="false">Scoring!CA74</f>
        <v/>
      </c>
      <c r="E67" s="7" t="str">
        <f aca="false">Scoring!BD74</f>
        <v/>
      </c>
      <c r="F67" s="7" t="n">
        <f aca="false">Scoring!B74</f>
        <v>0</v>
      </c>
      <c r="G67" s="7" t="n">
        <f aca="false">Scoring!D74</f>
        <v>0</v>
      </c>
      <c r="H67" s="7" t="str">
        <f aca="false">Scoring!CC74</f>
        <v/>
      </c>
      <c r="I67" s="182" t="str">
        <f aca="false">Scoring!CB74</f>
        <v/>
      </c>
    </row>
    <row r="68" customFormat="false" ht="15.75" hidden="false" customHeight="false" outlineLevel="0" collapsed="false">
      <c r="A68" s="7" t="str">
        <f aca="false">Scoring!CE75</f>
        <v/>
      </c>
      <c r="B68" s="7" t="str">
        <f aca="false">Scoring!CD75</f>
        <v/>
      </c>
      <c r="C68" s="7" t="n">
        <f aca="false">Scoring!C75</f>
        <v>0</v>
      </c>
      <c r="D68" s="181" t="str">
        <f aca="false">Scoring!CA75</f>
        <v/>
      </c>
      <c r="E68" s="7" t="str">
        <f aca="false">Scoring!BD75</f>
        <v/>
      </c>
      <c r="F68" s="7" t="n">
        <f aca="false">Scoring!B75</f>
        <v>0</v>
      </c>
      <c r="G68" s="7" t="n">
        <f aca="false">Scoring!D75</f>
        <v>0</v>
      </c>
      <c r="H68" s="7" t="str">
        <f aca="false">Scoring!CC75</f>
        <v/>
      </c>
      <c r="I68" s="182" t="str">
        <f aca="false">Scoring!CB75</f>
        <v/>
      </c>
    </row>
    <row r="69" customFormat="false" ht="15.75" hidden="false" customHeight="false" outlineLevel="0" collapsed="false">
      <c r="A69" s="7" t="str">
        <f aca="false">Scoring!CE76</f>
        <v/>
      </c>
      <c r="B69" s="7" t="str">
        <f aca="false">Scoring!CD76</f>
        <v/>
      </c>
      <c r="C69" s="7" t="n">
        <f aca="false">Scoring!C76</f>
        <v>0</v>
      </c>
      <c r="D69" s="181" t="str">
        <f aca="false">Scoring!CA76</f>
        <v/>
      </c>
      <c r="E69" s="7" t="str">
        <f aca="false">Scoring!BD76</f>
        <v/>
      </c>
      <c r="F69" s="7" t="n">
        <f aca="false">Scoring!B76</f>
        <v>0</v>
      </c>
      <c r="G69" s="7" t="n">
        <f aca="false">Scoring!D76</f>
        <v>0</v>
      </c>
      <c r="H69" s="7" t="str">
        <f aca="false">Scoring!CC76</f>
        <v/>
      </c>
      <c r="I69" s="182" t="str">
        <f aca="false">Scoring!CB76</f>
        <v/>
      </c>
    </row>
    <row r="70" customFormat="false" ht="15.75" hidden="false" customHeight="false" outlineLevel="0" collapsed="false">
      <c r="A70" s="7" t="str">
        <f aca="false">Scoring!CE77</f>
        <v/>
      </c>
      <c r="B70" s="7" t="str">
        <f aca="false">Scoring!CD77</f>
        <v/>
      </c>
      <c r="C70" s="7" t="n">
        <f aca="false">Scoring!C77</f>
        <v>0</v>
      </c>
      <c r="D70" s="181" t="str">
        <f aca="false">Scoring!CA77</f>
        <v/>
      </c>
      <c r="E70" s="7" t="str">
        <f aca="false">Scoring!BD77</f>
        <v/>
      </c>
      <c r="F70" s="7" t="n">
        <f aca="false">Scoring!B77</f>
        <v>0</v>
      </c>
      <c r="G70" s="7" t="n">
        <f aca="false">Scoring!D77</f>
        <v>0</v>
      </c>
      <c r="H70" s="7" t="str">
        <f aca="false">Scoring!CC77</f>
        <v/>
      </c>
      <c r="I70" s="182" t="str">
        <f aca="false">Scoring!CB77</f>
        <v/>
      </c>
    </row>
    <row r="71" customFormat="false" ht="15.75" hidden="false" customHeight="false" outlineLevel="0" collapsed="false">
      <c r="A71" s="7" t="str">
        <f aca="false">Scoring!CE78</f>
        <v/>
      </c>
      <c r="B71" s="7" t="str">
        <f aca="false">Scoring!CD78</f>
        <v/>
      </c>
      <c r="C71" s="7" t="n">
        <f aca="false">Scoring!C78</f>
        <v>0</v>
      </c>
      <c r="D71" s="181" t="str">
        <f aca="false">Scoring!CA78</f>
        <v/>
      </c>
      <c r="E71" s="7" t="str">
        <f aca="false">Scoring!BD78</f>
        <v/>
      </c>
      <c r="F71" s="7" t="n">
        <f aca="false">Scoring!B78</f>
        <v>0</v>
      </c>
      <c r="G71" s="7" t="n">
        <f aca="false">Scoring!D78</f>
        <v>0</v>
      </c>
      <c r="H71" s="7" t="str">
        <f aca="false">Scoring!CC78</f>
        <v/>
      </c>
      <c r="I71" s="182" t="str">
        <f aca="false">Scoring!CB78</f>
        <v/>
      </c>
    </row>
    <row r="72" customFormat="false" ht="15.75" hidden="false" customHeight="false" outlineLevel="0" collapsed="false">
      <c r="A72" s="7" t="str">
        <f aca="false">Scoring!CE79</f>
        <v/>
      </c>
      <c r="B72" s="7" t="str">
        <f aca="false">Scoring!CD79</f>
        <v/>
      </c>
      <c r="C72" s="7" t="n">
        <f aca="false">Scoring!C79</f>
        <v>0</v>
      </c>
      <c r="D72" s="181" t="str">
        <f aca="false">Scoring!CA79</f>
        <v/>
      </c>
      <c r="E72" s="7" t="str">
        <f aca="false">Scoring!BD79</f>
        <v/>
      </c>
      <c r="F72" s="7" t="n">
        <f aca="false">Scoring!B79</f>
        <v>0</v>
      </c>
      <c r="G72" s="7" t="n">
        <f aca="false">Scoring!D79</f>
        <v>0</v>
      </c>
      <c r="H72" s="7" t="str">
        <f aca="false">Scoring!CC79</f>
        <v/>
      </c>
      <c r="I72" s="182" t="str">
        <f aca="false">Scoring!CB79</f>
        <v/>
      </c>
    </row>
    <row r="73" customFormat="false" ht="15.75" hidden="false" customHeight="false" outlineLevel="0" collapsed="false">
      <c r="A73" s="7" t="str">
        <f aca="false">Scoring!CE80</f>
        <v/>
      </c>
      <c r="B73" s="7" t="str">
        <f aca="false">Scoring!CD80</f>
        <v/>
      </c>
      <c r="C73" s="7" t="n">
        <f aca="false">Scoring!C80</f>
        <v>0</v>
      </c>
      <c r="D73" s="181" t="str">
        <f aca="false">Scoring!CA80</f>
        <v/>
      </c>
      <c r="E73" s="7" t="str">
        <f aca="false">Scoring!BD80</f>
        <v/>
      </c>
      <c r="F73" s="7" t="n">
        <f aca="false">Scoring!B80</f>
        <v>0</v>
      </c>
      <c r="G73" s="7" t="n">
        <f aca="false">Scoring!D80</f>
        <v>0</v>
      </c>
      <c r="H73" s="7" t="str">
        <f aca="false">Scoring!CC80</f>
        <v/>
      </c>
      <c r="I73" s="182" t="str">
        <f aca="false">Scoring!CB80</f>
        <v/>
      </c>
    </row>
    <row r="74" customFormat="false" ht="15.75" hidden="false" customHeight="false" outlineLevel="0" collapsed="false">
      <c r="A74" s="7" t="str">
        <f aca="false">Scoring!CE81</f>
        <v/>
      </c>
      <c r="B74" s="7" t="str">
        <f aca="false">Scoring!CD81</f>
        <v/>
      </c>
      <c r="C74" s="7" t="n">
        <f aca="false">Scoring!C81</f>
        <v>0</v>
      </c>
      <c r="D74" s="181" t="str">
        <f aca="false">Scoring!CA81</f>
        <v/>
      </c>
      <c r="E74" s="7" t="str">
        <f aca="false">Scoring!BD81</f>
        <v/>
      </c>
      <c r="F74" s="7" t="n">
        <f aca="false">Scoring!B81</f>
        <v>0</v>
      </c>
      <c r="G74" s="7" t="n">
        <f aca="false">Scoring!D81</f>
        <v>0</v>
      </c>
      <c r="H74" s="7" t="str">
        <f aca="false">Scoring!CC81</f>
        <v/>
      </c>
      <c r="I74" s="182" t="str">
        <f aca="false">Scoring!CB81</f>
        <v/>
      </c>
    </row>
    <row r="75" customFormat="false" ht="15.75" hidden="false" customHeight="false" outlineLevel="0" collapsed="false">
      <c r="A75" s="7" t="str">
        <f aca="false">Scoring!CE82</f>
        <v/>
      </c>
      <c r="B75" s="7" t="str">
        <f aca="false">Scoring!CD82</f>
        <v/>
      </c>
      <c r="C75" s="7" t="n">
        <f aca="false">Scoring!C82</f>
        <v>0</v>
      </c>
      <c r="D75" s="181" t="str">
        <f aca="false">Scoring!CA82</f>
        <v/>
      </c>
      <c r="E75" s="7" t="str">
        <f aca="false">Scoring!BD82</f>
        <v/>
      </c>
      <c r="F75" s="7" t="n">
        <f aca="false">Scoring!B82</f>
        <v>0</v>
      </c>
      <c r="G75" s="7" t="n">
        <f aca="false">Scoring!D82</f>
        <v>0</v>
      </c>
      <c r="H75" s="7" t="str">
        <f aca="false">Scoring!CC82</f>
        <v/>
      </c>
      <c r="I75" s="182" t="str">
        <f aca="false">Scoring!CB82</f>
        <v/>
      </c>
    </row>
    <row r="76" customFormat="false" ht="15.75" hidden="false" customHeight="false" outlineLevel="0" collapsed="false">
      <c r="A76" s="7" t="str">
        <f aca="false">Scoring!CE83</f>
        <v/>
      </c>
      <c r="B76" s="7" t="str">
        <f aca="false">Scoring!CD83</f>
        <v/>
      </c>
      <c r="C76" s="7" t="n">
        <f aca="false">Scoring!C83</f>
        <v>0</v>
      </c>
      <c r="D76" s="181" t="str">
        <f aca="false">Scoring!CA83</f>
        <v/>
      </c>
      <c r="E76" s="7" t="str">
        <f aca="false">Scoring!BD83</f>
        <v/>
      </c>
      <c r="F76" s="7" t="n">
        <f aca="false">Scoring!B83</f>
        <v>0</v>
      </c>
      <c r="G76" s="7" t="n">
        <f aca="false">Scoring!D83</f>
        <v>0</v>
      </c>
      <c r="H76" s="7" t="str">
        <f aca="false">Scoring!CC83</f>
        <v/>
      </c>
      <c r="I76" s="182" t="str">
        <f aca="false">Scoring!CB83</f>
        <v/>
      </c>
    </row>
    <row r="77" customFormat="false" ht="15.75" hidden="false" customHeight="false" outlineLevel="0" collapsed="false">
      <c r="A77" s="7" t="str">
        <f aca="false">Scoring!CE84</f>
        <v/>
      </c>
      <c r="B77" s="7" t="str">
        <f aca="false">Scoring!CD84</f>
        <v/>
      </c>
      <c r="C77" s="7" t="n">
        <f aca="false">Scoring!C84</f>
        <v>0</v>
      </c>
      <c r="D77" s="181" t="str">
        <f aca="false">Scoring!CA84</f>
        <v/>
      </c>
      <c r="E77" s="7" t="str">
        <f aca="false">Scoring!BD84</f>
        <v/>
      </c>
      <c r="F77" s="7" t="n">
        <f aca="false">Scoring!B84</f>
        <v>0</v>
      </c>
      <c r="G77" s="7" t="n">
        <f aca="false">Scoring!D84</f>
        <v>0</v>
      </c>
      <c r="H77" s="7" t="str">
        <f aca="false">Scoring!CC84</f>
        <v/>
      </c>
      <c r="I77" s="182" t="str">
        <f aca="false">Scoring!CB84</f>
        <v/>
      </c>
    </row>
    <row r="78" customFormat="false" ht="15.75" hidden="false" customHeight="false" outlineLevel="0" collapsed="false">
      <c r="A78" s="7" t="str">
        <f aca="false">Scoring!CE85</f>
        <v/>
      </c>
      <c r="B78" s="7" t="str">
        <f aca="false">Scoring!CD85</f>
        <v/>
      </c>
      <c r="C78" s="7" t="n">
        <f aca="false">Scoring!C85</f>
        <v>0</v>
      </c>
      <c r="D78" s="181" t="str">
        <f aca="false">Scoring!CA85</f>
        <v/>
      </c>
      <c r="E78" s="7" t="str">
        <f aca="false">Scoring!BD85</f>
        <v/>
      </c>
      <c r="F78" s="7" t="n">
        <f aca="false">Scoring!B85</f>
        <v>0</v>
      </c>
      <c r="G78" s="7" t="n">
        <f aca="false">Scoring!D85</f>
        <v>0</v>
      </c>
      <c r="H78" s="7" t="str">
        <f aca="false">Scoring!CC85</f>
        <v/>
      </c>
      <c r="I78" s="182" t="str">
        <f aca="false">Scoring!CB85</f>
        <v/>
      </c>
    </row>
    <row r="79" customFormat="false" ht="15.75" hidden="false" customHeight="false" outlineLevel="0" collapsed="false">
      <c r="A79" s="7" t="str">
        <f aca="false">Scoring!CE86</f>
        <v/>
      </c>
      <c r="B79" s="7" t="str">
        <f aca="false">Scoring!CD86</f>
        <v/>
      </c>
      <c r="C79" s="7" t="n">
        <f aca="false">Scoring!C86</f>
        <v>0</v>
      </c>
      <c r="D79" s="181" t="str">
        <f aca="false">Scoring!CA86</f>
        <v/>
      </c>
      <c r="E79" s="7" t="str">
        <f aca="false">Scoring!BD86</f>
        <v/>
      </c>
      <c r="F79" s="7" t="n">
        <f aca="false">Scoring!B86</f>
        <v>0</v>
      </c>
      <c r="G79" s="7" t="n">
        <f aca="false">Scoring!D86</f>
        <v>0</v>
      </c>
      <c r="H79" s="7" t="str">
        <f aca="false">Scoring!CC86</f>
        <v/>
      </c>
      <c r="I79" s="182" t="str">
        <f aca="false">Scoring!CB86</f>
        <v/>
      </c>
    </row>
    <row r="80" customFormat="false" ht="15.75" hidden="false" customHeight="false" outlineLevel="0" collapsed="false">
      <c r="A80" s="7" t="str">
        <f aca="false">Scoring!CE87</f>
        <v/>
      </c>
      <c r="B80" s="7" t="str">
        <f aca="false">Scoring!CD87</f>
        <v/>
      </c>
      <c r="C80" s="7" t="n">
        <f aca="false">Scoring!C87</f>
        <v>0</v>
      </c>
      <c r="D80" s="181" t="str">
        <f aca="false">Scoring!CA87</f>
        <v/>
      </c>
      <c r="E80" s="7" t="str">
        <f aca="false">Scoring!BD87</f>
        <v/>
      </c>
      <c r="F80" s="7" t="n">
        <f aca="false">Scoring!B87</f>
        <v>0</v>
      </c>
      <c r="G80" s="7" t="n">
        <f aca="false">Scoring!D87</f>
        <v>0</v>
      </c>
      <c r="H80" s="7" t="str">
        <f aca="false">Scoring!CC87</f>
        <v/>
      </c>
      <c r="I80" s="182" t="str">
        <f aca="false">Scoring!CB87</f>
        <v/>
      </c>
    </row>
    <row r="81" customFormat="false" ht="15.75" hidden="false" customHeight="false" outlineLevel="0" collapsed="false">
      <c r="A81" s="7" t="str">
        <f aca="false">Scoring!CE88</f>
        <v/>
      </c>
      <c r="B81" s="7" t="str">
        <f aca="false">Scoring!CD88</f>
        <v/>
      </c>
      <c r="C81" s="7" t="n">
        <f aca="false">Scoring!C88</f>
        <v>0</v>
      </c>
      <c r="D81" s="181" t="str">
        <f aca="false">Scoring!CA88</f>
        <v/>
      </c>
      <c r="E81" s="7" t="str">
        <f aca="false">Scoring!BD88</f>
        <v/>
      </c>
      <c r="F81" s="7" t="n">
        <f aca="false">Scoring!B88</f>
        <v>0</v>
      </c>
      <c r="G81" s="7" t="n">
        <f aca="false">Scoring!D88</f>
        <v>0</v>
      </c>
      <c r="H81" s="7" t="str">
        <f aca="false">Scoring!CC88</f>
        <v/>
      </c>
      <c r="I81" s="182" t="str">
        <f aca="false">Scoring!CB88</f>
        <v/>
      </c>
    </row>
    <row r="82" customFormat="false" ht="15.75" hidden="false" customHeight="false" outlineLevel="0" collapsed="false">
      <c r="A82" s="7" t="str">
        <f aca="false">Scoring!CE89</f>
        <v/>
      </c>
      <c r="B82" s="7" t="str">
        <f aca="false">Scoring!CD89</f>
        <v/>
      </c>
      <c r="C82" s="7" t="n">
        <f aca="false">Scoring!C89</f>
        <v>0</v>
      </c>
      <c r="D82" s="181" t="str">
        <f aca="false">Scoring!CA89</f>
        <v/>
      </c>
      <c r="E82" s="7" t="str">
        <f aca="false">Scoring!BD89</f>
        <v/>
      </c>
      <c r="F82" s="7" t="n">
        <f aca="false">Scoring!B89</f>
        <v>0</v>
      </c>
      <c r="G82" s="7" t="n">
        <f aca="false">Scoring!D89</f>
        <v>0</v>
      </c>
      <c r="H82" s="7" t="str">
        <f aca="false">Scoring!CC89</f>
        <v/>
      </c>
      <c r="I82" s="182" t="str">
        <f aca="false">Scoring!CB89</f>
        <v/>
      </c>
    </row>
    <row r="83" customFormat="false" ht="15.75" hidden="false" customHeight="false" outlineLevel="0" collapsed="false">
      <c r="A83" s="7" t="str">
        <f aca="false">Scoring!CE90</f>
        <v/>
      </c>
      <c r="B83" s="7" t="str">
        <f aca="false">Scoring!CD90</f>
        <v/>
      </c>
      <c r="C83" s="7" t="n">
        <f aca="false">Scoring!C90</f>
        <v>0</v>
      </c>
      <c r="D83" s="181" t="str">
        <f aca="false">Scoring!CA90</f>
        <v/>
      </c>
      <c r="E83" s="7" t="str">
        <f aca="false">Scoring!BD90</f>
        <v/>
      </c>
      <c r="F83" s="7" t="n">
        <f aca="false">Scoring!B90</f>
        <v>0</v>
      </c>
      <c r="G83" s="7" t="n">
        <f aca="false">Scoring!D90</f>
        <v>0</v>
      </c>
      <c r="H83" s="7" t="str">
        <f aca="false">Scoring!CC90</f>
        <v/>
      </c>
      <c r="I83" s="182" t="str">
        <f aca="false">Scoring!CB90</f>
        <v/>
      </c>
    </row>
    <row r="84" customFormat="false" ht="15.75" hidden="false" customHeight="false" outlineLevel="0" collapsed="false">
      <c r="A84" s="7" t="str">
        <f aca="false">Scoring!CE91</f>
        <v/>
      </c>
      <c r="B84" s="7" t="str">
        <f aca="false">Scoring!CD91</f>
        <v/>
      </c>
      <c r="C84" s="7" t="n">
        <f aca="false">Scoring!C91</f>
        <v>0</v>
      </c>
      <c r="D84" s="181" t="str">
        <f aca="false">Scoring!CA91</f>
        <v/>
      </c>
      <c r="E84" s="7" t="str">
        <f aca="false">Scoring!BD91</f>
        <v/>
      </c>
      <c r="F84" s="7" t="n">
        <f aca="false">Scoring!B91</f>
        <v>0</v>
      </c>
      <c r="G84" s="7" t="n">
        <f aca="false">Scoring!D91</f>
        <v>0</v>
      </c>
      <c r="H84" s="7" t="str">
        <f aca="false">Scoring!CC91</f>
        <v/>
      </c>
      <c r="I84" s="182" t="str">
        <f aca="false">Scoring!CB91</f>
        <v/>
      </c>
    </row>
    <row r="85" customFormat="false" ht="15.75" hidden="false" customHeight="false" outlineLevel="0" collapsed="false">
      <c r="A85" s="7" t="str">
        <f aca="false">Scoring!CE92</f>
        <v/>
      </c>
      <c r="B85" s="7" t="str">
        <f aca="false">Scoring!CD92</f>
        <v/>
      </c>
      <c r="C85" s="7" t="n">
        <f aca="false">Scoring!C92</f>
        <v>0</v>
      </c>
      <c r="D85" s="181" t="str">
        <f aca="false">Scoring!CA92</f>
        <v/>
      </c>
      <c r="E85" s="7" t="str">
        <f aca="false">Scoring!BD92</f>
        <v/>
      </c>
      <c r="F85" s="7" t="n">
        <f aca="false">Scoring!B92</f>
        <v>0</v>
      </c>
      <c r="G85" s="7" t="n">
        <f aca="false">Scoring!D92</f>
        <v>0</v>
      </c>
      <c r="H85" s="7" t="str">
        <f aca="false">Scoring!CC92</f>
        <v/>
      </c>
      <c r="I85" s="182" t="str">
        <f aca="false">Scoring!CB92</f>
        <v/>
      </c>
    </row>
    <row r="86" customFormat="false" ht="15.75" hidden="false" customHeight="false" outlineLevel="0" collapsed="false">
      <c r="A86" s="7" t="str">
        <f aca="false">Scoring!CE93</f>
        <v/>
      </c>
      <c r="B86" s="7" t="str">
        <f aca="false">Scoring!CD93</f>
        <v/>
      </c>
      <c r="C86" s="7" t="n">
        <f aca="false">Scoring!C93</f>
        <v>0</v>
      </c>
      <c r="D86" s="181" t="str">
        <f aca="false">Scoring!CA93</f>
        <v/>
      </c>
      <c r="E86" s="7" t="str">
        <f aca="false">Scoring!BD93</f>
        <v/>
      </c>
      <c r="F86" s="7" t="n">
        <f aca="false">Scoring!B93</f>
        <v>0</v>
      </c>
      <c r="G86" s="7" t="n">
        <f aca="false">Scoring!D93</f>
        <v>0</v>
      </c>
      <c r="H86" s="7" t="str">
        <f aca="false">Scoring!CC93</f>
        <v/>
      </c>
      <c r="I86" s="182" t="str">
        <f aca="false">Scoring!CB93</f>
        <v/>
      </c>
    </row>
    <row r="87" customFormat="false" ht="15.75" hidden="false" customHeight="false" outlineLevel="0" collapsed="false">
      <c r="A87" s="7" t="str">
        <f aca="false">Scoring!CE94</f>
        <v/>
      </c>
      <c r="B87" s="7" t="str">
        <f aca="false">Scoring!CD94</f>
        <v/>
      </c>
      <c r="C87" s="7" t="n">
        <f aca="false">Scoring!C94</f>
        <v>0</v>
      </c>
      <c r="D87" s="181" t="str">
        <f aca="false">Scoring!CA94</f>
        <v/>
      </c>
      <c r="E87" s="7" t="str">
        <f aca="false">Scoring!BD94</f>
        <v/>
      </c>
      <c r="F87" s="7" t="n">
        <f aca="false">Scoring!B94</f>
        <v>0</v>
      </c>
      <c r="G87" s="7" t="n">
        <f aca="false">Scoring!D94</f>
        <v>0</v>
      </c>
      <c r="H87" s="7" t="str">
        <f aca="false">Scoring!CC94</f>
        <v/>
      </c>
      <c r="I87" s="182" t="str">
        <f aca="false">Scoring!CB94</f>
        <v/>
      </c>
    </row>
    <row r="88" customFormat="false" ht="15.75" hidden="false" customHeight="false" outlineLevel="0" collapsed="false">
      <c r="A88" s="7" t="str">
        <f aca="false">Scoring!CE95</f>
        <v/>
      </c>
      <c r="B88" s="7" t="str">
        <f aca="false">Scoring!CD95</f>
        <v/>
      </c>
      <c r="C88" s="7" t="n">
        <f aca="false">Scoring!C95</f>
        <v>0</v>
      </c>
      <c r="D88" s="181" t="str">
        <f aca="false">Scoring!CA95</f>
        <v/>
      </c>
      <c r="E88" s="7" t="str">
        <f aca="false">Scoring!BD95</f>
        <v/>
      </c>
      <c r="F88" s="7" t="n">
        <f aca="false">Scoring!B95</f>
        <v>0</v>
      </c>
      <c r="G88" s="7" t="n">
        <f aca="false">Scoring!D95</f>
        <v>0</v>
      </c>
      <c r="H88" s="7" t="str">
        <f aca="false">Scoring!CC95</f>
        <v/>
      </c>
      <c r="I88" s="182" t="str">
        <f aca="false">Scoring!CB95</f>
        <v/>
      </c>
    </row>
    <row r="89" customFormat="false" ht="15.75" hidden="false" customHeight="false" outlineLevel="0" collapsed="false">
      <c r="A89" s="7" t="str">
        <f aca="false">Scoring!CE96</f>
        <v/>
      </c>
      <c r="B89" s="7" t="str">
        <f aca="false">Scoring!CD96</f>
        <v/>
      </c>
      <c r="C89" s="7" t="n">
        <f aca="false">Scoring!C96</f>
        <v>0</v>
      </c>
      <c r="D89" s="181" t="str">
        <f aca="false">Scoring!CA96</f>
        <v/>
      </c>
      <c r="E89" s="7" t="str">
        <f aca="false">Scoring!BD96</f>
        <v/>
      </c>
      <c r="F89" s="7" t="n">
        <f aca="false">Scoring!B96</f>
        <v>0</v>
      </c>
      <c r="G89" s="7" t="n">
        <f aca="false">Scoring!D96</f>
        <v>0</v>
      </c>
      <c r="H89" s="7" t="str">
        <f aca="false">Scoring!CC96</f>
        <v/>
      </c>
      <c r="I89" s="182" t="str">
        <f aca="false">Scoring!CB96</f>
        <v/>
      </c>
    </row>
    <row r="90" customFormat="false" ht="15.75" hidden="false" customHeight="false" outlineLevel="0" collapsed="false">
      <c r="A90" s="7" t="str">
        <f aca="false">Scoring!CE97</f>
        <v/>
      </c>
      <c r="B90" s="7" t="str">
        <f aca="false">Scoring!CD97</f>
        <v/>
      </c>
      <c r="C90" s="7" t="n">
        <f aca="false">Scoring!C97</f>
        <v>0</v>
      </c>
      <c r="D90" s="181" t="str">
        <f aca="false">Scoring!CA97</f>
        <v/>
      </c>
      <c r="E90" s="7" t="str">
        <f aca="false">Scoring!BD97</f>
        <v/>
      </c>
      <c r="F90" s="7" t="n">
        <f aca="false">Scoring!B97</f>
        <v>0</v>
      </c>
      <c r="G90" s="7" t="n">
        <f aca="false">Scoring!D97</f>
        <v>0</v>
      </c>
      <c r="H90" s="7" t="str">
        <f aca="false">Scoring!CC97</f>
        <v/>
      </c>
      <c r="I90" s="182" t="str">
        <f aca="false">Scoring!CB97</f>
        <v/>
      </c>
    </row>
    <row r="91" customFormat="false" ht="15.75" hidden="false" customHeight="false" outlineLevel="0" collapsed="false">
      <c r="A91" s="7" t="str">
        <f aca="false">Scoring!CE98</f>
        <v/>
      </c>
      <c r="B91" s="7" t="str">
        <f aca="false">Scoring!CD98</f>
        <v/>
      </c>
      <c r="C91" s="7" t="n">
        <f aca="false">Scoring!C98</f>
        <v>0</v>
      </c>
      <c r="D91" s="181" t="str">
        <f aca="false">Scoring!CA98</f>
        <v/>
      </c>
      <c r="E91" s="7" t="str">
        <f aca="false">Scoring!BD98</f>
        <v/>
      </c>
      <c r="F91" s="7" t="n">
        <f aca="false">Scoring!B98</f>
        <v>0</v>
      </c>
      <c r="G91" s="7" t="n">
        <f aca="false">Scoring!D98</f>
        <v>0</v>
      </c>
      <c r="H91" s="7" t="str">
        <f aca="false">Scoring!CC98</f>
        <v/>
      </c>
      <c r="I91" s="182" t="str">
        <f aca="false">Scoring!CB98</f>
        <v/>
      </c>
    </row>
    <row r="92" customFormat="false" ht="15.75" hidden="false" customHeight="false" outlineLevel="0" collapsed="false">
      <c r="A92" s="7" t="str">
        <f aca="false">Scoring!CE99</f>
        <v/>
      </c>
      <c r="B92" s="7" t="str">
        <f aca="false">Scoring!CD99</f>
        <v/>
      </c>
      <c r="C92" s="7" t="n">
        <f aca="false">Scoring!C99</f>
        <v>0</v>
      </c>
      <c r="D92" s="181" t="str">
        <f aca="false">Scoring!CA99</f>
        <v/>
      </c>
      <c r="E92" s="7" t="str">
        <f aca="false">Scoring!BD99</f>
        <v/>
      </c>
      <c r="F92" s="7" t="n">
        <f aca="false">Scoring!B99</f>
        <v>0</v>
      </c>
      <c r="G92" s="7" t="n">
        <f aca="false">Scoring!D99</f>
        <v>0</v>
      </c>
      <c r="H92" s="7" t="str">
        <f aca="false">Scoring!CC99</f>
        <v/>
      </c>
      <c r="I92" s="182" t="str">
        <f aca="false">Scoring!CB99</f>
        <v/>
      </c>
    </row>
    <row r="93" customFormat="false" ht="15.75" hidden="false" customHeight="false" outlineLevel="0" collapsed="false">
      <c r="A93" s="7" t="str">
        <f aca="false">Scoring!CE100</f>
        <v/>
      </c>
      <c r="B93" s="7" t="str">
        <f aca="false">Scoring!CD100</f>
        <v/>
      </c>
      <c r="C93" s="7" t="n">
        <f aca="false">Scoring!C100</f>
        <v>0</v>
      </c>
      <c r="D93" s="181" t="str">
        <f aca="false">Scoring!CA100</f>
        <v/>
      </c>
      <c r="E93" s="7" t="str">
        <f aca="false">Scoring!BD100</f>
        <v/>
      </c>
      <c r="F93" s="7" t="n">
        <f aca="false">Scoring!B100</f>
        <v>0</v>
      </c>
      <c r="G93" s="7" t="n">
        <f aca="false">Scoring!D100</f>
        <v>0</v>
      </c>
      <c r="H93" s="7" t="str">
        <f aca="false">Scoring!CC100</f>
        <v/>
      </c>
      <c r="I93" s="182" t="str">
        <f aca="false">Scoring!CB100</f>
        <v/>
      </c>
    </row>
    <row r="94" customFormat="false" ht="15.75" hidden="false" customHeight="false" outlineLevel="0" collapsed="false">
      <c r="A94" s="7" t="str">
        <f aca="false">Scoring!CE101</f>
        <v/>
      </c>
      <c r="B94" s="7" t="str">
        <f aca="false">Scoring!CD101</f>
        <v/>
      </c>
      <c r="C94" s="7" t="n">
        <f aca="false">Scoring!C101</f>
        <v>0</v>
      </c>
      <c r="D94" s="181" t="str">
        <f aca="false">Scoring!CA101</f>
        <v/>
      </c>
      <c r="E94" s="7" t="str">
        <f aca="false">Scoring!BD101</f>
        <v/>
      </c>
      <c r="F94" s="7" t="n">
        <f aca="false">Scoring!B101</f>
        <v>0</v>
      </c>
      <c r="G94" s="7" t="n">
        <f aca="false">Scoring!D101</f>
        <v>0</v>
      </c>
      <c r="H94" s="7" t="str">
        <f aca="false">Scoring!CC101</f>
        <v/>
      </c>
      <c r="I94" s="182" t="str">
        <f aca="false">Scoring!CB101</f>
        <v/>
      </c>
    </row>
    <row r="95" customFormat="false" ht="15.75" hidden="false" customHeight="false" outlineLevel="0" collapsed="false">
      <c r="A95" s="7" t="str">
        <f aca="false">Scoring!CE102</f>
        <v/>
      </c>
      <c r="B95" s="7" t="str">
        <f aca="false">Scoring!CD102</f>
        <v/>
      </c>
      <c r="C95" s="7" t="n">
        <f aca="false">Scoring!C102</f>
        <v>0</v>
      </c>
      <c r="D95" s="181" t="str">
        <f aca="false">Scoring!CA102</f>
        <v/>
      </c>
      <c r="E95" s="7" t="str">
        <f aca="false">Scoring!BD102</f>
        <v/>
      </c>
      <c r="F95" s="7" t="n">
        <f aca="false">Scoring!B102</f>
        <v>0</v>
      </c>
      <c r="G95" s="7" t="n">
        <f aca="false">Scoring!D102</f>
        <v>0</v>
      </c>
      <c r="H95" s="7" t="str">
        <f aca="false">Scoring!CC102</f>
        <v/>
      </c>
      <c r="I95" s="182" t="str">
        <f aca="false">Scoring!CB102</f>
        <v/>
      </c>
    </row>
    <row r="96" customFormat="false" ht="15.75" hidden="false" customHeight="false" outlineLevel="0" collapsed="false">
      <c r="A96" s="7" t="str">
        <f aca="false">Scoring!CE103</f>
        <v/>
      </c>
      <c r="B96" s="7" t="str">
        <f aca="false">Scoring!CD103</f>
        <v/>
      </c>
      <c r="C96" s="7" t="n">
        <f aca="false">Scoring!C103</f>
        <v>0</v>
      </c>
      <c r="D96" s="181" t="str">
        <f aca="false">Scoring!CA103</f>
        <v/>
      </c>
      <c r="E96" s="7" t="str">
        <f aca="false">Scoring!BD103</f>
        <v/>
      </c>
      <c r="F96" s="7" t="n">
        <f aca="false">Scoring!B103</f>
        <v>0</v>
      </c>
      <c r="G96" s="7" t="n">
        <f aca="false">Scoring!D103</f>
        <v>0</v>
      </c>
      <c r="H96" s="7" t="str">
        <f aca="false">Scoring!CC103</f>
        <v/>
      </c>
      <c r="I96" s="182" t="str">
        <f aca="false">Scoring!CB103</f>
        <v/>
      </c>
    </row>
    <row r="97" customFormat="false" ht="15.75" hidden="false" customHeight="false" outlineLevel="0" collapsed="false">
      <c r="A97" s="7" t="str">
        <f aca="false">Scoring!CE104</f>
        <v/>
      </c>
      <c r="B97" s="7" t="str">
        <f aca="false">Scoring!CD104</f>
        <v/>
      </c>
      <c r="C97" s="7" t="n">
        <f aca="false">Scoring!C104</f>
        <v>0</v>
      </c>
      <c r="D97" s="181" t="str">
        <f aca="false">Scoring!CA104</f>
        <v/>
      </c>
      <c r="E97" s="7" t="str">
        <f aca="false">Scoring!BD104</f>
        <v/>
      </c>
      <c r="F97" s="7" t="n">
        <f aca="false">Scoring!B104</f>
        <v>0</v>
      </c>
      <c r="G97" s="7" t="n">
        <f aca="false">Scoring!D104</f>
        <v>0</v>
      </c>
      <c r="H97" s="7" t="str">
        <f aca="false">Scoring!CC104</f>
        <v/>
      </c>
      <c r="I97" s="182" t="str">
        <f aca="false">Scoring!CB104</f>
        <v/>
      </c>
    </row>
    <row r="98" customFormat="false" ht="15.75" hidden="false" customHeight="false" outlineLevel="0" collapsed="false">
      <c r="A98" s="7" t="str">
        <f aca="false">Scoring!CE105</f>
        <v/>
      </c>
      <c r="B98" s="7" t="str">
        <f aca="false">Scoring!CD105</f>
        <v/>
      </c>
      <c r="C98" s="7" t="n">
        <f aca="false">Scoring!C105</f>
        <v>0</v>
      </c>
      <c r="D98" s="181" t="str">
        <f aca="false">Scoring!CA105</f>
        <v/>
      </c>
      <c r="E98" s="7" t="str">
        <f aca="false">Scoring!BD105</f>
        <v/>
      </c>
      <c r="F98" s="7" t="n">
        <f aca="false">Scoring!B105</f>
        <v>0</v>
      </c>
      <c r="G98" s="7" t="n">
        <f aca="false">Scoring!D105</f>
        <v>0</v>
      </c>
      <c r="H98" s="7" t="str">
        <f aca="false">Scoring!CC105</f>
        <v/>
      </c>
      <c r="I98" s="182" t="str">
        <f aca="false">Scoring!CB105</f>
        <v/>
      </c>
    </row>
    <row r="99" customFormat="false" ht="15.75" hidden="false" customHeight="false" outlineLevel="0" collapsed="false">
      <c r="A99" s="7" t="str">
        <f aca="false">Scoring!CE106</f>
        <v/>
      </c>
      <c r="B99" s="7" t="str">
        <f aca="false">Scoring!CD106</f>
        <v/>
      </c>
      <c r="C99" s="7" t="n">
        <f aca="false">Scoring!C106</f>
        <v>0</v>
      </c>
      <c r="D99" s="181" t="str">
        <f aca="false">Scoring!CA106</f>
        <v/>
      </c>
      <c r="E99" s="7" t="str">
        <f aca="false">Scoring!BD106</f>
        <v/>
      </c>
      <c r="F99" s="7" t="n">
        <f aca="false">Scoring!B106</f>
        <v>0</v>
      </c>
      <c r="G99" s="7" t="n">
        <f aca="false">Scoring!D106</f>
        <v>0</v>
      </c>
      <c r="H99" s="7" t="str">
        <f aca="false">Scoring!CC106</f>
        <v/>
      </c>
      <c r="I99" s="182" t="str">
        <f aca="false">Scoring!CB106</f>
        <v/>
      </c>
    </row>
    <row r="100" customFormat="false" ht="15.75" hidden="false" customHeight="false" outlineLevel="0" collapsed="false">
      <c r="A100" s="7" t="str">
        <f aca="false">Scoring!CE107</f>
        <v/>
      </c>
      <c r="B100" s="7" t="str">
        <f aca="false">Scoring!CD107</f>
        <v/>
      </c>
      <c r="C100" s="7" t="n">
        <f aca="false">Scoring!C107</f>
        <v>0</v>
      </c>
      <c r="D100" s="181" t="str">
        <f aca="false">Scoring!CA107</f>
        <v/>
      </c>
      <c r="E100" s="7" t="str">
        <f aca="false">Scoring!BD107</f>
        <v/>
      </c>
      <c r="F100" s="7" t="n">
        <f aca="false">Scoring!B107</f>
        <v>0</v>
      </c>
      <c r="G100" s="7" t="n">
        <f aca="false">Scoring!D107</f>
        <v>0</v>
      </c>
      <c r="H100" s="7" t="str">
        <f aca="false">Scoring!CC107</f>
        <v/>
      </c>
      <c r="I100" s="182" t="str">
        <f aca="false">Scoring!CB107</f>
        <v/>
      </c>
    </row>
    <row r="101" customFormat="false" ht="15.75" hidden="false" customHeight="false" outlineLevel="0" collapsed="false">
      <c r="A101" s="7" t="str">
        <f aca="false">Scoring!CE108</f>
        <v/>
      </c>
      <c r="B101" s="7" t="str">
        <f aca="false">Scoring!CD108</f>
        <v/>
      </c>
      <c r="C101" s="7" t="n">
        <f aca="false">Scoring!C108</f>
        <v>0</v>
      </c>
      <c r="D101" s="181" t="str">
        <f aca="false">Scoring!CA108</f>
        <v/>
      </c>
      <c r="E101" s="7" t="str">
        <f aca="false">Scoring!BD108</f>
        <v/>
      </c>
      <c r="F101" s="7" t="n">
        <f aca="false">Scoring!B108</f>
        <v>0</v>
      </c>
      <c r="G101" s="7" t="n">
        <f aca="false">Scoring!D108</f>
        <v>0</v>
      </c>
      <c r="H101" s="7" t="str">
        <f aca="false">Scoring!CC108</f>
        <v/>
      </c>
      <c r="I101" s="182" t="str">
        <f aca="false">Scoring!CB108</f>
        <v/>
      </c>
    </row>
    <row r="102" customFormat="false" ht="15.75" hidden="false" customHeight="false" outlineLevel="0" collapsed="false">
      <c r="A102" s="7" t="str">
        <f aca="false">Scoring!CE109</f>
        <v/>
      </c>
      <c r="B102" s="7" t="str">
        <f aca="false">Scoring!CD109</f>
        <v/>
      </c>
      <c r="C102" s="7" t="n">
        <f aca="false">Scoring!C109</f>
        <v>0</v>
      </c>
      <c r="D102" s="181" t="str">
        <f aca="false">Scoring!CA109</f>
        <v/>
      </c>
      <c r="E102" s="7" t="str">
        <f aca="false">Scoring!BD109</f>
        <v/>
      </c>
      <c r="F102" s="7" t="n">
        <f aca="false">Scoring!B109</f>
        <v>0</v>
      </c>
      <c r="G102" s="7" t="n">
        <f aca="false">Scoring!D109</f>
        <v>0</v>
      </c>
      <c r="H102" s="7" t="str">
        <f aca="false">Scoring!CC109</f>
        <v/>
      </c>
      <c r="I102" s="182" t="str">
        <f aca="false">Scoring!CB109</f>
        <v/>
      </c>
    </row>
    <row r="103" customFormat="false" ht="15.75" hidden="false" customHeight="false" outlineLevel="0" collapsed="false">
      <c r="A103" s="7" t="str">
        <f aca="false">Scoring!CE110</f>
        <v/>
      </c>
      <c r="B103" s="7" t="str">
        <f aca="false">Scoring!CD110</f>
        <v/>
      </c>
      <c r="C103" s="7" t="n">
        <f aca="false">Scoring!C110</f>
        <v>0</v>
      </c>
      <c r="D103" s="181" t="str">
        <f aca="false">Scoring!CA110</f>
        <v/>
      </c>
      <c r="E103" s="7" t="str">
        <f aca="false">Scoring!BD110</f>
        <v/>
      </c>
      <c r="F103" s="7" t="n">
        <f aca="false">Scoring!B110</f>
        <v>0</v>
      </c>
      <c r="G103" s="7" t="n">
        <f aca="false">Scoring!D110</f>
        <v>0</v>
      </c>
      <c r="H103" s="7" t="str">
        <f aca="false">Scoring!CC110</f>
        <v/>
      </c>
      <c r="I103" s="182" t="str">
        <f aca="false">Scoring!CB110</f>
        <v/>
      </c>
    </row>
    <row r="104" customFormat="false" ht="15.75" hidden="false" customHeight="false" outlineLevel="0" collapsed="false">
      <c r="A104" s="7" t="str">
        <f aca="false">Scoring!CE111</f>
        <v/>
      </c>
      <c r="B104" s="7" t="str">
        <f aca="false">Scoring!CD111</f>
        <v/>
      </c>
      <c r="C104" s="7" t="n">
        <f aca="false">Scoring!C111</f>
        <v>0</v>
      </c>
      <c r="D104" s="181" t="str">
        <f aca="false">Scoring!CA111</f>
        <v/>
      </c>
      <c r="E104" s="7" t="str">
        <f aca="false">Scoring!BD111</f>
        <v/>
      </c>
      <c r="F104" s="7" t="n">
        <f aca="false">Scoring!B111</f>
        <v>0</v>
      </c>
      <c r="G104" s="7" t="n">
        <f aca="false">Scoring!D111</f>
        <v>0</v>
      </c>
      <c r="H104" s="7" t="str">
        <f aca="false">Scoring!CC111</f>
        <v/>
      </c>
      <c r="I104" s="182" t="str">
        <f aca="false">Scoring!CB111</f>
        <v/>
      </c>
    </row>
    <row r="105" customFormat="false" ht="15.75" hidden="false" customHeight="false" outlineLevel="0" collapsed="false">
      <c r="A105" s="7" t="str">
        <f aca="false">Scoring!CE112</f>
        <v/>
      </c>
      <c r="B105" s="7" t="str">
        <f aca="false">Scoring!CD112</f>
        <v/>
      </c>
      <c r="C105" s="7" t="n">
        <f aca="false">Scoring!C112</f>
        <v>0</v>
      </c>
      <c r="D105" s="181" t="str">
        <f aca="false">Scoring!CA112</f>
        <v/>
      </c>
      <c r="E105" s="7" t="str">
        <f aca="false">Scoring!BD112</f>
        <v/>
      </c>
      <c r="F105" s="7" t="n">
        <f aca="false">Scoring!B112</f>
        <v>0</v>
      </c>
      <c r="G105" s="7" t="n">
        <f aca="false">Scoring!D112</f>
        <v>0</v>
      </c>
      <c r="H105" s="7" t="str">
        <f aca="false">Scoring!CC112</f>
        <v/>
      </c>
      <c r="I105" s="182" t="str">
        <f aca="false">Scoring!CB112</f>
        <v/>
      </c>
    </row>
    <row r="106" customFormat="false" ht="15.75" hidden="false" customHeight="false" outlineLevel="0" collapsed="false">
      <c r="A106" s="7" t="str">
        <f aca="false">Scoring!CE113</f>
        <v/>
      </c>
      <c r="B106" s="7" t="str">
        <f aca="false">Scoring!CD113</f>
        <v/>
      </c>
      <c r="C106" s="7" t="n">
        <f aca="false">Scoring!C113</f>
        <v>0</v>
      </c>
      <c r="D106" s="181" t="str">
        <f aca="false">Scoring!CA113</f>
        <v/>
      </c>
      <c r="E106" s="7" t="str">
        <f aca="false">Scoring!BD113</f>
        <v/>
      </c>
      <c r="F106" s="7" t="n">
        <f aca="false">Scoring!B113</f>
        <v>0</v>
      </c>
      <c r="G106" s="7" t="n">
        <f aca="false">Scoring!D113</f>
        <v>0</v>
      </c>
      <c r="H106" s="7" t="str">
        <f aca="false">Scoring!CC113</f>
        <v/>
      </c>
      <c r="I106" s="182" t="str">
        <f aca="false">Scoring!CB113</f>
        <v/>
      </c>
    </row>
    <row r="107" customFormat="false" ht="15.75" hidden="false" customHeight="false" outlineLevel="0" collapsed="false">
      <c r="A107" s="7" t="str">
        <f aca="false">Scoring!CE114</f>
        <v/>
      </c>
      <c r="B107" s="7" t="str">
        <f aca="false">Scoring!CD114</f>
        <v/>
      </c>
      <c r="C107" s="7" t="n">
        <f aca="false">Scoring!C114</f>
        <v>0</v>
      </c>
      <c r="D107" s="181" t="str">
        <f aca="false">Scoring!CA114</f>
        <v/>
      </c>
      <c r="E107" s="7" t="str">
        <f aca="false">Scoring!BD114</f>
        <v/>
      </c>
      <c r="F107" s="7" t="n">
        <f aca="false">Scoring!B114</f>
        <v>0</v>
      </c>
      <c r="G107" s="7" t="n">
        <f aca="false">Scoring!D114</f>
        <v>0</v>
      </c>
      <c r="H107" s="7" t="str">
        <f aca="false">Scoring!CC114</f>
        <v/>
      </c>
      <c r="I107" s="182" t="str">
        <f aca="false">Scoring!CB114</f>
        <v/>
      </c>
    </row>
    <row r="108" customFormat="false" ht="15.75" hidden="false" customHeight="false" outlineLevel="0" collapsed="false">
      <c r="A108" s="7" t="str">
        <f aca="false">Scoring!CE115</f>
        <v/>
      </c>
      <c r="B108" s="7" t="str">
        <f aca="false">Scoring!CD115</f>
        <v/>
      </c>
      <c r="C108" s="7" t="n">
        <f aca="false">Scoring!C115</f>
        <v>0</v>
      </c>
      <c r="D108" s="181" t="str">
        <f aca="false">Scoring!CA115</f>
        <v/>
      </c>
      <c r="E108" s="7" t="str">
        <f aca="false">Scoring!BD115</f>
        <v/>
      </c>
      <c r="F108" s="7" t="n">
        <f aca="false">Scoring!B115</f>
        <v>0</v>
      </c>
      <c r="G108" s="7" t="n">
        <f aca="false">Scoring!D115</f>
        <v>0</v>
      </c>
      <c r="H108" s="7" t="str">
        <f aca="false">Scoring!CC115</f>
        <v/>
      </c>
      <c r="I108" s="182" t="str">
        <f aca="false">Scoring!CB115</f>
        <v/>
      </c>
    </row>
    <row r="109" customFormat="false" ht="15.75" hidden="false" customHeight="false" outlineLevel="0" collapsed="false">
      <c r="A109" s="7" t="str">
        <f aca="false">Scoring!CE116</f>
        <v/>
      </c>
      <c r="B109" s="7" t="str">
        <f aca="false">Scoring!CD116</f>
        <v/>
      </c>
      <c r="C109" s="7" t="n">
        <f aca="false">Scoring!C116</f>
        <v>0</v>
      </c>
      <c r="D109" s="181" t="str">
        <f aca="false">Scoring!CA116</f>
        <v/>
      </c>
      <c r="E109" s="7" t="str">
        <f aca="false">Scoring!BD116</f>
        <v/>
      </c>
      <c r="F109" s="7" t="n">
        <f aca="false">Scoring!B116</f>
        <v>0</v>
      </c>
      <c r="G109" s="7" t="n">
        <f aca="false">Scoring!D116</f>
        <v>0</v>
      </c>
      <c r="H109" s="7" t="str">
        <f aca="false">Scoring!CC116</f>
        <v/>
      </c>
      <c r="I109" s="182" t="str">
        <f aca="false">Scoring!CB116</f>
        <v/>
      </c>
    </row>
    <row r="110" customFormat="false" ht="15.75" hidden="false" customHeight="false" outlineLevel="0" collapsed="false">
      <c r="A110" s="7" t="str">
        <f aca="false">Scoring!CE117</f>
        <v/>
      </c>
      <c r="B110" s="7" t="str">
        <f aca="false">Scoring!CD117</f>
        <v/>
      </c>
      <c r="C110" s="7" t="n">
        <f aca="false">Scoring!C117</f>
        <v>0</v>
      </c>
      <c r="D110" s="181" t="str">
        <f aca="false">Scoring!CA117</f>
        <v/>
      </c>
      <c r="E110" s="7" t="str">
        <f aca="false">Scoring!BD117</f>
        <v/>
      </c>
      <c r="F110" s="7" t="n">
        <f aca="false">Scoring!B117</f>
        <v>0</v>
      </c>
      <c r="G110" s="7" t="n">
        <f aca="false">Scoring!D117</f>
        <v>0</v>
      </c>
      <c r="H110" s="7" t="str">
        <f aca="false">Scoring!CC117</f>
        <v/>
      </c>
      <c r="I110" s="182" t="str">
        <f aca="false">Scoring!CB117</f>
        <v/>
      </c>
    </row>
    <row r="111" customFormat="false" ht="15.75" hidden="false" customHeight="false" outlineLevel="0" collapsed="false">
      <c r="A111" s="7" t="str">
        <f aca="false">Scoring!CE118</f>
        <v/>
      </c>
      <c r="B111" s="7" t="str">
        <f aca="false">Scoring!CD118</f>
        <v/>
      </c>
      <c r="C111" s="7" t="n">
        <f aca="false">Scoring!C118</f>
        <v>0</v>
      </c>
      <c r="D111" s="181" t="str">
        <f aca="false">Scoring!CA118</f>
        <v/>
      </c>
      <c r="E111" s="7" t="str">
        <f aca="false">Scoring!BD118</f>
        <v/>
      </c>
      <c r="F111" s="7" t="n">
        <f aca="false">Scoring!B118</f>
        <v>0</v>
      </c>
      <c r="G111" s="7" t="n">
        <f aca="false">Scoring!D118</f>
        <v>0</v>
      </c>
      <c r="H111" s="7" t="str">
        <f aca="false">Scoring!CC118</f>
        <v/>
      </c>
      <c r="I111" s="182" t="str">
        <f aca="false">Scoring!CB118</f>
        <v/>
      </c>
    </row>
    <row r="112" customFormat="false" ht="15.75" hidden="false" customHeight="false" outlineLevel="0" collapsed="false">
      <c r="A112" s="7" t="str">
        <f aca="false">Scoring!CE119</f>
        <v/>
      </c>
      <c r="B112" s="7" t="str">
        <f aca="false">Scoring!CD119</f>
        <v/>
      </c>
      <c r="C112" s="7" t="n">
        <f aca="false">Scoring!C119</f>
        <v>0</v>
      </c>
      <c r="D112" s="181" t="str">
        <f aca="false">Scoring!CA119</f>
        <v/>
      </c>
      <c r="E112" s="7" t="str">
        <f aca="false">Scoring!BD119</f>
        <v/>
      </c>
      <c r="F112" s="7" t="n">
        <f aca="false">Scoring!B119</f>
        <v>0</v>
      </c>
      <c r="G112" s="7" t="n">
        <f aca="false">Scoring!D119</f>
        <v>0</v>
      </c>
      <c r="H112" s="7" t="str">
        <f aca="false">Scoring!CC119</f>
        <v/>
      </c>
      <c r="I112" s="182" t="str">
        <f aca="false">Scoring!CB119</f>
        <v/>
      </c>
    </row>
    <row r="113" customFormat="false" ht="15.75" hidden="false" customHeight="false" outlineLevel="0" collapsed="false">
      <c r="A113" s="7" t="str">
        <f aca="false">Scoring!CE120</f>
        <v/>
      </c>
      <c r="B113" s="7" t="str">
        <f aca="false">Scoring!CD120</f>
        <v/>
      </c>
      <c r="C113" s="7" t="n">
        <f aca="false">Scoring!C120</f>
        <v>0</v>
      </c>
      <c r="D113" s="181" t="str">
        <f aca="false">Scoring!CA120</f>
        <v/>
      </c>
      <c r="E113" s="7" t="str">
        <f aca="false">Scoring!BD120</f>
        <v/>
      </c>
      <c r="F113" s="7" t="n">
        <f aca="false">Scoring!B120</f>
        <v>0</v>
      </c>
      <c r="G113" s="7" t="n">
        <f aca="false">Scoring!D120</f>
        <v>0</v>
      </c>
      <c r="H113" s="7" t="str">
        <f aca="false">Scoring!CC120</f>
        <v/>
      </c>
      <c r="I113" s="182" t="str">
        <f aca="false">Scoring!CB120</f>
        <v/>
      </c>
    </row>
    <row r="114" customFormat="false" ht="15.75" hidden="false" customHeight="false" outlineLevel="0" collapsed="false">
      <c r="A114" s="7" t="str">
        <f aca="false">Scoring!CE121</f>
        <v/>
      </c>
      <c r="B114" s="7" t="str">
        <f aca="false">Scoring!CD121</f>
        <v/>
      </c>
      <c r="C114" s="7" t="n">
        <f aca="false">Scoring!C121</f>
        <v>0</v>
      </c>
      <c r="D114" s="181" t="str">
        <f aca="false">Scoring!CA121</f>
        <v/>
      </c>
      <c r="E114" s="7" t="str">
        <f aca="false">Scoring!BD121</f>
        <v/>
      </c>
      <c r="F114" s="7" t="n">
        <f aca="false">Scoring!B121</f>
        <v>0</v>
      </c>
      <c r="G114" s="7" t="n">
        <f aca="false">Scoring!D121</f>
        <v>0</v>
      </c>
      <c r="H114" s="7" t="str">
        <f aca="false">Scoring!CC121</f>
        <v/>
      </c>
      <c r="I114" s="182" t="str">
        <f aca="false">Scoring!CB121</f>
        <v/>
      </c>
    </row>
    <row r="115" customFormat="false" ht="15.75" hidden="false" customHeight="false" outlineLevel="0" collapsed="false">
      <c r="A115" s="7" t="str">
        <f aca="false">Scoring!CE122</f>
        <v/>
      </c>
      <c r="B115" s="7" t="str">
        <f aca="false">Scoring!CD122</f>
        <v/>
      </c>
      <c r="C115" s="7" t="n">
        <f aca="false">Scoring!C122</f>
        <v>0</v>
      </c>
      <c r="D115" s="181" t="str">
        <f aca="false">Scoring!CA122</f>
        <v/>
      </c>
      <c r="E115" s="7" t="str">
        <f aca="false">Scoring!BD122</f>
        <v/>
      </c>
      <c r="F115" s="7" t="n">
        <f aca="false">Scoring!B122</f>
        <v>0</v>
      </c>
      <c r="G115" s="7" t="n">
        <f aca="false">Scoring!D122</f>
        <v>0</v>
      </c>
      <c r="H115" s="7" t="str">
        <f aca="false">Scoring!CC122</f>
        <v/>
      </c>
      <c r="I115" s="182" t="str">
        <f aca="false">Scoring!CB122</f>
        <v/>
      </c>
    </row>
    <row r="116" customFormat="false" ht="15.75" hidden="false" customHeight="false" outlineLevel="0" collapsed="false">
      <c r="A116" s="7" t="str">
        <f aca="false">Scoring!CE123</f>
        <v/>
      </c>
      <c r="B116" s="7" t="str">
        <f aca="false">Scoring!CD123</f>
        <v/>
      </c>
      <c r="C116" s="7" t="n">
        <f aca="false">Scoring!C123</f>
        <v>0</v>
      </c>
      <c r="D116" s="181" t="str">
        <f aca="false">Scoring!CA123</f>
        <v/>
      </c>
      <c r="E116" s="7" t="str">
        <f aca="false">Scoring!BD123</f>
        <v/>
      </c>
      <c r="F116" s="7" t="n">
        <f aca="false">Scoring!B123</f>
        <v>0</v>
      </c>
      <c r="G116" s="7" t="n">
        <f aca="false">Scoring!D123</f>
        <v>0</v>
      </c>
      <c r="H116" s="7" t="str">
        <f aca="false">Scoring!CC123</f>
        <v/>
      </c>
      <c r="I116" s="182" t="str">
        <f aca="false">Scoring!CB123</f>
        <v/>
      </c>
    </row>
    <row r="117" customFormat="false" ht="15.75" hidden="false" customHeight="false" outlineLevel="0" collapsed="false">
      <c r="A117" s="7" t="str">
        <f aca="false">Scoring!CE124</f>
        <v/>
      </c>
      <c r="B117" s="7" t="str">
        <f aca="false">Scoring!CD124</f>
        <v/>
      </c>
      <c r="C117" s="7" t="n">
        <f aca="false">Scoring!C124</f>
        <v>0</v>
      </c>
      <c r="D117" s="181" t="str">
        <f aca="false">Scoring!CA124</f>
        <v/>
      </c>
      <c r="E117" s="7" t="str">
        <f aca="false">Scoring!BD124</f>
        <v/>
      </c>
      <c r="F117" s="7" t="n">
        <f aca="false">Scoring!B124</f>
        <v>0</v>
      </c>
      <c r="G117" s="7" t="n">
        <f aca="false">Scoring!D124</f>
        <v>0</v>
      </c>
      <c r="H117" s="7" t="str">
        <f aca="false">Scoring!CC124</f>
        <v/>
      </c>
      <c r="I117" s="182" t="str">
        <f aca="false">Scoring!CB124</f>
        <v/>
      </c>
    </row>
    <row r="118" customFormat="false" ht="15.75" hidden="false" customHeight="false" outlineLevel="0" collapsed="false">
      <c r="A118" s="7" t="str">
        <f aca="false">Scoring!CE125</f>
        <v/>
      </c>
      <c r="B118" s="7" t="str">
        <f aca="false">Scoring!CD125</f>
        <v/>
      </c>
      <c r="C118" s="7" t="n">
        <f aca="false">Scoring!C125</f>
        <v>0</v>
      </c>
      <c r="D118" s="181" t="str">
        <f aca="false">Scoring!CA125</f>
        <v/>
      </c>
      <c r="E118" s="7" t="str">
        <f aca="false">Scoring!BD125</f>
        <v/>
      </c>
      <c r="F118" s="7" t="n">
        <f aca="false">Scoring!B125</f>
        <v>0</v>
      </c>
      <c r="G118" s="7" t="n">
        <f aca="false">Scoring!D125</f>
        <v>0</v>
      </c>
      <c r="H118" s="7" t="str">
        <f aca="false">Scoring!CC125</f>
        <v/>
      </c>
      <c r="I118" s="182" t="str">
        <f aca="false">Scoring!CB125</f>
        <v/>
      </c>
    </row>
    <row r="119" customFormat="false" ht="15.75" hidden="false" customHeight="false" outlineLevel="0" collapsed="false">
      <c r="A119" s="7" t="str">
        <f aca="false">Scoring!CE126</f>
        <v/>
      </c>
      <c r="B119" s="7" t="str">
        <f aca="false">Scoring!CD126</f>
        <v/>
      </c>
      <c r="C119" s="7" t="n">
        <f aca="false">Scoring!C126</f>
        <v>0</v>
      </c>
      <c r="D119" s="181" t="str">
        <f aca="false">Scoring!CA126</f>
        <v/>
      </c>
      <c r="E119" s="7" t="str">
        <f aca="false">Scoring!BD126</f>
        <v/>
      </c>
      <c r="F119" s="7" t="n">
        <f aca="false">Scoring!B126</f>
        <v>0</v>
      </c>
      <c r="G119" s="7" t="n">
        <f aca="false">Scoring!D126</f>
        <v>0</v>
      </c>
      <c r="H119" s="7" t="str">
        <f aca="false">Scoring!CC126</f>
        <v/>
      </c>
      <c r="I119" s="182" t="str">
        <f aca="false">Scoring!CB126</f>
        <v/>
      </c>
    </row>
    <row r="120" customFormat="false" ht="15.75" hidden="false" customHeight="false" outlineLevel="0" collapsed="false">
      <c r="A120" s="7" t="str">
        <f aca="false">Scoring!CE127</f>
        <v/>
      </c>
      <c r="B120" s="7" t="str">
        <f aca="false">Scoring!CD127</f>
        <v/>
      </c>
      <c r="C120" s="7" t="n">
        <f aca="false">Scoring!C127</f>
        <v>0</v>
      </c>
      <c r="D120" s="181" t="str">
        <f aca="false">Scoring!CA127</f>
        <v/>
      </c>
      <c r="E120" s="7" t="str">
        <f aca="false">Scoring!BD127</f>
        <v/>
      </c>
      <c r="F120" s="7" t="n">
        <f aca="false">Scoring!B127</f>
        <v>0</v>
      </c>
      <c r="G120" s="7" t="n">
        <f aca="false">Scoring!D127</f>
        <v>0</v>
      </c>
      <c r="H120" s="7" t="str">
        <f aca="false">Scoring!CC127</f>
        <v/>
      </c>
      <c r="I120" s="182" t="str">
        <f aca="false">Scoring!CB127</f>
        <v/>
      </c>
    </row>
    <row r="121" customFormat="false" ht="15.75" hidden="false" customHeight="false" outlineLevel="0" collapsed="false">
      <c r="A121" s="7" t="str">
        <f aca="false">Scoring!CE128</f>
        <v/>
      </c>
      <c r="B121" s="7" t="str">
        <f aca="false">Scoring!CD128</f>
        <v/>
      </c>
      <c r="C121" s="7" t="n">
        <f aca="false">Scoring!C128</f>
        <v>0</v>
      </c>
      <c r="D121" s="181" t="str">
        <f aca="false">Scoring!CA128</f>
        <v/>
      </c>
      <c r="E121" s="7" t="str">
        <f aca="false">Scoring!BD128</f>
        <v/>
      </c>
      <c r="F121" s="7" t="n">
        <f aca="false">Scoring!B128</f>
        <v>0</v>
      </c>
      <c r="G121" s="7" t="n">
        <f aca="false">Scoring!D128</f>
        <v>0</v>
      </c>
      <c r="H121" s="7" t="str">
        <f aca="false">Scoring!CC128</f>
        <v/>
      </c>
      <c r="I121" s="182" t="str">
        <f aca="false">Scoring!CB128</f>
        <v/>
      </c>
    </row>
    <row r="122" customFormat="false" ht="15.75" hidden="false" customHeight="false" outlineLevel="0" collapsed="false">
      <c r="A122" s="7" t="str">
        <f aca="false">Scoring!CE129</f>
        <v/>
      </c>
      <c r="B122" s="7" t="str">
        <f aca="false">Scoring!CD129</f>
        <v/>
      </c>
      <c r="C122" s="7" t="n">
        <f aca="false">Scoring!C129</f>
        <v>0</v>
      </c>
      <c r="D122" s="181" t="str">
        <f aca="false">Scoring!CA129</f>
        <v/>
      </c>
      <c r="E122" s="7" t="str">
        <f aca="false">Scoring!BD129</f>
        <v/>
      </c>
      <c r="F122" s="7" t="n">
        <f aca="false">Scoring!B129</f>
        <v>0</v>
      </c>
      <c r="G122" s="7" t="n">
        <f aca="false">Scoring!D129</f>
        <v>0</v>
      </c>
      <c r="H122" s="7" t="str">
        <f aca="false">Scoring!CC129</f>
        <v/>
      </c>
      <c r="I122" s="182" t="str">
        <f aca="false">Scoring!CB129</f>
        <v/>
      </c>
    </row>
    <row r="123" customFormat="false" ht="15.75" hidden="false" customHeight="false" outlineLevel="0" collapsed="false">
      <c r="A123" s="7" t="str">
        <f aca="false">Scoring!CE130</f>
        <v/>
      </c>
      <c r="B123" s="7" t="str">
        <f aca="false">Scoring!CD130</f>
        <v/>
      </c>
      <c r="C123" s="7" t="n">
        <f aca="false">Scoring!C130</f>
        <v>0</v>
      </c>
      <c r="D123" s="181" t="str">
        <f aca="false">Scoring!CA130</f>
        <v/>
      </c>
      <c r="E123" s="7" t="str">
        <f aca="false">Scoring!BD130</f>
        <v/>
      </c>
      <c r="F123" s="7" t="n">
        <f aca="false">Scoring!B130</f>
        <v>0</v>
      </c>
      <c r="G123" s="7" t="n">
        <f aca="false">Scoring!D130</f>
        <v>0</v>
      </c>
      <c r="H123" s="7" t="str">
        <f aca="false">Scoring!CC130</f>
        <v/>
      </c>
      <c r="I123" s="182" t="str">
        <f aca="false">Scoring!CB130</f>
        <v/>
      </c>
    </row>
    <row r="124" customFormat="false" ht="15.75" hidden="false" customHeight="false" outlineLevel="0" collapsed="false">
      <c r="A124" s="7" t="str">
        <f aca="false">Scoring!CE131</f>
        <v/>
      </c>
      <c r="B124" s="7" t="str">
        <f aca="false">Scoring!CD131</f>
        <v/>
      </c>
      <c r="C124" s="7" t="n">
        <f aca="false">Scoring!C131</f>
        <v>0</v>
      </c>
      <c r="D124" s="181" t="str">
        <f aca="false">Scoring!CA131</f>
        <v/>
      </c>
      <c r="E124" s="7" t="str">
        <f aca="false">Scoring!BD131</f>
        <v/>
      </c>
      <c r="F124" s="7" t="n">
        <f aca="false">Scoring!B131</f>
        <v>0</v>
      </c>
      <c r="G124" s="7" t="n">
        <f aca="false">Scoring!D131</f>
        <v>0</v>
      </c>
      <c r="H124" s="7" t="str">
        <f aca="false">Scoring!CC131</f>
        <v/>
      </c>
      <c r="I124" s="182" t="str">
        <f aca="false">Scoring!CB131</f>
        <v/>
      </c>
    </row>
    <row r="125" customFormat="false" ht="15.75" hidden="false" customHeight="false" outlineLevel="0" collapsed="false">
      <c r="A125" s="7" t="str">
        <f aca="false">Scoring!CE132</f>
        <v/>
      </c>
      <c r="B125" s="7" t="str">
        <f aca="false">Scoring!CD132</f>
        <v/>
      </c>
      <c r="C125" s="7" t="n">
        <f aca="false">Scoring!C132</f>
        <v>0</v>
      </c>
      <c r="D125" s="181" t="str">
        <f aca="false">Scoring!CA132</f>
        <v/>
      </c>
      <c r="E125" s="7" t="str">
        <f aca="false">Scoring!BD132</f>
        <v/>
      </c>
      <c r="F125" s="7" t="n">
        <f aca="false">Scoring!B132</f>
        <v>0</v>
      </c>
      <c r="G125" s="7" t="n">
        <f aca="false">Scoring!D132</f>
        <v>0</v>
      </c>
      <c r="H125" s="7" t="str">
        <f aca="false">Scoring!CC132</f>
        <v/>
      </c>
      <c r="I125" s="182" t="str">
        <f aca="false">Scoring!CB132</f>
        <v/>
      </c>
    </row>
    <row r="126" customFormat="false" ht="15.75" hidden="false" customHeight="false" outlineLevel="0" collapsed="false">
      <c r="A126" s="7" t="str">
        <f aca="false">Scoring!CE133</f>
        <v/>
      </c>
      <c r="B126" s="7" t="str">
        <f aca="false">Scoring!CD133</f>
        <v/>
      </c>
      <c r="C126" s="7" t="n">
        <f aca="false">Scoring!C133</f>
        <v>0</v>
      </c>
      <c r="D126" s="181" t="str">
        <f aca="false">Scoring!CA133</f>
        <v/>
      </c>
      <c r="E126" s="7" t="str">
        <f aca="false">Scoring!BD133</f>
        <v/>
      </c>
      <c r="F126" s="7" t="n">
        <f aca="false">Scoring!B133</f>
        <v>0</v>
      </c>
      <c r="G126" s="7" t="n">
        <f aca="false">Scoring!D133</f>
        <v>0</v>
      </c>
      <c r="H126" s="7" t="str">
        <f aca="false">Scoring!CC133</f>
        <v/>
      </c>
      <c r="I126" s="182" t="str">
        <f aca="false">Scoring!CB133</f>
        <v/>
      </c>
    </row>
    <row r="127" customFormat="false" ht="15.75" hidden="false" customHeight="false" outlineLevel="0" collapsed="false">
      <c r="A127" s="7" t="str">
        <f aca="false">Scoring!CE134</f>
        <v/>
      </c>
      <c r="B127" s="7" t="str">
        <f aca="false">Scoring!CD134</f>
        <v/>
      </c>
      <c r="C127" s="7" t="n">
        <f aca="false">Scoring!C134</f>
        <v>0</v>
      </c>
      <c r="D127" s="181" t="str">
        <f aca="false">Scoring!CA134</f>
        <v/>
      </c>
      <c r="E127" s="7" t="str">
        <f aca="false">Scoring!BD134</f>
        <v/>
      </c>
      <c r="F127" s="7" t="n">
        <f aca="false">Scoring!B134</f>
        <v>0</v>
      </c>
      <c r="G127" s="7" t="n">
        <f aca="false">Scoring!D134</f>
        <v>0</v>
      </c>
      <c r="H127" s="7" t="str">
        <f aca="false">Scoring!CC134</f>
        <v/>
      </c>
      <c r="I127" s="182" t="str">
        <f aca="false">Scoring!CB134</f>
        <v/>
      </c>
    </row>
    <row r="128" customFormat="false" ht="15.75" hidden="false" customHeight="false" outlineLevel="0" collapsed="false">
      <c r="A128" s="7" t="str">
        <f aca="false">Scoring!CE135</f>
        <v/>
      </c>
      <c r="B128" s="7" t="str">
        <f aca="false">Scoring!CD135</f>
        <v/>
      </c>
      <c r="C128" s="7" t="n">
        <f aca="false">Scoring!C135</f>
        <v>0</v>
      </c>
      <c r="D128" s="181" t="str">
        <f aca="false">Scoring!CA135</f>
        <v/>
      </c>
      <c r="E128" s="7" t="str">
        <f aca="false">Scoring!BD135</f>
        <v/>
      </c>
      <c r="F128" s="7" t="n">
        <f aca="false">Scoring!B135</f>
        <v>0</v>
      </c>
      <c r="G128" s="7" t="n">
        <f aca="false">Scoring!D135</f>
        <v>0</v>
      </c>
      <c r="H128" s="7" t="str">
        <f aca="false">Scoring!CC135</f>
        <v/>
      </c>
      <c r="I128" s="182" t="str">
        <f aca="false">Scoring!CB135</f>
        <v/>
      </c>
    </row>
    <row r="129" customFormat="false" ht="15.75" hidden="false" customHeight="false" outlineLevel="0" collapsed="false">
      <c r="A129" s="7" t="str">
        <f aca="false">Scoring!CE136</f>
        <v/>
      </c>
      <c r="B129" s="7" t="str">
        <f aca="false">Scoring!CD136</f>
        <v/>
      </c>
      <c r="C129" s="7" t="n">
        <f aca="false">Scoring!C136</f>
        <v>0</v>
      </c>
      <c r="D129" s="181" t="str">
        <f aca="false">Scoring!CA136</f>
        <v/>
      </c>
      <c r="E129" s="7" t="str">
        <f aca="false">Scoring!BD136</f>
        <v/>
      </c>
      <c r="F129" s="7" t="n">
        <f aca="false">Scoring!B136</f>
        <v>0</v>
      </c>
      <c r="G129" s="7" t="n">
        <f aca="false">Scoring!D136</f>
        <v>0</v>
      </c>
      <c r="H129" s="7" t="str">
        <f aca="false">Scoring!CC136</f>
        <v/>
      </c>
      <c r="I129" s="182" t="str">
        <f aca="false">Scoring!CB136</f>
        <v/>
      </c>
    </row>
    <row r="130" customFormat="false" ht="15.75" hidden="false" customHeight="false" outlineLevel="0" collapsed="false">
      <c r="A130" s="7" t="str">
        <f aca="false">Scoring!CE137</f>
        <v/>
      </c>
      <c r="B130" s="7" t="str">
        <f aca="false">Scoring!CD137</f>
        <v/>
      </c>
      <c r="C130" s="7" t="n">
        <f aca="false">Scoring!C137</f>
        <v>0</v>
      </c>
      <c r="D130" s="181" t="str">
        <f aca="false">Scoring!CA137</f>
        <v/>
      </c>
      <c r="E130" s="7" t="str">
        <f aca="false">Scoring!BD137</f>
        <v/>
      </c>
      <c r="F130" s="7" t="n">
        <f aca="false">Scoring!B137</f>
        <v>0</v>
      </c>
      <c r="G130" s="7" t="n">
        <f aca="false">Scoring!D137</f>
        <v>0</v>
      </c>
      <c r="H130" s="7" t="str">
        <f aca="false">Scoring!CC137</f>
        <v/>
      </c>
      <c r="I130" s="182" t="str">
        <f aca="false">Scoring!CB137</f>
        <v/>
      </c>
    </row>
    <row r="131" customFormat="false" ht="15.75" hidden="false" customHeight="false" outlineLevel="0" collapsed="false">
      <c r="A131" s="7" t="str">
        <f aca="false">Scoring!CE138</f>
        <v/>
      </c>
      <c r="B131" s="7" t="str">
        <f aca="false">Scoring!CD138</f>
        <v/>
      </c>
      <c r="C131" s="7" t="n">
        <f aca="false">Scoring!C138</f>
        <v>0</v>
      </c>
      <c r="D131" s="181" t="str">
        <f aca="false">Scoring!CA138</f>
        <v/>
      </c>
      <c r="E131" s="7" t="str">
        <f aca="false">Scoring!BD138</f>
        <v/>
      </c>
      <c r="F131" s="7" t="n">
        <f aca="false">Scoring!B138</f>
        <v>0</v>
      </c>
      <c r="G131" s="7" t="n">
        <f aca="false">Scoring!D138</f>
        <v>0</v>
      </c>
      <c r="H131" s="7" t="str">
        <f aca="false">Scoring!CC138</f>
        <v/>
      </c>
      <c r="I131" s="182" t="str">
        <f aca="false">Scoring!CB138</f>
        <v/>
      </c>
    </row>
    <row r="132" customFormat="false" ht="15.75" hidden="false" customHeight="false" outlineLevel="0" collapsed="false">
      <c r="A132" s="7" t="str">
        <f aca="false">Scoring!CE139</f>
        <v/>
      </c>
      <c r="B132" s="7" t="str">
        <f aca="false">Scoring!CD139</f>
        <v/>
      </c>
      <c r="C132" s="7" t="n">
        <f aca="false">Scoring!C139</f>
        <v>0</v>
      </c>
      <c r="D132" s="181" t="str">
        <f aca="false">Scoring!CA139</f>
        <v/>
      </c>
      <c r="E132" s="7" t="str">
        <f aca="false">Scoring!BD139</f>
        <v/>
      </c>
      <c r="F132" s="7" t="n">
        <f aca="false">Scoring!B139</f>
        <v>0</v>
      </c>
      <c r="G132" s="7" t="n">
        <f aca="false">Scoring!D139</f>
        <v>0</v>
      </c>
      <c r="H132" s="7" t="str">
        <f aca="false">Scoring!CC139</f>
        <v/>
      </c>
      <c r="I132" s="182" t="str">
        <f aca="false">Scoring!CB139</f>
        <v/>
      </c>
    </row>
    <row r="133" customFormat="false" ht="15.75" hidden="false" customHeight="false" outlineLevel="0" collapsed="false">
      <c r="A133" s="7" t="str">
        <f aca="false">Scoring!CE140</f>
        <v/>
      </c>
      <c r="B133" s="7" t="str">
        <f aca="false">Scoring!CD140</f>
        <v/>
      </c>
      <c r="C133" s="7" t="n">
        <f aca="false">Scoring!C140</f>
        <v>0</v>
      </c>
      <c r="D133" s="181" t="str">
        <f aca="false">Scoring!CA140</f>
        <v/>
      </c>
      <c r="E133" s="7" t="str">
        <f aca="false">Scoring!BD140</f>
        <v/>
      </c>
      <c r="F133" s="7" t="n">
        <f aca="false">Scoring!B140</f>
        <v>0</v>
      </c>
      <c r="G133" s="7" t="n">
        <f aca="false">Scoring!D140</f>
        <v>0</v>
      </c>
      <c r="H133" s="7" t="str">
        <f aca="false">Scoring!CC140</f>
        <v/>
      </c>
      <c r="I133" s="182" t="str">
        <f aca="false">Scoring!CB140</f>
        <v/>
      </c>
    </row>
    <row r="134" customFormat="false" ht="15.75" hidden="false" customHeight="false" outlineLevel="0" collapsed="false">
      <c r="A134" s="7" t="str">
        <f aca="false">Scoring!CE141</f>
        <v/>
      </c>
      <c r="B134" s="7" t="str">
        <f aca="false">Scoring!CD141</f>
        <v/>
      </c>
      <c r="C134" s="7" t="n">
        <f aca="false">Scoring!C141</f>
        <v>0</v>
      </c>
      <c r="D134" s="181" t="str">
        <f aca="false">Scoring!CA141</f>
        <v/>
      </c>
      <c r="E134" s="7" t="str">
        <f aca="false">Scoring!BD141</f>
        <v/>
      </c>
      <c r="F134" s="7" t="n">
        <f aca="false">Scoring!B141</f>
        <v>0</v>
      </c>
      <c r="G134" s="7" t="n">
        <f aca="false">Scoring!D141</f>
        <v>0</v>
      </c>
      <c r="H134" s="7" t="str">
        <f aca="false">Scoring!CC141</f>
        <v/>
      </c>
      <c r="I134" s="182" t="str">
        <f aca="false">Scoring!CB141</f>
        <v/>
      </c>
    </row>
    <row r="135" customFormat="false" ht="15.75" hidden="false" customHeight="false" outlineLevel="0" collapsed="false">
      <c r="A135" s="7" t="str">
        <f aca="false">Scoring!CE142</f>
        <v/>
      </c>
      <c r="B135" s="7" t="str">
        <f aca="false">Scoring!CD142</f>
        <v/>
      </c>
      <c r="C135" s="7" t="n">
        <f aca="false">Scoring!C142</f>
        <v>0</v>
      </c>
      <c r="D135" s="181" t="str">
        <f aca="false">Scoring!CA142</f>
        <v/>
      </c>
      <c r="E135" s="7" t="str">
        <f aca="false">Scoring!BD142</f>
        <v/>
      </c>
      <c r="F135" s="7" t="n">
        <f aca="false">Scoring!B142</f>
        <v>0</v>
      </c>
      <c r="G135" s="7" t="n">
        <f aca="false">Scoring!D142</f>
        <v>0</v>
      </c>
      <c r="H135" s="7" t="str">
        <f aca="false">Scoring!CC142</f>
        <v/>
      </c>
      <c r="I135" s="182" t="str">
        <f aca="false">Scoring!CB142</f>
        <v/>
      </c>
    </row>
    <row r="136" customFormat="false" ht="15.75" hidden="false" customHeight="false" outlineLevel="0" collapsed="false">
      <c r="A136" s="7" t="str">
        <f aca="false">Scoring!CE143</f>
        <v/>
      </c>
      <c r="B136" s="7" t="str">
        <f aca="false">Scoring!CD143</f>
        <v/>
      </c>
      <c r="C136" s="7" t="n">
        <f aca="false">Scoring!C143</f>
        <v>0</v>
      </c>
      <c r="D136" s="181" t="str">
        <f aca="false">Scoring!CA143</f>
        <v/>
      </c>
      <c r="E136" s="7" t="str">
        <f aca="false">Scoring!BD143</f>
        <v/>
      </c>
      <c r="F136" s="7" t="n">
        <f aca="false">Scoring!B143</f>
        <v>0</v>
      </c>
      <c r="G136" s="7" t="n">
        <f aca="false">Scoring!D143</f>
        <v>0</v>
      </c>
      <c r="H136" s="7" t="str">
        <f aca="false">Scoring!CC143</f>
        <v/>
      </c>
      <c r="I136" s="182" t="str">
        <f aca="false">Scoring!CB143</f>
        <v/>
      </c>
    </row>
    <row r="137" customFormat="false" ht="15.75" hidden="false" customHeight="false" outlineLevel="0" collapsed="false">
      <c r="A137" s="7" t="str">
        <f aca="false">Scoring!CE144</f>
        <v/>
      </c>
      <c r="B137" s="7" t="str">
        <f aca="false">Scoring!CD144</f>
        <v/>
      </c>
      <c r="C137" s="7" t="n">
        <f aca="false">Scoring!C144</f>
        <v>0</v>
      </c>
      <c r="D137" s="181" t="str">
        <f aca="false">Scoring!CA144</f>
        <v/>
      </c>
      <c r="E137" s="7" t="str">
        <f aca="false">Scoring!BD144</f>
        <v/>
      </c>
      <c r="F137" s="7" t="n">
        <f aca="false">Scoring!B144</f>
        <v>0</v>
      </c>
      <c r="G137" s="7" t="n">
        <f aca="false">Scoring!D144</f>
        <v>0</v>
      </c>
      <c r="H137" s="7" t="str">
        <f aca="false">Scoring!CC144</f>
        <v/>
      </c>
      <c r="I137" s="182" t="str">
        <f aca="false">Scoring!CB144</f>
        <v/>
      </c>
    </row>
    <row r="138" customFormat="false" ht="15.75" hidden="false" customHeight="false" outlineLevel="0" collapsed="false">
      <c r="A138" s="7" t="str">
        <f aca="false">Scoring!CE145</f>
        <v/>
      </c>
      <c r="B138" s="7" t="str">
        <f aca="false">Scoring!CD145</f>
        <v/>
      </c>
      <c r="C138" s="7" t="n">
        <f aca="false">Scoring!C145</f>
        <v>0</v>
      </c>
      <c r="D138" s="181" t="str">
        <f aca="false">Scoring!CA145</f>
        <v/>
      </c>
      <c r="E138" s="7" t="str">
        <f aca="false">Scoring!BD145</f>
        <v/>
      </c>
      <c r="F138" s="7" t="n">
        <f aca="false">Scoring!B145</f>
        <v>0</v>
      </c>
      <c r="G138" s="7" t="n">
        <f aca="false">Scoring!D145</f>
        <v>0</v>
      </c>
      <c r="H138" s="7" t="str">
        <f aca="false">Scoring!CC145</f>
        <v/>
      </c>
      <c r="I138" s="182" t="str">
        <f aca="false">Scoring!CB145</f>
        <v/>
      </c>
    </row>
    <row r="139" customFormat="false" ht="15.75" hidden="false" customHeight="false" outlineLevel="0" collapsed="false">
      <c r="A139" s="7" t="str">
        <f aca="false">Scoring!CE146</f>
        <v/>
      </c>
      <c r="B139" s="7" t="str">
        <f aca="false">Scoring!CD146</f>
        <v/>
      </c>
      <c r="C139" s="7" t="n">
        <f aca="false">Scoring!C146</f>
        <v>0</v>
      </c>
      <c r="D139" s="181" t="str">
        <f aca="false">Scoring!CA146</f>
        <v/>
      </c>
      <c r="E139" s="7" t="str">
        <f aca="false">Scoring!BD146</f>
        <v/>
      </c>
      <c r="F139" s="7" t="n">
        <f aca="false">Scoring!B146</f>
        <v>0</v>
      </c>
      <c r="G139" s="7" t="n">
        <f aca="false">Scoring!D146</f>
        <v>0</v>
      </c>
      <c r="H139" s="7" t="str">
        <f aca="false">Scoring!CC146</f>
        <v/>
      </c>
      <c r="I139" s="182" t="str">
        <f aca="false">Scoring!CB146</f>
        <v/>
      </c>
    </row>
    <row r="140" customFormat="false" ht="15.75" hidden="false" customHeight="false" outlineLevel="0" collapsed="false">
      <c r="A140" s="7" t="str">
        <f aca="false">Scoring!CE147</f>
        <v/>
      </c>
      <c r="B140" s="7" t="str">
        <f aca="false">Scoring!CD147</f>
        <v/>
      </c>
      <c r="C140" s="7" t="n">
        <f aca="false">Scoring!C147</f>
        <v>0</v>
      </c>
      <c r="D140" s="181" t="str">
        <f aca="false">Scoring!CA147</f>
        <v/>
      </c>
      <c r="E140" s="7" t="str">
        <f aca="false">Scoring!BD147</f>
        <v/>
      </c>
      <c r="F140" s="7" t="n">
        <f aca="false">Scoring!B147</f>
        <v>0</v>
      </c>
      <c r="G140" s="7" t="n">
        <f aca="false">Scoring!D147</f>
        <v>0</v>
      </c>
      <c r="H140" s="7" t="str">
        <f aca="false">Scoring!CC147</f>
        <v/>
      </c>
      <c r="I140" s="182" t="str">
        <f aca="false">Scoring!CB147</f>
        <v/>
      </c>
    </row>
    <row r="141" customFormat="false" ht="15.75" hidden="false" customHeight="false" outlineLevel="0" collapsed="false">
      <c r="A141" s="7" t="str">
        <f aca="false">Scoring!CE148</f>
        <v/>
      </c>
      <c r="B141" s="7" t="str">
        <f aca="false">Scoring!CD148</f>
        <v/>
      </c>
      <c r="C141" s="7" t="n">
        <f aca="false">Scoring!C148</f>
        <v>0</v>
      </c>
      <c r="D141" s="181" t="str">
        <f aca="false">Scoring!CA148</f>
        <v/>
      </c>
      <c r="E141" s="7" t="str">
        <f aca="false">Scoring!BD148</f>
        <v/>
      </c>
      <c r="F141" s="7" t="n">
        <f aca="false">Scoring!B148</f>
        <v>0</v>
      </c>
      <c r="G141" s="7" t="n">
        <f aca="false">Scoring!D148</f>
        <v>0</v>
      </c>
      <c r="H141" s="7" t="str">
        <f aca="false">Scoring!CC148</f>
        <v/>
      </c>
      <c r="I141" s="182" t="str">
        <f aca="false">Scoring!CB148</f>
        <v/>
      </c>
    </row>
    <row r="142" customFormat="false" ht="15.75" hidden="false" customHeight="false" outlineLevel="0" collapsed="false">
      <c r="A142" s="7" t="str">
        <f aca="false">Scoring!CE149</f>
        <v/>
      </c>
      <c r="B142" s="7" t="str">
        <f aca="false">Scoring!CD149</f>
        <v/>
      </c>
      <c r="C142" s="7" t="n">
        <f aca="false">Scoring!C149</f>
        <v>0</v>
      </c>
      <c r="D142" s="181" t="str">
        <f aca="false">Scoring!CA149</f>
        <v/>
      </c>
      <c r="E142" s="7" t="str">
        <f aca="false">Scoring!BD149</f>
        <v/>
      </c>
      <c r="F142" s="7" t="n">
        <f aca="false">Scoring!B149</f>
        <v>0</v>
      </c>
      <c r="G142" s="7" t="n">
        <f aca="false">Scoring!D149</f>
        <v>0</v>
      </c>
      <c r="H142" s="7" t="str">
        <f aca="false">Scoring!CC149</f>
        <v/>
      </c>
      <c r="I142" s="182" t="str">
        <f aca="false">Scoring!CB149</f>
        <v/>
      </c>
    </row>
    <row r="143" customFormat="false" ht="15.75" hidden="false" customHeight="false" outlineLevel="0" collapsed="false">
      <c r="A143" s="7" t="str">
        <f aca="false">Scoring!CE150</f>
        <v/>
      </c>
      <c r="B143" s="7" t="str">
        <f aca="false">Scoring!CD150</f>
        <v/>
      </c>
      <c r="C143" s="7" t="n">
        <f aca="false">Scoring!C150</f>
        <v>0</v>
      </c>
      <c r="D143" s="181" t="str">
        <f aca="false">Scoring!CA150</f>
        <v/>
      </c>
      <c r="E143" s="7" t="str">
        <f aca="false">Scoring!BD150</f>
        <v/>
      </c>
      <c r="F143" s="7" t="n">
        <f aca="false">Scoring!B150</f>
        <v>0</v>
      </c>
      <c r="G143" s="7" t="n">
        <f aca="false">Scoring!D150</f>
        <v>0</v>
      </c>
      <c r="H143" s="7" t="str">
        <f aca="false">Scoring!CC150</f>
        <v/>
      </c>
      <c r="I143" s="182" t="str">
        <f aca="false">Scoring!CB150</f>
        <v/>
      </c>
    </row>
    <row r="144" customFormat="false" ht="15.75" hidden="false" customHeight="false" outlineLevel="0" collapsed="false">
      <c r="A144" s="7" t="str">
        <f aca="false">Scoring!CE151</f>
        <v/>
      </c>
      <c r="B144" s="7" t="str">
        <f aca="false">Scoring!CD151</f>
        <v/>
      </c>
      <c r="C144" s="7" t="n">
        <f aca="false">Scoring!C151</f>
        <v>0</v>
      </c>
      <c r="D144" s="181" t="str">
        <f aca="false">Scoring!CA151</f>
        <v/>
      </c>
      <c r="E144" s="7" t="str">
        <f aca="false">Scoring!BD151</f>
        <v/>
      </c>
      <c r="F144" s="7" t="n">
        <f aca="false">Scoring!B151</f>
        <v>0</v>
      </c>
      <c r="G144" s="7" t="n">
        <f aca="false">Scoring!D151</f>
        <v>0</v>
      </c>
      <c r="H144" s="7" t="str">
        <f aca="false">Scoring!CC151</f>
        <v/>
      </c>
      <c r="I144" s="182" t="str">
        <f aca="false">Scoring!CB151</f>
        <v/>
      </c>
    </row>
    <row r="145" customFormat="false" ht="15.75" hidden="false" customHeight="false" outlineLevel="0" collapsed="false">
      <c r="A145" s="7" t="str">
        <f aca="false">Scoring!CE152</f>
        <v/>
      </c>
      <c r="B145" s="7" t="str">
        <f aca="false">Scoring!CD152</f>
        <v/>
      </c>
      <c r="C145" s="7" t="n">
        <f aca="false">Scoring!C152</f>
        <v>0</v>
      </c>
      <c r="D145" s="181" t="str">
        <f aca="false">Scoring!CA152</f>
        <v/>
      </c>
      <c r="E145" s="7" t="str">
        <f aca="false">Scoring!BD152</f>
        <v/>
      </c>
      <c r="F145" s="7" t="n">
        <f aca="false">Scoring!B152</f>
        <v>0</v>
      </c>
      <c r="G145" s="7" t="n">
        <f aca="false">Scoring!D152</f>
        <v>0</v>
      </c>
      <c r="H145" s="7" t="str">
        <f aca="false">Scoring!CC152</f>
        <v/>
      </c>
      <c r="I145" s="182" t="str">
        <f aca="false">Scoring!CB152</f>
        <v/>
      </c>
    </row>
    <row r="146" customFormat="false" ht="15.75" hidden="false" customHeight="false" outlineLevel="0" collapsed="false">
      <c r="A146" s="7" t="str">
        <f aca="false">Scoring!CE153</f>
        <v/>
      </c>
      <c r="B146" s="7" t="str">
        <f aca="false">Scoring!CD153</f>
        <v/>
      </c>
      <c r="C146" s="7" t="n">
        <f aca="false">Scoring!C153</f>
        <v>0</v>
      </c>
      <c r="D146" s="181" t="str">
        <f aca="false">Scoring!CA153</f>
        <v/>
      </c>
      <c r="E146" s="7" t="str">
        <f aca="false">Scoring!BD153</f>
        <v/>
      </c>
      <c r="F146" s="7" t="n">
        <f aca="false">Scoring!B153</f>
        <v>0</v>
      </c>
      <c r="G146" s="7" t="n">
        <f aca="false">Scoring!D153</f>
        <v>0</v>
      </c>
      <c r="H146" s="7" t="str">
        <f aca="false">Scoring!CC153</f>
        <v/>
      </c>
      <c r="I146" s="182" t="str">
        <f aca="false">Scoring!CB153</f>
        <v/>
      </c>
    </row>
    <row r="147" customFormat="false" ht="15.75" hidden="false" customHeight="false" outlineLevel="0" collapsed="false">
      <c r="A147" s="7" t="str">
        <f aca="false">Scoring!CE154</f>
        <v/>
      </c>
      <c r="B147" s="7" t="str">
        <f aca="false">Scoring!CD154</f>
        <v/>
      </c>
      <c r="C147" s="7" t="n">
        <f aca="false">Scoring!C154</f>
        <v>0</v>
      </c>
      <c r="D147" s="181" t="str">
        <f aca="false">Scoring!CA154</f>
        <v/>
      </c>
      <c r="E147" s="7" t="str">
        <f aca="false">Scoring!BD154</f>
        <v/>
      </c>
      <c r="F147" s="7" t="n">
        <f aca="false">Scoring!B154</f>
        <v>0</v>
      </c>
      <c r="G147" s="7" t="n">
        <f aca="false">Scoring!D154</f>
        <v>0</v>
      </c>
      <c r="H147" s="7" t="str">
        <f aca="false">Scoring!CC154</f>
        <v/>
      </c>
      <c r="I147" s="182" t="str">
        <f aca="false">Scoring!CB154</f>
        <v/>
      </c>
    </row>
    <row r="148" customFormat="false" ht="15.75" hidden="false" customHeight="false" outlineLevel="0" collapsed="false">
      <c r="A148" s="7" t="str">
        <f aca="false">Scoring!CE155</f>
        <v/>
      </c>
      <c r="B148" s="7" t="str">
        <f aca="false">Scoring!CD155</f>
        <v/>
      </c>
      <c r="C148" s="7" t="n">
        <f aca="false">Scoring!C155</f>
        <v>0</v>
      </c>
      <c r="D148" s="181" t="str">
        <f aca="false">Scoring!CA155</f>
        <v/>
      </c>
      <c r="E148" s="7" t="str">
        <f aca="false">Scoring!BD155</f>
        <v/>
      </c>
      <c r="F148" s="7" t="n">
        <f aca="false">Scoring!B155</f>
        <v>0</v>
      </c>
      <c r="G148" s="7" t="n">
        <f aca="false">Scoring!D155</f>
        <v>0</v>
      </c>
      <c r="H148" s="7" t="str">
        <f aca="false">Scoring!CC155</f>
        <v/>
      </c>
      <c r="I148" s="182" t="str">
        <f aca="false">Scoring!CB155</f>
        <v/>
      </c>
    </row>
    <row r="149" customFormat="false" ht="15.75" hidden="false" customHeight="false" outlineLevel="0" collapsed="false">
      <c r="A149" s="7" t="str">
        <f aca="false">Scoring!CE156</f>
        <v/>
      </c>
      <c r="B149" s="7" t="str">
        <f aca="false">Scoring!CD156</f>
        <v/>
      </c>
      <c r="C149" s="7" t="n">
        <f aca="false">Scoring!C156</f>
        <v>0</v>
      </c>
      <c r="D149" s="181" t="str">
        <f aca="false">Scoring!CA156</f>
        <v/>
      </c>
      <c r="E149" s="7" t="str">
        <f aca="false">Scoring!BD156</f>
        <v/>
      </c>
      <c r="F149" s="7" t="n">
        <f aca="false">Scoring!B156</f>
        <v>0</v>
      </c>
      <c r="G149" s="7" t="n">
        <f aca="false">Scoring!D156</f>
        <v>0</v>
      </c>
      <c r="H149" s="7" t="str">
        <f aca="false">Scoring!CC156</f>
        <v/>
      </c>
      <c r="I149" s="182" t="str">
        <f aca="false">Scoring!CB156</f>
        <v/>
      </c>
    </row>
    <row r="150" customFormat="false" ht="15.75" hidden="false" customHeight="false" outlineLevel="0" collapsed="false">
      <c r="A150" s="7" t="str">
        <f aca="false">Scoring!CE157</f>
        <v/>
      </c>
      <c r="B150" s="7" t="str">
        <f aca="false">Scoring!CD157</f>
        <v/>
      </c>
      <c r="C150" s="7" t="n">
        <f aca="false">Scoring!C157</f>
        <v>0</v>
      </c>
      <c r="D150" s="181" t="str">
        <f aca="false">Scoring!CA157</f>
        <v/>
      </c>
      <c r="E150" s="7" t="str">
        <f aca="false">Scoring!BD157</f>
        <v/>
      </c>
      <c r="F150" s="7" t="n">
        <f aca="false">Scoring!B157</f>
        <v>0</v>
      </c>
      <c r="G150" s="7" t="n">
        <f aca="false">Scoring!D157</f>
        <v>0</v>
      </c>
      <c r="H150" s="7" t="str">
        <f aca="false">Scoring!CC157</f>
        <v/>
      </c>
      <c r="I150" s="182" t="str">
        <f aca="false">Scoring!CB157</f>
        <v/>
      </c>
    </row>
    <row r="151" customFormat="false" ht="15.75" hidden="false" customHeight="false" outlineLevel="0" collapsed="false">
      <c r="A151" s="7" t="str">
        <f aca="false">Scoring!CE158</f>
        <v/>
      </c>
      <c r="B151" s="7" t="str">
        <f aca="false">Scoring!CD158</f>
        <v/>
      </c>
      <c r="C151" s="7" t="n">
        <f aca="false">Scoring!C158</f>
        <v>0</v>
      </c>
      <c r="D151" s="181" t="str">
        <f aca="false">Scoring!CA158</f>
        <v/>
      </c>
      <c r="E151" s="7" t="str">
        <f aca="false">Scoring!BD158</f>
        <v/>
      </c>
      <c r="F151" s="7" t="n">
        <f aca="false">Scoring!B158</f>
        <v>0</v>
      </c>
      <c r="G151" s="7" t="n">
        <f aca="false">Scoring!D158</f>
        <v>0</v>
      </c>
      <c r="H151" s="7" t="str">
        <f aca="false">Scoring!CC158</f>
        <v/>
      </c>
      <c r="I151" s="182" t="str">
        <f aca="false">Scoring!CB158</f>
        <v/>
      </c>
    </row>
    <row r="152" customFormat="false" ht="15.75" hidden="false" customHeight="false" outlineLevel="0" collapsed="false">
      <c r="A152" s="7" t="str">
        <f aca="false">Scoring!CE159</f>
        <v/>
      </c>
      <c r="B152" s="7" t="str">
        <f aca="false">Scoring!CD159</f>
        <v/>
      </c>
      <c r="C152" s="7" t="n">
        <f aca="false">Scoring!C159</f>
        <v>0</v>
      </c>
      <c r="D152" s="181" t="str">
        <f aca="false">Scoring!CA159</f>
        <v/>
      </c>
      <c r="E152" s="7" t="str">
        <f aca="false">Scoring!BD159</f>
        <v/>
      </c>
      <c r="F152" s="7" t="n">
        <f aca="false">Scoring!B159</f>
        <v>0</v>
      </c>
      <c r="G152" s="7" t="n">
        <f aca="false">Scoring!D159</f>
        <v>0</v>
      </c>
      <c r="H152" s="7" t="str">
        <f aca="false">Scoring!CC159</f>
        <v/>
      </c>
      <c r="I152" s="182" t="str">
        <f aca="false">Scoring!CB159</f>
        <v/>
      </c>
    </row>
    <row r="153" customFormat="false" ht="15.75" hidden="false" customHeight="false" outlineLevel="0" collapsed="false">
      <c r="A153" s="7" t="str">
        <f aca="false">Scoring!CE160</f>
        <v/>
      </c>
      <c r="B153" s="7" t="str">
        <f aca="false">Scoring!CD160</f>
        <v/>
      </c>
      <c r="C153" s="7" t="n">
        <f aca="false">Scoring!C160</f>
        <v>0</v>
      </c>
      <c r="D153" s="181" t="str">
        <f aca="false">Scoring!CA160</f>
        <v/>
      </c>
      <c r="E153" s="7" t="str">
        <f aca="false">Scoring!BD160</f>
        <v/>
      </c>
      <c r="F153" s="7" t="n">
        <f aca="false">Scoring!B160</f>
        <v>0</v>
      </c>
      <c r="G153" s="7" t="n">
        <f aca="false">Scoring!D160</f>
        <v>0</v>
      </c>
      <c r="H153" s="7" t="str">
        <f aca="false">Scoring!CC160</f>
        <v/>
      </c>
      <c r="I153" s="182" t="str">
        <f aca="false">Scoring!CB160</f>
        <v/>
      </c>
    </row>
    <row r="154" customFormat="false" ht="15.75" hidden="false" customHeight="false" outlineLevel="0" collapsed="false">
      <c r="A154" s="7" t="str">
        <f aca="false">Scoring!CE161</f>
        <v/>
      </c>
      <c r="B154" s="7" t="str">
        <f aca="false">Scoring!CD161</f>
        <v/>
      </c>
      <c r="C154" s="7" t="n">
        <f aca="false">Scoring!C161</f>
        <v>0</v>
      </c>
      <c r="D154" s="181" t="str">
        <f aca="false">Scoring!CA161</f>
        <v/>
      </c>
      <c r="E154" s="7" t="str">
        <f aca="false">Scoring!BD161</f>
        <v/>
      </c>
      <c r="F154" s="7" t="n">
        <f aca="false">Scoring!B161</f>
        <v>0</v>
      </c>
      <c r="G154" s="7" t="n">
        <f aca="false">Scoring!D161</f>
        <v>0</v>
      </c>
      <c r="H154" s="7" t="str">
        <f aca="false">Scoring!CC161</f>
        <v/>
      </c>
      <c r="I154" s="182" t="str">
        <f aca="false">Scoring!CB161</f>
        <v/>
      </c>
    </row>
    <row r="155" customFormat="false" ht="15.75" hidden="false" customHeight="false" outlineLevel="0" collapsed="false">
      <c r="A155" s="7" t="str">
        <f aca="false">Scoring!CE162</f>
        <v/>
      </c>
      <c r="B155" s="7" t="str">
        <f aca="false">Scoring!CD162</f>
        <v/>
      </c>
      <c r="C155" s="7" t="n">
        <f aca="false">Scoring!C162</f>
        <v>0</v>
      </c>
      <c r="D155" s="181" t="str">
        <f aca="false">Scoring!CA162</f>
        <v/>
      </c>
      <c r="E155" s="7" t="str">
        <f aca="false">Scoring!BD162</f>
        <v/>
      </c>
      <c r="F155" s="7" t="n">
        <f aca="false">Scoring!B162</f>
        <v>0</v>
      </c>
      <c r="G155" s="7" t="n">
        <f aca="false">Scoring!D162</f>
        <v>0</v>
      </c>
      <c r="H155" s="7" t="str">
        <f aca="false">Scoring!CC162</f>
        <v/>
      </c>
      <c r="I155" s="182" t="str">
        <f aca="false">Scoring!CB162</f>
        <v/>
      </c>
    </row>
    <row r="156" customFormat="false" ht="15.75" hidden="false" customHeight="false" outlineLevel="0" collapsed="false">
      <c r="A156" s="7" t="str">
        <f aca="false">Scoring!CE163</f>
        <v/>
      </c>
      <c r="B156" s="7" t="str">
        <f aca="false">Scoring!CD163</f>
        <v/>
      </c>
      <c r="C156" s="7" t="n">
        <f aca="false">Scoring!C163</f>
        <v>0</v>
      </c>
      <c r="D156" s="181" t="str">
        <f aca="false">Scoring!CA163</f>
        <v/>
      </c>
      <c r="E156" s="7" t="str">
        <f aca="false">Scoring!BD163</f>
        <v/>
      </c>
      <c r="F156" s="7" t="n">
        <f aca="false">Scoring!B163</f>
        <v>0</v>
      </c>
      <c r="G156" s="7" t="n">
        <f aca="false">Scoring!D163</f>
        <v>0</v>
      </c>
      <c r="H156" s="7" t="str">
        <f aca="false">Scoring!CC163</f>
        <v/>
      </c>
      <c r="I156" s="182" t="str">
        <f aca="false">Scoring!CB163</f>
        <v/>
      </c>
    </row>
    <row r="157" customFormat="false" ht="15.75" hidden="false" customHeight="false" outlineLevel="0" collapsed="false">
      <c r="A157" s="7" t="str">
        <f aca="false">Scoring!CE164</f>
        <v/>
      </c>
      <c r="B157" s="7" t="str">
        <f aca="false">Scoring!CD164</f>
        <v/>
      </c>
      <c r="C157" s="7" t="n">
        <f aca="false">Scoring!C164</f>
        <v>0</v>
      </c>
      <c r="D157" s="181" t="str">
        <f aca="false">Scoring!CA164</f>
        <v/>
      </c>
      <c r="E157" s="7" t="str">
        <f aca="false">Scoring!BD164</f>
        <v/>
      </c>
      <c r="F157" s="7" t="n">
        <f aca="false">Scoring!B164</f>
        <v>0</v>
      </c>
      <c r="G157" s="7" t="n">
        <f aca="false">Scoring!D164</f>
        <v>0</v>
      </c>
      <c r="H157" s="7" t="str">
        <f aca="false">Scoring!CC164</f>
        <v/>
      </c>
      <c r="I157" s="182" t="str">
        <f aca="false">Scoring!CB164</f>
        <v/>
      </c>
    </row>
    <row r="158" customFormat="false" ht="15.75" hidden="false" customHeight="false" outlineLevel="0" collapsed="false">
      <c r="A158" s="7" t="str">
        <f aca="false">Scoring!CE165</f>
        <v/>
      </c>
      <c r="B158" s="7" t="str">
        <f aca="false">Scoring!CD165</f>
        <v/>
      </c>
      <c r="C158" s="7" t="n">
        <f aca="false">Scoring!C165</f>
        <v>0</v>
      </c>
      <c r="D158" s="181" t="str">
        <f aca="false">Scoring!CA165</f>
        <v/>
      </c>
      <c r="E158" s="7" t="str">
        <f aca="false">Scoring!BD165</f>
        <v/>
      </c>
      <c r="F158" s="7" t="n">
        <f aca="false">Scoring!B165</f>
        <v>0</v>
      </c>
      <c r="G158" s="7" t="n">
        <f aca="false">Scoring!D165</f>
        <v>0</v>
      </c>
      <c r="H158" s="7" t="str">
        <f aca="false">Scoring!CC165</f>
        <v/>
      </c>
      <c r="I158" s="182" t="str">
        <f aca="false">Scoring!CB165</f>
        <v/>
      </c>
    </row>
    <row r="159" customFormat="false" ht="15.75" hidden="false" customHeight="false" outlineLevel="0" collapsed="false">
      <c r="A159" s="7" t="str">
        <f aca="false">Scoring!CE166</f>
        <v/>
      </c>
      <c r="B159" s="7" t="str">
        <f aca="false">Scoring!CD166</f>
        <v/>
      </c>
      <c r="C159" s="7" t="n">
        <f aca="false">Scoring!C166</f>
        <v>0</v>
      </c>
      <c r="D159" s="181" t="str">
        <f aca="false">Scoring!CA166</f>
        <v/>
      </c>
      <c r="E159" s="7" t="str">
        <f aca="false">Scoring!BD166</f>
        <v/>
      </c>
      <c r="F159" s="7" t="n">
        <f aca="false">Scoring!B166</f>
        <v>0</v>
      </c>
      <c r="G159" s="7" t="n">
        <f aca="false">Scoring!D166</f>
        <v>0</v>
      </c>
      <c r="H159" s="7" t="str">
        <f aca="false">Scoring!CC166</f>
        <v/>
      </c>
      <c r="I159" s="182" t="str">
        <f aca="false">Scoring!CB166</f>
        <v/>
      </c>
    </row>
    <row r="160" customFormat="false" ht="15.75" hidden="false" customHeight="false" outlineLevel="0" collapsed="false">
      <c r="A160" s="7" t="str">
        <f aca="false">Scoring!CE167</f>
        <v/>
      </c>
      <c r="B160" s="7" t="str">
        <f aca="false">Scoring!CD167</f>
        <v/>
      </c>
      <c r="C160" s="7" t="n">
        <f aca="false">Scoring!C167</f>
        <v>0</v>
      </c>
      <c r="D160" s="181" t="str">
        <f aca="false">Scoring!CA167</f>
        <v/>
      </c>
      <c r="E160" s="7" t="str">
        <f aca="false">Scoring!BD167</f>
        <v/>
      </c>
      <c r="F160" s="7" t="n">
        <f aca="false">Scoring!B167</f>
        <v>0</v>
      </c>
      <c r="G160" s="7" t="n">
        <f aca="false">Scoring!D167</f>
        <v>0</v>
      </c>
      <c r="H160" s="7" t="str">
        <f aca="false">Scoring!CC167</f>
        <v/>
      </c>
      <c r="I160" s="182" t="str">
        <f aca="false">Scoring!CB167</f>
        <v/>
      </c>
    </row>
    <row r="161" customFormat="false" ht="15.75" hidden="false" customHeight="false" outlineLevel="0" collapsed="false">
      <c r="A161" s="7" t="str">
        <f aca="false">Scoring!CE168</f>
        <v/>
      </c>
      <c r="B161" s="7" t="str">
        <f aca="false">Scoring!CD168</f>
        <v/>
      </c>
      <c r="C161" s="7" t="n">
        <f aca="false">Scoring!C168</f>
        <v>0</v>
      </c>
      <c r="D161" s="181" t="str">
        <f aca="false">Scoring!CA168</f>
        <v/>
      </c>
      <c r="E161" s="7" t="str">
        <f aca="false">Scoring!BD168</f>
        <v/>
      </c>
      <c r="F161" s="7" t="n">
        <f aca="false">Scoring!B168</f>
        <v>0</v>
      </c>
      <c r="G161" s="7" t="n">
        <f aca="false">Scoring!D168</f>
        <v>0</v>
      </c>
      <c r="H161" s="7" t="str">
        <f aca="false">Scoring!CC168</f>
        <v/>
      </c>
      <c r="I161" s="182" t="str">
        <f aca="false">Scoring!CB168</f>
        <v/>
      </c>
    </row>
    <row r="162" customFormat="false" ht="15.75" hidden="false" customHeight="false" outlineLevel="0" collapsed="false">
      <c r="A162" s="7" t="str">
        <f aca="false">Scoring!CE169</f>
        <v/>
      </c>
      <c r="B162" s="7" t="str">
        <f aca="false">Scoring!CD169</f>
        <v/>
      </c>
      <c r="C162" s="7" t="n">
        <f aca="false">Scoring!C169</f>
        <v>0</v>
      </c>
      <c r="D162" s="181" t="str">
        <f aca="false">Scoring!CA169</f>
        <v/>
      </c>
      <c r="E162" s="7" t="str">
        <f aca="false">Scoring!BD169</f>
        <v/>
      </c>
      <c r="F162" s="7" t="n">
        <f aca="false">Scoring!B169</f>
        <v>0</v>
      </c>
      <c r="G162" s="7" t="n">
        <f aca="false">Scoring!D169</f>
        <v>0</v>
      </c>
      <c r="H162" s="7" t="str">
        <f aca="false">Scoring!CC169</f>
        <v/>
      </c>
      <c r="I162" s="182" t="str">
        <f aca="false">Scoring!CB169</f>
        <v/>
      </c>
    </row>
    <row r="163" customFormat="false" ht="15.75" hidden="false" customHeight="false" outlineLevel="0" collapsed="false">
      <c r="A163" s="7" t="str">
        <f aca="false">Scoring!CE170</f>
        <v/>
      </c>
      <c r="B163" s="7" t="str">
        <f aca="false">Scoring!CD170</f>
        <v/>
      </c>
      <c r="C163" s="7" t="n">
        <f aca="false">Scoring!C170</f>
        <v>0</v>
      </c>
      <c r="D163" s="181" t="str">
        <f aca="false">Scoring!CA170</f>
        <v/>
      </c>
      <c r="E163" s="7" t="str">
        <f aca="false">Scoring!BD170</f>
        <v/>
      </c>
      <c r="F163" s="7" t="n">
        <f aca="false">Scoring!B170</f>
        <v>0</v>
      </c>
      <c r="G163" s="7" t="n">
        <f aca="false">Scoring!D170</f>
        <v>0</v>
      </c>
      <c r="H163" s="7" t="str">
        <f aca="false">Scoring!CC170</f>
        <v/>
      </c>
      <c r="I163" s="182" t="str">
        <f aca="false">Scoring!CB170</f>
        <v/>
      </c>
    </row>
    <row r="164" customFormat="false" ht="15.75" hidden="false" customHeight="false" outlineLevel="0" collapsed="false">
      <c r="A164" s="7" t="str">
        <f aca="false">Scoring!CE171</f>
        <v/>
      </c>
      <c r="B164" s="7" t="str">
        <f aca="false">Scoring!CD171</f>
        <v/>
      </c>
      <c r="C164" s="7" t="n">
        <f aca="false">Scoring!C171</f>
        <v>0</v>
      </c>
      <c r="D164" s="181" t="str">
        <f aca="false">Scoring!CA171</f>
        <v/>
      </c>
      <c r="E164" s="7" t="str">
        <f aca="false">Scoring!BD171</f>
        <v/>
      </c>
      <c r="F164" s="7" t="n">
        <f aca="false">Scoring!B171</f>
        <v>0</v>
      </c>
      <c r="G164" s="7" t="n">
        <f aca="false">Scoring!D171</f>
        <v>0</v>
      </c>
      <c r="H164" s="7" t="str">
        <f aca="false">Scoring!CC171</f>
        <v/>
      </c>
      <c r="I164" s="182" t="str">
        <f aca="false">Scoring!CB171</f>
        <v/>
      </c>
    </row>
    <row r="165" customFormat="false" ht="15.75" hidden="false" customHeight="false" outlineLevel="0" collapsed="false">
      <c r="A165" s="7" t="str">
        <f aca="false">Scoring!CE172</f>
        <v/>
      </c>
      <c r="B165" s="7" t="str">
        <f aca="false">Scoring!CD172</f>
        <v/>
      </c>
      <c r="C165" s="7" t="n">
        <f aca="false">Scoring!C172</f>
        <v>0</v>
      </c>
      <c r="D165" s="181" t="str">
        <f aca="false">Scoring!CA172</f>
        <v/>
      </c>
      <c r="E165" s="7" t="str">
        <f aca="false">Scoring!BD172</f>
        <v/>
      </c>
      <c r="F165" s="7" t="n">
        <f aca="false">Scoring!B172</f>
        <v>0</v>
      </c>
      <c r="G165" s="7" t="n">
        <f aca="false">Scoring!D172</f>
        <v>0</v>
      </c>
      <c r="H165" s="7" t="str">
        <f aca="false">Scoring!CC172</f>
        <v/>
      </c>
      <c r="I165" s="182" t="str">
        <f aca="false">Scoring!CB172</f>
        <v/>
      </c>
    </row>
    <row r="166" customFormat="false" ht="15.75" hidden="false" customHeight="false" outlineLevel="0" collapsed="false">
      <c r="A166" s="7" t="str">
        <f aca="false">Scoring!CE173</f>
        <v/>
      </c>
      <c r="B166" s="7" t="str">
        <f aca="false">Scoring!CD173</f>
        <v/>
      </c>
      <c r="C166" s="7" t="n">
        <f aca="false">Scoring!C173</f>
        <v>0</v>
      </c>
      <c r="D166" s="181" t="str">
        <f aca="false">Scoring!CA173</f>
        <v/>
      </c>
      <c r="E166" s="7" t="str">
        <f aca="false">Scoring!BD173</f>
        <v/>
      </c>
      <c r="F166" s="7" t="n">
        <f aca="false">Scoring!B173</f>
        <v>0</v>
      </c>
      <c r="G166" s="7" t="n">
        <f aca="false">Scoring!D173</f>
        <v>0</v>
      </c>
      <c r="H166" s="7" t="str">
        <f aca="false">Scoring!CC173</f>
        <v/>
      </c>
      <c r="I166" s="182" t="str">
        <f aca="false">Scoring!CB173</f>
        <v/>
      </c>
    </row>
    <row r="167" customFormat="false" ht="15.75" hidden="false" customHeight="false" outlineLevel="0" collapsed="false">
      <c r="A167" s="7" t="str">
        <f aca="false">Scoring!CE174</f>
        <v/>
      </c>
      <c r="B167" s="7" t="str">
        <f aca="false">Scoring!CD174</f>
        <v/>
      </c>
      <c r="C167" s="7" t="n">
        <f aca="false">Scoring!C174</f>
        <v>0</v>
      </c>
      <c r="D167" s="181" t="str">
        <f aca="false">Scoring!CA174</f>
        <v/>
      </c>
      <c r="E167" s="7" t="str">
        <f aca="false">Scoring!BD174</f>
        <v/>
      </c>
      <c r="F167" s="7" t="n">
        <f aca="false">Scoring!B174</f>
        <v>0</v>
      </c>
      <c r="G167" s="7" t="n">
        <f aca="false">Scoring!D174</f>
        <v>0</v>
      </c>
      <c r="H167" s="7" t="str">
        <f aca="false">Scoring!CC174</f>
        <v/>
      </c>
      <c r="I167" s="182" t="str">
        <f aca="false">Scoring!CB174</f>
        <v/>
      </c>
    </row>
    <row r="168" customFormat="false" ht="15.75" hidden="false" customHeight="false" outlineLevel="0" collapsed="false">
      <c r="A168" s="7" t="str">
        <f aca="false">Scoring!CE175</f>
        <v/>
      </c>
      <c r="B168" s="7" t="str">
        <f aca="false">Scoring!CD175</f>
        <v/>
      </c>
      <c r="C168" s="7" t="n">
        <f aca="false">Scoring!C175</f>
        <v>0</v>
      </c>
      <c r="D168" s="181" t="str">
        <f aca="false">Scoring!CA175</f>
        <v/>
      </c>
      <c r="E168" s="7" t="str">
        <f aca="false">Scoring!BD175</f>
        <v/>
      </c>
      <c r="F168" s="7" t="n">
        <f aca="false">Scoring!B175</f>
        <v>0</v>
      </c>
      <c r="G168" s="7" t="n">
        <f aca="false">Scoring!D175</f>
        <v>0</v>
      </c>
      <c r="H168" s="7" t="str">
        <f aca="false">Scoring!CC175</f>
        <v/>
      </c>
      <c r="I168" s="182" t="str">
        <f aca="false">Scoring!CB175</f>
        <v/>
      </c>
    </row>
    <row r="169" customFormat="false" ht="15.75" hidden="false" customHeight="false" outlineLevel="0" collapsed="false">
      <c r="A169" s="7" t="str">
        <f aca="false">Scoring!CE176</f>
        <v/>
      </c>
      <c r="B169" s="7" t="str">
        <f aca="false">Scoring!CD176</f>
        <v/>
      </c>
      <c r="C169" s="7" t="n">
        <f aca="false">Scoring!C176</f>
        <v>0</v>
      </c>
      <c r="D169" s="181" t="str">
        <f aca="false">Scoring!CA176</f>
        <v/>
      </c>
      <c r="E169" s="7" t="str">
        <f aca="false">Scoring!BD176</f>
        <v/>
      </c>
      <c r="F169" s="7" t="n">
        <f aca="false">Scoring!B176</f>
        <v>0</v>
      </c>
      <c r="G169" s="7" t="n">
        <f aca="false">Scoring!D176</f>
        <v>0</v>
      </c>
      <c r="H169" s="7" t="str">
        <f aca="false">Scoring!CC176</f>
        <v/>
      </c>
      <c r="I169" s="182" t="str">
        <f aca="false">Scoring!CB176</f>
        <v/>
      </c>
    </row>
    <row r="170" customFormat="false" ht="15.75" hidden="false" customHeight="false" outlineLevel="0" collapsed="false">
      <c r="A170" s="7" t="str">
        <f aca="false">Scoring!CE177</f>
        <v/>
      </c>
      <c r="B170" s="7" t="str">
        <f aca="false">Scoring!CD177</f>
        <v/>
      </c>
      <c r="C170" s="7" t="n">
        <f aca="false">Scoring!C177</f>
        <v>0</v>
      </c>
      <c r="D170" s="181" t="str">
        <f aca="false">Scoring!CA177</f>
        <v/>
      </c>
      <c r="E170" s="7" t="str">
        <f aca="false">Scoring!BD177</f>
        <v/>
      </c>
      <c r="F170" s="7" t="n">
        <f aca="false">Scoring!B177</f>
        <v>0</v>
      </c>
      <c r="G170" s="7" t="n">
        <f aca="false">Scoring!D177</f>
        <v>0</v>
      </c>
      <c r="H170" s="7" t="str">
        <f aca="false">Scoring!CC177</f>
        <v/>
      </c>
      <c r="I170" s="182" t="str">
        <f aca="false">Scoring!CB177</f>
        <v/>
      </c>
    </row>
    <row r="171" customFormat="false" ht="15.75" hidden="false" customHeight="false" outlineLevel="0" collapsed="false">
      <c r="A171" s="7" t="str">
        <f aca="false">Scoring!CE178</f>
        <v/>
      </c>
      <c r="B171" s="7" t="str">
        <f aca="false">Scoring!CD178</f>
        <v/>
      </c>
      <c r="C171" s="7" t="n">
        <f aca="false">Scoring!C178</f>
        <v>0</v>
      </c>
      <c r="D171" s="181" t="str">
        <f aca="false">Scoring!CA178</f>
        <v/>
      </c>
      <c r="E171" s="7" t="str">
        <f aca="false">Scoring!BD178</f>
        <v/>
      </c>
      <c r="F171" s="7" t="n">
        <f aca="false">Scoring!B178</f>
        <v>0</v>
      </c>
      <c r="G171" s="7" t="n">
        <f aca="false">Scoring!D178</f>
        <v>0</v>
      </c>
      <c r="H171" s="7" t="str">
        <f aca="false">Scoring!CC178</f>
        <v/>
      </c>
      <c r="I171" s="182" t="str">
        <f aca="false">Scoring!CB178</f>
        <v/>
      </c>
    </row>
    <row r="172" customFormat="false" ht="15.75" hidden="false" customHeight="false" outlineLevel="0" collapsed="false">
      <c r="A172" s="7" t="str">
        <f aca="false">Scoring!CE179</f>
        <v/>
      </c>
      <c r="B172" s="7" t="str">
        <f aca="false">Scoring!CD179</f>
        <v/>
      </c>
      <c r="C172" s="7" t="n">
        <f aca="false">Scoring!C179</f>
        <v>0</v>
      </c>
      <c r="D172" s="181" t="str">
        <f aca="false">Scoring!CA179</f>
        <v/>
      </c>
      <c r="E172" s="7" t="str">
        <f aca="false">Scoring!BD179</f>
        <v/>
      </c>
      <c r="F172" s="7" t="n">
        <f aca="false">Scoring!B179</f>
        <v>0</v>
      </c>
      <c r="G172" s="7" t="n">
        <f aca="false">Scoring!D179</f>
        <v>0</v>
      </c>
      <c r="H172" s="7" t="str">
        <f aca="false">Scoring!CC179</f>
        <v/>
      </c>
      <c r="I172" s="182" t="str">
        <f aca="false">Scoring!CB179</f>
        <v/>
      </c>
    </row>
    <row r="173" customFormat="false" ht="15.75" hidden="false" customHeight="false" outlineLevel="0" collapsed="false">
      <c r="A173" s="7" t="str">
        <f aca="false">Scoring!CE180</f>
        <v/>
      </c>
      <c r="B173" s="7" t="str">
        <f aca="false">Scoring!CD180</f>
        <v/>
      </c>
      <c r="C173" s="7" t="n">
        <f aca="false">Scoring!C180</f>
        <v>0</v>
      </c>
      <c r="D173" s="181" t="str">
        <f aca="false">Scoring!CA180</f>
        <v/>
      </c>
      <c r="E173" s="7" t="str">
        <f aca="false">Scoring!BD180</f>
        <v/>
      </c>
      <c r="F173" s="7" t="n">
        <f aca="false">Scoring!B180</f>
        <v>0</v>
      </c>
      <c r="G173" s="7" t="n">
        <f aca="false">Scoring!D180</f>
        <v>0</v>
      </c>
      <c r="H173" s="7" t="str">
        <f aca="false">Scoring!CC180</f>
        <v/>
      </c>
      <c r="I173" s="182" t="str">
        <f aca="false">Scoring!CB180</f>
        <v/>
      </c>
    </row>
    <row r="174" customFormat="false" ht="15.75" hidden="false" customHeight="false" outlineLevel="0" collapsed="false">
      <c r="A174" s="7" t="str">
        <f aca="false">Scoring!CE181</f>
        <v/>
      </c>
      <c r="B174" s="7" t="str">
        <f aca="false">Scoring!CD181</f>
        <v/>
      </c>
      <c r="C174" s="7" t="n">
        <f aca="false">Scoring!C181</f>
        <v>0</v>
      </c>
      <c r="D174" s="181" t="str">
        <f aca="false">Scoring!CA181</f>
        <v/>
      </c>
      <c r="E174" s="7" t="str">
        <f aca="false">Scoring!BD181</f>
        <v/>
      </c>
      <c r="F174" s="7" t="n">
        <f aca="false">Scoring!B181</f>
        <v>0</v>
      </c>
      <c r="G174" s="7" t="n">
        <f aca="false">Scoring!D181</f>
        <v>0</v>
      </c>
      <c r="H174" s="7" t="str">
        <f aca="false">Scoring!CC181</f>
        <v/>
      </c>
      <c r="I174" s="182" t="str">
        <f aca="false">Scoring!CB181</f>
        <v/>
      </c>
    </row>
    <row r="175" customFormat="false" ht="15.75" hidden="false" customHeight="false" outlineLevel="0" collapsed="false">
      <c r="A175" s="7" t="str">
        <f aca="false">Scoring!CE182</f>
        <v/>
      </c>
      <c r="B175" s="7" t="str">
        <f aca="false">Scoring!CD182</f>
        <v/>
      </c>
      <c r="C175" s="7" t="n">
        <f aca="false">Scoring!C182</f>
        <v>0</v>
      </c>
      <c r="D175" s="181" t="str">
        <f aca="false">Scoring!CA182</f>
        <v/>
      </c>
      <c r="E175" s="7" t="str">
        <f aca="false">Scoring!BD182</f>
        <v/>
      </c>
      <c r="F175" s="7" t="n">
        <f aca="false">Scoring!B182</f>
        <v>0</v>
      </c>
      <c r="G175" s="7" t="n">
        <f aca="false">Scoring!D182</f>
        <v>0</v>
      </c>
      <c r="H175" s="7" t="str">
        <f aca="false">Scoring!CC182</f>
        <v/>
      </c>
      <c r="I175" s="182" t="str">
        <f aca="false">Scoring!CB182</f>
        <v/>
      </c>
    </row>
    <row r="176" customFormat="false" ht="15.75" hidden="false" customHeight="false" outlineLevel="0" collapsed="false">
      <c r="A176" s="7" t="str">
        <f aca="false">Scoring!CE183</f>
        <v/>
      </c>
      <c r="B176" s="7" t="str">
        <f aca="false">Scoring!CD183</f>
        <v/>
      </c>
      <c r="C176" s="7" t="n">
        <f aca="false">Scoring!C183</f>
        <v>0</v>
      </c>
      <c r="D176" s="181" t="str">
        <f aca="false">Scoring!CA183</f>
        <v/>
      </c>
      <c r="E176" s="7" t="str">
        <f aca="false">Scoring!BD183</f>
        <v/>
      </c>
      <c r="F176" s="7" t="n">
        <f aca="false">Scoring!B183</f>
        <v>0</v>
      </c>
      <c r="G176" s="7" t="n">
        <f aca="false">Scoring!D183</f>
        <v>0</v>
      </c>
      <c r="H176" s="7" t="str">
        <f aca="false">Scoring!CC183</f>
        <v/>
      </c>
      <c r="I176" s="182" t="str">
        <f aca="false">Scoring!CB183</f>
        <v/>
      </c>
    </row>
    <row r="177" customFormat="false" ht="15.75" hidden="false" customHeight="false" outlineLevel="0" collapsed="false">
      <c r="A177" s="7" t="str">
        <f aca="false">Scoring!CE184</f>
        <v/>
      </c>
      <c r="B177" s="7" t="str">
        <f aca="false">Scoring!CD184</f>
        <v/>
      </c>
      <c r="C177" s="7" t="n">
        <f aca="false">Scoring!C184</f>
        <v>0</v>
      </c>
      <c r="D177" s="181" t="str">
        <f aca="false">Scoring!CA184</f>
        <v/>
      </c>
      <c r="E177" s="7" t="str">
        <f aca="false">Scoring!BD184</f>
        <v/>
      </c>
      <c r="F177" s="7" t="n">
        <f aca="false">Scoring!B184</f>
        <v>0</v>
      </c>
      <c r="G177" s="7" t="n">
        <f aca="false">Scoring!D184</f>
        <v>0</v>
      </c>
      <c r="H177" s="7" t="str">
        <f aca="false">Scoring!CC184</f>
        <v/>
      </c>
      <c r="I177" s="182" t="str">
        <f aca="false">Scoring!CB184</f>
        <v/>
      </c>
    </row>
    <row r="178" customFormat="false" ht="15.75" hidden="false" customHeight="false" outlineLevel="0" collapsed="false">
      <c r="A178" s="7" t="str">
        <f aca="false">Scoring!CE185</f>
        <v/>
      </c>
      <c r="B178" s="7" t="str">
        <f aca="false">Scoring!CD185</f>
        <v/>
      </c>
      <c r="C178" s="7" t="n">
        <f aca="false">Scoring!C185</f>
        <v>0</v>
      </c>
      <c r="D178" s="181" t="str">
        <f aca="false">Scoring!CA185</f>
        <v/>
      </c>
      <c r="E178" s="7" t="str">
        <f aca="false">Scoring!BD185</f>
        <v/>
      </c>
      <c r="F178" s="7" t="n">
        <f aca="false">Scoring!B185</f>
        <v>0</v>
      </c>
      <c r="G178" s="7" t="n">
        <f aca="false">Scoring!D185</f>
        <v>0</v>
      </c>
      <c r="H178" s="7" t="str">
        <f aca="false">Scoring!CC185</f>
        <v/>
      </c>
      <c r="I178" s="182" t="str">
        <f aca="false">Scoring!CB185</f>
        <v/>
      </c>
    </row>
    <row r="179" customFormat="false" ht="15.75" hidden="false" customHeight="false" outlineLevel="0" collapsed="false">
      <c r="A179" s="7" t="str">
        <f aca="false">Scoring!CE186</f>
        <v/>
      </c>
      <c r="B179" s="7" t="str">
        <f aca="false">Scoring!CD186</f>
        <v/>
      </c>
      <c r="C179" s="7" t="n">
        <f aca="false">Scoring!C186</f>
        <v>0</v>
      </c>
      <c r="D179" s="181" t="str">
        <f aca="false">Scoring!CA186</f>
        <v/>
      </c>
      <c r="E179" s="7" t="str">
        <f aca="false">Scoring!BD186</f>
        <v/>
      </c>
      <c r="F179" s="7" t="n">
        <f aca="false">Scoring!B186</f>
        <v>0</v>
      </c>
      <c r="G179" s="7" t="n">
        <f aca="false">Scoring!D186</f>
        <v>0</v>
      </c>
      <c r="H179" s="7" t="str">
        <f aca="false">Scoring!CC186</f>
        <v/>
      </c>
      <c r="I179" s="182" t="str">
        <f aca="false">Scoring!CB186</f>
        <v/>
      </c>
    </row>
    <row r="180" customFormat="false" ht="15.75" hidden="false" customHeight="false" outlineLevel="0" collapsed="false">
      <c r="A180" s="7" t="str">
        <f aca="false">Scoring!CE187</f>
        <v/>
      </c>
      <c r="B180" s="7" t="str">
        <f aca="false">Scoring!CD187</f>
        <v/>
      </c>
      <c r="C180" s="7" t="n">
        <f aca="false">Scoring!C187</f>
        <v>0</v>
      </c>
      <c r="D180" s="181" t="str">
        <f aca="false">Scoring!CA187</f>
        <v/>
      </c>
      <c r="E180" s="7" t="str">
        <f aca="false">Scoring!BD187</f>
        <v/>
      </c>
      <c r="F180" s="7" t="n">
        <f aca="false">Scoring!B187</f>
        <v>0</v>
      </c>
      <c r="G180" s="7" t="n">
        <f aca="false">Scoring!D187</f>
        <v>0</v>
      </c>
      <c r="H180" s="7" t="str">
        <f aca="false">Scoring!CC187</f>
        <v/>
      </c>
      <c r="I180" s="182" t="str">
        <f aca="false">Scoring!CB187</f>
        <v/>
      </c>
    </row>
    <row r="181" customFormat="false" ht="15.75" hidden="false" customHeight="false" outlineLevel="0" collapsed="false">
      <c r="A181" s="7" t="str">
        <f aca="false">Scoring!CE188</f>
        <v/>
      </c>
      <c r="B181" s="7" t="str">
        <f aca="false">Scoring!CD188</f>
        <v/>
      </c>
      <c r="C181" s="7" t="n">
        <f aca="false">Scoring!C188</f>
        <v>0</v>
      </c>
      <c r="D181" s="181" t="str">
        <f aca="false">Scoring!CA188</f>
        <v/>
      </c>
      <c r="E181" s="7" t="str">
        <f aca="false">Scoring!BD188</f>
        <v/>
      </c>
      <c r="F181" s="7" t="n">
        <f aca="false">Scoring!B188</f>
        <v>0</v>
      </c>
      <c r="G181" s="7" t="n">
        <f aca="false">Scoring!D188</f>
        <v>0</v>
      </c>
      <c r="H181" s="7" t="str">
        <f aca="false">Scoring!CC188</f>
        <v/>
      </c>
      <c r="I181" s="182" t="str">
        <f aca="false">Scoring!CB188</f>
        <v/>
      </c>
    </row>
    <row r="182" customFormat="false" ht="15.75" hidden="false" customHeight="false" outlineLevel="0" collapsed="false">
      <c r="A182" s="7" t="str">
        <f aca="false">Scoring!CE189</f>
        <v/>
      </c>
      <c r="B182" s="7" t="str">
        <f aca="false">Scoring!CD189</f>
        <v/>
      </c>
      <c r="C182" s="7" t="n">
        <f aca="false">Scoring!C189</f>
        <v>0</v>
      </c>
      <c r="D182" s="181" t="str">
        <f aca="false">Scoring!CA189</f>
        <v/>
      </c>
      <c r="E182" s="7" t="str">
        <f aca="false">Scoring!BD189</f>
        <v/>
      </c>
      <c r="F182" s="7" t="n">
        <f aca="false">Scoring!B189</f>
        <v>0</v>
      </c>
      <c r="G182" s="7" t="n">
        <f aca="false">Scoring!D189</f>
        <v>0</v>
      </c>
      <c r="H182" s="7" t="str">
        <f aca="false">Scoring!CC189</f>
        <v/>
      </c>
      <c r="I182" s="182" t="str">
        <f aca="false">Scoring!CB189</f>
        <v/>
      </c>
    </row>
    <row r="183" customFormat="false" ht="15.75" hidden="false" customHeight="false" outlineLevel="0" collapsed="false">
      <c r="A183" s="7" t="str">
        <f aca="false">Scoring!CE190</f>
        <v/>
      </c>
      <c r="B183" s="7" t="str">
        <f aca="false">Scoring!CD190</f>
        <v/>
      </c>
      <c r="C183" s="7" t="n">
        <f aca="false">Scoring!C190</f>
        <v>0</v>
      </c>
      <c r="D183" s="181" t="str">
        <f aca="false">Scoring!CA190</f>
        <v/>
      </c>
      <c r="E183" s="7" t="str">
        <f aca="false">Scoring!BD190</f>
        <v/>
      </c>
      <c r="F183" s="7" t="n">
        <f aca="false">Scoring!B190</f>
        <v>0</v>
      </c>
      <c r="G183" s="7" t="n">
        <f aca="false">Scoring!D190</f>
        <v>0</v>
      </c>
      <c r="H183" s="7" t="str">
        <f aca="false">Scoring!CC190</f>
        <v/>
      </c>
      <c r="I183" s="182" t="str">
        <f aca="false">Scoring!CB190</f>
        <v/>
      </c>
    </row>
    <row r="184" customFormat="false" ht="15.75" hidden="false" customHeight="false" outlineLevel="0" collapsed="false">
      <c r="A184" s="7" t="str">
        <f aca="false">Scoring!CE191</f>
        <v/>
      </c>
      <c r="B184" s="7" t="str">
        <f aca="false">Scoring!CD191</f>
        <v/>
      </c>
      <c r="C184" s="7" t="n">
        <f aca="false">Scoring!C191</f>
        <v>0</v>
      </c>
      <c r="D184" s="181" t="str">
        <f aca="false">Scoring!CA191</f>
        <v/>
      </c>
      <c r="E184" s="7" t="str">
        <f aca="false">Scoring!BD191</f>
        <v/>
      </c>
      <c r="F184" s="7" t="n">
        <f aca="false">Scoring!B191</f>
        <v>0</v>
      </c>
      <c r="G184" s="7" t="n">
        <f aca="false">Scoring!D191</f>
        <v>0</v>
      </c>
      <c r="H184" s="7" t="str">
        <f aca="false">Scoring!CC191</f>
        <v/>
      </c>
      <c r="I184" s="182" t="str">
        <f aca="false">Scoring!CB191</f>
        <v/>
      </c>
    </row>
    <row r="185" customFormat="false" ht="15.75" hidden="false" customHeight="false" outlineLevel="0" collapsed="false">
      <c r="A185" s="7" t="str">
        <f aca="false">Scoring!CE192</f>
        <v/>
      </c>
      <c r="B185" s="7" t="str">
        <f aca="false">Scoring!CD192</f>
        <v/>
      </c>
      <c r="C185" s="7" t="n">
        <f aca="false">Scoring!C192</f>
        <v>0</v>
      </c>
      <c r="D185" s="181" t="str">
        <f aca="false">Scoring!CA192</f>
        <v/>
      </c>
      <c r="E185" s="7" t="str">
        <f aca="false">Scoring!BD192</f>
        <v/>
      </c>
      <c r="F185" s="7" t="n">
        <f aca="false">Scoring!B192</f>
        <v>0</v>
      </c>
      <c r="G185" s="7" t="n">
        <f aca="false">Scoring!D192</f>
        <v>0</v>
      </c>
      <c r="H185" s="7" t="str">
        <f aca="false">Scoring!CC192</f>
        <v/>
      </c>
      <c r="I185" s="182" t="str">
        <f aca="false">Scoring!CB192</f>
        <v/>
      </c>
    </row>
    <row r="186" customFormat="false" ht="15.75" hidden="false" customHeight="false" outlineLevel="0" collapsed="false">
      <c r="A186" s="7" t="str">
        <f aca="false">Scoring!CE193</f>
        <v/>
      </c>
      <c r="B186" s="7" t="str">
        <f aca="false">Scoring!CD193</f>
        <v/>
      </c>
      <c r="C186" s="7" t="n">
        <f aca="false">Scoring!C193</f>
        <v>0</v>
      </c>
      <c r="D186" s="181" t="str">
        <f aca="false">Scoring!CA193</f>
        <v/>
      </c>
      <c r="E186" s="7" t="str">
        <f aca="false">Scoring!BD193</f>
        <v/>
      </c>
      <c r="F186" s="7" t="n">
        <f aca="false">Scoring!B193</f>
        <v>0</v>
      </c>
      <c r="G186" s="7" t="n">
        <f aca="false">Scoring!D193</f>
        <v>0</v>
      </c>
      <c r="H186" s="7" t="str">
        <f aca="false">Scoring!CC193</f>
        <v/>
      </c>
      <c r="I186" s="182" t="str">
        <f aca="false">Scoring!CB193</f>
        <v/>
      </c>
    </row>
    <row r="187" customFormat="false" ht="15.75" hidden="false" customHeight="false" outlineLevel="0" collapsed="false">
      <c r="A187" s="7" t="str">
        <f aca="false">Scoring!CE194</f>
        <v/>
      </c>
      <c r="B187" s="7" t="str">
        <f aca="false">Scoring!CD194</f>
        <v/>
      </c>
      <c r="C187" s="7" t="n">
        <f aca="false">Scoring!C194</f>
        <v>0</v>
      </c>
      <c r="D187" s="181" t="str">
        <f aca="false">Scoring!CA194</f>
        <v/>
      </c>
      <c r="E187" s="7" t="str">
        <f aca="false">Scoring!BD194</f>
        <v/>
      </c>
      <c r="F187" s="7" t="n">
        <f aca="false">Scoring!B194</f>
        <v>0</v>
      </c>
      <c r="G187" s="7" t="n">
        <f aca="false">Scoring!D194</f>
        <v>0</v>
      </c>
      <c r="H187" s="7" t="str">
        <f aca="false">Scoring!CC194</f>
        <v/>
      </c>
      <c r="I187" s="182" t="str">
        <f aca="false">Scoring!CB194</f>
        <v/>
      </c>
    </row>
    <row r="188" customFormat="false" ht="15.75" hidden="false" customHeight="false" outlineLevel="0" collapsed="false">
      <c r="A188" s="7" t="str">
        <f aca="false">Scoring!CE195</f>
        <v/>
      </c>
      <c r="B188" s="7" t="str">
        <f aca="false">Scoring!CD195</f>
        <v/>
      </c>
      <c r="C188" s="7" t="n">
        <f aca="false">Scoring!C195</f>
        <v>0</v>
      </c>
      <c r="D188" s="181" t="str">
        <f aca="false">Scoring!CA195</f>
        <v/>
      </c>
      <c r="E188" s="7" t="str">
        <f aca="false">Scoring!BD195</f>
        <v/>
      </c>
      <c r="F188" s="7" t="n">
        <f aca="false">Scoring!B195</f>
        <v>0</v>
      </c>
      <c r="G188" s="7" t="n">
        <f aca="false">Scoring!D195</f>
        <v>0</v>
      </c>
      <c r="H188" s="7" t="str">
        <f aca="false">Scoring!CC195</f>
        <v/>
      </c>
      <c r="I188" s="182" t="str">
        <f aca="false">Scoring!CB195</f>
        <v/>
      </c>
    </row>
    <row r="189" customFormat="false" ht="15.75" hidden="false" customHeight="false" outlineLevel="0" collapsed="false">
      <c r="A189" s="7" t="str">
        <f aca="false">Scoring!CE196</f>
        <v/>
      </c>
      <c r="B189" s="7" t="str">
        <f aca="false">Scoring!CD196</f>
        <v/>
      </c>
      <c r="C189" s="7" t="n">
        <f aca="false">Scoring!C196</f>
        <v>0</v>
      </c>
      <c r="D189" s="181" t="str">
        <f aca="false">Scoring!CA196</f>
        <v/>
      </c>
      <c r="E189" s="7" t="str">
        <f aca="false">Scoring!BD196</f>
        <v/>
      </c>
      <c r="F189" s="7" t="n">
        <f aca="false">Scoring!B196</f>
        <v>0</v>
      </c>
      <c r="G189" s="7" t="n">
        <f aca="false">Scoring!D196</f>
        <v>0</v>
      </c>
      <c r="H189" s="7" t="str">
        <f aca="false">Scoring!CC196</f>
        <v/>
      </c>
      <c r="I189" s="182" t="str">
        <f aca="false">Scoring!CB196</f>
        <v/>
      </c>
    </row>
    <row r="190" customFormat="false" ht="15.75" hidden="false" customHeight="false" outlineLevel="0" collapsed="false">
      <c r="A190" s="7" t="str">
        <f aca="false">Scoring!CE197</f>
        <v/>
      </c>
      <c r="B190" s="7" t="str">
        <f aca="false">Scoring!CD197</f>
        <v/>
      </c>
      <c r="C190" s="7" t="n">
        <f aca="false">Scoring!C197</f>
        <v>0</v>
      </c>
      <c r="D190" s="181" t="str">
        <f aca="false">Scoring!CA197</f>
        <v/>
      </c>
      <c r="E190" s="7" t="str">
        <f aca="false">Scoring!BD197</f>
        <v/>
      </c>
      <c r="F190" s="7" t="n">
        <f aca="false">Scoring!B197</f>
        <v>0</v>
      </c>
      <c r="G190" s="7" t="n">
        <f aca="false">Scoring!D197</f>
        <v>0</v>
      </c>
      <c r="H190" s="7" t="str">
        <f aca="false">Scoring!CC197</f>
        <v/>
      </c>
      <c r="I190" s="182" t="str">
        <f aca="false">Scoring!CB197</f>
        <v/>
      </c>
    </row>
    <row r="191" customFormat="false" ht="15.75" hidden="false" customHeight="false" outlineLevel="0" collapsed="false">
      <c r="A191" s="7" t="str">
        <f aca="false">Scoring!CE198</f>
        <v/>
      </c>
      <c r="B191" s="7" t="str">
        <f aca="false">Scoring!CD198</f>
        <v/>
      </c>
      <c r="C191" s="7" t="n">
        <f aca="false">Scoring!C198</f>
        <v>0</v>
      </c>
      <c r="D191" s="181" t="str">
        <f aca="false">Scoring!CA198</f>
        <v/>
      </c>
      <c r="E191" s="7" t="str">
        <f aca="false">Scoring!BD198</f>
        <v/>
      </c>
      <c r="F191" s="7" t="n">
        <f aca="false">Scoring!B198</f>
        <v>0</v>
      </c>
      <c r="G191" s="7" t="n">
        <f aca="false">Scoring!D198</f>
        <v>0</v>
      </c>
      <c r="H191" s="7" t="str">
        <f aca="false">Scoring!CC198</f>
        <v/>
      </c>
      <c r="I191" s="182" t="str">
        <f aca="false">Scoring!CB198</f>
        <v/>
      </c>
    </row>
    <row r="192" customFormat="false" ht="15.75" hidden="false" customHeight="false" outlineLevel="0" collapsed="false">
      <c r="A192" s="7" t="str">
        <f aca="false">Scoring!CE199</f>
        <v/>
      </c>
      <c r="B192" s="7" t="str">
        <f aca="false">Scoring!CD199</f>
        <v/>
      </c>
      <c r="C192" s="7" t="n">
        <f aca="false">Scoring!C199</f>
        <v>0</v>
      </c>
      <c r="D192" s="181" t="str">
        <f aca="false">Scoring!CA199</f>
        <v/>
      </c>
      <c r="E192" s="7" t="str">
        <f aca="false">Scoring!BD199</f>
        <v/>
      </c>
      <c r="F192" s="7" t="n">
        <f aca="false">Scoring!B199</f>
        <v>0</v>
      </c>
      <c r="G192" s="7" t="n">
        <f aca="false">Scoring!D199</f>
        <v>0</v>
      </c>
      <c r="H192" s="7" t="str">
        <f aca="false">Scoring!CC199</f>
        <v/>
      </c>
      <c r="I192" s="182" t="str">
        <f aca="false">Scoring!CB199</f>
        <v/>
      </c>
    </row>
    <row r="193" customFormat="false" ht="15.75" hidden="false" customHeight="false" outlineLevel="0" collapsed="false">
      <c r="A193" s="7" t="str">
        <f aca="false">Scoring!CE200</f>
        <v/>
      </c>
      <c r="B193" s="7" t="str">
        <f aca="false">Scoring!CD200</f>
        <v/>
      </c>
      <c r="C193" s="7" t="n">
        <f aca="false">Scoring!C200</f>
        <v>0</v>
      </c>
      <c r="D193" s="181" t="str">
        <f aca="false">Scoring!CA200</f>
        <v/>
      </c>
      <c r="E193" s="7" t="str">
        <f aca="false">Scoring!BD200</f>
        <v/>
      </c>
      <c r="F193" s="7" t="n">
        <f aca="false">Scoring!B200</f>
        <v>0</v>
      </c>
      <c r="G193" s="7" t="n">
        <f aca="false">Scoring!D200</f>
        <v>0</v>
      </c>
      <c r="H193" s="7" t="str">
        <f aca="false">Scoring!CC200</f>
        <v/>
      </c>
      <c r="I193" s="182" t="str">
        <f aca="false">Scoring!CB200</f>
        <v/>
      </c>
    </row>
    <row r="194" customFormat="false" ht="15.75" hidden="false" customHeight="false" outlineLevel="0" collapsed="false">
      <c r="A194" s="7" t="str">
        <f aca="false">Scoring!CE201</f>
        <v/>
      </c>
      <c r="B194" s="7" t="str">
        <f aca="false">Scoring!CD201</f>
        <v/>
      </c>
      <c r="C194" s="7" t="n">
        <f aca="false">Scoring!C201</f>
        <v>0</v>
      </c>
      <c r="D194" s="181" t="str">
        <f aca="false">Scoring!CA201</f>
        <v/>
      </c>
      <c r="E194" s="7" t="str">
        <f aca="false">Scoring!BD201</f>
        <v/>
      </c>
      <c r="F194" s="7" t="n">
        <f aca="false">Scoring!B201</f>
        <v>0</v>
      </c>
      <c r="G194" s="7" t="n">
        <f aca="false">Scoring!D201</f>
        <v>0</v>
      </c>
      <c r="H194" s="7" t="str">
        <f aca="false">Scoring!CC201</f>
        <v/>
      </c>
      <c r="I194" s="182" t="str">
        <f aca="false">Scoring!CB201</f>
        <v/>
      </c>
    </row>
    <row r="195" customFormat="false" ht="15.75" hidden="false" customHeight="false" outlineLevel="0" collapsed="false">
      <c r="A195" s="7" t="str">
        <f aca="false">Scoring!CE202</f>
        <v/>
      </c>
      <c r="B195" s="7" t="str">
        <f aca="false">Scoring!CD202</f>
        <v/>
      </c>
      <c r="C195" s="7" t="n">
        <f aca="false">Scoring!C202</f>
        <v>0</v>
      </c>
      <c r="D195" s="181" t="str">
        <f aca="false">Scoring!CA202</f>
        <v/>
      </c>
      <c r="E195" s="7" t="str">
        <f aca="false">Scoring!BD202</f>
        <v/>
      </c>
      <c r="F195" s="7" t="n">
        <f aca="false">Scoring!B202</f>
        <v>0</v>
      </c>
      <c r="G195" s="7" t="n">
        <f aca="false">Scoring!D202</f>
        <v>0</v>
      </c>
      <c r="H195" s="7" t="str">
        <f aca="false">Scoring!CC202</f>
        <v/>
      </c>
      <c r="I195" s="182" t="str">
        <f aca="false">Scoring!CB202</f>
        <v/>
      </c>
    </row>
    <row r="196" customFormat="false" ht="15.75" hidden="false" customHeight="false" outlineLevel="0" collapsed="false">
      <c r="A196" s="7" t="str">
        <f aca="false">Scoring!CE203</f>
        <v/>
      </c>
      <c r="B196" s="7" t="str">
        <f aca="false">Scoring!CD203</f>
        <v/>
      </c>
      <c r="C196" s="7" t="n">
        <f aca="false">Scoring!C203</f>
        <v>0</v>
      </c>
      <c r="D196" s="181" t="str">
        <f aca="false">Scoring!CA203</f>
        <v/>
      </c>
      <c r="E196" s="7" t="str">
        <f aca="false">Scoring!BD203</f>
        <v/>
      </c>
      <c r="F196" s="7" t="n">
        <f aca="false">Scoring!B203</f>
        <v>0</v>
      </c>
      <c r="G196" s="7" t="n">
        <f aca="false">Scoring!D203</f>
        <v>0</v>
      </c>
      <c r="H196" s="7" t="str">
        <f aca="false">Scoring!CC203</f>
        <v/>
      </c>
      <c r="I196" s="182" t="str">
        <f aca="false">Scoring!CB203</f>
        <v/>
      </c>
    </row>
    <row r="197" customFormat="false" ht="15.75" hidden="false" customHeight="false" outlineLevel="0" collapsed="false">
      <c r="A197" s="7" t="str">
        <f aca="false">Scoring!CE204</f>
        <v/>
      </c>
      <c r="B197" s="7" t="str">
        <f aca="false">Scoring!CD204</f>
        <v/>
      </c>
      <c r="C197" s="7" t="n">
        <f aca="false">Scoring!C204</f>
        <v>0</v>
      </c>
      <c r="D197" s="181" t="str">
        <f aca="false">Scoring!CA204</f>
        <v/>
      </c>
      <c r="E197" s="7" t="str">
        <f aca="false">Scoring!BD204</f>
        <v/>
      </c>
      <c r="F197" s="7" t="n">
        <f aca="false">Scoring!B204</f>
        <v>0</v>
      </c>
      <c r="G197" s="7" t="n">
        <f aca="false">Scoring!D204</f>
        <v>0</v>
      </c>
      <c r="H197" s="7" t="str">
        <f aca="false">Scoring!CC204</f>
        <v/>
      </c>
      <c r="I197" s="182" t="str">
        <f aca="false">Scoring!CB204</f>
        <v/>
      </c>
    </row>
    <row r="198" customFormat="false" ht="15.75" hidden="false" customHeight="false" outlineLevel="0" collapsed="false">
      <c r="A198" s="7" t="str">
        <f aca="false">Scoring!CE205</f>
        <v/>
      </c>
      <c r="B198" s="7" t="str">
        <f aca="false">Scoring!CD205</f>
        <v/>
      </c>
      <c r="C198" s="7" t="n">
        <f aca="false">Scoring!C205</f>
        <v>0</v>
      </c>
      <c r="D198" s="181" t="str">
        <f aca="false">Scoring!CA205</f>
        <v/>
      </c>
      <c r="E198" s="7" t="str">
        <f aca="false">Scoring!BD205</f>
        <v/>
      </c>
      <c r="F198" s="7" t="n">
        <f aca="false">Scoring!B205</f>
        <v>0</v>
      </c>
      <c r="G198" s="7" t="n">
        <f aca="false">Scoring!D205</f>
        <v>0</v>
      </c>
      <c r="H198" s="7" t="str">
        <f aca="false">Scoring!CC205</f>
        <v/>
      </c>
      <c r="I198" s="182" t="str">
        <f aca="false">Scoring!CB205</f>
        <v/>
      </c>
    </row>
    <row r="199" customFormat="false" ht="15.75" hidden="false" customHeight="false" outlineLevel="0" collapsed="false">
      <c r="A199" s="7" t="str">
        <f aca="false">Scoring!CE206</f>
        <v/>
      </c>
      <c r="B199" s="7" t="str">
        <f aca="false">Scoring!CD206</f>
        <v/>
      </c>
      <c r="C199" s="7" t="n">
        <f aca="false">Scoring!C206</f>
        <v>0</v>
      </c>
      <c r="D199" s="181" t="str">
        <f aca="false">Scoring!CA206</f>
        <v/>
      </c>
      <c r="E199" s="7" t="str">
        <f aca="false">Scoring!BD206</f>
        <v/>
      </c>
      <c r="F199" s="7" t="n">
        <f aca="false">Scoring!B206</f>
        <v>0</v>
      </c>
      <c r="G199" s="7" t="n">
        <f aca="false">Scoring!D206</f>
        <v>0</v>
      </c>
      <c r="H199" s="7" t="str">
        <f aca="false">Scoring!CC206</f>
        <v/>
      </c>
      <c r="I199" s="182" t="str">
        <f aca="false">Scoring!CB206</f>
        <v/>
      </c>
    </row>
    <row r="200" customFormat="false" ht="15.75" hidden="false" customHeight="false" outlineLevel="0" collapsed="false">
      <c r="A200" s="7" t="str">
        <f aca="false">Scoring!CE207</f>
        <v/>
      </c>
      <c r="B200" s="7" t="str">
        <f aca="false">Scoring!CD207</f>
        <v/>
      </c>
      <c r="C200" s="7" t="n">
        <f aca="false">Scoring!C207</f>
        <v>0</v>
      </c>
      <c r="D200" s="181" t="str">
        <f aca="false">Scoring!CA207</f>
        <v/>
      </c>
      <c r="E200" s="7" t="str">
        <f aca="false">Scoring!BD207</f>
        <v/>
      </c>
      <c r="F200" s="7" t="n">
        <f aca="false">Scoring!B207</f>
        <v>0</v>
      </c>
      <c r="G200" s="7" t="n">
        <f aca="false">Scoring!D207</f>
        <v>0</v>
      </c>
      <c r="H200" s="7" t="str">
        <f aca="false">Scoring!CC207</f>
        <v/>
      </c>
      <c r="I200" s="182" t="str">
        <f aca="false">Scoring!CB207</f>
        <v/>
      </c>
    </row>
    <row r="201" customFormat="false" ht="15.75" hidden="false" customHeight="false" outlineLevel="0" collapsed="false">
      <c r="A201" s="7" t="str">
        <f aca="false">Scoring!CE208</f>
        <v/>
      </c>
      <c r="B201" s="7" t="str">
        <f aca="false">Scoring!CD208</f>
        <v/>
      </c>
      <c r="C201" s="7" t="n">
        <f aca="false">Scoring!C208</f>
        <v>0</v>
      </c>
      <c r="D201" s="181" t="str">
        <f aca="false">Scoring!CA208</f>
        <v/>
      </c>
      <c r="E201" s="7" t="str">
        <f aca="false">Scoring!BD208</f>
        <v/>
      </c>
      <c r="F201" s="7" t="n">
        <f aca="false">Scoring!B208</f>
        <v>0</v>
      </c>
      <c r="G201" s="7" t="n">
        <f aca="false">Scoring!D208</f>
        <v>0</v>
      </c>
      <c r="H201" s="7" t="str">
        <f aca="false">Scoring!CC208</f>
        <v/>
      </c>
      <c r="I201" s="182" t="str">
        <f aca="false">Scoring!CB208</f>
        <v/>
      </c>
    </row>
    <row r="202" customFormat="false" ht="15.75" hidden="false" customHeight="false" outlineLevel="0" collapsed="false">
      <c r="A202" s="7" t="str">
        <f aca="false">Scoring!CE209</f>
        <v/>
      </c>
      <c r="B202" s="7" t="str">
        <f aca="false">Scoring!CD209</f>
        <v/>
      </c>
      <c r="C202" s="7" t="n">
        <f aca="false">Scoring!C209</f>
        <v>0</v>
      </c>
      <c r="D202" s="181" t="str">
        <f aca="false">Scoring!CA209</f>
        <v/>
      </c>
      <c r="E202" s="7" t="str">
        <f aca="false">Scoring!BD209</f>
        <v/>
      </c>
      <c r="F202" s="7" t="n">
        <f aca="false">Scoring!B209</f>
        <v>0</v>
      </c>
      <c r="G202" s="7" t="n">
        <f aca="false">Scoring!D209</f>
        <v>0</v>
      </c>
      <c r="H202" s="7" t="str">
        <f aca="false">Scoring!CC209</f>
        <v/>
      </c>
      <c r="I202" s="182" t="str">
        <f aca="false">Scoring!CB209</f>
        <v/>
      </c>
    </row>
    <row r="203" customFormat="false" ht="15.75" hidden="false" customHeight="false" outlineLevel="0" collapsed="false">
      <c r="A203" s="7" t="str">
        <f aca="false">Scoring!CE210</f>
        <v/>
      </c>
      <c r="B203" s="7" t="str">
        <f aca="false">Scoring!CD210</f>
        <v/>
      </c>
      <c r="C203" s="7" t="n">
        <f aca="false">Scoring!C210</f>
        <v>0</v>
      </c>
      <c r="D203" s="181" t="str">
        <f aca="false">Scoring!CA210</f>
        <v/>
      </c>
      <c r="E203" s="7" t="str">
        <f aca="false">Scoring!BD210</f>
        <v/>
      </c>
      <c r="F203" s="7" t="n">
        <f aca="false">Scoring!B210</f>
        <v>0</v>
      </c>
      <c r="G203" s="7" t="n">
        <f aca="false">Scoring!D210</f>
        <v>0</v>
      </c>
      <c r="H203" s="7" t="str">
        <f aca="false">Scoring!CC210</f>
        <v/>
      </c>
      <c r="I203" s="182" t="str">
        <f aca="false">Scoring!CB210</f>
        <v/>
      </c>
    </row>
    <row r="204" customFormat="false" ht="15.75" hidden="false" customHeight="false" outlineLevel="0" collapsed="false">
      <c r="A204" s="7" t="str">
        <f aca="false">Scoring!CE211</f>
        <v/>
      </c>
      <c r="B204" s="7" t="str">
        <f aca="false">Scoring!CD211</f>
        <v/>
      </c>
      <c r="C204" s="7" t="n">
        <f aca="false">Scoring!C211</f>
        <v>0</v>
      </c>
      <c r="D204" s="181" t="str">
        <f aca="false">Scoring!CA211</f>
        <v/>
      </c>
      <c r="E204" s="7" t="str">
        <f aca="false">Scoring!BD211</f>
        <v/>
      </c>
      <c r="F204" s="7" t="n">
        <f aca="false">Scoring!B211</f>
        <v>0</v>
      </c>
      <c r="G204" s="7" t="n">
        <f aca="false">Scoring!D211</f>
        <v>0</v>
      </c>
      <c r="H204" s="7" t="str">
        <f aca="false">Scoring!CC211</f>
        <v/>
      </c>
      <c r="I204" s="182" t="str">
        <f aca="false">Scoring!CB211</f>
        <v/>
      </c>
    </row>
    <row r="205" customFormat="false" ht="15.75" hidden="false" customHeight="false" outlineLevel="0" collapsed="false">
      <c r="A205" s="7" t="str">
        <f aca="false">Scoring!CE212</f>
        <v/>
      </c>
      <c r="B205" s="7" t="str">
        <f aca="false">Scoring!CD212</f>
        <v/>
      </c>
      <c r="C205" s="7" t="n">
        <f aca="false">Scoring!C212</f>
        <v>0</v>
      </c>
      <c r="D205" s="181" t="str">
        <f aca="false">Scoring!CA212</f>
        <v/>
      </c>
      <c r="E205" s="7" t="str">
        <f aca="false">Scoring!BD212</f>
        <v/>
      </c>
      <c r="F205" s="7" t="n">
        <f aca="false">Scoring!B212</f>
        <v>0</v>
      </c>
      <c r="G205" s="7" t="n">
        <f aca="false">Scoring!D212</f>
        <v>0</v>
      </c>
      <c r="H205" s="7" t="str">
        <f aca="false">Scoring!CC212</f>
        <v/>
      </c>
      <c r="I205" s="182" t="str">
        <f aca="false">Scoring!CB212</f>
        <v/>
      </c>
    </row>
    <row r="206" customFormat="false" ht="15.75" hidden="false" customHeight="false" outlineLevel="0" collapsed="false">
      <c r="A206" s="7" t="str">
        <f aca="false">Scoring!CE213</f>
        <v/>
      </c>
      <c r="B206" s="7" t="str">
        <f aca="false">Scoring!CD213</f>
        <v/>
      </c>
      <c r="C206" s="7" t="n">
        <f aca="false">Scoring!C213</f>
        <v>0</v>
      </c>
      <c r="D206" s="181" t="str">
        <f aca="false">Scoring!CA213</f>
        <v/>
      </c>
      <c r="E206" s="7" t="str">
        <f aca="false">Scoring!BD213</f>
        <v/>
      </c>
      <c r="F206" s="7" t="n">
        <f aca="false">Scoring!B213</f>
        <v>0</v>
      </c>
      <c r="G206" s="7" t="n">
        <f aca="false">Scoring!D213</f>
        <v>0</v>
      </c>
      <c r="H206" s="7" t="str">
        <f aca="false">Scoring!CC213</f>
        <v/>
      </c>
      <c r="I206" s="182" t="str">
        <f aca="false">Scoring!CB213</f>
        <v/>
      </c>
    </row>
    <row r="207" customFormat="false" ht="15.75" hidden="false" customHeight="false" outlineLevel="0" collapsed="false">
      <c r="A207" s="7" t="str">
        <f aca="false">Scoring!CE214</f>
        <v/>
      </c>
      <c r="B207" s="7" t="str">
        <f aca="false">Scoring!CD214</f>
        <v/>
      </c>
      <c r="C207" s="7" t="n">
        <f aca="false">Scoring!C214</f>
        <v>0</v>
      </c>
      <c r="D207" s="181" t="str">
        <f aca="false">Scoring!CA214</f>
        <v/>
      </c>
      <c r="E207" s="7" t="str">
        <f aca="false">Scoring!BD214</f>
        <v/>
      </c>
      <c r="F207" s="7" t="n">
        <f aca="false">Scoring!B214</f>
        <v>0</v>
      </c>
      <c r="G207" s="7" t="n">
        <f aca="false">Scoring!D214</f>
        <v>0</v>
      </c>
      <c r="H207" s="7" t="str">
        <f aca="false">Scoring!CC214</f>
        <v/>
      </c>
      <c r="I207" s="182" t="str">
        <f aca="false">Scoring!CB214</f>
        <v/>
      </c>
    </row>
    <row r="208" customFormat="false" ht="15.75" hidden="false" customHeight="false" outlineLevel="0" collapsed="false">
      <c r="A208" s="7" t="str">
        <f aca="false">Scoring!CE215</f>
        <v/>
      </c>
      <c r="B208" s="7" t="str">
        <f aca="false">Scoring!CD215</f>
        <v/>
      </c>
      <c r="C208" s="7" t="n">
        <f aca="false">Scoring!C215</f>
        <v>0</v>
      </c>
      <c r="D208" s="181" t="str">
        <f aca="false">Scoring!CA215</f>
        <v/>
      </c>
      <c r="E208" s="7" t="str">
        <f aca="false">Scoring!BD215</f>
        <v/>
      </c>
      <c r="F208" s="7" t="n">
        <f aca="false">Scoring!B215</f>
        <v>0</v>
      </c>
      <c r="G208" s="7" t="n">
        <f aca="false">Scoring!D215</f>
        <v>0</v>
      </c>
      <c r="H208" s="7" t="str">
        <f aca="false">Scoring!CC215</f>
        <v/>
      </c>
      <c r="I208" s="182" t="str">
        <f aca="false">Scoring!CB215</f>
        <v/>
      </c>
    </row>
    <row r="209" customFormat="false" ht="15.75" hidden="false" customHeight="false" outlineLevel="0" collapsed="false">
      <c r="A209" s="7" t="str">
        <f aca="false">Scoring!CE216</f>
        <v/>
      </c>
      <c r="B209" s="7" t="str">
        <f aca="false">Scoring!CD216</f>
        <v/>
      </c>
      <c r="C209" s="7" t="n">
        <f aca="false">Scoring!C216</f>
        <v>0</v>
      </c>
      <c r="D209" s="181" t="str">
        <f aca="false">Scoring!CA216</f>
        <v/>
      </c>
      <c r="E209" s="7" t="str">
        <f aca="false">Scoring!BD216</f>
        <v/>
      </c>
      <c r="F209" s="7" t="n">
        <f aca="false">Scoring!B216</f>
        <v>0</v>
      </c>
      <c r="G209" s="7" t="n">
        <f aca="false">Scoring!D216</f>
        <v>0</v>
      </c>
      <c r="H209" s="7" t="str">
        <f aca="false">Scoring!CC216</f>
        <v/>
      </c>
      <c r="I209" s="182" t="str">
        <f aca="false">Scoring!CB216</f>
        <v/>
      </c>
    </row>
    <row r="210" customFormat="false" ht="15.75" hidden="false" customHeight="false" outlineLevel="0" collapsed="false">
      <c r="A210" s="7" t="str">
        <f aca="false">Scoring!CE217</f>
        <v/>
      </c>
      <c r="B210" s="7" t="str">
        <f aca="false">Scoring!CD217</f>
        <v/>
      </c>
      <c r="C210" s="7" t="n">
        <f aca="false">Scoring!C217</f>
        <v>0</v>
      </c>
      <c r="D210" s="181" t="str">
        <f aca="false">Scoring!CA217</f>
        <v/>
      </c>
      <c r="E210" s="7" t="str">
        <f aca="false">Scoring!BD217</f>
        <v/>
      </c>
      <c r="F210" s="7" t="n">
        <f aca="false">Scoring!B217</f>
        <v>0</v>
      </c>
      <c r="G210" s="7" t="n">
        <f aca="false">Scoring!D217</f>
        <v>0</v>
      </c>
      <c r="H210" s="7" t="str">
        <f aca="false">Scoring!CC217</f>
        <v/>
      </c>
      <c r="I210" s="182" t="str">
        <f aca="false">Scoring!CB217</f>
        <v/>
      </c>
    </row>
    <row r="211" customFormat="false" ht="15.75" hidden="false" customHeight="false" outlineLevel="0" collapsed="false">
      <c r="A211" s="7" t="str">
        <f aca="false">Scoring!CE218</f>
        <v/>
      </c>
      <c r="B211" s="7" t="str">
        <f aca="false">Scoring!CD218</f>
        <v/>
      </c>
      <c r="C211" s="7" t="n">
        <f aca="false">Scoring!C218</f>
        <v>0</v>
      </c>
      <c r="D211" s="181" t="str">
        <f aca="false">Scoring!CA218</f>
        <v/>
      </c>
      <c r="E211" s="7" t="str">
        <f aca="false">Scoring!BD218</f>
        <v/>
      </c>
      <c r="F211" s="7" t="n">
        <f aca="false">Scoring!B218</f>
        <v>0</v>
      </c>
      <c r="G211" s="7" t="n">
        <f aca="false">Scoring!D218</f>
        <v>0</v>
      </c>
      <c r="H211" s="7" t="str">
        <f aca="false">Scoring!CC218</f>
        <v/>
      </c>
      <c r="I211" s="182" t="str">
        <f aca="false">Scoring!CB218</f>
        <v/>
      </c>
    </row>
    <row r="212" customFormat="false" ht="15.75" hidden="false" customHeight="false" outlineLevel="0" collapsed="false">
      <c r="A212" s="7" t="str">
        <f aca="false">Scoring!CE219</f>
        <v/>
      </c>
      <c r="B212" s="7" t="str">
        <f aca="false">Scoring!CD219</f>
        <v/>
      </c>
      <c r="C212" s="7" t="n">
        <f aca="false">Scoring!C219</f>
        <v>0</v>
      </c>
      <c r="D212" s="181" t="str">
        <f aca="false">Scoring!CA219</f>
        <v/>
      </c>
      <c r="E212" s="7" t="str">
        <f aca="false">Scoring!BD219</f>
        <v/>
      </c>
      <c r="F212" s="7" t="n">
        <f aca="false">Scoring!B219</f>
        <v>0</v>
      </c>
      <c r="G212" s="7" t="n">
        <f aca="false">Scoring!D219</f>
        <v>0</v>
      </c>
      <c r="H212" s="7" t="str">
        <f aca="false">Scoring!CC219</f>
        <v/>
      </c>
      <c r="I212" s="182" t="str">
        <f aca="false">Scoring!CB219</f>
        <v/>
      </c>
    </row>
    <row r="213" customFormat="false" ht="15.75" hidden="false" customHeight="false" outlineLevel="0" collapsed="false">
      <c r="A213" s="7" t="str">
        <f aca="false">Scoring!CE220</f>
        <v/>
      </c>
      <c r="B213" s="7" t="str">
        <f aca="false">Scoring!CD220</f>
        <v/>
      </c>
      <c r="C213" s="7" t="n">
        <f aca="false">Scoring!C220</f>
        <v>0</v>
      </c>
      <c r="D213" s="181" t="str">
        <f aca="false">Scoring!CA220</f>
        <v/>
      </c>
      <c r="E213" s="7" t="str">
        <f aca="false">Scoring!BD220</f>
        <v/>
      </c>
      <c r="F213" s="7" t="n">
        <f aca="false">Scoring!B220</f>
        <v>0</v>
      </c>
      <c r="G213" s="7" t="n">
        <f aca="false">Scoring!D220</f>
        <v>0</v>
      </c>
      <c r="H213" s="7" t="str">
        <f aca="false">Scoring!CC220</f>
        <v/>
      </c>
      <c r="I213" s="182" t="str">
        <f aca="false">Scoring!CB220</f>
        <v/>
      </c>
    </row>
    <row r="214" customFormat="false" ht="15.75" hidden="false" customHeight="false" outlineLevel="0" collapsed="false">
      <c r="A214" s="7" t="str">
        <f aca="false">Scoring!CE221</f>
        <v/>
      </c>
      <c r="B214" s="7" t="str">
        <f aca="false">Scoring!CD221</f>
        <v/>
      </c>
      <c r="C214" s="7" t="n">
        <f aca="false">Scoring!C221</f>
        <v>0</v>
      </c>
      <c r="D214" s="181" t="str">
        <f aca="false">Scoring!CA221</f>
        <v/>
      </c>
      <c r="E214" s="7" t="str">
        <f aca="false">Scoring!BD221</f>
        <v/>
      </c>
      <c r="F214" s="7" t="n">
        <f aca="false">Scoring!B221</f>
        <v>0</v>
      </c>
      <c r="G214" s="7" t="n">
        <f aca="false">Scoring!D221</f>
        <v>0</v>
      </c>
      <c r="H214" s="7" t="str">
        <f aca="false">Scoring!CC221</f>
        <v/>
      </c>
      <c r="I214" s="182" t="str">
        <f aca="false">Scoring!CB221</f>
        <v/>
      </c>
    </row>
    <row r="215" customFormat="false" ht="15.75" hidden="false" customHeight="false" outlineLevel="0" collapsed="false">
      <c r="A215" s="7" t="str">
        <f aca="false">Scoring!CE222</f>
        <v/>
      </c>
      <c r="B215" s="7" t="str">
        <f aca="false">Scoring!CD222</f>
        <v/>
      </c>
      <c r="C215" s="7" t="n">
        <f aca="false">Scoring!C222</f>
        <v>0</v>
      </c>
      <c r="D215" s="181" t="str">
        <f aca="false">Scoring!CA222</f>
        <v/>
      </c>
      <c r="E215" s="7" t="str">
        <f aca="false">Scoring!BD222</f>
        <v/>
      </c>
      <c r="F215" s="7" t="n">
        <f aca="false">Scoring!B222</f>
        <v>0</v>
      </c>
      <c r="G215" s="7" t="n">
        <f aca="false">Scoring!D222</f>
        <v>0</v>
      </c>
      <c r="H215" s="7" t="str">
        <f aca="false">Scoring!CC222</f>
        <v/>
      </c>
      <c r="I215" s="182" t="str">
        <f aca="false">Scoring!CB222</f>
        <v/>
      </c>
    </row>
    <row r="216" customFormat="false" ht="15.75" hidden="false" customHeight="false" outlineLevel="0" collapsed="false">
      <c r="A216" s="7" t="str">
        <f aca="false">Scoring!CE223</f>
        <v/>
      </c>
      <c r="B216" s="7" t="str">
        <f aca="false">Scoring!CD223</f>
        <v/>
      </c>
      <c r="C216" s="7" t="n">
        <f aca="false">Scoring!C223</f>
        <v>0</v>
      </c>
      <c r="D216" s="181" t="str">
        <f aca="false">Scoring!CA223</f>
        <v/>
      </c>
      <c r="E216" s="7" t="str">
        <f aca="false">Scoring!BD223</f>
        <v/>
      </c>
      <c r="F216" s="7" t="n">
        <f aca="false">Scoring!B223</f>
        <v>0</v>
      </c>
      <c r="G216" s="7" t="n">
        <f aca="false">Scoring!D223</f>
        <v>0</v>
      </c>
      <c r="H216" s="7" t="str">
        <f aca="false">Scoring!CC223</f>
        <v/>
      </c>
      <c r="I216" s="182" t="str">
        <f aca="false">Scoring!CB223</f>
        <v/>
      </c>
    </row>
    <row r="217" customFormat="false" ht="15.75" hidden="false" customHeight="false" outlineLevel="0" collapsed="false">
      <c r="A217" s="7" t="str">
        <f aca="false">Scoring!CE224</f>
        <v/>
      </c>
      <c r="B217" s="7" t="str">
        <f aca="false">Scoring!CD224</f>
        <v/>
      </c>
      <c r="C217" s="7" t="n">
        <f aca="false">Scoring!C224</f>
        <v>0</v>
      </c>
      <c r="D217" s="181" t="str">
        <f aca="false">Scoring!CA224</f>
        <v/>
      </c>
      <c r="E217" s="7" t="str">
        <f aca="false">Scoring!BD224</f>
        <v/>
      </c>
      <c r="F217" s="7" t="n">
        <f aca="false">Scoring!B224</f>
        <v>0</v>
      </c>
      <c r="G217" s="7" t="n">
        <f aca="false">Scoring!D224</f>
        <v>0</v>
      </c>
      <c r="H217" s="7" t="str">
        <f aca="false">Scoring!CC224</f>
        <v/>
      </c>
      <c r="I217" s="182" t="str">
        <f aca="false">Scoring!CB224</f>
        <v/>
      </c>
    </row>
    <row r="218" customFormat="false" ht="15.75" hidden="false" customHeight="false" outlineLevel="0" collapsed="false">
      <c r="A218" s="7" t="str">
        <f aca="false">Scoring!CE225</f>
        <v/>
      </c>
      <c r="B218" s="7" t="str">
        <f aca="false">Scoring!CD225</f>
        <v/>
      </c>
      <c r="C218" s="7" t="n">
        <f aca="false">Scoring!C225</f>
        <v>0</v>
      </c>
      <c r="D218" s="181" t="str">
        <f aca="false">Scoring!CA225</f>
        <v/>
      </c>
      <c r="E218" s="7" t="str">
        <f aca="false">Scoring!BD225</f>
        <v/>
      </c>
      <c r="F218" s="7" t="n">
        <f aca="false">Scoring!B225</f>
        <v>0</v>
      </c>
      <c r="G218" s="7" t="n">
        <f aca="false">Scoring!D225</f>
        <v>0</v>
      </c>
      <c r="H218" s="7" t="str">
        <f aca="false">Scoring!CC225</f>
        <v/>
      </c>
      <c r="I218" s="182" t="str">
        <f aca="false">Scoring!CB225</f>
        <v/>
      </c>
    </row>
    <row r="219" customFormat="false" ht="15.75" hidden="false" customHeight="false" outlineLevel="0" collapsed="false">
      <c r="A219" s="7" t="str">
        <f aca="false">Scoring!CE226</f>
        <v/>
      </c>
      <c r="B219" s="7" t="str">
        <f aca="false">Scoring!CD226</f>
        <v/>
      </c>
      <c r="C219" s="7" t="n">
        <f aca="false">Scoring!C226</f>
        <v>0</v>
      </c>
      <c r="D219" s="181" t="str">
        <f aca="false">Scoring!CA226</f>
        <v/>
      </c>
      <c r="E219" s="7" t="str">
        <f aca="false">Scoring!BD226</f>
        <v/>
      </c>
      <c r="F219" s="7" t="n">
        <f aca="false">Scoring!B226</f>
        <v>0</v>
      </c>
      <c r="G219" s="7" t="n">
        <f aca="false">Scoring!D226</f>
        <v>0</v>
      </c>
      <c r="H219" s="7" t="str">
        <f aca="false">Scoring!CC226</f>
        <v/>
      </c>
      <c r="I219" s="182" t="str">
        <f aca="false">Scoring!CB226</f>
        <v/>
      </c>
    </row>
    <row r="220" customFormat="false" ht="15.75" hidden="false" customHeight="false" outlineLevel="0" collapsed="false">
      <c r="A220" s="7" t="str">
        <f aca="false">Scoring!CE227</f>
        <v/>
      </c>
      <c r="B220" s="7" t="str">
        <f aca="false">Scoring!CD227</f>
        <v/>
      </c>
      <c r="C220" s="7" t="n">
        <f aca="false">Scoring!C227</f>
        <v>0</v>
      </c>
      <c r="D220" s="181" t="str">
        <f aca="false">Scoring!CA227</f>
        <v/>
      </c>
      <c r="E220" s="7" t="str">
        <f aca="false">Scoring!BD227</f>
        <v/>
      </c>
      <c r="F220" s="7" t="n">
        <f aca="false">Scoring!B227</f>
        <v>0</v>
      </c>
      <c r="G220" s="7" t="n">
        <f aca="false">Scoring!D227</f>
        <v>0</v>
      </c>
      <c r="H220" s="7" t="str">
        <f aca="false">Scoring!CC227</f>
        <v/>
      </c>
      <c r="I220" s="182" t="str">
        <f aca="false">Scoring!CB227</f>
        <v/>
      </c>
    </row>
    <row r="221" customFormat="false" ht="15.75" hidden="false" customHeight="false" outlineLevel="0" collapsed="false">
      <c r="A221" s="7" t="str">
        <f aca="false">Scoring!CE228</f>
        <v/>
      </c>
      <c r="B221" s="7" t="str">
        <f aca="false">Scoring!CD228</f>
        <v/>
      </c>
      <c r="C221" s="7" t="n">
        <f aca="false">Scoring!C228</f>
        <v>0</v>
      </c>
      <c r="D221" s="181" t="str">
        <f aca="false">Scoring!CA228</f>
        <v/>
      </c>
      <c r="E221" s="7" t="str">
        <f aca="false">Scoring!BD228</f>
        <v/>
      </c>
      <c r="F221" s="7" t="n">
        <f aca="false">Scoring!B228</f>
        <v>0</v>
      </c>
      <c r="G221" s="7" t="n">
        <f aca="false">Scoring!D228</f>
        <v>0</v>
      </c>
      <c r="H221" s="7" t="str">
        <f aca="false">Scoring!CC228</f>
        <v/>
      </c>
      <c r="I221" s="182" t="str">
        <f aca="false">Scoring!CB228</f>
        <v/>
      </c>
    </row>
    <row r="222" customFormat="false" ht="15.75" hidden="false" customHeight="false" outlineLevel="0" collapsed="false">
      <c r="A222" s="7" t="str">
        <f aca="false">Scoring!CE229</f>
        <v/>
      </c>
      <c r="B222" s="7" t="str">
        <f aca="false">Scoring!CD229</f>
        <v/>
      </c>
      <c r="C222" s="7" t="n">
        <f aca="false">Scoring!C229</f>
        <v>0</v>
      </c>
      <c r="D222" s="181" t="str">
        <f aca="false">Scoring!CA229</f>
        <v/>
      </c>
      <c r="E222" s="7" t="str">
        <f aca="false">Scoring!BD229</f>
        <v/>
      </c>
      <c r="F222" s="7" t="n">
        <f aca="false">Scoring!B229</f>
        <v>0</v>
      </c>
      <c r="G222" s="7" t="n">
        <f aca="false">Scoring!D229</f>
        <v>0</v>
      </c>
      <c r="H222" s="7" t="str">
        <f aca="false">Scoring!CC229</f>
        <v/>
      </c>
      <c r="I222" s="182" t="str">
        <f aca="false">Scoring!CB229</f>
        <v/>
      </c>
    </row>
    <row r="223" customFormat="false" ht="15.75" hidden="false" customHeight="false" outlineLevel="0" collapsed="false">
      <c r="A223" s="7" t="str">
        <f aca="false">Scoring!CE230</f>
        <v/>
      </c>
      <c r="B223" s="7" t="str">
        <f aca="false">Scoring!CD230</f>
        <v/>
      </c>
      <c r="C223" s="7" t="n">
        <f aca="false">Scoring!C230</f>
        <v>0</v>
      </c>
      <c r="D223" s="181" t="str">
        <f aca="false">Scoring!CA230</f>
        <v/>
      </c>
      <c r="E223" s="7" t="str">
        <f aca="false">Scoring!BD230</f>
        <v/>
      </c>
      <c r="F223" s="7" t="n">
        <f aca="false">Scoring!B230</f>
        <v>0</v>
      </c>
      <c r="G223" s="7" t="n">
        <f aca="false">Scoring!D230</f>
        <v>0</v>
      </c>
      <c r="H223" s="7" t="str">
        <f aca="false">Scoring!CC230</f>
        <v/>
      </c>
      <c r="I223" s="182" t="str">
        <f aca="false">Scoring!CB230</f>
        <v/>
      </c>
    </row>
    <row r="224" customFormat="false" ht="15.75" hidden="false" customHeight="false" outlineLevel="0" collapsed="false">
      <c r="A224" s="7" t="str">
        <f aca="false">Scoring!CE231</f>
        <v/>
      </c>
      <c r="B224" s="7" t="str">
        <f aca="false">Scoring!CD231</f>
        <v/>
      </c>
      <c r="C224" s="7" t="n">
        <f aca="false">Scoring!C231</f>
        <v>0</v>
      </c>
      <c r="D224" s="181" t="str">
        <f aca="false">Scoring!CA231</f>
        <v/>
      </c>
      <c r="E224" s="7" t="str">
        <f aca="false">Scoring!BD231</f>
        <v/>
      </c>
      <c r="F224" s="7" t="n">
        <f aca="false">Scoring!B231</f>
        <v>0</v>
      </c>
      <c r="G224" s="7" t="n">
        <f aca="false">Scoring!D231</f>
        <v>0</v>
      </c>
      <c r="H224" s="7" t="str">
        <f aca="false">Scoring!CC231</f>
        <v/>
      </c>
      <c r="I224" s="182" t="str">
        <f aca="false">Scoring!CB231</f>
        <v/>
      </c>
    </row>
    <row r="225" customFormat="false" ht="15.75" hidden="false" customHeight="false" outlineLevel="0" collapsed="false">
      <c r="A225" s="7" t="str">
        <f aca="false">Scoring!CE232</f>
        <v/>
      </c>
      <c r="B225" s="7" t="str">
        <f aca="false">Scoring!CD232</f>
        <v/>
      </c>
      <c r="C225" s="7" t="n">
        <f aca="false">Scoring!C232</f>
        <v>0</v>
      </c>
      <c r="D225" s="181" t="str">
        <f aca="false">Scoring!CA232</f>
        <v/>
      </c>
      <c r="E225" s="7" t="str">
        <f aca="false">Scoring!BD232</f>
        <v/>
      </c>
      <c r="F225" s="7" t="n">
        <f aca="false">Scoring!B232</f>
        <v>0</v>
      </c>
      <c r="G225" s="7" t="n">
        <f aca="false">Scoring!D232</f>
        <v>0</v>
      </c>
      <c r="H225" s="7" t="str">
        <f aca="false">Scoring!CC232</f>
        <v/>
      </c>
      <c r="I225" s="182" t="str">
        <f aca="false">Scoring!CB232</f>
        <v/>
      </c>
    </row>
    <row r="226" customFormat="false" ht="15.75" hidden="false" customHeight="false" outlineLevel="0" collapsed="false">
      <c r="A226" s="7" t="str">
        <f aca="false">Scoring!CE233</f>
        <v/>
      </c>
      <c r="B226" s="7" t="str">
        <f aca="false">Scoring!CD233</f>
        <v/>
      </c>
      <c r="C226" s="7" t="n">
        <f aca="false">Scoring!C233</f>
        <v>0</v>
      </c>
      <c r="D226" s="181" t="str">
        <f aca="false">Scoring!CA233</f>
        <v/>
      </c>
      <c r="E226" s="7" t="str">
        <f aca="false">Scoring!BD233</f>
        <v/>
      </c>
      <c r="F226" s="7" t="n">
        <f aca="false">Scoring!B233</f>
        <v>0</v>
      </c>
      <c r="G226" s="7" t="n">
        <f aca="false">Scoring!D233</f>
        <v>0</v>
      </c>
      <c r="H226" s="7" t="str">
        <f aca="false">Scoring!CC233</f>
        <v/>
      </c>
      <c r="I226" s="182" t="str">
        <f aca="false">Scoring!CB233</f>
        <v/>
      </c>
    </row>
    <row r="227" customFormat="false" ht="15.75" hidden="false" customHeight="false" outlineLevel="0" collapsed="false">
      <c r="A227" s="7" t="str">
        <f aca="false">Scoring!CE234</f>
        <v/>
      </c>
      <c r="B227" s="7" t="str">
        <f aca="false">Scoring!CD234</f>
        <v/>
      </c>
      <c r="C227" s="7" t="n">
        <f aca="false">Scoring!C234</f>
        <v>0</v>
      </c>
      <c r="D227" s="181" t="str">
        <f aca="false">Scoring!CA234</f>
        <v/>
      </c>
      <c r="E227" s="7" t="str">
        <f aca="false">Scoring!BD234</f>
        <v/>
      </c>
      <c r="F227" s="7" t="n">
        <f aca="false">Scoring!B234</f>
        <v>0</v>
      </c>
      <c r="G227" s="7" t="n">
        <f aca="false">Scoring!D234</f>
        <v>0</v>
      </c>
      <c r="H227" s="7" t="str">
        <f aca="false">Scoring!CC234</f>
        <v/>
      </c>
      <c r="I227" s="182" t="str">
        <f aca="false">Scoring!CB234</f>
        <v/>
      </c>
    </row>
    <row r="228" customFormat="false" ht="15.75" hidden="false" customHeight="false" outlineLevel="0" collapsed="false">
      <c r="A228" s="7" t="str">
        <f aca="false">Scoring!CE235</f>
        <v/>
      </c>
      <c r="B228" s="7" t="str">
        <f aca="false">Scoring!CD235</f>
        <v/>
      </c>
      <c r="C228" s="7" t="n">
        <f aca="false">Scoring!C235</f>
        <v>0</v>
      </c>
      <c r="D228" s="181" t="str">
        <f aca="false">Scoring!CA235</f>
        <v/>
      </c>
      <c r="E228" s="7" t="str">
        <f aca="false">Scoring!BD235</f>
        <v/>
      </c>
      <c r="F228" s="7" t="n">
        <f aca="false">Scoring!B235</f>
        <v>0</v>
      </c>
      <c r="G228" s="7" t="n">
        <f aca="false">Scoring!D235</f>
        <v>0</v>
      </c>
      <c r="H228" s="7" t="str">
        <f aca="false">Scoring!CC235</f>
        <v/>
      </c>
      <c r="I228" s="182" t="str">
        <f aca="false">Scoring!CB235</f>
        <v/>
      </c>
    </row>
    <row r="229" customFormat="false" ht="15.75" hidden="false" customHeight="false" outlineLevel="0" collapsed="false">
      <c r="A229" s="7" t="str">
        <f aca="false">Scoring!CE236</f>
        <v/>
      </c>
      <c r="B229" s="7" t="str">
        <f aca="false">Scoring!CD236</f>
        <v/>
      </c>
      <c r="C229" s="7" t="n">
        <f aca="false">Scoring!C236</f>
        <v>0</v>
      </c>
      <c r="D229" s="181" t="str">
        <f aca="false">Scoring!CA236</f>
        <v/>
      </c>
      <c r="E229" s="7" t="str">
        <f aca="false">Scoring!BD236</f>
        <v/>
      </c>
      <c r="F229" s="7" t="n">
        <f aca="false">Scoring!B236</f>
        <v>0</v>
      </c>
      <c r="G229" s="7" t="n">
        <f aca="false">Scoring!D236</f>
        <v>0</v>
      </c>
      <c r="H229" s="7" t="str">
        <f aca="false">Scoring!CC236</f>
        <v/>
      </c>
      <c r="I229" s="182" t="str">
        <f aca="false">Scoring!CB236</f>
        <v/>
      </c>
    </row>
    <row r="230" customFormat="false" ht="15.75" hidden="false" customHeight="false" outlineLevel="0" collapsed="false">
      <c r="A230" s="7" t="str">
        <f aca="false">Scoring!CE237</f>
        <v/>
      </c>
      <c r="B230" s="7" t="str">
        <f aca="false">Scoring!CD237</f>
        <v/>
      </c>
      <c r="C230" s="7" t="n">
        <f aca="false">Scoring!C237</f>
        <v>0</v>
      </c>
      <c r="D230" s="181" t="str">
        <f aca="false">Scoring!CA237</f>
        <v/>
      </c>
      <c r="E230" s="7" t="str">
        <f aca="false">Scoring!BD237</f>
        <v/>
      </c>
      <c r="F230" s="7" t="n">
        <f aca="false">Scoring!B237</f>
        <v>0</v>
      </c>
      <c r="G230" s="7" t="n">
        <f aca="false">Scoring!D237</f>
        <v>0</v>
      </c>
      <c r="H230" s="7" t="str">
        <f aca="false">Scoring!CC237</f>
        <v/>
      </c>
      <c r="I230" s="182" t="str">
        <f aca="false">Scoring!CB237</f>
        <v/>
      </c>
    </row>
    <row r="231" customFormat="false" ht="15.75" hidden="false" customHeight="false" outlineLevel="0" collapsed="false">
      <c r="A231" s="7" t="str">
        <f aca="false">Scoring!CE238</f>
        <v/>
      </c>
      <c r="B231" s="7" t="str">
        <f aca="false">Scoring!CD238</f>
        <v/>
      </c>
      <c r="C231" s="7" t="n">
        <f aca="false">Scoring!C238</f>
        <v>0</v>
      </c>
      <c r="D231" s="181" t="str">
        <f aca="false">Scoring!CA238</f>
        <v/>
      </c>
      <c r="E231" s="7" t="str">
        <f aca="false">Scoring!BD238</f>
        <v/>
      </c>
      <c r="F231" s="7" t="n">
        <f aca="false">Scoring!B238</f>
        <v>0</v>
      </c>
      <c r="G231" s="7" t="n">
        <f aca="false">Scoring!D238</f>
        <v>0</v>
      </c>
      <c r="H231" s="7" t="str">
        <f aca="false">Scoring!CC238</f>
        <v/>
      </c>
      <c r="I231" s="182" t="str">
        <f aca="false">Scoring!CB238</f>
        <v/>
      </c>
    </row>
    <row r="232" customFormat="false" ht="15.75" hidden="false" customHeight="false" outlineLevel="0" collapsed="false">
      <c r="A232" s="7" t="str">
        <f aca="false">Scoring!CE239</f>
        <v/>
      </c>
      <c r="B232" s="7" t="str">
        <f aca="false">Scoring!CD239</f>
        <v/>
      </c>
      <c r="C232" s="7" t="n">
        <f aca="false">Scoring!C239</f>
        <v>0</v>
      </c>
      <c r="D232" s="181" t="str">
        <f aca="false">Scoring!CA239</f>
        <v/>
      </c>
      <c r="E232" s="7" t="str">
        <f aca="false">Scoring!BD239</f>
        <v/>
      </c>
      <c r="F232" s="7" t="n">
        <f aca="false">Scoring!B239</f>
        <v>0</v>
      </c>
      <c r="G232" s="7" t="n">
        <f aca="false">Scoring!D239</f>
        <v>0</v>
      </c>
      <c r="H232" s="7" t="str">
        <f aca="false">Scoring!CC239</f>
        <v/>
      </c>
      <c r="I232" s="182" t="str">
        <f aca="false">Scoring!CB239</f>
        <v/>
      </c>
    </row>
    <row r="233" customFormat="false" ht="15.75" hidden="false" customHeight="false" outlineLevel="0" collapsed="false">
      <c r="A233" s="7" t="str">
        <f aca="false">Scoring!CE240</f>
        <v/>
      </c>
      <c r="B233" s="7" t="str">
        <f aca="false">Scoring!CD240</f>
        <v/>
      </c>
      <c r="C233" s="7" t="n">
        <f aca="false">Scoring!C240</f>
        <v>0</v>
      </c>
      <c r="D233" s="181" t="str">
        <f aca="false">Scoring!CA240</f>
        <v/>
      </c>
      <c r="E233" s="7" t="str">
        <f aca="false">Scoring!BD240</f>
        <v/>
      </c>
      <c r="F233" s="7" t="n">
        <f aca="false">Scoring!B240</f>
        <v>0</v>
      </c>
      <c r="G233" s="7" t="n">
        <f aca="false">Scoring!D240</f>
        <v>0</v>
      </c>
      <c r="H233" s="7" t="str">
        <f aca="false">Scoring!CC240</f>
        <v/>
      </c>
      <c r="I233" s="182" t="str">
        <f aca="false">Scoring!CB240</f>
        <v/>
      </c>
    </row>
    <row r="234" customFormat="false" ht="15.75" hidden="false" customHeight="false" outlineLevel="0" collapsed="false">
      <c r="A234" s="7" t="str">
        <f aca="false">Scoring!CE241</f>
        <v/>
      </c>
      <c r="B234" s="7" t="str">
        <f aca="false">Scoring!CD241</f>
        <v/>
      </c>
      <c r="C234" s="7" t="n">
        <f aca="false">Scoring!C241</f>
        <v>0</v>
      </c>
      <c r="D234" s="181" t="str">
        <f aca="false">Scoring!CA241</f>
        <v/>
      </c>
      <c r="E234" s="7" t="str">
        <f aca="false">Scoring!BD241</f>
        <v/>
      </c>
      <c r="F234" s="7" t="n">
        <f aca="false">Scoring!B241</f>
        <v>0</v>
      </c>
      <c r="G234" s="7" t="n">
        <f aca="false">Scoring!D241</f>
        <v>0</v>
      </c>
      <c r="H234" s="7" t="str">
        <f aca="false">Scoring!CC241</f>
        <v/>
      </c>
      <c r="I234" s="182" t="str">
        <f aca="false">Scoring!CB241</f>
        <v/>
      </c>
    </row>
    <row r="235" customFormat="false" ht="15.75" hidden="false" customHeight="false" outlineLevel="0" collapsed="false">
      <c r="A235" s="7" t="str">
        <f aca="false">Scoring!CE242</f>
        <v/>
      </c>
      <c r="B235" s="7" t="str">
        <f aca="false">Scoring!CD242</f>
        <v/>
      </c>
      <c r="C235" s="7" t="n">
        <f aca="false">Scoring!C242</f>
        <v>0</v>
      </c>
      <c r="D235" s="181" t="str">
        <f aca="false">Scoring!CA242</f>
        <v/>
      </c>
      <c r="E235" s="7" t="str">
        <f aca="false">Scoring!BD242</f>
        <v/>
      </c>
      <c r="F235" s="7" t="n">
        <f aca="false">Scoring!B242</f>
        <v>0</v>
      </c>
      <c r="G235" s="7" t="n">
        <f aca="false">Scoring!D242</f>
        <v>0</v>
      </c>
      <c r="H235" s="7" t="str">
        <f aca="false">Scoring!CC242</f>
        <v/>
      </c>
      <c r="I235" s="182" t="str">
        <f aca="false">Scoring!CB242</f>
        <v/>
      </c>
    </row>
    <row r="236" customFormat="false" ht="15.75" hidden="false" customHeight="false" outlineLevel="0" collapsed="false">
      <c r="A236" s="7" t="str">
        <f aca="false">Scoring!CE243</f>
        <v/>
      </c>
      <c r="B236" s="7" t="str">
        <f aca="false">Scoring!CD243</f>
        <v/>
      </c>
      <c r="C236" s="7" t="n">
        <f aca="false">Scoring!C243</f>
        <v>0</v>
      </c>
      <c r="D236" s="181" t="str">
        <f aca="false">Scoring!CA243</f>
        <v/>
      </c>
      <c r="E236" s="7" t="str">
        <f aca="false">Scoring!BD243</f>
        <v/>
      </c>
      <c r="F236" s="7" t="n">
        <f aca="false">Scoring!B243</f>
        <v>0</v>
      </c>
      <c r="G236" s="7" t="n">
        <f aca="false">Scoring!D243</f>
        <v>0</v>
      </c>
      <c r="H236" s="7" t="str">
        <f aca="false">Scoring!CC243</f>
        <v/>
      </c>
      <c r="I236" s="182" t="str">
        <f aca="false">Scoring!CB243</f>
        <v/>
      </c>
    </row>
    <row r="237" customFormat="false" ht="15.75" hidden="false" customHeight="false" outlineLevel="0" collapsed="false">
      <c r="A237" s="7" t="str">
        <f aca="false">Scoring!CE244</f>
        <v/>
      </c>
      <c r="B237" s="7" t="str">
        <f aca="false">Scoring!CD244</f>
        <v/>
      </c>
      <c r="C237" s="7" t="n">
        <f aca="false">Scoring!C244</f>
        <v>0</v>
      </c>
      <c r="D237" s="181" t="str">
        <f aca="false">Scoring!CA244</f>
        <v/>
      </c>
      <c r="E237" s="7" t="str">
        <f aca="false">Scoring!BD244</f>
        <v/>
      </c>
      <c r="F237" s="7" t="n">
        <f aca="false">Scoring!B244</f>
        <v>0</v>
      </c>
      <c r="G237" s="7" t="n">
        <f aca="false">Scoring!D244</f>
        <v>0</v>
      </c>
      <c r="H237" s="7" t="str">
        <f aca="false">Scoring!CC244</f>
        <v/>
      </c>
      <c r="I237" s="182" t="str">
        <f aca="false">Scoring!CB244</f>
        <v/>
      </c>
    </row>
    <row r="238" customFormat="false" ht="15.75" hidden="false" customHeight="false" outlineLevel="0" collapsed="false">
      <c r="A238" s="7" t="str">
        <f aca="false">Scoring!CE245</f>
        <v/>
      </c>
      <c r="B238" s="7" t="str">
        <f aca="false">Scoring!CD245</f>
        <v/>
      </c>
      <c r="C238" s="7" t="n">
        <f aca="false">Scoring!C245</f>
        <v>0</v>
      </c>
      <c r="D238" s="181" t="str">
        <f aca="false">Scoring!CA245</f>
        <v/>
      </c>
      <c r="E238" s="7" t="str">
        <f aca="false">Scoring!BD245</f>
        <v/>
      </c>
      <c r="F238" s="7" t="n">
        <f aca="false">Scoring!B245</f>
        <v>0</v>
      </c>
      <c r="G238" s="7" t="n">
        <f aca="false">Scoring!D245</f>
        <v>0</v>
      </c>
      <c r="H238" s="7" t="str">
        <f aca="false">Scoring!CC245</f>
        <v/>
      </c>
      <c r="I238" s="182" t="str">
        <f aca="false">Scoring!CB245</f>
        <v/>
      </c>
    </row>
    <row r="239" customFormat="false" ht="15.75" hidden="false" customHeight="false" outlineLevel="0" collapsed="false">
      <c r="A239" s="7" t="str">
        <f aca="false">Scoring!CE246</f>
        <v/>
      </c>
      <c r="B239" s="7" t="str">
        <f aca="false">Scoring!CD246</f>
        <v/>
      </c>
      <c r="C239" s="7" t="n">
        <f aca="false">Scoring!C246</f>
        <v>0</v>
      </c>
      <c r="D239" s="181" t="str">
        <f aca="false">Scoring!CA246</f>
        <v/>
      </c>
      <c r="E239" s="7" t="str">
        <f aca="false">Scoring!BD246</f>
        <v/>
      </c>
      <c r="F239" s="7" t="n">
        <f aca="false">Scoring!B246</f>
        <v>0</v>
      </c>
      <c r="G239" s="7" t="n">
        <f aca="false">Scoring!D246</f>
        <v>0</v>
      </c>
      <c r="H239" s="7" t="str">
        <f aca="false">Scoring!CC246</f>
        <v/>
      </c>
      <c r="I239" s="182" t="str">
        <f aca="false">Scoring!CB246</f>
        <v/>
      </c>
    </row>
    <row r="240" customFormat="false" ht="15.75" hidden="false" customHeight="false" outlineLevel="0" collapsed="false">
      <c r="A240" s="7" t="str">
        <f aca="false">Scoring!CE247</f>
        <v/>
      </c>
      <c r="B240" s="7" t="str">
        <f aca="false">Scoring!CD247</f>
        <v/>
      </c>
      <c r="C240" s="7" t="n">
        <f aca="false">Scoring!C247</f>
        <v>0</v>
      </c>
      <c r="D240" s="181" t="str">
        <f aca="false">Scoring!CA247</f>
        <v/>
      </c>
      <c r="E240" s="7" t="str">
        <f aca="false">Scoring!BD247</f>
        <v/>
      </c>
      <c r="F240" s="7" t="n">
        <f aca="false">Scoring!B247</f>
        <v>0</v>
      </c>
      <c r="G240" s="7" t="n">
        <f aca="false">Scoring!D247</f>
        <v>0</v>
      </c>
      <c r="H240" s="7" t="str">
        <f aca="false">Scoring!CC247</f>
        <v/>
      </c>
      <c r="I240" s="182" t="str">
        <f aca="false">Scoring!CB247</f>
        <v/>
      </c>
    </row>
    <row r="241" customFormat="false" ht="15.75" hidden="false" customHeight="false" outlineLevel="0" collapsed="false">
      <c r="A241" s="7" t="str">
        <f aca="false">Scoring!CE248</f>
        <v/>
      </c>
      <c r="B241" s="7" t="str">
        <f aca="false">Scoring!CD248</f>
        <v/>
      </c>
      <c r="C241" s="7" t="n">
        <f aca="false">Scoring!C248</f>
        <v>0</v>
      </c>
      <c r="D241" s="181" t="str">
        <f aca="false">Scoring!CA248</f>
        <v/>
      </c>
      <c r="E241" s="7" t="str">
        <f aca="false">Scoring!BD248</f>
        <v/>
      </c>
      <c r="F241" s="7" t="n">
        <f aca="false">Scoring!B248</f>
        <v>0</v>
      </c>
      <c r="G241" s="7" t="n">
        <f aca="false">Scoring!D248</f>
        <v>0</v>
      </c>
      <c r="H241" s="7" t="str">
        <f aca="false">Scoring!CC248</f>
        <v/>
      </c>
      <c r="I241" s="182" t="str">
        <f aca="false">Scoring!CB248</f>
        <v/>
      </c>
    </row>
    <row r="242" customFormat="false" ht="15.75" hidden="false" customHeight="false" outlineLevel="0" collapsed="false">
      <c r="A242" s="7" t="str">
        <f aca="false">Scoring!CE249</f>
        <v/>
      </c>
      <c r="B242" s="7" t="str">
        <f aca="false">Scoring!CD249</f>
        <v/>
      </c>
      <c r="C242" s="7" t="n">
        <f aca="false">Scoring!C249</f>
        <v>0</v>
      </c>
      <c r="D242" s="181" t="str">
        <f aca="false">Scoring!CA249</f>
        <v/>
      </c>
      <c r="E242" s="7" t="str">
        <f aca="false">Scoring!BD249</f>
        <v/>
      </c>
      <c r="F242" s="7" t="n">
        <f aca="false">Scoring!B249</f>
        <v>0</v>
      </c>
      <c r="G242" s="7" t="n">
        <f aca="false">Scoring!D249</f>
        <v>0</v>
      </c>
      <c r="H242" s="7" t="str">
        <f aca="false">Scoring!CC249</f>
        <v/>
      </c>
      <c r="I242" s="182" t="str">
        <f aca="false">Scoring!CB249</f>
        <v/>
      </c>
    </row>
    <row r="243" customFormat="false" ht="15.75" hidden="false" customHeight="false" outlineLevel="0" collapsed="false">
      <c r="A243" s="7" t="str">
        <f aca="false">Scoring!CE250</f>
        <v/>
      </c>
      <c r="B243" s="7" t="str">
        <f aca="false">Scoring!CD250</f>
        <v/>
      </c>
      <c r="C243" s="7" t="n">
        <f aca="false">Scoring!C250</f>
        <v>0</v>
      </c>
      <c r="D243" s="181" t="str">
        <f aca="false">Scoring!CA250</f>
        <v/>
      </c>
      <c r="E243" s="7" t="str">
        <f aca="false">Scoring!BD250</f>
        <v/>
      </c>
      <c r="F243" s="7" t="n">
        <f aca="false">Scoring!B250</f>
        <v>0</v>
      </c>
      <c r="G243" s="7" t="n">
        <f aca="false">Scoring!D250</f>
        <v>0</v>
      </c>
      <c r="H243" s="7" t="str">
        <f aca="false">Scoring!CC250</f>
        <v/>
      </c>
      <c r="I243" s="182" t="str">
        <f aca="false">Scoring!CB250</f>
        <v/>
      </c>
    </row>
    <row r="244" customFormat="false" ht="15.75" hidden="false" customHeight="false" outlineLevel="0" collapsed="false">
      <c r="A244" s="7" t="str">
        <f aca="false">Scoring!CE251</f>
        <v/>
      </c>
      <c r="B244" s="7" t="str">
        <f aca="false">Scoring!CD251</f>
        <v/>
      </c>
      <c r="C244" s="7" t="n">
        <f aca="false">Scoring!C251</f>
        <v>0</v>
      </c>
      <c r="D244" s="181" t="str">
        <f aca="false">Scoring!CA251</f>
        <v/>
      </c>
      <c r="E244" s="7" t="str">
        <f aca="false">Scoring!BD251</f>
        <v/>
      </c>
      <c r="F244" s="7" t="n">
        <f aca="false">Scoring!B251</f>
        <v>0</v>
      </c>
      <c r="G244" s="7" t="n">
        <f aca="false">Scoring!D251</f>
        <v>0</v>
      </c>
      <c r="H244" s="7" t="str">
        <f aca="false">Scoring!CC251</f>
        <v/>
      </c>
      <c r="I244" s="182" t="str">
        <f aca="false">Scoring!CB251</f>
        <v/>
      </c>
    </row>
    <row r="245" customFormat="false" ht="15.75" hidden="false" customHeight="false" outlineLevel="0" collapsed="false">
      <c r="A245" s="7" t="str">
        <f aca="false">Scoring!CE252</f>
        <v/>
      </c>
      <c r="B245" s="7" t="str">
        <f aca="false">Scoring!CD252</f>
        <v/>
      </c>
      <c r="C245" s="7" t="n">
        <f aca="false">Scoring!C252</f>
        <v>0</v>
      </c>
      <c r="D245" s="181" t="str">
        <f aca="false">Scoring!CA252</f>
        <v/>
      </c>
      <c r="E245" s="7" t="str">
        <f aca="false">Scoring!BD252</f>
        <v/>
      </c>
      <c r="F245" s="7" t="n">
        <f aca="false">Scoring!B252</f>
        <v>0</v>
      </c>
      <c r="G245" s="7" t="n">
        <f aca="false">Scoring!D252</f>
        <v>0</v>
      </c>
      <c r="H245" s="7" t="str">
        <f aca="false">Scoring!CC252</f>
        <v/>
      </c>
      <c r="I245" s="182" t="str">
        <f aca="false">Scoring!CB252</f>
        <v/>
      </c>
    </row>
    <row r="246" customFormat="false" ht="15.75" hidden="false" customHeight="false" outlineLevel="0" collapsed="false">
      <c r="A246" s="7" t="str">
        <f aca="false">Scoring!CE253</f>
        <v/>
      </c>
      <c r="B246" s="7" t="str">
        <f aca="false">Scoring!CD253</f>
        <v/>
      </c>
      <c r="C246" s="7" t="n">
        <f aca="false">Scoring!C253</f>
        <v>0</v>
      </c>
      <c r="D246" s="181" t="str">
        <f aca="false">Scoring!CA253</f>
        <v/>
      </c>
      <c r="E246" s="7" t="str">
        <f aca="false">Scoring!BD253</f>
        <v/>
      </c>
      <c r="F246" s="7" t="n">
        <f aca="false">Scoring!B253</f>
        <v>0</v>
      </c>
      <c r="G246" s="7" t="n">
        <f aca="false">Scoring!D253</f>
        <v>0</v>
      </c>
      <c r="H246" s="7" t="str">
        <f aca="false">Scoring!CC253</f>
        <v/>
      </c>
      <c r="I246" s="182" t="str">
        <f aca="false">Scoring!CB253</f>
        <v/>
      </c>
    </row>
    <row r="247" customFormat="false" ht="15.75" hidden="false" customHeight="false" outlineLevel="0" collapsed="false">
      <c r="A247" s="7" t="str">
        <f aca="false">Scoring!CE254</f>
        <v/>
      </c>
      <c r="B247" s="7" t="str">
        <f aca="false">Scoring!CD254</f>
        <v/>
      </c>
      <c r="C247" s="7" t="n">
        <f aca="false">Scoring!C254</f>
        <v>0</v>
      </c>
      <c r="D247" s="181" t="str">
        <f aca="false">Scoring!CA254</f>
        <v/>
      </c>
      <c r="E247" s="7" t="str">
        <f aca="false">Scoring!BD254</f>
        <v/>
      </c>
      <c r="F247" s="7" t="n">
        <f aca="false">Scoring!B254</f>
        <v>0</v>
      </c>
      <c r="G247" s="7" t="n">
        <f aca="false">Scoring!D254</f>
        <v>0</v>
      </c>
      <c r="H247" s="7" t="str">
        <f aca="false">Scoring!CC254</f>
        <v/>
      </c>
      <c r="I247" s="182" t="str">
        <f aca="false">Scoring!CB254</f>
        <v/>
      </c>
    </row>
    <row r="248" customFormat="false" ht="15.75" hidden="false" customHeight="false" outlineLevel="0" collapsed="false">
      <c r="A248" s="7" t="str">
        <f aca="false">Scoring!CE255</f>
        <v/>
      </c>
      <c r="B248" s="7" t="str">
        <f aca="false">Scoring!CD255</f>
        <v/>
      </c>
      <c r="C248" s="7" t="n">
        <f aca="false">Scoring!C255</f>
        <v>0</v>
      </c>
      <c r="D248" s="181" t="str">
        <f aca="false">Scoring!CA255</f>
        <v/>
      </c>
      <c r="E248" s="7" t="str">
        <f aca="false">Scoring!BD255</f>
        <v/>
      </c>
      <c r="F248" s="7" t="n">
        <f aca="false">Scoring!B255</f>
        <v>0</v>
      </c>
      <c r="G248" s="7" t="n">
        <f aca="false">Scoring!D255</f>
        <v>0</v>
      </c>
      <c r="H248" s="7" t="str">
        <f aca="false">Scoring!CC255</f>
        <v/>
      </c>
      <c r="I248" s="182" t="str">
        <f aca="false">Scoring!CB255</f>
        <v/>
      </c>
    </row>
    <row r="249" customFormat="false" ht="15.75" hidden="false" customHeight="false" outlineLevel="0" collapsed="false">
      <c r="A249" s="7" t="str">
        <f aca="false">Scoring!CE256</f>
        <v/>
      </c>
      <c r="B249" s="7" t="str">
        <f aca="false">Scoring!CD256</f>
        <v/>
      </c>
      <c r="C249" s="7" t="n">
        <f aca="false">Scoring!C256</f>
        <v>0</v>
      </c>
      <c r="D249" s="181" t="str">
        <f aca="false">Scoring!CA256</f>
        <v/>
      </c>
      <c r="E249" s="7" t="str">
        <f aca="false">Scoring!BD256</f>
        <v/>
      </c>
      <c r="F249" s="7" t="n">
        <f aca="false">Scoring!B256</f>
        <v>0</v>
      </c>
      <c r="G249" s="7" t="n">
        <f aca="false">Scoring!D256</f>
        <v>0</v>
      </c>
      <c r="H249" s="7" t="str">
        <f aca="false">Scoring!CC256</f>
        <v/>
      </c>
      <c r="I249" s="182" t="str">
        <f aca="false">Scoring!CB256</f>
        <v/>
      </c>
    </row>
    <row r="250" customFormat="false" ht="15.75" hidden="false" customHeight="false" outlineLevel="0" collapsed="false">
      <c r="A250" s="7" t="str">
        <f aca="false">Scoring!CE257</f>
        <v/>
      </c>
      <c r="B250" s="7" t="str">
        <f aca="false">Scoring!CD257</f>
        <v/>
      </c>
      <c r="C250" s="7" t="n">
        <f aca="false">Scoring!C257</f>
        <v>0</v>
      </c>
      <c r="D250" s="181" t="str">
        <f aca="false">Scoring!CA257</f>
        <v/>
      </c>
      <c r="E250" s="7" t="str">
        <f aca="false">Scoring!BD257</f>
        <v/>
      </c>
      <c r="F250" s="7" t="n">
        <f aca="false">Scoring!B257</f>
        <v>0</v>
      </c>
      <c r="G250" s="7" t="n">
        <f aca="false">Scoring!D257</f>
        <v>0</v>
      </c>
      <c r="H250" s="7" t="str">
        <f aca="false">Scoring!CC257</f>
        <v/>
      </c>
      <c r="I250" s="182" t="str">
        <f aca="false">Scoring!CB257</f>
        <v/>
      </c>
    </row>
    <row r="251" customFormat="false" ht="15.75" hidden="false" customHeight="false" outlineLevel="0" collapsed="false">
      <c r="A251" s="7" t="str">
        <f aca="false">Scoring!CE258</f>
        <v/>
      </c>
      <c r="B251" s="7" t="str">
        <f aca="false">Scoring!CD258</f>
        <v/>
      </c>
      <c r="C251" s="7" t="n">
        <f aca="false">Scoring!C258</f>
        <v>0</v>
      </c>
      <c r="D251" s="181" t="str">
        <f aca="false">Scoring!CA258</f>
        <v/>
      </c>
      <c r="E251" s="7" t="str">
        <f aca="false">Scoring!BD258</f>
        <v/>
      </c>
      <c r="F251" s="7" t="n">
        <f aca="false">Scoring!B258</f>
        <v>0</v>
      </c>
      <c r="G251" s="7" t="n">
        <f aca="false">Scoring!D258</f>
        <v>0</v>
      </c>
      <c r="H251" s="7" t="str">
        <f aca="false">Scoring!CC258</f>
        <v/>
      </c>
      <c r="I251" s="182" t="str">
        <f aca="false">Scoring!CB258</f>
        <v/>
      </c>
    </row>
    <row r="252" customFormat="false" ht="15.75" hidden="false" customHeight="false" outlineLevel="0" collapsed="false">
      <c r="A252" s="7" t="str">
        <f aca="false">Scoring!CE259</f>
        <v/>
      </c>
      <c r="B252" s="7" t="str">
        <f aca="false">Scoring!CD259</f>
        <v/>
      </c>
      <c r="C252" s="7" t="n">
        <f aca="false">Scoring!C259</f>
        <v>0</v>
      </c>
      <c r="D252" s="181" t="str">
        <f aca="false">Scoring!CA259</f>
        <v/>
      </c>
      <c r="E252" s="7" t="str">
        <f aca="false">Scoring!BD259</f>
        <v/>
      </c>
      <c r="F252" s="7" t="n">
        <f aca="false">Scoring!B259</f>
        <v>0</v>
      </c>
      <c r="G252" s="7" t="n">
        <f aca="false">Scoring!D259</f>
        <v>0</v>
      </c>
      <c r="H252" s="7" t="str">
        <f aca="false">Scoring!CC259</f>
        <v/>
      </c>
      <c r="I252" s="182" t="str">
        <f aca="false">Scoring!CB259</f>
        <v/>
      </c>
    </row>
    <row r="253" customFormat="false" ht="15.75" hidden="false" customHeight="false" outlineLevel="0" collapsed="false">
      <c r="A253" s="7" t="str">
        <f aca="false">Scoring!CE260</f>
        <v/>
      </c>
      <c r="B253" s="7" t="str">
        <f aca="false">Scoring!CD260</f>
        <v/>
      </c>
      <c r="C253" s="7" t="n">
        <f aca="false">Scoring!C260</f>
        <v>0</v>
      </c>
      <c r="D253" s="181" t="str">
        <f aca="false">Scoring!CA260</f>
        <v/>
      </c>
      <c r="E253" s="7" t="str">
        <f aca="false">Scoring!BD260</f>
        <v/>
      </c>
      <c r="F253" s="7" t="n">
        <f aca="false">Scoring!B260</f>
        <v>0</v>
      </c>
      <c r="G253" s="7" t="n">
        <f aca="false">Scoring!D260</f>
        <v>0</v>
      </c>
      <c r="H253" s="7" t="str">
        <f aca="false">Scoring!CC260</f>
        <v/>
      </c>
      <c r="I253" s="182" t="str">
        <f aca="false">Scoring!CB260</f>
        <v/>
      </c>
    </row>
    <row r="254" customFormat="false" ht="15.75" hidden="false" customHeight="false" outlineLevel="0" collapsed="false">
      <c r="A254" s="7" t="str">
        <f aca="false">Scoring!CE261</f>
        <v/>
      </c>
      <c r="B254" s="7" t="str">
        <f aca="false">Scoring!CD261</f>
        <v/>
      </c>
      <c r="C254" s="7" t="n">
        <f aca="false">Scoring!C261</f>
        <v>0</v>
      </c>
      <c r="D254" s="181" t="str">
        <f aca="false">Scoring!CA261</f>
        <v/>
      </c>
      <c r="E254" s="7" t="str">
        <f aca="false">Scoring!BD261</f>
        <v/>
      </c>
      <c r="F254" s="7" t="n">
        <f aca="false">Scoring!B261</f>
        <v>0</v>
      </c>
      <c r="G254" s="7" t="n">
        <f aca="false">Scoring!D261</f>
        <v>0</v>
      </c>
      <c r="H254" s="7" t="str">
        <f aca="false">Scoring!CC261</f>
        <v/>
      </c>
      <c r="I254" s="182" t="str">
        <f aca="false">Scoring!CB261</f>
        <v/>
      </c>
    </row>
    <row r="255" customFormat="false" ht="15.75" hidden="false" customHeight="false" outlineLevel="0" collapsed="false">
      <c r="A255" s="7" t="str">
        <f aca="false">Scoring!CE262</f>
        <v/>
      </c>
      <c r="B255" s="7" t="str">
        <f aca="false">Scoring!CD262</f>
        <v/>
      </c>
      <c r="C255" s="7" t="n">
        <f aca="false">Scoring!C262</f>
        <v>0</v>
      </c>
      <c r="D255" s="181" t="str">
        <f aca="false">Scoring!CA262</f>
        <v/>
      </c>
      <c r="E255" s="7" t="str">
        <f aca="false">Scoring!BD262</f>
        <v/>
      </c>
      <c r="F255" s="7" t="n">
        <f aca="false">Scoring!B262</f>
        <v>0</v>
      </c>
      <c r="G255" s="7" t="n">
        <f aca="false">Scoring!D262</f>
        <v>0</v>
      </c>
      <c r="H255" s="7" t="str">
        <f aca="false">Scoring!CC262</f>
        <v/>
      </c>
      <c r="I255" s="182" t="str">
        <f aca="false">Scoring!CB262</f>
        <v/>
      </c>
    </row>
    <row r="256" customFormat="false" ht="15.75" hidden="false" customHeight="false" outlineLevel="0" collapsed="false">
      <c r="A256" s="7" t="str">
        <f aca="false">Scoring!CE263</f>
        <v/>
      </c>
      <c r="B256" s="7" t="str">
        <f aca="false">Scoring!CD263</f>
        <v/>
      </c>
      <c r="C256" s="7" t="n">
        <f aca="false">Scoring!C263</f>
        <v>0</v>
      </c>
      <c r="D256" s="181" t="str">
        <f aca="false">Scoring!CA263</f>
        <v/>
      </c>
      <c r="E256" s="7" t="str">
        <f aca="false">Scoring!BD263</f>
        <v/>
      </c>
      <c r="F256" s="7" t="n">
        <f aca="false">Scoring!B263</f>
        <v>0</v>
      </c>
      <c r="G256" s="7" t="n">
        <f aca="false">Scoring!D263</f>
        <v>0</v>
      </c>
      <c r="H256" s="7" t="str">
        <f aca="false">Scoring!CC263</f>
        <v/>
      </c>
      <c r="I256" s="182" t="str">
        <f aca="false">Scoring!CB263</f>
        <v/>
      </c>
    </row>
    <row r="257" customFormat="false" ht="15.75" hidden="false" customHeight="false" outlineLevel="0" collapsed="false">
      <c r="A257" s="7" t="str">
        <f aca="false">Scoring!CE264</f>
        <v/>
      </c>
      <c r="B257" s="7" t="str">
        <f aca="false">Scoring!CD264</f>
        <v/>
      </c>
      <c r="C257" s="7" t="n">
        <f aca="false">Scoring!C264</f>
        <v>0</v>
      </c>
      <c r="D257" s="181" t="str">
        <f aca="false">Scoring!CA264</f>
        <v/>
      </c>
      <c r="E257" s="7" t="str">
        <f aca="false">Scoring!BD264</f>
        <v/>
      </c>
      <c r="F257" s="7" t="n">
        <f aca="false">Scoring!B264</f>
        <v>0</v>
      </c>
      <c r="G257" s="7" t="n">
        <f aca="false">Scoring!D264</f>
        <v>0</v>
      </c>
      <c r="H257" s="7" t="str">
        <f aca="false">Scoring!CC264</f>
        <v/>
      </c>
      <c r="I257" s="182" t="str">
        <f aca="false">Scoring!CB264</f>
        <v/>
      </c>
    </row>
    <row r="258" customFormat="false" ht="15.75" hidden="false" customHeight="false" outlineLevel="0" collapsed="false">
      <c r="A258" s="7" t="str">
        <f aca="false">Scoring!CE265</f>
        <v/>
      </c>
      <c r="B258" s="7" t="str">
        <f aca="false">Scoring!CD265</f>
        <v/>
      </c>
      <c r="C258" s="7" t="n">
        <f aca="false">Scoring!C265</f>
        <v>0</v>
      </c>
      <c r="D258" s="181" t="str">
        <f aca="false">Scoring!CA265</f>
        <v/>
      </c>
      <c r="E258" s="7" t="str">
        <f aca="false">Scoring!BD265</f>
        <v/>
      </c>
      <c r="F258" s="7" t="n">
        <f aca="false">Scoring!B265</f>
        <v>0</v>
      </c>
      <c r="G258" s="7" t="n">
        <f aca="false">Scoring!D265</f>
        <v>0</v>
      </c>
      <c r="H258" s="7" t="str">
        <f aca="false">Scoring!CC265</f>
        <v/>
      </c>
      <c r="I258" s="182" t="str">
        <f aca="false">Scoring!CB265</f>
        <v/>
      </c>
    </row>
    <row r="259" customFormat="false" ht="15.75" hidden="false" customHeight="false" outlineLevel="0" collapsed="false">
      <c r="A259" s="7" t="str">
        <f aca="false">Scoring!CE266</f>
        <v/>
      </c>
      <c r="B259" s="7" t="str">
        <f aca="false">Scoring!CD266</f>
        <v/>
      </c>
      <c r="C259" s="7" t="n">
        <f aca="false">Scoring!C266</f>
        <v>0</v>
      </c>
      <c r="D259" s="181" t="str">
        <f aca="false">Scoring!CA266</f>
        <v/>
      </c>
      <c r="E259" s="7" t="str">
        <f aca="false">Scoring!BD266</f>
        <v/>
      </c>
      <c r="F259" s="7" t="n">
        <f aca="false">Scoring!B266</f>
        <v>0</v>
      </c>
      <c r="G259" s="7" t="n">
        <f aca="false">Scoring!D266</f>
        <v>0</v>
      </c>
      <c r="H259" s="7" t="str">
        <f aca="false">Scoring!CC266</f>
        <v/>
      </c>
      <c r="I259" s="182" t="str">
        <f aca="false">Scoring!CB266</f>
        <v/>
      </c>
    </row>
    <row r="260" customFormat="false" ht="15.75" hidden="false" customHeight="false" outlineLevel="0" collapsed="false">
      <c r="A260" s="7" t="str">
        <f aca="false">Scoring!CE267</f>
        <v/>
      </c>
      <c r="B260" s="7" t="str">
        <f aca="false">Scoring!CD267</f>
        <v/>
      </c>
      <c r="C260" s="7" t="n">
        <f aca="false">Scoring!C267</f>
        <v>0</v>
      </c>
      <c r="D260" s="181" t="str">
        <f aca="false">Scoring!CA267</f>
        <v/>
      </c>
      <c r="E260" s="7" t="str">
        <f aca="false">Scoring!BD267</f>
        <v/>
      </c>
      <c r="F260" s="7" t="n">
        <f aca="false">Scoring!B267</f>
        <v>0</v>
      </c>
      <c r="G260" s="7" t="n">
        <f aca="false">Scoring!D267</f>
        <v>0</v>
      </c>
      <c r="H260" s="7" t="str">
        <f aca="false">Scoring!CC267</f>
        <v/>
      </c>
      <c r="I260" s="182" t="str">
        <f aca="false">Scoring!CB267</f>
        <v/>
      </c>
    </row>
    <row r="261" customFormat="false" ht="15.75" hidden="false" customHeight="false" outlineLevel="0" collapsed="false">
      <c r="A261" s="7" t="str">
        <f aca="false">Scoring!CE268</f>
        <v/>
      </c>
      <c r="B261" s="7" t="str">
        <f aca="false">Scoring!CD268</f>
        <v/>
      </c>
      <c r="C261" s="7" t="n">
        <f aca="false">Scoring!C268</f>
        <v>0</v>
      </c>
      <c r="D261" s="181" t="str">
        <f aca="false">Scoring!CA268</f>
        <v/>
      </c>
      <c r="E261" s="7" t="str">
        <f aca="false">Scoring!BD268</f>
        <v/>
      </c>
      <c r="F261" s="7" t="n">
        <f aca="false">Scoring!B268</f>
        <v>0</v>
      </c>
      <c r="G261" s="7" t="n">
        <f aca="false">Scoring!D268</f>
        <v>0</v>
      </c>
      <c r="H261" s="7" t="str">
        <f aca="false">Scoring!CC268</f>
        <v/>
      </c>
      <c r="I261" s="182" t="str">
        <f aca="false">Scoring!CB268</f>
        <v/>
      </c>
    </row>
    <row r="262" customFormat="false" ht="15.75" hidden="false" customHeight="false" outlineLevel="0" collapsed="false">
      <c r="A262" s="7" t="str">
        <f aca="false">Scoring!CE269</f>
        <v/>
      </c>
      <c r="B262" s="7" t="str">
        <f aca="false">Scoring!CD269</f>
        <v/>
      </c>
      <c r="C262" s="7" t="n">
        <f aca="false">Scoring!C269</f>
        <v>0</v>
      </c>
      <c r="D262" s="181" t="str">
        <f aca="false">Scoring!CA269</f>
        <v/>
      </c>
      <c r="E262" s="7" t="str">
        <f aca="false">Scoring!BD269</f>
        <v/>
      </c>
      <c r="F262" s="7" t="n">
        <f aca="false">Scoring!B269</f>
        <v>0</v>
      </c>
      <c r="G262" s="7" t="n">
        <f aca="false">Scoring!D269</f>
        <v>0</v>
      </c>
      <c r="H262" s="7" t="str">
        <f aca="false">Scoring!CC269</f>
        <v/>
      </c>
      <c r="I262" s="182" t="str">
        <f aca="false">Scoring!CB269</f>
        <v/>
      </c>
    </row>
    <row r="263" customFormat="false" ht="15.75" hidden="false" customHeight="false" outlineLevel="0" collapsed="false">
      <c r="A263" s="7" t="str">
        <f aca="false">Scoring!CE270</f>
        <v/>
      </c>
      <c r="B263" s="7" t="str">
        <f aca="false">Scoring!CD270</f>
        <v/>
      </c>
      <c r="C263" s="7" t="n">
        <f aca="false">Scoring!C270</f>
        <v>0</v>
      </c>
      <c r="D263" s="181" t="str">
        <f aca="false">Scoring!CA270</f>
        <v/>
      </c>
      <c r="E263" s="7" t="str">
        <f aca="false">Scoring!BD270</f>
        <v/>
      </c>
      <c r="F263" s="7" t="n">
        <f aca="false">Scoring!B270</f>
        <v>0</v>
      </c>
      <c r="G263" s="7" t="n">
        <f aca="false">Scoring!D270</f>
        <v>0</v>
      </c>
      <c r="H263" s="7" t="str">
        <f aca="false">Scoring!CC270</f>
        <v/>
      </c>
      <c r="I263" s="182" t="str">
        <f aca="false">Scoring!CB270</f>
        <v/>
      </c>
    </row>
    <row r="264" customFormat="false" ht="15.75" hidden="false" customHeight="false" outlineLevel="0" collapsed="false">
      <c r="A264" s="7" t="str">
        <f aca="false">Scoring!CE271</f>
        <v/>
      </c>
      <c r="B264" s="7" t="str">
        <f aca="false">Scoring!CD271</f>
        <v/>
      </c>
      <c r="C264" s="7" t="n">
        <f aca="false">Scoring!C271</f>
        <v>0</v>
      </c>
      <c r="D264" s="181" t="str">
        <f aca="false">Scoring!CA271</f>
        <v/>
      </c>
      <c r="E264" s="7" t="str">
        <f aca="false">Scoring!BD271</f>
        <v/>
      </c>
      <c r="F264" s="7" t="n">
        <f aca="false">Scoring!B271</f>
        <v>0</v>
      </c>
      <c r="G264" s="7" t="n">
        <f aca="false">Scoring!D271</f>
        <v>0</v>
      </c>
      <c r="H264" s="7" t="str">
        <f aca="false">Scoring!CC271</f>
        <v/>
      </c>
      <c r="I264" s="182" t="str">
        <f aca="false">Scoring!CB271</f>
        <v/>
      </c>
    </row>
    <row r="265" customFormat="false" ht="15.75" hidden="false" customHeight="false" outlineLevel="0" collapsed="false">
      <c r="A265" s="7" t="str">
        <f aca="false">Scoring!CE272</f>
        <v/>
      </c>
      <c r="B265" s="7" t="str">
        <f aca="false">Scoring!CD272</f>
        <v/>
      </c>
      <c r="C265" s="7" t="n">
        <f aca="false">Scoring!C272</f>
        <v>0</v>
      </c>
      <c r="D265" s="181" t="str">
        <f aca="false">Scoring!CA272</f>
        <v/>
      </c>
      <c r="E265" s="7" t="str">
        <f aca="false">Scoring!BD272</f>
        <v/>
      </c>
      <c r="F265" s="7" t="n">
        <f aca="false">Scoring!B272</f>
        <v>0</v>
      </c>
      <c r="G265" s="7" t="n">
        <f aca="false">Scoring!D272</f>
        <v>0</v>
      </c>
      <c r="H265" s="7" t="str">
        <f aca="false">Scoring!CC272</f>
        <v/>
      </c>
      <c r="I265" s="182" t="str">
        <f aca="false">Scoring!CB272</f>
        <v/>
      </c>
    </row>
    <row r="266" customFormat="false" ht="15.75" hidden="false" customHeight="false" outlineLevel="0" collapsed="false">
      <c r="A266" s="7" t="str">
        <f aca="false">Scoring!CE273</f>
        <v/>
      </c>
      <c r="B266" s="7" t="str">
        <f aca="false">Scoring!CD273</f>
        <v/>
      </c>
      <c r="C266" s="7" t="n">
        <f aca="false">Scoring!C273</f>
        <v>0</v>
      </c>
      <c r="D266" s="181" t="str">
        <f aca="false">Scoring!CA273</f>
        <v/>
      </c>
      <c r="E266" s="7" t="str">
        <f aca="false">Scoring!BD273</f>
        <v/>
      </c>
      <c r="F266" s="7" t="n">
        <f aca="false">Scoring!B273</f>
        <v>0</v>
      </c>
      <c r="G266" s="7" t="n">
        <f aca="false">Scoring!D273</f>
        <v>0</v>
      </c>
      <c r="H266" s="7" t="str">
        <f aca="false">Scoring!CC273</f>
        <v/>
      </c>
      <c r="I266" s="182" t="str">
        <f aca="false">Scoring!CB273</f>
        <v/>
      </c>
    </row>
    <row r="267" customFormat="false" ht="15.75" hidden="false" customHeight="false" outlineLevel="0" collapsed="false">
      <c r="A267" s="7" t="str">
        <f aca="false">Scoring!CE274</f>
        <v/>
      </c>
      <c r="B267" s="7" t="str">
        <f aca="false">Scoring!CD274</f>
        <v/>
      </c>
      <c r="C267" s="7" t="n">
        <f aca="false">Scoring!C274</f>
        <v>0</v>
      </c>
      <c r="D267" s="181" t="str">
        <f aca="false">Scoring!CA274</f>
        <v/>
      </c>
      <c r="E267" s="7" t="str">
        <f aca="false">Scoring!BD274</f>
        <v/>
      </c>
      <c r="F267" s="7" t="n">
        <f aca="false">Scoring!B274</f>
        <v>0</v>
      </c>
      <c r="G267" s="7" t="n">
        <f aca="false">Scoring!D274</f>
        <v>0</v>
      </c>
      <c r="H267" s="7" t="str">
        <f aca="false">Scoring!CC274</f>
        <v/>
      </c>
      <c r="I267" s="182" t="str">
        <f aca="false">Scoring!CB274</f>
        <v/>
      </c>
    </row>
    <row r="268" customFormat="false" ht="15.75" hidden="false" customHeight="false" outlineLevel="0" collapsed="false">
      <c r="A268" s="7" t="str">
        <f aca="false">Scoring!CE275</f>
        <v/>
      </c>
      <c r="B268" s="7" t="str">
        <f aca="false">Scoring!CD275</f>
        <v/>
      </c>
      <c r="C268" s="7" t="n">
        <f aca="false">Scoring!C275</f>
        <v>0</v>
      </c>
      <c r="D268" s="181" t="str">
        <f aca="false">Scoring!CA275</f>
        <v/>
      </c>
      <c r="E268" s="7" t="str">
        <f aca="false">Scoring!BD275</f>
        <v/>
      </c>
      <c r="F268" s="7" t="n">
        <f aca="false">Scoring!B275</f>
        <v>0</v>
      </c>
      <c r="G268" s="7" t="n">
        <f aca="false">Scoring!D275</f>
        <v>0</v>
      </c>
      <c r="H268" s="7" t="str">
        <f aca="false">Scoring!CC275</f>
        <v/>
      </c>
      <c r="I268" s="182" t="str">
        <f aca="false">Scoring!CB275</f>
        <v/>
      </c>
    </row>
    <row r="269" customFormat="false" ht="15.75" hidden="false" customHeight="false" outlineLevel="0" collapsed="false">
      <c r="A269" s="7" t="str">
        <f aca="false">Scoring!CE276</f>
        <v/>
      </c>
      <c r="B269" s="7" t="str">
        <f aca="false">Scoring!CD276</f>
        <v/>
      </c>
      <c r="C269" s="7" t="n">
        <f aca="false">Scoring!C276</f>
        <v>0</v>
      </c>
      <c r="D269" s="181" t="str">
        <f aca="false">Scoring!CA276</f>
        <v/>
      </c>
      <c r="E269" s="7" t="str">
        <f aca="false">Scoring!BD276</f>
        <v/>
      </c>
      <c r="F269" s="7" t="n">
        <f aca="false">Scoring!B276</f>
        <v>0</v>
      </c>
      <c r="G269" s="7" t="n">
        <f aca="false">Scoring!D276</f>
        <v>0</v>
      </c>
      <c r="H269" s="7" t="str">
        <f aca="false">Scoring!CC276</f>
        <v/>
      </c>
      <c r="I269" s="182" t="str">
        <f aca="false">Scoring!CB276</f>
        <v/>
      </c>
    </row>
    <row r="270" customFormat="false" ht="15.75" hidden="false" customHeight="false" outlineLevel="0" collapsed="false">
      <c r="A270" s="7" t="str">
        <f aca="false">Scoring!CE277</f>
        <v/>
      </c>
      <c r="B270" s="7" t="str">
        <f aca="false">Scoring!CD277</f>
        <v/>
      </c>
      <c r="C270" s="7" t="n">
        <f aca="false">Scoring!C277</f>
        <v>0</v>
      </c>
      <c r="D270" s="181" t="str">
        <f aca="false">Scoring!CA277</f>
        <v/>
      </c>
      <c r="E270" s="7" t="str">
        <f aca="false">Scoring!BD277</f>
        <v/>
      </c>
      <c r="F270" s="7" t="n">
        <f aca="false">Scoring!B277</f>
        <v>0</v>
      </c>
      <c r="G270" s="7" t="n">
        <f aca="false">Scoring!D277</f>
        <v>0</v>
      </c>
      <c r="H270" s="7" t="str">
        <f aca="false">Scoring!CC277</f>
        <v/>
      </c>
      <c r="I270" s="182" t="str">
        <f aca="false">Scoring!CB277</f>
        <v/>
      </c>
    </row>
    <row r="271" customFormat="false" ht="15.75" hidden="false" customHeight="false" outlineLevel="0" collapsed="false">
      <c r="A271" s="7" t="str">
        <f aca="false">Scoring!CE278</f>
        <v/>
      </c>
      <c r="B271" s="7" t="str">
        <f aca="false">Scoring!CD278</f>
        <v/>
      </c>
      <c r="C271" s="7" t="n">
        <f aca="false">Scoring!C278</f>
        <v>0</v>
      </c>
      <c r="D271" s="181" t="str">
        <f aca="false">Scoring!CA278</f>
        <v/>
      </c>
      <c r="E271" s="7" t="str">
        <f aca="false">Scoring!BD278</f>
        <v/>
      </c>
      <c r="F271" s="7" t="n">
        <f aca="false">Scoring!B278</f>
        <v>0</v>
      </c>
      <c r="G271" s="7" t="n">
        <f aca="false">Scoring!D278</f>
        <v>0</v>
      </c>
      <c r="H271" s="7" t="str">
        <f aca="false">Scoring!CC278</f>
        <v/>
      </c>
      <c r="I271" s="182" t="str">
        <f aca="false">Scoring!CB278</f>
        <v/>
      </c>
    </row>
    <row r="272" customFormat="false" ht="15.75" hidden="false" customHeight="false" outlineLevel="0" collapsed="false">
      <c r="A272" s="7" t="str">
        <f aca="false">Scoring!CE279</f>
        <v/>
      </c>
      <c r="B272" s="7" t="str">
        <f aca="false">Scoring!CD279</f>
        <v/>
      </c>
      <c r="C272" s="7" t="n">
        <f aca="false">Scoring!C279</f>
        <v>0</v>
      </c>
      <c r="D272" s="181" t="str">
        <f aca="false">Scoring!CA279</f>
        <v/>
      </c>
      <c r="E272" s="7" t="str">
        <f aca="false">Scoring!BD279</f>
        <v/>
      </c>
      <c r="F272" s="7" t="n">
        <f aca="false">Scoring!B279</f>
        <v>0</v>
      </c>
      <c r="G272" s="7" t="n">
        <f aca="false">Scoring!D279</f>
        <v>0</v>
      </c>
      <c r="H272" s="7" t="str">
        <f aca="false">Scoring!CC279</f>
        <v/>
      </c>
      <c r="I272" s="182" t="str">
        <f aca="false">Scoring!CB279</f>
        <v/>
      </c>
    </row>
    <row r="273" customFormat="false" ht="15.75" hidden="false" customHeight="false" outlineLevel="0" collapsed="false">
      <c r="A273" s="7" t="str">
        <f aca="false">Scoring!CE280</f>
        <v/>
      </c>
      <c r="B273" s="7" t="str">
        <f aca="false">Scoring!CD280</f>
        <v/>
      </c>
      <c r="C273" s="7" t="n">
        <f aca="false">Scoring!C280</f>
        <v>0</v>
      </c>
      <c r="D273" s="181" t="str">
        <f aca="false">Scoring!CA280</f>
        <v/>
      </c>
      <c r="E273" s="7" t="str">
        <f aca="false">Scoring!BD280</f>
        <v/>
      </c>
      <c r="F273" s="7" t="n">
        <f aca="false">Scoring!B280</f>
        <v>0</v>
      </c>
      <c r="G273" s="7" t="n">
        <f aca="false">Scoring!D280</f>
        <v>0</v>
      </c>
      <c r="H273" s="7" t="str">
        <f aca="false">Scoring!CC280</f>
        <v/>
      </c>
      <c r="I273" s="182" t="str">
        <f aca="false">Scoring!CB280</f>
        <v/>
      </c>
    </row>
    <row r="274" customFormat="false" ht="15.75" hidden="false" customHeight="false" outlineLevel="0" collapsed="false">
      <c r="A274" s="7" t="str">
        <f aca="false">Scoring!CE281</f>
        <v/>
      </c>
      <c r="B274" s="7" t="str">
        <f aca="false">Scoring!CD281</f>
        <v/>
      </c>
      <c r="C274" s="7" t="n">
        <f aca="false">Scoring!C281</f>
        <v>0</v>
      </c>
      <c r="D274" s="181" t="str">
        <f aca="false">Scoring!CA281</f>
        <v/>
      </c>
      <c r="E274" s="7" t="str">
        <f aca="false">Scoring!BD281</f>
        <v/>
      </c>
      <c r="F274" s="7" t="n">
        <f aca="false">Scoring!B281</f>
        <v>0</v>
      </c>
      <c r="G274" s="7" t="n">
        <f aca="false">Scoring!D281</f>
        <v>0</v>
      </c>
      <c r="H274" s="7" t="str">
        <f aca="false">Scoring!CC281</f>
        <v/>
      </c>
      <c r="I274" s="182" t="str">
        <f aca="false">Scoring!CB281</f>
        <v/>
      </c>
    </row>
    <row r="275" customFormat="false" ht="15.75" hidden="false" customHeight="false" outlineLevel="0" collapsed="false">
      <c r="A275" s="7" t="str">
        <f aca="false">Scoring!CE282</f>
        <v/>
      </c>
      <c r="B275" s="7" t="str">
        <f aca="false">Scoring!CD282</f>
        <v/>
      </c>
      <c r="C275" s="7" t="n">
        <f aca="false">Scoring!C282</f>
        <v>0</v>
      </c>
      <c r="D275" s="181" t="str">
        <f aca="false">Scoring!CA282</f>
        <v/>
      </c>
      <c r="E275" s="7" t="str">
        <f aca="false">Scoring!BD282</f>
        <v/>
      </c>
      <c r="F275" s="7" t="n">
        <f aca="false">Scoring!B282</f>
        <v>0</v>
      </c>
      <c r="G275" s="7" t="n">
        <f aca="false">Scoring!D282</f>
        <v>0</v>
      </c>
      <c r="H275" s="7" t="str">
        <f aca="false">Scoring!CC282</f>
        <v/>
      </c>
      <c r="I275" s="182" t="str">
        <f aca="false">Scoring!CB282</f>
        <v/>
      </c>
    </row>
    <row r="276" customFormat="false" ht="15.75" hidden="false" customHeight="false" outlineLevel="0" collapsed="false">
      <c r="A276" s="7" t="str">
        <f aca="false">Scoring!CE283</f>
        <v/>
      </c>
      <c r="B276" s="7" t="str">
        <f aca="false">Scoring!CD283</f>
        <v/>
      </c>
      <c r="C276" s="7" t="n">
        <f aca="false">Scoring!C283</f>
        <v>0</v>
      </c>
      <c r="D276" s="181" t="str">
        <f aca="false">Scoring!CA283</f>
        <v/>
      </c>
      <c r="E276" s="7" t="str">
        <f aca="false">Scoring!BD283</f>
        <v/>
      </c>
      <c r="F276" s="7" t="n">
        <f aca="false">Scoring!B283</f>
        <v>0</v>
      </c>
      <c r="G276" s="7" t="n">
        <f aca="false">Scoring!D283</f>
        <v>0</v>
      </c>
      <c r="H276" s="7" t="str">
        <f aca="false">Scoring!CC283</f>
        <v/>
      </c>
      <c r="I276" s="182" t="str">
        <f aca="false">Scoring!CB283</f>
        <v/>
      </c>
    </row>
    <row r="277" customFormat="false" ht="15.75" hidden="false" customHeight="false" outlineLevel="0" collapsed="false">
      <c r="A277" s="7" t="str">
        <f aca="false">Scoring!CE284</f>
        <v/>
      </c>
      <c r="B277" s="7" t="str">
        <f aca="false">Scoring!CD284</f>
        <v/>
      </c>
      <c r="C277" s="7" t="n">
        <f aca="false">Scoring!C284</f>
        <v>0</v>
      </c>
      <c r="D277" s="181" t="str">
        <f aca="false">Scoring!CA284</f>
        <v/>
      </c>
      <c r="E277" s="7" t="str">
        <f aca="false">Scoring!BD284</f>
        <v/>
      </c>
      <c r="F277" s="7" t="n">
        <f aca="false">Scoring!B284</f>
        <v>0</v>
      </c>
      <c r="G277" s="7" t="n">
        <f aca="false">Scoring!D284</f>
        <v>0</v>
      </c>
      <c r="H277" s="7" t="str">
        <f aca="false">Scoring!CC284</f>
        <v/>
      </c>
      <c r="I277" s="182" t="str">
        <f aca="false">Scoring!CB284</f>
        <v/>
      </c>
    </row>
    <row r="278" customFormat="false" ht="15.75" hidden="false" customHeight="false" outlineLevel="0" collapsed="false">
      <c r="A278" s="7" t="str">
        <f aca="false">Scoring!CE285</f>
        <v/>
      </c>
      <c r="B278" s="7" t="str">
        <f aca="false">Scoring!CD285</f>
        <v/>
      </c>
      <c r="C278" s="7" t="n">
        <f aca="false">Scoring!C285</f>
        <v>0</v>
      </c>
      <c r="D278" s="181" t="str">
        <f aca="false">Scoring!CA285</f>
        <v/>
      </c>
      <c r="E278" s="7" t="str">
        <f aca="false">Scoring!BD285</f>
        <v/>
      </c>
      <c r="F278" s="7" t="n">
        <f aca="false">Scoring!B285</f>
        <v>0</v>
      </c>
      <c r="G278" s="7" t="n">
        <f aca="false">Scoring!D285</f>
        <v>0</v>
      </c>
      <c r="H278" s="7" t="str">
        <f aca="false">Scoring!CC285</f>
        <v/>
      </c>
      <c r="I278" s="182" t="str">
        <f aca="false">Scoring!CB285</f>
        <v/>
      </c>
    </row>
    <row r="279" customFormat="false" ht="15.75" hidden="false" customHeight="false" outlineLevel="0" collapsed="false">
      <c r="A279" s="7" t="str">
        <f aca="false">Scoring!CE286</f>
        <v/>
      </c>
      <c r="B279" s="7" t="str">
        <f aca="false">Scoring!CD286</f>
        <v/>
      </c>
      <c r="C279" s="7" t="n">
        <f aca="false">Scoring!C286</f>
        <v>0</v>
      </c>
      <c r="D279" s="181" t="str">
        <f aca="false">Scoring!CA286</f>
        <v/>
      </c>
      <c r="E279" s="7" t="str">
        <f aca="false">Scoring!BD286</f>
        <v/>
      </c>
      <c r="F279" s="7" t="n">
        <f aca="false">Scoring!B286</f>
        <v>0</v>
      </c>
      <c r="G279" s="7" t="n">
        <f aca="false">Scoring!D286</f>
        <v>0</v>
      </c>
      <c r="H279" s="7" t="str">
        <f aca="false">Scoring!CC286</f>
        <v/>
      </c>
      <c r="I279" s="182" t="str">
        <f aca="false">Scoring!CB286</f>
        <v/>
      </c>
    </row>
    <row r="280" customFormat="false" ht="15.75" hidden="false" customHeight="false" outlineLevel="0" collapsed="false">
      <c r="A280" s="7" t="str">
        <f aca="false">Scoring!CE287</f>
        <v/>
      </c>
      <c r="B280" s="7" t="str">
        <f aca="false">Scoring!CD287</f>
        <v/>
      </c>
      <c r="C280" s="7" t="n">
        <f aca="false">Scoring!C287</f>
        <v>0</v>
      </c>
      <c r="D280" s="181" t="str">
        <f aca="false">Scoring!CA287</f>
        <v/>
      </c>
      <c r="E280" s="7" t="str">
        <f aca="false">Scoring!BD287</f>
        <v/>
      </c>
      <c r="F280" s="7" t="n">
        <f aca="false">Scoring!B287</f>
        <v>0</v>
      </c>
      <c r="G280" s="7" t="n">
        <f aca="false">Scoring!D287</f>
        <v>0</v>
      </c>
      <c r="H280" s="7" t="str">
        <f aca="false">Scoring!CC287</f>
        <v/>
      </c>
      <c r="I280" s="182" t="str">
        <f aca="false">Scoring!CB287</f>
        <v/>
      </c>
    </row>
    <row r="281" customFormat="false" ht="15.75" hidden="false" customHeight="false" outlineLevel="0" collapsed="false">
      <c r="A281" s="7" t="str">
        <f aca="false">Scoring!CE288</f>
        <v/>
      </c>
      <c r="B281" s="7" t="str">
        <f aca="false">Scoring!CD288</f>
        <v/>
      </c>
      <c r="C281" s="7" t="n">
        <f aca="false">Scoring!C288</f>
        <v>0</v>
      </c>
      <c r="D281" s="181" t="str">
        <f aca="false">Scoring!CA288</f>
        <v/>
      </c>
      <c r="E281" s="7" t="str">
        <f aca="false">Scoring!BD288</f>
        <v/>
      </c>
      <c r="F281" s="7" t="n">
        <f aca="false">Scoring!B288</f>
        <v>0</v>
      </c>
      <c r="G281" s="7" t="n">
        <f aca="false">Scoring!D288</f>
        <v>0</v>
      </c>
      <c r="H281" s="7" t="str">
        <f aca="false">Scoring!CC288</f>
        <v/>
      </c>
      <c r="I281" s="182" t="str">
        <f aca="false">Scoring!CB288</f>
        <v/>
      </c>
    </row>
    <row r="282" customFormat="false" ht="15.75" hidden="false" customHeight="false" outlineLevel="0" collapsed="false">
      <c r="A282" s="7" t="str">
        <f aca="false">Scoring!CE289</f>
        <v/>
      </c>
      <c r="B282" s="7" t="str">
        <f aca="false">Scoring!CD289</f>
        <v/>
      </c>
      <c r="C282" s="7" t="n">
        <f aca="false">Scoring!C289</f>
        <v>0</v>
      </c>
      <c r="D282" s="181" t="str">
        <f aca="false">Scoring!CA289</f>
        <v/>
      </c>
      <c r="E282" s="7" t="str">
        <f aca="false">Scoring!BD289</f>
        <v/>
      </c>
      <c r="F282" s="7" t="n">
        <f aca="false">Scoring!B289</f>
        <v>0</v>
      </c>
      <c r="G282" s="7" t="n">
        <f aca="false">Scoring!D289</f>
        <v>0</v>
      </c>
      <c r="H282" s="7" t="str">
        <f aca="false">Scoring!CC289</f>
        <v/>
      </c>
      <c r="I282" s="182" t="str">
        <f aca="false">Scoring!CB289</f>
        <v/>
      </c>
    </row>
    <row r="283" customFormat="false" ht="15.75" hidden="false" customHeight="false" outlineLevel="0" collapsed="false">
      <c r="A283" s="7" t="str">
        <f aca="false">Scoring!CE290</f>
        <v/>
      </c>
      <c r="B283" s="7" t="str">
        <f aca="false">Scoring!CD290</f>
        <v/>
      </c>
      <c r="C283" s="7" t="n">
        <f aca="false">Scoring!C290</f>
        <v>0</v>
      </c>
      <c r="D283" s="181" t="str">
        <f aca="false">Scoring!CA290</f>
        <v/>
      </c>
      <c r="E283" s="7" t="str">
        <f aca="false">Scoring!BD290</f>
        <v/>
      </c>
      <c r="F283" s="7" t="n">
        <f aca="false">Scoring!B290</f>
        <v>0</v>
      </c>
      <c r="G283" s="7" t="n">
        <f aca="false">Scoring!D290</f>
        <v>0</v>
      </c>
      <c r="H283" s="7" t="str">
        <f aca="false">Scoring!CC290</f>
        <v/>
      </c>
      <c r="I283" s="182" t="str">
        <f aca="false">Scoring!CB290</f>
        <v/>
      </c>
    </row>
    <row r="284" customFormat="false" ht="15.75" hidden="false" customHeight="false" outlineLevel="0" collapsed="false">
      <c r="A284" s="7" t="str">
        <f aca="false">Scoring!CE291</f>
        <v/>
      </c>
      <c r="B284" s="7" t="str">
        <f aca="false">Scoring!CD291</f>
        <v/>
      </c>
      <c r="C284" s="7" t="n">
        <f aca="false">Scoring!C291</f>
        <v>0</v>
      </c>
      <c r="D284" s="181" t="str">
        <f aca="false">Scoring!CA291</f>
        <v/>
      </c>
      <c r="E284" s="7" t="str">
        <f aca="false">Scoring!BD291</f>
        <v/>
      </c>
      <c r="F284" s="7" t="n">
        <f aca="false">Scoring!B291</f>
        <v>0</v>
      </c>
      <c r="G284" s="7" t="n">
        <f aca="false">Scoring!D291</f>
        <v>0</v>
      </c>
      <c r="H284" s="7" t="str">
        <f aca="false">Scoring!CC291</f>
        <v/>
      </c>
      <c r="I284" s="182" t="str">
        <f aca="false">Scoring!CB291</f>
        <v/>
      </c>
    </row>
    <row r="285" customFormat="false" ht="15.75" hidden="false" customHeight="false" outlineLevel="0" collapsed="false">
      <c r="A285" s="7" t="str">
        <f aca="false">Scoring!CE292</f>
        <v/>
      </c>
      <c r="B285" s="7" t="str">
        <f aca="false">Scoring!CD292</f>
        <v/>
      </c>
      <c r="C285" s="7" t="n">
        <f aca="false">Scoring!C292</f>
        <v>0</v>
      </c>
      <c r="D285" s="181" t="str">
        <f aca="false">Scoring!CA292</f>
        <v/>
      </c>
      <c r="E285" s="7" t="str">
        <f aca="false">Scoring!BD292</f>
        <v/>
      </c>
      <c r="F285" s="7" t="n">
        <f aca="false">Scoring!B292</f>
        <v>0</v>
      </c>
      <c r="G285" s="7" t="n">
        <f aca="false">Scoring!D292</f>
        <v>0</v>
      </c>
      <c r="H285" s="7" t="str">
        <f aca="false">Scoring!CC292</f>
        <v/>
      </c>
      <c r="I285" s="182" t="str">
        <f aca="false">Scoring!CB292</f>
        <v/>
      </c>
    </row>
    <row r="286" customFormat="false" ht="15.75" hidden="false" customHeight="false" outlineLevel="0" collapsed="false">
      <c r="A286" s="7" t="str">
        <f aca="false">Scoring!CE293</f>
        <v/>
      </c>
      <c r="B286" s="7" t="str">
        <f aca="false">Scoring!CD293</f>
        <v/>
      </c>
      <c r="C286" s="7" t="n">
        <f aca="false">Scoring!C293</f>
        <v>0</v>
      </c>
      <c r="D286" s="181" t="str">
        <f aca="false">Scoring!CA293</f>
        <v/>
      </c>
      <c r="E286" s="7" t="str">
        <f aca="false">Scoring!BD293</f>
        <v/>
      </c>
      <c r="F286" s="7" t="n">
        <f aca="false">Scoring!B293</f>
        <v>0</v>
      </c>
      <c r="G286" s="7" t="n">
        <f aca="false">Scoring!D293</f>
        <v>0</v>
      </c>
      <c r="H286" s="7" t="str">
        <f aca="false">Scoring!CC293</f>
        <v/>
      </c>
      <c r="I286" s="182" t="str">
        <f aca="false">Scoring!CB293</f>
        <v/>
      </c>
    </row>
    <row r="287" customFormat="false" ht="15.75" hidden="false" customHeight="false" outlineLevel="0" collapsed="false">
      <c r="A287" s="7" t="str">
        <f aca="false">Scoring!CE294</f>
        <v/>
      </c>
      <c r="B287" s="7" t="str">
        <f aca="false">Scoring!CD294</f>
        <v/>
      </c>
      <c r="C287" s="7" t="n">
        <f aca="false">Scoring!C294</f>
        <v>0</v>
      </c>
      <c r="D287" s="181" t="str">
        <f aca="false">Scoring!CA294</f>
        <v/>
      </c>
      <c r="E287" s="7" t="str">
        <f aca="false">Scoring!BD294</f>
        <v/>
      </c>
      <c r="F287" s="7" t="n">
        <f aca="false">Scoring!B294</f>
        <v>0</v>
      </c>
      <c r="G287" s="7" t="n">
        <f aca="false">Scoring!D294</f>
        <v>0</v>
      </c>
      <c r="H287" s="7" t="str">
        <f aca="false">Scoring!CC294</f>
        <v/>
      </c>
      <c r="I287" s="182" t="str">
        <f aca="false">Scoring!CB294</f>
        <v/>
      </c>
    </row>
    <row r="288" customFormat="false" ht="15.75" hidden="false" customHeight="false" outlineLevel="0" collapsed="false">
      <c r="A288" s="7" t="str">
        <f aca="false">Scoring!CE295</f>
        <v/>
      </c>
      <c r="B288" s="7" t="str">
        <f aca="false">Scoring!CD295</f>
        <v/>
      </c>
      <c r="C288" s="7" t="n">
        <f aca="false">Scoring!C295</f>
        <v>0</v>
      </c>
      <c r="D288" s="181" t="str">
        <f aca="false">Scoring!CA295</f>
        <v/>
      </c>
      <c r="E288" s="7" t="str">
        <f aca="false">Scoring!BD295</f>
        <v/>
      </c>
      <c r="F288" s="7" t="n">
        <f aca="false">Scoring!B295</f>
        <v>0</v>
      </c>
      <c r="G288" s="7" t="n">
        <f aca="false">Scoring!D295</f>
        <v>0</v>
      </c>
      <c r="H288" s="7" t="str">
        <f aca="false">Scoring!CC295</f>
        <v/>
      </c>
      <c r="I288" s="182" t="str">
        <f aca="false">Scoring!CB295</f>
        <v/>
      </c>
    </row>
    <row r="289" customFormat="false" ht="15.75" hidden="false" customHeight="false" outlineLevel="0" collapsed="false">
      <c r="A289" s="7" t="str">
        <f aca="false">Scoring!CE296</f>
        <v/>
      </c>
      <c r="B289" s="7" t="str">
        <f aca="false">Scoring!CD296</f>
        <v/>
      </c>
      <c r="C289" s="7" t="n">
        <f aca="false">Scoring!C296</f>
        <v>0</v>
      </c>
      <c r="D289" s="181" t="str">
        <f aca="false">Scoring!CA296</f>
        <v/>
      </c>
      <c r="E289" s="7" t="str">
        <f aca="false">Scoring!BD296</f>
        <v/>
      </c>
      <c r="F289" s="7" t="n">
        <f aca="false">Scoring!B296</f>
        <v>0</v>
      </c>
      <c r="G289" s="7" t="n">
        <f aca="false">Scoring!D296</f>
        <v>0</v>
      </c>
      <c r="H289" s="7" t="str">
        <f aca="false">Scoring!CC296</f>
        <v/>
      </c>
      <c r="I289" s="182" t="str">
        <f aca="false">Scoring!CB296</f>
        <v/>
      </c>
    </row>
    <row r="290" customFormat="false" ht="15.75" hidden="false" customHeight="false" outlineLevel="0" collapsed="false">
      <c r="A290" s="7" t="str">
        <f aca="false">Scoring!CE297</f>
        <v/>
      </c>
      <c r="B290" s="7" t="str">
        <f aca="false">Scoring!CD297</f>
        <v/>
      </c>
      <c r="C290" s="7" t="n">
        <f aca="false">Scoring!C297</f>
        <v>0</v>
      </c>
      <c r="D290" s="181" t="str">
        <f aca="false">Scoring!CA297</f>
        <v/>
      </c>
      <c r="E290" s="7" t="str">
        <f aca="false">Scoring!BD297</f>
        <v/>
      </c>
      <c r="F290" s="7" t="n">
        <f aca="false">Scoring!B297</f>
        <v>0</v>
      </c>
      <c r="G290" s="7" t="n">
        <f aca="false">Scoring!D297</f>
        <v>0</v>
      </c>
      <c r="H290" s="7" t="str">
        <f aca="false">Scoring!CC297</f>
        <v/>
      </c>
      <c r="I290" s="182" t="str">
        <f aca="false">Scoring!CB297</f>
        <v/>
      </c>
    </row>
    <row r="291" customFormat="false" ht="15.75" hidden="false" customHeight="false" outlineLevel="0" collapsed="false">
      <c r="A291" s="7" t="str">
        <f aca="false">Scoring!CE298</f>
        <v/>
      </c>
      <c r="B291" s="7" t="str">
        <f aca="false">Scoring!CD298</f>
        <v/>
      </c>
      <c r="C291" s="7" t="n">
        <f aca="false">Scoring!C298</f>
        <v>0</v>
      </c>
      <c r="D291" s="181" t="str">
        <f aca="false">Scoring!CA298</f>
        <v/>
      </c>
      <c r="E291" s="7" t="str">
        <f aca="false">Scoring!BD298</f>
        <v/>
      </c>
      <c r="F291" s="7" t="n">
        <f aca="false">Scoring!B298</f>
        <v>0</v>
      </c>
      <c r="G291" s="7" t="n">
        <f aca="false">Scoring!D298</f>
        <v>0</v>
      </c>
      <c r="H291" s="7" t="str">
        <f aca="false">Scoring!CC298</f>
        <v/>
      </c>
      <c r="I291" s="182" t="str">
        <f aca="false">Scoring!CB298</f>
        <v/>
      </c>
    </row>
    <row r="292" customFormat="false" ht="15.75" hidden="false" customHeight="false" outlineLevel="0" collapsed="false">
      <c r="A292" s="7" t="str">
        <f aca="false">Scoring!CE299</f>
        <v/>
      </c>
      <c r="B292" s="7" t="str">
        <f aca="false">Scoring!CD299</f>
        <v/>
      </c>
      <c r="C292" s="7" t="n">
        <f aca="false">Scoring!C299</f>
        <v>0</v>
      </c>
      <c r="D292" s="181" t="str">
        <f aca="false">Scoring!CA299</f>
        <v/>
      </c>
      <c r="E292" s="7" t="str">
        <f aca="false">Scoring!BD299</f>
        <v/>
      </c>
      <c r="F292" s="7" t="n">
        <f aca="false">Scoring!B299</f>
        <v>0</v>
      </c>
      <c r="G292" s="7" t="n">
        <f aca="false">Scoring!D299</f>
        <v>0</v>
      </c>
      <c r="H292" s="7" t="str">
        <f aca="false">Scoring!CC299</f>
        <v/>
      </c>
      <c r="I292" s="182" t="str">
        <f aca="false">Scoring!CB299</f>
        <v/>
      </c>
    </row>
    <row r="293" customFormat="false" ht="15.75" hidden="false" customHeight="false" outlineLevel="0" collapsed="false">
      <c r="A293" s="7" t="str">
        <f aca="false">Scoring!CE300</f>
        <v/>
      </c>
      <c r="B293" s="7" t="str">
        <f aca="false">Scoring!CD300</f>
        <v/>
      </c>
      <c r="C293" s="7" t="n">
        <f aca="false">Scoring!C300</f>
        <v>0</v>
      </c>
      <c r="D293" s="181" t="str">
        <f aca="false">Scoring!CA300</f>
        <v/>
      </c>
      <c r="E293" s="7" t="str">
        <f aca="false">Scoring!BD300</f>
        <v/>
      </c>
      <c r="F293" s="7" t="n">
        <f aca="false">Scoring!B300</f>
        <v>0</v>
      </c>
      <c r="G293" s="7" t="n">
        <f aca="false">Scoring!D300</f>
        <v>0</v>
      </c>
      <c r="H293" s="7" t="str">
        <f aca="false">Scoring!CC300</f>
        <v/>
      </c>
      <c r="I293" s="182" t="str">
        <f aca="false">Scoring!CB300</f>
        <v/>
      </c>
    </row>
    <row r="294" customFormat="false" ht="15.75" hidden="false" customHeight="false" outlineLevel="0" collapsed="false">
      <c r="A294" s="7" t="str">
        <f aca="false">Scoring!CE301</f>
        <v/>
      </c>
      <c r="B294" s="7" t="str">
        <f aca="false">Scoring!CD301</f>
        <v/>
      </c>
      <c r="C294" s="7" t="n">
        <f aca="false">Scoring!C301</f>
        <v>0</v>
      </c>
      <c r="D294" s="181" t="str">
        <f aca="false">Scoring!CA301</f>
        <v/>
      </c>
      <c r="E294" s="7" t="str">
        <f aca="false">Scoring!BD301</f>
        <v/>
      </c>
      <c r="F294" s="7" t="n">
        <f aca="false">Scoring!B301</f>
        <v>0</v>
      </c>
      <c r="G294" s="7" t="n">
        <f aca="false">Scoring!D301</f>
        <v>0</v>
      </c>
      <c r="H294" s="7" t="str">
        <f aca="false">Scoring!CC301</f>
        <v/>
      </c>
      <c r="I294" s="182" t="str">
        <f aca="false">Scoring!CB301</f>
        <v/>
      </c>
    </row>
    <row r="295" customFormat="false" ht="15.75" hidden="false" customHeight="false" outlineLevel="0" collapsed="false">
      <c r="A295" s="7" t="str">
        <f aca="false">Scoring!CE302</f>
        <v/>
      </c>
      <c r="B295" s="7" t="str">
        <f aca="false">Scoring!CD302</f>
        <v/>
      </c>
      <c r="C295" s="7" t="n">
        <f aca="false">Scoring!C302</f>
        <v>0</v>
      </c>
      <c r="D295" s="181" t="str">
        <f aca="false">Scoring!CA302</f>
        <v/>
      </c>
      <c r="E295" s="7" t="str">
        <f aca="false">Scoring!BD302</f>
        <v/>
      </c>
      <c r="F295" s="7" t="n">
        <f aca="false">Scoring!B302</f>
        <v>0</v>
      </c>
      <c r="G295" s="7" t="n">
        <f aca="false">Scoring!D302</f>
        <v>0</v>
      </c>
      <c r="H295" s="7" t="str">
        <f aca="false">Scoring!CC302</f>
        <v/>
      </c>
      <c r="I295" s="182" t="str">
        <f aca="false">Scoring!CB302</f>
        <v/>
      </c>
    </row>
    <row r="296" customFormat="false" ht="15.75" hidden="false" customHeight="false" outlineLevel="0" collapsed="false">
      <c r="A296" s="7" t="str">
        <f aca="false">Scoring!CE303</f>
        <v/>
      </c>
      <c r="B296" s="7" t="str">
        <f aca="false">Scoring!CD303</f>
        <v/>
      </c>
      <c r="C296" s="7" t="n">
        <f aca="false">Scoring!C303</f>
        <v>0</v>
      </c>
      <c r="D296" s="181" t="str">
        <f aca="false">Scoring!CA303</f>
        <v/>
      </c>
      <c r="E296" s="7" t="str">
        <f aca="false">Scoring!BD303</f>
        <v/>
      </c>
      <c r="F296" s="7" t="n">
        <f aca="false">Scoring!B303</f>
        <v>0</v>
      </c>
      <c r="G296" s="7" t="n">
        <f aca="false">Scoring!D303</f>
        <v>0</v>
      </c>
      <c r="H296" s="7" t="str">
        <f aca="false">Scoring!CC303</f>
        <v/>
      </c>
      <c r="I296" s="182" t="str">
        <f aca="false">Scoring!CB303</f>
        <v/>
      </c>
    </row>
    <row r="297" customFormat="false" ht="15.75" hidden="false" customHeight="false" outlineLevel="0" collapsed="false">
      <c r="A297" s="7" t="str">
        <f aca="false">Scoring!CE304</f>
        <v/>
      </c>
      <c r="B297" s="7" t="str">
        <f aca="false">Scoring!CD304</f>
        <v/>
      </c>
      <c r="C297" s="7" t="n">
        <f aca="false">Scoring!C304</f>
        <v>0</v>
      </c>
      <c r="D297" s="181" t="str">
        <f aca="false">Scoring!CA304</f>
        <v/>
      </c>
      <c r="E297" s="7" t="str">
        <f aca="false">Scoring!BD304</f>
        <v/>
      </c>
      <c r="F297" s="7" t="n">
        <f aca="false">Scoring!B304</f>
        <v>0</v>
      </c>
      <c r="G297" s="7" t="n">
        <f aca="false">Scoring!D304</f>
        <v>0</v>
      </c>
      <c r="H297" s="7" t="str">
        <f aca="false">Scoring!CC304</f>
        <v/>
      </c>
      <c r="I297" s="182" t="str">
        <f aca="false">Scoring!CB304</f>
        <v/>
      </c>
    </row>
    <row r="298" customFormat="false" ht="15.75" hidden="false" customHeight="false" outlineLevel="0" collapsed="false">
      <c r="A298" s="7" t="str">
        <f aca="false">Scoring!CE305</f>
        <v/>
      </c>
      <c r="B298" s="7" t="str">
        <f aca="false">Scoring!CD305</f>
        <v/>
      </c>
      <c r="C298" s="7" t="n">
        <f aca="false">Scoring!C305</f>
        <v>0</v>
      </c>
      <c r="D298" s="181" t="str">
        <f aca="false">Scoring!CA305</f>
        <v/>
      </c>
      <c r="E298" s="7" t="str">
        <f aca="false">Scoring!BD305</f>
        <v/>
      </c>
      <c r="F298" s="7" t="n">
        <f aca="false">Scoring!B305</f>
        <v>0</v>
      </c>
      <c r="G298" s="7" t="n">
        <f aca="false">Scoring!D305</f>
        <v>0</v>
      </c>
      <c r="H298" s="7" t="str">
        <f aca="false">Scoring!CC305</f>
        <v/>
      </c>
      <c r="I298" s="182" t="str">
        <f aca="false">Scoring!CB305</f>
        <v/>
      </c>
    </row>
    <row r="299" customFormat="false" ht="15.75" hidden="false" customHeight="false" outlineLevel="0" collapsed="false">
      <c r="A299" s="7" t="str">
        <f aca="false">Scoring!CE306</f>
        <v/>
      </c>
      <c r="B299" s="7" t="str">
        <f aca="false">Scoring!CD306</f>
        <v/>
      </c>
      <c r="C299" s="7" t="n">
        <f aca="false">Scoring!C306</f>
        <v>0</v>
      </c>
      <c r="D299" s="181" t="str">
        <f aca="false">Scoring!CA306</f>
        <v/>
      </c>
      <c r="E299" s="7" t="str">
        <f aca="false">Scoring!BD306</f>
        <v/>
      </c>
      <c r="F299" s="7" t="n">
        <f aca="false">Scoring!B306</f>
        <v>0</v>
      </c>
      <c r="G299" s="7" t="n">
        <f aca="false">Scoring!D306</f>
        <v>0</v>
      </c>
      <c r="H299" s="7" t="str">
        <f aca="false">Scoring!CC306</f>
        <v/>
      </c>
      <c r="I299" s="182" t="str">
        <f aca="false">Scoring!CB306</f>
        <v/>
      </c>
    </row>
    <row r="300" customFormat="false" ht="15.75" hidden="false" customHeight="false" outlineLevel="0" collapsed="false">
      <c r="A300" s="7" t="str">
        <f aca="false">Scoring!CE307</f>
        <v/>
      </c>
      <c r="B300" s="7" t="str">
        <f aca="false">Scoring!CD307</f>
        <v/>
      </c>
      <c r="C300" s="7" t="n">
        <f aca="false">Scoring!C307</f>
        <v>0</v>
      </c>
      <c r="D300" s="181" t="str">
        <f aca="false">Scoring!CA307</f>
        <v/>
      </c>
      <c r="E300" s="7" t="str">
        <f aca="false">Scoring!BD307</f>
        <v/>
      </c>
      <c r="F300" s="7" t="n">
        <f aca="false">Scoring!B307</f>
        <v>0</v>
      </c>
      <c r="G300" s="7" t="n">
        <f aca="false">Scoring!D307</f>
        <v>0</v>
      </c>
      <c r="H300" s="7" t="str">
        <f aca="false">Scoring!CC307</f>
        <v/>
      </c>
      <c r="I300" s="182" t="str">
        <f aca="false">Scoring!CB307</f>
        <v/>
      </c>
    </row>
    <row r="301" customFormat="false" ht="15.75" hidden="false" customHeight="false" outlineLevel="0" collapsed="false">
      <c r="A301" s="7" t="str">
        <f aca="false">Scoring!CE308</f>
        <v/>
      </c>
      <c r="B301" s="7" t="str">
        <f aca="false">Scoring!CD308</f>
        <v/>
      </c>
      <c r="C301" s="7" t="n">
        <f aca="false">Scoring!C308</f>
        <v>0</v>
      </c>
      <c r="D301" s="181" t="str">
        <f aca="false">Scoring!CA308</f>
        <v/>
      </c>
      <c r="E301" s="7" t="str">
        <f aca="false">Scoring!BD308</f>
        <v/>
      </c>
      <c r="F301" s="7" t="n">
        <f aca="false">Scoring!B308</f>
        <v>0</v>
      </c>
      <c r="G301" s="7" t="n">
        <f aca="false">Scoring!D308</f>
        <v>0</v>
      </c>
      <c r="H301" s="7" t="str">
        <f aca="false">Scoring!CC308</f>
        <v/>
      </c>
      <c r="I301" s="182" t="str">
        <f aca="false">Scoring!CB308</f>
        <v/>
      </c>
    </row>
    <row r="302" customFormat="false" ht="15.75" hidden="false" customHeight="false" outlineLevel="0" collapsed="false">
      <c r="A302" s="7" t="str">
        <f aca="false">Scoring!CE309</f>
        <v/>
      </c>
      <c r="B302" s="7" t="str">
        <f aca="false">Scoring!CD309</f>
        <v/>
      </c>
      <c r="C302" s="7" t="n">
        <f aca="false">Scoring!C309</f>
        <v>0</v>
      </c>
      <c r="D302" s="181" t="str">
        <f aca="false">Scoring!CA309</f>
        <v/>
      </c>
      <c r="E302" s="7" t="str">
        <f aca="false">Scoring!BD309</f>
        <v/>
      </c>
      <c r="F302" s="7" t="n">
        <f aca="false">Scoring!B309</f>
        <v>0</v>
      </c>
      <c r="G302" s="7" t="n">
        <f aca="false">Scoring!D309</f>
        <v>0</v>
      </c>
      <c r="H302" s="7" t="str">
        <f aca="false">Scoring!CC309</f>
        <v/>
      </c>
      <c r="I302" s="182" t="str">
        <f aca="false">Scoring!CB309</f>
        <v/>
      </c>
    </row>
    <row r="303" customFormat="false" ht="15.75" hidden="false" customHeight="false" outlineLevel="0" collapsed="false">
      <c r="A303" s="7" t="str">
        <f aca="false">Scoring!CE310</f>
        <v/>
      </c>
      <c r="B303" s="7" t="str">
        <f aca="false">Scoring!CD310</f>
        <v/>
      </c>
      <c r="C303" s="7" t="n">
        <f aca="false">Scoring!C310</f>
        <v>0</v>
      </c>
      <c r="D303" s="181" t="str">
        <f aca="false">Scoring!CA310</f>
        <v/>
      </c>
      <c r="E303" s="7" t="str">
        <f aca="false">Scoring!BD310</f>
        <v/>
      </c>
      <c r="F303" s="7" t="n">
        <f aca="false">Scoring!B310</f>
        <v>0</v>
      </c>
      <c r="G303" s="7" t="n">
        <f aca="false">Scoring!D310</f>
        <v>0</v>
      </c>
      <c r="H303" s="7" t="str">
        <f aca="false">Scoring!CC310</f>
        <v/>
      </c>
      <c r="I303" s="182" t="str">
        <f aca="false">Scoring!CB310</f>
        <v/>
      </c>
    </row>
    <row r="304" customFormat="false" ht="15.75" hidden="false" customHeight="false" outlineLevel="0" collapsed="false">
      <c r="A304" s="7" t="str">
        <f aca="false">Scoring!CE311</f>
        <v/>
      </c>
      <c r="B304" s="7" t="str">
        <f aca="false">Scoring!CD311</f>
        <v/>
      </c>
      <c r="C304" s="7" t="n">
        <f aca="false">Scoring!C311</f>
        <v>0</v>
      </c>
      <c r="D304" s="181" t="str">
        <f aca="false">Scoring!CA311</f>
        <v/>
      </c>
      <c r="E304" s="7" t="str">
        <f aca="false">Scoring!BD311</f>
        <v/>
      </c>
      <c r="F304" s="7" t="n">
        <f aca="false">Scoring!B311</f>
        <v>0</v>
      </c>
      <c r="G304" s="7" t="n">
        <f aca="false">Scoring!D311</f>
        <v>0</v>
      </c>
      <c r="H304" s="7" t="str">
        <f aca="false">Scoring!CC311</f>
        <v/>
      </c>
      <c r="I304" s="182" t="str">
        <f aca="false">Scoring!CB311</f>
        <v/>
      </c>
    </row>
    <row r="305" customFormat="false" ht="15.75" hidden="false" customHeight="false" outlineLevel="0" collapsed="false">
      <c r="A305" s="7" t="str">
        <f aca="false">Scoring!CE312</f>
        <v/>
      </c>
      <c r="B305" s="7" t="str">
        <f aca="false">Scoring!CD312</f>
        <v/>
      </c>
      <c r="C305" s="7" t="n">
        <f aca="false">Scoring!C312</f>
        <v>0</v>
      </c>
      <c r="D305" s="181" t="str">
        <f aca="false">Scoring!CA312</f>
        <v/>
      </c>
      <c r="E305" s="7" t="str">
        <f aca="false">Scoring!BD312</f>
        <v/>
      </c>
      <c r="F305" s="7" t="n">
        <f aca="false">Scoring!B312</f>
        <v>0</v>
      </c>
      <c r="G305" s="7" t="n">
        <f aca="false">Scoring!D312</f>
        <v>0</v>
      </c>
      <c r="H305" s="7" t="str">
        <f aca="false">Scoring!CC312</f>
        <v/>
      </c>
      <c r="I305" s="182" t="str">
        <f aca="false">Scoring!CB312</f>
        <v/>
      </c>
    </row>
    <row r="306" customFormat="false" ht="15.75" hidden="false" customHeight="false" outlineLevel="0" collapsed="false">
      <c r="A306" s="7" t="str">
        <f aca="false">Scoring!CE313</f>
        <v/>
      </c>
      <c r="B306" s="7" t="str">
        <f aca="false">Scoring!CD313</f>
        <v/>
      </c>
      <c r="C306" s="7" t="n">
        <f aca="false">Scoring!C313</f>
        <v>0</v>
      </c>
      <c r="D306" s="181" t="str">
        <f aca="false">Scoring!CA313</f>
        <v/>
      </c>
      <c r="E306" s="7" t="str">
        <f aca="false">Scoring!BD313</f>
        <v/>
      </c>
      <c r="F306" s="7" t="n">
        <f aca="false">Scoring!B313</f>
        <v>0</v>
      </c>
      <c r="G306" s="7" t="n">
        <f aca="false">Scoring!D313</f>
        <v>0</v>
      </c>
      <c r="H306" s="7" t="str">
        <f aca="false">Scoring!CC313</f>
        <v/>
      </c>
      <c r="I306" s="182" t="str">
        <f aca="false">Scoring!CB313</f>
        <v/>
      </c>
    </row>
    <row r="307" customFormat="false" ht="15.75" hidden="false" customHeight="false" outlineLevel="0" collapsed="false">
      <c r="A307" s="7" t="str">
        <f aca="false">Scoring!CE314</f>
        <v/>
      </c>
      <c r="B307" s="7" t="str">
        <f aca="false">Scoring!CD314</f>
        <v/>
      </c>
      <c r="C307" s="7" t="n">
        <f aca="false">Scoring!C314</f>
        <v>0</v>
      </c>
      <c r="D307" s="181" t="str">
        <f aca="false">Scoring!CA314</f>
        <v/>
      </c>
      <c r="E307" s="7" t="str">
        <f aca="false">Scoring!BD314</f>
        <v/>
      </c>
      <c r="F307" s="7" t="n">
        <f aca="false">Scoring!B314</f>
        <v>0</v>
      </c>
      <c r="G307" s="7" t="n">
        <f aca="false">Scoring!D314</f>
        <v>0</v>
      </c>
      <c r="H307" s="7" t="str">
        <f aca="false">Scoring!CC314</f>
        <v/>
      </c>
      <c r="I307" s="182" t="str">
        <f aca="false">Scoring!CB314</f>
        <v/>
      </c>
    </row>
    <row r="308" customFormat="false" ht="15.75" hidden="false" customHeight="false" outlineLevel="0" collapsed="false">
      <c r="A308" s="7" t="str">
        <f aca="false">Scoring!CE315</f>
        <v/>
      </c>
      <c r="B308" s="7" t="str">
        <f aca="false">Scoring!CD315</f>
        <v/>
      </c>
      <c r="C308" s="7" t="n">
        <f aca="false">Scoring!C315</f>
        <v>0</v>
      </c>
      <c r="D308" s="181" t="str">
        <f aca="false">Scoring!CA315</f>
        <v/>
      </c>
      <c r="E308" s="7" t="str">
        <f aca="false">Scoring!BD315</f>
        <v/>
      </c>
      <c r="F308" s="7" t="n">
        <f aca="false">Scoring!B315</f>
        <v>0</v>
      </c>
      <c r="G308" s="7" t="n">
        <f aca="false">Scoring!D315</f>
        <v>0</v>
      </c>
      <c r="H308" s="7" t="str">
        <f aca="false">Scoring!CC315</f>
        <v/>
      </c>
      <c r="I308" s="182" t="str">
        <f aca="false">Scoring!CB315</f>
        <v/>
      </c>
    </row>
    <row r="309" customFormat="false" ht="15.75" hidden="false" customHeight="false" outlineLevel="0" collapsed="false">
      <c r="A309" s="7" t="str">
        <f aca="false">Scoring!CE316</f>
        <v/>
      </c>
      <c r="B309" s="7" t="str">
        <f aca="false">Scoring!CD316</f>
        <v/>
      </c>
      <c r="C309" s="7" t="n">
        <f aca="false">Scoring!C316</f>
        <v>0</v>
      </c>
      <c r="D309" s="181" t="str">
        <f aca="false">Scoring!CA316</f>
        <v/>
      </c>
      <c r="E309" s="7" t="str">
        <f aca="false">Scoring!BD316</f>
        <v/>
      </c>
      <c r="F309" s="7" t="n">
        <f aca="false">Scoring!B316</f>
        <v>0</v>
      </c>
      <c r="G309" s="7" t="n">
        <f aca="false">Scoring!D316</f>
        <v>0</v>
      </c>
      <c r="H309" s="7" t="str">
        <f aca="false">Scoring!CC316</f>
        <v/>
      </c>
      <c r="I309" s="182" t="str">
        <f aca="false">Scoring!CB316</f>
        <v/>
      </c>
    </row>
    <row r="310" customFormat="false" ht="15.75" hidden="false" customHeight="false" outlineLevel="0" collapsed="false">
      <c r="A310" s="7" t="str">
        <f aca="false">Scoring!CE317</f>
        <v/>
      </c>
      <c r="B310" s="7" t="str">
        <f aca="false">Scoring!CD317</f>
        <v/>
      </c>
      <c r="C310" s="7" t="n">
        <f aca="false">Scoring!C317</f>
        <v>0</v>
      </c>
      <c r="D310" s="181" t="str">
        <f aca="false">Scoring!CA317</f>
        <v/>
      </c>
      <c r="E310" s="7" t="str">
        <f aca="false">Scoring!BD317</f>
        <v/>
      </c>
      <c r="F310" s="7" t="n">
        <f aca="false">Scoring!B317</f>
        <v>0</v>
      </c>
      <c r="G310" s="7" t="n">
        <f aca="false">Scoring!D317</f>
        <v>0</v>
      </c>
      <c r="H310" s="7" t="str">
        <f aca="false">Scoring!CC317</f>
        <v/>
      </c>
      <c r="I310" s="182" t="str">
        <f aca="false">Scoring!CB317</f>
        <v/>
      </c>
    </row>
    <row r="311" customFormat="false" ht="15.75" hidden="false" customHeight="false" outlineLevel="0" collapsed="false">
      <c r="A311" s="7" t="str">
        <f aca="false">Scoring!CE318</f>
        <v/>
      </c>
      <c r="B311" s="7" t="str">
        <f aca="false">Scoring!CD318</f>
        <v/>
      </c>
      <c r="C311" s="7" t="n">
        <f aca="false">Scoring!C318</f>
        <v>0</v>
      </c>
      <c r="D311" s="181" t="str">
        <f aca="false">Scoring!CA318</f>
        <v/>
      </c>
      <c r="E311" s="7" t="str">
        <f aca="false">Scoring!BD318</f>
        <v/>
      </c>
      <c r="F311" s="7" t="n">
        <f aca="false">Scoring!B318</f>
        <v>0</v>
      </c>
      <c r="G311" s="7" t="n">
        <f aca="false">Scoring!D318</f>
        <v>0</v>
      </c>
      <c r="H311" s="7" t="str">
        <f aca="false">Scoring!CC318</f>
        <v/>
      </c>
      <c r="I311" s="182" t="str">
        <f aca="false">Scoring!CB318</f>
        <v/>
      </c>
    </row>
    <row r="312" customFormat="false" ht="15.75" hidden="false" customHeight="false" outlineLevel="0" collapsed="false">
      <c r="A312" s="7" t="str">
        <f aca="false">Scoring!CE319</f>
        <v/>
      </c>
      <c r="B312" s="7" t="str">
        <f aca="false">Scoring!CD319</f>
        <v/>
      </c>
      <c r="C312" s="7" t="n">
        <f aca="false">Scoring!C319</f>
        <v>0</v>
      </c>
      <c r="D312" s="181" t="str">
        <f aca="false">Scoring!CA319</f>
        <v/>
      </c>
      <c r="E312" s="7" t="str">
        <f aca="false">Scoring!BD319</f>
        <v/>
      </c>
      <c r="F312" s="7" t="n">
        <f aca="false">Scoring!B319</f>
        <v>0</v>
      </c>
      <c r="G312" s="7" t="n">
        <f aca="false">Scoring!D319</f>
        <v>0</v>
      </c>
      <c r="H312" s="7" t="str">
        <f aca="false">Scoring!CC319</f>
        <v/>
      </c>
      <c r="I312" s="182" t="str">
        <f aca="false">Scoring!CB319</f>
        <v/>
      </c>
    </row>
    <row r="313" customFormat="false" ht="15.75" hidden="false" customHeight="false" outlineLevel="0" collapsed="false">
      <c r="A313" s="7" t="str">
        <f aca="false">Scoring!CE320</f>
        <v/>
      </c>
      <c r="B313" s="7" t="str">
        <f aca="false">Scoring!CD320</f>
        <v/>
      </c>
      <c r="C313" s="7" t="n">
        <f aca="false">Scoring!C320</f>
        <v>0</v>
      </c>
      <c r="D313" s="181" t="str">
        <f aca="false">Scoring!CA320</f>
        <v/>
      </c>
      <c r="E313" s="7" t="str">
        <f aca="false">Scoring!BD320</f>
        <v/>
      </c>
      <c r="F313" s="7" t="n">
        <f aca="false">Scoring!B320</f>
        <v>0</v>
      </c>
      <c r="G313" s="7" t="n">
        <f aca="false">Scoring!D320</f>
        <v>0</v>
      </c>
      <c r="H313" s="7" t="str">
        <f aca="false">Scoring!CC320</f>
        <v/>
      </c>
      <c r="I313" s="182" t="str">
        <f aca="false">Scoring!CB320</f>
        <v/>
      </c>
    </row>
    <row r="314" customFormat="false" ht="15.75" hidden="false" customHeight="false" outlineLevel="0" collapsed="false">
      <c r="A314" s="7" t="str">
        <f aca="false">Scoring!CE321</f>
        <v/>
      </c>
      <c r="B314" s="7" t="str">
        <f aca="false">Scoring!CD321</f>
        <v/>
      </c>
      <c r="C314" s="7" t="n">
        <f aca="false">Scoring!C321</f>
        <v>0</v>
      </c>
      <c r="D314" s="181" t="str">
        <f aca="false">Scoring!CA321</f>
        <v/>
      </c>
      <c r="E314" s="7" t="str">
        <f aca="false">Scoring!BD321</f>
        <v/>
      </c>
      <c r="F314" s="7" t="n">
        <f aca="false">Scoring!B321</f>
        <v>0</v>
      </c>
      <c r="G314" s="7" t="n">
        <f aca="false">Scoring!D321</f>
        <v>0</v>
      </c>
      <c r="H314" s="7" t="str">
        <f aca="false">Scoring!CC321</f>
        <v/>
      </c>
      <c r="I314" s="182" t="str">
        <f aca="false">Scoring!CB321</f>
        <v/>
      </c>
    </row>
    <row r="315" customFormat="false" ht="15.75" hidden="false" customHeight="false" outlineLevel="0" collapsed="false">
      <c r="A315" s="7" t="str">
        <f aca="false">Scoring!CE322</f>
        <v/>
      </c>
      <c r="B315" s="7" t="str">
        <f aca="false">Scoring!CD322</f>
        <v/>
      </c>
      <c r="C315" s="7" t="n">
        <f aca="false">Scoring!C322</f>
        <v>0</v>
      </c>
      <c r="D315" s="181" t="str">
        <f aca="false">Scoring!CA322</f>
        <v/>
      </c>
      <c r="E315" s="7" t="str">
        <f aca="false">Scoring!BD322</f>
        <v/>
      </c>
      <c r="F315" s="7" t="n">
        <f aca="false">Scoring!B322</f>
        <v>0</v>
      </c>
      <c r="G315" s="7" t="n">
        <f aca="false">Scoring!D322</f>
        <v>0</v>
      </c>
      <c r="H315" s="7" t="str">
        <f aca="false">Scoring!CC322</f>
        <v/>
      </c>
      <c r="I315" s="182" t="str">
        <f aca="false">Scoring!CB322</f>
        <v/>
      </c>
    </row>
    <row r="316" customFormat="false" ht="15.75" hidden="false" customHeight="false" outlineLevel="0" collapsed="false">
      <c r="A316" s="7" t="str">
        <f aca="false">Scoring!CE323</f>
        <v/>
      </c>
      <c r="B316" s="7" t="str">
        <f aca="false">Scoring!CD323</f>
        <v/>
      </c>
      <c r="C316" s="7" t="n">
        <f aca="false">Scoring!C323</f>
        <v>0</v>
      </c>
      <c r="D316" s="181" t="str">
        <f aca="false">Scoring!CA323</f>
        <v/>
      </c>
      <c r="E316" s="7" t="str">
        <f aca="false">Scoring!BD323</f>
        <v/>
      </c>
      <c r="F316" s="7" t="n">
        <f aca="false">Scoring!B323</f>
        <v>0</v>
      </c>
      <c r="G316" s="7" t="n">
        <f aca="false">Scoring!D323</f>
        <v>0</v>
      </c>
      <c r="H316" s="7" t="str">
        <f aca="false">Scoring!CC323</f>
        <v/>
      </c>
      <c r="I316" s="182" t="str">
        <f aca="false">Scoring!CB323</f>
        <v/>
      </c>
    </row>
    <row r="317" customFormat="false" ht="15.75" hidden="false" customHeight="false" outlineLevel="0" collapsed="false">
      <c r="A317" s="7" t="str">
        <f aca="false">Scoring!CE324</f>
        <v/>
      </c>
      <c r="B317" s="7" t="str">
        <f aca="false">Scoring!CD324</f>
        <v/>
      </c>
      <c r="C317" s="7" t="n">
        <f aca="false">Scoring!C324</f>
        <v>0</v>
      </c>
      <c r="D317" s="181" t="str">
        <f aca="false">Scoring!CA324</f>
        <v/>
      </c>
      <c r="E317" s="7" t="str">
        <f aca="false">Scoring!BD324</f>
        <v/>
      </c>
      <c r="F317" s="7" t="n">
        <f aca="false">Scoring!B324</f>
        <v>0</v>
      </c>
      <c r="G317" s="7" t="n">
        <f aca="false">Scoring!D324</f>
        <v>0</v>
      </c>
      <c r="H317" s="7" t="str">
        <f aca="false">Scoring!CC324</f>
        <v/>
      </c>
      <c r="I317" s="182" t="str">
        <f aca="false">Scoring!CB324</f>
        <v/>
      </c>
    </row>
    <row r="318" customFormat="false" ht="15.75" hidden="false" customHeight="false" outlineLevel="0" collapsed="false">
      <c r="A318" s="7" t="str">
        <f aca="false">Scoring!CE325</f>
        <v/>
      </c>
      <c r="B318" s="7" t="str">
        <f aca="false">Scoring!CD325</f>
        <v/>
      </c>
      <c r="C318" s="7" t="n">
        <f aca="false">Scoring!C325</f>
        <v>0</v>
      </c>
      <c r="D318" s="181" t="str">
        <f aca="false">Scoring!CA325</f>
        <v/>
      </c>
      <c r="E318" s="7" t="str">
        <f aca="false">Scoring!BD325</f>
        <v/>
      </c>
      <c r="F318" s="7" t="n">
        <f aca="false">Scoring!B325</f>
        <v>0</v>
      </c>
      <c r="G318" s="7" t="n">
        <f aca="false">Scoring!D325</f>
        <v>0</v>
      </c>
      <c r="H318" s="7" t="str">
        <f aca="false">Scoring!CC325</f>
        <v/>
      </c>
      <c r="I318" s="182" t="str">
        <f aca="false">Scoring!CB325</f>
        <v/>
      </c>
    </row>
    <row r="319" customFormat="false" ht="15.75" hidden="false" customHeight="false" outlineLevel="0" collapsed="false">
      <c r="A319" s="7" t="str">
        <f aca="false">Scoring!CE326</f>
        <v/>
      </c>
      <c r="B319" s="7" t="str">
        <f aca="false">Scoring!CD326</f>
        <v/>
      </c>
      <c r="C319" s="7" t="n">
        <f aca="false">Scoring!C326</f>
        <v>0</v>
      </c>
      <c r="D319" s="181" t="str">
        <f aca="false">Scoring!CA326</f>
        <v/>
      </c>
      <c r="E319" s="7" t="str">
        <f aca="false">Scoring!BD326</f>
        <v/>
      </c>
      <c r="F319" s="7" t="n">
        <f aca="false">Scoring!B326</f>
        <v>0</v>
      </c>
      <c r="G319" s="7" t="n">
        <f aca="false">Scoring!D326</f>
        <v>0</v>
      </c>
      <c r="H319" s="7" t="str">
        <f aca="false">Scoring!CC326</f>
        <v/>
      </c>
      <c r="I319" s="182" t="str">
        <f aca="false">Scoring!CB326</f>
        <v/>
      </c>
    </row>
    <row r="320" customFormat="false" ht="15.75" hidden="false" customHeight="false" outlineLevel="0" collapsed="false">
      <c r="A320" s="7" t="str">
        <f aca="false">Scoring!CE327</f>
        <v/>
      </c>
      <c r="B320" s="7" t="str">
        <f aca="false">Scoring!CD327</f>
        <v/>
      </c>
      <c r="C320" s="7" t="n">
        <f aca="false">Scoring!C327</f>
        <v>0</v>
      </c>
      <c r="D320" s="181" t="str">
        <f aca="false">Scoring!CA327</f>
        <v/>
      </c>
      <c r="E320" s="7" t="str">
        <f aca="false">Scoring!BD327</f>
        <v/>
      </c>
      <c r="F320" s="7" t="n">
        <f aca="false">Scoring!B327</f>
        <v>0</v>
      </c>
      <c r="G320" s="7" t="n">
        <f aca="false">Scoring!D327</f>
        <v>0</v>
      </c>
      <c r="H320" s="7" t="str">
        <f aca="false">Scoring!CC327</f>
        <v/>
      </c>
      <c r="I320" s="182" t="str">
        <f aca="false">Scoring!CB327</f>
        <v/>
      </c>
    </row>
    <row r="321" customFormat="false" ht="15.75" hidden="false" customHeight="false" outlineLevel="0" collapsed="false">
      <c r="A321" s="7" t="str">
        <f aca="false">Scoring!CE328</f>
        <v/>
      </c>
      <c r="B321" s="7" t="str">
        <f aca="false">Scoring!CD328</f>
        <v/>
      </c>
      <c r="C321" s="7" t="n">
        <f aca="false">Scoring!C328</f>
        <v>0</v>
      </c>
      <c r="D321" s="181" t="str">
        <f aca="false">Scoring!CA328</f>
        <v/>
      </c>
      <c r="E321" s="7" t="str">
        <f aca="false">Scoring!BD328</f>
        <v/>
      </c>
      <c r="F321" s="7" t="n">
        <f aca="false">Scoring!B328</f>
        <v>0</v>
      </c>
      <c r="G321" s="7" t="n">
        <f aca="false">Scoring!D328</f>
        <v>0</v>
      </c>
      <c r="H321" s="7" t="str">
        <f aca="false">Scoring!CC328</f>
        <v/>
      </c>
      <c r="I321" s="182" t="str">
        <f aca="false">Scoring!CB328</f>
        <v/>
      </c>
    </row>
    <row r="322" customFormat="false" ht="15.75" hidden="false" customHeight="false" outlineLevel="0" collapsed="false">
      <c r="A322" s="7" t="str">
        <f aca="false">Scoring!CE329</f>
        <v/>
      </c>
      <c r="B322" s="7" t="str">
        <f aca="false">Scoring!CD329</f>
        <v/>
      </c>
      <c r="C322" s="7" t="n">
        <f aca="false">Scoring!C329</f>
        <v>0</v>
      </c>
      <c r="D322" s="181" t="str">
        <f aca="false">Scoring!CA329</f>
        <v/>
      </c>
      <c r="E322" s="7" t="str">
        <f aca="false">Scoring!BD329</f>
        <v/>
      </c>
      <c r="F322" s="7" t="n">
        <f aca="false">Scoring!B329</f>
        <v>0</v>
      </c>
      <c r="G322" s="7" t="n">
        <f aca="false">Scoring!D329</f>
        <v>0</v>
      </c>
      <c r="H322" s="7" t="str">
        <f aca="false">Scoring!CC329</f>
        <v/>
      </c>
      <c r="I322" s="182" t="str">
        <f aca="false">Scoring!CB329</f>
        <v/>
      </c>
    </row>
    <row r="323" customFormat="false" ht="15.75" hidden="false" customHeight="false" outlineLevel="0" collapsed="false">
      <c r="A323" s="7" t="str">
        <f aca="false">Scoring!CE330</f>
        <v/>
      </c>
      <c r="B323" s="7" t="str">
        <f aca="false">Scoring!CD330</f>
        <v/>
      </c>
      <c r="C323" s="7" t="n">
        <f aca="false">Scoring!C330</f>
        <v>0</v>
      </c>
      <c r="D323" s="181" t="str">
        <f aca="false">Scoring!CA330</f>
        <v/>
      </c>
      <c r="E323" s="7" t="str">
        <f aca="false">Scoring!BD330</f>
        <v/>
      </c>
      <c r="F323" s="7" t="n">
        <f aca="false">Scoring!B330</f>
        <v>0</v>
      </c>
      <c r="G323" s="7" t="n">
        <f aca="false">Scoring!D330</f>
        <v>0</v>
      </c>
      <c r="H323" s="7" t="str">
        <f aca="false">Scoring!CC330</f>
        <v/>
      </c>
      <c r="I323" s="182" t="str">
        <f aca="false">Scoring!CB330</f>
        <v/>
      </c>
    </row>
    <row r="324" customFormat="false" ht="15.75" hidden="false" customHeight="false" outlineLevel="0" collapsed="false">
      <c r="A324" s="7" t="str">
        <f aca="false">Scoring!CE331</f>
        <v/>
      </c>
      <c r="B324" s="7" t="str">
        <f aca="false">Scoring!CD331</f>
        <v/>
      </c>
      <c r="C324" s="7" t="n">
        <f aca="false">Scoring!C331</f>
        <v>0</v>
      </c>
      <c r="D324" s="181" t="str">
        <f aca="false">Scoring!CA331</f>
        <v/>
      </c>
      <c r="E324" s="7" t="str">
        <f aca="false">Scoring!BD331</f>
        <v/>
      </c>
      <c r="F324" s="7" t="n">
        <f aca="false">Scoring!B331</f>
        <v>0</v>
      </c>
      <c r="G324" s="7" t="n">
        <f aca="false">Scoring!D331</f>
        <v>0</v>
      </c>
      <c r="H324" s="7" t="str">
        <f aca="false">Scoring!CC331</f>
        <v/>
      </c>
      <c r="I324" s="182" t="str">
        <f aca="false">Scoring!CB331</f>
        <v/>
      </c>
    </row>
    <row r="325" customFormat="false" ht="15.75" hidden="false" customHeight="false" outlineLevel="0" collapsed="false">
      <c r="A325" s="7" t="str">
        <f aca="false">Scoring!CE332</f>
        <v/>
      </c>
      <c r="B325" s="7" t="str">
        <f aca="false">Scoring!CD332</f>
        <v/>
      </c>
      <c r="C325" s="7" t="n">
        <f aca="false">Scoring!C332</f>
        <v>0</v>
      </c>
      <c r="D325" s="181" t="str">
        <f aca="false">Scoring!CA332</f>
        <v/>
      </c>
      <c r="E325" s="7" t="str">
        <f aca="false">Scoring!BD332</f>
        <v/>
      </c>
      <c r="F325" s="7" t="n">
        <f aca="false">Scoring!B332</f>
        <v>0</v>
      </c>
      <c r="G325" s="7" t="n">
        <f aca="false">Scoring!D332</f>
        <v>0</v>
      </c>
      <c r="H325" s="7" t="str">
        <f aca="false">Scoring!CC332</f>
        <v/>
      </c>
      <c r="I325" s="182" t="str">
        <f aca="false">Scoring!CB332</f>
        <v/>
      </c>
    </row>
    <row r="326" customFormat="false" ht="15.75" hidden="false" customHeight="false" outlineLevel="0" collapsed="false">
      <c r="A326" s="7" t="str">
        <f aca="false">Scoring!CE333</f>
        <v/>
      </c>
      <c r="B326" s="7" t="str">
        <f aca="false">Scoring!CD333</f>
        <v/>
      </c>
      <c r="C326" s="7" t="n">
        <f aca="false">Scoring!C333</f>
        <v>0</v>
      </c>
      <c r="D326" s="181" t="str">
        <f aca="false">Scoring!CA333</f>
        <v/>
      </c>
      <c r="E326" s="7" t="str">
        <f aca="false">Scoring!BD333</f>
        <v/>
      </c>
      <c r="F326" s="7" t="n">
        <f aca="false">Scoring!B333</f>
        <v>0</v>
      </c>
      <c r="G326" s="7" t="n">
        <f aca="false">Scoring!D333</f>
        <v>0</v>
      </c>
      <c r="H326" s="7" t="str">
        <f aca="false">Scoring!CC333</f>
        <v/>
      </c>
      <c r="I326" s="182" t="str">
        <f aca="false">Scoring!CB333</f>
        <v/>
      </c>
    </row>
    <row r="327" customFormat="false" ht="15.75" hidden="false" customHeight="false" outlineLevel="0" collapsed="false">
      <c r="A327" s="7" t="str">
        <f aca="false">Scoring!CE334</f>
        <v/>
      </c>
      <c r="B327" s="7" t="str">
        <f aca="false">Scoring!CD334</f>
        <v/>
      </c>
      <c r="C327" s="7" t="n">
        <f aca="false">Scoring!C334</f>
        <v>0</v>
      </c>
      <c r="D327" s="181" t="str">
        <f aca="false">Scoring!CA334</f>
        <v/>
      </c>
      <c r="E327" s="7" t="str">
        <f aca="false">Scoring!BD334</f>
        <v/>
      </c>
      <c r="F327" s="7" t="n">
        <f aca="false">Scoring!B334</f>
        <v>0</v>
      </c>
      <c r="G327" s="7" t="n">
        <f aca="false">Scoring!D334</f>
        <v>0</v>
      </c>
      <c r="H327" s="7" t="str">
        <f aca="false">Scoring!CC334</f>
        <v/>
      </c>
      <c r="I327" s="182" t="str">
        <f aca="false">Scoring!CB334</f>
        <v/>
      </c>
    </row>
    <row r="328" customFormat="false" ht="15.75" hidden="false" customHeight="false" outlineLevel="0" collapsed="false">
      <c r="A328" s="7" t="str">
        <f aca="false">Scoring!CE335</f>
        <v/>
      </c>
      <c r="B328" s="7" t="str">
        <f aca="false">Scoring!CD335</f>
        <v/>
      </c>
      <c r="C328" s="7" t="n">
        <f aca="false">Scoring!C335</f>
        <v>0</v>
      </c>
      <c r="D328" s="181" t="str">
        <f aca="false">Scoring!CA335</f>
        <v/>
      </c>
      <c r="E328" s="7" t="str">
        <f aca="false">Scoring!BD335</f>
        <v/>
      </c>
      <c r="F328" s="7" t="n">
        <f aca="false">Scoring!B335</f>
        <v>0</v>
      </c>
      <c r="G328" s="7" t="n">
        <f aca="false">Scoring!D335</f>
        <v>0</v>
      </c>
      <c r="H328" s="7" t="str">
        <f aca="false">Scoring!CC335</f>
        <v/>
      </c>
      <c r="I328" s="182" t="str">
        <f aca="false">Scoring!CB335</f>
        <v/>
      </c>
    </row>
    <row r="329" customFormat="false" ht="15.75" hidden="false" customHeight="false" outlineLevel="0" collapsed="false">
      <c r="A329" s="7" t="str">
        <f aca="false">Scoring!CE336</f>
        <v/>
      </c>
      <c r="B329" s="7" t="str">
        <f aca="false">Scoring!CD336</f>
        <v/>
      </c>
      <c r="C329" s="7" t="n">
        <f aca="false">Scoring!C336</f>
        <v>0</v>
      </c>
      <c r="D329" s="181" t="str">
        <f aca="false">Scoring!CA336</f>
        <v/>
      </c>
      <c r="E329" s="7" t="str">
        <f aca="false">Scoring!BD336</f>
        <v/>
      </c>
      <c r="F329" s="7" t="n">
        <f aca="false">Scoring!B336</f>
        <v>0</v>
      </c>
      <c r="G329" s="7" t="n">
        <f aca="false">Scoring!D336</f>
        <v>0</v>
      </c>
      <c r="H329" s="7" t="str">
        <f aca="false">Scoring!CC336</f>
        <v/>
      </c>
      <c r="I329" s="182" t="str">
        <f aca="false">Scoring!CB336</f>
        <v/>
      </c>
    </row>
    <row r="330" customFormat="false" ht="15.75" hidden="false" customHeight="false" outlineLevel="0" collapsed="false">
      <c r="A330" s="7" t="str">
        <f aca="false">Scoring!CE337</f>
        <v/>
      </c>
      <c r="B330" s="7" t="str">
        <f aca="false">Scoring!CD337</f>
        <v/>
      </c>
      <c r="C330" s="7" t="n">
        <f aca="false">Scoring!C337</f>
        <v>0</v>
      </c>
      <c r="D330" s="181" t="str">
        <f aca="false">Scoring!CA337</f>
        <v/>
      </c>
      <c r="E330" s="7" t="str">
        <f aca="false">Scoring!BD337</f>
        <v/>
      </c>
      <c r="F330" s="7" t="n">
        <f aca="false">Scoring!B337</f>
        <v>0</v>
      </c>
      <c r="G330" s="7" t="n">
        <f aca="false">Scoring!D337</f>
        <v>0</v>
      </c>
      <c r="H330" s="7" t="str">
        <f aca="false">Scoring!CC337</f>
        <v/>
      </c>
      <c r="I330" s="182" t="str">
        <f aca="false">Scoring!CB337</f>
        <v/>
      </c>
    </row>
    <row r="331" customFormat="false" ht="15.75" hidden="false" customHeight="false" outlineLevel="0" collapsed="false">
      <c r="A331" s="7" t="str">
        <f aca="false">Scoring!CE338</f>
        <v/>
      </c>
      <c r="B331" s="7" t="str">
        <f aca="false">Scoring!CD338</f>
        <v/>
      </c>
      <c r="C331" s="7" t="n">
        <f aca="false">Scoring!C338</f>
        <v>0</v>
      </c>
      <c r="D331" s="181" t="str">
        <f aca="false">Scoring!CA338</f>
        <v/>
      </c>
      <c r="E331" s="7" t="str">
        <f aca="false">Scoring!BD338</f>
        <v/>
      </c>
      <c r="F331" s="7" t="n">
        <f aca="false">Scoring!B338</f>
        <v>0</v>
      </c>
      <c r="G331" s="7" t="n">
        <f aca="false">Scoring!D338</f>
        <v>0</v>
      </c>
      <c r="H331" s="7" t="str">
        <f aca="false">Scoring!CC338</f>
        <v/>
      </c>
      <c r="I331" s="182" t="str">
        <f aca="false">Scoring!CB338</f>
        <v/>
      </c>
    </row>
    <row r="332" customFormat="false" ht="15.75" hidden="false" customHeight="false" outlineLevel="0" collapsed="false">
      <c r="A332" s="7" t="str">
        <f aca="false">Scoring!CE339</f>
        <v/>
      </c>
      <c r="B332" s="7" t="str">
        <f aca="false">Scoring!CD339</f>
        <v/>
      </c>
      <c r="C332" s="7" t="n">
        <f aca="false">Scoring!C339</f>
        <v>0</v>
      </c>
      <c r="D332" s="181" t="str">
        <f aca="false">Scoring!CA339</f>
        <v/>
      </c>
      <c r="E332" s="7" t="str">
        <f aca="false">Scoring!BD339</f>
        <v/>
      </c>
      <c r="F332" s="7" t="n">
        <f aca="false">Scoring!B339</f>
        <v>0</v>
      </c>
      <c r="G332" s="7" t="n">
        <f aca="false">Scoring!D339</f>
        <v>0</v>
      </c>
      <c r="H332" s="7" t="str">
        <f aca="false">Scoring!CC339</f>
        <v/>
      </c>
      <c r="I332" s="182" t="str">
        <f aca="false">Scoring!CB339</f>
        <v/>
      </c>
    </row>
    <row r="333" customFormat="false" ht="15.75" hidden="false" customHeight="false" outlineLevel="0" collapsed="false">
      <c r="A333" s="7" t="str">
        <f aca="false">Scoring!CE340</f>
        <v/>
      </c>
      <c r="B333" s="7" t="str">
        <f aca="false">Scoring!CD340</f>
        <v/>
      </c>
      <c r="C333" s="7" t="n">
        <f aca="false">Scoring!C340</f>
        <v>0</v>
      </c>
      <c r="D333" s="181" t="str">
        <f aca="false">Scoring!CA340</f>
        <v/>
      </c>
      <c r="E333" s="7" t="str">
        <f aca="false">Scoring!BD340</f>
        <v/>
      </c>
      <c r="F333" s="7" t="n">
        <f aca="false">Scoring!B340</f>
        <v>0</v>
      </c>
      <c r="G333" s="7" t="n">
        <f aca="false">Scoring!D340</f>
        <v>0</v>
      </c>
      <c r="H333" s="7" t="str">
        <f aca="false">Scoring!CC340</f>
        <v/>
      </c>
      <c r="I333" s="182" t="str">
        <f aca="false">Scoring!CB340</f>
        <v/>
      </c>
    </row>
    <row r="334" customFormat="false" ht="15.75" hidden="false" customHeight="false" outlineLevel="0" collapsed="false">
      <c r="A334" s="7" t="str">
        <f aca="false">Scoring!CE341</f>
        <v/>
      </c>
      <c r="B334" s="7" t="str">
        <f aca="false">Scoring!CD341</f>
        <v/>
      </c>
      <c r="C334" s="7" t="n">
        <f aca="false">Scoring!C341</f>
        <v>0</v>
      </c>
      <c r="D334" s="181" t="str">
        <f aca="false">Scoring!CA341</f>
        <v/>
      </c>
      <c r="E334" s="7" t="str">
        <f aca="false">Scoring!BD341</f>
        <v/>
      </c>
      <c r="F334" s="7" t="n">
        <f aca="false">Scoring!B341</f>
        <v>0</v>
      </c>
      <c r="G334" s="7" t="n">
        <f aca="false">Scoring!D341</f>
        <v>0</v>
      </c>
      <c r="H334" s="7" t="str">
        <f aca="false">Scoring!CC341</f>
        <v/>
      </c>
      <c r="I334" s="182" t="str">
        <f aca="false">Scoring!CB341</f>
        <v/>
      </c>
    </row>
    <row r="335" customFormat="false" ht="15.75" hidden="false" customHeight="false" outlineLevel="0" collapsed="false">
      <c r="A335" s="7" t="str">
        <f aca="false">Scoring!CE342</f>
        <v/>
      </c>
      <c r="B335" s="7" t="str">
        <f aca="false">Scoring!CD342</f>
        <v/>
      </c>
      <c r="C335" s="7" t="n">
        <f aca="false">Scoring!C342</f>
        <v>0</v>
      </c>
      <c r="D335" s="181" t="str">
        <f aca="false">Scoring!CA342</f>
        <v/>
      </c>
      <c r="E335" s="7" t="str">
        <f aca="false">Scoring!BD342</f>
        <v/>
      </c>
      <c r="F335" s="7" t="n">
        <f aca="false">Scoring!B342</f>
        <v>0</v>
      </c>
      <c r="G335" s="7" t="n">
        <f aca="false">Scoring!D342</f>
        <v>0</v>
      </c>
      <c r="H335" s="7" t="str">
        <f aca="false">Scoring!CC342</f>
        <v/>
      </c>
      <c r="I335" s="182" t="str">
        <f aca="false">Scoring!CB342</f>
        <v/>
      </c>
    </row>
    <row r="336" customFormat="false" ht="15.75" hidden="false" customHeight="false" outlineLevel="0" collapsed="false">
      <c r="A336" s="7" t="str">
        <f aca="false">Scoring!CE343</f>
        <v/>
      </c>
      <c r="B336" s="7" t="str">
        <f aca="false">Scoring!CD343</f>
        <v/>
      </c>
      <c r="C336" s="7" t="n">
        <f aca="false">Scoring!C343</f>
        <v>0</v>
      </c>
      <c r="D336" s="181" t="str">
        <f aca="false">Scoring!CA343</f>
        <v/>
      </c>
      <c r="E336" s="7" t="str">
        <f aca="false">Scoring!BD343</f>
        <v/>
      </c>
      <c r="F336" s="7" t="n">
        <f aca="false">Scoring!B343</f>
        <v>0</v>
      </c>
      <c r="G336" s="7" t="n">
        <f aca="false">Scoring!D343</f>
        <v>0</v>
      </c>
      <c r="H336" s="7" t="str">
        <f aca="false">Scoring!CC343</f>
        <v/>
      </c>
      <c r="I336" s="182" t="str">
        <f aca="false">Scoring!CB343</f>
        <v/>
      </c>
    </row>
    <row r="337" customFormat="false" ht="15.75" hidden="false" customHeight="false" outlineLevel="0" collapsed="false">
      <c r="A337" s="7" t="str">
        <f aca="false">Scoring!CE344</f>
        <v/>
      </c>
      <c r="B337" s="7" t="str">
        <f aca="false">Scoring!CD344</f>
        <v/>
      </c>
      <c r="C337" s="7" t="n">
        <f aca="false">Scoring!C344</f>
        <v>0</v>
      </c>
      <c r="D337" s="181" t="str">
        <f aca="false">Scoring!CA344</f>
        <v/>
      </c>
      <c r="E337" s="7" t="str">
        <f aca="false">Scoring!BD344</f>
        <v/>
      </c>
      <c r="F337" s="7" t="n">
        <f aca="false">Scoring!B344</f>
        <v>0</v>
      </c>
      <c r="G337" s="7" t="n">
        <f aca="false">Scoring!D344</f>
        <v>0</v>
      </c>
      <c r="H337" s="7" t="str">
        <f aca="false">Scoring!CC344</f>
        <v/>
      </c>
      <c r="I337" s="182" t="str">
        <f aca="false">Scoring!CB344</f>
        <v/>
      </c>
    </row>
    <row r="338" customFormat="false" ht="15.75" hidden="false" customHeight="false" outlineLevel="0" collapsed="false">
      <c r="A338" s="7" t="str">
        <f aca="false">Scoring!CE345</f>
        <v/>
      </c>
      <c r="B338" s="7" t="str">
        <f aca="false">Scoring!CD345</f>
        <v/>
      </c>
      <c r="C338" s="7" t="n">
        <f aca="false">Scoring!C345</f>
        <v>0</v>
      </c>
      <c r="D338" s="181" t="str">
        <f aca="false">Scoring!CA345</f>
        <v/>
      </c>
      <c r="E338" s="7" t="str">
        <f aca="false">Scoring!BD345</f>
        <v/>
      </c>
      <c r="F338" s="7" t="n">
        <f aca="false">Scoring!B345</f>
        <v>0</v>
      </c>
      <c r="G338" s="7" t="n">
        <f aca="false">Scoring!D345</f>
        <v>0</v>
      </c>
      <c r="H338" s="7" t="str">
        <f aca="false">Scoring!CC345</f>
        <v/>
      </c>
      <c r="I338" s="182" t="str">
        <f aca="false">Scoring!CB345</f>
        <v/>
      </c>
    </row>
    <row r="339" customFormat="false" ht="15.75" hidden="false" customHeight="false" outlineLevel="0" collapsed="false">
      <c r="A339" s="7" t="str">
        <f aca="false">Scoring!CE346</f>
        <v/>
      </c>
      <c r="B339" s="7" t="str">
        <f aca="false">Scoring!CD346</f>
        <v/>
      </c>
      <c r="C339" s="7" t="n">
        <f aca="false">Scoring!C346</f>
        <v>0</v>
      </c>
      <c r="D339" s="181" t="str">
        <f aca="false">Scoring!CA346</f>
        <v/>
      </c>
      <c r="E339" s="7" t="str">
        <f aca="false">Scoring!BD346</f>
        <v/>
      </c>
      <c r="F339" s="7" t="n">
        <f aca="false">Scoring!B346</f>
        <v>0</v>
      </c>
      <c r="G339" s="7" t="n">
        <f aca="false">Scoring!D346</f>
        <v>0</v>
      </c>
      <c r="H339" s="7" t="str">
        <f aca="false">Scoring!CC346</f>
        <v/>
      </c>
      <c r="I339" s="182" t="str">
        <f aca="false">Scoring!CB346</f>
        <v/>
      </c>
    </row>
    <row r="340" customFormat="false" ht="15.75" hidden="false" customHeight="false" outlineLevel="0" collapsed="false">
      <c r="A340" s="7" t="str">
        <f aca="false">Scoring!CE347</f>
        <v/>
      </c>
      <c r="B340" s="7" t="str">
        <f aca="false">Scoring!CD347</f>
        <v/>
      </c>
      <c r="C340" s="7" t="n">
        <f aca="false">Scoring!C347</f>
        <v>0</v>
      </c>
      <c r="D340" s="181" t="str">
        <f aca="false">Scoring!CA347</f>
        <v/>
      </c>
      <c r="E340" s="7" t="str">
        <f aca="false">Scoring!BD347</f>
        <v/>
      </c>
      <c r="F340" s="7" t="n">
        <f aca="false">Scoring!B347</f>
        <v>0</v>
      </c>
      <c r="G340" s="7" t="n">
        <f aca="false">Scoring!D347</f>
        <v>0</v>
      </c>
      <c r="H340" s="7" t="str">
        <f aca="false">Scoring!CC347</f>
        <v/>
      </c>
      <c r="I340" s="182" t="str">
        <f aca="false">Scoring!CB347</f>
        <v/>
      </c>
    </row>
    <row r="341" customFormat="false" ht="15.75" hidden="false" customHeight="false" outlineLevel="0" collapsed="false">
      <c r="A341" s="7" t="str">
        <f aca="false">Scoring!CE348</f>
        <v/>
      </c>
      <c r="B341" s="7" t="str">
        <f aca="false">Scoring!CD348</f>
        <v/>
      </c>
      <c r="C341" s="7" t="n">
        <f aca="false">Scoring!C348</f>
        <v>0</v>
      </c>
      <c r="D341" s="181" t="str">
        <f aca="false">Scoring!CA348</f>
        <v/>
      </c>
      <c r="E341" s="7" t="str">
        <f aca="false">Scoring!BD348</f>
        <v/>
      </c>
      <c r="F341" s="7" t="n">
        <f aca="false">Scoring!B348</f>
        <v>0</v>
      </c>
      <c r="G341" s="7" t="n">
        <f aca="false">Scoring!D348</f>
        <v>0</v>
      </c>
      <c r="H341" s="7" t="str">
        <f aca="false">Scoring!CC348</f>
        <v/>
      </c>
      <c r="I341" s="182" t="str">
        <f aca="false">Scoring!CB348</f>
        <v/>
      </c>
    </row>
    <row r="342" customFormat="false" ht="15.75" hidden="false" customHeight="false" outlineLevel="0" collapsed="false">
      <c r="A342" s="7" t="str">
        <f aca="false">Scoring!CE349</f>
        <v/>
      </c>
      <c r="B342" s="7" t="str">
        <f aca="false">Scoring!CD349</f>
        <v/>
      </c>
      <c r="C342" s="7" t="n">
        <f aca="false">Scoring!C349</f>
        <v>0</v>
      </c>
      <c r="D342" s="181" t="str">
        <f aca="false">Scoring!CA349</f>
        <v/>
      </c>
      <c r="E342" s="7" t="str">
        <f aca="false">Scoring!BD349</f>
        <v/>
      </c>
      <c r="F342" s="7" t="n">
        <f aca="false">Scoring!B349</f>
        <v>0</v>
      </c>
      <c r="G342" s="7" t="n">
        <f aca="false">Scoring!D349</f>
        <v>0</v>
      </c>
      <c r="H342" s="7" t="str">
        <f aca="false">Scoring!CC349</f>
        <v/>
      </c>
      <c r="I342" s="182" t="str">
        <f aca="false">Scoring!CB349</f>
        <v/>
      </c>
    </row>
    <row r="343" customFormat="false" ht="15.75" hidden="false" customHeight="false" outlineLevel="0" collapsed="false">
      <c r="A343" s="7" t="str">
        <f aca="false">Scoring!CE350</f>
        <v/>
      </c>
      <c r="B343" s="7" t="str">
        <f aca="false">Scoring!CD350</f>
        <v/>
      </c>
      <c r="C343" s="7" t="n">
        <f aca="false">Scoring!C350</f>
        <v>0</v>
      </c>
      <c r="D343" s="181" t="str">
        <f aca="false">Scoring!CA350</f>
        <v/>
      </c>
      <c r="E343" s="7" t="str">
        <f aca="false">Scoring!BD350</f>
        <v/>
      </c>
      <c r="F343" s="7" t="n">
        <f aca="false">Scoring!B350</f>
        <v>0</v>
      </c>
      <c r="G343" s="7" t="n">
        <f aca="false">Scoring!D350</f>
        <v>0</v>
      </c>
      <c r="H343" s="7" t="str">
        <f aca="false">Scoring!CC350</f>
        <v/>
      </c>
      <c r="I343" s="182" t="str">
        <f aca="false">Scoring!CB350</f>
        <v/>
      </c>
    </row>
    <row r="344" customFormat="false" ht="15.75" hidden="false" customHeight="false" outlineLevel="0" collapsed="false">
      <c r="A344" s="7" t="str">
        <f aca="false">Scoring!CE351</f>
        <v/>
      </c>
      <c r="B344" s="7" t="str">
        <f aca="false">Scoring!CD351</f>
        <v/>
      </c>
      <c r="C344" s="7" t="n">
        <f aca="false">Scoring!C351</f>
        <v>0</v>
      </c>
      <c r="D344" s="181" t="str">
        <f aca="false">Scoring!CA351</f>
        <v/>
      </c>
      <c r="E344" s="7" t="str">
        <f aca="false">Scoring!BD351</f>
        <v/>
      </c>
      <c r="F344" s="7" t="n">
        <f aca="false">Scoring!B351</f>
        <v>0</v>
      </c>
      <c r="G344" s="7" t="n">
        <f aca="false">Scoring!D351</f>
        <v>0</v>
      </c>
      <c r="H344" s="7" t="str">
        <f aca="false">Scoring!CC351</f>
        <v/>
      </c>
      <c r="I344" s="182" t="str">
        <f aca="false">Scoring!CB351</f>
        <v/>
      </c>
    </row>
    <row r="345" customFormat="false" ht="15.75" hidden="false" customHeight="false" outlineLevel="0" collapsed="false">
      <c r="A345" s="7" t="str">
        <f aca="false">Scoring!CE352</f>
        <v/>
      </c>
      <c r="B345" s="7" t="str">
        <f aca="false">Scoring!CD352</f>
        <v/>
      </c>
      <c r="C345" s="7" t="n">
        <f aca="false">Scoring!C352</f>
        <v>0</v>
      </c>
      <c r="D345" s="181" t="str">
        <f aca="false">Scoring!CA352</f>
        <v/>
      </c>
      <c r="E345" s="7" t="str">
        <f aca="false">Scoring!BD352</f>
        <v/>
      </c>
      <c r="F345" s="7" t="n">
        <f aca="false">Scoring!B352</f>
        <v>0</v>
      </c>
      <c r="G345" s="7" t="n">
        <f aca="false">Scoring!D352</f>
        <v>0</v>
      </c>
      <c r="H345" s="7" t="str">
        <f aca="false">Scoring!CC352</f>
        <v/>
      </c>
      <c r="I345" s="182" t="str">
        <f aca="false">Scoring!CB352</f>
        <v/>
      </c>
    </row>
    <row r="346" customFormat="false" ht="15.75" hidden="false" customHeight="false" outlineLevel="0" collapsed="false">
      <c r="A346" s="7" t="str">
        <f aca="false">Scoring!CE353</f>
        <v/>
      </c>
      <c r="B346" s="7" t="str">
        <f aca="false">Scoring!CD353</f>
        <v/>
      </c>
      <c r="C346" s="7" t="n">
        <f aca="false">Scoring!C353</f>
        <v>0</v>
      </c>
      <c r="D346" s="181" t="str">
        <f aca="false">Scoring!CA353</f>
        <v/>
      </c>
      <c r="E346" s="7" t="str">
        <f aca="false">Scoring!BD353</f>
        <v/>
      </c>
      <c r="F346" s="7" t="n">
        <f aca="false">Scoring!B353</f>
        <v>0</v>
      </c>
      <c r="G346" s="7" t="n">
        <f aca="false">Scoring!D353</f>
        <v>0</v>
      </c>
      <c r="H346" s="7" t="str">
        <f aca="false">Scoring!CC353</f>
        <v/>
      </c>
      <c r="I346" s="182" t="str">
        <f aca="false">Scoring!CB353</f>
        <v/>
      </c>
    </row>
    <row r="347" customFormat="false" ht="15.75" hidden="false" customHeight="false" outlineLevel="0" collapsed="false">
      <c r="A347" s="7" t="str">
        <f aca="false">Scoring!CE354</f>
        <v/>
      </c>
      <c r="B347" s="7" t="str">
        <f aca="false">Scoring!CD354</f>
        <v/>
      </c>
      <c r="C347" s="7" t="n">
        <f aca="false">Scoring!C354</f>
        <v>0</v>
      </c>
      <c r="D347" s="181" t="str">
        <f aca="false">Scoring!CA354</f>
        <v/>
      </c>
      <c r="E347" s="7" t="str">
        <f aca="false">Scoring!BD354</f>
        <v/>
      </c>
      <c r="F347" s="7" t="n">
        <f aca="false">Scoring!B354</f>
        <v>0</v>
      </c>
      <c r="G347" s="7" t="n">
        <f aca="false">Scoring!D354</f>
        <v>0</v>
      </c>
      <c r="H347" s="7" t="str">
        <f aca="false">Scoring!CC354</f>
        <v/>
      </c>
      <c r="I347" s="182" t="str">
        <f aca="false">Scoring!CB354</f>
        <v/>
      </c>
    </row>
    <row r="348" customFormat="false" ht="15.75" hidden="false" customHeight="false" outlineLevel="0" collapsed="false">
      <c r="A348" s="7" t="str">
        <f aca="false">Scoring!CE355</f>
        <v/>
      </c>
      <c r="B348" s="7" t="str">
        <f aca="false">Scoring!CD355</f>
        <v/>
      </c>
      <c r="C348" s="7" t="n">
        <f aca="false">Scoring!C355</f>
        <v>0</v>
      </c>
      <c r="D348" s="181" t="str">
        <f aca="false">Scoring!CA355</f>
        <v/>
      </c>
      <c r="E348" s="7" t="str">
        <f aca="false">Scoring!BD355</f>
        <v/>
      </c>
      <c r="F348" s="7" t="n">
        <f aca="false">Scoring!B355</f>
        <v>0</v>
      </c>
      <c r="G348" s="7" t="n">
        <f aca="false">Scoring!D355</f>
        <v>0</v>
      </c>
      <c r="H348" s="7" t="str">
        <f aca="false">Scoring!CC355</f>
        <v/>
      </c>
      <c r="I348" s="182" t="str">
        <f aca="false">Scoring!CB355</f>
        <v/>
      </c>
    </row>
    <row r="349" customFormat="false" ht="15.75" hidden="false" customHeight="false" outlineLevel="0" collapsed="false">
      <c r="A349" s="7" t="str">
        <f aca="false">Scoring!CE356</f>
        <v/>
      </c>
      <c r="B349" s="7" t="str">
        <f aca="false">Scoring!CD356</f>
        <v/>
      </c>
      <c r="C349" s="7" t="n">
        <f aca="false">Scoring!C356</f>
        <v>0</v>
      </c>
      <c r="D349" s="181" t="str">
        <f aca="false">Scoring!CA356</f>
        <v/>
      </c>
      <c r="E349" s="7" t="str">
        <f aca="false">Scoring!BD356</f>
        <v/>
      </c>
      <c r="F349" s="7" t="n">
        <f aca="false">Scoring!B356</f>
        <v>0</v>
      </c>
      <c r="G349" s="7" t="n">
        <f aca="false">Scoring!D356</f>
        <v>0</v>
      </c>
      <c r="H349" s="7" t="str">
        <f aca="false">Scoring!CC356</f>
        <v/>
      </c>
      <c r="I349" s="182" t="str">
        <f aca="false">Scoring!CB356</f>
        <v/>
      </c>
    </row>
    <row r="350" customFormat="false" ht="15.75" hidden="false" customHeight="false" outlineLevel="0" collapsed="false">
      <c r="A350" s="7" t="str">
        <f aca="false">Scoring!CE357</f>
        <v/>
      </c>
      <c r="B350" s="7" t="str">
        <f aca="false">Scoring!CD357</f>
        <v/>
      </c>
      <c r="C350" s="7" t="n">
        <f aca="false">Scoring!C357</f>
        <v>0</v>
      </c>
      <c r="D350" s="181" t="str">
        <f aca="false">Scoring!CA357</f>
        <v/>
      </c>
      <c r="E350" s="7" t="str">
        <f aca="false">Scoring!BD357</f>
        <v/>
      </c>
      <c r="F350" s="7" t="n">
        <f aca="false">Scoring!B357</f>
        <v>0</v>
      </c>
      <c r="G350" s="7" t="n">
        <f aca="false">Scoring!D357</f>
        <v>0</v>
      </c>
      <c r="H350" s="7" t="str">
        <f aca="false">Scoring!CC357</f>
        <v/>
      </c>
      <c r="I350" s="182" t="str">
        <f aca="false">Scoring!CB357</f>
        <v/>
      </c>
    </row>
    <row r="351" customFormat="false" ht="15.75" hidden="false" customHeight="false" outlineLevel="0" collapsed="false">
      <c r="A351" s="7" t="str">
        <f aca="false">Scoring!CE358</f>
        <v/>
      </c>
      <c r="B351" s="7" t="str">
        <f aca="false">Scoring!CD358</f>
        <v/>
      </c>
      <c r="C351" s="7" t="n">
        <f aca="false">Scoring!C358</f>
        <v>0</v>
      </c>
      <c r="D351" s="181" t="str">
        <f aca="false">Scoring!CA358</f>
        <v/>
      </c>
      <c r="E351" s="7" t="str">
        <f aca="false">Scoring!BD358</f>
        <v/>
      </c>
      <c r="F351" s="7" t="n">
        <f aca="false">Scoring!B358</f>
        <v>0</v>
      </c>
      <c r="G351" s="7" t="n">
        <f aca="false">Scoring!D358</f>
        <v>0</v>
      </c>
      <c r="H351" s="7" t="str">
        <f aca="false">Scoring!CC358</f>
        <v/>
      </c>
      <c r="I351" s="182" t="str">
        <f aca="false">Scoring!CB358</f>
        <v/>
      </c>
    </row>
    <row r="352" customFormat="false" ht="15.75" hidden="false" customHeight="false" outlineLevel="0" collapsed="false">
      <c r="A352" s="7" t="str">
        <f aca="false">Scoring!CE359</f>
        <v/>
      </c>
      <c r="B352" s="7" t="str">
        <f aca="false">Scoring!CD359</f>
        <v/>
      </c>
      <c r="C352" s="7" t="n">
        <f aca="false">Scoring!C359</f>
        <v>0</v>
      </c>
      <c r="D352" s="181" t="str">
        <f aca="false">Scoring!CA359</f>
        <v/>
      </c>
      <c r="E352" s="7" t="str">
        <f aca="false">Scoring!BD359</f>
        <v/>
      </c>
      <c r="F352" s="7" t="n">
        <f aca="false">Scoring!B359</f>
        <v>0</v>
      </c>
      <c r="G352" s="7" t="n">
        <f aca="false">Scoring!D359</f>
        <v>0</v>
      </c>
      <c r="H352" s="7" t="str">
        <f aca="false">Scoring!CC359</f>
        <v/>
      </c>
      <c r="I352" s="182" t="str">
        <f aca="false">Scoring!CB359</f>
        <v/>
      </c>
    </row>
    <row r="353" customFormat="false" ht="15.75" hidden="false" customHeight="false" outlineLevel="0" collapsed="false">
      <c r="A353" s="7" t="str">
        <f aca="false">Scoring!CE360</f>
        <v/>
      </c>
      <c r="B353" s="7" t="str">
        <f aca="false">Scoring!CD360</f>
        <v/>
      </c>
      <c r="C353" s="7" t="n">
        <f aca="false">Scoring!C360</f>
        <v>0</v>
      </c>
      <c r="D353" s="181" t="str">
        <f aca="false">Scoring!CA360</f>
        <v/>
      </c>
      <c r="E353" s="7" t="str">
        <f aca="false">Scoring!BD360</f>
        <v/>
      </c>
      <c r="F353" s="7" t="n">
        <f aca="false">Scoring!B360</f>
        <v>0</v>
      </c>
      <c r="G353" s="7" t="n">
        <f aca="false">Scoring!D360</f>
        <v>0</v>
      </c>
      <c r="H353" s="7" t="str">
        <f aca="false">Scoring!CC360</f>
        <v/>
      </c>
      <c r="I353" s="182" t="str">
        <f aca="false">Scoring!CB360</f>
        <v/>
      </c>
    </row>
    <row r="354" customFormat="false" ht="15.75" hidden="false" customHeight="false" outlineLevel="0" collapsed="false">
      <c r="A354" s="7" t="str">
        <f aca="false">Scoring!CE361</f>
        <v/>
      </c>
      <c r="B354" s="7" t="str">
        <f aca="false">Scoring!CD361</f>
        <v/>
      </c>
      <c r="C354" s="7" t="n">
        <f aca="false">Scoring!C361</f>
        <v>0</v>
      </c>
      <c r="D354" s="181" t="str">
        <f aca="false">Scoring!CA361</f>
        <v/>
      </c>
      <c r="E354" s="7" t="str">
        <f aca="false">Scoring!BD361</f>
        <v/>
      </c>
      <c r="F354" s="7" t="n">
        <f aca="false">Scoring!B361</f>
        <v>0</v>
      </c>
      <c r="G354" s="7" t="n">
        <f aca="false">Scoring!D361</f>
        <v>0</v>
      </c>
      <c r="H354" s="7" t="str">
        <f aca="false">Scoring!CC361</f>
        <v/>
      </c>
      <c r="I354" s="182" t="str">
        <f aca="false">Scoring!CB361</f>
        <v/>
      </c>
    </row>
    <row r="355" customFormat="false" ht="15.75" hidden="false" customHeight="false" outlineLevel="0" collapsed="false">
      <c r="A355" s="7" t="str">
        <f aca="false">Scoring!CE362</f>
        <v/>
      </c>
      <c r="B355" s="7" t="str">
        <f aca="false">Scoring!CD362</f>
        <v/>
      </c>
      <c r="C355" s="7" t="n">
        <f aca="false">Scoring!C362</f>
        <v>0</v>
      </c>
      <c r="D355" s="181" t="str">
        <f aca="false">Scoring!CA362</f>
        <v/>
      </c>
      <c r="E355" s="7" t="str">
        <f aca="false">Scoring!BD362</f>
        <v/>
      </c>
      <c r="F355" s="7" t="n">
        <f aca="false">Scoring!B362</f>
        <v>0</v>
      </c>
      <c r="G355" s="7" t="n">
        <f aca="false">Scoring!D362</f>
        <v>0</v>
      </c>
      <c r="H355" s="7" t="str">
        <f aca="false">Scoring!CC362</f>
        <v/>
      </c>
      <c r="I355" s="182" t="str">
        <f aca="false">Scoring!CB362</f>
        <v/>
      </c>
    </row>
    <row r="356" customFormat="false" ht="15.75" hidden="false" customHeight="false" outlineLevel="0" collapsed="false">
      <c r="A356" s="7" t="str">
        <f aca="false">Scoring!CE363</f>
        <v/>
      </c>
      <c r="B356" s="7" t="str">
        <f aca="false">Scoring!CD363</f>
        <v/>
      </c>
      <c r="C356" s="7" t="n">
        <f aca="false">Scoring!C363</f>
        <v>0</v>
      </c>
      <c r="D356" s="181" t="str">
        <f aca="false">Scoring!CA363</f>
        <v/>
      </c>
      <c r="E356" s="7" t="str">
        <f aca="false">Scoring!BD363</f>
        <v/>
      </c>
      <c r="F356" s="7" t="n">
        <f aca="false">Scoring!B363</f>
        <v>0</v>
      </c>
      <c r="G356" s="7" t="n">
        <f aca="false">Scoring!D363</f>
        <v>0</v>
      </c>
      <c r="H356" s="7" t="str">
        <f aca="false">Scoring!CC363</f>
        <v/>
      </c>
      <c r="I356" s="182" t="str">
        <f aca="false">Scoring!CB363</f>
        <v/>
      </c>
    </row>
    <row r="357" customFormat="false" ht="15.75" hidden="false" customHeight="false" outlineLevel="0" collapsed="false">
      <c r="A357" s="7" t="str">
        <f aca="false">Scoring!CE364</f>
        <v/>
      </c>
      <c r="B357" s="7" t="str">
        <f aca="false">Scoring!CD364</f>
        <v/>
      </c>
      <c r="C357" s="7" t="n">
        <f aca="false">Scoring!C364</f>
        <v>0</v>
      </c>
      <c r="D357" s="181" t="str">
        <f aca="false">Scoring!CA364</f>
        <v/>
      </c>
      <c r="E357" s="7" t="str">
        <f aca="false">Scoring!BD364</f>
        <v/>
      </c>
      <c r="F357" s="7" t="n">
        <f aca="false">Scoring!B364</f>
        <v>0</v>
      </c>
      <c r="G357" s="7" t="n">
        <f aca="false">Scoring!D364</f>
        <v>0</v>
      </c>
      <c r="H357" s="7" t="str">
        <f aca="false">Scoring!CC364</f>
        <v/>
      </c>
      <c r="I357" s="182" t="str">
        <f aca="false">Scoring!CB364</f>
        <v/>
      </c>
    </row>
    <row r="358" customFormat="false" ht="15.75" hidden="false" customHeight="false" outlineLevel="0" collapsed="false">
      <c r="A358" s="7" t="str">
        <f aca="false">Scoring!CE365</f>
        <v/>
      </c>
      <c r="B358" s="7" t="str">
        <f aca="false">Scoring!CD365</f>
        <v/>
      </c>
      <c r="C358" s="7" t="n">
        <f aca="false">Scoring!C365</f>
        <v>0</v>
      </c>
      <c r="D358" s="181" t="str">
        <f aca="false">Scoring!CA365</f>
        <v/>
      </c>
      <c r="E358" s="7" t="str">
        <f aca="false">Scoring!BD365</f>
        <v/>
      </c>
      <c r="F358" s="7" t="n">
        <f aca="false">Scoring!B365</f>
        <v>0</v>
      </c>
      <c r="G358" s="7" t="n">
        <f aca="false">Scoring!D365</f>
        <v>0</v>
      </c>
      <c r="H358" s="7" t="str">
        <f aca="false">Scoring!CC365</f>
        <v/>
      </c>
      <c r="I358" s="182" t="str">
        <f aca="false">Scoring!CB365</f>
        <v/>
      </c>
    </row>
    <row r="359" customFormat="false" ht="15.75" hidden="false" customHeight="false" outlineLevel="0" collapsed="false">
      <c r="A359" s="7" t="str">
        <f aca="false">Scoring!CE366</f>
        <v/>
      </c>
      <c r="B359" s="7" t="str">
        <f aca="false">Scoring!CD366</f>
        <v/>
      </c>
      <c r="C359" s="7" t="n">
        <f aca="false">Scoring!C366</f>
        <v>0</v>
      </c>
      <c r="D359" s="181" t="str">
        <f aca="false">Scoring!CA366</f>
        <v/>
      </c>
      <c r="E359" s="7" t="str">
        <f aca="false">Scoring!BD366</f>
        <v/>
      </c>
      <c r="F359" s="7" t="n">
        <f aca="false">Scoring!B366</f>
        <v>0</v>
      </c>
      <c r="G359" s="7" t="n">
        <f aca="false">Scoring!D366</f>
        <v>0</v>
      </c>
      <c r="H359" s="7" t="str">
        <f aca="false">Scoring!CC366</f>
        <v/>
      </c>
      <c r="I359" s="182" t="str">
        <f aca="false">Scoring!CB366</f>
        <v/>
      </c>
    </row>
    <row r="360" customFormat="false" ht="15.75" hidden="false" customHeight="false" outlineLevel="0" collapsed="false">
      <c r="A360" s="7" t="str">
        <f aca="false">Scoring!CE367</f>
        <v/>
      </c>
      <c r="B360" s="7" t="str">
        <f aca="false">Scoring!CD367</f>
        <v/>
      </c>
      <c r="C360" s="7" t="n">
        <f aca="false">Scoring!C367</f>
        <v>0</v>
      </c>
      <c r="D360" s="181" t="str">
        <f aca="false">Scoring!CA367</f>
        <v/>
      </c>
      <c r="E360" s="7" t="str">
        <f aca="false">Scoring!BD367</f>
        <v/>
      </c>
      <c r="F360" s="7" t="n">
        <f aca="false">Scoring!B367</f>
        <v>0</v>
      </c>
      <c r="G360" s="7" t="n">
        <f aca="false">Scoring!D367</f>
        <v>0</v>
      </c>
      <c r="H360" s="7" t="str">
        <f aca="false">Scoring!CC367</f>
        <v/>
      </c>
      <c r="I360" s="182" t="str">
        <f aca="false">Scoring!CB367</f>
        <v/>
      </c>
    </row>
    <row r="361" customFormat="false" ht="15.75" hidden="false" customHeight="false" outlineLevel="0" collapsed="false">
      <c r="A361" s="7" t="str">
        <f aca="false">Scoring!CE368</f>
        <v/>
      </c>
      <c r="B361" s="7" t="str">
        <f aca="false">Scoring!CD368</f>
        <v/>
      </c>
      <c r="C361" s="7" t="n">
        <f aca="false">Scoring!C368</f>
        <v>0</v>
      </c>
      <c r="D361" s="181" t="str">
        <f aca="false">Scoring!CA368</f>
        <v/>
      </c>
      <c r="E361" s="7" t="str">
        <f aca="false">Scoring!BD368</f>
        <v/>
      </c>
      <c r="F361" s="7" t="n">
        <f aca="false">Scoring!B368</f>
        <v>0</v>
      </c>
      <c r="G361" s="7" t="n">
        <f aca="false">Scoring!D368</f>
        <v>0</v>
      </c>
      <c r="H361" s="7" t="str">
        <f aca="false">Scoring!CC368</f>
        <v/>
      </c>
      <c r="I361" s="182" t="str">
        <f aca="false">Scoring!CB368</f>
        <v/>
      </c>
    </row>
    <row r="362" customFormat="false" ht="15.75" hidden="false" customHeight="false" outlineLevel="0" collapsed="false">
      <c r="A362" s="7" t="str">
        <f aca="false">Scoring!CE369</f>
        <v/>
      </c>
      <c r="B362" s="7" t="str">
        <f aca="false">Scoring!CD369</f>
        <v/>
      </c>
      <c r="C362" s="7" t="n">
        <f aca="false">Scoring!C369</f>
        <v>0</v>
      </c>
      <c r="D362" s="181" t="str">
        <f aca="false">Scoring!CA369</f>
        <v/>
      </c>
      <c r="E362" s="7" t="str">
        <f aca="false">Scoring!BD369</f>
        <v/>
      </c>
      <c r="F362" s="7" t="n">
        <f aca="false">Scoring!B369</f>
        <v>0</v>
      </c>
      <c r="G362" s="7" t="n">
        <f aca="false">Scoring!D369</f>
        <v>0</v>
      </c>
      <c r="H362" s="7" t="str">
        <f aca="false">Scoring!CC369</f>
        <v/>
      </c>
      <c r="I362" s="182" t="str">
        <f aca="false">Scoring!CB369</f>
        <v/>
      </c>
    </row>
    <row r="363" customFormat="false" ht="15.75" hidden="false" customHeight="false" outlineLevel="0" collapsed="false">
      <c r="A363" s="7" t="str">
        <f aca="false">Scoring!CE370</f>
        <v/>
      </c>
      <c r="B363" s="7" t="str">
        <f aca="false">Scoring!CD370</f>
        <v/>
      </c>
      <c r="C363" s="7" t="n">
        <f aca="false">Scoring!C370</f>
        <v>0</v>
      </c>
      <c r="D363" s="181" t="str">
        <f aca="false">Scoring!CA370</f>
        <v/>
      </c>
      <c r="E363" s="7" t="str">
        <f aca="false">Scoring!BD370</f>
        <v/>
      </c>
      <c r="F363" s="7" t="n">
        <f aca="false">Scoring!B370</f>
        <v>0</v>
      </c>
      <c r="G363" s="7" t="n">
        <f aca="false">Scoring!D370</f>
        <v>0</v>
      </c>
      <c r="H363" s="7" t="str">
        <f aca="false">Scoring!CC370</f>
        <v/>
      </c>
      <c r="I363" s="182" t="str">
        <f aca="false">Scoring!CB370</f>
        <v/>
      </c>
    </row>
    <row r="364" customFormat="false" ht="15.75" hidden="false" customHeight="false" outlineLevel="0" collapsed="false">
      <c r="A364" s="7" t="str">
        <f aca="false">Scoring!CE371</f>
        <v/>
      </c>
      <c r="B364" s="7" t="str">
        <f aca="false">Scoring!CD371</f>
        <v/>
      </c>
      <c r="C364" s="7" t="n">
        <f aca="false">Scoring!C371</f>
        <v>0</v>
      </c>
      <c r="D364" s="181" t="str">
        <f aca="false">Scoring!CA371</f>
        <v/>
      </c>
      <c r="E364" s="7" t="str">
        <f aca="false">Scoring!BD371</f>
        <v/>
      </c>
      <c r="F364" s="7" t="n">
        <f aca="false">Scoring!B371</f>
        <v>0</v>
      </c>
      <c r="G364" s="7" t="n">
        <f aca="false">Scoring!D371</f>
        <v>0</v>
      </c>
      <c r="H364" s="7" t="str">
        <f aca="false">Scoring!CC371</f>
        <v/>
      </c>
      <c r="I364" s="182" t="str">
        <f aca="false">Scoring!CB371</f>
        <v/>
      </c>
    </row>
    <row r="365" customFormat="false" ht="15.75" hidden="false" customHeight="false" outlineLevel="0" collapsed="false">
      <c r="A365" s="7" t="str">
        <f aca="false">Scoring!CE372</f>
        <v/>
      </c>
      <c r="B365" s="7" t="str">
        <f aca="false">Scoring!CD372</f>
        <v/>
      </c>
      <c r="C365" s="7" t="n">
        <f aca="false">Scoring!C372</f>
        <v>0</v>
      </c>
      <c r="D365" s="181" t="str">
        <f aca="false">Scoring!CA372</f>
        <v/>
      </c>
      <c r="E365" s="7" t="str">
        <f aca="false">Scoring!BD372</f>
        <v/>
      </c>
      <c r="F365" s="7" t="n">
        <f aca="false">Scoring!B372</f>
        <v>0</v>
      </c>
      <c r="G365" s="7" t="n">
        <f aca="false">Scoring!D372</f>
        <v>0</v>
      </c>
      <c r="H365" s="7" t="str">
        <f aca="false">Scoring!CC372</f>
        <v/>
      </c>
      <c r="I365" s="182" t="str">
        <f aca="false">Scoring!CB372</f>
        <v/>
      </c>
    </row>
    <row r="366" customFormat="false" ht="15.75" hidden="false" customHeight="false" outlineLevel="0" collapsed="false">
      <c r="A366" s="7" t="str">
        <f aca="false">Scoring!CE373</f>
        <v/>
      </c>
      <c r="B366" s="7" t="str">
        <f aca="false">Scoring!CD373</f>
        <v/>
      </c>
      <c r="C366" s="7" t="n">
        <f aca="false">Scoring!C373</f>
        <v>0</v>
      </c>
      <c r="D366" s="181" t="str">
        <f aca="false">Scoring!CA373</f>
        <v/>
      </c>
      <c r="E366" s="7" t="str">
        <f aca="false">Scoring!BD373</f>
        <v/>
      </c>
      <c r="F366" s="7" t="n">
        <f aca="false">Scoring!B373</f>
        <v>0</v>
      </c>
      <c r="G366" s="7" t="n">
        <f aca="false">Scoring!D373</f>
        <v>0</v>
      </c>
      <c r="H366" s="7" t="str">
        <f aca="false">Scoring!CC373</f>
        <v/>
      </c>
      <c r="I366" s="182" t="str">
        <f aca="false">Scoring!CB373</f>
        <v/>
      </c>
    </row>
    <row r="367" customFormat="false" ht="15.75" hidden="false" customHeight="false" outlineLevel="0" collapsed="false">
      <c r="A367" s="7" t="str">
        <f aca="false">Scoring!CE374</f>
        <v/>
      </c>
      <c r="B367" s="7" t="str">
        <f aca="false">Scoring!CD374</f>
        <v/>
      </c>
      <c r="C367" s="7" t="n">
        <f aca="false">Scoring!C374</f>
        <v>0</v>
      </c>
      <c r="D367" s="181" t="str">
        <f aca="false">Scoring!CA374</f>
        <v/>
      </c>
      <c r="E367" s="7" t="str">
        <f aca="false">Scoring!BD374</f>
        <v/>
      </c>
      <c r="F367" s="7" t="n">
        <f aca="false">Scoring!B374</f>
        <v>0</v>
      </c>
      <c r="G367" s="7" t="n">
        <f aca="false">Scoring!D374</f>
        <v>0</v>
      </c>
      <c r="H367" s="7" t="str">
        <f aca="false">Scoring!CC374</f>
        <v/>
      </c>
      <c r="I367" s="182" t="str">
        <f aca="false">Scoring!CB374</f>
        <v/>
      </c>
    </row>
    <row r="368" customFormat="false" ht="15.75" hidden="false" customHeight="false" outlineLevel="0" collapsed="false">
      <c r="A368" s="7" t="str">
        <f aca="false">Scoring!CE375</f>
        <v/>
      </c>
      <c r="B368" s="7" t="str">
        <f aca="false">Scoring!CD375</f>
        <v/>
      </c>
      <c r="C368" s="7" t="n">
        <f aca="false">Scoring!C375</f>
        <v>0</v>
      </c>
      <c r="D368" s="181" t="str">
        <f aca="false">Scoring!CA375</f>
        <v/>
      </c>
      <c r="E368" s="7" t="str">
        <f aca="false">Scoring!BD375</f>
        <v/>
      </c>
      <c r="F368" s="7" t="n">
        <f aca="false">Scoring!B375</f>
        <v>0</v>
      </c>
      <c r="G368" s="7" t="n">
        <f aca="false">Scoring!D375</f>
        <v>0</v>
      </c>
      <c r="H368" s="7" t="str">
        <f aca="false">Scoring!CC375</f>
        <v/>
      </c>
      <c r="I368" s="182" t="str">
        <f aca="false">Scoring!CB375</f>
        <v/>
      </c>
    </row>
    <row r="369" customFormat="false" ht="15.75" hidden="false" customHeight="false" outlineLevel="0" collapsed="false">
      <c r="A369" s="7" t="str">
        <f aca="false">Scoring!CE376</f>
        <v/>
      </c>
      <c r="B369" s="7" t="str">
        <f aca="false">Scoring!CD376</f>
        <v/>
      </c>
      <c r="C369" s="7" t="n">
        <f aca="false">Scoring!C376</f>
        <v>0</v>
      </c>
      <c r="D369" s="181" t="str">
        <f aca="false">Scoring!CA376</f>
        <v/>
      </c>
      <c r="E369" s="7" t="str">
        <f aca="false">Scoring!BD376</f>
        <v/>
      </c>
      <c r="F369" s="7" t="n">
        <f aca="false">Scoring!B376</f>
        <v>0</v>
      </c>
      <c r="G369" s="7" t="n">
        <f aca="false">Scoring!D376</f>
        <v>0</v>
      </c>
      <c r="H369" s="7" t="str">
        <f aca="false">Scoring!CC376</f>
        <v/>
      </c>
      <c r="I369" s="182" t="str">
        <f aca="false">Scoring!CB376</f>
        <v/>
      </c>
    </row>
    <row r="370" customFormat="false" ht="15.75" hidden="false" customHeight="false" outlineLevel="0" collapsed="false">
      <c r="A370" s="7" t="str">
        <f aca="false">Scoring!CE377</f>
        <v/>
      </c>
      <c r="B370" s="7" t="str">
        <f aca="false">Scoring!CD377</f>
        <v/>
      </c>
      <c r="C370" s="7" t="n">
        <f aca="false">Scoring!C377</f>
        <v>0</v>
      </c>
      <c r="D370" s="181" t="str">
        <f aca="false">Scoring!CA377</f>
        <v/>
      </c>
      <c r="E370" s="7" t="str">
        <f aca="false">Scoring!BD377</f>
        <v/>
      </c>
      <c r="F370" s="7" t="n">
        <f aca="false">Scoring!B377</f>
        <v>0</v>
      </c>
      <c r="G370" s="7" t="n">
        <f aca="false">Scoring!D377</f>
        <v>0</v>
      </c>
      <c r="H370" s="7" t="str">
        <f aca="false">Scoring!CC377</f>
        <v/>
      </c>
      <c r="I370" s="182" t="str">
        <f aca="false">Scoring!CB377</f>
        <v/>
      </c>
    </row>
    <row r="371" customFormat="false" ht="15.75" hidden="false" customHeight="false" outlineLevel="0" collapsed="false">
      <c r="A371" s="7" t="str">
        <f aca="false">Scoring!CE378</f>
        <v/>
      </c>
      <c r="B371" s="7" t="str">
        <f aca="false">Scoring!CD378</f>
        <v/>
      </c>
      <c r="C371" s="7" t="n">
        <f aca="false">Scoring!C378</f>
        <v>0</v>
      </c>
      <c r="D371" s="181" t="str">
        <f aca="false">Scoring!CA378</f>
        <v/>
      </c>
      <c r="E371" s="7" t="str">
        <f aca="false">Scoring!BD378</f>
        <v/>
      </c>
      <c r="F371" s="7" t="n">
        <f aca="false">Scoring!B378</f>
        <v>0</v>
      </c>
      <c r="G371" s="7" t="n">
        <f aca="false">Scoring!D378</f>
        <v>0</v>
      </c>
      <c r="H371" s="7" t="str">
        <f aca="false">Scoring!CC378</f>
        <v/>
      </c>
      <c r="I371" s="182" t="str">
        <f aca="false">Scoring!CB378</f>
        <v/>
      </c>
    </row>
    <row r="372" customFormat="false" ht="15.75" hidden="false" customHeight="false" outlineLevel="0" collapsed="false">
      <c r="A372" s="7" t="str">
        <f aca="false">Scoring!CE379</f>
        <v/>
      </c>
      <c r="B372" s="7" t="str">
        <f aca="false">Scoring!CD379</f>
        <v/>
      </c>
      <c r="C372" s="7" t="n">
        <f aca="false">Scoring!C379</f>
        <v>0</v>
      </c>
      <c r="D372" s="181" t="str">
        <f aca="false">Scoring!CA379</f>
        <v/>
      </c>
      <c r="E372" s="7" t="str">
        <f aca="false">Scoring!BD379</f>
        <v/>
      </c>
      <c r="F372" s="7" t="n">
        <f aca="false">Scoring!B379</f>
        <v>0</v>
      </c>
      <c r="G372" s="7" t="n">
        <f aca="false">Scoring!D379</f>
        <v>0</v>
      </c>
      <c r="H372" s="7" t="str">
        <f aca="false">Scoring!CC379</f>
        <v/>
      </c>
      <c r="I372" s="182" t="str">
        <f aca="false">Scoring!CB379</f>
        <v/>
      </c>
    </row>
    <row r="373" customFormat="false" ht="15.75" hidden="false" customHeight="false" outlineLevel="0" collapsed="false">
      <c r="A373" s="7" t="str">
        <f aca="false">Scoring!CE380</f>
        <v/>
      </c>
      <c r="B373" s="7" t="str">
        <f aca="false">Scoring!CD380</f>
        <v/>
      </c>
      <c r="C373" s="7" t="n">
        <f aca="false">Scoring!C380</f>
        <v>0</v>
      </c>
      <c r="D373" s="181" t="str">
        <f aca="false">Scoring!CA380</f>
        <v/>
      </c>
      <c r="E373" s="7" t="str">
        <f aca="false">Scoring!BD380</f>
        <v/>
      </c>
      <c r="F373" s="7" t="n">
        <f aca="false">Scoring!B380</f>
        <v>0</v>
      </c>
      <c r="G373" s="7" t="n">
        <f aca="false">Scoring!D380</f>
        <v>0</v>
      </c>
      <c r="H373" s="7" t="str">
        <f aca="false">Scoring!CC380</f>
        <v/>
      </c>
      <c r="I373" s="182" t="str">
        <f aca="false">Scoring!CB380</f>
        <v/>
      </c>
    </row>
    <row r="374" customFormat="false" ht="15.75" hidden="false" customHeight="false" outlineLevel="0" collapsed="false">
      <c r="A374" s="7" t="str">
        <f aca="false">Scoring!CE381</f>
        <v/>
      </c>
      <c r="B374" s="7" t="str">
        <f aca="false">Scoring!CD381</f>
        <v/>
      </c>
      <c r="C374" s="7" t="n">
        <f aca="false">Scoring!C381</f>
        <v>0</v>
      </c>
      <c r="D374" s="181" t="str">
        <f aca="false">Scoring!CA381</f>
        <v/>
      </c>
      <c r="E374" s="7" t="str">
        <f aca="false">Scoring!BD381</f>
        <v/>
      </c>
      <c r="F374" s="7" t="n">
        <f aca="false">Scoring!B381</f>
        <v>0</v>
      </c>
      <c r="G374" s="7" t="n">
        <f aca="false">Scoring!D381</f>
        <v>0</v>
      </c>
      <c r="H374" s="7" t="str">
        <f aca="false">Scoring!CC381</f>
        <v/>
      </c>
      <c r="I374" s="182" t="str">
        <f aca="false">Scoring!CB381</f>
        <v/>
      </c>
    </row>
    <row r="375" customFormat="false" ht="15.75" hidden="false" customHeight="false" outlineLevel="0" collapsed="false">
      <c r="A375" s="7" t="str">
        <f aca="false">Scoring!CE382</f>
        <v/>
      </c>
      <c r="B375" s="7" t="str">
        <f aca="false">Scoring!CD382</f>
        <v/>
      </c>
      <c r="C375" s="7" t="n">
        <f aca="false">Scoring!C382</f>
        <v>0</v>
      </c>
      <c r="D375" s="181" t="str">
        <f aca="false">Scoring!CA382</f>
        <v/>
      </c>
      <c r="E375" s="7" t="str">
        <f aca="false">Scoring!BD382</f>
        <v/>
      </c>
      <c r="F375" s="7" t="n">
        <f aca="false">Scoring!B382</f>
        <v>0</v>
      </c>
      <c r="G375" s="7" t="n">
        <f aca="false">Scoring!D382</f>
        <v>0</v>
      </c>
      <c r="H375" s="7" t="str">
        <f aca="false">Scoring!CC382</f>
        <v/>
      </c>
      <c r="I375" s="182" t="str">
        <f aca="false">Scoring!CB382</f>
        <v/>
      </c>
    </row>
    <row r="376" customFormat="false" ht="15.75" hidden="false" customHeight="false" outlineLevel="0" collapsed="false">
      <c r="A376" s="7" t="str">
        <f aca="false">Scoring!CE383</f>
        <v/>
      </c>
      <c r="B376" s="7" t="str">
        <f aca="false">Scoring!CD383</f>
        <v/>
      </c>
      <c r="C376" s="7" t="n">
        <f aca="false">Scoring!C383</f>
        <v>0</v>
      </c>
      <c r="D376" s="181" t="str">
        <f aca="false">Scoring!CA383</f>
        <v/>
      </c>
      <c r="E376" s="7" t="str">
        <f aca="false">Scoring!BD383</f>
        <v/>
      </c>
      <c r="F376" s="7" t="n">
        <f aca="false">Scoring!B383</f>
        <v>0</v>
      </c>
      <c r="G376" s="7" t="n">
        <f aca="false">Scoring!D383</f>
        <v>0</v>
      </c>
      <c r="H376" s="7" t="str">
        <f aca="false">Scoring!CC383</f>
        <v/>
      </c>
      <c r="I376" s="182" t="str">
        <f aca="false">Scoring!CB383</f>
        <v/>
      </c>
    </row>
    <row r="377" customFormat="false" ht="15.75" hidden="false" customHeight="false" outlineLevel="0" collapsed="false">
      <c r="A377" s="7" t="str">
        <f aca="false">Scoring!CE384</f>
        <v/>
      </c>
      <c r="B377" s="7" t="str">
        <f aca="false">Scoring!CD384</f>
        <v/>
      </c>
      <c r="C377" s="7" t="n">
        <f aca="false">Scoring!C384</f>
        <v>0</v>
      </c>
      <c r="D377" s="181" t="str">
        <f aca="false">Scoring!CA384</f>
        <v/>
      </c>
      <c r="E377" s="7" t="str">
        <f aca="false">Scoring!BD384</f>
        <v/>
      </c>
      <c r="F377" s="7" t="n">
        <f aca="false">Scoring!B384</f>
        <v>0</v>
      </c>
      <c r="G377" s="7" t="n">
        <f aca="false">Scoring!D384</f>
        <v>0</v>
      </c>
      <c r="H377" s="7" t="str">
        <f aca="false">Scoring!CC384</f>
        <v/>
      </c>
      <c r="I377" s="182" t="str">
        <f aca="false">Scoring!CB384</f>
        <v/>
      </c>
    </row>
    <row r="378" customFormat="false" ht="15.75" hidden="false" customHeight="false" outlineLevel="0" collapsed="false">
      <c r="A378" s="7" t="str">
        <f aca="false">Scoring!CE385</f>
        <v/>
      </c>
      <c r="B378" s="7" t="str">
        <f aca="false">Scoring!CD385</f>
        <v/>
      </c>
      <c r="C378" s="7" t="n">
        <f aca="false">Scoring!C385</f>
        <v>0</v>
      </c>
      <c r="D378" s="181" t="str">
        <f aca="false">Scoring!CA385</f>
        <v/>
      </c>
      <c r="E378" s="7" t="str">
        <f aca="false">Scoring!BD385</f>
        <v/>
      </c>
      <c r="F378" s="7" t="n">
        <f aca="false">Scoring!B385</f>
        <v>0</v>
      </c>
      <c r="G378" s="7" t="n">
        <f aca="false">Scoring!D385</f>
        <v>0</v>
      </c>
      <c r="H378" s="7" t="str">
        <f aca="false">Scoring!CC385</f>
        <v/>
      </c>
      <c r="I378" s="182" t="str">
        <f aca="false">Scoring!CB385</f>
        <v/>
      </c>
    </row>
    <row r="379" customFormat="false" ht="15.75" hidden="false" customHeight="false" outlineLevel="0" collapsed="false">
      <c r="A379" s="7" t="str">
        <f aca="false">Scoring!CE386</f>
        <v/>
      </c>
      <c r="B379" s="7" t="str">
        <f aca="false">Scoring!CD386</f>
        <v/>
      </c>
      <c r="C379" s="7" t="n">
        <f aca="false">Scoring!C386</f>
        <v>0</v>
      </c>
      <c r="D379" s="181" t="str">
        <f aca="false">Scoring!CA386</f>
        <v/>
      </c>
      <c r="E379" s="7" t="str">
        <f aca="false">Scoring!BD386</f>
        <v/>
      </c>
      <c r="F379" s="7" t="n">
        <f aca="false">Scoring!B386</f>
        <v>0</v>
      </c>
      <c r="G379" s="7" t="n">
        <f aca="false">Scoring!D386</f>
        <v>0</v>
      </c>
      <c r="H379" s="7" t="str">
        <f aca="false">Scoring!CC386</f>
        <v/>
      </c>
      <c r="I379" s="182" t="str">
        <f aca="false">Scoring!CB386</f>
        <v/>
      </c>
    </row>
    <row r="380" customFormat="false" ht="15.75" hidden="false" customHeight="false" outlineLevel="0" collapsed="false">
      <c r="A380" s="7" t="str">
        <f aca="false">Scoring!CE387</f>
        <v/>
      </c>
      <c r="B380" s="7" t="str">
        <f aca="false">Scoring!CD387</f>
        <v/>
      </c>
      <c r="C380" s="7" t="n">
        <f aca="false">Scoring!C387</f>
        <v>0</v>
      </c>
      <c r="D380" s="181" t="str">
        <f aca="false">Scoring!CA387</f>
        <v/>
      </c>
      <c r="E380" s="7" t="str">
        <f aca="false">Scoring!BD387</f>
        <v/>
      </c>
      <c r="F380" s="7" t="n">
        <f aca="false">Scoring!B387</f>
        <v>0</v>
      </c>
      <c r="G380" s="7" t="n">
        <f aca="false">Scoring!D387</f>
        <v>0</v>
      </c>
      <c r="H380" s="7" t="str">
        <f aca="false">Scoring!CC387</f>
        <v/>
      </c>
      <c r="I380" s="182" t="str">
        <f aca="false">Scoring!CB387</f>
        <v/>
      </c>
    </row>
    <row r="381" customFormat="false" ht="15.75" hidden="false" customHeight="false" outlineLevel="0" collapsed="false">
      <c r="A381" s="7" t="str">
        <f aca="false">Scoring!CE388</f>
        <v/>
      </c>
      <c r="B381" s="7" t="str">
        <f aca="false">Scoring!CD388</f>
        <v/>
      </c>
      <c r="C381" s="7" t="n">
        <f aca="false">Scoring!C388</f>
        <v>0</v>
      </c>
      <c r="D381" s="181" t="str">
        <f aca="false">Scoring!CA388</f>
        <v/>
      </c>
      <c r="E381" s="7" t="str">
        <f aca="false">Scoring!BD388</f>
        <v/>
      </c>
      <c r="F381" s="7" t="n">
        <f aca="false">Scoring!B388</f>
        <v>0</v>
      </c>
      <c r="G381" s="7" t="n">
        <f aca="false">Scoring!D388</f>
        <v>0</v>
      </c>
      <c r="H381" s="7" t="str">
        <f aca="false">Scoring!CC388</f>
        <v/>
      </c>
      <c r="I381" s="182" t="str">
        <f aca="false">Scoring!CB388</f>
        <v/>
      </c>
    </row>
    <row r="382" customFormat="false" ht="15.75" hidden="false" customHeight="false" outlineLevel="0" collapsed="false">
      <c r="A382" s="7" t="str">
        <f aca="false">Scoring!CE389</f>
        <v/>
      </c>
      <c r="B382" s="7" t="str">
        <f aca="false">Scoring!CD389</f>
        <v/>
      </c>
      <c r="C382" s="7" t="n">
        <f aca="false">Scoring!C389</f>
        <v>0</v>
      </c>
      <c r="D382" s="181" t="str">
        <f aca="false">Scoring!CA389</f>
        <v/>
      </c>
      <c r="E382" s="7" t="str">
        <f aca="false">Scoring!BD389</f>
        <v/>
      </c>
      <c r="F382" s="7" t="n">
        <f aca="false">Scoring!B389</f>
        <v>0</v>
      </c>
      <c r="G382" s="7" t="n">
        <f aca="false">Scoring!D389</f>
        <v>0</v>
      </c>
      <c r="H382" s="7" t="str">
        <f aca="false">Scoring!CC389</f>
        <v/>
      </c>
      <c r="I382" s="182" t="str">
        <f aca="false">Scoring!CB389</f>
        <v/>
      </c>
    </row>
    <row r="383" customFormat="false" ht="15.75" hidden="false" customHeight="false" outlineLevel="0" collapsed="false">
      <c r="A383" s="7" t="str">
        <f aca="false">Scoring!CE390</f>
        <v/>
      </c>
      <c r="B383" s="7" t="str">
        <f aca="false">Scoring!CD390</f>
        <v/>
      </c>
      <c r="C383" s="7" t="n">
        <f aca="false">Scoring!C390</f>
        <v>0</v>
      </c>
      <c r="D383" s="181" t="str">
        <f aca="false">Scoring!CA390</f>
        <v/>
      </c>
      <c r="E383" s="7" t="str">
        <f aca="false">Scoring!BD390</f>
        <v/>
      </c>
      <c r="F383" s="7" t="n">
        <f aca="false">Scoring!B390</f>
        <v>0</v>
      </c>
      <c r="G383" s="7" t="n">
        <f aca="false">Scoring!D390</f>
        <v>0</v>
      </c>
      <c r="H383" s="7" t="str">
        <f aca="false">Scoring!CC390</f>
        <v/>
      </c>
      <c r="I383" s="182" t="str">
        <f aca="false">Scoring!CB390</f>
        <v/>
      </c>
    </row>
    <row r="384" customFormat="false" ht="15.75" hidden="false" customHeight="false" outlineLevel="0" collapsed="false">
      <c r="A384" s="7" t="str">
        <f aca="false">Scoring!CE391</f>
        <v/>
      </c>
      <c r="B384" s="7" t="str">
        <f aca="false">Scoring!CD391</f>
        <v/>
      </c>
      <c r="C384" s="7" t="n">
        <f aca="false">Scoring!C391</f>
        <v>0</v>
      </c>
      <c r="D384" s="181" t="str">
        <f aca="false">Scoring!CA391</f>
        <v/>
      </c>
      <c r="E384" s="7" t="str">
        <f aca="false">Scoring!BD391</f>
        <v/>
      </c>
      <c r="F384" s="7" t="n">
        <f aca="false">Scoring!B391</f>
        <v>0</v>
      </c>
      <c r="G384" s="7" t="n">
        <f aca="false">Scoring!D391</f>
        <v>0</v>
      </c>
      <c r="H384" s="7" t="str">
        <f aca="false">Scoring!CC391</f>
        <v/>
      </c>
      <c r="I384" s="182" t="str">
        <f aca="false">Scoring!CB391</f>
        <v/>
      </c>
    </row>
    <row r="385" customFormat="false" ht="15.75" hidden="false" customHeight="false" outlineLevel="0" collapsed="false">
      <c r="A385" s="7" t="str">
        <f aca="false">Scoring!CE392</f>
        <v/>
      </c>
      <c r="B385" s="7" t="str">
        <f aca="false">Scoring!CD392</f>
        <v/>
      </c>
      <c r="C385" s="7" t="n">
        <f aca="false">Scoring!C392</f>
        <v>0</v>
      </c>
      <c r="D385" s="181" t="str">
        <f aca="false">Scoring!CA392</f>
        <v/>
      </c>
      <c r="E385" s="7" t="str">
        <f aca="false">Scoring!BD392</f>
        <v/>
      </c>
      <c r="F385" s="7" t="n">
        <f aca="false">Scoring!B392</f>
        <v>0</v>
      </c>
      <c r="G385" s="7" t="n">
        <f aca="false">Scoring!D392</f>
        <v>0</v>
      </c>
      <c r="H385" s="7" t="str">
        <f aca="false">Scoring!CC392</f>
        <v/>
      </c>
      <c r="I385" s="182" t="str">
        <f aca="false">Scoring!CB392</f>
        <v/>
      </c>
    </row>
    <row r="386" customFormat="false" ht="15.75" hidden="false" customHeight="false" outlineLevel="0" collapsed="false">
      <c r="A386" s="7" t="str">
        <f aca="false">Scoring!CE393</f>
        <v/>
      </c>
      <c r="B386" s="7" t="str">
        <f aca="false">Scoring!CD393</f>
        <v/>
      </c>
      <c r="C386" s="7" t="n">
        <f aca="false">Scoring!C393</f>
        <v>0</v>
      </c>
      <c r="D386" s="181" t="str">
        <f aca="false">Scoring!CA393</f>
        <v/>
      </c>
      <c r="E386" s="7" t="str">
        <f aca="false">Scoring!BD393</f>
        <v/>
      </c>
      <c r="F386" s="7" t="n">
        <f aca="false">Scoring!B393</f>
        <v>0</v>
      </c>
      <c r="G386" s="7" t="n">
        <f aca="false">Scoring!D393</f>
        <v>0</v>
      </c>
      <c r="H386" s="7" t="str">
        <f aca="false">Scoring!CC393</f>
        <v/>
      </c>
      <c r="I386" s="182" t="str">
        <f aca="false">Scoring!CB393</f>
        <v/>
      </c>
    </row>
    <row r="387" customFormat="false" ht="15.75" hidden="false" customHeight="false" outlineLevel="0" collapsed="false">
      <c r="A387" s="7" t="str">
        <f aca="false">Scoring!CE394</f>
        <v/>
      </c>
      <c r="B387" s="7" t="str">
        <f aca="false">Scoring!CD394</f>
        <v/>
      </c>
      <c r="C387" s="7" t="n">
        <f aca="false">Scoring!C394</f>
        <v>0</v>
      </c>
      <c r="D387" s="181" t="str">
        <f aca="false">Scoring!CA394</f>
        <v/>
      </c>
      <c r="E387" s="7" t="str">
        <f aca="false">Scoring!BD394</f>
        <v/>
      </c>
      <c r="F387" s="7" t="n">
        <f aca="false">Scoring!B394</f>
        <v>0</v>
      </c>
      <c r="G387" s="7" t="n">
        <f aca="false">Scoring!D394</f>
        <v>0</v>
      </c>
      <c r="H387" s="7" t="str">
        <f aca="false">Scoring!CC394</f>
        <v/>
      </c>
      <c r="I387" s="182" t="str">
        <f aca="false">Scoring!CB394</f>
        <v/>
      </c>
    </row>
    <row r="388" customFormat="false" ht="15.75" hidden="false" customHeight="false" outlineLevel="0" collapsed="false">
      <c r="A388" s="7" t="str">
        <f aca="false">Scoring!CE395</f>
        <v/>
      </c>
      <c r="B388" s="7" t="str">
        <f aca="false">Scoring!CD395</f>
        <v/>
      </c>
      <c r="C388" s="7" t="n">
        <f aca="false">Scoring!C395</f>
        <v>0</v>
      </c>
      <c r="D388" s="181" t="str">
        <f aca="false">Scoring!CA395</f>
        <v/>
      </c>
      <c r="E388" s="7" t="str">
        <f aca="false">Scoring!BD395</f>
        <v/>
      </c>
      <c r="F388" s="7" t="n">
        <f aca="false">Scoring!B395</f>
        <v>0</v>
      </c>
      <c r="G388" s="7" t="n">
        <f aca="false">Scoring!D395</f>
        <v>0</v>
      </c>
      <c r="H388" s="7" t="str">
        <f aca="false">Scoring!CC395</f>
        <v/>
      </c>
      <c r="I388" s="182" t="str">
        <f aca="false">Scoring!CB395</f>
        <v/>
      </c>
    </row>
    <row r="389" customFormat="false" ht="15.75" hidden="false" customHeight="false" outlineLevel="0" collapsed="false">
      <c r="A389" s="7" t="str">
        <f aca="false">Scoring!CE396</f>
        <v/>
      </c>
      <c r="B389" s="7" t="str">
        <f aca="false">Scoring!CD396</f>
        <v/>
      </c>
      <c r="C389" s="7" t="n">
        <f aca="false">Scoring!C396</f>
        <v>0</v>
      </c>
      <c r="D389" s="181" t="str">
        <f aca="false">Scoring!CA396</f>
        <v/>
      </c>
      <c r="E389" s="7" t="str">
        <f aca="false">Scoring!BD396</f>
        <v/>
      </c>
      <c r="F389" s="7" t="n">
        <f aca="false">Scoring!B396</f>
        <v>0</v>
      </c>
      <c r="G389" s="7" t="n">
        <f aca="false">Scoring!D396</f>
        <v>0</v>
      </c>
      <c r="H389" s="7" t="str">
        <f aca="false">Scoring!CC396</f>
        <v/>
      </c>
      <c r="I389" s="182" t="str">
        <f aca="false">Scoring!CB396</f>
        <v/>
      </c>
    </row>
    <row r="390" customFormat="false" ht="15.75" hidden="false" customHeight="false" outlineLevel="0" collapsed="false">
      <c r="A390" s="7" t="str">
        <f aca="false">Scoring!CE397</f>
        <v/>
      </c>
      <c r="B390" s="7" t="str">
        <f aca="false">Scoring!CD397</f>
        <v/>
      </c>
      <c r="C390" s="7" t="n">
        <f aca="false">Scoring!C397</f>
        <v>0</v>
      </c>
      <c r="D390" s="181" t="str">
        <f aca="false">Scoring!CA397</f>
        <v/>
      </c>
      <c r="E390" s="7" t="str">
        <f aca="false">Scoring!BD397</f>
        <v/>
      </c>
      <c r="F390" s="7" t="n">
        <f aca="false">Scoring!B397</f>
        <v>0</v>
      </c>
      <c r="G390" s="7" t="n">
        <f aca="false">Scoring!D397</f>
        <v>0</v>
      </c>
      <c r="H390" s="7" t="str">
        <f aca="false">Scoring!CC397</f>
        <v/>
      </c>
      <c r="I390" s="182" t="str">
        <f aca="false">Scoring!CB397</f>
        <v/>
      </c>
    </row>
    <row r="391" customFormat="false" ht="15.75" hidden="false" customHeight="false" outlineLevel="0" collapsed="false">
      <c r="A391" s="7" t="str">
        <f aca="false">Scoring!CE398</f>
        <v/>
      </c>
      <c r="B391" s="7" t="str">
        <f aca="false">Scoring!CD398</f>
        <v/>
      </c>
      <c r="C391" s="7" t="n">
        <f aca="false">Scoring!C398</f>
        <v>0</v>
      </c>
      <c r="D391" s="181" t="str">
        <f aca="false">Scoring!CA398</f>
        <v/>
      </c>
      <c r="E391" s="7" t="str">
        <f aca="false">Scoring!BD398</f>
        <v/>
      </c>
      <c r="F391" s="7" t="n">
        <f aca="false">Scoring!B398</f>
        <v>0</v>
      </c>
      <c r="G391" s="7" t="n">
        <f aca="false">Scoring!D398</f>
        <v>0</v>
      </c>
      <c r="H391" s="7" t="str">
        <f aca="false">Scoring!CC398</f>
        <v/>
      </c>
      <c r="I391" s="182" t="str">
        <f aca="false">Scoring!CB398</f>
        <v/>
      </c>
    </row>
    <row r="392" customFormat="false" ht="15.75" hidden="false" customHeight="false" outlineLevel="0" collapsed="false">
      <c r="A392" s="7" t="str">
        <f aca="false">Scoring!CE399</f>
        <v/>
      </c>
      <c r="B392" s="7" t="str">
        <f aca="false">Scoring!CD399</f>
        <v/>
      </c>
      <c r="C392" s="7" t="n">
        <f aca="false">Scoring!C399</f>
        <v>0</v>
      </c>
      <c r="D392" s="181" t="str">
        <f aca="false">Scoring!CA399</f>
        <v/>
      </c>
      <c r="E392" s="7" t="str">
        <f aca="false">Scoring!BD399</f>
        <v/>
      </c>
      <c r="F392" s="7" t="n">
        <f aca="false">Scoring!B399</f>
        <v>0</v>
      </c>
      <c r="G392" s="7" t="n">
        <f aca="false">Scoring!D399</f>
        <v>0</v>
      </c>
      <c r="H392" s="7" t="str">
        <f aca="false">Scoring!CC399</f>
        <v/>
      </c>
      <c r="I392" s="182" t="str">
        <f aca="false">Scoring!CB399</f>
        <v/>
      </c>
    </row>
    <row r="393" customFormat="false" ht="15.75" hidden="false" customHeight="false" outlineLevel="0" collapsed="false">
      <c r="A393" s="7" t="str">
        <f aca="false">Scoring!CE400</f>
        <v/>
      </c>
      <c r="B393" s="7" t="str">
        <f aca="false">Scoring!CD400</f>
        <v/>
      </c>
      <c r="C393" s="7" t="n">
        <f aca="false">Scoring!C400</f>
        <v>0</v>
      </c>
      <c r="D393" s="181" t="str">
        <f aca="false">Scoring!CA400</f>
        <v/>
      </c>
      <c r="E393" s="7" t="str">
        <f aca="false">Scoring!BD400</f>
        <v/>
      </c>
      <c r="F393" s="7" t="n">
        <f aca="false">Scoring!B400</f>
        <v>0</v>
      </c>
      <c r="G393" s="7" t="n">
        <f aca="false">Scoring!D400</f>
        <v>0</v>
      </c>
      <c r="H393" s="7" t="str">
        <f aca="false">Scoring!CC400</f>
        <v/>
      </c>
      <c r="I393" s="182" t="str">
        <f aca="false">Scoring!CB400</f>
        <v/>
      </c>
    </row>
    <row r="394" customFormat="false" ht="15.75" hidden="false" customHeight="false" outlineLevel="0" collapsed="false">
      <c r="A394" s="7" t="str">
        <f aca="false">Scoring!CE401</f>
        <v/>
      </c>
      <c r="B394" s="7" t="str">
        <f aca="false">Scoring!CD401</f>
        <v/>
      </c>
      <c r="C394" s="7" t="n">
        <f aca="false">Scoring!C401</f>
        <v>0</v>
      </c>
      <c r="D394" s="181" t="str">
        <f aca="false">Scoring!CA401</f>
        <v/>
      </c>
      <c r="E394" s="7" t="str">
        <f aca="false">Scoring!BD401</f>
        <v/>
      </c>
      <c r="F394" s="7" t="n">
        <f aca="false">Scoring!B401</f>
        <v>0</v>
      </c>
      <c r="G394" s="7" t="n">
        <f aca="false">Scoring!D401</f>
        <v>0</v>
      </c>
      <c r="H394" s="7" t="str">
        <f aca="false">Scoring!CC401</f>
        <v/>
      </c>
      <c r="I394" s="182" t="str">
        <f aca="false">Scoring!CB401</f>
        <v/>
      </c>
    </row>
    <row r="395" customFormat="false" ht="15.75" hidden="false" customHeight="false" outlineLevel="0" collapsed="false">
      <c r="A395" s="7" t="str">
        <f aca="false">Scoring!CE402</f>
        <v/>
      </c>
      <c r="B395" s="7" t="str">
        <f aca="false">Scoring!CD402</f>
        <v/>
      </c>
      <c r="C395" s="7" t="n">
        <f aca="false">Scoring!C402</f>
        <v>0</v>
      </c>
      <c r="D395" s="181" t="str">
        <f aca="false">Scoring!CA402</f>
        <v/>
      </c>
      <c r="E395" s="7" t="str">
        <f aca="false">Scoring!BD402</f>
        <v/>
      </c>
      <c r="F395" s="7" t="n">
        <f aca="false">Scoring!B402</f>
        <v>0</v>
      </c>
      <c r="G395" s="7" t="n">
        <f aca="false">Scoring!D402</f>
        <v>0</v>
      </c>
      <c r="H395" s="7" t="str">
        <f aca="false">Scoring!CC402</f>
        <v/>
      </c>
      <c r="I395" s="182" t="str">
        <f aca="false">Scoring!CB402</f>
        <v/>
      </c>
    </row>
    <row r="396" customFormat="false" ht="15.75" hidden="false" customHeight="false" outlineLevel="0" collapsed="false">
      <c r="A396" s="7" t="str">
        <f aca="false">Scoring!CE403</f>
        <v/>
      </c>
      <c r="B396" s="7" t="str">
        <f aca="false">Scoring!CD403</f>
        <v/>
      </c>
      <c r="C396" s="7" t="n">
        <f aca="false">Scoring!C403</f>
        <v>0</v>
      </c>
      <c r="D396" s="181" t="str">
        <f aca="false">Scoring!CA403</f>
        <v/>
      </c>
      <c r="E396" s="7" t="str">
        <f aca="false">Scoring!BD403</f>
        <v/>
      </c>
      <c r="F396" s="7" t="n">
        <f aca="false">Scoring!B403</f>
        <v>0</v>
      </c>
      <c r="G396" s="7" t="n">
        <f aca="false">Scoring!D403</f>
        <v>0</v>
      </c>
      <c r="H396" s="7" t="str">
        <f aca="false">Scoring!CC403</f>
        <v/>
      </c>
      <c r="I396" s="182" t="str">
        <f aca="false">Scoring!CB403</f>
        <v/>
      </c>
    </row>
    <row r="397" customFormat="false" ht="15.75" hidden="false" customHeight="false" outlineLevel="0" collapsed="false">
      <c r="A397" s="7" t="str">
        <f aca="false">Scoring!CE404</f>
        <v/>
      </c>
      <c r="B397" s="7" t="str">
        <f aca="false">Scoring!CD404</f>
        <v/>
      </c>
      <c r="C397" s="7" t="n">
        <f aca="false">Scoring!C404</f>
        <v>0</v>
      </c>
      <c r="D397" s="181" t="str">
        <f aca="false">Scoring!CA404</f>
        <v/>
      </c>
      <c r="E397" s="7" t="str">
        <f aca="false">Scoring!BD404</f>
        <v/>
      </c>
      <c r="F397" s="7" t="n">
        <f aca="false">Scoring!B404</f>
        <v>0</v>
      </c>
      <c r="G397" s="7" t="n">
        <f aca="false">Scoring!D404</f>
        <v>0</v>
      </c>
      <c r="H397" s="7" t="str">
        <f aca="false">Scoring!CC404</f>
        <v/>
      </c>
      <c r="I397" s="182" t="str">
        <f aca="false">Scoring!CB404</f>
        <v/>
      </c>
    </row>
    <row r="398" customFormat="false" ht="15.75" hidden="false" customHeight="false" outlineLevel="0" collapsed="false">
      <c r="A398" s="7" t="str">
        <f aca="false">Scoring!CE405</f>
        <v/>
      </c>
      <c r="B398" s="7" t="str">
        <f aca="false">Scoring!CD405</f>
        <v/>
      </c>
      <c r="C398" s="7" t="n">
        <f aca="false">Scoring!C405</f>
        <v>0</v>
      </c>
      <c r="D398" s="181" t="str">
        <f aca="false">Scoring!CA405</f>
        <v/>
      </c>
      <c r="E398" s="7" t="str">
        <f aca="false">Scoring!BD405</f>
        <v/>
      </c>
      <c r="F398" s="7" t="n">
        <f aca="false">Scoring!B405</f>
        <v>0</v>
      </c>
      <c r="G398" s="7" t="n">
        <f aca="false">Scoring!D405</f>
        <v>0</v>
      </c>
      <c r="H398" s="7" t="str">
        <f aca="false">Scoring!CC405</f>
        <v/>
      </c>
      <c r="I398" s="182" t="str">
        <f aca="false">Scoring!CB405</f>
        <v/>
      </c>
    </row>
    <row r="399" customFormat="false" ht="15.75" hidden="false" customHeight="false" outlineLevel="0" collapsed="false">
      <c r="A399" s="7" t="str">
        <f aca="false">Scoring!CE406</f>
        <v/>
      </c>
      <c r="B399" s="7" t="str">
        <f aca="false">Scoring!CD406</f>
        <v/>
      </c>
      <c r="C399" s="7" t="n">
        <f aca="false">Scoring!C406</f>
        <v>0</v>
      </c>
      <c r="D399" s="181" t="str">
        <f aca="false">Scoring!CA406</f>
        <v/>
      </c>
      <c r="E399" s="7" t="str">
        <f aca="false">Scoring!BD406</f>
        <v/>
      </c>
      <c r="F399" s="7" t="n">
        <f aca="false">Scoring!B406</f>
        <v>0</v>
      </c>
      <c r="G399" s="7" t="n">
        <f aca="false">Scoring!D406</f>
        <v>0</v>
      </c>
      <c r="H399" s="7" t="str">
        <f aca="false">Scoring!CC406</f>
        <v/>
      </c>
      <c r="I399" s="182" t="str">
        <f aca="false">Scoring!CB406</f>
        <v/>
      </c>
    </row>
    <row r="400" customFormat="false" ht="15.75" hidden="false" customHeight="false" outlineLevel="0" collapsed="false">
      <c r="A400" s="7" t="str">
        <f aca="false">Scoring!CE407</f>
        <v/>
      </c>
      <c r="B400" s="7" t="str">
        <f aca="false">Scoring!CD407</f>
        <v/>
      </c>
      <c r="C400" s="7" t="n">
        <f aca="false">Scoring!C407</f>
        <v>0</v>
      </c>
      <c r="D400" s="181" t="str">
        <f aca="false">Scoring!CA407</f>
        <v/>
      </c>
      <c r="E400" s="7" t="str">
        <f aca="false">Scoring!BD407</f>
        <v/>
      </c>
      <c r="F400" s="7" t="n">
        <f aca="false">Scoring!B407</f>
        <v>0</v>
      </c>
      <c r="G400" s="7" t="n">
        <f aca="false">Scoring!D407</f>
        <v>0</v>
      </c>
      <c r="H400" s="7" t="str">
        <f aca="false">Scoring!CC407</f>
        <v/>
      </c>
      <c r="I400" s="182" t="str">
        <f aca="false">Scoring!CB407</f>
        <v/>
      </c>
    </row>
    <row r="401" customFormat="false" ht="15.75" hidden="false" customHeight="false" outlineLevel="0" collapsed="false">
      <c r="A401" s="7" t="str">
        <f aca="false">Scoring!CE408</f>
        <v/>
      </c>
      <c r="B401" s="7" t="str">
        <f aca="false">Scoring!CD408</f>
        <v/>
      </c>
      <c r="C401" s="7" t="n">
        <f aca="false">Scoring!C408</f>
        <v>0</v>
      </c>
      <c r="D401" s="181" t="str">
        <f aca="false">Scoring!CA408</f>
        <v/>
      </c>
      <c r="E401" s="7" t="str">
        <f aca="false">Scoring!BD408</f>
        <v/>
      </c>
      <c r="F401" s="7" t="n">
        <f aca="false">Scoring!B408</f>
        <v>0</v>
      </c>
      <c r="G401" s="7" t="n">
        <f aca="false">Scoring!D408</f>
        <v>0</v>
      </c>
      <c r="H401" s="7" t="str">
        <f aca="false">Scoring!CC408</f>
        <v/>
      </c>
      <c r="I401" s="182" t="str">
        <f aca="false">Scoring!CB408</f>
        <v/>
      </c>
    </row>
    <row r="402" customFormat="false" ht="15.75" hidden="false" customHeight="false" outlineLevel="0" collapsed="false">
      <c r="A402" s="7" t="str">
        <f aca="false">Scoring!CE409</f>
        <v/>
      </c>
      <c r="B402" s="7" t="str">
        <f aca="false">Scoring!CD409</f>
        <v/>
      </c>
      <c r="C402" s="7" t="n">
        <f aca="false">Scoring!C409</f>
        <v>0</v>
      </c>
      <c r="D402" s="181" t="str">
        <f aca="false">Scoring!CA409</f>
        <v/>
      </c>
      <c r="E402" s="7" t="str">
        <f aca="false">Scoring!BD409</f>
        <v/>
      </c>
      <c r="F402" s="7" t="n">
        <f aca="false">Scoring!B409</f>
        <v>0</v>
      </c>
      <c r="G402" s="7" t="n">
        <f aca="false">Scoring!D409</f>
        <v>0</v>
      </c>
      <c r="H402" s="7" t="str">
        <f aca="false">Scoring!CC409</f>
        <v/>
      </c>
      <c r="I402" s="182" t="str">
        <f aca="false">Scoring!CB409</f>
        <v/>
      </c>
    </row>
    <row r="403" customFormat="false" ht="15.75" hidden="false" customHeight="false" outlineLevel="0" collapsed="false">
      <c r="A403" s="7" t="str">
        <f aca="false">Scoring!CE410</f>
        <v/>
      </c>
      <c r="B403" s="7" t="str">
        <f aca="false">Scoring!CD410</f>
        <v/>
      </c>
      <c r="C403" s="7" t="n">
        <f aca="false">Scoring!C410</f>
        <v>0</v>
      </c>
      <c r="D403" s="181" t="str">
        <f aca="false">Scoring!CA410</f>
        <v/>
      </c>
      <c r="E403" s="7" t="str">
        <f aca="false">Scoring!BD410</f>
        <v/>
      </c>
      <c r="F403" s="7" t="n">
        <f aca="false">Scoring!B410</f>
        <v>0</v>
      </c>
      <c r="G403" s="7" t="n">
        <f aca="false">Scoring!D410</f>
        <v>0</v>
      </c>
      <c r="H403" s="7" t="str">
        <f aca="false">Scoring!CC410</f>
        <v/>
      </c>
      <c r="I403" s="182" t="str">
        <f aca="false">Scoring!CB410</f>
        <v/>
      </c>
    </row>
    <row r="404" customFormat="false" ht="15.75" hidden="false" customHeight="false" outlineLevel="0" collapsed="false">
      <c r="A404" s="7" t="str">
        <f aca="false">Scoring!CE411</f>
        <v/>
      </c>
      <c r="B404" s="7" t="str">
        <f aca="false">Scoring!CD411</f>
        <v/>
      </c>
      <c r="C404" s="7" t="n">
        <f aca="false">Scoring!C411</f>
        <v>0</v>
      </c>
      <c r="D404" s="181" t="str">
        <f aca="false">Scoring!CA411</f>
        <v/>
      </c>
      <c r="E404" s="7" t="str">
        <f aca="false">Scoring!BD411</f>
        <v/>
      </c>
      <c r="F404" s="7" t="n">
        <f aca="false">Scoring!B411</f>
        <v>0</v>
      </c>
      <c r="G404" s="7" t="n">
        <f aca="false">Scoring!D411</f>
        <v>0</v>
      </c>
      <c r="H404" s="7" t="str">
        <f aca="false">Scoring!CC411</f>
        <v/>
      </c>
      <c r="I404" s="182" t="str">
        <f aca="false">Scoring!CB411</f>
        <v/>
      </c>
    </row>
    <row r="405" customFormat="false" ht="15.75" hidden="false" customHeight="false" outlineLevel="0" collapsed="false">
      <c r="A405" s="7" t="str">
        <f aca="false">Scoring!CE412</f>
        <v/>
      </c>
      <c r="B405" s="7" t="str">
        <f aca="false">Scoring!CD412</f>
        <v/>
      </c>
      <c r="C405" s="7" t="n">
        <f aca="false">Scoring!C412</f>
        <v>0</v>
      </c>
      <c r="D405" s="181" t="str">
        <f aca="false">Scoring!CA412</f>
        <v/>
      </c>
      <c r="E405" s="7" t="str">
        <f aca="false">Scoring!BD412</f>
        <v/>
      </c>
      <c r="F405" s="7" t="n">
        <f aca="false">Scoring!B412</f>
        <v>0</v>
      </c>
      <c r="G405" s="7" t="n">
        <f aca="false">Scoring!D412</f>
        <v>0</v>
      </c>
      <c r="H405" s="7" t="str">
        <f aca="false">Scoring!CC412</f>
        <v/>
      </c>
      <c r="I405" s="182" t="str">
        <f aca="false">Scoring!CB412</f>
        <v/>
      </c>
    </row>
    <row r="406" customFormat="false" ht="15.75" hidden="false" customHeight="false" outlineLevel="0" collapsed="false">
      <c r="A406" s="7" t="str">
        <f aca="false">Scoring!CE413</f>
        <v/>
      </c>
      <c r="B406" s="7" t="str">
        <f aca="false">Scoring!CD413</f>
        <v/>
      </c>
      <c r="C406" s="7" t="n">
        <f aca="false">Scoring!C413</f>
        <v>0</v>
      </c>
      <c r="D406" s="181" t="str">
        <f aca="false">Scoring!CA413</f>
        <v/>
      </c>
      <c r="E406" s="7" t="str">
        <f aca="false">Scoring!BD413</f>
        <v/>
      </c>
      <c r="F406" s="7" t="n">
        <f aca="false">Scoring!B413</f>
        <v>0</v>
      </c>
      <c r="G406" s="7" t="n">
        <f aca="false">Scoring!D413</f>
        <v>0</v>
      </c>
      <c r="H406" s="7" t="str">
        <f aca="false">Scoring!CC413</f>
        <v/>
      </c>
      <c r="I406" s="182" t="str">
        <f aca="false">Scoring!CB413</f>
        <v/>
      </c>
    </row>
    <row r="407" customFormat="false" ht="15.75" hidden="false" customHeight="false" outlineLevel="0" collapsed="false">
      <c r="A407" s="7" t="str">
        <f aca="false">Scoring!CE414</f>
        <v/>
      </c>
      <c r="B407" s="7" t="str">
        <f aca="false">Scoring!CD414</f>
        <v/>
      </c>
      <c r="C407" s="7" t="n">
        <f aca="false">Scoring!C414</f>
        <v>0</v>
      </c>
      <c r="D407" s="181" t="str">
        <f aca="false">Scoring!CA414</f>
        <v/>
      </c>
      <c r="E407" s="7" t="str">
        <f aca="false">Scoring!BD414</f>
        <v/>
      </c>
      <c r="F407" s="7" t="n">
        <f aca="false">Scoring!B414</f>
        <v>0</v>
      </c>
      <c r="G407" s="7" t="n">
        <f aca="false">Scoring!D414</f>
        <v>0</v>
      </c>
      <c r="H407" s="7" t="str">
        <f aca="false">Scoring!CC414</f>
        <v/>
      </c>
      <c r="I407" s="182" t="str">
        <f aca="false">Scoring!CB414</f>
        <v/>
      </c>
    </row>
    <row r="408" customFormat="false" ht="15.75" hidden="false" customHeight="false" outlineLevel="0" collapsed="false">
      <c r="A408" s="7" t="str">
        <f aca="false">Scoring!CE415</f>
        <v/>
      </c>
      <c r="B408" s="7" t="str">
        <f aca="false">Scoring!CD415</f>
        <v/>
      </c>
      <c r="C408" s="7" t="n">
        <f aca="false">Scoring!C415</f>
        <v>0</v>
      </c>
      <c r="D408" s="181" t="str">
        <f aca="false">Scoring!CA415</f>
        <v/>
      </c>
      <c r="E408" s="7" t="str">
        <f aca="false">Scoring!BD415</f>
        <v/>
      </c>
      <c r="F408" s="7" t="n">
        <f aca="false">Scoring!B415</f>
        <v>0</v>
      </c>
      <c r="G408" s="7" t="n">
        <f aca="false">Scoring!D415</f>
        <v>0</v>
      </c>
      <c r="H408" s="7" t="str">
        <f aca="false">Scoring!CC415</f>
        <v/>
      </c>
      <c r="I408" s="182" t="str">
        <f aca="false">Scoring!CB415</f>
        <v/>
      </c>
    </row>
    <row r="409" customFormat="false" ht="15.75" hidden="false" customHeight="false" outlineLevel="0" collapsed="false">
      <c r="A409" s="7" t="str">
        <f aca="false">Scoring!CE416</f>
        <v/>
      </c>
      <c r="B409" s="7" t="str">
        <f aca="false">Scoring!CD416</f>
        <v/>
      </c>
      <c r="C409" s="7" t="n">
        <f aca="false">Scoring!C416</f>
        <v>0</v>
      </c>
      <c r="D409" s="181" t="str">
        <f aca="false">Scoring!CA416</f>
        <v/>
      </c>
      <c r="E409" s="7" t="str">
        <f aca="false">Scoring!BD416</f>
        <v/>
      </c>
      <c r="F409" s="7" t="n">
        <f aca="false">Scoring!B416</f>
        <v>0</v>
      </c>
      <c r="G409" s="7" t="n">
        <f aca="false">Scoring!D416</f>
        <v>0</v>
      </c>
      <c r="H409" s="7" t="str">
        <f aca="false">Scoring!CC416</f>
        <v/>
      </c>
      <c r="I409" s="182" t="str">
        <f aca="false">Scoring!CB416</f>
        <v/>
      </c>
    </row>
    <row r="410" customFormat="false" ht="15.75" hidden="false" customHeight="false" outlineLevel="0" collapsed="false">
      <c r="A410" s="7" t="str">
        <f aca="false">Scoring!CE417</f>
        <v/>
      </c>
      <c r="B410" s="7" t="str">
        <f aca="false">Scoring!CD417</f>
        <v/>
      </c>
      <c r="C410" s="7" t="n">
        <f aca="false">Scoring!C417</f>
        <v>0</v>
      </c>
      <c r="D410" s="181" t="str">
        <f aca="false">Scoring!CA417</f>
        <v/>
      </c>
      <c r="E410" s="7" t="str">
        <f aca="false">Scoring!BD417</f>
        <v/>
      </c>
      <c r="F410" s="7" t="n">
        <f aca="false">Scoring!B417</f>
        <v>0</v>
      </c>
      <c r="G410" s="7" t="n">
        <f aca="false">Scoring!D417</f>
        <v>0</v>
      </c>
      <c r="H410" s="7" t="str">
        <f aca="false">Scoring!CC417</f>
        <v/>
      </c>
      <c r="I410" s="182" t="str">
        <f aca="false">Scoring!CB417</f>
        <v/>
      </c>
    </row>
    <row r="411" customFormat="false" ht="15.75" hidden="false" customHeight="false" outlineLevel="0" collapsed="false">
      <c r="A411" s="7" t="str">
        <f aca="false">Scoring!CE418</f>
        <v/>
      </c>
      <c r="B411" s="7" t="str">
        <f aca="false">Scoring!CD418</f>
        <v/>
      </c>
      <c r="C411" s="7" t="n">
        <f aca="false">Scoring!C418</f>
        <v>0</v>
      </c>
      <c r="D411" s="181" t="str">
        <f aca="false">Scoring!CA418</f>
        <v/>
      </c>
      <c r="E411" s="7" t="str">
        <f aca="false">Scoring!BD418</f>
        <v/>
      </c>
      <c r="F411" s="7" t="n">
        <f aca="false">Scoring!B418</f>
        <v>0</v>
      </c>
      <c r="G411" s="7" t="n">
        <f aca="false">Scoring!D418</f>
        <v>0</v>
      </c>
      <c r="H411" s="7" t="str">
        <f aca="false">Scoring!CC418</f>
        <v/>
      </c>
      <c r="I411" s="182" t="str">
        <f aca="false">Scoring!CB418</f>
        <v/>
      </c>
    </row>
    <row r="412" customFormat="false" ht="15.75" hidden="false" customHeight="false" outlineLevel="0" collapsed="false">
      <c r="A412" s="7" t="str">
        <f aca="false">Scoring!CE419</f>
        <v/>
      </c>
      <c r="B412" s="7" t="str">
        <f aca="false">Scoring!CD419</f>
        <v/>
      </c>
      <c r="C412" s="7" t="n">
        <f aca="false">Scoring!C419</f>
        <v>0</v>
      </c>
      <c r="D412" s="181" t="str">
        <f aca="false">Scoring!CA419</f>
        <v/>
      </c>
      <c r="E412" s="7" t="str">
        <f aca="false">Scoring!BD419</f>
        <v/>
      </c>
      <c r="F412" s="7" t="n">
        <f aca="false">Scoring!B419</f>
        <v>0</v>
      </c>
      <c r="G412" s="7" t="n">
        <f aca="false">Scoring!D419</f>
        <v>0</v>
      </c>
      <c r="H412" s="7" t="str">
        <f aca="false">Scoring!CC419</f>
        <v/>
      </c>
      <c r="I412" s="182" t="str">
        <f aca="false">Scoring!CB419</f>
        <v/>
      </c>
    </row>
    <row r="413" customFormat="false" ht="15.75" hidden="false" customHeight="false" outlineLevel="0" collapsed="false">
      <c r="A413" s="7" t="str">
        <f aca="false">Scoring!CE420</f>
        <v/>
      </c>
      <c r="B413" s="7" t="str">
        <f aca="false">Scoring!CD420</f>
        <v/>
      </c>
      <c r="C413" s="7" t="n">
        <f aca="false">Scoring!C420</f>
        <v>0</v>
      </c>
      <c r="D413" s="181" t="str">
        <f aca="false">Scoring!CA420</f>
        <v/>
      </c>
      <c r="E413" s="7" t="str">
        <f aca="false">Scoring!BD420</f>
        <v/>
      </c>
      <c r="F413" s="7" t="n">
        <f aca="false">Scoring!B420</f>
        <v>0</v>
      </c>
      <c r="G413" s="7" t="n">
        <f aca="false">Scoring!D420</f>
        <v>0</v>
      </c>
      <c r="H413" s="7" t="str">
        <f aca="false">Scoring!CC420</f>
        <v/>
      </c>
      <c r="I413" s="182" t="str">
        <f aca="false">Scoring!CB420</f>
        <v/>
      </c>
    </row>
    <row r="414" customFormat="false" ht="15.75" hidden="false" customHeight="false" outlineLevel="0" collapsed="false">
      <c r="A414" s="7" t="str">
        <f aca="false">Scoring!CE421</f>
        <v/>
      </c>
      <c r="B414" s="7" t="str">
        <f aca="false">Scoring!CD421</f>
        <v/>
      </c>
      <c r="C414" s="7" t="n">
        <f aca="false">Scoring!C421</f>
        <v>0</v>
      </c>
      <c r="D414" s="181" t="str">
        <f aca="false">Scoring!CA421</f>
        <v/>
      </c>
      <c r="E414" s="7" t="str">
        <f aca="false">Scoring!BD421</f>
        <v/>
      </c>
      <c r="F414" s="7" t="n">
        <f aca="false">Scoring!B421</f>
        <v>0</v>
      </c>
      <c r="G414" s="7" t="n">
        <f aca="false">Scoring!D421</f>
        <v>0</v>
      </c>
      <c r="H414" s="7" t="str">
        <f aca="false">Scoring!CC421</f>
        <v/>
      </c>
      <c r="I414" s="182" t="str">
        <f aca="false">Scoring!CB421</f>
        <v/>
      </c>
    </row>
    <row r="415" customFormat="false" ht="15.75" hidden="false" customHeight="false" outlineLevel="0" collapsed="false">
      <c r="A415" s="7" t="str">
        <f aca="false">Scoring!CE422</f>
        <v/>
      </c>
      <c r="B415" s="7" t="str">
        <f aca="false">Scoring!CD422</f>
        <v/>
      </c>
      <c r="C415" s="7" t="n">
        <f aca="false">Scoring!C422</f>
        <v>0</v>
      </c>
      <c r="D415" s="181" t="str">
        <f aca="false">Scoring!CA422</f>
        <v/>
      </c>
      <c r="E415" s="7" t="str">
        <f aca="false">Scoring!BD422</f>
        <v/>
      </c>
      <c r="F415" s="7" t="n">
        <f aca="false">Scoring!B422</f>
        <v>0</v>
      </c>
      <c r="G415" s="7" t="n">
        <f aca="false">Scoring!D422</f>
        <v>0</v>
      </c>
      <c r="H415" s="7" t="str">
        <f aca="false">Scoring!CC422</f>
        <v/>
      </c>
      <c r="I415" s="182" t="str">
        <f aca="false">Scoring!CB422</f>
        <v/>
      </c>
    </row>
    <row r="416" customFormat="false" ht="15.75" hidden="false" customHeight="false" outlineLevel="0" collapsed="false">
      <c r="A416" s="7" t="str">
        <f aca="false">Scoring!CE423</f>
        <v/>
      </c>
      <c r="B416" s="7" t="str">
        <f aca="false">Scoring!CD423</f>
        <v/>
      </c>
      <c r="C416" s="7" t="n">
        <f aca="false">Scoring!C423</f>
        <v>0</v>
      </c>
      <c r="D416" s="181" t="str">
        <f aca="false">Scoring!CA423</f>
        <v/>
      </c>
      <c r="E416" s="7" t="str">
        <f aca="false">Scoring!BD423</f>
        <v/>
      </c>
      <c r="F416" s="7" t="n">
        <f aca="false">Scoring!B423</f>
        <v>0</v>
      </c>
      <c r="G416" s="7" t="n">
        <f aca="false">Scoring!D423</f>
        <v>0</v>
      </c>
      <c r="H416" s="7" t="str">
        <f aca="false">Scoring!CC423</f>
        <v/>
      </c>
      <c r="I416" s="182" t="str">
        <f aca="false">Scoring!CB423</f>
        <v/>
      </c>
    </row>
    <row r="417" customFormat="false" ht="15.75" hidden="false" customHeight="false" outlineLevel="0" collapsed="false">
      <c r="A417" s="7" t="str">
        <f aca="false">Scoring!CE424</f>
        <v/>
      </c>
      <c r="B417" s="7" t="str">
        <f aca="false">Scoring!CD424</f>
        <v/>
      </c>
      <c r="C417" s="7" t="n">
        <f aca="false">Scoring!C424</f>
        <v>0</v>
      </c>
      <c r="D417" s="181" t="str">
        <f aca="false">Scoring!CA424</f>
        <v/>
      </c>
      <c r="E417" s="7" t="str">
        <f aca="false">Scoring!BD424</f>
        <v/>
      </c>
      <c r="F417" s="7" t="n">
        <f aca="false">Scoring!B424</f>
        <v>0</v>
      </c>
      <c r="G417" s="7" t="n">
        <f aca="false">Scoring!D424</f>
        <v>0</v>
      </c>
      <c r="H417" s="7" t="str">
        <f aca="false">Scoring!CC424</f>
        <v/>
      </c>
      <c r="I417" s="182" t="str">
        <f aca="false">Scoring!CB424</f>
        <v/>
      </c>
    </row>
    <row r="418" customFormat="false" ht="15.75" hidden="false" customHeight="false" outlineLevel="0" collapsed="false">
      <c r="A418" s="7" t="str">
        <f aca="false">Scoring!CE425</f>
        <v/>
      </c>
      <c r="B418" s="7" t="str">
        <f aca="false">Scoring!CD425</f>
        <v/>
      </c>
      <c r="C418" s="7" t="n">
        <f aca="false">Scoring!C425</f>
        <v>0</v>
      </c>
      <c r="D418" s="181" t="str">
        <f aca="false">Scoring!CA425</f>
        <v/>
      </c>
      <c r="E418" s="7" t="str">
        <f aca="false">Scoring!BD425</f>
        <v/>
      </c>
      <c r="F418" s="7" t="n">
        <f aca="false">Scoring!B425</f>
        <v>0</v>
      </c>
      <c r="G418" s="7" t="n">
        <f aca="false">Scoring!D425</f>
        <v>0</v>
      </c>
      <c r="H418" s="7" t="str">
        <f aca="false">Scoring!CC425</f>
        <v/>
      </c>
      <c r="I418" s="182" t="str">
        <f aca="false">Scoring!CB425</f>
        <v/>
      </c>
    </row>
    <row r="419" customFormat="false" ht="15.75" hidden="false" customHeight="false" outlineLevel="0" collapsed="false">
      <c r="A419" s="7" t="str">
        <f aca="false">Scoring!CE426</f>
        <v/>
      </c>
      <c r="B419" s="7" t="str">
        <f aca="false">Scoring!CD426</f>
        <v/>
      </c>
      <c r="C419" s="7" t="n">
        <f aca="false">Scoring!C426</f>
        <v>0</v>
      </c>
      <c r="D419" s="181" t="str">
        <f aca="false">Scoring!CA426</f>
        <v/>
      </c>
      <c r="E419" s="7" t="str">
        <f aca="false">Scoring!BD426</f>
        <v/>
      </c>
      <c r="F419" s="7" t="n">
        <f aca="false">Scoring!B426</f>
        <v>0</v>
      </c>
      <c r="G419" s="7" t="n">
        <f aca="false">Scoring!D426</f>
        <v>0</v>
      </c>
      <c r="H419" s="7" t="str">
        <f aca="false">Scoring!CC426</f>
        <v/>
      </c>
      <c r="I419" s="182" t="str">
        <f aca="false">Scoring!CB426</f>
        <v/>
      </c>
    </row>
    <row r="420" customFormat="false" ht="15.75" hidden="false" customHeight="false" outlineLevel="0" collapsed="false">
      <c r="A420" s="7" t="str">
        <f aca="false">Scoring!CE427</f>
        <v/>
      </c>
      <c r="B420" s="7" t="str">
        <f aca="false">Scoring!CD427</f>
        <v/>
      </c>
      <c r="C420" s="7" t="n">
        <f aca="false">Scoring!C427</f>
        <v>0</v>
      </c>
      <c r="D420" s="181" t="str">
        <f aca="false">Scoring!CA427</f>
        <v/>
      </c>
      <c r="E420" s="7" t="str">
        <f aca="false">Scoring!BD427</f>
        <v/>
      </c>
      <c r="F420" s="7" t="n">
        <f aca="false">Scoring!B427</f>
        <v>0</v>
      </c>
      <c r="G420" s="7" t="n">
        <f aca="false">Scoring!D427</f>
        <v>0</v>
      </c>
      <c r="H420" s="7" t="str">
        <f aca="false">Scoring!CC427</f>
        <v/>
      </c>
      <c r="I420" s="182" t="str">
        <f aca="false">Scoring!CB427</f>
        <v/>
      </c>
    </row>
    <row r="421" customFormat="false" ht="15.75" hidden="false" customHeight="false" outlineLevel="0" collapsed="false">
      <c r="A421" s="7" t="str">
        <f aca="false">Scoring!CE428</f>
        <v/>
      </c>
      <c r="B421" s="7" t="str">
        <f aca="false">Scoring!CD428</f>
        <v/>
      </c>
      <c r="C421" s="7" t="n">
        <f aca="false">Scoring!C428</f>
        <v>0</v>
      </c>
      <c r="D421" s="181" t="str">
        <f aca="false">Scoring!CA428</f>
        <v/>
      </c>
      <c r="E421" s="7" t="str">
        <f aca="false">Scoring!BD428</f>
        <v/>
      </c>
      <c r="F421" s="7" t="n">
        <f aca="false">Scoring!B428</f>
        <v>0</v>
      </c>
      <c r="G421" s="7" t="n">
        <f aca="false">Scoring!D428</f>
        <v>0</v>
      </c>
      <c r="H421" s="7" t="str">
        <f aca="false">Scoring!CC428</f>
        <v/>
      </c>
      <c r="I421" s="182" t="str">
        <f aca="false">Scoring!CB428</f>
        <v/>
      </c>
    </row>
    <row r="422" customFormat="false" ht="15.75" hidden="false" customHeight="false" outlineLevel="0" collapsed="false">
      <c r="A422" s="7" t="str">
        <f aca="false">Scoring!CE429</f>
        <v/>
      </c>
      <c r="B422" s="7" t="str">
        <f aca="false">Scoring!CD429</f>
        <v/>
      </c>
      <c r="C422" s="7" t="n">
        <f aca="false">Scoring!C429</f>
        <v>0</v>
      </c>
      <c r="D422" s="181" t="str">
        <f aca="false">Scoring!CA429</f>
        <v/>
      </c>
      <c r="E422" s="7" t="str">
        <f aca="false">Scoring!BD429</f>
        <v/>
      </c>
      <c r="F422" s="7" t="n">
        <f aca="false">Scoring!B429</f>
        <v>0</v>
      </c>
      <c r="G422" s="7" t="n">
        <f aca="false">Scoring!D429</f>
        <v>0</v>
      </c>
      <c r="H422" s="7" t="str">
        <f aca="false">Scoring!CC429</f>
        <v/>
      </c>
      <c r="I422" s="182" t="str">
        <f aca="false">Scoring!CB429</f>
        <v/>
      </c>
    </row>
    <row r="423" customFormat="false" ht="15.75" hidden="false" customHeight="false" outlineLevel="0" collapsed="false">
      <c r="A423" s="7" t="str">
        <f aca="false">Scoring!CE430</f>
        <v/>
      </c>
      <c r="B423" s="7" t="str">
        <f aca="false">Scoring!CD430</f>
        <v/>
      </c>
      <c r="C423" s="7" t="n">
        <f aca="false">Scoring!C430</f>
        <v>0</v>
      </c>
      <c r="D423" s="181" t="str">
        <f aca="false">Scoring!CA430</f>
        <v/>
      </c>
      <c r="E423" s="7" t="str">
        <f aca="false">Scoring!BD430</f>
        <v/>
      </c>
      <c r="F423" s="7" t="n">
        <f aca="false">Scoring!B430</f>
        <v>0</v>
      </c>
      <c r="G423" s="7" t="n">
        <f aca="false">Scoring!D430</f>
        <v>0</v>
      </c>
      <c r="H423" s="7" t="str">
        <f aca="false">Scoring!CC430</f>
        <v/>
      </c>
      <c r="I423" s="182" t="str">
        <f aca="false">Scoring!CB430</f>
        <v/>
      </c>
    </row>
    <row r="424" customFormat="false" ht="15.75" hidden="false" customHeight="false" outlineLevel="0" collapsed="false">
      <c r="A424" s="7" t="str">
        <f aca="false">Scoring!CE431</f>
        <v/>
      </c>
      <c r="B424" s="7" t="str">
        <f aca="false">Scoring!CD431</f>
        <v/>
      </c>
      <c r="C424" s="7" t="n">
        <f aca="false">Scoring!C431</f>
        <v>0</v>
      </c>
      <c r="D424" s="181" t="str">
        <f aca="false">Scoring!CA431</f>
        <v/>
      </c>
      <c r="E424" s="7" t="str">
        <f aca="false">Scoring!BD431</f>
        <v/>
      </c>
      <c r="F424" s="7" t="n">
        <f aca="false">Scoring!B431</f>
        <v>0</v>
      </c>
      <c r="G424" s="7" t="n">
        <f aca="false">Scoring!D431</f>
        <v>0</v>
      </c>
      <c r="H424" s="7" t="str">
        <f aca="false">Scoring!CC431</f>
        <v/>
      </c>
      <c r="I424" s="182" t="str">
        <f aca="false">Scoring!CB431</f>
        <v/>
      </c>
    </row>
    <row r="425" customFormat="false" ht="15.75" hidden="false" customHeight="false" outlineLevel="0" collapsed="false">
      <c r="A425" s="7" t="str">
        <f aca="false">Scoring!CE432</f>
        <v/>
      </c>
      <c r="B425" s="7" t="str">
        <f aca="false">Scoring!CD432</f>
        <v/>
      </c>
      <c r="C425" s="7" t="n">
        <f aca="false">Scoring!C432</f>
        <v>0</v>
      </c>
      <c r="D425" s="181" t="str">
        <f aca="false">Scoring!CA432</f>
        <v/>
      </c>
      <c r="E425" s="7" t="str">
        <f aca="false">Scoring!BD432</f>
        <v/>
      </c>
      <c r="F425" s="7" t="n">
        <f aca="false">Scoring!B432</f>
        <v>0</v>
      </c>
      <c r="G425" s="7" t="n">
        <f aca="false">Scoring!D432</f>
        <v>0</v>
      </c>
      <c r="H425" s="7" t="str">
        <f aca="false">Scoring!CC432</f>
        <v/>
      </c>
      <c r="I425" s="182" t="str">
        <f aca="false">Scoring!CB432</f>
        <v/>
      </c>
    </row>
    <row r="426" customFormat="false" ht="15.75" hidden="false" customHeight="false" outlineLevel="0" collapsed="false">
      <c r="A426" s="7" t="str">
        <f aca="false">Scoring!CE433</f>
        <v/>
      </c>
      <c r="B426" s="7" t="str">
        <f aca="false">Scoring!CD433</f>
        <v/>
      </c>
      <c r="C426" s="7" t="n">
        <f aca="false">Scoring!C433</f>
        <v>0</v>
      </c>
      <c r="D426" s="181" t="str">
        <f aca="false">Scoring!CA433</f>
        <v/>
      </c>
      <c r="E426" s="7" t="str">
        <f aca="false">Scoring!BD433</f>
        <v/>
      </c>
      <c r="F426" s="7" t="n">
        <f aca="false">Scoring!B433</f>
        <v>0</v>
      </c>
      <c r="G426" s="7" t="n">
        <f aca="false">Scoring!D433</f>
        <v>0</v>
      </c>
      <c r="H426" s="7" t="str">
        <f aca="false">Scoring!CC433</f>
        <v/>
      </c>
      <c r="I426" s="182" t="str">
        <f aca="false">Scoring!CB433</f>
        <v/>
      </c>
    </row>
    <row r="427" customFormat="false" ht="15.75" hidden="false" customHeight="false" outlineLevel="0" collapsed="false">
      <c r="A427" s="7" t="str">
        <f aca="false">Scoring!CE434</f>
        <v/>
      </c>
      <c r="B427" s="7" t="str">
        <f aca="false">Scoring!CD434</f>
        <v/>
      </c>
      <c r="C427" s="7" t="n">
        <f aca="false">Scoring!C434</f>
        <v>0</v>
      </c>
      <c r="D427" s="181" t="str">
        <f aca="false">Scoring!CA434</f>
        <v/>
      </c>
      <c r="E427" s="7" t="str">
        <f aca="false">Scoring!BD434</f>
        <v/>
      </c>
      <c r="F427" s="7" t="n">
        <f aca="false">Scoring!B434</f>
        <v>0</v>
      </c>
      <c r="G427" s="7" t="n">
        <f aca="false">Scoring!D434</f>
        <v>0</v>
      </c>
      <c r="H427" s="7" t="str">
        <f aca="false">Scoring!CC434</f>
        <v/>
      </c>
      <c r="I427" s="182" t="str">
        <f aca="false">Scoring!CB434</f>
        <v/>
      </c>
    </row>
    <row r="428" customFormat="false" ht="15.75" hidden="false" customHeight="false" outlineLevel="0" collapsed="false">
      <c r="A428" s="7" t="str">
        <f aca="false">Scoring!CE435</f>
        <v/>
      </c>
      <c r="B428" s="7" t="str">
        <f aca="false">Scoring!CD435</f>
        <v/>
      </c>
      <c r="C428" s="7" t="n">
        <f aca="false">Scoring!C435</f>
        <v>0</v>
      </c>
      <c r="D428" s="181" t="str">
        <f aca="false">Scoring!CA435</f>
        <v/>
      </c>
      <c r="E428" s="7" t="str">
        <f aca="false">Scoring!BD435</f>
        <v/>
      </c>
      <c r="F428" s="7" t="n">
        <f aca="false">Scoring!B435</f>
        <v>0</v>
      </c>
      <c r="G428" s="7" t="n">
        <f aca="false">Scoring!D435</f>
        <v>0</v>
      </c>
      <c r="H428" s="7" t="str">
        <f aca="false">Scoring!CC435</f>
        <v/>
      </c>
      <c r="I428" s="182" t="str">
        <f aca="false">Scoring!CB435</f>
        <v/>
      </c>
    </row>
    <row r="429" customFormat="false" ht="15.75" hidden="false" customHeight="false" outlineLevel="0" collapsed="false">
      <c r="A429" s="7" t="str">
        <f aca="false">Scoring!CE436</f>
        <v/>
      </c>
      <c r="B429" s="7" t="str">
        <f aca="false">Scoring!CD436</f>
        <v/>
      </c>
      <c r="C429" s="7" t="n">
        <f aca="false">Scoring!C436</f>
        <v>0</v>
      </c>
      <c r="D429" s="181" t="str">
        <f aca="false">Scoring!CA436</f>
        <v/>
      </c>
      <c r="E429" s="7" t="str">
        <f aca="false">Scoring!BD436</f>
        <v/>
      </c>
      <c r="F429" s="7" t="n">
        <f aca="false">Scoring!B436</f>
        <v>0</v>
      </c>
      <c r="G429" s="7" t="n">
        <f aca="false">Scoring!D436</f>
        <v>0</v>
      </c>
      <c r="H429" s="7" t="str">
        <f aca="false">Scoring!CC436</f>
        <v/>
      </c>
      <c r="I429" s="182" t="str">
        <f aca="false">Scoring!CB436</f>
        <v/>
      </c>
    </row>
    <row r="430" customFormat="false" ht="15.75" hidden="false" customHeight="false" outlineLevel="0" collapsed="false">
      <c r="A430" s="7" t="str">
        <f aca="false">Scoring!CE437</f>
        <v/>
      </c>
      <c r="B430" s="7" t="str">
        <f aca="false">Scoring!CD437</f>
        <v/>
      </c>
      <c r="C430" s="7" t="n">
        <f aca="false">Scoring!C437</f>
        <v>0</v>
      </c>
      <c r="D430" s="181" t="str">
        <f aca="false">Scoring!CA437</f>
        <v/>
      </c>
      <c r="E430" s="7" t="str">
        <f aca="false">Scoring!BD437</f>
        <v/>
      </c>
      <c r="F430" s="7" t="n">
        <f aca="false">Scoring!B437</f>
        <v>0</v>
      </c>
      <c r="G430" s="7" t="n">
        <f aca="false">Scoring!D437</f>
        <v>0</v>
      </c>
      <c r="H430" s="7" t="str">
        <f aca="false">Scoring!CC437</f>
        <v/>
      </c>
      <c r="I430" s="182" t="str">
        <f aca="false">Scoring!CB437</f>
        <v/>
      </c>
    </row>
    <row r="431" customFormat="false" ht="15.75" hidden="false" customHeight="false" outlineLevel="0" collapsed="false">
      <c r="A431" s="7" t="str">
        <f aca="false">Scoring!CE438</f>
        <v/>
      </c>
      <c r="B431" s="7" t="str">
        <f aca="false">Scoring!CD438</f>
        <v/>
      </c>
      <c r="C431" s="7" t="n">
        <f aca="false">Scoring!C438</f>
        <v>0</v>
      </c>
      <c r="D431" s="181" t="str">
        <f aca="false">Scoring!CA438</f>
        <v/>
      </c>
      <c r="E431" s="7" t="str">
        <f aca="false">Scoring!BD438</f>
        <v/>
      </c>
      <c r="F431" s="7" t="n">
        <f aca="false">Scoring!B438</f>
        <v>0</v>
      </c>
      <c r="G431" s="7" t="n">
        <f aca="false">Scoring!D438</f>
        <v>0</v>
      </c>
      <c r="H431" s="7" t="str">
        <f aca="false">Scoring!CC438</f>
        <v/>
      </c>
      <c r="I431" s="182" t="str">
        <f aca="false">Scoring!CB438</f>
        <v/>
      </c>
    </row>
    <row r="432" customFormat="false" ht="15.75" hidden="false" customHeight="false" outlineLevel="0" collapsed="false">
      <c r="A432" s="7" t="str">
        <f aca="false">Scoring!CE439</f>
        <v/>
      </c>
      <c r="B432" s="7" t="str">
        <f aca="false">Scoring!CD439</f>
        <v/>
      </c>
      <c r="C432" s="7" t="n">
        <f aca="false">Scoring!C439</f>
        <v>0</v>
      </c>
      <c r="D432" s="181" t="str">
        <f aca="false">Scoring!CA439</f>
        <v/>
      </c>
      <c r="E432" s="7" t="str">
        <f aca="false">Scoring!BD439</f>
        <v/>
      </c>
      <c r="F432" s="7" t="n">
        <f aca="false">Scoring!B439</f>
        <v>0</v>
      </c>
      <c r="G432" s="7" t="n">
        <f aca="false">Scoring!D439</f>
        <v>0</v>
      </c>
      <c r="H432" s="7" t="str">
        <f aca="false">Scoring!CC439</f>
        <v/>
      </c>
      <c r="I432" s="182" t="str">
        <f aca="false">Scoring!CB439</f>
        <v/>
      </c>
    </row>
    <row r="433" customFormat="false" ht="15.75" hidden="false" customHeight="false" outlineLevel="0" collapsed="false">
      <c r="A433" s="7" t="str">
        <f aca="false">Scoring!CE440</f>
        <v/>
      </c>
      <c r="B433" s="7" t="str">
        <f aca="false">Scoring!CD440</f>
        <v/>
      </c>
      <c r="C433" s="7" t="n">
        <f aca="false">Scoring!C440</f>
        <v>0</v>
      </c>
      <c r="D433" s="181" t="str">
        <f aca="false">Scoring!CA440</f>
        <v/>
      </c>
      <c r="E433" s="7" t="str">
        <f aca="false">Scoring!BD440</f>
        <v/>
      </c>
      <c r="F433" s="7" t="n">
        <f aca="false">Scoring!B440</f>
        <v>0</v>
      </c>
      <c r="G433" s="7" t="n">
        <f aca="false">Scoring!D440</f>
        <v>0</v>
      </c>
      <c r="H433" s="7" t="str">
        <f aca="false">Scoring!CC440</f>
        <v/>
      </c>
      <c r="I433" s="182" t="str">
        <f aca="false">Scoring!CB440</f>
        <v/>
      </c>
    </row>
    <row r="434" customFormat="false" ht="15.75" hidden="false" customHeight="false" outlineLevel="0" collapsed="false">
      <c r="A434" s="7" t="str">
        <f aca="false">Scoring!CE441</f>
        <v/>
      </c>
      <c r="B434" s="7" t="str">
        <f aca="false">Scoring!CD441</f>
        <v/>
      </c>
      <c r="C434" s="7" t="n">
        <f aca="false">Scoring!C441</f>
        <v>0</v>
      </c>
      <c r="D434" s="181" t="str">
        <f aca="false">Scoring!CA441</f>
        <v/>
      </c>
      <c r="E434" s="7" t="str">
        <f aca="false">Scoring!BD441</f>
        <v/>
      </c>
      <c r="F434" s="7" t="n">
        <f aca="false">Scoring!B441</f>
        <v>0</v>
      </c>
      <c r="G434" s="7" t="n">
        <f aca="false">Scoring!D441</f>
        <v>0</v>
      </c>
      <c r="H434" s="7" t="str">
        <f aca="false">Scoring!CC441</f>
        <v/>
      </c>
      <c r="I434" s="182" t="str">
        <f aca="false">Scoring!CB441</f>
        <v/>
      </c>
    </row>
    <row r="435" customFormat="false" ht="15.75" hidden="false" customHeight="false" outlineLevel="0" collapsed="false">
      <c r="A435" s="7" t="str">
        <f aca="false">Scoring!CE442</f>
        <v/>
      </c>
      <c r="B435" s="7" t="str">
        <f aca="false">Scoring!CD442</f>
        <v/>
      </c>
      <c r="C435" s="7" t="n">
        <f aca="false">Scoring!C442</f>
        <v>0</v>
      </c>
      <c r="D435" s="181" t="str">
        <f aca="false">Scoring!CA442</f>
        <v/>
      </c>
      <c r="E435" s="7" t="str">
        <f aca="false">Scoring!BD442</f>
        <v/>
      </c>
      <c r="F435" s="7" t="n">
        <f aca="false">Scoring!B442</f>
        <v>0</v>
      </c>
      <c r="G435" s="7" t="n">
        <f aca="false">Scoring!D442</f>
        <v>0</v>
      </c>
      <c r="H435" s="7" t="str">
        <f aca="false">Scoring!CC442</f>
        <v/>
      </c>
      <c r="I435" s="182" t="str">
        <f aca="false">Scoring!CB442</f>
        <v/>
      </c>
    </row>
    <row r="436" customFormat="false" ht="15.75" hidden="false" customHeight="false" outlineLevel="0" collapsed="false">
      <c r="A436" s="7" t="str">
        <f aca="false">Scoring!CE443</f>
        <v/>
      </c>
      <c r="B436" s="7" t="str">
        <f aca="false">Scoring!CD443</f>
        <v/>
      </c>
      <c r="C436" s="7" t="n">
        <f aca="false">Scoring!C443</f>
        <v>0</v>
      </c>
      <c r="D436" s="181" t="str">
        <f aca="false">Scoring!CA443</f>
        <v/>
      </c>
      <c r="E436" s="7" t="str">
        <f aca="false">Scoring!BD443</f>
        <v/>
      </c>
      <c r="F436" s="7" t="n">
        <f aca="false">Scoring!B443</f>
        <v>0</v>
      </c>
      <c r="G436" s="7" t="n">
        <f aca="false">Scoring!D443</f>
        <v>0</v>
      </c>
      <c r="H436" s="7" t="str">
        <f aca="false">Scoring!CC443</f>
        <v/>
      </c>
      <c r="I436" s="182" t="str">
        <f aca="false">Scoring!CB443</f>
        <v/>
      </c>
    </row>
    <row r="437" customFormat="false" ht="15.75" hidden="false" customHeight="false" outlineLevel="0" collapsed="false">
      <c r="A437" s="7" t="str">
        <f aca="false">Scoring!CE444</f>
        <v/>
      </c>
      <c r="B437" s="7" t="str">
        <f aca="false">Scoring!CD444</f>
        <v/>
      </c>
      <c r="C437" s="7" t="n">
        <f aca="false">Scoring!C444</f>
        <v>0</v>
      </c>
      <c r="D437" s="181" t="str">
        <f aca="false">Scoring!CA444</f>
        <v/>
      </c>
      <c r="E437" s="7" t="str">
        <f aca="false">Scoring!BD444</f>
        <v/>
      </c>
      <c r="F437" s="7" t="n">
        <f aca="false">Scoring!B444</f>
        <v>0</v>
      </c>
      <c r="G437" s="7" t="n">
        <f aca="false">Scoring!D444</f>
        <v>0</v>
      </c>
      <c r="H437" s="7" t="str">
        <f aca="false">Scoring!CC444</f>
        <v/>
      </c>
      <c r="I437" s="182" t="str">
        <f aca="false">Scoring!CB444</f>
        <v/>
      </c>
    </row>
    <row r="438" customFormat="false" ht="15.75" hidden="false" customHeight="false" outlineLevel="0" collapsed="false">
      <c r="A438" s="7" t="str">
        <f aca="false">Scoring!CE445</f>
        <v/>
      </c>
      <c r="B438" s="7" t="str">
        <f aca="false">Scoring!CD445</f>
        <v/>
      </c>
      <c r="C438" s="7" t="n">
        <f aca="false">Scoring!C445</f>
        <v>0</v>
      </c>
      <c r="D438" s="181" t="str">
        <f aca="false">Scoring!CA445</f>
        <v/>
      </c>
      <c r="E438" s="7" t="str">
        <f aca="false">Scoring!BD445</f>
        <v/>
      </c>
      <c r="F438" s="7" t="n">
        <f aca="false">Scoring!B445</f>
        <v>0</v>
      </c>
      <c r="G438" s="7" t="n">
        <f aca="false">Scoring!D445</f>
        <v>0</v>
      </c>
      <c r="H438" s="7" t="str">
        <f aca="false">Scoring!CC445</f>
        <v/>
      </c>
      <c r="I438" s="182" t="str">
        <f aca="false">Scoring!CB445</f>
        <v/>
      </c>
    </row>
    <row r="439" customFormat="false" ht="15.75" hidden="false" customHeight="false" outlineLevel="0" collapsed="false">
      <c r="A439" s="7" t="str">
        <f aca="false">Scoring!CE446</f>
        <v/>
      </c>
      <c r="B439" s="7" t="str">
        <f aca="false">Scoring!CD446</f>
        <v/>
      </c>
      <c r="C439" s="7" t="n">
        <f aca="false">Scoring!C446</f>
        <v>0</v>
      </c>
      <c r="D439" s="181" t="str">
        <f aca="false">Scoring!CA446</f>
        <v/>
      </c>
      <c r="E439" s="7" t="str">
        <f aca="false">Scoring!BD446</f>
        <v/>
      </c>
      <c r="F439" s="7" t="n">
        <f aca="false">Scoring!B446</f>
        <v>0</v>
      </c>
      <c r="G439" s="7" t="n">
        <f aca="false">Scoring!D446</f>
        <v>0</v>
      </c>
      <c r="H439" s="7" t="str">
        <f aca="false">Scoring!CC446</f>
        <v/>
      </c>
      <c r="I439" s="182" t="str">
        <f aca="false">Scoring!CB446</f>
        <v/>
      </c>
    </row>
    <row r="440" customFormat="false" ht="15.75" hidden="false" customHeight="false" outlineLevel="0" collapsed="false">
      <c r="A440" s="7" t="str">
        <f aca="false">Scoring!CE447</f>
        <v/>
      </c>
      <c r="B440" s="7" t="str">
        <f aca="false">Scoring!CD447</f>
        <v/>
      </c>
      <c r="C440" s="7" t="n">
        <f aca="false">Scoring!C447</f>
        <v>0</v>
      </c>
      <c r="D440" s="181" t="str">
        <f aca="false">Scoring!CA447</f>
        <v/>
      </c>
      <c r="E440" s="7" t="str">
        <f aca="false">Scoring!BD447</f>
        <v/>
      </c>
      <c r="F440" s="7" t="n">
        <f aca="false">Scoring!B447</f>
        <v>0</v>
      </c>
      <c r="G440" s="7" t="n">
        <f aca="false">Scoring!D447</f>
        <v>0</v>
      </c>
      <c r="H440" s="7" t="str">
        <f aca="false">Scoring!CC447</f>
        <v/>
      </c>
      <c r="I440" s="182" t="str">
        <f aca="false">Scoring!CB447</f>
        <v/>
      </c>
    </row>
    <row r="441" customFormat="false" ht="15.75" hidden="false" customHeight="false" outlineLevel="0" collapsed="false">
      <c r="A441" s="7" t="str">
        <f aca="false">Scoring!CE448</f>
        <v/>
      </c>
      <c r="B441" s="7" t="str">
        <f aca="false">Scoring!CD448</f>
        <v/>
      </c>
      <c r="C441" s="7" t="n">
        <f aca="false">Scoring!C448</f>
        <v>0</v>
      </c>
      <c r="D441" s="181" t="str">
        <f aca="false">Scoring!CA448</f>
        <v/>
      </c>
      <c r="E441" s="7" t="str">
        <f aca="false">Scoring!BD448</f>
        <v/>
      </c>
      <c r="F441" s="7" t="n">
        <f aca="false">Scoring!B448</f>
        <v>0</v>
      </c>
      <c r="G441" s="7" t="n">
        <f aca="false">Scoring!D448</f>
        <v>0</v>
      </c>
      <c r="H441" s="7" t="str">
        <f aca="false">Scoring!CC448</f>
        <v/>
      </c>
      <c r="I441" s="182" t="str">
        <f aca="false">Scoring!CB448</f>
        <v/>
      </c>
    </row>
    <row r="442" customFormat="false" ht="15.75" hidden="false" customHeight="false" outlineLevel="0" collapsed="false">
      <c r="A442" s="7" t="str">
        <f aca="false">Scoring!CE449</f>
        <v/>
      </c>
      <c r="B442" s="7" t="str">
        <f aca="false">Scoring!CD449</f>
        <v/>
      </c>
      <c r="C442" s="7" t="n">
        <f aca="false">Scoring!C449</f>
        <v>0</v>
      </c>
      <c r="D442" s="181" t="str">
        <f aca="false">Scoring!CA449</f>
        <v/>
      </c>
      <c r="E442" s="7" t="str">
        <f aca="false">Scoring!BD449</f>
        <v/>
      </c>
      <c r="F442" s="7" t="n">
        <f aca="false">Scoring!B449</f>
        <v>0</v>
      </c>
      <c r="G442" s="7" t="n">
        <f aca="false">Scoring!D449</f>
        <v>0</v>
      </c>
      <c r="H442" s="7" t="str">
        <f aca="false">Scoring!CC449</f>
        <v/>
      </c>
      <c r="I442" s="182" t="str">
        <f aca="false">Scoring!CB449</f>
        <v/>
      </c>
    </row>
    <row r="443" customFormat="false" ht="15.75" hidden="false" customHeight="false" outlineLevel="0" collapsed="false">
      <c r="A443" s="7" t="str">
        <f aca="false">Scoring!CE450</f>
        <v/>
      </c>
      <c r="B443" s="7" t="str">
        <f aca="false">Scoring!CD450</f>
        <v/>
      </c>
      <c r="C443" s="7" t="n">
        <f aca="false">Scoring!C450</f>
        <v>0</v>
      </c>
      <c r="D443" s="181" t="str">
        <f aca="false">Scoring!CA450</f>
        <v/>
      </c>
      <c r="E443" s="7" t="str">
        <f aca="false">Scoring!BD450</f>
        <v/>
      </c>
      <c r="F443" s="7" t="n">
        <f aca="false">Scoring!B450</f>
        <v>0</v>
      </c>
      <c r="G443" s="7" t="n">
        <f aca="false">Scoring!D450</f>
        <v>0</v>
      </c>
      <c r="H443" s="7" t="str">
        <f aca="false">Scoring!CC450</f>
        <v/>
      </c>
      <c r="I443" s="182" t="str">
        <f aca="false">Scoring!CB450</f>
        <v/>
      </c>
    </row>
    <row r="444" customFormat="false" ht="15.75" hidden="false" customHeight="false" outlineLevel="0" collapsed="false">
      <c r="A444" s="7" t="str">
        <f aca="false">Scoring!CE451</f>
        <v/>
      </c>
      <c r="B444" s="7" t="str">
        <f aca="false">Scoring!CD451</f>
        <v/>
      </c>
      <c r="C444" s="7" t="n">
        <f aca="false">Scoring!C451</f>
        <v>0</v>
      </c>
      <c r="D444" s="181" t="str">
        <f aca="false">Scoring!CA451</f>
        <v/>
      </c>
      <c r="E444" s="7" t="str">
        <f aca="false">Scoring!BD451</f>
        <v/>
      </c>
      <c r="F444" s="7" t="n">
        <f aca="false">Scoring!B451</f>
        <v>0</v>
      </c>
      <c r="G444" s="7" t="n">
        <f aca="false">Scoring!D451</f>
        <v>0</v>
      </c>
      <c r="H444" s="7" t="str">
        <f aca="false">Scoring!CC451</f>
        <v/>
      </c>
      <c r="I444" s="182" t="str">
        <f aca="false">Scoring!CB451</f>
        <v/>
      </c>
    </row>
    <row r="445" customFormat="false" ht="15.75" hidden="false" customHeight="false" outlineLevel="0" collapsed="false">
      <c r="A445" s="7" t="str">
        <f aca="false">Scoring!CE452</f>
        <v/>
      </c>
      <c r="B445" s="7" t="str">
        <f aca="false">Scoring!CD452</f>
        <v/>
      </c>
      <c r="C445" s="7" t="n">
        <f aca="false">Scoring!C452</f>
        <v>0</v>
      </c>
      <c r="D445" s="181" t="str">
        <f aca="false">Scoring!CA452</f>
        <v/>
      </c>
      <c r="E445" s="7" t="str">
        <f aca="false">Scoring!BD452</f>
        <v/>
      </c>
      <c r="F445" s="7" t="n">
        <f aca="false">Scoring!B452</f>
        <v>0</v>
      </c>
      <c r="G445" s="7" t="n">
        <f aca="false">Scoring!D452</f>
        <v>0</v>
      </c>
      <c r="H445" s="7" t="str">
        <f aca="false">Scoring!CC452</f>
        <v/>
      </c>
      <c r="I445" s="182" t="str">
        <f aca="false">Scoring!CB452</f>
        <v/>
      </c>
    </row>
    <row r="446" customFormat="false" ht="15.75" hidden="false" customHeight="false" outlineLevel="0" collapsed="false">
      <c r="A446" s="7" t="str">
        <f aca="false">Scoring!CE453</f>
        <v/>
      </c>
      <c r="B446" s="7" t="str">
        <f aca="false">Scoring!CD453</f>
        <v/>
      </c>
      <c r="C446" s="7" t="n">
        <f aca="false">Scoring!C453</f>
        <v>0</v>
      </c>
      <c r="D446" s="181" t="str">
        <f aca="false">Scoring!CA453</f>
        <v/>
      </c>
      <c r="E446" s="7" t="str">
        <f aca="false">Scoring!BD453</f>
        <v/>
      </c>
      <c r="F446" s="7" t="n">
        <f aca="false">Scoring!B453</f>
        <v>0</v>
      </c>
      <c r="G446" s="7" t="n">
        <f aca="false">Scoring!D453</f>
        <v>0</v>
      </c>
      <c r="H446" s="7" t="str">
        <f aca="false">Scoring!CC453</f>
        <v/>
      </c>
      <c r="I446" s="182" t="str">
        <f aca="false">Scoring!CB453</f>
        <v/>
      </c>
    </row>
    <row r="447" customFormat="false" ht="15.75" hidden="false" customHeight="false" outlineLevel="0" collapsed="false">
      <c r="A447" s="7" t="str">
        <f aca="false">Scoring!CE454</f>
        <v/>
      </c>
      <c r="B447" s="7" t="str">
        <f aca="false">Scoring!CD454</f>
        <v/>
      </c>
      <c r="C447" s="7" t="n">
        <f aca="false">Scoring!C454</f>
        <v>0</v>
      </c>
      <c r="D447" s="181" t="str">
        <f aca="false">Scoring!CA454</f>
        <v/>
      </c>
      <c r="E447" s="7" t="str">
        <f aca="false">Scoring!BD454</f>
        <v/>
      </c>
      <c r="F447" s="7" t="n">
        <f aca="false">Scoring!B454</f>
        <v>0</v>
      </c>
      <c r="G447" s="7" t="n">
        <f aca="false">Scoring!D454</f>
        <v>0</v>
      </c>
      <c r="H447" s="7" t="str">
        <f aca="false">Scoring!CC454</f>
        <v/>
      </c>
      <c r="I447" s="182" t="str">
        <f aca="false">Scoring!CB454</f>
        <v/>
      </c>
    </row>
    <row r="448" customFormat="false" ht="15.75" hidden="false" customHeight="false" outlineLevel="0" collapsed="false">
      <c r="A448" s="7" t="str">
        <f aca="false">Scoring!CE455</f>
        <v/>
      </c>
      <c r="B448" s="7" t="str">
        <f aca="false">Scoring!CD455</f>
        <v/>
      </c>
      <c r="C448" s="7" t="n">
        <f aca="false">Scoring!C455</f>
        <v>0</v>
      </c>
      <c r="D448" s="181" t="str">
        <f aca="false">Scoring!CA455</f>
        <v/>
      </c>
      <c r="E448" s="7" t="str">
        <f aca="false">Scoring!BD455</f>
        <v/>
      </c>
      <c r="F448" s="7" t="n">
        <f aca="false">Scoring!B455</f>
        <v>0</v>
      </c>
      <c r="G448" s="7" t="n">
        <f aca="false">Scoring!D455</f>
        <v>0</v>
      </c>
      <c r="H448" s="7" t="str">
        <f aca="false">Scoring!CC455</f>
        <v/>
      </c>
      <c r="I448" s="182" t="str">
        <f aca="false">Scoring!CB455</f>
        <v/>
      </c>
    </row>
    <row r="449" customFormat="false" ht="15.75" hidden="false" customHeight="false" outlineLevel="0" collapsed="false">
      <c r="A449" s="7" t="str">
        <f aca="false">Scoring!CE456</f>
        <v/>
      </c>
      <c r="B449" s="7" t="str">
        <f aca="false">Scoring!CD456</f>
        <v/>
      </c>
      <c r="C449" s="7" t="n">
        <f aca="false">Scoring!C456</f>
        <v>0</v>
      </c>
      <c r="D449" s="181" t="str">
        <f aca="false">Scoring!CA456</f>
        <v/>
      </c>
      <c r="E449" s="7" t="str">
        <f aca="false">Scoring!BD456</f>
        <v/>
      </c>
      <c r="F449" s="7" t="n">
        <f aca="false">Scoring!B456</f>
        <v>0</v>
      </c>
      <c r="G449" s="7" t="n">
        <f aca="false">Scoring!D456</f>
        <v>0</v>
      </c>
      <c r="H449" s="7" t="str">
        <f aca="false">Scoring!CC456</f>
        <v/>
      </c>
      <c r="I449" s="182" t="str">
        <f aca="false">Scoring!CB456</f>
        <v/>
      </c>
    </row>
    <row r="450" customFormat="false" ht="15.75" hidden="false" customHeight="false" outlineLevel="0" collapsed="false">
      <c r="A450" s="7" t="str">
        <f aca="false">Scoring!CE457</f>
        <v/>
      </c>
      <c r="B450" s="7" t="str">
        <f aca="false">Scoring!CD457</f>
        <v/>
      </c>
      <c r="C450" s="7" t="n">
        <f aca="false">Scoring!C457</f>
        <v>0</v>
      </c>
      <c r="D450" s="181" t="str">
        <f aca="false">Scoring!CA457</f>
        <v/>
      </c>
      <c r="E450" s="7" t="str">
        <f aca="false">Scoring!BD457</f>
        <v/>
      </c>
      <c r="F450" s="7" t="n">
        <f aca="false">Scoring!B457</f>
        <v>0</v>
      </c>
      <c r="G450" s="7" t="n">
        <f aca="false">Scoring!D457</f>
        <v>0</v>
      </c>
      <c r="H450" s="7" t="str">
        <f aca="false">Scoring!CC457</f>
        <v/>
      </c>
      <c r="I450" s="182" t="str">
        <f aca="false">Scoring!CB457</f>
        <v/>
      </c>
    </row>
    <row r="451" customFormat="false" ht="15.75" hidden="false" customHeight="false" outlineLevel="0" collapsed="false">
      <c r="A451" s="7" t="str">
        <f aca="false">Scoring!CE458</f>
        <v/>
      </c>
      <c r="B451" s="7" t="str">
        <f aca="false">Scoring!CD458</f>
        <v/>
      </c>
      <c r="C451" s="7" t="n">
        <f aca="false">Scoring!C458</f>
        <v>0</v>
      </c>
      <c r="D451" s="181" t="str">
        <f aca="false">Scoring!CA458</f>
        <v/>
      </c>
      <c r="E451" s="7" t="str">
        <f aca="false">Scoring!BD458</f>
        <v/>
      </c>
      <c r="F451" s="7" t="n">
        <f aca="false">Scoring!B458</f>
        <v>0</v>
      </c>
      <c r="G451" s="7" t="n">
        <f aca="false">Scoring!D458</f>
        <v>0</v>
      </c>
      <c r="H451" s="7" t="str">
        <f aca="false">Scoring!CC458</f>
        <v/>
      </c>
      <c r="I451" s="182" t="str">
        <f aca="false">Scoring!CB458</f>
        <v/>
      </c>
    </row>
    <row r="452" customFormat="false" ht="15.75" hidden="false" customHeight="false" outlineLevel="0" collapsed="false">
      <c r="A452" s="7" t="str">
        <f aca="false">Scoring!CE459</f>
        <v/>
      </c>
      <c r="B452" s="7" t="str">
        <f aca="false">Scoring!CD459</f>
        <v/>
      </c>
      <c r="C452" s="7" t="n">
        <f aca="false">Scoring!C459</f>
        <v>0</v>
      </c>
      <c r="D452" s="181" t="str">
        <f aca="false">Scoring!CA459</f>
        <v/>
      </c>
      <c r="E452" s="7" t="str">
        <f aca="false">Scoring!BD459</f>
        <v/>
      </c>
      <c r="F452" s="7" t="n">
        <f aca="false">Scoring!B459</f>
        <v>0</v>
      </c>
      <c r="G452" s="7" t="n">
        <f aca="false">Scoring!D459</f>
        <v>0</v>
      </c>
      <c r="H452" s="7" t="str">
        <f aca="false">Scoring!CC459</f>
        <v/>
      </c>
      <c r="I452" s="182" t="str">
        <f aca="false">Scoring!CB459</f>
        <v/>
      </c>
    </row>
    <row r="453" customFormat="false" ht="15.75" hidden="false" customHeight="false" outlineLevel="0" collapsed="false">
      <c r="A453" s="7" t="str">
        <f aca="false">Scoring!CE460</f>
        <v/>
      </c>
      <c r="B453" s="7" t="str">
        <f aca="false">Scoring!CD460</f>
        <v/>
      </c>
      <c r="C453" s="7" t="n">
        <f aca="false">Scoring!C460</f>
        <v>0</v>
      </c>
      <c r="D453" s="181" t="str">
        <f aca="false">Scoring!CA460</f>
        <v/>
      </c>
      <c r="E453" s="7" t="str">
        <f aca="false">Scoring!BD460</f>
        <v/>
      </c>
      <c r="F453" s="7" t="n">
        <f aca="false">Scoring!B460</f>
        <v>0</v>
      </c>
      <c r="G453" s="7" t="n">
        <f aca="false">Scoring!D460</f>
        <v>0</v>
      </c>
      <c r="H453" s="7" t="str">
        <f aca="false">Scoring!CC460</f>
        <v/>
      </c>
      <c r="I453" s="182" t="str">
        <f aca="false">Scoring!CB460</f>
        <v/>
      </c>
    </row>
    <row r="454" customFormat="false" ht="15.75" hidden="false" customHeight="false" outlineLevel="0" collapsed="false">
      <c r="A454" s="7" t="str">
        <f aca="false">Scoring!CE461</f>
        <v/>
      </c>
      <c r="B454" s="7" t="str">
        <f aca="false">Scoring!CD461</f>
        <v/>
      </c>
      <c r="C454" s="7" t="n">
        <f aca="false">Scoring!C461</f>
        <v>0</v>
      </c>
      <c r="D454" s="181" t="str">
        <f aca="false">Scoring!CA461</f>
        <v/>
      </c>
      <c r="E454" s="7" t="str">
        <f aca="false">Scoring!BD461</f>
        <v/>
      </c>
      <c r="F454" s="7" t="n">
        <f aca="false">Scoring!B461</f>
        <v>0</v>
      </c>
      <c r="G454" s="7" t="n">
        <f aca="false">Scoring!D461</f>
        <v>0</v>
      </c>
      <c r="H454" s="7" t="str">
        <f aca="false">Scoring!CC461</f>
        <v/>
      </c>
      <c r="I454" s="182" t="str">
        <f aca="false">Scoring!CB461</f>
        <v/>
      </c>
    </row>
    <row r="455" customFormat="false" ht="15.75" hidden="false" customHeight="false" outlineLevel="0" collapsed="false">
      <c r="A455" s="7" t="str">
        <f aca="false">Scoring!CE462</f>
        <v/>
      </c>
      <c r="B455" s="7" t="str">
        <f aca="false">Scoring!CD462</f>
        <v/>
      </c>
      <c r="C455" s="7" t="n">
        <f aca="false">Scoring!C462</f>
        <v>0</v>
      </c>
      <c r="D455" s="181" t="str">
        <f aca="false">Scoring!CA462</f>
        <v/>
      </c>
      <c r="E455" s="7" t="str">
        <f aca="false">Scoring!BD462</f>
        <v/>
      </c>
      <c r="F455" s="7" t="n">
        <f aca="false">Scoring!B462</f>
        <v>0</v>
      </c>
      <c r="G455" s="7" t="n">
        <f aca="false">Scoring!D462</f>
        <v>0</v>
      </c>
      <c r="H455" s="7" t="str">
        <f aca="false">Scoring!CC462</f>
        <v/>
      </c>
      <c r="I455" s="182" t="str">
        <f aca="false">Scoring!CB462</f>
        <v/>
      </c>
    </row>
    <row r="456" customFormat="false" ht="15.75" hidden="false" customHeight="false" outlineLevel="0" collapsed="false">
      <c r="A456" s="7" t="str">
        <f aca="false">Scoring!CE463</f>
        <v/>
      </c>
      <c r="B456" s="7" t="str">
        <f aca="false">Scoring!CD463</f>
        <v/>
      </c>
      <c r="C456" s="7" t="n">
        <f aca="false">Scoring!C463</f>
        <v>0</v>
      </c>
      <c r="D456" s="181" t="str">
        <f aca="false">Scoring!CA463</f>
        <v/>
      </c>
      <c r="E456" s="7" t="str">
        <f aca="false">Scoring!BD463</f>
        <v/>
      </c>
      <c r="F456" s="7" t="n">
        <f aca="false">Scoring!B463</f>
        <v>0</v>
      </c>
      <c r="G456" s="7" t="n">
        <f aca="false">Scoring!D463</f>
        <v>0</v>
      </c>
      <c r="H456" s="7" t="str">
        <f aca="false">Scoring!CC463</f>
        <v/>
      </c>
      <c r="I456" s="182" t="str">
        <f aca="false">Scoring!CB463</f>
        <v/>
      </c>
    </row>
    <row r="457" customFormat="false" ht="15.75" hidden="false" customHeight="false" outlineLevel="0" collapsed="false">
      <c r="A457" s="7" t="str">
        <f aca="false">Scoring!CE464</f>
        <v/>
      </c>
      <c r="B457" s="7" t="str">
        <f aca="false">Scoring!CD464</f>
        <v/>
      </c>
      <c r="C457" s="7" t="n">
        <f aca="false">Scoring!C464</f>
        <v>0</v>
      </c>
      <c r="D457" s="181" t="str">
        <f aca="false">Scoring!CA464</f>
        <v/>
      </c>
      <c r="E457" s="7" t="str">
        <f aca="false">Scoring!BD464</f>
        <v/>
      </c>
      <c r="F457" s="7" t="n">
        <f aca="false">Scoring!B464</f>
        <v>0</v>
      </c>
      <c r="G457" s="7" t="n">
        <f aca="false">Scoring!D464</f>
        <v>0</v>
      </c>
      <c r="H457" s="7" t="str">
        <f aca="false">Scoring!CC464</f>
        <v/>
      </c>
      <c r="I457" s="182" t="str">
        <f aca="false">Scoring!CB464</f>
        <v/>
      </c>
    </row>
    <row r="458" customFormat="false" ht="15.75" hidden="false" customHeight="false" outlineLevel="0" collapsed="false">
      <c r="A458" s="7" t="str">
        <f aca="false">Scoring!CE465</f>
        <v/>
      </c>
      <c r="B458" s="7" t="str">
        <f aca="false">Scoring!CD465</f>
        <v/>
      </c>
      <c r="C458" s="7" t="n">
        <f aca="false">Scoring!C465</f>
        <v>0</v>
      </c>
      <c r="D458" s="181" t="str">
        <f aca="false">Scoring!CA465</f>
        <v/>
      </c>
      <c r="E458" s="7" t="str">
        <f aca="false">Scoring!BD465</f>
        <v/>
      </c>
      <c r="F458" s="7" t="n">
        <f aca="false">Scoring!B465</f>
        <v>0</v>
      </c>
      <c r="G458" s="7" t="n">
        <f aca="false">Scoring!D465</f>
        <v>0</v>
      </c>
      <c r="H458" s="7" t="str">
        <f aca="false">Scoring!CC465</f>
        <v/>
      </c>
      <c r="I458" s="182" t="str">
        <f aca="false">Scoring!CB465</f>
        <v/>
      </c>
    </row>
    <row r="459" customFormat="false" ht="15.75" hidden="false" customHeight="false" outlineLevel="0" collapsed="false">
      <c r="A459" s="7" t="str">
        <f aca="false">Scoring!CE466</f>
        <v/>
      </c>
      <c r="B459" s="7" t="str">
        <f aca="false">Scoring!CD466</f>
        <v/>
      </c>
      <c r="C459" s="7" t="n">
        <f aca="false">Scoring!C466</f>
        <v>0</v>
      </c>
      <c r="D459" s="181" t="str">
        <f aca="false">Scoring!CA466</f>
        <v/>
      </c>
      <c r="E459" s="7" t="str">
        <f aca="false">Scoring!BD466</f>
        <v/>
      </c>
      <c r="F459" s="7" t="n">
        <f aca="false">Scoring!B466</f>
        <v>0</v>
      </c>
      <c r="G459" s="7" t="n">
        <f aca="false">Scoring!D466</f>
        <v>0</v>
      </c>
      <c r="H459" s="7" t="str">
        <f aca="false">Scoring!CC466</f>
        <v/>
      </c>
      <c r="I459" s="182" t="str">
        <f aca="false">Scoring!CB466</f>
        <v/>
      </c>
    </row>
    <row r="460" customFormat="false" ht="15.75" hidden="false" customHeight="false" outlineLevel="0" collapsed="false">
      <c r="A460" s="7" t="str">
        <f aca="false">Scoring!CE467</f>
        <v/>
      </c>
      <c r="B460" s="7" t="str">
        <f aca="false">Scoring!CD467</f>
        <v/>
      </c>
      <c r="C460" s="7" t="n">
        <f aca="false">Scoring!C467</f>
        <v>0</v>
      </c>
      <c r="D460" s="181" t="str">
        <f aca="false">Scoring!CA467</f>
        <v/>
      </c>
      <c r="E460" s="7" t="str">
        <f aca="false">Scoring!BD467</f>
        <v/>
      </c>
      <c r="F460" s="7" t="n">
        <f aca="false">Scoring!B467</f>
        <v>0</v>
      </c>
      <c r="G460" s="7" t="n">
        <f aca="false">Scoring!D467</f>
        <v>0</v>
      </c>
      <c r="H460" s="7" t="str">
        <f aca="false">Scoring!CC467</f>
        <v/>
      </c>
      <c r="I460" s="182" t="str">
        <f aca="false">Scoring!CB467</f>
        <v/>
      </c>
    </row>
    <row r="461" customFormat="false" ht="15.75" hidden="false" customHeight="false" outlineLevel="0" collapsed="false">
      <c r="A461" s="7" t="str">
        <f aca="false">Scoring!CE468</f>
        <v/>
      </c>
      <c r="B461" s="7" t="str">
        <f aca="false">Scoring!CD468</f>
        <v/>
      </c>
      <c r="C461" s="7" t="n">
        <f aca="false">Scoring!C468</f>
        <v>0</v>
      </c>
      <c r="D461" s="181" t="str">
        <f aca="false">Scoring!CA468</f>
        <v/>
      </c>
      <c r="E461" s="7" t="str">
        <f aca="false">Scoring!BD468</f>
        <v/>
      </c>
      <c r="F461" s="7" t="n">
        <f aca="false">Scoring!B468</f>
        <v>0</v>
      </c>
      <c r="G461" s="7" t="n">
        <f aca="false">Scoring!D468</f>
        <v>0</v>
      </c>
      <c r="H461" s="7" t="str">
        <f aca="false">Scoring!CC468</f>
        <v/>
      </c>
      <c r="I461" s="182" t="str">
        <f aca="false">Scoring!CB468</f>
        <v/>
      </c>
    </row>
    <row r="462" customFormat="false" ht="15.75" hidden="false" customHeight="false" outlineLevel="0" collapsed="false">
      <c r="A462" s="7" t="str">
        <f aca="false">Scoring!CE469</f>
        <v/>
      </c>
      <c r="B462" s="7" t="str">
        <f aca="false">Scoring!CD469</f>
        <v/>
      </c>
      <c r="C462" s="7" t="n">
        <f aca="false">Scoring!C469</f>
        <v>0</v>
      </c>
      <c r="D462" s="181" t="str">
        <f aca="false">Scoring!CA469</f>
        <v/>
      </c>
      <c r="E462" s="7" t="str">
        <f aca="false">Scoring!BD469</f>
        <v/>
      </c>
      <c r="F462" s="7" t="n">
        <f aca="false">Scoring!B469</f>
        <v>0</v>
      </c>
      <c r="G462" s="7" t="n">
        <f aca="false">Scoring!D469</f>
        <v>0</v>
      </c>
      <c r="H462" s="7" t="str">
        <f aca="false">Scoring!CC469</f>
        <v/>
      </c>
      <c r="I462" s="182" t="str">
        <f aca="false">Scoring!CB469</f>
        <v/>
      </c>
    </row>
    <row r="463" customFormat="false" ht="15.75" hidden="false" customHeight="false" outlineLevel="0" collapsed="false">
      <c r="A463" s="7" t="str">
        <f aca="false">Scoring!CE470</f>
        <v/>
      </c>
      <c r="B463" s="7" t="str">
        <f aca="false">Scoring!CD470</f>
        <v/>
      </c>
      <c r="C463" s="7" t="n">
        <f aca="false">Scoring!C470</f>
        <v>0</v>
      </c>
      <c r="D463" s="181" t="str">
        <f aca="false">Scoring!CA470</f>
        <v/>
      </c>
      <c r="E463" s="7" t="str">
        <f aca="false">Scoring!BD470</f>
        <v/>
      </c>
      <c r="F463" s="7" t="n">
        <f aca="false">Scoring!B470</f>
        <v>0</v>
      </c>
      <c r="G463" s="7" t="n">
        <f aca="false">Scoring!D470</f>
        <v>0</v>
      </c>
      <c r="H463" s="7" t="str">
        <f aca="false">Scoring!CC470</f>
        <v/>
      </c>
      <c r="I463" s="182" t="str">
        <f aca="false">Scoring!CB470</f>
        <v/>
      </c>
    </row>
    <row r="464" customFormat="false" ht="15.75" hidden="false" customHeight="false" outlineLevel="0" collapsed="false">
      <c r="A464" s="7" t="str">
        <f aca="false">Scoring!CE471</f>
        <v/>
      </c>
      <c r="B464" s="7" t="str">
        <f aca="false">Scoring!CD471</f>
        <v/>
      </c>
      <c r="C464" s="7" t="n">
        <f aca="false">Scoring!C471</f>
        <v>0</v>
      </c>
      <c r="D464" s="181" t="str">
        <f aca="false">Scoring!CA471</f>
        <v/>
      </c>
      <c r="E464" s="7" t="str">
        <f aca="false">Scoring!BD471</f>
        <v/>
      </c>
      <c r="F464" s="7" t="n">
        <f aca="false">Scoring!B471</f>
        <v>0</v>
      </c>
      <c r="G464" s="7" t="n">
        <f aca="false">Scoring!D471</f>
        <v>0</v>
      </c>
      <c r="H464" s="7" t="str">
        <f aca="false">Scoring!CC471</f>
        <v/>
      </c>
      <c r="I464" s="182" t="str">
        <f aca="false">Scoring!CB471</f>
        <v/>
      </c>
    </row>
    <row r="465" customFormat="false" ht="15.75" hidden="false" customHeight="false" outlineLevel="0" collapsed="false">
      <c r="A465" s="7" t="str">
        <f aca="false">Scoring!CE472</f>
        <v/>
      </c>
      <c r="B465" s="7" t="str">
        <f aca="false">Scoring!CD472</f>
        <v/>
      </c>
      <c r="C465" s="7" t="n">
        <f aca="false">Scoring!C472</f>
        <v>0</v>
      </c>
      <c r="D465" s="181" t="str">
        <f aca="false">Scoring!CA472</f>
        <v/>
      </c>
      <c r="E465" s="7" t="str">
        <f aca="false">Scoring!BD472</f>
        <v/>
      </c>
      <c r="F465" s="7" t="n">
        <f aca="false">Scoring!B472</f>
        <v>0</v>
      </c>
      <c r="G465" s="7" t="n">
        <f aca="false">Scoring!D472</f>
        <v>0</v>
      </c>
      <c r="H465" s="7" t="str">
        <f aca="false">Scoring!CC472</f>
        <v/>
      </c>
      <c r="I465" s="182" t="str">
        <f aca="false">Scoring!CB472</f>
        <v/>
      </c>
    </row>
    <row r="466" customFormat="false" ht="15.75" hidden="false" customHeight="false" outlineLevel="0" collapsed="false">
      <c r="A466" s="7" t="str">
        <f aca="false">Scoring!CE473</f>
        <v/>
      </c>
      <c r="B466" s="7" t="str">
        <f aca="false">Scoring!CD473</f>
        <v/>
      </c>
      <c r="C466" s="7" t="n">
        <f aca="false">Scoring!C473</f>
        <v>0</v>
      </c>
      <c r="D466" s="181" t="str">
        <f aca="false">Scoring!CA473</f>
        <v/>
      </c>
      <c r="E466" s="7" t="str">
        <f aca="false">Scoring!BD473</f>
        <v/>
      </c>
      <c r="F466" s="7" t="n">
        <f aca="false">Scoring!B473</f>
        <v>0</v>
      </c>
      <c r="G466" s="7" t="n">
        <f aca="false">Scoring!D473</f>
        <v>0</v>
      </c>
      <c r="H466" s="7" t="str">
        <f aca="false">Scoring!CC473</f>
        <v/>
      </c>
      <c r="I466" s="182" t="str">
        <f aca="false">Scoring!CB473</f>
        <v/>
      </c>
    </row>
    <row r="467" customFormat="false" ht="15.75" hidden="false" customHeight="false" outlineLevel="0" collapsed="false">
      <c r="A467" s="7" t="str">
        <f aca="false">Scoring!CE474</f>
        <v/>
      </c>
      <c r="B467" s="7" t="str">
        <f aca="false">Scoring!CD474</f>
        <v/>
      </c>
      <c r="C467" s="7" t="n">
        <f aca="false">Scoring!C474</f>
        <v>0</v>
      </c>
      <c r="D467" s="181" t="str">
        <f aca="false">Scoring!CA474</f>
        <v/>
      </c>
      <c r="E467" s="7" t="str">
        <f aca="false">Scoring!BD474</f>
        <v/>
      </c>
      <c r="F467" s="7" t="n">
        <f aca="false">Scoring!B474</f>
        <v>0</v>
      </c>
      <c r="G467" s="7" t="n">
        <f aca="false">Scoring!D474</f>
        <v>0</v>
      </c>
      <c r="H467" s="7" t="str">
        <f aca="false">Scoring!CC474</f>
        <v/>
      </c>
      <c r="I467" s="182" t="str">
        <f aca="false">Scoring!CB474</f>
        <v/>
      </c>
    </row>
    <row r="468" customFormat="false" ht="15.75" hidden="false" customHeight="false" outlineLevel="0" collapsed="false">
      <c r="A468" s="7" t="str">
        <f aca="false">Scoring!CE475</f>
        <v/>
      </c>
      <c r="B468" s="7" t="str">
        <f aca="false">Scoring!CD475</f>
        <v/>
      </c>
      <c r="C468" s="7" t="n">
        <f aca="false">Scoring!C475</f>
        <v>0</v>
      </c>
      <c r="D468" s="181" t="str">
        <f aca="false">Scoring!CA475</f>
        <v/>
      </c>
      <c r="E468" s="7" t="str">
        <f aca="false">Scoring!BD475</f>
        <v/>
      </c>
      <c r="F468" s="7" t="n">
        <f aca="false">Scoring!B475</f>
        <v>0</v>
      </c>
      <c r="G468" s="7" t="n">
        <f aca="false">Scoring!D475</f>
        <v>0</v>
      </c>
      <c r="H468" s="7" t="str">
        <f aca="false">Scoring!CC475</f>
        <v/>
      </c>
      <c r="I468" s="182" t="str">
        <f aca="false">Scoring!CB475</f>
        <v/>
      </c>
    </row>
    <row r="469" customFormat="false" ht="15.75" hidden="false" customHeight="false" outlineLevel="0" collapsed="false">
      <c r="A469" s="7" t="str">
        <f aca="false">Scoring!CE476</f>
        <v/>
      </c>
      <c r="B469" s="7" t="str">
        <f aca="false">Scoring!CD476</f>
        <v/>
      </c>
      <c r="C469" s="7" t="n">
        <f aca="false">Scoring!C476</f>
        <v>0</v>
      </c>
      <c r="D469" s="181" t="str">
        <f aca="false">Scoring!CA476</f>
        <v/>
      </c>
      <c r="E469" s="7" t="str">
        <f aca="false">Scoring!BD476</f>
        <v/>
      </c>
      <c r="F469" s="7" t="n">
        <f aca="false">Scoring!B476</f>
        <v>0</v>
      </c>
      <c r="G469" s="7" t="n">
        <f aca="false">Scoring!D476</f>
        <v>0</v>
      </c>
      <c r="H469" s="7" t="str">
        <f aca="false">Scoring!CC476</f>
        <v/>
      </c>
      <c r="I469" s="182" t="str">
        <f aca="false">Scoring!CB476</f>
        <v/>
      </c>
    </row>
    <row r="470" customFormat="false" ht="15.75" hidden="false" customHeight="false" outlineLevel="0" collapsed="false">
      <c r="A470" s="7" t="str">
        <f aca="false">Scoring!CE477</f>
        <v/>
      </c>
      <c r="B470" s="7" t="str">
        <f aca="false">Scoring!CD477</f>
        <v/>
      </c>
      <c r="C470" s="7" t="n">
        <f aca="false">Scoring!C477</f>
        <v>0</v>
      </c>
      <c r="D470" s="181" t="str">
        <f aca="false">Scoring!CA477</f>
        <v/>
      </c>
      <c r="E470" s="7" t="str">
        <f aca="false">Scoring!BD477</f>
        <v/>
      </c>
      <c r="F470" s="7" t="n">
        <f aca="false">Scoring!B477</f>
        <v>0</v>
      </c>
      <c r="G470" s="7" t="n">
        <f aca="false">Scoring!D477</f>
        <v>0</v>
      </c>
      <c r="H470" s="7" t="str">
        <f aca="false">Scoring!CC477</f>
        <v/>
      </c>
      <c r="I470" s="182" t="str">
        <f aca="false">Scoring!CB477</f>
        <v/>
      </c>
    </row>
    <row r="471" customFormat="false" ht="15.75" hidden="false" customHeight="false" outlineLevel="0" collapsed="false">
      <c r="A471" s="7" t="str">
        <f aca="false">Scoring!CE478</f>
        <v/>
      </c>
      <c r="B471" s="7" t="str">
        <f aca="false">Scoring!CD478</f>
        <v/>
      </c>
      <c r="C471" s="7" t="n">
        <f aca="false">Scoring!C478</f>
        <v>0</v>
      </c>
      <c r="D471" s="181" t="str">
        <f aca="false">Scoring!CA478</f>
        <v/>
      </c>
      <c r="E471" s="7" t="str">
        <f aca="false">Scoring!BD478</f>
        <v/>
      </c>
      <c r="F471" s="7" t="n">
        <f aca="false">Scoring!B478</f>
        <v>0</v>
      </c>
      <c r="G471" s="7" t="n">
        <f aca="false">Scoring!D478</f>
        <v>0</v>
      </c>
      <c r="H471" s="7" t="str">
        <f aca="false">Scoring!CC478</f>
        <v/>
      </c>
      <c r="I471" s="182" t="str">
        <f aca="false">Scoring!CB478</f>
        <v/>
      </c>
    </row>
    <row r="472" customFormat="false" ht="15.75" hidden="false" customHeight="false" outlineLevel="0" collapsed="false">
      <c r="A472" s="7" t="str">
        <f aca="false">Scoring!CE479</f>
        <v/>
      </c>
      <c r="B472" s="7" t="str">
        <f aca="false">Scoring!CD479</f>
        <v/>
      </c>
      <c r="C472" s="7" t="n">
        <f aca="false">Scoring!C479</f>
        <v>0</v>
      </c>
      <c r="D472" s="181" t="str">
        <f aca="false">Scoring!CA479</f>
        <v/>
      </c>
      <c r="E472" s="7" t="str">
        <f aca="false">Scoring!BD479</f>
        <v/>
      </c>
      <c r="F472" s="7" t="n">
        <f aca="false">Scoring!B479</f>
        <v>0</v>
      </c>
      <c r="G472" s="7" t="n">
        <f aca="false">Scoring!D479</f>
        <v>0</v>
      </c>
      <c r="H472" s="7" t="str">
        <f aca="false">Scoring!CC479</f>
        <v/>
      </c>
      <c r="I472" s="182" t="str">
        <f aca="false">Scoring!CB479</f>
        <v/>
      </c>
    </row>
    <row r="473" customFormat="false" ht="15.75" hidden="false" customHeight="false" outlineLevel="0" collapsed="false">
      <c r="A473" s="7" t="str">
        <f aca="false">Scoring!CE480</f>
        <v/>
      </c>
      <c r="B473" s="7" t="str">
        <f aca="false">Scoring!CD480</f>
        <v/>
      </c>
      <c r="C473" s="7" t="n">
        <f aca="false">Scoring!C480</f>
        <v>0</v>
      </c>
      <c r="D473" s="181" t="str">
        <f aca="false">Scoring!CA480</f>
        <v/>
      </c>
      <c r="E473" s="7" t="str">
        <f aca="false">Scoring!BD480</f>
        <v/>
      </c>
      <c r="F473" s="7" t="n">
        <f aca="false">Scoring!B480</f>
        <v>0</v>
      </c>
      <c r="G473" s="7" t="n">
        <f aca="false">Scoring!D480</f>
        <v>0</v>
      </c>
      <c r="H473" s="7" t="str">
        <f aca="false">Scoring!CC480</f>
        <v/>
      </c>
      <c r="I473" s="182" t="str">
        <f aca="false">Scoring!CB480</f>
        <v/>
      </c>
    </row>
    <row r="474" customFormat="false" ht="15.75" hidden="false" customHeight="false" outlineLevel="0" collapsed="false">
      <c r="A474" s="7" t="str">
        <f aca="false">Scoring!CE481</f>
        <v/>
      </c>
      <c r="B474" s="7" t="str">
        <f aca="false">Scoring!CD481</f>
        <v/>
      </c>
      <c r="C474" s="7" t="n">
        <f aca="false">Scoring!C481</f>
        <v>0</v>
      </c>
      <c r="D474" s="181" t="str">
        <f aca="false">Scoring!CA481</f>
        <v/>
      </c>
      <c r="E474" s="7" t="str">
        <f aca="false">Scoring!BD481</f>
        <v/>
      </c>
      <c r="F474" s="7" t="n">
        <f aca="false">Scoring!B481</f>
        <v>0</v>
      </c>
      <c r="G474" s="7" t="n">
        <f aca="false">Scoring!D481</f>
        <v>0</v>
      </c>
      <c r="H474" s="7" t="str">
        <f aca="false">Scoring!CC481</f>
        <v/>
      </c>
      <c r="I474" s="182" t="str">
        <f aca="false">Scoring!CB481</f>
        <v/>
      </c>
    </row>
    <row r="475" customFormat="false" ht="15.75" hidden="false" customHeight="false" outlineLevel="0" collapsed="false">
      <c r="A475" s="7" t="str">
        <f aca="false">Scoring!CE482</f>
        <v/>
      </c>
      <c r="B475" s="7" t="str">
        <f aca="false">Scoring!CD482</f>
        <v/>
      </c>
      <c r="C475" s="7" t="n">
        <f aca="false">Scoring!C482</f>
        <v>0</v>
      </c>
      <c r="D475" s="181" t="str">
        <f aca="false">Scoring!CA482</f>
        <v/>
      </c>
      <c r="E475" s="7" t="str">
        <f aca="false">Scoring!BD482</f>
        <v/>
      </c>
      <c r="F475" s="7" t="n">
        <f aca="false">Scoring!B482</f>
        <v>0</v>
      </c>
      <c r="G475" s="7" t="n">
        <f aca="false">Scoring!D482</f>
        <v>0</v>
      </c>
      <c r="H475" s="7" t="str">
        <f aca="false">Scoring!CC482</f>
        <v/>
      </c>
      <c r="I475" s="182" t="str">
        <f aca="false">Scoring!CB482</f>
        <v/>
      </c>
    </row>
    <row r="476" customFormat="false" ht="15.75" hidden="false" customHeight="false" outlineLevel="0" collapsed="false">
      <c r="A476" s="7" t="str">
        <f aca="false">Scoring!CE483</f>
        <v/>
      </c>
      <c r="B476" s="7" t="str">
        <f aca="false">Scoring!CD483</f>
        <v/>
      </c>
      <c r="C476" s="7" t="n">
        <f aca="false">Scoring!C483</f>
        <v>0</v>
      </c>
      <c r="D476" s="181" t="str">
        <f aca="false">Scoring!CA483</f>
        <v/>
      </c>
      <c r="E476" s="7" t="str">
        <f aca="false">Scoring!BD483</f>
        <v/>
      </c>
      <c r="F476" s="7" t="n">
        <f aca="false">Scoring!B483</f>
        <v>0</v>
      </c>
      <c r="G476" s="7" t="n">
        <f aca="false">Scoring!D483</f>
        <v>0</v>
      </c>
      <c r="H476" s="7" t="str">
        <f aca="false">Scoring!CC483</f>
        <v/>
      </c>
      <c r="I476" s="182" t="str">
        <f aca="false">Scoring!CB483</f>
        <v/>
      </c>
    </row>
    <row r="477" customFormat="false" ht="15.75" hidden="false" customHeight="false" outlineLevel="0" collapsed="false">
      <c r="A477" s="7" t="str">
        <f aca="false">Scoring!CE484</f>
        <v/>
      </c>
      <c r="B477" s="7" t="str">
        <f aca="false">Scoring!CD484</f>
        <v/>
      </c>
      <c r="C477" s="7" t="n">
        <f aca="false">Scoring!C484</f>
        <v>0</v>
      </c>
      <c r="D477" s="181" t="str">
        <f aca="false">Scoring!CA484</f>
        <v/>
      </c>
      <c r="E477" s="7" t="str">
        <f aca="false">Scoring!BD484</f>
        <v/>
      </c>
      <c r="F477" s="7" t="n">
        <f aca="false">Scoring!B484</f>
        <v>0</v>
      </c>
      <c r="G477" s="7" t="n">
        <f aca="false">Scoring!D484</f>
        <v>0</v>
      </c>
      <c r="H477" s="7" t="str">
        <f aca="false">Scoring!CC484</f>
        <v/>
      </c>
      <c r="I477" s="182" t="str">
        <f aca="false">Scoring!CB484</f>
        <v/>
      </c>
    </row>
    <row r="478" customFormat="false" ht="15.75" hidden="false" customHeight="false" outlineLevel="0" collapsed="false">
      <c r="A478" s="7" t="str">
        <f aca="false">Scoring!CE485</f>
        <v/>
      </c>
      <c r="B478" s="7" t="str">
        <f aca="false">Scoring!CD485</f>
        <v/>
      </c>
      <c r="C478" s="7" t="n">
        <f aca="false">Scoring!C485</f>
        <v>0</v>
      </c>
      <c r="D478" s="181" t="str">
        <f aca="false">Scoring!CA485</f>
        <v/>
      </c>
      <c r="E478" s="7" t="str">
        <f aca="false">Scoring!BD485</f>
        <v/>
      </c>
      <c r="F478" s="7" t="n">
        <f aca="false">Scoring!B485</f>
        <v>0</v>
      </c>
      <c r="G478" s="7" t="n">
        <f aca="false">Scoring!D485</f>
        <v>0</v>
      </c>
      <c r="H478" s="7" t="str">
        <f aca="false">Scoring!CC485</f>
        <v/>
      </c>
      <c r="I478" s="182" t="str">
        <f aca="false">Scoring!CB485</f>
        <v/>
      </c>
    </row>
    <row r="479" customFormat="false" ht="15.75" hidden="false" customHeight="false" outlineLevel="0" collapsed="false">
      <c r="A479" s="7" t="str">
        <f aca="false">Scoring!CE486</f>
        <v/>
      </c>
      <c r="B479" s="7" t="str">
        <f aca="false">Scoring!CD486</f>
        <v/>
      </c>
      <c r="C479" s="7" t="n">
        <f aca="false">Scoring!C486</f>
        <v>0</v>
      </c>
      <c r="D479" s="181" t="str">
        <f aca="false">Scoring!CA486</f>
        <v/>
      </c>
      <c r="E479" s="7" t="str">
        <f aca="false">Scoring!BD486</f>
        <v/>
      </c>
      <c r="F479" s="7" t="n">
        <f aca="false">Scoring!B486</f>
        <v>0</v>
      </c>
      <c r="G479" s="7" t="n">
        <f aca="false">Scoring!D486</f>
        <v>0</v>
      </c>
      <c r="H479" s="7" t="str">
        <f aca="false">Scoring!CC486</f>
        <v/>
      </c>
      <c r="I479" s="182" t="str">
        <f aca="false">Scoring!CB486</f>
        <v/>
      </c>
    </row>
    <row r="480" customFormat="false" ht="15.75" hidden="false" customHeight="false" outlineLevel="0" collapsed="false">
      <c r="A480" s="7" t="str">
        <f aca="false">Scoring!CE487</f>
        <v/>
      </c>
      <c r="B480" s="7" t="str">
        <f aca="false">Scoring!CD487</f>
        <v/>
      </c>
      <c r="C480" s="7" t="n">
        <f aca="false">Scoring!C487</f>
        <v>0</v>
      </c>
      <c r="D480" s="181" t="str">
        <f aca="false">Scoring!CA487</f>
        <v/>
      </c>
      <c r="E480" s="7" t="str">
        <f aca="false">Scoring!BD487</f>
        <v/>
      </c>
      <c r="F480" s="7" t="n">
        <f aca="false">Scoring!B487</f>
        <v>0</v>
      </c>
      <c r="G480" s="7" t="n">
        <f aca="false">Scoring!D487</f>
        <v>0</v>
      </c>
      <c r="H480" s="7" t="str">
        <f aca="false">Scoring!CC487</f>
        <v/>
      </c>
      <c r="I480" s="182" t="str">
        <f aca="false">Scoring!CB487</f>
        <v/>
      </c>
    </row>
    <row r="481" customFormat="false" ht="15.75" hidden="false" customHeight="false" outlineLevel="0" collapsed="false">
      <c r="A481" s="7" t="str">
        <f aca="false">Scoring!CE488</f>
        <v/>
      </c>
      <c r="B481" s="7" t="str">
        <f aca="false">Scoring!CD488</f>
        <v/>
      </c>
      <c r="C481" s="7" t="n">
        <f aca="false">Scoring!C488</f>
        <v>0</v>
      </c>
      <c r="D481" s="181" t="str">
        <f aca="false">Scoring!CA488</f>
        <v/>
      </c>
      <c r="E481" s="7" t="str">
        <f aca="false">Scoring!BD488</f>
        <v/>
      </c>
      <c r="F481" s="7" t="n">
        <f aca="false">Scoring!B488</f>
        <v>0</v>
      </c>
      <c r="G481" s="7" t="n">
        <f aca="false">Scoring!D488</f>
        <v>0</v>
      </c>
      <c r="H481" s="7" t="str">
        <f aca="false">Scoring!CC488</f>
        <v/>
      </c>
      <c r="I481" s="182" t="str">
        <f aca="false">Scoring!CB488</f>
        <v/>
      </c>
    </row>
    <row r="482" customFormat="false" ht="15.75" hidden="false" customHeight="false" outlineLevel="0" collapsed="false">
      <c r="A482" s="7" t="str">
        <f aca="false">Scoring!CE489</f>
        <v/>
      </c>
      <c r="B482" s="7" t="str">
        <f aca="false">Scoring!CD489</f>
        <v/>
      </c>
      <c r="C482" s="7" t="n">
        <f aca="false">Scoring!C489</f>
        <v>0</v>
      </c>
      <c r="D482" s="181" t="str">
        <f aca="false">Scoring!CA489</f>
        <v/>
      </c>
      <c r="E482" s="7" t="str">
        <f aca="false">Scoring!BD489</f>
        <v/>
      </c>
      <c r="F482" s="7" t="n">
        <f aca="false">Scoring!B489</f>
        <v>0</v>
      </c>
      <c r="G482" s="7" t="n">
        <f aca="false">Scoring!D489</f>
        <v>0</v>
      </c>
      <c r="H482" s="7" t="str">
        <f aca="false">Scoring!CC489</f>
        <v/>
      </c>
      <c r="I482" s="182" t="str">
        <f aca="false">Scoring!CB489</f>
        <v/>
      </c>
    </row>
    <row r="483" customFormat="false" ht="15.75" hidden="false" customHeight="false" outlineLevel="0" collapsed="false">
      <c r="A483" s="7" t="str">
        <f aca="false">Scoring!CE490</f>
        <v/>
      </c>
      <c r="B483" s="7" t="str">
        <f aca="false">Scoring!CD490</f>
        <v/>
      </c>
      <c r="C483" s="7" t="n">
        <f aca="false">Scoring!C490</f>
        <v>0</v>
      </c>
      <c r="D483" s="181" t="str">
        <f aca="false">Scoring!CA490</f>
        <v/>
      </c>
      <c r="E483" s="7" t="str">
        <f aca="false">Scoring!BD490</f>
        <v/>
      </c>
      <c r="F483" s="7" t="n">
        <f aca="false">Scoring!B490</f>
        <v>0</v>
      </c>
      <c r="G483" s="7" t="n">
        <f aca="false">Scoring!D490</f>
        <v>0</v>
      </c>
      <c r="H483" s="7" t="str">
        <f aca="false">Scoring!CC490</f>
        <v/>
      </c>
      <c r="I483" s="182" t="str">
        <f aca="false">Scoring!CB490</f>
        <v/>
      </c>
    </row>
    <row r="484" customFormat="false" ht="15.75" hidden="false" customHeight="false" outlineLevel="0" collapsed="false">
      <c r="A484" s="7" t="str">
        <f aca="false">Scoring!CE491</f>
        <v/>
      </c>
      <c r="B484" s="7" t="str">
        <f aca="false">Scoring!CD491</f>
        <v/>
      </c>
      <c r="C484" s="7" t="n">
        <f aca="false">Scoring!C491</f>
        <v>0</v>
      </c>
      <c r="D484" s="181" t="str">
        <f aca="false">Scoring!CA491</f>
        <v/>
      </c>
      <c r="E484" s="7" t="str">
        <f aca="false">Scoring!BD491</f>
        <v/>
      </c>
      <c r="F484" s="7" t="n">
        <f aca="false">Scoring!B491</f>
        <v>0</v>
      </c>
      <c r="G484" s="7" t="n">
        <f aca="false">Scoring!D491</f>
        <v>0</v>
      </c>
      <c r="H484" s="7" t="str">
        <f aca="false">Scoring!CC491</f>
        <v/>
      </c>
      <c r="I484" s="182" t="str">
        <f aca="false">Scoring!CB491</f>
        <v/>
      </c>
    </row>
    <row r="485" customFormat="false" ht="15.75" hidden="false" customHeight="false" outlineLevel="0" collapsed="false">
      <c r="A485" s="7" t="str">
        <f aca="false">Scoring!CE492</f>
        <v/>
      </c>
      <c r="B485" s="7" t="str">
        <f aca="false">Scoring!CD492</f>
        <v/>
      </c>
      <c r="C485" s="7" t="n">
        <f aca="false">Scoring!C492</f>
        <v>0</v>
      </c>
      <c r="D485" s="181" t="str">
        <f aca="false">Scoring!CA492</f>
        <v/>
      </c>
      <c r="E485" s="7" t="str">
        <f aca="false">Scoring!BD492</f>
        <v/>
      </c>
      <c r="F485" s="7" t="n">
        <f aca="false">Scoring!B492</f>
        <v>0</v>
      </c>
      <c r="G485" s="7" t="n">
        <f aca="false">Scoring!D492</f>
        <v>0</v>
      </c>
      <c r="H485" s="7" t="str">
        <f aca="false">Scoring!CC492</f>
        <v/>
      </c>
      <c r="I485" s="182" t="str">
        <f aca="false">Scoring!CB492</f>
        <v/>
      </c>
    </row>
    <row r="486" customFormat="false" ht="15.75" hidden="false" customHeight="false" outlineLevel="0" collapsed="false">
      <c r="A486" s="7" t="str">
        <f aca="false">Scoring!CE493</f>
        <v/>
      </c>
      <c r="B486" s="7" t="str">
        <f aca="false">Scoring!CD493</f>
        <v/>
      </c>
      <c r="C486" s="7" t="n">
        <f aca="false">Scoring!C493</f>
        <v>0</v>
      </c>
      <c r="D486" s="181" t="str">
        <f aca="false">Scoring!CA493</f>
        <v/>
      </c>
      <c r="E486" s="7" t="str">
        <f aca="false">Scoring!BD493</f>
        <v/>
      </c>
      <c r="F486" s="7" t="n">
        <f aca="false">Scoring!B493</f>
        <v>0</v>
      </c>
      <c r="G486" s="7" t="n">
        <f aca="false">Scoring!D493</f>
        <v>0</v>
      </c>
      <c r="H486" s="7" t="str">
        <f aca="false">Scoring!CC493</f>
        <v/>
      </c>
      <c r="I486" s="182" t="str">
        <f aca="false">Scoring!CB493</f>
        <v/>
      </c>
    </row>
    <row r="487" customFormat="false" ht="15.75" hidden="false" customHeight="false" outlineLevel="0" collapsed="false">
      <c r="A487" s="7" t="str">
        <f aca="false">Scoring!CE494</f>
        <v/>
      </c>
      <c r="B487" s="7" t="str">
        <f aca="false">Scoring!CD494</f>
        <v/>
      </c>
      <c r="C487" s="7" t="n">
        <f aca="false">Scoring!C494</f>
        <v>0</v>
      </c>
      <c r="D487" s="181" t="str">
        <f aca="false">Scoring!CA494</f>
        <v/>
      </c>
      <c r="E487" s="7" t="str">
        <f aca="false">Scoring!BD494</f>
        <v/>
      </c>
      <c r="F487" s="7" t="n">
        <f aca="false">Scoring!B494</f>
        <v>0</v>
      </c>
      <c r="G487" s="7" t="n">
        <f aca="false">Scoring!D494</f>
        <v>0</v>
      </c>
      <c r="H487" s="7" t="str">
        <f aca="false">Scoring!CC494</f>
        <v/>
      </c>
      <c r="I487" s="182" t="str">
        <f aca="false">Scoring!CB494</f>
        <v/>
      </c>
    </row>
    <row r="488" customFormat="false" ht="15.75" hidden="false" customHeight="false" outlineLevel="0" collapsed="false">
      <c r="A488" s="7" t="str">
        <f aca="false">Scoring!CE495</f>
        <v/>
      </c>
      <c r="B488" s="7" t="str">
        <f aca="false">Scoring!CD495</f>
        <v/>
      </c>
      <c r="C488" s="7" t="n">
        <f aca="false">Scoring!C495</f>
        <v>0</v>
      </c>
      <c r="D488" s="181" t="str">
        <f aca="false">Scoring!CA495</f>
        <v/>
      </c>
      <c r="E488" s="7" t="str">
        <f aca="false">Scoring!BD495</f>
        <v/>
      </c>
      <c r="F488" s="7" t="n">
        <f aca="false">Scoring!B495</f>
        <v>0</v>
      </c>
      <c r="G488" s="7" t="n">
        <f aca="false">Scoring!D495</f>
        <v>0</v>
      </c>
      <c r="H488" s="7" t="str">
        <f aca="false">Scoring!CC495</f>
        <v/>
      </c>
      <c r="I488" s="182" t="str">
        <f aca="false">Scoring!CB495</f>
        <v/>
      </c>
    </row>
    <row r="489" customFormat="false" ht="15.75" hidden="false" customHeight="false" outlineLevel="0" collapsed="false">
      <c r="A489" s="7" t="str">
        <f aca="false">Scoring!CE496</f>
        <v/>
      </c>
      <c r="B489" s="7" t="str">
        <f aca="false">Scoring!CD496</f>
        <v/>
      </c>
      <c r="C489" s="7" t="n">
        <f aca="false">Scoring!C496</f>
        <v>0</v>
      </c>
      <c r="D489" s="181" t="str">
        <f aca="false">Scoring!CA496</f>
        <v/>
      </c>
      <c r="E489" s="7" t="str">
        <f aca="false">Scoring!BD496</f>
        <v/>
      </c>
      <c r="F489" s="7" t="n">
        <f aca="false">Scoring!B496</f>
        <v>0</v>
      </c>
      <c r="G489" s="7" t="n">
        <f aca="false">Scoring!D496</f>
        <v>0</v>
      </c>
      <c r="H489" s="7" t="str">
        <f aca="false">Scoring!CC496</f>
        <v/>
      </c>
      <c r="I489" s="182" t="str">
        <f aca="false">Scoring!CB496</f>
        <v/>
      </c>
    </row>
    <row r="490" customFormat="false" ht="15.75" hidden="false" customHeight="false" outlineLevel="0" collapsed="false">
      <c r="A490" s="7" t="str">
        <f aca="false">Scoring!CE497</f>
        <v/>
      </c>
      <c r="B490" s="7" t="str">
        <f aca="false">Scoring!CD497</f>
        <v/>
      </c>
      <c r="C490" s="7" t="n">
        <f aca="false">Scoring!C497</f>
        <v>0</v>
      </c>
      <c r="D490" s="181" t="str">
        <f aca="false">Scoring!CA497</f>
        <v/>
      </c>
      <c r="E490" s="7" t="str">
        <f aca="false">Scoring!BD497</f>
        <v/>
      </c>
      <c r="F490" s="7" t="n">
        <f aca="false">Scoring!B497</f>
        <v>0</v>
      </c>
      <c r="G490" s="7" t="n">
        <f aca="false">Scoring!D497</f>
        <v>0</v>
      </c>
      <c r="H490" s="7" t="str">
        <f aca="false">Scoring!CC497</f>
        <v/>
      </c>
      <c r="I490" s="182" t="str">
        <f aca="false">Scoring!CB497</f>
        <v/>
      </c>
    </row>
    <row r="491" customFormat="false" ht="15.75" hidden="false" customHeight="false" outlineLevel="0" collapsed="false">
      <c r="A491" s="7" t="str">
        <f aca="false">Scoring!CE498</f>
        <v/>
      </c>
      <c r="B491" s="7" t="str">
        <f aca="false">Scoring!CD498</f>
        <v/>
      </c>
      <c r="C491" s="7" t="n">
        <f aca="false">Scoring!C498</f>
        <v>0</v>
      </c>
      <c r="D491" s="181" t="str">
        <f aca="false">Scoring!CA498</f>
        <v/>
      </c>
      <c r="E491" s="7" t="str">
        <f aca="false">Scoring!BD498</f>
        <v/>
      </c>
      <c r="F491" s="7" t="n">
        <f aca="false">Scoring!B498</f>
        <v>0</v>
      </c>
      <c r="G491" s="7" t="n">
        <f aca="false">Scoring!D498</f>
        <v>0</v>
      </c>
      <c r="H491" s="7" t="str">
        <f aca="false">Scoring!CC498</f>
        <v/>
      </c>
      <c r="I491" s="182" t="str">
        <f aca="false">Scoring!CB498</f>
        <v/>
      </c>
    </row>
    <row r="492" customFormat="false" ht="15.75" hidden="false" customHeight="false" outlineLevel="0" collapsed="false">
      <c r="A492" s="7" t="str">
        <f aca="false">Scoring!CE499</f>
        <v/>
      </c>
      <c r="B492" s="7" t="str">
        <f aca="false">Scoring!CD499</f>
        <v/>
      </c>
      <c r="C492" s="7" t="n">
        <f aca="false">Scoring!C499</f>
        <v>0</v>
      </c>
      <c r="D492" s="181" t="str">
        <f aca="false">Scoring!CA499</f>
        <v/>
      </c>
      <c r="E492" s="7" t="str">
        <f aca="false">Scoring!BD499</f>
        <v/>
      </c>
      <c r="F492" s="7" t="n">
        <f aca="false">Scoring!B499</f>
        <v>0</v>
      </c>
      <c r="G492" s="7" t="n">
        <f aca="false">Scoring!D499</f>
        <v>0</v>
      </c>
      <c r="H492" s="7" t="str">
        <f aca="false">Scoring!CC499</f>
        <v/>
      </c>
      <c r="I492" s="182" t="str">
        <f aca="false">Scoring!CB499</f>
        <v/>
      </c>
    </row>
    <row r="493" customFormat="false" ht="15.75" hidden="false" customHeight="false" outlineLevel="0" collapsed="false">
      <c r="A493" s="7" t="str">
        <f aca="false">Scoring!CE500</f>
        <v/>
      </c>
      <c r="B493" s="7" t="str">
        <f aca="false">Scoring!CD500</f>
        <v/>
      </c>
      <c r="C493" s="7" t="n">
        <f aca="false">Scoring!C500</f>
        <v>0</v>
      </c>
      <c r="D493" s="181" t="str">
        <f aca="false">Scoring!CA500</f>
        <v/>
      </c>
      <c r="E493" s="7" t="str">
        <f aca="false">Scoring!BD500</f>
        <v/>
      </c>
      <c r="F493" s="7" t="n">
        <f aca="false">Scoring!B500</f>
        <v>0</v>
      </c>
      <c r="G493" s="7" t="n">
        <f aca="false">Scoring!D500</f>
        <v>0</v>
      </c>
      <c r="H493" s="7" t="str">
        <f aca="false">Scoring!CC500</f>
        <v/>
      </c>
      <c r="I493" s="182" t="str">
        <f aca="false">Scoring!CB500</f>
        <v/>
      </c>
    </row>
    <row r="494" customFormat="false" ht="15.75" hidden="false" customHeight="false" outlineLevel="0" collapsed="false">
      <c r="A494" s="7" t="str">
        <f aca="false">Scoring!CE501</f>
        <v/>
      </c>
      <c r="B494" s="7" t="str">
        <f aca="false">Scoring!CD501</f>
        <v/>
      </c>
      <c r="C494" s="7" t="n">
        <f aca="false">Scoring!C501</f>
        <v>0</v>
      </c>
      <c r="D494" s="181" t="str">
        <f aca="false">Scoring!CA501</f>
        <v/>
      </c>
      <c r="E494" s="7" t="str">
        <f aca="false">Scoring!BD501</f>
        <v/>
      </c>
      <c r="F494" s="7" t="n">
        <f aca="false">Scoring!B501</f>
        <v>0</v>
      </c>
      <c r="G494" s="7" t="n">
        <f aca="false">Scoring!D501</f>
        <v>0</v>
      </c>
      <c r="H494" s="7" t="str">
        <f aca="false">Scoring!CC501</f>
        <v/>
      </c>
      <c r="I494" s="182" t="str">
        <f aca="false">Scoring!CB501</f>
        <v/>
      </c>
    </row>
    <row r="495" customFormat="false" ht="15.75" hidden="false" customHeight="false" outlineLevel="0" collapsed="false">
      <c r="A495" s="7" t="str">
        <f aca="false">Scoring!CE502</f>
        <v/>
      </c>
      <c r="B495" s="7" t="str">
        <f aca="false">Scoring!CD502</f>
        <v/>
      </c>
      <c r="C495" s="7" t="n">
        <f aca="false">Scoring!C502</f>
        <v>0</v>
      </c>
      <c r="D495" s="181" t="str">
        <f aca="false">Scoring!CA502</f>
        <v/>
      </c>
      <c r="E495" s="7" t="str">
        <f aca="false">Scoring!BD502</f>
        <v/>
      </c>
      <c r="F495" s="7" t="n">
        <f aca="false">Scoring!B502</f>
        <v>0</v>
      </c>
      <c r="G495" s="7" t="n">
        <f aca="false">Scoring!D502</f>
        <v>0</v>
      </c>
      <c r="H495" s="7" t="str">
        <f aca="false">Scoring!CC502</f>
        <v/>
      </c>
      <c r="I495" s="182" t="str">
        <f aca="false">Scoring!CB502</f>
        <v/>
      </c>
    </row>
    <row r="496" customFormat="false" ht="15.75" hidden="false" customHeight="false" outlineLevel="0" collapsed="false">
      <c r="A496" s="7" t="str">
        <f aca="false">Scoring!CE503</f>
        <v/>
      </c>
      <c r="B496" s="7" t="str">
        <f aca="false">Scoring!CD503</f>
        <v/>
      </c>
      <c r="C496" s="7" t="n">
        <f aca="false">Scoring!C503</f>
        <v>0</v>
      </c>
      <c r="D496" s="181" t="str">
        <f aca="false">Scoring!CA503</f>
        <v/>
      </c>
      <c r="E496" s="7" t="str">
        <f aca="false">Scoring!BD503</f>
        <v/>
      </c>
      <c r="F496" s="7" t="n">
        <f aca="false">Scoring!B503</f>
        <v>0</v>
      </c>
      <c r="G496" s="7" t="n">
        <f aca="false">Scoring!D503</f>
        <v>0</v>
      </c>
      <c r="H496" s="7" t="str">
        <f aca="false">Scoring!CC503</f>
        <v/>
      </c>
      <c r="I496" s="182" t="str">
        <f aca="false">Scoring!CB503</f>
        <v/>
      </c>
    </row>
    <row r="497" customFormat="false" ht="15.75" hidden="false" customHeight="false" outlineLevel="0" collapsed="false">
      <c r="A497" s="7" t="str">
        <f aca="false">Scoring!CE504</f>
        <v/>
      </c>
      <c r="B497" s="7" t="str">
        <f aca="false">Scoring!CD504</f>
        <v/>
      </c>
      <c r="C497" s="7" t="n">
        <f aca="false">Scoring!C504</f>
        <v>0</v>
      </c>
      <c r="D497" s="181" t="str">
        <f aca="false">Scoring!CA504</f>
        <v/>
      </c>
      <c r="E497" s="7" t="str">
        <f aca="false">Scoring!BD504</f>
        <v/>
      </c>
      <c r="F497" s="7" t="n">
        <f aca="false">Scoring!B504</f>
        <v>0</v>
      </c>
      <c r="G497" s="7" t="n">
        <f aca="false">Scoring!D504</f>
        <v>0</v>
      </c>
      <c r="H497" s="7" t="str">
        <f aca="false">Scoring!CC504</f>
        <v/>
      </c>
      <c r="I497" s="182" t="str">
        <f aca="false">Scoring!CB504</f>
        <v/>
      </c>
    </row>
    <row r="498" customFormat="false" ht="15.75" hidden="false" customHeight="false" outlineLevel="0" collapsed="false">
      <c r="A498" s="7" t="str">
        <f aca="false">Scoring!CE505</f>
        <v/>
      </c>
      <c r="B498" s="7" t="str">
        <f aca="false">Scoring!CD505</f>
        <v/>
      </c>
      <c r="C498" s="7" t="n">
        <f aca="false">Scoring!C505</f>
        <v>0</v>
      </c>
      <c r="D498" s="181" t="str">
        <f aca="false">Scoring!CA505</f>
        <v/>
      </c>
      <c r="E498" s="7" t="str">
        <f aca="false">Scoring!BD505</f>
        <v/>
      </c>
      <c r="F498" s="7" t="n">
        <f aca="false">Scoring!B505</f>
        <v>0</v>
      </c>
      <c r="G498" s="7" t="n">
        <f aca="false">Scoring!D505</f>
        <v>0</v>
      </c>
      <c r="H498" s="7" t="str">
        <f aca="false">Scoring!CC505</f>
        <v/>
      </c>
      <c r="I498" s="182" t="str">
        <f aca="false">Scoring!CB505</f>
        <v/>
      </c>
    </row>
    <row r="499" customFormat="false" ht="15.75" hidden="false" customHeight="false" outlineLevel="0" collapsed="false">
      <c r="A499" s="7" t="str">
        <f aca="false">Scoring!CE506</f>
        <v/>
      </c>
      <c r="B499" s="7" t="str">
        <f aca="false">Scoring!CD506</f>
        <v/>
      </c>
      <c r="C499" s="7" t="n">
        <f aca="false">Scoring!C506</f>
        <v>0</v>
      </c>
      <c r="D499" s="181" t="str">
        <f aca="false">Scoring!CA506</f>
        <v/>
      </c>
      <c r="E499" s="7" t="str">
        <f aca="false">Scoring!BD506</f>
        <v/>
      </c>
      <c r="F499" s="7" t="n">
        <f aca="false">Scoring!B506</f>
        <v>0</v>
      </c>
      <c r="G499" s="7" t="n">
        <f aca="false">Scoring!D506</f>
        <v>0</v>
      </c>
      <c r="H499" s="7" t="str">
        <f aca="false">Scoring!CC506</f>
        <v/>
      </c>
      <c r="I499" s="182" t="str">
        <f aca="false">Scoring!CB506</f>
        <v/>
      </c>
    </row>
    <row r="500" customFormat="false" ht="15.75" hidden="false" customHeight="false" outlineLevel="0" collapsed="false">
      <c r="A500" s="7" t="str">
        <f aca="false">Scoring!CE507</f>
        <v/>
      </c>
      <c r="B500" s="7" t="str">
        <f aca="false">Scoring!CD507</f>
        <v/>
      </c>
      <c r="C500" s="7" t="n">
        <f aca="false">Scoring!C507</f>
        <v>0</v>
      </c>
      <c r="D500" s="181" t="str">
        <f aca="false">Scoring!CA507</f>
        <v/>
      </c>
      <c r="E500" s="7" t="str">
        <f aca="false">Scoring!BD507</f>
        <v/>
      </c>
      <c r="F500" s="7" t="n">
        <f aca="false">Scoring!B507</f>
        <v>0</v>
      </c>
      <c r="G500" s="7" t="n">
        <f aca="false">Scoring!D507</f>
        <v>0</v>
      </c>
      <c r="H500" s="7" t="str">
        <f aca="false">Scoring!CC507</f>
        <v/>
      </c>
      <c r="I500" s="182" t="str">
        <f aca="false">Scoring!CB507</f>
        <v/>
      </c>
    </row>
    <row r="501" customFormat="false" ht="15.75" hidden="false" customHeight="false" outlineLevel="0" collapsed="false">
      <c r="A501" s="7" t="str">
        <f aca="false">Scoring!CE508</f>
        <v/>
      </c>
      <c r="B501" s="7" t="str">
        <f aca="false">Scoring!CD508</f>
        <v/>
      </c>
      <c r="C501" s="7" t="n">
        <f aca="false">Scoring!C508</f>
        <v>0</v>
      </c>
      <c r="D501" s="181" t="str">
        <f aca="false">Scoring!CA508</f>
        <v/>
      </c>
      <c r="E501" s="7" t="str">
        <f aca="false">Scoring!BD508</f>
        <v/>
      </c>
      <c r="F501" s="7" t="n">
        <f aca="false">Scoring!B508</f>
        <v>0</v>
      </c>
      <c r="G501" s="7" t="n">
        <f aca="false">Scoring!D508</f>
        <v>0</v>
      </c>
      <c r="H501" s="7" t="str">
        <f aca="false">Scoring!CC508</f>
        <v/>
      </c>
      <c r="I501" s="182" t="str">
        <f aca="false">Scoring!CB508</f>
        <v/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608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2026-09-27T14:05:24Z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